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tel.sharepoint.com/sites/MPEPQE-ICXDebug/Shared Documents/GNR and SRF Debug/GNR/DT/FACR/ErrorChecks/"/>
    </mc:Choice>
  </mc:AlternateContent>
  <xr:revisionPtr revIDLastSave="9" documentId="13_ncr:1_{466AA176-FDE9-463E-BF35-5A88F5BC3362}" xr6:coauthVersionLast="47" xr6:coauthVersionMax="47" xr10:uidLastSave="{44F7835B-78BF-4B9D-9EE4-3AA45B831CF3}"/>
  <bookViews>
    <workbookView xWindow="-108" yWindow="-108" windowWidth="23256" windowHeight="13896" tabRatio="828" activeTab="7" xr2:uid="{F602D08F-20C8-4866-A41A-692BA08CCF26}"/>
  </bookViews>
  <sheets>
    <sheet name="PPV" sheetId="11" r:id="rId1"/>
    <sheet name="Analysis" sheetId="18" r:id="rId2"/>
    <sheet name="CHA_MCAS" sheetId="7" r:id="rId3"/>
    <sheet name="LLC" sheetId="25" r:id="rId4"/>
    <sheet name="CORE" sheetId="13" r:id="rId5"/>
    <sheet name="FirstErr" sheetId="22" r:id="rId6"/>
    <sheet name="REV_Units" sheetId="8" r:id="rId7"/>
    <sheet name="RevCHACount" sheetId="17" r:id="rId8"/>
    <sheet name="RevLLCCount" sheetId="24" r:id="rId9"/>
    <sheet name="RevCoreCount" sheetId="19" r:id="rId10"/>
    <sheet name="Other Errors" sheetId="23" r:id="rId11"/>
    <sheet name="Map" sheetId="15" r:id="rId12"/>
    <sheet name="Computes" sheetId="16" r:id="rId13"/>
  </sheets>
  <definedNames>
    <definedName name="_xlnm._FilterDatabase" localSheetId="1" hidden="1">Analysis!$A$1:$B$8</definedName>
    <definedName name="_xlnm._FilterDatabase" localSheetId="6" hidden="1">REV_Units!$A$3:$U$161</definedName>
    <definedName name="_xlnm._FilterDatabase" localSheetId="7" hidden="1">RevCHACount!$A$4:$A$87</definedName>
    <definedName name="_xlnm._FilterDatabase" localSheetId="9" hidden="1">RevCoreCount!$A$4:$A$162</definedName>
    <definedName name="_xlnm._FilterDatabase" localSheetId="8" hidden="1">RevLLCCount!$A$4:$A$188</definedName>
    <definedName name="ExternalData_1" localSheetId="0" hidden="1">PPV!$A$1:$U$109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8" l="1"/>
  <c r="B7" i="18"/>
  <c r="B8" i="18"/>
  <c r="C6" i="18"/>
  <c r="C7" i="18"/>
  <c r="C8" i="18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P65" i="22"/>
  <c r="P66" i="22"/>
  <c r="P67" i="22"/>
  <c r="P68" i="22"/>
  <c r="P69" i="22"/>
  <c r="P70" i="22"/>
  <c r="P71" i="22"/>
  <c r="P72" i="22"/>
  <c r="P73" i="22"/>
  <c r="P74" i="22"/>
  <c r="P75" i="22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C3" i="18"/>
  <c r="C4" i="18"/>
  <c r="C5" i="18"/>
  <c r="B3" i="18"/>
  <c r="B4" i="18"/>
  <c r="B5" i="18"/>
  <c r="B2" i="18"/>
  <c r="C2" i="18"/>
  <c r="A2" i="23" l="1" a="1"/>
  <c r="A2" i="23" s="1"/>
  <c r="OI281" i="24"/>
  <c r="OI282" i="24"/>
  <c r="OI283" i="24"/>
  <c r="OI284" i="24"/>
  <c r="OI285" i="24"/>
  <c r="OI286" i="24"/>
  <c r="OI287" i="24"/>
  <c r="OI288" i="24"/>
  <c r="OI289" i="24"/>
  <c r="OI290" i="24"/>
  <c r="OI291" i="24"/>
  <c r="OI292" i="24"/>
  <c r="OI293" i="24"/>
  <c r="OI294" i="24"/>
  <c r="OI295" i="24"/>
  <c r="OI296" i="24"/>
  <c r="OI297" i="24"/>
  <c r="OI298" i="24"/>
  <c r="OI299" i="24"/>
  <c r="OI300" i="24"/>
  <c r="OI301" i="24"/>
  <c r="OI302" i="24"/>
  <c r="OI303" i="24"/>
  <c r="OI304" i="24"/>
  <c r="OI305" i="24"/>
  <c r="OI306" i="24"/>
  <c r="OI307" i="24"/>
  <c r="OI308" i="24"/>
  <c r="OI309" i="24"/>
  <c r="OI310" i="24"/>
  <c r="OI311" i="24"/>
  <c r="OI312" i="24"/>
  <c r="OI313" i="24"/>
  <c r="OI314" i="24"/>
  <c r="OI315" i="24"/>
  <c r="OI316" i="24"/>
  <c r="OI317" i="24"/>
  <c r="OI318" i="24"/>
  <c r="OI319" i="24"/>
  <c r="OI320" i="24"/>
  <c r="OI321" i="24"/>
  <c r="OI322" i="24"/>
  <c r="OI323" i="24"/>
  <c r="OI324" i="24"/>
  <c r="OI325" i="24"/>
  <c r="OI326" i="24"/>
  <c r="OI327" i="24"/>
  <c r="OI328" i="24"/>
  <c r="OI329" i="24"/>
  <c r="OI330" i="24"/>
  <c r="OI331" i="24"/>
  <c r="OI332" i="24"/>
  <c r="OI333" i="24"/>
  <c r="OI334" i="24"/>
  <c r="OI335" i="24"/>
  <c r="OI336" i="24"/>
  <c r="OI337" i="24"/>
  <c r="OI338" i="24"/>
  <c r="OI339" i="24"/>
  <c r="OI340" i="24"/>
  <c r="OI341" i="24"/>
  <c r="OI342" i="24"/>
  <c r="OI343" i="24"/>
  <c r="OI344" i="24"/>
  <c r="OI345" i="24"/>
  <c r="OI346" i="24"/>
  <c r="OI347" i="24"/>
  <c r="OI348" i="24"/>
  <c r="E348" i="24" s="1"/>
  <c r="OI349" i="24"/>
  <c r="E349" i="24" s="1"/>
  <c r="OI350" i="24"/>
  <c r="OI351" i="24"/>
  <c r="OI352" i="24"/>
  <c r="OI353" i="24"/>
  <c r="OI354" i="24"/>
  <c r="E354" i="24" s="1"/>
  <c r="OI355" i="24"/>
  <c r="OI356" i="24"/>
  <c r="E356" i="24" s="1"/>
  <c r="OI357" i="24"/>
  <c r="OI358" i="24"/>
  <c r="E358" i="24" s="1"/>
  <c r="OI359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50" i="24"/>
  <c r="E351" i="24"/>
  <c r="E352" i="24"/>
  <c r="E353" i="24"/>
  <c r="E355" i="24"/>
  <c r="E357" i="24"/>
  <c r="E359" i="24"/>
  <c r="OI260" i="24"/>
  <c r="OI261" i="24"/>
  <c r="OI262" i="24"/>
  <c r="OI263" i="24"/>
  <c r="OI264" i="24"/>
  <c r="OI265" i="24"/>
  <c r="OI266" i="24"/>
  <c r="OI267" i="24"/>
  <c r="E267" i="24" s="1"/>
  <c r="OI268" i="24"/>
  <c r="OI269" i="24"/>
  <c r="OI270" i="24"/>
  <c r="OI271" i="24"/>
  <c r="OI272" i="24"/>
  <c r="OI273" i="24"/>
  <c r="OI274" i="24"/>
  <c r="OI275" i="24"/>
  <c r="E275" i="24" s="1"/>
  <c r="OI276" i="24"/>
  <c r="OI277" i="24"/>
  <c r="OI278" i="24"/>
  <c r="OI279" i="24"/>
  <c r="OI280" i="24"/>
  <c r="E280" i="24" s="1"/>
  <c r="E260" i="24"/>
  <c r="E261" i="24"/>
  <c r="E262" i="24"/>
  <c r="E263" i="24"/>
  <c r="E264" i="24"/>
  <c r="E265" i="24"/>
  <c r="E266" i="24"/>
  <c r="E268" i="24"/>
  <c r="E269" i="24"/>
  <c r="E270" i="24"/>
  <c r="E271" i="24"/>
  <c r="E272" i="24"/>
  <c r="E273" i="24"/>
  <c r="E274" i="24"/>
  <c r="E276" i="24"/>
  <c r="E277" i="24"/>
  <c r="E278" i="24"/>
  <c r="E279" i="24"/>
  <c r="E250" i="24"/>
  <c r="E251" i="24"/>
  <c r="E252" i="24"/>
  <c r="E253" i="24"/>
  <c r="E254" i="24"/>
  <c r="E255" i="24"/>
  <c r="E256" i="24"/>
  <c r="E257" i="24"/>
  <c r="E258" i="24"/>
  <c r="E259" i="24"/>
  <c r="OI250" i="24"/>
  <c r="OI251" i="24"/>
  <c r="OI252" i="24"/>
  <c r="OI253" i="24"/>
  <c r="OI254" i="24"/>
  <c r="OI255" i="24"/>
  <c r="OI256" i="24"/>
  <c r="OI257" i="24"/>
  <c r="OI258" i="24"/>
  <c r="OI259" i="24"/>
  <c r="OI233" i="24"/>
  <c r="OI234" i="24"/>
  <c r="OI235" i="24"/>
  <c r="E235" i="24" s="1"/>
  <c r="OI236" i="24"/>
  <c r="OI237" i="24"/>
  <c r="OI238" i="24"/>
  <c r="OI239" i="24"/>
  <c r="OI240" i="24"/>
  <c r="E240" i="24" s="1"/>
  <c r="OI241" i="24"/>
  <c r="OI242" i="24"/>
  <c r="OI243" i="24"/>
  <c r="E243" i="24" s="1"/>
  <c r="OI244" i="24"/>
  <c r="OI245" i="24"/>
  <c r="OI246" i="24"/>
  <c r="OI247" i="24"/>
  <c r="OI248" i="24"/>
  <c r="E248" i="24" s="1"/>
  <c r="OI249" i="24"/>
  <c r="E249" i="24" s="1"/>
  <c r="E234" i="24"/>
  <c r="E236" i="24"/>
  <c r="E237" i="24"/>
  <c r="E238" i="24"/>
  <c r="E239" i="24"/>
  <c r="E241" i="24"/>
  <c r="E242" i="24"/>
  <c r="E244" i="24"/>
  <c r="E245" i="24"/>
  <c r="E246" i="24"/>
  <c r="E247" i="24"/>
  <c r="OI215" i="24"/>
  <c r="OI216" i="24"/>
  <c r="OI217" i="24"/>
  <c r="OI218" i="24"/>
  <c r="OI219" i="24"/>
  <c r="OI220" i="24"/>
  <c r="OI221" i="24"/>
  <c r="E221" i="24" s="1"/>
  <c r="OI222" i="24"/>
  <c r="E222" i="24" s="1"/>
  <c r="OI223" i="24"/>
  <c r="OI224" i="24"/>
  <c r="OI225" i="24"/>
  <c r="OI226" i="24"/>
  <c r="OI227" i="24"/>
  <c r="OI228" i="24"/>
  <c r="OI229" i="24"/>
  <c r="E229" i="24" s="1"/>
  <c r="OI230" i="24"/>
  <c r="E230" i="24" s="1"/>
  <c r="OI231" i="24"/>
  <c r="OI232" i="24"/>
  <c r="E213" i="24"/>
  <c r="E214" i="24"/>
  <c r="E215" i="24"/>
  <c r="E216" i="24"/>
  <c r="E217" i="24"/>
  <c r="E218" i="24"/>
  <c r="E219" i="24"/>
  <c r="E220" i="24"/>
  <c r="E223" i="24"/>
  <c r="E224" i="24"/>
  <c r="E225" i="24"/>
  <c r="E226" i="24"/>
  <c r="E227" i="24"/>
  <c r="E228" i="24"/>
  <c r="E231" i="24"/>
  <c r="E232" i="24"/>
  <c r="E233" i="24"/>
  <c r="E208" i="24"/>
  <c r="E209" i="24"/>
  <c r="E210" i="24"/>
  <c r="E211" i="24"/>
  <c r="E212" i="24"/>
  <c r="OI208" i="24"/>
  <c r="OI209" i="24"/>
  <c r="OI210" i="24"/>
  <c r="OI211" i="24"/>
  <c r="OI212" i="24"/>
  <c r="OI213" i="24"/>
  <c r="OI214" i="24"/>
  <c r="A5" i="19" l="1" a="1"/>
  <c r="A5" i="19" s="1"/>
  <c r="OI189" i="24"/>
  <c r="OI190" i="24"/>
  <c r="OI191" i="24"/>
  <c r="OI192" i="24"/>
  <c r="OI193" i="24"/>
  <c r="OI194" i="24"/>
  <c r="E194" i="24" s="1"/>
  <c r="OI195" i="24"/>
  <c r="OI196" i="24"/>
  <c r="E196" i="24" s="1"/>
  <c r="OI197" i="24"/>
  <c r="OI198" i="24"/>
  <c r="OI199" i="24"/>
  <c r="OI200" i="24"/>
  <c r="OI201" i="24"/>
  <c r="OI202" i="24"/>
  <c r="E202" i="24" s="1"/>
  <c r="OI203" i="24"/>
  <c r="OI204" i="24"/>
  <c r="E204" i="24" s="1"/>
  <c r="OI205" i="24"/>
  <c r="OI206" i="24"/>
  <c r="OI207" i="24"/>
  <c r="E189" i="24"/>
  <c r="E190" i="24"/>
  <c r="E191" i="24"/>
  <c r="E192" i="24"/>
  <c r="E193" i="24"/>
  <c r="E195" i="24"/>
  <c r="E197" i="24"/>
  <c r="E198" i="24"/>
  <c r="E199" i="24"/>
  <c r="E200" i="24"/>
  <c r="E201" i="24"/>
  <c r="E203" i="24"/>
  <c r="E205" i="24"/>
  <c r="E206" i="24"/>
  <c r="E207" i="24"/>
  <c r="A5" i="17" a="1"/>
  <c r="A5" i="17" s="1"/>
  <c r="M5" i="17" s="1" a="1"/>
  <c r="A4" i="8" a="1"/>
  <c r="XX281" i="17" l="1" a="1"/>
  <c r="XX281" i="17" s="1"/>
  <c r="YH281" i="17" s="1" a="1"/>
  <c r="YH281" i="17" s="1"/>
  <c r="YI281" i="17" s="1" a="1"/>
  <c r="YI281" i="17" s="1"/>
  <c r="XP283" i="17" a="1"/>
  <c r="XP283" i="17" s="1"/>
  <c r="XU283" i="17" s="1" a="1"/>
  <c r="XU283" i="17" s="1"/>
  <c r="XJ285" i="17" a="1"/>
  <c r="XJ285" i="17" s="1"/>
  <c r="XM285" i="17" s="1" a="1"/>
  <c r="XM285" i="17" s="1"/>
  <c r="XN285" i="17" s="1" a="1"/>
  <c r="XN285" i="17" s="1"/>
  <c r="XJ287" i="17" a="1"/>
  <c r="XJ287" i="17" s="1"/>
  <c r="XM287" i="17" s="1" a="1"/>
  <c r="XM287" i="17" s="1"/>
  <c r="XN287" i="17" s="1" a="1"/>
  <c r="XN287" i="17" s="1"/>
  <c r="XP288" i="17" a="1"/>
  <c r="XP288" i="17" s="1"/>
  <c r="XU288" i="17" s="1" a="1"/>
  <c r="XU288" i="17" s="1"/>
  <c r="XJ290" i="17" a="1"/>
  <c r="XJ290" i="17" s="1"/>
  <c r="XM290" i="17" s="1" a="1"/>
  <c r="XM290" i="17" s="1"/>
  <c r="XN290" i="17" s="1" a="1"/>
  <c r="XN290" i="17" s="1"/>
  <c r="XX291" i="17" a="1"/>
  <c r="XX291" i="17" s="1"/>
  <c r="YH291" i="17" s="1" a="1"/>
  <c r="YH291" i="17" s="1"/>
  <c r="YI291" i="17" s="1" a="1"/>
  <c r="YI291" i="17" s="1"/>
  <c r="XX293" i="17" a="1"/>
  <c r="XX293" i="17" s="1"/>
  <c r="YH293" i="17" s="1" a="1"/>
  <c r="YH293" i="17" s="1"/>
  <c r="YI293" i="17" s="1" a="1"/>
  <c r="YI293" i="17" s="1"/>
  <c r="XJ295" i="17" a="1"/>
  <c r="XJ295" i="17" s="1"/>
  <c r="XM295" i="17" s="1" a="1"/>
  <c r="XM295" i="17" s="1"/>
  <c r="XN295" i="17" s="1" a="1"/>
  <c r="XN295" i="17" s="1"/>
  <c r="XP297" i="17" a="1"/>
  <c r="XP297" i="17" s="1"/>
  <c r="XU297" i="17" s="1" a="1"/>
  <c r="XU297" i="17" s="1"/>
  <c r="XJ299" i="17" a="1"/>
  <c r="XJ299" i="17" s="1"/>
  <c r="XM299" i="17" s="1" a="1"/>
  <c r="XM299" i="17" s="1"/>
  <c r="XN299" i="17" s="1" a="1"/>
  <c r="XN299" i="17" s="1"/>
  <c r="XX300" i="17" a="1"/>
  <c r="XX300" i="17" s="1"/>
  <c r="YH300" i="17" s="1" a="1"/>
  <c r="YH300" i="17" s="1"/>
  <c r="YI300" i="17" s="1" a="1"/>
  <c r="YI300" i="17" s="1"/>
  <c r="XX302" i="17" a="1"/>
  <c r="XX302" i="17" s="1"/>
  <c r="YH302" i="17" s="1" a="1"/>
  <c r="YH302" i="17" s="1"/>
  <c r="YI302" i="17" s="1" a="1"/>
  <c r="YI302" i="17" s="1"/>
  <c r="XP305" i="17" a="1"/>
  <c r="XP305" i="17" s="1"/>
  <c r="XU305" i="17" s="1" a="1"/>
  <c r="XU305" i="17" s="1"/>
  <c r="XJ307" i="17" a="1"/>
  <c r="XJ307" i="17" s="1"/>
  <c r="XM307" i="17" s="1" a="1"/>
  <c r="XM307" i="17" s="1"/>
  <c r="XN307" i="17" s="1" a="1"/>
  <c r="XN307" i="17" s="1"/>
  <c r="XJ310" i="17" a="1"/>
  <c r="XJ310" i="17" s="1"/>
  <c r="XM310" i="17" s="1" a="1"/>
  <c r="XM310" i="17" s="1"/>
  <c r="XN310" i="17" s="1" a="1"/>
  <c r="XN310" i="17" s="1"/>
  <c r="XJ312" i="17" a="1"/>
  <c r="XJ312" i="17" s="1"/>
  <c r="XM312" i="17" s="1" a="1"/>
  <c r="XM312" i="17" s="1"/>
  <c r="XN312" i="17" s="1" a="1"/>
  <c r="XN312" i="17" s="1"/>
  <c r="XP314" i="17" a="1"/>
  <c r="XP314" i="17" s="1"/>
  <c r="XU314" i="17" s="1" a="1"/>
  <c r="XU314" i="17" s="1"/>
  <c r="XJ317" i="17" a="1"/>
  <c r="XJ317" i="17" s="1"/>
  <c r="XM317" i="17" s="1" a="1"/>
  <c r="XM317" i="17" s="1"/>
  <c r="XN317" i="17" s="1" a="1"/>
  <c r="XN317" i="17" s="1"/>
  <c r="XP318" i="17" a="1"/>
  <c r="XP318" i="17" s="1"/>
  <c r="XU318" i="17" s="1" a="1"/>
  <c r="XU318" i="17" s="1"/>
  <c r="XX319" i="17" a="1"/>
  <c r="XX319" i="17" s="1"/>
  <c r="YH319" i="17" s="1" a="1"/>
  <c r="YH319" i="17" s="1"/>
  <c r="YI319" i="17" s="1" a="1"/>
  <c r="YI319" i="17" s="1"/>
  <c r="XP322" i="17" a="1"/>
  <c r="XP322" i="17" s="1"/>
  <c r="XU322" i="17" s="1" a="1"/>
  <c r="XU322" i="17" s="1"/>
  <c r="XJ324" i="17" a="1"/>
  <c r="XJ324" i="17" s="1"/>
  <c r="XM324" i="17" s="1" a="1"/>
  <c r="XM324" i="17" s="1"/>
  <c r="XN324" i="17" s="1" a="1"/>
  <c r="XN324" i="17" s="1"/>
  <c r="XJ327" i="17" a="1"/>
  <c r="XJ327" i="17" s="1"/>
  <c r="XM327" i="17" s="1" a="1"/>
  <c r="XM327" i="17" s="1"/>
  <c r="XN327" i="17" s="1" a="1"/>
  <c r="XN327" i="17" s="1"/>
  <c r="XJ329" i="17" a="1"/>
  <c r="XJ329" i="17" s="1"/>
  <c r="XM329" i="17" s="1" a="1"/>
  <c r="XM329" i="17" s="1"/>
  <c r="XN329" i="17" s="1" a="1"/>
  <c r="XN329" i="17" s="1"/>
  <c r="XP330" i="17" a="1"/>
  <c r="XP330" i="17" s="1"/>
  <c r="XU330" i="17" s="1" a="1"/>
  <c r="XU330" i="17" s="1"/>
  <c r="XJ332" i="17" a="1"/>
  <c r="XJ332" i="17" s="1"/>
  <c r="XM332" i="17" s="1" a="1"/>
  <c r="XM332" i="17" s="1"/>
  <c r="XN332" i="17" s="1" a="1"/>
  <c r="XN332" i="17" s="1"/>
  <c r="XP333" i="17" a="1"/>
  <c r="XP333" i="17" s="1"/>
  <c r="XU333" i="17" s="1" a="1"/>
  <c r="XU333" i="17" s="1"/>
  <c r="XJ335" i="17" a="1"/>
  <c r="XJ335" i="17" s="1"/>
  <c r="XM335" i="17" s="1" a="1"/>
  <c r="XM335" i="17" s="1"/>
  <c r="XN335" i="17" s="1" a="1"/>
  <c r="XN335" i="17" s="1"/>
  <c r="XX336" i="17" a="1"/>
  <c r="XX336" i="17" s="1"/>
  <c r="YH336" i="17" s="1" a="1"/>
  <c r="YH336" i="17" s="1"/>
  <c r="YI336" i="17" s="1" a="1"/>
  <c r="YI336" i="17" s="1"/>
  <c r="XP338" i="17" a="1"/>
  <c r="XP338" i="17" s="1"/>
  <c r="XU338" i="17" s="1" a="1"/>
  <c r="XU338" i="17" s="1"/>
  <c r="XP285" i="17" a="1"/>
  <c r="XP285" i="17" s="1"/>
  <c r="XU285" i="17" s="1" a="1"/>
  <c r="XU285" i="17" s="1"/>
  <c r="XV285" i="17" s="1" a="1"/>
  <c r="XV285" i="17" s="1"/>
  <c r="XJ292" i="17" a="1"/>
  <c r="XJ292" i="17" s="1"/>
  <c r="XM292" i="17" s="1" a="1"/>
  <c r="XM292" i="17" s="1"/>
  <c r="XN292" i="17" s="1" a="1"/>
  <c r="XN292" i="17" s="1"/>
  <c r="XJ294" i="17" a="1"/>
  <c r="XJ294" i="17" s="1"/>
  <c r="XM294" i="17" s="1" a="1"/>
  <c r="XM294" i="17" s="1"/>
  <c r="XN294" i="17" s="1" a="1"/>
  <c r="XN294" i="17" s="1"/>
  <c r="XP295" i="17" a="1"/>
  <c r="XP295" i="17" s="1"/>
  <c r="XU295" i="17" s="1" a="1"/>
  <c r="XU295" i="17" s="1"/>
  <c r="XP303" i="17" a="1"/>
  <c r="XP303" i="17" s="1"/>
  <c r="XU303" i="17" s="1" a="1"/>
  <c r="XU303" i="17" s="1"/>
  <c r="XP308" i="17" a="1"/>
  <c r="XP308" i="17" s="1"/>
  <c r="XU308" i="17" s="1" a="1"/>
  <c r="XU308" i="17" s="1"/>
  <c r="XJ311" i="17" a="1"/>
  <c r="XJ311" i="17" s="1"/>
  <c r="XM311" i="17" s="1" a="1"/>
  <c r="XM311" i="17" s="1"/>
  <c r="XN311" i="17" s="1" a="1"/>
  <c r="XN311" i="17" s="1"/>
  <c r="XP313" i="17" a="1"/>
  <c r="XP313" i="17" s="1"/>
  <c r="XU313" i="17" s="1" a="1"/>
  <c r="XU313" i="17" s="1"/>
  <c r="XX318" i="17" a="1"/>
  <c r="XX318" i="17" s="1"/>
  <c r="YH318" i="17" s="1" a="1"/>
  <c r="YH318" i="17" s="1"/>
  <c r="YI318" i="17" s="1" a="1"/>
  <c r="YI318" i="17" s="1"/>
  <c r="XX322" i="17" a="1"/>
  <c r="XX322" i="17" s="1"/>
  <c r="YH322" i="17" s="1" a="1"/>
  <c r="YH322" i="17" s="1"/>
  <c r="YI322" i="17" s="1" a="1"/>
  <c r="YI322" i="17" s="1"/>
  <c r="XP324" i="17" a="1"/>
  <c r="XP324" i="17" s="1"/>
  <c r="XU324" i="17" s="1" a="1"/>
  <c r="XU324" i="17" s="1"/>
  <c r="XX325" i="17" a="1"/>
  <c r="XX325" i="17" s="1"/>
  <c r="YH325" i="17" s="1" a="1"/>
  <c r="YH325" i="17" s="1"/>
  <c r="YI325" i="17" s="1" a="1"/>
  <c r="YI325" i="17" s="1"/>
  <c r="XP329" i="17" a="1"/>
  <c r="XP329" i="17" s="1"/>
  <c r="XU329" i="17" s="1" a="1"/>
  <c r="XU329" i="17" s="1"/>
  <c r="XV329" i="17" s="1" a="1"/>
  <c r="XV329" i="17" s="1"/>
  <c r="XX330" i="17" a="1"/>
  <c r="XX330" i="17" s="1"/>
  <c r="YH330" i="17" s="1" a="1"/>
  <c r="YH330" i="17" s="1"/>
  <c r="YI330" i="17" s="1" a="1"/>
  <c r="YI330" i="17" s="1"/>
  <c r="XP332" i="17" a="1"/>
  <c r="XP332" i="17" s="1"/>
  <c r="XU332" i="17" s="1" a="1"/>
  <c r="XU332" i="17" s="1"/>
  <c r="XV332" i="17" s="1" a="1"/>
  <c r="XV332" i="17" s="1"/>
  <c r="XJ337" i="17" a="1"/>
  <c r="XJ337" i="17" s="1"/>
  <c r="XM337" i="17" s="1" a="1"/>
  <c r="XM337" i="17" s="1"/>
  <c r="XN337" i="17" s="1" a="1"/>
  <c r="XN337" i="17" s="1"/>
  <c r="XX338" i="17" a="1"/>
  <c r="XX338" i="17" s="1"/>
  <c r="YH338" i="17" s="1" a="1"/>
  <c r="YH338" i="17" s="1"/>
  <c r="YI338" i="17" s="1" a="1"/>
  <c r="YI338" i="17" s="1"/>
  <c r="XJ340" i="17" a="1"/>
  <c r="XJ340" i="17" s="1"/>
  <c r="XM340" i="17" s="1" a="1"/>
  <c r="XM340" i="17" s="1"/>
  <c r="XN340" i="17" s="1" a="1"/>
  <c r="XN340" i="17" s="1"/>
  <c r="XP341" i="17" a="1"/>
  <c r="XP341" i="17" s="1"/>
  <c r="XU341" i="17" s="1" a="1"/>
  <c r="XU341" i="17" s="1"/>
  <c r="XP342" i="17" a="1"/>
  <c r="XP342" i="17" s="1"/>
  <c r="XU342" i="17" s="1" a="1"/>
  <c r="XU342" i="17" s="1"/>
  <c r="XJ344" i="17" a="1"/>
  <c r="XJ344" i="17" s="1"/>
  <c r="XM344" i="17" s="1" a="1"/>
  <c r="XM344" i="17" s="1"/>
  <c r="XN344" i="17" s="1" a="1"/>
  <c r="XN344" i="17" s="1"/>
  <c r="XJ348" i="17" a="1"/>
  <c r="XJ348" i="17" s="1"/>
  <c r="XM348" i="17" s="1" a="1"/>
  <c r="XM348" i="17" s="1"/>
  <c r="XN348" i="17" s="1" a="1"/>
  <c r="XN348" i="17" s="1"/>
  <c r="XP351" i="17" a="1"/>
  <c r="XP351" i="17" s="1"/>
  <c r="XU351" i="17" s="1" a="1"/>
  <c r="XU351" i="17" s="1"/>
  <c r="XX356" i="17" a="1"/>
  <c r="XX356" i="17" s="1"/>
  <c r="YH356" i="17" s="1" a="1"/>
  <c r="YH356" i="17" s="1"/>
  <c r="YI356" i="17" s="1" a="1"/>
  <c r="YI356" i="17" s="1"/>
  <c r="XP358" i="17" a="1"/>
  <c r="XP358" i="17" s="1"/>
  <c r="XU358" i="17" s="1" a="1"/>
  <c r="XU358" i="17" s="1"/>
  <c r="L301" i="17"/>
  <c r="K301" i="17" s="1"/>
  <c r="C301" i="17" s="1"/>
  <c r="L323" i="17"/>
  <c r="K323" i="17" s="1"/>
  <c r="C323" i="17" s="1"/>
  <c r="L328" i="17"/>
  <c r="K328" i="17" s="1"/>
  <c r="C328" i="17" s="1"/>
  <c r="L332" i="17"/>
  <c r="K332" i="17" s="1"/>
  <c r="C332" i="17" s="1"/>
  <c r="L341" i="17"/>
  <c r="K341" i="17" s="1"/>
  <c r="C341" i="17" s="1"/>
  <c r="L350" i="17"/>
  <c r="K350" i="17" s="1"/>
  <c r="C350" i="17" s="1"/>
  <c r="L354" i="17"/>
  <c r="K354" i="17" s="1"/>
  <c r="C354" i="17" s="1"/>
  <c r="L359" i="17"/>
  <c r="K359" i="17" s="1"/>
  <c r="C359" i="17" s="1"/>
  <c r="XJ282" i="17" a="1"/>
  <c r="XJ282" i="17" s="1"/>
  <c r="XM282" i="17" s="1" a="1"/>
  <c r="XM282" i="17" s="1"/>
  <c r="XN282" i="17" s="1" a="1"/>
  <c r="XN282" i="17" s="1"/>
  <c r="XX283" i="17" a="1"/>
  <c r="XX283" i="17" s="1"/>
  <c r="YH283" i="17" s="1" a="1"/>
  <c r="YH283" i="17" s="1"/>
  <c r="YI283" i="17" s="1" a="1"/>
  <c r="YI283" i="17" s="1"/>
  <c r="XX285" i="17" a="1"/>
  <c r="XX285" i="17" s="1"/>
  <c r="YH285" i="17" s="1" a="1"/>
  <c r="YH285" i="17" s="1"/>
  <c r="YI285" i="17" s="1" a="1"/>
  <c r="YI285" i="17" s="1"/>
  <c r="XP287" i="17" a="1"/>
  <c r="XP287" i="17" s="1"/>
  <c r="XU287" i="17" s="1" a="1"/>
  <c r="XU287" i="17" s="1"/>
  <c r="XV287" i="17" s="1" a="1"/>
  <c r="XV287" i="17" s="1"/>
  <c r="XX288" i="17" a="1"/>
  <c r="XX288" i="17" s="1"/>
  <c r="YH288" i="17" s="1" a="1"/>
  <c r="YH288" i="17" s="1"/>
  <c r="YI288" i="17" s="1" a="1"/>
  <c r="YI288" i="17" s="1"/>
  <c r="XP290" i="17" a="1"/>
  <c r="XP290" i="17" s="1"/>
  <c r="XU290" i="17" s="1" a="1"/>
  <c r="XU290" i="17" s="1"/>
  <c r="XV290" i="17" s="1" a="1"/>
  <c r="XV290" i="17" s="1"/>
  <c r="XP294" i="17" a="1"/>
  <c r="XP294" i="17" s="1"/>
  <c r="XU294" i="17" s="1" a="1"/>
  <c r="XU294" i="17" s="1"/>
  <c r="XV294" i="17" s="1" a="1"/>
  <c r="XV294" i="17" s="1"/>
  <c r="XX295" i="17" a="1"/>
  <c r="XX295" i="17" s="1"/>
  <c r="YH295" i="17" s="1" a="1"/>
  <c r="YH295" i="17" s="1"/>
  <c r="YI295" i="17" s="1" a="1"/>
  <c r="YI295" i="17" s="1"/>
  <c r="XX297" i="17" a="1"/>
  <c r="XX297" i="17" s="1"/>
  <c r="YH297" i="17" s="1" a="1"/>
  <c r="YH297" i="17" s="1"/>
  <c r="YI297" i="17" s="1" a="1"/>
  <c r="YI297" i="17" s="1"/>
  <c r="XP299" i="17" a="1"/>
  <c r="XP299" i="17" s="1"/>
  <c r="XU299" i="17" s="1" a="1"/>
  <c r="XU299" i="17" s="1"/>
  <c r="XV299" i="17" s="1" a="1"/>
  <c r="XV299" i="17" s="1"/>
  <c r="XJ301" i="17" a="1"/>
  <c r="XJ301" i="17" s="1"/>
  <c r="XM301" i="17" s="1" a="1"/>
  <c r="XM301" i="17" s="1"/>
  <c r="XN301" i="17" s="1" a="1"/>
  <c r="XN301" i="17" s="1"/>
  <c r="XX303" i="17" a="1"/>
  <c r="XX303" i="17" s="1"/>
  <c r="YH303" i="17" s="1" a="1"/>
  <c r="YH303" i="17" s="1"/>
  <c r="YI303" i="17" s="1" a="1"/>
  <c r="YI303" i="17" s="1"/>
  <c r="XX305" i="17" a="1"/>
  <c r="XX305" i="17" s="1"/>
  <c r="YH305" i="17" s="1" a="1"/>
  <c r="YH305" i="17" s="1"/>
  <c r="YI305" i="17" s="1" a="1"/>
  <c r="YI305" i="17" s="1"/>
  <c r="XP307" i="17" a="1"/>
  <c r="XP307" i="17" s="1"/>
  <c r="XU307" i="17" s="1" a="1"/>
  <c r="XU307" i="17" s="1"/>
  <c r="XX308" i="17" a="1"/>
  <c r="XX308" i="17" s="1"/>
  <c r="YH308" i="17" s="1" a="1"/>
  <c r="YH308" i="17" s="1"/>
  <c r="YI308" i="17" s="1" a="1"/>
  <c r="YI308" i="17" s="1"/>
  <c r="XP310" i="17" a="1"/>
  <c r="XP310" i="17" s="1"/>
  <c r="XU310" i="17" s="1" a="1"/>
  <c r="XU310" i="17" s="1"/>
  <c r="XV310" i="17" s="1" a="1"/>
  <c r="XV310" i="17" s="1"/>
  <c r="XX314" i="17" a="1"/>
  <c r="XX314" i="17" s="1"/>
  <c r="YH314" i="17" s="1" a="1"/>
  <c r="YH314" i="17" s="1"/>
  <c r="YI314" i="17" s="1" a="1"/>
  <c r="YI314" i="17" s="1"/>
  <c r="XP321" i="17" a="1"/>
  <c r="XP321" i="17" s="1"/>
  <c r="XU321" i="17" s="1" a="1"/>
  <c r="XU321" i="17" s="1"/>
  <c r="XJ323" i="17" a="1"/>
  <c r="XJ323" i="17" s="1"/>
  <c r="XM323" i="17" s="1" a="1"/>
  <c r="XM323" i="17" s="1"/>
  <c r="XN323" i="17" s="1" a="1"/>
  <c r="XN323" i="17" s="1"/>
  <c r="XP327" i="17" a="1"/>
  <c r="XP327" i="17" s="1"/>
  <c r="XU327" i="17" s="1" a="1"/>
  <c r="XU327" i="17" s="1"/>
  <c r="XX333" i="17" a="1"/>
  <c r="XX333" i="17" s="1"/>
  <c r="YH333" i="17" s="1" a="1"/>
  <c r="YH333" i="17" s="1"/>
  <c r="YI333" i="17" s="1" a="1"/>
  <c r="YI333" i="17" s="1"/>
  <c r="XP335" i="17" a="1"/>
  <c r="XP335" i="17" s="1"/>
  <c r="XU335" i="17" s="1" a="1"/>
  <c r="XU335" i="17" s="1"/>
  <c r="XV335" i="17" s="1" a="1"/>
  <c r="XV335" i="17" s="1"/>
  <c r="XP337" i="17" a="1"/>
  <c r="XP337" i="17" s="1"/>
  <c r="XU337" i="17" s="1" a="1"/>
  <c r="XU337" i="17" s="1"/>
  <c r="XV337" i="17" s="1" a="1"/>
  <c r="XV337" i="17" s="1"/>
  <c r="XP340" i="17" a="1"/>
  <c r="XP340" i="17" s="1"/>
  <c r="XU340" i="17" s="1" a="1"/>
  <c r="XU340" i="17" s="1"/>
  <c r="XV340" i="17" s="1" a="1"/>
  <c r="XV340" i="17" s="1"/>
  <c r="XJ281" i="17" a="1"/>
  <c r="XJ281" i="17" s="1"/>
  <c r="XM281" i="17" s="1" a="1"/>
  <c r="XM281" i="17" s="1"/>
  <c r="XN281" i="17" s="1" a="1"/>
  <c r="XN281" i="17" s="1"/>
  <c r="XX282" i="17" a="1"/>
  <c r="XX282" i="17" s="1"/>
  <c r="YH282" i="17" s="1" a="1"/>
  <c r="YH282" i="17" s="1"/>
  <c r="YI282" i="17" s="1" a="1"/>
  <c r="YI282" i="17" s="1"/>
  <c r="XP284" i="17" a="1"/>
  <c r="XP284" i="17" s="1"/>
  <c r="XU284" i="17" s="1" a="1"/>
  <c r="XU284" i="17" s="1"/>
  <c r="XJ288" i="17" a="1"/>
  <c r="XJ288" i="17" s="1"/>
  <c r="XM288" i="17" s="1" a="1"/>
  <c r="XM288" i="17" s="1"/>
  <c r="XN288" i="17" s="1" a="1"/>
  <c r="XN288" i="17" s="1"/>
  <c r="XP296" i="17" a="1"/>
  <c r="XP296" i="17" s="1"/>
  <c r="XU296" i="17" s="1" a="1"/>
  <c r="XU296" i="17" s="1"/>
  <c r="XJ300" i="17" a="1"/>
  <c r="XJ300" i="17" s="1"/>
  <c r="XM300" i="17" s="1" a="1"/>
  <c r="XM300" i="17" s="1"/>
  <c r="XN300" i="17" s="1" a="1"/>
  <c r="XN300" i="17" s="1"/>
  <c r="XJ302" i="17" a="1"/>
  <c r="XJ302" i="17" s="1"/>
  <c r="XM302" i="17" s="1" a="1"/>
  <c r="XM302" i="17" s="1"/>
  <c r="XN302" i="17" s="1" a="1"/>
  <c r="XN302" i="17" s="1"/>
  <c r="XP304" i="17" a="1"/>
  <c r="XP304" i="17" s="1"/>
  <c r="XU304" i="17" s="1" a="1"/>
  <c r="XU304" i="17" s="1"/>
  <c r="XP306" i="17" a="1"/>
  <c r="XP306" i="17" s="1"/>
  <c r="XU306" i="17" s="1" a="1"/>
  <c r="XU306" i="17" s="1"/>
  <c r="XP309" i="17" a="1"/>
  <c r="XP309" i="17" s="1"/>
  <c r="XU309" i="17" s="1" a="1"/>
  <c r="XU309" i="17" s="1"/>
  <c r="XX310" i="17" a="1"/>
  <c r="XX310" i="17" s="1"/>
  <c r="YH310" i="17" s="1" a="1"/>
  <c r="YH310" i="17" s="1"/>
  <c r="YI310" i="17" s="1" a="1"/>
  <c r="YI310" i="17" s="1"/>
  <c r="XP311" i="17" a="1"/>
  <c r="XP311" i="17" s="1"/>
  <c r="XU311" i="17" s="1" a="1"/>
  <c r="XU311" i="17" s="1"/>
  <c r="XV311" i="17" s="1" a="1"/>
  <c r="XV311" i="17" s="1"/>
  <c r="XX312" i="17" a="1"/>
  <c r="XX312" i="17" s="1"/>
  <c r="YH312" i="17" s="1" a="1"/>
  <c r="YH312" i="17" s="1"/>
  <c r="YI312" i="17" s="1" a="1"/>
  <c r="YI312" i="17" s="1"/>
  <c r="XJ314" i="17" a="1"/>
  <c r="XJ314" i="17" s="1"/>
  <c r="XM314" i="17" s="1" a="1"/>
  <c r="XM314" i="17" s="1"/>
  <c r="XN314" i="17" s="1" a="1"/>
  <c r="XN314" i="17" s="1"/>
  <c r="XP315" i="17" a="1"/>
  <c r="XP315" i="17" s="1"/>
  <c r="XU315" i="17" s="1" a="1"/>
  <c r="XU315" i="17" s="1"/>
  <c r="XP316" i="17" a="1"/>
  <c r="XP316" i="17" s="1"/>
  <c r="XU316" i="17" s="1" a="1"/>
  <c r="XU316" i="17" s="1"/>
  <c r="XJ318" i="17" a="1"/>
  <c r="XJ318" i="17" s="1"/>
  <c r="XM318" i="17" s="1" a="1"/>
  <c r="XM318" i="17" s="1"/>
  <c r="XN318" i="17" s="1" a="1"/>
  <c r="XN318" i="17" s="1"/>
  <c r="XX321" i="17" a="1"/>
  <c r="XX321" i="17" s="1"/>
  <c r="YH321" i="17" s="1" a="1"/>
  <c r="YH321" i="17" s="1"/>
  <c r="YI321" i="17" s="1" a="1"/>
  <c r="YI321" i="17" s="1"/>
  <c r="XJ325" i="17" a="1"/>
  <c r="XJ325" i="17" s="1"/>
  <c r="XM325" i="17" s="1" a="1"/>
  <c r="XM325" i="17" s="1"/>
  <c r="XN325" i="17" s="1" a="1"/>
  <c r="XN325" i="17" s="1"/>
  <c r="XJ328" i="17" a="1"/>
  <c r="XJ328" i="17" s="1"/>
  <c r="XM328" i="17" s="1" a="1"/>
  <c r="XM328" i="17" s="1"/>
  <c r="XN328" i="17" s="1" a="1"/>
  <c r="XN328" i="17" s="1"/>
  <c r="XJ333" i="17" a="1"/>
  <c r="XJ333" i="17" s="1"/>
  <c r="XM333" i="17" s="1" a="1"/>
  <c r="XM333" i="17" s="1"/>
  <c r="XN333" i="17" s="1" a="1"/>
  <c r="XN333" i="17" s="1"/>
  <c r="XP334" i="17" a="1"/>
  <c r="XP334" i="17" s="1"/>
  <c r="XU334" i="17" s="1" a="1"/>
  <c r="XU334" i="17" s="1"/>
  <c r="XJ336" i="17" a="1"/>
  <c r="XJ336" i="17" s="1"/>
  <c r="XM336" i="17" s="1" a="1"/>
  <c r="XM336" i="17" s="1"/>
  <c r="XN336" i="17" s="1" a="1"/>
  <c r="XN336" i="17" s="1"/>
  <c r="XP339" i="17" a="1"/>
  <c r="XP339" i="17" s="1"/>
  <c r="XU339" i="17" s="1" a="1"/>
  <c r="XU339" i="17" s="1"/>
  <c r="XP281" i="17" a="1"/>
  <c r="XP281" i="17" s="1"/>
  <c r="XU281" i="17" s="1" a="1"/>
  <c r="XU281" i="17" s="1"/>
  <c r="XV281" i="17" s="1" a="1"/>
  <c r="XV281" i="17" s="1"/>
  <c r="YK281" i="17" s="1"/>
  <c r="E281" i="17" s="1"/>
  <c r="XJ283" i="17" a="1"/>
  <c r="XJ283" i="17" s="1"/>
  <c r="XM283" i="17" s="1" a="1"/>
  <c r="XM283" i="17" s="1"/>
  <c r="XN283" i="17" s="1" a="1"/>
  <c r="XN283" i="17" s="1"/>
  <c r="XX284" i="17" a="1"/>
  <c r="XX284" i="17" s="1"/>
  <c r="YH284" i="17" s="1" a="1"/>
  <c r="YH284" i="17" s="1"/>
  <c r="YI284" i="17" s="1" a="1"/>
  <c r="YI284" i="17" s="1"/>
  <c r="XX286" i="17" a="1"/>
  <c r="XX286" i="17" s="1"/>
  <c r="YH286" i="17" s="1" a="1"/>
  <c r="YH286" i="17" s="1"/>
  <c r="YI286" i="17" s="1" a="1"/>
  <c r="YI286" i="17" s="1"/>
  <c r="XP293" i="17" a="1"/>
  <c r="XP293" i="17" s="1"/>
  <c r="XU293" i="17" s="1" a="1"/>
  <c r="XU293" i="17" s="1"/>
  <c r="XJ297" i="17" a="1"/>
  <c r="XJ297" i="17" s="1"/>
  <c r="XM297" i="17" s="1" a="1"/>
  <c r="XM297" i="17" s="1"/>
  <c r="XN297" i="17" s="1" a="1"/>
  <c r="XN297" i="17" s="1"/>
  <c r="XP300" i="17" a="1"/>
  <c r="XP300" i="17" s="1"/>
  <c r="XU300" i="17" s="1" a="1"/>
  <c r="XU300" i="17" s="1"/>
  <c r="XV300" i="17" s="1" a="1"/>
  <c r="XV300" i="17" s="1"/>
  <c r="YK300" i="17" s="1"/>
  <c r="E300" i="17" s="1"/>
  <c r="XX306" i="17" a="1"/>
  <c r="XX306" i="17" s="1"/>
  <c r="YH306" i="17" s="1" a="1"/>
  <c r="YH306" i="17" s="1"/>
  <c r="YI306" i="17" s="1" a="1"/>
  <c r="YI306" i="17" s="1"/>
  <c r="XX309" i="17" a="1"/>
  <c r="XX309" i="17" s="1"/>
  <c r="YH309" i="17" s="1" a="1"/>
  <c r="YH309" i="17" s="1"/>
  <c r="YI309" i="17" s="1" a="1"/>
  <c r="YI309" i="17" s="1"/>
  <c r="XP319" i="17" a="1"/>
  <c r="XP319" i="17" s="1"/>
  <c r="XU319" i="17" s="1" a="1"/>
  <c r="XU319" i="17" s="1"/>
  <c r="XP325" i="17" a="1"/>
  <c r="XP325" i="17" s="1"/>
  <c r="XU325" i="17" s="1" a="1"/>
  <c r="XU325" i="17" s="1"/>
  <c r="XV325" i="17" s="1" a="1"/>
  <c r="XV325" i="17" s="1"/>
  <c r="XX328" i="17" a="1"/>
  <c r="XX328" i="17" s="1"/>
  <c r="YH328" i="17" s="1" a="1"/>
  <c r="YH328" i="17" s="1"/>
  <c r="YI328" i="17" s="1" a="1"/>
  <c r="YI328" i="17" s="1"/>
  <c r="XJ341" i="17" a="1"/>
  <c r="XJ341" i="17" s="1"/>
  <c r="XM341" i="17" s="1" a="1"/>
  <c r="XM341" i="17" s="1"/>
  <c r="XN341" i="17" s="1" a="1"/>
  <c r="XN341" i="17" s="1"/>
  <c r="XJ342" i="17" a="1"/>
  <c r="XJ342" i="17" s="1"/>
  <c r="XM342" i="17" s="1" a="1"/>
  <c r="XM342" i="17" s="1"/>
  <c r="XN342" i="17" s="1" a="1"/>
  <c r="XN342" i="17" s="1"/>
  <c r="XP343" i="17" a="1"/>
  <c r="XP343" i="17" s="1"/>
  <c r="XU343" i="17" s="1" a="1"/>
  <c r="XU343" i="17" s="1"/>
  <c r="XX350" i="17" a="1"/>
  <c r="XX350" i="17" s="1"/>
  <c r="YH350" i="17" s="1" a="1"/>
  <c r="YH350" i="17" s="1"/>
  <c r="YI350" i="17" s="1" a="1"/>
  <c r="YI350" i="17" s="1"/>
  <c r="XJ353" i="17" a="1"/>
  <c r="XJ353" i="17" s="1"/>
  <c r="XM353" i="17" s="1" a="1"/>
  <c r="XM353" i="17" s="1"/>
  <c r="XN353" i="17" s="1" a="1"/>
  <c r="XN353" i="17" s="1"/>
  <c r="XP356" i="17" a="1"/>
  <c r="XP356" i="17" s="1"/>
  <c r="XU356" i="17" s="1" a="1"/>
  <c r="XU356" i="17" s="1"/>
  <c r="XX358" i="17" a="1"/>
  <c r="XX358" i="17" s="1"/>
  <c r="YH358" i="17" s="1" a="1"/>
  <c r="YH358" i="17" s="1"/>
  <c r="YI358" i="17" s="1" a="1"/>
  <c r="YI358" i="17" s="1"/>
  <c r="L281" i="17"/>
  <c r="K281" i="17" s="1"/>
  <c r="C281" i="17" s="1"/>
  <c r="L294" i="17"/>
  <c r="K294" i="17" s="1"/>
  <c r="C294" i="17" s="1"/>
  <c r="L296" i="17"/>
  <c r="K296" i="17" s="1"/>
  <c r="C296" i="17" s="1"/>
  <c r="L302" i="17"/>
  <c r="K302" i="17" s="1"/>
  <c r="C302" i="17" s="1"/>
  <c r="L325" i="17"/>
  <c r="K325" i="17" s="1"/>
  <c r="C325" i="17" s="1"/>
  <c r="L329" i="17"/>
  <c r="K329" i="17" s="1"/>
  <c r="C329" i="17" s="1"/>
  <c r="L335" i="17"/>
  <c r="K335" i="17" s="1"/>
  <c r="C335" i="17" s="1"/>
  <c r="L346" i="17"/>
  <c r="K346" i="17" s="1"/>
  <c r="C346" i="17" s="1"/>
  <c r="L348" i="17"/>
  <c r="K348" i="17" s="1"/>
  <c r="C348" i="17" s="1"/>
  <c r="L352" i="17"/>
  <c r="K352" i="17" s="1"/>
  <c r="C352" i="17" s="1"/>
  <c r="XP282" i="17" a="1"/>
  <c r="XP282" i="17" s="1"/>
  <c r="XU282" i="17" s="1" a="1"/>
  <c r="XU282" i="17" s="1"/>
  <c r="XV282" i="17" s="1" a="1"/>
  <c r="XV282" i="17" s="1"/>
  <c r="YK282" i="17" s="1"/>
  <c r="E282" i="17" s="1"/>
  <c r="XX287" i="17" a="1"/>
  <c r="XX287" i="17" s="1"/>
  <c r="YH287" i="17" s="1" a="1"/>
  <c r="YH287" i="17" s="1"/>
  <c r="YI287" i="17" s="1" a="1"/>
  <c r="YI287" i="17" s="1"/>
  <c r="XX290" i="17" a="1"/>
  <c r="XX290" i="17" s="1"/>
  <c r="YH290" i="17" s="1" a="1"/>
  <c r="YH290" i="17" s="1"/>
  <c r="YI290" i="17" s="1" a="1"/>
  <c r="YI290" i="17" s="1"/>
  <c r="XP301" i="17" a="1"/>
  <c r="XP301" i="17" s="1"/>
  <c r="XU301" i="17" s="1" a="1"/>
  <c r="XU301" i="17" s="1"/>
  <c r="XX307" i="17" a="1"/>
  <c r="XX307" i="17" s="1"/>
  <c r="YH307" i="17" s="1" a="1"/>
  <c r="YH307" i="17" s="1"/>
  <c r="YI307" i="17" s="1" a="1"/>
  <c r="YI307" i="17" s="1"/>
  <c r="XP312" i="17" a="1"/>
  <c r="XP312" i="17" s="1"/>
  <c r="XU312" i="17" s="1" a="1"/>
  <c r="XU312" i="17" s="1"/>
  <c r="XV312" i="17" s="1" a="1"/>
  <c r="XV312" i="17" s="1"/>
  <c r="XJ315" i="17" a="1"/>
  <c r="XJ315" i="17" s="1"/>
  <c r="XM315" i="17" s="1" a="1"/>
  <c r="XM315" i="17" s="1"/>
  <c r="XN315" i="17" s="1" a="1"/>
  <c r="XN315" i="17" s="1"/>
  <c r="XP317" i="17" a="1"/>
  <c r="XP317" i="17" s="1"/>
  <c r="XU317" i="17" s="1" a="1"/>
  <c r="XU317" i="17" s="1"/>
  <c r="XV317" i="17" s="1" a="1"/>
  <c r="XV317" i="17" s="1"/>
  <c r="XJ320" i="17" a="1"/>
  <c r="XJ320" i="17" s="1"/>
  <c r="XM320" i="17" s="1" a="1"/>
  <c r="XM320" i="17" s="1"/>
  <c r="XN320" i="17" s="1" a="1"/>
  <c r="XN320" i="17" s="1"/>
  <c r="XJ326" i="17" a="1"/>
  <c r="XJ326" i="17" s="1"/>
  <c r="XM326" i="17" s="1" a="1"/>
  <c r="XM326" i="17" s="1"/>
  <c r="XN326" i="17" s="1" a="1"/>
  <c r="XN326" i="17" s="1"/>
  <c r="XX329" i="17" a="1"/>
  <c r="XX329" i="17" s="1"/>
  <c r="YH329" i="17" s="1" a="1"/>
  <c r="YH329" i="17" s="1"/>
  <c r="YI329" i="17" s="1" a="1"/>
  <c r="YI329" i="17" s="1"/>
  <c r="XX332" i="17" a="1"/>
  <c r="XX332" i="17" s="1"/>
  <c r="YH332" i="17" s="1" a="1"/>
  <c r="YH332" i="17" s="1"/>
  <c r="YI332" i="17" s="1" a="1"/>
  <c r="YI332" i="17" s="1"/>
  <c r="XX335" i="17" a="1"/>
  <c r="XX335" i="17" s="1"/>
  <c r="YH335" i="17" s="1" a="1"/>
  <c r="YH335" i="17" s="1"/>
  <c r="YI335" i="17" s="1" a="1"/>
  <c r="YI335" i="17" s="1"/>
  <c r="XJ339" i="17" a="1"/>
  <c r="XJ339" i="17" s="1"/>
  <c r="XM339" i="17" s="1" a="1"/>
  <c r="XM339" i="17" s="1"/>
  <c r="XN339" i="17" s="1" a="1"/>
  <c r="XN339" i="17" s="1"/>
  <c r="XX343" i="17" a="1"/>
  <c r="XX343" i="17" s="1"/>
  <c r="YH343" i="17" s="1" a="1"/>
  <c r="YH343" i="17" s="1"/>
  <c r="YI343" i="17" s="1" a="1"/>
  <c r="YI343" i="17" s="1"/>
  <c r="XX345" i="17" a="1"/>
  <c r="XX345" i="17" s="1"/>
  <c r="YH345" i="17" s="1" a="1"/>
  <c r="YH345" i="17" s="1"/>
  <c r="YI345" i="17" s="1" a="1"/>
  <c r="YI345" i="17" s="1"/>
  <c r="XP347" i="17" a="1"/>
  <c r="XP347" i="17" s="1"/>
  <c r="XU347" i="17" s="1" a="1"/>
  <c r="XU347" i="17" s="1"/>
  <c r="XJ351" i="17" a="1"/>
  <c r="XJ351" i="17" s="1"/>
  <c r="XM351" i="17" s="1" a="1"/>
  <c r="XM351" i="17" s="1"/>
  <c r="XN351" i="17" s="1" a="1"/>
  <c r="XN351" i="17" s="1"/>
  <c r="XJ291" i="17" a="1"/>
  <c r="XJ291" i="17" s="1"/>
  <c r="XM291" i="17" s="1" a="1"/>
  <c r="XM291" i="17" s="1"/>
  <c r="XN291" i="17" s="1" a="1"/>
  <c r="XN291" i="17" s="1"/>
  <c r="XX294" i="17" a="1"/>
  <c r="XX294" i="17" s="1"/>
  <c r="YH294" i="17" s="1" a="1"/>
  <c r="YH294" i="17" s="1"/>
  <c r="YI294" i="17" s="1" a="1"/>
  <c r="YI294" i="17" s="1"/>
  <c r="XJ298" i="17" a="1"/>
  <c r="XJ298" i="17" s="1"/>
  <c r="XM298" i="17" s="1" a="1"/>
  <c r="XM298" i="17" s="1"/>
  <c r="XN298" i="17" s="1" a="1"/>
  <c r="XN298" i="17" s="1"/>
  <c r="XX301" i="17" a="1"/>
  <c r="XX301" i="17" s="1"/>
  <c r="YH301" i="17" s="1" a="1"/>
  <c r="YH301" i="17" s="1"/>
  <c r="YI301" i="17" s="1" a="1"/>
  <c r="YI301" i="17" s="1"/>
  <c r="XJ304" i="17" a="1"/>
  <c r="XJ304" i="17" s="1"/>
  <c r="XM304" i="17" s="1" a="1"/>
  <c r="XM304" i="17" s="1"/>
  <c r="XN304" i="17" s="1" a="1"/>
  <c r="XN304" i="17" s="1"/>
  <c r="XX317" i="17" a="1"/>
  <c r="XX317" i="17" s="1"/>
  <c r="YH317" i="17" s="1" a="1"/>
  <c r="YH317" i="17" s="1"/>
  <c r="YI317" i="17" s="1" a="1"/>
  <c r="YI317" i="17" s="1"/>
  <c r="XP320" i="17" a="1"/>
  <c r="XP320" i="17" s="1"/>
  <c r="XU320" i="17" s="1" a="1"/>
  <c r="XU320" i="17" s="1"/>
  <c r="XV320" i="17" s="1" a="1"/>
  <c r="XV320" i="17" s="1"/>
  <c r="XP323" i="17" a="1"/>
  <c r="XP323" i="17" s="1"/>
  <c r="XU323" i="17" s="1" a="1"/>
  <c r="XU323" i="17" s="1"/>
  <c r="XP344" i="17" a="1"/>
  <c r="XP344" i="17" s="1"/>
  <c r="XU344" i="17" s="1" a="1"/>
  <c r="XU344" i="17" s="1"/>
  <c r="XV344" i="17" s="1" a="1"/>
  <c r="XV344" i="17" s="1"/>
  <c r="XX348" i="17" a="1"/>
  <c r="XX348" i="17" s="1"/>
  <c r="YH348" i="17" s="1" a="1"/>
  <c r="YH348" i="17" s="1"/>
  <c r="YI348" i="17" s="1" a="1"/>
  <c r="YI348" i="17" s="1"/>
  <c r="XX353" i="17" a="1"/>
  <c r="XX353" i="17" s="1"/>
  <c r="YH353" i="17" s="1" a="1"/>
  <c r="YH353" i="17" s="1"/>
  <c r="YI353" i="17" s="1" a="1"/>
  <c r="YI353" i="17" s="1"/>
  <c r="XP355" i="17" a="1"/>
  <c r="XP355" i="17" s="1"/>
  <c r="XU355" i="17" s="1" a="1"/>
  <c r="XU355" i="17" s="1"/>
  <c r="L290" i="17"/>
  <c r="K290" i="17" s="1"/>
  <c r="C290" i="17" s="1"/>
  <c r="L307" i="17"/>
  <c r="K307" i="17" s="1"/>
  <c r="C307" i="17" s="1"/>
  <c r="L317" i="17"/>
  <c r="K317" i="17" s="1"/>
  <c r="C317" i="17" s="1"/>
  <c r="L319" i="17"/>
  <c r="K319" i="17" s="1"/>
  <c r="C319" i="17" s="1"/>
  <c r="L342" i="17"/>
  <c r="K342" i="17" s="1"/>
  <c r="C342" i="17" s="1"/>
  <c r="L344" i="17"/>
  <c r="K344" i="17" s="1"/>
  <c r="C344" i="17" s="1"/>
  <c r="L355" i="17"/>
  <c r="K355" i="17" s="1"/>
  <c r="C355" i="17" s="1"/>
  <c r="XJ284" i="17" a="1"/>
  <c r="XJ284" i="17" s="1"/>
  <c r="XM284" i="17" s="1" a="1"/>
  <c r="XM284" i="17" s="1"/>
  <c r="XN284" i="17" s="1" a="1"/>
  <c r="XN284" i="17" s="1"/>
  <c r="XP291" i="17" a="1"/>
  <c r="XP291" i="17" s="1"/>
  <c r="XU291" i="17" s="1" a="1"/>
  <c r="XU291" i="17" s="1"/>
  <c r="XP298" i="17" a="1"/>
  <c r="XP298" i="17" s="1"/>
  <c r="XU298" i="17" s="1" a="1"/>
  <c r="XU298" i="17" s="1"/>
  <c r="XP302" i="17" a="1"/>
  <c r="XP302" i="17" s="1"/>
  <c r="XU302" i="17" s="1" a="1"/>
  <c r="XU302" i="17" s="1"/>
  <c r="XX304" i="17" a="1"/>
  <c r="XX304" i="17" s="1"/>
  <c r="YH304" i="17" s="1" a="1"/>
  <c r="YH304" i="17" s="1"/>
  <c r="YI304" i="17" s="1" a="1"/>
  <c r="YI304" i="17" s="1"/>
  <c r="XJ308" i="17" a="1"/>
  <c r="XJ308" i="17" s="1"/>
  <c r="XM308" i="17" s="1" a="1"/>
  <c r="XM308" i="17" s="1"/>
  <c r="XN308" i="17" s="1" a="1"/>
  <c r="XN308" i="17" s="1"/>
  <c r="XX320" i="17" a="1"/>
  <c r="XX320" i="17" s="1"/>
  <c r="YH320" i="17" s="1" a="1"/>
  <c r="YH320" i="17" s="1"/>
  <c r="YI320" i="17" s="1" a="1"/>
  <c r="YI320" i="17" s="1"/>
  <c r="XX323" i="17" a="1"/>
  <c r="XX323" i="17" s="1"/>
  <c r="YH323" i="17" s="1" a="1"/>
  <c r="YH323" i="17" s="1"/>
  <c r="YI323" i="17" s="1" a="1"/>
  <c r="YI323" i="17" s="1"/>
  <c r="XP326" i="17" a="1"/>
  <c r="XP326" i="17" s="1"/>
  <c r="XU326" i="17" s="1" a="1"/>
  <c r="XU326" i="17" s="1"/>
  <c r="XV326" i="17" s="1" a="1"/>
  <c r="XV326" i="17" s="1"/>
  <c r="XJ330" i="17" a="1"/>
  <c r="XJ330" i="17" s="1"/>
  <c r="XM330" i="17" s="1" a="1"/>
  <c r="XM330" i="17" s="1"/>
  <c r="XN330" i="17" s="1" a="1"/>
  <c r="XN330" i="17" s="1"/>
  <c r="XX342" i="17" a="1"/>
  <c r="XX342" i="17" s="1"/>
  <c r="YH342" i="17" s="1" a="1"/>
  <c r="YH342" i="17" s="1"/>
  <c r="YI342" i="17" s="1" a="1"/>
  <c r="YI342" i="17" s="1"/>
  <c r="XJ346" i="17" a="1"/>
  <c r="XJ346" i="17" s="1"/>
  <c r="XM346" i="17" s="1" a="1"/>
  <c r="XM346" i="17" s="1"/>
  <c r="XN346" i="17" s="1" a="1"/>
  <c r="XN346" i="17" s="1"/>
  <c r="XX347" i="17" a="1"/>
  <c r="XX347" i="17" s="1"/>
  <c r="YH347" i="17" s="1" a="1"/>
  <c r="YH347" i="17" s="1"/>
  <c r="YI347" i="17" s="1" a="1"/>
  <c r="YI347" i="17" s="1"/>
  <c r="XJ349" i="17" a="1"/>
  <c r="XJ349" i="17" s="1"/>
  <c r="XM349" i="17" s="1" a="1"/>
  <c r="XM349" i="17" s="1"/>
  <c r="XN349" i="17" s="1" a="1"/>
  <c r="XN349" i="17" s="1"/>
  <c r="XX349" i="17" a="1"/>
  <c r="XX349" i="17" s="1"/>
  <c r="YH349" i="17" s="1" a="1"/>
  <c r="YH349" i="17" s="1"/>
  <c r="YI349" i="17" s="1" a="1"/>
  <c r="YI349" i="17" s="1"/>
  <c r="XX355" i="17" a="1"/>
  <c r="XX355" i="17" s="1"/>
  <c r="YH355" i="17" s="1" a="1"/>
  <c r="YH355" i="17" s="1"/>
  <c r="YI355" i="17" s="1" a="1"/>
  <c r="YI355" i="17" s="1"/>
  <c r="XP357" i="17" a="1"/>
  <c r="XP357" i="17" s="1"/>
  <c r="XU357" i="17" s="1" a="1"/>
  <c r="XU357" i="17" s="1"/>
  <c r="XP359" i="17" a="1"/>
  <c r="XP359" i="17" s="1"/>
  <c r="XU359" i="17" s="1" a="1"/>
  <c r="XU359" i="17" s="1"/>
  <c r="L286" i="17"/>
  <c r="K286" i="17" s="1"/>
  <c r="C286" i="17" s="1"/>
  <c r="L288" i="17"/>
  <c r="K288" i="17" s="1"/>
  <c r="C288" i="17" s="1"/>
  <c r="L299" i="17"/>
  <c r="K299" i="17" s="1"/>
  <c r="C299" i="17" s="1"/>
  <c r="L309" i="17"/>
  <c r="K309" i="17" s="1"/>
  <c r="C309" i="17" s="1"/>
  <c r="L313" i="17"/>
  <c r="K313" i="17" s="1"/>
  <c r="C313" i="17" s="1"/>
  <c r="L330" i="17"/>
  <c r="K330" i="17" s="1"/>
  <c r="C330" i="17" s="1"/>
  <c r="L334" i="17"/>
  <c r="K334" i="17" s="1"/>
  <c r="C334" i="17" s="1"/>
  <c r="L336" i="17"/>
  <c r="K336" i="17" s="1"/>
  <c r="C336" i="17" s="1"/>
  <c r="L347" i="17"/>
  <c r="K347" i="17" s="1"/>
  <c r="C347" i="17" s="1"/>
  <c r="L357" i="17"/>
  <c r="K357" i="17" s="1"/>
  <c r="C357" i="17" s="1"/>
  <c r="XX298" i="17" a="1"/>
  <c r="XX298" i="17" s="1"/>
  <c r="YH298" i="17" s="1" a="1"/>
  <c r="YH298" i="17" s="1"/>
  <c r="YI298" i="17" s="1" a="1"/>
  <c r="YI298" i="17" s="1"/>
  <c r="XJ305" i="17" a="1"/>
  <c r="XJ305" i="17" s="1"/>
  <c r="XM305" i="17" s="1" a="1"/>
  <c r="XM305" i="17" s="1"/>
  <c r="XN305" i="17" s="1" a="1"/>
  <c r="XN305" i="17" s="1"/>
  <c r="XJ313" i="17" a="1"/>
  <c r="XJ313" i="17" s="1"/>
  <c r="XM313" i="17" s="1" a="1"/>
  <c r="XM313" i="17" s="1"/>
  <c r="XN313" i="17" s="1" a="1"/>
  <c r="XN313" i="17" s="1"/>
  <c r="XX315" i="17" a="1"/>
  <c r="XX315" i="17" s="1"/>
  <c r="YH315" i="17" s="1" a="1"/>
  <c r="YH315" i="17" s="1"/>
  <c r="YI315" i="17" s="1" a="1"/>
  <c r="YI315" i="17" s="1"/>
  <c r="XJ321" i="17" a="1"/>
  <c r="XJ321" i="17" s="1"/>
  <c r="XM321" i="17" s="1" a="1"/>
  <c r="XM321" i="17" s="1"/>
  <c r="XN321" i="17" s="1" a="1"/>
  <c r="XN321" i="17" s="1"/>
  <c r="XX326" i="17" a="1"/>
  <c r="XX326" i="17" s="1"/>
  <c r="YH326" i="17" s="1" a="1"/>
  <c r="YH326" i="17" s="1"/>
  <c r="YI326" i="17" s="1" a="1"/>
  <c r="YI326" i="17" s="1"/>
  <c r="XP336" i="17" a="1"/>
  <c r="XP336" i="17" s="1"/>
  <c r="XU336" i="17" s="1" a="1"/>
  <c r="XU336" i="17" s="1"/>
  <c r="XV336" i="17" s="1" a="1"/>
  <c r="XV336" i="17" s="1"/>
  <c r="XX339" i="17" a="1"/>
  <c r="XX339" i="17" s="1"/>
  <c r="YH339" i="17" s="1" a="1"/>
  <c r="YH339" i="17" s="1"/>
  <c r="YI339" i="17" s="1" a="1"/>
  <c r="YI339" i="17" s="1"/>
  <c r="XX344" i="17" a="1"/>
  <c r="XX344" i="17" s="1"/>
  <c r="YH344" i="17" s="1" a="1"/>
  <c r="YH344" i="17" s="1"/>
  <c r="YI344" i="17" s="1" a="1"/>
  <c r="YI344" i="17" s="1"/>
  <c r="XP346" i="17" a="1"/>
  <c r="XP346" i="17" s="1"/>
  <c r="XU346" i="17" s="1" a="1"/>
  <c r="XU346" i="17" s="1"/>
  <c r="XV346" i="17" s="1" a="1"/>
  <c r="XV346" i="17" s="1"/>
  <c r="YK346" i="17" s="1"/>
  <c r="E346" i="17" s="1"/>
  <c r="XJ350" i="17" a="1"/>
  <c r="XJ350" i="17" s="1"/>
  <c r="XM350" i="17" s="1" a="1"/>
  <c r="XM350" i="17" s="1"/>
  <c r="XN350" i="17" s="1" a="1"/>
  <c r="XN350" i="17" s="1"/>
  <c r="XX351" i="17" a="1"/>
  <c r="XX351" i="17" s="1"/>
  <c r="YH351" i="17" s="1" a="1"/>
  <c r="YH351" i="17" s="1"/>
  <c r="YI351" i="17" s="1" a="1"/>
  <c r="YI351" i="17" s="1"/>
  <c r="XJ354" i="17" a="1"/>
  <c r="XJ354" i="17" s="1"/>
  <c r="XM354" i="17" s="1" a="1"/>
  <c r="XM354" i="17" s="1"/>
  <c r="XN354" i="17" s="1" a="1"/>
  <c r="XN354" i="17" s="1"/>
  <c r="L284" i="17"/>
  <c r="K284" i="17" s="1"/>
  <c r="C284" i="17" s="1"/>
  <c r="XJ289" i="17" a="1"/>
  <c r="XJ289" i="17" s="1"/>
  <c r="XM289" i="17" s="1" a="1"/>
  <c r="XM289" i="17" s="1"/>
  <c r="XN289" i="17" s="1" a="1"/>
  <c r="XN289" i="17" s="1"/>
  <c r="XP292" i="17" a="1"/>
  <c r="XP292" i="17" s="1"/>
  <c r="XU292" i="17" s="1" a="1"/>
  <c r="XU292" i="17" s="1"/>
  <c r="XV292" i="17" s="1" a="1"/>
  <c r="XV292" i="17" s="1"/>
  <c r="XJ306" i="17" a="1"/>
  <c r="XJ306" i="17" s="1"/>
  <c r="XM306" i="17" s="1" a="1"/>
  <c r="XM306" i="17" s="1"/>
  <c r="XN306" i="17" s="1" a="1"/>
  <c r="XN306" i="17" s="1"/>
  <c r="XX313" i="17" a="1"/>
  <c r="XX313" i="17" s="1"/>
  <c r="YH313" i="17" s="1" a="1"/>
  <c r="YH313" i="17" s="1"/>
  <c r="YI313" i="17" s="1" a="1"/>
  <c r="YI313" i="17" s="1"/>
  <c r="XJ316" i="17" a="1"/>
  <c r="XJ316" i="17" s="1"/>
  <c r="XM316" i="17" s="1" a="1"/>
  <c r="XM316" i="17" s="1"/>
  <c r="XN316" i="17" s="1" a="1"/>
  <c r="XN316" i="17" s="1"/>
  <c r="XJ319" i="17" a="1"/>
  <c r="XJ319" i="17" s="1"/>
  <c r="XM319" i="17" s="1" a="1"/>
  <c r="XM319" i="17" s="1"/>
  <c r="XN319" i="17" s="1" a="1"/>
  <c r="XN319" i="17" s="1"/>
  <c r="XX327" i="17" a="1"/>
  <c r="XX327" i="17" s="1"/>
  <c r="YH327" i="17" s="1" a="1"/>
  <c r="YH327" i="17" s="1"/>
  <c r="YI327" i="17" s="1" a="1"/>
  <c r="YI327" i="17" s="1"/>
  <c r="XJ331" i="17" a="1"/>
  <c r="XJ331" i="17" s="1"/>
  <c r="XM331" i="17" s="1" a="1"/>
  <c r="XM331" i="17" s="1"/>
  <c r="XN331" i="17" s="1" a="1"/>
  <c r="XN331" i="17" s="1"/>
  <c r="XJ334" i="17" a="1"/>
  <c r="XJ334" i="17" s="1"/>
  <c r="XM334" i="17" s="1" a="1"/>
  <c r="XM334" i="17" s="1"/>
  <c r="XN334" i="17" s="1" a="1"/>
  <c r="XN334" i="17" s="1"/>
  <c r="XX346" i="17" a="1"/>
  <c r="XX346" i="17" s="1"/>
  <c r="YH346" i="17" s="1" a="1"/>
  <c r="YH346" i="17" s="1"/>
  <c r="YI346" i="17" s="1" a="1"/>
  <c r="YI346" i="17" s="1"/>
  <c r="XJ352" i="17" a="1"/>
  <c r="XJ352" i="17" s="1"/>
  <c r="XM352" i="17" s="1" a="1"/>
  <c r="XM352" i="17" s="1"/>
  <c r="XN352" i="17" s="1" a="1"/>
  <c r="XN352" i="17" s="1"/>
  <c r="XX357" i="17" a="1"/>
  <c r="XX357" i="17" s="1"/>
  <c r="YH357" i="17" s="1" a="1"/>
  <c r="YH357" i="17" s="1"/>
  <c r="YI357" i="17" s="1" a="1"/>
  <c r="YI357" i="17" s="1"/>
  <c r="XX359" i="17" a="1"/>
  <c r="XX359" i="17" s="1"/>
  <c r="YH359" i="17" s="1" a="1"/>
  <c r="YH359" i="17" s="1"/>
  <c r="YI359" i="17" s="1" a="1"/>
  <c r="YI359" i="17" s="1"/>
  <c r="L282" i="17"/>
  <c r="K282" i="17" s="1"/>
  <c r="C282" i="17" s="1"/>
  <c r="L291" i="17"/>
  <c r="K291" i="17" s="1"/>
  <c r="C291" i="17" s="1"/>
  <c r="L293" i="17"/>
  <c r="K293" i="17" s="1"/>
  <c r="C293" i="17" s="1"/>
  <c r="L303" i="17"/>
  <c r="K303" i="17" s="1"/>
  <c r="C303" i="17" s="1"/>
  <c r="L314" i="17"/>
  <c r="K314" i="17" s="1"/>
  <c r="C314" i="17" s="1"/>
  <c r="L316" i="17"/>
  <c r="K316" i="17" s="1"/>
  <c r="C316" i="17" s="1"/>
  <c r="L326" i="17"/>
  <c r="K326" i="17" s="1"/>
  <c r="C326" i="17" s="1"/>
  <c r="L339" i="17"/>
  <c r="K339" i="17" s="1"/>
  <c r="C339" i="17" s="1"/>
  <c r="L345" i="17"/>
  <c r="K345" i="17" s="1"/>
  <c r="C345" i="17" s="1"/>
  <c r="L351" i="17"/>
  <c r="K351" i="17" s="1"/>
  <c r="C351" i="17" s="1"/>
  <c r="XJ286" i="17" a="1"/>
  <c r="XJ286" i="17" s="1"/>
  <c r="XM286" i="17" s="1" a="1"/>
  <c r="XM286" i="17" s="1"/>
  <c r="XN286" i="17" s="1" a="1"/>
  <c r="XN286" i="17" s="1"/>
  <c r="XP289" i="17" a="1"/>
  <c r="XP289" i="17" s="1"/>
  <c r="XU289" i="17" s="1" a="1"/>
  <c r="XU289" i="17" s="1"/>
  <c r="XV289" i="17" s="1" a="1"/>
  <c r="XV289" i="17" s="1"/>
  <c r="XX292" i="17" a="1"/>
  <c r="XX292" i="17" s="1"/>
  <c r="YH292" i="17" s="1" a="1"/>
  <c r="YH292" i="17" s="1"/>
  <c r="YI292" i="17" s="1" a="1"/>
  <c r="YI292" i="17" s="1"/>
  <c r="XJ296" i="17" a="1"/>
  <c r="XJ296" i="17" s="1"/>
  <c r="XM296" i="17" s="1" a="1"/>
  <c r="XM296" i="17" s="1"/>
  <c r="XN296" i="17" s="1" a="1"/>
  <c r="XN296" i="17" s="1"/>
  <c r="XX299" i="17" a="1"/>
  <c r="XX299" i="17" s="1"/>
  <c r="YH299" i="17" s="1" a="1"/>
  <c r="YH299" i="17" s="1"/>
  <c r="YI299" i="17" s="1" a="1"/>
  <c r="YI299" i="17" s="1"/>
  <c r="XJ303" i="17" a="1"/>
  <c r="XJ303" i="17" s="1"/>
  <c r="XM303" i="17" s="1" a="1"/>
  <c r="XM303" i="17" s="1"/>
  <c r="XN303" i="17" s="1" a="1"/>
  <c r="XN303" i="17" s="1"/>
  <c r="XJ309" i="17" a="1"/>
  <c r="XJ309" i="17" s="1"/>
  <c r="XM309" i="17" s="1" a="1"/>
  <c r="XM309" i="17" s="1"/>
  <c r="XN309" i="17" s="1" a="1"/>
  <c r="XN309" i="17" s="1"/>
  <c r="XX324" i="17" a="1"/>
  <c r="XX324" i="17" s="1"/>
  <c r="YH324" i="17" s="1" a="1"/>
  <c r="YH324" i="17" s="1"/>
  <c r="YI324" i="17" s="1" a="1"/>
  <c r="YI324" i="17" s="1"/>
  <c r="XP331" i="17" a="1"/>
  <c r="XP331" i="17" s="1"/>
  <c r="XU331" i="17" s="1" a="1"/>
  <c r="XU331" i="17" s="1"/>
  <c r="XV331" i="17" s="1" a="1"/>
  <c r="XV331" i="17" s="1"/>
  <c r="XX337" i="17" a="1"/>
  <c r="XX337" i="17" s="1"/>
  <c r="YH337" i="17" s="1" a="1"/>
  <c r="YH337" i="17" s="1"/>
  <c r="YI337" i="17" s="1" a="1"/>
  <c r="YI337" i="17" s="1"/>
  <c r="XJ343" i="17" a="1"/>
  <c r="XJ343" i="17" s="1"/>
  <c r="XM343" i="17" s="1" a="1"/>
  <c r="XM343" i="17" s="1"/>
  <c r="XN343" i="17" s="1" a="1"/>
  <c r="XN343" i="17" s="1"/>
  <c r="XJ345" i="17" a="1"/>
  <c r="XJ345" i="17" s="1"/>
  <c r="XM345" i="17" s="1" a="1"/>
  <c r="XM345" i="17" s="1"/>
  <c r="XN345" i="17" s="1" a="1"/>
  <c r="XN345" i="17" s="1"/>
  <c r="XP350" i="17" a="1"/>
  <c r="XP350" i="17" s="1"/>
  <c r="XU350" i="17" s="1" a="1"/>
  <c r="XU350" i="17" s="1"/>
  <c r="XV350" i="17" s="1" a="1"/>
  <c r="XV350" i="17" s="1"/>
  <c r="XP352" i="17" a="1"/>
  <c r="XP352" i="17" s="1"/>
  <c r="XU352" i="17" s="1" a="1"/>
  <c r="XU352" i="17" s="1"/>
  <c r="XP354" i="17" a="1"/>
  <c r="XP354" i="17" s="1"/>
  <c r="XU354" i="17" s="1" a="1"/>
  <c r="XU354" i="17" s="1"/>
  <c r="XJ356" i="17" a="1"/>
  <c r="XJ356" i="17" s="1"/>
  <c r="XM356" i="17" s="1" a="1"/>
  <c r="XM356" i="17" s="1"/>
  <c r="XN356" i="17" s="1" a="1"/>
  <c r="XN356" i="17" s="1"/>
  <c r="L287" i="17"/>
  <c r="K287" i="17" s="1"/>
  <c r="C287" i="17" s="1"/>
  <c r="L318" i="17"/>
  <c r="K318" i="17" s="1"/>
  <c r="C318" i="17" s="1"/>
  <c r="L320" i="17"/>
  <c r="K320" i="17" s="1"/>
  <c r="C320" i="17" s="1"/>
  <c r="L331" i="17"/>
  <c r="K331" i="17" s="1"/>
  <c r="C331" i="17" s="1"/>
  <c r="L343" i="17"/>
  <c r="K343" i="17" s="1"/>
  <c r="C343" i="17" s="1"/>
  <c r="L356" i="17"/>
  <c r="K356" i="17" s="1"/>
  <c r="C356" i="17" s="1"/>
  <c r="XP328" i="17" a="1"/>
  <c r="XP328" i="17" s="1"/>
  <c r="XU328" i="17" s="1" a="1"/>
  <c r="XU328" i="17" s="1"/>
  <c r="XV328" i="17" s="1" a="1"/>
  <c r="XV328" i="17" s="1"/>
  <c r="YK328" i="17" s="1"/>
  <c r="E328" i="17" s="1"/>
  <c r="XJ347" i="17" a="1"/>
  <c r="XJ347" i="17" s="1"/>
  <c r="XM347" i="17" s="1" a="1"/>
  <c r="XM347" i="17" s="1"/>
  <c r="XN347" i="17" s="1" a="1"/>
  <c r="XN347" i="17" s="1"/>
  <c r="L285" i="17"/>
  <c r="K285" i="17" s="1"/>
  <c r="C285" i="17" s="1"/>
  <c r="L315" i="17"/>
  <c r="K315" i="17" s="1"/>
  <c r="C315" i="17" s="1"/>
  <c r="L337" i="17"/>
  <c r="K337" i="17" s="1"/>
  <c r="C337" i="17" s="1"/>
  <c r="XX331" i="17" a="1"/>
  <c r="XX331" i="17" s="1"/>
  <c r="YH331" i="17" s="1" a="1"/>
  <c r="YH331" i="17" s="1"/>
  <c r="YI331" i="17" s="1" a="1"/>
  <c r="YI331" i="17" s="1"/>
  <c r="XP348" i="17" a="1"/>
  <c r="XP348" i="17" s="1"/>
  <c r="XU348" i="17" s="1" a="1"/>
  <c r="XU348" i="17" s="1"/>
  <c r="XV348" i="17" s="1" a="1"/>
  <c r="XV348" i="17" s="1"/>
  <c r="YK348" i="17" s="1"/>
  <c r="E348" i="17" s="1"/>
  <c r="XJ357" i="17" a="1"/>
  <c r="XJ357" i="17" s="1"/>
  <c r="XM357" i="17" s="1" a="1"/>
  <c r="XM357" i="17" s="1"/>
  <c r="XN357" i="17" s="1" a="1"/>
  <c r="XN357" i="17" s="1"/>
  <c r="L304" i="17"/>
  <c r="K304" i="17" s="1"/>
  <c r="C304" i="17" s="1"/>
  <c r="L310" i="17"/>
  <c r="K310" i="17" s="1"/>
  <c r="C310" i="17" s="1"/>
  <c r="L321" i="17"/>
  <c r="K321" i="17" s="1"/>
  <c r="C321" i="17" s="1"/>
  <c r="L338" i="17"/>
  <c r="K338" i="17" s="1"/>
  <c r="C338" i="17" s="1"/>
  <c r="L349" i="17"/>
  <c r="K349" i="17" s="1"/>
  <c r="C349" i="17" s="1"/>
  <c r="XP286" i="17" a="1"/>
  <c r="XP286" i="17" s="1"/>
  <c r="XU286" i="17" s="1" a="1"/>
  <c r="XU286" i="17" s="1"/>
  <c r="XV286" i="17" s="1" a="1"/>
  <c r="XV286" i="17" s="1"/>
  <c r="YK286" i="17" s="1"/>
  <c r="E286" i="17" s="1"/>
  <c r="XX311" i="17" a="1"/>
  <c r="XX311" i="17" s="1"/>
  <c r="YH311" i="17" s="1" a="1"/>
  <c r="YH311" i="17" s="1"/>
  <c r="YI311" i="17" s="1" a="1"/>
  <c r="YI311" i="17" s="1"/>
  <c r="XX334" i="17" a="1"/>
  <c r="XX334" i="17" s="1"/>
  <c r="YH334" i="17" s="1" a="1"/>
  <c r="YH334" i="17" s="1"/>
  <c r="YI334" i="17" s="1" a="1"/>
  <c r="YI334" i="17" s="1"/>
  <c r="XP349" i="17" a="1"/>
  <c r="XP349" i="17" s="1"/>
  <c r="XU349" i="17" s="1" a="1"/>
  <c r="XU349" i="17" s="1"/>
  <c r="XJ358" i="17" a="1"/>
  <c r="XJ358" i="17" s="1"/>
  <c r="XM358" i="17" s="1" a="1"/>
  <c r="XM358" i="17" s="1"/>
  <c r="XN358" i="17" s="1" a="1"/>
  <c r="XN358" i="17" s="1"/>
  <c r="L300" i="17"/>
  <c r="K300" i="17" s="1"/>
  <c r="C300" i="17" s="1"/>
  <c r="L305" i="17"/>
  <c r="K305" i="17" s="1"/>
  <c r="C305" i="17" s="1"/>
  <c r="L322" i="17"/>
  <c r="K322" i="17" s="1"/>
  <c r="C322" i="17" s="1"/>
  <c r="L327" i="17"/>
  <c r="K327" i="17" s="1"/>
  <c r="C327" i="17" s="1"/>
  <c r="L333" i="17"/>
  <c r="K333" i="17" s="1"/>
  <c r="C333" i="17" s="1"/>
  <c r="XX289" i="17" a="1"/>
  <c r="XX289" i="17" s="1"/>
  <c r="YH289" i="17" s="1" a="1"/>
  <c r="YH289" i="17" s="1"/>
  <c r="YI289" i="17" s="1" a="1"/>
  <c r="YI289" i="17" s="1"/>
  <c r="XJ338" i="17" a="1"/>
  <c r="XJ338" i="17" s="1"/>
  <c r="XM338" i="17" s="1" a="1"/>
  <c r="XM338" i="17" s="1"/>
  <c r="XN338" i="17" s="1" a="1"/>
  <c r="XN338" i="17" s="1"/>
  <c r="XJ359" i="17" a="1"/>
  <c r="XJ359" i="17" s="1"/>
  <c r="XM359" i="17" s="1" a="1"/>
  <c r="XM359" i="17" s="1"/>
  <c r="XN359" i="17" s="1" a="1"/>
  <c r="XN359" i="17" s="1"/>
  <c r="L295" i="17"/>
  <c r="K295" i="17" s="1"/>
  <c r="C295" i="17" s="1"/>
  <c r="L306" i="17"/>
  <c r="K306" i="17" s="1"/>
  <c r="C306" i="17" s="1"/>
  <c r="L311" i="17"/>
  <c r="K311" i="17" s="1"/>
  <c r="C311" i="17" s="1"/>
  <c r="XJ293" i="17" a="1"/>
  <c r="XJ293" i="17" s="1"/>
  <c r="XM293" i="17" s="1" a="1"/>
  <c r="XM293" i="17" s="1"/>
  <c r="XN293" i="17" s="1" a="1"/>
  <c r="XN293" i="17" s="1"/>
  <c r="XX316" i="17" a="1"/>
  <c r="XX316" i="17" s="1"/>
  <c r="YH316" i="17" s="1" a="1"/>
  <c r="YH316" i="17" s="1"/>
  <c r="YI316" i="17" s="1" a="1"/>
  <c r="YI316" i="17" s="1"/>
  <c r="XX340" i="17" a="1"/>
  <c r="XX340" i="17" s="1"/>
  <c r="YH340" i="17" s="1" a="1"/>
  <c r="YH340" i="17" s="1"/>
  <c r="YI340" i="17" s="1" a="1"/>
  <c r="YI340" i="17" s="1"/>
  <c r="XX352" i="17" a="1"/>
  <c r="XX352" i="17" s="1"/>
  <c r="YH352" i="17" s="1" a="1"/>
  <c r="YH352" i="17" s="1"/>
  <c r="YI352" i="17" s="1" a="1"/>
  <c r="YI352" i="17" s="1"/>
  <c r="L289" i="17"/>
  <c r="K289" i="17" s="1"/>
  <c r="C289" i="17" s="1"/>
  <c r="L312" i="17"/>
  <c r="K312" i="17" s="1"/>
  <c r="C312" i="17" s="1"/>
  <c r="L340" i="17"/>
  <c r="K340" i="17" s="1"/>
  <c r="C340" i="17" s="1"/>
  <c r="XX296" i="17" a="1"/>
  <c r="XX296" i="17" s="1"/>
  <c r="YH296" i="17" s="1" a="1"/>
  <c r="YH296" i="17" s="1"/>
  <c r="YI296" i="17" s="1" a="1"/>
  <c r="YI296" i="17" s="1"/>
  <c r="XX341" i="17" a="1"/>
  <c r="XX341" i="17" s="1"/>
  <c r="YH341" i="17" s="1" a="1"/>
  <c r="YH341" i="17" s="1"/>
  <c r="YI341" i="17" s="1" a="1"/>
  <c r="YI341" i="17" s="1"/>
  <c r="XP353" i="17" a="1"/>
  <c r="XP353" i="17" s="1"/>
  <c r="XU353" i="17" s="1" a="1"/>
  <c r="XU353" i="17" s="1"/>
  <c r="XV353" i="17" s="1" a="1"/>
  <c r="XV353" i="17" s="1"/>
  <c r="L324" i="17"/>
  <c r="K324" i="17" s="1"/>
  <c r="C324" i="17" s="1"/>
  <c r="XP345" i="17" a="1"/>
  <c r="XP345" i="17" s="1"/>
  <c r="XU345" i="17" s="1" a="1"/>
  <c r="XU345" i="17" s="1"/>
  <c r="XJ355" i="17" a="1"/>
  <c r="XJ355" i="17" s="1"/>
  <c r="XM355" i="17" s="1" a="1"/>
  <c r="XM355" i="17" s="1"/>
  <c r="XN355" i="17" s="1" a="1"/>
  <c r="XN355" i="17" s="1"/>
  <c r="L298" i="17"/>
  <c r="K298" i="17" s="1"/>
  <c r="C298" i="17" s="1"/>
  <c r="L353" i="17"/>
  <c r="K353" i="17" s="1"/>
  <c r="C353" i="17" s="1"/>
  <c r="XJ322" i="17" a="1"/>
  <c r="XJ322" i="17" s="1"/>
  <c r="XM322" i="17" s="1" a="1"/>
  <c r="XM322" i="17" s="1"/>
  <c r="XN322" i="17" s="1" a="1"/>
  <c r="XN322" i="17" s="1"/>
  <c r="XX354" i="17" a="1"/>
  <c r="XX354" i="17" s="1"/>
  <c r="YH354" i="17" s="1" a="1"/>
  <c r="YH354" i="17" s="1"/>
  <c r="YI354" i="17" s="1" a="1"/>
  <c r="YI354" i="17" s="1"/>
  <c r="L283" i="17"/>
  <c r="K283" i="17" s="1"/>
  <c r="C283" i="17" s="1"/>
  <c r="L297" i="17"/>
  <c r="K297" i="17" s="1"/>
  <c r="C297" i="17" s="1"/>
  <c r="L308" i="17"/>
  <c r="K308" i="17" s="1"/>
  <c r="C308" i="17" s="1"/>
  <c r="L358" i="17"/>
  <c r="K358" i="17" s="1"/>
  <c r="C358" i="17" s="1"/>
  <c r="L292" i="17"/>
  <c r="K292" i="17" s="1"/>
  <c r="C292" i="17" s="1"/>
  <c r="M5" i="17"/>
  <c r="XJ280" i="17" a="1"/>
  <c r="XJ280" i="17" s="1"/>
  <c r="XM280" i="17" s="1" a="1"/>
  <c r="XM280" i="17" s="1"/>
  <c r="XN280" i="17" s="1" a="1"/>
  <c r="XN280" i="17" s="1"/>
  <c r="XX271" i="17" a="1"/>
  <c r="XX271" i="17" s="1"/>
  <c r="YH271" i="17" s="1" a="1"/>
  <c r="YH271" i="17" s="1"/>
  <c r="YI271" i="17" s="1" a="1"/>
  <c r="YI271" i="17" s="1"/>
  <c r="XP265" i="17" a="1"/>
  <c r="XP265" i="17" s="1"/>
  <c r="XU265" i="17" s="1" a="1"/>
  <c r="XU265" i="17" s="1"/>
  <c r="XJ261" i="17" a="1"/>
  <c r="XJ261" i="17" s="1"/>
  <c r="XM261" i="17" s="1" a="1"/>
  <c r="XM261" i="17" s="1"/>
  <c r="XN261" i="17" s="1" a="1"/>
  <c r="XN261" i="17" s="1"/>
  <c r="XJ267" i="17" a="1"/>
  <c r="XJ267" i="17" s="1"/>
  <c r="XM267" i="17" s="1" a="1"/>
  <c r="XM267" i="17" s="1"/>
  <c r="XN267" i="17" s="1" a="1"/>
  <c r="XN267" i="17" s="1"/>
  <c r="XV267" i="17" s="1" a="1"/>
  <c r="XV267" i="17" s="1"/>
  <c r="XX261" i="17" a="1"/>
  <c r="XX261" i="17" s="1"/>
  <c r="YH261" i="17" s="1" a="1"/>
  <c r="YH261" i="17" s="1"/>
  <c r="YI261" i="17" s="1" a="1"/>
  <c r="YI261" i="17" s="1"/>
  <c r="XX279" i="17" a="1"/>
  <c r="XX279" i="17" s="1"/>
  <c r="YH279" i="17" s="1" a="1"/>
  <c r="YH279" i="17" s="1"/>
  <c r="YI279" i="17" s="1" a="1"/>
  <c r="YI279" i="17" s="1"/>
  <c r="XX273" i="17" a="1"/>
  <c r="XX273" i="17" s="1"/>
  <c r="YH273" i="17" s="1" a="1"/>
  <c r="YH273" i="17" s="1"/>
  <c r="YI273" i="17" s="1" a="1"/>
  <c r="YI273" i="17" s="1"/>
  <c r="XJ268" i="17" a="1"/>
  <c r="XJ268" i="17" s="1"/>
  <c r="XM268" i="17" s="1" a="1"/>
  <c r="XM268" i="17" s="1"/>
  <c r="XN268" i="17" s="1" a="1"/>
  <c r="XN268" i="17" s="1"/>
  <c r="L278" i="17"/>
  <c r="K278" i="17" s="1"/>
  <c r="C278" i="17" s="1"/>
  <c r="L271" i="17"/>
  <c r="K271" i="17" s="1"/>
  <c r="C271" i="17" s="1"/>
  <c r="XX264" i="17" a="1"/>
  <c r="XX264" i="17" s="1"/>
  <c r="YH264" i="17" s="1" a="1"/>
  <c r="YH264" i="17" s="1"/>
  <c r="YI264" i="17" s="1" a="1"/>
  <c r="YI264" i="17" s="1"/>
  <c r="L270" i="17"/>
  <c r="K270" i="17" s="1"/>
  <c r="C270" i="17" s="1"/>
  <c r="XJ269" i="17" a="1"/>
  <c r="XJ269" i="17" s="1"/>
  <c r="XM269" i="17" s="1" a="1"/>
  <c r="XM269" i="17" s="1"/>
  <c r="XN269" i="17" s="1" a="1"/>
  <c r="XN269" i="17" s="1"/>
  <c r="XX267" i="17" a="1"/>
  <c r="XX267" i="17" s="1"/>
  <c r="YH267" i="17" s="1" a="1"/>
  <c r="YH267" i="17" s="1"/>
  <c r="YI267" i="17" s="1" a="1"/>
  <c r="YI267" i="17" s="1"/>
  <c r="XJ263" i="17" a="1"/>
  <c r="XJ263" i="17" s="1"/>
  <c r="XM263" i="17" s="1" a="1"/>
  <c r="XM263" i="17" s="1"/>
  <c r="XN263" i="17" s="1" a="1"/>
  <c r="XN263" i="17" s="1"/>
  <c r="XP270" i="17" a="1"/>
  <c r="XP270" i="17" s="1"/>
  <c r="XU270" i="17" s="1" a="1"/>
  <c r="XU270" i="17" s="1"/>
  <c r="L265" i="17"/>
  <c r="K265" i="17" s="1"/>
  <c r="C265" i="17" s="1"/>
  <c r="L263" i="17"/>
  <c r="K263" i="17" s="1"/>
  <c r="C263" i="17" s="1"/>
  <c r="XX266" i="17" a="1"/>
  <c r="XX266" i="17" s="1"/>
  <c r="YH266" i="17" s="1" a="1"/>
  <c r="YH266" i="17" s="1"/>
  <c r="YI266" i="17" s="1" a="1"/>
  <c r="YI266" i="17" s="1"/>
  <c r="L261" i="17"/>
  <c r="K261" i="17" s="1"/>
  <c r="C261" i="17" s="1"/>
  <c r="XX268" i="17" a="1"/>
  <c r="XX268" i="17" s="1"/>
  <c r="YH268" i="17" s="1" a="1"/>
  <c r="YH268" i="17" s="1"/>
  <c r="YI268" i="17" s="1" a="1"/>
  <c r="YI268" i="17" s="1"/>
  <c r="YK268" i="17" s="1"/>
  <c r="E268" i="17" s="1"/>
  <c r="XX269" i="17" a="1"/>
  <c r="XX269" i="17" s="1"/>
  <c r="YH269" i="17" s="1" a="1"/>
  <c r="YH269" i="17" s="1"/>
  <c r="YI269" i="17" s="1" a="1"/>
  <c r="YI269" i="17" s="1"/>
  <c r="XJ277" i="17" a="1"/>
  <c r="XJ277" i="17" s="1"/>
  <c r="XM277" i="17" s="1" a="1"/>
  <c r="XM277" i="17" s="1"/>
  <c r="XN277" i="17" s="1" a="1"/>
  <c r="XN277" i="17" s="1"/>
  <c r="XP263" i="17" a="1"/>
  <c r="XP263" i="17" s="1"/>
  <c r="XU263" i="17" s="1" a="1"/>
  <c r="XU263" i="17" s="1"/>
  <c r="XP279" i="17" a="1"/>
  <c r="XP279" i="17" s="1"/>
  <c r="XU279" i="17" s="1" a="1"/>
  <c r="XU279" i="17" s="1"/>
  <c r="L262" i="17"/>
  <c r="K262" i="17" s="1"/>
  <c r="C262" i="17" s="1"/>
  <c r="XX260" i="17" a="1"/>
  <c r="XX260" i="17" s="1"/>
  <c r="YH260" i="17" s="1" a="1"/>
  <c r="YH260" i="17" s="1"/>
  <c r="YI260" i="17" s="1" a="1"/>
  <c r="YI260" i="17" s="1"/>
  <c r="XX265" i="17" a="1"/>
  <c r="XX265" i="17" s="1"/>
  <c r="YH265" i="17" s="1" a="1"/>
  <c r="YH265" i="17" s="1"/>
  <c r="YI265" i="17" s="1" a="1"/>
  <c r="YI265" i="17" s="1"/>
  <c r="L260" i="17"/>
  <c r="K260" i="17" s="1"/>
  <c r="C260" i="17" s="1"/>
  <c r="XJ271" i="17" a="1"/>
  <c r="XJ271" i="17" s="1"/>
  <c r="XM271" i="17" s="1" a="1"/>
  <c r="XM271" i="17" s="1"/>
  <c r="XN271" i="17" s="1" a="1"/>
  <c r="XN271" i="17" s="1"/>
  <c r="L280" i="17"/>
  <c r="K280" i="17" s="1"/>
  <c r="C280" i="17" s="1"/>
  <c r="XP275" i="17" a="1"/>
  <c r="XP275" i="17" s="1"/>
  <c r="XU275" i="17" s="1" a="1"/>
  <c r="XU275" i="17" s="1"/>
  <c r="XJ279" i="17" a="1"/>
  <c r="XJ279" i="17" s="1"/>
  <c r="XM279" i="17" s="1" a="1"/>
  <c r="XM279" i="17" s="1"/>
  <c r="XN279" i="17" s="1" a="1"/>
  <c r="XN279" i="17" s="1"/>
  <c r="L276" i="17"/>
  <c r="K276" i="17" s="1"/>
  <c r="C276" i="17" s="1"/>
  <c r="XJ278" i="17" a="1"/>
  <c r="XJ278" i="17" s="1"/>
  <c r="XM278" i="17" s="1" a="1"/>
  <c r="XM278" i="17" s="1"/>
  <c r="XN278" i="17" s="1" a="1"/>
  <c r="XN278" i="17" s="1"/>
  <c r="XP264" i="17" a="1"/>
  <c r="XP264" i="17" s="1"/>
  <c r="XU264" i="17" s="1" a="1"/>
  <c r="XU264" i="17" s="1"/>
  <c r="L275" i="17"/>
  <c r="K275" i="17" s="1"/>
  <c r="C275" i="17" s="1"/>
  <c r="XX274" i="17" a="1"/>
  <c r="XX274" i="17" s="1"/>
  <c r="YH274" i="17" s="1" a="1"/>
  <c r="YH274" i="17" s="1"/>
  <c r="YI274" i="17" s="1" a="1"/>
  <c r="YI274" i="17" s="1"/>
  <c r="XP266" i="17" a="1"/>
  <c r="XP266" i="17" s="1"/>
  <c r="XU266" i="17" s="1" a="1"/>
  <c r="XU266" i="17" s="1"/>
  <c r="XJ266" i="17" a="1"/>
  <c r="XJ266" i="17" s="1"/>
  <c r="XM266" i="17" s="1" a="1"/>
  <c r="XM266" i="17" s="1"/>
  <c r="XN266" i="17" s="1" a="1"/>
  <c r="XN266" i="17" s="1"/>
  <c r="L264" i="17"/>
  <c r="K264" i="17" s="1"/>
  <c r="C264" i="17" s="1"/>
  <c r="XP274" i="17" a="1"/>
  <c r="XP274" i="17" s="1"/>
  <c r="XU274" i="17" s="1" a="1"/>
  <c r="XU274" i="17" s="1"/>
  <c r="XX272" i="17" a="1"/>
  <c r="XX272" i="17" s="1"/>
  <c r="YH272" i="17" s="1" a="1"/>
  <c r="YH272" i="17" s="1"/>
  <c r="YI272" i="17" s="1" a="1"/>
  <c r="YI272" i="17" s="1"/>
  <c r="XJ265" i="17" a="1"/>
  <c r="XJ265" i="17" s="1"/>
  <c r="XM265" i="17" s="1" a="1"/>
  <c r="XM265" i="17" s="1"/>
  <c r="XN265" i="17" s="1" a="1"/>
  <c r="XN265" i="17" s="1"/>
  <c r="L277" i="17"/>
  <c r="K277" i="17" s="1"/>
  <c r="C277" i="17" s="1"/>
  <c r="XP273" i="17" a="1"/>
  <c r="XP273" i="17" s="1"/>
  <c r="XU273" i="17" s="1" a="1"/>
  <c r="XU273" i="17" s="1"/>
  <c r="XX276" i="17" a="1"/>
  <c r="XX276" i="17" s="1"/>
  <c r="YH276" i="17" s="1" a="1"/>
  <c r="YH276" i="17" s="1"/>
  <c r="YI276" i="17" s="1" a="1"/>
  <c r="YI276" i="17" s="1"/>
  <c r="L274" i="17"/>
  <c r="K274" i="17" s="1"/>
  <c r="C274" i="17" s="1"/>
  <c r="XJ270" i="17" a="1"/>
  <c r="XJ270" i="17" s="1"/>
  <c r="XM270" i="17" s="1" a="1"/>
  <c r="XM270" i="17" s="1"/>
  <c r="XN270" i="17" s="1" a="1"/>
  <c r="XN270" i="17" s="1"/>
  <c r="XP262" i="17" a="1"/>
  <c r="XP262" i="17" s="1"/>
  <c r="XU262" i="17" s="1" a="1"/>
  <c r="XU262" i="17" s="1"/>
  <c r="L273" i="17"/>
  <c r="K273" i="17" s="1"/>
  <c r="C273" i="17" s="1"/>
  <c r="XX280" i="17" a="1"/>
  <c r="XX280" i="17" s="1"/>
  <c r="YH280" i="17" s="1" a="1"/>
  <c r="YH280" i="17" s="1"/>
  <c r="YI280" i="17" s="1" a="1"/>
  <c r="YI280" i="17" s="1"/>
  <c r="YK280" i="17" s="1"/>
  <c r="E280" i="17" s="1"/>
  <c r="XJ264" i="17" a="1"/>
  <c r="XJ264" i="17" s="1"/>
  <c r="XM264" i="17" s="1" a="1"/>
  <c r="XM264" i="17" s="1"/>
  <c r="XN264" i="17" s="1" a="1"/>
  <c r="XN264" i="17" s="1"/>
  <c r="XP277" i="17" a="1"/>
  <c r="XP277" i="17" s="1"/>
  <c r="XU277" i="17" s="1" a="1"/>
  <c r="XU277" i="17" s="1"/>
  <c r="XX262" i="17" a="1"/>
  <c r="XX262" i="17" s="1"/>
  <c r="YH262" i="17" s="1" a="1"/>
  <c r="YH262" i="17" s="1"/>
  <c r="YI262" i="17" s="1" a="1"/>
  <c r="YI262" i="17" s="1"/>
  <c r="XP268" i="17" a="1"/>
  <c r="XP268" i="17" s="1"/>
  <c r="XU268" i="17" s="1" a="1"/>
  <c r="XU268" i="17" s="1"/>
  <c r="XV268" i="17" s="1" a="1"/>
  <c r="XV268" i="17" s="1"/>
  <c r="XX278" i="17" a="1"/>
  <c r="XX278" i="17" s="1"/>
  <c r="YH278" i="17" s="1" a="1"/>
  <c r="YH278" i="17" s="1"/>
  <c r="YI278" i="17" s="1" a="1"/>
  <c r="YI278" i="17" s="1"/>
  <c r="XP272" i="17" a="1"/>
  <c r="XP272" i="17" s="1"/>
  <c r="XU272" i="17" s="1" a="1"/>
  <c r="XU272" i="17" s="1"/>
  <c r="L267" i="17"/>
  <c r="K267" i="17" s="1"/>
  <c r="C267" i="17" s="1"/>
  <c r="XJ276" i="17" a="1"/>
  <c r="XJ276" i="17" s="1"/>
  <c r="XM276" i="17" s="1" a="1"/>
  <c r="XM276" i="17" s="1"/>
  <c r="XN276" i="17" s="1" a="1"/>
  <c r="XN276" i="17" s="1"/>
  <c r="XX275" i="17" a="1"/>
  <c r="XX275" i="17" s="1"/>
  <c r="YH275" i="17" s="1" a="1"/>
  <c r="YH275" i="17" s="1"/>
  <c r="YI275" i="17" s="1" a="1"/>
  <c r="YI275" i="17" s="1"/>
  <c r="XP269" i="17" a="1"/>
  <c r="XP269" i="17" s="1"/>
  <c r="XU269" i="17" s="1" a="1"/>
  <c r="XU269" i="17" s="1"/>
  <c r="XJ275" i="17" a="1"/>
  <c r="XJ275" i="17" s="1"/>
  <c r="XM275" i="17" s="1" a="1"/>
  <c r="XM275" i="17" s="1"/>
  <c r="XN275" i="17" s="1" a="1"/>
  <c r="XN275" i="17" s="1"/>
  <c r="XP280" i="17" a="1"/>
  <c r="XP280" i="17" s="1"/>
  <c r="XU280" i="17" s="1" a="1"/>
  <c r="XU280" i="17" s="1"/>
  <c r="XV280" i="17" s="1" a="1"/>
  <c r="XV280" i="17" s="1"/>
  <c r="XP261" i="17" a="1"/>
  <c r="XP261" i="17" s="1"/>
  <c r="XU261" i="17" s="1" a="1"/>
  <c r="XU261" i="17" s="1"/>
  <c r="XV261" i="17" s="1" a="1"/>
  <c r="XV261" i="17" s="1"/>
  <c r="YK261" i="17" s="1"/>
  <c r="E261" i="17" s="1"/>
  <c r="L272" i="17"/>
  <c r="K272" i="17" s="1"/>
  <c r="C272" i="17" s="1"/>
  <c r="L268" i="17"/>
  <c r="K268" i="17" s="1"/>
  <c r="C268" i="17" s="1"/>
  <c r="XP278" i="17" a="1"/>
  <c r="XP278" i="17" s="1"/>
  <c r="XU278" i="17" s="1" a="1"/>
  <c r="XU278" i="17" s="1"/>
  <c r="XJ262" i="17" a="1"/>
  <c r="XJ262" i="17" s="1"/>
  <c r="XM262" i="17" s="1" a="1"/>
  <c r="XM262" i="17" s="1"/>
  <c r="XN262" i="17" s="1" a="1"/>
  <c r="XN262" i="17" s="1"/>
  <c r="XX263" i="17" a="1"/>
  <c r="XX263" i="17" s="1"/>
  <c r="YH263" i="17" s="1" a="1"/>
  <c r="YH263" i="17" s="1"/>
  <c r="YI263" i="17" s="1" a="1"/>
  <c r="YI263" i="17" s="1"/>
  <c r="XP271" i="17" a="1"/>
  <c r="XP271" i="17" s="1"/>
  <c r="XU271" i="17" s="1" a="1"/>
  <c r="XU271" i="17" s="1"/>
  <c r="XP267" i="17" a="1"/>
  <c r="XP267" i="17" s="1"/>
  <c r="XU267" i="17" s="1" a="1"/>
  <c r="XU267" i="17" s="1"/>
  <c r="XJ273" i="17" a="1"/>
  <c r="XJ273" i="17" s="1"/>
  <c r="XM273" i="17" s="1" a="1"/>
  <c r="XM273" i="17" s="1"/>
  <c r="XN273" i="17" s="1" a="1"/>
  <c r="XN273" i="17" s="1"/>
  <c r="XJ272" i="17" a="1"/>
  <c r="XJ272" i="17" s="1"/>
  <c r="XM272" i="17" s="1" a="1"/>
  <c r="XM272" i="17" s="1"/>
  <c r="XN272" i="17" s="1" a="1"/>
  <c r="XN272" i="17" s="1"/>
  <c r="XX277" i="17" a="1"/>
  <c r="XX277" i="17" s="1"/>
  <c r="YH277" i="17" s="1" a="1"/>
  <c r="YH277" i="17" s="1"/>
  <c r="YI277" i="17" s="1" a="1"/>
  <c r="YI277" i="17" s="1"/>
  <c r="L269" i="17"/>
  <c r="K269" i="17" s="1"/>
  <c r="C269" i="17" s="1"/>
  <c r="L266" i="17"/>
  <c r="K266" i="17" s="1"/>
  <c r="C266" i="17" s="1"/>
  <c r="XP276" i="17" a="1"/>
  <c r="XP276" i="17" s="1"/>
  <c r="XU276" i="17" s="1" a="1"/>
  <c r="XU276" i="17" s="1"/>
  <c r="XP260" i="17" a="1"/>
  <c r="XP260" i="17" s="1"/>
  <c r="XU260" i="17" s="1" a="1"/>
  <c r="XU260" i="17" s="1"/>
  <c r="XJ260" i="17" a="1"/>
  <c r="XJ260" i="17" s="1"/>
  <c r="XM260" i="17" s="1" a="1"/>
  <c r="XM260" i="17" s="1"/>
  <c r="XN260" i="17" s="1" a="1"/>
  <c r="XN260" i="17" s="1"/>
  <c r="XX270" i="17" a="1"/>
  <c r="XX270" i="17" s="1"/>
  <c r="YH270" i="17" s="1" a="1"/>
  <c r="YH270" i="17" s="1"/>
  <c r="YI270" i="17" s="1" a="1"/>
  <c r="YI270" i="17" s="1"/>
  <c r="XJ274" i="17" a="1"/>
  <c r="XJ274" i="17" s="1"/>
  <c r="XM274" i="17" s="1" a="1"/>
  <c r="XM274" i="17" s="1"/>
  <c r="XN274" i="17" s="1" a="1"/>
  <c r="XN274" i="17" s="1"/>
  <c r="L279" i="17"/>
  <c r="K279" i="17" s="1"/>
  <c r="C279" i="17" s="1"/>
  <c r="F281" i="8" a="1"/>
  <c r="F281" i="8" s="1"/>
  <c r="F282" i="8" a="1"/>
  <c r="F282" i="8" s="1"/>
  <c r="I281" i="8"/>
  <c r="I290" i="8"/>
  <c r="F292" i="8" a="1"/>
  <c r="F292" i="8" s="1"/>
  <c r="F295" i="8" a="1"/>
  <c r="F295" i="8" s="1"/>
  <c r="I296" i="8"/>
  <c r="F298" i="8" a="1"/>
  <c r="F298" i="8" s="1"/>
  <c r="F285" i="8" a="1"/>
  <c r="F285" i="8" s="1"/>
  <c r="I299" i="8"/>
  <c r="F301" i="8" a="1"/>
  <c r="F301" i="8" s="1"/>
  <c r="I286" i="8"/>
  <c r="F288" i="8" a="1"/>
  <c r="F288" i="8" s="1"/>
  <c r="F291" i="8" a="1"/>
  <c r="F291" i="8" s="1"/>
  <c r="F294" i="8" a="1"/>
  <c r="F294" i="8" s="1"/>
  <c r="F297" i="8" a="1"/>
  <c r="F297" i="8" s="1"/>
  <c r="I311" i="8"/>
  <c r="F313" i="8" a="1"/>
  <c r="F313" i="8" s="1"/>
  <c r="F284" i="8" a="1"/>
  <c r="F284" i="8" s="1"/>
  <c r="F287" i="8" a="1"/>
  <c r="F287" i="8" s="1"/>
  <c r="I288" i="8"/>
  <c r="F290" i="8" a="1"/>
  <c r="F290" i="8" s="1"/>
  <c r="F293" i="8" a="1"/>
  <c r="F293" i="8" s="1"/>
  <c r="F309" i="8" a="1"/>
  <c r="F309" i="8" s="1"/>
  <c r="F283" i="8" a="1"/>
  <c r="F283" i="8" s="1"/>
  <c r="F286" i="8" a="1"/>
  <c r="F286" i="8" s="1"/>
  <c r="I306" i="8"/>
  <c r="I316" i="8"/>
  <c r="F325" i="8" a="1"/>
  <c r="F325" i="8" s="1"/>
  <c r="F328" i="8" a="1"/>
  <c r="F328" i="8" s="1"/>
  <c r="F329" i="8" a="1"/>
  <c r="F329" i="8" s="1"/>
  <c r="F289" i="8" a="1"/>
  <c r="F289" i="8" s="1"/>
  <c r="I294" i="8"/>
  <c r="F317" i="8" a="1"/>
  <c r="F317" i="8" s="1"/>
  <c r="F299" i="8" a="1"/>
  <c r="F299" i="8" s="1"/>
  <c r="I309" i="8"/>
  <c r="F310" i="8" a="1"/>
  <c r="F310" i="8" s="1"/>
  <c r="F314" i="8" a="1"/>
  <c r="F314" i="8" s="1"/>
  <c r="F300" i="8" a="1"/>
  <c r="F300" i="8" s="1"/>
  <c r="F302" i="8" a="1"/>
  <c r="F302" i="8" s="1"/>
  <c r="I300" i="8"/>
  <c r="F303" i="8" a="1"/>
  <c r="F303" i="8" s="1"/>
  <c r="F311" i="8" a="1"/>
  <c r="F311" i="8" s="1"/>
  <c r="F315" i="8" a="1"/>
  <c r="F315" i="8" s="1"/>
  <c r="F296" i="8" a="1"/>
  <c r="F296" i="8" s="1"/>
  <c r="I297" i="8"/>
  <c r="I301" i="8"/>
  <c r="F304" i="8" a="1"/>
  <c r="F304" i="8" s="1"/>
  <c r="F305" i="8" a="1"/>
  <c r="F305" i="8" s="1"/>
  <c r="I302" i="8"/>
  <c r="I303" i="8"/>
  <c r="F307" i="8" a="1"/>
  <c r="F307" i="8" s="1"/>
  <c r="F312" i="8" a="1"/>
  <c r="F312" i="8" s="1"/>
  <c r="I318" i="8"/>
  <c r="F319" i="8" a="1"/>
  <c r="F319" i="8" s="1"/>
  <c r="F306" i="8" a="1"/>
  <c r="F306" i="8" s="1"/>
  <c r="F326" i="8" a="1"/>
  <c r="F326" i="8" s="1"/>
  <c r="I340" i="8"/>
  <c r="F353" i="8" a="1"/>
  <c r="F353" i="8" s="1"/>
  <c r="F354" i="8" a="1"/>
  <c r="F354" i="8" s="1"/>
  <c r="F322" i="8" a="1"/>
  <c r="F322" i="8" s="1"/>
  <c r="F350" i="8" a="1"/>
  <c r="F350" i="8" s="1"/>
  <c r="F327" i="8" a="1"/>
  <c r="F327" i="8" s="1"/>
  <c r="I336" i="8"/>
  <c r="I339" i="8"/>
  <c r="F347" i="8" a="1"/>
  <c r="F347" i="8" s="1"/>
  <c r="F355" i="8" a="1"/>
  <c r="F355" i="8" s="1"/>
  <c r="F344" i="8" a="1"/>
  <c r="F344" i="8" s="1"/>
  <c r="F340" i="8" a="1"/>
  <c r="F340" i="8" s="1"/>
  <c r="F337" i="8" a="1"/>
  <c r="F337" i="8" s="1"/>
  <c r="F348" i="8" a="1"/>
  <c r="F348" i="8" s="1"/>
  <c r="F356" i="8" a="1"/>
  <c r="F356" i="8" s="1"/>
  <c r="F357" i="8" a="1"/>
  <c r="F357" i="8" s="1"/>
  <c r="F349" i="8" a="1"/>
  <c r="F349" i="8" s="1"/>
  <c r="F339" i="8" a="1"/>
  <c r="F339" i="8" s="1"/>
  <c r="F320" i="8" a="1"/>
  <c r="F320" i="8" s="1"/>
  <c r="F358" i="8" a="1"/>
  <c r="F358" i="8" s="1"/>
  <c r="F343" i="8" a="1"/>
  <c r="F343" i="8" s="1"/>
  <c r="F318" i="8" a="1"/>
  <c r="F318" i="8" s="1"/>
  <c r="F341" i="8" a="1"/>
  <c r="F341" i="8" s="1"/>
  <c r="F316" i="8" a="1"/>
  <c r="F316" i="8" s="1"/>
  <c r="F321" i="8" a="1"/>
  <c r="F321" i="8" s="1"/>
  <c r="F323" i="8" a="1"/>
  <c r="F323" i="8" s="1"/>
  <c r="F342" i="8" a="1"/>
  <c r="F342" i="8" s="1"/>
  <c r="I319" i="8"/>
  <c r="F324" i="8" a="1"/>
  <c r="F324" i="8" s="1"/>
  <c r="F345" i="8" a="1"/>
  <c r="F345" i="8" s="1"/>
  <c r="F308" i="8" a="1"/>
  <c r="F308" i="8" s="1"/>
  <c r="F338" i="8" a="1"/>
  <c r="F338" i="8" s="1"/>
  <c r="F352" i="8" a="1"/>
  <c r="F352" i="8" s="1"/>
  <c r="I328" i="8"/>
  <c r="F334" i="8" a="1"/>
  <c r="F334" i="8" s="1"/>
  <c r="F335" i="8" a="1"/>
  <c r="F335" i="8" s="1"/>
  <c r="F336" i="8" a="1"/>
  <c r="F336" i="8" s="1"/>
  <c r="I305" i="8"/>
  <c r="I324" i="8"/>
  <c r="F330" i="8" a="1"/>
  <c r="F330" i="8" s="1"/>
  <c r="F331" i="8" a="1"/>
  <c r="F331" i="8" s="1"/>
  <c r="F332" i="8" a="1"/>
  <c r="F332" i="8" s="1"/>
  <c r="F333" i="8" a="1"/>
  <c r="F333" i="8" s="1"/>
  <c r="F346" i="8" a="1"/>
  <c r="F346" i="8" s="1"/>
  <c r="F351" i="8" a="1"/>
  <c r="F351" i="8" s="1"/>
  <c r="XV270" i="17" a="1"/>
  <c r="XV270" i="17" s="1"/>
  <c r="XV266" i="17" a="1"/>
  <c r="XV266" i="17" s="1"/>
  <c r="YK266" i="17" s="1"/>
  <c r="E266" i="17" s="1"/>
  <c r="F260" i="8" a="1"/>
  <c r="F260" i="8" s="1"/>
  <c r="F263" i="8" a="1"/>
  <c r="F263" i="8" s="1"/>
  <c r="F264" i="8" a="1"/>
  <c r="F264" i="8" s="1"/>
  <c r="F267" i="8" a="1"/>
  <c r="F267" i="8" s="1"/>
  <c r="I280" i="8"/>
  <c r="F268" i="8" a="1"/>
  <c r="F268" i="8" s="1"/>
  <c r="F269" i="8" a="1"/>
  <c r="F269" i="8" s="1"/>
  <c r="F270" i="8" a="1"/>
  <c r="F270" i="8" s="1"/>
  <c r="I262" i="8"/>
  <c r="I264" i="8"/>
  <c r="F271" i="8" a="1"/>
  <c r="F271" i="8" s="1"/>
  <c r="F272" i="8" a="1"/>
  <c r="F272" i="8" s="1"/>
  <c r="F273" i="8" a="1"/>
  <c r="F273" i="8" s="1"/>
  <c r="F274" i="8" a="1"/>
  <c r="F274" i="8" s="1"/>
  <c r="F276" i="8" a="1"/>
  <c r="F276" i="8" s="1"/>
  <c r="F277" i="8" a="1"/>
  <c r="F277" i="8" s="1"/>
  <c r="F278" i="8" a="1"/>
  <c r="F278" i="8" s="1"/>
  <c r="F279" i="8" a="1"/>
  <c r="F279" i="8" s="1"/>
  <c r="F280" i="8" a="1"/>
  <c r="F280" i="8" s="1"/>
  <c r="I270" i="8"/>
  <c r="I272" i="8"/>
  <c r="F261" i="8" a="1"/>
  <c r="F261" i="8" s="1"/>
  <c r="F262" i="8" a="1"/>
  <c r="F262" i="8" s="1"/>
  <c r="F266" i="8" a="1"/>
  <c r="F266" i="8" s="1"/>
  <c r="I275" i="8"/>
  <c r="I278" i="8"/>
  <c r="F275" i="8" a="1"/>
  <c r="F275" i="8" s="1"/>
  <c r="F265" i="8" a="1"/>
  <c r="F265" i="8" s="1"/>
  <c r="F257" i="8" a="1"/>
  <c r="F257" i="8" s="1"/>
  <c r="F251" i="8" a="1"/>
  <c r="F251" i="8" s="1"/>
  <c r="F250" i="8" a="1"/>
  <c r="F250" i="8" s="1"/>
  <c r="F258" i="8" a="1"/>
  <c r="F258" i="8" s="1"/>
  <c r="F253" i="8" a="1"/>
  <c r="F253" i="8" s="1"/>
  <c r="F252" i="8" a="1"/>
  <c r="F252" i="8" s="1"/>
  <c r="F254" i="8" a="1"/>
  <c r="F254" i="8" s="1"/>
  <c r="F259" i="8" a="1"/>
  <c r="F259" i="8" s="1"/>
  <c r="F255" i="8" a="1"/>
  <c r="F255" i="8" s="1"/>
  <c r="F256" i="8" a="1"/>
  <c r="F256" i="8" s="1"/>
  <c r="J5" i="19" a="1"/>
  <c r="F249" i="8" a="1"/>
  <c r="F249" i="8" s="1"/>
  <c r="F235" i="8" a="1"/>
  <c r="F235" i="8" s="1"/>
  <c r="F234" i="8" a="1"/>
  <c r="F234" i="8" s="1"/>
  <c r="F237" i="8" a="1"/>
  <c r="F237" i="8" s="1"/>
  <c r="F242" i="8" a="1"/>
  <c r="F242" i="8" s="1"/>
  <c r="F248" i="8" a="1"/>
  <c r="F248" i="8" s="1"/>
  <c r="F240" i="8" a="1"/>
  <c r="F240" i="8" s="1"/>
  <c r="F239" i="8" a="1"/>
  <c r="F239" i="8" s="1"/>
  <c r="F236" i="8" a="1"/>
  <c r="F236" i="8" s="1"/>
  <c r="F243" i="8" a="1"/>
  <c r="F243" i="8" s="1"/>
  <c r="F244" i="8" a="1"/>
  <c r="F244" i="8" s="1"/>
  <c r="F238" i="8" a="1"/>
  <c r="F238" i="8" s="1"/>
  <c r="F245" i="8" a="1"/>
  <c r="F245" i="8" s="1"/>
  <c r="F246" i="8" a="1"/>
  <c r="F246" i="8" s="1"/>
  <c r="F247" i="8" a="1"/>
  <c r="F247" i="8" s="1"/>
  <c r="F241" i="8" a="1"/>
  <c r="F241" i="8" s="1"/>
  <c r="F233" i="8" a="1"/>
  <c r="F233" i="8" s="1"/>
  <c r="F216" i="8" a="1"/>
  <c r="F216" i="8" s="1"/>
  <c r="F223" i="8" a="1"/>
  <c r="F223" i="8" s="1"/>
  <c r="F220" i="8" a="1"/>
  <c r="F220" i="8" s="1"/>
  <c r="F217" i="8" a="1"/>
  <c r="F217" i="8" s="1"/>
  <c r="F221" i="8" a="1"/>
  <c r="F221" i="8" s="1"/>
  <c r="F229" i="8" a="1"/>
  <c r="F229" i="8" s="1"/>
  <c r="F218" i="8" a="1"/>
  <c r="F218" i="8" s="1"/>
  <c r="F222" i="8" a="1"/>
  <c r="F222" i="8" s="1"/>
  <c r="F225" i="8" a="1"/>
  <c r="F225" i="8" s="1"/>
  <c r="F215" i="8" a="1"/>
  <c r="F215" i="8" s="1"/>
  <c r="F226" i="8" a="1"/>
  <c r="F226" i="8" s="1"/>
  <c r="F232" i="8" a="1"/>
  <c r="F232" i="8" s="1"/>
  <c r="F228" i="8" a="1"/>
  <c r="F228" i="8" s="1"/>
  <c r="F227" i="8" a="1"/>
  <c r="F227" i="8" s="1"/>
  <c r="F219" i="8" a="1"/>
  <c r="F219" i="8" s="1"/>
  <c r="F224" i="8" a="1"/>
  <c r="F224" i="8" s="1"/>
  <c r="F231" i="8" a="1"/>
  <c r="F231" i="8" s="1"/>
  <c r="F230" i="8" a="1"/>
  <c r="F230" i="8" s="1"/>
  <c r="A4" i="8"/>
  <c r="F208" i="8" a="1"/>
  <c r="F208" i="8" s="1"/>
  <c r="F213" i="8" a="1"/>
  <c r="F213" i="8" s="1"/>
  <c r="F209" i="8" a="1"/>
  <c r="F209" i="8" s="1"/>
  <c r="F210" i="8" a="1"/>
  <c r="F210" i="8" s="1"/>
  <c r="F214" i="8" a="1"/>
  <c r="F214" i="8" s="1"/>
  <c r="F212" i="8" a="1"/>
  <c r="F212" i="8" s="1"/>
  <c r="F211" i="8" a="1"/>
  <c r="F211" i="8" s="1"/>
  <c r="F207" i="8" a="1"/>
  <c r="F207" i="8" s="1"/>
  <c r="F206" i="8" a="1"/>
  <c r="F206" i="8" s="1"/>
  <c r="C4" i="8" l="1" a="1"/>
  <c r="C4" i="8" s="1"/>
  <c r="D4" i="8" a="1"/>
  <c r="D4" i="8" s="1"/>
  <c r="B4" i="8" a="1"/>
  <c r="B4" i="8" s="1"/>
  <c r="XV265" i="17" a="1"/>
  <c r="XV265" i="17" s="1"/>
  <c r="YK265" i="17" s="1"/>
  <c r="E265" i="17" s="1"/>
  <c r="YK270" i="17"/>
  <c r="E270" i="17" s="1"/>
  <c r="XV277" i="17" a="1"/>
  <c r="XV277" i="17" s="1"/>
  <c r="XV295" i="17" a="1"/>
  <c r="XV295" i="17" s="1"/>
  <c r="XV327" i="17" a="1"/>
  <c r="XV327" i="17" s="1"/>
  <c r="XV262" i="17" a="1"/>
  <c r="XV262" i="17" s="1"/>
  <c r="YK262" i="17" s="1"/>
  <c r="E262" i="17" s="1"/>
  <c r="J261" i="8" s="1"/>
  <c r="XV349" i="17" a="1"/>
  <c r="XV349" i="17" s="1"/>
  <c r="YK349" i="17" s="1"/>
  <c r="E349" i="17" s="1"/>
  <c r="YK310" i="17"/>
  <c r="E310" i="17" s="1"/>
  <c r="J299" i="8" s="1"/>
  <c r="XV323" i="17" a="1"/>
  <c r="XV323" i="17" s="1"/>
  <c r="XV302" i="17" a="1"/>
  <c r="XV302" i="17" s="1"/>
  <c r="XV307" i="17" a="1"/>
  <c r="XV307" i="17" s="1"/>
  <c r="XV269" i="17" a="1"/>
  <c r="XV269" i="17" s="1"/>
  <c r="XV345" i="17" a="1"/>
  <c r="XV345" i="17" s="1"/>
  <c r="YK345" i="17" s="1"/>
  <c r="E345" i="17" s="1"/>
  <c r="XV354" i="17" a="1"/>
  <c r="XV354" i="17" s="1"/>
  <c r="YK354" i="17" s="1"/>
  <c r="E354" i="17" s="1"/>
  <c r="XV352" i="17" a="1"/>
  <c r="XV352" i="17" s="1"/>
  <c r="YK352" i="17" s="1"/>
  <c r="E352" i="17" s="1"/>
  <c r="XV301" i="17" a="1"/>
  <c r="XV301" i="17" s="1"/>
  <c r="YK344" i="17"/>
  <c r="E344" i="17" s="1"/>
  <c r="XV260" i="17" a="1"/>
  <c r="XV260" i="17" s="1"/>
  <c r="YK260" i="17" s="1"/>
  <c r="E260" i="17" s="1"/>
  <c r="J259" i="8" s="1"/>
  <c r="XV298" i="17" a="1"/>
  <c r="XV298" i="17" s="1"/>
  <c r="YK298" i="17" s="1"/>
  <c r="E298" i="17" s="1"/>
  <c r="J297" i="8" s="1"/>
  <c r="XV278" i="17" a="1"/>
  <c r="XV278" i="17" s="1"/>
  <c r="YK278" i="17" s="1"/>
  <c r="E278" i="17" s="1"/>
  <c r="J277" i="8" s="1"/>
  <c r="XV324" i="17" a="1"/>
  <c r="XV324" i="17" s="1"/>
  <c r="YK324" i="17" s="1"/>
  <c r="E324" i="17" s="1"/>
  <c r="J323" i="8" s="1"/>
  <c r="XV316" i="17" a="1"/>
  <c r="XV316" i="17" s="1"/>
  <c r="XV304" i="17" a="1"/>
  <c r="XV304" i="17" s="1"/>
  <c r="YK304" i="17" s="1"/>
  <c r="E304" i="17" s="1"/>
  <c r="XV358" i="17" a="1"/>
  <c r="XV358" i="17" s="1"/>
  <c r="YK285" i="17"/>
  <c r="E285" i="17" s="1"/>
  <c r="YK327" i="17"/>
  <c r="E327" i="17" s="1"/>
  <c r="XV343" i="17" a="1"/>
  <c r="XV343" i="17" s="1"/>
  <c r="YK336" i="17"/>
  <c r="E336" i="17" s="1"/>
  <c r="J335" i="8" s="1"/>
  <c r="XV315" i="17" a="1"/>
  <c r="XV315" i="17" s="1"/>
  <c r="YK315" i="17" s="1"/>
  <c r="E315" i="17" s="1"/>
  <c r="YK302" i="17"/>
  <c r="E302" i="17" s="1"/>
  <c r="YK337" i="17"/>
  <c r="E337" i="17" s="1"/>
  <c r="YK294" i="17"/>
  <c r="E294" i="17" s="1"/>
  <c r="XV313" i="17" a="1"/>
  <c r="XV313" i="17" s="1"/>
  <c r="YK313" i="17" s="1"/>
  <c r="E313" i="17" s="1"/>
  <c r="J312" i="8" s="1"/>
  <c r="XV338" i="17" a="1"/>
  <c r="XV338" i="17" s="1"/>
  <c r="YK307" i="17"/>
  <c r="E307" i="17" s="1"/>
  <c r="I286" i="19"/>
  <c r="H286" i="19" s="1"/>
  <c r="C286" i="19" s="1"/>
  <c r="I294" i="19"/>
  <c r="H294" i="19" s="1"/>
  <c r="C294" i="19" s="1"/>
  <c r="I302" i="19"/>
  <c r="H302" i="19" s="1"/>
  <c r="C302" i="19" s="1"/>
  <c r="I310" i="19"/>
  <c r="H310" i="19" s="1"/>
  <c r="C310" i="19" s="1"/>
  <c r="I318" i="19"/>
  <c r="H318" i="19" s="1"/>
  <c r="C318" i="19" s="1"/>
  <c r="I326" i="19"/>
  <c r="H326" i="19" s="1"/>
  <c r="C326" i="19" s="1"/>
  <c r="I334" i="19"/>
  <c r="H334" i="19" s="1"/>
  <c r="C334" i="19" s="1"/>
  <c r="I342" i="19"/>
  <c r="H342" i="19" s="1"/>
  <c r="C342" i="19" s="1"/>
  <c r="I350" i="19"/>
  <c r="H350" i="19" s="1"/>
  <c r="C350" i="19" s="1"/>
  <c r="I358" i="19"/>
  <c r="H358" i="19" s="1"/>
  <c r="C358" i="19" s="1"/>
  <c r="NN283" i="19" a="1"/>
  <c r="NN283" i="19" s="1"/>
  <c r="NS283" i="19" s="1" a="1"/>
  <c r="NS283" i="19" s="1"/>
  <c r="NV284" i="19" a="1"/>
  <c r="NV284" i="19" s="1"/>
  <c r="OF284" i="19" s="1" a="1"/>
  <c r="OF284" i="19" s="1"/>
  <c r="OG284" i="19" s="1" a="1"/>
  <c r="OG284" i="19" s="1"/>
  <c r="NV287" i="19" a="1"/>
  <c r="NV287" i="19" s="1"/>
  <c r="OF287" i="19" s="1" a="1"/>
  <c r="OF287" i="19" s="1"/>
  <c r="OG287" i="19" s="1" a="1"/>
  <c r="OG287" i="19" s="1"/>
  <c r="NV289" i="19" a="1"/>
  <c r="NV289" i="19" s="1"/>
  <c r="OF289" i="19" s="1" a="1"/>
  <c r="OF289" i="19" s="1"/>
  <c r="OG289" i="19" s="1" a="1"/>
  <c r="OG289" i="19" s="1"/>
  <c r="NH291" i="19" a="1"/>
  <c r="NH291" i="19" s="1"/>
  <c r="NK291" i="19" s="1" a="1"/>
  <c r="NK291" i="19" s="1"/>
  <c r="NL291" i="19" s="1" a="1"/>
  <c r="NL291" i="19" s="1"/>
  <c r="NV292" i="19" a="1"/>
  <c r="NV292" i="19" s="1"/>
  <c r="OF292" i="19" s="1" a="1"/>
  <c r="OF292" i="19" s="1"/>
  <c r="OG292" i="19" s="1" a="1"/>
  <c r="OG292" i="19" s="1"/>
  <c r="NN295" i="19" a="1"/>
  <c r="NN295" i="19" s="1"/>
  <c r="NS295" i="19" s="1" a="1"/>
  <c r="NS295" i="19" s="1"/>
  <c r="NH304" i="19" a="1"/>
  <c r="NH304" i="19" s="1"/>
  <c r="NK304" i="19" s="1" a="1"/>
  <c r="NK304" i="19" s="1"/>
  <c r="NL304" i="19" s="1" a="1"/>
  <c r="NL304" i="19" s="1"/>
  <c r="NV313" i="19" a="1"/>
  <c r="NV313" i="19" s="1"/>
  <c r="OF313" i="19" s="1" a="1"/>
  <c r="OF313" i="19" s="1"/>
  <c r="OG313" i="19" s="1" a="1"/>
  <c r="OG313" i="19" s="1"/>
  <c r="NN319" i="19" a="1"/>
  <c r="NN319" i="19" s="1"/>
  <c r="NS319" i="19" s="1" a="1"/>
  <c r="NS319" i="19" s="1"/>
  <c r="NV320" i="19" a="1"/>
  <c r="NV320" i="19" s="1"/>
  <c r="OF320" i="19" s="1" a="1"/>
  <c r="OF320" i="19" s="1"/>
  <c r="OG320" i="19" s="1" a="1"/>
  <c r="OG320" i="19" s="1"/>
  <c r="NV326" i="19" a="1"/>
  <c r="NV326" i="19" s="1"/>
  <c r="OF326" i="19" s="1" a="1"/>
  <c r="OF326" i="19" s="1"/>
  <c r="OG326" i="19" s="1" a="1"/>
  <c r="OG326" i="19" s="1"/>
  <c r="NN328" i="19" a="1"/>
  <c r="NN328" i="19" s="1"/>
  <c r="NS328" i="19" s="1" a="1"/>
  <c r="NS328" i="19" s="1"/>
  <c r="NH332" i="19" a="1"/>
  <c r="NH332" i="19" s="1"/>
  <c r="NK332" i="19" s="1" a="1"/>
  <c r="NK332" i="19" s="1"/>
  <c r="NL332" i="19" s="1" a="1"/>
  <c r="NL332" i="19" s="1"/>
  <c r="NV333" i="19" a="1"/>
  <c r="NV333" i="19" s="1"/>
  <c r="OF333" i="19" s="1" a="1"/>
  <c r="OF333" i="19" s="1"/>
  <c r="OG333" i="19" s="1" a="1"/>
  <c r="OG333" i="19" s="1"/>
  <c r="NN335" i="19" a="1"/>
  <c r="NN335" i="19" s="1"/>
  <c r="NS335" i="19" s="1" a="1"/>
  <c r="NS335" i="19" s="1"/>
  <c r="NN338" i="19" a="1"/>
  <c r="NN338" i="19" s="1"/>
  <c r="NS338" i="19" s="1" a="1"/>
  <c r="NS338" i="19" s="1"/>
  <c r="NV339" i="19" a="1"/>
  <c r="NV339" i="19" s="1"/>
  <c r="OF339" i="19" s="1" a="1"/>
  <c r="OF339" i="19" s="1"/>
  <c r="OG339" i="19" s="1" a="1"/>
  <c r="OG339" i="19" s="1"/>
  <c r="NN344" i="19" a="1"/>
  <c r="NN344" i="19" s="1"/>
  <c r="NS344" i="19" s="1" a="1"/>
  <c r="NS344" i="19" s="1"/>
  <c r="NN347" i="19" a="1"/>
  <c r="NN347" i="19" s="1"/>
  <c r="NS347" i="19" s="1" a="1"/>
  <c r="NS347" i="19" s="1"/>
  <c r="I281" i="19"/>
  <c r="H281" i="19" s="1"/>
  <c r="C281" i="19" s="1"/>
  <c r="I289" i="19"/>
  <c r="H289" i="19" s="1"/>
  <c r="C289" i="19" s="1"/>
  <c r="I297" i="19"/>
  <c r="H297" i="19" s="1"/>
  <c r="C297" i="19" s="1"/>
  <c r="I305" i="19"/>
  <c r="H305" i="19" s="1"/>
  <c r="C305" i="19" s="1"/>
  <c r="I313" i="19"/>
  <c r="H313" i="19" s="1"/>
  <c r="C313" i="19" s="1"/>
  <c r="I321" i="19"/>
  <c r="H321" i="19" s="1"/>
  <c r="C321" i="19" s="1"/>
  <c r="I329" i="19"/>
  <c r="H329" i="19" s="1"/>
  <c r="C329" i="19" s="1"/>
  <c r="I337" i="19"/>
  <c r="H337" i="19" s="1"/>
  <c r="C337" i="19" s="1"/>
  <c r="I345" i="19"/>
  <c r="H345" i="19" s="1"/>
  <c r="C345" i="19" s="1"/>
  <c r="I353" i="19"/>
  <c r="H353" i="19" s="1"/>
  <c r="C353" i="19" s="1"/>
  <c r="NH282" i="19" a="1"/>
  <c r="NH282" i="19" s="1"/>
  <c r="NK282" i="19" s="1" a="1"/>
  <c r="NK282" i="19" s="1"/>
  <c r="NL282" i="19" s="1" a="1"/>
  <c r="NL282" i="19" s="1"/>
  <c r="NH285" i="19" a="1"/>
  <c r="NH285" i="19" s="1"/>
  <c r="NK285" i="19" s="1" a="1"/>
  <c r="NK285" i="19" s="1"/>
  <c r="NL285" i="19" s="1" a="1"/>
  <c r="NL285" i="19" s="1"/>
  <c r="NV286" i="19" a="1"/>
  <c r="NV286" i="19" s="1"/>
  <c r="OF286" i="19" s="1" a="1"/>
  <c r="OF286" i="19" s="1"/>
  <c r="OG286" i="19" s="1" a="1"/>
  <c r="OG286" i="19" s="1"/>
  <c r="NH294" i="19" a="1"/>
  <c r="NH294" i="19" s="1"/>
  <c r="NK294" i="19" s="1" a="1"/>
  <c r="NK294" i="19" s="1"/>
  <c r="NL294" i="19" s="1" a="1"/>
  <c r="NL294" i="19" s="1"/>
  <c r="NV295" i="19" a="1"/>
  <c r="NV295" i="19" s="1"/>
  <c r="OF295" i="19" s="1" a="1"/>
  <c r="OF295" i="19" s="1"/>
  <c r="OG295" i="19" s="1" a="1"/>
  <c r="OG295" i="19" s="1"/>
  <c r="NH297" i="19" a="1"/>
  <c r="NH297" i="19" s="1"/>
  <c r="NK297" i="19" s="1" a="1"/>
  <c r="NK297" i="19" s="1"/>
  <c r="NL297" i="19" s="1" a="1"/>
  <c r="NL297" i="19" s="1"/>
  <c r="NV299" i="19" a="1"/>
  <c r="NV299" i="19" s="1"/>
  <c r="OF299" i="19" s="1" a="1"/>
  <c r="OF299" i="19" s="1"/>
  <c r="OG299" i="19" s="1" a="1"/>
  <c r="OG299" i="19" s="1"/>
  <c r="NN304" i="19" a="1"/>
  <c r="NN304" i="19" s="1"/>
  <c r="NS304" i="19" s="1" a="1"/>
  <c r="NS304" i="19" s="1"/>
  <c r="NT304" i="19" s="1" a="1"/>
  <c r="NT304" i="19" s="1"/>
  <c r="NV305" i="19" a="1"/>
  <c r="NV305" i="19" s="1"/>
  <c r="OF305" i="19" s="1" a="1"/>
  <c r="OF305" i="19" s="1"/>
  <c r="OG305" i="19" s="1" a="1"/>
  <c r="OG305" i="19" s="1"/>
  <c r="NV307" i="19" a="1"/>
  <c r="NV307" i="19" s="1"/>
  <c r="OF307" i="19" s="1" a="1"/>
  <c r="OF307" i="19" s="1"/>
  <c r="OG307" i="19" s="1" a="1"/>
  <c r="OG307" i="19" s="1"/>
  <c r="NN309" i="19" a="1"/>
  <c r="NN309" i="19" s="1"/>
  <c r="NS309" i="19" s="1" a="1"/>
  <c r="NS309" i="19" s="1"/>
  <c r="NN312" i="19" a="1"/>
  <c r="NN312" i="19" s="1"/>
  <c r="NS312" i="19" s="1" a="1"/>
  <c r="NS312" i="19" s="1"/>
  <c r="NH316" i="19" a="1"/>
  <c r="NH316" i="19" s="1"/>
  <c r="NK316" i="19" s="1" a="1"/>
  <c r="NK316" i="19" s="1"/>
  <c r="NL316" i="19" s="1" a="1"/>
  <c r="NL316" i="19" s="1"/>
  <c r="NV318" i="19" a="1"/>
  <c r="NV318" i="19" s="1"/>
  <c r="OF318" i="19" s="1" a="1"/>
  <c r="OF318" i="19" s="1"/>
  <c r="OG318" i="19" s="1" a="1"/>
  <c r="OG318" i="19" s="1"/>
  <c r="NH322" i="19" a="1"/>
  <c r="NH322" i="19" s="1"/>
  <c r="NK322" i="19" s="1" a="1"/>
  <c r="NK322" i="19" s="1"/>
  <c r="NL322" i="19" s="1" a="1"/>
  <c r="NL322" i="19" s="1"/>
  <c r="NV322" i="19" a="1"/>
  <c r="NV322" i="19" s="1"/>
  <c r="OF322" i="19" s="1" a="1"/>
  <c r="OF322" i="19" s="1"/>
  <c r="OG322" i="19" s="1" a="1"/>
  <c r="OG322" i="19" s="1"/>
  <c r="NV323" i="19" a="1"/>
  <c r="NV323" i="19" s="1"/>
  <c r="OF323" i="19" s="1" a="1"/>
  <c r="OF323" i="19" s="1"/>
  <c r="OG323" i="19" s="1" a="1"/>
  <c r="OG323" i="19" s="1"/>
  <c r="NN325" i="19" a="1"/>
  <c r="NN325" i="19" s="1"/>
  <c r="NS325" i="19" s="1" a="1"/>
  <c r="NS325" i="19" s="1"/>
  <c r="NH327" i="19" a="1"/>
  <c r="NH327" i="19" s="1"/>
  <c r="NK327" i="19" s="1" a="1"/>
  <c r="NK327" i="19" s="1"/>
  <c r="NL327" i="19" s="1" a="1"/>
  <c r="NL327" i="19" s="1"/>
  <c r="NV328" i="19" a="1"/>
  <c r="NV328" i="19" s="1"/>
  <c r="OF328" i="19" s="1" a="1"/>
  <c r="OF328" i="19" s="1"/>
  <c r="OG328" i="19" s="1" a="1"/>
  <c r="OG328" i="19" s="1"/>
  <c r="I284" i="19"/>
  <c r="H284" i="19" s="1"/>
  <c r="C284" i="19" s="1"/>
  <c r="I292" i="19"/>
  <c r="H292" i="19" s="1"/>
  <c r="C292" i="19" s="1"/>
  <c r="I300" i="19"/>
  <c r="H300" i="19" s="1"/>
  <c r="C300" i="19" s="1"/>
  <c r="I308" i="19"/>
  <c r="H308" i="19" s="1"/>
  <c r="C308" i="19" s="1"/>
  <c r="I316" i="19"/>
  <c r="H316" i="19" s="1"/>
  <c r="C316" i="19" s="1"/>
  <c r="I324" i="19"/>
  <c r="H324" i="19" s="1"/>
  <c r="C324" i="19" s="1"/>
  <c r="I332" i="19"/>
  <c r="H332" i="19" s="1"/>
  <c r="C332" i="19" s="1"/>
  <c r="I340" i="19"/>
  <c r="H340" i="19" s="1"/>
  <c r="C340" i="19" s="1"/>
  <c r="I348" i="19"/>
  <c r="H348" i="19" s="1"/>
  <c r="C348" i="19" s="1"/>
  <c r="I356" i="19"/>
  <c r="H356" i="19" s="1"/>
  <c r="C356" i="19" s="1"/>
  <c r="NH288" i="19" a="1"/>
  <c r="NH288" i="19" s="1"/>
  <c r="NK288" i="19" s="1" a="1"/>
  <c r="NK288" i="19" s="1"/>
  <c r="NL288" i="19" s="1" a="1"/>
  <c r="NL288" i="19" s="1"/>
  <c r="NH290" i="19" a="1"/>
  <c r="NH290" i="19" s="1"/>
  <c r="NK290" i="19" s="1" a="1"/>
  <c r="NK290" i="19" s="1"/>
  <c r="NL290" i="19" s="1" a="1"/>
  <c r="NL290" i="19" s="1"/>
  <c r="NN291" i="19" a="1"/>
  <c r="NN291" i="19" s="1"/>
  <c r="NS291" i="19" s="1" a="1"/>
  <c r="NS291" i="19" s="1"/>
  <c r="NT291" i="19" s="1" a="1"/>
  <c r="NT291" i="19" s="1"/>
  <c r="NH293" i="19" a="1"/>
  <c r="NH293" i="19" s="1"/>
  <c r="NK293" i="19" s="1" a="1"/>
  <c r="NK293" i="19" s="1"/>
  <c r="NL293" i="19" s="1" a="1"/>
  <c r="NL293" i="19" s="1"/>
  <c r="NN294" i="19" a="1"/>
  <c r="NN294" i="19" s="1"/>
  <c r="NS294" i="19" s="1" a="1"/>
  <c r="NS294" i="19" s="1"/>
  <c r="NN297" i="19" a="1"/>
  <c r="NN297" i="19" s="1"/>
  <c r="NS297" i="19" s="1" a="1"/>
  <c r="NS297" i="19" s="1"/>
  <c r="NN298" i="19" a="1"/>
  <c r="NN298" i="19" s="1"/>
  <c r="NS298" i="19" s="1" a="1"/>
  <c r="NS298" i="19" s="1"/>
  <c r="NN301" i="19" a="1"/>
  <c r="NN301" i="19" s="1"/>
  <c r="NS301" i="19" s="1" a="1"/>
  <c r="NS301" i="19" s="1"/>
  <c r="NV304" i="19" a="1"/>
  <c r="NV304" i="19" s="1"/>
  <c r="OF304" i="19" s="1" a="1"/>
  <c r="OF304" i="19" s="1"/>
  <c r="OG304" i="19" s="1" a="1"/>
  <c r="OG304" i="19" s="1"/>
  <c r="NH308" i="19" a="1"/>
  <c r="NH308" i="19" s="1"/>
  <c r="NK308" i="19" s="1" a="1"/>
  <c r="NK308" i="19" s="1"/>
  <c r="NL308" i="19" s="1" a="1"/>
  <c r="NL308" i="19" s="1"/>
  <c r="NV309" i="19" a="1"/>
  <c r="NV309" i="19" s="1"/>
  <c r="OF309" i="19" s="1" a="1"/>
  <c r="OF309" i="19" s="1"/>
  <c r="OG309" i="19" s="1" a="1"/>
  <c r="OG309" i="19" s="1"/>
  <c r="NH311" i="19" a="1"/>
  <c r="NH311" i="19" s="1"/>
  <c r="NK311" i="19" s="1" a="1"/>
  <c r="NK311" i="19" s="1"/>
  <c r="NL311" i="19" s="1" a="1"/>
  <c r="NL311" i="19" s="1"/>
  <c r="NH314" i="19" a="1"/>
  <c r="NH314" i="19" s="1"/>
  <c r="NK314" i="19" s="1" a="1"/>
  <c r="NK314" i="19" s="1"/>
  <c r="NL314" i="19" s="1" a="1"/>
  <c r="NL314" i="19" s="1"/>
  <c r="NV314" i="19" a="1"/>
  <c r="NV314" i="19" s="1"/>
  <c r="OF314" i="19" s="1" a="1"/>
  <c r="OF314" i="19" s="1"/>
  <c r="OG314" i="19" s="1" a="1"/>
  <c r="OG314" i="19" s="1"/>
  <c r="NN317" i="19" a="1"/>
  <c r="NN317" i="19" s="1"/>
  <c r="NS317" i="19" s="1" a="1"/>
  <c r="NS317" i="19" s="1"/>
  <c r="NV319" i="19" a="1"/>
  <c r="NV319" i="19" s="1"/>
  <c r="OF319" i="19" s="1" a="1"/>
  <c r="OF319" i="19" s="1"/>
  <c r="OG319" i="19" s="1" a="1"/>
  <c r="OG319" i="19" s="1"/>
  <c r="NH321" i="19" a="1"/>
  <c r="NH321" i="19" s="1"/>
  <c r="NK321" i="19" s="1" a="1"/>
  <c r="NK321" i="19" s="1"/>
  <c r="NL321" i="19" s="1" a="1"/>
  <c r="NL321" i="19" s="1"/>
  <c r="NH323" i="19" a="1"/>
  <c r="NH323" i="19" s="1"/>
  <c r="NK323" i="19" s="1" a="1"/>
  <c r="NK323" i="19" s="1"/>
  <c r="NL323" i="19" s="1" a="1"/>
  <c r="NL323" i="19" s="1"/>
  <c r="NN331" i="19" a="1"/>
  <c r="NN331" i="19" s="1"/>
  <c r="NS331" i="19" s="1" a="1"/>
  <c r="NS331" i="19" s="1"/>
  <c r="NV332" i="19" a="1"/>
  <c r="NV332" i="19" s="1"/>
  <c r="OF332" i="19" s="1" a="1"/>
  <c r="OF332" i="19" s="1"/>
  <c r="OG332" i="19" s="1" a="1"/>
  <c r="OG332" i="19" s="1"/>
  <c r="NV335" i="19" a="1"/>
  <c r="NV335" i="19" s="1"/>
  <c r="OF335" i="19" s="1" a="1"/>
  <c r="OF335" i="19" s="1"/>
  <c r="OG335" i="19" s="1" a="1"/>
  <c r="OG335" i="19" s="1"/>
  <c r="NN337" i="19" a="1"/>
  <c r="NN337" i="19" s="1"/>
  <c r="NS337" i="19" s="1" a="1"/>
  <c r="NS337" i="19" s="1"/>
  <c r="NH339" i="19" a="1"/>
  <c r="NH339" i="19" s="1"/>
  <c r="NK339" i="19" s="1" a="1"/>
  <c r="NK339" i="19" s="1"/>
  <c r="NL339" i="19" s="1" a="1"/>
  <c r="NL339" i="19" s="1"/>
  <c r="NH340" i="19" a="1"/>
  <c r="NH340" i="19" s="1"/>
  <c r="NK340" i="19" s="1" a="1"/>
  <c r="NK340" i="19" s="1"/>
  <c r="NL340" i="19" s="1" a="1"/>
  <c r="NL340" i="19" s="1"/>
  <c r="NV343" i="19" a="1"/>
  <c r="NV343" i="19" s="1"/>
  <c r="OF343" i="19" s="1" a="1"/>
  <c r="OF343" i="19" s="1"/>
  <c r="OG343" i="19" s="1" a="1"/>
  <c r="OG343" i="19" s="1"/>
  <c r="I287" i="19"/>
  <c r="H287" i="19" s="1"/>
  <c r="C287" i="19" s="1"/>
  <c r="I295" i="19"/>
  <c r="H295" i="19" s="1"/>
  <c r="C295" i="19" s="1"/>
  <c r="I303" i="19"/>
  <c r="H303" i="19" s="1"/>
  <c r="C303" i="19" s="1"/>
  <c r="I311" i="19"/>
  <c r="H311" i="19" s="1"/>
  <c r="C311" i="19" s="1"/>
  <c r="I319" i="19"/>
  <c r="H319" i="19" s="1"/>
  <c r="C319" i="19" s="1"/>
  <c r="I327" i="19"/>
  <c r="H327" i="19" s="1"/>
  <c r="C327" i="19" s="1"/>
  <c r="I335" i="19"/>
  <c r="H335" i="19" s="1"/>
  <c r="C335" i="19" s="1"/>
  <c r="I343" i="19"/>
  <c r="H343" i="19" s="1"/>
  <c r="C343" i="19" s="1"/>
  <c r="I351" i="19"/>
  <c r="H351" i="19" s="1"/>
  <c r="C351" i="19" s="1"/>
  <c r="I359" i="19"/>
  <c r="H359" i="19" s="1"/>
  <c r="C359" i="19" s="1"/>
  <c r="NV283" i="19" a="1"/>
  <c r="NV283" i="19" s="1"/>
  <c r="OF283" i="19" s="1" a="1"/>
  <c r="OF283" i="19" s="1"/>
  <c r="OG283" i="19" s="1" a="1"/>
  <c r="OG283" i="19" s="1"/>
  <c r="NN288" i="19" a="1"/>
  <c r="NN288" i="19" s="1"/>
  <c r="NS288" i="19" s="1" a="1"/>
  <c r="NS288" i="19" s="1"/>
  <c r="NH296" i="19" a="1"/>
  <c r="NH296" i="19" s="1"/>
  <c r="NK296" i="19" s="1" a="1"/>
  <c r="NK296" i="19" s="1"/>
  <c r="NL296" i="19" s="1" a="1"/>
  <c r="NL296" i="19" s="1"/>
  <c r="NV298" i="19" a="1"/>
  <c r="NV298" i="19" s="1"/>
  <c r="OF298" i="19" s="1" a="1"/>
  <c r="OF298" i="19" s="1"/>
  <c r="OG298" i="19" s="1" a="1"/>
  <c r="OG298" i="19" s="1"/>
  <c r="NH300" i="19" a="1"/>
  <c r="NH300" i="19" s="1"/>
  <c r="NK300" i="19" s="1" a="1"/>
  <c r="NK300" i="19" s="1"/>
  <c r="NL300" i="19" s="1" a="1"/>
  <c r="NL300" i="19" s="1"/>
  <c r="NV301" i="19" a="1"/>
  <c r="NV301" i="19" s="1"/>
  <c r="OF301" i="19" s="1" a="1"/>
  <c r="OF301" i="19" s="1"/>
  <c r="OG301" i="19" s="1" a="1"/>
  <c r="OG301" i="19" s="1"/>
  <c r="NH303" i="19" a="1"/>
  <c r="NH303" i="19" s="1"/>
  <c r="NK303" i="19" s="1" a="1"/>
  <c r="NK303" i="19" s="1"/>
  <c r="NL303" i="19" s="1" a="1"/>
  <c r="NL303" i="19" s="1"/>
  <c r="NV306" i="19" a="1"/>
  <c r="NV306" i="19" s="1"/>
  <c r="OF306" i="19" s="1" a="1"/>
  <c r="OF306" i="19" s="1"/>
  <c r="OG306" i="19" s="1" a="1"/>
  <c r="OG306" i="19" s="1"/>
  <c r="NV312" i="19" a="1"/>
  <c r="NV312" i="19" s="1"/>
  <c r="OF312" i="19" s="1" a="1"/>
  <c r="OF312" i="19" s="1"/>
  <c r="OG312" i="19" s="1" a="1"/>
  <c r="OG312" i="19" s="1"/>
  <c r="NH315" i="19" a="1"/>
  <c r="NH315" i="19" s="1"/>
  <c r="NK315" i="19" s="1" a="1"/>
  <c r="NK315" i="19" s="1"/>
  <c r="NL315" i="19" s="1" a="1"/>
  <c r="NL315" i="19" s="1"/>
  <c r="NH324" i="19" a="1"/>
  <c r="NH324" i="19" s="1"/>
  <c r="NK324" i="19" s="1" a="1"/>
  <c r="NK324" i="19" s="1"/>
  <c r="NL324" i="19" s="1" a="1"/>
  <c r="NL324" i="19" s="1"/>
  <c r="NV325" i="19" a="1"/>
  <c r="NV325" i="19" s="1"/>
  <c r="OF325" i="19" s="1" a="1"/>
  <c r="OF325" i="19" s="1"/>
  <c r="OG325" i="19" s="1" a="1"/>
  <c r="OG325" i="19" s="1"/>
  <c r="NN327" i="19" a="1"/>
  <c r="NN327" i="19" s="1"/>
  <c r="NS327" i="19" s="1" a="1"/>
  <c r="NS327" i="19" s="1"/>
  <c r="NH329" i="19" a="1"/>
  <c r="NH329" i="19" s="1"/>
  <c r="NK329" i="19" s="1" a="1"/>
  <c r="NK329" i="19" s="1"/>
  <c r="NL329" i="19" s="1" a="1"/>
  <c r="NL329" i="19" s="1"/>
  <c r="NH330" i="19" a="1"/>
  <c r="NH330" i="19" s="1"/>
  <c r="NK330" i="19" s="1" a="1"/>
  <c r="NK330" i="19" s="1"/>
  <c r="NL330" i="19" s="1" a="1"/>
  <c r="NL330" i="19" s="1"/>
  <c r="NH333" i="19" a="1"/>
  <c r="NH333" i="19" s="1"/>
  <c r="NK333" i="19" s="1" a="1"/>
  <c r="NK333" i="19" s="1"/>
  <c r="NL333" i="19" s="1" a="1"/>
  <c r="NL333" i="19" s="1"/>
  <c r="NH334" i="19" a="1"/>
  <c r="NH334" i="19" s="1"/>
  <c r="NK334" i="19" s="1" a="1"/>
  <c r="NK334" i="19" s="1"/>
  <c r="NL334" i="19" s="1" a="1"/>
  <c r="NL334" i="19" s="1"/>
  <c r="NV341" i="19" a="1"/>
  <c r="NV341" i="19" s="1"/>
  <c r="OF341" i="19" s="1" a="1"/>
  <c r="OF341" i="19" s="1"/>
  <c r="OG341" i="19" s="1" a="1"/>
  <c r="OG341" i="19" s="1"/>
  <c r="I282" i="19"/>
  <c r="H282" i="19" s="1"/>
  <c r="C282" i="19" s="1"/>
  <c r="I290" i="19"/>
  <c r="H290" i="19" s="1"/>
  <c r="C290" i="19" s="1"/>
  <c r="I298" i="19"/>
  <c r="H298" i="19" s="1"/>
  <c r="C298" i="19" s="1"/>
  <c r="I306" i="19"/>
  <c r="H306" i="19" s="1"/>
  <c r="C306" i="19" s="1"/>
  <c r="I314" i="19"/>
  <c r="H314" i="19" s="1"/>
  <c r="C314" i="19" s="1"/>
  <c r="I322" i="19"/>
  <c r="H322" i="19" s="1"/>
  <c r="C322" i="19" s="1"/>
  <c r="I330" i="19"/>
  <c r="H330" i="19" s="1"/>
  <c r="C330" i="19" s="1"/>
  <c r="I338" i="19"/>
  <c r="H338" i="19" s="1"/>
  <c r="C338" i="19" s="1"/>
  <c r="I346" i="19"/>
  <c r="H346" i="19" s="1"/>
  <c r="C346" i="19" s="1"/>
  <c r="I354" i="19"/>
  <c r="H354" i="19" s="1"/>
  <c r="C354" i="19" s="1"/>
  <c r="NH281" i="19" a="1"/>
  <c r="NH281" i="19" s="1"/>
  <c r="NK281" i="19" s="1" a="1"/>
  <c r="NK281" i="19" s="1"/>
  <c r="NL281" i="19" s="1" a="1"/>
  <c r="NL281" i="19" s="1"/>
  <c r="NN282" i="19" a="1"/>
  <c r="NN282" i="19" s="1"/>
  <c r="NS282" i="19" s="1" a="1"/>
  <c r="NS282" i="19" s="1"/>
  <c r="NN285" i="19" a="1"/>
  <c r="NN285" i="19" s="1"/>
  <c r="NS285" i="19" s="1" a="1"/>
  <c r="NS285" i="19" s="1"/>
  <c r="NT285" i="19" s="1" a="1"/>
  <c r="NT285" i="19" s="1"/>
  <c r="NV288" i="19" a="1"/>
  <c r="NV288" i="19" s="1"/>
  <c r="OF288" i="19" s="1" a="1"/>
  <c r="OF288" i="19" s="1"/>
  <c r="OG288" i="19" s="1" a="1"/>
  <c r="OG288" i="19" s="1"/>
  <c r="NV291" i="19" a="1"/>
  <c r="NV291" i="19" s="1"/>
  <c r="OF291" i="19" s="1" a="1"/>
  <c r="OF291" i="19" s="1"/>
  <c r="OG291" i="19" s="1" a="1"/>
  <c r="OG291" i="19" s="1"/>
  <c r="NV294" i="19" a="1"/>
  <c r="NV294" i="19" s="1"/>
  <c r="OF294" i="19" s="1" a="1"/>
  <c r="OF294" i="19" s="1"/>
  <c r="OG294" i="19" s="1" a="1"/>
  <c r="OG294" i="19" s="1"/>
  <c r="NV297" i="19" a="1"/>
  <c r="NV297" i="19" s="1"/>
  <c r="OF297" i="19" s="1" a="1"/>
  <c r="OF297" i="19" s="1"/>
  <c r="OG297" i="19" s="1" a="1"/>
  <c r="OG297" i="19" s="1"/>
  <c r="NH299" i="19" a="1"/>
  <c r="NH299" i="19" s="1"/>
  <c r="NK299" i="19" s="1" a="1"/>
  <c r="NK299" i="19" s="1"/>
  <c r="NL299" i="19" s="1" a="1"/>
  <c r="NL299" i="19" s="1"/>
  <c r="NH302" i="19" a="1"/>
  <c r="NH302" i="19" s="1"/>
  <c r="NK302" i="19" s="1" a="1"/>
  <c r="NK302" i="19" s="1"/>
  <c r="NL302" i="19" s="1" a="1"/>
  <c r="NL302" i="19" s="1"/>
  <c r="NH306" i="19" a="1"/>
  <c r="NH306" i="19" s="1"/>
  <c r="NK306" i="19" s="1" a="1"/>
  <c r="NK306" i="19" s="1"/>
  <c r="NL306" i="19" s="1" a="1"/>
  <c r="NL306" i="19" s="1"/>
  <c r="NH307" i="19" a="1"/>
  <c r="NH307" i="19" s="1"/>
  <c r="NK307" i="19" s="1" a="1"/>
  <c r="NK307" i="19" s="1"/>
  <c r="NL307" i="19" s="1" a="1"/>
  <c r="NL307" i="19" s="1"/>
  <c r="NN308" i="19" a="1"/>
  <c r="NN308" i="19" s="1"/>
  <c r="NS308" i="19" s="1" a="1"/>
  <c r="NS308" i="19" s="1"/>
  <c r="NH310" i="19" a="1"/>
  <c r="NH310" i="19" s="1"/>
  <c r="NK310" i="19" s="1" a="1"/>
  <c r="NK310" i="19" s="1"/>
  <c r="NL310" i="19" s="1" a="1"/>
  <c r="NL310" i="19" s="1"/>
  <c r="NN311" i="19" a="1"/>
  <c r="NN311" i="19" s="1"/>
  <c r="NS311" i="19" s="1" a="1"/>
  <c r="NS311" i="19" s="1"/>
  <c r="NN316" i="19" a="1"/>
  <c r="NN316" i="19" s="1"/>
  <c r="NS316" i="19" s="1" a="1"/>
  <c r="NS316" i="19" s="1"/>
  <c r="NV317" i="19" a="1"/>
  <c r="NV317" i="19" s="1"/>
  <c r="OF317" i="19" s="1" a="1"/>
  <c r="OF317" i="19" s="1"/>
  <c r="OG317" i="19" s="1" a="1"/>
  <c r="OG317" i="19" s="1"/>
  <c r="NN324" i="19" a="1"/>
  <c r="NN324" i="19" s="1"/>
  <c r="NS324" i="19" s="1" a="1"/>
  <c r="NS324" i="19" s="1"/>
  <c r="NT324" i="19" s="1" a="1"/>
  <c r="NT324" i="19" s="1"/>
  <c r="NN330" i="19" a="1"/>
  <c r="NN330" i="19" s="1"/>
  <c r="NS330" i="19" s="1" a="1"/>
  <c r="NS330" i="19" s="1"/>
  <c r="NN334" i="19" a="1"/>
  <c r="NN334" i="19" s="1"/>
  <c r="NS334" i="19" s="1" a="1"/>
  <c r="NS334" i="19" s="1"/>
  <c r="NH336" i="19" a="1"/>
  <c r="NH336" i="19" s="1"/>
  <c r="NK336" i="19" s="1" a="1"/>
  <c r="NK336" i="19" s="1"/>
  <c r="NL336" i="19" s="1" a="1"/>
  <c r="NL336" i="19" s="1"/>
  <c r="NN340" i="19" a="1"/>
  <c r="NN340" i="19" s="1"/>
  <c r="NS340" i="19" s="1" a="1"/>
  <c r="NS340" i="19" s="1"/>
  <c r="NN345" i="19" a="1"/>
  <c r="NN345" i="19" s="1"/>
  <c r="NS345" i="19" s="1" a="1"/>
  <c r="NS345" i="19" s="1"/>
  <c r="NV346" i="19" a="1"/>
  <c r="NV346" i="19" s="1"/>
  <c r="OF346" i="19" s="1" a="1"/>
  <c r="OF346" i="19" s="1"/>
  <c r="OG346" i="19" s="1" a="1"/>
  <c r="OG346" i="19" s="1"/>
  <c r="NN349" i="19" a="1"/>
  <c r="NN349" i="19" s="1"/>
  <c r="NS349" i="19" s="1" a="1"/>
  <c r="NS349" i="19" s="1"/>
  <c r="NN350" i="19" a="1"/>
  <c r="NN350" i="19" s="1"/>
  <c r="NS350" i="19" s="1" a="1"/>
  <c r="NS350" i="19" s="1"/>
  <c r="NN354" i="19" a="1"/>
  <c r="NN354" i="19" s="1"/>
  <c r="NS354" i="19" s="1" a="1"/>
  <c r="NS354" i="19" s="1"/>
  <c r="I285" i="19"/>
  <c r="H285" i="19" s="1"/>
  <c r="C285" i="19" s="1"/>
  <c r="I293" i="19"/>
  <c r="H293" i="19" s="1"/>
  <c r="C293" i="19" s="1"/>
  <c r="I301" i="19"/>
  <c r="H301" i="19" s="1"/>
  <c r="C301" i="19" s="1"/>
  <c r="I309" i="19"/>
  <c r="H309" i="19" s="1"/>
  <c r="C309" i="19" s="1"/>
  <c r="I317" i="19"/>
  <c r="H317" i="19" s="1"/>
  <c r="C317" i="19" s="1"/>
  <c r="I325" i="19"/>
  <c r="H325" i="19" s="1"/>
  <c r="C325" i="19" s="1"/>
  <c r="I333" i="19"/>
  <c r="H333" i="19" s="1"/>
  <c r="C333" i="19" s="1"/>
  <c r="I341" i="19"/>
  <c r="H341" i="19" s="1"/>
  <c r="C341" i="19" s="1"/>
  <c r="I349" i="19"/>
  <c r="H349" i="19" s="1"/>
  <c r="C349" i="19" s="1"/>
  <c r="I357" i="19"/>
  <c r="H357" i="19" s="1"/>
  <c r="C357" i="19" s="1"/>
  <c r="NN281" i="19" a="1"/>
  <c r="NN281" i="19" s="1"/>
  <c r="NS281" i="19" s="1" a="1"/>
  <c r="NS281" i="19" s="1"/>
  <c r="NV282" i="19" a="1"/>
  <c r="NV282" i="19" s="1"/>
  <c r="OF282" i="19" s="1" a="1"/>
  <c r="OF282" i="19" s="1"/>
  <c r="OG282" i="19" s="1" a="1"/>
  <c r="OG282" i="19" s="1"/>
  <c r="NH284" i="19" a="1"/>
  <c r="NH284" i="19" s="1"/>
  <c r="NK284" i="19" s="1" a="1"/>
  <c r="NK284" i="19" s="1"/>
  <c r="NL284" i="19" s="1" a="1"/>
  <c r="NL284" i="19" s="1"/>
  <c r="NV285" i="19" a="1"/>
  <c r="NV285" i="19" s="1"/>
  <c r="OF285" i="19" s="1" a="1"/>
  <c r="OF285" i="19" s="1"/>
  <c r="OG285" i="19" s="1" a="1"/>
  <c r="OG285" i="19" s="1"/>
  <c r="NH287" i="19" a="1"/>
  <c r="NH287" i="19" s="1"/>
  <c r="NK287" i="19" s="1" a="1"/>
  <c r="NK287" i="19" s="1"/>
  <c r="NL287" i="19" s="1" a="1"/>
  <c r="NL287" i="19" s="1"/>
  <c r="NH289" i="19" a="1"/>
  <c r="NH289" i="19" s="1"/>
  <c r="NK289" i="19" s="1" a="1"/>
  <c r="NK289" i="19" s="1"/>
  <c r="NL289" i="19" s="1" a="1"/>
  <c r="NL289" i="19" s="1"/>
  <c r="NH292" i="19" a="1"/>
  <c r="NH292" i="19" s="1"/>
  <c r="NK292" i="19" s="1" a="1"/>
  <c r="NK292" i="19" s="1"/>
  <c r="NL292" i="19" s="1" a="1"/>
  <c r="NL292" i="19" s="1"/>
  <c r="NN293" i="19" a="1"/>
  <c r="NN293" i="19" s="1"/>
  <c r="NS293" i="19" s="1" a="1"/>
  <c r="NS293" i="19" s="1"/>
  <c r="NT293" i="19" s="1" a="1"/>
  <c r="NT293" i="19" s="1"/>
  <c r="NN296" i="19" a="1"/>
  <c r="NN296" i="19" s="1"/>
  <c r="NS296" i="19" s="1" a="1"/>
  <c r="NS296" i="19" s="1"/>
  <c r="NT296" i="19" s="1" a="1"/>
  <c r="NT296" i="19" s="1"/>
  <c r="NN300" i="19" a="1"/>
  <c r="NN300" i="19" s="1"/>
  <c r="NS300" i="19" s="1" a="1"/>
  <c r="NS300" i="19" s="1"/>
  <c r="NN302" i="19" a="1"/>
  <c r="NN302" i="19" s="1"/>
  <c r="NS302" i="19" s="1" a="1"/>
  <c r="NS302" i="19" s="1"/>
  <c r="NN303" i="19" a="1"/>
  <c r="NN303" i="19" s="1"/>
  <c r="NS303" i="19" s="1" a="1"/>
  <c r="NS303" i="19" s="1"/>
  <c r="NH305" i="19" a="1"/>
  <c r="NH305" i="19" s="1"/>
  <c r="NK305" i="19" s="1" a="1"/>
  <c r="NK305" i="19" s="1"/>
  <c r="NL305" i="19" s="1" a="1"/>
  <c r="NL305" i="19" s="1"/>
  <c r="NV308" i="19" a="1"/>
  <c r="NV308" i="19" s="1"/>
  <c r="OF308" i="19" s="1" a="1"/>
  <c r="OF308" i="19" s="1"/>
  <c r="OG308" i="19" s="1" a="1"/>
  <c r="OG308" i="19" s="1"/>
  <c r="NN310" i="19" a="1"/>
  <c r="NN310" i="19" s="1"/>
  <c r="NS310" i="19" s="1" a="1"/>
  <c r="NS310" i="19" s="1"/>
  <c r="NV311" i="19" a="1"/>
  <c r="NV311" i="19" s="1"/>
  <c r="OF311" i="19" s="1" a="1"/>
  <c r="OF311" i="19" s="1"/>
  <c r="OG311" i="19" s="1" a="1"/>
  <c r="OG311" i="19" s="1"/>
  <c r="NH313" i="19" a="1"/>
  <c r="NH313" i="19" s="1"/>
  <c r="NK313" i="19" s="1" a="1"/>
  <c r="NK313" i="19" s="1"/>
  <c r="NL313" i="19" s="1" a="1"/>
  <c r="NL313" i="19" s="1"/>
  <c r="NN315" i="19" a="1"/>
  <c r="NN315" i="19" s="1"/>
  <c r="NS315" i="19" s="1" a="1"/>
  <c r="NS315" i="19" s="1"/>
  <c r="NT315" i="19" s="1" a="1"/>
  <c r="NT315" i="19" s="1"/>
  <c r="NV316" i="19" a="1"/>
  <c r="NV316" i="19" s="1"/>
  <c r="OF316" i="19" s="1" a="1"/>
  <c r="OF316" i="19" s="1"/>
  <c r="OG316" i="19" s="1" a="1"/>
  <c r="OG316" i="19" s="1"/>
  <c r="NH319" i="19" a="1"/>
  <c r="NH319" i="19" s="1"/>
  <c r="NK319" i="19" s="1" a="1"/>
  <c r="NK319" i="19" s="1"/>
  <c r="NL319" i="19" s="1" a="1"/>
  <c r="NL319" i="19" s="1"/>
  <c r="NH320" i="19" a="1"/>
  <c r="NH320" i="19" s="1"/>
  <c r="NK320" i="19" s="1" a="1"/>
  <c r="NK320" i="19" s="1"/>
  <c r="NL320" i="19" s="1" a="1"/>
  <c r="NL320" i="19" s="1"/>
  <c r="NN321" i="19" a="1"/>
  <c r="NN321" i="19" s="1"/>
  <c r="NS321" i="19" s="1" a="1"/>
  <c r="NS321" i="19" s="1"/>
  <c r="NT321" i="19" s="1" a="1"/>
  <c r="NT321" i="19" s="1"/>
  <c r="NN322" i="19" a="1"/>
  <c r="NN322" i="19" s="1"/>
  <c r="NS322" i="19" s="1" a="1"/>
  <c r="NS322" i="19" s="1"/>
  <c r="NT322" i="19" s="1" a="1"/>
  <c r="NT322" i="19" s="1"/>
  <c r="OI322" i="19" s="1"/>
  <c r="E322" i="19" s="1"/>
  <c r="NN323" i="19" a="1"/>
  <c r="NN323" i="19" s="1"/>
  <c r="NS323" i="19" s="1" a="1"/>
  <c r="NS323" i="19" s="1"/>
  <c r="NV324" i="19" a="1"/>
  <c r="NV324" i="19" s="1"/>
  <c r="OF324" i="19" s="1" a="1"/>
  <c r="OF324" i="19" s="1"/>
  <c r="OG324" i="19" s="1" a="1"/>
  <c r="OG324" i="19" s="1"/>
  <c r="NV327" i="19" a="1"/>
  <c r="NV327" i="19" s="1"/>
  <c r="OF327" i="19" s="1" a="1"/>
  <c r="OF327" i="19" s="1"/>
  <c r="OG327" i="19" s="1" a="1"/>
  <c r="OG327" i="19" s="1"/>
  <c r="NV330" i="19" a="1"/>
  <c r="NV330" i="19" s="1"/>
  <c r="OF330" i="19" s="1" a="1"/>
  <c r="OF330" i="19" s="1"/>
  <c r="OG330" i="19" s="1" a="1"/>
  <c r="OG330" i="19" s="1"/>
  <c r="I283" i="19"/>
  <c r="H283" i="19" s="1"/>
  <c r="C283" i="19" s="1"/>
  <c r="I291" i="19"/>
  <c r="H291" i="19" s="1"/>
  <c r="C291" i="19" s="1"/>
  <c r="I299" i="19"/>
  <c r="H299" i="19" s="1"/>
  <c r="C299" i="19" s="1"/>
  <c r="I307" i="19"/>
  <c r="H307" i="19" s="1"/>
  <c r="C307" i="19" s="1"/>
  <c r="I315" i="19"/>
  <c r="H315" i="19" s="1"/>
  <c r="C315" i="19" s="1"/>
  <c r="I323" i="19"/>
  <c r="H323" i="19" s="1"/>
  <c r="C323" i="19" s="1"/>
  <c r="I331" i="19"/>
  <c r="H331" i="19" s="1"/>
  <c r="C331" i="19" s="1"/>
  <c r="I339" i="19"/>
  <c r="H339" i="19" s="1"/>
  <c r="C339" i="19" s="1"/>
  <c r="I347" i="19"/>
  <c r="H347" i="19" s="1"/>
  <c r="C347" i="19" s="1"/>
  <c r="I355" i="19"/>
  <c r="H355" i="19" s="1"/>
  <c r="C355" i="19" s="1"/>
  <c r="NV281" i="19" a="1"/>
  <c r="NV281" i="19" s="1"/>
  <c r="OF281" i="19" s="1" a="1"/>
  <c r="OF281" i="19" s="1"/>
  <c r="OG281" i="19" s="1" a="1"/>
  <c r="OG281" i="19" s="1"/>
  <c r="NN284" i="19" a="1"/>
  <c r="NN284" i="19" s="1"/>
  <c r="NS284" i="19" s="1" a="1"/>
  <c r="NS284" i="19" s="1"/>
  <c r="NN286" i="19" a="1"/>
  <c r="NN286" i="19" s="1"/>
  <c r="NS286" i="19" s="1" a="1"/>
  <c r="NS286" i="19" s="1"/>
  <c r="NN287" i="19" a="1"/>
  <c r="NN287" i="19" s="1"/>
  <c r="NS287" i="19" s="1" a="1"/>
  <c r="NS287" i="19" s="1"/>
  <c r="NV290" i="19" a="1"/>
  <c r="NV290" i="19" s="1"/>
  <c r="OF290" i="19" s="1" a="1"/>
  <c r="OF290" i="19" s="1"/>
  <c r="OG290" i="19" s="1" a="1"/>
  <c r="OG290" i="19" s="1"/>
  <c r="NN292" i="19" a="1"/>
  <c r="NN292" i="19" s="1"/>
  <c r="NS292" i="19" s="1" a="1"/>
  <c r="NS292" i="19" s="1"/>
  <c r="NV293" i="19" a="1"/>
  <c r="NV293" i="19" s="1"/>
  <c r="OF293" i="19" s="1" a="1"/>
  <c r="OF293" i="19" s="1"/>
  <c r="OG293" i="19" s="1" a="1"/>
  <c r="OG293" i="19" s="1"/>
  <c r="NH295" i="19" a="1"/>
  <c r="NH295" i="19" s="1"/>
  <c r="NK295" i="19" s="1" a="1"/>
  <c r="NK295" i="19" s="1"/>
  <c r="NL295" i="19" s="1" a="1"/>
  <c r="NL295" i="19" s="1"/>
  <c r="NH301" i="19" a="1"/>
  <c r="NH301" i="19" s="1"/>
  <c r="NK301" i="19" s="1" a="1"/>
  <c r="NK301" i="19" s="1"/>
  <c r="NL301" i="19" s="1" a="1"/>
  <c r="NL301" i="19" s="1"/>
  <c r="NV302" i="19" a="1"/>
  <c r="NV302" i="19" s="1"/>
  <c r="OF302" i="19" s="1" a="1"/>
  <c r="OF302" i="19" s="1"/>
  <c r="OG302" i="19" s="1" a="1"/>
  <c r="OG302" i="19" s="1"/>
  <c r="NN305" i="19" a="1"/>
  <c r="NN305" i="19" s="1"/>
  <c r="NS305" i="19" s="1" a="1"/>
  <c r="NS305" i="19" s="1"/>
  <c r="NN306" i="19" a="1"/>
  <c r="NN306" i="19" s="1"/>
  <c r="NS306" i="19" s="1" a="1"/>
  <c r="NS306" i="19" s="1"/>
  <c r="NH309" i="19" a="1"/>
  <c r="NH309" i="19" s="1"/>
  <c r="NK309" i="19" s="1" a="1"/>
  <c r="NK309" i="19" s="1"/>
  <c r="NL309" i="19" s="1" a="1"/>
  <c r="NL309" i="19" s="1"/>
  <c r="NH312" i="19" a="1"/>
  <c r="NH312" i="19" s="1"/>
  <c r="NK312" i="19" s="1" a="1"/>
  <c r="NK312" i="19" s="1"/>
  <c r="NL312" i="19" s="1" a="1"/>
  <c r="NL312" i="19" s="1"/>
  <c r="NV315" i="19" a="1"/>
  <c r="NV315" i="19" s="1"/>
  <c r="OF315" i="19" s="1" a="1"/>
  <c r="OF315" i="19" s="1"/>
  <c r="OG315" i="19" s="1" a="1"/>
  <c r="OG315" i="19" s="1"/>
  <c r="NH317" i="19" a="1"/>
  <c r="NH317" i="19" s="1"/>
  <c r="NK317" i="19" s="1" a="1"/>
  <c r="NK317" i="19" s="1"/>
  <c r="NL317" i="19" s="1" a="1"/>
  <c r="NL317" i="19" s="1"/>
  <c r="NN318" i="19" a="1"/>
  <c r="NN318" i="19" s="1"/>
  <c r="NS318" i="19" s="1" a="1"/>
  <c r="NS318" i="19" s="1"/>
  <c r="NV321" i="19" a="1"/>
  <c r="NV321" i="19" s="1"/>
  <c r="OF321" i="19" s="1" a="1"/>
  <c r="OF321" i="19" s="1"/>
  <c r="OG321" i="19" s="1" a="1"/>
  <c r="OG321" i="19" s="1"/>
  <c r="NN326" i="19" a="1"/>
  <c r="NN326" i="19" s="1"/>
  <c r="NS326" i="19" s="1" a="1"/>
  <c r="NS326" i="19" s="1"/>
  <c r="NH328" i="19" a="1"/>
  <c r="NH328" i="19" s="1"/>
  <c r="NK328" i="19" s="1" a="1"/>
  <c r="NK328" i="19" s="1"/>
  <c r="NL328" i="19" s="1" a="1"/>
  <c r="NL328" i="19" s="1"/>
  <c r="NH337" i="19" a="1"/>
  <c r="NH337" i="19" s="1"/>
  <c r="NK337" i="19" s="1" a="1"/>
  <c r="NK337" i="19" s="1"/>
  <c r="NL337" i="19" s="1" a="1"/>
  <c r="NL337" i="19" s="1"/>
  <c r="NH338" i="19" a="1"/>
  <c r="NH338" i="19" s="1"/>
  <c r="NK338" i="19" s="1" a="1"/>
  <c r="NK338" i="19" s="1"/>
  <c r="NL338" i="19" s="1" a="1"/>
  <c r="NL338" i="19" s="1"/>
  <c r="NN343" i="19" a="1"/>
  <c r="NN343" i="19" s="1"/>
  <c r="NS343" i="19" s="1" a="1"/>
  <c r="NS343" i="19" s="1"/>
  <c r="NV348" i="19" a="1"/>
  <c r="NV348" i="19" s="1"/>
  <c r="OF348" i="19" s="1" a="1"/>
  <c r="OF348" i="19" s="1"/>
  <c r="OG348" i="19" s="1" a="1"/>
  <c r="OG348" i="19" s="1"/>
  <c r="I288" i="19"/>
  <c r="H288" i="19" s="1"/>
  <c r="C288" i="19" s="1"/>
  <c r="I352" i="19"/>
  <c r="H352" i="19" s="1"/>
  <c r="C352" i="19" s="1"/>
  <c r="NN289" i="19" a="1"/>
  <c r="NN289" i="19" s="1"/>
  <c r="NS289" i="19" s="1" a="1"/>
  <c r="NS289" i="19" s="1"/>
  <c r="NT289" i="19" s="1" a="1"/>
  <c r="NT289" i="19" s="1"/>
  <c r="OI289" i="19" s="1"/>
  <c r="E289" i="19" s="1"/>
  <c r="NV300" i="19" a="1"/>
  <c r="NV300" i="19" s="1"/>
  <c r="OF300" i="19" s="1" a="1"/>
  <c r="OF300" i="19" s="1"/>
  <c r="OG300" i="19" s="1" a="1"/>
  <c r="OG300" i="19" s="1"/>
  <c r="NH331" i="19" a="1"/>
  <c r="NH331" i="19" s="1"/>
  <c r="NK331" i="19" s="1" a="1"/>
  <c r="NK331" i="19" s="1"/>
  <c r="NL331" i="19" s="1" a="1"/>
  <c r="NL331" i="19" s="1"/>
  <c r="NV334" i="19" a="1"/>
  <c r="NV334" i="19" s="1"/>
  <c r="OF334" i="19" s="1" a="1"/>
  <c r="OF334" i="19" s="1"/>
  <c r="OG334" i="19" s="1" a="1"/>
  <c r="OG334" i="19" s="1"/>
  <c r="NV338" i="19" a="1"/>
  <c r="NV338" i="19" s="1"/>
  <c r="OF338" i="19" s="1" a="1"/>
  <c r="OF338" i="19" s="1"/>
  <c r="OG338" i="19" s="1" a="1"/>
  <c r="OG338" i="19" s="1"/>
  <c r="NH342" i="19" a="1"/>
  <c r="NH342" i="19" s="1"/>
  <c r="NK342" i="19" s="1" a="1"/>
  <c r="NK342" i="19" s="1"/>
  <c r="NL342" i="19" s="1" a="1"/>
  <c r="NL342" i="19" s="1"/>
  <c r="NH344" i="19" a="1"/>
  <c r="NH344" i="19" s="1"/>
  <c r="NK344" i="19" s="1" a="1"/>
  <c r="NK344" i="19" s="1"/>
  <c r="NL344" i="19" s="1" a="1"/>
  <c r="NL344" i="19" s="1"/>
  <c r="NN346" i="19" a="1"/>
  <c r="NN346" i="19" s="1"/>
  <c r="NS346" i="19" s="1" a="1"/>
  <c r="NS346" i="19" s="1"/>
  <c r="NH350" i="19" a="1"/>
  <c r="NH350" i="19" s="1"/>
  <c r="NK350" i="19" s="1" a="1"/>
  <c r="NK350" i="19" s="1"/>
  <c r="NL350" i="19" s="1" a="1"/>
  <c r="NL350" i="19" s="1"/>
  <c r="NH353" i="19" a="1"/>
  <c r="NH353" i="19" s="1"/>
  <c r="NK353" i="19" s="1" a="1"/>
  <c r="NK353" i="19" s="1"/>
  <c r="NL353" i="19" s="1" a="1"/>
  <c r="NL353" i="19" s="1"/>
  <c r="NV358" i="19" a="1"/>
  <c r="NV358" i="19" s="1"/>
  <c r="OF358" i="19" s="1" a="1"/>
  <c r="OF358" i="19" s="1"/>
  <c r="OG358" i="19" s="1" a="1"/>
  <c r="OG358" i="19" s="1"/>
  <c r="I312" i="19"/>
  <c r="H312" i="19" s="1"/>
  <c r="C312" i="19" s="1"/>
  <c r="NN290" i="19" a="1"/>
  <c r="NN290" i="19" s="1"/>
  <c r="NS290" i="19" s="1" a="1"/>
  <c r="NS290" i="19" s="1"/>
  <c r="NN313" i="19" a="1"/>
  <c r="NN313" i="19" s="1"/>
  <c r="NS313" i="19" s="1" a="1"/>
  <c r="NS313" i="19" s="1"/>
  <c r="NH335" i="19" a="1"/>
  <c r="NH335" i="19" s="1"/>
  <c r="NK335" i="19" s="1" a="1"/>
  <c r="NK335" i="19" s="1"/>
  <c r="NL335" i="19" s="1" a="1"/>
  <c r="NL335" i="19" s="1"/>
  <c r="NN342" i="19" a="1"/>
  <c r="NN342" i="19" s="1"/>
  <c r="NS342" i="19" s="1" a="1"/>
  <c r="NS342" i="19" s="1"/>
  <c r="NV344" i="19" a="1"/>
  <c r="NV344" i="19" s="1"/>
  <c r="OF344" i="19" s="1" a="1"/>
  <c r="OF344" i="19" s="1"/>
  <c r="OG344" i="19" s="1" a="1"/>
  <c r="OG344" i="19" s="1"/>
  <c r="NH347" i="19" a="1"/>
  <c r="NH347" i="19" s="1"/>
  <c r="NK347" i="19" s="1" a="1"/>
  <c r="NK347" i="19" s="1"/>
  <c r="NL347" i="19" s="1" a="1"/>
  <c r="NL347" i="19" s="1"/>
  <c r="NV351" i="19" a="1"/>
  <c r="NV351" i="19" s="1"/>
  <c r="OF351" i="19" s="1" a="1"/>
  <c r="OF351" i="19" s="1"/>
  <c r="OG351" i="19" s="1" a="1"/>
  <c r="OG351" i="19" s="1"/>
  <c r="NV354" i="19" a="1"/>
  <c r="NV354" i="19" s="1"/>
  <c r="OF354" i="19" s="1" a="1"/>
  <c r="OF354" i="19" s="1"/>
  <c r="OG354" i="19" s="1" a="1"/>
  <c r="OG354" i="19" s="1"/>
  <c r="NV356" i="19" a="1"/>
  <c r="NV356" i="19" s="1"/>
  <c r="OF356" i="19" s="1" a="1"/>
  <c r="OF356" i="19" s="1"/>
  <c r="OG356" i="19" s="1" a="1"/>
  <c r="OG356" i="19" s="1"/>
  <c r="I336" i="19"/>
  <c r="H336" i="19" s="1"/>
  <c r="C336" i="19" s="1"/>
  <c r="NV303" i="19" a="1"/>
  <c r="NV303" i="19" s="1"/>
  <c r="OF303" i="19" s="1" a="1"/>
  <c r="OF303" i="19" s="1"/>
  <c r="OG303" i="19" s="1" a="1"/>
  <c r="OG303" i="19" s="1"/>
  <c r="NN314" i="19" a="1"/>
  <c r="NN314" i="19" s="1"/>
  <c r="NS314" i="19" s="1" a="1"/>
  <c r="NS314" i="19" s="1"/>
  <c r="NT314" i="19" s="1" a="1"/>
  <c r="NT314" i="19" s="1"/>
  <c r="NN339" i="19" a="1"/>
  <c r="NN339" i="19" s="1"/>
  <c r="NS339" i="19" s="1" a="1"/>
  <c r="NS339" i="19" s="1"/>
  <c r="NV342" i="19" a="1"/>
  <c r="NV342" i="19" s="1"/>
  <c r="OF342" i="19" s="1" a="1"/>
  <c r="OF342" i="19" s="1"/>
  <c r="OG342" i="19" s="1" a="1"/>
  <c r="OG342" i="19" s="1"/>
  <c r="NH345" i="19" a="1"/>
  <c r="NH345" i="19" s="1"/>
  <c r="NK345" i="19" s="1" a="1"/>
  <c r="NK345" i="19" s="1"/>
  <c r="NL345" i="19" s="1" a="1"/>
  <c r="NL345" i="19" s="1"/>
  <c r="NH349" i="19" a="1"/>
  <c r="NH349" i="19" s="1"/>
  <c r="NK349" i="19" s="1" a="1"/>
  <c r="NK349" i="19" s="1"/>
  <c r="NL349" i="19" s="1" a="1"/>
  <c r="NL349" i="19" s="1"/>
  <c r="NN353" i="19" a="1"/>
  <c r="NN353" i="19" s="1"/>
  <c r="NS353" i="19" s="1" a="1"/>
  <c r="NS353" i="19" s="1"/>
  <c r="NT353" i="19" s="1" a="1"/>
  <c r="NT353" i="19" s="1"/>
  <c r="NH357" i="19" a="1"/>
  <c r="NH357" i="19" s="1"/>
  <c r="NK357" i="19" s="1" a="1"/>
  <c r="NK357" i="19" s="1"/>
  <c r="NL357" i="19" s="1" a="1"/>
  <c r="NL357" i="19" s="1"/>
  <c r="I296" i="19"/>
  <c r="H296" i="19" s="1"/>
  <c r="C296" i="19" s="1"/>
  <c r="NH325" i="19" a="1"/>
  <c r="NH325" i="19" s="1"/>
  <c r="NK325" i="19" s="1" a="1"/>
  <c r="NK325" i="19" s="1"/>
  <c r="NL325" i="19" s="1" a="1"/>
  <c r="NL325" i="19" s="1"/>
  <c r="NV331" i="19" a="1"/>
  <c r="NV331" i="19" s="1"/>
  <c r="OF331" i="19" s="1" a="1"/>
  <c r="OF331" i="19" s="1"/>
  <c r="OG331" i="19" s="1" a="1"/>
  <c r="OG331" i="19" s="1"/>
  <c r="NN336" i="19" a="1"/>
  <c r="NN336" i="19" s="1"/>
  <c r="NS336" i="19" s="1" a="1"/>
  <c r="NS336" i="19" s="1"/>
  <c r="NH343" i="19" a="1"/>
  <c r="NH343" i="19" s="1"/>
  <c r="NK343" i="19" s="1" a="1"/>
  <c r="NK343" i="19" s="1"/>
  <c r="NL343" i="19" s="1" a="1"/>
  <c r="NL343" i="19" s="1"/>
  <c r="NV350" i="19" a="1"/>
  <c r="NV350" i="19" s="1"/>
  <c r="OF350" i="19" s="1" a="1"/>
  <c r="OF350" i="19" s="1"/>
  <c r="OG350" i="19" s="1" a="1"/>
  <c r="OG350" i="19" s="1"/>
  <c r="NH352" i="19" a="1"/>
  <c r="NH352" i="19" s="1"/>
  <c r="NK352" i="19" s="1" a="1"/>
  <c r="NK352" i="19" s="1"/>
  <c r="NL352" i="19" s="1" a="1"/>
  <c r="NL352" i="19" s="1"/>
  <c r="NH355" i="19" a="1"/>
  <c r="NH355" i="19" s="1"/>
  <c r="NK355" i="19" s="1" a="1"/>
  <c r="NK355" i="19" s="1"/>
  <c r="NL355" i="19" s="1" a="1"/>
  <c r="NL355" i="19" s="1"/>
  <c r="NN357" i="19" a="1"/>
  <c r="NN357" i="19" s="1"/>
  <c r="NS357" i="19" s="1" a="1"/>
  <c r="NS357" i="19" s="1"/>
  <c r="NH359" i="19" a="1"/>
  <c r="NH359" i="19" s="1"/>
  <c r="NK359" i="19" s="1" a="1"/>
  <c r="NK359" i="19" s="1"/>
  <c r="NL359" i="19" s="1" a="1"/>
  <c r="NL359" i="19" s="1"/>
  <c r="I344" i="19"/>
  <c r="H344" i="19" s="1"/>
  <c r="C344" i="19" s="1"/>
  <c r="NV296" i="19" a="1"/>
  <c r="NV296" i="19" s="1"/>
  <c r="OF296" i="19" s="1" a="1"/>
  <c r="OF296" i="19" s="1"/>
  <c r="OG296" i="19" s="1" a="1"/>
  <c r="OG296" i="19" s="1"/>
  <c r="NN307" i="19" a="1"/>
  <c r="NN307" i="19" s="1"/>
  <c r="NS307" i="19" s="1" a="1"/>
  <c r="NS307" i="19" s="1"/>
  <c r="NH318" i="19" a="1"/>
  <c r="NH318" i="19" s="1"/>
  <c r="NK318" i="19" s="1" a="1"/>
  <c r="NK318" i="19" s="1"/>
  <c r="NL318" i="19" s="1" a="1"/>
  <c r="NL318" i="19" s="1"/>
  <c r="NH341" i="19" a="1"/>
  <c r="NH341" i="19" s="1"/>
  <c r="NK341" i="19" s="1" a="1"/>
  <c r="NK341" i="19" s="1"/>
  <c r="NL341" i="19" s="1" a="1"/>
  <c r="NL341" i="19" s="1"/>
  <c r="NV345" i="19" a="1"/>
  <c r="NV345" i="19" s="1"/>
  <c r="OF345" i="19" s="1" a="1"/>
  <c r="OF345" i="19" s="1"/>
  <c r="OG345" i="19" s="1" a="1"/>
  <c r="OG345" i="19" s="1"/>
  <c r="NH351" i="19" a="1"/>
  <c r="NH351" i="19" s="1"/>
  <c r="NK351" i="19" s="1" a="1"/>
  <c r="NK351" i="19" s="1"/>
  <c r="NL351" i="19" s="1" a="1"/>
  <c r="NL351" i="19" s="1"/>
  <c r="NV355" i="19" a="1"/>
  <c r="NV355" i="19" s="1"/>
  <c r="OF355" i="19" s="1" a="1"/>
  <c r="OF355" i="19" s="1"/>
  <c r="OG355" i="19" s="1" a="1"/>
  <c r="OG355" i="19" s="1"/>
  <c r="NH358" i="19" a="1"/>
  <c r="NH358" i="19" s="1"/>
  <c r="NK358" i="19" s="1" a="1"/>
  <c r="NK358" i="19" s="1"/>
  <c r="NL358" i="19" s="1" a="1"/>
  <c r="NL358" i="19" s="1"/>
  <c r="NV359" i="19" a="1"/>
  <c r="NV359" i="19" s="1"/>
  <c r="OF359" i="19" s="1" a="1"/>
  <c r="OF359" i="19" s="1"/>
  <c r="OG359" i="19" s="1" a="1"/>
  <c r="OG359" i="19" s="1"/>
  <c r="I304" i="19"/>
  <c r="H304" i="19" s="1"/>
  <c r="C304" i="19" s="1"/>
  <c r="NH286" i="19" a="1"/>
  <c r="NH286" i="19" s="1"/>
  <c r="NK286" i="19" s="1" a="1"/>
  <c r="NK286" i="19" s="1"/>
  <c r="NL286" i="19" s="1" a="1"/>
  <c r="NL286" i="19" s="1"/>
  <c r="NH298" i="19" a="1"/>
  <c r="NH298" i="19" s="1"/>
  <c r="NK298" i="19" s="1" a="1"/>
  <c r="NK298" i="19" s="1"/>
  <c r="NL298" i="19" s="1" a="1"/>
  <c r="NL298" i="19" s="1"/>
  <c r="NN329" i="19" a="1"/>
  <c r="NN329" i="19" s="1"/>
  <c r="NS329" i="19" s="1" a="1"/>
  <c r="NS329" i="19" s="1"/>
  <c r="NN333" i="19" a="1"/>
  <c r="NN333" i="19" s="1"/>
  <c r="NS333" i="19" s="1" a="1"/>
  <c r="NS333" i="19" s="1"/>
  <c r="NV337" i="19" a="1"/>
  <c r="NV337" i="19" s="1"/>
  <c r="OF337" i="19" s="1" a="1"/>
  <c r="OF337" i="19" s="1"/>
  <c r="OG337" i="19" s="1" a="1"/>
  <c r="OG337" i="19" s="1"/>
  <c r="NN341" i="19" a="1"/>
  <c r="NN341" i="19" s="1"/>
  <c r="NS341" i="19" s="1" a="1"/>
  <c r="NS341" i="19" s="1"/>
  <c r="NH346" i="19" a="1"/>
  <c r="NH346" i="19" s="1"/>
  <c r="NK346" i="19" s="1" a="1"/>
  <c r="NK346" i="19" s="1"/>
  <c r="NL346" i="19" s="1" a="1"/>
  <c r="NL346" i="19" s="1"/>
  <c r="NH348" i="19" a="1"/>
  <c r="NH348" i="19" s="1"/>
  <c r="NK348" i="19" s="1" a="1"/>
  <c r="NK348" i="19" s="1"/>
  <c r="NL348" i="19" s="1" a="1"/>
  <c r="NL348" i="19" s="1"/>
  <c r="NV349" i="19" a="1"/>
  <c r="NV349" i="19" s="1"/>
  <c r="OF349" i="19" s="1" a="1"/>
  <c r="OF349" i="19" s="1"/>
  <c r="OG349" i="19" s="1" a="1"/>
  <c r="OG349" i="19" s="1"/>
  <c r="NN352" i="19" a="1"/>
  <c r="NN352" i="19" s="1"/>
  <c r="NS352" i="19" s="1" a="1"/>
  <c r="NS352" i="19" s="1"/>
  <c r="NT352" i="19" s="1" a="1"/>
  <c r="NT352" i="19" s="1"/>
  <c r="NH354" i="19" a="1"/>
  <c r="NH354" i="19" s="1"/>
  <c r="NK354" i="19" s="1" a="1"/>
  <c r="NK354" i="19" s="1"/>
  <c r="NL354" i="19" s="1" a="1"/>
  <c r="NL354" i="19" s="1"/>
  <c r="NH356" i="19" a="1"/>
  <c r="NH356" i="19" s="1"/>
  <c r="NK356" i="19" s="1" a="1"/>
  <c r="NK356" i="19" s="1"/>
  <c r="NL356" i="19" s="1" a="1"/>
  <c r="NL356" i="19" s="1"/>
  <c r="NN332" i="19" a="1"/>
  <c r="NN332" i="19" s="1"/>
  <c r="NS332" i="19" s="1" a="1"/>
  <c r="NS332" i="19" s="1"/>
  <c r="NT332" i="19" s="1" a="1"/>
  <c r="NT332" i="19" s="1"/>
  <c r="NN359" i="19" a="1"/>
  <c r="NN359" i="19" s="1"/>
  <c r="NS359" i="19" s="1" a="1"/>
  <c r="NS359" i="19" s="1"/>
  <c r="NN299" i="19" a="1"/>
  <c r="NN299" i="19" s="1"/>
  <c r="NS299" i="19" s="1" a="1"/>
  <c r="NS299" i="19" s="1"/>
  <c r="NV352" i="19" a="1"/>
  <c r="NV352" i="19" s="1"/>
  <c r="OF352" i="19" s="1" a="1"/>
  <c r="OF352" i="19" s="1"/>
  <c r="OG352" i="19" s="1" a="1"/>
  <c r="OG352" i="19" s="1"/>
  <c r="I320" i="19"/>
  <c r="H320" i="19" s="1"/>
  <c r="C320" i="19" s="1"/>
  <c r="NV336" i="19" a="1"/>
  <c r="NV336" i="19" s="1"/>
  <c r="OF336" i="19" s="1" a="1"/>
  <c r="OF336" i="19" s="1"/>
  <c r="OG336" i="19" s="1" a="1"/>
  <c r="OG336" i="19" s="1"/>
  <c r="NV347" i="19" a="1"/>
  <c r="NV347" i="19" s="1"/>
  <c r="OF347" i="19" s="1" a="1"/>
  <c r="OF347" i="19" s="1"/>
  <c r="OG347" i="19" s="1" a="1"/>
  <c r="OG347" i="19" s="1"/>
  <c r="NV353" i="19" a="1"/>
  <c r="NV353" i="19" s="1"/>
  <c r="OF353" i="19" s="1" a="1"/>
  <c r="OF353" i="19" s="1"/>
  <c r="OG353" i="19" s="1" a="1"/>
  <c r="OG353" i="19" s="1"/>
  <c r="I328" i="19"/>
  <c r="H328" i="19" s="1"/>
  <c r="C328" i="19" s="1"/>
  <c r="NV310" i="19" a="1"/>
  <c r="NV310" i="19" s="1"/>
  <c r="OF310" i="19" s="1" a="1"/>
  <c r="OF310" i="19" s="1"/>
  <c r="OG310" i="19" s="1" a="1"/>
  <c r="OG310" i="19" s="1"/>
  <c r="NN348" i="19" a="1"/>
  <c r="NN348" i="19" s="1"/>
  <c r="NS348" i="19" s="1" a="1"/>
  <c r="NS348" i="19" s="1"/>
  <c r="NN320" i="19" a="1"/>
  <c r="NN320" i="19" s="1"/>
  <c r="NS320" i="19" s="1" a="1"/>
  <c r="NS320" i="19" s="1"/>
  <c r="NN356" i="19" a="1"/>
  <c r="NN356" i="19" s="1"/>
  <c r="NS356" i="19" s="1" a="1"/>
  <c r="NS356" i="19" s="1"/>
  <c r="NH283" i="19" a="1"/>
  <c r="NH283" i="19" s="1"/>
  <c r="NK283" i="19" s="1" a="1"/>
  <c r="NK283" i="19" s="1"/>
  <c r="NL283" i="19" s="1" a="1"/>
  <c r="NL283" i="19" s="1"/>
  <c r="NH326" i="19" a="1"/>
  <c r="NH326" i="19" s="1"/>
  <c r="NK326" i="19" s="1" a="1"/>
  <c r="NK326" i="19" s="1"/>
  <c r="NL326" i="19" s="1" a="1"/>
  <c r="NL326" i="19" s="1"/>
  <c r="NV357" i="19" a="1"/>
  <c r="NV357" i="19" s="1"/>
  <c r="OF357" i="19" s="1" a="1"/>
  <c r="OF357" i="19" s="1"/>
  <c r="OG357" i="19" s="1" a="1"/>
  <c r="OG357" i="19" s="1"/>
  <c r="NN355" i="19" a="1"/>
  <c r="NN355" i="19" s="1"/>
  <c r="NS355" i="19" s="1" a="1"/>
  <c r="NS355" i="19" s="1"/>
  <c r="NN358" i="19" a="1"/>
  <c r="NN358" i="19" s="1"/>
  <c r="NS358" i="19" s="1" a="1"/>
  <c r="NS358" i="19" s="1"/>
  <c r="NT358" i="19" s="1" a="1"/>
  <c r="NT358" i="19" s="1"/>
  <c r="OI358" i="19" s="1"/>
  <c r="E358" i="19" s="1"/>
  <c r="NV329" i="19" a="1"/>
  <c r="NV329" i="19" s="1"/>
  <c r="OF329" i="19" s="1" a="1"/>
  <c r="OF329" i="19" s="1"/>
  <c r="OG329" i="19" s="1" a="1"/>
  <c r="OG329" i="19" s="1"/>
  <c r="NV340" i="19" a="1"/>
  <c r="NV340" i="19" s="1"/>
  <c r="OF340" i="19" s="1" a="1"/>
  <c r="OF340" i="19" s="1"/>
  <c r="OG340" i="19" s="1" a="1"/>
  <c r="OG340" i="19" s="1"/>
  <c r="NN351" i="19" a="1"/>
  <c r="NN351" i="19" s="1"/>
  <c r="NS351" i="19" s="1" a="1"/>
  <c r="NS351" i="19" s="1"/>
  <c r="YK343" i="17"/>
  <c r="E343" i="17" s="1"/>
  <c r="YK292" i="17"/>
  <c r="E292" i="17" s="1"/>
  <c r="XV347" i="17" a="1"/>
  <c r="XV347" i="17" s="1"/>
  <c r="YK347" i="17" s="1"/>
  <c r="E347" i="17" s="1"/>
  <c r="YK320" i="17"/>
  <c r="E320" i="17" s="1"/>
  <c r="XV334" i="17" a="1"/>
  <c r="XV334" i="17" s="1"/>
  <c r="YK334" i="17" s="1"/>
  <c r="E334" i="17" s="1"/>
  <c r="J333" i="8" s="1"/>
  <c r="YK335" i="17"/>
  <c r="E335" i="17" s="1"/>
  <c r="YK290" i="17"/>
  <c r="E290" i="17" s="1"/>
  <c r="XV351" i="17" a="1"/>
  <c r="XV351" i="17" s="1"/>
  <c r="YK351" i="17" s="1"/>
  <c r="E351" i="17" s="1"/>
  <c r="YK332" i="17"/>
  <c r="E332" i="17" s="1"/>
  <c r="J331" i="8" s="1"/>
  <c r="YK311" i="17"/>
  <c r="E311" i="17" s="1"/>
  <c r="XV322" i="17" a="1"/>
  <c r="XV322" i="17" s="1"/>
  <c r="YK322" i="17" s="1"/>
  <c r="E322" i="17" s="1"/>
  <c r="XV305" i="17" a="1"/>
  <c r="XV305" i="17" s="1"/>
  <c r="YK305" i="17" s="1"/>
  <c r="E305" i="17" s="1"/>
  <c r="J304" i="8" s="1"/>
  <c r="YK289" i="17"/>
  <c r="E289" i="17" s="1"/>
  <c r="XV293" i="17" a="1"/>
  <c r="XV293" i="17" s="1"/>
  <c r="YK293" i="17" s="1"/>
  <c r="E293" i="17" s="1"/>
  <c r="J292" i="8" s="1"/>
  <c r="XV296" i="17" a="1"/>
  <c r="XV296" i="17" s="1"/>
  <c r="YK296" i="17" s="1"/>
  <c r="E296" i="17" s="1"/>
  <c r="XV308" i="17" a="1"/>
  <c r="XV308" i="17" s="1"/>
  <c r="YK308" i="17" s="1"/>
  <c r="E308" i="17" s="1"/>
  <c r="XV288" i="17" a="1"/>
  <c r="XV288" i="17" s="1"/>
  <c r="YK288" i="17" s="1"/>
  <c r="E288" i="17" s="1"/>
  <c r="J279" i="8" s="1"/>
  <c r="XV276" i="17" a="1"/>
  <c r="XV276" i="17" s="1"/>
  <c r="YK276" i="17" s="1"/>
  <c r="E276" i="17" s="1"/>
  <c r="YK277" i="17"/>
  <c r="E277" i="17" s="1"/>
  <c r="XV273" i="17" a="1"/>
  <c r="XV273" i="17" s="1"/>
  <c r="YK273" i="17" s="1"/>
  <c r="E273" i="17" s="1"/>
  <c r="J272" i="8" s="1"/>
  <c r="YK331" i="17"/>
  <c r="E331" i="17" s="1"/>
  <c r="XV359" i="17" a="1"/>
  <c r="XV359" i="17" s="1"/>
  <c r="YK359" i="17" s="1"/>
  <c r="E359" i="17" s="1"/>
  <c r="J358" i="8" s="1"/>
  <c r="XV291" i="17" a="1"/>
  <c r="XV291" i="17" s="1"/>
  <c r="YK291" i="17" s="1"/>
  <c r="E291" i="17" s="1"/>
  <c r="J290" i="8" s="1"/>
  <c r="YK287" i="17"/>
  <c r="E287" i="17" s="1"/>
  <c r="XV303" i="17" a="1"/>
  <c r="XV303" i="17" s="1"/>
  <c r="YK303" i="17" s="1"/>
  <c r="E303" i="17" s="1"/>
  <c r="XV333" i="17" a="1"/>
  <c r="XV333" i="17" s="1"/>
  <c r="YK333" i="17" s="1"/>
  <c r="E333" i="17" s="1"/>
  <c r="XV318" i="17" a="1"/>
  <c r="XV318" i="17" s="1"/>
  <c r="YK318" i="17" s="1"/>
  <c r="E318" i="17" s="1"/>
  <c r="J317" i="8" s="1"/>
  <c r="XV264" i="17" a="1"/>
  <c r="XV264" i="17" s="1"/>
  <c r="YK264" i="17" s="1"/>
  <c r="E264" i="17" s="1"/>
  <c r="YK358" i="17"/>
  <c r="E358" i="17" s="1"/>
  <c r="XV357" i="17" a="1"/>
  <c r="XV357" i="17" s="1"/>
  <c r="YK357" i="17" s="1"/>
  <c r="E357" i="17" s="1"/>
  <c r="YK326" i="17"/>
  <c r="E326" i="17" s="1"/>
  <c r="XV355" i="17" a="1"/>
  <c r="XV355" i="17" s="1"/>
  <c r="YK355" i="17" s="1"/>
  <c r="E355" i="17" s="1"/>
  <c r="XV339" i="17" a="1"/>
  <c r="XV339" i="17" s="1"/>
  <c r="YK339" i="17" s="1"/>
  <c r="E339" i="17" s="1"/>
  <c r="J338" i="8" s="1"/>
  <c r="YK325" i="17"/>
  <c r="E325" i="17" s="1"/>
  <c r="J324" i="8" s="1"/>
  <c r="XV284" i="17" a="1"/>
  <c r="XV284" i="17" s="1"/>
  <c r="YK284" i="17" s="1"/>
  <c r="E284" i="17" s="1"/>
  <c r="J283" i="8" s="1"/>
  <c r="YK323" i="17"/>
  <c r="E323" i="17" s="1"/>
  <c r="J322" i="8" s="1"/>
  <c r="XV342" i="17" a="1"/>
  <c r="XV342" i="17" s="1"/>
  <c r="YK342" i="17" s="1"/>
  <c r="E342" i="17" s="1"/>
  <c r="J341" i="8" s="1"/>
  <c r="YK295" i="17"/>
  <c r="E295" i="17" s="1"/>
  <c r="J294" i="8" s="1"/>
  <c r="YK317" i="17"/>
  <c r="E317" i="17" s="1"/>
  <c r="YK299" i="17"/>
  <c r="E299" i="17" s="1"/>
  <c r="J298" i="8" s="1"/>
  <c r="YK338" i="17"/>
  <c r="E338" i="17" s="1"/>
  <c r="J337" i="8" s="1"/>
  <c r="XV356" i="17" a="1"/>
  <c r="XV356" i="17" s="1"/>
  <c r="YK356" i="17" s="1"/>
  <c r="E356" i="17" s="1"/>
  <c r="XV319" i="17" a="1"/>
  <c r="XV319" i="17" s="1"/>
  <c r="YK319" i="17" s="1"/>
  <c r="E319" i="17" s="1"/>
  <c r="J318" i="8" s="1"/>
  <c r="XV309" i="17" a="1"/>
  <c r="XV309" i="17" s="1"/>
  <c r="YK309" i="17" s="1"/>
  <c r="E309" i="17" s="1"/>
  <c r="J308" i="8" s="1"/>
  <c r="XV321" i="17" a="1"/>
  <c r="XV321" i="17" s="1"/>
  <c r="YK321" i="17" s="1"/>
  <c r="E321" i="17" s="1"/>
  <c r="XV341" i="17" a="1"/>
  <c r="XV341" i="17" s="1"/>
  <c r="YK341" i="17" s="1"/>
  <c r="E341" i="17" s="1"/>
  <c r="J340" i="8" s="1"/>
  <c r="XV330" i="17" a="1"/>
  <c r="XV330" i="17" s="1"/>
  <c r="YK330" i="17" s="1"/>
  <c r="E330" i="17" s="1"/>
  <c r="XV314" i="17" a="1"/>
  <c r="XV314" i="17" s="1"/>
  <c r="YK314" i="17" s="1"/>
  <c r="E314" i="17" s="1"/>
  <c r="J313" i="8" s="1"/>
  <c r="XV297" i="17" a="1"/>
  <c r="XV297" i="17" s="1"/>
  <c r="YK297" i="17" s="1"/>
  <c r="E297" i="17" s="1"/>
  <c r="XV283" i="17" a="1"/>
  <c r="XV283" i="17" s="1"/>
  <c r="YK283" i="17" s="1"/>
  <c r="E283" i="17" s="1"/>
  <c r="YK316" i="17"/>
  <c r="E316" i="17" s="1"/>
  <c r="J315" i="8" s="1"/>
  <c r="YK350" i="17"/>
  <c r="E350" i="17" s="1"/>
  <c r="J349" i="8" s="1"/>
  <c r="YK301" i="17"/>
  <c r="E301" i="17" s="1"/>
  <c r="J300" i="8" s="1"/>
  <c r="YK353" i="17"/>
  <c r="E353" i="17" s="1"/>
  <c r="XV306" i="17" a="1"/>
  <c r="XV306" i="17" s="1"/>
  <c r="YK306" i="17" s="1"/>
  <c r="E306" i="17" s="1"/>
  <c r="YK340" i="17"/>
  <c r="E340" i="17" s="1"/>
  <c r="YK329" i="17"/>
  <c r="E329" i="17" s="1"/>
  <c r="YK312" i="17"/>
  <c r="E312" i="17" s="1"/>
  <c r="J311" i="8" s="1"/>
  <c r="YK267" i="17"/>
  <c r="E267" i="17" s="1"/>
  <c r="XV272" i="17" a="1"/>
  <c r="XV272" i="17" s="1"/>
  <c r="YK272" i="17" s="1"/>
  <c r="E272" i="17" s="1"/>
  <c r="J271" i="8" s="1"/>
  <c r="XV274" i="17" a="1"/>
  <c r="XV274" i="17" s="1"/>
  <c r="YK274" i="17" s="1"/>
  <c r="E274" i="17" s="1"/>
  <c r="J273" i="8" s="1"/>
  <c r="XV279" i="17" a="1"/>
  <c r="XV279" i="17" s="1"/>
  <c r="YK279" i="17" s="1"/>
  <c r="E279" i="17" s="1"/>
  <c r="J278" i="8" s="1"/>
  <c r="XV275" i="17" a="1"/>
  <c r="XV275" i="17" s="1"/>
  <c r="YK275" i="17" s="1"/>
  <c r="E275" i="17" s="1"/>
  <c r="J274" i="8" s="1"/>
  <c r="YK269" i="17"/>
  <c r="E269" i="17" s="1"/>
  <c r="J268" i="8" s="1"/>
  <c r="XV271" i="17" a="1"/>
  <c r="XV271" i="17" s="1"/>
  <c r="YK271" i="17" s="1"/>
  <c r="E271" i="17" s="1"/>
  <c r="XV263" i="17" a="1"/>
  <c r="XV263" i="17" s="1"/>
  <c r="YK263" i="17" s="1"/>
  <c r="E263" i="17" s="1"/>
  <c r="I264" i="19"/>
  <c r="H264" i="19" s="1"/>
  <c r="C264" i="19" s="1"/>
  <c r="I272" i="19"/>
  <c r="H272" i="19" s="1"/>
  <c r="C272" i="19" s="1"/>
  <c r="I280" i="19"/>
  <c r="H280" i="19" s="1"/>
  <c r="C280" i="19" s="1"/>
  <c r="NV261" i="19" a="1"/>
  <c r="NV261" i="19" s="1"/>
  <c r="OF261" i="19" s="1" a="1"/>
  <c r="OF261" i="19" s="1"/>
  <c r="OG261" i="19" s="1" a="1"/>
  <c r="OG261" i="19" s="1"/>
  <c r="NH264" i="19" a="1"/>
  <c r="NH264" i="19" s="1"/>
  <c r="NK264" i="19" s="1" a="1"/>
  <c r="NK264" i="19" s="1"/>
  <c r="NL264" i="19" s="1" a="1"/>
  <c r="NL264" i="19" s="1"/>
  <c r="NH266" i="19" a="1"/>
  <c r="NH266" i="19" s="1"/>
  <c r="NK266" i="19" s="1" a="1"/>
  <c r="NK266" i="19" s="1"/>
  <c r="NL266" i="19" s="1" a="1"/>
  <c r="NL266" i="19" s="1"/>
  <c r="NV267" i="19" a="1"/>
  <c r="NV267" i="19" s="1"/>
  <c r="OF267" i="19" s="1" a="1"/>
  <c r="OF267" i="19" s="1"/>
  <c r="OG267" i="19" s="1" a="1"/>
  <c r="OG267" i="19" s="1"/>
  <c r="NN269" i="19" a="1"/>
  <c r="NN269" i="19" s="1"/>
  <c r="NS269" i="19" s="1" a="1"/>
  <c r="NS269" i="19" s="1"/>
  <c r="NV271" i="19" a="1"/>
  <c r="NV271" i="19" s="1"/>
  <c r="OF271" i="19" s="1" a="1"/>
  <c r="OF271" i="19" s="1"/>
  <c r="OG271" i="19" s="1" a="1"/>
  <c r="OG271" i="19" s="1"/>
  <c r="NN279" i="19" a="1"/>
  <c r="NN279" i="19" s="1"/>
  <c r="NS279" i="19" s="1" a="1"/>
  <c r="NS279" i="19" s="1"/>
  <c r="I267" i="19"/>
  <c r="H267" i="19" s="1"/>
  <c r="C267" i="19" s="1"/>
  <c r="I275" i="19"/>
  <c r="H275" i="19" s="1"/>
  <c r="C275" i="19" s="1"/>
  <c r="NH260" i="19" a="1"/>
  <c r="NH260" i="19" s="1"/>
  <c r="NK260" i="19" s="1" a="1"/>
  <c r="NK260" i="19" s="1"/>
  <c r="NL260" i="19" s="1" a="1"/>
  <c r="NL260" i="19" s="1"/>
  <c r="NH262" i="19" a="1"/>
  <c r="NH262" i="19" s="1"/>
  <c r="NK262" i="19" s="1" a="1"/>
  <c r="NK262" i="19" s="1"/>
  <c r="NL262" i="19" s="1" a="1"/>
  <c r="NL262" i="19" s="1"/>
  <c r="NN264" i="19" a="1"/>
  <c r="NN264" i="19" s="1"/>
  <c r="NS264" i="19" s="1" a="1"/>
  <c r="NS264" i="19" s="1"/>
  <c r="NN266" i="19" a="1"/>
  <c r="NN266" i="19" s="1"/>
  <c r="NS266" i="19" s="1" a="1"/>
  <c r="NS266" i="19" s="1"/>
  <c r="NH268" i="19" a="1"/>
  <c r="NH268" i="19" s="1"/>
  <c r="NK268" i="19" s="1" a="1"/>
  <c r="NK268" i="19" s="1"/>
  <c r="NL268" i="19" s="1" a="1"/>
  <c r="NL268" i="19" s="1"/>
  <c r="NV269" i="19" a="1"/>
  <c r="NV269" i="19" s="1"/>
  <c r="OF269" i="19" s="1" a="1"/>
  <c r="OF269" i="19" s="1"/>
  <c r="OG269" i="19" s="1" a="1"/>
  <c r="OG269" i="19" s="1"/>
  <c r="NH272" i="19" a="1"/>
  <c r="NH272" i="19" s="1"/>
  <c r="NK272" i="19" s="1" a="1"/>
  <c r="NK272" i="19" s="1"/>
  <c r="NL272" i="19" s="1" a="1"/>
  <c r="NL272" i="19" s="1"/>
  <c r="NH274" i="19" a="1"/>
  <c r="NH274" i="19" s="1"/>
  <c r="NK274" i="19" s="1" a="1"/>
  <c r="NK274" i="19" s="1"/>
  <c r="NL274" i="19" s="1" a="1"/>
  <c r="NL274" i="19" s="1"/>
  <c r="NV275" i="19" a="1"/>
  <c r="NV275" i="19" s="1"/>
  <c r="OF275" i="19" s="1" a="1"/>
  <c r="OF275" i="19" s="1"/>
  <c r="OG275" i="19" s="1" a="1"/>
  <c r="OG275" i="19" s="1"/>
  <c r="NN277" i="19" a="1"/>
  <c r="NN277" i="19" s="1"/>
  <c r="NS277" i="19" s="1" a="1"/>
  <c r="NS277" i="19" s="1"/>
  <c r="NV279" i="19" a="1"/>
  <c r="NV279" i="19" s="1"/>
  <c r="OF279" i="19" s="1" a="1"/>
  <c r="OF279" i="19" s="1"/>
  <c r="OG279" i="19" s="1" a="1"/>
  <c r="OG279" i="19" s="1"/>
  <c r="I262" i="19"/>
  <c r="H262" i="19" s="1"/>
  <c r="C262" i="19" s="1"/>
  <c r="I270" i="19"/>
  <c r="H270" i="19" s="1"/>
  <c r="C270" i="19" s="1"/>
  <c r="I278" i="19"/>
  <c r="H278" i="19" s="1"/>
  <c r="C278" i="19" s="1"/>
  <c r="NN260" i="19" a="1"/>
  <c r="NN260" i="19" s="1"/>
  <c r="NS260" i="19" s="1" a="1"/>
  <c r="NS260" i="19" s="1"/>
  <c r="NV264" i="19" a="1"/>
  <c r="NV264" i="19" s="1"/>
  <c r="OF264" i="19" s="1" a="1"/>
  <c r="OF264" i="19" s="1"/>
  <c r="OG264" i="19" s="1" a="1"/>
  <c r="OG264" i="19" s="1"/>
  <c r="NH270" i="19" a="1"/>
  <c r="NH270" i="19" s="1"/>
  <c r="NK270" i="19" s="1" a="1"/>
  <c r="NK270" i="19" s="1"/>
  <c r="NL270" i="19" s="1" a="1"/>
  <c r="NL270" i="19" s="1"/>
  <c r="NN272" i="19" a="1"/>
  <c r="NN272" i="19" s="1"/>
  <c r="NS272" i="19" s="1" a="1"/>
  <c r="NS272" i="19" s="1"/>
  <c r="NN274" i="19" a="1"/>
  <c r="NN274" i="19" s="1"/>
  <c r="NS274" i="19" s="1" a="1"/>
  <c r="NS274" i="19" s="1"/>
  <c r="NV277" i="19" a="1"/>
  <c r="NV277" i="19" s="1"/>
  <c r="OF277" i="19" s="1" a="1"/>
  <c r="OF277" i="19" s="1"/>
  <c r="OG277" i="19" s="1" a="1"/>
  <c r="OG277" i="19" s="1"/>
  <c r="NV260" i="19" a="1"/>
  <c r="NV260" i="19" s="1"/>
  <c r="OF260" i="19" s="1" a="1"/>
  <c r="OF260" i="19" s="1"/>
  <c r="OG260" i="19" s="1" a="1"/>
  <c r="OG260" i="19" s="1"/>
  <c r="NV280" i="19" a="1"/>
  <c r="NV280" i="19" s="1"/>
  <c r="OF280" i="19" s="1" a="1"/>
  <c r="OF280" i="19" s="1"/>
  <c r="OG280" i="19" s="1" a="1"/>
  <c r="OG280" i="19" s="1"/>
  <c r="NN265" i="19" a="1"/>
  <c r="NN265" i="19" s="1"/>
  <c r="NS265" i="19" s="1" a="1"/>
  <c r="NS265" i="19" s="1"/>
  <c r="NV270" i="19" a="1"/>
  <c r="NV270" i="19" s="1"/>
  <c r="OF270" i="19" s="1" a="1"/>
  <c r="OF270" i="19" s="1"/>
  <c r="OG270" i="19" s="1" a="1"/>
  <c r="OG270" i="19" s="1"/>
  <c r="NV265" i="19" a="1"/>
  <c r="NV265" i="19" s="1"/>
  <c r="OF265" i="19" s="1" a="1"/>
  <c r="OF265" i="19" s="1"/>
  <c r="OG265" i="19" s="1" a="1"/>
  <c r="OG265" i="19" s="1"/>
  <c r="NV276" i="19" a="1"/>
  <c r="NV276" i="19" s="1"/>
  <c r="OF276" i="19" s="1" a="1"/>
  <c r="OF276" i="19" s="1"/>
  <c r="OG276" i="19" s="1" a="1"/>
  <c r="OG276" i="19" s="1"/>
  <c r="NV263" i="19" a="1"/>
  <c r="NV263" i="19" s="1"/>
  <c r="OF263" i="19" s="1" a="1"/>
  <c r="OF263" i="19" s="1"/>
  <c r="OG263" i="19" s="1" a="1"/>
  <c r="OG263" i="19" s="1"/>
  <c r="NN275" i="19" a="1"/>
  <c r="NN275" i="19" s="1"/>
  <c r="NS275" i="19" s="1" a="1"/>
  <c r="NS275" i="19" s="1"/>
  <c r="NH279" i="19" a="1"/>
  <c r="NH279" i="19" s="1"/>
  <c r="NK279" i="19" s="1" a="1"/>
  <c r="NK279" i="19" s="1"/>
  <c r="NL279" i="19" s="1" a="1"/>
  <c r="NL279" i="19" s="1"/>
  <c r="NH276" i="19" a="1"/>
  <c r="NH276" i="19" s="1"/>
  <c r="NK276" i="19" s="1" a="1"/>
  <c r="NK276" i="19" s="1"/>
  <c r="NL276" i="19" s="1" a="1"/>
  <c r="NL276" i="19" s="1"/>
  <c r="NH280" i="19" a="1"/>
  <c r="NH280" i="19" s="1"/>
  <c r="NK280" i="19" s="1" a="1"/>
  <c r="NK280" i="19" s="1"/>
  <c r="NL280" i="19" s="1" a="1"/>
  <c r="NL280" i="19" s="1"/>
  <c r="NH278" i="19" a="1"/>
  <c r="NH278" i="19" s="1"/>
  <c r="NK278" i="19" s="1" a="1"/>
  <c r="NK278" i="19" s="1"/>
  <c r="NL278" i="19" s="1" a="1"/>
  <c r="NL278" i="19" s="1"/>
  <c r="I276" i="19"/>
  <c r="H276" i="19" s="1"/>
  <c r="C276" i="19" s="1"/>
  <c r="NV262" i="19" a="1"/>
  <c r="NV262" i="19" s="1"/>
  <c r="OF262" i="19" s="1" a="1"/>
  <c r="OF262" i="19" s="1"/>
  <c r="OG262" i="19" s="1" a="1"/>
  <c r="OG262" i="19" s="1"/>
  <c r="NN276" i="19" a="1"/>
  <c r="NN276" i="19" s="1"/>
  <c r="NS276" i="19" s="1" a="1"/>
  <c r="NS276" i="19" s="1"/>
  <c r="I263" i="19"/>
  <c r="H263" i="19" s="1"/>
  <c r="C263" i="19" s="1"/>
  <c r="I271" i="19"/>
  <c r="H271" i="19" s="1"/>
  <c r="C271" i="19" s="1"/>
  <c r="I279" i="19"/>
  <c r="H279" i="19" s="1"/>
  <c r="C279" i="19" s="1"/>
  <c r="NH261" i="19" a="1"/>
  <c r="NH261" i="19" s="1"/>
  <c r="NK261" i="19" s="1" a="1"/>
  <c r="NK261" i="19" s="1"/>
  <c r="NL261" i="19" s="1" a="1"/>
  <c r="NL261" i="19" s="1"/>
  <c r="NH267" i="19" a="1"/>
  <c r="NH267" i="19" s="1"/>
  <c r="NK267" i="19" s="1" a="1"/>
  <c r="NK267" i="19" s="1"/>
  <c r="NL267" i="19" s="1" a="1"/>
  <c r="NL267" i="19" s="1"/>
  <c r="NH273" i="19" a="1"/>
  <c r="NH273" i="19" s="1"/>
  <c r="NK273" i="19" s="1" a="1"/>
  <c r="NK273" i="19" s="1"/>
  <c r="NL273" i="19" s="1" a="1"/>
  <c r="NL273" i="19" s="1"/>
  <c r="NN278" i="19" a="1"/>
  <c r="NN278" i="19" s="1"/>
  <c r="NS278" i="19" s="1" a="1"/>
  <c r="NS278" i="19" s="1"/>
  <c r="I265" i="19"/>
  <c r="H265" i="19" s="1"/>
  <c r="C265" i="19" s="1"/>
  <c r="I273" i="19"/>
  <c r="H273" i="19" s="1"/>
  <c r="C273" i="19" s="1"/>
  <c r="NN262" i="19" a="1"/>
  <c r="NN262" i="19" s="1"/>
  <c r="NS262" i="19" s="1" a="1"/>
  <c r="NS262" i="19" s="1"/>
  <c r="NV266" i="19" a="1"/>
  <c r="NV266" i="19" s="1"/>
  <c r="OF266" i="19" s="1" a="1"/>
  <c r="OF266" i="19" s="1"/>
  <c r="OG266" i="19" s="1" a="1"/>
  <c r="OG266" i="19" s="1"/>
  <c r="NN268" i="19" a="1"/>
  <c r="NN268" i="19" s="1"/>
  <c r="NS268" i="19" s="1" a="1"/>
  <c r="NS268" i="19" s="1"/>
  <c r="NV272" i="19" a="1"/>
  <c r="NV272" i="19" s="1"/>
  <c r="OF272" i="19" s="1" a="1"/>
  <c r="OF272" i="19" s="1"/>
  <c r="OG272" i="19" s="1" a="1"/>
  <c r="OG272" i="19" s="1"/>
  <c r="NN280" i="19" a="1"/>
  <c r="NN280" i="19" s="1"/>
  <c r="NS280" i="19" s="1" a="1"/>
  <c r="NS280" i="19" s="1"/>
  <c r="I268" i="19"/>
  <c r="H268" i="19" s="1"/>
  <c r="C268" i="19" s="1"/>
  <c r="NH265" i="19" a="1"/>
  <c r="NH265" i="19" s="1"/>
  <c r="NK265" i="19" s="1" a="1"/>
  <c r="NK265" i="19" s="1"/>
  <c r="NL265" i="19" s="1" a="1"/>
  <c r="NL265" i="19" s="1"/>
  <c r="NN270" i="19" a="1"/>
  <c r="NN270" i="19" s="1"/>
  <c r="NS270" i="19" s="1" a="1"/>
  <c r="NS270" i="19" s="1"/>
  <c r="NV274" i="19" a="1"/>
  <c r="NV274" i="19" s="1"/>
  <c r="OF274" i="19" s="1" a="1"/>
  <c r="OF274" i="19" s="1"/>
  <c r="OG274" i="19" s="1" a="1"/>
  <c r="OG274" i="19" s="1"/>
  <c r="NH263" i="19" a="1"/>
  <c r="NH263" i="19" s="1"/>
  <c r="NK263" i="19" s="1" a="1"/>
  <c r="NK263" i="19" s="1"/>
  <c r="NL263" i="19" s="1" a="1"/>
  <c r="NL263" i="19" s="1"/>
  <c r="NV268" i="19" a="1"/>
  <c r="NV268" i="19" s="1"/>
  <c r="OF268" i="19" s="1" a="1"/>
  <c r="OF268" i="19" s="1"/>
  <c r="OG268" i="19" s="1" a="1"/>
  <c r="OG268" i="19" s="1"/>
  <c r="I266" i="19"/>
  <c r="H266" i="19" s="1"/>
  <c r="C266" i="19" s="1"/>
  <c r="I274" i="19"/>
  <c r="H274" i="19" s="1"/>
  <c r="C274" i="19" s="1"/>
  <c r="NN263" i="19" a="1"/>
  <c r="NN263" i="19" s="1"/>
  <c r="NS263" i="19" s="1" a="1"/>
  <c r="NS263" i="19" s="1"/>
  <c r="NN267" i="19" a="1"/>
  <c r="NN267" i="19" s="1"/>
  <c r="NS267" i="19" s="1" a="1"/>
  <c r="NS267" i="19" s="1"/>
  <c r="NH269" i="19" a="1"/>
  <c r="NH269" i="19" s="1"/>
  <c r="NK269" i="19" s="1" a="1"/>
  <c r="NK269" i="19" s="1"/>
  <c r="NL269" i="19" s="1" a="1"/>
  <c r="NL269" i="19" s="1"/>
  <c r="NH271" i="19" a="1"/>
  <c r="NH271" i="19" s="1"/>
  <c r="NK271" i="19" s="1" a="1"/>
  <c r="NK271" i="19" s="1"/>
  <c r="NL271" i="19" s="1" a="1"/>
  <c r="NL271" i="19" s="1"/>
  <c r="NN273" i="19" a="1"/>
  <c r="NN273" i="19" s="1"/>
  <c r="NS273" i="19" s="1" a="1"/>
  <c r="NS273" i="19" s="1"/>
  <c r="NH275" i="19" a="1"/>
  <c r="NH275" i="19" s="1"/>
  <c r="NK275" i="19" s="1" a="1"/>
  <c r="NK275" i="19" s="1"/>
  <c r="NL275" i="19" s="1" a="1"/>
  <c r="NL275" i="19" s="1"/>
  <c r="NV278" i="19" a="1"/>
  <c r="NV278" i="19" s="1"/>
  <c r="OF278" i="19" s="1" a="1"/>
  <c r="OF278" i="19" s="1"/>
  <c r="OG278" i="19" s="1" a="1"/>
  <c r="OG278" i="19" s="1"/>
  <c r="I269" i="19"/>
  <c r="H269" i="19" s="1"/>
  <c r="C269" i="19" s="1"/>
  <c r="I277" i="19"/>
  <c r="H277" i="19" s="1"/>
  <c r="C277" i="19" s="1"/>
  <c r="NN261" i="19" a="1"/>
  <c r="NN261" i="19" s="1"/>
  <c r="NS261" i="19" s="1" a="1"/>
  <c r="NS261" i="19" s="1"/>
  <c r="NN271" i="19" a="1"/>
  <c r="NN271" i="19" s="1"/>
  <c r="NS271" i="19" s="1" a="1"/>
  <c r="NS271" i="19" s="1"/>
  <c r="NV273" i="19" a="1"/>
  <c r="NV273" i="19" s="1"/>
  <c r="OF273" i="19" s="1" a="1"/>
  <c r="OF273" i="19" s="1"/>
  <c r="OG273" i="19" s="1" a="1"/>
  <c r="OG273" i="19" s="1"/>
  <c r="NH277" i="19" a="1"/>
  <c r="NH277" i="19" s="1"/>
  <c r="NK277" i="19" s="1" a="1"/>
  <c r="NK277" i="19" s="1"/>
  <c r="NL277" i="19" s="1" a="1"/>
  <c r="NL277" i="19" s="1"/>
  <c r="I260" i="19"/>
  <c r="H260" i="19" s="1"/>
  <c r="C260" i="19" s="1"/>
  <c r="I261" i="19"/>
  <c r="H261" i="19" s="1"/>
  <c r="C261" i="19" s="1"/>
  <c r="NH250" i="19" a="1"/>
  <c r="NH250" i="19" s="1"/>
  <c r="NK250" i="19" s="1" a="1"/>
  <c r="NK250" i="19" s="1"/>
  <c r="NL250" i="19" s="1" a="1"/>
  <c r="NL250" i="19" s="1"/>
  <c r="NH252" i="19" a="1"/>
  <c r="NH252" i="19" s="1"/>
  <c r="NK252" i="19" s="1" a="1"/>
  <c r="NK252" i="19" s="1"/>
  <c r="NL252" i="19" s="1" a="1"/>
  <c r="NL252" i="19" s="1"/>
  <c r="NH254" i="19" a="1"/>
  <c r="NH254" i="19" s="1"/>
  <c r="NK254" i="19" s="1" a="1"/>
  <c r="NK254" i="19" s="1"/>
  <c r="NL254" i="19" s="1" a="1"/>
  <c r="NL254" i="19" s="1"/>
  <c r="NN256" i="19" a="1"/>
  <c r="NN256" i="19" s="1"/>
  <c r="NS256" i="19" s="1" a="1"/>
  <c r="NS256" i="19" s="1"/>
  <c r="NN259" i="19" a="1"/>
  <c r="NN259" i="19" s="1"/>
  <c r="NS259" i="19" s="1" a="1"/>
  <c r="NS259" i="19" s="1"/>
  <c r="I256" i="19"/>
  <c r="H256" i="19" s="1"/>
  <c r="C256" i="19" s="1"/>
  <c r="NV257" i="19" a="1"/>
  <c r="NV257" i="19" s="1"/>
  <c r="OF257" i="19" s="1" a="1"/>
  <c r="OF257" i="19" s="1"/>
  <c r="OG257" i="19" s="1" a="1"/>
  <c r="OG257" i="19" s="1"/>
  <c r="NN250" i="19" a="1"/>
  <c r="NN250" i="19" s="1"/>
  <c r="NS250" i="19" s="1" a="1"/>
  <c r="NS250" i="19" s="1"/>
  <c r="NN254" i="19" a="1"/>
  <c r="NN254" i="19" s="1"/>
  <c r="NS254" i="19" s="1" a="1"/>
  <c r="NS254" i="19" s="1"/>
  <c r="NV256" i="19" a="1"/>
  <c r="NV256" i="19" s="1"/>
  <c r="OF256" i="19" s="1" a="1"/>
  <c r="OF256" i="19" s="1"/>
  <c r="OG256" i="19" s="1" a="1"/>
  <c r="OG256" i="19" s="1"/>
  <c r="NV259" i="19" a="1"/>
  <c r="NV259" i="19" s="1"/>
  <c r="OF259" i="19" s="1" a="1"/>
  <c r="OF259" i="19" s="1"/>
  <c r="OG259" i="19" s="1" a="1"/>
  <c r="OG259" i="19" s="1"/>
  <c r="I257" i="19"/>
  <c r="H257" i="19" s="1"/>
  <c r="C257" i="19" s="1"/>
  <c r="NN252" i="19" a="1"/>
  <c r="NN252" i="19" s="1"/>
  <c r="NS252" i="19" s="1" a="1"/>
  <c r="NS252" i="19" s="1"/>
  <c r="NV254" i="19" a="1"/>
  <c r="NV254" i="19" s="1"/>
  <c r="OF254" i="19" s="1" a="1"/>
  <c r="OF254" i="19" s="1"/>
  <c r="OG254" i="19" s="1" a="1"/>
  <c r="OG254" i="19" s="1"/>
  <c r="NH258" i="19" a="1"/>
  <c r="NH258" i="19" s="1"/>
  <c r="NK258" i="19" s="1" a="1"/>
  <c r="NK258" i="19" s="1"/>
  <c r="NL258" i="19" s="1" a="1"/>
  <c r="NL258" i="19" s="1"/>
  <c r="I250" i="19"/>
  <c r="H250" i="19" s="1"/>
  <c r="C250" i="19" s="1"/>
  <c r="I258" i="19"/>
  <c r="H258" i="19" s="1"/>
  <c r="C258" i="19" s="1"/>
  <c r="NN258" i="19" a="1"/>
  <c r="NN258" i="19" s="1"/>
  <c r="NS258" i="19" s="1" a="1"/>
  <c r="NS258" i="19" s="1"/>
  <c r="I255" i="19"/>
  <c r="H255" i="19" s="1"/>
  <c r="C255" i="19" s="1"/>
  <c r="NV250" i="19" a="1"/>
  <c r="NV250" i="19" s="1"/>
  <c r="OF250" i="19" s="1" a="1"/>
  <c r="OF250" i="19" s="1"/>
  <c r="OG250" i="19" s="1" a="1"/>
  <c r="OG250" i="19" s="1"/>
  <c r="NV252" i="19" a="1"/>
  <c r="NV252" i="19" s="1"/>
  <c r="OF252" i="19" s="1" a="1"/>
  <c r="OF252" i="19" s="1"/>
  <c r="OG252" i="19" s="1" a="1"/>
  <c r="OG252" i="19" s="1"/>
  <c r="NH255" i="19" a="1"/>
  <c r="NH255" i="19" s="1"/>
  <c r="NK255" i="19" s="1" a="1"/>
  <c r="NK255" i="19" s="1"/>
  <c r="NL255" i="19" s="1" a="1"/>
  <c r="NL255" i="19" s="1"/>
  <c r="NH257" i="19" a="1"/>
  <c r="NH257" i="19" s="1"/>
  <c r="NK257" i="19" s="1" a="1"/>
  <c r="NK257" i="19" s="1"/>
  <c r="NL257" i="19" s="1" a="1"/>
  <c r="NL257" i="19" s="1"/>
  <c r="I251" i="19"/>
  <c r="H251" i="19" s="1"/>
  <c r="C251" i="19" s="1"/>
  <c r="I259" i="19"/>
  <c r="H259" i="19" s="1"/>
  <c r="C259" i="19" s="1"/>
  <c r="NH251" i="19" a="1"/>
  <c r="NH251" i="19" s="1"/>
  <c r="NK251" i="19" s="1" a="1"/>
  <c r="NK251" i="19" s="1"/>
  <c r="NL251" i="19" s="1" a="1"/>
  <c r="NL251" i="19" s="1"/>
  <c r="NH253" i="19" a="1"/>
  <c r="NH253" i="19" s="1"/>
  <c r="NK253" i="19" s="1" a="1"/>
  <c r="NK253" i="19" s="1"/>
  <c r="NL253" i="19" s="1" a="1"/>
  <c r="NL253" i="19" s="1"/>
  <c r="NN255" i="19" a="1"/>
  <c r="NN255" i="19" s="1"/>
  <c r="NS255" i="19" s="1" a="1"/>
  <c r="NS255" i="19" s="1"/>
  <c r="I252" i="19"/>
  <c r="H252" i="19" s="1"/>
  <c r="C252" i="19" s="1"/>
  <c r="NV253" i="19" a="1"/>
  <c r="NV253" i="19" s="1"/>
  <c r="OF253" i="19" s="1" a="1"/>
  <c r="OF253" i="19" s="1"/>
  <c r="OG253" i="19" s="1" a="1"/>
  <c r="OG253" i="19" s="1"/>
  <c r="NV255" i="19" a="1"/>
  <c r="NV255" i="19" s="1"/>
  <c r="OF255" i="19" s="1" a="1"/>
  <c r="OF255" i="19" s="1"/>
  <c r="OG255" i="19" s="1" a="1"/>
  <c r="OG255" i="19" s="1"/>
  <c r="NV258" i="19" a="1"/>
  <c r="NV258" i="19" s="1"/>
  <c r="OF258" i="19" s="1" a="1"/>
  <c r="OF258" i="19" s="1"/>
  <c r="OG258" i="19" s="1" a="1"/>
  <c r="OG258" i="19" s="1"/>
  <c r="I253" i="19"/>
  <c r="H253" i="19" s="1"/>
  <c r="C253" i="19" s="1"/>
  <c r="NV251" i="19" a="1"/>
  <c r="NV251" i="19" s="1"/>
  <c r="OF251" i="19" s="1" a="1"/>
  <c r="OF251" i="19" s="1"/>
  <c r="OG251" i="19" s="1" a="1"/>
  <c r="OG251" i="19" s="1"/>
  <c r="NN251" i="19" a="1"/>
  <c r="NN251" i="19" s="1"/>
  <c r="NS251" i="19" s="1" a="1"/>
  <c r="NS251" i="19" s="1"/>
  <c r="NN253" i="19" a="1"/>
  <c r="NN253" i="19" s="1"/>
  <c r="NS253" i="19" s="1" a="1"/>
  <c r="NS253" i="19" s="1"/>
  <c r="NN257" i="19" a="1"/>
  <c r="NN257" i="19" s="1"/>
  <c r="NS257" i="19" s="1" a="1"/>
  <c r="NS257" i="19" s="1"/>
  <c r="NH259" i="19" a="1"/>
  <c r="NH259" i="19" s="1"/>
  <c r="NK259" i="19" s="1" a="1"/>
  <c r="NK259" i="19" s="1"/>
  <c r="NL259" i="19" s="1" a="1"/>
  <c r="NL259" i="19" s="1"/>
  <c r="I254" i="19"/>
  <c r="H254" i="19" s="1"/>
  <c r="C254" i="19" s="1"/>
  <c r="NH256" i="19" a="1"/>
  <c r="NH256" i="19" s="1"/>
  <c r="NK256" i="19" s="1" a="1"/>
  <c r="NK256" i="19" s="1"/>
  <c r="NL256" i="19" s="1" a="1"/>
  <c r="NL256" i="19" s="1"/>
  <c r="J5" i="19"/>
  <c r="NV243" i="19" a="1"/>
  <c r="NV243" i="19" s="1"/>
  <c r="OF243" i="19" s="1" a="1"/>
  <c r="OF243" i="19" s="1"/>
  <c r="OG243" i="19" s="1" a="1"/>
  <c r="OG243" i="19" s="1"/>
  <c r="NH241" i="19" a="1"/>
  <c r="NH241" i="19" s="1"/>
  <c r="NK241" i="19" s="1" a="1"/>
  <c r="NK241" i="19" s="1"/>
  <c r="NL241" i="19" s="1" a="1"/>
  <c r="NL241" i="19" s="1"/>
  <c r="NV238" i="19" a="1"/>
  <c r="NV238" i="19" s="1"/>
  <c r="OF238" i="19" s="1" a="1"/>
  <c r="OF238" i="19" s="1"/>
  <c r="OG238" i="19" s="1" a="1"/>
  <c r="OG238" i="19" s="1"/>
  <c r="NH249" i="19" a="1"/>
  <c r="NH249" i="19" s="1"/>
  <c r="NK249" i="19" s="1" a="1"/>
  <c r="NK249" i="19" s="1"/>
  <c r="NL249" i="19" s="1" a="1"/>
  <c r="NL249" i="19" s="1"/>
  <c r="I236" i="19"/>
  <c r="H236" i="19" s="1"/>
  <c r="C236" i="19" s="1"/>
  <c r="I243" i="19"/>
  <c r="H243" i="19" s="1"/>
  <c r="C243" i="19" s="1"/>
  <c r="NN248" i="19" a="1"/>
  <c r="NN248" i="19" s="1"/>
  <c r="NS248" i="19" s="1" a="1"/>
  <c r="NS248" i="19" s="1"/>
  <c r="NV237" i="19" a="1"/>
  <c r="NV237" i="19" s="1"/>
  <c r="OF237" i="19" s="1" a="1"/>
  <c r="OF237" i="19" s="1"/>
  <c r="OG237" i="19" s="1" a="1"/>
  <c r="OG237" i="19" s="1"/>
  <c r="NN237" i="19" a="1"/>
  <c r="NN237" i="19" s="1"/>
  <c r="NS237" i="19" s="1" a="1"/>
  <c r="NS237" i="19" s="1"/>
  <c r="NN240" i="19" a="1"/>
  <c r="NN240" i="19" s="1"/>
  <c r="NS240" i="19" s="1" a="1"/>
  <c r="NS240" i="19" s="1"/>
  <c r="NN233" i="19" a="1"/>
  <c r="NN233" i="19" s="1"/>
  <c r="NS233" i="19" s="1" a="1"/>
  <c r="NS233" i="19" s="1"/>
  <c r="NN235" i="19" a="1"/>
  <c r="NN235" i="19" s="1"/>
  <c r="NS235" i="19" s="1" a="1"/>
  <c r="NS235" i="19" s="1"/>
  <c r="NH235" i="19" a="1"/>
  <c r="NH235" i="19" s="1"/>
  <c r="NK235" i="19" s="1" a="1"/>
  <c r="NK235" i="19" s="1"/>
  <c r="NL235" i="19" s="1" a="1"/>
  <c r="NL235" i="19" s="1"/>
  <c r="NV234" i="19" a="1"/>
  <c r="NV234" i="19" s="1"/>
  <c r="OF234" i="19" s="1" a="1"/>
  <c r="OF234" i="19" s="1"/>
  <c r="OG234" i="19" s="1" a="1"/>
  <c r="OG234" i="19" s="1"/>
  <c r="NV236" i="19" a="1"/>
  <c r="NV236" i="19" s="1"/>
  <c r="OF236" i="19" s="1" a="1"/>
  <c r="OF236" i="19" s="1"/>
  <c r="OG236" i="19" s="1" a="1"/>
  <c r="OG236" i="19" s="1"/>
  <c r="NV242" i="19" a="1"/>
  <c r="NV242" i="19" s="1"/>
  <c r="OF242" i="19" s="1" a="1"/>
  <c r="OF242" i="19" s="1"/>
  <c r="OG242" i="19" s="1" a="1"/>
  <c r="OG242" i="19" s="1"/>
  <c r="NV248" i="19" a="1"/>
  <c r="NV248" i="19" s="1"/>
  <c r="OF248" i="19" s="1" a="1"/>
  <c r="OF248" i="19" s="1"/>
  <c r="OG248" i="19" s="1" a="1"/>
  <c r="OG248" i="19" s="1"/>
  <c r="NV235" i="19" a="1"/>
  <c r="NV235" i="19" s="1"/>
  <c r="OF235" i="19" s="1" a="1"/>
  <c r="OF235" i="19" s="1"/>
  <c r="OG235" i="19" s="1" a="1"/>
  <c r="OG235" i="19" s="1"/>
  <c r="I247" i="19"/>
  <c r="H247" i="19" s="1"/>
  <c r="C247" i="19" s="1"/>
  <c r="NH239" i="19" a="1"/>
  <c r="NH239" i="19" s="1"/>
  <c r="NK239" i="19" s="1" a="1"/>
  <c r="NK239" i="19" s="1"/>
  <c r="NL239" i="19" s="1" a="1"/>
  <c r="NL239" i="19" s="1"/>
  <c r="NV246" i="19" a="1"/>
  <c r="NV246" i="19" s="1"/>
  <c r="OF246" i="19" s="1" a="1"/>
  <c r="OF246" i="19" s="1"/>
  <c r="OG246" i="19" s="1" a="1"/>
  <c r="OG246" i="19" s="1"/>
  <c r="I239" i="19"/>
  <c r="H239" i="19" s="1"/>
  <c r="C239" i="19" s="1"/>
  <c r="NN249" i="19" a="1"/>
  <c r="NN249" i="19" s="1"/>
  <c r="NS249" i="19" s="1" a="1"/>
  <c r="NS249" i="19" s="1"/>
  <c r="NV247" i="19" a="1"/>
  <c r="NV247" i="19" s="1"/>
  <c r="OF247" i="19" s="1" a="1"/>
  <c r="OF247" i="19" s="1"/>
  <c r="OG247" i="19" s="1" a="1"/>
  <c r="OG247" i="19" s="1"/>
  <c r="NN236" i="19" a="1"/>
  <c r="NN236" i="19" s="1"/>
  <c r="NS236" i="19" s="1" a="1"/>
  <c r="NS236" i="19" s="1"/>
  <c r="NV244" i="19" a="1"/>
  <c r="NV244" i="19" s="1"/>
  <c r="OF244" i="19" s="1" a="1"/>
  <c r="OF244" i="19" s="1"/>
  <c r="OG244" i="19" s="1" a="1"/>
  <c r="OG244" i="19" s="1"/>
  <c r="NH236" i="19" a="1"/>
  <c r="NH236" i="19" s="1"/>
  <c r="NK236" i="19" s="1" a="1"/>
  <c r="NK236" i="19" s="1"/>
  <c r="NL236" i="19" s="1" a="1"/>
  <c r="NL236" i="19" s="1"/>
  <c r="I242" i="19"/>
  <c r="H242" i="19" s="1"/>
  <c r="C242" i="19" s="1"/>
  <c r="I249" i="19"/>
  <c r="H249" i="19" s="1"/>
  <c r="C249" i="19" s="1"/>
  <c r="NH233" i="19" a="1"/>
  <c r="NH233" i="19" s="1"/>
  <c r="NK233" i="19" s="1" a="1"/>
  <c r="NK233" i="19" s="1"/>
  <c r="NL233" i="19" s="1" a="1"/>
  <c r="NL233" i="19" s="1"/>
  <c r="NV249" i="19" a="1"/>
  <c r="NV249" i="19" s="1"/>
  <c r="OF249" i="19" s="1" a="1"/>
  <c r="OF249" i="19" s="1"/>
  <c r="OG249" i="19" s="1" a="1"/>
  <c r="OG249" i="19" s="1"/>
  <c r="NH247" i="19" a="1"/>
  <c r="NH247" i="19" s="1"/>
  <c r="NK247" i="19" s="1" a="1"/>
  <c r="NK247" i="19" s="1"/>
  <c r="NL247" i="19" s="1" a="1"/>
  <c r="NL247" i="19" s="1"/>
  <c r="NH237" i="19" a="1"/>
  <c r="NH237" i="19" s="1"/>
  <c r="NK237" i="19" s="1" a="1"/>
  <c r="NK237" i="19" s="1"/>
  <c r="NL237" i="19" s="1" a="1"/>
  <c r="NL237" i="19" s="1"/>
  <c r="NV245" i="19" a="1"/>
  <c r="NV245" i="19" s="1"/>
  <c r="OF245" i="19" s="1" a="1"/>
  <c r="OF245" i="19" s="1"/>
  <c r="OG245" i="19" s="1" a="1"/>
  <c r="OG245" i="19" s="1"/>
  <c r="NN242" i="19" a="1"/>
  <c r="NN242" i="19" s="1"/>
  <c r="NS242" i="19" s="1" a="1"/>
  <c r="NS242" i="19" s="1"/>
  <c r="NV233" i="19" a="1"/>
  <c r="NV233" i="19" s="1"/>
  <c r="OF233" i="19" s="1" a="1"/>
  <c r="OF233" i="19" s="1"/>
  <c r="OG233" i="19" s="1" a="1"/>
  <c r="OG233" i="19" s="1"/>
  <c r="I234" i="19"/>
  <c r="H234" i="19" s="1"/>
  <c r="C234" i="19" s="1"/>
  <c r="I241" i="19"/>
  <c r="H241" i="19" s="1"/>
  <c r="C241" i="19" s="1"/>
  <c r="NN234" i="19" a="1"/>
  <c r="NN234" i="19" s="1"/>
  <c r="NS234" i="19" s="1" a="1"/>
  <c r="NS234" i="19" s="1"/>
  <c r="NH240" i="19" a="1"/>
  <c r="NH240" i="19" s="1"/>
  <c r="NK240" i="19" s="1" a="1"/>
  <c r="NK240" i="19" s="1"/>
  <c r="NL240" i="19" s="1" a="1"/>
  <c r="NL240" i="19" s="1"/>
  <c r="NN247" i="19" a="1"/>
  <c r="NN247" i="19" s="1"/>
  <c r="NS247" i="19" s="1" a="1"/>
  <c r="NS247" i="19" s="1"/>
  <c r="NH245" i="19" a="1"/>
  <c r="NH245" i="19" s="1"/>
  <c r="NK245" i="19" s="1" a="1"/>
  <c r="NK245" i="19" s="1"/>
  <c r="NL245" i="19" s="1" a="1"/>
  <c r="NL245" i="19" s="1"/>
  <c r="I238" i="19"/>
  <c r="H238" i="19" s="1"/>
  <c r="C238" i="19" s="1"/>
  <c r="NN241" i="19" a="1"/>
  <c r="NN241" i="19" s="1"/>
  <c r="NS241" i="19" s="1" a="1"/>
  <c r="NS241" i="19" s="1"/>
  <c r="NN238" i="19" a="1"/>
  <c r="NN238" i="19" s="1"/>
  <c r="NS238" i="19" s="1" a="1"/>
  <c r="NS238" i="19" s="1"/>
  <c r="NH248" i="19" a="1"/>
  <c r="NH248" i="19" s="1"/>
  <c r="NK248" i="19" s="1" a="1"/>
  <c r="NK248" i="19" s="1"/>
  <c r="NL248" i="19" s="1" a="1"/>
  <c r="NL248" i="19" s="1"/>
  <c r="NN246" i="19" a="1"/>
  <c r="NN246" i="19" s="1"/>
  <c r="NS246" i="19" s="1" a="1"/>
  <c r="NS246" i="19" s="1"/>
  <c r="I233" i="19"/>
  <c r="H233" i="19" s="1"/>
  <c r="C233" i="19" s="1"/>
  <c r="NN245" i="19" a="1"/>
  <c r="NN245" i="19" s="1"/>
  <c r="NS245" i="19" s="1" a="1"/>
  <c r="NS245" i="19" s="1"/>
  <c r="NH243" i="19" a="1"/>
  <c r="NH243" i="19" s="1"/>
  <c r="NK243" i="19" s="1" a="1"/>
  <c r="NK243" i="19" s="1"/>
  <c r="NL243" i="19" s="1" a="1"/>
  <c r="NL243" i="19" s="1"/>
  <c r="I245" i="19"/>
  <c r="H245" i="19" s="1"/>
  <c r="C245" i="19" s="1"/>
  <c r="I246" i="19"/>
  <c r="H246" i="19" s="1"/>
  <c r="C246" i="19" s="1"/>
  <c r="NH234" i="19" a="1"/>
  <c r="NH234" i="19" s="1"/>
  <c r="NK234" i="19" s="1" a="1"/>
  <c r="NK234" i="19" s="1"/>
  <c r="NL234" i="19" s="1" a="1"/>
  <c r="NL234" i="19" s="1"/>
  <c r="NH242" i="19" a="1"/>
  <c r="NH242" i="19" s="1"/>
  <c r="NK242" i="19" s="1" a="1"/>
  <c r="NK242" i="19" s="1"/>
  <c r="NL242" i="19" s="1" a="1"/>
  <c r="NL242" i="19" s="1"/>
  <c r="I248" i="19"/>
  <c r="H248" i="19" s="1"/>
  <c r="C248" i="19" s="1"/>
  <c r="NH244" i="19" a="1"/>
  <c r="NH244" i="19" s="1"/>
  <c r="NK244" i="19" s="1" a="1"/>
  <c r="NK244" i="19" s="1"/>
  <c r="NL244" i="19" s="1" a="1"/>
  <c r="NL244" i="19" s="1"/>
  <c r="NH238" i="19" a="1"/>
  <c r="NH238" i="19" s="1"/>
  <c r="NK238" i="19" s="1" a="1"/>
  <c r="NK238" i="19" s="1"/>
  <c r="NL238" i="19" s="1" a="1"/>
  <c r="NL238" i="19" s="1"/>
  <c r="NN243" i="19" a="1"/>
  <c r="NN243" i="19" s="1"/>
  <c r="NS243" i="19" s="1" a="1"/>
  <c r="NS243" i="19" s="1"/>
  <c r="NT243" i="19" s="1" a="1"/>
  <c r="NT243" i="19" s="1"/>
  <c r="NV240" i="19" a="1"/>
  <c r="NV240" i="19" s="1"/>
  <c r="OF240" i="19" s="1" a="1"/>
  <c r="OF240" i="19" s="1"/>
  <c r="OG240" i="19" s="1" a="1"/>
  <c r="OG240" i="19" s="1"/>
  <c r="I237" i="19"/>
  <c r="H237" i="19" s="1"/>
  <c r="C237" i="19" s="1"/>
  <c r="I244" i="19"/>
  <c r="H244" i="19" s="1"/>
  <c r="C244" i="19" s="1"/>
  <c r="NH246" i="19" a="1"/>
  <c r="NH246" i="19" s="1"/>
  <c r="NK246" i="19" s="1" a="1"/>
  <c r="NK246" i="19" s="1"/>
  <c r="NL246" i="19" s="1" a="1"/>
  <c r="NL246" i="19" s="1"/>
  <c r="I240" i="19"/>
  <c r="H240" i="19" s="1"/>
  <c r="C240" i="19" s="1"/>
  <c r="NV239" i="19" a="1"/>
  <c r="NV239" i="19" s="1"/>
  <c r="OF239" i="19" s="1" a="1"/>
  <c r="OF239" i="19" s="1"/>
  <c r="OG239" i="19" s="1" a="1"/>
  <c r="OG239" i="19" s="1"/>
  <c r="NV241" i="19" a="1"/>
  <c r="NV241" i="19" s="1"/>
  <c r="OF241" i="19" s="1" a="1"/>
  <c r="OF241" i="19" s="1"/>
  <c r="OG241" i="19" s="1" a="1"/>
  <c r="OG241" i="19" s="1"/>
  <c r="NN239" i="19" a="1"/>
  <c r="NN239" i="19" s="1"/>
  <c r="NS239" i="19" s="1" a="1"/>
  <c r="NS239" i="19" s="1"/>
  <c r="I235" i="19"/>
  <c r="H235" i="19" s="1"/>
  <c r="C235" i="19" s="1"/>
  <c r="NN244" i="19" a="1"/>
  <c r="NN244" i="19" s="1"/>
  <c r="NS244" i="19" s="1" a="1"/>
  <c r="NS244" i="19" s="1"/>
  <c r="F188" i="8" a="1"/>
  <c r="F188" i="8" s="1"/>
  <c r="F189" i="8" a="1"/>
  <c r="F189" i="8" s="1"/>
  <c r="F190" i="8" a="1"/>
  <c r="F190" i="8" s="1"/>
  <c r="F191" i="8" a="1"/>
  <c r="F191" i="8" s="1"/>
  <c r="F192" i="8" a="1"/>
  <c r="F192" i="8" s="1"/>
  <c r="F193" i="8" a="1"/>
  <c r="F193" i="8" s="1"/>
  <c r="F194" i="8" a="1"/>
  <c r="F194" i="8" s="1"/>
  <c r="F195" i="8" a="1"/>
  <c r="F195" i="8" s="1"/>
  <c r="F196" i="8" a="1"/>
  <c r="F196" i="8" s="1"/>
  <c r="F197" i="8" a="1"/>
  <c r="F197" i="8" s="1"/>
  <c r="F198" i="8" a="1"/>
  <c r="F198" i="8" s="1"/>
  <c r="F199" i="8" a="1"/>
  <c r="F199" i="8" s="1"/>
  <c r="F200" i="8" a="1"/>
  <c r="F200" i="8" s="1"/>
  <c r="F201" i="8" a="1"/>
  <c r="F201" i="8" s="1"/>
  <c r="F202" i="8" a="1"/>
  <c r="F202" i="8" s="1"/>
  <c r="F203" i="8" a="1"/>
  <c r="F203" i="8" s="1"/>
  <c r="F204" i="8" a="1"/>
  <c r="F204" i="8" s="1"/>
  <c r="F205" i="8" a="1"/>
  <c r="F205" i="8" s="1"/>
  <c r="NF3" i="24"/>
  <c r="NE3" i="24"/>
  <c r="ND3" i="24"/>
  <c r="NC3" i="24"/>
  <c r="NB3" i="24"/>
  <c r="NA3" i="24"/>
  <c r="MZ3" i="24"/>
  <c r="MY3" i="24"/>
  <c r="MX3" i="24"/>
  <c r="MW3" i="24"/>
  <c r="MV3" i="24"/>
  <c r="MU3" i="24"/>
  <c r="MT3" i="24"/>
  <c r="MS3" i="24"/>
  <c r="MR3" i="24"/>
  <c r="MQ3" i="24"/>
  <c r="MP3" i="24"/>
  <c r="MO3" i="24"/>
  <c r="MN3" i="24"/>
  <c r="MM3" i="24"/>
  <c r="ML3" i="24"/>
  <c r="MK3" i="24"/>
  <c r="MJ3" i="24"/>
  <c r="MI3" i="24"/>
  <c r="MH3" i="24"/>
  <c r="MG3" i="24"/>
  <c r="MF3" i="24"/>
  <c r="ME3" i="24"/>
  <c r="MD3" i="24"/>
  <c r="MC3" i="24"/>
  <c r="MB3" i="24"/>
  <c r="MA3" i="24"/>
  <c r="LZ3" i="24"/>
  <c r="LY3" i="24"/>
  <c r="LX3" i="24"/>
  <c r="LW3" i="24"/>
  <c r="LV3" i="24"/>
  <c r="LU3" i="24"/>
  <c r="LT3" i="24"/>
  <c r="LS3" i="24"/>
  <c r="LR3" i="24"/>
  <c r="LQ3" i="24"/>
  <c r="LP3" i="24"/>
  <c r="LO3" i="24"/>
  <c r="LN3" i="24"/>
  <c r="LM3" i="24"/>
  <c r="LL3" i="24"/>
  <c r="LK3" i="24"/>
  <c r="LJ3" i="24"/>
  <c r="LI3" i="24"/>
  <c r="LH3" i="24"/>
  <c r="LG3" i="24"/>
  <c r="LF3" i="24"/>
  <c r="LE3" i="24"/>
  <c r="LD3" i="24"/>
  <c r="LC3" i="24"/>
  <c r="LB3" i="24"/>
  <c r="LA3" i="24"/>
  <c r="KZ3" i="24"/>
  <c r="KY3" i="24"/>
  <c r="KX3" i="24"/>
  <c r="KW3" i="24"/>
  <c r="KV3" i="24"/>
  <c r="KU3" i="24"/>
  <c r="KT3" i="24"/>
  <c r="KS3" i="24"/>
  <c r="KR3" i="24"/>
  <c r="KQ3" i="24"/>
  <c r="KP3" i="24"/>
  <c r="KO3" i="24"/>
  <c r="KN3" i="24"/>
  <c r="KM3" i="24"/>
  <c r="KL3" i="24"/>
  <c r="KK3" i="24"/>
  <c r="KJ3" i="24"/>
  <c r="KI3" i="24"/>
  <c r="KH3" i="24"/>
  <c r="KG3" i="24"/>
  <c r="KF3" i="24"/>
  <c r="KE3" i="24"/>
  <c r="KD3" i="24"/>
  <c r="KC3" i="24"/>
  <c r="KB3" i="24"/>
  <c r="KA3" i="24"/>
  <c r="JZ3" i="24"/>
  <c r="JY3" i="24"/>
  <c r="JX3" i="24"/>
  <c r="JW3" i="24"/>
  <c r="JV3" i="24"/>
  <c r="JU3" i="24"/>
  <c r="JT3" i="24"/>
  <c r="JS3" i="24"/>
  <c r="JR3" i="24"/>
  <c r="JQ3" i="24"/>
  <c r="JP3" i="24"/>
  <c r="JO3" i="24"/>
  <c r="JN3" i="24"/>
  <c r="JM3" i="24"/>
  <c r="JL3" i="24"/>
  <c r="JK3" i="24"/>
  <c r="JJ3" i="24"/>
  <c r="JI3" i="24"/>
  <c r="JH3" i="24"/>
  <c r="JG3" i="24"/>
  <c r="JF3" i="24"/>
  <c r="JE3" i="24"/>
  <c r="JD3" i="24"/>
  <c r="JC3" i="24"/>
  <c r="JB3" i="24"/>
  <c r="JA3" i="24"/>
  <c r="IZ3" i="24"/>
  <c r="IY3" i="24"/>
  <c r="IX3" i="24"/>
  <c r="IW3" i="24"/>
  <c r="IV3" i="24"/>
  <c r="IU3" i="24"/>
  <c r="IT3" i="24"/>
  <c r="IS3" i="24"/>
  <c r="IR3" i="24"/>
  <c r="IQ3" i="24"/>
  <c r="IP3" i="24"/>
  <c r="IO3" i="24"/>
  <c r="IN3" i="24"/>
  <c r="IM3" i="24"/>
  <c r="IL3" i="24"/>
  <c r="IK3" i="24"/>
  <c r="IJ3" i="24"/>
  <c r="II3" i="24"/>
  <c r="IH3" i="24"/>
  <c r="IG3" i="24"/>
  <c r="IF3" i="24"/>
  <c r="IE3" i="24"/>
  <c r="ID3" i="24"/>
  <c r="IC3" i="24"/>
  <c r="IB3" i="24"/>
  <c r="IA3" i="24"/>
  <c r="HZ3" i="24"/>
  <c r="HY3" i="24"/>
  <c r="HX3" i="24"/>
  <c r="HW3" i="24"/>
  <c r="HV3" i="24"/>
  <c r="HU3" i="24"/>
  <c r="HT3" i="24"/>
  <c r="HS3" i="24"/>
  <c r="HR3" i="24"/>
  <c r="HQ3" i="24"/>
  <c r="HP3" i="24"/>
  <c r="HO3" i="24"/>
  <c r="HN3" i="24"/>
  <c r="HM3" i="24"/>
  <c r="HL3" i="24"/>
  <c r="HK3" i="24"/>
  <c r="HJ3" i="24"/>
  <c r="HI3" i="24"/>
  <c r="HH3" i="24"/>
  <c r="HG3" i="24"/>
  <c r="HF3" i="24"/>
  <c r="HE3" i="24"/>
  <c r="HD3" i="24"/>
  <c r="HC3" i="24"/>
  <c r="HB3" i="24"/>
  <c r="HA3" i="24"/>
  <c r="GZ3" i="24"/>
  <c r="GY3" i="24"/>
  <c r="GX3" i="24"/>
  <c r="GW3" i="24"/>
  <c r="GV3" i="24"/>
  <c r="GU3" i="24"/>
  <c r="GT3" i="24"/>
  <c r="GS3" i="24"/>
  <c r="GR3" i="24"/>
  <c r="GQ3" i="24"/>
  <c r="GP3" i="24"/>
  <c r="GO3" i="24"/>
  <c r="GN3" i="24"/>
  <c r="GM3" i="24"/>
  <c r="GL3" i="24"/>
  <c r="GK3" i="24"/>
  <c r="GJ3" i="24"/>
  <c r="GI3" i="24"/>
  <c r="GG3" i="24"/>
  <c r="GF3" i="24"/>
  <c r="GE3" i="24"/>
  <c r="GD3" i="24"/>
  <c r="GC3" i="24"/>
  <c r="GB3" i="24"/>
  <c r="GA3" i="24"/>
  <c r="FZ3" i="24"/>
  <c r="FY3" i="24"/>
  <c r="FX3" i="24"/>
  <c r="FW3" i="24"/>
  <c r="FV3" i="24"/>
  <c r="FU3" i="24"/>
  <c r="FT3" i="24"/>
  <c r="FS3" i="24"/>
  <c r="FR3" i="24"/>
  <c r="FQ3" i="24"/>
  <c r="FP3" i="24"/>
  <c r="FO3" i="24"/>
  <c r="FN3" i="24"/>
  <c r="FM3" i="24"/>
  <c r="FL3" i="24"/>
  <c r="FK3" i="24"/>
  <c r="FJ3" i="24"/>
  <c r="FI3" i="24"/>
  <c r="FH3" i="24"/>
  <c r="FG3" i="24"/>
  <c r="FF3" i="24"/>
  <c r="FE3" i="24"/>
  <c r="FD3" i="24"/>
  <c r="FC3" i="24"/>
  <c r="FB3" i="24"/>
  <c r="FA3" i="24"/>
  <c r="EZ3" i="24"/>
  <c r="EY3" i="24"/>
  <c r="EX3" i="24"/>
  <c r="EW3" i="24"/>
  <c r="EV3" i="24"/>
  <c r="EU3" i="24"/>
  <c r="ET3" i="24"/>
  <c r="ES3" i="24"/>
  <c r="ER3" i="24"/>
  <c r="EQ3" i="24"/>
  <c r="EP3" i="24"/>
  <c r="EO3" i="24"/>
  <c r="EN3" i="24"/>
  <c r="EM3" i="24"/>
  <c r="EL3" i="24"/>
  <c r="EK3" i="24"/>
  <c r="EJ3" i="24"/>
  <c r="EI3" i="24"/>
  <c r="EH3" i="24"/>
  <c r="EG3" i="24"/>
  <c r="EF3" i="24"/>
  <c r="EE3" i="24"/>
  <c r="ED3" i="24"/>
  <c r="EC3" i="24"/>
  <c r="EB3" i="24"/>
  <c r="EA3" i="24"/>
  <c r="DZ3" i="24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L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X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J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V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NF2" i="24"/>
  <c r="NE2" i="24"/>
  <c r="ND2" i="24"/>
  <c r="NC2" i="24"/>
  <c r="NB2" i="24"/>
  <c r="NA2" i="24"/>
  <c r="MZ2" i="24"/>
  <c r="MY2" i="24"/>
  <c r="MX2" i="24"/>
  <c r="MW2" i="24"/>
  <c r="MV2" i="24"/>
  <c r="MU2" i="24"/>
  <c r="MT2" i="24"/>
  <c r="MS2" i="24"/>
  <c r="MR2" i="24"/>
  <c r="MQ2" i="24"/>
  <c r="MP2" i="24"/>
  <c r="MO2" i="24"/>
  <c r="MN2" i="24"/>
  <c r="MM2" i="24"/>
  <c r="ML2" i="24"/>
  <c r="MK2" i="24"/>
  <c r="MJ2" i="24"/>
  <c r="MI2" i="24"/>
  <c r="MH2" i="24"/>
  <c r="MG2" i="24"/>
  <c r="MF2" i="24"/>
  <c r="ME2" i="24"/>
  <c r="MD2" i="24"/>
  <c r="MC2" i="24"/>
  <c r="MB2" i="24"/>
  <c r="MA2" i="24"/>
  <c r="LZ2" i="24"/>
  <c r="LY2" i="24"/>
  <c r="LX2" i="24"/>
  <c r="LW2" i="24"/>
  <c r="LV2" i="24"/>
  <c r="LU2" i="24"/>
  <c r="LT2" i="24"/>
  <c r="LS2" i="24"/>
  <c r="LR2" i="24"/>
  <c r="LQ2" i="24"/>
  <c r="LP2" i="24"/>
  <c r="LO2" i="24"/>
  <c r="LN2" i="24"/>
  <c r="LM2" i="24"/>
  <c r="LL2" i="24"/>
  <c r="LK2" i="24"/>
  <c r="LJ2" i="24"/>
  <c r="LI2" i="24"/>
  <c r="LH2" i="24"/>
  <c r="LG2" i="24"/>
  <c r="LF2" i="24"/>
  <c r="LE2" i="24"/>
  <c r="LD2" i="24"/>
  <c r="LC2" i="24"/>
  <c r="LB2" i="24"/>
  <c r="LA2" i="24"/>
  <c r="KZ2" i="24"/>
  <c r="KY2" i="24"/>
  <c r="KX2" i="24"/>
  <c r="KW2" i="24"/>
  <c r="KV2" i="24"/>
  <c r="KU2" i="24"/>
  <c r="KT2" i="24"/>
  <c r="KS2" i="24"/>
  <c r="KR2" i="24"/>
  <c r="KQ2" i="24"/>
  <c r="KP2" i="24"/>
  <c r="KO2" i="24"/>
  <c r="KN2" i="24"/>
  <c r="KM2" i="24"/>
  <c r="KL2" i="24"/>
  <c r="KK2" i="24"/>
  <c r="KJ2" i="24"/>
  <c r="KI2" i="24"/>
  <c r="KH2" i="24"/>
  <c r="KG2" i="24"/>
  <c r="KF2" i="24"/>
  <c r="KE2" i="24"/>
  <c r="KD2" i="24"/>
  <c r="KC2" i="24"/>
  <c r="KB2" i="24"/>
  <c r="KA2" i="24"/>
  <c r="JZ2" i="24"/>
  <c r="JY2" i="24"/>
  <c r="JX2" i="24"/>
  <c r="JW2" i="24"/>
  <c r="JV2" i="24"/>
  <c r="JU2" i="24"/>
  <c r="JT2" i="24"/>
  <c r="JS2" i="24"/>
  <c r="JR2" i="24"/>
  <c r="JQ2" i="24"/>
  <c r="JP2" i="24"/>
  <c r="JO2" i="24"/>
  <c r="JN2" i="24"/>
  <c r="JM2" i="24"/>
  <c r="JL2" i="24"/>
  <c r="JK2" i="24"/>
  <c r="JJ2" i="24"/>
  <c r="JI2" i="24"/>
  <c r="JH2" i="24"/>
  <c r="JG2" i="24"/>
  <c r="JF2" i="24"/>
  <c r="JE2" i="24"/>
  <c r="JD2" i="24"/>
  <c r="JC2" i="24"/>
  <c r="JB2" i="24"/>
  <c r="JA2" i="24"/>
  <c r="IZ2" i="24"/>
  <c r="IY2" i="24"/>
  <c r="IX2" i="24"/>
  <c r="IW2" i="24"/>
  <c r="IV2" i="24"/>
  <c r="IU2" i="24"/>
  <c r="IT2" i="24"/>
  <c r="IS2" i="24"/>
  <c r="IR2" i="24"/>
  <c r="IQ2" i="24"/>
  <c r="IP2" i="24"/>
  <c r="IO2" i="24"/>
  <c r="IN2" i="24"/>
  <c r="IM2" i="24"/>
  <c r="IL2" i="24"/>
  <c r="IK2" i="24"/>
  <c r="IJ2" i="24"/>
  <c r="II2" i="24"/>
  <c r="IH2" i="24"/>
  <c r="IG2" i="24"/>
  <c r="IF2" i="24"/>
  <c r="IE2" i="24"/>
  <c r="ID2" i="24"/>
  <c r="IC2" i="24"/>
  <c r="IB2" i="24"/>
  <c r="IA2" i="24"/>
  <c r="HZ2" i="24"/>
  <c r="HY2" i="24"/>
  <c r="HX2" i="24"/>
  <c r="HW2" i="24"/>
  <c r="HV2" i="24"/>
  <c r="HU2" i="24"/>
  <c r="HT2" i="24"/>
  <c r="HS2" i="24"/>
  <c r="HR2" i="24"/>
  <c r="HQ2" i="24"/>
  <c r="HP2" i="24"/>
  <c r="HO2" i="24"/>
  <c r="HN2" i="24"/>
  <c r="HM2" i="24"/>
  <c r="HL2" i="24"/>
  <c r="HK2" i="24"/>
  <c r="HJ2" i="24"/>
  <c r="HI2" i="24"/>
  <c r="HH2" i="24"/>
  <c r="HG2" i="24"/>
  <c r="HF2" i="24"/>
  <c r="HE2" i="24"/>
  <c r="HD2" i="24"/>
  <c r="HC2" i="24"/>
  <c r="HB2" i="24"/>
  <c r="HA2" i="24"/>
  <c r="GZ2" i="24"/>
  <c r="GY2" i="24"/>
  <c r="GX2" i="24"/>
  <c r="GW2" i="24"/>
  <c r="GV2" i="24"/>
  <c r="GU2" i="24"/>
  <c r="GT2" i="24"/>
  <c r="GS2" i="24"/>
  <c r="GR2" i="24"/>
  <c r="GQ2" i="24"/>
  <c r="GP2" i="24"/>
  <c r="GO2" i="24"/>
  <c r="GN2" i="24"/>
  <c r="GM2" i="24"/>
  <c r="GL2" i="24"/>
  <c r="GK2" i="24"/>
  <c r="GJ2" i="24"/>
  <c r="GI2" i="24"/>
  <c r="GG2" i="24"/>
  <c r="GF2" i="24"/>
  <c r="GE2" i="24"/>
  <c r="GD2" i="24"/>
  <c r="GC2" i="24"/>
  <c r="GB2" i="24"/>
  <c r="GA2" i="24"/>
  <c r="FZ2" i="24"/>
  <c r="FY2" i="24"/>
  <c r="FX2" i="24"/>
  <c r="FW2" i="24"/>
  <c r="FV2" i="24"/>
  <c r="FU2" i="24"/>
  <c r="FT2" i="24"/>
  <c r="FS2" i="24"/>
  <c r="FR2" i="24"/>
  <c r="FQ2" i="24"/>
  <c r="FP2" i="24"/>
  <c r="FO2" i="24"/>
  <c r="FN2" i="24"/>
  <c r="FM2" i="24"/>
  <c r="FL2" i="24"/>
  <c r="FK2" i="24"/>
  <c r="FJ2" i="24"/>
  <c r="FI2" i="24"/>
  <c r="FH2" i="24"/>
  <c r="FG2" i="24"/>
  <c r="FF2" i="24"/>
  <c r="FE2" i="24"/>
  <c r="FD2" i="24"/>
  <c r="FC2" i="24"/>
  <c r="FB2" i="24"/>
  <c r="FA2" i="24"/>
  <c r="EZ2" i="24"/>
  <c r="EY2" i="24"/>
  <c r="EX2" i="24"/>
  <c r="EW2" i="24"/>
  <c r="EV2" i="24"/>
  <c r="EU2" i="24"/>
  <c r="ET2" i="24"/>
  <c r="ES2" i="24"/>
  <c r="ER2" i="24"/>
  <c r="EQ2" i="24"/>
  <c r="EP2" i="24"/>
  <c r="EO2" i="24"/>
  <c r="EN2" i="24"/>
  <c r="EM2" i="24"/>
  <c r="EL2" i="24"/>
  <c r="EK2" i="24"/>
  <c r="EJ2" i="24"/>
  <c r="EI2" i="24"/>
  <c r="EH2" i="24"/>
  <c r="EG2" i="24"/>
  <c r="EF2" i="24"/>
  <c r="EE2" i="24"/>
  <c r="ED2" i="24"/>
  <c r="EC2" i="24"/>
  <c r="EB2" i="24"/>
  <c r="EA2" i="24"/>
  <c r="DZ2" i="24"/>
  <c r="DY2" i="24"/>
  <c r="DX2" i="24"/>
  <c r="DW2" i="24"/>
  <c r="DV2" i="24"/>
  <c r="DU2" i="24"/>
  <c r="DT2" i="24"/>
  <c r="DS2" i="24"/>
  <c r="DR2" i="24"/>
  <c r="DQ2" i="24"/>
  <c r="DP2" i="24"/>
  <c r="DO2" i="24"/>
  <c r="DN2" i="24"/>
  <c r="DM2" i="24"/>
  <c r="DL2" i="24"/>
  <c r="DK2" i="24"/>
  <c r="DJ2" i="24"/>
  <c r="DI2" i="24"/>
  <c r="DH2" i="24"/>
  <c r="DG2" i="24"/>
  <c r="DF2" i="24"/>
  <c r="DE2" i="24"/>
  <c r="DD2" i="24"/>
  <c r="DC2" i="24"/>
  <c r="DB2" i="24"/>
  <c r="DA2" i="24"/>
  <c r="CZ2" i="24"/>
  <c r="CY2" i="24"/>
  <c r="CX2" i="24"/>
  <c r="CW2" i="24"/>
  <c r="CV2" i="24"/>
  <c r="CU2" i="24"/>
  <c r="CT2" i="24"/>
  <c r="CS2" i="24"/>
  <c r="CR2" i="24"/>
  <c r="CQ2" i="24"/>
  <c r="CP2" i="24"/>
  <c r="CO2" i="24"/>
  <c r="CN2" i="24"/>
  <c r="CM2" i="24"/>
  <c r="CL2" i="24"/>
  <c r="CK2" i="24"/>
  <c r="CJ2" i="24"/>
  <c r="CI2" i="24"/>
  <c r="CH2" i="24"/>
  <c r="CG2" i="24"/>
  <c r="CF2" i="24"/>
  <c r="CE2" i="24"/>
  <c r="CD2" i="24"/>
  <c r="CC2" i="24"/>
  <c r="CB2" i="24"/>
  <c r="CA2" i="24"/>
  <c r="BZ2" i="24"/>
  <c r="BY2" i="24"/>
  <c r="BX2" i="24"/>
  <c r="BW2" i="24"/>
  <c r="BV2" i="24"/>
  <c r="BU2" i="24"/>
  <c r="BT2" i="24"/>
  <c r="BS2" i="24"/>
  <c r="BR2" i="24"/>
  <c r="BQ2" i="24"/>
  <c r="BP2" i="24"/>
  <c r="BO2" i="24"/>
  <c r="BN2" i="24"/>
  <c r="BM2" i="24"/>
  <c r="BL2" i="24"/>
  <c r="BK2" i="24"/>
  <c r="BJ2" i="24"/>
  <c r="BI2" i="24"/>
  <c r="BH2" i="24"/>
  <c r="BG2" i="24"/>
  <c r="BF2" i="24"/>
  <c r="BE2" i="24"/>
  <c r="BD2" i="24"/>
  <c r="BC2" i="24"/>
  <c r="BB2" i="24"/>
  <c r="BA2" i="24"/>
  <c r="AZ2" i="24"/>
  <c r="AY2" i="24"/>
  <c r="AX2" i="24"/>
  <c r="AW2" i="24"/>
  <c r="AV2" i="24"/>
  <c r="AU2" i="24"/>
  <c r="AT2" i="24"/>
  <c r="AS2" i="24"/>
  <c r="AR2" i="24"/>
  <c r="AQ2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J3" i="24"/>
  <c r="E178" i="24"/>
  <c r="E179" i="24"/>
  <c r="E180" i="24"/>
  <c r="E181" i="24"/>
  <c r="E182" i="24"/>
  <c r="E183" i="24"/>
  <c r="E184" i="24"/>
  <c r="E185" i="24"/>
  <c r="E186" i="24"/>
  <c r="E187" i="24"/>
  <c r="E188" i="24"/>
  <c r="OI178" i="24"/>
  <c r="OI179" i="24"/>
  <c r="OI180" i="24"/>
  <c r="OI181" i="24"/>
  <c r="OI182" i="24"/>
  <c r="OI183" i="24"/>
  <c r="OI184" i="24"/>
  <c r="OI185" i="24"/>
  <c r="OI186" i="24"/>
  <c r="OI187" i="24"/>
  <c r="OI188" i="24"/>
  <c r="A5" i="24" a="1"/>
  <c r="A5" i="24" s="1"/>
  <c r="NT284" i="19" l="1" a="1"/>
  <c r="NT284" i="19" s="1"/>
  <c r="OI284" i="19" s="1"/>
  <c r="E284" i="19" s="1"/>
  <c r="H283" i="8" s="1"/>
  <c r="NT310" i="19" a="1"/>
  <c r="NT310" i="19" s="1"/>
  <c r="NT334" i="19" a="1"/>
  <c r="NT334" i="19" s="1"/>
  <c r="NT351" i="19" a="1"/>
  <c r="NT351" i="19" s="1"/>
  <c r="NT288" i="19" a="1"/>
  <c r="NT288" i="19" s="1"/>
  <c r="NT339" i="19" a="1"/>
  <c r="NT339" i="19" s="1"/>
  <c r="OI339" i="19" s="1"/>
  <c r="E339" i="19" s="1"/>
  <c r="H338" i="8" s="1"/>
  <c r="NT329" i="19" a="1"/>
  <c r="NT329" i="19" s="1"/>
  <c r="NT327" i="19" a="1"/>
  <c r="NT327" i="19" s="1"/>
  <c r="NT323" i="19" a="1"/>
  <c r="NT323" i="19" s="1"/>
  <c r="NT308" i="19" a="1"/>
  <c r="NT308" i="19" s="1"/>
  <c r="NT333" i="19" a="1"/>
  <c r="NT333" i="19" s="1"/>
  <c r="OI333" i="19" s="1"/>
  <c r="E333" i="19" s="1"/>
  <c r="NT282" i="19" a="1"/>
  <c r="NT282" i="19" s="1"/>
  <c r="NT313" i="19" a="1"/>
  <c r="NT313" i="19" s="1"/>
  <c r="OI313" i="19" s="1"/>
  <c r="E313" i="19" s="1"/>
  <c r="NT262" i="19" a="1"/>
  <c r="NT262" i="19" s="1"/>
  <c r="NT303" i="19" a="1"/>
  <c r="NT303" i="19" s="1"/>
  <c r="NT292" i="19" a="1"/>
  <c r="NT292" i="19" s="1"/>
  <c r="OI292" i="19" s="1"/>
  <c r="E292" i="19" s="1"/>
  <c r="NT316" i="19" a="1"/>
  <c r="NT316" i="19" s="1"/>
  <c r="NT320" i="19" a="1"/>
  <c r="NT320" i="19" s="1"/>
  <c r="NT307" i="19" a="1"/>
  <c r="NT307" i="19" s="1"/>
  <c r="OI307" i="19" s="1"/>
  <c r="E307" i="19" s="1"/>
  <c r="NT311" i="19" a="1"/>
  <c r="NT311" i="19" s="1"/>
  <c r="NT294" i="19" a="1"/>
  <c r="NT294" i="19" s="1"/>
  <c r="OI294" i="19" s="1"/>
  <c r="E294" i="19" s="1"/>
  <c r="NT299" i="19" a="1"/>
  <c r="NT299" i="19" s="1"/>
  <c r="OI299" i="19" s="1"/>
  <c r="E299" i="19" s="1"/>
  <c r="NT336" i="19" a="1"/>
  <c r="NT336" i="19" s="1"/>
  <c r="G261" i="8"/>
  <c r="NT302" i="19" a="1"/>
  <c r="NT302" i="19" s="1"/>
  <c r="NT297" i="19" a="1"/>
  <c r="NT297" i="19" s="1"/>
  <c r="OI297" i="19" s="1"/>
  <c r="E297" i="19" s="1"/>
  <c r="NT300" i="19" a="1"/>
  <c r="NT300" i="19" s="1"/>
  <c r="OI300" i="19" s="1"/>
  <c r="E300" i="19" s="1"/>
  <c r="H299" i="8" s="1"/>
  <c r="NT287" i="19" a="1"/>
  <c r="NT287" i="19" s="1"/>
  <c r="OI287" i="19" s="1"/>
  <c r="E287" i="19" s="1"/>
  <c r="NT281" i="19" a="1"/>
  <c r="NT281" i="19" s="1"/>
  <c r="NT340" i="19" a="1"/>
  <c r="NT340" i="19" s="1"/>
  <c r="H288" i="8"/>
  <c r="NT305" i="19" a="1"/>
  <c r="NT305" i="19" s="1"/>
  <c r="NT355" i="19" a="1"/>
  <c r="NT355" i="19" s="1"/>
  <c r="OI355" i="19" s="1"/>
  <c r="E355" i="19" s="1"/>
  <c r="H354" i="8" s="1"/>
  <c r="NT342" i="19" a="1"/>
  <c r="NT342" i="19" s="1"/>
  <c r="OI304" i="19"/>
  <c r="E304" i="19" s="1"/>
  <c r="G259" i="8"/>
  <c r="NT357" i="19" a="1"/>
  <c r="NT357" i="19" s="1"/>
  <c r="J329" i="8"/>
  <c r="J307" i="8"/>
  <c r="J295" i="8"/>
  <c r="J336" i="8"/>
  <c r="J270" i="8"/>
  <c r="J276" i="8"/>
  <c r="J305" i="8"/>
  <c r="J296" i="8"/>
  <c r="J332" i="8"/>
  <c r="J275" i="8"/>
  <c r="J356" i="8"/>
  <c r="J344" i="8"/>
  <c r="J342" i="8"/>
  <c r="J326" i="8"/>
  <c r="J320" i="8"/>
  <c r="J309" i="8"/>
  <c r="J293" i="8"/>
  <c r="J285" i="8"/>
  <c r="J284" i="8"/>
  <c r="J328" i="8"/>
  <c r="J357" i="8"/>
  <c r="J330" i="8"/>
  <c r="J289" i="8"/>
  <c r="J281" i="8"/>
  <c r="J343" i="8"/>
  <c r="J339" i="8"/>
  <c r="J327" i="8"/>
  <c r="J263" i="8"/>
  <c r="J334" i="8"/>
  <c r="J301" i="8"/>
  <c r="J303" i="8"/>
  <c r="J264" i="8"/>
  <c r="J282" i="8"/>
  <c r="J355" i="8"/>
  <c r="J288" i="8"/>
  <c r="J280" i="8"/>
  <c r="J314" i="8"/>
  <c r="J269" i="8"/>
  <c r="J319" i="8"/>
  <c r="J306" i="8"/>
  <c r="J267" i="8"/>
  <c r="J302" i="8"/>
  <c r="J287" i="8"/>
  <c r="J321" i="8"/>
  <c r="J265" i="8"/>
  <c r="J262" i="8"/>
  <c r="J266" i="8"/>
  <c r="J316" i="8"/>
  <c r="J325" i="8"/>
  <c r="J286" i="8"/>
  <c r="J310" i="8"/>
  <c r="J291" i="8"/>
  <c r="J260" i="8"/>
  <c r="NT261" i="19" a="1"/>
  <c r="NT261" i="19" s="1"/>
  <c r="OI261" i="19" s="1"/>
  <c r="E261" i="19" s="1"/>
  <c r="H260" i="8" s="1"/>
  <c r="NT246" i="19" a="1"/>
  <c r="NT246" i="19" s="1"/>
  <c r="OI246" i="19" s="1"/>
  <c r="E246" i="19" s="1"/>
  <c r="NT234" i="19" a="1"/>
  <c r="NT234" i="19" s="1"/>
  <c r="OI234" i="19" s="1"/>
  <c r="E234" i="19" s="1"/>
  <c r="NT341" i="19" a="1"/>
  <c r="NT341" i="19" s="1"/>
  <c r="OI341" i="19" s="1"/>
  <c r="E341" i="19" s="1"/>
  <c r="H340" i="8" s="1"/>
  <c r="NT268" i="19" a="1"/>
  <c r="NT268" i="19" s="1"/>
  <c r="OI352" i="19"/>
  <c r="E352" i="19" s="1"/>
  <c r="NT343" i="19" a="1"/>
  <c r="NT343" i="19" s="1"/>
  <c r="OI343" i="19" s="1"/>
  <c r="E343" i="19" s="1"/>
  <c r="H342" i="8" s="1"/>
  <c r="NT349" i="19" a="1"/>
  <c r="NT349" i="19" s="1"/>
  <c r="OI349" i="19" s="1"/>
  <c r="E349" i="19" s="1"/>
  <c r="NT317" i="19" a="1"/>
  <c r="NT317" i="19" s="1"/>
  <c r="OI317" i="19" s="1"/>
  <c r="E317" i="19" s="1"/>
  <c r="H316" i="8" s="1"/>
  <c r="NT298" i="19" a="1"/>
  <c r="NT298" i="19" s="1"/>
  <c r="OI298" i="19" s="1"/>
  <c r="E298" i="19" s="1"/>
  <c r="H297" i="8" s="1"/>
  <c r="NT344" i="19" a="1"/>
  <c r="NT344" i="19" s="1"/>
  <c r="OI344" i="19" s="1"/>
  <c r="E344" i="19" s="1"/>
  <c r="OI243" i="19"/>
  <c r="E243" i="19" s="1"/>
  <c r="NT273" i="19" a="1"/>
  <c r="NT273" i="19" s="1"/>
  <c r="OI351" i="19"/>
  <c r="E351" i="19" s="1"/>
  <c r="H350" i="8" s="1"/>
  <c r="NT356" i="19" a="1"/>
  <c r="NT356" i="19" s="1"/>
  <c r="OI356" i="19" s="1"/>
  <c r="E356" i="19" s="1"/>
  <c r="H355" i="8" s="1"/>
  <c r="OI316" i="19"/>
  <c r="E316" i="19" s="1"/>
  <c r="H315" i="8" s="1"/>
  <c r="OI324" i="19"/>
  <c r="E324" i="19" s="1"/>
  <c r="H323" i="8" s="1"/>
  <c r="NT337" i="19" a="1"/>
  <c r="NT337" i="19" s="1"/>
  <c r="OI337" i="19" s="1"/>
  <c r="E337" i="19" s="1"/>
  <c r="H336" i="8" s="1"/>
  <c r="NT312" i="19" a="1"/>
  <c r="NT312" i="19" s="1"/>
  <c r="OI312" i="19" s="1"/>
  <c r="E312" i="19" s="1"/>
  <c r="NT319" i="19" a="1"/>
  <c r="NT319" i="19" s="1"/>
  <c r="OI319" i="19" s="1"/>
  <c r="E319" i="19" s="1"/>
  <c r="NT345" i="19" a="1"/>
  <c r="NT345" i="19" s="1"/>
  <c r="OI345" i="19" s="1"/>
  <c r="E345" i="19" s="1"/>
  <c r="OI311" i="19"/>
  <c r="E311" i="19" s="1"/>
  <c r="H310" i="8" s="1"/>
  <c r="OI315" i="19"/>
  <c r="E315" i="19" s="1"/>
  <c r="H314" i="8" s="1"/>
  <c r="OI314" i="19"/>
  <c r="E314" i="19" s="1"/>
  <c r="OI327" i="19"/>
  <c r="E327" i="19" s="1"/>
  <c r="NT309" i="19" a="1"/>
  <c r="NT309" i="19" s="1"/>
  <c r="OI309" i="19" s="1"/>
  <c r="E309" i="19" s="1"/>
  <c r="H308" i="8" s="1"/>
  <c r="NT338" i="19" a="1"/>
  <c r="NT338" i="19" s="1"/>
  <c r="OI338" i="19" s="1"/>
  <c r="E338" i="19" s="1"/>
  <c r="H337" i="8" s="1"/>
  <c r="NT283" i="19" a="1"/>
  <c r="NT283" i="19" s="1"/>
  <c r="OI283" i="19" s="1"/>
  <c r="E283" i="19" s="1"/>
  <c r="H282" i="8" s="1"/>
  <c r="NT270" i="19" a="1"/>
  <c r="NT270" i="19" s="1"/>
  <c r="NT348" i="19" a="1"/>
  <c r="NT348" i="19" s="1"/>
  <c r="OI348" i="19" s="1"/>
  <c r="E348" i="19" s="1"/>
  <c r="H347" i="8" s="1"/>
  <c r="OI336" i="19"/>
  <c r="E336" i="19" s="1"/>
  <c r="H335" i="8" s="1"/>
  <c r="OI353" i="19"/>
  <c r="E353" i="19" s="1"/>
  <c r="H352" i="8" s="1"/>
  <c r="OI296" i="19"/>
  <c r="E296" i="19" s="1"/>
  <c r="OI281" i="19"/>
  <c r="E281" i="19" s="1"/>
  <c r="OI340" i="19"/>
  <c r="E340" i="19" s="1"/>
  <c r="H339" i="8" s="1"/>
  <c r="OI310" i="19"/>
  <c r="E310" i="19" s="1"/>
  <c r="OI293" i="19"/>
  <c r="E293" i="19" s="1"/>
  <c r="H292" i="8" s="1"/>
  <c r="NT325" i="19" a="1"/>
  <c r="NT325" i="19" s="1"/>
  <c r="OI325" i="19" s="1"/>
  <c r="E325" i="19" s="1"/>
  <c r="NT335" i="19" a="1"/>
  <c r="NT335" i="19" s="1"/>
  <c r="OI335" i="19" s="1"/>
  <c r="E335" i="19" s="1"/>
  <c r="H334" i="8" s="1"/>
  <c r="NT264" i="19" a="1"/>
  <c r="NT264" i="19" s="1"/>
  <c r="NT359" i="19" a="1"/>
  <c r="NT359" i="19" s="1"/>
  <c r="OI359" i="19" s="1"/>
  <c r="E359" i="19" s="1"/>
  <c r="NT326" i="19" a="1"/>
  <c r="NT326" i="19" s="1"/>
  <c r="OI326" i="19" s="1"/>
  <c r="E326" i="19" s="1"/>
  <c r="H325" i="8" s="1"/>
  <c r="NT286" i="19" a="1"/>
  <c r="NT286" i="19" s="1"/>
  <c r="OI286" i="19" s="1"/>
  <c r="E286" i="19" s="1"/>
  <c r="H285" i="8" s="1"/>
  <c r="OI308" i="19"/>
  <c r="E308" i="19" s="1"/>
  <c r="NT331" i="19" a="1"/>
  <c r="NT331" i="19" s="1"/>
  <c r="OI331" i="19" s="1"/>
  <c r="E331" i="19" s="1"/>
  <c r="H332" i="8" s="1"/>
  <c r="NT295" i="19" a="1"/>
  <c r="NT295" i="19" s="1"/>
  <c r="OI295" i="19" s="1"/>
  <c r="E295" i="19" s="1"/>
  <c r="H294" i="8" s="1"/>
  <c r="NT346" i="19" a="1"/>
  <c r="NT346" i="19" s="1"/>
  <c r="OI346" i="19" s="1"/>
  <c r="E346" i="19" s="1"/>
  <c r="H345" i="8" s="1"/>
  <c r="OI334" i="19"/>
  <c r="E334" i="19" s="1"/>
  <c r="OI285" i="19"/>
  <c r="E285" i="19" s="1"/>
  <c r="OI303" i="19"/>
  <c r="E303" i="19" s="1"/>
  <c r="H302" i="8" s="1"/>
  <c r="OI323" i="19"/>
  <c r="E323" i="19" s="1"/>
  <c r="H322" i="8" s="1"/>
  <c r="NT290" i="19" a="1"/>
  <c r="NT290" i="19" s="1"/>
  <c r="OI290" i="19" s="1"/>
  <c r="E290" i="19" s="1"/>
  <c r="OI332" i="19"/>
  <c r="E332" i="19" s="1"/>
  <c r="H331" i="8" s="1"/>
  <c r="NT318" i="19" a="1"/>
  <c r="NT318" i="19" s="1"/>
  <c r="OI318" i="19" s="1"/>
  <c r="E318" i="19" s="1"/>
  <c r="NT354" i="19" a="1"/>
  <c r="NT354" i="19" s="1"/>
  <c r="OI354" i="19" s="1"/>
  <c r="E354" i="19" s="1"/>
  <c r="H353" i="8" s="1"/>
  <c r="NT330" i="19" a="1"/>
  <c r="NT330" i="19" s="1"/>
  <c r="OI330" i="19" s="1"/>
  <c r="E330" i="19" s="1"/>
  <c r="H329" i="8" s="1"/>
  <c r="NT306" i="19" a="1"/>
  <c r="NT306" i="19" s="1"/>
  <c r="OI306" i="19"/>
  <c r="E306" i="19" s="1"/>
  <c r="H305" i="8" s="1"/>
  <c r="OI282" i="19"/>
  <c r="E282" i="19" s="1"/>
  <c r="OI329" i="19"/>
  <c r="E329" i="19" s="1"/>
  <c r="H328" i="8" s="1"/>
  <c r="OI321" i="19"/>
  <c r="E321" i="19" s="1"/>
  <c r="H320" i="8" s="1"/>
  <c r="OI288" i="19"/>
  <c r="E288" i="19" s="1"/>
  <c r="NT328" i="19" a="1"/>
  <c r="NT328" i="19" s="1"/>
  <c r="OI328" i="19" s="1"/>
  <c r="E328" i="19" s="1"/>
  <c r="H327" i="8" s="1"/>
  <c r="OI291" i="19"/>
  <c r="E291" i="19" s="1"/>
  <c r="H290" i="8" s="1"/>
  <c r="OI357" i="19"/>
  <c r="E357" i="19" s="1"/>
  <c r="H356" i="8" s="1"/>
  <c r="OI342" i="19"/>
  <c r="E342" i="19" s="1"/>
  <c r="OI320" i="19"/>
  <c r="E320" i="19" s="1"/>
  <c r="H319" i="8" s="1"/>
  <c r="OI305" i="19"/>
  <c r="E305" i="19" s="1"/>
  <c r="H306" i="8" s="1"/>
  <c r="NT350" i="19" a="1"/>
  <c r="NT350" i="19" s="1"/>
  <c r="OI350" i="19" s="1"/>
  <c r="E350" i="19" s="1"/>
  <c r="H349" i="8" s="1"/>
  <c r="OI302" i="19"/>
  <c r="E302" i="19" s="1"/>
  <c r="NT301" i="19" a="1"/>
  <c r="NT301" i="19" s="1"/>
  <c r="OI301" i="19" s="1"/>
  <c r="E301" i="19" s="1"/>
  <c r="H300" i="8" s="1"/>
  <c r="NT347" i="19" a="1"/>
  <c r="NT347" i="19" s="1"/>
  <c r="OI347" i="19" s="1"/>
  <c r="E347" i="19" s="1"/>
  <c r="H346" i="8" s="1"/>
  <c r="L326" i="8"/>
  <c r="L347" i="8"/>
  <c r="L332" i="8"/>
  <c r="L358" i="8"/>
  <c r="L331" i="8"/>
  <c r="L341" i="8"/>
  <c r="L349" i="8"/>
  <c r="L274" i="8"/>
  <c r="L261" i="8"/>
  <c r="L264" i="8"/>
  <c r="L265" i="8"/>
  <c r="L295" i="8"/>
  <c r="L273" i="8"/>
  <c r="L285" i="8"/>
  <c r="L293" i="8"/>
  <c r="L301" i="8"/>
  <c r="L309" i="8"/>
  <c r="L317" i="8"/>
  <c r="L286" i="8"/>
  <c r="L294" i="8"/>
  <c r="L302" i="8"/>
  <c r="L310" i="8"/>
  <c r="L318" i="8"/>
  <c r="L299" i="8"/>
  <c r="L308" i="8"/>
  <c r="L334" i="8"/>
  <c r="L342" i="8"/>
  <c r="L291" i="8"/>
  <c r="L328" i="8"/>
  <c r="L350" i="8"/>
  <c r="L352" i="8"/>
  <c r="L280" i="8"/>
  <c r="L267" i="8"/>
  <c r="L278" i="8"/>
  <c r="L269" i="8"/>
  <c r="L277" i="8"/>
  <c r="L287" i="8"/>
  <c r="L316" i="8"/>
  <c r="L355" i="8"/>
  <c r="L324" i="8"/>
  <c r="L346" i="8"/>
  <c r="L272" i="8"/>
  <c r="L284" i="8"/>
  <c r="L323" i="8"/>
  <c r="L312" i="8"/>
  <c r="L319" i="8"/>
  <c r="L327" i="8"/>
  <c r="L307" i="8"/>
  <c r="L321" i="8"/>
  <c r="L356" i="8"/>
  <c r="L348" i="8"/>
  <c r="L345" i="8"/>
  <c r="L336" i="8"/>
  <c r="L353" i="8"/>
  <c r="L262" i="8"/>
  <c r="L288" i="8"/>
  <c r="L344" i="8"/>
  <c r="L300" i="8"/>
  <c r="L283" i="8"/>
  <c r="L322" i="8"/>
  <c r="L292" i="8"/>
  <c r="L311" i="8"/>
  <c r="L351" i="8"/>
  <c r="L335" i="8"/>
  <c r="L333" i="8"/>
  <c r="L354" i="8"/>
  <c r="L270" i="8"/>
  <c r="L268" i="8"/>
  <c r="L275" i="8"/>
  <c r="L279" i="8"/>
  <c r="L271" i="8"/>
  <c r="L260" i="8"/>
  <c r="L276" i="8"/>
  <c r="L281" i="8"/>
  <c r="L289" i="8"/>
  <c r="L297" i="8"/>
  <c r="L305" i="8"/>
  <c r="L313" i="8"/>
  <c r="L282" i="8"/>
  <c r="L290" i="8"/>
  <c r="L298" i="8"/>
  <c r="L306" i="8"/>
  <c r="L314" i="8"/>
  <c r="L320" i="8"/>
  <c r="L330" i="8"/>
  <c r="L338" i="8"/>
  <c r="L357" i="8"/>
  <c r="L325" i="8"/>
  <c r="L337" i="8"/>
  <c r="L329" i="8"/>
  <c r="L266" i="8"/>
  <c r="L303" i="8"/>
  <c r="L263" i="8"/>
  <c r="L296" i="8"/>
  <c r="L315" i="8"/>
  <c r="L343" i="8"/>
  <c r="L339" i="8"/>
  <c r="L304" i="8"/>
  <c r="L340" i="8"/>
  <c r="NT266" i="19" a="1"/>
  <c r="NT266" i="19" s="1"/>
  <c r="OI266" i="19" s="1"/>
  <c r="E266" i="19" s="1"/>
  <c r="NT253" i="19" a="1"/>
  <c r="NT253" i="19" s="1"/>
  <c r="OI253" i="19" s="1"/>
  <c r="E253" i="19" s="1"/>
  <c r="H252" i="8" s="1"/>
  <c r="NT280" i="19" a="1"/>
  <c r="NT280" i="19" s="1"/>
  <c r="OI280" i="19" s="1"/>
  <c r="E280" i="19" s="1"/>
  <c r="NT267" i="19" a="1"/>
  <c r="NT267" i="19" s="1"/>
  <c r="OI267" i="19" s="1"/>
  <c r="E267" i="19" s="1"/>
  <c r="NT274" i="19" a="1"/>
  <c r="NT274" i="19" s="1"/>
  <c r="OI274" i="19" s="1"/>
  <c r="E274" i="19" s="1"/>
  <c r="H273" i="8" s="1"/>
  <c r="NT241" i="19" a="1"/>
  <c r="NT241" i="19" s="1"/>
  <c r="OI241" i="19" s="1"/>
  <c r="E241" i="19" s="1"/>
  <c r="H240" i="8" s="1"/>
  <c r="NT278" i="19" a="1"/>
  <c r="NT278" i="19" s="1"/>
  <c r="OI278" i="19" s="1"/>
  <c r="E278" i="19" s="1"/>
  <c r="NT245" i="19" a="1"/>
  <c r="NT245" i="19" s="1"/>
  <c r="OI245" i="19" s="1"/>
  <c r="E245" i="19" s="1"/>
  <c r="H244" i="8" s="1"/>
  <c r="NT236" i="19" a="1"/>
  <c r="NT236" i="19" s="1"/>
  <c r="OI236" i="19" s="1"/>
  <c r="E236" i="19" s="1"/>
  <c r="H235" i="8" s="1"/>
  <c r="NT260" i="19" a="1"/>
  <c r="NT260" i="19" s="1"/>
  <c r="OI260" i="19" s="1"/>
  <c r="E260" i="19" s="1"/>
  <c r="H259" i="8" s="1"/>
  <c r="NT251" i="19" a="1"/>
  <c r="NT251" i="19" s="1"/>
  <c r="OI251" i="19" s="1"/>
  <c r="E251" i="19" s="1"/>
  <c r="NT271" i="19" a="1"/>
  <c r="NT271" i="19" s="1"/>
  <c r="OI271" i="19" s="1"/>
  <c r="E271" i="19" s="1"/>
  <c r="NT275" i="19" a="1"/>
  <c r="NT275" i="19" s="1"/>
  <c r="OI275" i="19" s="1"/>
  <c r="E275" i="19" s="1"/>
  <c r="H274" i="8" s="1"/>
  <c r="NT269" i="19" a="1"/>
  <c r="NT269" i="19" s="1"/>
  <c r="OI269" i="19" s="1"/>
  <c r="E269" i="19" s="1"/>
  <c r="H268" i="8" s="1"/>
  <c r="NT254" i="19" a="1"/>
  <c r="NT254" i="19" s="1"/>
  <c r="OI254" i="19" s="1"/>
  <c r="E254" i="19" s="1"/>
  <c r="H253" i="8" s="1"/>
  <c r="NT276" i="19" a="1"/>
  <c r="NT276" i="19" s="1"/>
  <c r="OI276" i="19" s="1"/>
  <c r="E276" i="19" s="1"/>
  <c r="H275" i="8" s="1"/>
  <c r="OI264" i="19"/>
  <c r="E264" i="19" s="1"/>
  <c r="NT263" i="19" a="1"/>
  <c r="NT263" i="19" s="1"/>
  <c r="OI263" i="19" s="1"/>
  <c r="E263" i="19" s="1"/>
  <c r="NT272" i="19" a="1"/>
  <c r="NT272" i="19" s="1"/>
  <c r="OI272" i="19" s="1"/>
  <c r="E272" i="19" s="1"/>
  <c r="NT277" i="19" a="1"/>
  <c r="NT277" i="19" s="1"/>
  <c r="OI277" i="19" s="1"/>
  <c r="E277" i="19" s="1"/>
  <c r="OI262" i="19"/>
  <c r="E262" i="19" s="1"/>
  <c r="H261" i="8" s="1"/>
  <c r="OI273" i="19"/>
  <c r="E273" i="19" s="1"/>
  <c r="H272" i="8" s="1"/>
  <c r="OI270" i="19"/>
  <c r="E270" i="19" s="1"/>
  <c r="NT265" i="19" a="1"/>
  <c r="NT265" i="19" s="1"/>
  <c r="OI265" i="19" s="1"/>
  <c r="E265" i="19" s="1"/>
  <c r="NT279" i="19" a="1"/>
  <c r="NT279" i="19" s="1"/>
  <c r="OI279" i="19" s="1"/>
  <c r="E279" i="19" s="1"/>
  <c r="H278" i="8" s="1"/>
  <c r="OI268" i="19"/>
  <c r="E268" i="19" s="1"/>
  <c r="H267" i="8" s="1"/>
  <c r="NT247" i="19" a="1"/>
  <c r="NT247" i="19" s="1"/>
  <c r="OI247" i="19" s="1"/>
  <c r="E247" i="19" s="1"/>
  <c r="NT257" i="19" a="1"/>
  <c r="NT257" i="19" s="1"/>
  <c r="OI257" i="19" s="1"/>
  <c r="E257" i="19" s="1"/>
  <c r="H256" i="8" s="1"/>
  <c r="NT258" i="19" a="1"/>
  <c r="NT258" i="19" s="1"/>
  <c r="OI258" i="19" s="1"/>
  <c r="E258" i="19" s="1"/>
  <c r="NT250" i="19" a="1"/>
  <c r="NT250" i="19" s="1"/>
  <c r="OI250" i="19" s="1"/>
  <c r="E250" i="19" s="1"/>
  <c r="NT252" i="19" a="1"/>
  <c r="NT252" i="19" s="1"/>
  <c r="OI252" i="19" s="1"/>
  <c r="E252" i="19" s="1"/>
  <c r="NT259" i="19" a="1"/>
  <c r="NT259" i="19" s="1"/>
  <c r="OI259" i="19" s="1"/>
  <c r="E259" i="19" s="1"/>
  <c r="NT244" i="19" a="1"/>
  <c r="NT244" i="19" s="1"/>
  <c r="OI244" i="19" s="1"/>
  <c r="E244" i="19" s="1"/>
  <c r="H243" i="8" s="1"/>
  <c r="NT235" i="19" a="1"/>
  <c r="NT235" i="19" s="1"/>
  <c r="OI235" i="19" s="1"/>
  <c r="E235" i="19" s="1"/>
  <c r="H234" i="8" s="1"/>
  <c r="NT255" i="19" a="1"/>
  <c r="NT255" i="19" s="1"/>
  <c r="OI255" i="19" s="1"/>
  <c r="E255" i="19" s="1"/>
  <c r="H254" i="8" s="1"/>
  <c r="NT256" i="19" a="1"/>
  <c r="NT256" i="19" s="1"/>
  <c r="OI256" i="19" s="1"/>
  <c r="E256" i="19" s="1"/>
  <c r="H255" i="8" s="1"/>
  <c r="L254" i="8"/>
  <c r="L255" i="8"/>
  <c r="L251" i="8"/>
  <c r="L256" i="8"/>
  <c r="L257" i="8"/>
  <c r="L250" i="8"/>
  <c r="L258" i="8"/>
  <c r="L253" i="8"/>
  <c r="L252" i="8"/>
  <c r="L259" i="8"/>
  <c r="L237" i="8"/>
  <c r="L245" i="8"/>
  <c r="L238" i="8"/>
  <c r="L240" i="8"/>
  <c r="L239" i="8"/>
  <c r="L243" i="8"/>
  <c r="L246" i="8"/>
  <c r="L249" i="8"/>
  <c r="L235" i="8"/>
  <c r="L241" i="8"/>
  <c r="L234" i="8"/>
  <c r="L242" i="8"/>
  <c r="L247" i="8"/>
  <c r="L248" i="8"/>
  <c r="L236" i="8"/>
  <c r="L244" i="8"/>
  <c r="NT249" i="19" a="1"/>
  <c r="NT249" i="19" s="1"/>
  <c r="OI249" i="19" s="1"/>
  <c r="E249" i="19" s="1"/>
  <c r="H248" i="8" s="1"/>
  <c r="NT248" i="19" a="1"/>
  <c r="NT248" i="19" s="1"/>
  <c r="OI248" i="19" s="1"/>
  <c r="E248" i="19" s="1"/>
  <c r="H247" i="8" s="1"/>
  <c r="NT238" i="19" a="1"/>
  <c r="NT238" i="19" s="1"/>
  <c r="OI238" i="19" s="1"/>
  <c r="E238" i="19" s="1"/>
  <c r="H237" i="8" s="1"/>
  <c r="NT242" i="19" a="1"/>
  <c r="NT242" i="19" s="1"/>
  <c r="OI242" i="19" s="1"/>
  <c r="E242" i="19" s="1"/>
  <c r="NT233" i="19" a="1"/>
  <c r="NT233" i="19" s="1"/>
  <c r="OI233" i="19" s="1"/>
  <c r="E233" i="19" s="1"/>
  <c r="NT239" i="19" a="1"/>
  <c r="NT239" i="19" s="1"/>
  <c r="OI239" i="19" s="1"/>
  <c r="E239" i="19" s="1"/>
  <c r="H238" i="8" s="1"/>
  <c r="NT240" i="19" a="1"/>
  <c r="NT240" i="19" s="1"/>
  <c r="OI240" i="19" s="1"/>
  <c r="E240" i="19" s="1"/>
  <c r="NT237" i="19" a="1"/>
  <c r="NT237" i="19" s="1"/>
  <c r="OI237" i="19" s="1"/>
  <c r="E237" i="19" s="1"/>
  <c r="L233" i="8"/>
  <c r="L215" i="8"/>
  <c r="L216" i="8"/>
  <c r="L230" i="8"/>
  <c r="L231" i="8"/>
  <c r="L222" i="8"/>
  <c r="L223" i="8"/>
  <c r="L224" i="8"/>
  <c r="L227" i="8"/>
  <c r="L220" i="8"/>
  <c r="L218" i="8"/>
  <c r="L217" i="8"/>
  <c r="L229" i="8"/>
  <c r="L225" i="8"/>
  <c r="L228" i="8"/>
  <c r="L221" i="8"/>
  <c r="L226" i="8"/>
  <c r="L219" i="8"/>
  <c r="L211" i="8"/>
  <c r="L208" i="8"/>
  <c r="L210" i="8"/>
  <c r="L209" i="8"/>
  <c r="L213" i="8"/>
  <c r="L212" i="8"/>
  <c r="L214" i="8"/>
  <c r="L206" i="8"/>
  <c r="L207" i="8"/>
  <c r="L205" i="8"/>
  <c r="L191" i="8"/>
  <c r="L192" i="8"/>
  <c r="L188" i="8"/>
  <c r="L194" i="8"/>
  <c r="L201" i="8"/>
  <c r="L190" i="8"/>
  <c r="L189" i="8"/>
  <c r="L204" i="8"/>
  <c r="L196" i="8"/>
  <c r="L200" i="8"/>
  <c r="L203" i="8"/>
  <c r="L198" i="8"/>
  <c r="L195" i="8"/>
  <c r="L202" i="8"/>
  <c r="L197" i="8"/>
  <c r="L199" i="8"/>
  <c r="L193" i="8"/>
  <c r="J5" i="24" a="1"/>
  <c r="H307" i="8" l="1"/>
  <c r="H309" i="8"/>
  <c r="H344" i="8"/>
  <c r="H258" i="8"/>
  <c r="H271" i="8"/>
  <c r="H276" i="8"/>
  <c r="H270" i="8"/>
  <c r="H266" i="8"/>
  <c r="H284" i="8"/>
  <c r="H298" i="8"/>
  <c r="H245" i="8"/>
  <c r="H236" i="8"/>
  <c r="H251" i="8"/>
  <c r="H264" i="8"/>
  <c r="H250" i="8"/>
  <c r="H301" i="8"/>
  <c r="H333" i="8"/>
  <c r="H358" i="8"/>
  <c r="H295" i="8"/>
  <c r="H326" i="8"/>
  <c r="H318" i="8"/>
  <c r="H348" i="8"/>
  <c r="H286" i="8"/>
  <c r="H239" i="8"/>
  <c r="H249" i="8"/>
  <c r="H262" i="8"/>
  <c r="H287" i="8"/>
  <c r="H317" i="8"/>
  <c r="H291" i="8"/>
  <c r="H293" i="8"/>
  <c r="H311" i="8"/>
  <c r="H257" i="8"/>
  <c r="H263" i="8"/>
  <c r="H265" i="8"/>
  <c r="H304" i="8"/>
  <c r="H313" i="8"/>
  <c r="H296" i="8"/>
  <c r="H242" i="8"/>
  <c r="H351" i="8"/>
  <c r="H312" i="8"/>
  <c r="H303" i="8"/>
  <c r="H357" i="8"/>
  <c r="H324" i="8"/>
  <c r="H343" i="8"/>
  <c r="H321" i="8"/>
  <c r="H241" i="8"/>
  <c r="H246" i="8"/>
  <c r="H269" i="8"/>
  <c r="H277" i="8"/>
  <c r="H341" i="8"/>
  <c r="H281" i="8"/>
  <c r="H289" i="8"/>
  <c r="H330" i="8"/>
  <c r="NV281" i="24" a="1"/>
  <c r="NV281" i="24" s="1"/>
  <c r="OF281" i="24" s="1" a="1"/>
  <c r="OF281" i="24" s="1"/>
  <c r="NV286" i="24" a="1"/>
  <c r="NV286" i="24" s="1"/>
  <c r="OF286" i="24" s="1" a="1"/>
  <c r="OF286" i="24" s="1"/>
  <c r="NH288" i="24" a="1"/>
  <c r="NH288" i="24" s="1"/>
  <c r="NK288" i="24" s="1" a="1"/>
  <c r="NK288" i="24" s="1"/>
  <c r="NH289" i="24" a="1"/>
  <c r="NH289" i="24" s="1"/>
  <c r="NK289" i="24" s="1" a="1"/>
  <c r="NK289" i="24" s="1"/>
  <c r="NH291" i="24" a="1"/>
  <c r="NH291" i="24" s="1"/>
  <c r="NK291" i="24" s="1" a="1"/>
  <c r="NK291" i="24" s="1"/>
  <c r="NH294" i="24" a="1"/>
  <c r="NH294" i="24" s="1"/>
  <c r="NK294" i="24" s="1" a="1"/>
  <c r="NK294" i="24" s="1"/>
  <c r="NV298" i="24" a="1"/>
  <c r="NV298" i="24" s="1"/>
  <c r="OF298" i="24" s="1" a="1"/>
  <c r="OF298" i="24" s="1"/>
  <c r="NN300" i="24" a="1"/>
  <c r="NN300" i="24" s="1"/>
  <c r="NS300" i="24" s="1" a="1"/>
  <c r="NS300" i="24" s="1"/>
  <c r="NV301" i="24" a="1"/>
  <c r="NV301" i="24" s="1"/>
  <c r="OF301" i="24" s="1" a="1"/>
  <c r="OF301" i="24" s="1"/>
  <c r="NN303" i="24" a="1"/>
  <c r="NN303" i="24" s="1"/>
  <c r="NS303" i="24" s="1" a="1"/>
  <c r="NS303" i="24" s="1"/>
  <c r="NV304" i="24" a="1"/>
  <c r="NV304" i="24" s="1"/>
  <c r="OF304" i="24" s="1" a="1"/>
  <c r="OF304" i="24" s="1"/>
  <c r="NN307" i="24" a="1"/>
  <c r="NN307" i="24" s="1"/>
  <c r="NS307" i="24" s="1" a="1"/>
  <c r="NS307" i="24" s="1"/>
  <c r="NV308" i="24" a="1"/>
  <c r="NV308" i="24" s="1"/>
  <c r="OF308" i="24" s="1" a="1"/>
  <c r="OF308" i="24" s="1"/>
  <c r="NV311" i="24" a="1"/>
  <c r="NV311" i="24" s="1"/>
  <c r="OF311" i="24" s="1" a="1"/>
  <c r="OF311" i="24" s="1"/>
  <c r="NV315" i="24" a="1"/>
  <c r="NV315" i="24" s="1"/>
  <c r="OF315" i="24" s="1" a="1"/>
  <c r="OF315" i="24" s="1"/>
  <c r="NH317" i="24" a="1"/>
  <c r="NH317" i="24" s="1"/>
  <c r="NK317" i="24" s="1" a="1"/>
  <c r="NK317" i="24" s="1"/>
  <c r="NN318" i="24" a="1"/>
  <c r="NN318" i="24" s="1"/>
  <c r="NS318" i="24" s="1" a="1"/>
  <c r="NS318" i="24" s="1"/>
  <c r="NV322" i="24" a="1"/>
  <c r="NV322" i="24" s="1"/>
  <c r="OF322" i="24" s="1" a="1"/>
  <c r="OF322" i="24" s="1"/>
  <c r="NH324" i="24" a="1"/>
  <c r="NH324" i="24" s="1"/>
  <c r="NK324" i="24" s="1" a="1"/>
  <c r="NK324" i="24" s="1"/>
  <c r="NN329" i="24" a="1"/>
  <c r="NN329" i="24" s="1"/>
  <c r="NS329" i="24" s="1" a="1"/>
  <c r="NS329" i="24" s="1"/>
  <c r="NH331" i="24" a="1"/>
  <c r="NH331" i="24" s="1"/>
  <c r="NK331" i="24" s="1" a="1"/>
  <c r="NK331" i="24" s="1"/>
  <c r="NV283" i="24" a="1"/>
  <c r="NV283" i="24" s="1"/>
  <c r="OF283" i="24" s="1" a="1"/>
  <c r="OF283" i="24" s="1"/>
  <c r="NH285" i="24" a="1"/>
  <c r="NH285" i="24" s="1"/>
  <c r="NK285" i="24" s="1" a="1"/>
  <c r="NK285" i="24" s="1"/>
  <c r="NN289" i="24" a="1"/>
  <c r="NN289" i="24" s="1"/>
  <c r="NS289" i="24" s="1" a="1"/>
  <c r="NS289" i="24" s="1"/>
  <c r="NN291" i="24" a="1"/>
  <c r="NN291" i="24" s="1"/>
  <c r="NS291" i="24" s="1" a="1"/>
  <c r="NS291" i="24" s="1"/>
  <c r="NV292" i="24" a="1"/>
  <c r="NV292" i="24" s="1"/>
  <c r="OF292" i="24" s="1" a="1"/>
  <c r="OF292" i="24" s="1"/>
  <c r="NN294" i="24" a="1"/>
  <c r="NN294" i="24" s="1"/>
  <c r="NS294" i="24" s="1" a="1"/>
  <c r="NS294" i="24" s="1"/>
  <c r="NV303" i="24" a="1"/>
  <c r="NV303" i="24" s="1"/>
  <c r="OF303" i="24" s="1" a="1"/>
  <c r="OF303" i="24" s="1"/>
  <c r="NH306" i="24" a="1"/>
  <c r="NH306" i="24" s="1"/>
  <c r="NK306" i="24" s="1" a="1"/>
  <c r="NK306" i="24" s="1"/>
  <c r="NH310" i="24" a="1"/>
  <c r="NH310" i="24" s="1"/>
  <c r="NK310" i="24" s="1" a="1"/>
  <c r="NK310" i="24" s="1"/>
  <c r="NN314" i="24" a="1"/>
  <c r="NN314" i="24" s="1"/>
  <c r="NS314" i="24" s="1" a="1"/>
  <c r="NS314" i="24" s="1"/>
  <c r="NV318" i="24" a="1"/>
  <c r="NV318" i="24" s="1"/>
  <c r="OF318" i="24" s="1" a="1"/>
  <c r="OF318" i="24" s="1"/>
  <c r="NH320" i="24" a="1"/>
  <c r="NH320" i="24" s="1"/>
  <c r="NK320" i="24" s="1" a="1"/>
  <c r="NK320" i="24" s="1"/>
  <c r="NH321" i="24" a="1"/>
  <c r="NH321" i="24" s="1"/>
  <c r="NK321" i="24" s="1" a="1"/>
  <c r="NK321" i="24" s="1"/>
  <c r="NN324" i="24" a="1"/>
  <c r="NN324" i="24" s="1"/>
  <c r="NS324" i="24" s="1" a="1"/>
  <c r="NS324" i="24" s="1"/>
  <c r="NN325" i="24" a="1"/>
  <c r="NN325" i="24" s="1"/>
  <c r="NS325" i="24" s="1" a="1"/>
  <c r="NS325" i="24" s="1"/>
  <c r="NH327" i="24" a="1"/>
  <c r="NH327" i="24" s="1"/>
  <c r="NK327" i="24" s="1" a="1"/>
  <c r="NK327" i="24" s="1"/>
  <c r="NV329" i="24" a="1"/>
  <c r="NV329" i="24" s="1"/>
  <c r="OF329" i="24" s="1" a="1"/>
  <c r="OF329" i="24" s="1"/>
  <c r="NN331" i="24" a="1"/>
  <c r="NN331" i="24" s="1"/>
  <c r="NS331" i="24" s="1" a="1"/>
  <c r="NS331" i="24" s="1"/>
  <c r="NV332" i="24" a="1"/>
  <c r="NV332" i="24" s="1"/>
  <c r="OF332" i="24" s="1" a="1"/>
  <c r="OF332" i="24" s="1"/>
  <c r="NV335" i="24" a="1"/>
  <c r="NV335" i="24" s="1"/>
  <c r="OF335" i="24" s="1" a="1"/>
  <c r="OF335" i="24" s="1"/>
  <c r="NV342" i="24" a="1"/>
  <c r="NV342" i="24" s="1"/>
  <c r="OF342" i="24" s="1" a="1"/>
  <c r="OF342" i="24" s="1"/>
  <c r="NH344" i="24" a="1"/>
  <c r="NH344" i="24" s="1"/>
  <c r="NK344" i="24" s="1" a="1"/>
  <c r="NK344" i="24" s="1"/>
  <c r="NH345" i="24" a="1"/>
  <c r="NH345" i="24" s="1"/>
  <c r="NK345" i="24" s="1" a="1"/>
  <c r="NK345" i="24" s="1"/>
  <c r="NV348" i="24" a="1"/>
  <c r="NV348" i="24" s="1"/>
  <c r="OF348" i="24" s="1" a="1"/>
  <c r="OF348" i="24" s="1"/>
  <c r="NH352" i="24" a="1"/>
  <c r="NH352" i="24" s="1"/>
  <c r="NK352" i="24" s="1" a="1"/>
  <c r="NK352" i="24" s="1"/>
  <c r="NN353" i="24" a="1"/>
  <c r="NN353" i="24" s="1"/>
  <c r="NS353" i="24" s="1" a="1"/>
  <c r="NS353" i="24" s="1"/>
  <c r="NN357" i="24" a="1"/>
  <c r="NN357" i="24" s="1"/>
  <c r="NS357" i="24" s="1" a="1"/>
  <c r="NS357" i="24" s="1"/>
  <c r="I281" i="24"/>
  <c r="H281" i="24" s="1"/>
  <c r="C281" i="24" s="1"/>
  <c r="I289" i="24"/>
  <c r="H289" i="24" s="1"/>
  <c r="C289" i="24" s="1"/>
  <c r="I297" i="24"/>
  <c r="H297" i="24" s="1"/>
  <c r="C297" i="24" s="1"/>
  <c r="I305" i="24"/>
  <c r="H305" i="24" s="1"/>
  <c r="C305" i="24" s="1"/>
  <c r="I313" i="24"/>
  <c r="H313" i="24" s="1"/>
  <c r="C313" i="24" s="1"/>
  <c r="I321" i="24"/>
  <c r="H321" i="24" s="1"/>
  <c r="C321" i="24" s="1"/>
  <c r="I329" i="24"/>
  <c r="H329" i="24" s="1"/>
  <c r="C329" i="24" s="1"/>
  <c r="I337" i="24"/>
  <c r="H337" i="24" s="1"/>
  <c r="C337" i="24" s="1"/>
  <c r="I345" i="24"/>
  <c r="H345" i="24" s="1"/>
  <c r="C345" i="24" s="1"/>
  <c r="I348" i="24"/>
  <c r="H348" i="24" s="1"/>
  <c r="C348" i="24" s="1"/>
  <c r="NH282" i="24" a="1"/>
  <c r="NH282" i="24" s="1"/>
  <c r="NK282" i="24" s="1" a="1"/>
  <c r="NK282" i="24" s="1"/>
  <c r="NH287" i="24" a="1"/>
  <c r="NH287" i="24" s="1"/>
  <c r="NK287" i="24" s="1" a="1"/>
  <c r="NK287" i="24" s="1"/>
  <c r="NV289" i="24" a="1"/>
  <c r="NV289" i="24" s="1"/>
  <c r="OF289" i="24" s="1" a="1"/>
  <c r="OF289" i="24" s="1"/>
  <c r="NV294" i="24" a="1"/>
  <c r="NV294" i="24" s="1"/>
  <c r="OF294" i="24" s="1" a="1"/>
  <c r="OF294" i="24" s="1"/>
  <c r="NN282" i="24" a="1"/>
  <c r="NN282" i="24" s="1"/>
  <c r="NS282" i="24" s="1" a="1"/>
  <c r="NS282" i="24" s="1"/>
  <c r="NH284" i="24" a="1"/>
  <c r="NH284" i="24" s="1"/>
  <c r="NK284" i="24" s="1" a="1"/>
  <c r="NK284" i="24" s="1"/>
  <c r="NN285" i="24" a="1"/>
  <c r="NN285" i="24" s="1"/>
  <c r="NS285" i="24" s="1" a="1"/>
  <c r="NS285" i="24" s="1"/>
  <c r="NN288" i="24" a="1"/>
  <c r="NN288" i="24" s="1"/>
  <c r="NS288" i="24" s="1" a="1"/>
  <c r="NS288" i="24" s="1"/>
  <c r="NV291" i="24" a="1"/>
  <c r="NV291" i="24" s="1"/>
  <c r="OF291" i="24" s="1" a="1"/>
  <c r="OF291" i="24" s="1"/>
  <c r="NH293" i="24" a="1"/>
  <c r="NH293" i="24" s="1"/>
  <c r="NK293" i="24" s="1" a="1"/>
  <c r="NK293" i="24" s="1"/>
  <c r="NN297" i="24" a="1"/>
  <c r="NN297" i="24" s="1"/>
  <c r="NS297" i="24" s="1" a="1"/>
  <c r="NS297" i="24" s="1"/>
  <c r="NN299" i="24" a="1"/>
  <c r="NN299" i="24" s="1"/>
  <c r="NS299" i="24" s="1" a="1"/>
  <c r="NS299" i="24" s="1"/>
  <c r="NV300" i="24" a="1"/>
  <c r="NV300" i="24" s="1"/>
  <c r="OF300" i="24" s="1" a="1"/>
  <c r="OF300" i="24" s="1"/>
  <c r="NN302" i="24" a="1"/>
  <c r="NN302" i="24" s="1"/>
  <c r="NS302" i="24" s="1" a="1"/>
  <c r="NS302" i="24" s="1"/>
  <c r="NN306" i="24" a="1"/>
  <c r="NN306" i="24" s="1"/>
  <c r="NS306" i="24" s="1" a="1"/>
  <c r="NS306" i="24" s="1"/>
  <c r="NV310" i="24" a="1"/>
  <c r="NV310" i="24" s="1"/>
  <c r="OF310" i="24" s="1" a="1"/>
  <c r="OF310" i="24" s="1"/>
  <c r="NH312" i="24" a="1"/>
  <c r="NH312" i="24" s="1"/>
  <c r="NK312" i="24" s="1" a="1"/>
  <c r="NK312" i="24" s="1"/>
  <c r="NH313" i="24" a="1"/>
  <c r="NH313" i="24" s="1"/>
  <c r="NK313" i="24" s="1" a="1"/>
  <c r="NK313" i="24" s="1"/>
  <c r="NN316" i="24" a="1"/>
  <c r="NN316" i="24" s="1"/>
  <c r="NS316" i="24" s="1" a="1"/>
  <c r="NS316" i="24" s="1"/>
  <c r="NN317" i="24" a="1"/>
  <c r="NN317" i="24" s="1"/>
  <c r="NS317" i="24" s="1" a="1"/>
  <c r="NS317" i="24" s="1"/>
  <c r="NH319" i="24" a="1"/>
  <c r="NH319" i="24" s="1"/>
  <c r="NK319" i="24" s="1" a="1"/>
  <c r="NK319" i="24" s="1"/>
  <c r="NV321" i="24" a="1"/>
  <c r="NV321" i="24" s="1"/>
  <c r="OF321" i="24" s="1" a="1"/>
  <c r="OF321" i="24" s="1"/>
  <c r="NH323" i="24" a="1"/>
  <c r="NH323" i="24" s="1"/>
  <c r="NK323" i="24" s="1" a="1"/>
  <c r="NK323" i="24" s="1"/>
  <c r="NN327" i="24" a="1"/>
  <c r="NN327" i="24" s="1"/>
  <c r="NS327" i="24" s="1" a="1"/>
  <c r="NS327" i="24" s="1"/>
  <c r="NV328" i="24" a="1"/>
  <c r="NV328" i="24" s="1"/>
  <c r="OF328" i="24" s="1" a="1"/>
  <c r="OF328" i="24" s="1"/>
  <c r="NH330" i="24" a="1"/>
  <c r="NH330" i="24" s="1"/>
  <c r="NK330" i="24" s="1" a="1"/>
  <c r="NK330" i="24" s="1"/>
  <c r="NV331" i="24" a="1"/>
  <c r="NV331" i="24" s="1"/>
  <c r="OF331" i="24" s="1" a="1"/>
  <c r="OF331" i="24" s="1"/>
  <c r="NV287" i="24" a="1"/>
  <c r="NV287" i="24" s="1"/>
  <c r="OF287" i="24" s="1" a="1"/>
  <c r="OF287" i="24" s="1"/>
  <c r="NN290" i="24" a="1"/>
  <c r="NN290" i="24" s="1"/>
  <c r="NS290" i="24" s="1" a="1"/>
  <c r="NS290" i="24" s="1"/>
  <c r="NH292" i="24" a="1"/>
  <c r="NH292" i="24" s="1"/>
  <c r="NK292" i="24" s="1" a="1"/>
  <c r="NK292" i="24" s="1"/>
  <c r="NN293" i="24" a="1"/>
  <c r="NN293" i="24" s="1"/>
  <c r="NS293" i="24" s="1" a="1"/>
  <c r="NS293" i="24" s="1"/>
  <c r="NN296" i="24" a="1"/>
  <c r="NN296" i="24" s="1"/>
  <c r="NS296" i="24" s="1" a="1"/>
  <c r="NS296" i="24" s="1"/>
  <c r="NV299" i="24" a="1"/>
  <c r="NV299" i="24" s="1"/>
  <c r="OF299" i="24" s="1" a="1"/>
  <c r="OF299" i="24" s="1"/>
  <c r="NH301" i="24" a="1"/>
  <c r="NH301" i="24" s="1"/>
  <c r="NK301" i="24" s="1" a="1"/>
  <c r="NK301" i="24" s="1"/>
  <c r="NN305" i="24" a="1"/>
  <c r="NN305" i="24" s="1"/>
  <c r="NS305" i="24" s="1" a="1"/>
  <c r="NS305" i="24" s="1"/>
  <c r="NN308" i="24" a="1"/>
  <c r="NN308" i="24" s="1"/>
  <c r="NS308" i="24" s="1" a="1"/>
  <c r="NS308" i="24" s="1"/>
  <c r="NN309" i="24" a="1"/>
  <c r="NN309" i="24" s="1"/>
  <c r="NS309" i="24" s="1" a="1"/>
  <c r="NS309" i="24" s="1"/>
  <c r="NH311" i="24" a="1"/>
  <c r="NH311" i="24" s="1"/>
  <c r="NK311" i="24" s="1" a="1"/>
  <c r="NK311" i="24" s="1"/>
  <c r="NV313" i="24" a="1"/>
  <c r="NV313" i="24" s="1"/>
  <c r="OF313" i="24" s="1" a="1"/>
  <c r="OF313" i="24" s="1"/>
  <c r="NH315" i="24" a="1"/>
  <c r="NH315" i="24" s="1"/>
  <c r="NK315" i="24" s="1" a="1"/>
  <c r="NK315" i="24" s="1"/>
  <c r="NN319" i="24" a="1"/>
  <c r="NN319" i="24" s="1"/>
  <c r="NS319" i="24" s="1" a="1"/>
  <c r="NS319" i="24" s="1"/>
  <c r="NV320" i="24" a="1"/>
  <c r="NV320" i="24" s="1"/>
  <c r="OF320" i="24" s="1" a="1"/>
  <c r="OF320" i="24" s="1"/>
  <c r="NH322" i="24" a="1"/>
  <c r="NH322" i="24" s="1"/>
  <c r="NK322" i="24" s="1" a="1"/>
  <c r="NK322" i="24" s="1"/>
  <c r="NH326" i="24" a="1"/>
  <c r="NH326" i="24" s="1"/>
  <c r="NK326" i="24" s="1" a="1"/>
  <c r="NK326" i="24" s="1"/>
  <c r="NN330" i="24" a="1"/>
  <c r="NN330" i="24" s="1"/>
  <c r="NS330" i="24" s="1" a="1"/>
  <c r="NS330" i="24" s="1"/>
  <c r="NH332" i="24" a="1"/>
  <c r="NH332" i="24" s="1"/>
  <c r="NK332" i="24" s="1" a="1"/>
  <c r="NK332" i="24" s="1"/>
  <c r="NN337" i="24" a="1"/>
  <c r="NN337" i="24" s="1"/>
  <c r="NS337" i="24" s="1" a="1"/>
  <c r="NS337" i="24" s="1"/>
  <c r="NH339" i="24" a="1"/>
  <c r="NH339" i="24" s="1"/>
  <c r="NK339" i="24" s="1" a="1"/>
  <c r="NK339" i="24" s="1"/>
  <c r="NN343" i="24" a="1"/>
  <c r="NN343" i="24" s="1"/>
  <c r="NS343" i="24" s="1" a="1"/>
  <c r="NS343" i="24" s="1"/>
  <c r="NV344" i="24" a="1"/>
  <c r="NV344" i="24" s="1"/>
  <c r="OF344" i="24" s="1" a="1"/>
  <c r="OF344" i="24" s="1"/>
  <c r="NH346" i="24" a="1"/>
  <c r="NH346" i="24" s="1"/>
  <c r="NK346" i="24" s="1" a="1"/>
  <c r="NK346" i="24" s="1"/>
  <c r="NV347" i="24" a="1"/>
  <c r="NV347" i="24" s="1"/>
  <c r="OF347" i="24" s="1" a="1"/>
  <c r="OF347" i="24" s="1"/>
  <c r="NV350" i="24" a="1"/>
  <c r="NV350" i="24" s="1"/>
  <c r="OF350" i="24" s="1" a="1"/>
  <c r="OF350" i="24" s="1"/>
  <c r="NV352" i="24" a="1"/>
  <c r="NV352" i="24" s="1"/>
  <c r="OF352" i="24" s="1" a="1"/>
  <c r="OF352" i="24" s="1"/>
  <c r="NH354" i="24" a="1"/>
  <c r="NH354" i="24" s="1"/>
  <c r="NK354" i="24" s="1" a="1"/>
  <c r="NK354" i="24" s="1"/>
  <c r="NV356" i="24" a="1"/>
  <c r="NV356" i="24" s="1"/>
  <c r="OF356" i="24" s="1" a="1"/>
  <c r="OF356" i="24" s="1"/>
  <c r="NH281" i="24" a="1"/>
  <c r="NH281" i="24" s="1"/>
  <c r="NK281" i="24" s="1" a="1"/>
  <c r="NK281" i="24" s="1"/>
  <c r="NH283" i="24" a="1"/>
  <c r="NH283" i="24" s="1"/>
  <c r="NK283" i="24" s="1" a="1"/>
  <c r="NK283" i="24" s="1"/>
  <c r="NH286" i="24" a="1"/>
  <c r="NH286" i="24" s="1"/>
  <c r="NK286" i="24" s="1" a="1"/>
  <c r="NK286" i="24" s="1"/>
  <c r="NV290" i="24" a="1"/>
  <c r="NV290" i="24" s="1"/>
  <c r="OF290" i="24" s="1" a="1"/>
  <c r="OF290" i="24" s="1"/>
  <c r="NN292" i="24" a="1"/>
  <c r="NN292" i="24" s="1"/>
  <c r="NS292" i="24" s="1" a="1"/>
  <c r="NS292" i="24" s="1"/>
  <c r="NV293" i="24" a="1"/>
  <c r="NV293" i="24" s="1"/>
  <c r="OF293" i="24" s="1" a="1"/>
  <c r="OF293" i="24" s="1"/>
  <c r="NN295" i="24" a="1"/>
  <c r="NN295" i="24" s="1"/>
  <c r="NS295" i="24" s="1" a="1"/>
  <c r="NS295" i="24" s="1"/>
  <c r="NV296" i="24" a="1"/>
  <c r="NV296" i="24" s="1"/>
  <c r="OF296" i="24" s="1" a="1"/>
  <c r="OF296" i="24" s="1"/>
  <c r="NH298" i="24" a="1"/>
  <c r="NH298" i="24" s="1"/>
  <c r="NK298" i="24" s="1" a="1"/>
  <c r="NK298" i="24" s="1"/>
  <c r="NH303" i="24" a="1"/>
  <c r="NH303" i="24" s="1"/>
  <c r="NK303" i="24" s="1" a="1"/>
  <c r="NK303" i="24" s="1"/>
  <c r="NV309" i="24" a="1"/>
  <c r="NV309" i="24" s="1"/>
  <c r="OF309" i="24" s="1" a="1"/>
  <c r="OF309" i="24" s="1"/>
  <c r="NN312" i="24" a="1"/>
  <c r="NN312" i="24" s="1"/>
  <c r="NS312" i="24" s="1" a="1"/>
  <c r="NS312" i="24" s="1"/>
  <c r="NN315" i="24" a="1"/>
  <c r="NN315" i="24" s="1"/>
  <c r="NS315" i="24" s="1" a="1"/>
  <c r="NS315" i="24" s="1"/>
  <c r="NV316" i="24" a="1"/>
  <c r="NV316" i="24" s="1"/>
  <c r="OF316" i="24" s="1" a="1"/>
  <c r="OF316" i="24" s="1"/>
  <c r="NV319" i="24" a="1"/>
  <c r="NV319" i="24" s="1"/>
  <c r="OF319" i="24" s="1" a="1"/>
  <c r="OF319" i="24" s="1"/>
  <c r="NV323" i="24" a="1"/>
  <c r="NV323" i="24" s="1"/>
  <c r="OF323" i="24" s="1" a="1"/>
  <c r="OF323" i="24" s="1"/>
  <c r="NH325" i="24" a="1"/>
  <c r="NH325" i="24" s="1"/>
  <c r="NK325" i="24" s="1" a="1"/>
  <c r="NK325" i="24" s="1"/>
  <c r="NN326" i="24" a="1"/>
  <c r="NN326" i="24" s="1"/>
  <c r="NS326" i="24" s="1" a="1"/>
  <c r="NS326" i="24" s="1"/>
  <c r="NV330" i="24" a="1"/>
  <c r="NV330" i="24" s="1"/>
  <c r="OF330" i="24" s="1" a="1"/>
  <c r="OF330" i="24" s="1"/>
  <c r="NN332" i="24" a="1"/>
  <c r="NN332" i="24" s="1"/>
  <c r="NS332" i="24" s="1" a="1"/>
  <c r="NS332" i="24" s="1"/>
  <c r="NN333" i="24" a="1"/>
  <c r="NN333" i="24" s="1"/>
  <c r="NS333" i="24" s="1" a="1"/>
  <c r="NS333" i="24" s="1"/>
  <c r="NH335" i="24" a="1"/>
  <c r="NH335" i="24" s="1"/>
  <c r="NK335" i="24" s="1" a="1"/>
  <c r="NK335" i="24" s="1"/>
  <c r="NV337" i="24" a="1"/>
  <c r="NV337" i="24" s="1"/>
  <c r="OF337" i="24" s="1" a="1"/>
  <c r="OF337" i="24" s="1"/>
  <c r="NN339" i="24" a="1"/>
  <c r="NN339" i="24" s="1"/>
  <c r="NS339" i="24" s="1" a="1"/>
  <c r="NS339" i="24" s="1"/>
  <c r="NV340" i="24" a="1"/>
  <c r="NV340" i="24" s="1"/>
  <c r="OF340" i="24" s="1" a="1"/>
  <c r="OF340" i="24" s="1"/>
  <c r="NV343" i="24" a="1"/>
  <c r="NV343" i="24" s="1"/>
  <c r="OF343" i="24" s="1" a="1"/>
  <c r="OF343" i="24" s="1"/>
  <c r="NN349" i="24" a="1"/>
  <c r="NN349" i="24" s="1"/>
  <c r="NS349" i="24" s="1" a="1"/>
  <c r="NS349" i="24" s="1"/>
  <c r="NV351" i="24" a="1"/>
  <c r="NV351" i="24" s="1"/>
  <c r="OF351" i="24" s="1" a="1"/>
  <c r="OF351" i="24" s="1"/>
  <c r="I288" i="24"/>
  <c r="H288" i="24" s="1"/>
  <c r="C288" i="24" s="1"/>
  <c r="I296" i="24"/>
  <c r="H296" i="24" s="1"/>
  <c r="C296" i="24" s="1"/>
  <c r="NV284" i="24" a="1"/>
  <c r="NV284" i="24" s="1"/>
  <c r="OF284" i="24" s="1" a="1"/>
  <c r="OF284" i="24" s="1"/>
  <c r="NV288" i="24" a="1"/>
  <c r="NV288" i="24" s="1"/>
  <c r="OF288" i="24" s="1" a="1"/>
  <c r="OF288" i="24" s="1"/>
  <c r="NV302" i="24" a="1"/>
  <c r="NV302" i="24" s="1"/>
  <c r="OF302" i="24" s="1" a="1"/>
  <c r="OF302" i="24" s="1"/>
  <c r="NV307" i="24" a="1"/>
  <c r="NV307" i="24" s="1"/>
  <c r="OF307" i="24" s="1" a="1"/>
  <c r="OF307" i="24" s="1"/>
  <c r="NN313" i="24" a="1"/>
  <c r="NN313" i="24" s="1"/>
  <c r="NS313" i="24" s="1" a="1"/>
  <c r="NS313" i="24" s="1"/>
  <c r="NN322" i="24" a="1"/>
  <c r="NN322" i="24" s="1"/>
  <c r="NS322" i="24" s="1" a="1"/>
  <c r="NS322" i="24" s="1"/>
  <c r="NV325" i="24" a="1"/>
  <c r="NV325" i="24" s="1"/>
  <c r="OF325" i="24" s="1" a="1"/>
  <c r="OF325" i="24" s="1"/>
  <c r="NN328" i="24" a="1"/>
  <c r="NN328" i="24" s="1"/>
  <c r="NS328" i="24" s="1" a="1"/>
  <c r="NS328" i="24" s="1"/>
  <c r="NH338" i="24" a="1"/>
  <c r="NH338" i="24" s="1"/>
  <c r="NK338" i="24" s="1" a="1"/>
  <c r="NK338" i="24" s="1"/>
  <c r="NN340" i="24" a="1"/>
  <c r="NN340" i="24" s="1"/>
  <c r="NS340" i="24" s="1" a="1"/>
  <c r="NS340" i="24" s="1"/>
  <c r="NH342" i="24" a="1"/>
  <c r="NH342" i="24" s="1"/>
  <c r="NK342" i="24" s="1" a="1"/>
  <c r="NK342" i="24" s="1"/>
  <c r="NV346" i="24" a="1"/>
  <c r="NV346" i="24" s="1"/>
  <c r="OF346" i="24" s="1" a="1"/>
  <c r="OF346" i="24" s="1"/>
  <c r="NN354" i="24" a="1"/>
  <c r="NN354" i="24" s="1"/>
  <c r="NS354" i="24" s="1" a="1"/>
  <c r="NS354" i="24" s="1"/>
  <c r="NH357" i="24" a="1"/>
  <c r="NH357" i="24" s="1"/>
  <c r="NK357" i="24" s="1" a="1"/>
  <c r="NK357" i="24" s="1"/>
  <c r="NV359" i="24" a="1"/>
  <c r="NV359" i="24" s="1"/>
  <c r="OF359" i="24" s="1" a="1"/>
  <c r="OF359" i="24" s="1"/>
  <c r="I295" i="24"/>
  <c r="H295" i="24" s="1"/>
  <c r="C295" i="24" s="1"/>
  <c r="I304" i="24"/>
  <c r="H304" i="24" s="1"/>
  <c r="C304" i="24" s="1"/>
  <c r="I307" i="24"/>
  <c r="H307" i="24" s="1"/>
  <c r="C307" i="24" s="1"/>
  <c r="I310" i="24"/>
  <c r="H310" i="24" s="1"/>
  <c r="C310" i="24" s="1"/>
  <c r="I316" i="24"/>
  <c r="H316" i="24" s="1"/>
  <c r="C316" i="24" s="1"/>
  <c r="I336" i="24"/>
  <c r="H336" i="24" s="1"/>
  <c r="C336" i="24" s="1"/>
  <c r="I339" i="24"/>
  <c r="H339" i="24" s="1"/>
  <c r="C339" i="24" s="1"/>
  <c r="I342" i="24"/>
  <c r="H342" i="24" s="1"/>
  <c r="C342" i="24" s="1"/>
  <c r="NN281" i="24" a="1"/>
  <c r="NN281" i="24" s="1"/>
  <c r="NS281" i="24" s="1" a="1"/>
  <c r="NS281" i="24" s="1"/>
  <c r="NH305" i="24" a="1"/>
  <c r="NH305" i="24" s="1"/>
  <c r="NK305" i="24" s="1" a="1"/>
  <c r="NK305" i="24" s="1"/>
  <c r="NN310" i="24" a="1"/>
  <c r="NN310" i="24" s="1"/>
  <c r="NS310" i="24" s="1" a="1"/>
  <c r="NS310" i="24" s="1"/>
  <c r="NH334" i="24" a="1"/>
  <c r="NH334" i="24" s="1"/>
  <c r="NK334" i="24" s="1" a="1"/>
  <c r="NK334" i="24" s="1"/>
  <c r="NH336" i="24" a="1"/>
  <c r="NH336" i="24" s="1"/>
  <c r="NK336" i="24" s="1" a="1"/>
  <c r="NK336" i="24" s="1"/>
  <c r="NN338" i="24" a="1"/>
  <c r="NN338" i="24" s="1"/>
  <c r="NS338" i="24" s="1" a="1"/>
  <c r="NS338" i="24" s="1"/>
  <c r="NN342" i="24" a="1"/>
  <c r="NN342" i="24" s="1"/>
  <c r="NS342" i="24" s="1" a="1"/>
  <c r="NS342" i="24" s="1"/>
  <c r="NN344" i="24" a="1"/>
  <c r="NN344" i="24" s="1"/>
  <c r="NS344" i="24" s="1" a="1"/>
  <c r="NS344" i="24" s="1"/>
  <c r="NH349" i="24" a="1"/>
  <c r="NH349" i="24" s="1"/>
  <c r="NK349" i="24" s="1" a="1"/>
  <c r="NK349" i="24" s="1"/>
  <c r="NH351" i="24" a="1"/>
  <c r="NH351" i="24" s="1"/>
  <c r="NK351" i="24" s="1" a="1"/>
  <c r="NK351" i="24" s="1"/>
  <c r="NV354" i="24" a="1"/>
  <c r="NV354" i="24" s="1"/>
  <c r="OF354" i="24" s="1" a="1"/>
  <c r="OF354" i="24" s="1"/>
  <c r="NN358" i="24" a="1"/>
  <c r="NN358" i="24" s="1"/>
  <c r="NS358" i="24" s="1" a="1"/>
  <c r="NS358" i="24" s="1"/>
  <c r="I283" i="24"/>
  <c r="H283" i="24" s="1"/>
  <c r="C283" i="24" s="1"/>
  <c r="I286" i="24"/>
  <c r="H286" i="24" s="1"/>
  <c r="C286" i="24" s="1"/>
  <c r="I319" i="24"/>
  <c r="H319" i="24" s="1"/>
  <c r="C319" i="24" s="1"/>
  <c r="I322" i="24"/>
  <c r="H322" i="24" s="1"/>
  <c r="C322" i="24" s="1"/>
  <c r="I325" i="24"/>
  <c r="H325" i="24" s="1"/>
  <c r="C325" i="24" s="1"/>
  <c r="I349" i="24"/>
  <c r="H349" i="24" s="1"/>
  <c r="C349" i="24" s="1"/>
  <c r="I358" i="24"/>
  <c r="H358" i="24" s="1"/>
  <c r="C358" i="24" s="1"/>
  <c r="NV285" i="24" a="1"/>
  <c r="NV285" i="24" s="1"/>
  <c r="OF285" i="24" s="1" a="1"/>
  <c r="OF285" i="24" s="1"/>
  <c r="NH297" i="24" a="1"/>
  <c r="NH297" i="24" s="1"/>
  <c r="NK297" i="24" s="1" a="1"/>
  <c r="NK297" i="24" s="1"/>
  <c r="NH300" i="24" a="1"/>
  <c r="NH300" i="24" s="1"/>
  <c r="NK300" i="24" s="1" a="1"/>
  <c r="NK300" i="24" s="1"/>
  <c r="NV305" i="24" a="1"/>
  <c r="NV305" i="24" s="1"/>
  <c r="OF305" i="24" s="1" a="1"/>
  <c r="OF305" i="24" s="1"/>
  <c r="NH308" i="24" a="1"/>
  <c r="NH308" i="24" s="1"/>
  <c r="NK308" i="24" s="1" a="1"/>
  <c r="NK308" i="24" s="1"/>
  <c r="NH314" i="24" a="1"/>
  <c r="NH314" i="24" s="1"/>
  <c r="NK314" i="24" s="1" a="1"/>
  <c r="NK314" i="24" s="1"/>
  <c r="NN323" i="24" a="1"/>
  <c r="NN323" i="24" s="1"/>
  <c r="NS323" i="24" s="1" a="1"/>
  <c r="NS323" i="24" s="1"/>
  <c r="NV326" i="24" a="1"/>
  <c r="NV326" i="24" s="1"/>
  <c r="OF326" i="24" s="1" a="1"/>
  <c r="OF326" i="24" s="1"/>
  <c r="NN334" i="24" a="1"/>
  <c r="NN334" i="24" s="1"/>
  <c r="NS334" i="24" s="1" a="1"/>
  <c r="NS334" i="24" s="1"/>
  <c r="NN336" i="24" a="1"/>
  <c r="NN336" i="24" s="1"/>
  <c r="NS336" i="24" s="1" a="1"/>
  <c r="NS336" i="24" s="1"/>
  <c r="NV338" i="24" a="1"/>
  <c r="NV338" i="24" s="1"/>
  <c r="OF338" i="24" s="1" a="1"/>
  <c r="OF338" i="24" s="1"/>
  <c r="NH347" i="24" a="1"/>
  <c r="NH347" i="24" s="1"/>
  <c r="NK347" i="24" s="1" a="1"/>
  <c r="NK347" i="24" s="1"/>
  <c r="NH356" i="24" a="1"/>
  <c r="NH356" i="24" s="1"/>
  <c r="NK356" i="24" s="1" a="1"/>
  <c r="NK356" i="24" s="1"/>
  <c r="NV358" i="24" a="1"/>
  <c r="NV358" i="24" s="1"/>
  <c r="OF358" i="24" s="1" a="1"/>
  <c r="OF358" i="24" s="1"/>
  <c r="I293" i="24"/>
  <c r="H293" i="24" s="1"/>
  <c r="C293" i="24" s="1"/>
  <c r="I299" i="24"/>
  <c r="H299" i="24" s="1"/>
  <c r="C299" i="24" s="1"/>
  <c r="I302" i="24"/>
  <c r="H302" i="24" s="1"/>
  <c r="C302" i="24" s="1"/>
  <c r="I308" i="24"/>
  <c r="H308" i="24" s="1"/>
  <c r="C308" i="24" s="1"/>
  <c r="I328" i="24"/>
  <c r="H328" i="24" s="1"/>
  <c r="C328" i="24" s="1"/>
  <c r="I331" i="24"/>
  <c r="H331" i="24" s="1"/>
  <c r="C331" i="24" s="1"/>
  <c r="I334" i="24"/>
  <c r="H334" i="24" s="1"/>
  <c r="C334" i="24" s="1"/>
  <c r="I340" i="24"/>
  <c r="H340" i="24" s="1"/>
  <c r="C340" i="24" s="1"/>
  <c r="I352" i="24"/>
  <c r="H352" i="24" s="1"/>
  <c r="C352" i="24" s="1"/>
  <c r="I355" i="24"/>
  <c r="H355" i="24" s="1"/>
  <c r="C355" i="24" s="1"/>
  <c r="NV282" i="24" a="1"/>
  <c r="NV282" i="24" s="1"/>
  <c r="OF282" i="24" s="1" a="1"/>
  <c r="OF282" i="24" s="1"/>
  <c r="NH290" i="24" a="1"/>
  <c r="NH290" i="24" s="1"/>
  <c r="NK290" i="24" s="1" a="1"/>
  <c r="NK290" i="24" s="1"/>
  <c r="NH295" i="24" a="1"/>
  <c r="NH295" i="24" s="1"/>
  <c r="NK295" i="24" s="1" a="1"/>
  <c r="NK295" i="24" s="1"/>
  <c r="NN283" i="24" a="1"/>
  <c r="NN283" i="24" s="1"/>
  <c r="NS283" i="24" s="1" a="1"/>
  <c r="NS283" i="24" s="1"/>
  <c r="NN298" i="24" a="1"/>
  <c r="NN298" i="24" s="1"/>
  <c r="NS298" i="24" s="1" a="1"/>
  <c r="NS298" i="24" s="1"/>
  <c r="NN301" i="24" a="1"/>
  <c r="NN301" i="24" s="1"/>
  <c r="NS301" i="24" s="1" a="1"/>
  <c r="NS301" i="24" s="1"/>
  <c r="NH304" i="24" a="1"/>
  <c r="NH304" i="24" s="1"/>
  <c r="NK304" i="24" s="1" a="1"/>
  <c r="NK304" i="24" s="1"/>
  <c r="NV306" i="24" a="1"/>
  <c r="NV306" i="24" s="1"/>
  <c r="OF306" i="24" s="1" a="1"/>
  <c r="OF306" i="24" s="1"/>
  <c r="NH309" i="24" a="1"/>
  <c r="NH309" i="24" s="1"/>
  <c r="NK309" i="24" s="1" a="1"/>
  <c r="NK309" i="24" s="1"/>
  <c r="NH318" i="24" a="1"/>
  <c r="NH318" i="24" s="1"/>
  <c r="NK318" i="24" s="1" a="1"/>
  <c r="NK318" i="24" s="1"/>
  <c r="NV324" i="24" a="1"/>
  <c r="NV324" i="24" s="1"/>
  <c r="OF324" i="24" s="1" a="1"/>
  <c r="OF324" i="24" s="1"/>
  <c r="NV327" i="24" a="1"/>
  <c r="NV327" i="24" s="1"/>
  <c r="OF327" i="24" s="1" a="1"/>
  <c r="OF327" i="24" s="1"/>
  <c r="NV339" i="24" a="1"/>
  <c r="NV339" i="24" s="1"/>
  <c r="OF339" i="24" s="1" a="1"/>
  <c r="OF339" i="24" s="1"/>
  <c r="NN341" i="24" a="1"/>
  <c r="NN341" i="24" s="1"/>
  <c r="NS341" i="24" s="1" a="1"/>
  <c r="NS341" i="24" s="1"/>
  <c r="NV345" i="24" a="1"/>
  <c r="NV345" i="24" s="1"/>
  <c r="OF345" i="24" s="1" a="1"/>
  <c r="OF345" i="24" s="1"/>
  <c r="NV353" i="24" a="1"/>
  <c r="NV353" i="24" s="1"/>
  <c r="OF353" i="24" s="1" a="1"/>
  <c r="OF353" i="24" s="1"/>
  <c r="NN356" i="24" a="1"/>
  <c r="NN356" i="24" s="1"/>
  <c r="NS356" i="24" s="1" a="1"/>
  <c r="NS356" i="24" s="1"/>
  <c r="NV357" i="24" a="1"/>
  <c r="NV357" i="24" s="1"/>
  <c r="OF357" i="24" s="1" a="1"/>
  <c r="OF357" i="24" s="1"/>
  <c r="NH359" i="24" a="1"/>
  <c r="NH359" i="24" s="1"/>
  <c r="NK359" i="24" s="1" a="1"/>
  <c r="NK359" i="24" s="1"/>
  <c r="I291" i="24"/>
  <c r="H291" i="24" s="1"/>
  <c r="C291" i="24" s="1"/>
  <c r="I294" i="24"/>
  <c r="H294" i="24" s="1"/>
  <c r="C294" i="24" s="1"/>
  <c r="I303" i="24"/>
  <c r="H303" i="24" s="1"/>
  <c r="C303" i="24" s="1"/>
  <c r="I306" i="24"/>
  <c r="H306" i="24" s="1"/>
  <c r="C306" i="24" s="1"/>
  <c r="I309" i="24"/>
  <c r="H309" i="24" s="1"/>
  <c r="C309" i="24" s="1"/>
  <c r="I335" i="24"/>
  <c r="H335" i="24" s="1"/>
  <c r="C335" i="24" s="1"/>
  <c r="I338" i="24"/>
  <c r="H338" i="24" s="1"/>
  <c r="C338" i="24" s="1"/>
  <c r="I341" i="24"/>
  <c r="H341" i="24" s="1"/>
  <c r="C341" i="24" s="1"/>
  <c r="I353" i="24"/>
  <c r="H353" i="24" s="1"/>
  <c r="C353" i="24" s="1"/>
  <c r="NN287" i="24" a="1"/>
  <c r="NN287" i="24" s="1"/>
  <c r="NS287" i="24" s="1" a="1"/>
  <c r="NS287" i="24" s="1"/>
  <c r="NH296" i="24" a="1"/>
  <c r="NH296" i="24" s="1"/>
  <c r="NK296" i="24" s="1" a="1"/>
  <c r="NK296" i="24" s="1"/>
  <c r="NN304" i="24" a="1"/>
  <c r="NN304" i="24" s="1"/>
  <c r="NS304" i="24" s="1" a="1"/>
  <c r="NS304" i="24" s="1"/>
  <c r="NV312" i="24" a="1"/>
  <c r="NV312" i="24" s="1"/>
  <c r="OF312" i="24" s="1" a="1"/>
  <c r="OF312" i="24" s="1"/>
  <c r="NN321" i="24" a="1"/>
  <c r="NN321" i="24" s="1"/>
  <c r="NS321" i="24" s="1" a="1"/>
  <c r="NS321" i="24" s="1"/>
  <c r="NV333" i="24" a="1"/>
  <c r="NV333" i="24" s="1"/>
  <c r="OF333" i="24" s="1" a="1"/>
  <c r="OF333" i="24" s="1"/>
  <c r="NN335" i="24" a="1"/>
  <c r="NN335" i="24" s="1"/>
  <c r="NS335" i="24" s="1" a="1"/>
  <c r="NS335" i="24" s="1"/>
  <c r="NH337" i="24" a="1"/>
  <c r="NH337" i="24" s="1"/>
  <c r="NK337" i="24" s="1" a="1"/>
  <c r="NK337" i="24" s="1"/>
  <c r="NV341" i="24" a="1"/>
  <c r="NV341" i="24" s="1"/>
  <c r="OF341" i="24" s="1" a="1"/>
  <c r="OF341" i="24" s="1"/>
  <c r="NH348" i="24" a="1"/>
  <c r="NH348" i="24" s="1"/>
  <c r="NK348" i="24" s="1" a="1"/>
  <c r="NK348" i="24" s="1"/>
  <c r="NH350" i="24" a="1"/>
  <c r="NH350" i="24" s="1"/>
  <c r="NK350" i="24" s="1" a="1"/>
  <c r="NK350" i="24" s="1"/>
  <c r="NN359" i="24" a="1"/>
  <c r="NN359" i="24" s="1"/>
  <c r="NS359" i="24" s="1" a="1"/>
  <c r="NS359" i="24" s="1"/>
  <c r="I285" i="24"/>
  <c r="H285" i="24" s="1"/>
  <c r="C285" i="24" s="1"/>
  <c r="I312" i="24"/>
  <c r="H312" i="24" s="1"/>
  <c r="C312" i="24" s="1"/>
  <c r="I315" i="24"/>
  <c r="H315" i="24" s="1"/>
  <c r="C315" i="24" s="1"/>
  <c r="I318" i="24"/>
  <c r="H318" i="24" s="1"/>
  <c r="C318" i="24" s="1"/>
  <c r="I324" i="24"/>
  <c r="H324" i="24" s="1"/>
  <c r="C324" i="24" s="1"/>
  <c r="I344" i="24"/>
  <c r="H344" i="24" s="1"/>
  <c r="C344" i="24" s="1"/>
  <c r="I347" i="24"/>
  <c r="H347" i="24" s="1"/>
  <c r="C347" i="24" s="1"/>
  <c r="NN286" i="24" a="1"/>
  <c r="NN286" i="24" s="1"/>
  <c r="NS286" i="24" s="1" a="1"/>
  <c r="NS286" i="24" s="1"/>
  <c r="NV336" i="24" a="1"/>
  <c r="NV336" i="24" s="1"/>
  <c r="OF336" i="24" s="1" a="1"/>
  <c r="OF336" i="24" s="1"/>
  <c r="NN351" i="24" a="1"/>
  <c r="NN351" i="24" s="1"/>
  <c r="NS351" i="24" s="1" a="1"/>
  <c r="NS351" i="24" s="1"/>
  <c r="I290" i="24"/>
  <c r="H290" i="24" s="1"/>
  <c r="C290" i="24" s="1"/>
  <c r="I300" i="24"/>
  <c r="H300" i="24" s="1"/>
  <c r="C300" i="24" s="1"/>
  <c r="I320" i="24"/>
  <c r="H320" i="24" s="1"/>
  <c r="C320" i="24" s="1"/>
  <c r="I350" i="24"/>
  <c r="H350" i="24" s="1"/>
  <c r="C350" i="24" s="1"/>
  <c r="NH299" i="24" a="1"/>
  <c r="NH299" i="24" s="1"/>
  <c r="NK299" i="24" s="1" a="1"/>
  <c r="NK299" i="24" s="1"/>
  <c r="NH328" i="24" a="1"/>
  <c r="NH328" i="24" s="1"/>
  <c r="NK328" i="24" s="1" a="1"/>
  <c r="NK328" i="24" s="1"/>
  <c r="NH333" i="24" a="1"/>
  <c r="NH333" i="24" s="1"/>
  <c r="NK333" i="24" s="1" a="1"/>
  <c r="NK333" i="24" s="1"/>
  <c r="NH341" i="24" a="1"/>
  <c r="NH341" i="24" s="1"/>
  <c r="NK341" i="24" s="1" a="1"/>
  <c r="NK341" i="24" s="1"/>
  <c r="NN348" i="24" a="1"/>
  <c r="NN348" i="24" s="1"/>
  <c r="NS348" i="24" s="1" a="1"/>
  <c r="NS348" i="24" s="1"/>
  <c r="I330" i="24"/>
  <c r="H330" i="24" s="1"/>
  <c r="C330" i="24" s="1"/>
  <c r="I356" i="24"/>
  <c r="H356" i="24" s="1"/>
  <c r="C356" i="24" s="1"/>
  <c r="NV295" i="24" a="1"/>
  <c r="NV295" i="24" s="1"/>
  <c r="OF295" i="24" s="1" a="1"/>
  <c r="OF295" i="24" s="1"/>
  <c r="NV314" i="24" a="1"/>
  <c r="NV314" i="24" s="1"/>
  <c r="OF314" i="24" s="1" a="1"/>
  <c r="OF314" i="24" s="1"/>
  <c r="NN345" i="24" a="1"/>
  <c r="NN345" i="24" s="1"/>
  <c r="NS345" i="24" s="1" a="1"/>
  <c r="NS345" i="24" s="1"/>
  <c r="NH355" i="24" a="1"/>
  <c r="NH355" i="24" s="1"/>
  <c r="NK355" i="24" s="1" a="1"/>
  <c r="NK355" i="24" s="1"/>
  <c r="I301" i="24"/>
  <c r="H301" i="24" s="1"/>
  <c r="C301" i="24" s="1"/>
  <c r="I326" i="24"/>
  <c r="H326" i="24" s="1"/>
  <c r="C326" i="24" s="1"/>
  <c r="I351" i="24"/>
  <c r="H351" i="24" s="1"/>
  <c r="C351" i="24" s="1"/>
  <c r="NH329" i="24" a="1"/>
  <c r="NH329" i="24" s="1"/>
  <c r="NK329" i="24" s="1" a="1"/>
  <c r="NK329" i="24" s="1"/>
  <c r="NN352" i="24" a="1"/>
  <c r="NN352" i="24" s="1"/>
  <c r="NS352" i="24" s="1" a="1"/>
  <c r="NS352" i="24" s="1"/>
  <c r="NN355" i="24" a="1"/>
  <c r="NN355" i="24" s="1"/>
  <c r="NS355" i="24" s="1" a="1"/>
  <c r="NS355" i="24" s="1"/>
  <c r="I292" i="24"/>
  <c r="H292" i="24" s="1"/>
  <c r="C292" i="24" s="1"/>
  <c r="I311" i="24"/>
  <c r="H311" i="24" s="1"/>
  <c r="C311" i="24" s="1"/>
  <c r="I317" i="24"/>
  <c r="H317" i="24" s="1"/>
  <c r="C317" i="24" s="1"/>
  <c r="I346" i="24"/>
  <c r="H346" i="24" s="1"/>
  <c r="C346" i="24" s="1"/>
  <c r="I357" i="24"/>
  <c r="H357" i="24" s="1"/>
  <c r="C357" i="24" s="1"/>
  <c r="NN320" i="24" a="1"/>
  <c r="NN320" i="24" s="1"/>
  <c r="NS320" i="24" s="1" a="1"/>
  <c r="NS320" i="24" s="1"/>
  <c r="NV334" i="24" a="1"/>
  <c r="NV334" i="24" s="1"/>
  <c r="OF334" i="24" s="1" a="1"/>
  <c r="OF334" i="24" s="1"/>
  <c r="NN346" i="24" a="1"/>
  <c r="NN346" i="24" s="1"/>
  <c r="NS346" i="24" s="1" a="1"/>
  <c r="NS346" i="24" s="1"/>
  <c r="NV349" i="24" a="1"/>
  <c r="NV349" i="24" s="1"/>
  <c r="OF349" i="24" s="1" a="1"/>
  <c r="OF349" i="24" s="1"/>
  <c r="NV355" i="24" a="1"/>
  <c r="NV355" i="24" s="1"/>
  <c r="OF355" i="24" s="1" a="1"/>
  <c r="OF355" i="24" s="1"/>
  <c r="NH358" i="24" a="1"/>
  <c r="NH358" i="24" s="1"/>
  <c r="NK358" i="24" s="1" a="1"/>
  <c r="NK358" i="24" s="1"/>
  <c r="I282" i="24"/>
  <c r="H282" i="24" s="1"/>
  <c r="C282" i="24" s="1"/>
  <c r="I287" i="24"/>
  <c r="H287" i="24" s="1"/>
  <c r="C287" i="24" s="1"/>
  <c r="I327" i="24"/>
  <c r="H327" i="24" s="1"/>
  <c r="C327" i="24" s="1"/>
  <c r="I332" i="24"/>
  <c r="H332" i="24" s="1"/>
  <c r="C332" i="24" s="1"/>
  <c r="NN284" i="24" a="1"/>
  <c r="NN284" i="24" s="1"/>
  <c r="NS284" i="24" s="1" a="1"/>
  <c r="NS284" i="24" s="1"/>
  <c r="NH316" i="24" a="1"/>
  <c r="NH316" i="24" s="1"/>
  <c r="NK316" i="24" s="1" a="1"/>
  <c r="NK316" i="24" s="1"/>
  <c r="NH343" i="24" a="1"/>
  <c r="NH343" i="24" s="1"/>
  <c r="NK343" i="24" s="1" a="1"/>
  <c r="NK343" i="24" s="1"/>
  <c r="NH353" i="24" a="1"/>
  <c r="NH353" i="24" s="1"/>
  <c r="NK353" i="24" s="1" a="1"/>
  <c r="NK353" i="24" s="1"/>
  <c r="I298" i="24"/>
  <c r="H298" i="24" s="1"/>
  <c r="C298" i="24" s="1"/>
  <c r="I323" i="24"/>
  <c r="H323" i="24" s="1"/>
  <c r="C323" i="24" s="1"/>
  <c r="NV297" i="24" a="1"/>
  <c r="NV297" i="24" s="1"/>
  <c r="OF297" i="24" s="1" a="1"/>
  <c r="OF297" i="24" s="1"/>
  <c r="NH302" i="24" a="1"/>
  <c r="NH302" i="24" s="1"/>
  <c r="NK302" i="24" s="1" a="1"/>
  <c r="NK302" i="24" s="1"/>
  <c r="NN311" i="24" a="1"/>
  <c r="NN311" i="24" s="1"/>
  <c r="NS311" i="24" s="1" a="1"/>
  <c r="NS311" i="24" s="1"/>
  <c r="NN347" i="24" a="1"/>
  <c r="NN347" i="24" s="1"/>
  <c r="NS347" i="24" s="1" a="1"/>
  <c r="NS347" i="24" s="1"/>
  <c r="NN350" i="24" a="1"/>
  <c r="NN350" i="24" s="1"/>
  <c r="NS350" i="24" s="1" a="1"/>
  <c r="NS350" i="24" s="1"/>
  <c r="I333" i="24"/>
  <c r="H333" i="24" s="1"/>
  <c r="C333" i="24" s="1"/>
  <c r="I354" i="24"/>
  <c r="H354" i="24" s="1"/>
  <c r="C354" i="24" s="1"/>
  <c r="I359" i="24"/>
  <c r="H359" i="24" s="1"/>
  <c r="C359" i="24" s="1"/>
  <c r="NH307" i="24" a="1"/>
  <c r="NH307" i="24" s="1"/>
  <c r="NK307" i="24" s="1" a="1"/>
  <c r="NK307" i="24" s="1"/>
  <c r="I284" i="24"/>
  <c r="H284" i="24" s="1"/>
  <c r="C284" i="24" s="1"/>
  <c r="I314" i="24"/>
  <c r="H314" i="24" s="1"/>
  <c r="C314" i="24" s="1"/>
  <c r="I343" i="24"/>
  <c r="H343" i="24" s="1"/>
  <c r="C343" i="24" s="1"/>
  <c r="NH340" i="24" a="1"/>
  <c r="NH340" i="24" s="1"/>
  <c r="NK340" i="24" s="1" a="1"/>
  <c r="NK340" i="24" s="1"/>
  <c r="NV317" i="24" a="1"/>
  <c r="NV317" i="24" s="1"/>
  <c r="OF317" i="24" s="1" a="1"/>
  <c r="OF317" i="24" s="1"/>
  <c r="NH260" i="24" a="1"/>
  <c r="NH260" i="24" s="1"/>
  <c r="NK260" i="24" s="1" a="1"/>
  <c r="NK260" i="24" s="1"/>
  <c r="NV261" i="24" a="1"/>
  <c r="NV261" i="24" s="1"/>
  <c r="OF261" i="24" s="1" a="1"/>
  <c r="OF261" i="24" s="1"/>
  <c r="NH264" i="24" a="1"/>
  <c r="NH264" i="24" s="1"/>
  <c r="NK264" i="24" s="1" a="1"/>
  <c r="NK264" i="24" s="1"/>
  <c r="NN266" i="24" a="1"/>
  <c r="NN266" i="24" s="1"/>
  <c r="NS266" i="24" s="1" a="1"/>
  <c r="NS266" i="24" s="1"/>
  <c r="NN267" i="24" a="1"/>
  <c r="NN267" i="24" s="1"/>
  <c r="NS267" i="24" s="1" a="1"/>
  <c r="NS267" i="24" s="1"/>
  <c r="NV268" i="24" a="1"/>
  <c r="NV268" i="24" s="1"/>
  <c r="OF268" i="24" s="1" a="1"/>
  <c r="OF268" i="24" s="1"/>
  <c r="NH262" i="24" a="1"/>
  <c r="NH262" i="24" s="1"/>
  <c r="NK262" i="24" s="1" a="1"/>
  <c r="NK262" i="24" s="1"/>
  <c r="NV262" i="24" a="1"/>
  <c r="NV262" i="24" s="1"/>
  <c r="OF262" i="24" s="1" a="1"/>
  <c r="OF262" i="24" s="1"/>
  <c r="NN265" i="24" a="1"/>
  <c r="NN265" i="24" s="1"/>
  <c r="NS265" i="24" s="1" a="1"/>
  <c r="NS265" i="24" s="1"/>
  <c r="NV270" i="24" a="1"/>
  <c r="NV270" i="24" s="1"/>
  <c r="OF270" i="24" s="1" a="1"/>
  <c r="OF270" i="24" s="1"/>
  <c r="NH273" i="24" a="1"/>
  <c r="NH273" i="24" s="1"/>
  <c r="NK273" i="24" s="1" a="1"/>
  <c r="NK273" i="24" s="1"/>
  <c r="NN275" i="24" a="1"/>
  <c r="NN275" i="24" s="1"/>
  <c r="NS275" i="24" s="1" a="1"/>
  <c r="NS275" i="24" s="1"/>
  <c r="NV276" i="24" a="1"/>
  <c r="NV276" i="24" s="1"/>
  <c r="OF276" i="24" s="1" a="1"/>
  <c r="OF276" i="24" s="1"/>
  <c r="NN279" i="24" a="1"/>
  <c r="NN279" i="24" s="1"/>
  <c r="NS279" i="24" s="1" a="1"/>
  <c r="NS279" i="24" s="1"/>
  <c r="I261" i="24"/>
  <c r="H261" i="24" s="1"/>
  <c r="C261" i="24" s="1"/>
  <c r="I265" i="24"/>
  <c r="H265" i="24" s="1"/>
  <c r="C265" i="24" s="1"/>
  <c r="NN260" i="24" a="1"/>
  <c r="NN260" i="24" s="1"/>
  <c r="NS260" i="24" s="1" a="1"/>
  <c r="NS260" i="24" s="1"/>
  <c r="NN263" i="24" a="1"/>
  <c r="NN263" i="24" s="1"/>
  <c r="NS263" i="24" s="1" a="1"/>
  <c r="NS263" i="24" s="1"/>
  <c r="NV265" i="24" a="1"/>
  <c r="NV265" i="24" s="1"/>
  <c r="OF265" i="24" s="1" a="1"/>
  <c r="OF265" i="24" s="1"/>
  <c r="NH268" i="24" a="1"/>
  <c r="NH268" i="24" s="1"/>
  <c r="NK268" i="24" s="1" a="1"/>
  <c r="NK268" i="24" s="1"/>
  <c r="NN271" i="24" a="1"/>
  <c r="NN271" i="24" s="1"/>
  <c r="NS271" i="24" s="1" a="1"/>
  <c r="NS271" i="24" s="1"/>
  <c r="NN278" i="24" a="1"/>
  <c r="NN278" i="24" s="1"/>
  <c r="NS278" i="24" s="1" a="1"/>
  <c r="NS278" i="24" s="1"/>
  <c r="NV280" i="24" a="1"/>
  <c r="NV280" i="24" s="1"/>
  <c r="OF280" i="24" s="1" a="1"/>
  <c r="OF280" i="24" s="1"/>
  <c r="I267" i="24"/>
  <c r="H267" i="24" s="1"/>
  <c r="C267" i="24" s="1"/>
  <c r="NV263" i="24" a="1"/>
  <c r="NV263" i="24" s="1"/>
  <c r="OF263" i="24" s="1" a="1"/>
  <c r="OF263" i="24" s="1"/>
  <c r="NH269" i="24" a="1"/>
  <c r="NH269" i="24" s="1"/>
  <c r="NK269" i="24" s="1" a="1"/>
  <c r="NK269" i="24" s="1"/>
  <c r="NV273" i="24" a="1"/>
  <c r="NV273" i="24" s="1"/>
  <c r="OF273" i="24" s="1" a="1"/>
  <c r="OF273" i="24" s="1"/>
  <c r="NH280" i="24" a="1"/>
  <c r="NH280" i="24" s="1"/>
  <c r="NK280" i="24" s="1" a="1"/>
  <c r="NK280" i="24" s="1"/>
  <c r="I266" i="24"/>
  <c r="H266" i="24" s="1"/>
  <c r="C266" i="24" s="1"/>
  <c r="I271" i="24"/>
  <c r="H271" i="24" s="1"/>
  <c r="C271" i="24" s="1"/>
  <c r="I280" i="24"/>
  <c r="H280" i="24" s="1"/>
  <c r="C280" i="24" s="1"/>
  <c r="NN264" i="24" a="1"/>
  <c r="NN264" i="24" s="1"/>
  <c r="NS264" i="24" s="1" a="1"/>
  <c r="NS264" i="24" s="1"/>
  <c r="NV277" i="24" a="1"/>
  <c r="NV277" i="24" s="1"/>
  <c r="OF277" i="24" s="1" a="1"/>
  <c r="OF277" i="24" s="1"/>
  <c r="NN262" i="24" a="1"/>
  <c r="NN262" i="24" s="1"/>
  <c r="NS262" i="24" s="1" a="1"/>
  <c r="NS262" i="24" s="1"/>
  <c r="NH271" i="24" a="1"/>
  <c r="NH271" i="24" s="1"/>
  <c r="NK271" i="24" s="1" a="1"/>
  <c r="NK271" i="24" s="1"/>
  <c r="NH277" i="24" a="1"/>
  <c r="NH277" i="24" s="1"/>
  <c r="NK277" i="24" s="1" a="1"/>
  <c r="NK277" i="24" s="1"/>
  <c r="NV278" i="24" a="1"/>
  <c r="NV278" i="24" s="1"/>
  <c r="OF278" i="24" s="1" a="1"/>
  <c r="OF278" i="24" s="1"/>
  <c r="I262" i="24"/>
  <c r="H262" i="24" s="1"/>
  <c r="C262" i="24" s="1"/>
  <c r="I276" i="24"/>
  <c r="H276" i="24" s="1"/>
  <c r="C276" i="24" s="1"/>
  <c r="NH263" i="24" a="1"/>
  <c r="NH263" i="24" s="1"/>
  <c r="NK263" i="24" s="1" a="1"/>
  <c r="NK263" i="24" s="1"/>
  <c r="NV260" i="24" a="1"/>
  <c r="NV260" i="24" s="1"/>
  <c r="OF260" i="24" s="1" a="1"/>
  <c r="OF260" i="24" s="1"/>
  <c r="NV267" i="24" a="1"/>
  <c r="NV267" i="24" s="1"/>
  <c r="OF267" i="24" s="1" a="1"/>
  <c r="OF267" i="24" s="1"/>
  <c r="NN269" i="24" a="1"/>
  <c r="NN269" i="24" s="1"/>
  <c r="NS269" i="24" s="1" a="1"/>
  <c r="NS269" i="24" s="1"/>
  <c r="NN272" i="24" a="1"/>
  <c r="NN272" i="24" s="1"/>
  <c r="NS272" i="24" s="1" a="1"/>
  <c r="NS272" i="24" s="1"/>
  <c r="NH274" i="24" a="1"/>
  <c r="NH274" i="24" s="1"/>
  <c r="NK274" i="24" s="1" a="1"/>
  <c r="NK274" i="24" s="1"/>
  <c r="NV275" i="24" a="1"/>
  <c r="NV275" i="24" s="1"/>
  <c r="OF275" i="24" s="1" a="1"/>
  <c r="OF275" i="24" s="1"/>
  <c r="I268" i="24"/>
  <c r="H268" i="24" s="1"/>
  <c r="C268" i="24" s="1"/>
  <c r="I272" i="24"/>
  <c r="H272" i="24" s="1"/>
  <c r="C272" i="24" s="1"/>
  <c r="NH261" i="24" a="1"/>
  <c r="NH261" i="24" s="1"/>
  <c r="NK261" i="24" s="1" a="1"/>
  <c r="NK261" i="24" s="1"/>
  <c r="I273" i="24"/>
  <c r="H273" i="24" s="1"/>
  <c r="C273" i="24" s="1"/>
  <c r="NH266" i="24" a="1"/>
  <c r="NH266" i="24" s="1"/>
  <c r="NK266" i="24" s="1" a="1"/>
  <c r="NK266" i="24" s="1"/>
  <c r="NV269" i="24" a="1"/>
  <c r="NV269" i="24" s="1"/>
  <c r="OF269" i="24" s="1" a="1"/>
  <c r="OF269" i="24" s="1"/>
  <c r="NV272" i="24" a="1"/>
  <c r="NV272" i="24" s="1"/>
  <c r="OF272" i="24" s="1" a="1"/>
  <c r="OF272" i="24" s="1"/>
  <c r="NN274" i="24" a="1"/>
  <c r="NN274" i="24" s="1"/>
  <c r="NS274" i="24" s="1" a="1"/>
  <c r="NS274" i="24" s="1"/>
  <c r="NN277" i="24" a="1"/>
  <c r="NN277" i="24" s="1"/>
  <c r="NS277" i="24" s="1" a="1"/>
  <c r="NS277" i="24" s="1"/>
  <c r="NH279" i="24" a="1"/>
  <c r="NH279" i="24" s="1"/>
  <c r="NK279" i="24" s="1" a="1"/>
  <c r="NK279" i="24" s="1"/>
  <c r="NN280" i="24" a="1"/>
  <c r="NN280" i="24" s="1"/>
  <c r="NS280" i="24" s="1" a="1"/>
  <c r="NS280" i="24" s="1"/>
  <c r="I263" i="24"/>
  <c r="H263" i="24" s="1"/>
  <c r="C263" i="24" s="1"/>
  <c r="I277" i="24"/>
  <c r="H277" i="24" s="1"/>
  <c r="C277" i="24" s="1"/>
  <c r="NV274" i="24" a="1"/>
  <c r="NV274" i="24" s="1"/>
  <c r="OF274" i="24" s="1" a="1"/>
  <c r="OF274" i="24" s="1"/>
  <c r="I269" i="24"/>
  <c r="H269" i="24" s="1"/>
  <c r="C269" i="24" s="1"/>
  <c r="NV264" i="24" a="1"/>
  <c r="NV264" i="24" s="1"/>
  <c r="OF264" i="24" s="1" a="1"/>
  <c r="OF264" i="24" s="1"/>
  <c r="NV266" i="24" a="1"/>
  <c r="NV266" i="24" s="1"/>
  <c r="OF266" i="24" s="1" a="1"/>
  <c r="OF266" i="24" s="1"/>
  <c r="NH270" i="24" a="1"/>
  <c r="NH270" i="24" s="1"/>
  <c r="NK270" i="24" s="1" a="1"/>
  <c r="NK270" i="24" s="1"/>
  <c r="NV271" i="24" a="1"/>
  <c r="NV271" i="24" s="1"/>
  <c r="OF271" i="24" s="1" a="1"/>
  <c r="OF271" i="24" s="1"/>
  <c r="I264" i="24"/>
  <c r="H264" i="24" s="1"/>
  <c r="C264" i="24" s="1"/>
  <c r="I278" i="24"/>
  <c r="H278" i="24" s="1"/>
  <c r="C278" i="24" s="1"/>
  <c r="NH265" i="24" a="1"/>
  <c r="NH265" i="24" s="1"/>
  <c r="NK265" i="24" s="1" a="1"/>
  <c r="NK265" i="24" s="1"/>
  <c r="NH272" i="24" a="1"/>
  <c r="NH272" i="24" s="1"/>
  <c r="NK272" i="24" s="1" a="1"/>
  <c r="NK272" i="24" s="1"/>
  <c r="I275" i="24"/>
  <c r="H275" i="24" s="1"/>
  <c r="C275" i="24" s="1"/>
  <c r="I279" i="24"/>
  <c r="H279" i="24" s="1"/>
  <c r="C279" i="24" s="1"/>
  <c r="NN261" i="24" a="1"/>
  <c r="NN261" i="24" s="1"/>
  <c r="NS261" i="24" s="1" a="1"/>
  <c r="NS261" i="24" s="1"/>
  <c r="NN268" i="24" a="1"/>
  <c r="NN268" i="24" s="1"/>
  <c r="NS268" i="24" s="1" a="1"/>
  <c r="NS268" i="24" s="1"/>
  <c r="NN270" i="24" a="1"/>
  <c r="NN270" i="24" s="1"/>
  <c r="NS270" i="24" s="1" a="1"/>
  <c r="NS270" i="24" s="1"/>
  <c r="NN273" i="24" a="1"/>
  <c r="NN273" i="24" s="1"/>
  <c r="NS273" i="24" s="1" a="1"/>
  <c r="NS273" i="24" s="1"/>
  <c r="NH275" i="24" a="1"/>
  <c r="NH275" i="24" s="1"/>
  <c r="NK275" i="24" s="1" a="1"/>
  <c r="NK275" i="24" s="1"/>
  <c r="NH276" i="24" a="1"/>
  <c r="NH276" i="24" s="1"/>
  <c r="NK276" i="24" s="1" a="1"/>
  <c r="NK276" i="24" s="1"/>
  <c r="NV279" i="24" a="1"/>
  <c r="NV279" i="24" s="1"/>
  <c r="OF279" i="24" s="1" a="1"/>
  <c r="OF279" i="24" s="1"/>
  <c r="I260" i="24"/>
  <c r="H260" i="24" s="1"/>
  <c r="C260" i="24" s="1"/>
  <c r="I270" i="24"/>
  <c r="H270" i="24" s="1"/>
  <c r="C270" i="24" s="1"/>
  <c r="I274" i="24"/>
  <c r="H274" i="24" s="1"/>
  <c r="C274" i="24" s="1"/>
  <c r="NH267" i="24" a="1"/>
  <c r="NH267" i="24" s="1"/>
  <c r="NK267" i="24" s="1" a="1"/>
  <c r="NK267" i="24" s="1"/>
  <c r="NN276" i="24" a="1"/>
  <c r="NN276" i="24" s="1"/>
  <c r="NS276" i="24" s="1" a="1"/>
  <c r="NS276" i="24" s="1"/>
  <c r="NH278" i="24" a="1"/>
  <c r="NH278" i="24" s="1"/>
  <c r="NK278" i="24" s="1" a="1"/>
  <c r="NK278" i="24" s="1"/>
  <c r="H280" i="8"/>
  <c r="H279" i="8"/>
  <c r="NH250" i="24" a="1"/>
  <c r="NH250" i="24" s="1"/>
  <c r="NK250" i="24" s="1" a="1"/>
  <c r="NK250" i="24" s="1"/>
  <c r="NV252" i="24" a="1"/>
  <c r="NV252" i="24" s="1"/>
  <c r="OF252" i="24" s="1" a="1"/>
  <c r="OF252" i="24" s="1"/>
  <c r="NV255" i="24" a="1"/>
  <c r="NV255" i="24" s="1"/>
  <c r="OF255" i="24" s="1" a="1"/>
  <c r="OF255" i="24" s="1"/>
  <c r="NH259" i="24" a="1"/>
  <c r="NH259" i="24" s="1"/>
  <c r="NK259" i="24" s="1" a="1"/>
  <c r="NK259" i="24" s="1"/>
  <c r="I252" i="24"/>
  <c r="H252" i="24" s="1"/>
  <c r="C252" i="24" s="1"/>
  <c r="I256" i="24"/>
  <c r="H256" i="24" s="1"/>
  <c r="C256" i="24" s="1"/>
  <c r="NN250" i="24" a="1"/>
  <c r="NN250" i="24" s="1"/>
  <c r="NS250" i="24" s="1" a="1"/>
  <c r="NS250" i="24" s="1"/>
  <c r="NH254" i="24" a="1"/>
  <c r="NH254" i="24" s="1"/>
  <c r="NK254" i="24" s="1" a="1"/>
  <c r="NK254" i="24" s="1"/>
  <c r="NH258" i="24" a="1"/>
  <c r="NH258" i="24" s="1"/>
  <c r="NK258" i="24" s="1" a="1"/>
  <c r="NK258" i="24" s="1"/>
  <c r="NN251" i="24" a="1"/>
  <c r="NN251" i="24" s="1"/>
  <c r="NS251" i="24" s="1" a="1"/>
  <c r="NS251" i="24" s="1"/>
  <c r="NH253" i="24" a="1"/>
  <c r="NH253" i="24" s="1"/>
  <c r="NK253" i="24" s="1" a="1"/>
  <c r="NK253" i="24" s="1"/>
  <c r="NH256" i="24" a="1"/>
  <c r="NH256" i="24" s="1"/>
  <c r="NK256" i="24" s="1" a="1"/>
  <c r="NK256" i="24" s="1"/>
  <c r="NN258" i="24" a="1"/>
  <c r="NN258" i="24" s="1"/>
  <c r="NS258" i="24" s="1" a="1"/>
  <c r="NS258" i="24" s="1"/>
  <c r="I253" i="24"/>
  <c r="H253" i="24" s="1"/>
  <c r="C253" i="24" s="1"/>
  <c r="I257" i="24"/>
  <c r="H257" i="24" s="1"/>
  <c r="C257" i="24" s="1"/>
  <c r="NV251" i="24" a="1"/>
  <c r="NV251" i="24" s="1"/>
  <c r="OF251" i="24" s="1" a="1"/>
  <c r="OF251" i="24" s="1"/>
  <c r="NN253" i="24" a="1"/>
  <c r="NN253" i="24" s="1"/>
  <c r="NS253" i="24" s="1" a="1"/>
  <c r="NS253" i="24" s="1"/>
  <c r="NH255" i="24" a="1"/>
  <c r="NH255" i="24" s="1"/>
  <c r="NK255" i="24" s="1" a="1"/>
  <c r="NK255" i="24" s="1"/>
  <c r="NN257" i="24" a="1"/>
  <c r="NN257" i="24" s="1"/>
  <c r="NS257" i="24" s="1" a="1"/>
  <c r="NS257" i="24" s="1"/>
  <c r="NN259" i="24" a="1"/>
  <c r="NN259" i="24" s="1"/>
  <c r="NS259" i="24" s="1" a="1"/>
  <c r="NS259" i="24" s="1"/>
  <c r="NN256" i="24" a="1"/>
  <c r="NN256" i="24" s="1"/>
  <c r="NS256" i="24" s="1" a="1"/>
  <c r="NS256" i="24" s="1"/>
  <c r="NV257" i="24" a="1"/>
  <c r="NV257" i="24" s="1"/>
  <c r="OF257" i="24" s="1" a="1"/>
  <c r="OF257" i="24" s="1"/>
  <c r="NV259" i="24" a="1"/>
  <c r="NV259" i="24" s="1"/>
  <c r="OF259" i="24" s="1" a="1"/>
  <c r="OF259" i="24" s="1"/>
  <c r="I250" i="24"/>
  <c r="H250" i="24" s="1"/>
  <c r="C250" i="24" s="1"/>
  <c r="I254" i="24"/>
  <c r="H254" i="24" s="1"/>
  <c r="C254" i="24" s="1"/>
  <c r="I258" i="24"/>
  <c r="H258" i="24" s="1"/>
  <c r="C258" i="24" s="1"/>
  <c r="NV250" i="24" a="1"/>
  <c r="NV250" i="24" s="1"/>
  <c r="OF250" i="24" s="1" a="1"/>
  <c r="OF250" i="24" s="1"/>
  <c r="NH252" i="24" a="1"/>
  <c r="NH252" i="24" s="1"/>
  <c r="NK252" i="24" s="1" a="1"/>
  <c r="NK252" i="24" s="1"/>
  <c r="NN254" i="24" a="1"/>
  <c r="NN254" i="24" s="1"/>
  <c r="NS254" i="24" s="1" a="1"/>
  <c r="NS254" i="24" s="1"/>
  <c r="NN255" i="24" a="1"/>
  <c r="NN255" i="24" s="1"/>
  <c r="NS255" i="24" s="1" a="1"/>
  <c r="NS255" i="24" s="1"/>
  <c r="NV256" i="24" a="1"/>
  <c r="NV256" i="24" s="1"/>
  <c r="OF256" i="24" s="1" a="1"/>
  <c r="OF256" i="24" s="1"/>
  <c r="NN252" i="24" a="1"/>
  <c r="NN252" i="24" s="1"/>
  <c r="NS252" i="24" s="1" a="1"/>
  <c r="NS252" i="24" s="1"/>
  <c r="NV254" i="24" a="1"/>
  <c r="NV254" i="24" s="1"/>
  <c r="OF254" i="24" s="1" a="1"/>
  <c r="OF254" i="24" s="1"/>
  <c r="NV258" i="24" a="1"/>
  <c r="NV258" i="24" s="1"/>
  <c r="OF258" i="24" s="1" a="1"/>
  <c r="OF258" i="24" s="1"/>
  <c r="I251" i="24"/>
  <c r="H251" i="24" s="1"/>
  <c r="C251" i="24" s="1"/>
  <c r="I255" i="24"/>
  <c r="H255" i="24" s="1"/>
  <c r="C255" i="24" s="1"/>
  <c r="I259" i="24"/>
  <c r="H259" i="24" s="1"/>
  <c r="C259" i="24" s="1"/>
  <c r="NH251" i="24" a="1"/>
  <c r="NH251" i="24" s="1"/>
  <c r="NK251" i="24" s="1" a="1"/>
  <c r="NK251" i="24" s="1"/>
  <c r="NV253" i="24" a="1"/>
  <c r="NV253" i="24" s="1"/>
  <c r="OF253" i="24" s="1" a="1"/>
  <c r="OF253" i="24" s="1"/>
  <c r="NH257" i="24" a="1"/>
  <c r="NH257" i="24" s="1"/>
  <c r="NK257" i="24" s="1" a="1"/>
  <c r="NK257" i="24" s="1"/>
  <c r="I233" i="24"/>
  <c r="H233" i="24" s="1"/>
  <c r="C233" i="24" s="1"/>
  <c r="NV239" i="24" a="1"/>
  <c r="NV239" i="24" s="1"/>
  <c r="OF239" i="24" s="1" a="1"/>
  <c r="OF239" i="24" s="1"/>
  <c r="NV240" i="24" a="1"/>
  <c r="NV240" i="24" s="1"/>
  <c r="OF240" i="24" s="1" a="1"/>
  <c r="OF240" i="24" s="1"/>
  <c r="NV242" i="24" a="1"/>
  <c r="NV242" i="24" s="1"/>
  <c r="OF242" i="24" s="1" a="1"/>
  <c r="OF242" i="24" s="1"/>
  <c r="NN244" i="24" a="1"/>
  <c r="NN244" i="24" s="1"/>
  <c r="NS244" i="24" s="1" a="1"/>
  <c r="NS244" i="24" s="1"/>
  <c r="NV245" i="24" a="1"/>
  <c r="NV245" i="24" s="1"/>
  <c r="OF245" i="24" s="1" a="1"/>
  <c r="OF245" i="24" s="1"/>
  <c r="NN247" i="24" a="1"/>
  <c r="NN247" i="24" s="1"/>
  <c r="NS247" i="24" s="1" a="1"/>
  <c r="NS247" i="24" s="1"/>
  <c r="NN248" i="24" a="1"/>
  <c r="NN248" i="24" s="1"/>
  <c r="NS248" i="24" s="1" a="1"/>
  <c r="NS248" i="24" s="1"/>
  <c r="NV249" i="24" a="1"/>
  <c r="NV249" i="24" s="1"/>
  <c r="OF249" i="24" s="1" a="1"/>
  <c r="OF249" i="24" s="1"/>
  <c r="I247" i="24"/>
  <c r="H247" i="24" s="1"/>
  <c r="C247" i="24" s="1"/>
  <c r="NV233" i="24" a="1"/>
  <c r="NV233" i="24" s="1"/>
  <c r="OF233" i="24" s="1" a="1"/>
  <c r="OF233" i="24" s="1"/>
  <c r="NH234" i="24" a="1"/>
  <c r="NH234" i="24" s="1"/>
  <c r="NK234" i="24" s="1" a="1"/>
  <c r="NK234" i="24" s="1"/>
  <c r="NH235" i="24" a="1"/>
  <c r="NH235" i="24" s="1"/>
  <c r="NK235" i="24" s="1" a="1"/>
  <c r="NK235" i="24" s="1"/>
  <c r="NN237" i="24" a="1"/>
  <c r="NN237" i="24" s="1"/>
  <c r="NS237" i="24" s="1" a="1"/>
  <c r="NS237" i="24" s="1"/>
  <c r="NN238" i="24" a="1"/>
  <c r="NN238" i="24" s="1"/>
  <c r="NS238" i="24" s="1" a="1"/>
  <c r="NS238" i="24" s="1"/>
  <c r="NV244" i="24" a="1"/>
  <c r="NV244" i="24" s="1"/>
  <c r="OF244" i="24" s="1" a="1"/>
  <c r="OF244" i="24" s="1"/>
  <c r="NN246" i="24" a="1"/>
  <c r="NN246" i="24" s="1"/>
  <c r="NS246" i="24" s="1" a="1"/>
  <c r="NS246" i="24" s="1"/>
  <c r="NV248" i="24" a="1"/>
  <c r="NV248" i="24" s="1"/>
  <c r="OF248" i="24" s="1" a="1"/>
  <c r="OF248" i="24" s="1"/>
  <c r="I236" i="24"/>
  <c r="H236" i="24" s="1"/>
  <c r="C236" i="24" s="1"/>
  <c r="NH241" i="24" a="1"/>
  <c r="NH241" i="24" s="1"/>
  <c r="NK241" i="24" s="1" a="1"/>
  <c r="NK241" i="24" s="1"/>
  <c r="NH244" i="24" a="1"/>
  <c r="NH244" i="24" s="1"/>
  <c r="NK244" i="24" s="1" a="1"/>
  <c r="NK244" i="24" s="1"/>
  <c r="NH233" i="24" a="1"/>
  <c r="NH233" i="24" s="1"/>
  <c r="NK233" i="24" s="1" a="1"/>
  <c r="NK233" i="24" s="1"/>
  <c r="NN235" i="24" a="1"/>
  <c r="NN235" i="24" s="1"/>
  <c r="NS235" i="24" s="1" a="1"/>
  <c r="NS235" i="24" s="1"/>
  <c r="NV237" i="24" a="1"/>
  <c r="NV237" i="24" s="1"/>
  <c r="OF237" i="24" s="1" a="1"/>
  <c r="OF237" i="24" s="1"/>
  <c r="NV241" i="24" a="1"/>
  <c r="NV241" i="24" s="1"/>
  <c r="OF241" i="24" s="1" a="1"/>
  <c r="OF241" i="24" s="1"/>
  <c r="NH243" i="24" a="1"/>
  <c r="NH243" i="24" s="1"/>
  <c r="NK243" i="24" s="1" a="1"/>
  <c r="NK243" i="24" s="1"/>
  <c r="I239" i="24"/>
  <c r="H239" i="24" s="1"/>
  <c r="C239" i="24" s="1"/>
  <c r="I242" i="24"/>
  <c r="H242" i="24" s="1"/>
  <c r="C242" i="24" s="1"/>
  <c r="I245" i="24"/>
  <c r="H245" i="24" s="1"/>
  <c r="C245" i="24" s="1"/>
  <c r="I248" i="24"/>
  <c r="H248" i="24" s="1"/>
  <c r="C248" i="24" s="1"/>
  <c r="NH246" i="24" a="1"/>
  <c r="NH246" i="24" s="1"/>
  <c r="NK246" i="24" s="1" a="1"/>
  <c r="NK246" i="24" s="1"/>
  <c r="NH238" i="24" a="1"/>
  <c r="NH238" i="24" s="1"/>
  <c r="NK238" i="24" s="1" a="1"/>
  <c r="NK238" i="24" s="1"/>
  <c r="I241" i="24"/>
  <c r="H241" i="24" s="1"/>
  <c r="C241" i="24" s="1"/>
  <c r="NN233" i="24" a="1"/>
  <c r="NN233" i="24" s="1"/>
  <c r="NS233" i="24" s="1" a="1"/>
  <c r="NS233" i="24" s="1"/>
  <c r="NV236" i="24" a="1"/>
  <c r="NV236" i="24" s="1"/>
  <c r="OF236" i="24" s="1" a="1"/>
  <c r="OF236" i="24" s="1"/>
  <c r="NH240" i="24" a="1"/>
  <c r="NH240" i="24" s="1"/>
  <c r="NK240" i="24" s="1" a="1"/>
  <c r="NK240" i="24" s="1"/>
  <c r="NN243" i="24" a="1"/>
  <c r="NN243" i="24" s="1"/>
  <c r="NS243" i="24" s="1" a="1"/>
  <c r="NS243" i="24" s="1"/>
  <c r="NH245" i="24" a="1"/>
  <c r="NH245" i="24" s="1"/>
  <c r="NK245" i="24" s="1" a="1"/>
  <c r="NK245" i="24" s="1"/>
  <c r="NH249" i="24" a="1"/>
  <c r="NH249" i="24" s="1"/>
  <c r="NK249" i="24" s="1" a="1"/>
  <c r="NK249" i="24" s="1"/>
  <c r="NH237" i="24" a="1"/>
  <c r="NH237" i="24" s="1"/>
  <c r="NK237" i="24" s="1" a="1"/>
  <c r="NK237" i="24" s="1"/>
  <c r="I246" i="24"/>
  <c r="H246" i="24" s="1"/>
  <c r="C246" i="24" s="1"/>
  <c r="NN236" i="24" a="1"/>
  <c r="NN236" i="24" s="1"/>
  <c r="NS236" i="24" s="1" a="1"/>
  <c r="NS236" i="24" s="1"/>
  <c r="NN245" i="24" a="1"/>
  <c r="NN245" i="24" s="1"/>
  <c r="NS245" i="24" s="1" a="1"/>
  <c r="NS245" i="24" s="1"/>
  <c r="NN234" i="24" a="1"/>
  <c r="NN234" i="24" s="1"/>
  <c r="NS234" i="24" s="1" a="1"/>
  <c r="NS234" i="24" s="1"/>
  <c r="NV235" i="24" a="1"/>
  <c r="NV235" i="24" s="1"/>
  <c r="OF235" i="24" s="1" a="1"/>
  <c r="OF235" i="24" s="1"/>
  <c r="NV238" i="24" a="1"/>
  <c r="NV238" i="24" s="1"/>
  <c r="OF238" i="24" s="1" a="1"/>
  <c r="OF238" i="24" s="1"/>
  <c r="NH242" i="24" a="1"/>
  <c r="NH242" i="24" s="1"/>
  <c r="NK242" i="24" s="1" a="1"/>
  <c r="NK242" i="24" s="1"/>
  <c r="NV246" i="24" a="1"/>
  <c r="NV246" i="24" s="1"/>
  <c r="OF246" i="24" s="1" a="1"/>
  <c r="OF246" i="24" s="1"/>
  <c r="NV247" i="24" a="1"/>
  <c r="NV247" i="24" s="1"/>
  <c r="OF247" i="24" s="1" a="1"/>
  <c r="OF247" i="24" s="1"/>
  <c r="NN249" i="24" a="1"/>
  <c r="NN249" i="24" s="1"/>
  <c r="NS249" i="24" s="1" a="1"/>
  <c r="NS249" i="24" s="1"/>
  <c r="I234" i="24"/>
  <c r="H234" i="24" s="1"/>
  <c r="C234" i="24" s="1"/>
  <c r="I237" i="24"/>
  <c r="H237" i="24" s="1"/>
  <c r="C237" i="24" s="1"/>
  <c r="I240" i="24"/>
  <c r="H240" i="24" s="1"/>
  <c r="C240" i="24" s="1"/>
  <c r="I243" i="24"/>
  <c r="H243" i="24" s="1"/>
  <c r="C243" i="24" s="1"/>
  <c r="I249" i="24"/>
  <c r="H249" i="24" s="1"/>
  <c r="C249" i="24" s="1"/>
  <c r="NV234" i="24" a="1"/>
  <c r="NV234" i="24" s="1"/>
  <c r="OF234" i="24" s="1" a="1"/>
  <c r="OF234" i="24" s="1"/>
  <c r="NN240" i="24" a="1"/>
  <c r="NN240" i="24" s="1"/>
  <c r="NS240" i="24" s="1" a="1"/>
  <c r="NS240" i="24" s="1"/>
  <c r="I244" i="24"/>
  <c r="H244" i="24" s="1"/>
  <c r="C244" i="24" s="1"/>
  <c r="NV243" i="24" a="1"/>
  <c r="NV243" i="24" s="1"/>
  <c r="OF243" i="24" s="1" a="1"/>
  <c r="OF243" i="24" s="1"/>
  <c r="NN242" i="24" a="1"/>
  <c r="NN242" i="24" s="1"/>
  <c r="NS242" i="24" s="1" a="1"/>
  <c r="NS242" i="24" s="1"/>
  <c r="NH248" i="24" a="1"/>
  <c r="NH248" i="24" s="1"/>
  <c r="NK248" i="24" s="1" a="1"/>
  <c r="NK248" i="24" s="1"/>
  <c r="NH236" i="24" a="1"/>
  <c r="NH236" i="24" s="1"/>
  <c r="NK236" i="24" s="1" a="1"/>
  <c r="NK236" i="24" s="1"/>
  <c r="NH239" i="24" a="1"/>
  <c r="NH239" i="24" s="1"/>
  <c r="NK239" i="24" s="1" a="1"/>
  <c r="NK239" i="24" s="1"/>
  <c r="NN241" i="24" a="1"/>
  <c r="NN241" i="24" s="1"/>
  <c r="NS241" i="24" s="1" a="1"/>
  <c r="NS241" i="24" s="1"/>
  <c r="NH247" i="24" a="1"/>
  <c r="NH247" i="24" s="1"/>
  <c r="NK247" i="24" s="1" a="1"/>
  <c r="NK247" i="24" s="1"/>
  <c r="I235" i="24"/>
  <c r="H235" i="24" s="1"/>
  <c r="C235" i="24" s="1"/>
  <c r="NN239" i="24" a="1"/>
  <c r="NN239" i="24" s="1"/>
  <c r="NS239" i="24" s="1" a="1"/>
  <c r="NS239" i="24" s="1"/>
  <c r="I238" i="24"/>
  <c r="H238" i="24" s="1"/>
  <c r="C238" i="24" s="1"/>
  <c r="NV215" i="24" a="1"/>
  <c r="NV215" i="24" s="1"/>
  <c r="OF215" i="24" s="1" a="1"/>
  <c r="OF215" i="24" s="1"/>
  <c r="NN219" i="24" a="1"/>
  <c r="NN219" i="24" s="1"/>
  <c r="NS219" i="24" s="1" a="1"/>
  <c r="NS219" i="24" s="1"/>
  <c r="NH221" i="24" a="1"/>
  <c r="NH221" i="24" s="1"/>
  <c r="NK221" i="24" s="1" a="1"/>
  <c r="NK221" i="24" s="1"/>
  <c r="NV224" i="24" a="1"/>
  <c r="NV224" i="24" s="1"/>
  <c r="OF224" i="24" s="1" a="1"/>
  <c r="OF224" i="24" s="1"/>
  <c r="NN226" i="24" a="1"/>
  <c r="NN226" i="24" s="1"/>
  <c r="NS226" i="24" s="1" a="1"/>
  <c r="NS226" i="24" s="1"/>
  <c r="NH230" i="24" a="1"/>
  <c r="NH230" i="24" s="1"/>
  <c r="NK230" i="24" s="1" a="1"/>
  <c r="NK230" i="24" s="1"/>
  <c r="NH232" i="24" a="1"/>
  <c r="NH232" i="24" s="1"/>
  <c r="NK232" i="24" s="1" a="1"/>
  <c r="NK232" i="24" s="1"/>
  <c r="I219" i="24"/>
  <c r="H219" i="24" s="1"/>
  <c r="C219" i="24" s="1"/>
  <c r="I227" i="24"/>
  <c r="H227" i="24" s="1"/>
  <c r="C227" i="24" s="1"/>
  <c r="NH216" i="24" a="1"/>
  <c r="NH216" i="24" s="1"/>
  <c r="NK216" i="24" s="1" a="1"/>
  <c r="NK216" i="24" s="1"/>
  <c r="NV217" i="24" a="1"/>
  <c r="NV217" i="24" s="1"/>
  <c r="OF217" i="24" s="1" a="1"/>
  <c r="OF217" i="24" s="1"/>
  <c r="NN221" i="24" a="1"/>
  <c r="NN221" i="24" s="1"/>
  <c r="NS221" i="24" s="1" a="1"/>
  <c r="NS221" i="24" s="1"/>
  <c r="NH223" i="24" a="1"/>
  <c r="NH223" i="24" s="1"/>
  <c r="NK223" i="24" s="1" a="1"/>
  <c r="NK223" i="24" s="1"/>
  <c r="NV226" i="24" a="1"/>
  <c r="NV226" i="24" s="1"/>
  <c r="OF226" i="24" s="1" a="1"/>
  <c r="OF226" i="24" s="1"/>
  <c r="NN228" i="24" a="1"/>
  <c r="NN228" i="24" s="1"/>
  <c r="NS228" i="24" s="1" a="1"/>
  <c r="NS228" i="24" s="1"/>
  <c r="I220" i="24"/>
  <c r="H220" i="24" s="1"/>
  <c r="C220" i="24" s="1"/>
  <c r="I228" i="24"/>
  <c r="H228" i="24" s="1"/>
  <c r="C228" i="24" s="1"/>
  <c r="NH218" i="24" a="1"/>
  <c r="NH218" i="24" s="1"/>
  <c r="NK218" i="24" s="1" a="1"/>
  <c r="NK218" i="24" s="1"/>
  <c r="NV219" i="24" a="1"/>
  <c r="NV219" i="24" s="1"/>
  <c r="OF219" i="24" s="1" a="1"/>
  <c r="OF219" i="24" s="1"/>
  <c r="NN223" i="24" a="1"/>
  <c r="NN223" i="24" s="1"/>
  <c r="NS223" i="24" s="1" a="1"/>
  <c r="NS223" i="24" s="1"/>
  <c r="NH225" i="24" a="1"/>
  <c r="NH225" i="24" s="1"/>
  <c r="NK225" i="24" s="1" a="1"/>
  <c r="NK225" i="24" s="1"/>
  <c r="NV228" i="24" a="1"/>
  <c r="NV228" i="24" s="1"/>
  <c r="OF228" i="24" s="1" a="1"/>
  <c r="OF228" i="24" s="1"/>
  <c r="NN230" i="24" a="1"/>
  <c r="NN230" i="24" s="1"/>
  <c r="NS230" i="24" s="1" a="1"/>
  <c r="NS230" i="24" s="1"/>
  <c r="NN232" i="24" a="1"/>
  <c r="NN232" i="24" s="1"/>
  <c r="NS232" i="24" s="1" a="1"/>
  <c r="NS232" i="24" s="1"/>
  <c r="I221" i="24"/>
  <c r="H221" i="24" s="1"/>
  <c r="C221" i="24" s="1"/>
  <c r="I229" i="24"/>
  <c r="H229" i="24" s="1"/>
  <c r="C229" i="24" s="1"/>
  <c r="NN216" i="24" a="1"/>
  <c r="NN216" i="24" s="1"/>
  <c r="NS216" i="24" s="1" a="1"/>
  <c r="NS216" i="24" s="1"/>
  <c r="NH220" i="24" a="1"/>
  <c r="NH220" i="24" s="1"/>
  <c r="NK220" i="24" s="1" a="1"/>
  <c r="NK220" i="24" s="1"/>
  <c r="NV221" i="24" a="1"/>
  <c r="NV221" i="24" s="1"/>
  <c r="OF221" i="24" s="1" a="1"/>
  <c r="OF221" i="24" s="1"/>
  <c r="NN225" i="24" a="1"/>
  <c r="NN225" i="24" s="1"/>
  <c r="NS225" i="24" s="1" a="1"/>
  <c r="NS225" i="24" s="1"/>
  <c r="NH227" i="24" a="1"/>
  <c r="NH227" i="24" s="1"/>
  <c r="NK227" i="24" s="1" a="1"/>
  <c r="NK227" i="24" s="1"/>
  <c r="NV230" i="24" a="1"/>
  <c r="NV230" i="24" s="1"/>
  <c r="OF230" i="24" s="1" a="1"/>
  <c r="OF230" i="24" s="1"/>
  <c r="NV232" i="24" a="1"/>
  <c r="NV232" i="24" s="1"/>
  <c r="OF232" i="24" s="1" a="1"/>
  <c r="OF232" i="24" s="1"/>
  <c r="I222" i="24"/>
  <c r="H222" i="24" s="1"/>
  <c r="C222" i="24" s="1"/>
  <c r="I230" i="24"/>
  <c r="H230" i="24" s="1"/>
  <c r="C230" i="24" s="1"/>
  <c r="NV216" i="24" a="1"/>
  <c r="NV216" i="24" s="1"/>
  <c r="OF216" i="24" s="1" a="1"/>
  <c r="OF216" i="24" s="1"/>
  <c r="NN218" i="24" a="1"/>
  <c r="NN218" i="24" s="1"/>
  <c r="NS218" i="24" s="1" a="1"/>
  <c r="NS218" i="24" s="1"/>
  <c r="NH222" i="24" a="1"/>
  <c r="NH222" i="24" s="1"/>
  <c r="NK222" i="24" s="1" a="1"/>
  <c r="NK222" i="24" s="1"/>
  <c r="NV223" i="24" a="1"/>
  <c r="NV223" i="24" s="1"/>
  <c r="OF223" i="24" s="1" a="1"/>
  <c r="OF223" i="24" s="1"/>
  <c r="NN227" i="24" a="1"/>
  <c r="NN227" i="24" s="1"/>
  <c r="NS227" i="24" s="1" a="1"/>
  <c r="NS227" i="24" s="1"/>
  <c r="NH229" i="24" a="1"/>
  <c r="NH229" i="24" s="1"/>
  <c r="NK229" i="24" s="1" a="1"/>
  <c r="NK229" i="24" s="1"/>
  <c r="NH231" i="24" a="1"/>
  <c r="NH231" i="24" s="1"/>
  <c r="NK231" i="24" s="1" a="1"/>
  <c r="NK231" i="24" s="1"/>
  <c r="I215" i="24"/>
  <c r="H215" i="24" s="1"/>
  <c r="C215" i="24" s="1"/>
  <c r="I223" i="24"/>
  <c r="H223" i="24" s="1"/>
  <c r="C223" i="24" s="1"/>
  <c r="I231" i="24"/>
  <c r="H231" i="24" s="1"/>
  <c r="C231" i="24" s="1"/>
  <c r="NH215" i="24" a="1"/>
  <c r="NH215" i="24" s="1"/>
  <c r="NK215" i="24" s="1" a="1"/>
  <c r="NK215" i="24" s="1"/>
  <c r="NV218" i="24" a="1"/>
  <c r="NV218" i="24" s="1"/>
  <c r="OF218" i="24" s="1" a="1"/>
  <c r="OF218" i="24" s="1"/>
  <c r="NN220" i="24" a="1"/>
  <c r="NN220" i="24" s="1"/>
  <c r="NS220" i="24" s="1" a="1"/>
  <c r="NS220" i="24" s="1"/>
  <c r="NH224" i="24" a="1"/>
  <c r="NH224" i="24" s="1"/>
  <c r="NK224" i="24" s="1" a="1"/>
  <c r="NK224" i="24" s="1"/>
  <c r="NV225" i="24" a="1"/>
  <c r="NV225" i="24" s="1"/>
  <c r="OF225" i="24" s="1" a="1"/>
  <c r="OF225" i="24" s="1"/>
  <c r="NN229" i="24" a="1"/>
  <c r="NN229" i="24" s="1"/>
  <c r="NS229" i="24" s="1" a="1"/>
  <c r="NS229" i="24" s="1"/>
  <c r="NN231" i="24" a="1"/>
  <c r="NN231" i="24" s="1"/>
  <c r="NS231" i="24" s="1" a="1"/>
  <c r="NS231" i="24" s="1"/>
  <c r="I216" i="24"/>
  <c r="H216" i="24" s="1"/>
  <c r="C216" i="24" s="1"/>
  <c r="I224" i="24"/>
  <c r="H224" i="24" s="1"/>
  <c r="C224" i="24" s="1"/>
  <c r="I232" i="24"/>
  <c r="H232" i="24" s="1"/>
  <c r="C232" i="24" s="1"/>
  <c r="NN215" i="24" a="1"/>
  <c r="NN215" i="24" s="1"/>
  <c r="NS215" i="24" s="1" a="1"/>
  <c r="NS215" i="24" s="1"/>
  <c r="NH217" i="24" a="1"/>
  <c r="NH217" i="24" s="1"/>
  <c r="NK217" i="24" s="1" a="1"/>
  <c r="NK217" i="24" s="1"/>
  <c r="NV220" i="24" a="1"/>
  <c r="NV220" i="24" s="1"/>
  <c r="OF220" i="24" s="1" a="1"/>
  <c r="OF220" i="24" s="1"/>
  <c r="NN222" i="24" a="1"/>
  <c r="NN222" i="24" s="1"/>
  <c r="NS222" i="24" s="1" a="1"/>
  <c r="NS222" i="24" s="1"/>
  <c r="NH226" i="24" a="1"/>
  <c r="NH226" i="24" s="1"/>
  <c r="NK226" i="24" s="1" a="1"/>
  <c r="NK226" i="24" s="1"/>
  <c r="NV227" i="24" a="1"/>
  <c r="NV227" i="24" s="1"/>
  <c r="OF227" i="24" s="1" a="1"/>
  <c r="OF227" i="24" s="1"/>
  <c r="I217" i="24"/>
  <c r="H217" i="24" s="1"/>
  <c r="C217" i="24" s="1"/>
  <c r="I225" i="24"/>
  <c r="H225" i="24" s="1"/>
  <c r="C225" i="24" s="1"/>
  <c r="NN217" i="24" a="1"/>
  <c r="NN217" i="24" s="1"/>
  <c r="NS217" i="24" s="1" a="1"/>
  <c r="NS217" i="24" s="1"/>
  <c r="NH219" i="24" a="1"/>
  <c r="NH219" i="24" s="1"/>
  <c r="NK219" i="24" s="1" a="1"/>
  <c r="NK219" i="24" s="1"/>
  <c r="NV222" i="24" a="1"/>
  <c r="NV222" i="24" s="1"/>
  <c r="OF222" i="24" s="1" a="1"/>
  <c r="OF222" i="24" s="1"/>
  <c r="NN224" i="24" a="1"/>
  <c r="NN224" i="24" s="1"/>
  <c r="NS224" i="24" s="1" a="1"/>
  <c r="NS224" i="24" s="1"/>
  <c r="NH228" i="24" a="1"/>
  <c r="NH228" i="24" s="1"/>
  <c r="NK228" i="24" s="1" a="1"/>
  <c r="NK228" i="24" s="1"/>
  <c r="NV229" i="24" a="1"/>
  <c r="NV229" i="24" s="1"/>
  <c r="OF229" i="24" s="1" a="1"/>
  <c r="OF229" i="24" s="1"/>
  <c r="NV231" i="24" a="1"/>
  <c r="NV231" i="24" s="1"/>
  <c r="OF231" i="24" s="1" a="1"/>
  <c r="OF231" i="24" s="1"/>
  <c r="I218" i="24"/>
  <c r="H218" i="24" s="1"/>
  <c r="C218" i="24" s="1"/>
  <c r="I226" i="24"/>
  <c r="H226" i="24" s="1"/>
  <c r="C226" i="24" s="1"/>
  <c r="NH208" i="24" a="1"/>
  <c r="NH208" i="24" s="1"/>
  <c r="NK208" i="24" s="1" a="1"/>
  <c r="NK208" i="24" s="1"/>
  <c r="NN212" i="24" a="1"/>
  <c r="NN212" i="24" s="1"/>
  <c r="NS212" i="24" s="1" a="1"/>
  <c r="NS212" i="24" s="1"/>
  <c r="NH214" i="24" a="1"/>
  <c r="NH214" i="24" s="1"/>
  <c r="NK214" i="24" s="1" a="1"/>
  <c r="NK214" i="24" s="1"/>
  <c r="NN209" i="24" a="1"/>
  <c r="NN209" i="24" s="1"/>
  <c r="NS209" i="24" s="1" a="1"/>
  <c r="NS209" i="24" s="1"/>
  <c r="I211" i="24"/>
  <c r="H211" i="24" s="1"/>
  <c r="C211" i="24" s="1"/>
  <c r="NN208" i="24" a="1"/>
  <c r="NN208" i="24" s="1"/>
  <c r="NS208" i="24" s="1" a="1"/>
  <c r="NS208" i="24" s="1"/>
  <c r="NH210" i="24" a="1"/>
  <c r="NH210" i="24" s="1"/>
  <c r="NK210" i="24" s="1" a="1"/>
  <c r="NK210" i="24" s="1"/>
  <c r="NN211" i="24" a="1"/>
  <c r="NN211" i="24" s="1"/>
  <c r="NS211" i="24" s="1" a="1"/>
  <c r="NS211" i="24" s="1"/>
  <c r="NV212" i="24" a="1"/>
  <c r="NV212" i="24" s="1"/>
  <c r="OF212" i="24" s="1" a="1"/>
  <c r="OF212" i="24" s="1"/>
  <c r="I210" i="24"/>
  <c r="H210" i="24" s="1"/>
  <c r="C210" i="24" s="1"/>
  <c r="NH211" i="24" a="1"/>
  <c r="NH211" i="24" s="1"/>
  <c r="NK211" i="24" s="1" a="1"/>
  <c r="NK211" i="24" s="1"/>
  <c r="NN210" i="24" a="1"/>
  <c r="NN210" i="24" s="1"/>
  <c r="NS210" i="24" s="1" a="1"/>
  <c r="NS210" i="24" s="1"/>
  <c r="NV213" i="24" a="1"/>
  <c r="NV213" i="24" s="1"/>
  <c r="OF213" i="24" s="1" a="1"/>
  <c r="OF213" i="24" s="1"/>
  <c r="I208" i="24"/>
  <c r="H208" i="24" s="1"/>
  <c r="C208" i="24" s="1"/>
  <c r="I212" i="24"/>
  <c r="H212" i="24" s="1"/>
  <c r="C212" i="24" s="1"/>
  <c r="NV208" i="24" a="1"/>
  <c r="NV208" i="24" s="1"/>
  <c r="OF208" i="24" s="1" a="1"/>
  <c r="OF208" i="24" s="1"/>
  <c r="NH213" i="24" a="1"/>
  <c r="NH213" i="24" s="1"/>
  <c r="NK213" i="24" s="1" a="1"/>
  <c r="NK213" i="24" s="1"/>
  <c r="NN214" i="24" a="1"/>
  <c r="NN214" i="24" s="1"/>
  <c r="NS214" i="24" s="1" a="1"/>
  <c r="NS214" i="24" s="1"/>
  <c r="I214" i="24"/>
  <c r="H214" i="24" s="1"/>
  <c r="C214" i="24" s="1"/>
  <c r="NV211" i="24" a="1"/>
  <c r="NV211" i="24" s="1"/>
  <c r="OF211" i="24" s="1" a="1"/>
  <c r="OF211" i="24" s="1"/>
  <c r="NV214" i="24" a="1"/>
  <c r="NV214" i="24" s="1"/>
  <c r="OF214" i="24" s="1" a="1"/>
  <c r="OF214" i="24" s="1"/>
  <c r="I209" i="24"/>
  <c r="H209" i="24" s="1"/>
  <c r="C209" i="24" s="1"/>
  <c r="I213" i="24"/>
  <c r="H213" i="24" s="1"/>
  <c r="C213" i="24" s="1"/>
  <c r="NH209" i="24" a="1"/>
  <c r="NH209" i="24" s="1"/>
  <c r="NK209" i="24" s="1" a="1"/>
  <c r="NK209" i="24" s="1"/>
  <c r="NV210" i="24" a="1"/>
  <c r="NV210" i="24" s="1"/>
  <c r="OF210" i="24" s="1" a="1"/>
  <c r="OF210" i="24" s="1"/>
  <c r="NN213" i="24" a="1"/>
  <c r="NN213" i="24" s="1"/>
  <c r="NS213" i="24" s="1" a="1"/>
  <c r="NS213" i="24" s="1"/>
  <c r="NH212" i="24" a="1"/>
  <c r="NH212" i="24" s="1"/>
  <c r="NK212" i="24" s="1" a="1"/>
  <c r="NK212" i="24" s="1"/>
  <c r="NV209" i="24" a="1"/>
  <c r="NV209" i="24" s="1"/>
  <c r="OF209" i="24" s="1" a="1"/>
  <c r="OF209" i="24" s="1"/>
  <c r="NN185" i="24" a="1"/>
  <c r="NN185" i="24" s="1"/>
  <c r="NS185" i="24" s="1" a="1"/>
  <c r="NS185" i="24" s="1"/>
  <c r="NH189" i="24" a="1"/>
  <c r="NH189" i="24" s="1"/>
  <c r="NK189" i="24" s="1" a="1"/>
  <c r="NK189" i="24" s="1"/>
  <c r="NH193" i="24" a="1"/>
  <c r="NH193" i="24" s="1"/>
  <c r="NK193" i="24" s="1" a="1"/>
  <c r="NK193" i="24" s="1"/>
  <c r="NH202" i="24" a="1"/>
  <c r="NH202" i="24" s="1"/>
  <c r="NK202" i="24" s="1" a="1"/>
  <c r="NK202" i="24" s="1"/>
  <c r="I202" i="24"/>
  <c r="H202" i="24" s="1"/>
  <c r="C202" i="24" s="1"/>
  <c r="NH190" i="24" a="1"/>
  <c r="NH190" i="24" s="1"/>
  <c r="NK190" i="24" s="1" a="1"/>
  <c r="NK190" i="24" s="1"/>
  <c r="I194" i="24"/>
  <c r="H194" i="24" s="1"/>
  <c r="C194" i="24" s="1"/>
  <c r="I203" i="24"/>
  <c r="H203" i="24" s="1"/>
  <c r="C203" i="24" s="1"/>
  <c r="NH196" i="24" a="1"/>
  <c r="NH196" i="24" s="1"/>
  <c r="NK196" i="24" s="1" a="1"/>
  <c r="NK196" i="24" s="1"/>
  <c r="NH199" i="24" a="1"/>
  <c r="NH199" i="24" s="1"/>
  <c r="NK199" i="24" s="1" a="1"/>
  <c r="NK199" i="24" s="1"/>
  <c r="I189" i="24"/>
  <c r="H189" i="24" s="1"/>
  <c r="C189" i="24" s="1"/>
  <c r="I193" i="24"/>
  <c r="H193" i="24" s="1"/>
  <c r="C193" i="24" s="1"/>
  <c r="I198" i="24"/>
  <c r="H198" i="24" s="1"/>
  <c r="C198" i="24" s="1"/>
  <c r="I207" i="24"/>
  <c r="H207" i="24" s="1"/>
  <c r="C207" i="24" s="1"/>
  <c r="NH205" i="24" a="1"/>
  <c r="NH205" i="24" s="1"/>
  <c r="NK205" i="24" s="1" a="1"/>
  <c r="NK205" i="24" s="1"/>
  <c r="NH197" i="24" a="1"/>
  <c r="NH197" i="24" s="1"/>
  <c r="NK197" i="24" s="1" a="1"/>
  <c r="NK197" i="24" s="1"/>
  <c r="NH201" i="24" a="1"/>
  <c r="NH201" i="24" s="1"/>
  <c r="NK201" i="24" s="1" a="1"/>
  <c r="NK201" i="24" s="1"/>
  <c r="I191" i="24"/>
  <c r="H191" i="24" s="1"/>
  <c r="C191" i="24" s="1"/>
  <c r="I196" i="24"/>
  <c r="H196" i="24" s="1"/>
  <c r="C196" i="24" s="1"/>
  <c r="I200" i="24"/>
  <c r="H200" i="24" s="1"/>
  <c r="C200" i="24" s="1"/>
  <c r="I205" i="24"/>
  <c r="H205" i="24" s="1"/>
  <c r="C205" i="24" s="1"/>
  <c r="NH192" i="24" a="1"/>
  <c r="NH192" i="24" s="1"/>
  <c r="NK192" i="24" s="1" a="1"/>
  <c r="NK192" i="24" s="1"/>
  <c r="NH195" i="24" a="1"/>
  <c r="NH195" i="24" s="1"/>
  <c r="NK195" i="24" s="1" a="1"/>
  <c r="NK195" i="24" s="1"/>
  <c r="NH204" i="24" a="1"/>
  <c r="NH204" i="24" s="1"/>
  <c r="NK204" i="24" s="1" a="1"/>
  <c r="NK204" i="24" s="1"/>
  <c r="NH198" i="24" a="1"/>
  <c r="NH198" i="24" s="1"/>
  <c r="NK198" i="24" s="1" a="1"/>
  <c r="NK198" i="24" s="1"/>
  <c r="NH194" i="24" a="1"/>
  <c r="NH194" i="24" s="1"/>
  <c r="NK194" i="24" s="1" a="1"/>
  <c r="NK194" i="24" s="1"/>
  <c r="NH200" i="24" a="1"/>
  <c r="NH200" i="24" s="1"/>
  <c r="NK200" i="24" s="1" a="1"/>
  <c r="NK200" i="24" s="1"/>
  <c r="NH203" i="24" a="1"/>
  <c r="NH203" i="24" s="1"/>
  <c r="NK203" i="24" s="1" a="1"/>
  <c r="NK203" i="24" s="1"/>
  <c r="I190" i="24"/>
  <c r="H190" i="24" s="1"/>
  <c r="C190" i="24" s="1"/>
  <c r="I199" i="24"/>
  <c r="H199" i="24" s="1"/>
  <c r="C199" i="24" s="1"/>
  <c r="I204" i="24"/>
  <c r="H204" i="24" s="1"/>
  <c r="C204" i="24" s="1"/>
  <c r="I192" i="24"/>
  <c r="H192" i="24" s="1"/>
  <c r="C192" i="24" s="1"/>
  <c r="I197" i="24"/>
  <c r="H197" i="24" s="1"/>
  <c r="C197" i="24" s="1"/>
  <c r="I201" i="24"/>
  <c r="H201" i="24" s="1"/>
  <c r="C201" i="24" s="1"/>
  <c r="I206" i="24"/>
  <c r="H206" i="24" s="1"/>
  <c r="C206" i="24" s="1"/>
  <c r="NH191" i="24" a="1"/>
  <c r="NH191" i="24" s="1"/>
  <c r="NK191" i="24" s="1" a="1"/>
  <c r="NK191" i="24" s="1"/>
  <c r="NH206" i="24" a="1"/>
  <c r="NH206" i="24" s="1"/>
  <c r="NK206" i="24" s="1" a="1"/>
  <c r="NK206" i="24" s="1"/>
  <c r="I195" i="24"/>
  <c r="H195" i="24" s="1"/>
  <c r="C195" i="24" s="1"/>
  <c r="NH207" i="24" a="1"/>
  <c r="NH207" i="24" s="1"/>
  <c r="NK207" i="24" s="1" a="1"/>
  <c r="NK207" i="24" s="1"/>
  <c r="NV201" i="24" a="1"/>
  <c r="NV201" i="24" s="1"/>
  <c r="OF201" i="24" s="1" a="1"/>
  <c r="OF201" i="24" s="1"/>
  <c r="NV191" i="24" a="1"/>
  <c r="NV191" i="24" s="1"/>
  <c r="OF191" i="24" s="1" a="1"/>
  <c r="OF191" i="24" s="1"/>
  <c r="NN190" i="24" a="1"/>
  <c r="NN190" i="24" s="1"/>
  <c r="NS190" i="24" s="1" a="1"/>
  <c r="NS190" i="24" s="1"/>
  <c r="NN195" i="24" a="1"/>
  <c r="NN195" i="24" s="1"/>
  <c r="NS195" i="24" s="1" a="1"/>
  <c r="NS195" i="24" s="1"/>
  <c r="NN194" i="24" a="1"/>
  <c r="NN194" i="24" s="1"/>
  <c r="NS194" i="24" s="1" a="1"/>
  <c r="NS194" i="24" s="1"/>
  <c r="NV194" i="24" a="1"/>
  <c r="NV194" i="24" s="1"/>
  <c r="OF194" i="24" s="1" a="1"/>
  <c r="OF194" i="24" s="1"/>
  <c r="NV190" i="24" a="1"/>
  <c r="NV190" i="24" s="1"/>
  <c r="OF190" i="24" s="1" a="1"/>
  <c r="OF190" i="24" s="1"/>
  <c r="NV192" i="24" a="1"/>
  <c r="NV192" i="24" s="1"/>
  <c r="OF192" i="24" s="1" a="1"/>
  <c r="OF192" i="24" s="1"/>
  <c r="NN193" i="24" a="1"/>
  <c r="NN193" i="24" s="1"/>
  <c r="NS193" i="24" s="1" a="1"/>
  <c r="NS193" i="24" s="1"/>
  <c r="NN202" i="24" a="1"/>
  <c r="NN202" i="24" s="1"/>
  <c r="NS202" i="24" s="1" a="1"/>
  <c r="NS202" i="24" s="1"/>
  <c r="NV193" i="24" a="1"/>
  <c r="NV193" i="24" s="1"/>
  <c r="OF193" i="24" s="1" a="1"/>
  <c r="OF193" i="24" s="1"/>
  <c r="NN205" i="24" a="1"/>
  <c r="NN205" i="24" s="1"/>
  <c r="NS205" i="24" s="1" a="1"/>
  <c r="NS205" i="24" s="1"/>
  <c r="NN189" i="24" a="1"/>
  <c r="NN189" i="24" s="1"/>
  <c r="NS189" i="24" s="1" a="1"/>
  <c r="NS189" i="24" s="1"/>
  <c r="NV205" i="24" a="1"/>
  <c r="NV205" i="24" s="1"/>
  <c r="OF205" i="24" s="1" a="1"/>
  <c r="OF205" i="24" s="1"/>
  <c r="NV198" i="24" a="1"/>
  <c r="NV198" i="24" s="1"/>
  <c r="OF198" i="24" s="1" a="1"/>
  <c r="OF198" i="24" s="1"/>
  <c r="NV195" i="24" a="1"/>
  <c r="NV195" i="24" s="1"/>
  <c r="OF195" i="24" s="1" a="1"/>
  <c r="OF195" i="24" s="1"/>
  <c r="NN197" i="24" a="1"/>
  <c r="NN197" i="24" s="1"/>
  <c r="NS197" i="24" s="1" a="1"/>
  <c r="NS197" i="24" s="1"/>
  <c r="NN207" i="24" a="1"/>
  <c r="NN207" i="24" s="1"/>
  <c r="NS207" i="24" s="1" a="1"/>
  <c r="NS207" i="24" s="1"/>
  <c r="NV199" i="24" a="1"/>
  <c r="NV199" i="24" s="1"/>
  <c r="OF199" i="24" s="1" a="1"/>
  <c r="OF199" i="24" s="1"/>
  <c r="NV203" i="24" a="1"/>
  <c r="NV203" i="24" s="1"/>
  <c r="OF203" i="24" s="1" a="1"/>
  <c r="OF203" i="24" s="1"/>
  <c r="NV206" i="24" a="1"/>
  <c r="NV206" i="24" s="1"/>
  <c r="OF206" i="24" s="1" a="1"/>
  <c r="OF206" i="24" s="1"/>
  <c r="NV200" i="24" a="1"/>
  <c r="NV200" i="24" s="1"/>
  <c r="OF200" i="24" s="1" a="1"/>
  <c r="OF200" i="24" s="1"/>
  <c r="NV197" i="24" a="1"/>
  <c r="NV197" i="24" s="1"/>
  <c r="OF197" i="24" s="1" a="1"/>
  <c r="OF197" i="24" s="1"/>
  <c r="NV189" i="24" a="1"/>
  <c r="NV189" i="24" s="1"/>
  <c r="OF189" i="24" s="1" a="1"/>
  <c r="OF189" i="24" s="1"/>
  <c r="NN203" i="24" a="1"/>
  <c r="NN203" i="24" s="1"/>
  <c r="NS203" i="24" s="1" a="1"/>
  <c r="NS203" i="24" s="1"/>
  <c r="NN191" i="24" a="1"/>
  <c r="NN191" i="24" s="1"/>
  <c r="NS191" i="24" s="1" a="1"/>
  <c r="NS191" i="24" s="1"/>
  <c r="NN199" i="24" a="1"/>
  <c r="NN199" i="24" s="1"/>
  <c r="NS199" i="24" s="1" a="1"/>
  <c r="NS199" i="24" s="1"/>
  <c r="NV204" i="24" a="1"/>
  <c r="NV204" i="24" s="1"/>
  <c r="OF204" i="24" s="1" a="1"/>
  <c r="OF204" i="24" s="1"/>
  <c r="NV202" i="24" a="1"/>
  <c r="NV202" i="24" s="1"/>
  <c r="OF202" i="24" s="1" a="1"/>
  <c r="OF202" i="24" s="1"/>
  <c r="NN204" i="24" a="1"/>
  <c r="NN204" i="24" s="1"/>
  <c r="NS204" i="24" s="1" a="1"/>
  <c r="NS204" i="24" s="1"/>
  <c r="NN196" i="24" a="1"/>
  <c r="NN196" i="24" s="1"/>
  <c r="NS196" i="24" s="1" a="1"/>
  <c r="NS196" i="24" s="1"/>
  <c r="NN198" i="24" a="1"/>
  <c r="NN198" i="24" s="1"/>
  <c r="NS198" i="24" s="1" a="1"/>
  <c r="NS198" i="24" s="1"/>
  <c r="NN200" i="24" a="1"/>
  <c r="NN200" i="24" s="1"/>
  <c r="NS200" i="24" s="1" a="1"/>
  <c r="NS200" i="24" s="1"/>
  <c r="NV207" i="24" a="1"/>
  <c r="NV207" i="24" s="1"/>
  <c r="OF207" i="24" s="1" a="1"/>
  <c r="OF207" i="24" s="1"/>
  <c r="NV196" i="24" a="1"/>
  <c r="NV196" i="24" s="1"/>
  <c r="OF196" i="24" s="1" a="1"/>
  <c r="OF196" i="24" s="1"/>
  <c r="NN192" i="24" a="1"/>
  <c r="NN192" i="24" s="1"/>
  <c r="NS192" i="24" s="1" a="1"/>
  <c r="NS192" i="24" s="1"/>
  <c r="NN206" i="24" a="1"/>
  <c r="NN206" i="24" s="1"/>
  <c r="NS206" i="24" s="1" a="1"/>
  <c r="NS206" i="24" s="1"/>
  <c r="NN201" i="24" a="1"/>
  <c r="NN201" i="24" s="1"/>
  <c r="NS201" i="24" s="1" a="1"/>
  <c r="NS201" i="24" s="1"/>
  <c r="NV103" i="24" a="1"/>
  <c r="NV103" i="24" s="1"/>
  <c r="NV117" i="24" a="1"/>
  <c r="NV117" i="24" s="1"/>
  <c r="NV111" i="24" a="1"/>
  <c r="NV111" i="24" s="1"/>
  <c r="NV172" i="24" a="1"/>
  <c r="NV172" i="24" s="1"/>
  <c r="NV125" i="24" a="1"/>
  <c r="NV125" i="24" s="1"/>
  <c r="NV136" i="24" a="1"/>
  <c r="NV136" i="24" s="1"/>
  <c r="NV147" i="24" a="1"/>
  <c r="NV147" i="24" s="1"/>
  <c r="NV149" i="24" a="1"/>
  <c r="NV149" i="24" s="1"/>
  <c r="NN138" i="24" a="1"/>
  <c r="NN138" i="24" s="1"/>
  <c r="NN93" i="24" a="1"/>
  <c r="NN93" i="24" s="1"/>
  <c r="NN129" i="24" a="1"/>
  <c r="NN129" i="24" s="1"/>
  <c r="NN106" i="24" a="1"/>
  <c r="NN106" i="24" s="1"/>
  <c r="NN116" i="24" a="1"/>
  <c r="NN116" i="24" s="1"/>
  <c r="NN159" i="24" a="1"/>
  <c r="NN159" i="24" s="1"/>
  <c r="NS159" i="24" s="1" a="1"/>
  <c r="NS159" i="24" s="1"/>
  <c r="NN126" i="24" a="1"/>
  <c r="NN126" i="24" s="1"/>
  <c r="NN121" i="24" a="1"/>
  <c r="NN121" i="24" s="1"/>
  <c r="NN176" i="24" a="1"/>
  <c r="NN176" i="24" s="1"/>
  <c r="NS176" i="24" s="1" a="1"/>
  <c r="NS176" i="24" s="1"/>
  <c r="NN165" i="24" a="1"/>
  <c r="NN165" i="24" s="1"/>
  <c r="NN162" i="24" a="1"/>
  <c r="NN162" i="24" s="1"/>
  <c r="NV183" i="24" a="1"/>
  <c r="NV183" i="24" s="1"/>
  <c r="OF183" i="24" s="1" a="1"/>
  <c r="OF183" i="24" s="1"/>
  <c r="NV186" i="24" a="1"/>
  <c r="NV186" i="24" s="1"/>
  <c r="OF186" i="24" s="1" a="1"/>
  <c r="OF186" i="24" s="1"/>
  <c r="NV124" i="24" a="1"/>
  <c r="NV124" i="24" s="1"/>
  <c r="NV110" i="24" a="1"/>
  <c r="NV110" i="24" s="1"/>
  <c r="NV156" i="24" a="1"/>
  <c r="NV156" i="24" s="1"/>
  <c r="NV131" i="24" a="1"/>
  <c r="NV131" i="24" s="1"/>
  <c r="NV150" i="24" a="1"/>
  <c r="NV150" i="24" s="1"/>
  <c r="NN149" i="24" a="1"/>
  <c r="NN149" i="24" s="1"/>
  <c r="NN102" i="24" a="1"/>
  <c r="NN102" i="24" s="1"/>
  <c r="NN131" i="24" a="1"/>
  <c r="NN131" i="24" s="1"/>
  <c r="NN134" i="24" a="1"/>
  <c r="NN134" i="24" s="1"/>
  <c r="NS134" i="24" s="1" a="1"/>
  <c r="NS134" i="24" s="1"/>
  <c r="NN124" i="24" a="1"/>
  <c r="NN124" i="24" s="1"/>
  <c r="NN164" i="24" a="1"/>
  <c r="NN164" i="24" s="1"/>
  <c r="NN133" i="24" a="1"/>
  <c r="NN133" i="24" s="1"/>
  <c r="NN130" i="24" a="1"/>
  <c r="NN130" i="24" s="1"/>
  <c r="NN150" i="24" a="1"/>
  <c r="NN150" i="24" s="1"/>
  <c r="NN173" i="24" a="1"/>
  <c r="NN173" i="24" s="1"/>
  <c r="NN170" i="24" a="1"/>
  <c r="NN170" i="24" s="1"/>
  <c r="NN180" i="24" a="1"/>
  <c r="NN180" i="24" s="1"/>
  <c r="NS180" i="24" s="1" a="1"/>
  <c r="NS180" i="24" s="1"/>
  <c r="NV180" i="24" a="1"/>
  <c r="NV180" i="24" s="1"/>
  <c r="OF180" i="24" s="1" a="1"/>
  <c r="OF180" i="24" s="1"/>
  <c r="NV145" i="24" a="1"/>
  <c r="NV145" i="24" s="1"/>
  <c r="NV95" i="24" a="1"/>
  <c r="NV95" i="24" s="1"/>
  <c r="NV121" i="24" a="1"/>
  <c r="NV121" i="24" s="1"/>
  <c r="NV132" i="24" a="1"/>
  <c r="NV132" i="24" s="1"/>
  <c r="NV152" i="24" a="1"/>
  <c r="NV152" i="24" s="1"/>
  <c r="NV146" i="24" a="1"/>
  <c r="NV146" i="24" s="1"/>
  <c r="NV115" i="24" a="1"/>
  <c r="NV115" i="24" s="1"/>
  <c r="NV105" i="24" a="1"/>
  <c r="NV105" i="24" s="1"/>
  <c r="NV123" i="24" a="1"/>
  <c r="NV123" i="24" s="1"/>
  <c r="NV130" i="24" a="1"/>
  <c r="NV130" i="24" s="1"/>
  <c r="NV159" i="24" a="1"/>
  <c r="NV159" i="24" s="1"/>
  <c r="NV142" i="24" a="1"/>
  <c r="NV142" i="24" s="1"/>
  <c r="NV138" i="24" a="1"/>
  <c r="NV138" i="24" s="1"/>
  <c r="NV160" i="24" a="1"/>
  <c r="NV160" i="24" s="1"/>
  <c r="NV158" i="24" a="1"/>
  <c r="NV158" i="24" s="1"/>
  <c r="NN109" i="24" a="1"/>
  <c r="NN109" i="24" s="1"/>
  <c r="NN103" i="24" a="1"/>
  <c r="NN103" i="24" s="1"/>
  <c r="NS103" i="24" s="1" a="1"/>
  <c r="NS103" i="24" s="1"/>
  <c r="NN98" i="24" a="1"/>
  <c r="NN98" i="24" s="1"/>
  <c r="NN95" i="24" a="1"/>
  <c r="NN95" i="24" s="1"/>
  <c r="NN125" i="24" a="1"/>
  <c r="NN125" i="24" s="1"/>
  <c r="NN167" i="24" a="1"/>
  <c r="NN167" i="24" s="1"/>
  <c r="NN153" i="24" a="1"/>
  <c r="NN153" i="24" s="1"/>
  <c r="NN137" i="24" a="1"/>
  <c r="NN137" i="24" s="1"/>
  <c r="NN158" i="24" a="1"/>
  <c r="NN158" i="24" s="1"/>
  <c r="NN143" i="24" a="1"/>
  <c r="NN143" i="24" s="1"/>
  <c r="NN177" i="24" a="1"/>
  <c r="NN177" i="24" s="1"/>
  <c r="NN188" i="24" a="1"/>
  <c r="NN188" i="24" s="1"/>
  <c r="NS188" i="24" s="1" a="1"/>
  <c r="NS188" i="24" s="1"/>
  <c r="NV188" i="24" a="1"/>
  <c r="NV188" i="24" s="1"/>
  <c r="OF188" i="24" s="1" a="1"/>
  <c r="OF188" i="24" s="1"/>
  <c r="NV108" i="24" a="1"/>
  <c r="NV108" i="24" s="1"/>
  <c r="NV106" i="24" a="1"/>
  <c r="NV106" i="24" s="1"/>
  <c r="NV114" i="24" a="1"/>
  <c r="NV114" i="24" s="1"/>
  <c r="NV93" i="24" a="1"/>
  <c r="NV93" i="24" s="1"/>
  <c r="NV98" i="24" a="1"/>
  <c r="NV98" i="24" s="1"/>
  <c r="NV128" i="24" a="1"/>
  <c r="NV128" i="24" s="1"/>
  <c r="NV116" i="24" a="1"/>
  <c r="NV116" i="24" s="1"/>
  <c r="NV133" i="24" a="1"/>
  <c r="NV133" i="24" s="1"/>
  <c r="NV119" i="24" a="1"/>
  <c r="NV119" i="24" s="1"/>
  <c r="NV164" i="24" a="1"/>
  <c r="NV164" i="24" s="1"/>
  <c r="NV127" i="24" a="1"/>
  <c r="NV127" i="24" s="1"/>
  <c r="NV171" i="24" a="1"/>
  <c r="NV171" i="24" s="1"/>
  <c r="NV168" i="24" a="1"/>
  <c r="NV168" i="24" s="1"/>
  <c r="NV166" i="24" a="1"/>
  <c r="NV166" i="24" s="1"/>
  <c r="NN96" i="24" a="1"/>
  <c r="NN96" i="24" s="1"/>
  <c r="NN97" i="24" a="1"/>
  <c r="NN97" i="24" s="1"/>
  <c r="NN104" i="24" a="1"/>
  <c r="NN104" i="24" s="1"/>
  <c r="NN99" i="24" a="1"/>
  <c r="NN99" i="24" s="1"/>
  <c r="NN120" i="24" a="1"/>
  <c r="NN120" i="24" s="1"/>
  <c r="NN175" i="24" a="1"/>
  <c r="NN175" i="24" s="1"/>
  <c r="NN161" i="24" a="1"/>
  <c r="NN161" i="24" s="1"/>
  <c r="NN144" i="24" a="1"/>
  <c r="NN144" i="24" s="1"/>
  <c r="NN166" i="24" a="1"/>
  <c r="NN166" i="24" s="1"/>
  <c r="NN147" i="24" a="1"/>
  <c r="NN147" i="24" s="1"/>
  <c r="NN94" i="24" a="1"/>
  <c r="NN94" i="24" s="1"/>
  <c r="NV184" i="24" a="1"/>
  <c r="NV184" i="24" s="1"/>
  <c r="OF184" i="24" s="1" a="1"/>
  <c r="OF184" i="24" s="1"/>
  <c r="J5" i="24"/>
  <c r="NH184" i="24" a="1"/>
  <c r="NH184" i="24" s="1"/>
  <c r="NK184" i="24" s="1" a="1"/>
  <c r="NK184" i="24" s="1"/>
  <c r="I188" i="24"/>
  <c r="H188" i="24" s="1"/>
  <c r="C188" i="24" s="1"/>
  <c r="I184" i="24"/>
  <c r="H184" i="24" s="1"/>
  <c r="C184" i="24" s="1"/>
  <c r="NH177" i="24" a="1"/>
  <c r="NH177" i="24" s="1"/>
  <c r="NK177" i="24" s="1" a="1"/>
  <c r="NK177" i="24" s="1"/>
  <c r="NL177" i="24" s="1" a="1"/>
  <c r="NL177" i="24" s="1"/>
  <c r="NH172" i="24" a="1"/>
  <c r="NH172" i="24" s="1"/>
  <c r="NK172" i="24" s="1" a="1"/>
  <c r="NK172" i="24" s="1"/>
  <c r="NL172" i="24" s="1" a="1"/>
  <c r="NL172" i="24" s="1"/>
  <c r="I170" i="24"/>
  <c r="H170" i="24" s="1"/>
  <c r="C170" i="24" s="1"/>
  <c r="NH159" i="24" a="1"/>
  <c r="NH159" i="24" s="1"/>
  <c r="NK159" i="24" s="1" a="1"/>
  <c r="NK159" i="24" s="1"/>
  <c r="NL159" i="24" s="1" a="1"/>
  <c r="NL159" i="24" s="1"/>
  <c r="I157" i="24"/>
  <c r="H157" i="24" s="1"/>
  <c r="C157" i="24" s="1"/>
  <c r="NH152" i="24" a="1"/>
  <c r="NH152" i="24" s="1"/>
  <c r="NK152" i="24" s="1" a="1"/>
  <c r="NK152" i="24" s="1"/>
  <c r="NL152" i="24" s="1" a="1"/>
  <c r="NL152" i="24" s="1"/>
  <c r="I150" i="24"/>
  <c r="H150" i="24" s="1"/>
  <c r="C150" i="24" s="1"/>
  <c r="NH145" i="24" a="1"/>
  <c r="NH145" i="24" s="1"/>
  <c r="NK145" i="24" s="1" a="1"/>
  <c r="NK145" i="24" s="1"/>
  <c r="NL145" i="24" s="1" a="1"/>
  <c r="NL145" i="24" s="1"/>
  <c r="NH138" i="24" a="1"/>
  <c r="NH138" i="24" s="1"/>
  <c r="NK138" i="24" s="1" a="1"/>
  <c r="NK138" i="24" s="1"/>
  <c r="NL138" i="24" s="1" a="1"/>
  <c r="NL138" i="24" s="1"/>
  <c r="NH133" i="24" a="1"/>
  <c r="NH133" i="24" s="1"/>
  <c r="NH128" i="24" a="1"/>
  <c r="NH128" i="24" s="1"/>
  <c r="NK128" i="24" s="1" a="1"/>
  <c r="NK128" i="24" s="1"/>
  <c r="NL128" i="24" s="1" a="1"/>
  <c r="NL128" i="24" s="1"/>
  <c r="NH123" i="24" a="1"/>
  <c r="NH123" i="24" s="1"/>
  <c r="NK123" i="24" s="1" a="1"/>
  <c r="NK123" i="24" s="1"/>
  <c r="NL123" i="24" s="1" a="1"/>
  <c r="NL123" i="24" s="1"/>
  <c r="I118" i="24"/>
  <c r="H118" i="24" s="1"/>
  <c r="C118" i="24" s="1"/>
  <c r="NH113" i="24" a="1"/>
  <c r="NH113" i="24" s="1"/>
  <c r="NH111" i="24" a="1"/>
  <c r="NH111" i="24" s="1"/>
  <c r="NK111" i="24" s="1" a="1"/>
  <c r="NK111" i="24" s="1"/>
  <c r="NL111" i="24" s="1" a="1"/>
  <c r="NL111" i="24" s="1"/>
  <c r="I109" i="24"/>
  <c r="H109" i="24" s="1"/>
  <c r="C109" i="24" s="1"/>
  <c r="I107" i="24"/>
  <c r="H107" i="24" s="1"/>
  <c r="C107" i="24" s="1"/>
  <c r="NH102" i="24" a="1"/>
  <c r="NH102" i="24" s="1"/>
  <c r="NK102" i="24" s="1" a="1"/>
  <c r="NK102" i="24" s="1"/>
  <c r="NL102" i="24" s="1" a="1"/>
  <c r="NL102" i="24" s="1"/>
  <c r="NH100" i="24" a="1"/>
  <c r="NH100" i="24" s="1"/>
  <c r="NK100" i="24" s="1" a="1"/>
  <c r="NK100" i="24" s="1"/>
  <c r="NL100" i="24" s="1" a="1"/>
  <c r="NL100" i="24" s="1"/>
  <c r="I98" i="24"/>
  <c r="H98" i="24" s="1"/>
  <c r="C98" i="24" s="1"/>
  <c r="I93" i="24"/>
  <c r="H93" i="24" s="1"/>
  <c r="C93" i="24" s="1"/>
  <c r="NH185" i="24" a="1"/>
  <c r="NH185" i="24" s="1"/>
  <c r="NK185" i="24" s="1" a="1"/>
  <c r="NK185" i="24" s="1"/>
  <c r="I180" i="24"/>
  <c r="H180" i="24" s="1"/>
  <c r="C180" i="24" s="1"/>
  <c r="I177" i="24"/>
  <c r="H177" i="24" s="1"/>
  <c r="C177" i="24" s="1"/>
  <c r="NH174" i="24" a="1"/>
  <c r="NH174" i="24" s="1"/>
  <c r="NK174" i="24" s="1" a="1"/>
  <c r="NK174" i="24" s="1"/>
  <c r="NL174" i="24" s="1" a="1"/>
  <c r="NL174" i="24" s="1"/>
  <c r="I172" i="24"/>
  <c r="H172" i="24" s="1"/>
  <c r="C172" i="24" s="1"/>
  <c r="NH167" i="24" a="1"/>
  <c r="NH167" i="24" s="1"/>
  <c r="NK167" i="24" s="1" a="1"/>
  <c r="NK167" i="24" s="1"/>
  <c r="NL167" i="24" s="1" a="1"/>
  <c r="NL167" i="24" s="1"/>
  <c r="NH165" i="24" a="1"/>
  <c r="NH165" i="24" s="1"/>
  <c r="NK165" i="24" s="1" a="1"/>
  <c r="NK165" i="24" s="1"/>
  <c r="NL165" i="24" s="1" a="1"/>
  <c r="NL165" i="24" s="1"/>
  <c r="NH163" i="24" a="1"/>
  <c r="NH163" i="24" s="1"/>
  <c r="NK163" i="24" s="1" a="1"/>
  <c r="NK163" i="24" s="1"/>
  <c r="NL163" i="24" s="1" a="1"/>
  <c r="NL163" i="24" s="1"/>
  <c r="NH161" i="24" a="1"/>
  <c r="NH161" i="24" s="1"/>
  <c r="NK161" i="24" s="1" a="1"/>
  <c r="NK161" i="24" s="1"/>
  <c r="NL161" i="24" s="1" a="1"/>
  <c r="NL161" i="24" s="1"/>
  <c r="I159" i="24"/>
  <c r="H159" i="24" s="1"/>
  <c r="C159" i="24" s="1"/>
  <c r="NH154" i="24" a="1"/>
  <c r="NH154" i="24" s="1"/>
  <c r="NK154" i="24" s="1" a="1"/>
  <c r="NK154" i="24" s="1"/>
  <c r="NL154" i="24" s="1" a="1"/>
  <c r="NL154" i="24" s="1"/>
  <c r="I152" i="24"/>
  <c r="H152" i="24" s="1"/>
  <c r="C152" i="24" s="1"/>
  <c r="NH147" i="24" a="1"/>
  <c r="NH147" i="24" s="1"/>
  <c r="NK147" i="24" s="1" a="1"/>
  <c r="NK147" i="24" s="1"/>
  <c r="NL147" i="24" s="1" a="1"/>
  <c r="NL147" i="24" s="1"/>
  <c r="I145" i="24"/>
  <c r="H145" i="24" s="1"/>
  <c r="C145" i="24" s="1"/>
  <c r="NH140" i="24" a="1"/>
  <c r="NH140" i="24" s="1"/>
  <c r="NK140" i="24" s="1" a="1"/>
  <c r="NK140" i="24" s="1"/>
  <c r="NL140" i="24" s="1" a="1"/>
  <c r="NL140" i="24" s="1"/>
  <c r="I138" i="24"/>
  <c r="H138" i="24" s="1"/>
  <c r="C138" i="24" s="1"/>
  <c r="NH135" i="24" a="1"/>
  <c r="NH135" i="24" s="1"/>
  <c r="NK135" i="24" s="1" a="1"/>
  <c r="NK135" i="24" s="1"/>
  <c r="NL135" i="24" s="1" a="1"/>
  <c r="NL135" i="24" s="1"/>
  <c r="I133" i="24"/>
  <c r="H133" i="24" s="1"/>
  <c r="C133" i="24" s="1"/>
  <c r="I128" i="24"/>
  <c r="H128" i="24" s="1"/>
  <c r="C128" i="24" s="1"/>
  <c r="NH125" i="24" a="1"/>
  <c r="NH125" i="24" s="1"/>
  <c r="NK125" i="24" s="1" a="1"/>
  <c r="NK125" i="24" s="1"/>
  <c r="NL125" i="24" s="1" a="1"/>
  <c r="NL125" i="24" s="1"/>
  <c r="I123" i="24"/>
  <c r="H123" i="24" s="1"/>
  <c r="C123" i="24" s="1"/>
  <c r="NH120" i="24" a="1"/>
  <c r="NH120" i="24" s="1"/>
  <c r="NK120" i="24" s="1" a="1"/>
  <c r="NK120" i="24" s="1"/>
  <c r="NL120" i="24" s="1" a="1"/>
  <c r="NL120" i="24" s="1"/>
  <c r="NH115" i="24" a="1"/>
  <c r="NH115" i="24" s="1"/>
  <c r="NK115" i="24" s="1" a="1"/>
  <c r="NK115" i="24" s="1"/>
  <c r="NL115" i="24" s="1" a="1"/>
  <c r="NL115" i="24" s="1"/>
  <c r="I113" i="24"/>
  <c r="H113" i="24" s="1"/>
  <c r="C113" i="24" s="1"/>
  <c r="I111" i="24"/>
  <c r="H111" i="24" s="1"/>
  <c r="C111" i="24" s="1"/>
  <c r="I102" i="24"/>
  <c r="H102" i="24" s="1"/>
  <c r="C102" i="24" s="1"/>
  <c r="I100" i="24"/>
  <c r="H100" i="24" s="1"/>
  <c r="C100" i="24" s="1"/>
  <c r="NH95" i="24" a="1"/>
  <c r="NH95" i="24" s="1"/>
  <c r="NK95" i="24" s="1" a="1"/>
  <c r="NK95" i="24" s="1"/>
  <c r="NL95" i="24" s="1" a="1"/>
  <c r="NL95" i="24" s="1"/>
  <c r="NH178" i="24" a="1"/>
  <c r="NH178" i="24" s="1"/>
  <c r="NK178" i="24" s="1" a="1"/>
  <c r="NK178" i="24" s="1"/>
  <c r="NH186" i="24" a="1"/>
  <c r="NH186" i="24" s="1"/>
  <c r="NK186" i="24" s="1" a="1"/>
  <c r="NK186" i="24" s="1"/>
  <c r="I187" i="24"/>
  <c r="H187" i="24" s="1"/>
  <c r="C187" i="24" s="1"/>
  <c r="I183" i="24"/>
  <c r="H183" i="24" s="1"/>
  <c r="C183" i="24" s="1"/>
  <c r="I174" i="24"/>
  <c r="H174" i="24" s="1"/>
  <c r="C174" i="24" s="1"/>
  <c r="NH169" i="24" a="1"/>
  <c r="NH169" i="24" s="1"/>
  <c r="NK169" i="24" s="1" a="1"/>
  <c r="NK169" i="24" s="1"/>
  <c r="NL169" i="24" s="1" a="1"/>
  <c r="NL169" i="24" s="1"/>
  <c r="I167" i="24"/>
  <c r="H167" i="24" s="1"/>
  <c r="C167" i="24" s="1"/>
  <c r="I165" i="24"/>
  <c r="H165" i="24" s="1"/>
  <c r="C165" i="24" s="1"/>
  <c r="I163" i="24"/>
  <c r="H163" i="24" s="1"/>
  <c r="C163" i="24" s="1"/>
  <c r="I161" i="24"/>
  <c r="H161" i="24" s="1"/>
  <c r="C161" i="24" s="1"/>
  <c r="I154" i="24"/>
  <c r="H154" i="24" s="1"/>
  <c r="C154" i="24" s="1"/>
  <c r="I147" i="24"/>
  <c r="H147" i="24" s="1"/>
  <c r="C147" i="24" s="1"/>
  <c r="I140" i="24"/>
  <c r="H140" i="24" s="1"/>
  <c r="C140" i="24" s="1"/>
  <c r="I135" i="24"/>
  <c r="H135" i="24" s="1"/>
  <c r="C135" i="24" s="1"/>
  <c r="NH130" i="24" a="1"/>
  <c r="NH130" i="24" s="1"/>
  <c r="NK130" i="24" s="1" a="1"/>
  <c r="NK130" i="24" s="1"/>
  <c r="NL130" i="24" s="1" a="1"/>
  <c r="NL130" i="24" s="1"/>
  <c r="I125" i="24"/>
  <c r="H125" i="24" s="1"/>
  <c r="C125" i="24" s="1"/>
  <c r="I120" i="24"/>
  <c r="H120" i="24" s="1"/>
  <c r="C120" i="24" s="1"/>
  <c r="NH117" i="24" a="1"/>
  <c r="NH117" i="24" s="1"/>
  <c r="NK117" i="24" s="1" a="1"/>
  <c r="NK117" i="24" s="1"/>
  <c r="NL117" i="24" s="1" a="1"/>
  <c r="NL117" i="24" s="1"/>
  <c r="I115" i="24"/>
  <c r="H115" i="24" s="1"/>
  <c r="C115" i="24" s="1"/>
  <c r="NH106" i="24" a="1"/>
  <c r="NH106" i="24" s="1"/>
  <c r="NK106" i="24" s="1" a="1"/>
  <c r="NK106" i="24" s="1"/>
  <c r="NL106" i="24" s="1" a="1"/>
  <c r="NL106" i="24" s="1"/>
  <c r="NH104" i="24" a="1"/>
  <c r="NH104" i="24" s="1"/>
  <c r="NK104" i="24" s="1" a="1"/>
  <c r="NK104" i="24" s="1"/>
  <c r="NL104" i="24" s="1" a="1"/>
  <c r="NL104" i="24" s="1"/>
  <c r="I95" i="24"/>
  <c r="H95" i="24" s="1"/>
  <c r="C95" i="24" s="1"/>
  <c r="NH179" i="24" a="1"/>
  <c r="NH179" i="24" s="1"/>
  <c r="NK179" i="24" s="1" a="1"/>
  <c r="NK179" i="24" s="1"/>
  <c r="NH187" i="24" a="1"/>
  <c r="NH187" i="24" s="1"/>
  <c r="NK187" i="24" s="1" a="1"/>
  <c r="NK187" i="24" s="1"/>
  <c r="I179" i="24"/>
  <c r="H179" i="24" s="1"/>
  <c r="C179" i="24" s="1"/>
  <c r="NH176" i="24" a="1"/>
  <c r="NH176" i="24" s="1"/>
  <c r="NK176" i="24" s="1" a="1"/>
  <c r="NK176" i="24" s="1"/>
  <c r="NL176" i="24" s="1" a="1"/>
  <c r="NL176" i="24" s="1"/>
  <c r="I169" i="24"/>
  <c r="H169" i="24" s="1"/>
  <c r="C169" i="24" s="1"/>
  <c r="NH156" i="24" a="1"/>
  <c r="NH156" i="24" s="1"/>
  <c r="NK156" i="24" s="1" a="1"/>
  <c r="NK156" i="24" s="1"/>
  <c r="NL156" i="24" s="1" a="1"/>
  <c r="NL156" i="24" s="1"/>
  <c r="NH149" i="24" a="1"/>
  <c r="NH149" i="24" s="1"/>
  <c r="NK149" i="24" s="1" a="1"/>
  <c r="NK149" i="24" s="1"/>
  <c r="NL149" i="24" s="1" a="1"/>
  <c r="NL149" i="24" s="1"/>
  <c r="NH144" i="24" a="1"/>
  <c r="NH144" i="24" s="1"/>
  <c r="NK144" i="24" s="1" a="1"/>
  <c r="NK144" i="24" s="1"/>
  <c r="NL144" i="24" s="1" a="1"/>
  <c r="NL144" i="24" s="1"/>
  <c r="NH142" i="24" a="1"/>
  <c r="NH142" i="24" s="1"/>
  <c r="NK142" i="24" s="1" a="1"/>
  <c r="NK142" i="24" s="1"/>
  <c r="NL142" i="24" s="1" a="1"/>
  <c r="NL142" i="24" s="1"/>
  <c r="NH137" i="24" a="1"/>
  <c r="NH137" i="24" s="1"/>
  <c r="NK137" i="24" s="1" a="1"/>
  <c r="NK137" i="24" s="1"/>
  <c r="NL137" i="24" s="1" a="1"/>
  <c r="NL137" i="24" s="1"/>
  <c r="NH132" i="24" a="1"/>
  <c r="NH132" i="24" s="1"/>
  <c r="NK132" i="24" s="1" a="1"/>
  <c r="NK132" i="24" s="1"/>
  <c r="NL132" i="24" s="1" a="1"/>
  <c r="NL132" i="24" s="1"/>
  <c r="I130" i="24"/>
  <c r="H130" i="24" s="1"/>
  <c r="C130" i="24" s="1"/>
  <c r="NH127" i="24" a="1"/>
  <c r="NH127" i="24" s="1"/>
  <c r="NK127" i="24" s="1" a="1"/>
  <c r="NK127" i="24" s="1"/>
  <c r="NL127" i="24" s="1" a="1"/>
  <c r="NL127" i="24" s="1"/>
  <c r="NH122" i="24" a="1"/>
  <c r="NH122" i="24" s="1"/>
  <c r="NK122" i="24" s="1" a="1"/>
  <c r="NK122" i="24" s="1"/>
  <c r="NL122" i="24" s="1" a="1"/>
  <c r="NL122" i="24" s="1"/>
  <c r="I117" i="24"/>
  <c r="H117" i="24" s="1"/>
  <c r="C117" i="24" s="1"/>
  <c r="NH110" i="24" a="1"/>
  <c r="NH110" i="24" s="1"/>
  <c r="NK110" i="24" s="1" a="1"/>
  <c r="NK110" i="24" s="1"/>
  <c r="NL110" i="24" s="1" a="1"/>
  <c r="NL110" i="24" s="1"/>
  <c r="I106" i="24"/>
  <c r="H106" i="24" s="1"/>
  <c r="C106" i="24" s="1"/>
  <c r="I104" i="24"/>
  <c r="H104" i="24" s="1"/>
  <c r="C104" i="24" s="1"/>
  <c r="NH99" i="24" a="1"/>
  <c r="NH99" i="24" s="1"/>
  <c r="NK99" i="24" s="1" a="1"/>
  <c r="NK99" i="24" s="1"/>
  <c r="NL99" i="24" s="1" a="1"/>
  <c r="NL99" i="24" s="1"/>
  <c r="NH97" i="24" a="1"/>
  <c r="NH97" i="24" s="1"/>
  <c r="NK97" i="24" s="1" a="1"/>
  <c r="NK97" i="24" s="1"/>
  <c r="NL97" i="24" s="1" a="1"/>
  <c r="NL97" i="24" s="1"/>
  <c r="NH112" i="24" a="1"/>
  <c r="NH112" i="24" s="1"/>
  <c r="NK112" i="24" s="1" a="1"/>
  <c r="NK112" i="24" s="1"/>
  <c r="NL112" i="24" s="1" a="1"/>
  <c r="NL112" i="24" s="1"/>
  <c r="I110" i="24"/>
  <c r="H110" i="24" s="1"/>
  <c r="C110" i="24" s="1"/>
  <c r="NH108" i="24" a="1"/>
  <c r="NH108" i="24" s="1"/>
  <c r="NK108" i="24" s="1" a="1"/>
  <c r="NK108" i="24" s="1"/>
  <c r="NL108" i="24" s="1" a="1"/>
  <c r="NL108" i="24" s="1"/>
  <c r="NH101" i="24" a="1"/>
  <c r="NH101" i="24" s="1"/>
  <c r="NK101" i="24" s="1" a="1"/>
  <c r="NK101" i="24" s="1"/>
  <c r="NL101" i="24" s="1" a="1"/>
  <c r="NL101" i="24" s="1"/>
  <c r="I97" i="24"/>
  <c r="H97" i="24" s="1"/>
  <c r="C97" i="24" s="1"/>
  <c r="NH94" i="24" a="1"/>
  <c r="NH94" i="24" s="1"/>
  <c r="NK94" i="24" s="1" a="1"/>
  <c r="NK94" i="24" s="1"/>
  <c r="NL94" i="24" s="1" a="1"/>
  <c r="NL94" i="24" s="1"/>
  <c r="NN183" i="24" a="1"/>
  <c r="NN183" i="24" s="1"/>
  <c r="NS183" i="24" s="1" a="1"/>
  <c r="NS183" i="24" s="1"/>
  <c r="NH180" i="24" a="1"/>
  <c r="NH180" i="24" s="1"/>
  <c r="NK180" i="24" s="1" a="1"/>
  <c r="NK180" i="24" s="1"/>
  <c r="NH188" i="24" a="1"/>
  <c r="NH188" i="24" s="1"/>
  <c r="NK188" i="24" s="1" a="1"/>
  <c r="NK188" i="24" s="1"/>
  <c r="I186" i="24"/>
  <c r="H186" i="24" s="1"/>
  <c r="C186" i="24" s="1"/>
  <c r="I182" i="24"/>
  <c r="H182" i="24" s="1"/>
  <c r="C182" i="24" s="1"/>
  <c r="I176" i="24"/>
  <c r="H176" i="24" s="1"/>
  <c r="C176" i="24" s="1"/>
  <c r="NH171" i="24" a="1"/>
  <c r="NH171" i="24" s="1"/>
  <c r="NK171" i="24" s="1" a="1"/>
  <c r="NK171" i="24" s="1"/>
  <c r="NL171" i="24" s="1" a="1"/>
  <c r="NL171" i="24" s="1"/>
  <c r="NH166" i="24" a="1"/>
  <c r="NH166" i="24" s="1"/>
  <c r="NK166" i="24" s="1" a="1"/>
  <c r="NK166" i="24" s="1"/>
  <c r="NL166" i="24" s="1" a="1"/>
  <c r="NL166" i="24" s="1"/>
  <c r="NH162" i="24" a="1"/>
  <c r="NH162" i="24" s="1"/>
  <c r="NK162" i="24" s="1" a="1"/>
  <c r="NK162" i="24" s="1"/>
  <c r="NL162" i="24" s="1" a="1"/>
  <c r="NL162" i="24" s="1"/>
  <c r="NH160" i="24" a="1"/>
  <c r="NH160" i="24" s="1"/>
  <c r="NK160" i="24" s="1" a="1"/>
  <c r="NK160" i="24" s="1"/>
  <c r="NL160" i="24" s="1" a="1"/>
  <c r="NL160" i="24" s="1"/>
  <c r="NH158" i="24" a="1"/>
  <c r="NH158" i="24" s="1"/>
  <c r="NK158" i="24" s="1" a="1"/>
  <c r="NK158" i="24" s="1"/>
  <c r="NL158" i="24" s="1" a="1"/>
  <c r="NL158" i="24" s="1"/>
  <c r="I156" i="24"/>
  <c r="H156" i="24" s="1"/>
  <c r="C156" i="24" s="1"/>
  <c r="NH153" i="24" a="1"/>
  <c r="NH153" i="24" s="1"/>
  <c r="NK153" i="24" s="1" a="1"/>
  <c r="NK153" i="24" s="1"/>
  <c r="NL153" i="24" s="1" a="1"/>
  <c r="NL153" i="24" s="1"/>
  <c r="NH151" i="24" a="1"/>
  <c r="NH151" i="24" s="1"/>
  <c r="NK151" i="24" s="1" a="1"/>
  <c r="NK151" i="24" s="1"/>
  <c r="NL151" i="24" s="1" a="1"/>
  <c r="NL151" i="24" s="1"/>
  <c r="I149" i="24"/>
  <c r="H149" i="24" s="1"/>
  <c r="C149" i="24" s="1"/>
  <c r="NH146" i="24" a="1"/>
  <c r="NH146" i="24" s="1"/>
  <c r="NK146" i="24" s="1" a="1"/>
  <c r="NK146" i="24" s="1"/>
  <c r="NL146" i="24" s="1" a="1"/>
  <c r="NL146" i="24" s="1"/>
  <c r="I144" i="24"/>
  <c r="H144" i="24" s="1"/>
  <c r="C144" i="24" s="1"/>
  <c r="I142" i="24"/>
  <c r="H142" i="24" s="1"/>
  <c r="C142" i="24" s="1"/>
  <c r="I137" i="24"/>
  <c r="H137" i="24" s="1"/>
  <c r="C137" i="24" s="1"/>
  <c r="NH134" i="24" a="1"/>
  <c r="NH134" i="24" s="1"/>
  <c r="NK134" i="24" s="1" a="1"/>
  <c r="NK134" i="24" s="1"/>
  <c r="NL134" i="24" s="1" a="1"/>
  <c r="NL134" i="24" s="1"/>
  <c r="I132" i="24"/>
  <c r="H132" i="24" s="1"/>
  <c r="C132" i="24" s="1"/>
  <c r="I127" i="24"/>
  <c r="H127" i="24" s="1"/>
  <c r="C127" i="24" s="1"/>
  <c r="NH124" i="24" a="1"/>
  <c r="NH124" i="24" s="1"/>
  <c r="NK124" i="24" s="1" a="1"/>
  <c r="NK124" i="24" s="1"/>
  <c r="NL124" i="24" s="1" a="1"/>
  <c r="NL124" i="24" s="1"/>
  <c r="I122" i="24"/>
  <c r="H122" i="24" s="1"/>
  <c r="C122" i="24" s="1"/>
  <c r="NH119" i="24" a="1"/>
  <c r="NH119" i="24" s="1"/>
  <c r="NK119" i="24" s="1" a="1"/>
  <c r="NK119" i="24" s="1"/>
  <c r="NL119" i="24" s="1" a="1"/>
  <c r="NL119" i="24" s="1"/>
  <c r="NH114" i="24" a="1"/>
  <c r="NH114" i="24" s="1"/>
  <c r="NK114" i="24" s="1" a="1"/>
  <c r="NK114" i="24" s="1"/>
  <c r="NL114" i="24" s="1" a="1"/>
  <c r="NL114" i="24" s="1"/>
  <c r="I99" i="24"/>
  <c r="H99" i="24" s="1"/>
  <c r="C99" i="24" s="1"/>
  <c r="NH182" i="24" a="1"/>
  <c r="NH182" i="24" s="1"/>
  <c r="NK182" i="24" s="1" a="1"/>
  <c r="NK182" i="24" s="1"/>
  <c r="I185" i="24"/>
  <c r="H185" i="24" s="1"/>
  <c r="C185" i="24" s="1"/>
  <c r="NH175" i="24" a="1"/>
  <c r="NH175" i="24" s="1"/>
  <c r="NK175" i="24" s="1" a="1"/>
  <c r="NK175" i="24" s="1"/>
  <c r="NL175" i="24" s="1" a="1"/>
  <c r="NL175" i="24" s="1"/>
  <c r="I173" i="24"/>
  <c r="H173" i="24" s="1"/>
  <c r="C173" i="24" s="1"/>
  <c r="I168" i="24"/>
  <c r="H168" i="24" s="1"/>
  <c r="C168" i="24" s="1"/>
  <c r="I164" i="24"/>
  <c r="H164" i="24" s="1"/>
  <c r="C164" i="24" s="1"/>
  <c r="NH155" i="24" a="1"/>
  <c r="NH155" i="24" s="1"/>
  <c r="NK155" i="24" s="1" a="1"/>
  <c r="NK155" i="24" s="1"/>
  <c r="NL155" i="24" s="1" a="1"/>
  <c r="NL155" i="24" s="1"/>
  <c r="NH148" i="24" a="1"/>
  <c r="NH148" i="24" s="1"/>
  <c r="NK148" i="24" s="1" a="1"/>
  <c r="NK148" i="24" s="1"/>
  <c r="NL148" i="24" s="1" a="1"/>
  <c r="NL148" i="24" s="1"/>
  <c r="NH143" i="24" a="1"/>
  <c r="NH143" i="24" s="1"/>
  <c r="NK143" i="24" s="1" a="1"/>
  <c r="NK143" i="24" s="1"/>
  <c r="NL143" i="24" s="1" a="1"/>
  <c r="NL143" i="24" s="1"/>
  <c r="NH141" i="24" a="1"/>
  <c r="NH141" i="24" s="1"/>
  <c r="NK141" i="24" s="1" a="1"/>
  <c r="NK141" i="24" s="1"/>
  <c r="NL141" i="24" s="1" a="1"/>
  <c r="NL141" i="24" s="1"/>
  <c r="I139" i="24"/>
  <c r="H139" i="24" s="1"/>
  <c r="C139" i="24" s="1"/>
  <c r="NH136" i="24" a="1"/>
  <c r="NH136" i="24" s="1"/>
  <c r="NK136" i="24" s="1" a="1"/>
  <c r="NK136" i="24" s="1"/>
  <c r="NL136" i="24" s="1" a="1"/>
  <c r="NL136" i="24" s="1"/>
  <c r="NH131" i="24" a="1"/>
  <c r="NH131" i="24" s="1"/>
  <c r="NK131" i="24" s="1" a="1"/>
  <c r="NK131" i="24" s="1"/>
  <c r="NL131" i="24" s="1" a="1"/>
  <c r="NL131" i="24" s="1"/>
  <c r="I129" i="24"/>
  <c r="H129" i="24" s="1"/>
  <c r="C129" i="24" s="1"/>
  <c r="NH126" i="24" a="1"/>
  <c r="NH126" i="24" s="1"/>
  <c r="NK126" i="24" s="1" a="1"/>
  <c r="NK126" i="24" s="1"/>
  <c r="NL126" i="24" s="1" a="1"/>
  <c r="NL126" i="24" s="1"/>
  <c r="NH121" i="24" a="1"/>
  <c r="NH121" i="24" s="1"/>
  <c r="NK121" i="24" s="1" a="1"/>
  <c r="NK121" i="24" s="1"/>
  <c r="NL121" i="24" s="1" a="1"/>
  <c r="NL121" i="24" s="1"/>
  <c r="NH116" i="24" a="1"/>
  <c r="NH116" i="24" s="1"/>
  <c r="NK116" i="24" s="1" a="1"/>
  <c r="NK116" i="24" s="1"/>
  <c r="NL116" i="24" s="1" a="1"/>
  <c r="NL116" i="24" s="1"/>
  <c r="I105" i="24"/>
  <c r="H105" i="24" s="1"/>
  <c r="C105" i="24" s="1"/>
  <c r="I103" i="24"/>
  <c r="H103" i="24" s="1"/>
  <c r="C103" i="24" s="1"/>
  <c r="NH96" i="24" a="1"/>
  <c r="NH96" i="24" s="1"/>
  <c r="NK96" i="24" s="1" a="1"/>
  <c r="NK96" i="24" s="1"/>
  <c r="NL96" i="24" s="1" a="1"/>
  <c r="NL96" i="24" s="1"/>
  <c r="NV181" i="24" a="1"/>
  <c r="NV181" i="24" s="1"/>
  <c r="OF181" i="24" s="1" a="1"/>
  <c r="OF181" i="24" s="1"/>
  <c r="NN178" i="24" a="1"/>
  <c r="NN178" i="24" s="1"/>
  <c r="NS178" i="24" s="1" a="1"/>
  <c r="NS178" i="24" s="1"/>
  <c r="NN186" i="24" a="1"/>
  <c r="NN186" i="24" s="1"/>
  <c r="NS186" i="24" s="1" a="1"/>
  <c r="NS186" i="24" s="1"/>
  <c r="NH183" i="24" a="1"/>
  <c r="NH183" i="24" s="1"/>
  <c r="NK183" i="24" s="1" a="1"/>
  <c r="NK183" i="24" s="1"/>
  <c r="I175" i="24"/>
  <c r="H175" i="24" s="1"/>
  <c r="C175" i="24" s="1"/>
  <c r="NH157" i="24" a="1"/>
  <c r="NH157" i="24" s="1"/>
  <c r="NK157" i="24" s="1" a="1"/>
  <c r="NK157" i="24" s="1"/>
  <c r="NL157" i="24" s="1" a="1"/>
  <c r="NL157" i="24" s="1"/>
  <c r="I148" i="24"/>
  <c r="H148" i="24" s="1"/>
  <c r="C148" i="24" s="1"/>
  <c r="NH118" i="24" a="1"/>
  <c r="NH118" i="24" s="1"/>
  <c r="NK118" i="24" s="1" a="1"/>
  <c r="NK118" i="24" s="1"/>
  <c r="NL118" i="24" s="1" a="1"/>
  <c r="NL118" i="24" s="1"/>
  <c r="NH109" i="24" a="1"/>
  <c r="NH109" i="24" s="1"/>
  <c r="NK109" i="24" s="1" a="1"/>
  <c r="NK109" i="24" s="1"/>
  <c r="NL109" i="24" s="1" a="1"/>
  <c r="NL109" i="24" s="1"/>
  <c r="NH173" i="24" a="1"/>
  <c r="NH173" i="24" s="1"/>
  <c r="NK173" i="24" s="1" a="1"/>
  <c r="NK173" i="24" s="1"/>
  <c r="NL173" i="24" s="1" a="1"/>
  <c r="NL173" i="24" s="1"/>
  <c r="NH164" i="24" a="1"/>
  <c r="NH164" i="24" s="1"/>
  <c r="NK164" i="24" s="1" a="1"/>
  <c r="NK164" i="24" s="1"/>
  <c r="NL164" i="24" s="1" a="1"/>
  <c r="NL164" i="24" s="1"/>
  <c r="I146" i="24"/>
  <c r="H146" i="24" s="1"/>
  <c r="C146" i="24" s="1"/>
  <c r="I108" i="24"/>
  <c r="H108" i="24" s="1"/>
  <c r="C108" i="24" s="1"/>
  <c r="I155" i="24"/>
  <c r="H155" i="24" s="1"/>
  <c r="C155" i="24" s="1"/>
  <c r="I136" i="24"/>
  <c r="H136" i="24" s="1"/>
  <c r="C136" i="24" s="1"/>
  <c r="I126" i="24"/>
  <c r="H126" i="24" s="1"/>
  <c r="C126" i="24" s="1"/>
  <c r="I116" i="24"/>
  <c r="H116" i="24" s="1"/>
  <c r="C116" i="24" s="1"/>
  <c r="NH107" i="24" a="1"/>
  <c r="NH107" i="24" s="1"/>
  <c r="NK107" i="24" s="1" a="1"/>
  <c r="NK107" i="24" s="1"/>
  <c r="NL107" i="24" s="1" a="1"/>
  <c r="NL107" i="24" s="1"/>
  <c r="NH98" i="24" a="1"/>
  <c r="NH98" i="24" s="1"/>
  <c r="NK98" i="24" s="1" a="1"/>
  <c r="NK98" i="24" s="1"/>
  <c r="NL98" i="24" s="1" a="1"/>
  <c r="NL98" i="24" s="1"/>
  <c r="NV179" i="24" a="1"/>
  <c r="NV179" i="24" s="1"/>
  <c r="OF179" i="24" s="1" a="1"/>
  <c r="OF179" i="24" s="1"/>
  <c r="I171" i="24"/>
  <c r="H171" i="24" s="1"/>
  <c r="C171" i="24" s="1"/>
  <c r="I162" i="24"/>
  <c r="H162" i="24" s="1"/>
  <c r="C162" i="24" s="1"/>
  <c r="I153" i="24"/>
  <c r="H153" i="24" s="1"/>
  <c r="C153" i="24" s="1"/>
  <c r="I134" i="24"/>
  <c r="H134" i="24" s="1"/>
  <c r="C134" i="24" s="1"/>
  <c r="I124" i="24"/>
  <c r="H124" i="24" s="1"/>
  <c r="C124" i="24" s="1"/>
  <c r="I114" i="24"/>
  <c r="H114" i="24" s="1"/>
  <c r="C114" i="24" s="1"/>
  <c r="NH105" i="24" a="1"/>
  <c r="NH105" i="24" s="1"/>
  <c r="NK105" i="24" s="1" a="1"/>
  <c r="NK105" i="24" s="1"/>
  <c r="NL105" i="24" s="1" a="1"/>
  <c r="NL105" i="24" s="1"/>
  <c r="NV187" i="24" a="1"/>
  <c r="NV187" i="24" s="1"/>
  <c r="OF187" i="24" s="1" a="1"/>
  <c r="OF187" i="24" s="1"/>
  <c r="I181" i="24"/>
  <c r="H181" i="24" s="1"/>
  <c r="C181" i="24" s="1"/>
  <c r="NH170" i="24" a="1"/>
  <c r="NH170" i="24" s="1"/>
  <c r="NK170" i="24" s="1" a="1"/>
  <c r="NK170" i="24" s="1"/>
  <c r="NL170" i="24" s="1" a="1"/>
  <c r="NL170" i="24" s="1"/>
  <c r="I143" i="24"/>
  <c r="H143" i="24" s="1"/>
  <c r="C143" i="24" s="1"/>
  <c r="I96" i="24"/>
  <c r="H96" i="24" s="1"/>
  <c r="C96" i="24" s="1"/>
  <c r="NN184" i="24" a="1"/>
  <c r="NN184" i="24" s="1"/>
  <c r="NS184" i="24" s="1" a="1"/>
  <c r="NS184" i="24" s="1"/>
  <c r="I178" i="24"/>
  <c r="H178" i="24" s="1"/>
  <c r="C178" i="24" s="1"/>
  <c r="NH168" i="24" a="1"/>
  <c r="NH168" i="24" s="1"/>
  <c r="NK168" i="24" s="1" a="1"/>
  <c r="NK168" i="24" s="1"/>
  <c r="NL168" i="24" s="1" a="1"/>
  <c r="NL168" i="24" s="1"/>
  <c r="I160" i="24"/>
  <c r="H160" i="24" s="1"/>
  <c r="C160" i="24" s="1"/>
  <c r="I151" i="24"/>
  <c r="H151" i="24" s="1"/>
  <c r="C151" i="24" s="1"/>
  <c r="I112" i="24"/>
  <c r="H112" i="24" s="1"/>
  <c r="C112" i="24" s="1"/>
  <c r="NH103" i="24" a="1"/>
  <c r="NH103" i="24" s="1"/>
  <c r="NK103" i="24" s="1" a="1"/>
  <c r="NK103" i="24" s="1"/>
  <c r="NL103" i="24" s="1" a="1"/>
  <c r="NL103" i="24" s="1"/>
  <c r="I94" i="24"/>
  <c r="H94" i="24" s="1"/>
  <c r="C94" i="24" s="1"/>
  <c r="I166" i="24"/>
  <c r="H166" i="24" s="1"/>
  <c r="C166" i="24" s="1"/>
  <c r="I158" i="24"/>
  <c r="H158" i="24" s="1"/>
  <c r="C158" i="24" s="1"/>
  <c r="NH139" i="24" a="1"/>
  <c r="NH139" i="24" s="1"/>
  <c r="NK139" i="24" s="1" a="1"/>
  <c r="NK139" i="24" s="1"/>
  <c r="NL139" i="24" s="1" a="1"/>
  <c r="NL139" i="24" s="1"/>
  <c r="NH129" i="24" a="1"/>
  <c r="NH129" i="24" s="1"/>
  <c r="NK129" i="24" s="1" a="1"/>
  <c r="NK129" i="24" s="1"/>
  <c r="NL129" i="24" s="1" a="1"/>
  <c r="NL129" i="24" s="1"/>
  <c r="I119" i="24"/>
  <c r="H119" i="24" s="1"/>
  <c r="C119" i="24" s="1"/>
  <c r="I101" i="24"/>
  <c r="H101" i="24" s="1"/>
  <c r="C101" i="24" s="1"/>
  <c r="NH181" i="24" a="1"/>
  <c r="NH181" i="24" s="1"/>
  <c r="NK181" i="24" s="1" a="1"/>
  <c r="NK181" i="24" s="1"/>
  <c r="NH150" i="24" a="1"/>
  <c r="NH150" i="24" s="1"/>
  <c r="NK150" i="24" s="1" a="1"/>
  <c r="NK150" i="24" s="1"/>
  <c r="NL150" i="24" s="1" a="1"/>
  <c r="NL150" i="24" s="1"/>
  <c r="I141" i="24"/>
  <c r="H141" i="24" s="1"/>
  <c r="C141" i="24" s="1"/>
  <c r="I131" i="24"/>
  <c r="H131" i="24" s="1"/>
  <c r="C131" i="24" s="1"/>
  <c r="I121" i="24"/>
  <c r="H121" i="24" s="1"/>
  <c r="C121" i="24" s="1"/>
  <c r="NH93" i="24" a="1"/>
  <c r="NH93" i="24" s="1"/>
  <c r="NK93" i="24" s="1" a="1"/>
  <c r="NK93" i="24" s="1"/>
  <c r="NL93" i="24" s="1" a="1"/>
  <c r="NL93" i="24" s="1"/>
  <c r="NN179" i="24" a="1"/>
  <c r="NN179" i="24" s="1"/>
  <c r="NS179" i="24" s="1" a="1"/>
  <c r="NS179" i="24" s="1"/>
  <c r="NV137" i="24" a="1"/>
  <c r="NV137" i="24" s="1"/>
  <c r="NV126" i="24" a="1"/>
  <c r="NV126" i="24" s="1"/>
  <c r="NV174" i="24" a="1"/>
  <c r="NV174" i="24" s="1"/>
  <c r="NN111" i="24" a="1"/>
  <c r="NN111" i="24" s="1"/>
  <c r="NN140" i="24" a="1"/>
  <c r="NN140" i="24" s="1"/>
  <c r="NN174" i="24" a="1"/>
  <c r="NN174" i="24" s="1"/>
  <c r="NS174" i="24" s="1" a="1"/>
  <c r="NS174" i="24" s="1"/>
  <c r="NN181" i="24" a="1"/>
  <c r="NN181" i="24" s="1"/>
  <c r="NS181" i="24" s="1" a="1"/>
  <c r="NS181" i="24" s="1"/>
  <c r="NV122" i="24" a="1"/>
  <c r="NV122" i="24" s="1"/>
  <c r="NV102" i="24" a="1"/>
  <c r="NV102" i="24" s="1"/>
  <c r="NV151" i="24" a="1"/>
  <c r="NV151" i="24" s="1"/>
  <c r="NV96" i="24" a="1"/>
  <c r="NV96" i="24" s="1"/>
  <c r="NV170" i="24" a="1"/>
  <c r="NV170" i="24" s="1"/>
  <c r="NV135" i="24" a="1"/>
  <c r="NV135" i="24" s="1"/>
  <c r="NV177" i="24" a="1"/>
  <c r="NV177" i="24" s="1"/>
  <c r="NV113" i="24" a="1"/>
  <c r="NV113" i="24" s="1"/>
  <c r="NV161" i="24" a="1"/>
  <c r="NV161" i="24" s="1"/>
  <c r="NV175" i="24" a="1"/>
  <c r="NV175" i="24" s="1"/>
  <c r="NV157" i="24" a="1"/>
  <c r="NV157" i="24" s="1"/>
  <c r="NN148" i="24" a="1"/>
  <c r="NN148" i="24" s="1"/>
  <c r="NN117" i="24" a="1"/>
  <c r="NN117" i="24" s="1"/>
  <c r="NN119" i="24" a="1"/>
  <c r="NN119" i="24" s="1"/>
  <c r="NN110" i="24" a="1"/>
  <c r="NN110" i="24" s="1"/>
  <c r="NN136" i="24" a="1"/>
  <c r="NN136" i="24" s="1"/>
  <c r="NN152" i="24" a="1"/>
  <c r="NN152" i="24" s="1"/>
  <c r="NN128" i="24" a="1"/>
  <c r="NN128" i="24" s="1"/>
  <c r="NS128" i="24" s="1" a="1"/>
  <c r="NS128" i="24" s="1"/>
  <c r="NN123" i="24" a="1"/>
  <c r="NN123" i="24" s="1"/>
  <c r="NN142" i="24" a="1"/>
  <c r="NN142" i="24" s="1"/>
  <c r="NN163" i="24" a="1"/>
  <c r="NN163" i="24" s="1"/>
  <c r="NN14" i="24" a="1"/>
  <c r="NN14" i="24" s="1"/>
  <c r="NS14" i="24" s="1" a="1"/>
  <c r="NS14" i="24" s="1"/>
  <c r="NV185" i="24" a="1"/>
  <c r="NV185" i="24" s="1"/>
  <c r="OF185" i="24" s="1" a="1"/>
  <c r="OF185" i="24" s="1"/>
  <c r="NV182" i="24" a="1"/>
  <c r="NV182" i="24" s="1"/>
  <c r="OF182" i="24" s="1" a="1"/>
  <c r="OF182" i="24" s="1"/>
  <c r="NV97" i="24" a="1"/>
  <c r="NV97" i="24" s="1"/>
  <c r="NV154" i="24" a="1"/>
  <c r="NV154" i="24" s="1"/>
  <c r="NV134" i="24" a="1"/>
  <c r="NV134" i="24" s="1"/>
  <c r="NV176" i="24" a="1"/>
  <c r="NV176" i="24" s="1"/>
  <c r="NN101" i="24" a="1"/>
  <c r="NN101" i="24" s="1"/>
  <c r="NN127" i="24" a="1"/>
  <c r="NN127" i="24" s="1"/>
  <c r="NN145" i="24" a="1"/>
  <c r="NN145" i="24" s="1"/>
  <c r="NN155" i="24" a="1"/>
  <c r="NN155" i="24" s="1"/>
  <c r="NS155" i="24" s="1" a="1"/>
  <c r="NS155" i="24" s="1"/>
  <c r="NV101" i="24" a="1"/>
  <c r="NV101" i="24" s="1"/>
  <c r="NV112" i="24" a="1"/>
  <c r="NV112" i="24" s="1"/>
  <c r="NV162" i="24" a="1"/>
  <c r="NV162" i="24" s="1"/>
  <c r="NV100" i="24" a="1"/>
  <c r="NV100" i="24" s="1"/>
  <c r="NV109" i="24" a="1"/>
  <c r="NV109" i="24" s="1"/>
  <c r="NV155" i="24" a="1"/>
  <c r="NV155" i="24" s="1"/>
  <c r="NV139" i="24" a="1"/>
  <c r="NV139" i="24" s="1"/>
  <c r="NV120" i="24" a="1"/>
  <c r="NV120" i="24" s="1"/>
  <c r="NV169" i="24" a="1"/>
  <c r="NV169" i="24" s="1"/>
  <c r="NV144" i="24" a="1"/>
  <c r="NV144" i="24" s="1"/>
  <c r="NV165" i="24" a="1"/>
  <c r="NV165" i="24" s="1"/>
  <c r="NN105" i="24" a="1"/>
  <c r="NN105" i="24" s="1"/>
  <c r="NS105" i="24" s="1" a="1"/>
  <c r="NS105" i="24" s="1"/>
  <c r="NN118" i="24" a="1"/>
  <c r="NN118" i="24" s="1"/>
  <c r="NN141" i="24" a="1"/>
  <c r="NN141" i="24" s="1"/>
  <c r="NN112" i="24" a="1"/>
  <c r="NN112" i="24" s="1"/>
  <c r="NN151" i="24" a="1"/>
  <c r="NN151" i="24" s="1"/>
  <c r="NN160" i="24" a="1"/>
  <c r="NN160" i="24" s="1"/>
  <c r="NS160" i="24" s="1" a="1"/>
  <c r="NS160" i="24" s="1"/>
  <c r="NN135" i="24" a="1"/>
  <c r="NN135" i="24" s="1"/>
  <c r="NN132" i="24" a="1"/>
  <c r="NN132" i="24" s="1"/>
  <c r="NN146" i="24" a="1"/>
  <c r="NN146" i="24" s="1"/>
  <c r="NN171" i="24" a="1"/>
  <c r="NN171" i="24" s="1"/>
  <c r="NN182" i="24" a="1"/>
  <c r="NN182" i="24" s="1"/>
  <c r="NS182" i="24" s="1" a="1"/>
  <c r="NS182" i="24" s="1"/>
  <c r="NV140" i="24" a="1"/>
  <c r="NV140" i="24" s="1"/>
  <c r="NV167" i="24" a="1"/>
  <c r="NV167" i="24" s="1"/>
  <c r="NV153" i="24" a="1"/>
  <c r="NV153" i="24" s="1"/>
  <c r="NN122" i="24" a="1"/>
  <c r="NN122" i="24" s="1"/>
  <c r="NN108" i="24" a="1"/>
  <c r="NN108" i="24" s="1"/>
  <c r="NN169" i="24" a="1"/>
  <c r="NN169" i="24" s="1"/>
  <c r="NN100" i="24" a="1"/>
  <c r="NN100" i="24" s="1"/>
  <c r="NV104" i="24" a="1"/>
  <c r="NV104" i="24" s="1"/>
  <c r="NV94" i="24" a="1"/>
  <c r="NV94" i="24" s="1"/>
  <c r="NV99" i="24" a="1"/>
  <c r="NV99" i="24" s="1"/>
  <c r="NV107" i="24" a="1"/>
  <c r="NV107" i="24" s="1"/>
  <c r="NV118" i="24" a="1"/>
  <c r="NV118" i="24" s="1"/>
  <c r="NV163" i="24" a="1"/>
  <c r="NV163" i="24" s="1"/>
  <c r="NV141" i="24" a="1"/>
  <c r="NV141" i="24" s="1"/>
  <c r="NV129" i="24" a="1"/>
  <c r="NV129" i="24" s="1"/>
  <c r="NV143" i="24" a="1"/>
  <c r="NV143" i="24" s="1"/>
  <c r="NV148" i="24" a="1"/>
  <c r="NV148" i="24" s="1"/>
  <c r="NV173" i="24" a="1"/>
  <c r="NV173" i="24" s="1"/>
  <c r="NN113" i="24" a="1"/>
  <c r="NN113" i="24" s="1"/>
  <c r="NN107" i="24" a="1"/>
  <c r="NN107" i="24" s="1"/>
  <c r="NN172" i="24" a="1"/>
  <c r="NN172" i="24" s="1"/>
  <c r="NN115" i="24" a="1"/>
  <c r="NN115" i="24" s="1"/>
  <c r="NN156" i="24" a="1"/>
  <c r="NN156" i="24" s="1"/>
  <c r="NN168" i="24" a="1"/>
  <c r="NN168" i="24" s="1"/>
  <c r="NN114" i="24" a="1"/>
  <c r="NN114" i="24" s="1"/>
  <c r="NN139" i="24" a="1"/>
  <c r="NN139" i="24" s="1"/>
  <c r="NN157" i="24" a="1"/>
  <c r="NN157" i="24" s="1"/>
  <c r="NN154" i="24" a="1"/>
  <c r="NN154" i="24" s="1"/>
  <c r="NN187" i="24" a="1"/>
  <c r="NN187" i="24" s="1"/>
  <c r="NS187" i="24" s="1" a="1"/>
  <c r="NS187" i="24" s="1"/>
  <c r="NV178" i="24" a="1"/>
  <c r="NV178" i="24" s="1"/>
  <c r="OF178" i="24" s="1" a="1"/>
  <c r="OF178" i="24" s="1"/>
  <c r="NV74" i="24" a="1"/>
  <c r="NV74" i="24" s="1"/>
  <c r="NV37" i="24" a="1"/>
  <c r="NV37" i="24" s="1"/>
  <c r="NV13" i="24" a="1"/>
  <c r="NV13" i="24" s="1"/>
  <c r="NV66" i="24" a="1"/>
  <c r="NV66" i="24" s="1"/>
  <c r="NV78" i="24" a="1"/>
  <c r="NV78" i="24" s="1"/>
  <c r="NV51" i="24" a="1"/>
  <c r="NV51" i="24" s="1"/>
  <c r="NV90" i="24" a="1"/>
  <c r="NV90" i="24" s="1"/>
  <c r="NN27" i="24" a="1"/>
  <c r="NN27" i="24" s="1"/>
  <c r="NS27" i="24" s="1" a="1"/>
  <c r="NS27" i="24" s="1"/>
  <c r="NN39" i="24" a="1"/>
  <c r="NN39" i="24" s="1"/>
  <c r="NS39" i="24" s="1" a="1"/>
  <c r="NS39" i="24" s="1"/>
  <c r="NN44" i="24" a="1"/>
  <c r="NN44" i="24" s="1"/>
  <c r="NS44" i="24" s="1" a="1"/>
  <c r="NS44" i="24" s="1"/>
  <c r="NN49" i="24" a="1"/>
  <c r="NN49" i="24" s="1"/>
  <c r="NS49" i="24" s="1" a="1"/>
  <c r="NS49" i="24" s="1"/>
  <c r="NN79" i="24" a="1"/>
  <c r="NN79" i="24" s="1"/>
  <c r="NS79" i="24" s="1" a="1"/>
  <c r="NS79" i="24" s="1"/>
  <c r="NN84" i="24" a="1"/>
  <c r="NN84" i="24" s="1"/>
  <c r="NS84" i="24" s="1" a="1"/>
  <c r="NS84" i="24" s="1"/>
  <c r="NV44" i="24" a="1"/>
  <c r="NV44" i="24" s="1"/>
  <c r="NV16" i="24" a="1"/>
  <c r="NV16" i="24" s="1"/>
  <c r="NN55" i="24" a="1"/>
  <c r="NN55" i="24" s="1"/>
  <c r="NS55" i="24" s="1" a="1"/>
  <c r="NS55" i="24" s="1"/>
  <c r="NV19" i="24" a="1"/>
  <c r="NV19" i="24" s="1"/>
  <c r="NN31" i="24" a="1"/>
  <c r="NN31" i="24" s="1"/>
  <c r="NS31" i="24" s="1" a="1"/>
  <c r="NS31" i="24" s="1"/>
  <c r="NN13" i="24" a="1"/>
  <c r="NN13" i="24" s="1"/>
  <c r="NS13" i="24" s="1" a="1"/>
  <c r="NS13" i="24" s="1"/>
  <c r="NN60" i="24" a="1"/>
  <c r="NN60" i="24" s="1"/>
  <c r="NS60" i="24" s="1" a="1"/>
  <c r="NS60" i="24" s="1"/>
  <c r="NN33" i="24" a="1"/>
  <c r="NN33" i="24" s="1"/>
  <c r="NS33" i="24" s="1" a="1"/>
  <c r="NS33" i="24" s="1"/>
  <c r="NN12" i="24" a="1"/>
  <c r="NN12" i="24" s="1"/>
  <c r="NS12" i="24" s="1" a="1"/>
  <c r="NS12" i="24" s="1"/>
  <c r="NV71" i="24" a="1"/>
  <c r="NV71" i="24" s="1"/>
  <c r="NV82" i="24" a="1"/>
  <c r="NV82" i="24" s="1"/>
  <c r="NV41" i="24" a="1"/>
  <c r="NV41" i="24" s="1"/>
  <c r="NV58" i="24" a="1"/>
  <c r="NV58" i="24" s="1"/>
  <c r="NV25" i="24" a="1"/>
  <c r="NV25" i="24" s="1"/>
  <c r="NN45" i="24" a="1"/>
  <c r="NN45" i="24" s="1"/>
  <c r="NS45" i="24" s="1" a="1"/>
  <c r="NS45" i="24" s="1"/>
  <c r="NN50" i="24" a="1"/>
  <c r="NN50" i="24" s="1"/>
  <c r="NS50" i="24" s="1" a="1"/>
  <c r="NS50" i="24" s="1"/>
  <c r="NN57" i="24" a="1"/>
  <c r="NN57" i="24" s="1"/>
  <c r="NS57" i="24" s="1" a="1"/>
  <c r="NS57" i="24" s="1"/>
  <c r="NN83" i="24" a="1"/>
  <c r="NN83" i="24" s="1"/>
  <c r="NS83" i="24" s="1" a="1"/>
  <c r="NS83" i="24" s="1"/>
  <c r="NN88" i="24" a="1"/>
  <c r="NN88" i="24" s="1"/>
  <c r="NS88" i="24" s="1" a="1"/>
  <c r="NS88" i="24" s="1"/>
  <c r="NN91" i="24" a="1"/>
  <c r="NN91" i="24" s="1"/>
  <c r="NS91" i="24" s="1" a="1"/>
  <c r="NS91" i="24" s="1"/>
  <c r="NN41" i="24" a="1"/>
  <c r="NN41" i="24" s="1"/>
  <c r="NS41" i="24" s="1" a="1"/>
  <c r="NS41" i="24" s="1"/>
  <c r="NN15" i="24" a="1"/>
  <c r="NN15" i="24" s="1"/>
  <c r="NS15" i="24" s="1" a="1"/>
  <c r="NS15" i="24" s="1"/>
  <c r="NN42" i="24" a="1"/>
  <c r="NN42" i="24" s="1"/>
  <c r="NS42" i="24" s="1" a="1"/>
  <c r="NS42" i="24" s="1"/>
  <c r="NN18" i="24" a="1"/>
  <c r="NN18" i="24" s="1"/>
  <c r="NS18" i="24" s="1" a="1"/>
  <c r="NS18" i="24" s="1"/>
  <c r="NV35" i="24" a="1"/>
  <c r="NV35" i="24" s="1"/>
  <c r="NV10" i="24" a="1"/>
  <c r="NV10" i="24" s="1"/>
  <c r="NN38" i="24" a="1"/>
  <c r="NN38" i="24" s="1"/>
  <c r="NS38" i="24" s="1" a="1"/>
  <c r="NS38" i="24" s="1"/>
  <c r="NN26" i="24" a="1"/>
  <c r="NN26" i="24" s="1"/>
  <c r="NS26" i="24" s="1" a="1"/>
  <c r="NS26" i="24" s="1"/>
  <c r="NV9" i="24" a="1"/>
  <c r="NV9" i="24" s="1"/>
  <c r="NV73" i="24" a="1"/>
  <c r="NV73" i="24" s="1"/>
  <c r="NV48" i="24" a="1"/>
  <c r="NV48" i="24" s="1"/>
  <c r="NV67" i="24" a="1"/>
  <c r="NV67" i="24" s="1"/>
  <c r="NV68" i="24" a="1"/>
  <c r="NV68" i="24" s="1"/>
  <c r="NN48" i="24" a="1"/>
  <c r="NN48" i="24" s="1"/>
  <c r="NS48" i="24" s="1" a="1"/>
  <c r="NS48" i="24" s="1"/>
  <c r="NN56" i="24" a="1"/>
  <c r="NN56" i="24" s="1"/>
  <c r="NS56" i="24" s="1" a="1"/>
  <c r="NS56" i="24" s="1"/>
  <c r="NN52" i="24" a="1"/>
  <c r="NN52" i="24" s="1"/>
  <c r="NS52" i="24" s="1" a="1"/>
  <c r="NS52" i="24" s="1"/>
  <c r="NN66" i="24" a="1"/>
  <c r="NN66" i="24" s="1"/>
  <c r="NS66" i="24" s="1" a="1"/>
  <c r="NS66" i="24" s="1"/>
  <c r="NN87" i="24" a="1"/>
  <c r="NN87" i="24" s="1"/>
  <c r="NS87" i="24" s="1" a="1"/>
  <c r="NS87" i="24" s="1"/>
  <c r="NN34" i="24" a="1"/>
  <c r="NN34" i="24" s="1"/>
  <c r="NS34" i="24" s="1" a="1"/>
  <c r="NS34" i="24" s="1"/>
  <c r="NV12" i="24" a="1"/>
  <c r="NV12" i="24" s="1"/>
  <c r="NV39" i="24" a="1"/>
  <c r="NV39" i="24" s="1"/>
  <c r="NV15" i="24" a="1"/>
  <c r="NV15" i="24" s="1"/>
  <c r="NN25" i="24" a="1"/>
  <c r="NN25" i="24" s="1"/>
  <c r="NS25" i="24" s="1" a="1"/>
  <c r="NS25" i="24" s="1"/>
  <c r="NN9" i="24" a="1"/>
  <c r="NN9" i="24" s="1"/>
  <c r="NS9" i="24" s="1" a="1"/>
  <c r="NS9" i="24" s="1"/>
  <c r="NV36" i="24" a="1"/>
  <c r="NV36" i="24" s="1"/>
  <c r="NV24" i="24" a="1"/>
  <c r="NV24" i="24" s="1"/>
  <c r="NN8" i="24" a="1"/>
  <c r="NN8" i="24" s="1"/>
  <c r="NS8" i="24" s="1" a="1"/>
  <c r="NS8" i="24" s="1"/>
  <c r="NV86" i="24" a="1"/>
  <c r="NV86" i="24" s="1"/>
  <c r="NV42" i="24" a="1"/>
  <c r="NV42" i="24" s="1"/>
  <c r="NV53" i="24" a="1"/>
  <c r="NV53" i="24" s="1"/>
  <c r="NV77" i="24" a="1"/>
  <c r="NV77" i="24" s="1"/>
  <c r="NV72" i="24" a="1"/>
  <c r="NV72" i="24" s="1"/>
  <c r="NV89" i="24" a="1"/>
  <c r="NV89" i="24" s="1"/>
  <c r="NN51" i="24" a="1"/>
  <c r="NN51" i="24" s="1"/>
  <c r="NS51" i="24" s="1" a="1"/>
  <c r="NS51" i="24" s="1"/>
  <c r="NN53" i="24" a="1"/>
  <c r="NN53" i="24" s="1"/>
  <c r="NS53" i="24" s="1" a="1"/>
  <c r="NS53" i="24" s="1"/>
  <c r="NN63" i="24" a="1"/>
  <c r="NN63" i="24" s="1"/>
  <c r="NS63" i="24" s="1" a="1"/>
  <c r="NS63" i="24" s="1"/>
  <c r="NN59" i="24" a="1"/>
  <c r="NN59" i="24" s="1"/>
  <c r="NS59" i="24" s="1" a="1"/>
  <c r="NS59" i="24" s="1"/>
  <c r="NN70" i="24" a="1"/>
  <c r="NN70" i="24" s="1"/>
  <c r="NS70" i="24" s="1" a="1"/>
  <c r="NS70" i="24" s="1"/>
  <c r="NV32" i="24" a="1"/>
  <c r="NV32" i="24" s="1"/>
  <c r="NN11" i="24" a="1"/>
  <c r="NN11" i="24" s="1"/>
  <c r="NS11" i="24" s="1" a="1"/>
  <c r="NS11" i="24" s="1"/>
  <c r="NN36" i="24" a="1"/>
  <c r="NN36" i="24" s="1"/>
  <c r="NS36" i="24" s="1" a="1"/>
  <c r="NS36" i="24" s="1"/>
  <c r="I90" i="24"/>
  <c r="H90" i="24" s="1"/>
  <c r="C90" i="24" s="1"/>
  <c r="I91" i="24"/>
  <c r="H91" i="24" s="1"/>
  <c r="C91" i="24" s="1"/>
  <c r="I88" i="24"/>
  <c r="H88" i="24" s="1"/>
  <c r="C88" i="24" s="1"/>
  <c r="I84" i="24"/>
  <c r="H84" i="24" s="1"/>
  <c r="C84" i="24" s="1"/>
  <c r="I80" i="24"/>
  <c r="H80" i="24" s="1"/>
  <c r="C80" i="24" s="1"/>
  <c r="I76" i="24"/>
  <c r="H76" i="24" s="1"/>
  <c r="C76" i="24" s="1"/>
  <c r="I72" i="24"/>
  <c r="H72" i="24" s="1"/>
  <c r="C72" i="24" s="1"/>
  <c r="I68" i="24"/>
  <c r="H68" i="24" s="1"/>
  <c r="C68" i="24" s="1"/>
  <c r="I64" i="24"/>
  <c r="H64" i="24" s="1"/>
  <c r="C64" i="24" s="1"/>
  <c r="I60" i="24"/>
  <c r="H60" i="24" s="1"/>
  <c r="C60" i="24" s="1"/>
  <c r="I56" i="24"/>
  <c r="H56" i="24" s="1"/>
  <c r="C56" i="24" s="1"/>
  <c r="I52" i="24"/>
  <c r="H52" i="24" s="1"/>
  <c r="C52" i="24" s="1"/>
  <c r="I48" i="24"/>
  <c r="H48" i="24" s="1"/>
  <c r="C48" i="24" s="1"/>
  <c r="I44" i="24"/>
  <c r="H44" i="24" s="1"/>
  <c r="C44" i="24" s="1"/>
  <c r="NH87" i="24" a="1"/>
  <c r="NH87" i="24" s="1"/>
  <c r="NH83" i="24" a="1"/>
  <c r="NH83" i="24" s="1"/>
  <c r="NH79" i="24" a="1"/>
  <c r="NH79" i="24" s="1"/>
  <c r="I87" i="24"/>
  <c r="H87" i="24" s="1"/>
  <c r="C87" i="24" s="1"/>
  <c r="I83" i="24"/>
  <c r="H83" i="24" s="1"/>
  <c r="C83" i="24" s="1"/>
  <c r="I79" i="24"/>
  <c r="H79" i="24" s="1"/>
  <c r="C79" i="24" s="1"/>
  <c r="I75" i="24"/>
  <c r="H75" i="24" s="1"/>
  <c r="C75" i="24" s="1"/>
  <c r="NH92" i="24" a="1"/>
  <c r="NH92" i="24" s="1"/>
  <c r="NH86" i="24" a="1"/>
  <c r="NH86" i="24" s="1"/>
  <c r="NH82" i="24" a="1"/>
  <c r="NH82" i="24" s="1"/>
  <c r="NH78" i="24" a="1"/>
  <c r="NH78" i="24" s="1"/>
  <c r="NH74" i="24" a="1"/>
  <c r="NH74" i="24" s="1"/>
  <c r="NH70" i="24" a="1"/>
  <c r="NH70" i="24" s="1"/>
  <c r="I92" i="24"/>
  <c r="H92" i="24" s="1"/>
  <c r="C92" i="24" s="1"/>
  <c r="I86" i="24"/>
  <c r="H86" i="24" s="1"/>
  <c r="C86" i="24" s="1"/>
  <c r="I82" i="24"/>
  <c r="H82" i="24" s="1"/>
  <c r="C82" i="24" s="1"/>
  <c r="I78" i="24"/>
  <c r="H78" i="24" s="1"/>
  <c r="C78" i="24" s="1"/>
  <c r="I74" i="24"/>
  <c r="H74" i="24" s="1"/>
  <c r="C74" i="24" s="1"/>
  <c r="I70" i="24"/>
  <c r="H70" i="24" s="1"/>
  <c r="C70" i="24" s="1"/>
  <c r="I66" i="24"/>
  <c r="H66" i="24" s="1"/>
  <c r="C66" i="24" s="1"/>
  <c r="I62" i="24"/>
  <c r="H62" i="24" s="1"/>
  <c r="C62" i="24" s="1"/>
  <c r="I58" i="24"/>
  <c r="H58" i="24" s="1"/>
  <c r="C58" i="24" s="1"/>
  <c r="I54" i="24"/>
  <c r="H54" i="24" s="1"/>
  <c r="C54" i="24" s="1"/>
  <c r="NH90" i="24" a="1"/>
  <c r="NH90" i="24" s="1"/>
  <c r="NH81" i="24" a="1"/>
  <c r="NH81" i="24" s="1"/>
  <c r="NH75" i="24" a="1"/>
  <c r="NH75" i="24" s="1"/>
  <c r="NH65" i="24" a="1"/>
  <c r="NH65" i="24" s="1"/>
  <c r="I63" i="24"/>
  <c r="H63" i="24" s="1"/>
  <c r="C63" i="24" s="1"/>
  <c r="NH56" i="24" a="1"/>
  <c r="NH56" i="24" s="1"/>
  <c r="NH45" i="24" a="1"/>
  <c r="NH45" i="24" s="1"/>
  <c r="NH85" i="24" a="1"/>
  <c r="NH85" i="24" s="1"/>
  <c r="I81" i="24"/>
  <c r="H81" i="24" s="1"/>
  <c r="C81" i="24" s="1"/>
  <c r="NH67" i="24" a="1"/>
  <c r="NH67" i="24" s="1"/>
  <c r="I65" i="24"/>
  <c r="H65" i="24" s="1"/>
  <c r="C65" i="24" s="1"/>
  <c r="NH58" i="24" a="1"/>
  <c r="NH58" i="24" s="1"/>
  <c r="NH51" i="24" a="1"/>
  <c r="NH51" i="24" s="1"/>
  <c r="NH46" i="24" a="1"/>
  <c r="NH46" i="24" s="1"/>
  <c r="I45" i="24"/>
  <c r="H45" i="24" s="1"/>
  <c r="C45" i="24" s="1"/>
  <c r="NH89" i="24" a="1"/>
  <c r="NH89" i="24" s="1"/>
  <c r="I85" i="24"/>
  <c r="H85" i="24" s="1"/>
  <c r="C85" i="24" s="1"/>
  <c r="I67" i="24"/>
  <c r="H67" i="24" s="1"/>
  <c r="C67" i="24" s="1"/>
  <c r="NH60" i="24" a="1"/>
  <c r="NH60" i="24" s="1"/>
  <c r="NH53" i="24" a="1"/>
  <c r="NH53" i="24" s="1"/>
  <c r="I51" i="24"/>
  <c r="H51" i="24" s="1"/>
  <c r="C51" i="24" s="1"/>
  <c r="NH47" i="24" a="1"/>
  <c r="NH47" i="24" s="1"/>
  <c r="I46" i="24"/>
  <c r="H46" i="24" s="1"/>
  <c r="C46" i="24" s="1"/>
  <c r="I89" i="24"/>
  <c r="H89" i="24" s="1"/>
  <c r="C89" i="24" s="1"/>
  <c r="NH80" i="24" a="1"/>
  <c r="NH80" i="24" s="1"/>
  <c r="NH76" i="24" a="1"/>
  <c r="NH76" i="24" s="1"/>
  <c r="NH73" i="24" a="1"/>
  <c r="NH73" i="24" s="1"/>
  <c r="NH62" i="24" a="1"/>
  <c r="NH62" i="24" s="1"/>
  <c r="NH55" i="24" a="1"/>
  <c r="NH55" i="24" s="1"/>
  <c r="I53" i="24"/>
  <c r="H53" i="24" s="1"/>
  <c r="C53" i="24" s="1"/>
  <c r="I47" i="24"/>
  <c r="H47" i="24" s="1"/>
  <c r="C47" i="24" s="1"/>
  <c r="NH84" i="24" a="1"/>
  <c r="NH84" i="24" s="1"/>
  <c r="I73" i="24"/>
  <c r="H73" i="24" s="1"/>
  <c r="C73" i="24" s="1"/>
  <c r="NH72" i="24" a="1"/>
  <c r="NH72" i="24" s="1"/>
  <c r="NH71" i="24" a="1"/>
  <c r="NH71" i="24" s="1"/>
  <c r="NH69" i="24" a="1"/>
  <c r="NH69" i="24" s="1"/>
  <c r="NH64" i="24" a="1"/>
  <c r="NH64" i="24" s="1"/>
  <c r="I77" i="24"/>
  <c r="H77" i="24" s="1"/>
  <c r="C77" i="24" s="1"/>
  <c r="NH68" i="24" a="1"/>
  <c r="NH68" i="24" s="1"/>
  <c r="NH61" i="24" a="1"/>
  <c r="NH61" i="24" s="1"/>
  <c r="I59" i="24"/>
  <c r="H59" i="24" s="1"/>
  <c r="C59" i="24" s="1"/>
  <c r="NH52" i="24" a="1"/>
  <c r="NH52" i="24" s="1"/>
  <c r="NH50" i="24" a="1"/>
  <c r="NH50" i="24" s="1"/>
  <c r="I49" i="24"/>
  <c r="H49" i="24" s="1"/>
  <c r="C49" i="24" s="1"/>
  <c r="I43" i="24"/>
  <c r="H43" i="24" s="1"/>
  <c r="C43" i="24" s="1"/>
  <c r="I41" i="24"/>
  <c r="H41" i="24" s="1"/>
  <c r="C41" i="24" s="1"/>
  <c r="I37" i="24"/>
  <c r="H37" i="24" s="1"/>
  <c r="C37" i="24" s="1"/>
  <c r="I33" i="24"/>
  <c r="H33" i="24" s="1"/>
  <c r="C33" i="24" s="1"/>
  <c r="I29" i="24"/>
  <c r="H29" i="24" s="1"/>
  <c r="C29" i="24" s="1"/>
  <c r="I25" i="24"/>
  <c r="H25" i="24" s="1"/>
  <c r="C25" i="24" s="1"/>
  <c r="NH77" i="24" a="1"/>
  <c r="NH77" i="24" s="1"/>
  <c r="NH57" i="24" a="1"/>
  <c r="NH57" i="24" s="1"/>
  <c r="NH42" i="24" a="1"/>
  <c r="NH42" i="24" s="1"/>
  <c r="NH41" i="24" a="1"/>
  <c r="NH41" i="24" s="1"/>
  <c r="I39" i="24"/>
  <c r="H39" i="24" s="1"/>
  <c r="C39" i="24" s="1"/>
  <c r="NH33" i="24" a="1"/>
  <c r="NH33" i="24" s="1"/>
  <c r="NH27" i="24" a="1"/>
  <c r="NH27" i="24" s="1"/>
  <c r="I26" i="24"/>
  <c r="H26" i="24" s="1"/>
  <c r="C26" i="24" s="1"/>
  <c r="NH20" i="24" a="1"/>
  <c r="NH20" i="24" s="1"/>
  <c r="NH16" i="24" a="1"/>
  <c r="NH16" i="24" s="1"/>
  <c r="NH12" i="24" a="1"/>
  <c r="NH12" i="24" s="1"/>
  <c r="NH8" i="24" a="1"/>
  <c r="NH8" i="24" s="1"/>
  <c r="I57" i="24"/>
  <c r="H57" i="24" s="1"/>
  <c r="C57" i="24" s="1"/>
  <c r="I42" i="24"/>
  <c r="H42" i="24" s="1"/>
  <c r="C42" i="24" s="1"/>
  <c r="NH34" i="24" a="1"/>
  <c r="NH34" i="24" s="1"/>
  <c r="NH28" i="24" a="1"/>
  <c r="NH28" i="24" s="1"/>
  <c r="I27" i="24"/>
  <c r="H27" i="24" s="1"/>
  <c r="C27" i="24" s="1"/>
  <c r="I20" i="24"/>
  <c r="H20" i="24" s="1"/>
  <c r="C20" i="24" s="1"/>
  <c r="I16" i="24"/>
  <c r="H16" i="24" s="1"/>
  <c r="C16" i="24" s="1"/>
  <c r="I12" i="24"/>
  <c r="H12" i="24" s="1"/>
  <c r="C12" i="24" s="1"/>
  <c r="I8" i="24"/>
  <c r="H8" i="24" s="1"/>
  <c r="C8" i="24" s="1"/>
  <c r="NH59" i="24" a="1"/>
  <c r="NH59" i="24" s="1"/>
  <c r="NH44" i="24" a="1"/>
  <c r="NH44" i="24" s="1"/>
  <c r="NH35" i="24" a="1"/>
  <c r="NH35" i="24" s="1"/>
  <c r="I34" i="24"/>
  <c r="H34" i="24" s="1"/>
  <c r="C34" i="24" s="1"/>
  <c r="I28" i="24"/>
  <c r="H28" i="24" s="1"/>
  <c r="C28" i="24" s="1"/>
  <c r="NH19" i="24" a="1"/>
  <c r="NH19" i="24" s="1"/>
  <c r="NH15" i="24" a="1"/>
  <c r="NH15" i="24" s="1"/>
  <c r="NH11" i="24" a="1"/>
  <c r="NH11" i="24" s="1"/>
  <c r="NH7" i="24" a="1"/>
  <c r="NH7" i="24" s="1"/>
  <c r="I50" i="24"/>
  <c r="H50" i="24" s="1"/>
  <c r="C50" i="24" s="1"/>
  <c r="NH49" i="24" a="1"/>
  <c r="NH49" i="24" s="1"/>
  <c r="NN35" i="24" a="1"/>
  <c r="NN35" i="24" s="1"/>
  <c r="NS35" i="24" s="1" a="1"/>
  <c r="NS35" i="24" s="1"/>
  <c r="NH40" i="24" a="1"/>
  <c r="NH40" i="24" s="1"/>
  <c r="NH36" i="24" a="1"/>
  <c r="NH36" i="24" s="1"/>
  <c r="I35" i="24"/>
  <c r="H35" i="24" s="1"/>
  <c r="C35" i="24" s="1"/>
  <c r="NH29" i="24" a="1"/>
  <c r="NH29" i="24" s="1"/>
  <c r="NH23" i="24" a="1"/>
  <c r="NH23" i="24" s="1"/>
  <c r="I19" i="24"/>
  <c r="H19" i="24" s="1"/>
  <c r="C19" i="24" s="1"/>
  <c r="I15" i="24"/>
  <c r="H15" i="24" s="1"/>
  <c r="C15" i="24" s="1"/>
  <c r="I11" i="24"/>
  <c r="H11" i="24" s="1"/>
  <c r="C11" i="24" s="1"/>
  <c r="I7" i="24"/>
  <c r="H7" i="24" s="1"/>
  <c r="C7" i="24" s="1"/>
  <c r="NN92" i="24" a="1"/>
  <c r="NN92" i="24" s="1"/>
  <c r="NS92" i="24" s="1" a="1"/>
  <c r="NS92" i="24" s="1"/>
  <c r="NN81" i="24" a="1"/>
  <c r="NN81" i="24" s="1"/>
  <c r="NS81" i="24" s="1" a="1"/>
  <c r="NS81" i="24" s="1"/>
  <c r="NN64" i="24" a="1"/>
  <c r="NN64" i="24" s="1"/>
  <c r="NS64" i="24" s="1" a="1"/>
  <c r="NS64" i="24" s="1"/>
  <c r="NV56" i="24" a="1"/>
  <c r="NV56" i="24" s="1"/>
  <c r="NH48" i="24" a="1"/>
  <c r="NH48" i="24" s="1"/>
  <c r="NH37" i="24" a="1"/>
  <c r="NH37" i="24" s="1"/>
  <c r="NH88" i="24" a="1"/>
  <c r="NH88" i="24" s="1"/>
  <c r="NH66" i="24" a="1"/>
  <c r="NH66" i="24" s="1"/>
  <c r="I61" i="24"/>
  <c r="H61" i="24" s="1"/>
  <c r="C61" i="24" s="1"/>
  <c r="I40" i="24"/>
  <c r="H40" i="24" s="1"/>
  <c r="C40" i="24" s="1"/>
  <c r="I36" i="24"/>
  <c r="H36" i="24" s="1"/>
  <c r="C36" i="24" s="1"/>
  <c r="NH30" i="24" a="1"/>
  <c r="NH30" i="24" s="1"/>
  <c r="NH24" i="24" a="1"/>
  <c r="NH24" i="24" s="1"/>
  <c r="I23" i="24"/>
  <c r="H23" i="24" s="1"/>
  <c r="C23" i="24" s="1"/>
  <c r="NH22" i="24" a="1"/>
  <c r="NH22" i="24" s="1"/>
  <c r="NH18" i="24" a="1"/>
  <c r="NH18" i="24" s="1"/>
  <c r="NH14" i="24" a="1"/>
  <c r="NH14" i="24" s="1"/>
  <c r="NH10" i="24" a="1"/>
  <c r="NH10" i="24" s="1"/>
  <c r="NH6" i="24" a="1"/>
  <c r="NH6" i="24" s="1"/>
  <c r="NH63" i="24" a="1"/>
  <c r="NH63" i="24" s="1"/>
  <c r="NH43" i="24" a="1"/>
  <c r="NH43" i="24" s="1"/>
  <c r="NV33" i="24" a="1"/>
  <c r="NV33" i="24" s="1"/>
  <c r="NH91" i="24" a="1"/>
  <c r="NH91" i="24" s="1"/>
  <c r="I71" i="24"/>
  <c r="H71" i="24" s="1"/>
  <c r="C71" i="24" s="1"/>
  <c r="I69" i="24"/>
  <c r="H69" i="24" s="1"/>
  <c r="C69" i="24" s="1"/>
  <c r="NH38" i="24" a="1"/>
  <c r="NH38" i="24" s="1"/>
  <c r="NH32" i="24" a="1"/>
  <c r="NH32" i="24" s="1"/>
  <c r="I31" i="24"/>
  <c r="H31" i="24" s="1"/>
  <c r="C31" i="24" s="1"/>
  <c r="NH25" i="24" a="1"/>
  <c r="NH25" i="24" s="1"/>
  <c r="NH21" i="24" a="1"/>
  <c r="NH21" i="24" s="1"/>
  <c r="NH17" i="24" a="1"/>
  <c r="NH17" i="24" s="1"/>
  <c r="NH13" i="24" a="1"/>
  <c r="NH13" i="24" s="1"/>
  <c r="NH9" i="24" a="1"/>
  <c r="NH9" i="24" s="1"/>
  <c r="NV65" i="24" a="1"/>
  <c r="NV65" i="24" s="1"/>
  <c r="NN58" i="24" a="1"/>
  <c r="NN58" i="24" s="1"/>
  <c r="NS58" i="24" s="1" a="1"/>
  <c r="NS58" i="24" s="1"/>
  <c r="I55" i="24"/>
  <c r="H55" i="24" s="1"/>
  <c r="C55" i="24" s="1"/>
  <c r="NH54" i="24" a="1"/>
  <c r="NH54" i="24" s="1"/>
  <c r="NN40" i="24" a="1"/>
  <c r="NN40" i="24" s="1"/>
  <c r="NH39" i="24" a="1"/>
  <c r="NH39" i="24" s="1"/>
  <c r="I38" i="24"/>
  <c r="H38" i="24" s="1"/>
  <c r="C38" i="24" s="1"/>
  <c r="NN37" i="24" a="1"/>
  <c r="NN37" i="24" s="1"/>
  <c r="NS37" i="24" s="1" a="1"/>
  <c r="NS37" i="24" s="1"/>
  <c r="I32" i="24"/>
  <c r="H32" i="24" s="1"/>
  <c r="C32" i="24" s="1"/>
  <c r="NN30" i="24" a="1"/>
  <c r="NN30" i="24" s="1"/>
  <c r="NS30" i="24" s="1" a="1"/>
  <c r="NS30" i="24" s="1"/>
  <c r="I24" i="24"/>
  <c r="H24" i="24" s="1"/>
  <c r="C24" i="24" s="1"/>
  <c r="I14" i="24"/>
  <c r="H14" i="24" s="1"/>
  <c r="C14" i="24" s="1"/>
  <c r="I9" i="24"/>
  <c r="H9" i="24" s="1"/>
  <c r="C9" i="24" s="1"/>
  <c r="I30" i="24"/>
  <c r="H30" i="24" s="1"/>
  <c r="C30" i="24" s="1"/>
  <c r="I10" i="24"/>
  <c r="H10" i="24" s="1"/>
  <c r="C10" i="24" s="1"/>
  <c r="I21" i="24"/>
  <c r="H21" i="24" s="1"/>
  <c r="C21" i="24" s="1"/>
  <c r="NN29" i="24" a="1"/>
  <c r="NN29" i="24" s="1"/>
  <c r="I22" i="24"/>
  <c r="H22" i="24" s="1"/>
  <c r="C22" i="24" s="1"/>
  <c r="I6" i="24"/>
  <c r="H6" i="24" s="1"/>
  <c r="C6" i="24" s="1"/>
  <c r="NH26" i="24" a="1"/>
  <c r="NH26" i="24" s="1"/>
  <c r="I17" i="24"/>
  <c r="H17" i="24" s="1"/>
  <c r="C17" i="24" s="1"/>
  <c r="I18" i="24"/>
  <c r="H18" i="24" s="1"/>
  <c r="C18" i="24" s="1"/>
  <c r="NH31" i="24" a="1"/>
  <c r="NH31" i="24" s="1"/>
  <c r="NV28" i="24" a="1"/>
  <c r="NV28" i="24" s="1"/>
  <c r="NN24" i="24" a="1"/>
  <c r="NN24" i="24" s="1"/>
  <c r="NS24" i="24" s="1" a="1"/>
  <c r="NS24" i="24" s="1"/>
  <c r="I13" i="24"/>
  <c r="H13" i="24" s="1"/>
  <c r="C13" i="24" s="1"/>
  <c r="NV14" i="24" a="1"/>
  <c r="NV14" i="24" s="1"/>
  <c r="NN86" i="24" a="1"/>
  <c r="NN86" i="24" s="1"/>
  <c r="NS86" i="24" s="1" a="1"/>
  <c r="NS86" i="24" s="1"/>
  <c r="NV22" i="24" a="1"/>
  <c r="NV22" i="24" s="1"/>
  <c r="NV6" i="24" a="1"/>
  <c r="NV6" i="24" s="1"/>
  <c r="NN32" i="24" a="1"/>
  <c r="NN32" i="24" s="1"/>
  <c r="NV21" i="24" a="1"/>
  <c r="NV21" i="24" s="1"/>
  <c r="NV40" i="24" a="1"/>
  <c r="NV40" i="24" s="1"/>
  <c r="NV60" i="24" a="1"/>
  <c r="NV60" i="24" s="1"/>
  <c r="NV76" i="24" a="1"/>
  <c r="NV76" i="24" s="1"/>
  <c r="NN28" i="24" a="1"/>
  <c r="NN28" i="24" s="1"/>
  <c r="NS28" i="24" s="1" a="1"/>
  <c r="NS28" i="24" s="1"/>
  <c r="NV34" i="24" a="1"/>
  <c r="NV34" i="24" s="1"/>
  <c r="NV70" i="24" a="1"/>
  <c r="NV70" i="24" s="1"/>
  <c r="NN21" i="24" a="1"/>
  <c r="NN21" i="24" s="1"/>
  <c r="NS21" i="24" s="1" a="1"/>
  <c r="NS21" i="24" s="1"/>
  <c r="NV54" i="24" a="1"/>
  <c r="NV54" i="24" s="1"/>
  <c r="NV43" i="24" a="1"/>
  <c r="NV43" i="24" s="1"/>
  <c r="NV55" i="24" a="1"/>
  <c r="NV55" i="24" s="1"/>
  <c r="NV75" i="24" a="1"/>
  <c r="NV75" i="24" s="1"/>
  <c r="NV80" i="24" a="1"/>
  <c r="NV80" i="24" s="1"/>
  <c r="NV69" i="24" a="1"/>
  <c r="NV69" i="24" s="1"/>
  <c r="NV26" i="24" a="1"/>
  <c r="NV26" i="24" s="1"/>
  <c r="NN7" i="24" a="1"/>
  <c r="NN7" i="24" s="1"/>
  <c r="NV27" i="24" a="1"/>
  <c r="NV27" i="24" s="1"/>
  <c r="NN10" i="24" a="1"/>
  <c r="NN10" i="24" s="1"/>
  <c r="NV61" i="24" a="1"/>
  <c r="NV61" i="24" s="1"/>
  <c r="NV18" i="24" a="1"/>
  <c r="NV18" i="24" s="1"/>
  <c r="NV23" i="24" a="1"/>
  <c r="NV23" i="24" s="1"/>
  <c r="NV17" i="24" a="1"/>
  <c r="NV17" i="24" s="1"/>
  <c r="NV63" i="24" a="1"/>
  <c r="NV63" i="24" s="1"/>
  <c r="NV57" i="24" a="1"/>
  <c r="NV57" i="24" s="1"/>
  <c r="NV62" i="24" a="1"/>
  <c r="NV62" i="24" s="1"/>
  <c r="NV87" i="24" a="1"/>
  <c r="NV87" i="24" s="1"/>
  <c r="NV84" i="24" a="1"/>
  <c r="NV84" i="24" s="1"/>
  <c r="NV81" i="24" a="1"/>
  <c r="NV81" i="24" s="1"/>
  <c r="NV92" i="24" a="1"/>
  <c r="NV92" i="24" s="1"/>
  <c r="NV38" i="24" a="1"/>
  <c r="NV38" i="24" s="1"/>
  <c r="NN82" i="24" a="1"/>
  <c r="NN82" i="24" s="1"/>
  <c r="NN54" i="24" a="1"/>
  <c r="NN54" i="24" s="1"/>
  <c r="NS54" i="24" s="1" a="1"/>
  <c r="NS54" i="24" s="1"/>
  <c r="NN74" i="24" a="1"/>
  <c r="NN74" i="24" s="1"/>
  <c r="NN76" i="24" a="1"/>
  <c r="NN76" i="24" s="1"/>
  <c r="NS76" i="24" s="1" a="1"/>
  <c r="NS76" i="24" s="1"/>
  <c r="NN71" i="24" a="1"/>
  <c r="NN71" i="24" s="1"/>
  <c r="NS71" i="24" s="1" a="1"/>
  <c r="NS71" i="24" s="1"/>
  <c r="NN47" i="24" a="1"/>
  <c r="NN47" i="24" s="1"/>
  <c r="NV20" i="24" a="1"/>
  <c r="NV20" i="24" s="1"/>
  <c r="NN67" i="24" a="1"/>
  <c r="NN67" i="24" s="1"/>
  <c r="NN23" i="24" a="1"/>
  <c r="NN23" i="24" s="1"/>
  <c r="NV7" i="24" a="1"/>
  <c r="NV7" i="24" s="1"/>
  <c r="NN78" i="24" a="1"/>
  <c r="NN78" i="24" s="1"/>
  <c r="NS78" i="24" s="1" a="1"/>
  <c r="NS78" i="24" s="1"/>
  <c r="NV29" i="24" a="1"/>
  <c r="NV29" i="24" s="1"/>
  <c r="NV49" i="24" a="1"/>
  <c r="NV49" i="24" s="1"/>
  <c r="NV83" i="24" a="1"/>
  <c r="NV83" i="24" s="1"/>
  <c r="NV45" i="24" a="1"/>
  <c r="NV45" i="24" s="1"/>
  <c r="NN62" i="24" a="1"/>
  <c r="NN62" i="24" s="1"/>
  <c r="NS62" i="24" s="1" a="1"/>
  <c r="NS62" i="24" s="1"/>
  <c r="NN77" i="24" a="1"/>
  <c r="NN77" i="24" s="1"/>
  <c r="NN68" i="24" a="1"/>
  <c r="NN68" i="24" s="1"/>
  <c r="NN72" i="24" a="1"/>
  <c r="NN72" i="24" s="1"/>
  <c r="NS72" i="24" s="1" a="1"/>
  <c r="NS72" i="24" s="1"/>
  <c r="NV8" i="24" a="1"/>
  <c r="NV8" i="24" s="1"/>
  <c r="NV11" i="24" a="1"/>
  <c r="NV11" i="24" s="1"/>
  <c r="NV30" i="24" a="1"/>
  <c r="NV30" i="24" s="1"/>
  <c r="NN20" i="24" a="1"/>
  <c r="NN20" i="24" s="1"/>
  <c r="NS20" i="24" s="1" a="1"/>
  <c r="NS20" i="24" s="1"/>
  <c r="NN43" i="24" a="1"/>
  <c r="NN43" i="24" s="1"/>
  <c r="NN65" i="24" a="1"/>
  <c r="NN65" i="24" s="1"/>
  <c r="NN69" i="24" a="1"/>
  <c r="NN69" i="24" s="1"/>
  <c r="NS69" i="24" s="1" a="1"/>
  <c r="NS69" i="24" s="1"/>
  <c r="NN73" i="24" a="1"/>
  <c r="NN73" i="24" s="1"/>
  <c r="NS73" i="24" s="1" a="1"/>
  <c r="NS73" i="24" s="1"/>
  <c r="NN90" i="24" a="1"/>
  <c r="NN90" i="24" s="1"/>
  <c r="NS90" i="24" s="1" a="1"/>
  <c r="NS90" i="24" s="1"/>
  <c r="NV50" i="24" a="1"/>
  <c r="NV50" i="24" s="1"/>
  <c r="NN17" i="24" a="1"/>
  <c r="NN17" i="24" s="1"/>
  <c r="NS17" i="24" s="1" a="1"/>
  <c r="NS17" i="24" s="1"/>
  <c r="NV79" i="24" a="1"/>
  <c r="NV79" i="24" s="1"/>
  <c r="NV52" i="24" a="1"/>
  <c r="NV52" i="24" s="1"/>
  <c r="NN16" i="24" a="1"/>
  <c r="NN16" i="24" s="1"/>
  <c r="NV64" i="24" a="1"/>
  <c r="NV64" i="24" s="1"/>
  <c r="NV91" i="24" a="1"/>
  <c r="NV91" i="24" s="1"/>
  <c r="NV47" i="24" a="1"/>
  <c r="NV47" i="24" s="1"/>
  <c r="NV88" i="24" a="1"/>
  <c r="NV88" i="24" s="1"/>
  <c r="NV85" i="24" a="1"/>
  <c r="NV85" i="24" s="1"/>
  <c r="NV31" i="24" a="1"/>
  <c r="NV31" i="24" s="1"/>
  <c r="NN61" i="24" a="1"/>
  <c r="NN61" i="24" s="1"/>
  <c r="NN89" i="24" a="1"/>
  <c r="NN89" i="24" s="1"/>
  <c r="NN85" i="24" a="1"/>
  <c r="NN85" i="24" s="1"/>
  <c r="NN75" i="24" a="1"/>
  <c r="NN75" i="24" s="1"/>
  <c r="NS75" i="24" s="1" a="1"/>
  <c r="NS75" i="24" s="1"/>
  <c r="NN80" i="24" a="1"/>
  <c r="NN80" i="24" s="1"/>
  <c r="NS80" i="24" s="1" a="1"/>
  <c r="NS80" i="24" s="1"/>
  <c r="NN46" i="24" a="1"/>
  <c r="NN46" i="24" s="1"/>
  <c r="NN19" i="24" a="1"/>
  <c r="NN19" i="24" s="1"/>
  <c r="NS19" i="24" s="1" a="1"/>
  <c r="NS19" i="24" s="1"/>
  <c r="NV59" i="24" a="1"/>
  <c r="NV59" i="24" s="1"/>
  <c r="NN22" i="24" a="1"/>
  <c r="NN22" i="24" s="1"/>
  <c r="NN6" i="24" a="1"/>
  <c r="NN6" i="24" s="1"/>
  <c r="NV46" i="24" a="1"/>
  <c r="NV46" i="24" s="1"/>
  <c r="NT176" i="24" l="1" a="1"/>
  <c r="NT176" i="24" s="1"/>
  <c r="NT174" i="24" a="1"/>
  <c r="NT174" i="24" s="1"/>
  <c r="NT105" i="24" a="1"/>
  <c r="NT105" i="24" s="1"/>
  <c r="NT128" i="24" a="1"/>
  <c r="NT128" i="24" s="1"/>
  <c r="NT160" i="24" a="1"/>
  <c r="NT160" i="24" s="1"/>
  <c r="NT155" i="24" a="1"/>
  <c r="NT155" i="24" s="1"/>
  <c r="NT103" i="24" a="1"/>
  <c r="NT103" i="24" s="1"/>
  <c r="NT134" i="24" a="1"/>
  <c r="NT134" i="24" s="1"/>
  <c r="NT159" i="24" a="1"/>
  <c r="NT159" i="24" s="1"/>
  <c r="OF50" i="24" a="1"/>
  <c r="OF50" i="24" s="1"/>
  <c r="OG50" i="24" s="1" a="1"/>
  <c r="OG50" i="24" s="1"/>
  <c r="OF60" i="24" a="1"/>
  <c r="OF60" i="24" s="1"/>
  <c r="OG60" i="24" s="1" a="1"/>
  <c r="OG60" i="24" s="1"/>
  <c r="NK6" i="24" a="1"/>
  <c r="NK6" i="24" s="1"/>
  <c r="NL6" i="24" s="1" a="1"/>
  <c r="NL6" i="24" s="1"/>
  <c r="OF39" i="24" a="1"/>
  <c r="OF39" i="24" s="1"/>
  <c r="OG39" i="24" s="1" a="1"/>
  <c r="OG39" i="24" s="1"/>
  <c r="NS172" i="24" a="1"/>
  <c r="NS172" i="24" s="1"/>
  <c r="NT172" i="24" s="1" a="1"/>
  <c r="NT172" i="24" s="1"/>
  <c r="OF162" i="24" a="1"/>
  <c r="OF162" i="24" s="1"/>
  <c r="OG162" i="24" s="1" a="1"/>
  <c r="OG162" i="24" s="1"/>
  <c r="NS161" i="24" a="1"/>
  <c r="NS161" i="24" s="1"/>
  <c r="NT161" i="24" s="1" a="1"/>
  <c r="NT161" i="24" s="1"/>
  <c r="OF168" i="24" a="1"/>
  <c r="OF168" i="24" s="1"/>
  <c r="OG168" i="24" s="1" a="1"/>
  <c r="OG168" i="24" s="1"/>
  <c r="OF98" i="24" a="1"/>
  <c r="OF98" i="24" s="1"/>
  <c r="OG98" i="24" s="1" a="1"/>
  <c r="OG98" i="24" s="1"/>
  <c r="NS143" i="24" a="1"/>
  <c r="NS143" i="24" s="1"/>
  <c r="NT143" i="24" s="1" a="1"/>
  <c r="NT143" i="24" s="1"/>
  <c r="OF123" i="24" a="1"/>
  <c r="OF123" i="24" s="1"/>
  <c r="OG123" i="24" s="1" a="1"/>
  <c r="OG123" i="24" s="1"/>
  <c r="OF145" i="24" a="1"/>
  <c r="OF145" i="24" s="1"/>
  <c r="OG145" i="24" s="1" a="1"/>
  <c r="OG145" i="24" s="1"/>
  <c r="NS164" i="24" a="1"/>
  <c r="NS164" i="24" s="1"/>
  <c r="NT164" i="24" s="1" a="1"/>
  <c r="NT164" i="24" s="1"/>
  <c r="OF156" i="24" a="1"/>
  <c r="OF156" i="24" s="1"/>
  <c r="OG156" i="24" s="1" a="1"/>
  <c r="OG156" i="24" s="1"/>
  <c r="NS121" i="24" a="1"/>
  <c r="NS121" i="24" s="1"/>
  <c r="NT121" i="24" s="1" a="1"/>
  <c r="NT121" i="24" s="1"/>
  <c r="OF149" i="24" a="1"/>
  <c r="OF149" i="24" s="1"/>
  <c r="OG149" i="24" s="1" a="1"/>
  <c r="OG149" i="24" s="1"/>
  <c r="OF47" i="24" a="1"/>
  <c r="OF47" i="24" s="1"/>
  <c r="OG47" i="24" s="1" a="1"/>
  <c r="OG47" i="24" s="1"/>
  <c r="OF8" i="24" a="1"/>
  <c r="OF8" i="24" s="1"/>
  <c r="OG8" i="24" s="1" a="1"/>
  <c r="OG8" i="24" s="1"/>
  <c r="OF29" i="24" a="1"/>
  <c r="OF29" i="24" s="1"/>
  <c r="OG29" i="24" s="1" a="1"/>
  <c r="OG29" i="24" s="1"/>
  <c r="OF87" i="24" a="1"/>
  <c r="OF87" i="24" s="1"/>
  <c r="OG87" i="24" s="1" a="1"/>
  <c r="OG87" i="24" s="1"/>
  <c r="NS10" i="24" a="1"/>
  <c r="NS10" i="24" s="1"/>
  <c r="OF43" i="24" a="1"/>
  <c r="OF43" i="24" s="1"/>
  <c r="OG43" i="24" s="1" a="1"/>
  <c r="OG43" i="24" s="1"/>
  <c r="OF40" i="24" a="1"/>
  <c r="OF40" i="24" s="1"/>
  <c r="OG40" i="24" s="1" a="1"/>
  <c r="OG40" i="24" s="1"/>
  <c r="NS29" i="24" a="1"/>
  <c r="NS29" i="24" s="1"/>
  <c r="OF65" i="24" a="1"/>
  <c r="OF65" i="24" s="1"/>
  <c r="OG65" i="24" s="1" a="1"/>
  <c r="OG65" i="24" s="1"/>
  <c r="NK38" i="24" a="1"/>
  <c r="NK38" i="24" s="1"/>
  <c r="NL38" i="24" s="1" a="1"/>
  <c r="NL38" i="24" s="1"/>
  <c r="NK10" i="24" a="1"/>
  <c r="NK10" i="24" s="1"/>
  <c r="NL10" i="24" s="1" a="1"/>
  <c r="NL10" i="24" s="1"/>
  <c r="NK15" i="24" a="1"/>
  <c r="NK15" i="24" s="1"/>
  <c r="NL15" i="24" s="1" a="1"/>
  <c r="NL15" i="24" s="1"/>
  <c r="NK8" i="24" a="1"/>
  <c r="NK8" i="24" s="1"/>
  <c r="NL8" i="24" s="1" a="1"/>
  <c r="NL8" i="24" s="1"/>
  <c r="NK41" i="24" a="1"/>
  <c r="NK41" i="24" s="1"/>
  <c r="NL41" i="24" s="1" a="1"/>
  <c r="NL41" i="24" s="1"/>
  <c r="NK47" i="24" a="1"/>
  <c r="NK47" i="24" s="1"/>
  <c r="NL47" i="24" s="1" a="1"/>
  <c r="NL47" i="24" s="1"/>
  <c r="NK46" i="24" a="1"/>
  <c r="NK46" i="24" s="1"/>
  <c r="NL46" i="24" s="1" a="1"/>
  <c r="NL46" i="24" s="1"/>
  <c r="NK56" i="24" a="1"/>
  <c r="NK56" i="24" s="1"/>
  <c r="NL56" i="24" s="1" a="1"/>
  <c r="NL56" i="24" s="1"/>
  <c r="NK70" i="24" a="1"/>
  <c r="NK70" i="24" s="1"/>
  <c r="NL70" i="24" s="1" a="1"/>
  <c r="NL70" i="24" s="1"/>
  <c r="OF86" i="24" a="1"/>
  <c r="OF86" i="24" s="1"/>
  <c r="OG86" i="24" s="1" a="1"/>
  <c r="OG86" i="24" s="1"/>
  <c r="OF12" i="24" a="1"/>
  <c r="OF12" i="24" s="1"/>
  <c r="OG12" i="24" s="1" a="1"/>
  <c r="OG12" i="24" s="1"/>
  <c r="OF67" i="24" a="1"/>
  <c r="OF67" i="24" s="1"/>
  <c r="OG67" i="24" s="1" a="1"/>
  <c r="OG67" i="24" s="1"/>
  <c r="OF78" i="24" a="1"/>
  <c r="OF78" i="24" s="1"/>
  <c r="OG78" i="24" s="1" a="1"/>
  <c r="OG78" i="24" s="1"/>
  <c r="NS154" i="24" a="1"/>
  <c r="NS154" i="24" s="1"/>
  <c r="NT154" i="24" s="1" a="1"/>
  <c r="NT154" i="24" s="1"/>
  <c r="NS107" i="24" a="1"/>
  <c r="NS107" i="24" s="1"/>
  <c r="NT107" i="24" s="1" a="1"/>
  <c r="NT107" i="24" s="1"/>
  <c r="OF118" i="24" a="1"/>
  <c r="OF118" i="24" s="1"/>
  <c r="OG118" i="24" s="1" a="1"/>
  <c r="OG118" i="24" s="1"/>
  <c r="NS122" i="24" a="1"/>
  <c r="NS122" i="24" s="1"/>
  <c r="NT122" i="24" s="1" a="1"/>
  <c r="NT122" i="24" s="1"/>
  <c r="NS135" i="24" a="1"/>
  <c r="NS135" i="24" s="1"/>
  <c r="NT135" i="24" s="1" a="1"/>
  <c r="NT135" i="24" s="1"/>
  <c r="OF144" i="24" a="1"/>
  <c r="OF144" i="24" s="1"/>
  <c r="OG144" i="24" s="1" a="1"/>
  <c r="OG144" i="24" s="1"/>
  <c r="OF112" i="24" a="1"/>
  <c r="OF112" i="24" s="1"/>
  <c r="OG112" i="24" s="1" a="1"/>
  <c r="OG112" i="24" s="1"/>
  <c r="OF154" i="24" a="1"/>
  <c r="OF154" i="24" s="1"/>
  <c r="OG154" i="24" s="1" a="1"/>
  <c r="OG154" i="24" s="1"/>
  <c r="OF175" i="24" a="1"/>
  <c r="OF175" i="24" s="1"/>
  <c r="OG175" i="24" s="1" a="1"/>
  <c r="OG175" i="24" s="1"/>
  <c r="OF102" i="24" a="1"/>
  <c r="OF102" i="24" s="1"/>
  <c r="OG102" i="24" s="1" a="1"/>
  <c r="OG102" i="24" s="1"/>
  <c r="OF137" i="24" a="1"/>
  <c r="OF137" i="24" s="1"/>
  <c r="OG137" i="24" s="1" a="1"/>
  <c r="OG137" i="24" s="1"/>
  <c r="NK113" i="24" a="1"/>
  <c r="NK113" i="24" s="1"/>
  <c r="NL113" i="24" s="1" a="1"/>
  <c r="NL113" i="24" s="1"/>
  <c r="NS175" i="24" a="1"/>
  <c r="NS175" i="24" s="1"/>
  <c r="NT175" i="24" s="1" a="1"/>
  <c r="NT175" i="24" s="1"/>
  <c r="OF171" i="24" a="1"/>
  <c r="OF171" i="24" s="1"/>
  <c r="OG171" i="24" s="1" a="1"/>
  <c r="OG171" i="24" s="1"/>
  <c r="OF93" i="24" a="1"/>
  <c r="OF93" i="24" s="1"/>
  <c r="OG93" i="24" s="1" a="1"/>
  <c r="OG93" i="24" s="1"/>
  <c r="NS158" i="24" a="1"/>
  <c r="NS158" i="24" s="1"/>
  <c r="NT158" i="24" s="1" a="1"/>
  <c r="NT158" i="24" s="1"/>
  <c r="NS109" i="24" a="1"/>
  <c r="NS109" i="24" s="1"/>
  <c r="NT109" i="24" s="1" a="1"/>
  <c r="NT109" i="24" s="1"/>
  <c r="OF105" i="24" a="1"/>
  <c r="OF105" i="24" s="1"/>
  <c r="OG105" i="24" s="1" a="1"/>
  <c r="OG105" i="24" s="1"/>
  <c r="NS124" i="24" a="1"/>
  <c r="NS124" i="24" s="1"/>
  <c r="NT124" i="24" s="1" a="1"/>
  <c r="NT124" i="24" s="1"/>
  <c r="OF110" i="24" a="1"/>
  <c r="OF110" i="24" s="1"/>
  <c r="OG110" i="24" s="1" a="1"/>
  <c r="OG110" i="24" s="1"/>
  <c r="NS126" i="24" a="1"/>
  <c r="NS126" i="24" s="1"/>
  <c r="NT126" i="24" s="1" a="1"/>
  <c r="NT126" i="24" s="1"/>
  <c r="OF147" i="24" a="1"/>
  <c r="OF147" i="24" s="1"/>
  <c r="OG147" i="24" s="1" a="1"/>
  <c r="OG147" i="24" s="1"/>
  <c r="OF61" i="24" a="1"/>
  <c r="OF61" i="24" s="1"/>
  <c r="OG61" i="24" s="1" a="1"/>
  <c r="OG61" i="24" s="1"/>
  <c r="NK32" i="24" a="1"/>
  <c r="NK32" i="24" s="1"/>
  <c r="NL32" i="24" s="1" a="1"/>
  <c r="NL32" i="24" s="1"/>
  <c r="NK68" i="24" a="1"/>
  <c r="NK68" i="24" s="1"/>
  <c r="NL68" i="24" s="1" a="1"/>
  <c r="NL68" i="24" s="1"/>
  <c r="OF35" i="24" a="1"/>
  <c r="OF35" i="24" s="1"/>
  <c r="OG35" i="24" s="1" a="1"/>
  <c r="OG35" i="24" s="1"/>
  <c r="OF134" i="24" a="1"/>
  <c r="OF134" i="24" s="1"/>
  <c r="OG134" i="24" s="1" a="1"/>
  <c r="OG134" i="24" s="1"/>
  <c r="NS74" i="24" a="1"/>
  <c r="NS74" i="24" s="1"/>
  <c r="OF28" i="24" a="1"/>
  <c r="OF28" i="24" s="1"/>
  <c r="OG28" i="24" s="1" a="1"/>
  <c r="OG28" i="24" s="1"/>
  <c r="NK42" i="24" a="1"/>
  <c r="NK42" i="24" s="1"/>
  <c r="NL42" i="24" s="1" a="1"/>
  <c r="NL42" i="24" s="1"/>
  <c r="NT42" i="24" s="1" a="1"/>
  <c r="NT42" i="24" s="1"/>
  <c r="NK74" i="24" a="1"/>
  <c r="NK74" i="24" s="1"/>
  <c r="NL74" i="24" s="1" a="1"/>
  <c r="NL74" i="24" s="1"/>
  <c r="OF107" i="24" a="1"/>
  <c r="OF107" i="24" s="1"/>
  <c r="OG107" i="24" s="1" a="1"/>
  <c r="OG107" i="24" s="1"/>
  <c r="OF97" i="24" a="1"/>
  <c r="OF97" i="24" s="1"/>
  <c r="OG97" i="24" s="1" a="1"/>
  <c r="OG97" i="24" s="1"/>
  <c r="NS120" i="24" a="1"/>
  <c r="NS120" i="24" s="1"/>
  <c r="NT120" i="24" s="1" a="1"/>
  <c r="NT120" i="24" s="1"/>
  <c r="OF115" i="24" a="1"/>
  <c r="OF115" i="24" s="1"/>
  <c r="OG115" i="24" s="1" a="1"/>
  <c r="OG115" i="24" s="1"/>
  <c r="OF136" i="24" a="1"/>
  <c r="OF136" i="24" s="1"/>
  <c r="OG136" i="24" s="1" a="1"/>
  <c r="OG136" i="24" s="1"/>
  <c r="NS85" i="24" a="1"/>
  <c r="NS85" i="24" s="1"/>
  <c r="OF64" i="24" a="1"/>
  <c r="OF64" i="24" s="1"/>
  <c r="OG64" i="24" s="1" a="1"/>
  <c r="OG64" i="24" s="1"/>
  <c r="NS68" i="24" a="1"/>
  <c r="NS68" i="24" s="1"/>
  <c r="OF7" i="24" a="1"/>
  <c r="OF7" i="24" s="1"/>
  <c r="OG7" i="24" s="1" a="1"/>
  <c r="OG7" i="24" s="1"/>
  <c r="OF57" i="24" a="1"/>
  <c r="OF57" i="24" s="1"/>
  <c r="OG57" i="24" s="1" a="1"/>
  <c r="OG57" i="24" s="1"/>
  <c r="NS7" i="24" a="1"/>
  <c r="NS7" i="24" s="1"/>
  <c r="NS32" i="24" a="1"/>
  <c r="NS32" i="24" s="1"/>
  <c r="NK31" i="24" a="1"/>
  <c r="NK31" i="24" s="1"/>
  <c r="NL31" i="24" s="1" a="1"/>
  <c r="NL31" i="24" s="1"/>
  <c r="NK13" i="24" a="1"/>
  <c r="NK13" i="24" s="1"/>
  <c r="NL13" i="24" s="1" a="1"/>
  <c r="NL13" i="24" s="1"/>
  <c r="NK18" i="24" a="1"/>
  <c r="NK18" i="24" s="1"/>
  <c r="NL18" i="24" s="1" a="1"/>
  <c r="NL18" i="24" s="1"/>
  <c r="NK66" i="24" a="1"/>
  <c r="NK66" i="24" s="1"/>
  <c r="NL66" i="24" s="1" a="1"/>
  <c r="NL66" i="24" s="1"/>
  <c r="NK40" i="24" a="1"/>
  <c r="NK40" i="24" s="1"/>
  <c r="NL40" i="24" s="1" a="1"/>
  <c r="NL40" i="24" s="1"/>
  <c r="NK16" i="24" a="1"/>
  <c r="NK16" i="24" s="1"/>
  <c r="NL16" i="24" s="1" a="1"/>
  <c r="NL16" i="24" s="1"/>
  <c r="NK57" i="24" a="1"/>
  <c r="NK57" i="24" s="1"/>
  <c r="NL57" i="24" s="1" a="1"/>
  <c r="NL57" i="24" s="1"/>
  <c r="NK69" i="24" a="1"/>
  <c r="NK69" i="24" s="1"/>
  <c r="NL69" i="24" s="1" a="1"/>
  <c r="NL69" i="24" s="1"/>
  <c r="NK62" i="24" a="1"/>
  <c r="NK62" i="24" s="1"/>
  <c r="NL62" i="24" s="1" a="1"/>
  <c r="NL62" i="24" s="1"/>
  <c r="NK53" i="24" a="1"/>
  <c r="NK53" i="24" s="1"/>
  <c r="NL53" i="24" s="1" a="1"/>
  <c r="NL53" i="24" s="1"/>
  <c r="NK58" i="24" a="1"/>
  <c r="NK58" i="24" s="1"/>
  <c r="NL58" i="24" s="1" a="1"/>
  <c r="NL58" i="24" s="1"/>
  <c r="NK65" i="24" a="1"/>
  <c r="NK65" i="24" s="1"/>
  <c r="NL65" i="24" s="1" a="1"/>
  <c r="NL65" i="24" s="1"/>
  <c r="NK78" i="24" a="1"/>
  <c r="NK78" i="24" s="1"/>
  <c r="NL78" i="24" s="1" a="1"/>
  <c r="NL78" i="24" s="1"/>
  <c r="NK79" i="24" a="1"/>
  <c r="NK79" i="24" s="1"/>
  <c r="NL79" i="24" s="1" a="1"/>
  <c r="NL79" i="24" s="1"/>
  <c r="OF24" i="24" a="1"/>
  <c r="OF24" i="24" s="1"/>
  <c r="OG24" i="24" s="1" a="1"/>
  <c r="OG24" i="24" s="1"/>
  <c r="OF73" i="24" a="1"/>
  <c r="OF73" i="24" s="1"/>
  <c r="OG73" i="24" s="1" a="1"/>
  <c r="OG73" i="24" s="1"/>
  <c r="OF25" i="24" a="1"/>
  <c r="OF25" i="24" s="1"/>
  <c r="OG25" i="24" s="1" a="1"/>
  <c r="OG25" i="24" s="1"/>
  <c r="OF13" i="24" a="1"/>
  <c r="OF13" i="24" s="1"/>
  <c r="OG13" i="24" s="1" a="1"/>
  <c r="OG13" i="24" s="1"/>
  <c r="NS139" i="24" a="1"/>
  <c r="NS139" i="24" s="1"/>
  <c r="NT139" i="24" s="1" a="1"/>
  <c r="NT139" i="24" s="1"/>
  <c r="OF173" i="24" a="1"/>
  <c r="OF173" i="24" s="1"/>
  <c r="OG173" i="24" s="1" a="1"/>
  <c r="OG173" i="24" s="1"/>
  <c r="OF99" i="24" a="1"/>
  <c r="OF99" i="24" s="1"/>
  <c r="OG99" i="24" s="1" a="1"/>
  <c r="OG99" i="24" s="1"/>
  <c r="OF167" i="24" a="1"/>
  <c r="OF167" i="24" s="1"/>
  <c r="OG167" i="24" s="1" a="1"/>
  <c r="OG167" i="24" s="1"/>
  <c r="NS151" i="24" a="1"/>
  <c r="NS151" i="24" s="1"/>
  <c r="NT151" i="24" s="1" a="1"/>
  <c r="NT151" i="24" s="1"/>
  <c r="OF120" i="24" a="1"/>
  <c r="OF120" i="24" s="1"/>
  <c r="OG120" i="24" s="1" a="1"/>
  <c r="OG120" i="24" s="1"/>
  <c r="NS136" i="24" a="1"/>
  <c r="NS136" i="24" s="1"/>
  <c r="NT136" i="24" s="1" a="1"/>
  <c r="NT136" i="24" s="1"/>
  <c r="OF113" i="24" a="1"/>
  <c r="OF113" i="24" s="1"/>
  <c r="OG113" i="24" s="1" a="1"/>
  <c r="OG113" i="24" s="1"/>
  <c r="NS99" i="24" a="1"/>
  <c r="NS99" i="24" s="1"/>
  <c r="NT99" i="24" s="1" a="1"/>
  <c r="NT99" i="24" s="1"/>
  <c r="OF164" i="24" a="1"/>
  <c r="OF164" i="24" s="1"/>
  <c r="OG164" i="24" s="1" a="1"/>
  <c r="OG164" i="24" s="1"/>
  <c r="OF106" i="24" a="1"/>
  <c r="OF106" i="24" s="1"/>
  <c r="OG106" i="24" s="1" a="1"/>
  <c r="OG106" i="24" s="1"/>
  <c r="NS153" i="24" a="1"/>
  <c r="NS153" i="24" s="1"/>
  <c r="NT153" i="24" s="1" a="1"/>
  <c r="NT153" i="24" s="1"/>
  <c r="OF160" i="24" a="1"/>
  <c r="OF160" i="24" s="1"/>
  <c r="OG160" i="24" s="1" a="1"/>
  <c r="OG160" i="24" s="1"/>
  <c r="OF146" i="24" a="1"/>
  <c r="OF146" i="24" s="1"/>
  <c r="OG146" i="24" s="1" a="1"/>
  <c r="OG146" i="24" s="1"/>
  <c r="NS170" i="24" a="1"/>
  <c r="NS170" i="24" s="1"/>
  <c r="NT170" i="24" s="1" a="1"/>
  <c r="NT170" i="24" s="1"/>
  <c r="NS131" i="24" a="1"/>
  <c r="NS131" i="24" s="1"/>
  <c r="NT131" i="24" s="1" a="1"/>
  <c r="NT131" i="24" s="1"/>
  <c r="NS116" i="24" a="1"/>
  <c r="NS116" i="24" s="1"/>
  <c r="NT116" i="24" s="1" a="1"/>
  <c r="NT116" i="24" s="1"/>
  <c r="OF125" i="24" a="1"/>
  <c r="OF125" i="24" s="1"/>
  <c r="OG125" i="24" s="1" a="1"/>
  <c r="OG125" i="24" s="1"/>
  <c r="OF11" i="24" a="1"/>
  <c r="OF11" i="24" s="1"/>
  <c r="OG11" i="24" s="1" a="1"/>
  <c r="OG11" i="24" s="1"/>
  <c r="OF42" i="24" a="1"/>
  <c r="OF42" i="24" s="1"/>
  <c r="OG42" i="24" s="1" a="1"/>
  <c r="OG42" i="24" s="1"/>
  <c r="OF165" i="24" a="1"/>
  <c r="OF165" i="24" s="1"/>
  <c r="OG165" i="24" s="1" a="1"/>
  <c r="OG165" i="24" s="1"/>
  <c r="NS123" i="24" a="1"/>
  <c r="NS123" i="24" s="1"/>
  <c r="NT123" i="24" s="1" a="1"/>
  <c r="NT123" i="24" s="1"/>
  <c r="OF27" i="24" a="1"/>
  <c r="OF27" i="24" s="1"/>
  <c r="OG27" i="24" s="1" a="1"/>
  <c r="OG27" i="24" s="1"/>
  <c r="OF48" i="24" a="1"/>
  <c r="OF48" i="24" s="1"/>
  <c r="OG48" i="24" s="1" a="1"/>
  <c r="OG48" i="24" s="1"/>
  <c r="NS113" i="24" a="1"/>
  <c r="NS113" i="24" s="1"/>
  <c r="OF101" i="24" a="1"/>
  <c r="OF101" i="24" s="1"/>
  <c r="OG101" i="24" s="1" a="1"/>
  <c r="OG101" i="24" s="1"/>
  <c r="OF158" i="24" a="1"/>
  <c r="OF158" i="24" s="1"/>
  <c r="OG158" i="24" s="1" a="1"/>
  <c r="OG158" i="24" s="1"/>
  <c r="OF124" i="24" a="1"/>
  <c r="OF124" i="24" s="1"/>
  <c r="OG124" i="24" s="1" a="1"/>
  <c r="OG124" i="24" s="1"/>
  <c r="NS6" i="24" a="1"/>
  <c r="NS6" i="24" s="1"/>
  <c r="NS89" i="24" a="1"/>
  <c r="NS89" i="24" s="1"/>
  <c r="NS16" i="24" a="1"/>
  <c r="NS16" i="24" s="1"/>
  <c r="NS65" i="24" a="1"/>
  <c r="NS65" i="24" s="1"/>
  <c r="NS77" i="24" a="1"/>
  <c r="NS77" i="24" s="1"/>
  <c r="NS23" i="24" a="1"/>
  <c r="NS23" i="24" s="1"/>
  <c r="NS82" i="24" a="1"/>
  <c r="NS82" i="24" s="1"/>
  <c r="OF63" i="24" a="1"/>
  <c r="OF63" i="24" s="1"/>
  <c r="OG63" i="24" s="1" a="1"/>
  <c r="OG63" i="24" s="1"/>
  <c r="OF26" i="24" a="1"/>
  <c r="OF26" i="24" s="1"/>
  <c r="OG26" i="24" s="1" a="1"/>
  <c r="OG26" i="24" s="1"/>
  <c r="OF70" i="24" a="1"/>
  <c r="OF70" i="24" s="1"/>
  <c r="OG70" i="24" s="1" a="1"/>
  <c r="OG70" i="24" s="1"/>
  <c r="OF6" i="24" a="1"/>
  <c r="OF6" i="24" s="1"/>
  <c r="OG6" i="24" s="1" a="1"/>
  <c r="OG6" i="24" s="1"/>
  <c r="NK39" i="24" a="1"/>
  <c r="NK39" i="24" s="1"/>
  <c r="NL39" i="24" s="1" a="1"/>
  <c r="NL39" i="24" s="1"/>
  <c r="NK17" i="24" a="1"/>
  <c r="NK17" i="24" s="1"/>
  <c r="NL17" i="24" s="1" a="1"/>
  <c r="NL17" i="24" s="1"/>
  <c r="NT17" i="24" s="1" a="1"/>
  <c r="NT17" i="24" s="1"/>
  <c r="NK91" i="24" a="1"/>
  <c r="NK91" i="24" s="1"/>
  <c r="NL91" i="24" s="1" a="1"/>
  <c r="NL91" i="24" s="1"/>
  <c r="NK22" i="24" a="1"/>
  <c r="NK22" i="24" s="1"/>
  <c r="NL22" i="24" s="1" a="1"/>
  <c r="NL22" i="24" s="1"/>
  <c r="NK88" i="24" a="1"/>
  <c r="NK88" i="24" s="1"/>
  <c r="NL88" i="24" s="1" a="1"/>
  <c r="NL88" i="24" s="1"/>
  <c r="NK20" i="24" a="1"/>
  <c r="NK20" i="24" s="1"/>
  <c r="NL20" i="24" s="1" a="1"/>
  <c r="NL20" i="24" s="1"/>
  <c r="NT20" i="24" s="1" a="1"/>
  <c r="NT20" i="24" s="1"/>
  <c r="NK77" i="24" a="1"/>
  <c r="NK77" i="24" s="1"/>
  <c r="NL77" i="24" s="1" a="1"/>
  <c r="NL77" i="24" s="1"/>
  <c r="NK50" i="24" a="1"/>
  <c r="NK50" i="24" s="1"/>
  <c r="NL50" i="24" s="1" a="1"/>
  <c r="NL50" i="24" s="1"/>
  <c r="NK71" i="24" a="1"/>
  <c r="NK71" i="24" s="1"/>
  <c r="NL71" i="24" s="1" a="1"/>
  <c r="NL71" i="24" s="1"/>
  <c r="NK73" i="24" a="1"/>
  <c r="NK73" i="24" s="1"/>
  <c r="NL73" i="24" s="1" a="1"/>
  <c r="NL73" i="24" s="1"/>
  <c r="NK60" i="24" a="1"/>
  <c r="NK60" i="24" s="1"/>
  <c r="NL60" i="24" s="1" a="1"/>
  <c r="NL60" i="24" s="1"/>
  <c r="NK75" i="24" a="1"/>
  <c r="NK75" i="24" s="1"/>
  <c r="NL75" i="24" s="1" a="1"/>
  <c r="NL75" i="24" s="1"/>
  <c r="NK82" i="24" a="1"/>
  <c r="NK82" i="24" s="1"/>
  <c r="NL82" i="24" s="1" a="1"/>
  <c r="NL82" i="24" s="1"/>
  <c r="NK83" i="24" a="1"/>
  <c r="NK83" i="24" s="1"/>
  <c r="NL83" i="24" s="1" a="1"/>
  <c r="NL83" i="24" s="1"/>
  <c r="OF89" i="24" a="1"/>
  <c r="OF89" i="24" s="1"/>
  <c r="OG89" i="24" s="1" a="1"/>
  <c r="OG89" i="24" s="1"/>
  <c r="OF36" i="24" a="1"/>
  <c r="OF36" i="24" s="1"/>
  <c r="OG36" i="24" s="1" a="1"/>
  <c r="OG36" i="24" s="1"/>
  <c r="OF9" i="24" a="1"/>
  <c r="OF9" i="24" s="1"/>
  <c r="OG9" i="24" s="1" a="1"/>
  <c r="OG9" i="24" s="1"/>
  <c r="OF58" i="24" a="1"/>
  <c r="OF58" i="24" s="1"/>
  <c r="OG58" i="24" s="1" a="1"/>
  <c r="OG58" i="24" s="1"/>
  <c r="OF37" i="24" a="1"/>
  <c r="OF37" i="24" s="1"/>
  <c r="OG37" i="24" s="1" a="1"/>
  <c r="OG37" i="24" s="1"/>
  <c r="NS114" i="24" a="1"/>
  <c r="NS114" i="24" s="1"/>
  <c r="NT114" i="24" s="1" a="1"/>
  <c r="NT114" i="24" s="1"/>
  <c r="OF148" i="24" a="1"/>
  <c r="OF148" i="24" s="1"/>
  <c r="OG148" i="24" s="1" a="1"/>
  <c r="OG148" i="24" s="1"/>
  <c r="OF94" i="24" a="1"/>
  <c r="OF94" i="24" s="1"/>
  <c r="OG94" i="24" s="1" a="1"/>
  <c r="OG94" i="24" s="1"/>
  <c r="OF140" i="24" a="1"/>
  <c r="OF140" i="24" s="1"/>
  <c r="OG140" i="24" s="1" a="1"/>
  <c r="OG140" i="24" s="1"/>
  <c r="NS112" i="24" a="1"/>
  <c r="NS112" i="24" s="1"/>
  <c r="NT112" i="24" s="1" a="1"/>
  <c r="NT112" i="24" s="1"/>
  <c r="OF139" i="24" a="1"/>
  <c r="OF139" i="24" s="1"/>
  <c r="OG139" i="24" s="1" a="1"/>
  <c r="OG139" i="24" s="1"/>
  <c r="NS145" i="24" a="1"/>
  <c r="NS145" i="24" s="1"/>
  <c r="NT145" i="24" s="1" a="1"/>
  <c r="NT145" i="24" s="1"/>
  <c r="NS110" i="24" a="1"/>
  <c r="NS110" i="24" s="1"/>
  <c r="NT110" i="24" s="1" a="1"/>
  <c r="NT110" i="24" s="1"/>
  <c r="OF177" i="24" a="1"/>
  <c r="OF177" i="24" s="1"/>
  <c r="OG177" i="24" s="1" a="1"/>
  <c r="OG177" i="24" s="1"/>
  <c r="NS94" i="24" a="1"/>
  <c r="NS94" i="24" s="1"/>
  <c r="NT94" i="24" s="1" a="1"/>
  <c r="NT94" i="24" s="1"/>
  <c r="NS104" i="24" a="1"/>
  <c r="NS104" i="24" s="1"/>
  <c r="NT104" i="24" s="1" a="1"/>
  <c r="NT104" i="24" s="1"/>
  <c r="OF119" i="24" a="1"/>
  <c r="OF119" i="24" s="1"/>
  <c r="OG119" i="24" s="1" a="1"/>
  <c r="OG119" i="24" s="1"/>
  <c r="OF108" i="24" a="1"/>
  <c r="OF108" i="24" s="1"/>
  <c r="OG108" i="24" s="1" a="1"/>
  <c r="OG108" i="24" s="1"/>
  <c r="NS167" i="24" a="1"/>
  <c r="NS167" i="24" s="1"/>
  <c r="NT167" i="24" s="1" a="1"/>
  <c r="NT167" i="24" s="1"/>
  <c r="OF138" i="24" a="1"/>
  <c r="OF138" i="24" s="1"/>
  <c r="OG138" i="24" s="1" a="1"/>
  <c r="OG138" i="24" s="1"/>
  <c r="OF152" i="24" a="1"/>
  <c r="OF152" i="24" s="1"/>
  <c r="OG152" i="24" s="1" a="1"/>
  <c r="OG152" i="24" s="1"/>
  <c r="NS173" i="24" a="1"/>
  <c r="NS173" i="24" s="1"/>
  <c r="NT173" i="24" s="1" a="1"/>
  <c r="NT173" i="24" s="1"/>
  <c r="NS102" i="24" a="1"/>
  <c r="NS102" i="24" s="1"/>
  <c r="NT102" i="24" s="1" a="1"/>
  <c r="NT102" i="24" s="1"/>
  <c r="NS106" i="24" a="1"/>
  <c r="NS106" i="24" s="1"/>
  <c r="NT106" i="24" s="1" a="1"/>
  <c r="NT106" i="24" s="1"/>
  <c r="OF172" i="24" a="1"/>
  <c r="OF172" i="24" s="1"/>
  <c r="OG172" i="24" s="1" a="1"/>
  <c r="OG172" i="24" s="1"/>
  <c r="NS46" i="24" a="1"/>
  <c r="NS46" i="24" s="1"/>
  <c r="OF55" i="24" a="1"/>
  <c r="OF55" i="24" s="1"/>
  <c r="OG55" i="24" s="1" a="1"/>
  <c r="OG55" i="24" s="1"/>
  <c r="NK29" i="24" a="1"/>
  <c r="NK29" i="24" s="1"/>
  <c r="NL29" i="24" s="1" a="1"/>
  <c r="NL29" i="24" s="1"/>
  <c r="NK45" i="24" a="1"/>
  <c r="NK45" i="24" s="1"/>
  <c r="NL45" i="24" s="1" a="1"/>
  <c r="NL45" i="24" s="1"/>
  <c r="OF44" i="24" a="1"/>
  <c r="OF44" i="24" s="1"/>
  <c r="OG44" i="24" s="1" a="1"/>
  <c r="OG44" i="24" s="1"/>
  <c r="NS108" i="24" a="1"/>
  <c r="NS108" i="24" s="1"/>
  <c r="NT108" i="24" s="1" a="1"/>
  <c r="NT108" i="24" s="1"/>
  <c r="OF151" i="24" a="1"/>
  <c r="OF151" i="24" s="1"/>
  <c r="OG151" i="24" s="1" a="1"/>
  <c r="OG151" i="24" s="1"/>
  <c r="OF21" i="24" a="1"/>
  <c r="OF21" i="24" s="1"/>
  <c r="OG21" i="24" s="1" a="1"/>
  <c r="OG21" i="24" s="1"/>
  <c r="NK9" i="24" a="1"/>
  <c r="NK9" i="24" s="1"/>
  <c r="NL9" i="24" s="1" a="1"/>
  <c r="NL9" i="24" s="1"/>
  <c r="NK19" i="24" a="1"/>
  <c r="NK19" i="24" s="1"/>
  <c r="NL19" i="24" s="1" a="1"/>
  <c r="NL19" i="24" s="1"/>
  <c r="NK64" i="24" a="1"/>
  <c r="NK64" i="24" s="1"/>
  <c r="NL64" i="24" s="1" a="1"/>
  <c r="NL64" i="24" s="1"/>
  <c r="OF66" i="24" a="1"/>
  <c r="OF66" i="24" s="1"/>
  <c r="OG66" i="24" s="1" a="1"/>
  <c r="OG66" i="24" s="1"/>
  <c r="OF169" i="24" a="1"/>
  <c r="OF169" i="24" s="1"/>
  <c r="OG169" i="24" s="1" a="1"/>
  <c r="OG169" i="24" s="1"/>
  <c r="NS152" i="24" a="1"/>
  <c r="NS152" i="24" s="1"/>
  <c r="NT152" i="24" s="1" a="1"/>
  <c r="NT152" i="24" s="1"/>
  <c r="OF127" i="24" a="1"/>
  <c r="OF127" i="24" s="1"/>
  <c r="OG127" i="24" s="1" a="1"/>
  <c r="OG127" i="24" s="1"/>
  <c r="NS137" i="24" a="1"/>
  <c r="NS137" i="24" s="1"/>
  <c r="NT137" i="24" s="1" a="1"/>
  <c r="NT137" i="24" s="1"/>
  <c r="NS22" i="24" a="1"/>
  <c r="NS22" i="24" s="1"/>
  <c r="NS61" i="24" a="1"/>
  <c r="NS61" i="24" s="1"/>
  <c r="NS43" i="24" a="1"/>
  <c r="NS43" i="24" s="1"/>
  <c r="NS67" i="24" a="1"/>
  <c r="NS67" i="24" s="1"/>
  <c r="OF38" i="24" a="1"/>
  <c r="OF38" i="24" s="1"/>
  <c r="OG38" i="24" s="1" a="1"/>
  <c r="OG38" i="24" s="1"/>
  <c r="OF17" i="24" a="1"/>
  <c r="OF17" i="24" s="1"/>
  <c r="OG17" i="24" s="1" a="1"/>
  <c r="OG17" i="24" s="1"/>
  <c r="OF69" i="24" a="1"/>
  <c r="OF69" i="24" s="1"/>
  <c r="OG69" i="24" s="1" a="1"/>
  <c r="OG69" i="24" s="1"/>
  <c r="OF34" i="24" a="1"/>
  <c r="OF34" i="24" s="1"/>
  <c r="OG34" i="24" s="1" a="1"/>
  <c r="OG34" i="24" s="1"/>
  <c r="OF22" i="24" a="1"/>
  <c r="OF22" i="24" s="1"/>
  <c r="OG22" i="24" s="1" a="1"/>
  <c r="OG22" i="24" s="1"/>
  <c r="NS40" i="24" a="1"/>
  <c r="NS40" i="24" s="1"/>
  <c r="NK21" i="24" a="1"/>
  <c r="NK21" i="24" s="1"/>
  <c r="NL21" i="24" s="1" a="1"/>
  <c r="NL21" i="24" s="1"/>
  <c r="NT21" i="24" s="1" a="1"/>
  <c r="NT21" i="24" s="1"/>
  <c r="OF33" i="24" a="1"/>
  <c r="OF33" i="24" s="1"/>
  <c r="OG33" i="24" s="1" a="1"/>
  <c r="OG33" i="24" s="1"/>
  <c r="NK37" i="24" a="1"/>
  <c r="NK37" i="24" s="1"/>
  <c r="NL37" i="24" s="1" a="1"/>
  <c r="NL37" i="24" s="1"/>
  <c r="NK49" i="24" a="1"/>
  <c r="NK49" i="24" s="1"/>
  <c r="NL49" i="24" s="1" a="1"/>
  <c r="NL49" i="24" s="1"/>
  <c r="NK35" i="24" a="1"/>
  <c r="NK35" i="24" s="1"/>
  <c r="NL35" i="24" s="1" a="1"/>
  <c r="NL35" i="24" s="1"/>
  <c r="NT35" i="24" s="1" a="1"/>
  <c r="NT35" i="24" s="1"/>
  <c r="NK28" i="24" a="1"/>
  <c r="NK28" i="24" s="1"/>
  <c r="NL28" i="24" s="1" a="1"/>
  <c r="NL28" i="24" s="1"/>
  <c r="NT28" i="24" s="1" a="1"/>
  <c r="NT28" i="24" s="1"/>
  <c r="NK52" i="24" a="1"/>
  <c r="NK52" i="24" s="1"/>
  <c r="NL52" i="24" s="1" a="1"/>
  <c r="NL52" i="24" s="1"/>
  <c r="NT52" i="24" s="1" a="1"/>
  <c r="NT52" i="24" s="1"/>
  <c r="NK72" i="24" a="1"/>
  <c r="NK72" i="24" s="1"/>
  <c r="NL72" i="24" s="1" a="1"/>
  <c r="NL72" i="24" s="1"/>
  <c r="NK76" i="24" a="1"/>
  <c r="NK76" i="24" s="1"/>
  <c r="NL76" i="24" s="1" a="1"/>
  <c r="NL76" i="24" s="1"/>
  <c r="NT76" i="24" s="1" a="1"/>
  <c r="NT76" i="24" s="1"/>
  <c r="NK67" i="24" a="1"/>
  <c r="NK67" i="24" s="1"/>
  <c r="NL67" i="24" s="1" a="1"/>
  <c r="NL67" i="24" s="1"/>
  <c r="NK81" i="24" a="1"/>
  <c r="NK81" i="24" s="1"/>
  <c r="NL81" i="24" s="1" a="1"/>
  <c r="NL81" i="24" s="1"/>
  <c r="NT81" i="24" s="1" a="1"/>
  <c r="NT81" i="24" s="1"/>
  <c r="NK86" i="24" a="1"/>
  <c r="NK86" i="24" s="1"/>
  <c r="NL86" i="24" s="1" a="1"/>
  <c r="NL86" i="24" s="1"/>
  <c r="NK87" i="24" a="1"/>
  <c r="NK87" i="24" s="1"/>
  <c r="NL87" i="24" s="1" a="1"/>
  <c r="NL87" i="24" s="1"/>
  <c r="NT87" i="24" s="1" a="1"/>
  <c r="NT87" i="24" s="1"/>
  <c r="OF72" i="24" a="1"/>
  <c r="OF72" i="24" s="1"/>
  <c r="OG72" i="24" s="1" a="1"/>
  <c r="OG72" i="24" s="1"/>
  <c r="OF41" i="24" a="1"/>
  <c r="OF41" i="24" s="1"/>
  <c r="OG41" i="24" s="1" a="1"/>
  <c r="OG41" i="24" s="1"/>
  <c r="OF19" i="24" a="1"/>
  <c r="OF19" i="24" s="1"/>
  <c r="OG19" i="24" s="1" a="1"/>
  <c r="OG19" i="24" s="1"/>
  <c r="OF74" i="24" a="1"/>
  <c r="OF74" i="24" s="1"/>
  <c r="OG74" i="24" s="1" a="1"/>
  <c r="OG74" i="24" s="1"/>
  <c r="NS168" i="24" a="1"/>
  <c r="NS168" i="24" s="1"/>
  <c r="NT168" i="24" s="1" a="1"/>
  <c r="NT168" i="24" s="1"/>
  <c r="OF143" i="24" a="1"/>
  <c r="OF143" i="24" s="1"/>
  <c r="OG143" i="24" s="1" a="1"/>
  <c r="OG143" i="24" s="1"/>
  <c r="OF104" i="24" a="1"/>
  <c r="OF104" i="24" s="1"/>
  <c r="OG104" i="24" s="1" a="1"/>
  <c r="OG104" i="24" s="1"/>
  <c r="NS141" i="24" a="1"/>
  <c r="NS141" i="24" s="1"/>
  <c r="NT141" i="24" s="1" a="1"/>
  <c r="NT141" i="24" s="1"/>
  <c r="OF155" i="24" a="1"/>
  <c r="OF155" i="24" s="1"/>
  <c r="OG155" i="24" s="1" a="1"/>
  <c r="OG155" i="24" s="1"/>
  <c r="NS127" i="24" a="1"/>
  <c r="NS127" i="24" s="1"/>
  <c r="NT127" i="24" s="1" a="1"/>
  <c r="NT127" i="24" s="1"/>
  <c r="NS119" i="24" a="1"/>
  <c r="NS119" i="24" s="1"/>
  <c r="NT119" i="24" s="1" a="1"/>
  <c r="NT119" i="24" s="1"/>
  <c r="OF135" i="24" a="1"/>
  <c r="OF135" i="24" s="1"/>
  <c r="OG135" i="24" s="1" a="1"/>
  <c r="OG135" i="24" s="1"/>
  <c r="NS140" i="24" a="1"/>
  <c r="NS140" i="24" s="1"/>
  <c r="NT140" i="24" s="1" a="1"/>
  <c r="NT140" i="24" s="1"/>
  <c r="NK133" i="24" a="1"/>
  <c r="NK133" i="24" s="1"/>
  <c r="NL133" i="24" s="1" a="1"/>
  <c r="NL133" i="24" s="1"/>
  <c r="NS147" i="24" a="1"/>
  <c r="NS147" i="24" s="1"/>
  <c r="NT147" i="24" s="1" a="1"/>
  <c r="NT147" i="24" s="1"/>
  <c r="NS97" i="24" a="1"/>
  <c r="NS97" i="24" s="1"/>
  <c r="NT97" i="24" s="1" a="1"/>
  <c r="NT97" i="24" s="1"/>
  <c r="OF133" i="24" a="1"/>
  <c r="OF133" i="24" s="1"/>
  <c r="OG133" i="24" s="1" a="1"/>
  <c r="OG133" i="24" s="1"/>
  <c r="NS125" i="24" a="1"/>
  <c r="NS125" i="24" s="1"/>
  <c r="NT125" i="24" s="1" a="1"/>
  <c r="NT125" i="24" s="1"/>
  <c r="OF142" i="24" a="1"/>
  <c r="OF142" i="24" s="1"/>
  <c r="OG142" i="24" s="1" a="1"/>
  <c r="OG142" i="24" s="1"/>
  <c r="OF132" i="24" a="1"/>
  <c r="OF132" i="24" s="1"/>
  <c r="OG132" i="24" s="1" a="1"/>
  <c r="OG132" i="24" s="1"/>
  <c r="NS150" i="24" a="1"/>
  <c r="NS150" i="24" s="1"/>
  <c r="NT150" i="24" s="1" a="1"/>
  <c r="NT150" i="24" s="1"/>
  <c r="NS149" i="24" a="1"/>
  <c r="NS149" i="24" s="1"/>
  <c r="NT149" i="24" s="1" a="1"/>
  <c r="NT149" i="24" s="1"/>
  <c r="NS162" i="24" a="1"/>
  <c r="NS162" i="24" s="1"/>
  <c r="NT162" i="24" s="1" a="1"/>
  <c r="NT162" i="24" s="1"/>
  <c r="NS129" i="24" a="1"/>
  <c r="NS129" i="24" s="1"/>
  <c r="NT129" i="24" s="1" a="1"/>
  <c r="NT129" i="24" s="1"/>
  <c r="OF111" i="24" a="1"/>
  <c r="OF111" i="24" s="1"/>
  <c r="OG111" i="24" s="1" a="1"/>
  <c r="OG111" i="24" s="1"/>
  <c r="OF88" i="24" a="1"/>
  <c r="OF88" i="24" s="1"/>
  <c r="OG88" i="24" s="1" a="1"/>
  <c r="OG88" i="24" s="1"/>
  <c r="OF84" i="24" a="1"/>
  <c r="OF84" i="24" s="1"/>
  <c r="OG84" i="24" s="1" a="1"/>
  <c r="OG84" i="24" s="1"/>
  <c r="OF51" i="24" a="1"/>
  <c r="OF51" i="24" s="1"/>
  <c r="OG51" i="24" s="1" a="1"/>
  <c r="OG51" i="24" s="1"/>
  <c r="NS132" i="24" a="1"/>
  <c r="NS132" i="24" s="1"/>
  <c r="NT132" i="24" s="1" a="1"/>
  <c r="NT132" i="24" s="1"/>
  <c r="OF126" i="24" a="1"/>
  <c r="OF126" i="24" s="1"/>
  <c r="OG126" i="24" s="1" a="1"/>
  <c r="OG126" i="24" s="1"/>
  <c r="OF54" i="24" a="1"/>
  <c r="OF54" i="24" s="1"/>
  <c r="OG54" i="24" s="1" a="1"/>
  <c r="OG54" i="24" s="1"/>
  <c r="NK14" i="24" a="1"/>
  <c r="NK14" i="24" s="1"/>
  <c r="NL14" i="24" s="1" a="1"/>
  <c r="NL14" i="24" s="1"/>
  <c r="NK12" i="24" a="1"/>
  <c r="NK12" i="24" s="1"/>
  <c r="NL12" i="24" s="1" a="1"/>
  <c r="NL12" i="24" s="1"/>
  <c r="NK51" i="24" a="1"/>
  <c r="NK51" i="24" s="1"/>
  <c r="NL51" i="24" s="1" a="1"/>
  <c r="NL51" i="24" s="1"/>
  <c r="NS157" i="24" a="1"/>
  <c r="NS157" i="24" s="1"/>
  <c r="NT157" i="24" s="1" a="1"/>
  <c r="NT157" i="24" s="1"/>
  <c r="OF122" i="24" a="1"/>
  <c r="OF122" i="24" s="1"/>
  <c r="OG122" i="24" s="1" a="1"/>
  <c r="OG122" i="24" s="1"/>
  <c r="OF114" i="24" a="1"/>
  <c r="OF114" i="24" s="1"/>
  <c r="OG114" i="24" s="1" a="1"/>
  <c r="OG114" i="24" s="1"/>
  <c r="OF46" i="24" a="1"/>
  <c r="OF46" i="24" s="1"/>
  <c r="OG46" i="24" s="1" a="1"/>
  <c r="OG46" i="24" s="1"/>
  <c r="OF52" i="24" a="1"/>
  <c r="OF52" i="24" s="1"/>
  <c r="OG52" i="24" s="1" a="1"/>
  <c r="OG52" i="24" s="1"/>
  <c r="OF59" i="24" a="1"/>
  <c r="OF59" i="24" s="1"/>
  <c r="OG59" i="24" s="1" a="1"/>
  <c r="OG59" i="24" s="1"/>
  <c r="OF31" i="24" a="1"/>
  <c r="OF31" i="24" s="1"/>
  <c r="OG31" i="24" s="1" a="1"/>
  <c r="OG31" i="24" s="1"/>
  <c r="OF79" i="24" a="1"/>
  <c r="OF79" i="24" s="1"/>
  <c r="OG79" i="24" s="1" a="1"/>
  <c r="OG79" i="24" s="1"/>
  <c r="OF45" i="24" a="1"/>
  <c r="OF45" i="24" s="1"/>
  <c r="OG45" i="24" s="1" a="1"/>
  <c r="OG45" i="24" s="1"/>
  <c r="OF20" i="24" a="1"/>
  <c r="OF20" i="24" s="1"/>
  <c r="OG20" i="24" s="1" a="1"/>
  <c r="OG20" i="24" s="1"/>
  <c r="OF92" i="24" a="1"/>
  <c r="OF92" i="24" s="1"/>
  <c r="OG92" i="24" s="1" a="1"/>
  <c r="OG92" i="24" s="1"/>
  <c r="OF23" i="24" a="1"/>
  <c r="OF23" i="24" s="1"/>
  <c r="OG23" i="24" s="1" a="1"/>
  <c r="OG23" i="24" s="1"/>
  <c r="OF80" i="24" a="1"/>
  <c r="OF80" i="24" s="1"/>
  <c r="OG80" i="24" s="1" a="1"/>
  <c r="OG80" i="24" s="1"/>
  <c r="NK26" i="24" a="1"/>
  <c r="NK26" i="24" s="1"/>
  <c r="NL26" i="24" s="1" a="1"/>
  <c r="NL26" i="24" s="1"/>
  <c r="NT26" i="24" s="1" a="1"/>
  <c r="NT26" i="24" s="1"/>
  <c r="NK54" i="24" a="1"/>
  <c r="NK54" i="24" s="1"/>
  <c r="NL54" i="24" s="1" a="1"/>
  <c r="NL54" i="24" s="1"/>
  <c r="NT54" i="24" s="1" a="1"/>
  <c r="NT54" i="24" s="1"/>
  <c r="NK25" i="24" a="1"/>
  <c r="NK25" i="24" s="1"/>
  <c r="NL25" i="24" s="1" a="1"/>
  <c r="NL25" i="24" s="1"/>
  <c r="NK43" i="24" a="1"/>
  <c r="NK43" i="24" s="1"/>
  <c r="NL43" i="24" s="1" a="1"/>
  <c r="NL43" i="24" s="1"/>
  <c r="NK24" i="24" a="1"/>
  <c r="NK24" i="24" s="1"/>
  <c r="NL24" i="24" s="1" a="1"/>
  <c r="NL24" i="24" s="1"/>
  <c r="NT24" i="24" s="1" a="1"/>
  <c r="NT24" i="24" s="1"/>
  <c r="NK48" i="24" a="1"/>
  <c r="NK48" i="24" s="1"/>
  <c r="NL48" i="24" s="1" a="1"/>
  <c r="NL48" i="24" s="1"/>
  <c r="NT48" i="24" s="1" a="1"/>
  <c r="NT48" i="24" s="1"/>
  <c r="NK44" i="24" a="1"/>
  <c r="NK44" i="24" s="1"/>
  <c r="NL44" i="24" s="1" a="1"/>
  <c r="NL44" i="24" s="1"/>
  <c r="NK34" i="24" a="1"/>
  <c r="NK34" i="24" s="1"/>
  <c r="NL34" i="24" s="1" a="1"/>
  <c r="NL34" i="24" s="1"/>
  <c r="NT34" i="24" s="1" a="1"/>
  <c r="NT34" i="24" s="1"/>
  <c r="NK27" i="24" a="1"/>
  <c r="NK27" i="24" s="1"/>
  <c r="NL27" i="24" s="1" a="1"/>
  <c r="NL27" i="24" s="1"/>
  <c r="NT27" i="24" s="1" a="1"/>
  <c r="NT27" i="24" s="1"/>
  <c r="NK80" i="24" a="1"/>
  <c r="NK80" i="24" s="1"/>
  <c r="NL80" i="24" s="1" a="1"/>
  <c r="NL80" i="24" s="1"/>
  <c r="NK90" i="24" a="1"/>
  <c r="NK90" i="24" s="1"/>
  <c r="NL90" i="24" s="1" a="1"/>
  <c r="NL90" i="24" s="1"/>
  <c r="NK92" i="24" a="1"/>
  <c r="NK92" i="24" s="1"/>
  <c r="NL92" i="24" s="1" a="1"/>
  <c r="NL92" i="24" s="1"/>
  <c r="NT92" i="24" s="1" a="1"/>
  <c r="NT92" i="24" s="1"/>
  <c r="OF32" i="24" a="1"/>
  <c r="OF32" i="24" s="1"/>
  <c r="OG32" i="24" s="1" a="1"/>
  <c r="OG32" i="24" s="1"/>
  <c r="OF77" i="24" a="1"/>
  <c r="OF77" i="24" s="1"/>
  <c r="OG77" i="24" s="1" a="1"/>
  <c r="OG77" i="24" s="1"/>
  <c r="OF82" i="24" a="1"/>
  <c r="OF82" i="24" s="1"/>
  <c r="OG82" i="24" s="1" a="1"/>
  <c r="OG82" i="24" s="1"/>
  <c r="NS156" i="24" a="1"/>
  <c r="NS156" i="24" s="1"/>
  <c r="NT156" i="24" s="1" a="1"/>
  <c r="NT156" i="24" s="1"/>
  <c r="OF129" i="24" a="1"/>
  <c r="OF129" i="24" s="1"/>
  <c r="OG129" i="24" s="1" a="1"/>
  <c r="OG129" i="24" s="1"/>
  <c r="NS100" i="24" a="1"/>
  <c r="NS100" i="24" s="1"/>
  <c r="NT100" i="24" s="1" a="1"/>
  <c r="NT100" i="24" s="1"/>
  <c r="NS171" i="24" a="1"/>
  <c r="NS171" i="24" s="1"/>
  <c r="NT171" i="24" s="1" a="1"/>
  <c r="NT171" i="24" s="1"/>
  <c r="NS118" i="24" a="1"/>
  <c r="NS118" i="24" s="1"/>
  <c r="NT118" i="24" s="1" a="1"/>
  <c r="NT118" i="24" s="1"/>
  <c r="OF109" i="24" a="1"/>
  <c r="OF109" i="24" s="1"/>
  <c r="OG109" i="24" s="1" a="1"/>
  <c r="OG109" i="24" s="1"/>
  <c r="NS101" i="24" a="1"/>
  <c r="NS101" i="24" s="1"/>
  <c r="NT101" i="24" s="1" a="1"/>
  <c r="NT101" i="24" s="1"/>
  <c r="NS163" i="24" a="1"/>
  <c r="NS163" i="24" s="1"/>
  <c r="NT163" i="24" s="1" a="1"/>
  <c r="NT163" i="24" s="1"/>
  <c r="NS117" i="24" a="1"/>
  <c r="NS117" i="24" s="1"/>
  <c r="NT117" i="24" s="1" a="1"/>
  <c r="NT117" i="24" s="1"/>
  <c r="OF170" i="24" a="1"/>
  <c r="OF170" i="24" s="1"/>
  <c r="OG170" i="24" s="1" a="1"/>
  <c r="OG170" i="24" s="1"/>
  <c r="NS111" i="24" a="1"/>
  <c r="NS111" i="24" s="1"/>
  <c r="NT111" i="24" s="1" a="1"/>
  <c r="NT111" i="24" s="1"/>
  <c r="NS166" i="24" a="1"/>
  <c r="NS166" i="24" s="1"/>
  <c r="NT166" i="24" s="1" a="1"/>
  <c r="NT166" i="24" s="1"/>
  <c r="NS96" i="24" a="1"/>
  <c r="NS96" i="24" s="1"/>
  <c r="NT96" i="24" s="1" a="1"/>
  <c r="NT96" i="24" s="1"/>
  <c r="OF116" i="24" a="1"/>
  <c r="OF116" i="24" s="1"/>
  <c r="OG116" i="24" s="1" a="1"/>
  <c r="OG116" i="24" s="1"/>
  <c r="NS95" i="24" a="1"/>
  <c r="NS95" i="24" s="1"/>
  <c r="NT95" i="24" s="1" a="1"/>
  <c r="NT95" i="24" s="1"/>
  <c r="OF159" i="24" a="1"/>
  <c r="OF159" i="24" s="1"/>
  <c r="OG159" i="24" s="1" a="1"/>
  <c r="OG159" i="24" s="1"/>
  <c r="OF121" i="24" a="1"/>
  <c r="OF121" i="24" s="1"/>
  <c r="OG121" i="24" s="1" a="1"/>
  <c r="OG121" i="24" s="1"/>
  <c r="NS130" i="24" a="1"/>
  <c r="NS130" i="24" s="1"/>
  <c r="NT130" i="24" s="1" a="1"/>
  <c r="NT130" i="24" s="1"/>
  <c r="OF150" i="24" a="1"/>
  <c r="OF150" i="24" s="1"/>
  <c r="OG150" i="24" s="1" a="1"/>
  <c r="OG150" i="24" s="1"/>
  <c r="NS165" i="24" a="1"/>
  <c r="NS165" i="24" s="1"/>
  <c r="NT165" i="24" s="1" a="1"/>
  <c r="NT165" i="24" s="1"/>
  <c r="NS93" i="24" a="1"/>
  <c r="NS93" i="24" s="1"/>
  <c r="NT93" i="24" s="1" a="1"/>
  <c r="NT93" i="24" s="1"/>
  <c r="OF117" i="24" a="1"/>
  <c r="OF117" i="24" s="1"/>
  <c r="OG117" i="24" s="1" a="1"/>
  <c r="OG117" i="24" s="1"/>
  <c r="OF49" i="24" a="1"/>
  <c r="OF49" i="24" s="1"/>
  <c r="OG49" i="24" s="1" a="1"/>
  <c r="OG49" i="24" s="1"/>
  <c r="NK11" i="24" a="1"/>
  <c r="NK11" i="24" s="1"/>
  <c r="NL11" i="24" s="1" a="1"/>
  <c r="NL11" i="24" s="1"/>
  <c r="OF68" i="24" a="1"/>
  <c r="OF68" i="24" s="1"/>
  <c r="OG68" i="24" s="1" a="1"/>
  <c r="OG68" i="24" s="1"/>
  <c r="OF163" i="24" a="1"/>
  <c r="OF163" i="24" s="1"/>
  <c r="OG163" i="24" s="1" a="1"/>
  <c r="OG163" i="24" s="1"/>
  <c r="OF157" i="24" a="1"/>
  <c r="OF157" i="24" s="1"/>
  <c r="OG157" i="24" s="1" a="1"/>
  <c r="OG157" i="24" s="1"/>
  <c r="OF91" i="24" a="1"/>
  <c r="OF91" i="24" s="1"/>
  <c r="OG91" i="24" s="1" a="1"/>
  <c r="OG91" i="24" s="1"/>
  <c r="OF62" i="24" a="1"/>
  <c r="OF62" i="24" s="1"/>
  <c r="OG62" i="24" s="1" a="1"/>
  <c r="OG62" i="24" s="1"/>
  <c r="NK36" i="24" a="1"/>
  <c r="NK36" i="24" s="1"/>
  <c r="NL36" i="24" s="1" a="1"/>
  <c r="NL36" i="24" s="1"/>
  <c r="NT36" i="24" s="1" a="1"/>
  <c r="NT36" i="24" s="1"/>
  <c r="NK55" i="24" a="1"/>
  <c r="NK55" i="24" s="1"/>
  <c r="NL55" i="24" s="1" a="1"/>
  <c r="NL55" i="24" s="1"/>
  <c r="OF153" i="24" a="1"/>
  <c r="OF153" i="24" s="1"/>
  <c r="OG153" i="24" s="1" a="1"/>
  <c r="OG153" i="24" s="1"/>
  <c r="OF161" i="24" a="1"/>
  <c r="OF161" i="24" s="1"/>
  <c r="OG161" i="24" s="1" a="1"/>
  <c r="OG161" i="24" s="1"/>
  <c r="OF85" i="24" a="1"/>
  <c r="OF85" i="24" s="1"/>
  <c r="OG85" i="24" s="1" a="1"/>
  <c r="OG85" i="24" s="1"/>
  <c r="OF30" i="24" a="1"/>
  <c r="OF30" i="24" s="1"/>
  <c r="OG30" i="24" s="1" a="1"/>
  <c r="OG30" i="24" s="1"/>
  <c r="OF83" i="24" a="1"/>
  <c r="OF83" i="24" s="1"/>
  <c r="OG83" i="24" s="1" a="1"/>
  <c r="OG83" i="24" s="1"/>
  <c r="NS47" i="24" a="1"/>
  <c r="NS47" i="24" s="1"/>
  <c r="OF81" i="24" a="1"/>
  <c r="OF81" i="24" s="1"/>
  <c r="OG81" i="24" s="1" a="1"/>
  <c r="OG81" i="24" s="1"/>
  <c r="OF18" i="24" a="1"/>
  <c r="OF18" i="24" s="1"/>
  <c r="OG18" i="24" s="1" a="1"/>
  <c r="OG18" i="24" s="1"/>
  <c r="OF75" i="24" a="1"/>
  <c r="OF75" i="24" s="1"/>
  <c r="OG75" i="24" s="1" a="1"/>
  <c r="OG75" i="24" s="1"/>
  <c r="OF76" i="24" a="1"/>
  <c r="OF76" i="24" s="1"/>
  <c r="OG76" i="24" s="1" a="1"/>
  <c r="OG76" i="24" s="1"/>
  <c r="OF14" i="24" a="1"/>
  <c r="OF14" i="24" s="1"/>
  <c r="OG14" i="24" s="1" a="1"/>
  <c r="OG14" i="24" s="1"/>
  <c r="NK63" i="24" a="1"/>
  <c r="NK63" i="24" s="1"/>
  <c r="NL63" i="24" s="1" a="1"/>
  <c r="NL63" i="24" s="1"/>
  <c r="NT63" i="24" s="1" a="1"/>
  <c r="NT63" i="24" s="1"/>
  <c r="NK30" i="24" a="1"/>
  <c r="NK30" i="24" s="1"/>
  <c r="NL30" i="24" s="1" a="1"/>
  <c r="NL30" i="24" s="1"/>
  <c r="NT30" i="24" s="1" a="1"/>
  <c r="NT30" i="24" s="1"/>
  <c r="OF56" i="24" a="1"/>
  <c r="OF56" i="24" s="1"/>
  <c r="OG56" i="24" s="1" a="1"/>
  <c r="OG56" i="24" s="1"/>
  <c r="NK23" i="24" a="1"/>
  <c r="NK23" i="24" s="1"/>
  <c r="NL23" i="24" s="1" a="1"/>
  <c r="NL23" i="24" s="1"/>
  <c r="NK7" i="24" a="1"/>
  <c r="NK7" i="24" s="1"/>
  <c r="NL7" i="24" s="1" a="1"/>
  <c r="NL7" i="24" s="1"/>
  <c r="NK59" i="24" a="1"/>
  <c r="NK59" i="24" s="1"/>
  <c r="NL59" i="24" s="1" a="1"/>
  <c r="NL59" i="24" s="1"/>
  <c r="NT59" i="24" s="1" a="1"/>
  <c r="NT59" i="24" s="1"/>
  <c r="NK33" i="24" a="1"/>
  <c r="NK33" i="24" s="1"/>
  <c r="NL33" i="24" s="1" a="1"/>
  <c r="NL33" i="24" s="1"/>
  <c r="NK61" i="24" a="1"/>
  <c r="NK61" i="24" s="1"/>
  <c r="NL61" i="24" s="1" a="1"/>
  <c r="NL61" i="24" s="1"/>
  <c r="NK84" i="24" a="1"/>
  <c r="NK84" i="24" s="1"/>
  <c r="NL84" i="24" s="1" a="1"/>
  <c r="NL84" i="24" s="1"/>
  <c r="NT84" i="24" s="1" a="1"/>
  <c r="NT84" i="24" s="1"/>
  <c r="NK89" i="24" a="1"/>
  <c r="NK89" i="24" s="1"/>
  <c r="NL89" i="24" s="1" a="1"/>
  <c r="NL89" i="24" s="1"/>
  <c r="NK85" i="24" a="1"/>
  <c r="NK85" i="24" s="1"/>
  <c r="NL85" i="24" s="1" a="1"/>
  <c r="NL85" i="24" s="1"/>
  <c r="OF53" i="24" a="1"/>
  <c r="OF53" i="24" s="1"/>
  <c r="OG53" i="24" s="1" a="1"/>
  <c r="OG53" i="24" s="1"/>
  <c r="OF15" i="24" a="1"/>
  <c r="OF15" i="24" s="1"/>
  <c r="OG15" i="24" s="1" a="1"/>
  <c r="OG15" i="24" s="1"/>
  <c r="OF10" i="24" a="1"/>
  <c r="OF10" i="24" s="1"/>
  <c r="OG10" i="24" s="1" a="1"/>
  <c r="OG10" i="24" s="1"/>
  <c r="OF71" i="24" a="1"/>
  <c r="OF71" i="24" s="1"/>
  <c r="OG71" i="24" s="1" a="1"/>
  <c r="OG71" i="24" s="1"/>
  <c r="OF16" i="24" a="1"/>
  <c r="OF16" i="24" s="1"/>
  <c r="OG16" i="24" s="1" a="1"/>
  <c r="OG16" i="24" s="1"/>
  <c r="OF90" i="24" a="1"/>
  <c r="OF90" i="24" s="1"/>
  <c r="OG90" i="24" s="1" a="1"/>
  <c r="OG90" i="24" s="1"/>
  <c r="NS115" i="24" a="1"/>
  <c r="NS115" i="24" s="1"/>
  <c r="NT115" i="24" s="1" a="1"/>
  <c r="NT115" i="24" s="1"/>
  <c r="OF141" i="24" a="1"/>
  <c r="OF141" i="24" s="1"/>
  <c r="OG141" i="24" s="1" a="1"/>
  <c r="OG141" i="24" s="1"/>
  <c r="NS169" i="24" a="1"/>
  <c r="NS169" i="24" s="1"/>
  <c r="NT169" i="24" s="1" a="1"/>
  <c r="NT169" i="24" s="1"/>
  <c r="NS146" i="24" a="1"/>
  <c r="NS146" i="24" s="1"/>
  <c r="NT146" i="24" s="1" a="1"/>
  <c r="NT146" i="24" s="1"/>
  <c r="OF100" i="24" a="1"/>
  <c r="OF100" i="24" s="1"/>
  <c r="OG100" i="24" s="1" a="1"/>
  <c r="OG100" i="24" s="1"/>
  <c r="OF176" i="24" a="1"/>
  <c r="OF176" i="24" s="1"/>
  <c r="OG176" i="24" s="1" a="1"/>
  <c r="OG176" i="24" s="1"/>
  <c r="OI176" i="24" s="1"/>
  <c r="E176" i="24" s="1"/>
  <c r="NS142" i="24" a="1"/>
  <c r="NS142" i="24" s="1"/>
  <c r="NT142" i="24" s="1" a="1"/>
  <c r="NT142" i="24" s="1"/>
  <c r="NS148" i="24" a="1"/>
  <c r="NS148" i="24" s="1"/>
  <c r="NT148" i="24" s="1" a="1"/>
  <c r="NT148" i="24" s="1"/>
  <c r="OF96" i="24" a="1"/>
  <c r="OF96" i="24" s="1"/>
  <c r="OG96" i="24" s="1" a="1"/>
  <c r="OG96" i="24" s="1"/>
  <c r="OF174" i="24" a="1"/>
  <c r="OF174" i="24" s="1"/>
  <c r="OG174" i="24" s="1" a="1"/>
  <c r="OG174" i="24" s="1"/>
  <c r="OI174" i="24" s="1"/>
  <c r="E174" i="24" s="1"/>
  <c r="NS144" i="24" a="1"/>
  <c r="NS144" i="24" s="1"/>
  <c r="NT144" i="24" s="1" a="1"/>
  <c r="NT144" i="24" s="1"/>
  <c r="OF166" i="24" a="1"/>
  <c r="OF166" i="24" s="1"/>
  <c r="OG166" i="24" s="1" a="1"/>
  <c r="OG166" i="24" s="1"/>
  <c r="OF128" i="24" a="1"/>
  <c r="OF128" i="24" s="1"/>
  <c r="OG128" i="24" s="1" a="1"/>
  <c r="OG128" i="24" s="1"/>
  <c r="NS177" i="24" a="1"/>
  <c r="NS177" i="24" s="1"/>
  <c r="NT177" i="24" s="1" a="1"/>
  <c r="NT177" i="24" s="1"/>
  <c r="NS98" i="24" a="1"/>
  <c r="NS98" i="24" s="1"/>
  <c r="NT98" i="24" s="1" a="1"/>
  <c r="NT98" i="24" s="1"/>
  <c r="OF130" i="24" a="1"/>
  <c r="OF130" i="24" s="1"/>
  <c r="OG130" i="24" s="1" a="1"/>
  <c r="OG130" i="24" s="1"/>
  <c r="OF95" i="24" a="1"/>
  <c r="OF95" i="24" s="1"/>
  <c r="OG95" i="24" s="1" a="1"/>
  <c r="OG95" i="24" s="1"/>
  <c r="NS133" i="24" a="1"/>
  <c r="NS133" i="24" s="1"/>
  <c r="OF131" i="24" a="1"/>
  <c r="OF131" i="24" s="1"/>
  <c r="OG131" i="24" s="1" a="1"/>
  <c r="OG131" i="24" s="1"/>
  <c r="NS138" i="24" a="1"/>
  <c r="NS138" i="24" s="1"/>
  <c r="NT138" i="24" s="1" a="1"/>
  <c r="NT138" i="24" s="1"/>
  <c r="OF103" i="24" a="1"/>
  <c r="OF103" i="24" s="1"/>
  <c r="OG103" i="24" s="1" a="1"/>
  <c r="OG103" i="24" s="1"/>
  <c r="I5" i="24"/>
  <c r="H5" i="24" s="1"/>
  <c r="C5" i="24" s="1"/>
  <c r="NH5" i="24" a="1"/>
  <c r="NH5" i="24" s="1"/>
  <c r="NV5" i="24" a="1"/>
  <c r="NV5" i="24" s="1"/>
  <c r="NN5" i="24" a="1"/>
  <c r="NN5" i="24" s="1"/>
  <c r="NS5" i="24" s="1" a="1"/>
  <c r="NS5" i="24" s="1"/>
  <c r="NF3" i="19"/>
  <c r="NE3" i="19"/>
  <c r="ND3" i="19"/>
  <c r="NC3" i="19"/>
  <c r="NB3" i="19"/>
  <c r="NA3" i="19"/>
  <c r="MZ3" i="19"/>
  <c r="MY3" i="19"/>
  <c r="MX3" i="19"/>
  <c r="MW3" i="19"/>
  <c r="MV3" i="19"/>
  <c r="MU3" i="19"/>
  <c r="MT3" i="19"/>
  <c r="MS3" i="19"/>
  <c r="MR3" i="19"/>
  <c r="MQ3" i="19"/>
  <c r="MP3" i="19"/>
  <c r="MO3" i="19"/>
  <c r="MN3" i="19"/>
  <c r="MM3" i="19"/>
  <c r="ML3" i="19"/>
  <c r="MK3" i="19"/>
  <c r="MJ3" i="19"/>
  <c r="MI3" i="19"/>
  <c r="MH3" i="19"/>
  <c r="MG3" i="19"/>
  <c r="MF3" i="19"/>
  <c r="ME3" i="19"/>
  <c r="MD3" i="19"/>
  <c r="MC3" i="19"/>
  <c r="MB3" i="19"/>
  <c r="MA3" i="19"/>
  <c r="LZ3" i="19"/>
  <c r="LY3" i="19"/>
  <c r="LX3" i="19"/>
  <c r="LW3" i="19"/>
  <c r="LV3" i="19"/>
  <c r="LU3" i="19"/>
  <c r="LT3" i="19"/>
  <c r="LS3" i="19"/>
  <c r="LR3" i="19"/>
  <c r="LQ3" i="19"/>
  <c r="LP3" i="19"/>
  <c r="LO3" i="19"/>
  <c r="LN3" i="19"/>
  <c r="LM3" i="19"/>
  <c r="LL3" i="19"/>
  <c r="LK3" i="19"/>
  <c r="LJ3" i="19"/>
  <c r="LI3" i="19"/>
  <c r="LH3" i="19"/>
  <c r="LG3" i="19"/>
  <c r="LF3" i="19"/>
  <c r="LE3" i="19"/>
  <c r="LD3" i="19"/>
  <c r="LC3" i="19"/>
  <c r="LB3" i="19"/>
  <c r="LA3" i="19"/>
  <c r="KZ3" i="19"/>
  <c r="KY3" i="19"/>
  <c r="KX3" i="19"/>
  <c r="KW3" i="19"/>
  <c r="KV3" i="19"/>
  <c r="KU3" i="19"/>
  <c r="KT3" i="19"/>
  <c r="KS3" i="19"/>
  <c r="KR3" i="19"/>
  <c r="KQ3" i="19"/>
  <c r="KP3" i="19"/>
  <c r="KO3" i="19"/>
  <c r="KN3" i="19"/>
  <c r="KM3" i="19"/>
  <c r="KL3" i="19"/>
  <c r="KK3" i="19"/>
  <c r="KJ3" i="19"/>
  <c r="KI3" i="19"/>
  <c r="KH3" i="19"/>
  <c r="KG3" i="19"/>
  <c r="KF3" i="19"/>
  <c r="KE3" i="19"/>
  <c r="KD3" i="19"/>
  <c r="KC3" i="19"/>
  <c r="KB3" i="19"/>
  <c r="KA3" i="19"/>
  <c r="JZ3" i="19"/>
  <c r="JY3" i="19"/>
  <c r="JX3" i="19"/>
  <c r="JW3" i="19"/>
  <c r="JV3" i="19"/>
  <c r="JU3" i="19"/>
  <c r="JT3" i="19"/>
  <c r="JS3" i="19"/>
  <c r="JR3" i="19"/>
  <c r="JQ3" i="19"/>
  <c r="JP3" i="19"/>
  <c r="JO3" i="19"/>
  <c r="JN3" i="19"/>
  <c r="JM3" i="19"/>
  <c r="JL3" i="19"/>
  <c r="JK3" i="19"/>
  <c r="JJ3" i="19"/>
  <c r="JI3" i="19"/>
  <c r="JH3" i="19"/>
  <c r="JG3" i="19"/>
  <c r="JF3" i="19"/>
  <c r="JE3" i="19"/>
  <c r="JD3" i="19"/>
  <c r="JC3" i="19"/>
  <c r="JB3" i="19"/>
  <c r="JA3" i="19"/>
  <c r="IZ3" i="19"/>
  <c r="IY3" i="19"/>
  <c r="IX3" i="19"/>
  <c r="IW3" i="19"/>
  <c r="IV3" i="19"/>
  <c r="IU3" i="19"/>
  <c r="IT3" i="19"/>
  <c r="IS3" i="19"/>
  <c r="IR3" i="19"/>
  <c r="IQ3" i="19"/>
  <c r="IP3" i="19"/>
  <c r="IO3" i="19"/>
  <c r="IN3" i="19"/>
  <c r="IM3" i="19"/>
  <c r="IL3" i="19"/>
  <c r="IK3" i="19"/>
  <c r="IJ3" i="19"/>
  <c r="II3" i="19"/>
  <c r="IH3" i="19"/>
  <c r="IG3" i="19"/>
  <c r="IF3" i="19"/>
  <c r="IE3" i="19"/>
  <c r="ID3" i="19"/>
  <c r="IC3" i="19"/>
  <c r="IB3" i="19"/>
  <c r="IA3" i="19"/>
  <c r="HZ3" i="19"/>
  <c r="HY3" i="19"/>
  <c r="HX3" i="19"/>
  <c r="HW3" i="19"/>
  <c r="HV3" i="19"/>
  <c r="HU3" i="19"/>
  <c r="HT3" i="19"/>
  <c r="HS3" i="19"/>
  <c r="HR3" i="19"/>
  <c r="HQ3" i="19"/>
  <c r="HP3" i="19"/>
  <c r="HO3" i="19"/>
  <c r="HN3" i="19"/>
  <c r="HM3" i="19"/>
  <c r="HL3" i="19"/>
  <c r="HK3" i="19"/>
  <c r="HJ3" i="19"/>
  <c r="HI3" i="19"/>
  <c r="HH3" i="19"/>
  <c r="HG3" i="19"/>
  <c r="HF3" i="19"/>
  <c r="HE3" i="19"/>
  <c r="HD3" i="19"/>
  <c r="HC3" i="19"/>
  <c r="HB3" i="19"/>
  <c r="HA3" i="19"/>
  <c r="GZ3" i="19"/>
  <c r="GY3" i="19"/>
  <c r="GX3" i="19"/>
  <c r="GW3" i="19"/>
  <c r="GV3" i="19"/>
  <c r="GU3" i="19"/>
  <c r="GT3" i="19"/>
  <c r="GS3" i="19"/>
  <c r="GR3" i="19"/>
  <c r="GQ3" i="19"/>
  <c r="GP3" i="19"/>
  <c r="GO3" i="19"/>
  <c r="GN3" i="19"/>
  <c r="GM3" i="19"/>
  <c r="GL3" i="19"/>
  <c r="GK3" i="19"/>
  <c r="GJ3" i="19"/>
  <c r="GI3" i="19"/>
  <c r="NF2" i="19"/>
  <c r="NE2" i="19"/>
  <c r="ND2" i="19"/>
  <c r="NC2" i="19"/>
  <c r="NB2" i="19"/>
  <c r="NA2" i="19"/>
  <c r="MZ2" i="19"/>
  <c r="MY2" i="19"/>
  <c r="MX2" i="19"/>
  <c r="MW2" i="19"/>
  <c r="MV2" i="19"/>
  <c r="MU2" i="19"/>
  <c r="MT2" i="19"/>
  <c r="MS2" i="19"/>
  <c r="MR2" i="19"/>
  <c r="MQ2" i="19"/>
  <c r="MP2" i="19"/>
  <c r="MO2" i="19"/>
  <c r="MN2" i="19"/>
  <c r="MM2" i="19"/>
  <c r="ML2" i="19"/>
  <c r="MK2" i="19"/>
  <c r="MJ2" i="19"/>
  <c r="MI2" i="19"/>
  <c r="MH2" i="19"/>
  <c r="MG2" i="19"/>
  <c r="MF2" i="19"/>
  <c r="ME2" i="19"/>
  <c r="MD2" i="19"/>
  <c r="MC2" i="19"/>
  <c r="MB2" i="19"/>
  <c r="MA2" i="19"/>
  <c r="LZ2" i="19"/>
  <c r="LY2" i="19"/>
  <c r="LX2" i="19"/>
  <c r="LW2" i="19"/>
  <c r="LV2" i="19"/>
  <c r="LU2" i="19"/>
  <c r="LT2" i="19"/>
  <c r="LS2" i="19"/>
  <c r="LR2" i="19"/>
  <c r="LQ2" i="19"/>
  <c r="LP2" i="19"/>
  <c r="LO2" i="19"/>
  <c r="LN2" i="19"/>
  <c r="LM2" i="19"/>
  <c r="LL2" i="19"/>
  <c r="LK2" i="19"/>
  <c r="LJ2" i="19"/>
  <c r="LI2" i="19"/>
  <c r="LH2" i="19"/>
  <c r="LG2" i="19"/>
  <c r="LF2" i="19"/>
  <c r="LE2" i="19"/>
  <c r="LD2" i="19"/>
  <c r="LC2" i="19"/>
  <c r="LB2" i="19"/>
  <c r="LA2" i="19"/>
  <c r="KZ2" i="19"/>
  <c r="KY2" i="19"/>
  <c r="KX2" i="19"/>
  <c r="KW2" i="19"/>
  <c r="KV2" i="19"/>
  <c r="KU2" i="19"/>
  <c r="KT2" i="19"/>
  <c r="KS2" i="19"/>
  <c r="KR2" i="19"/>
  <c r="KQ2" i="19"/>
  <c r="KP2" i="19"/>
  <c r="KO2" i="19"/>
  <c r="KN2" i="19"/>
  <c r="KM2" i="19"/>
  <c r="KL2" i="19"/>
  <c r="KK2" i="19"/>
  <c r="KJ2" i="19"/>
  <c r="KI2" i="19"/>
  <c r="KH2" i="19"/>
  <c r="KG2" i="19"/>
  <c r="KF2" i="19"/>
  <c r="KE2" i="19"/>
  <c r="KD2" i="19"/>
  <c r="KC2" i="19"/>
  <c r="KB2" i="19"/>
  <c r="KA2" i="19"/>
  <c r="JZ2" i="19"/>
  <c r="JY2" i="19"/>
  <c r="JX2" i="19"/>
  <c r="JW2" i="19"/>
  <c r="JV2" i="19"/>
  <c r="JU2" i="19"/>
  <c r="JT2" i="19"/>
  <c r="JS2" i="19"/>
  <c r="JR2" i="19"/>
  <c r="JQ2" i="19"/>
  <c r="JP2" i="19"/>
  <c r="JO2" i="19"/>
  <c r="JN2" i="19"/>
  <c r="JM2" i="19"/>
  <c r="JL2" i="19"/>
  <c r="JK2" i="19"/>
  <c r="JJ2" i="19"/>
  <c r="JI2" i="19"/>
  <c r="JH2" i="19"/>
  <c r="JG2" i="19"/>
  <c r="JF2" i="19"/>
  <c r="JE2" i="19"/>
  <c r="JD2" i="19"/>
  <c r="JC2" i="19"/>
  <c r="JB2" i="19"/>
  <c r="JA2" i="19"/>
  <c r="IZ2" i="19"/>
  <c r="IY2" i="19"/>
  <c r="IX2" i="19"/>
  <c r="IW2" i="19"/>
  <c r="IV2" i="19"/>
  <c r="IU2" i="19"/>
  <c r="IT2" i="19"/>
  <c r="IS2" i="19"/>
  <c r="IR2" i="19"/>
  <c r="IQ2" i="19"/>
  <c r="IP2" i="19"/>
  <c r="IO2" i="19"/>
  <c r="IN2" i="19"/>
  <c r="IM2" i="19"/>
  <c r="IL2" i="19"/>
  <c r="IK2" i="19"/>
  <c r="IJ2" i="19"/>
  <c r="II2" i="19"/>
  <c r="IH2" i="19"/>
  <c r="IG2" i="19"/>
  <c r="IF2" i="19"/>
  <c r="IE2" i="19"/>
  <c r="ID2" i="19"/>
  <c r="IC2" i="19"/>
  <c r="IB2" i="19"/>
  <c r="IA2" i="19"/>
  <c r="HZ2" i="19"/>
  <c r="HY2" i="19"/>
  <c r="HX2" i="19"/>
  <c r="HW2" i="19"/>
  <c r="HV2" i="19"/>
  <c r="HU2" i="19"/>
  <c r="HT2" i="19"/>
  <c r="HS2" i="19"/>
  <c r="HR2" i="19"/>
  <c r="HQ2" i="19"/>
  <c r="HP2" i="19"/>
  <c r="HO2" i="19"/>
  <c r="HN2" i="19"/>
  <c r="HM2" i="19"/>
  <c r="HL2" i="19"/>
  <c r="HK2" i="19"/>
  <c r="HJ2" i="19"/>
  <c r="HI2" i="19"/>
  <c r="HH2" i="19"/>
  <c r="HG2" i="19"/>
  <c r="HF2" i="19"/>
  <c r="HE2" i="19"/>
  <c r="HD2" i="19"/>
  <c r="HC2" i="19"/>
  <c r="HB2" i="19"/>
  <c r="HA2" i="19"/>
  <c r="GZ2" i="19"/>
  <c r="GY2" i="19"/>
  <c r="GX2" i="19"/>
  <c r="GW2" i="19"/>
  <c r="GV2" i="19"/>
  <c r="GU2" i="19"/>
  <c r="GT2" i="19"/>
  <c r="GS2" i="19"/>
  <c r="GR2" i="19"/>
  <c r="GQ2" i="19"/>
  <c r="GP2" i="19"/>
  <c r="GO2" i="19"/>
  <c r="GN2" i="19"/>
  <c r="GM2" i="19"/>
  <c r="GL2" i="19"/>
  <c r="GK2" i="19"/>
  <c r="GJ2" i="19"/>
  <c r="GI2" i="19"/>
  <c r="NI3" i="17"/>
  <c r="NH3" i="17"/>
  <c r="NG3" i="17"/>
  <c r="NF3" i="17"/>
  <c r="NE3" i="17"/>
  <c r="ND3" i="17"/>
  <c r="NC3" i="17"/>
  <c r="NB3" i="17"/>
  <c r="NA3" i="17"/>
  <c r="MZ3" i="17"/>
  <c r="MY3" i="17"/>
  <c r="MX3" i="17"/>
  <c r="MW3" i="17"/>
  <c r="MV3" i="17"/>
  <c r="MU3" i="17"/>
  <c r="MT3" i="17"/>
  <c r="MS3" i="17"/>
  <c r="MR3" i="17"/>
  <c r="MQ3" i="17"/>
  <c r="MP3" i="17"/>
  <c r="MO3" i="17"/>
  <c r="MN3" i="17"/>
  <c r="MM3" i="17"/>
  <c r="ML3" i="17"/>
  <c r="MK3" i="17"/>
  <c r="MJ3" i="17"/>
  <c r="MI3" i="17"/>
  <c r="MH3" i="17"/>
  <c r="MG3" i="17"/>
  <c r="MF3" i="17"/>
  <c r="ME3" i="17"/>
  <c r="MD3" i="17"/>
  <c r="MC3" i="17"/>
  <c r="MB3" i="17"/>
  <c r="MA3" i="17"/>
  <c r="LZ3" i="17"/>
  <c r="LY3" i="17"/>
  <c r="LX3" i="17"/>
  <c r="LW3" i="17"/>
  <c r="LV3" i="17"/>
  <c r="LU3" i="17"/>
  <c r="LT3" i="17"/>
  <c r="LS3" i="17"/>
  <c r="LR3" i="17"/>
  <c r="LQ3" i="17"/>
  <c r="LP3" i="17"/>
  <c r="LO3" i="17"/>
  <c r="LN3" i="17"/>
  <c r="LM3" i="17"/>
  <c r="LL3" i="17"/>
  <c r="LK3" i="17"/>
  <c r="LJ3" i="17"/>
  <c r="LI3" i="17"/>
  <c r="LH3" i="17"/>
  <c r="LG3" i="17"/>
  <c r="LF3" i="17"/>
  <c r="LE3" i="17"/>
  <c r="LD3" i="17"/>
  <c r="LC3" i="17"/>
  <c r="LB3" i="17"/>
  <c r="LA3" i="17"/>
  <c r="KZ3" i="17"/>
  <c r="KY3" i="17"/>
  <c r="KX3" i="17"/>
  <c r="KW3" i="17"/>
  <c r="KV3" i="17"/>
  <c r="KU3" i="17"/>
  <c r="KT3" i="17"/>
  <c r="KS3" i="17"/>
  <c r="KR3" i="17"/>
  <c r="KQ3" i="17"/>
  <c r="KP3" i="17"/>
  <c r="KO3" i="17"/>
  <c r="KN3" i="17"/>
  <c r="KM3" i="17"/>
  <c r="KL3" i="17"/>
  <c r="KK3" i="17"/>
  <c r="KJ3" i="17"/>
  <c r="KI3" i="17"/>
  <c r="KH3" i="17"/>
  <c r="KG3" i="17"/>
  <c r="KF3" i="17"/>
  <c r="KE3" i="17"/>
  <c r="KD3" i="17"/>
  <c r="KC3" i="17"/>
  <c r="KB3" i="17"/>
  <c r="KA3" i="17"/>
  <c r="JZ3" i="17"/>
  <c r="JY3" i="17"/>
  <c r="JX3" i="17"/>
  <c r="JW3" i="17"/>
  <c r="JV3" i="17"/>
  <c r="JU3" i="17"/>
  <c r="JT3" i="17"/>
  <c r="JS3" i="17"/>
  <c r="JR3" i="17"/>
  <c r="JQ3" i="17"/>
  <c r="JP3" i="17"/>
  <c r="JO3" i="17"/>
  <c r="JN3" i="17"/>
  <c r="JM3" i="17"/>
  <c r="JL3" i="17"/>
  <c r="JK3" i="17"/>
  <c r="JJ3" i="17"/>
  <c r="JI3" i="17"/>
  <c r="JH3" i="17"/>
  <c r="JG3" i="17"/>
  <c r="JF3" i="17"/>
  <c r="JE3" i="17"/>
  <c r="JD3" i="17"/>
  <c r="JC3" i="17"/>
  <c r="JB3" i="17"/>
  <c r="JA3" i="17"/>
  <c r="IZ3" i="17"/>
  <c r="IY3" i="17"/>
  <c r="IX3" i="17"/>
  <c r="IW3" i="17"/>
  <c r="IV3" i="17"/>
  <c r="IU3" i="17"/>
  <c r="IT3" i="17"/>
  <c r="IS3" i="17"/>
  <c r="IR3" i="17"/>
  <c r="IQ3" i="17"/>
  <c r="IP3" i="17"/>
  <c r="IO3" i="17"/>
  <c r="IN3" i="17"/>
  <c r="IM3" i="17"/>
  <c r="IL3" i="17"/>
  <c r="IK3" i="17"/>
  <c r="IJ3" i="17"/>
  <c r="II3" i="17"/>
  <c r="IH3" i="17"/>
  <c r="IG3" i="17"/>
  <c r="IF3" i="17"/>
  <c r="IE3" i="17"/>
  <c r="ID3" i="17"/>
  <c r="IC3" i="17"/>
  <c r="IB3" i="17"/>
  <c r="IA3" i="17"/>
  <c r="HZ3" i="17"/>
  <c r="HY3" i="17"/>
  <c r="HX3" i="17"/>
  <c r="HW3" i="17"/>
  <c r="HV3" i="17"/>
  <c r="HU3" i="17"/>
  <c r="HT3" i="17"/>
  <c r="HS3" i="17"/>
  <c r="HR3" i="17"/>
  <c r="HQ3" i="17"/>
  <c r="HP3" i="17"/>
  <c r="HO3" i="17"/>
  <c r="HN3" i="17"/>
  <c r="HM3" i="17"/>
  <c r="HL3" i="17"/>
  <c r="HK3" i="17"/>
  <c r="HJ3" i="17"/>
  <c r="HI3" i="17"/>
  <c r="HH3" i="17"/>
  <c r="HG3" i="17"/>
  <c r="HF3" i="17"/>
  <c r="HE3" i="17"/>
  <c r="HD3" i="17"/>
  <c r="HC3" i="17"/>
  <c r="HB3" i="17"/>
  <c r="HA3" i="17"/>
  <c r="GZ3" i="17"/>
  <c r="GY3" i="17"/>
  <c r="GX3" i="17"/>
  <c r="GW3" i="17"/>
  <c r="GV3" i="17"/>
  <c r="GU3" i="17"/>
  <c r="GT3" i="17"/>
  <c r="GS3" i="17"/>
  <c r="GR3" i="17"/>
  <c r="GQ3" i="17"/>
  <c r="GP3" i="17"/>
  <c r="GO3" i="17"/>
  <c r="GN3" i="17"/>
  <c r="GM3" i="17"/>
  <c r="GL3" i="17"/>
  <c r="NI2" i="17"/>
  <c r="NH2" i="17"/>
  <c r="NG2" i="17"/>
  <c r="NF2" i="17"/>
  <c r="NE2" i="17"/>
  <c r="ND2" i="17"/>
  <c r="NC2" i="17"/>
  <c r="NB2" i="17"/>
  <c r="NA2" i="17"/>
  <c r="MZ2" i="17"/>
  <c r="MY2" i="17"/>
  <c r="MX2" i="17"/>
  <c r="MW2" i="17"/>
  <c r="MV2" i="17"/>
  <c r="MU2" i="17"/>
  <c r="MT2" i="17"/>
  <c r="MS2" i="17"/>
  <c r="MR2" i="17"/>
  <c r="MQ2" i="17"/>
  <c r="MP2" i="17"/>
  <c r="MO2" i="17"/>
  <c r="MN2" i="17"/>
  <c r="MM2" i="17"/>
  <c r="ML2" i="17"/>
  <c r="MK2" i="17"/>
  <c r="MJ2" i="17"/>
  <c r="MI2" i="17"/>
  <c r="MH2" i="17"/>
  <c r="MG2" i="17"/>
  <c r="MF2" i="17"/>
  <c r="ME2" i="17"/>
  <c r="MD2" i="17"/>
  <c r="MC2" i="17"/>
  <c r="MB2" i="17"/>
  <c r="MA2" i="17"/>
  <c r="LZ2" i="17"/>
  <c r="LY2" i="17"/>
  <c r="LX2" i="17"/>
  <c r="LW2" i="17"/>
  <c r="LV2" i="17"/>
  <c r="LU2" i="17"/>
  <c r="LT2" i="17"/>
  <c r="LS2" i="17"/>
  <c r="LR2" i="17"/>
  <c r="LQ2" i="17"/>
  <c r="LP2" i="17"/>
  <c r="LO2" i="17"/>
  <c r="LN2" i="17"/>
  <c r="LM2" i="17"/>
  <c r="LL2" i="17"/>
  <c r="LK2" i="17"/>
  <c r="LJ2" i="17"/>
  <c r="LI2" i="17"/>
  <c r="LH2" i="17"/>
  <c r="LG2" i="17"/>
  <c r="LF2" i="17"/>
  <c r="LE2" i="17"/>
  <c r="LD2" i="17"/>
  <c r="LC2" i="17"/>
  <c r="LB2" i="17"/>
  <c r="LA2" i="17"/>
  <c r="KZ2" i="17"/>
  <c r="KY2" i="17"/>
  <c r="KX2" i="17"/>
  <c r="KW2" i="17"/>
  <c r="KV2" i="17"/>
  <c r="KU2" i="17"/>
  <c r="KT2" i="17"/>
  <c r="KS2" i="17"/>
  <c r="KR2" i="17"/>
  <c r="KQ2" i="17"/>
  <c r="KP2" i="17"/>
  <c r="KO2" i="17"/>
  <c r="KN2" i="17"/>
  <c r="KM2" i="17"/>
  <c r="KL2" i="17"/>
  <c r="KK2" i="17"/>
  <c r="KJ2" i="17"/>
  <c r="KI2" i="17"/>
  <c r="KH2" i="17"/>
  <c r="KG2" i="17"/>
  <c r="KF2" i="17"/>
  <c r="KE2" i="17"/>
  <c r="KD2" i="17"/>
  <c r="KC2" i="17"/>
  <c r="KB2" i="17"/>
  <c r="KA2" i="17"/>
  <c r="JZ2" i="17"/>
  <c r="JY2" i="17"/>
  <c r="JX2" i="17"/>
  <c r="JW2" i="17"/>
  <c r="JV2" i="17"/>
  <c r="JU2" i="17"/>
  <c r="JT2" i="17"/>
  <c r="JS2" i="17"/>
  <c r="JR2" i="17"/>
  <c r="JQ2" i="17"/>
  <c r="JP2" i="17"/>
  <c r="JO2" i="17"/>
  <c r="JN2" i="17"/>
  <c r="JM2" i="17"/>
  <c r="JL2" i="17"/>
  <c r="JK2" i="17"/>
  <c r="JJ2" i="17"/>
  <c r="JI2" i="17"/>
  <c r="JH2" i="17"/>
  <c r="JG2" i="17"/>
  <c r="JF2" i="17"/>
  <c r="JE2" i="17"/>
  <c r="JD2" i="17"/>
  <c r="JC2" i="17"/>
  <c r="JB2" i="17"/>
  <c r="JA2" i="17"/>
  <c r="IZ2" i="17"/>
  <c r="IY2" i="17"/>
  <c r="IX2" i="17"/>
  <c r="IW2" i="17"/>
  <c r="IV2" i="17"/>
  <c r="IU2" i="17"/>
  <c r="IT2" i="17"/>
  <c r="IS2" i="17"/>
  <c r="IR2" i="17"/>
  <c r="IQ2" i="17"/>
  <c r="IP2" i="17"/>
  <c r="IO2" i="17"/>
  <c r="IN2" i="17"/>
  <c r="IM2" i="17"/>
  <c r="IL2" i="17"/>
  <c r="IK2" i="17"/>
  <c r="IJ2" i="17"/>
  <c r="II2" i="17"/>
  <c r="IH2" i="17"/>
  <c r="IG2" i="17"/>
  <c r="IF2" i="17"/>
  <c r="IE2" i="17"/>
  <c r="ID2" i="17"/>
  <c r="IC2" i="17"/>
  <c r="IB2" i="17"/>
  <c r="IA2" i="17"/>
  <c r="HZ2" i="17"/>
  <c r="HY2" i="17"/>
  <c r="HX2" i="17"/>
  <c r="HW2" i="17"/>
  <c r="HV2" i="17"/>
  <c r="HU2" i="17"/>
  <c r="HT2" i="17"/>
  <c r="HS2" i="17"/>
  <c r="HR2" i="17"/>
  <c r="HQ2" i="17"/>
  <c r="HP2" i="17"/>
  <c r="HO2" i="17"/>
  <c r="HN2" i="17"/>
  <c r="HM2" i="17"/>
  <c r="HL2" i="17"/>
  <c r="HK2" i="17"/>
  <c r="HJ2" i="17"/>
  <c r="HI2" i="17"/>
  <c r="HH2" i="17"/>
  <c r="HG2" i="17"/>
  <c r="HF2" i="17"/>
  <c r="HE2" i="17"/>
  <c r="HD2" i="17"/>
  <c r="HC2" i="17"/>
  <c r="HB2" i="17"/>
  <c r="HA2" i="17"/>
  <c r="GZ2" i="17"/>
  <c r="GY2" i="17"/>
  <c r="GX2" i="17"/>
  <c r="GW2" i="17"/>
  <c r="GV2" i="17"/>
  <c r="GU2" i="17"/>
  <c r="GT2" i="17"/>
  <c r="GS2" i="17"/>
  <c r="GR2" i="17"/>
  <c r="GQ2" i="17"/>
  <c r="GP2" i="17"/>
  <c r="GO2" i="17"/>
  <c r="GN2" i="17"/>
  <c r="GM2" i="17"/>
  <c r="GL2" i="17"/>
  <c r="P2" i="22"/>
  <c r="N2" i="22"/>
  <c r="OI144" i="24" l="1"/>
  <c r="E144" i="24" s="1"/>
  <c r="OI137" i="24"/>
  <c r="E137" i="24" s="1"/>
  <c r="OI128" i="24"/>
  <c r="E128" i="24" s="1"/>
  <c r="OI155" i="24"/>
  <c r="E155" i="24" s="1"/>
  <c r="OI160" i="24"/>
  <c r="E160" i="24" s="1"/>
  <c r="OI177" i="24"/>
  <c r="E177" i="24" s="1"/>
  <c r="OI112" i="24"/>
  <c r="E112" i="24" s="1"/>
  <c r="OI134" i="24"/>
  <c r="E134" i="24" s="1"/>
  <c r="OI105" i="24"/>
  <c r="E105" i="24" s="1"/>
  <c r="L232" i="8" s="1"/>
  <c r="OI118" i="24"/>
  <c r="E118" i="24" s="1"/>
  <c r="OI115" i="24"/>
  <c r="E115" i="24" s="1"/>
  <c r="OI103" i="24"/>
  <c r="E103" i="24" s="1"/>
  <c r="OI173" i="24"/>
  <c r="E173" i="24" s="1"/>
  <c r="NT40" i="24" a="1"/>
  <c r="NT40" i="24" s="1"/>
  <c r="OI40" i="24" s="1"/>
  <c r="E40" i="24" s="1"/>
  <c r="OI125" i="24"/>
  <c r="E125" i="24" s="1"/>
  <c r="OI148" i="24"/>
  <c r="E148" i="24" s="1"/>
  <c r="NT133" i="24" a="1"/>
  <c r="NT133" i="24" s="1"/>
  <c r="OI133" i="24" s="1"/>
  <c r="E133" i="24" s="1"/>
  <c r="OI136" i="24"/>
  <c r="E136" i="24" s="1"/>
  <c r="OI171" i="24"/>
  <c r="E171" i="24" s="1"/>
  <c r="OI145" i="24"/>
  <c r="E145" i="24" s="1"/>
  <c r="NT82" i="24" a="1"/>
  <c r="NT82" i="24" s="1"/>
  <c r="OI82" i="24" s="1"/>
  <c r="E82" i="24" s="1"/>
  <c r="NT46" i="24" a="1"/>
  <c r="NT46" i="24" s="1"/>
  <c r="OI46" i="24" s="1"/>
  <c r="E46" i="24" s="1"/>
  <c r="OI111" i="24"/>
  <c r="E111" i="24" s="1"/>
  <c r="OI162" i="24"/>
  <c r="E162" i="24" s="1"/>
  <c r="OI167" i="24"/>
  <c r="E167" i="24" s="1"/>
  <c r="OI156" i="24"/>
  <c r="E156" i="24" s="1"/>
  <c r="OI93" i="24"/>
  <c r="E93" i="24" s="1"/>
  <c r="OI106" i="24"/>
  <c r="E106" i="24" s="1"/>
  <c r="OI147" i="24"/>
  <c r="E147" i="24" s="1"/>
  <c r="OI152" i="24"/>
  <c r="E152" i="24" s="1"/>
  <c r="OI154" i="24"/>
  <c r="E154" i="24" s="1"/>
  <c r="OI122" i="24"/>
  <c r="E122" i="24" s="1"/>
  <c r="NT47" i="24" a="1"/>
  <c r="NT47" i="24" s="1"/>
  <c r="OI47" i="24" s="1"/>
  <c r="E47" i="24" s="1"/>
  <c r="OI132" i="24"/>
  <c r="E132" i="24" s="1"/>
  <c r="OI127" i="24"/>
  <c r="E127" i="24" s="1"/>
  <c r="OI108" i="24"/>
  <c r="E108" i="24" s="1"/>
  <c r="OI140" i="24"/>
  <c r="E140" i="24" s="1"/>
  <c r="OI153" i="24"/>
  <c r="E153" i="24" s="1"/>
  <c r="OI109" i="24"/>
  <c r="E109" i="24" s="1"/>
  <c r="OI135" i="24"/>
  <c r="E135" i="24" s="1"/>
  <c r="OI163" i="24"/>
  <c r="E163" i="24" s="1"/>
  <c r="OI100" i="24"/>
  <c r="E100" i="24" s="1"/>
  <c r="OI157" i="24"/>
  <c r="E157" i="24" s="1"/>
  <c r="OI150" i="24"/>
  <c r="E150" i="24" s="1"/>
  <c r="NT43" i="24" a="1"/>
  <c r="NT43" i="24" s="1"/>
  <c r="OI43" i="24" s="1"/>
  <c r="E43" i="24" s="1"/>
  <c r="OI146" i="24"/>
  <c r="E146" i="24" s="1"/>
  <c r="OI165" i="24"/>
  <c r="E165" i="24" s="1"/>
  <c r="OI114" i="24"/>
  <c r="E114" i="24" s="1"/>
  <c r="OI99" i="24"/>
  <c r="E99" i="24" s="1"/>
  <c r="OI143" i="24"/>
  <c r="E143" i="24" s="1"/>
  <c r="OI175" i="24"/>
  <c r="E175" i="24" s="1"/>
  <c r="OI138" i="24"/>
  <c r="E138" i="24" s="1"/>
  <c r="OI170" i="24"/>
  <c r="E170" i="24" s="1"/>
  <c r="NT7" i="24" a="1"/>
  <c r="NT7" i="24" s="1"/>
  <c r="OI7" i="24" s="1"/>
  <c r="E7" i="24" s="1"/>
  <c r="OI98" i="24"/>
  <c r="E98" i="24" s="1"/>
  <c r="NT29" i="24" a="1"/>
  <c r="NT29" i="24" s="1"/>
  <c r="OI29" i="24" s="1"/>
  <c r="E29" i="24" s="1"/>
  <c r="OI96" i="24"/>
  <c r="E96" i="24" s="1"/>
  <c r="NT67" i="24" a="1"/>
  <c r="NT67" i="24" s="1"/>
  <c r="OI67" i="24" s="1"/>
  <c r="E67" i="24" s="1"/>
  <c r="OI110" i="24"/>
  <c r="E110" i="24" s="1"/>
  <c r="NT23" i="24" a="1"/>
  <c r="NT23" i="24" s="1"/>
  <c r="OI23" i="24" s="1"/>
  <c r="E23" i="24" s="1"/>
  <c r="OI130" i="24"/>
  <c r="E130" i="24" s="1"/>
  <c r="NT113" i="24" a="1"/>
  <c r="NT113" i="24" s="1"/>
  <c r="OI113" i="24" s="1"/>
  <c r="E113" i="24" s="1"/>
  <c r="OI166" i="24"/>
  <c r="E166" i="24" s="1"/>
  <c r="OI168" i="24"/>
  <c r="E168" i="24" s="1"/>
  <c r="OI101" i="24"/>
  <c r="E101" i="24" s="1"/>
  <c r="OI129" i="24"/>
  <c r="E129" i="24" s="1"/>
  <c r="NT61" i="24" a="1"/>
  <c r="NT61" i="24" s="1"/>
  <c r="OI61" i="24" s="1"/>
  <c r="E61" i="24" s="1"/>
  <c r="NT16" i="24" a="1"/>
  <c r="NT16" i="24" s="1"/>
  <c r="OI16" i="24" s="1"/>
  <c r="E16" i="24" s="1"/>
  <c r="OI107" i="24"/>
  <c r="E107" i="24" s="1"/>
  <c r="NT10" i="24" a="1"/>
  <c r="NT10" i="24" s="1"/>
  <c r="OI10" i="24" s="1"/>
  <c r="E10" i="24" s="1"/>
  <c r="OI151" i="24"/>
  <c r="E151" i="24" s="1"/>
  <c r="OI159" i="24"/>
  <c r="E159" i="24" s="1"/>
  <c r="NT22" i="24" a="1"/>
  <c r="NT22" i="24" s="1"/>
  <c r="OI22" i="24" s="1"/>
  <c r="E22" i="24" s="1"/>
  <c r="NT89" i="24" a="1"/>
  <c r="NT89" i="24" s="1"/>
  <c r="OI89" i="24" s="1"/>
  <c r="E89" i="24" s="1"/>
  <c r="OI131" i="24"/>
  <c r="E131" i="24" s="1"/>
  <c r="OI97" i="24"/>
  <c r="E97" i="24" s="1"/>
  <c r="OI123" i="24"/>
  <c r="E123" i="24" s="1"/>
  <c r="OI142" i="24"/>
  <c r="E142" i="24" s="1"/>
  <c r="OI141" i="24"/>
  <c r="E141" i="24" s="1"/>
  <c r="OI94" i="24"/>
  <c r="E94" i="24" s="1"/>
  <c r="NT32" i="24" a="1"/>
  <c r="NT32" i="24" s="1"/>
  <c r="OI32" i="24" s="1"/>
  <c r="E32" i="24" s="1"/>
  <c r="NT55" i="24" a="1"/>
  <c r="NT55" i="24" s="1"/>
  <c r="OI55" i="24" s="1"/>
  <c r="E55" i="24" s="1"/>
  <c r="NT49" i="24" a="1"/>
  <c r="NT49" i="24" s="1"/>
  <c r="OI49" i="24" s="1"/>
  <c r="E49" i="24" s="1"/>
  <c r="NT77" i="24" a="1"/>
  <c r="NT77" i="24" s="1"/>
  <c r="OI77" i="24" s="1"/>
  <c r="E77" i="24" s="1"/>
  <c r="NT39" i="24" a="1"/>
  <c r="NT39" i="24" s="1"/>
  <c r="OI39" i="24" s="1"/>
  <c r="E39" i="24" s="1"/>
  <c r="NT8" i="24" a="1"/>
  <c r="NT8" i="24" s="1"/>
  <c r="OI8" i="24" s="1"/>
  <c r="E8" i="24" s="1"/>
  <c r="NT33" i="24" a="1"/>
  <c r="NT33" i="24" s="1"/>
  <c r="OI33" i="24" s="1"/>
  <c r="E33" i="24" s="1"/>
  <c r="NT11" i="24" a="1"/>
  <c r="NT11" i="24" s="1"/>
  <c r="OI11" i="24" s="1"/>
  <c r="E11" i="24" s="1"/>
  <c r="NT72" i="24" a="1"/>
  <c r="NT72" i="24" s="1"/>
  <c r="OI72" i="24" s="1"/>
  <c r="E72" i="24" s="1"/>
  <c r="NT65" i="24" a="1"/>
  <c r="NT65" i="24" s="1"/>
  <c r="OI65" i="24" s="1"/>
  <c r="E65" i="24" s="1"/>
  <c r="NT53" i="24" a="1"/>
  <c r="NT53" i="24" s="1"/>
  <c r="OI53" i="24" s="1"/>
  <c r="E53" i="24" s="1"/>
  <c r="OI120" i="24"/>
  <c r="E120" i="24" s="1"/>
  <c r="NT15" i="24" a="1"/>
  <c r="NT15" i="24" s="1"/>
  <c r="OI15" i="24" s="1"/>
  <c r="E15" i="24" s="1"/>
  <c r="OI161" i="24"/>
  <c r="E161" i="24" s="1"/>
  <c r="NT14" i="24" a="1"/>
  <c r="NT14" i="24" s="1"/>
  <c r="OI14" i="24" s="1"/>
  <c r="E14" i="24" s="1"/>
  <c r="NT86" i="24" a="1"/>
  <c r="NT86" i="24" s="1"/>
  <c r="OI86" i="24" s="1"/>
  <c r="E86" i="24" s="1"/>
  <c r="NT75" i="24" a="1"/>
  <c r="NT75" i="24" s="1"/>
  <c r="OI75" i="24" s="1"/>
  <c r="E75" i="24" s="1"/>
  <c r="OI116" i="24"/>
  <c r="E116" i="24" s="1"/>
  <c r="NT62" i="24" a="1"/>
  <c r="NT62" i="24" s="1"/>
  <c r="OI62" i="24" s="1"/>
  <c r="E62" i="24" s="1"/>
  <c r="NT68" i="24" a="1"/>
  <c r="NT68" i="24" s="1"/>
  <c r="OI68" i="24" s="1"/>
  <c r="E68" i="24" s="1"/>
  <c r="OI158" i="24"/>
  <c r="E158" i="24" s="1"/>
  <c r="NT70" i="24" a="1"/>
  <c r="NT70" i="24" s="1"/>
  <c r="OI70" i="24" s="1"/>
  <c r="E70" i="24" s="1"/>
  <c r="OI121" i="24"/>
  <c r="E121" i="24" s="1"/>
  <c r="OI169" i="24"/>
  <c r="E169" i="24" s="1"/>
  <c r="NT25" i="24" a="1"/>
  <c r="NT25" i="24" s="1"/>
  <c r="OI25" i="24" s="1"/>
  <c r="E25" i="24" s="1"/>
  <c r="NT45" i="24" a="1"/>
  <c r="NT45" i="24" s="1"/>
  <c r="OI45" i="24" s="1"/>
  <c r="E45" i="24" s="1"/>
  <c r="OI102" i="24"/>
  <c r="E102" i="24" s="1"/>
  <c r="NT60" i="24" a="1"/>
  <c r="NT60" i="24" s="1"/>
  <c r="OI60" i="24" s="1"/>
  <c r="E60" i="24" s="1"/>
  <c r="NT88" i="24" a="1"/>
  <c r="NT88" i="24" s="1"/>
  <c r="OI88" i="24" s="1"/>
  <c r="E88" i="24" s="1"/>
  <c r="NT69" i="24" a="1"/>
  <c r="NT69" i="24" s="1"/>
  <c r="OI69" i="24" s="1"/>
  <c r="E69" i="24" s="1"/>
  <c r="NT13" i="24" a="1"/>
  <c r="NT13" i="24" s="1"/>
  <c r="OI13" i="24" s="1"/>
  <c r="E13" i="24" s="1"/>
  <c r="OI126" i="24"/>
  <c r="E126" i="24" s="1"/>
  <c r="NT56" i="24" a="1"/>
  <c r="NT56" i="24" s="1"/>
  <c r="OI56" i="24" s="1"/>
  <c r="E56" i="24" s="1"/>
  <c r="OI172" i="24"/>
  <c r="E172" i="24" s="1"/>
  <c r="NT44" i="24" a="1"/>
  <c r="NT44" i="24" s="1"/>
  <c r="OI44" i="24" s="1"/>
  <c r="E44" i="24" s="1"/>
  <c r="NT19" i="24" a="1"/>
  <c r="NT19" i="24" s="1"/>
  <c r="OI19" i="24" s="1"/>
  <c r="E19" i="24" s="1"/>
  <c r="OI104" i="24"/>
  <c r="E104" i="24" s="1"/>
  <c r="NT79" i="24" a="1"/>
  <c r="NT79" i="24" s="1"/>
  <c r="OI79" i="24" s="1"/>
  <c r="E79" i="24" s="1"/>
  <c r="NT31" i="24" a="1"/>
  <c r="NT31" i="24" s="1"/>
  <c r="OI31" i="24" s="1"/>
  <c r="E31" i="24" s="1"/>
  <c r="NT38" i="24" a="1"/>
  <c r="NT38" i="24" s="1"/>
  <c r="OI38" i="24" s="1"/>
  <c r="E38" i="24" s="1"/>
  <c r="NT66" i="24" a="1"/>
  <c r="NT66" i="24" s="1"/>
  <c r="OI66" i="24" s="1"/>
  <c r="E66" i="24" s="1"/>
  <c r="OI95" i="24"/>
  <c r="E95" i="24" s="1"/>
  <c r="NT90" i="24" a="1"/>
  <c r="NT90" i="24" s="1"/>
  <c r="OI90" i="24" s="1"/>
  <c r="E90" i="24" s="1"/>
  <c r="OI149" i="24"/>
  <c r="E149" i="24" s="1"/>
  <c r="OI119" i="24"/>
  <c r="E119" i="24" s="1"/>
  <c r="NT9" i="24" a="1"/>
  <c r="NT9" i="24" s="1"/>
  <c r="OI9" i="24" s="1"/>
  <c r="E9" i="24" s="1"/>
  <c r="NT91" i="24" a="1"/>
  <c r="NT91" i="24" s="1"/>
  <c r="OI91" i="24" s="1"/>
  <c r="E91" i="24" s="1"/>
  <c r="NT78" i="24" a="1"/>
  <c r="NT78" i="24" s="1"/>
  <c r="OI78" i="24" s="1"/>
  <c r="E78" i="24" s="1"/>
  <c r="NT85" i="24" a="1"/>
  <c r="NT85" i="24" s="1"/>
  <c r="OI85" i="24" s="1"/>
  <c r="E85" i="24" s="1"/>
  <c r="OI164" i="24"/>
  <c r="E164" i="24" s="1"/>
  <c r="NT6" i="24" a="1"/>
  <c r="NT6" i="24" s="1"/>
  <c r="OI6" i="24" s="1"/>
  <c r="E6" i="24" s="1"/>
  <c r="NT51" i="24" a="1"/>
  <c r="NT51" i="24" s="1"/>
  <c r="OI51" i="24" s="1"/>
  <c r="E51" i="24" s="1"/>
  <c r="NT71" i="24" a="1"/>
  <c r="NT71" i="24" s="1"/>
  <c r="OI71" i="24" s="1"/>
  <c r="E71" i="24" s="1"/>
  <c r="OI139" i="24"/>
  <c r="E139" i="24" s="1"/>
  <c r="NT74" i="24" a="1"/>
  <c r="NT74" i="24" s="1"/>
  <c r="OI74" i="24" s="1"/>
  <c r="E74" i="24" s="1"/>
  <c r="OI124" i="24"/>
  <c r="E124" i="24" s="1"/>
  <c r="OI117" i="24"/>
  <c r="E117" i="24" s="1"/>
  <c r="NT12" i="24" a="1"/>
  <c r="NT12" i="24" s="1"/>
  <c r="OI12" i="24" s="1"/>
  <c r="E12" i="24" s="1"/>
  <c r="NT50" i="24" a="1"/>
  <c r="NT50" i="24" s="1"/>
  <c r="OI50" i="24" s="1"/>
  <c r="E50" i="24" s="1"/>
  <c r="NT41" i="24" a="1"/>
  <c r="NT41" i="24" s="1"/>
  <c r="OI41" i="24" s="1"/>
  <c r="E41" i="24" s="1"/>
  <c r="NT83" i="24" a="1"/>
  <c r="NT83" i="24" s="1"/>
  <c r="OI83" i="24" s="1"/>
  <c r="E83" i="24" s="1"/>
  <c r="OF5" i="24" a="1"/>
  <c r="OF5" i="24" s="1"/>
  <c r="OG5" i="24" s="1" a="1"/>
  <c r="OG5" i="24" s="1"/>
  <c r="OI59" i="24"/>
  <c r="E59" i="24" s="1"/>
  <c r="OI30" i="24"/>
  <c r="E30" i="24" s="1"/>
  <c r="OI48" i="24"/>
  <c r="E48" i="24" s="1"/>
  <c r="OI54" i="24"/>
  <c r="E54" i="24" s="1"/>
  <c r="OI81" i="24"/>
  <c r="E81" i="24" s="1"/>
  <c r="OI52" i="24"/>
  <c r="E52" i="24" s="1"/>
  <c r="OI42" i="24"/>
  <c r="E42" i="24" s="1"/>
  <c r="OI20" i="24"/>
  <c r="E20" i="24" s="1"/>
  <c r="NK5" i="24" a="1"/>
  <c r="NK5" i="24" s="1"/>
  <c r="NL5" i="24" s="1" a="1"/>
  <c r="NL5" i="24" s="1"/>
  <c r="NT5" i="24" s="1" a="1"/>
  <c r="NT5" i="24" s="1"/>
  <c r="NT64" i="24" a="1"/>
  <c r="NT64" i="24" s="1"/>
  <c r="OI64" i="24" s="1"/>
  <c r="E64" i="24" s="1"/>
  <c r="NT37" i="24" a="1"/>
  <c r="NT37" i="24" s="1"/>
  <c r="OI37" i="24" s="1"/>
  <c r="E37" i="24" s="1"/>
  <c r="NT80" i="24" a="1"/>
  <c r="NT80" i="24" s="1"/>
  <c r="OI80" i="24" s="1"/>
  <c r="E80" i="24" s="1"/>
  <c r="OI17" i="24"/>
  <c r="E17" i="24" s="1"/>
  <c r="OI84" i="24"/>
  <c r="E84" i="24" s="1"/>
  <c r="OI63" i="24"/>
  <c r="E63" i="24" s="1"/>
  <c r="OI27" i="24"/>
  <c r="E27" i="24" s="1"/>
  <c r="OI24" i="24"/>
  <c r="E24" i="24" s="1"/>
  <c r="OI26" i="24"/>
  <c r="E26" i="24" s="1"/>
  <c r="OI28" i="24"/>
  <c r="E28" i="24" s="1"/>
  <c r="NT58" i="24" a="1"/>
  <c r="NT58" i="24" s="1"/>
  <c r="OI58" i="24" s="1"/>
  <c r="E58" i="24" s="1"/>
  <c r="NT57" i="24" a="1"/>
  <c r="NT57" i="24" s="1"/>
  <c r="OI57" i="24" s="1"/>
  <c r="E57" i="24" s="1"/>
  <c r="NT73" i="24" a="1"/>
  <c r="NT73" i="24" s="1"/>
  <c r="OI73" i="24" s="1"/>
  <c r="E73" i="24" s="1"/>
  <c r="OI36" i="24"/>
  <c r="E36" i="24" s="1"/>
  <c r="NT18" i="24" a="1"/>
  <c r="NT18" i="24" s="1"/>
  <c r="OI18" i="24" s="1"/>
  <c r="E18" i="24" s="1"/>
  <c r="OI92" i="24"/>
  <c r="E92" i="24" s="1"/>
  <c r="OI34" i="24"/>
  <c r="E34" i="24" s="1"/>
  <c r="OI87" i="24"/>
  <c r="E87" i="24" s="1"/>
  <c r="OI76" i="24"/>
  <c r="E76" i="24" s="1"/>
  <c r="OI35" i="24"/>
  <c r="E35" i="24" s="1"/>
  <c r="OI21" i="24"/>
  <c r="E21" i="24" s="1"/>
  <c r="AB2" i="16" a="1"/>
  <c r="AB2" i="16" s="1"/>
  <c r="S2" i="16" a="1"/>
  <c r="S2" i="16" s="1"/>
  <c r="AD2" i="16" l="1" a="1"/>
  <c r="R25" i="22" s="1"/>
  <c r="S25" i="22" s="1"/>
  <c r="AC2" i="16" a="1"/>
  <c r="Q31" i="22" s="1"/>
  <c r="T2" i="16" a="1"/>
  <c r="O25" i="22" s="1"/>
  <c r="OI5" i="24"/>
  <c r="E5" i="24" s="1"/>
  <c r="Q121" i="22" l="1"/>
  <c r="Q93" i="22"/>
  <c r="Q108" i="22"/>
  <c r="Q115" i="22"/>
  <c r="Q107" i="22"/>
  <c r="Q103" i="22"/>
  <c r="R91" i="22"/>
  <c r="S91" i="22" s="1"/>
  <c r="Q70" i="22"/>
  <c r="Q73" i="22"/>
  <c r="Q97" i="22"/>
  <c r="Q104" i="22"/>
  <c r="Q100" i="22"/>
  <c r="Q102" i="22"/>
  <c r="Q72" i="22"/>
  <c r="Q101" i="22"/>
  <c r="Q94" i="22"/>
  <c r="T94" i="22" s="1"/>
  <c r="Q75" i="22"/>
  <c r="Q118" i="22"/>
  <c r="Q95" i="22"/>
  <c r="Q74" i="22"/>
  <c r="Q105" i="22"/>
  <c r="Q71" i="22"/>
  <c r="Q90" i="22"/>
  <c r="Q91" i="22"/>
  <c r="Q58" i="22"/>
  <c r="O91" i="22"/>
  <c r="Q69" i="22"/>
  <c r="Q76" i="22"/>
  <c r="Q106" i="22"/>
  <c r="Q116" i="22"/>
  <c r="O118" i="22"/>
  <c r="R71" i="22"/>
  <c r="S71" i="22" s="1"/>
  <c r="R95" i="22"/>
  <c r="S95" i="22" s="1"/>
  <c r="R105" i="22"/>
  <c r="S105" i="22" s="1"/>
  <c r="O102" i="22"/>
  <c r="O76" i="22"/>
  <c r="R116" i="22"/>
  <c r="S116" i="22" s="1"/>
  <c r="O107" i="22"/>
  <c r="O121" i="22"/>
  <c r="R104" i="22"/>
  <c r="S104" i="22" s="1"/>
  <c r="R74" i="22"/>
  <c r="S74" i="22" s="1"/>
  <c r="R100" i="22"/>
  <c r="S100" i="22" s="1"/>
  <c r="O116" i="22"/>
  <c r="O94" i="22"/>
  <c r="R102" i="22"/>
  <c r="S102" i="22" s="1"/>
  <c r="R97" i="22"/>
  <c r="S97" i="22" s="1"/>
  <c r="O93" i="22"/>
  <c r="R101" i="22"/>
  <c r="S101" i="22" s="1"/>
  <c r="R93" i="22"/>
  <c r="S93" i="22" s="1"/>
  <c r="R108" i="22"/>
  <c r="S108" i="22" s="1"/>
  <c r="R106" i="22"/>
  <c r="S106" i="22" s="1"/>
  <c r="R72" i="22"/>
  <c r="S72" i="22" s="1"/>
  <c r="O58" i="22"/>
  <c r="T58" i="22" s="1"/>
  <c r="O69" i="22"/>
  <c r="O85" i="22"/>
  <c r="R75" i="22"/>
  <c r="S75" i="22" s="1"/>
  <c r="O103" i="22"/>
  <c r="R107" i="22"/>
  <c r="S107" i="22" s="1"/>
  <c r="R58" i="22"/>
  <c r="S58" i="22" s="1"/>
  <c r="O115" i="22"/>
  <c r="O75" i="22"/>
  <c r="O71" i="22"/>
  <c r="R73" i="22"/>
  <c r="S73" i="22" s="1"/>
  <c r="R85" i="22"/>
  <c r="S85" i="22" s="1"/>
  <c r="R115" i="22"/>
  <c r="S115" i="22" s="1"/>
  <c r="R103" i="22"/>
  <c r="S103" i="22" s="1"/>
  <c r="O73" i="22"/>
  <c r="T73" i="22" s="1"/>
  <c r="O74" i="22"/>
  <c r="O106" i="22"/>
  <c r="O105" i="22"/>
  <c r="O101" i="22"/>
  <c r="O100" i="22"/>
  <c r="R117" i="22"/>
  <c r="S117" i="22" s="1"/>
  <c r="R69" i="22"/>
  <c r="S69" i="22" s="1"/>
  <c r="Q117" i="22"/>
  <c r="R118" i="22"/>
  <c r="S118" i="22" s="1"/>
  <c r="T118" i="22" s="1"/>
  <c r="O95" i="22"/>
  <c r="R70" i="22"/>
  <c r="S70" i="22" s="1"/>
  <c r="R121" i="22"/>
  <c r="S121" i="22" s="1"/>
  <c r="R90" i="22"/>
  <c r="S90" i="22" s="1"/>
  <c r="O70" i="22"/>
  <c r="O117" i="22"/>
  <c r="O104" i="22"/>
  <c r="Q85" i="22"/>
  <c r="R94" i="22"/>
  <c r="S94" i="22" s="1"/>
  <c r="R76" i="22"/>
  <c r="S76" i="22" s="1"/>
  <c r="O97" i="22"/>
  <c r="O72" i="22"/>
  <c r="O108" i="22"/>
  <c r="O90" i="22"/>
  <c r="O12" i="22"/>
  <c r="O37" i="22"/>
  <c r="O35" i="22"/>
  <c r="O30" i="22"/>
  <c r="O33" i="22"/>
  <c r="O31" i="22"/>
  <c r="O42" i="22"/>
  <c r="O34" i="22"/>
  <c r="R34" i="22"/>
  <c r="S34" i="22" s="1"/>
  <c r="Q37" i="22"/>
  <c r="Q25" i="22"/>
  <c r="T25" i="22" s="1"/>
  <c r="Q33" i="22"/>
  <c r="Q34" i="22"/>
  <c r="R12" i="22"/>
  <c r="S12" i="22" s="1"/>
  <c r="R42" i="22"/>
  <c r="S42" i="22" s="1"/>
  <c r="Q30" i="22"/>
  <c r="R35" i="22"/>
  <c r="S35" i="22" s="1"/>
  <c r="Q42" i="22"/>
  <c r="R31" i="22"/>
  <c r="S31" i="22" s="1"/>
  <c r="Q12" i="22"/>
  <c r="R33" i="22"/>
  <c r="S33" i="22" s="1"/>
  <c r="R37" i="22"/>
  <c r="S37" i="22" s="1"/>
  <c r="R30" i="22"/>
  <c r="S30" i="22" s="1"/>
  <c r="Q35" i="22"/>
  <c r="T2" i="16"/>
  <c r="AC2" i="16"/>
  <c r="AD2" i="16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C2" i="17"/>
  <c r="AD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BF2" i="17"/>
  <c r="BG2" i="17"/>
  <c r="BH2" i="17"/>
  <c r="BI2" i="17"/>
  <c r="BJ2" i="17"/>
  <c r="BK2" i="17"/>
  <c r="BL2" i="17"/>
  <c r="BM2" i="17"/>
  <c r="BN2" i="17"/>
  <c r="BO2" i="17"/>
  <c r="BP2" i="17"/>
  <c r="BQ2" i="17"/>
  <c r="BR2" i="17"/>
  <c r="BS2" i="17"/>
  <c r="BT2" i="17"/>
  <c r="BU2" i="17"/>
  <c r="BV2" i="17"/>
  <c r="BW2" i="17"/>
  <c r="BX2" i="17"/>
  <c r="BY2" i="17"/>
  <c r="BZ2" i="17"/>
  <c r="CA2" i="17"/>
  <c r="CB2" i="17"/>
  <c r="CC2" i="17"/>
  <c r="CD2" i="17"/>
  <c r="CE2" i="17"/>
  <c r="CF2" i="17"/>
  <c r="CG2" i="17"/>
  <c r="CH2" i="17"/>
  <c r="CI2" i="17"/>
  <c r="CJ2" i="17"/>
  <c r="CK2" i="17"/>
  <c r="CL2" i="17"/>
  <c r="CM2" i="17"/>
  <c r="CN2" i="17"/>
  <c r="CO2" i="17"/>
  <c r="CP2" i="17"/>
  <c r="CQ2" i="17"/>
  <c r="CR2" i="17"/>
  <c r="CS2" i="17"/>
  <c r="CT2" i="17"/>
  <c r="CU2" i="17"/>
  <c r="CV2" i="17"/>
  <c r="CW2" i="17"/>
  <c r="CX2" i="17"/>
  <c r="CY2" i="17"/>
  <c r="CZ2" i="17"/>
  <c r="DA2" i="17"/>
  <c r="DB2" i="17"/>
  <c r="DC2" i="17"/>
  <c r="DD2" i="17"/>
  <c r="DE2" i="17"/>
  <c r="DF2" i="17"/>
  <c r="DG2" i="17"/>
  <c r="DH2" i="17"/>
  <c r="DI2" i="17"/>
  <c r="DJ2" i="17"/>
  <c r="DK2" i="17"/>
  <c r="DL2" i="17"/>
  <c r="DM2" i="17"/>
  <c r="DN2" i="17"/>
  <c r="DO2" i="17"/>
  <c r="DP2" i="17"/>
  <c r="DQ2" i="17"/>
  <c r="DR2" i="17"/>
  <c r="DS2" i="17"/>
  <c r="DT2" i="17"/>
  <c r="DU2" i="17"/>
  <c r="DV2" i="17"/>
  <c r="DW2" i="17"/>
  <c r="DX2" i="17"/>
  <c r="DY2" i="17"/>
  <c r="DZ2" i="17"/>
  <c r="EA2" i="17"/>
  <c r="EB2" i="17"/>
  <c r="EC2" i="17"/>
  <c r="ED2" i="17"/>
  <c r="EE2" i="17"/>
  <c r="EF2" i="17"/>
  <c r="EG2" i="17"/>
  <c r="EH2" i="17"/>
  <c r="EI2" i="17"/>
  <c r="EJ2" i="17"/>
  <c r="EK2" i="17"/>
  <c r="EL2" i="17"/>
  <c r="EM2" i="17"/>
  <c r="EN2" i="17"/>
  <c r="EO2" i="17"/>
  <c r="EP2" i="17"/>
  <c r="EQ2" i="17"/>
  <c r="ER2" i="17"/>
  <c r="ES2" i="17"/>
  <c r="ET2" i="17"/>
  <c r="EU2" i="17"/>
  <c r="EV2" i="17"/>
  <c r="EW2" i="17"/>
  <c r="EX2" i="17"/>
  <c r="EY2" i="17"/>
  <c r="EZ2" i="17"/>
  <c r="FA2" i="17"/>
  <c r="FB2" i="17"/>
  <c r="FC2" i="17"/>
  <c r="FD2" i="17"/>
  <c r="FE2" i="17"/>
  <c r="FF2" i="17"/>
  <c r="FG2" i="17"/>
  <c r="FH2" i="17"/>
  <c r="FI2" i="17"/>
  <c r="FJ2" i="17"/>
  <c r="FK2" i="17"/>
  <c r="FL2" i="17"/>
  <c r="FM2" i="17"/>
  <c r="FN2" i="17"/>
  <c r="FO2" i="17"/>
  <c r="FP2" i="17"/>
  <c r="FQ2" i="17"/>
  <c r="FR2" i="17"/>
  <c r="FS2" i="17"/>
  <c r="FT2" i="17"/>
  <c r="FU2" i="17"/>
  <c r="FV2" i="17"/>
  <c r="FW2" i="17"/>
  <c r="FX2" i="17"/>
  <c r="FY2" i="17"/>
  <c r="FZ2" i="17"/>
  <c r="GA2" i="17"/>
  <c r="GB2" i="17"/>
  <c r="GC2" i="17"/>
  <c r="GD2" i="17"/>
  <c r="GE2" i="17"/>
  <c r="GF2" i="17"/>
  <c r="GG2" i="17"/>
  <c r="GH2" i="17"/>
  <c r="GI2" i="17"/>
  <c r="GJ2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AY3" i="17"/>
  <c r="AZ3" i="17"/>
  <c r="BA3" i="17"/>
  <c r="BB3" i="17"/>
  <c r="BC3" i="17"/>
  <c r="BD3" i="17"/>
  <c r="BE3" i="17"/>
  <c r="BF3" i="17"/>
  <c r="BG3" i="17"/>
  <c r="BH3" i="17"/>
  <c r="BI3" i="17"/>
  <c r="BJ3" i="17"/>
  <c r="BK3" i="17"/>
  <c r="BL3" i="17"/>
  <c r="BM3" i="17"/>
  <c r="BN3" i="17"/>
  <c r="BO3" i="17"/>
  <c r="BP3" i="17"/>
  <c r="BQ3" i="17"/>
  <c r="BR3" i="17"/>
  <c r="BS3" i="17"/>
  <c r="BT3" i="17"/>
  <c r="BU3" i="17"/>
  <c r="BV3" i="17"/>
  <c r="BW3" i="17"/>
  <c r="BX3" i="17"/>
  <c r="BY3" i="17"/>
  <c r="BZ3" i="17"/>
  <c r="CA3" i="17"/>
  <c r="CB3" i="17"/>
  <c r="CC3" i="17"/>
  <c r="CD3" i="17"/>
  <c r="CE3" i="17"/>
  <c r="CF3" i="17"/>
  <c r="CG3" i="17"/>
  <c r="CH3" i="17"/>
  <c r="CI3" i="17"/>
  <c r="CJ3" i="17"/>
  <c r="CK3" i="17"/>
  <c r="CL3" i="17"/>
  <c r="CM3" i="17"/>
  <c r="CN3" i="17"/>
  <c r="CO3" i="17"/>
  <c r="CP3" i="17"/>
  <c r="CQ3" i="17"/>
  <c r="CR3" i="17"/>
  <c r="CS3" i="17"/>
  <c r="CT3" i="17"/>
  <c r="CU3" i="17"/>
  <c r="CV3" i="17"/>
  <c r="CW3" i="17"/>
  <c r="CX3" i="17"/>
  <c r="CY3" i="17"/>
  <c r="CZ3" i="17"/>
  <c r="DA3" i="17"/>
  <c r="DB3" i="17"/>
  <c r="DC3" i="17"/>
  <c r="DD3" i="17"/>
  <c r="DE3" i="17"/>
  <c r="DF3" i="17"/>
  <c r="DG3" i="17"/>
  <c r="DH3" i="17"/>
  <c r="DI3" i="17"/>
  <c r="DJ3" i="17"/>
  <c r="DK3" i="17"/>
  <c r="DL3" i="17"/>
  <c r="DM3" i="17"/>
  <c r="DN3" i="17"/>
  <c r="DO3" i="17"/>
  <c r="DP3" i="17"/>
  <c r="DQ3" i="17"/>
  <c r="DR3" i="17"/>
  <c r="DS3" i="17"/>
  <c r="DT3" i="17"/>
  <c r="DU3" i="17"/>
  <c r="DV3" i="17"/>
  <c r="DW3" i="17"/>
  <c r="DX3" i="17"/>
  <c r="DY3" i="17"/>
  <c r="DZ3" i="17"/>
  <c r="EA3" i="17"/>
  <c r="EB3" i="17"/>
  <c r="EC3" i="17"/>
  <c r="ED3" i="17"/>
  <c r="EE3" i="17"/>
  <c r="EF3" i="17"/>
  <c r="EG3" i="17"/>
  <c r="EH3" i="17"/>
  <c r="EI3" i="17"/>
  <c r="EJ3" i="17"/>
  <c r="EK3" i="17"/>
  <c r="EL3" i="17"/>
  <c r="EM3" i="17"/>
  <c r="EN3" i="17"/>
  <c r="EO3" i="17"/>
  <c r="EP3" i="17"/>
  <c r="EQ3" i="17"/>
  <c r="ER3" i="17"/>
  <c r="ES3" i="17"/>
  <c r="ET3" i="17"/>
  <c r="EU3" i="17"/>
  <c r="EV3" i="17"/>
  <c r="EW3" i="17"/>
  <c r="EX3" i="17"/>
  <c r="EY3" i="17"/>
  <c r="EZ3" i="17"/>
  <c r="FA3" i="17"/>
  <c r="FB3" i="17"/>
  <c r="FC3" i="17"/>
  <c r="FD3" i="17"/>
  <c r="FE3" i="17"/>
  <c r="FF3" i="17"/>
  <c r="FG3" i="17"/>
  <c r="FH3" i="17"/>
  <c r="FI3" i="17"/>
  <c r="FJ3" i="17"/>
  <c r="FK3" i="17"/>
  <c r="FL3" i="17"/>
  <c r="FM3" i="17"/>
  <c r="FN3" i="17"/>
  <c r="FO3" i="17"/>
  <c r="FP3" i="17"/>
  <c r="FQ3" i="17"/>
  <c r="FR3" i="17"/>
  <c r="FS3" i="17"/>
  <c r="FT3" i="17"/>
  <c r="FU3" i="17"/>
  <c r="FV3" i="17"/>
  <c r="FW3" i="17"/>
  <c r="FX3" i="17"/>
  <c r="FY3" i="17"/>
  <c r="FZ3" i="17"/>
  <c r="GA3" i="17"/>
  <c r="GB3" i="17"/>
  <c r="GC3" i="17"/>
  <c r="GD3" i="17"/>
  <c r="GE3" i="17"/>
  <c r="GF3" i="17"/>
  <c r="GG3" i="17"/>
  <c r="GH3" i="17"/>
  <c r="GI3" i="17"/>
  <c r="GJ3" i="17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AQ3" i="19"/>
  <c r="AR3" i="19"/>
  <c r="AS3" i="19"/>
  <c r="AT3" i="19"/>
  <c r="AU3" i="19"/>
  <c r="AV3" i="19"/>
  <c r="AW3" i="19"/>
  <c r="AX3" i="19"/>
  <c r="AY3" i="19"/>
  <c r="AZ3" i="19"/>
  <c r="BA3" i="19"/>
  <c r="BB3" i="19"/>
  <c r="BC3" i="19"/>
  <c r="BD3" i="19"/>
  <c r="BE3" i="19"/>
  <c r="BF3" i="19"/>
  <c r="BG3" i="19"/>
  <c r="BH3" i="19"/>
  <c r="BI3" i="19"/>
  <c r="BJ3" i="19"/>
  <c r="BK3" i="19"/>
  <c r="BL3" i="19"/>
  <c r="BM3" i="19"/>
  <c r="BN3" i="19"/>
  <c r="BO3" i="19"/>
  <c r="BP3" i="19"/>
  <c r="BQ3" i="19"/>
  <c r="BR3" i="19"/>
  <c r="BS3" i="19"/>
  <c r="BT3" i="19"/>
  <c r="BU3" i="19"/>
  <c r="BV3" i="19"/>
  <c r="BW3" i="19"/>
  <c r="BX3" i="19"/>
  <c r="BY3" i="19"/>
  <c r="BZ3" i="19"/>
  <c r="CA3" i="19"/>
  <c r="CB3" i="19"/>
  <c r="CC3" i="19"/>
  <c r="CD3" i="19"/>
  <c r="CE3" i="19"/>
  <c r="CF3" i="19"/>
  <c r="CG3" i="19"/>
  <c r="CH3" i="19"/>
  <c r="CI3" i="19"/>
  <c r="CJ3" i="19"/>
  <c r="CK3" i="19"/>
  <c r="CL3" i="19"/>
  <c r="CM3" i="19"/>
  <c r="CN3" i="19"/>
  <c r="CO3" i="19"/>
  <c r="CP3" i="19"/>
  <c r="CQ3" i="19"/>
  <c r="CR3" i="19"/>
  <c r="CS3" i="19"/>
  <c r="CT3" i="19"/>
  <c r="CU3" i="19"/>
  <c r="CV3" i="19"/>
  <c r="CW3" i="19"/>
  <c r="CX3" i="19"/>
  <c r="CY3" i="19"/>
  <c r="CZ3" i="19"/>
  <c r="DA3" i="19"/>
  <c r="DB3" i="19"/>
  <c r="DC3" i="19"/>
  <c r="DD3" i="19"/>
  <c r="DE3" i="19"/>
  <c r="DF3" i="19"/>
  <c r="DG3" i="19"/>
  <c r="DH3" i="19"/>
  <c r="DI3" i="19"/>
  <c r="DJ3" i="19"/>
  <c r="DK3" i="19"/>
  <c r="DL3" i="19"/>
  <c r="DM3" i="19"/>
  <c r="DN3" i="19"/>
  <c r="DO3" i="19"/>
  <c r="DP3" i="19"/>
  <c r="DQ3" i="19"/>
  <c r="DR3" i="19"/>
  <c r="DS3" i="19"/>
  <c r="DT3" i="19"/>
  <c r="DU3" i="19"/>
  <c r="DV3" i="19"/>
  <c r="DW3" i="19"/>
  <c r="DX3" i="19"/>
  <c r="DY3" i="19"/>
  <c r="DZ3" i="19"/>
  <c r="EA3" i="19"/>
  <c r="EB3" i="19"/>
  <c r="EC3" i="19"/>
  <c r="ED3" i="19"/>
  <c r="EE3" i="19"/>
  <c r="EF3" i="19"/>
  <c r="EG3" i="19"/>
  <c r="EH3" i="19"/>
  <c r="EI3" i="19"/>
  <c r="EJ3" i="19"/>
  <c r="EK3" i="19"/>
  <c r="EL3" i="19"/>
  <c r="EM3" i="19"/>
  <c r="EN3" i="19"/>
  <c r="EO3" i="19"/>
  <c r="EP3" i="19"/>
  <c r="EQ3" i="19"/>
  <c r="ER3" i="19"/>
  <c r="ES3" i="19"/>
  <c r="ET3" i="19"/>
  <c r="EU3" i="19"/>
  <c r="EV3" i="19"/>
  <c r="EW3" i="19"/>
  <c r="EX3" i="19"/>
  <c r="EY3" i="19"/>
  <c r="EZ3" i="19"/>
  <c r="FA3" i="19"/>
  <c r="FB3" i="19"/>
  <c r="FC3" i="19"/>
  <c r="FD3" i="19"/>
  <c r="FE3" i="19"/>
  <c r="FF3" i="19"/>
  <c r="FG3" i="19"/>
  <c r="FH3" i="19"/>
  <c r="FI3" i="19"/>
  <c r="FJ3" i="19"/>
  <c r="FK3" i="19"/>
  <c r="FL3" i="19"/>
  <c r="FM3" i="19"/>
  <c r="FN3" i="19"/>
  <c r="FO3" i="19"/>
  <c r="FP3" i="19"/>
  <c r="FQ3" i="19"/>
  <c r="FR3" i="19"/>
  <c r="FS3" i="19"/>
  <c r="FT3" i="19"/>
  <c r="FU3" i="19"/>
  <c r="FV3" i="19"/>
  <c r="FW3" i="19"/>
  <c r="FX3" i="19"/>
  <c r="FY3" i="19"/>
  <c r="FZ3" i="19"/>
  <c r="GA3" i="19"/>
  <c r="GB3" i="19"/>
  <c r="GC3" i="19"/>
  <c r="GD3" i="19"/>
  <c r="GE3" i="19"/>
  <c r="GF3" i="19"/>
  <c r="GG3" i="19"/>
  <c r="J3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Z2" i="19"/>
  <c r="AA2" i="19"/>
  <c r="AB2" i="19"/>
  <c r="AC2" i="19"/>
  <c r="AD2" i="19"/>
  <c r="AE2" i="19"/>
  <c r="AF2" i="19"/>
  <c r="AG2" i="19"/>
  <c r="AH2" i="19"/>
  <c r="AI2" i="19"/>
  <c r="AJ2" i="19"/>
  <c r="AK2" i="19"/>
  <c r="AL2" i="19"/>
  <c r="AM2" i="19"/>
  <c r="AN2" i="19"/>
  <c r="AO2" i="19"/>
  <c r="AP2" i="19"/>
  <c r="AQ2" i="19"/>
  <c r="AR2" i="19"/>
  <c r="AS2" i="19"/>
  <c r="AT2" i="19"/>
  <c r="AU2" i="19"/>
  <c r="AV2" i="19"/>
  <c r="AW2" i="19"/>
  <c r="AX2" i="19"/>
  <c r="AY2" i="19"/>
  <c r="AZ2" i="19"/>
  <c r="BA2" i="19"/>
  <c r="BB2" i="19"/>
  <c r="BC2" i="19"/>
  <c r="BD2" i="19"/>
  <c r="BE2" i="19"/>
  <c r="BF2" i="19"/>
  <c r="BG2" i="19"/>
  <c r="BH2" i="19"/>
  <c r="BI2" i="19"/>
  <c r="BJ2" i="19"/>
  <c r="BK2" i="19"/>
  <c r="BL2" i="19"/>
  <c r="BM2" i="19"/>
  <c r="BN2" i="19"/>
  <c r="BO2" i="19"/>
  <c r="BP2" i="19"/>
  <c r="BQ2" i="19"/>
  <c r="BR2" i="19"/>
  <c r="BS2" i="19"/>
  <c r="BT2" i="19"/>
  <c r="BU2" i="19"/>
  <c r="BV2" i="19"/>
  <c r="BW2" i="19"/>
  <c r="BX2" i="19"/>
  <c r="BY2" i="19"/>
  <c r="BZ2" i="19"/>
  <c r="CA2" i="19"/>
  <c r="CB2" i="19"/>
  <c r="CC2" i="19"/>
  <c r="CD2" i="19"/>
  <c r="CE2" i="19"/>
  <c r="CF2" i="19"/>
  <c r="CG2" i="19"/>
  <c r="CH2" i="19"/>
  <c r="CI2" i="19"/>
  <c r="CJ2" i="19"/>
  <c r="CK2" i="19"/>
  <c r="CL2" i="19"/>
  <c r="CM2" i="19"/>
  <c r="CN2" i="19"/>
  <c r="CO2" i="19"/>
  <c r="CP2" i="19"/>
  <c r="CQ2" i="19"/>
  <c r="CR2" i="19"/>
  <c r="CS2" i="19"/>
  <c r="CT2" i="19"/>
  <c r="CU2" i="19"/>
  <c r="CV2" i="19"/>
  <c r="CW2" i="19"/>
  <c r="CX2" i="19"/>
  <c r="CY2" i="19"/>
  <c r="CZ2" i="19"/>
  <c r="DA2" i="19"/>
  <c r="DB2" i="19"/>
  <c r="DC2" i="19"/>
  <c r="DD2" i="19"/>
  <c r="DE2" i="19"/>
  <c r="DF2" i="19"/>
  <c r="DG2" i="19"/>
  <c r="DH2" i="19"/>
  <c r="DI2" i="19"/>
  <c r="DJ2" i="19"/>
  <c r="DK2" i="19"/>
  <c r="DL2" i="19"/>
  <c r="DM2" i="19"/>
  <c r="DN2" i="19"/>
  <c r="DO2" i="19"/>
  <c r="DP2" i="19"/>
  <c r="DQ2" i="19"/>
  <c r="DR2" i="19"/>
  <c r="DS2" i="19"/>
  <c r="DT2" i="19"/>
  <c r="DU2" i="19"/>
  <c r="DV2" i="19"/>
  <c r="DW2" i="19"/>
  <c r="DX2" i="19"/>
  <c r="DY2" i="19"/>
  <c r="DZ2" i="19"/>
  <c r="EA2" i="19"/>
  <c r="EB2" i="19"/>
  <c r="EC2" i="19"/>
  <c r="ED2" i="19"/>
  <c r="EE2" i="19"/>
  <c r="EF2" i="19"/>
  <c r="EG2" i="19"/>
  <c r="EH2" i="19"/>
  <c r="EI2" i="19"/>
  <c r="EJ2" i="19"/>
  <c r="EK2" i="19"/>
  <c r="EL2" i="19"/>
  <c r="EM2" i="19"/>
  <c r="EN2" i="19"/>
  <c r="EO2" i="19"/>
  <c r="EP2" i="19"/>
  <c r="EQ2" i="19"/>
  <c r="ER2" i="19"/>
  <c r="ES2" i="19"/>
  <c r="ET2" i="19"/>
  <c r="EU2" i="19"/>
  <c r="EV2" i="19"/>
  <c r="EW2" i="19"/>
  <c r="EX2" i="19"/>
  <c r="EY2" i="19"/>
  <c r="EZ2" i="19"/>
  <c r="FA2" i="19"/>
  <c r="FB2" i="19"/>
  <c r="FC2" i="19"/>
  <c r="FD2" i="19"/>
  <c r="FE2" i="19"/>
  <c r="FF2" i="19"/>
  <c r="FG2" i="19"/>
  <c r="FH2" i="19"/>
  <c r="FI2" i="19"/>
  <c r="FJ2" i="19"/>
  <c r="FK2" i="19"/>
  <c r="FL2" i="19"/>
  <c r="FM2" i="19"/>
  <c r="FN2" i="19"/>
  <c r="FO2" i="19"/>
  <c r="FP2" i="19"/>
  <c r="FQ2" i="19"/>
  <c r="FR2" i="19"/>
  <c r="FS2" i="19"/>
  <c r="FT2" i="19"/>
  <c r="FU2" i="19"/>
  <c r="FV2" i="19"/>
  <c r="FW2" i="19"/>
  <c r="FX2" i="19"/>
  <c r="FY2" i="19"/>
  <c r="FZ2" i="19"/>
  <c r="GA2" i="19"/>
  <c r="GB2" i="19"/>
  <c r="GC2" i="19"/>
  <c r="GD2" i="19"/>
  <c r="GE2" i="19"/>
  <c r="GF2" i="19"/>
  <c r="GG2" i="19"/>
  <c r="J2" i="19"/>
  <c r="T101" i="22" l="1"/>
  <c r="T108" i="22"/>
  <c r="T93" i="22"/>
  <c r="T95" i="22"/>
  <c r="T107" i="22"/>
  <c r="T70" i="22"/>
  <c r="T91" i="22"/>
  <c r="T90" i="22"/>
  <c r="T74" i="22"/>
  <c r="T103" i="22"/>
  <c r="T102" i="22"/>
  <c r="T71" i="22"/>
  <c r="T104" i="22"/>
  <c r="T116" i="22"/>
  <c r="T106" i="22"/>
  <c r="T69" i="22"/>
  <c r="T72" i="22"/>
  <c r="T85" i="22"/>
  <c r="T97" i="22"/>
  <c r="T100" i="22"/>
  <c r="T105" i="22"/>
  <c r="T75" i="22"/>
  <c r="T115" i="22"/>
  <c r="T121" i="22"/>
  <c r="T76" i="22"/>
  <c r="O53" i="22"/>
  <c r="O52" i="22"/>
  <c r="O81" i="22"/>
  <c r="O67" i="22"/>
  <c r="O78" i="22"/>
  <c r="O114" i="22"/>
  <c r="O88" i="22"/>
  <c r="O49" i="22"/>
  <c r="O79" i="22"/>
  <c r="O124" i="22"/>
  <c r="O68" i="22"/>
  <c r="O55" i="22"/>
  <c r="O77" i="22"/>
  <c r="O125" i="22"/>
  <c r="O109" i="22"/>
  <c r="O50" i="22"/>
  <c r="O123" i="22"/>
  <c r="O57" i="22"/>
  <c r="O89" i="22"/>
  <c r="O122" i="22"/>
  <c r="O59" i="22"/>
  <c r="O119" i="22"/>
  <c r="O80" i="22"/>
  <c r="O96" i="22"/>
  <c r="O84" i="22"/>
  <c r="O61" i="22"/>
  <c r="O98" i="22"/>
  <c r="O63" i="22"/>
  <c r="O92" i="22"/>
  <c r="O82" i="22"/>
  <c r="O120" i="22"/>
  <c r="O99" i="22"/>
  <c r="O65" i="22"/>
  <c r="O87" i="22"/>
  <c r="O56" i="22"/>
  <c r="O60" i="22"/>
  <c r="O111" i="22"/>
  <c r="O51" i="22"/>
  <c r="O113" i="22"/>
  <c r="O66" i="22"/>
  <c r="O83" i="22"/>
  <c r="O48" i="22"/>
  <c r="O86" i="22"/>
  <c r="O62" i="22"/>
  <c r="O110" i="22"/>
  <c r="O112" i="22"/>
  <c r="O64" i="22"/>
  <c r="O126" i="22"/>
  <c r="O54" i="22"/>
  <c r="R119" i="22"/>
  <c r="S119" i="22" s="1"/>
  <c r="R98" i="22"/>
  <c r="S98" i="22" s="1"/>
  <c r="R79" i="22"/>
  <c r="S79" i="22" s="1"/>
  <c r="R56" i="22"/>
  <c r="S56" i="22" s="1"/>
  <c r="R53" i="22"/>
  <c r="S53" i="22" s="1"/>
  <c r="R52" i="22"/>
  <c r="S52" i="22" s="1"/>
  <c r="R88" i="22"/>
  <c r="S88" i="22" s="1"/>
  <c r="R112" i="22"/>
  <c r="S112" i="22" s="1"/>
  <c r="R66" i="22"/>
  <c r="S66" i="22" s="1"/>
  <c r="R113" i="22"/>
  <c r="S113" i="22" s="1"/>
  <c r="R89" i="22"/>
  <c r="S89" i="22" s="1"/>
  <c r="R99" i="22"/>
  <c r="S99" i="22" s="1"/>
  <c r="R59" i="22"/>
  <c r="S59" i="22" s="1"/>
  <c r="R122" i="22"/>
  <c r="S122" i="22" s="1"/>
  <c r="R60" i="22"/>
  <c r="S60" i="22" s="1"/>
  <c r="R64" i="22"/>
  <c r="S64" i="22" s="1"/>
  <c r="R51" i="22"/>
  <c r="S51" i="22" s="1"/>
  <c r="R87" i="22"/>
  <c r="S87" i="22" s="1"/>
  <c r="R81" i="22"/>
  <c r="S81" i="22" s="1"/>
  <c r="R111" i="22"/>
  <c r="S111" i="22" s="1"/>
  <c r="R78" i="22"/>
  <c r="S78" i="22" s="1"/>
  <c r="R67" i="22"/>
  <c r="S67" i="22" s="1"/>
  <c r="R84" i="22"/>
  <c r="S84" i="22" s="1"/>
  <c r="R114" i="22"/>
  <c r="S114" i="22" s="1"/>
  <c r="R126" i="22"/>
  <c r="S126" i="22" s="1"/>
  <c r="R82" i="22"/>
  <c r="S82" i="22" s="1"/>
  <c r="R110" i="22"/>
  <c r="S110" i="22" s="1"/>
  <c r="R55" i="22"/>
  <c r="S55" i="22" s="1"/>
  <c r="R50" i="22"/>
  <c r="S50" i="22" s="1"/>
  <c r="R83" i="22"/>
  <c r="S83" i="22" s="1"/>
  <c r="R86" i="22"/>
  <c r="S86" i="22" s="1"/>
  <c r="R49" i="22"/>
  <c r="S49" i="22" s="1"/>
  <c r="R80" i="22"/>
  <c r="S80" i="22" s="1"/>
  <c r="R68" i="22"/>
  <c r="S68" i="22" s="1"/>
  <c r="R57" i="22"/>
  <c r="S57" i="22" s="1"/>
  <c r="R61" i="22"/>
  <c r="S61" i="22" s="1"/>
  <c r="R63" i="22"/>
  <c r="S63" i="22" s="1"/>
  <c r="R92" i="22"/>
  <c r="S92" i="22" s="1"/>
  <c r="R123" i="22"/>
  <c r="S123" i="22" s="1"/>
  <c r="R109" i="22"/>
  <c r="S109" i="22" s="1"/>
  <c r="R125" i="22"/>
  <c r="S125" i="22" s="1"/>
  <c r="R124" i="22"/>
  <c r="S124" i="22" s="1"/>
  <c r="R77" i="22"/>
  <c r="S77" i="22" s="1"/>
  <c r="R96" i="22"/>
  <c r="S96" i="22" s="1"/>
  <c r="R65" i="22"/>
  <c r="S65" i="22" s="1"/>
  <c r="R48" i="22"/>
  <c r="S48" i="22" s="1"/>
  <c r="R54" i="22"/>
  <c r="S54" i="22" s="1"/>
  <c r="R62" i="22"/>
  <c r="S62" i="22" s="1"/>
  <c r="R120" i="22"/>
  <c r="S120" i="22" s="1"/>
  <c r="Q119" i="22"/>
  <c r="T119" i="22" s="1"/>
  <c r="Q84" i="22"/>
  <c r="Q62" i="22"/>
  <c r="Q79" i="22"/>
  <c r="Q53" i="22"/>
  <c r="Q59" i="22"/>
  <c r="Q126" i="22"/>
  <c r="Q92" i="22"/>
  <c r="Q57" i="22"/>
  <c r="Q81" i="22"/>
  <c r="Q87" i="22"/>
  <c r="Q60" i="22"/>
  <c r="T60" i="22" s="1"/>
  <c r="Q99" i="22"/>
  <c r="Q113" i="22"/>
  <c r="Q83" i="22"/>
  <c r="Q65" i="22"/>
  <c r="Q125" i="22"/>
  <c r="Q109" i="22"/>
  <c r="Q123" i="22"/>
  <c r="Q86" i="22"/>
  <c r="Q54" i="22"/>
  <c r="Q67" i="22"/>
  <c r="Q124" i="22"/>
  <c r="Q82" i="22"/>
  <c r="Q88" i="22"/>
  <c r="Q50" i="22"/>
  <c r="Q111" i="22"/>
  <c r="Q96" i="22"/>
  <c r="Q78" i="22"/>
  <c r="Q64" i="22"/>
  <c r="Q114" i="22"/>
  <c r="Q61" i="22"/>
  <c r="Q120" i="22"/>
  <c r="Q55" i="22"/>
  <c r="Q52" i="22"/>
  <c r="Q89" i="22"/>
  <c r="Q49" i="22"/>
  <c r="Q68" i="22"/>
  <c r="Q48" i="22"/>
  <c r="Q63" i="22"/>
  <c r="Q122" i="22"/>
  <c r="Q80" i="22"/>
  <c r="T80" i="22" s="1"/>
  <c r="Q77" i="22"/>
  <c r="Q98" i="22"/>
  <c r="Q51" i="22"/>
  <c r="Q66" i="22"/>
  <c r="Q56" i="22"/>
  <c r="Q112" i="22"/>
  <c r="Q110" i="22"/>
  <c r="T117" i="22"/>
  <c r="T37" i="22"/>
  <c r="T12" i="22"/>
  <c r="T33" i="22"/>
  <c r="T31" i="22"/>
  <c r="T42" i="22"/>
  <c r="T30" i="22"/>
  <c r="T34" i="22"/>
  <c r="T35" i="22"/>
  <c r="R40" i="22"/>
  <c r="S40" i="22" s="1"/>
  <c r="R23" i="22"/>
  <c r="S23" i="22" s="1"/>
  <c r="R7" i="22"/>
  <c r="S7" i="22" s="1"/>
  <c r="R39" i="22"/>
  <c r="S39" i="22" s="1"/>
  <c r="R28" i="22"/>
  <c r="S28" i="22" s="1"/>
  <c r="R4" i="22"/>
  <c r="S4" i="22" s="1"/>
  <c r="R22" i="22"/>
  <c r="S22" i="22" s="1"/>
  <c r="R24" i="22"/>
  <c r="S24" i="22" s="1"/>
  <c r="R10" i="22"/>
  <c r="S10" i="22" s="1"/>
  <c r="R11" i="22"/>
  <c r="S11" i="22" s="1"/>
  <c r="R9" i="22"/>
  <c r="S9" i="22" s="1"/>
  <c r="R13" i="22"/>
  <c r="S13" i="22" s="1"/>
  <c r="R20" i="22"/>
  <c r="S20" i="22" s="1"/>
  <c r="R5" i="22"/>
  <c r="S5" i="22" s="1"/>
  <c r="R14" i="22"/>
  <c r="S14" i="22" s="1"/>
  <c r="R45" i="22"/>
  <c r="S45" i="22" s="1"/>
  <c r="R17" i="22"/>
  <c r="S17" i="22" s="1"/>
  <c r="R21" i="22"/>
  <c r="S21" i="22" s="1"/>
  <c r="R18" i="22"/>
  <c r="S18" i="22" s="1"/>
  <c r="R8" i="22"/>
  <c r="S8" i="22" s="1"/>
  <c r="R27" i="22"/>
  <c r="S27" i="22" s="1"/>
  <c r="R46" i="22"/>
  <c r="S46" i="22" s="1"/>
  <c r="R32" i="22"/>
  <c r="S32" i="22" s="1"/>
  <c r="R44" i="22"/>
  <c r="S44" i="22" s="1"/>
  <c r="R6" i="22"/>
  <c r="S6" i="22" s="1"/>
  <c r="R3" i="22"/>
  <c r="S3" i="22" s="1"/>
  <c r="R47" i="22"/>
  <c r="S47" i="22" s="1"/>
  <c r="R15" i="22"/>
  <c r="S15" i="22" s="1"/>
  <c r="R26" i="22"/>
  <c r="S26" i="22" s="1"/>
  <c r="R41" i="22"/>
  <c r="S41" i="22" s="1"/>
  <c r="R19" i="22"/>
  <c r="S19" i="22" s="1"/>
  <c r="R16" i="22"/>
  <c r="S16" i="22" s="1"/>
  <c r="R38" i="22"/>
  <c r="S38" i="22" s="1"/>
  <c r="R36" i="22"/>
  <c r="S36" i="22" s="1"/>
  <c r="R43" i="22"/>
  <c r="S43" i="22" s="1"/>
  <c r="R29" i="22"/>
  <c r="S29" i="22" s="1"/>
  <c r="Q47" i="22"/>
  <c r="Q46" i="22"/>
  <c r="Q36" i="22"/>
  <c r="Q17" i="22"/>
  <c r="Q20" i="22"/>
  <c r="Q19" i="22"/>
  <c r="Q22" i="22"/>
  <c r="Q26" i="22"/>
  <c r="Q41" i="22"/>
  <c r="Q39" i="22"/>
  <c r="Q8" i="22"/>
  <c r="Q27" i="22"/>
  <c r="Q4" i="22"/>
  <c r="Q11" i="22"/>
  <c r="Q40" i="22"/>
  <c r="Q10" i="22"/>
  <c r="Q43" i="22"/>
  <c r="Q21" i="22"/>
  <c r="Q7" i="22"/>
  <c r="Q28" i="22"/>
  <c r="Q14" i="22"/>
  <c r="Q15" i="22"/>
  <c r="Q9" i="22"/>
  <c r="Q13" i="22"/>
  <c r="Q38" i="22"/>
  <c r="Q29" i="22"/>
  <c r="Q5" i="22"/>
  <c r="Q32" i="22"/>
  <c r="Q18" i="22"/>
  <c r="Q16" i="22"/>
  <c r="Q23" i="22"/>
  <c r="Q6" i="22"/>
  <c r="Q3" i="22"/>
  <c r="Q44" i="22"/>
  <c r="Q24" i="22"/>
  <c r="Q45" i="22"/>
  <c r="O19" i="22"/>
  <c r="O9" i="22"/>
  <c r="O21" i="22"/>
  <c r="O24" i="22"/>
  <c r="O16" i="22"/>
  <c r="O47" i="22"/>
  <c r="O32" i="22"/>
  <c r="O46" i="22"/>
  <c r="O8" i="22"/>
  <c r="O11" i="22"/>
  <c r="O43" i="22"/>
  <c r="O23" i="22"/>
  <c r="O13" i="22"/>
  <c r="O36" i="22"/>
  <c r="O17" i="22"/>
  <c r="O22" i="22"/>
  <c r="O3" i="22"/>
  <c r="O38" i="22"/>
  <c r="O44" i="22"/>
  <c r="O5" i="22"/>
  <c r="O41" i="22"/>
  <c r="O45" i="22"/>
  <c r="O40" i="22"/>
  <c r="O20" i="22"/>
  <c r="O7" i="22"/>
  <c r="O6" i="22"/>
  <c r="O15" i="22"/>
  <c r="O10" i="22"/>
  <c r="O27" i="22"/>
  <c r="O29" i="22"/>
  <c r="O39" i="22"/>
  <c r="O4" i="22"/>
  <c r="O14" i="22"/>
  <c r="O26" i="22"/>
  <c r="O18" i="22"/>
  <c r="O28" i="22"/>
  <c r="O2" i="22"/>
  <c r="Q2" i="22"/>
  <c r="R2" i="22"/>
  <c r="S2" i="22" s="1"/>
  <c r="T66" i="22" l="1"/>
  <c r="T61" i="22"/>
  <c r="T96" i="22"/>
  <c r="T122" i="22"/>
  <c r="T111" i="22"/>
  <c r="T87" i="22"/>
  <c r="T113" i="22"/>
  <c r="T50" i="22"/>
  <c r="T81" i="22"/>
  <c r="T92" i="22"/>
  <c r="T99" i="22"/>
  <c r="T110" i="22"/>
  <c r="T54" i="22"/>
  <c r="T126" i="22"/>
  <c r="T112" i="22"/>
  <c r="T86" i="22"/>
  <c r="T67" i="22"/>
  <c r="T123" i="22"/>
  <c r="T53" i="22"/>
  <c r="T63" i="22"/>
  <c r="T48" i="22"/>
  <c r="T68" i="22"/>
  <c r="T82" i="22"/>
  <c r="T88" i="22"/>
  <c r="T49" i="22"/>
  <c r="T124" i="22"/>
  <c r="T57" i="22"/>
  <c r="T89" i="22"/>
  <c r="T55" i="22"/>
  <c r="T109" i="22"/>
  <c r="T52" i="22"/>
  <c r="T79" i="22"/>
  <c r="T51" i="22"/>
  <c r="T114" i="22"/>
  <c r="T125" i="22"/>
  <c r="T62" i="22"/>
  <c r="T120" i="22"/>
  <c r="T98" i="22"/>
  <c r="T64" i="22"/>
  <c r="T65" i="22"/>
  <c r="T84" i="22"/>
  <c r="T59" i="22"/>
  <c r="T56" i="22"/>
  <c r="T77" i="22"/>
  <c r="T78" i="22"/>
  <c r="T83" i="22"/>
  <c r="T20" i="22"/>
  <c r="T28" i="22"/>
  <c r="T17" i="22"/>
  <c r="T19" i="22"/>
  <c r="T3" i="22"/>
  <c r="T21" i="22"/>
  <c r="T44" i="22"/>
  <c r="T27" i="22"/>
  <c r="T29" i="22"/>
  <c r="T23" i="22"/>
  <c r="T43" i="22"/>
  <c r="T36" i="22"/>
  <c r="T16" i="22"/>
  <c r="T10" i="22"/>
  <c r="T46" i="22"/>
  <c r="T40" i="22"/>
  <c r="T47" i="22"/>
  <c r="T6" i="22"/>
  <c r="T18" i="22"/>
  <c r="T32" i="22"/>
  <c r="T11" i="22"/>
  <c r="T5" i="22"/>
  <c r="T4" i="22"/>
  <c r="T38" i="22"/>
  <c r="T8" i="22"/>
  <c r="T7" i="22"/>
  <c r="T13" i="22"/>
  <c r="T39" i="22"/>
  <c r="T9" i="22"/>
  <c r="T41" i="22"/>
  <c r="T45" i="22"/>
  <c r="T15" i="22"/>
  <c r="T26" i="22"/>
  <c r="T24" i="22"/>
  <c r="T14" i="22"/>
  <c r="T22" i="22"/>
  <c r="D1" i="23" a="1"/>
  <c r="J2" i="23" a="1"/>
  <c r="J2" i="23" s="1"/>
  <c r="K2" i="23" s="1" a="1"/>
  <c r="K2" i="23" s="1"/>
  <c r="T2" i="22"/>
  <c r="F239" i="23" l="1" a="1"/>
  <c r="F239" i="23" s="1"/>
  <c r="H287" i="23" a="1"/>
  <c r="H287" i="23" s="1"/>
  <c r="F312" i="23" a="1"/>
  <c r="F312" i="23" s="1"/>
  <c r="F344" i="23" a="1"/>
  <c r="F344" i="23" s="1"/>
  <c r="E305" i="23" a="1"/>
  <c r="E305" i="23" s="1"/>
  <c r="F327" i="23" a="1"/>
  <c r="F327" i="23" s="1"/>
  <c r="H347" i="23" a="1"/>
  <c r="H347" i="23" s="1"/>
  <c r="F301" i="23" a="1"/>
  <c r="F301" i="23" s="1"/>
  <c r="G333" i="23" a="1"/>
  <c r="G333" i="23" s="1"/>
  <c r="F315" i="23" a="1"/>
  <c r="F315" i="23" s="1"/>
  <c r="H351" i="23" a="1"/>
  <c r="H351" i="23" s="1"/>
  <c r="G295" i="23" a="1"/>
  <c r="G295" i="23" s="1"/>
  <c r="E288" i="23" a="1"/>
  <c r="E288" i="23" s="1"/>
  <c r="E342" i="23" a="1"/>
  <c r="E342" i="23" s="1"/>
  <c r="H301" i="23" a="1"/>
  <c r="H301" i="23" s="1"/>
  <c r="E291" i="23" a="1"/>
  <c r="E291" i="23" s="1"/>
  <c r="G343" i="23" a="1"/>
  <c r="G343" i="23" s="1"/>
  <c r="F353" i="23" a="1"/>
  <c r="F353" i="23" s="1"/>
  <c r="F291" i="23" a="1"/>
  <c r="F291" i="23" s="1"/>
  <c r="H316" i="23" a="1"/>
  <c r="H316" i="23" s="1"/>
  <c r="G277" i="23" a="1"/>
  <c r="G277" i="23" s="1"/>
  <c r="H309" i="23" a="1"/>
  <c r="H309" i="23" s="1"/>
  <c r="E334" i="23" a="1"/>
  <c r="E334" i="23" s="1"/>
  <c r="H352" i="23" a="1"/>
  <c r="H352" i="23" s="1"/>
  <c r="E308" i="23" a="1"/>
  <c r="E308" i="23" s="1"/>
  <c r="F352" i="23" a="1"/>
  <c r="F352" i="23" s="1"/>
  <c r="G285" i="23" a="1"/>
  <c r="G285" i="23" s="1"/>
  <c r="F311" i="23" a="1"/>
  <c r="F311" i="23" s="1"/>
  <c r="E341" i="23" a="1"/>
  <c r="E341" i="23" s="1"/>
  <c r="F294" i="23" a="1"/>
  <c r="F294" i="23" s="1"/>
  <c r="G346" i="23" a="1"/>
  <c r="G346" i="23" s="1"/>
  <c r="G348" i="23" a="1"/>
  <c r="G348" i="23" s="1"/>
  <c r="E340" i="23" a="1"/>
  <c r="E340" i="23" s="1"/>
  <c r="G324" i="23" a="1"/>
  <c r="G324" i="23" s="1"/>
  <c r="F283" i="23" a="1"/>
  <c r="F283" i="23" s="1"/>
  <c r="E315" i="23" a="1"/>
  <c r="E315" i="23" s="1"/>
  <c r="E312" i="23" a="1"/>
  <c r="E312" i="23" s="1"/>
  <c r="E325" i="23" a="1"/>
  <c r="E325" i="23" s="1"/>
  <c r="H313" i="23" a="1"/>
  <c r="H313" i="23" s="1"/>
  <c r="E354" i="23" a="1"/>
  <c r="E354" i="23" s="1"/>
  <c r="E301" i="23" a="1"/>
  <c r="E301" i="23" s="1"/>
  <c r="H325" i="23" a="1"/>
  <c r="H325" i="23" s="1"/>
  <c r="G284" i="23" a="1"/>
  <c r="G284" i="23" s="1"/>
  <c r="F316" i="23" a="1"/>
  <c r="F316" i="23" s="1"/>
  <c r="G340" i="23" a="1"/>
  <c r="G340" i="23" s="1"/>
  <c r="H288" i="23" a="1"/>
  <c r="H288" i="23" s="1"/>
  <c r="G313" i="23" a="1"/>
  <c r="G313" i="23" s="1"/>
  <c r="G345" i="23" a="1"/>
  <c r="G345" i="23" s="1"/>
  <c r="G307" i="23" a="1"/>
  <c r="G307" i="23" s="1"/>
  <c r="H329" i="23" a="1"/>
  <c r="H329" i="23" s="1"/>
  <c r="F349" i="23" a="1"/>
  <c r="F349" i="23" s="1"/>
  <c r="E332" i="23" a="1"/>
  <c r="E332" i="23" s="1"/>
  <c r="E283" i="23" a="1"/>
  <c r="E283" i="23" s="1"/>
  <c r="G312" i="23" a="1"/>
  <c r="G312" i="23" s="1"/>
  <c r="E303" i="23" a="1"/>
  <c r="E303" i="23" s="1"/>
  <c r="G344" i="23" a="1"/>
  <c r="G344" i="23" s="1"/>
  <c r="F340" i="23" a="1"/>
  <c r="F340" i="23" s="1"/>
  <c r="H305" i="23" a="1"/>
  <c r="H305" i="23" s="1"/>
  <c r="E330" i="23" a="1"/>
  <c r="E330" i="23" s="1"/>
  <c r="G290" i="23" a="1"/>
  <c r="G290" i="23" s="1"/>
  <c r="G320" i="23" a="1"/>
  <c r="G320" i="23" s="1"/>
  <c r="H344" i="23" a="1"/>
  <c r="H344" i="23" s="1"/>
  <c r="F342" i="23" a="1"/>
  <c r="F342" i="23" s="1"/>
  <c r="E319" i="23" a="1"/>
  <c r="E319" i="23" s="1"/>
  <c r="E286" i="23" a="1"/>
  <c r="E286" i="23" s="1"/>
  <c r="H307" i="23" a="1"/>
  <c r="H307" i="23" s="1"/>
  <c r="H350" i="23" a="1"/>
  <c r="H350" i="23" s="1"/>
  <c r="H296" i="23" a="1"/>
  <c r="H296" i="23" s="1"/>
  <c r="E280" i="23" a="1"/>
  <c r="E280" i="23" s="1"/>
  <c r="H320" i="23" a="1"/>
  <c r="H320" i="23" s="1"/>
  <c r="G323" i="23" a="1"/>
  <c r="G323" i="23" s="1"/>
  <c r="F313" i="23" a="1"/>
  <c r="F313" i="23" s="1"/>
  <c r="G335" i="23" a="1"/>
  <c r="G335" i="23" s="1"/>
  <c r="E297" i="23" a="1"/>
  <c r="E297" i="23" s="1"/>
  <c r="E327" i="23" a="1"/>
  <c r="E327" i="23" s="1"/>
  <c r="F341" i="23" a="1"/>
  <c r="F341" i="23" s="1"/>
  <c r="G339" i="23" a="1"/>
  <c r="G339" i="23" s="1"/>
  <c r="H299" i="23" a="1"/>
  <c r="H299" i="23" s="1"/>
  <c r="G309" i="23" a="1"/>
  <c r="G309" i="23" s="1"/>
  <c r="H308" i="23" a="1"/>
  <c r="H308" i="23" s="1"/>
  <c r="E289" i="23" a="1"/>
  <c r="E289" i="23" s="1"/>
  <c r="H354" i="23" a="1"/>
  <c r="H354" i="23" s="1"/>
  <c r="G296" i="23" a="1"/>
  <c r="G296" i="23" s="1"/>
  <c r="F287" i="23" a="1"/>
  <c r="F287" i="23" s="1"/>
  <c r="F347" i="23" a="1"/>
  <c r="F347" i="23" s="1"/>
  <c r="F290" i="23" a="1"/>
  <c r="F290" i="23" s="1"/>
  <c r="H336" i="23" a="1"/>
  <c r="H336" i="23" s="1"/>
  <c r="H330" i="23" a="1"/>
  <c r="H330" i="23" s="1"/>
  <c r="H323" i="23" a="1"/>
  <c r="H323" i="23" s="1"/>
  <c r="F334" i="23" a="1"/>
  <c r="F334" i="23" s="1"/>
  <c r="E350" i="23" a="1"/>
  <c r="E350" i="23" s="1"/>
  <c r="F343" i="23" a="1"/>
  <c r="F343" i="23" s="1"/>
  <c r="G298" i="23" a="1"/>
  <c r="G298" i="23" s="1"/>
  <c r="G314" i="23" a="1"/>
  <c r="G314" i="23" s="1"/>
  <c r="G336" i="23" a="1"/>
  <c r="G336" i="23" s="1"/>
  <c r="G299" i="23" a="1"/>
  <c r="G299" i="23" s="1"/>
  <c r="F328" i="23" a="1"/>
  <c r="F328" i="23" s="1"/>
  <c r="F286" i="23" a="1"/>
  <c r="F286" i="23" s="1"/>
  <c r="E326" i="23" a="1"/>
  <c r="E326" i="23" s="1"/>
  <c r="F302" i="23" a="1"/>
  <c r="F302" i="23" s="1"/>
  <c r="F317" i="23" a="1"/>
  <c r="F317" i="23" s="1"/>
  <c r="H341" i="23" a="1"/>
  <c r="H341" i="23" s="1"/>
  <c r="G286" i="23" a="1"/>
  <c r="G286" i="23" s="1"/>
  <c r="G281" i="23" a="1"/>
  <c r="G281" i="23" s="1"/>
  <c r="F281" i="23" a="1"/>
  <c r="F281" i="23" s="1"/>
  <c r="E344" i="23" a="1"/>
  <c r="E344" i="23" s="1"/>
  <c r="H294" i="23" a="1"/>
  <c r="H294" i="23" s="1"/>
  <c r="H324" i="23" a="1"/>
  <c r="H324" i="23" s="1"/>
  <c r="G280" i="23" a="1"/>
  <c r="G280" i="23" s="1"/>
  <c r="G316" i="23" a="1"/>
  <c r="G316" i="23" s="1"/>
  <c r="F329" i="23" a="1"/>
  <c r="F329" i="23" s="1"/>
  <c r="E298" i="23" a="1"/>
  <c r="E298" i="23" s="1"/>
  <c r="H318" i="23" a="1"/>
  <c r="H318" i="23" s="1"/>
  <c r="H332" i="23" a="1"/>
  <c r="H332" i="23" s="1"/>
  <c r="F292" i="23" a="1"/>
  <c r="F292" i="23" s="1"/>
  <c r="E348" i="23" a="1"/>
  <c r="E348" i="23" s="1"/>
  <c r="E324" i="23" a="1"/>
  <c r="E324" i="23" s="1"/>
  <c r="H280" i="23" a="1"/>
  <c r="H280" i="23" s="1"/>
  <c r="G297" i="23" a="1"/>
  <c r="G297" i="23" s="1"/>
  <c r="H319" i="23" a="1"/>
  <c r="H319" i="23" s="1"/>
  <c r="F297" i="23" a="1"/>
  <c r="F297" i="23" s="1"/>
  <c r="H331" i="23" a="1"/>
  <c r="H331" i="23" s="1"/>
  <c r="E321" i="23" a="1"/>
  <c r="E321" i="23" s="1"/>
  <c r="H292" i="23" a="1"/>
  <c r="H292" i="23" s="1"/>
  <c r="G289" i="23" a="1"/>
  <c r="G289" i="23" s="1"/>
  <c r="G278" i="23" a="1"/>
  <c r="G278" i="23" s="1"/>
  <c r="G325" i="23" a="1"/>
  <c r="G325" i="23" s="1"/>
  <c r="F308" i="23" a="1"/>
  <c r="F308" i="23" s="1"/>
  <c r="G341" i="23" a="1"/>
  <c r="G341" i="23" s="1"/>
  <c r="H339" i="23" a="1"/>
  <c r="H339" i="23" s="1"/>
  <c r="H297" i="23" a="1"/>
  <c r="H297" i="23" s="1"/>
  <c r="H338" i="23" a="1"/>
  <c r="H338" i="23" s="1"/>
  <c r="E314" i="23" a="1"/>
  <c r="E314" i="23" s="1"/>
  <c r="H310" i="23" a="1"/>
  <c r="H310" i="23" s="1"/>
  <c r="G283" i="23" a="1"/>
  <c r="G283" i="23" s="1"/>
  <c r="F307" i="23" a="1"/>
  <c r="F307" i="23" s="1"/>
  <c r="H322" i="23" a="1"/>
  <c r="H322" i="23" s="1"/>
  <c r="H277" i="23" a="1"/>
  <c r="H277" i="23" s="1"/>
  <c r="F351" i="23" a="1"/>
  <c r="F351" i="23" s="1"/>
  <c r="G308" i="23" a="1"/>
  <c r="G308" i="23" s="1"/>
  <c r="H293" i="23" a="1"/>
  <c r="H293" i="23" s="1"/>
  <c r="H346" i="23" a="1"/>
  <c r="H346" i="23" s="1"/>
  <c r="F350" i="23" a="1"/>
  <c r="F350" i="23" s="1"/>
  <c r="E337" i="23" a="1"/>
  <c r="E337" i="23" s="1"/>
  <c r="H290" i="23" a="1"/>
  <c r="H290" i="23" s="1"/>
  <c r="G349" i="23" a="1"/>
  <c r="G349" i="23" s="1"/>
  <c r="E317" i="23" a="1"/>
  <c r="E317" i="23" s="1"/>
  <c r="H284" i="23" a="1"/>
  <c r="H284" i="23" s="1"/>
  <c r="F326" i="23" a="1"/>
  <c r="F326" i="23" s="1"/>
  <c r="E304" i="23" a="1"/>
  <c r="E304" i="23" s="1"/>
  <c r="E343" i="23" a="1"/>
  <c r="E343" i="23" s="1"/>
  <c r="E311" i="23" a="1"/>
  <c r="E311" i="23" s="1"/>
  <c r="F285" i="23" a="1"/>
  <c r="F285" i="23" s="1"/>
  <c r="H337" i="23" a="1"/>
  <c r="H337" i="23" s="1"/>
  <c r="F295" i="23" a="1"/>
  <c r="F295" i="23" s="1"/>
  <c r="H326" i="23" a="1"/>
  <c r="H326" i="23" s="1"/>
  <c r="F335" i="23" a="1"/>
  <c r="F335" i="23" s="1"/>
  <c r="E352" i="23" a="1"/>
  <c r="E352" i="23" s="1"/>
  <c r="H282" i="23" a="1"/>
  <c r="H282" i="23" s="1"/>
  <c r="E329" i="23" a="1"/>
  <c r="E329" i="23" s="1"/>
  <c r="F298" i="23" a="1"/>
  <c r="F298" i="23" s="1"/>
  <c r="G347" i="23" a="1"/>
  <c r="G347" i="23" s="1"/>
  <c r="E353" i="23" a="1"/>
  <c r="E353" i="23" s="1"/>
  <c r="F354" i="23" a="1"/>
  <c r="F354" i="23" s="1"/>
  <c r="F288" i="23" a="1"/>
  <c r="F288" i="23" s="1"/>
  <c r="G318" i="23" a="1"/>
  <c r="G318" i="23" s="1"/>
  <c r="F296" i="23" a="1"/>
  <c r="F296" i="23" s="1"/>
  <c r="H335" i="23" a="1"/>
  <c r="H335" i="23" s="1"/>
  <c r="G304" i="23" a="1"/>
  <c r="G304" i="23" s="1"/>
  <c r="G279" i="23" a="1"/>
  <c r="G279" i="23" s="1"/>
  <c r="F306" i="23" a="1"/>
  <c r="F306" i="23" s="1"/>
  <c r="E351" i="23" a="1"/>
  <c r="E351" i="23" s="1"/>
  <c r="G319" i="23" a="1"/>
  <c r="G319" i="23" s="1"/>
  <c r="F289" i="23" a="1"/>
  <c r="F289" i="23" s="1"/>
  <c r="H328" i="23" a="1"/>
  <c r="H328" i="23" s="1"/>
  <c r="F303" i="23" a="1"/>
  <c r="F303" i="23" s="1"/>
  <c r="F333" i="23" a="1"/>
  <c r="F333" i="23" s="1"/>
  <c r="G330" i="23" a="1"/>
  <c r="G330" i="23" s="1"/>
  <c r="G337" i="23" a="1"/>
  <c r="G337" i="23" s="1"/>
  <c r="F321" i="23" a="1"/>
  <c r="F321" i="23" s="1"/>
  <c r="G291" i="23" a="1"/>
  <c r="G291" i="23" s="1"/>
  <c r="G350" i="23" a="1"/>
  <c r="G350" i="23" s="1"/>
  <c r="F314" i="23" a="1"/>
  <c r="F314" i="23" s="1"/>
  <c r="E292" i="23" a="1"/>
  <c r="E292" i="23" s="1"/>
  <c r="F331" i="23" a="1"/>
  <c r="F331" i="23" s="1"/>
  <c r="F300" i="23" a="1"/>
  <c r="F300" i="23" s="1"/>
  <c r="E335" i="23" a="1"/>
  <c r="E335" i="23" s="1"/>
  <c r="F330" i="23" a="1"/>
  <c r="F330" i="23" s="1"/>
  <c r="F322" i="23" a="1"/>
  <c r="F322" i="23" s="1"/>
  <c r="H285" i="23" a="1"/>
  <c r="H285" i="23" s="1"/>
  <c r="H283" i="23" a="1"/>
  <c r="H283" i="23" s="1"/>
  <c r="E290" i="23" a="1"/>
  <c r="E290" i="23" s="1"/>
  <c r="G282" i="23" a="1"/>
  <c r="G282" i="23" s="1"/>
  <c r="E285" i="23" a="1"/>
  <c r="E285" i="23" s="1"/>
  <c r="E294" i="23" a="1"/>
  <c r="E294" i="23" s="1"/>
  <c r="E322" i="23" a="1"/>
  <c r="E322" i="23" s="1"/>
  <c r="H298" i="23" a="1"/>
  <c r="H298" i="23" s="1"/>
  <c r="H345" i="23" a="1"/>
  <c r="H345" i="23" s="1"/>
  <c r="E318" i="23" a="1"/>
  <c r="E318" i="23" s="1"/>
  <c r="E307" i="23" a="1"/>
  <c r="E307" i="23" s="1"/>
  <c r="H295" i="23" a="1"/>
  <c r="H295" i="23" s="1"/>
  <c r="F299" i="23" a="1"/>
  <c r="F299" i="23" s="1"/>
  <c r="E310" i="23" a="1"/>
  <c r="E310" i="23" s="1"/>
  <c r="G351" i="23" a="1"/>
  <c r="G351" i="23" s="1"/>
  <c r="F293" i="23" a="1"/>
  <c r="F293" i="23" s="1"/>
  <c r="E336" i="23" a="1"/>
  <c r="E336" i="23" s="1"/>
  <c r="H304" i="23" a="1"/>
  <c r="H304" i="23" s="1"/>
  <c r="F345" i="23" a="1"/>
  <c r="F345" i="23" s="1"/>
  <c r="F338" i="23" a="1"/>
  <c r="F338" i="23" s="1"/>
  <c r="G328" i="23" a="1"/>
  <c r="G328" i="23" s="1"/>
  <c r="E293" i="23" a="1"/>
  <c r="E293" i="23" s="1"/>
  <c r="E339" i="23" a="1"/>
  <c r="E339" i="23" s="1"/>
  <c r="F310" i="23" a="1"/>
  <c r="F310" i="23" s="1"/>
  <c r="E282" i="23" a="1"/>
  <c r="E282" i="23" s="1"/>
  <c r="H289" i="23" a="1"/>
  <c r="H289" i="23" s="1"/>
  <c r="H286" i="23" a="1"/>
  <c r="H286" i="23" s="1"/>
  <c r="G317" i="23" a="1"/>
  <c r="G317" i="23" s="1"/>
  <c r="E295" i="23" a="1"/>
  <c r="E295" i="23" s="1"/>
  <c r="G334" i="23" a="1"/>
  <c r="G334" i="23" s="1"/>
  <c r="G303" i="23" a="1"/>
  <c r="G303" i="23" s="1"/>
  <c r="F278" i="23" a="1"/>
  <c r="F278" i="23" s="1"/>
  <c r="H349" i="23" a="1"/>
  <c r="H349" i="23" s="1"/>
  <c r="H312" i="23" a="1"/>
  <c r="H312" i="23" s="1"/>
  <c r="F319" i="23" a="1"/>
  <c r="F319" i="23" s="1"/>
  <c r="G315" i="23" a="1"/>
  <c r="G315" i="23" s="1"/>
  <c r="F279" i="23" a="1"/>
  <c r="F279" i="23" s="1"/>
  <c r="H340" i="23" a="1"/>
  <c r="H340" i="23" s="1"/>
  <c r="H302" i="23" a="1"/>
  <c r="H302" i="23" s="1"/>
  <c r="F324" i="23" a="1"/>
  <c r="F324" i="23" s="1"/>
  <c r="G288" i="23" a="1"/>
  <c r="G288" i="23" s="1"/>
  <c r="H303" i="23" a="1"/>
  <c r="H303" i="23" s="1"/>
  <c r="E277" i="23" a="1"/>
  <c r="E277" i="23" s="1"/>
  <c r="H353" i="23" a="1"/>
  <c r="H353" i="23" s="1"/>
  <c r="E299" i="23" a="1"/>
  <c r="E299" i="23" s="1"/>
  <c r="G305" i="23" a="1"/>
  <c r="G305" i="23" s="1"/>
  <c r="F346" i="23" a="1"/>
  <c r="F346" i="23" s="1"/>
  <c r="G306" i="23" a="1"/>
  <c r="G306" i="23" s="1"/>
  <c r="E347" i="23" a="1"/>
  <c r="E347" i="23" s="1"/>
  <c r="F325" i="23" a="1"/>
  <c r="F325" i="23" s="1"/>
  <c r="H321" i="23" a="1"/>
  <c r="H321" i="23" s="1"/>
  <c r="E302" i="23" a="1"/>
  <c r="E302" i="23" s="1"/>
  <c r="H333" i="23" a="1"/>
  <c r="H333" i="23" s="1"/>
  <c r="G302" i="23" a="1"/>
  <c r="G302" i="23" s="1"/>
  <c r="E284" i="23" a="1"/>
  <c r="E284" i="23" s="1"/>
  <c r="G331" i="23" a="1"/>
  <c r="G331" i="23" s="1"/>
  <c r="F277" i="23" a="1"/>
  <c r="F277" i="23" s="1"/>
  <c r="G294" i="23" a="1"/>
  <c r="G294" i="23" s="1"/>
  <c r="G354" i="23" a="1"/>
  <c r="G354" i="23" s="1"/>
  <c r="E346" i="23" a="1"/>
  <c r="E346" i="23" s="1"/>
  <c r="E331" i="23" a="1"/>
  <c r="E331" i="23" s="1"/>
  <c r="H306" i="23" a="1"/>
  <c r="H306" i="23" s="1"/>
  <c r="F337" i="23" a="1"/>
  <c r="F337" i="23" s="1"/>
  <c r="H317" i="23" a="1"/>
  <c r="H317" i="23" s="1"/>
  <c r="H281" i="23" a="1"/>
  <c r="H281" i="23" s="1"/>
  <c r="E328" i="23" a="1"/>
  <c r="E328" i="23" s="1"/>
  <c r="E345" i="23" a="1"/>
  <c r="E345" i="23" s="1"/>
  <c r="E296" i="23" a="1"/>
  <c r="E296" i="23" s="1"/>
  <c r="G352" i="23" a="1"/>
  <c r="G352" i="23" s="1"/>
  <c r="F305" i="23" a="1"/>
  <c r="F305" i="23" s="1"/>
  <c r="E279" i="23" a="1"/>
  <c r="E279" i="23" s="1"/>
  <c r="G322" i="23" a="1"/>
  <c r="G322" i="23" s="1"/>
  <c r="G292" i="23" a="1"/>
  <c r="G292" i="23" s="1"/>
  <c r="H300" i="23" a="1"/>
  <c r="H300" i="23" s="1"/>
  <c r="E287" i="23" a="1"/>
  <c r="E287" i="23" s="1"/>
  <c r="H343" i="23" a="1"/>
  <c r="H343" i="23" s="1"/>
  <c r="G311" i="23" a="1"/>
  <c r="G311" i="23" s="1"/>
  <c r="F282" i="23" a="1"/>
  <c r="F282" i="23" s="1"/>
  <c r="H327" i="23" a="1"/>
  <c r="H327" i="23" s="1"/>
  <c r="G310" i="23" a="1"/>
  <c r="G310" i="23" s="1"/>
  <c r="E313" i="23" a="1"/>
  <c r="E313" i="23" s="1"/>
  <c r="E278" i="23" a="1"/>
  <c r="E278" i="23" s="1"/>
  <c r="G321" i="23" a="1"/>
  <c r="G321" i="23" s="1"/>
  <c r="H291" i="23" a="1"/>
  <c r="H291" i="23" s="1"/>
  <c r="F323" i="23" a="1"/>
  <c r="F323" i="23" s="1"/>
  <c r="E316" i="23" a="1"/>
  <c r="E316" i="23" s="1"/>
  <c r="H342" i="23" a="1"/>
  <c r="H342" i="23" s="1"/>
  <c r="H311" i="23" a="1"/>
  <c r="H311" i="23" s="1"/>
  <c r="H279" i="23" a="1"/>
  <c r="H279" i="23" s="1"/>
  <c r="F336" i="23" a="1"/>
  <c r="F336" i="23" s="1"/>
  <c r="G338" i="23" a="1"/>
  <c r="G338" i="23" s="1"/>
  <c r="E323" i="23" a="1"/>
  <c r="E323" i="23" s="1"/>
  <c r="F320" i="23" a="1"/>
  <c r="F320" i="23" s="1"/>
  <c r="G301" i="23" a="1"/>
  <c r="G301" i="23" s="1"/>
  <c r="G353" i="23" a="1"/>
  <c r="G353" i="23" s="1"/>
  <c r="E306" i="23" a="1"/>
  <c r="E306" i="23" s="1"/>
  <c r="F332" i="23" a="1"/>
  <c r="F332" i="23" s="1"/>
  <c r="F280" i="23" a="1"/>
  <c r="F280" i="23" s="1"/>
  <c r="H278" i="23" a="1"/>
  <c r="H278" i="23" s="1"/>
  <c r="E320" i="23" a="1"/>
  <c r="E320" i="23" s="1"/>
  <c r="G293" i="23" a="1"/>
  <c r="G293" i="23" s="1"/>
  <c r="F348" i="23" a="1"/>
  <c r="F348" i="23" s="1"/>
  <c r="F304" i="23" a="1"/>
  <c r="F304" i="23" s="1"/>
  <c r="E349" i="23" a="1"/>
  <c r="E349" i="23" s="1"/>
  <c r="F284" i="23" a="1"/>
  <c r="F284" i="23" s="1"/>
  <c r="E333" i="23" a="1"/>
  <c r="E333" i="23" s="1"/>
  <c r="H314" i="23" a="1"/>
  <c r="H314" i="23" s="1"/>
  <c r="F339" i="23" a="1"/>
  <c r="F339" i="23" s="1"/>
  <c r="G327" i="23" a="1"/>
  <c r="G327" i="23" s="1"/>
  <c r="E338" i="23" a="1"/>
  <c r="E338" i="23" s="1"/>
  <c r="E309" i="23" a="1"/>
  <c r="E309" i="23" s="1"/>
  <c r="G332" i="23" a="1"/>
  <c r="G332" i="23" s="1"/>
  <c r="H348" i="23" a="1"/>
  <c r="H348" i="23" s="1"/>
  <c r="H334" i="23" a="1"/>
  <c r="H334" i="23" s="1"/>
  <c r="G287" i="23" a="1"/>
  <c r="G287" i="23" s="1"/>
  <c r="G329" i="23" a="1"/>
  <c r="G329" i="23" s="1"/>
  <c r="G300" i="23" a="1"/>
  <c r="G300" i="23" s="1"/>
  <c r="H315" i="23" a="1"/>
  <c r="H315" i="23" s="1"/>
  <c r="F318" i="23" a="1"/>
  <c r="F318" i="23" s="1"/>
  <c r="E300" i="23" a="1"/>
  <c r="E300" i="23" s="1"/>
  <c r="G342" i="23" a="1"/>
  <c r="G342" i="23" s="1"/>
  <c r="F309" i="23" a="1"/>
  <c r="F309" i="23" s="1"/>
  <c r="E281" i="23" a="1"/>
  <c r="E281" i="23" s="1"/>
  <c r="G326" i="23" a="1"/>
  <c r="G326" i="23" s="1"/>
  <c r="G209" i="23" a="1"/>
  <c r="G209" i="23" s="1"/>
  <c r="F225" i="23" a="1"/>
  <c r="F225" i="23" s="1"/>
  <c r="G268" i="23" a="1"/>
  <c r="G268" i="23" s="1"/>
  <c r="G263" i="23" a="1"/>
  <c r="G263" i="23" s="1"/>
  <c r="H210" i="23" a="1"/>
  <c r="H210" i="23" s="1"/>
  <c r="E208" i="23" a="1"/>
  <c r="E208" i="23" s="1"/>
  <c r="G210" i="23" a="1"/>
  <c r="G210" i="23" s="1"/>
  <c r="H208" i="23" a="1"/>
  <c r="H208" i="23" s="1"/>
  <c r="H227" i="23" a="1"/>
  <c r="H227" i="23" s="1"/>
  <c r="G219" i="23" a="1"/>
  <c r="G219" i="23" s="1"/>
  <c r="H212" i="23" a="1"/>
  <c r="H212" i="23" s="1"/>
  <c r="H258" i="23" a="1"/>
  <c r="H258" i="23" s="1"/>
  <c r="G258" i="23" a="1"/>
  <c r="G258" i="23" s="1"/>
  <c r="H269" i="23" a="1"/>
  <c r="H269" i="23" s="1"/>
  <c r="E270" i="23" a="1"/>
  <c r="E270" i="23" s="1"/>
  <c r="H268" i="23" a="1"/>
  <c r="H268" i="23" s="1"/>
  <c r="G259" i="23" a="1"/>
  <c r="G259" i="23" s="1"/>
  <c r="E263" i="23" a="1"/>
  <c r="E263" i="23" s="1"/>
  <c r="F269" i="23" a="1"/>
  <c r="F269" i="23" s="1"/>
  <c r="F268" i="23" a="1"/>
  <c r="F268" i="23" s="1"/>
  <c r="H265" i="23" a="1"/>
  <c r="H265" i="23" s="1"/>
  <c r="E207" i="23" a="1"/>
  <c r="E207" i="23" s="1"/>
  <c r="F208" i="23" a="1"/>
  <c r="F208" i="23" s="1"/>
  <c r="E225" i="23" a="1"/>
  <c r="E225" i="23" s="1"/>
  <c r="H223" i="23" a="1"/>
  <c r="H223" i="23" s="1"/>
  <c r="E215" i="23" a="1"/>
  <c r="E215" i="23" s="1"/>
  <c r="H256" i="23" a="1"/>
  <c r="H256" i="23" s="1"/>
  <c r="F262" i="23" a="1"/>
  <c r="F262" i="23" s="1"/>
  <c r="F274" i="23" a="1"/>
  <c r="F274" i="23" s="1"/>
  <c r="F260" i="23" a="1"/>
  <c r="F260" i="23" s="1"/>
  <c r="G260" i="23" a="1"/>
  <c r="G260" i="23" s="1"/>
  <c r="G267" i="23" a="1"/>
  <c r="G267" i="23" s="1"/>
  <c r="F264" i="23" a="1"/>
  <c r="F264" i="23" s="1"/>
  <c r="F270" i="23" a="1"/>
  <c r="F270" i="23" s="1"/>
  <c r="E272" i="23" a="1"/>
  <c r="E272" i="23" s="1"/>
  <c r="H260" i="23" a="1"/>
  <c r="H260" i="23" s="1"/>
  <c r="E273" i="23" a="1"/>
  <c r="E273" i="23" s="1"/>
  <c r="H259" i="23" a="1"/>
  <c r="H259" i="23" s="1"/>
  <c r="H209" i="23" a="1"/>
  <c r="H209" i="23" s="1"/>
  <c r="H261" i="23" a="1"/>
  <c r="H261" i="23" s="1"/>
  <c r="F275" i="23" a="1"/>
  <c r="F275" i="23" s="1"/>
  <c r="F265" i="23" a="1"/>
  <c r="F265" i="23" s="1"/>
  <c r="F204" i="23" a="1"/>
  <c r="F204" i="23" s="1"/>
  <c r="F206" i="23" a="1"/>
  <c r="F206" i="23" s="1"/>
  <c r="F209" i="23" a="1"/>
  <c r="F209" i="23" s="1"/>
  <c r="G215" i="23" a="1"/>
  <c r="G215" i="23" s="1"/>
  <c r="E227" i="23" a="1"/>
  <c r="E227" i="23" s="1"/>
  <c r="H228" i="23" a="1"/>
  <c r="H228" i="23" s="1"/>
  <c r="G214" i="23" a="1"/>
  <c r="G214" i="23" s="1"/>
  <c r="F238" i="23" a="1"/>
  <c r="F238" i="23" s="1"/>
  <c r="G256" i="23" a="1"/>
  <c r="G256" i="23" s="1"/>
  <c r="F263" i="23" a="1"/>
  <c r="F263" i="23" s="1"/>
  <c r="E260" i="23" a="1"/>
  <c r="E260" i="23" s="1"/>
  <c r="G272" i="23" a="1"/>
  <c r="G272" i="23" s="1"/>
  <c r="H276" i="23" a="1"/>
  <c r="H276" i="23" s="1"/>
  <c r="E275" i="23" a="1"/>
  <c r="E275" i="23" s="1"/>
  <c r="G269" i="23" a="1"/>
  <c r="G269" i="23" s="1"/>
  <c r="G265" i="23" a="1"/>
  <c r="G265" i="23" s="1"/>
  <c r="E268" i="23" a="1"/>
  <c r="E268" i="23" s="1"/>
  <c r="H271" i="23" a="1"/>
  <c r="H271" i="23" s="1"/>
  <c r="G264" i="23" a="1"/>
  <c r="G264" i="23" s="1"/>
  <c r="F205" i="23" a="1"/>
  <c r="F205" i="23" s="1"/>
  <c r="E209" i="23" a="1"/>
  <c r="E209" i="23" s="1"/>
  <c r="E205" i="23" a="1"/>
  <c r="E205" i="23" s="1"/>
  <c r="F216" i="23" a="1"/>
  <c r="F216" i="23" s="1"/>
  <c r="E212" i="23" a="1"/>
  <c r="E212" i="23" s="1"/>
  <c r="E222" i="23" a="1"/>
  <c r="E222" i="23" s="1"/>
  <c r="F213" i="23" a="1"/>
  <c r="F213" i="23" s="1"/>
  <c r="G239" i="23" a="1"/>
  <c r="G239" i="23" s="1"/>
  <c r="H272" i="23" a="1"/>
  <c r="H272" i="23" s="1"/>
  <c r="H263" i="23" a="1"/>
  <c r="H263" i="23" s="1"/>
  <c r="H275" i="23" a="1"/>
  <c r="H275" i="23" s="1"/>
  <c r="E271" i="23" a="1"/>
  <c r="E271" i="23" s="1"/>
  <c r="G276" i="23" a="1"/>
  <c r="G276" i="23" s="1"/>
  <c r="H266" i="23" a="1"/>
  <c r="H266" i="23" s="1"/>
  <c r="F271" i="23" a="1"/>
  <c r="F271" i="23" s="1"/>
  <c r="E257" i="23" a="1"/>
  <c r="E257" i="23" s="1"/>
  <c r="E262" i="23" a="1"/>
  <c r="E262" i="23" s="1"/>
  <c r="E265" i="23" a="1"/>
  <c r="E265" i="23" s="1"/>
  <c r="E206" i="23" a="1"/>
  <c r="E206" i="23" s="1"/>
  <c r="G225" i="23" a="1"/>
  <c r="G225" i="23" s="1"/>
  <c r="H262" i="23" a="1"/>
  <c r="H262" i="23" s="1"/>
  <c r="E274" i="23" a="1"/>
  <c r="E274" i="23" s="1"/>
  <c r="G205" i="23" a="1"/>
  <c r="G205" i="23" s="1"/>
  <c r="E210" i="23" a="1"/>
  <c r="E210" i="23" s="1"/>
  <c r="G207" i="23" a="1"/>
  <c r="G207" i="23" s="1"/>
  <c r="F228" i="23" a="1"/>
  <c r="F228" i="23" s="1"/>
  <c r="E226" i="23" a="1"/>
  <c r="E226" i="23" s="1"/>
  <c r="G221" i="23" a="1"/>
  <c r="G221" i="23" s="1"/>
  <c r="H216" i="23" a="1"/>
  <c r="H216" i="23" s="1"/>
  <c r="E235" i="23" a="1"/>
  <c r="E235" i="23" s="1"/>
  <c r="F276" i="23" a="1"/>
  <c r="F276" i="23" s="1"/>
  <c r="E266" i="23" a="1"/>
  <c r="E266" i="23" s="1"/>
  <c r="F259" i="23" a="1"/>
  <c r="F259" i="23" s="1"/>
  <c r="G266" i="23" a="1"/>
  <c r="G266" i="23" s="1"/>
  <c r="H267" i="23" a="1"/>
  <c r="H267" i="23" s="1"/>
  <c r="G274" i="23" a="1"/>
  <c r="G274" i="23" s="1"/>
  <c r="E258" i="23" a="1"/>
  <c r="E258" i="23" s="1"/>
  <c r="F266" i="23" a="1"/>
  <c r="F266" i="23" s="1"/>
  <c r="G273" i="23" a="1"/>
  <c r="G273" i="23" s="1"/>
  <c r="F272" i="23" a="1"/>
  <c r="F272" i="23" s="1"/>
  <c r="H264" i="23" a="1"/>
  <c r="H264" i="23" s="1"/>
  <c r="H205" i="23" a="1"/>
  <c r="H205" i="23" s="1"/>
  <c r="G235" i="23" a="1"/>
  <c r="G235" i="23" s="1"/>
  <c r="G271" i="23" a="1"/>
  <c r="G271" i="23" s="1"/>
  <c r="E261" i="23" a="1"/>
  <c r="E261" i="23" s="1"/>
  <c r="G204" i="23" a="1"/>
  <c r="G204" i="23" s="1"/>
  <c r="G206" i="23" a="1"/>
  <c r="G206" i="23" s="1"/>
  <c r="H206" i="23" a="1"/>
  <c r="H206" i="23" s="1"/>
  <c r="F207" i="23" a="1"/>
  <c r="F207" i="23" s="1"/>
  <c r="E213" i="23" a="1"/>
  <c r="E213" i="23" s="1"/>
  <c r="H226" i="23" a="1"/>
  <c r="H226" i="23" s="1"/>
  <c r="H221" i="23" a="1"/>
  <c r="H221" i="23" s="1"/>
  <c r="E264" i="23" a="1"/>
  <c r="E264" i="23" s="1"/>
  <c r="F273" i="23" a="1"/>
  <c r="F273" i="23" s="1"/>
  <c r="G257" i="23" a="1"/>
  <c r="G257" i="23" s="1"/>
  <c r="H274" i="23" a="1"/>
  <c r="H274" i="23" s="1"/>
  <c r="E259" i="23" a="1"/>
  <c r="E259" i="23" s="1"/>
  <c r="H270" i="23" a="1"/>
  <c r="H270" i="23" s="1"/>
  <c r="E276" i="23" a="1"/>
  <c r="E276" i="23" s="1"/>
  <c r="E269" i="23" a="1"/>
  <c r="E269" i="23" s="1"/>
  <c r="F257" i="23" a="1"/>
  <c r="F257" i="23" s="1"/>
  <c r="H257" i="23" a="1"/>
  <c r="H257" i="23" s="1"/>
  <c r="F256" i="23" a="1"/>
  <c r="F256" i="23" s="1"/>
  <c r="E204" i="23" a="1"/>
  <c r="E204" i="23" s="1"/>
  <c r="G212" i="23" a="1"/>
  <c r="G212" i="23" s="1"/>
  <c r="G261" i="23" a="1"/>
  <c r="G261" i="23" s="1"/>
  <c r="H207" i="23" a="1"/>
  <c r="H207" i="23" s="1"/>
  <c r="G208" i="23" a="1"/>
  <c r="G208" i="23" s="1"/>
  <c r="H204" i="23" a="1"/>
  <c r="H204" i="23" s="1"/>
  <c r="F210" i="23" a="1"/>
  <c r="F210" i="23" s="1"/>
  <c r="H217" i="23" a="1"/>
  <c r="H217" i="23" s="1"/>
  <c r="G224" i="23" a="1"/>
  <c r="G224" i="23" s="1"/>
  <c r="F211" i="23" a="1"/>
  <c r="F211" i="23" s="1"/>
  <c r="E267" i="23" a="1"/>
  <c r="E267" i="23" s="1"/>
  <c r="G262" i="23" a="1"/>
  <c r="G262" i="23" s="1"/>
  <c r="G270" i="23" a="1"/>
  <c r="G270" i="23" s="1"/>
  <c r="F261" i="23" a="1"/>
  <c r="F261" i="23" s="1"/>
  <c r="E256" i="23" a="1"/>
  <c r="E256" i="23" s="1"/>
  <c r="F258" i="23" a="1"/>
  <c r="F258" i="23" s="1"/>
  <c r="F267" i="23" a="1"/>
  <c r="F267" i="23" s="1"/>
  <c r="H273" i="23" a="1"/>
  <c r="H273" i="23" s="1"/>
  <c r="G275" i="23" a="1"/>
  <c r="G275" i="23" s="1"/>
  <c r="H213" i="23" a="1"/>
  <c r="H213" i="23" s="1"/>
  <c r="G217" i="23" a="1"/>
  <c r="G217" i="23" s="1"/>
  <c r="F223" i="23" a="1"/>
  <c r="F223" i="23" s="1"/>
  <c r="G223" i="23" a="1"/>
  <c r="G223" i="23" s="1"/>
  <c r="E219" i="23" a="1"/>
  <c r="E219" i="23" s="1"/>
  <c r="E224" i="23" a="1"/>
  <c r="E224" i="23" s="1"/>
  <c r="H211" i="23" a="1"/>
  <c r="H211" i="23" s="1"/>
  <c r="G211" i="23" a="1"/>
  <c r="G211" i="23" s="1"/>
  <c r="E229" i="23" a="1"/>
  <c r="E229" i="23" s="1"/>
  <c r="H241" i="23" a="1"/>
  <c r="H241" i="23" s="1"/>
  <c r="E249" i="23" a="1"/>
  <c r="E249" i="23" s="1"/>
  <c r="G251" i="23" a="1"/>
  <c r="G251" i="23" s="1"/>
  <c r="G248" i="23" a="1"/>
  <c r="G248" i="23" s="1"/>
  <c r="H254" i="23" a="1"/>
  <c r="H254" i="23" s="1"/>
  <c r="F222" i="23" a="1"/>
  <c r="F222" i="23" s="1"/>
  <c r="E214" i="23" a="1"/>
  <c r="E214" i="23" s="1"/>
  <c r="G220" i="23" a="1"/>
  <c r="G220" i="23" s="1"/>
  <c r="F227" i="23" a="1"/>
  <c r="F227" i="23" s="1"/>
  <c r="F226" i="23" a="1"/>
  <c r="F226" i="23" s="1"/>
  <c r="G240" i="23" a="1"/>
  <c r="G240" i="23" s="1"/>
  <c r="G233" i="23" a="1"/>
  <c r="G233" i="23" s="1"/>
  <c r="F230" i="23" a="1"/>
  <c r="F230" i="23" s="1"/>
  <c r="F246" i="23" a="1"/>
  <c r="F246" i="23" s="1"/>
  <c r="H249" i="23" a="1"/>
  <c r="H249" i="23" s="1"/>
  <c r="E250" i="23" a="1"/>
  <c r="E250" i="23" s="1"/>
  <c r="F251" i="23" a="1"/>
  <c r="F251" i="23" s="1"/>
  <c r="E252" i="23" a="1"/>
  <c r="E252" i="23" s="1"/>
  <c r="E228" i="23" a="1"/>
  <c r="E228" i="23" s="1"/>
  <c r="E211" i="23" a="1"/>
  <c r="E211" i="23" s="1"/>
  <c r="E223" i="23" a="1"/>
  <c r="E223" i="23" s="1"/>
  <c r="F218" i="23" a="1"/>
  <c r="F218" i="23" s="1"/>
  <c r="H220" i="23" a="1"/>
  <c r="H220" i="23" s="1"/>
  <c r="H215" i="23" a="1"/>
  <c r="H215" i="23" s="1"/>
  <c r="H225" i="23" a="1"/>
  <c r="H225" i="23" s="1"/>
  <c r="F217" i="23" a="1"/>
  <c r="F217" i="23" s="1"/>
  <c r="G228" i="23" a="1"/>
  <c r="G228" i="23" s="1"/>
  <c r="H229" i="23" a="1"/>
  <c r="H229" i="23" s="1"/>
  <c r="F237" i="23" a="1"/>
  <c r="F237" i="23" s="1"/>
  <c r="G247" i="23" a="1"/>
  <c r="G247" i="23" s="1"/>
  <c r="E251" i="23" a="1"/>
  <c r="E251" i="23" s="1"/>
  <c r="F253" i="23" a="1"/>
  <c r="F253" i="23" s="1"/>
  <c r="F212" i="23" a="1"/>
  <c r="F212" i="23" s="1"/>
  <c r="H222" i="23" a="1"/>
  <c r="H222" i="23" s="1"/>
  <c r="E217" i="23" a="1"/>
  <c r="E217" i="23" s="1"/>
  <c r="F221" i="23" a="1"/>
  <c r="F221" i="23" s="1"/>
  <c r="G227" i="23" a="1"/>
  <c r="G227" i="23" s="1"/>
  <c r="F219" i="23" a="1"/>
  <c r="F219" i="23" s="1"/>
  <c r="H214" i="23" a="1"/>
  <c r="H214" i="23" s="1"/>
  <c r="G237" i="23" a="1"/>
  <c r="G237" i="23" s="1"/>
  <c r="G232" i="23" a="1"/>
  <c r="G232" i="23" s="1"/>
  <c r="H246" i="23" a="1"/>
  <c r="H246" i="23" s="1"/>
  <c r="G252" i="23" a="1"/>
  <c r="G252" i="23" s="1"/>
  <c r="H252" i="23" a="1"/>
  <c r="H252" i="23" s="1"/>
  <c r="E253" i="23" a="1"/>
  <c r="E253" i="23" s="1"/>
  <c r="G250" i="23" a="1"/>
  <c r="G250" i="23" s="1"/>
  <c r="G222" i="23" a="1"/>
  <c r="G222" i="23" s="1"/>
  <c r="G226" i="23" a="1"/>
  <c r="G226" i="23" s="1"/>
  <c r="H224" i="23" a="1"/>
  <c r="H224" i="23" s="1"/>
  <c r="F215" i="23" a="1"/>
  <c r="F215" i="23" s="1"/>
  <c r="E221" i="23" a="1"/>
  <c r="E221" i="23" s="1"/>
  <c r="E218" i="23" a="1"/>
  <c r="E218" i="23" s="1"/>
  <c r="H219" i="23" a="1"/>
  <c r="H219" i="23" s="1"/>
  <c r="F224" i="23" a="1"/>
  <c r="F224" i="23" s="1"/>
  <c r="G230" i="23" a="1"/>
  <c r="G230" i="23" s="1"/>
  <c r="F233" i="23" a="1"/>
  <c r="F233" i="23" s="1"/>
  <c r="G249" i="23" a="1"/>
  <c r="G249" i="23" s="1"/>
  <c r="E254" i="23" a="1"/>
  <c r="E254" i="23" s="1"/>
  <c r="F252" i="23" a="1"/>
  <c r="F252" i="23" s="1"/>
  <c r="G254" i="23" a="1"/>
  <c r="G254" i="23" s="1"/>
  <c r="H251" i="23" a="1"/>
  <c r="H251" i="23" s="1"/>
  <c r="G246" i="23" a="1"/>
  <c r="G246" i="23" s="1"/>
  <c r="G253" i="23" a="1"/>
  <c r="G253" i="23" s="1"/>
  <c r="E248" i="23" a="1"/>
  <c r="E248" i="23" s="1"/>
  <c r="E255" i="23" a="1"/>
  <c r="E255" i="23" s="1"/>
  <c r="E247" i="23" a="1"/>
  <c r="E247" i="23" s="1"/>
  <c r="F254" i="23" a="1"/>
  <c r="F254" i="23" s="1"/>
  <c r="H247" i="23" a="1"/>
  <c r="H247" i="23" s="1"/>
  <c r="E246" i="23" a="1"/>
  <c r="E246" i="23" s="1"/>
  <c r="H250" i="23" a="1"/>
  <c r="H250" i="23" s="1"/>
  <c r="H253" i="23" a="1"/>
  <c r="H253" i="23" s="1"/>
  <c r="H255" i="23" a="1"/>
  <c r="H255" i="23" s="1"/>
  <c r="F250" i="23" a="1"/>
  <c r="F250" i="23" s="1"/>
  <c r="H248" i="23" a="1"/>
  <c r="H248" i="23" s="1"/>
  <c r="F214" i="23" a="1"/>
  <c r="F214" i="23" s="1"/>
  <c r="F220" i="23" a="1"/>
  <c r="F220" i="23" s="1"/>
  <c r="G218" i="23" a="1"/>
  <c r="G218" i="23" s="1"/>
  <c r="G216" i="23" a="1"/>
  <c r="G216" i="23" s="1"/>
  <c r="E216" i="23" a="1"/>
  <c r="E216" i="23" s="1"/>
  <c r="E220" i="23" a="1"/>
  <c r="E220" i="23" s="1"/>
  <c r="H218" i="23" a="1"/>
  <c r="H218" i="23" s="1"/>
  <c r="H230" i="23" a="1"/>
  <c r="H230" i="23" s="1"/>
  <c r="E233" i="23" a="1"/>
  <c r="E233" i="23" s="1"/>
  <c r="F249" i="23" a="1"/>
  <c r="F249" i="23" s="1"/>
  <c r="F255" i="23" a="1"/>
  <c r="F255" i="23" s="1"/>
  <c r="F248" i="23" a="1"/>
  <c r="F248" i="23" s="1"/>
  <c r="G255" i="23" a="1"/>
  <c r="G255" i="23" s="1"/>
  <c r="F247" i="23" a="1"/>
  <c r="F247" i="23" s="1"/>
  <c r="H233" i="23" a="1"/>
  <c r="H233" i="23" s="1"/>
  <c r="H240" i="23" a="1"/>
  <c r="H240" i="23" s="1"/>
  <c r="F234" i="23" a="1"/>
  <c r="F234" i="23" s="1"/>
  <c r="E243" i="23" a="1"/>
  <c r="E243" i="23" s="1"/>
  <c r="F244" i="23" a="1"/>
  <c r="F244" i="23" s="1"/>
  <c r="G243" i="23" a="1"/>
  <c r="G243" i="23" s="1"/>
  <c r="G236" i="23" a="1"/>
  <c r="G236" i="23" s="1"/>
  <c r="E244" i="23" a="1"/>
  <c r="E244" i="23" s="1"/>
  <c r="G238" i="23" a="1"/>
  <c r="G238" i="23" s="1"/>
  <c r="E238" i="23" a="1"/>
  <c r="E238" i="23" s="1"/>
  <c r="G244" i="23" a="1"/>
  <c r="G244" i="23" s="1"/>
  <c r="F242" i="23" a="1"/>
  <c r="F242" i="23" s="1"/>
  <c r="H245" i="23" a="1"/>
  <c r="H245" i="23" s="1"/>
  <c r="H236" i="23" a="1"/>
  <c r="H236" i="23" s="1"/>
  <c r="G231" i="23" a="1"/>
  <c r="G231" i="23" s="1"/>
  <c r="F241" i="23" a="1"/>
  <c r="F241" i="23" s="1"/>
  <c r="E240" i="23" a="1"/>
  <c r="E240" i="23" s="1"/>
  <c r="F231" i="23" a="1"/>
  <c r="F231" i="23" s="1"/>
  <c r="E242" i="23" a="1"/>
  <c r="E242" i="23" s="1"/>
  <c r="H238" i="23" a="1"/>
  <c r="H238" i="23" s="1"/>
  <c r="H231" i="23" a="1"/>
  <c r="H231" i="23" s="1"/>
  <c r="G245" i="23" a="1"/>
  <c r="G245" i="23" s="1"/>
  <c r="H232" i="23" a="1"/>
  <c r="H232" i="23" s="1"/>
  <c r="G234" i="23" a="1"/>
  <c r="G234" i="23" s="1"/>
  <c r="H237" i="23" a="1"/>
  <c r="H237" i="23" s="1"/>
  <c r="E236" i="23" a="1"/>
  <c r="E236" i="23" s="1"/>
  <c r="F236" i="23" a="1"/>
  <c r="F236" i="23" s="1"/>
  <c r="G229" i="23" a="1"/>
  <c r="G229" i="23" s="1"/>
  <c r="E239" i="23" a="1"/>
  <c r="E239" i="23" s="1"/>
  <c r="E234" i="23" a="1"/>
  <c r="E234" i="23" s="1"/>
  <c r="H244" i="23" a="1"/>
  <c r="H244" i="23" s="1"/>
  <c r="F240" i="23" a="1"/>
  <c r="F240" i="23" s="1"/>
  <c r="G242" i="23" a="1"/>
  <c r="G242" i="23" s="1"/>
  <c r="H242" i="23" a="1"/>
  <c r="H242" i="23" s="1"/>
  <c r="E232" i="23" a="1"/>
  <c r="E232" i="23" s="1"/>
  <c r="E241" i="23" a="1"/>
  <c r="E241" i="23" s="1"/>
  <c r="F229" i="23" a="1"/>
  <c r="F229" i="23" s="1"/>
  <c r="E237" i="23" a="1"/>
  <c r="E237" i="23" s="1"/>
  <c r="G241" i="23" a="1"/>
  <c r="G241" i="23" s="1"/>
  <c r="E245" i="23" a="1"/>
  <c r="E245" i="23" s="1"/>
  <c r="E230" i="23" a="1"/>
  <c r="E230" i="23" s="1"/>
  <c r="H235" i="23" a="1"/>
  <c r="H235" i="23" s="1"/>
  <c r="F243" i="23" a="1"/>
  <c r="F243" i="23" s="1"/>
  <c r="F235" i="23" a="1"/>
  <c r="F235" i="23" s="1"/>
  <c r="H239" i="23" a="1"/>
  <c r="H239" i="23" s="1"/>
  <c r="F245" i="23" a="1"/>
  <c r="F245" i="23" s="1"/>
  <c r="F232" i="23" a="1"/>
  <c r="F232" i="23" s="1"/>
  <c r="E231" i="23" a="1"/>
  <c r="E231" i="23" s="1"/>
  <c r="H234" i="23" a="1"/>
  <c r="H234" i="23" s="1"/>
  <c r="H243" i="23" a="1"/>
  <c r="H243" i="23" s="1"/>
  <c r="G213" i="23" a="1"/>
  <c r="G213" i="23" s="1"/>
  <c r="G191" i="23" a="1"/>
  <c r="G191" i="23" s="1"/>
  <c r="H193" i="23" a="1"/>
  <c r="H193" i="23" s="1"/>
  <c r="E196" i="23" a="1"/>
  <c r="E196" i="23" s="1"/>
  <c r="H202" i="23" a="1"/>
  <c r="H202" i="23" s="1"/>
  <c r="E201" i="23" a="1"/>
  <c r="E201" i="23" s="1"/>
  <c r="G189" i="23" a="1"/>
  <c r="G189" i="23" s="1"/>
  <c r="E189" i="23" a="1"/>
  <c r="E189" i="23" s="1"/>
  <c r="E200" i="23" a="1"/>
  <c r="E200" i="23" s="1"/>
  <c r="H180" i="23" a="1"/>
  <c r="H180" i="23" s="1"/>
  <c r="G185" i="23" a="1"/>
  <c r="G185" i="23" s="1"/>
  <c r="G182" i="23" a="1"/>
  <c r="G182" i="23" s="1"/>
  <c r="H182" i="23" a="1"/>
  <c r="H182" i="23" s="1"/>
  <c r="E179" i="23" a="1"/>
  <c r="E179" i="23" s="1"/>
  <c r="F185" i="23" a="1"/>
  <c r="F185" i="23" s="1"/>
  <c r="E174" i="23" a="1"/>
  <c r="E174" i="23" s="1"/>
  <c r="G172" i="23" a="1"/>
  <c r="G172" i="23" s="1"/>
  <c r="E171" i="23" a="1"/>
  <c r="E171" i="23" s="1"/>
  <c r="G170" i="23" a="1"/>
  <c r="G170" i="23" s="1"/>
  <c r="E160" i="23" a="1"/>
  <c r="E160" i="23" s="1"/>
  <c r="F167" i="23" a="1"/>
  <c r="F167" i="23" s="1"/>
  <c r="E166" i="23" a="1"/>
  <c r="E166" i="23" s="1"/>
  <c r="G169" i="23" a="1"/>
  <c r="G169" i="23" s="1"/>
  <c r="E102" i="23" a="1"/>
  <c r="E102" i="23" s="1"/>
  <c r="H67" i="23" a="1"/>
  <c r="H67" i="23" s="1"/>
  <c r="F113" i="23" a="1"/>
  <c r="F113" i="23" s="1"/>
  <c r="F144" i="23" a="1"/>
  <c r="F144" i="23" s="1"/>
  <c r="H111" i="23" a="1"/>
  <c r="H111" i="23" s="1"/>
  <c r="E106" i="23" a="1"/>
  <c r="E106" i="23" s="1"/>
  <c r="H131" i="23" a="1"/>
  <c r="H131" i="23" s="1"/>
  <c r="G159" i="23" a="1"/>
  <c r="G159" i="23" s="1"/>
  <c r="F152" i="23" a="1"/>
  <c r="F152" i="23" s="1"/>
  <c r="H122" i="23" a="1"/>
  <c r="H122" i="23" s="1"/>
  <c r="G127" i="23" a="1"/>
  <c r="G127" i="23" s="1"/>
  <c r="G139" i="23" a="1"/>
  <c r="G139" i="23" s="1"/>
  <c r="F115" i="23" a="1"/>
  <c r="F115" i="23" s="1"/>
  <c r="H123" i="23" a="1"/>
  <c r="H123" i="23" s="1"/>
  <c r="F118" i="23" a="1"/>
  <c r="F118" i="23" s="1"/>
  <c r="G49" i="23" a="1"/>
  <c r="G49" i="23" s="1"/>
  <c r="F128" i="23" a="1"/>
  <c r="F128" i="23" s="1"/>
  <c r="H145" i="23" a="1"/>
  <c r="H145" i="23" s="1"/>
  <c r="F94" i="23" a="1"/>
  <c r="F94" i="23" s="1"/>
  <c r="F159" i="23" a="1"/>
  <c r="F159" i="23" s="1"/>
  <c r="E113" i="23" a="1"/>
  <c r="E113" i="23" s="1"/>
  <c r="G120" i="23" a="1"/>
  <c r="G120" i="23" s="1"/>
  <c r="G149" i="23" a="1"/>
  <c r="G149" i="23" s="1"/>
  <c r="H113" i="23" a="1"/>
  <c r="H113" i="23" s="1"/>
  <c r="H51" i="23" a="1"/>
  <c r="H51" i="23" s="1"/>
  <c r="H137" i="23" a="1"/>
  <c r="H137" i="23" s="1"/>
  <c r="G27" i="23" a="1"/>
  <c r="G27" i="23" s="1"/>
  <c r="G110" i="23" a="1"/>
  <c r="G110" i="23" s="1"/>
  <c r="H116" i="23" a="1"/>
  <c r="H116" i="23" s="1"/>
  <c r="H11" i="23" a="1"/>
  <c r="H11" i="23" s="1"/>
  <c r="H5" i="23" a="1"/>
  <c r="H5" i="23" s="1"/>
  <c r="E26" i="23" a="1"/>
  <c r="E26" i="23" s="1"/>
  <c r="F187" i="23" a="1"/>
  <c r="F187" i="23" s="1"/>
  <c r="F199" i="23" a="1"/>
  <c r="F199" i="23" s="1"/>
  <c r="G203" i="23" a="1"/>
  <c r="G203" i="23" s="1"/>
  <c r="E194" i="23" a="1"/>
  <c r="E194" i="23" s="1"/>
  <c r="F193" i="23" a="1"/>
  <c r="F193" i="23" s="1"/>
  <c r="F191" i="23" a="1"/>
  <c r="F191" i="23" s="1"/>
  <c r="G187" i="23" a="1"/>
  <c r="G187" i="23" s="1"/>
  <c r="F200" i="23" a="1"/>
  <c r="F200" i="23" s="1"/>
  <c r="H196" i="23" a="1"/>
  <c r="H196" i="23" s="1"/>
  <c r="E175" i="23" a="1"/>
  <c r="E175" i="23" s="1"/>
  <c r="E184" i="23" a="1"/>
  <c r="E184" i="23" s="1"/>
  <c r="F179" i="23" a="1"/>
  <c r="F179" i="23" s="1"/>
  <c r="E178" i="23" a="1"/>
  <c r="E178" i="23" s="1"/>
  <c r="H176" i="23" a="1"/>
  <c r="H176" i="23" s="1"/>
  <c r="H179" i="23" a="1"/>
  <c r="H179" i="23" s="1"/>
  <c r="E162" i="23" a="1"/>
  <c r="E162" i="23" s="1"/>
  <c r="E164" i="23" a="1"/>
  <c r="E164" i="23" s="1"/>
  <c r="H167" i="23" a="1"/>
  <c r="H167" i="23" s="1"/>
  <c r="H173" i="23" a="1"/>
  <c r="H173" i="23" s="1"/>
  <c r="G174" i="23" a="1"/>
  <c r="G174" i="23" s="1"/>
  <c r="E173" i="23" a="1"/>
  <c r="E173" i="23" s="1"/>
  <c r="G148" i="23" a="1"/>
  <c r="G148" i="23" s="1"/>
  <c r="E125" i="23" a="1"/>
  <c r="E125" i="23" s="1"/>
  <c r="H98" i="23" a="1"/>
  <c r="H98" i="23" s="1"/>
  <c r="H132" i="23" a="1"/>
  <c r="H132" i="23" s="1"/>
  <c r="G56" i="23" a="1"/>
  <c r="G56" i="23" s="1"/>
  <c r="G144" i="23" a="1"/>
  <c r="G144" i="23" s="1"/>
  <c r="G117" i="23" a="1"/>
  <c r="G117" i="23" s="1"/>
  <c r="F131" i="23" a="1"/>
  <c r="F131" i="23" s="1"/>
  <c r="E111" i="23" a="1"/>
  <c r="E111" i="23" s="1"/>
  <c r="G142" i="23" a="1"/>
  <c r="G142" i="23" s="1"/>
  <c r="G109" i="23" a="1"/>
  <c r="G109" i="23" s="1"/>
  <c r="E158" i="23" a="1"/>
  <c r="E158" i="23" s="1"/>
  <c r="F139" i="23" a="1"/>
  <c r="F139" i="23" s="1"/>
  <c r="F103" i="23" a="1"/>
  <c r="F103" i="23" s="1"/>
  <c r="H158" i="23" a="1"/>
  <c r="H158" i="23" s="1"/>
  <c r="H127" i="23" a="1"/>
  <c r="H127" i="23" s="1"/>
  <c r="F114" i="23" a="1"/>
  <c r="F114" i="23" s="1"/>
  <c r="G121" i="23" a="1"/>
  <c r="G121" i="23" s="1"/>
  <c r="E141" i="23" a="1"/>
  <c r="E141" i="23" s="1"/>
  <c r="E136" i="23" a="1"/>
  <c r="E136" i="23" s="1"/>
  <c r="F98" i="23" a="1"/>
  <c r="F98" i="23" s="1"/>
  <c r="G88" i="23" a="1"/>
  <c r="G88" i="23" s="1"/>
  <c r="H114" i="23" a="1"/>
  <c r="H114" i="23" s="1"/>
  <c r="F68" i="23" a="1"/>
  <c r="F68" i="23" s="1"/>
  <c r="E53" i="23" a="1"/>
  <c r="E53" i="23" s="1"/>
  <c r="E109" i="23" a="1"/>
  <c r="E109" i="23" s="1"/>
  <c r="F39" i="23" a="1"/>
  <c r="F39" i="23" s="1"/>
  <c r="F30" i="23" a="1"/>
  <c r="F30" i="23" s="1"/>
  <c r="E156" i="23" a="1"/>
  <c r="E156" i="23" s="1"/>
  <c r="H103" i="23" a="1"/>
  <c r="H103" i="23" s="1"/>
  <c r="G17" i="23" a="1"/>
  <c r="G17" i="23" s="1"/>
  <c r="F20" i="23" a="1"/>
  <c r="F20" i="23" s="1"/>
  <c r="E14" i="23" a="1"/>
  <c r="E14" i="23" s="1"/>
  <c r="F12" i="23" a="1"/>
  <c r="F12" i="23" s="1"/>
  <c r="F15" i="23" a="1"/>
  <c r="F15" i="23" s="1"/>
  <c r="G13" i="23" a="1"/>
  <c r="G13" i="23" s="1"/>
  <c r="H115" i="23" a="1"/>
  <c r="H115" i="23" s="1"/>
  <c r="F10" i="23" a="1"/>
  <c r="F10" i="23" s="1"/>
  <c r="E4" i="23" a="1"/>
  <c r="E4" i="23" s="1"/>
  <c r="F32" i="23" a="1"/>
  <c r="F32" i="23" s="1"/>
  <c r="G24" i="23" a="1"/>
  <c r="G24" i="23" s="1"/>
  <c r="E187" i="23" a="1"/>
  <c r="E187" i="23" s="1"/>
  <c r="H190" i="23" a="1"/>
  <c r="H190" i="23" s="1"/>
  <c r="G200" i="23" a="1"/>
  <c r="G200" i="23" s="1"/>
  <c r="G202" i="23" a="1"/>
  <c r="G202" i="23" s="1"/>
  <c r="F203" i="23" a="1"/>
  <c r="F203" i="23" s="1"/>
  <c r="E188" i="23" a="1"/>
  <c r="E188" i="23" s="1"/>
  <c r="E199" i="23" a="1"/>
  <c r="E199" i="23" s="1"/>
  <c r="E195" i="23" a="1"/>
  <c r="E195" i="23" s="1"/>
  <c r="F197" i="23" a="1"/>
  <c r="F197" i="23" s="1"/>
  <c r="G184" i="23" a="1"/>
  <c r="G184" i="23" s="1"/>
  <c r="F175" i="23" a="1"/>
  <c r="F175" i="23" s="1"/>
  <c r="G180" i="23" a="1"/>
  <c r="G180" i="23" s="1"/>
  <c r="H177" i="23" a="1"/>
  <c r="H177" i="23" s="1"/>
  <c r="G178" i="23" a="1"/>
  <c r="G178" i="23" s="1"/>
  <c r="H171" i="23" a="1"/>
  <c r="H171" i="23" s="1"/>
  <c r="F162" i="23" a="1"/>
  <c r="F162" i="23" s="1"/>
  <c r="F166" i="23" a="1"/>
  <c r="F166" i="23" s="1"/>
  <c r="G163" i="23" a="1"/>
  <c r="G163" i="23" s="1"/>
  <c r="E157" i="23" a="1"/>
  <c r="E157" i="23" s="1"/>
  <c r="F108" i="23" a="1"/>
  <c r="F108" i="23" s="1"/>
  <c r="E108" i="23" a="1"/>
  <c r="E108" i="23" s="1"/>
  <c r="E146" i="23" a="1"/>
  <c r="E146" i="23" s="1"/>
  <c r="G118" i="23" a="1"/>
  <c r="G118" i="23" s="1"/>
  <c r="H155" i="23" a="1"/>
  <c r="H155" i="23" s="1"/>
  <c r="E152" i="23" a="1"/>
  <c r="E152" i="23" s="1"/>
  <c r="E80" i="23" a="1"/>
  <c r="E80" i="23" s="1"/>
  <c r="G130" i="23" a="1"/>
  <c r="G130" i="23" s="1"/>
  <c r="F147" i="23" a="1"/>
  <c r="F147" i="23" s="1"/>
  <c r="F126" i="23" a="1"/>
  <c r="F126" i="23" s="1"/>
  <c r="F153" i="23" a="1"/>
  <c r="F153" i="23" s="1"/>
  <c r="E120" i="23" a="1"/>
  <c r="E120" i="23" s="1"/>
  <c r="E137" i="23" a="1"/>
  <c r="E137" i="23" s="1"/>
  <c r="E130" i="23" a="1"/>
  <c r="E130" i="23" s="1"/>
  <c r="H130" i="23" a="1"/>
  <c r="H130" i="23" s="1"/>
  <c r="E124" i="23" a="1"/>
  <c r="E124" i="23" s="1"/>
  <c r="E2" i="23" a="1"/>
  <c r="E2" i="23" s="1"/>
  <c r="H73" i="23" a="1"/>
  <c r="H73" i="23" s="1"/>
  <c r="F150" i="23" a="1"/>
  <c r="F150" i="23" s="1"/>
  <c r="H157" i="23" a="1"/>
  <c r="H157" i="23" s="1"/>
  <c r="H107" i="23" a="1"/>
  <c r="H107" i="23" s="1"/>
  <c r="H55" i="23" a="1"/>
  <c r="H55" i="23" s="1"/>
  <c r="E143" i="23" a="1"/>
  <c r="E143" i="23" s="1"/>
  <c r="H102" i="23" a="1"/>
  <c r="H102" i="23" s="1"/>
  <c r="H28" i="23" a="1"/>
  <c r="H28" i="23" s="1"/>
  <c r="F132" i="23" a="1"/>
  <c r="F132" i="23" s="1"/>
  <c r="H15" i="23" a="1"/>
  <c r="H15" i="23" s="1"/>
  <c r="G94" i="23" a="1"/>
  <c r="G94" i="23" s="1"/>
  <c r="E78" i="23" a="1"/>
  <c r="E78" i="23" s="1"/>
  <c r="G5" i="23" a="1"/>
  <c r="G5" i="23" s="1"/>
  <c r="F8" i="23" a="1"/>
  <c r="F8" i="23" s="1"/>
  <c r="E97" i="23" a="1"/>
  <c r="E97" i="23" s="1"/>
  <c r="H104" i="23" a="1"/>
  <c r="H104" i="23" s="1"/>
  <c r="F102" i="23" a="1"/>
  <c r="F102" i="23" s="1"/>
  <c r="G66" i="23" a="1"/>
  <c r="G66" i="23" s="1"/>
  <c r="E16" i="23" a="1"/>
  <c r="E16" i="23" s="1"/>
  <c r="D1" i="23"/>
  <c r="F201" i="23" a="1"/>
  <c r="F201" i="23" s="1"/>
  <c r="G196" i="23" a="1"/>
  <c r="G196" i="23" s="1"/>
  <c r="G199" i="23" a="1"/>
  <c r="G199" i="23" s="1"/>
  <c r="E192" i="23" a="1"/>
  <c r="E192" i="23" s="1"/>
  <c r="E190" i="23" a="1"/>
  <c r="E190" i="23" s="1"/>
  <c r="F190" i="23" a="1"/>
  <c r="F190" i="23" s="1"/>
  <c r="G193" i="23" a="1"/>
  <c r="G193" i="23" s="1"/>
  <c r="F188" i="23" a="1"/>
  <c r="F188" i="23" s="1"/>
  <c r="F186" i="23" a="1"/>
  <c r="F186" i="23" s="1"/>
  <c r="G176" i="23" a="1"/>
  <c r="G176" i="23" s="1"/>
  <c r="E185" i="23" a="1"/>
  <c r="E185" i="23" s="1"/>
  <c r="G179" i="23" a="1"/>
  <c r="G179" i="23" s="1"/>
  <c r="E176" i="23" a="1"/>
  <c r="E176" i="23" s="1"/>
  <c r="G177" i="23" a="1"/>
  <c r="G177" i="23" s="1"/>
  <c r="H161" i="23" a="1"/>
  <c r="H161" i="23" s="1"/>
  <c r="F173" i="23" a="1"/>
  <c r="F173" i="23" s="1"/>
  <c r="H172" i="23" a="1"/>
  <c r="H172" i="23" s="1"/>
  <c r="E172" i="23" a="1"/>
  <c r="E172" i="23" s="1"/>
  <c r="H170" i="23" a="1"/>
  <c r="H170" i="23" s="1"/>
  <c r="F163" i="23" a="1"/>
  <c r="F163" i="23" s="1"/>
  <c r="H166" i="23" a="1"/>
  <c r="H166" i="23" s="1"/>
  <c r="G171" i="23" a="1"/>
  <c r="G171" i="23" s="1"/>
  <c r="H168" i="23" a="1"/>
  <c r="H168" i="23" s="1"/>
  <c r="G168" i="23" a="1"/>
  <c r="G168" i="23" s="1"/>
  <c r="F109" i="23" a="1"/>
  <c r="F109" i="23" s="1"/>
  <c r="H86" i="23" a="1"/>
  <c r="H86" i="23" s="1"/>
  <c r="H53" i="23" a="1"/>
  <c r="H53" i="23" s="1"/>
  <c r="E107" i="23" a="1"/>
  <c r="E107" i="23" s="1"/>
  <c r="F105" i="23" a="1"/>
  <c r="F105" i="23" s="1"/>
  <c r="G122" i="23" a="1"/>
  <c r="G122" i="23" s="1"/>
  <c r="G129" i="23" a="1"/>
  <c r="G129" i="23" s="1"/>
  <c r="H46" i="23" a="1"/>
  <c r="H46" i="23" s="1"/>
  <c r="F154" i="23" a="1"/>
  <c r="F154" i="23" s="1"/>
  <c r="H141" i="23" a="1"/>
  <c r="H141" i="23" s="1"/>
  <c r="F116" i="23" a="1"/>
  <c r="F116" i="23" s="1"/>
  <c r="F130" i="23" a="1"/>
  <c r="F130" i="23" s="1"/>
  <c r="H133" i="23" a="1"/>
  <c r="H133" i="23" s="1"/>
  <c r="E112" i="23" a="1"/>
  <c r="E112" i="23" s="1"/>
  <c r="F2" i="23" a="1"/>
  <c r="F2" i="23" s="1"/>
  <c r="E58" i="23" a="1"/>
  <c r="E58" i="23" s="1"/>
  <c r="H149" i="23" a="1"/>
  <c r="H149" i="23" s="1"/>
  <c r="F125" i="23" a="1"/>
  <c r="F125" i="23" s="1"/>
  <c r="E150" i="23" a="1"/>
  <c r="E150" i="23" s="1"/>
  <c r="F145" i="23" a="1"/>
  <c r="F145" i="23" s="1"/>
  <c r="H109" i="23" a="1"/>
  <c r="H109" i="23" s="1"/>
  <c r="H156" i="23" a="1"/>
  <c r="H156" i="23" s="1"/>
  <c r="G91" i="23" a="1"/>
  <c r="G91" i="23" s="1"/>
  <c r="H52" i="23" a="1"/>
  <c r="H52" i="23" s="1"/>
  <c r="E144" i="23" a="1"/>
  <c r="E144" i="23" s="1"/>
  <c r="F156" i="23" a="1"/>
  <c r="F156" i="23" s="1"/>
  <c r="G106" i="23" a="1"/>
  <c r="G106" i="23" s="1"/>
  <c r="H41" i="23" a="1"/>
  <c r="H41" i="23" s="1"/>
  <c r="E119" i="23" a="1"/>
  <c r="E119" i="23" s="1"/>
  <c r="F117" i="23" a="1"/>
  <c r="F117" i="23" s="1"/>
  <c r="H96" i="23" a="1"/>
  <c r="H96" i="23" s="1"/>
  <c r="G81" i="23" a="1"/>
  <c r="G81" i="23" s="1"/>
  <c r="F69" i="23" a="1"/>
  <c r="F69" i="23" s="1"/>
  <c r="E93" i="23" a="1"/>
  <c r="E93" i="23" s="1"/>
  <c r="H90" i="23" a="1"/>
  <c r="H90" i="23" s="1"/>
  <c r="E86" i="23" a="1"/>
  <c r="E86" i="23" s="1"/>
  <c r="E88" i="23" a="1"/>
  <c r="E88" i="23" s="1"/>
  <c r="F92" i="23" a="1"/>
  <c r="F92" i="23" s="1"/>
  <c r="E77" i="23" a="1"/>
  <c r="E77" i="23" s="1"/>
  <c r="F196" i="23" a="1"/>
  <c r="F196" i="23" s="1"/>
  <c r="E193" i="23" a="1"/>
  <c r="E193" i="23" s="1"/>
  <c r="H187" i="23" a="1"/>
  <c r="H187" i="23" s="1"/>
  <c r="G198" i="23" a="1"/>
  <c r="G198" i="23" s="1"/>
  <c r="H191" i="23" a="1"/>
  <c r="H191" i="23" s="1"/>
  <c r="H200" i="23" a="1"/>
  <c r="H200" i="23" s="1"/>
  <c r="E203" i="23" a="1"/>
  <c r="E203" i="23" s="1"/>
  <c r="H178" i="23" a="1"/>
  <c r="H178" i="23" s="1"/>
  <c r="F183" i="23" a="1"/>
  <c r="F183" i="23" s="1"/>
  <c r="F178" i="23" a="1"/>
  <c r="F178" i="23" s="1"/>
  <c r="G181" i="23" a="1"/>
  <c r="G181" i="23" s="1"/>
  <c r="F182" i="23" a="1"/>
  <c r="F182" i="23" s="1"/>
  <c r="G183" i="23" a="1"/>
  <c r="G183" i="23" s="1"/>
  <c r="F170" i="23" a="1"/>
  <c r="F170" i="23" s="1"/>
  <c r="F172" i="23" a="1"/>
  <c r="F172" i="23" s="1"/>
  <c r="G165" i="23" a="1"/>
  <c r="G165" i="23" s="1"/>
  <c r="F168" i="23" a="1"/>
  <c r="F168" i="23" s="1"/>
  <c r="E163" i="23" a="1"/>
  <c r="E163" i="23" s="1"/>
  <c r="F161" i="23" a="1"/>
  <c r="F161" i="23" s="1"/>
  <c r="F174" i="23" a="1"/>
  <c r="F174" i="23" s="1"/>
  <c r="E167" i="23" a="1"/>
  <c r="E167" i="23" s="1"/>
  <c r="E165" i="23" a="1"/>
  <c r="E165" i="23" s="1"/>
  <c r="G162" i="23" a="1"/>
  <c r="G162" i="23" s="1"/>
  <c r="H9" i="23" a="1"/>
  <c r="H9" i="23" s="1"/>
  <c r="E153" i="23" a="1"/>
  <c r="E153" i="23" s="1"/>
  <c r="G158" i="23" a="1"/>
  <c r="G158" i="23" s="1"/>
  <c r="E154" i="23" a="1"/>
  <c r="E154" i="23" s="1"/>
  <c r="H119" i="23" a="1"/>
  <c r="H119" i="23" s="1"/>
  <c r="G65" i="23" a="1"/>
  <c r="G65" i="23" s="1"/>
  <c r="H142" i="23" a="1"/>
  <c r="H142" i="23" s="1"/>
  <c r="G104" i="23" a="1"/>
  <c r="G104" i="23" s="1"/>
  <c r="G150" i="23" a="1"/>
  <c r="G150" i="23" s="1"/>
  <c r="H147" i="23" a="1"/>
  <c r="H147" i="23" s="1"/>
  <c r="G59" i="23" a="1"/>
  <c r="G59" i="23" s="1"/>
  <c r="H81" i="23" a="1"/>
  <c r="H81" i="23" s="1"/>
  <c r="E7" i="23" a="1"/>
  <c r="E7" i="23" s="1"/>
  <c r="H128" i="23" a="1"/>
  <c r="H128" i="23" s="1"/>
  <c r="H134" i="23" a="1"/>
  <c r="H134" i="23" s="1"/>
  <c r="F77" i="23" a="1"/>
  <c r="F77" i="23" s="1"/>
  <c r="E116" i="23" a="1"/>
  <c r="E116" i="23" s="1"/>
  <c r="F45" i="23" a="1"/>
  <c r="F45" i="23" s="1"/>
  <c r="E128" i="23" a="1"/>
  <c r="E128" i="23" s="1"/>
  <c r="F40" i="23" a="1"/>
  <c r="F40" i="23" s="1"/>
  <c r="E142" i="23" a="1"/>
  <c r="E142" i="23" s="1"/>
  <c r="E133" i="23" a="1"/>
  <c r="E133" i="23" s="1"/>
  <c r="F13" i="23" a="1"/>
  <c r="F13" i="23" s="1"/>
  <c r="G93" i="23" a="1"/>
  <c r="G93" i="23" s="1"/>
  <c r="F134" i="23" a="1"/>
  <c r="F134" i="23" s="1"/>
  <c r="H16" i="23" a="1"/>
  <c r="H16" i="23" s="1"/>
  <c r="H56" i="23" a="1"/>
  <c r="H56" i="23" s="1"/>
  <c r="H79" i="23" a="1"/>
  <c r="H79" i="23" s="1"/>
  <c r="G75" i="23" a="1"/>
  <c r="G75" i="23" s="1"/>
  <c r="G79" i="23" a="1"/>
  <c r="G79" i="23" s="1"/>
  <c r="F76" i="23" a="1"/>
  <c r="F76" i="23" s="1"/>
  <c r="H136" i="23" a="1"/>
  <c r="H136" i="23" s="1"/>
  <c r="E105" i="23" a="1"/>
  <c r="E105" i="23" s="1"/>
  <c r="H203" i="23" a="1"/>
  <c r="H203" i="23" s="1"/>
  <c r="F202" i="23" a="1"/>
  <c r="F202" i="23" s="1"/>
  <c r="F195" i="23" a="1"/>
  <c r="F195" i="23" s="1"/>
  <c r="H188" i="23" a="1"/>
  <c r="H188" i="23" s="1"/>
  <c r="G197" i="23" a="1"/>
  <c r="G197" i="23" s="1"/>
  <c r="H198" i="23" a="1"/>
  <c r="H198" i="23" s="1"/>
  <c r="H197" i="23" a="1"/>
  <c r="H197" i="23" s="1"/>
  <c r="E191" i="23" a="1"/>
  <c r="E191" i="23" s="1"/>
  <c r="G186" i="23" a="1"/>
  <c r="G186" i="23" s="1"/>
  <c r="H195" i="23" a="1"/>
  <c r="H195" i="23" s="1"/>
  <c r="H175" i="23" a="1"/>
  <c r="H175" i="23" s="1"/>
  <c r="F184" i="23" a="1"/>
  <c r="F184" i="23" s="1"/>
  <c r="F177" i="23" a="1"/>
  <c r="F177" i="23" s="1"/>
  <c r="H184" i="23" a="1"/>
  <c r="H184" i="23" s="1"/>
  <c r="H185" i="23" a="1"/>
  <c r="H185" i="23" s="1"/>
  <c r="E181" i="23" a="1"/>
  <c r="E181" i="23" s="1"/>
  <c r="E180" i="23" a="1"/>
  <c r="E180" i="23" s="1"/>
  <c r="G164" i="23" a="1"/>
  <c r="G164" i="23" s="1"/>
  <c r="G173" i="23" a="1"/>
  <c r="G173" i="23" s="1"/>
  <c r="E169" i="23" a="1"/>
  <c r="E169" i="23" s="1"/>
  <c r="H169" i="23" a="1"/>
  <c r="H169" i="23" s="1"/>
  <c r="G161" i="23" a="1"/>
  <c r="G161" i="23" s="1"/>
  <c r="E161" i="23" a="1"/>
  <c r="E161" i="23" s="1"/>
  <c r="G167" i="23" a="1"/>
  <c r="G167" i="23" s="1"/>
  <c r="H163" i="23" a="1"/>
  <c r="H163" i="23" s="1"/>
  <c r="H189" i="23" a="1"/>
  <c r="H189" i="23" s="1"/>
  <c r="E186" i="23" a="1"/>
  <c r="E186" i="23" s="1"/>
  <c r="H199" i="23" a="1"/>
  <c r="H199" i="23" s="1"/>
  <c r="F192" i="23" a="1"/>
  <c r="F192" i="23" s="1"/>
  <c r="H186" i="23" a="1"/>
  <c r="H186" i="23" s="1"/>
  <c r="G195" i="23" a="1"/>
  <c r="G195" i="23" s="1"/>
  <c r="H192" i="23" a="1"/>
  <c r="H192" i="23" s="1"/>
  <c r="H201" i="23" a="1"/>
  <c r="H201" i="23" s="1"/>
  <c r="E198" i="23" a="1"/>
  <c r="E198" i="23" s="1"/>
  <c r="E202" i="23" a="1"/>
  <c r="E202" i="23" s="1"/>
  <c r="E183" i="23" a="1"/>
  <c r="E183" i="23" s="1"/>
  <c r="E177" i="23" a="1"/>
  <c r="E177" i="23" s="1"/>
  <c r="G175" i="23" a="1"/>
  <c r="G175" i="23" s="1"/>
  <c r="H183" i="23" a="1"/>
  <c r="H183" i="23" s="1"/>
  <c r="H181" i="23" a="1"/>
  <c r="H181" i="23" s="1"/>
  <c r="H162" i="23" a="1"/>
  <c r="H162" i="23" s="1"/>
  <c r="H174" i="23" a="1"/>
  <c r="H174" i="23" s="1"/>
  <c r="H160" i="23" a="1"/>
  <c r="H160" i="23" s="1"/>
  <c r="F160" i="23" a="1"/>
  <c r="F160" i="23" s="1"/>
  <c r="F171" i="23" a="1"/>
  <c r="F171" i="23" s="1"/>
  <c r="H143" i="23" a="1"/>
  <c r="H143" i="23" s="1"/>
  <c r="G125" i="23" a="1"/>
  <c r="G125" i="23" s="1"/>
  <c r="F149" i="23" a="1"/>
  <c r="F149" i="23" s="1"/>
  <c r="G132" i="23" a="1"/>
  <c r="G132" i="23" s="1"/>
  <c r="G138" i="23" a="1"/>
  <c r="G138" i="23" s="1"/>
  <c r="H87" i="23" a="1"/>
  <c r="H87" i="23" s="1"/>
  <c r="F142" i="23" a="1"/>
  <c r="F142" i="23" s="1"/>
  <c r="G3" i="23" a="1"/>
  <c r="G3" i="23" s="1"/>
  <c r="E122" i="23" a="1"/>
  <c r="E122" i="23" s="1"/>
  <c r="H118" i="23" a="1"/>
  <c r="H118" i="23" s="1"/>
  <c r="F148" i="23" a="1"/>
  <c r="F148" i="23" s="1"/>
  <c r="F80" i="23" a="1"/>
  <c r="F80" i="23" s="1"/>
  <c r="G108" i="23" a="1"/>
  <c r="G108" i="23" s="1"/>
  <c r="G141" i="23" a="1"/>
  <c r="G141" i="23" s="1"/>
  <c r="H117" i="23" a="1"/>
  <c r="H117" i="23" s="1"/>
  <c r="E149" i="23" a="1"/>
  <c r="E149" i="23" s="1"/>
  <c r="H120" i="23" a="1"/>
  <c r="H120" i="23" s="1"/>
  <c r="H151" i="23" a="1"/>
  <c r="H151" i="23" s="1"/>
  <c r="F106" i="23" a="1"/>
  <c r="F106" i="23" s="1"/>
  <c r="F138" i="23" a="1"/>
  <c r="F138" i="23" s="1"/>
  <c r="E100" i="23" a="1"/>
  <c r="E100" i="23" s="1"/>
  <c r="H70" i="23" a="1"/>
  <c r="H70" i="23" s="1"/>
  <c r="G156" i="23" a="1"/>
  <c r="G156" i="23" s="1"/>
  <c r="E66" i="23" a="1"/>
  <c r="E66" i="23" s="1"/>
  <c r="H101" i="23" a="1"/>
  <c r="H101" i="23" s="1"/>
  <c r="F59" i="23" a="1"/>
  <c r="F59" i="23" s="1"/>
  <c r="H20" i="23" a="1"/>
  <c r="H20" i="23" s="1"/>
  <c r="F93" i="23" a="1"/>
  <c r="F93" i="23" s="1"/>
  <c r="F35" i="23" a="1"/>
  <c r="F35" i="23" s="1"/>
  <c r="E140" i="23" a="1"/>
  <c r="E140" i="23" s="1"/>
  <c r="G107" i="23" a="1"/>
  <c r="G107" i="23" s="1"/>
  <c r="E155" i="23" a="1"/>
  <c r="E155" i="23" s="1"/>
  <c r="H38" i="23" a="1"/>
  <c r="H38" i="23" s="1"/>
  <c r="E31" i="23" a="1"/>
  <c r="E31" i="23" s="1"/>
  <c r="H57" i="23" a="1"/>
  <c r="H57" i="23" s="1"/>
  <c r="F50" i="23" a="1"/>
  <c r="F50" i="23" s="1"/>
  <c r="G51" i="23" a="1"/>
  <c r="G51" i="23" s="1"/>
  <c r="F54" i="23" a="1"/>
  <c r="F54" i="23" s="1"/>
  <c r="G111" i="23" a="1"/>
  <c r="G111" i="23" s="1"/>
  <c r="H148" i="23" a="1"/>
  <c r="H148" i="23" s="1"/>
  <c r="H42" i="23" a="1"/>
  <c r="H42" i="23" s="1"/>
  <c r="E69" i="23" a="1"/>
  <c r="E69" i="23" s="1"/>
  <c r="F198" i="23" a="1"/>
  <c r="F198" i="23" s="1"/>
  <c r="G188" i="23" a="1"/>
  <c r="G188" i="23" s="1"/>
  <c r="G166" i="23" a="1"/>
  <c r="G166" i="23" s="1"/>
  <c r="E114" i="23" a="1"/>
  <c r="E114" i="23" s="1"/>
  <c r="F107" i="23" a="1"/>
  <c r="F107" i="23" s="1"/>
  <c r="F38" i="23" a="1"/>
  <c r="F38" i="23" s="1"/>
  <c r="E117" i="23" a="1"/>
  <c r="E117" i="23" s="1"/>
  <c r="G97" i="23" a="1"/>
  <c r="G97" i="23" s="1"/>
  <c r="H124" i="23" a="1"/>
  <c r="H124" i="23" s="1"/>
  <c r="E19" i="23" a="1"/>
  <c r="E19" i="23" s="1"/>
  <c r="F64" i="23" a="1"/>
  <c r="F64" i="23" s="1"/>
  <c r="H152" i="23" a="1"/>
  <c r="H152" i="23" s="1"/>
  <c r="H18" i="23" a="1"/>
  <c r="H18" i="23" s="1"/>
  <c r="E96" i="23" a="1"/>
  <c r="E96" i="23" s="1"/>
  <c r="G103" i="23" a="1"/>
  <c r="G103" i="23" s="1"/>
  <c r="F101" i="23" a="1"/>
  <c r="F101" i="23" s="1"/>
  <c r="H146" i="23" a="1"/>
  <c r="H146" i="23" s="1"/>
  <c r="E118" i="23" a="1"/>
  <c r="E118" i="23" s="1"/>
  <c r="E151" i="23" a="1"/>
  <c r="E151" i="23" s="1"/>
  <c r="G126" i="23" a="1"/>
  <c r="G126" i="23" s="1"/>
  <c r="G22" i="23" a="1"/>
  <c r="G22" i="23" s="1"/>
  <c r="F16" i="23" a="1"/>
  <c r="F16" i="23" s="1"/>
  <c r="F42" i="23" a="1"/>
  <c r="F42" i="23" s="1"/>
  <c r="G36" i="23" a="1"/>
  <c r="G36" i="23" s="1"/>
  <c r="G37" i="23" a="1"/>
  <c r="G37" i="23" s="1"/>
  <c r="F90" i="23" a="1"/>
  <c r="F90" i="23" s="1"/>
  <c r="G98" i="23" a="1"/>
  <c r="G98" i="23" s="1"/>
  <c r="H3" i="23" a="1"/>
  <c r="H3" i="23" s="1"/>
  <c r="G101" i="23" a="1"/>
  <c r="G101" i="23" s="1"/>
  <c r="F104" i="23" a="1"/>
  <c r="F104" i="23" s="1"/>
  <c r="H138" i="23" a="1"/>
  <c r="H138" i="23" s="1"/>
  <c r="F111" i="23" a="1"/>
  <c r="F111" i="23" s="1"/>
  <c r="G23" i="23" a="1"/>
  <c r="G23" i="23" s="1"/>
  <c r="F26" i="23" a="1"/>
  <c r="F26" i="23" s="1"/>
  <c r="E20" i="23" a="1"/>
  <c r="E20" i="23" s="1"/>
  <c r="F18" i="23" a="1"/>
  <c r="F18" i="23" s="1"/>
  <c r="F21" i="23" a="1"/>
  <c r="F21" i="23" s="1"/>
  <c r="E21" i="23" a="1"/>
  <c r="E21" i="23" s="1"/>
  <c r="E110" i="23" a="1"/>
  <c r="E110" i="23" s="1"/>
  <c r="E87" i="23" a="1"/>
  <c r="E87" i="23" s="1"/>
  <c r="H72" i="23" a="1"/>
  <c r="H72" i="23" s="1"/>
  <c r="F96" i="23" a="1"/>
  <c r="F96" i="23" s="1"/>
  <c r="G99" i="23" a="1"/>
  <c r="G99" i="23" s="1"/>
  <c r="H91" i="23" a="1"/>
  <c r="H91" i="23" s="1"/>
  <c r="E99" i="23" a="1"/>
  <c r="E99" i="23" s="1"/>
  <c r="H94" i="23" a="1"/>
  <c r="H94" i="23" s="1"/>
  <c r="H153" i="23" a="1"/>
  <c r="H153" i="23" s="1"/>
  <c r="G123" i="23" a="1"/>
  <c r="G123" i="23" s="1"/>
  <c r="E28" i="23" a="1"/>
  <c r="E28" i="23" s="1"/>
  <c r="F81" i="23" a="1"/>
  <c r="F81" i="23" s="1"/>
  <c r="G8" i="23" a="1"/>
  <c r="G8" i="23" s="1"/>
  <c r="F11" i="23" a="1"/>
  <c r="F11" i="23" s="1"/>
  <c r="E5" i="23" a="1"/>
  <c r="E5" i="23" s="1"/>
  <c r="F3" i="23" a="1"/>
  <c r="F3" i="23" s="1"/>
  <c r="H4" i="23" a="1"/>
  <c r="H4" i="23" s="1"/>
  <c r="F99" i="23" a="1"/>
  <c r="F99" i="23" s="1"/>
  <c r="G62" i="23" a="1"/>
  <c r="G62" i="23" s="1"/>
  <c r="F85" i="23" a="1"/>
  <c r="F85" i="23" s="1"/>
  <c r="F87" i="23" a="1"/>
  <c r="F87" i="23" s="1"/>
  <c r="G155" i="23" a="1"/>
  <c r="G155" i="23" s="1"/>
  <c r="H84" i="23" a="1"/>
  <c r="H84" i="23" s="1"/>
  <c r="F95" i="23" a="1"/>
  <c r="F95" i="23" s="1"/>
  <c r="G89" i="23" a="1"/>
  <c r="G89" i="23" s="1"/>
  <c r="G201" i="23" a="1"/>
  <c r="G201" i="23" s="1"/>
  <c r="G192" i="23" a="1"/>
  <c r="G192" i="23" s="1"/>
  <c r="E170" i="23" a="1"/>
  <c r="E170" i="23" s="1"/>
  <c r="F164" i="23" a="1"/>
  <c r="F164" i="23" s="1"/>
  <c r="E82" i="23" a="1"/>
  <c r="E82" i="23" s="1"/>
  <c r="F136" i="23" a="1"/>
  <c r="F136" i="23" s="1"/>
  <c r="G128" i="23" a="1"/>
  <c r="G128" i="23" s="1"/>
  <c r="H150" i="23" a="1"/>
  <c r="H150" i="23" s="1"/>
  <c r="E48" i="23" a="1"/>
  <c r="E48" i="23" s="1"/>
  <c r="G147" i="23" a="1"/>
  <c r="G147" i="23" s="1"/>
  <c r="G71" i="23" a="1"/>
  <c r="G71" i="23" s="1"/>
  <c r="F70" i="23" a="1"/>
  <c r="F70" i="23" s="1"/>
  <c r="G40" i="23" a="1"/>
  <c r="G40" i="23" s="1"/>
  <c r="F52" i="23" a="1"/>
  <c r="F52" i="23" s="1"/>
  <c r="F55" i="23" a="1"/>
  <c r="F55" i="23" s="1"/>
  <c r="E84" i="23" a="1"/>
  <c r="E84" i="23" s="1"/>
  <c r="G92" i="23" a="1"/>
  <c r="G92" i="23" s="1"/>
  <c r="E139" i="23" a="1"/>
  <c r="E139" i="23" s="1"/>
  <c r="H106" i="23" a="1"/>
  <c r="H106" i="23" s="1"/>
  <c r="G113" i="23" a="1"/>
  <c r="G113" i="23" s="1"/>
  <c r="G26" i="23" a="1"/>
  <c r="G26" i="23" s="1"/>
  <c r="F29" i="23" a="1"/>
  <c r="F29" i="23" s="1"/>
  <c r="E23" i="23" a="1"/>
  <c r="E23" i="23" s="1"/>
  <c r="G21" i="23" a="1"/>
  <c r="G21" i="23" s="1"/>
  <c r="H25" i="23" a="1"/>
  <c r="H25" i="23" s="1"/>
  <c r="E24" i="23" a="1"/>
  <c r="E24" i="23" s="1"/>
  <c r="E76" i="23" a="1"/>
  <c r="E76" i="23" s="1"/>
  <c r="F65" i="23" a="1"/>
  <c r="F65" i="23" s="1"/>
  <c r="F84" i="23" a="1"/>
  <c r="F84" i="23" s="1"/>
  <c r="G87" i="23" a="1"/>
  <c r="G87" i="23" s="1"/>
  <c r="F89" i="23" a="1"/>
  <c r="F89" i="23" s="1"/>
  <c r="G32" i="23" a="1"/>
  <c r="G32" i="23" s="1"/>
  <c r="H126" i="23" a="1"/>
  <c r="H126" i="23" s="1"/>
  <c r="F62" i="23" a="1"/>
  <c r="F62" i="23" s="1"/>
  <c r="G83" i="23" a="1"/>
  <c r="G83" i="23" s="1"/>
  <c r="G11" i="23" a="1"/>
  <c r="G11" i="23" s="1"/>
  <c r="F14" i="23" a="1"/>
  <c r="F14" i="23" s="1"/>
  <c r="E8" i="23" a="1"/>
  <c r="E8" i="23" s="1"/>
  <c r="G6" i="23" a="1"/>
  <c r="G6" i="23" s="1"/>
  <c r="H7" i="23" a="1"/>
  <c r="H7" i="23" s="1"/>
  <c r="E6" i="23" a="1"/>
  <c r="E6" i="23" s="1"/>
  <c r="G69" i="23" a="1"/>
  <c r="G69" i="23" s="1"/>
  <c r="F82" i="23" a="1"/>
  <c r="F82" i="23" s="1"/>
  <c r="H78" i="23" a="1"/>
  <c r="H78" i="23" s="1"/>
  <c r="H80" i="23" a="1"/>
  <c r="H80" i="23" s="1"/>
  <c r="H71" i="23" a="1"/>
  <c r="H71" i="23" s="1"/>
  <c r="E98" i="23" a="1"/>
  <c r="E98" i="23" s="1"/>
  <c r="E197" i="23" a="1"/>
  <c r="E197" i="23" s="1"/>
  <c r="E182" i="23" a="1"/>
  <c r="E182" i="23" s="1"/>
  <c r="E168" i="23" a="1"/>
  <c r="E168" i="23" s="1"/>
  <c r="E135" i="23" a="1"/>
  <c r="E135" i="23" s="1"/>
  <c r="E123" i="23" a="1"/>
  <c r="E123" i="23" s="1"/>
  <c r="F112" i="23" a="1"/>
  <c r="F112" i="23" s="1"/>
  <c r="G70" i="23" a="1"/>
  <c r="G70" i="23" s="1"/>
  <c r="F129" i="23" a="1"/>
  <c r="F129" i="23" s="1"/>
  <c r="F140" i="23" a="1"/>
  <c r="F140" i="23" s="1"/>
  <c r="F127" i="23" a="1"/>
  <c r="F127" i="23" s="1"/>
  <c r="G64" i="23" a="1"/>
  <c r="G64" i="23" s="1"/>
  <c r="G46" i="23" a="1"/>
  <c r="G46" i="23" s="1"/>
  <c r="E90" i="23" a="1"/>
  <c r="E90" i="23" s="1"/>
  <c r="E45" i="23" a="1"/>
  <c r="E45" i="23" s="1"/>
  <c r="H29" i="23" a="1"/>
  <c r="H29" i="23" s="1"/>
  <c r="H89" i="23" a="1"/>
  <c r="H89" i="23" s="1"/>
  <c r="F74" i="23" a="1"/>
  <c r="F74" i="23" s="1"/>
  <c r="G78" i="23" a="1"/>
  <c r="G78" i="23" s="1"/>
  <c r="E75" i="23" a="1"/>
  <c r="E75" i="23" s="1"/>
  <c r="E55" i="23" a="1"/>
  <c r="E55" i="23" s="1"/>
  <c r="G95" i="23" a="1"/>
  <c r="G95" i="23" s="1"/>
  <c r="H85" i="23" a="1"/>
  <c r="H85" i="23" s="1"/>
  <c r="G14" i="23" a="1"/>
  <c r="G14" i="23" s="1"/>
  <c r="F17" i="23" a="1"/>
  <c r="F17" i="23" s="1"/>
  <c r="E11" i="23" a="1"/>
  <c r="E11" i="23" s="1"/>
  <c r="F9" i="23" a="1"/>
  <c r="F9" i="23" s="1"/>
  <c r="E12" i="23" a="1"/>
  <c r="E12" i="23" s="1"/>
  <c r="G10" i="23" a="1"/>
  <c r="G10" i="23" s="1"/>
  <c r="F58" i="23" a="1"/>
  <c r="F58" i="23" s="1"/>
  <c r="G52" i="23" a="1"/>
  <c r="G52" i="23" s="1"/>
  <c r="H75" i="23" a="1"/>
  <c r="H75" i="23" s="1"/>
  <c r="F71" i="23" a="1"/>
  <c r="F71" i="23" s="1"/>
  <c r="F72" i="23" a="1"/>
  <c r="F72" i="23" s="1"/>
  <c r="E72" i="23" a="1"/>
  <c r="E72" i="23" s="1"/>
  <c r="E73" i="23" a="1"/>
  <c r="E73" i="23" s="1"/>
  <c r="G157" i="23" a="1"/>
  <c r="G157" i="23" s="1"/>
  <c r="H112" i="23" a="1"/>
  <c r="H112" i="23" s="1"/>
  <c r="E89" i="23" a="1"/>
  <c r="E89" i="23" s="1"/>
  <c r="F97" i="23" a="1"/>
  <c r="F97" i="23" s="1"/>
  <c r="G100" i="23" a="1"/>
  <c r="G100" i="23" s="1"/>
  <c r="H92" i="23" a="1"/>
  <c r="H92" i="23" s="1"/>
  <c r="F100" i="23" a="1"/>
  <c r="F100" i="23" s="1"/>
  <c r="H95" i="23" a="1"/>
  <c r="H95" i="23" s="1"/>
  <c r="F120" i="23" a="1"/>
  <c r="F120" i="23" s="1"/>
  <c r="F155" i="23" a="1"/>
  <c r="F155" i="23" s="1"/>
  <c r="G55" i="23" a="1"/>
  <c r="G55" i="23" s="1"/>
  <c r="H49" i="23" a="1"/>
  <c r="H49" i="23" s="1"/>
  <c r="G73" i="23" a="1"/>
  <c r="G73" i="23" s="1"/>
  <c r="H68" i="23" a="1"/>
  <c r="H68" i="23" s="1"/>
  <c r="G68" i="23" a="1"/>
  <c r="G68" i="23" s="1"/>
  <c r="E131" i="23" a="1"/>
  <c r="E131" i="23" s="1"/>
  <c r="G96" i="23" a="1"/>
  <c r="G96" i="23" s="1"/>
  <c r="E68" i="23" a="1"/>
  <c r="E68" i="23" s="1"/>
  <c r="E61" i="23" a="1"/>
  <c r="E61" i="23" s="1"/>
  <c r="E81" i="23" a="1"/>
  <c r="E81" i="23" s="1"/>
  <c r="E83" i="23" a="1"/>
  <c r="E83" i="23" s="1"/>
  <c r="G77" i="23" a="1"/>
  <c r="G77" i="23" s="1"/>
  <c r="E85" i="23" a="1"/>
  <c r="E85" i="23" s="1"/>
  <c r="F78" i="23" a="1"/>
  <c r="F78" i="23" s="1"/>
  <c r="H6" i="23" a="1"/>
  <c r="H6" i="23" s="1"/>
  <c r="E91" i="23" a="1"/>
  <c r="E91" i="23" s="1"/>
  <c r="G15" i="23" a="1"/>
  <c r="G15" i="23" s="1"/>
  <c r="F194" i="23" a="1"/>
  <c r="F194" i="23" s="1"/>
  <c r="F176" i="23" a="1"/>
  <c r="F176" i="23" s="1"/>
  <c r="H164" i="23" a="1"/>
  <c r="H164" i="23" s="1"/>
  <c r="G140" i="23" a="1"/>
  <c r="G140" i="23" s="1"/>
  <c r="E79" i="23" a="1"/>
  <c r="E79" i="23" s="1"/>
  <c r="G35" i="23" a="1"/>
  <c r="G35" i="23" s="1"/>
  <c r="H121" i="23" a="1"/>
  <c r="H121" i="23" s="1"/>
  <c r="H135" i="23" a="1"/>
  <c r="H135" i="23" s="1"/>
  <c r="G119" i="23" a="1"/>
  <c r="G119" i="23" s="1"/>
  <c r="E15" i="23" a="1"/>
  <c r="E15" i="23" s="1"/>
  <c r="H64" i="23" a="1"/>
  <c r="H64" i="23" s="1"/>
  <c r="H17" i="23" a="1"/>
  <c r="H17" i="23" s="1"/>
  <c r="H77" i="23" a="1"/>
  <c r="H77" i="23" s="1"/>
  <c r="H61" i="23" a="1"/>
  <c r="H61" i="23" s="1"/>
  <c r="H65" i="23" a="1"/>
  <c r="H65" i="23" s="1"/>
  <c r="E115" i="23" a="1"/>
  <c r="E115" i="23" s="1"/>
  <c r="H2" i="23" a="1"/>
  <c r="H2" i="23" s="1"/>
  <c r="F91" i="23" a="1"/>
  <c r="F91" i="23" s="1"/>
  <c r="H99" i="23" a="1"/>
  <c r="H99" i="23" s="1"/>
  <c r="F5" i="23" a="1"/>
  <c r="F5" i="23" s="1"/>
  <c r="E95" i="23" a="1"/>
  <c r="E95" i="23" s="1"/>
  <c r="G102" i="23" a="1"/>
  <c r="G102" i="23" s="1"/>
  <c r="G145" i="23" a="1"/>
  <c r="G145" i="23" s="1"/>
  <c r="G45" i="23" a="1"/>
  <c r="G45" i="23" s="1"/>
  <c r="E40" i="23" a="1"/>
  <c r="E40" i="23" s="1"/>
  <c r="G60" i="23" a="1"/>
  <c r="G60" i="23" s="1"/>
  <c r="E60" i="23" a="1"/>
  <c r="E60" i="23" s="1"/>
  <c r="F61" i="23" a="1"/>
  <c r="F61" i="23" s="1"/>
  <c r="G133" i="23" a="1"/>
  <c r="G133" i="23" s="1"/>
  <c r="E101" i="23" a="1"/>
  <c r="E101" i="23" s="1"/>
  <c r="H63" i="23" a="1"/>
  <c r="H63" i="23" s="1"/>
  <c r="F83" i="23" a="1"/>
  <c r="F83" i="23" s="1"/>
  <c r="F86" i="23" a="1"/>
  <c r="F86" i="23" s="1"/>
  <c r="F88" i="23" a="1"/>
  <c r="F88" i="23" s="1"/>
  <c r="H82" i="23" a="1"/>
  <c r="H82" i="23" s="1"/>
  <c r="E104" i="23" a="1"/>
  <c r="E104" i="23" s="1"/>
  <c r="F158" i="23" a="1"/>
  <c r="F158" i="23" s="1"/>
  <c r="E37" i="23" a="1"/>
  <c r="E37" i="23" s="1"/>
  <c r="E62" i="23" a="1"/>
  <c r="E62" i="23" s="1"/>
  <c r="G57" i="23" a="1"/>
  <c r="G57" i="23" s="1"/>
  <c r="E56" i="23" a="1"/>
  <c r="E56" i="23" s="1"/>
  <c r="G58" i="23" a="1"/>
  <c r="G58" i="23" s="1"/>
  <c r="F119" i="23" a="1"/>
  <c r="F119" i="23" s="1"/>
  <c r="G153" i="23" a="1"/>
  <c r="G153" i="23" s="1"/>
  <c r="E54" i="23" a="1"/>
  <c r="E54" i="23" s="1"/>
  <c r="F48" i="23" a="1"/>
  <c r="F48" i="23" s="1"/>
  <c r="G72" i="23" a="1"/>
  <c r="G72" i="23" s="1"/>
  <c r="G67" i="23" a="1"/>
  <c r="G67" i="23" s="1"/>
  <c r="F67" i="23" a="1"/>
  <c r="F67" i="23" s="1"/>
  <c r="E67" i="23" a="1"/>
  <c r="E67" i="23" s="1"/>
  <c r="H69" i="23" a="1"/>
  <c r="H69" i="23" s="1"/>
  <c r="G28" i="23" a="1"/>
  <c r="G28" i="23" s="1"/>
  <c r="E42" i="23" a="1"/>
  <c r="E42" i="23" s="1"/>
  <c r="E43" i="23" a="1"/>
  <c r="E43" i="23" s="1"/>
  <c r="H39" i="23" a="1"/>
  <c r="H39" i="23" s="1"/>
  <c r="H125" i="23" a="1"/>
  <c r="H125" i="23" s="1"/>
  <c r="G20" i="23" a="1"/>
  <c r="G20" i="23" s="1"/>
  <c r="H93" i="23" a="1"/>
  <c r="H93" i="23" s="1"/>
  <c r="G190" i="23" a="1"/>
  <c r="G190" i="23" s="1"/>
  <c r="H165" i="23" a="1"/>
  <c r="H165" i="23" s="1"/>
  <c r="G114" i="23" a="1"/>
  <c r="G114" i="23" s="1"/>
  <c r="E159" i="23" a="1"/>
  <c r="E159" i="23" s="1"/>
  <c r="G143" i="23" a="1"/>
  <c r="G143" i="23" s="1"/>
  <c r="E138" i="23" a="1"/>
  <c r="E138" i="23" s="1"/>
  <c r="G146" i="23" a="1"/>
  <c r="G146" i="23" s="1"/>
  <c r="G105" i="23" a="1"/>
  <c r="G105" i="23" s="1"/>
  <c r="G154" i="23" a="1"/>
  <c r="G154" i="23" s="1"/>
  <c r="G134" i="23" a="1"/>
  <c r="G134" i="23" s="1"/>
  <c r="E132" i="23" a="1"/>
  <c r="E132" i="23" s="1"/>
  <c r="G39" i="23" a="1"/>
  <c r="G39" i="23" s="1"/>
  <c r="G80" i="23" a="1"/>
  <c r="G80" i="23" s="1"/>
  <c r="G86" i="23" a="1"/>
  <c r="G86" i="23" s="1"/>
  <c r="F63" i="23" a="1"/>
  <c r="F63" i="23" s="1"/>
  <c r="E50" i="23" a="1"/>
  <c r="E50" i="23" s="1"/>
  <c r="H97" i="23" a="1"/>
  <c r="H97" i="23" s="1"/>
  <c r="G135" i="23" a="1"/>
  <c r="G135" i="23" s="1"/>
  <c r="F79" i="23" a="1"/>
  <c r="F79" i="23" s="1"/>
  <c r="H66" i="23" a="1"/>
  <c r="H66" i="23" s="1"/>
  <c r="G85" i="23" a="1"/>
  <c r="G85" i="23" s="1"/>
  <c r="H88" i="23" a="1"/>
  <c r="H88" i="23" s="1"/>
  <c r="G90" i="23" a="1"/>
  <c r="G90" i="23" s="1"/>
  <c r="H139" i="23" a="1"/>
  <c r="H139" i="23" s="1"/>
  <c r="H26" i="23" a="1"/>
  <c r="H26" i="23" s="1"/>
  <c r="E52" i="23" a="1"/>
  <c r="E52" i="23" s="1"/>
  <c r="H47" i="23" a="1"/>
  <c r="H47" i="23" s="1"/>
  <c r="E46" i="23" a="1"/>
  <c r="E46" i="23" s="1"/>
  <c r="F47" i="23" a="1"/>
  <c r="F47" i="23" s="1"/>
  <c r="G48" i="23" a="1"/>
  <c r="G48" i="23" s="1"/>
  <c r="F121" i="23" a="1"/>
  <c r="F121" i="23" s="1"/>
  <c r="H74" i="23" a="1"/>
  <c r="H74" i="23" s="1"/>
  <c r="E70" i="23" a="1"/>
  <c r="E70" i="23" s="1"/>
  <c r="E71" i="23" a="1"/>
  <c r="E71" i="23" s="1"/>
  <c r="F135" i="23" a="1"/>
  <c r="F135" i="23" s="1"/>
  <c r="H23" i="23" a="1"/>
  <c r="H23" i="23" s="1"/>
  <c r="F49" i="23" a="1"/>
  <c r="F49" i="23" s="1"/>
  <c r="G43" i="23" a="1"/>
  <c r="G43" i="23" s="1"/>
  <c r="G44" i="23" a="1"/>
  <c r="G44" i="23" s="1"/>
  <c r="H45" i="23" a="1"/>
  <c r="H45" i="23" s="1"/>
  <c r="F157" i="23" a="1"/>
  <c r="F157" i="23" s="1"/>
  <c r="G41" i="23" a="1"/>
  <c r="G41" i="23" s="1"/>
  <c r="E34" i="23" a="1"/>
  <c r="E34" i="23" s="1"/>
  <c r="H60" i="23" a="1"/>
  <c r="H60" i="23" s="1"/>
  <c r="F56" i="23" a="1"/>
  <c r="F56" i="23" s="1"/>
  <c r="H54" i="23" a="1"/>
  <c r="H54" i="23" s="1"/>
  <c r="G54" i="23" a="1"/>
  <c r="G54" i="23" s="1"/>
  <c r="E57" i="23" a="1"/>
  <c r="E57" i="23" s="1"/>
  <c r="E134" i="23" a="1"/>
  <c r="E134" i="23" s="1"/>
  <c r="H40" i="23" a="1"/>
  <c r="H40" i="23" s="1"/>
  <c r="E30" i="23" a="1"/>
  <c r="E30" i="23" s="1"/>
  <c r="G82" i="23" a="1"/>
  <c r="G82" i="23" s="1"/>
  <c r="G4" i="23" a="1"/>
  <c r="G4" i="23" s="1"/>
  <c r="E17" i="23" a="1"/>
  <c r="E17" i="23" s="1"/>
  <c r="H194" i="23" a="1"/>
  <c r="H194" i="23" s="1"/>
  <c r="G160" i="23" a="1"/>
  <c r="G160" i="23" s="1"/>
  <c r="H100" i="23" a="1"/>
  <c r="H100" i="23" s="1"/>
  <c r="G151" i="23" a="1"/>
  <c r="G151" i="23" s="1"/>
  <c r="F141" i="23" a="1"/>
  <c r="F141" i="23" s="1"/>
  <c r="F133" i="23" a="1"/>
  <c r="F133" i="23" s="1"/>
  <c r="G115" i="23" a="1"/>
  <c r="G115" i="23" s="1"/>
  <c r="E3" i="23" a="1"/>
  <c r="E3" i="23" s="1"/>
  <c r="H83" i="23" a="1"/>
  <c r="H83" i="23" s="1"/>
  <c r="H32" i="23" a="1"/>
  <c r="H32" i="23" s="1"/>
  <c r="F7" i="23" a="1"/>
  <c r="F7" i="23" s="1"/>
  <c r="E51" i="23" a="1"/>
  <c r="E51" i="23" s="1"/>
  <c r="E63" i="23" a="1"/>
  <c r="E63" i="23" s="1"/>
  <c r="E27" i="23" a="1"/>
  <c r="E27" i="23" s="1"/>
  <c r="H62" i="23" a="1"/>
  <c r="H62" i="23" s="1"/>
  <c r="G50" i="23" a="1"/>
  <c r="G50" i="23" s="1"/>
  <c r="F36" i="23" a="1"/>
  <c r="F36" i="23" s="1"/>
  <c r="E39" i="23" a="1"/>
  <c r="E39" i="23" s="1"/>
  <c r="F37" i="23" a="1"/>
  <c r="F37" i="23" s="1"/>
  <c r="F151" i="23" a="1"/>
  <c r="F151" i="23" s="1"/>
  <c r="G124" i="23" a="1"/>
  <c r="G124" i="23" s="1"/>
  <c r="G29" i="23" a="1"/>
  <c r="G29" i="23" s="1"/>
  <c r="H59" i="23" a="1"/>
  <c r="H59" i="23" s="1"/>
  <c r="H76" i="23" a="1"/>
  <c r="H76" i="23" s="1"/>
  <c r="G74" i="23" a="1"/>
  <c r="G74" i="23" s="1"/>
  <c r="F73" i="23" a="1"/>
  <c r="F73" i="23" s="1"/>
  <c r="F75" i="23" a="1"/>
  <c r="F75" i="23" s="1"/>
  <c r="E74" i="23" a="1"/>
  <c r="E74" i="23" s="1"/>
  <c r="F124" i="23" a="1"/>
  <c r="F124" i="23" s="1"/>
  <c r="H14" i="23" a="1"/>
  <c r="H14" i="23" s="1"/>
  <c r="E41" i="23" a="1"/>
  <c r="E41" i="23" s="1"/>
  <c r="E35" i="23" a="1"/>
  <c r="E35" i="23" s="1"/>
  <c r="G33" i="23" a="1"/>
  <c r="G33" i="23" s="1"/>
  <c r="E36" i="23" a="1"/>
  <c r="E36" i="23" s="1"/>
  <c r="G34" i="23" a="1"/>
  <c r="G34" i="23" s="1"/>
  <c r="H159" i="23" a="1"/>
  <c r="H159" i="23" s="1"/>
  <c r="F44" i="23" a="1"/>
  <c r="F44" i="23" s="1"/>
  <c r="G38" i="23" a="1"/>
  <c r="G38" i="23" s="1"/>
  <c r="G63" i="23" a="1"/>
  <c r="G63" i="23" s="1"/>
  <c r="E59" i="23" a="1"/>
  <c r="E59" i="23" s="1"/>
  <c r="F57" i="23" a="1"/>
  <c r="F57" i="23" s="1"/>
  <c r="H58" i="23" a="1"/>
  <c r="H58" i="23" s="1"/>
  <c r="F146" i="23" a="1"/>
  <c r="F146" i="23" s="1"/>
  <c r="F122" i="23" a="1"/>
  <c r="F122" i="23" s="1"/>
  <c r="E10" i="23" a="1"/>
  <c r="E10" i="23" s="1"/>
  <c r="E38" i="23" a="1"/>
  <c r="E38" i="23" s="1"/>
  <c r="E32" i="23" a="1"/>
  <c r="E32" i="23" s="1"/>
  <c r="G30" i="23" a="1"/>
  <c r="G30" i="23" s="1"/>
  <c r="F33" i="23" a="1"/>
  <c r="F33" i="23" s="1"/>
  <c r="G31" i="23" a="1"/>
  <c r="G31" i="23" s="1"/>
  <c r="G2" i="23" a="1"/>
  <c r="G2" i="23" s="1"/>
  <c r="F22" i="23" a="1"/>
  <c r="F22" i="23" s="1"/>
  <c r="F43" i="23" a="1"/>
  <c r="F43" i="23" s="1"/>
  <c r="E13" i="23" a="1"/>
  <c r="E13" i="23" s="1"/>
  <c r="H34" i="23" a="1"/>
  <c r="H34" i="23" s="1"/>
  <c r="G136" i="23" a="1"/>
  <c r="G136" i="23" s="1"/>
  <c r="G16" i="23" a="1"/>
  <c r="G16" i="23" s="1"/>
  <c r="G194" i="23" a="1"/>
  <c r="G194" i="23" s="1"/>
  <c r="F181" i="23" a="1"/>
  <c r="F181" i="23" s="1"/>
  <c r="F169" i="23" a="1"/>
  <c r="F169" i="23" s="1"/>
  <c r="E145" i="23" a="1"/>
  <c r="E145" i="23" s="1"/>
  <c r="G131" i="23" a="1"/>
  <c r="G131" i="23" s="1"/>
  <c r="H110" i="23" a="1"/>
  <c r="H110" i="23" s="1"/>
  <c r="H105" i="23" a="1"/>
  <c r="H105" i="23" s="1"/>
  <c r="E126" i="23" a="1"/>
  <c r="E126" i="23" s="1"/>
  <c r="G152" i="23" a="1"/>
  <c r="G152" i="23" s="1"/>
  <c r="E94" i="23" a="1"/>
  <c r="E94" i="23" s="1"/>
  <c r="F53" i="23" a="1"/>
  <c r="F53" i="23" s="1"/>
  <c r="H27" i="23" a="1"/>
  <c r="H27" i="23" s="1"/>
  <c r="F25" i="23" a="1"/>
  <c r="F25" i="23" s="1"/>
  <c r="H37" i="23" a="1"/>
  <c r="H37" i="23" s="1"/>
  <c r="H35" i="23" a="1"/>
  <c r="H35" i="23" s="1"/>
  <c r="F27" i="23" a="1"/>
  <c r="F27" i="23" s="1"/>
  <c r="G25" i="23" a="1"/>
  <c r="G25" i="23" s="1"/>
  <c r="F143" i="23" a="1"/>
  <c r="F143" i="23" s="1"/>
  <c r="F110" i="23" a="1"/>
  <c r="F110" i="23" s="1"/>
  <c r="E147" i="23" a="1"/>
  <c r="E147" i="23" s="1"/>
  <c r="F41" i="23" a="1"/>
  <c r="F41" i="23" s="1"/>
  <c r="F66" i="23" a="1"/>
  <c r="F66" i="23" s="1"/>
  <c r="F60" i="23" a="1"/>
  <c r="F60" i="23" s="1"/>
  <c r="G61" i="23" a="1"/>
  <c r="G61" i="23" s="1"/>
  <c r="E64" i="23" a="1"/>
  <c r="E64" i="23" s="1"/>
  <c r="G112" i="23" a="1"/>
  <c r="G112" i="23" s="1"/>
  <c r="G7" i="23" a="1"/>
  <c r="G7" i="23" s="1"/>
  <c r="H21" i="23" a="1"/>
  <c r="H21" i="23" s="1"/>
  <c r="F24" i="23" a="1"/>
  <c r="F24" i="23" s="1"/>
  <c r="H22" i="23" a="1"/>
  <c r="H22" i="23" s="1"/>
  <c r="G42" i="23" a="1"/>
  <c r="G42" i="23" s="1"/>
  <c r="F137" i="23" a="1"/>
  <c r="F137" i="23" s="1"/>
  <c r="F31" i="23" a="1"/>
  <c r="F31" i="23" s="1"/>
  <c r="E25" i="23" a="1"/>
  <c r="E25" i="23" s="1"/>
  <c r="H50" i="23" a="1"/>
  <c r="H50" i="23" s="1"/>
  <c r="F46" i="23" a="1"/>
  <c r="F46" i="23" s="1"/>
  <c r="H44" i="23" a="1"/>
  <c r="H44" i="23" s="1"/>
  <c r="E47" i="23" a="1"/>
  <c r="E47" i="23" s="1"/>
  <c r="G137" i="23" a="1"/>
  <c r="G137" i="23" s="1"/>
  <c r="F4" i="23" a="1"/>
  <c r="F4" i="23" s="1"/>
  <c r="E22" i="23" a="1"/>
  <c r="E22" i="23" s="1"/>
  <c r="H24" i="23" a="1"/>
  <c r="H24" i="23" s="1"/>
  <c r="G18" i="23" a="1"/>
  <c r="G18" i="23" s="1"/>
  <c r="H19" i="23" a="1"/>
  <c r="H19" i="23" s="1"/>
  <c r="G19" i="23" a="1"/>
  <c r="G19" i="23" s="1"/>
  <c r="H144" i="23" a="1"/>
  <c r="H144" i="23" s="1"/>
  <c r="E121" i="23" a="1"/>
  <c r="E121" i="23" s="1"/>
  <c r="H8" i="23" a="1"/>
  <c r="H8" i="23" s="1"/>
  <c r="H36" i="23" a="1"/>
  <c r="H36" i="23" s="1"/>
  <c r="H30" i="23" a="1"/>
  <c r="H30" i="23" s="1"/>
  <c r="E29" i="23" a="1"/>
  <c r="E29" i="23" s="1"/>
  <c r="H31" i="23" a="1"/>
  <c r="H31" i="23" s="1"/>
  <c r="F19" i="23" a="1"/>
  <c r="F19" i="23" s="1"/>
  <c r="E33" i="23" a="1"/>
  <c r="E33" i="23" s="1"/>
  <c r="H12" i="23" a="1"/>
  <c r="H12" i="23" s="1"/>
  <c r="H108" i="23" a="1"/>
  <c r="H108" i="23" s="1"/>
  <c r="E18" i="23" a="1"/>
  <c r="E18" i="23" s="1"/>
  <c r="F189" i="23" a="1"/>
  <c r="F189" i="23" s="1"/>
  <c r="F180" i="23" a="1"/>
  <c r="F180" i="23" s="1"/>
  <c r="F165" i="23" a="1"/>
  <c r="F165" i="23" s="1"/>
  <c r="H154" i="23" a="1"/>
  <c r="H154" i="23" s="1"/>
  <c r="G76" i="23" a="1"/>
  <c r="G76" i="23" s="1"/>
  <c r="H129" i="23" a="1"/>
  <c r="H129" i="23" s="1"/>
  <c r="G116" i="23" a="1"/>
  <c r="G116" i="23" s="1"/>
  <c r="E103" i="23" a="1"/>
  <c r="E103" i="23" s="1"/>
  <c r="E127" i="23" a="1"/>
  <c r="E127" i="23" s="1"/>
  <c r="E148" i="23" a="1"/>
  <c r="E148" i="23" s="1"/>
  <c r="E44" i="23" a="1"/>
  <c r="E44" i="23" s="1"/>
  <c r="E92" i="23" a="1"/>
  <c r="E92" i="23" s="1"/>
  <c r="H43" i="23" a="1"/>
  <c r="H43" i="23" s="1"/>
  <c r="G12" i="23" a="1"/>
  <c r="G12" i="23" s="1"/>
  <c r="H13" i="23" a="1"/>
  <c r="H13" i="23" s="1"/>
  <c r="E129" i="23" a="1"/>
  <c r="E129" i="23" s="1"/>
  <c r="E65" i="23" a="1"/>
  <c r="E65" i="23" s="1"/>
  <c r="H140" i="23" a="1"/>
  <c r="H140" i="23" s="1"/>
  <c r="F34" i="23" a="1"/>
  <c r="F34" i="23" s="1"/>
  <c r="F28" i="23" a="1"/>
  <c r="F28" i="23" s="1"/>
  <c r="G53" i="23" a="1"/>
  <c r="G53" i="23" s="1"/>
  <c r="E49" i="23" a="1"/>
  <c r="E49" i="23" s="1"/>
  <c r="G47" i="23" a="1"/>
  <c r="G47" i="23" s="1"/>
  <c r="H48" i="23" a="1"/>
  <c r="H48" i="23" s="1"/>
  <c r="F51" i="23" a="1"/>
  <c r="F51" i="23" s="1"/>
  <c r="G84" i="23" a="1"/>
  <c r="G84" i="23" s="1"/>
  <c r="G9" i="23" a="1"/>
  <c r="G9" i="23" s="1"/>
  <c r="H10" i="23" a="1"/>
  <c r="H10" i="23" s="1"/>
  <c r="E9" i="23" a="1"/>
  <c r="E9" i="23" s="1"/>
  <c r="F123" i="23" a="1"/>
  <c r="F123" i="23" s="1"/>
  <c r="H33" i="23" a="1"/>
  <c r="H33" i="23" s="1"/>
  <c r="F6" i="23" a="1"/>
  <c r="F6" i="23" s="1"/>
  <c r="F23" i="23" a="1"/>
  <c r="F23" i="23" s="1"/>
  <c r="GI5" i="24" a="1"/>
  <c r="GI5" i="19" a="1"/>
  <c r="D277" i="23" l="1" a="1"/>
  <c r="D277" i="23" s="1"/>
  <c r="B277" i="23" s="1"/>
  <c r="D293" i="23" a="1"/>
  <c r="D293" i="23" s="1"/>
  <c r="B293" i="23" s="1"/>
  <c r="D305" i="23" a="1"/>
  <c r="D305" i="23" s="1"/>
  <c r="B305" i="23" s="1"/>
  <c r="D318" i="23" a="1"/>
  <c r="D318" i="23" s="1"/>
  <c r="B318" i="23" s="1"/>
  <c r="D332" i="23" a="1"/>
  <c r="D332" i="23" s="1"/>
  <c r="B332" i="23" s="1"/>
  <c r="D330" i="23" a="1"/>
  <c r="D330" i="23" s="1"/>
  <c r="B330" i="23" s="1"/>
  <c r="D323" i="23" a="1"/>
  <c r="D323" i="23" s="1"/>
  <c r="B323" i="23" s="1"/>
  <c r="D288" i="23" a="1"/>
  <c r="D288" i="23" s="1"/>
  <c r="B288" i="23" s="1"/>
  <c r="D299" i="23" a="1"/>
  <c r="D299" i="23" s="1"/>
  <c r="B299" i="23" s="1"/>
  <c r="D287" i="23" a="1"/>
  <c r="D287" i="23" s="1"/>
  <c r="B287" i="23" s="1"/>
  <c r="D333" i="23" a="1"/>
  <c r="D333" i="23" s="1"/>
  <c r="B333" i="23" s="1"/>
  <c r="D295" i="23" a="1"/>
  <c r="D295" i="23" s="1"/>
  <c r="B295" i="23" s="1"/>
  <c r="D334" i="23" a="1"/>
  <c r="D334" i="23" s="1"/>
  <c r="B334" i="23" s="1"/>
  <c r="D337" i="23" a="1"/>
  <c r="D337" i="23" s="1"/>
  <c r="B337" i="23" s="1"/>
  <c r="D329" i="23" a="1"/>
  <c r="D329" i="23" s="1"/>
  <c r="B329" i="23" s="1"/>
  <c r="D331" i="23" a="1"/>
  <c r="D331" i="23" s="1"/>
  <c r="B331" i="23" s="1"/>
  <c r="D347" i="23" a="1"/>
  <c r="D347" i="23" s="1"/>
  <c r="B347" i="23" s="1"/>
  <c r="D353" i="23" a="1"/>
  <c r="D353" i="23" s="1"/>
  <c r="B353" i="23" s="1"/>
  <c r="D296" i="23" a="1"/>
  <c r="D296" i="23" s="1"/>
  <c r="B296" i="23" s="1"/>
  <c r="D326" i="23" a="1"/>
  <c r="D326" i="23" s="1"/>
  <c r="B326" i="23" s="1"/>
  <c r="D345" i="23" a="1"/>
  <c r="D345" i="23" s="1"/>
  <c r="B345" i="23" s="1"/>
  <c r="D309" i="23" a="1"/>
  <c r="D309" i="23" s="1"/>
  <c r="B309" i="23" s="1"/>
  <c r="D328" i="23" a="1"/>
  <c r="D328" i="23" s="1"/>
  <c r="B328" i="23" s="1"/>
  <c r="D286" i="23" a="1"/>
  <c r="D286" i="23" s="1"/>
  <c r="B286" i="23" s="1"/>
  <c r="D350" i="23" a="1"/>
  <c r="D350" i="23" s="1"/>
  <c r="B350" i="23" s="1"/>
  <c r="D343" i="23" a="1"/>
  <c r="D343" i="23" s="1"/>
  <c r="B343" i="23" s="1"/>
  <c r="D304" i="23" a="1"/>
  <c r="D304" i="23" s="1"/>
  <c r="B304" i="23" s="1"/>
  <c r="D306" i="23" a="1"/>
  <c r="D306" i="23" s="1"/>
  <c r="B306" i="23" s="1"/>
  <c r="D339" i="23" a="1"/>
  <c r="D339" i="23" s="1"/>
  <c r="B339" i="23" s="1"/>
  <c r="D280" i="23" a="1"/>
  <c r="D280" i="23" s="1"/>
  <c r="B280" i="23" s="1"/>
  <c r="D302" i="23" a="1"/>
  <c r="D302" i="23" s="1"/>
  <c r="B302" i="23" s="1"/>
  <c r="D354" i="23" a="1"/>
  <c r="D354" i="23" s="1"/>
  <c r="B354" i="23" s="1"/>
  <c r="D315" i="23" a="1"/>
  <c r="D315" i="23" s="1"/>
  <c r="B315" i="23" s="1"/>
  <c r="D307" i="23" a="1"/>
  <c r="D307" i="23" s="1"/>
  <c r="B307" i="23" s="1"/>
  <c r="D338" i="23" a="1"/>
  <c r="D338" i="23" s="1"/>
  <c r="B338" i="23" s="1"/>
  <c r="D317" i="23" a="1"/>
  <c r="D317" i="23" s="1"/>
  <c r="B317" i="23" s="1"/>
  <c r="D281" i="23" a="1"/>
  <c r="D281" i="23" s="1"/>
  <c r="B281" i="23" s="1"/>
  <c r="D291" i="23" a="1"/>
  <c r="D291" i="23" s="1"/>
  <c r="B291" i="23" s="1"/>
  <c r="D314" i="23" a="1"/>
  <c r="D314" i="23" s="1"/>
  <c r="B314" i="23" s="1"/>
  <c r="D284" i="23" a="1"/>
  <c r="D284" i="23" s="1"/>
  <c r="B284" i="23" s="1"/>
  <c r="D312" i="23" a="1"/>
  <c r="D312" i="23" s="1"/>
  <c r="B312" i="23" s="1"/>
  <c r="D335" i="23" a="1"/>
  <c r="D335" i="23" s="1"/>
  <c r="B335" i="23" s="1"/>
  <c r="D283" i="23" a="1"/>
  <c r="D283" i="23" s="1"/>
  <c r="B283" i="23" s="1"/>
  <c r="D298" i="23" a="1"/>
  <c r="D298" i="23" s="1"/>
  <c r="B298" i="23" s="1"/>
  <c r="D348" i="23" a="1"/>
  <c r="D348" i="23" s="1"/>
  <c r="B348" i="23" s="1"/>
  <c r="D325" i="23" a="1"/>
  <c r="D325" i="23" s="1"/>
  <c r="B325" i="23" s="1"/>
  <c r="D313" i="23" a="1"/>
  <c r="D313" i="23" s="1"/>
  <c r="B313" i="23" s="1"/>
  <c r="D340" i="23" a="1"/>
  <c r="D340" i="23" s="1"/>
  <c r="B340" i="23" s="1"/>
  <c r="D301" i="23" a="1"/>
  <c r="D301" i="23" s="1"/>
  <c r="B301" i="23" s="1"/>
  <c r="D327" i="23" a="1"/>
  <c r="D327" i="23" s="1"/>
  <c r="B327" i="23" s="1"/>
  <c r="D311" i="23" a="1"/>
  <c r="D311" i="23" s="1"/>
  <c r="B311" i="23" s="1"/>
  <c r="D342" i="23" a="1"/>
  <c r="D342" i="23" s="1"/>
  <c r="B342" i="23" s="1"/>
  <c r="D297" i="23" a="1"/>
  <c r="D297" i="23" s="1"/>
  <c r="B297" i="23" s="1"/>
  <c r="D346" i="23" a="1"/>
  <c r="D346" i="23" s="1"/>
  <c r="B346" i="23" s="1"/>
  <c r="D292" i="23" a="1"/>
  <c r="D292" i="23" s="1"/>
  <c r="B292" i="23" s="1"/>
  <c r="D322" i="23" a="1"/>
  <c r="D322" i="23" s="1"/>
  <c r="B322" i="23" s="1"/>
  <c r="D341" i="23" a="1"/>
  <c r="D341" i="23" s="1"/>
  <c r="B341" i="23" s="1"/>
  <c r="D352" i="23" a="1"/>
  <c r="D352" i="23" s="1"/>
  <c r="B352" i="23" s="1"/>
  <c r="D285" i="23" a="1"/>
  <c r="D285" i="23" s="1"/>
  <c r="B285" i="23" s="1"/>
  <c r="D316" i="23" a="1"/>
  <c r="D316" i="23" s="1"/>
  <c r="B316" i="23" s="1"/>
  <c r="D336" i="23" a="1"/>
  <c r="D336" i="23" s="1"/>
  <c r="B336" i="23" s="1"/>
  <c r="D294" i="23" a="1"/>
  <c r="D294" i="23" s="1"/>
  <c r="B294" i="23" s="1"/>
  <c r="D324" i="23" a="1"/>
  <c r="D324" i="23" s="1"/>
  <c r="B324" i="23" s="1"/>
  <c r="D279" i="23" a="1"/>
  <c r="D279" i="23" s="1"/>
  <c r="B279" i="23" s="1"/>
  <c r="D308" i="23" a="1"/>
  <c r="D308" i="23" s="1"/>
  <c r="B308" i="23" s="1"/>
  <c r="D321" i="23" a="1"/>
  <c r="D321" i="23" s="1"/>
  <c r="B321" i="23" s="1"/>
  <c r="D300" i="23" a="1"/>
  <c r="D300" i="23" s="1"/>
  <c r="B300" i="23" s="1"/>
  <c r="D289" i="23" a="1"/>
  <c r="D289" i="23" s="1"/>
  <c r="B289" i="23" s="1"/>
  <c r="D319" i="23" a="1"/>
  <c r="D319" i="23" s="1"/>
  <c r="B319" i="23" s="1"/>
  <c r="D290" i="23" a="1"/>
  <c r="D290" i="23" s="1"/>
  <c r="B290" i="23" s="1"/>
  <c r="D351" i="23" a="1"/>
  <c r="D351" i="23" s="1"/>
  <c r="B351" i="23" s="1"/>
  <c r="D349" i="23" a="1"/>
  <c r="D349" i="23" s="1"/>
  <c r="B349" i="23" s="1"/>
  <c r="D278" i="23" a="1"/>
  <c r="D278" i="23" s="1"/>
  <c r="B278" i="23" s="1"/>
  <c r="D303" i="23" a="1"/>
  <c r="D303" i="23" s="1"/>
  <c r="B303" i="23" s="1"/>
  <c r="D310" i="23" a="1"/>
  <c r="D310" i="23" s="1"/>
  <c r="B310" i="23" s="1"/>
  <c r="D344" i="23" a="1"/>
  <c r="D344" i="23" s="1"/>
  <c r="B344" i="23" s="1"/>
  <c r="D320" i="23" a="1"/>
  <c r="D320" i="23" s="1"/>
  <c r="B320" i="23" s="1"/>
  <c r="D282" i="23" a="1"/>
  <c r="D282" i="23" s="1"/>
  <c r="B282" i="23" s="1"/>
  <c r="G281" i="19"/>
  <c r="F281" i="19" s="1"/>
  <c r="D281" i="19" s="1"/>
  <c r="B281" i="19" s="1"/>
  <c r="G289" i="19"/>
  <c r="F289" i="19" s="1"/>
  <c r="D289" i="19" s="1"/>
  <c r="B289" i="19" s="1"/>
  <c r="G297" i="19"/>
  <c r="F297" i="19" s="1"/>
  <c r="D297" i="19" s="1"/>
  <c r="B297" i="19" s="1"/>
  <c r="G305" i="19"/>
  <c r="F305" i="19" s="1"/>
  <c r="D305" i="19" s="1"/>
  <c r="B305" i="19" s="1"/>
  <c r="G304" i="8" s="1"/>
  <c r="G313" i="19"/>
  <c r="F313" i="19" s="1"/>
  <c r="D313" i="19" s="1"/>
  <c r="B313" i="19" s="1"/>
  <c r="G321" i="19"/>
  <c r="F321" i="19" s="1"/>
  <c r="D321" i="19" s="1"/>
  <c r="B321" i="19" s="1"/>
  <c r="G329" i="19"/>
  <c r="F329" i="19" s="1"/>
  <c r="D329" i="19" s="1"/>
  <c r="B329" i="19" s="1"/>
  <c r="G337" i="19"/>
  <c r="F337" i="19" s="1"/>
  <c r="D337" i="19" s="1"/>
  <c r="B337" i="19" s="1"/>
  <c r="G345" i="19"/>
  <c r="F345" i="19" s="1"/>
  <c r="D345" i="19" s="1"/>
  <c r="B345" i="19" s="1"/>
  <c r="G344" i="8" s="1"/>
  <c r="G353" i="19"/>
  <c r="F353" i="19" s="1"/>
  <c r="D353" i="19" s="1"/>
  <c r="B353" i="19" s="1"/>
  <c r="G284" i="19"/>
  <c r="F284" i="19" s="1"/>
  <c r="D284" i="19" s="1"/>
  <c r="B284" i="19" s="1"/>
  <c r="G292" i="19"/>
  <c r="F292" i="19" s="1"/>
  <c r="D292" i="19" s="1"/>
  <c r="B292" i="19" s="1"/>
  <c r="G291" i="8" s="1"/>
  <c r="G300" i="19"/>
  <c r="F300" i="19" s="1"/>
  <c r="D300" i="19" s="1"/>
  <c r="B300" i="19" s="1"/>
  <c r="G308" i="19"/>
  <c r="F308" i="19" s="1"/>
  <c r="D308" i="19" s="1"/>
  <c r="B308" i="19" s="1"/>
  <c r="G307" i="8" s="1"/>
  <c r="G316" i="19"/>
  <c r="F316" i="19" s="1"/>
  <c r="D316" i="19" s="1"/>
  <c r="B316" i="19" s="1"/>
  <c r="G324" i="19"/>
  <c r="F324" i="19" s="1"/>
  <c r="D324" i="19" s="1"/>
  <c r="B324" i="19" s="1"/>
  <c r="G332" i="19"/>
  <c r="F332" i="19" s="1"/>
  <c r="D332" i="19" s="1"/>
  <c r="B332" i="19" s="1"/>
  <c r="G331" i="8" s="1"/>
  <c r="G340" i="19"/>
  <c r="F340" i="19" s="1"/>
  <c r="D340" i="19" s="1"/>
  <c r="B340" i="19" s="1"/>
  <c r="G348" i="19"/>
  <c r="F348" i="19" s="1"/>
  <c r="D348" i="19" s="1"/>
  <c r="B348" i="19" s="1"/>
  <c r="G347" i="8" s="1"/>
  <c r="G356" i="19"/>
  <c r="F356" i="19" s="1"/>
  <c r="D356" i="19" s="1"/>
  <c r="B356" i="19" s="1"/>
  <c r="G287" i="19"/>
  <c r="F287" i="19" s="1"/>
  <c r="D287" i="19" s="1"/>
  <c r="B287" i="19" s="1"/>
  <c r="G295" i="19"/>
  <c r="F295" i="19" s="1"/>
  <c r="D295" i="19" s="1"/>
  <c r="B295" i="19" s="1"/>
  <c r="G294" i="8" s="1"/>
  <c r="G303" i="19"/>
  <c r="F303" i="19" s="1"/>
  <c r="D303" i="19" s="1"/>
  <c r="B303" i="19" s="1"/>
  <c r="G311" i="19"/>
  <c r="F311" i="19" s="1"/>
  <c r="D311" i="19" s="1"/>
  <c r="B311" i="19" s="1"/>
  <c r="G319" i="19"/>
  <c r="F319" i="19" s="1"/>
  <c r="D319" i="19" s="1"/>
  <c r="B319" i="19" s="1"/>
  <c r="G318" i="8" s="1"/>
  <c r="G327" i="19"/>
  <c r="F327" i="19" s="1"/>
  <c r="D327" i="19" s="1"/>
  <c r="B327" i="19" s="1"/>
  <c r="G335" i="19"/>
  <c r="F335" i="19" s="1"/>
  <c r="D335" i="19" s="1"/>
  <c r="B335" i="19" s="1"/>
  <c r="G334" i="8" s="1"/>
  <c r="G343" i="19"/>
  <c r="F343" i="19" s="1"/>
  <c r="D343" i="19" s="1"/>
  <c r="B343" i="19" s="1"/>
  <c r="G351" i="19"/>
  <c r="F351" i="19" s="1"/>
  <c r="D351" i="19" s="1"/>
  <c r="B351" i="19" s="1"/>
  <c r="G359" i="19"/>
  <c r="F359" i="19" s="1"/>
  <c r="D359" i="19" s="1"/>
  <c r="B359" i="19" s="1"/>
  <c r="G358" i="8" s="1"/>
  <c r="G282" i="19"/>
  <c r="F282" i="19" s="1"/>
  <c r="D282" i="19" s="1"/>
  <c r="B282" i="19" s="1"/>
  <c r="G290" i="19"/>
  <c r="F290" i="19" s="1"/>
  <c r="D290" i="19" s="1"/>
  <c r="B290" i="19" s="1"/>
  <c r="G289" i="8" s="1"/>
  <c r="G298" i="19"/>
  <c r="F298" i="19" s="1"/>
  <c r="D298" i="19" s="1"/>
  <c r="B298" i="19" s="1"/>
  <c r="G306" i="19"/>
  <c r="F306" i="19" s="1"/>
  <c r="D306" i="19" s="1"/>
  <c r="B306" i="19" s="1"/>
  <c r="G314" i="19"/>
  <c r="F314" i="19" s="1"/>
  <c r="D314" i="19" s="1"/>
  <c r="B314" i="19" s="1"/>
  <c r="G322" i="19"/>
  <c r="F322" i="19" s="1"/>
  <c r="D322" i="19" s="1"/>
  <c r="B322" i="19" s="1"/>
  <c r="G321" i="8" s="1"/>
  <c r="G330" i="19"/>
  <c r="F330" i="19" s="1"/>
  <c r="D330" i="19" s="1"/>
  <c r="B330" i="19" s="1"/>
  <c r="G338" i="19"/>
  <c r="F338" i="19" s="1"/>
  <c r="D338" i="19" s="1"/>
  <c r="B338" i="19" s="1"/>
  <c r="G346" i="19"/>
  <c r="F346" i="19" s="1"/>
  <c r="D346" i="19" s="1"/>
  <c r="B346" i="19" s="1"/>
  <c r="G354" i="19"/>
  <c r="F354" i="19" s="1"/>
  <c r="D354" i="19" s="1"/>
  <c r="B354" i="19" s="1"/>
  <c r="G285" i="19"/>
  <c r="F285" i="19" s="1"/>
  <c r="D285" i="19" s="1"/>
  <c r="B285" i="19" s="1"/>
  <c r="G293" i="19"/>
  <c r="F293" i="19" s="1"/>
  <c r="D293" i="19" s="1"/>
  <c r="B293" i="19" s="1"/>
  <c r="G301" i="19"/>
  <c r="F301" i="19" s="1"/>
  <c r="D301" i="19" s="1"/>
  <c r="B301" i="19" s="1"/>
  <c r="G309" i="19"/>
  <c r="F309" i="19" s="1"/>
  <c r="D309" i="19" s="1"/>
  <c r="B309" i="19" s="1"/>
  <c r="G308" i="8" s="1"/>
  <c r="G317" i="19"/>
  <c r="F317" i="19" s="1"/>
  <c r="D317" i="19" s="1"/>
  <c r="B317" i="19" s="1"/>
  <c r="G325" i="19"/>
  <c r="F325" i="19" s="1"/>
  <c r="D325" i="19" s="1"/>
  <c r="B325" i="19" s="1"/>
  <c r="G333" i="19"/>
  <c r="F333" i="19" s="1"/>
  <c r="D333" i="19" s="1"/>
  <c r="B333" i="19" s="1"/>
  <c r="G332" i="8" s="1"/>
  <c r="G341" i="19"/>
  <c r="F341" i="19" s="1"/>
  <c r="D341" i="19" s="1"/>
  <c r="B341" i="19" s="1"/>
  <c r="G349" i="19"/>
  <c r="F349" i="19" s="1"/>
  <c r="D349" i="19" s="1"/>
  <c r="B349" i="19" s="1"/>
  <c r="G348" i="8" s="1"/>
  <c r="G357" i="19"/>
  <c r="F357" i="19" s="1"/>
  <c r="D357" i="19" s="1"/>
  <c r="B357" i="19" s="1"/>
  <c r="G288" i="19"/>
  <c r="F288" i="19" s="1"/>
  <c r="D288" i="19" s="1"/>
  <c r="B288" i="19" s="1"/>
  <c r="G296" i="19"/>
  <c r="F296" i="19" s="1"/>
  <c r="D296" i="19" s="1"/>
  <c r="B296" i="19" s="1"/>
  <c r="G304" i="19"/>
  <c r="F304" i="19" s="1"/>
  <c r="D304" i="19" s="1"/>
  <c r="B304" i="19" s="1"/>
  <c r="G303" i="8" s="1"/>
  <c r="G312" i="19"/>
  <c r="F312" i="19" s="1"/>
  <c r="D312" i="19" s="1"/>
  <c r="B312" i="19" s="1"/>
  <c r="G311" i="8" s="1"/>
  <c r="G320" i="19"/>
  <c r="F320" i="19" s="1"/>
  <c r="D320" i="19" s="1"/>
  <c r="B320" i="19" s="1"/>
  <c r="G328" i="19"/>
  <c r="F328" i="19" s="1"/>
  <c r="D328" i="19" s="1"/>
  <c r="B328" i="19" s="1"/>
  <c r="G336" i="19"/>
  <c r="F336" i="19" s="1"/>
  <c r="D336" i="19" s="1"/>
  <c r="B336" i="19" s="1"/>
  <c r="G335" i="8" s="1"/>
  <c r="G344" i="19"/>
  <c r="F344" i="19" s="1"/>
  <c r="D344" i="19" s="1"/>
  <c r="B344" i="19" s="1"/>
  <c r="G343" i="8" s="1"/>
  <c r="G352" i="19"/>
  <c r="F352" i="19" s="1"/>
  <c r="D352" i="19" s="1"/>
  <c r="B352" i="19" s="1"/>
  <c r="G283" i="19"/>
  <c r="F283" i="19" s="1"/>
  <c r="D283" i="19" s="1"/>
  <c r="B283" i="19" s="1"/>
  <c r="G282" i="8" s="1"/>
  <c r="G286" i="19"/>
  <c r="F286" i="19" s="1"/>
  <c r="D286" i="19" s="1"/>
  <c r="B286" i="19" s="1"/>
  <c r="G294" i="19"/>
  <c r="F294" i="19" s="1"/>
  <c r="D294" i="19" s="1"/>
  <c r="B294" i="19" s="1"/>
  <c r="G293" i="8" s="1"/>
  <c r="G302" i="19"/>
  <c r="F302" i="19" s="1"/>
  <c r="D302" i="19" s="1"/>
  <c r="B302" i="19" s="1"/>
  <c r="G301" i="8" s="1"/>
  <c r="G310" i="19"/>
  <c r="F310" i="19" s="1"/>
  <c r="D310" i="19" s="1"/>
  <c r="B310" i="19" s="1"/>
  <c r="G309" i="8" s="1"/>
  <c r="G318" i="19"/>
  <c r="F318" i="19" s="1"/>
  <c r="D318" i="19" s="1"/>
  <c r="B318" i="19" s="1"/>
  <c r="G317" i="8" s="1"/>
  <c r="G326" i="19"/>
  <c r="F326" i="19" s="1"/>
  <c r="D326" i="19" s="1"/>
  <c r="B326" i="19" s="1"/>
  <c r="G325" i="8" s="1"/>
  <c r="G334" i="19"/>
  <c r="F334" i="19" s="1"/>
  <c r="D334" i="19" s="1"/>
  <c r="B334" i="19" s="1"/>
  <c r="G333" i="8" s="1"/>
  <c r="G342" i="19"/>
  <c r="F342" i="19" s="1"/>
  <c r="D342" i="19" s="1"/>
  <c r="B342" i="19" s="1"/>
  <c r="G350" i="19"/>
  <c r="F350" i="19" s="1"/>
  <c r="D350" i="19" s="1"/>
  <c r="B350" i="19" s="1"/>
  <c r="G358" i="19"/>
  <c r="F358" i="19" s="1"/>
  <c r="D358" i="19" s="1"/>
  <c r="B358" i="19" s="1"/>
  <c r="G357" i="8" s="1"/>
  <c r="G331" i="19"/>
  <c r="F331" i="19" s="1"/>
  <c r="D331" i="19" s="1"/>
  <c r="B331" i="19" s="1"/>
  <c r="G291" i="19"/>
  <c r="F291" i="19" s="1"/>
  <c r="D291" i="19" s="1"/>
  <c r="B291" i="19" s="1"/>
  <c r="G290" i="8" s="1"/>
  <c r="G355" i="19"/>
  <c r="F355" i="19" s="1"/>
  <c r="D355" i="19" s="1"/>
  <c r="B355" i="19" s="1"/>
  <c r="G354" i="8" s="1"/>
  <c r="G315" i="19"/>
  <c r="F315" i="19" s="1"/>
  <c r="D315" i="19" s="1"/>
  <c r="B315" i="19" s="1"/>
  <c r="G314" i="8" s="1"/>
  <c r="G339" i="19"/>
  <c r="F339" i="19" s="1"/>
  <c r="D339" i="19" s="1"/>
  <c r="B339" i="19" s="1"/>
  <c r="G338" i="8" s="1"/>
  <c r="G323" i="19"/>
  <c r="F323" i="19" s="1"/>
  <c r="D323" i="19" s="1"/>
  <c r="B323" i="19" s="1"/>
  <c r="G322" i="8" s="1"/>
  <c r="G347" i="19"/>
  <c r="F347" i="19" s="1"/>
  <c r="D347" i="19" s="1"/>
  <c r="B347" i="19" s="1"/>
  <c r="G346" i="8" s="1"/>
  <c r="G299" i="19"/>
  <c r="F299" i="19" s="1"/>
  <c r="D299" i="19" s="1"/>
  <c r="B299" i="19" s="1"/>
  <c r="G298" i="8" s="1"/>
  <c r="G307" i="19"/>
  <c r="F307" i="19" s="1"/>
  <c r="D307" i="19" s="1"/>
  <c r="B307" i="19" s="1"/>
  <c r="G306" i="8" s="1"/>
  <c r="G284" i="24"/>
  <c r="F284" i="24" s="1"/>
  <c r="D284" i="24" s="1"/>
  <c r="B284" i="24" s="1"/>
  <c r="K283" i="8" s="1"/>
  <c r="G292" i="24"/>
  <c r="F292" i="24" s="1"/>
  <c r="D292" i="24" s="1"/>
  <c r="B292" i="24" s="1"/>
  <c r="K291" i="8" s="1"/>
  <c r="G300" i="24"/>
  <c r="F300" i="24" s="1"/>
  <c r="D300" i="24" s="1"/>
  <c r="B300" i="24" s="1"/>
  <c r="K299" i="8" s="1"/>
  <c r="G308" i="24"/>
  <c r="F308" i="24" s="1"/>
  <c r="D308" i="24" s="1"/>
  <c r="B308" i="24" s="1"/>
  <c r="K307" i="8" s="1"/>
  <c r="G316" i="24"/>
  <c r="F316" i="24" s="1"/>
  <c r="D316" i="24" s="1"/>
  <c r="B316" i="24" s="1"/>
  <c r="K315" i="8" s="1"/>
  <c r="G324" i="24"/>
  <c r="F324" i="24" s="1"/>
  <c r="D324" i="24" s="1"/>
  <c r="B324" i="24" s="1"/>
  <c r="K323" i="8" s="1"/>
  <c r="G332" i="24"/>
  <c r="F332" i="24" s="1"/>
  <c r="D332" i="24" s="1"/>
  <c r="B332" i="24" s="1"/>
  <c r="K331" i="8" s="1"/>
  <c r="G340" i="24"/>
  <c r="F340" i="24" s="1"/>
  <c r="D340" i="24" s="1"/>
  <c r="B340" i="24" s="1"/>
  <c r="K339" i="8" s="1"/>
  <c r="G283" i="24"/>
  <c r="F283" i="24" s="1"/>
  <c r="D283" i="24" s="1"/>
  <c r="B283" i="24" s="1"/>
  <c r="K282" i="8" s="1"/>
  <c r="G291" i="24"/>
  <c r="F291" i="24" s="1"/>
  <c r="D291" i="24" s="1"/>
  <c r="B291" i="24" s="1"/>
  <c r="K290" i="8" s="1"/>
  <c r="G286" i="24"/>
  <c r="F286" i="24" s="1"/>
  <c r="D286" i="24" s="1"/>
  <c r="B286" i="24" s="1"/>
  <c r="K285" i="8" s="1"/>
  <c r="G289" i="24"/>
  <c r="F289" i="24" s="1"/>
  <c r="D289" i="24" s="1"/>
  <c r="B289" i="24" s="1"/>
  <c r="K288" i="8" s="1"/>
  <c r="G313" i="24"/>
  <c r="F313" i="24" s="1"/>
  <c r="D313" i="24" s="1"/>
  <c r="B313" i="24" s="1"/>
  <c r="K312" i="8" s="1"/>
  <c r="G319" i="24"/>
  <c r="F319" i="24" s="1"/>
  <c r="D319" i="24" s="1"/>
  <c r="B319" i="24" s="1"/>
  <c r="K318" i="8" s="1"/>
  <c r="G322" i="24"/>
  <c r="F322" i="24" s="1"/>
  <c r="D322" i="24" s="1"/>
  <c r="B322" i="24" s="1"/>
  <c r="K321" i="8" s="1"/>
  <c r="G325" i="24"/>
  <c r="F325" i="24" s="1"/>
  <c r="D325" i="24" s="1"/>
  <c r="B325" i="24" s="1"/>
  <c r="K324" i="8" s="1"/>
  <c r="G345" i="24"/>
  <c r="F345" i="24" s="1"/>
  <c r="D345" i="24" s="1"/>
  <c r="B345" i="24" s="1"/>
  <c r="K344" i="8" s="1"/>
  <c r="G349" i="24"/>
  <c r="F349" i="24" s="1"/>
  <c r="D349" i="24" s="1"/>
  <c r="B349" i="24" s="1"/>
  <c r="K348" i="8" s="1"/>
  <c r="G358" i="24"/>
  <c r="F358" i="24" s="1"/>
  <c r="D358" i="24" s="1"/>
  <c r="B358" i="24" s="1"/>
  <c r="K357" i="8" s="1"/>
  <c r="G293" i="24"/>
  <c r="F293" i="24" s="1"/>
  <c r="D293" i="24" s="1"/>
  <c r="B293" i="24" s="1"/>
  <c r="K292" i="8" s="1"/>
  <c r="G299" i="24"/>
  <c r="F299" i="24" s="1"/>
  <c r="D299" i="24" s="1"/>
  <c r="B299" i="24" s="1"/>
  <c r="K298" i="8" s="1"/>
  <c r="G302" i="24"/>
  <c r="F302" i="24" s="1"/>
  <c r="D302" i="24" s="1"/>
  <c r="B302" i="24" s="1"/>
  <c r="K301" i="8" s="1"/>
  <c r="G328" i="24"/>
  <c r="F328" i="24" s="1"/>
  <c r="D328" i="24" s="1"/>
  <c r="B328" i="24" s="1"/>
  <c r="K327" i="8" s="1"/>
  <c r="G331" i="24"/>
  <c r="F331" i="24" s="1"/>
  <c r="D331" i="24" s="1"/>
  <c r="B331" i="24" s="1"/>
  <c r="K330" i="8" s="1"/>
  <c r="G334" i="24"/>
  <c r="F334" i="24" s="1"/>
  <c r="D334" i="24" s="1"/>
  <c r="B334" i="24" s="1"/>
  <c r="K333" i="8" s="1"/>
  <c r="G352" i="24"/>
  <c r="F352" i="24" s="1"/>
  <c r="D352" i="24" s="1"/>
  <c r="B352" i="24" s="1"/>
  <c r="K351" i="8" s="1"/>
  <c r="G355" i="24"/>
  <c r="F355" i="24" s="1"/>
  <c r="D355" i="24" s="1"/>
  <c r="B355" i="24" s="1"/>
  <c r="K354" i="8" s="1"/>
  <c r="G290" i="24"/>
  <c r="F290" i="24" s="1"/>
  <c r="D290" i="24" s="1"/>
  <c r="B290" i="24" s="1"/>
  <c r="K289" i="8" s="1"/>
  <c r="G296" i="24"/>
  <c r="F296" i="24" s="1"/>
  <c r="D296" i="24" s="1"/>
  <c r="B296" i="24" s="1"/>
  <c r="K295" i="8" s="1"/>
  <c r="G305" i="24"/>
  <c r="F305" i="24" s="1"/>
  <c r="D305" i="24" s="1"/>
  <c r="B305" i="24" s="1"/>
  <c r="K304" i="8" s="1"/>
  <c r="G311" i="24"/>
  <c r="F311" i="24" s="1"/>
  <c r="D311" i="24" s="1"/>
  <c r="B311" i="24" s="1"/>
  <c r="K310" i="8" s="1"/>
  <c r="G314" i="24"/>
  <c r="F314" i="24" s="1"/>
  <c r="D314" i="24" s="1"/>
  <c r="B314" i="24" s="1"/>
  <c r="K313" i="8" s="1"/>
  <c r="G317" i="24"/>
  <c r="F317" i="24" s="1"/>
  <c r="D317" i="24" s="1"/>
  <c r="B317" i="24" s="1"/>
  <c r="K316" i="8" s="1"/>
  <c r="G337" i="24"/>
  <c r="F337" i="24" s="1"/>
  <c r="D337" i="24" s="1"/>
  <c r="B337" i="24" s="1"/>
  <c r="K336" i="8" s="1"/>
  <c r="G343" i="24"/>
  <c r="F343" i="24" s="1"/>
  <c r="D343" i="24" s="1"/>
  <c r="B343" i="24" s="1"/>
  <c r="K342" i="8" s="1"/>
  <c r="G346" i="24"/>
  <c r="F346" i="24" s="1"/>
  <c r="D346" i="24" s="1"/>
  <c r="B346" i="24" s="1"/>
  <c r="K345" i="8" s="1"/>
  <c r="G285" i="24"/>
  <c r="F285" i="24" s="1"/>
  <c r="D285" i="24" s="1"/>
  <c r="B285" i="24" s="1"/>
  <c r="K284" i="8" s="1"/>
  <c r="G312" i="24"/>
  <c r="F312" i="24" s="1"/>
  <c r="D312" i="24" s="1"/>
  <c r="B312" i="24" s="1"/>
  <c r="K311" i="8" s="1"/>
  <c r="G315" i="24"/>
  <c r="F315" i="24" s="1"/>
  <c r="D315" i="24" s="1"/>
  <c r="B315" i="24" s="1"/>
  <c r="K314" i="8" s="1"/>
  <c r="G318" i="24"/>
  <c r="F318" i="24" s="1"/>
  <c r="D318" i="24" s="1"/>
  <c r="B318" i="24" s="1"/>
  <c r="K317" i="8" s="1"/>
  <c r="G344" i="24"/>
  <c r="F344" i="24" s="1"/>
  <c r="D344" i="24" s="1"/>
  <c r="B344" i="24" s="1"/>
  <c r="K343" i="8" s="1"/>
  <c r="G347" i="24"/>
  <c r="F347" i="24" s="1"/>
  <c r="D347" i="24" s="1"/>
  <c r="B347" i="24" s="1"/>
  <c r="K346" i="8" s="1"/>
  <c r="G282" i="24"/>
  <c r="F282" i="24" s="1"/>
  <c r="D282" i="24" s="1"/>
  <c r="B282" i="24" s="1"/>
  <c r="K281" i="8" s="1"/>
  <c r="G288" i="24"/>
  <c r="F288" i="24" s="1"/>
  <c r="D288" i="24" s="1"/>
  <c r="B288" i="24" s="1"/>
  <c r="K287" i="8" s="1"/>
  <c r="G298" i="24"/>
  <c r="F298" i="24" s="1"/>
  <c r="D298" i="24" s="1"/>
  <c r="B298" i="24" s="1"/>
  <c r="K297" i="8" s="1"/>
  <c r="G301" i="24"/>
  <c r="F301" i="24" s="1"/>
  <c r="D301" i="24" s="1"/>
  <c r="B301" i="24" s="1"/>
  <c r="K300" i="8" s="1"/>
  <c r="G321" i="24"/>
  <c r="F321" i="24" s="1"/>
  <c r="D321" i="24" s="1"/>
  <c r="B321" i="24" s="1"/>
  <c r="K320" i="8" s="1"/>
  <c r="G327" i="24"/>
  <c r="F327" i="24" s="1"/>
  <c r="D327" i="24" s="1"/>
  <c r="B327" i="24" s="1"/>
  <c r="K326" i="8" s="1"/>
  <c r="G330" i="24"/>
  <c r="F330" i="24" s="1"/>
  <c r="D330" i="24" s="1"/>
  <c r="B330" i="24" s="1"/>
  <c r="K329" i="8" s="1"/>
  <c r="G333" i="24"/>
  <c r="F333" i="24" s="1"/>
  <c r="D333" i="24" s="1"/>
  <c r="B333" i="24" s="1"/>
  <c r="K332" i="8" s="1"/>
  <c r="G351" i="24"/>
  <c r="F351" i="24" s="1"/>
  <c r="D351" i="24" s="1"/>
  <c r="B351" i="24" s="1"/>
  <c r="K350" i="8" s="1"/>
  <c r="G354" i="24"/>
  <c r="F354" i="24" s="1"/>
  <c r="D354" i="24" s="1"/>
  <c r="B354" i="24" s="1"/>
  <c r="K353" i="8" s="1"/>
  <c r="G357" i="24"/>
  <c r="F357" i="24" s="1"/>
  <c r="D357" i="24" s="1"/>
  <c r="B357" i="24" s="1"/>
  <c r="K356" i="8" s="1"/>
  <c r="G295" i="24"/>
  <c r="F295" i="24" s="1"/>
  <c r="D295" i="24" s="1"/>
  <c r="B295" i="24" s="1"/>
  <c r="K294" i="8" s="1"/>
  <c r="G339" i="24"/>
  <c r="F339" i="24" s="1"/>
  <c r="D339" i="24" s="1"/>
  <c r="B339" i="24" s="1"/>
  <c r="K338" i="8" s="1"/>
  <c r="G356" i="24"/>
  <c r="F356" i="24" s="1"/>
  <c r="D356" i="24" s="1"/>
  <c r="B356" i="24" s="1"/>
  <c r="K355" i="8" s="1"/>
  <c r="G310" i="24"/>
  <c r="F310" i="24" s="1"/>
  <c r="D310" i="24" s="1"/>
  <c r="B310" i="24" s="1"/>
  <c r="K309" i="8" s="1"/>
  <c r="G326" i="24"/>
  <c r="F326" i="24" s="1"/>
  <c r="D326" i="24" s="1"/>
  <c r="B326" i="24" s="1"/>
  <c r="K325" i="8" s="1"/>
  <c r="G335" i="24"/>
  <c r="F335" i="24" s="1"/>
  <c r="D335" i="24" s="1"/>
  <c r="B335" i="24" s="1"/>
  <c r="K334" i="8" s="1"/>
  <c r="G281" i="24"/>
  <c r="F281" i="24" s="1"/>
  <c r="D281" i="24" s="1"/>
  <c r="B281" i="24" s="1"/>
  <c r="K280" i="8" s="1"/>
  <c r="G306" i="24"/>
  <c r="F306" i="24" s="1"/>
  <c r="D306" i="24" s="1"/>
  <c r="B306" i="24" s="1"/>
  <c r="K305" i="8" s="1"/>
  <c r="G287" i="24"/>
  <c r="F287" i="24" s="1"/>
  <c r="D287" i="24" s="1"/>
  <c r="B287" i="24" s="1"/>
  <c r="K286" i="8" s="1"/>
  <c r="G297" i="24"/>
  <c r="F297" i="24" s="1"/>
  <c r="D297" i="24" s="1"/>
  <c r="B297" i="24" s="1"/>
  <c r="K296" i="8" s="1"/>
  <c r="G336" i="24"/>
  <c r="F336" i="24" s="1"/>
  <c r="D336" i="24" s="1"/>
  <c r="B336" i="24" s="1"/>
  <c r="K335" i="8" s="1"/>
  <c r="G341" i="24"/>
  <c r="F341" i="24" s="1"/>
  <c r="D341" i="24" s="1"/>
  <c r="B341" i="24" s="1"/>
  <c r="K340" i="8" s="1"/>
  <c r="G307" i="24"/>
  <c r="F307" i="24" s="1"/>
  <c r="D307" i="24" s="1"/>
  <c r="B307" i="24" s="1"/>
  <c r="K306" i="8" s="1"/>
  <c r="G323" i="24"/>
  <c r="F323" i="24" s="1"/>
  <c r="D323" i="24" s="1"/>
  <c r="B323" i="24" s="1"/>
  <c r="K322" i="8" s="1"/>
  <c r="G303" i="24"/>
  <c r="F303" i="24" s="1"/>
  <c r="D303" i="24" s="1"/>
  <c r="B303" i="24" s="1"/>
  <c r="K302" i="8" s="1"/>
  <c r="G342" i="24"/>
  <c r="F342" i="24" s="1"/>
  <c r="D342" i="24" s="1"/>
  <c r="B342" i="24" s="1"/>
  <c r="K341" i="8" s="1"/>
  <c r="G348" i="24"/>
  <c r="F348" i="24" s="1"/>
  <c r="D348" i="24" s="1"/>
  <c r="B348" i="24" s="1"/>
  <c r="K347" i="8" s="1"/>
  <c r="G353" i="24"/>
  <c r="F353" i="24" s="1"/>
  <c r="D353" i="24" s="1"/>
  <c r="B353" i="24" s="1"/>
  <c r="K352" i="8" s="1"/>
  <c r="G359" i="24"/>
  <c r="F359" i="24" s="1"/>
  <c r="D359" i="24" s="1"/>
  <c r="B359" i="24" s="1"/>
  <c r="K358" i="8" s="1"/>
  <c r="G294" i="24"/>
  <c r="F294" i="24" s="1"/>
  <c r="D294" i="24" s="1"/>
  <c r="B294" i="24" s="1"/>
  <c r="K293" i="8" s="1"/>
  <c r="G338" i="24"/>
  <c r="F338" i="24" s="1"/>
  <c r="D338" i="24" s="1"/>
  <c r="B338" i="24" s="1"/>
  <c r="K337" i="8" s="1"/>
  <c r="G304" i="24"/>
  <c r="F304" i="24" s="1"/>
  <c r="D304" i="24" s="1"/>
  <c r="B304" i="24" s="1"/>
  <c r="K303" i="8" s="1"/>
  <c r="G350" i="24"/>
  <c r="F350" i="24" s="1"/>
  <c r="D350" i="24" s="1"/>
  <c r="B350" i="24" s="1"/>
  <c r="K349" i="8" s="1"/>
  <c r="G320" i="24"/>
  <c r="F320" i="24" s="1"/>
  <c r="D320" i="24" s="1"/>
  <c r="B320" i="24" s="1"/>
  <c r="K319" i="8" s="1"/>
  <c r="G329" i="24"/>
  <c r="F329" i="24" s="1"/>
  <c r="D329" i="24" s="1"/>
  <c r="B329" i="24" s="1"/>
  <c r="K328" i="8" s="1"/>
  <c r="G309" i="24"/>
  <c r="F309" i="24" s="1"/>
  <c r="D309" i="24" s="1"/>
  <c r="B309" i="24" s="1"/>
  <c r="K308" i="8" s="1"/>
  <c r="G263" i="19"/>
  <c r="F263" i="19" s="1"/>
  <c r="D263" i="19" s="1"/>
  <c r="B263" i="19" s="1"/>
  <c r="G271" i="19"/>
  <c r="F271" i="19" s="1"/>
  <c r="D271" i="19" s="1"/>
  <c r="B271" i="19" s="1"/>
  <c r="G279" i="19"/>
  <c r="F279" i="19" s="1"/>
  <c r="D279" i="19" s="1"/>
  <c r="B279" i="19" s="1"/>
  <c r="G278" i="8" s="1"/>
  <c r="G270" i="19"/>
  <c r="F270" i="19" s="1"/>
  <c r="D270" i="19" s="1"/>
  <c r="B270" i="19" s="1"/>
  <c r="G264" i="19"/>
  <c r="F264" i="19" s="1"/>
  <c r="D264" i="19" s="1"/>
  <c r="B264" i="19" s="1"/>
  <c r="G263" i="8" s="1"/>
  <c r="G272" i="19"/>
  <c r="F272" i="19" s="1"/>
  <c r="D272" i="19" s="1"/>
  <c r="B272" i="19" s="1"/>
  <c r="G271" i="8" s="1"/>
  <c r="G280" i="19"/>
  <c r="F280" i="19" s="1"/>
  <c r="D280" i="19" s="1"/>
  <c r="B280" i="19" s="1"/>
  <c r="G262" i="19"/>
  <c r="F262" i="19" s="1"/>
  <c r="D262" i="19" s="1"/>
  <c r="B262" i="19" s="1"/>
  <c r="G265" i="19"/>
  <c r="F265" i="19" s="1"/>
  <c r="D265" i="19" s="1"/>
  <c r="B265" i="19" s="1"/>
  <c r="G264" i="8" s="1"/>
  <c r="G273" i="19"/>
  <c r="F273" i="19" s="1"/>
  <c r="D273" i="19" s="1"/>
  <c r="B273" i="19" s="1"/>
  <c r="G272" i="8" s="1"/>
  <c r="G266" i="19"/>
  <c r="F266" i="19" s="1"/>
  <c r="D266" i="19" s="1"/>
  <c r="B266" i="19" s="1"/>
  <c r="G265" i="8" s="1"/>
  <c r="G274" i="19"/>
  <c r="F274" i="19" s="1"/>
  <c r="D274" i="19" s="1"/>
  <c r="B274" i="19" s="1"/>
  <c r="G273" i="8" s="1"/>
  <c r="G267" i="19"/>
  <c r="F267" i="19" s="1"/>
  <c r="D267" i="19" s="1"/>
  <c r="B267" i="19" s="1"/>
  <c r="G275" i="19"/>
  <c r="F275" i="19" s="1"/>
  <c r="D275" i="19" s="1"/>
  <c r="B275" i="19" s="1"/>
  <c r="G278" i="19"/>
  <c r="F278" i="19" s="1"/>
  <c r="D278" i="19" s="1"/>
  <c r="B278" i="19" s="1"/>
  <c r="G277" i="8" s="1"/>
  <c r="G260" i="19"/>
  <c r="F260" i="19" s="1"/>
  <c r="D260" i="19" s="1"/>
  <c r="B260" i="19" s="1"/>
  <c r="G268" i="19"/>
  <c r="F268" i="19" s="1"/>
  <c r="D268" i="19" s="1"/>
  <c r="B268" i="19" s="1"/>
  <c r="G276" i="19"/>
  <c r="F276" i="19" s="1"/>
  <c r="D276" i="19" s="1"/>
  <c r="B276" i="19" s="1"/>
  <c r="G275" i="8" s="1"/>
  <c r="G261" i="19"/>
  <c r="F261" i="19" s="1"/>
  <c r="D261" i="19" s="1"/>
  <c r="B261" i="19" s="1"/>
  <c r="G269" i="19"/>
  <c r="F269" i="19" s="1"/>
  <c r="D269" i="19" s="1"/>
  <c r="B269" i="19" s="1"/>
  <c r="G277" i="19"/>
  <c r="F277" i="19" s="1"/>
  <c r="D277" i="19" s="1"/>
  <c r="B277" i="19" s="1"/>
  <c r="D259" i="23" a="1"/>
  <c r="D259" i="23" s="1"/>
  <c r="B259" i="23" s="1"/>
  <c r="D268" i="23" a="1"/>
  <c r="D268" i="23" s="1"/>
  <c r="B268" i="23" s="1"/>
  <c r="D261" i="23" a="1"/>
  <c r="D261" i="23" s="1"/>
  <c r="B261" i="23" s="1"/>
  <c r="D275" i="23" a="1"/>
  <c r="D275" i="23" s="1"/>
  <c r="B275" i="23" s="1"/>
  <c r="D262" i="23" a="1"/>
  <c r="D262" i="23" s="1"/>
  <c r="B262" i="23" s="1"/>
  <c r="D267" i="23" a="1"/>
  <c r="D267" i="23" s="1"/>
  <c r="B267" i="23" s="1"/>
  <c r="D270" i="23" a="1"/>
  <c r="D270" i="23" s="1"/>
  <c r="B270" i="23" s="1"/>
  <c r="D266" i="23" a="1"/>
  <c r="D266" i="23" s="1"/>
  <c r="B266" i="23" s="1"/>
  <c r="D273" i="23" a="1"/>
  <c r="D273" i="23" s="1"/>
  <c r="B273" i="23" s="1"/>
  <c r="D258" i="23" a="1"/>
  <c r="D258" i="23" s="1"/>
  <c r="B258" i="23" s="1"/>
  <c r="D274" i="23" a="1"/>
  <c r="D274" i="23" s="1"/>
  <c r="B274" i="23" s="1"/>
  <c r="D264" i="23" a="1"/>
  <c r="D264" i="23" s="1"/>
  <c r="B264" i="23" s="1"/>
  <c r="D257" i="23" a="1"/>
  <c r="D257" i="23" s="1"/>
  <c r="B257" i="23" s="1"/>
  <c r="D265" i="23" a="1"/>
  <c r="D265" i="23" s="1"/>
  <c r="B265" i="23" s="1"/>
  <c r="D256" i="23" a="1"/>
  <c r="D256" i="23" s="1"/>
  <c r="B256" i="23" s="1"/>
  <c r="D263" i="23" a="1"/>
  <c r="D263" i="23" s="1"/>
  <c r="B263" i="23" s="1"/>
  <c r="D276" i="23" a="1"/>
  <c r="D276" i="23" s="1"/>
  <c r="B276" i="23" s="1"/>
  <c r="D272" i="23" a="1"/>
  <c r="D272" i="23" s="1"/>
  <c r="B272" i="23" s="1"/>
  <c r="D269" i="23" a="1"/>
  <c r="D269" i="23" s="1"/>
  <c r="B269" i="23" s="1"/>
  <c r="D260" i="23" a="1"/>
  <c r="D260" i="23" s="1"/>
  <c r="B260" i="23" s="1"/>
  <c r="D271" i="23" a="1"/>
  <c r="D271" i="23" s="1"/>
  <c r="B271" i="23" s="1"/>
  <c r="G261" i="24"/>
  <c r="F261" i="24" s="1"/>
  <c r="D261" i="24" s="1"/>
  <c r="B261" i="24" s="1"/>
  <c r="K260" i="8" s="1"/>
  <c r="G272" i="24"/>
  <c r="F272" i="24" s="1"/>
  <c r="D272" i="24" s="1"/>
  <c r="B272" i="24" s="1"/>
  <c r="K271" i="8" s="1"/>
  <c r="G275" i="24"/>
  <c r="F275" i="24" s="1"/>
  <c r="D275" i="24" s="1"/>
  <c r="B275" i="24" s="1"/>
  <c r="K274" i="8" s="1"/>
  <c r="G264" i="24"/>
  <c r="F264" i="24" s="1"/>
  <c r="D264" i="24" s="1"/>
  <c r="B264" i="24" s="1"/>
  <c r="K263" i="8" s="1"/>
  <c r="G267" i="24"/>
  <c r="F267" i="24" s="1"/>
  <c r="D267" i="24" s="1"/>
  <c r="B267" i="24" s="1"/>
  <c r="K266" i="8" s="1"/>
  <c r="G278" i="24"/>
  <c r="F278" i="24" s="1"/>
  <c r="D278" i="24" s="1"/>
  <c r="B278" i="24" s="1"/>
  <c r="K277" i="8" s="1"/>
  <c r="G270" i="24"/>
  <c r="F270" i="24" s="1"/>
  <c r="D270" i="24" s="1"/>
  <c r="B270" i="24" s="1"/>
  <c r="K269" i="8" s="1"/>
  <c r="G269" i="24"/>
  <c r="F269" i="24" s="1"/>
  <c r="D269" i="24" s="1"/>
  <c r="B269" i="24" s="1"/>
  <c r="K268" i="8" s="1"/>
  <c r="G262" i="24"/>
  <c r="F262" i="24" s="1"/>
  <c r="D262" i="24" s="1"/>
  <c r="B262" i="24" s="1"/>
  <c r="K261" i="8" s="1"/>
  <c r="G273" i="24"/>
  <c r="F273" i="24" s="1"/>
  <c r="D273" i="24" s="1"/>
  <c r="B273" i="24" s="1"/>
  <c r="K272" i="8" s="1"/>
  <c r="G276" i="24"/>
  <c r="F276" i="24" s="1"/>
  <c r="D276" i="24" s="1"/>
  <c r="B276" i="24" s="1"/>
  <c r="K275" i="8" s="1"/>
  <c r="G265" i="24"/>
  <c r="F265" i="24" s="1"/>
  <c r="D265" i="24" s="1"/>
  <c r="B265" i="24" s="1"/>
  <c r="K264" i="8" s="1"/>
  <c r="G268" i="24"/>
  <c r="F268" i="24" s="1"/>
  <c r="D268" i="24" s="1"/>
  <c r="B268" i="24" s="1"/>
  <c r="K267" i="8" s="1"/>
  <c r="G279" i="24"/>
  <c r="F279" i="24" s="1"/>
  <c r="D279" i="24" s="1"/>
  <c r="B279" i="24" s="1"/>
  <c r="K278" i="8" s="1"/>
  <c r="G260" i="24"/>
  <c r="F260" i="24" s="1"/>
  <c r="D260" i="24" s="1"/>
  <c r="B260" i="24" s="1"/>
  <c r="K259" i="8" s="1"/>
  <c r="G271" i="24"/>
  <c r="F271" i="24" s="1"/>
  <c r="D271" i="24" s="1"/>
  <c r="B271" i="24" s="1"/>
  <c r="K270" i="8" s="1"/>
  <c r="G266" i="24"/>
  <c r="F266" i="24" s="1"/>
  <c r="D266" i="24" s="1"/>
  <c r="B266" i="24" s="1"/>
  <c r="K265" i="8" s="1"/>
  <c r="G263" i="24"/>
  <c r="F263" i="24" s="1"/>
  <c r="D263" i="24" s="1"/>
  <c r="B263" i="24" s="1"/>
  <c r="K262" i="8" s="1"/>
  <c r="G274" i="24"/>
  <c r="F274" i="24" s="1"/>
  <c r="D274" i="24" s="1"/>
  <c r="B274" i="24" s="1"/>
  <c r="K273" i="8" s="1"/>
  <c r="G277" i="24"/>
  <c r="F277" i="24" s="1"/>
  <c r="D277" i="24" s="1"/>
  <c r="B277" i="24" s="1"/>
  <c r="K276" i="8" s="1"/>
  <c r="G280" i="24"/>
  <c r="F280" i="24" s="1"/>
  <c r="D280" i="24" s="1"/>
  <c r="B280" i="24" s="1"/>
  <c r="K279" i="8" s="1"/>
  <c r="D250" i="23" a="1"/>
  <c r="D250" i="23" s="1"/>
  <c r="B250" i="23" s="1"/>
  <c r="D246" i="23" a="1"/>
  <c r="D246" i="23" s="1"/>
  <c r="B246" i="23" s="1"/>
  <c r="D248" i="23" a="1"/>
  <c r="D248" i="23" s="1"/>
  <c r="B248" i="23" s="1"/>
  <c r="D251" i="23" a="1"/>
  <c r="D251" i="23" s="1"/>
  <c r="B251" i="23" s="1"/>
  <c r="D252" i="23" a="1"/>
  <c r="D252" i="23" s="1"/>
  <c r="B252" i="23" s="1"/>
  <c r="D253" i="23" a="1"/>
  <c r="D253" i="23" s="1"/>
  <c r="B253" i="23" s="1"/>
  <c r="D247" i="23" a="1"/>
  <c r="D247" i="23" s="1"/>
  <c r="B247" i="23" s="1"/>
  <c r="D249" i="23" a="1"/>
  <c r="D249" i="23" s="1"/>
  <c r="B249" i="23" s="1"/>
  <c r="D254" i="23" a="1"/>
  <c r="D254" i="23" s="1"/>
  <c r="B254" i="23" s="1"/>
  <c r="D255" i="23" a="1"/>
  <c r="D255" i="23" s="1"/>
  <c r="B255" i="23" s="1"/>
  <c r="G251" i="19"/>
  <c r="F251" i="19" s="1"/>
  <c r="D251" i="19" s="1"/>
  <c r="B251" i="19" s="1"/>
  <c r="G255" i="19"/>
  <c r="F255" i="19" s="1"/>
  <c r="D255" i="19" s="1"/>
  <c r="B255" i="19" s="1"/>
  <c r="G254" i="8" s="1"/>
  <c r="G259" i="19"/>
  <c r="F259" i="19" s="1"/>
  <c r="D259" i="19" s="1"/>
  <c r="B259" i="19" s="1"/>
  <c r="G252" i="19"/>
  <c r="F252" i="19" s="1"/>
  <c r="D252" i="19" s="1"/>
  <c r="B252" i="19" s="1"/>
  <c r="G256" i="19"/>
  <c r="F256" i="19" s="1"/>
  <c r="D256" i="19" s="1"/>
  <c r="B256" i="19" s="1"/>
  <c r="G253" i="19"/>
  <c r="F253" i="19" s="1"/>
  <c r="D253" i="19" s="1"/>
  <c r="B253" i="19" s="1"/>
  <c r="G257" i="19"/>
  <c r="F257" i="19" s="1"/>
  <c r="D257" i="19" s="1"/>
  <c r="B257" i="19" s="1"/>
  <c r="G256" i="8" s="1"/>
  <c r="G250" i="19"/>
  <c r="F250" i="19" s="1"/>
  <c r="D250" i="19" s="1"/>
  <c r="B250" i="19" s="1"/>
  <c r="G254" i="19"/>
  <c r="F254" i="19" s="1"/>
  <c r="D254" i="19" s="1"/>
  <c r="B254" i="19" s="1"/>
  <c r="G253" i="8" s="1"/>
  <c r="G258" i="19"/>
  <c r="F258" i="19" s="1"/>
  <c r="D258" i="19" s="1"/>
  <c r="B258" i="19" s="1"/>
  <c r="G251" i="24"/>
  <c r="F251" i="24" s="1"/>
  <c r="D251" i="24" s="1"/>
  <c r="B251" i="24" s="1"/>
  <c r="K250" i="8" s="1"/>
  <c r="G253" i="24"/>
  <c r="F253" i="24" s="1"/>
  <c r="D253" i="24" s="1"/>
  <c r="B253" i="24" s="1"/>
  <c r="K252" i="8" s="1"/>
  <c r="G255" i="24"/>
  <c r="F255" i="24" s="1"/>
  <c r="D255" i="24" s="1"/>
  <c r="B255" i="24" s="1"/>
  <c r="K254" i="8" s="1"/>
  <c r="G257" i="24"/>
  <c r="F257" i="24" s="1"/>
  <c r="D257" i="24" s="1"/>
  <c r="B257" i="24" s="1"/>
  <c r="K256" i="8" s="1"/>
  <c r="G259" i="24"/>
  <c r="F259" i="24" s="1"/>
  <c r="D259" i="24" s="1"/>
  <c r="B259" i="24" s="1"/>
  <c r="K258" i="8" s="1"/>
  <c r="G250" i="24"/>
  <c r="F250" i="24" s="1"/>
  <c r="D250" i="24" s="1"/>
  <c r="B250" i="24" s="1"/>
  <c r="K249" i="8" s="1"/>
  <c r="G252" i="24"/>
  <c r="F252" i="24" s="1"/>
  <c r="D252" i="24" s="1"/>
  <c r="B252" i="24" s="1"/>
  <c r="K251" i="8" s="1"/>
  <c r="G254" i="24"/>
  <c r="F254" i="24" s="1"/>
  <c r="D254" i="24" s="1"/>
  <c r="B254" i="24" s="1"/>
  <c r="K253" i="8" s="1"/>
  <c r="G256" i="24"/>
  <c r="F256" i="24" s="1"/>
  <c r="D256" i="24" s="1"/>
  <c r="B256" i="24" s="1"/>
  <c r="K255" i="8" s="1"/>
  <c r="G258" i="24"/>
  <c r="F258" i="24" s="1"/>
  <c r="D258" i="24" s="1"/>
  <c r="B258" i="24" s="1"/>
  <c r="K257" i="8" s="1"/>
  <c r="D203" i="23" a="1"/>
  <c r="D203" i="23" s="1"/>
  <c r="B203" i="23" s="1"/>
  <c r="D189" i="23" a="1"/>
  <c r="D189" i="23" s="1"/>
  <c r="B189" i="23" s="1"/>
  <c r="D194" i="23" a="1"/>
  <c r="D194" i="23" s="1"/>
  <c r="B194" i="23" s="1"/>
  <c r="D181" i="23" a="1"/>
  <c r="D181" i="23" s="1"/>
  <c r="B181" i="23" s="1"/>
  <c r="D164" i="23" a="1"/>
  <c r="D164" i="23" s="1"/>
  <c r="B164" i="23" s="1"/>
  <c r="D136" i="23" a="1"/>
  <c r="D136" i="23" s="1"/>
  <c r="B136" i="23" s="1"/>
  <c r="D135" i="23" a="1"/>
  <c r="D135" i="23" s="1"/>
  <c r="B135" i="23" s="1"/>
  <c r="D89" i="23" a="1"/>
  <c r="D89" i="23" s="1"/>
  <c r="B89" i="23" s="1"/>
  <c r="D120" i="23" a="1"/>
  <c r="D120" i="23" s="1"/>
  <c r="B120" i="23" s="1"/>
  <c r="D92" i="23" a="1"/>
  <c r="D92" i="23" s="1"/>
  <c r="B92" i="23" s="1"/>
  <c r="D66" i="23" a="1"/>
  <c r="D66" i="23" s="1"/>
  <c r="B66" i="23" s="1"/>
  <c r="D41" i="23" a="1"/>
  <c r="D41" i="23" s="1"/>
  <c r="B41" i="23" s="1"/>
  <c r="D100" i="23" a="1"/>
  <c r="D100" i="23" s="1"/>
  <c r="B100" i="23" s="1"/>
  <c r="D19" i="23" a="1"/>
  <c r="D19" i="23" s="1"/>
  <c r="B19" i="23" s="1"/>
  <c r="D34" i="23" a="1"/>
  <c r="D34" i="23" s="1"/>
  <c r="B34" i="23" s="1"/>
  <c r="D197" i="23" a="1"/>
  <c r="D197" i="23" s="1"/>
  <c r="B197" i="23" s="1"/>
  <c r="D185" i="23" a="1"/>
  <c r="D185" i="23" s="1"/>
  <c r="B185" i="23" s="1"/>
  <c r="D163" i="23" a="1"/>
  <c r="D163" i="23" s="1"/>
  <c r="B163" i="23" s="1"/>
  <c r="D173" i="23" a="1"/>
  <c r="D173" i="23" s="1"/>
  <c r="B173" i="23" s="1"/>
  <c r="D172" i="23" a="1"/>
  <c r="D172" i="23" s="1"/>
  <c r="B172" i="23" s="1"/>
  <c r="D157" i="23" a="1"/>
  <c r="D157" i="23" s="1"/>
  <c r="B157" i="23" s="1"/>
  <c r="D139" i="23" a="1"/>
  <c r="D139" i="23" s="1"/>
  <c r="B139" i="23" s="1"/>
  <c r="D112" i="23" a="1"/>
  <c r="D112" i="23" s="1"/>
  <c r="B112" i="23" s="1"/>
  <c r="D2" i="23" a="1"/>
  <c r="D2" i="23" s="1"/>
  <c r="B2" i="23" s="1"/>
  <c r="D128" i="23" a="1"/>
  <c r="D128" i="23" s="1"/>
  <c r="B128" i="23" s="1"/>
  <c r="D144" i="23" a="1"/>
  <c r="D144" i="23" s="1"/>
  <c r="B144" i="23" s="1"/>
  <c r="D140" i="23" a="1"/>
  <c r="D140" i="23" s="1"/>
  <c r="B140" i="23" s="1"/>
  <c r="D22" i="23" a="1"/>
  <c r="D22" i="23" s="1"/>
  <c r="B22" i="23" s="1"/>
  <c r="D88" i="23" a="1"/>
  <c r="D88" i="23" s="1"/>
  <c r="B88" i="23" s="1"/>
  <c r="D142" i="23" a="1"/>
  <c r="D142" i="23" s="1"/>
  <c r="B142" i="23" s="1"/>
  <c r="D187" i="23" a="1"/>
  <c r="D187" i="23" s="1"/>
  <c r="B187" i="23" s="1"/>
  <c r="D177" i="23" a="1"/>
  <c r="D177" i="23" s="1"/>
  <c r="B177" i="23" s="1"/>
  <c r="D180" i="23" a="1"/>
  <c r="D180" i="23" s="1"/>
  <c r="B180" i="23" s="1"/>
  <c r="D160" i="23" a="1"/>
  <c r="D160" i="23" s="1"/>
  <c r="B160" i="23" s="1"/>
  <c r="D165" i="23" a="1"/>
  <c r="D165" i="23" s="1"/>
  <c r="B165" i="23" s="1"/>
  <c r="D161" i="23" a="1"/>
  <c r="D161" i="23" s="1"/>
  <c r="B161" i="23" s="1"/>
  <c r="D168" i="23" a="1"/>
  <c r="D168" i="23" s="1"/>
  <c r="B168" i="23" s="1"/>
  <c r="D162" i="23" a="1"/>
  <c r="D162" i="23" s="1"/>
  <c r="B162" i="23" s="1"/>
  <c r="D77" i="23" a="1"/>
  <c r="D77" i="23" s="1"/>
  <c r="B77" i="23" s="1"/>
  <c r="D138" i="23" a="1"/>
  <c r="D138" i="23" s="1"/>
  <c r="B138" i="23" s="1"/>
  <c r="D155" i="23" a="1"/>
  <c r="D155" i="23" s="1"/>
  <c r="B155" i="23" s="1"/>
  <c r="D106" i="23" a="1"/>
  <c r="D106" i="23" s="1"/>
  <c r="B106" i="23" s="1"/>
  <c r="D146" i="23" a="1"/>
  <c r="D146" i="23" s="1"/>
  <c r="B146" i="23" s="1"/>
  <c r="D44" i="23" a="1"/>
  <c r="D44" i="23" s="1"/>
  <c r="B44" i="23" s="1"/>
  <c r="D102" i="23" a="1"/>
  <c r="D102" i="23" s="1"/>
  <c r="B102" i="23" s="1"/>
  <c r="D96" i="23" a="1"/>
  <c r="D96" i="23" s="1"/>
  <c r="B96" i="23" s="1"/>
  <c r="D42" i="23" a="1"/>
  <c r="D42" i="23" s="1"/>
  <c r="B42" i="23" s="1"/>
  <c r="D131" i="23" a="1"/>
  <c r="D131" i="23" s="1"/>
  <c r="B131" i="23" s="1"/>
  <c r="D101" i="23" a="1"/>
  <c r="D101" i="23" s="1"/>
  <c r="B101" i="23" s="1"/>
  <c r="D87" i="23" a="1"/>
  <c r="D87" i="23" s="1"/>
  <c r="B87" i="23" s="1"/>
  <c r="D193" i="23" a="1"/>
  <c r="D193" i="23" s="1"/>
  <c r="B193" i="23" s="1"/>
  <c r="D176" i="23" a="1"/>
  <c r="D176" i="23" s="1"/>
  <c r="B176" i="23" s="1"/>
  <c r="D134" i="23" a="1"/>
  <c r="D134" i="23" s="1"/>
  <c r="B134" i="23" s="1"/>
  <c r="D156" i="23" a="1"/>
  <c r="D156" i="23" s="1"/>
  <c r="B156" i="23" s="1"/>
  <c r="D118" i="23" a="1"/>
  <c r="D118" i="23" s="1"/>
  <c r="B118" i="23" s="1"/>
  <c r="D80" i="23" a="1"/>
  <c r="D80" i="23" s="1"/>
  <c r="B80" i="23" s="1"/>
  <c r="D153" i="23" a="1"/>
  <c r="D153" i="23" s="1"/>
  <c r="B153" i="23" s="1"/>
  <c r="D14" i="23" a="1"/>
  <c r="D14" i="23" s="1"/>
  <c r="B14" i="23" s="1"/>
  <c r="D95" i="23" a="1"/>
  <c r="D95" i="23" s="1"/>
  <c r="B95" i="23" s="1"/>
  <c r="D149" i="23" a="1"/>
  <c r="D149" i="23" s="1"/>
  <c r="B149" i="23" s="1"/>
  <c r="D117" i="23" a="1"/>
  <c r="D117" i="23" s="1"/>
  <c r="B117" i="23" s="1"/>
  <c r="D4" i="23" a="1"/>
  <c r="D4" i="23" s="1"/>
  <c r="B4" i="23" s="1"/>
  <c r="D190" i="23" a="1"/>
  <c r="D190" i="23" s="1"/>
  <c r="B190" i="23" s="1"/>
  <c r="D201" i="23" a="1"/>
  <c r="D201" i="23" s="1"/>
  <c r="B201" i="23" s="1"/>
  <c r="D188" i="23" a="1"/>
  <c r="D188" i="23" s="1"/>
  <c r="B188" i="23" s="1"/>
  <c r="D182" i="23" a="1"/>
  <c r="D182" i="23" s="1"/>
  <c r="B182" i="23" s="1"/>
  <c r="D122" i="23" a="1"/>
  <c r="D122" i="23" s="1"/>
  <c r="B122" i="23" s="1"/>
  <c r="D152" i="23" a="1"/>
  <c r="D152" i="23" s="1"/>
  <c r="B152" i="23" s="1"/>
  <c r="D132" i="23" a="1"/>
  <c r="D132" i="23" s="1"/>
  <c r="B132" i="23" s="1"/>
  <c r="D58" i="23" a="1"/>
  <c r="D58" i="23" s="1"/>
  <c r="B58" i="23" s="1"/>
  <c r="D150" i="23" a="1"/>
  <c r="D150" i="23" s="1"/>
  <c r="B150" i="23" s="1"/>
  <c r="D137" i="23" a="1"/>
  <c r="D137" i="23" s="1"/>
  <c r="B137" i="23" s="1"/>
  <c r="D147" i="23" a="1"/>
  <c r="D147" i="23" s="1"/>
  <c r="B147" i="23" s="1"/>
  <c r="D111" i="23" a="1"/>
  <c r="D111" i="23" s="1"/>
  <c r="B111" i="23" s="1"/>
  <c r="D158" i="23" a="1"/>
  <c r="D158" i="23" s="1"/>
  <c r="B158" i="23" s="1"/>
  <c r="D37" i="23" a="1"/>
  <c r="D37" i="23" s="1"/>
  <c r="B37" i="23" s="1"/>
  <c r="D126" i="23" a="1"/>
  <c r="D126" i="23" s="1"/>
  <c r="B126" i="23" s="1"/>
  <c r="D64" i="23" a="1"/>
  <c r="D64" i="23" s="1"/>
  <c r="B64" i="23" s="1"/>
  <c r="D79" i="23" a="1"/>
  <c r="D79" i="23" s="1"/>
  <c r="B79" i="23" s="1"/>
  <c r="D167" i="23" a="1"/>
  <c r="D167" i="23" s="1"/>
  <c r="B167" i="23" s="1"/>
  <c r="D174" i="23" a="1"/>
  <c r="D174" i="23" s="1"/>
  <c r="B174" i="23" s="1"/>
  <c r="D183" i="23" a="1"/>
  <c r="D183" i="23" s="1"/>
  <c r="B183" i="23" s="1"/>
  <c r="D179" i="23" a="1"/>
  <c r="D179" i="23" s="1"/>
  <c r="B179" i="23" s="1"/>
  <c r="D169" i="23" a="1"/>
  <c r="D169" i="23" s="1"/>
  <c r="B169" i="23" s="1"/>
  <c r="D171" i="23" a="1"/>
  <c r="D171" i="23" s="1"/>
  <c r="B171" i="23" s="1"/>
  <c r="D166" i="23" a="1"/>
  <c r="D166" i="23" s="1"/>
  <c r="B166" i="23" s="1"/>
  <c r="D170" i="23" a="1"/>
  <c r="D170" i="23" s="1"/>
  <c r="B170" i="23" s="1"/>
  <c r="D154" i="23" a="1"/>
  <c r="D154" i="23" s="1"/>
  <c r="B154" i="23" s="1"/>
  <c r="D124" i="23" a="1"/>
  <c r="D124" i="23" s="1"/>
  <c r="B124" i="23" s="1"/>
  <c r="D151" i="23" a="1"/>
  <c r="D151" i="23" s="1"/>
  <c r="B151" i="23" s="1"/>
  <c r="D107" i="23" a="1"/>
  <c r="D107" i="23" s="1"/>
  <c r="B107" i="23" s="1"/>
  <c r="D123" i="23" a="1"/>
  <c r="D123" i="23" s="1"/>
  <c r="B123" i="23" s="1"/>
  <c r="D114" i="23" a="1"/>
  <c r="D114" i="23" s="1"/>
  <c r="B114" i="23" s="1"/>
  <c r="D52" i="23" a="1"/>
  <c r="D52" i="23" s="1"/>
  <c r="B52" i="23" s="1"/>
  <c r="D50" i="23" a="1"/>
  <c r="D50" i="23" s="1"/>
  <c r="B50" i="23" s="1"/>
  <c r="D178" i="23" a="1"/>
  <c r="D178" i="23" s="1"/>
  <c r="B178" i="23" s="1"/>
  <c r="D105" i="23" a="1"/>
  <c r="D105" i="23" s="1"/>
  <c r="B105" i="23" s="1"/>
  <c r="D133" i="23" a="1"/>
  <c r="D133" i="23" s="1"/>
  <c r="B133" i="23" s="1"/>
  <c r="D61" i="23" a="1"/>
  <c r="D61" i="23" s="1"/>
  <c r="B61" i="23" s="1"/>
  <c r="D68" i="23" a="1"/>
  <c r="D68" i="23" s="1"/>
  <c r="B68" i="23" s="1"/>
  <c r="D35" i="23" a="1"/>
  <c r="D35" i="23" s="1"/>
  <c r="B35" i="23" s="1"/>
  <c r="D36" i="23" a="1"/>
  <c r="D36" i="23" s="1"/>
  <c r="B36" i="23" s="1"/>
  <c r="D75" i="23" a="1"/>
  <c r="D75" i="23" s="1"/>
  <c r="B75" i="23" s="1"/>
  <c r="D94" i="23" a="1"/>
  <c r="D94" i="23" s="1"/>
  <c r="B94" i="23" s="1"/>
  <c r="D97" i="23" a="1"/>
  <c r="D97" i="23" s="1"/>
  <c r="B97" i="23" s="1"/>
  <c r="D6" i="23" a="1"/>
  <c r="D6" i="23" s="1"/>
  <c r="B6" i="23" s="1"/>
  <c r="D27" i="23" a="1"/>
  <c r="D27" i="23" s="1"/>
  <c r="B27" i="23" s="1"/>
  <c r="D91" i="23" a="1"/>
  <c r="D91" i="23" s="1"/>
  <c r="B91" i="23" s="1"/>
  <c r="D7" i="23" a="1"/>
  <c r="D7" i="23" s="1"/>
  <c r="B7" i="23" s="1"/>
  <c r="D86" i="23" a="1"/>
  <c r="D86" i="23" s="1"/>
  <c r="B86" i="23" s="1"/>
  <c r="D141" i="23" a="1"/>
  <c r="D141" i="23" s="1"/>
  <c r="B141" i="23" s="1"/>
  <c r="D9" i="23" a="1"/>
  <c r="D9" i="23" s="1"/>
  <c r="B9" i="23" s="1"/>
  <c r="D82" i="23" a="1"/>
  <c r="D82" i="23" s="1"/>
  <c r="B82" i="23" s="1"/>
  <c r="D84" i="23" a="1"/>
  <c r="D84" i="23" s="1"/>
  <c r="B84" i="23" s="1"/>
  <c r="D109" i="23" a="1"/>
  <c r="D109" i="23" s="1"/>
  <c r="B109" i="23" s="1"/>
  <c r="D93" i="23" a="1"/>
  <c r="D93" i="23" s="1"/>
  <c r="B93" i="23" s="1"/>
  <c r="D29" i="23" a="1"/>
  <c r="D29" i="23" s="1"/>
  <c r="B29" i="23" s="1"/>
  <c r="D143" i="23" a="1"/>
  <c r="D143" i="23" s="1"/>
  <c r="B143" i="23" s="1"/>
  <c r="D125" i="23" a="1"/>
  <c r="D125" i="23" s="1"/>
  <c r="B125" i="23" s="1"/>
  <c r="D129" i="23" a="1"/>
  <c r="D129" i="23" s="1"/>
  <c r="B129" i="23" s="1"/>
  <c r="D74" i="23" a="1"/>
  <c r="D74" i="23" s="1"/>
  <c r="B74" i="23" s="1"/>
  <c r="D69" i="23" a="1"/>
  <c r="D69" i="23" s="1"/>
  <c r="B69" i="23" s="1"/>
  <c r="D71" i="23" a="1"/>
  <c r="D71" i="23" s="1"/>
  <c r="B71" i="23" s="1"/>
  <c r="D121" i="23" a="1"/>
  <c r="D121" i="23" s="1"/>
  <c r="B121" i="23" s="1"/>
  <c r="D115" i="23" a="1"/>
  <c r="D115" i="23" s="1"/>
  <c r="B115" i="23" s="1"/>
  <c r="D113" i="23" a="1"/>
  <c r="D113" i="23" s="1"/>
  <c r="B113" i="23" s="1"/>
  <c r="D67" i="23" a="1"/>
  <c r="D67" i="23" s="1"/>
  <c r="B67" i="23" s="1"/>
  <c r="D130" i="23" a="1"/>
  <c r="D130" i="23" s="1"/>
  <c r="B130" i="23" s="1"/>
  <c r="D63" i="23" a="1"/>
  <c r="D63" i="23" s="1"/>
  <c r="B63" i="23" s="1"/>
  <c r="D116" i="23" a="1"/>
  <c r="D116" i="23" s="1"/>
  <c r="B116" i="23" s="1"/>
  <c r="D76" i="23" a="1"/>
  <c r="D76" i="23" s="1"/>
  <c r="B76" i="23" s="1"/>
  <c r="D99" i="23" a="1"/>
  <c r="D99" i="23" s="1"/>
  <c r="B99" i="23" s="1"/>
  <c r="D65" i="23" a="1"/>
  <c r="D65" i="23" s="1"/>
  <c r="B65" i="23" s="1"/>
  <c r="D59" i="23" a="1"/>
  <c r="D59" i="23" s="1"/>
  <c r="B59" i="23" s="1"/>
  <c r="D73" i="23" a="1"/>
  <c r="D73" i="23" s="1"/>
  <c r="B73" i="23" s="1"/>
  <c r="D81" i="23" a="1"/>
  <c r="D81" i="23" s="1"/>
  <c r="B81" i="23" s="1"/>
  <c r="D43" i="23" a="1"/>
  <c r="D43" i="23" s="1"/>
  <c r="B43" i="23" s="1"/>
  <c r="D56" i="23" a="1"/>
  <c r="D56" i="23" s="1"/>
  <c r="B56" i="23" s="1"/>
  <c r="D5" i="23" a="1"/>
  <c r="D5" i="23" s="1"/>
  <c r="B5" i="23" s="1"/>
  <c r="D184" i="23" a="1"/>
  <c r="D184" i="23" s="1"/>
  <c r="B184" i="23" s="1"/>
  <c r="D145" i="23" a="1"/>
  <c r="D145" i="23" s="1"/>
  <c r="B145" i="23" s="1"/>
  <c r="D39" i="23" a="1"/>
  <c r="D39" i="23" s="1"/>
  <c r="B39" i="23" s="1"/>
  <c r="D49" i="23" a="1"/>
  <c r="D49" i="23" s="1"/>
  <c r="B49" i="23" s="1"/>
  <c r="D53" i="23" a="1"/>
  <c r="D53" i="23" s="1"/>
  <c r="B53" i="23" s="1"/>
  <c r="D104" i="23" a="1"/>
  <c r="D104" i="23" s="1"/>
  <c r="B104" i="23" s="1"/>
  <c r="D83" i="23" a="1"/>
  <c r="D83" i="23" s="1"/>
  <c r="B83" i="23" s="1"/>
  <c r="D85" i="23" a="1"/>
  <c r="D85" i="23" s="1"/>
  <c r="B85" i="23" s="1"/>
  <c r="D33" i="23" a="1"/>
  <c r="D33" i="23" s="1"/>
  <c r="B33" i="23" s="1"/>
  <c r="D159" i="23" a="1"/>
  <c r="D159" i="23" s="1"/>
  <c r="B159" i="23" s="1"/>
  <c r="D57" i="23" a="1"/>
  <c r="D57" i="23" s="1"/>
  <c r="B57" i="23" s="1"/>
  <c r="D51" i="23" a="1"/>
  <c r="D51" i="23" s="1"/>
  <c r="B51" i="23" s="1"/>
  <c r="D70" i="23" a="1"/>
  <c r="D70" i="23" s="1"/>
  <c r="B70" i="23" s="1"/>
  <c r="D72" i="23" a="1"/>
  <c r="D72" i="23" s="1"/>
  <c r="B72" i="23" s="1"/>
  <c r="D31" i="23" a="1"/>
  <c r="D31" i="23" s="1"/>
  <c r="B31" i="23" s="1"/>
  <c r="D30" i="23" a="1"/>
  <c r="D30" i="23" s="1"/>
  <c r="B30" i="23" s="1"/>
  <c r="D45" i="23" a="1"/>
  <c r="D45" i="23" s="1"/>
  <c r="B45" i="23" s="1"/>
  <c r="D103" i="23" a="1"/>
  <c r="D103" i="23" s="1"/>
  <c r="B103" i="23" s="1"/>
  <c r="D48" i="23" a="1"/>
  <c r="D48" i="23" s="1"/>
  <c r="B48" i="23" s="1"/>
  <c r="D32" i="23" a="1"/>
  <c r="D32" i="23" s="1"/>
  <c r="B32" i="23" s="1"/>
  <c r="D175" i="23" a="1"/>
  <c r="D175" i="23" s="1"/>
  <c r="B175" i="23" s="1"/>
  <c r="D78" i="23" a="1"/>
  <c r="D78" i="23" s="1"/>
  <c r="B78" i="23" s="1"/>
  <c r="D54" i="23" a="1"/>
  <c r="D54" i="23" s="1"/>
  <c r="B54" i="23" s="1"/>
  <c r="D21" i="23" a="1"/>
  <c r="D21" i="23" s="1"/>
  <c r="B21" i="23" s="1"/>
  <c r="D108" i="23" a="1"/>
  <c r="D108" i="23" s="1"/>
  <c r="B108" i="23" s="1"/>
  <c r="D60" i="23" a="1"/>
  <c r="D60" i="23" s="1"/>
  <c r="B60" i="23" s="1"/>
  <c r="D18" i="23" a="1"/>
  <c r="D18" i="23" s="1"/>
  <c r="B18" i="23" s="1"/>
  <c r="D10" i="23" a="1"/>
  <c r="D10" i="23" s="1"/>
  <c r="B10" i="23" s="1"/>
  <c r="D127" i="23" a="1"/>
  <c r="D127" i="23" s="1"/>
  <c r="B127" i="23" s="1"/>
  <c r="D55" i="23" a="1"/>
  <c r="D55" i="23" s="1"/>
  <c r="B55" i="23" s="1"/>
  <c r="D38" i="23" a="1"/>
  <c r="D38" i="23" s="1"/>
  <c r="B38" i="23" s="1"/>
  <c r="D23" i="23" a="1"/>
  <c r="D23" i="23" s="1"/>
  <c r="B23" i="23" s="1"/>
  <c r="D47" i="23" a="1"/>
  <c r="D47" i="23" s="1"/>
  <c r="B47" i="23" s="1"/>
  <c r="D62" i="23" a="1"/>
  <c r="D62" i="23" s="1"/>
  <c r="B62" i="23" s="1"/>
  <c r="D25" i="23" a="1"/>
  <c r="D25" i="23" s="1"/>
  <c r="B25" i="23" s="1"/>
  <c r="D28" i="23" a="1"/>
  <c r="D28" i="23" s="1"/>
  <c r="B28" i="23" s="1"/>
  <c r="D20" i="23" a="1"/>
  <c r="D20" i="23" s="1"/>
  <c r="B20" i="23" s="1"/>
  <c r="D46" i="23" a="1"/>
  <c r="D46" i="23" s="1"/>
  <c r="B46" i="23" s="1"/>
  <c r="D110" i="23" a="1"/>
  <c r="D110" i="23" s="1"/>
  <c r="B110" i="23" s="1"/>
  <c r="D17" i="23" a="1"/>
  <c r="D17" i="23" s="1"/>
  <c r="B17" i="23" s="1"/>
  <c r="D15" i="23" a="1"/>
  <c r="D15" i="23" s="1"/>
  <c r="B15" i="23" s="1"/>
  <c r="D98" i="23" a="1"/>
  <c r="D98" i="23" s="1"/>
  <c r="B98" i="23" s="1"/>
  <c r="D119" i="23" a="1"/>
  <c r="D119" i="23" s="1"/>
  <c r="B119" i="23" s="1"/>
  <c r="D26" i="23" a="1"/>
  <c r="D26" i="23" s="1"/>
  <c r="B26" i="23" s="1"/>
  <c r="D24" i="23" a="1"/>
  <c r="D24" i="23" s="1"/>
  <c r="B24" i="23" s="1"/>
  <c r="D11" i="23" a="1"/>
  <c r="D11" i="23" s="1"/>
  <c r="B11" i="23" s="1"/>
  <c r="D12" i="23" a="1"/>
  <c r="D12" i="23" s="1"/>
  <c r="B12" i="23" s="1"/>
  <c r="D90" i="23" a="1"/>
  <c r="D90" i="23" s="1"/>
  <c r="B90" i="23" s="1"/>
  <c r="D13" i="23" a="1"/>
  <c r="D13" i="23" s="1"/>
  <c r="B13" i="23" s="1"/>
  <c r="D16" i="23" a="1"/>
  <c r="D16" i="23" s="1"/>
  <c r="B16" i="23" s="1"/>
  <c r="D8" i="23" a="1"/>
  <c r="D8" i="23" s="1"/>
  <c r="B8" i="23" s="1"/>
  <c r="D148" i="23" a="1"/>
  <c r="D148" i="23" s="1"/>
  <c r="B148" i="23" s="1"/>
  <c r="D40" i="23" a="1"/>
  <c r="D40" i="23" s="1"/>
  <c r="B40" i="23" s="1"/>
  <c r="D242" i="23" a="1"/>
  <c r="D242" i="23" s="1"/>
  <c r="B242" i="23" s="1"/>
  <c r="D192" i="23" a="1"/>
  <c r="D192" i="23" s="1"/>
  <c r="B192" i="23" s="1"/>
  <c r="D217" i="23" a="1"/>
  <c r="D217" i="23" s="1"/>
  <c r="B217" i="23" s="1"/>
  <c r="D220" i="23" a="1"/>
  <c r="D220" i="23" s="1"/>
  <c r="B220" i="23" s="1"/>
  <c r="D239" i="23" a="1"/>
  <c r="D239" i="23" s="1"/>
  <c r="B239" i="23" s="1"/>
  <c r="D237" i="23" a="1"/>
  <c r="D237" i="23" s="1"/>
  <c r="B237" i="23" s="1"/>
  <c r="D240" i="23" a="1"/>
  <c r="D240" i="23" s="1"/>
  <c r="B240" i="23" s="1"/>
  <c r="D236" i="23" a="1"/>
  <c r="D236" i="23" s="1"/>
  <c r="B236" i="23" s="1"/>
  <c r="D243" i="23" a="1"/>
  <c r="D243" i="23" s="1"/>
  <c r="B243" i="23" s="1"/>
  <c r="D231" i="23" a="1"/>
  <c r="D231" i="23" s="1"/>
  <c r="B231" i="23" s="1"/>
  <c r="D223" i="23" a="1"/>
  <c r="D223" i="23" s="1"/>
  <c r="B223" i="23" s="1"/>
  <c r="D213" i="23" a="1"/>
  <c r="D213" i="23" s="1"/>
  <c r="B213" i="23" s="1"/>
  <c r="D204" i="23" a="1"/>
  <c r="D204" i="23" s="1"/>
  <c r="B204" i="23" s="1"/>
  <c r="D234" i="23" a="1"/>
  <c r="D234" i="23" s="1"/>
  <c r="B234" i="23" s="1"/>
  <c r="D200" i="23" a="1"/>
  <c r="D200" i="23" s="1"/>
  <c r="B200" i="23" s="1"/>
  <c r="D221" i="23" a="1"/>
  <c r="D221" i="23" s="1"/>
  <c r="B221" i="23" s="1"/>
  <c r="D226" i="23" a="1"/>
  <c r="D226" i="23" s="1"/>
  <c r="B226" i="23" s="1"/>
  <c r="D209" i="23" a="1"/>
  <c r="D209" i="23" s="1"/>
  <c r="B209" i="23" s="1"/>
  <c r="D186" i="23" a="1"/>
  <c r="D186" i="23" s="1"/>
  <c r="B186" i="23" s="1"/>
  <c r="D3" i="23" a="1"/>
  <c r="D3" i="23" s="1"/>
  <c r="B3" i="23" s="1"/>
  <c r="D198" i="23" a="1"/>
  <c r="D198" i="23" s="1"/>
  <c r="B198" i="23" s="1"/>
  <c r="D230" i="23" a="1"/>
  <c r="D230" i="23" s="1"/>
  <c r="B230" i="23" s="1"/>
  <c r="D244" i="23" a="1"/>
  <c r="D244" i="23" s="1"/>
  <c r="B244" i="23" s="1"/>
  <c r="D233" i="23" a="1"/>
  <c r="D233" i="23" s="1"/>
  <c r="B233" i="23" s="1"/>
  <c r="D196" i="23" a="1"/>
  <c r="D196" i="23" s="1"/>
  <c r="B196" i="23" s="1"/>
  <c r="D215" i="23" a="1"/>
  <c r="D215" i="23" s="1"/>
  <c r="B215" i="23" s="1"/>
  <c r="D222" i="23" a="1"/>
  <c r="D222" i="23" s="1"/>
  <c r="B222" i="23" s="1"/>
  <c r="D207" i="23" a="1"/>
  <c r="D207" i="23" s="1"/>
  <c r="B207" i="23" s="1"/>
  <c r="D195" i="23" a="1"/>
  <c r="D195" i="23" s="1"/>
  <c r="B195" i="23" s="1"/>
  <c r="D228" i="23" a="1"/>
  <c r="D228" i="23" s="1"/>
  <c r="B228" i="23" s="1"/>
  <c r="D218" i="23" a="1"/>
  <c r="D218" i="23" s="1"/>
  <c r="B218" i="23" s="1"/>
  <c r="D224" i="23" a="1"/>
  <c r="D224" i="23" s="1"/>
  <c r="B224" i="23" s="1"/>
  <c r="D210" i="23" a="1"/>
  <c r="D210" i="23" s="1"/>
  <c r="B210" i="23" s="1"/>
  <c r="D229" i="23" a="1"/>
  <c r="D229" i="23" s="1"/>
  <c r="B229" i="23" s="1"/>
  <c r="D245" i="23" a="1"/>
  <c r="D245" i="23" s="1"/>
  <c r="B245" i="23" s="1"/>
  <c r="D241" i="23" a="1"/>
  <c r="D241" i="23" s="1"/>
  <c r="B241" i="23" s="1"/>
  <c r="D199" i="23" a="1"/>
  <c r="D199" i="23" s="1"/>
  <c r="B199" i="23" s="1"/>
  <c r="D212" i="23" a="1"/>
  <c r="D212" i="23" s="1"/>
  <c r="B212" i="23" s="1"/>
  <c r="D211" i="23" a="1"/>
  <c r="D211" i="23" s="1"/>
  <c r="B211" i="23" s="1"/>
  <c r="D205" i="23" a="1"/>
  <c r="D205" i="23" s="1"/>
  <c r="B205" i="23" s="1"/>
  <c r="D202" i="23" a="1"/>
  <c r="D202" i="23" s="1"/>
  <c r="B202" i="23" s="1"/>
  <c r="D219" i="23" a="1"/>
  <c r="D219" i="23" s="1"/>
  <c r="B219" i="23" s="1"/>
  <c r="D216" i="23" a="1"/>
  <c r="D216" i="23" s="1"/>
  <c r="B216" i="23" s="1"/>
  <c r="D206" i="23" a="1"/>
  <c r="D206" i="23" s="1"/>
  <c r="B206" i="23" s="1"/>
  <c r="D232" i="23" a="1"/>
  <c r="D232" i="23" s="1"/>
  <c r="B232" i="23" s="1"/>
  <c r="D235" i="23" a="1"/>
  <c r="D235" i="23" s="1"/>
  <c r="B235" i="23" s="1"/>
  <c r="D238" i="23" a="1"/>
  <c r="D238" i="23" s="1"/>
  <c r="B238" i="23" s="1"/>
  <c r="D191" i="23" a="1"/>
  <c r="D191" i="23" s="1"/>
  <c r="B191" i="23" s="1"/>
  <c r="D214" i="23" a="1"/>
  <c r="D214" i="23" s="1"/>
  <c r="B214" i="23" s="1"/>
  <c r="D225" i="23" a="1"/>
  <c r="D225" i="23" s="1"/>
  <c r="B225" i="23" s="1"/>
  <c r="D227" i="23" a="1"/>
  <c r="D227" i="23" s="1"/>
  <c r="B227" i="23" s="1"/>
  <c r="D208" i="23" a="1"/>
  <c r="D208" i="23" s="1"/>
  <c r="B208" i="23" s="1"/>
  <c r="G235" i="19"/>
  <c r="F235" i="19" s="1"/>
  <c r="D235" i="19" s="1"/>
  <c r="B235" i="19" s="1"/>
  <c r="G239" i="19"/>
  <c r="F239" i="19" s="1"/>
  <c r="D239" i="19" s="1"/>
  <c r="B239" i="19" s="1"/>
  <c r="G243" i="19"/>
  <c r="F243" i="19" s="1"/>
  <c r="D243" i="19" s="1"/>
  <c r="B243" i="19" s="1"/>
  <c r="G247" i="19"/>
  <c r="F247" i="19" s="1"/>
  <c r="D247" i="19" s="1"/>
  <c r="B247" i="19" s="1"/>
  <c r="G236" i="19"/>
  <c r="F236" i="19" s="1"/>
  <c r="D236" i="19" s="1"/>
  <c r="B236" i="19" s="1"/>
  <c r="G235" i="8" s="1"/>
  <c r="G240" i="19"/>
  <c r="F240" i="19" s="1"/>
  <c r="D240" i="19" s="1"/>
  <c r="B240" i="19" s="1"/>
  <c r="G244" i="19"/>
  <c r="F244" i="19" s="1"/>
  <c r="D244" i="19" s="1"/>
  <c r="B244" i="19" s="1"/>
  <c r="G248" i="19"/>
  <c r="F248" i="19" s="1"/>
  <c r="D248" i="19" s="1"/>
  <c r="B248" i="19" s="1"/>
  <c r="G247" i="8" s="1"/>
  <c r="G233" i="19"/>
  <c r="F233" i="19" s="1"/>
  <c r="D233" i="19" s="1"/>
  <c r="B233" i="19" s="1"/>
  <c r="G237" i="19"/>
  <c r="F237" i="19" s="1"/>
  <c r="D237" i="19" s="1"/>
  <c r="B237" i="19" s="1"/>
  <c r="G236" i="8" s="1"/>
  <c r="G241" i="19"/>
  <c r="F241" i="19" s="1"/>
  <c r="D241" i="19" s="1"/>
  <c r="B241" i="19" s="1"/>
  <c r="G245" i="19"/>
  <c r="F245" i="19" s="1"/>
  <c r="D245" i="19" s="1"/>
  <c r="B245" i="19" s="1"/>
  <c r="G244" i="8" s="1"/>
  <c r="G249" i="19"/>
  <c r="F249" i="19" s="1"/>
  <c r="D249" i="19" s="1"/>
  <c r="B249" i="19" s="1"/>
  <c r="G248" i="8" s="1"/>
  <c r="G234" i="19"/>
  <c r="F234" i="19" s="1"/>
  <c r="D234" i="19" s="1"/>
  <c r="B234" i="19" s="1"/>
  <c r="G238" i="19"/>
  <c r="F238" i="19" s="1"/>
  <c r="D238" i="19" s="1"/>
  <c r="B238" i="19" s="1"/>
  <c r="G242" i="19"/>
  <c r="F242" i="19" s="1"/>
  <c r="D242" i="19" s="1"/>
  <c r="B242" i="19" s="1"/>
  <c r="G241" i="8" s="1"/>
  <c r="G246" i="19"/>
  <c r="F246" i="19" s="1"/>
  <c r="D246" i="19" s="1"/>
  <c r="B246" i="19" s="1"/>
  <c r="G233" i="24"/>
  <c r="F233" i="24" s="1"/>
  <c r="D233" i="24" s="1"/>
  <c r="B233" i="24" s="1"/>
  <c r="G243" i="24"/>
  <c r="F243" i="24" s="1"/>
  <c r="D243" i="24" s="1"/>
  <c r="B243" i="24" s="1"/>
  <c r="K242" i="8" s="1"/>
  <c r="G245" i="24"/>
  <c r="F245" i="24" s="1"/>
  <c r="D245" i="24" s="1"/>
  <c r="B245" i="24" s="1"/>
  <c r="K244" i="8" s="1"/>
  <c r="G247" i="24"/>
  <c r="F247" i="24" s="1"/>
  <c r="D247" i="24" s="1"/>
  <c r="B247" i="24" s="1"/>
  <c r="K246" i="8" s="1"/>
  <c r="G241" i="24"/>
  <c r="F241" i="24" s="1"/>
  <c r="D241" i="24" s="1"/>
  <c r="B241" i="24" s="1"/>
  <c r="K240" i="8" s="1"/>
  <c r="G235" i="24"/>
  <c r="F235" i="24" s="1"/>
  <c r="D235" i="24" s="1"/>
  <c r="B235" i="24" s="1"/>
  <c r="K234" i="8" s="1"/>
  <c r="G237" i="24"/>
  <c r="F237" i="24" s="1"/>
  <c r="D237" i="24" s="1"/>
  <c r="B237" i="24" s="1"/>
  <c r="K236" i="8" s="1"/>
  <c r="G239" i="24"/>
  <c r="F239" i="24" s="1"/>
  <c r="D239" i="24" s="1"/>
  <c r="B239" i="24" s="1"/>
  <c r="K238" i="8" s="1"/>
  <c r="G248" i="24"/>
  <c r="F248" i="24" s="1"/>
  <c r="D248" i="24" s="1"/>
  <c r="B248" i="24" s="1"/>
  <c r="K247" i="8" s="1"/>
  <c r="G234" i="24"/>
  <c r="F234" i="24" s="1"/>
  <c r="D234" i="24" s="1"/>
  <c r="B234" i="24" s="1"/>
  <c r="K233" i="8" s="1"/>
  <c r="G244" i="24"/>
  <c r="F244" i="24" s="1"/>
  <c r="D244" i="24" s="1"/>
  <c r="B244" i="24" s="1"/>
  <c r="K243" i="8" s="1"/>
  <c r="G246" i="24"/>
  <c r="F246" i="24" s="1"/>
  <c r="D246" i="24" s="1"/>
  <c r="B246" i="24" s="1"/>
  <c r="K245" i="8" s="1"/>
  <c r="G240" i="24"/>
  <c r="F240" i="24" s="1"/>
  <c r="D240" i="24" s="1"/>
  <c r="B240" i="24" s="1"/>
  <c r="K239" i="8" s="1"/>
  <c r="G242" i="24"/>
  <c r="F242" i="24" s="1"/>
  <c r="D242" i="24" s="1"/>
  <c r="B242" i="24" s="1"/>
  <c r="K241" i="8" s="1"/>
  <c r="G236" i="24"/>
  <c r="F236" i="24" s="1"/>
  <c r="D236" i="24" s="1"/>
  <c r="B236" i="24" s="1"/>
  <c r="K235" i="8" s="1"/>
  <c r="G238" i="24"/>
  <c r="F238" i="24" s="1"/>
  <c r="D238" i="24" s="1"/>
  <c r="B238" i="24" s="1"/>
  <c r="K237" i="8" s="1"/>
  <c r="G249" i="24"/>
  <c r="F249" i="24" s="1"/>
  <c r="D249" i="24" s="1"/>
  <c r="B249" i="24" s="1"/>
  <c r="K248" i="8" s="1"/>
  <c r="G220" i="19"/>
  <c r="F220" i="19" s="1"/>
  <c r="D220" i="19" s="1"/>
  <c r="G228" i="19"/>
  <c r="F228" i="19" s="1"/>
  <c r="D228" i="19" s="1"/>
  <c r="G215" i="19"/>
  <c r="F215" i="19" s="1"/>
  <c r="D215" i="19" s="1"/>
  <c r="G223" i="19"/>
  <c r="F223" i="19" s="1"/>
  <c r="D223" i="19" s="1"/>
  <c r="G231" i="19"/>
  <c r="F231" i="19" s="1"/>
  <c r="D231" i="19" s="1"/>
  <c r="G218" i="19"/>
  <c r="F218" i="19" s="1"/>
  <c r="D218" i="19" s="1"/>
  <c r="G226" i="19"/>
  <c r="F226" i="19" s="1"/>
  <c r="D226" i="19" s="1"/>
  <c r="G230" i="19"/>
  <c r="F230" i="19" s="1"/>
  <c r="D230" i="19" s="1"/>
  <c r="G221" i="19"/>
  <c r="F221" i="19" s="1"/>
  <c r="D221" i="19" s="1"/>
  <c r="G229" i="19"/>
  <c r="F229" i="19" s="1"/>
  <c r="D229" i="19" s="1"/>
  <c r="G216" i="19"/>
  <c r="F216" i="19" s="1"/>
  <c r="D216" i="19" s="1"/>
  <c r="G224" i="19"/>
  <c r="F224" i="19" s="1"/>
  <c r="D224" i="19" s="1"/>
  <c r="G232" i="19"/>
  <c r="F232" i="19" s="1"/>
  <c r="D232" i="19" s="1"/>
  <c r="G222" i="19"/>
  <c r="F222" i="19" s="1"/>
  <c r="D222" i="19" s="1"/>
  <c r="G219" i="19"/>
  <c r="F219" i="19" s="1"/>
  <c r="D219" i="19" s="1"/>
  <c r="G227" i="19"/>
  <c r="F227" i="19" s="1"/>
  <c r="D227" i="19" s="1"/>
  <c r="G217" i="19"/>
  <c r="F217" i="19" s="1"/>
  <c r="D217" i="19" s="1"/>
  <c r="G225" i="19"/>
  <c r="F225" i="19" s="1"/>
  <c r="D225" i="19" s="1"/>
  <c r="G218" i="24"/>
  <c r="F218" i="24" s="1"/>
  <c r="D218" i="24" s="1"/>
  <c r="B218" i="24" s="1"/>
  <c r="G226" i="24"/>
  <c r="F226" i="24" s="1"/>
  <c r="D226" i="24" s="1"/>
  <c r="B226" i="24" s="1"/>
  <c r="G221" i="24"/>
  <c r="F221" i="24" s="1"/>
  <c r="D221" i="24" s="1"/>
  <c r="B221" i="24" s="1"/>
  <c r="G229" i="24"/>
  <c r="F229" i="24" s="1"/>
  <c r="D229" i="24" s="1"/>
  <c r="B229" i="24" s="1"/>
  <c r="G216" i="24"/>
  <c r="F216" i="24" s="1"/>
  <c r="D216" i="24" s="1"/>
  <c r="B216" i="24" s="1"/>
  <c r="G224" i="24"/>
  <c r="F224" i="24" s="1"/>
  <c r="D224" i="24" s="1"/>
  <c r="B224" i="24" s="1"/>
  <c r="G232" i="24"/>
  <c r="F232" i="24" s="1"/>
  <c r="D232" i="24" s="1"/>
  <c r="B232" i="24" s="1"/>
  <c r="G223" i="24"/>
  <c r="F223" i="24" s="1"/>
  <c r="D223" i="24" s="1"/>
  <c r="B223" i="24" s="1"/>
  <c r="G231" i="24"/>
  <c r="F231" i="24" s="1"/>
  <c r="D231" i="24" s="1"/>
  <c r="B231" i="24" s="1"/>
  <c r="G219" i="24"/>
  <c r="F219" i="24" s="1"/>
  <c r="D219" i="24" s="1"/>
  <c r="B219" i="24" s="1"/>
  <c r="G227" i="24"/>
  <c r="F227" i="24" s="1"/>
  <c r="D227" i="24" s="1"/>
  <c r="B227" i="24" s="1"/>
  <c r="G222" i="24"/>
  <c r="F222" i="24" s="1"/>
  <c r="D222" i="24" s="1"/>
  <c r="B222" i="24" s="1"/>
  <c r="G230" i="24"/>
  <c r="F230" i="24" s="1"/>
  <c r="D230" i="24" s="1"/>
  <c r="B230" i="24" s="1"/>
  <c r="G220" i="24"/>
  <c r="F220" i="24" s="1"/>
  <c r="D220" i="24" s="1"/>
  <c r="B220" i="24" s="1"/>
  <c r="G228" i="24"/>
  <c r="F228" i="24" s="1"/>
  <c r="D228" i="24" s="1"/>
  <c r="B228" i="24" s="1"/>
  <c r="G217" i="24"/>
  <c r="F217" i="24" s="1"/>
  <c r="D217" i="24" s="1"/>
  <c r="B217" i="24" s="1"/>
  <c r="G225" i="24"/>
  <c r="F225" i="24" s="1"/>
  <c r="D225" i="24" s="1"/>
  <c r="B225" i="24" s="1"/>
  <c r="G215" i="24"/>
  <c r="F215" i="24" s="1"/>
  <c r="D215" i="24" s="1"/>
  <c r="B215" i="24" s="1"/>
  <c r="K214" i="8" s="1"/>
  <c r="GI5" i="24"/>
  <c r="G5" i="24" s="1"/>
  <c r="F5" i="24" s="1"/>
  <c r="D5" i="24" s="1"/>
  <c r="B5" i="24" s="1"/>
  <c r="G209" i="24"/>
  <c r="F209" i="24" s="1"/>
  <c r="D209" i="24" s="1"/>
  <c r="B209" i="24" s="1"/>
  <c r="G214" i="24"/>
  <c r="F214" i="24" s="1"/>
  <c r="D214" i="24" s="1"/>
  <c r="B214" i="24" s="1"/>
  <c r="K213" i="8" s="1"/>
  <c r="G212" i="24"/>
  <c r="F212" i="24" s="1"/>
  <c r="D212" i="24" s="1"/>
  <c r="B212" i="24" s="1"/>
  <c r="G210" i="24"/>
  <c r="F210" i="24" s="1"/>
  <c r="D210" i="24" s="1"/>
  <c r="B210" i="24" s="1"/>
  <c r="G213" i="24"/>
  <c r="F213" i="24" s="1"/>
  <c r="D213" i="24" s="1"/>
  <c r="B213" i="24" s="1"/>
  <c r="G208" i="24"/>
  <c r="F208" i="24" s="1"/>
  <c r="D208" i="24" s="1"/>
  <c r="B208" i="24" s="1"/>
  <c r="G211" i="24"/>
  <c r="F211" i="24" s="1"/>
  <c r="D211" i="24" s="1"/>
  <c r="B211" i="24" s="1"/>
  <c r="G17" i="24"/>
  <c r="F17" i="24" s="1"/>
  <c r="D17" i="24" s="1"/>
  <c r="B17" i="24" s="1"/>
  <c r="G174" i="24"/>
  <c r="F174" i="24" s="1"/>
  <c r="D174" i="24" s="1"/>
  <c r="B174" i="24" s="1"/>
  <c r="G184" i="24"/>
  <c r="F184" i="24" s="1"/>
  <c r="D184" i="24" s="1"/>
  <c r="B184" i="24" s="1"/>
  <c r="G38" i="24"/>
  <c r="F38" i="24" s="1"/>
  <c r="D38" i="24" s="1"/>
  <c r="B38" i="24" s="1"/>
  <c r="G46" i="24"/>
  <c r="F46" i="24" s="1"/>
  <c r="D46" i="24" s="1"/>
  <c r="B46" i="24" s="1"/>
  <c r="G176" i="24"/>
  <c r="F176" i="24" s="1"/>
  <c r="D176" i="24" s="1"/>
  <c r="B176" i="24" s="1"/>
  <c r="G78" i="24"/>
  <c r="F78" i="24" s="1"/>
  <c r="D78" i="24" s="1"/>
  <c r="B78" i="24" s="1"/>
  <c r="G12" i="24"/>
  <c r="F12" i="24" s="1"/>
  <c r="D12" i="24" s="1"/>
  <c r="B12" i="24" s="1"/>
  <c r="G140" i="24"/>
  <c r="F140" i="24" s="1"/>
  <c r="D140" i="24" s="1"/>
  <c r="B140" i="24" s="1"/>
  <c r="G113" i="24"/>
  <c r="F113" i="24" s="1"/>
  <c r="D113" i="24" s="1"/>
  <c r="B113" i="24" s="1"/>
  <c r="G133" i="24"/>
  <c r="F133" i="24" s="1"/>
  <c r="D133" i="24" s="1"/>
  <c r="B133" i="24" s="1"/>
  <c r="G162" i="24"/>
  <c r="F162" i="24" s="1"/>
  <c r="D162" i="24" s="1"/>
  <c r="B162" i="24" s="1"/>
  <c r="G82" i="24"/>
  <c r="F82" i="24" s="1"/>
  <c r="D82" i="24" s="1"/>
  <c r="B82" i="24" s="1"/>
  <c r="G8" i="24"/>
  <c r="F8" i="24" s="1"/>
  <c r="D8" i="24" s="1"/>
  <c r="B8" i="24" s="1"/>
  <c r="G126" i="24"/>
  <c r="F126" i="24" s="1"/>
  <c r="D126" i="24" s="1"/>
  <c r="B126" i="24" s="1"/>
  <c r="G193" i="24"/>
  <c r="F193" i="24" s="1"/>
  <c r="D193" i="24" s="1"/>
  <c r="B193" i="24" s="1"/>
  <c r="G191" i="24"/>
  <c r="F191" i="24" s="1"/>
  <c r="D191" i="24" s="1"/>
  <c r="B191" i="24" s="1"/>
  <c r="G81" i="24"/>
  <c r="F81" i="24" s="1"/>
  <c r="D81" i="24" s="1"/>
  <c r="B81" i="24" s="1"/>
  <c r="G54" i="24"/>
  <c r="F54" i="24" s="1"/>
  <c r="D54" i="24" s="1"/>
  <c r="B54" i="24" s="1"/>
  <c r="G14" i="24"/>
  <c r="F14" i="24" s="1"/>
  <c r="D14" i="24" s="1"/>
  <c r="B14" i="24" s="1"/>
  <c r="G19" i="24"/>
  <c r="F19" i="24" s="1"/>
  <c r="D19" i="24" s="1"/>
  <c r="B19" i="24" s="1"/>
  <c r="G104" i="24"/>
  <c r="F104" i="24" s="1"/>
  <c r="D104" i="24" s="1"/>
  <c r="B104" i="24" s="1"/>
  <c r="G107" i="24"/>
  <c r="F107" i="24" s="1"/>
  <c r="D107" i="24" s="1"/>
  <c r="B107" i="24" s="1"/>
  <c r="G62" i="24"/>
  <c r="F62" i="24" s="1"/>
  <c r="D62" i="24" s="1"/>
  <c r="B62" i="24" s="1"/>
  <c r="G173" i="24"/>
  <c r="F173" i="24" s="1"/>
  <c r="D173" i="24" s="1"/>
  <c r="B173" i="24" s="1"/>
  <c r="G106" i="24"/>
  <c r="F106" i="24" s="1"/>
  <c r="D106" i="24" s="1"/>
  <c r="B106" i="24" s="1"/>
  <c r="G142" i="24"/>
  <c r="F142" i="24" s="1"/>
  <c r="D142" i="24" s="1"/>
  <c r="B142" i="24" s="1"/>
  <c r="G76" i="24"/>
  <c r="F76" i="24" s="1"/>
  <c r="D76" i="24" s="1"/>
  <c r="B76" i="24" s="1"/>
  <c r="G27" i="24"/>
  <c r="F27" i="24" s="1"/>
  <c r="D27" i="24" s="1"/>
  <c r="B27" i="24" s="1"/>
  <c r="G165" i="24"/>
  <c r="F165" i="24" s="1"/>
  <c r="D165" i="24" s="1"/>
  <c r="B165" i="24" s="1"/>
  <c r="G61" i="24"/>
  <c r="F61" i="24" s="1"/>
  <c r="D61" i="24" s="1"/>
  <c r="B61" i="24" s="1"/>
  <c r="G9" i="24"/>
  <c r="F9" i="24" s="1"/>
  <c r="D9" i="24" s="1"/>
  <c r="B9" i="24" s="1"/>
  <c r="G105" i="24"/>
  <c r="F105" i="24" s="1"/>
  <c r="D105" i="24" s="1"/>
  <c r="B105" i="24" s="1"/>
  <c r="G90" i="24"/>
  <c r="F90" i="24" s="1"/>
  <c r="D90" i="24" s="1"/>
  <c r="B90" i="24" s="1"/>
  <c r="G30" i="24"/>
  <c r="F30" i="24" s="1"/>
  <c r="D30" i="24" s="1"/>
  <c r="B30" i="24" s="1"/>
  <c r="G92" i="24"/>
  <c r="F92" i="24" s="1"/>
  <c r="D92" i="24" s="1"/>
  <c r="B92" i="24" s="1"/>
  <c r="G39" i="24"/>
  <c r="F39" i="24" s="1"/>
  <c r="D39" i="24" s="1"/>
  <c r="B39" i="24" s="1"/>
  <c r="G150" i="24"/>
  <c r="F150" i="24" s="1"/>
  <c r="D150" i="24" s="1"/>
  <c r="B150" i="24" s="1"/>
  <c r="G124" i="24"/>
  <c r="F124" i="24" s="1"/>
  <c r="D124" i="24" s="1"/>
  <c r="B124" i="24" s="1"/>
  <c r="G89" i="24"/>
  <c r="F89" i="24" s="1"/>
  <c r="D89" i="24" s="1"/>
  <c r="B89" i="24" s="1"/>
  <c r="G74" i="24"/>
  <c r="F74" i="24" s="1"/>
  <c r="D74" i="24" s="1"/>
  <c r="B74" i="24" s="1"/>
  <c r="G189" i="24"/>
  <c r="F189" i="24" s="1"/>
  <c r="D189" i="24" s="1"/>
  <c r="B189" i="24" s="1"/>
  <c r="G199" i="24"/>
  <c r="F199" i="24" s="1"/>
  <c r="D199" i="24" s="1"/>
  <c r="B199" i="24" s="1"/>
  <c r="G194" i="24"/>
  <c r="F194" i="24" s="1"/>
  <c r="D194" i="24" s="1"/>
  <c r="B194" i="24" s="1"/>
  <c r="G149" i="24"/>
  <c r="F149" i="24" s="1"/>
  <c r="D149" i="24" s="1"/>
  <c r="B149" i="24" s="1"/>
  <c r="G102" i="24"/>
  <c r="F102" i="24" s="1"/>
  <c r="D102" i="24" s="1"/>
  <c r="B102" i="24" s="1"/>
  <c r="G88" i="24"/>
  <c r="F88" i="24" s="1"/>
  <c r="D88" i="24" s="1"/>
  <c r="B88" i="24" s="1"/>
  <c r="G49" i="24"/>
  <c r="F49" i="24" s="1"/>
  <c r="D49" i="24" s="1"/>
  <c r="B49" i="24" s="1"/>
  <c r="G70" i="24"/>
  <c r="F70" i="24" s="1"/>
  <c r="D70" i="24" s="1"/>
  <c r="B70" i="24" s="1"/>
  <c r="G7" i="24"/>
  <c r="F7" i="24" s="1"/>
  <c r="D7" i="24" s="1"/>
  <c r="B7" i="24" s="1"/>
  <c r="G143" i="24"/>
  <c r="F143" i="24" s="1"/>
  <c r="D143" i="24" s="1"/>
  <c r="B143" i="24" s="1"/>
  <c r="G59" i="24"/>
  <c r="F59" i="24" s="1"/>
  <c r="D59" i="24" s="1"/>
  <c r="B59" i="24" s="1"/>
  <c r="G36" i="24"/>
  <c r="F36" i="24" s="1"/>
  <c r="D36" i="24" s="1"/>
  <c r="B36" i="24" s="1"/>
  <c r="G136" i="24"/>
  <c r="F136" i="24" s="1"/>
  <c r="D136" i="24" s="1"/>
  <c r="B136" i="24" s="1"/>
  <c r="G119" i="24"/>
  <c r="F119" i="24" s="1"/>
  <c r="D119" i="24" s="1"/>
  <c r="B119" i="24" s="1"/>
  <c r="G146" i="24"/>
  <c r="F146" i="24" s="1"/>
  <c r="D146" i="24" s="1"/>
  <c r="B146" i="24" s="1"/>
  <c r="G110" i="24"/>
  <c r="F110" i="24" s="1"/>
  <c r="D110" i="24" s="1"/>
  <c r="B110" i="24" s="1"/>
  <c r="G98" i="24"/>
  <c r="F98" i="24" s="1"/>
  <c r="D98" i="24" s="1"/>
  <c r="B98" i="24" s="1"/>
  <c r="G152" i="24"/>
  <c r="F152" i="24" s="1"/>
  <c r="D152" i="24" s="1"/>
  <c r="B152" i="24" s="1"/>
  <c r="G172" i="24"/>
  <c r="F172" i="24" s="1"/>
  <c r="D172" i="24" s="1"/>
  <c r="B172" i="24" s="1"/>
  <c r="G139" i="24"/>
  <c r="F139" i="24" s="1"/>
  <c r="D139" i="24" s="1"/>
  <c r="B139" i="24" s="1"/>
  <c r="G117" i="24"/>
  <c r="F117" i="24" s="1"/>
  <c r="D117" i="24" s="1"/>
  <c r="B117" i="24" s="1"/>
  <c r="G103" i="24"/>
  <c r="F103" i="24" s="1"/>
  <c r="D103" i="24" s="1"/>
  <c r="B103" i="24" s="1"/>
  <c r="G167" i="24"/>
  <c r="F167" i="24" s="1"/>
  <c r="D167" i="24" s="1"/>
  <c r="B167" i="24" s="1"/>
  <c r="G58" i="24"/>
  <c r="F58" i="24" s="1"/>
  <c r="D58" i="24" s="1"/>
  <c r="B58" i="24" s="1"/>
  <c r="G22" i="24"/>
  <c r="F22" i="24" s="1"/>
  <c r="D22" i="24" s="1"/>
  <c r="B22" i="24" s="1"/>
  <c r="G156" i="24"/>
  <c r="F156" i="24" s="1"/>
  <c r="D156" i="24" s="1"/>
  <c r="B156" i="24" s="1"/>
  <c r="G115" i="24"/>
  <c r="F115" i="24" s="1"/>
  <c r="D115" i="24" s="1"/>
  <c r="B115" i="24" s="1"/>
  <c r="G192" i="24"/>
  <c r="F192" i="24" s="1"/>
  <c r="D192" i="24" s="1"/>
  <c r="B192" i="24" s="1"/>
  <c r="G202" i="24"/>
  <c r="F202" i="24" s="1"/>
  <c r="D202" i="24" s="1"/>
  <c r="B202" i="24" s="1"/>
  <c r="G190" i="24"/>
  <c r="F190" i="24" s="1"/>
  <c r="D190" i="24" s="1"/>
  <c r="B190" i="24" s="1"/>
  <c r="G66" i="24"/>
  <c r="F66" i="24" s="1"/>
  <c r="D66" i="24" s="1"/>
  <c r="B66" i="24" s="1"/>
  <c r="G151" i="24"/>
  <c r="F151" i="24" s="1"/>
  <c r="D151" i="24" s="1"/>
  <c r="B151" i="24" s="1"/>
  <c r="G160" i="24"/>
  <c r="F160" i="24" s="1"/>
  <c r="D160" i="24" s="1"/>
  <c r="B160" i="24" s="1"/>
  <c r="G188" i="24"/>
  <c r="F188" i="24" s="1"/>
  <c r="D188" i="24" s="1"/>
  <c r="B188" i="24" s="1"/>
  <c r="G134" i="24"/>
  <c r="F134" i="24" s="1"/>
  <c r="D134" i="24" s="1"/>
  <c r="B134" i="24" s="1"/>
  <c r="G71" i="24"/>
  <c r="F71" i="24" s="1"/>
  <c r="D71" i="24" s="1"/>
  <c r="B71" i="24" s="1"/>
  <c r="G187" i="24"/>
  <c r="F187" i="24" s="1"/>
  <c r="D187" i="24" s="1"/>
  <c r="B187" i="24" s="1"/>
  <c r="G155" i="24"/>
  <c r="F155" i="24" s="1"/>
  <c r="D155" i="24" s="1"/>
  <c r="B155" i="24" s="1"/>
  <c r="G73" i="24"/>
  <c r="F73" i="24" s="1"/>
  <c r="D73" i="24" s="1"/>
  <c r="B73" i="24" s="1"/>
  <c r="G65" i="24"/>
  <c r="F65" i="24" s="1"/>
  <c r="D65" i="24" s="1"/>
  <c r="B65" i="24" s="1"/>
  <c r="G83" i="24"/>
  <c r="F83" i="24" s="1"/>
  <c r="D83" i="24" s="1"/>
  <c r="B83" i="24" s="1"/>
  <c r="G31" i="24"/>
  <c r="F31" i="24" s="1"/>
  <c r="D31" i="24" s="1"/>
  <c r="B31" i="24" s="1"/>
  <c r="G185" i="24"/>
  <c r="F185" i="24" s="1"/>
  <c r="D185" i="24" s="1"/>
  <c r="B185" i="24" s="1"/>
  <c r="G161" i="24"/>
  <c r="F161" i="24" s="1"/>
  <c r="D161" i="24" s="1"/>
  <c r="B161" i="24" s="1"/>
  <c r="G68" i="24"/>
  <c r="F68" i="24" s="1"/>
  <c r="D68" i="24" s="1"/>
  <c r="B68" i="24" s="1"/>
  <c r="G198" i="24"/>
  <c r="F198" i="24" s="1"/>
  <c r="D198" i="24" s="1"/>
  <c r="B198" i="24" s="1"/>
  <c r="G24" i="24"/>
  <c r="F24" i="24" s="1"/>
  <c r="D24" i="24" s="1"/>
  <c r="B24" i="24" s="1"/>
  <c r="G96" i="24"/>
  <c r="F96" i="24" s="1"/>
  <c r="D96" i="24" s="1"/>
  <c r="B96" i="24" s="1"/>
  <c r="G85" i="24"/>
  <c r="F85" i="24" s="1"/>
  <c r="D85" i="24" s="1"/>
  <c r="B85" i="24" s="1"/>
  <c r="G86" i="24"/>
  <c r="F86" i="24" s="1"/>
  <c r="D86" i="24" s="1"/>
  <c r="B86" i="24" s="1"/>
  <c r="G99" i="24"/>
  <c r="F99" i="24" s="1"/>
  <c r="D99" i="24" s="1"/>
  <c r="B99" i="24" s="1"/>
  <c r="G80" i="24"/>
  <c r="F80" i="24" s="1"/>
  <c r="D80" i="24" s="1"/>
  <c r="B80" i="24" s="1"/>
  <c r="G95" i="24"/>
  <c r="F95" i="24" s="1"/>
  <c r="D95" i="24" s="1"/>
  <c r="B95" i="24" s="1"/>
  <c r="G207" i="24"/>
  <c r="F207" i="24" s="1"/>
  <c r="D207" i="24" s="1"/>
  <c r="B207" i="24" s="1"/>
  <c r="G196" i="24"/>
  <c r="F196" i="24" s="1"/>
  <c r="D196" i="24" s="1"/>
  <c r="B196" i="24" s="1"/>
  <c r="G35" i="24"/>
  <c r="F35" i="24" s="1"/>
  <c r="D35" i="24" s="1"/>
  <c r="B35" i="24" s="1"/>
  <c r="G177" i="24"/>
  <c r="F177" i="24" s="1"/>
  <c r="D177" i="24" s="1"/>
  <c r="B177" i="24" s="1"/>
  <c r="G144" i="24"/>
  <c r="F144" i="24" s="1"/>
  <c r="D144" i="24" s="1"/>
  <c r="B144" i="24" s="1"/>
  <c r="G100" i="24"/>
  <c r="F100" i="24" s="1"/>
  <c r="D100" i="24" s="1"/>
  <c r="B100" i="24" s="1"/>
  <c r="G111" i="24"/>
  <c r="F111" i="24" s="1"/>
  <c r="D111" i="24" s="1"/>
  <c r="B111" i="24" s="1"/>
  <c r="G52" i="24"/>
  <c r="F52" i="24" s="1"/>
  <c r="D52" i="24" s="1"/>
  <c r="B52" i="24" s="1"/>
  <c r="G114" i="24"/>
  <c r="F114" i="24" s="1"/>
  <c r="D114" i="24" s="1"/>
  <c r="B114" i="24" s="1"/>
  <c r="G130" i="24"/>
  <c r="F130" i="24" s="1"/>
  <c r="D130" i="24" s="1"/>
  <c r="B130" i="24" s="1"/>
  <c r="G84" i="24"/>
  <c r="F84" i="24" s="1"/>
  <c r="D84" i="24" s="1"/>
  <c r="B84" i="24" s="1"/>
  <c r="G48" i="24"/>
  <c r="F48" i="24" s="1"/>
  <c r="D48" i="24" s="1"/>
  <c r="B48" i="24" s="1"/>
  <c r="G47" i="24"/>
  <c r="F47" i="24" s="1"/>
  <c r="D47" i="24" s="1"/>
  <c r="B47" i="24" s="1"/>
  <c r="G164" i="24"/>
  <c r="F164" i="24" s="1"/>
  <c r="D164" i="24" s="1"/>
  <c r="B164" i="24" s="1"/>
  <c r="G44" i="24"/>
  <c r="F44" i="24" s="1"/>
  <c r="D44" i="24" s="1"/>
  <c r="B44" i="24" s="1"/>
  <c r="G16" i="24"/>
  <c r="F16" i="24" s="1"/>
  <c r="D16" i="24" s="1"/>
  <c r="B16" i="24" s="1"/>
  <c r="G179" i="24"/>
  <c r="F179" i="24" s="1"/>
  <c r="D179" i="24" s="1"/>
  <c r="B179" i="24" s="1"/>
  <c r="G51" i="24"/>
  <c r="F51" i="24" s="1"/>
  <c r="D51" i="24" s="1"/>
  <c r="B51" i="24" s="1"/>
  <c r="G41" i="24"/>
  <c r="F41" i="24" s="1"/>
  <c r="D41" i="24" s="1"/>
  <c r="B41" i="24" s="1"/>
  <c r="G159" i="24"/>
  <c r="F159" i="24" s="1"/>
  <c r="D159" i="24" s="1"/>
  <c r="B159" i="24" s="1"/>
  <c r="G29" i="24"/>
  <c r="F29" i="24" s="1"/>
  <c r="D29" i="24" s="1"/>
  <c r="B29" i="24" s="1"/>
  <c r="G158" i="24"/>
  <c r="F158" i="24" s="1"/>
  <c r="D158" i="24" s="1"/>
  <c r="B158" i="24" s="1"/>
  <c r="G178" i="24"/>
  <c r="F178" i="24" s="1"/>
  <c r="D178" i="24" s="1"/>
  <c r="B178" i="24" s="1"/>
  <c r="G79" i="24"/>
  <c r="F79" i="24" s="1"/>
  <c r="D79" i="24" s="1"/>
  <c r="B79" i="24" s="1"/>
  <c r="G25" i="24"/>
  <c r="F25" i="24" s="1"/>
  <c r="D25" i="24" s="1"/>
  <c r="B25" i="24" s="1"/>
  <c r="G132" i="24"/>
  <c r="F132" i="24" s="1"/>
  <c r="D132" i="24" s="1"/>
  <c r="B132" i="24" s="1"/>
  <c r="G195" i="24"/>
  <c r="F195" i="24" s="1"/>
  <c r="D195" i="24" s="1"/>
  <c r="B195" i="24" s="1"/>
  <c r="G205" i="24"/>
  <c r="F205" i="24" s="1"/>
  <c r="D205" i="24" s="1"/>
  <c r="B205" i="24" s="1"/>
  <c r="K204" i="8" s="1"/>
  <c r="G197" i="24"/>
  <c r="F197" i="24" s="1"/>
  <c r="D197" i="24" s="1"/>
  <c r="B197" i="24" s="1"/>
  <c r="G157" i="24"/>
  <c r="F157" i="24" s="1"/>
  <c r="D157" i="24" s="1"/>
  <c r="B157" i="24" s="1"/>
  <c r="G63" i="24"/>
  <c r="F63" i="24" s="1"/>
  <c r="D63" i="24" s="1"/>
  <c r="B63" i="24" s="1"/>
  <c r="G28" i="24"/>
  <c r="F28" i="24" s="1"/>
  <c r="D28" i="24" s="1"/>
  <c r="B28" i="24" s="1"/>
  <c r="G129" i="24"/>
  <c r="F129" i="24" s="1"/>
  <c r="D129" i="24" s="1"/>
  <c r="B129" i="24" s="1"/>
  <c r="G137" i="24"/>
  <c r="F137" i="24" s="1"/>
  <c r="D137" i="24" s="1"/>
  <c r="B137" i="24" s="1"/>
  <c r="G21" i="24"/>
  <c r="F21" i="24" s="1"/>
  <c r="D21" i="24" s="1"/>
  <c r="B21" i="24" s="1"/>
  <c r="G10" i="24"/>
  <c r="F10" i="24" s="1"/>
  <c r="D10" i="24" s="1"/>
  <c r="B10" i="24" s="1"/>
  <c r="G180" i="24"/>
  <c r="F180" i="24" s="1"/>
  <c r="D180" i="24" s="1"/>
  <c r="B180" i="24" s="1"/>
  <c r="G120" i="24"/>
  <c r="F120" i="24" s="1"/>
  <c r="D120" i="24" s="1"/>
  <c r="B120" i="24" s="1"/>
  <c r="G118" i="24"/>
  <c r="F118" i="24" s="1"/>
  <c r="D118" i="24" s="1"/>
  <c r="B118" i="24" s="1"/>
  <c r="G91" i="24"/>
  <c r="F91" i="24" s="1"/>
  <c r="D91" i="24" s="1"/>
  <c r="B91" i="24" s="1"/>
  <c r="G97" i="24"/>
  <c r="F97" i="24" s="1"/>
  <c r="D97" i="24" s="1"/>
  <c r="B97" i="24" s="1"/>
  <c r="G125" i="24"/>
  <c r="F125" i="24" s="1"/>
  <c r="D125" i="24" s="1"/>
  <c r="B125" i="24" s="1"/>
  <c r="G181" i="24"/>
  <c r="F181" i="24" s="1"/>
  <c r="D181" i="24" s="1"/>
  <c r="B181" i="24" s="1"/>
  <c r="G200" i="24"/>
  <c r="F200" i="24" s="1"/>
  <c r="D200" i="24" s="1"/>
  <c r="B200" i="24" s="1"/>
  <c r="G147" i="24"/>
  <c r="F147" i="24" s="1"/>
  <c r="D147" i="24" s="1"/>
  <c r="B147" i="24" s="1"/>
  <c r="G60" i="24"/>
  <c r="F60" i="24" s="1"/>
  <c r="D60" i="24" s="1"/>
  <c r="B60" i="24" s="1"/>
  <c r="G122" i="24"/>
  <c r="F122" i="24" s="1"/>
  <c r="D122" i="24" s="1"/>
  <c r="B122" i="24" s="1"/>
  <c r="G154" i="24"/>
  <c r="F154" i="24" s="1"/>
  <c r="D154" i="24" s="1"/>
  <c r="B154" i="24" s="1"/>
  <c r="G13" i="24"/>
  <c r="F13" i="24" s="1"/>
  <c r="D13" i="24" s="1"/>
  <c r="B13" i="24" s="1"/>
  <c r="G135" i="24"/>
  <c r="F135" i="24" s="1"/>
  <c r="D135" i="24" s="1"/>
  <c r="B135" i="24" s="1"/>
  <c r="G141" i="24"/>
  <c r="F141" i="24" s="1"/>
  <c r="D141" i="24" s="1"/>
  <c r="B141" i="24" s="1"/>
  <c r="G34" i="24"/>
  <c r="F34" i="24" s="1"/>
  <c r="D34" i="24" s="1"/>
  <c r="B34" i="24" s="1"/>
  <c r="G11" i="24"/>
  <c r="F11" i="24" s="1"/>
  <c r="D11" i="24" s="1"/>
  <c r="B11" i="24" s="1"/>
  <c r="G112" i="24"/>
  <c r="F112" i="24" s="1"/>
  <c r="D112" i="24" s="1"/>
  <c r="B112" i="24" s="1"/>
  <c r="G116" i="24"/>
  <c r="F116" i="24" s="1"/>
  <c r="D116" i="24" s="1"/>
  <c r="B116" i="24" s="1"/>
  <c r="G37" i="24"/>
  <c r="F37" i="24" s="1"/>
  <c r="D37" i="24" s="1"/>
  <c r="B37" i="24" s="1"/>
  <c r="G123" i="24"/>
  <c r="F123" i="24" s="1"/>
  <c r="D123" i="24" s="1"/>
  <c r="B123" i="24" s="1"/>
  <c r="G138" i="24"/>
  <c r="F138" i="24" s="1"/>
  <c r="D138" i="24" s="1"/>
  <c r="B138" i="24" s="1"/>
  <c r="G204" i="24"/>
  <c r="F204" i="24" s="1"/>
  <c r="D204" i="24" s="1"/>
  <c r="B204" i="24" s="1"/>
  <c r="G203" i="24"/>
  <c r="F203" i="24" s="1"/>
  <c r="D203" i="24" s="1"/>
  <c r="B203" i="24" s="1"/>
  <c r="K202" i="8" s="1"/>
  <c r="G45" i="24"/>
  <c r="F45" i="24" s="1"/>
  <c r="D45" i="24" s="1"/>
  <c r="B45" i="24" s="1"/>
  <c r="G32" i="24"/>
  <c r="F32" i="24" s="1"/>
  <c r="D32" i="24" s="1"/>
  <c r="B32" i="24" s="1"/>
  <c r="G18" i="24"/>
  <c r="F18" i="24" s="1"/>
  <c r="D18" i="24" s="1"/>
  <c r="B18" i="24" s="1"/>
  <c r="G6" i="24"/>
  <c r="F6" i="24" s="1"/>
  <c r="D6" i="24" s="1"/>
  <c r="B6" i="24" s="1"/>
  <c r="G182" i="24"/>
  <c r="F182" i="24" s="1"/>
  <c r="D182" i="24" s="1"/>
  <c r="B182" i="24" s="1"/>
  <c r="G163" i="24"/>
  <c r="F163" i="24" s="1"/>
  <c r="D163" i="24" s="1"/>
  <c r="B163" i="24" s="1"/>
  <c r="G40" i="24"/>
  <c r="F40" i="24" s="1"/>
  <c r="D40" i="24" s="1"/>
  <c r="B40" i="24" s="1"/>
  <c r="G170" i="24"/>
  <c r="F170" i="24" s="1"/>
  <c r="D170" i="24" s="1"/>
  <c r="B170" i="24" s="1"/>
  <c r="G168" i="24"/>
  <c r="F168" i="24" s="1"/>
  <c r="D168" i="24" s="1"/>
  <c r="B168" i="24" s="1"/>
  <c r="G121" i="24"/>
  <c r="F121" i="24" s="1"/>
  <c r="D121" i="24" s="1"/>
  <c r="B121" i="24" s="1"/>
  <c r="G50" i="24"/>
  <c r="F50" i="24" s="1"/>
  <c r="D50" i="24" s="1"/>
  <c r="B50" i="24" s="1"/>
  <c r="G23" i="24"/>
  <c r="F23" i="24" s="1"/>
  <c r="D23" i="24" s="1"/>
  <c r="B23" i="24" s="1"/>
  <c r="G101" i="24"/>
  <c r="F101" i="24" s="1"/>
  <c r="D101" i="24" s="1"/>
  <c r="B101" i="24" s="1"/>
  <c r="G55" i="24"/>
  <c r="F55" i="24" s="1"/>
  <c r="D55" i="24" s="1"/>
  <c r="B55" i="24" s="1"/>
  <c r="G20" i="24"/>
  <c r="F20" i="24" s="1"/>
  <c r="D20" i="24" s="1"/>
  <c r="B20" i="24" s="1"/>
  <c r="G109" i="24"/>
  <c r="F109" i="24" s="1"/>
  <c r="D109" i="24" s="1"/>
  <c r="B109" i="24" s="1"/>
  <c r="G87" i="24"/>
  <c r="F87" i="24" s="1"/>
  <c r="D87" i="24" s="1"/>
  <c r="B87" i="24" s="1"/>
  <c r="G42" i="24"/>
  <c r="F42" i="24" s="1"/>
  <c r="D42" i="24" s="1"/>
  <c r="B42" i="24" s="1"/>
  <c r="G56" i="24"/>
  <c r="F56" i="24" s="1"/>
  <c r="D56" i="24" s="1"/>
  <c r="B56" i="24" s="1"/>
  <c r="G43" i="24"/>
  <c r="F43" i="24" s="1"/>
  <c r="D43" i="24" s="1"/>
  <c r="B43" i="24" s="1"/>
  <c r="G183" i="24"/>
  <c r="F183" i="24" s="1"/>
  <c r="D183" i="24" s="1"/>
  <c r="B183" i="24" s="1"/>
  <c r="G53" i="24"/>
  <c r="F53" i="24" s="1"/>
  <c r="D53" i="24" s="1"/>
  <c r="B53" i="24" s="1"/>
  <c r="G72" i="24"/>
  <c r="F72" i="24" s="1"/>
  <c r="D72" i="24" s="1"/>
  <c r="B72" i="24" s="1"/>
  <c r="G201" i="24"/>
  <c r="F201" i="24" s="1"/>
  <c r="D201" i="24" s="1"/>
  <c r="B201" i="24" s="1"/>
  <c r="K200" i="8" s="1"/>
  <c r="G206" i="24"/>
  <c r="F206" i="24" s="1"/>
  <c r="D206" i="24" s="1"/>
  <c r="B206" i="24" s="1"/>
  <c r="G148" i="24"/>
  <c r="F148" i="24" s="1"/>
  <c r="D148" i="24" s="1"/>
  <c r="B148" i="24" s="1"/>
  <c r="G166" i="24"/>
  <c r="F166" i="24" s="1"/>
  <c r="D166" i="24" s="1"/>
  <c r="B166" i="24" s="1"/>
  <c r="G67" i="24"/>
  <c r="F67" i="24" s="1"/>
  <c r="D67" i="24" s="1"/>
  <c r="B67" i="24" s="1"/>
  <c r="G75" i="24"/>
  <c r="F75" i="24" s="1"/>
  <c r="D75" i="24" s="1"/>
  <c r="B75" i="24" s="1"/>
  <c r="G33" i="24"/>
  <c r="F33" i="24" s="1"/>
  <c r="D33" i="24" s="1"/>
  <c r="B33" i="24" s="1"/>
  <c r="G108" i="24"/>
  <c r="F108" i="24" s="1"/>
  <c r="D108" i="24" s="1"/>
  <c r="B108" i="24" s="1"/>
  <c r="G77" i="24"/>
  <c r="F77" i="24" s="1"/>
  <c r="D77" i="24" s="1"/>
  <c r="B77" i="24" s="1"/>
  <c r="G64" i="24"/>
  <c r="F64" i="24" s="1"/>
  <c r="D64" i="24" s="1"/>
  <c r="B64" i="24" s="1"/>
  <c r="G15" i="24"/>
  <c r="F15" i="24" s="1"/>
  <c r="D15" i="24" s="1"/>
  <c r="B15" i="24" s="1"/>
  <c r="G128" i="24"/>
  <c r="F128" i="24" s="1"/>
  <c r="D128" i="24" s="1"/>
  <c r="B128" i="24" s="1"/>
  <c r="G145" i="24"/>
  <c r="F145" i="24" s="1"/>
  <c r="D145" i="24" s="1"/>
  <c r="B145" i="24" s="1"/>
  <c r="G69" i="24"/>
  <c r="F69" i="24" s="1"/>
  <c r="D69" i="24" s="1"/>
  <c r="B69" i="24" s="1"/>
  <c r="G186" i="24"/>
  <c r="F186" i="24" s="1"/>
  <c r="D186" i="24" s="1"/>
  <c r="B186" i="24" s="1"/>
  <c r="G127" i="24"/>
  <c r="F127" i="24" s="1"/>
  <c r="D127" i="24" s="1"/>
  <c r="B127" i="24" s="1"/>
  <c r="G169" i="24"/>
  <c r="F169" i="24" s="1"/>
  <c r="D169" i="24" s="1"/>
  <c r="B169" i="24" s="1"/>
  <c r="G153" i="24"/>
  <c r="F153" i="24" s="1"/>
  <c r="D153" i="24" s="1"/>
  <c r="B153" i="24" s="1"/>
  <c r="G171" i="24"/>
  <c r="F171" i="24" s="1"/>
  <c r="D171" i="24" s="1"/>
  <c r="B171" i="24" s="1"/>
  <c r="G131" i="24"/>
  <c r="F131" i="24" s="1"/>
  <c r="D131" i="24" s="1"/>
  <c r="B131" i="24" s="1"/>
  <c r="G175" i="24"/>
  <c r="F175" i="24" s="1"/>
  <c r="D175" i="24" s="1"/>
  <c r="B175" i="24" s="1"/>
  <c r="G57" i="24"/>
  <c r="F57" i="24" s="1"/>
  <c r="D57" i="24" s="1"/>
  <c r="B57" i="24" s="1"/>
  <c r="G26" i="24"/>
  <c r="F26" i="24" s="1"/>
  <c r="D26" i="24" s="1"/>
  <c r="B26" i="24" s="1"/>
  <c r="G93" i="24"/>
  <c r="F93" i="24" s="1"/>
  <c r="D93" i="24" s="1"/>
  <c r="B93" i="24" s="1"/>
  <c r="G94" i="24"/>
  <c r="F94" i="24" s="1"/>
  <c r="D94" i="24" s="1"/>
  <c r="B94" i="24" s="1"/>
  <c r="G207" i="19"/>
  <c r="F207" i="19" s="1"/>
  <c r="D207" i="19" s="1"/>
  <c r="G209" i="19"/>
  <c r="F209" i="19" s="1"/>
  <c r="D209" i="19" s="1"/>
  <c r="G213" i="19"/>
  <c r="F213" i="19" s="1"/>
  <c r="D213" i="19" s="1"/>
  <c r="G210" i="19"/>
  <c r="F210" i="19" s="1"/>
  <c r="D210" i="19" s="1"/>
  <c r="G214" i="19"/>
  <c r="F214" i="19" s="1"/>
  <c r="D214" i="19" s="1"/>
  <c r="G211" i="19"/>
  <c r="F211" i="19" s="1"/>
  <c r="D211" i="19" s="1"/>
  <c r="G208" i="19"/>
  <c r="F208" i="19" s="1"/>
  <c r="D208" i="19" s="1"/>
  <c r="G212" i="19"/>
  <c r="F212" i="19" s="1"/>
  <c r="D212" i="19" s="1"/>
  <c r="GL5" i="17" a="1"/>
  <c r="G189" i="19"/>
  <c r="F189" i="19" s="1"/>
  <c r="D189" i="19" s="1"/>
  <c r="G197" i="19"/>
  <c r="F197" i="19" s="1"/>
  <c r="D197" i="19" s="1"/>
  <c r="G205" i="19"/>
  <c r="F205" i="19" s="1"/>
  <c r="D205" i="19" s="1"/>
  <c r="G190" i="19"/>
  <c r="F190" i="19" s="1"/>
  <c r="D190" i="19" s="1"/>
  <c r="G198" i="19"/>
  <c r="F198" i="19" s="1"/>
  <c r="D198" i="19" s="1"/>
  <c r="G206" i="19"/>
  <c r="F206" i="19" s="1"/>
  <c r="D206" i="19" s="1"/>
  <c r="G202" i="19"/>
  <c r="F202" i="19" s="1"/>
  <c r="D202" i="19" s="1"/>
  <c r="G191" i="19"/>
  <c r="F191" i="19" s="1"/>
  <c r="D191" i="19" s="1"/>
  <c r="G199" i="19"/>
  <c r="F199" i="19" s="1"/>
  <c r="D199" i="19" s="1"/>
  <c r="G194" i="19"/>
  <c r="F194" i="19" s="1"/>
  <c r="D194" i="19" s="1"/>
  <c r="G192" i="19"/>
  <c r="F192" i="19" s="1"/>
  <c r="D192" i="19" s="1"/>
  <c r="G200" i="19"/>
  <c r="F200" i="19" s="1"/>
  <c r="D200" i="19" s="1"/>
  <c r="G193" i="19"/>
  <c r="F193" i="19" s="1"/>
  <c r="D193" i="19" s="1"/>
  <c r="G201" i="19"/>
  <c r="F201" i="19" s="1"/>
  <c r="D201" i="19" s="1"/>
  <c r="G195" i="19"/>
  <c r="F195" i="19" s="1"/>
  <c r="D195" i="19" s="1"/>
  <c r="G203" i="19"/>
  <c r="F203" i="19" s="1"/>
  <c r="D203" i="19" s="1"/>
  <c r="G196" i="19"/>
  <c r="F196" i="19" s="1"/>
  <c r="D196" i="19" s="1"/>
  <c r="G204" i="19"/>
  <c r="F204" i="19" s="1"/>
  <c r="D204" i="19" s="1"/>
  <c r="G179" i="19"/>
  <c r="F179" i="19" s="1"/>
  <c r="D179" i="19" s="1"/>
  <c r="G178" i="19"/>
  <c r="F178" i="19" s="1"/>
  <c r="D178" i="19" s="1"/>
  <c r="G182" i="19"/>
  <c r="F182" i="19" s="1"/>
  <c r="D182" i="19" s="1"/>
  <c r="G180" i="19"/>
  <c r="F180" i="19" s="1"/>
  <c r="D180" i="19" s="1"/>
  <c r="G183" i="19"/>
  <c r="F183" i="19" s="1"/>
  <c r="D183" i="19" s="1"/>
  <c r="G185" i="19"/>
  <c r="F185" i="19" s="1"/>
  <c r="D185" i="19" s="1"/>
  <c r="G188" i="19"/>
  <c r="F188" i="19" s="1"/>
  <c r="D188" i="19" s="1"/>
  <c r="G181" i="19"/>
  <c r="F181" i="19" s="1"/>
  <c r="D181" i="19" s="1"/>
  <c r="G186" i="19"/>
  <c r="F186" i="19" s="1"/>
  <c r="D186" i="19" s="1"/>
  <c r="G184" i="19"/>
  <c r="F184" i="19" s="1"/>
  <c r="D184" i="19" s="1"/>
  <c r="G187" i="19"/>
  <c r="F187" i="19" s="1"/>
  <c r="D187" i="19" s="1"/>
  <c r="GI5" i="19"/>
  <c r="G5" i="19" s="1"/>
  <c r="G168" i="19"/>
  <c r="F168" i="19" s="1"/>
  <c r="D168" i="19" s="1"/>
  <c r="G171" i="19"/>
  <c r="F171" i="19" s="1"/>
  <c r="D171" i="19" s="1"/>
  <c r="G169" i="19"/>
  <c r="F169" i="19" s="1"/>
  <c r="D169" i="19" s="1"/>
  <c r="G175" i="19"/>
  <c r="F175" i="19" s="1"/>
  <c r="D175" i="19" s="1"/>
  <c r="G165" i="19"/>
  <c r="F165" i="19" s="1"/>
  <c r="D165" i="19" s="1"/>
  <c r="G172" i="19"/>
  <c r="F172" i="19" s="1"/>
  <c r="D172" i="19" s="1"/>
  <c r="G163" i="19"/>
  <c r="F163" i="19" s="1"/>
  <c r="D163" i="19" s="1"/>
  <c r="G176" i="19"/>
  <c r="F176" i="19" s="1"/>
  <c r="D176" i="19" s="1"/>
  <c r="G173" i="19"/>
  <c r="F173" i="19" s="1"/>
  <c r="D173" i="19" s="1"/>
  <c r="G167" i="19"/>
  <c r="F167" i="19" s="1"/>
  <c r="D167" i="19" s="1"/>
  <c r="G166" i="19"/>
  <c r="F166" i="19" s="1"/>
  <c r="D166" i="19" s="1"/>
  <c r="G164" i="19"/>
  <c r="F164" i="19" s="1"/>
  <c r="D164" i="19" s="1"/>
  <c r="G170" i="19"/>
  <c r="F170" i="19" s="1"/>
  <c r="D170" i="19" s="1"/>
  <c r="G177" i="19"/>
  <c r="F177" i="19" s="1"/>
  <c r="D177" i="19" s="1"/>
  <c r="G174" i="19"/>
  <c r="F174" i="19" s="1"/>
  <c r="D174" i="19" s="1"/>
  <c r="G162" i="19"/>
  <c r="F162" i="19" s="1"/>
  <c r="G158" i="19"/>
  <c r="F158" i="19" s="1"/>
  <c r="D158" i="19" s="1"/>
  <c r="G159" i="19"/>
  <c r="F159" i="19" s="1"/>
  <c r="D159" i="19" s="1"/>
  <c r="G161" i="19"/>
  <c r="F161" i="19" s="1"/>
  <c r="D161" i="19" s="1"/>
  <c r="G160" i="19"/>
  <c r="F160" i="19" s="1"/>
  <c r="D160" i="19" s="1"/>
  <c r="G6" i="19"/>
  <c r="G14" i="19"/>
  <c r="G22" i="19"/>
  <c r="G30" i="19"/>
  <c r="G38" i="19"/>
  <c r="G46" i="19"/>
  <c r="G54" i="19"/>
  <c r="G62" i="19"/>
  <c r="G70" i="19"/>
  <c r="G78" i="19"/>
  <c r="G86" i="19"/>
  <c r="G94" i="19"/>
  <c r="G102" i="19"/>
  <c r="G110" i="19"/>
  <c r="G118" i="19"/>
  <c r="G126" i="19"/>
  <c r="G134" i="19"/>
  <c r="G142" i="19"/>
  <c r="G150" i="19"/>
  <c r="G7" i="19"/>
  <c r="G15" i="19"/>
  <c r="G23" i="19"/>
  <c r="G31" i="19"/>
  <c r="G39" i="19"/>
  <c r="G47" i="19"/>
  <c r="G55" i="19"/>
  <c r="G63" i="19"/>
  <c r="G71" i="19"/>
  <c r="G79" i="19"/>
  <c r="G87" i="19"/>
  <c r="G95" i="19"/>
  <c r="G103" i="19"/>
  <c r="G111" i="19"/>
  <c r="G119" i="19"/>
  <c r="G127" i="19"/>
  <c r="G135" i="19"/>
  <c r="G143" i="19"/>
  <c r="G151" i="19"/>
  <c r="G8" i="19"/>
  <c r="G16" i="19"/>
  <c r="G24" i="19"/>
  <c r="G32" i="19"/>
  <c r="G40" i="19"/>
  <c r="G48" i="19"/>
  <c r="G56" i="19"/>
  <c r="G64" i="19"/>
  <c r="G72" i="19"/>
  <c r="G80" i="19"/>
  <c r="G88" i="19"/>
  <c r="G96" i="19"/>
  <c r="G104" i="19"/>
  <c r="G112" i="19"/>
  <c r="G120" i="19"/>
  <c r="G128" i="19"/>
  <c r="G136" i="19"/>
  <c r="G144" i="19"/>
  <c r="G152" i="19"/>
  <c r="G45" i="19"/>
  <c r="G9" i="19"/>
  <c r="G17" i="19"/>
  <c r="G25" i="19"/>
  <c r="G33" i="19"/>
  <c r="G41" i="19"/>
  <c r="G49" i="19"/>
  <c r="G57" i="19"/>
  <c r="G65" i="19"/>
  <c r="G73" i="19"/>
  <c r="G81" i="19"/>
  <c r="G89" i="19"/>
  <c r="G97" i="19"/>
  <c r="G105" i="19"/>
  <c r="G113" i="19"/>
  <c r="G121" i="19"/>
  <c r="G129" i="19"/>
  <c r="G137" i="19"/>
  <c r="G145" i="19"/>
  <c r="G153" i="19"/>
  <c r="G29" i="19"/>
  <c r="G61" i="19"/>
  <c r="G85" i="19"/>
  <c r="G109" i="19"/>
  <c r="G141" i="19"/>
  <c r="G10" i="19"/>
  <c r="G18" i="19"/>
  <c r="G26" i="19"/>
  <c r="G34" i="19"/>
  <c r="G42" i="19"/>
  <c r="G50" i="19"/>
  <c r="G58" i="19"/>
  <c r="G66" i="19"/>
  <c r="G74" i="19"/>
  <c r="G82" i="19"/>
  <c r="G90" i="19"/>
  <c r="G98" i="19"/>
  <c r="G106" i="19"/>
  <c r="G114" i="19"/>
  <c r="G122" i="19"/>
  <c r="G130" i="19"/>
  <c r="G138" i="19"/>
  <c r="G146" i="19"/>
  <c r="G154" i="19"/>
  <c r="G21" i="19"/>
  <c r="G117" i="19"/>
  <c r="G11" i="19"/>
  <c r="G19" i="19"/>
  <c r="G27" i="19"/>
  <c r="G35" i="19"/>
  <c r="G43" i="19"/>
  <c r="G51" i="19"/>
  <c r="G59" i="19"/>
  <c r="G67" i="19"/>
  <c r="G75" i="19"/>
  <c r="G83" i="19"/>
  <c r="G91" i="19"/>
  <c r="G99" i="19"/>
  <c r="G107" i="19"/>
  <c r="G115" i="19"/>
  <c r="G123" i="19"/>
  <c r="G131" i="19"/>
  <c r="G139" i="19"/>
  <c r="G147" i="19"/>
  <c r="G155" i="19"/>
  <c r="G37" i="19"/>
  <c r="G53" i="19"/>
  <c r="G69" i="19"/>
  <c r="G93" i="19"/>
  <c r="G125" i="19"/>
  <c r="G157" i="19"/>
  <c r="G12" i="19"/>
  <c r="G20" i="19"/>
  <c r="G28" i="19"/>
  <c r="G36" i="19"/>
  <c r="G44" i="19"/>
  <c r="G52" i="19"/>
  <c r="G60" i="19"/>
  <c r="G68" i="19"/>
  <c r="G76" i="19"/>
  <c r="G84" i="19"/>
  <c r="G92" i="19"/>
  <c r="G100" i="19"/>
  <c r="G108" i="19"/>
  <c r="G116" i="19"/>
  <c r="G124" i="19"/>
  <c r="G132" i="19"/>
  <c r="G140" i="19"/>
  <c r="G148" i="19"/>
  <c r="G156" i="19"/>
  <c r="G13" i="19"/>
  <c r="G77" i="19"/>
  <c r="G101" i="19"/>
  <c r="G133" i="19"/>
  <c r="G149" i="19"/>
  <c r="NK5" i="17" a="1"/>
  <c r="K206" i="8" l="1"/>
  <c r="K207" i="8"/>
  <c r="K197" i="8"/>
  <c r="K199" i="8"/>
  <c r="N234" i="8"/>
  <c r="N201" i="8"/>
  <c r="N197" i="8"/>
  <c r="N200" i="8"/>
  <c r="N206" i="8"/>
  <c r="N241" i="8"/>
  <c r="N230" i="8"/>
  <c r="N208" i="8"/>
  <c r="N243" i="8"/>
  <c r="N209" i="8"/>
  <c r="N214" i="8"/>
  <c r="N232" i="8"/>
  <c r="N210" i="8"/>
  <c r="N237" i="8"/>
  <c r="N239" i="8"/>
  <c r="N236" i="8"/>
  <c r="N253" i="8"/>
  <c r="N267" i="8"/>
  <c r="N269" i="8"/>
  <c r="N250" i="8"/>
  <c r="N273" i="8"/>
  <c r="N259" i="8"/>
  <c r="N264" i="8"/>
  <c r="N312" i="8"/>
  <c r="N284" i="8"/>
  <c r="N288" i="8"/>
  <c r="N349" i="8"/>
  <c r="N293" i="8"/>
  <c r="N296" i="8"/>
  <c r="N356" i="8"/>
  <c r="N317" i="8"/>
  <c r="N306" i="8"/>
  <c r="N302" i="8"/>
  <c r="N329" i="8"/>
  <c r="N351" i="8"/>
  <c r="N291" i="8"/>
  <c r="N316" i="8"/>
  <c r="N292" i="8"/>
  <c r="N353" i="8"/>
  <c r="N299" i="8"/>
  <c r="N285" i="8"/>
  <c r="N330" i="8"/>
  <c r="N303" i="8"/>
  <c r="N331" i="8"/>
  <c r="N341" i="8"/>
  <c r="N328" i="8"/>
  <c r="N282" i="8"/>
  <c r="N338" i="8"/>
  <c r="N332" i="8"/>
  <c r="N311" i="8"/>
  <c r="N301" i="8"/>
  <c r="N281" i="8"/>
  <c r="N337" i="8"/>
  <c r="N313" i="8"/>
  <c r="N350" i="8"/>
  <c r="N305" i="8"/>
  <c r="N327" i="8"/>
  <c r="N308" i="8"/>
  <c r="N295" i="8"/>
  <c r="N294" i="8"/>
  <c r="N309" i="8"/>
  <c r="N358" i="8"/>
  <c r="N343" i="8"/>
  <c r="N307" i="8"/>
  <c r="N298" i="8"/>
  <c r="N333" i="8"/>
  <c r="N325" i="8"/>
  <c r="N347" i="8"/>
  <c r="N315" i="8"/>
  <c r="N287" i="8"/>
  <c r="N345" i="8"/>
  <c r="N320" i="8"/>
  <c r="N357" i="8"/>
  <c r="N280" i="8"/>
  <c r="N318" i="8"/>
  <c r="N300" i="8"/>
  <c r="N339" i="8"/>
  <c r="N321" i="8"/>
  <c r="N290" i="8"/>
  <c r="N314" i="8"/>
  <c r="N348" i="8"/>
  <c r="N286" i="8"/>
  <c r="N355" i="8"/>
  <c r="N346" i="8"/>
  <c r="N283" i="8"/>
  <c r="N344" i="8"/>
  <c r="N279" i="8"/>
  <c r="N319" i="8"/>
  <c r="N322" i="8"/>
  <c r="N334" i="8"/>
  <c r="N326" i="8"/>
  <c r="N340" i="8"/>
  <c r="N352" i="8"/>
  <c r="N310" i="8"/>
  <c r="N336" i="8"/>
  <c r="N323" i="8"/>
  <c r="N304" i="8"/>
  <c r="N324" i="8"/>
  <c r="N354" i="8"/>
  <c r="N289" i="8"/>
  <c r="N335" i="8"/>
  <c r="N297" i="8"/>
  <c r="N342" i="8"/>
  <c r="N215" i="8"/>
  <c r="N222" i="8"/>
  <c r="N257" i="8"/>
  <c r="N248" i="8"/>
  <c r="N262" i="8"/>
  <c r="N266" i="8"/>
  <c r="N277" i="8"/>
  <c r="N256" i="8"/>
  <c r="N252" i="8"/>
  <c r="N271" i="8"/>
  <c r="N276" i="8"/>
  <c r="N263" i="8"/>
  <c r="N216" i="8"/>
  <c r="N204" i="8"/>
  <c r="N212" i="8"/>
  <c r="N198" i="8"/>
  <c r="N228" i="8"/>
  <c r="N245" i="8"/>
  <c r="N244" i="8"/>
  <c r="N190" i="8"/>
  <c r="N205" i="8"/>
  <c r="N249" i="8"/>
  <c r="N278" i="8"/>
  <c r="N275" i="8"/>
  <c r="N261" i="8"/>
  <c r="N229" i="8"/>
  <c r="N218" i="8"/>
  <c r="N247" i="8"/>
  <c r="N224" i="8"/>
  <c r="N188" i="8"/>
  <c r="N225" i="8"/>
  <c r="N219" i="8"/>
  <c r="N195" i="8"/>
  <c r="N196" i="8"/>
  <c r="N274" i="8"/>
  <c r="N260" i="8"/>
  <c r="N270" i="8"/>
  <c r="N265" i="8"/>
  <c r="N268" i="8"/>
  <c r="N227" i="8"/>
  <c r="N221" i="8"/>
  <c r="N231" i="8"/>
  <c r="N217" i="8"/>
  <c r="N211" i="8"/>
  <c r="N233" i="8"/>
  <c r="N194" i="8"/>
  <c r="N191" i="8"/>
  <c r="N251" i="8"/>
  <c r="N193" i="8"/>
  <c r="N207" i="8"/>
  <c r="N226" i="8"/>
  <c r="N235" i="8"/>
  <c r="N223" i="8"/>
  <c r="N238" i="8"/>
  <c r="N203" i="8"/>
  <c r="N199" i="8"/>
  <c r="N255" i="8"/>
  <c r="N240" i="8"/>
  <c r="N213" i="8"/>
  <c r="N220" i="8"/>
  <c r="N246" i="8"/>
  <c r="N202" i="8"/>
  <c r="N242" i="8"/>
  <c r="N192" i="8"/>
  <c r="N189" i="8"/>
  <c r="N254" i="8"/>
  <c r="N258" i="8"/>
  <c r="N272" i="8"/>
  <c r="G246" i="8"/>
  <c r="G240" i="8"/>
  <c r="G242" i="8"/>
  <c r="G238" i="8"/>
  <c r="G245" i="8"/>
  <c r="G234" i="8"/>
  <c r="G250" i="8"/>
  <c r="G252" i="8"/>
  <c r="G327" i="8"/>
  <c r="G340" i="8"/>
  <c r="G342" i="8"/>
  <c r="G353" i="8"/>
  <c r="G355" i="8"/>
  <c r="G310" i="8"/>
  <c r="G312" i="8"/>
  <c r="G323" i="8"/>
  <c r="G336" i="8"/>
  <c r="G249" i="8"/>
  <c r="G267" i="8"/>
  <c r="G262" i="8"/>
  <c r="G319" i="8"/>
  <c r="G345" i="8"/>
  <c r="G281" i="8"/>
  <c r="G283" i="8"/>
  <c r="G302" i="8"/>
  <c r="G328" i="8"/>
  <c r="G330" i="8"/>
  <c r="G324" i="8"/>
  <c r="G326" i="8"/>
  <c r="G337" i="8"/>
  <c r="G320" i="8"/>
  <c r="G237" i="8"/>
  <c r="G243" i="8"/>
  <c r="G239" i="8"/>
  <c r="G349" i="8"/>
  <c r="G351" i="8"/>
  <c r="G285" i="8"/>
  <c r="G287" i="8"/>
  <c r="G316" i="8"/>
  <c r="G329" i="8"/>
  <c r="G350" i="8"/>
  <c r="G352" i="8"/>
  <c r="G286" i="8"/>
  <c r="G299" i="8"/>
  <c r="G255" i="8"/>
  <c r="G257" i="8"/>
  <c r="G274" i="8"/>
  <c r="G295" i="8"/>
  <c r="G251" i="8"/>
  <c r="G276" i="8"/>
  <c r="G266" i="8"/>
  <c r="G300" i="8"/>
  <c r="G313" i="8"/>
  <c r="G315" i="8"/>
  <c r="G296" i="8"/>
  <c r="G258" i="8"/>
  <c r="G268" i="8"/>
  <c r="G270" i="8"/>
  <c r="G269" i="8"/>
  <c r="G356" i="8"/>
  <c r="G292" i="8"/>
  <c r="G305" i="8"/>
  <c r="G339" i="8"/>
  <c r="G341" i="8"/>
  <c r="G288" i="8"/>
  <c r="G260" i="8"/>
  <c r="G284" i="8"/>
  <c r="G297" i="8"/>
  <c r="J290" i="17"/>
  <c r="I290" i="17" s="1"/>
  <c r="F290" i="17" s="1"/>
  <c r="M289" i="8" s="1"/>
  <c r="J294" i="17"/>
  <c r="I294" i="17" s="1"/>
  <c r="F294" i="17" s="1"/>
  <c r="J296" i="17"/>
  <c r="I296" i="17" s="1"/>
  <c r="F296" i="17" s="1"/>
  <c r="J310" i="17"/>
  <c r="I310" i="17" s="1"/>
  <c r="F310" i="17" s="1"/>
  <c r="J312" i="17"/>
  <c r="I312" i="17" s="1"/>
  <c r="F312" i="17" s="1"/>
  <c r="J314" i="17"/>
  <c r="I314" i="17" s="1"/>
  <c r="F314" i="17" s="1"/>
  <c r="J343" i="17"/>
  <c r="I343" i="17" s="1"/>
  <c r="F343" i="17" s="1"/>
  <c r="J345" i="17"/>
  <c r="I345" i="17" s="1"/>
  <c r="F345" i="17" s="1"/>
  <c r="M344" i="8" s="1"/>
  <c r="J347" i="17"/>
  <c r="I347" i="17" s="1"/>
  <c r="F347" i="17" s="1"/>
  <c r="J356" i="17"/>
  <c r="I356" i="17" s="1"/>
  <c r="F356" i="17" s="1"/>
  <c r="J292" i="17"/>
  <c r="I292" i="17" s="1"/>
  <c r="F292" i="17" s="1"/>
  <c r="J315" i="17"/>
  <c r="I315" i="17" s="1"/>
  <c r="F315" i="17" s="1"/>
  <c r="J321" i="17"/>
  <c r="I321" i="17" s="1"/>
  <c r="F321" i="17" s="1"/>
  <c r="J338" i="17"/>
  <c r="I338" i="17" s="1"/>
  <c r="F338" i="17" s="1"/>
  <c r="J340" i="17"/>
  <c r="I340" i="17" s="1"/>
  <c r="F340" i="17" s="1"/>
  <c r="J344" i="17"/>
  <c r="I344" i="17" s="1"/>
  <c r="F344" i="17" s="1"/>
  <c r="J350" i="17"/>
  <c r="I350" i="17" s="1"/>
  <c r="F350" i="17" s="1"/>
  <c r="J284" i="17"/>
  <c r="I284" i="17" s="1"/>
  <c r="F284" i="17" s="1"/>
  <c r="M283" i="8" s="1"/>
  <c r="J286" i="17"/>
  <c r="I286" i="17" s="1"/>
  <c r="F286" i="17" s="1"/>
  <c r="J288" i="17"/>
  <c r="I288" i="17" s="1"/>
  <c r="F288" i="17" s="1"/>
  <c r="M287" i="8" s="1"/>
  <c r="J297" i="17"/>
  <c r="I297" i="17" s="1"/>
  <c r="F297" i="17" s="1"/>
  <c r="M296" i="8" s="1"/>
  <c r="J299" i="17"/>
  <c r="I299" i="17" s="1"/>
  <c r="F299" i="17" s="1"/>
  <c r="J305" i="17"/>
  <c r="I305" i="17" s="1"/>
  <c r="F305" i="17" s="1"/>
  <c r="M304" i="8" s="1"/>
  <c r="J309" i="17"/>
  <c r="I309" i="17" s="1"/>
  <c r="F309" i="17" s="1"/>
  <c r="J311" i="17"/>
  <c r="I311" i="17" s="1"/>
  <c r="F311" i="17" s="1"/>
  <c r="M310" i="8" s="1"/>
  <c r="J330" i="17"/>
  <c r="I330" i="17" s="1"/>
  <c r="F330" i="17" s="1"/>
  <c r="J332" i="17"/>
  <c r="I332" i="17" s="1"/>
  <c r="F332" i="17" s="1"/>
  <c r="J334" i="17"/>
  <c r="I334" i="17" s="1"/>
  <c r="F334" i="17" s="1"/>
  <c r="J353" i="17"/>
  <c r="I353" i="17" s="1"/>
  <c r="F353" i="17" s="1"/>
  <c r="J357" i="17"/>
  <c r="I357" i="17" s="1"/>
  <c r="F357" i="17" s="1"/>
  <c r="J359" i="17"/>
  <c r="I359" i="17" s="1"/>
  <c r="F359" i="17" s="1"/>
  <c r="J295" i="17"/>
  <c r="I295" i="17" s="1"/>
  <c r="F295" i="17" s="1"/>
  <c r="J301" i="17"/>
  <c r="I301" i="17" s="1"/>
  <c r="F301" i="17" s="1"/>
  <c r="M300" i="8" s="1"/>
  <c r="J303" i="17"/>
  <c r="I303" i="17" s="1"/>
  <c r="F303" i="17" s="1"/>
  <c r="J322" i="17"/>
  <c r="I322" i="17" s="1"/>
  <c r="F322" i="17" s="1"/>
  <c r="J324" i="17"/>
  <c r="I324" i="17" s="1"/>
  <c r="F324" i="17" s="1"/>
  <c r="J328" i="17"/>
  <c r="I328" i="17" s="1"/>
  <c r="F328" i="17" s="1"/>
  <c r="J349" i="17"/>
  <c r="I349" i="17" s="1"/>
  <c r="F349" i="17" s="1"/>
  <c r="J351" i="17"/>
  <c r="I351" i="17" s="1"/>
  <c r="F351" i="17" s="1"/>
  <c r="J282" i="17"/>
  <c r="I282" i="17" s="1"/>
  <c r="F282" i="17" s="1"/>
  <c r="M281" i="8" s="1"/>
  <c r="J291" i="17"/>
  <c r="I291" i="17" s="1"/>
  <c r="F291" i="17" s="1"/>
  <c r="M290" i="8" s="1"/>
  <c r="J287" i="17"/>
  <c r="I287" i="17" s="1"/>
  <c r="F287" i="17" s="1"/>
  <c r="M286" i="8" s="1"/>
  <c r="J289" i="17"/>
  <c r="I289" i="17" s="1"/>
  <c r="F289" i="17" s="1"/>
  <c r="J318" i="17"/>
  <c r="I318" i="17" s="1"/>
  <c r="F318" i="17" s="1"/>
  <c r="J331" i="17"/>
  <c r="I331" i="17" s="1"/>
  <c r="F331" i="17" s="1"/>
  <c r="J337" i="17"/>
  <c r="I337" i="17" s="1"/>
  <c r="F337" i="17" s="1"/>
  <c r="M336" i="8" s="1"/>
  <c r="J341" i="17"/>
  <c r="I341" i="17" s="1"/>
  <c r="F341" i="17" s="1"/>
  <c r="J283" i="17"/>
  <c r="I283" i="17" s="1"/>
  <c r="F283" i="17" s="1"/>
  <c r="M282" i="8" s="1"/>
  <c r="J285" i="17"/>
  <c r="I285" i="17" s="1"/>
  <c r="F285" i="17" s="1"/>
  <c r="M284" i="8" s="1"/>
  <c r="J298" i="17"/>
  <c r="I298" i="17" s="1"/>
  <c r="F298" i="17" s="1"/>
  <c r="J300" i="17"/>
  <c r="I300" i="17" s="1"/>
  <c r="F300" i="17" s="1"/>
  <c r="M299" i="8" s="1"/>
  <c r="J306" i="17"/>
  <c r="I306" i="17" s="1"/>
  <c r="F306" i="17" s="1"/>
  <c r="J308" i="17"/>
  <c r="I308" i="17" s="1"/>
  <c r="F308" i="17" s="1"/>
  <c r="M307" i="8" s="1"/>
  <c r="J329" i="17"/>
  <c r="I329" i="17" s="1"/>
  <c r="F329" i="17" s="1"/>
  <c r="J333" i="17"/>
  <c r="I333" i="17" s="1"/>
  <c r="F333" i="17" s="1"/>
  <c r="M332" i="8" s="1"/>
  <c r="J335" i="17"/>
  <c r="I335" i="17" s="1"/>
  <c r="F335" i="17" s="1"/>
  <c r="M334" i="8" s="1"/>
  <c r="J354" i="17"/>
  <c r="I354" i="17" s="1"/>
  <c r="F354" i="17" s="1"/>
  <c r="J358" i="17"/>
  <c r="I358" i="17" s="1"/>
  <c r="F358" i="17" s="1"/>
  <c r="J293" i="17"/>
  <c r="I293" i="17" s="1"/>
  <c r="F293" i="17" s="1"/>
  <c r="J304" i="17"/>
  <c r="I304" i="17" s="1"/>
  <c r="F304" i="17" s="1"/>
  <c r="M303" i="8" s="1"/>
  <c r="J326" i="17"/>
  <c r="I326" i="17" s="1"/>
  <c r="F326" i="17" s="1"/>
  <c r="M325" i="8" s="1"/>
  <c r="J316" i="17"/>
  <c r="I316" i="17" s="1"/>
  <c r="F316" i="17" s="1"/>
  <c r="J327" i="17"/>
  <c r="I327" i="17" s="1"/>
  <c r="F327" i="17" s="1"/>
  <c r="M326" i="8" s="1"/>
  <c r="J355" i="17"/>
  <c r="I355" i="17" s="1"/>
  <c r="F355" i="17" s="1"/>
  <c r="J339" i="17"/>
  <c r="I339" i="17" s="1"/>
  <c r="F339" i="17" s="1"/>
  <c r="J317" i="17"/>
  <c r="I317" i="17" s="1"/>
  <c r="F317" i="17" s="1"/>
  <c r="M316" i="8" s="1"/>
  <c r="J323" i="17"/>
  <c r="I323" i="17" s="1"/>
  <c r="F323" i="17" s="1"/>
  <c r="J281" i="17"/>
  <c r="I281" i="17" s="1"/>
  <c r="F281" i="17" s="1"/>
  <c r="M280" i="8" s="1"/>
  <c r="J307" i="17"/>
  <c r="I307" i="17" s="1"/>
  <c r="F307" i="17" s="1"/>
  <c r="M306" i="8" s="1"/>
  <c r="J346" i="17"/>
  <c r="I346" i="17" s="1"/>
  <c r="F346" i="17" s="1"/>
  <c r="J302" i="17"/>
  <c r="I302" i="17" s="1"/>
  <c r="F302" i="17" s="1"/>
  <c r="J313" i="17"/>
  <c r="I313" i="17" s="1"/>
  <c r="F313" i="17" s="1"/>
  <c r="M312" i="8" s="1"/>
  <c r="J352" i="17"/>
  <c r="I352" i="17" s="1"/>
  <c r="F352" i="17" s="1"/>
  <c r="J342" i="17"/>
  <c r="I342" i="17" s="1"/>
  <c r="F342" i="17" s="1"/>
  <c r="M341" i="8" s="1"/>
  <c r="J319" i="17"/>
  <c r="I319" i="17" s="1"/>
  <c r="F319" i="17" s="1"/>
  <c r="J325" i="17"/>
  <c r="I325" i="17" s="1"/>
  <c r="F325" i="17" s="1"/>
  <c r="M324" i="8" s="1"/>
  <c r="J336" i="17"/>
  <c r="I336" i="17" s="1"/>
  <c r="F336" i="17" s="1"/>
  <c r="J320" i="17"/>
  <c r="I320" i="17" s="1"/>
  <c r="F320" i="17" s="1"/>
  <c r="M319" i="8" s="1"/>
  <c r="J348" i="17"/>
  <c r="I348" i="17" s="1"/>
  <c r="F348" i="17" s="1"/>
  <c r="H281" i="17"/>
  <c r="G281" i="17" s="1"/>
  <c r="D281" i="17" s="1"/>
  <c r="B281" i="17" s="1"/>
  <c r="H283" i="17"/>
  <c r="G283" i="17" s="1"/>
  <c r="D283" i="17" s="1"/>
  <c r="B283" i="17" s="1"/>
  <c r="I274" i="8" s="1"/>
  <c r="H287" i="17"/>
  <c r="G287" i="17" s="1"/>
  <c r="D287" i="17" s="1"/>
  <c r="B287" i="17" s="1"/>
  <c r="H305" i="17"/>
  <c r="G305" i="17" s="1"/>
  <c r="D305" i="17" s="1"/>
  <c r="B305" i="17" s="1"/>
  <c r="H307" i="17"/>
  <c r="G307" i="17" s="1"/>
  <c r="D307" i="17" s="1"/>
  <c r="B307" i="17" s="1"/>
  <c r="H316" i="17"/>
  <c r="G316" i="17" s="1"/>
  <c r="D316" i="17" s="1"/>
  <c r="B316" i="17" s="1"/>
  <c r="H327" i="17"/>
  <c r="G327" i="17" s="1"/>
  <c r="D327" i="17" s="1"/>
  <c r="B327" i="17" s="1"/>
  <c r="H336" i="17"/>
  <c r="G336" i="17" s="1"/>
  <c r="D336" i="17" s="1"/>
  <c r="B336" i="17" s="1"/>
  <c r="H338" i="17"/>
  <c r="G338" i="17" s="1"/>
  <c r="D338" i="17" s="1"/>
  <c r="B338" i="17" s="1"/>
  <c r="H349" i="17"/>
  <c r="G349" i="17" s="1"/>
  <c r="D349" i="17" s="1"/>
  <c r="B349" i="17" s="1"/>
  <c r="H358" i="17"/>
  <c r="G358" i="17" s="1"/>
  <c r="D358" i="17" s="1"/>
  <c r="B358" i="17" s="1"/>
  <c r="I357" i="8" s="1"/>
  <c r="H286" i="17"/>
  <c r="G286" i="17" s="1"/>
  <c r="D286" i="17" s="1"/>
  <c r="B286" i="17" s="1"/>
  <c r="H290" i="17"/>
  <c r="G290" i="17" s="1"/>
  <c r="D290" i="17" s="1"/>
  <c r="B290" i="17" s="1"/>
  <c r="H309" i="17"/>
  <c r="G309" i="17" s="1"/>
  <c r="D309" i="17" s="1"/>
  <c r="B309" i="17" s="1"/>
  <c r="I308" i="8" s="1"/>
  <c r="H311" i="17"/>
  <c r="G311" i="17" s="1"/>
  <c r="D311" i="17" s="1"/>
  <c r="B311" i="17" s="1"/>
  <c r="H313" i="17"/>
  <c r="G313" i="17" s="1"/>
  <c r="D313" i="17" s="1"/>
  <c r="B313" i="17" s="1"/>
  <c r="H355" i="17"/>
  <c r="G355" i="17" s="1"/>
  <c r="D355" i="17" s="1"/>
  <c r="B355" i="17" s="1"/>
  <c r="H357" i="17"/>
  <c r="G357" i="17" s="1"/>
  <c r="D357" i="17" s="1"/>
  <c r="B357" i="17" s="1"/>
  <c r="H359" i="17"/>
  <c r="G359" i="17" s="1"/>
  <c r="D359" i="17" s="1"/>
  <c r="B359" i="17" s="1"/>
  <c r="H282" i="17"/>
  <c r="G282" i="17" s="1"/>
  <c r="D282" i="17" s="1"/>
  <c r="B282" i="17" s="1"/>
  <c r="H303" i="17"/>
  <c r="G303" i="17" s="1"/>
  <c r="D303" i="17" s="1"/>
  <c r="B303" i="17" s="1"/>
  <c r="H322" i="17"/>
  <c r="G322" i="17" s="1"/>
  <c r="D322" i="17" s="1"/>
  <c r="B322" i="17" s="1"/>
  <c r="H324" i="17"/>
  <c r="G324" i="17" s="1"/>
  <c r="D324" i="17" s="1"/>
  <c r="B324" i="17" s="1"/>
  <c r="H326" i="17"/>
  <c r="G326" i="17" s="1"/>
  <c r="D326" i="17" s="1"/>
  <c r="B326" i="17" s="1"/>
  <c r="H328" i="17"/>
  <c r="G328" i="17" s="1"/>
  <c r="D328" i="17" s="1"/>
  <c r="B328" i="17" s="1"/>
  <c r="I327" i="8" s="1"/>
  <c r="H347" i="17"/>
  <c r="G347" i="17" s="1"/>
  <c r="D347" i="17" s="1"/>
  <c r="B347" i="17" s="1"/>
  <c r="H291" i="17"/>
  <c r="G291" i="17" s="1"/>
  <c r="D291" i="17" s="1"/>
  <c r="B291" i="17" s="1"/>
  <c r="I282" i="8" s="1"/>
  <c r="H293" i="17"/>
  <c r="G293" i="17" s="1"/>
  <c r="D293" i="17" s="1"/>
  <c r="B293" i="17" s="1"/>
  <c r="I292" i="8" s="1"/>
  <c r="H318" i="17"/>
  <c r="G318" i="17" s="1"/>
  <c r="D318" i="17" s="1"/>
  <c r="B318" i="17" s="1"/>
  <c r="H320" i="17"/>
  <c r="G320" i="17" s="1"/>
  <c r="D320" i="17" s="1"/>
  <c r="B320" i="17" s="1"/>
  <c r="H339" i="17"/>
  <c r="G339" i="17" s="1"/>
  <c r="D339" i="17" s="1"/>
  <c r="B339" i="17" s="1"/>
  <c r="I338" i="8" s="1"/>
  <c r="H341" i="17"/>
  <c r="G341" i="17" s="1"/>
  <c r="D341" i="17" s="1"/>
  <c r="B341" i="17" s="1"/>
  <c r="H343" i="17"/>
  <c r="G343" i="17" s="1"/>
  <c r="D343" i="17" s="1"/>
  <c r="B343" i="17" s="1"/>
  <c r="I330" i="8" s="1"/>
  <c r="H345" i="17"/>
  <c r="G345" i="17" s="1"/>
  <c r="D345" i="17" s="1"/>
  <c r="B345" i="17" s="1"/>
  <c r="H289" i="17"/>
  <c r="G289" i="17" s="1"/>
  <c r="D289" i="17" s="1"/>
  <c r="B289" i="17" s="1"/>
  <c r="H285" i="17"/>
  <c r="G285" i="17" s="1"/>
  <c r="D285" i="17" s="1"/>
  <c r="B285" i="17" s="1"/>
  <c r="H298" i="17"/>
  <c r="G298" i="17" s="1"/>
  <c r="D298" i="17" s="1"/>
  <c r="B298" i="17" s="1"/>
  <c r="H300" i="17"/>
  <c r="G300" i="17" s="1"/>
  <c r="D300" i="17" s="1"/>
  <c r="B300" i="17" s="1"/>
  <c r="H302" i="17"/>
  <c r="G302" i="17" s="1"/>
  <c r="D302" i="17" s="1"/>
  <c r="B302" i="17" s="1"/>
  <c r="H306" i="17"/>
  <c r="G306" i="17" s="1"/>
  <c r="D306" i="17" s="1"/>
  <c r="B306" i="17" s="1"/>
  <c r="H308" i="17"/>
  <c r="G308" i="17" s="1"/>
  <c r="D308" i="17" s="1"/>
  <c r="B308" i="17" s="1"/>
  <c r="I307" i="8" s="1"/>
  <c r="H310" i="17"/>
  <c r="G310" i="17" s="1"/>
  <c r="D310" i="17" s="1"/>
  <c r="B310" i="17" s="1"/>
  <c r="H312" i="17"/>
  <c r="G312" i="17" s="1"/>
  <c r="D312" i="17" s="1"/>
  <c r="B312" i="17" s="1"/>
  <c r="H329" i="17"/>
  <c r="G329" i="17" s="1"/>
  <c r="D329" i="17" s="1"/>
  <c r="B329" i="17" s="1"/>
  <c r="H354" i="17"/>
  <c r="G354" i="17" s="1"/>
  <c r="D354" i="17" s="1"/>
  <c r="B354" i="17" s="1"/>
  <c r="H356" i="17"/>
  <c r="G356" i="17" s="1"/>
  <c r="D356" i="17" s="1"/>
  <c r="B356" i="17" s="1"/>
  <c r="I355" i="8" s="1"/>
  <c r="H294" i="17"/>
  <c r="G294" i="17" s="1"/>
  <c r="D294" i="17" s="1"/>
  <c r="B294" i="17" s="1"/>
  <c r="H296" i="17"/>
  <c r="G296" i="17" s="1"/>
  <c r="D296" i="17" s="1"/>
  <c r="B296" i="17" s="1"/>
  <c r="I295" i="8" s="1"/>
  <c r="H304" i="17"/>
  <c r="G304" i="17" s="1"/>
  <c r="D304" i="17" s="1"/>
  <c r="B304" i="17" s="1"/>
  <c r="H323" i="17"/>
  <c r="G323" i="17" s="1"/>
  <c r="D323" i="17" s="1"/>
  <c r="B323" i="17" s="1"/>
  <c r="H325" i="17"/>
  <c r="G325" i="17" s="1"/>
  <c r="D325" i="17" s="1"/>
  <c r="B325" i="17" s="1"/>
  <c r="I313" i="8" s="1"/>
  <c r="H346" i="17"/>
  <c r="G346" i="17" s="1"/>
  <c r="D346" i="17" s="1"/>
  <c r="B346" i="17" s="1"/>
  <c r="H348" i="17"/>
  <c r="G348" i="17" s="1"/>
  <c r="D348" i="17" s="1"/>
  <c r="B348" i="17" s="1"/>
  <c r="H350" i="17"/>
  <c r="G350" i="17" s="1"/>
  <c r="D350" i="17" s="1"/>
  <c r="B350" i="17" s="1"/>
  <c r="H352" i="17"/>
  <c r="G352" i="17" s="1"/>
  <c r="D352" i="17" s="1"/>
  <c r="B352" i="17" s="1"/>
  <c r="H299" i="17"/>
  <c r="G299" i="17" s="1"/>
  <c r="D299" i="17" s="1"/>
  <c r="B299" i="17" s="1"/>
  <c r="H321" i="17"/>
  <c r="G321" i="17" s="1"/>
  <c r="D321" i="17" s="1"/>
  <c r="B321" i="17" s="1"/>
  <c r="H332" i="17"/>
  <c r="G332" i="17" s="1"/>
  <c r="D332" i="17" s="1"/>
  <c r="B332" i="17" s="1"/>
  <c r="H333" i="17"/>
  <c r="G333" i="17" s="1"/>
  <c r="D333" i="17" s="1"/>
  <c r="B333" i="17" s="1"/>
  <c r="I320" i="8" s="1"/>
  <c r="H344" i="17"/>
  <c r="G344" i="17" s="1"/>
  <c r="D344" i="17" s="1"/>
  <c r="B344" i="17" s="1"/>
  <c r="H295" i="17"/>
  <c r="G295" i="17" s="1"/>
  <c r="D295" i="17" s="1"/>
  <c r="B295" i="17" s="1"/>
  <c r="H317" i="17"/>
  <c r="G317" i="17" s="1"/>
  <c r="D317" i="17" s="1"/>
  <c r="B317" i="17" s="1"/>
  <c r="H288" i="17"/>
  <c r="G288" i="17" s="1"/>
  <c r="D288" i="17" s="1"/>
  <c r="B288" i="17" s="1"/>
  <c r="I287" i="8" s="1"/>
  <c r="H301" i="17"/>
  <c r="G301" i="17" s="1"/>
  <c r="D301" i="17" s="1"/>
  <c r="B301" i="17" s="1"/>
  <c r="H334" i="17"/>
  <c r="G334" i="17" s="1"/>
  <c r="D334" i="17" s="1"/>
  <c r="B334" i="17" s="1"/>
  <c r="I333" i="8" s="1"/>
  <c r="H340" i="17"/>
  <c r="G340" i="17" s="1"/>
  <c r="D340" i="17" s="1"/>
  <c r="B340" i="17" s="1"/>
  <c r="H351" i="17"/>
  <c r="G351" i="17" s="1"/>
  <c r="D351" i="17" s="1"/>
  <c r="B351" i="17" s="1"/>
  <c r="H335" i="17"/>
  <c r="G335" i="17" s="1"/>
  <c r="D335" i="17" s="1"/>
  <c r="B335" i="17" s="1"/>
  <c r="H297" i="17"/>
  <c r="G297" i="17" s="1"/>
  <c r="D297" i="17" s="1"/>
  <c r="B297" i="17" s="1"/>
  <c r="H319" i="17"/>
  <c r="G319" i="17" s="1"/>
  <c r="D319" i="17" s="1"/>
  <c r="B319" i="17" s="1"/>
  <c r="H330" i="17"/>
  <c r="G330" i="17" s="1"/>
  <c r="D330" i="17" s="1"/>
  <c r="B330" i="17" s="1"/>
  <c r="H315" i="17"/>
  <c r="G315" i="17" s="1"/>
  <c r="D315" i="17" s="1"/>
  <c r="B315" i="17" s="1"/>
  <c r="H292" i="17"/>
  <c r="G292" i="17" s="1"/>
  <c r="D292" i="17" s="1"/>
  <c r="B292" i="17" s="1"/>
  <c r="H314" i="17"/>
  <c r="G314" i="17" s="1"/>
  <c r="D314" i="17" s="1"/>
  <c r="B314" i="17" s="1"/>
  <c r="H331" i="17"/>
  <c r="G331" i="17" s="1"/>
  <c r="D331" i="17" s="1"/>
  <c r="B331" i="17" s="1"/>
  <c r="H342" i="17"/>
  <c r="G342" i="17" s="1"/>
  <c r="D342" i="17" s="1"/>
  <c r="B342" i="17" s="1"/>
  <c r="H353" i="17"/>
  <c r="G353" i="17" s="1"/>
  <c r="D353" i="17" s="1"/>
  <c r="B353" i="17" s="1"/>
  <c r="H284" i="17"/>
  <c r="G284" i="17" s="1"/>
  <c r="D284" i="17" s="1"/>
  <c r="B284" i="17" s="1"/>
  <c r="H337" i="17"/>
  <c r="G337" i="17" s="1"/>
  <c r="D337" i="17" s="1"/>
  <c r="B337" i="17" s="1"/>
  <c r="G280" i="8"/>
  <c r="G279" i="8"/>
  <c r="H273" i="17"/>
  <c r="G273" i="17" s="1"/>
  <c r="D273" i="17" s="1"/>
  <c r="B273" i="17" s="1"/>
  <c r="H272" i="17"/>
  <c r="G272" i="17" s="1"/>
  <c r="D272" i="17" s="1"/>
  <c r="B272" i="17" s="1"/>
  <c r="H260" i="17"/>
  <c r="G260" i="17" s="1"/>
  <c r="D260" i="17" s="1"/>
  <c r="B260" i="17" s="1"/>
  <c r="H264" i="17"/>
  <c r="G264" i="17" s="1"/>
  <c r="D264" i="17" s="1"/>
  <c r="B264" i="17" s="1"/>
  <c r="I263" i="8" s="1"/>
  <c r="H269" i="17"/>
  <c r="G269" i="17" s="1"/>
  <c r="D269" i="17" s="1"/>
  <c r="B269" i="17" s="1"/>
  <c r="I268" i="8" s="1"/>
  <c r="H265" i="17"/>
  <c r="G265" i="17" s="1"/>
  <c r="D265" i="17" s="1"/>
  <c r="B265" i="17" s="1"/>
  <c r="H274" i="17"/>
  <c r="G274" i="17" s="1"/>
  <c r="D274" i="17" s="1"/>
  <c r="B274" i="17" s="1"/>
  <c r="H278" i="17"/>
  <c r="G278" i="17" s="1"/>
  <c r="D278" i="17" s="1"/>
  <c r="B278" i="17" s="1"/>
  <c r="I277" i="8" s="1"/>
  <c r="H277" i="17"/>
  <c r="G277" i="17" s="1"/>
  <c r="D277" i="17" s="1"/>
  <c r="B277" i="17" s="1"/>
  <c r="H261" i="17"/>
  <c r="G261" i="17" s="1"/>
  <c r="D261" i="17" s="1"/>
  <c r="B261" i="17" s="1"/>
  <c r="H275" i="17"/>
  <c r="G275" i="17" s="1"/>
  <c r="D275" i="17" s="1"/>
  <c r="B275" i="17" s="1"/>
  <c r="I266" i="8" s="1"/>
  <c r="H279" i="17"/>
  <c r="G279" i="17" s="1"/>
  <c r="D279" i="17" s="1"/>
  <c r="B279" i="17" s="1"/>
  <c r="H263" i="17"/>
  <c r="G263" i="17" s="1"/>
  <c r="D263" i="17" s="1"/>
  <c r="B263" i="17" s="1"/>
  <c r="H266" i="17"/>
  <c r="G266" i="17" s="1"/>
  <c r="D266" i="17" s="1"/>
  <c r="B266" i="17" s="1"/>
  <c r="H270" i="17"/>
  <c r="G270" i="17" s="1"/>
  <c r="D270" i="17" s="1"/>
  <c r="B270" i="17" s="1"/>
  <c r="H268" i="17"/>
  <c r="G268" i="17" s="1"/>
  <c r="D268" i="17" s="1"/>
  <c r="B268" i="17" s="1"/>
  <c r="H267" i="17"/>
  <c r="G267" i="17" s="1"/>
  <c r="D267" i="17" s="1"/>
  <c r="B267" i="17" s="1"/>
  <c r="H271" i="17"/>
  <c r="G271" i="17" s="1"/>
  <c r="D271" i="17" s="1"/>
  <c r="B271" i="17" s="1"/>
  <c r="H276" i="17"/>
  <c r="G276" i="17" s="1"/>
  <c r="D276" i="17" s="1"/>
  <c r="B276" i="17" s="1"/>
  <c r="H280" i="17"/>
  <c r="G280" i="17" s="1"/>
  <c r="D280" i="17" s="1"/>
  <c r="B280" i="17" s="1"/>
  <c r="H262" i="17"/>
  <c r="G262" i="17" s="1"/>
  <c r="D262" i="17" s="1"/>
  <c r="B262" i="17" s="1"/>
  <c r="J269" i="17"/>
  <c r="I269" i="17" s="1"/>
  <c r="F269" i="17" s="1"/>
  <c r="M268" i="8" s="1"/>
  <c r="J272" i="17"/>
  <c r="I272" i="17" s="1"/>
  <c r="F272" i="17" s="1"/>
  <c r="J264" i="17"/>
  <c r="I264" i="17" s="1"/>
  <c r="F264" i="17" s="1"/>
  <c r="J268" i="17"/>
  <c r="I268" i="17" s="1"/>
  <c r="F268" i="17" s="1"/>
  <c r="J275" i="17"/>
  <c r="I275" i="17" s="1"/>
  <c r="F275" i="17" s="1"/>
  <c r="M274" i="8" s="1"/>
  <c r="J277" i="17"/>
  <c r="I277" i="17" s="1"/>
  <c r="F277" i="17" s="1"/>
  <c r="M276" i="8" s="1"/>
  <c r="J280" i="17"/>
  <c r="I280" i="17" s="1"/>
  <c r="F280" i="17" s="1"/>
  <c r="M279" i="8" s="1"/>
  <c r="J262" i="17"/>
  <c r="I262" i="17" s="1"/>
  <c r="F262" i="17" s="1"/>
  <c r="J274" i="17"/>
  <c r="I274" i="17" s="1"/>
  <c r="F274" i="17" s="1"/>
  <c r="M273" i="8" s="1"/>
  <c r="J276" i="17"/>
  <c r="I276" i="17" s="1"/>
  <c r="F276" i="17" s="1"/>
  <c r="J260" i="17"/>
  <c r="I260" i="17" s="1"/>
  <c r="F260" i="17" s="1"/>
  <c r="J265" i="17"/>
  <c r="I265" i="17" s="1"/>
  <c r="F265" i="17" s="1"/>
  <c r="M264" i="8" s="1"/>
  <c r="J267" i="17"/>
  <c r="I267" i="17" s="1"/>
  <c r="F267" i="17" s="1"/>
  <c r="M266" i="8" s="1"/>
  <c r="J279" i="17"/>
  <c r="I279" i="17" s="1"/>
  <c r="F279" i="17" s="1"/>
  <c r="J271" i="17"/>
  <c r="I271" i="17" s="1"/>
  <c r="F271" i="17" s="1"/>
  <c r="J261" i="17"/>
  <c r="I261" i="17" s="1"/>
  <c r="F261" i="17" s="1"/>
  <c r="J273" i="17"/>
  <c r="I273" i="17" s="1"/>
  <c r="F273" i="17" s="1"/>
  <c r="M272" i="8" s="1"/>
  <c r="J278" i="17"/>
  <c r="I278" i="17" s="1"/>
  <c r="F278" i="17" s="1"/>
  <c r="M277" i="8" s="1"/>
  <c r="J263" i="17"/>
  <c r="I263" i="17" s="1"/>
  <c r="F263" i="17" s="1"/>
  <c r="M262" i="8" s="1"/>
  <c r="J270" i="17"/>
  <c r="I270" i="17" s="1"/>
  <c r="F270" i="17" s="1"/>
  <c r="J266" i="17"/>
  <c r="I266" i="17" s="1"/>
  <c r="F266" i="17" s="1"/>
  <c r="K217" i="8"/>
  <c r="H251" i="17"/>
  <c r="G251" i="17" s="1"/>
  <c r="D251" i="17" s="1"/>
  <c r="H256" i="17"/>
  <c r="G256" i="17" s="1"/>
  <c r="D256" i="17" s="1"/>
  <c r="H252" i="17"/>
  <c r="G252" i="17" s="1"/>
  <c r="D252" i="17" s="1"/>
  <c r="H257" i="17"/>
  <c r="G257" i="17" s="1"/>
  <c r="D257" i="17" s="1"/>
  <c r="H253" i="17"/>
  <c r="G253" i="17" s="1"/>
  <c r="D253" i="17" s="1"/>
  <c r="H254" i="17"/>
  <c r="G254" i="17" s="1"/>
  <c r="D254" i="17" s="1"/>
  <c r="H258" i="17"/>
  <c r="G258" i="17" s="1"/>
  <c r="D258" i="17" s="1"/>
  <c r="H255" i="17"/>
  <c r="G255" i="17" s="1"/>
  <c r="D255" i="17" s="1"/>
  <c r="H259" i="17"/>
  <c r="G259" i="17" s="1"/>
  <c r="D259" i="17" s="1"/>
  <c r="XX252" i="17" a="1"/>
  <c r="XX252" i="17" s="1"/>
  <c r="YH252" i="17" s="1" a="1"/>
  <c r="YH252" i="17" s="1"/>
  <c r="YI252" i="17" s="1" a="1"/>
  <c r="YI252" i="17" s="1"/>
  <c r="XX254" i="17" a="1"/>
  <c r="XX254" i="17" s="1"/>
  <c r="YH254" i="17" s="1" a="1"/>
  <c r="YH254" i="17" s="1"/>
  <c r="YI254" i="17" s="1" a="1"/>
  <c r="YI254" i="17" s="1"/>
  <c r="XP257" i="17" a="1"/>
  <c r="XP257" i="17" s="1"/>
  <c r="XU257" i="17" s="1" a="1"/>
  <c r="XU257" i="17" s="1"/>
  <c r="XX256" i="17" a="1"/>
  <c r="XX256" i="17" s="1"/>
  <c r="YH256" i="17" s="1" a="1"/>
  <c r="YH256" i="17" s="1"/>
  <c r="YI256" i="17" s="1" a="1"/>
  <c r="YI256" i="17" s="1"/>
  <c r="XJ253" i="17" a="1"/>
  <c r="XJ253" i="17" s="1"/>
  <c r="XM253" i="17" s="1" a="1"/>
  <c r="XM253" i="17" s="1"/>
  <c r="XN253" i="17" s="1" a="1"/>
  <c r="XN253" i="17" s="1"/>
  <c r="XX257" i="17" a="1"/>
  <c r="XX257" i="17" s="1"/>
  <c r="YH257" i="17" s="1" a="1"/>
  <c r="YH257" i="17" s="1"/>
  <c r="YI257" i="17" s="1" a="1"/>
  <c r="YI257" i="17" s="1"/>
  <c r="XJ259" i="17" a="1"/>
  <c r="XJ259" i="17" s="1"/>
  <c r="XM259" i="17" s="1" a="1"/>
  <c r="XM259" i="17" s="1"/>
  <c r="XN259" i="17" s="1" a="1"/>
  <c r="XN259" i="17" s="1"/>
  <c r="L251" i="17"/>
  <c r="K251" i="17" s="1"/>
  <c r="C251" i="17" s="1"/>
  <c r="B251" i="17" s="1"/>
  <c r="XX251" i="17" a="1"/>
  <c r="XX251" i="17" s="1"/>
  <c r="YH251" i="17" s="1" a="1"/>
  <c r="YH251" i="17" s="1"/>
  <c r="YI251" i="17" s="1" a="1"/>
  <c r="YI251" i="17" s="1"/>
  <c r="XX253" i="17" a="1"/>
  <c r="XX253" i="17" s="1"/>
  <c r="YH253" i="17" s="1" a="1"/>
  <c r="YH253" i="17" s="1"/>
  <c r="YI253" i="17" s="1" a="1"/>
  <c r="YI253" i="17" s="1"/>
  <c r="XP255" i="17" a="1"/>
  <c r="XP255" i="17" s="1"/>
  <c r="XU255" i="17" s="1" a="1"/>
  <c r="XU255" i="17" s="1"/>
  <c r="XX259" i="17" a="1"/>
  <c r="XX259" i="17" s="1"/>
  <c r="YH259" i="17" s="1" a="1"/>
  <c r="YH259" i="17" s="1"/>
  <c r="YI259" i="17" s="1" a="1"/>
  <c r="YI259" i="17" s="1"/>
  <c r="L257" i="17"/>
  <c r="K257" i="17" s="1"/>
  <c r="C257" i="17" s="1"/>
  <c r="L258" i="17"/>
  <c r="K258" i="17" s="1"/>
  <c r="C258" i="17" s="1"/>
  <c r="XJ252" i="17" a="1"/>
  <c r="XJ252" i="17" s="1"/>
  <c r="XM252" i="17" s="1" a="1"/>
  <c r="XM252" i="17" s="1"/>
  <c r="XN252" i="17" s="1" a="1"/>
  <c r="XN252" i="17" s="1"/>
  <c r="XJ254" i="17" a="1"/>
  <c r="XJ254" i="17" s="1"/>
  <c r="XM254" i="17" s="1" a="1"/>
  <c r="XM254" i="17" s="1"/>
  <c r="XN254" i="17" s="1" a="1"/>
  <c r="XN254" i="17" s="1"/>
  <c r="XX255" i="17" a="1"/>
  <c r="XX255" i="17" s="1"/>
  <c r="YH255" i="17" s="1" a="1"/>
  <c r="YH255" i="17" s="1"/>
  <c r="YI255" i="17" s="1" a="1"/>
  <c r="YI255" i="17" s="1"/>
  <c r="XP258" i="17" a="1"/>
  <c r="XP258" i="17" s="1"/>
  <c r="XU258" i="17" s="1" a="1"/>
  <c r="XU258" i="17" s="1"/>
  <c r="XP259" i="17" a="1"/>
  <c r="XP259" i="17" s="1"/>
  <c r="XU259" i="17" s="1" a="1"/>
  <c r="XU259" i="17" s="1"/>
  <c r="XV259" i="17" s="1" a="1"/>
  <c r="XV259" i="17" s="1"/>
  <c r="XP253" i="17" a="1"/>
  <c r="XP253" i="17" s="1"/>
  <c r="XU253" i="17" s="1" a="1"/>
  <c r="XU253" i="17" s="1"/>
  <c r="XJ256" i="17" a="1"/>
  <c r="XJ256" i="17" s="1"/>
  <c r="XM256" i="17" s="1" a="1"/>
  <c r="XM256" i="17" s="1"/>
  <c r="XN256" i="17" s="1" a="1"/>
  <c r="XN256" i="17" s="1"/>
  <c r="XX258" i="17" a="1"/>
  <c r="XX258" i="17" s="1"/>
  <c r="YH258" i="17" s="1" a="1"/>
  <c r="YH258" i="17" s="1"/>
  <c r="YI258" i="17" s="1" a="1"/>
  <c r="YI258" i="17" s="1"/>
  <c r="L252" i="17"/>
  <c r="K252" i="17" s="1"/>
  <c r="C252" i="17" s="1"/>
  <c r="L254" i="17"/>
  <c r="K254" i="17" s="1"/>
  <c r="C254" i="17" s="1"/>
  <c r="B254" i="17" s="1"/>
  <c r="I253" i="8" s="1"/>
  <c r="L259" i="17"/>
  <c r="K259" i="17" s="1"/>
  <c r="C259" i="17" s="1"/>
  <c r="XJ258" i="17" a="1"/>
  <c r="XJ258" i="17" s="1"/>
  <c r="XM258" i="17" s="1" a="1"/>
  <c r="XM258" i="17" s="1"/>
  <c r="XN258" i="17" s="1" a="1"/>
  <c r="XN258" i="17" s="1"/>
  <c r="XP251" i="17" a="1"/>
  <c r="XP251" i="17" s="1"/>
  <c r="XU251" i="17" s="1" a="1"/>
  <c r="XU251" i="17" s="1"/>
  <c r="XP252" i="17" a="1"/>
  <c r="XP252" i="17" s="1"/>
  <c r="XU252" i="17" s="1" a="1"/>
  <c r="XU252" i="17" s="1"/>
  <c r="XP254" i="17" a="1"/>
  <c r="XP254" i="17" s="1"/>
  <c r="XU254" i="17" s="1" a="1"/>
  <c r="XU254" i="17" s="1"/>
  <c r="XP256" i="17" a="1"/>
  <c r="XP256" i="17" s="1"/>
  <c r="XU256" i="17" s="1" a="1"/>
  <c r="XU256" i="17" s="1"/>
  <c r="XJ257" i="17" a="1"/>
  <c r="XJ257" i="17" s="1"/>
  <c r="XM257" i="17" s="1" a="1"/>
  <c r="XM257" i="17" s="1"/>
  <c r="XN257" i="17" s="1" a="1"/>
  <c r="XN257" i="17" s="1"/>
  <c r="L256" i="17"/>
  <c r="K256" i="17" s="1"/>
  <c r="C256" i="17" s="1"/>
  <c r="XJ251" i="17" a="1"/>
  <c r="XJ251" i="17" s="1"/>
  <c r="XM251" i="17" s="1" a="1"/>
  <c r="XM251" i="17" s="1"/>
  <c r="XN251" i="17" s="1" a="1"/>
  <c r="XN251" i="17" s="1"/>
  <c r="L253" i="17"/>
  <c r="K253" i="17" s="1"/>
  <c r="C253" i="17" s="1"/>
  <c r="L255" i="17"/>
  <c r="K255" i="17" s="1"/>
  <c r="C255" i="17" s="1"/>
  <c r="XJ255" i="17" a="1"/>
  <c r="XJ255" i="17" s="1"/>
  <c r="XM255" i="17" s="1" a="1"/>
  <c r="XM255" i="17" s="1"/>
  <c r="XN255" i="17" s="1" a="1"/>
  <c r="XN255" i="17" s="1"/>
  <c r="J253" i="17"/>
  <c r="I253" i="17" s="1"/>
  <c r="F253" i="17" s="1"/>
  <c r="J255" i="17"/>
  <c r="I255" i="17" s="1"/>
  <c r="F255" i="17" s="1"/>
  <c r="M254" i="8" s="1"/>
  <c r="J258" i="17"/>
  <c r="I258" i="17" s="1"/>
  <c r="F258" i="17" s="1"/>
  <c r="M257" i="8" s="1"/>
  <c r="J252" i="17"/>
  <c r="I252" i="17" s="1"/>
  <c r="F252" i="17" s="1"/>
  <c r="M251" i="8" s="1"/>
  <c r="J259" i="17"/>
  <c r="I259" i="17" s="1"/>
  <c r="F259" i="17" s="1"/>
  <c r="M258" i="8" s="1"/>
  <c r="J257" i="17"/>
  <c r="I257" i="17" s="1"/>
  <c r="F257" i="17" s="1"/>
  <c r="J254" i="17"/>
  <c r="I254" i="17" s="1"/>
  <c r="F254" i="17" s="1"/>
  <c r="J256" i="17"/>
  <c r="I256" i="17" s="1"/>
  <c r="F256" i="17" s="1"/>
  <c r="M255" i="8" s="1"/>
  <c r="J251" i="17"/>
  <c r="I251" i="17" s="1"/>
  <c r="F251" i="17" s="1"/>
  <c r="K223" i="8"/>
  <c r="K228" i="8"/>
  <c r="K232" i="8"/>
  <c r="K222" i="8"/>
  <c r="K224" i="8"/>
  <c r="K216" i="8"/>
  <c r="K226" i="8"/>
  <c r="K218" i="8"/>
  <c r="K225" i="8"/>
  <c r="XJ233" i="17" a="1"/>
  <c r="XJ233" i="17" s="1"/>
  <c r="XM233" i="17" s="1" a="1"/>
  <c r="XM233" i="17" s="1"/>
  <c r="XN233" i="17" s="1" a="1"/>
  <c r="XN233" i="17" s="1"/>
  <c r="XX237" i="17" a="1"/>
  <c r="XX237" i="17" s="1"/>
  <c r="YH237" i="17" s="1" a="1"/>
  <c r="YH237" i="17" s="1"/>
  <c r="YI237" i="17" s="1" a="1"/>
  <c r="YI237" i="17" s="1"/>
  <c r="XP239" i="17" a="1"/>
  <c r="XP239" i="17" s="1"/>
  <c r="XU239" i="17" s="1" a="1"/>
  <c r="XU239" i="17" s="1"/>
  <c r="XJ241" i="17" a="1"/>
  <c r="XJ241" i="17" s="1"/>
  <c r="XM241" i="17" s="1" a="1"/>
  <c r="XM241" i="17" s="1"/>
  <c r="XN241" i="17" s="1" a="1"/>
  <c r="XN241" i="17" s="1"/>
  <c r="XX245" i="17" a="1"/>
  <c r="XX245" i="17" s="1"/>
  <c r="YH245" i="17" s="1" a="1"/>
  <c r="YH245" i="17" s="1"/>
  <c r="YI245" i="17" s="1" a="1"/>
  <c r="YI245" i="17" s="1"/>
  <c r="XP247" i="17" a="1"/>
  <c r="XP247" i="17" s="1"/>
  <c r="XU247" i="17" s="1" a="1"/>
  <c r="XU247" i="17" s="1"/>
  <c r="XJ249" i="17" a="1"/>
  <c r="XJ249" i="17" s="1"/>
  <c r="XM249" i="17" s="1" a="1"/>
  <c r="XM249" i="17" s="1"/>
  <c r="XN249" i="17" s="1" a="1"/>
  <c r="XN249" i="17" s="1"/>
  <c r="XP238" i="17" a="1"/>
  <c r="XP238" i="17" s="1"/>
  <c r="XU238" i="17" s="1" a="1"/>
  <c r="XU238" i="17" s="1"/>
  <c r="XP246" i="17" a="1"/>
  <c r="XP246" i="17" s="1"/>
  <c r="XU246" i="17" s="1" a="1"/>
  <c r="XU246" i="17" s="1"/>
  <c r="XJ243" i="17" a="1"/>
  <c r="XJ243" i="17" s="1"/>
  <c r="XM243" i="17" s="1" a="1"/>
  <c r="XM243" i="17" s="1"/>
  <c r="XN243" i="17" s="1" a="1"/>
  <c r="XN243" i="17" s="1"/>
  <c r="XP249" i="17" a="1"/>
  <c r="XP249" i="17" s="1"/>
  <c r="XU249" i="17" s="1" a="1"/>
  <c r="XU249" i="17" s="1"/>
  <c r="XJ246" i="17" a="1"/>
  <c r="XJ246" i="17" s="1"/>
  <c r="XM246" i="17" s="1" a="1"/>
  <c r="XM246" i="17" s="1"/>
  <c r="XN246" i="17" s="1" a="1"/>
  <c r="XN246" i="17" s="1"/>
  <c r="XP234" i="17" a="1"/>
  <c r="XP234" i="17" s="1"/>
  <c r="XU234" i="17" s="1" a="1"/>
  <c r="XU234" i="17" s="1"/>
  <c r="XJ236" i="17" a="1"/>
  <c r="XJ236" i="17" s="1"/>
  <c r="XM236" i="17" s="1" a="1"/>
  <c r="XM236" i="17" s="1"/>
  <c r="XN236" i="17" s="1" a="1"/>
  <c r="XN236" i="17" s="1"/>
  <c r="XX240" i="17" a="1"/>
  <c r="XX240" i="17" s="1"/>
  <c r="YH240" i="17" s="1" a="1"/>
  <c r="YH240" i="17" s="1"/>
  <c r="YI240" i="17" s="1" a="1"/>
  <c r="YI240" i="17" s="1"/>
  <c r="XP242" i="17" a="1"/>
  <c r="XP242" i="17" s="1"/>
  <c r="XU242" i="17" s="1" a="1"/>
  <c r="XU242" i="17" s="1"/>
  <c r="XJ244" i="17" a="1"/>
  <c r="XJ244" i="17" s="1"/>
  <c r="XM244" i="17" s="1" a="1"/>
  <c r="XM244" i="17" s="1"/>
  <c r="XN244" i="17" s="1" a="1"/>
  <c r="XN244" i="17" s="1"/>
  <c r="XX248" i="17" a="1"/>
  <c r="XX248" i="17" s="1"/>
  <c r="YH248" i="17" s="1" a="1"/>
  <c r="YH248" i="17" s="1"/>
  <c r="YI248" i="17" s="1" a="1"/>
  <c r="YI248" i="17" s="1"/>
  <c r="XP250" i="17" a="1"/>
  <c r="XP250" i="17" s="1"/>
  <c r="XU250" i="17" s="1" a="1"/>
  <c r="XU250" i="17" s="1"/>
  <c r="XJ240" i="17" a="1"/>
  <c r="XJ240" i="17" s="1"/>
  <c r="XM240" i="17" s="1" a="1"/>
  <c r="XM240" i="17" s="1"/>
  <c r="XN240" i="17" s="1" a="1"/>
  <c r="XN240" i="17" s="1"/>
  <c r="XJ248" i="17" a="1"/>
  <c r="XJ248" i="17" s="1"/>
  <c r="XM248" i="17" s="1" a="1"/>
  <c r="XM248" i="17" s="1"/>
  <c r="XN248" i="17" s="1" a="1"/>
  <c r="XN248" i="17" s="1"/>
  <c r="XX235" i="17" a="1"/>
  <c r="XX235" i="17" s="1"/>
  <c r="YH235" i="17" s="1" a="1"/>
  <c r="YH235" i="17" s="1"/>
  <c r="YI235" i="17" s="1" a="1"/>
  <c r="YI235" i="17" s="1"/>
  <c r="XP237" i="17" a="1"/>
  <c r="XP237" i="17" s="1"/>
  <c r="XU237" i="17" s="1" a="1"/>
  <c r="XU237" i="17" s="1"/>
  <c r="XJ239" i="17" a="1"/>
  <c r="XJ239" i="17" s="1"/>
  <c r="XM239" i="17" s="1" a="1"/>
  <c r="XM239" i="17" s="1"/>
  <c r="XN239" i="17" s="1" a="1"/>
  <c r="XN239" i="17" s="1"/>
  <c r="XX243" i="17" a="1"/>
  <c r="XX243" i="17" s="1"/>
  <c r="YH243" i="17" s="1" a="1"/>
  <c r="YH243" i="17" s="1"/>
  <c r="YI243" i="17" s="1" a="1"/>
  <c r="YI243" i="17" s="1"/>
  <c r="XP245" i="17" a="1"/>
  <c r="XP245" i="17" s="1"/>
  <c r="XU245" i="17" s="1" a="1"/>
  <c r="XU245" i="17" s="1"/>
  <c r="XJ247" i="17" a="1"/>
  <c r="XJ247" i="17" s="1"/>
  <c r="XM247" i="17" s="1" a="1"/>
  <c r="XM247" i="17" s="1"/>
  <c r="XN247" i="17" s="1" a="1"/>
  <c r="XN247" i="17" s="1"/>
  <c r="XJ234" i="17" a="1"/>
  <c r="XJ234" i="17" s="1"/>
  <c r="XM234" i="17" s="1" a="1"/>
  <c r="XM234" i="17" s="1"/>
  <c r="XN234" i="17" s="1" a="1"/>
  <c r="XN234" i="17" s="1"/>
  <c r="XX238" i="17" a="1"/>
  <c r="XX238" i="17" s="1"/>
  <c r="YH238" i="17" s="1" a="1"/>
  <c r="YH238" i="17" s="1"/>
  <c r="YI238" i="17" s="1" a="1"/>
  <c r="YI238" i="17" s="1"/>
  <c r="XP240" i="17" a="1"/>
  <c r="XP240" i="17" s="1"/>
  <c r="XU240" i="17" s="1" a="1"/>
  <c r="XU240" i="17" s="1"/>
  <c r="XJ242" i="17" a="1"/>
  <c r="XJ242" i="17" s="1"/>
  <c r="XM242" i="17" s="1" a="1"/>
  <c r="XM242" i="17" s="1"/>
  <c r="XN242" i="17" s="1" a="1"/>
  <c r="XN242" i="17" s="1"/>
  <c r="XX246" i="17" a="1"/>
  <c r="XX246" i="17" s="1"/>
  <c r="YH246" i="17" s="1" a="1"/>
  <c r="YH246" i="17" s="1"/>
  <c r="YI246" i="17" s="1" a="1"/>
  <c r="YI246" i="17" s="1"/>
  <c r="XP248" i="17" a="1"/>
  <c r="XP248" i="17" s="1"/>
  <c r="XU248" i="17" s="1" a="1"/>
  <c r="XU248" i="17" s="1"/>
  <c r="XJ250" i="17" a="1"/>
  <c r="XJ250" i="17" s="1"/>
  <c r="XM250" i="17" s="1" a="1"/>
  <c r="XM250" i="17" s="1"/>
  <c r="XN250" i="17" s="1" a="1"/>
  <c r="XN250" i="17" s="1"/>
  <c r="XX236" i="17" a="1"/>
  <c r="XX236" i="17" s="1"/>
  <c r="YH236" i="17" s="1" a="1"/>
  <c r="YH236" i="17" s="1"/>
  <c r="YI236" i="17" s="1" a="1"/>
  <c r="YI236" i="17" s="1"/>
  <c r="XX239" i="17" a="1"/>
  <c r="XX239" i="17" s="1"/>
  <c r="YH239" i="17" s="1" a="1"/>
  <c r="YH239" i="17" s="1"/>
  <c r="YI239" i="17" s="1" a="1"/>
  <c r="YI239" i="17" s="1"/>
  <c r="XP244" i="17" a="1"/>
  <c r="XP244" i="17" s="1"/>
  <c r="XU244" i="17" s="1" a="1"/>
  <c r="XU244" i="17" s="1"/>
  <c r="XX250" i="17" a="1"/>
  <c r="XX250" i="17" s="1"/>
  <c r="YH250" i="17" s="1" a="1"/>
  <c r="YH250" i="17" s="1"/>
  <c r="YI250" i="17" s="1" a="1"/>
  <c r="YI250" i="17" s="1"/>
  <c r="XX233" i="17" a="1"/>
  <c r="XX233" i="17" s="1"/>
  <c r="YH233" i="17" s="1" a="1"/>
  <c r="YH233" i="17" s="1"/>
  <c r="YI233" i="17" s="1" a="1"/>
  <c r="YI233" i="17" s="1"/>
  <c r="XP235" i="17" a="1"/>
  <c r="XP235" i="17" s="1"/>
  <c r="XU235" i="17" s="1" a="1"/>
  <c r="XU235" i="17" s="1"/>
  <c r="XJ237" i="17" a="1"/>
  <c r="XJ237" i="17" s="1"/>
  <c r="XM237" i="17" s="1" a="1"/>
  <c r="XM237" i="17" s="1"/>
  <c r="XN237" i="17" s="1" a="1"/>
  <c r="XN237" i="17" s="1"/>
  <c r="XX241" i="17" a="1"/>
  <c r="XX241" i="17" s="1"/>
  <c r="YH241" i="17" s="1" a="1"/>
  <c r="YH241" i="17" s="1"/>
  <c r="YI241" i="17" s="1" a="1"/>
  <c r="YI241" i="17" s="1"/>
  <c r="XP243" i="17" a="1"/>
  <c r="XP243" i="17" s="1"/>
  <c r="XU243" i="17" s="1" a="1"/>
  <c r="XU243" i="17" s="1"/>
  <c r="XJ245" i="17" a="1"/>
  <c r="XJ245" i="17" s="1"/>
  <c r="XM245" i="17" s="1" a="1"/>
  <c r="XM245" i="17" s="1"/>
  <c r="XN245" i="17" s="1" a="1"/>
  <c r="XN245" i="17" s="1"/>
  <c r="XX249" i="17" a="1"/>
  <c r="XX249" i="17" s="1"/>
  <c r="YH249" i="17" s="1" a="1"/>
  <c r="YH249" i="17" s="1"/>
  <c r="YI249" i="17" s="1" a="1"/>
  <c r="YI249" i="17" s="1"/>
  <c r="XX244" i="17" a="1"/>
  <c r="XX244" i="17" s="1"/>
  <c r="YH244" i="17" s="1" a="1"/>
  <c r="YH244" i="17" s="1"/>
  <c r="YI244" i="17" s="1" a="1"/>
  <c r="YI244" i="17" s="1"/>
  <c r="XP233" i="17" a="1"/>
  <c r="XP233" i="17" s="1"/>
  <c r="XU233" i="17" s="1" a="1"/>
  <c r="XU233" i="17" s="1"/>
  <c r="XJ235" i="17" a="1"/>
  <c r="XJ235" i="17" s="1"/>
  <c r="XM235" i="17" s="1" a="1"/>
  <c r="XM235" i="17" s="1"/>
  <c r="XN235" i="17" s="1" a="1"/>
  <c r="XN235" i="17" s="1"/>
  <c r="XP241" i="17" a="1"/>
  <c r="XP241" i="17" s="1"/>
  <c r="XU241" i="17" s="1" a="1"/>
  <c r="XU241" i="17" s="1"/>
  <c r="XX247" i="17" a="1"/>
  <c r="XX247" i="17" s="1"/>
  <c r="YH247" i="17" s="1" a="1"/>
  <c r="YH247" i="17" s="1"/>
  <c r="YI247" i="17" s="1" a="1"/>
  <c r="YI247" i="17" s="1"/>
  <c r="XX234" i="17" a="1"/>
  <c r="XX234" i="17" s="1"/>
  <c r="YH234" i="17" s="1" a="1"/>
  <c r="YH234" i="17" s="1"/>
  <c r="YI234" i="17" s="1" a="1"/>
  <c r="YI234" i="17" s="1"/>
  <c r="XP236" i="17" a="1"/>
  <c r="XP236" i="17" s="1"/>
  <c r="XU236" i="17" s="1" a="1"/>
  <c r="XU236" i="17" s="1"/>
  <c r="XJ238" i="17" a="1"/>
  <c r="XJ238" i="17" s="1"/>
  <c r="XM238" i="17" s="1" a="1"/>
  <c r="XM238" i="17" s="1"/>
  <c r="XN238" i="17" s="1" a="1"/>
  <c r="XN238" i="17" s="1"/>
  <c r="XX242" i="17" a="1"/>
  <c r="XX242" i="17" s="1"/>
  <c r="YH242" i="17" s="1" a="1"/>
  <c r="YH242" i="17" s="1"/>
  <c r="YI242" i="17" s="1" a="1"/>
  <c r="YI242" i="17" s="1"/>
  <c r="L235" i="17"/>
  <c r="K235" i="17" s="1"/>
  <c r="C235" i="17" s="1"/>
  <c r="L243" i="17"/>
  <c r="K243" i="17" s="1"/>
  <c r="C243" i="17" s="1"/>
  <c r="L249" i="17"/>
  <c r="K249" i="17" s="1"/>
  <c r="C249" i="17" s="1"/>
  <c r="L237" i="17"/>
  <c r="K237" i="17" s="1"/>
  <c r="C237" i="17" s="1"/>
  <c r="L245" i="17"/>
  <c r="K245" i="17" s="1"/>
  <c r="C245" i="17" s="1"/>
  <c r="L238" i="17"/>
  <c r="K238" i="17" s="1"/>
  <c r="C238" i="17" s="1"/>
  <c r="L246" i="17"/>
  <c r="K246" i="17" s="1"/>
  <c r="C246" i="17" s="1"/>
  <c r="L233" i="17"/>
  <c r="K233" i="17" s="1"/>
  <c r="C233" i="17" s="1"/>
  <c r="L241" i="17"/>
  <c r="K241" i="17" s="1"/>
  <c r="C241" i="17" s="1"/>
  <c r="L240" i="17"/>
  <c r="K240" i="17" s="1"/>
  <c r="C240" i="17" s="1"/>
  <c r="L248" i="17"/>
  <c r="K248" i="17" s="1"/>
  <c r="C248" i="17" s="1"/>
  <c r="L236" i="17"/>
  <c r="K236" i="17" s="1"/>
  <c r="C236" i="17" s="1"/>
  <c r="L244" i="17"/>
  <c r="K244" i="17" s="1"/>
  <c r="C244" i="17" s="1"/>
  <c r="B244" i="17" s="1"/>
  <c r="L239" i="17"/>
  <c r="K239" i="17" s="1"/>
  <c r="C239" i="17" s="1"/>
  <c r="L247" i="17"/>
  <c r="K247" i="17" s="1"/>
  <c r="C247" i="17" s="1"/>
  <c r="B247" i="17" s="1"/>
  <c r="I246" i="8" s="1"/>
  <c r="L234" i="17"/>
  <c r="K234" i="17" s="1"/>
  <c r="C234" i="17" s="1"/>
  <c r="L242" i="17"/>
  <c r="K242" i="17" s="1"/>
  <c r="C242" i="17" s="1"/>
  <c r="L250" i="17"/>
  <c r="K250" i="17" s="1"/>
  <c r="C250" i="17" s="1"/>
  <c r="J233" i="17"/>
  <c r="I233" i="17" s="1"/>
  <c r="F233" i="17" s="1"/>
  <c r="J241" i="17"/>
  <c r="I241" i="17" s="1"/>
  <c r="F241" i="17" s="1"/>
  <c r="J249" i="17"/>
  <c r="I249" i="17" s="1"/>
  <c r="F249" i="17" s="1"/>
  <c r="J239" i="17"/>
  <c r="I239" i="17" s="1"/>
  <c r="F239" i="17" s="1"/>
  <c r="J235" i="17"/>
  <c r="I235" i="17" s="1"/>
  <c r="F235" i="17" s="1"/>
  <c r="J236" i="17"/>
  <c r="I236" i="17" s="1"/>
  <c r="F236" i="17" s="1"/>
  <c r="M235" i="8" s="1"/>
  <c r="J244" i="17"/>
  <c r="I244" i="17" s="1"/>
  <c r="F244" i="17" s="1"/>
  <c r="M243" i="8" s="1"/>
  <c r="J247" i="17"/>
  <c r="I247" i="17" s="1"/>
  <c r="F247" i="17" s="1"/>
  <c r="M246" i="8" s="1"/>
  <c r="J243" i="17"/>
  <c r="I243" i="17" s="1"/>
  <c r="F243" i="17" s="1"/>
  <c r="M242" i="8" s="1"/>
  <c r="J234" i="17"/>
  <c r="I234" i="17" s="1"/>
  <c r="F234" i="17" s="1"/>
  <c r="M233" i="8" s="1"/>
  <c r="J242" i="17"/>
  <c r="I242" i="17" s="1"/>
  <c r="F242" i="17" s="1"/>
  <c r="J250" i="17"/>
  <c r="I250" i="17" s="1"/>
  <c r="F250" i="17" s="1"/>
  <c r="M249" i="8" s="1"/>
  <c r="J238" i="17"/>
  <c r="I238" i="17" s="1"/>
  <c r="F238" i="17" s="1"/>
  <c r="J237" i="17"/>
  <c r="I237" i="17" s="1"/>
  <c r="F237" i="17" s="1"/>
  <c r="M236" i="8" s="1"/>
  <c r="J245" i="17"/>
  <c r="I245" i="17" s="1"/>
  <c r="F245" i="17" s="1"/>
  <c r="M244" i="8" s="1"/>
  <c r="J240" i="17"/>
  <c r="I240" i="17" s="1"/>
  <c r="F240" i="17" s="1"/>
  <c r="M239" i="8" s="1"/>
  <c r="J248" i="17"/>
  <c r="I248" i="17" s="1"/>
  <c r="F248" i="17" s="1"/>
  <c r="J246" i="17"/>
  <c r="I246" i="17" s="1"/>
  <c r="F246" i="17" s="1"/>
  <c r="M245" i="8" s="1"/>
  <c r="H239" i="17"/>
  <c r="G239" i="17" s="1"/>
  <c r="D239" i="17" s="1"/>
  <c r="H247" i="17"/>
  <c r="G247" i="17" s="1"/>
  <c r="D247" i="17" s="1"/>
  <c r="H233" i="17"/>
  <c r="G233" i="17" s="1"/>
  <c r="D233" i="17" s="1"/>
  <c r="H241" i="17"/>
  <c r="G241" i="17" s="1"/>
  <c r="D241" i="17" s="1"/>
  <c r="H234" i="17"/>
  <c r="G234" i="17" s="1"/>
  <c r="D234" i="17" s="1"/>
  <c r="H242" i="17"/>
  <c r="G242" i="17" s="1"/>
  <c r="D242" i="17" s="1"/>
  <c r="H250" i="17"/>
  <c r="G250" i="17" s="1"/>
  <c r="D250" i="17" s="1"/>
  <c r="H237" i="17"/>
  <c r="G237" i="17" s="1"/>
  <c r="D237" i="17" s="1"/>
  <c r="H245" i="17"/>
  <c r="G245" i="17" s="1"/>
  <c r="D245" i="17" s="1"/>
  <c r="H236" i="17"/>
  <c r="G236" i="17" s="1"/>
  <c r="D236" i="17" s="1"/>
  <c r="H240" i="17"/>
  <c r="G240" i="17" s="1"/>
  <c r="D240" i="17" s="1"/>
  <c r="H248" i="17"/>
  <c r="G248" i="17" s="1"/>
  <c r="D248" i="17" s="1"/>
  <c r="H244" i="17"/>
  <c r="G244" i="17" s="1"/>
  <c r="D244" i="17" s="1"/>
  <c r="H235" i="17"/>
  <c r="G235" i="17" s="1"/>
  <c r="D235" i="17" s="1"/>
  <c r="H243" i="17"/>
  <c r="G243" i="17" s="1"/>
  <c r="D243" i="17" s="1"/>
  <c r="H238" i="17"/>
  <c r="G238" i="17" s="1"/>
  <c r="D238" i="17" s="1"/>
  <c r="H246" i="17"/>
  <c r="G246" i="17" s="1"/>
  <c r="D246" i="17" s="1"/>
  <c r="H249" i="17"/>
  <c r="G249" i="17" s="1"/>
  <c r="D249" i="17" s="1"/>
  <c r="K230" i="8"/>
  <c r="K231" i="8"/>
  <c r="K220" i="8"/>
  <c r="K215" i="8"/>
  <c r="K221" i="8"/>
  <c r="K229" i="8"/>
  <c r="K227" i="8"/>
  <c r="K219" i="8"/>
  <c r="K205" i="8"/>
  <c r="K196" i="8"/>
  <c r="K198" i="8"/>
  <c r="K188" i="8"/>
  <c r="K208" i="8"/>
  <c r="K210" i="8"/>
  <c r="L216" i="17"/>
  <c r="K216" i="17" s="1"/>
  <c r="C216" i="17" s="1"/>
  <c r="L230" i="17"/>
  <c r="K230" i="17" s="1"/>
  <c r="C230" i="17" s="1"/>
  <c r="XP216" i="17" a="1"/>
  <c r="XP216" i="17" s="1"/>
  <c r="XU216" i="17" s="1" a="1"/>
  <c r="XU216" i="17" s="1"/>
  <c r="XP218" i="17" a="1"/>
  <c r="XP218" i="17" s="1"/>
  <c r="XU218" i="17" s="1" a="1"/>
  <c r="XU218" i="17" s="1"/>
  <c r="XX220" i="17" a="1"/>
  <c r="XX220" i="17" s="1"/>
  <c r="YH220" i="17" s="1" a="1"/>
  <c r="YH220" i="17" s="1"/>
  <c r="YI220" i="17" s="1" a="1"/>
  <c r="YI220" i="17" s="1"/>
  <c r="XX221" i="17" a="1"/>
  <c r="XX221" i="17" s="1"/>
  <c r="YH221" i="17" s="1" a="1"/>
  <c r="YH221" i="17" s="1"/>
  <c r="YI221" i="17" s="1" a="1"/>
  <c r="YI221" i="17" s="1"/>
  <c r="XX223" i="17" a="1"/>
  <c r="XX223" i="17" s="1"/>
  <c r="YH223" i="17" s="1" a="1"/>
  <c r="YH223" i="17" s="1"/>
  <c r="YI223" i="17" s="1" a="1"/>
  <c r="YI223" i="17" s="1"/>
  <c r="XJ229" i="17" a="1"/>
  <c r="XJ229" i="17" s="1"/>
  <c r="XM229" i="17" s="1" a="1"/>
  <c r="XM229" i="17" s="1"/>
  <c r="XN229" i="17" s="1" a="1"/>
  <c r="XN229" i="17" s="1"/>
  <c r="XJ231" i="17" a="1"/>
  <c r="XJ231" i="17" s="1"/>
  <c r="XM231" i="17" s="1" a="1"/>
  <c r="XM231" i="17" s="1"/>
  <c r="XN231" i="17" s="1" a="1"/>
  <c r="XN231" i="17" s="1"/>
  <c r="L226" i="17"/>
  <c r="K226" i="17" s="1"/>
  <c r="C226" i="17" s="1"/>
  <c r="L228" i="17"/>
  <c r="K228" i="17" s="1"/>
  <c r="C228" i="17" s="1"/>
  <c r="L232" i="17"/>
  <c r="K232" i="17" s="1"/>
  <c r="C232" i="17" s="1"/>
  <c r="XX216" i="17" a="1"/>
  <c r="XX216" i="17" s="1"/>
  <c r="YH216" i="17" s="1" a="1"/>
  <c r="YH216" i="17" s="1"/>
  <c r="YI216" i="17" s="1" a="1"/>
  <c r="YI216" i="17" s="1"/>
  <c r="XX218" i="17" a="1"/>
  <c r="XX218" i="17" s="1"/>
  <c r="YH218" i="17" s="1" a="1"/>
  <c r="YH218" i="17" s="1"/>
  <c r="YI218" i="17" s="1" a="1"/>
  <c r="YI218" i="17" s="1"/>
  <c r="XP225" i="17" a="1"/>
  <c r="XP225" i="17" s="1"/>
  <c r="XU225" i="17" s="1" a="1"/>
  <c r="XU225" i="17" s="1"/>
  <c r="XP227" i="17" a="1"/>
  <c r="XP227" i="17" s="1"/>
  <c r="XU227" i="17" s="1" a="1"/>
  <c r="XU227" i="17" s="1"/>
  <c r="XP229" i="17" a="1"/>
  <c r="XP229" i="17" s="1"/>
  <c r="XU229" i="17" s="1" a="1"/>
  <c r="XU229" i="17" s="1"/>
  <c r="XP231" i="17" a="1"/>
  <c r="XP231" i="17" s="1"/>
  <c r="XU231" i="17" s="1" a="1"/>
  <c r="XU231" i="17" s="1"/>
  <c r="XP232" i="17" a="1"/>
  <c r="XP232" i="17" s="1"/>
  <c r="XU232" i="17" s="1" a="1"/>
  <c r="XU232" i="17" s="1"/>
  <c r="L221" i="17"/>
  <c r="K221" i="17" s="1"/>
  <c r="C221" i="17" s="1"/>
  <c r="L223" i="17"/>
  <c r="K223" i="17" s="1"/>
  <c r="C223" i="17" s="1"/>
  <c r="XJ215" i="17" a="1"/>
  <c r="XJ215" i="17" s="1"/>
  <c r="XM215" i="17" s="1" a="1"/>
  <c r="XM215" i="17" s="1"/>
  <c r="XN215" i="17" s="1" a="1"/>
  <c r="XN215" i="17" s="1"/>
  <c r="XJ217" i="17" a="1"/>
  <c r="XJ217" i="17" s="1"/>
  <c r="XM217" i="17" s="1" a="1"/>
  <c r="XM217" i="17" s="1"/>
  <c r="XN217" i="17" s="1" a="1"/>
  <c r="XN217" i="17" s="1"/>
  <c r="XJ219" i="17" a="1"/>
  <c r="XJ219" i="17" s="1"/>
  <c r="XM219" i="17" s="1" a="1"/>
  <c r="XM219" i="17" s="1"/>
  <c r="XN219" i="17" s="1" a="1"/>
  <c r="XN219" i="17" s="1"/>
  <c r="XJ222" i="17" a="1"/>
  <c r="XJ222" i="17" s="1"/>
  <c r="XM222" i="17" s="1" a="1"/>
  <c r="XM222" i="17" s="1"/>
  <c r="XN222" i="17" s="1" a="1"/>
  <c r="XN222" i="17" s="1"/>
  <c r="XJ224" i="17" a="1"/>
  <c r="XJ224" i="17" s="1"/>
  <c r="XM224" i="17" s="1" a="1"/>
  <c r="XM224" i="17" s="1"/>
  <c r="XN224" i="17" s="1" a="1"/>
  <c r="XN224" i="17" s="1"/>
  <c r="XX227" i="17" a="1"/>
  <c r="XX227" i="17" s="1"/>
  <c r="YH227" i="17" s="1" a="1"/>
  <c r="YH227" i="17" s="1"/>
  <c r="YI227" i="17" s="1" a="1"/>
  <c r="YI227" i="17" s="1"/>
  <c r="XX229" i="17" a="1"/>
  <c r="XX229" i="17" s="1"/>
  <c r="YH229" i="17" s="1" a="1"/>
  <c r="YH229" i="17" s="1"/>
  <c r="YI229" i="17" s="1" a="1"/>
  <c r="YI229" i="17" s="1"/>
  <c r="XX232" i="17" a="1"/>
  <c r="XX232" i="17" s="1"/>
  <c r="YH232" i="17" s="1" a="1"/>
  <c r="YH232" i="17" s="1"/>
  <c r="YI232" i="17" s="1" a="1"/>
  <c r="YI232" i="17" s="1"/>
  <c r="L215" i="17"/>
  <c r="K215" i="17" s="1"/>
  <c r="C215" i="17" s="1"/>
  <c r="L219" i="17"/>
  <c r="K219" i="17" s="1"/>
  <c r="C219" i="17" s="1"/>
  <c r="XP215" i="17" a="1"/>
  <c r="XP215" i="17" s="1"/>
  <c r="XU215" i="17" s="1" a="1"/>
  <c r="XU215" i="17" s="1"/>
  <c r="XJ221" i="17" a="1"/>
  <c r="XJ221" i="17" s="1"/>
  <c r="XM221" i="17" s="1" a="1"/>
  <c r="XM221" i="17" s="1"/>
  <c r="XN221" i="17" s="1" a="1"/>
  <c r="XN221" i="17" s="1"/>
  <c r="XP222" i="17" a="1"/>
  <c r="XP222" i="17" s="1"/>
  <c r="XU222" i="17" s="1" a="1"/>
  <c r="XU222" i="17" s="1"/>
  <c r="XX225" i="17" a="1"/>
  <c r="XX225" i="17" s="1"/>
  <c r="YH225" i="17" s="1" a="1"/>
  <c r="YH225" i="17" s="1"/>
  <c r="YI225" i="17" s="1" a="1"/>
  <c r="YI225" i="17" s="1"/>
  <c r="XJ228" i="17" a="1"/>
  <c r="XJ228" i="17" s="1"/>
  <c r="XM228" i="17" s="1" a="1"/>
  <c r="XM228" i="17" s="1"/>
  <c r="XN228" i="17" s="1" a="1"/>
  <c r="XN228" i="17" s="1"/>
  <c r="L217" i="17"/>
  <c r="K217" i="17" s="1"/>
  <c r="C217" i="17" s="1"/>
  <c r="L231" i="17"/>
  <c r="K231" i="17" s="1"/>
  <c r="C231" i="17" s="1"/>
  <c r="XP217" i="17" a="1"/>
  <c r="XP217" i="17" s="1"/>
  <c r="XU217" i="17" s="1" a="1"/>
  <c r="XU217" i="17" s="1"/>
  <c r="XV217" i="17" s="1" a="1"/>
  <c r="XV217" i="17" s="1"/>
  <c r="XP219" i="17" a="1"/>
  <c r="XP219" i="17" s="1"/>
  <c r="XU219" i="17" s="1" a="1"/>
  <c r="XU219" i="17" s="1"/>
  <c r="XV219" i="17" s="1" a="1"/>
  <c r="XV219" i="17" s="1"/>
  <c r="XX222" i="17" a="1"/>
  <c r="XX222" i="17" s="1"/>
  <c r="YH222" i="17" s="1" a="1"/>
  <c r="YH222" i="17" s="1"/>
  <c r="YI222" i="17" s="1" a="1"/>
  <c r="YI222" i="17" s="1"/>
  <c r="XJ226" i="17" a="1"/>
  <c r="XJ226" i="17" s="1"/>
  <c r="XM226" i="17" s="1" a="1"/>
  <c r="XM226" i="17" s="1"/>
  <c r="XN226" i="17" s="1" a="1"/>
  <c r="XN226" i="17" s="1"/>
  <c r="XP228" i="17" a="1"/>
  <c r="XP228" i="17" s="1"/>
  <c r="XU228" i="17" s="1" a="1"/>
  <c r="XU228" i="17" s="1"/>
  <c r="XX231" i="17" a="1"/>
  <c r="XX231" i="17" s="1"/>
  <c r="YH231" i="17" s="1" a="1"/>
  <c r="YH231" i="17" s="1"/>
  <c r="YI231" i="17" s="1" a="1"/>
  <c r="YI231" i="17" s="1"/>
  <c r="L225" i="17"/>
  <c r="K225" i="17" s="1"/>
  <c r="C225" i="17" s="1"/>
  <c r="L229" i="17"/>
  <c r="K229" i="17" s="1"/>
  <c r="C229" i="17" s="1"/>
  <c r="XX215" i="17" a="1"/>
  <c r="XX215" i="17" s="1"/>
  <c r="YH215" i="17" s="1" a="1"/>
  <c r="YH215" i="17" s="1"/>
  <c r="YI215" i="17" s="1" a="1"/>
  <c r="YI215" i="17" s="1"/>
  <c r="XX217" i="17" a="1"/>
  <c r="XX217" i="17" s="1"/>
  <c r="YH217" i="17" s="1" a="1"/>
  <c r="YH217" i="17" s="1"/>
  <c r="YI217" i="17" s="1" a="1"/>
  <c r="YI217" i="17" s="1"/>
  <c r="XX219" i="17" a="1"/>
  <c r="XX219" i="17" s="1"/>
  <c r="YH219" i="17" s="1" a="1"/>
  <c r="YH219" i="17" s="1"/>
  <c r="YI219" i="17" s="1" a="1"/>
  <c r="YI219" i="17" s="1"/>
  <c r="XJ223" i="17" a="1"/>
  <c r="XJ223" i="17" s="1"/>
  <c r="XM223" i="17" s="1" a="1"/>
  <c r="XM223" i="17" s="1"/>
  <c r="XN223" i="17" s="1" a="1"/>
  <c r="XN223" i="17" s="1"/>
  <c r="XP224" i="17" a="1"/>
  <c r="XP224" i="17" s="1"/>
  <c r="XU224" i="17" s="1" a="1"/>
  <c r="XU224" i="17" s="1"/>
  <c r="XP226" i="17" a="1"/>
  <c r="XP226" i="17" s="1"/>
  <c r="XU226" i="17" s="1" a="1"/>
  <c r="XU226" i="17" s="1"/>
  <c r="XX228" i="17" a="1"/>
  <c r="XX228" i="17" s="1"/>
  <c r="YH228" i="17" s="1" a="1"/>
  <c r="YH228" i="17" s="1"/>
  <c r="YI228" i="17" s="1" a="1"/>
  <c r="YI228" i="17" s="1"/>
  <c r="XJ230" i="17" a="1"/>
  <c r="XJ230" i="17" s="1"/>
  <c r="XM230" i="17" s="1" a="1"/>
  <c r="XM230" i="17" s="1"/>
  <c r="XN230" i="17" s="1" a="1"/>
  <c r="XN230" i="17" s="1"/>
  <c r="L220" i="17"/>
  <c r="K220" i="17" s="1"/>
  <c r="C220" i="17" s="1"/>
  <c r="L222" i="17"/>
  <c r="K222" i="17" s="1"/>
  <c r="C222" i="17" s="1"/>
  <c r="L227" i="17"/>
  <c r="K227" i="17" s="1"/>
  <c r="C227" i="17" s="1"/>
  <c r="XJ216" i="17" a="1"/>
  <c r="XJ216" i="17" s="1"/>
  <c r="XM216" i="17" s="1" a="1"/>
  <c r="XM216" i="17" s="1"/>
  <c r="XN216" i="17" s="1" a="1"/>
  <c r="XN216" i="17" s="1"/>
  <c r="XJ218" i="17" a="1"/>
  <c r="XJ218" i="17" s="1"/>
  <c r="XM218" i="17" s="1" a="1"/>
  <c r="XM218" i="17" s="1"/>
  <c r="XN218" i="17" s="1" a="1"/>
  <c r="XN218" i="17" s="1"/>
  <c r="XJ220" i="17" a="1"/>
  <c r="XJ220" i="17" s="1"/>
  <c r="XM220" i="17" s="1" a="1"/>
  <c r="XM220" i="17" s="1"/>
  <c r="XN220" i="17" s="1" a="1"/>
  <c r="XN220" i="17" s="1"/>
  <c r="XP223" i="17" a="1"/>
  <c r="XP223" i="17" s="1"/>
  <c r="XU223" i="17" s="1" a="1"/>
  <c r="XU223" i="17" s="1"/>
  <c r="XX224" i="17" a="1"/>
  <c r="XX224" i="17" s="1"/>
  <c r="YH224" i="17" s="1" a="1"/>
  <c r="YH224" i="17" s="1"/>
  <c r="YI224" i="17" s="1" a="1"/>
  <c r="YI224" i="17" s="1"/>
  <c r="XX226" i="17" a="1"/>
  <c r="XX226" i="17" s="1"/>
  <c r="YH226" i="17" s="1" a="1"/>
  <c r="YH226" i="17" s="1"/>
  <c r="YI226" i="17" s="1" a="1"/>
  <c r="YI226" i="17" s="1"/>
  <c r="XP230" i="17" a="1"/>
  <c r="XP230" i="17" s="1"/>
  <c r="XU230" i="17" s="1" a="1"/>
  <c r="XU230" i="17" s="1"/>
  <c r="XJ232" i="17" a="1"/>
  <c r="XJ232" i="17" s="1"/>
  <c r="XM232" i="17" s="1" a="1"/>
  <c r="XM232" i="17" s="1"/>
  <c r="XN232" i="17" s="1" a="1"/>
  <c r="XN232" i="17" s="1"/>
  <c r="L218" i="17"/>
  <c r="K218" i="17" s="1"/>
  <c r="C218" i="17" s="1"/>
  <c r="L224" i="17"/>
  <c r="K224" i="17" s="1"/>
  <c r="C224" i="17" s="1"/>
  <c r="XP220" i="17" a="1"/>
  <c r="XP220" i="17" s="1"/>
  <c r="XU220" i="17" s="1" a="1"/>
  <c r="XU220" i="17" s="1"/>
  <c r="XV220" i="17" s="1" a="1"/>
  <c r="XV220" i="17" s="1"/>
  <c r="XP221" i="17" a="1"/>
  <c r="XP221" i="17" s="1"/>
  <c r="XU221" i="17" s="1" a="1"/>
  <c r="XU221" i="17" s="1"/>
  <c r="XJ225" i="17" a="1"/>
  <c r="XJ225" i="17" s="1"/>
  <c r="XM225" i="17" s="1" a="1"/>
  <c r="XM225" i="17" s="1"/>
  <c r="XN225" i="17" s="1" a="1"/>
  <c r="XN225" i="17" s="1"/>
  <c r="XJ227" i="17" a="1"/>
  <c r="XJ227" i="17" s="1"/>
  <c r="XM227" i="17" s="1" a="1"/>
  <c r="XM227" i="17" s="1"/>
  <c r="XN227" i="17" s="1" a="1"/>
  <c r="XN227" i="17" s="1"/>
  <c r="XX230" i="17" a="1"/>
  <c r="XX230" i="17" s="1"/>
  <c r="YH230" i="17" s="1" a="1"/>
  <c r="YH230" i="17" s="1"/>
  <c r="YI230" i="17" s="1" a="1"/>
  <c r="YI230" i="17" s="1"/>
  <c r="K193" i="8"/>
  <c r="K211" i="8"/>
  <c r="K203" i="8"/>
  <c r="K194" i="8"/>
  <c r="K190" i="8"/>
  <c r="K195" i="8"/>
  <c r="K192" i="8"/>
  <c r="K189" i="8"/>
  <c r="NH216" i="19" a="1"/>
  <c r="NH216" i="19" s="1"/>
  <c r="NK216" i="19" s="1" a="1"/>
  <c r="NK216" i="19" s="1"/>
  <c r="NL216" i="19" s="1" a="1"/>
  <c r="NL216" i="19" s="1"/>
  <c r="NH218" i="19" a="1"/>
  <c r="NH218" i="19" s="1"/>
  <c r="NK218" i="19" s="1" a="1"/>
  <c r="NK218" i="19" s="1"/>
  <c r="NL218" i="19" s="1" a="1"/>
  <c r="NL218" i="19" s="1"/>
  <c r="NH220" i="19" a="1"/>
  <c r="NH220" i="19" s="1"/>
  <c r="NK220" i="19" s="1" a="1"/>
  <c r="NK220" i="19" s="1"/>
  <c r="NL220" i="19" s="1" a="1"/>
  <c r="NL220" i="19" s="1"/>
  <c r="NV221" i="19" a="1"/>
  <c r="NV221" i="19" s="1"/>
  <c r="OF221" i="19" s="1" a="1"/>
  <c r="OF221" i="19" s="1"/>
  <c r="OG221" i="19" s="1" a="1"/>
  <c r="OG221" i="19" s="1"/>
  <c r="NH223" i="19" a="1"/>
  <c r="NH223" i="19" s="1"/>
  <c r="NK223" i="19" s="1" a="1"/>
  <c r="NK223" i="19" s="1"/>
  <c r="NL223" i="19" s="1" a="1"/>
  <c r="NL223" i="19" s="1"/>
  <c r="NV225" i="19" a="1"/>
  <c r="NV225" i="19" s="1"/>
  <c r="OF225" i="19" s="1" a="1"/>
  <c r="OF225" i="19" s="1"/>
  <c r="OG225" i="19" s="1" a="1"/>
  <c r="OG225" i="19" s="1"/>
  <c r="NN227" i="19" a="1"/>
  <c r="NN227" i="19" s="1"/>
  <c r="NS227" i="19" s="1" a="1"/>
  <c r="NS227" i="19" s="1"/>
  <c r="NH229" i="19" a="1"/>
  <c r="NH229" i="19" s="1"/>
  <c r="NK229" i="19" s="1" a="1"/>
  <c r="NK229" i="19" s="1"/>
  <c r="NL229" i="19" s="1" a="1"/>
  <c r="NL229" i="19" s="1"/>
  <c r="NH232" i="19" a="1"/>
  <c r="NH232" i="19" s="1"/>
  <c r="NK232" i="19" s="1" a="1"/>
  <c r="NK232" i="19" s="1"/>
  <c r="NL232" i="19" s="1" a="1"/>
  <c r="NL232" i="19" s="1"/>
  <c r="I215" i="19"/>
  <c r="H215" i="19" s="1"/>
  <c r="C215" i="19" s="1"/>
  <c r="B215" i="19" s="1"/>
  <c r="I219" i="19"/>
  <c r="H219" i="19" s="1"/>
  <c r="C219" i="19" s="1"/>
  <c r="B219" i="19" s="1"/>
  <c r="I223" i="19"/>
  <c r="H223" i="19" s="1"/>
  <c r="C223" i="19" s="1"/>
  <c r="B223" i="19" s="1"/>
  <c r="I227" i="19"/>
  <c r="H227" i="19" s="1"/>
  <c r="C227" i="19" s="1"/>
  <c r="B227" i="19" s="1"/>
  <c r="I231" i="19"/>
  <c r="H231" i="19" s="1"/>
  <c r="C231" i="19" s="1"/>
  <c r="B231" i="19" s="1"/>
  <c r="NN223" i="19" a="1"/>
  <c r="NN223" i="19" s="1"/>
  <c r="NS223" i="19" s="1" a="1"/>
  <c r="NS223" i="19" s="1"/>
  <c r="NN224" i="19" a="1"/>
  <c r="NN224" i="19" s="1"/>
  <c r="NS224" i="19" s="1" a="1"/>
  <c r="NS224" i="19" s="1"/>
  <c r="NH226" i="19" a="1"/>
  <c r="NH226" i="19" s="1"/>
  <c r="NK226" i="19" s="1" a="1"/>
  <c r="NK226" i="19" s="1"/>
  <c r="NL226" i="19" s="1" a="1"/>
  <c r="NL226" i="19" s="1"/>
  <c r="NV227" i="19" a="1"/>
  <c r="NV227" i="19" s="1"/>
  <c r="OF227" i="19" s="1" a="1"/>
  <c r="OF227" i="19" s="1"/>
  <c r="OG227" i="19" s="1" a="1"/>
  <c r="OG227" i="19" s="1"/>
  <c r="NN229" i="19" a="1"/>
  <c r="NN229" i="19" s="1"/>
  <c r="NS229" i="19" s="1" a="1"/>
  <c r="NS229" i="19" s="1"/>
  <c r="NV230" i="19" a="1"/>
  <c r="NV230" i="19" s="1"/>
  <c r="OF230" i="19" s="1" a="1"/>
  <c r="OF230" i="19" s="1"/>
  <c r="OG230" i="19" s="1" a="1"/>
  <c r="OG230" i="19" s="1"/>
  <c r="NN216" i="19" a="1"/>
  <c r="NN216" i="19" s="1"/>
  <c r="NS216" i="19" s="1" a="1"/>
  <c r="NS216" i="19" s="1"/>
  <c r="NN218" i="19" a="1"/>
  <c r="NN218" i="19" s="1"/>
  <c r="NS218" i="19" s="1" a="1"/>
  <c r="NS218" i="19" s="1"/>
  <c r="NN220" i="19" a="1"/>
  <c r="NN220" i="19" s="1"/>
  <c r="NS220" i="19" s="1" a="1"/>
  <c r="NS220" i="19" s="1"/>
  <c r="NV224" i="19" a="1"/>
  <c r="NV224" i="19" s="1"/>
  <c r="OF224" i="19" s="1" a="1"/>
  <c r="OF224" i="19" s="1"/>
  <c r="OG224" i="19" s="1" a="1"/>
  <c r="OG224" i="19" s="1"/>
  <c r="NH228" i="19" a="1"/>
  <c r="NH228" i="19" s="1"/>
  <c r="NK228" i="19" s="1" a="1"/>
  <c r="NK228" i="19" s="1"/>
  <c r="NL228" i="19" s="1" a="1"/>
  <c r="NL228" i="19" s="1"/>
  <c r="NV229" i="19" a="1"/>
  <c r="NV229" i="19" s="1"/>
  <c r="OF229" i="19" s="1" a="1"/>
  <c r="OF229" i="19" s="1"/>
  <c r="OG229" i="19" s="1" a="1"/>
  <c r="OG229" i="19" s="1"/>
  <c r="NH231" i="19" a="1"/>
  <c r="NH231" i="19" s="1"/>
  <c r="NK231" i="19" s="1" a="1"/>
  <c r="NK231" i="19" s="1"/>
  <c r="NL231" i="19" s="1" a="1"/>
  <c r="NL231" i="19" s="1"/>
  <c r="I216" i="19"/>
  <c r="H216" i="19" s="1"/>
  <c r="C216" i="19" s="1"/>
  <c r="B216" i="19" s="1"/>
  <c r="I220" i="19"/>
  <c r="H220" i="19" s="1"/>
  <c r="C220" i="19" s="1"/>
  <c r="B220" i="19" s="1"/>
  <c r="I224" i="19"/>
  <c r="H224" i="19" s="1"/>
  <c r="C224" i="19" s="1"/>
  <c r="B224" i="19" s="1"/>
  <c r="I228" i="19"/>
  <c r="H228" i="19" s="1"/>
  <c r="C228" i="19" s="1"/>
  <c r="B228" i="19" s="1"/>
  <c r="I232" i="19"/>
  <c r="H232" i="19" s="1"/>
  <c r="C232" i="19" s="1"/>
  <c r="B232" i="19" s="1"/>
  <c r="G233" i="8" s="1"/>
  <c r="NV216" i="19" a="1"/>
  <c r="NV216" i="19" s="1"/>
  <c r="OF216" i="19" s="1" a="1"/>
  <c r="OF216" i="19" s="1"/>
  <c r="OG216" i="19" s="1" a="1"/>
  <c r="OG216" i="19" s="1"/>
  <c r="NV218" i="19" a="1"/>
  <c r="NV218" i="19" s="1"/>
  <c r="OF218" i="19" s="1" a="1"/>
  <c r="OF218" i="19" s="1"/>
  <c r="OG218" i="19" s="1" a="1"/>
  <c r="OG218" i="19" s="1"/>
  <c r="NV220" i="19" a="1"/>
  <c r="NV220" i="19" s="1"/>
  <c r="OF220" i="19" s="1" a="1"/>
  <c r="OF220" i="19" s="1"/>
  <c r="OG220" i="19" s="1" a="1"/>
  <c r="OG220" i="19" s="1"/>
  <c r="NH222" i="19" a="1"/>
  <c r="NH222" i="19" s="1"/>
  <c r="NK222" i="19" s="1" a="1"/>
  <c r="NK222" i="19" s="1"/>
  <c r="NL222" i="19" s="1" a="1"/>
  <c r="NL222" i="19" s="1"/>
  <c r="NH225" i="19" a="1"/>
  <c r="NH225" i="19" s="1"/>
  <c r="NK225" i="19" s="1" a="1"/>
  <c r="NK225" i="19" s="1"/>
  <c r="NL225" i="19" s="1" a="1"/>
  <c r="NL225" i="19" s="1"/>
  <c r="NN226" i="19" a="1"/>
  <c r="NN226" i="19" s="1"/>
  <c r="NS226" i="19" s="1" a="1"/>
  <c r="NS226" i="19" s="1"/>
  <c r="NN231" i="19" a="1"/>
  <c r="NN231" i="19" s="1"/>
  <c r="NS231" i="19" s="1" a="1"/>
  <c r="NS231" i="19" s="1"/>
  <c r="NN232" i="19" a="1"/>
  <c r="NN232" i="19" s="1"/>
  <c r="NS232" i="19" s="1" a="1"/>
  <c r="NS232" i="19" s="1"/>
  <c r="NH215" i="19" a="1"/>
  <c r="NH215" i="19" s="1"/>
  <c r="NK215" i="19" s="1" a="1"/>
  <c r="NK215" i="19" s="1"/>
  <c r="NL215" i="19" s="1" a="1"/>
  <c r="NL215" i="19" s="1"/>
  <c r="NH217" i="19" a="1"/>
  <c r="NH217" i="19" s="1"/>
  <c r="NK217" i="19" s="1" a="1"/>
  <c r="NK217" i="19" s="1"/>
  <c r="NL217" i="19" s="1" a="1"/>
  <c r="NL217" i="19" s="1"/>
  <c r="NH219" i="19" a="1"/>
  <c r="NH219" i="19" s="1"/>
  <c r="NK219" i="19" s="1" a="1"/>
  <c r="NK219" i="19" s="1"/>
  <c r="NL219" i="19" s="1" a="1"/>
  <c r="NL219" i="19" s="1"/>
  <c r="NN222" i="19" a="1"/>
  <c r="NN222" i="19" s="1"/>
  <c r="NS222" i="19" s="1" a="1"/>
  <c r="NS222" i="19" s="1"/>
  <c r="NT222" i="19" s="1" a="1"/>
  <c r="NT222" i="19" s="1"/>
  <c r="NV223" i="19" a="1"/>
  <c r="NV223" i="19" s="1"/>
  <c r="OF223" i="19" s="1" a="1"/>
  <c r="OF223" i="19" s="1"/>
  <c r="OG223" i="19" s="1" a="1"/>
  <c r="OG223" i="19" s="1"/>
  <c r="NN228" i="19" a="1"/>
  <c r="NN228" i="19" s="1"/>
  <c r="NS228" i="19" s="1" a="1"/>
  <c r="NS228" i="19" s="1"/>
  <c r="NV232" i="19" a="1"/>
  <c r="NV232" i="19" s="1"/>
  <c r="OF232" i="19" s="1" a="1"/>
  <c r="OF232" i="19" s="1"/>
  <c r="OG232" i="19" s="1" a="1"/>
  <c r="OG232" i="19" s="1"/>
  <c r="I217" i="19"/>
  <c r="H217" i="19" s="1"/>
  <c r="C217" i="19" s="1"/>
  <c r="B217" i="19" s="1"/>
  <c r="I221" i="19"/>
  <c r="H221" i="19" s="1"/>
  <c r="C221" i="19" s="1"/>
  <c r="B221" i="19" s="1"/>
  <c r="I225" i="19"/>
  <c r="H225" i="19" s="1"/>
  <c r="C225" i="19" s="1"/>
  <c r="B225" i="19" s="1"/>
  <c r="I229" i="19"/>
  <c r="H229" i="19" s="1"/>
  <c r="C229" i="19" s="1"/>
  <c r="B229" i="19" s="1"/>
  <c r="NN215" i="19" a="1"/>
  <c r="NN215" i="19" s="1"/>
  <c r="NS215" i="19" s="1" a="1"/>
  <c r="NS215" i="19" s="1"/>
  <c r="NV226" i="19" a="1"/>
  <c r="NV226" i="19" s="1"/>
  <c r="OF226" i="19" s="1" a="1"/>
  <c r="OF226" i="19" s="1"/>
  <c r="OG226" i="19" s="1" a="1"/>
  <c r="OG226" i="19" s="1"/>
  <c r="NV228" i="19" a="1"/>
  <c r="NV228" i="19" s="1"/>
  <c r="OF228" i="19" s="1" a="1"/>
  <c r="OF228" i="19" s="1"/>
  <c r="OG228" i="19" s="1" a="1"/>
  <c r="OG228" i="19" s="1"/>
  <c r="NH230" i="19" a="1"/>
  <c r="NH230" i="19" s="1"/>
  <c r="NK230" i="19" s="1" a="1"/>
  <c r="NK230" i="19" s="1"/>
  <c r="NL230" i="19" s="1" a="1"/>
  <c r="NL230" i="19" s="1"/>
  <c r="NN217" i="19" a="1"/>
  <c r="NN217" i="19" s="1"/>
  <c r="NS217" i="19" s="1" a="1"/>
  <c r="NS217" i="19" s="1"/>
  <c r="NN219" i="19" a="1"/>
  <c r="NN219" i="19" s="1"/>
  <c r="NS219" i="19" s="1" a="1"/>
  <c r="NS219" i="19" s="1"/>
  <c r="NH221" i="19" a="1"/>
  <c r="NH221" i="19" s="1"/>
  <c r="NK221" i="19" s="1" a="1"/>
  <c r="NK221" i="19" s="1"/>
  <c r="NL221" i="19" s="1" a="1"/>
  <c r="NL221" i="19" s="1"/>
  <c r="NH224" i="19" a="1"/>
  <c r="NH224" i="19" s="1"/>
  <c r="NK224" i="19" s="1" a="1"/>
  <c r="NK224" i="19" s="1"/>
  <c r="NL224" i="19" s="1" a="1"/>
  <c r="NL224" i="19" s="1"/>
  <c r="NN225" i="19" a="1"/>
  <c r="NN225" i="19" s="1"/>
  <c r="NS225" i="19" s="1" a="1"/>
  <c r="NS225" i="19" s="1"/>
  <c r="NH227" i="19" a="1"/>
  <c r="NH227" i="19" s="1"/>
  <c r="NK227" i="19" s="1" a="1"/>
  <c r="NK227" i="19" s="1"/>
  <c r="NL227" i="19" s="1" a="1"/>
  <c r="NL227" i="19" s="1"/>
  <c r="NN230" i="19" a="1"/>
  <c r="NN230" i="19" s="1"/>
  <c r="NS230" i="19" s="1" a="1"/>
  <c r="NS230" i="19" s="1"/>
  <c r="NV231" i="19" a="1"/>
  <c r="NV231" i="19" s="1"/>
  <c r="OF231" i="19" s="1" a="1"/>
  <c r="OF231" i="19" s="1"/>
  <c r="OG231" i="19" s="1" a="1"/>
  <c r="OG231" i="19" s="1"/>
  <c r="I218" i="19"/>
  <c r="H218" i="19" s="1"/>
  <c r="C218" i="19" s="1"/>
  <c r="B218" i="19" s="1"/>
  <c r="I222" i="19"/>
  <c r="H222" i="19" s="1"/>
  <c r="C222" i="19" s="1"/>
  <c r="B222" i="19" s="1"/>
  <c r="I226" i="19"/>
  <c r="H226" i="19" s="1"/>
  <c r="C226" i="19" s="1"/>
  <c r="B226" i="19" s="1"/>
  <c r="I230" i="19"/>
  <c r="H230" i="19" s="1"/>
  <c r="C230" i="19" s="1"/>
  <c r="B230" i="19" s="1"/>
  <c r="G228" i="8" s="1"/>
  <c r="NV215" i="19" a="1"/>
  <c r="NV215" i="19" s="1"/>
  <c r="OF215" i="19" s="1" a="1"/>
  <c r="OF215" i="19" s="1"/>
  <c r="OG215" i="19" s="1" a="1"/>
  <c r="OG215" i="19" s="1"/>
  <c r="NV217" i="19" a="1"/>
  <c r="NV217" i="19" s="1"/>
  <c r="OF217" i="19" s="1" a="1"/>
  <c r="OF217" i="19" s="1"/>
  <c r="OG217" i="19" s="1" a="1"/>
  <c r="OG217" i="19" s="1"/>
  <c r="NV219" i="19" a="1"/>
  <c r="NV219" i="19" s="1"/>
  <c r="OF219" i="19" s="1" a="1"/>
  <c r="OF219" i="19" s="1"/>
  <c r="OG219" i="19" s="1" a="1"/>
  <c r="OG219" i="19" s="1"/>
  <c r="NN221" i="19" a="1"/>
  <c r="NN221" i="19" s="1"/>
  <c r="NS221" i="19" s="1" a="1"/>
  <c r="NS221" i="19" s="1"/>
  <c r="NV222" i="19" a="1"/>
  <c r="NV222" i="19" s="1"/>
  <c r="OF222" i="19" s="1" a="1"/>
  <c r="OF222" i="19" s="1"/>
  <c r="OG222" i="19" s="1" a="1"/>
  <c r="OG222" i="19" s="1"/>
  <c r="K201" i="8"/>
  <c r="K212" i="8"/>
  <c r="J221" i="17"/>
  <c r="I221" i="17" s="1"/>
  <c r="F221" i="17" s="1"/>
  <c r="J228" i="17"/>
  <c r="I228" i="17" s="1"/>
  <c r="F228" i="17" s="1"/>
  <c r="J232" i="17"/>
  <c r="I232" i="17" s="1"/>
  <c r="F232" i="17" s="1"/>
  <c r="J223" i="17"/>
  <c r="I223" i="17" s="1"/>
  <c r="F223" i="17" s="1"/>
  <c r="J215" i="17"/>
  <c r="I215" i="17" s="1"/>
  <c r="F215" i="17" s="1"/>
  <c r="J217" i="17"/>
  <c r="I217" i="17" s="1"/>
  <c r="F217" i="17" s="1"/>
  <c r="J219" i="17"/>
  <c r="I219" i="17" s="1"/>
  <c r="F219" i="17" s="1"/>
  <c r="J225" i="17"/>
  <c r="I225" i="17" s="1"/>
  <c r="F225" i="17" s="1"/>
  <c r="J229" i="17"/>
  <c r="I229" i="17" s="1"/>
  <c r="F229" i="17" s="1"/>
  <c r="J231" i="17"/>
  <c r="I231" i="17" s="1"/>
  <c r="F231" i="17" s="1"/>
  <c r="J227" i="17"/>
  <c r="I227" i="17" s="1"/>
  <c r="F227" i="17" s="1"/>
  <c r="J220" i="17"/>
  <c r="I220" i="17" s="1"/>
  <c r="F220" i="17" s="1"/>
  <c r="J222" i="17"/>
  <c r="I222" i="17" s="1"/>
  <c r="F222" i="17" s="1"/>
  <c r="J218" i="17"/>
  <c r="I218" i="17" s="1"/>
  <c r="F218" i="17" s="1"/>
  <c r="J224" i="17"/>
  <c r="I224" i="17" s="1"/>
  <c r="F224" i="17" s="1"/>
  <c r="J216" i="17"/>
  <c r="I216" i="17" s="1"/>
  <c r="F216" i="17" s="1"/>
  <c r="J226" i="17"/>
  <c r="I226" i="17" s="1"/>
  <c r="F226" i="17" s="1"/>
  <c r="J230" i="17"/>
  <c r="I230" i="17" s="1"/>
  <c r="F230" i="17" s="1"/>
  <c r="K191" i="8"/>
  <c r="K209" i="8"/>
  <c r="H215" i="17"/>
  <c r="G215" i="17" s="1"/>
  <c r="D215" i="17" s="1"/>
  <c r="H221" i="17"/>
  <c r="G221" i="17" s="1"/>
  <c r="D221" i="17" s="1"/>
  <c r="H218" i="17"/>
  <c r="G218" i="17" s="1"/>
  <c r="D218" i="17" s="1"/>
  <c r="H225" i="17"/>
  <c r="G225" i="17" s="1"/>
  <c r="D225" i="17" s="1"/>
  <c r="H224" i="17"/>
  <c r="G224" i="17" s="1"/>
  <c r="D224" i="17" s="1"/>
  <c r="H228" i="17"/>
  <c r="G228" i="17" s="1"/>
  <c r="D228" i="17" s="1"/>
  <c r="H230" i="17"/>
  <c r="G230" i="17" s="1"/>
  <c r="D230" i="17" s="1"/>
  <c r="H226" i="17"/>
  <c r="G226" i="17" s="1"/>
  <c r="D226" i="17" s="1"/>
  <c r="H229" i="17"/>
  <c r="G229" i="17" s="1"/>
  <c r="D229" i="17" s="1"/>
  <c r="H220" i="17"/>
  <c r="G220" i="17" s="1"/>
  <c r="D220" i="17" s="1"/>
  <c r="H217" i="17"/>
  <c r="G217" i="17" s="1"/>
  <c r="D217" i="17" s="1"/>
  <c r="H223" i="17"/>
  <c r="G223" i="17" s="1"/>
  <c r="D223" i="17" s="1"/>
  <c r="H227" i="17"/>
  <c r="G227" i="17" s="1"/>
  <c r="D227" i="17" s="1"/>
  <c r="H231" i="17"/>
  <c r="G231" i="17" s="1"/>
  <c r="D231" i="17" s="1"/>
  <c r="H232" i="17"/>
  <c r="G232" i="17" s="1"/>
  <c r="D232" i="17" s="1"/>
  <c r="H216" i="17"/>
  <c r="G216" i="17" s="1"/>
  <c r="D216" i="17" s="1"/>
  <c r="H219" i="17"/>
  <c r="G219" i="17" s="1"/>
  <c r="D219" i="17" s="1"/>
  <c r="H222" i="17"/>
  <c r="G222" i="17" s="1"/>
  <c r="D222" i="17" s="1"/>
  <c r="NH209" i="19" a="1"/>
  <c r="NH209" i="19" s="1"/>
  <c r="NK209" i="19" s="1" a="1"/>
  <c r="NK209" i="19" s="1"/>
  <c r="NL209" i="19" s="1" a="1"/>
  <c r="NL209" i="19" s="1"/>
  <c r="NN212" i="19" a="1"/>
  <c r="NN212" i="19" s="1"/>
  <c r="NS212" i="19" s="1" a="1"/>
  <c r="NS212" i="19" s="1"/>
  <c r="NN214" i="19" a="1"/>
  <c r="NN214" i="19" s="1"/>
  <c r="NS214" i="19" s="1" a="1"/>
  <c r="NS214" i="19" s="1"/>
  <c r="I212" i="19"/>
  <c r="H212" i="19" s="1"/>
  <c r="C212" i="19" s="1"/>
  <c r="B212" i="19" s="1"/>
  <c r="NV212" i="19" a="1"/>
  <c r="NV212" i="19" s="1"/>
  <c r="OF212" i="19" s="1" a="1"/>
  <c r="OF212" i="19" s="1"/>
  <c r="OG212" i="19" s="1" a="1"/>
  <c r="OG212" i="19" s="1"/>
  <c r="NH210" i="19" a="1"/>
  <c r="NH210" i="19" s="1"/>
  <c r="NK210" i="19" s="1" a="1"/>
  <c r="NK210" i="19" s="1"/>
  <c r="NL210" i="19" s="1" a="1"/>
  <c r="NL210" i="19" s="1"/>
  <c r="NH211" i="19" a="1"/>
  <c r="NH211" i="19" s="1"/>
  <c r="NK211" i="19" s="1" a="1"/>
  <c r="NK211" i="19" s="1"/>
  <c r="NL211" i="19" s="1" a="1"/>
  <c r="NL211" i="19" s="1"/>
  <c r="NH213" i="19" a="1"/>
  <c r="NH213" i="19" s="1"/>
  <c r="NK213" i="19" s="1" a="1"/>
  <c r="NK213" i="19" s="1"/>
  <c r="NL213" i="19" s="1" a="1"/>
  <c r="NL213" i="19" s="1"/>
  <c r="I214" i="19"/>
  <c r="H214" i="19" s="1"/>
  <c r="C214" i="19" s="1"/>
  <c r="B214" i="19" s="1"/>
  <c r="NV209" i="19" a="1"/>
  <c r="NV209" i="19" s="1"/>
  <c r="OF209" i="19" s="1" a="1"/>
  <c r="OF209" i="19" s="1"/>
  <c r="OG209" i="19" s="1" a="1"/>
  <c r="OG209" i="19" s="1"/>
  <c r="I208" i="19"/>
  <c r="H208" i="19" s="1"/>
  <c r="C208" i="19" s="1"/>
  <c r="B208" i="19" s="1"/>
  <c r="NN208" i="19" a="1"/>
  <c r="NN208" i="19" s="1"/>
  <c r="NS208" i="19" s="1" a="1"/>
  <c r="NS208" i="19" s="1"/>
  <c r="NN209" i="19" a="1"/>
  <c r="NN209" i="19" s="1"/>
  <c r="NS209" i="19" s="1" a="1"/>
  <c r="NS209" i="19" s="1"/>
  <c r="NN213" i="19" a="1"/>
  <c r="NN213" i="19" s="1"/>
  <c r="NS213" i="19" s="1" a="1"/>
  <c r="NS213" i="19" s="1"/>
  <c r="NH208" i="19" a="1"/>
  <c r="NH208" i="19" s="1"/>
  <c r="NK208" i="19" s="1" a="1"/>
  <c r="NK208" i="19" s="1"/>
  <c r="NL208" i="19" s="1" a="1"/>
  <c r="NL208" i="19" s="1"/>
  <c r="NN211" i="19" a="1"/>
  <c r="NN211" i="19" s="1"/>
  <c r="NS211" i="19" s="1" a="1"/>
  <c r="NS211" i="19" s="1"/>
  <c r="NV213" i="19" a="1"/>
  <c r="NV213" i="19" s="1"/>
  <c r="OF213" i="19" s="1" a="1"/>
  <c r="OF213" i="19" s="1"/>
  <c r="OG213" i="19" s="1" a="1"/>
  <c r="OG213" i="19" s="1"/>
  <c r="NH212" i="19" a="1"/>
  <c r="NH212" i="19" s="1"/>
  <c r="NK212" i="19" s="1" a="1"/>
  <c r="NK212" i="19" s="1"/>
  <c r="NL212" i="19" s="1" a="1"/>
  <c r="NL212" i="19" s="1"/>
  <c r="I210" i="19"/>
  <c r="H210" i="19" s="1"/>
  <c r="C210" i="19" s="1"/>
  <c r="B210" i="19" s="1"/>
  <c r="NH214" i="19" a="1"/>
  <c r="NH214" i="19" s="1"/>
  <c r="NK214" i="19" s="1" a="1"/>
  <c r="NK214" i="19" s="1"/>
  <c r="NL214" i="19" s="1" a="1"/>
  <c r="NL214" i="19" s="1"/>
  <c r="NV214" i="19" a="1"/>
  <c r="NV214" i="19" s="1"/>
  <c r="OF214" i="19" s="1" a="1"/>
  <c r="OF214" i="19" s="1"/>
  <c r="OG214" i="19" s="1" a="1"/>
  <c r="OG214" i="19" s="1"/>
  <c r="I209" i="19"/>
  <c r="H209" i="19" s="1"/>
  <c r="C209" i="19" s="1"/>
  <c r="B209" i="19" s="1"/>
  <c r="NV208" i="19" a="1"/>
  <c r="NV208" i="19" s="1"/>
  <c r="OF208" i="19" s="1" a="1"/>
  <c r="OF208" i="19" s="1"/>
  <c r="OG208" i="19" s="1" a="1"/>
  <c r="OG208" i="19" s="1"/>
  <c r="NN210" i="19" a="1"/>
  <c r="NN210" i="19" s="1"/>
  <c r="NS210" i="19" s="1" a="1"/>
  <c r="NS210" i="19" s="1"/>
  <c r="I211" i="19"/>
  <c r="H211" i="19" s="1"/>
  <c r="C211" i="19" s="1"/>
  <c r="B211" i="19" s="1"/>
  <c r="NV210" i="19" a="1"/>
  <c r="NV210" i="19" s="1"/>
  <c r="OF210" i="19" s="1" a="1"/>
  <c r="OF210" i="19" s="1"/>
  <c r="OG210" i="19" s="1" a="1"/>
  <c r="OG210" i="19" s="1"/>
  <c r="I213" i="19"/>
  <c r="H213" i="19" s="1"/>
  <c r="C213" i="19" s="1"/>
  <c r="B213" i="19" s="1"/>
  <c r="NV211" i="19" a="1"/>
  <c r="NV211" i="19" s="1"/>
  <c r="OF211" i="19" s="1" a="1"/>
  <c r="OF211" i="19" s="1"/>
  <c r="OG211" i="19" s="1" a="1"/>
  <c r="OG211" i="19" s="1"/>
  <c r="H210" i="17"/>
  <c r="G210" i="17" s="1"/>
  <c r="D210" i="17" s="1"/>
  <c r="H211" i="17"/>
  <c r="G211" i="17" s="1"/>
  <c r="D211" i="17" s="1"/>
  <c r="H208" i="17"/>
  <c r="G208" i="17" s="1"/>
  <c r="D208" i="17" s="1"/>
  <c r="H212" i="17"/>
  <c r="G212" i="17" s="1"/>
  <c r="D212" i="17" s="1"/>
  <c r="H213" i="17"/>
  <c r="G213" i="17" s="1"/>
  <c r="D213" i="17" s="1"/>
  <c r="H209" i="17"/>
  <c r="G209" i="17" s="1"/>
  <c r="D209" i="17" s="1"/>
  <c r="H214" i="17"/>
  <c r="G214" i="17" s="1"/>
  <c r="D214" i="17" s="1"/>
  <c r="J207" i="17"/>
  <c r="I207" i="17" s="1"/>
  <c r="F207" i="17" s="1"/>
  <c r="J213" i="17"/>
  <c r="I213" i="17" s="1"/>
  <c r="F213" i="17" s="1"/>
  <c r="J209" i="17"/>
  <c r="I209" i="17" s="1"/>
  <c r="F209" i="17" s="1"/>
  <c r="J210" i="17"/>
  <c r="I210" i="17" s="1"/>
  <c r="F210" i="17" s="1"/>
  <c r="J212" i="17"/>
  <c r="I212" i="17" s="1"/>
  <c r="F212" i="17" s="1"/>
  <c r="J214" i="17"/>
  <c r="I214" i="17" s="1"/>
  <c r="F214" i="17" s="1"/>
  <c r="J208" i="17"/>
  <c r="I208" i="17" s="1"/>
  <c r="F208" i="17" s="1"/>
  <c r="J211" i="17"/>
  <c r="I211" i="17" s="1"/>
  <c r="F211" i="17" s="1"/>
  <c r="XP208" i="17" a="1"/>
  <c r="XP208" i="17" s="1"/>
  <c r="XU208" i="17" s="1" a="1"/>
  <c r="XU208" i="17" s="1"/>
  <c r="L208" i="17"/>
  <c r="K208" i="17" s="1"/>
  <c r="C208" i="17" s="1"/>
  <c r="L211" i="17"/>
  <c r="K211" i="17" s="1"/>
  <c r="C211" i="17" s="1"/>
  <c r="L214" i="17"/>
  <c r="K214" i="17" s="1"/>
  <c r="C214" i="17" s="1"/>
  <c r="XX208" i="17" a="1"/>
  <c r="XX208" i="17" s="1"/>
  <c r="YH208" i="17" s="1" a="1"/>
  <c r="YH208" i="17" s="1"/>
  <c r="YI208" i="17" s="1" a="1"/>
  <c r="YI208" i="17" s="1"/>
  <c r="XJ210" i="17" a="1"/>
  <c r="XJ210" i="17" s="1"/>
  <c r="XM210" i="17" s="1" a="1"/>
  <c r="XM210" i="17" s="1"/>
  <c r="XN210" i="17" s="1" a="1"/>
  <c r="XN210" i="17" s="1"/>
  <c r="XX212" i="17" a="1"/>
  <c r="XX212" i="17" s="1"/>
  <c r="YH212" i="17" s="1" a="1"/>
  <c r="YH212" i="17" s="1"/>
  <c r="YI212" i="17" s="1" a="1"/>
  <c r="YI212" i="17" s="1"/>
  <c r="L210" i="17"/>
  <c r="K210" i="17" s="1"/>
  <c r="C210" i="17" s="1"/>
  <c r="XJ214" i="17" a="1"/>
  <c r="XJ214" i="17" s="1"/>
  <c r="XM214" i="17" s="1" a="1"/>
  <c r="XM214" i="17" s="1"/>
  <c r="XN214" i="17" s="1" a="1"/>
  <c r="XN214" i="17" s="1"/>
  <c r="XP209" i="17" a="1"/>
  <c r="XP209" i="17" s="1"/>
  <c r="XU209" i="17" s="1" a="1"/>
  <c r="XU209" i="17" s="1"/>
  <c r="XX210" i="17" a="1"/>
  <c r="XX210" i="17" s="1"/>
  <c r="YH210" i="17" s="1" a="1"/>
  <c r="YH210" i="17" s="1"/>
  <c r="YI210" i="17" s="1" a="1"/>
  <c r="YI210" i="17" s="1"/>
  <c r="XP214" i="17" a="1"/>
  <c r="XP214" i="17" s="1"/>
  <c r="XU214" i="17" s="1" a="1"/>
  <c r="XU214" i="17" s="1"/>
  <c r="XX209" i="17" a="1"/>
  <c r="XX209" i="17" s="1"/>
  <c r="YH209" i="17" s="1" a="1"/>
  <c r="YH209" i="17" s="1"/>
  <c r="YI209" i="17" s="1" a="1"/>
  <c r="YI209" i="17" s="1"/>
  <c r="XJ211" i="17" a="1"/>
  <c r="XJ211" i="17" s="1"/>
  <c r="XM211" i="17" s="1" a="1"/>
  <c r="XM211" i="17" s="1"/>
  <c r="XN211" i="17" s="1" a="1"/>
  <c r="XN211" i="17" s="1"/>
  <c r="XP212" i="17" a="1"/>
  <c r="XP212" i="17" s="1"/>
  <c r="XU212" i="17" s="1" a="1"/>
  <c r="XU212" i="17" s="1"/>
  <c r="XX214" i="17" a="1"/>
  <c r="XX214" i="17" s="1"/>
  <c r="YH214" i="17" s="1" a="1"/>
  <c r="YH214" i="17" s="1"/>
  <c r="YI214" i="17" s="1" a="1"/>
  <c r="YI214" i="17" s="1"/>
  <c r="L213" i="17"/>
  <c r="K213" i="17" s="1"/>
  <c r="C213" i="17" s="1"/>
  <c r="XJ209" i="17" a="1"/>
  <c r="XJ209" i="17" s="1"/>
  <c r="XM209" i="17" s="1" a="1"/>
  <c r="XM209" i="17" s="1"/>
  <c r="XN209" i="17" s="1" a="1"/>
  <c r="XN209" i="17" s="1"/>
  <c r="XP211" i="17" a="1"/>
  <c r="XP211" i="17" s="1"/>
  <c r="XU211" i="17" s="1" a="1"/>
  <c r="XU211" i="17" s="1"/>
  <c r="XJ213" i="17" a="1"/>
  <c r="XJ213" i="17" s="1"/>
  <c r="XM213" i="17" s="1" a="1"/>
  <c r="XM213" i="17" s="1"/>
  <c r="XN213" i="17" s="1" a="1"/>
  <c r="XN213" i="17" s="1"/>
  <c r="L209" i="17"/>
  <c r="K209" i="17" s="1"/>
  <c r="C209" i="17" s="1"/>
  <c r="XP210" i="17" a="1"/>
  <c r="XP210" i="17" s="1"/>
  <c r="XU210" i="17" s="1" a="1"/>
  <c r="XU210" i="17" s="1"/>
  <c r="XX211" i="17" a="1"/>
  <c r="XX211" i="17" s="1"/>
  <c r="YH211" i="17" s="1" a="1"/>
  <c r="YH211" i="17" s="1"/>
  <c r="YI211" i="17" s="1" a="1"/>
  <c r="YI211" i="17" s="1"/>
  <c r="XP213" i="17" a="1"/>
  <c r="XP213" i="17" s="1"/>
  <c r="XU213" i="17" s="1" a="1"/>
  <c r="XU213" i="17" s="1"/>
  <c r="XJ208" i="17" a="1"/>
  <c r="XJ208" i="17" s="1"/>
  <c r="XM208" i="17" s="1" a="1"/>
  <c r="XM208" i="17" s="1"/>
  <c r="XN208" i="17" s="1" a="1"/>
  <c r="XN208" i="17" s="1"/>
  <c r="XJ212" i="17" a="1"/>
  <c r="XJ212" i="17" s="1"/>
  <c r="XM212" i="17" s="1" a="1"/>
  <c r="XM212" i="17" s="1"/>
  <c r="XN212" i="17" s="1" a="1"/>
  <c r="XN212" i="17" s="1"/>
  <c r="XX213" i="17" a="1"/>
  <c r="XX213" i="17" s="1"/>
  <c r="YH213" i="17" s="1" a="1"/>
  <c r="YH213" i="17" s="1"/>
  <c r="YI213" i="17" s="1" a="1"/>
  <c r="YI213" i="17" s="1"/>
  <c r="L212" i="17"/>
  <c r="K212" i="17" s="1"/>
  <c r="C212" i="17" s="1"/>
  <c r="NH207" i="19" a="1"/>
  <c r="NH207" i="19" s="1"/>
  <c r="NK207" i="19" s="1" a="1"/>
  <c r="NK207" i="19" s="1"/>
  <c r="NL207" i="19" s="1" a="1"/>
  <c r="NL207" i="19" s="1"/>
  <c r="I207" i="19"/>
  <c r="H207" i="19" s="1"/>
  <c r="C207" i="19" s="1"/>
  <c r="B207" i="19" s="1"/>
  <c r="NN207" i="19" a="1"/>
  <c r="NN207" i="19" s="1"/>
  <c r="NS207" i="19" s="1" a="1"/>
  <c r="NS207" i="19" s="1"/>
  <c r="NV207" i="19" a="1"/>
  <c r="NV207" i="19" s="1"/>
  <c r="OF207" i="19" s="1" a="1"/>
  <c r="OF207" i="19" s="1"/>
  <c r="OG207" i="19" s="1" a="1"/>
  <c r="OG207" i="19" s="1"/>
  <c r="L207" i="17"/>
  <c r="K207" i="17" s="1"/>
  <c r="C207" i="17" s="1"/>
  <c r="XJ207" i="17" a="1"/>
  <c r="XJ207" i="17" s="1"/>
  <c r="XM207" i="17" s="1" a="1"/>
  <c r="XM207" i="17" s="1"/>
  <c r="XN207" i="17" s="1" a="1"/>
  <c r="XN207" i="17" s="1"/>
  <c r="XP207" i="17" a="1"/>
  <c r="XP207" i="17" s="1"/>
  <c r="XU207" i="17" s="1" a="1"/>
  <c r="XU207" i="17" s="1"/>
  <c r="XX207" i="17" a="1"/>
  <c r="XX207" i="17" s="1"/>
  <c r="YH207" i="17" s="1" a="1"/>
  <c r="YH207" i="17" s="1"/>
  <c r="YI207" i="17" s="1" a="1"/>
  <c r="YI207" i="17" s="1"/>
  <c r="H197" i="17"/>
  <c r="G197" i="17" s="1"/>
  <c r="D197" i="17" s="1"/>
  <c r="H207" i="17"/>
  <c r="G207" i="17" s="1"/>
  <c r="D207" i="17" s="1"/>
  <c r="H31" i="17"/>
  <c r="G31" i="17" s="1"/>
  <c r="D31" i="17" s="1"/>
  <c r="H114" i="17"/>
  <c r="G114" i="17" s="1"/>
  <c r="D114" i="17" s="1"/>
  <c r="H97" i="17"/>
  <c r="G97" i="17" s="1"/>
  <c r="D97" i="17" s="1"/>
  <c r="H34" i="17"/>
  <c r="G34" i="17" s="1"/>
  <c r="D34" i="17" s="1"/>
  <c r="H108" i="17"/>
  <c r="G108" i="17" s="1"/>
  <c r="D108" i="17" s="1"/>
  <c r="H151" i="17"/>
  <c r="G151" i="17" s="1"/>
  <c r="D151" i="17" s="1"/>
  <c r="H62" i="17"/>
  <c r="G62" i="17" s="1"/>
  <c r="D62" i="17" s="1"/>
  <c r="H135" i="17"/>
  <c r="G135" i="17" s="1"/>
  <c r="D135" i="17" s="1"/>
  <c r="H94" i="17"/>
  <c r="G94" i="17" s="1"/>
  <c r="D94" i="17" s="1"/>
  <c r="H98" i="17"/>
  <c r="G98" i="17" s="1"/>
  <c r="D98" i="17" s="1"/>
  <c r="H56" i="17"/>
  <c r="G56" i="17" s="1"/>
  <c r="D56" i="17" s="1"/>
  <c r="H173" i="17"/>
  <c r="G173" i="17" s="1"/>
  <c r="D173" i="17" s="1"/>
  <c r="H184" i="17"/>
  <c r="G184" i="17" s="1"/>
  <c r="D184" i="17" s="1"/>
  <c r="H126" i="17"/>
  <c r="G126" i="17" s="1"/>
  <c r="D126" i="17" s="1"/>
  <c r="H63" i="17"/>
  <c r="G63" i="17" s="1"/>
  <c r="D63" i="17" s="1"/>
  <c r="H14" i="17"/>
  <c r="G14" i="17" s="1"/>
  <c r="D14" i="17" s="1"/>
  <c r="H89" i="17"/>
  <c r="G89" i="17" s="1"/>
  <c r="D89" i="17" s="1"/>
  <c r="H22" i="17"/>
  <c r="G22" i="17" s="1"/>
  <c r="D22" i="17" s="1"/>
  <c r="H100" i="17"/>
  <c r="G100" i="17" s="1"/>
  <c r="D100" i="17" s="1"/>
  <c r="H35" i="17"/>
  <c r="G35" i="17" s="1"/>
  <c r="D35" i="17" s="1"/>
  <c r="H67" i="17"/>
  <c r="G67" i="17" s="1"/>
  <c r="D67" i="17" s="1"/>
  <c r="H105" i="17"/>
  <c r="G105" i="17" s="1"/>
  <c r="D105" i="17" s="1"/>
  <c r="H128" i="17"/>
  <c r="G128" i="17" s="1"/>
  <c r="D128" i="17" s="1"/>
  <c r="H79" i="17"/>
  <c r="G79" i="17" s="1"/>
  <c r="D79" i="17" s="1"/>
  <c r="H91" i="17"/>
  <c r="G91" i="17" s="1"/>
  <c r="D91" i="17" s="1"/>
  <c r="H158" i="17"/>
  <c r="G158" i="17" s="1"/>
  <c r="D158" i="17" s="1"/>
  <c r="H84" i="17"/>
  <c r="G84" i="17" s="1"/>
  <c r="D84" i="17" s="1"/>
  <c r="H21" i="17"/>
  <c r="G21" i="17" s="1"/>
  <c r="D21" i="17" s="1"/>
  <c r="H159" i="17"/>
  <c r="G159" i="17" s="1"/>
  <c r="D159" i="17" s="1"/>
  <c r="H78" i="17"/>
  <c r="G78" i="17" s="1"/>
  <c r="D78" i="17" s="1"/>
  <c r="H142" i="17"/>
  <c r="G142" i="17" s="1"/>
  <c r="D142" i="17" s="1"/>
  <c r="H107" i="17"/>
  <c r="G107" i="17" s="1"/>
  <c r="D107" i="17" s="1"/>
  <c r="H46" i="17"/>
  <c r="G46" i="17" s="1"/>
  <c r="D46" i="17" s="1"/>
  <c r="H64" i="17"/>
  <c r="G64" i="17" s="1"/>
  <c r="D64" i="17" s="1"/>
  <c r="H47" i="17"/>
  <c r="G47" i="17" s="1"/>
  <c r="D47" i="17" s="1"/>
  <c r="H203" i="17"/>
  <c r="G203" i="17" s="1"/>
  <c r="D203" i="17" s="1"/>
  <c r="H153" i="17"/>
  <c r="G153" i="17" s="1"/>
  <c r="D153" i="17" s="1"/>
  <c r="H96" i="17"/>
  <c r="G96" i="17" s="1"/>
  <c r="D96" i="17" s="1"/>
  <c r="H23" i="17"/>
  <c r="G23" i="17" s="1"/>
  <c r="D23" i="17" s="1"/>
  <c r="H41" i="17"/>
  <c r="G41" i="17" s="1"/>
  <c r="D41" i="17" s="1"/>
  <c r="H66" i="17"/>
  <c r="G66" i="17" s="1"/>
  <c r="D66" i="17" s="1"/>
  <c r="H76" i="17"/>
  <c r="G76" i="17" s="1"/>
  <c r="D76" i="17" s="1"/>
  <c r="H50" i="17"/>
  <c r="G50" i="17" s="1"/>
  <c r="D50" i="17" s="1"/>
  <c r="H88" i="17"/>
  <c r="G88" i="17" s="1"/>
  <c r="D88" i="17" s="1"/>
  <c r="H112" i="17"/>
  <c r="G112" i="17" s="1"/>
  <c r="D112" i="17" s="1"/>
  <c r="GL5" i="17"/>
  <c r="H5" i="17" s="1"/>
  <c r="G5" i="17" s="1"/>
  <c r="D5" i="17" s="1"/>
  <c r="H103" i="17"/>
  <c r="G103" i="17" s="1"/>
  <c r="D103" i="17" s="1"/>
  <c r="H171" i="17"/>
  <c r="G171" i="17" s="1"/>
  <c r="D171" i="17" s="1"/>
  <c r="H204" i="17"/>
  <c r="G204" i="17" s="1"/>
  <c r="D204" i="17" s="1"/>
  <c r="H92" i="17"/>
  <c r="G92" i="17" s="1"/>
  <c r="D92" i="17" s="1"/>
  <c r="H28" i="17"/>
  <c r="G28" i="17" s="1"/>
  <c r="D28" i="17" s="1"/>
  <c r="H160" i="17"/>
  <c r="G160" i="17" s="1"/>
  <c r="D160" i="17" s="1"/>
  <c r="H30" i="17"/>
  <c r="G30" i="17" s="1"/>
  <c r="D30" i="17" s="1"/>
  <c r="H120" i="17"/>
  <c r="G120" i="17" s="1"/>
  <c r="D120" i="17" s="1"/>
  <c r="H16" i="17"/>
  <c r="G16" i="17" s="1"/>
  <c r="D16" i="17" s="1"/>
  <c r="H86" i="17"/>
  <c r="G86" i="17" s="1"/>
  <c r="D86" i="17" s="1"/>
  <c r="H27" i="17"/>
  <c r="G27" i="17" s="1"/>
  <c r="D27" i="17" s="1"/>
  <c r="H59" i="17"/>
  <c r="G59" i="17" s="1"/>
  <c r="D59" i="17" s="1"/>
  <c r="H17" i="17"/>
  <c r="G17" i="17" s="1"/>
  <c r="D17" i="17" s="1"/>
  <c r="H36" i="17"/>
  <c r="G36" i="17" s="1"/>
  <c r="D36" i="17" s="1"/>
  <c r="H168" i="17"/>
  <c r="G168" i="17" s="1"/>
  <c r="D168" i="17" s="1"/>
  <c r="H179" i="17"/>
  <c r="G179" i="17" s="1"/>
  <c r="D179" i="17" s="1"/>
  <c r="H104" i="17"/>
  <c r="G104" i="17" s="1"/>
  <c r="D104" i="17" s="1"/>
  <c r="H152" i="17"/>
  <c r="G152" i="17" s="1"/>
  <c r="D152" i="17" s="1"/>
  <c r="H25" i="17"/>
  <c r="G25" i="17" s="1"/>
  <c r="D25" i="17" s="1"/>
  <c r="H139" i="17"/>
  <c r="G139" i="17" s="1"/>
  <c r="D139" i="17" s="1"/>
  <c r="H11" i="17"/>
  <c r="G11" i="17" s="1"/>
  <c r="D11" i="17" s="1"/>
  <c r="H40" i="17"/>
  <c r="G40" i="17" s="1"/>
  <c r="D40" i="17" s="1"/>
  <c r="H9" i="17"/>
  <c r="G9" i="17" s="1"/>
  <c r="D9" i="17" s="1"/>
  <c r="H6" i="17"/>
  <c r="G6" i="17" s="1"/>
  <c r="D6" i="17" s="1"/>
  <c r="H109" i="17"/>
  <c r="G109" i="17" s="1"/>
  <c r="D109" i="17" s="1"/>
  <c r="H85" i="17"/>
  <c r="G85" i="17" s="1"/>
  <c r="D85" i="17" s="1"/>
  <c r="H169" i="17"/>
  <c r="G169" i="17" s="1"/>
  <c r="D169" i="17" s="1"/>
  <c r="H181" i="17"/>
  <c r="G181" i="17" s="1"/>
  <c r="D181" i="17" s="1"/>
  <c r="H18" i="17"/>
  <c r="G18" i="17" s="1"/>
  <c r="D18" i="17" s="1"/>
  <c r="H49" i="17"/>
  <c r="G49" i="17" s="1"/>
  <c r="D49" i="17" s="1"/>
  <c r="H38" i="17"/>
  <c r="G38" i="17" s="1"/>
  <c r="D38" i="17" s="1"/>
  <c r="H113" i="17"/>
  <c r="G113" i="17" s="1"/>
  <c r="D113" i="17" s="1"/>
  <c r="H42" i="17"/>
  <c r="G42" i="17" s="1"/>
  <c r="D42" i="17" s="1"/>
  <c r="H75" i="17"/>
  <c r="G75" i="17" s="1"/>
  <c r="D75" i="17" s="1"/>
  <c r="H118" i="17"/>
  <c r="G118" i="17" s="1"/>
  <c r="D118" i="17" s="1"/>
  <c r="H72" i="17"/>
  <c r="G72" i="17" s="1"/>
  <c r="D72" i="17" s="1"/>
  <c r="H54" i="17"/>
  <c r="G54" i="17" s="1"/>
  <c r="D54" i="17" s="1"/>
  <c r="H39" i="17"/>
  <c r="G39" i="17" s="1"/>
  <c r="D39" i="17" s="1"/>
  <c r="H177" i="17"/>
  <c r="G177" i="17" s="1"/>
  <c r="D177" i="17" s="1"/>
  <c r="H178" i="17"/>
  <c r="G178" i="17" s="1"/>
  <c r="D178" i="17" s="1"/>
  <c r="H37" i="17"/>
  <c r="G37" i="17" s="1"/>
  <c r="D37" i="17" s="1"/>
  <c r="H15" i="17"/>
  <c r="G15" i="17" s="1"/>
  <c r="D15" i="17" s="1"/>
  <c r="H150" i="17"/>
  <c r="G150" i="17" s="1"/>
  <c r="D150" i="17" s="1"/>
  <c r="H83" i="17"/>
  <c r="G83" i="17" s="1"/>
  <c r="D83" i="17" s="1"/>
  <c r="H156" i="17"/>
  <c r="G156" i="17" s="1"/>
  <c r="D156" i="17" s="1"/>
  <c r="H102" i="17"/>
  <c r="G102" i="17" s="1"/>
  <c r="D102" i="17" s="1"/>
  <c r="H145" i="17"/>
  <c r="G145" i="17" s="1"/>
  <c r="D145" i="17" s="1"/>
  <c r="H24" i="17"/>
  <c r="G24" i="17" s="1"/>
  <c r="D24" i="17" s="1"/>
  <c r="H43" i="17"/>
  <c r="G43" i="17" s="1"/>
  <c r="D43" i="17" s="1"/>
  <c r="H111" i="17"/>
  <c r="G111" i="17" s="1"/>
  <c r="D111" i="17" s="1"/>
  <c r="H166" i="17"/>
  <c r="G166" i="17" s="1"/>
  <c r="D166" i="17" s="1"/>
  <c r="XJ189" i="17" a="1"/>
  <c r="XJ189" i="17" s="1"/>
  <c r="XM189" i="17" s="1" a="1"/>
  <c r="XM189" i="17" s="1"/>
  <c r="XN189" i="17" s="1" a="1"/>
  <c r="XN189" i="17" s="1"/>
  <c r="XP190" i="17" a="1"/>
  <c r="XP190" i="17" s="1"/>
  <c r="XU190" i="17" s="1" a="1"/>
  <c r="XU190" i="17" s="1"/>
  <c r="XP194" i="17" a="1"/>
  <c r="XP194" i="17" s="1"/>
  <c r="XU194" i="17" s="1" a="1"/>
  <c r="XU194" i="17" s="1"/>
  <c r="XJ196" i="17" a="1"/>
  <c r="XJ196" i="17" s="1"/>
  <c r="XM196" i="17" s="1" a="1"/>
  <c r="XM196" i="17" s="1"/>
  <c r="XN196" i="17" s="1" a="1"/>
  <c r="XN196" i="17" s="1"/>
  <c r="XJ199" i="17" a="1"/>
  <c r="XJ199" i="17" s="1"/>
  <c r="XM199" i="17" s="1" a="1"/>
  <c r="XM199" i="17" s="1"/>
  <c r="XN199" i="17" s="1" a="1"/>
  <c r="XN199" i="17" s="1"/>
  <c r="XX200" i="17" a="1"/>
  <c r="XX200" i="17" s="1"/>
  <c r="YH200" i="17" s="1" a="1"/>
  <c r="YH200" i="17" s="1"/>
  <c r="YI200" i="17" s="1" a="1"/>
  <c r="YI200" i="17" s="1"/>
  <c r="L194" i="17"/>
  <c r="K194" i="17" s="1"/>
  <c r="C194" i="17" s="1"/>
  <c r="L196" i="17"/>
  <c r="K196" i="17" s="1"/>
  <c r="C196" i="17" s="1"/>
  <c r="L203" i="17"/>
  <c r="K203" i="17" s="1"/>
  <c r="C203" i="17" s="1"/>
  <c r="L205" i="17"/>
  <c r="K205" i="17" s="1"/>
  <c r="C205" i="17" s="1"/>
  <c r="XJ201" i="17" a="1"/>
  <c r="XJ201" i="17" s="1"/>
  <c r="XM201" i="17" s="1" a="1"/>
  <c r="XM201" i="17" s="1"/>
  <c r="XN201" i="17" s="1" a="1"/>
  <c r="XN201" i="17" s="1"/>
  <c r="L189" i="17"/>
  <c r="K189" i="17" s="1"/>
  <c r="C189" i="17" s="1"/>
  <c r="L192" i="17"/>
  <c r="K192" i="17" s="1"/>
  <c r="C192" i="17" s="1"/>
  <c r="L201" i="17"/>
  <c r="K201" i="17" s="1"/>
  <c r="C201" i="17" s="1"/>
  <c r="XX203" i="17" a="1"/>
  <c r="XX203" i="17" s="1"/>
  <c r="YH203" i="17" s="1" a="1"/>
  <c r="YH203" i="17" s="1"/>
  <c r="YI203" i="17" s="1" a="1"/>
  <c r="YI203" i="17" s="1"/>
  <c r="XP195" i="17" a="1"/>
  <c r="XP195" i="17" s="1"/>
  <c r="XU195" i="17" s="1" a="1"/>
  <c r="XU195" i="17" s="1"/>
  <c r="XP205" i="17" a="1"/>
  <c r="XP205" i="17" s="1"/>
  <c r="XU205" i="17" s="1" a="1"/>
  <c r="XU205" i="17" s="1"/>
  <c r="XP200" i="17" a="1"/>
  <c r="XP200" i="17" s="1"/>
  <c r="XU200" i="17" s="1" a="1"/>
  <c r="XU200" i="17" s="1"/>
  <c r="XP204" i="17" a="1"/>
  <c r="XP204" i="17" s="1"/>
  <c r="XU204" i="17" s="1" a="1"/>
  <c r="XU204" i="17" s="1"/>
  <c r="XP189" i="17" a="1"/>
  <c r="XP189" i="17" s="1"/>
  <c r="XU189" i="17" s="1" a="1"/>
  <c r="XU189" i="17" s="1"/>
  <c r="XX190" i="17" a="1"/>
  <c r="XX190" i="17" s="1"/>
  <c r="YH190" i="17" s="1" a="1"/>
  <c r="YH190" i="17" s="1"/>
  <c r="YI190" i="17" s="1" a="1"/>
  <c r="YI190" i="17" s="1"/>
  <c r="XP192" i="17" a="1"/>
  <c r="XP192" i="17" s="1"/>
  <c r="XU192" i="17" s="1" a="1"/>
  <c r="XU192" i="17" s="1"/>
  <c r="XX194" i="17" a="1"/>
  <c r="XX194" i="17" s="1"/>
  <c r="YH194" i="17" s="1" a="1"/>
  <c r="YH194" i="17" s="1"/>
  <c r="YI194" i="17" s="1" a="1"/>
  <c r="YI194" i="17" s="1"/>
  <c r="XP196" i="17" a="1"/>
  <c r="XP196" i="17" s="1"/>
  <c r="XU196" i="17" s="1" a="1"/>
  <c r="XU196" i="17" s="1"/>
  <c r="XX197" i="17" a="1"/>
  <c r="XX197" i="17" s="1"/>
  <c r="YH197" i="17" s="1" a="1"/>
  <c r="YH197" i="17" s="1"/>
  <c r="YI197" i="17" s="1" a="1"/>
  <c r="YI197" i="17" s="1"/>
  <c r="XJ206" i="17" a="1"/>
  <c r="XJ206" i="17" s="1"/>
  <c r="XM206" i="17" s="1" a="1"/>
  <c r="XM206" i="17" s="1"/>
  <c r="XN206" i="17" s="1" a="1"/>
  <c r="XN206" i="17" s="1"/>
  <c r="XJ205" i="17" a="1"/>
  <c r="XJ205" i="17" s="1"/>
  <c r="XM205" i="17" s="1" a="1"/>
  <c r="XM205" i="17" s="1"/>
  <c r="XN205" i="17" s="1" a="1"/>
  <c r="XN205" i="17" s="1"/>
  <c r="L195" i="17"/>
  <c r="K195" i="17" s="1"/>
  <c r="C195" i="17" s="1"/>
  <c r="L197" i="17"/>
  <c r="K197" i="17" s="1"/>
  <c r="C197" i="17" s="1"/>
  <c r="L202" i="17"/>
  <c r="K202" i="17" s="1"/>
  <c r="C202" i="17" s="1"/>
  <c r="L204" i="17"/>
  <c r="K204" i="17" s="1"/>
  <c r="C204" i="17" s="1"/>
  <c r="XP193" i="17" a="1"/>
  <c r="XP193" i="17" s="1"/>
  <c r="XU193" i="17" s="1" a="1"/>
  <c r="XU193" i="17" s="1"/>
  <c r="XJ200" i="17" a="1"/>
  <c r="XJ200" i="17" s="1"/>
  <c r="XM200" i="17" s="1" a="1"/>
  <c r="XM200" i="17" s="1"/>
  <c r="XN200" i="17" s="1" a="1"/>
  <c r="XN200" i="17" s="1"/>
  <c r="XJ194" i="17" a="1"/>
  <c r="XJ194" i="17" s="1"/>
  <c r="XM194" i="17" s="1" a="1"/>
  <c r="XM194" i="17" s="1"/>
  <c r="XN194" i="17" s="1" a="1"/>
  <c r="XN194" i="17" s="1"/>
  <c r="XX205" i="17" a="1"/>
  <c r="XX205" i="17" s="1"/>
  <c r="YH205" i="17" s="1" a="1"/>
  <c r="YH205" i="17" s="1"/>
  <c r="YI205" i="17" s="1" a="1"/>
  <c r="YI205" i="17" s="1"/>
  <c r="XJ191" i="17" a="1"/>
  <c r="XJ191" i="17" s="1"/>
  <c r="XM191" i="17" s="1" a="1"/>
  <c r="XM191" i="17" s="1"/>
  <c r="XN191" i="17" s="1" a="1"/>
  <c r="XN191" i="17" s="1"/>
  <c r="XX192" i="17" a="1"/>
  <c r="XX192" i="17" s="1"/>
  <c r="YH192" i="17" s="1" a="1"/>
  <c r="YH192" i="17" s="1"/>
  <c r="YI192" i="17" s="1" a="1"/>
  <c r="YI192" i="17" s="1"/>
  <c r="XP199" i="17" a="1"/>
  <c r="XP199" i="17" s="1"/>
  <c r="XU199" i="17" s="1" a="1"/>
  <c r="XU199" i="17" s="1"/>
  <c r="XJ203" i="17" a="1"/>
  <c r="XJ203" i="17" s="1"/>
  <c r="XM203" i="17" s="1" a="1"/>
  <c r="XM203" i="17" s="1"/>
  <c r="XN203" i="17" s="1" a="1"/>
  <c r="XN203" i="17" s="1"/>
  <c r="XX204" i="17" a="1"/>
  <c r="XX204" i="17" s="1"/>
  <c r="YH204" i="17" s="1" a="1"/>
  <c r="YH204" i="17" s="1"/>
  <c r="YI204" i="17" s="1" a="1"/>
  <c r="YI204" i="17" s="1"/>
  <c r="L199" i="17"/>
  <c r="K199" i="17" s="1"/>
  <c r="C199" i="17" s="1"/>
  <c r="XJ195" i="17" a="1"/>
  <c r="XJ195" i="17" s="1"/>
  <c r="XM195" i="17" s="1" a="1"/>
  <c r="XM195" i="17" s="1"/>
  <c r="XN195" i="17" s="1" a="1"/>
  <c r="XN195" i="17" s="1"/>
  <c r="XX199" i="17" a="1"/>
  <c r="XX199" i="17" s="1"/>
  <c r="YH199" i="17" s="1" a="1"/>
  <c r="YH199" i="17" s="1"/>
  <c r="YI199" i="17" s="1" a="1"/>
  <c r="YI199" i="17" s="1"/>
  <c r="XP206" i="17" a="1"/>
  <c r="XP206" i="17" s="1"/>
  <c r="XU206" i="17" s="1" a="1"/>
  <c r="XU206" i="17" s="1"/>
  <c r="L193" i="17"/>
  <c r="K193" i="17" s="1"/>
  <c r="C193" i="17" s="1"/>
  <c r="L200" i="17"/>
  <c r="K200" i="17" s="1"/>
  <c r="C200" i="17" s="1"/>
  <c r="XX198" i="17" a="1"/>
  <c r="XX198" i="17" s="1"/>
  <c r="YH198" i="17" s="1" a="1"/>
  <c r="YH198" i="17" s="1"/>
  <c r="YI198" i="17" s="1" a="1"/>
  <c r="YI198" i="17" s="1"/>
  <c r="XX189" i="17" a="1"/>
  <c r="XX189" i="17" s="1"/>
  <c r="YH189" i="17" s="1" a="1"/>
  <c r="YH189" i="17" s="1"/>
  <c r="YI189" i="17" s="1" a="1"/>
  <c r="YI189" i="17" s="1"/>
  <c r="XJ193" i="17" a="1"/>
  <c r="XJ193" i="17" s="1"/>
  <c r="XM193" i="17" s="1" a="1"/>
  <c r="XM193" i="17" s="1"/>
  <c r="XN193" i="17" s="1" a="1"/>
  <c r="XN193" i="17" s="1"/>
  <c r="XJ198" i="17" a="1"/>
  <c r="XJ198" i="17" s="1"/>
  <c r="XM198" i="17" s="1" a="1"/>
  <c r="XM198" i="17" s="1"/>
  <c r="XN198" i="17" s="1" a="1"/>
  <c r="XN198" i="17" s="1"/>
  <c r="XP201" i="17" a="1"/>
  <c r="XP201" i="17" s="1"/>
  <c r="XU201" i="17" s="1" a="1"/>
  <c r="XU201" i="17" s="1"/>
  <c r="XP203" i="17" a="1"/>
  <c r="XP203" i="17" s="1"/>
  <c r="XU203" i="17" s="1" a="1"/>
  <c r="XU203" i="17" s="1"/>
  <c r="L190" i="17"/>
  <c r="K190" i="17" s="1"/>
  <c r="C190" i="17" s="1"/>
  <c r="L206" i="17"/>
  <c r="K206" i="17" s="1"/>
  <c r="C206" i="17" s="1"/>
  <c r="XP191" i="17" a="1"/>
  <c r="XP191" i="17" s="1"/>
  <c r="XU191" i="17" s="1" a="1"/>
  <c r="XU191" i="17" s="1"/>
  <c r="XX196" i="17" a="1"/>
  <c r="XX196" i="17" s="1"/>
  <c r="YH196" i="17" s="1" a="1"/>
  <c r="YH196" i="17" s="1"/>
  <c r="YI196" i="17" s="1" a="1"/>
  <c r="YI196" i="17" s="1"/>
  <c r="XX201" i="17" a="1"/>
  <c r="XX201" i="17" s="1"/>
  <c r="YH201" i="17" s="1" a="1"/>
  <c r="YH201" i="17" s="1"/>
  <c r="YI201" i="17" s="1" a="1"/>
  <c r="YI201" i="17" s="1"/>
  <c r="XJ190" i="17" a="1"/>
  <c r="XJ190" i="17" s="1"/>
  <c r="XM190" i="17" s="1" a="1"/>
  <c r="XM190" i="17" s="1"/>
  <c r="XN190" i="17" s="1" a="1"/>
  <c r="XN190" i="17" s="1"/>
  <c r="XJ202" i="17" a="1"/>
  <c r="XJ202" i="17" s="1"/>
  <c r="XM202" i="17" s="1" a="1"/>
  <c r="XM202" i="17" s="1"/>
  <c r="XN202" i="17" s="1" a="1"/>
  <c r="XN202" i="17" s="1"/>
  <c r="XP197" i="17" a="1"/>
  <c r="XP197" i="17" s="1"/>
  <c r="XU197" i="17" s="1" a="1"/>
  <c r="XU197" i="17" s="1"/>
  <c r="L198" i="17"/>
  <c r="K198" i="17" s="1"/>
  <c r="C198" i="17" s="1"/>
  <c r="XX191" i="17" a="1"/>
  <c r="XX191" i="17" s="1"/>
  <c r="YH191" i="17" s="1" a="1"/>
  <c r="YH191" i="17" s="1"/>
  <c r="YI191" i="17" s="1" a="1"/>
  <c r="YI191" i="17" s="1"/>
  <c r="XX193" i="17" a="1"/>
  <c r="XX193" i="17" s="1"/>
  <c r="YH193" i="17" s="1" a="1"/>
  <c r="YH193" i="17" s="1"/>
  <c r="YI193" i="17" s="1" a="1"/>
  <c r="YI193" i="17" s="1"/>
  <c r="XX195" i="17" a="1"/>
  <c r="XX195" i="17" s="1"/>
  <c r="YH195" i="17" s="1" a="1"/>
  <c r="YH195" i="17" s="1"/>
  <c r="YI195" i="17" s="1" a="1"/>
  <c r="YI195" i="17" s="1"/>
  <c r="XJ197" i="17" a="1"/>
  <c r="XJ197" i="17" s="1"/>
  <c r="XM197" i="17" s="1" a="1"/>
  <c r="XM197" i="17" s="1"/>
  <c r="XN197" i="17" s="1" a="1"/>
  <c r="XN197" i="17" s="1"/>
  <c r="XP198" i="17" a="1"/>
  <c r="XP198" i="17" s="1"/>
  <c r="XU198" i="17" s="1" a="1"/>
  <c r="XU198" i="17" s="1"/>
  <c r="XP202" i="17" a="1"/>
  <c r="XP202" i="17" s="1"/>
  <c r="XU202" i="17" s="1" a="1"/>
  <c r="XU202" i="17" s="1"/>
  <c r="XJ204" i="17" a="1"/>
  <c r="XJ204" i="17" s="1"/>
  <c r="XM204" i="17" s="1" a="1"/>
  <c r="XM204" i="17" s="1"/>
  <c r="XN204" i="17" s="1" a="1"/>
  <c r="XN204" i="17" s="1"/>
  <c r="XX206" i="17" a="1"/>
  <c r="XX206" i="17" s="1"/>
  <c r="YH206" i="17" s="1" a="1"/>
  <c r="YH206" i="17" s="1"/>
  <c r="YI206" i="17" s="1" a="1"/>
  <c r="YI206" i="17" s="1"/>
  <c r="L191" i="17"/>
  <c r="K191" i="17" s="1"/>
  <c r="C191" i="17" s="1"/>
  <c r="XJ192" i="17" a="1"/>
  <c r="XJ192" i="17" s="1"/>
  <c r="XM192" i="17" s="1" a="1"/>
  <c r="XM192" i="17" s="1"/>
  <c r="XN192" i="17" s="1" a="1"/>
  <c r="XN192" i="17" s="1"/>
  <c r="XX202" i="17" a="1"/>
  <c r="XX202" i="17" s="1"/>
  <c r="YH202" i="17" s="1" a="1"/>
  <c r="YH202" i="17" s="1"/>
  <c r="YI202" i="17" s="1" a="1"/>
  <c r="YI202" i="17" s="1"/>
  <c r="J189" i="17"/>
  <c r="I189" i="17" s="1"/>
  <c r="F189" i="17" s="1"/>
  <c r="J192" i="17"/>
  <c r="I192" i="17" s="1"/>
  <c r="F192" i="17" s="1"/>
  <c r="J199" i="17"/>
  <c r="I199" i="17" s="1"/>
  <c r="F199" i="17" s="1"/>
  <c r="J201" i="17"/>
  <c r="I201" i="17" s="1"/>
  <c r="F201" i="17" s="1"/>
  <c r="J206" i="17"/>
  <c r="I206" i="17" s="1"/>
  <c r="F206" i="17" s="1"/>
  <c r="J198" i="17"/>
  <c r="I198" i="17" s="1"/>
  <c r="F198" i="17" s="1"/>
  <c r="J191" i="17"/>
  <c r="I191" i="17" s="1"/>
  <c r="F191" i="17" s="1"/>
  <c r="J190" i="17"/>
  <c r="I190" i="17" s="1"/>
  <c r="F190" i="17" s="1"/>
  <c r="J195" i="17"/>
  <c r="I195" i="17" s="1"/>
  <c r="F195" i="17" s="1"/>
  <c r="J197" i="17"/>
  <c r="I197" i="17" s="1"/>
  <c r="F197" i="17" s="1"/>
  <c r="J202" i="17"/>
  <c r="I202" i="17" s="1"/>
  <c r="F202" i="17" s="1"/>
  <c r="J193" i="17"/>
  <c r="I193" i="17" s="1"/>
  <c r="F193" i="17" s="1"/>
  <c r="J200" i="17"/>
  <c r="I200" i="17" s="1"/>
  <c r="F200" i="17" s="1"/>
  <c r="J204" i="17"/>
  <c r="I204" i="17" s="1"/>
  <c r="F204" i="17" s="1"/>
  <c r="J196" i="17"/>
  <c r="I196" i="17" s="1"/>
  <c r="F196" i="17" s="1"/>
  <c r="J194" i="17"/>
  <c r="I194" i="17" s="1"/>
  <c r="F194" i="17" s="1"/>
  <c r="J203" i="17"/>
  <c r="I203" i="17" s="1"/>
  <c r="F203" i="17" s="1"/>
  <c r="M202" i="8" s="1"/>
  <c r="J205" i="17"/>
  <c r="I205" i="17" s="1"/>
  <c r="F205" i="17" s="1"/>
  <c r="H182" i="17"/>
  <c r="G182" i="17" s="1"/>
  <c r="D182" i="17" s="1"/>
  <c r="H194" i="17"/>
  <c r="G194" i="17" s="1"/>
  <c r="D194" i="17" s="1"/>
  <c r="H189" i="17"/>
  <c r="G189" i="17" s="1"/>
  <c r="D189" i="17" s="1"/>
  <c r="H191" i="17"/>
  <c r="G191" i="17" s="1"/>
  <c r="D191" i="17" s="1"/>
  <c r="H192" i="17"/>
  <c r="G192" i="17" s="1"/>
  <c r="D192" i="17" s="1"/>
  <c r="H106" i="17"/>
  <c r="G106" i="17" s="1"/>
  <c r="D106" i="17" s="1"/>
  <c r="H82" i="17"/>
  <c r="G82" i="17" s="1"/>
  <c r="D82" i="17" s="1"/>
  <c r="H122" i="17"/>
  <c r="G122" i="17" s="1"/>
  <c r="D122" i="17" s="1"/>
  <c r="H148" i="17"/>
  <c r="G148" i="17" s="1"/>
  <c r="D148" i="17" s="1"/>
  <c r="H127" i="17"/>
  <c r="G127" i="17" s="1"/>
  <c r="D127" i="17" s="1"/>
  <c r="H70" i="17"/>
  <c r="G70" i="17" s="1"/>
  <c r="D70" i="17" s="1"/>
  <c r="H117" i="17"/>
  <c r="G117" i="17" s="1"/>
  <c r="D117" i="17" s="1"/>
  <c r="H125" i="17"/>
  <c r="G125" i="17" s="1"/>
  <c r="D125" i="17" s="1"/>
  <c r="H80" i="17"/>
  <c r="G80" i="17" s="1"/>
  <c r="D80" i="17" s="1"/>
  <c r="H53" i="17"/>
  <c r="G53" i="17" s="1"/>
  <c r="D53" i="17" s="1"/>
  <c r="H147" i="17"/>
  <c r="G147" i="17" s="1"/>
  <c r="D147" i="17" s="1"/>
  <c r="H52" i="17"/>
  <c r="G52" i="17" s="1"/>
  <c r="D52" i="17" s="1"/>
  <c r="H143" i="17"/>
  <c r="G143" i="17" s="1"/>
  <c r="D143" i="17" s="1"/>
  <c r="H165" i="17"/>
  <c r="G165" i="17" s="1"/>
  <c r="D165" i="17" s="1"/>
  <c r="H163" i="17"/>
  <c r="G163" i="17" s="1"/>
  <c r="D163" i="17" s="1"/>
  <c r="H188" i="17"/>
  <c r="G188" i="17" s="1"/>
  <c r="D188" i="17" s="1"/>
  <c r="H205" i="17"/>
  <c r="G205" i="17" s="1"/>
  <c r="D205" i="17" s="1"/>
  <c r="H201" i="17"/>
  <c r="G201" i="17" s="1"/>
  <c r="D201" i="17" s="1"/>
  <c r="H144" i="17"/>
  <c r="G144" i="17" s="1"/>
  <c r="D144" i="17" s="1"/>
  <c r="H45" i="17"/>
  <c r="G45" i="17" s="1"/>
  <c r="D45" i="17" s="1"/>
  <c r="H136" i="17"/>
  <c r="G136" i="17" s="1"/>
  <c r="D136" i="17" s="1"/>
  <c r="H155" i="17"/>
  <c r="G155" i="17" s="1"/>
  <c r="D155" i="17" s="1"/>
  <c r="H93" i="17"/>
  <c r="G93" i="17" s="1"/>
  <c r="D93" i="17" s="1"/>
  <c r="H57" i="17"/>
  <c r="G57" i="17" s="1"/>
  <c r="D57" i="17" s="1"/>
  <c r="H132" i="17"/>
  <c r="G132" i="17" s="1"/>
  <c r="D132" i="17" s="1"/>
  <c r="H8" i="17"/>
  <c r="G8" i="17" s="1"/>
  <c r="D8" i="17" s="1"/>
  <c r="H87" i="17"/>
  <c r="G87" i="17" s="1"/>
  <c r="D87" i="17" s="1"/>
  <c r="H61" i="17"/>
  <c r="G61" i="17" s="1"/>
  <c r="D61" i="17" s="1"/>
  <c r="H99" i="17"/>
  <c r="G99" i="17" s="1"/>
  <c r="D99" i="17" s="1"/>
  <c r="H13" i="17"/>
  <c r="G13" i="17" s="1"/>
  <c r="D13" i="17" s="1"/>
  <c r="H141" i="17"/>
  <c r="G141" i="17" s="1"/>
  <c r="D141" i="17" s="1"/>
  <c r="H123" i="17"/>
  <c r="G123" i="17" s="1"/>
  <c r="D123" i="17" s="1"/>
  <c r="H134" i="17"/>
  <c r="G134" i="17" s="1"/>
  <c r="D134" i="17" s="1"/>
  <c r="H60" i="17"/>
  <c r="G60" i="17" s="1"/>
  <c r="D60" i="17" s="1"/>
  <c r="H149" i="17"/>
  <c r="G149" i="17" s="1"/>
  <c r="D149" i="17" s="1"/>
  <c r="H115" i="17"/>
  <c r="G115" i="17" s="1"/>
  <c r="D115" i="17" s="1"/>
  <c r="H162" i="17"/>
  <c r="G162" i="17" s="1"/>
  <c r="D162" i="17" s="1"/>
  <c r="H73" i="17"/>
  <c r="G73" i="17" s="1"/>
  <c r="D73" i="17" s="1"/>
  <c r="H175" i="17"/>
  <c r="G175" i="17" s="1"/>
  <c r="D175" i="17" s="1"/>
  <c r="H180" i="17"/>
  <c r="G180" i="17" s="1"/>
  <c r="D180" i="17" s="1"/>
  <c r="H202" i="17"/>
  <c r="G202" i="17" s="1"/>
  <c r="D202" i="17" s="1"/>
  <c r="H193" i="17"/>
  <c r="G193" i="17" s="1"/>
  <c r="D193" i="17" s="1"/>
  <c r="H198" i="17"/>
  <c r="G198" i="17" s="1"/>
  <c r="D198" i="17" s="1"/>
  <c r="H74" i="17"/>
  <c r="G74" i="17" s="1"/>
  <c r="D74" i="17" s="1"/>
  <c r="H133" i="17"/>
  <c r="G133" i="17" s="1"/>
  <c r="D133" i="17" s="1"/>
  <c r="H65" i="17"/>
  <c r="G65" i="17" s="1"/>
  <c r="D65" i="17" s="1"/>
  <c r="H154" i="17"/>
  <c r="G154" i="17" s="1"/>
  <c r="D154" i="17" s="1"/>
  <c r="H110" i="17"/>
  <c r="G110" i="17" s="1"/>
  <c r="D110" i="17" s="1"/>
  <c r="H32" i="17"/>
  <c r="G32" i="17" s="1"/>
  <c r="D32" i="17" s="1"/>
  <c r="H69" i="17"/>
  <c r="G69" i="17" s="1"/>
  <c r="D69" i="17" s="1"/>
  <c r="H119" i="17"/>
  <c r="G119" i="17" s="1"/>
  <c r="D119" i="17" s="1"/>
  <c r="H26" i="17"/>
  <c r="G26" i="17" s="1"/>
  <c r="D26" i="17" s="1"/>
  <c r="H48" i="17"/>
  <c r="G48" i="17" s="1"/>
  <c r="D48" i="17" s="1"/>
  <c r="H129" i="17"/>
  <c r="G129" i="17" s="1"/>
  <c r="D129" i="17" s="1"/>
  <c r="H77" i="17"/>
  <c r="G77" i="17" s="1"/>
  <c r="D77" i="17" s="1"/>
  <c r="H124" i="17"/>
  <c r="G124" i="17" s="1"/>
  <c r="D124" i="17" s="1"/>
  <c r="H51" i="17"/>
  <c r="G51" i="17" s="1"/>
  <c r="D51" i="17" s="1"/>
  <c r="H95" i="17"/>
  <c r="G95" i="17" s="1"/>
  <c r="D95" i="17" s="1"/>
  <c r="H12" i="17"/>
  <c r="G12" i="17" s="1"/>
  <c r="D12" i="17" s="1"/>
  <c r="H81" i="17"/>
  <c r="G81" i="17" s="1"/>
  <c r="D81" i="17" s="1"/>
  <c r="H55" i="17"/>
  <c r="G55" i="17" s="1"/>
  <c r="D55" i="17" s="1"/>
  <c r="H130" i="17"/>
  <c r="G130" i="17" s="1"/>
  <c r="D130" i="17" s="1"/>
  <c r="H7" i="17"/>
  <c r="G7" i="17" s="1"/>
  <c r="D7" i="17" s="1"/>
  <c r="H176" i="17"/>
  <c r="G176" i="17" s="1"/>
  <c r="D176" i="17" s="1"/>
  <c r="H167" i="17"/>
  <c r="G167" i="17" s="1"/>
  <c r="D167" i="17" s="1"/>
  <c r="H186" i="17"/>
  <c r="G186" i="17" s="1"/>
  <c r="D186" i="17" s="1"/>
  <c r="H199" i="17"/>
  <c r="G199" i="17" s="1"/>
  <c r="D199" i="17" s="1"/>
  <c r="H206" i="17"/>
  <c r="G206" i="17" s="1"/>
  <c r="D206" i="17" s="1"/>
  <c r="H195" i="17"/>
  <c r="G195" i="17" s="1"/>
  <c r="D195" i="17" s="1"/>
  <c r="H19" i="17"/>
  <c r="G19" i="17" s="1"/>
  <c r="D19" i="17" s="1"/>
  <c r="H116" i="17"/>
  <c r="G116" i="17" s="1"/>
  <c r="D116" i="17" s="1"/>
  <c r="H33" i="17"/>
  <c r="G33" i="17" s="1"/>
  <c r="D33" i="17" s="1"/>
  <c r="H146" i="17"/>
  <c r="G146" i="17" s="1"/>
  <c r="D146" i="17" s="1"/>
  <c r="H29" i="17"/>
  <c r="G29" i="17" s="1"/>
  <c r="D29" i="17" s="1"/>
  <c r="H101" i="17"/>
  <c r="G101" i="17" s="1"/>
  <c r="D101" i="17" s="1"/>
  <c r="H10" i="17"/>
  <c r="G10" i="17" s="1"/>
  <c r="D10" i="17" s="1"/>
  <c r="H137" i="17"/>
  <c r="G137" i="17" s="1"/>
  <c r="D137" i="17" s="1"/>
  <c r="H140" i="17"/>
  <c r="G140" i="17" s="1"/>
  <c r="D140" i="17" s="1"/>
  <c r="H131" i="17"/>
  <c r="G131" i="17" s="1"/>
  <c r="D131" i="17" s="1"/>
  <c r="H58" i="17"/>
  <c r="G58" i="17" s="1"/>
  <c r="D58" i="17" s="1"/>
  <c r="H90" i="17"/>
  <c r="G90" i="17" s="1"/>
  <c r="D90" i="17" s="1"/>
  <c r="H68" i="17"/>
  <c r="G68" i="17" s="1"/>
  <c r="D68" i="17" s="1"/>
  <c r="H157" i="17"/>
  <c r="G157" i="17" s="1"/>
  <c r="D157" i="17" s="1"/>
  <c r="H71" i="17"/>
  <c r="G71" i="17" s="1"/>
  <c r="D71" i="17" s="1"/>
  <c r="H138" i="17"/>
  <c r="G138" i="17" s="1"/>
  <c r="D138" i="17" s="1"/>
  <c r="H20" i="17"/>
  <c r="G20" i="17" s="1"/>
  <c r="D20" i="17" s="1"/>
  <c r="H161" i="17"/>
  <c r="G161" i="17" s="1"/>
  <c r="D161" i="17" s="1"/>
  <c r="H44" i="17"/>
  <c r="G44" i="17" s="1"/>
  <c r="D44" i="17" s="1"/>
  <c r="H121" i="17"/>
  <c r="G121" i="17" s="1"/>
  <c r="D121" i="17" s="1"/>
  <c r="H170" i="17"/>
  <c r="G170" i="17" s="1"/>
  <c r="D170" i="17" s="1"/>
  <c r="H172" i="17"/>
  <c r="G172" i="17" s="1"/>
  <c r="D172" i="17" s="1"/>
  <c r="H183" i="17"/>
  <c r="G183" i="17" s="1"/>
  <c r="D183" i="17" s="1"/>
  <c r="H196" i="17"/>
  <c r="G196" i="17" s="1"/>
  <c r="D196" i="17" s="1"/>
  <c r="H200" i="17"/>
  <c r="G200" i="17" s="1"/>
  <c r="D200" i="17" s="1"/>
  <c r="H174" i="17"/>
  <c r="G174" i="17" s="1"/>
  <c r="D174" i="17" s="1"/>
  <c r="H164" i="17"/>
  <c r="G164" i="17" s="1"/>
  <c r="D164" i="17" s="1"/>
  <c r="H187" i="17"/>
  <c r="G187" i="17" s="1"/>
  <c r="D187" i="17" s="1"/>
  <c r="H185" i="17"/>
  <c r="G185" i="17" s="1"/>
  <c r="D185" i="17" s="1"/>
  <c r="H190" i="17"/>
  <c r="G190" i="17" s="1"/>
  <c r="D190" i="17" s="1"/>
  <c r="NN191" i="19" a="1"/>
  <c r="NN191" i="19" s="1"/>
  <c r="NS191" i="19" s="1" a="1"/>
  <c r="NS191" i="19" s="1"/>
  <c r="NH193" i="19" a="1"/>
  <c r="NH193" i="19" s="1"/>
  <c r="NK193" i="19" s="1" a="1"/>
  <c r="NK193" i="19" s="1"/>
  <c r="NL193" i="19" s="1" a="1"/>
  <c r="NL193" i="19" s="1"/>
  <c r="NN196" i="19" a="1"/>
  <c r="NN196" i="19" s="1"/>
  <c r="NS196" i="19" s="1" a="1"/>
  <c r="NS196" i="19" s="1"/>
  <c r="NH198" i="19" a="1"/>
  <c r="NH198" i="19" s="1"/>
  <c r="NK198" i="19" s="1" a="1"/>
  <c r="NK198" i="19" s="1"/>
  <c r="NL198" i="19" s="1" a="1"/>
  <c r="NL198" i="19" s="1"/>
  <c r="NH200" i="19" a="1"/>
  <c r="NH200" i="19" s="1"/>
  <c r="NK200" i="19" s="1" a="1"/>
  <c r="NK200" i="19" s="1"/>
  <c r="NL200" i="19" s="1" a="1"/>
  <c r="NL200" i="19" s="1"/>
  <c r="NV201" i="19" a="1"/>
  <c r="NV201" i="19" s="1"/>
  <c r="OF201" i="19" s="1" a="1"/>
  <c r="OF201" i="19" s="1"/>
  <c r="OG201" i="19" s="1" a="1"/>
  <c r="OG201" i="19" s="1"/>
  <c r="NN203" i="19" a="1"/>
  <c r="NN203" i="19" s="1"/>
  <c r="NS203" i="19" s="1" a="1"/>
  <c r="NS203" i="19" s="1"/>
  <c r="NV204" i="19" a="1"/>
  <c r="NV204" i="19" s="1"/>
  <c r="OF204" i="19" s="1" a="1"/>
  <c r="OF204" i="19" s="1"/>
  <c r="OG204" i="19" s="1" a="1"/>
  <c r="OG204" i="19" s="1"/>
  <c r="NN206" i="19" a="1"/>
  <c r="NN206" i="19" s="1"/>
  <c r="NS206" i="19" s="1" a="1"/>
  <c r="NS206" i="19" s="1"/>
  <c r="NH189" i="19" a="1"/>
  <c r="NH189" i="19" s="1"/>
  <c r="NK189" i="19" s="1" a="1"/>
  <c r="NK189" i="19" s="1"/>
  <c r="NL189" i="19" s="1" a="1"/>
  <c r="NL189" i="19" s="1"/>
  <c r="NH201" i="19" a="1"/>
  <c r="NH201" i="19" s="1"/>
  <c r="NK201" i="19" s="1" a="1"/>
  <c r="NK201" i="19" s="1"/>
  <c r="NL201" i="19" s="1" a="1"/>
  <c r="NL201" i="19" s="1"/>
  <c r="NV189" i="19" a="1"/>
  <c r="NV189" i="19" s="1"/>
  <c r="OF189" i="19" s="1" a="1"/>
  <c r="OF189" i="19" s="1"/>
  <c r="OG189" i="19" s="1" a="1"/>
  <c r="OG189" i="19" s="1"/>
  <c r="NV191" i="19" a="1"/>
  <c r="NV191" i="19" s="1"/>
  <c r="OF191" i="19" s="1" a="1"/>
  <c r="OF191" i="19" s="1"/>
  <c r="OG191" i="19" s="1" a="1"/>
  <c r="OG191" i="19" s="1"/>
  <c r="NN193" i="19" a="1"/>
  <c r="NN193" i="19" s="1"/>
  <c r="NS193" i="19" s="1" a="1"/>
  <c r="NS193" i="19" s="1"/>
  <c r="NH195" i="19" a="1"/>
  <c r="NH195" i="19" s="1"/>
  <c r="NK195" i="19" s="1" a="1"/>
  <c r="NK195" i="19" s="1"/>
  <c r="NL195" i="19" s="1" a="1"/>
  <c r="NL195" i="19" s="1"/>
  <c r="NH202" i="19" a="1"/>
  <c r="NH202" i="19" s="1"/>
  <c r="NK202" i="19" s="1" a="1"/>
  <c r="NK202" i="19" s="1"/>
  <c r="NL202" i="19" s="1" a="1"/>
  <c r="NL202" i="19" s="1"/>
  <c r="NV203" i="19" a="1"/>
  <c r="NV203" i="19" s="1"/>
  <c r="OF203" i="19" s="1" a="1"/>
  <c r="OF203" i="19" s="1"/>
  <c r="OG203" i="19" s="1" a="1"/>
  <c r="OG203" i="19" s="1"/>
  <c r="NV206" i="19" a="1"/>
  <c r="NV206" i="19" s="1"/>
  <c r="OF206" i="19" s="1" a="1"/>
  <c r="OF206" i="19" s="1"/>
  <c r="OG206" i="19" s="1" a="1"/>
  <c r="OG206" i="19" s="1"/>
  <c r="I192" i="19"/>
  <c r="H192" i="19" s="1"/>
  <c r="C192" i="19" s="1"/>
  <c r="B192" i="19" s="1"/>
  <c r="I196" i="19"/>
  <c r="H196" i="19" s="1"/>
  <c r="C196" i="19" s="1"/>
  <c r="B196" i="19" s="1"/>
  <c r="I200" i="19"/>
  <c r="H200" i="19" s="1"/>
  <c r="C200" i="19" s="1"/>
  <c r="B200" i="19" s="1"/>
  <c r="I204" i="19"/>
  <c r="H204" i="19" s="1"/>
  <c r="C204" i="19" s="1"/>
  <c r="B204" i="19" s="1"/>
  <c r="NV197" i="19" a="1"/>
  <c r="NV197" i="19" s="1"/>
  <c r="OF197" i="19" s="1" a="1"/>
  <c r="OF197" i="19" s="1"/>
  <c r="OG197" i="19" s="1" a="1"/>
  <c r="OG197" i="19" s="1"/>
  <c r="NH190" i="19" a="1"/>
  <c r="NH190" i="19" s="1"/>
  <c r="NK190" i="19" s="1" a="1"/>
  <c r="NK190" i="19" s="1"/>
  <c r="NL190" i="19" s="1" a="1"/>
  <c r="NL190" i="19" s="1"/>
  <c r="NH192" i="19" a="1"/>
  <c r="NH192" i="19" s="1"/>
  <c r="NK192" i="19" s="1" a="1"/>
  <c r="NK192" i="19" s="1"/>
  <c r="NL192" i="19" s="1" a="1"/>
  <c r="NL192" i="19" s="1"/>
  <c r="NV193" i="19" a="1"/>
  <c r="NV193" i="19" s="1"/>
  <c r="OF193" i="19" s="1" a="1"/>
  <c r="OF193" i="19" s="1"/>
  <c r="OG193" i="19" s="1" a="1"/>
  <c r="OG193" i="19" s="1"/>
  <c r="NN195" i="19" a="1"/>
  <c r="NN195" i="19" s="1"/>
  <c r="NS195" i="19" s="1" a="1"/>
  <c r="NS195" i="19" s="1"/>
  <c r="NV196" i="19" a="1"/>
  <c r="NV196" i="19" s="1"/>
  <c r="OF196" i="19" s="1" a="1"/>
  <c r="OF196" i="19" s="1"/>
  <c r="OG196" i="19" s="1" a="1"/>
  <c r="OG196" i="19" s="1"/>
  <c r="NN198" i="19" a="1"/>
  <c r="NN198" i="19" s="1"/>
  <c r="NS198" i="19" s="1" a="1"/>
  <c r="NS198" i="19" s="1"/>
  <c r="NN200" i="19" a="1"/>
  <c r="NN200" i="19" s="1"/>
  <c r="NS200" i="19" s="1" a="1"/>
  <c r="NS200" i="19" s="1"/>
  <c r="NN202" i="19" a="1"/>
  <c r="NN202" i="19" s="1"/>
  <c r="NS202" i="19" s="1" a="1"/>
  <c r="NS202" i="19" s="1"/>
  <c r="NH205" i="19" a="1"/>
  <c r="NH205" i="19" s="1"/>
  <c r="NK205" i="19" s="1" a="1"/>
  <c r="NK205" i="19" s="1"/>
  <c r="NL205" i="19" s="1" a="1"/>
  <c r="NL205" i="19" s="1"/>
  <c r="NV199" i="19" a="1"/>
  <c r="NV199" i="19" s="1"/>
  <c r="OF199" i="19" s="1" a="1"/>
  <c r="OF199" i="19" s="1"/>
  <c r="OG199" i="19" s="1" a="1"/>
  <c r="OG199" i="19" s="1"/>
  <c r="NH194" i="19" a="1"/>
  <c r="NH194" i="19" s="1"/>
  <c r="NK194" i="19" s="1" a="1"/>
  <c r="NK194" i="19" s="1"/>
  <c r="NL194" i="19" s="1" a="1"/>
  <c r="NL194" i="19" s="1"/>
  <c r="NV195" i="19" a="1"/>
  <c r="NV195" i="19" s="1"/>
  <c r="OF195" i="19" s="1" a="1"/>
  <c r="OF195" i="19" s="1"/>
  <c r="OG195" i="19" s="1" a="1"/>
  <c r="OG195" i="19" s="1"/>
  <c r="NV198" i="19" a="1"/>
  <c r="NV198" i="19" s="1"/>
  <c r="OF198" i="19" s="1" a="1"/>
  <c r="OF198" i="19" s="1"/>
  <c r="OG198" i="19" s="1" a="1"/>
  <c r="OG198" i="19" s="1"/>
  <c r="NV200" i="19" a="1"/>
  <c r="NV200" i="19" s="1"/>
  <c r="OF200" i="19" s="1" a="1"/>
  <c r="OF200" i="19" s="1"/>
  <c r="OG200" i="19" s="1" a="1"/>
  <c r="OG200" i="19" s="1"/>
  <c r="NH204" i="19" a="1"/>
  <c r="NH204" i="19" s="1"/>
  <c r="NK204" i="19" s="1" a="1"/>
  <c r="NK204" i="19" s="1"/>
  <c r="NL204" i="19" s="1" a="1"/>
  <c r="NL204" i="19" s="1"/>
  <c r="NN205" i="19" a="1"/>
  <c r="NN205" i="19" s="1"/>
  <c r="NS205" i="19" s="1" a="1"/>
  <c r="NS205" i="19" s="1"/>
  <c r="I189" i="19"/>
  <c r="H189" i="19" s="1"/>
  <c r="C189" i="19" s="1"/>
  <c r="B189" i="19" s="1"/>
  <c r="I193" i="19"/>
  <c r="H193" i="19" s="1"/>
  <c r="C193" i="19" s="1"/>
  <c r="B193" i="19" s="1"/>
  <c r="I197" i="19"/>
  <c r="H197" i="19" s="1"/>
  <c r="C197" i="19" s="1"/>
  <c r="B197" i="19" s="1"/>
  <c r="I201" i="19"/>
  <c r="H201" i="19" s="1"/>
  <c r="C201" i="19" s="1"/>
  <c r="B201" i="19" s="1"/>
  <c r="I205" i="19"/>
  <c r="H205" i="19" s="1"/>
  <c r="C205" i="19" s="1"/>
  <c r="B205" i="19" s="1"/>
  <c r="NV190" i="19" a="1"/>
  <c r="NV190" i="19" s="1"/>
  <c r="OF190" i="19" s="1" a="1"/>
  <c r="OF190" i="19" s="1"/>
  <c r="OG190" i="19" s="1" a="1"/>
  <c r="OG190" i="19" s="1"/>
  <c r="NH196" i="19" a="1"/>
  <c r="NH196" i="19" s="1"/>
  <c r="NK196" i="19" s="1" a="1"/>
  <c r="NK196" i="19" s="1"/>
  <c r="NL196" i="19" s="1" a="1"/>
  <c r="NL196" i="19" s="1"/>
  <c r="NN197" i="19" a="1"/>
  <c r="NN197" i="19" s="1"/>
  <c r="NS197" i="19" s="1" a="1"/>
  <c r="NS197" i="19" s="1"/>
  <c r="NV202" i="19" a="1"/>
  <c r="NV202" i="19" s="1"/>
  <c r="OF202" i="19" s="1" a="1"/>
  <c r="OF202" i="19" s="1"/>
  <c r="OG202" i="19" s="1" a="1"/>
  <c r="OG202" i="19" s="1"/>
  <c r="I190" i="19"/>
  <c r="H190" i="19" s="1"/>
  <c r="C190" i="19" s="1"/>
  <c r="B190" i="19" s="1"/>
  <c r="I194" i="19"/>
  <c r="H194" i="19" s="1"/>
  <c r="C194" i="19" s="1"/>
  <c r="B194" i="19" s="1"/>
  <c r="I198" i="19"/>
  <c r="H198" i="19" s="1"/>
  <c r="C198" i="19" s="1"/>
  <c r="B198" i="19" s="1"/>
  <c r="I202" i="19"/>
  <c r="H202" i="19" s="1"/>
  <c r="C202" i="19" s="1"/>
  <c r="B202" i="19" s="1"/>
  <c r="G201" i="8" s="1"/>
  <c r="I206" i="19"/>
  <c r="H206" i="19" s="1"/>
  <c r="C206" i="19" s="1"/>
  <c r="B206" i="19" s="1"/>
  <c r="NN201" i="19" a="1"/>
  <c r="NN201" i="19" s="1"/>
  <c r="NS201" i="19" s="1" a="1"/>
  <c r="NS201" i="19" s="1"/>
  <c r="I191" i="19"/>
  <c r="H191" i="19" s="1"/>
  <c r="C191" i="19" s="1"/>
  <c r="B191" i="19" s="1"/>
  <c r="I195" i="19"/>
  <c r="H195" i="19" s="1"/>
  <c r="C195" i="19" s="1"/>
  <c r="B195" i="19" s="1"/>
  <c r="I203" i="19"/>
  <c r="H203" i="19" s="1"/>
  <c r="C203" i="19" s="1"/>
  <c r="B203" i="19" s="1"/>
  <c r="NN190" i="19" a="1"/>
  <c r="NN190" i="19" s="1"/>
  <c r="NS190" i="19" s="1" a="1"/>
  <c r="NS190" i="19" s="1"/>
  <c r="NN192" i="19" a="1"/>
  <c r="NN192" i="19" s="1"/>
  <c r="NS192" i="19" s="1" a="1"/>
  <c r="NS192" i="19" s="1"/>
  <c r="NN194" i="19" a="1"/>
  <c r="NN194" i="19" s="1"/>
  <c r="NS194" i="19" s="1" a="1"/>
  <c r="NS194" i="19" s="1"/>
  <c r="NH197" i="19" a="1"/>
  <c r="NH197" i="19" s="1"/>
  <c r="NK197" i="19" s="1" a="1"/>
  <c r="NK197" i="19" s="1"/>
  <c r="NL197" i="19" s="1" a="1"/>
  <c r="NL197" i="19" s="1"/>
  <c r="NH199" i="19" a="1"/>
  <c r="NH199" i="19" s="1"/>
  <c r="NK199" i="19" s="1" a="1"/>
  <c r="NK199" i="19" s="1"/>
  <c r="NL199" i="19" s="1" a="1"/>
  <c r="NL199" i="19" s="1"/>
  <c r="NV192" i="19" a="1"/>
  <c r="NV192" i="19" s="1"/>
  <c r="OF192" i="19" s="1" a="1"/>
  <c r="OF192" i="19" s="1"/>
  <c r="OG192" i="19" s="1" a="1"/>
  <c r="OG192" i="19" s="1"/>
  <c r="NV205" i="19" a="1"/>
  <c r="NV205" i="19" s="1"/>
  <c r="OF205" i="19" s="1" a="1"/>
  <c r="OF205" i="19" s="1"/>
  <c r="OG205" i="19" s="1" a="1"/>
  <c r="OG205" i="19" s="1"/>
  <c r="NH191" i="19" a="1"/>
  <c r="NH191" i="19" s="1"/>
  <c r="NK191" i="19" s="1" a="1"/>
  <c r="NK191" i="19" s="1"/>
  <c r="NL191" i="19" s="1" a="1"/>
  <c r="NL191" i="19" s="1"/>
  <c r="NN199" i="19" a="1"/>
  <c r="NN199" i="19" s="1"/>
  <c r="NS199" i="19" s="1" a="1"/>
  <c r="NS199" i="19" s="1"/>
  <c r="NN204" i="19" a="1"/>
  <c r="NN204" i="19" s="1"/>
  <c r="NS204" i="19" s="1" a="1"/>
  <c r="NS204" i="19" s="1"/>
  <c r="NH206" i="19" a="1"/>
  <c r="NH206" i="19" s="1"/>
  <c r="NK206" i="19" s="1" a="1"/>
  <c r="NK206" i="19" s="1"/>
  <c r="NL206" i="19" s="1" a="1"/>
  <c r="NL206" i="19" s="1"/>
  <c r="NN189" i="19" a="1"/>
  <c r="NN189" i="19" s="1"/>
  <c r="NS189" i="19" s="1" a="1"/>
  <c r="NS189" i="19" s="1"/>
  <c r="NV194" i="19" a="1"/>
  <c r="NV194" i="19" s="1"/>
  <c r="OF194" i="19" s="1" a="1"/>
  <c r="OF194" i="19" s="1"/>
  <c r="OG194" i="19" s="1" a="1"/>
  <c r="OG194" i="19" s="1"/>
  <c r="NH203" i="19" a="1"/>
  <c r="NH203" i="19" s="1"/>
  <c r="NK203" i="19" s="1" a="1"/>
  <c r="NK203" i="19" s="1"/>
  <c r="NL203" i="19" s="1" a="1"/>
  <c r="NL203" i="19" s="1"/>
  <c r="I199" i="19"/>
  <c r="H199" i="19" s="1"/>
  <c r="C199" i="19" s="1"/>
  <c r="B199" i="19" s="1"/>
  <c r="NH11" i="19" a="1"/>
  <c r="NH11" i="19" s="1"/>
  <c r="NK11" i="19" s="1" a="1"/>
  <c r="NK11" i="19" s="1"/>
  <c r="NL11" i="19" s="1" a="1"/>
  <c r="NL11" i="19" s="1"/>
  <c r="NH19" i="19" a="1"/>
  <c r="NH19" i="19" s="1"/>
  <c r="NK19" i="19" s="1" a="1"/>
  <c r="NK19" i="19" s="1"/>
  <c r="NL19" i="19" s="1" a="1"/>
  <c r="NL19" i="19" s="1"/>
  <c r="NH27" i="19" a="1"/>
  <c r="NH27" i="19" s="1"/>
  <c r="NK27" i="19" s="1" a="1"/>
  <c r="NK27" i="19" s="1"/>
  <c r="NL27" i="19" s="1" a="1"/>
  <c r="NL27" i="19" s="1"/>
  <c r="NH35" i="19" a="1"/>
  <c r="NH35" i="19" s="1"/>
  <c r="NK35" i="19" s="1" a="1"/>
  <c r="NK35" i="19" s="1"/>
  <c r="NL35" i="19" s="1" a="1"/>
  <c r="NL35" i="19" s="1"/>
  <c r="NH43" i="19" a="1"/>
  <c r="NH43" i="19" s="1"/>
  <c r="NK43" i="19" s="1" a="1"/>
  <c r="NK43" i="19" s="1"/>
  <c r="NL43" i="19" s="1" a="1"/>
  <c r="NL43" i="19" s="1"/>
  <c r="NH51" i="19" a="1"/>
  <c r="NH51" i="19" s="1"/>
  <c r="NK51" i="19" s="1" a="1"/>
  <c r="NK51" i="19" s="1"/>
  <c r="NL51" i="19" s="1" a="1"/>
  <c r="NL51" i="19" s="1"/>
  <c r="NH59" i="19" a="1"/>
  <c r="NH59" i="19" s="1"/>
  <c r="NK59" i="19" s="1" a="1"/>
  <c r="NK59" i="19" s="1"/>
  <c r="NL59" i="19" s="1" a="1"/>
  <c r="NL59" i="19" s="1"/>
  <c r="NH67" i="19" a="1"/>
  <c r="NH67" i="19" s="1"/>
  <c r="NK67" i="19" s="1" a="1"/>
  <c r="NK67" i="19" s="1"/>
  <c r="NL67" i="19" s="1" a="1"/>
  <c r="NL67" i="19" s="1"/>
  <c r="NH75" i="19" a="1"/>
  <c r="NH75" i="19" s="1"/>
  <c r="NK75" i="19" s="1" a="1"/>
  <c r="NK75" i="19" s="1"/>
  <c r="NL75" i="19" s="1" a="1"/>
  <c r="NL75" i="19" s="1"/>
  <c r="NH83" i="19" a="1"/>
  <c r="NH83" i="19" s="1"/>
  <c r="NK83" i="19" s="1" a="1"/>
  <c r="NK83" i="19" s="1"/>
  <c r="NL83" i="19" s="1" a="1"/>
  <c r="NL83" i="19" s="1"/>
  <c r="NH91" i="19" a="1"/>
  <c r="NH91" i="19" s="1"/>
  <c r="NK91" i="19" s="1" a="1"/>
  <c r="NK91" i="19" s="1"/>
  <c r="NL91" i="19" s="1" a="1"/>
  <c r="NL91" i="19" s="1"/>
  <c r="NH99" i="19" a="1"/>
  <c r="NH99" i="19" s="1"/>
  <c r="NK99" i="19" s="1" a="1"/>
  <c r="NK99" i="19" s="1"/>
  <c r="NL99" i="19" s="1" a="1"/>
  <c r="NL99" i="19" s="1"/>
  <c r="NH107" i="19" a="1"/>
  <c r="NH107" i="19" s="1"/>
  <c r="NK107" i="19" s="1" a="1"/>
  <c r="NK107" i="19" s="1"/>
  <c r="NL107" i="19" s="1" a="1"/>
  <c r="NL107" i="19" s="1"/>
  <c r="NH115" i="19" a="1"/>
  <c r="NH115" i="19" s="1"/>
  <c r="NK115" i="19" s="1" a="1"/>
  <c r="NK115" i="19" s="1"/>
  <c r="NL115" i="19" s="1" a="1"/>
  <c r="NL115" i="19" s="1"/>
  <c r="NH123" i="19" a="1"/>
  <c r="NH123" i="19" s="1"/>
  <c r="NK123" i="19" s="1" a="1"/>
  <c r="NK123" i="19" s="1"/>
  <c r="NL123" i="19" s="1" a="1"/>
  <c r="NL123" i="19" s="1"/>
  <c r="NH131" i="19" a="1"/>
  <c r="NH131" i="19" s="1"/>
  <c r="NK131" i="19" s="1" a="1"/>
  <c r="NK131" i="19" s="1"/>
  <c r="NL131" i="19" s="1" a="1"/>
  <c r="NL131" i="19" s="1"/>
  <c r="NH139" i="19" a="1"/>
  <c r="NH139" i="19" s="1"/>
  <c r="NK139" i="19" s="1" a="1"/>
  <c r="NK139" i="19" s="1"/>
  <c r="NL139" i="19" s="1" a="1"/>
  <c r="NL139" i="19" s="1"/>
  <c r="NH147" i="19" a="1"/>
  <c r="NH147" i="19" s="1"/>
  <c r="NK147" i="19" s="1" a="1"/>
  <c r="NK147" i="19" s="1"/>
  <c r="NL147" i="19" s="1" a="1"/>
  <c r="NL147" i="19" s="1"/>
  <c r="NH155" i="19" a="1"/>
  <c r="NH155" i="19" s="1"/>
  <c r="NK155" i="19" s="1" a="1"/>
  <c r="NK155" i="19" s="1"/>
  <c r="NL155" i="19" s="1" a="1"/>
  <c r="NL155" i="19" s="1"/>
  <c r="NH163" i="19" a="1"/>
  <c r="NH163" i="19" s="1"/>
  <c r="NK163" i="19" s="1" a="1"/>
  <c r="NK163" i="19" s="1"/>
  <c r="NL163" i="19" s="1" a="1"/>
  <c r="NL163" i="19" s="1"/>
  <c r="NH171" i="19" a="1"/>
  <c r="NH171" i="19" s="1"/>
  <c r="NK171" i="19" s="1" a="1"/>
  <c r="NK171" i="19" s="1"/>
  <c r="NL171" i="19" s="1" a="1"/>
  <c r="NL171" i="19" s="1"/>
  <c r="NH179" i="19" a="1"/>
  <c r="NH179" i="19" s="1"/>
  <c r="NK179" i="19" s="1" a="1"/>
  <c r="NK179" i="19" s="1"/>
  <c r="NL179" i="19" s="1" a="1"/>
  <c r="NL179" i="19" s="1"/>
  <c r="NH187" i="19" a="1"/>
  <c r="NH187" i="19" s="1"/>
  <c r="NK187" i="19" s="1" a="1"/>
  <c r="NK187" i="19" s="1"/>
  <c r="NL187" i="19" s="1" a="1"/>
  <c r="NL187" i="19" s="1"/>
  <c r="I187" i="19"/>
  <c r="H187" i="19" s="1"/>
  <c r="C187" i="19" s="1"/>
  <c r="B187" i="19" s="1"/>
  <c r="NH23" i="19" a="1"/>
  <c r="NH23" i="19" s="1"/>
  <c r="NK23" i="19" s="1" a="1"/>
  <c r="NK23" i="19" s="1"/>
  <c r="NL23" i="19" s="1" a="1"/>
  <c r="NL23" i="19" s="1"/>
  <c r="NH55" i="19" a="1"/>
  <c r="NH55" i="19" s="1"/>
  <c r="NK55" i="19" s="1" a="1"/>
  <c r="NK55" i="19" s="1"/>
  <c r="NL55" i="19" s="1" a="1"/>
  <c r="NL55" i="19" s="1"/>
  <c r="NH87" i="19" a="1"/>
  <c r="NH87" i="19" s="1"/>
  <c r="NK87" i="19" s="1" a="1"/>
  <c r="NK87" i="19" s="1"/>
  <c r="NL87" i="19" s="1" a="1"/>
  <c r="NL87" i="19" s="1"/>
  <c r="NH127" i="19" a="1"/>
  <c r="NH127" i="19" s="1"/>
  <c r="NK127" i="19" s="1" a="1"/>
  <c r="NK127" i="19" s="1"/>
  <c r="NL127" i="19" s="1" a="1"/>
  <c r="NL127" i="19" s="1"/>
  <c r="NH159" i="19" a="1"/>
  <c r="NH159" i="19" s="1"/>
  <c r="NK159" i="19" s="1" a="1"/>
  <c r="NK159" i="19" s="1"/>
  <c r="NL159" i="19" s="1" a="1"/>
  <c r="NL159" i="19" s="1"/>
  <c r="NH183" i="19" a="1"/>
  <c r="NH183" i="19" s="1"/>
  <c r="NK183" i="19" s="1" a="1"/>
  <c r="NK183" i="19" s="1"/>
  <c r="NL183" i="19" s="1" a="1"/>
  <c r="NL183" i="19" s="1"/>
  <c r="NH12" i="19" a="1"/>
  <c r="NH12" i="19" s="1"/>
  <c r="NK12" i="19" s="1" a="1"/>
  <c r="NK12" i="19" s="1"/>
  <c r="NL12" i="19" s="1" a="1"/>
  <c r="NL12" i="19" s="1"/>
  <c r="NH20" i="19" a="1"/>
  <c r="NH20" i="19" s="1"/>
  <c r="NK20" i="19" s="1" a="1"/>
  <c r="NK20" i="19" s="1"/>
  <c r="NL20" i="19" s="1" a="1"/>
  <c r="NL20" i="19" s="1"/>
  <c r="NH28" i="19" a="1"/>
  <c r="NH28" i="19" s="1"/>
  <c r="NK28" i="19" s="1" a="1"/>
  <c r="NK28" i="19" s="1"/>
  <c r="NL28" i="19" s="1" a="1"/>
  <c r="NL28" i="19" s="1"/>
  <c r="NH36" i="19" a="1"/>
  <c r="NH36" i="19" s="1"/>
  <c r="NK36" i="19" s="1" a="1"/>
  <c r="NK36" i="19" s="1"/>
  <c r="NL36" i="19" s="1" a="1"/>
  <c r="NL36" i="19" s="1"/>
  <c r="NH44" i="19" a="1"/>
  <c r="NH44" i="19" s="1"/>
  <c r="NK44" i="19" s="1" a="1"/>
  <c r="NK44" i="19" s="1"/>
  <c r="NL44" i="19" s="1" a="1"/>
  <c r="NL44" i="19" s="1"/>
  <c r="NH52" i="19" a="1"/>
  <c r="NH52" i="19" s="1"/>
  <c r="NK52" i="19" s="1" a="1"/>
  <c r="NK52" i="19" s="1"/>
  <c r="NL52" i="19" s="1" a="1"/>
  <c r="NL52" i="19" s="1"/>
  <c r="NH60" i="19" a="1"/>
  <c r="NH60" i="19" s="1"/>
  <c r="NK60" i="19" s="1" a="1"/>
  <c r="NK60" i="19" s="1"/>
  <c r="NL60" i="19" s="1" a="1"/>
  <c r="NL60" i="19" s="1"/>
  <c r="NH68" i="19" a="1"/>
  <c r="NH68" i="19" s="1"/>
  <c r="NK68" i="19" s="1" a="1"/>
  <c r="NK68" i="19" s="1"/>
  <c r="NL68" i="19" s="1" a="1"/>
  <c r="NL68" i="19" s="1"/>
  <c r="NH76" i="19" a="1"/>
  <c r="NH76" i="19" s="1"/>
  <c r="NK76" i="19" s="1" a="1"/>
  <c r="NK76" i="19" s="1"/>
  <c r="NL76" i="19" s="1" a="1"/>
  <c r="NL76" i="19" s="1"/>
  <c r="NH84" i="19" a="1"/>
  <c r="NH84" i="19" s="1"/>
  <c r="NK84" i="19" s="1" a="1"/>
  <c r="NK84" i="19" s="1"/>
  <c r="NL84" i="19" s="1" a="1"/>
  <c r="NL84" i="19" s="1"/>
  <c r="NH92" i="19" a="1"/>
  <c r="NH92" i="19" s="1"/>
  <c r="NK92" i="19" s="1" a="1"/>
  <c r="NK92" i="19" s="1"/>
  <c r="NL92" i="19" s="1" a="1"/>
  <c r="NL92" i="19" s="1"/>
  <c r="NH100" i="19" a="1"/>
  <c r="NH100" i="19" s="1"/>
  <c r="NK100" i="19" s="1" a="1"/>
  <c r="NK100" i="19" s="1"/>
  <c r="NL100" i="19" s="1" a="1"/>
  <c r="NL100" i="19" s="1"/>
  <c r="NH108" i="19" a="1"/>
  <c r="NH108" i="19" s="1"/>
  <c r="NK108" i="19" s="1" a="1"/>
  <c r="NK108" i="19" s="1"/>
  <c r="NL108" i="19" s="1" a="1"/>
  <c r="NL108" i="19" s="1"/>
  <c r="NH116" i="19" a="1"/>
  <c r="NH116" i="19" s="1"/>
  <c r="NK116" i="19" s="1" a="1"/>
  <c r="NK116" i="19" s="1"/>
  <c r="NL116" i="19" s="1" a="1"/>
  <c r="NL116" i="19" s="1"/>
  <c r="NH124" i="19" a="1"/>
  <c r="NH124" i="19" s="1"/>
  <c r="NK124" i="19" s="1" a="1"/>
  <c r="NK124" i="19" s="1"/>
  <c r="NL124" i="19" s="1" a="1"/>
  <c r="NL124" i="19" s="1"/>
  <c r="NH132" i="19" a="1"/>
  <c r="NH132" i="19" s="1"/>
  <c r="NK132" i="19" s="1" a="1"/>
  <c r="NK132" i="19" s="1"/>
  <c r="NL132" i="19" s="1" a="1"/>
  <c r="NL132" i="19" s="1"/>
  <c r="NH140" i="19" a="1"/>
  <c r="NH140" i="19" s="1"/>
  <c r="NK140" i="19" s="1" a="1"/>
  <c r="NK140" i="19" s="1"/>
  <c r="NL140" i="19" s="1" a="1"/>
  <c r="NL140" i="19" s="1"/>
  <c r="NH148" i="19" a="1"/>
  <c r="NH148" i="19" s="1"/>
  <c r="NK148" i="19" s="1" a="1"/>
  <c r="NK148" i="19" s="1"/>
  <c r="NL148" i="19" s="1" a="1"/>
  <c r="NL148" i="19" s="1"/>
  <c r="NH156" i="19" a="1"/>
  <c r="NH156" i="19" s="1"/>
  <c r="NK156" i="19" s="1" a="1"/>
  <c r="NK156" i="19" s="1"/>
  <c r="NL156" i="19" s="1" a="1"/>
  <c r="NL156" i="19" s="1"/>
  <c r="NH164" i="19" a="1"/>
  <c r="NH164" i="19" s="1"/>
  <c r="NK164" i="19" s="1" a="1"/>
  <c r="NK164" i="19" s="1"/>
  <c r="NL164" i="19" s="1" a="1"/>
  <c r="NL164" i="19" s="1"/>
  <c r="NH172" i="19" a="1"/>
  <c r="NH172" i="19" s="1"/>
  <c r="NK172" i="19" s="1" a="1"/>
  <c r="NK172" i="19" s="1"/>
  <c r="NL172" i="19" s="1" a="1"/>
  <c r="NL172" i="19" s="1"/>
  <c r="NH180" i="19" a="1"/>
  <c r="NH180" i="19" s="1"/>
  <c r="NK180" i="19" s="1" a="1"/>
  <c r="NK180" i="19" s="1"/>
  <c r="NL180" i="19" s="1" a="1"/>
  <c r="NL180" i="19" s="1"/>
  <c r="NH188" i="19" a="1"/>
  <c r="NH188" i="19" s="1"/>
  <c r="NK188" i="19" s="1" a="1"/>
  <c r="NK188" i="19" s="1"/>
  <c r="NL188" i="19" s="1" a="1"/>
  <c r="NL188" i="19" s="1"/>
  <c r="I182" i="19"/>
  <c r="H182" i="19" s="1"/>
  <c r="C182" i="19" s="1"/>
  <c r="B182" i="19" s="1"/>
  <c r="I188" i="19"/>
  <c r="H188" i="19" s="1"/>
  <c r="C188" i="19" s="1"/>
  <c r="B188" i="19" s="1"/>
  <c r="NH173" i="19" a="1"/>
  <c r="NH173" i="19" s="1"/>
  <c r="NK173" i="19" s="1" a="1"/>
  <c r="NK173" i="19" s="1"/>
  <c r="NL173" i="19" s="1" a="1"/>
  <c r="NL173" i="19" s="1"/>
  <c r="NH181" i="19" a="1"/>
  <c r="NH181" i="19" s="1"/>
  <c r="NK181" i="19" s="1" a="1"/>
  <c r="NK181" i="19" s="1"/>
  <c r="NL181" i="19" s="1" a="1"/>
  <c r="NL181" i="19" s="1"/>
  <c r="I183" i="19"/>
  <c r="H183" i="19" s="1"/>
  <c r="C183" i="19" s="1"/>
  <c r="B183" i="19" s="1"/>
  <c r="NH31" i="19" a="1"/>
  <c r="NH31" i="19" s="1"/>
  <c r="NK31" i="19" s="1" a="1"/>
  <c r="NK31" i="19" s="1"/>
  <c r="NL31" i="19" s="1" a="1"/>
  <c r="NL31" i="19" s="1"/>
  <c r="NH63" i="19" a="1"/>
  <c r="NH63" i="19" s="1"/>
  <c r="NK63" i="19" s="1" a="1"/>
  <c r="NK63" i="19" s="1"/>
  <c r="NL63" i="19" s="1" a="1"/>
  <c r="NL63" i="19" s="1"/>
  <c r="NH95" i="19" a="1"/>
  <c r="NH95" i="19" s="1"/>
  <c r="NK95" i="19" s="1" a="1"/>
  <c r="NK95" i="19" s="1"/>
  <c r="NL95" i="19" s="1" a="1"/>
  <c r="NL95" i="19" s="1"/>
  <c r="NH119" i="19" a="1"/>
  <c r="NH119" i="19" s="1"/>
  <c r="NK119" i="19" s="1" a="1"/>
  <c r="NK119" i="19" s="1"/>
  <c r="NL119" i="19" s="1" a="1"/>
  <c r="NL119" i="19" s="1"/>
  <c r="NH151" i="19" a="1"/>
  <c r="NH151" i="19" s="1"/>
  <c r="NK151" i="19" s="1" a="1"/>
  <c r="NK151" i="19" s="1"/>
  <c r="NL151" i="19" s="1" a="1"/>
  <c r="NL151" i="19" s="1"/>
  <c r="I179" i="19"/>
  <c r="H179" i="19" s="1"/>
  <c r="C179" i="19" s="1"/>
  <c r="B179" i="19" s="1"/>
  <c r="NH13" i="19" a="1"/>
  <c r="NH13" i="19" s="1"/>
  <c r="NK13" i="19" s="1" a="1"/>
  <c r="NK13" i="19" s="1"/>
  <c r="NL13" i="19" s="1" a="1"/>
  <c r="NL13" i="19" s="1"/>
  <c r="NH21" i="19" a="1"/>
  <c r="NH21" i="19" s="1"/>
  <c r="NK21" i="19" s="1" a="1"/>
  <c r="NK21" i="19" s="1"/>
  <c r="NL21" i="19" s="1" a="1"/>
  <c r="NL21" i="19" s="1"/>
  <c r="NH29" i="19" a="1"/>
  <c r="NH29" i="19" s="1"/>
  <c r="NK29" i="19" s="1" a="1"/>
  <c r="NK29" i="19" s="1"/>
  <c r="NL29" i="19" s="1" a="1"/>
  <c r="NL29" i="19" s="1"/>
  <c r="NH37" i="19" a="1"/>
  <c r="NH37" i="19" s="1"/>
  <c r="NK37" i="19" s="1" a="1"/>
  <c r="NK37" i="19" s="1"/>
  <c r="NL37" i="19" s="1" a="1"/>
  <c r="NL37" i="19" s="1"/>
  <c r="NH45" i="19" a="1"/>
  <c r="NH45" i="19" s="1"/>
  <c r="NK45" i="19" s="1" a="1"/>
  <c r="NK45" i="19" s="1"/>
  <c r="NL45" i="19" s="1" a="1"/>
  <c r="NL45" i="19" s="1"/>
  <c r="NH53" i="19" a="1"/>
  <c r="NH53" i="19" s="1"/>
  <c r="NK53" i="19" s="1" a="1"/>
  <c r="NK53" i="19" s="1"/>
  <c r="NL53" i="19" s="1" a="1"/>
  <c r="NL53" i="19" s="1"/>
  <c r="NH61" i="19" a="1"/>
  <c r="NH61" i="19" s="1"/>
  <c r="NK61" i="19" s="1" a="1"/>
  <c r="NK61" i="19" s="1"/>
  <c r="NL61" i="19" s="1" a="1"/>
  <c r="NL61" i="19" s="1"/>
  <c r="NH69" i="19" a="1"/>
  <c r="NH69" i="19" s="1"/>
  <c r="NK69" i="19" s="1" a="1"/>
  <c r="NK69" i="19" s="1"/>
  <c r="NL69" i="19" s="1" a="1"/>
  <c r="NL69" i="19" s="1"/>
  <c r="NH77" i="19" a="1"/>
  <c r="NH77" i="19" s="1"/>
  <c r="NK77" i="19" s="1" a="1"/>
  <c r="NK77" i="19" s="1"/>
  <c r="NL77" i="19" s="1" a="1"/>
  <c r="NL77" i="19" s="1"/>
  <c r="NH85" i="19" a="1"/>
  <c r="NH85" i="19" s="1"/>
  <c r="NK85" i="19" s="1" a="1"/>
  <c r="NK85" i="19" s="1"/>
  <c r="NL85" i="19" s="1" a="1"/>
  <c r="NL85" i="19" s="1"/>
  <c r="NH93" i="19" a="1"/>
  <c r="NH93" i="19" s="1"/>
  <c r="NK93" i="19" s="1" a="1"/>
  <c r="NK93" i="19" s="1"/>
  <c r="NL93" i="19" s="1" a="1"/>
  <c r="NL93" i="19" s="1"/>
  <c r="NH101" i="19" a="1"/>
  <c r="NH101" i="19" s="1"/>
  <c r="NK101" i="19" s="1" a="1"/>
  <c r="NK101" i="19" s="1"/>
  <c r="NL101" i="19" s="1" a="1"/>
  <c r="NL101" i="19" s="1"/>
  <c r="NH109" i="19" a="1"/>
  <c r="NH109" i="19" s="1"/>
  <c r="NK109" i="19" s="1" a="1"/>
  <c r="NK109" i="19" s="1"/>
  <c r="NL109" i="19" s="1" a="1"/>
  <c r="NL109" i="19" s="1"/>
  <c r="NH117" i="19" a="1"/>
  <c r="NH117" i="19" s="1"/>
  <c r="NK117" i="19" s="1" a="1"/>
  <c r="NK117" i="19" s="1"/>
  <c r="NL117" i="19" s="1" a="1"/>
  <c r="NL117" i="19" s="1"/>
  <c r="NH125" i="19" a="1"/>
  <c r="NH125" i="19" s="1"/>
  <c r="NK125" i="19" s="1" a="1"/>
  <c r="NK125" i="19" s="1"/>
  <c r="NL125" i="19" s="1" a="1"/>
  <c r="NL125" i="19" s="1"/>
  <c r="NH133" i="19" a="1"/>
  <c r="NH133" i="19" s="1"/>
  <c r="NK133" i="19" s="1" a="1"/>
  <c r="NK133" i="19" s="1"/>
  <c r="NL133" i="19" s="1" a="1"/>
  <c r="NL133" i="19" s="1"/>
  <c r="NH141" i="19" a="1"/>
  <c r="NH141" i="19" s="1"/>
  <c r="NK141" i="19" s="1" a="1"/>
  <c r="NK141" i="19" s="1"/>
  <c r="NL141" i="19" s="1" a="1"/>
  <c r="NL141" i="19" s="1"/>
  <c r="NH149" i="19" a="1"/>
  <c r="NH149" i="19" s="1"/>
  <c r="NK149" i="19" s="1" a="1"/>
  <c r="NK149" i="19" s="1"/>
  <c r="NL149" i="19" s="1" a="1"/>
  <c r="NL149" i="19" s="1"/>
  <c r="NH157" i="19" a="1"/>
  <c r="NH157" i="19" s="1"/>
  <c r="NK157" i="19" s="1" a="1"/>
  <c r="NK157" i="19" s="1"/>
  <c r="NL157" i="19" s="1" a="1"/>
  <c r="NL157" i="19" s="1"/>
  <c r="NH165" i="19" a="1"/>
  <c r="NH165" i="19" s="1"/>
  <c r="NK165" i="19" s="1" a="1"/>
  <c r="NK165" i="19" s="1"/>
  <c r="NL165" i="19" s="1" a="1"/>
  <c r="NL165" i="19" s="1"/>
  <c r="NH6" i="19" a="1"/>
  <c r="NH6" i="19" s="1"/>
  <c r="NK6" i="19" s="1" a="1"/>
  <c r="NK6" i="19" s="1"/>
  <c r="NL6" i="19" s="1" a="1"/>
  <c r="NL6" i="19" s="1"/>
  <c r="NH14" i="19" a="1"/>
  <c r="NH14" i="19" s="1"/>
  <c r="NK14" i="19" s="1" a="1"/>
  <c r="NK14" i="19" s="1"/>
  <c r="NL14" i="19" s="1" a="1"/>
  <c r="NL14" i="19" s="1"/>
  <c r="NH22" i="19" a="1"/>
  <c r="NH22" i="19" s="1"/>
  <c r="NK22" i="19" s="1" a="1"/>
  <c r="NK22" i="19" s="1"/>
  <c r="NL22" i="19" s="1" a="1"/>
  <c r="NL22" i="19" s="1"/>
  <c r="NH30" i="19" a="1"/>
  <c r="NH30" i="19" s="1"/>
  <c r="NK30" i="19" s="1" a="1"/>
  <c r="NK30" i="19" s="1"/>
  <c r="NL30" i="19" s="1" a="1"/>
  <c r="NL30" i="19" s="1"/>
  <c r="NH38" i="19" a="1"/>
  <c r="NH38" i="19" s="1"/>
  <c r="NK38" i="19" s="1" a="1"/>
  <c r="NK38" i="19" s="1"/>
  <c r="NL38" i="19" s="1" a="1"/>
  <c r="NL38" i="19" s="1"/>
  <c r="NH46" i="19" a="1"/>
  <c r="NH46" i="19" s="1"/>
  <c r="NK46" i="19" s="1" a="1"/>
  <c r="NK46" i="19" s="1"/>
  <c r="NL46" i="19" s="1" a="1"/>
  <c r="NL46" i="19" s="1"/>
  <c r="NH54" i="19" a="1"/>
  <c r="NH54" i="19" s="1"/>
  <c r="NK54" i="19" s="1" a="1"/>
  <c r="NK54" i="19" s="1"/>
  <c r="NL54" i="19" s="1" a="1"/>
  <c r="NL54" i="19" s="1"/>
  <c r="NH62" i="19" a="1"/>
  <c r="NH62" i="19" s="1"/>
  <c r="NK62" i="19" s="1" a="1"/>
  <c r="NK62" i="19" s="1"/>
  <c r="NL62" i="19" s="1" a="1"/>
  <c r="NL62" i="19" s="1"/>
  <c r="NH70" i="19" a="1"/>
  <c r="NH70" i="19" s="1"/>
  <c r="NK70" i="19" s="1" a="1"/>
  <c r="NK70" i="19" s="1"/>
  <c r="NL70" i="19" s="1" a="1"/>
  <c r="NL70" i="19" s="1"/>
  <c r="NH78" i="19" a="1"/>
  <c r="NH78" i="19" s="1"/>
  <c r="NK78" i="19" s="1" a="1"/>
  <c r="NK78" i="19" s="1"/>
  <c r="NL78" i="19" s="1" a="1"/>
  <c r="NL78" i="19" s="1"/>
  <c r="NH86" i="19" a="1"/>
  <c r="NH86" i="19" s="1"/>
  <c r="NK86" i="19" s="1" a="1"/>
  <c r="NK86" i="19" s="1"/>
  <c r="NL86" i="19" s="1" a="1"/>
  <c r="NL86" i="19" s="1"/>
  <c r="NH94" i="19" a="1"/>
  <c r="NH94" i="19" s="1"/>
  <c r="NK94" i="19" s="1" a="1"/>
  <c r="NK94" i="19" s="1"/>
  <c r="NL94" i="19" s="1" a="1"/>
  <c r="NL94" i="19" s="1"/>
  <c r="NH102" i="19" a="1"/>
  <c r="NH102" i="19" s="1"/>
  <c r="NK102" i="19" s="1" a="1"/>
  <c r="NK102" i="19" s="1"/>
  <c r="NL102" i="19" s="1" a="1"/>
  <c r="NL102" i="19" s="1"/>
  <c r="NH110" i="19" a="1"/>
  <c r="NH110" i="19" s="1"/>
  <c r="NK110" i="19" s="1" a="1"/>
  <c r="NK110" i="19" s="1"/>
  <c r="NL110" i="19" s="1" a="1"/>
  <c r="NL110" i="19" s="1"/>
  <c r="NH118" i="19" a="1"/>
  <c r="NH118" i="19" s="1"/>
  <c r="NK118" i="19" s="1" a="1"/>
  <c r="NK118" i="19" s="1"/>
  <c r="NL118" i="19" s="1" a="1"/>
  <c r="NL118" i="19" s="1"/>
  <c r="NH126" i="19" a="1"/>
  <c r="NH126" i="19" s="1"/>
  <c r="NK126" i="19" s="1" a="1"/>
  <c r="NK126" i="19" s="1"/>
  <c r="NL126" i="19" s="1" a="1"/>
  <c r="NL126" i="19" s="1"/>
  <c r="NH134" i="19" a="1"/>
  <c r="NH134" i="19" s="1"/>
  <c r="NK134" i="19" s="1" a="1"/>
  <c r="NK134" i="19" s="1"/>
  <c r="NL134" i="19" s="1" a="1"/>
  <c r="NL134" i="19" s="1"/>
  <c r="NH142" i="19" a="1"/>
  <c r="NH142" i="19" s="1"/>
  <c r="NK142" i="19" s="1" a="1"/>
  <c r="NK142" i="19" s="1"/>
  <c r="NL142" i="19" s="1" a="1"/>
  <c r="NL142" i="19" s="1"/>
  <c r="NH150" i="19" a="1"/>
  <c r="NH150" i="19" s="1"/>
  <c r="NK150" i="19" s="1" a="1"/>
  <c r="NK150" i="19" s="1"/>
  <c r="NL150" i="19" s="1" a="1"/>
  <c r="NL150" i="19" s="1"/>
  <c r="NH158" i="19" a="1"/>
  <c r="NH158" i="19" s="1"/>
  <c r="NK158" i="19" s="1" a="1"/>
  <c r="NK158" i="19" s="1"/>
  <c r="NL158" i="19" s="1" a="1"/>
  <c r="NL158" i="19" s="1"/>
  <c r="NH166" i="19" a="1"/>
  <c r="NH166" i="19" s="1"/>
  <c r="NK166" i="19" s="1" a="1"/>
  <c r="NK166" i="19" s="1"/>
  <c r="NL166" i="19" s="1" a="1"/>
  <c r="NL166" i="19" s="1"/>
  <c r="NH174" i="19" a="1"/>
  <c r="NH174" i="19" s="1"/>
  <c r="NK174" i="19" s="1" a="1"/>
  <c r="NK174" i="19" s="1"/>
  <c r="NL174" i="19" s="1" a="1"/>
  <c r="NL174" i="19" s="1"/>
  <c r="NH182" i="19" a="1"/>
  <c r="NH182" i="19" s="1"/>
  <c r="NK182" i="19" s="1" a="1"/>
  <c r="NK182" i="19" s="1"/>
  <c r="NL182" i="19" s="1" a="1"/>
  <c r="NL182" i="19" s="1"/>
  <c r="I178" i="19"/>
  <c r="H178" i="19" s="1"/>
  <c r="C178" i="19" s="1"/>
  <c r="B178" i="19" s="1"/>
  <c r="NH7" i="19" a="1"/>
  <c r="NH7" i="19" s="1"/>
  <c r="NK7" i="19" s="1" a="1"/>
  <c r="NK7" i="19" s="1"/>
  <c r="NL7" i="19" s="1" a="1"/>
  <c r="NL7" i="19" s="1"/>
  <c r="NH39" i="19" a="1"/>
  <c r="NH39" i="19" s="1"/>
  <c r="NK39" i="19" s="1" a="1"/>
  <c r="NK39" i="19" s="1"/>
  <c r="NL39" i="19" s="1" a="1"/>
  <c r="NL39" i="19" s="1"/>
  <c r="NH71" i="19" a="1"/>
  <c r="NH71" i="19" s="1"/>
  <c r="NK71" i="19" s="1" a="1"/>
  <c r="NK71" i="19" s="1"/>
  <c r="NL71" i="19" s="1" a="1"/>
  <c r="NL71" i="19" s="1"/>
  <c r="NH103" i="19" a="1"/>
  <c r="NH103" i="19" s="1"/>
  <c r="NK103" i="19" s="1" a="1"/>
  <c r="NK103" i="19" s="1"/>
  <c r="NL103" i="19" s="1" a="1"/>
  <c r="NL103" i="19" s="1"/>
  <c r="NH135" i="19" a="1"/>
  <c r="NH135" i="19" s="1"/>
  <c r="NK135" i="19" s="1" a="1"/>
  <c r="NK135" i="19" s="1"/>
  <c r="NL135" i="19" s="1" a="1"/>
  <c r="NL135" i="19" s="1"/>
  <c r="NH167" i="19" a="1"/>
  <c r="NH167" i="19" s="1"/>
  <c r="NK167" i="19" s="1" a="1"/>
  <c r="NK167" i="19" s="1"/>
  <c r="NL167" i="19" s="1" a="1"/>
  <c r="NL167" i="19" s="1"/>
  <c r="I184" i="19"/>
  <c r="H184" i="19" s="1"/>
  <c r="C184" i="19" s="1"/>
  <c r="B184" i="19" s="1"/>
  <c r="NH15" i="19" a="1"/>
  <c r="NH15" i="19" s="1"/>
  <c r="NK15" i="19" s="1" a="1"/>
  <c r="NK15" i="19" s="1"/>
  <c r="NL15" i="19" s="1" a="1"/>
  <c r="NL15" i="19" s="1"/>
  <c r="NH47" i="19" a="1"/>
  <c r="NH47" i="19" s="1"/>
  <c r="NK47" i="19" s="1" a="1"/>
  <c r="NK47" i="19" s="1"/>
  <c r="NL47" i="19" s="1" a="1"/>
  <c r="NL47" i="19" s="1"/>
  <c r="NH79" i="19" a="1"/>
  <c r="NH79" i="19" s="1"/>
  <c r="NK79" i="19" s="1" a="1"/>
  <c r="NK79" i="19" s="1"/>
  <c r="NL79" i="19" s="1" a="1"/>
  <c r="NL79" i="19" s="1"/>
  <c r="NH111" i="19" a="1"/>
  <c r="NH111" i="19" s="1"/>
  <c r="NK111" i="19" s="1" a="1"/>
  <c r="NK111" i="19" s="1"/>
  <c r="NL111" i="19" s="1" a="1"/>
  <c r="NL111" i="19" s="1"/>
  <c r="NH143" i="19" a="1"/>
  <c r="NH143" i="19" s="1"/>
  <c r="NK143" i="19" s="1" a="1"/>
  <c r="NK143" i="19" s="1"/>
  <c r="NL143" i="19" s="1" a="1"/>
  <c r="NL143" i="19" s="1"/>
  <c r="NH175" i="19" a="1"/>
  <c r="NH175" i="19" s="1"/>
  <c r="NK175" i="19" s="1" a="1"/>
  <c r="NK175" i="19" s="1"/>
  <c r="NL175" i="19" s="1" a="1"/>
  <c r="NL175" i="19" s="1"/>
  <c r="NH9" i="19" a="1"/>
  <c r="NH9" i="19" s="1"/>
  <c r="NK9" i="19" s="1" a="1"/>
  <c r="NK9" i="19" s="1"/>
  <c r="NL9" i="19" s="1" a="1"/>
  <c r="NL9" i="19" s="1"/>
  <c r="NH17" i="19" a="1"/>
  <c r="NH17" i="19" s="1"/>
  <c r="NK17" i="19" s="1" a="1"/>
  <c r="NK17" i="19" s="1"/>
  <c r="NL17" i="19" s="1" a="1"/>
  <c r="NL17" i="19" s="1"/>
  <c r="NH25" i="19" a="1"/>
  <c r="NH25" i="19" s="1"/>
  <c r="NK25" i="19" s="1" a="1"/>
  <c r="NK25" i="19" s="1"/>
  <c r="NL25" i="19" s="1" a="1"/>
  <c r="NL25" i="19" s="1"/>
  <c r="NH33" i="19" a="1"/>
  <c r="NH33" i="19" s="1"/>
  <c r="NK33" i="19" s="1" a="1"/>
  <c r="NK33" i="19" s="1"/>
  <c r="NL33" i="19" s="1" a="1"/>
  <c r="NL33" i="19" s="1"/>
  <c r="NH41" i="19" a="1"/>
  <c r="NH41" i="19" s="1"/>
  <c r="NK41" i="19" s="1" a="1"/>
  <c r="NK41" i="19" s="1"/>
  <c r="NL41" i="19" s="1" a="1"/>
  <c r="NL41" i="19" s="1"/>
  <c r="NH49" i="19" a="1"/>
  <c r="NH49" i="19" s="1"/>
  <c r="NK49" i="19" s="1" a="1"/>
  <c r="NK49" i="19" s="1"/>
  <c r="NL49" i="19" s="1" a="1"/>
  <c r="NL49" i="19" s="1"/>
  <c r="NH57" i="19" a="1"/>
  <c r="NH57" i="19" s="1"/>
  <c r="NK57" i="19" s="1" a="1"/>
  <c r="NK57" i="19" s="1"/>
  <c r="NL57" i="19" s="1" a="1"/>
  <c r="NL57" i="19" s="1"/>
  <c r="NH65" i="19" a="1"/>
  <c r="NH65" i="19" s="1"/>
  <c r="NK65" i="19" s="1" a="1"/>
  <c r="NK65" i="19" s="1"/>
  <c r="NL65" i="19" s="1" a="1"/>
  <c r="NL65" i="19" s="1"/>
  <c r="NH73" i="19" a="1"/>
  <c r="NH73" i="19" s="1"/>
  <c r="NK73" i="19" s="1" a="1"/>
  <c r="NK73" i="19" s="1"/>
  <c r="NL73" i="19" s="1" a="1"/>
  <c r="NL73" i="19" s="1"/>
  <c r="NH81" i="19" a="1"/>
  <c r="NH81" i="19" s="1"/>
  <c r="NK81" i="19" s="1" a="1"/>
  <c r="NK81" i="19" s="1"/>
  <c r="NL81" i="19" s="1" a="1"/>
  <c r="NL81" i="19" s="1"/>
  <c r="NH89" i="19" a="1"/>
  <c r="NH89" i="19" s="1"/>
  <c r="NK89" i="19" s="1" a="1"/>
  <c r="NK89" i="19" s="1"/>
  <c r="NL89" i="19" s="1" a="1"/>
  <c r="NL89" i="19" s="1"/>
  <c r="NH97" i="19" a="1"/>
  <c r="NH97" i="19" s="1"/>
  <c r="NK97" i="19" s="1" a="1"/>
  <c r="NK97" i="19" s="1"/>
  <c r="NL97" i="19" s="1" a="1"/>
  <c r="NL97" i="19" s="1"/>
  <c r="NH105" i="19" a="1"/>
  <c r="NH105" i="19" s="1"/>
  <c r="NK105" i="19" s="1" a="1"/>
  <c r="NK105" i="19" s="1"/>
  <c r="NL105" i="19" s="1" a="1"/>
  <c r="NL105" i="19" s="1"/>
  <c r="NH113" i="19" a="1"/>
  <c r="NH113" i="19" s="1"/>
  <c r="NK113" i="19" s="1" a="1"/>
  <c r="NK113" i="19" s="1"/>
  <c r="NL113" i="19" s="1" a="1"/>
  <c r="NL113" i="19" s="1"/>
  <c r="NH121" i="19" a="1"/>
  <c r="NH121" i="19" s="1"/>
  <c r="NK121" i="19" s="1" a="1"/>
  <c r="NK121" i="19" s="1"/>
  <c r="NL121" i="19" s="1" a="1"/>
  <c r="NL121" i="19" s="1"/>
  <c r="NH129" i="19" a="1"/>
  <c r="NH129" i="19" s="1"/>
  <c r="NK129" i="19" s="1" a="1"/>
  <c r="NK129" i="19" s="1"/>
  <c r="NL129" i="19" s="1" a="1"/>
  <c r="NL129" i="19" s="1"/>
  <c r="NH137" i="19" a="1"/>
  <c r="NH137" i="19" s="1"/>
  <c r="NK137" i="19" s="1" a="1"/>
  <c r="NK137" i="19" s="1"/>
  <c r="NL137" i="19" s="1" a="1"/>
  <c r="NL137" i="19" s="1"/>
  <c r="NH145" i="19" a="1"/>
  <c r="NH145" i="19" s="1"/>
  <c r="NK145" i="19" s="1" a="1"/>
  <c r="NK145" i="19" s="1"/>
  <c r="NL145" i="19" s="1" a="1"/>
  <c r="NL145" i="19" s="1"/>
  <c r="NH153" i="19" a="1"/>
  <c r="NH153" i="19" s="1"/>
  <c r="NK153" i="19" s="1" a="1"/>
  <c r="NK153" i="19" s="1"/>
  <c r="NL153" i="19" s="1" a="1"/>
  <c r="NL153" i="19" s="1"/>
  <c r="NH161" i="19" a="1"/>
  <c r="NH161" i="19" s="1"/>
  <c r="NK161" i="19" s="1" a="1"/>
  <c r="NK161" i="19" s="1"/>
  <c r="NL161" i="19" s="1" a="1"/>
  <c r="NL161" i="19" s="1"/>
  <c r="NH169" i="19" a="1"/>
  <c r="NH169" i="19" s="1"/>
  <c r="NK169" i="19" s="1" a="1"/>
  <c r="NK169" i="19" s="1"/>
  <c r="NL169" i="19" s="1" a="1"/>
  <c r="NL169" i="19" s="1"/>
  <c r="NH177" i="19" a="1"/>
  <c r="NH177" i="19" s="1"/>
  <c r="NK177" i="19" s="1" a="1"/>
  <c r="NK177" i="19" s="1"/>
  <c r="NL177" i="19" s="1" a="1"/>
  <c r="NL177" i="19" s="1"/>
  <c r="NH185" i="19" a="1"/>
  <c r="NH185" i="19" s="1"/>
  <c r="NK185" i="19" s="1" a="1"/>
  <c r="NK185" i="19" s="1"/>
  <c r="NL185" i="19" s="1" a="1"/>
  <c r="NL185" i="19" s="1"/>
  <c r="I181" i="19"/>
  <c r="H181" i="19" s="1"/>
  <c r="C181" i="19" s="1"/>
  <c r="B181" i="19" s="1"/>
  <c r="NH8" i="19" a="1"/>
  <c r="NH8" i="19" s="1"/>
  <c r="NK8" i="19" s="1" a="1"/>
  <c r="NK8" i="19" s="1"/>
  <c r="NL8" i="19" s="1" a="1"/>
  <c r="NL8" i="19" s="1"/>
  <c r="NH40" i="19" a="1"/>
  <c r="NH40" i="19" s="1"/>
  <c r="NK40" i="19" s="1" a="1"/>
  <c r="NK40" i="19" s="1"/>
  <c r="NL40" i="19" s="1" a="1"/>
  <c r="NL40" i="19" s="1"/>
  <c r="NH72" i="19" a="1"/>
  <c r="NH72" i="19" s="1"/>
  <c r="NK72" i="19" s="1" a="1"/>
  <c r="NK72" i="19" s="1"/>
  <c r="NL72" i="19" s="1" a="1"/>
  <c r="NL72" i="19" s="1"/>
  <c r="NH104" i="19" a="1"/>
  <c r="NH104" i="19" s="1"/>
  <c r="NK104" i="19" s="1" a="1"/>
  <c r="NK104" i="19" s="1"/>
  <c r="NL104" i="19" s="1" a="1"/>
  <c r="NL104" i="19" s="1"/>
  <c r="NH136" i="19" a="1"/>
  <c r="NH136" i="19" s="1"/>
  <c r="NK136" i="19" s="1" a="1"/>
  <c r="NK136" i="19" s="1"/>
  <c r="NL136" i="19" s="1" a="1"/>
  <c r="NL136" i="19" s="1"/>
  <c r="NH168" i="19" a="1"/>
  <c r="NH168" i="19" s="1"/>
  <c r="NK168" i="19" s="1" a="1"/>
  <c r="NK168" i="19" s="1"/>
  <c r="NL168" i="19" s="1" a="1"/>
  <c r="NL168" i="19" s="1"/>
  <c r="NH88" i="19" a="1"/>
  <c r="NH88" i="19" s="1"/>
  <c r="NK88" i="19" s="1" a="1"/>
  <c r="NK88" i="19" s="1"/>
  <c r="NL88" i="19" s="1" a="1"/>
  <c r="NL88" i="19" s="1"/>
  <c r="NH122" i="19" a="1"/>
  <c r="NH122" i="19" s="1"/>
  <c r="NK122" i="19" s="1" a="1"/>
  <c r="NK122" i="19" s="1"/>
  <c r="NL122" i="19" s="1" a="1"/>
  <c r="NL122" i="19" s="1"/>
  <c r="NH10" i="19" a="1"/>
  <c r="NH10" i="19" s="1"/>
  <c r="NK10" i="19" s="1" a="1"/>
  <c r="NK10" i="19" s="1"/>
  <c r="NL10" i="19" s="1" a="1"/>
  <c r="NL10" i="19" s="1"/>
  <c r="NH42" i="19" a="1"/>
  <c r="NH42" i="19" s="1"/>
  <c r="NK42" i="19" s="1" a="1"/>
  <c r="NK42" i="19" s="1"/>
  <c r="NL42" i="19" s="1" a="1"/>
  <c r="NL42" i="19" s="1"/>
  <c r="NH74" i="19" a="1"/>
  <c r="NH74" i="19" s="1"/>
  <c r="NK74" i="19" s="1" a="1"/>
  <c r="NK74" i="19" s="1"/>
  <c r="NL74" i="19" s="1" a="1"/>
  <c r="NL74" i="19" s="1"/>
  <c r="NH106" i="19" a="1"/>
  <c r="NH106" i="19" s="1"/>
  <c r="NK106" i="19" s="1" a="1"/>
  <c r="NK106" i="19" s="1"/>
  <c r="NL106" i="19" s="1" a="1"/>
  <c r="NL106" i="19" s="1"/>
  <c r="NH138" i="19" a="1"/>
  <c r="NH138" i="19" s="1"/>
  <c r="NK138" i="19" s="1" a="1"/>
  <c r="NK138" i="19" s="1"/>
  <c r="NL138" i="19" s="1" a="1"/>
  <c r="NL138" i="19" s="1"/>
  <c r="NH170" i="19" a="1"/>
  <c r="NH170" i="19" s="1"/>
  <c r="NK170" i="19" s="1" a="1"/>
  <c r="NK170" i="19" s="1"/>
  <c r="NL170" i="19" s="1" a="1"/>
  <c r="NL170" i="19" s="1"/>
  <c r="NH120" i="19" a="1"/>
  <c r="NH120" i="19" s="1"/>
  <c r="NK120" i="19" s="1" a="1"/>
  <c r="NK120" i="19" s="1"/>
  <c r="NL120" i="19" s="1" a="1"/>
  <c r="NL120" i="19" s="1"/>
  <c r="NH90" i="19" a="1"/>
  <c r="NH90" i="19" s="1"/>
  <c r="NK90" i="19" s="1" a="1"/>
  <c r="NK90" i="19" s="1"/>
  <c r="NL90" i="19" s="1" a="1"/>
  <c r="NL90" i="19" s="1"/>
  <c r="NH16" i="19" a="1"/>
  <c r="NH16" i="19" s="1"/>
  <c r="NK16" i="19" s="1" a="1"/>
  <c r="NK16" i="19" s="1"/>
  <c r="NL16" i="19" s="1" a="1"/>
  <c r="NL16" i="19" s="1"/>
  <c r="NH48" i="19" a="1"/>
  <c r="NH48" i="19" s="1"/>
  <c r="NK48" i="19" s="1" a="1"/>
  <c r="NK48" i="19" s="1"/>
  <c r="NL48" i="19" s="1" a="1"/>
  <c r="NL48" i="19" s="1"/>
  <c r="NH80" i="19" a="1"/>
  <c r="NH80" i="19" s="1"/>
  <c r="NK80" i="19" s="1" a="1"/>
  <c r="NK80" i="19" s="1"/>
  <c r="NL80" i="19" s="1" a="1"/>
  <c r="NL80" i="19" s="1"/>
  <c r="NH112" i="19" a="1"/>
  <c r="NH112" i="19" s="1"/>
  <c r="NK112" i="19" s="1" a="1"/>
  <c r="NK112" i="19" s="1"/>
  <c r="NL112" i="19" s="1" a="1"/>
  <c r="NL112" i="19" s="1"/>
  <c r="NH144" i="19" a="1"/>
  <c r="NH144" i="19" s="1"/>
  <c r="NK144" i="19" s="1" a="1"/>
  <c r="NK144" i="19" s="1"/>
  <c r="NL144" i="19" s="1" a="1"/>
  <c r="NL144" i="19" s="1"/>
  <c r="NH176" i="19" a="1"/>
  <c r="NH176" i="19" s="1"/>
  <c r="NK176" i="19" s="1" a="1"/>
  <c r="NK176" i="19" s="1"/>
  <c r="NL176" i="19" s="1" a="1"/>
  <c r="NL176" i="19" s="1"/>
  <c r="NH56" i="19" a="1"/>
  <c r="NH56" i="19" s="1"/>
  <c r="NK56" i="19" s="1" a="1"/>
  <c r="NK56" i="19" s="1"/>
  <c r="NL56" i="19" s="1" a="1"/>
  <c r="NL56" i="19" s="1"/>
  <c r="I180" i="19"/>
  <c r="H180" i="19" s="1"/>
  <c r="C180" i="19" s="1"/>
  <c r="NH58" i="19" a="1"/>
  <c r="NH58" i="19" s="1"/>
  <c r="NK58" i="19" s="1" a="1"/>
  <c r="NK58" i="19" s="1"/>
  <c r="NL58" i="19" s="1" a="1"/>
  <c r="NL58" i="19" s="1"/>
  <c r="I186" i="19"/>
  <c r="H186" i="19" s="1"/>
  <c r="C186" i="19" s="1"/>
  <c r="B186" i="19" s="1"/>
  <c r="NH18" i="19" a="1"/>
  <c r="NH18" i="19" s="1"/>
  <c r="NK18" i="19" s="1" a="1"/>
  <c r="NK18" i="19" s="1"/>
  <c r="NL18" i="19" s="1" a="1"/>
  <c r="NL18" i="19" s="1"/>
  <c r="NH50" i="19" a="1"/>
  <c r="NH50" i="19" s="1"/>
  <c r="NK50" i="19" s="1" a="1"/>
  <c r="NK50" i="19" s="1"/>
  <c r="NL50" i="19" s="1" a="1"/>
  <c r="NL50" i="19" s="1"/>
  <c r="NH82" i="19" a="1"/>
  <c r="NH82" i="19" s="1"/>
  <c r="NK82" i="19" s="1" a="1"/>
  <c r="NK82" i="19" s="1"/>
  <c r="NL82" i="19" s="1" a="1"/>
  <c r="NL82" i="19" s="1"/>
  <c r="NH114" i="19" a="1"/>
  <c r="NH114" i="19" s="1"/>
  <c r="NK114" i="19" s="1" a="1"/>
  <c r="NK114" i="19" s="1"/>
  <c r="NL114" i="19" s="1" a="1"/>
  <c r="NL114" i="19" s="1"/>
  <c r="NH146" i="19" a="1"/>
  <c r="NH146" i="19" s="1"/>
  <c r="NK146" i="19" s="1" a="1"/>
  <c r="NK146" i="19" s="1"/>
  <c r="NL146" i="19" s="1" a="1"/>
  <c r="NL146" i="19" s="1"/>
  <c r="NH178" i="19" a="1"/>
  <c r="NH178" i="19" s="1"/>
  <c r="NK178" i="19" s="1" a="1"/>
  <c r="NK178" i="19" s="1"/>
  <c r="NL178" i="19" s="1" a="1"/>
  <c r="NL178" i="19" s="1"/>
  <c r="NH152" i="19" a="1"/>
  <c r="NH152" i="19" s="1"/>
  <c r="NK152" i="19" s="1" a="1"/>
  <c r="NK152" i="19" s="1"/>
  <c r="NL152" i="19" s="1" a="1"/>
  <c r="NL152" i="19" s="1"/>
  <c r="NH26" i="19" a="1"/>
  <c r="NH26" i="19" s="1"/>
  <c r="NK26" i="19" s="1" a="1"/>
  <c r="NK26" i="19" s="1"/>
  <c r="NL26" i="19" s="1" a="1"/>
  <c r="NL26" i="19" s="1"/>
  <c r="NH186" i="19" a="1"/>
  <c r="NH186" i="19" s="1"/>
  <c r="NK186" i="19" s="1" a="1"/>
  <c r="NK186" i="19" s="1"/>
  <c r="NL186" i="19" s="1" a="1"/>
  <c r="NL186" i="19" s="1"/>
  <c r="NH24" i="19" a="1"/>
  <c r="NH24" i="19" s="1"/>
  <c r="NK24" i="19" s="1" a="1"/>
  <c r="NK24" i="19" s="1"/>
  <c r="NL24" i="19" s="1" a="1"/>
  <c r="NL24" i="19" s="1"/>
  <c r="NH184" i="19" a="1"/>
  <c r="NH184" i="19" s="1"/>
  <c r="NK184" i="19" s="1" a="1"/>
  <c r="NK184" i="19" s="1"/>
  <c r="NL184" i="19" s="1" a="1"/>
  <c r="NL184" i="19" s="1"/>
  <c r="NH154" i="19" a="1"/>
  <c r="NH154" i="19" s="1"/>
  <c r="NK154" i="19" s="1" a="1"/>
  <c r="NK154" i="19" s="1"/>
  <c r="NL154" i="19" s="1" a="1"/>
  <c r="NL154" i="19" s="1"/>
  <c r="NH32" i="19" a="1"/>
  <c r="NH32" i="19" s="1"/>
  <c r="NK32" i="19" s="1" a="1"/>
  <c r="NK32" i="19" s="1"/>
  <c r="NL32" i="19" s="1" a="1"/>
  <c r="NL32" i="19" s="1"/>
  <c r="NH64" i="19" a="1"/>
  <c r="NH64" i="19" s="1"/>
  <c r="NK64" i="19" s="1" a="1"/>
  <c r="NK64" i="19" s="1"/>
  <c r="NL64" i="19" s="1" a="1"/>
  <c r="NL64" i="19" s="1"/>
  <c r="NH96" i="19" a="1"/>
  <c r="NH96" i="19" s="1"/>
  <c r="NK96" i="19" s="1" a="1"/>
  <c r="NK96" i="19" s="1"/>
  <c r="NL96" i="19" s="1" a="1"/>
  <c r="NL96" i="19" s="1"/>
  <c r="NH128" i="19" a="1"/>
  <c r="NH128" i="19" s="1"/>
  <c r="NK128" i="19" s="1" a="1"/>
  <c r="NK128" i="19" s="1"/>
  <c r="NL128" i="19" s="1" a="1"/>
  <c r="NL128" i="19" s="1"/>
  <c r="NH160" i="19" a="1"/>
  <c r="NH160" i="19" s="1"/>
  <c r="NK160" i="19" s="1" a="1"/>
  <c r="NK160" i="19" s="1"/>
  <c r="NL160" i="19" s="1" a="1"/>
  <c r="NL160" i="19" s="1"/>
  <c r="I185" i="19"/>
  <c r="H185" i="19" s="1"/>
  <c r="C185" i="19" s="1"/>
  <c r="B185" i="19" s="1"/>
  <c r="NH34" i="19" a="1"/>
  <c r="NH34" i="19" s="1"/>
  <c r="NK34" i="19" s="1" a="1"/>
  <c r="NK34" i="19" s="1"/>
  <c r="NL34" i="19" s="1" a="1"/>
  <c r="NL34" i="19" s="1"/>
  <c r="NH66" i="19" a="1"/>
  <c r="NH66" i="19" s="1"/>
  <c r="NK66" i="19" s="1" a="1"/>
  <c r="NK66" i="19" s="1"/>
  <c r="NL66" i="19" s="1" a="1"/>
  <c r="NL66" i="19" s="1"/>
  <c r="NH98" i="19" a="1"/>
  <c r="NH98" i="19" s="1"/>
  <c r="NK98" i="19" s="1" a="1"/>
  <c r="NK98" i="19" s="1"/>
  <c r="NL98" i="19" s="1" a="1"/>
  <c r="NL98" i="19" s="1"/>
  <c r="NH130" i="19" a="1"/>
  <c r="NH130" i="19" s="1"/>
  <c r="NK130" i="19" s="1" a="1"/>
  <c r="NK130" i="19" s="1"/>
  <c r="NL130" i="19" s="1" a="1"/>
  <c r="NL130" i="19" s="1"/>
  <c r="NH162" i="19" a="1"/>
  <c r="NH162" i="19" s="1"/>
  <c r="NK162" i="19" s="1" a="1"/>
  <c r="NK162" i="19" s="1"/>
  <c r="NL162" i="19" s="1" a="1"/>
  <c r="NL162" i="19" s="1"/>
  <c r="NN13" i="19" a="1"/>
  <c r="NN13" i="19" s="1"/>
  <c r="NS13" i="19" s="1" a="1"/>
  <c r="NS13" i="19" s="1"/>
  <c r="NN77" i="19" a="1"/>
  <c r="NN77" i="19" s="1"/>
  <c r="NS77" i="19" s="1" a="1"/>
  <c r="NS77" i="19" s="1"/>
  <c r="NN46" i="19" a="1"/>
  <c r="NN46" i="19" s="1"/>
  <c r="NS46" i="19" s="1" a="1"/>
  <c r="NS46" i="19" s="1"/>
  <c r="NN63" i="19" a="1"/>
  <c r="NN63" i="19" s="1"/>
  <c r="NS63" i="19" s="1" a="1"/>
  <c r="NS63" i="19" s="1"/>
  <c r="NN40" i="19" a="1"/>
  <c r="NN40" i="19" s="1"/>
  <c r="NS40" i="19" s="1" a="1"/>
  <c r="NS40" i="19" s="1"/>
  <c r="NN17" i="19" a="1"/>
  <c r="NN17" i="19" s="1"/>
  <c r="NS17" i="19" s="1" a="1"/>
  <c r="NS17" i="19" s="1"/>
  <c r="NN81" i="19" a="1"/>
  <c r="NN81" i="19" s="1"/>
  <c r="NS81" i="19" s="1" a="1"/>
  <c r="NS81" i="19" s="1"/>
  <c r="NN99" i="19" a="1"/>
  <c r="NN99" i="19" s="1"/>
  <c r="NS99" i="19" s="1" a="1"/>
  <c r="NS99" i="19" s="1"/>
  <c r="NN163" i="19" a="1"/>
  <c r="NN163" i="19" s="1"/>
  <c r="NS163" i="19" s="1" a="1"/>
  <c r="NS163" i="19" s="1"/>
  <c r="NN58" i="19" a="1"/>
  <c r="NN58" i="19" s="1"/>
  <c r="NS58" i="19" s="1" a="1"/>
  <c r="NS58" i="19" s="1"/>
  <c r="NN140" i="19" a="1"/>
  <c r="NN140" i="19" s="1"/>
  <c r="NS140" i="19" s="1" a="1"/>
  <c r="NS140" i="19" s="1"/>
  <c r="NN183" i="19" a="1"/>
  <c r="NN183" i="19" s="1"/>
  <c r="NS183" i="19" s="1" a="1"/>
  <c r="NS183" i="19" s="1"/>
  <c r="NN117" i="19" a="1"/>
  <c r="NN117" i="19" s="1"/>
  <c r="NS117" i="19" s="1" a="1"/>
  <c r="NS117" i="19" s="1"/>
  <c r="NN181" i="19" a="1"/>
  <c r="NN181" i="19" s="1"/>
  <c r="NS181" i="19" s="1" a="1"/>
  <c r="NS181" i="19" s="1"/>
  <c r="NN110" i="19" a="1"/>
  <c r="NN110" i="19" s="1"/>
  <c r="NS110" i="19" s="1" a="1"/>
  <c r="NS110" i="19" s="1"/>
  <c r="NN174" i="19" a="1"/>
  <c r="NN174" i="19" s="1"/>
  <c r="NS174" i="19" s="1" a="1"/>
  <c r="NS174" i="19" s="1"/>
  <c r="NN111" i="19" a="1"/>
  <c r="NN111" i="19" s="1"/>
  <c r="NS111" i="19" s="1" a="1"/>
  <c r="NS111" i="19" s="1"/>
  <c r="NN51" i="19" a="1"/>
  <c r="NN51" i="19" s="1"/>
  <c r="NS51" i="19" s="1" a="1"/>
  <c r="NS51" i="19" s="1"/>
  <c r="NN137" i="19" a="1"/>
  <c r="NN137" i="19" s="1"/>
  <c r="NS137" i="19" s="1" a="1"/>
  <c r="NS137" i="19" s="1"/>
  <c r="NN95" i="19" a="1"/>
  <c r="NN95" i="19" s="1"/>
  <c r="NS95" i="19" s="1" a="1"/>
  <c r="NS95" i="19" s="1"/>
  <c r="NN130" i="19" a="1"/>
  <c r="NN130" i="19" s="1"/>
  <c r="NS130" i="19" s="1" a="1"/>
  <c r="NS130" i="19" s="1"/>
  <c r="NN52" i="19" a="1"/>
  <c r="NN52" i="19" s="1"/>
  <c r="NS52" i="19" s="1" a="1"/>
  <c r="NS52" i="19" s="1"/>
  <c r="NN120" i="19" a="1"/>
  <c r="NN120" i="19" s="1"/>
  <c r="NS120" i="19" s="1" a="1"/>
  <c r="NS120" i="19" s="1"/>
  <c r="NV13" i="19" a="1"/>
  <c r="NV13" i="19" s="1"/>
  <c r="OF13" i="19" s="1" a="1"/>
  <c r="OF13" i="19" s="1"/>
  <c r="OG13" i="19" s="1" a="1"/>
  <c r="OG13" i="19" s="1"/>
  <c r="NV77" i="19" a="1"/>
  <c r="NV77" i="19" s="1"/>
  <c r="OF77" i="19" s="1" a="1"/>
  <c r="OF77" i="19" s="1"/>
  <c r="OG77" i="19" s="1" a="1"/>
  <c r="OG77" i="19" s="1"/>
  <c r="NV141" i="19" a="1"/>
  <c r="NV141" i="19" s="1"/>
  <c r="OF141" i="19" s="1" a="1"/>
  <c r="OF141" i="19" s="1"/>
  <c r="OG141" i="19" s="1" a="1"/>
  <c r="OG141" i="19" s="1"/>
  <c r="NV14" i="19" a="1"/>
  <c r="NV14" i="19" s="1"/>
  <c r="OF14" i="19" s="1" a="1"/>
  <c r="OF14" i="19" s="1"/>
  <c r="OG14" i="19" s="1" a="1"/>
  <c r="OG14" i="19" s="1"/>
  <c r="NV78" i="19" a="1"/>
  <c r="NV78" i="19" s="1"/>
  <c r="OF78" i="19" s="1" a="1"/>
  <c r="OF78" i="19" s="1"/>
  <c r="OG78" i="19" s="1" a="1"/>
  <c r="OG78" i="19" s="1"/>
  <c r="NV142" i="19" a="1"/>
  <c r="NV142" i="19" s="1"/>
  <c r="OF142" i="19" s="1" a="1"/>
  <c r="OF142" i="19" s="1"/>
  <c r="OG142" i="19" s="1" a="1"/>
  <c r="OG142" i="19" s="1"/>
  <c r="NV23" i="19" a="1"/>
  <c r="NV23" i="19" s="1"/>
  <c r="OF23" i="19" s="1" a="1"/>
  <c r="OF23" i="19" s="1"/>
  <c r="OG23" i="19" s="1" a="1"/>
  <c r="OG23" i="19" s="1"/>
  <c r="NV87" i="19" a="1"/>
  <c r="NV87" i="19" s="1"/>
  <c r="OF87" i="19" s="1" a="1"/>
  <c r="OF87" i="19" s="1"/>
  <c r="OG87" i="19" s="1" a="1"/>
  <c r="OG87" i="19" s="1"/>
  <c r="NV151" i="19" a="1"/>
  <c r="NV151" i="19" s="1"/>
  <c r="OF151" i="19" s="1" a="1"/>
  <c r="OF151" i="19" s="1"/>
  <c r="OG151" i="19" s="1" a="1"/>
  <c r="OG151" i="19" s="1"/>
  <c r="NV32" i="19" a="1"/>
  <c r="NV32" i="19" s="1"/>
  <c r="OF32" i="19" s="1" a="1"/>
  <c r="OF32" i="19" s="1"/>
  <c r="OG32" i="19" s="1" a="1"/>
  <c r="OG32" i="19" s="1"/>
  <c r="NV96" i="19" a="1"/>
  <c r="NV96" i="19" s="1"/>
  <c r="OF96" i="19" s="1" a="1"/>
  <c r="OF96" i="19" s="1"/>
  <c r="OG96" i="19" s="1" a="1"/>
  <c r="OG96" i="19" s="1"/>
  <c r="NV160" i="19" a="1"/>
  <c r="NV160" i="19" s="1"/>
  <c r="OF160" i="19" s="1" a="1"/>
  <c r="OF160" i="19" s="1"/>
  <c r="OG160" i="19" s="1" a="1"/>
  <c r="OG160" i="19" s="1"/>
  <c r="NV41" i="19" a="1"/>
  <c r="NV41" i="19" s="1"/>
  <c r="OF41" i="19" s="1" a="1"/>
  <c r="OF41" i="19" s="1"/>
  <c r="OG41" i="19" s="1" a="1"/>
  <c r="OG41" i="19" s="1"/>
  <c r="NV105" i="19" a="1"/>
  <c r="NV105" i="19" s="1"/>
  <c r="OF105" i="19" s="1" a="1"/>
  <c r="OF105" i="19" s="1"/>
  <c r="OG105" i="19" s="1" a="1"/>
  <c r="OG105" i="19" s="1"/>
  <c r="NV169" i="19" a="1"/>
  <c r="NV169" i="19" s="1"/>
  <c r="OF169" i="19" s="1" a="1"/>
  <c r="OF169" i="19" s="1"/>
  <c r="OG169" i="19" s="1" a="1"/>
  <c r="OG169" i="19" s="1"/>
  <c r="NV132" i="19" a="1"/>
  <c r="NV132" i="19" s="1"/>
  <c r="OF132" i="19" s="1" a="1"/>
  <c r="OF132" i="19" s="1"/>
  <c r="OG132" i="19" s="1" a="1"/>
  <c r="OG132" i="19" s="1"/>
  <c r="NV115" i="19" a="1"/>
  <c r="NV115" i="19" s="1"/>
  <c r="OF115" i="19" s="1" a="1"/>
  <c r="OF115" i="19" s="1"/>
  <c r="OG115" i="19" s="1" a="1"/>
  <c r="OG115" i="19" s="1"/>
  <c r="NV98" i="19" a="1"/>
  <c r="NV98" i="19" s="1"/>
  <c r="OF98" i="19" s="1" a="1"/>
  <c r="OF98" i="19" s="1"/>
  <c r="OG98" i="19" s="1" a="1"/>
  <c r="OG98" i="19" s="1"/>
  <c r="NV76" i="19" a="1"/>
  <c r="NV76" i="19" s="1"/>
  <c r="OF76" i="19" s="1" a="1"/>
  <c r="OF76" i="19" s="1"/>
  <c r="OG76" i="19" s="1" a="1"/>
  <c r="OG76" i="19" s="1"/>
  <c r="NV59" i="19" a="1"/>
  <c r="NV59" i="19" s="1"/>
  <c r="OF59" i="19" s="1" a="1"/>
  <c r="OF59" i="19" s="1"/>
  <c r="OG59" i="19" s="1" a="1"/>
  <c r="OG59" i="19" s="1"/>
  <c r="NV43" i="19" a="1"/>
  <c r="NV43" i="19" s="1"/>
  <c r="OF43" i="19" s="1" a="1"/>
  <c r="OF43" i="19" s="1"/>
  <c r="OG43" i="19" s="1" a="1"/>
  <c r="OG43" i="19" s="1"/>
  <c r="NV44" i="19" a="1"/>
  <c r="NV44" i="19" s="1"/>
  <c r="OF44" i="19" s="1" a="1"/>
  <c r="OF44" i="19" s="1"/>
  <c r="OG44" i="19" s="1" a="1"/>
  <c r="OG44" i="19" s="1"/>
  <c r="NV172" i="19" a="1"/>
  <c r="NV172" i="19" s="1"/>
  <c r="OF172" i="19" s="1" a="1"/>
  <c r="OF172" i="19" s="1"/>
  <c r="OG172" i="19" s="1" a="1"/>
  <c r="OG172" i="19" s="1"/>
  <c r="NN9" i="19" a="1"/>
  <c r="NN9" i="19" s="1"/>
  <c r="NS9" i="19" s="1" a="1"/>
  <c r="NS9" i="19" s="1"/>
  <c r="NN103" i="19" a="1"/>
  <c r="NN103" i="19" s="1"/>
  <c r="NS103" i="19" s="1" a="1"/>
  <c r="NS103" i="19" s="1"/>
  <c r="NN186" i="19" a="1"/>
  <c r="NN186" i="19" s="1"/>
  <c r="NS186" i="19" s="1" a="1"/>
  <c r="NS186" i="19" s="1"/>
  <c r="NV15" i="19" a="1"/>
  <c r="NV15" i="19" s="1"/>
  <c r="OF15" i="19" s="1" a="1"/>
  <c r="OF15" i="19" s="1"/>
  <c r="OG15" i="19" s="1" a="1"/>
  <c r="OG15" i="19" s="1"/>
  <c r="NV161" i="19" a="1"/>
  <c r="NV161" i="19" s="1"/>
  <c r="OF161" i="19" s="1" a="1"/>
  <c r="OF161" i="19" s="1"/>
  <c r="OG161" i="19" s="1" a="1"/>
  <c r="OG161" i="19" s="1"/>
  <c r="NV26" i="19" a="1"/>
  <c r="NV26" i="19" s="1"/>
  <c r="OF26" i="19" s="1" a="1"/>
  <c r="OF26" i="19" s="1"/>
  <c r="OG26" i="19" s="1" a="1"/>
  <c r="OG26" i="19" s="1"/>
  <c r="NN21" i="19" a="1"/>
  <c r="NN21" i="19" s="1"/>
  <c r="NS21" i="19" s="1" a="1"/>
  <c r="NS21" i="19" s="1"/>
  <c r="NN85" i="19" a="1"/>
  <c r="NN85" i="19" s="1"/>
  <c r="NS85" i="19" s="1" a="1"/>
  <c r="NS85" i="19" s="1"/>
  <c r="NN7" i="19" a="1"/>
  <c r="NN7" i="19" s="1"/>
  <c r="NS7" i="19" s="1" a="1"/>
  <c r="NS7" i="19" s="1"/>
  <c r="NN71" i="19" a="1"/>
  <c r="NN71" i="19" s="1"/>
  <c r="NS71" i="19" s="1" a="1"/>
  <c r="NS71" i="19" s="1"/>
  <c r="NN48" i="19" a="1"/>
  <c r="NN48" i="19" s="1"/>
  <c r="NS48" i="19" s="1" a="1"/>
  <c r="NS48" i="19" s="1"/>
  <c r="NN25" i="19" a="1"/>
  <c r="NN25" i="19" s="1"/>
  <c r="NS25" i="19" s="1" a="1"/>
  <c r="NS25" i="19" s="1"/>
  <c r="NT25" i="19" s="1" a="1"/>
  <c r="NT25" i="19" s="1"/>
  <c r="NN89" i="19" a="1"/>
  <c r="NN89" i="19" s="1"/>
  <c r="NS89" i="19" s="1" a="1"/>
  <c r="NS89" i="19" s="1"/>
  <c r="NN107" i="19" a="1"/>
  <c r="NN107" i="19" s="1"/>
  <c r="NS107" i="19" s="1" a="1"/>
  <c r="NS107" i="19" s="1"/>
  <c r="NN171" i="19" a="1"/>
  <c r="NN171" i="19" s="1"/>
  <c r="NS171" i="19" s="1" a="1"/>
  <c r="NS171" i="19" s="1"/>
  <c r="NN74" i="19" a="1"/>
  <c r="NN74" i="19" s="1"/>
  <c r="NS74" i="19" s="1" a="1"/>
  <c r="NS74" i="19" s="1"/>
  <c r="NN148" i="19" a="1"/>
  <c r="NN148" i="19" s="1"/>
  <c r="NS148" i="19" s="1" a="1"/>
  <c r="NS148" i="19" s="1"/>
  <c r="NN19" i="19" a="1"/>
  <c r="NN19" i="19" s="1"/>
  <c r="NS19" i="19" s="1" a="1"/>
  <c r="NS19" i="19" s="1"/>
  <c r="NN125" i="19" a="1"/>
  <c r="NN125" i="19" s="1"/>
  <c r="NS125" i="19" s="1" a="1"/>
  <c r="NS125" i="19" s="1"/>
  <c r="NN118" i="19" a="1"/>
  <c r="NN118" i="19" s="1"/>
  <c r="NS118" i="19" s="1" a="1"/>
  <c r="NS118" i="19" s="1"/>
  <c r="NN182" i="19" a="1"/>
  <c r="NN182" i="19" s="1"/>
  <c r="NS182" i="19" s="1" a="1"/>
  <c r="NS182" i="19" s="1"/>
  <c r="NN135" i="19" a="1"/>
  <c r="NN135" i="19" s="1"/>
  <c r="NS135" i="19" s="1" a="1"/>
  <c r="NS135" i="19" s="1"/>
  <c r="NN67" i="19" a="1"/>
  <c r="NN67" i="19" s="1"/>
  <c r="NS67" i="19" s="1" a="1"/>
  <c r="NS67" i="19" s="1"/>
  <c r="NN145" i="19" a="1"/>
  <c r="NN145" i="19" s="1"/>
  <c r="NS145" i="19" s="1" a="1"/>
  <c r="NS145" i="19" s="1"/>
  <c r="NN128" i="19" a="1"/>
  <c r="NN128" i="19" s="1"/>
  <c r="NS128" i="19" s="1" a="1"/>
  <c r="NS128" i="19" s="1"/>
  <c r="NN162" i="19" a="1"/>
  <c r="NN162" i="19" s="1"/>
  <c r="NS162" i="19" s="1" a="1"/>
  <c r="NS162" i="19" s="1"/>
  <c r="NT162" i="19" s="1" a="1"/>
  <c r="NT162" i="19" s="1"/>
  <c r="NN106" i="19" a="1"/>
  <c r="NN106" i="19" s="1"/>
  <c r="NS106" i="19" s="1" a="1"/>
  <c r="NS106" i="19" s="1"/>
  <c r="NN152" i="19" a="1"/>
  <c r="NN152" i="19" s="1"/>
  <c r="NS152" i="19" s="1" a="1"/>
  <c r="NS152" i="19" s="1"/>
  <c r="NV21" i="19" a="1"/>
  <c r="NV21" i="19" s="1"/>
  <c r="OF21" i="19" s="1" a="1"/>
  <c r="OF21" i="19" s="1"/>
  <c r="OG21" i="19" s="1" a="1"/>
  <c r="OG21" i="19" s="1"/>
  <c r="NV85" i="19" a="1"/>
  <c r="NV85" i="19" s="1"/>
  <c r="OF85" i="19" s="1" a="1"/>
  <c r="OF85" i="19" s="1"/>
  <c r="OG85" i="19" s="1" a="1"/>
  <c r="OG85" i="19" s="1"/>
  <c r="NV149" i="19" a="1"/>
  <c r="NV149" i="19" s="1"/>
  <c r="OF149" i="19" s="1" a="1"/>
  <c r="OF149" i="19" s="1"/>
  <c r="OG149" i="19" s="1" a="1"/>
  <c r="OG149" i="19" s="1"/>
  <c r="NV22" i="19" a="1"/>
  <c r="NV22" i="19" s="1"/>
  <c r="OF22" i="19" s="1" a="1"/>
  <c r="OF22" i="19" s="1"/>
  <c r="OG22" i="19" s="1" a="1"/>
  <c r="OG22" i="19" s="1"/>
  <c r="NV86" i="19" a="1"/>
  <c r="NV86" i="19" s="1"/>
  <c r="OF86" i="19" s="1" a="1"/>
  <c r="OF86" i="19" s="1"/>
  <c r="OG86" i="19" s="1" a="1"/>
  <c r="OG86" i="19" s="1"/>
  <c r="NV150" i="19" a="1"/>
  <c r="NV150" i="19" s="1"/>
  <c r="OF150" i="19" s="1" a="1"/>
  <c r="OF150" i="19" s="1"/>
  <c r="OG150" i="19" s="1" a="1"/>
  <c r="OG150" i="19" s="1"/>
  <c r="NV31" i="19" a="1"/>
  <c r="NV31" i="19" s="1"/>
  <c r="OF31" i="19" s="1" a="1"/>
  <c r="OF31" i="19" s="1"/>
  <c r="OG31" i="19" s="1" a="1"/>
  <c r="OG31" i="19" s="1"/>
  <c r="NV95" i="19" a="1"/>
  <c r="NV95" i="19" s="1"/>
  <c r="OF95" i="19" s="1" a="1"/>
  <c r="OF95" i="19" s="1"/>
  <c r="OG95" i="19" s="1" a="1"/>
  <c r="OG95" i="19" s="1"/>
  <c r="NV159" i="19" a="1"/>
  <c r="NV159" i="19" s="1"/>
  <c r="OF159" i="19" s="1" a="1"/>
  <c r="OF159" i="19" s="1"/>
  <c r="OG159" i="19" s="1" a="1"/>
  <c r="OG159" i="19" s="1"/>
  <c r="NV40" i="19" a="1"/>
  <c r="NV40" i="19" s="1"/>
  <c r="OF40" i="19" s="1" a="1"/>
  <c r="OF40" i="19" s="1"/>
  <c r="OG40" i="19" s="1" a="1"/>
  <c r="OG40" i="19" s="1"/>
  <c r="NV104" i="19" a="1"/>
  <c r="NV104" i="19" s="1"/>
  <c r="OF104" i="19" s="1" a="1"/>
  <c r="OF104" i="19" s="1"/>
  <c r="OG104" i="19" s="1" a="1"/>
  <c r="OG104" i="19" s="1"/>
  <c r="NV168" i="19" a="1"/>
  <c r="NV168" i="19" s="1"/>
  <c r="OF168" i="19" s="1" a="1"/>
  <c r="OF168" i="19" s="1"/>
  <c r="OG168" i="19" s="1" a="1"/>
  <c r="OG168" i="19" s="1"/>
  <c r="NV49" i="19" a="1"/>
  <c r="NV49" i="19" s="1"/>
  <c r="OF49" i="19" s="1" a="1"/>
  <c r="OF49" i="19" s="1"/>
  <c r="OG49" i="19" s="1" a="1"/>
  <c r="OG49" i="19" s="1"/>
  <c r="NV113" i="19" a="1"/>
  <c r="NV113" i="19" s="1"/>
  <c r="OF113" i="19" s="1" a="1"/>
  <c r="OF113" i="19" s="1"/>
  <c r="OG113" i="19" s="1" a="1"/>
  <c r="OG113" i="19" s="1"/>
  <c r="NV177" i="19" a="1"/>
  <c r="NV177" i="19" s="1"/>
  <c r="OF177" i="19" s="1" a="1"/>
  <c r="OF177" i="19" s="1"/>
  <c r="OG177" i="19" s="1" a="1"/>
  <c r="OG177" i="19" s="1"/>
  <c r="NV155" i="19" a="1"/>
  <c r="NV155" i="19" s="1"/>
  <c r="OF155" i="19" s="1" a="1"/>
  <c r="OF155" i="19" s="1"/>
  <c r="OG155" i="19" s="1" a="1"/>
  <c r="OG155" i="19" s="1"/>
  <c r="NV138" i="19" a="1"/>
  <c r="NV138" i="19" s="1"/>
  <c r="OF138" i="19" s="1" a="1"/>
  <c r="OF138" i="19" s="1"/>
  <c r="OG138" i="19" s="1" a="1"/>
  <c r="OG138" i="19" s="1"/>
  <c r="NV116" i="19" a="1"/>
  <c r="NV116" i="19" s="1"/>
  <c r="OF116" i="19" s="1" a="1"/>
  <c r="OF116" i="19" s="1"/>
  <c r="OG116" i="19" s="1" a="1"/>
  <c r="OG116" i="19" s="1"/>
  <c r="NV99" i="19" a="1"/>
  <c r="NV99" i="19" s="1"/>
  <c r="OF99" i="19" s="1" a="1"/>
  <c r="OF99" i="19" s="1"/>
  <c r="OG99" i="19" s="1" a="1"/>
  <c r="OG99" i="19" s="1"/>
  <c r="NV82" i="19" a="1"/>
  <c r="NV82" i="19" s="1"/>
  <c r="OF82" i="19" s="1" a="1"/>
  <c r="OF82" i="19" s="1"/>
  <c r="OG82" i="19" s="1" a="1"/>
  <c r="OG82" i="19" s="1"/>
  <c r="NV66" i="19" a="1"/>
  <c r="NV66" i="19" s="1"/>
  <c r="OF66" i="19" s="1" a="1"/>
  <c r="OF66" i="19" s="1"/>
  <c r="OG66" i="19" s="1" a="1"/>
  <c r="OG66" i="19" s="1"/>
  <c r="NV19" i="19" a="1"/>
  <c r="NV19" i="19" s="1"/>
  <c r="OF19" i="19" s="1" a="1"/>
  <c r="OF19" i="19" s="1"/>
  <c r="OG19" i="19" s="1" a="1"/>
  <c r="OG19" i="19" s="1"/>
  <c r="NV67" i="19" a="1"/>
  <c r="NV67" i="19" s="1"/>
  <c r="OF67" i="19" s="1" a="1"/>
  <c r="OF67" i="19" s="1"/>
  <c r="OG67" i="19" s="1" a="1"/>
  <c r="OG67" i="19" s="1"/>
  <c r="NN73" i="19" a="1"/>
  <c r="NN73" i="19" s="1"/>
  <c r="NS73" i="19" s="1" a="1"/>
  <c r="NS73" i="19" s="1"/>
  <c r="NN166" i="19" a="1"/>
  <c r="NN166" i="19" s="1"/>
  <c r="NS166" i="19" s="1" a="1"/>
  <c r="NS166" i="19" s="1"/>
  <c r="NN66" i="19" a="1"/>
  <c r="NN66" i="19" s="1"/>
  <c r="NS66" i="19" s="1" a="1"/>
  <c r="NS66" i="19" s="1"/>
  <c r="NV70" i="19" a="1"/>
  <c r="NV70" i="19" s="1"/>
  <c r="OF70" i="19" s="1" a="1"/>
  <c r="OF70" i="19" s="1"/>
  <c r="OG70" i="19" s="1" a="1"/>
  <c r="OG70" i="19" s="1"/>
  <c r="NV24" i="19" a="1"/>
  <c r="NV24" i="19" s="1"/>
  <c r="OF24" i="19" s="1" a="1"/>
  <c r="OF24" i="19" s="1"/>
  <c r="OG24" i="19" s="1" a="1"/>
  <c r="OG24" i="19" s="1"/>
  <c r="NV92" i="19" a="1"/>
  <c r="NV92" i="19" s="1"/>
  <c r="OF92" i="19" s="1" a="1"/>
  <c r="OF92" i="19" s="1"/>
  <c r="OG92" i="19" s="1" a="1"/>
  <c r="OG92" i="19" s="1"/>
  <c r="NV147" i="19" a="1"/>
  <c r="NV147" i="19" s="1"/>
  <c r="OF147" i="19" s="1" a="1"/>
  <c r="OF147" i="19" s="1"/>
  <c r="OG147" i="19" s="1" a="1"/>
  <c r="OG147" i="19" s="1"/>
  <c r="NN29" i="19" a="1"/>
  <c r="NN29" i="19" s="1"/>
  <c r="NS29" i="19" s="1" a="1"/>
  <c r="NS29" i="19" s="1"/>
  <c r="NN93" i="19" a="1"/>
  <c r="NN93" i="19" s="1"/>
  <c r="NS93" i="19" s="1" a="1"/>
  <c r="NS93" i="19" s="1"/>
  <c r="NN15" i="19" a="1"/>
  <c r="NN15" i="19" s="1"/>
  <c r="NS15" i="19" s="1" a="1"/>
  <c r="NS15" i="19" s="1"/>
  <c r="NN79" i="19" a="1"/>
  <c r="NN79" i="19" s="1"/>
  <c r="NS79" i="19" s="1" a="1"/>
  <c r="NS79" i="19" s="1"/>
  <c r="NN56" i="19" a="1"/>
  <c r="NN56" i="19" s="1"/>
  <c r="NS56" i="19" s="1" a="1"/>
  <c r="NS56" i="19" s="1"/>
  <c r="NN33" i="19" a="1"/>
  <c r="NN33" i="19" s="1"/>
  <c r="NS33" i="19" s="1" a="1"/>
  <c r="NS33" i="19" s="1"/>
  <c r="NN97" i="19" a="1"/>
  <c r="NN97" i="19" s="1"/>
  <c r="NS97" i="19" s="1" a="1"/>
  <c r="NS97" i="19" s="1"/>
  <c r="NN115" i="19" a="1"/>
  <c r="NN115" i="19" s="1"/>
  <c r="NS115" i="19" s="1" a="1"/>
  <c r="NS115" i="19" s="1"/>
  <c r="NN179" i="19" a="1"/>
  <c r="NN179" i="19" s="1"/>
  <c r="NS179" i="19" s="1" a="1"/>
  <c r="NS179" i="19" s="1"/>
  <c r="NN90" i="19" a="1"/>
  <c r="NN90" i="19" s="1"/>
  <c r="NS90" i="19" s="1" a="1"/>
  <c r="NS90" i="19" s="1"/>
  <c r="NN156" i="19" a="1"/>
  <c r="NN156" i="19" s="1"/>
  <c r="NS156" i="19" s="1" a="1"/>
  <c r="NS156" i="19" s="1"/>
  <c r="NN42" i="19" a="1"/>
  <c r="NN42" i="19" s="1"/>
  <c r="NS42" i="19" s="1" a="1"/>
  <c r="NS42" i="19" s="1"/>
  <c r="NN133" i="19" a="1"/>
  <c r="NN133" i="19" s="1"/>
  <c r="NS133" i="19" s="1" a="1"/>
  <c r="NS133" i="19" s="1"/>
  <c r="NN20" i="19" a="1"/>
  <c r="NN20" i="19" s="1"/>
  <c r="NS20" i="19" s="1" a="1"/>
  <c r="NS20" i="19" s="1"/>
  <c r="NT20" i="19" s="1" a="1"/>
  <c r="NT20" i="19" s="1"/>
  <c r="NN126" i="19" a="1"/>
  <c r="NN126" i="19" s="1"/>
  <c r="NS126" i="19" s="1" a="1"/>
  <c r="NS126" i="19" s="1"/>
  <c r="NN78" i="19" a="1"/>
  <c r="NN78" i="19" s="1"/>
  <c r="NS78" i="19" s="1" a="1"/>
  <c r="NS78" i="19" s="1"/>
  <c r="NN143" i="19" a="1"/>
  <c r="NN143" i="19" s="1"/>
  <c r="NS143" i="19" s="1" a="1"/>
  <c r="NS143" i="19" s="1"/>
  <c r="NN83" i="19" a="1"/>
  <c r="NN83" i="19" s="1"/>
  <c r="NS83" i="19" s="1" a="1"/>
  <c r="NS83" i="19" s="1"/>
  <c r="NN153" i="19" a="1"/>
  <c r="NN153" i="19" s="1"/>
  <c r="NS153" i="19" s="1" a="1"/>
  <c r="NS153" i="19" s="1"/>
  <c r="NN160" i="19" a="1"/>
  <c r="NN160" i="19" s="1"/>
  <c r="NS160" i="19" s="1" a="1"/>
  <c r="NS160" i="19" s="1"/>
  <c r="NN144" i="19" a="1"/>
  <c r="NN144" i="19" s="1"/>
  <c r="NS144" i="19" s="1" a="1"/>
  <c r="NS144" i="19" s="1"/>
  <c r="NN138" i="19" a="1"/>
  <c r="NN138" i="19" s="1"/>
  <c r="NS138" i="19" s="1" a="1"/>
  <c r="NS138" i="19" s="1"/>
  <c r="NN184" i="19" a="1"/>
  <c r="NN184" i="19" s="1"/>
  <c r="NS184" i="19" s="1" a="1"/>
  <c r="NS184" i="19" s="1"/>
  <c r="NV29" i="19" a="1"/>
  <c r="NV29" i="19" s="1"/>
  <c r="OF29" i="19" s="1" a="1"/>
  <c r="OF29" i="19" s="1"/>
  <c r="OG29" i="19" s="1" a="1"/>
  <c r="OG29" i="19" s="1"/>
  <c r="NV93" i="19" a="1"/>
  <c r="NV93" i="19" s="1"/>
  <c r="OF93" i="19" s="1" a="1"/>
  <c r="OF93" i="19" s="1"/>
  <c r="OG93" i="19" s="1" a="1"/>
  <c r="OG93" i="19" s="1"/>
  <c r="NV157" i="19" a="1"/>
  <c r="NV157" i="19" s="1"/>
  <c r="OF157" i="19" s="1" a="1"/>
  <c r="OF157" i="19" s="1"/>
  <c r="OG157" i="19" s="1" a="1"/>
  <c r="OG157" i="19" s="1"/>
  <c r="NV30" i="19" a="1"/>
  <c r="NV30" i="19" s="1"/>
  <c r="OF30" i="19" s="1" a="1"/>
  <c r="OF30" i="19" s="1"/>
  <c r="OG30" i="19" s="1" a="1"/>
  <c r="OG30" i="19" s="1"/>
  <c r="NV94" i="19" a="1"/>
  <c r="NV94" i="19" s="1"/>
  <c r="OF94" i="19" s="1" a="1"/>
  <c r="OF94" i="19" s="1"/>
  <c r="OG94" i="19" s="1" a="1"/>
  <c r="OG94" i="19" s="1"/>
  <c r="NV158" i="19" a="1"/>
  <c r="NV158" i="19" s="1"/>
  <c r="OF158" i="19" s="1" a="1"/>
  <c r="OF158" i="19" s="1"/>
  <c r="OG158" i="19" s="1" a="1"/>
  <c r="OG158" i="19" s="1"/>
  <c r="NV39" i="19" a="1"/>
  <c r="NV39" i="19" s="1"/>
  <c r="OF39" i="19" s="1" a="1"/>
  <c r="OF39" i="19" s="1"/>
  <c r="OG39" i="19" s="1" a="1"/>
  <c r="OG39" i="19" s="1"/>
  <c r="NV103" i="19" a="1"/>
  <c r="NV103" i="19" s="1"/>
  <c r="OF103" i="19" s="1" a="1"/>
  <c r="OF103" i="19" s="1"/>
  <c r="OG103" i="19" s="1" a="1"/>
  <c r="OG103" i="19" s="1"/>
  <c r="NV167" i="19" a="1"/>
  <c r="NV167" i="19" s="1"/>
  <c r="OF167" i="19" s="1" a="1"/>
  <c r="OF167" i="19" s="1"/>
  <c r="OG167" i="19" s="1" a="1"/>
  <c r="OG167" i="19" s="1"/>
  <c r="NV48" i="19" a="1"/>
  <c r="NV48" i="19" s="1"/>
  <c r="OF48" i="19" s="1" a="1"/>
  <c r="OF48" i="19" s="1"/>
  <c r="OG48" i="19" s="1" a="1"/>
  <c r="OG48" i="19" s="1"/>
  <c r="NV112" i="19" a="1"/>
  <c r="NV112" i="19" s="1"/>
  <c r="OF112" i="19" s="1" a="1"/>
  <c r="OF112" i="19" s="1"/>
  <c r="OG112" i="19" s="1" a="1"/>
  <c r="OG112" i="19" s="1"/>
  <c r="NV176" i="19" a="1"/>
  <c r="NV176" i="19" s="1"/>
  <c r="OF176" i="19" s="1" a="1"/>
  <c r="OF176" i="19" s="1"/>
  <c r="OG176" i="19" s="1" a="1"/>
  <c r="OG176" i="19" s="1"/>
  <c r="NV57" i="19" a="1"/>
  <c r="NV57" i="19" s="1"/>
  <c r="OF57" i="19" s="1" a="1"/>
  <c r="OF57" i="19" s="1"/>
  <c r="OG57" i="19" s="1" a="1"/>
  <c r="OG57" i="19" s="1"/>
  <c r="NV121" i="19" a="1"/>
  <c r="NV121" i="19" s="1"/>
  <c r="OF121" i="19" s="1" a="1"/>
  <c r="OF121" i="19" s="1"/>
  <c r="OG121" i="19" s="1" a="1"/>
  <c r="OG121" i="19" s="1"/>
  <c r="NV185" i="19" a="1"/>
  <c r="NV185" i="19" s="1"/>
  <c r="OF185" i="19" s="1" a="1"/>
  <c r="OF185" i="19" s="1"/>
  <c r="OG185" i="19" s="1" a="1"/>
  <c r="OG185" i="19" s="1"/>
  <c r="NV178" i="19" a="1"/>
  <c r="NV178" i="19" s="1"/>
  <c r="OF178" i="19" s="1" a="1"/>
  <c r="OF178" i="19" s="1"/>
  <c r="OG178" i="19" s="1" a="1"/>
  <c r="OG178" i="19" s="1"/>
  <c r="NV156" i="19" a="1"/>
  <c r="NV156" i="19" s="1"/>
  <c r="OF156" i="19" s="1" a="1"/>
  <c r="OF156" i="19" s="1"/>
  <c r="OG156" i="19" s="1" a="1"/>
  <c r="OG156" i="19" s="1"/>
  <c r="NV139" i="19" a="1"/>
  <c r="NV139" i="19" s="1"/>
  <c r="OF139" i="19" s="1" a="1"/>
  <c r="OF139" i="19" s="1"/>
  <c r="OG139" i="19" s="1" a="1"/>
  <c r="OG139" i="19" s="1"/>
  <c r="NV122" i="19" a="1"/>
  <c r="NV122" i="19" s="1"/>
  <c r="OF122" i="19" s="1" a="1"/>
  <c r="OF122" i="19" s="1"/>
  <c r="OG122" i="19" s="1" a="1"/>
  <c r="OG122" i="19" s="1"/>
  <c r="NV100" i="19" a="1"/>
  <c r="NV100" i="19" s="1"/>
  <c r="OF100" i="19" s="1" a="1"/>
  <c r="OF100" i="19" s="1"/>
  <c r="OG100" i="19" s="1" a="1"/>
  <c r="OG100" i="19" s="1"/>
  <c r="NV84" i="19" a="1"/>
  <c r="NV84" i="19" s="1"/>
  <c r="OF84" i="19" s="1" a="1"/>
  <c r="OF84" i="19" s="1"/>
  <c r="OG84" i="19" s="1" a="1"/>
  <c r="OG84" i="19" s="1"/>
  <c r="NV124" i="19" a="1"/>
  <c r="NV124" i="19" s="1"/>
  <c r="OF124" i="19" s="1" a="1"/>
  <c r="OF124" i="19" s="1"/>
  <c r="OG124" i="19" s="1" a="1"/>
  <c r="OG124" i="19" s="1"/>
  <c r="NV154" i="19" a="1"/>
  <c r="NV154" i="19" s="1"/>
  <c r="OF154" i="19" s="1" a="1"/>
  <c r="OF154" i="19" s="1"/>
  <c r="OG154" i="19" s="1" a="1"/>
  <c r="OG154" i="19" s="1"/>
  <c r="NN55" i="19" a="1"/>
  <c r="NN55" i="19" s="1"/>
  <c r="NS55" i="19" s="1" a="1"/>
  <c r="NS55" i="19" s="1"/>
  <c r="NN102" i="19" a="1"/>
  <c r="NN102" i="19" s="1"/>
  <c r="NS102" i="19" s="1" a="1"/>
  <c r="NS102" i="19" s="1"/>
  <c r="NN98" i="19" a="1"/>
  <c r="NN98" i="19" s="1"/>
  <c r="NS98" i="19" s="1" a="1"/>
  <c r="NS98" i="19" s="1"/>
  <c r="NV134" i="19" a="1"/>
  <c r="NV134" i="19" s="1"/>
  <c r="OF134" i="19" s="1" a="1"/>
  <c r="OF134" i="19" s="1"/>
  <c r="OG134" i="19" s="1" a="1"/>
  <c r="OG134" i="19" s="1"/>
  <c r="NV152" i="19" a="1"/>
  <c r="NV152" i="19" s="1"/>
  <c r="OF152" i="19" s="1" a="1"/>
  <c r="OF152" i="19" s="1"/>
  <c r="OG152" i="19" s="1" a="1"/>
  <c r="OG152" i="19" s="1"/>
  <c r="NV58" i="19" a="1"/>
  <c r="NV58" i="19" s="1"/>
  <c r="OF58" i="19" s="1" a="1"/>
  <c r="OF58" i="19" s="1"/>
  <c r="OG58" i="19" s="1" a="1"/>
  <c r="OG58" i="19" s="1"/>
  <c r="NN37" i="19" a="1"/>
  <c r="NN37" i="19" s="1"/>
  <c r="NS37" i="19" s="1" a="1"/>
  <c r="NS37" i="19" s="1"/>
  <c r="NN6" i="19" a="1"/>
  <c r="NN6" i="19" s="1"/>
  <c r="NS6" i="19" s="1" a="1"/>
  <c r="NS6" i="19" s="1"/>
  <c r="NN23" i="19" a="1"/>
  <c r="NN23" i="19" s="1"/>
  <c r="NS23" i="19" s="1" a="1"/>
  <c r="NS23" i="19" s="1"/>
  <c r="NN87" i="19" a="1"/>
  <c r="NN87" i="19" s="1"/>
  <c r="NS87" i="19" s="1" a="1"/>
  <c r="NS87" i="19" s="1"/>
  <c r="NN64" i="19" a="1"/>
  <c r="NN64" i="19" s="1"/>
  <c r="NS64" i="19" s="1" a="1"/>
  <c r="NS64" i="19" s="1"/>
  <c r="NN41" i="19" a="1"/>
  <c r="NN41" i="19" s="1"/>
  <c r="NS41" i="19" s="1" a="1"/>
  <c r="NS41" i="19" s="1"/>
  <c r="NN12" i="19" a="1"/>
  <c r="NN12" i="19" s="1"/>
  <c r="NS12" i="19" s="1" a="1"/>
  <c r="NS12" i="19" s="1"/>
  <c r="NN123" i="19" a="1"/>
  <c r="NN123" i="19" s="1"/>
  <c r="NS123" i="19" s="1" a="1"/>
  <c r="NS123" i="19" s="1"/>
  <c r="NN187" i="19" a="1"/>
  <c r="NN187" i="19" s="1"/>
  <c r="NS187" i="19" s="1" a="1"/>
  <c r="NS187" i="19" s="1"/>
  <c r="NT187" i="19" s="1" a="1"/>
  <c r="NT187" i="19" s="1"/>
  <c r="NN100" i="19" a="1"/>
  <c r="NN100" i="19" s="1"/>
  <c r="NS100" i="19" s="1" a="1"/>
  <c r="NS100" i="19" s="1"/>
  <c r="NN164" i="19" a="1"/>
  <c r="NN164" i="19" s="1"/>
  <c r="NS164" i="19" s="1" a="1"/>
  <c r="NS164" i="19" s="1"/>
  <c r="NN59" i="19" a="1"/>
  <c r="NN59" i="19" s="1"/>
  <c r="NS59" i="19" s="1" a="1"/>
  <c r="NS59" i="19" s="1"/>
  <c r="NN141" i="19" a="1"/>
  <c r="NN141" i="19" s="1"/>
  <c r="NS141" i="19" s="1" a="1"/>
  <c r="NS141" i="19" s="1"/>
  <c r="NN43" i="19" a="1"/>
  <c r="NN43" i="19" s="1"/>
  <c r="NS43" i="19" s="1" a="1"/>
  <c r="NS43" i="19" s="1"/>
  <c r="NN134" i="19" a="1"/>
  <c r="NN134" i="19" s="1"/>
  <c r="NS134" i="19" s="1" a="1"/>
  <c r="NS134" i="19" s="1"/>
  <c r="NN26" i="19" a="1"/>
  <c r="NN26" i="19" s="1"/>
  <c r="NS26" i="19" s="1" a="1"/>
  <c r="NS26" i="19" s="1"/>
  <c r="NN151" i="19" a="1"/>
  <c r="NN151" i="19" s="1"/>
  <c r="NS151" i="19" s="1" a="1"/>
  <c r="NS151" i="19" s="1"/>
  <c r="NN96" i="19" a="1"/>
  <c r="NN96" i="19" s="1"/>
  <c r="NS96" i="19" s="1" a="1"/>
  <c r="NS96" i="19" s="1"/>
  <c r="NN161" i="19" a="1"/>
  <c r="NN161" i="19" s="1"/>
  <c r="NS161" i="19" s="1" a="1"/>
  <c r="NS161" i="19" s="1"/>
  <c r="NN112" i="19" a="1"/>
  <c r="NN112" i="19" s="1"/>
  <c r="NS112" i="19" s="1" a="1"/>
  <c r="NS112" i="19" s="1"/>
  <c r="NN50" i="19" a="1"/>
  <c r="NN50" i="19" s="1"/>
  <c r="NS50" i="19" s="1" a="1"/>
  <c r="NS50" i="19" s="1"/>
  <c r="NN170" i="19" a="1"/>
  <c r="NN170" i="19" s="1"/>
  <c r="NS170" i="19" s="1" a="1"/>
  <c r="NS170" i="19" s="1"/>
  <c r="NN11" i="19" a="1"/>
  <c r="NN11" i="19" s="1"/>
  <c r="NS11" i="19" s="1" a="1"/>
  <c r="NS11" i="19" s="1"/>
  <c r="NV37" i="19" a="1"/>
  <c r="NV37" i="19" s="1"/>
  <c r="OF37" i="19" s="1" a="1"/>
  <c r="OF37" i="19" s="1"/>
  <c r="OG37" i="19" s="1" a="1"/>
  <c r="OG37" i="19" s="1"/>
  <c r="NV101" i="19" a="1"/>
  <c r="NV101" i="19" s="1"/>
  <c r="OF101" i="19" s="1" a="1"/>
  <c r="OF101" i="19" s="1"/>
  <c r="OG101" i="19" s="1" a="1"/>
  <c r="OG101" i="19" s="1"/>
  <c r="NV165" i="19" a="1"/>
  <c r="NV165" i="19" s="1"/>
  <c r="OF165" i="19" s="1" a="1"/>
  <c r="OF165" i="19" s="1"/>
  <c r="OG165" i="19" s="1" a="1"/>
  <c r="OG165" i="19" s="1"/>
  <c r="NV38" i="19" a="1"/>
  <c r="NV38" i="19" s="1"/>
  <c r="OF38" i="19" s="1" a="1"/>
  <c r="OF38" i="19" s="1"/>
  <c r="OG38" i="19" s="1" a="1"/>
  <c r="OG38" i="19" s="1"/>
  <c r="NV102" i="19" a="1"/>
  <c r="NV102" i="19" s="1"/>
  <c r="OF102" i="19" s="1" a="1"/>
  <c r="OF102" i="19" s="1"/>
  <c r="OG102" i="19" s="1" a="1"/>
  <c r="OG102" i="19" s="1"/>
  <c r="NV166" i="19" a="1"/>
  <c r="NV166" i="19" s="1"/>
  <c r="OF166" i="19" s="1" a="1"/>
  <c r="OF166" i="19" s="1"/>
  <c r="OG166" i="19" s="1" a="1"/>
  <c r="OG166" i="19" s="1"/>
  <c r="NV47" i="19" a="1"/>
  <c r="NV47" i="19" s="1"/>
  <c r="OF47" i="19" s="1" a="1"/>
  <c r="OF47" i="19" s="1"/>
  <c r="OG47" i="19" s="1" a="1"/>
  <c r="OG47" i="19" s="1"/>
  <c r="NV111" i="19" a="1"/>
  <c r="NV111" i="19" s="1"/>
  <c r="OF111" i="19" s="1" a="1"/>
  <c r="OF111" i="19" s="1"/>
  <c r="OG111" i="19" s="1" a="1"/>
  <c r="OG111" i="19" s="1"/>
  <c r="NV175" i="19" a="1"/>
  <c r="NV175" i="19" s="1"/>
  <c r="OF175" i="19" s="1" a="1"/>
  <c r="OF175" i="19" s="1"/>
  <c r="OG175" i="19" s="1" a="1"/>
  <c r="OG175" i="19" s="1"/>
  <c r="NV56" i="19" a="1"/>
  <c r="NV56" i="19" s="1"/>
  <c r="OF56" i="19" s="1" a="1"/>
  <c r="OF56" i="19" s="1"/>
  <c r="OG56" i="19" s="1" a="1"/>
  <c r="OG56" i="19" s="1"/>
  <c r="NV120" i="19" a="1"/>
  <c r="NV120" i="19" s="1"/>
  <c r="OF120" i="19" s="1" a="1"/>
  <c r="OF120" i="19" s="1"/>
  <c r="OG120" i="19" s="1" a="1"/>
  <c r="OG120" i="19" s="1"/>
  <c r="NV184" i="19" a="1"/>
  <c r="NV184" i="19" s="1"/>
  <c r="OF184" i="19" s="1" a="1"/>
  <c r="OF184" i="19" s="1"/>
  <c r="OG184" i="19" s="1" a="1"/>
  <c r="OG184" i="19" s="1"/>
  <c r="NV65" i="19" a="1"/>
  <c r="NV65" i="19" s="1"/>
  <c r="OF65" i="19" s="1" a="1"/>
  <c r="OF65" i="19" s="1"/>
  <c r="OG65" i="19" s="1" a="1"/>
  <c r="OG65" i="19" s="1"/>
  <c r="NV129" i="19" a="1"/>
  <c r="NV129" i="19" s="1"/>
  <c r="OF129" i="19" s="1" a="1"/>
  <c r="OF129" i="19" s="1"/>
  <c r="OG129" i="19" s="1" a="1"/>
  <c r="OG129" i="19" s="1"/>
  <c r="NV27" i="19" a="1"/>
  <c r="NV27" i="19" s="1"/>
  <c r="OF27" i="19" s="1" a="1"/>
  <c r="OF27" i="19" s="1"/>
  <c r="OG27" i="19" s="1" a="1"/>
  <c r="OG27" i="19" s="1"/>
  <c r="NV10" i="19" a="1"/>
  <c r="NV10" i="19" s="1"/>
  <c r="OF10" i="19" s="1" a="1"/>
  <c r="OF10" i="19" s="1"/>
  <c r="OG10" i="19" s="1" a="1"/>
  <c r="OG10" i="19" s="1"/>
  <c r="NV179" i="19" a="1"/>
  <c r="NV179" i="19" s="1"/>
  <c r="OF179" i="19" s="1" a="1"/>
  <c r="OF179" i="19" s="1"/>
  <c r="OG179" i="19" s="1" a="1"/>
  <c r="OG179" i="19" s="1"/>
  <c r="NV162" i="19" a="1"/>
  <c r="NV162" i="19" s="1"/>
  <c r="OF162" i="19" s="1" a="1"/>
  <c r="OF162" i="19" s="1"/>
  <c r="OG162" i="19" s="1" a="1"/>
  <c r="OG162" i="19" s="1"/>
  <c r="NV140" i="19" a="1"/>
  <c r="NV140" i="19" s="1"/>
  <c r="OF140" i="19" s="1" a="1"/>
  <c r="OF140" i="19" s="1"/>
  <c r="OG140" i="19" s="1" a="1"/>
  <c r="OG140" i="19" s="1"/>
  <c r="NV123" i="19" a="1"/>
  <c r="NV123" i="19" s="1"/>
  <c r="OF123" i="19" s="1" a="1"/>
  <c r="OF123" i="19" s="1"/>
  <c r="OG123" i="19" s="1" a="1"/>
  <c r="OG123" i="19" s="1"/>
  <c r="NV107" i="19" a="1"/>
  <c r="NV107" i="19" s="1"/>
  <c r="OF107" i="19" s="1" a="1"/>
  <c r="OF107" i="19" s="1"/>
  <c r="OG107" i="19" s="1" a="1"/>
  <c r="OG107" i="19" s="1"/>
  <c r="NV42" i="19" a="1"/>
  <c r="NV42" i="19" s="1"/>
  <c r="OF42" i="19" s="1" a="1"/>
  <c r="OF42" i="19" s="1"/>
  <c r="OG42" i="19" s="1" a="1"/>
  <c r="OG42" i="19" s="1"/>
  <c r="NV170" i="19" a="1"/>
  <c r="NV170" i="19" s="1"/>
  <c r="OF170" i="19" s="1" a="1"/>
  <c r="OF170" i="19" s="1"/>
  <c r="OG170" i="19" s="1" a="1"/>
  <c r="OG170" i="19" s="1"/>
  <c r="NN32" i="19" a="1"/>
  <c r="NN32" i="19" s="1"/>
  <c r="NS32" i="19" s="1" a="1"/>
  <c r="NS32" i="19" s="1"/>
  <c r="NN173" i="19" a="1"/>
  <c r="NN173" i="19" s="1"/>
  <c r="NS173" i="19" s="1" a="1"/>
  <c r="NS173" i="19" s="1"/>
  <c r="NN82" i="19" a="1"/>
  <c r="NN82" i="19" s="1"/>
  <c r="NS82" i="19" s="1" a="1"/>
  <c r="NS82" i="19" s="1"/>
  <c r="NV79" i="19" a="1"/>
  <c r="NV79" i="19" s="1"/>
  <c r="OF79" i="19" s="1" a="1"/>
  <c r="OF79" i="19" s="1"/>
  <c r="OG79" i="19" s="1" a="1"/>
  <c r="OG79" i="19" s="1"/>
  <c r="NV33" i="19" a="1"/>
  <c r="NV33" i="19" s="1"/>
  <c r="OF33" i="19" s="1" a="1"/>
  <c r="OF33" i="19" s="1"/>
  <c r="OG33" i="19" s="1" a="1"/>
  <c r="OG33" i="19" s="1"/>
  <c r="NV36" i="19" a="1"/>
  <c r="NV36" i="19" s="1"/>
  <c r="OF36" i="19" s="1" a="1"/>
  <c r="OF36" i="19" s="1"/>
  <c r="OG36" i="19" s="1" a="1"/>
  <c r="OG36" i="19" s="1"/>
  <c r="NN45" i="19" a="1"/>
  <c r="NN45" i="19" s="1"/>
  <c r="NS45" i="19" s="1" a="1"/>
  <c r="NS45" i="19" s="1"/>
  <c r="NN14" i="19" a="1"/>
  <c r="NN14" i="19" s="1"/>
  <c r="NS14" i="19" s="1" a="1"/>
  <c r="NS14" i="19" s="1"/>
  <c r="NN31" i="19" a="1"/>
  <c r="NN31" i="19" s="1"/>
  <c r="NS31" i="19" s="1" a="1"/>
  <c r="NS31" i="19" s="1"/>
  <c r="NN8" i="19" a="1"/>
  <c r="NN8" i="19" s="1"/>
  <c r="NS8" i="19" s="1" a="1"/>
  <c r="NS8" i="19" s="1"/>
  <c r="NN72" i="19" a="1"/>
  <c r="NN72" i="19" s="1"/>
  <c r="NS72" i="19" s="1" a="1"/>
  <c r="NS72" i="19" s="1"/>
  <c r="NN49" i="19" a="1"/>
  <c r="NN49" i="19" s="1"/>
  <c r="NS49" i="19" s="1" a="1"/>
  <c r="NS49" i="19" s="1"/>
  <c r="NN35" i="19" a="1"/>
  <c r="NN35" i="19" s="1"/>
  <c r="NS35" i="19" s="1" a="1"/>
  <c r="NS35" i="19" s="1"/>
  <c r="NN131" i="19" a="1"/>
  <c r="NN131" i="19" s="1"/>
  <c r="NS131" i="19" s="1" a="1"/>
  <c r="NS131" i="19" s="1"/>
  <c r="NN127" i="19" a="1"/>
  <c r="NN127" i="19" s="1"/>
  <c r="NS127" i="19" s="1" a="1"/>
  <c r="NS127" i="19" s="1"/>
  <c r="NN108" i="19" a="1"/>
  <c r="NN108" i="19" s="1"/>
  <c r="NS108" i="19" s="1" a="1"/>
  <c r="NS108" i="19" s="1"/>
  <c r="NN172" i="19" a="1"/>
  <c r="NN172" i="19" s="1"/>
  <c r="NS172" i="19" s="1" a="1"/>
  <c r="NS172" i="19" s="1"/>
  <c r="NN75" i="19" a="1"/>
  <c r="NN75" i="19" s="1"/>
  <c r="NS75" i="19" s="1" a="1"/>
  <c r="NS75" i="19" s="1"/>
  <c r="NN149" i="19" a="1"/>
  <c r="NN149" i="19" s="1"/>
  <c r="NS149" i="19" s="1" a="1"/>
  <c r="NS149" i="19" s="1"/>
  <c r="NN60" i="19" a="1"/>
  <c r="NN60" i="19" s="1"/>
  <c r="NS60" i="19" s="1" a="1"/>
  <c r="NS60" i="19" s="1"/>
  <c r="NN142" i="19" a="1"/>
  <c r="NN142" i="19" s="1"/>
  <c r="NS142" i="19" s="1" a="1"/>
  <c r="NS142" i="19" s="1"/>
  <c r="NN44" i="19" a="1"/>
  <c r="NN44" i="19" s="1"/>
  <c r="NS44" i="19" s="1" a="1"/>
  <c r="NS44" i="19" s="1"/>
  <c r="NN159" i="19" a="1"/>
  <c r="NN159" i="19" s="1"/>
  <c r="NS159" i="19" s="1" a="1"/>
  <c r="NS159" i="19" s="1"/>
  <c r="NN105" i="19" a="1"/>
  <c r="NN105" i="19" s="1"/>
  <c r="NS105" i="19" s="1" a="1"/>
  <c r="NS105" i="19" s="1"/>
  <c r="NN169" i="19" a="1"/>
  <c r="NN169" i="19" s="1"/>
  <c r="NS169" i="19" s="1" a="1"/>
  <c r="NS169" i="19" s="1"/>
  <c r="NN68" i="19" a="1"/>
  <c r="NN68" i="19" s="1"/>
  <c r="NS68" i="19" s="1" a="1"/>
  <c r="NS68" i="19" s="1"/>
  <c r="NN104" i="19" a="1"/>
  <c r="NN104" i="19" s="1"/>
  <c r="NS104" i="19" s="1" a="1"/>
  <c r="NS104" i="19" s="1"/>
  <c r="NN114" i="19" a="1"/>
  <c r="NN114" i="19" s="1"/>
  <c r="NS114" i="19" s="1" a="1"/>
  <c r="NS114" i="19" s="1"/>
  <c r="NN84" i="19" a="1"/>
  <c r="NN84" i="19" s="1"/>
  <c r="NS84" i="19" s="1" a="1"/>
  <c r="NS84" i="19" s="1"/>
  <c r="NV45" i="19" a="1"/>
  <c r="NV45" i="19" s="1"/>
  <c r="OF45" i="19" s="1" a="1"/>
  <c r="OF45" i="19" s="1"/>
  <c r="OG45" i="19" s="1" a="1"/>
  <c r="OG45" i="19" s="1"/>
  <c r="NV109" i="19" a="1"/>
  <c r="NV109" i="19" s="1"/>
  <c r="OF109" i="19" s="1" a="1"/>
  <c r="OF109" i="19" s="1"/>
  <c r="OG109" i="19" s="1" a="1"/>
  <c r="OG109" i="19" s="1"/>
  <c r="NV173" i="19" a="1"/>
  <c r="NV173" i="19" s="1"/>
  <c r="OF173" i="19" s="1" a="1"/>
  <c r="OF173" i="19" s="1"/>
  <c r="OG173" i="19" s="1" a="1"/>
  <c r="OG173" i="19" s="1"/>
  <c r="NV46" i="19" a="1"/>
  <c r="NV46" i="19" s="1"/>
  <c r="OF46" i="19" s="1" a="1"/>
  <c r="OF46" i="19" s="1"/>
  <c r="OG46" i="19" s="1" a="1"/>
  <c r="OG46" i="19" s="1"/>
  <c r="NV110" i="19" a="1"/>
  <c r="NV110" i="19" s="1"/>
  <c r="OF110" i="19" s="1" a="1"/>
  <c r="OF110" i="19" s="1"/>
  <c r="OG110" i="19" s="1" a="1"/>
  <c r="OG110" i="19" s="1"/>
  <c r="NV174" i="19" a="1"/>
  <c r="NV174" i="19" s="1"/>
  <c r="OF174" i="19" s="1" a="1"/>
  <c r="OF174" i="19" s="1"/>
  <c r="OG174" i="19" s="1" a="1"/>
  <c r="OG174" i="19" s="1"/>
  <c r="NV55" i="19" a="1"/>
  <c r="NV55" i="19" s="1"/>
  <c r="OF55" i="19" s="1" a="1"/>
  <c r="OF55" i="19" s="1"/>
  <c r="OG55" i="19" s="1" a="1"/>
  <c r="OG55" i="19" s="1"/>
  <c r="NV119" i="19" a="1"/>
  <c r="NV119" i="19" s="1"/>
  <c r="OF119" i="19" s="1" a="1"/>
  <c r="OF119" i="19" s="1"/>
  <c r="OG119" i="19" s="1" a="1"/>
  <c r="OG119" i="19" s="1"/>
  <c r="NV183" i="19" a="1"/>
  <c r="NV183" i="19" s="1"/>
  <c r="OF183" i="19" s="1" a="1"/>
  <c r="OF183" i="19" s="1"/>
  <c r="OG183" i="19" s="1" a="1"/>
  <c r="OG183" i="19" s="1"/>
  <c r="NV64" i="19" a="1"/>
  <c r="NV64" i="19" s="1"/>
  <c r="OF64" i="19" s="1" a="1"/>
  <c r="OF64" i="19" s="1"/>
  <c r="OG64" i="19" s="1" a="1"/>
  <c r="OG64" i="19" s="1"/>
  <c r="NV128" i="19" a="1"/>
  <c r="NV128" i="19" s="1"/>
  <c r="OF128" i="19" s="1" a="1"/>
  <c r="OF128" i="19" s="1"/>
  <c r="OG128" i="19" s="1" a="1"/>
  <c r="OG128" i="19" s="1"/>
  <c r="NV9" i="19" a="1"/>
  <c r="NV9" i="19" s="1"/>
  <c r="OF9" i="19" s="1" a="1"/>
  <c r="OF9" i="19" s="1"/>
  <c r="OG9" i="19" s="1" a="1"/>
  <c r="OG9" i="19" s="1"/>
  <c r="NV73" i="19" a="1"/>
  <c r="NV73" i="19" s="1"/>
  <c r="OF73" i="19" s="1" a="1"/>
  <c r="OF73" i="19" s="1"/>
  <c r="OG73" i="19" s="1" a="1"/>
  <c r="OG73" i="19" s="1"/>
  <c r="NV137" i="19" a="1"/>
  <c r="NV137" i="19" s="1"/>
  <c r="OF137" i="19" s="1" a="1"/>
  <c r="OF137" i="19" s="1"/>
  <c r="OG137" i="19" s="1" a="1"/>
  <c r="OG137" i="19" s="1"/>
  <c r="NV50" i="19" a="1"/>
  <c r="NV50" i="19" s="1"/>
  <c r="OF50" i="19" s="1" a="1"/>
  <c r="OF50" i="19" s="1"/>
  <c r="OG50" i="19" s="1" a="1"/>
  <c r="OG50" i="19" s="1"/>
  <c r="NV28" i="19" a="1"/>
  <c r="NV28" i="19" s="1"/>
  <c r="OF28" i="19" s="1" a="1"/>
  <c r="OF28" i="19" s="1"/>
  <c r="OG28" i="19" s="1" a="1"/>
  <c r="OG28" i="19" s="1"/>
  <c r="NV11" i="19" a="1"/>
  <c r="NV11" i="19" s="1"/>
  <c r="OF11" i="19" s="1" a="1"/>
  <c r="OF11" i="19" s="1"/>
  <c r="OG11" i="19" s="1" a="1"/>
  <c r="OG11" i="19" s="1"/>
  <c r="NV180" i="19" a="1"/>
  <c r="NV180" i="19" s="1"/>
  <c r="OF180" i="19" s="1" a="1"/>
  <c r="OF180" i="19" s="1"/>
  <c r="OG180" i="19" s="1" a="1"/>
  <c r="OG180" i="19" s="1"/>
  <c r="NV163" i="19" a="1"/>
  <c r="NV163" i="19" s="1"/>
  <c r="OF163" i="19" s="1" a="1"/>
  <c r="OF163" i="19" s="1"/>
  <c r="OG163" i="19" s="1" a="1"/>
  <c r="OG163" i="19" s="1"/>
  <c r="NV146" i="19" a="1"/>
  <c r="NV146" i="19" s="1"/>
  <c r="OF146" i="19" s="1" a="1"/>
  <c r="OF146" i="19" s="1"/>
  <c r="OG146" i="19" s="1" a="1"/>
  <c r="OG146" i="19" s="1"/>
  <c r="NV130" i="19" a="1"/>
  <c r="NV130" i="19" s="1"/>
  <c r="OF130" i="19" s="1" a="1"/>
  <c r="OF130" i="19" s="1"/>
  <c r="OG130" i="19" s="1" a="1"/>
  <c r="OG130" i="19" s="1"/>
  <c r="NV131" i="19" a="1"/>
  <c r="NV131" i="19" s="1"/>
  <c r="OF131" i="19" s="1" a="1"/>
  <c r="OF131" i="19" s="1"/>
  <c r="OG131" i="19" s="1" a="1"/>
  <c r="OG131" i="19" s="1"/>
  <c r="NV83" i="19" a="1"/>
  <c r="NV83" i="19" s="1"/>
  <c r="OF83" i="19" s="1" a="1"/>
  <c r="OF83" i="19" s="1"/>
  <c r="OG83" i="19" s="1" a="1"/>
  <c r="OG83" i="19" s="1"/>
  <c r="NN86" i="19" a="1"/>
  <c r="NN86" i="19" s="1"/>
  <c r="NS86" i="19" s="1" a="1"/>
  <c r="NS86" i="19" s="1"/>
  <c r="NN109" i="19" a="1"/>
  <c r="NN109" i="19" s="1"/>
  <c r="NS109" i="19" s="1" a="1"/>
  <c r="NS109" i="19" s="1"/>
  <c r="NN27" i="19" a="1"/>
  <c r="NN27" i="19" s="1"/>
  <c r="NS27" i="19" s="1" a="1"/>
  <c r="NS27" i="19" s="1"/>
  <c r="NT27" i="19" s="1" a="1"/>
  <c r="NT27" i="19" s="1"/>
  <c r="NV6" i="19" a="1"/>
  <c r="NV6" i="19" s="1"/>
  <c r="OF6" i="19" s="1" a="1"/>
  <c r="OF6" i="19" s="1"/>
  <c r="OG6" i="19" s="1" a="1"/>
  <c r="OG6" i="19" s="1"/>
  <c r="NV88" i="19" a="1"/>
  <c r="NV88" i="19" s="1"/>
  <c r="OF88" i="19" s="1" a="1"/>
  <c r="OF88" i="19" s="1"/>
  <c r="OG88" i="19" s="1" a="1"/>
  <c r="OG88" i="19" s="1"/>
  <c r="NV75" i="19" a="1"/>
  <c r="NV75" i="19" s="1"/>
  <c r="OF75" i="19" s="1" a="1"/>
  <c r="OF75" i="19" s="1"/>
  <c r="OG75" i="19" s="1" a="1"/>
  <c r="OG75" i="19" s="1"/>
  <c r="NN53" i="19" a="1"/>
  <c r="NN53" i="19" s="1"/>
  <c r="NS53" i="19" s="1" a="1"/>
  <c r="NS53" i="19" s="1"/>
  <c r="NN22" i="19" a="1"/>
  <c r="NN22" i="19" s="1"/>
  <c r="NS22" i="19" s="1" a="1"/>
  <c r="NS22" i="19" s="1"/>
  <c r="NN39" i="19" a="1"/>
  <c r="NN39" i="19" s="1"/>
  <c r="NS39" i="19" s="1" a="1"/>
  <c r="NS39" i="19" s="1"/>
  <c r="NN16" i="19" a="1"/>
  <c r="NN16" i="19" s="1"/>
  <c r="NS16" i="19" s="1" a="1"/>
  <c r="NS16" i="19" s="1"/>
  <c r="NN80" i="19" a="1"/>
  <c r="NN80" i="19" s="1"/>
  <c r="NS80" i="19" s="1" a="1"/>
  <c r="NS80" i="19" s="1"/>
  <c r="NN57" i="19" a="1"/>
  <c r="NN57" i="19" s="1"/>
  <c r="NS57" i="19" s="1" a="1"/>
  <c r="NS57" i="19" s="1"/>
  <c r="NN54" i="19" a="1"/>
  <c r="NN54" i="19" s="1"/>
  <c r="NS54" i="19" s="1" a="1"/>
  <c r="NS54" i="19" s="1"/>
  <c r="NN139" i="19" a="1"/>
  <c r="NN139" i="19" s="1"/>
  <c r="NS139" i="19" s="1" a="1"/>
  <c r="NS139" i="19" s="1"/>
  <c r="NN167" i="19" a="1"/>
  <c r="NN167" i="19" s="1"/>
  <c r="NS167" i="19" s="1" a="1"/>
  <c r="NS167" i="19" s="1"/>
  <c r="NN116" i="19" a="1"/>
  <c r="NN116" i="19" s="1"/>
  <c r="NS116" i="19" s="1" a="1"/>
  <c r="NS116" i="19" s="1"/>
  <c r="NN180" i="19" a="1"/>
  <c r="NN180" i="19" s="1"/>
  <c r="NS180" i="19" s="1" a="1"/>
  <c r="NS180" i="19" s="1"/>
  <c r="NN91" i="19" a="1"/>
  <c r="NN91" i="19" s="1"/>
  <c r="NS91" i="19" s="1" a="1"/>
  <c r="NS91" i="19" s="1"/>
  <c r="NN157" i="19" a="1"/>
  <c r="NN157" i="19" s="1"/>
  <c r="NS157" i="19" s="1" a="1"/>
  <c r="NS157" i="19" s="1"/>
  <c r="NT157" i="19" s="1" a="1"/>
  <c r="NT157" i="19" s="1"/>
  <c r="NN76" i="19" a="1"/>
  <c r="NN76" i="19" s="1"/>
  <c r="NS76" i="19" s="1" a="1"/>
  <c r="NS76" i="19" s="1"/>
  <c r="NN150" i="19" a="1"/>
  <c r="NN150" i="19" s="1"/>
  <c r="NS150" i="19" s="1" a="1"/>
  <c r="NS150" i="19" s="1"/>
  <c r="NN62" i="19" a="1"/>
  <c r="NN62" i="19" s="1"/>
  <c r="NS62" i="19" s="1" a="1"/>
  <c r="NS62" i="19" s="1"/>
  <c r="NN175" i="19" a="1"/>
  <c r="NN175" i="19" s="1"/>
  <c r="NS175" i="19" s="1" a="1"/>
  <c r="NS175" i="19" s="1"/>
  <c r="NN113" i="19" a="1"/>
  <c r="NN113" i="19" s="1"/>
  <c r="NS113" i="19" s="1" a="1"/>
  <c r="NS113" i="19" s="1"/>
  <c r="NN177" i="19" a="1"/>
  <c r="NN177" i="19" s="1"/>
  <c r="NS177" i="19" s="1" a="1"/>
  <c r="NS177" i="19" s="1"/>
  <c r="NN146" i="19" a="1"/>
  <c r="NN146" i="19" s="1"/>
  <c r="NS146" i="19" s="1" a="1"/>
  <c r="NS146" i="19" s="1"/>
  <c r="NN136" i="19" a="1"/>
  <c r="NN136" i="19" s="1"/>
  <c r="NS136" i="19" s="1" a="1"/>
  <c r="NS136" i="19" s="1"/>
  <c r="NN176" i="19" a="1"/>
  <c r="NN176" i="19" s="1"/>
  <c r="NS176" i="19" s="1" a="1"/>
  <c r="NS176" i="19" s="1"/>
  <c r="NN122" i="19" a="1"/>
  <c r="NN122" i="19" s="1"/>
  <c r="NS122" i="19" s="1" a="1"/>
  <c r="NS122" i="19" s="1"/>
  <c r="NV53" i="19" a="1"/>
  <c r="NV53" i="19" s="1"/>
  <c r="OF53" i="19" s="1" a="1"/>
  <c r="OF53" i="19" s="1"/>
  <c r="OG53" i="19" s="1" a="1"/>
  <c r="OG53" i="19" s="1"/>
  <c r="NV117" i="19" a="1"/>
  <c r="NV117" i="19" s="1"/>
  <c r="OF117" i="19" s="1" a="1"/>
  <c r="OF117" i="19" s="1"/>
  <c r="OG117" i="19" s="1" a="1"/>
  <c r="OG117" i="19" s="1"/>
  <c r="NV181" i="19" a="1"/>
  <c r="NV181" i="19" s="1"/>
  <c r="OF181" i="19" s="1" a="1"/>
  <c r="OF181" i="19" s="1"/>
  <c r="OG181" i="19" s="1" a="1"/>
  <c r="OG181" i="19" s="1"/>
  <c r="NV54" i="19" a="1"/>
  <c r="NV54" i="19" s="1"/>
  <c r="OF54" i="19" s="1" a="1"/>
  <c r="OF54" i="19" s="1"/>
  <c r="OG54" i="19" s="1" a="1"/>
  <c r="OG54" i="19" s="1"/>
  <c r="NV118" i="19" a="1"/>
  <c r="NV118" i="19" s="1"/>
  <c r="OF118" i="19" s="1" a="1"/>
  <c r="OF118" i="19" s="1"/>
  <c r="OG118" i="19" s="1" a="1"/>
  <c r="OG118" i="19" s="1"/>
  <c r="NV182" i="19" a="1"/>
  <c r="NV182" i="19" s="1"/>
  <c r="OF182" i="19" s="1" a="1"/>
  <c r="OF182" i="19" s="1"/>
  <c r="OG182" i="19" s="1" a="1"/>
  <c r="OG182" i="19" s="1"/>
  <c r="NV63" i="19" a="1"/>
  <c r="NV63" i="19" s="1"/>
  <c r="OF63" i="19" s="1" a="1"/>
  <c r="OF63" i="19" s="1"/>
  <c r="OG63" i="19" s="1" a="1"/>
  <c r="OG63" i="19" s="1"/>
  <c r="NV127" i="19" a="1"/>
  <c r="NV127" i="19" s="1"/>
  <c r="OF127" i="19" s="1" a="1"/>
  <c r="OF127" i="19" s="1"/>
  <c r="OG127" i="19" s="1" a="1"/>
  <c r="OG127" i="19" s="1"/>
  <c r="NV8" i="19" a="1"/>
  <c r="NV8" i="19" s="1"/>
  <c r="OF8" i="19" s="1" a="1"/>
  <c r="OF8" i="19" s="1"/>
  <c r="OG8" i="19" s="1" a="1"/>
  <c r="OG8" i="19" s="1"/>
  <c r="NV72" i="19" a="1"/>
  <c r="NV72" i="19" s="1"/>
  <c r="OF72" i="19" s="1" a="1"/>
  <c r="OF72" i="19" s="1"/>
  <c r="OG72" i="19" s="1" a="1"/>
  <c r="OG72" i="19" s="1"/>
  <c r="NV136" i="19" a="1"/>
  <c r="NV136" i="19" s="1"/>
  <c r="OF136" i="19" s="1" a="1"/>
  <c r="OF136" i="19" s="1"/>
  <c r="OG136" i="19" s="1" a="1"/>
  <c r="OG136" i="19" s="1"/>
  <c r="NV17" i="19" a="1"/>
  <c r="NV17" i="19" s="1"/>
  <c r="OF17" i="19" s="1" a="1"/>
  <c r="OF17" i="19" s="1"/>
  <c r="OG17" i="19" s="1" a="1"/>
  <c r="OG17" i="19" s="1"/>
  <c r="NV81" i="19" a="1"/>
  <c r="NV81" i="19" s="1"/>
  <c r="OF81" i="19" s="1" a="1"/>
  <c r="OF81" i="19" s="1"/>
  <c r="OG81" i="19" s="1" a="1"/>
  <c r="OG81" i="19" s="1"/>
  <c r="NV145" i="19" a="1"/>
  <c r="NV145" i="19" s="1"/>
  <c r="OF145" i="19" s="1" a="1"/>
  <c r="OF145" i="19" s="1"/>
  <c r="OG145" i="19" s="1" a="1"/>
  <c r="OG145" i="19" s="1"/>
  <c r="NV68" i="19" a="1"/>
  <c r="NV68" i="19" s="1"/>
  <c r="OF68" i="19" s="1" a="1"/>
  <c r="OF68" i="19" s="1"/>
  <c r="OG68" i="19" s="1" a="1"/>
  <c r="OG68" i="19" s="1"/>
  <c r="NV51" i="19" a="1"/>
  <c r="NV51" i="19" s="1"/>
  <c r="OF51" i="19" s="1" a="1"/>
  <c r="OF51" i="19" s="1"/>
  <c r="OG51" i="19" s="1" a="1"/>
  <c r="OG51" i="19" s="1"/>
  <c r="NV34" i="19" a="1"/>
  <c r="NV34" i="19" s="1"/>
  <c r="OF34" i="19" s="1" a="1"/>
  <c r="OF34" i="19" s="1"/>
  <c r="OG34" i="19" s="1" a="1"/>
  <c r="OG34" i="19" s="1"/>
  <c r="NV12" i="19" a="1"/>
  <c r="NV12" i="19" s="1"/>
  <c r="OF12" i="19" s="1" a="1"/>
  <c r="OF12" i="19" s="1"/>
  <c r="OG12" i="19" s="1" a="1"/>
  <c r="OG12" i="19" s="1"/>
  <c r="NV186" i="19" a="1"/>
  <c r="NV186" i="19" s="1"/>
  <c r="OF186" i="19" s="1" a="1"/>
  <c r="OF186" i="19" s="1"/>
  <c r="OG186" i="19" s="1" a="1"/>
  <c r="OG186" i="19" s="1"/>
  <c r="NV164" i="19" a="1"/>
  <c r="NV164" i="19" s="1"/>
  <c r="OF164" i="19" s="1" a="1"/>
  <c r="OF164" i="19" s="1"/>
  <c r="OG164" i="19" s="1" a="1"/>
  <c r="OG164" i="19" s="1"/>
  <c r="NV148" i="19" a="1"/>
  <c r="NV148" i="19" s="1"/>
  <c r="OF148" i="19" s="1" a="1"/>
  <c r="OF148" i="19" s="1"/>
  <c r="OG148" i="19" s="1" a="1"/>
  <c r="OG148" i="19" s="1"/>
  <c r="NV90" i="19" a="1"/>
  <c r="NV90" i="19" s="1"/>
  <c r="OF90" i="19" s="1" a="1"/>
  <c r="OF90" i="19" s="1"/>
  <c r="OG90" i="19" s="1" a="1"/>
  <c r="OG90" i="19" s="1"/>
  <c r="NV106" i="19" a="1"/>
  <c r="NV106" i="19" s="1"/>
  <c r="OF106" i="19" s="1" a="1"/>
  <c r="OF106" i="19" s="1"/>
  <c r="OG106" i="19" s="1" a="1"/>
  <c r="OG106" i="19" s="1"/>
  <c r="NN155" i="19" a="1"/>
  <c r="NN155" i="19" s="1"/>
  <c r="NS155" i="19" s="1" a="1"/>
  <c r="NS155" i="19" s="1"/>
  <c r="NN119" i="19" a="1"/>
  <c r="NN119" i="19" s="1"/>
  <c r="NS119" i="19" s="1" a="1"/>
  <c r="NS119" i="19" s="1"/>
  <c r="NN129" i="19" a="1"/>
  <c r="NN129" i="19" s="1"/>
  <c r="NS129" i="19" s="1" a="1"/>
  <c r="NS129" i="19" s="1"/>
  <c r="NV133" i="19" a="1"/>
  <c r="NV133" i="19" s="1"/>
  <c r="OF133" i="19" s="1" a="1"/>
  <c r="OF133" i="19" s="1"/>
  <c r="OG133" i="19" s="1" a="1"/>
  <c r="OG133" i="19" s="1"/>
  <c r="NV143" i="19" a="1"/>
  <c r="NV143" i="19" s="1"/>
  <c r="OF143" i="19" s="1" a="1"/>
  <c r="OF143" i="19" s="1"/>
  <c r="OG143" i="19" s="1" a="1"/>
  <c r="OG143" i="19" s="1"/>
  <c r="NV114" i="19" a="1"/>
  <c r="NV114" i="19" s="1"/>
  <c r="OF114" i="19" s="1" a="1"/>
  <c r="OF114" i="19" s="1"/>
  <c r="OG114" i="19" s="1" a="1"/>
  <c r="OG114" i="19" s="1"/>
  <c r="NV108" i="19" a="1"/>
  <c r="NV108" i="19" s="1"/>
  <c r="OF108" i="19" s="1" a="1"/>
  <c r="OF108" i="19" s="1"/>
  <c r="OG108" i="19" s="1" a="1"/>
  <c r="OG108" i="19" s="1"/>
  <c r="NN61" i="19" a="1"/>
  <c r="NN61" i="19" s="1"/>
  <c r="NS61" i="19" s="1" a="1"/>
  <c r="NS61" i="19" s="1"/>
  <c r="NN30" i="19" a="1"/>
  <c r="NN30" i="19" s="1"/>
  <c r="NS30" i="19" s="1" a="1"/>
  <c r="NS30" i="19" s="1"/>
  <c r="NN47" i="19" a="1"/>
  <c r="NN47" i="19" s="1"/>
  <c r="NS47" i="19" s="1" a="1"/>
  <c r="NS47" i="19" s="1"/>
  <c r="NN24" i="19" a="1"/>
  <c r="NN24" i="19" s="1"/>
  <c r="NS24" i="19" s="1" a="1"/>
  <c r="NS24" i="19" s="1"/>
  <c r="NN88" i="19" a="1"/>
  <c r="NN88" i="19" s="1"/>
  <c r="NS88" i="19" s="1" a="1"/>
  <c r="NS88" i="19" s="1"/>
  <c r="NT88" i="19" s="1" a="1"/>
  <c r="NT88" i="19" s="1"/>
  <c r="NN65" i="19" a="1"/>
  <c r="NN65" i="19" s="1"/>
  <c r="NS65" i="19" s="1" a="1"/>
  <c r="NS65" i="19" s="1"/>
  <c r="NN70" i="19" a="1"/>
  <c r="NN70" i="19" s="1"/>
  <c r="NS70" i="19" s="1" a="1"/>
  <c r="NS70" i="19" s="1"/>
  <c r="NN147" i="19" a="1"/>
  <c r="NN147" i="19" s="1"/>
  <c r="NS147" i="19" s="1" a="1"/>
  <c r="NS147" i="19" s="1"/>
  <c r="NN18" i="19" a="1"/>
  <c r="NN18" i="19" s="1"/>
  <c r="NS18" i="19" s="1" a="1"/>
  <c r="NS18" i="19" s="1"/>
  <c r="NN124" i="19" a="1"/>
  <c r="NN124" i="19" s="1"/>
  <c r="NS124" i="19" s="1" a="1"/>
  <c r="NS124" i="19" s="1"/>
  <c r="NN188" i="19" a="1"/>
  <c r="NN188" i="19" s="1"/>
  <c r="NS188" i="19" s="1" a="1"/>
  <c r="NS188" i="19" s="1"/>
  <c r="NN101" i="19" a="1"/>
  <c r="NN101" i="19" s="1"/>
  <c r="NS101" i="19" s="1" a="1"/>
  <c r="NS101" i="19" s="1"/>
  <c r="NN165" i="19" a="1"/>
  <c r="NN165" i="19" s="1"/>
  <c r="NS165" i="19" s="1" a="1"/>
  <c r="NS165" i="19" s="1"/>
  <c r="NN92" i="19" a="1"/>
  <c r="NN92" i="19" s="1"/>
  <c r="NS92" i="19" s="1" a="1"/>
  <c r="NS92" i="19" s="1"/>
  <c r="NN158" i="19" a="1"/>
  <c r="NN158" i="19" s="1"/>
  <c r="NS158" i="19" s="1" a="1"/>
  <c r="NS158" i="19" s="1"/>
  <c r="NN94" i="19" a="1"/>
  <c r="NN94" i="19" s="1"/>
  <c r="NS94" i="19" s="1" a="1"/>
  <c r="NS94" i="19" s="1"/>
  <c r="NN10" i="19" a="1"/>
  <c r="NN10" i="19" s="1"/>
  <c r="NS10" i="19" s="1" a="1"/>
  <c r="NS10" i="19" s="1"/>
  <c r="NN121" i="19" a="1"/>
  <c r="NN121" i="19" s="1"/>
  <c r="NS121" i="19" s="1" a="1"/>
  <c r="NS121" i="19" s="1"/>
  <c r="NN185" i="19" a="1"/>
  <c r="NN185" i="19" s="1"/>
  <c r="NS185" i="19" s="1" a="1"/>
  <c r="NS185" i="19" s="1"/>
  <c r="NN34" i="19" a="1"/>
  <c r="NN34" i="19" s="1"/>
  <c r="NS34" i="19" s="1" a="1"/>
  <c r="NS34" i="19" s="1"/>
  <c r="NN168" i="19" a="1"/>
  <c r="NN168" i="19" s="1"/>
  <c r="NS168" i="19" s="1" a="1"/>
  <c r="NS168" i="19" s="1"/>
  <c r="NN178" i="19" a="1"/>
  <c r="NN178" i="19" s="1"/>
  <c r="NS178" i="19" s="1" a="1"/>
  <c r="NS178" i="19" s="1"/>
  <c r="NN154" i="19" a="1"/>
  <c r="NN154" i="19" s="1"/>
  <c r="NS154" i="19" s="1" a="1"/>
  <c r="NS154" i="19" s="1"/>
  <c r="NV61" i="19" a="1"/>
  <c r="NV61" i="19" s="1"/>
  <c r="OF61" i="19" s="1" a="1"/>
  <c r="OF61" i="19" s="1"/>
  <c r="OG61" i="19" s="1" a="1"/>
  <c r="OG61" i="19" s="1"/>
  <c r="NV125" i="19" a="1"/>
  <c r="NV125" i="19" s="1"/>
  <c r="OF125" i="19" s="1" a="1"/>
  <c r="OF125" i="19" s="1"/>
  <c r="OG125" i="19" s="1" a="1"/>
  <c r="OG125" i="19" s="1"/>
  <c r="NV62" i="19" a="1"/>
  <c r="NV62" i="19" s="1"/>
  <c r="OF62" i="19" s="1" a="1"/>
  <c r="OF62" i="19" s="1"/>
  <c r="OG62" i="19" s="1" a="1"/>
  <c r="OG62" i="19" s="1"/>
  <c r="NV126" i="19" a="1"/>
  <c r="NV126" i="19" s="1"/>
  <c r="OF126" i="19" s="1" a="1"/>
  <c r="OF126" i="19" s="1"/>
  <c r="OG126" i="19" s="1" a="1"/>
  <c r="OG126" i="19" s="1"/>
  <c r="NV7" i="19" a="1"/>
  <c r="NV7" i="19" s="1"/>
  <c r="OF7" i="19" s="1" a="1"/>
  <c r="OF7" i="19" s="1"/>
  <c r="OG7" i="19" s="1" a="1"/>
  <c r="OG7" i="19" s="1"/>
  <c r="NV71" i="19" a="1"/>
  <c r="NV71" i="19" s="1"/>
  <c r="OF71" i="19" s="1" a="1"/>
  <c r="OF71" i="19" s="1"/>
  <c r="OG71" i="19" s="1" a="1"/>
  <c r="OG71" i="19" s="1"/>
  <c r="NV135" i="19" a="1"/>
  <c r="NV135" i="19" s="1"/>
  <c r="OF135" i="19" s="1" a="1"/>
  <c r="OF135" i="19" s="1"/>
  <c r="OG135" i="19" s="1" a="1"/>
  <c r="OG135" i="19" s="1"/>
  <c r="NV16" i="19" a="1"/>
  <c r="NV16" i="19" s="1"/>
  <c r="OF16" i="19" s="1" a="1"/>
  <c r="OF16" i="19" s="1"/>
  <c r="OG16" i="19" s="1" a="1"/>
  <c r="OG16" i="19" s="1"/>
  <c r="NV80" i="19" a="1"/>
  <c r="NV80" i="19" s="1"/>
  <c r="OF80" i="19" s="1" a="1"/>
  <c r="OF80" i="19" s="1"/>
  <c r="OG80" i="19" s="1" a="1"/>
  <c r="OG80" i="19" s="1"/>
  <c r="NV144" i="19" a="1"/>
  <c r="NV144" i="19" s="1"/>
  <c r="OF144" i="19" s="1" a="1"/>
  <c r="OF144" i="19" s="1"/>
  <c r="OG144" i="19" s="1" a="1"/>
  <c r="OG144" i="19" s="1"/>
  <c r="NV25" i="19" a="1"/>
  <c r="NV25" i="19" s="1"/>
  <c r="OF25" i="19" s="1" a="1"/>
  <c r="OF25" i="19" s="1"/>
  <c r="OG25" i="19" s="1" a="1"/>
  <c r="OG25" i="19" s="1"/>
  <c r="NV89" i="19" a="1"/>
  <c r="NV89" i="19" s="1"/>
  <c r="OF89" i="19" s="1" a="1"/>
  <c r="OF89" i="19" s="1"/>
  <c r="OG89" i="19" s="1" a="1"/>
  <c r="OG89" i="19" s="1"/>
  <c r="NV153" i="19" a="1"/>
  <c r="NV153" i="19" s="1"/>
  <c r="OF153" i="19" s="1" a="1"/>
  <c r="OF153" i="19" s="1"/>
  <c r="OG153" i="19" s="1" a="1"/>
  <c r="OG153" i="19" s="1"/>
  <c r="NV91" i="19" a="1"/>
  <c r="NV91" i="19" s="1"/>
  <c r="OF91" i="19" s="1" a="1"/>
  <c r="OF91" i="19" s="1"/>
  <c r="OG91" i="19" s="1" a="1"/>
  <c r="OG91" i="19" s="1"/>
  <c r="NV74" i="19" a="1"/>
  <c r="NV74" i="19" s="1"/>
  <c r="OF74" i="19" s="1" a="1"/>
  <c r="OF74" i="19" s="1"/>
  <c r="OG74" i="19" s="1" a="1"/>
  <c r="OG74" i="19" s="1"/>
  <c r="NV52" i="19" a="1"/>
  <c r="NV52" i="19" s="1"/>
  <c r="OF52" i="19" s="1" a="1"/>
  <c r="OF52" i="19" s="1"/>
  <c r="OG52" i="19" s="1" a="1"/>
  <c r="OG52" i="19" s="1"/>
  <c r="NV35" i="19" a="1"/>
  <c r="NV35" i="19" s="1"/>
  <c r="OF35" i="19" s="1" a="1"/>
  <c r="OF35" i="19" s="1"/>
  <c r="OG35" i="19" s="1" a="1"/>
  <c r="OG35" i="19" s="1"/>
  <c r="NV18" i="19" a="1"/>
  <c r="NV18" i="19" s="1"/>
  <c r="OF18" i="19" s="1" a="1"/>
  <c r="OF18" i="19" s="1"/>
  <c r="OG18" i="19" s="1" a="1"/>
  <c r="OG18" i="19" s="1"/>
  <c r="NV187" i="19" a="1"/>
  <c r="NV187" i="19" s="1"/>
  <c r="OF187" i="19" s="1" a="1"/>
  <c r="OF187" i="19" s="1"/>
  <c r="OG187" i="19" s="1" a="1"/>
  <c r="OG187" i="19" s="1"/>
  <c r="NV171" i="19" a="1"/>
  <c r="NV171" i="19" s="1"/>
  <c r="OF171" i="19" s="1" a="1"/>
  <c r="OF171" i="19" s="1"/>
  <c r="OG171" i="19" s="1" a="1"/>
  <c r="OG171" i="19" s="1"/>
  <c r="NV60" i="19" a="1"/>
  <c r="NV60" i="19" s="1"/>
  <c r="OF60" i="19" s="1" a="1"/>
  <c r="OF60" i="19" s="1"/>
  <c r="OG60" i="19" s="1" a="1"/>
  <c r="OG60" i="19" s="1"/>
  <c r="NV188" i="19" a="1"/>
  <c r="NV188" i="19" s="1"/>
  <c r="OF188" i="19" s="1" a="1"/>
  <c r="OF188" i="19" s="1"/>
  <c r="OG188" i="19" s="1" a="1"/>
  <c r="OG188" i="19" s="1"/>
  <c r="NN69" i="19" a="1"/>
  <c r="NN69" i="19" s="1"/>
  <c r="NS69" i="19" s="1" a="1"/>
  <c r="NS69" i="19" s="1"/>
  <c r="NN38" i="19" a="1"/>
  <c r="NN38" i="19" s="1"/>
  <c r="NS38" i="19" s="1" a="1"/>
  <c r="NS38" i="19" s="1"/>
  <c r="NN36" i="19" a="1"/>
  <c r="NN36" i="19" s="1"/>
  <c r="NS36" i="19" s="1" a="1"/>
  <c r="NS36" i="19" s="1"/>
  <c r="NN132" i="19" a="1"/>
  <c r="NN132" i="19" s="1"/>
  <c r="NS132" i="19" s="1" a="1"/>
  <c r="NS132" i="19" s="1"/>
  <c r="NN28" i="19" a="1"/>
  <c r="NN28" i="19" s="1"/>
  <c r="NS28" i="19" s="1" a="1"/>
  <c r="NS28" i="19" s="1"/>
  <c r="NV69" i="19" a="1"/>
  <c r="NV69" i="19" s="1"/>
  <c r="OF69" i="19" s="1" a="1"/>
  <c r="OF69" i="19" s="1"/>
  <c r="OG69" i="19" s="1" a="1"/>
  <c r="OG69" i="19" s="1"/>
  <c r="NV97" i="19" a="1"/>
  <c r="NV97" i="19" s="1"/>
  <c r="OF97" i="19" s="1" a="1"/>
  <c r="OF97" i="19" s="1"/>
  <c r="OG97" i="19" s="1" a="1"/>
  <c r="OG97" i="19" s="1"/>
  <c r="NV20" i="19" a="1"/>
  <c r="NV20" i="19" s="1"/>
  <c r="OF20" i="19" s="1" a="1"/>
  <c r="OF20" i="19" s="1"/>
  <c r="OG20" i="19" s="1" a="1"/>
  <c r="OG20" i="19" s="1"/>
  <c r="B180" i="19"/>
  <c r="XJ12" i="17" a="1"/>
  <c r="XJ12" i="17" s="1"/>
  <c r="XM12" i="17" s="1" a="1"/>
  <c r="XM12" i="17" s="1"/>
  <c r="XJ20" i="17" a="1"/>
  <c r="XJ20" i="17" s="1"/>
  <c r="XM20" i="17" s="1" a="1"/>
  <c r="XM20" i="17" s="1"/>
  <c r="XJ28" i="17" a="1"/>
  <c r="XJ28" i="17" s="1"/>
  <c r="XM28" i="17" s="1" a="1"/>
  <c r="XM28" i="17" s="1"/>
  <c r="XJ36" i="17" a="1"/>
  <c r="XJ36" i="17" s="1"/>
  <c r="XM36" i="17" s="1" a="1"/>
  <c r="XM36" i="17" s="1"/>
  <c r="XJ44" i="17" a="1"/>
  <c r="XJ44" i="17" s="1"/>
  <c r="XM44" i="17" s="1" a="1"/>
  <c r="XM44" i="17" s="1"/>
  <c r="XJ52" i="17" a="1"/>
  <c r="XJ52" i="17" s="1"/>
  <c r="XM52" i="17" s="1" a="1"/>
  <c r="XM52" i="17" s="1"/>
  <c r="XJ60" i="17" a="1"/>
  <c r="XJ60" i="17" s="1"/>
  <c r="XM60" i="17" s="1" a="1"/>
  <c r="XM60" i="17" s="1"/>
  <c r="XJ68" i="17" a="1"/>
  <c r="XJ68" i="17" s="1"/>
  <c r="XM68" i="17" s="1" a="1"/>
  <c r="XM68" i="17" s="1"/>
  <c r="XJ76" i="17" a="1"/>
  <c r="XJ76" i="17" s="1"/>
  <c r="XM76" i="17" s="1" a="1"/>
  <c r="XM76" i="17" s="1"/>
  <c r="XJ84" i="17" a="1"/>
  <c r="XJ84" i="17" s="1"/>
  <c r="XM84" i="17" s="1" a="1"/>
  <c r="XM84" i="17" s="1"/>
  <c r="XJ92" i="17" a="1"/>
  <c r="XJ92" i="17" s="1"/>
  <c r="XM92" i="17" s="1" a="1"/>
  <c r="XM92" i="17" s="1"/>
  <c r="XJ100" i="17" a="1"/>
  <c r="XJ100" i="17" s="1"/>
  <c r="XM100" i="17" s="1" a="1"/>
  <c r="XM100" i="17" s="1"/>
  <c r="XJ108" i="17" a="1"/>
  <c r="XJ108" i="17" s="1"/>
  <c r="XM108" i="17" s="1" a="1"/>
  <c r="XM108" i="17" s="1"/>
  <c r="XJ116" i="17" a="1"/>
  <c r="XJ116" i="17" s="1"/>
  <c r="XM116" i="17" s="1" a="1"/>
  <c r="XM116" i="17" s="1"/>
  <c r="XJ124" i="17" a="1"/>
  <c r="XJ124" i="17" s="1"/>
  <c r="XM124" i="17" s="1" a="1"/>
  <c r="XM124" i="17" s="1"/>
  <c r="XJ132" i="17" a="1"/>
  <c r="XJ132" i="17" s="1"/>
  <c r="XM132" i="17" s="1" a="1"/>
  <c r="XM132" i="17" s="1"/>
  <c r="XJ140" i="17" a="1"/>
  <c r="XJ140" i="17" s="1"/>
  <c r="XM140" i="17" s="1" a="1"/>
  <c r="XM140" i="17" s="1"/>
  <c r="XJ148" i="17" a="1"/>
  <c r="XJ148" i="17" s="1"/>
  <c r="XM148" i="17" s="1" a="1"/>
  <c r="XM148" i="17" s="1"/>
  <c r="XJ156" i="17" a="1"/>
  <c r="XJ156" i="17" s="1"/>
  <c r="XM156" i="17" s="1" a="1"/>
  <c r="XM156" i="17" s="1"/>
  <c r="XJ164" i="17" a="1"/>
  <c r="XJ164" i="17" s="1"/>
  <c r="XM164" i="17" s="1" a="1"/>
  <c r="XM164" i="17" s="1"/>
  <c r="XJ172" i="17" a="1"/>
  <c r="XJ172" i="17" s="1"/>
  <c r="XM172" i="17" s="1" a="1"/>
  <c r="XM172" i="17" s="1"/>
  <c r="XJ180" i="17" a="1"/>
  <c r="XJ180" i="17" s="1"/>
  <c r="XJ188" i="17" a="1"/>
  <c r="XJ188" i="17" s="1"/>
  <c r="XJ32" i="17" a="1"/>
  <c r="XJ32" i="17" s="1"/>
  <c r="XM32" i="17" s="1" a="1"/>
  <c r="XM32" i="17" s="1"/>
  <c r="XJ40" i="17" a="1"/>
  <c r="XJ40" i="17" s="1"/>
  <c r="XM40" i="17" s="1" a="1"/>
  <c r="XM40" i="17" s="1"/>
  <c r="XJ72" i="17" a="1"/>
  <c r="XJ72" i="17" s="1"/>
  <c r="XM72" i="17" s="1" a="1"/>
  <c r="XM72" i="17" s="1"/>
  <c r="XJ104" i="17" a="1"/>
  <c r="XJ104" i="17" s="1"/>
  <c r="XM104" i="17" s="1" a="1"/>
  <c r="XM104" i="17" s="1"/>
  <c r="XJ136" i="17" a="1"/>
  <c r="XJ136" i="17" s="1"/>
  <c r="XM136" i="17" s="1" a="1"/>
  <c r="XM136" i="17" s="1"/>
  <c r="XJ168" i="17" a="1"/>
  <c r="XJ168" i="17" s="1"/>
  <c r="XM168" i="17" s="1" a="1"/>
  <c r="XM168" i="17" s="1"/>
  <c r="XJ25" i="17" a="1"/>
  <c r="XJ25" i="17" s="1"/>
  <c r="XM25" i="17" s="1" a="1"/>
  <c r="XM25" i="17" s="1"/>
  <c r="XJ65" i="17" a="1"/>
  <c r="XJ65" i="17" s="1"/>
  <c r="XM65" i="17" s="1" a="1"/>
  <c r="XM65" i="17" s="1"/>
  <c r="XJ97" i="17" a="1"/>
  <c r="XJ97" i="17" s="1"/>
  <c r="XM97" i="17" s="1" a="1"/>
  <c r="XM97" i="17" s="1"/>
  <c r="XJ129" i="17" a="1"/>
  <c r="XJ129" i="17" s="1"/>
  <c r="XM129" i="17" s="1" a="1"/>
  <c r="XM129" i="17" s="1"/>
  <c r="XJ145" i="17" a="1"/>
  <c r="XJ145" i="17" s="1"/>
  <c r="XM145" i="17" s="1" a="1"/>
  <c r="XM145" i="17" s="1"/>
  <c r="XJ177" i="17" a="1"/>
  <c r="XJ177" i="17" s="1"/>
  <c r="XM177" i="17" s="1" a="1"/>
  <c r="XM177" i="17" s="1"/>
  <c r="L183" i="17"/>
  <c r="K183" i="17" s="1"/>
  <c r="C183" i="17" s="1"/>
  <c r="XJ13" i="17" a="1"/>
  <c r="XJ13" i="17" s="1"/>
  <c r="XM13" i="17" s="1" a="1"/>
  <c r="XM13" i="17" s="1"/>
  <c r="XJ21" i="17" a="1"/>
  <c r="XJ21" i="17" s="1"/>
  <c r="XM21" i="17" s="1" a="1"/>
  <c r="XM21" i="17" s="1"/>
  <c r="XJ29" i="17" a="1"/>
  <c r="XJ29" i="17" s="1"/>
  <c r="XM29" i="17" s="1" a="1"/>
  <c r="XM29" i="17" s="1"/>
  <c r="XJ37" i="17" a="1"/>
  <c r="XJ37" i="17" s="1"/>
  <c r="XM37" i="17" s="1" a="1"/>
  <c r="XM37" i="17" s="1"/>
  <c r="XJ45" i="17" a="1"/>
  <c r="XJ45" i="17" s="1"/>
  <c r="XM45" i="17" s="1" a="1"/>
  <c r="XM45" i="17" s="1"/>
  <c r="XJ53" i="17" a="1"/>
  <c r="XJ53" i="17" s="1"/>
  <c r="XM53" i="17" s="1" a="1"/>
  <c r="XM53" i="17" s="1"/>
  <c r="XJ61" i="17" a="1"/>
  <c r="XJ61" i="17" s="1"/>
  <c r="XM61" i="17" s="1" a="1"/>
  <c r="XM61" i="17" s="1"/>
  <c r="XJ69" i="17" a="1"/>
  <c r="XJ69" i="17" s="1"/>
  <c r="XM69" i="17" s="1" a="1"/>
  <c r="XM69" i="17" s="1"/>
  <c r="XJ77" i="17" a="1"/>
  <c r="XJ77" i="17" s="1"/>
  <c r="XM77" i="17" s="1" a="1"/>
  <c r="XM77" i="17" s="1"/>
  <c r="XJ85" i="17" a="1"/>
  <c r="XJ85" i="17" s="1"/>
  <c r="XM85" i="17" s="1" a="1"/>
  <c r="XM85" i="17" s="1"/>
  <c r="XJ93" i="17" a="1"/>
  <c r="XJ93" i="17" s="1"/>
  <c r="XM93" i="17" s="1" a="1"/>
  <c r="XM93" i="17" s="1"/>
  <c r="XJ101" i="17" a="1"/>
  <c r="XJ101" i="17" s="1"/>
  <c r="XM101" i="17" s="1" a="1"/>
  <c r="XM101" i="17" s="1"/>
  <c r="XJ109" i="17" a="1"/>
  <c r="XJ109" i="17" s="1"/>
  <c r="XM109" i="17" s="1" a="1"/>
  <c r="XM109" i="17" s="1"/>
  <c r="XJ117" i="17" a="1"/>
  <c r="XJ117" i="17" s="1"/>
  <c r="XM117" i="17" s="1" a="1"/>
  <c r="XM117" i="17" s="1"/>
  <c r="XJ125" i="17" a="1"/>
  <c r="XJ125" i="17" s="1"/>
  <c r="XM125" i="17" s="1" a="1"/>
  <c r="XM125" i="17" s="1"/>
  <c r="XJ133" i="17" a="1"/>
  <c r="XJ133" i="17" s="1"/>
  <c r="XM133" i="17" s="1" a="1"/>
  <c r="XM133" i="17" s="1"/>
  <c r="XJ141" i="17" a="1"/>
  <c r="XJ141" i="17" s="1"/>
  <c r="XM141" i="17" s="1" a="1"/>
  <c r="XM141" i="17" s="1"/>
  <c r="XJ149" i="17" a="1"/>
  <c r="XJ149" i="17" s="1"/>
  <c r="XM149" i="17" s="1" a="1"/>
  <c r="XM149" i="17" s="1"/>
  <c r="XJ157" i="17" a="1"/>
  <c r="XJ157" i="17" s="1"/>
  <c r="XM157" i="17" s="1" a="1"/>
  <c r="XM157" i="17" s="1"/>
  <c r="XJ165" i="17" a="1"/>
  <c r="XJ165" i="17" s="1"/>
  <c r="XM165" i="17" s="1" a="1"/>
  <c r="XM165" i="17" s="1"/>
  <c r="XJ173" i="17" a="1"/>
  <c r="XJ173" i="17" s="1"/>
  <c r="XM173" i="17" s="1" a="1"/>
  <c r="XM173" i="17" s="1"/>
  <c r="XJ181" i="17" a="1"/>
  <c r="XJ181" i="17" s="1"/>
  <c r="L181" i="17"/>
  <c r="K181" i="17" s="1"/>
  <c r="C181" i="17" s="1"/>
  <c r="L185" i="17"/>
  <c r="K185" i="17" s="1"/>
  <c r="C185" i="17" s="1"/>
  <c r="XJ24" i="17" a="1"/>
  <c r="XJ24" i="17" s="1"/>
  <c r="XM24" i="17" s="1" a="1"/>
  <c r="XM24" i="17" s="1"/>
  <c r="XJ64" i="17" a="1"/>
  <c r="XJ64" i="17" s="1"/>
  <c r="XM64" i="17" s="1" a="1"/>
  <c r="XM64" i="17" s="1"/>
  <c r="XJ88" i="17" a="1"/>
  <c r="XJ88" i="17" s="1"/>
  <c r="XM88" i="17" s="1" a="1"/>
  <c r="XM88" i="17" s="1"/>
  <c r="XJ120" i="17" a="1"/>
  <c r="XJ120" i="17" s="1"/>
  <c r="XM120" i="17" s="1" a="1"/>
  <c r="XM120" i="17" s="1"/>
  <c r="XJ160" i="17" a="1"/>
  <c r="XJ160" i="17" s="1"/>
  <c r="XM160" i="17" s="1" a="1"/>
  <c r="XM160" i="17" s="1"/>
  <c r="XJ9" i="17" a="1"/>
  <c r="XJ9" i="17" s="1"/>
  <c r="XM9" i="17" s="1" a="1"/>
  <c r="XM9" i="17" s="1"/>
  <c r="XJ49" i="17" a="1"/>
  <c r="XJ49" i="17" s="1"/>
  <c r="XM49" i="17" s="1" a="1"/>
  <c r="XM49" i="17" s="1"/>
  <c r="XJ81" i="17" a="1"/>
  <c r="XJ81" i="17" s="1"/>
  <c r="XM81" i="17" s="1" a="1"/>
  <c r="XM81" i="17" s="1"/>
  <c r="XJ113" i="17" a="1"/>
  <c r="XJ113" i="17" s="1"/>
  <c r="XM113" i="17" s="1" a="1"/>
  <c r="XM113" i="17" s="1"/>
  <c r="XJ153" i="17" a="1"/>
  <c r="XJ153" i="17" s="1"/>
  <c r="XM153" i="17" s="1" a="1"/>
  <c r="XM153" i="17" s="1"/>
  <c r="XJ185" i="17" a="1"/>
  <c r="XJ185" i="17" s="1"/>
  <c r="L179" i="17"/>
  <c r="K179" i="17" s="1"/>
  <c r="C179" i="17" s="1"/>
  <c r="L187" i="17"/>
  <c r="K187" i="17" s="1"/>
  <c r="C187" i="17" s="1"/>
  <c r="XJ91" i="17" a="1"/>
  <c r="XJ91" i="17" s="1"/>
  <c r="XM91" i="17" s="1" a="1"/>
  <c r="XM91" i="17" s="1"/>
  <c r="XJ123" i="17" a="1"/>
  <c r="XJ123" i="17" s="1"/>
  <c r="XM123" i="17" s="1" a="1"/>
  <c r="XM123" i="17" s="1"/>
  <c r="XJ147" i="17" a="1"/>
  <c r="XJ147" i="17" s="1"/>
  <c r="XM147" i="17" s="1" a="1"/>
  <c r="XM147" i="17" s="1"/>
  <c r="XJ187" i="17" a="1"/>
  <c r="XJ187" i="17" s="1"/>
  <c r="L180" i="17"/>
  <c r="K180" i="17" s="1"/>
  <c r="C180" i="17" s="1"/>
  <c r="L188" i="17"/>
  <c r="K188" i="17" s="1"/>
  <c r="C188" i="17" s="1"/>
  <c r="XJ6" i="17" a="1"/>
  <c r="XJ6" i="17" s="1"/>
  <c r="XM6" i="17" s="1" a="1"/>
  <c r="XM6" i="17" s="1"/>
  <c r="XJ14" i="17" a="1"/>
  <c r="XJ14" i="17" s="1"/>
  <c r="XM14" i="17" s="1" a="1"/>
  <c r="XM14" i="17" s="1"/>
  <c r="XJ22" i="17" a="1"/>
  <c r="XJ22" i="17" s="1"/>
  <c r="XM22" i="17" s="1" a="1"/>
  <c r="XM22" i="17" s="1"/>
  <c r="XJ30" i="17" a="1"/>
  <c r="XJ30" i="17" s="1"/>
  <c r="XM30" i="17" s="1" a="1"/>
  <c r="XM30" i="17" s="1"/>
  <c r="XJ38" i="17" a="1"/>
  <c r="XJ38" i="17" s="1"/>
  <c r="XM38" i="17" s="1" a="1"/>
  <c r="XM38" i="17" s="1"/>
  <c r="XJ46" i="17" a="1"/>
  <c r="XJ46" i="17" s="1"/>
  <c r="XM46" i="17" s="1" a="1"/>
  <c r="XM46" i="17" s="1"/>
  <c r="XJ54" i="17" a="1"/>
  <c r="XJ54" i="17" s="1"/>
  <c r="XM54" i="17" s="1" a="1"/>
  <c r="XM54" i="17" s="1"/>
  <c r="XJ62" i="17" a="1"/>
  <c r="XJ62" i="17" s="1"/>
  <c r="XM62" i="17" s="1" a="1"/>
  <c r="XM62" i="17" s="1"/>
  <c r="XJ70" i="17" a="1"/>
  <c r="XJ70" i="17" s="1"/>
  <c r="XM70" i="17" s="1" a="1"/>
  <c r="XM70" i="17" s="1"/>
  <c r="XJ78" i="17" a="1"/>
  <c r="XJ78" i="17" s="1"/>
  <c r="XM78" i="17" s="1" a="1"/>
  <c r="XM78" i="17" s="1"/>
  <c r="XJ86" i="17" a="1"/>
  <c r="XJ86" i="17" s="1"/>
  <c r="XM86" i="17" s="1" a="1"/>
  <c r="XM86" i="17" s="1"/>
  <c r="XJ94" i="17" a="1"/>
  <c r="XJ94" i="17" s="1"/>
  <c r="XM94" i="17" s="1" a="1"/>
  <c r="XM94" i="17" s="1"/>
  <c r="XJ102" i="17" a="1"/>
  <c r="XJ102" i="17" s="1"/>
  <c r="XM102" i="17" s="1" a="1"/>
  <c r="XM102" i="17" s="1"/>
  <c r="XJ110" i="17" a="1"/>
  <c r="XJ110" i="17" s="1"/>
  <c r="XM110" i="17" s="1" a="1"/>
  <c r="XM110" i="17" s="1"/>
  <c r="XJ118" i="17" a="1"/>
  <c r="XJ118" i="17" s="1"/>
  <c r="XM118" i="17" s="1" a="1"/>
  <c r="XM118" i="17" s="1"/>
  <c r="XJ126" i="17" a="1"/>
  <c r="XJ126" i="17" s="1"/>
  <c r="XM126" i="17" s="1" a="1"/>
  <c r="XM126" i="17" s="1"/>
  <c r="XJ134" i="17" a="1"/>
  <c r="XJ134" i="17" s="1"/>
  <c r="XM134" i="17" s="1" a="1"/>
  <c r="XM134" i="17" s="1"/>
  <c r="XJ142" i="17" a="1"/>
  <c r="XJ142" i="17" s="1"/>
  <c r="XM142" i="17" s="1" a="1"/>
  <c r="XM142" i="17" s="1"/>
  <c r="XJ150" i="17" a="1"/>
  <c r="XJ150" i="17" s="1"/>
  <c r="XM150" i="17" s="1" a="1"/>
  <c r="XM150" i="17" s="1"/>
  <c r="XJ158" i="17" a="1"/>
  <c r="XJ158" i="17" s="1"/>
  <c r="XM158" i="17" s="1" a="1"/>
  <c r="XM158" i="17" s="1"/>
  <c r="XJ166" i="17" a="1"/>
  <c r="XJ166" i="17" s="1"/>
  <c r="XM166" i="17" s="1" a="1"/>
  <c r="XM166" i="17" s="1"/>
  <c r="XJ174" i="17" a="1"/>
  <c r="XJ174" i="17" s="1"/>
  <c r="XM174" i="17" s="1" a="1"/>
  <c r="XM174" i="17" s="1"/>
  <c r="XJ182" i="17" a="1"/>
  <c r="XJ182" i="17" s="1"/>
  <c r="XJ16" i="17" a="1"/>
  <c r="XJ16" i="17" s="1"/>
  <c r="XM16" i="17" s="1" a="1"/>
  <c r="XM16" i="17" s="1"/>
  <c r="XJ56" i="17" a="1"/>
  <c r="XJ56" i="17" s="1"/>
  <c r="XM56" i="17" s="1" a="1"/>
  <c r="XM56" i="17" s="1"/>
  <c r="XJ96" i="17" a="1"/>
  <c r="XJ96" i="17" s="1"/>
  <c r="XM96" i="17" s="1" a="1"/>
  <c r="XM96" i="17" s="1"/>
  <c r="XJ128" i="17" a="1"/>
  <c r="XJ128" i="17" s="1"/>
  <c r="XM128" i="17" s="1" a="1"/>
  <c r="XM128" i="17" s="1"/>
  <c r="XJ152" i="17" a="1"/>
  <c r="XJ152" i="17" s="1"/>
  <c r="XM152" i="17" s="1" a="1"/>
  <c r="XM152" i="17" s="1"/>
  <c r="XJ184" i="17" a="1"/>
  <c r="XJ184" i="17" s="1"/>
  <c r="XJ17" i="17" a="1"/>
  <c r="XJ17" i="17" s="1"/>
  <c r="XM17" i="17" s="1" a="1"/>
  <c r="XM17" i="17" s="1"/>
  <c r="XJ41" i="17" a="1"/>
  <c r="XJ41" i="17" s="1"/>
  <c r="XM41" i="17" s="1" a="1"/>
  <c r="XM41" i="17" s="1"/>
  <c r="XJ73" i="17" a="1"/>
  <c r="XJ73" i="17" s="1"/>
  <c r="XM73" i="17" s="1" a="1"/>
  <c r="XM73" i="17" s="1"/>
  <c r="XJ105" i="17" a="1"/>
  <c r="XJ105" i="17" s="1"/>
  <c r="XM105" i="17" s="1" a="1"/>
  <c r="XM105" i="17" s="1"/>
  <c r="XJ137" i="17" a="1"/>
  <c r="XJ137" i="17" s="1"/>
  <c r="XM137" i="17" s="1" a="1"/>
  <c r="XM137" i="17" s="1"/>
  <c r="XJ169" i="17" a="1"/>
  <c r="XJ169" i="17" s="1"/>
  <c r="XM169" i="17" s="1" a="1"/>
  <c r="XM169" i="17" s="1"/>
  <c r="XJ115" i="17" a="1"/>
  <c r="XJ115" i="17" s="1"/>
  <c r="XM115" i="17" s="1" a="1"/>
  <c r="XM115" i="17" s="1"/>
  <c r="XJ155" i="17" a="1"/>
  <c r="XJ155" i="17" s="1"/>
  <c r="XM155" i="17" s="1" a="1"/>
  <c r="XM155" i="17" s="1"/>
  <c r="XJ7" i="17" a="1"/>
  <c r="XJ7" i="17" s="1"/>
  <c r="XM7" i="17" s="1" a="1"/>
  <c r="XM7" i="17" s="1"/>
  <c r="XJ15" i="17" a="1"/>
  <c r="XJ15" i="17" s="1"/>
  <c r="XM15" i="17" s="1" a="1"/>
  <c r="XM15" i="17" s="1"/>
  <c r="XJ23" i="17" a="1"/>
  <c r="XJ23" i="17" s="1"/>
  <c r="XM23" i="17" s="1" a="1"/>
  <c r="XM23" i="17" s="1"/>
  <c r="XJ31" i="17" a="1"/>
  <c r="XJ31" i="17" s="1"/>
  <c r="XM31" i="17" s="1" a="1"/>
  <c r="XM31" i="17" s="1"/>
  <c r="XJ39" i="17" a="1"/>
  <c r="XJ39" i="17" s="1"/>
  <c r="XM39" i="17" s="1" a="1"/>
  <c r="XM39" i="17" s="1"/>
  <c r="XJ47" i="17" a="1"/>
  <c r="XJ47" i="17" s="1"/>
  <c r="XM47" i="17" s="1" a="1"/>
  <c r="XM47" i="17" s="1"/>
  <c r="XJ55" i="17" a="1"/>
  <c r="XJ55" i="17" s="1"/>
  <c r="XM55" i="17" s="1" a="1"/>
  <c r="XM55" i="17" s="1"/>
  <c r="XJ63" i="17" a="1"/>
  <c r="XJ63" i="17" s="1"/>
  <c r="XM63" i="17" s="1" a="1"/>
  <c r="XM63" i="17" s="1"/>
  <c r="XJ71" i="17" a="1"/>
  <c r="XJ71" i="17" s="1"/>
  <c r="XM71" i="17" s="1" a="1"/>
  <c r="XM71" i="17" s="1"/>
  <c r="XJ79" i="17" a="1"/>
  <c r="XJ79" i="17" s="1"/>
  <c r="XM79" i="17" s="1" a="1"/>
  <c r="XM79" i="17" s="1"/>
  <c r="XJ87" i="17" a="1"/>
  <c r="XJ87" i="17" s="1"/>
  <c r="XM87" i="17" s="1" a="1"/>
  <c r="XM87" i="17" s="1"/>
  <c r="XJ95" i="17" a="1"/>
  <c r="XJ95" i="17" s="1"/>
  <c r="XM95" i="17" s="1" a="1"/>
  <c r="XM95" i="17" s="1"/>
  <c r="XJ103" i="17" a="1"/>
  <c r="XJ103" i="17" s="1"/>
  <c r="XM103" i="17" s="1" a="1"/>
  <c r="XM103" i="17" s="1"/>
  <c r="XJ111" i="17" a="1"/>
  <c r="XJ111" i="17" s="1"/>
  <c r="XM111" i="17" s="1" a="1"/>
  <c r="XM111" i="17" s="1"/>
  <c r="XJ119" i="17" a="1"/>
  <c r="XJ119" i="17" s="1"/>
  <c r="XM119" i="17" s="1" a="1"/>
  <c r="XM119" i="17" s="1"/>
  <c r="XJ127" i="17" a="1"/>
  <c r="XJ127" i="17" s="1"/>
  <c r="XM127" i="17" s="1" a="1"/>
  <c r="XM127" i="17" s="1"/>
  <c r="XJ135" i="17" a="1"/>
  <c r="XJ135" i="17" s="1"/>
  <c r="XM135" i="17" s="1" a="1"/>
  <c r="XM135" i="17" s="1"/>
  <c r="XJ143" i="17" a="1"/>
  <c r="XJ143" i="17" s="1"/>
  <c r="XM143" i="17" s="1" a="1"/>
  <c r="XM143" i="17" s="1"/>
  <c r="XJ151" i="17" a="1"/>
  <c r="XJ151" i="17" s="1"/>
  <c r="XM151" i="17" s="1" a="1"/>
  <c r="XM151" i="17" s="1"/>
  <c r="XJ159" i="17" a="1"/>
  <c r="XJ159" i="17" s="1"/>
  <c r="XM159" i="17" s="1" a="1"/>
  <c r="XM159" i="17" s="1"/>
  <c r="XJ167" i="17" a="1"/>
  <c r="XJ167" i="17" s="1"/>
  <c r="XM167" i="17" s="1" a="1"/>
  <c r="XM167" i="17" s="1"/>
  <c r="XJ175" i="17" a="1"/>
  <c r="XJ175" i="17" s="1"/>
  <c r="XM175" i="17" s="1" a="1"/>
  <c r="XM175" i="17" s="1"/>
  <c r="XJ183" i="17" a="1"/>
  <c r="XJ183" i="17" s="1"/>
  <c r="L178" i="17"/>
  <c r="K178" i="17" s="1"/>
  <c r="C178" i="17" s="1"/>
  <c r="L182" i="17"/>
  <c r="K182" i="17" s="1"/>
  <c r="C182" i="17" s="1"/>
  <c r="L186" i="17"/>
  <c r="K186" i="17" s="1"/>
  <c r="C186" i="17" s="1"/>
  <c r="XJ8" i="17" a="1"/>
  <c r="XJ8" i="17" s="1"/>
  <c r="XM8" i="17" s="1" a="1"/>
  <c r="XM8" i="17" s="1"/>
  <c r="XJ48" i="17" a="1"/>
  <c r="XJ48" i="17" s="1"/>
  <c r="XM48" i="17" s="1" a="1"/>
  <c r="XM48" i="17" s="1"/>
  <c r="XJ80" i="17" a="1"/>
  <c r="XJ80" i="17" s="1"/>
  <c r="XM80" i="17" s="1" a="1"/>
  <c r="XM80" i="17" s="1"/>
  <c r="XJ112" i="17" a="1"/>
  <c r="XJ112" i="17" s="1"/>
  <c r="XM112" i="17" s="1" a="1"/>
  <c r="XM112" i="17" s="1"/>
  <c r="XJ144" i="17" a="1"/>
  <c r="XJ144" i="17" s="1"/>
  <c r="XM144" i="17" s="1" a="1"/>
  <c r="XM144" i="17" s="1"/>
  <c r="XJ176" i="17" a="1"/>
  <c r="XJ176" i="17" s="1"/>
  <c r="XM176" i="17" s="1" a="1"/>
  <c r="XM176" i="17" s="1"/>
  <c r="XJ33" i="17" a="1"/>
  <c r="XJ33" i="17" s="1"/>
  <c r="XM33" i="17" s="1" a="1"/>
  <c r="XM33" i="17" s="1"/>
  <c r="XJ57" i="17" a="1"/>
  <c r="XJ57" i="17" s="1"/>
  <c r="XM57" i="17" s="1" a="1"/>
  <c r="XM57" i="17" s="1"/>
  <c r="XJ89" i="17" a="1"/>
  <c r="XJ89" i="17" s="1"/>
  <c r="XM89" i="17" s="1" a="1"/>
  <c r="XM89" i="17" s="1"/>
  <c r="XJ121" i="17" a="1"/>
  <c r="XJ121" i="17" s="1"/>
  <c r="XM121" i="17" s="1" a="1"/>
  <c r="XM121" i="17" s="1"/>
  <c r="XJ161" i="17" a="1"/>
  <c r="XJ161" i="17" s="1"/>
  <c r="XM161" i="17" s="1" a="1"/>
  <c r="XM161" i="17" s="1"/>
  <c r="XJ99" i="17" a="1"/>
  <c r="XJ99" i="17" s="1"/>
  <c r="XM99" i="17" s="1" a="1"/>
  <c r="XM99" i="17" s="1"/>
  <c r="XJ139" i="17" a="1"/>
  <c r="XJ139" i="17" s="1"/>
  <c r="XM139" i="17" s="1" a="1"/>
  <c r="XM139" i="17" s="1"/>
  <c r="XJ171" i="17" a="1"/>
  <c r="XJ171" i="17" s="1"/>
  <c r="XM171" i="17" s="1" a="1"/>
  <c r="XM171" i="17" s="1"/>
  <c r="XJ10" i="17" a="1"/>
  <c r="XJ10" i="17" s="1"/>
  <c r="XM10" i="17" s="1" a="1"/>
  <c r="XM10" i="17" s="1"/>
  <c r="XJ18" i="17" a="1"/>
  <c r="XJ18" i="17" s="1"/>
  <c r="XM18" i="17" s="1" a="1"/>
  <c r="XM18" i="17" s="1"/>
  <c r="XJ26" i="17" a="1"/>
  <c r="XJ26" i="17" s="1"/>
  <c r="XM26" i="17" s="1" a="1"/>
  <c r="XM26" i="17" s="1"/>
  <c r="XJ34" i="17" a="1"/>
  <c r="XJ34" i="17" s="1"/>
  <c r="XM34" i="17" s="1" a="1"/>
  <c r="XM34" i="17" s="1"/>
  <c r="XJ42" i="17" a="1"/>
  <c r="XJ42" i="17" s="1"/>
  <c r="XM42" i="17" s="1" a="1"/>
  <c r="XM42" i="17" s="1"/>
  <c r="XJ50" i="17" a="1"/>
  <c r="XJ50" i="17" s="1"/>
  <c r="XM50" i="17" s="1" a="1"/>
  <c r="XM50" i="17" s="1"/>
  <c r="XJ58" i="17" a="1"/>
  <c r="XJ58" i="17" s="1"/>
  <c r="XM58" i="17" s="1" a="1"/>
  <c r="XM58" i="17" s="1"/>
  <c r="XJ66" i="17" a="1"/>
  <c r="XJ66" i="17" s="1"/>
  <c r="XM66" i="17" s="1" a="1"/>
  <c r="XM66" i="17" s="1"/>
  <c r="XJ74" i="17" a="1"/>
  <c r="XJ74" i="17" s="1"/>
  <c r="XM74" i="17" s="1" a="1"/>
  <c r="XM74" i="17" s="1"/>
  <c r="XJ82" i="17" a="1"/>
  <c r="XJ82" i="17" s="1"/>
  <c r="XM82" i="17" s="1" a="1"/>
  <c r="XM82" i="17" s="1"/>
  <c r="XJ90" i="17" a="1"/>
  <c r="XJ90" i="17" s="1"/>
  <c r="XM90" i="17" s="1" a="1"/>
  <c r="XM90" i="17" s="1"/>
  <c r="XJ98" i="17" a="1"/>
  <c r="XJ98" i="17" s="1"/>
  <c r="XM98" i="17" s="1" a="1"/>
  <c r="XM98" i="17" s="1"/>
  <c r="XJ106" i="17" a="1"/>
  <c r="XJ106" i="17" s="1"/>
  <c r="XM106" i="17" s="1" a="1"/>
  <c r="XM106" i="17" s="1"/>
  <c r="XJ114" i="17" a="1"/>
  <c r="XJ114" i="17" s="1"/>
  <c r="XM114" i="17" s="1" a="1"/>
  <c r="XM114" i="17" s="1"/>
  <c r="XJ122" i="17" a="1"/>
  <c r="XJ122" i="17" s="1"/>
  <c r="XM122" i="17" s="1" a="1"/>
  <c r="XM122" i="17" s="1"/>
  <c r="XJ130" i="17" a="1"/>
  <c r="XJ130" i="17" s="1"/>
  <c r="XM130" i="17" s="1" a="1"/>
  <c r="XM130" i="17" s="1"/>
  <c r="XJ138" i="17" a="1"/>
  <c r="XJ138" i="17" s="1"/>
  <c r="XM138" i="17" s="1" a="1"/>
  <c r="XM138" i="17" s="1"/>
  <c r="XJ146" i="17" a="1"/>
  <c r="XJ146" i="17" s="1"/>
  <c r="XM146" i="17" s="1" a="1"/>
  <c r="XM146" i="17" s="1"/>
  <c r="XJ154" i="17" a="1"/>
  <c r="XJ154" i="17" s="1"/>
  <c r="XM154" i="17" s="1" a="1"/>
  <c r="XM154" i="17" s="1"/>
  <c r="XJ162" i="17" a="1"/>
  <c r="XJ162" i="17" s="1"/>
  <c r="XM162" i="17" s="1" a="1"/>
  <c r="XM162" i="17" s="1"/>
  <c r="XJ170" i="17" a="1"/>
  <c r="XJ170" i="17" s="1"/>
  <c r="XM170" i="17" s="1" a="1"/>
  <c r="XM170" i="17" s="1"/>
  <c r="XJ178" i="17" a="1"/>
  <c r="XJ178" i="17" s="1"/>
  <c r="XJ186" i="17" a="1"/>
  <c r="XJ186" i="17" s="1"/>
  <c r="XJ11" i="17" a="1"/>
  <c r="XJ11" i="17" s="1"/>
  <c r="XM11" i="17" s="1" a="1"/>
  <c r="XM11" i="17" s="1"/>
  <c r="XJ19" i="17" a="1"/>
  <c r="XJ19" i="17" s="1"/>
  <c r="XM19" i="17" s="1" a="1"/>
  <c r="XM19" i="17" s="1"/>
  <c r="XJ27" i="17" a="1"/>
  <c r="XJ27" i="17" s="1"/>
  <c r="XM27" i="17" s="1" a="1"/>
  <c r="XM27" i="17" s="1"/>
  <c r="XJ35" i="17" a="1"/>
  <c r="XJ35" i="17" s="1"/>
  <c r="XM35" i="17" s="1" a="1"/>
  <c r="XM35" i="17" s="1"/>
  <c r="XJ43" i="17" a="1"/>
  <c r="XJ43" i="17" s="1"/>
  <c r="XM43" i="17" s="1" a="1"/>
  <c r="XM43" i="17" s="1"/>
  <c r="XJ51" i="17" a="1"/>
  <c r="XJ51" i="17" s="1"/>
  <c r="XM51" i="17" s="1" a="1"/>
  <c r="XM51" i="17" s="1"/>
  <c r="XJ59" i="17" a="1"/>
  <c r="XJ59" i="17" s="1"/>
  <c r="XM59" i="17" s="1" a="1"/>
  <c r="XM59" i="17" s="1"/>
  <c r="XJ67" i="17" a="1"/>
  <c r="XJ67" i="17" s="1"/>
  <c r="XM67" i="17" s="1" a="1"/>
  <c r="XM67" i="17" s="1"/>
  <c r="XJ75" i="17" a="1"/>
  <c r="XJ75" i="17" s="1"/>
  <c r="XM75" i="17" s="1" a="1"/>
  <c r="XM75" i="17" s="1"/>
  <c r="XJ83" i="17" a="1"/>
  <c r="XJ83" i="17" s="1"/>
  <c r="XM83" i="17" s="1" a="1"/>
  <c r="XM83" i="17" s="1"/>
  <c r="XJ107" i="17" a="1"/>
  <c r="XJ107" i="17" s="1"/>
  <c r="XM107" i="17" s="1" a="1"/>
  <c r="XM107" i="17" s="1"/>
  <c r="XJ131" i="17" a="1"/>
  <c r="XJ131" i="17" s="1"/>
  <c r="XM131" i="17" s="1" a="1"/>
  <c r="XM131" i="17" s="1"/>
  <c r="XJ163" i="17" a="1"/>
  <c r="XJ163" i="17" s="1"/>
  <c r="XM163" i="17" s="1" a="1"/>
  <c r="XM163" i="17" s="1"/>
  <c r="XJ179" i="17" a="1"/>
  <c r="XJ179" i="17" s="1"/>
  <c r="L184" i="17"/>
  <c r="K184" i="17" s="1"/>
  <c r="C184" i="17" s="1"/>
  <c r="XP9" i="17" a="1"/>
  <c r="XP9" i="17" s="1"/>
  <c r="XU9" i="17" s="1" a="1"/>
  <c r="XU9" i="17" s="1"/>
  <c r="XP73" i="17" a="1"/>
  <c r="XP73" i="17" s="1"/>
  <c r="XU73" i="17" s="1" a="1"/>
  <c r="XU73" i="17" s="1"/>
  <c r="XP10" i="17" a="1"/>
  <c r="XP10" i="17" s="1"/>
  <c r="XU10" i="17" s="1" a="1"/>
  <c r="XU10" i="17" s="1"/>
  <c r="XP74" i="17" a="1"/>
  <c r="XP74" i="17" s="1"/>
  <c r="XU74" i="17" s="1" a="1"/>
  <c r="XU74" i="17" s="1"/>
  <c r="XP19" i="17" a="1"/>
  <c r="XP19" i="17" s="1"/>
  <c r="XU19" i="17" s="1" a="1"/>
  <c r="XU19" i="17" s="1"/>
  <c r="XP83" i="17" a="1"/>
  <c r="XP83" i="17" s="1"/>
  <c r="XU83" i="17" s="1" a="1"/>
  <c r="XU83" i="17" s="1"/>
  <c r="XP20" i="17" a="1"/>
  <c r="XP20" i="17" s="1"/>
  <c r="XU20" i="17" s="1" a="1"/>
  <c r="XU20" i="17" s="1"/>
  <c r="XP84" i="17" a="1"/>
  <c r="XP84" i="17" s="1"/>
  <c r="XU84" i="17" s="1" a="1"/>
  <c r="XU84" i="17" s="1"/>
  <c r="XP23" i="17" a="1"/>
  <c r="XP23" i="17" s="1"/>
  <c r="XU23" i="17" s="1" a="1"/>
  <c r="XU23" i="17" s="1"/>
  <c r="XP87" i="17" a="1"/>
  <c r="XP87" i="17" s="1"/>
  <c r="XU87" i="17" s="1" a="1"/>
  <c r="XU87" i="17" s="1"/>
  <c r="XP48" i="17" a="1"/>
  <c r="XP48" i="17" s="1"/>
  <c r="XU48" i="17" s="1" a="1"/>
  <c r="XU48" i="17" s="1"/>
  <c r="XP164" i="17" a="1"/>
  <c r="XP164" i="17" s="1"/>
  <c r="XU164" i="17" s="1" a="1"/>
  <c r="XU164" i="17" s="1"/>
  <c r="XP40" i="17" a="1"/>
  <c r="XP40" i="17" s="1"/>
  <c r="XU40" i="17" s="1" a="1"/>
  <c r="XU40" i="17" s="1"/>
  <c r="XP94" i="17" a="1"/>
  <c r="XP94" i="17" s="1"/>
  <c r="XU94" i="17" s="1" a="1"/>
  <c r="XU94" i="17" s="1"/>
  <c r="XP181" i="17" a="1"/>
  <c r="XP181" i="17" s="1"/>
  <c r="XU181" i="17" s="1" a="1"/>
  <c r="XU181" i="17" s="1"/>
  <c r="XP13" i="17" a="1"/>
  <c r="XP13" i="17" s="1"/>
  <c r="XU13" i="17" s="1" a="1"/>
  <c r="XU13" i="17" s="1"/>
  <c r="XP150" i="17" a="1"/>
  <c r="XP150" i="17" s="1"/>
  <c r="XU150" i="17" s="1" a="1"/>
  <c r="XU150" i="17" s="1"/>
  <c r="XP85" i="17" a="1"/>
  <c r="XP85" i="17" s="1"/>
  <c r="XU85" i="17" s="1" a="1"/>
  <c r="XU85" i="17" s="1"/>
  <c r="XP135" i="17" a="1"/>
  <c r="XP135" i="17" s="1"/>
  <c r="XU135" i="17" s="1" a="1"/>
  <c r="XU135" i="17" s="1"/>
  <c r="XP102" i="17" a="1"/>
  <c r="XP102" i="17" s="1"/>
  <c r="XU102" i="17" s="1" a="1"/>
  <c r="XU102" i="17" s="1"/>
  <c r="XP64" i="17" a="1"/>
  <c r="XP64" i="17" s="1"/>
  <c r="XU64" i="17" s="1" a="1"/>
  <c r="XU64" i="17" s="1"/>
  <c r="XP170" i="17" a="1"/>
  <c r="XP170" i="17" s="1"/>
  <c r="XU170" i="17" s="1" a="1"/>
  <c r="XU170" i="17" s="1"/>
  <c r="XP130" i="17" a="1"/>
  <c r="XP130" i="17" s="1"/>
  <c r="XU130" i="17" s="1" a="1"/>
  <c r="XU130" i="17" s="1"/>
  <c r="XX9" i="17" a="1"/>
  <c r="XX9" i="17" s="1"/>
  <c r="XX73" i="17" a="1"/>
  <c r="XX73" i="17" s="1"/>
  <c r="XX137" i="17" a="1"/>
  <c r="XX137" i="17" s="1"/>
  <c r="XX18" i="17" a="1"/>
  <c r="XX18" i="17" s="1"/>
  <c r="XX82" i="17" a="1"/>
  <c r="XX82" i="17" s="1"/>
  <c r="XX146" i="17" a="1"/>
  <c r="XX146" i="17" s="1"/>
  <c r="XX27" i="17" a="1"/>
  <c r="XX27" i="17" s="1"/>
  <c r="XX91" i="17" a="1"/>
  <c r="XX91" i="17" s="1"/>
  <c r="XX155" i="17" a="1"/>
  <c r="XX155" i="17" s="1"/>
  <c r="XX36" i="17" a="1"/>
  <c r="XX36" i="17" s="1"/>
  <c r="XX100" i="17" a="1"/>
  <c r="XX100" i="17" s="1"/>
  <c r="XX164" i="17" a="1"/>
  <c r="XX164" i="17" s="1"/>
  <c r="XX39" i="17" a="1"/>
  <c r="XX39" i="17" s="1"/>
  <c r="XX103" i="17" a="1"/>
  <c r="XX103" i="17" s="1"/>
  <c r="XX167" i="17" a="1"/>
  <c r="XX167" i="17" s="1"/>
  <c r="XX126" i="17" a="1"/>
  <c r="XX126" i="17" s="1"/>
  <c r="XX45" i="17" a="1"/>
  <c r="XX45" i="17" s="1"/>
  <c r="XX94" i="17" a="1"/>
  <c r="XX94" i="17" s="1"/>
  <c r="XX133" i="17" a="1"/>
  <c r="XX133" i="17" s="1"/>
  <c r="XX182" i="17" a="1"/>
  <c r="XX182" i="17" s="1"/>
  <c r="YH182" i="17" s="1" a="1"/>
  <c r="YH182" i="17" s="1"/>
  <c r="YI182" i="17" s="1" a="1"/>
  <c r="YI182" i="17" s="1"/>
  <c r="XX157" i="17" a="1"/>
  <c r="XX157" i="17" s="1"/>
  <c r="XX56" i="17" a="1"/>
  <c r="XX56" i="17" s="1"/>
  <c r="XX38" i="17" a="1"/>
  <c r="XX38" i="17" s="1"/>
  <c r="XP183" i="17" a="1"/>
  <c r="XP183" i="17" s="1"/>
  <c r="XU183" i="17" s="1" a="1"/>
  <c r="XU183" i="17" s="1"/>
  <c r="XX11" i="17" a="1"/>
  <c r="XX11" i="17" s="1"/>
  <c r="XX148" i="17" a="1"/>
  <c r="XX148" i="17" s="1"/>
  <c r="XX13" i="17" a="1"/>
  <c r="XX13" i="17" s="1"/>
  <c r="XP65" i="17" a="1"/>
  <c r="XP65" i="17" s="1"/>
  <c r="XU65" i="17" s="1" a="1"/>
  <c r="XU65" i="17" s="1"/>
  <c r="XP79" i="17" a="1"/>
  <c r="XP79" i="17" s="1"/>
  <c r="XU79" i="17" s="1" a="1"/>
  <c r="XU79" i="17" s="1"/>
  <c r="XP176" i="17" a="1"/>
  <c r="XP176" i="17" s="1"/>
  <c r="XU176" i="17" s="1" a="1"/>
  <c r="XU176" i="17" s="1"/>
  <c r="XP120" i="17" a="1"/>
  <c r="XP120" i="17" s="1"/>
  <c r="XU120" i="17" s="1" a="1"/>
  <c r="XU120" i="17" s="1"/>
  <c r="XX129" i="17" a="1"/>
  <c r="XX129" i="17" s="1"/>
  <c r="XX28" i="17" a="1"/>
  <c r="XX28" i="17" s="1"/>
  <c r="XX104" i="17" a="1"/>
  <c r="XX104" i="17" s="1"/>
  <c r="XP17" i="17" a="1"/>
  <c r="XP17" i="17" s="1"/>
  <c r="XU17" i="17" s="1" a="1"/>
  <c r="XU17" i="17" s="1"/>
  <c r="XP81" i="17" a="1"/>
  <c r="XP81" i="17" s="1"/>
  <c r="XU81" i="17" s="1" a="1"/>
  <c r="XU81" i="17" s="1"/>
  <c r="XP18" i="17" a="1"/>
  <c r="XP18" i="17" s="1"/>
  <c r="XU18" i="17" s="1" a="1"/>
  <c r="XU18" i="17" s="1"/>
  <c r="XP82" i="17" a="1"/>
  <c r="XP82" i="17" s="1"/>
  <c r="XU82" i="17" s="1" a="1"/>
  <c r="XU82" i="17" s="1"/>
  <c r="XP27" i="17" a="1"/>
  <c r="XP27" i="17" s="1"/>
  <c r="XU27" i="17" s="1" a="1"/>
  <c r="XU27" i="17" s="1"/>
  <c r="XP91" i="17" a="1"/>
  <c r="XP91" i="17" s="1"/>
  <c r="XU91" i="17" s="1" a="1"/>
  <c r="XU91" i="17" s="1"/>
  <c r="XP28" i="17" a="1"/>
  <c r="XP28" i="17" s="1"/>
  <c r="XU28" i="17" s="1" a="1"/>
  <c r="XU28" i="17" s="1"/>
  <c r="XP92" i="17" a="1"/>
  <c r="XP92" i="17" s="1"/>
  <c r="XU92" i="17" s="1" a="1"/>
  <c r="XU92" i="17" s="1"/>
  <c r="XP31" i="17" a="1"/>
  <c r="XP31" i="17" s="1"/>
  <c r="XU31" i="17" s="1" a="1"/>
  <c r="XU31" i="17" s="1"/>
  <c r="XP95" i="17" a="1"/>
  <c r="XP95" i="17" s="1"/>
  <c r="XU95" i="17" s="1" a="1"/>
  <c r="XU95" i="17" s="1"/>
  <c r="XP70" i="17" a="1"/>
  <c r="XP70" i="17" s="1"/>
  <c r="XU70" i="17" s="1" a="1"/>
  <c r="XU70" i="17" s="1"/>
  <c r="XP172" i="17" a="1"/>
  <c r="XP172" i="17" s="1"/>
  <c r="XU172" i="17" s="1" a="1"/>
  <c r="XU172" i="17" s="1"/>
  <c r="XP104" i="17" a="1"/>
  <c r="XP104" i="17" s="1"/>
  <c r="XU104" i="17" s="1" a="1"/>
  <c r="XU104" i="17" s="1"/>
  <c r="XP117" i="17" a="1"/>
  <c r="XP117" i="17" s="1"/>
  <c r="XU117" i="17" s="1" a="1"/>
  <c r="XU117" i="17" s="1"/>
  <c r="XP32" i="17" a="1"/>
  <c r="XP32" i="17" s="1"/>
  <c r="XU32" i="17" s="1" a="1"/>
  <c r="XU32" i="17" s="1"/>
  <c r="XP158" i="17" a="1"/>
  <c r="XP158" i="17" s="1"/>
  <c r="XU158" i="17" s="1" a="1"/>
  <c r="XU158" i="17" s="1"/>
  <c r="XP169" i="17" a="1"/>
  <c r="XP169" i="17" s="1"/>
  <c r="XU169" i="17" s="1" a="1"/>
  <c r="XU169" i="17" s="1"/>
  <c r="XP143" i="17" a="1"/>
  <c r="XP143" i="17" s="1"/>
  <c r="XU143" i="17" s="1" a="1"/>
  <c r="XU143" i="17" s="1"/>
  <c r="XP152" i="17" a="1"/>
  <c r="XP152" i="17" s="1"/>
  <c r="XU152" i="17" s="1" a="1"/>
  <c r="XU152" i="17" s="1"/>
  <c r="XP86" i="17" a="1"/>
  <c r="XP86" i="17" s="1"/>
  <c r="XU86" i="17" s="1" a="1"/>
  <c r="XU86" i="17" s="1"/>
  <c r="XP178" i="17" a="1"/>
  <c r="XP178" i="17" s="1"/>
  <c r="XU178" i="17" s="1" a="1"/>
  <c r="XU178" i="17" s="1"/>
  <c r="XP139" i="17" a="1"/>
  <c r="XP139" i="17" s="1"/>
  <c r="XU139" i="17" s="1" a="1"/>
  <c r="XU139" i="17" s="1"/>
  <c r="XX17" i="17" a="1"/>
  <c r="XX17" i="17" s="1"/>
  <c r="XX81" i="17" a="1"/>
  <c r="XX81" i="17" s="1"/>
  <c r="XX145" i="17" a="1"/>
  <c r="XX145" i="17" s="1"/>
  <c r="XX26" i="17" a="1"/>
  <c r="XX26" i="17" s="1"/>
  <c r="XX90" i="17" a="1"/>
  <c r="XX90" i="17" s="1"/>
  <c r="XX154" i="17" a="1"/>
  <c r="XX154" i="17" s="1"/>
  <c r="XX35" i="17" a="1"/>
  <c r="XX35" i="17" s="1"/>
  <c r="XX99" i="17" a="1"/>
  <c r="XX99" i="17" s="1"/>
  <c r="XX163" i="17" a="1"/>
  <c r="XX163" i="17" s="1"/>
  <c r="XX44" i="17" a="1"/>
  <c r="XX44" i="17" s="1"/>
  <c r="XX108" i="17" a="1"/>
  <c r="XX108" i="17" s="1"/>
  <c r="XX172" i="17" a="1"/>
  <c r="XX172" i="17" s="1"/>
  <c r="XX47" i="17" a="1"/>
  <c r="XX47" i="17" s="1"/>
  <c r="XX111" i="17" a="1"/>
  <c r="XX111" i="17" s="1"/>
  <c r="XX175" i="17" a="1"/>
  <c r="XX175" i="17" s="1"/>
  <c r="XX149" i="17" a="1"/>
  <c r="XX149" i="17" s="1"/>
  <c r="XX64" i="17" a="1"/>
  <c r="XX64" i="17" s="1"/>
  <c r="XX77" i="17" a="1"/>
  <c r="XX77" i="17" s="1"/>
  <c r="XX152" i="17" a="1"/>
  <c r="XX152" i="17" s="1"/>
  <c r="XX6" i="17" a="1"/>
  <c r="XX6" i="17" s="1"/>
  <c r="XX176" i="17" a="1"/>
  <c r="XX176" i="17" s="1"/>
  <c r="XX78" i="17" a="1"/>
  <c r="XX78" i="17" s="1"/>
  <c r="XX61" i="17" a="1"/>
  <c r="XX61" i="17" s="1"/>
  <c r="XP144" i="17" a="1"/>
  <c r="XP144" i="17" s="1"/>
  <c r="XU144" i="17" s="1" a="1"/>
  <c r="XU144" i="17" s="1"/>
  <c r="XX66" i="17" a="1"/>
  <c r="XX66" i="17" s="1"/>
  <c r="XX87" i="17" a="1"/>
  <c r="XX87" i="17" s="1"/>
  <c r="XX112" i="17" a="1"/>
  <c r="XX112" i="17" s="1"/>
  <c r="XP11" i="17" a="1"/>
  <c r="XP11" i="17" s="1"/>
  <c r="XU11" i="17" s="1" a="1"/>
  <c r="XU11" i="17" s="1"/>
  <c r="XP76" i="17" a="1"/>
  <c r="XP76" i="17" s="1"/>
  <c r="XU76" i="17" s="1" a="1"/>
  <c r="XU76" i="17" s="1"/>
  <c r="XP173" i="17" a="1"/>
  <c r="XP173" i="17" s="1"/>
  <c r="XU173" i="17" s="1" a="1"/>
  <c r="XU173" i="17" s="1"/>
  <c r="XP162" i="17" a="1"/>
  <c r="XP162" i="17" s="1"/>
  <c r="XU162" i="17" s="1" a="1"/>
  <c r="XU162" i="17" s="1"/>
  <c r="XX74" i="17" a="1"/>
  <c r="XX74" i="17" s="1"/>
  <c r="XX156" i="17" a="1"/>
  <c r="XX156" i="17" s="1"/>
  <c r="XX96" i="17" a="1"/>
  <c r="XX96" i="17" s="1"/>
  <c r="XP25" i="17" a="1"/>
  <c r="XP25" i="17" s="1"/>
  <c r="XU25" i="17" s="1" a="1"/>
  <c r="XU25" i="17" s="1"/>
  <c r="XP89" i="17" a="1"/>
  <c r="XP89" i="17" s="1"/>
  <c r="XU89" i="17" s="1" a="1"/>
  <c r="XU89" i="17" s="1"/>
  <c r="XP26" i="17" a="1"/>
  <c r="XP26" i="17" s="1"/>
  <c r="XU26" i="17" s="1" a="1"/>
  <c r="XU26" i="17" s="1"/>
  <c r="XP90" i="17" a="1"/>
  <c r="XP90" i="17" s="1"/>
  <c r="XU90" i="17" s="1" a="1"/>
  <c r="XU90" i="17" s="1"/>
  <c r="XP35" i="17" a="1"/>
  <c r="XP35" i="17" s="1"/>
  <c r="XU35" i="17" s="1" a="1"/>
  <c r="XU35" i="17" s="1"/>
  <c r="XP99" i="17" a="1"/>
  <c r="XP99" i="17" s="1"/>
  <c r="XU99" i="17" s="1" a="1"/>
  <c r="XU99" i="17" s="1"/>
  <c r="XP36" i="17" a="1"/>
  <c r="XP36" i="17" s="1"/>
  <c r="XU36" i="17" s="1" a="1"/>
  <c r="XU36" i="17" s="1"/>
  <c r="XP100" i="17" a="1"/>
  <c r="XP100" i="17" s="1"/>
  <c r="XU100" i="17" s="1" a="1"/>
  <c r="XU100" i="17" s="1"/>
  <c r="XP39" i="17" a="1"/>
  <c r="XP39" i="17" s="1"/>
  <c r="XU39" i="17" s="1" a="1"/>
  <c r="XU39" i="17" s="1"/>
  <c r="XP103" i="17" a="1"/>
  <c r="XP103" i="17" s="1"/>
  <c r="XU103" i="17" s="1" a="1"/>
  <c r="XU103" i="17" s="1"/>
  <c r="XP93" i="17" a="1"/>
  <c r="XP93" i="17" s="1"/>
  <c r="XU93" i="17" s="1" a="1"/>
  <c r="XU93" i="17" s="1"/>
  <c r="XP180" i="17" a="1"/>
  <c r="XP180" i="17" s="1"/>
  <c r="XU180" i="17" s="1" a="1"/>
  <c r="XU180" i="17" s="1"/>
  <c r="XP145" i="17" a="1"/>
  <c r="XP145" i="17" s="1"/>
  <c r="XU145" i="17" s="1" a="1"/>
  <c r="XU145" i="17" s="1"/>
  <c r="XP133" i="17" a="1"/>
  <c r="XP133" i="17" s="1"/>
  <c r="XU133" i="17" s="1" a="1"/>
  <c r="XU133" i="17" s="1"/>
  <c r="XP16" i="17" a="1"/>
  <c r="XP16" i="17" s="1"/>
  <c r="XU16" i="17" s="1" a="1"/>
  <c r="XU16" i="17" s="1"/>
  <c r="XP54" i="17" a="1"/>
  <c r="XP54" i="17" s="1"/>
  <c r="XU54" i="17" s="1" a="1"/>
  <c r="XU54" i="17" s="1"/>
  <c r="XP166" i="17" a="1"/>
  <c r="XP166" i="17" s="1"/>
  <c r="XU166" i="17" s="1" a="1"/>
  <c r="XU166" i="17" s="1"/>
  <c r="XP14" i="17" a="1"/>
  <c r="XP14" i="17" s="1"/>
  <c r="XU14" i="17" s="1" a="1"/>
  <c r="XU14" i="17" s="1"/>
  <c r="XP151" i="17" a="1"/>
  <c r="XP151" i="17" s="1"/>
  <c r="XU151" i="17" s="1" a="1"/>
  <c r="XU151" i="17" s="1"/>
  <c r="XP21" i="17" a="1"/>
  <c r="XP21" i="17" s="1"/>
  <c r="XU21" i="17" s="1" a="1"/>
  <c r="XU21" i="17" s="1"/>
  <c r="XP109" i="17" a="1"/>
  <c r="XP109" i="17" s="1"/>
  <c r="XU109" i="17" s="1" a="1"/>
  <c r="XU109" i="17" s="1"/>
  <c r="XP186" i="17" a="1"/>
  <c r="XP186" i="17" s="1"/>
  <c r="XU186" i="17" s="1" a="1"/>
  <c r="XU186" i="17" s="1"/>
  <c r="XP147" i="17" a="1"/>
  <c r="XP147" i="17" s="1"/>
  <c r="XU147" i="17" s="1" a="1"/>
  <c r="XU147" i="17" s="1"/>
  <c r="XX25" i="17" a="1"/>
  <c r="XX25" i="17" s="1"/>
  <c r="XX89" i="17" a="1"/>
  <c r="XX89" i="17" s="1"/>
  <c r="XX153" i="17" a="1"/>
  <c r="XX153" i="17" s="1"/>
  <c r="XX34" i="17" a="1"/>
  <c r="XX34" i="17" s="1"/>
  <c r="XX98" i="17" a="1"/>
  <c r="XX98" i="17" s="1"/>
  <c r="XX162" i="17" a="1"/>
  <c r="XX162" i="17" s="1"/>
  <c r="XX43" i="17" a="1"/>
  <c r="XX43" i="17" s="1"/>
  <c r="XX107" i="17" a="1"/>
  <c r="XX107" i="17" s="1"/>
  <c r="XX171" i="17" a="1"/>
  <c r="XX171" i="17" s="1"/>
  <c r="XX52" i="17" a="1"/>
  <c r="XX52" i="17" s="1"/>
  <c r="XX116" i="17" a="1"/>
  <c r="XX116" i="17" s="1"/>
  <c r="XX180" i="17" a="1"/>
  <c r="XX180" i="17" s="1"/>
  <c r="YH180" i="17" s="1" a="1"/>
  <c r="YH180" i="17" s="1"/>
  <c r="YI180" i="17" s="1" a="1"/>
  <c r="YI180" i="17" s="1"/>
  <c r="XX55" i="17" a="1"/>
  <c r="XX55" i="17" s="1"/>
  <c r="XX119" i="17" a="1"/>
  <c r="XX119" i="17" s="1"/>
  <c r="XX183" i="17" a="1"/>
  <c r="XX183" i="17" s="1"/>
  <c r="YH183" i="17" s="1" a="1"/>
  <c r="YH183" i="17" s="1"/>
  <c r="YI183" i="17" s="1" a="1"/>
  <c r="YI183" i="17" s="1"/>
  <c r="XX168" i="17" a="1"/>
  <c r="XX168" i="17" s="1"/>
  <c r="XX86" i="17" a="1"/>
  <c r="XX86" i="17" s="1"/>
  <c r="XX160" i="17" a="1"/>
  <c r="XX160" i="17" s="1"/>
  <c r="XX174" i="17" a="1"/>
  <c r="XX174" i="17" s="1"/>
  <c r="XX29" i="17" a="1"/>
  <c r="XX29" i="17" s="1"/>
  <c r="XX30" i="17" a="1"/>
  <c r="XX30" i="17" s="1"/>
  <c r="XX101" i="17" a="1"/>
  <c r="XX101" i="17" s="1"/>
  <c r="XX80" i="17" a="1"/>
  <c r="XX80" i="17" s="1"/>
  <c r="XX117" i="17" a="1"/>
  <c r="XX117" i="17" s="1"/>
  <c r="XX102" i="17" a="1"/>
  <c r="XX102" i="17" s="1"/>
  <c r="XX75" i="17" a="1"/>
  <c r="XX75" i="17" s="1"/>
  <c r="XX151" i="17" a="1"/>
  <c r="XX151" i="17" s="1"/>
  <c r="XX14" i="17" a="1"/>
  <c r="XX14" i="17" s="1"/>
  <c r="XP75" i="17" a="1"/>
  <c r="XP75" i="17" s="1"/>
  <c r="XU75" i="17" s="1" a="1"/>
  <c r="XU75" i="17" s="1"/>
  <c r="XP29" i="17" a="1"/>
  <c r="XP29" i="17" s="1"/>
  <c r="XU29" i="17" s="1" a="1"/>
  <c r="XU29" i="17" s="1"/>
  <c r="XP184" i="17" a="1"/>
  <c r="XP184" i="17" s="1"/>
  <c r="XU184" i="17" s="1" a="1"/>
  <c r="XU184" i="17" s="1"/>
  <c r="XP110" i="17" a="1"/>
  <c r="XP110" i="17" s="1"/>
  <c r="XU110" i="17" s="1" a="1"/>
  <c r="XU110" i="17" s="1"/>
  <c r="XX19" i="17" a="1"/>
  <c r="XX19" i="17" s="1"/>
  <c r="XX95" i="17" a="1"/>
  <c r="XX95" i="17" s="1"/>
  <c r="XX134" i="17" a="1"/>
  <c r="XX134" i="17" s="1"/>
  <c r="XP33" i="17" a="1"/>
  <c r="XP33" i="17" s="1"/>
  <c r="XU33" i="17" s="1" a="1"/>
  <c r="XU33" i="17" s="1"/>
  <c r="XP97" i="17" a="1"/>
  <c r="XP97" i="17" s="1"/>
  <c r="XU97" i="17" s="1" a="1"/>
  <c r="XU97" i="17" s="1"/>
  <c r="XP34" i="17" a="1"/>
  <c r="XP34" i="17" s="1"/>
  <c r="XU34" i="17" s="1" a="1"/>
  <c r="XU34" i="17" s="1"/>
  <c r="XP98" i="17" a="1"/>
  <c r="XP98" i="17" s="1"/>
  <c r="XU98" i="17" s="1" a="1"/>
  <c r="XU98" i="17" s="1"/>
  <c r="XP43" i="17" a="1"/>
  <c r="XP43" i="17" s="1"/>
  <c r="XU43" i="17" s="1" a="1"/>
  <c r="XU43" i="17" s="1"/>
  <c r="XP107" i="17" a="1"/>
  <c r="XP107" i="17" s="1"/>
  <c r="XU107" i="17" s="1" a="1"/>
  <c r="XU107" i="17" s="1"/>
  <c r="XP44" i="17" a="1"/>
  <c r="XP44" i="17" s="1"/>
  <c r="XU44" i="17" s="1" a="1"/>
  <c r="XU44" i="17" s="1"/>
  <c r="XP108" i="17" a="1"/>
  <c r="XP108" i="17" s="1"/>
  <c r="XU108" i="17" s="1" a="1"/>
  <c r="XU108" i="17" s="1"/>
  <c r="XP47" i="17" a="1"/>
  <c r="XP47" i="17" s="1"/>
  <c r="XU47" i="17" s="1" a="1"/>
  <c r="XU47" i="17" s="1"/>
  <c r="XP111" i="17" a="1"/>
  <c r="XP111" i="17" s="1"/>
  <c r="XU111" i="17" s="1" a="1"/>
  <c r="XU111" i="17" s="1"/>
  <c r="XP112" i="17" a="1"/>
  <c r="XP112" i="17" s="1"/>
  <c r="XU112" i="17" s="1" a="1"/>
  <c r="XU112" i="17" s="1"/>
  <c r="XP188" i="17" a="1"/>
  <c r="XP188" i="17" s="1"/>
  <c r="XU188" i="17" s="1" a="1"/>
  <c r="XU188" i="17" s="1"/>
  <c r="XP177" i="17" a="1"/>
  <c r="XP177" i="17" s="1"/>
  <c r="XU177" i="17" s="1" a="1"/>
  <c r="XU177" i="17" s="1"/>
  <c r="XP141" i="17" a="1"/>
  <c r="XP141" i="17" s="1"/>
  <c r="XU141" i="17" s="1" a="1"/>
  <c r="XU141" i="17" s="1"/>
  <c r="XP125" i="17" a="1"/>
  <c r="XP125" i="17" s="1"/>
  <c r="XU125" i="17" s="1" a="1"/>
  <c r="XU125" i="17" s="1"/>
  <c r="XP77" i="17" a="1"/>
  <c r="XP77" i="17" s="1"/>
  <c r="XU77" i="17" s="1" a="1"/>
  <c r="XU77" i="17" s="1"/>
  <c r="XP174" i="17" a="1"/>
  <c r="XP174" i="17" s="1"/>
  <c r="XU174" i="17" s="1" a="1"/>
  <c r="XU174" i="17" s="1"/>
  <c r="XP37" i="17" a="1"/>
  <c r="XP37" i="17" s="1"/>
  <c r="XU37" i="17" s="1" a="1"/>
  <c r="XU37" i="17" s="1"/>
  <c r="XP159" i="17" a="1"/>
  <c r="XP159" i="17" s="1"/>
  <c r="XU159" i="17" s="1" a="1"/>
  <c r="XU159" i="17" s="1"/>
  <c r="XP126" i="17" a="1"/>
  <c r="XP126" i="17" s="1"/>
  <c r="XU126" i="17" s="1" a="1"/>
  <c r="XU126" i="17" s="1"/>
  <c r="XP128" i="17" a="1"/>
  <c r="XP128" i="17" s="1"/>
  <c r="XU128" i="17" s="1" a="1"/>
  <c r="XU128" i="17" s="1"/>
  <c r="XP24" i="17" a="1"/>
  <c r="XP24" i="17" s="1"/>
  <c r="XU24" i="17" s="1" a="1"/>
  <c r="XU24" i="17" s="1"/>
  <c r="XP155" i="17" a="1"/>
  <c r="XP155" i="17" s="1"/>
  <c r="XU155" i="17" s="1" a="1"/>
  <c r="XU155" i="17" s="1"/>
  <c r="XX33" i="17" a="1"/>
  <c r="XX33" i="17" s="1"/>
  <c r="XX97" i="17" a="1"/>
  <c r="XX97" i="17" s="1"/>
  <c r="XX161" i="17" a="1"/>
  <c r="XX161" i="17" s="1"/>
  <c r="XX42" i="17" a="1"/>
  <c r="XX42" i="17" s="1"/>
  <c r="XX106" i="17" a="1"/>
  <c r="XX106" i="17" s="1"/>
  <c r="XX170" i="17" a="1"/>
  <c r="XX170" i="17" s="1"/>
  <c r="XX51" i="17" a="1"/>
  <c r="XX51" i="17" s="1"/>
  <c r="XX115" i="17" a="1"/>
  <c r="XX115" i="17" s="1"/>
  <c r="XX179" i="17" a="1"/>
  <c r="XX179" i="17" s="1"/>
  <c r="YH179" i="17" s="1" a="1"/>
  <c r="YH179" i="17" s="1"/>
  <c r="YI179" i="17" s="1" a="1"/>
  <c r="YI179" i="17" s="1"/>
  <c r="XX60" i="17" a="1"/>
  <c r="XX60" i="17" s="1"/>
  <c r="XX124" i="17" a="1"/>
  <c r="XX124" i="17" s="1"/>
  <c r="XX188" i="17" a="1"/>
  <c r="XX188" i="17" s="1"/>
  <c r="YH188" i="17" s="1" a="1"/>
  <c r="YH188" i="17" s="1"/>
  <c r="YI188" i="17" s="1" a="1"/>
  <c r="YI188" i="17" s="1"/>
  <c r="XX63" i="17" a="1"/>
  <c r="XX63" i="17" s="1"/>
  <c r="XX127" i="17" a="1"/>
  <c r="XX127" i="17" s="1"/>
  <c r="XX21" i="17" a="1"/>
  <c r="XX21" i="17" s="1"/>
  <c r="XX53" i="17" a="1"/>
  <c r="XX53" i="17" s="1"/>
  <c r="XX109" i="17" a="1"/>
  <c r="XX109" i="17" s="1"/>
  <c r="XX24" i="17" a="1"/>
  <c r="XX24" i="17" s="1"/>
  <c r="XX72" i="17" a="1"/>
  <c r="XX72" i="17" s="1"/>
  <c r="XX48" i="17" a="1"/>
  <c r="XX48" i="17" s="1"/>
  <c r="XX120" i="17" a="1"/>
  <c r="XX120" i="17" s="1"/>
  <c r="XP22" i="17" a="1"/>
  <c r="XP22" i="17" s="1"/>
  <c r="XU22" i="17" s="1" a="1"/>
  <c r="XU22" i="17" s="1"/>
  <c r="XX185" i="17" a="1"/>
  <c r="XX185" i="17" s="1"/>
  <c r="YH185" i="17" s="1" a="1"/>
  <c r="YH185" i="17" s="1"/>
  <c r="YI185" i="17" s="1" a="1"/>
  <c r="YI185" i="17" s="1"/>
  <c r="XX23" i="17" a="1"/>
  <c r="XX23" i="17" s="1"/>
  <c r="XX88" i="17" a="1"/>
  <c r="XX88" i="17" s="1"/>
  <c r="XP66" i="17" a="1"/>
  <c r="XP66" i="17" s="1"/>
  <c r="XU66" i="17" s="1" a="1"/>
  <c r="XU66" i="17" s="1"/>
  <c r="XP15" i="17" a="1"/>
  <c r="XP15" i="17" s="1"/>
  <c r="XU15" i="17" s="1" a="1"/>
  <c r="XU15" i="17" s="1"/>
  <c r="XP72" i="17" a="1"/>
  <c r="XP72" i="17" s="1"/>
  <c r="XU72" i="17" s="1" a="1"/>
  <c r="XU72" i="17" s="1"/>
  <c r="XP45" i="17" a="1"/>
  <c r="XP45" i="17" s="1"/>
  <c r="XU45" i="17" s="1" a="1"/>
  <c r="XU45" i="17" s="1"/>
  <c r="XX10" i="17" a="1"/>
  <c r="XX10" i="17" s="1"/>
  <c r="XX92" i="17" a="1"/>
  <c r="XX92" i="17" s="1"/>
  <c r="XX8" i="17" a="1"/>
  <c r="XX8" i="17" s="1"/>
  <c r="XP41" i="17" a="1"/>
  <c r="XP41" i="17" s="1"/>
  <c r="XU41" i="17" s="1" a="1"/>
  <c r="XU41" i="17" s="1"/>
  <c r="XP105" i="17" a="1"/>
  <c r="XP105" i="17" s="1"/>
  <c r="XU105" i="17" s="1" a="1"/>
  <c r="XU105" i="17" s="1"/>
  <c r="XP42" i="17" a="1"/>
  <c r="XP42" i="17" s="1"/>
  <c r="XU42" i="17" s="1" a="1"/>
  <c r="XU42" i="17" s="1"/>
  <c r="XP106" i="17" a="1"/>
  <c r="XP106" i="17" s="1"/>
  <c r="XU106" i="17" s="1" a="1"/>
  <c r="XU106" i="17" s="1"/>
  <c r="XP51" i="17" a="1"/>
  <c r="XP51" i="17" s="1"/>
  <c r="XU51" i="17" s="1" a="1"/>
  <c r="XU51" i="17" s="1"/>
  <c r="XP115" i="17" a="1"/>
  <c r="XP115" i="17" s="1"/>
  <c r="XU115" i="17" s="1" a="1"/>
  <c r="XU115" i="17" s="1"/>
  <c r="XP52" i="17" a="1"/>
  <c r="XP52" i="17" s="1"/>
  <c r="XU52" i="17" s="1" a="1"/>
  <c r="XU52" i="17" s="1"/>
  <c r="XP116" i="17" a="1"/>
  <c r="XP116" i="17" s="1"/>
  <c r="XU116" i="17" s="1" a="1"/>
  <c r="XU116" i="17" s="1"/>
  <c r="XP55" i="17" a="1"/>
  <c r="XP55" i="17" s="1"/>
  <c r="XU55" i="17" s="1" a="1"/>
  <c r="XU55" i="17" s="1"/>
  <c r="XP119" i="17" a="1"/>
  <c r="XP119" i="17" s="1"/>
  <c r="XU119" i="17" s="1" a="1"/>
  <c r="XU119" i="17" s="1"/>
  <c r="XP132" i="17" a="1"/>
  <c r="XP132" i="17" s="1"/>
  <c r="XU132" i="17" s="1" a="1"/>
  <c r="XU132" i="17" s="1"/>
  <c r="XP61" i="17" a="1"/>
  <c r="XP61" i="17" s="1"/>
  <c r="XU61" i="17" s="1" a="1"/>
  <c r="XU61" i="17" s="1"/>
  <c r="XP8" i="17" a="1"/>
  <c r="XP8" i="17" s="1"/>
  <c r="XU8" i="17" s="1" a="1"/>
  <c r="XU8" i="17" s="1"/>
  <c r="XP149" i="17" a="1"/>
  <c r="XP149" i="17" s="1"/>
  <c r="XU149" i="17" s="1" a="1"/>
  <c r="XU149" i="17" s="1"/>
  <c r="XP168" i="17" a="1"/>
  <c r="XP168" i="17" s="1"/>
  <c r="XU168" i="17" s="1" a="1"/>
  <c r="XU168" i="17" s="1"/>
  <c r="XP96" i="17" a="1"/>
  <c r="XP96" i="17" s="1"/>
  <c r="XU96" i="17" s="1" a="1"/>
  <c r="XU96" i="17" s="1"/>
  <c r="XP182" i="17" a="1"/>
  <c r="XP182" i="17" s="1"/>
  <c r="XU182" i="17" s="1" a="1"/>
  <c r="XU182" i="17" s="1"/>
  <c r="XP56" i="17" a="1"/>
  <c r="XP56" i="17" s="1"/>
  <c r="XU56" i="17" s="1" a="1"/>
  <c r="XU56" i="17" s="1"/>
  <c r="XP167" i="17" a="1"/>
  <c r="XP167" i="17" s="1"/>
  <c r="XU167" i="17" s="1" a="1"/>
  <c r="XU167" i="17" s="1"/>
  <c r="XP153" i="17" a="1"/>
  <c r="XP153" i="17" s="1"/>
  <c r="XU153" i="17" s="1" a="1"/>
  <c r="XU153" i="17" s="1"/>
  <c r="XP138" i="17" a="1"/>
  <c r="XP138" i="17" s="1"/>
  <c r="XU138" i="17" s="1" a="1"/>
  <c r="XU138" i="17" s="1"/>
  <c r="XP46" i="17" a="1"/>
  <c r="XP46" i="17" s="1"/>
  <c r="XU46" i="17" s="1" a="1"/>
  <c r="XU46" i="17" s="1"/>
  <c r="XP163" i="17" a="1"/>
  <c r="XP163" i="17" s="1"/>
  <c r="XU163" i="17" s="1" a="1"/>
  <c r="XU163" i="17" s="1"/>
  <c r="XX41" i="17" a="1"/>
  <c r="XX41" i="17" s="1"/>
  <c r="XX105" i="17" a="1"/>
  <c r="XX105" i="17" s="1"/>
  <c r="XX169" i="17" a="1"/>
  <c r="XX169" i="17" s="1"/>
  <c r="XX50" i="17" a="1"/>
  <c r="XX50" i="17" s="1"/>
  <c r="XX114" i="17" a="1"/>
  <c r="XX114" i="17" s="1"/>
  <c r="XX178" i="17" a="1"/>
  <c r="XX178" i="17" s="1"/>
  <c r="YH178" i="17" s="1" a="1"/>
  <c r="YH178" i="17" s="1"/>
  <c r="YI178" i="17" s="1" a="1"/>
  <c r="YI178" i="17" s="1"/>
  <c r="XX59" i="17" a="1"/>
  <c r="XX59" i="17" s="1"/>
  <c r="XX123" i="17" a="1"/>
  <c r="XX123" i="17" s="1"/>
  <c r="XX187" i="17" a="1"/>
  <c r="XX187" i="17" s="1"/>
  <c r="YH187" i="17" s="1" a="1"/>
  <c r="YH187" i="17" s="1"/>
  <c r="YI187" i="17" s="1" a="1"/>
  <c r="YI187" i="17" s="1"/>
  <c r="XX68" i="17" a="1"/>
  <c r="XX68" i="17" s="1"/>
  <c r="XX132" i="17" a="1"/>
  <c r="XX132" i="17" s="1"/>
  <c r="XX7" i="17" a="1"/>
  <c r="XX7" i="17" s="1"/>
  <c r="XX71" i="17" a="1"/>
  <c r="XX71" i="17" s="1"/>
  <c r="XX135" i="17" a="1"/>
  <c r="XX135" i="17" s="1"/>
  <c r="XX40" i="17" a="1"/>
  <c r="XX40" i="17" s="1"/>
  <c r="XX158" i="17" a="1"/>
  <c r="XX158" i="17" s="1"/>
  <c r="XX128" i="17" a="1"/>
  <c r="XX128" i="17" s="1"/>
  <c r="XX46" i="17" a="1"/>
  <c r="XX46" i="17" s="1"/>
  <c r="XX136" i="17" a="1"/>
  <c r="XX136" i="17" s="1"/>
  <c r="XX70" i="17" a="1"/>
  <c r="XX70" i="17" s="1"/>
  <c r="XX32" i="17" a="1"/>
  <c r="XX32" i="17" s="1"/>
  <c r="XX142" i="17" a="1"/>
  <c r="XX142" i="17" s="1"/>
  <c r="XX125" i="17" a="1"/>
  <c r="XX125" i="17" s="1"/>
  <c r="XX144" i="17" a="1"/>
  <c r="XX144" i="17" s="1"/>
  <c r="XP148" i="17" a="1"/>
  <c r="XP148" i="17" s="1"/>
  <c r="XU148" i="17" s="1" a="1"/>
  <c r="XU148" i="17" s="1"/>
  <c r="XP101" i="17" a="1"/>
  <c r="XP101" i="17" s="1"/>
  <c r="XU101" i="17" s="1" a="1"/>
  <c r="XU101" i="17" s="1"/>
  <c r="XP179" i="17" a="1"/>
  <c r="XP179" i="17" s="1"/>
  <c r="XU179" i="17" s="1" a="1"/>
  <c r="XU179" i="17" s="1"/>
  <c r="XX130" i="17" a="1"/>
  <c r="XX130" i="17" s="1"/>
  <c r="XX84" i="17" a="1"/>
  <c r="XX84" i="17" s="1"/>
  <c r="XX173" i="17" a="1"/>
  <c r="XX173" i="17" s="1"/>
  <c r="XX166" i="17" a="1"/>
  <c r="XX166" i="17" s="1"/>
  <c r="XP161" i="17" a="1"/>
  <c r="XP161" i="17" s="1"/>
  <c r="XU161" i="17" s="1" a="1"/>
  <c r="XU161" i="17" s="1"/>
  <c r="XP187" i="17" a="1"/>
  <c r="XP187" i="17" s="1"/>
  <c r="XU187" i="17" s="1" a="1"/>
  <c r="XU187" i="17" s="1"/>
  <c r="XX83" i="17" a="1"/>
  <c r="XX83" i="17" s="1"/>
  <c r="XX31" i="17" a="1"/>
  <c r="XX31" i="17" s="1"/>
  <c r="XX22" i="17" a="1"/>
  <c r="XX22" i="17" s="1"/>
  <c r="XX16" i="17" a="1"/>
  <c r="XX16" i="17" s="1"/>
  <c r="XP49" i="17" a="1"/>
  <c r="XP49" i="17" s="1"/>
  <c r="XU49" i="17" s="1" a="1"/>
  <c r="XU49" i="17" s="1"/>
  <c r="XP113" i="17" a="1"/>
  <c r="XP113" i="17" s="1"/>
  <c r="XU113" i="17" s="1" a="1"/>
  <c r="XU113" i="17" s="1"/>
  <c r="XP50" i="17" a="1"/>
  <c r="XP50" i="17" s="1"/>
  <c r="XU50" i="17" s="1" a="1"/>
  <c r="XU50" i="17" s="1"/>
  <c r="XP114" i="17" a="1"/>
  <c r="XP114" i="17" s="1"/>
  <c r="XU114" i="17" s="1" a="1"/>
  <c r="XU114" i="17" s="1"/>
  <c r="XP59" i="17" a="1"/>
  <c r="XP59" i="17" s="1"/>
  <c r="XU59" i="17" s="1" a="1"/>
  <c r="XU59" i="17" s="1"/>
  <c r="XP123" i="17" a="1"/>
  <c r="XP123" i="17" s="1"/>
  <c r="XU123" i="17" s="1" a="1"/>
  <c r="XU123" i="17" s="1"/>
  <c r="XP60" i="17" a="1"/>
  <c r="XP60" i="17" s="1"/>
  <c r="XU60" i="17" s="1" a="1"/>
  <c r="XU60" i="17" s="1"/>
  <c r="XP124" i="17" a="1"/>
  <c r="XP124" i="17" s="1"/>
  <c r="XU124" i="17" s="1" a="1"/>
  <c r="XU124" i="17" s="1"/>
  <c r="XP63" i="17" a="1"/>
  <c r="XP63" i="17" s="1"/>
  <c r="XU63" i="17" s="1" a="1"/>
  <c r="XU63" i="17" s="1"/>
  <c r="XP127" i="17" a="1"/>
  <c r="XP127" i="17" s="1"/>
  <c r="XU127" i="17" s="1" a="1"/>
  <c r="XU127" i="17" s="1"/>
  <c r="XP140" i="17" a="1"/>
  <c r="XP140" i="17" s="1"/>
  <c r="XU140" i="17" s="1" a="1"/>
  <c r="XU140" i="17" s="1"/>
  <c r="XP136" i="17" a="1"/>
  <c r="XP136" i="17" s="1"/>
  <c r="XU136" i="17" s="1" a="1"/>
  <c r="XU136" i="17" s="1"/>
  <c r="XP30" i="17" a="1"/>
  <c r="XP30" i="17" s="1"/>
  <c r="XU30" i="17" s="1" a="1"/>
  <c r="XU30" i="17" s="1"/>
  <c r="XP157" i="17" a="1"/>
  <c r="XP157" i="17" s="1"/>
  <c r="XU157" i="17" s="1" a="1"/>
  <c r="XU157" i="17" s="1"/>
  <c r="XP62" i="17" a="1"/>
  <c r="XP62" i="17" s="1"/>
  <c r="XU62" i="17" s="1" a="1"/>
  <c r="XU62" i="17" s="1"/>
  <c r="XP118" i="17" a="1"/>
  <c r="XP118" i="17" s="1"/>
  <c r="XU118" i="17" s="1" a="1"/>
  <c r="XU118" i="17" s="1"/>
  <c r="XP80" i="17" a="1"/>
  <c r="XP80" i="17" s="1"/>
  <c r="XU80" i="17" s="1" a="1"/>
  <c r="XU80" i="17" s="1"/>
  <c r="XP78" i="17" a="1"/>
  <c r="XP78" i="17" s="1"/>
  <c r="XU78" i="17" s="1" a="1"/>
  <c r="XU78" i="17" s="1"/>
  <c r="XP175" i="17" a="1"/>
  <c r="XP175" i="17" s="1"/>
  <c r="XU175" i="17" s="1" a="1"/>
  <c r="XU175" i="17" s="1"/>
  <c r="XP185" i="17" a="1"/>
  <c r="XP185" i="17" s="1"/>
  <c r="XU185" i="17" s="1" a="1"/>
  <c r="XU185" i="17" s="1"/>
  <c r="XP146" i="17" a="1"/>
  <c r="XP146" i="17" s="1"/>
  <c r="XU146" i="17" s="1" a="1"/>
  <c r="XU146" i="17" s="1"/>
  <c r="XP69" i="17" a="1"/>
  <c r="XP69" i="17" s="1"/>
  <c r="XU69" i="17" s="1" a="1"/>
  <c r="XU69" i="17" s="1"/>
  <c r="XP171" i="17" a="1"/>
  <c r="XP171" i="17" s="1"/>
  <c r="XU171" i="17" s="1" a="1"/>
  <c r="XU171" i="17" s="1"/>
  <c r="XX49" i="17" a="1"/>
  <c r="XX49" i="17" s="1"/>
  <c r="XX113" i="17" a="1"/>
  <c r="XX113" i="17" s="1"/>
  <c r="XX177" i="17" a="1"/>
  <c r="XX177" i="17" s="1"/>
  <c r="XX58" i="17" a="1"/>
  <c r="XX58" i="17" s="1"/>
  <c r="XX122" i="17" a="1"/>
  <c r="XX122" i="17" s="1"/>
  <c r="XX186" i="17" a="1"/>
  <c r="XX186" i="17" s="1"/>
  <c r="YH186" i="17" s="1" a="1"/>
  <c r="YH186" i="17" s="1"/>
  <c r="YI186" i="17" s="1" a="1"/>
  <c r="YI186" i="17" s="1"/>
  <c r="XX67" i="17" a="1"/>
  <c r="XX67" i="17" s="1"/>
  <c r="XX131" i="17" a="1"/>
  <c r="XX131" i="17" s="1"/>
  <c r="XX12" i="17" a="1"/>
  <c r="XX12" i="17" s="1"/>
  <c r="XX76" i="17" a="1"/>
  <c r="XX76" i="17" s="1"/>
  <c r="XX140" i="17" a="1"/>
  <c r="XX140" i="17" s="1"/>
  <c r="XX15" i="17" a="1"/>
  <c r="XX15" i="17" s="1"/>
  <c r="XX79" i="17" a="1"/>
  <c r="XX79" i="17" s="1"/>
  <c r="XX143" i="17" a="1"/>
  <c r="XX143" i="17" s="1"/>
  <c r="XX62" i="17" a="1"/>
  <c r="XX62" i="17" s="1"/>
  <c r="XX54" i="17" a="1"/>
  <c r="XX54" i="17" s="1"/>
  <c r="XX150" i="17" a="1"/>
  <c r="XX150" i="17" s="1"/>
  <c r="XX69" i="17" a="1"/>
  <c r="XX69" i="17" s="1"/>
  <c r="XX181" i="17" a="1"/>
  <c r="XX181" i="17" s="1"/>
  <c r="YH181" i="17" s="1" a="1"/>
  <c r="YH181" i="17" s="1"/>
  <c r="YI181" i="17" s="1" a="1"/>
  <c r="YI181" i="17" s="1"/>
  <c r="XX93" i="17" a="1"/>
  <c r="XX93" i="17" s="1"/>
  <c r="XX118" i="17" a="1"/>
  <c r="XX118" i="17" s="1"/>
  <c r="XX165" i="17" a="1"/>
  <c r="XX165" i="17" s="1"/>
  <c r="XP7" i="17" a="1"/>
  <c r="XP7" i="17" s="1"/>
  <c r="XU7" i="17" s="1" a="1"/>
  <c r="XU7" i="17" s="1"/>
  <c r="XP160" i="17" a="1"/>
  <c r="XP160" i="17" s="1"/>
  <c r="XU160" i="17" s="1" a="1"/>
  <c r="XU160" i="17" s="1"/>
  <c r="XP165" i="17" a="1"/>
  <c r="XP165" i="17" s="1"/>
  <c r="XU165" i="17" s="1" a="1"/>
  <c r="XU165" i="17" s="1"/>
  <c r="XP134" i="17" a="1"/>
  <c r="XP134" i="17" s="1"/>
  <c r="XU134" i="17" s="1" a="1"/>
  <c r="XU134" i="17" s="1"/>
  <c r="XP88" i="17" a="1"/>
  <c r="XP88" i="17" s="1"/>
  <c r="XU88" i="17" s="1" a="1"/>
  <c r="XU88" i="17" s="1"/>
  <c r="XX121" i="17" a="1"/>
  <c r="XX121" i="17" s="1"/>
  <c r="XX20" i="17" a="1"/>
  <c r="XX20" i="17" s="1"/>
  <c r="XX141" i="17" a="1"/>
  <c r="XX141" i="17" s="1"/>
  <c r="XP129" i="17" a="1"/>
  <c r="XP129" i="17" s="1"/>
  <c r="XU129" i="17" s="1" a="1"/>
  <c r="XU129" i="17" s="1"/>
  <c r="XP12" i="17" a="1"/>
  <c r="XP12" i="17" s="1"/>
  <c r="XU12" i="17" s="1" a="1"/>
  <c r="XU12" i="17" s="1"/>
  <c r="XP156" i="17" a="1"/>
  <c r="XP156" i="17" s="1"/>
  <c r="XU156" i="17" s="1" a="1"/>
  <c r="XU156" i="17" s="1"/>
  <c r="XP38" i="17" a="1"/>
  <c r="XP38" i="17" s="1"/>
  <c r="XU38" i="17" s="1" a="1"/>
  <c r="XU38" i="17" s="1"/>
  <c r="XX65" i="17" a="1"/>
  <c r="XX65" i="17" s="1"/>
  <c r="XX147" i="17" a="1"/>
  <c r="XX147" i="17" s="1"/>
  <c r="XX110" i="17" a="1"/>
  <c r="XX110" i="17" s="1"/>
  <c r="XP57" i="17" a="1"/>
  <c r="XP57" i="17" s="1"/>
  <c r="XU57" i="17" s="1" a="1"/>
  <c r="XU57" i="17" s="1"/>
  <c r="XP121" i="17" a="1"/>
  <c r="XP121" i="17" s="1"/>
  <c r="XU121" i="17" s="1" a="1"/>
  <c r="XU121" i="17" s="1"/>
  <c r="XP58" i="17" a="1"/>
  <c r="XP58" i="17" s="1"/>
  <c r="XU58" i="17" s="1" a="1"/>
  <c r="XU58" i="17" s="1"/>
  <c r="XP122" i="17" a="1"/>
  <c r="XP122" i="17" s="1"/>
  <c r="XU122" i="17" s="1" a="1"/>
  <c r="XU122" i="17" s="1"/>
  <c r="XP67" i="17" a="1"/>
  <c r="XP67" i="17" s="1"/>
  <c r="XU67" i="17" s="1" a="1"/>
  <c r="XU67" i="17" s="1"/>
  <c r="XP131" i="17" a="1"/>
  <c r="XP131" i="17" s="1"/>
  <c r="XU131" i="17" s="1" a="1"/>
  <c r="XU131" i="17" s="1"/>
  <c r="XP68" i="17" a="1"/>
  <c r="XP68" i="17" s="1"/>
  <c r="XU68" i="17" s="1" a="1"/>
  <c r="XU68" i="17" s="1"/>
  <c r="XP71" i="17" a="1"/>
  <c r="XP71" i="17" s="1"/>
  <c r="XU71" i="17" s="1" a="1"/>
  <c r="XU71" i="17" s="1"/>
  <c r="XP6" i="17" a="1"/>
  <c r="XP6" i="17" s="1"/>
  <c r="XU6" i="17" s="1" a="1"/>
  <c r="XU6" i="17" s="1"/>
  <c r="XP53" i="17" a="1"/>
  <c r="XP53" i="17" s="1"/>
  <c r="XU53" i="17" s="1" a="1"/>
  <c r="XU53" i="17" s="1"/>
  <c r="XP137" i="17" a="1"/>
  <c r="XP137" i="17" s="1"/>
  <c r="XU137" i="17" s="1" a="1"/>
  <c r="XU137" i="17" s="1"/>
  <c r="XP154" i="17" a="1"/>
  <c r="XP154" i="17" s="1"/>
  <c r="XU154" i="17" s="1" a="1"/>
  <c r="XU154" i="17" s="1"/>
  <c r="XX57" i="17" a="1"/>
  <c r="XX57" i="17" s="1"/>
  <c r="XX139" i="17" a="1"/>
  <c r="XX139" i="17" s="1"/>
  <c r="XX85" i="17" a="1"/>
  <c r="XX85" i="17" s="1"/>
  <c r="XX184" i="17" a="1"/>
  <c r="XX184" i="17" s="1"/>
  <c r="YH184" i="17" s="1" a="1"/>
  <c r="YH184" i="17" s="1"/>
  <c r="YI184" i="17" s="1" a="1"/>
  <c r="YI184" i="17" s="1"/>
  <c r="XP142" i="17" a="1"/>
  <c r="XP142" i="17" s="1"/>
  <c r="XU142" i="17" s="1" a="1"/>
  <c r="XU142" i="17" s="1"/>
  <c r="XX138" i="17" a="1"/>
  <c r="XX138" i="17" s="1"/>
  <c r="XX159" i="17" a="1"/>
  <c r="XX159" i="17" s="1"/>
  <c r="XX37" i="17" a="1"/>
  <c r="XX37" i="17" s="1"/>
  <c r="J181" i="17"/>
  <c r="I181" i="17" s="1"/>
  <c r="F181" i="17" s="1"/>
  <c r="J185" i="17"/>
  <c r="I185" i="17" s="1"/>
  <c r="F185" i="17" s="1"/>
  <c r="J179" i="17"/>
  <c r="I179" i="17" s="1"/>
  <c r="F179" i="17" s="1"/>
  <c r="J183" i="17"/>
  <c r="I183" i="17" s="1"/>
  <c r="F183" i="17" s="1"/>
  <c r="J178" i="17"/>
  <c r="I178" i="17" s="1"/>
  <c r="F178" i="17" s="1"/>
  <c r="J182" i="17"/>
  <c r="I182" i="17" s="1"/>
  <c r="F182" i="17" s="1"/>
  <c r="J186" i="17"/>
  <c r="I186" i="17" s="1"/>
  <c r="F186" i="17" s="1"/>
  <c r="J187" i="17"/>
  <c r="I187" i="17" s="1"/>
  <c r="F187" i="17" s="1"/>
  <c r="J180" i="17"/>
  <c r="I180" i="17" s="1"/>
  <c r="F180" i="17" s="1"/>
  <c r="J184" i="17"/>
  <c r="I184" i="17" s="1"/>
  <c r="F184" i="17" s="1"/>
  <c r="J188" i="17"/>
  <c r="I188" i="17" s="1"/>
  <c r="F188" i="17" s="1"/>
  <c r="L163" i="17"/>
  <c r="K163" i="17" s="1"/>
  <c r="C163" i="17" s="1"/>
  <c r="L171" i="17"/>
  <c r="K171" i="17" s="1"/>
  <c r="C171" i="17" s="1"/>
  <c r="L169" i="17"/>
  <c r="K169" i="17" s="1"/>
  <c r="C169" i="17" s="1"/>
  <c r="L177" i="17"/>
  <c r="K177" i="17" s="1"/>
  <c r="C177" i="17" s="1"/>
  <c r="L166" i="17"/>
  <c r="K166" i="17" s="1"/>
  <c r="C166" i="17" s="1"/>
  <c r="L174" i="17"/>
  <c r="K174" i="17" s="1"/>
  <c r="C174" i="17" s="1"/>
  <c r="L167" i="17"/>
  <c r="K167" i="17" s="1"/>
  <c r="C167" i="17" s="1"/>
  <c r="L175" i="17"/>
  <c r="K175" i="17" s="1"/>
  <c r="C175" i="17" s="1"/>
  <c r="L164" i="17"/>
  <c r="K164" i="17" s="1"/>
  <c r="C164" i="17" s="1"/>
  <c r="L172" i="17"/>
  <c r="K172" i="17" s="1"/>
  <c r="C172" i="17" s="1"/>
  <c r="L170" i="17"/>
  <c r="K170" i="17" s="1"/>
  <c r="C170" i="17" s="1"/>
  <c r="B170" i="17" s="1"/>
  <c r="L165" i="17"/>
  <c r="K165" i="17" s="1"/>
  <c r="C165" i="17" s="1"/>
  <c r="L173" i="17"/>
  <c r="K173" i="17" s="1"/>
  <c r="C173" i="17" s="1"/>
  <c r="L168" i="17"/>
  <c r="K168" i="17" s="1"/>
  <c r="C168" i="17" s="1"/>
  <c r="L176" i="17"/>
  <c r="K176" i="17" s="1"/>
  <c r="C176" i="17" s="1"/>
  <c r="J176" i="17"/>
  <c r="I176" i="17" s="1"/>
  <c r="F176" i="17" s="1"/>
  <c r="J163" i="17"/>
  <c r="I163" i="17" s="1"/>
  <c r="F163" i="17" s="1"/>
  <c r="J171" i="17"/>
  <c r="I171" i="17" s="1"/>
  <c r="F171" i="17" s="1"/>
  <c r="J167" i="17"/>
  <c r="I167" i="17" s="1"/>
  <c r="F167" i="17" s="1"/>
  <c r="J175" i="17"/>
  <c r="I175" i="17" s="1"/>
  <c r="F175" i="17" s="1"/>
  <c r="J166" i="17"/>
  <c r="I166" i="17" s="1"/>
  <c r="F166" i="17" s="1"/>
  <c r="J174" i="17"/>
  <c r="I174" i="17" s="1"/>
  <c r="F174" i="17" s="1"/>
  <c r="J164" i="17"/>
  <c r="I164" i="17" s="1"/>
  <c r="F164" i="17" s="1"/>
  <c r="J172" i="17"/>
  <c r="I172" i="17" s="1"/>
  <c r="F172" i="17" s="1"/>
  <c r="J169" i="17"/>
  <c r="I169" i="17" s="1"/>
  <c r="F169" i="17" s="1"/>
  <c r="J177" i="17"/>
  <c r="I177" i="17" s="1"/>
  <c r="F177" i="17" s="1"/>
  <c r="J170" i="17"/>
  <c r="I170" i="17" s="1"/>
  <c r="F170" i="17" s="1"/>
  <c r="J173" i="17"/>
  <c r="I173" i="17" s="1"/>
  <c r="F173" i="17" s="1"/>
  <c r="J165" i="17"/>
  <c r="I165" i="17" s="1"/>
  <c r="F165" i="17" s="1"/>
  <c r="J168" i="17"/>
  <c r="I168" i="17" s="1"/>
  <c r="F168" i="17" s="1"/>
  <c r="I170" i="19"/>
  <c r="H170" i="19" s="1"/>
  <c r="C170" i="19" s="1"/>
  <c r="B170" i="19" s="1"/>
  <c r="I175" i="19"/>
  <c r="H175" i="19" s="1"/>
  <c r="C175" i="19" s="1"/>
  <c r="B175" i="19" s="1"/>
  <c r="I164" i="19"/>
  <c r="H164" i="19" s="1"/>
  <c r="C164" i="19" s="1"/>
  <c r="B164" i="19" s="1"/>
  <c r="I174" i="19"/>
  <c r="H174" i="19" s="1"/>
  <c r="C174" i="19" s="1"/>
  <c r="B174" i="19" s="1"/>
  <c r="I177" i="19"/>
  <c r="H177" i="19" s="1"/>
  <c r="C177" i="19" s="1"/>
  <c r="B177" i="19" s="1"/>
  <c r="I168" i="19"/>
  <c r="H168" i="19" s="1"/>
  <c r="C168" i="19" s="1"/>
  <c r="B168" i="19" s="1"/>
  <c r="I171" i="19"/>
  <c r="H171" i="19" s="1"/>
  <c r="C171" i="19" s="1"/>
  <c r="B171" i="19" s="1"/>
  <c r="I165" i="19"/>
  <c r="H165" i="19" s="1"/>
  <c r="C165" i="19" s="1"/>
  <c r="B165" i="19" s="1"/>
  <c r="I166" i="19"/>
  <c r="H166" i="19" s="1"/>
  <c r="C166" i="19" s="1"/>
  <c r="B166" i="19" s="1"/>
  <c r="I169" i="19"/>
  <c r="H169" i="19" s="1"/>
  <c r="C169" i="19" s="1"/>
  <c r="B169" i="19" s="1"/>
  <c r="I172" i="19"/>
  <c r="H172" i="19" s="1"/>
  <c r="C172" i="19" s="1"/>
  <c r="B172" i="19" s="1"/>
  <c r="I163" i="19"/>
  <c r="H163" i="19" s="1"/>
  <c r="C163" i="19" s="1"/>
  <c r="B163" i="19" s="1"/>
  <c r="I173" i="19"/>
  <c r="H173" i="19" s="1"/>
  <c r="C173" i="19" s="1"/>
  <c r="B173" i="19" s="1"/>
  <c r="I176" i="19"/>
  <c r="H176" i="19" s="1"/>
  <c r="C176" i="19" s="1"/>
  <c r="B176" i="19" s="1"/>
  <c r="I167" i="19"/>
  <c r="H167" i="19" s="1"/>
  <c r="C167" i="19" s="1"/>
  <c r="B167" i="19" s="1"/>
  <c r="F5" i="19"/>
  <c r="D5" i="19" s="1"/>
  <c r="L78" i="17"/>
  <c r="K78" i="17" s="1"/>
  <c r="C78" i="17" s="1"/>
  <c r="L125" i="17"/>
  <c r="K125" i="17" s="1"/>
  <c r="C125" i="17" s="1"/>
  <c r="L124" i="17"/>
  <c r="K124" i="17" s="1"/>
  <c r="C124" i="17" s="1"/>
  <c r="B124" i="17" s="1"/>
  <c r="L80" i="17"/>
  <c r="K80" i="17" s="1"/>
  <c r="C80" i="17" s="1"/>
  <c r="L49" i="17"/>
  <c r="K49" i="17" s="1"/>
  <c r="C49" i="17" s="1"/>
  <c r="L83" i="17"/>
  <c r="K83" i="17" s="1"/>
  <c r="C83" i="17" s="1"/>
  <c r="L106" i="17"/>
  <c r="K106" i="17" s="1"/>
  <c r="C106" i="17" s="1"/>
  <c r="L76" i="17"/>
  <c r="K76" i="17" s="1"/>
  <c r="C76" i="17" s="1"/>
  <c r="L121" i="17"/>
  <c r="K121" i="17" s="1"/>
  <c r="C121" i="17" s="1"/>
  <c r="L96" i="17"/>
  <c r="K96" i="17" s="1"/>
  <c r="C96" i="17" s="1"/>
  <c r="L84" i="17"/>
  <c r="K84" i="17" s="1"/>
  <c r="C84" i="17" s="1"/>
  <c r="L90" i="17"/>
  <c r="K90" i="17" s="1"/>
  <c r="C90" i="17" s="1"/>
  <c r="L77" i="17"/>
  <c r="K77" i="17" s="1"/>
  <c r="C77" i="17" s="1"/>
  <c r="L72" i="17"/>
  <c r="K72" i="17" s="1"/>
  <c r="C72" i="17" s="1"/>
  <c r="L79" i="17"/>
  <c r="K79" i="17" s="1"/>
  <c r="C79" i="17" s="1"/>
  <c r="L126" i="17"/>
  <c r="K126" i="17" s="1"/>
  <c r="C126" i="17" s="1"/>
  <c r="L107" i="17"/>
  <c r="K107" i="17" s="1"/>
  <c r="C107" i="17" s="1"/>
  <c r="L68" i="17"/>
  <c r="K68" i="17" s="1"/>
  <c r="C68" i="17" s="1"/>
  <c r="L99" i="17"/>
  <c r="K99" i="17" s="1"/>
  <c r="C99" i="17" s="1"/>
  <c r="L95" i="17"/>
  <c r="K95" i="17" s="1"/>
  <c r="C95" i="17" s="1"/>
  <c r="L57" i="17"/>
  <c r="K57" i="17" s="1"/>
  <c r="C57" i="17" s="1"/>
  <c r="L51" i="17"/>
  <c r="K51" i="17" s="1"/>
  <c r="C51" i="17" s="1"/>
  <c r="L67" i="17"/>
  <c r="K67" i="17" s="1"/>
  <c r="C67" i="17" s="1"/>
  <c r="L85" i="17"/>
  <c r="K85" i="17" s="1"/>
  <c r="C85" i="17" s="1"/>
  <c r="L50" i="17"/>
  <c r="K50" i="17" s="1"/>
  <c r="C50" i="17" s="1"/>
  <c r="L114" i="17"/>
  <c r="K114" i="17" s="1"/>
  <c r="C114" i="17" s="1"/>
  <c r="L103" i="17"/>
  <c r="K103" i="17" s="1"/>
  <c r="C103" i="17" s="1"/>
  <c r="L65" i="17"/>
  <c r="K65" i="17" s="1"/>
  <c r="C65" i="17" s="1"/>
  <c r="L54" i="17"/>
  <c r="K54" i="17" s="1"/>
  <c r="C54" i="17" s="1"/>
  <c r="L102" i="17"/>
  <c r="K102" i="17" s="1"/>
  <c r="C102" i="17" s="1"/>
  <c r="L115" i="17"/>
  <c r="K115" i="17" s="1"/>
  <c r="C115" i="17" s="1"/>
  <c r="L104" i="17"/>
  <c r="K104" i="17" s="1"/>
  <c r="C104" i="17" s="1"/>
  <c r="L93" i="17"/>
  <c r="K93" i="17" s="1"/>
  <c r="C93" i="17" s="1"/>
  <c r="L58" i="17"/>
  <c r="K58" i="17" s="1"/>
  <c r="C58" i="17" s="1"/>
  <c r="L122" i="17"/>
  <c r="K122" i="17" s="1"/>
  <c r="C122" i="17" s="1"/>
  <c r="L111" i="17"/>
  <c r="K111" i="17" s="1"/>
  <c r="C111" i="17" s="1"/>
  <c r="L92" i="17"/>
  <c r="K92" i="17" s="1"/>
  <c r="C92" i="17" s="1"/>
  <c r="L73" i="17"/>
  <c r="K73" i="17" s="1"/>
  <c r="C73" i="17" s="1"/>
  <c r="L118" i="17"/>
  <c r="K118" i="17" s="1"/>
  <c r="C118" i="17" s="1"/>
  <c r="L70" i="17"/>
  <c r="K70" i="17" s="1"/>
  <c r="C70" i="17" s="1"/>
  <c r="L48" i="17"/>
  <c r="K48" i="17" s="1"/>
  <c r="C48" i="17" s="1"/>
  <c r="L112" i="17"/>
  <c r="K112" i="17" s="1"/>
  <c r="C112" i="17" s="1"/>
  <c r="L101" i="17"/>
  <c r="K101" i="17" s="1"/>
  <c r="C101" i="17" s="1"/>
  <c r="L66" i="17"/>
  <c r="K66" i="17" s="1"/>
  <c r="C66" i="17" s="1"/>
  <c r="B66" i="17" s="1"/>
  <c r="L55" i="17"/>
  <c r="K55" i="17" s="1"/>
  <c r="C55" i="17" s="1"/>
  <c r="L119" i="17"/>
  <c r="K119" i="17" s="1"/>
  <c r="C119" i="17" s="1"/>
  <c r="B119" i="17" s="1"/>
  <c r="L100" i="17"/>
  <c r="K100" i="17" s="1"/>
  <c r="C100" i="17" s="1"/>
  <c r="L81" i="17"/>
  <c r="K81" i="17" s="1"/>
  <c r="C81" i="17" s="1"/>
  <c r="L91" i="17"/>
  <c r="K91" i="17" s="1"/>
  <c r="C91" i="17" s="1"/>
  <c r="L94" i="17"/>
  <c r="K94" i="17" s="1"/>
  <c r="C94" i="17" s="1"/>
  <c r="L60" i="17"/>
  <c r="K60" i="17" s="1"/>
  <c r="C60" i="17" s="1"/>
  <c r="L62" i="17"/>
  <c r="K62" i="17" s="1"/>
  <c r="C62" i="17" s="1"/>
  <c r="L98" i="17"/>
  <c r="K98" i="17" s="1"/>
  <c r="C98" i="17" s="1"/>
  <c r="B98" i="17" s="1"/>
  <c r="L113" i="17"/>
  <c r="K113" i="17" s="1"/>
  <c r="C113" i="17" s="1"/>
  <c r="L123" i="17"/>
  <c r="K123" i="17" s="1"/>
  <c r="C123" i="17" s="1"/>
  <c r="L56" i="17"/>
  <c r="K56" i="17" s="1"/>
  <c r="C56" i="17" s="1"/>
  <c r="L109" i="17"/>
  <c r="K109" i="17" s="1"/>
  <c r="C109" i="17" s="1"/>
  <c r="L63" i="17"/>
  <c r="K63" i="17" s="1"/>
  <c r="C63" i="17" s="1"/>
  <c r="B63" i="17" s="1"/>
  <c r="L108" i="17"/>
  <c r="K108" i="17" s="1"/>
  <c r="C108" i="17" s="1"/>
  <c r="L59" i="17"/>
  <c r="K59" i="17" s="1"/>
  <c r="C59" i="17" s="1"/>
  <c r="L61" i="17"/>
  <c r="K61" i="17" s="1"/>
  <c r="C61" i="17" s="1"/>
  <c r="L105" i="17"/>
  <c r="K105" i="17" s="1"/>
  <c r="C105" i="17" s="1"/>
  <c r="L69" i="17"/>
  <c r="K69" i="17" s="1"/>
  <c r="C69" i="17" s="1"/>
  <c r="L87" i="17"/>
  <c r="K87" i="17" s="1"/>
  <c r="C87" i="17" s="1"/>
  <c r="L88" i="17"/>
  <c r="K88" i="17" s="1"/>
  <c r="C88" i="17" s="1"/>
  <c r="L75" i="17"/>
  <c r="K75" i="17" s="1"/>
  <c r="C75" i="17" s="1"/>
  <c r="L120" i="17"/>
  <c r="K120" i="17" s="1"/>
  <c r="C120" i="17" s="1"/>
  <c r="B120" i="17" s="1"/>
  <c r="L74" i="17"/>
  <c r="K74" i="17" s="1"/>
  <c r="C74" i="17" s="1"/>
  <c r="L127" i="17"/>
  <c r="K127" i="17" s="1"/>
  <c r="C127" i="17" s="1"/>
  <c r="L89" i="17"/>
  <c r="K89" i="17" s="1"/>
  <c r="C89" i="17" s="1"/>
  <c r="L110" i="17"/>
  <c r="K110" i="17" s="1"/>
  <c r="C110" i="17" s="1"/>
  <c r="L64" i="17"/>
  <c r="K64" i="17" s="1"/>
  <c r="C64" i="17" s="1"/>
  <c r="L53" i="17"/>
  <c r="K53" i="17" s="1"/>
  <c r="C53" i="17" s="1"/>
  <c r="L117" i="17"/>
  <c r="K117" i="17" s="1"/>
  <c r="C117" i="17" s="1"/>
  <c r="L82" i="17"/>
  <c r="K82" i="17" s="1"/>
  <c r="C82" i="17" s="1"/>
  <c r="L71" i="17"/>
  <c r="K71" i="17" s="1"/>
  <c r="C71" i="17" s="1"/>
  <c r="L52" i="17"/>
  <c r="K52" i="17" s="1"/>
  <c r="C52" i="17" s="1"/>
  <c r="L116" i="17"/>
  <c r="K116" i="17" s="1"/>
  <c r="C116" i="17" s="1"/>
  <c r="L97" i="17"/>
  <c r="K97" i="17" s="1"/>
  <c r="C97" i="17" s="1"/>
  <c r="L128" i="17"/>
  <c r="K128" i="17" s="1"/>
  <c r="C128" i="17" s="1"/>
  <c r="L132" i="17"/>
  <c r="K132" i="17" s="1"/>
  <c r="C132" i="17" s="1"/>
  <c r="L136" i="17"/>
  <c r="K136" i="17" s="1"/>
  <c r="C136" i="17" s="1"/>
  <c r="L140" i="17"/>
  <c r="K140" i="17" s="1"/>
  <c r="C140" i="17" s="1"/>
  <c r="L144" i="17"/>
  <c r="K144" i="17" s="1"/>
  <c r="C144" i="17" s="1"/>
  <c r="L148" i="17"/>
  <c r="K148" i="17" s="1"/>
  <c r="C148" i="17" s="1"/>
  <c r="L152" i="17"/>
  <c r="K152" i="17" s="1"/>
  <c r="C152" i="17" s="1"/>
  <c r="L156" i="17"/>
  <c r="K156" i="17" s="1"/>
  <c r="C156" i="17" s="1"/>
  <c r="L160" i="17"/>
  <c r="K160" i="17" s="1"/>
  <c r="C160" i="17" s="1"/>
  <c r="L129" i="17"/>
  <c r="K129" i="17" s="1"/>
  <c r="C129" i="17" s="1"/>
  <c r="L133" i="17"/>
  <c r="K133" i="17" s="1"/>
  <c r="C133" i="17" s="1"/>
  <c r="L137" i="17"/>
  <c r="K137" i="17" s="1"/>
  <c r="C137" i="17" s="1"/>
  <c r="L141" i="17"/>
  <c r="K141" i="17" s="1"/>
  <c r="C141" i="17" s="1"/>
  <c r="L145" i="17"/>
  <c r="K145" i="17" s="1"/>
  <c r="C145" i="17" s="1"/>
  <c r="L149" i="17"/>
  <c r="K149" i="17" s="1"/>
  <c r="C149" i="17" s="1"/>
  <c r="L153" i="17"/>
  <c r="K153" i="17" s="1"/>
  <c r="C153" i="17" s="1"/>
  <c r="L157" i="17"/>
  <c r="K157" i="17" s="1"/>
  <c r="C157" i="17" s="1"/>
  <c r="B157" i="17" s="1"/>
  <c r="L161" i="17"/>
  <c r="K161" i="17" s="1"/>
  <c r="C161" i="17" s="1"/>
  <c r="L130" i="17"/>
  <c r="K130" i="17" s="1"/>
  <c r="C130" i="17" s="1"/>
  <c r="L134" i="17"/>
  <c r="K134" i="17" s="1"/>
  <c r="C134" i="17" s="1"/>
  <c r="L138" i="17"/>
  <c r="K138" i="17" s="1"/>
  <c r="C138" i="17" s="1"/>
  <c r="L142" i="17"/>
  <c r="K142" i="17" s="1"/>
  <c r="C142" i="17" s="1"/>
  <c r="L146" i="17"/>
  <c r="K146" i="17" s="1"/>
  <c r="C146" i="17" s="1"/>
  <c r="L150" i="17"/>
  <c r="K150" i="17" s="1"/>
  <c r="C150" i="17" s="1"/>
  <c r="L154" i="17"/>
  <c r="K154" i="17" s="1"/>
  <c r="C154" i="17" s="1"/>
  <c r="L158" i="17"/>
  <c r="K158" i="17" s="1"/>
  <c r="C158" i="17" s="1"/>
  <c r="L162" i="17"/>
  <c r="K162" i="17" s="1"/>
  <c r="C162" i="17" s="1"/>
  <c r="L131" i="17"/>
  <c r="K131" i="17" s="1"/>
  <c r="C131" i="17" s="1"/>
  <c r="L135" i="17"/>
  <c r="K135" i="17" s="1"/>
  <c r="C135" i="17" s="1"/>
  <c r="L139" i="17"/>
  <c r="K139" i="17" s="1"/>
  <c r="C139" i="17" s="1"/>
  <c r="L143" i="17"/>
  <c r="K143" i="17" s="1"/>
  <c r="C143" i="17" s="1"/>
  <c r="L147" i="17"/>
  <c r="K147" i="17" s="1"/>
  <c r="C147" i="17" s="1"/>
  <c r="L151" i="17"/>
  <c r="K151" i="17" s="1"/>
  <c r="C151" i="17" s="1"/>
  <c r="L155" i="17"/>
  <c r="K155" i="17" s="1"/>
  <c r="C155" i="17" s="1"/>
  <c r="L159" i="17"/>
  <c r="K159" i="17" s="1"/>
  <c r="C159" i="17" s="1"/>
  <c r="J161" i="17"/>
  <c r="I161" i="17" s="1"/>
  <c r="F161" i="17" s="1"/>
  <c r="J136" i="17"/>
  <c r="I136" i="17" s="1"/>
  <c r="F136" i="17" s="1"/>
  <c r="J160" i="17"/>
  <c r="I160" i="17" s="1"/>
  <c r="F160" i="17" s="1"/>
  <c r="J129" i="17"/>
  <c r="I129" i="17" s="1"/>
  <c r="F129" i="17" s="1"/>
  <c r="J133" i="17"/>
  <c r="I133" i="17" s="1"/>
  <c r="F133" i="17" s="1"/>
  <c r="J137" i="17"/>
  <c r="I137" i="17" s="1"/>
  <c r="F137" i="17" s="1"/>
  <c r="J141" i="17"/>
  <c r="I141" i="17" s="1"/>
  <c r="F141" i="17" s="1"/>
  <c r="J145" i="17"/>
  <c r="I145" i="17" s="1"/>
  <c r="F145" i="17" s="1"/>
  <c r="J149" i="17"/>
  <c r="I149" i="17" s="1"/>
  <c r="F149" i="17" s="1"/>
  <c r="J153" i="17"/>
  <c r="I153" i="17" s="1"/>
  <c r="F153" i="17" s="1"/>
  <c r="J157" i="17"/>
  <c r="I157" i="17" s="1"/>
  <c r="F157" i="17" s="1"/>
  <c r="J144" i="17"/>
  <c r="I144" i="17" s="1"/>
  <c r="F144" i="17" s="1"/>
  <c r="J162" i="17"/>
  <c r="I162" i="17" s="1"/>
  <c r="F162" i="17" s="1"/>
  <c r="J132" i="17"/>
  <c r="I132" i="17" s="1"/>
  <c r="F132" i="17" s="1"/>
  <c r="J156" i="17"/>
  <c r="I156" i="17" s="1"/>
  <c r="F156" i="17" s="1"/>
  <c r="J130" i="17"/>
  <c r="I130" i="17" s="1"/>
  <c r="F130" i="17" s="1"/>
  <c r="J134" i="17"/>
  <c r="I134" i="17" s="1"/>
  <c r="F134" i="17" s="1"/>
  <c r="J138" i="17"/>
  <c r="I138" i="17" s="1"/>
  <c r="F138" i="17" s="1"/>
  <c r="J142" i="17"/>
  <c r="I142" i="17" s="1"/>
  <c r="F142" i="17" s="1"/>
  <c r="J146" i="17"/>
  <c r="I146" i="17" s="1"/>
  <c r="F146" i="17" s="1"/>
  <c r="J150" i="17"/>
  <c r="I150" i="17" s="1"/>
  <c r="F150" i="17" s="1"/>
  <c r="J154" i="17"/>
  <c r="I154" i="17" s="1"/>
  <c r="F154" i="17" s="1"/>
  <c r="J158" i="17"/>
  <c r="I158" i="17" s="1"/>
  <c r="F158" i="17" s="1"/>
  <c r="J128" i="17"/>
  <c r="I128" i="17" s="1"/>
  <c r="F128" i="17" s="1"/>
  <c r="J152" i="17"/>
  <c r="I152" i="17" s="1"/>
  <c r="F152" i="17" s="1"/>
  <c r="J148" i="17"/>
  <c r="I148" i="17" s="1"/>
  <c r="F148" i="17" s="1"/>
  <c r="J131" i="17"/>
  <c r="I131" i="17" s="1"/>
  <c r="F131" i="17" s="1"/>
  <c r="J135" i="17"/>
  <c r="I135" i="17" s="1"/>
  <c r="F135" i="17" s="1"/>
  <c r="J139" i="17"/>
  <c r="I139" i="17" s="1"/>
  <c r="F139" i="17" s="1"/>
  <c r="J143" i="17"/>
  <c r="I143" i="17" s="1"/>
  <c r="F143" i="17" s="1"/>
  <c r="J147" i="17"/>
  <c r="I147" i="17" s="1"/>
  <c r="F147" i="17" s="1"/>
  <c r="J151" i="17"/>
  <c r="I151" i="17" s="1"/>
  <c r="F151" i="17" s="1"/>
  <c r="J155" i="17"/>
  <c r="I155" i="17" s="1"/>
  <c r="F155" i="17" s="1"/>
  <c r="J159" i="17"/>
  <c r="I159" i="17" s="1"/>
  <c r="F159" i="17" s="1"/>
  <c r="J140" i="17"/>
  <c r="I140" i="17" s="1"/>
  <c r="F140" i="17" s="1"/>
  <c r="J54" i="17"/>
  <c r="I54" i="17" s="1"/>
  <c r="F54" i="17" s="1"/>
  <c r="J62" i="17"/>
  <c r="I62" i="17" s="1"/>
  <c r="F62" i="17" s="1"/>
  <c r="J70" i="17"/>
  <c r="I70" i="17" s="1"/>
  <c r="F70" i="17" s="1"/>
  <c r="J78" i="17"/>
  <c r="I78" i="17" s="1"/>
  <c r="F78" i="17" s="1"/>
  <c r="J85" i="17"/>
  <c r="I85" i="17" s="1"/>
  <c r="F85" i="17" s="1"/>
  <c r="J93" i="17"/>
  <c r="I93" i="17" s="1"/>
  <c r="F93" i="17" s="1"/>
  <c r="J100" i="17"/>
  <c r="I100" i="17" s="1"/>
  <c r="F100" i="17" s="1"/>
  <c r="J107" i="17"/>
  <c r="I107" i="17" s="1"/>
  <c r="F107" i="17" s="1"/>
  <c r="J115" i="17"/>
  <c r="I115" i="17" s="1"/>
  <c r="F115" i="17" s="1"/>
  <c r="J122" i="17"/>
  <c r="I122" i="17" s="1"/>
  <c r="F122" i="17" s="1"/>
  <c r="J125" i="17"/>
  <c r="I125" i="17" s="1"/>
  <c r="F125" i="17" s="1"/>
  <c r="J75" i="17"/>
  <c r="I75" i="17" s="1"/>
  <c r="F75" i="17" s="1"/>
  <c r="J120" i="17"/>
  <c r="I120" i="17" s="1"/>
  <c r="F120" i="17" s="1"/>
  <c r="J92" i="17"/>
  <c r="I92" i="17" s="1"/>
  <c r="F92" i="17" s="1"/>
  <c r="J55" i="17"/>
  <c r="I55" i="17" s="1"/>
  <c r="F55" i="17" s="1"/>
  <c r="J63" i="17"/>
  <c r="I63" i="17" s="1"/>
  <c r="F63" i="17" s="1"/>
  <c r="J71" i="17"/>
  <c r="I71" i="17" s="1"/>
  <c r="F71" i="17" s="1"/>
  <c r="J79" i="17"/>
  <c r="I79" i="17" s="1"/>
  <c r="F79" i="17" s="1"/>
  <c r="J86" i="17"/>
  <c r="I86" i="17" s="1"/>
  <c r="F86" i="17" s="1"/>
  <c r="J94" i="17"/>
  <c r="I94" i="17" s="1"/>
  <c r="F94" i="17" s="1"/>
  <c r="J101" i="17"/>
  <c r="I101" i="17" s="1"/>
  <c r="F101" i="17" s="1"/>
  <c r="J108" i="17"/>
  <c r="I108" i="17" s="1"/>
  <c r="F108" i="17" s="1"/>
  <c r="J116" i="17"/>
  <c r="I116" i="17" s="1"/>
  <c r="F116" i="17" s="1"/>
  <c r="J123" i="17"/>
  <c r="I123" i="17" s="1"/>
  <c r="F123" i="17" s="1"/>
  <c r="J118" i="17"/>
  <c r="I118" i="17" s="1"/>
  <c r="F118" i="17" s="1"/>
  <c r="J111" i="17"/>
  <c r="I111" i="17" s="1"/>
  <c r="F111" i="17" s="1"/>
  <c r="J98" i="17"/>
  <c r="I98" i="17" s="1"/>
  <c r="F98" i="17" s="1"/>
  <c r="J127" i="17"/>
  <c r="I127" i="17" s="1"/>
  <c r="F127" i="17" s="1"/>
  <c r="J77" i="17"/>
  <c r="I77" i="17" s="1"/>
  <c r="F77" i="17" s="1"/>
  <c r="J106" i="17"/>
  <c r="I106" i="17" s="1"/>
  <c r="F106" i="17" s="1"/>
  <c r="J48" i="17"/>
  <c r="I48" i="17" s="1"/>
  <c r="F48" i="17" s="1"/>
  <c r="J56" i="17"/>
  <c r="I56" i="17" s="1"/>
  <c r="F56" i="17" s="1"/>
  <c r="J64" i="17"/>
  <c r="I64" i="17" s="1"/>
  <c r="F64" i="17" s="1"/>
  <c r="J72" i="17"/>
  <c r="I72" i="17" s="1"/>
  <c r="F72" i="17" s="1"/>
  <c r="J80" i="17"/>
  <c r="I80" i="17" s="1"/>
  <c r="F80" i="17" s="1"/>
  <c r="J87" i="17"/>
  <c r="I87" i="17" s="1"/>
  <c r="F87" i="17" s="1"/>
  <c r="J95" i="17"/>
  <c r="I95" i="17" s="1"/>
  <c r="F95" i="17" s="1"/>
  <c r="J109" i="17"/>
  <c r="I109" i="17" s="1"/>
  <c r="F109" i="17" s="1"/>
  <c r="J117" i="17"/>
  <c r="I117" i="17" s="1"/>
  <c r="F117" i="17" s="1"/>
  <c r="J124" i="17"/>
  <c r="I124" i="17" s="1"/>
  <c r="F124" i="17" s="1"/>
  <c r="J97" i="17"/>
  <c r="I97" i="17" s="1"/>
  <c r="F97" i="17" s="1"/>
  <c r="J104" i="17"/>
  <c r="I104" i="17" s="1"/>
  <c r="F104" i="17" s="1"/>
  <c r="J119" i="17"/>
  <c r="I119" i="17" s="1"/>
  <c r="F119" i="17" s="1"/>
  <c r="J61" i="17"/>
  <c r="I61" i="17" s="1"/>
  <c r="F61" i="17" s="1"/>
  <c r="J114" i="17"/>
  <c r="I114" i="17" s="1"/>
  <c r="F114" i="17" s="1"/>
  <c r="J49" i="17"/>
  <c r="I49" i="17" s="1"/>
  <c r="F49" i="17" s="1"/>
  <c r="J57" i="17"/>
  <c r="I57" i="17" s="1"/>
  <c r="F57" i="17" s="1"/>
  <c r="J65" i="17"/>
  <c r="I65" i="17" s="1"/>
  <c r="F65" i="17" s="1"/>
  <c r="J73" i="17"/>
  <c r="I73" i="17" s="1"/>
  <c r="F73" i="17" s="1"/>
  <c r="J81" i="17"/>
  <c r="I81" i="17" s="1"/>
  <c r="F81" i="17" s="1"/>
  <c r="J88" i="17"/>
  <c r="I88" i="17" s="1"/>
  <c r="F88" i="17" s="1"/>
  <c r="J96" i="17"/>
  <c r="I96" i="17" s="1"/>
  <c r="F96" i="17" s="1"/>
  <c r="J102" i="17"/>
  <c r="I102" i="17" s="1"/>
  <c r="F102" i="17" s="1"/>
  <c r="J110" i="17"/>
  <c r="I110" i="17" s="1"/>
  <c r="F110" i="17" s="1"/>
  <c r="J103" i="17"/>
  <c r="I103" i="17" s="1"/>
  <c r="F103" i="17" s="1"/>
  <c r="J90" i="17"/>
  <c r="I90" i="17" s="1"/>
  <c r="F90" i="17" s="1"/>
  <c r="J113" i="17"/>
  <c r="I113" i="17" s="1"/>
  <c r="F113" i="17" s="1"/>
  <c r="J84" i="17"/>
  <c r="I84" i="17" s="1"/>
  <c r="F84" i="17" s="1"/>
  <c r="J50" i="17"/>
  <c r="I50" i="17" s="1"/>
  <c r="F50" i="17" s="1"/>
  <c r="J58" i="17"/>
  <c r="I58" i="17" s="1"/>
  <c r="F58" i="17" s="1"/>
  <c r="J66" i="17"/>
  <c r="I66" i="17" s="1"/>
  <c r="F66" i="17" s="1"/>
  <c r="J74" i="17"/>
  <c r="I74" i="17" s="1"/>
  <c r="F74" i="17" s="1"/>
  <c r="J89" i="17"/>
  <c r="I89" i="17" s="1"/>
  <c r="F89" i="17" s="1"/>
  <c r="J126" i="17"/>
  <c r="I126" i="17" s="1"/>
  <c r="F126" i="17" s="1"/>
  <c r="J112" i="17"/>
  <c r="I112" i="17" s="1"/>
  <c r="F112" i="17" s="1"/>
  <c r="J53" i="17"/>
  <c r="I53" i="17" s="1"/>
  <c r="F53" i="17" s="1"/>
  <c r="J99" i="17"/>
  <c r="I99" i="17" s="1"/>
  <c r="F99" i="17" s="1"/>
  <c r="J51" i="17"/>
  <c r="I51" i="17" s="1"/>
  <c r="F51" i="17" s="1"/>
  <c r="J59" i="17"/>
  <c r="I59" i="17" s="1"/>
  <c r="F59" i="17" s="1"/>
  <c r="J67" i="17"/>
  <c r="I67" i="17" s="1"/>
  <c r="F67" i="17" s="1"/>
  <c r="J82" i="17"/>
  <c r="I82" i="17" s="1"/>
  <c r="F82" i="17" s="1"/>
  <c r="J69" i="17"/>
  <c r="I69" i="17" s="1"/>
  <c r="F69" i="17" s="1"/>
  <c r="J121" i="17"/>
  <c r="I121" i="17" s="1"/>
  <c r="F121" i="17" s="1"/>
  <c r="J52" i="17"/>
  <c r="I52" i="17" s="1"/>
  <c r="F52" i="17" s="1"/>
  <c r="J60" i="17"/>
  <c r="I60" i="17" s="1"/>
  <c r="F60" i="17" s="1"/>
  <c r="J68" i="17"/>
  <c r="I68" i="17" s="1"/>
  <c r="F68" i="17" s="1"/>
  <c r="J76" i="17"/>
  <c r="I76" i="17" s="1"/>
  <c r="F76" i="17" s="1"/>
  <c r="J83" i="17"/>
  <c r="I83" i="17" s="1"/>
  <c r="F83" i="17" s="1"/>
  <c r="J91" i="17"/>
  <c r="I91" i="17" s="1"/>
  <c r="F91" i="17" s="1"/>
  <c r="J105" i="17"/>
  <c r="I105" i="17" s="1"/>
  <c r="F105" i="17" s="1"/>
  <c r="L86" i="17"/>
  <c r="K86" i="17" s="1"/>
  <c r="C86" i="17" s="1"/>
  <c r="I134" i="19"/>
  <c r="H134" i="19" s="1"/>
  <c r="C134" i="19" s="1"/>
  <c r="I140" i="19"/>
  <c r="H140" i="19" s="1"/>
  <c r="C140" i="19" s="1"/>
  <c r="I130" i="19"/>
  <c r="H130" i="19" s="1"/>
  <c r="C130" i="19" s="1"/>
  <c r="I135" i="19"/>
  <c r="H135" i="19" s="1"/>
  <c r="C135" i="19" s="1"/>
  <c r="I146" i="19"/>
  <c r="H146" i="19" s="1"/>
  <c r="C146" i="19" s="1"/>
  <c r="I151" i="19"/>
  <c r="H151" i="19" s="1"/>
  <c r="C151" i="19" s="1"/>
  <c r="I157" i="19"/>
  <c r="H157" i="19" s="1"/>
  <c r="C157" i="19" s="1"/>
  <c r="I152" i="19"/>
  <c r="H152" i="19" s="1"/>
  <c r="C152" i="19" s="1"/>
  <c r="I136" i="19"/>
  <c r="H136" i="19" s="1"/>
  <c r="C136" i="19" s="1"/>
  <c r="I158" i="19"/>
  <c r="H158" i="19" s="1"/>
  <c r="C158" i="19" s="1"/>
  <c r="B158" i="19" s="1"/>
  <c r="I131" i="19"/>
  <c r="H131" i="19" s="1"/>
  <c r="C131" i="19" s="1"/>
  <c r="I137" i="19"/>
  <c r="H137" i="19" s="1"/>
  <c r="C137" i="19" s="1"/>
  <c r="I141" i="19"/>
  <c r="H141" i="19" s="1"/>
  <c r="C141" i="19" s="1"/>
  <c r="I147" i="19"/>
  <c r="H147" i="19" s="1"/>
  <c r="C147" i="19" s="1"/>
  <c r="I153" i="19"/>
  <c r="H153" i="19" s="1"/>
  <c r="C153" i="19" s="1"/>
  <c r="I159" i="19"/>
  <c r="H159" i="19" s="1"/>
  <c r="C159" i="19" s="1"/>
  <c r="B159" i="19" s="1"/>
  <c r="I133" i="19"/>
  <c r="H133" i="19" s="1"/>
  <c r="C133" i="19" s="1"/>
  <c r="I149" i="19"/>
  <c r="H149" i="19" s="1"/>
  <c r="C149" i="19" s="1"/>
  <c r="I132" i="19"/>
  <c r="H132" i="19" s="1"/>
  <c r="C132" i="19" s="1"/>
  <c r="I142" i="19"/>
  <c r="H142" i="19" s="1"/>
  <c r="C142" i="19" s="1"/>
  <c r="I148" i="19"/>
  <c r="H148" i="19" s="1"/>
  <c r="C148" i="19" s="1"/>
  <c r="I154" i="19"/>
  <c r="H154" i="19" s="1"/>
  <c r="C154" i="19" s="1"/>
  <c r="I160" i="19"/>
  <c r="H160" i="19" s="1"/>
  <c r="C160" i="19" s="1"/>
  <c r="B160" i="19" s="1"/>
  <c r="I145" i="19"/>
  <c r="H145" i="19" s="1"/>
  <c r="C145" i="19" s="1"/>
  <c r="I138" i="19"/>
  <c r="H138" i="19" s="1"/>
  <c r="C138" i="19" s="1"/>
  <c r="I143" i="19"/>
  <c r="H143" i="19" s="1"/>
  <c r="C143" i="19" s="1"/>
  <c r="I161" i="19"/>
  <c r="H161" i="19" s="1"/>
  <c r="C161" i="19" s="1"/>
  <c r="B161" i="19" s="1"/>
  <c r="I129" i="19"/>
  <c r="H129" i="19" s="1"/>
  <c r="C129" i="19" s="1"/>
  <c r="I150" i="19"/>
  <c r="H150" i="19" s="1"/>
  <c r="C150" i="19" s="1"/>
  <c r="I128" i="19"/>
  <c r="H128" i="19" s="1"/>
  <c r="C128" i="19" s="1"/>
  <c r="I144" i="19"/>
  <c r="H144" i="19" s="1"/>
  <c r="C144" i="19" s="1"/>
  <c r="I155" i="19"/>
  <c r="H155" i="19" s="1"/>
  <c r="C155" i="19" s="1"/>
  <c r="I162" i="19"/>
  <c r="H162" i="19" s="1"/>
  <c r="C162" i="19" s="1"/>
  <c r="I139" i="19"/>
  <c r="H139" i="19" s="1"/>
  <c r="C139" i="19" s="1"/>
  <c r="I156" i="19"/>
  <c r="H156" i="19" s="1"/>
  <c r="C156" i="19" s="1"/>
  <c r="I120" i="19"/>
  <c r="H120" i="19" s="1"/>
  <c r="C120" i="19" s="1"/>
  <c r="I112" i="19"/>
  <c r="H112" i="19" s="1"/>
  <c r="C112" i="19" s="1"/>
  <c r="I104" i="19"/>
  <c r="H104" i="19" s="1"/>
  <c r="C104" i="19" s="1"/>
  <c r="I96" i="19"/>
  <c r="H96" i="19" s="1"/>
  <c r="C96" i="19" s="1"/>
  <c r="I88" i="19"/>
  <c r="H88" i="19" s="1"/>
  <c r="C88" i="19" s="1"/>
  <c r="I80" i="19"/>
  <c r="H80" i="19" s="1"/>
  <c r="C80" i="19" s="1"/>
  <c r="I72" i="19"/>
  <c r="H72" i="19" s="1"/>
  <c r="C72" i="19" s="1"/>
  <c r="I64" i="19"/>
  <c r="H64" i="19" s="1"/>
  <c r="C64" i="19" s="1"/>
  <c r="I57" i="19"/>
  <c r="H57" i="19" s="1"/>
  <c r="C57" i="19" s="1"/>
  <c r="I49" i="19"/>
  <c r="H49" i="19" s="1"/>
  <c r="C49" i="19" s="1"/>
  <c r="I113" i="19"/>
  <c r="H113" i="19" s="1"/>
  <c r="C113" i="19" s="1"/>
  <c r="I65" i="19"/>
  <c r="H65" i="19" s="1"/>
  <c r="C65" i="19" s="1"/>
  <c r="I127" i="19"/>
  <c r="H127" i="19" s="1"/>
  <c r="C127" i="19" s="1"/>
  <c r="I119" i="19"/>
  <c r="H119" i="19" s="1"/>
  <c r="C119" i="19" s="1"/>
  <c r="I111" i="19"/>
  <c r="H111" i="19" s="1"/>
  <c r="C111" i="19" s="1"/>
  <c r="I103" i="19"/>
  <c r="H103" i="19" s="1"/>
  <c r="C103" i="19" s="1"/>
  <c r="I95" i="19"/>
  <c r="H95" i="19" s="1"/>
  <c r="C95" i="19" s="1"/>
  <c r="I87" i="19"/>
  <c r="H87" i="19" s="1"/>
  <c r="C87" i="19" s="1"/>
  <c r="I79" i="19"/>
  <c r="H79" i="19" s="1"/>
  <c r="C79" i="19" s="1"/>
  <c r="I71" i="19"/>
  <c r="H71" i="19" s="1"/>
  <c r="C71" i="19" s="1"/>
  <c r="I63" i="19"/>
  <c r="H63" i="19" s="1"/>
  <c r="C63" i="19" s="1"/>
  <c r="I56" i="19"/>
  <c r="H56" i="19" s="1"/>
  <c r="C56" i="19" s="1"/>
  <c r="I48" i="19"/>
  <c r="H48" i="19" s="1"/>
  <c r="C48" i="19" s="1"/>
  <c r="I97" i="19"/>
  <c r="H97" i="19" s="1"/>
  <c r="C97" i="19" s="1"/>
  <c r="I58" i="19"/>
  <c r="H58" i="19" s="1"/>
  <c r="C58" i="19" s="1"/>
  <c r="I126" i="19"/>
  <c r="H126" i="19" s="1"/>
  <c r="C126" i="19" s="1"/>
  <c r="I118" i="19"/>
  <c r="H118" i="19" s="1"/>
  <c r="C118" i="19" s="1"/>
  <c r="I110" i="19"/>
  <c r="H110" i="19" s="1"/>
  <c r="C110" i="19" s="1"/>
  <c r="I102" i="19"/>
  <c r="H102" i="19" s="1"/>
  <c r="C102" i="19" s="1"/>
  <c r="I94" i="19"/>
  <c r="H94" i="19" s="1"/>
  <c r="C94" i="19" s="1"/>
  <c r="I86" i="19"/>
  <c r="H86" i="19" s="1"/>
  <c r="C86" i="19" s="1"/>
  <c r="I78" i="19"/>
  <c r="H78" i="19" s="1"/>
  <c r="C78" i="19" s="1"/>
  <c r="I70" i="19"/>
  <c r="H70" i="19" s="1"/>
  <c r="C70" i="19" s="1"/>
  <c r="I55" i="19"/>
  <c r="H55" i="19" s="1"/>
  <c r="C55" i="19" s="1"/>
  <c r="I52" i="19"/>
  <c r="H52" i="19" s="1"/>
  <c r="C52" i="19" s="1"/>
  <c r="I89" i="19"/>
  <c r="H89" i="19" s="1"/>
  <c r="C89" i="19" s="1"/>
  <c r="I125" i="19"/>
  <c r="H125" i="19" s="1"/>
  <c r="C125" i="19" s="1"/>
  <c r="I117" i="19"/>
  <c r="H117" i="19" s="1"/>
  <c r="C117" i="19" s="1"/>
  <c r="I109" i="19"/>
  <c r="H109" i="19" s="1"/>
  <c r="C109" i="19" s="1"/>
  <c r="I101" i="19"/>
  <c r="H101" i="19" s="1"/>
  <c r="C101" i="19" s="1"/>
  <c r="I93" i="19"/>
  <c r="H93" i="19" s="1"/>
  <c r="C93" i="19" s="1"/>
  <c r="I85" i="19"/>
  <c r="H85" i="19" s="1"/>
  <c r="C85" i="19" s="1"/>
  <c r="I77" i="19"/>
  <c r="H77" i="19" s="1"/>
  <c r="C77" i="19" s="1"/>
  <c r="I69" i="19"/>
  <c r="H69" i="19" s="1"/>
  <c r="C69" i="19" s="1"/>
  <c r="I62" i="19"/>
  <c r="H62" i="19" s="1"/>
  <c r="C62" i="19" s="1"/>
  <c r="I54" i="19"/>
  <c r="H54" i="19" s="1"/>
  <c r="C54" i="19" s="1"/>
  <c r="I105" i="19"/>
  <c r="H105" i="19" s="1"/>
  <c r="C105" i="19" s="1"/>
  <c r="I124" i="19"/>
  <c r="H124" i="19" s="1"/>
  <c r="C124" i="19" s="1"/>
  <c r="I116" i="19"/>
  <c r="H116" i="19" s="1"/>
  <c r="C116" i="19" s="1"/>
  <c r="I108" i="19"/>
  <c r="H108" i="19" s="1"/>
  <c r="C108" i="19" s="1"/>
  <c r="I100" i="19"/>
  <c r="H100" i="19" s="1"/>
  <c r="C100" i="19" s="1"/>
  <c r="I92" i="19"/>
  <c r="H92" i="19" s="1"/>
  <c r="C92" i="19" s="1"/>
  <c r="I84" i="19"/>
  <c r="H84" i="19" s="1"/>
  <c r="C84" i="19" s="1"/>
  <c r="I76" i="19"/>
  <c r="H76" i="19" s="1"/>
  <c r="C76" i="19" s="1"/>
  <c r="I68" i="19"/>
  <c r="H68" i="19" s="1"/>
  <c r="C68" i="19" s="1"/>
  <c r="I61" i="19"/>
  <c r="H61" i="19" s="1"/>
  <c r="C61" i="19" s="1"/>
  <c r="I53" i="19"/>
  <c r="H53" i="19" s="1"/>
  <c r="C53" i="19" s="1"/>
  <c r="I60" i="19"/>
  <c r="H60" i="19" s="1"/>
  <c r="C60" i="19" s="1"/>
  <c r="I81" i="19"/>
  <c r="H81" i="19" s="1"/>
  <c r="C81" i="19" s="1"/>
  <c r="I123" i="19"/>
  <c r="H123" i="19" s="1"/>
  <c r="C123" i="19" s="1"/>
  <c r="I115" i="19"/>
  <c r="H115" i="19" s="1"/>
  <c r="C115" i="19" s="1"/>
  <c r="I107" i="19"/>
  <c r="H107" i="19" s="1"/>
  <c r="C107" i="19" s="1"/>
  <c r="I99" i="19"/>
  <c r="H99" i="19" s="1"/>
  <c r="C99" i="19" s="1"/>
  <c r="I91" i="19"/>
  <c r="H91" i="19" s="1"/>
  <c r="C91" i="19" s="1"/>
  <c r="I83" i="19"/>
  <c r="H83" i="19" s="1"/>
  <c r="C83" i="19" s="1"/>
  <c r="I75" i="19"/>
  <c r="H75" i="19" s="1"/>
  <c r="C75" i="19" s="1"/>
  <c r="I67" i="19"/>
  <c r="H67" i="19" s="1"/>
  <c r="C67" i="19" s="1"/>
  <c r="I73" i="19"/>
  <c r="H73" i="19" s="1"/>
  <c r="C73" i="19" s="1"/>
  <c r="I122" i="19"/>
  <c r="H122" i="19" s="1"/>
  <c r="C122" i="19" s="1"/>
  <c r="I114" i="19"/>
  <c r="H114" i="19" s="1"/>
  <c r="C114" i="19" s="1"/>
  <c r="I106" i="19"/>
  <c r="H106" i="19" s="1"/>
  <c r="C106" i="19" s="1"/>
  <c r="I98" i="19"/>
  <c r="H98" i="19" s="1"/>
  <c r="C98" i="19" s="1"/>
  <c r="I90" i="19"/>
  <c r="H90" i="19" s="1"/>
  <c r="C90" i="19" s="1"/>
  <c r="I82" i="19"/>
  <c r="H82" i="19" s="1"/>
  <c r="C82" i="19" s="1"/>
  <c r="I74" i="19"/>
  <c r="H74" i="19" s="1"/>
  <c r="C74" i="19" s="1"/>
  <c r="I66" i="19"/>
  <c r="H66" i="19" s="1"/>
  <c r="C66" i="19" s="1"/>
  <c r="I59" i="19"/>
  <c r="H59" i="19" s="1"/>
  <c r="C59" i="19" s="1"/>
  <c r="I51" i="19"/>
  <c r="H51" i="19" s="1"/>
  <c r="C51" i="19" s="1"/>
  <c r="I121" i="19"/>
  <c r="H121" i="19" s="1"/>
  <c r="C121" i="19" s="1"/>
  <c r="I50" i="19"/>
  <c r="H50" i="19" s="1"/>
  <c r="C50" i="19" s="1"/>
  <c r="NK5" i="17"/>
  <c r="J5" i="17" s="1"/>
  <c r="J7" i="17"/>
  <c r="J13" i="17"/>
  <c r="J18" i="17"/>
  <c r="J23" i="17"/>
  <c r="J29" i="17"/>
  <c r="J34" i="17"/>
  <c r="J39" i="17"/>
  <c r="J45" i="17"/>
  <c r="J8" i="17"/>
  <c r="J24" i="17"/>
  <c r="J40" i="17"/>
  <c r="J9" i="17"/>
  <c r="J14" i="17"/>
  <c r="J19" i="17"/>
  <c r="J25" i="17"/>
  <c r="J30" i="17"/>
  <c r="J35" i="17"/>
  <c r="J41" i="17"/>
  <c r="J46" i="17"/>
  <c r="J20" i="17"/>
  <c r="J36" i="17"/>
  <c r="J10" i="17"/>
  <c r="J15" i="17"/>
  <c r="J21" i="17"/>
  <c r="J26" i="17"/>
  <c r="J31" i="17"/>
  <c r="J37" i="17"/>
  <c r="J42" i="17"/>
  <c r="J47" i="17"/>
  <c r="J16" i="17"/>
  <c r="J32" i="17"/>
  <c r="J6" i="17"/>
  <c r="J11" i="17"/>
  <c r="J17" i="17"/>
  <c r="J22" i="17"/>
  <c r="J27" i="17"/>
  <c r="J33" i="17"/>
  <c r="J38" i="17"/>
  <c r="J43" i="17"/>
  <c r="J12" i="17"/>
  <c r="J28" i="17"/>
  <c r="J44" i="17"/>
  <c r="I45" i="19"/>
  <c r="H45" i="19" s="1"/>
  <c r="C45" i="19" s="1"/>
  <c r="I41" i="19"/>
  <c r="H41" i="19" s="1"/>
  <c r="C41" i="19" s="1"/>
  <c r="I37" i="19"/>
  <c r="H37" i="19" s="1"/>
  <c r="C37" i="19" s="1"/>
  <c r="I33" i="19"/>
  <c r="H33" i="19" s="1"/>
  <c r="C33" i="19" s="1"/>
  <c r="I46" i="19"/>
  <c r="H46" i="19" s="1"/>
  <c r="C46" i="19" s="1"/>
  <c r="I42" i="19"/>
  <c r="H42" i="19" s="1"/>
  <c r="C42" i="19" s="1"/>
  <c r="I38" i="19"/>
  <c r="H38" i="19" s="1"/>
  <c r="C38" i="19" s="1"/>
  <c r="I34" i="19"/>
  <c r="H34" i="19" s="1"/>
  <c r="C34" i="19" s="1"/>
  <c r="I30" i="19"/>
  <c r="H30" i="19" s="1"/>
  <c r="C30" i="19" s="1"/>
  <c r="I26" i="19"/>
  <c r="H26" i="19" s="1"/>
  <c r="C26" i="19" s="1"/>
  <c r="I44" i="19"/>
  <c r="H44" i="19" s="1"/>
  <c r="C44" i="19" s="1"/>
  <c r="I31" i="19"/>
  <c r="H31" i="19" s="1"/>
  <c r="C31" i="19" s="1"/>
  <c r="I21" i="19"/>
  <c r="H21" i="19" s="1"/>
  <c r="C21" i="19" s="1"/>
  <c r="I18" i="19"/>
  <c r="H18" i="19" s="1"/>
  <c r="C18" i="19" s="1"/>
  <c r="I15" i="19"/>
  <c r="H15" i="19" s="1"/>
  <c r="C15" i="19" s="1"/>
  <c r="I35" i="19"/>
  <c r="H35" i="19" s="1"/>
  <c r="C35" i="19" s="1"/>
  <c r="I29" i="19"/>
  <c r="H29" i="19" s="1"/>
  <c r="C29" i="19" s="1"/>
  <c r="I24" i="19"/>
  <c r="H24" i="19" s="1"/>
  <c r="C24" i="19" s="1"/>
  <c r="I12" i="19"/>
  <c r="H12" i="19" s="1"/>
  <c r="C12" i="19" s="1"/>
  <c r="I8" i="19"/>
  <c r="H8" i="19" s="1"/>
  <c r="C8" i="19" s="1"/>
  <c r="I39" i="19"/>
  <c r="H39" i="19" s="1"/>
  <c r="C39" i="19" s="1"/>
  <c r="I27" i="19"/>
  <c r="H27" i="19" s="1"/>
  <c r="C27" i="19" s="1"/>
  <c r="I43" i="19"/>
  <c r="H43" i="19" s="1"/>
  <c r="C43" i="19" s="1"/>
  <c r="I25" i="19"/>
  <c r="H25" i="19" s="1"/>
  <c r="C25" i="19" s="1"/>
  <c r="I22" i="19"/>
  <c r="H22" i="19" s="1"/>
  <c r="C22" i="19" s="1"/>
  <c r="I19" i="19"/>
  <c r="H19" i="19" s="1"/>
  <c r="C19" i="19" s="1"/>
  <c r="I16" i="19"/>
  <c r="H16" i="19" s="1"/>
  <c r="C16" i="19" s="1"/>
  <c r="I13" i="19"/>
  <c r="H13" i="19" s="1"/>
  <c r="C13" i="19" s="1"/>
  <c r="I9" i="19"/>
  <c r="H9" i="19" s="1"/>
  <c r="C9" i="19" s="1"/>
  <c r="I47" i="19"/>
  <c r="H47" i="19" s="1"/>
  <c r="C47" i="19" s="1"/>
  <c r="I32" i="19"/>
  <c r="H32" i="19" s="1"/>
  <c r="C32" i="19" s="1"/>
  <c r="I17" i="19"/>
  <c r="H17" i="19" s="1"/>
  <c r="C17" i="19" s="1"/>
  <c r="I14" i="19"/>
  <c r="H14" i="19" s="1"/>
  <c r="C14" i="19" s="1"/>
  <c r="I10" i="19"/>
  <c r="H10" i="19" s="1"/>
  <c r="C10" i="19" s="1"/>
  <c r="I6" i="19"/>
  <c r="H6" i="19" s="1"/>
  <c r="C6" i="19" s="1"/>
  <c r="I36" i="19"/>
  <c r="H36" i="19" s="1"/>
  <c r="C36" i="19" s="1"/>
  <c r="I28" i="19"/>
  <c r="H28" i="19" s="1"/>
  <c r="C28" i="19" s="1"/>
  <c r="I23" i="19"/>
  <c r="H23" i="19" s="1"/>
  <c r="C23" i="19" s="1"/>
  <c r="I20" i="19"/>
  <c r="H20" i="19" s="1"/>
  <c r="C20" i="19" s="1"/>
  <c r="I40" i="19"/>
  <c r="H40" i="19" s="1"/>
  <c r="C40" i="19" s="1"/>
  <c r="I11" i="19"/>
  <c r="H11" i="19" s="1"/>
  <c r="C11" i="19" s="1"/>
  <c r="I7" i="19"/>
  <c r="H7" i="19" s="1"/>
  <c r="C7" i="19" s="1"/>
  <c r="L19" i="17"/>
  <c r="K19" i="17" s="1"/>
  <c r="C19" i="17" s="1"/>
  <c r="L10" i="17"/>
  <c r="K10" i="17" s="1"/>
  <c r="C10" i="17" s="1"/>
  <c r="L6" i="17"/>
  <c r="K6" i="17" s="1"/>
  <c r="C6" i="17" s="1"/>
  <c r="B6" i="17" s="1"/>
  <c r="L35" i="17"/>
  <c r="K35" i="17" s="1"/>
  <c r="C35" i="17" s="1"/>
  <c r="L37" i="17"/>
  <c r="K37" i="17" s="1"/>
  <c r="C37" i="17" s="1"/>
  <c r="L18" i="17"/>
  <c r="K18" i="17" s="1"/>
  <c r="C18" i="17" s="1"/>
  <c r="L15" i="17"/>
  <c r="K15" i="17" s="1"/>
  <c r="C15" i="17" s="1"/>
  <c r="L17" i="17"/>
  <c r="K17" i="17" s="1"/>
  <c r="C17" i="17" s="1"/>
  <c r="L45" i="17"/>
  <c r="K45" i="17" s="1"/>
  <c r="C45" i="17" s="1"/>
  <c r="L26" i="17"/>
  <c r="K26" i="17" s="1"/>
  <c r="C26" i="17" s="1"/>
  <c r="L23" i="17"/>
  <c r="K23" i="17" s="1"/>
  <c r="C23" i="17" s="1"/>
  <c r="L28" i="17"/>
  <c r="K28" i="17" s="1"/>
  <c r="C28" i="17" s="1"/>
  <c r="L43" i="17"/>
  <c r="K43" i="17" s="1"/>
  <c r="C43" i="17" s="1"/>
  <c r="L30" i="17"/>
  <c r="K30" i="17" s="1"/>
  <c r="C30" i="17" s="1"/>
  <c r="L8" i="17"/>
  <c r="K8" i="17" s="1"/>
  <c r="C8" i="17" s="1"/>
  <c r="L34" i="17"/>
  <c r="K34" i="17" s="1"/>
  <c r="C34" i="17" s="1"/>
  <c r="L31" i="17"/>
  <c r="K31" i="17" s="1"/>
  <c r="C31" i="17" s="1"/>
  <c r="L36" i="17"/>
  <c r="K36" i="17" s="1"/>
  <c r="C36" i="17" s="1"/>
  <c r="L41" i="17"/>
  <c r="K41" i="17" s="1"/>
  <c r="C41" i="17" s="1"/>
  <c r="L7" i="17"/>
  <c r="K7" i="17" s="1"/>
  <c r="C7" i="17" s="1"/>
  <c r="L16" i="17"/>
  <c r="K16" i="17" s="1"/>
  <c r="C16" i="17" s="1"/>
  <c r="L42" i="17"/>
  <c r="K42" i="17" s="1"/>
  <c r="C42" i="17" s="1"/>
  <c r="L39" i="17"/>
  <c r="K39" i="17" s="1"/>
  <c r="C39" i="17" s="1"/>
  <c r="L44" i="17"/>
  <c r="K44" i="17" s="1"/>
  <c r="C44" i="17" s="1"/>
  <c r="L40" i="17"/>
  <c r="K40" i="17" s="1"/>
  <c r="C40" i="17" s="1"/>
  <c r="B40" i="17" s="1"/>
  <c r="L12" i="17"/>
  <c r="K12" i="17" s="1"/>
  <c r="C12" i="17" s="1"/>
  <c r="L25" i="17"/>
  <c r="K25" i="17" s="1"/>
  <c r="C25" i="17" s="1"/>
  <c r="L33" i="17"/>
  <c r="K33" i="17" s="1"/>
  <c r="C33" i="17" s="1"/>
  <c r="L11" i="17"/>
  <c r="K11" i="17" s="1"/>
  <c r="C11" i="17" s="1"/>
  <c r="L24" i="17"/>
  <c r="K24" i="17" s="1"/>
  <c r="C24" i="17" s="1"/>
  <c r="L47" i="17"/>
  <c r="K47" i="17" s="1"/>
  <c r="C47" i="17" s="1"/>
  <c r="L27" i="17"/>
  <c r="K27" i="17" s="1"/>
  <c r="C27" i="17" s="1"/>
  <c r="L29" i="17"/>
  <c r="K29" i="17" s="1"/>
  <c r="C29" i="17" s="1"/>
  <c r="L13" i="17"/>
  <c r="K13" i="17" s="1"/>
  <c r="C13" i="17" s="1"/>
  <c r="L46" i="17"/>
  <c r="K46" i="17" s="1"/>
  <c r="C46" i="17" s="1"/>
  <c r="L20" i="17"/>
  <c r="K20" i="17" s="1"/>
  <c r="C20" i="17" s="1"/>
  <c r="L38" i="17"/>
  <c r="K38" i="17" s="1"/>
  <c r="C38" i="17" s="1"/>
  <c r="L32" i="17"/>
  <c r="K32" i="17" s="1"/>
  <c r="C32" i="17" s="1"/>
  <c r="B32" i="17" s="1"/>
  <c r="L21" i="17"/>
  <c r="K21" i="17" s="1"/>
  <c r="C21" i="17" s="1"/>
  <c r="L9" i="17"/>
  <c r="K9" i="17" s="1"/>
  <c r="C9" i="17" s="1"/>
  <c r="L22" i="17"/>
  <c r="K22" i="17" s="1"/>
  <c r="C22" i="17" s="1"/>
  <c r="L14" i="17"/>
  <c r="K14" i="17" s="1"/>
  <c r="C14" i="17" s="1"/>
  <c r="NT23" i="19" l="1" a="1"/>
  <c r="NT23" i="19" s="1"/>
  <c r="NT68" i="19" a="1"/>
  <c r="NT68" i="19" s="1"/>
  <c r="XV210" i="17" a="1"/>
  <c r="XV210" i="17" s="1"/>
  <c r="XV201" i="17" a="1"/>
  <c r="XV201" i="17" s="1"/>
  <c r="NT79" i="19" a="1"/>
  <c r="NT79" i="19" s="1"/>
  <c r="B17" i="17"/>
  <c r="NT19" i="19" a="1"/>
  <c r="NT19" i="19" s="1"/>
  <c r="XV202" i="17" a="1"/>
  <c r="XV202" i="17" s="1"/>
  <c r="NT92" i="19" a="1"/>
  <c r="NT92" i="19" s="1"/>
  <c r="NT18" i="19" a="1"/>
  <c r="NT18" i="19" s="1"/>
  <c r="NT119" i="19" a="1"/>
  <c r="NT119" i="19" s="1"/>
  <c r="NT178" i="19" a="1"/>
  <c r="NT178" i="19" s="1"/>
  <c r="NT48" i="19" a="1"/>
  <c r="NT48" i="19" s="1"/>
  <c r="NT183" i="19" a="1"/>
  <c r="NT183" i="19" s="1"/>
  <c r="B155" i="17"/>
  <c r="B129" i="17"/>
  <c r="B147" i="17"/>
  <c r="B140" i="17"/>
  <c r="B90" i="17"/>
  <c r="B164" i="17"/>
  <c r="B149" i="17"/>
  <c r="B175" i="17"/>
  <c r="B8" i="17"/>
  <c r="B173" i="17"/>
  <c r="XV198" i="17" a="1"/>
  <c r="XV198" i="17" s="1"/>
  <c r="NT174" i="19" a="1"/>
  <c r="NT174" i="19" s="1"/>
  <c r="NT124" i="19" a="1"/>
  <c r="NT124" i="19" s="1"/>
  <c r="NT16" i="19" a="1"/>
  <c r="NT16" i="19" s="1"/>
  <c r="OI16" i="19" s="1"/>
  <c r="E16" i="19" s="1"/>
  <c r="NT65" i="19" a="1"/>
  <c r="NT65" i="19" s="1"/>
  <c r="NT29" i="19" a="1"/>
  <c r="NT29" i="19" s="1"/>
  <c r="OI29" i="19" s="1"/>
  <c r="E29" i="19" s="1"/>
  <c r="NT151" i="19" a="1"/>
  <c r="NT151" i="19" s="1"/>
  <c r="NT134" i="19" a="1"/>
  <c r="NT134" i="19" s="1"/>
  <c r="M208" i="8"/>
  <c r="B169" i="17"/>
  <c r="B43" i="17"/>
  <c r="B137" i="17"/>
  <c r="B103" i="17"/>
  <c r="B163" i="17"/>
  <c r="B159" i="17"/>
  <c r="B133" i="17"/>
  <c r="B136" i="17"/>
  <c r="B20" i="17"/>
  <c r="B130" i="17"/>
  <c r="B96" i="17"/>
  <c r="I348" i="8" s="1"/>
  <c r="B97" i="17"/>
  <c r="B11" i="17"/>
  <c r="B101" i="17"/>
  <c r="B122" i="17"/>
  <c r="B84" i="17"/>
  <c r="B28" i="17"/>
  <c r="B88" i="17"/>
  <c r="B12" i="17"/>
  <c r="B87" i="17"/>
  <c r="B81" i="17"/>
  <c r="NT28" i="19" a="1"/>
  <c r="NT28" i="19" s="1"/>
  <c r="OI28" i="19" s="1"/>
  <c r="E28" i="19" s="1"/>
  <c r="NT122" i="19" a="1"/>
  <c r="NT122" i="19" s="1"/>
  <c r="OI122" i="19" s="1"/>
  <c r="E122" i="19" s="1"/>
  <c r="NT11" i="19" a="1"/>
  <c r="NT11" i="19" s="1"/>
  <c r="OI11" i="19" s="1"/>
  <c r="E11" i="19" s="1"/>
  <c r="B112" i="17"/>
  <c r="B48" i="17"/>
  <c r="B108" i="17"/>
  <c r="B194" i="17"/>
  <c r="B206" i="17"/>
  <c r="B248" i="17"/>
  <c r="I247" i="8" s="1"/>
  <c r="B241" i="17"/>
  <c r="B134" i="17"/>
  <c r="B60" i="17"/>
  <c r="B185" i="17"/>
  <c r="B204" i="17"/>
  <c r="B114" i="17"/>
  <c r="B201" i="17"/>
  <c r="B209" i="17"/>
  <c r="B46" i="17"/>
  <c r="B132" i="17"/>
  <c r="B53" i="17"/>
  <c r="B91" i="17"/>
  <c r="B121" i="17"/>
  <c r="B167" i="17"/>
  <c r="B214" i="17"/>
  <c r="B64" i="17"/>
  <c r="B187" i="17"/>
  <c r="B240" i="17"/>
  <c r="I239" i="8" s="1"/>
  <c r="B22" i="17"/>
  <c r="B150" i="17"/>
  <c r="B118" i="17"/>
  <c r="B223" i="17"/>
  <c r="B27" i="17"/>
  <c r="B146" i="17"/>
  <c r="B89" i="17"/>
  <c r="B51" i="17"/>
  <c r="B83" i="17"/>
  <c r="B75" i="17"/>
  <c r="B256" i="17"/>
  <c r="I255" i="8" s="1"/>
  <c r="B41" i="17"/>
  <c r="B23" i="17"/>
  <c r="B109" i="17"/>
  <c r="B176" i="17"/>
  <c r="B154" i="17"/>
  <c r="B174" i="17"/>
  <c r="B211" i="17"/>
  <c r="B243" i="17"/>
  <c r="I242" i="8" s="1"/>
  <c r="B258" i="17"/>
  <c r="I257" i="8" s="1"/>
  <c r="B123" i="17"/>
  <c r="B67" i="17"/>
  <c r="B245" i="17"/>
  <c r="B58" i="17"/>
  <c r="B125" i="17"/>
  <c r="B191" i="17"/>
  <c r="B237" i="17"/>
  <c r="B93" i="17"/>
  <c r="B107" i="17"/>
  <c r="B197" i="17"/>
  <c r="B192" i="17"/>
  <c r="B128" i="17"/>
  <c r="B70" i="17"/>
  <c r="B104" i="17"/>
  <c r="B85" i="17"/>
  <c r="B126" i="17"/>
  <c r="B19" i="17"/>
  <c r="B153" i="17"/>
  <c r="B110" i="17"/>
  <c r="B208" i="17"/>
  <c r="B242" i="17"/>
  <c r="B235" i="17"/>
  <c r="B9" i="17"/>
  <c r="B44" i="17"/>
  <c r="B143" i="17"/>
  <c r="B152" i="17"/>
  <c r="B105" i="17"/>
  <c r="B165" i="17"/>
  <c r="B221" i="17"/>
  <c r="B47" i="17"/>
  <c r="B142" i="17"/>
  <c r="B145" i="17"/>
  <c r="B148" i="17"/>
  <c r="B52" i="17"/>
  <c r="B61" i="17"/>
  <c r="B55" i="17"/>
  <c r="B54" i="17"/>
  <c r="B77" i="17"/>
  <c r="B49" i="17"/>
  <c r="B199" i="17"/>
  <c r="B210" i="17"/>
  <c r="B224" i="17"/>
  <c r="B228" i="17"/>
  <c r="B246" i="17"/>
  <c r="I245" i="8" s="1"/>
  <c r="B255" i="17"/>
  <c r="I254" i="8" s="1"/>
  <c r="B24" i="17"/>
  <c r="B30" i="17"/>
  <c r="B135" i="17"/>
  <c r="B138" i="17"/>
  <c r="B141" i="17"/>
  <c r="B59" i="17"/>
  <c r="B111" i="17"/>
  <c r="B95" i="17"/>
  <c r="B172" i="17"/>
  <c r="B171" i="17"/>
  <c r="B196" i="17"/>
  <c r="B218" i="17"/>
  <c r="B226" i="17"/>
  <c r="G205" i="8"/>
  <c r="M241" i="8"/>
  <c r="M248" i="8"/>
  <c r="I261" i="8"/>
  <c r="M335" i="8"/>
  <c r="M330" i="8"/>
  <c r="M327" i="8"/>
  <c r="M320" i="8"/>
  <c r="M311" i="8"/>
  <c r="M205" i="8"/>
  <c r="M321" i="8"/>
  <c r="M252" i="8"/>
  <c r="M302" i="8"/>
  <c r="M269" i="8"/>
  <c r="M267" i="8"/>
  <c r="M338" i="8"/>
  <c r="M237" i="8"/>
  <c r="M253" i="8"/>
  <c r="M263" i="8"/>
  <c r="I356" i="8"/>
  <c r="M294" i="8"/>
  <c r="I234" i="8"/>
  <c r="M250" i="8"/>
  <c r="M265" i="8"/>
  <c r="I260" i="8"/>
  <c r="I358" i="8"/>
  <c r="I349" i="8"/>
  <c r="M315" i="8"/>
  <c r="M328" i="8"/>
  <c r="M348" i="8"/>
  <c r="M356" i="8"/>
  <c r="M298" i="8"/>
  <c r="M337" i="8"/>
  <c r="M313" i="8"/>
  <c r="M234" i="8"/>
  <c r="M259" i="8"/>
  <c r="I267" i="8"/>
  <c r="I259" i="8"/>
  <c r="I291" i="8"/>
  <c r="I283" i="8"/>
  <c r="I354" i="8"/>
  <c r="I342" i="8"/>
  <c r="I337" i="8"/>
  <c r="I325" i="8"/>
  <c r="M305" i="8"/>
  <c r="M317" i="8"/>
  <c r="M323" i="8"/>
  <c r="M333" i="8"/>
  <c r="M314" i="8"/>
  <c r="M309" i="8"/>
  <c r="M193" i="8"/>
  <c r="M238" i="8"/>
  <c r="M256" i="8"/>
  <c r="M275" i="8"/>
  <c r="M271" i="8"/>
  <c r="I269" i="8"/>
  <c r="I273" i="8"/>
  <c r="I265" i="8"/>
  <c r="I314" i="8"/>
  <c r="I304" i="8"/>
  <c r="I298" i="8"/>
  <c r="I289" i="8"/>
  <c r="M318" i="8"/>
  <c r="M322" i="8"/>
  <c r="M292" i="8"/>
  <c r="M288" i="8"/>
  <c r="M331" i="8"/>
  <c r="M285" i="8"/>
  <c r="M291" i="8"/>
  <c r="M295" i="8"/>
  <c r="I329" i="8"/>
  <c r="I317" i="8"/>
  <c r="I293" i="8"/>
  <c r="I285" i="8"/>
  <c r="I323" i="8"/>
  <c r="I312" i="8"/>
  <c r="I326" i="8"/>
  <c r="I315" i="8"/>
  <c r="M357" i="8"/>
  <c r="M297" i="8"/>
  <c r="M329" i="8"/>
  <c r="M355" i="8"/>
  <c r="M293" i="8"/>
  <c r="M240" i="8"/>
  <c r="I236" i="8"/>
  <c r="M260" i="8"/>
  <c r="M261" i="8"/>
  <c r="I321" i="8"/>
  <c r="I310" i="8"/>
  <c r="M351" i="8"/>
  <c r="M353" i="8"/>
  <c r="M349" i="8"/>
  <c r="M352" i="8"/>
  <c r="M214" i="8"/>
  <c r="M247" i="8"/>
  <c r="M270" i="8"/>
  <c r="I279" i="8"/>
  <c r="I271" i="8"/>
  <c r="I335" i="8"/>
  <c r="I341" i="8"/>
  <c r="M354" i="8"/>
  <c r="M308" i="8"/>
  <c r="M343" i="8"/>
  <c r="I344" i="8"/>
  <c r="I332" i="8"/>
  <c r="M278" i="8"/>
  <c r="I334" i="8"/>
  <c r="I322" i="8"/>
  <c r="I343" i="8"/>
  <c r="I331" i="8"/>
  <c r="I284" i="8"/>
  <c r="I276" i="8"/>
  <c r="M347" i="8"/>
  <c r="M301" i="8"/>
  <c r="M340" i="8"/>
  <c r="M350" i="8"/>
  <c r="M358" i="8"/>
  <c r="M339" i="8"/>
  <c r="M342" i="8"/>
  <c r="B253" i="17"/>
  <c r="I252" i="8" s="1"/>
  <c r="B21" i="17"/>
  <c r="B39" i="17"/>
  <c r="NT139" i="19" a="1"/>
  <c r="NT139" i="19" s="1"/>
  <c r="OI139" i="19" s="1"/>
  <c r="E139" i="19" s="1"/>
  <c r="NT75" i="19" a="1"/>
  <c r="NT75" i="19" s="1"/>
  <c r="OI75" i="19" s="1"/>
  <c r="E75" i="19" s="1"/>
  <c r="NT38" i="19" a="1"/>
  <c r="NT38" i="19" s="1"/>
  <c r="OI38" i="19" s="1"/>
  <c r="E38" i="19" s="1"/>
  <c r="NT129" i="19" a="1"/>
  <c r="NT129" i="19" s="1"/>
  <c r="NT175" i="19" a="1"/>
  <c r="NT175" i="19" s="1"/>
  <c r="OI175" i="19" s="1"/>
  <c r="E175" i="19" s="1"/>
  <c r="NT218" i="19" a="1"/>
  <c r="NT218" i="19" s="1"/>
  <c r="OI218" i="19" s="1"/>
  <c r="E218" i="19" s="1"/>
  <c r="NT165" i="19" a="1"/>
  <c r="NT165" i="19" s="1"/>
  <c r="OI165" i="19" s="1"/>
  <c r="E165" i="19" s="1"/>
  <c r="NT116" i="19" a="1"/>
  <c r="NT116" i="19" s="1"/>
  <c r="OI116" i="19" s="1"/>
  <c r="E116" i="19" s="1"/>
  <c r="NT74" i="19" a="1"/>
  <c r="NT74" i="19" s="1"/>
  <c r="OI74" i="19" s="1"/>
  <c r="E74" i="19" s="1"/>
  <c r="NT52" i="19" a="1"/>
  <c r="NT52" i="19" s="1"/>
  <c r="OI52" i="19" s="1"/>
  <c r="E52" i="19" s="1"/>
  <c r="NT209" i="19" a="1"/>
  <c r="NT209" i="19" s="1"/>
  <c r="OI209" i="19" s="1"/>
  <c r="E209" i="19" s="1"/>
  <c r="B156" i="17"/>
  <c r="B252" i="17"/>
  <c r="I251" i="8" s="1"/>
  <c r="B18" i="17"/>
  <c r="B257" i="17"/>
  <c r="I256" i="8" s="1"/>
  <c r="M232" i="8"/>
  <c r="B231" i="17"/>
  <c r="XV252" i="17" a="1"/>
  <c r="XV252" i="17" s="1"/>
  <c r="YK252" i="17" s="1"/>
  <c r="E252" i="17" s="1"/>
  <c r="J251" i="8" s="1"/>
  <c r="XV253" i="17" a="1"/>
  <c r="XV253" i="17" s="1"/>
  <c r="YK253" i="17" s="1"/>
  <c r="E253" i="17" s="1"/>
  <c r="J252" i="8" s="1"/>
  <c r="B216" i="17"/>
  <c r="XV241" i="17" a="1"/>
  <c r="XV241" i="17" s="1"/>
  <c r="YK241" i="17" s="1"/>
  <c r="E241" i="17" s="1"/>
  <c r="J240" i="8" s="1"/>
  <c r="XV256" i="17" a="1"/>
  <c r="XV256" i="17" s="1"/>
  <c r="YK256" i="17" s="1"/>
  <c r="E256" i="17" s="1"/>
  <c r="J255" i="8" s="1"/>
  <c r="B10" i="17"/>
  <c r="B29" i="17"/>
  <c r="B76" i="17"/>
  <c r="B259" i="17"/>
  <c r="I258" i="8" s="1"/>
  <c r="B92" i="17"/>
  <c r="XV233" i="17" a="1"/>
  <c r="XV233" i="17" s="1"/>
  <c r="YK233" i="17" s="1"/>
  <c r="E233" i="17" s="1"/>
  <c r="XV254" i="17" a="1"/>
  <c r="XV254" i="17" s="1"/>
  <c r="YK254" i="17" s="1"/>
  <c r="E254" i="17" s="1"/>
  <c r="J253" i="8" s="1"/>
  <c r="XV244" i="17" a="1"/>
  <c r="XV244" i="17" s="1"/>
  <c r="YK244" i="17" s="1"/>
  <c r="E244" i="17" s="1"/>
  <c r="XV251" i="17" a="1"/>
  <c r="XV251" i="17" s="1"/>
  <c r="YK251" i="17" s="1"/>
  <c r="E251" i="17" s="1"/>
  <c r="YK259" i="17"/>
  <c r="E259" i="17" s="1"/>
  <c r="J258" i="8" s="1"/>
  <c r="XV255" i="17" a="1"/>
  <c r="XV255" i="17" s="1"/>
  <c r="YK255" i="17" s="1"/>
  <c r="E255" i="17" s="1"/>
  <c r="J254" i="8" s="1"/>
  <c r="XV257" i="17" a="1"/>
  <c r="XV257" i="17" s="1"/>
  <c r="YK257" i="17" s="1"/>
  <c r="E257" i="17" s="1"/>
  <c r="J256" i="8" s="1"/>
  <c r="XV243" i="17" a="1"/>
  <c r="XV243" i="17" s="1"/>
  <c r="YK243" i="17" s="1"/>
  <c r="E243" i="17" s="1"/>
  <c r="J242" i="8" s="1"/>
  <c r="XV258" i="17" a="1"/>
  <c r="XV258" i="17" s="1"/>
  <c r="YK258" i="17" s="1"/>
  <c r="E258" i="17" s="1"/>
  <c r="J257" i="8" s="1"/>
  <c r="XV240" i="17" a="1"/>
  <c r="XV240" i="17" s="1"/>
  <c r="YK240" i="17" s="1"/>
  <c r="E240" i="17" s="1"/>
  <c r="J239" i="8" s="1"/>
  <c r="XV234" i="17" a="1"/>
  <c r="XV234" i="17" s="1"/>
  <c r="YK234" i="17" s="1"/>
  <c r="E234" i="17" s="1"/>
  <c r="XV249" i="17" a="1"/>
  <c r="XV249" i="17" s="1"/>
  <c r="YK249" i="17" s="1"/>
  <c r="E249" i="17" s="1"/>
  <c r="XV223" i="17" a="1"/>
  <c r="XV223" i="17" s="1"/>
  <c r="B236" i="17"/>
  <c r="I235" i="8" s="1"/>
  <c r="XV245" i="17" a="1"/>
  <c r="XV245" i="17" s="1"/>
  <c r="YK245" i="17" s="1"/>
  <c r="E245" i="17" s="1"/>
  <c r="J244" i="8" s="1"/>
  <c r="XV246" i="17" a="1"/>
  <c r="XV246" i="17" s="1"/>
  <c r="YK246" i="17" s="1"/>
  <c r="E246" i="17" s="1"/>
  <c r="XV224" i="17" a="1"/>
  <c r="XV224" i="17" s="1"/>
  <c r="YK224" i="17" s="1"/>
  <c r="E224" i="17" s="1"/>
  <c r="B250" i="17"/>
  <c r="I249" i="8" s="1"/>
  <c r="NT141" i="19" a="1"/>
  <c r="NT141" i="19" s="1"/>
  <c r="OI141" i="19" s="1"/>
  <c r="E141" i="19" s="1"/>
  <c r="M227" i="8"/>
  <c r="XV236" i="17" a="1"/>
  <c r="XV236" i="17" s="1"/>
  <c r="XV248" i="17" a="1"/>
  <c r="XV248" i="17" s="1"/>
  <c r="YK248" i="17" s="1"/>
  <c r="E248" i="17" s="1"/>
  <c r="J247" i="8" s="1"/>
  <c r="NT90" i="19" a="1"/>
  <c r="NT90" i="19" s="1"/>
  <c r="OI90" i="19" s="1"/>
  <c r="E90" i="19" s="1"/>
  <c r="M215" i="8"/>
  <c r="XV242" i="17" a="1"/>
  <c r="XV242" i="17" s="1"/>
  <c r="YK242" i="17" s="1"/>
  <c r="E242" i="17" s="1"/>
  <c r="G216" i="8"/>
  <c r="NT229" i="19" a="1"/>
  <c r="NT229" i="19" s="1"/>
  <c r="NT180" i="19" a="1"/>
  <c r="NT180" i="19" s="1"/>
  <c r="OI180" i="19" s="1"/>
  <c r="E180" i="19" s="1"/>
  <c r="NT221" i="19" a="1"/>
  <c r="NT221" i="19" s="1"/>
  <c r="OI221" i="19" s="1"/>
  <c r="E221" i="19" s="1"/>
  <c r="NT223" i="19" a="1"/>
  <c r="NT223" i="19" s="1"/>
  <c r="OI223" i="19" s="1"/>
  <c r="E223" i="19" s="1"/>
  <c r="NT225" i="19" a="1"/>
  <c r="NT225" i="19" s="1"/>
  <c r="OI225" i="19" s="1"/>
  <c r="E225" i="19" s="1"/>
  <c r="NT217" i="19" a="1"/>
  <c r="NT217" i="19" s="1"/>
  <c r="OI217" i="19" s="1"/>
  <c r="E217" i="19" s="1"/>
  <c r="B234" i="17"/>
  <c r="I233" i="8" s="1"/>
  <c r="B233" i="17"/>
  <c r="I232" i="8" s="1"/>
  <c r="G215" i="8"/>
  <c r="G222" i="8"/>
  <c r="XV235" i="17" a="1"/>
  <c r="XV235" i="17" s="1"/>
  <c r="YK235" i="17" s="1"/>
  <c r="E235" i="17" s="1"/>
  <c r="XV238" i="17" a="1"/>
  <c r="XV238" i="17" s="1"/>
  <c r="YK238" i="17" s="1"/>
  <c r="E238" i="17" s="1"/>
  <c r="J237" i="8" s="1"/>
  <c r="XV213" i="17" a="1"/>
  <c r="XV213" i="17" s="1"/>
  <c r="YK213" i="17" s="1"/>
  <c r="E213" i="17" s="1"/>
  <c r="M228" i="8"/>
  <c r="B217" i="17"/>
  <c r="I227" i="8" s="1"/>
  <c r="M220" i="8"/>
  <c r="XV237" i="17" a="1"/>
  <c r="XV237" i="17" s="1"/>
  <c r="YK237" i="17" s="1"/>
  <c r="E237" i="17" s="1"/>
  <c r="J236" i="8" s="1"/>
  <c r="M218" i="8"/>
  <c r="G218" i="8"/>
  <c r="G217" i="8"/>
  <c r="YK236" i="17"/>
  <c r="E236" i="17" s="1"/>
  <c r="J235" i="8" s="1"/>
  <c r="XV247" i="17" a="1"/>
  <c r="XV247" i="17" s="1"/>
  <c r="YK247" i="17" s="1"/>
  <c r="E247" i="17" s="1"/>
  <c r="M223" i="8"/>
  <c r="G224" i="8"/>
  <c r="XV226" i="17" a="1"/>
  <c r="XV226" i="17" s="1"/>
  <c r="YK226" i="17" s="1"/>
  <c r="E226" i="17" s="1"/>
  <c r="B239" i="17"/>
  <c r="I238" i="8" s="1"/>
  <c r="B238" i="17"/>
  <c r="I237" i="8" s="1"/>
  <c r="XV250" i="17" a="1"/>
  <c r="XV250" i="17" s="1"/>
  <c r="YK250" i="17" s="1"/>
  <c r="E250" i="17" s="1"/>
  <c r="J249" i="8" s="1"/>
  <c r="XV239" i="17" a="1"/>
  <c r="XV239" i="17" s="1"/>
  <c r="YK239" i="17" s="1"/>
  <c r="E239" i="17" s="1"/>
  <c r="J238" i="8" s="1"/>
  <c r="B99" i="17"/>
  <c r="G226" i="8"/>
  <c r="B249" i="17"/>
  <c r="M229" i="8"/>
  <c r="M224" i="8"/>
  <c r="G220" i="8"/>
  <c r="G229" i="8"/>
  <c r="M222" i="8"/>
  <c r="M225" i="8"/>
  <c r="M217" i="8"/>
  <c r="G223" i="8"/>
  <c r="M230" i="8"/>
  <c r="M231" i="8"/>
  <c r="B229" i="17"/>
  <c r="B215" i="17"/>
  <c r="I214" i="8" s="1"/>
  <c r="M226" i="8"/>
  <c r="M221" i="8"/>
  <c r="G219" i="8"/>
  <c r="G225" i="8"/>
  <c r="B7" i="17"/>
  <c r="B232" i="17"/>
  <c r="G221" i="8"/>
  <c r="B227" i="17"/>
  <c r="I220" i="8" s="1"/>
  <c r="M216" i="8"/>
  <c r="M219" i="8"/>
  <c r="G227" i="8"/>
  <c r="G230" i="8"/>
  <c r="G231" i="8"/>
  <c r="XV221" i="17" a="1"/>
  <c r="XV221" i="17" s="1"/>
  <c r="YK221" i="17" s="1"/>
  <c r="E221" i="17" s="1"/>
  <c r="B102" i="17"/>
  <c r="B71" i="17"/>
  <c r="B182" i="17"/>
  <c r="B35" i="17"/>
  <c r="B36" i="17"/>
  <c r="B26" i="17"/>
  <c r="B50" i="17"/>
  <c r="B45" i="17"/>
  <c r="B56" i="17"/>
  <c r="I347" i="8" s="1"/>
  <c r="G204" i="8"/>
  <c r="G195" i="8"/>
  <c r="B34" i="17"/>
  <c r="B100" i="17"/>
  <c r="B115" i="17"/>
  <c r="M203" i="8"/>
  <c r="M197" i="8"/>
  <c r="XV199" i="17" a="1"/>
  <c r="XV199" i="17" s="1"/>
  <c r="YK199" i="17" s="1"/>
  <c r="E199" i="17" s="1"/>
  <c r="XV228" i="17" a="1"/>
  <c r="XV228" i="17" s="1"/>
  <c r="YK228" i="17" s="1"/>
  <c r="E228" i="17" s="1"/>
  <c r="M192" i="8"/>
  <c r="B190" i="17"/>
  <c r="M212" i="8"/>
  <c r="XV230" i="17" a="1"/>
  <c r="XV230" i="17" s="1"/>
  <c r="YK230" i="17" s="1"/>
  <c r="E230" i="17" s="1"/>
  <c r="YK219" i="17"/>
  <c r="E219" i="17" s="1"/>
  <c r="XV215" i="17" a="1"/>
  <c r="XV215" i="17" s="1"/>
  <c r="YK215" i="17" s="1"/>
  <c r="E215" i="17" s="1"/>
  <c r="XV227" i="17" a="1"/>
  <c r="XV227" i="17" s="1"/>
  <c r="YK227" i="17" s="1"/>
  <c r="E227" i="17" s="1"/>
  <c r="B193" i="17"/>
  <c r="I192" i="8" s="1"/>
  <c r="M194" i="8"/>
  <c r="M188" i="8"/>
  <c r="B73" i="17"/>
  <c r="G192" i="8"/>
  <c r="B65" i="17"/>
  <c r="B213" i="17"/>
  <c r="B117" i="17"/>
  <c r="B158" i="17"/>
  <c r="NT232" i="19" a="1"/>
  <c r="NT232" i="19" s="1"/>
  <c r="OI232" i="19" s="1"/>
  <c r="E232" i="19" s="1"/>
  <c r="H233" i="8" s="1"/>
  <c r="NT228" i="19" a="1"/>
  <c r="NT228" i="19" s="1"/>
  <c r="OI228" i="19" s="1"/>
  <c r="E228" i="19" s="1"/>
  <c r="NT226" i="19" a="1"/>
  <c r="NT226" i="19" s="1"/>
  <c r="OI226" i="19" s="1"/>
  <c r="E226" i="19" s="1"/>
  <c r="NT216" i="19" a="1"/>
  <c r="NT216" i="19" s="1"/>
  <c r="OI216" i="19" s="1"/>
  <c r="E216" i="19" s="1"/>
  <c r="G194" i="8"/>
  <c r="NT215" i="19" a="1"/>
  <c r="NT215" i="19" s="1"/>
  <c r="OI215" i="19" s="1"/>
  <c r="E215" i="19" s="1"/>
  <c r="NT80" i="19" a="1"/>
  <c r="NT80" i="19" s="1"/>
  <c r="OI80" i="19" s="1"/>
  <c r="E80" i="19" s="1"/>
  <c r="NT127" i="19" a="1"/>
  <c r="NT127" i="19" s="1"/>
  <c r="OI127" i="19" s="1"/>
  <c r="E127" i="19" s="1"/>
  <c r="NT64" i="19" a="1"/>
  <c r="NT64" i="19" s="1"/>
  <c r="OI64" i="19" s="1"/>
  <c r="E64" i="19" s="1"/>
  <c r="NT13" i="19" a="1"/>
  <c r="NT13" i="19" s="1"/>
  <c r="OI13" i="19" s="1"/>
  <c r="E13" i="19" s="1"/>
  <c r="NT102" i="19" a="1"/>
  <c r="NT102" i="19" s="1"/>
  <c r="OI102" i="19" s="1"/>
  <c r="E102" i="19" s="1"/>
  <c r="NT99" i="19" a="1"/>
  <c r="NT99" i="19" s="1"/>
  <c r="OI99" i="19" s="1"/>
  <c r="E99" i="19" s="1"/>
  <c r="G196" i="8"/>
  <c r="NT35" i="19" a="1"/>
  <c r="NT35" i="19" s="1"/>
  <c r="OI35" i="19" s="1"/>
  <c r="E35" i="19" s="1"/>
  <c r="NT126" i="19" a="1"/>
  <c r="NT126" i="19" s="1"/>
  <c r="OI126" i="19" s="1"/>
  <c r="E126" i="19" s="1"/>
  <c r="NT101" i="19" a="1"/>
  <c r="NT101" i="19" s="1"/>
  <c r="OI101" i="19" s="1"/>
  <c r="E101" i="19" s="1"/>
  <c r="NT72" i="19" a="1"/>
  <c r="NT72" i="19" s="1"/>
  <c r="OI72" i="19" s="1"/>
  <c r="E72" i="19" s="1"/>
  <c r="NT37" i="19" a="1"/>
  <c r="NT37" i="19" s="1"/>
  <c r="OI37" i="19" s="1"/>
  <c r="E37" i="19" s="1"/>
  <c r="G190" i="8"/>
  <c r="G208" i="8"/>
  <c r="NT230" i="19" a="1"/>
  <c r="NT230" i="19" s="1"/>
  <c r="OI230" i="19" s="1"/>
  <c r="E230" i="19" s="1"/>
  <c r="NT62" i="19" a="1"/>
  <c r="NT62" i="19" s="1"/>
  <c r="OI62" i="19" s="1"/>
  <c r="E62" i="19" s="1"/>
  <c r="NT160" i="19" a="1"/>
  <c r="NT160" i="19" s="1"/>
  <c r="OI160" i="19" s="1"/>
  <c r="E160" i="19" s="1"/>
  <c r="NT153" i="19" a="1"/>
  <c r="NT153" i="19" s="1"/>
  <c r="OI153" i="19" s="1"/>
  <c r="E153" i="19" s="1"/>
  <c r="NT156" i="19" a="1"/>
  <c r="NT156" i="19" s="1"/>
  <c r="OI156" i="19" s="1"/>
  <c r="E156" i="19" s="1"/>
  <c r="NT15" i="19" a="1"/>
  <c r="NT15" i="19" s="1"/>
  <c r="OI15" i="19" s="1"/>
  <c r="E15" i="19" s="1"/>
  <c r="NT166" i="19" a="1"/>
  <c r="NT166" i="19" s="1"/>
  <c r="OI166" i="19" s="1"/>
  <c r="E166" i="19" s="1"/>
  <c r="G199" i="8"/>
  <c r="G206" i="8"/>
  <c r="NT123" i="19" a="1"/>
  <c r="NT123" i="19" s="1"/>
  <c r="OI123" i="19" s="1"/>
  <c r="E123" i="19" s="1"/>
  <c r="G203" i="8"/>
  <c r="M189" i="8"/>
  <c r="M206" i="8"/>
  <c r="G213" i="8"/>
  <c r="B220" i="17"/>
  <c r="I213" i="8" s="1"/>
  <c r="B219" i="17"/>
  <c r="YK217" i="17"/>
  <c r="E217" i="17" s="1"/>
  <c r="J227" i="8" s="1"/>
  <c r="XV225" i="17" a="1"/>
  <c r="XV225" i="17" s="1"/>
  <c r="YK225" i="17" s="1"/>
  <c r="E225" i="17" s="1"/>
  <c r="NT150" i="19" a="1"/>
  <c r="NT150" i="19" s="1"/>
  <c r="OI150" i="19" s="1"/>
  <c r="E150" i="19" s="1"/>
  <c r="NT12" i="19" a="1"/>
  <c r="NT12" i="19" s="1"/>
  <c r="OI12" i="19" s="1"/>
  <c r="E12" i="19" s="1"/>
  <c r="M195" i="8"/>
  <c r="M190" i="8"/>
  <c r="I209" i="8"/>
  <c r="M210" i="8"/>
  <c r="G212" i="8"/>
  <c r="NT219" i="19" a="1"/>
  <c r="NT219" i="19" s="1"/>
  <c r="OI219" i="19" s="1"/>
  <c r="E219" i="19" s="1"/>
  <c r="NT61" i="19" a="1"/>
  <c r="NT61" i="19" s="1"/>
  <c r="OI61" i="19" s="1"/>
  <c r="E61" i="19" s="1"/>
  <c r="NT76" i="19" a="1"/>
  <c r="NT76" i="19" s="1"/>
  <c r="OI76" i="19" s="1"/>
  <c r="E76" i="19" s="1"/>
  <c r="B200" i="17"/>
  <c r="XV212" i="17" a="1"/>
  <c r="XV212" i="17" s="1"/>
  <c r="YK212" i="17" s="1"/>
  <c r="E212" i="17" s="1"/>
  <c r="M207" i="8"/>
  <c r="NT208" i="19" a="1"/>
  <c r="NT208" i="19" s="1"/>
  <c r="OI208" i="19" s="1"/>
  <c r="E208" i="19" s="1"/>
  <c r="G211" i="8"/>
  <c r="NT224" i="19" a="1"/>
  <c r="NT224" i="19" s="1"/>
  <c r="OI224" i="19" s="1"/>
  <c r="E224" i="19" s="1"/>
  <c r="OI229" i="19"/>
  <c r="E229" i="19" s="1"/>
  <c r="B225" i="17"/>
  <c r="I224" i="8" s="1"/>
  <c r="G197" i="8"/>
  <c r="G200" i="8"/>
  <c r="G191" i="8"/>
  <c r="M199" i="8"/>
  <c r="B198" i="17"/>
  <c r="I191" i="8" s="1"/>
  <c r="M213" i="8"/>
  <c r="G209" i="8"/>
  <c r="NT231" i="19" a="1"/>
  <c r="NT231" i="19" s="1"/>
  <c r="OI231" i="19" s="1"/>
  <c r="E231" i="19" s="1"/>
  <c r="NT220" i="19" a="1"/>
  <c r="NT220" i="19" s="1"/>
  <c r="OI220" i="19" s="1"/>
  <c r="E220" i="19" s="1"/>
  <c r="NT227" i="19" a="1"/>
  <c r="NT227" i="19" s="1"/>
  <c r="OI227" i="19" s="1"/>
  <c r="E227" i="19" s="1"/>
  <c r="YK220" i="17"/>
  <c r="E220" i="17" s="1"/>
  <c r="XV218" i="17" a="1"/>
  <c r="XV218" i="17" s="1"/>
  <c r="YK218" i="17" s="1"/>
  <c r="E218" i="17" s="1"/>
  <c r="NT59" i="19" a="1"/>
  <c r="NT59" i="19" s="1"/>
  <c r="OI59" i="19" s="1"/>
  <c r="E59" i="19" s="1"/>
  <c r="G193" i="8"/>
  <c r="M200" i="8"/>
  <c r="B189" i="17"/>
  <c r="M211" i="8"/>
  <c r="XV232" i="17" a="1"/>
  <c r="XV232" i="17" s="1"/>
  <c r="YK232" i="17" s="1"/>
  <c r="E232" i="17" s="1"/>
  <c r="XV216" i="17" a="1"/>
  <c r="XV216" i="17" s="1"/>
  <c r="YK216" i="17" s="1"/>
  <c r="E216" i="17" s="1"/>
  <c r="B72" i="17"/>
  <c r="NT86" i="19" a="1"/>
  <c r="NT86" i="19" s="1"/>
  <c r="OI86" i="19" s="1"/>
  <c r="E86" i="19" s="1"/>
  <c r="G202" i="8"/>
  <c r="G189" i="8"/>
  <c r="M201" i="8"/>
  <c r="M198" i="8"/>
  <c r="XV214" i="17" a="1"/>
  <c r="XV214" i="17" s="1"/>
  <c r="YK214" i="17" s="1"/>
  <c r="E214" i="17" s="1"/>
  <c r="M209" i="8"/>
  <c r="G210" i="8"/>
  <c r="YK223" i="17"/>
  <c r="E223" i="17" s="1"/>
  <c r="XV222" i="17" a="1"/>
  <c r="XV222" i="17" s="1"/>
  <c r="YK222" i="17" s="1"/>
  <c r="E222" i="17" s="1"/>
  <c r="XV231" i="17" a="1"/>
  <c r="XV231" i="17" s="1"/>
  <c r="YK231" i="17" s="1"/>
  <c r="E231" i="17" s="1"/>
  <c r="B230" i="17"/>
  <c r="I228" i="8" s="1"/>
  <c r="B181" i="17"/>
  <c r="NT168" i="19" a="1"/>
  <c r="NT168" i="19" s="1"/>
  <c r="OI168" i="19" s="1"/>
  <c r="E168" i="19" s="1"/>
  <c r="NT113" i="19" a="1"/>
  <c r="NT113" i="19" s="1"/>
  <c r="OI113" i="19" s="1"/>
  <c r="E113" i="19" s="1"/>
  <c r="NT22" i="19" a="1"/>
  <c r="NT22" i="19" s="1"/>
  <c r="OI22" i="19" s="1"/>
  <c r="E22" i="19" s="1"/>
  <c r="NT114" i="19" a="1"/>
  <c r="NT114" i="19" s="1"/>
  <c r="OI114" i="19" s="1"/>
  <c r="E114" i="19" s="1"/>
  <c r="NT49" i="19" a="1"/>
  <c r="NT49" i="19" s="1"/>
  <c r="OI49" i="19" s="1"/>
  <c r="E49" i="19" s="1"/>
  <c r="G198" i="8"/>
  <c r="G188" i="8"/>
  <c r="M204" i="8"/>
  <c r="M196" i="8"/>
  <c r="M191" i="8"/>
  <c r="B205" i="17"/>
  <c r="I204" i="8" s="1"/>
  <c r="NT211" i="19" a="1"/>
  <c r="NT211" i="19" s="1"/>
  <c r="OI211" i="19" s="1"/>
  <c r="E211" i="19" s="1"/>
  <c r="B222" i="17"/>
  <c r="I353" i="8" s="1"/>
  <c r="OI222" i="19"/>
  <c r="E222" i="19" s="1"/>
  <c r="XV229" i="17" a="1"/>
  <c r="XV229" i="17" s="1"/>
  <c r="YK229" i="17" s="1"/>
  <c r="E229" i="17" s="1"/>
  <c r="B166" i="17"/>
  <c r="B106" i="17"/>
  <c r="B80" i="17"/>
  <c r="B25" i="17"/>
  <c r="I346" i="8" s="1"/>
  <c r="B94" i="17"/>
  <c r="B31" i="17"/>
  <c r="XV211" i="17" a="1"/>
  <c r="XV211" i="17" s="1"/>
  <c r="YK211" i="17" s="1"/>
  <c r="E211" i="17" s="1"/>
  <c r="B184" i="17"/>
  <c r="B86" i="17"/>
  <c r="B127" i="17"/>
  <c r="NT210" i="19" a="1"/>
  <c r="NT210" i="19" s="1"/>
  <c r="OI210" i="19" s="1"/>
  <c r="E210" i="19" s="1"/>
  <c r="B38" i="17"/>
  <c r="NT186" i="19" a="1"/>
  <c r="NT186" i="19" s="1"/>
  <c r="OI186" i="19" s="1"/>
  <c r="E186" i="19" s="1"/>
  <c r="NT163" i="19" a="1"/>
  <c r="NT163" i="19" s="1"/>
  <c r="OI163" i="19" s="1"/>
  <c r="E163" i="19" s="1"/>
  <c r="B212" i="17"/>
  <c r="B168" i="17"/>
  <c r="NT63" i="19" a="1"/>
  <c r="NT63" i="19" s="1"/>
  <c r="OI63" i="19" s="1"/>
  <c r="E63" i="19" s="1"/>
  <c r="B202" i="17"/>
  <c r="B177" i="17"/>
  <c r="NT89" i="19" a="1"/>
  <c r="NT89" i="19" s="1"/>
  <c r="OI89" i="19" s="1"/>
  <c r="E89" i="19" s="1"/>
  <c r="NT198" i="19" a="1"/>
  <c r="NT198" i="19" s="1"/>
  <c r="OI198" i="19" s="1"/>
  <c r="E198" i="19" s="1"/>
  <c r="NT213" i="19" a="1"/>
  <c r="NT213" i="19" s="1"/>
  <c r="OI213" i="19" s="1"/>
  <c r="E213" i="19" s="1"/>
  <c r="NT214" i="19" a="1"/>
  <c r="NT214" i="19" s="1"/>
  <c r="OI214" i="19" s="1"/>
  <c r="E214" i="19" s="1"/>
  <c r="NT212" i="19" a="1"/>
  <c r="NT212" i="19" s="1"/>
  <c r="OI212" i="19" s="1"/>
  <c r="E212" i="19" s="1"/>
  <c r="B116" i="17"/>
  <c r="B183" i="17"/>
  <c r="B131" i="17"/>
  <c r="YK210" i="17"/>
  <c r="E210" i="17" s="1"/>
  <c r="XV209" i="17" a="1"/>
  <c r="XV209" i="17" s="1"/>
  <c r="YK209" i="17" s="1"/>
  <c r="E209" i="17" s="1"/>
  <c r="XV208" i="17" a="1"/>
  <c r="XV208" i="17" s="1"/>
  <c r="YK208" i="17" s="1"/>
  <c r="E208" i="17" s="1"/>
  <c r="NT140" i="19" a="1"/>
  <c r="NT140" i="19" s="1"/>
  <c r="OI140" i="19" s="1"/>
  <c r="E140" i="19" s="1"/>
  <c r="XV191" i="17" a="1"/>
  <c r="XV191" i="17" s="1"/>
  <c r="YK191" i="17" s="1"/>
  <c r="E191" i="17" s="1"/>
  <c r="B207" i="17"/>
  <c r="NT125" i="19" a="1"/>
  <c r="NT125" i="19" s="1"/>
  <c r="OI125" i="19" s="1"/>
  <c r="E125" i="19" s="1"/>
  <c r="NT111" i="19" a="1"/>
  <c r="NT111" i="19" s="1"/>
  <c r="OI111" i="19" s="1"/>
  <c r="E111" i="19" s="1"/>
  <c r="NT195" i="19" a="1"/>
  <c r="NT195" i="19" s="1"/>
  <c r="OI195" i="19" s="1"/>
  <c r="E195" i="19" s="1"/>
  <c r="NT71" i="19" a="1"/>
  <c r="NT71" i="19" s="1"/>
  <c r="OI71" i="19" s="1"/>
  <c r="E71" i="19" s="1"/>
  <c r="XV189" i="17" a="1"/>
  <c r="XV189" i="17" s="1"/>
  <c r="YK189" i="17" s="1"/>
  <c r="E189" i="17" s="1"/>
  <c r="XV196" i="17" a="1"/>
  <c r="XV196" i="17" s="1"/>
  <c r="YK196" i="17" s="1"/>
  <c r="E196" i="17" s="1"/>
  <c r="G207" i="8"/>
  <c r="G214" i="8"/>
  <c r="NT164" i="19" a="1"/>
  <c r="NT164" i="19" s="1"/>
  <c r="OI164" i="19" s="1"/>
  <c r="E164" i="19" s="1"/>
  <c r="NT55" i="19" a="1"/>
  <c r="NT55" i="19" s="1"/>
  <c r="OI55" i="19" s="1"/>
  <c r="E55" i="19" s="1"/>
  <c r="NT9" i="19" a="1"/>
  <c r="NT9" i="19" s="1"/>
  <c r="OI9" i="19" s="1"/>
  <c r="E9" i="19" s="1"/>
  <c r="I5" i="19" s="1"/>
  <c r="H5" i="19" s="1"/>
  <c r="C5" i="19" s="1"/>
  <c r="B5" i="19" s="1"/>
  <c r="NT96" i="19" a="1"/>
  <c r="NT96" i="19" s="1"/>
  <c r="OI96" i="19" s="1"/>
  <c r="E96" i="19" s="1"/>
  <c r="NT100" i="19" a="1"/>
  <c r="NT100" i="19" s="1"/>
  <c r="OI100" i="19" s="1"/>
  <c r="E100" i="19" s="1"/>
  <c r="NT149" i="19" a="1"/>
  <c r="NT149" i="19" s="1"/>
  <c r="OI149" i="19" s="1"/>
  <c r="E149" i="19" s="1"/>
  <c r="NT167" i="19" a="1"/>
  <c r="NT167" i="19" s="1"/>
  <c r="OI167" i="19" s="1"/>
  <c r="E167" i="19" s="1"/>
  <c r="NT8" i="19" a="1"/>
  <c r="NT8" i="19" s="1"/>
  <c r="OI8" i="19" s="1"/>
  <c r="E8" i="19" s="1"/>
  <c r="NT200" i="19" a="1"/>
  <c r="NT200" i="19" s="1"/>
  <c r="OI200" i="19" s="1"/>
  <c r="E200" i="19" s="1"/>
  <c r="NT207" i="19" a="1"/>
  <c r="NT207" i="19" s="1"/>
  <c r="OI207" i="19" s="1"/>
  <c r="E207" i="19" s="1"/>
  <c r="NT10" i="19" a="1"/>
  <c r="NT10" i="19" s="1"/>
  <c r="OI10" i="19" s="1"/>
  <c r="E10" i="19" s="1"/>
  <c r="NT83" i="19" a="1"/>
  <c r="NT83" i="19" s="1"/>
  <c r="OI83" i="19" s="1"/>
  <c r="E83" i="19" s="1"/>
  <c r="NT73" i="19" a="1"/>
  <c r="NT73" i="19" s="1"/>
  <c r="OI73" i="19" s="1"/>
  <c r="E73" i="19" s="1"/>
  <c r="NT152" i="19" a="1"/>
  <c r="NT152" i="19" s="1"/>
  <c r="OI152" i="19" s="1"/>
  <c r="E152" i="19" s="1"/>
  <c r="NT36" i="19" a="1"/>
  <c r="NT36" i="19" s="1"/>
  <c r="OI36" i="19" s="1"/>
  <c r="E36" i="19" s="1"/>
  <c r="NT147" i="19" a="1"/>
  <c r="NT147" i="19" s="1"/>
  <c r="OI147" i="19" s="1"/>
  <c r="E147" i="19" s="1"/>
  <c r="B15" i="17"/>
  <c r="B69" i="17"/>
  <c r="B79" i="17"/>
  <c r="B139" i="17"/>
  <c r="I350" i="8" s="1"/>
  <c r="B57" i="17"/>
  <c r="B188" i="17"/>
  <c r="B144" i="17"/>
  <c r="B186" i="17"/>
  <c r="B180" i="17"/>
  <c r="B82" i="17"/>
  <c r="B33" i="17"/>
  <c r="I345" i="8" s="1"/>
  <c r="B14" i="17"/>
  <c r="B68" i="17"/>
  <c r="B195" i="17"/>
  <c r="XV207" i="17" a="1"/>
  <c r="XV207" i="17" s="1"/>
  <c r="YK207" i="17" s="1"/>
  <c r="E207" i="17" s="1"/>
  <c r="J352" i="8" s="1"/>
  <c r="B178" i="17"/>
  <c r="B78" i="17"/>
  <c r="B151" i="17"/>
  <c r="B42" i="17"/>
  <c r="B113" i="17"/>
  <c r="B179" i="17"/>
  <c r="B16" i="17"/>
  <c r="B37" i="17"/>
  <c r="B74" i="17"/>
  <c r="B62" i="17"/>
  <c r="NT91" i="19" a="1"/>
  <c r="NT91" i="19" s="1"/>
  <c r="OI91" i="19" s="1"/>
  <c r="E91" i="19" s="1"/>
  <c r="NT44" i="19" a="1"/>
  <c r="NT44" i="19" s="1"/>
  <c r="OI44" i="19" s="1"/>
  <c r="E44" i="19" s="1"/>
  <c r="NT87" i="19" a="1"/>
  <c r="NT87" i="19" s="1"/>
  <c r="OI87" i="19" s="1"/>
  <c r="E87" i="19" s="1"/>
  <c r="NT128" i="19" a="1"/>
  <c r="NT128" i="19" s="1"/>
  <c r="OI128" i="19" s="1"/>
  <c r="E128" i="19" s="1"/>
  <c r="NT110" i="19" a="1"/>
  <c r="NT110" i="19" s="1"/>
  <c r="OI110" i="19" s="1"/>
  <c r="E110" i="19" s="1"/>
  <c r="NT81" i="19" a="1"/>
  <c r="NT81" i="19" s="1"/>
  <c r="OI81" i="19" s="1"/>
  <c r="E81" i="19" s="1"/>
  <c r="NT145" i="19" a="1"/>
  <c r="NT145" i="19" s="1"/>
  <c r="OI145" i="19" s="1"/>
  <c r="E145" i="19" s="1"/>
  <c r="NT85" i="19" a="1"/>
  <c r="NT85" i="19" s="1"/>
  <c r="OI85" i="19" s="1"/>
  <c r="E85" i="19" s="1"/>
  <c r="NT181" i="19" a="1"/>
  <c r="NT181" i="19" s="1"/>
  <c r="OI181" i="19" s="1"/>
  <c r="E181" i="19" s="1"/>
  <c r="NT21" i="19" a="1"/>
  <c r="NT21" i="19" s="1"/>
  <c r="OI21" i="19" s="1"/>
  <c r="E21" i="19" s="1"/>
  <c r="NT26" i="19" a="1"/>
  <c r="NT26" i="19" s="1"/>
  <c r="OI26" i="19" s="1"/>
  <c r="E26" i="19" s="1"/>
  <c r="NT42" i="19" a="1"/>
  <c r="NT42" i="19" s="1"/>
  <c r="OI42" i="19" s="1"/>
  <c r="E42" i="19" s="1"/>
  <c r="NT135" i="19" a="1"/>
  <c r="NT135" i="19" s="1"/>
  <c r="OI135" i="19" s="1"/>
  <c r="E135" i="19" s="1"/>
  <c r="NT201" i="19" a="1"/>
  <c r="NT201" i="19" s="1"/>
  <c r="OI201" i="19" s="1"/>
  <c r="E201" i="19" s="1"/>
  <c r="NT193" i="19" a="1"/>
  <c r="NT193" i="19" s="1"/>
  <c r="OI193" i="19" s="1"/>
  <c r="E193" i="19" s="1"/>
  <c r="NT155" i="19" a="1"/>
  <c r="NT155" i="19" s="1"/>
  <c r="OI155" i="19" s="1"/>
  <c r="E155" i="19" s="1"/>
  <c r="NT54" i="19" a="1"/>
  <c r="NT54" i="19" s="1"/>
  <c r="OI54" i="19" s="1"/>
  <c r="E54" i="19" s="1"/>
  <c r="NT172" i="19" a="1"/>
  <c r="NT172" i="19" s="1"/>
  <c r="OI172" i="19" s="1"/>
  <c r="E172" i="19" s="1"/>
  <c r="NT31" i="19" a="1"/>
  <c r="NT31" i="19" s="1"/>
  <c r="OI31" i="19" s="1"/>
  <c r="E31" i="19" s="1"/>
  <c r="NT182" i="19" a="1"/>
  <c r="NT182" i="19" s="1"/>
  <c r="OI182" i="19" s="1"/>
  <c r="E182" i="19" s="1"/>
  <c r="NT137" i="19" a="1"/>
  <c r="NT137" i="19" s="1"/>
  <c r="OI137" i="19" s="1"/>
  <c r="E137" i="19" s="1"/>
  <c r="NT46" i="19" a="1"/>
  <c r="NT46" i="19" s="1"/>
  <c r="OI46" i="19" s="1"/>
  <c r="E46" i="19" s="1"/>
  <c r="NT189" i="19" a="1"/>
  <c r="NT189" i="19" s="1"/>
  <c r="OI189" i="19" s="1"/>
  <c r="E189" i="19" s="1"/>
  <c r="NT108" i="19" a="1"/>
  <c r="NT108" i="19" s="1"/>
  <c r="OI108" i="19" s="1"/>
  <c r="E108" i="19" s="1"/>
  <c r="NT93" i="19" a="1"/>
  <c r="NT93" i="19" s="1"/>
  <c r="OI93" i="19" s="1"/>
  <c r="E93" i="19" s="1"/>
  <c r="NT118" i="19" a="1"/>
  <c r="NT118" i="19" s="1"/>
  <c r="OI118" i="19" s="1"/>
  <c r="E118" i="19" s="1"/>
  <c r="NT77" i="19" a="1"/>
  <c r="NT77" i="19" s="1"/>
  <c r="OI77" i="19" s="1"/>
  <c r="E77" i="19" s="1"/>
  <c r="NT194" i="19" a="1"/>
  <c r="NT194" i="19" s="1"/>
  <c r="OI194" i="19" s="1"/>
  <c r="E194" i="19" s="1"/>
  <c r="XV206" i="17" a="1"/>
  <c r="XV206" i="17" s="1"/>
  <c r="YK206" i="17" s="1"/>
  <c r="E206" i="17" s="1"/>
  <c r="B203" i="17"/>
  <c r="I200" i="8" s="1"/>
  <c r="XV192" i="17" a="1"/>
  <c r="XV192" i="17" s="1"/>
  <c r="YK192" i="17" s="1"/>
  <c r="E192" i="17" s="1"/>
  <c r="XV197" i="17" a="1"/>
  <c r="XV197" i="17" s="1"/>
  <c r="YK197" i="17" s="1"/>
  <c r="E197" i="17" s="1"/>
  <c r="XV203" i="17" a="1"/>
  <c r="XV203" i="17" s="1"/>
  <c r="YK203" i="17" s="1"/>
  <c r="E203" i="17" s="1"/>
  <c r="B13" i="17"/>
  <c r="YK202" i="17"/>
  <c r="E202" i="17" s="1"/>
  <c r="J351" i="8" s="1"/>
  <c r="XV204" i="17" a="1"/>
  <c r="XV204" i="17" s="1"/>
  <c r="YK204" i="17" s="1"/>
  <c r="E204" i="17" s="1"/>
  <c r="YK201" i="17"/>
  <c r="E201" i="17" s="1"/>
  <c r="XV194" i="17" a="1"/>
  <c r="XV194" i="17" s="1"/>
  <c r="YK194" i="17" s="1"/>
  <c r="E194" i="17" s="1"/>
  <c r="YK198" i="17"/>
  <c r="E198" i="17" s="1"/>
  <c r="XV200" i="17" a="1"/>
  <c r="XV200" i="17" s="1"/>
  <c r="YK200" i="17" s="1"/>
  <c r="E200" i="17" s="1"/>
  <c r="XV190" i="17" a="1"/>
  <c r="XV190" i="17" s="1"/>
  <c r="YK190" i="17" s="1"/>
  <c r="E190" i="17" s="1"/>
  <c r="XV205" i="17" a="1"/>
  <c r="XV205" i="17" s="1"/>
  <c r="YK205" i="17" s="1"/>
  <c r="E205" i="17" s="1"/>
  <c r="XV193" i="17" a="1"/>
  <c r="XV193" i="17" s="1"/>
  <c r="YK193" i="17" s="1"/>
  <c r="E193" i="17" s="1"/>
  <c r="XV195" i="17" a="1"/>
  <c r="XV195" i="17" s="1"/>
  <c r="YK195" i="17" s="1"/>
  <c r="E195" i="17" s="1"/>
  <c r="NT34" i="19" a="1"/>
  <c r="NT34" i="19" s="1"/>
  <c r="OI34" i="19" s="1"/>
  <c r="E34" i="19" s="1"/>
  <c r="NT53" i="19" a="1"/>
  <c r="NT53" i="19" s="1"/>
  <c r="OI53" i="19" s="1"/>
  <c r="E53" i="19" s="1"/>
  <c r="NT117" i="19" a="1"/>
  <c r="NT117" i="19" s="1"/>
  <c r="OI117" i="19" s="1"/>
  <c r="E117" i="19" s="1"/>
  <c r="NT192" i="19" a="1"/>
  <c r="NT192" i="19" s="1"/>
  <c r="OI192" i="19" s="1"/>
  <c r="E192" i="19" s="1"/>
  <c r="NT132" i="19" a="1"/>
  <c r="NT132" i="19" s="1"/>
  <c r="OI132" i="19" s="1"/>
  <c r="E132" i="19" s="1"/>
  <c r="NT176" i="19" a="1"/>
  <c r="NT176" i="19" s="1"/>
  <c r="OI176" i="19" s="1"/>
  <c r="E176" i="19" s="1"/>
  <c r="NT105" i="19" a="1"/>
  <c r="NT105" i="19" s="1"/>
  <c r="OI105" i="19" s="1"/>
  <c r="E105" i="19" s="1"/>
  <c r="H232" i="8" s="1"/>
  <c r="NT14" i="19" a="1"/>
  <c r="NT14" i="19" s="1"/>
  <c r="OI14" i="19" s="1"/>
  <c r="E14" i="19" s="1"/>
  <c r="NT170" i="19" a="1"/>
  <c r="NT170" i="19" s="1"/>
  <c r="OI170" i="19" s="1"/>
  <c r="E170" i="19" s="1"/>
  <c r="NT41" i="19" a="1"/>
  <c r="NT41" i="19" s="1"/>
  <c r="OI41" i="19" s="1"/>
  <c r="E41" i="19" s="1"/>
  <c r="NT51" i="19" a="1"/>
  <c r="NT51" i="19" s="1"/>
  <c r="OI51" i="19" s="1"/>
  <c r="E51" i="19" s="1"/>
  <c r="NT66" i="19" a="1"/>
  <c r="NT66" i="19" s="1"/>
  <c r="OI66" i="19" s="1"/>
  <c r="E66" i="19" s="1"/>
  <c r="NT136" i="19" a="1"/>
  <c r="NT136" i="19" s="1"/>
  <c r="OI136" i="19" s="1"/>
  <c r="E136" i="19" s="1"/>
  <c r="NT179" i="19" a="1"/>
  <c r="NT179" i="19" s="1"/>
  <c r="OI179" i="19" s="1"/>
  <c r="E179" i="19" s="1"/>
  <c r="NT204" i="19" a="1"/>
  <c r="NT204" i="19" s="1"/>
  <c r="OI204" i="19" s="1"/>
  <c r="E204" i="19" s="1"/>
  <c r="NT154" i="19" a="1"/>
  <c r="NT154" i="19" s="1"/>
  <c r="OI154" i="19" s="1"/>
  <c r="E154" i="19" s="1"/>
  <c r="NT78" i="19" a="1"/>
  <c r="NT78" i="19" s="1"/>
  <c r="OI78" i="19" s="1"/>
  <c r="E78" i="19" s="1"/>
  <c r="NT115" i="19" a="1"/>
  <c r="NT115" i="19" s="1"/>
  <c r="OI115" i="19" s="1"/>
  <c r="E115" i="19" s="1"/>
  <c r="NT199" i="19" a="1"/>
  <c r="NT199" i="19" s="1"/>
  <c r="OI199" i="19" s="1"/>
  <c r="E199" i="19" s="1"/>
  <c r="NT177" i="19" a="1"/>
  <c r="NT177" i="19" s="1"/>
  <c r="OI177" i="19" s="1"/>
  <c r="E177" i="19" s="1"/>
  <c r="NT39" i="19" a="1"/>
  <c r="NT39" i="19" s="1"/>
  <c r="OI39" i="19" s="1"/>
  <c r="E39" i="19" s="1"/>
  <c r="NT142" i="19" a="1"/>
  <c r="NT142" i="19" s="1"/>
  <c r="OI142" i="19" s="1"/>
  <c r="E142" i="19" s="1"/>
  <c r="NT60" i="19" a="1"/>
  <c r="NT60" i="19" s="1"/>
  <c r="OI60" i="19" s="1"/>
  <c r="E60" i="19" s="1"/>
  <c r="NT6" i="19" a="1"/>
  <c r="NT6" i="19" s="1"/>
  <c r="OI6" i="19" s="1"/>
  <c r="E6" i="19" s="1"/>
  <c r="NT33" i="19" a="1"/>
  <c r="NT33" i="19" s="1"/>
  <c r="OI33" i="19" s="1"/>
  <c r="E33" i="19" s="1"/>
  <c r="NT24" i="19" a="1"/>
  <c r="NT24" i="19" s="1"/>
  <c r="OI24" i="19" s="1"/>
  <c r="E24" i="19" s="1"/>
  <c r="NT104" i="19" a="1"/>
  <c r="NT104" i="19" s="1"/>
  <c r="OI104" i="19" s="1"/>
  <c r="E104" i="19" s="1"/>
  <c r="NT171" i="19" a="1"/>
  <c r="NT171" i="19" s="1"/>
  <c r="OI171" i="19" s="1"/>
  <c r="E171" i="19" s="1"/>
  <c r="NT130" i="19" a="1"/>
  <c r="NT130" i="19" s="1"/>
  <c r="OI130" i="19" s="1"/>
  <c r="E130" i="19" s="1"/>
  <c r="NT188" i="19" a="1"/>
  <c r="NT188" i="19" s="1"/>
  <c r="OI188" i="19" s="1"/>
  <c r="E188" i="19" s="1"/>
  <c r="NT47" i="19" a="1"/>
  <c r="NT47" i="19" s="1"/>
  <c r="OI47" i="19" s="1"/>
  <c r="E47" i="19" s="1"/>
  <c r="NT107" i="19" a="1"/>
  <c r="NT107" i="19" s="1"/>
  <c r="OI107" i="19" s="1"/>
  <c r="E107" i="19" s="1"/>
  <c r="NT95" i="19" a="1"/>
  <c r="NT95" i="19" s="1"/>
  <c r="OI95" i="19" s="1"/>
  <c r="E95" i="19" s="1"/>
  <c r="NT43" i="19" a="1"/>
  <c r="NT43" i="19" s="1"/>
  <c r="OI43" i="19" s="1"/>
  <c r="E43" i="19" s="1"/>
  <c r="NT159" i="19" a="1"/>
  <c r="NT159" i="19" s="1"/>
  <c r="OI159" i="19" s="1"/>
  <c r="E159" i="19" s="1"/>
  <c r="NT45" i="19" a="1"/>
  <c r="NT45" i="19" s="1"/>
  <c r="OI45" i="19" s="1"/>
  <c r="E45" i="19" s="1"/>
  <c r="NT50" i="19" a="1"/>
  <c r="NT50" i="19" s="1"/>
  <c r="OI50" i="19" s="1"/>
  <c r="E50" i="19" s="1"/>
  <c r="NT106" i="19" a="1"/>
  <c r="NT106" i="19" s="1"/>
  <c r="OI106" i="19" s="1"/>
  <c r="E106" i="19" s="1"/>
  <c r="NT70" i="19" a="1"/>
  <c r="NT70" i="19" s="1"/>
  <c r="OI70" i="19" s="1"/>
  <c r="E70" i="19" s="1"/>
  <c r="NT109" i="19" a="1"/>
  <c r="NT109" i="19" s="1"/>
  <c r="OI109" i="19" s="1"/>
  <c r="E109" i="19" s="1"/>
  <c r="NT112" i="19" a="1"/>
  <c r="NT112" i="19" s="1"/>
  <c r="OI112" i="19" s="1"/>
  <c r="E112" i="19" s="1"/>
  <c r="NT161" i="19" a="1"/>
  <c r="NT161" i="19" s="1"/>
  <c r="OI161" i="19" s="1"/>
  <c r="E161" i="19" s="1"/>
  <c r="NT97" i="19" a="1"/>
  <c r="NT97" i="19" s="1"/>
  <c r="OI97" i="19" s="1"/>
  <c r="E97" i="19" s="1"/>
  <c r="NT7" i="19" a="1"/>
  <c r="NT7" i="19" s="1"/>
  <c r="OI7" i="19" s="1"/>
  <c r="E7" i="19" s="1"/>
  <c r="NT133" i="19" a="1"/>
  <c r="NT133" i="19" s="1"/>
  <c r="OI133" i="19" s="1"/>
  <c r="E133" i="19" s="1"/>
  <c r="NT56" i="19" a="1"/>
  <c r="NT56" i="19" s="1"/>
  <c r="OI56" i="19" s="1"/>
  <c r="E56" i="19" s="1"/>
  <c r="NT67" i="19" a="1"/>
  <c r="NT67" i="19" s="1"/>
  <c r="OI67" i="19" s="1"/>
  <c r="E67" i="19" s="1"/>
  <c r="NT197" i="19" a="1"/>
  <c r="NT197" i="19" s="1"/>
  <c r="OI197" i="19" s="1"/>
  <c r="E197" i="19" s="1"/>
  <c r="NT205" i="19" a="1"/>
  <c r="NT205" i="19" s="1"/>
  <c r="OI205" i="19" s="1"/>
  <c r="E205" i="19" s="1"/>
  <c r="NT202" i="19" a="1"/>
  <c r="NT202" i="19" s="1"/>
  <c r="OI202" i="19" s="1"/>
  <c r="E202" i="19" s="1"/>
  <c r="H201" i="8" s="1"/>
  <c r="NT203" i="19" a="1"/>
  <c r="NT203" i="19" s="1"/>
  <c r="OI203" i="19" s="1"/>
  <c r="E203" i="19" s="1"/>
  <c r="NT185" i="19" a="1"/>
  <c r="NT185" i="19" s="1"/>
  <c r="OI185" i="19" s="1"/>
  <c r="E185" i="19" s="1"/>
  <c r="NT173" i="19" a="1"/>
  <c r="NT173" i="19" s="1"/>
  <c r="OI173" i="19" s="1"/>
  <c r="E173" i="19" s="1"/>
  <c r="NT121" i="19" a="1"/>
  <c r="NT121" i="19" s="1"/>
  <c r="OI121" i="19" s="1"/>
  <c r="E121" i="19" s="1"/>
  <c r="NT30" i="19" a="1"/>
  <c r="NT30" i="19" s="1"/>
  <c r="OI30" i="19" s="1"/>
  <c r="E30" i="19" s="1"/>
  <c r="NT32" i="19" a="1"/>
  <c r="NT32" i="19" s="1"/>
  <c r="OI32" i="19" s="1"/>
  <c r="E32" i="19" s="1"/>
  <c r="NT57" i="19" a="1"/>
  <c r="NT57" i="19" s="1"/>
  <c r="OI57" i="19" s="1"/>
  <c r="E57" i="19" s="1"/>
  <c r="NT94" i="19" a="1"/>
  <c r="NT94" i="19" s="1"/>
  <c r="OI94" i="19" s="1"/>
  <c r="E94" i="19" s="1"/>
  <c r="NT98" i="19" a="1"/>
  <c r="NT98" i="19" s="1"/>
  <c r="OI98" i="19" s="1"/>
  <c r="E98" i="19" s="1"/>
  <c r="NT143" i="19" a="1"/>
  <c r="NT143" i="19" s="1"/>
  <c r="OI143" i="19" s="1"/>
  <c r="E143" i="19" s="1"/>
  <c r="NT196" i="19" a="1"/>
  <c r="NT196" i="19" s="1"/>
  <c r="OI196" i="19" s="1"/>
  <c r="E196" i="19" s="1"/>
  <c r="NT158" i="19" a="1"/>
  <c r="NT158" i="19" s="1"/>
  <c r="OI158" i="19" s="1"/>
  <c r="E158" i="19" s="1"/>
  <c r="NT146" i="19" a="1"/>
  <c r="NT146" i="19" s="1"/>
  <c r="OI146" i="19" s="1"/>
  <c r="E146" i="19" s="1"/>
  <c r="NT131" i="19" a="1"/>
  <c r="NT131" i="19" s="1"/>
  <c r="OI131" i="19" s="1"/>
  <c r="E131" i="19" s="1"/>
  <c r="NT103" i="19" a="1"/>
  <c r="NT103" i="19" s="1"/>
  <c r="OI103" i="19" s="1"/>
  <c r="E103" i="19" s="1"/>
  <c r="NT190" i="19" a="1"/>
  <c r="NT190" i="19" s="1"/>
  <c r="OI190" i="19" s="1"/>
  <c r="E190" i="19" s="1"/>
  <c r="NT69" i="19" a="1"/>
  <c r="NT69" i="19" s="1"/>
  <c r="OI69" i="19" s="1"/>
  <c r="E69" i="19" s="1"/>
  <c r="NT84" i="19" a="1"/>
  <c r="NT84" i="19" s="1"/>
  <c r="OI84" i="19" s="1"/>
  <c r="E84" i="19" s="1"/>
  <c r="NT148" i="19" a="1"/>
  <c r="NT148" i="19" s="1"/>
  <c r="OI148" i="19" s="1"/>
  <c r="E148" i="19" s="1"/>
  <c r="NT120" i="19" a="1"/>
  <c r="NT120" i="19" s="1"/>
  <c r="OI120" i="19" s="1"/>
  <c r="E120" i="19" s="1"/>
  <c r="NT206" i="19" a="1"/>
  <c r="NT206" i="19" s="1"/>
  <c r="OI206" i="19" s="1"/>
  <c r="E206" i="19" s="1"/>
  <c r="H205" i="8" s="1"/>
  <c r="NT191" i="19" a="1"/>
  <c r="NT191" i="19" s="1"/>
  <c r="OI191" i="19" s="1"/>
  <c r="E191" i="19" s="1"/>
  <c r="NT138" i="19" a="1"/>
  <c r="NT138" i="19" s="1"/>
  <c r="OI138" i="19" s="1"/>
  <c r="E138" i="19" s="1"/>
  <c r="NT82" i="19" a="1"/>
  <c r="NT82" i="19" s="1"/>
  <c r="OI82" i="19" s="1"/>
  <c r="E82" i="19" s="1"/>
  <c r="NT144" i="19" a="1"/>
  <c r="NT144" i="19" s="1"/>
  <c r="OI144" i="19" s="1"/>
  <c r="E144" i="19" s="1"/>
  <c r="NT169" i="19" a="1"/>
  <c r="NT169" i="19" s="1"/>
  <c r="OI169" i="19" s="1"/>
  <c r="E169" i="19" s="1"/>
  <c r="NT184" i="19" a="1"/>
  <c r="NT184" i="19" s="1"/>
  <c r="OI184" i="19" s="1"/>
  <c r="E184" i="19" s="1"/>
  <c r="NT17" i="19" a="1"/>
  <c r="NT17" i="19" s="1"/>
  <c r="OI17" i="19" s="1"/>
  <c r="E17" i="19" s="1"/>
  <c r="NT40" i="19" a="1"/>
  <c r="NT40" i="19" s="1"/>
  <c r="OI40" i="19" s="1"/>
  <c r="E40" i="19" s="1"/>
  <c r="YH159" i="17" a="1"/>
  <c r="YH159" i="17" s="1"/>
  <c r="YI159" i="17" s="1" a="1"/>
  <c r="YI159" i="17" s="1"/>
  <c r="YH54" i="17" a="1"/>
  <c r="YH54" i="17" s="1"/>
  <c r="YI54" i="17" s="1" a="1"/>
  <c r="YI54" i="17" s="1"/>
  <c r="YH131" i="17" a="1"/>
  <c r="YH131" i="17" s="1"/>
  <c r="YI131" i="17" s="1" a="1"/>
  <c r="YI131" i="17" s="1"/>
  <c r="YH22" i="17" a="1"/>
  <c r="YH22" i="17" s="1"/>
  <c r="YI22" i="17" s="1" a="1"/>
  <c r="YI22" i="17" s="1"/>
  <c r="YH130" i="17" a="1"/>
  <c r="YH130" i="17" s="1"/>
  <c r="YI130" i="17" s="1" a="1"/>
  <c r="YI130" i="17" s="1"/>
  <c r="YH70" i="17" a="1"/>
  <c r="YH70" i="17" s="1"/>
  <c r="YI70" i="17" s="1" a="1"/>
  <c r="YI70" i="17" s="1"/>
  <c r="YH7" i="17" a="1"/>
  <c r="YH7" i="17" s="1"/>
  <c r="YI7" i="17" s="1" a="1"/>
  <c r="YI7" i="17" s="1"/>
  <c r="YH50" i="17" a="1"/>
  <c r="YH50" i="17" s="1"/>
  <c r="YI50" i="17" s="1" a="1"/>
  <c r="YI50" i="17" s="1"/>
  <c r="YH72" i="17" a="1"/>
  <c r="YH72" i="17" s="1"/>
  <c r="YI72" i="17" s="1" a="1"/>
  <c r="YI72" i="17" s="1"/>
  <c r="YH124" i="17" a="1"/>
  <c r="YH124" i="17" s="1"/>
  <c r="YI124" i="17" s="1" a="1"/>
  <c r="YI124" i="17" s="1"/>
  <c r="YH161" i="17" a="1"/>
  <c r="YH161" i="17" s="1"/>
  <c r="YI161" i="17" s="1" a="1"/>
  <c r="YI161" i="17" s="1"/>
  <c r="YH30" i="17" a="1"/>
  <c r="YH30" i="17" s="1"/>
  <c r="YI30" i="17" s="1" a="1"/>
  <c r="YI30" i="17" s="1"/>
  <c r="YH55" i="17" a="1"/>
  <c r="YH55" i="17" s="1"/>
  <c r="YI55" i="17" s="1" a="1"/>
  <c r="YI55" i="17" s="1"/>
  <c r="YH98" i="17" a="1"/>
  <c r="YH98" i="17" s="1"/>
  <c r="YI98" i="17" s="1" a="1"/>
  <c r="YI98" i="17" s="1"/>
  <c r="YH78" i="17" a="1"/>
  <c r="YH78" i="17" s="1"/>
  <c r="YI78" i="17" s="1" a="1"/>
  <c r="YI78" i="17" s="1"/>
  <c r="YH111" i="17" a="1"/>
  <c r="YH111" i="17" s="1"/>
  <c r="YI111" i="17" s="1" a="1"/>
  <c r="YI111" i="17" s="1"/>
  <c r="YH154" i="17" a="1"/>
  <c r="YH154" i="17" s="1"/>
  <c r="YI154" i="17" s="1" a="1"/>
  <c r="YI154" i="17" s="1"/>
  <c r="YH56" i="17" a="1"/>
  <c r="YH56" i="17" s="1"/>
  <c r="YI56" i="17" s="1" a="1"/>
  <c r="YI56" i="17" s="1"/>
  <c r="YH103" i="17" a="1"/>
  <c r="YH103" i="17" s="1"/>
  <c r="YI103" i="17" s="1" a="1"/>
  <c r="YI103" i="17" s="1"/>
  <c r="YH146" i="17" a="1"/>
  <c r="YH146" i="17" s="1"/>
  <c r="YI146" i="17" s="1" a="1"/>
  <c r="YI146" i="17" s="1"/>
  <c r="YH138" i="17" a="1"/>
  <c r="YH138" i="17" s="1"/>
  <c r="YI138" i="17" s="1" a="1"/>
  <c r="YI138" i="17" s="1"/>
  <c r="YH62" i="17" a="1"/>
  <c r="YH62" i="17" s="1"/>
  <c r="YI62" i="17" s="1" a="1"/>
  <c r="YI62" i="17" s="1"/>
  <c r="YH67" i="17" a="1"/>
  <c r="YH67" i="17" s="1"/>
  <c r="YI67" i="17" s="1" a="1"/>
  <c r="YI67" i="17" s="1"/>
  <c r="YH31" i="17" a="1"/>
  <c r="YH31" i="17" s="1"/>
  <c r="YI31" i="17" s="1" a="1"/>
  <c r="YI31" i="17" s="1"/>
  <c r="YH136" i="17" a="1"/>
  <c r="YH136" i="17" s="1"/>
  <c r="YI136" i="17" s="1" a="1"/>
  <c r="YI136" i="17" s="1"/>
  <c r="YH132" i="17" a="1"/>
  <c r="YH132" i="17" s="1"/>
  <c r="YI132" i="17" s="1" a="1"/>
  <c r="YI132" i="17" s="1"/>
  <c r="YH169" i="17" a="1"/>
  <c r="YH169" i="17" s="1"/>
  <c r="YI169" i="17" s="1" a="1"/>
  <c r="YI169" i="17" s="1"/>
  <c r="YH24" i="17" a="1"/>
  <c r="YH24" i="17" s="1"/>
  <c r="YI24" i="17" s="1" a="1"/>
  <c r="YI24" i="17" s="1"/>
  <c r="YH60" i="17" a="1"/>
  <c r="YH60" i="17" s="1"/>
  <c r="YI60" i="17" s="1" a="1"/>
  <c r="YI60" i="17" s="1"/>
  <c r="YH97" i="17" a="1"/>
  <c r="YH97" i="17" s="1"/>
  <c r="YI97" i="17" s="1" a="1"/>
  <c r="YI97" i="17" s="1"/>
  <c r="YH14" i="17" a="1"/>
  <c r="YH14" i="17" s="1"/>
  <c r="YI14" i="17" s="1" a="1"/>
  <c r="YI14" i="17" s="1"/>
  <c r="YH29" i="17" a="1"/>
  <c r="YH29" i="17" s="1"/>
  <c r="YI29" i="17" s="1" a="1"/>
  <c r="YI29" i="17" s="1"/>
  <c r="YH34" i="17" a="1"/>
  <c r="YH34" i="17" s="1"/>
  <c r="YI34" i="17" s="1" a="1"/>
  <c r="YI34" i="17" s="1"/>
  <c r="YH176" i="17" a="1"/>
  <c r="YH176" i="17" s="1"/>
  <c r="YI176" i="17" s="1" a="1"/>
  <c r="YI176" i="17" s="1"/>
  <c r="YH47" i="17" a="1"/>
  <c r="YH47" i="17" s="1"/>
  <c r="YI47" i="17" s="1" a="1"/>
  <c r="YI47" i="17" s="1"/>
  <c r="YH90" i="17" a="1"/>
  <c r="YH90" i="17" s="1"/>
  <c r="YI90" i="17" s="1" a="1"/>
  <c r="YI90" i="17" s="1"/>
  <c r="YH157" i="17" a="1"/>
  <c r="YH157" i="17" s="1"/>
  <c r="YI157" i="17" s="1" a="1"/>
  <c r="YI157" i="17" s="1"/>
  <c r="YH39" i="17" a="1"/>
  <c r="YH39" i="17" s="1"/>
  <c r="YI39" i="17" s="1" a="1"/>
  <c r="YI39" i="17" s="1"/>
  <c r="YH82" i="17" a="1"/>
  <c r="YH82" i="17" s="1"/>
  <c r="YI82" i="17" s="1" a="1"/>
  <c r="YI82" i="17" s="1"/>
  <c r="YH141" i="17" a="1"/>
  <c r="YH141" i="17" s="1"/>
  <c r="YI141" i="17" s="1" a="1"/>
  <c r="YI141" i="17" s="1"/>
  <c r="YH165" i="17" a="1"/>
  <c r="YH165" i="17" s="1"/>
  <c r="YI165" i="17" s="1" a="1"/>
  <c r="YI165" i="17" s="1"/>
  <c r="YH143" i="17" a="1"/>
  <c r="YH143" i="17" s="1"/>
  <c r="YI143" i="17" s="1" a="1"/>
  <c r="YI143" i="17" s="1"/>
  <c r="YH83" i="17" a="1"/>
  <c r="YH83" i="17" s="1"/>
  <c r="YI83" i="17" s="1" a="1"/>
  <c r="YI83" i="17" s="1"/>
  <c r="YH46" i="17" a="1"/>
  <c r="YH46" i="17" s="1"/>
  <c r="YI46" i="17" s="1" a="1"/>
  <c r="YI46" i="17" s="1"/>
  <c r="YH68" i="17" a="1"/>
  <c r="YH68" i="17" s="1"/>
  <c r="YI68" i="17" s="1" a="1"/>
  <c r="YI68" i="17" s="1"/>
  <c r="YH105" i="17" a="1"/>
  <c r="YH105" i="17" s="1"/>
  <c r="YI105" i="17" s="1" a="1"/>
  <c r="YI105" i="17" s="1"/>
  <c r="YH88" i="17" a="1"/>
  <c r="YH88" i="17" s="1"/>
  <c r="YI88" i="17" s="1" a="1"/>
  <c r="YI88" i="17" s="1"/>
  <c r="YH109" i="17" a="1"/>
  <c r="YH109" i="17" s="1"/>
  <c r="YI109" i="17" s="1" a="1"/>
  <c r="YI109" i="17" s="1"/>
  <c r="YH33" i="17" a="1"/>
  <c r="YH33" i="17" s="1"/>
  <c r="YI33" i="17" s="1" a="1"/>
  <c r="YI33" i="17" s="1"/>
  <c r="YH134" i="17" a="1"/>
  <c r="YH134" i="17" s="1"/>
  <c r="YI134" i="17" s="1" a="1"/>
  <c r="YI134" i="17" s="1"/>
  <c r="YH151" i="17" a="1"/>
  <c r="YH151" i="17" s="1"/>
  <c r="YI151" i="17" s="1" a="1"/>
  <c r="YI151" i="17" s="1"/>
  <c r="YH174" i="17" a="1"/>
  <c r="YH174" i="17" s="1"/>
  <c r="YI174" i="17" s="1" a="1"/>
  <c r="YI174" i="17" s="1"/>
  <c r="YH116" i="17" a="1"/>
  <c r="YH116" i="17" s="1"/>
  <c r="YI116" i="17" s="1" a="1"/>
  <c r="YI116" i="17" s="1"/>
  <c r="YH153" i="17" a="1"/>
  <c r="YH153" i="17" s="1"/>
  <c r="YI153" i="17" s="1" a="1"/>
  <c r="YI153" i="17" s="1"/>
  <c r="YH6" i="17" a="1"/>
  <c r="YH6" i="17" s="1"/>
  <c r="YI6" i="17" s="1" a="1"/>
  <c r="YI6" i="17" s="1"/>
  <c r="YH172" i="17" a="1"/>
  <c r="YH172" i="17" s="1"/>
  <c r="YI172" i="17" s="1" a="1"/>
  <c r="YI172" i="17" s="1"/>
  <c r="YH26" i="17" a="1"/>
  <c r="YH26" i="17" s="1"/>
  <c r="YI26" i="17" s="1" a="1"/>
  <c r="YI26" i="17" s="1"/>
  <c r="YH164" i="17" a="1"/>
  <c r="YH164" i="17" s="1"/>
  <c r="YI164" i="17" s="1" a="1"/>
  <c r="YI164" i="17" s="1"/>
  <c r="YH18" i="17" a="1"/>
  <c r="YH18" i="17" s="1"/>
  <c r="YI18" i="17" s="1" a="1"/>
  <c r="YI18" i="17" s="1"/>
  <c r="YH110" i="17" a="1"/>
  <c r="YH110" i="17" s="1"/>
  <c r="YI110" i="17" s="1" a="1"/>
  <c r="YI110" i="17" s="1"/>
  <c r="YH20" i="17" a="1"/>
  <c r="YH20" i="17" s="1"/>
  <c r="YI20" i="17" s="1" a="1"/>
  <c r="YI20" i="17" s="1"/>
  <c r="YH118" i="17" a="1"/>
  <c r="YH118" i="17" s="1"/>
  <c r="YI118" i="17" s="1" a="1"/>
  <c r="YI118" i="17" s="1"/>
  <c r="YH79" i="17" a="1"/>
  <c r="YH79" i="17" s="1"/>
  <c r="YI79" i="17" s="1" a="1"/>
  <c r="YI79" i="17" s="1"/>
  <c r="YH122" i="17" a="1"/>
  <c r="YH122" i="17" s="1"/>
  <c r="YI122" i="17" s="1" a="1"/>
  <c r="YI122" i="17" s="1"/>
  <c r="YH128" i="17" a="1"/>
  <c r="YH128" i="17" s="1"/>
  <c r="YI128" i="17" s="1" a="1"/>
  <c r="YI128" i="17" s="1"/>
  <c r="YH41" i="17" a="1"/>
  <c r="YH41" i="17" s="1"/>
  <c r="YI41" i="17" s="1" a="1"/>
  <c r="YI41" i="17" s="1"/>
  <c r="YH8" i="17" a="1"/>
  <c r="YH8" i="17" s="1"/>
  <c r="YI8" i="17" s="1" a="1"/>
  <c r="YI8" i="17" s="1"/>
  <c r="YH23" i="17" a="1"/>
  <c r="YH23" i="17" s="1"/>
  <c r="YI23" i="17" s="1" a="1"/>
  <c r="YI23" i="17" s="1"/>
  <c r="YH53" i="17" a="1"/>
  <c r="YH53" i="17" s="1"/>
  <c r="YI53" i="17" s="1" a="1"/>
  <c r="YI53" i="17" s="1"/>
  <c r="YH115" i="17" a="1"/>
  <c r="YH115" i="17" s="1"/>
  <c r="YI115" i="17" s="1" a="1"/>
  <c r="YI115" i="17" s="1"/>
  <c r="YH95" i="17" a="1"/>
  <c r="YH95" i="17" s="1"/>
  <c r="YI95" i="17" s="1" a="1"/>
  <c r="YI95" i="17" s="1"/>
  <c r="YH75" i="17" a="1"/>
  <c r="YH75" i="17" s="1"/>
  <c r="YI75" i="17" s="1" a="1"/>
  <c r="YI75" i="17" s="1"/>
  <c r="YH160" i="17" a="1"/>
  <c r="YH160" i="17" s="1"/>
  <c r="YI160" i="17" s="1" a="1"/>
  <c r="YI160" i="17" s="1"/>
  <c r="YH52" i="17" a="1"/>
  <c r="YH52" i="17" s="1"/>
  <c r="YI52" i="17" s="1" a="1"/>
  <c r="YI52" i="17" s="1"/>
  <c r="YH89" i="17" a="1"/>
  <c r="YH89" i="17" s="1"/>
  <c r="YI89" i="17" s="1" a="1"/>
  <c r="YI89" i="17" s="1"/>
  <c r="YH112" i="17" a="1"/>
  <c r="YH112" i="17" s="1"/>
  <c r="YI112" i="17" s="1" a="1"/>
  <c r="YI112" i="17" s="1"/>
  <c r="YH152" i="17" a="1"/>
  <c r="YH152" i="17" s="1"/>
  <c r="YI152" i="17" s="1" a="1"/>
  <c r="YI152" i="17" s="1"/>
  <c r="YH108" i="17" a="1"/>
  <c r="YH108" i="17" s="1"/>
  <c r="YI108" i="17" s="1" a="1"/>
  <c r="YI108" i="17" s="1"/>
  <c r="YH145" i="17" a="1"/>
  <c r="YH145" i="17" s="1"/>
  <c r="YI145" i="17" s="1" a="1"/>
  <c r="YI145" i="17" s="1"/>
  <c r="YH13" i="17" a="1"/>
  <c r="YH13" i="17" s="1"/>
  <c r="YI13" i="17" s="1" a="1"/>
  <c r="YI13" i="17" s="1"/>
  <c r="YH133" i="17" a="1"/>
  <c r="YH133" i="17" s="1"/>
  <c r="YI133" i="17" s="1" a="1"/>
  <c r="YI133" i="17" s="1"/>
  <c r="YH100" i="17" a="1"/>
  <c r="YH100" i="17" s="1"/>
  <c r="YI100" i="17" s="1" a="1"/>
  <c r="YI100" i="17" s="1"/>
  <c r="YH137" i="17" a="1"/>
  <c r="YH137" i="17" s="1"/>
  <c r="YI137" i="17" s="1" a="1"/>
  <c r="YI137" i="17" s="1"/>
  <c r="YH85" i="17" a="1"/>
  <c r="YH85" i="17" s="1"/>
  <c r="YI85" i="17" s="1" a="1"/>
  <c r="YI85" i="17" s="1"/>
  <c r="YH147" i="17" a="1"/>
  <c r="YH147" i="17" s="1"/>
  <c r="YI147" i="17" s="1" a="1"/>
  <c r="YI147" i="17" s="1"/>
  <c r="YH121" i="17" a="1"/>
  <c r="YH121" i="17" s="1"/>
  <c r="YI121" i="17" s="1" a="1"/>
  <c r="YI121" i="17" s="1"/>
  <c r="YH93" i="17" a="1"/>
  <c r="YH93" i="17" s="1"/>
  <c r="YI93" i="17" s="1" a="1"/>
  <c r="YI93" i="17" s="1"/>
  <c r="YH15" i="17" a="1"/>
  <c r="YH15" i="17" s="1"/>
  <c r="YI15" i="17" s="1" a="1"/>
  <c r="YI15" i="17" s="1"/>
  <c r="YH58" i="17" a="1"/>
  <c r="YH58" i="17" s="1"/>
  <c r="YI58" i="17" s="1" a="1"/>
  <c r="YI58" i="17" s="1"/>
  <c r="YH144" i="17" a="1"/>
  <c r="YH144" i="17" s="1"/>
  <c r="YI144" i="17" s="1" a="1"/>
  <c r="YI144" i="17" s="1"/>
  <c r="YH158" i="17" a="1"/>
  <c r="YH158" i="17" s="1"/>
  <c r="YI158" i="17" s="1" a="1"/>
  <c r="YI158" i="17" s="1"/>
  <c r="YH123" i="17" a="1"/>
  <c r="YH123" i="17" s="1"/>
  <c r="YI123" i="17" s="1" a="1"/>
  <c r="YI123" i="17" s="1"/>
  <c r="YH92" i="17" a="1"/>
  <c r="YH92" i="17" s="1"/>
  <c r="YI92" i="17" s="1" a="1"/>
  <c r="YI92" i="17" s="1"/>
  <c r="YH21" i="17" a="1"/>
  <c r="YH21" i="17" s="1"/>
  <c r="YI21" i="17" s="1" a="1"/>
  <c r="YI21" i="17" s="1"/>
  <c r="YH51" i="17" a="1"/>
  <c r="YH51" i="17" s="1"/>
  <c r="YI51" i="17" s="1" a="1"/>
  <c r="YI51" i="17" s="1"/>
  <c r="YH19" i="17" a="1"/>
  <c r="YH19" i="17" s="1"/>
  <c r="YI19" i="17" s="1" a="1"/>
  <c r="YI19" i="17" s="1"/>
  <c r="YH102" i="17" a="1"/>
  <c r="YH102" i="17" s="1"/>
  <c r="YI102" i="17" s="1" a="1"/>
  <c r="YI102" i="17" s="1"/>
  <c r="YH86" i="17" a="1"/>
  <c r="YH86" i="17" s="1"/>
  <c r="YI86" i="17" s="1" a="1"/>
  <c r="YI86" i="17" s="1"/>
  <c r="YH171" i="17" a="1"/>
  <c r="YH171" i="17" s="1"/>
  <c r="YI171" i="17" s="1" a="1"/>
  <c r="YI171" i="17" s="1"/>
  <c r="YH25" i="17" a="1"/>
  <c r="YH25" i="17" s="1"/>
  <c r="YI25" i="17" s="1" a="1"/>
  <c r="YI25" i="17" s="1"/>
  <c r="YH96" i="17" a="1"/>
  <c r="YH96" i="17" s="1"/>
  <c r="YI96" i="17" s="1" a="1"/>
  <c r="YI96" i="17" s="1"/>
  <c r="YH87" i="17" a="1"/>
  <c r="YH87" i="17" s="1"/>
  <c r="YI87" i="17" s="1" a="1"/>
  <c r="YI87" i="17" s="1"/>
  <c r="YH77" i="17" a="1"/>
  <c r="YH77" i="17" s="1"/>
  <c r="YI77" i="17" s="1" a="1"/>
  <c r="YI77" i="17" s="1"/>
  <c r="YH44" i="17" a="1"/>
  <c r="YH44" i="17" s="1"/>
  <c r="YI44" i="17" s="1" a="1"/>
  <c r="YI44" i="17" s="1"/>
  <c r="YH81" i="17" a="1"/>
  <c r="YH81" i="17" s="1"/>
  <c r="YI81" i="17" s="1" a="1"/>
  <c r="YI81" i="17" s="1"/>
  <c r="YH104" i="17" a="1"/>
  <c r="YH104" i="17" s="1"/>
  <c r="YI104" i="17" s="1" a="1"/>
  <c r="YI104" i="17" s="1"/>
  <c r="YH148" i="17" a="1"/>
  <c r="YH148" i="17" s="1"/>
  <c r="YI148" i="17" s="1" a="1"/>
  <c r="YI148" i="17" s="1"/>
  <c r="YH94" i="17" a="1"/>
  <c r="YH94" i="17" s="1"/>
  <c r="YI94" i="17" s="1" a="1"/>
  <c r="YI94" i="17" s="1"/>
  <c r="YH36" i="17" a="1"/>
  <c r="YH36" i="17" s="1"/>
  <c r="YI36" i="17" s="1" a="1"/>
  <c r="YI36" i="17" s="1"/>
  <c r="YH73" i="17" a="1"/>
  <c r="YH73" i="17" s="1"/>
  <c r="YI73" i="17" s="1" a="1"/>
  <c r="YI73" i="17" s="1"/>
  <c r="YH139" i="17" a="1"/>
  <c r="YH139" i="17" s="1"/>
  <c r="YI139" i="17" s="1" a="1"/>
  <c r="YI139" i="17" s="1"/>
  <c r="YH65" i="17" a="1"/>
  <c r="YH65" i="17" s="1"/>
  <c r="YI65" i="17" s="1" a="1"/>
  <c r="YI65" i="17" s="1"/>
  <c r="YH140" i="17" a="1"/>
  <c r="YH140" i="17" s="1"/>
  <c r="YI140" i="17" s="1" a="1"/>
  <c r="YI140" i="17" s="1"/>
  <c r="YH177" i="17" a="1"/>
  <c r="YH177" i="17" s="1"/>
  <c r="YI177" i="17" s="1" a="1"/>
  <c r="YI177" i="17" s="1"/>
  <c r="YH166" i="17" a="1"/>
  <c r="YH166" i="17" s="1"/>
  <c r="YI166" i="17" s="1" a="1"/>
  <c r="YI166" i="17" s="1"/>
  <c r="YH125" i="17" a="1"/>
  <c r="YH125" i="17" s="1"/>
  <c r="YI125" i="17" s="1" a="1"/>
  <c r="YI125" i="17" s="1"/>
  <c r="YH40" i="17" a="1"/>
  <c r="YH40" i="17" s="1"/>
  <c r="YI40" i="17" s="1" a="1"/>
  <c r="YI40" i="17" s="1"/>
  <c r="YH59" i="17" a="1"/>
  <c r="YH59" i="17" s="1"/>
  <c r="YI59" i="17" s="1" a="1"/>
  <c r="YI59" i="17" s="1"/>
  <c r="YH10" i="17" a="1"/>
  <c r="YH10" i="17" s="1"/>
  <c r="YI10" i="17" s="1" a="1"/>
  <c r="YI10" i="17" s="1"/>
  <c r="YH127" i="17" a="1"/>
  <c r="YH127" i="17" s="1"/>
  <c r="YI127" i="17" s="1" a="1"/>
  <c r="YI127" i="17" s="1"/>
  <c r="YH170" i="17" a="1"/>
  <c r="YH170" i="17" s="1"/>
  <c r="YI170" i="17" s="1" a="1"/>
  <c r="YI170" i="17" s="1"/>
  <c r="YH117" i="17" a="1"/>
  <c r="YH117" i="17" s="1"/>
  <c r="YI117" i="17" s="1" a="1"/>
  <c r="YI117" i="17" s="1"/>
  <c r="YH168" i="17" a="1"/>
  <c r="YH168" i="17" s="1"/>
  <c r="YI168" i="17" s="1" a="1"/>
  <c r="YI168" i="17" s="1"/>
  <c r="YH107" i="17" a="1"/>
  <c r="YH107" i="17" s="1"/>
  <c r="YI107" i="17" s="1" a="1"/>
  <c r="YI107" i="17" s="1"/>
  <c r="YH156" i="17" a="1"/>
  <c r="YH156" i="17" s="1"/>
  <c r="YI156" i="17" s="1" a="1"/>
  <c r="YI156" i="17" s="1"/>
  <c r="YH66" i="17" a="1"/>
  <c r="YH66" i="17" s="1"/>
  <c r="YI66" i="17" s="1" a="1"/>
  <c r="YI66" i="17" s="1"/>
  <c r="YH64" i="17" a="1"/>
  <c r="YH64" i="17" s="1"/>
  <c r="YI64" i="17" s="1" a="1"/>
  <c r="YI64" i="17" s="1"/>
  <c r="YH163" i="17" a="1"/>
  <c r="YH163" i="17" s="1"/>
  <c r="YI163" i="17" s="1" a="1"/>
  <c r="YI163" i="17" s="1"/>
  <c r="YH17" i="17" a="1"/>
  <c r="YH17" i="17" s="1"/>
  <c r="YI17" i="17" s="1" a="1"/>
  <c r="YI17" i="17" s="1"/>
  <c r="YH28" i="17" a="1"/>
  <c r="YH28" i="17" s="1"/>
  <c r="YI28" i="17" s="1" a="1"/>
  <c r="YI28" i="17" s="1"/>
  <c r="YH11" i="17" a="1"/>
  <c r="YH11" i="17" s="1"/>
  <c r="YI11" i="17" s="1" a="1"/>
  <c r="YI11" i="17" s="1"/>
  <c r="YH45" i="17" a="1"/>
  <c r="YH45" i="17" s="1"/>
  <c r="YI45" i="17" s="1" a="1"/>
  <c r="YI45" i="17" s="1"/>
  <c r="YH155" i="17" a="1"/>
  <c r="YH155" i="17" s="1"/>
  <c r="YI155" i="17" s="1" a="1"/>
  <c r="YI155" i="17" s="1"/>
  <c r="YH9" i="17" a="1"/>
  <c r="YH9" i="17" s="1"/>
  <c r="YI9" i="17" s="1" a="1"/>
  <c r="YI9" i="17" s="1"/>
  <c r="YH57" i="17" a="1"/>
  <c r="YH57" i="17" s="1"/>
  <c r="YI57" i="17" s="1" a="1"/>
  <c r="YI57" i="17" s="1"/>
  <c r="YH69" i="17" a="1"/>
  <c r="YH69" i="17" s="1"/>
  <c r="YI69" i="17" s="1" a="1"/>
  <c r="YI69" i="17" s="1"/>
  <c r="YH76" i="17" a="1"/>
  <c r="YH76" i="17" s="1"/>
  <c r="YI76" i="17" s="1" a="1"/>
  <c r="YI76" i="17" s="1"/>
  <c r="YH113" i="17" a="1"/>
  <c r="YH113" i="17" s="1"/>
  <c r="YI113" i="17" s="1" a="1"/>
  <c r="YI113" i="17" s="1"/>
  <c r="YH173" i="17" a="1"/>
  <c r="YH173" i="17" s="1"/>
  <c r="YI173" i="17" s="1" a="1"/>
  <c r="YI173" i="17" s="1"/>
  <c r="YH142" i="17" a="1"/>
  <c r="YH142" i="17" s="1"/>
  <c r="YI142" i="17" s="1" a="1"/>
  <c r="YI142" i="17" s="1"/>
  <c r="YH135" i="17" a="1"/>
  <c r="YH135" i="17" s="1"/>
  <c r="YI135" i="17" s="1" a="1"/>
  <c r="YI135" i="17" s="1"/>
  <c r="YH120" i="17" a="1"/>
  <c r="YH120" i="17" s="1"/>
  <c r="YI120" i="17" s="1" a="1"/>
  <c r="YI120" i="17" s="1"/>
  <c r="YH63" i="17" a="1"/>
  <c r="YH63" i="17" s="1"/>
  <c r="YI63" i="17" s="1" a="1"/>
  <c r="YI63" i="17" s="1"/>
  <c r="YH106" i="17" a="1"/>
  <c r="YH106" i="17" s="1"/>
  <c r="YI106" i="17" s="1" a="1"/>
  <c r="YI106" i="17" s="1"/>
  <c r="YH80" i="17" a="1"/>
  <c r="YH80" i="17" s="1"/>
  <c r="YI80" i="17" s="1" a="1"/>
  <c r="YI80" i="17" s="1"/>
  <c r="YH43" i="17" a="1"/>
  <c r="YH43" i="17" s="1"/>
  <c r="YI43" i="17" s="1" a="1"/>
  <c r="YI43" i="17" s="1"/>
  <c r="YH74" i="17" a="1"/>
  <c r="YH74" i="17" s="1"/>
  <c r="YI74" i="17" s="1" a="1"/>
  <c r="YI74" i="17" s="1"/>
  <c r="YH149" i="17" a="1"/>
  <c r="YH149" i="17" s="1"/>
  <c r="YI149" i="17" s="1" a="1"/>
  <c r="YI149" i="17" s="1"/>
  <c r="YH99" i="17" a="1"/>
  <c r="YH99" i="17" s="1"/>
  <c r="YI99" i="17" s="1" a="1"/>
  <c r="YI99" i="17" s="1"/>
  <c r="YH129" i="17" a="1"/>
  <c r="YH129" i="17" s="1"/>
  <c r="YI129" i="17" s="1" a="1"/>
  <c r="YI129" i="17" s="1"/>
  <c r="YH126" i="17" a="1"/>
  <c r="YH126" i="17" s="1"/>
  <c r="YI126" i="17" s="1" a="1"/>
  <c r="YI126" i="17" s="1"/>
  <c r="YH91" i="17" a="1"/>
  <c r="YH91" i="17" s="1"/>
  <c r="YI91" i="17" s="1" a="1"/>
  <c r="YI91" i="17" s="1"/>
  <c r="YH37" i="17" a="1"/>
  <c r="YH37" i="17" s="1"/>
  <c r="YI37" i="17" s="1" a="1"/>
  <c r="YI37" i="17" s="1"/>
  <c r="YH150" i="17" a="1"/>
  <c r="YH150" i="17" s="1"/>
  <c r="YI150" i="17" s="1" a="1"/>
  <c r="YI150" i="17" s="1"/>
  <c r="YH12" i="17" a="1"/>
  <c r="YH12" i="17" s="1"/>
  <c r="YI12" i="17" s="1" a="1"/>
  <c r="YI12" i="17" s="1"/>
  <c r="YH49" i="17" a="1"/>
  <c r="YH49" i="17" s="1"/>
  <c r="YI49" i="17" s="1" a="1"/>
  <c r="YI49" i="17" s="1"/>
  <c r="YH16" i="17" a="1"/>
  <c r="YH16" i="17" s="1"/>
  <c r="YI16" i="17" s="1" a="1"/>
  <c r="YI16" i="17" s="1"/>
  <c r="YH84" i="17" a="1"/>
  <c r="YH84" i="17" s="1"/>
  <c r="YI84" i="17" s="1" a="1"/>
  <c r="YI84" i="17" s="1"/>
  <c r="YH32" i="17" a="1"/>
  <c r="YH32" i="17" s="1"/>
  <c r="YI32" i="17" s="1" a="1"/>
  <c r="YI32" i="17" s="1"/>
  <c r="YH71" i="17" a="1"/>
  <c r="YH71" i="17" s="1"/>
  <c r="YI71" i="17" s="1" a="1"/>
  <c r="YI71" i="17" s="1"/>
  <c r="YH114" i="17" a="1"/>
  <c r="YH114" i="17" s="1"/>
  <c r="YI114" i="17" s="1" a="1"/>
  <c r="YI114" i="17" s="1"/>
  <c r="YH48" i="17" a="1"/>
  <c r="YH48" i="17" s="1"/>
  <c r="YI48" i="17" s="1" a="1"/>
  <c r="YI48" i="17" s="1"/>
  <c r="YH42" i="17" a="1"/>
  <c r="YH42" i="17" s="1"/>
  <c r="YI42" i="17" s="1" a="1"/>
  <c r="YI42" i="17" s="1"/>
  <c r="YH101" i="17" a="1"/>
  <c r="YH101" i="17" s="1"/>
  <c r="YI101" i="17" s="1" a="1"/>
  <c r="YI101" i="17" s="1"/>
  <c r="YH119" i="17" a="1"/>
  <c r="YH119" i="17" s="1"/>
  <c r="YI119" i="17" s="1" a="1"/>
  <c r="YI119" i="17" s="1"/>
  <c r="YH162" i="17" a="1"/>
  <c r="YH162" i="17" s="1"/>
  <c r="YI162" i="17" s="1" a="1"/>
  <c r="YI162" i="17" s="1"/>
  <c r="YH61" i="17" a="1"/>
  <c r="YH61" i="17" s="1"/>
  <c r="YI61" i="17" s="1" a="1"/>
  <c r="YI61" i="17" s="1"/>
  <c r="YH175" i="17" a="1"/>
  <c r="YH175" i="17" s="1"/>
  <c r="YI175" i="17" s="1" a="1"/>
  <c r="YI175" i="17" s="1"/>
  <c r="YH35" i="17" a="1"/>
  <c r="YH35" i="17" s="1"/>
  <c r="YI35" i="17" s="1" a="1"/>
  <c r="YI35" i="17" s="1"/>
  <c r="YH38" i="17" a="1"/>
  <c r="YH38" i="17" s="1"/>
  <c r="YI38" i="17" s="1" a="1"/>
  <c r="YI38" i="17" s="1"/>
  <c r="YH167" i="17" a="1"/>
  <c r="YH167" i="17" s="1"/>
  <c r="YI167" i="17" s="1" a="1"/>
  <c r="YI167" i="17" s="1"/>
  <c r="YH27" i="17" a="1"/>
  <c r="YH27" i="17" s="1"/>
  <c r="YI27" i="17" s="1" a="1"/>
  <c r="YI27" i="17" s="1"/>
  <c r="OI88" i="19"/>
  <c r="E88" i="19" s="1"/>
  <c r="OI20" i="19"/>
  <c r="E20" i="19" s="1"/>
  <c r="OI151" i="19"/>
  <c r="E151" i="19" s="1"/>
  <c r="OI187" i="19"/>
  <c r="E187" i="19" s="1"/>
  <c r="OI79" i="19"/>
  <c r="E79" i="19" s="1"/>
  <c r="OI119" i="19"/>
  <c r="E119" i="19" s="1"/>
  <c r="OI68" i="19"/>
  <c r="E68" i="19" s="1"/>
  <c r="OI183" i="19"/>
  <c r="E183" i="19" s="1"/>
  <c r="OI134" i="19"/>
  <c r="E134" i="19" s="1"/>
  <c r="OI124" i="19"/>
  <c r="E124" i="19" s="1"/>
  <c r="NT58" i="19" a="1"/>
  <c r="NT58" i="19" s="1"/>
  <c r="OI58" i="19" s="1"/>
  <c r="E58" i="19" s="1"/>
  <c r="OI18" i="19"/>
  <c r="E18" i="19" s="1"/>
  <c r="OI25" i="19"/>
  <c r="E25" i="19" s="1"/>
  <c r="OI48" i="19"/>
  <c r="E48" i="19" s="1"/>
  <c r="OI157" i="19"/>
  <c r="E157" i="19" s="1"/>
  <c r="OI27" i="19"/>
  <c r="E27" i="19" s="1"/>
  <c r="OI162" i="19"/>
  <c r="E162" i="19" s="1"/>
  <c r="OI174" i="19"/>
  <c r="E174" i="19" s="1"/>
  <c r="OI19" i="19"/>
  <c r="E19" i="19" s="1"/>
  <c r="OI178" i="19"/>
  <c r="E178" i="19" s="1"/>
  <c r="OI129" i="19"/>
  <c r="E129" i="19" s="1"/>
  <c r="OI65" i="19"/>
  <c r="E65" i="19" s="1"/>
  <c r="OI92" i="19"/>
  <c r="E92" i="19" s="1"/>
  <c r="OI23" i="19"/>
  <c r="E23" i="19" s="1"/>
  <c r="NH5" i="19" a="1"/>
  <c r="NH5" i="19" s="1"/>
  <c r="NK5" i="19" s="1" a="1"/>
  <c r="NK5" i="19" s="1"/>
  <c r="NL5" i="19" s="1" a="1"/>
  <c r="NL5" i="19" s="1"/>
  <c r="NN5" i="19" a="1"/>
  <c r="NN5" i="19" s="1"/>
  <c r="NS5" i="19" s="1" a="1"/>
  <c r="NS5" i="19" s="1"/>
  <c r="NV5" i="19" a="1"/>
  <c r="NV5" i="19" s="1"/>
  <c r="OF5" i="19" s="1" a="1"/>
  <c r="OF5" i="19" s="1"/>
  <c r="OG5" i="19" s="1" a="1"/>
  <c r="OG5" i="19" s="1"/>
  <c r="XM185" i="17" a="1"/>
  <c r="XM185" i="17" s="1"/>
  <c r="XN185" i="17" s="1" a="1"/>
  <c r="XN185" i="17" s="1"/>
  <c r="XM188" i="17" a="1"/>
  <c r="XM188" i="17" s="1"/>
  <c r="XN188" i="17" s="1" a="1"/>
  <c r="XN188" i="17" s="1"/>
  <c r="XV188" i="17" s="1" a="1"/>
  <c r="XV188" i="17" s="1"/>
  <c r="XM182" i="17" a="1"/>
  <c r="XM182" i="17" s="1"/>
  <c r="XN182" i="17" s="1" a="1"/>
  <c r="XN182" i="17" s="1"/>
  <c r="XV182" i="17" s="1" a="1"/>
  <c r="XV182" i="17" s="1"/>
  <c r="XM180" i="17" a="1"/>
  <c r="XM180" i="17" s="1"/>
  <c r="XN180" i="17" s="1" a="1"/>
  <c r="XN180" i="17" s="1"/>
  <c r="XV180" i="17" s="1" a="1"/>
  <c r="XV180" i="17" s="1"/>
  <c r="XM187" i="17" a="1"/>
  <c r="XM187" i="17" s="1"/>
  <c r="XN187" i="17" s="1" a="1"/>
  <c r="XN187" i="17" s="1"/>
  <c r="XV187" i="17" s="1" a="1"/>
  <c r="XV187" i="17" s="1"/>
  <c r="XM184" i="17" a="1"/>
  <c r="XM184" i="17" s="1"/>
  <c r="XN184" i="17" s="1" a="1"/>
  <c r="XN184" i="17" s="1"/>
  <c r="XV184" i="17" s="1" a="1"/>
  <c r="XV184" i="17" s="1"/>
  <c r="XM186" i="17" a="1"/>
  <c r="XM186" i="17" s="1"/>
  <c r="XN186" i="17" s="1" a="1"/>
  <c r="XN186" i="17" s="1"/>
  <c r="XV186" i="17" s="1" a="1"/>
  <c r="XV186" i="17" s="1"/>
  <c r="XM183" i="17" a="1"/>
  <c r="XM183" i="17" s="1"/>
  <c r="XN183" i="17" s="1" a="1"/>
  <c r="XN183" i="17" s="1"/>
  <c r="XV183" i="17" s="1" a="1"/>
  <c r="XV183" i="17" s="1"/>
  <c r="XM178" i="17" a="1"/>
  <c r="XM178" i="17" s="1"/>
  <c r="XN178" i="17" s="1" a="1"/>
  <c r="XN178" i="17" s="1"/>
  <c r="XV178" i="17" s="1" a="1"/>
  <c r="XV178" i="17" s="1"/>
  <c r="XM181" i="17" a="1"/>
  <c r="XM181" i="17" s="1"/>
  <c r="XN181" i="17" s="1" a="1"/>
  <c r="XN181" i="17" s="1"/>
  <c r="XV181" i="17" s="1" a="1"/>
  <c r="XV181" i="17" s="1"/>
  <c r="XM179" i="17" a="1"/>
  <c r="XM179" i="17" s="1"/>
  <c r="XN179" i="17" s="1" a="1"/>
  <c r="XN179" i="17" s="1"/>
  <c r="XN163" i="17" a="1"/>
  <c r="XN163" i="17" s="1"/>
  <c r="XN162" i="17" a="1"/>
  <c r="XN162" i="17" s="1"/>
  <c r="XN34" i="17" a="1"/>
  <c r="XN34" i="17" s="1"/>
  <c r="XN48" i="17" a="1"/>
  <c r="XN48" i="17" s="1"/>
  <c r="XN95" i="17" a="1"/>
  <c r="XN95" i="17" s="1"/>
  <c r="XN105" i="17" a="1"/>
  <c r="XN105" i="17" s="1"/>
  <c r="XN134" i="17" a="1"/>
  <c r="XN134" i="17" s="1"/>
  <c r="XN6" i="17" a="1"/>
  <c r="XN6" i="17" s="1"/>
  <c r="XN120" i="17" a="1"/>
  <c r="XN120" i="17" s="1"/>
  <c r="XN101" i="17" a="1"/>
  <c r="XN101" i="17" s="1"/>
  <c r="XN97" i="17" a="1"/>
  <c r="XN97" i="17" s="1"/>
  <c r="XN132" i="17" a="1"/>
  <c r="XN132" i="17" s="1"/>
  <c r="XN131" i="17" a="1"/>
  <c r="XN131" i="17" s="1"/>
  <c r="XN35" i="17" a="1"/>
  <c r="XN35" i="17" s="1"/>
  <c r="XV35" i="17" s="1" a="1"/>
  <c r="XV35" i="17" s="1"/>
  <c r="XN154" i="17" a="1"/>
  <c r="XN154" i="17" s="1"/>
  <c r="XN90" i="17" a="1"/>
  <c r="XN90" i="17" s="1"/>
  <c r="XN26" i="17" a="1"/>
  <c r="XN26" i="17" s="1"/>
  <c r="XN89" i="17" a="1"/>
  <c r="XN89" i="17" s="1"/>
  <c r="XN8" i="17" a="1"/>
  <c r="XN8" i="17" s="1"/>
  <c r="XV8" i="17" s="1" a="1"/>
  <c r="XV8" i="17" s="1"/>
  <c r="XN151" i="17" a="1"/>
  <c r="XN151" i="17" s="1"/>
  <c r="XV151" i="17" s="1" a="1"/>
  <c r="XV151" i="17" s="1"/>
  <c r="XN87" i="17" a="1"/>
  <c r="XN87" i="17" s="1"/>
  <c r="XN23" i="17" a="1"/>
  <c r="XN23" i="17" s="1"/>
  <c r="XV23" i="17" s="1" a="1"/>
  <c r="XV23" i="17" s="1"/>
  <c r="XN73" i="17" a="1"/>
  <c r="XN73" i="17" s="1"/>
  <c r="XN16" i="17" a="1"/>
  <c r="XN16" i="17" s="1"/>
  <c r="XV16" i="17" s="1" a="1"/>
  <c r="XV16" i="17" s="1"/>
  <c r="XN126" i="17" a="1"/>
  <c r="XN126" i="17" s="1"/>
  <c r="XN62" i="17" a="1"/>
  <c r="XN62" i="17" s="1"/>
  <c r="XN88" i="17" a="1"/>
  <c r="XN88" i="17" s="1"/>
  <c r="XV88" i="17" s="1" a="1"/>
  <c r="XV88" i="17" s="1"/>
  <c r="XN157" i="17" a="1"/>
  <c r="XN157" i="17" s="1"/>
  <c r="XV157" i="17" s="1" a="1"/>
  <c r="XV157" i="17" s="1"/>
  <c r="XN93" i="17" a="1"/>
  <c r="XN93" i="17" s="1"/>
  <c r="XN29" i="17" a="1"/>
  <c r="XN29" i="17" s="1"/>
  <c r="XV29" i="17" s="1" a="1"/>
  <c r="XV29" i="17" s="1"/>
  <c r="XN65" i="17" a="1"/>
  <c r="XN65" i="17" s="1"/>
  <c r="XV65" i="17" s="1" a="1"/>
  <c r="XV65" i="17" s="1"/>
  <c r="XN124" i="17" a="1"/>
  <c r="XN124" i="17" s="1"/>
  <c r="XV124" i="17" s="1" a="1"/>
  <c r="XV124" i="17" s="1"/>
  <c r="XN60" i="17" a="1"/>
  <c r="XN60" i="17" s="1"/>
  <c r="XN43" i="17" a="1"/>
  <c r="XN43" i="17" s="1"/>
  <c r="XV43" i="17" s="1" a="1"/>
  <c r="XV43" i="17" s="1"/>
  <c r="XN98" i="17" a="1"/>
  <c r="XN98" i="17" s="1"/>
  <c r="XN121" i="17" a="1"/>
  <c r="XN121" i="17" s="1"/>
  <c r="XV121" i="17" s="1" a="1"/>
  <c r="XV121" i="17" s="1"/>
  <c r="XN159" i="17" a="1"/>
  <c r="XN159" i="17" s="1"/>
  <c r="XV159" i="17" s="1" a="1"/>
  <c r="XV159" i="17" s="1"/>
  <c r="XN31" i="17" a="1"/>
  <c r="XN31" i="17" s="1"/>
  <c r="XV31" i="17" s="1" a="1"/>
  <c r="XV31" i="17" s="1"/>
  <c r="XN56" i="17" a="1"/>
  <c r="XN56" i="17" s="1"/>
  <c r="XN70" i="17" a="1"/>
  <c r="XN70" i="17" s="1"/>
  <c r="XV70" i="17" s="1" a="1"/>
  <c r="XV70" i="17" s="1"/>
  <c r="XN165" i="17" a="1"/>
  <c r="XN165" i="17" s="1"/>
  <c r="XN37" i="17" a="1"/>
  <c r="XN37" i="17" s="1"/>
  <c r="XN32" i="17" a="1"/>
  <c r="XN32" i="17" s="1"/>
  <c r="XN68" i="17" a="1"/>
  <c r="XN68" i="17" s="1"/>
  <c r="XV68" i="17" s="1" a="1"/>
  <c r="XV68" i="17" s="1"/>
  <c r="XN107" i="17" a="1"/>
  <c r="XN107" i="17" s="1"/>
  <c r="XN27" i="17" a="1"/>
  <c r="XN27" i="17" s="1"/>
  <c r="XN146" i="17" a="1"/>
  <c r="XN146" i="17" s="1"/>
  <c r="XN82" i="17" a="1"/>
  <c r="XN82" i="17" s="1"/>
  <c r="XN18" i="17" a="1"/>
  <c r="XN18" i="17" s="1"/>
  <c r="XN57" i="17" a="1"/>
  <c r="XN57" i="17" s="1"/>
  <c r="XV57" i="17" s="1" a="1"/>
  <c r="XV57" i="17" s="1"/>
  <c r="XN143" i="17" a="1"/>
  <c r="XN143" i="17" s="1"/>
  <c r="XN79" i="17" a="1"/>
  <c r="XN79" i="17" s="1"/>
  <c r="XN15" i="17" a="1"/>
  <c r="XN15" i="17" s="1"/>
  <c r="XN41" i="17" a="1"/>
  <c r="XN41" i="17" s="1"/>
  <c r="XN118" i="17" a="1"/>
  <c r="XN118" i="17" s="1"/>
  <c r="XN54" i="17" a="1"/>
  <c r="XN54" i="17" s="1"/>
  <c r="XN153" i="17" a="1"/>
  <c r="XN153" i="17" s="1"/>
  <c r="XN64" i="17" a="1"/>
  <c r="XN64" i="17" s="1"/>
  <c r="XN149" i="17" a="1"/>
  <c r="XN149" i="17" s="1"/>
  <c r="XN85" i="17" a="1"/>
  <c r="XN85" i="17" s="1"/>
  <c r="XN21" i="17" a="1"/>
  <c r="XN21" i="17" s="1"/>
  <c r="XN25" i="17" a="1"/>
  <c r="XN25" i="17" s="1"/>
  <c r="XV25" i="17" s="1" a="1"/>
  <c r="XV25" i="17" s="1"/>
  <c r="XN116" i="17" a="1"/>
  <c r="XN116" i="17" s="1"/>
  <c r="XN52" i="17" a="1"/>
  <c r="XN52" i="17" s="1"/>
  <c r="XN83" i="17" a="1"/>
  <c r="XN83" i="17" s="1"/>
  <c r="XN19" i="17" a="1"/>
  <c r="XN19" i="17" s="1"/>
  <c r="XN138" i="17" a="1"/>
  <c r="XN138" i="17" s="1"/>
  <c r="XN74" i="17" a="1"/>
  <c r="XN74" i="17" s="1"/>
  <c r="XN10" i="17" a="1"/>
  <c r="XN10" i="17" s="1"/>
  <c r="XN33" i="17" a="1"/>
  <c r="XN33" i="17" s="1"/>
  <c r="XN135" i="17" a="1"/>
  <c r="XN135" i="17" s="1"/>
  <c r="XN71" i="17" a="1"/>
  <c r="XN71" i="17" s="1"/>
  <c r="XV71" i="17" s="1" a="1"/>
  <c r="XV71" i="17" s="1"/>
  <c r="XN7" i="17" a="1"/>
  <c r="XN7" i="17" s="1"/>
  <c r="XN17" i="17" a="1"/>
  <c r="XN17" i="17" s="1"/>
  <c r="XN174" i="17" a="1"/>
  <c r="XN174" i="17" s="1"/>
  <c r="XN110" i="17" a="1"/>
  <c r="XN110" i="17" s="1"/>
  <c r="XV110" i="17" s="1" a="1"/>
  <c r="XV110" i="17" s="1"/>
  <c r="XN46" i="17" a="1"/>
  <c r="XN46" i="17" s="1"/>
  <c r="XN113" i="17" a="1"/>
  <c r="XN113" i="17" s="1"/>
  <c r="XN24" i="17" a="1"/>
  <c r="XN24" i="17" s="1"/>
  <c r="XN141" i="17" a="1"/>
  <c r="XN141" i="17" s="1"/>
  <c r="XN77" i="17" a="1"/>
  <c r="XN77" i="17" s="1"/>
  <c r="XN13" i="17" a="1"/>
  <c r="XN13" i="17" s="1"/>
  <c r="XN168" i="17" a="1"/>
  <c r="XN168" i="17" s="1"/>
  <c r="XN172" i="17" a="1"/>
  <c r="XN172" i="17" s="1"/>
  <c r="XN108" i="17" a="1"/>
  <c r="XN108" i="17" s="1"/>
  <c r="XN44" i="17" a="1"/>
  <c r="XN44" i="17" s="1"/>
  <c r="XN75" i="17" a="1"/>
  <c r="XN75" i="17" s="1"/>
  <c r="XN11" i="17" a="1"/>
  <c r="XN11" i="17" s="1"/>
  <c r="XN130" i="17" a="1"/>
  <c r="XN130" i="17" s="1"/>
  <c r="XV130" i="17" s="1" a="1"/>
  <c r="XV130" i="17" s="1"/>
  <c r="XN66" i="17" a="1"/>
  <c r="XN66" i="17" s="1"/>
  <c r="XN171" i="17" a="1"/>
  <c r="XN171" i="17" s="1"/>
  <c r="XN176" i="17" a="1"/>
  <c r="XN176" i="17" s="1"/>
  <c r="XN127" i="17" a="1"/>
  <c r="XN127" i="17" s="1"/>
  <c r="XN63" i="17" a="1"/>
  <c r="XN63" i="17" s="1"/>
  <c r="XV63" i="17" s="1" a="1"/>
  <c r="XV63" i="17" s="1"/>
  <c r="XN155" i="17" a="1"/>
  <c r="XN155" i="17" s="1"/>
  <c r="XN166" i="17" a="1"/>
  <c r="XN166" i="17" s="1"/>
  <c r="XN102" i="17" a="1"/>
  <c r="XN102" i="17" s="1"/>
  <c r="XN38" i="17" a="1"/>
  <c r="XN38" i="17" s="1"/>
  <c r="XV38" i="17" s="1" a="1"/>
  <c r="XV38" i="17" s="1"/>
  <c r="XN147" i="17" a="1"/>
  <c r="XN147" i="17" s="1"/>
  <c r="XN81" i="17" a="1"/>
  <c r="XN81" i="17" s="1"/>
  <c r="XN133" i="17" a="1"/>
  <c r="XN133" i="17" s="1"/>
  <c r="XV133" i="17" s="1" a="1"/>
  <c r="XV133" i="17" s="1"/>
  <c r="XN69" i="17" a="1"/>
  <c r="XN69" i="17" s="1"/>
  <c r="XN136" i="17" a="1"/>
  <c r="XN136" i="17" s="1"/>
  <c r="XN164" i="17" a="1"/>
  <c r="XN164" i="17" s="1"/>
  <c r="XN100" i="17" a="1"/>
  <c r="XN100" i="17" s="1"/>
  <c r="XN36" i="17" a="1"/>
  <c r="XN36" i="17" s="1"/>
  <c r="XV36" i="17" s="1" a="1"/>
  <c r="XV36" i="17" s="1"/>
  <c r="XN67" i="17" a="1"/>
  <c r="XN67" i="17" s="1"/>
  <c r="XV67" i="17" s="1" a="1"/>
  <c r="XV67" i="17" s="1"/>
  <c r="XN122" i="17" a="1"/>
  <c r="XN122" i="17" s="1"/>
  <c r="XN58" i="17" a="1"/>
  <c r="XN58" i="17" s="1"/>
  <c r="XN139" i="17" a="1"/>
  <c r="XN139" i="17" s="1"/>
  <c r="XV139" i="17" s="1" a="1"/>
  <c r="XV139" i="17" s="1"/>
  <c r="XN144" i="17" a="1"/>
  <c r="XN144" i="17" s="1"/>
  <c r="XV144" i="17" s="1" a="1"/>
  <c r="XV144" i="17" s="1"/>
  <c r="XN119" i="17" a="1"/>
  <c r="XN119" i="17" s="1"/>
  <c r="XN55" i="17" a="1"/>
  <c r="XN55" i="17" s="1"/>
  <c r="XN115" i="17" a="1"/>
  <c r="XN115" i="17" s="1"/>
  <c r="XN152" i="17" a="1"/>
  <c r="XN152" i="17" s="1"/>
  <c r="XN158" i="17" a="1"/>
  <c r="XN158" i="17" s="1"/>
  <c r="XN94" i="17" a="1"/>
  <c r="XN94" i="17" s="1"/>
  <c r="XN30" i="17" a="1"/>
  <c r="XN30" i="17" s="1"/>
  <c r="XN123" i="17" a="1"/>
  <c r="XN123" i="17" s="1"/>
  <c r="XN49" i="17" a="1"/>
  <c r="XN49" i="17" s="1"/>
  <c r="XN125" i="17" a="1"/>
  <c r="XN125" i="17" s="1"/>
  <c r="XN61" i="17" a="1"/>
  <c r="XN61" i="17" s="1"/>
  <c r="XN177" i="17" a="1"/>
  <c r="XN177" i="17" s="1"/>
  <c r="XN104" i="17" a="1"/>
  <c r="XN104" i="17" s="1"/>
  <c r="XN156" i="17" a="1"/>
  <c r="XN156" i="17" s="1"/>
  <c r="XN92" i="17" a="1"/>
  <c r="XN92" i="17" s="1"/>
  <c r="XN28" i="17" a="1"/>
  <c r="XN28" i="17" s="1"/>
  <c r="XN59" i="17" a="1"/>
  <c r="XN59" i="17" s="1"/>
  <c r="XN114" i="17" a="1"/>
  <c r="XN114" i="17" s="1"/>
  <c r="XN50" i="17" a="1"/>
  <c r="XN50" i="17" s="1"/>
  <c r="XN99" i="17" a="1"/>
  <c r="XN99" i="17" s="1"/>
  <c r="XV99" i="17" s="1" a="1"/>
  <c r="XV99" i="17" s="1"/>
  <c r="XN112" i="17" a="1"/>
  <c r="XN112" i="17" s="1"/>
  <c r="XN175" i="17" a="1"/>
  <c r="XN175" i="17" s="1"/>
  <c r="XN111" i="17" a="1"/>
  <c r="XN111" i="17" s="1"/>
  <c r="XN47" i="17" a="1"/>
  <c r="XN47" i="17" s="1"/>
  <c r="XN169" i="17" a="1"/>
  <c r="XN169" i="17" s="1"/>
  <c r="XN128" i="17" a="1"/>
  <c r="XN128" i="17" s="1"/>
  <c r="XN150" i="17" a="1"/>
  <c r="XN150" i="17" s="1"/>
  <c r="XN86" i="17" a="1"/>
  <c r="XN86" i="17" s="1"/>
  <c r="XN22" i="17" a="1"/>
  <c r="XN22" i="17" s="1"/>
  <c r="XN91" i="17" a="1"/>
  <c r="XN91" i="17" s="1"/>
  <c r="XN9" i="17" a="1"/>
  <c r="XN9" i="17" s="1"/>
  <c r="XN117" i="17" a="1"/>
  <c r="XN117" i="17" s="1"/>
  <c r="XN53" i="17" a="1"/>
  <c r="XN53" i="17" s="1"/>
  <c r="XN145" i="17" a="1"/>
  <c r="XN145" i="17" s="1"/>
  <c r="XN72" i="17" a="1"/>
  <c r="XN72" i="17" s="1"/>
  <c r="XN148" i="17" a="1"/>
  <c r="XN148" i="17" s="1"/>
  <c r="XN84" i="17" a="1"/>
  <c r="XN84" i="17" s="1"/>
  <c r="XN20" i="17" a="1"/>
  <c r="XN20" i="17" s="1"/>
  <c r="XN51" i="17" a="1"/>
  <c r="XN51" i="17" s="1"/>
  <c r="XN170" i="17" a="1"/>
  <c r="XN170" i="17" s="1"/>
  <c r="XN106" i="17" a="1"/>
  <c r="XN106" i="17" s="1"/>
  <c r="XN42" i="17" a="1"/>
  <c r="XN42" i="17" s="1"/>
  <c r="XN161" i="17" a="1"/>
  <c r="XN161" i="17" s="1"/>
  <c r="XN80" i="17" a="1"/>
  <c r="XN80" i="17" s="1"/>
  <c r="XN167" i="17" a="1"/>
  <c r="XN167" i="17" s="1"/>
  <c r="XN103" i="17" a="1"/>
  <c r="XN103" i="17" s="1"/>
  <c r="XN39" i="17" a="1"/>
  <c r="XN39" i="17" s="1"/>
  <c r="XN137" i="17" a="1"/>
  <c r="XN137" i="17" s="1"/>
  <c r="XN96" i="17" a="1"/>
  <c r="XN96" i="17" s="1"/>
  <c r="XN142" i="17" a="1"/>
  <c r="XN142" i="17" s="1"/>
  <c r="XN78" i="17" a="1"/>
  <c r="XN78" i="17" s="1"/>
  <c r="XN14" i="17" a="1"/>
  <c r="XN14" i="17" s="1"/>
  <c r="XN160" i="17" a="1"/>
  <c r="XN160" i="17" s="1"/>
  <c r="XN173" i="17" a="1"/>
  <c r="XN173" i="17" s="1"/>
  <c r="XN109" i="17" a="1"/>
  <c r="XN109" i="17" s="1"/>
  <c r="XN45" i="17" a="1"/>
  <c r="XN45" i="17" s="1"/>
  <c r="XN129" i="17" a="1"/>
  <c r="XN129" i="17" s="1"/>
  <c r="XN40" i="17" a="1"/>
  <c r="XN40" i="17" s="1"/>
  <c r="XN140" i="17" a="1"/>
  <c r="XN140" i="17" s="1"/>
  <c r="XN76" i="17" a="1"/>
  <c r="XN76" i="17" s="1"/>
  <c r="XN12" i="17" a="1"/>
  <c r="XN12" i="17" s="1"/>
  <c r="L5" i="17"/>
  <c r="K5" i="17" s="1"/>
  <c r="C5" i="17" s="1"/>
  <c r="B5" i="17" s="1"/>
  <c r="XJ5" i="17" a="1"/>
  <c r="XJ5" i="17" s="1"/>
  <c r="XX5" i="17" a="1"/>
  <c r="XX5" i="17" s="1"/>
  <c r="XP5" i="17" a="1"/>
  <c r="XP5" i="17" s="1"/>
  <c r="XU5" i="17" s="1" a="1"/>
  <c r="XU5" i="17" s="1"/>
  <c r="B162" i="17"/>
  <c r="B161" i="17"/>
  <c r="B160" i="17"/>
  <c r="I28" i="17"/>
  <c r="F28" i="17" s="1"/>
  <c r="I11" i="17"/>
  <c r="F11" i="17" s="1"/>
  <c r="I26" i="17"/>
  <c r="F26" i="17" s="1"/>
  <c r="I35" i="17"/>
  <c r="F35" i="17" s="1"/>
  <c r="I8" i="17"/>
  <c r="F8" i="17" s="1"/>
  <c r="I7" i="17"/>
  <c r="F7" i="17" s="1"/>
  <c r="I38" i="17"/>
  <c r="F38" i="17" s="1"/>
  <c r="I12" i="17"/>
  <c r="F12" i="17" s="1"/>
  <c r="I6" i="17"/>
  <c r="F6" i="17" s="1"/>
  <c r="I21" i="17"/>
  <c r="F21" i="17" s="1"/>
  <c r="I30" i="17"/>
  <c r="F30" i="17" s="1"/>
  <c r="I45" i="17"/>
  <c r="F45" i="17" s="1"/>
  <c r="I5" i="17"/>
  <c r="F5" i="17" s="1"/>
  <c r="I43" i="17"/>
  <c r="F43" i="17" s="1"/>
  <c r="I32" i="17"/>
  <c r="F32" i="17" s="1"/>
  <c r="I15" i="17"/>
  <c r="F15" i="17" s="1"/>
  <c r="I25" i="17"/>
  <c r="F25" i="17" s="1"/>
  <c r="M346" i="8" s="1"/>
  <c r="I39" i="17"/>
  <c r="F39" i="17" s="1"/>
  <c r="I19" i="17"/>
  <c r="F19" i="17" s="1"/>
  <c r="I34" i="17"/>
  <c r="F34" i="17" s="1"/>
  <c r="I33" i="17"/>
  <c r="F33" i="17" s="1"/>
  <c r="M345" i="8" s="1"/>
  <c r="I47" i="17"/>
  <c r="F47" i="17" s="1"/>
  <c r="I36" i="17"/>
  <c r="F36" i="17" s="1"/>
  <c r="I14" i="17"/>
  <c r="F14" i="17" s="1"/>
  <c r="I29" i="17"/>
  <c r="F29" i="17" s="1"/>
  <c r="I27" i="17"/>
  <c r="F27" i="17" s="1"/>
  <c r="I42" i="17"/>
  <c r="F42" i="17" s="1"/>
  <c r="I20" i="17"/>
  <c r="F20" i="17" s="1"/>
  <c r="I9" i="17"/>
  <c r="F9" i="17" s="1"/>
  <c r="I23" i="17"/>
  <c r="F23" i="17" s="1"/>
  <c r="I10" i="17"/>
  <c r="F10" i="17" s="1"/>
  <c r="I22" i="17"/>
  <c r="F22" i="17" s="1"/>
  <c r="I37" i="17"/>
  <c r="F37" i="17" s="1"/>
  <c r="I46" i="17"/>
  <c r="F46" i="17" s="1"/>
  <c r="I40" i="17"/>
  <c r="F40" i="17" s="1"/>
  <c r="I18" i="17"/>
  <c r="F18" i="17" s="1"/>
  <c r="I16" i="17"/>
  <c r="F16" i="17" s="1"/>
  <c r="I44" i="17"/>
  <c r="F44" i="17" s="1"/>
  <c r="I17" i="17"/>
  <c r="F17" i="17" s="1"/>
  <c r="I31" i="17"/>
  <c r="F31" i="17" s="1"/>
  <c r="I41" i="17"/>
  <c r="F41" i="17" s="1"/>
  <c r="I24" i="17"/>
  <c r="F24" i="17" s="1"/>
  <c r="I13" i="17"/>
  <c r="F13" i="17" s="1"/>
  <c r="EM3" i="8" a="1"/>
  <c r="EM3" i="8" s="1"/>
  <c r="I190" i="8" l="1"/>
  <c r="I196" i="8"/>
  <c r="J211" i="8"/>
  <c r="I203" i="8"/>
  <c r="I212" i="8"/>
  <c r="H202" i="8"/>
  <c r="H191" i="8"/>
  <c r="I193" i="8"/>
  <c r="I198" i="8"/>
  <c r="I188" i="8"/>
  <c r="H190" i="8"/>
  <c r="H213" i="8"/>
  <c r="H188" i="8"/>
  <c r="I199" i="8"/>
  <c r="J214" i="8"/>
  <c r="I225" i="8"/>
  <c r="I248" i="8"/>
  <c r="J248" i="8"/>
  <c r="J233" i="8"/>
  <c r="J243" i="8"/>
  <c r="J354" i="8"/>
  <c r="J250" i="8"/>
  <c r="I241" i="8"/>
  <c r="J241" i="8"/>
  <c r="J234" i="8"/>
  <c r="I250" i="8"/>
  <c r="I208" i="8"/>
  <c r="J194" i="8"/>
  <c r="I222" i="8"/>
  <c r="J246" i="8"/>
  <c r="J245" i="8"/>
  <c r="I244" i="8"/>
  <c r="J205" i="8"/>
  <c r="I205" i="8"/>
  <c r="I352" i="8"/>
  <c r="I243" i="8"/>
  <c r="I201" i="8"/>
  <c r="I351" i="8"/>
  <c r="I223" i="8"/>
  <c r="J218" i="8"/>
  <c r="J353" i="8"/>
  <c r="I195" i="8"/>
  <c r="I217" i="8"/>
  <c r="I240" i="8"/>
  <c r="H216" i="8"/>
  <c r="J219" i="8"/>
  <c r="I215" i="8"/>
  <c r="I216" i="8"/>
  <c r="H219" i="8"/>
  <c r="H220" i="8"/>
  <c r="H229" i="8"/>
  <c r="H223" i="8"/>
  <c r="J226" i="8"/>
  <c r="I218" i="8"/>
  <c r="H225" i="8"/>
  <c r="J217" i="8"/>
  <c r="H226" i="8"/>
  <c r="H218" i="8"/>
  <c r="H228" i="8"/>
  <c r="H230" i="8"/>
  <c r="H231" i="8"/>
  <c r="H227" i="8"/>
  <c r="H222" i="8"/>
  <c r="H224" i="8"/>
  <c r="H215" i="8"/>
  <c r="H221" i="8"/>
  <c r="H217" i="8"/>
  <c r="I226" i="8"/>
  <c r="J229" i="8"/>
  <c r="J224" i="8"/>
  <c r="J222" i="8"/>
  <c r="J230" i="8"/>
  <c r="J231" i="8"/>
  <c r="J215" i="8"/>
  <c r="I229" i="8"/>
  <c r="J228" i="8"/>
  <c r="J220" i="8"/>
  <c r="I221" i="8"/>
  <c r="I219" i="8"/>
  <c r="J221" i="8"/>
  <c r="I230" i="8"/>
  <c r="I231" i="8"/>
  <c r="J225" i="8"/>
  <c r="J216" i="8"/>
  <c r="J223" i="8"/>
  <c r="I194" i="8"/>
  <c r="J204" i="8"/>
  <c r="J213" i="8"/>
  <c r="J199" i="8"/>
  <c r="J197" i="8"/>
  <c r="J192" i="8"/>
  <c r="J202" i="8"/>
  <c r="J193" i="8"/>
  <c r="J196" i="8"/>
  <c r="J210" i="8"/>
  <c r="I211" i="8"/>
  <c r="J203" i="8"/>
  <c r="J190" i="8"/>
  <c r="I189" i="8"/>
  <c r="I202" i="8"/>
  <c r="H210" i="8"/>
  <c r="H209" i="8"/>
  <c r="H192" i="8"/>
  <c r="H204" i="8"/>
  <c r="H195" i="8"/>
  <c r="H199" i="8"/>
  <c r="H211" i="8"/>
  <c r="H194" i="8"/>
  <c r="J200" i="8"/>
  <c r="J201" i="8"/>
  <c r="J207" i="8"/>
  <c r="H212" i="8"/>
  <c r="J195" i="8"/>
  <c r="J209" i="8"/>
  <c r="H196" i="8"/>
  <c r="J189" i="8"/>
  <c r="J206" i="8"/>
  <c r="I210" i="8"/>
  <c r="H203" i="8"/>
  <c r="H206" i="8"/>
  <c r="J208" i="8"/>
  <c r="I197" i="8"/>
  <c r="H198" i="8"/>
  <c r="H189" i="8"/>
  <c r="J191" i="8"/>
  <c r="H208" i="8"/>
  <c r="H197" i="8"/>
  <c r="J198" i="8"/>
  <c r="H193" i="8"/>
  <c r="H200" i="8"/>
  <c r="J212" i="8"/>
  <c r="I207" i="8"/>
  <c r="I206" i="8"/>
  <c r="H207" i="8"/>
  <c r="H214" i="8"/>
  <c r="NT5" i="19" a="1"/>
  <c r="NT5" i="19" s="1"/>
  <c r="OI5" i="19" s="1"/>
  <c r="E5" i="19" s="1"/>
  <c r="YK181" i="17"/>
  <c r="E181" i="17" s="1"/>
  <c r="YK187" i="17"/>
  <c r="E187" i="17" s="1"/>
  <c r="XV185" i="17" a="1"/>
  <c r="XV185" i="17" s="1"/>
  <c r="YK185" i="17" s="1"/>
  <c r="E185" i="17" s="1"/>
  <c r="XV179" i="17" a="1"/>
  <c r="XV179" i="17" s="1"/>
  <c r="YK179" i="17" s="1"/>
  <c r="E179" i="17" s="1"/>
  <c r="YK188" i="17"/>
  <c r="E188" i="17" s="1"/>
  <c r="J188" i="8" s="1"/>
  <c r="YK182" i="17"/>
  <c r="E182" i="17" s="1"/>
  <c r="YK186" i="17"/>
  <c r="E186" i="17" s="1"/>
  <c r="YK183" i="17"/>
  <c r="E183" i="17" s="1"/>
  <c r="YK178" i="17"/>
  <c r="E178" i="17" s="1"/>
  <c r="YK184" i="17"/>
  <c r="E184" i="17" s="1"/>
  <c r="YH5" i="17" a="1"/>
  <c r="YH5" i="17" s="1"/>
  <c r="YI5" i="17" s="1" a="1"/>
  <c r="YI5" i="17" s="1"/>
  <c r="YK180" i="17"/>
  <c r="E180" i="17" s="1"/>
  <c r="XV170" i="17" a="1"/>
  <c r="XV170" i="17" s="1"/>
  <c r="YK170" i="17" s="1"/>
  <c r="E170" i="17" s="1"/>
  <c r="XV59" i="17" a="1"/>
  <c r="XV59" i="17" s="1"/>
  <c r="YK59" i="17" s="1"/>
  <c r="E59" i="17" s="1"/>
  <c r="XV49" i="17" a="1"/>
  <c r="XV49" i="17" s="1"/>
  <c r="YK49" i="17" s="1"/>
  <c r="E49" i="17" s="1"/>
  <c r="XV141" i="17" a="1"/>
  <c r="XV141" i="17" s="1"/>
  <c r="YK141" i="17" s="1"/>
  <c r="E141" i="17" s="1"/>
  <c r="XV143" i="17" a="1"/>
  <c r="XV143" i="17" s="1"/>
  <c r="YK143" i="17" s="1"/>
  <c r="E143" i="17" s="1"/>
  <c r="YK65" i="17"/>
  <c r="E65" i="17" s="1"/>
  <c r="XV109" i="17" a="1"/>
  <c r="XV109" i="17" s="1"/>
  <c r="YK109" i="17" s="1"/>
  <c r="E109" i="17" s="1"/>
  <c r="XV39" i="17" a="1"/>
  <c r="XV39" i="17" s="1"/>
  <c r="YK39" i="17" s="1"/>
  <c r="E39" i="17" s="1"/>
  <c r="XV51" i="17" a="1"/>
  <c r="XV51" i="17" s="1"/>
  <c r="YK51" i="17" s="1"/>
  <c r="E51" i="17" s="1"/>
  <c r="XV117" i="17" a="1"/>
  <c r="XV117" i="17" s="1"/>
  <c r="YK117" i="17" s="1"/>
  <c r="E117" i="17" s="1"/>
  <c r="XV47" i="17" a="1"/>
  <c r="XV47" i="17" s="1"/>
  <c r="YK47" i="17" s="1"/>
  <c r="E47" i="17" s="1"/>
  <c r="XV28" i="17" a="1"/>
  <c r="XV28" i="17" s="1"/>
  <c r="YK28" i="17" s="1"/>
  <c r="E28" i="17" s="1"/>
  <c r="XV123" i="17" a="1"/>
  <c r="XV123" i="17" s="1"/>
  <c r="YK123" i="17" s="1"/>
  <c r="E123" i="17" s="1"/>
  <c r="YK144" i="17"/>
  <c r="E144" i="17" s="1"/>
  <c r="YK36" i="17"/>
  <c r="E36" i="17" s="1"/>
  <c r="YK38" i="17"/>
  <c r="E38" i="17" s="1"/>
  <c r="XV66" i="17" a="1"/>
  <c r="XV66" i="17" s="1"/>
  <c r="YK66" i="17" s="1"/>
  <c r="E66" i="17" s="1"/>
  <c r="XV24" i="17" a="1"/>
  <c r="XV24" i="17" s="1"/>
  <c r="YK24" i="17" s="1"/>
  <c r="E24" i="17" s="1"/>
  <c r="XV135" i="17" a="1"/>
  <c r="XV135" i="17" s="1"/>
  <c r="YK135" i="17" s="1"/>
  <c r="E135" i="17" s="1"/>
  <c r="XV64" i="17" a="1"/>
  <c r="XV64" i="17" s="1"/>
  <c r="YK64" i="17" s="1"/>
  <c r="E64" i="17" s="1"/>
  <c r="YK57" i="17"/>
  <c r="E57" i="17" s="1"/>
  <c r="YK31" i="17"/>
  <c r="E31" i="17" s="1"/>
  <c r="YK29" i="17"/>
  <c r="E29" i="17" s="1"/>
  <c r="YK23" i="17"/>
  <c r="E23" i="17" s="1"/>
  <c r="YK35" i="17"/>
  <c r="E35" i="17" s="1"/>
  <c r="XV105" i="17" a="1"/>
  <c r="XV105" i="17" s="1"/>
  <c r="YK105" i="17" s="1"/>
  <c r="E105" i="17" s="1"/>
  <c r="J232" i="8" s="1"/>
  <c r="XV137" i="17" a="1"/>
  <c r="XV137" i="17" s="1"/>
  <c r="YK137" i="17" s="1"/>
  <c r="E137" i="17" s="1"/>
  <c r="XV169" i="17" a="1"/>
  <c r="XV169" i="17" s="1"/>
  <c r="YK169" i="17" s="1"/>
  <c r="E169" i="17" s="1"/>
  <c r="XV119" i="17" a="1"/>
  <c r="XV119" i="17" s="1"/>
  <c r="YK119" i="17" s="1"/>
  <c r="E119" i="17" s="1"/>
  <c r="XV171" i="17" a="1"/>
  <c r="XV171" i="17" s="1"/>
  <c r="YK171" i="17" s="1"/>
  <c r="E171" i="17" s="1"/>
  <c r="XV149" i="17" a="1"/>
  <c r="XV149" i="17" s="1"/>
  <c r="YK149" i="17" s="1"/>
  <c r="E149" i="17" s="1"/>
  <c r="XV56" i="17" a="1"/>
  <c r="XV56" i="17" s="1"/>
  <c r="YK56" i="17" s="1"/>
  <c r="E56" i="17" s="1"/>
  <c r="J347" i="8" s="1"/>
  <c r="XV173" i="17" a="1"/>
  <c r="XV173" i="17" s="1"/>
  <c r="YK173" i="17" s="1"/>
  <c r="E173" i="17" s="1"/>
  <c r="XV103" i="17" a="1"/>
  <c r="XV103" i="17" s="1"/>
  <c r="YK103" i="17" s="1"/>
  <c r="E103" i="17" s="1"/>
  <c r="XV9" i="17" a="1"/>
  <c r="XV9" i="17" s="1"/>
  <c r="YK9" i="17" s="1"/>
  <c r="E9" i="17" s="1"/>
  <c r="XV111" i="17" a="1"/>
  <c r="XV111" i="17" s="1"/>
  <c r="YK111" i="17" s="1"/>
  <c r="E111" i="17" s="1"/>
  <c r="XV92" i="17" a="1"/>
  <c r="XV92" i="17" s="1"/>
  <c r="YK92" i="17" s="1"/>
  <c r="E92" i="17" s="1"/>
  <c r="XV30" i="17" a="1"/>
  <c r="XV30" i="17" s="1"/>
  <c r="YK30" i="17" s="1"/>
  <c r="E30" i="17" s="1"/>
  <c r="YK139" i="17"/>
  <c r="E139" i="17" s="1"/>
  <c r="J350" i="8" s="1"/>
  <c r="XV100" i="17" a="1"/>
  <c r="XV100" i="17" s="1"/>
  <c r="YK100" i="17" s="1"/>
  <c r="E100" i="17" s="1"/>
  <c r="XV102" i="17" a="1"/>
  <c r="XV102" i="17" s="1"/>
  <c r="YK102" i="17" s="1"/>
  <c r="E102" i="17" s="1"/>
  <c r="YK130" i="17"/>
  <c r="E130" i="17" s="1"/>
  <c r="XV44" i="17" a="1"/>
  <c r="XV44" i="17" s="1"/>
  <c r="YK44" i="17" s="1"/>
  <c r="E44" i="17" s="1"/>
  <c r="XV113" i="17" a="1"/>
  <c r="XV113" i="17" s="1"/>
  <c r="YK113" i="17" s="1"/>
  <c r="E113" i="17" s="1"/>
  <c r="XV33" i="17" a="1"/>
  <c r="XV33" i="17" s="1"/>
  <c r="YK33" i="17" s="1"/>
  <c r="E33" i="17" s="1"/>
  <c r="J345" i="8" s="1"/>
  <c r="XV154" i="17" a="1"/>
  <c r="XV154" i="17" s="1"/>
  <c r="YK154" i="17" s="1"/>
  <c r="E154" i="17" s="1"/>
  <c r="XV153" i="17" a="1"/>
  <c r="XV153" i="17" s="1"/>
  <c r="YK153" i="17" s="1"/>
  <c r="E153" i="17" s="1"/>
  <c r="XV18" i="17" a="1"/>
  <c r="XV18" i="17" s="1"/>
  <c r="YK18" i="17" s="1"/>
  <c r="E18" i="17" s="1"/>
  <c r="YK159" i="17"/>
  <c r="E159" i="17" s="1"/>
  <c r="XV93" i="17" a="1"/>
  <c r="XV93" i="17" s="1"/>
  <c r="YK93" i="17" s="1"/>
  <c r="E93" i="17" s="1"/>
  <c r="XV87" i="17" a="1"/>
  <c r="XV87" i="17" s="1"/>
  <c r="YK87" i="17" s="1"/>
  <c r="E87" i="17" s="1"/>
  <c r="XV131" i="17" a="1"/>
  <c r="XV131" i="17" s="1"/>
  <c r="YK131" i="17" s="1"/>
  <c r="E131" i="17" s="1"/>
  <c r="XV95" i="17" a="1"/>
  <c r="XV95" i="17" s="1"/>
  <c r="YK95" i="17" s="1"/>
  <c r="E95" i="17" s="1"/>
  <c r="XV147" i="17" a="1"/>
  <c r="XV147" i="17" s="1"/>
  <c r="YK147" i="17" s="1"/>
  <c r="E147" i="17" s="1"/>
  <c r="YK71" i="17"/>
  <c r="E71" i="17" s="1"/>
  <c r="XV134" i="17" a="1"/>
  <c r="XV134" i="17" s="1"/>
  <c r="YK134" i="17" s="1"/>
  <c r="E134" i="17" s="1"/>
  <c r="XV12" i="17" a="1"/>
  <c r="XV12" i="17" s="1"/>
  <c r="YK12" i="17" s="1"/>
  <c r="E12" i="17" s="1"/>
  <c r="XV160" i="17" a="1"/>
  <c r="XV160" i="17" s="1"/>
  <c r="YK160" i="17" s="1"/>
  <c r="E160" i="17" s="1"/>
  <c r="XV167" i="17" a="1"/>
  <c r="XV167" i="17" s="1"/>
  <c r="YK167" i="17" s="1"/>
  <c r="E167" i="17" s="1"/>
  <c r="XV20" i="17" a="1"/>
  <c r="XV20" i="17" s="1"/>
  <c r="YK20" i="17" s="1"/>
  <c r="E20" i="17" s="1"/>
  <c r="XV91" i="17" a="1"/>
  <c r="XV91" i="17" s="1"/>
  <c r="YK91" i="17" s="1"/>
  <c r="E91" i="17" s="1"/>
  <c r="XV175" i="17" a="1"/>
  <c r="XV175" i="17" s="1"/>
  <c r="YK175" i="17" s="1"/>
  <c r="E175" i="17" s="1"/>
  <c r="XV156" i="17" a="1"/>
  <c r="XV156" i="17" s="1"/>
  <c r="YK156" i="17" s="1"/>
  <c r="E156" i="17" s="1"/>
  <c r="XV94" i="17" a="1"/>
  <c r="XV94" i="17" s="1"/>
  <c r="YK94" i="17" s="1"/>
  <c r="E94" i="17" s="1"/>
  <c r="XV58" i="17" a="1"/>
  <c r="XV58" i="17" s="1"/>
  <c r="YK58" i="17" s="1"/>
  <c r="E58" i="17" s="1"/>
  <c r="XV164" i="17" a="1"/>
  <c r="XV164" i="17" s="1"/>
  <c r="YK164" i="17" s="1"/>
  <c r="E164" i="17" s="1"/>
  <c r="XV166" i="17" a="1"/>
  <c r="XV166" i="17" s="1"/>
  <c r="YK166" i="17" s="1"/>
  <c r="E166" i="17" s="1"/>
  <c r="XV11" i="17" a="1"/>
  <c r="XV11" i="17" s="1"/>
  <c r="YK11" i="17" s="1"/>
  <c r="E11" i="17" s="1"/>
  <c r="XV108" i="17" a="1"/>
  <c r="XV108" i="17" s="1"/>
  <c r="YK108" i="17" s="1"/>
  <c r="E108" i="17" s="1"/>
  <c r="XV46" i="17" a="1"/>
  <c r="XV46" i="17" s="1"/>
  <c r="YK46" i="17" s="1"/>
  <c r="E46" i="17" s="1"/>
  <c r="XV10" i="17" a="1"/>
  <c r="XV10" i="17" s="1"/>
  <c r="YK10" i="17" s="1"/>
  <c r="E10" i="17" s="1"/>
  <c r="XV52" i="17" a="1"/>
  <c r="XV52" i="17" s="1"/>
  <c r="YK52" i="17" s="1"/>
  <c r="E52" i="17" s="1"/>
  <c r="XV54" i="17" a="1"/>
  <c r="XV54" i="17" s="1"/>
  <c r="YK54" i="17" s="1"/>
  <c r="E54" i="17" s="1"/>
  <c r="XV82" i="17" a="1"/>
  <c r="XV82" i="17" s="1"/>
  <c r="YK82" i="17" s="1"/>
  <c r="E82" i="17" s="1"/>
  <c r="YK68" i="17"/>
  <c r="E68" i="17" s="1"/>
  <c r="YK121" i="17"/>
  <c r="E121" i="17" s="1"/>
  <c r="YK157" i="17"/>
  <c r="E157" i="17" s="1"/>
  <c r="YK151" i="17"/>
  <c r="E151" i="17" s="1"/>
  <c r="XV132" i="17" a="1"/>
  <c r="XV132" i="17" s="1"/>
  <c r="YK132" i="17" s="1"/>
  <c r="E132" i="17" s="1"/>
  <c r="XV48" i="17" a="1"/>
  <c r="XV48" i="17" s="1"/>
  <c r="YK48" i="17" s="1"/>
  <c r="E48" i="17" s="1"/>
  <c r="XV45" i="17" a="1"/>
  <c r="XV45" i="17" s="1"/>
  <c r="YK45" i="17" s="1"/>
  <c r="E45" i="17" s="1"/>
  <c r="XV53" i="17" a="1"/>
  <c r="XV53" i="17" s="1"/>
  <c r="YK53" i="17" s="1"/>
  <c r="E53" i="17" s="1"/>
  <c r="XV76" i="17" a="1"/>
  <c r="XV76" i="17" s="1"/>
  <c r="YK76" i="17" s="1"/>
  <c r="E76" i="17" s="1"/>
  <c r="XV14" i="17" a="1"/>
  <c r="XV14" i="17" s="1"/>
  <c r="YK14" i="17" s="1"/>
  <c r="E14" i="17" s="1"/>
  <c r="XV80" i="17" a="1"/>
  <c r="XV80" i="17" s="1"/>
  <c r="YK80" i="17" s="1"/>
  <c r="E80" i="17" s="1"/>
  <c r="XV84" i="17" a="1"/>
  <c r="XV84" i="17" s="1"/>
  <c r="YK84" i="17" s="1"/>
  <c r="E84" i="17" s="1"/>
  <c r="XV22" i="17" a="1"/>
  <c r="XV22" i="17" s="1"/>
  <c r="YK22" i="17" s="1"/>
  <c r="E22" i="17" s="1"/>
  <c r="XV112" i="17" a="1"/>
  <c r="XV112" i="17" s="1"/>
  <c r="YK112" i="17" s="1"/>
  <c r="E112" i="17" s="1"/>
  <c r="XV104" i="17" a="1"/>
  <c r="XV104" i="17" s="1"/>
  <c r="YK104" i="17" s="1"/>
  <c r="E104" i="17" s="1"/>
  <c r="XV158" i="17" a="1"/>
  <c r="XV158" i="17" s="1"/>
  <c r="YK158" i="17" s="1"/>
  <c r="E158" i="17" s="1"/>
  <c r="XV122" i="17" a="1"/>
  <c r="XV122" i="17" s="1"/>
  <c r="YK122" i="17" s="1"/>
  <c r="E122" i="17" s="1"/>
  <c r="XV136" i="17" a="1"/>
  <c r="XV136" i="17" s="1"/>
  <c r="YK136" i="17" s="1"/>
  <c r="E136" i="17" s="1"/>
  <c r="XV155" i="17" a="1"/>
  <c r="XV155" i="17" s="1"/>
  <c r="YK155" i="17" s="1"/>
  <c r="E155" i="17" s="1"/>
  <c r="XV75" i="17" a="1"/>
  <c r="XV75" i="17" s="1"/>
  <c r="YK75" i="17" s="1"/>
  <c r="E75" i="17" s="1"/>
  <c r="XV172" i="17" a="1"/>
  <c r="XV172" i="17" s="1"/>
  <c r="YK172" i="17" s="1"/>
  <c r="E172" i="17" s="1"/>
  <c r="YK110" i="17"/>
  <c r="E110" i="17" s="1"/>
  <c r="XV74" i="17" a="1"/>
  <c r="XV74" i="17" s="1"/>
  <c r="YK74" i="17" s="1"/>
  <c r="E74" i="17" s="1"/>
  <c r="XV116" i="17" a="1"/>
  <c r="XV116" i="17" s="1"/>
  <c r="YK116" i="17" s="1"/>
  <c r="E116" i="17" s="1"/>
  <c r="XV118" i="17" a="1"/>
  <c r="XV118" i="17" s="1"/>
  <c r="YK118" i="17" s="1"/>
  <c r="E118" i="17" s="1"/>
  <c r="XV146" i="17" a="1"/>
  <c r="XV146" i="17" s="1"/>
  <c r="YK146" i="17" s="1"/>
  <c r="E146" i="17" s="1"/>
  <c r="XV32" i="17" a="1"/>
  <c r="XV32" i="17" s="1"/>
  <c r="YK32" i="17" s="1"/>
  <c r="E32" i="17" s="1"/>
  <c r="XV98" i="17" a="1"/>
  <c r="XV98" i="17" s="1"/>
  <c r="YK98" i="17" s="1"/>
  <c r="E98" i="17" s="1"/>
  <c r="YK88" i="17"/>
  <c r="E88" i="17" s="1"/>
  <c r="YK8" i="17"/>
  <c r="E8" i="17" s="1"/>
  <c r="XV97" i="17" a="1"/>
  <c r="XV97" i="17" s="1"/>
  <c r="YK97" i="17" s="1"/>
  <c r="E97" i="17" s="1"/>
  <c r="XV34" i="17" a="1"/>
  <c r="XV34" i="17" s="1"/>
  <c r="YK34" i="17" s="1"/>
  <c r="E34" i="17" s="1"/>
  <c r="XV140" i="17" a="1"/>
  <c r="XV140" i="17" s="1"/>
  <c r="YK140" i="17" s="1"/>
  <c r="E140" i="17" s="1"/>
  <c r="XV78" i="17" a="1"/>
  <c r="XV78" i="17" s="1"/>
  <c r="YK78" i="17" s="1"/>
  <c r="E78" i="17" s="1"/>
  <c r="XV161" i="17" a="1"/>
  <c r="XV161" i="17" s="1"/>
  <c r="YK161" i="17" s="1"/>
  <c r="E161" i="17" s="1"/>
  <c r="XV148" i="17" a="1"/>
  <c r="XV148" i="17" s="1"/>
  <c r="YK148" i="17" s="1"/>
  <c r="E148" i="17" s="1"/>
  <c r="XV86" i="17" a="1"/>
  <c r="XV86" i="17" s="1"/>
  <c r="YK86" i="17" s="1"/>
  <c r="E86" i="17" s="1"/>
  <c r="YK99" i="17"/>
  <c r="E99" i="17" s="1"/>
  <c r="XV177" i="17" a="1"/>
  <c r="XV177" i="17" s="1"/>
  <c r="YK177" i="17" s="1"/>
  <c r="E177" i="17" s="1"/>
  <c r="XV152" i="17" a="1"/>
  <c r="XV152" i="17" s="1"/>
  <c r="YK152" i="17" s="1"/>
  <c r="E152" i="17" s="1"/>
  <c r="YK67" i="17"/>
  <c r="E67" i="17" s="1"/>
  <c r="XV69" i="17" a="1"/>
  <c r="XV69" i="17" s="1"/>
  <c r="YK69" i="17" s="1"/>
  <c r="E69" i="17" s="1"/>
  <c r="YK63" i="17"/>
  <c r="E63" i="17" s="1"/>
  <c r="XV73" i="17" a="1"/>
  <c r="XV73" i="17" s="1"/>
  <c r="YK73" i="17" s="1"/>
  <c r="E73" i="17" s="1"/>
  <c r="XV168" i="17" a="1"/>
  <c r="XV168" i="17" s="1"/>
  <c r="YK168" i="17" s="1"/>
  <c r="E168" i="17" s="1"/>
  <c r="XV174" i="17" a="1"/>
  <c r="XV174" i="17" s="1"/>
  <c r="YK174" i="17" s="1"/>
  <c r="E174" i="17" s="1"/>
  <c r="XV138" i="17" a="1"/>
  <c r="XV138" i="17" s="1"/>
  <c r="YK138" i="17" s="1"/>
  <c r="E138" i="17" s="1"/>
  <c r="YK25" i="17"/>
  <c r="E25" i="17" s="1"/>
  <c r="J346" i="8" s="1"/>
  <c r="XV41" i="17" a="1"/>
  <c r="XV41" i="17" s="1"/>
  <c r="YK41" i="17" s="1"/>
  <c r="E41" i="17" s="1"/>
  <c r="XV27" i="17" a="1"/>
  <c r="XV27" i="17" s="1"/>
  <c r="YK27" i="17" s="1"/>
  <c r="E27" i="17" s="1"/>
  <c r="XV37" i="17" a="1"/>
  <c r="XV37" i="17" s="1"/>
  <c r="YK37" i="17" s="1"/>
  <c r="E37" i="17" s="1"/>
  <c r="YK43" i="17"/>
  <c r="E43" i="17" s="1"/>
  <c r="XV62" i="17" a="1"/>
  <c r="XV62" i="17" s="1"/>
  <c r="YK62" i="17" s="1"/>
  <c r="E62" i="17" s="1"/>
  <c r="XV89" i="17" a="1"/>
  <c r="XV89" i="17" s="1"/>
  <c r="YK89" i="17" s="1"/>
  <c r="E89" i="17" s="1"/>
  <c r="XV101" i="17" a="1"/>
  <c r="XV101" i="17" s="1"/>
  <c r="YK101" i="17" s="1"/>
  <c r="E101" i="17" s="1"/>
  <c r="XV162" i="17" a="1"/>
  <c r="XV162" i="17" s="1"/>
  <c r="YK162" i="17" s="1"/>
  <c r="E162" i="17" s="1"/>
  <c r="XM5" i="17" a="1"/>
  <c r="XM5" i="17" s="1"/>
  <c r="XN5" i="17" s="1" a="1"/>
  <c r="XN5" i="17" s="1"/>
  <c r="XV5" i="17" s="1" a="1"/>
  <c r="XV5" i="17" s="1"/>
  <c r="XV40" i="17" a="1"/>
  <c r="XV40" i="17" s="1"/>
  <c r="YK40" i="17" s="1"/>
  <c r="E40" i="17" s="1"/>
  <c r="XV142" i="17" a="1"/>
  <c r="XV142" i="17" s="1"/>
  <c r="YK142" i="17" s="1"/>
  <c r="E142" i="17" s="1"/>
  <c r="XV42" i="17" a="1"/>
  <c r="XV42" i="17" s="1"/>
  <c r="YK42" i="17" s="1"/>
  <c r="E42" i="17" s="1"/>
  <c r="XV72" i="17" a="1"/>
  <c r="XV72" i="17" s="1"/>
  <c r="YK72" i="17" s="1"/>
  <c r="E72" i="17" s="1"/>
  <c r="XV150" i="17" a="1"/>
  <c r="XV150" i="17" s="1"/>
  <c r="YK150" i="17" s="1"/>
  <c r="E150" i="17" s="1"/>
  <c r="XV50" i="17" a="1"/>
  <c r="XV50" i="17" s="1"/>
  <c r="YK50" i="17" s="1"/>
  <c r="E50" i="17" s="1"/>
  <c r="XV61" i="17" a="1"/>
  <c r="XV61" i="17" s="1"/>
  <c r="YK61" i="17" s="1"/>
  <c r="E61" i="17" s="1"/>
  <c r="XV115" i="17" a="1"/>
  <c r="XV115" i="17" s="1"/>
  <c r="YK115" i="17" s="1"/>
  <c r="E115" i="17" s="1"/>
  <c r="YK133" i="17"/>
  <c r="E133" i="17" s="1"/>
  <c r="XV127" i="17" a="1"/>
  <c r="XV127" i="17" s="1"/>
  <c r="YK127" i="17" s="1"/>
  <c r="E127" i="17" s="1"/>
  <c r="XV13" i="17" a="1"/>
  <c r="XV13" i="17" s="1"/>
  <c r="YK13" i="17" s="1"/>
  <c r="E13" i="17" s="1"/>
  <c r="XV17" i="17" a="1"/>
  <c r="XV17" i="17" s="1"/>
  <c r="YK17" i="17" s="1"/>
  <c r="E17" i="17" s="1"/>
  <c r="XV19" i="17" a="1"/>
  <c r="XV19" i="17" s="1"/>
  <c r="YK19" i="17" s="1"/>
  <c r="E19" i="17" s="1"/>
  <c r="XV21" i="17" a="1"/>
  <c r="XV21" i="17" s="1"/>
  <c r="YK21" i="17" s="1"/>
  <c r="E21" i="17" s="1"/>
  <c r="XV15" i="17" a="1"/>
  <c r="XV15" i="17" s="1"/>
  <c r="YK15" i="17" s="1"/>
  <c r="E15" i="17" s="1"/>
  <c r="XV107" i="17" a="1"/>
  <c r="XV107" i="17" s="1"/>
  <c r="YK107" i="17" s="1"/>
  <c r="E107" i="17" s="1"/>
  <c r="XV165" i="17" a="1"/>
  <c r="XV165" i="17" s="1"/>
  <c r="YK165" i="17" s="1"/>
  <c r="E165" i="17" s="1"/>
  <c r="XV60" i="17" a="1"/>
  <c r="XV60" i="17" s="1"/>
  <c r="YK60" i="17" s="1"/>
  <c r="E60" i="17" s="1"/>
  <c r="XV126" i="17" a="1"/>
  <c r="XV126" i="17" s="1"/>
  <c r="YK126" i="17" s="1"/>
  <c r="E126" i="17" s="1"/>
  <c r="XV26" i="17" a="1"/>
  <c r="XV26" i="17" s="1"/>
  <c r="YK26" i="17" s="1"/>
  <c r="E26" i="17" s="1"/>
  <c r="XV120" i="17" a="1"/>
  <c r="XV120" i="17" s="1"/>
  <c r="YK120" i="17" s="1"/>
  <c r="E120" i="17" s="1"/>
  <c r="XV163" i="17" a="1"/>
  <c r="XV163" i="17" s="1"/>
  <c r="YK163" i="17" s="1"/>
  <c r="E163" i="17" s="1"/>
  <c r="XV129" i="17" a="1"/>
  <c r="XV129" i="17" s="1"/>
  <c r="YK129" i="17" s="1"/>
  <c r="E129" i="17" s="1"/>
  <c r="XV96" i="17" a="1"/>
  <c r="XV96" i="17" s="1"/>
  <c r="YK96" i="17" s="1"/>
  <c r="E96" i="17" s="1"/>
  <c r="J348" i="8" s="1"/>
  <c r="XV106" i="17" a="1"/>
  <c r="XV106" i="17" s="1"/>
  <c r="YK106" i="17" s="1"/>
  <c r="E106" i="17" s="1"/>
  <c r="XV145" i="17" a="1"/>
  <c r="XV145" i="17" s="1"/>
  <c r="YK145" i="17" s="1"/>
  <c r="E145" i="17" s="1"/>
  <c r="XV128" i="17" a="1"/>
  <c r="XV128" i="17" s="1"/>
  <c r="YK128" i="17" s="1"/>
  <c r="E128" i="17" s="1"/>
  <c r="XV114" i="17" a="1"/>
  <c r="XV114" i="17" s="1"/>
  <c r="YK114" i="17" s="1"/>
  <c r="E114" i="17" s="1"/>
  <c r="XV125" i="17" a="1"/>
  <c r="XV125" i="17" s="1"/>
  <c r="YK125" i="17" s="1"/>
  <c r="E125" i="17" s="1"/>
  <c r="XV55" i="17" a="1"/>
  <c r="XV55" i="17" s="1"/>
  <c r="YK55" i="17" s="1"/>
  <c r="E55" i="17" s="1"/>
  <c r="XV81" i="17" a="1"/>
  <c r="XV81" i="17" s="1"/>
  <c r="YK81" i="17" s="1"/>
  <c r="E81" i="17" s="1"/>
  <c r="XV176" i="17" a="1"/>
  <c r="XV176" i="17" s="1"/>
  <c r="YK176" i="17" s="1"/>
  <c r="E176" i="17" s="1"/>
  <c r="XV77" i="17" a="1"/>
  <c r="XV77" i="17" s="1"/>
  <c r="YK77" i="17" s="1"/>
  <c r="E77" i="17" s="1"/>
  <c r="XV7" i="17" a="1"/>
  <c r="XV7" i="17" s="1"/>
  <c r="YK7" i="17" s="1"/>
  <c r="E7" i="17" s="1"/>
  <c r="XV83" i="17" a="1"/>
  <c r="XV83" i="17" s="1"/>
  <c r="YK83" i="17" s="1"/>
  <c r="E83" i="17" s="1"/>
  <c r="XV85" i="17" a="1"/>
  <c r="XV85" i="17" s="1"/>
  <c r="YK85" i="17" s="1"/>
  <c r="E85" i="17" s="1"/>
  <c r="XV79" i="17" a="1"/>
  <c r="XV79" i="17" s="1"/>
  <c r="YK79" i="17" s="1"/>
  <c r="E79" i="17" s="1"/>
  <c r="YK70" i="17"/>
  <c r="E70" i="17" s="1"/>
  <c r="YK124" i="17"/>
  <c r="E124" i="17" s="1"/>
  <c r="YK16" i="17"/>
  <c r="E16" i="17" s="1"/>
  <c r="XV90" i="17" a="1"/>
  <c r="XV90" i="17" s="1"/>
  <c r="YK90" i="17" s="1"/>
  <c r="E90" i="17" s="1"/>
  <c r="XV6" i="17" a="1"/>
  <c r="XV6" i="17" s="1"/>
  <c r="YK6" i="17" s="1"/>
  <c r="E6" i="17" s="1"/>
  <c r="DK3" i="8" a="1"/>
  <c r="CZ3" i="8" a="1"/>
  <c r="CZ3" i="8" s="1"/>
  <c r="CQ3" i="8" a="1"/>
  <c r="CQ3" i="8" s="1"/>
  <c r="BJ3" i="8" a="1"/>
  <c r="BJ3" i="8" s="1"/>
  <c r="X3" i="8" a="1"/>
  <c r="X3" i="8" s="1"/>
  <c r="X4" i="8" s="1" a="1"/>
  <c r="DK3" i="8" l="1"/>
  <c r="T213" i="8"/>
  <c r="T227" i="8"/>
  <c r="T241" i="8"/>
  <c r="T255" i="8"/>
  <c r="T269" i="8"/>
  <c r="T283" i="8"/>
  <c r="T297" i="8"/>
  <c r="T311" i="8"/>
  <c r="T325" i="8"/>
  <c r="T339" i="8"/>
  <c r="T353" i="8"/>
  <c r="T228" i="8"/>
  <c r="T242" i="8"/>
  <c r="T256" i="8"/>
  <c r="T270" i="8"/>
  <c r="T284" i="8"/>
  <c r="T298" i="8"/>
  <c r="T312" i="8"/>
  <c r="T326" i="8"/>
  <c r="T340" i="8"/>
  <c r="T354" i="8"/>
  <c r="T215" i="8"/>
  <c r="T229" i="8"/>
  <c r="T243" i="8"/>
  <c r="T257" i="8"/>
  <c r="T271" i="8"/>
  <c r="T285" i="8"/>
  <c r="T313" i="8"/>
  <c r="T341" i="8"/>
  <c r="T355" i="8"/>
  <c r="T231" i="8"/>
  <c r="T259" i="8"/>
  <c r="T301" i="8"/>
  <c r="T329" i="8"/>
  <c r="T250" i="8"/>
  <c r="T251" i="8"/>
  <c r="T321" i="8"/>
  <c r="T252" i="8"/>
  <c r="T322" i="8"/>
  <c r="T225" i="8"/>
  <c r="T337" i="8"/>
  <c r="T240" i="8"/>
  <c r="T296" i="8"/>
  <c r="T352" i="8"/>
  <c r="T214" i="8"/>
  <c r="T327" i="8"/>
  <c r="T217" i="8"/>
  <c r="T273" i="8"/>
  <c r="T315" i="8"/>
  <c r="T357" i="8"/>
  <c r="T264" i="8"/>
  <c r="T334" i="8"/>
  <c r="T223" i="8"/>
  <c r="T293" i="8"/>
  <c r="T224" i="8"/>
  <c r="T239" i="8"/>
  <c r="T309" i="8"/>
  <c r="T254" i="8"/>
  <c r="T338" i="8"/>
  <c r="T299" i="8"/>
  <c r="T287" i="8"/>
  <c r="T278" i="8"/>
  <c r="T265" i="8"/>
  <c r="T349" i="8"/>
  <c r="T280" i="8"/>
  <c r="T350" i="8"/>
  <c r="T267" i="8"/>
  <c r="T226" i="8"/>
  <c r="T324" i="8"/>
  <c r="T216" i="8"/>
  <c r="T230" i="8"/>
  <c r="T244" i="8"/>
  <c r="T258" i="8"/>
  <c r="T272" i="8"/>
  <c r="T286" i="8"/>
  <c r="T300" i="8"/>
  <c r="T314" i="8"/>
  <c r="T328" i="8"/>
  <c r="T342" i="8"/>
  <c r="T356" i="8"/>
  <c r="T245" i="8"/>
  <c r="T343" i="8"/>
  <c r="T292" i="8"/>
  <c r="T348" i="8"/>
  <c r="T279" i="8"/>
  <c r="T335" i="8"/>
  <c r="T238" i="8"/>
  <c r="T336" i="8"/>
  <c r="T253" i="8"/>
  <c r="T351" i="8"/>
  <c r="T268" i="8"/>
  <c r="T218" i="8"/>
  <c r="T232" i="8"/>
  <c r="T246" i="8"/>
  <c r="T260" i="8"/>
  <c r="T274" i="8"/>
  <c r="T288" i="8"/>
  <c r="T302" i="8"/>
  <c r="T316" i="8"/>
  <c r="T330" i="8"/>
  <c r="T344" i="8"/>
  <c r="T358" i="8"/>
  <c r="T219" i="8"/>
  <c r="T233" i="8"/>
  <c r="T247" i="8"/>
  <c r="T261" i="8"/>
  <c r="T275" i="8"/>
  <c r="T289" i="8"/>
  <c r="T303" i="8"/>
  <c r="T317" i="8"/>
  <c r="T331" i="8"/>
  <c r="T345" i="8"/>
  <c r="T220" i="8"/>
  <c r="T234" i="8"/>
  <c r="T248" i="8"/>
  <c r="T262" i="8"/>
  <c r="T276" i="8"/>
  <c r="T290" i="8"/>
  <c r="T304" i="8"/>
  <c r="T318" i="8"/>
  <c r="T332" i="8"/>
  <c r="T346" i="8"/>
  <c r="T236" i="8"/>
  <c r="T320" i="8"/>
  <c r="T237" i="8"/>
  <c r="T307" i="8"/>
  <c r="T294" i="8"/>
  <c r="T295" i="8"/>
  <c r="T221" i="8"/>
  <c r="T235" i="8"/>
  <c r="T249" i="8"/>
  <c r="T263" i="8"/>
  <c r="T277" i="8"/>
  <c r="T291" i="8"/>
  <c r="T305" i="8"/>
  <c r="T319" i="8"/>
  <c r="T333" i="8"/>
  <c r="T347" i="8"/>
  <c r="T306" i="8"/>
  <c r="T266" i="8"/>
  <c r="T281" i="8"/>
  <c r="T282" i="8"/>
  <c r="T222" i="8"/>
  <c r="T308" i="8"/>
  <c r="T323" i="8"/>
  <c r="T310" i="8"/>
  <c r="X4" i="8"/>
  <c r="O283" i="8"/>
  <c r="O291" i="8"/>
  <c r="O299" i="8"/>
  <c r="O307" i="8"/>
  <c r="O315" i="8"/>
  <c r="O323" i="8"/>
  <c r="O331" i="8"/>
  <c r="O339" i="8"/>
  <c r="O347" i="8"/>
  <c r="O355" i="8"/>
  <c r="O286" i="8"/>
  <c r="O294" i="8"/>
  <c r="O302" i="8"/>
  <c r="O310" i="8"/>
  <c r="O318" i="8"/>
  <c r="O326" i="8"/>
  <c r="O334" i="8"/>
  <c r="O342" i="8"/>
  <c r="O350" i="8"/>
  <c r="O358" i="8"/>
  <c r="O281" i="8"/>
  <c r="O289" i="8"/>
  <c r="O297" i="8"/>
  <c r="O305" i="8"/>
  <c r="O313" i="8"/>
  <c r="O321" i="8"/>
  <c r="O329" i="8"/>
  <c r="O337" i="8"/>
  <c r="O345" i="8"/>
  <c r="O353" i="8"/>
  <c r="O357" i="8"/>
  <c r="O284" i="8"/>
  <c r="O292" i="8"/>
  <c r="O300" i="8"/>
  <c r="O308" i="8"/>
  <c r="O316" i="8"/>
  <c r="O324" i="8"/>
  <c r="O332" i="8"/>
  <c r="O340" i="8"/>
  <c r="O348" i="8"/>
  <c r="O356" i="8"/>
  <c r="O287" i="8"/>
  <c r="O295" i="8"/>
  <c r="O303" i="8"/>
  <c r="O311" i="8"/>
  <c r="O319" i="8"/>
  <c r="O327" i="8"/>
  <c r="O335" i="8"/>
  <c r="O343" i="8"/>
  <c r="O351" i="8"/>
  <c r="O354" i="8"/>
  <c r="O282" i="8"/>
  <c r="O290" i="8"/>
  <c r="O298" i="8"/>
  <c r="O306" i="8"/>
  <c r="O314" i="8"/>
  <c r="O322" i="8"/>
  <c r="O330" i="8"/>
  <c r="O338" i="8"/>
  <c r="O346" i="8"/>
  <c r="O285" i="8"/>
  <c r="O293" i="8"/>
  <c r="O301" i="8"/>
  <c r="O309" i="8"/>
  <c r="O317" i="8"/>
  <c r="O325" i="8"/>
  <c r="O333" i="8"/>
  <c r="O341" i="8"/>
  <c r="O349" i="8"/>
  <c r="O288" i="8"/>
  <c r="O296" i="8"/>
  <c r="O304" i="8"/>
  <c r="O312" i="8"/>
  <c r="O320" i="8"/>
  <c r="O328" i="8"/>
  <c r="O336" i="8"/>
  <c r="O344" i="8"/>
  <c r="O352" i="8"/>
  <c r="L182" i="8"/>
  <c r="L185" i="8"/>
  <c r="L183" i="8"/>
  <c r="L179" i="8"/>
  <c r="L186" i="8"/>
  <c r="L187" i="8"/>
  <c r="L184" i="8"/>
  <c r="L181" i="8"/>
  <c r="L178" i="8"/>
  <c r="L180" i="8"/>
  <c r="L177" i="8"/>
  <c r="K101" i="8"/>
  <c r="K181" i="8"/>
  <c r="K149" i="8"/>
  <c r="K182" i="8"/>
  <c r="K159" i="8"/>
  <c r="K129" i="8"/>
  <c r="K163" i="8"/>
  <c r="K115" i="8"/>
  <c r="K95" i="8"/>
  <c r="K183" i="8"/>
  <c r="K179" i="8"/>
  <c r="K111" i="8"/>
  <c r="K150" i="8"/>
  <c r="K92" i="8"/>
  <c r="K98" i="8"/>
  <c r="K169" i="8"/>
  <c r="K178" i="8"/>
  <c r="K121" i="8"/>
  <c r="K125" i="8"/>
  <c r="K116" i="8"/>
  <c r="K118" i="8"/>
  <c r="K137" i="8"/>
  <c r="K145" i="8"/>
  <c r="K144" i="8"/>
  <c r="K143" i="8"/>
  <c r="K167" i="8"/>
  <c r="K133" i="8"/>
  <c r="K139" i="8"/>
  <c r="K161" i="8"/>
  <c r="K173" i="8"/>
  <c r="K180" i="8"/>
  <c r="K117" i="8"/>
  <c r="K136" i="8"/>
  <c r="K138" i="8"/>
  <c r="K119" i="8"/>
  <c r="K103" i="8"/>
  <c r="K172" i="8"/>
  <c r="K154" i="8"/>
  <c r="K110" i="8"/>
  <c r="K170" i="8"/>
  <c r="K156" i="8"/>
  <c r="K168" i="8"/>
  <c r="K130" i="8"/>
  <c r="K162" i="8"/>
  <c r="K124" i="8"/>
  <c r="K96" i="8"/>
  <c r="K175" i="8"/>
  <c r="K132" i="8"/>
  <c r="K146" i="8"/>
  <c r="K97" i="8"/>
  <c r="K165" i="8"/>
  <c r="K176" i="8"/>
  <c r="K104" i="8"/>
  <c r="K152" i="8"/>
  <c r="K107" i="8"/>
  <c r="K126" i="8"/>
  <c r="K114" i="8"/>
  <c r="K157" i="8"/>
  <c r="K122" i="8"/>
  <c r="K151" i="8"/>
  <c r="K105" i="8"/>
  <c r="K147" i="8"/>
  <c r="K184" i="8"/>
  <c r="K134" i="8"/>
  <c r="K155" i="8"/>
  <c r="K94" i="8"/>
  <c r="K153" i="8"/>
  <c r="K177" i="8"/>
  <c r="K140" i="8"/>
  <c r="K106" i="8"/>
  <c r="K166" i="8"/>
  <c r="K131" i="8"/>
  <c r="K158" i="8"/>
  <c r="K128" i="8"/>
  <c r="K93" i="8"/>
  <c r="K50" i="8"/>
  <c r="K42" i="8"/>
  <c r="K71" i="8"/>
  <c r="K80" i="8"/>
  <c r="K102" i="8"/>
  <c r="L102" i="8"/>
  <c r="K85" i="8"/>
  <c r="K135" i="8"/>
  <c r="K88" i="8"/>
  <c r="K142" i="8"/>
  <c r="L117" i="8"/>
  <c r="K86" i="8"/>
  <c r="L159" i="8"/>
  <c r="K56" i="8"/>
  <c r="L124" i="8"/>
  <c r="K160" i="8"/>
  <c r="L147" i="8"/>
  <c r="K39" i="8"/>
  <c r="K11" i="8"/>
  <c r="K63" i="8"/>
  <c r="K6" i="8"/>
  <c r="K77" i="8"/>
  <c r="K120" i="8"/>
  <c r="K164" i="8"/>
  <c r="K84" i="8"/>
  <c r="K112" i="8"/>
  <c r="K73" i="8"/>
  <c r="K185" i="8"/>
  <c r="K61" i="8"/>
  <c r="K57" i="8"/>
  <c r="K45" i="8"/>
  <c r="L133" i="8"/>
  <c r="K35" i="8"/>
  <c r="L172" i="8"/>
  <c r="K43" i="8"/>
  <c r="L170" i="8"/>
  <c r="K18" i="8"/>
  <c r="K31" i="8"/>
  <c r="K90" i="8"/>
  <c r="K68" i="8"/>
  <c r="K69" i="8"/>
  <c r="K37" i="8"/>
  <c r="K24" i="8"/>
  <c r="K72" i="8"/>
  <c r="K19" i="8"/>
  <c r="K82" i="8"/>
  <c r="K76" i="8"/>
  <c r="K87" i="8"/>
  <c r="K25" i="8"/>
  <c r="K62" i="8"/>
  <c r="K54" i="8"/>
  <c r="L104" i="8"/>
  <c r="K44" i="8"/>
  <c r="K141" i="8"/>
  <c r="K186" i="8"/>
  <c r="K60" i="8"/>
  <c r="K34" i="8"/>
  <c r="K75" i="8"/>
  <c r="L144" i="8"/>
  <c r="K79" i="8"/>
  <c r="K59" i="8"/>
  <c r="K40" i="8"/>
  <c r="K51" i="8"/>
  <c r="K48" i="8"/>
  <c r="K55" i="8"/>
  <c r="K15" i="8"/>
  <c r="K66" i="8"/>
  <c r="K30" i="8"/>
  <c r="K58" i="8"/>
  <c r="K38" i="8"/>
  <c r="K52" i="8"/>
  <c r="K22" i="8"/>
  <c r="K148" i="8"/>
  <c r="K23" i="8"/>
  <c r="K13" i="8"/>
  <c r="K171" i="8"/>
  <c r="K81" i="8"/>
  <c r="L143" i="8"/>
  <c r="K12" i="8"/>
  <c r="K53" i="8"/>
  <c r="K65" i="8"/>
  <c r="K91" i="8"/>
  <c r="L114" i="8"/>
  <c r="K36" i="8"/>
  <c r="K10" i="8"/>
  <c r="I8" i="18" s="1"/>
  <c r="K64" i="8"/>
  <c r="K41" i="8"/>
  <c r="K7" i="8"/>
  <c r="K29" i="8"/>
  <c r="K109" i="8"/>
  <c r="K89" i="8"/>
  <c r="K17" i="8"/>
  <c r="K83" i="8"/>
  <c r="K187" i="8"/>
  <c r="K67" i="8"/>
  <c r="L154" i="8"/>
  <c r="K20" i="8"/>
  <c r="K28" i="8"/>
  <c r="L173" i="8"/>
  <c r="K5" i="8"/>
  <c r="L136" i="8"/>
  <c r="K32" i="8"/>
  <c r="K127" i="8"/>
  <c r="K27" i="8"/>
  <c r="K14" i="8"/>
  <c r="K9" i="8"/>
  <c r="I7" i="18" s="1"/>
  <c r="K99" i="8"/>
  <c r="K123" i="8"/>
  <c r="L175" i="8"/>
  <c r="L127" i="8"/>
  <c r="K47" i="8"/>
  <c r="K113" i="8"/>
  <c r="K78" i="8"/>
  <c r="K16" i="8"/>
  <c r="K21" i="8"/>
  <c r="K26" i="8"/>
  <c r="L111" i="8"/>
  <c r="K8" i="8"/>
  <c r="L135" i="8"/>
  <c r="K33" i="8"/>
  <c r="K100" i="8"/>
  <c r="K108" i="8"/>
  <c r="K70" i="8"/>
  <c r="K49" i="8"/>
  <c r="L176" i="8"/>
  <c r="K74" i="8"/>
  <c r="K46" i="8"/>
  <c r="K174" i="8"/>
  <c r="L9" i="8"/>
  <c r="J7" i="18" s="1"/>
  <c r="L67" i="8"/>
  <c r="L146" i="8"/>
  <c r="L27" i="8"/>
  <c r="L101" i="8"/>
  <c r="L105" i="8"/>
  <c r="L171" i="8"/>
  <c r="L156" i="8"/>
  <c r="L63" i="8"/>
  <c r="L74" i="8"/>
  <c r="L131" i="8"/>
  <c r="L30" i="8"/>
  <c r="L95" i="8"/>
  <c r="L138" i="8"/>
  <c r="L118" i="8"/>
  <c r="L167" i="8"/>
  <c r="L145" i="8"/>
  <c r="L116" i="8"/>
  <c r="L140" i="8"/>
  <c r="L57" i="8"/>
  <c r="L164" i="8"/>
  <c r="L129" i="8"/>
  <c r="L137" i="8"/>
  <c r="L40" i="8"/>
  <c r="L152" i="8"/>
  <c r="L10" i="8"/>
  <c r="J8" i="18" s="1"/>
  <c r="L69" i="8"/>
  <c r="L157" i="8"/>
  <c r="L119" i="8"/>
  <c r="L56" i="8"/>
  <c r="L79" i="8"/>
  <c r="L61" i="8"/>
  <c r="L42" i="8"/>
  <c r="L44" i="8"/>
  <c r="L126" i="8"/>
  <c r="L47" i="8"/>
  <c r="L81" i="8"/>
  <c r="L155" i="8"/>
  <c r="L125" i="8"/>
  <c r="L98" i="8"/>
  <c r="L34" i="8"/>
  <c r="L78" i="8"/>
  <c r="L28" i="8"/>
  <c r="L17" i="8"/>
  <c r="L50" i="8"/>
  <c r="L150" i="8"/>
  <c r="L106" i="8"/>
  <c r="L94" i="8"/>
  <c r="L15" i="8"/>
  <c r="L45" i="8"/>
  <c r="L31" i="8"/>
  <c r="L58" i="8"/>
  <c r="L108" i="8"/>
  <c r="L151" i="8"/>
  <c r="L38" i="8"/>
  <c r="L5" i="8"/>
  <c r="L132" i="8"/>
  <c r="L52" i="8"/>
  <c r="L91" i="8"/>
  <c r="L115" i="8"/>
  <c r="L92" i="8"/>
  <c r="L39" i="8"/>
  <c r="L54" i="8"/>
  <c r="L83" i="8"/>
  <c r="L168" i="8"/>
  <c r="L162" i="8"/>
  <c r="L35" i="8"/>
  <c r="L12" i="8"/>
  <c r="L113" i="8"/>
  <c r="L29" i="8"/>
  <c r="L148" i="8"/>
  <c r="L165" i="8"/>
  <c r="L73" i="8"/>
  <c r="L82" i="8"/>
  <c r="L60" i="8"/>
  <c r="L66" i="8"/>
  <c r="L112" i="8"/>
  <c r="L72" i="8"/>
  <c r="L80" i="8"/>
  <c r="L122" i="8"/>
  <c r="L7" i="8"/>
  <c r="L46" i="8"/>
  <c r="L76" i="8"/>
  <c r="L36" i="8"/>
  <c r="L48" i="8"/>
  <c r="L16" i="8"/>
  <c r="L64" i="8"/>
  <c r="L88" i="8"/>
  <c r="L89" i="8"/>
  <c r="L85" i="8"/>
  <c r="L166" i="8"/>
  <c r="L62" i="8"/>
  <c r="L120" i="8"/>
  <c r="L134" i="8"/>
  <c r="L8" i="8"/>
  <c r="L103" i="8"/>
  <c r="L97" i="8"/>
  <c r="L123" i="8"/>
  <c r="L96" i="8"/>
  <c r="L53" i="8"/>
  <c r="L130" i="8"/>
  <c r="L25" i="8"/>
  <c r="L90" i="8"/>
  <c r="L128" i="8"/>
  <c r="L141" i="8"/>
  <c r="L71" i="8"/>
  <c r="L86" i="8"/>
  <c r="L19" i="8"/>
  <c r="L13" i="8"/>
  <c r="L121" i="8"/>
  <c r="L75" i="8"/>
  <c r="L68" i="8"/>
  <c r="L18" i="8"/>
  <c r="L169" i="8"/>
  <c r="L163" i="8"/>
  <c r="L65" i="8"/>
  <c r="L149" i="8"/>
  <c r="L77" i="8"/>
  <c r="L109" i="8"/>
  <c r="L22" i="8"/>
  <c r="L55" i="8"/>
  <c r="L142" i="8"/>
  <c r="L20" i="8"/>
  <c r="L21" i="8"/>
  <c r="L14" i="8"/>
  <c r="L11" i="8"/>
  <c r="L93" i="8"/>
  <c r="L51" i="8"/>
  <c r="L6" i="8"/>
  <c r="L160" i="8"/>
  <c r="L153" i="8"/>
  <c r="L59" i="8"/>
  <c r="L139" i="8"/>
  <c r="L33" i="8"/>
  <c r="L43" i="8"/>
  <c r="L107" i="8"/>
  <c r="L37" i="8"/>
  <c r="L174" i="8"/>
  <c r="L23" i="8"/>
  <c r="L24" i="8"/>
  <c r="L99" i="8"/>
  <c r="L49" i="8"/>
  <c r="L100" i="8"/>
  <c r="L26" i="8"/>
  <c r="L70" i="8"/>
  <c r="L158" i="8"/>
  <c r="L87" i="8"/>
  <c r="L41" i="8"/>
  <c r="L32" i="8"/>
  <c r="L110" i="8"/>
  <c r="L84" i="8"/>
  <c r="L161" i="8"/>
  <c r="J13" i="8"/>
  <c r="J21" i="8"/>
  <c r="J29" i="8"/>
  <c r="J37" i="8"/>
  <c r="J45" i="8"/>
  <c r="J53" i="8"/>
  <c r="J61" i="8"/>
  <c r="J69" i="8"/>
  <c r="J77" i="8"/>
  <c r="J85" i="8"/>
  <c r="J93" i="8"/>
  <c r="J101" i="8"/>
  <c r="J109" i="8"/>
  <c r="J117" i="8"/>
  <c r="J125" i="8"/>
  <c r="J133" i="8"/>
  <c r="J141" i="8"/>
  <c r="J149" i="8"/>
  <c r="J157" i="8"/>
  <c r="J165" i="8"/>
  <c r="J173" i="8"/>
  <c r="J181" i="8"/>
  <c r="J6" i="8"/>
  <c r="J14" i="8"/>
  <c r="J22" i="8"/>
  <c r="J30" i="8"/>
  <c r="J38" i="8"/>
  <c r="J46" i="8"/>
  <c r="J54" i="8"/>
  <c r="J62" i="8"/>
  <c r="J70" i="8"/>
  <c r="J78" i="8"/>
  <c r="J86" i="8"/>
  <c r="J94" i="8"/>
  <c r="J102" i="8"/>
  <c r="J110" i="8"/>
  <c r="J118" i="8"/>
  <c r="J126" i="8"/>
  <c r="J134" i="8"/>
  <c r="J142" i="8"/>
  <c r="J150" i="8"/>
  <c r="J158" i="8"/>
  <c r="J166" i="8"/>
  <c r="J174" i="8"/>
  <c r="J182" i="8"/>
  <c r="J7" i="8"/>
  <c r="J15" i="8"/>
  <c r="J23" i="8"/>
  <c r="J31" i="8"/>
  <c r="J39" i="8"/>
  <c r="J47" i="8"/>
  <c r="J55" i="8"/>
  <c r="J63" i="8"/>
  <c r="J71" i="8"/>
  <c r="J79" i="8"/>
  <c r="J87" i="8"/>
  <c r="J95" i="8"/>
  <c r="J103" i="8"/>
  <c r="J111" i="8"/>
  <c r="J119" i="8"/>
  <c r="J127" i="8"/>
  <c r="J135" i="8"/>
  <c r="J143" i="8"/>
  <c r="J151" i="8"/>
  <c r="J159" i="8"/>
  <c r="J167" i="8"/>
  <c r="J175" i="8"/>
  <c r="J183" i="8"/>
  <c r="J17" i="8"/>
  <c r="J25" i="8"/>
  <c r="J33" i="8"/>
  <c r="J41" i="8"/>
  <c r="J49" i="8"/>
  <c r="J57" i="8"/>
  <c r="J65" i="8"/>
  <c r="J73" i="8"/>
  <c r="J81" i="8"/>
  <c r="J89" i="8"/>
  <c r="J97" i="8"/>
  <c r="J105" i="8"/>
  <c r="J113" i="8"/>
  <c r="J121" i="8"/>
  <c r="J129" i="8"/>
  <c r="J137" i="8"/>
  <c r="J145" i="8"/>
  <c r="J153" i="8"/>
  <c r="J161" i="8"/>
  <c r="J169" i="8"/>
  <c r="J177" i="8"/>
  <c r="J185" i="8"/>
  <c r="J18" i="8"/>
  <c r="J26" i="8"/>
  <c r="J34" i="8"/>
  <c r="J42" i="8"/>
  <c r="J50" i="8"/>
  <c r="J58" i="8"/>
  <c r="J66" i="8"/>
  <c r="J74" i="8"/>
  <c r="J82" i="8"/>
  <c r="J90" i="8"/>
  <c r="J98" i="8"/>
  <c r="J106" i="8"/>
  <c r="J114" i="8"/>
  <c r="J122" i="8"/>
  <c r="J130" i="8"/>
  <c r="J138" i="8"/>
  <c r="J146" i="8"/>
  <c r="J154" i="8"/>
  <c r="J162" i="8"/>
  <c r="J170" i="8"/>
  <c r="J178" i="8"/>
  <c r="J186" i="8"/>
  <c r="J27" i="8"/>
  <c r="J48" i="8"/>
  <c r="J68" i="8"/>
  <c r="J91" i="8"/>
  <c r="J112" i="8"/>
  <c r="J132" i="8"/>
  <c r="J155" i="8"/>
  <c r="J176" i="8"/>
  <c r="J84" i="8"/>
  <c r="J128" i="8"/>
  <c r="J24" i="8"/>
  <c r="J131" i="8"/>
  <c r="J172" i="8"/>
  <c r="J8" i="8"/>
  <c r="J28" i="8"/>
  <c r="J51" i="8"/>
  <c r="J72" i="8"/>
  <c r="J92" i="8"/>
  <c r="J115" i="8"/>
  <c r="J136" i="8"/>
  <c r="J156" i="8"/>
  <c r="J179" i="8"/>
  <c r="J152" i="8"/>
  <c r="J11" i="8"/>
  <c r="J32" i="8"/>
  <c r="J52" i="8"/>
  <c r="J75" i="8"/>
  <c r="J96" i="8"/>
  <c r="J116" i="8"/>
  <c r="J139" i="8"/>
  <c r="J160" i="8"/>
  <c r="J180" i="8"/>
  <c r="J43" i="8"/>
  <c r="J107" i="8"/>
  <c r="J171" i="8"/>
  <c r="J108" i="8"/>
  <c r="J12" i="8"/>
  <c r="J35" i="8"/>
  <c r="J56" i="8"/>
  <c r="J76" i="8"/>
  <c r="J99" i="8"/>
  <c r="J120" i="8"/>
  <c r="J140" i="8"/>
  <c r="J163" i="8"/>
  <c r="J184" i="8"/>
  <c r="J44" i="8"/>
  <c r="J16" i="8"/>
  <c r="J36" i="8"/>
  <c r="J59" i="8"/>
  <c r="J80" i="8"/>
  <c r="J100" i="8"/>
  <c r="J123" i="8"/>
  <c r="J144" i="8"/>
  <c r="J164" i="8"/>
  <c r="J187" i="8"/>
  <c r="J64" i="8"/>
  <c r="J148" i="8"/>
  <c r="J67" i="8"/>
  <c r="J19" i="8"/>
  <c r="J40" i="8"/>
  <c r="J60" i="8"/>
  <c r="J83" i="8"/>
  <c r="J104" i="8"/>
  <c r="J124" i="8"/>
  <c r="J147" i="8"/>
  <c r="J168" i="8"/>
  <c r="J88" i="8"/>
  <c r="H5" i="8"/>
  <c r="H13" i="8"/>
  <c r="H21" i="8"/>
  <c r="H29" i="8"/>
  <c r="H37" i="8"/>
  <c r="H45" i="8"/>
  <c r="H53" i="8"/>
  <c r="H61" i="8"/>
  <c r="H69" i="8"/>
  <c r="H77" i="8"/>
  <c r="H85" i="8"/>
  <c r="H93" i="8"/>
  <c r="H101" i="8"/>
  <c r="H109" i="8"/>
  <c r="H117" i="8"/>
  <c r="H125" i="8"/>
  <c r="H133" i="8"/>
  <c r="H141" i="8"/>
  <c r="H149" i="8"/>
  <c r="H157" i="8"/>
  <c r="H165" i="8"/>
  <c r="H173" i="8"/>
  <c r="H181" i="8"/>
  <c r="H51" i="8"/>
  <c r="H67" i="8"/>
  <c r="H115" i="8"/>
  <c r="H139" i="8"/>
  <c r="H28" i="8"/>
  <c r="H68" i="8"/>
  <c r="H116" i="8"/>
  <c r="H148" i="8"/>
  <c r="H6" i="8"/>
  <c r="H14" i="8"/>
  <c r="H22" i="8"/>
  <c r="H30" i="8"/>
  <c r="H38" i="8"/>
  <c r="H46" i="8"/>
  <c r="H54" i="8"/>
  <c r="H62" i="8"/>
  <c r="H70" i="8"/>
  <c r="H78" i="8"/>
  <c r="H86" i="8"/>
  <c r="H94" i="8"/>
  <c r="H102" i="8"/>
  <c r="H110" i="8"/>
  <c r="H118" i="8"/>
  <c r="H126" i="8"/>
  <c r="H134" i="8"/>
  <c r="H142" i="8"/>
  <c r="H150" i="8"/>
  <c r="H158" i="8"/>
  <c r="H166" i="8"/>
  <c r="H174" i="8"/>
  <c r="H182" i="8"/>
  <c r="H35" i="8"/>
  <c r="H91" i="8"/>
  <c r="H163" i="8"/>
  <c r="H52" i="8"/>
  <c r="H76" i="8"/>
  <c r="H124" i="8"/>
  <c r="H172" i="8"/>
  <c r="H7" i="8"/>
  <c r="H15" i="8"/>
  <c r="H23" i="8"/>
  <c r="H31" i="8"/>
  <c r="H39" i="8"/>
  <c r="H47" i="8"/>
  <c r="H55" i="8"/>
  <c r="H63" i="8"/>
  <c r="H71" i="8"/>
  <c r="H79" i="8"/>
  <c r="H87" i="8"/>
  <c r="H95" i="8"/>
  <c r="H103" i="8"/>
  <c r="H111" i="8"/>
  <c r="H119" i="8"/>
  <c r="H127" i="8"/>
  <c r="H135" i="8"/>
  <c r="H143" i="8"/>
  <c r="H151" i="8"/>
  <c r="H159" i="8"/>
  <c r="H167" i="8"/>
  <c r="H175" i="8"/>
  <c r="H183" i="8"/>
  <c r="H43" i="8"/>
  <c r="H83" i="8"/>
  <c r="H107" i="8"/>
  <c r="H147" i="8"/>
  <c r="H179" i="8"/>
  <c r="H20" i="8"/>
  <c r="H60" i="8"/>
  <c r="H108" i="8"/>
  <c r="H156" i="8"/>
  <c r="H8" i="8"/>
  <c r="F6" i="18" s="1"/>
  <c r="H16" i="8"/>
  <c r="H24" i="8"/>
  <c r="H32" i="8"/>
  <c r="H40" i="8"/>
  <c r="H48" i="8"/>
  <c r="H56" i="8"/>
  <c r="H64" i="8"/>
  <c r="H72" i="8"/>
  <c r="H80" i="8"/>
  <c r="H88" i="8"/>
  <c r="H96" i="8"/>
  <c r="H104" i="8"/>
  <c r="H112" i="8"/>
  <c r="H120" i="8"/>
  <c r="H128" i="8"/>
  <c r="H136" i="8"/>
  <c r="H144" i="8"/>
  <c r="H152" i="8"/>
  <c r="H160" i="8"/>
  <c r="H168" i="8"/>
  <c r="H176" i="8"/>
  <c r="H184" i="8"/>
  <c r="H27" i="8"/>
  <c r="H59" i="8"/>
  <c r="H75" i="8"/>
  <c r="H131" i="8"/>
  <c r="H187" i="8"/>
  <c r="H36" i="8"/>
  <c r="H84" i="8"/>
  <c r="H140" i="8"/>
  <c r="H9" i="8"/>
  <c r="F7" i="18" s="1"/>
  <c r="H17" i="8"/>
  <c r="H25" i="8"/>
  <c r="H33" i="8"/>
  <c r="H41" i="8"/>
  <c r="H49" i="8"/>
  <c r="H57" i="8"/>
  <c r="H65" i="8"/>
  <c r="H73" i="8"/>
  <c r="H81" i="8"/>
  <c r="H89" i="8"/>
  <c r="H97" i="8"/>
  <c r="H105" i="8"/>
  <c r="H113" i="8"/>
  <c r="H121" i="8"/>
  <c r="H129" i="8"/>
  <c r="H137" i="8"/>
  <c r="H145" i="8"/>
  <c r="H153" i="8"/>
  <c r="H161" i="8"/>
  <c r="H169" i="8"/>
  <c r="H177" i="8"/>
  <c r="H185" i="8"/>
  <c r="H19" i="8"/>
  <c r="H123" i="8"/>
  <c r="H171" i="8"/>
  <c r="H12" i="8"/>
  <c r="H100" i="8"/>
  <c r="H164" i="8"/>
  <c r="H10" i="8"/>
  <c r="F8" i="18" s="1"/>
  <c r="H18" i="8"/>
  <c r="H26" i="8"/>
  <c r="H34" i="8"/>
  <c r="H42" i="8"/>
  <c r="H50" i="8"/>
  <c r="H58" i="8"/>
  <c r="H66" i="8"/>
  <c r="H74" i="8"/>
  <c r="H82" i="8"/>
  <c r="H90" i="8"/>
  <c r="H98" i="8"/>
  <c r="H106" i="8"/>
  <c r="H114" i="8"/>
  <c r="H122" i="8"/>
  <c r="H130" i="8"/>
  <c r="H138" i="8"/>
  <c r="H146" i="8"/>
  <c r="H154" i="8"/>
  <c r="H162" i="8"/>
  <c r="H170" i="8"/>
  <c r="H178" i="8"/>
  <c r="H186" i="8"/>
  <c r="H11" i="8"/>
  <c r="H99" i="8"/>
  <c r="H155" i="8"/>
  <c r="H44" i="8"/>
  <c r="H92" i="8"/>
  <c r="H132" i="8"/>
  <c r="H180" i="8"/>
  <c r="F185" i="8" a="1"/>
  <c r="F185" i="8" s="1"/>
  <c r="F186" i="8" a="1"/>
  <c r="F186" i="8" s="1"/>
  <c r="F182" i="8" a="1"/>
  <c r="F182" i="8" s="1"/>
  <c r="F183" i="8" a="1"/>
  <c r="F183" i="8" s="1"/>
  <c r="F187" i="8" a="1"/>
  <c r="F187" i="8" s="1"/>
  <c r="F177" i="8" a="1"/>
  <c r="F177" i="8" s="1"/>
  <c r="F178" i="8" a="1"/>
  <c r="F178" i="8" s="1"/>
  <c r="F179" i="8" a="1"/>
  <c r="F179" i="8" s="1"/>
  <c r="F180" i="8" a="1"/>
  <c r="F180" i="8" s="1"/>
  <c r="F181" i="8" a="1"/>
  <c r="F181" i="8" s="1"/>
  <c r="F184" i="8" a="1"/>
  <c r="F184" i="8" s="1"/>
  <c r="N186" i="8"/>
  <c r="N178" i="8"/>
  <c r="N182" i="8"/>
  <c r="N180" i="8"/>
  <c r="N181" i="8"/>
  <c r="N183" i="8"/>
  <c r="N179" i="8"/>
  <c r="N184" i="8"/>
  <c r="N187" i="8"/>
  <c r="N177" i="8"/>
  <c r="N185" i="8"/>
  <c r="M185" i="8"/>
  <c r="I181" i="8"/>
  <c r="M187" i="8"/>
  <c r="M179" i="8"/>
  <c r="G179" i="8"/>
  <c r="I187" i="8"/>
  <c r="G178" i="8"/>
  <c r="M178" i="8"/>
  <c r="M180" i="8"/>
  <c r="G187" i="8"/>
  <c r="I183" i="8"/>
  <c r="I180" i="8"/>
  <c r="I186" i="8"/>
  <c r="M181" i="8"/>
  <c r="M182" i="8"/>
  <c r="G177" i="8"/>
  <c r="G186" i="8"/>
  <c r="I185" i="8"/>
  <c r="I177" i="8"/>
  <c r="M183" i="8"/>
  <c r="G182" i="8"/>
  <c r="I179" i="8"/>
  <c r="I184" i="8"/>
  <c r="M184" i="8"/>
  <c r="M186" i="8"/>
  <c r="G180" i="8"/>
  <c r="I182" i="8"/>
  <c r="G181" i="8"/>
  <c r="I178" i="8"/>
  <c r="M177" i="8"/>
  <c r="G185" i="8"/>
  <c r="G183" i="8"/>
  <c r="G184" i="8"/>
  <c r="YK5" i="17"/>
  <c r="E5" i="17" s="1"/>
  <c r="J20" i="8" s="1"/>
  <c r="N162" i="8"/>
  <c r="F163" i="8" a="1"/>
  <c r="F163" i="8" s="1"/>
  <c r="G163" i="8"/>
  <c r="I164" i="8"/>
  <c r="I167" i="8"/>
  <c r="I163" i="8"/>
  <c r="M164" i="8"/>
  <c r="G166" i="8"/>
  <c r="M167" i="8"/>
  <c r="G169" i="8"/>
  <c r="M163" i="8"/>
  <c r="N164" i="8"/>
  <c r="I166" i="8"/>
  <c r="N167" i="8"/>
  <c r="I169" i="8"/>
  <c r="I162" i="8"/>
  <c r="F164" i="8" a="1"/>
  <c r="F164" i="8" s="1"/>
  <c r="M162" i="8"/>
  <c r="M165" i="8"/>
  <c r="M168" i="8"/>
  <c r="F165" i="8" a="1"/>
  <c r="F165" i="8" s="1"/>
  <c r="M166" i="8"/>
  <c r="N170" i="8"/>
  <c r="I172" i="8"/>
  <c r="N173" i="8"/>
  <c r="F174" i="8" a="1"/>
  <c r="F174" i="8" s="1"/>
  <c r="I175" i="8"/>
  <c r="M172" i="8"/>
  <c r="F162" i="8" a="1"/>
  <c r="F162" i="8" s="1"/>
  <c r="I165" i="8"/>
  <c r="G171" i="8"/>
  <c r="N172" i="8"/>
  <c r="I174" i="8"/>
  <c r="N175" i="8"/>
  <c r="G168" i="8"/>
  <c r="N169" i="8"/>
  <c r="G173" i="8"/>
  <c r="I176" i="8"/>
  <c r="G164" i="8"/>
  <c r="N165" i="8"/>
  <c r="F169" i="8" a="1"/>
  <c r="F169" i="8" s="1"/>
  <c r="I171" i="8"/>
  <c r="M174" i="8"/>
  <c r="F176" i="8" a="1"/>
  <c r="F176" i="8" s="1"/>
  <c r="F168" i="8" a="1"/>
  <c r="F168" i="8" s="1"/>
  <c r="M169" i="8"/>
  <c r="F170" i="8" a="1"/>
  <c r="F170" i="8" s="1"/>
  <c r="M171" i="8"/>
  <c r="F173" i="8" a="1"/>
  <c r="F173" i="8" s="1"/>
  <c r="N174" i="8"/>
  <c r="G176" i="8"/>
  <c r="G170" i="8"/>
  <c r="N171" i="8"/>
  <c r="N163" i="8"/>
  <c r="F167" i="8" a="1"/>
  <c r="F167" i="8" s="1"/>
  <c r="I168" i="8"/>
  <c r="I170" i="8"/>
  <c r="F172" i="8" a="1"/>
  <c r="F172" i="8" s="1"/>
  <c r="I173" i="8"/>
  <c r="F175" i="8" a="1"/>
  <c r="F175" i="8" s="1"/>
  <c r="M176" i="8"/>
  <c r="F166" i="8" a="1"/>
  <c r="F166" i="8" s="1"/>
  <c r="N166" i="8"/>
  <c r="F171" i="8" a="1"/>
  <c r="F171" i="8" s="1"/>
  <c r="G167" i="8"/>
  <c r="N168" i="8"/>
  <c r="M170" i="8"/>
  <c r="G172" i="8"/>
  <c r="M173" i="8"/>
  <c r="G175" i="8"/>
  <c r="N176" i="8"/>
  <c r="G165" i="8"/>
  <c r="G174" i="8"/>
  <c r="M175" i="8"/>
  <c r="N5" i="8"/>
  <c r="N6" i="8"/>
  <c r="N14" i="8"/>
  <c r="N22" i="8"/>
  <c r="N30" i="8"/>
  <c r="N38" i="8"/>
  <c r="N46" i="8"/>
  <c r="N54" i="8"/>
  <c r="N62" i="8"/>
  <c r="N70" i="8"/>
  <c r="N78" i="8"/>
  <c r="N86" i="8"/>
  <c r="N94" i="8"/>
  <c r="N102" i="8"/>
  <c r="N110" i="8"/>
  <c r="N118" i="8"/>
  <c r="N126" i="8"/>
  <c r="N134" i="8"/>
  <c r="N142" i="8"/>
  <c r="N150" i="8"/>
  <c r="N158" i="8"/>
  <c r="N15" i="8"/>
  <c r="N23" i="8"/>
  <c r="N31" i="8"/>
  <c r="N39" i="8"/>
  <c r="N47" i="8"/>
  <c r="N55" i="8"/>
  <c r="N63" i="8"/>
  <c r="N71" i="8"/>
  <c r="N79" i="8"/>
  <c r="N87" i="8"/>
  <c r="N95" i="8"/>
  <c r="N103" i="8"/>
  <c r="N111" i="8"/>
  <c r="N119" i="8"/>
  <c r="N127" i="8"/>
  <c r="N135" i="8"/>
  <c r="N151" i="8"/>
  <c r="N7" i="8"/>
  <c r="N8" i="8"/>
  <c r="L6" i="18" s="1"/>
  <c r="W6" i="18" s="1"/>
  <c r="N16" i="8"/>
  <c r="N24" i="8"/>
  <c r="N32" i="8"/>
  <c r="N40" i="8"/>
  <c r="N48" i="8"/>
  <c r="N56" i="8"/>
  <c r="N64" i="8"/>
  <c r="N72" i="8"/>
  <c r="N80" i="8"/>
  <c r="N88" i="8"/>
  <c r="N96" i="8"/>
  <c r="N104" i="8"/>
  <c r="N112" i="8"/>
  <c r="N120" i="8"/>
  <c r="N128" i="8"/>
  <c r="N136" i="8"/>
  <c r="N144" i="8"/>
  <c r="N152" i="8"/>
  <c r="N160" i="8"/>
  <c r="N27" i="8"/>
  <c r="N43" i="8"/>
  <c r="N67" i="8"/>
  <c r="N99" i="8"/>
  <c r="N123" i="8"/>
  <c r="N139" i="8"/>
  <c r="N155" i="8"/>
  <c r="N69" i="8"/>
  <c r="N85" i="8"/>
  <c r="N101" i="8"/>
  <c r="N117" i="8"/>
  <c r="N133" i="8"/>
  <c r="N149" i="8"/>
  <c r="N143" i="8"/>
  <c r="N9" i="8"/>
  <c r="L7" i="18" s="1"/>
  <c r="W7" i="18" s="1"/>
  <c r="N17" i="8"/>
  <c r="N25" i="8"/>
  <c r="N33" i="8"/>
  <c r="N41" i="8"/>
  <c r="N49" i="8"/>
  <c r="N57" i="8"/>
  <c r="N65" i="8"/>
  <c r="N73" i="8"/>
  <c r="N81" i="8"/>
  <c r="N89" i="8"/>
  <c r="N97" i="8"/>
  <c r="N105" i="8"/>
  <c r="N113" i="8"/>
  <c r="N121" i="8"/>
  <c r="N129" i="8"/>
  <c r="N137" i="8"/>
  <c r="N145" i="8"/>
  <c r="N153" i="8"/>
  <c r="N161" i="8"/>
  <c r="N19" i="8"/>
  <c r="N35" i="8"/>
  <c r="N59" i="8"/>
  <c r="N83" i="8"/>
  <c r="N107" i="8"/>
  <c r="N131" i="8"/>
  <c r="N10" i="8"/>
  <c r="L8" i="18" s="1"/>
  <c r="W8" i="18" s="1"/>
  <c r="N18" i="8"/>
  <c r="N26" i="8"/>
  <c r="N34" i="8"/>
  <c r="N42" i="8"/>
  <c r="N50" i="8"/>
  <c r="N58" i="8"/>
  <c r="N66" i="8"/>
  <c r="N74" i="8"/>
  <c r="N82" i="8"/>
  <c r="N90" i="8"/>
  <c r="N98" i="8"/>
  <c r="N106" i="8"/>
  <c r="N114" i="8"/>
  <c r="N122" i="8"/>
  <c r="N130" i="8"/>
  <c r="N138" i="8"/>
  <c r="N146" i="8"/>
  <c r="N154" i="8"/>
  <c r="N51" i="8"/>
  <c r="N75" i="8"/>
  <c r="N91" i="8"/>
  <c r="N115" i="8"/>
  <c r="N147" i="8"/>
  <c r="N61" i="8"/>
  <c r="N77" i="8"/>
  <c r="N93" i="8"/>
  <c r="N109" i="8"/>
  <c r="N125" i="8"/>
  <c r="N141" i="8"/>
  <c r="N157" i="8"/>
  <c r="N159" i="8"/>
  <c r="N11" i="8"/>
  <c r="N12" i="8"/>
  <c r="N20" i="8"/>
  <c r="N28" i="8"/>
  <c r="N36" i="8"/>
  <c r="N44" i="8"/>
  <c r="N52" i="8"/>
  <c r="N60" i="8"/>
  <c r="N68" i="8"/>
  <c r="N76" i="8"/>
  <c r="N84" i="8"/>
  <c r="N92" i="8"/>
  <c r="N100" i="8"/>
  <c r="N108" i="8"/>
  <c r="N116" i="8"/>
  <c r="N124" i="8"/>
  <c r="N132" i="8"/>
  <c r="N140" i="8"/>
  <c r="N148" i="8"/>
  <c r="N156" i="8"/>
  <c r="N13" i="8"/>
  <c r="N21" i="8"/>
  <c r="N29" i="8"/>
  <c r="N37" i="8"/>
  <c r="N45" i="8"/>
  <c r="N53" i="8"/>
  <c r="F53" i="8" a="1"/>
  <c r="F53" i="8" s="1"/>
  <c r="F61" i="8" a="1"/>
  <c r="F61" i="8" s="1"/>
  <c r="F69" i="8" a="1"/>
  <c r="F69" i="8" s="1"/>
  <c r="F77" i="8" a="1"/>
  <c r="F77" i="8" s="1"/>
  <c r="F85" i="8" a="1"/>
  <c r="F85" i="8" s="1"/>
  <c r="F93" i="8" a="1"/>
  <c r="F93" i="8" s="1"/>
  <c r="F101" i="8" a="1"/>
  <c r="F101" i="8" s="1"/>
  <c r="F109" i="8" a="1"/>
  <c r="F109" i="8" s="1"/>
  <c r="F117" i="8" a="1"/>
  <c r="F117" i="8" s="1"/>
  <c r="F125" i="8" a="1"/>
  <c r="F125" i="8" s="1"/>
  <c r="F133" i="8" a="1"/>
  <c r="F133" i="8" s="1"/>
  <c r="F141" i="8" a="1"/>
  <c r="F141" i="8" s="1"/>
  <c r="F149" i="8" a="1"/>
  <c r="F149" i="8" s="1"/>
  <c r="F157" i="8" a="1"/>
  <c r="F157" i="8" s="1"/>
  <c r="F8" i="8" a="1"/>
  <c r="F8" i="8" s="1"/>
  <c r="F16" i="8" a="1"/>
  <c r="F16" i="8" s="1"/>
  <c r="F24" i="8" a="1"/>
  <c r="F24" i="8" s="1"/>
  <c r="F32" i="8" a="1"/>
  <c r="F32" i="8" s="1"/>
  <c r="F40" i="8" a="1"/>
  <c r="F40" i="8" s="1"/>
  <c r="F65" i="8" a="1"/>
  <c r="F65" i="8" s="1"/>
  <c r="F105" i="8" a="1"/>
  <c r="F105" i="8" s="1"/>
  <c r="F137" i="8" a="1"/>
  <c r="F137" i="8" s="1"/>
  <c r="F36" i="8" a="1"/>
  <c r="F36" i="8" s="1"/>
  <c r="F54" i="8" a="1"/>
  <c r="F54" i="8" s="1"/>
  <c r="F62" i="8" a="1"/>
  <c r="F62" i="8" s="1"/>
  <c r="F70" i="8" a="1"/>
  <c r="F70" i="8" s="1"/>
  <c r="F78" i="8" a="1"/>
  <c r="F78" i="8" s="1"/>
  <c r="F86" i="8" a="1"/>
  <c r="F86" i="8" s="1"/>
  <c r="F94" i="8" a="1"/>
  <c r="F94" i="8" s="1"/>
  <c r="F102" i="8" a="1"/>
  <c r="F102" i="8" s="1"/>
  <c r="F110" i="8" a="1"/>
  <c r="F110" i="8" s="1"/>
  <c r="F118" i="8" a="1"/>
  <c r="F118" i="8" s="1"/>
  <c r="F126" i="8" a="1"/>
  <c r="F126" i="8" s="1"/>
  <c r="F134" i="8" a="1"/>
  <c r="F134" i="8" s="1"/>
  <c r="F142" i="8" a="1"/>
  <c r="F142" i="8" s="1"/>
  <c r="F150" i="8" a="1"/>
  <c r="F150" i="8" s="1"/>
  <c r="F158" i="8" a="1"/>
  <c r="F158" i="8" s="1"/>
  <c r="F9" i="8" a="1"/>
  <c r="F9" i="8" s="1"/>
  <c r="D7" i="18" s="1"/>
  <c r="F17" i="8" a="1"/>
  <c r="F17" i="8" s="1"/>
  <c r="F25" i="8" a="1"/>
  <c r="F25" i="8" s="1"/>
  <c r="F33" i="8" a="1"/>
  <c r="F33" i="8" s="1"/>
  <c r="F41" i="8" a="1"/>
  <c r="F41" i="8" s="1"/>
  <c r="F42" i="8" a="1"/>
  <c r="F42" i="8" s="1"/>
  <c r="F73" i="8" a="1"/>
  <c r="F73" i="8" s="1"/>
  <c r="F89" i="8" a="1"/>
  <c r="F89" i="8" s="1"/>
  <c r="F121" i="8" a="1"/>
  <c r="F121" i="8" s="1"/>
  <c r="F161" i="8" a="1"/>
  <c r="F161" i="8" s="1"/>
  <c r="F47" i="8" a="1"/>
  <c r="F47" i="8" s="1"/>
  <c r="F55" i="8" a="1"/>
  <c r="F55" i="8" s="1"/>
  <c r="F63" i="8" a="1"/>
  <c r="F63" i="8" s="1"/>
  <c r="F71" i="8" a="1"/>
  <c r="F71" i="8" s="1"/>
  <c r="F79" i="8" a="1"/>
  <c r="F79" i="8" s="1"/>
  <c r="F87" i="8" a="1"/>
  <c r="F87" i="8" s="1"/>
  <c r="F95" i="8" a="1"/>
  <c r="F95" i="8" s="1"/>
  <c r="F103" i="8" a="1"/>
  <c r="F103" i="8" s="1"/>
  <c r="F111" i="8" a="1"/>
  <c r="F111" i="8" s="1"/>
  <c r="F119" i="8" a="1"/>
  <c r="F119" i="8" s="1"/>
  <c r="F127" i="8" a="1"/>
  <c r="F127" i="8" s="1"/>
  <c r="F135" i="8" a="1"/>
  <c r="F135" i="8" s="1"/>
  <c r="F143" i="8" a="1"/>
  <c r="F143" i="8" s="1"/>
  <c r="F151" i="8" a="1"/>
  <c r="F151" i="8" s="1"/>
  <c r="F159" i="8" a="1"/>
  <c r="F159" i="8" s="1"/>
  <c r="F10" i="8" a="1"/>
  <c r="F10" i="8" s="1"/>
  <c r="D8" i="18" s="1"/>
  <c r="F18" i="8" a="1"/>
  <c r="F18" i="8" s="1"/>
  <c r="F26" i="8" a="1"/>
  <c r="F26" i="8" s="1"/>
  <c r="F34" i="8" a="1"/>
  <c r="F34" i="8" s="1"/>
  <c r="F81" i="8" a="1"/>
  <c r="F81" i="8" s="1"/>
  <c r="F113" i="8" a="1"/>
  <c r="F113" i="8" s="1"/>
  <c r="F145" i="8" a="1"/>
  <c r="F145" i="8" s="1"/>
  <c r="F44" i="8" a="1"/>
  <c r="F44" i="8" s="1"/>
  <c r="F48" i="8" a="1"/>
  <c r="F48" i="8" s="1"/>
  <c r="F56" i="8" a="1"/>
  <c r="F56" i="8" s="1"/>
  <c r="F64" i="8" a="1"/>
  <c r="F64" i="8" s="1"/>
  <c r="F72" i="8" a="1"/>
  <c r="F72" i="8" s="1"/>
  <c r="F80" i="8" a="1"/>
  <c r="F80" i="8" s="1"/>
  <c r="F88" i="8" a="1"/>
  <c r="F88" i="8" s="1"/>
  <c r="F96" i="8" a="1"/>
  <c r="F96" i="8" s="1"/>
  <c r="F104" i="8" a="1"/>
  <c r="F104" i="8" s="1"/>
  <c r="F112" i="8" a="1"/>
  <c r="F112" i="8" s="1"/>
  <c r="F120" i="8" a="1"/>
  <c r="F120" i="8" s="1"/>
  <c r="F128" i="8" a="1"/>
  <c r="F128" i="8" s="1"/>
  <c r="F136" i="8" a="1"/>
  <c r="F136" i="8" s="1"/>
  <c r="F144" i="8" a="1"/>
  <c r="F144" i="8" s="1"/>
  <c r="F152" i="8" a="1"/>
  <c r="F152" i="8" s="1"/>
  <c r="F160" i="8" a="1"/>
  <c r="F160" i="8" s="1"/>
  <c r="F11" i="8" a="1"/>
  <c r="F11" i="8" s="1"/>
  <c r="F19" i="8" a="1"/>
  <c r="F19" i="8" s="1"/>
  <c r="F27" i="8" a="1"/>
  <c r="F27" i="8" s="1"/>
  <c r="F35" i="8" a="1"/>
  <c r="F35" i="8" s="1"/>
  <c r="F43" i="8" a="1"/>
  <c r="F43" i="8" s="1"/>
  <c r="F57" i="8" a="1"/>
  <c r="F57" i="8" s="1"/>
  <c r="F97" i="8" a="1"/>
  <c r="F97" i="8" s="1"/>
  <c r="F129" i="8" a="1"/>
  <c r="F129" i="8" s="1"/>
  <c r="F20" i="8" a="1"/>
  <c r="F20" i="8" s="1"/>
  <c r="F49" i="8" a="1"/>
  <c r="F49" i="8" s="1"/>
  <c r="F50" i="8" a="1"/>
  <c r="F50" i="8" s="1"/>
  <c r="F58" i="8" a="1"/>
  <c r="F58" i="8" s="1"/>
  <c r="F66" i="8" a="1"/>
  <c r="F66" i="8" s="1"/>
  <c r="F74" i="8" a="1"/>
  <c r="F74" i="8" s="1"/>
  <c r="F82" i="8" a="1"/>
  <c r="F82" i="8" s="1"/>
  <c r="F90" i="8" a="1"/>
  <c r="F90" i="8" s="1"/>
  <c r="F98" i="8" a="1"/>
  <c r="F98" i="8" s="1"/>
  <c r="F106" i="8" a="1"/>
  <c r="F106" i="8" s="1"/>
  <c r="F114" i="8" a="1"/>
  <c r="F114" i="8" s="1"/>
  <c r="F122" i="8" a="1"/>
  <c r="F122" i="8" s="1"/>
  <c r="F130" i="8" a="1"/>
  <c r="F130" i="8" s="1"/>
  <c r="F138" i="8" a="1"/>
  <c r="F138" i="8" s="1"/>
  <c r="F146" i="8" a="1"/>
  <c r="F146" i="8" s="1"/>
  <c r="F154" i="8" a="1"/>
  <c r="F154" i="8" s="1"/>
  <c r="F5" i="8" a="1"/>
  <c r="F5" i="8" s="1"/>
  <c r="F13" i="8" a="1"/>
  <c r="F13" i="8" s="1"/>
  <c r="F21" i="8" a="1"/>
  <c r="F21" i="8" s="1"/>
  <c r="F29" i="8" a="1"/>
  <c r="F29" i="8" s="1"/>
  <c r="F37" i="8" a="1"/>
  <c r="F37" i="8" s="1"/>
  <c r="F45" i="8" a="1"/>
  <c r="F45" i="8" s="1"/>
  <c r="F15" i="8" a="1"/>
  <c r="F15" i="8" s="1"/>
  <c r="F39" i="8" a="1"/>
  <c r="F39" i="8" s="1"/>
  <c r="F28" i="8" a="1"/>
  <c r="F28" i="8" s="1"/>
  <c r="F51" i="8" a="1"/>
  <c r="F51" i="8" s="1"/>
  <c r="F59" i="8" a="1"/>
  <c r="F59" i="8" s="1"/>
  <c r="F67" i="8" a="1"/>
  <c r="F67" i="8" s="1"/>
  <c r="F75" i="8" a="1"/>
  <c r="F75" i="8" s="1"/>
  <c r="F83" i="8" a="1"/>
  <c r="F83" i="8" s="1"/>
  <c r="F91" i="8" a="1"/>
  <c r="F91" i="8" s="1"/>
  <c r="F99" i="8" a="1"/>
  <c r="F99" i="8" s="1"/>
  <c r="F107" i="8" a="1"/>
  <c r="F107" i="8" s="1"/>
  <c r="F115" i="8" a="1"/>
  <c r="F115" i="8" s="1"/>
  <c r="F123" i="8" a="1"/>
  <c r="F123" i="8" s="1"/>
  <c r="F131" i="8" a="1"/>
  <c r="F131" i="8" s="1"/>
  <c r="F139" i="8" a="1"/>
  <c r="F139" i="8" s="1"/>
  <c r="F147" i="8" a="1"/>
  <c r="F147" i="8" s="1"/>
  <c r="F155" i="8" a="1"/>
  <c r="F155" i="8" s="1"/>
  <c r="F6" i="8" a="1"/>
  <c r="F6" i="8" s="1"/>
  <c r="F14" i="8" a="1"/>
  <c r="F14" i="8" s="1"/>
  <c r="F22" i="8" a="1"/>
  <c r="F22" i="8" s="1"/>
  <c r="F30" i="8" a="1"/>
  <c r="F30" i="8" s="1"/>
  <c r="F38" i="8" a="1"/>
  <c r="F38" i="8" s="1"/>
  <c r="F46" i="8" a="1"/>
  <c r="F46" i="8" s="1"/>
  <c r="F7" i="8" a="1"/>
  <c r="F7" i="8" s="1"/>
  <c r="F31" i="8" a="1"/>
  <c r="F31" i="8" s="1"/>
  <c r="F12" i="8" a="1"/>
  <c r="F12" i="8" s="1"/>
  <c r="F52" i="8" a="1"/>
  <c r="F52" i="8" s="1"/>
  <c r="F60" i="8" a="1"/>
  <c r="F60" i="8" s="1"/>
  <c r="F68" i="8" a="1"/>
  <c r="F68" i="8" s="1"/>
  <c r="F76" i="8" a="1"/>
  <c r="F76" i="8" s="1"/>
  <c r="F84" i="8" a="1"/>
  <c r="F84" i="8" s="1"/>
  <c r="F92" i="8" a="1"/>
  <c r="F92" i="8" s="1"/>
  <c r="F100" i="8" a="1"/>
  <c r="F100" i="8" s="1"/>
  <c r="F108" i="8" a="1"/>
  <c r="F108" i="8" s="1"/>
  <c r="F116" i="8" a="1"/>
  <c r="F116" i="8" s="1"/>
  <c r="F124" i="8" a="1"/>
  <c r="F124" i="8" s="1"/>
  <c r="F132" i="8" a="1"/>
  <c r="F132" i="8" s="1"/>
  <c r="F140" i="8" a="1"/>
  <c r="F140" i="8" s="1"/>
  <c r="F148" i="8" a="1"/>
  <c r="F148" i="8" s="1"/>
  <c r="F156" i="8" a="1"/>
  <c r="F156" i="8" s="1"/>
  <c r="F23" i="8" a="1"/>
  <c r="F23" i="8" s="1"/>
  <c r="F153" i="8" a="1"/>
  <c r="F153" i="8" s="1"/>
  <c r="I143" i="8"/>
  <c r="I66" i="8"/>
  <c r="I115" i="8"/>
  <c r="I71" i="8"/>
  <c r="I132" i="8"/>
  <c r="I13" i="8"/>
  <c r="I41" i="8"/>
  <c r="I157" i="8"/>
  <c r="I110" i="8"/>
  <c r="I7" i="8"/>
  <c r="I36" i="8"/>
  <c r="I153" i="8"/>
  <c r="I121" i="8"/>
  <c r="I19" i="8"/>
  <c r="I149" i="8"/>
  <c r="I57" i="8"/>
  <c r="I38" i="8"/>
  <c r="I151" i="8"/>
  <c r="I106" i="8"/>
  <c r="I141" i="8"/>
  <c r="I103" i="8"/>
  <c r="I30" i="8"/>
  <c r="I96" i="8"/>
  <c r="I78" i="8"/>
  <c r="I88" i="8"/>
  <c r="I82" i="8"/>
  <c r="I135" i="8"/>
  <c r="I9" i="8"/>
  <c r="G7" i="18" s="1"/>
  <c r="I29" i="8"/>
  <c r="I128" i="8"/>
  <c r="I64" i="8"/>
  <c r="I156" i="8"/>
  <c r="I102" i="8"/>
  <c r="I32" i="8"/>
  <c r="I152" i="8"/>
  <c r="I113" i="8"/>
  <c r="I60" i="8"/>
  <c r="I52" i="8"/>
  <c r="I120" i="8"/>
  <c r="I144" i="8"/>
  <c r="I84" i="8"/>
  <c r="I77" i="8"/>
  <c r="I125" i="8"/>
  <c r="I75" i="8"/>
  <c r="I119" i="8"/>
  <c r="I74" i="8"/>
  <c r="I24" i="8"/>
  <c r="I136" i="8"/>
  <c r="I158" i="8"/>
  <c r="M160" i="8"/>
  <c r="I15" i="8"/>
  <c r="I145" i="8"/>
  <c r="I114" i="8"/>
  <c r="I48" i="8"/>
  <c r="I42" i="8"/>
  <c r="I111" i="8"/>
  <c r="I69" i="8"/>
  <c r="I109" i="8"/>
  <c r="I105" i="8"/>
  <c r="I104" i="8"/>
  <c r="I35" i="8"/>
  <c r="I51" i="8"/>
  <c r="I18" i="8"/>
  <c r="I17" i="8"/>
  <c r="I131" i="8"/>
  <c r="I94" i="8"/>
  <c r="I53" i="8"/>
  <c r="I127" i="8"/>
  <c r="I98" i="8"/>
  <c r="I6" i="8"/>
  <c r="I155" i="8"/>
  <c r="I67" i="8"/>
  <c r="I87" i="8"/>
  <c r="I147" i="8"/>
  <c r="I90" i="8"/>
  <c r="I33" i="8"/>
  <c r="I50" i="8"/>
  <c r="I65" i="8"/>
  <c r="I54" i="8"/>
  <c r="I49" i="8"/>
  <c r="I68" i="8"/>
  <c r="I8" i="8"/>
  <c r="M159" i="8"/>
  <c r="I112" i="8"/>
  <c r="I44" i="8"/>
  <c r="I126" i="8"/>
  <c r="I70" i="8"/>
  <c r="I89" i="8"/>
  <c r="I31" i="8"/>
  <c r="I81" i="8"/>
  <c r="I83" i="8"/>
  <c r="I27" i="8"/>
  <c r="I116" i="8"/>
  <c r="I95" i="8"/>
  <c r="I45" i="8"/>
  <c r="I108" i="8"/>
  <c r="I63" i="8"/>
  <c r="I123" i="8"/>
  <c r="I117" i="8"/>
  <c r="I56" i="8"/>
  <c r="I39" i="8"/>
  <c r="I21" i="8"/>
  <c r="I22" i="8"/>
  <c r="I80" i="8"/>
  <c r="I139" i="8"/>
  <c r="I23" i="8"/>
  <c r="I150" i="8"/>
  <c r="I146" i="8"/>
  <c r="I148" i="8"/>
  <c r="I85" i="8"/>
  <c r="I122" i="8"/>
  <c r="I26" i="8"/>
  <c r="I130" i="8"/>
  <c r="I118" i="8"/>
  <c r="I20" i="8"/>
  <c r="I97" i="8"/>
  <c r="I46" i="8"/>
  <c r="I73" i="8"/>
  <c r="I79" i="8"/>
  <c r="I37" i="8"/>
  <c r="I34" i="8"/>
  <c r="I124" i="8"/>
  <c r="I86" i="8"/>
  <c r="I101" i="8"/>
  <c r="I59" i="8"/>
  <c r="I92" i="8"/>
  <c r="I16" i="8"/>
  <c r="I154" i="8"/>
  <c r="I100" i="8"/>
  <c r="I5" i="8"/>
  <c r="I134" i="8"/>
  <c r="I99" i="8"/>
  <c r="I43" i="8"/>
  <c r="I133" i="8"/>
  <c r="I72" i="8"/>
  <c r="I14" i="8"/>
  <c r="I91" i="8"/>
  <c r="I58" i="8"/>
  <c r="I11" i="8"/>
  <c r="I10" i="8"/>
  <c r="G8" i="18" s="1"/>
  <c r="I107" i="8"/>
  <c r="I12" i="8"/>
  <c r="I62" i="8"/>
  <c r="I25" i="8"/>
  <c r="I40" i="8"/>
  <c r="I142" i="8"/>
  <c r="I47" i="8"/>
  <c r="I55" i="8"/>
  <c r="I137" i="8"/>
  <c r="I76" i="8"/>
  <c r="I61" i="8"/>
  <c r="I93" i="8"/>
  <c r="I28" i="8"/>
  <c r="M161" i="8"/>
  <c r="I140" i="8"/>
  <c r="I129" i="8"/>
  <c r="I138" i="8"/>
  <c r="I159" i="8"/>
  <c r="I161" i="8"/>
  <c r="I160" i="8"/>
  <c r="M100" i="8"/>
  <c r="M147" i="8"/>
  <c r="M83" i="8"/>
  <c r="M130" i="8"/>
  <c r="M66" i="8"/>
  <c r="M113" i="8"/>
  <c r="M49" i="8"/>
  <c r="M96" i="8"/>
  <c r="M143" i="8"/>
  <c r="M79" i="8"/>
  <c r="M134" i="8"/>
  <c r="M70" i="8"/>
  <c r="M117" i="8"/>
  <c r="M53" i="8"/>
  <c r="M124" i="8"/>
  <c r="M90" i="8"/>
  <c r="M103" i="8"/>
  <c r="M99" i="8"/>
  <c r="M112" i="8"/>
  <c r="M69" i="8"/>
  <c r="M156" i="8"/>
  <c r="M92" i="8"/>
  <c r="M139" i="8"/>
  <c r="M75" i="8"/>
  <c r="M122" i="8"/>
  <c r="M58" i="8"/>
  <c r="M105" i="8"/>
  <c r="M152" i="8"/>
  <c r="M88" i="8"/>
  <c r="M135" i="8"/>
  <c r="M71" i="8"/>
  <c r="M126" i="8"/>
  <c r="M62" i="8"/>
  <c r="M109" i="8"/>
  <c r="M107" i="8"/>
  <c r="M120" i="8"/>
  <c r="M141" i="8"/>
  <c r="M82" i="8"/>
  <c r="M48" i="8"/>
  <c r="M133" i="8"/>
  <c r="M148" i="8"/>
  <c r="M84" i="8"/>
  <c r="M131" i="8"/>
  <c r="M67" i="8"/>
  <c r="M114" i="8"/>
  <c r="M50" i="8"/>
  <c r="M97" i="8"/>
  <c r="M144" i="8"/>
  <c r="M80" i="8"/>
  <c r="M127" i="8"/>
  <c r="M63" i="8"/>
  <c r="M118" i="8"/>
  <c r="M54" i="8"/>
  <c r="M101" i="8"/>
  <c r="M154" i="8"/>
  <c r="M56" i="8"/>
  <c r="M77" i="8"/>
  <c r="M116" i="8"/>
  <c r="M129" i="8"/>
  <c r="M150" i="8"/>
  <c r="M125" i="8"/>
  <c r="M140" i="8"/>
  <c r="M76" i="8"/>
  <c r="M123" i="8"/>
  <c r="M59" i="8"/>
  <c r="M106" i="8"/>
  <c r="M153" i="8"/>
  <c r="M89" i="8"/>
  <c r="M136" i="8"/>
  <c r="M72" i="8"/>
  <c r="M119" i="8"/>
  <c r="M55" i="8"/>
  <c r="M110" i="8"/>
  <c r="M157" i="8"/>
  <c r="M93" i="8"/>
  <c r="M137" i="8"/>
  <c r="M158" i="8"/>
  <c r="M52" i="8"/>
  <c r="M65" i="8"/>
  <c r="M86" i="8"/>
  <c r="M61" i="8"/>
  <c r="M132" i="8"/>
  <c r="M68" i="8"/>
  <c r="M115" i="8"/>
  <c r="M51" i="8"/>
  <c r="M98" i="8"/>
  <c r="M145" i="8"/>
  <c r="M81" i="8"/>
  <c r="M128" i="8"/>
  <c r="M64" i="8"/>
  <c r="M111" i="8"/>
  <c r="M47" i="8"/>
  <c r="M102" i="8"/>
  <c r="M149" i="8"/>
  <c r="M85" i="8"/>
  <c r="M60" i="8"/>
  <c r="M73" i="8"/>
  <c r="M94" i="8"/>
  <c r="M146" i="8"/>
  <c r="M95" i="8"/>
  <c r="M78" i="8"/>
  <c r="M108" i="8"/>
  <c r="M155" i="8"/>
  <c r="M91" i="8"/>
  <c r="M138" i="8"/>
  <c r="M74" i="8"/>
  <c r="M121" i="8"/>
  <c r="M57" i="8"/>
  <c r="M104" i="8"/>
  <c r="M151" i="8"/>
  <c r="M87" i="8"/>
  <c r="M142" i="8"/>
  <c r="M5" i="8"/>
  <c r="M13" i="8"/>
  <c r="M21" i="8"/>
  <c r="M29" i="8"/>
  <c r="M37" i="8"/>
  <c r="M45" i="8"/>
  <c r="M6" i="8"/>
  <c r="M14" i="8"/>
  <c r="M22" i="8"/>
  <c r="M30" i="8"/>
  <c r="M38" i="8"/>
  <c r="M46" i="8"/>
  <c r="M44" i="8"/>
  <c r="M7" i="8"/>
  <c r="M15" i="8"/>
  <c r="M23" i="8"/>
  <c r="M31" i="8"/>
  <c r="M39" i="8"/>
  <c r="M8" i="8"/>
  <c r="K6" i="18" s="1"/>
  <c r="M16" i="8"/>
  <c r="M24" i="8"/>
  <c r="M32" i="8"/>
  <c r="M40" i="8"/>
  <c r="M36" i="8"/>
  <c r="M9" i="8"/>
  <c r="K7" i="18" s="1"/>
  <c r="M17" i="8"/>
  <c r="M25" i="8"/>
  <c r="M33" i="8"/>
  <c r="M41" i="8"/>
  <c r="M12" i="8"/>
  <c r="M10" i="8"/>
  <c r="K8" i="18" s="1"/>
  <c r="M18" i="8"/>
  <c r="M26" i="8"/>
  <c r="M34" i="8"/>
  <c r="M42" i="8"/>
  <c r="M20" i="8"/>
  <c r="M11" i="8"/>
  <c r="M19" i="8"/>
  <c r="M27" i="8"/>
  <c r="M35" i="8"/>
  <c r="M43" i="8"/>
  <c r="M28" i="8"/>
  <c r="D4" i="18" l="1"/>
  <c r="D5" i="18"/>
  <c r="D6" i="18"/>
  <c r="V7" i="18"/>
  <c r="I5" i="18"/>
  <c r="V5" i="18" s="1"/>
  <c r="I6" i="18"/>
  <c r="G5" i="18"/>
  <c r="G6" i="18"/>
  <c r="V8" i="18"/>
  <c r="J5" i="18"/>
  <c r="J6" i="18"/>
  <c r="H5" i="18"/>
  <c r="H6" i="18"/>
  <c r="G3" i="18"/>
  <c r="J4" i="18"/>
  <c r="K4" i="18"/>
  <c r="K5" i="18"/>
  <c r="L5" i="18"/>
  <c r="W5" i="18" s="1"/>
  <c r="J9" i="8"/>
  <c r="H7" i="18" s="1"/>
  <c r="Y7" i="18" s="1"/>
  <c r="F5" i="18"/>
  <c r="G4" i="18"/>
  <c r="L4" i="18"/>
  <c r="W4" i="18" s="1"/>
  <c r="D3" i="18"/>
  <c r="K3" i="18"/>
  <c r="I3" i="18"/>
  <c r="V3" i="18" s="1"/>
  <c r="L3" i="18"/>
  <c r="W3" i="18" s="1"/>
  <c r="J3" i="18"/>
  <c r="F4" i="18"/>
  <c r="H4" i="18"/>
  <c r="I4" i="18"/>
  <c r="V4" i="18" s="1"/>
  <c r="F3" i="18"/>
  <c r="J5" i="8"/>
  <c r="H3" i="18" s="1"/>
  <c r="J10" i="8"/>
  <c r="H8" i="18" s="1"/>
  <c r="Y8" i="18" s="1"/>
  <c r="K4" i="8"/>
  <c r="L4" i="8"/>
  <c r="H4" i="8"/>
  <c r="J4" i="8"/>
  <c r="N4" i="8"/>
  <c r="I4" i="8"/>
  <c r="M4" i="8"/>
  <c r="F4" i="8" a="1"/>
  <c r="F4" i="8" s="1"/>
  <c r="EM4" i="8" a="1"/>
  <c r="BJ4" i="8" a="1"/>
  <c r="DK4" i="8" a="1"/>
  <c r="CZ4" i="8" a="1"/>
  <c r="CQ4" i="8" a="1"/>
  <c r="Y6" i="18" l="1"/>
  <c r="Y5" i="18"/>
  <c r="V6" i="18"/>
  <c r="Y4" i="18"/>
  <c r="Y3" i="18"/>
  <c r="T206" i="8"/>
  <c r="T207" i="8"/>
  <c r="T202" i="8"/>
  <c r="T200" i="8"/>
  <c r="T208" i="8"/>
  <c r="T210" i="8"/>
  <c r="T201" i="8"/>
  <c r="T209" i="8"/>
  <c r="T203" i="8"/>
  <c r="T211" i="8"/>
  <c r="T205" i="8"/>
  <c r="T204" i="8"/>
  <c r="T212" i="8"/>
  <c r="T9" i="8"/>
  <c r="T17" i="8"/>
  <c r="T25" i="8"/>
  <c r="T33" i="8"/>
  <c r="T41" i="8"/>
  <c r="T49" i="8"/>
  <c r="T57" i="8"/>
  <c r="T65" i="8"/>
  <c r="T73" i="8"/>
  <c r="T81" i="8"/>
  <c r="T89" i="8"/>
  <c r="T97" i="8"/>
  <c r="T105" i="8"/>
  <c r="T113" i="8"/>
  <c r="T121" i="8"/>
  <c r="T129" i="8"/>
  <c r="T137" i="8"/>
  <c r="T145" i="8"/>
  <c r="T153" i="8"/>
  <c r="T161" i="8"/>
  <c r="T169" i="8"/>
  <c r="T177" i="8"/>
  <c r="T185" i="8"/>
  <c r="T193" i="8"/>
  <c r="T24" i="8"/>
  <c r="T152" i="8"/>
  <c r="T10" i="8"/>
  <c r="T18" i="8"/>
  <c r="T26" i="8"/>
  <c r="T34" i="8"/>
  <c r="T42" i="8"/>
  <c r="T50" i="8"/>
  <c r="T58" i="8"/>
  <c r="T66" i="8"/>
  <c r="T74" i="8"/>
  <c r="T82" i="8"/>
  <c r="T90" i="8"/>
  <c r="T98" i="8"/>
  <c r="T106" i="8"/>
  <c r="T114" i="8"/>
  <c r="T122" i="8"/>
  <c r="T130" i="8"/>
  <c r="T138" i="8"/>
  <c r="T146" i="8"/>
  <c r="T154" i="8"/>
  <c r="T162" i="8"/>
  <c r="T170" i="8"/>
  <c r="T178" i="8"/>
  <c r="T186" i="8"/>
  <c r="T194" i="8"/>
  <c r="T48" i="8"/>
  <c r="T80" i="8"/>
  <c r="T104" i="8"/>
  <c r="T128" i="8"/>
  <c r="T168" i="8"/>
  <c r="T11" i="8"/>
  <c r="T19" i="8"/>
  <c r="T27" i="8"/>
  <c r="T35" i="8"/>
  <c r="T43" i="8"/>
  <c r="T51" i="8"/>
  <c r="T59" i="8"/>
  <c r="T67" i="8"/>
  <c r="T75" i="8"/>
  <c r="T83" i="8"/>
  <c r="T91" i="8"/>
  <c r="T99" i="8"/>
  <c r="T107" i="8"/>
  <c r="T115" i="8"/>
  <c r="T123" i="8"/>
  <c r="T131" i="8"/>
  <c r="T139" i="8"/>
  <c r="T147" i="8"/>
  <c r="T155" i="8"/>
  <c r="T163" i="8"/>
  <c r="T171" i="8"/>
  <c r="T179" i="8"/>
  <c r="T187" i="8"/>
  <c r="T195" i="8"/>
  <c r="T8" i="8"/>
  <c r="T64" i="8"/>
  <c r="T72" i="8"/>
  <c r="T88" i="8"/>
  <c r="T112" i="8"/>
  <c r="T136" i="8"/>
  <c r="T176" i="8"/>
  <c r="T12" i="8"/>
  <c r="T20" i="8"/>
  <c r="T28" i="8"/>
  <c r="T36" i="8"/>
  <c r="T44" i="8"/>
  <c r="T52" i="8"/>
  <c r="T60" i="8"/>
  <c r="T68" i="8"/>
  <c r="T76" i="8"/>
  <c r="T84" i="8"/>
  <c r="T92" i="8"/>
  <c r="T100" i="8"/>
  <c r="T108" i="8"/>
  <c r="T116" i="8"/>
  <c r="T124" i="8"/>
  <c r="T132" i="8"/>
  <c r="T140" i="8"/>
  <c r="T148" i="8"/>
  <c r="T156" i="8"/>
  <c r="T164" i="8"/>
  <c r="T172" i="8"/>
  <c r="T180" i="8"/>
  <c r="T188" i="8"/>
  <c r="T196" i="8"/>
  <c r="T40" i="8"/>
  <c r="T144" i="8"/>
  <c r="T192" i="8"/>
  <c r="T5" i="8"/>
  <c r="T13" i="8"/>
  <c r="T21" i="8"/>
  <c r="T29" i="8"/>
  <c r="T37" i="8"/>
  <c r="T45" i="8"/>
  <c r="T53" i="8"/>
  <c r="T61" i="8"/>
  <c r="T69" i="8"/>
  <c r="T77" i="8"/>
  <c r="T85" i="8"/>
  <c r="T93" i="8"/>
  <c r="T101" i="8"/>
  <c r="T109" i="8"/>
  <c r="T117" i="8"/>
  <c r="T125" i="8"/>
  <c r="T133" i="8"/>
  <c r="T141" i="8"/>
  <c r="T149" i="8"/>
  <c r="T157" i="8"/>
  <c r="T165" i="8"/>
  <c r="T173" i="8"/>
  <c r="T181" i="8"/>
  <c r="T189" i="8"/>
  <c r="T197" i="8"/>
  <c r="T16" i="8"/>
  <c r="T96" i="8"/>
  <c r="T160" i="8"/>
  <c r="T6" i="8"/>
  <c r="T14" i="8"/>
  <c r="T22" i="8"/>
  <c r="T30" i="8"/>
  <c r="T38" i="8"/>
  <c r="T46" i="8"/>
  <c r="T54" i="8"/>
  <c r="T62" i="8"/>
  <c r="T70" i="8"/>
  <c r="T78" i="8"/>
  <c r="T86" i="8"/>
  <c r="T94" i="8"/>
  <c r="T102" i="8"/>
  <c r="T110" i="8"/>
  <c r="T118" i="8"/>
  <c r="T126" i="8"/>
  <c r="T134" i="8"/>
  <c r="T142" i="8"/>
  <c r="T150" i="8"/>
  <c r="T158" i="8"/>
  <c r="T166" i="8"/>
  <c r="T174" i="8"/>
  <c r="T182" i="8"/>
  <c r="T190" i="8"/>
  <c r="T198" i="8"/>
  <c r="T56" i="8"/>
  <c r="T120" i="8"/>
  <c r="T184" i="8"/>
  <c r="T7" i="8"/>
  <c r="T15" i="8"/>
  <c r="T23" i="8"/>
  <c r="T31" i="8"/>
  <c r="T39" i="8"/>
  <c r="T47" i="8"/>
  <c r="T55" i="8"/>
  <c r="T63" i="8"/>
  <c r="T71" i="8"/>
  <c r="T79" i="8"/>
  <c r="T87" i="8"/>
  <c r="T95" i="8"/>
  <c r="T103" i="8"/>
  <c r="T111" i="8"/>
  <c r="T119" i="8"/>
  <c r="T127" i="8"/>
  <c r="T135" i="8"/>
  <c r="T143" i="8"/>
  <c r="T151" i="8"/>
  <c r="T159" i="8"/>
  <c r="T167" i="8"/>
  <c r="T175" i="8"/>
  <c r="T183" i="8"/>
  <c r="T191" i="8"/>
  <c r="T199" i="8"/>
  <c r="T32" i="8"/>
  <c r="Q283" i="8"/>
  <c r="Q287" i="8"/>
  <c r="Q291" i="8"/>
  <c r="Q295" i="8"/>
  <c r="Q299" i="8"/>
  <c r="Q303" i="8"/>
  <c r="Q307" i="8"/>
  <c r="Q311" i="8"/>
  <c r="Q315" i="8"/>
  <c r="Q284" i="8"/>
  <c r="Q288" i="8"/>
  <c r="Q292" i="8"/>
  <c r="Q296" i="8"/>
  <c r="Q300" i="8"/>
  <c r="Q304" i="8"/>
  <c r="Q308" i="8"/>
  <c r="Q312" i="8"/>
  <c r="Q316" i="8"/>
  <c r="Q282" i="8"/>
  <c r="Q285" i="8"/>
  <c r="Q298" i="8"/>
  <c r="Q301" i="8"/>
  <c r="Q294" i="8"/>
  <c r="Q297" i="8"/>
  <c r="Q310" i="8"/>
  <c r="Q313" i="8"/>
  <c r="Q320" i="8"/>
  <c r="Q324" i="8"/>
  <c r="Q281" i="8"/>
  <c r="Q290" i="8"/>
  <c r="Q293" i="8"/>
  <c r="Q306" i="8"/>
  <c r="Q309" i="8"/>
  <c r="Q321" i="8"/>
  <c r="Q325" i="8"/>
  <c r="Q286" i="8"/>
  <c r="Q302" i="8"/>
  <c r="Q314" i="8"/>
  <c r="Q318" i="8"/>
  <c r="Q328" i="8"/>
  <c r="Q332" i="8"/>
  <c r="Q336" i="8"/>
  <c r="Q340" i="8"/>
  <c r="Q305" i="8"/>
  <c r="Q289" i="8"/>
  <c r="Q327" i="8"/>
  <c r="Q333" i="8"/>
  <c r="Q334" i="8"/>
  <c r="Q335" i="8"/>
  <c r="Q345" i="8"/>
  <c r="Q351" i="8"/>
  <c r="Q348" i="8"/>
  <c r="Q319" i="8"/>
  <c r="Q329" i="8"/>
  <c r="Q330" i="8"/>
  <c r="Q331" i="8"/>
  <c r="Q352" i="8"/>
  <c r="Q322" i="8"/>
  <c r="Q323" i="8"/>
  <c r="Q346" i="8"/>
  <c r="Q347" i="8"/>
  <c r="Q358" i="8"/>
  <c r="Q353" i="8"/>
  <c r="Q354" i="8"/>
  <c r="Q355" i="8"/>
  <c r="Q356" i="8"/>
  <c r="Q317" i="8"/>
  <c r="Q357" i="8"/>
  <c r="Q341" i="8"/>
  <c r="Q342" i="8"/>
  <c r="Q343" i="8"/>
  <c r="Q344" i="8"/>
  <c r="Q326" i="8"/>
  <c r="Q337" i="8"/>
  <c r="Q338" i="8"/>
  <c r="Q339" i="8"/>
  <c r="Q349" i="8"/>
  <c r="Q350" i="8"/>
  <c r="R286" i="8"/>
  <c r="R289" i="8"/>
  <c r="R292" i="8"/>
  <c r="R295" i="8"/>
  <c r="R282" i="8"/>
  <c r="R285" i="8"/>
  <c r="R288" i="8"/>
  <c r="R291" i="8"/>
  <c r="R307" i="8"/>
  <c r="R284" i="8"/>
  <c r="R281" i="8"/>
  <c r="R287" i="8"/>
  <c r="R303" i="8"/>
  <c r="R297" i="8"/>
  <c r="R298" i="8"/>
  <c r="R299" i="8"/>
  <c r="R300" i="8"/>
  <c r="R317" i="8"/>
  <c r="R319" i="8"/>
  <c r="R322" i="8"/>
  <c r="R325" i="8"/>
  <c r="R296" i="8"/>
  <c r="R301" i="8"/>
  <c r="R310" i="8"/>
  <c r="R302" i="8"/>
  <c r="R304" i="8"/>
  <c r="R283" i="8"/>
  <c r="R305" i="8"/>
  <c r="R306" i="8"/>
  <c r="R311" i="8"/>
  <c r="R315" i="8"/>
  <c r="R324" i="8"/>
  <c r="R294" i="8"/>
  <c r="R308" i="8"/>
  <c r="R312" i="8"/>
  <c r="R293" i="8"/>
  <c r="R309" i="8"/>
  <c r="R336" i="8"/>
  <c r="R337" i="8"/>
  <c r="R338" i="8"/>
  <c r="R339" i="8"/>
  <c r="R349" i="8"/>
  <c r="R350" i="8"/>
  <c r="R347" i="8"/>
  <c r="R318" i="8"/>
  <c r="R320" i="8"/>
  <c r="R321" i="8"/>
  <c r="R327" i="8"/>
  <c r="R332" i="8"/>
  <c r="R333" i="8"/>
  <c r="R334" i="8"/>
  <c r="R335" i="8"/>
  <c r="R345" i="8"/>
  <c r="R351" i="8"/>
  <c r="R290" i="8"/>
  <c r="R329" i="8"/>
  <c r="R330" i="8"/>
  <c r="R331" i="8"/>
  <c r="R352" i="8"/>
  <c r="R356" i="8"/>
  <c r="R357" i="8"/>
  <c r="R313" i="8"/>
  <c r="R323" i="8"/>
  <c r="R328" i="8"/>
  <c r="R346" i="8"/>
  <c r="R353" i="8"/>
  <c r="R354" i="8"/>
  <c r="R355" i="8"/>
  <c r="R348" i="8"/>
  <c r="R314" i="8"/>
  <c r="R316" i="8"/>
  <c r="R326" i="8"/>
  <c r="R340" i="8"/>
  <c r="R341" i="8"/>
  <c r="R342" i="8"/>
  <c r="R343" i="8"/>
  <c r="R344" i="8"/>
  <c r="R358" i="8"/>
  <c r="S282" i="8"/>
  <c r="S286" i="8"/>
  <c r="S290" i="8"/>
  <c r="S294" i="8"/>
  <c r="S298" i="8"/>
  <c r="S302" i="8"/>
  <c r="S306" i="8"/>
  <c r="S310" i="8"/>
  <c r="S314" i="8"/>
  <c r="S283" i="8"/>
  <c r="S287" i="8"/>
  <c r="S291" i="8"/>
  <c r="S295" i="8"/>
  <c r="S299" i="8"/>
  <c r="S303" i="8"/>
  <c r="S307" i="8"/>
  <c r="S311" i="8"/>
  <c r="S315" i="8"/>
  <c r="S289" i="8"/>
  <c r="S292" i="8"/>
  <c r="S305" i="8"/>
  <c r="S285" i="8"/>
  <c r="S288" i="8"/>
  <c r="S301" i="8"/>
  <c r="S304" i="8"/>
  <c r="S317" i="8"/>
  <c r="S319" i="8"/>
  <c r="S323" i="8"/>
  <c r="S327" i="8"/>
  <c r="S284" i="8"/>
  <c r="S297" i="8"/>
  <c r="S300" i="8"/>
  <c r="S313" i="8"/>
  <c r="S316" i="8"/>
  <c r="S320" i="8"/>
  <c r="S324" i="8"/>
  <c r="S281" i="8"/>
  <c r="S322" i="8"/>
  <c r="S325" i="8"/>
  <c r="S331" i="8"/>
  <c r="S335" i="8"/>
  <c r="S339" i="8"/>
  <c r="S343" i="8"/>
  <c r="S296" i="8"/>
  <c r="S318" i="8"/>
  <c r="S321" i="8"/>
  <c r="S312" i="8"/>
  <c r="S326" i="8"/>
  <c r="S340" i="8"/>
  <c r="S341" i="8"/>
  <c r="S342" i="8"/>
  <c r="S344" i="8"/>
  <c r="S358" i="8"/>
  <c r="S309" i="8"/>
  <c r="S336" i="8"/>
  <c r="S337" i="8"/>
  <c r="S338" i="8"/>
  <c r="S349" i="8"/>
  <c r="S350" i="8"/>
  <c r="S353" i="8"/>
  <c r="S332" i="8"/>
  <c r="S333" i="8"/>
  <c r="S334" i="8"/>
  <c r="S345" i="8"/>
  <c r="S351" i="8"/>
  <c r="S346" i="8"/>
  <c r="S354" i="8"/>
  <c r="S355" i="8"/>
  <c r="S356" i="8"/>
  <c r="S329" i="8"/>
  <c r="S330" i="8"/>
  <c r="S352" i="8"/>
  <c r="S293" i="8"/>
  <c r="S328" i="8"/>
  <c r="S347" i="8"/>
  <c r="S308" i="8"/>
  <c r="S348" i="8"/>
  <c r="S357" i="8"/>
  <c r="U281" i="8" a="1"/>
  <c r="U281" i="8" s="1"/>
  <c r="U284" i="8" a="1"/>
  <c r="U284" i="8" s="1"/>
  <c r="U287" i="8" a="1"/>
  <c r="U287" i="8" s="1"/>
  <c r="U290" i="8" a="1"/>
  <c r="U290" i="8" s="1"/>
  <c r="U293" i="8" a="1"/>
  <c r="U293" i="8" s="1"/>
  <c r="U283" i="8" a="1"/>
  <c r="U283" i="8" s="1"/>
  <c r="U286" i="8" a="1"/>
  <c r="U286" i="8" s="1"/>
  <c r="U289" i="8" a="1"/>
  <c r="U289" i="8" s="1"/>
  <c r="U305" i="8" a="1"/>
  <c r="U305" i="8" s="1"/>
  <c r="U282" i="8" a="1"/>
  <c r="U282" i="8" s="1"/>
  <c r="U285" i="8" a="1"/>
  <c r="U285" i="8" s="1"/>
  <c r="U301" i="8" a="1"/>
  <c r="U301" i="8" s="1"/>
  <c r="U317" i="8" a="1"/>
  <c r="U317" i="8" s="1"/>
  <c r="U288" i="8" a="1"/>
  <c r="U288" i="8" s="1"/>
  <c r="U312" i="8" a="1"/>
  <c r="U312" i="8" s="1"/>
  <c r="U316" i="8" a="1"/>
  <c r="U316" i="8" s="1"/>
  <c r="U320" i="8" a="1"/>
  <c r="U320" i="8" s="1"/>
  <c r="U323" i="8" a="1"/>
  <c r="U323" i="8" s="1"/>
  <c r="U298" i="8" a="1"/>
  <c r="U298" i="8" s="1"/>
  <c r="U309" i="8" a="1"/>
  <c r="U309" i="8" s="1"/>
  <c r="U313" i="8" a="1"/>
  <c r="U313" i="8" s="1"/>
  <c r="U326" i="8" a="1"/>
  <c r="U326" i="8" s="1"/>
  <c r="U292" i="8" a="1"/>
  <c r="U292" i="8" s="1"/>
  <c r="U297" i="8" a="1"/>
  <c r="U297" i="8" s="1"/>
  <c r="U299" i="8" a="1"/>
  <c r="U299" i="8" s="1"/>
  <c r="U310" i="8" a="1"/>
  <c r="U310" i="8" s="1"/>
  <c r="U296" i="8" a="1"/>
  <c r="U296" i="8" s="1"/>
  <c r="U300" i="8" a="1"/>
  <c r="U300" i="8" s="1"/>
  <c r="U302" i="8" a="1"/>
  <c r="U302" i="8" s="1"/>
  <c r="U314" i="8" a="1"/>
  <c r="U314" i="8" s="1"/>
  <c r="U322" i="8" a="1"/>
  <c r="U322" i="8" s="1"/>
  <c r="U295" i="8" a="1"/>
  <c r="U295" i="8" s="1"/>
  <c r="U303" i="8" a="1"/>
  <c r="U303" i="8" s="1"/>
  <c r="U304" i="8" a="1"/>
  <c r="U304" i="8" s="1"/>
  <c r="U291" i="8" a="1"/>
  <c r="U291" i="8" s="1"/>
  <c r="U294" i="8" a="1"/>
  <c r="U294" i="8" s="1"/>
  <c r="U315" i="8" a="1"/>
  <c r="U315" i="8" s="1"/>
  <c r="U347" i="8" a="1"/>
  <c r="U347" i="8" s="1"/>
  <c r="U345" i="8" a="1"/>
  <c r="U345" i="8" s="1"/>
  <c r="U355" i="8" a="1"/>
  <c r="U355" i="8" s="1"/>
  <c r="U356" i="8" a="1"/>
  <c r="U356" i="8" s="1"/>
  <c r="U357" i="8" a="1"/>
  <c r="U357" i="8" s="1"/>
  <c r="U306" i="8" a="1"/>
  <c r="U306" i="8" s="1"/>
  <c r="U319" i="8" a="1"/>
  <c r="U319" i="8" s="1"/>
  <c r="U342" i="8" a="1"/>
  <c r="U342" i="8" s="1"/>
  <c r="U343" i="8" a="1"/>
  <c r="U343" i="8" s="1"/>
  <c r="U348" i="8" a="1"/>
  <c r="U348" i="8" s="1"/>
  <c r="U352" i="8" a="1"/>
  <c r="U352" i="8" s="1"/>
  <c r="U318" i="8" a="1"/>
  <c r="U318" i="8" s="1"/>
  <c r="U327" i="8" a="1"/>
  <c r="U327" i="8" s="1"/>
  <c r="U338" i="8" a="1"/>
  <c r="U338" i="8" s="1"/>
  <c r="U339" i="8" a="1"/>
  <c r="U339" i="8" s="1"/>
  <c r="U340" i="8" a="1"/>
  <c r="U340" i="8" s="1"/>
  <c r="U341" i="8" a="1"/>
  <c r="U341" i="8" s="1"/>
  <c r="U344" i="8" a="1"/>
  <c r="U344" i="8" s="1"/>
  <c r="U349" i="8" a="1"/>
  <c r="U349" i="8" s="1"/>
  <c r="U350" i="8" a="1"/>
  <c r="U350" i="8" s="1"/>
  <c r="U358" i="8" a="1"/>
  <c r="U358" i="8" s="1"/>
  <c r="U336" i="8" a="1"/>
  <c r="U336" i="8" s="1"/>
  <c r="U351" i="8" a="1"/>
  <c r="U351" i="8" s="1"/>
  <c r="U307" i="8" a="1"/>
  <c r="U307" i="8" s="1"/>
  <c r="U321" i="8" a="1"/>
  <c r="U321" i="8" s="1"/>
  <c r="U334" i="8" a="1"/>
  <c r="U334" i="8" s="1"/>
  <c r="U335" i="8" a="1"/>
  <c r="U335" i="8" s="1"/>
  <c r="U337" i="8" a="1"/>
  <c r="U337" i="8" s="1"/>
  <c r="U324" i="8" a="1"/>
  <c r="U324" i="8" s="1"/>
  <c r="U330" i="8" a="1"/>
  <c r="U330" i="8" s="1"/>
  <c r="U331" i="8" a="1"/>
  <c r="U331" i="8" s="1"/>
  <c r="U332" i="8" a="1"/>
  <c r="U332" i="8" s="1"/>
  <c r="U333" i="8" a="1"/>
  <c r="U333" i="8" s="1"/>
  <c r="U311" i="8" a="1"/>
  <c r="U311" i="8" s="1"/>
  <c r="U329" i="8" a="1"/>
  <c r="U329" i="8" s="1"/>
  <c r="U308" i="8" a="1"/>
  <c r="U308" i="8" s="1"/>
  <c r="U325" i="8" a="1"/>
  <c r="U325" i="8" s="1"/>
  <c r="U328" i="8" a="1"/>
  <c r="U328" i="8" s="1"/>
  <c r="U346" i="8" a="1"/>
  <c r="U346" i="8" s="1"/>
  <c r="U353" i="8" a="1"/>
  <c r="U353" i="8" s="1"/>
  <c r="U354" i="8" a="1"/>
  <c r="U354" i="8" s="1"/>
  <c r="P281" i="8"/>
  <c r="P282" i="8"/>
  <c r="P285" i="8"/>
  <c r="P295" i="8"/>
  <c r="P288" i="8"/>
  <c r="P304" i="8"/>
  <c r="P291" i="8"/>
  <c r="P284" i="8"/>
  <c r="P300" i="8"/>
  <c r="P316" i="8"/>
  <c r="P287" i="8"/>
  <c r="P296" i="8"/>
  <c r="P312" i="8"/>
  <c r="P283" i="8"/>
  <c r="P286" i="8"/>
  <c r="P301" i="8"/>
  <c r="P302" i="8"/>
  <c r="P310" i="8"/>
  <c r="P314" i="8"/>
  <c r="P318" i="8"/>
  <c r="P328" i="8"/>
  <c r="P292" i="8"/>
  <c r="P303" i="8"/>
  <c r="P305" i="8"/>
  <c r="P321" i="8"/>
  <c r="P289" i="8"/>
  <c r="P306" i="8"/>
  <c r="P311" i="8"/>
  <c r="P294" i="8"/>
  <c r="P307" i="8"/>
  <c r="P308" i="8"/>
  <c r="P293" i="8"/>
  <c r="P290" i="8"/>
  <c r="P313" i="8"/>
  <c r="P317" i="8"/>
  <c r="P298" i="8"/>
  <c r="P309" i="8"/>
  <c r="P319" i="8"/>
  <c r="P320" i="8"/>
  <c r="P329" i="8"/>
  <c r="P330" i="8"/>
  <c r="P331" i="8"/>
  <c r="P332" i="8"/>
  <c r="P352" i="8"/>
  <c r="P341" i="8"/>
  <c r="P344" i="8"/>
  <c r="P299" i="8"/>
  <c r="P315" i="8"/>
  <c r="P322" i="8"/>
  <c r="P323" i="8"/>
  <c r="P346" i="8"/>
  <c r="P324" i="8"/>
  <c r="P353" i="8"/>
  <c r="P354" i="8"/>
  <c r="P348" i="8"/>
  <c r="P358" i="8"/>
  <c r="P349" i="8"/>
  <c r="P347" i="8"/>
  <c r="P355" i="8"/>
  <c r="P356" i="8"/>
  <c r="P357" i="8"/>
  <c r="P325" i="8"/>
  <c r="P342" i="8"/>
  <c r="P343" i="8"/>
  <c r="P326" i="8"/>
  <c r="P337" i="8"/>
  <c r="P338" i="8"/>
  <c r="P339" i="8"/>
  <c r="P340" i="8"/>
  <c r="P350" i="8"/>
  <c r="P297" i="8"/>
  <c r="P327" i="8"/>
  <c r="P333" i="8"/>
  <c r="P334" i="8"/>
  <c r="P335" i="8"/>
  <c r="P336" i="8"/>
  <c r="P345" i="8"/>
  <c r="P351" i="8"/>
  <c r="Q261" i="8"/>
  <c r="Q260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80" i="8"/>
  <c r="Q278" i="8"/>
  <c r="Q279" i="8"/>
  <c r="S278" i="8"/>
  <c r="S279" i="8"/>
  <c r="S261" i="8"/>
  <c r="S260" i="8"/>
  <c r="S262" i="8"/>
  <c r="S263" i="8"/>
  <c r="S264" i="8"/>
  <c r="S265" i="8"/>
  <c r="S266" i="8"/>
  <c r="S267" i="8"/>
  <c r="S268" i="8"/>
  <c r="S269" i="8"/>
  <c r="S270" i="8"/>
  <c r="S271" i="8"/>
  <c r="S280" i="8"/>
  <c r="S274" i="8"/>
  <c r="S273" i="8"/>
  <c r="S275" i="8"/>
  <c r="S276" i="8"/>
  <c r="S277" i="8"/>
  <c r="S272" i="8"/>
  <c r="O261" i="8"/>
  <c r="O260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R280" i="8"/>
  <c r="R261" i="8"/>
  <c r="R260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9" i="8"/>
  <c r="R276" i="8"/>
  <c r="R275" i="8"/>
  <c r="R277" i="8"/>
  <c r="R278" i="8"/>
  <c r="U269" i="8" a="1"/>
  <c r="U269" i="8" s="1"/>
  <c r="U271" i="8" a="1"/>
  <c r="U271" i="8" s="1"/>
  <c r="U272" i="8" a="1"/>
  <c r="U272" i="8" s="1"/>
  <c r="U280" i="8" a="1"/>
  <c r="U280" i="8" s="1"/>
  <c r="U260" i="8" a="1"/>
  <c r="U260" i="8" s="1"/>
  <c r="U261" i="8" a="1"/>
  <c r="U261" i="8" s="1"/>
  <c r="U263" i="8" a="1"/>
  <c r="U263" i="8" s="1"/>
  <c r="U264" i="8" a="1"/>
  <c r="U264" i="8" s="1"/>
  <c r="U262" i="8" a="1"/>
  <c r="U262" i="8" s="1"/>
  <c r="U278" i="8" a="1"/>
  <c r="U278" i="8" s="1"/>
  <c r="U266" i="8" a="1"/>
  <c r="U266" i="8" s="1"/>
  <c r="U279" i="8" a="1"/>
  <c r="U279" i="8" s="1"/>
  <c r="U268" i="8" a="1"/>
  <c r="U268" i="8" s="1"/>
  <c r="U270" i="8" a="1"/>
  <c r="U270" i="8" s="1"/>
  <c r="U265" i="8" a="1"/>
  <c r="U265" i="8" s="1"/>
  <c r="U274" i="8" a="1"/>
  <c r="U274" i="8" s="1"/>
  <c r="U275" i="8" a="1"/>
  <c r="U275" i="8" s="1"/>
  <c r="U276" i="8" a="1"/>
  <c r="U276" i="8" s="1"/>
  <c r="U267" i="8" a="1"/>
  <c r="U267" i="8" s="1"/>
  <c r="U273" i="8" a="1"/>
  <c r="U273" i="8" s="1"/>
  <c r="U277" i="8" a="1"/>
  <c r="U277" i="8" s="1"/>
  <c r="P267" i="8"/>
  <c r="P275" i="8"/>
  <c r="P262" i="8"/>
  <c r="P270" i="8"/>
  <c r="P278" i="8"/>
  <c r="P265" i="8"/>
  <c r="P273" i="8"/>
  <c r="P280" i="8"/>
  <c r="P260" i="8"/>
  <c r="P268" i="8"/>
  <c r="P276" i="8"/>
  <c r="P263" i="8"/>
  <c r="P271" i="8"/>
  <c r="P279" i="8"/>
  <c r="P266" i="8"/>
  <c r="P274" i="8"/>
  <c r="P261" i="8"/>
  <c r="P269" i="8"/>
  <c r="P277" i="8"/>
  <c r="P264" i="8"/>
  <c r="P272" i="8"/>
  <c r="O250" i="8"/>
  <c r="O254" i="8"/>
  <c r="O255" i="8"/>
  <c r="O251" i="8"/>
  <c r="O253" i="8"/>
  <c r="O258" i="8"/>
  <c r="O252" i="8"/>
  <c r="O259" i="8"/>
  <c r="O257" i="8"/>
  <c r="O256" i="8"/>
  <c r="R253" i="8"/>
  <c r="R257" i="8"/>
  <c r="R251" i="8"/>
  <c r="R255" i="8"/>
  <c r="R252" i="8"/>
  <c r="R250" i="8"/>
  <c r="R254" i="8"/>
  <c r="R258" i="8"/>
  <c r="R259" i="8"/>
  <c r="R256" i="8"/>
  <c r="Q253" i="8"/>
  <c r="Q254" i="8"/>
  <c r="Q250" i="8"/>
  <c r="Q252" i="8"/>
  <c r="Q259" i="8"/>
  <c r="Q257" i="8"/>
  <c r="Q258" i="8"/>
  <c r="Q251" i="8"/>
  <c r="Q256" i="8"/>
  <c r="Q255" i="8"/>
  <c r="S253" i="8"/>
  <c r="S258" i="8"/>
  <c r="S251" i="8"/>
  <c r="S259" i="8"/>
  <c r="S256" i="8"/>
  <c r="S257" i="8"/>
  <c r="S250" i="8"/>
  <c r="S255" i="8"/>
  <c r="S252" i="8"/>
  <c r="S254" i="8"/>
  <c r="P250" i="8"/>
  <c r="P254" i="8"/>
  <c r="P258" i="8"/>
  <c r="P259" i="8"/>
  <c r="P256" i="8"/>
  <c r="P251" i="8"/>
  <c r="P255" i="8"/>
  <c r="P252" i="8"/>
  <c r="P253" i="8"/>
  <c r="P257" i="8"/>
  <c r="U251" i="8" a="1"/>
  <c r="U251" i="8" s="1"/>
  <c r="U252" i="8" a="1"/>
  <c r="U252" i="8" s="1"/>
  <c r="U257" i="8" a="1"/>
  <c r="U257" i="8" s="1"/>
  <c r="U250" i="8" a="1"/>
  <c r="U250" i="8" s="1"/>
  <c r="U258" i="8" a="1"/>
  <c r="U258" i="8" s="1"/>
  <c r="U255" i="8" a="1"/>
  <c r="U255" i="8" s="1"/>
  <c r="U259" i="8" a="1"/>
  <c r="U259" i="8" s="1"/>
  <c r="U256" i="8" a="1"/>
  <c r="U256" i="8" s="1"/>
  <c r="U254" i="8" a="1"/>
  <c r="U254" i="8" s="1"/>
  <c r="U253" i="8" a="1"/>
  <c r="U253" i="8" s="1"/>
  <c r="F2" i="18"/>
  <c r="L2" i="18"/>
  <c r="W2" i="18" s="1"/>
  <c r="Q233" i="8"/>
  <c r="Q235" i="8"/>
  <c r="Q240" i="8"/>
  <c r="Q241" i="8"/>
  <c r="Q242" i="8"/>
  <c r="Q244" i="8"/>
  <c r="Q245" i="8"/>
  <c r="Q246" i="8"/>
  <c r="Q247" i="8"/>
  <c r="Q238" i="8"/>
  <c r="Q243" i="8"/>
  <c r="Q237" i="8"/>
  <c r="Q236" i="8"/>
  <c r="Q234" i="8"/>
  <c r="Q239" i="8"/>
  <c r="Q248" i="8"/>
  <c r="Q249" i="8"/>
  <c r="R233" i="8"/>
  <c r="R234" i="8"/>
  <c r="R236" i="8"/>
  <c r="R237" i="8"/>
  <c r="R238" i="8"/>
  <c r="R239" i="8"/>
  <c r="R243" i="8"/>
  <c r="R240" i="8"/>
  <c r="R241" i="8"/>
  <c r="R242" i="8"/>
  <c r="R244" i="8"/>
  <c r="R245" i="8"/>
  <c r="R246" i="8"/>
  <c r="R235" i="8"/>
  <c r="R248" i="8"/>
  <c r="R249" i="8"/>
  <c r="R247" i="8"/>
  <c r="P233" i="8"/>
  <c r="P248" i="8"/>
  <c r="P235" i="8"/>
  <c r="P234" i="8"/>
  <c r="P236" i="8"/>
  <c r="P237" i="8"/>
  <c r="P238" i="8"/>
  <c r="P239" i="8"/>
  <c r="P246" i="8"/>
  <c r="P247" i="8"/>
  <c r="P242" i="8"/>
  <c r="P244" i="8"/>
  <c r="P245" i="8"/>
  <c r="P240" i="8"/>
  <c r="P249" i="8"/>
  <c r="P243" i="8"/>
  <c r="P241" i="8"/>
  <c r="U233" i="8" a="1"/>
  <c r="U233" i="8" s="1"/>
  <c r="U234" i="8" a="1"/>
  <c r="U234" i="8" s="1"/>
  <c r="U235" i="8" a="1"/>
  <c r="U235" i="8" s="1"/>
  <c r="U237" i="8" a="1"/>
  <c r="U237" i="8" s="1"/>
  <c r="U238" i="8" a="1"/>
  <c r="U238" i="8" s="1"/>
  <c r="U248" i="8" a="1"/>
  <c r="U248" i="8" s="1"/>
  <c r="U246" i="8" a="1"/>
  <c r="U246" i="8" s="1"/>
  <c r="U241" i="8" a="1"/>
  <c r="U241" i="8" s="1"/>
  <c r="U240" i="8" a="1"/>
  <c r="U240" i="8" s="1"/>
  <c r="U236" i="8" a="1"/>
  <c r="U236" i="8" s="1"/>
  <c r="U247" i="8" a="1"/>
  <c r="U247" i="8" s="1"/>
  <c r="U239" i="8" a="1"/>
  <c r="U239" i="8" s="1"/>
  <c r="U242" i="8" a="1"/>
  <c r="U242" i="8" s="1"/>
  <c r="U243" i="8" a="1"/>
  <c r="U243" i="8" s="1"/>
  <c r="U244" i="8" a="1"/>
  <c r="U244" i="8" s="1"/>
  <c r="U245" i="8" a="1"/>
  <c r="U245" i="8" s="1"/>
  <c r="U249" i="8" a="1"/>
  <c r="U249" i="8" s="1"/>
  <c r="S246" i="8"/>
  <c r="S247" i="8"/>
  <c r="S235" i="8"/>
  <c r="S234" i="8"/>
  <c r="S236" i="8"/>
  <c r="S237" i="8"/>
  <c r="S238" i="8"/>
  <c r="S239" i="8"/>
  <c r="S243" i="8"/>
  <c r="S249" i="8"/>
  <c r="S240" i="8"/>
  <c r="S241" i="8"/>
  <c r="S242" i="8"/>
  <c r="S244" i="8"/>
  <c r="S245" i="8"/>
  <c r="S248" i="8"/>
  <c r="O233" i="8"/>
  <c r="O234" i="8"/>
  <c r="O236" i="8"/>
  <c r="O240" i="8"/>
  <c r="O241" i="8"/>
  <c r="O235" i="8"/>
  <c r="O237" i="8"/>
  <c r="O246" i="8"/>
  <c r="O239" i="8"/>
  <c r="O249" i="8"/>
  <c r="O248" i="8"/>
  <c r="O238" i="8"/>
  <c r="O243" i="8"/>
  <c r="O242" i="8"/>
  <c r="O244" i="8"/>
  <c r="O245" i="8"/>
  <c r="O247" i="8"/>
  <c r="D2" i="18"/>
  <c r="I2" i="18"/>
  <c r="V2" i="18" s="1"/>
  <c r="K2" i="18"/>
  <c r="G2" i="18"/>
  <c r="H2" i="18"/>
  <c r="J2" i="18"/>
  <c r="S233" i="8"/>
  <c r="S217" i="8"/>
  <c r="S215" i="8"/>
  <c r="S218" i="8"/>
  <c r="S222" i="8"/>
  <c r="S225" i="8"/>
  <c r="S229" i="8"/>
  <c r="S232" i="8"/>
  <c r="S226" i="8"/>
  <c r="S216" i="8"/>
  <c r="S219" i="8"/>
  <c r="S230" i="8"/>
  <c r="S223" i="8"/>
  <c r="S231" i="8"/>
  <c r="S221" i="8"/>
  <c r="S224" i="8"/>
  <c r="S228" i="8"/>
  <c r="S220" i="8"/>
  <c r="S227" i="8"/>
  <c r="P215" i="8"/>
  <c r="P218" i="8"/>
  <c r="P222" i="8"/>
  <c r="P216" i="8"/>
  <c r="P223" i="8"/>
  <c r="P227" i="8"/>
  <c r="P228" i="8"/>
  <c r="P231" i="8"/>
  <c r="P220" i="8"/>
  <c r="P224" i="8"/>
  <c r="P217" i="8"/>
  <c r="P226" i="8"/>
  <c r="P232" i="8"/>
  <c r="P225" i="8"/>
  <c r="P221" i="8"/>
  <c r="P230" i="8"/>
  <c r="P229" i="8"/>
  <c r="P219" i="8"/>
  <c r="Q221" i="8"/>
  <c r="Q215" i="8"/>
  <c r="Q218" i="8"/>
  <c r="Q216" i="8"/>
  <c r="Q219" i="8"/>
  <c r="Q230" i="8"/>
  <c r="Q227" i="8"/>
  <c r="Q220" i="8"/>
  <c r="Q224" i="8"/>
  <c r="Q223" i="8"/>
  <c r="Q231" i="8"/>
  <c r="Q228" i="8"/>
  <c r="Q226" i="8"/>
  <c r="Q232" i="8"/>
  <c r="Q225" i="8"/>
  <c r="Q229" i="8"/>
  <c r="Q222" i="8"/>
  <c r="Q217" i="8"/>
  <c r="O215" i="8"/>
  <c r="O216" i="8"/>
  <c r="O219" i="8"/>
  <c r="O220" i="8"/>
  <c r="O224" i="8"/>
  <c r="O228" i="8"/>
  <c r="O231" i="8"/>
  <c r="O217" i="8"/>
  <c r="O221" i="8"/>
  <c r="O218" i="8"/>
  <c r="O230" i="8"/>
  <c r="O223" i="8"/>
  <c r="O225" i="8"/>
  <c r="O229" i="8"/>
  <c r="O222" i="8"/>
  <c r="O232" i="8"/>
  <c r="O227" i="8"/>
  <c r="O226" i="8"/>
  <c r="U216" i="8" a="1"/>
  <c r="U216" i="8" s="1"/>
  <c r="U223" i="8" a="1"/>
  <c r="U223" i="8" s="1"/>
  <c r="U228" i="8" a="1"/>
  <c r="U228" i="8" s="1"/>
  <c r="U231" i="8" a="1"/>
  <c r="U231" i="8" s="1"/>
  <c r="U215" i="8" a="1"/>
  <c r="U215" i="8" s="1"/>
  <c r="U218" i="8" a="1"/>
  <c r="U218" i="8" s="1"/>
  <c r="U225" i="8" a="1"/>
  <c r="U225" i="8" s="1"/>
  <c r="U229" i="8" a="1"/>
  <c r="U229" i="8" s="1"/>
  <c r="U217" i="8" a="1"/>
  <c r="U217" i="8" s="1"/>
  <c r="U221" i="8" a="1"/>
  <c r="U221" i="8" s="1"/>
  <c r="U222" i="8" a="1"/>
  <c r="U222" i="8" s="1"/>
  <c r="U232" i="8" a="1"/>
  <c r="U232" i="8" s="1"/>
  <c r="U220" i="8" a="1"/>
  <c r="U220" i="8" s="1"/>
  <c r="U224" i="8" a="1"/>
  <c r="U224" i="8" s="1"/>
  <c r="U226" i="8" a="1"/>
  <c r="U226" i="8" s="1"/>
  <c r="U227" i="8" a="1"/>
  <c r="U227" i="8" s="1"/>
  <c r="U230" i="8" a="1"/>
  <c r="U230" i="8" s="1"/>
  <c r="U219" i="8" a="1"/>
  <c r="U219" i="8" s="1"/>
  <c r="R217" i="8"/>
  <c r="R215" i="8"/>
  <c r="R226" i="8"/>
  <c r="R230" i="8"/>
  <c r="R223" i="8"/>
  <c r="R227" i="8"/>
  <c r="R216" i="8"/>
  <c r="R219" i="8"/>
  <c r="R220" i="8"/>
  <c r="R224" i="8"/>
  <c r="R231" i="8"/>
  <c r="R221" i="8"/>
  <c r="R218" i="8"/>
  <c r="R232" i="8"/>
  <c r="R225" i="8"/>
  <c r="R228" i="8"/>
  <c r="R229" i="8"/>
  <c r="R222" i="8"/>
  <c r="O210" i="8"/>
  <c r="O214" i="8"/>
  <c r="O213" i="8"/>
  <c r="O208" i="8"/>
  <c r="O211" i="8"/>
  <c r="O209" i="8"/>
  <c r="O212" i="8"/>
  <c r="R209" i="8"/>
  <c r="R213" i="8"/>
  <c r="R212" i="8"/>
  <c r="R210" i="8"/>
  <c r="R208" i="8"/>
  <c r="R211" i="8"/>
  <c r="R214" i="8"/>
  <c r="Q214" i="8"/>
  <c r="Q210" i="8"/>
  <c r="Q213" i="8"/>
  <c r="Q208" i="8"/>
  <c r="Q211" i="8"/>
  <c r="Q209" i="8"/>
  <c r="Q212" i="8"/>
  <c r="S214" i="8"/>
  <c r="S213" i="8"/>
  <c r="S209" i="8"/>
  <c r="S212" i="8"/>
  <c r="S210" i="8"/>
  <c r="S208" i="8"/>
  <c r="S211" i="8"/>
  <c r="P214" i="8"/>
  <c r="P210" i="8"/>
  <c r="P213" i="8"/>
  <c r="P208" i="8"/>
  <c r="P211" i="8"/>
  <c r="P209" i="8"/>
  <c r="P212" i="8"/>
  <c r="U213" i="8" a="1"/>
  <c r="U213" i="8" s="1"/>
  <c r="U214" i="8" a="1"/>
  <c r="U214" i="8" s="1"/>
  <c r="U208" i="8" a="1"/>
  <c r="U208" i="8" s="1"/>
  <c r="U211" i="8" a="1"/>
  <c r="U211" i="8" s="1"/>
  <c r="U209" i="8" a="1"/>
  <c r="U209" i="8" s="1"/>
  <c r="U212" i="8" a="1"/>
  <c r="U212" i="8" s="1"/>
  <c r="U210" i="8" a="1"/>
  <c r="U210" i="8" s="1"/>
  <c r="R206" i="8"/>
  <c r="R207" i="8"/>
  <c r="P206" i="8"/>
  <c r="P207" i="8"/>
  <c r="S207" i="8"/>
  <c r="S206" i="8"/>
  <c r="Q206" i="8"/>
  <c r="Q207" i="8"/>
  <c r="U5" i="8" a="1"/>
  <c r="U5" i="8" s="1"/>
  <c r="U12" i="8" a="1"/>
  <c r="U12" i="8" s="1"/>
  <c r="U18" i="8" a="1"/>
  <c r="U18" i="8" s="1"/>
  <c r="U31" i="8" a="1"/>
  <c r="U31" i="8" s="1"/>
  <c r="U37" i="8" a="1"/>
  <c r="U37" i="8" s="1"/>
  <c r="U44" i="8" a="1"/>
  <c r="U44" i="8" s="1"/>
  <c r="U50" i="8" a="1"/>
  <c r="U50" i="8" s="1"/>
  <c r="U63" i="8" a="1"/>
  <c r="U63" i="8" s="1"/>
  <c r="U69" i="8" a="1"/>
  <c r="U69" i="8" s="1"/>
  <c r="U76" i="8" a="1"/>
  <c r="U76" i="8" s="1"/>
  <c r="U82" i="8" a="1"/>
  <c r="U82" i="8" s="1"/>
  <c r="U95" i="8" a="1"/>
  <c r="U95" i="8" s="1"/>
  <c r="U101" i="8" a="1"/>
  <c r="U101" i="8" s="1"/>
  <c r="U108" i="8" a="1"/>
  <c r="U108" i="8" s="1"/>
  <c r="U114" i="8" a="1"/>
  <c r="U114" i="8" s="1"/>
  <c r="U127" i="8" a="1"/>
  <c r="U127" i="8" s="1"/>
  <c r="U133" i="8" a="1"/>
  <c r="U133" i="8" s="1"/>
  <c r="U140" i="8" a="1"/>
  <c r="U140" i="8" s="1"/>
  <c r="U146" i="8" a="1"/>
  <c r="U146" i="8" s="1"/>
  <c r="U159" i="8" a="1"/>
  <c r="U159" i="8" s="1"/>
  <c r="U165" i="8" a="1"/>
  <c r="U165" i="8" s="1"/>
  <c r="U172" i="8" a="1"/>
  <c r="U172" i="8" s="1"/>
  <c r="U178" i="8" a="1"/>
  <c r="U178" i="8" s="1"/>
  <c r="U191" i="8" a="1"/>
  <c r="U191" i="8" s="1"/>
  <c r="U197" i="8" a="1"/>
  <c r="U197" i="8" s="1"/>
  <c r="U204" i="8" a="1"/>
  <c r="U204" i="8" s="1"/>
  <c r="U59" i="8" a="1"/>
  <c r="U59" i="8" s="1"/>
  <c r="U91" i="8" a="1"/>
  <c r="U91" i="8" s="1"/>
  <c r="U104" i="8" a="1"/>
  <c r="U104" i="8" s="1"/>
  <c r="U123" i="8" a="1"/>
  <c r="U123" i="8" s="1"/>
  <c r="U136" i="8" a="1"/>
  <c r="U136" i="8" s="1"/>
  <c r="U155" i="8" a="1"/>
  <c r="U155" i="8" s="1"/>
  <c r="U168" i="8" a="1"/>
  <c r="U168" i="8" s="1"/>
  <c r="U187" i="8" a="1"/>
  <c r="U187" i="8" s="1"/>
  <c r="U200" i="8" a="1"/>
  <c r="U200" i="8" s="1"/>
  <c r="U6" i="8" a="1"/>
  <c r="U6" i="8" s="1"/>
  <c r="U19" i="8" a="1"/>
  <c r="U19" i="8" s="1"/>
  <c r="U25" i="8" a="1"/>
  <c r="U25" i="8" s="1"/>
  <c r="U32" i="8" a="1"/>
  <c r="U32" i="8" s="1"/>
  <c r="U38" i="8" a="1"/>
  <c r="U38" i="8" s="1"/>
  <c r="U51" i="8" a="1"/>
  <c r="U51" i="8" s="1"/>
  <c r="U57" i="8" a="1"/>
  <c r="U57" i="8" s="1"/>
  <c r="U64" i="8" a="1"/>
  <c r="U64" i="8" s="1"/>
  <c r="U70" i="8" a="1"/>
  <c r="U70" i="8" s="1"/>
  <c r="U83" i="8" a="1"/>
  <c r="U83" i="8" s="1"/>
  <c r="U89" i="8" a="1"/>
  <c r="U89" i="8" s="1"/>
  <c r="U96" i="8" a="1"/>
  <c r="U96" i="8" s="1"/>
  <c r="U102" i="8" a="1"/>
  <c r="U102" i="8" s="1"/>
  <c r="U115" i="8" a="1"/>
  <c r="U115" i="8" s="1"/>
  <c r="U121" i="8" a="1"/>
  <c r="U121" i="8" s="1"/>
  <c r="U128" i="8" a="1"/>
  <c r="U128" i="8" s="1"/>
  <c r="U134" i="8" a="1"/>
  <c r="U134" i="8" s="1"/>
  <c r="U147" i="8" a="1"/>
  <c r="U147" i="8" s="1"/>
  <c r="U153" i="8" a="1"/>
  <c r="U153" i="8" s="1"/>
  <c r="U160" i="8" a="1"/>
  <c r="U160" i="8" s="1"/>
  <c r="U166" i="8" a="1"/>
  <c r="U166" i="8" s="1"/>
  <c r="U179" i="8" a="1"/>
  <c r="U179" i="8" s="1"/>
  <c r="U185" i="8" a="1"/>
  <c r="U185" i="8" s="1"/>
  <c r="U192" i="8" a="1"/>
  <c r="U192" i="8" s="1"/>
  <c r="U198" i="8" a="1"/>
  <c r="U198" i="8" s="1"/>
  <c r="U7" i="8" a="1"/>
  <c r="U7" i="8" s="1"/>
  <c r="U13" i="8" a="1"/>
  <c r="U13" i="8" s="1"/>
  <c r="U20" i="8" a="1"/>
  <c r="U20" i="8" s="1"/>
  <c r="U26" i="8" a="1"/>
  <c r="U26" i="8" s="1"/>
  <c r="U39" i="8" a="1"/>
  <c r="U39" i="8" s="1"/>
  <c r="U45" i="8" a="1"/>
  <c r="U45" i="8" s="1"/>
  <c r="U52" i="8" a="1"/>
  <c r="U52" i="8" s="1"/>
  <c r="U58" i="8" a="1"/>
  <c r="U58" i="8" s="1"/>
  <c r="U71" i="8" a="1"/>
  <c r="U71" i="8" s="1"/>
  <c r="U77" i="8" a="1"/>
  <c r="U77" i="8" s="1"/>
  <c r="U84" i="8" a="1"/>
  <c r="U84" i="8" s="1"/>
  <c r="U90" i="8" a="1"/>
  <c r="U90" i="8" s="1"/>
  <c r="U103" i="8" a="1"/>
  <c r="U103" i="8" s="1"/>
  <c r="U109" i="8" a="1"/>
  <c r="U109" i="8" s="1"/>
  <c r="U116" i="8" a="1"/>
  <c r="U116" i="8" s="1"/>
  <c r="U122" i="8" a="1"/>
  <c r="U122" i="8" s="1"/>
  <c r="U135" i="8" a="1"/>
  <c r="U135" i="8" s="1"/>
  <c r="U141" i="8" a="1"/>
  <c r="U141" i="8" s="1"/>
  <c r="U148" i="8" a="1"/>
  <c r="U148" i="8" s="1"/>
  <c r="U154" i="8" a="1"/>
  <c r="U154" i="8" s="1"/>
  <c r="U167" i="8" a="1"/>
  <c r="U167" i="8" s="1"/>
  <c r="U173" i="8" a="1"/>
  <c r="U173" i="8" s="1"/>
  <c r="U180" i="8" a="1"/>
  <c r="U180" i="8" s="1"/>
  <c r="U186" i="8" a="1"/>
  <c r="U186" i="8" s="1"/>
  <c r="U199" i="8" a="1"/>
  <c r="U199" i="8" s="1"/>
  <c r="U205" i="8" a="1"/>
  <c r="U205" i="8" s="1"/>
  <c r="U8" i="8" a="1"/>
  <c r="U8" i="8" s="1"/>
  <c r="U14" i="8" a="1"/>
  <c r="U14" i="8" s="1"/>
  <c r="U27" i="8" a="1"/>
  <c r="U27" i="8" s="1"/>
  <c r="U33" i="8" a="1"/>
  <c r="U33" i="8" s="1"/>
  <c r="U40" i="8" a="1"/>
  <c r="U40" i="8" s="1"/>
  <c r="U46" i="8" a="1"/>
  <c r="U46" i="8" s="1"/>
  <c r="U65" i="8" a="1"/>
  <c r="U65" i="8" s="1"/>
  <c r="U72" i="8" a="1"/>
  <c r="U72" i="8" s="1"/>
  <c r="U78" i="8" a="1"/>
  <c r="U78" i="8" s="1"/>
  <c r="U97" i="8" a="1"/>
  <c r="U97" i="8" s="1"/>
  <c r="U110" i="8" a="1"/>
  <c r="U110" i="8" s="1"/>
  <c r="U129" i="8" a="1"/>
  <c r="U129" i="8" s="1"/>
  <c r="U142" i="8" a="1"/>
  <c r="U142" i="8" s="1"/>
  <c r="U161" i="8" a="1"/>
  <c r="U161" i="8" s="1"/>
  <c r="U174" i="8" a="1"/>
  <c r="U174" i="8" s="1"/>
  <c r="U193" i="8" a="1"/>
  <c r="U193" i="8" s="1"/>
  <c r="U206" i="8" a="1"/>
  <c r="U206" i="8" s="1"/>
  <c r="U15" i="8" a="1"/>
  <c r="U15" i="8" s="1"/>
  <c r="U21" i="8" a="1"/>
  <c r="U21" i="8" s="1"/>
  <c r="U28" i="8" a="1"/>
  <c r="U28" i="8" s="1"/>
  <c r="U34" i="8" a="1"/>
  <c r="U34" i="8" s="1"/>
  <c r="U47" i="8" a="1"/>
  <c r="U47" i="8" s="1"/>
  <c r="U53" i="8" a="1"/>
  <c r="U53" i="8" s="1"/>
  <c r="U60" i="8" a="1"/>
  <c r="U60" i="8" s="1"/>
  <c r="U66" i="8" a="1"/>
  <c r="U66" i="8" s="1"/>
  <c r="U79" i="8" a="1"/>
  <c r="U79" i="8" s="1"/>
  <c r="U85" i="8" a="1"/>
  <c r="U85" i="8" s="1"/>
  <c r="U92" i="8" a="1"/>
  <c r="U92" i="8" s="1"/>
  <c r="U98" i="8" a="1"/>
  <c r="U98" i="8" s="1"/>
  <c r="U111" i="8" a="1"/>
  <c r="U111" i="8" s="1"/>
  <c r="U117" i="8" a="1"/>
  <c r="U117" i="8" s="1"/>
  <c r="U124" i="8" a="1"/>
  <c r="U124" i="8" s="1"/>
  <c r="U130" i="8" a="1"/>
  <c r="U130" i="8" s="1"/>
  <c r="U143" i="8" a="1"/>
  <c r="U143" i="8" s="1"/>
  <c r="U149" i="8" a="1"/>
  <c r="U149" i="8" s="1"/>
  <c r="U156" i="8" a="1"/>
  <c r="U156" i="8" s="1"/>
  <c r="U162" i="8" a="1"/>
  <c r="U162" i="8" s="1"/>
  <c r="U175" i="8" a="1"/>
  <c r="U175" i="8" s="1"/>
  <c r="U181" i="8" a="1"/>
  <c r="U181" i="8" s="1"/>
  <c r="U188" i="8" a="1"/>
  <c r="U188" i="8" s="1"/>
  <c r="U194" i="8" a="1"/>
  <c r="U194" i="8" s="1"/>
  <c r="U207" i="8" a="1"/>
  <c r="U207" i="8" s="1"/>
  <c r="U9" i="8" a="1"/>
  <c r="U9" i="8" s="1"/>
  <c r="R7" i="18" s="1"/>
  <c r="U16" i="8" a="1"/>
  <c r="U16" i="8" s="1"/>
  <c r="U22" i="8" a="1"/>
  <c r="U22" i="8" s="1"/>
  <c r="U35" i="8" a="1"/>
  <c r="U35" i="8" s="1"/>
  <c r="U41" i="8" a="1"/>
  <c r="U41" i="8" s="1"/>
  <c r="U48" i="8" a="1"/>
  <c r="U48" i="8" s="1"/>
  <c r="U54" i="8" a="1"/>
  <c r="U54" i="8" s="1"/>
  <c r="U67" i="8" a="1"/>
  <c r="U67" i="8" s="1"/>
  <c r="U73" i="8" a="1"/>
  <c r="U73" i="8" s="1"/>
  <c r="U80" i="8" a="1"/>
  <c r="U80" i="8" s="1"/>
  <c r="U86" i="8" a="1"/>
  <c r="U86" i="8" s="1"/>
  <c r="U99" i="8" a="1"/>
  <c r="U99" i="8" s="1"/>
  <c r="U105" i="8" a="1"/>
  <c r="U105" i="8" s="1"/>
  <c r="U112" i="8" a="1"/>
  <c r="U112" i="8" s="1"/>
  <c r="U118" i="8" a="1"/>
  <c r="U118" i="8" s="1"/>
  <c r="U131" i="8" a="1"/>
  <c r="U131" i="8" s="1"/>
  <c r="U137" i="8" a="1"/>
  <c r="U137" i="8" s="1"/>
  <c r="U144" i="8" a="1"/>
  <c r="U144" i="8" s="1"/>
  <c r="U150" i="8" a="1"/>
  <c r="U150" i="8" s="1"/>
  <c r="U163" i="8" a="1"/>
  <c r="U163" i="8" s="1"/>
  <c r="U169" i="8" a="1"/>
  <c r="U169" i="8" s="1"/>
  <c r="U176" i="8" a="1"/>
  <c r="U176" i="8" s="1"/>
  <c r="U182" i="8" a="1"/>
  <c r="U182" i="8" s="1"/>
  <c r="U195" i="8" a="1"/>
  <c r="U195" i="8" s="1"/>
  <c r="U201" i="8" a="1"/>
  <c r="U201" i="8" s="1"/>
  <c r="U11" i="8" a="1"/>
  <c r="U11" i="8" s="1"/>
  <c r="U17" i="8" a="1"/>
  <c r="U17" i="8" s="1"/>
  <c r="U24" i="8" a="1"/>
  <c r="U24" i="8" s="1"/>
  <c r="U30" i="8" a="1"/>
  <c r="U30" i="8" s="1"/>
  <c r="U43" i="8" a="1"/>
  <c r="U43" i="8" s="1"/>
  <c r="U49" i="8" a="1"/>
  <c r="U49" i="8" s="1"/>
  <c r="U56" i="8" a="1"/>
  <c r="U56" i="8" s="1"/>
  <c r="U62" i="8" a="1"/>
  <c r="U62" i="8" s="1"/>
  <c r="U75" i="8" a="1"/>
  <c r="U75" i="8" s="1"/>
  <c r="U81" i="8" a="1"/>
  <c r="U81" i="8" s="1"/>
  <c r="U88" i="8" a="1"/>
  <c r="U88" i="8" s="1"/>
  <c r="U94" i="8" a="1"/>
  <c r="U94" i="8" s="1"/>
  <c r="U107" i="8" a="1"/>
  <c r="U107" i="8" s="1"/>
  <c r="U113" i="8" a="1"/>
  <c r="U113" i="8" s="1"/>
  <c r="U120" i="8" a="1"/>
  <c r="U120" i="8" s="1"/>
  <c r="U126" i="8" a="1"/>
  <c r="U126" i="8" s="1"/>
  <c r="U139" i="8" a="1"/>
  <c r="U139" i="8" s="1"/>
  <c r="U145" i="8" a="1"/>
  <c r="U145" i="8" s="1"/>
  <c r="U152" i="8" a="1"/>
  <c r="U152" i="8" s="1"/>
  <c r="U158" i="8" a="1"/>
  <c r="U158" i="8" s="1"/>
  <c r="U171" i="8" a="1"/>
  <c r="U171" i="8" s="1"/>
  <c r="U177" i="8" a="1"/>
  <c r="U177" i="8" s="1"/>
  <c r="U184" i="8" a="1"/>
  <c r="U184" i="8" s="1"/>
  <c r="U190" i="8" a="1"/>
  <c r="U190" i="8" s="1"/>
  <c r="U203" i="8" a="1"/>
  <c r="U203" i="8" s="1"/>
  <c r="U10" i="8" a="1"/>
  <c r="U10" i="8" s="1"/>
  <c r="R8" i="18" s="1"/>
  <c r="U61" i="8" a="1"/>
  <c r="U61" i="8" s="1"/>
  <c r="U164" i="8" a="1"/>
  <c r="U164" i="8" s="1"/>
  <c r="U68" i="8" a="1"/>
  <c r="U68" i="8" s="1"/>
  <c r="U119" i="8" a="1"/>
  <c r="U119" i="8" s="1"/>
  <c r="U170" i="8" a="1"/>
  <c r="U170" i="8" s="1"/>
  <c r="U132" i="8" a="1"/>
  <c r="U132" i="8" s="1"/>
  <c r="U23" i="8" a="1"/>
  <c r="U23" i="8" s="1"/>
  <c r="U74" i="8" a="1"/>
  <c r="U74" i="8" s="1"/>
  <c r="U125" i="8" a="1"/>
  <c r="U125" i="8" s="1"/>
  <c r="U29" i="8" a="1"/>
  <c r="U29" i="8" s="1"/>
  <c r="U183" i="8" a="1"/>
  <c r="U183" i="8" s="1"/>
  <c r="U36" i="8" a="1"/>
  <c r="U36" i="8" s="1"/>
  <c r="U87" i="8" a="1"/>
  <c r="U87" i="8" s="1"/>
  <c r="U138" i="8" a="1"/>
  <c r="U138" i="8" s="1"/>
  <c r="U189" i="8" a="1"/>
  <c r="U189" i="8" s="1"/>
  <c r="U42" i="8" a="1"/>
  <c r="U42" i="8" s="1"/>
  <c r="U93" i="8" a="1"/>
  <c r="U93" i="8" s="1"/>
  <c r="U196" i="8" a="1"/>
  <c r="U196" i="8" s="1"/>
  <c r="U100" i="8" a="1"/>
  <c r="U100" i="8" s="1"/>
  <c r="U151" i="8" a="1"/>
  <c r="U151" i="8" s="1"/>
  <c r="U202" i="8" a="1"/>
  <c r="U202" i="8" s="1"/>
  <c r="U55" i="8" a="1"/>
  <c r="U55" i="8" s="1"/>
  <c r="U106" i="8" a="1"/>
  <c r="U106" i="8" s="1"/>
  <c r="U157" i="8" a="1"/>
  <c r="U157" i="8" s="1"/>
  <c r="O207" i="8"/>
  <c r="O206" i="8"/>
  <c r="O190" i="8"/>
  <c r="O194" i="8"/>
  <c r="O197" i="8"/>
  <c r="O205" i="8"/>
  <c r="O203" i="8"/>
  <c r="O191" i="8"/>
  <c r="O198" i="8"/>
  <c r="O199" i="8"/>
  <c r="O201" i="8"/>
  <c r="O202" i="8"/>
  <c r="O195" i="8"/>
  <c r="O188" i="8"/>
  <c r="O192" i="8"/>
  <c r="O189" i="8"/>
  <c r="O193" i="8"/>
  <c r="O196" i="8"/>
  <c r="O200" i="8"/>
  <c r="O204" i="8"/>
  <c r="Q189" i="8"/>
  <c r="Q193" i="8"/>
  <c r="Q196" i="8"/>
  <c r="Q205" i="8"/>
  <c r="Q201" i="8"/>
  <c r="Q200" i="8"/>
  <c r="Q190" i="8"/>
  <c r="Q194" i="8"/>
  <c r="Q197" i="8"/>
  <c r="Q198" i="8"/>
  <c r="Q195" i="8"/>
  <c r="Q203" i="8"/>
  <c r="Q191" i="8"/>
  <c r="Q188" i="8"/>
  <c r="Q192" i="8"/>
  <c r="Q199" i="8"/>
  <c r="Q202" i="8"/>
  <c r="Q204" i="8"/>
  <c r="S188" i="8"/>
  <c r="S192" i="8"/>
  <c r="S199" i="8"/>
  <c r="S203" i="8"/>
  <c r="S202" i="8"/>
  <c r="S204" i="8"/>
  <c r="S189" i="8"/>
  <c r="S193" i="8"/>
  <c r="S196" i="8"/>
  <c r="S194" i="8"/>
  <c r="S197" i="8"/>
  <c r="S205" i="8"/>
  <c r="S200" i="8"/>
  <c r="S190" i="8"/>
  <c r="S191" i="8"/>
  <c r="S198" i="8"/>
  <c r="S201" i="8"/>
  <c r="S195" i="8"/>
  <c r="R202" i="8"/>
  <c r="R204" i="8"/>
  <c r="R203" i="8"/>
  <c r="R191" i="8"/>
  <c r="R198" i="8"/>
  <c r="R189" i="8"/>
  <c r="R193" i="8"/>
  <c r="R196" i="8"/>
  <c r="R200" i="8"/>
  <c r="R201" i="8"/>
  <c r="R190" i="8"/>
  <c r="R194" i="8"/>
  <c r="R197" i="8"/>
  <c r="R205" i="8"/>
  <c r="R195" i="8"/>
  <c r="R188" i="8"/>
  <c r="R199" i="8"/>
  <c r="R192" i="8"/>
  <c r="P200" i="8"/>
  <c r="P190" i="8"/>
  <c r="P194" i="8"/>
  <c r="P197" i="8"/>
  <c r="P205" i="8"/>
  <c r="P195" i="8"/>
  <c r="P188" i="8"/>
  <c r="P203" i="8"/>
  <c r="P192" i="8"/>
  <c r="P199" i="8"/>
  <c r="P191" i="8"/>
  <c r="P198" i="8"/>
  <c r="P201" i="8"/>
  <c r="P202" i="8"/>
  <c r="P204" i="8"/>
  <c r="P189" i="8"/>
  <c r="P193" i="8"/>
  <c r="P196" i="8"/>
  <c r="S183" i="8"/>
  <c r="S187" i="8"/>
  <c r="S181" i="8"/>
  <c r="S177" i="8"/>
  <c r="S178" i="8"/>
  <c r="S179" i="8"/>
  <c r="S185" i="8"/>
  <c r="S184" i="8"/>
  <c r="S180" i="8"/>
  <c r="S186" i="8"/>
  <c r="S182" i="8"/>
  <c r="O180" i="8"/>
  <c r="O181" i="8"/>
  <c r="O185" i="8"/>
  <c r="O186" i="8"/>
  <c r="O182" i="8"/>
  <c r="O183" i="8"/>
  <c r="O187" i="8"/>
  <c r="O177" i="8"/>
  <c r="O178" i="8"/>
  <c r="O179" i="8"/>
  <c r="O184" i="8"/>
  <c r="R177" i="8"/>
  <c r="R178" i="8"/>
  <c r="R179" i="8"/>
  <c r="R184" i="8"/>
  <c r="R180" i="8"/>
  <c r="R181" i="8"/>
  <c r="R185" i="8"/>
  <c r="R186" i="8"/>
  <c r="R182" i="8"/>
  <c r="R183" i="8"/>
  <c r="R187" i="8"/>
  <c r="Q178" i="8"/>
  <c r="Q179" i="8"/>
  <c r="Q184" i="8"/>
  <c r="Q180" i="8"/>
  <c r="Q181" i="8"/>
  <c r="Q185" i="8"/>
  <c r="Q186" i="8"/>
  <c r="Q182" i="8"/>
  <c r="Q183" i="8"/>
  <c r="Q187" i="8"/>
  <c r="Q177" i="8"/>
  <c r="P184" i="8"/>
  <c r="P180" i="8"/>
  <c r="P183" i="8"/>
  <c r="P181" i="8"/>
  <c r="P185" i="8"/>
  <c r="P186" i="8"/>
  <c r="P182" i="8"/>
  <c r="P187" i="8"/>
  <c r="P177" i="8"/>
  <c r="P178" i="8"/>
  <c r="P179" i="8"/>
  <c r="O162" i="8"/>
  <c r="O165" i="8"/>
  <c r="O168" i="8"/>
  <c r="O167" i="8"/>
  <c r="O176" i="8"/>
  <c r="O166" i="8"/>
  <c r="O174" i="8"/>
  <c r="O172" i="8"/>
  <c r="O175" i="8"/>
  <c r="O164" i="8"/>
  <c r="O169" i="8"/>
  <c r="O171" i="8"/>
  <c r="O163" i="8"/>
  <c r="O170" i="8"/>
  <c r="O173" i="8"/>
  <c r="R166" i="8"/>
  <c r="R169" i="8"/>
  <c r="R164" i="8"/>
  <c r="R167" i="8"/>
  <c r="R163" i="8"/>
  <c r="R168" i="8"/>
  <c r="R174" i="8"/>
  <c r="R176" i="8"/>
  <c r="R162" i="8"/>
  <c r="R165" i="8"/>
  <c r="R170" i="8"/>
  <c r="R173" i="8"/>
  <c r="R172" i="8"/>
  <c r="R175" i="8"/>
  <c r="R171" i="8"/>
  <c r="Q162" i="8"/>
  <c r="Q165" i="8"/>
  <c r="Q168" i="8"/>
  <c r="Q163" i="8"/>
  <c r="Q169" i="8"/>
  <c r="Q171" i="8"/>
  <c r="Q167" i="8"/>
  <c r="Q176" i="8"/>
  <c r="Q166" i="8"/>
  <c r="Q170" i="8"/>
  <c r="Q173" i="8"/>
  <c r="Q172" i="8"/>
  <c r="Q175" i="8"/>
  <c r="Q164" i="8"/>
  <c r="Q174" i="8"/>
  <c r="S163" i="8"/>
  <c r="S166" i="8"/>
  <c r="S169" i="8"/>
  <c r="S174" i="8"/>
  <c r="S171" i="8"/>
  <c r="S162" i="8"/>
  <c r="S170" i="8"/>
  <c r="S167" i="8"/>
  <c r="S176" i="8"/>
  <c r="S165" i="8"/>
  <c r="S173" i="8"/>
  <c r="S164" i="8"/>
  <c r="S172" i="8"/>
  <c r="S175" i="8"/>
  <c r="S168" i="8"/>
  <c r="P162" i="8"/>
  <c r="P165" i="8"/>
  <c r="P168" i="8"/>
  <c r="P163" i="8"/>
  <c r="P166" i="8"/>
  <c r="P170" i="8"/>
  <c r="P173" i="8"/>
  <c r="P172" i="8"/>
  <c r="P175" i="8"/>
  <c r="P164" i="8"/>
  <c r="P174" i="8"/>
  <c r="P169" i="8"/>
  <c r="P171" i="8"/>
  <c r="P167" i="8"/>
  <c r="P176" i="8"/>
  <c r="P160" i="8"/>
  <c r="P161" i="8"/>
  <c r="P159" i="8"/>
  <c r="O159" i="8"/>
  <c r="O160" i="8"/>
  <c r="O161" i="8"/>
  <c r="R159" i="8"/>
  <c r="R160" i="8"/>
  <c r="R161" i="8"/>
  <c r="Q159" i="8"/>
  <c r="Q160" i="8"/>
  <c r="Q161" i="8"/>
  <c r="S5" i="8"/>
  <c r="S13" i="8"/>
  <c r="S21" i="8"/>
  <c r="S29" i="8"/>
  <c r="S37" i="8"/>
  <c r="S45" i="8"/>
  <c r="S53" i="8"/>
  <c r="S61" i="8"/>
  <c r="S69" i="8"/>
  <c r="S77" i="8"/>
  <c r="S85" i="8"/>
  <c r="S93" i="8"/>
  <c r="S101" i="8"/>
  <c r="S109" i="8"/>
  <c r="S117" i="8"/>
  <c r="S125" i="8"/>
  <c r="S133" i="8"/>
  <c r="S141" i="8"/>
  <c r="S149" i="8"/>
  <c r="S157" i="8"/>
  <c r="S63" i="8"/>
  <c r="S111" i="8"/>
  <c r="S135" i="8"/>
  <c r="S159" i="8"/>
  <c r="S6" i="8"/>
  <c r="S7" i="8"/>
  <c r="S8" i="8"/>
  <c r="Q6" i="18" s="1"/>
  <c r="S16" i="8"/>
  <c r="S24" i="8"/>
  <c r="S32" i="8"/>
  <c r="S40" i="8"/>
  <c r="S48" i="8"/>
  <c r="S56" i="8"/>
  <c r="S64" i="8"/>
  <c r="S72" i="8"/>
  <c r="S80" i="8"/>
  <c r="S88" i="8"/>
  <c r="S96" i="8"/>
  <c r="S104" i="8"/>
  <c r="S112" i="8"/>
  <c r="S120" i="8"/>
  <c r="S128" i="8"/>
  <c r="S136" i="8"/>
  <c r="S144" i="8"/>
  <c r="S152" i="8"/>
  <c r="S160" i="8"/>
  <c r="S9" i="8"/>
  <c r="Q7" i="18" s="1"/>
  <c r="S17" i="8"/>
  <c r="S25" i="8"/>
  <c r="S33" i="8"/>
  <c r="S41" i="8"/>
  <c r="S49" i="8"/>
  <c r="S57" i="8"/>
  <c r="S65" i="8"/>
  <c r="S73" i="8"/>
  <c r="S81" i="8"/>
  <c r="S89" i="8"/>
  <c r="S97" i="8"/>
  <c r="S105" i="8"/>
  <c r="S113" i="8"/>
  <c r="S121" i="8"/>
  <c r="S129" i="8"/>
  <c r="S137" i="8"/>
  <c r="S145" i="8"/>
  <c r="S153" i="8"/>
  <c r="S161" i="8"/>
  <c r="S38" i="8"/>
  <c r="S62" i="8"/>
  <c r="S86" i="8"/>
  <c r="S102" i="8"/>
  <c r="S118" i="8"/>
  <c r="S142" i="8"/>
  <c r="S39" i="8"/>
  <c r="S71" i="8"/>
  <c r="S87" i="8"/>
  <c r="S103" i="8"/>
  <c r="S127" i="8"/>
  <c r="S151" i="8"/>
  <c r="S10" i="8"/>
  <c r="Q8" i="18" s="1"/>
  <c r="S18" i="8"/>
  <c r="S26" i="8"/>
  <c r="S34" i="8"/>
  <c r="S42" i="8"/>
  <c r="S50" i="8"/>
  <c r="S58" i="8"/>
  <c r="S66" i="8"/>
  <c r="S74" i="8"/>
  <c r="S82" i="8"/>
  <c r="S90" i="8"/>
  <c r="S98" i="8"/>
  <c r="S106" i="8"/>
  <c r="S114" i="8"/>
  <c r="S122" i="8"/>
  <c r="S130" i="8"/>
  <c r="S138" i="8"/>
  <c r="S146" i="8"/>
  <c r="S154" i="8"/>
  <c r="S12" i="8"/>
  <c r="S20" i="8"/>
  <c r="S28" i="8"/>
  <c r="S36" i="8"/>
  <c r="S44" i="8"/>
  <c r="S52" i="8"/>
  <c r="S60" i="8"/>
  <c r="S68" i="8"/>
  <c r="S76" i="8"/>
  <c r="S84" i="8"/>
  <c r="S92" i="8"/>
  <c r="S100" i="8"/>
  <c r="S108" i="8"/>
  <c r="S116" i="8"/>
  <c r="S124" i="8"/>
  <c r="S132" i="8"/>
  <c r="S140" i="8"/>
  <c r="S148" i="8"/>
  <c r="S156" i="8"/>
  <c r="S14" i="8"/>
  <c r="S22" i="8"/>
  <c r="S30" i="8"/>
  <c r="S46" i="8"/>
  <c r="S54" i="8"/>
  <c r="S70" i="8"/>
  <c r="S94" i="8"/>
  <c r="S110" i="8"/>
  <c r="S134" i="8"/>
  <c r="S150" i="8"/>
  <c r="S11" i="8"/>
  <c r="S19" i="8"/>
  <c r="S27" i="8"/>
  <c r="S35" i="8"/>
  <c r="S43" i="8"/>
  <c r="S51" i="8"/>
  <c r="S59" i="8"/>
  <c r="S67" i="8"/>
  <c r="S75" i="8"/>
  <c r="S83" i="8"/>
  <c r="S91" i="8"/>
  <c r="S99" i="8"/>
  <c r="S107" i="8"/>
  <c r="S115" i="8"/>
  <c r="S123" i="8"/>
  <c r="S131" i="8"/>
  <c r="S139" i="8"/>
  <c r="S147" i="8"/>
  <c r="S155" i="8"/>
  <c r="S78" i="8"/>
  <c r="S126" i="8"/>
  <c r="S158" i="8"/>
  <c r="S15" i="8"/>
  <c r="S23" i="8"/>
  <c r="S31" i="8"/>
  <c r="S47" i="8"/>
  <c r="S55" i="8"/>
  <c r="S79" i="8"/>
  <c r="S95" i="8"/>
  <c r="S119" i="8"/>
  <c r="S143" i="8"/>
  <c r="R49" i="8"/>
  <c r="R57" i="8"/>
  <c r="R65" i="8"/>
  <c r="R73" i="8"/>
  <c r="R81" i="8"/>
  <c r="R89" i="8"/>
  <c r="R97" i="8"/>
  <c r="R105" i="8"/>
  <c r="R113" i="8"/>
  <c r="R121" i="8"/>
  <c r="R129" i="8"/>
  <c r="R137" i="8"/>
  <c r="R145" i="8"/>
  <c r="R153" i="8"/>
  <c r="R157" i="8"/>
  <c r="R155" i="8"/>
  <c r="R62" i="8"/>
  <c r="R126" i="8"/>
  <c r="R52" i="8"/>
  <c r="R60" i="8"/>
  <c r="R68" i="8"/>
  <c r="R76" i="8"/>
  <c r="R84" i="8"/>
  <c r="R92" i="8"/>
  <c r="R100" i="8"/>
  <c r="R108" i="8"/>
  <c r="R116" i="8"/>
  <c r="R124" i="8"/>
  <c r="R132" i="8"/>
  <c r="R140" i="8"/>
  <c r="R148" i="8"/>
  <c r="R156" i="8"/>
  <c r="R102" i="8"/>
  <c r="R142" i="8"/>
  <c r="R158" i="8"/>
  <c r="R47" i="8"/>
  <c r="R55" i="8"/>
  <c r="R63" i="8"/>
  <c r="R71" i="8"/>
  <c r="R79" i="8"/>
  <c r="R87" i="8"/>
  <c r="R95" i="8"/>
  <c r="R103" i="8"/>
  <c r="R111" i="8"/>
  <c r="R119" i="8"/>
  <c r="R127" i="8"/>
  <c r="R135" i="8"/>
  <c r="R143" i="8"/>
  <c r="R151" i="8"/>
  <c r="R54" i="8"/>
  <c r="R50" i="8"/>
  <c r="R58" i="8"/>
  <c r="R66" i="8"/>
  <c r="R74" i="8"/>
  <c r="R82" i="8"/>
  <c r="R90" i="8"/>
  <c r="R98" i="8"/>
  <c r="R106" i="8"/>
  <c r="R114" i="8"/>
  <c r="R122" i="8"/>
  <c r="R130" i="8"/>
  <c r="R138" i="8"/>
  <c r="R146" i="8"/>
  <c r="R154" i="8"/>
  <c r="R86" i="8"/>
  <c r="R118" i="8"/>
  <c r="R53" i="8"/>
  <c r="R61" i="8"/>
  <c r="R69" i="8"/>
  <c r="R77" i="8"/>
  <c r="R85" i="8"/>
  <c r="R93" i="8"/>
  <c r="R101" i="8"/>
  <c r="R109" i="8"/>
  <c r="R117" i="8"/>
  <c r="R125" i="8"/>
  <c r="R133" i="8"/>
  <c r="R141" i="8"/>
  <c r="R149" i="8"/>
  <c r="R110" i="8"/>
  <c r="R48" i="8"/>
  <c r="R56" i="8"/>
  <c r="R64" i="8"/>
  <c r="R72" i="8"/>
  <c r="R80" i="8"/>
  <c r="R88" i="8"/>
  <c r="R96" i="8"/>
  <c r="R104" i="8"/>
  <c r="R112" i="8"/>
  <c r="R120" i="8"/>
  <c r="R128" i="8"/>
  <c r="R136" i="8"/>
  <c r="R144" i="8"/>
  <c r="R152" i="8"/>
  <c r="R70" i="8"/>
  <c r="R134" i="8"/>
  <c r="R51" i="8"/>
  <c r="R59" i="8"/>
  <c r="R67" i="8"/>
  <c r="R75" i="8"/>
  <c r="R83" i="8"/>
  <c r="R91" i="8"/>
  <c r="R99" i="8"/>
  <c r="R107" i="8"/>
  <c r="R115" i="8"/>
  <c r="R123" i="8"/>
  <c r="R131" i="8"/>
  <c r="R139" i="8"/>
  <c r="R147" i="8"/>
  <c r="R78" i="8"/>
  <c r="R94" i="8"/>
  <c r="R150" i="8"/>
  <c r="Q52" i="8"/>
  <c r="Q60" i="8"/>
  <c r="Q68" i="8"/>
  <c r="Q76" i="8"/>
  <c r="Q84" i="8"/>
  <c r="Q92" i="8"/>
  <c r="Q100" i="8"/>
  <c r="Q108" i="8"/>
  <c r="Q116" i="8"/>
  <c r="Q124" i="8"/>
  <c r="Q132" i="8"/>
  <c r="Q140" i="8"/>
  <c r="Q148" i="8"/>
  <c r="Q156" i="8"/>
  <c r="Q154" i="8"/>
  <c r="Q113" i="8"/>
  <c r="Q145" i="8"/>
  <c r="Q47" i="8"/>
  <c r="Q55" i="8"/>
  <c r="Q63" i="8"/>
  <c r="Q71" i="8"/>
  <c r="Q79" i="8"/>
  <c r="Q87" i="8"/>
  <c r="Q95" i="8"/>
  <c r="Q103" i="8"/>
  <c r="Q111" i="8"/>
  <c r="Q119" i="8"/>
  <c r="Q127" i="8"/>
  <c r="Q135" i="8"/>
  <c r="Q143" i="8"/>
  <c r="Q151" i="8"/>
  <c r="Q50" i="8"/>
  <c r="Q58" i="8"/>
  <c r="Q66" i="8"/>
  <c r="Q74" i="8"/>
  <c r="Q82" i="8"/>
  <c r="Q90" i="8"/>
  <c r="Q98" i="8"/>
  <c r="Q106" i="8"/>
  <c r="Q114" i="8"/>
  <c r="Q122" i="8"/>
  <c r="Q130" i="8"/>
  <c r="Q138" i="8"/>
  <c r="Q146" i="8"/>
  <c r="Q157" i="8"/>
  <c r="Q158" i="8"/>
  <c r="Q129" i="8"/>
  <c r="Q53" i="8"/>
  <c r="Q61" i="8"/>
  <c r="Q69" i="8"/>
  <c r="Q77" i="8"/>
  <c r="Q85" i="8"/>
  <c r="Q93" i="8"/>
  <c r="Q101" i="8"/>
  <c r="Q109" i="8"/>
  <c r="Q117" i="8"/>
  <c r="Q125" i="8"/>
  <c r="Q133" i="8"/>
  <c r="Q141" i="8"/>
  <c r="Q149" i="8"/>
  <c r="Q155" i="8"/>
  <c r="Q65" i="8"/>
  <c r="Q73" i="8"/>
  <c r="Q105" i="8"/>
  <c r="Q153" i="8"/>
  <c r="Q48" i="8"/>
  <c r="Q56" i="8"/>
  <c r="Q64" i="8"/>
  <c r="Q72" i="8"/>
  <c r="Q80" i="8"/>
  <c r="Q88" i="8"/>
  <c r="Q96" i="8"/>
  <c r="Q104" i="8"/>
  <c r="Q112" i="8"/>
  <c r="Q120" i="8"/>
  <c r="Q128" i="8"/>
  <c r="Q136" i="8"/>
  <c r="Q144" i="8"/>
  <c r="Q152" i="8"/>
  <c r="Q49" i="8"/>
  <c r="Q81" i="8"/>
  <c r="Q97" i="8"/>
  <c r="Q51" i="8"/>
  <c r="Q59" i="8"/>
  <c r="Q67" i="8"/>
  <c r="Q75" i="8"/>
  <c r="Q83" i="8"/>
  <c r="Q91" i="8"/>
  <c r="Q99" i="8"/>
  <c r="Q107" i="8"/>
  <c r="Q115" i="8"/>
  <c r="Q123" i="8"/>
  <c r="Q131" i="8"/>
  <c r="Q139" i="8"/>
  <c r="Q147" i="8"/>
  <c r="Q89" i="8"/>
  <c r="Q121" i="8"/>
  <c r="Q54" i="8"/>
  <c r="Q62" i="8"/>
  <c r="Q70" i="8"/>
  <c r="Q78" i="8"/>
  <c r="Q86" i="8"/>
  <c r="Q94" i="8"/>
  <c r="Q102" i="8"/>
  <c r="Q110" i="8"/>
  <c r="Q118" i="8"/>
  <c r="Q126" i="8"/>
  <c r="Q134" i="8"/>
  <c r="Q142" i="8"/>
  <c r="Q150" i="8"/>
  <c r="Q57" i="8"/>
  <c r="Q137" i="8"/>
  <c r="P47" i="8"/>
  <c r="P55" i="8"/>
  <c r="P63" i="8"/>
  <c r="P71" i="8"/>
  <c r="P79" i="8"/>
  <c r="P87" i="8"/>
  <c r="P95" i="8"/>
  <c r="P103" i="8"/>
  <c r="P111" i="8"/>
  <c r="P119" i="8"/>
  <c r="P127" i="8"/>
  <c r="P135" i="8"/>
  <c r="P143" i="8"/>
  <c r="P151" i="8"/>
  <c r="P154" i="8"/>
  <c r="P76" i="8"/>
  <c r="P92" i="8"/>
  <c r="P50" i="8"/>
  <c r="P58" i="8"/>
  <c r="P66" i="8"/>
  <c r="P74" i="8"/>
  <c r="P82" i="8"/>
  <c r="P90" i="8"/>
  <c r="P98" i="8"/>
  <c r="P106" i="8"/>
  <c r="P114" i="8"/>
  <c r="P122" i="8"/>
  <c r="P130" i="8"/>
  <c r="P138" i="8"/>
  <c r="P146" i="8"/>
  <c r="P157" i="8"/>
  <c r="P158" i="8"/>
  <c r="P60" i="8"/>
  <c r="P68" i="8"/>
  <c r="P84" i="8"/>
  <c r="P124" i="8"/>
  <c r="P53" i="8"/>
  <c r="P61" i="8"/>
  <c r="P69" i="8"/>
  <c r="P77" i="8"/>
  <c r="P85" i="8"/>
  <c r="P93" i="8"/>
  <c r="P101" i="8"/>
  <c r="P109" i="8"/>
  <c r="P117" i="8"/>
  <c r="P125" i="8"/>
  <c r="P133" i="8"/>
  <c r="P141" i="8"/>
  <c r="P149" i="8"/>
  <c r="P100" i="8"/>
  <c r="P156" i="8"/>
  <c r="P48" i="8"/>
  <c r="P56" i="8"/>
  <c r="P64" i="8"/>
  <c r="P72" i="8"/>
  <c r="P80" i="8"/>
  <c r="P88" i="8"/>
  <c r="P96" i="8"/>
  <c r="P104" i="8"/>
  <c r="P112" i="8"/>
  <c r="P120" i="8"/>
  <c r="P128" i="8"/>
  <c r="P136" i="8"/>
  <c r="P144" i="8"/>
  <c r="P152" i="8"/>
  <c r="P132" i="8"/>
  <c r="P51" i="8"/>
  <c r="P59" i="8"/>
  <c r="P67" i="8"/>
  <c r="P75" i="8"/>
  <c r="P83" i="8"/>
  <c r="P91" i="8"/>
  <c r="P99" i="8"/>
  <c r="P107" i="8"/>
  <c r="P115" i="8"/>
  <c r="P123" i="8"/>
  <c r="P131" i="8"/>
  <c r="P139" i="8"/>
  <c r="P147" i="8"/>
  <c r="P155" i="8"/>
  <c r="P140" i="8"/>
  <c r="P54" i="8"/>
  <c r="P62" i="8"/>
  <c r="P70" i="8"/>
  <c r="P78" i="8"/>
  <c r="P86" i="8"/>
  <c r="P94" i="8"/>
  <c r="P102" i="8"/>
  <c r="P110" i="8"/>
  <c r="P118" i="8"/>
  <c r="P126" i="8"/>
  <c r="P134" i="8"/>
  <c r="P142" i="8"/>
  <c r="P150" i="8"/>
  <c r="P52" i="8"/>
  <c r="P108" i="8"/>
  <c r="P148" i="8"/>
  <c r="P49" i="8"/>
  <c r="P57" i="8"/>
  <c r="P65" i="8"/>
  <c r="P73" i="8"/>
  <c r="P81" i="8"/>
  <c r="P89" i="8"/>
  <c r="P97" i="8"/>
  <c r="P105" i="8"/>
  <c r="P113" i="8"/>
  <c r="P121" i="8"/>
  <c r="P129" i="8"/>
  <c r="P137" i="8"/>
  <c r="P145" i="8"/>
  <c r="P153" i="8"/>
  <c r="P116" i="8"/>
  <c r="O47" i="8"/>
  <c r="O55" i="8"/>
  <c r="O63" i="8"/>
  <c r="O71" i="8"/>
  <c r="O79" i="8"/>
  <c r="O87" i="8"/>
  <c r="O95" i="8"/>
  <c r="O103" i="8"/>
  <c r="O111" i="8"/>
  <c r="O119" i="8"/>
  <c r="O127" i="8"/>
  <c r="O135" i="8"/>
  <c r="O143" i="8"/>
  <c r="O151" i="8"/>
  <c r="O114" i="8"/>
  <c r="O52" i="8"/>
  <c r="O60" i="8"/>
  <c r="O68" i="8"/>
  <c r="O76" i="8"/>
  <c r="O84" i="8"/>
  <c r="O92" i="8"/>
  <c r="O100" i="8"/>
  <c r="O108" i="8"/>
  <c r="O116" i="8"/>
  <c r="O124" i="8"/>
  <c r="O132" i="8"/>
  <c r="O140" i="8"/>
  <c r="O148" i="8"/>
  <c r="O156" i="8"/>
  <c r="O66" i="8"/>
  <c r="O74" i="8"/>
  <c r="O82" i="8"/>
  <c r="O49" i="8"/>
  <c r="O57" i="8"/>
  <c r="O65" i="8"/>
  <c r="O73" i="8"/>
  <c r="O81" i="8"/>
  <c r="O89" i="8"/>
  <c r="O97" i="8"/>
  <c r="O105" i="8"/>
  <c r="O113" i="8"/>
  <c r="O121" i="8"/>
  <c r="O129" i="8"/>
  <c r="O137" i="8"/>
  <c r="O145" i="8"/>
  <c r="O153" i="8"/>
  <c r="O58" i="8"/>
  <c r="O122" i="8"/>
  <c r="O130" i="8"/>
  <c r="O54" i="8"/>
  <c r="O62" i="8"/>
  <c r="O70" i="8"/>
  <c r="O78" i="8"/>
  <c r="O86" i="8"/>
  <c r="O94" i="8"/>
  <c r="O102" i="8"/>
  <c r="O110" i="8"/>
  <c r="O118" i="8"/>
  <c r="O126" i="8"/>
  <c r="O134" i="8"/>
  <c r="O142" i="8"/>
  <c r="O150" i="8"/>
  <c r="O158" i="8"/>
  <c r="O146" i="8"/>
  <c r="O51" i="8"/>
  <c r="O59" i="8"/>
  <c r="O67" i="8"/>
  <c r="O75" i="8"/>
  <c r="O83" i="8"/>
  <c r="O91" i="8"/>
  <c r="O99" i="8"/>
  <c r="O107" i="8"/>
  <c r="O115" i="8"/>
  <c r="O123" i="8"/>
  <c r="O131" i="8"/>
  <c r="O139" i="8"/>
  <c r="O147" i="8"/>
  <c r="O155" i="8"/>
  <c r="O48" i="8"/>
  <c r="O56" i="8"/>
  <c r="O64" i="8"/>
  <c r="O72" i="8"/>
  <c r="O80" i="8"/>
  <c r="O88" i="8"/>
  <c r="O96" i="8"/>
  <c r="O104" i="8"/>
  <c r="O112" i="8"/>
  <c r="O120" i="8"/>
  <c r="O128" i="8"/>
  <c r="O136" i="8"/>
  <c r="O144" i="8"/>
  <c r="O152" i="8"/>
  <c r="O157" i="8"/>
  <c r="O154" i="8"/>
  <c r="O53" i="8"/>
  <c r="O61" i="8"/>
  <c r="O69" i="8"/>
  <c r="O77" i="8"/>
  <c r="O85" i="8"/>
  <c r="O93" i="8"/>
  <c r="O101" i="8"/>
  <c r="O109" i="8"/>
  <c r="O117" i="8"/>
  <c r="O125" i="8"/>
  <c r="O133" i="8"/>
  <c r="O141" i="8"/>
  <c r="O149" i="8"/>
  <c r="O50" i="8"/>
  <c r="O90" i="8"/>
  <c r="O98" i="8"/>
  <c r="O106" i="8"/>
  <c r="O138" i="8"/>
  <c r="EM4" i="8"/>
  <c r="P35" i="8"/>
  <c r="P39" i="8"/>
  <c r="P43" i="8"/>
  <c r="P34" i="8"/>
  <c r="P38" i="8"/>
  <c r="P42" i="8"/>
  <c r="P46" i="8"/>
  <c r="P33" i="8"/>
  <c r="P37" i="8"/>
  <c r="P41" i="8"/>
  <c r="P45" i="8"/>
  <c r="P40" i="8"/>
  <c r="P36" i="8"/>
  <c r="P44" i="8"/>
  <c r="O35" i="8"/>
  <c r="O39" i="8"/>
  <c r="O43" i="8"/>
  <c r="O34" i="8"/>
  <c r="O38" i="8"/>
  <c r="O42" i="8"/>
  <c r="O46" i="8"/>
  <c r="O33" i="8"/>
  <c r="O37" i="8"/>
  <c r="O41" i="8"/>
  <c r="O45" i="8"/>
  <c r="O36" i="8"/>
  <c r="O40" i="8"/>
  <c r="O44" i="8"/>
  <c r="R36" i="8"/>
  <c r="R40" i="8"/>
  <c r="R44" i="8"/>
  <c r="R45" i="8"/>
  <c r="R35" i="8"/>
  <c r="R39" i="8"/>
  <c r="R43" i="8"/>
  <c r="R41" i="8"/>
  <c r="R34" i="8"/>
  <c r="R38" i="8"/>
  <c r="R42" i="8"/>
  <c r="R46" i="8"/>
  <c r="R33" i="8"/>
  <c r="R37" i="8"/>
  <c r="Q36" i="8"/>
  <c r="Q40" i="8"/>
  <c r="Q44" i="8"/>
  <c r="Q35" i="8"/>
  <c r="Q39" i="8"/>
  <c r="Q43" i="8"/>
  <c r="Q34" i="8"/>
  <c r="Q38" i="8"/>
  <c r="Q42" i="8"/>
  <c r="Q46" i="8"/>
  <c r="Q33" i="8"/>
  <c r="Q37" i="8"/>
  <c r="Q41" i="8"/>
  <c r="Q45" i="8"/>
  <c r="O22" i="8"/>
  <c r="O26" i="8"/>
  <c r="O30" i="8"/>
  <c r="O23" i="8"/>
  <c r="O21" i="8"/>
  <c r="O25" i="8"/>
  <c r="O29" i="8"/>
  <c r="O27" i="8"/>
  <c r="O20" i="8"/>
  <c r="O24" i="8"/>
  <c r="O28" i="8"/>
  <c r="O32" i="8"/>
  <c r="O31" i="8"/>
  <c r="R20" i="8"/>
  <c r="R24" i="8"/>
  <c r="R28" i="8"/>
  <c r="R32" i="8"/>
  <c r="R23" i="8"/>
  <c r="R27" i="8"/>
  <c r="R31" i="8"/>
  <c r="R22" i="8"/>
  <c r="R26" i="8"/>
  <c r="R30" i="8"/>
  <c r="R21" i="8"/>
  <c r="R25" i="8"/>
  <c r="R29" i="8"/>
  <c r="Q23" i="8"/>
  <c r="Q27" i="8"/>
  <c r="Q31" i="8"/>
  <c r="Q28" i="8"/>
  <c r="Q20" i="8"/>
  <c r="Q22" i="8"/>
  <c r="Q26" i="8"/>
  <c r="Q30" i="8"/>
  <c r="Q24" i="8"/>
  <c r="Q32" i="8"/>
  <c r="Q21" i="8"/>
  <c r="Q25" i="8"/>
  <c r="Q29" i="8"/>
  <c r="P23" i="8"/>
  <c r="P27" i="8"/>
  <c r="P31" i="8"/>
  <c r="P22" i="8"/>
  <c r="P26" i="8"/>
  <c r="P30" i="8"/>
  <c r="P21" i="8"/>
  <c r="P25" i="8"/>
  <c r="P29" i="8"/>
  <c r="P20" i="8"/>
  <c r="P24" i="8"/>
  <c r="P28" i="8"/>
  <c r="P32" i="8"/>
  <c r="O12" i="8"/>
  <c r="O16" i="8"/>
  <c r="O11" i="8"/>
  <c r="O15" i="8"/>
  <c r="O19" i="8"/>
  <c r="O10" i="8"/>
  <c r="M8" i="18" s="1"/>
  <c r="O14" i="8"/>
  <c r="O18" i="8"/>
  <c r="O13" i="8"/>
  <c r="O17" i="8"/>
  <c r="R10" i="8"/>
  <c r="P8" i="18" s="1"/>
  <c r="R14" i="8"/>
  <c r="R18" i="8"/>
  <c r="R13" i="8"/>
  <c r="R17" i="8"/>
  <c r="R12" i="8"/>
  <c r="R16" i="8"/>
  <c r="R11" i="8"/>
  <c r="R15" i="8"/>
  <c r="R19" i="8"/>
  <c r="Q13" i="8"/>
  <c r="Q17" i="8"/>
  <c r="Q12" i="8"/>
  <c r="Q16" i="8"/>
  <c r="Q11" i="8"/>
  <c r="Q15" i="8"/>
  <c r="Q19" i="8"/>
  <c r="Q10" i="8"/>
  <c r="O8" i="18" s="1"/>
  <c r="Q14" i="8"/>
  <c r="Q18" i="8"/>
  <c r="P13" i="8"/>
  <c r="P17" i="8"/>
  <c r="P12" i="8"/>
  <c r="P16" i="8"/>
  <c r="P11" i="8"/>
  <c r="P15" i="8"/>
  <c r="P19" i="8"/>
  <c r="P10" i="8"/>
  <c r="N8" i="18" s="1"/>
  <c r="P14" i="8"/>
  <c r="P18" i="8"/>
  <c r="O6" i="8"/>
  <c r="O5" i="8"/>
  <c r="O9" i="8"/>
  <c r="M7" i="18" s="1"/>
  <c r="O8" i="8"/>
  <c r="M6" i="18" s="1"/>
  <c r="O7" i="8"/>
  <c r="R7" i="8"/>
  <c r="R6" i="8"/>
  <c r="R5" i="8"/>
  <c r="R9" i="8"/>
  <c r="P7" i="18" s="1"/>
  <c r="R8" i="8"/>
  <c r="P6" i="18" s="1"/>
  <c r="Q7" i="8"/>
  <c r="Q6" i="8"/>
  <c r="Q5" i="8"/>
  <c r="Q9" i="8"/>
  <c r="O7" i="18" s="1"/>
  <c r="Q8" i="8"/>
  <c r="O6" i="18" s="1"/>
  <c r="P6" i="8"/>
  <c r="P5" i="8"/>
  <c r="P9" i="8"/>
  <c r="N7" i="18" s="1"/>
  <c r="P8" i="8"/>
  <c r="P7" i="8"/>
  <c r="BJ4" i="8"/>
  <c r="P4" i="8" s="1"/>
  <c r="O4" i="8"/>
  <c r="CZ4" i="8"/>
  <c r="Q4" i="8" s="1"/>
  <c r="CQ4" i="8"/>
  <c r="R4" i="8" s="1"/>
  <c r="DK4" i="8"/>
  <c r="T4" i="8" s="1"/>
  <c r="U6" i="18" l="1"/>
  <c r="U8" i="18"/>
  <c r="N5" i="18"/>
  <c r="N6" i="18"/>
  <c r="U7" i="18"/>
  <c r="R5" i="18"/>
  <c r="R6" i="18"/>
  <c r="P5" i="18"/>
  <c r="O3" i="18"/>
  <c r="M4" i="18"/>
  <c r="Q3" i="18"/>
  <c r="P3" i="18"/>
  <c r="M5" i="18"/>
  <c r="N3" i="18"/>
  <c r="O4" i="18"/>
  <c r="R3" i="18"/>
  <c r="N4" i="18"/>
  <c r="P4" i="18"/>
  <c r="R4" i="18"/>
  <c r="O5" i="18"/>
  <c r="M3" i="18"/>
  <c r="Q5" i="18"/>
  <c r="Q4" i="18"/>
  <c r="Y2" i="18"/>
  <c r="M2" i="18"/>
  <c r="O2" i="18"/>
  <c r="P2" i="18"/>
  <c r="N2" i="18"/>
  <c r="U4" i="8" a="1"/>
  <c r="U4" i="8" s="1"/>
  <c r="S4" i="8"/>
  <c r="F78" i="19"/>
  <c r="D78" i="19" s="1"/>
  <c r="B78" i="19" s="1"/>
  <c r="F56" i="19"/>
  <c r="D56" i="19" s="1"/>
  <c r="B56" i="19" s="1"/>
  <c r="F21" i="19"/>
  <c r="D21" i="19" s="1"/>
  <c r="B21" i="19" s="1"/>
  <c r="F19" i="19"/>
  <c r="D19" i="19" s="1"/>
  <c r="B19" i="19" s="1"/>
  <c r="F88" i="19"/>
  <c r="D88" i="19" s="1"/>
  <c r="B88" i="19" s="1"/>
  <c r="F139" i="19"/>
  <c r="D139" i="19" s="1"/>
  <c r="B139" i="19" s="1"/>
  <c r="F84" i="19"/>
  <c r="D84" i="19" s="1"/>
  <c r="B84" i="19" s="1"/>
  <c r="F129" i="19"/>
  <c r="D129" i="19" s="1"/>
  <c r="B129" i="19" s="1"/>
  <c r="F43" i="19"/>
  <c r="D43" i="19" s="1"/>
  <c r="B43" i="19" s="1"/>
  <c r="F54" i="19"/>
  <c r="D54" i="19" s="1"/>
  <c r="B54" i="19" s="1"/>
  <c r="F114" i="19"/>
  <c r="D114" i="19" s="1"/>
  <c r="B114" i="19" s="1"/>
  <c r="F35" i="19"/>
  <c r="D35" i="19" s="1"/>
  <c r="B35" i="19" s="1"/>
  <c r="F89" i="19"/>
  <c r="D89" i="19" s="1"/>
  <c r="B89" i="19" s="1"/>
  <c r="G88" i="8" s="1"/>
  <c r="F132" i="19"/>
  <c r="D132" i="19" s="1"/>
  <c r="B132" i="19" s="1"/>
  <c r="F82" i="19"/>
  <c r="D82" i="19" s="1"/>
  <c r="B82" i="19" s="1"/>
  <c r="F148" i="19"/>
  <c r="D148" i="19" s="1"/>
  <c r="B148" i="19" s="1"/>
  <c r="F66" i="19"/>
  <c r="D66" i="19" s="1"/>
  <c r="B66" i="19" s="1"/>
  <c r="F23" i="19"/>
  <c r="D23" i="19" s="1"/>
  <c r="B23" i="19" s="1"/>
  <c r="F24" i="19"/>
  <c r="D24" i="19" s="1"/>
  <c r="B24" i="19" s="1"/>
  <c r="F118" i="19"/>
  <c r="D118" i="19" s="1"/>
  <c r="B118" i="19" s="1"/>
  <c r="F20" i="19"/>
  <c r="D20" i="19" s="1"/>
  <c r="B20" i="19" s="1"/>
  <c r="F76" i="19"/>
  <c r="D76" i="19" s="1"/>
  <c r="B76" i="19" s="1"/>
  <c r="F41" i="19"/>
  <c r="D41" i="19" s="1"/>
  <c r="B41" i="19" s="1"/>
  <c r="F8" i="19"/>
  <c r="D8" i="19" s="1"/>
  <c r="B8" i="19" s="1"/>
  <c r="F29" i="19"/>
  <c r="D29" i="19" s="1"/>
  <c r="B29" i="19" s="1"/>
  <c r="F16" i="19"/>
  <c r="D16" i="19" s="1"/>
  <c r="B16" i="19" s="1"/>
  <c r="F150" i="19"/>
  <c r="D150" i="19" s="1"/>
  <c r="B150" i="19" s="1"/>
  <c r="F12" i="19"/>
  <c r="D12" i="19" s="1"/>
  <c r="B12" i="19" s="1"/>
  <c r="F47" i="19"/>
  <c r="D47" i="19" s="1"/>
  <c r="B47" i="19" s="1"/>
  <c r="F121" i="19"/>
  <c r="D121" i="19" s="1"/>
  <c r="B121" i="19" s="1"/>
  <c r="F98" i="19"/>
  <c r="D98" i="19" s="1"/>
  <c r="B98" i="19" s="1"/>
  <c r="F99" i="19"/>
  <c r="D99" i="19" s="1"/>
  <c r="B99" i="19" s="1"/>
  <c r="F32" i="19"/>
  <c r="D32" i="19" s="1"/>
  <c r="B32" i="19" s="1"/>
  <c r="F111" i="19"/>
  <c r="D111" i="19" s="1"/>
  <c r="B111" i="19" s="1"/>
  <c r="F13" i="19"/>
  <c r="D13" i="19" s="1"/>
  <c r="B13" i="19" s="1"/>
  <c r="F128" i="19"/>
  <c r="D128" i="19" s="1"/>
  <c r="B128" i="19" s="1"/>
  <c r="F73" i="19"/>
  <c r="D73" i="19" s="1"/>
  <c r="B73" i="19" s="1"/>
  <c r="F22" i="19"/>
  <c r="D22" i="19" s="1"/>
  <c r="B22" i="19" s="1"/>
  <c r="F61" i="19"/>
  <c r="D61" i="19" s="1"/>
  <c r="B61" i="19" s="1"/>
  <c r="F65" i="19"/>
  <c r="D65" i="19" s="1"/>
  <c r="B65" i="19" s="1"/>
  <c r="F135" i="19"/>
  <c r="D135" i="19" s="1"/>
  <c r="B135" i="19" s="1"/>
  <c r="F147" i="19"/>
  <c r="D147" i="19" s="1"/>
  <c r="B147" i="19" s="1"/>
  <c r="F156" i="19"/>
  <c r="D156" i="19" s="1"/>
  <c r="B156" i="19" s="1"/>
  <c r="F33" i="19"/>
  <c r="D33" i="19" s="1"/>
  <c r="B33" i="19" s="1"/>
  <c r="F100" i="19"/>
  <c r="D100" i="19" s="1"/>
  <c r="B100" i="19" s="1"/>
  <c r="F69" i="19"/>
  <c r="D69" i="19" s="1"/>
  <c r="B69" i="19" s="1"/>
  <c r="F64" i="19"/>
  <c r="D64" i="19" s="1"/>
  <c r="B64" i="19" s="1"/>
  <c r="F131" i="19"/>
  <c r="D131" i="19" s="1"/>
  <c r="B131" i="19" s="1"/>
  <c r="F68" i="19"/>
  <c r="D68" i="19" s="1"/>
  <c r="B68" i="19" s="1"/>
  <c r="F53" i="19"/>
  <c r="D53" i="19" s="1"/>
  <c r="B53" i="19" s="1"/>
  <c r="F50" i="19"/>
  <c r="D50" i="19" s="1"/>
  <c r="B50" i="19" s="1"/>
  <c r="F151" i="19"/>
  <c r="D151" i="19" s="1"/>
  <c r="B151" i="19" s="1"/>
  <c r="F83" i="19"/>
  <c r="D83" i="19" s="1"/>
  <c r="B83" i="19" s="1"/>
  <c r="F87" i="19"/>
  <c r="D87" i="19" s="1"/>
  <c r="B87" i="19" s="1"/>
  <c r="F120" i="19"/>
  <c r="D120" i="19" s="1"/>
  <c r="B120" i="19" s="1"/>
  <c r="F46" i="19"/>
  <c r="D46" i="19" s="1"/>
  <c r="B46" i="19" s="1"/>
  <c r="F7" i="19"/>
  <c r="D7" i="19" s="1"/>
  <c r="B7" i="19" s="1"/>
  <c r="F145" i="19"/>
  <c r="D145" i="19" s="1"/>
  <c r="B145" i="19" s="1"/>
  <c r="F27" i="19"/>
  <c r="D27" i="19" s="1"/>
  <c r="B27" i="19" s="1"/>
  <c r="F70" i="19"/>
  <c r="D70" i="19" s="1"/>
  <c r="B70" i="19" s="1"/>
  <c r="F138" i="19"/>
  <c r="D138" i="19" s="1"/>
  <c r="B138" i="19" s="1"/>
  <c r="F28" i="19"/>
  <c r="D28" i="19" s="1"/>
  <c r="B28" i="19" s="1"/>
  <c r="F40" i="19"/>
  <c r="D40" i="19" s="1"/>
  <c r="B40" i="19" s="1"/>
  <c r="F71" i="19"/>
  <c r="D71" i="19" s="1"/>
  <c r="B71" i="19" s="1"/>
  <c r="F9" i="19"/>
  <c r="D9" i="19" s="1"/>
  <c r="B9" i="19" s="1"/>
  <c r="F31" i="19"/>
  <c r="D31" i="19" s="1"/>
  <c r="B31" i="19" s="1"/>
  <c r="F144" i="19"/>
  <c r="D144" i="19" s="1"/>
  <c r="B144" i="19" s="1"/>
  <c r="F143" i="19"/>
  <c r="D143" i="19" s="1"/>
  <c r="B143" i="19" s="1"/>
  <c r="F123" i="19"/>
  <c r="D123" i="19" s="1"/>
  <c r="B123" i="19" s="1"/>
  <c r="F105" i="19"/>
  <c r="D105" i="19" s="1"/>
  <c r="B105" i="19" s="1"/>
  <c r="G232" i="8" s="1"/>
  <c r="F149" i="19"/>
  <c r="D149" i="19" s="1"/>
  <c r="B149" i="19" s="1"/>
  <c r="F37" i="19"/>
  <c r="D37" i="19" s="1"/>
  <c r="B37" i="19" s="1"/>
  <c r="F86" i="19"/>
  <c r="D86" i="19" s="1"/>
  <c r="B86" i="19" s="1"/>
  <c r="F44" i="19"/>
  <c r="D44" i="19" s="1"/>
  <c r="B44" i="19" s="1"/>
  <c r="F101" i="19"/>
  <c r="D101" i="19" s="1"/>
  <c r="B101" i="19" s="1"/>
  <c r="F49" i="19"/>
  <c r="D49" i="19" s="1"/>
  <c r="B49" i="19" s="1"/>
  <c r="F38" i="19"/>
  <c r="D38" i="19" s="1"/>
  <c r="B38" i="19" s="1"/>
  <c r="F72" i="19"/>
  <c r="D72" i="19" s="1"/>
  <c r="B72" i="19" s="1"/>
  <c r="F157" i="19"/>
  <c r="D157" i="19" s="1"/>
  <c r="B157" i="19" s="1"/>
  <c r="F108" i="19"/>
  <c r="D108" i="19" s="1"/>
  <c r="B108" i="19" s="1"/>
  <c r="F122" i="19"/>
  <c r="D122" i="19" s="1"/>
  <c r="B122" i="19" s="1"/>
  <c r="G160" i="8" s="1"/>
  <c r="F102" i="19"/>
  <c r="D102" i="19" s="1"/>
  <c r="B102" i="19" s="1"/>
  <c r="F90" i="19"/>
  <c r="D90" i="19" s="1"/>
  <c r="B90" i="19" s="1"/>
  <c r="F6" i="19"/>
  <c r="D6" i="19" s="1"/>
  <c r="B6" i="19" s="1"/>
  <c r="F155" i="19"/>
  <c r="D155" i="19" s="1"/>
  <c r="B155" i="19" s="1"/>
  <c r="F58" i="19"/>
  <c r="D58" i="19" s="1"/>
  <c r="B58" i="19" s="1"/>
  <c r="F55" i="19"/>
  <c r="D55" i="19" s="1"/>
  <c r="B55" i="19" s="1"/>
  <c r="F62" i="19"/>
  <c r="D62" i="19" s="1"/>
  <c r="B62" i="19" s="1"/>
  <c r="F94" i="19"/>
  <c r="D94" i="19" s="1"/>
  <c r="B94" i="19" s="1"/>
  <c r="F96" i="19"/>
  <c r="D96" i="19" s="1"/>
  <c r="B96" i="19" s="1"/>
  <c r="F124" i="19"/>
  <c r="D124" i="19" s="1"/>
  <c r="B124" i="19" s="1"/>
  <c r="F95" i="19"/>
  <c r="D95" i="19" s="1"/>
  <c r="B95" i="19" s="1"/>
  <c r="F130" i="19"/>
  <c r="D130" i="19" s="1"/>
  <c r="B130" i="19" s="1"/>
  <c r="F42" i="19"/>
  <c r="D42" i="19" s="1"/>
  <c r="B42" i="19" s="1"/>
  <c r="F51" i="19"/>
  <c r="D51" i="19" s="1"/>
  <c r="B51" i="19" s="1"/>
  <c r="F104" i="19"/>
  <c r="D104" i="19" s="1"/>
  <c r="B104" i="19" s="1"/>
  <c r="F117" i="19"/>
  <c r="D117" i="19" s="1"/>
  <c r="B117" i="19" s="1"/>
  <c r="F141" i="19"/>
  <c r="D141" i="19" s="1"/>
  <c r="B141" i="19" s="1"/>
  <c r="F134" i="19"/>
  <c r="D134" i="19" s="1"/>
  <c r="B134" i="19" s="1"/>
  <c r="F15" i="19"/>
  <c r="D15" i="19" s="1"/>
  <c r="B15" i="19" s="1"/>
  <c r="F91" i="19"/>
  <c r="D91" i="19" s="1"/>
  <c r="B91" i="19" s="1"/>
  <c r="F142" i="19"/>
  <c r="D142" i="19" s="1"/>
  <c r="B142" i="19" s="1"/>
  <c r="F152" i="19"/>
  <c r="D152" i="19" s="1"/>
  <c r="B152" i="19" s="1"/>
  <c r="F60" i="19"/>
  <c r="D60" i="19" s="1"/>
  <c r="B60" i="19" s="1"/>
  <c r="F18" i="19"/>
  <c r="D18" i="19" s="1"/>
  <c r="B18" i="19" s="1"/>
  <c r="F109" i="19"/>
  <c r="D109" i="19" s="1"/>
  <c r="B109" i="19" s="1"/>
  <c r="F10" i="19"/>
  <c r="D10" i="19" s="1"/>
  <c r="B10" i="19" s="1"/>
  <c r="F140" i="19"/>
  <c r="D140" i="19" s="1"/>
  <c r="B140" i="19" s="1"/>
  <c r="F133" i="19"/>
  <c r="D133" i="19" s="1"/>
  <c r="B133" i="19" s="1"/>
  <c r="F14" i="19"/>
  <c r="D14" i="19" s="1"/>
  <c r="B14" i="19" s="1"/>
  <c r="F30" i="19"/>
  <c r="D30" i="19" s="1"/>
  <c r="B30" i="19" s="1"/>
  <c r="F137" i="19"/>
  <c r="D137" i="19" s="1"/>
  <c r="B137" i="19" s="1"/>
  <c r="F80" i="19"/>
  <c r="D80" i="19" s="1"/>
  <c r="B80" i="19" s="1"/>
  <c r="F74" i="19"/>
  <c r="D74" i="19" s="1"/>
  <c r="B74" i="19" s="1"/>
  <c r="F136" i="19"/>
  <c r="D136" i="19" s="1"/>
  <c r="B136" i="19" s="1"/>
  <c r="F67" i="19"/>
  <c r="D67" i="19" s="1"/>
  <c r="B67" i="19" s="1"/>
  <c r="F110" i="19"/>
  <c r="D110" i="19" s="1"/>
  <c r="B110" i="19" s="1"/>
  <c r="F103" i="19"/>
  <c r="D103" i="19" s="1"/>
  <c r="B103" i="19" s="1"/>
  <c r="F127" i="19"/>
  <c r="D127" i="19" s="1"/>
  <c r="B127" i="19" s="1"/>
  <c r="F81" i="19"/>
  <c r="D81" i="19" s="1"/>
  <c r="B81" i="19" s="1"/>
  <c r="F119" i="19"/>
  <c r="D119" i="19" s="1"/>
  <c r="B119" i="19" s="1"/>
  <c r="F85" i="19"/>
  <c r="D85" i="19" s="1"/>
  <c r="B85" i="19" s="1"/>
  <c r="F34" i="19"/>
  <c r="D34" i="19" s="1"/>
  <c r="B34" i="19" s="1"/>
  <c r="F36" i="19"/>
  <c r="D36" i="19" s="1"/>
  <c r="B36" i="19" s="1"/>
  <c r="F79" i="19"/>
  <c r="D79" i="19" s="1"/>
  <c r="B79" i="19" s="1"/>
  <c r="F63" i="19"/>
  <c r="D63" i="19" s="1"/>
  <c r="B63" i="19" s="1"/>
  <c r="F25" i="19"/>
  <c r="D25" i="19" s="1"/>
  <c r="B25" i="19" s="1"/>
  <c r="F26" i="19"/>
  <c r="D26" i="19" s="1"/>
  <c r="B26" i="19" s="1"/>
  <c r="F115" i="19"/>
  <c r="D115" i="19" s="1"/>
  <c r="B115" i="19" s="1"/>
  <c r="F52" i="19"/>
  <c r="D52" i="19" s="1"/>
  <c r="B52" i="19" s="1"/>
  <c r="F17" i="19"/>
  <c r="D17" i="19" s="1"/>
  <c r="B17" i="19" s="1"/>
  <c r="F59" i="19"/>
  <c r="D59" i="19" s="1"/>
  <c r="B59" i="19" s="1"/>
  <c r="F146" i="19"/>
  <c r="D146" i="19" s="1"/>
  <c r="B146" i="19" s="1"/>
  <c r="F97" i="19"/>
  <c r="D97" i="19" s="1"/>
  <c r="B97" i="19" s="1"/>
  <c r="F125" i="19"/>
  <c r="D125" i="19" s="1"/>
  <c r="B125" i="19" s="1"/>
  <c r="F154" i="19"/>
  <c r="D154" i="19" s="1"/>
  <c r="B154" i="19" s="1"/>
  <c r="F92" i="19"/>
  <c r="D92" i="19" s="1"/>
  <c r="B92" i="19" s="1"/>
  <c r="F153" i="19"/>
  <c r="D153" i="19" s="1"/>
  <c r="B153" i="19" s="1"/>
  <c r="F45" i="19"/>
  <c r="D45" i="19" s="1"/>
  <c r="B45" i="19" s="1"/>
  <c r="F106" i="19"/>
  <c r="D106" i="19" s="1"/>
  <c r="B106" i="19" s="1"/>
  <c r="F107" i="19"/>
  <c r="D107" i="19" s="1"/>
  <c r="B107" i="19" s="1"/>
  <c r="F116" i="19"/>
  <c r="D116" i="19" s="1"/>
  <c r="B116" i="19" s="1"/>
  <c r="F11" i="19"/>
  <c r="D11" i="19" s="1"/>
  <c r="B11" i="19" s="1"/>
  <c r="F48" i="19"/>
  <c r="D48" i="19" s="1"/>
  <c r="B48" i="19" s="1"/>
  <c r="F113" i="19"/>
  <c r="D113" i="19" s="1"/>
  <c r="B113" i="19" s="1"/>
  <c r="F57" i="19"/>
  <c r="D57" i="19" s="1"/>
  <c r="B57" i="19" s="1"/>
  <c r="G56" i="8" s="1"/>
  <c r="F75" i="19"/>
  <c r="D75" i="19" s="1"/>
  <c r="B75" i="19" s="1"/>
  <c r="F77" i="19"/>
  <c r="D77" i="19" s="1"/>
  <c r="B77" i="19" s="1"/>
  <c r="F112" i="19"/>
  <c r="D112" i="19" s="1"/>
  <c r="B112" i="19" s="1"/>
  <c r="F93" i="19"/>
  <c r="D93" i="19" s="1"/>
  <c r="B93" i="19" s="1"/>
  <c r="F39" i="19"/>
  <c r="D39" i="19" s="1"/>
  <c r="B39" i="19" s="1"/>
  <c r="F126" i="19"/>
  <c r="D126" i="19" s="1"/>
  <c r="B126" i="19" s="1"/>
  <c r="D162" i="19"/>
  <c r="B162" i="19" s="1"/>
  <c r="G162" i="8" s="1"/>
  <c r="U3" i="18" l="1"/>
  <c r="U4" i="18"/>
  <c r="U5" i="18"/>
  <c r="G101" i="8"/>
  <c r="G50" i="8"/>
  <c r="G54" i="8"/>
  <c r="G76" i="8"/>
  <c r="G155" i="8"/>
  <c r="G51" i="8"/>
  <c r="G38" i="8"/>
  <c r="G89" i="8"/>
  <c r="G73" i="8"/>
  <c r="G91" i="8"/>
  <c r="G47" i="8"/>
  <c r="G112" i="8"/>
  <c r="G100" i="8"/>
  <c r="G25" i="8"/>
  <c r="G14" i="8"/>
  <c r="G59" i="8"/>
  <c r="G115" i="8"/>
  <c r="G48" i="8"/>
  <c r="G49" i="8"/>
  <c r="G30" i="8"/>
  <c r="G15" i="8"/>
  <c r="G55" i="8"/>
  <c r="G67" i="8"/>
  <c r="G65" i="8"/>
  <c r="G64" i="8"/>
  <c r="G52" i="8"/>
  <c r="G53" i="8"/>
  <c r="G98" i="8"/>
  <c r="G10" i="8"/>
  <c r="E8" i="18" s="1"/>
  <c r="G60" i="8"/>
  <c r="G61" i="8"/>
  <c r="G62" i="8"/>
  <c r="G63" i="8"/>
  <c r="G71" i="8"/>
  <c r="G68" i="8"/>
  <c r="G109" i="8"/>
  <c r="G99" i="8"/>
  <c r="G57" i="8"/>
  <c r="G58" i="8"/>
  <c r="G66" i="8"/>
  <c r="G113" i="8"/>
  <c r="Q2" i="18"/>
  <c r="U2" i="18" s="1"/>
  <c r="R2" i="18"/>
  <c r="G92" i="8"/>
  <c r="G102" i="8"/>
  <c r="G41" i="8"/>
  <c r="G131" i="8"/>
  <c r="G125" i="8"/>
  <c r="G124" i="8"/>
  <c r="G126" i="8"/>
  <c r="G29" i="8"/>
  <c r="G97" i="8"/>
  <c r="G9" i="8"/>
  <c r="E7" i="18" s="1"/>
  <c r="G114" i="8"/>
  <c r="G80" i="8"/>
  <c r="G130" i="8"/>
  <c r="G105" i="8"/>
  <c r="G108" i="8"/>
  <c r="G140" i="8"/>
  <c r="G43" i="8"/>
  <c r="G74" i="8"/>
  <c r="G123" i="8"/>
  <c r="G143" i="8"/>
  <c r="G152" i="8"/>
  <c r="G79" i="8"/>
  <c r="G121" i="8"/>
  <c r="G31" i="8"/>
  <c r="G45" i="8"/>
  <c r="G147" i="8"/>
  <c r="G128" i="8"/>
  <c r="G151" i="8"/>
  <c r="G39" i="8"/>
  <c r="G83" i="8"/>
  <c r="G21" i="8"/>
  <c r="G103" i="8"/>
  <c r="G104" i="8"/>
  <c r="G148" i="8"/>
  <c r="G119" i="8"/>
  <c r="G81" i="8"/>
  <c r="G141" i="8"/>
  <c r="G27" i="8"/>
  <c r="G120" i="8"/>
  <c r="G135" i="8"/>
  <c r="G75" i="8"/>
  <c r="G138" i="8"/>
  <c r="G107" i="8"/>
  <c r="G106" i="8"/>
  <c r="G7" i="8"/>
  <c r="G40" i="8"/>
  <c r="G24" i="8"/>
  <c r="G13" i="8"/>
  <c r="G111" i="8"/>
  <c r="G145" i="8"/>
  <c r="G156" i="8"/>
  <c r="G132" i="8"/>
  <c r="G90" i="8"/>
  <c r="G86" i="8"/>
  <c r="G122" i="8"/>
  <c r="G137" i="8"/>
  <c r="G82" i="8"/>
  <c r="G72" i="8"/>
  <c r="G46" i="8"/>
  <c r="G37" i="8"/>
  <c r="G19" i="8"/>
  <c r="G87" i="8"/>
  <c r="G136" i="8"/>
  <c r="G157" i="8"/>
  <c r="G96" i="8"/>
  <c r="G94" i="8"/>
  <c r="G139" i="8"/>
  <c r="G5" i="8"/>
  <c r="G142" i="8"/>
  <c r="G69" i="8"/>
  <c r="G150" i="8"/>
  <c r="G32" i="8"/>
  <c r="G35" i="8"/>
  <c r="G127" i="8"/>
  <c r="G129" i="8"/>
  <c r="G11" i="8"/>
  <c r="G117" i="8"/>
  <c r="G34" i="8"/>
  <c r="G18" i="8"/>
  <c r="G70" i="8"/>
  <c r="G133" i="8"/>
  <c r="G26" i="8"/>
  <c r="G16" i="8"/>
  <c r="G12" i="8"/>
  <c r="G149" i="8"/>
  <c r="G23" i="8"/>
  <c r="G20" i="8"/>
  <c r="G33" i="8"/>
  <c r="G110" i="8"/>
  <c r="G22" i="8"/>
  <c r="G42" i="8"/>
  <c r="G36" i="8"/>
  <c r="G44" i="8"/>
  <c r="G84" i="8"/>
  <c r="G78" i="8"/>
  <c r="G95" i="8"/>
  <c r="G93" i="8"/>
  <c r="G144" i="8"/>
  <c r="G153" i="8"/>
  <c r="G146" i="8"/>
  <c r="G158" i="8"/>
  <c r="G161" i="8"/>
  <c r="G159" i="8"/>
  <c r="G118" i="8"/>
  <c r="G17" i="8"/>
  <c r="G116" i="8"/>
  <c r="G85" i="8"/>
  <c r="G8" i="8"/>
  <c r="E6" i="18" s="1"/>
  <c r="G4" i="8"/>
  <c r="G6" i="8"/>
  <c r="E3" i="18" s="1"/>
  <c r="G134" i="8"/>
  <c r="G154" i="8"/>
  <c r="G28" i="8"/>
  <c r="G77" i="8"/>
  <c r="T7" i="18" l="1"/>
  <c r="S7" i="18" a="1"/>
  <c r="S7" i="18" s="1"/>
  <c r="X7" i="18" s="1" a="1"/>
  <c r="X7" i="18" s="1"/>
  <c r="T6" i="18"/>
  <c r="S6" i="18" a="1"/>
  <c r="S6" i="18" s="1"/>
  <c r="X6" i="18" s="1" a="1"/>
  <c r="X6" i="18" s="1"/>
  <c r="T8" i="18"/>
  <c r="S8" i="18" a="1"/>
  <c r="S8" i="18" s="1"/>
  <c r="X8" i="18" s="1" a="1"/>
  <c r="X8" i="18" s="1"/>
  <c r="E4" i="18"/>
  <c r="T4" i="18" s="1"/>
  <c r="E5" i="18"/>
  <c r="T5" i="18" s="1"/>
  <c r="T3" i="18"/>
  <c r="S3" i="18" a="1"/>
  <c r="S3" i="18" s="1"/>
  <c r="E2" i="18"/>
  <c r="S2" i="18" s="1" a="1"/>
  <c r="S2" i="18" s="1"/>
  <c r="S4" i="18" l="1" a="1"/>
  <c r="S4" i="18" s="1"/>
  <c r="X4" i="18" s="1" a="1"/>
  <c r="X4" i="18" s="1"/>
  <c r="S5" i="18" a="1"/>
  <c r="S5" i="18" s="1"/>
  <c r="X5" i="18" s="1" a="1"/>
  <c r="X5" i="18" s="1"/>
  <c r="X3" i="18" a="1"/>
  <c r="X3" i="18" s="1"/>
  <c r="T2" i="18"/>
  <c r="X2" i="18" s="1" a="1"/>
  <c r="X2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E9D735-47D9-4CBF-900A-D4D6A9696688}" keepAlive="1" name="Query - ppv" description="Connection to the 'ppv' query in the workbook." type="5" refreshedVersion="8" background="1" saveData="1">
    <dbPr connection="Provider=Microsoft.Mashup.OleDb.1;Data Source=$Workbook$;Location=ppv;Extended Properties=&quot;&quot;" command="SELECT * FROM [pp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<sst xmlns="http://schemas.openxmlformats.org/spreadsheetml/2006/main" count="68073" uniqueCount="3001">
  <si>
    <t>SubBucket</t>
  </si>
  <si>
    <t>ISMQ</t>
  </si>
  <si>
    <t>DRAGON</t>
  </si>
  <si>
    <t>MARIONETTE</t>
  </si>
  <si>
    <t>LINUX</t>
  </si>
  <si>
    <t>FIREWORX</t>
  </si>
  <si>
    <t>TSL</t>
  </si>
  <si>
    <t>FLIPPER</t>
  </si>
  <si>
    <t>Visual ID</t>
  </si>
  <si>
    <t>Run</t>
  </si>
  <si>
    <t>Operation</t>
  </si>
  <si>
    <t>CHA_MCNAME</t>
  </si>
  <si>
    <t>Compute</t>
  </si>
  <si>
    <t>CHA</t>
  </si>
  <si>
    <t>MC_STATUS</t>
  </si>
  <si>
    <t>MC_ADDR</t>
  </si>
  <si>
    <t>MC_MISC</t>
  </si>
  <si>
    <t>MC_MISC3</t>
  </si>
  <si>
    <t>Orig Req</t>
  </si>
  <si>
    <t>Opcode</t>
  </si>
  <si>
    <t>cachestate</t>
  </si>
  <si>
    <t>TorID</t>
  </si>
  <si>
    <t>TorFSM</t>
  </si>
  <si>
    <t>SrcID</t>
  </si>
  <si>
    <t>Attribute</t>
  </si>
  <si>
    <t>Result</t>
  </si>
  <si>
    <t>Local Port</t>
  </si>
  <si>
    <t>Original Requests</t>
  </si>
  <si>
    <t>OpCodes</t>
  </si>
  <si>
    <t>SAD Results</t>
  </si>
  <si>
    <t>SAD Result</t>
  </si>
  <si>
    <t>ISMQ Data</t>
  </si>
  <si>
    <t>SAD Target</t>
  </si>
  <si>
    <t>VisualIDs</t>
  </si>
  <si>
    <t>Bucket</t>
  </si>
  <si>
    <t>Step</t>
  </si>
  <si>
    <t>Error</t>
  </si>
  <si>
    <t>Top OrigReq</t>
  </si>
  <si>
    <t>Top OpCode</t>
  </si>
  <si>
    <t>Top ISMQ</t>
  </si>
  <si>
    <t>Top SAD</t>
  </si>
  <si>
    <t>Top SAD LocPort</t>
  </si>
  <si>
    <t>MC_DECODE</t>
  </si>
  <si>
    <t>SAD Target Local Ports (list of all the failed local ports)</t>
  </si>
  <si>
    <t>VisualID</t>
  </si>
  <si>
    <t>CORE30</t>
  </si>
  <si>
    <t>CORE84</t>
  </si>
  <si>
    <t>CORE175</t>
  </si>
  <si>
    <t>CORE61</t>
  </si>
  <si>
    <t>CORE0</t>
  </si>
  <si>
    <t>CORE9</t>
  </si>
  <si>
    <t>CORE108</t>
  </si>
  <si>
    <t>CORE121</t>
  </si>
  <si>
    <t>CORE1</t>
  </si>
  <si>
    <t>CORE2</t>
  </si>
  <si>
    <t>CORE156</t>
  </si>
  <si>
    <t>CORE20</t>
  </si>
  <si>
    <t>CORE73</t>
  </si>
  <si>
    <t>CORE35</t>
  </si>
  <si>
    <t>CORE13</t>
  </si>
  <si>
    <t>CORE117</t>
  </si>
  <si>
    <t>CORE59</t>
  </si>
  <si>
    <t>CORE69</t>
  </si>
  <si>
    <t>CORE140</t>
  </si>
  <si>
    <t>CORE89</t>
  </si>
  <si>
    <t>CORE37</t>
  </si>
  <si>
    <t>CORE50</t>
  </si>
  <si>
    <t>CORE148</t>
  </si>
  <si>
    <t>CORE57</t>
  </si>
  <si>
    <t>CORE21</t>
  </si>
  <si>
    <t>CORE60</t>
  </si>
  <si>
    <t>CORE134</t>
  </si>
  <si>
    <t>CORE158</t>
  </si>
  <si>
    <t>CORE177</t>
  </si>
  <si>
    <t>CORE80</t>
  </si>
  <si>
    <t>CORE91</t>
  </si>
  <si>
    <t>CORE120</t>
  </si>
  <si>
    <t>CORE77</t>
  </si>
  <si>
    <t>CORE111</t>
  </si>
  <si>
    <t>CORE101</t>
  </si>
  <si>
    <t>CORE41</t>
  </si>
  <si>
    <t>CORE98</t>
  </si>
  <si>
    <t>CORE112</t>
  </si>
  <si>
    <t>CORE129</t>
  </si>
  <si>
    <t>CORE135</t>
  </si>
  <si>
    <t>CORE58</t>
  </si>
  <si>
    <t>CORE119</t>
  </si>
  <si>
    <t>CORE6</t>
  </si>
  <si>
    <t>CORE76</t>
  </si>
  <si>
    <t>CORE49</t>
  </si>
  <si>
    <t>CORE136</t>
  </si>
  <si>
    <t>CORE144</t>
  </si>
  <si>
    <t>CORE137</t>
  </si>
  <si>
    <t>CORE55</t>
  </si>
  <si>
    <t>CORE70</t>
  </si>
  <si>
    <t>CORE63</t>
  </si>
  <si>
    <t>DIE</t>
  </si>
  <si>
    <t>CORE</t>
  </si>
  <si>
    <t>COMPUTE0</t>
  </si>
  <si>
    <t>COMPUTE1</t>
  </si>
  <si>
    <t>COMPUTE2</t>
  </si>
  <si>
    <t>FRENZY</t>
  </si>
  <si>
    <t>CORE81</t>
  </si>
  <si>
    <t>CORE163</t>
  </si>
  <si>
    <t>CORE122</t>
  </si>
  <si>
    <t>CORE164</t>
  </si>
  <si>
    <t>CORE_MC</t>
  </si>
  <si>
    <t>ErrorType</t>
  </si>
  <si>
    <t>MCACOD (ErrDecode)</t>
  </si>
  <si>
    <t>MSCOD</t>
  </si>
  <si>
    <t>CORE52</t>
  </si>
  <si>
    <t>ML2</t>
  </si>
  <si>
    <t>WDTimeout (3 strike)</t>
  </si>
  <si>
    <t>0XFE000000E1CC0400</t>
  </si>
  <si>
    <t>TimeOutThread:0,ActiveThreads:3,XQ Empty:1,LQ Empty:1,SnpQ Empty:1,No U2C Req Credit:0,No C2U Credits:0,ExtCmpCntIsZero:1,FBVCntIsZero:1,VirtLLC Prefetch:1,</t>
  </si>
  <si>
    <t>CORE10</t>
  </si>
  <si>
    <t>0XAC7E</t>
  </si>
  <si>
    <t>CORE14</t>
  </si>
  <si>
    <t>0XFE000000E1CD0400</t>
  </si>
  <si>
    <t>TimeOutThread:1,ActiveThreads:3,XQ Empty:1,LQ Empty:1,SnpQ Empty:1,No U2C Req Credit:0,No C2U Credits:0,ExtCmpCntIsZero:1,FBVCntIsZero:1,VirtLLC Prefetch:1,</t>
  </si>
  <si>
    <t>CORE16</t>
  </si>
  <si>
    <t>CORE22</t>
  </si>
  <si>
    <t>CORE23</t>
  </si>
  <si>
    <t>CORE28</t>
  </si>
  <si>
    <t>CORE34</t>
  </si>
  <si>
    <t>CORE38</t>
  </si>
  <si>
    <t>CORE3</t>
  </si>
  <si>
    <t>CORE44</t>
  </si>
  <si>
    <t>CORE45</t>
  </si>
  <si>
    <t>CORE56</t>
  </si>
  <si>
    <t>CORE7</t>
  </si>
  <si>
    <t>CORE8</t>
  </si>
  <si>
    <t>CORE102</t>
  </si>
  <si>
    <t>CORE103</t>
  </si>
  <si>
    <t>CORE105</t>
  </si>
  <si>
    <t>CORE115</t>
  </si>
  <si>
    <t>CORE116</t>
  </si>
  <si>
    <t>CORE118</t>
  </si>
  <si>
    <t>CORE62</t>
  </si>
  <si>
    <t>CORE66</t>
  </si>
  <si>
    <t>CORE82</t>
  </si>
  <si>
    <t>CORE88</t>
  </si>
  <si>
    <t>CORE90</t>
  </si>
  <si>
    <t>CORE94</t>
  </si>
  <si>
    <t>CORE95</t>
  </si>
  <si>
    <t>CORE97</t>
  </si>
  <si>
    <t>CORE126</t>
  </si>
  <si>
    <t>0XBE000000E1CD0400</t>
  </si>
  <si>
    <t>CORE127</t>
  </si>
  <si>
    <t>CORE128</t>
  </si>
  <si>
    <t>CORE133</t>
  </si>
  <si>
    <t>CORE141</t>
  </si>
  <si>
    <t>CORE147</t>
  </si>
  <si>
    <t>CORE154</t>
  </si>
  <si>
    <t>CORE155</t>
  </si>
  <si>
    <t>CORE161</t>
  </si>
  <si>
    <t>CORE162</t>
  </si>
  <si>
    <t>CORE165</t>
  </si>
  <si>
    <t>CORE170</t>
  </si>
  <si>
    <t>CORE172</t>
  </si>
  <si>
    <t>0XBE000000E1CC0400</t>
  </si>
  <si>
    <t>CORE178</t>
  </si>
  <si>
    <t>CORE179</t>
  </si>
  <si>
    <t>CORE109</t>
  </si>
  <si>
    <t>CORE17</t>
  </si>
  <si>
    <t>CORE24</t>
  </si>
  <si>
    <t>CORE27</t>
  </si>
  <si>
    <t>CORE43</t>
  </si>
  <si>
    <t>CORE48</t>
  </si>
  <si>
    <t>CORE51</t>
  </si>
  <si>
    <t>CORE110</t>
  </si>
  <si>
    <t>CORE67</t>
  </si>
  <si>
    <t>CORE68</t>
  </si>
  <si>
    <t>CORE74</t>
  </si>
  <si>
    <t>CORE75</t>
  </si>
  <si>
    <t>CORE83</t>
  </si>
  <si>
    <t>CORE123</t>
  </si>
  <si>
    <t>CORE143</t>
  </si>
  <si>
    <t>CORE150</t>
  </si>
  <si>
    <t>CORE151</t>
  </si>
  <si>
    <t>CORE169</t>
  </si>
  <si>
    <t>CORE176</t>
  </si>
  <si>
    <t>0XFE000000E18D0400</t>
  </si>
  <si>
    <t>TimeOutThread:1,ActiveThreads:3,XQ Empty:0,LQ Empty:1,SnpQ Empty:1,No U2C Req Credit:0,No C2U Credits:0,ExtCmpCntIsZero:1,FBVCntIsZero:1,VirtLLC Prefetch:1,</t>
  </si>
  <si>
    <t>0XFE000000E18C0400</t>
  </si>
  <si>
    <t>TimeOutThread:0,ActiveThreads:3,XQ Empty:0,LQ Empty:1,SnpQ Empty:1,No U2C Req Credit:0,No C2U Credits:0,ExtCmpCntIsZero:1,FBVCntIsZero:1,VirtLLC Prefetch:1,</t>
  </si>
  <si>
    <t>0XBE000000E18D0400</t>
  </si>
  <si>
    <t>0XF2000000E18D0400</t>
  </si>
  <si>
    <t>CORE15</t>
  </si>
  <si>
    <t>CORE29</t>
  </si>
  <si>
    <t>CORE31</t>
  </si>
  <si>
    <t>CORE36</t>
  </si>
  <si>
    <t>CORE42</t>
  </si>
  <si>
    <t>CORE104</t>
  </si>
  <si>
    <t>CORE96</t>
  </si>
  <si>
    <t>CORE142</t>
  </si>
  <si>
    <t>CORE149</t>
  </si>
  <si>
    <t>CORE157</t>
  </si>
  <si>
    <t>CORE168</t>
  </si>
  <si>
    <t>CORE171</t>
  </si>
  <si>
    <t>0XBE000000E1890400</t>
  </si>
  <si>
    <t>TimeOutThread:1,ActiveThreads:2,XQ Empty:0,LQ Empty:1,SnpQ Empty:1,No U2C Req Credit:0,No C2U Credits:0,ExtCmpCntIsZero:1,FBVCntIsZero:1,VirtLLC Prefetch:1,</t>
  </si>
  <si>
    <t>CORE87</t>
  </si>
  <si>
    <t>CORE130</t>
  </si>
  <si>
    <t>0XBE000000E1840400</t>
  </si>
  <si>
    <t>TimeOutThread:0,ActiveThreads:1,XQ Empty:0,LQ Empty:1,SnpQ Empty:1,No U2C Req Credit:0,No C2U Credits:0,ExtCmpCntIsZero:1,FBVCntIsZero:1,VirtLLC Prefetch:1,</t>
  </si>
  <si>
    <t>DPMB_SOCKET0__COMPUTE2__CPU__CORE164__ML2_CR_MC3_STATUS</t>
  </si>
  <si>
    <t>DPMB_SOCKET0__COMPUTE1__CPU__CORE69__ML2_CR_MC3_STATUS</t>
  </si>
  <si>
    <t>DPMB_SOCKET0__COMPUTE2__CPU__CORE178__ML2_CR_MC3_STATUS</t>
  </si>
  <si>
    <t>DPMB_SOCKET0__COMPUTE0__CPU__CORE10__ML2_CR_MC3_STATUS</t>
  </si>
  <si>
    <t>DPMB_SOCKET0__COMPUTE0__CPU__CORE13__ML2_CR_MC3_STATUS</t>
  </si>
  <si>
    <t>DPMB_SOCKET0__COMPUTE0__CPU__CORE15__ML2_CR_MC3_STATUS</t>
  </si>
  <si>
    <t>DPMB_SOCKET0__COMPUTE0__CPU__CORE17__ML2_CR_MC3_STATUS</t>
  </si>
  <si>
    <t>DPMB_SOCKET0__COMPUTE0__CPU__CORE1__ML2_CR_MC3_STATUS</t>
  </si>
  <si>
    <t>DPMB_SOCKET0__COMPUTE0__CPU__CORE20__ML2_CR_MC3_STATUS</t>
  </si>
  <si>
    <t>DPMB_SOCKET0__COMPUTE0__CPU__CORE21__ML2_CR_MC3_STATUS</t>
  </si>
  <si>
    <t>DPMB_SOCKET0__COMPUTE0__CPU__CORE22__ML2_CR_MC3_STATUS</t>
  </si>
  <si>
    <t>DPMB_SOCKET0__COMPUTE0__CPU__CORE23__ML2_CR_MC3_STATUS</t>
  </si>
  <si>
    <t>DPMB_SOCKET0__COMPUTE0__CPU__CORE27__ML2_CR_MC3_STATUS</t>
  </si>
  <si>
    <t>DPMB_SOCKET0__COMPUTE0__CPU__CORE29__ML2_CR_MC3_STATUS</t>
  </si>
  <si>
    <t>DPMB_SOCKET0__COMPUTE0__CPU__CORE2__ML2_CR_MC3_STATUS</t>
  </si>
  <si>
    <t>DPMB_SOCKET0__COMPUTE0__CPU__CORE30__ML2_CR_MC3_STATUS</t>
  </si>
  <si>
    <t>DPMB_SOCKET0__COMPUTE0__CPU__CORE34__ML2_CR_MC3_STATUS</t>
  </si>
  <si>
    <t>DPMB_SOCKET0__COMPUTE0__CPU__CORE37__ML2_CR_MC3_STATUS</t>
  </si>
  <si>
    <t>DPMB_SOCKET0__COMPUTE0__CPU__CORE38__ML2_CR_MC3_STATUS</t>
  </si>
  <si>
    <t>DPMB_SOCKET0__COMPUTE0__CPU__CORE3__ML2_CR_MC3_STATUS</t>
  </si>
  <si>
    <t>DPMB_SOCKET0__COMPUTE0__CPU__CORE41__ML2_CR_MC3_STATUS</t>
  </si>
  <si>
    <t>DPMB_SOCKET0__COMPUTE0__CPU__CORE42__ML2_CR_MC3_STATUS</t>
  </si>
  <si>
    <t>DPMB_SOCKET0__COMPUTE0__CPU__CORE43__ML2_CR_MC3_STATUS</t>
  </si>
  <si>
    <t>DPMB_SOCKET0__COMPUTE0__CPU__CORE44__ML2_CR_MC3_STATUS</t>
  </si>
  <si>
    <t>DPMB_SOCKET0__COMPUTE0__CPU__CORE48__ML2_CR_MC3_STATUS</t>
  </si>
  <si>
    <t>DPMB_SOCKET0__COMPUTE0__CPU__CORE50__ML2_CR_MC3_STATUS</t>
  </si>
  <si>
    <t>DPMB_SOCKET0__COMPUTE0__CPU__CORE51__ML2_CR_MC3_STATUS</t>
  </si>
  <si>
    <t>DPMB_SOCKET0__COMPUTE0__CPU__CORE52__ML2_CR_MC3_STATUS</t>
  </si>
  <si>
    <t>DPMB_SOCKET0__COMPUTE0__CPU__CORE55__ML2_CR_MC3_STATUS</t>
  </si>
  <si>
    <t>DPMB_SOCKET0__COMPUTE0__CPU__CORE58__ML2_CR_MC3_STATUS</t>
  </si>
  <si>
    <t>DPMB_SOCKET0__COMPUTE0__CPU__CORE6__ML2_CR_MC3_STATUS</t>
  </si>
  <si>
    <t>DPMB_SOCKET0__COMPUTE0__CPU__CORE7__ML2_CR_MC3_STATUS</t>
  </si>
  <si>
    <t>DPMB_SOCKET0__COMPUTE0__CPU__CORE8__ML2_CR_MC3_STATUS</t>
  </si>
  <si>
    <t>DPMB_SOCKET0__COMPUTE0__CPU__CORE9__ML2_CR_MC3_STATUS</t>
  </si>
  <si>
    <t>DPMB_SOCKET0__COMPUTE1__CPU__CORE105__ML2_CR_MC3_STATUS</t>
  </si>
  <si>
    <t>DPMB_SOCKET0__COMPUTE1__CPU__CORE108__ML2_CR_MC3_STATUS</t>
  </si>
  <si>
    <t>DPMB_SOCKET0__COMPUTE1__CPU__CORE109__ML2_CR_MC3_STATUS</t>
  </si>
  <si>
    <t>DPMB_SOCKET0__COMPUTE1__CPU__CORE110__ML2_CR_MC3_STATUS</t>
  </si>
  <si>
    <t>DPMB_SOCKET0__COMPUTE1__CPU__CORE111__ML2_CR_MC3_STATUS</t>
  </si>
  <si>
    <t>DPMB_SOCKET0__COMPUTE1__CPU__CORE112__ML2_CR_MC3_STATUS</t>
  </si>
  <si>
    <t>DPMB_SOCKET0__COMPUTE1__CPU__CORE115__ML2_CR_MC3_STATUS</t>
  </si>
  <si>
    <t>DPMB_SOCKET0__COMPUTE1__CPU__CORE117__ML2_CR_MC3_STATUS</t>
  </si>
  <si>
    <t>DPMB_SOCKET0__COMPUTE1__CPU__CORE118__ML2_CR_MC3_STATUS</t>
  </si>
  <si>
    <t>DPMB_SOCKET0__COMPUTE1__CPU__CORE119__ML2_CR_MC3_STATUS</t>
  </si>
  <si>
    <t>DPMB_SOCKET0__COMPUTE1__CPU__CORE60__ML2_CR_MC3_STATUS</t>
  </si>
  <si>
    <t>DPMB_SOCKET0__COMPUTE1__CPU__CORE61__ML2_CR_MC3_STATUS</t>
  </si>
  <si>
    <t>DPMB_SOCKET0__COMPUTE1__CPU__CORE62__ML2_CR_MC3_STATUS</t>
  </si>
  <si>
    <t>DPMB_SOCKET0__COMPUTE1__CPU__CORE63__ML2_CR_MC3_STATUS</t>
  </si>
  <si>
    <t>DPMB_SOCKET0__COMPUTE1__CPU__CORE66__ML2_CR_MC3_STATUS</t>
  </si>
  <si>
    <t>DPMB_SOCKET0__COMPUTE1__CPU__CORE67__ML2_CR_MC3_STATUS</t>
  </si>
  <si>
    <t>DPMB_SOCKET0__COMPUTE1__CPU__CORE73__ML2_CR_MC3_STATUS</t>
  </si>
  <si>
    <t>DPMB_SOCKET0__COMPUTE1__CPU__CORE75__ML2_CR_MC3_STATUS</t>
  </si>
  <si>
    <t>DPMB_SOCKET0__COMPUTE1__CPU__CORE76__ML2_CR_MC3_STATUS</t>
  </si>
  <si>
    <t>DPMB_SOCKET0__COMPUTE1__CPU__CORE77__ML2_CR_MC3_STATUS</t>
  </si>
  <si>
    <t>DPMB_SOCKET0__COMPUTE1__CPU__CORE82__ML2_CR_MC3_STATUS</t>
  </si>
  <si>
    <t>DPMB_SOCKET0__COMPUTE1__CPU__CORE83__ML2_CR_MC3_STATUS</t>
  </si>
  <si>
    <t>DPMB_SOCKET0__COMPUTE1__CPU__CORE87__ML2_CR_MC3_STATUS</t>
  </si>
  <si>
    <t>DPMB_SOCKET0__COMPUTE1__CPU__CORE88__ML2_CR_MC3_STATUS</t>
  </si>
  <si>
    <t>DPMB_SOCKET0__COMPUTE1__CPU__CORE89__ML2_CR_MC3_STATUS</t>
  </si>
  <si>
    <t>DPMB_SOCKET0__COMPUTE1__CPU__CORE90__ML2_CR_MC3_STATUS</t>
  </si>
  <si>
    <t>DPMB_SOCKET0__COMPUTE1__CPU__CORE91__ML2_CR_MC3_STATUS</t>
  </si>
  <si>
    <t>DPMB_SOCKET0__COMPUTE1__CPU__CORE94__ML2_CR_MC3_STATUS</t>
  </si>
  <si>
    <t>DPMB_SOCKET0__COMPUTE1__CPU__CORE96__ML2_CR_MC3_STATUS</t>
  </si>
  <si>
    <t>DPMB_SOCKET0__COMPUTE1__CPU__CORE97__ML2_CR_MC3_STATUS</t>
  </si>
  <si>
    <t>DPMB_SOCKET0__COMPUTE1__CPU__CORE98__ML2_CR_MC3_STATUS</t>
  </si>
  <si>
    <t>DPMB_SOCKET0__COMPUTE2__CPU__CORE120__ML2_CR_MC3_STATUS</t>
  </si>
  <si>
    <t>DPMB_SOCKET0__COMPUTE2__CPU__CORE121__ML2_CR_MC3_STATUS</t>
  </si>
  <si>
    <t>DPMB_SOCKET0__COMPUTE2__CPU__CORE123__ML2_CR_MC3_STATUS</t>
  </si>
  <si>
    <t>DPMB_SOCKET0__COMPUTE2__CPU__CORE126__ML2_CR_MC3_STATUS</t>
  </si>
  <si>
    <t>DPMB_SOCKET0__COMPUTE2__CPU__CORE127__ML2_CR_MC3_STATUS</t>
  </si>
  <si>
    <t>DPMB_SOCKET0__COMPUTE2__CPU__CORE128__ML2_CR_MC3_STATUS</t>
  </si>
  <si>
    <t>DPMB_SOCKET0__COMPUTE2__CPU__CORE129__ML2_CR_MC3_STATUS</t>
  </si>
  <si>
    <t>DPMB_SOCKET0__COMPUTE2__CPU__CORE130__ML2_CR_MC3_STATUS</t>
  </si>
  <si>
    <t>DPMB_SOCKET0__COMPUTE2__CPU__CORE133__ML2_CR_MC3_STATUS</t>
  </si>
  <si>
    <t>DPMB_SOCKET0__COMPUTE2__CPU__CORE134__ML2_CR_MC3_STATUS</t>
  </si>
  <si>
    <t>DPMB_SOCKET0__COMPUTE2__CPU__CORE135__ML2_CR_MC3_STATUS</t>
  </si>
  <si>
    <t>DPMB_SOCKET0__COMPUTE2__CPU__CORE136__ML2_CR_MC3_STATUS</t>
  </si>
  <si>
    <t>DPMB_SOCKET0__COMPUTE2__CPU__CORE140__ML2_CR_MC3_STATUS</t>
  </si>
  <si>
    <t>DPMB_SOCKET0__COMPUTE2__CPU__CORE141__ML2_CR_MC3_STATUS</t>
  </si>
  <si>
    <t>DPMB_SOCKET0__COMPUTE2__CPU__CORE142__ML2_CR_MC3_STATUS</t>
  </si>
  <si>
    <t>DPMB_SOCKET0__COMPUTE2__CPU__CORE148__ML2_CR_MC3_STATUS</t>
  </si>
  <si>
    <t>DPMB_SOCKET0__COMPUTE2__CPU__CORE149__ML2_CR_MC3_STATUS</t>
  </si>
  <si>
    <t>DPMB_SOCKET0__COMPUTE2__CPU__CORE150__ML2_CR_MC3_STATUS</t>
  </si>
  <si>
    <t>DPMB_SOCKET0__COMPUTE2__CPU__CORE151__ML2_CR_MC3_STATUS</t>
  </si>
  <si>
    <t>DPMB_SOCKET0__COMPUTE2__CPU__CORE154__ML2_CR_MC3_STATUS</t>
  </si>
  <si>
    <t>DPMB_SOCKET0__COMPUTE2__CPU__CORE155__ML2_CR_MC3_STATUS</t>
  </si>
  <si>
    <t>DPMB_SOCKET0__COMPUTE2__CPU__CORE156__ML2_CR_MC3_STATUS</t>
  </si>
  <si>
    <t>DPMB_SOCKET0__COMPUTE2__CPU__CORE158__ML2_CR_MC3_STATUS</t>
  </si>
  <si>
    <t>DPMB_SOCKET0__COMPUTE2__CPU__CORE162__ML2_CR_MC3_STATUS</t>
  </si>
  <si>
    <t>DPMB_SOCKET0__COMPUTE2__CPU__CORE163__ML2_CR_MC3_STATUS</t>
  </si>
  <si>
    <t>DPMB_SOCKET0__COMPUTE2__CPU__CORE168__ML2_CR_MC3_STATUS</t>
  </si>
  <si>
    <t>DPMB_SOCKET0__COMPUTE2__CPU__CORE169__ML2_CR_MC3_STATUS</t>
  </si>
  <si>
    <t>DPMB_SOCKET0__COMPUTE2__CPU__CORE170__ML2_CR_MC3_STATUS</t>
  </si>
  <si>
    <t>DPMB_SOCKET0__COMPUTE2__CPU__CORE175__ML2_CR_MC3_STATUS</t>
  </si>
  <si>
    <t>DPMB_SOCKET0__COMPUTE2__CPU__CORE176__ML2_CR_MC3_STATUS</t>
  </si>
  <si>
    <t>DPMB_SOCKET0__COMPUTE2__CPU__CORE177__ML2_CR_MC3_STATUS</t>
  </si>
  <si>
    <t>DPMB_SOCKET0__COMPUTE2__CPU__CORE179__ML2_CR_MC3_STATUS</t>
  </si>
  <si>
    <t>DPMB_SOCKET0__COMPUTE0__CPU__CORE0__ML2_CR_MC3_STATUS</t>
  </si>
  <si>
    <t>DPMB_SOCKET0__COMPUTE0__CPU__CORE14__ML2_CR_MC3_STATUS</t>
  </si>
  <si>
    <t>DPMB_SOCKET0__COMPUTE0__CPU__CORE16__ML2_CR_MC3_STATUS</t>
  </si>
  <si>
    <t>DPMB_SOCKET0__COMPUTE0__CPU__CORE24__ML2_CR_MC3_STATUS</t>
  </si>
  <si>
    <t>DPMB_SOCKET0__COMPUTE0__CPU__CORE28__ML2_CR_MC3_STATUS</t>
  </si>
  <si>
    <t>DPMB_SOCKET0__COMPUTE0__CPU__CORE31__ML2_CR_MC3_STATUS</t>
  </si>
  <si>
    <t>DPMB_SOCKET0__COMPUTE0__CPU__CORE35__ML2_CR_MC3_STATUS</t>
  </si>
  <si>
    <t>DPMB_SOCKET0__COMPUTE0__CPU__CORE45__ML2_CR_MC3_STATUS</t>
  </si>
  <si>
    <t>DPMB_SOCKET0__COMPUTE0__CPU__CORE49__ML2_CR_MC3_STATUS</t>
  </si>
  <si>
    <t>DPMB_SOCKET0__COMPUTE0__CPU__CORE56__ML2_CR_MC3_STATUS</t>
  </si>
  <si>
    <t>DPMB_SOCKET0__COMPUTE0__CPU__CORE57__ML2_CR_MC3_STATUS</t>
  </si>
  <si>
    <t>DPMB_SOCKET0__COMPUTE0__CPU__CORE59__ML2_CR_MC3_STATUS</t>
  </si>
  <si>
    <t>DPMB_SOCKET0__COMPUTE1__CPU__CORE101__ML2_CR_MC3_STATUS</t>
  </si>
  <si>
    <t>DPMB_SOCKET0__COMPUTE1__CPU__CORE102__ML2_CR_MC3_STATUS</t>
  </si>
  <si>
    <t>DPMB_SOCKET0__COMPUTE1__CPU__CORE103__ML2_CR_MC3_STATUS</t>
  </si>
  <si>
    <t>DPMB_SOCKET0__COMPUTE1__CPU__CORE104__ML2_CR_MC3_STATUS</t>
  </si>
  <si>
    <t>DPMB_SOCKET0__COMPUTE1__CPU__CORE116__ML2_CR_MC3_STATUS</t>
  </si>
  <si>
    <t>DPMB_SOCKET0__COMPUTE1__CPU__CORE68__ML2_CR_MC3_STATUS</t>
  </si>
  <si>
    <t>DPMB_SOCKET0__COMPUTE1__CPU__CORE70__ML2_CR_MC3_STATUS</t>
  </si>
  <si>
    <t>DPMB_SOCKET0__COMPUTE1__CPU__CORE74__ML2_CR_MC3_STATUS</t>
  </si>
  <si>
    <t>DPMB_SOCKET0__COMPUTE1__CPU__CORE80__ML2_CR_MC3_STATUS</t>
  </si>
  <si>
    <t>DPMB_SOCKET0__COMPUTE1__CPU__CORE81__ML2_CR_MC3_STATUS</t>
  </si>
  <si>
    <t>DPMB_SOCKET0__COMPUTE1__CPU__CORE84__ML2_CR_MC3_STATUS</t>
  </si>
  <si>
    <t>DPMB_SOCKET0__COMPUTE1__CPU__CORE95__ML2_CR_MC3_STATUS</t>
  </si>
  <si>
    <t>DPMB_SOCKET0__COMPUTE2__CPU__CORE122__ML2_CR_MC3_STATUS</t>
  </si>
  <si>
    <t>0XF2000000E1CD0400</t>
  </si>
  <si>
    <t>DPMB_SOCKET0__COMPUTE2__CPU__CORE137__ML2_CR_MC3_STATUS</t>
  </si>
  <si>
    <t>DPMB_SOCKET0__COMPUTE2__CPU__CORE143__ML2_CR_MC3_STATUS</t>
  </si>
  <si>
    <t>DPMB_SOCKET0__COMPUTE2__CPU__CORE144__ML2_CR_MC3_STATUS</t>
  </si>
  <si>
    <t>DPMB_SOCKET0__COMPUTE2__CPU__CORE147__ML2_CR_MC3_STATUS</t>
  </si>
  <si>
    <t>DPMB_SOCKET0__COMPUTE2__CPU__CORE157__ML2_CR_MC3_STATUS</t>
  </si>
  <si>
    <t>DPMB_SOCKET0__COMPUTE2__CPU__CORE161__ML2_CR_MC3_STATUS</t>
  </si>
  <si>
    <t>DPMB_SOCKET0__COMPUTE2__CPU__CORE171__ML2_CR_MC3_STATUS</t>
  </si>
  <si>
    <t>DPMB_SOCKET0__COMPUTE2__CPU__CORE172__ML2_CR_MC3_STATUS</t>
  </si>
  <si>
    <t>DPMB_SOCKET0__COMPUTE2__CPU__CORE165__ML2_CR_MC3_STATUS</t>
  </si>
  <si>
    <t>Name</t>
  </si>
  <si>
    <t>Item</t>
  </si>
  <si>
    <t>Kind</t>
  </si>
  <si>
    <t>Hidden</t>
  </si>
  <si>
    <t>Table</t>
  </si>
  <si>
    <t>Core Errors</t>
  </si>
  <si>
    <t>Core MCAs</t>
  </si>
  <si>
    <t>SrcIDs</t>
  </si>
  <si>
    <t># Runs</t>
  </si>
  <si>
    <t>CHA MaxRepeats</t>
  </si>
  <si>
    <t># Failed CHAs</t>
  </si>
  <si>
    <t>Hitter CHA</t>
  </si>
  <si>
    <t>Hitter SrcID</t>
  </si>
  <si>
    <t>Count of Diff SrcIDS</t>
  </si>
  <si>
    <t>SrcIDs Max Repeats</t>
  </si>
  <si>
    <t># Failed Cores</t>
  </si>
  <si>
    <t>CORE MaxFails</t>
  </si>
  <si>
    <t>Row</t>
  </si>
  <si>
    <t>Col</t>
  </si>
  <si>
    <t>Compute0</t>
  </si>
  <si>
    <t>Compute1</t>
  </si>
  <si>
    <t>Compute2</t>
  </si>
  <si>
    <t>Row1</t>
  </si>
  <si>
    <t>Row2</t>
  </si>
  <si>
    <t>Row5</t>
  </si>
  <si>
    <t>Row6</t>
  </si>
  <si>
    <t>Row7</t>
  </si>
  <si>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</si>
  <si>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</si>
  <si>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</si>
  <si>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</si>
  <si>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</si>
  <si>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</si>
  <si>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</si>
  <si>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</si>
  <si>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</si>
  <si>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</si>
  <si>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CDIE</t>
  </si>
  <si>
    <t>COL</t>
  </si>
  <si>
    <t>ROW</t>
  </si>
  <si>
    <t>Data.SubBucket</t>
  </si>
  <si>
    <t>Data.Group</t>
  </si>
  <si>
    <t>Data.DPM</t>
  </si>
  <si>
    <t>SOLAR</t>
  </si>
  <si>
    <t>RAINBOW</t>
  </si>
  <si>
    <t>IFS</t>
  </si>
  <si>
    <t>RQ6Q</t>
  </si>
  <si>
    <t>8AAHRVCB</t>
  </si>
  <si>
    <t>RVF5</t>
  </si>
  <si>
    <t>8AAHFVCB</t>
  </si>
  <si>
    <t>8AAHPVCB</t>
  </si>
  <si>
    <t>RPLF</t>
  </si>
  <si>
    <t>RPLH</t>
  </si>
  <si>
    <t>GUPS</t>
  </si>
  <si>
    <t>RPKY</t>
  </si>
  <si>
    <t>JASPER</t>
  </si>
  <si>
    <t>RPL2</t>
  </si>
  <si>
    <t>RPKX</t>
  </si>
  <si>
    <t>RVH4</t>
  </si>
  <si>
    <t>RPL9</t>
  </si>
  <si>
    <t>8AAHQVCB</t>
  </si>
  <si>
    <t>RPLL</t>
  </si>
  <si>
    <t>RPLK</t>
  </si>
  <si>
    <t>0X54000000</t>
  </si>
  <si>
    <t>NCEVENT</t>
  </si>
  <si>
    <t>VALUE</t>
  </si>
  <si>
    <t>FirstError - DIEID</t>
  </si>
  <si>
    <t>FirstError - PortID</t>
  </si>
  <si>
    <t>FirstError - Location</t>
  </si>
  <si>
    <t>FirstError - FromCore</t>
  </si>
  <si>
    <t>SecondError - DIEID</t>
  </si>
  <si>
    <t>SecondError - PortID</t>
  </si>
  <si>
    <t>SecondError - Location</t>
  </si>
  <si>
    <t>SecondError - FromCore</t>
  </si>
  <si>
    <t>core_coregp.0.cpucore.29</t>
  </si>
  <si>
    <t>core_coregp.0.cpucore.88</t>
  </si>
  <si>
    <t>core_coregp.0.cpucore.137</t>
  </si>
  <si>
    <t>core_coregp.0.cpucore.138</t>
  </si>
  <si>
    <t>core_coregp.0.cpucore.176</t>
  </si>
  <si>
    <t>core_coregp.0.cpucore.2</t>
  </si>
  <si>
    <t>core_coregp.0.cpucore.22</t>
  </si>
  <si>
    <t>core_coregp.0.cpucore.142</t>
  </si>
  <si>
    <t>core_coregp.0.cpucore.151</t>
  </si>
  <si>
    <t>IFU</t>
  </si>
  <si>
    <t>0X424908</t>
  </si>
  <si>
    <t>0X424979</t>
  </si>
  <si>
    <t>0X424917</t>
  </si>
  <si>
    <t>0X438EC9</t>
  </si>
  <si>
    <t>0X424980</t>
  </si>
  <si>
    <t>0X42490F</t>
  </si>
  <si>
    <t>0X424988</t>
  </si>
  <si>
    <t>DPMB_SOCKET0__IO0__UNCORE__UBOX__NCEVENTS__MCERRLOGGINGREG</t>
  </si>
  <si>
    <t>DPMB_SOCKET0__IO0__UNCORE__UBOX__NCEVENTS__IERRLOGGINGREG</t>
  </si>
  <si>
    <t>core_coregp.0.cpucore.86</t>
  </si>
  <si>
    <t>core_coregp.0.cpucore.37</t>
  </si>
  <si>
    <t>core_coregp.0.cpucore.30</t>
  </si>
  <si>
    <t>core_coregp.0.cpucore.70</t>
  </si>
  <si>
    <t>core_coregp.0.cpucore.113</t>
  </si>
  <si>
    <t>punit_ptpcioregs_0.0.eprpunit.0</t>
  </si>
  <si>
    <t>punit_ptpcioregs_0.0.eprpunit.1</t>
  </si>
  <si>
    <t>core_coregp.0.cpucore.112</t>
  </si>
  <si>
    <t>FirstError</t>
  </si>
  <si>
    <t>Translate</t>
  </si>
  <si>
    <t>SCF</t>
  </si>
  <si>
    <t>B2CMI</t>
  </si>
  <si>
    <t>MSE</t>
  </si>
  <si>
    <t>CMS</t>
  </si>
  <si>
    <t>SBO</t>
  </si>
  <si>
    <t>PUNIT</t>
  </si>
  <si>
    <t>FirstError - Physical Loc</t>
  </si>
  <si>
    <t>Failed Instance</t>
  </si>
  <si>
    <t>offset</t>
  </si>
  <si>
    <t>DDRFMB</t>
  </si>
  <si>
    <t>DDRMC</t>
  </si>
  <si>
    <t>FirstError IP</t>
  </si>
  <si>
    <t>FirstError Device</t>
  </si>
  <si>
    <t>FirstError - IP</t>
  </si>
  <si>
    <t>FirstError - Device</t>
  </si>
  <si>
    <t>DDIMB</t>
  </si>
  <si>
    <t>SPK</t>
  </si>
  <si>
    <t>FirstError - Device (Name)</t>
  </si>
  <si>
    <t>Count of FirstErrors</t>
  </si>
  <si>
    <t>FirstErrorMax</t>
  </si>
  <si>
    <t># FirstErr</t>
  </si>
  <si>
    <t>Hitter CORE</t>
  </si>
  <si>
    <t>Fail Core Hint</t>
  </si>
  <si>
    <t>Max  FirstErr</t>
  </si>
  <si>
    <t>Core Hint</t>
  </si>
  <si>
    <t>CHA Hint</t>
  </si>
  <si>
    <t>FirstError - IP (name)</t>
  </si>
  <si>
    <t>Failing IPS</t>
  </si>
  <si>
    <t>IERRLOGGINGREG</t>
  </si>
  <si>
    <t>MCERRLOGGINGREG</t>
  </si>
  <si>
    <t>Type</t>
  </si>
  <si>
    <t>Other Errors</t>
  </si>
  <si>
    <t>Other</t>
  </si>
  <si>
    <t>WW</t>
  </si>
  <si>
    <t>Core Mcas</t>
  </si>
  <si>
    <t>Root Cause</t>
  </si>
  <si>
    <t>Debug Hints</t>
  </si>
  <si>
    <t>Core Next Steps</t>
  </si>
  <si>
    <t>CHA Next Steps</t>
  </si>
  <si>
    <t>Other Next Steps</t>
  </si>
  <si>
    <t>EPRPUNIT</t>
  </si>
  <si>
    <t>Score</t>
  </si>
  <si>
    <t>Top</t>
  </si>
  <si>
    <t>Additional Data</t>
  </si>
  <si>
    <t>Fail Location</t>
  </si>
  <si>
    <t>Cha Failing area</t>
  </si>
  <si>
    <t>Core failing area</t>
  </si>
  <si>
    <t>Core Fail Area</t>
  </si>
  <si>
    <t>CHA Fail Area</t>
  </si>
  <si>
    <t>Failing Area</t>
  </si>
  <si>
    <t>zscore ?</t>
  </si>
  <si>
    <t>Hitter LLC</t>
  </si>
  <si>
    <t>LLC_MC</t>
  </si>
  <si>
    <t>LLC</t>
  </si>
  <si>
    <t>MC DECODE</t>
  </si>
  <si>
    <t>MiscV</t>
  </si>
  <si>
    <t>RSF</t>
  </si>
  <si>
    <t>LSF</t>
  </si>
  <si>
    <t>LLC_misc</t>
  </si>
  <si>
    <t>LLC Hint</t>
  </si>
  <si>
    <t>LLC Failing area</t>
  </si>
  <si>
    <t>LLC Fail Area</t>
  </si>
  <si>
    <t>Score is used to check if current Compute, Col or Row have the highest fail rate, is a calculation in between averages, can be improved for more accuracy</t>
  </si>
  <si>
    <t>LLC Next Steps</t>
  </si>
  <si>
    <t>SCYLLA</t>
  </si>
  <si>
    <t>core_coregp</t>
  </si>
  <si>
    <t>scf_cha</t>
  </si>
  <si>
    <t>scf_b2cmi</t>
  </si>
  <si>
    <t>mse</t>
  </si>
  <si>
    <t>scf_cms</t>
  </si>
  <si>
    <t>scf_sbo</t>
  </si>
  <si>
    <t>punit_ptpcioregs_0</t>
  </si>
  <si>
    <t>cpucore</t>
  </si>
  <si>
    <t>cpuscf</t>
  </si>
  <si>
    <t>ddrfmb</t>
  </si>
  <si>
    <t>ddrmc</t>
  </si>
  <si>
    <t>ddimb</t>
  </si>
  <si>
    <t>eprpunit</t>
  </si>
  <si>
    <t>spk</t>
  </si>
  <si>
    <t>punit</t>
  </si>
  <si>
    <t>scf_crs_sbo</t>
  </si>
  <si>
    <t>CRS</t>
  </si>
  <si>
    <t>core_coregp.0.cpucore.65</t>
  </si>
  <si>
    <t>FRM</t>
  </si>
  <si>
    <t>RVUM</t>
  </si>
  <si>
    <t>75PC521100281</t>
  </si>
  <si>
    <t>75AV271100370</t>
  </si>
  <si>
    <t>752C6K2600230</t>
  </si>
  <si>
    <t>0X3583000035830</t>
  </si>
  <si>
    <t>759Q17J500021</t>
  </si>
  <si>
    <t>75DN054300086</t>
  </si>
  <si>
    <t>753D2R1700369</t>
  </si>
  <si>
    <t>75Y86K5200361</t>
  </si>
  <si>
    <t>75FQ351600172</t>
  </si>
  <si>
    <t>75HQ026900353</t>
  </si>
  <si>
    <t>75K59B6100019</t>
  </si>
  <si>
    <t>75892BG300186</t>
  </si>
  <si>
    <t>750M6Q2200272</t>
  </si>
  <si>
    <t>759Q17J500189</t>
  </si>
  <si>
    <t>75NW258700164</t>
  </si>
  <si>
    <t>759T8U8600274</t>
  </si>
  <si>
    <t>75PC435200440</t>
  </si>
  <si>
    <t>75KL115000196</t>
  </si>
  <si>
    <t>75XF413800100</t>
  </si>
  <si>
    <t>759T8U8600262</t>
  </si>
  <si>
    <t>759T8U8600129</t>
  </si>
  <si>
    <t>75EA153200192</t>
  </si>
  <si>
    <t>759D38N100120</t>
  </si>
  <si>
    <t>75060KC200101</t>
  </si>
  <si>
    <t>75HV625900261</t>
  </si>
  <si>
    <t>75PN442200154</t>
  </si>
  <si>
    <t>755905Q200303</t>
  </si>
  <si>
    <t>75PC435200207</t>
  </si>
  <si>
    <t>75M7S84700143</t>
  </si>
  <si>
    <t>75LQ380100341</t>
  </si>
  <si>
    <t>755905Q200002</t>
  </si>
  <si>
    <t>758H6X4500166</t>
  </si>
  <si>
    <t>753D2R1700164</t>
  </si>
  <si>
    <t>75AW816800059</t>
  </si>
  <si>
    <t>754D9U8400114</t>
  </si>
  <si>
    <t>750M6Q2200031</t>
  </si>
  <si>
    <t>752Q3N4700368</t>
  </si>
  <si>
    <t>75M7S84700054</t>
  </si>
  <si>
    <t>75CK138400398</t>
  </si>
  <si>
    <t>CORE.ML2.3STRIKE</t>
  </si>
  <si>
    <t>8749</t>
  </si>
  <si>
    <t>2</t>
  </si>
  <si>
    <t>1</t>
  </si>
  <si>
    <t>0</t>
  </si>
  <si>
    <t>757P9U4500139</t>
  </si>
  <si>
    <t>757P9U4500183</t>
  </si>
  <si>
    <t>752AB34700301</t>
  </si>
  <si>
    <t>75740PT400304</t>
  </si>
  <si>
    <t>75B18P9400140</t>
  </si>
  <si>
    <t>75V75P8000403</t>
  </si>
  <si>
    <t>75DJ757600134</t>
  </si>
  <si>
    <t>75EG192900215</t>
  </si>
  <si>
    <t>75EW387800337</t>
  </si>
  <si>
    <t>75SR755300281</t>
  </si>
  <si>
    <t>75FX158700312</t>
  </si>
  <si>
    <t>75YD611700170</t>
  </si>
  <si>
    <t>core_coregp.0.cpucore.165</t>
  </si>
  <si>
    <t>751U5E5500014</t>
  </si>
  <si>
    <t>75ST441200262</t>
  </si>
  <si>
    <t>75H405J700417</t>
  </si>
  <si>
    <t>75BT193600312</t>
  </si>
  <si>
    <t>75WN423700173</t>
  </si>
  <si>
    <t>core_coregp.0.cpucore.13</t>
  </si>
  <si>
    <t>0X348020003480D</t>
  </si>
  <si>
    <t>75Q92C7500122</t>
  </si>
  <si>
    <t>752AB34700187</t>
  </si>
  <si>
    <t>75F948R800271</t>
  </si>
  <si>
    <t>75JV331100334</t>
  </si>
  <si>
    <t>75YD611700350</t>
  </si>
  <si>
    <t>75ML452400574</t>
  </si>
  <si>
    <t>751B8Q5100229</t>
  </si>
  <si>
    <t>0XFFFFFFFFA745838E</t>
  </si>
  <si>
    <t>75TD621900018</t>
  </si>
  <si>
    <t>0X5F9E2238</t>
  </si>
  <si>
    <t>0XFFFFFFFFB345838E</t>
  </si>
  <si>
    <t>75RK722400871</t>
  </si>
  <si>
    <t>75F7R86700392</t>
  </si>
  <si>
    <t>757S2S7600284</t>
  </si>
  <si>
    <t>75RK722400565</t>
  </si>
  <si>
    <t>core_coregp.0.cpucore.45</t>
  </si>
  <si>
    <t>0XAF001FFF</t>
  </si>
  <si>
    <t>LINUXBOOT</t>
  </si>
  <si>
    <t>Data.UNIT</t>
  </si>
  <si>
    <t>Data.Visual_ID</t>
  </si>
  <si>
    <t>Data.Start_WW</t>
  </si>
  <si>
    <t>Data.Facility</t>
  </si>
  <si>
    <t>Data.PPV_TP</t>
  </si>
  <si>
    <t>Data.CLASS_TP</t>
  </si>
  <si>
    <t>Data.Step</t>
  </si>
  <si>
    <t>Data.DevRevStep</t>
  </si>
  <si>
    <t>Data.S_Spec</t>
  </si>
  <si>
    <t>Data.DPM_Bucket</t>
  </si>
  <si>
    <t>Data.Subbucket - Notes</t>
  </si>
  <si>
    <t>Data.Root Cause</t>
  </si>
  <si>
    <t>Data.Weekly_DPM</t>
  </si>
  <si>
    <t>Data.1st CORE</t>
  </si>
  <si>
    <t>Table6</t>
  </si>
  <si>
    <t>CR</t>
  </si>
  <si>
    <t>GNRSDEAHBA2531</t>
  </si>
  <si>
    <t>GNRUCAPB3H04H01S531</t>
  </si>
  <si>
    <t>REV4</t>
  </si>
  <si>
    <t>PYTHONCOMMAND</t>
  </si>
  <si>
    <t>SDESANDSTONE</t>
  </si>
  <si>
    <t>JASPER/BOOT</t>
  </si>
  <si>
    <t>LEEKSPIN</t>
  </si>
  <si>
    <t>0XA9041FFF</t>
  </si>
  <si>
    <t>GNRSDEAHBA2533A</t>
  </si>
  <si>
    <t>A15</t>
  </si>
  <si>
    <t>SDESANDSTONE / JASPER / IFS</t>
  </si>
  <si>
    <t>GNRUCAPB3H04J01S535</t>
  </si>
  <si>
    <t>0XA9011FFF</t>
  </si>
  <si>
    <t>75CK138400551</t>
  </si>
  <si>
    <t>75JV548600601</t>
  </si>
  <si>
    <t>75JV548600167</t>
  </si>
  <si>
    <t>FRM_CMULTSZ</t>
  </si>
  <si>
    <t>75F24U8900477</t>
  </si>
  <si>
    <t>CAYLEY_WB1</t>
  </si>
  <si>
    <t>754L3P4000243</t>
  </si>
  <si>
    <t>75BJ774300001</t>
  </si>
  <si>
    <t>YAKKO_WSZ</t>
  </si>
  <si>
    <t>75H49U5200418</t>
  </si>
  <si>
    <t>A2YM</t>
  </si>
  <si>
    <t>759Q17J500176</t>
  </si>
  <si>
    <t>RVUS</t>
  </si>
  <si>
    <t xml:space="preserve"> FIREWORX_Z</t>
  </si>
  <si>
    <t>75MG771100458</t>
  </si>
  <si>
    <t xml:space="preserve"> FISSURE_M</t>
  </si>
  <si>
    <t>75MG771100436</t>
  </si>
  <si>
    <t>75PC435200106</t>
  </si>
  <si>
    <t xml:space="preserve"> SANITY_P23</t>
  </si>
  <si>
    <t>754L3P4000348</t>
  </si>
  <si>
    <t>75XL875800039</t>
  </si>
  <si>
    <t>GNRSDEAHBD2539A</t>
  </si>
  <si>
    <t>GNRUCAPB3H04K00S542</t>
  </si>
  <si>
    <t>REV5</t>
  </si>
  <si>
    <t>COOL</t>
  </si>
  <si>
    <t>SINGLE CORE (SC)</t>
  </si>
  <si>
    <t>UNKNOWN</t>
  </si>
  <si>
    <t>NODATA</t>
  </si>
  <si>
    <t>UNCORE.PCU.AGG</t>
  </si>
  <si>
    <t>75VA322200066</t>
  </si>
  <si>
    <t>GNRSDEAHBD2543C</t>
  </si>
  <si>
    <t>RPM6</t>
  </si>
  <si>
    <t>75TL916200206</t>
  </si>
  <si>
    <t>75AE867200621</t>
  </si>
  <si>
    <t>75LQ465300016</t>
  </si>
  <si>
    <t>759HS83500761</t>
  </si>
  <si>
    <t>759HS83500850</t>
  </si>
  <si>
    <t>7555R4N800915</t>
  </si>
  <si>
    <t>75KG521200300</t>
  </si>
  <si>
    <t>75CP723300164</t>
  </si>
  <si>
    <t>759HS83500184</t>
  </si>
  <si>
    <t>75XF711400106</t>
  </si>
  <si>
    <t>GNRUCAPB3H04N00S546</t>
  </si>
  <si>
    <t>75XF711400571</t>
  </si>
  <si>
    <t>75AE867200404</t>
  </si>
  <si>
    <t>75495Y9100108</t>
  </si>
  <si>
    <t>75842TD200284</t>
  </si>
  <si>
    <t>0XFFFFFFFF9145838E</t>
  </si>
  <si>
    <t>DPMB_SOCKET0__COMPUTE2__CPU__CORE168__THREAD0__IFU_CR_MC0_STATUS</t>
  </si>
  <si>
    <t>DPMB_SOCKET0__COMPUTE2__CPU__CORE168__THREAD1__IFU_CR_MC0_STATUS</t>
  </si>
  <si>
    <t>75M81V6300227</t>
  </si>
  <si>
    <t>75M81V6300483</t>
  </si>
  <si>
    <t>75Y58K5600216</t>
  </si>
  <si>
    <t>75495Y9100184</t>
  </si>
  <si>
    <t>750S1Y9100334</t>
  </si>
  <si>
    <t>75NL784300048</t>
  </si>
  <si>
    <t>75UF245300403</t>
  </si>
  <si>
    <t>75UF245300464</t>
  </si>
  <si>
    <t>758S1U3800288</t>
  </si>
  <si>
    <t>GNRSDEAJBD2547C</t>
  </si>
  <si>
    <t>750S1Y9100388</t>
  </si>
  <si>
    <t>7550BF4300172</t>
  </si>
  <si>
    <t>75EU388100198</t>
  </si>
  <si>
    <t>75YQ668700637</t>
  </si>
  <si>
    <t>0XBE000000F18D0400</t>
  </si>
  <si>
    <t>TimeOutThread:1,ActiveThreads:3,XQ Empty:0,LQ Empty:1,SnpQ Empty:1,No U2C Req Credit:0,No C2U Credits:4,ExtCmpCntIsZero:1,FBVCntIsZero:1,VirtLLC Prefetch:1,</t>
  </si>
  <si>
    <t>0XFE000000F18D0400</t>
  </si>
  <si>
    <t>TimeOutThread:1,ActiveThreads:3,XQ Empty:0,LQ Empty:0,SnpQ Empty:1,No U2C Req Credit:0,No C2U Credits:4,ExtCmpCntIsZero:1,FBVCntIsZero:1,VirtLLC Prefetch:1,</t>
  </si>
  <si>
    <t>0X3480D0003480D</t>
  </si>
  <si>
    <t>ubox_ncevents</t>
  </si>
  <si>
    <t>UBOX</t>
  </si>
  <si>
    <t>ubox</t>
  </si>
  <si>
    <t>74JU522300112</t>
  </si>
  <si>
    <t>7-1</t>
  </si>
  <si>
    <t>7682</t>
  </si>
  <si>
    <t>DPMB_SOCKET1__COMPUTE0__UNCORE__CHA__CHA51__UTIL__MC_STATUS</t>
  </si>
  <si>
    <t>CHA51</t>
  </si>
  <si>
    <t>0XFE000000000C110A</t>
  </si>
  <si>
    <t>TOR_TIMEOUT</t>
  </si>
  <si>
    <t>0X40</t>
  </si>
  <si>
    <t>0X1700EE7800100086</t>
  </si>
  <si>
    <t>0X1106C22F01000C0</t>
  </si>
  <si>
    <t>PortIn</t>
  </si>
  <si>
    <t>RspI</t>
  </si>
  <si>
    <t>LLC_I</t>
  </si>
  <si>
    <t>Wdata_Wcmp</t>
  </si>
  <si>
    <t>MMCFG</t>
  </si>
  <si>
    <t>IO</t>
  </si>
  <si>
    <t>PCIE0</t>
  </si>
  <si>
    <t>10-1</t>
  </si>
  <si>
    <t>DPMB_SOCKET1__COMPUTE1__UNCORE__CHA__CHA83__UTIL__MC_STATUS</t>
  </si>
  <si>
    <t>CHA83</t>
  </si>
  <si>
    <t>0X2B00EE7800100086</t>
  </si>
  <si>
    <t>0X1106C25701200C0</t>
  </si>
  <si>
    <t>759Y5U8800863</t>
  </si>
  <si>
    <t>5-1</t>
  </si>
  <si>
    <t>8748</t>
  </si>
  <si>
    <t>DPMB_SOCKET0__COMPUTE2__UNCORE__CHA__CHA134__UTIL__MC_STATUS</t>
  </si>
  <si>
    <t>CHA134</t>
  </si>
  <si>
    <t>0XBE000000000B017A</t>
  </si>
  <si>
    <t>CORE_WB_MISS_LLC</t>
  </si>
  <si>
    <t>0X1FB2A7C180</t>
  </si>
  <si>
    <t>0X5D08C23802164086</t>
  </si>
  <si>
    <t>0X142140007600</t>
  </si>
  <si>
    <t>WbMtoI</t>
  </si>
  <si>
    <t>PullData</t>
  </si>
  <si>
    <t>LLC_M</t>
  </si>
  <si>
    <t>Ismq_Idle</t>
  </si>
  <si>
    <t>DRAM</t>
  </si>
  <si>
    <t>HOM</t>
  </si>
  <si>
    <t>MEM4</t>
  </si>
  <si>
    <t>74N24C5300241</t>
  </si>
  <si>
    <t>2-1</t>
  </si>
  <si>
    <t>7681</t>
  </si>
  <si>
    <t>DPMB_SOCKET0__COMPUTE0__UNCORE__CHA__CHA0__UTIL__MC_STATUS</t>
  </si>
  <si>
    <t>CHA0</t>
  </si>
  <si>
    <t>0XFE000000000C1136</t>
  </si>
  <si>
    <t>0X61C296B740</t>
  </si>
  <si>
    <t>0X1C802C00100886</t>
  </si>
  <si>
    <t>0X1C00C2D00430000</t>
  </si>
  <si>
    <t>RFO</t>
  </si>
  <si>
    <t>Wdata_Wcmp_Split</t>
  </si>
  <si>
    <t>MEM0</t>
  </si>
  <si>
    <t>DPMB_SOCKET0__COMPUTE0__UNCORE__CHA__CHA13__UTIL__MC_STATUS</t>
  </si>
  <si>
    <t>CHA13</t>
  </si>
  <si>
    <t>0X7C71423340</t>
  </si>
  <si>
    <t>0XA3C811000100886</t>
  </si>
  <si>
    <t>0X1C00C21A042E007</t>
  </si>
  <si>
    <t>DRd</t>
  </si>
  <si>
    <t>DPMB_SOCKET0__COMPUTE0__UNCORE__CHA__CHA14__UTIL__MC_STATUS</t>
  </si>
  <si>
    <t>CHA14</t>
  </si>
  <si>
    <t>0X37BC73900</t>
  </si>
  <si>
    <t>0XE1C801800100886</t>
  </si>
  <si>
    <t>0X1C0102840024006</t>
  </si>
  <si>
    <t>MEM2</t>
  </si>
  <si>
    <t>DPMB_SOCKET0__COMPUTE0__UNCORE__CHA__CHA15__UTIL__MC_STATUS</t>
  </si>
  <si>
    <t>CHA15</t>
  </si>
  <si>
    <t>0X6D14B7F040</t>
  </si>
  <si>
    <t>0X113C817800100886</t>
  </si>
  <si>
    <t>0X1C00C2C40402000</t>
  </si>
  <si>
    <t>DPMB_SOCKET0__COMPUTE0__UNCORE__CHA__CHA16__UTIL__MC_STATUS</t>
  </si>
  <si>
    <t>CHA16</t>
  </si>
  <si>
    <t>0X6F856A2B40</t>
  </si>
  <si>
    <t>0X33C810400100886</t>
  </si>
  <si>
    <t>0X1C00C2420426002</t>
  </si>
  <si>
    <t>DPMB_SOCKET0__COMPUTE0__UNCORE__CHA__CHA17__UTIL__MC_STATUS</t>
  </si>
  <si>
    <t>CHA17</t>
  </si>
  <si>
    <t>0X7BC51C6C40</t>
  </si>
  <si>
    <t>0X73C811400100886</t>
  </si>
  <si>
    <t>0X1C00C2740406006</t>
  </si>
  <si>
    <t>DPMB_SOCKET0__COMPUTE0__UNCORE__CHA__CHA1__UTIL__MC_STATUS</t>
  </si>
  <si>
    <t>CHA1</t>
  </si>
  <si>
    <t>0X77B410B5C0</t>
  </si>
  <si>
    <t>0X53C811800100886</t>
  </si>
  <si>
    <t>0X1C00C2900426000</t>
  </si>
  <si>
    <t>DPMB_SOCKET0__COMPUTE0__UNCORE__CHA__CHA20__UTIL__MC_STATUS</t>
  </si>
  <si>
    <t>CHA20</t>
  </si>
  <si>
    <t>0XFE000000000C017A</t>
  </si>
  <si>
    <t>0X6CC76EB740</t>
  </si>
  <si>
    <t>0XB00C20800160086</t>
  </si>
  <si>
    <t>0X800C2BA0430885</t>
  </si>
  <si>
    <t>Wcmp</t>
  </si>
  <si>
    <t>DPMB_SOCKET0__COMPUTE0__UNCORE__CHA__CHA21__UTIL__MC_STATUS</t>
  </si>
  <si>
    <t>CHA21</t>
  </si>
  <si>
    <t>0X7682878B40</t>
  </si>
  <si>
    <t>0XF3C811000100886</t>
  </si>
  <si>
    <t>0X1C00C218040A004</t>
  </si>
  <si>
    <t>DPMB_SOCKET0__COMPUTE0__UNCORE__CHA__CHA22__UTIL__MC_STATUS</t>
  </si>
  <si>
    <t>CHA22</t>
  </si>
  <si>
    <t>0XFE000000000C1146</t>
  </si>
  <si>
    <t>0X6495CDC840</t>
  </si>
  <si>
    <t>0X120CC31800100086</t>
  </si>
  <si>
    <t>0X800C2B40420884</t>
  </si>
  <si>
    <t>WbEFtoI</t>
  </si>
  <si>
    <t>DPMB_SOCKET0__COMPUTE0__UNCORE__CHA__CHA23__UTIL__MC_STATUS</t>
  </si>
  <si>
    <t>CHA23</t>
  </si>
  <si>
    <t>0X69E2DC1D00</t>
  </si>
  <si>
    <t>0X43C810C00100886</t>
  </si>
  <si>
    <t>0X1C00C202043A000</t>
  </si>
  <si>
    <t>DPMB_SOCKET0__COMPUTE0__UNCORE__CHA__CHA24__UTIL__MC_STATUS</t>
  </si>
  <si>
    <t>CHA24</t>
  </si>
  <si>
    <t>0X695C096440</t>
  </si>
  <si>
    <t>0X800C21C00160086</t>
  </si>
  <si>
    <t>0X800C2500428884</t>
  </si>
  <si>
    <t>DPMB_SOCKET0__COMPUTE0__UNCORE__CHA__CHA27__UTIL__MC_STATUS</t>
  </si>
  <si>
    <t>CHA27</t>
  </si>
  <si>
    <t>0X6E5E039D00</t>
  </si>
  <si>
    <t>0XC08868000100086</t>
  </si>
  <si>
    <t>0X800C23C0408003</t>
  </si>
  <si>
    <t>WCiL</t>
  </si>
  <si>
    <t>DPMB_SOCKET0__COMPUTE0__UNCORE__CHA__CHA28__UTIL__MC_STATUS</t>
  </si>
  <si>
    <t>CHA28</t>
  </si>
  <si>
    <t>0XC35250F40</t>
  </si>
  <si>
    <t>0X103C810C00100886</t>
  </si>
  <si>
    <t>0X1C01222A0034003</t>
  </si>
  <si>
    <t>MEM3</t>
  </si>
  <si>
    <t>DPMB_SOCKET0__COMPUTE0__UNCORE__CHA__CHA29__UTIL__MC_STATUS</t>
  </si>
  <si>
    <t>CHA29</t>
  </si>
  <si>
    <t>0X720562B340</t>
  </si>
  <si>
    <t>0X1300C20400160086</t>
  </si>
  <si>
    <t>0X800C2900420884</t>
  </si>
  <si>
    <t>DPMB_SOCKET0__COMPUTE0__UNCORE__CHA__CHA2__UTIL__MC_STATUS</t>
  </si>
  <si>
    <t>CHA2</t>
  </si>
  <si>
    <t>0X75FC053500</t>
  </si>
  <si>
    <t>0X13C810400300886</t>
  </si>
  <si>
    <t>0X1C00C290040A040</t>
  </si>
  <si>
    <t>DPMB_SOCKET0__COMPUTE0__UNCORE__CHA__CHA30__UTIL__MC_STATUS</t>
  </si>
  <si>
    <t>CHA30</t>
  </si>
  <si>
    <t>0X6FB2D13700</t>
  </si>
  <si>
    <t>0X143C810C00100886</t>
  </si>
  <si>
    <t>0X1C00C2920406006</t>
  </si>
  <si>
    <t>DPMB_SOCKET0__COMPUTE0__UNCORE__CHA__CHA31__UTIL__MC_STATUS</t>
  </si>
  <si>
    <t>CHA31</t>
  </si>
  <si>
    <t>0X141DDC3BC0</t>
  </si>
  <si>
    <t>0X191C800400100886</t>
  </si>
  <si>
    <t>0X1C01C28E0030001</t>
  </si>
  <si>
    <t>MEM8</t>
  </si>
  <si>
    <t>DPMB_SOCKET0__COMPUTE0__UNCORE__CHA__CHA34__UTIL__MC_STATUS</t>
  </si>
  <si>
    <t>CHA34</t>
  </si>
  <si>
    <t>0X6F856A2D80</t>
  </si>
  <si>
    <t>0X1E3C812C00100886</t>
  </si>
  <si>
    <t>0X1C00C2420430002</t>
  </si>
  <si>
    <t>DPMB_SOCKET0__COMPUTE0__UNCORE__CHA__CHA35__UTIL__MC_STATUS</t>
  </si>
  <si>
    <t>CHA35</t>
  </si>
  <si>
    <t>0X61EE2CC00</t>
  </si>
  <si>
    <t>0X211C801800100886</t>
  </si>
  <si>
    <t>0X1C01C208002A005</t>
  </si>
  <si>
    <t>DPMB_SOCKET0__COMPUTE0__UNCORE__CHA__CHA37__UTIL__MC_STATUS</t>
  </si>
  <si>
    <t>CHA37</t>
  </si>
  <si>
    <t>0X7595108980</t>
  </si>
  <si>
    <t>0X153C810000100886</t>
  </si>
  <si>
    <t>0X1C00C22C0420000</t>
  </si>
  <si>
    <t>DPMB_SOCKET0__COMPUTE0__UNCORE__CHA__CHA38__UTIL__MC_STATUS</t>
  </si>
  <si>
    <t>CHA38</t>
  </si>
  <si>
    <t>0X67206C3700</t>
  </si>
  <si>
    <t>0X1A3C810800100886</t>
  </si>
  <si>
    <t>0X1C00C288042E043</t>
  </si>
  <si>
    <t>DPMB_SOCKET0__COMPUTE0__UNCORE__CHA__CHA3__UTIL__MC_STATUS</t>
  </si>
  <si>
    <t>CHA3</t>
  </si>
  <si>
    <t>0X6D17810340</t>
  </si>
  <si>
    <t>0X63C810800100886</t>
  </si>
  <si>
    <t>0X1C00C20A042A006</t>
  </si>
  <si>
    <t>DPMB_SOCKET0__COMPUTE0__UNCORE__CHA__CHA42__UTIL__MC_STATUS</t>
  </si>
  <si>
    <t>CHA42</t>
  </si>
  <si>
    <t>0X70F76C8D80</t>
  </si>
  <si>
    <t>0X2208868400100086</t>
  </si>
  <si>
    <t>0X800C27C040E009</t>
  </si>
  <si>
    <t>DPMB_SOCKET0__COMPUTE0__UNCORE__CHA__CHA43__UTIL__MC_STATUS</t>
  </si>
  <si>
    <t>CHA43</t>
  </si>
  <si>
    <t>0XDD47BA3C0</t>
  </si>
  <si>
    <t>0X253C810400100886</t>
  </si>
  <si>
    <t>0X1C01C2CC002A007</t>
  </si>
  <si>
    <t>DPMB_SOCKET0__COMPUTE0__UNCORE__CHA__CHA44__UTIL__MC_STATUS</t>
  </si>
  <si>
    <t>CHA44</t>
  </si>
  <si>
    <t>0X7E53AC3580</t>
  </si>
  <si>
    <t>0X163C810400100886</t>
  </si>
  <si>
    <t>0X1C00C21C042A044</t>
  </si>
  <si>
    <t>DPMB_SOCKET0__COMPUTE0__UNCORE__CHA__CHA45__UTIL__MC_STATUS</t>
  </si>
  <si>
    <t>CHA45</t>
  </si>
  <si>
    <t>0X6F7624C0C0</t>
  </si>
  <si>
    <t>0X1B3C810400100886</t>
  </si>
  <si>
    <t>0X1C00C2A60420049</t>
  </si>
  <si>
    <t>DPMB_SOCKET0__COMPUTE0__UNCORE__CHA__CHA48__UTIL__MC_STATUS</t>
  </si>
  <si>
    <t>CHA48</t>
  </si>
  <si>
    <t>0X70336C5640</t>
  </si>
  <si>
    <t>0X1F28862C00100886</t>
  </si>
  <si>
    <t>0X41000C2C00408000</t>
  </si>
  <si>
    <t>WCiLF</t>
  </si>
  <si>
    <t>DPMB_SOCKET0__COMPUTE0__UNCORE__CHA__CHA49__UTIL__MC_STATUS</t>
  </si>
  <si>
    <t>CHA49</t>
  </si>
  <si>
    <t>0X6DB184ABC0</t>
  </si>
  <si>
    <t>0X233C811800100886</t>
  </si>
  <si>
    <t>0X1C00C2A40432000</t>
  </si>
  <si>
    <t>DPMB_SOCKET0__COMPUTE0__UNCORE__CHA__CHA50__UTIL__MC_STATUS</t>
  </si>
  <si>
    <t>CHA50</t>
  </si>
  <si>
    <t>0X647F81EC00</t>
  </si>
  <si>
    <t>0X263C811400100886</t>
  </si>
  <si>
    <t>0X1C00C2100406000</t>
  </si>
  <si>
    <t>DPMB_SOCKET0__COMPUTE0__UNCORE__CHA__CHA51__UTIL__MC_STATUS</t>
  </si>
  <si>
    <t>0XDCB8344C0</t>
  </si>
  <si>
    <t>0X171C800800100886</t>
  </si>
  <si>
    <t>0X1C01E270002A000</t>
  </si>
  <si>
    <t>MEM9</t>
  </si>
  <si>
    <t>DPMB_SOCKET0__COMPUTE0__UNCORE__CHA__CHA52__UTIL__MC_STATUS</t>
  </si>
  <si>
    <t>CHA52</t>
  </si>
  <si>
    <t>0X7B8D6DAB00</t>
  </si>
  <si>
    <t>0X1C3C812800100886</t>
  </si>
  <si>
    <t>0X1C00C256042A002</t>
  </si>
  <si>
    <t>DPMB_SOCKET0__COMPUTE0__UNCORE__CHA__CHA55__UTIL__MC_STATUS</t>
  </si>
  <si>
    <t>CHA55</t>
  </si>
  <si>
    <t>0X6BEB534640</t>
  </si>
  <si>
    <t>0X2008868800100086</t>
  </si>
  <si>
    <t>0X800C2340422009</t>
  </si>
  <si>
    <t>DPMB_SOCKET0__COMPUTE0__UNCORE__CHA__CHA56__UTIL__MC_STATUS</t>
  </si>
  <si>
    <t>CHA56</t>
  </si>
  <si>
    <t>0X7BC51C6400</t>
  </si>
  <si>
    <t>0X240886A800100086</t>
  </si>
  <si>
    <t>0X800C2740404004</t>
  </si>
  <si>
    <t>DPMB_SOCKET0__COMPUTE0__UNCORE__CHA__CHA57__UTIL__MC_STATUS</t>
  </si>
  <si>
    <t>CHA57</t>
  </si>
  <si>
    <t>0X64086CD0C0</t>
  </si>
  <si>
    <t>0X273C810000100886</t>
  </si>
  <si>
    <t>0X1C00C2400414006</t>
  </si>
  <si>
    <t>DPMB_SOCKET0__COMPUTE0__UNCORE__CHA__CHA58__UTIL__MC_STATUS</t>
  </si>
  <si>
    <t>CHA58</t>
  </si>
  <si>
    <t>0X6072EC3B00</t>
  </si>
  <si>
    <t>0X183C811400100886</t>
  </si>
  <si>
    <t>0X1C00C23A0426001</t>
  </si>
  <si>
    <t>DPMB_SOCKET0__COMPUTE0__UNCORE__CHA__CHA59__UTIL__MC_STATUS</t>
  </si>
  <si>
    <t>CHA59</t>
  </si>
  <si>
    <t>0X6279CF7240</t>
  </si>
  <si>
    <t>0X1D00C20000160086</t>
  </si>
  <si>
    <t>0X800C2DE042688A</t>
  </si>
  <si>
    <t>DPMB_SOCKET0__COMPUTE0__UNCORE__CHA__CHA6__UTIL__MC_STATUS</t>
  </si>
  <si>
    <t>CHA6</t>
  </si>
  <si>
    <t>0X692BBE1340</t>
  </si>
  <si>
    <t>0X90CC30000100086</t>
  </si>
  <si>
    <t>0X800C29E0426882</t>
  </si>
  <si>
    <t>DPMB_SOCKET0__COMPUTE0__UNCORE__CHA__CHA7__UTIL__MC_STATUS</t>
  </si>
  <si>
    <t>CHA7</t>
  </si>
  <si>
    <t>0X7CA605BDC0</t>
  </si>
  <si>
    <t>0XD28868000100886</t>
  </si>
  <si>
    <t>0X41000C20C042A000</t>
  </si>
  <si>
    <t>DPMB_SOCKET0__COMPUTE0__UNCORE__CHA__CHA9__UTIL__MC_STATUS</t>
  </si>
  <si>
    <t>CHA9</t>
  </si>
  <si>
    <t>0X64D804A100</t>
  </si>
  <si>
    <t>0X23C812400100886</t>
  </si>
  <si>
    <t>0X1D00C2600406008</t>
  </si>
  <si>
    <t>DPMB_SOCKET0__COMPUTE1__UNCORE__CHA__CHA101__UTIL__MC_STATUS</t>
  </si>
  <si>
    <t>CHA101</t>
  </si>
  <si>
    <t>0X71ECA5D440</t>
  </si>
  <si>
    <t>0X472886B800100886</t>
  </si>
  <si>
    <t>0X41000C2C20428000</t>
  </si>
  <si>
    <t>DPMB_SOCKET0__COMPUTE1__UNCORE__CHA__CHA102__UTIL__MC_STATUS</t>
  </si>
  <si>
    <t>CHA102</t>
  </si>
  <si>
    <t>0X6461391D00</t>
  </si>
  <si>
    <t>0X4A08868C00100086</t>
  </si>
  <si>
    <t>0X800C22E0406006</t>
  </si>
  <si>
    <t>DPMB_SOCKET0__COMPUTE1__UNCORE__CHA__CHA103__UTIL__MC_STATUS</t>
  </si>
  <si>
    <t>CHA103</t>
  </si>
  <si>
    <t>0X6720658B40</t>
  </si>
  <si>
    <t>0X4D3C810000100886</t>
  </si>
  <si>
    <t>0X1C40C280043A066</t>
  </si>
  <si>
    <t>DPMB_SOCKET0__COMPUTE1__UNCORE__CHA__CHA104__UTIL__MC_STATUS</t>
  </si>
  <si>
    <t>CHA104</t>
  </si>
  <si>
    <t>0X7E04E43B40</t>
  </si>
  <si>
    <t>0X3E0018F000164086</t>
  </si>
  <si>
    <t>0X800C32C0432000</t>
  </si>
  <si>
    <t>LLCVictim</t>
  </si>
  <si>
    <t>DPMB_SOCKET0__COMPUTE1__UNCORE__CHA__CHA105__UTIL__MC_STATUS</t>
  </si>
  <si>
    <t>CHA105</t>
  </si>
  <si>
    <t>0X68E2239740</t>
  </si>
  <si>
    <t>0X430CC31800100086</t>
  </si>
  <si>
    <t>0X800C2D80416804</t>
  </si>
  <si>
    <t>DPMB_SOCKET0__COMPUTE1__UNCORE__CHA__CHA108__UTIL__MC_STATUS</t>
  </si>
  <si>
    <t>CHA108</t>
  </si>
  <si>
    <t>0X68E09D4280</t>
  </si>
  <si>
    <t>0X4808869C00100086</t>
  </si>
  <si>
    <t>0X800C2AE0402004</t>
  </si>
  <si>
    <t>DPMB_SOCKET0__COMPUTE1__UNCORE__CHA__CHA109__UTIL__MC_STATUS</t>
  </si>
  <si>
    <t>CHA109</t>
  </si>
  <si>
    <t>0X7BC51C6E80</t>
  </si>
  <si>
    <t>0X4B3C810400100886</t>
  </si>
  <si>
    <t>0X1C00C2740406004</t>
  </si>
  <si>
    <t>DPMB_SOCKET0__COMPUTE1__UNCORE__CHA__CHA110__UTIL__MC_STATUS</t>
  </si>
  <si>
    <t>CHA110</t>
  </si>
  <si>
    <t>0X61C296B500</t>
  </si>
  <si>
    <t>0X4E1C803400100886</t>
  </si>
  <si>
    <t>0X1C00C2D0042C002</t>
  </si>
  <si>
    <t>DPMB_SOCKET0__COMPUTE1__UNCORE__CHA__CHA111__UTIL__MC_STATUS</t>
  </si>
  <si>
    <t>CHA111</t>
  </si>
  <si>
    <t>0X55198B1C0</t>
  </si>
  <si>
    <t>0X3F1C803800100886</t>
  </si>
  <si>
    <t>0X1C01A2BA0022002</t>
  </si>
  <si>
    <t>MEM7</t>
  </si>
  <si>
    <t>DPMB_SOCKET0__COMPUTE1__UNCORE__CHA__CHA112__UTIL__MC_STATUS</t>
  </si>
  <si>
    <t>CHA112</t>
  </si>
  <si>
    <t>0X649DFF3740</t>
  </si>
  <si>
    <t>0X4400C21800160086</t>
  </si>
  <si>
    <t>0X800C2320432885</t>
  </si>
  <si>
    <t>DPMB_SOCKET0__COMPUTE1__UNCORE__CHA__CHA115__UTIL__MC_STATUS</t>
  </si>
  <si>
    <t>CHA115</t>
  </si>
  <si>
    <t>0X7F376EEE80</t>
  </si>
  <si>
    <t>0X493C814800100886</t>
  </si>
  <si>
    <t>0X1C00C2B2042A005</t>
  </si>
  <si>
    <t>DPMB_SOCKET0__COMPUTE1__UNCORE__CHA__CHA116__UTIL__MC_STATUS</t>
  </si>
  <si>
    <t>CHA116</t>
  </si>
  <si>
    <t>0X76828789C0</t>
  </si>
  <si>
    <t>0X4C3C811800100886</t>
  </si>
  <si>
    <t>0X1C00C2180408042</t>
  </si>
  <si>
    <t>DPMB_SOCKET0__COMPUTE1__UNCORE__CHA__CHA117__UTIL__MC_STATUS</t>
  </si>
  <si>
    <t>CHA117</t>
  </si>
  <si>
    <t>0X67B1839340</t>
  </si>
  <si>
    <t>0X4F0018F00016F086</t>
  </si>
  <si>
    <t>0X800C32C0400000</t>
  </si>
  <si>
    <t>DPMB_SOCKET0__COMPUTE1__UNCORE__CHA__CHA118__UTIL__MC_STATUS</t>
  </si>
  <si>
    <t>CHA118</t>
  </si>
  <si>
    <t>0X77C5827C40</t>
  </si>
  <si>
    <t>0X402886A400100886</t>
  </si>
  <si>
    <t>0X41000C23A042C000</t>
  </si>
  <si>
    <t>DPMB_SOCKET0__COMPUTE1__UNCORE__CHA__CHA119__UTIL__MC_STATUS</t>
  </si>
  <si>
    <t>CHA119</t>
  </si>
  <si>
    <t>0X79DE6EB5C0</t>
  </si>
  <si>
    <t>0X453C810000100886</t>
  </si>
  <si>
    <t>0X1C00C2E00424001</t>
  </si>
  <si>
    <t>DPMB_SOCKET0__COMPUTE1__UNCORE__CHA__CHA61__UTIL__MC_STATUS</t>
  </si>
  <si>
    <t>CHA61</t>
  </si>
  <si>
    <t>0X6D30B86F00</t>
  </si>
  <si>
    <t>0X2C1C800000100886</t>
  </si>
  <si>
    <t>0X1C00C25A0436001</t>
  </si>
  <si>
    <t>DPMB_SOCKET0__COMPUTE1__UNCORE__CHA__CHA62__UTIL__MC_STATUS</t>
  </si>
  <si>
    <t>CHA62</t>
  </si>
  <si>
    <t>0X6FED5F3140</t>
  </si>
  <si>
    <t>0X283C812800100886</t>
  </si>
  <si>
    <t>0X1C00C2B8040C001</t>
  </si>
  <si>
    <t>DPMB_SOCKET0__COMPUTE1__UNCORE__CHA__CHA66__UTIL__MC_STATUS</t>
  </si>
  <si>
    <t>CHA66</t>
  </si>
  <si>
    <t>0X7595108F40</t>
  </si>
  <si>
    <t>0X303C810000100886</t>
  </si>
  <si>
    <t>0X1C00C22C0426002</t>
  </si>
  <si>
    <t>DPMB_SOCKET0__COMPUTE1__UNCORE__CHA__CHA67__UTIL__MC_STATUS</t>
  </si>
  <si>
    <t>CHA67</t>
  </si>
  <si>
    <t>0X6FED5F3000</t>
  </si>
  <si>
    <t>0X343C810000100886</t>
  </si>
  <si>
    <t>0X1C00C2B80408000</t>
  </si>
  <si>
    <t>DPMB_SOCKET0__COMPUTE1__UNCORE__CHA__CHA68__UTIL__MC_STATUS</t>
  </si>
  <si>
    <t>CHA68</t>
  </si>
  <si>
    <t>0X79616EEA00</t>
  </si>
  <si>
    <t>0X3828868400100886</t>
  </si>
  <si>
    <t>0X41000C2AC0434000</t>
  </si>
  <si>
    <t>DPMB_SOCKET0__COMPUTE1__UNCORE__CHA__CHA69__UTIL__MC_STATUS</t>
  </si>
  <si>
    <t>CHA69</t>
  </si>
  <si>
    <t>0X79616EEAC0</t>
  </si>
  <si>
    <t>0X2928868000100886</t>
  </si>
  <si>
    <t>0X41000C2AC042A000</t>
  </si>
  <si>
    <t>DPMB_SOCKET0__COMPUTE1__UNCORE__CHA__CHA70__UTIL__MC_STATUS</t>
  </si>
  <si>
    <t>CHA70</t>
  </si>
  <si>
    <t>0X67206C3940</t>
  </si>
  <si>
    <t>0X2D3C810000100886</t>
  </si>
  <si>
    <t>0X1C00C2880432041</t>
  </si>
  <si>
    <t>DPMB_SOCKET0__COMPUTE1__UNCORE__CHA__CHA73__UTIL__MC_STATUS</t>
  </si>
  <si>
    <t>CHA73</t>
  </si>
  <si>
    <t>0X64DC6E7140</t>
  </si>
  <si>
    <t>0X3100EF0000100086</t>
  </si>
  <si>
    <t>0X9C842638120060</t>
  </si>
  <si>
    <t>SplitLock</t>
  </si>
  <si>
    <t>SPECIAL</t>
  </si>
  <si>
    <t>DPMB_SOCKET0__COMPUTE1__UNCORE__CHA__CHA74__UTIL__MC_STATUS</t>
  </si>
  <si>
    <t>CHA74</t>
  </si>
  <si>
    <t>0X6DC7A0BF80</t>
  </si>
  <si>
    <t>0X353C810C00100886</t>
  </si>
  <si>
    <t>0X1C00C26E0424003</t>
  </si>
  <si>
    <t>DPMB_SOCKET0__COMPUTE1__UNCORE__CHA__CHA75__UTIL__MC_STATUS</t>
  </si>
  <si>
    <t>CHA75</t>
  </si>
  <si>
    <t>0X79F4BF4080</t>
  </si>
  <si>
    <t>0X393C810400100886</t>
  </si>
  <si>
    <t>0X1C00C236042E001</t>
  </si>
  <si>
    <t>DPMB_SOCKET0__COMPUTE1__UNCORE__CHA__CHA76__UTIL__MC_STATUS</t>
  </si>
  <si>
    <t>CHA76</t>
  </si>
  <si>
    <t>0X7B672A7EC0</t>
  </si>
  <si>
    <t>0X2A1C801000100886</t>
  </si>
  <si>
    <t>0X1C00C2160422009</t>
  </si>
  <si>
    <t>DPMB_SOCKET0__COMPUTE1__UNCORE__CHA__CHA77__UTIL__MC_STATUS</t>
  </si>
  <si>
    <t>CHA77</t>
  </si>
  <si>
    <t>0X74E7825E00</t>
  </si>
  <si>
    <t>0X2E00C21000160086</t>
  </si>
  <si>
    <t>0X800C2DA0430885</t>
  </si>
  <si>
    <t>DPMB_SOCKET0__COMPUTE1__UNCORE__CHA__CHA80__UTIL__MC_STATUS</t>
  </si>
  <si>
    <t>CHA80</t>
  </si>
  <si>
    <t>0X6691210780</t>
  </si>
  <si>
    <t>0X3200C22800160086</t>
  </si>
  <si>
    <t>0X800C22A0420880</t>
  </si>
  <si>
    <t>DPMB_SOCKET0__COMPUTE1__UNCORE__CHA__CHA81__UTIL__MC_STATUS</t>
  </si>
  <si>
    <t>CHA81</t>
  </si>
  <si>
    <t>0X6781F162C0</t>
  </si>
  <si>
    <t>0X363C810C00100886</t>
  </si>
  <si>
    <t>0X1C00C23C040E042</t>
  </si>
  <si>
    <t>DPMB_SOCKET0__COMPUTE1__UNCORE__CHA__CHA82__UTIL__MC_STATUS</t>
  </si>
  <si>
    <t>CHA82</t>
  </si>
  <si>
    <t>0X71C46CB140</t>
  </si>
  <si>
    <t>0X3A3C810C00100886</t>
  </si>
  <si>
    <t>0X1C00C2740402008</t>
  </si>
  <si>
    <t>DPMB_SOCKET0__COMPUTE1__UNCORE__CHA__CHA83__UTIL__MC_STATUS</t>
  </si>
  <si>
    <t>0X704639FEC0</t>
  </si>
  <si>
    <t>0X2B3C810000100886</t>
  </si>
  <si>
    <t>0X1C00C2E60404001</t>
  </si>
  <si>
    <t>DPMB_SOCKET0__COMPUTE1__UNCORE__CHA__CHA84__UTIL__MC_STATUS</t>
  </si>
  <si>
    <t>CHA84</t>
  </si>
  <si>
    <t>0X69FD00F480</t>
  </si>
  <si>
    <t>0X2F3C817800100886</t>
  </si>
  <si>
    <t>0X1C00C20E0402041</t>
  </si>
  <si>
    <t>DPMB_SOCKET0__COMPUTE1__UNCORE__CHA__CHA87__UTIL__MC_STATUS</t>
  </si>
  <si>
    <t>CHA87</t>
  </si>
  <si>
    <t>0X61BA6D4AC0</t>
  </si>
  <si>
    <t>0X333C810400100886</t>
  </si>
  <si>
    <t>0X1C00C2EE0428000</t>
  </si>
  <si>
    <t>DPMB_SOCKET0__COMPUTE1__UNCORE__CHA__CHA88__UTIL__MC_STATUS</t>
  </si>
  <si>
    <t>CHA88</t>
  </si>
  <si>
    <t>0X79DE6EB0C0</t>
  </si>
  <si>
    <t>0X373C813800100886</t>
  </si>
  <si>
    <t>0X1C40C2E00420060</t>
  </si>
  <si>
    <t>DPMB_SOCKET0__COMPUTE1__UNCORE__CHA__CHA89__UTIL__MC_STATUS</t>
  </si>
  <si>
    <t>CHA89</t>
  </si>
  <si>
    <t>0X7B8D6DAC00</t>
  </si>
  <si>
    <t>0X3B3C811000100886</t>
  </si>
  <si>
    <t>0X1C00C256042C040</t>
  </si>
  <si>
    <t>DPMB_SOCKET0__COMPUTE1__UNCORE__CHA__CHA90__UTIL__MC_STATUS</t>
  </si>
  <si>
    <t>CHA90</t>
  </si>
  <si>
    <t>0X7CB90E1DC0</t>
  </si>
  <si>
    <t>0X3C3C810800100886</t>
  </si>
  <si>
    <t>0X1C00C2A60426003</t>
  </si>
  <si>
    <t>DPMB_SOCKET0__COMPUTE1__UNCORE__CHA__CHA91__UTIL__MC_STATUS</t>
  </si>
  <si>
    <t>CHA91</t>
  </si>
  <si>
    <t>0X759CB79340</t>
  </si>
  <si>
    <t>0X413C810400100886</t>
  </si>
  <si>
    <t>0X1C00C20A0408005</t>
  </si>
  <si>
    <t>DPMB_SOCKET0__COMPUTE1__UNCORE__CHA__CHA94__UTIL__MC_STATUS</t>
  </si>
  <si>
    <t>CHA94</t>
  </si>
  <si>
    <t>0X7B8D6DA740</t>
  </si>
  <si>
    <t>0X463C810800100886</t>
  </si>
  <si>
    <t>0X1C00C256042E001</t>
  </si>
  <si>
    <t>DPMB_SOCKET0__COMPUTE1__UNCORE__CHA__CHA97__UTIL__MC_STATUS</t>
  </si>
  <si>
    <t>CHA97</t>
  </si>
  <si>
    <t>0X7143189D00</t>
  </si>
  <si>
    <t>0X3D3C814800100886</t>
  </si>
  <si>
    <t>0X1C00C278042A002</t>
  </si>
  <si>
    <t>DPMB_SOCKET0__COMPUTE1__UNCORE__CHA__CHA98__UTIL__MC_STATUS</t>
  </si>
  <si>
    <t>CHA98</t>
  </si>
  <si>
    <t>0X6E5E039F40</t>
  </si>
  <si>
    <t>0X4208869800100086</t>
  </si>
  <si>
    <t>0X800C23C040C006</t>
  </si>
  <si>
    <t>DPMB_SOCKET0__COMPUTE2__UNCORE__CHA__CHA121__UTIL__MC_STATUS</t>
  </si>
  <si>
    <t>CHA121</t>
  </si>
  <si>
    <t>0X70F76C8FC0</t>
  </si>
  <si>
    <t>0X540886B400100086</t>
  </si>
  <si>
    <t>0X800C27C0400001</t>
  </si>
  <si>
    <t>DPMB_SOCKET0__COMPUTE2__UNCORE__CHA__CHA122__UTIL__MC_STATUS</t>
  </si>
  <si>
    <t>CHA122</t>
  </si>
  <si>
    <t>0X7D807B60C0</t>
  </si>
  <si>
    <t>0X503C810C00100886</t>
  </si>
  <si>
    <t>0X1C00C2200402000</t>
  </si>
  <si>
    <t>DPMB_SOCKET0__COMPUTE2__UNCORE__CHA__CHA126__UTIL__MC_STATUS</t>
  </si>
  <si>
    <t>CHA126</t>
  </si>
  <si>
    <t>0X720562B7C0</t>
  </si>
  <si>
    <t>0X5800C20000160086</t>
  </si>
  <si>
    <t>0X800C290042C885</t>
  </si>
  <si>
    <t>DPMB_SOCKET0__COMPUTE2__UNCORE__CHA__CHA127__UTIL__MC_STATUS</t>
  </si>
  <si>
    <t>CHA127</t>
  </si>
  <si>
    <t>0X7AEA2E5A40</t>
  </si>
  <si>
    <t>0X5C0CC34000100086</t>
  </si>
  <si>
    <t>0X800C2120400804</t>
  </si>
  <si>
    <t>DPMB_SOCKET0__COMPUTE2__UNCORE__CHA__CHA128__UTIL__MC_STATUS</t>
  </si>
  <si>
    <t>CHA128</t>
  </si>
  <si>
    <t>0XDCB834640</t>
  </si>
  <si>
    <t>0X601C800800100886</t>
  </si>
  <si>
    <t>0X1C0162700020001</t>
  </si>
  <si>
    <t>MEM5</t>
  </si>
  <si>
    <t>DPMB_SOCKET0__COMPUTE2__UNCORE__CHA__CHA129__UTIL__MC_STATUS</t>
  </si>
  <si>
    <t>CHA129</t>
  </si>
  <si>
    <t>0X61DD919D80</t>
  </si>
  <si>
    <t>0X513C812400100886</t>
  </si>
  <si>
    <t>0X1C00C27C0412002</t>
  </si>
  <si>
    <t>DPMB_SOCKET0__COMPUTE2__UNCORE__CHA__CHA130__UTIL__MC_STATUS</t>
  </si>
  <si>
    <t>CHA130</t>
  </si>
  <si>
    <t>0X67206C3580</t>
  </si>
  <si>
    <t>0X553C810400100886</t>
  </si>
  <si>
    <t>0X1C00C288042C044</t>
  </si>
  <si>
    <t>DPMB_SOCKET0__COMPUTE2__UNCORE__CHA__CHA133__UTIL__MC_STATUS</t>
  </si>
  <si>
    <t>CHA133</t>
  </si>
  <si>
    <t>0X7C714237C0</t>
  </si>
  <si>
    <t>0X593C811000100886</t>
  </si>
  <si>
    <t>0X1C00C21A0422008</t>
  </si>
  <si>
    <t>0X70F76C8F00</t>
  </si>
  <si>
    <t>0X5D0886B000100086</t>
  </si>
  <si>
    <t>0X800C27C040E004</t>
  </si>
  <si>
    <t>DPMB_SOCKET0__COMPUTE2__UNCORE__CHA__CHA136__UTIL__MC_STATUS</t>
  </si>
  <si>
    <t>CHA136</t>
  </si>
  <si>
    <t>0X61C296BB00</t>
  </si>
  <si>
    <t>0X521C800400100886</t>
  </si>
  <si>
    <t>0X1C00C2D00424001</t>
  </si>
  <si>
    <t>DPMB_SOCKET0__COMPUTE2__UNCORE__CHA__CHA137__UTIL__MC_STATUS</t>
  </si>
  <si>
    <t>CHA137</t>
  </si>
  <si>
    <t>0X783CCEF800</t>
  </si>
  <si>
    <t>0X563C814400100886</t>
  </si>
  <si>
    <t>0X1C00C2980420002</t>
  </si>
  <si>
    <t>DPMB_SOCKET0__COMPUTE2__UNCORE__CHA__CHA140__UTIL__MC_STATUS</t>
  </si>
  <si>
    <t>CHA140</t>
  </si>
  <si>
    <t>0X79616EE640</t>
  </si>
  <si>
    <t>0X5A0886B000100086</t>
  </si>
  <si>
    <t>0X800C2AC042A000</t>
  </si>
  <si>
    <t>DPMB_SOCKET0__COMPUTE2__UNCORE__CHA__CHA141__UTIL__MC_STATUS</t>
  </si>
  <si>
    <t>CHA141</t>
  </si>
  <si>
    <t>0X6A83F51140</t>
  </si>
  <si>
    <t>0X5E00EF0800100086</t>
  </si>
  <si>
    <t>0X9C842BD8120060</t>
  </si>
  <si>
    <t>DPMB_SOCKET0__COMPUTE2__UNCORE__CHA__CHA142__UTIL__MC_STATUS</t>
  </si>
  <si>
    <t>CHA142</t>
  </si>
  <si>
    <t>0XC424A3BC0</t>
  </si>
  <si>
    <t>0X623C810C00100886</t>
  </si>
  <si>
    <t>0X1C0142AC0032001</t>
  </si>
  <si>
    <t>DPMB_SOCKET0__COMPUTE2__UNCORE__CHA__CHA143__UTIL__MC_STATUS</t>
  </si>
  <si>
    <t>CHA143</t>
  </si>
  <si>
    <t>0XFE000000000B1146</t>
  </si>
  <si>
    <t>0X1BBD415E40</t>
  </si>
  <si>
    <t>0X5302026E02100086</t>
  </si>
  <si>
    <t>0X1C0143CA0013800</t>
  </si>
  <si>
    <t>KWbIDataPtl</t>
  </si>
  <si>
    <t>DPMB_SOCKET0__COMPUTE2__UNCORE__CHA__CHA144__UTIL__MC_STATUS</t>
  </si>
  <si>
    <t>CHA144</t>
  </si>
  <si>
    <t>0X7AE850BFC0</t>
  </si>
  <si>
    <t>0X573C810000100886</t>
  </si>
  <si>
    <t>0X1C00C2920420000</t>
  </si>
  <si>
    <t>DPMB_SOCKET0__COMPUTE2__UNCORE__CHA__CHA147__UTIL__MC_STATUS</t>
  </si>
  <si>
    <t>CHA147</t>
  </si>
  <si>
    <t>0X7D807B6080</t>
  </si>
  <si>
    <t>0X5B3C810400100886</t>
  </si>
  <si>
    <t>0X1C00C2200400000</t>
  </si>
  <si>
    <t>DPMB_SOCKET0__COMPUTE2__UNCORE__CHA__CHA148__UTIL__MC_STATUS</t>
  </si>
  <si>
    <t>CHA148</t>
  </si>
  <si>
    <t>0X6BEB5344C0</t>
  </si>
  <si>
    <t>0X5F08869800100086</t>
  </si>
  <si>
    <t>0X800C234042000A</t>
  </si>
  <si>
    <t>DPMB_SOCKET0__COMPUTE2__UNCORE__CHA__CHA149__UTIL__MC_STATUS</t>
  </si>
  <si>
    <t>CHA149</t>
  </si>
  <si>
    <t>0X1A457D1BC0</t>
  </si>
  <si>
    <t>0X633C810400100886</t>
  </si>
  <si>
    <t>0X1C0142EC0028000</t>
  </si>
  <si>
    <t>DPMB_SOCKET0__COMPUTE2__UNCORE__CHA__CHA150__UTIL__MC_STATUS</t>
  </si>
  <si>
    <t>CHA150</t>
  </si>
  <si>
    <t>0XC424A3D40</t>
  </si>
  <si>
    <t>0X643C811800100886</t>
  </si>
  <si>
    <t>0X1C0202AC0020001</t>
  </si>
  <si>
    <t>MEM10</t>
  </si>
  <si>
    <t>DPMB_SOCKET0__COMPUTE2__UNCORE__CHA__CHA151__UTIL__MC_STATUS</t>
  </si>
  <si>
    <t>CHA151</t>
  </si>
  <si>
    <t>0X6A2A56E200</t>
  </si>
  <si>
    <t>0X683C810800100886</t>
  </si>
  <si>
    <t>0X1C00C2480408002</t>
  </si>
  <si>
    <t>DPMB_SOCKET0__COMPUTE2__UNCORE__CHA__CHA154__UTIL__MC_STATUS</t>
  </si>
  <si>
    <t>CHA154</t>
  </si>
  <si>
    <t>0X71ECA5D2C0</t>
  </si>
  <si>
    <t>0X6D2886A000100886</t>
  </si>
  <si>
    <t>0X41000C2C2042C000</t>
  </si>
  <si>
    <t>DPMB_SOCKET0__COMPUTE2__UNCORE__CHA__CHA156__UTIL__MC_STATUS</t>
  </si>
  <si>
    <t>CHA156</t>
  </si>
  <si>
    <t>0X6CB61AF480</t>
  </si>
  <si>
    <t>0X741C800800100886</t>
  </si>
  <si>
    <t>0X1C00C2DE0424025</t>
  </si>
  <si>
    <t>DPMB_SOCKET0__COMPUTE2__UNCORE__CHA__CHA161__UTIL__MC_STATUS</t>
  </si>
  <si>
    <t>CHA161</t>
  </si>
  <si>
    <t>0X6D30B86200</t>
  </si>
  <si>
    <t>0X6E1C801000100886</t>
  </si>
  <si>
    <t>0X1C00C25A0430004</t>
  </si>
  <si>
    <t>DPMB_SOCKET0__COMPUTE2__UNCORE__CHA__CHA163__UTIL__MC_STATUS</t>
  </si>
  <si>
    <t>CHA163</t>
  </si>
  <si>
    <t>0X61BA6D4880</t>
  </si>
  <si>
    <t>0X753C812000100886</t>
  </si>
  <si>
    <t>0X1C00C2EE0426047</t>
  </si>
  <si>
    <t>DPMB_SOCKET0__COMPUTE2__UNCORE__CHA__CHA164__UTIL__MC_STATUS</t>
  </si>
  <si>
    <t>CHA164</t>
  </si>
  <si>
    <t>0X660FC6FA00</t>
  </si>
  <si>
    <t>0X650018F000165086</t>
  </si>
  <si>
    <t>0X800C32C041A880</t>
  </si>
  <si>
    <t>DPMB_SOCKET0__COMPUTE2__UNCORE__CHA__CHA165__UTIL__MC_STATUS</t>
  </si>
  <si>
    <t>CHA165</t>
  </si>
  <si>
    <t>0X6C7816A380</t>
  </si>
  <si>
    <t>0X6A3C810400100886</t>
  </si>
  <si>
    <t>0X1C00C2D0041E006</t>
  </si>
  <si>
    <t>DPMB_SOCKET0__COMPUTE2__UNCORE__CHA__CHA168__UTIL__MC_STATUS</t>
  </si>
  <si>
    <t>CHA168</t>
  </si>
  <si>
    <t>0X7B8D6DAF80</t>
  </si>
  <si>
    <t>0X6F3C811800100886</t>
  </si>
  <si>
    <t>0X1C00C2560420000</t>
  </si>
  <si>
    <t>DPMB_SOCKET0__COMPUTE2__UNCORE__CHA__CHA169__UTIL__MC_STATUS</t>
  </si>
  <si>
    <t>CHA169</t>
  </si>
  <si>
    <t>0X755D635EC0</t>
  </si>
  <si>
    <t>0X720CC36400100086</t>
  </si>
  <si>
    <t>0X800C2BA0418802</t>
  </si>
  <si>
    <t>DPMB_SOCKET0__COMPUTE2__UNCORE__CHA__CHA170__UTIL__MC_STATUS</t>
  </si>
  <si>
    <t>CHA170</t>
  </si>
  <si>
    <t>0X709286DAC0</t>
  </si>
  <si>
    <t>0X763C810000100886</t>
  </si>
  <si>
    <t>0X1C00C2840414001</t>
  </si>
  <si>
    <t>DPMB_SOCKET0__COMPUTE2__UNCORE__CHA__CHA171__UTIL__MC_STATUS</t>
  </si>
  <si>
    <t>CHA171</t>
  </si>
  <si>
    <t>0XAB5CDB140</t>
  </si>
  <si>
    <t>0X661C800800100886</t>
  </si>
  <si>
    <t>0X1C0202760034046</t>
  </si>
  <si>
    <t>DPMB_SOCKET0__COMPUTE2__UNCORE__CHA__CHA172__UTIL__MC_STATUS</t>
  </si>
  <si>
    <t>CHA172</t>
  </si>
  <si>
    <t>0X6072EC3F80</t>
  </si>
  <si>
    <t>0X6B3C810400100886</t>
  </si>
  <si>
    <t>0X1C00C23A0430006</t>
  </si>
  <si>
    <t>DPMB_SOCKET0__COMPUTE2__UNCORE__CHA__CHA175__UTIL__MC_STATUS</t>
  </si>
  <si>
    <t>CHA175</t>
  </si>
  <si>
    <t>0X62EF534480</t>
  </si>
  <si>
    <t>0X7000C22000160086</t>
  </si>
  <si>
    <t>0X800C2B0042E881</t>
  </si>
  <si>
    <t>DPMB_SOCKET0__COMPUTE2__UNCORE__CHA__CHA176__UTIL__MC_STATUS</t>
  </si>
  <si>
    <t>CHA176</t>
  </si>
  <si>
    <t>0X71BCC5D480</t>
  </si>
  <si>
    <t>0X733C810C00100886</t>
  </si>
  <si>
    <t>0X1C00C2600424042</t>
  </si>
  <si>
    <t>DPMB_SOCKET0__COMPUTE2__UNCORE__CHA__CHA177__UTIL__MC_STATUS</t>
  </si>
  <si>
    <t>CHA177</t>
  </si>
  <si>
    <t>0X6D6C190140</t>
  </si>
  <si>
    <t>0X7708868400100086</t>
  </si>
  <si>
    <t>0X800C2DC0408005</t>
  </si>
  <si>
    <t>DPMB_SOCKET0__COMPUTE2__UNCORE__CHA__CHA178__UTIL__MC_STATUS</t>
  </si>
  <si>
    <t>CHA178</t>
  </si>
  <si>
    <t>0X709286DA00</t>
  </si>
  <si>
    <t>0X673C810C00100886</t>
  </si>
  <si>
    <t>0X1C00C2840416002</t>
  </si>
  <si>
    <t>DPMB_SOCKET0__COMPUTE2__UNCORE__CHA__CHA179__UTIL__MC_STATUS</t>
  </si>
  <si>
    <t>CHA179</t>
  </si>
  <si>
    <t>0X6FED5F3380</t>
  </si>
  <si>
    <t>0X6C3C811000100886</t>
  </si>
  <si>
    <t>0X1C00C2B80402003</t>
  </si>
  <si>
    <t>DPMB_SOCKET1__COMPUTE0__UNCORE__CHA__CHA0__UTIL__MC_STATUS</t>
  </si>
  <si>
    <t>DPMB_SOCKET1__COMPUTE0__UNCORE__CHA__CHA10__UTIL__MC_STATUS</t>
  </si>
  <si>
    <t>CHA10</t>
  </si>
  <si>
    <t>0X2AA2EEA80</t>
  </si>
  <si>
    <t>0X700C21C00160086</t>
  </si>
  <si>
    <t>0X80122520024885</t>
  </si>
  <si>
    <t>DPMB_SOCKET1__COMPUTE0__UNCORE__CHA__CHA13__UTIL__MC_STATUS</t>
  </si>
  <si>
    <t>DPMB_SOCKET1__COMPUTE0__UNCORE__CHA__CHA14__UTIL__MC_STATUS</t>
  </si>
  <si>
    <t>DPMB_SOCKET1__COMPUTE0__UNCORE__CHA__CHA17__UTIL__MC_STATUS</t>
  </si>
  <si>
    <t>DPMB_SOCKET1__COMPUTE0__UNCORE__CHA__CHA1__UTIL__MC_STATUS</t>
  </si>
  <si>
    <t>DPMB_SOCKET1__COMPUTE0__UNCORE__CHA__CHA23__UTIL__MC_STATUS</t>
  </si>
  <si>
    <t>DPMB_SOCKET1__COMPUTE0__UNCORE__CHA__CHA24__UTIL__MC_STATUS</t>
  </si>
  <si>
    <t>DPMB_SOCKET1__COMPUTE0__UNCORE__CHA__CHA28__UTIL__MC_STATUS</t>
  </si>
  <si>
    <t>DPMB_SOCKET1__COMPUTE0__UNCORE__CHA__CHA29__UTIL__MC_STATUS</t>
  </si>
  <si>
    <t>DPMB_SOCKET1__COMPUTE0__UNCORE__CHA__CHA2__UTIL__MC_STATUS</t>
  </si>
  <si>
    <t>DPMB_SOCKET1__COMPUTE0__UNCORE__CHA__CHA30__UTIL__MC_STATUS</t>
  </si>
  <si>
    <t>DPMB_SOCKET1__COMPUTE0__UNCORE__CHA__CHA34__UTIL__MC_STATUS</t>
  </si>
  <si>
    <t>DPMB_SOCKET1__COMPUTE0__UNCORE__CHA__CHA41__UTIL__MC_STATUS</t>
  </si>
  <si>
    <t>CHA41</t>
  </si>
  <si>
    <t>0XD3E24F4C0</t>
  </si>
  <si>
    <t>0X1D0CC31800100086</t>
  </si>
  <si>
    <t>0X801E2540026887</t>
  </si>
  <si>
    <t>DPMB_SOCKET1__COMPUTE0__UNCORE__CHA__CHA42__UTIL__MC_STATUS</t>
  </si>
  <si>
    <t>DPMB_SOCKET1__COMPUTE0__UNCORE__CHA__CHA43__UTIL__MC_STATUS</t>
  </si>
  <si>
    <t>DPMB_SOCKET1__COMPUTE0__UNCORE__CHA__CHA44__UTIL__MC_STATUS</t>
  </si>
  <si>
    <t>DPMB_SOCKET1__COMPUTE0__UNCORE__CHA__CHA45__UTIL__MC_STATUS</t>
  </si>
  <si>
    <t>DPMB_SOCKET1__COMPUTE0__UNCORE__CHA__CHA48__UTIL__MC_STATUS</t>
  </si>
  <si>
    <t>DPMB_SOCKET1__COMPUTE0__UNCORE__CHA__CHA49__UTIL__MC_STATUS</t>
  </si>
  <si>
    <t>DPMB_SOCKET1__COMPUTE0__UNCORE__CHA__CHA52__UTIL__MC_STATUS</t>
  </si>
  <si>
    <t>DPMB_SOCKET1__COMPUTE0__UNCORE__CHA__CHA55__UTIL__MC_STATUS</t>
  </si>
  <si>
    <t>DPMB_SOCKET1__COMPUTE0__UNCORE__CHA__CHA56__UTIL__MC_STATUS</t>
  </si>
  <si>
    <t>DPMB_SOCKET1__COMPUTE0__UNCORE__CHA__CHA59__UTIL__MC_STATUS</t>
  </si>
  <si>
    <t>DPMB_SOCKET1__COMPUTE0__UNCORE__CHA__CHA8__UTIL__MC_STATUS</t>
  </si>
  <si>
    <t>CHA8</t>
  </si>
  <si>
    <t>0X1868B2F140</t>
  </si>
  <si>
    <t>0X1100EF1400100086</t>
  </si>
  <si>
    <t>0X9C842238520060</t>
  </si>
  <si>
    <t>DPMB_SOCKET1__COMPUTE0__UNCORE__CHA__CHA9__UTIL__MC_STATUS</t>
  </si>
  <si>
    <t>DPMB_SOCKET1__COMPUTE1__UNCORE__CHA__CHA104__UTIL__MC_STATUS</t>
  </si>
  <si>
    <t>DPMB_SOCKET1__COMPUTE1__UNCORE__CHA__CHA105__UTIL__MC_STATUS</t>
  </si>
  <si>
    <t>DPMB_SOCKET1__COMPUTE1__UNCORE__CHA__CHA108__UTIL__MC_STATUS</t>
  </si>
  <si>
    <t>DPMB_SOCKET1__COMPUTE1__UNCORE__CHA__CHA109__UTIL__MC_STATUS</t>
  </si>
  <si>
    <t>DPMB_SOCKET1__COMPUTE1__UNCORE__CHA__CHA110__UTIL__MC_STATUS</t>
  </si>
  <si>
    <t>DPMB_SOCKET1__COMPUTE1__UNCORE__CHA__CHA115__UTIL__MC_STATUS</t>
  </si>
  <si>
    <t>DPMB_SOCKET1__COMPUTE1__UNCORE__CHA__CHA117__UTIL__MC_STATUS</t>
  </si>
  <si>
    <t>DPMB_SOCKET1__COMPUTE1__UNCORE__CHA__CHA60__UTIL__MC_STATUS</t>
  </si>
  <si>
    <t>CHA60</t>
  </si>
  <si>
    <t>0X7706253140</t>
  </si>
  <si>
    <t>0X2800EF0400100086</t>
  </si>
  <si>
    <t>0X98842518520060</t>
  </si>
  <si>
    <t>DPMB_SOCKET1__COMPUTE1__UNCORE__CHA__CHA61__UTIL__MC_STATUS</t>
  </si>
  <si>
    <t>DPMB_SOCKET1__COMPUTE1__UNCORE__CHA__CHA62__UTIL__MC_STATUS</t>
  </si>
  <si>
    <t>DPMB_SOCKET1__COMPUTE1__UNCORE__CHA__CHA63__UTIL__MC_STATUS</t>
  </si>
  <si>
    <t>CHA63</t>
  </si>
  <si>
    <t>0X5B5DAFC80</t>
  </si>
  <si>
    <t>0X2E0018D400162086</t>
  </si>
  <si>
    <t>0X800C32C001C800</t>
  </si>
  <si>
    <t>DPMB_SOCKET1__COMPUTE1__UNCORE__CHA__CHA66__UTIL__MC_STATUS</t>
  </si>
  <si>
    <t>DPMB_SOCKET1__COMPUTE1__UNCORE__CHA__CHA68__UTIL__MC_STATUS</t>
  </si>
  <si>
    <t>DPMB_SOCKET1__COMPUTE1__UNCORE__CHA__CHA73__UTIL__MC_STATUS</t>
  </si>
  <si>
    <t>DPMB_SOCKET1__COMPUTE1__UNCORE__CHA__CHA77__UTIL__MC_STATUS</t>
  </si>
  <si>
    <t>DPMB_SOCKET1__COMPUTE1__UNCORE__CHA__CHA82__UTIL__MC_STATUS</t>
  </si>
  <si>
    <t>DPMB_SOCKET1__COMPUTE1__UNCORE__CHA__CHA87__UTIL__MC_STATUS</t>
  </si>
  <si>
    <t>DPMB_SOCKET1__COMPUTE1__UNCORE__CHA__CHA88__UTIL__MC_STATUS</t>
  </si>
  <si>
    <t>DPMB_SOCKET1__COMPUTE1__UNCORE__CHA__CHA90__UTIL__MC_STATUS</t>
  </si>
  <si>
    <t>DPMB_SOCKET1__COMPUTE1__UNCORE__CHA__CHA91__UTIL__MC_STATUS</t>
  </si>
  <si>
    <t>DPMB_SOCKET1__COMPUTE1__UNCORE__CHA__CHA94__UTIL__MC_STATUS</t>
  </si>
  <si>
    <t>DPMB_SOCKET1__COMPUTE1__UNCORE__CHA__CHA95__UTIL__MC_STATUS</t>
  </si>
  <si>
    <t>CHA95</t>
  </si>
  <si>
    <t>0X14A64D5A80</t>
  </si>
  <si>
    <t>0X480CC32400100086</t>
  </si>
  <si>
    <t>0X801821E0038882</t>
  </si>
  <si>
    <t>MEM6</t>
  </si>
  <si>
    <t>DPMB_SOCKET1__COMPUTE1__UNCORE__CHA__CHA97__UTIL__MC_STATUS</t>
  </si>
  <si>
    <t>DPMB_SOCKET1__COMPUTE2__UNCORE__CHA__CHA126__UTIL__MC_STATUS</t>
  </si>
  <si>
    <t>DPMB_SOCKET1__COMPUTE2__UNCORE__CHA__CHA127__UTIL__MC_STATUS</t>
  </si>
  <si>
    <t>DPMB_SOCKET1__COMPUTE2__UNCORE__CHA__CHA129__UTIL__MC_STATUS</t>
  </si>
  <si>
    <t>DPMB_SOCKET1__COMPUTE2__UNCORE__CHA__CHA130__UTIL__MC_STATUS</t>
  </si>
  <si>
    <t>DPMB_SOCKET1__COMPUTE2__UNCORE__CHA__CHA133__UTIL__MC_STATUS</t>
  </si>
  <si>
    <t>DPMB_SOCKET1__COMPUTE2__UNCORE__CHA__CHA137__UTIL__MC_STATUS</t>
  </si>
  <si>
    <t>DPMB_SOCKET1__COMPUTE2__UNCORE__CHA__CHA140__UTIL__MC_STATUS</t>
  </si>
  <si>
    <t>DPMB_SOCKET1__COMPUTE2__UNCORE__CHA__CHA141__UTIL__MC_STATUS</t>
  </si>
  <si>
    <t>DPMB_SOCKET1__COMPUTE2__UNCORE__CHA__CHA143__UTIL__MC_STATUS</t>
  </si>
  <si>
    <t>DPMB_SOCKET1__COMPUTE2__UNCORE__CHA__CHA144__UTIL__MC_STATUS</t>
  </si>
  <si>
    <t>DPMB_SOCKET1__COMPUTE2__UNCORE__CHA__CHA147__UTIL__MC_STATUS</t>
  </si>
  <si>
    <t>DPMB_SOCKET1__COMPUTE2__UNCORE__CHA__CHA148__UTIL__MC_STATUS</t>
  </si>
  <si>
    <t>DPMB_SOCKET1__COMPUTE2__UNCORE__CHA__CHA149__UTIL__MC_STATUS</t>
  </si>
  <si>
    <t>DPMB_SOCKET1__COMPUTE2__UNCORE__CHA__CHA151__UTIL__MC_STATUS</t>
  </si>
  <si>
    <t>DPMB_SOCKET1__COMPUTE2__UNCORE__CHA__CHA154__UTIL__MC_STATUS</t>
  </si>
  <si>
    <t>DPMB_SOCKET1__COMPUTE2__UNCORE__CHA__CHA158__UTIL__MC_STATUS</t>
  </si>
  <si>
    <t>CHA158</t>
  </si>
  <si>
    <t>0XEE9DBF600</t>
  </si>
  <si>
    <t>0X691C800000100886</t>
  </si>
  <si>
    <t>0X1CC202060022020</t>
  </si>
  <si>
    <t>DPMB_SOCKET1__COMPUTE2__UNCORE__CHA__CHA162__UTIL__MC_STATUS</t>
  </si>
  <si>
    <t>CHA162</t>
  </si>
  <si>
    <t>0X7ACC91C140</t>
  </si>
  <si>
    <t>0X7100EF0000100086</t>
  </si>
  <si>
    <t>0X9C842E38500060</t>
  </si>
  <si>
    <t>DPMB_SOCKET1__COMPUTE2__UNCORE__CHA__CHA163__UTIL__MC_STATUS</t>
  </si>
  <si>
    <t>DPMB_SOCKET1__COMPUTE2__UNCORE__CHA__CHA164__UTIL__MC_STATUS</t>
  </si>
  <si>
    <t>DPMB_SOCKET1__COMPUTE2__UNCORE__CHA__CHA168__UTIL__MC_STATUS</t>
  </si>
  <si>
    <t>DPMB_SOCKET1__COMPUTE2__UNCORE__CHA__CHA169__UTIL__MC_STATUS</t>
  </si>
  <si>
    <t>DPMB_SOCKET1__COMPUTE2__UNCORE__CHA__CHA175__UTIL__MC_STATUS</t>
  </si>
  <si>
    <t>DPMB_SOCKET1__COMPUTE2__UNCORE__CHA__CHA178__UTIL__MC_STATUS</t>
  </si>
  <si>
    <t>DPMB_SOCKET1__COMPUTE2__UNCORE__CHA__CHA179__UTIL__MC_STATUS</t>
  </si>
  <si>
    <t>6-1</t>
  </si>
  <si>
    <t>DPMB_SOCKET1__COMPUTE1__UNCORE__CHA__CHA69__UTIL__MC_STATUS</t>
  </si>
  <si>
    <t>0X1481B7C280</t>
  </si>
  <si>
    <t>0X2A08C22802165086</t>
  </si>
  <si>
    <t>0XE2860008803</t>
  </si>
  <si>
    <t>MEM1</t>
  </si>
  <si>
    <t>0XBE000000000B1146</t>
  </si>
  <si>
    <t>0XDE7774840</t>
  </si>
  <si>
    <t>0X202006E00162086</t>
  </si>
  <si>
    <t>0X1C4103CA0000940</t>
  </si>
  <si>
    <t>KWbIData</t>
  </si>
  <si>
    <t>0X6F211072C0</t>
  </si>
  <si>
    <t>0X2A02006E00100086</t>
  </si>
  <si>
    <t>0X1C00E3CC040AAC0</t>
  </si>
  <si>
    <t>75W67Q6100508</t>
  </si>
  <si>
    <t>0XBE000000001F0405</t>
  </si>
  <si>
    <t>ADDR_PARITY_ERROR</t>
  </si>
  <si>
    <t>0XA54E0E1E1FFC0</t>
  </si>
  <si>
    <t>0X2000C078C0100486</t>
  </si>
  <si>
    <t>0X642DC0010000</t>
  </si>
  <si>
    <t>CLDemote</t>
  </si>
  <si>
    <t>MEM44</t>
  </si>
  <si>
    <t>0XFE000000001F0405</t>
  </si>
  <si>
    <t>0X854E0E1E1FF40</t>
  </si>
  <si>
    <t>0X2600C078C0100486</t>
  </si>
  <si>
    <t>0X642DC000E000</t>
  </si>
  <si>
    <t>0X3F90E0B0DF40</t>
  </si>
  <si>
    <t>0X2C00C078C0100486</t>
  </si>
  <si>
    <t>0X6C2DDC108000</t>
  </si>
  <si>
    <t>ABORT</t>
  </si>
  <si>
    <t>9-1</t>
  </si>
  <si>
    <t>0X3480200035817</t>
  </si>
  <si>
    <t>DPMB_SOCKET1__IO0__UNCORE__UBOX__NCEVENTS__MCERRLOGGINGREG</t>
  </si>
  <si>
    <t>0X3582500034816</t>
  </si>
  <si>
    <t>0X3481D00035817</t>
  </si>
  <si>
    <t>0X3500100035030</t>
  </si>
  <si>
    <t>0X3503000035817</t>
  </si>
  <si>
    <t>0X3500600035018</t>
  </si>
  <si>
    <t>0X3580A00035817</t>
  </si>
  <si>
    <t>0X3580E00035809</t>
  </si>
  <si>
    <t>3-1</t>
  </si>
  <si>
    <t>0X3481E00035817</t>
  </si>
  <si>
    <t>DPMB_SOCKET1__IO0__UNCORE__UBOX__NCEVENTS__IERRLOGGINGREG</t>
  </si>
  <si>
    <t>0X156F100014EF1</t>
  </si>
  <si>
    <t>4-1</t>
  </si>
  <si>
    <t>0X15D98</t>
  </si>
  <si>
    <t>scf_cha.0.cpuscf.142</t>
  </si>
  <si>
    <t>0X348250003480D</t>
  </si>
  <si>
    <t>0X1251700012517</t>
  </si>
  <si>
    <t>upiagent:lnmacmisc.0.pc5_5u2.6</t>
  </si>
  <si>
    <t>0X1570000014EBA</t>
  </si>
  <si>
    <t>scf_cha.0.cpuscf.43</t>
  </si>
  <si>
    <t>scf_cha.0.cpuscf.114</t>
  </si>
  <si>
    <t>0X34811</t>
  </si>
  <si>
    <t>core_coregp.0.cpucore.17</t>
  </si>
  <si>
    <t>0X15566</t>
  </si>
  <si>
    <t>scf_cha.0.cpuscf.73</t>
  </si>
  <si>
    <t>0X14D66</t>
  </si>
  <si>
    <t>scf_cha.0.cpuscf.9</t>
  </si>
  <si>
    <t>0X350160003482D</t>
  </si>
  <si>
    <t>0X3503100035830</t>
  </si>
  <si>
    <t>0X14F00000155F2</t>
  </si>
  <si>
    <t>scf_cha.0.cpuscf.87</t>
  </si>
  <si>
    <t>scf_cha.0.cpuscf.50</t>
  </si>
  <si>
    <t>0XFFFFBA984281E9FF</t>
  </si>
  <si>
    <t>0X5F9E1255</t>
  </si>
  <si>
    <t>0XFFFFF7FE5FC4C902</t>
  </si>
  <si>
    <t>0X74662778</t>
  </si>
  <si>
    <t>0XFFFFFFFF8E04C5D2</t>
  </si>
  <si>
    <t>0XFFFFFFFF8E08176C</t>
  </si>
  <si>
    <t>0X10301D9F6837C920</t>
  </si>
  <si>
    <t>0X8404787DBE48FC3C</t>
  </si>
  <si>
    <t>0XE30FFFAFFFF87F08</t>
  </si>
  <si>
    <t>0XF193FFFFF93A7FFF</t>
  </si>
  <si>
    <t>0XFFFFFF7F12EAEA41</t>
  </si>
  <si>
    <t>0XFFFFFFFF4405FDF7</t>
  </si>
  <si>
    <t>0XFFFFFFFF12EAEA41</t>
  </si>
  <si>
    <t>0XFFFFFFFF12EAE8CA</t>
  </si>
  <si>
    <t>0XF2000000F10D0400</t>
  </si>
  <si>
    <t>0XFFFFFF7F4405FFB0</t>
  </si>
  <si>
    <t>0XFFFFFF7F12EAEA47</t>
  </si>
  <si>
    <t>0XFFFFFFFF4405AA96</t>
  </si>
  <si>
    <t>0XF2000000D18D0400</t>
  </si>
  <si>
    <t>TimeOutThread:1,ActiveThreads:3,XQ Empty:0,LQ Empty:1,SnpQ Empty:1,No U2C Req Credit:0,No C2U Credits:4,ExtCmpCntIsZero:0,FBVCntIsZero:1,VirtLLC Prefetch:1,</t>
  </si>
  <si>
    <t>0XFFFFFFFF0134E470</t>
  </si>
  <si>
    <t>0XFFFFFFFF12EAECD7</t>
  </si>
  <si>
    <t>0XFFFFFF7F4405E166</t>
  </si>
  <si>
    <t>0XFFFFFFFF328FC979</t>
  </si>
  <si>
    <t>0XFE000000D18D0400</t>
  </si>
  <si>
    <t>0XFFFFFF7F12EAE843</t>
  </si>
  <si>
    <t>0XFFFFFF7F4405FDF0</t>
  </si>
  <si>
    <t>0XFFFFFF7F328FC980</t>
  </si>
  <si>
    <t>0XFE000000B18D0400</t>
  </si>
  <si>
    <t>TimeOutThread:1,ActiveThreads:3,XQ Empty:0,LQ Empty:1,SnpQ Empty:1,No U2C Req Credit:0,No C2U Credits:4,ExtCmpCntIsZero:1,FBVCntIsZero:0,VirtLLC Prefetch:1,</t>
  </si>
  <si>
    <t>0XFFFFFFFF4405FDF0</t>
  </si>
  <si>
    <t>0XFE000000B1CD0400</t>
  </si>
  <si>
    <t>TimeOutThread:1,ActiveThreads:3,XQ Empty:1,LQ Empty:1,SnpQ Empty:1,No U2C Req Credit:0,No C2U Credits:4,ExtCmpCntIsZero:1,FBVCntIsZero:0,VirtLLC Prefetch:1,</t>
  </si>
  <si>
    <t>0XFFFFFF7F4405FDFB</t>
  </si>
  <si>
    <t>0XFFFFFFFF12EAEA47</t>
  </si>
  <si>
    <t>0XFFFFFF7F4405AA29</t>
  </si>
  <si>
    <t>0XF2000000F18D0400</t>
  </si>
  <si>
    <t>0XFFFFFFFF63DDF9F8</t>
  </si>
  <si>
    <t>0XFFFFFF7F328FC979</t>
  </si>
  <si>
    <t>0XFFFFFFFF12EAE7D0</t>
  </si>
  <si>
    <t>0XF2000000F10C0400</t>
  </si>
  <si>
    <t>TimeOutThread:0,ActiveThreads:3,XQ Empty:0,LQ Empty:0,SnpQ Empty:1,No U2C Req Credit:0,No C2U Credits:4,ExtCmpCntIsZero:1,FBVCntIsZero:1,VirtLLC Prefetch:1,</t>
  </si>
  <si>
    <t>0XFFFFFFFF0134DF3E</t>
  </si>
  <si>
    <t>0XFFFFFF7F63DDF9F8</t>
  </si>
  <si>
    <t>0XBE000000D18D0400</t>
  </si>
  <si>
    <t>0XFFFFFFFF12EAECF8</t>
  </si>
  <si>
    <t>0XFFFFFF7F12EAEAC4</t>
  </si>
  <si>
    <t>0XFFFFFF7F4405AA96</t>
  </si>
  <si>
    <t>0XFFFFFF7F63DDFB93</t>
  </si>
  <si>
    <t>0XFFFFFFFF4405AA29</t>
  </si>
  <si>
    <t>0XFFFFFFFF4405AC3E</t>
  </si>
  <si>
    <t>0XF2000000B18D0400</t>
  </si>
  <si>
    <t>0XFFFFFF7F4405D178</t>
  </si>
  <si>
    <t>0XFFFFFF7F12EAEB8E</t>
  </si>
  <si>
    <t>0XFFFFFFFF440638EB</t>
  </si>
  <si>
    <t>DPMB_SOCKET1__COMPUTE0__CPU__CORE0__ML2_CR_MC3_STATUS</t>
  </si>
  <si>
    <t>DPMB_SOCKET1__COMPUTE0__CPU__CORE10__ML2_CR_MC3_STATUS</t>
  </si>
  <si>
    <t>0XFFFFFF7F0134E10A</t>
  </si>
  <si>
    <t>DPMB_SOCKET1__COMPUTE0__CPU__CORE13__ML2_CR_MC3_STATUS</t>
  </si>
  <si>
    <t>DPMB_SOCKET1__COMPUTE0__CPU__CORE14__ML2_CR_MC3_STATUS</t>
  </si>
  <si>
    <t>DPMB_SOCKET1__COMPUTE0__CPU__CORE15__ML2_CR_MC3_STATUS</t>
  </si>
  <si>
    <t>DPMB_SOCKET1__COMPUTE0__CPU__CORE16__ML2_CR_MC3_STATUS</t>
  </si>
  <si>
    <t>DPMB_SOCKET1__COMPUTE0__CPU__CORE17__ML2_CR_MC3_STATUS</t>
  </si>
  <si>
    <t>DPMB_SOCKET1__COMPUTE0__CPU__CORE1__ML2_CR_MC3_STATUS</t>
  </si>
  <si>
    <t>DPMB_SOCKET1__COMPUTE0__CPU__CORE21__ML2_CR_MC3_STATUS</t>
  </si>
  <si>
    <t>DPMB_SOCKET1__COMPUTE0__CPU__CORE23__ML2_CR_MC3_STATUS</t>
  </si>
  <si>
    <t>DPMB_SOCKET1__COMPUTE0__CPU__CORE24__ML2_CR_MC3_STATUS</t>
  </si>
  <si>
    <t>DPMB_SOCKET1__COMPUTE0__CPU__CORE2__ML2_CR_MC3_STATUS</t>
  </si>
  <si>
    <t>DPMB_SOCKET1__COMPUTE0__CPU__CORE30__ML2_CR_MC3_STATUS</t>
  </si>
  <si>
    <t>0XFE000000F18C0400</t>
  </si>
  <si>
    <t>TimeOutThread:0,ActiveThreads:3,XQ Empty:0,LQ Empty:1,SnpQ Empty:1,No U2C Req Credit:0,No C2U Credits:4,ExtCmpCntIsZero:1,FBVCntIsZero:1,VirtLLC Prefetch:1,</t>
  </si>
  <si>
    <t>DPMB_SOCKET1__COMPUTE0__CPU__CORE31__ML2_CR_MC3_STATUS</t>
  </si>
  <si>
    <t>DPMB_SOCKET1__COMPUTE0__CPU__CORE34__ML2_CR_MC3_STATUS</t>
  </si>
  <si>
    <t>DPMB_SOCKET1__COMPUTE0__CPU__CORE35__ML2_CR_MC3_STATUS</t>
  </si>
  <si>
    <t>DPMB_SOCKET1__COMPUTE0__CPU__CORE36__ML2_CR_MC3_STATUS</t>
  </si>
  <si>
    <t>0XFFFFFFFF0134DDB8</t>
  </si>
  <si>
    <t>DPMB_SOCKET1__COMPUTE0__CPU__CORE3__ML2_CR_MC3_STATUS</t>
  </si>
  <si>
    <t>DPMB_SOCKET1__COMPUTE0__CPU__CORE43__ML2_CR_MC3_STATUS</t>
  </si>
  <si>
    <t>0XFFFFFFFF44063A00</t>
  </si>
  <si>
    <t>DPMB_SOCKET1__COMPUTE0__CPU__CORE44__ML2_CR_MC3_STATUS</t>
  </si>
  <si>
    <t>DPMB_SOCKET1__COMPUTE0__CPU__CORE45__ML2_CR_MC3_STATUS</t>
  </si>
  <si>
    <t>DPMB_SOCKET1__COMPUTE0__CPU__CORE48__ML2_CR_MC3_STATUS</t>
  </si>
  <si>
    <t>DPMB_SOCKET1__COMPUTE0__CPU__CORE49__ML2_CR_MC3_STATUS</t>
  </si>
  <si>
    <t>0XFFFFFFFF4405D178</t>
  </si>
  <si>
    <t>DPMB_SOCKET1__COMPUTE0__CPU__CORE50__ML2_CR_MC3_STATUS</t>
  </si>
  <si>
    <t>0XFFFFFF7F4405E163</t>
  </si>
  <si>
    <t>DPMB_SOCKET1__COMPUTE0__CPU__CORE51__ML2_CR_MC3_STATUS</t>
  </si>
  <si>
    <t>DPMB_SOCKET1__COMPUTE0__CPU__CORE52__ML2_CR_MC3_STATUS</t>
  </si>
  <si>
    <t>DPMB_SOCKET1__COMPUTE0__CPU__CORE55__ML2_CR_MC3_STATUS</t>
  </si>
  <si>
    <t>DPMB_SOCKET1__COMPUTE0__CPU__CORE56__ML2_CR_MC3_STATUS</t>
  </si>
  <si>
    <t>DPMB_SOCKET1__COMPUTE0__CPU__CORE6__ML2_CR_MC3_STATUS</t>
  </si>
  <si>
    <t>DPMB_SOCKET1__COMPUTE0__CPU__CORE7__ML2_CR_MC3_STATUS</t>
  </si>
  <si>
    <t>DPMB_SOCKET1__COMPUTE0__CPU__CORE8__ML2_CR_MC3_STATUS</t>
  </si>
  <si>
    <t>DPMB_SOCKET1__COMPUTE0__CPU__CORE9__ML2_CR_MC3_STATUS</t>
  </si>
  <si>
    <t>DPMB_SOCKET1__COMPUTE1__CPU__CORE104__ML2_CR_MC3_STATUS</t>
  </si>
  <si>
    <t>DPMB_SOCKET1__COMPUTE1__CPU__CORE105__ML2_CR_MC3_STATUS</t>
  </si>
  <si>
    <t>DPMB_SOCKET1__COMPUTE1__CPU__CORE108__ML2_CR_MC3_STATUS</t>
  </si>
  <si>
    <t>DPMB_SOCKET1__COMPUTE1__CPU__CORE109__ML2_CR_MC3_STATUS</t>
  </si>
  <si>
    <t>DPMB_SOCKET1__COMPUTE1__CPU__CORE110__ML2_CR_MC3_STATUS</t>
  </si>
  <si>
    <t>DPMB_SOCKET1__COMPUTE1__CPU__CORE111__ML2_CR_MC3_STATUS</t>
  </si>
  <si>
    <t>DPMB_SOCKET1__COMPUTE1__CPU__CORE112__ML2_CR_MC3_STATUS</t>
  </si>
  <si>
    <t>DPMB_SOCKET1__COMPUTE1__CPU__CORE115__ML2_CR_MC3_STATUS</t>
  </si>
  <si>
    <t>DPMB_SOCKET1__COMPUTE1__CPU__CORE116__ML2_CR_MC3_STATUS</t>
  </si>
  <si>
    <t>DPMB_SOCKET1__COMPUTE1__CPU__CORE117__ML2_CR_MC3_STATUS</t>
  </si>
  <si>
    <t>DPMB_SOCKET1__COMPUTE1__CPU__CORE60__ML2_CR_MC3_STATUS</t>
  </si>
  <si>
    <t>DPMB_SOCKET1__COMPUTE1__CPU__CORE61__ML2_CR_MC3_STATUS</t>
  </si>
  <si>
    <t>DPMB_SOCKET1__COMPUTE1__CPU__CORE62__ML2_CR_MC3_STATUS</t>
  </si>
  <si>
    <t>DPMB_SOCKET1__COMPUTE1__CPU__CORE63__ML2_CR_MC3_STATUS</t>
  </si>
  <si>
    <t>DPMB_SOCKET1__COMPUTE1__CPU__CORE66__ML2_CR_MC3_STATUS</t>
  </si>
  <si>
    <t>DPMB_SOCKET1__COMPUTE1__CPU__CORE67__ML2_CR_MC3_STATUS</t>
  </si>
  <si>
    <t>0XFFFFFFFF63DDF9FE</t>
  </si>
  <si>
    <t>DPMB_SOCKET1__COMPUTE1__CPU__CORE68__ML2_CR_MC3_STATUS</t>
  </si>
  <si>
    <t>DPMB_SOCKET1__COMPUTE1__CPU__CORE69__ML2_CR_MC3_STATUS</t>
  </si>
  <si>
    <t>DPMB_SOCKET1__COMPUTE1__CPU__CORE73__ML2_CR_MC3_STATUS</t>
  </si>
  <si>
    <t>DPMB_SOCKET1__COMPUTE1__CPU__CORE75__ML2_CR_MC3_STATUS</t>
  </si>
  <si>
    <t>DPMB_SOCKET1__COMPUTE1__CPU__CORE77__ML2_CR_MC3_STATUS</t>
  </si>
  <si>
    <t>DPMB_SOCKET1__COMPUTE1__CPU__CORE81__ML2_CR_MC3_STATUS</t>
  </si>
  <si>
    <t>DPMB_SOCKET1__COMPUTE1__CPU__CORE83__ML2_CR_MC3_STATUS</t>
  </si>
  <si>
    <t>DPMB_SOCKET1__COMPUTE1__CPU__CORE84__ML2_CR_MC3_STATUS</t>
  </si>
  <si>
    <t>DPMB_SOCKET1__COMPUTE1__CPU__CORE87__ML2_CR_MC3_STATUS</t>
  </si>
  <si>
    <t>DPMB_SOCKET1__COMPUTE1__CPU__CORE88__ML2_CR_MC3_STATUS</t>
  </si>
  <si>
    <t>DPMB_SOCKET1__COMPUTE1__CPU__CORE90__ML2_CR_MC3_STATUS</t>
  </si>
  <si>
    <t>DPMB_SOCKET1__COMPUTE1__CPU__CORE91__ML2_CR_MC3_STATUS</t>
  </si>
  <si>
    <t>DPMB_SOCKET1__COMPUTE1__CPU__CORE94__ML2_CR_MC3_STATUS</t>
  </si>
  <si>
    <t>DPMB_SOCKET1__COMPUTE1__CPU__CORE95__ML2_CR_MC3_STATUS</t>
  </si>
  <si>
    <t>DPMB_SOCKET1__COMPUTE1__CPU__CORE96__ML2_CR_MC3_STATUS</t>
  </si>
  <si>
    <t>DPMB_SOCKET1__COMPUTE1__CPU__CORE97__ML2_CR_MC3_STATUS</t>
  </si>
  <si>
    <t>DPMB_SOCKET1__COMPUTE2__CPU__CORE122__ML2_CR_MC3_STATUS</t>
  </si>
  <si>
    <t>DPMB_SOCKET1__COMPUTE2__CPU__CORE123__ML2_CR_MC3_STATUS</t>
  </si>
  <si>
    <t>DPMB_SOCKET1__COMPUTE2__CPU__CORE126__ML2_CR_MC3_STATUS</t>
  </si>
  <si>
    <t>DPMB_SOCKET1__COMPUTE2__CPU__CORE127__ML2_CR_MC3_STATUS</t>
  </si>
  <si>
    <t>DPMB_SOCKET1__COMPUTE2__CPU__CORE128__ML2_CR_MC3_STATUS</t>
  </si>
  <si>
    <t>DPMB_SOCKET1__COMPUTE2__CPU__CORE129__ML2_CR_MC3_STATUS</t>
  </si>
  <si>
    <t>DPMB_SOCKET1__COMPUTE2__CPU__CORE130__ML2_CR_MC3_STATUS</t>
  </si>
  <si>
    <t>DPMB_SOCKET1__COMPUTE2__CPU__CORE133__ML2_CR_MC3_STATUS</t>
  </si>
  <si>
    <t>DPMB_SOCKET1__COMPUTE2__CPU__CORE137__ML2_CR_MC3_STATUS</t>
  </si>
  <si>
    <t>DPMB_SOCKET1__COMPUTE2__CPU__CORE140__ML2_CR_MC3_STATUS</t>
  </si>
  <si>
    <t>DPMB_SOCKET1__COMPUTE2__CPU__CORE141__ML2_CR_MC3_STATUS</t>
  </si>
  <si>
    <t>DPMB_SOCKET1__COMPUTE2__CPU__CORE142__ML2_CR_MC3_STATUS</t>
  </si>
  <si>
    <t>DPMB_SOCKET1__COMPUTE2__CPU__CORE143__ML2_CR_MC3_STATUS</t>
  </si>
  <si>
    <t>DPMB_SOCKET1__COMPUTE2__CPU__CORE144__ML2_CR_MC3_STATUS</t>
  </si>
  <si>
    <t>DPMB_SOCKET1__COMPUTE2__CPU__CORE147__ML2_CR_MC3_STATUS</t>
  </si>
  <si>
    <t>0XFFFFFF7F12EB0D9E</t>
  </si>
  <si>
    <t>DPMB_SOCKET1__COMPUTE2__CPU__CORE148__ML2_CR_MC3_STATUS</t>
  </si>
  <si>
    <t>0XFFFFFFFF4405DE40</t>
  </si>
  <si>
    <t>DPMB_SOCKET1__COMPUTE2__CPU__CORE149__ML2_CR_MC3_STATUS</t>
  </si>
  <si>
    <t>0XFFFFFFFF4405D085</t>
  </si>
  <si>
    <t>DPMB_SOCKET1__COMPUTE2__CPU__CORE151__ML2_CR_MC3_STATUS</t>
  </si>
  <si>
    <t>DPMB_SOCKET1__COMPUTE2__CPU__CORE154__ML2_CR_MC3_STATUS</t>
  </si>
  <si>
    <t>DPMB_SOCKET1__COMPUTE2__CPU__CORE156__ML2_CR_MC3_STATUS</t>
  </si>
  <si>
    <t>DPMB_SOCKET1__COMPUTE2__CPU__CORE157__ML2_CR_MC3_STATUS</t>
  </si>
  <si>
    <t>0XFFFFFF7F63DDF9FE</t>
  </si>
  <si>
    <t>DPMB_SOCKET1__COMPUTE2__CPU__CORE162__ML2_CR_MC3_STATUS</t>
  </si>
  <si>
    <t>DPMB_SOCKET1__COMPUTE2__CPU__CORE163__ML2_CR_MC3_STATUS</t>
  </si>
  <si>
    <t>DPMB_SOCKET1__COMPUTE2__CPU__CORE168__ML2_CR_MC3_STATUS</t>
  </si>
  <si>
    <t>DPMB_SOCKET1__COMPUTE2__CPU__CORE169__ML2_CR_MC3_STATUS</t>
  </si>
  <si>
    <t>DPMB_SOCKET1__COMPUTE2__CPU__CORE170__ML2_CR_MC3_STATUS</t>
  </si>
  <si>
    <t>DPMB_SOCKET1__COMPUTE2__CPU__CORE171__ML2_CR_MC3_STATUS</t>
  </si>
  <si>
    <t>DPMB_SOCKET1__COMPUTE2__CPU__CORE172__ML2_CR_MC3_STATUS</t>
  </si>
  <si>
    <t>DPMB_SOCKET1__COMPUTE2__CPU__CORE175__ML2_CR_MC3_STATUS</t>
  </si>
  <si>
    <t>0XF2000000B10D0400</t>
  </si>
  <si>
    <t>TimeOutThread:1,ActiveThreads:3,XQ Empty:0,LQ Empty:0,SnpQ Empty:1,No U2C Req Credit:0,No C2U Credits:4,ExtCmpCntIsZero:1,FBVCntIsZero:0,VirtLLC Prefetch:1,</t>
  </si>
  <si>
    <t>DPMB_SOCKET1__COMPUTE2__CPU__CORE176__ML2_CR_MC3_STATUS</t>
  </si>
  <si>
    <t>DPMB_SOCKET1__COMPUTE2__CPU__CORE177__ML2_CR_MC3_STATUS</t>
  </si>
  <si>
    <t>DPMB_SOCKET1__COMPUTE2__CPU__CORE179__ML2_CR_MC3_STATUS</t>
  </si>
  <si>
    <t>0XB200000000400405</t>
  </si>
  <si>
    <t>SQDB or IDI (addr / data) parity</t>
  </si>
  <si>
    <t>Tag:('no err',)MESI:('no err',)Data:('no err',)Misc:('SQ/IDI err',)C6SRAM:('no err',)</t>
  </si>
  <si>
    <t>0XFFFFFFFFB346B879</t>
  </si>
  <si>
    <t>0XFFFFFFFFB346B87C</t>
  </si>
  <si>
    <t>0XFFFFFFFFB22455B4</t>
  </si>
  <si>
    <t>0XFFFFFFFFB346B74C</t>
  </si>
  <si>
    <t>0XFFFFFFFFB3458123</t>
  </si>
  <si>
    <t>0XFFFFFFFFB346B63E</t>
  </si>
  <si>
    <t>0XFFFFFFFFB346B642</t>
  </si>
  <si>
    <t>0XFFFFFFFFB346B877</t>
  </si>
  <si>
    <t>0XFFFFFFFFB22455B7</t>
  </si>
  <si>
    <t>0X7FF70748FC3E</t>
  </si>
  <si>
    <t>0XFFFFFFFFB21D81B2</t>
  </si>
  <si>
    <t>DPMB_SOCKET1__COMPUTE0__CPU__CORE22__ML2_CR_MC3_STATUS</t>
  </si>
  <si>
    <t>DPMB_SOCKET1__COMPUTE0__CPU__CORE27__ML2_CR_MC3_STATUS</t>
  </si>
  <si>
    <t>DPMB_SOCKET1__COMPUTE0__CPU__CORE28__ML2_CR_MC3_STATUS</t>
  </si>
  <si>
    <t>DPMB_SOCKET1__COMPUTE0__CPU__CORE29__ML2_CR_MC3_STATUS</t>
  </si>
  <si>
    <t>DPMB_SOCKET1__COMPUTE0__CPU__CORE37__ML2_CR_MC3_STATUS</t>
  </si>
  <si>
    <t>DPMB_SOCKET1__COMPUTE0__CPU__CORE38__ML2_CR_MC3_STATUS</t>
  </si>
  <si>
    <t>DPMB_SOCKET1__COMPUTE0__CPU__CORE41__ML2_CR_MC3_STATUS</t>
  </si>
  <si>
    <t>DPMB_SOCKET1__COMPUTE0__CPU__CORE58__ML2_CR_MC3_STATUS</t>
  </si>
  <si>
    <t>DPMB_SOCKET1__COMPUTE0__CPU__CORE59__ML2_CR_MC3_STATUS</t>
  </si>
  <si>
    <t>DPMB_SOCKET1__COMPUTE1__CPU__CORE101__ML2_CR_MC3_STATUS</t>
  </si>
  <si>
    <t>DPMB_SOCKET1__COMPUTE1__CPU__CORE70__ML2_CR_MC3_STATUS</t>
  </si>
  <si>
    <t>DPMB_SOCKET1__COMPUTE1__CPU__CORE74__ML2_CR_MC3_STATUS</t>
  </si>
  <si>
    <t>DPMB_SOCKET1__COMPUTE1__CPU__CORE76__ML2_CR_MC3_STATUS</t>
  </si>
  <si>
    <t>DPMB_SOCKET1__COMPUTE1__CPU__CORE80__ML2_CR_MC3_STATUS</t>
  </si>
  <si>
    <t>DPMB_SOCKET1__COMPUTE1__CPU__CORE82__ML2_CR_MC3_STATUS</t>
  </si>
  <si>
    <t>DPMB_SOCKET1__COMPUTE1__CPU__CORE89__ML2_CR_MC3_STATUS</t>
  </si>
  <si>
    <t>DPMB_SOCKET1__COMPUTE1__CPU__CORE98__ML2_CR_MC3_STATUS</t>
  </si>
  <si>
    <t>DPMB_SOCKET1__COMPUTE2__CPU__CORE120__ML2_CR_MC3_STATUS</t>
  </si>
  <si>
    <t>DPMB_SOCKET1__COMPUTE2__CPU__CORE121__ML2_CR_MC3_STATUS</t>
  </si>
  <si>
    <t>DPMB_SOCKET1__COMPUTE2__CPU__CORE134__ML2_CR_MC3_STATUS</t>
  </si>
  <si>
    <t>DPMB_SOCKET1__COMPUTE2__CPU__CORE136__ML2_CR_MC3_STATUS</t>
  </si>
  <si>
    <t>DPMB_SOCKET1__COMPUTE2__CPU__CORE150__ML2_CR_MC3_STATUS</t>
  </si>
  <si>
    <t>DPMB_SOCKET1__COMPUTE2__CPU__CORE155__ML2_CR_MC3_STATUS</t>
  </si>
  <si>
    <t>DPMB_SOCKET1__COMPUTE2__CPU__CORE161__ML2_CR_MC3_STATUS</t>
  </si>
  <si>
    <t>DPMB_SOCKET1__COMPUTE2__CPU__CORE164__ML2_CR_MC3_STATUS</t>
  </si>
  <si>
    <t>DPMB_SOCKET1__COMPUTE2__CPU__CORE165__ML2_CR_MC3_STATUS</t>
  </si>
  <si>
    <t>DPMB_SOCKET1__COMPUTE2__CPU__CORE178__ML2_CR_MC3_STATUS</t>
  </si>
  <si>
    <t>0XFFFFFFFFA2458123</t>
  </si>
  <si>
    <t>0XFFFFFFFFA122AD20</t>
  </si>
  <si>
    <t>0XFFFFFFFFA2458100</t>
  </si>
  <si>
    <t>0XFFFFFFFFA122AD91</t>
  </si>
  <si>
    <t>0XFFFFFFFFA11B8A1E</t>
  </si>
  <si>
    <t>0XFFFFFFFFA11A35A5</t>
  </si>
  <si>
    <t>0XFFFFFFFFA24589E5</t>
  </si>
  <si>
    <t>0XFFFFFFFFA11D937B</t>
  </si>
  <si>
    <t>0XFFFFFFFFA24589DB</t>
  </si>
  <si>
    <t>0XFFFFFFFFA24589E3</t>
  </si>
  <si>
    <t>0XFFFFFFFFA122AD8F</t>
  </si>
  <si>
    <t>0XFFFFFFFFA11B79D4</t>
  </si>
  <si>
    <t>0XFFFFFFFFA119CD7D</t>
  </si>
  <si>
    <t>0XFFFFFFFFA104C5D2</t>
  </si>
  <si>
    <t>0XFFFFFFFF8504C5D2</t>
  </si>
  <si>
    <t>0XFFFFFFFF8646B879</t>
  </si>
  <si>
    <t>0XFFFFFFFF852455B7</t>
  </si>
  <si>
    <t>0XFFFFFFFF8646B87C</t>
  </si>
  <si>
    <t>0X438ED7</t>
  </si>
  <si>
    <t>0XFFFFFFFF852455B4</t>
  </si>
  <si>
    <t>0XFFFFFFFF86457185</t>
  </si>
  <si>
    <t>0XFFFFFFFF8646B877</t>
  </si>
  <si>
    <t>0XFFFFFFFF8646B63E</t>
  </si>
  <si>
    <t>0XFFFFFFFFA746B63E</t>
  </si>
  <si>
    <t>0XFFFFFFFFA62455B4</t>
  </si>
  <si>
    <t>0XFFFFFFFFA746B877</t>
  </si>
  <si>
    <t>0XFFFFFFFFA746B87C</t>
  </si>
  <si>
    <t>0XFFFFFFFFA746B879</t>
  </si>
  <si>
    <t>0XFFFFFFFFA7601530</t>
  </si>
  <si>
    <t>0XFFFFFFFFA746B74C</t>
  </si>
  <si>
    <t>0XFFFFFFFFA7458123</t>
  </si>
  <si>
    <t>0X7F4183A8FC3E</t>
  </si>
  <si>
    <t>0XFFFFFFFFA74589E5</t>
  </si>
  <si>
    <t>0XFFFFFFFFA62455B7</t>
  </si>
  <si>
    <t>0XFFFFFFFFA746B74F</t>
  </si>
  <si>
    <t>0XFFFFFFFFA74589DE</t>
  </si>
  <si>
    <t>0XFFFFFFFFA6365CFA</t>
  </si>
  <si>
    <t>0XFFFFFFFFA604C5D2</t>
  </si>
  <si>
    <t>0XFFFFFFFFA608176C</t>
  </si>
  <si>
    <t>0X5F9E419B</t>
  </si>
  <si>
    <t>0XFFFF809071BFFBDF</t>
  </si>
  <si>
    <t>0X5F9E517D</t>
  </si>
  <si>
    <t>0X5B9674DA</t>
  </si>
  <si>
    <t>upiagent:lnmacmisc</t>
  </si>
  <si>
    <t>UPI</t>
  </si>
  <si>
    <t>pc5_5u2</t>
  </si>
  <si>
    <t>pcie</t>
  </si>
  <si>
    <t>75DE357100108</t>
  </si>
  <si>
    <t>0X8BB52E000</t>
  </si>
  <si>
    <t>0X1202001A00100086</t>
  </si>
  <si>
    <t>0X4103CE0004A60</t>
  </si>
  <si>
    <t>DPMB_SOCKET1__COMPUTE0__UNCORE__CHA__CHA15__UTIL__MC_STATUS</t>
  </si>
  <si>
    <t>0X1204C24C02160086</t>
  </si>
  <si>
    <t>0X1001021C003C884</t>
  </si>
  <si>
    <t>0X7BF8625D40</t>
  </si>
  <si>
    <t>0X18D40016D086</t>
  </si>
  <si>
    <t>0X840C32C0420040</t>
  </si>
  <si>
    <t>DPMB_SOCKET0__COMPUTE0__UNCORE__CHA__CHA10__UTIL__MC_STATUS</t>
  </si>
  <si>
    <t>0X69A965B480</t>
  </si>
  <si>
    <t>0X61C802000100886</t>
  </si>
  <si>
    <t>0X1C00C2C8042E006</t>
  </si>
  <si>
    <t>0X78D7B8B480</t>
  </si>
  <si>
    <t>0XA08868800100086</t>
  </si>
  <si>
    <t>0X800C21E0406004</t>
  </si>
  <si>
    <t>0X739DE14D40</t>
  </si>
  <si>
    <t>0XD3C812C00100886</t>
  </si>
  <si>
    <t>0X1C00C258043E004</t>
  </si>
  <si>
    <t>0X736245A880</t>
  </si>
  <si>
    <t>0X113C812000100886</t>
  </si>
  <si>
    <t>0X1C00C2E0040A000</t>
  </si>
  <si>
    <t>0X68485CBEC0</t>
  </si>
  <si>
    <t>0X30886A400100086</t>
  </si>
  <si>
    <t>0X800C2B60436001</t>
  </si>
  <si>
    <t>0XC14AA7540</t>
  </si>
  <si>
    <t>0X71C801C00100886</t>
  </si>
  <si>
    <t>0X1C0102800020046</t>
  </si>
  <si>
    <t>0X70A40B7140</t>
  </si>
  <si>
    <t>0X528869000100886</t>
  </si>
  <si>
    <t>0X41000C2040420000</t>
  </si>
  <si>
    <t>0X10E460FB80</t>
  </si>
  <si>
    <t>0XB3C810000100886</t>
  </si>
  <si>
    <t>0X1C012294002A003</t>
  </si>
  <si>
    <t>0X66DCA49E00</t>
  </si>
  <si>
    <t>0XE1C801000100886</t>
  </si>
  <si>
    <t>0X1C00C2E8042000B</t>
  </si>
  <si>
    <t>0X784EEE5380</t>
  </si>
  <si>
    <t>0X123C813000100886</t>
  </si>
  <si>
    <t>0X1C00C2CE0422004</t>
  </si>
  <si>
    <t>0X1D00188AC0</t>
  </si>
  <si>
    <t>0X43C812400100886</t>
  </si>
  <si>
    <t>0X1C010278002C007</t>
  </si>
  <si>
    <t>0X7C78BE1200</t>
  </si>
  <si>
    <t>0X808868000100086</t>
  </si>
  <si>
    <t>0X800C2160402001</t>
  </si>
  <si>
    <t>0X736245A900</t>
  </si>
  <si>
    <t>0XC3C810400100886</t>
  </si>
  <si>
    <t>0X1C00C2E0040A004</t>
  </si>
  <si>
    <t>0X50CE32C80</t>
  </si>
  <si>
    <t>0XF1C801800100886</t>
  </si>
  <si>
    <t>0X1C0122900024005</t>
  </si>
  <si>
    <t>0X6E98E22B40</t>
  </si>
  <si>
    <t>0X133C810400100886</t>
  </si>
  <si>
    <t>0X1C00C2A80400001</t>
  </si>
  <si>
    <t>0X7C78BE12C0</t>
  </si>
  <si>
    <t>0X108868000100086</t>
  </si>
  <si>
    <t>0X800C2160402004</t>
  </si>
  <si>
    <t>0X10E460FDC0</t>
  </si>
  <si>
    <t>0X143C810400100886</t>
  </si>
  <si>
    <t>0X1C01E2940034004</t>
  </si>
  <si>
    <t>0X7C78BE1440</t>
  </si>
  <si>
    <t>0X1708869000100086</t>
  </si>
  <si>
    <t>0X800C2160404002</t>
  </si>
  <si>
    <t>0X6FC1A5AA80</t>
  </si>
  <si>
    <t>0X1C3C810C00100886</t>
  </si>
  <si>
    <t>0X1C00C2B40406006</t>
  </si>
  <si>
    <t>0X72FA4A7100</t>
  </si>
  <si>
    <t>0X202886A800100886</t>
  </si>
  <si>
    <t>0X41000C252042E000</t>
  </si>
  <si>
    <t>DPMB_SOCKET0__COMPUTE0__UNCORE__CHA__CHA36__UTIL__MC_STATUS</t>
  </si>
  <si>
    <t>CHA36</t>
  </si>
  <si>
    <t>0X76422CEB40</t>
  </si>
  <si>
    <t>0X2408868C00100086</t>
  </si>
  <si>
    <t>0X800C2540402003</t>
  </si>
  <si>
    <t>0X68DA7E1840</t>
  </si>
  <si>
    <t>0X1808868400100086</t>
  </si>
  <si>
    <t>0X800C2000402001</t>
  </si>
  <si>
    <t>DPMB_SOCKET0__COMPUTE0__UNCORE__CHA__CHA41__UTIL__MC_STATUS</t>
  </si>
  <si>
    <t>0X7789223A80</t>
  </si>
  <si>
    <t>0X1D3C810400100886</t>
  </si>
  <si>
    <t>0X1C00C24E0408004</t>
  </si>
  <si>
    <t>0X7941D5AC40</t>
  </si>
  <si>
    <t>0X2100C20400160086</t>
  </si>
  <si>
    <t>0X800C22A042E881</t>
  </si>
  <si>
    <t>0XC0494A140</t>
  </si>
  <si>
    <t>0X2500EF3400100086</t>
  </si>
  <si>
    <t>0X9C8424B8120060</t>
  </si>
  <si>
    <t>0X7E3DBA9C40</t>
  </si>
  <si>
    <t>0X1E1C801C00100886</t>
  </si>
  <si>
    <t>0X1C00C2A20424009</t>
  </si>
  <si>
    <t>0X6855C67F40</t>
  </si>
  <si>
    <t>0X2208868000100086</t>
  </si>
  <si>
    <t>0X800C20E0404002</t>
  </si>
  <si>
    <t>0X49C5845C0</t>
  </si>
  <si>
    <t>0X261C802400100886</t>
  </si>
  <si>
    <t>0X1C01E288002C005</t>
  </si>
  <si>
    <t>0X6A29591680</t>
  </si>
  <si>
    <t>0X153C811800100886</t>
  </si>
  <si>
    <t>0X1C00C2E4042C002</t>
  </si>
  <si>
    <t>0X6EEE9C7DC0</t>
  </si>
  <si>
    <t>0X1A3C810400100886</t>
  </si>
  <si>
    <t>0X1C00C28C0432000</t>
  </si>
  <si>
    <t>0X7C05B5F100</t>
  </si>
  <si>
    <t>0X1F1C800400100886</t>
  </si>
  <si>
    <t>0X1C00C2080428040</t>
  </si>
  <si>
    <t>0X6EEE9C7D00</t>
  </si>
  <si>
    <t>0X233C810400100886</t>
  </si>
  <si>
    <t>0X1C00C28C0424008</t>
  </si>
  <si>
    <t>0X65BFAAF5C0</t>
  </si>
  <si>
    <t>0X273C811400100886</t>
  </si>
  <si>
    <t>0X1C00C26A0424040</t>
  </si>
  <si>
    <t>0X7C05B5F1C0</t>
  </si>
  <si>
    <t>0X161C800800100886</t>
  </si>
  <si>
    <t>0X1C00C2080424004</t>
  </si>
  <si>
    <t>0X7F95EF8040</t>
  </si>
  <si>
    <t>0X1B00C21800160086</t>
  </si>
  <si>
    <t>0X800C2680422881</t>
  </si>
  <si>
    <t>0X49C584380</t>
  </si>
  <si>
    <t>0X91C800000100886</t>
  </si>
  <si>
    <t>0X1C012288002A006</t>
  </si>
  <si>
    <t>DPMB_SOCKET0__COMPUTE0__UNCORE__CHA__CHA8__UTIL__MC_STATUS</t>
  </si>
  <si>
    <t>0X61BA6F9880</t>
  </si>
  <si>
    <t>0X1008868000100086</t>
  </si>
  <si>
    <t>0X800C2EC0420002</t>
  </si>
  <si>
    <t>0X7C78BE1C80</t>
  </si>
  <si>
    <t>0X23C810000100886</t>
  </si>
  <si>
    <t>0X1C00C2160404001</t>
  </si>
  <si>
    <t>0X770EB0DB80</t>
  </si>
  <si>
    <t>0X463C812400100886</t>
  </si>
  <si>
    <t>0X1C40C21A0426000</t>
  </si>
  <si>
    <t>0X68DA7DE780</t>
  </si>
  <si>
    <t>0X4D3C810800100886</t>
  </si>
  <si>
    <t>0X1C00C2000402043</t>
  </si>
  <si>
    <t>0X67AEC8F140</t>
  </si>
  <si>
    <t>0X3D00C20800160086</t>
  </si>
  <si>
    <t>0X800C2940424887</t>
  </si>
  <si>
    <t>0X784EEE5140</t>
  </si>
  <si>
    <t>0X423C813400100886</t>
  </si>
  <si>
    <t>0X1C00C2CE0434004</t>
  </si>
  <si>
    <t>0X7A4966CD40</t>
  </si>
  <si>
    <t>0X473C810400100886</t>
  </si>
  <si>
    <t>0X1C00C27A0432006</t>
  </si>
  <si>
    <t>0X61BA6F9A00</t>
  </si>
  <si>
    <t>0X4B08868800100086</t>
  </si>
  <si>
    <t>0X800C2EC0422004</t>
  </si>
  <si>
    <t>0X73EA6F2EC0</t>
  </si>
  <si>
    <t>0X3E0CC30000100086</t>
  </si>
  <si>
    <t>0X800C2120402804</t>
  </si>
  <si>
    <t>0X6C78154B80</t>
  </si>
  <si>
    <t>0X431C805400100886</t>
  </si>
  <si>
    <t>0X1C00C228042E003</t>
  </si>
  <si>
    <t>0X65BFAAF140</t>
  </si>
  <si>
    <t>0X483C811C00100886</t>
  </si>
  <si>
    <t>0X1C00C26A0428004</t>
  </si>
  <si>
    <t>0X7B9BF0BA00</t>
  </si>
  <si>
    <t>0X4C3C814C00100886</t>
  </si>
  <si>
    <t>0X1C00C28E0426005</t>
  </si>
  <si>
    <t>0X10E460F940</t>
  </si>
  <si>
    <t>0X4F3C814000100886</t>
  </si>
  <si>
    <t>0X1C01A2940022001</t>
  </si>
  <si>
    <t>0X17A561AAC0</t>
  </si>
  <si>
    <t>0X441C800400100886</t>
  </si>
  <si>
    <t>0X1C01A2440024044</t>
  </si>
  <si>
    <t>DPMB_SOCKET0__COMPUTE1__UNCORE__CHA__CHA60__UTIL__MC_STATUS</t>
  </si>
  <si>
    <t>0X7B3CA2CBC0</t>
  </si>
  <si>
    <t>0X2800C21000160086</t>
  </si>
  <si>
    <t>0X800C2B4042088A</t>
  </si>
  <si>
    <t>0X68DA7E1E40</t>
  </si>
  <si>
    <t>0X2C08868400100086</t>
  </si>
  <si>
    <t>0X800C2000404006</t>
  </si>
  <si>
    <t>DPMB_SOCKET0__COMPUTE1__UNCORE__CHA__CHA63__UTIL__MC_STATUS</t>
  </si>
  <si>
    <t>0XA603E8CC0</t>
  </si>
  <si>
    <t>0X2D1C802400100886</t>
  </si>
  <si>
    <t>0X1C00C2AA0024040</t>
  </si>
  <si>
    <t>0X76422CED80</t>
  </si>
  <si>
    <t>0X3108868000100086</t>
  </si>
  <si>
    <t>0X800C2540400001</t>
  </si>
  <si>
    <t>0X6819985580</t>
  </si>
  <si>
    <t>0X351C807800100886</t>
  </si>
  <si>
    <t>0X1C00C2B8042E002</t>
  </si>
  <si>
    <t>0X7C4ED438C0</t>
  </si>
  <si>
    <t>0X2908868400100086</t>
  </si>
  <si>
    <t>0X800C2A00402002</t>
  </si>
  <si>
    <t>0XC14AA7D80</t>
  </si>
  <si>
    <t>0X2E1C800000100886</t>
  </si>
  <si>
    <t>0X1C00C2800028006</t>
  </si>
  <si>
    <t>0X6FC1A5AC00</t>
  </si>
  <si>
    <t>0X323C811000100886</t>
  </si>
  <si>
    <t>0X1C00C2B4041A000</t>
  </si>
  <si>
    <t>0X7486FDDBC0</t>
  </si>
  <si>
    <t>0X363C813000100886</t>
  </si>
  <si>
    <t>0X1C00C21C0424005</t>
  </si>
  <si>
    <t>0X7B3F1580C0</t>
  </si>
  <si>
    <t>0X1C40C2680422060</t>
  </si>
  <si>
    <t>0X608A149CC0</t>
  </si>
  <si>
    <t>0X2A3C811000100886</t>
  </si>
  <si>
    <t>0X1C00C2300430000</t>
  </si>
  <si>
    <t>0X7991C19800</t>
  </si>
  <si>
    <t>0X2F3C810000100886</t>
  </si>
  <si>
    <t>0X1C80C2C60424060</t>
  </si>
  <si>
    <t>0X2DA6DF00</t>
  </si>
  <si>
    <t>0X331C800C00100886</t>
  </si>
  <si>
    <t>0X1C00C2CC0022002</t>
  </si>
  <si>
    <t>0X739DE14BC0</t>
  </si>
  <si>
    <t>0X373C810C00100886</t>
  </si>
  <si>
    <t>0X1C00C2580424001</t>
  </si>
  <si>
    <t>0X6D92335300</t>
  </si>
  <si>
    <t>0X3A1C800C00100886</t>
  </si>
  <si>
    <t>0X1C00C2980428001</t>
  </si>
  <si>
    <t>0X6D923353C0</t>
  </si>
  <si>
    <t>0X2B1C800400100886</t>
  </si>
  <si>
    <t>0X1C00C2980426009</t>
  </si>
  <si>
    <t>0X1BFB44E840</t>
  </si>
  <si>
    <t>0X303C810400100886</t>
  </si>
  <si>
    <t>0X1C00C2B6002E000</t>
  </si>
  <si>
    <t>0X72FA4A7700</t>
  </si>
  <si>
    <t>0X3428868400100886</t>
  </si>
  <si>
    <t>0X41000C2520422000</t>
  </si>
  <si>
    <t>0X7FB89BD140</t>
  </si>
  <si>
    <t>0X3800EF0000100086</t>
  </si>
  <si>
    <t>0X9C842718120060</t>
  </si>
  <si>
    <t>0X69A732BA40</t>
  </si>
  <si>
    <t>0X3B1C800000100886</t>
  </si>
  <si>
    <t>0X1C00C2CE042A047</t>
  </si>
  <si>
    <t>0X7486FDDF80</t>
  </si>
  <si>
    <t>0X403C810800100886</t>
  </si>
  <si>
    <t>0X1C00C21C042A005</t>
  </si>
  <si>
    <t>0X71517BAEC0</t>
  </si>
  <si>
    <t>0X4508868C00100086</t>
  </si>
  <si>
    <t>0X800C2E00404005</t>
  </si>
  <si>
    <t>DPMB_SOCKET0__COMPUTE1__UNCORE__CHA__CHA95__UTIL__MC_STATUS</t>
  </si>
  <si>
    <t>0X65B1707940</t>
  </si>
  <si>
    <t>0X493C812400100886</t>
  </si>
  <si>
    <t>0X1C00C24E0408000</t>
  </si>
  <si>
    <t>0X76422CE780</t>
  </si>
  <si>
    <t>0X3C08869000100086</t>
  </si>
  <si>
    <t>0X800C2540406000</t>
  </si>
  <si>
    <t>0XB1D53F140</t>
  </si>
  <si>
    <t>0X1D81A28A002A06A</t>
  </si>
  <si>
    <t>DPMB_SOCKET0__COMPUTE2__UNCORE__CHA__CHA120__UTIL__MC_STATUS</t>
  </si>
  <si>
    <t>CHA120</t>
  </si>
  <si>
    <t>0X723677EDC0</t>
  </si>
  <si>
    <t>0X503C810400100886</t>
  </si>
  <si>
    <t>0X1C00C2B4041A002</t>
  </si>
  <si>
    <t>0X6855C67D00</t>
  </si>
  <si>
    <t>0X540886F800100086</t>
  </si>
  <si>
    <t>0X800C20E040A002</t>
  </si>
  <si>
    <t>0X7A4966C5C0</t>
  </si>
  <si>
    <t>0X513C813C00100886</t>
  </si>
  <si>
    <t>0X1C00C27A0420003</t>
  </si>
  <si>
    <t>0X75C4E74900</t>
  </si>
  <si>
    <t>0X5808868800100086</t>
  </si>
  <si>
    <t>0X800C2960402004</t>
  </si>
  <si>
    <t>0X78955B9440</t>
  </si>
  <si>
    <t>0X5C00C20400160086</t>
  </si>
  <si>
    <t>0X800C2BA042A884</t>
  </si>
  <si>
    <t>0X61E404F9C0</t>
  </si>
  <si>
    <t>0X6028869C00100886</t>
  </si>
  <si>
    <t>0X41000C2A6042E000</t>
  </si>
  <si>
    <t>0X6EEE9C7F40</t>
  </si>
  <si>
    <t>0X553C810800100886</t>
  </si>
  <si>
    <t>0X1DC0C28C0420068</t>
  </si>
  <si>
    <t>0X6E98E22040</t>
  </si>
  <si>
    <t>0X5908869000100086</t>
  </si>
  <si>
    <t>0X800C2A80404002</t>
  </si>
  <si>
    <t>0X6F651245C0</t>
  </si>
  <si>
    <t>0X5D3C813000100886</t>
  </si>
  <si>
    <t>0X1C00C2660400001</t>
  </si>
  <si>
    <t>DPMB_SOCKET0__COMPUTE2__UNCORE__CHA__CHA135__UTIL__MC_STATUS</t>
  </si>
  <si>
    <t>CHA135</t>
  </si>
  <si>
    <t>0X6855C67DC0</t>
  </si>
  <si>
    <t>0X6108869C00100086</t>
  </si>
  <si>
    <t>0X800C20E0402000</t>
  </si>
  <si>
    <t>0X7B9F49A840</t>
  </si>
  <si>
    <t>0X523C811400100886</t>
  </si>
  <si>
    <t>0X1C00C20A0422000</t>
  </si>
  <si>
    <t>0X7A63AC0540</t>
  </si>
  <si>
    <t>0X563C811000100886</t>
  </si>
  <si>
    <t>0X1C00C2EA0422000</t>
  </si>
  <si>
    <t>0X76422CE900</t>
  </si>
  <si>
    <t>0X5A08868000100086</t>
  </si>
  <si>
    <t>0X800C2540400003</t>
  </si>
  <si>
    <t>0X76C0005740</t>
  </si>
  <si>
    <t>0X5E3C812C00100886</t>
  </si>
  <si>
    <t>0X9C00C2080408007</t>
  </si>
  <si>
    <t>0X1878E17DC0</t>
  </si>
  <si>
    <t>0X623C812800100886</t>
  </si>
  <si>
    <t>0X1C0162500026007</t>
  </si>
  <si>
    <t>0X10E460FF40</t>
  </si>
  <si>
    <t>0X533C810800100886</t>
  </si>
  <si>
    <t>0X1C0162940034003</t>
  </si>
  <si>
    <t>0X68DA7DE840</t>
  </si>
  <si>
    <t>0X573C810400100886</t>
  </si>
  <si>
    <t>0X1C00C2000408004</t>
  </si>
  <si>
    <t>0X6EEE9C7E80</t>
  </si>
  <si>
    <t>0X5B3C810000100886</t>
  </si>
  <si>
    <t>0X1C00C28C0420003</t>
  </si>
  <si>
    <t>0X7993786F40</t>
  </si>
  <si>
    <t>0X5F00C20400160086</t>
  </si>
  <si>
    <t>0X800C2300438883</t>
  </si>
  <si>
    <t>0X7A4966CB00</t>
  </si>
  <si>
    <t>0X643C813400100886</t>
  </si>
  <si>
    <t>0X1C00C27A042E002</t>
  </si>
  <si>
    <t>0X66DCA49A40</t>
  </si>
  <si>
    <t>0X681C802C00100886</t>
  </si>
  <si>
    <t>0X1C00C2E8043400A</t>
  </si>
  <si>
    <t>0X2DA6DD80</t>
  </si>
  <si>
    <t>0X6C1C802400104886</t>
  </si>
  <si>
    <t>0X1C0202CC0022003</t>
  </si>
  <si>
    <t>DPMB_SOCKET0__COMPUTE2__UNCORE__CHA__CHA155__UTIL__MC_STATUS</t>
  </si>
  <si>
    <t>CHA155</t>
  </si>
  <si>
    <t>0X1BFB44EBC0</t>
  </si>
  <si>
    <t>0X703C811400100886</t>
  </si>
  <si>
    <t>0X1C0222B60026000</t>
  </si>
  <si>
    <t>MEM11</t>
  </si>
  <si>
    <t>0X49C584980</t>
  </si>
  <si>
    <t>0X741C803000100886</t>
  </si>
  <si>
    <t>0X1C022288002E001</t>
  </si>
  <si>
    <t>DPMB_SOCKET0__COMPUTE2__UNCORE__CHA__CHA157__UTIL__MC_STATUS</t>
  </si>
  <si>
    <t>CHA157</t>
  </si>
  <si>
    <t>0X75C4E74FC0</t>
  </si>
  <si>
    <t>0X650886A800100086</t>
  </si>
  <si>
    <t>0X800C296040A002</t>
  </si>
  <si>
    <t>DPMB_SOCKET0__COMPUTE2__UNCORE__CHA__CHA158__UTIL__MC_STATUS</t>
  </si>
  <si>
    <t>0X61E404FF00</t>
  </si>
  <si>
    <t>0X6928868400100886</t>
  </si>
  <si>
    <t>0X41000C2A6042A000</t>
  </si>
  <si>
    <t>DPMB_SOCKET0__COMPUTE2__UNCORE__CHA__CHA162__UTIL__MC_STATUS</t>
  </si>
  <si>
    <t>0X763017F980</t>
  </si>
  <si>
    <t>0X710018C000167086</t>
  </si>
  <si>
    <t>0X800C32C0420000</t>
  </si>
  <si>
    <t>0X13E0A0BA40</t>
  </si>
  <si>
    <t>0X753C810C00100886</t>
  </si>
  <si>
    <t>0X1C020202002E004</t>
  </si>
  <si>
    <t>0X6E43A5BCC0</t>
  </si>
  <si>
    <t>0X6E08869800100086</t>
  </si>
  <si>
    <t>0X800C26A0428000</t>
  </si>
  <si>
    <t>0X68DA7E1C00</t>
  </si>
  <si>
    <t>0X720886B800100086</t>
  </si>
  <si>
    <t>0X800C2000408003</t>
  </si>
  <si>
    <t>0X67BD47ED80</t>
  </si>
  <si>
    <t>0X763C810400100886</t>
  </si>
  <si>
    <t>0X1C00C2740400004</t>
  </si>
  <si>
    <t>0X7B31598000</t>
  </si>
  <si>
    <t>0X663C810400100886</t>
  </si>
  <si>
    <t>0X1C00C27E0400040</t>
  </si>
  <si>
    <t>0X7B3F158240</t>
  </si>
  <si>
    <t>0X6A3C810000100886</t>
  </si>
  <si>
    <t>0X1C00C268043000A</t>
  </si>
  <si>
    <t>0X75D3298E40</t>
  </si>
  <si>
    <t>0X6F0886AC00100086</t>
  </si>
  <si>
    <t>0X800C202043C001</t>
  </si>
  <si>
    <t>0X730BB67BC0</t>
  </si>
  <si>
    <t>0X7308869000100086</t>
  </si>
  <si>
    <t>0X800C2D20426003</t>
  </si>
  <si>
    <t>0X6EEE9C77C0</t>
  </si>
  <si>
    <t>0X773C810400100886</t>
  </si>
  <si>
    <t>0X1C00C28C042E009</t>
  </si>
  <si>
    <t>0X74C7A88240</t>
  </si>
  <si>
    <t>0X1C00C2360426006</t>
  </si>
  <si>
    <t>0X68DA7E1CC0</t>
  </si>
  <si>
    <t>0X6B0886A000100086</t>
  </si>
  <si>
    <t>0X800C2000408000</t>
  </si>
  <si>
    <t>DPMB_SOCKET1__COMPUTE0__UNCORE__CHA__CHA27__UTIL__MC_STATUS</t>
  </si>
  <si>
    <t>DPMB_SOCKET1__COMPUTE0__UNCORE__CHA__CHA31__UTIL__MC_STATUS</t>
  </si>
  <si>
    <t>DPMB_SOCKET1__COMPUTE0__UNCORE__CHA__CHA35__UTIL__MC_STATUS</t>
  </si>
  <si>
    <t>0X174FCF8840</t>
  </si>
  <si>
    <t>0X150886BC00100086</t>
  </si>
  <si>
    <t>0X801E2EC0014006</t>
  </si>
  <si>
    <t>0X7B3F17F140</t>
  </si>
  <si>
    <t>0X1900EF1C00100086</t>
  </si>
  <si>
    <t>0X94842338500060</t>
  </si>
  <si>
    <t>DPMB_SOCKET1__COMPUTE0__UNCORE__CHA__CHA50__UTIL__MC_STATUS</t>
  </si>
  <si>
    <t>DPMB_SOCKET1__COMPUTE0__UNCORE__CHA__CHA57__UTIL__MC_STATUS</t>
  </si>
  <si>
    <t>0X6DB656B140</t>
  </si>
  <si>
    <t>0X4E00EF1800100086</t>
  </si>
  <si>
    <t>0X9C8429D8500060</t>
  </si>
  <si>
    <t>DPMB_SOCKET1__COMPUTE1__UNCORE__CHA__CHA116__UTIL__MC_STATUS</t>
  </si>
  <si>
    <t>DPMB_SOCKET1__COMPUTE1__UNCORE__CHA__CHA118__UTIL__MC_STATUS</t>
  </si>
  <si>
    <t>0X7E4BE1EC0</t>
  </si>
  <si>
    <t>0X400018D800161086</t>
  </si>
  <si>
    <t>0X801832C00103C0</t>
  </si>
  <si>
    <t>DPMB_SOCKET1__COMPUTE1__UNCORE__CHA__CHA119__UTIL__MC_STATUS</t>
  </si>
  <si>
    <t>0X11EE665300</t>
  </si>
  <si>
    <t>0X290018D400142086</t>
  </si>
  <si>
    <t>0X800E32C000A420</t>
  </si>
  <si>
    <t>LLC_E</t>
  </si>
  <si>
    <t>DPMB_SOCKET1__COMPUTE1__UNCORE__CHA__CHA67__UTIL__MC_STATUS</t>
  </si>
  <si>
    <t>0XEC27714C0</t>
  </si>
  <si>
    <t>0X380886C000100086</t>
  </si>
  <si>
    <t>0X800E25A0002000</t>
  </si>
  <si>
    <t>DPMB_SOCKET1__COMPUTE1__UNCORE__CHA__CHA80__UTIL__MC_STATUS</t>
  </si>
  <si>
    <t>DPMB_SOCKET1__COMPUTE1__UNCORE__CHA__CHA81__UTIL__MC_STATUS</t>
  </si>
  <si>
    <t>DPMB_SOCKET1__COMPUTE1__UNCORE__CHA__CHA84__UTIL__MC_STATUS</t>
  </si>
  <si>
    <t>DPMB_SOCKET1__COMPUTE1__UNCORE__CHA__CHA89__UTIL__MC_STATUS</t>
  </si>
  <si>
    <t>DPMB_SOCKET1__COMPUTE1__UNCORE__CHA__CHA96__UTIL__MC_STATUS</t>
  </si>
  <si>
    <t>CHA96</t>
  </si>
  <si>
    <t>0X4C02813C00100886</t>
  </si>
  <si>
    <t>0X1C01A3CE0413260</t>
  </si>
  <si>
    <t>KRdData</t>
  </si>
  <si>
    <t>DPMB_SOCKET1__COMPUTE2__UNCORE__CHA__CHA122__UTIL__MC_STATUS</t>
  </si>
  <si>
    <t>DPMB_SOCKET1__COMPUTE2__UNCORE__CHA__CHA128__UTIL__MC_STATUS</t>
  </si>
  <si>
    <t>0X7675CFC140</t>
  </si>
  <si>
    <t>0X5100EF0400100086</t>
  </si>
  <si>
    <t>0X9C842A38500060</t>
  </si>
  <si>
    <t>DPMB_SOCKET1__COMPUTE2__UNCORE__CHA__CHA134__UTIL__MC_STATUS</t>
  </si>
  <si>
    <t>DPMB_SOCKET1__COMPUTE2__UNCORE__CHA__CHA135__UTIL__MC_STATUS</t>
  </si>
  <si>
    <t>0X19B82A4140</t>
  </si>
  <si>
    <t>0X6300EF0800100086</t>
  </si>
  <si>
    <t>0X9C842C78500060</t>
  </si>
  <si>
    <t>DPMB_SOCKET1__COMPUTE2__UNCORE__CHA__CHA157__UTIL__MC_STATUS</t>
  </si>
  <si>
    <t>DPMB_SOCKET1__COMPUTE2__UNCORE__CHA__CHA161__UTIL__MC_STATUS</t>
  </si>
  <si>
    <t>0X15BE7D2000</t>
  </si>
  <si>
    <t>0X6E00C21400160086</t>
  </si>
  <si>
    <t>0X802225C0012803</t>
  </si>
  <si>
    <t>DPMB_SOCKET1__COMPUTE2__UNCORE__CHA__CHA171__UTIL__MC_STATUS</t>
  </si>
  <si>
    <t>DPMB_SOCKET1__COMPUTE2__UNCORE__CHA__CHA172__UTIL__MC_STATUS</t>
  </si>
  <si>
    <t>DPMB_SOCKET1__COMPUTE2__UNCORE__CHA__CHA176__UTIL__MC_STATUS</t>
  </si>
  <si>
    <t>DPMB_SOCKET1__COMPUTE2__UNCORE__CHA__CHA177__UTIL__MC_STATUS</t>
  </si>
  <si>
    <t>0X64604F2140</t>
  </si>
  <si>
    <t>0XEF7800100086</t>
  </si>
  <si>
    <t>0X9C842018120060</t>
  </si>
  <si>
    <t>0X7651CC5140</t>
  </si>
  <si>
    <t>0X1200EF7800100086</t>
  </si>
  <si>
    <t>0X98842258120060</t>
  </si>
  <si>
    <t>0X6DB92EF140</t>
  </si>
  <si>
    <t>0X2100EF7800100086</t>
  </si>
  <si>
    <t>0X9C842438120060</t>
  </si>
  <si>
    <t>0XFE000000000F0408</t>
  </si>
  <si>
    <t>COH_TT_ERR</t>
  </si>
  <si>
    <t>0XC76440900</t>
  </si>
  <si>
    <t>0X2A02859A85900086</t>
  </si>
  <si>
    <t>0X1C46C3CE410A980</t>
  </si>
  <si>
    <t>N/A</t>
  </si>
  <si>
    <t>MMIO</t>
  </si>
  <si>
    <t>0X63F0497140</t>
  </si>
  <si>
    <t>0X698405B140</t>
  </si>
  <si>
    <t>0XB00EF7800100086</t>
  </si>
  <si>
    <t>0X94842178500060</t>
  </si>
  <si>
    <t>0X11A6048140</t>
  </si>
  <si>
    <t>0X500EF3000100086</t>
  </si>
  <si>
    <t>0X988420B8500060</t>
  </si>
  <si>
    <t>DPMB_SOCKET1__COMPUTE0__UNCORE__CHA__CHA3__UTIL__MC_STATUS</t>
  </si>
  <si>
    <t>0X71BAD99140</t>
  </si>
  <si>
    <t>0X600EF7800100086</t>
  </si>
  <si>
    <t>0X988420D8520060</t>
  </si>
  <si>
    <t>0X7E420DF140</t>
  </si>
  <si>
    <t>0X1500EF0800100086</t>
  </si>
  <si>
    <t>0X988422B8520060</t>
  </si>
  <si>
    <t>0X6C06D88140</t>
  </si>
  <si>
    <t>0X2200EF5000100086</t>
  </si>
  <si>
    <t>0X94842458500060</t>
  </si>
  <si>
    <t>0X1A70090140</t>
  </si>
  <si>
    <t>0X2600EF2800100086</t>
  </si>
  <si>
    <t>0X948424D8500060</t>
  </si>
  <si>
    <t>0X17F4EA7140</t>
  </si>
  <si>
    <t>0X2300EF5400100086</t>
  </si>
  <si>
    <t>0X9C842478520060</t>
  </si>
  <si>
    <t>DPMB_SOCKET1__COMPUTE0__UNCORE__CHA__CHA7__UTIL__MC_STATUS</t>
  </si>
  <si>
    <t>0X7C00E24140</t>
  </si>
  <si>
    <t>0XD00EF2000100086</t>
  </si>
  <si>
    <t>0X948421B8520060</t>
  </si>
  <si>
    <t>0X717DBCC140</t>
  </si>
  <si>
    <t>0X1100EF4400100086</t>
  </si>
  <si>
    <t>0X1F649C2140</t>
  </si>
  <si>
    <t>0X200EF1C00100086</t>
  </si>
  <si>
    <t>0X9C842058520060</t>
  </si>
  <si>
    <t>0XBE010E140</t>
  </si>
  <si>
    <t>0X4200EF0000100086</t>
  </si>
  <si>
    <t>0X9C842858520060</t>
  </si>
  <si>
    <t>0X6360F77140</t>
  </si>
  <si>
    <t>0X4A00EF1800100086</t>
  </si>
  <si>
    <t>0X94842958500060</t>
  </si>
  <si>
    <t>0X1A20B4F140</t>
  </si>
  <si>
    <t>0X2800EF3800100086</t>
  </si>
  <si>
    <t>0X9C842518520060</t>
  </si>
  <si>
    <t>0X97E1AA140</t>
  </si>
  <si>
    <t>0X2D00EF3400100086</t>
  </si>
  <si>
    <t>0X988425B8520060</t>
  </si>
  <si>
    <t>0X6B6C08140</t>
  </si>
  <si>
    <t>0X3100EF0C00100086</t>
  </si>
  <si>
    <t>0X9C842638500060</t>
  </si>
  <si>
    <t>0X78D11B2140</t>
  </si>
  <si>
    <t>0X3500EF0C00100086</t>
  </si>
  <si>
    <t>0X9C8426B8520060</t>
  </si>
  <si>
    <t>0X2A2886B000100886</t>
  </si>
  <si>
    <t>0X41000C290003E000</t>
  </si>
  <si>
    <t>0X66A886140</t>
  </si>
  <si>
    <t>0X2C00EF7800100086</t>
  </si>
  <si>
    <t>0X9C842598500060</t>
  </si>
  <si>
    <t>0X6F856D5140</t>
  </si>
  <si>
    <t>0X4500EF7800100086</t>
  </si>
  <si>
    <t>0X9C8428B8500060</t>
  </si>
  <si>
    <t>0X6CF6CEF140</t>
  </si>
  <si>
    <t>0X3D00EF2800100086</t>
  </si>
  <si>
    <t>0X9C8427B8520060</t>
  </si>
  <si>
    <t>0X15C5023140</t>
  </si>
  <si>
    <t>0X6000EF1000100086</t>
  </si>
  <si>
    <t>0X9C842C18520060</t>
  </si>
  <si>
    <t>0X6B7A1D0140</t>
  </si>
  <si>
    <t>0X5500EF0000100086</t>
  </si>
  <si>
    <t>0X9C842AB8500060</t>
  </si>
  <si>
    <t>0X21BBDC140</t>
  </si>
  <si>
    <t>0X5900EF0000100086</t>
  </si>
  <si>
    <t>0X9C842B38500060</t>
  </si>
  <si>
    <t>0X2A87ED140</t>
  </si>
  <si>
    <t>0X5600EF0000100086</t>
  </si>
  <si>
    <t>0X9C842AD8520060</t>
  </si>
  <si>
    <t>0X9E128D140</t>
  </si>
  <si>
    <t>0X6D00EF2400100086</t>
  </si>
  <si>
    <t>0X9C842DB8500060</t>
  </si>
  <si>
    <t>0X1ED8A39140</t>
  </si>
  <si>
    <t>0X6400EF4000100086</t>
  </si>
  <si>
    <t>0X98842C98520060</t>
  </si>
  <si>
    <t>0X614B140140</t>
  </si>
  <si>
    <t>0X7100EF1000100086</t>
  </si>
  <si>
    <t>0X94842E38500060</t>
  </si>
  <si>
    <t>0XA99B8E140</t>
  </si>
  <si>
    <t>0X7500EF7800100086</t>
  </si>
  <si>
    <t>0X94842EB8500060</t>
  </si>
  <si>
    <t>0X7F5206140</t>
  </si>
  <si>
    <t>0X6F00EF2C00100086</t>
  </si>
  <si>
    <t>0X9C842DF8520060</t>
  </si>
  <si>
    <t>0X674C726780</t>
  </si>
  <si>
    <t>0X620868000100086</t>
  </si>
  <si>
    <t>0X800C2500422004</t>
  </si>
  <si>
    <t>0X53CF402C0</t>
  </si>
  <si>
    <t>0XD3C811400100886</t>
  </si>
  <si>
    <t>0X1C0122A40026000</t>
  </si>
  <si>
    <t>0X7D0C383880</t>
  </si>
  <si>
    <t>0X113C810800100886</t>
  </si>
  <si>
    <t>0X1C00C2D0043E002</t>
  </si>
  <si>
    <t>0X6085219B80</t>
  </si>
  <si>
    <t>0X33C810000100886</t>
  </si>
  <si>
    <t>0X1C00C2360402003</t>
  </si>
  <si>
    <t>0X2117ABD7C0</t>
  </si>
  <si>
    <t>0X702006E00100086</t>
  </si>
  <si>
    <t>0X1C0103C80016B20</t>
  </si>
  <si>
    <t>0X1A165A080</t>
  </si>
  <si>
    <t>0XB3C812800100886</t>
  </si>
  <si>
    <t>0X1C01222E0018001</t>
  </si>
  <si>
    <t>0X648E54BA00</t>
  </si>
  <si>
    <t>0XE08868000100086</t>
  </si>
  <si>
    <t>0X800C26E0426001</t>
  </si>
  <si>
    <t>0X6B71254080</t>
  </si>
  <si>
    <t>0X428868400100886</t>
  </si>
  <si>
    <t>0X41000C2C80420000</t>
  </si>
  <si>
    <t>0X6085219BC0</t>
  </si>
  <si>
    <t>0X83C810000100886</t>
  </si>
  <si>
    <t>0X1C00C2360410004</t>
  </si>
  <si>
    <t>0X44D26DC00</t>
  </si>
  <si>
    <t>0XC3C810000100886</t>
  </si>
  <si>
    <t>0X1C0122A6001C005</t>
  </si>
  <si>
    <t>0X647045A080</t>
  </si>
  <si>
    <t>0XF3C810000100886</t>
  </si>
  <si>
    <t>0X1C00C2240400005</t>
  </si>
  <si>
    <t>0X648E54BAC0</t>
  </si>
  <si>
    <t>0X1308868800100086</t>
  </si>
  <si>
    <t>0X7E7C17E780</t>
  </si>
  <si>
    <t>0X13C810000100886</t>
  </si>
  <si>
    <t>0X1C00C2C80426005</t>
  </si>
  <si>
    <t>0X618D40A80</t>
  </si>
  <si>
    <t>0X143C811000100886</t>
  </si>
  <si>
    <t>0X1C01E2420022000</t>
  </si>
  <si>
    <t>0X44D26D500</t>
  </si>
  <si>
    <t>0X173C810400100886</t>
  </si>
  <si>
    <t>0X1C01C2A60016004</t>
  </si>
  <si>
    <t>0X747544DB40</t>
  </si>
  <si>
    <t>0X1C3C810800100886</t>
  </si>
  <si>
    <t>0X1C00C2C0042C006</t>
  </si>
  <si>
    <t>0X7D2CCD2E80</t>
  </si>
  <si>
    <t>0X2008868000100086</t>
  </si>
  <si>
    <t>0X800C2CE0422000</t>
  </si>
  <si>
    <t>0X66A27D3840</t>
  </si>
  <si>
    <t>0X243C810400100886</t>
  </si>
  <si>
    <t>0X1C00C2E0042A003</t>
  </si>
  <si>
    <t>0X12BB66DB40</t>
  </si>
  <si>
    <t>0X183C810400100886</t>
  </si>
  <si>
    <t>0X1C01E278001C004</t>
  </si>
  <si>
    <t>0X363DB41C0</t>
  </si>
  <si>
    <t>0X1D1C800400100886</t>
  </si>
  <si>
    <t>0X1C01E2B6000E006</t>
  </si>
  <si>
    <t>0X140826F500</t>
  </si>
  <si>
    <t>0X253C811000100886</t>
  </si>
  <si>
    <t>0X1C01C2B00016003</t>
  </si>
  <si>
    <t>0X674C7269C0</t>
  </si>
  <si>
    <t>0X190886A400100086</t>
  </si>
  <si>
    <t>0X800C2500422003</t>
  </si>
  <si>
    <t>0X44D26D5C0</t>
  </si>
  <si>
    <t>0X1E3C810800100886</t>
  </si>
  <si>
    <t>0X1C01C2A60018006</t>
  </si>
  <si>
    <t>0X764A235D00</t>
  </si>
  <si>
    <t>0X1C00C2DA0422001</t>
  </si>
  <si>
    <t>0X6E2AC9BD40</t>
  </si>
  <si>
    <t>0X1C00C2280422005</t>
  </si>
  <si>
    <t>0X6F549BD5C0</t>
  </si>
  <si>
    <t>0X1F00C21C00160086</t>
  </si>
  <si>
    <t>0X800C290042E885</t>
  </si>
  <si>
    <t>0X6643E24480</t>
  </si>
  <si>
    <t>0X2728868000100886</t>
  </si>
  <si>
    <t>0X41000C21C0422000</t>
  </si>
  <si>
    <t>0X6EC068F1C0</t>
  </si>
  <si>
    <t>0X160CC30400100086</t>
  </si>
  <si>
    <t>0X800C236042E88A</t>
  </si>
  <si>
    <t>0X618D40B80</t>
  </si>
  <si>
    <t>0X1B3C810800100886</t>
  </si>
  <si>
    <t>0X1C01C2420020001</t>
  </si>
  <si>
    <t>0X796723D480</t>
  </si>
  <si>
    <t>0X93C810C00100886</t>
  </si>
  <si>
    <t>0X1C00C2A80428006</t>
  </si>
  <si>
    <t>0X6EC07B12C0</t>
  </si>
  <si>
    <t>0X4608868400100086</t>
  </si>
  <si>
    <t>0X800C2360426000</t>
  </si>
  <si>
    <t>0X694B876F80</t>
  </si>
  <si>
    <t>0X4A3C810000100886</t>
  </si>
  <si>
    <t>0X1C00C20C0420005</t>
  </si>
  <si>
    <t>0X7F5BCE5140</t>
  </si>
  <si>
    <t>0X4D3C810C00100886</t>
  </si>
  <si>
    <t>0X1C00C2580424005</t>
  </si>
  <si>
    <t>0X648E54C540</t>
  </si>
  <si>
    <t>0X3D08868000100086</t>
  </si>
  <si>
    <t>0X800C26E0420005</t>
  </si>
  <si>
    <t>0X764A235940</t>
  </si>
  <si>
    <t>0X1C00C2DA0428001</t>
  </si>
  <si>
    <t>0X648E54D000</t>
  </si>
  <si>
    <t>0X4E3C811400100886</t>
  </si>
  <si>
    <t>0X1C00C26E0424001</t>
  </si>
  <si>
    <t>0X6E2AC9AC80</t>
  </si>
  <si>
    <t>0X3E20868000100086</t>
  </si>
  <si>
    <t>0X800C228042600A</t>
  </si>
  <si>
    <t>0X53CF40080</t>
  </si>
  <si>
    <t>0X433C813000100886</t>
  </si>
  <si>
    <t>0X1C01A2A4002C001</t>
  </si>
  <si>
    <t>0X6DB559EE80</t>
  </si>
  <si>
    <t>0X483C810000100886</t>
  </si>
  <si>
    <t>0X1C00C230042E003</t>
  </si>
  <si>
    <t>0X70C9E3CE40</t>
  </si>
  <si>
    <t>0X4C3C810800100886</t>
  </si>
  <si>
    <t>0X1C00C23A0400002</t>
  </si>
  <si>
    <t>0X796723BE00</t>
  </si>
  <si>
    <t>0X4F0886AC00100086</t>
  </si>
  <si>
    <t>0X800C2A80426004</t>
  </si>
  <si>
    <t>0X796723D6C0</t>
  </si>
  <si>
    <t>0X3F3C810400100886</t>
  </si>
  <si>
    <t>0X1C00C2A80420006</t>
  </si>
  <si>
    <t>0X6643E24140</t>
  </si>
  <si>
    <t>0X4428868400100886</t>
  </si>
  <si>
    <t>0X41000C21C043E000</t>
  </si>
  <si>
    <t>0X7BD146C840</t>
  </si>
  <si>
    <t>0X1C00C23E0420003</t>
  </si>
  <si>
    <t>0X10C608A4C0</t>
  </si>
  <si>
    <t>0X2E3C811000100886</t>
  </si>
  <si>
    <t>0X1C00C2EA0026002</t>
  </si>
  <si>
    <t>0X648E54CFC0</t>
  </si>
  <si>
    <t>0X323C810000100886</t>
  </si>
  <si>
    <t>0X1C00C26E0420007</t>
  </si>
  <si>
    <t>0X796723C7C0</t>
  </si>
  <si>
    <t>0X3608868000100086</t>
  </si>
  <si>
    <t>0X800C2A80426005</t>
  </si>
  <si>
    <t>0X6E2AC9A800</t>
  </si>
  <si>
    <t>0X3908868000100086</t>
  </si>
  <si>
    <t>0X800C2280428000</t>
  </si>
  <si>
    <t>0X796723C700</t>
  </si>
  <si>
    <t>0X2F08868000100086</t>
  </si>
  <si>
    <t>0X800C2A80424004</t>
  </si>
  <si>
    <t>0X603FFC6840</t>
  </si>
  <si>
    <t>0X333C810000100886</t>
  </si>
  <si>
    <t>0X1C00C2440024043</t>
  </si>
  <si>
    <t>0X6DB559EA00</t>
  </si>
  <si>
    <t>0X373C810000100886</t>
  </si>
  <si>
    <t>0X1C00C2300426003</t>
  </si>
  <si>
    <t>0X7F5BCE4180</t>
  </si>
  <si>
    <t>0X3A2086A400100086</t>
  </si>
  <si>
    <t>0X800C258042A002</t>
  </si>
  <si>
    <t>0X6DB559EB00</t>
  </si>
  <si>
    <t>0X70788D73C0</t>
  </si>
  <si>
    <t>0X343C810400100886</t>
  </si>
  <si>
    <t>0X1C00C2E8042C007</t>
  </si>
  <si>
    <t>0X7A2F41800</t>
  </si>
  <si>
    <t>0X3B3C810C00100886</t>
  </si>
  <si>
    <t>0X1C00E2D20028005</t>
  </si>
  <si>
    <t>0X7BD146B6C0</t>
  </si>
  <si>
    <t>0X4008868000100086</t>
  </si>
  <si>
    <t>0X800C23E0426000</t>
  </si>
  <si>
    <t>0X12EB740C80</t>
  </si>
  <si>
    <t>0X493C810C00100886</t>
  </si>
  <si>
    <t>0X1C01A22C0026000</t>
  </si>
  <si>
    <t>0X7AE3C00880</t>
  </si>
  <si>
    <t>0X411C800000100886</t>
  </si>
  <si>
    <t>0X1C00C290042A004</t>
  </si>
  <si>
    <t>0X603EBFF1C0</t>
  </si>
  <si>
    <t>0X501C800000100886</t>
  </si>
  <si>
    <t>0X1C0142440002006</t>
  </si>
  <si>
    <t>0X70789ACA80</t>
  </si>
  <si>
    <t>0X5428868000100886</t>
  </si>
  <si>
    <t>0X41000C2E80422000</t>
  </si>
  <si>
    <t>0X7E7C17EB40</t>
  </si>
  <si>
    <t>0X513C814000100886</t>
  </si>
  <si>
    <t>0X1C00C2C80430005</t>
  </si>
  <si>
    <t>0X6643E24740</t>
  </si>
  <si>
    <t>0X5828868000100886</t>
  </si>
  <si>
    <t>0X41000C21C0420000</t>
  </si>
  <si>
    <t>0X6E494EC740</t>
  </si>
  <si>
    <t>0X5C0CC31400100086</t>
  </si>
  <si>
    <t>0X800C2400426882</t>
  </si>
  <si>
    <t>0X796723C340</t>
  </si>
  <si>
    <t>0X5D08868800100086</t>
  </si>
  <si>
    <t>0X800C2A80428001</t>
  </si>
  <si>
    <t>0X603EBFF100</t>
  </si>
  <si>
    <t>0X611C800400100886</t>
  </si>
  <si>
    <t>0X1C0142440002000</t>
  </si>
  <si>
    <t>0X7E2551FE80</t>
  </si>
  <si>
    <t>0X523C811000100886</t>
  </si>
  <si>
    <t>0X1C00C2BA040E003</t>
  </si>
  <si>
    <t>0X6E49540440</t>
  </si>
  <si>
    <t>0X5A3C811800100886</t>
  </si>
  <si>
    <t>0X1C00C2400420000</t>
  </si>
  <si>
    <t>0X7BD146C4C0</t>
  </si>
  <si>
    <t>0X5E3C810400100886</t>
  </si>
  <si>
    <t>0X1C00C23E0424001</t>
  </si>
  <si>
    <t>0X1664F41C40</t>
  </si>
  <si>
    <t>0X623C810400100886</t>
  </si>
  <si>
    <t>0X1C016214002C006</t>
  </si>
  <si>
    <t>0X6E2AC9A440</t>
  </si>
  <si>
    <t>0X5308869000100086</t>
  </si>
  <si>
    <t>0X800C2280426006</t>
  </si>
  <si>
    <t>0X670B535100</t>
  </si>
  <si>
    <t>0X5728868000100886</t>
  </si>
  <si>
    <t>0X41000C28A0400000</t>
  </si>
  <si>
    <t>0X363DB59C0</t>
  </si>
  <si>
    <t>0X1C0162B60010005</t>
  </si>
  <si>
    <t>0X6EC06A5B40</t>
  </si>
  <si>
    <t>0X5F0CC30000100086</t>
  </si>
  <si>
    <t>0X800C236042E882</t>
  </si>
  <si>
    <t>0X7D6C845C00</t>
  </si>
  <si>
    <t>0X633C810800100886</t>
  </si>
  <si>
    <t>0X1DC0C2300404048</t>
  </si>
  <si>
    <t>0X6EC07B1A40</t>
  </si>
  <si>
    <t>0X6428869000100886</t>
  </si>
  <si>
    <t>0X41000C2360426000</t>
  </si>
  <si>
    <t>0X3069BB7180</t>
  </si>
  <si>
    <t>0X6802006A00100086</t>
  </si>
  <si>
    <t>0XC0203C8001CB80</t>
  </si>
  <si>
    <t>Wdata</t>
  </si>
  <si>
    <t>0X7D2CCD3000</t>
  </si>
  <si>
    <t>0X7020868000100086</t>
  </si>
  <si>
    <t>0X800C2CE0422001</t>
  </si>
  <si>
    <t>0XD65E99FC0</t>
  </si>
  <si>
    <t>0X743C810000100886</t>
  </si>
  <si>
    <t>0X1C0202C60002005</t>
  </si>
  <si>
    <t>0X674C726300</t>
  </si>
  <si>
    <t>0X6920868C00100086</t>
  </si>
  <si>
    <t>0X800C2500420003</t>
  </si>
  <si>
    <t>0X6DB559E800</t>
  </si>
  <si>
    <t>0X723C810800100886</t>
  </si>
  <si>
    <t>0X1C00C2300428001</t>
  </si>
  <si>
    <t>0X6B71253E40</t>
  </si>
  <si>
    <t>0X7628868400100886</t>
  </si>
  <si>
    <t>0X764A234BC0</t>
  </si>
  <si>
    <t>0X6608868000100086</t>
  </si>
  <si>
    <t>0X800C2DA0420003</t>
  </si>
  <si>
    <t>0X7E2551F7C0</t>
  </si>
  <si>
    <t>0X6A3C813400100886</t>
  </si>
  <si>
    <t>0X1C00C2BA0402004</t>
  </si>
  <si>
    <t>0X764A234B00</t>
  </si>
  <si>
    <t>0X6F08868000100086</t>
  </si>
  <si>
    <t>0X800C2DA0422005</t>
  </si>
  <si>
    <t>0X7D2CCD3E40</t>
  </si>
  <si>
    <t>0X733C811000100886</t>
  </si>
  <si>
    <t>0X9C00C2CE0428001</t>
  </si>
  <si>
    <t>0X7BD146CA00</t>
  </si>
  <si>
    <t>0X773C810000100886</t>
  </si>
  <si>
    <t>0X1C00C23E042A003</t>
  </si>
  <si>
    <t>0X7AE3C00740</t>
  </si>
  <si>
    <t>0X671C800C00100886</t>
  </si>
  <si>
    <t>0X1C00C290042E005</t>
  </si>
  <si>
    <t>0X6DB559D3C0</t>
  </si>
  <si>
    <t>0X6B0886A800100086</t>
  </si>
  <si>
    <t>0X800C2300424005</t>
  </si>
  <si>
    <t>DPMB_SOCKET1__COMPUTE0__UNCORE__CHA__CHA16__UTIL__MC_STATUS</t>
  </si>
  <si>
    <t>DPMB_SOCKET1__COMPUTE0__UNCORE__CHA__CHA21__UTIL__MC_STATUS</t>
  </si>
  <si>
    <t>DPMB_SOCKET1__COMPUTE0__UNCORE__CHA__CHA36__UTIL__MC_STATUS</t>
  </si>
  <si>
    <t>DPMB_SOCKET1__COMPUTE0__UNCORE__CHA__CHA58__UTIL__MC_STATUS</t>
  </si>
  <si>
    <t>DPMB_SOCKET1__COMPUTE0__UNCORE__CHA__CHA6__UTIL__MC_STATUS</t>
  </si>
  <si>
    <t>DPMB_SOCKET1__COMPUTE1__UNCORE__CHA__CHA102__UTIL__MC_STATUS</t>
  </si>
  <si>
    <t>DPMB_SOCKET1__COMPUTE1__UNCORE__CHA__CHA103__UTIL__MC_STATUS</t>
  </si>
  <si>
    <t>DPMB_SOCKET1__COMPUTE1__UNCORE__CHA__CHA111__UTIL__MC_STATUS</t>
  </si>
  <si>
    <t>DPMB_SOCKET1__COMPUTE1__UNCORE__CHA__CHA112__UTIL__MC_STATUS</t>
  </si>
  <si>
    <t>0X1D9AD3C580</t>
  </si>
  <si>
    <t>0X290018F000165086</t>
  </si>
  <si>
    <t>0X800E32C0003680</t>
  </si>
  <si>
    <t>DPMB_SOCKET1__COMPUTE1__UNCORE__CHA__CHA76__UTIL__MC_STATUS</t>
  </si>
  <si>
    <t>0X1A4DE21200</t>
  </si>
  <si>
    <t>0X3C0018D80016A086</t>
  </si>
  <si>
    <t>0X801A32C0022800</t>
  </si>
  <si>
    <t>0X780DD9600</t>
  </si>
  <si>
    <t>0X4C0018D800163086</t>
  </si>
  <si>
    <t>0X801A32C0001600</t>
  </si>
  <si>
    <t>DPMB_SOCKET1__COMPUTE2__UNCORE__CHA__CHA123__UTIL__MC_STATUS</t>
  </si>
  <si>
    <t>CHA123</t>
  </si>
  <si>
    <t>0X18347D2840</t>
  </si>
  <si>
    <t>0X5408869400105086</t>
  </si>
  <si>
    <t>0X80162120004000</t>
  </si>
  <si>
    <t>0XE97652C40</t>
  </si>
  <si>
    <t>0X510018F000166086</t>
  </si>
  <si>
    <t>0X801632C0003680</t>
  </si>
  <si>
    <t>DPMB_SOCKET1__COMPUTE2__UNCORE__CHA__CHA136__UTIL__MC_STATUS</t>
  </si>
  <si>
    <t>DPMB_SOCKET1__COMPUTE2__UNCORE__CHA__CHA142__UTIL__MC_STATUS</t>
  </si>
  <si>
    <t>DPMB_SOCKET1__COMPUTE2__UNCORE__CHA__CHA156__UTIL__MC_STATUS</t>
  </si>
  <si>
    <t>0X674C727840</t>
  </si>
  <si>
    <t>0X6E02810800100886</t>
  </si>
  <si>
    <t>0X1C0203C8041B9E0</t>
  </si>
  <si>
    <t>0XAA1110DC0</t>
  </si>
  <si>
    <t>0X650018F00016A086</t>
  </si>
  <si>
    <t>0X802232C0022000</t>
  </si>
  <si>
    <t>DPMB_SOCKET1__COMPUTE2__UNCORE__CHA__CHA165__UTIL__MC_STATUS</t>
  </si>
  <si>
    <t>0XA524EF3C0</t>
  </si>
  <si>
    <t>0X6A08869000100086</t>
  </si>
  <si>
    <t>0X80222600000000</t>
  </si>
  <si>
    <t>DPMB_SOCKET1__COMPUTE2__UNCORE__CHA__CHA170__UTIL__MC_STATUS</t>
  </si>
  <si>
    <t>759B5H7700068</t>
  </si>
  <si>
    <t>0X745ED017C0</t>
  </si>
  <si>
    <t>0XB02006E00162086</t>
  </si>
  <si>
    <t>0X103C80402E60</t>
  </si>
  <si>
    <t>0X1DF8920D00</t>
  </si>
  <si>
    <t>0X20285EA85900086</t>
  </si>
  <si>
    <t>0X46C3CA4100900</t>
  </si>
  <si>
    <t>0X663266A140</t>
  </si>
  <si>
    <t>0X700EF1800100086</t>
  </si>
  <si>
    <t>0X9C8420F8120060</t>
  </si>
  <si>
    <t>0X1F5D5F6140</t>
  </si>
  <si>
    <t>0X9C842178120060</t>
  </si>
  <si>
    <t>0XA2F55C140</t>
  </si>
  <si>
    <t>0X2000EF0000100086</t>
  </si>
  <si>
    <t>0X9C842418120060</t>
  </si>
  <si>
    <t>0X64A17E7140</t>
  </si>
  <si>
    <t>0X2500EF7800100086</t>
  </si>
  <si>
    <t>0X85D4F5140</t>
  </si>
  <si>
    <t>0X1C00EF1C00100086</t>
  </si>
  <si>
    <t>0X9C842398120060</t>
  </si>
  <si>
    <t>0X7E4E06E140</t>
  </si>
  <si>
    <t>0X3800EF1000100086</t>
  </si>
  <si>
    <t>0X7BDD10C140</t>
  </si>
  <si>
    <t>0X2E00EF0800100086</t>
  </si>
  <si>
    <t>0X9C8425D8120060</t>
  </si>
  <si>
    <t>0X69558C6140</t>
  </si>
  <si>
    <t>0X9C842C78120060</t>
  </si>
  <si>
    <t>0X67A2F61140</t>
  </si>
  <si>
    <t>0X6F00EF1800100086</t>
  </si>
  <si>
    <t>0X9C842DF8120060</t>
  </si>
  <si>
    <t>0X6B2AF0A140</t>
  </si>
  <si>
    <t>0XEF1000100086</t>
  </si>
  <si>
    <t>0X9C842018520060</t>
  </si>
  <si>
    <t>0X6255401140</t>
  </si>
  <si>
    <t>0X500EF2C00100086</t>
  </si>
  <si>
    <t>0X9C8420B8500060</t>
  </si>
  <si>
    <t>0XFE7CB7140</t>
  </si>
  <si>
    <t>0X1900EF0400100086</t>
  </si>
  <si>
    <t>0X9C842338500060</t>
  </si>
  <si>
    <t>0XE4CAF9140</t>
  </si>
  <si>
    <t>0X2200EF2800100086</t>
  </si>
  <si>
    <t>0X9C842458500060</t>
  </si>
  <si>
    <t>0X78B1AE8140</t>
  </si>
  <si>
    <t>0X1F00EF2800100086</t>
  </si>
  <si>
    <t>0X9C8423F8500060</t>
  </si>
  <si>
    <t>0X2300EF7800100086</t>
  </si>
  <si>
    <t>0X6E09F83140</t>
  </si>
  <si>
    <t>0X1100EF2800100086</t>
  </si>
  <si>
    <t>0X22886A000100886</t>
  </si>
  <si>
    <t>0X4100122380026000</t>
  </si>
  <si>
    <t>0X7D0761C140</t>
  </si>
  <si>
    <t>0X4200EF2000100086</t>
  </si>
  <si>
    <t>0X78E9836140</t>
  </si>
  <si>
    <t>0X4A00EF7800100086</t>
  </si>
  <si>
    <t>0X9C842958500060</t>
  </si>
  <si>
    <t>0X4E00EF0000100086</t>
  </si>
  <si>
    <t>0X2800EF7800100086</t>
  </si>
  <si>
    <t>0X61133ED140</t>
  </si>
  <si>
    <t>0X2D00EF0000100086</t>
  </si>
  <si>
    <t>0X9C8425B8520060</t>
  </si>
  <si>
    <t>0X94DF0D140</t>
  </si>
  <si>
    <t>0X50A587140</t>
  </si>
  <si>
    <t>0X3500EF1C00100086</t>
  </si>
  <si>
    <t>0X6720026140</t>
  </si>
  <si>
    <t>0X3200EF2400100086</t>
  </si>
  <si>
    <t>0X9C842658520060</t>
  </si>
  <si>
    <t>0X77A9027140</t>
  </si>
  <si>
    <t>0X2C00EF3C00100086</t>
  </si>
  <si>
    <t>0X688D0A0140</t>
  </si>
  <si>
    <t>0X4100EF7800100086</t>
  </si>
  <si>
    <t>0X98842838500060</t>
  </si>
  <si>
    <t>0X6F856F3140</t>
  </si>
  <si>
    <t>0X4500EF2000100086</t>
  </si>
  <si>
    <t>0X1D7C23E140</t>
  </si>
  <si>
    <t>0X3D00EF2C00100086</t>
  </si>
  <si>
    <t>0X5C00EF0800100086</t>
  </si>
  <si>
    <t>0X9C842B98520060</t>
  </si>
  <si>
    <t>0X7E55791140</t>
  </si>
  <si>
    <t>0X5100EF3800100086</t>
  </si>
  <si>
    <t>0X94842A38500060</t>
  </si>
  <si>
    <t>0X633DA96140</t>
  </si>
  <si>
    <t>0X5900EF0C00100086</t>
  </si>
  <si>
    <t>0X94842B38500060</t>
  </si>
  <si>
    <t>0X64F99B5140</t>
  </si>
  <si>
    <t>0X5A00EF3000100086</t>
  </si>
  <si>
    <t>0X9C842B58520060</t>
  </si>
  <si>
    <t>0X753EE91140</t>
  </si>
  <si>
    <t>0X5B00EF0400100086</t>
  </si>
  <si>
    <t>0X94842B78500060</t>
  </si>
  <si>
    <t>0X66B1D51140</t>
  </si>
  <si>
    <t>0X5F00EF1000100086</t>
  </si>
  <si>
    <t>0X9C842BF8500060</t>
  </si>
  <si>
    <t>0X7473DEB140</t>
  </si>
  <si>
    <t>0X6800EF2400100086</t>
  </si>
  <si>
    <t>0X9C842D18520060</t>
  </si>
  <si>
    <t>0XDC6795140</t>
  </si>
  <si>
    <t>0X6D00EF7800100086</t>
  </si>
  <si>
    <t>0X94842DB8500060</t>
  </si>
  <si>
    <t>0X98842E38500060</t>
  </si>
  <si>
    <t>1-1</t>
  </si>
  <si>
    <t>0XB79820B80</t>
  </si>
  <si>
    <t>0X202859685820086</t>
  </si>
  <si>
    <t>0X46C5CC4100801</t>
  </si>
  <si>
    <t>SF_S</t>
  </si>
  <si>
    <t>0X228868000100886</t>
  </si>
  <si>
    <t>0X4100122BE0006000</t>
  </si>
  <si>
    <t>0X77FEA3140</t>
  </si>
  <si>
    <t>0X5900EF7800100086</t>
  </si>
  <si>
    <t>0X9C842B38520060</t>
  </si>
  <si>
    <t>0X609E189140</t>
  </si>
  <si>
    <t>0X94842C78520060</t>
  </si>
  <si>
    <t>0X1BDD732780</t>
  </si>
  <si>
    <t>0XB02858685900086</t>
  </si>
  <si>
    <t>0XC46C3CC4102CC0</t>
  </si>
  <si>
    <t>0X6DB4F99140</t>
  </si>
  <si>
    <t>0X400EF0C00100086</t>
  </si>
  <si>
    <t>0X9C842098520060</t>
  </si>
  <si>
    <t>0X630A299140</t>
  </si>
  <si>
    <t>0X7000EF2C00100086</t>
  </si>
  <si>
    <t>0X9C842E18520060</t>
  </si>
  <si>
    <t>0X731C499C0</t>
  </si>
  <si>
    <t>0X40C3CE000A880</t>
  </si>
  <si>
    <t>74SC153000062</t>
  </si>
  <si>
    <t>0X28C215340</t>
  </si>
  <si>
    <t>0X208C2840216E086</t>
  </si>
  <si>
    <t>0X1025E0002600</t>
  </si>
  <si>
    <t>WbMtoE</t>
  </si>
  <si>
    <t>0X5EA05E5CC0</t>
  </si>
  <si>
    <t>0X6808C28C02160086</t>
  </si>
  <si>
    <t>0X2025E0002601</t>
  </si>
  <si>
    <t>0X1244EF6D40</t>
  </si>
  <si>
    <t>0X6108C29002160086</t>
  </si>
  <si>
    <t>0X1625E000C600</t>
  </si>
  <si>
    <t>0X2D14FDF40</t>
  </si>
  <si>
    <t>0X808C28C02162086</t>
  </si>
  <si>
    <t>0X1225E0006600</t>
  </si>
  <si>
    <t>0X14DE8</t>
  </si>
  <si>
    <t>scf_cha.0.cpuscf.22</t>
  </si>
  <si>
    <t>0X14DA2</t>
  </si>
  <si>
    <t>scf_cha.0.cpuscf.15</t>
  </si>
  <si>
    <t>0X1261700012617</t>
  </si>
  <si>
    <t>upiagent:lnmacmisc.0.pc5_5u2.7</t>
  </si>
  <si>
    <t>0X15E2E00015660</t>
  </si>
  <si>
    <t>scf_cha.0.cpuscf.98</t>
  </si>
  <si>
    <t>scf_cha.0.cpuscf.157</t>
  </si>
  <si>
    <t>0X155AC00012117</t>
  </si>
  <si>
    <t>upiagent:lnmacmisc.0.pc5_5u2.4</t>
  </si>
  <si>
    <t>scf_cha.0.cpuscf.80</t>
  </si>
  <si>
    <t>0X15D5C00015D70</t>
  </si>
  <si>
    <t>scf_cha.0.cpuscf.138</t>
  </si>
  <si>
    <t>scf_cha.0.cpuscf.136</t>
  </si>
  <si>
    <t>0X15D200001573C</t>
  </si>
  <si>
    <t>scf_cha.0.cpuscf.120</t>
  </si>
  <si>
    <t>scf_cha.0.cpuscf.130</t>
  </si>
  <si>
    <t>0X348160003503A</t>
  </si>
  <si>
    <t>core_coregp.0.cpucore.122</t>
  </si>
  <si>
    <t>0X3582500035032</t>
  </si>
  <si>
    <t>core_coregp.0.cpucore.114</t>
  </si>
  <si>
    <t>0X3481000034814</t>
  </si>
  <si>
    <t>core_coregp.0.cpucore.20</t>
  </si>
  <si>
    <t>core_coregp.0.cpucore.16</t>
  </si>
  <si>
    <t>0X358300003482C</t>
  </si>
  <si>
    <t>core_coregp.0.cpucore.44</t>
  </si>
  <si>
    <t>0X3503900035025</t>
  </si>
  <si>
    <t>core_coregp.0.cpucore.101</t>
  </si>
  <si>
    <t>core_coregp.0.cpucore.121</t>
  </si>
  <si>
    <t>0X3501800035039</t>
  </si>
  <si>
    <t>0X14D8E</t>
  </si>
  <si>
    <t>scf_cha.0.cpuscf.13</t>
  </si>
  <si>
    <t>0X14DAC00012517</t>
  </si>
  <si>
    <t>scf_cha.0.cpuscf.16</t>
  </si>
  <si>
    <t>0X14D6600015700</t>
  </si>
  <si>
    <t>0X14DAC00012217</t>
  </si>
  <si>
    <t>upiagent:lnmacmisc.0.pc5_5u2.5</t>
  </si>
  <si>
    <t>0X14D6600015E2E</t>
  </si>
  <si>
    <t>0X14E1A00012217</t>
  </si>
  <si>
    <t>scf_cha.0.cpuscf.27</t>
  </si>
  <si>
    <t>0X15F3200014DF2</t>
  </si>
  <si>
    <t>scf_cha.0.cpuscf.23</t>
  </si>
  <si>
    <t>scf_cha.0.cpuscf.183</t>
  </si>
  <si>
    <t>0X3481B0003581D</t>
  </si>
  <si>
    <t>core_coregp.0.cpucore.157</t>
  </si>
  <si>
    <t>core_coregp.0.cpucore.27</t>
  </si>
  <si>
    <t>0X3480000035022</t>
  </si>
  <si>
    <t>core_coregp.0.cpucore.98</t>
  </si>
  <si>
    <t>core_coregp.0.cpucore.0</t>
  </si>
  <si>
    <t>0X3481E00034801</t>
  </si>
  <si>
    <t>core_coregp.0.cpucore.1</t>
  </si>
  <si>
    <t>0X3502200035806</t>
  </si>
  <si>
    <t>core_coregp.0.cpucore.134</t>
  </si>
  <si>
    <t>0X3501C0003581D</t>
  </si>
  <si>
    <t>core_coregp.0.cpucore.92</t>
  </si>
  <si>
    <t>0X3580600035018</t>
  </si>
  <si>
    <t>0X14DAC</t>
  </si>
  <si>
    <t>0X15F50</t>
  </si>
  <si>
    <t>scf_cha.0.cpuscf.186</t>
  </si>
  <si>
    <t>0X15DA2</t>
  </si>
  <si>
    <t>scf_cha.0.cpuscf.143</t>
  </si>
  <si>
    <t>0X14D48</t>
  </si>
  <si>
    <t>scf_cha.0.cpuscf.6</t>
  </si>
  <si>
    <t>0XFFFFFFFF4405E16F</t>
  </si>
  <si>
    <t>0XFFFFFF7F12EAEB96</t>
  </si>
  <si>
    <t>0XFFFFFF7F0134E264</t>
  </si>
  <si>
    <t>0XFFFFFFFF4405AC44</t>
  </si>
  <si>
    <t>0XFFFFFFFF12EAE7AF</t>
  </si>
  <si>
    <t>0XFFFFFFFF4405B12E</t>
  </si>
  <si>
    <t>0XFFFFFFFF12EAEA56</t>
  </si>
  <si>
    <t>0XFFFFFFFF0134DF45</t>
  </si>
  <si>
    <t>DPMB_SOCKET0__COMPUTE0__CPU__CORE36__ML2_CR_MC3_STATUS</t>
  </si>
  <si>
    <t>0XFFFFFFFF328FCAEB</t>
  </si>
  <si>
    <t>0XFFFFFF7F4405AB50</t>
  </si>
  <si>
    <t>0XFFFFFF7F328FCAEB</t>
  </si>
  <si>
    <t>0XFFFFFF7F4405D090</t>
  </si>
  <si>
    <t>0XFFFFFFFF12EAED64</t>
  </si>
  <si>
    <t>0XFFFFFFFF4405FFB0</t>
  </si>
  <si>
    <t>0XFFFFFFFF12EAED4C</t>
  </si>
  <si>
    <t>0XFFFFFF7F12EAEC6E</t>
  </si>
  <si>
    <t>0XFFFFFF7F4405AC44</t>
  </si>
  <si>
    <t>0XFFFFFF7F44063A00</t>
  </si>
  <si>
    <t>0XFFFFFF7F4405D085</t>
  </si>
  <si>
    <t>0XFFFFFF7F4405FDF7</t>
  </si>
  <si>
    <t>0XFFFFFFFF4405AB57</t>
  </si>
  <si>
    <t>0XFFFFFF7F440638EB</t>
  </si>
  <si>
    <t>0XFFFFFFFF12EAEB15</t>
  </si>
  <si>
    <t>0XFFFFFFFF12EAEA76</t>
  </si>
  <si>
    <t>0XFFFFFFFF4405AAE4</t>
  </si>
  <si>
    <t>0XFFFFFFFF12EAEB36</t>
  </si>
  <si>
    <t>0XFFFFFFFF4405FFB4</t>
  </si>
  <si>
    <t>0XFFFFFFFF4405FD24</t>
  </si>
  <si>
    <t>0XFFFFFFFF4405E163</t>
  </si>
  <si>
    <t>0XFFFFFFFF4405B59E</t>
  </si>
  <si>
    <t>0XFFFFFFFF44063A87</t>
  </si>
  <si>
    <t>0XFFFFFFFF4405D162</t>
  </si>
  <si>
    <t>0XFFFFFFFF63DDF8D7</t>
  </si>
  <si>
    <t>0XFFFFFFFF63DDFE8D</t>
  </si>
  <si>
    <t>0XFFFFFFFF63DDFBC0</t>
  </si>
  <si>
    <t>0XFFFFFF7F0134E0EE</t>
  </si>
  <si>
    <t>0XFFFFFF7F63DDFDD9</t>
  </si>
  <si>
    <t>0X3AFB68C80A90</t>
  </si>
  <si>
    <t>0XFFFF830425C26690</t>
  </si>
  <si>
    <t>0X10468C80A00</t>
  </si>
  <si>
    <t>0XFFFF830425C265A0</t>
  </si>
  <si>
    <t>0XFFFFB8FB25C2AE10</t>
  </si>
  <si>
    <t>0X10468C80767</t>
  </si>
  <si>
    <t>0XFFFF830425C08571</t>
  </si>
  <si>
    <t>0XFFFFB8FB25C2A9C2</t>
  </si>
  <si>
    <t>0X3AFB68C80930</t>
  </si>
  <si>
    <t>0XFFFFB8FB25C2A8D8</t>
  </si>
  <si>
    <t>0XFFFFB8FB25C2A8C0</t>
  </si>
  <si>
    <t>0XFFFF830425C265A7</t>
  </si>
  <si>
    <t>0X10425C08056</t>
  </si>
  <si>
    <t>0X3AFB68C825E0</t>
  </si>
  <si>
    <t>0XFFFF830425C0857B</t>
  </si>
  <si>
    <t>0XFFFF830425C265AD</t>
  </si>
  <si>
    <t>0XFFFFB8FB25C2A990</t>
  </si>
  <si>
    <t>0XFFFF830425C27AED</t>
  </si>
  <si>
    <t>0X10468C80867</t>
  </si>
  <si>
    <t>0XFFFFB8FB25C2A9A0</t>
  </si>
  <si>
    <t>0XFFFFB8FB25C08310</t>
  </si>
  <si>
    <t>0XFFFF830468C867F1</t>
  </si>
  <si>
    <t>0X3AFB68C82688</t>
  </si>
  <si>
    <t>0XFFFFB8FB25C08056</t>
  </si>
  <si>
    <t>0X10468C80A90</t>
  </si>
  <si>
    <t>0X10468C80930</t>
  </si>
  <si>
    <t>0XFFFFB8FB25C27A17</t>
  </si>
  <si>
    <t>0XFFFF830468C80930</t>
  </si>
  <si>
    <t>0XFFFF830425C26587</t>
  </si>
  <si>
    <t>0X3AFB25C27A17</t>
  </si>
  <si>
    <t>0XFFFFB8FB25C2AC5F</t>
  </si>
  <si>
    <t>0X3AFB68C80A00</t>
  </si>
  <si>
    <t>0XFFFFB8FB25C2A8B0</t>
  </si>
  <si>
    <t>0X10425C27BA0</t>
  </si>
  <si>
    <t>0XFFFFB8FB68C80930</t>
  </si>
  <si>
    <t>0X3AFB68C825E8</t>
  </si>
  <si>
    <t>0X10468C867EC</t>
  </si>
  <si>
    <t>0XFFFF830468C80990</t>
  </si>
  <si>
    <t>0XFFFFB8FB68C86687</t>
  </si>
  <si>
    <t>0XFFFFB8FB25C2AC50</t>
  </si>
  <si>
    <t>0X10468C80860</t>
  </si>
  <si>
    <t>0XFFFF830425C08569</t>
  </si>
  <si>
    <t>0XFFFFB8FB25C2AC57</t>
  </si>
  <si>
    <t>0XFFFF830468C80A90</t>
  </si>
  <si>
    <t>0X3AFB25C08056</t>
  </si>
  <si>
    <t>0X3AFB68C8252E</t>
  </si>
  <si>
    <t>0XFFFFB8FB25C2A921</t>
  </si>
  <si>
    <t>0XF2000000F18C0400</t>
  </si>
  <si>
    <t>0XFFFFB8FB68C867F1</t>
  </si>
  <si>
    <t>0X10468C867F1</t>
  </si>
  <si>
    <t>0XFFFFB8FB68C80A90</t>
  </si>
  <si>
    <t>0XFFFF830468C867F9</t>
  </si>
  <si>
    <t>0XFFFF830425C27A17</t>
  </si>
  <si>
    <t>0X3AFB25C17F2E</t>
  </si>
  <si>
    <t>0XFFFF830425C27949</t>
  </si>
  <si>
    <t>0X3AFB25C277CD</t>
  </si>
  <si>
    <t>0XFFFF830425C27BA0</t>
  </si>
  <si>
    <t>0X3AFB25C2C5F3</t>
  </si>
  <si>
    <t>0XFFFFB8FB68C867EC</t>
  </si>
  <si>
    <t>0XFFFF830425C2DC40</t>
  </si>
  <si>
    <t>0XFFFFB8FB25C08999</t>
  </si>
  <si>
    <t>0XFFFFB8FB25C2AB7F</t>
  </si>
  <si>
    <t>0XFFFFB8FB25C2A9A9</t>
  </si>
  <si>
    <t>0X10425C08999</t>
  </si>
  <si>
    <t>0XFFFFB8FB25C2AC68</t>
  </si>
  <si>
    <t>0XFFFFB8FB25C2A8E1</t>
  </si>
  <si>
    <t>0XFFFFB8FB68C80935</t>
  </si>
  <si>
    <t>0X10425C0899C</t>
  </si>
  <si>
    <t>0X10425C0B5E8</t>
  </si>
  <si>
    <t>0XFFFFB8FB25C2A9CA</t>
  </si>
  <si>
    <t>0X3AFB68C824E1</t>
  </si>
  <si>
    <t>0X3AFB68C867A0</t>
  </si>
  <si>
    <t>0XFFFF830468C80A00</t>
  </si>
  <si>
    <t>0XFFFF830468C80867</t>
  </si>
  <si>
    <t>0X3AFB25C08999</t>
  </si>
  <si>
    <t>0XFFFFB8FB25C2A8C8</t>
  </si>
  <si>
    <t>0XFFFF830425C265D3</t>
  </si>
  <si>
    <t>0XFFFFB8FB68C80A00</t>
  </si>
  <si>
    <t>0X10425C27A17</t>
  </si>
  <si>
    <t>0XF2000000D10D0400</t>
  </si>
  <si>
    <t>TimeOutThread:1,ActiveThreads:3,XQ Empty:0,LQ Empty:0,SnpQ Empty:1,No U2C Req Credit:0,No C2U Credits:4,ExtCmpCntIsZero:0,FBVCntIsZero:1,VirtLLC Prefetch:1,</t>
  </si>
  <si>
    <t>0XFFFFB8FB68C86867</t>
  </si>
  <si>
    <t>0XFFFFB8FB68C865D0</t>
  </si>
  <si>
    <t>0X10425C1D482</t>
  </si>
  <si>
    <t>0XFFFFFF7F4405FC5A</t>
  </si>
  <si>
    <t>0XFFFFFFFF12EAEC06</t>
  </si>
  <si>
    <t>0XFFFFFF7F4405E16F</t>
  </si>
  <si>
    <t>0XFFFFFFFF12EAE9AD</t>
  </si>
  <si>
    <t>0XFFFFFFFF4405AA80</t>
  </si>
  <si>
    <t>0XFFFFFF7F12EAE781</t>
  </si>
  <si>
    <t>0XFFFFFFFF4405FC50</t>
  </si>
  <si>
    <t>0XFFFFFF7F4405FC50</t>
  </si>
  <si>
    <t>0XFFFFFF7F12EAE7A6</t>
  </si>
  <si>
    <t>0XFFFFFF7F63DDFC32</t>
  </si>
  <si>
    <t>0XFFFFFFFF4405AAFF</t>
  </si>
  <si>
    <t>0XFFFFFFFF4405FDFB</t>
  </si>
  <si>
    <t>0XFFFFFFFF4405E166</t>
  </si>
  <si>
    <t>0XFFFFFFFF328FC8F1</t>
  </si>
  <si>
    <t>0XFFFFFFFF12EAEB69</t>
  </si>
  <si>
    <t>0XFFFFFFFF12EAECC9</t>
  </si>
  <si>
    <t>0XFFFFFFFF4405FC5A</t>
  </si>
  <si>
    <t>0XFFFFFFFF4405D090</t>
  </si>
  <si>
    <t>0XFFFFFFFF12EAEA1C</t>
  </si>
  <si>
    <t>0XFFFFFF7F4405AAFF</t>
  </si>
  <si>
    <t>0XFFFFFF7F4405D162</t>
  </si>
  <si>
    <t>0XFFFFFF7F12EAEA51</t>
  </si>
  <si>
    <t>0XFFFFFFFF4405ADC8</t>
  </si>
  <si>
    <t>0XFFFFFFFF63DDFA17</t>
  </si>
  <si>
    <t>0XFFFFFF7F440638E1</t>
  </si>
  <si>
    <t>0XBE000000E18C0400</t>
  </si>
  <si>
    <t>0XFFFFFFFF12EB0D60</t>
  </si>
  <si>
    <t>0XFFFFFFFF0134E0EE</t>
  </si>
  <si>
    <t>0XFFFFFFFF0134E25A</t>
  </si>
  <si>
    <t>0XFFFFFFFF4405D8C4</t>
  </si>
  <si>
    <t>0XFFFFFF7F4405D087</t>
  </si>
  <si>
    <t>0XFFFFFFFF63DDFC00</t>
  </si>
  <si>
    <t>0XFFFFFFFF440638E1</t>
  </si>
  <si>
    <t>0X3AFB25C31514</t>
  </si>
  <si>
    <t>0XFFFFFFFF12EAEA51</t>
  </si>
  <si>
    <t>0XFFFFB8FB25C08571</t>
  </si>
  <si>
    <t>0X3AFB68C80867</t>
  </si>
  <si>
    <t>0XFFFFFF7F12EAED64</t>
  </si>
  <si>
    <t>0XFFFFFFFF4405FD20</t>
  </si>
  <si>
    <t>0X3AFB72CA9C93</t>
  </si>
  <si>
    <t>0XFFFFFFFF328FC8E5</t>
  </si>
  <si>
    <t>0XFFFFFF7F12EAED1D</t>
  </si>
  <si>
    <t>0X3AFB68C82602</t>
  </si>
  <si>
    <t>0XFFFFFFFF12EAEB96</t>
  </si>
  <si>
    <t>0XFFFFFFFF4405AA30</t>
  </si>
  <si>
    <t>0XFFFFFF7F4405AA30</t>
  </si>
  <si>
    <t>0XFFFFFF7F328FC8F5</t>
  </si>
  <si>
    <t>0XFFFFFF7F4405D7B0</t>
  </si>
  <si>
    <t>0XFFFFFF7F0134DF3E</t>
  </si>
  <si>
    <t>0XFFFF830425C265FB</t>
  </si>
  <si>
    <t>0XFFFFFFFF12EAE95E</t>
  </si>
  <si>
    <t>0XFFFF830425C08056</t>
  </si>
  <si>
    <t>0XFFFFFF7F12EAE7F9</t>
  </si>
  <si>
    <t>0XFFFFFF7F4405D7BF</t>
  </si>
  <si>
    <t>0XFFFFFFFF63DDFEB7</t>
  </si>
  <si>
    <t>0XFFFFFF7F12EAEB36</t>
  </si>
  <si>
    <t>0XFFFFFF7F4405DFCF</t>
  </si>
  <si>
    <t>0XFFFFFFFF63DDFB0E</t>
  </si>
  <si>
    <t>0X3AFB68C825EE</t>
  </si>
  <si>
    <t>0X3AFB25C10088</t>
  </si>
  <si>
    <t>0XFFFFB8FB25C27A20</t>
  </si>
  <si>
    <t>0XFFFFFF7F63DDFBBB</t>
  </si>
  <si>
    <t>0XFFFFFFFF63DDF95A</t>
  </si>
  <si>
    <t>0XFFFFB8FB44D45F39</t>
  </si>
  <si>
    <t>0X10425C27A20</t>
  </si>
  <si>
    <t>0XFFFFFFFF4405DDBC</t>
  </si>
  <si>
    <t>0XFFFFFFFF0134E0F9</t>
  </si>
  <si>
    <t>0XFFFF830425C12CF1</t>
  </si>
  <si>
    <t>0XFE000000A18D0400</t>
  </si>
  <si>
    <t>TimeOutThread:1,ActiveThreads:3,XQ Empty:0,LQ Empty:1,SnpQ Empty:1,No U2C Req Credit:0,No C2U Credits:0,ExtCmpCntIsZero:1,FBVCntIsZero:0,VirtLLC Prefetch:1,</t>
  </si>
  <si>
    <t>0XF2000000A18D0400</t>
  </si>
  <si>
    <t>0XF2000000E10D0400</t>
  </si>
  <si>
    <t>TimeOutThread:1,ActiveThreads:3,XQ Empty:0,LQ Empty:0,SnpQ Empty:1,No U2C Req Credit:0,No C2U Credits:0,ExtCmpCntIsZero:1,FBVCntIsZero:1,VirtLLC Prefetch:1,</t>
  </si>
  <si>
    <t>0XFE000000C18D0400</t>
  </si>
  <si>
    <t>TimeOutThread:1,ActiveThreads:3,XQ Empty:0,LQ Empty:1,SnpQ Empty:1,No U2C Req Credit:0,No C2U Credits:0,ExtCmpCntIsZero:0,FBVCntIsZero:1,VirtLLC Prefetch:1,</t>
  </si>
  <si>
    <t>0XF2000000C1CD0400</t>
  </si>
  <si>
    <t>TimeOutThread:1,ActiveThreads:3,XQ Empty:1,LQ Empty:1,SnpQ Empty:1,No U2C Req Credit:0,No C2U Credits:0,ExtCmpCntIsZero:0,FBVCntIsZero:1,VirtLLC Prefetch:1,</t>
  </si>
  <si>
    <t>0XF2000000C18D0400</t>
  </si>
  <si>
    <t>0XF2000000E18C0400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</si>
</sst>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2" xfId="0" applyFill="1" applyBorder="1"/>
    <xf numFmtId="0" fontId="0" fillId="6" borderId="1" xfId="0" applyFill="1" applyBorder="1"/>
    <xf numFmtId="0" fontId="0" fillId="0" borderId="7" xfId="0" applyBorder="1"/>
    <xf numFmtId="0" fontId="0" fillId="3" borderId="7" xfId="0" applyFill="1" applyBorder="1"/>
    <xf numFmtId="0" fontId="0" fillId="3" borderId="4" xfId="0" applyFill="1" applyBorder="1"/>
    <xf numFmtId="0" fontId="0" fillId="0" borderId="8" xfId="0" applyBorder="1"/>
    <xf numFmtId="0" fontId="0" fillId="8" borderId="3" xfId="0" applyFill="1" applyBorder="1"/>
    <xf numFmtId="0" fontId="0" fillId="9" borderId="0" xfId="0" applyFill="1"/>
    <xf numFmtId="0" fontId="4" fillId="0" borderId="1" xfId="0" applyFont="1" applyBorder="1" applyAlignment="1">
      <alignment horizontal="center" vertical="top"/>
    </xf>
    <xf numFmtId="0" fontId="0" fillId="0" borderId="5" xfId="0" applyBorder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0" fillId="0" borderId="9" xfId="0" applyBorder="1"/>
    <xf numFmtId="0" fontId="0" fillId="2" borderId="2" xfId="0" applyFill="1" applyBorder="1"/>
    <xf numFmtId="0" fontId="3" fillId="8" borderId="2" xfId="0" applyFont="1" applyFill="1" applyBorder="1" applyAlignment="1">
      <alignment horizontal="center" vertical="top" textRotation="180"/>
    </xf>
    <xf numFmtId="0" fontId="3" fillId="8" borderId="3" xfId="0" applyFont="1" applyFill="1" applyBorder="1" applyAlignment="1">
      <alignment horizontal="center" vertical="top" textRotation="180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 vertical="top" textRotation="180"/>
    </xf>
    <xf numFmtId="0" fontId="1" fillId="2" borderId="1" xfId="0" applyFont="1" applyFill="1" applyBorder="1" applyAlignment="1">
      <alignment horizontal="center" vertical="top" textRotation="180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7" borderId="2" xfId="0" applyFont="1" applyFill="1" applyBorder="1" applyAlignment="1">
      <alignment horizontal="center" vertical="top" textRotation="180"/>
    </xf>
    <xf numFmtId="0" fontId="1" fillId="7" borderId="1" xfId="0" applyFont="1" applyFill="1" applyBorder="1" applyAlignment="1">
      <alignment horizontal="center" vertical="top" textRotation="180"/>
    </xf>
    <xf numFmtId="0" fontId="1" fillId="4" borderId="2" xfId="0" applyFont="1" applyFill="1" applyBorder="1" applyAlignment="1">
      <alignment horizontal="center" vertical="top" textRotation="180"/>
    </xf>
    <xf numFmtId="0" fontId="1" fillId="4" borderId="1" xfId="0" applyFont="1" applyFill="1" applyBorder="1" applyAlignment="1">
      <alignment horizontal="center" vertical="top" textRotation="180"/>
    </xf>
    <xf numFmtId="0" fontId="1" fillId="5" borderId="2" xfId="0" applyFont="1" applyFill="1" applyBorder="1" applyAlignment="1">
      <alignment horizontal="center" vertical="top" textRotation="180"/>
    </xf>
    <xf numFmtId="0" fontId="1" fillId="5" borderId="1" xfId="0" applyFont="1" applyFill="1" applyBorder="1" applyAlignment="1">
      <alignment horizontal="center" vertical="top" textRotation="180"/>
    </xf>
    <xf numFmtId="0" fontId="0" fillId="5" borderId="2" xfId="0" applyFill="1" applyBorder="1" applyAlignment="1">
      <alignment horizontal="center"/>
    </xf>
    <xf numFmtId="0" fontId="1" fillId="6" borderId="2" xfId="0" applyFont="1" applyFill="1" applyBorder="1" applyAlignment="1">
      <alignment horizontal="center" vertical="top" textRotation="180"/>
    </xf>
    <xf numFmtId="0" fontId="1" fillId="6" borderId="1" xfId="0" applyFont="1" applyFill="1" applyBorder="1" applyAlignment="1">
      <alignment horizontal="center" vertical="top" textRotation="180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EBF2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6F6301-AD2D-4817-BF45-C687160998A8}" autoFormatId="16" applyNumberFormats="0" applyBorderFormats="0" applyFontFormats="0" applyPatternFormats="0" applyAlignmentFormats="0" applyWidthHeightFormats="0">
  <queryTableRefresh nextId="114">
    <queryTableFields count="21">
      <queryTableField id="15" name="Name" tableColumnId="15"/>
      <queryTableField id="87" name="Data.UNIT" tableColumnId="1"/>
      <queryTableField id="88" name="Data.Visual_ID" tableColumnId="3"/>
      <queryTableField id="89" name="Data.Start_WW" tableColumnId="4"/>
      <queryTableField id="90" name="Data.Facility" tableColumnId="5"/>
      <queryTableField id="91" name="Data.PPV_TP" tableColumnId="6"/>
      <queryTableField id="92" name="Data.CLASS_TP" tableColumnId="7"/>
      <queryTableField id="48" name="Data.STEP" tableColumnId="2"/>
      <queryTableField id="93" name="Data.DevRevStep" tableColumnId="8"/>
      <queryTableField id="94" name="Data.S_Spec" tableColumnId="9"/>
      <queryTableField id="95" name="Data.DPM_Bucket" tableColumnId="11"/>
      <queryTableField id="56" name="Data.SubBucket" tableColumnId="10"/>
      <queryTableField id="96" name="Data.Subbucket - Notes" tableColumnId="12"/>
      <queryTableField id="66" name="Data.DPM" tableColumnId="24"/>
      <queryTableField id="97" name="Data.Root Cause" tableColumnId="13"/>
      <queryTableField id="62" name="Data.Group" tableColumnId="20"/>
      <queryTableField id="98" name="Data.Weekly_DPM" tableColumnId="14"/>
      <queryTableField id="99" name="Data.1st CORE" tableColumnId="19"/>
      <queryTableField id="16" name="Item" tableColumnId="16"/>
      <queryTableField id="17" name="Kind" tableColumnId="17"/>
      <queryTableField id="18" name="Hidde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71A5D-4228-4B09-8A83-6A9AA98C60AE}" name="ppv" displayName="ppv" ref="A1:U109" tableType="queryTable" totalsRowShown="0">
  <autoFilter ref="A1:U109" xr:uid="{B8871A5D-4228-4B09-8A83-6A9AA98C60AE}"/>
  <tableColumns count="21">
    <tableColumn id="15" xr3:uid="{63521A6A-1EEC-45F1-B0F7-D300B22FC6F7}" uniqueName="15" name="Name" queryTableFieldId="15"/>
    <tableColumn id="1" xr3:uid="{E471F3A3-FF6E-480D-BF98-D90BDE6DABD1}" uniqueName="1" name="Data.UNIT" queryTableFieldId="87"/>
    <tableColumn id="3" xr3:uid="{D72BF7EA-7A17-4DAA-AEFC-06233A077639}" uniqueName="3" name="Data.Visual_ID" queryTableFieldId="88"/>
    <tableColumn id="4" xr3:uid="{38FED690-BC8B-4170-892D-F8BB654372C1}" uniqueName="4" name="Data.Start_WW" queryTableFieldId="89"/>
    <tableColumn id="5" xr3:uid="{B1F7EAAB-DA49-455C-AB90-A5222227527C}" uniqueName="5" name="Data.Facility" queryTableFieldId="90"/>
    <tableColumn id="6" xr3:uid="{F761B5EF-C939-4204-9764-77F54CCDE821}" uniqueName="6" name="Data.PPV_TP" queryTableFieldId="91"/>
    <tableColumn id="7" xr3:uid="{5A4E9001-ACDA-4569-866E-D877E21F9CF1}" uniqueName="7" name="Data.CLASS_TP" queryTableFieldId="92"/>
    <tableColumn id="2" xr3:uid="{DCD3C64E-BBFE-41DF-AE51-E2E6A8BB526D}" uniqueName="2" name="Data.Step" queryTableFieldId="48"/>
    <tableColumn id="8" xr3:uid="{585B93F8-287D-498B-80AA-4DA6B6F90F77}" uniqueName="8" name="Data.DevRevStep" queryTableFieldId="93"/>
    <tableColumn id="9" xr3:uid="{B5B06F65-3B54-482A-9A20-9C489FFFDD54}" uniqueName="9" name="Data.S_Spec" queryTableFieldId="94"/>
    <tableColumn id="11" xr3:uid="{5D6F5E7D-D33F-4A30-A91C-84932BEC666E}" uniqueName="11" name="Data.DPM_Bucket" queryTableFieldId="95"/>
    <tableColumn id="10" xr3:uid="{97D09A19-2F60-4D1E-BC8D-EC87F20F2163}" uniqueName="10" name="Data.SubBucket" queryTableFieldId="56"/>
    <tableColumn id="12" xr3:uid="{F14FD557-4F00-454D-91D2-5C0223126777}" uniqueName="12" name="Data.Subbucket - Notes" queryTableFieldId="96"/>
    <tableColumn id="24" xr3:uid="{38A40F2B-DBEF-45D0-A091-00873A16BAD6}" uniqueName="24" name="Data.DPM" queryTableFieldId="66"/>
    <tableColumn id="13" xr3:uid="{55B929C3-47C4-407F-9842-24CD18BF15AA}" uniqueName="13" name="Data.Root Cause" queryTableFieldId="97"/>
    <tableColumn id="20" xr3:uid="{451687B3-299C-4344-B6E8-E0EE01BF7ADA}" uniqueName="20" name="Data.Group" queryTableFieldId="62"/>
    <tableColumn id="14" xr3:uid="{91F358F9-2B27-4B80-8162-CF94AD4247F9}" uniqueName="14" name="Data.Weekly_DPM" queryTableFieldId="98"/>
    <tableColumn id="19" xr3:uid="{4BC5CCE8-1F34-4070-9A88-ECDA7AF5E0D4}" uniqueName="19" name="Data.1st CORE" queryTableFieldId="99"/>
    <tableColumn id="16" xr3:uid="{DF0AD8DC-4A4F-410E-8B97-52A669F5408C}" uniqueName="16" name="Item" queryTableFieldId="16"/>
    <tableColumn id="17" xr3:uid="{7B2B381D-133F-41CD-A131-CDA8D10B5476}" uniqueName="17" name="Kind" queryTableFieldId="17"/>
    <tableColumn id="18" xr3:uid="{BA14B555-0558-4FBF-94D2-D2098321F3D5}" uniqueName="18" name="Hidden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908739-6ADA-4A28-B01B-91260AC573BE}" name="summ" displayName="summ" ref="A1:Y8" totalsRowShown="0" headerRowDxfId="41" dataDxfId="40" tableBorderDxfId="39">
  <autoFilter ref="A1:Y8" xr:uid="{03908739-6ADA-4A28-B01B-91260AC573BE}"/>
  <tableColumns count="25">
    <tableColumn id="1" xr3:uid="{4A5A78C6-8892-4BF9-8151-34C547805609}" name="VisualIDs" dataDxfId="38"/>
    <tableColumn id="2" xr3:uid="{0A3A6B81-08E0-43AE-A919-0F80E22880D1}" name="Step" dataDxfId="37">
      <calculatedColumnFormula>_xlfn.XLOOKUP(summ[[#This Row],[VisualIDs]],ppv[Data.Visual_ID],ppv[Data.Step], "")</calculatedColumnFormula>
    </tableColumn>
    <tableColumn id="3" xr3:uid="{673A8C26-FF8A-4C47-8C7B-3E8540461B75}" name="WW" dataDxfId="36">
      <calculatedColumnFormula>_xlfn.XLOOKUP(summ[[#This Row],[VisualIDs]],ppv[Data.Visual_ID],ppv[Data.Start_WW])</calculatedColumnFormula>
    </tableColumn>
    <tableColumn id="4" xr3:uid="{5E03B9A6-73CE-4ED7-BFE0-AE88150A4DED}" name="# Runs" dataDxfId="35">
      <calculatedColumnFormula>_xlfn.XLOOKUP(summ[[#This Row],[VisualIDs]],REV_Units!A:A,REV_Units!F:F)</calculatedColumnFormula>
    </tableColumn>
    <tableColumn id="5" xr3:uid="{4E6BBA90-13CC-40B2-90F4-2E9FBD444BD1}" name="Core Hint" dataDxfId="34">
      <calculatedColumnFormula>_xlfn.XLOOKUP(summ[[#This Row],[VisualIDs]],REV_Units!A:A,REV_Units!G:G)</calculatedColumnFormula>
    </tableColumn>
    <tableColumn id="20" xr3:uid="{F26D0234-0A66-435B-A022-F9A9A2EF5159}" name="Core Fail Area">
      <calculatedColumnFormula>_xlfn.XLOOKUP(summ[[#This Row],[VisualIDs]],REV_Units!A:A,REV_Units!H:H)</calculatedColumnFormula>
    </tableColumn>
    <tableColumn id="6" xr3:uid="{751F9601-4CD7-4CEA-95DA-97D859B67811}" name="CHA Hint" dataDxfId="33">
      <calculatedColumnFormula>_xlfn.XLOOKUP(summ[[#This Row],[VisualIDs]],REV_Units!A:A,REV_Units!I:I)</calculatedColumnFormula>
    </tableColumn>
    <tableColumn id="21" xr3:uid="{B466AA2F-2576-4EC5-B5BF-FFBCECE823C2}" name="CHA Fail Area">
      <calculatedColumnFormula>_xlfn.XLOOKUP(summ[[#This Row],[VisualIDs]],REV_Units!A:A,REV_Units!J:J)</calculatedColumnFormula>
    </tableColumn>
    <tableColumn id="24" xr3:uid="{E70A9CC1-C137-4176-9B09-1D142FD234B9}" name="LLC Hint">
      <calculatedColumnFormula>_xlfn.XLOOKUP(summ[[#This Row],[VisualIDs]],REV_Units!A:A,REV_Units!K:K)</calculatedColumnFormula>
    </tableColumn>
    <tableColumn id="23" xr3:uid="{0C97068F-DD9C-4E44-A73C-DAD27235BEAE}" name="LLC Fail Area">
      <calculatedColumnFormula>_xlfn.XLOOKUP(summ[[#This Row],[VisualIDs]],REV_Units!A:A,REV_Units!L:L)</calculatedColumnFormula>
    </tableColumn>
    <tableColumn id="7" xr3:uid="{9785919B-3288-4C29-9CE3-01C50D3984A2}" name="SrcIDs" dataDxfId="32">
      <calculatedColumnFormula>_xlfn.XLOOKUP(summ[[#This Row],[VisualIDs]],REV_Units!A:A,REV_Units!M:M)</calculatedColumnFormula>
    </tableColumn>
    <tableColumn id="8" xr3:uid="{BEFF8E56-7EFD-402A-BE4E-F2385765E952}" name="Other" dataDxfId="31">
      <calculatedColumnFormula>_xlfn.XLOOKUP(summ[[#This Row],[VisualIDs]],REV_Units!A:A,REV_Units!N:N)</calculatedColumnFormula>
    </tableColumn>
    <tableColumn id="9" xr3:uid="{4FBA32FC-EE3B-4EEC-A83A-51783499660E}" name="Top OrigReq" dataDxfId="30">
      <calculatedColumnFormula>_xlfn.XLOOKUP(summ[[#This Row],[VisualIDs]],REV_Units!A:A,REV_Units!O:O)</calculatedColumnFormula>
    </tableColumn>
    <tableColumn id="10" xr3:uid="{37EECC53-85BD-48B5-9354-9B5D4531AC59}" name="Top OpCode" dataDxfId="29">
      <calculatedColumnFormula>_xlfn.XLOOKUP(summ[[#This Row],[VisualIDs]],REV_Units!A:A,REV_Units!P:P)</calculatedColumnFormula>
    </tableColumn>
    <tableColumn id="11" xr3:uid="{77114286-B708-4ED6-AD49-418DB01C1178}" name="Top ISMQ" dataDxfId="28">
      <calculatedColumnFormula>_xlfn.XLOOKUP(summ[[#This Row],[VisualIDs]],REV_Units!A:A,REV_Units!Q:Q)</calculatedColumnFormula>
    </tableColumn>
    <tableColumn id="12" xr3:uid="{B7CDFDE1-9A71-44EB-877D-1696435228DB}" name="Top SAD" dataDxfId="27">
      <calculatedColumnFormula>_xlfn.XLOOKUP(summ[[#This Row],[VisualIDs]],REV_Units!A:A,REV_Units!R:R)</calculatedColumnFormula>
    </tableColumn>
    <tableColumn id="13" xr3:uid="{A3CB93A8-6477-4C2F-8217-3D1CB286F652}" name="Top SAD LocPort" dataDxfId="26">
      <calculatedColumnFormula>_xlfn.XLOOKUP(summ[[#This Row],[VisualIDs]],REV_Units!A:A,REV_Units!S:S)</calculatedColumnFormula>
    </tableColumn>
    <tableColumn id="14" xr3:uid="{38665458-8FB8-4ABD-B808-68C7AD6AFE45}" name="Core Mcas" dataDxfId="25">
      <calculatedColumnFormula>_xlfn.XLOOKUP(summ[[#This Row],[VisualIDs]],REV_Units!A:A,REV_Units!U:U)</calculatedColumnFormula>
    </tableColumn>
    <tableColumn id="15" xr3:uid="{0CC6C0B3-9799-497B-87FF-51A05F632603}" name="Root Cause" dataDxfId="24">
      <calculatedColumnFormula array="1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calculatedColumnFormula>
    </tableColumn>
    <tableColumn id="19" xr3:uid="{98953F07-E22D-49D5-A71F-0AA5199747C7}" name="Core Next Steps" dataDxfId="23">
      <calculatedColumnFormula>IF(summ[[#This Row],[Core Hint]]&lt;&gt;"NotFound",_xlfn.TEXTJOIN(" ",,"Disable CORE:",summ[[#This Row],[Core Hint]],"- MCAs:",summ[[#This Row],[Core Mcas]]),"")</calculatedColumnFormula>
    </tableColumn>
    <tableColumn id="18" xr3:uid="{E91BBB35-6BF5-45D3-A9F5-15BB6C8C5CD0}" name="CHA Next Steps" dataDxfId="22">
      <calculatedColumnFormula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calculatedColumnFormula>
    </tableColumn>
    <tableColumn id="25" xr3:uid="{6493BB17-E612-464B-BCEB-50940295A8AA}" name="LLC Next Steps">
      <calculatedColumnFormula>IF(summ[[#This Row],[LLC Hint]]&lt;&gt;"NotFound",_xlfn.TEXTJOIN(" ",,"Disable LLC:",summ[[#This Row],[LLC Hint]]),"")</calculatedColumnFormula>
    </tableColumn>
    <tableColumn id="17" xr3:uid="{E5586D05-1AD8-4A06-BDBC-8F6F789E088E}" name="Other Next Steps" dataDxfId="21">
      <calculatedColumnFormula>IF(summ[[#This Row],[Other]]&lt;&gt;"",_xlfn.TEXTJOIN(" ",,"Defeature:",summ[[#This Row],[Other]]," -- Check CORE or CHA MCAs for more data."),"")</calculatedColumnFormula>
    </tableColumn>
    <tableColumn id="16" xr3:uid="{8F9CC21F-9599-43E4-B8C1-FAA096F8677B}" name="Debug Hints" dataDxfId="20">
      <calculatedColumnFormula array="1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calculatedColumnFormula>
    </tableColumn>
    <tableColumn id="22" xr3:uid="{F9A61BE3-3ABF-4F06-9C27-4732B9F23529}" name="Failing Area">
      <calculatedColumnFormula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calculatedColumnFormula>
    </tableColumn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B6980E-975C-4265-B86B-ECA799DE7D04}" name="chamca" displayName="chamca" ref="A2:U921" totalsRowShown="0">
  <autoFilter ref="A2:U921" xr:uid="{2F7EDC62-1B8C-46D2-B24B-39C7CBE8E5BF}">
    <filterColumn colId="0">
      <filters>
        <filter val="74N24C5300241"/>
      </filters>
    </filterColumn>
  </autoFilter>
  <tableColumns count="21">
    <tableColumn id="1" xr3:uid="{37B1E285-BA1A-417D-B62A-8E06F1B420A7}" name="Visual ID" dataDxfId="19"/>
    <tableColumn id="2" xr3:uid="{273673C6-B929-4BE0-8EF4-E021171FBA2A}" name="Run"/>
    <tableColumn id="3" xr3:uid="{E40804A8-E870-48E4-A563-85B07DCFD011}" name="Operation"/>
    <tableColumn id="4" xr3:uid="{43D84F1F-C54D-45B9-A16C-A2D1E9AA8E55}" name="CHA_MCNAME"/>
    <tableColumn id="5" xr3:uid="{87CBC1CA-9EDA-484B-A7B2-44414BB64C0A}" name="Compute"/>
    <tableColumn id="6" xr3:uid="{7DADBBF7-0129-4C41-B649-967CECFDD351}" name="CHA"/>
    <tableColumn id="7" xr3:uid="{6C3BD812-24EA-4B4F-B198-5207600529D1}" name="MC_STATUS"/>
    <tableColumn id="22" xr3:uid="{FE14B52F-690E-4484-A33D-5B34BB23D1E4}" name="MC_DECODE"/>
    <tableColumn id="8" xr3:uid="{1EE072DF-8FFF-4995-8DF0-1FAC672C1BCD}" name="MC_ADDR"/>
    <tableColumn id="9" xr3:uid="{E9177F3A-5DC6-48D2-841D-D4A26306BE09}" name="MC_MISC"/>
    <tableColumn id="10" xr3:uid="{4BAEF763-88D9-451C-9AE1-C167F775F7FC}" name="MC_MISC3"/>
    <tableColumn id="11" xr3:uid="{9A11B569-1DD8-412F-9ECC-DF5B0EDF2E10}" name="Orig Req"/>
    <tableColumn id="12" xr3:uid="{B14E8114-87BA-4665-9D15-FDF4CFAFF86F}" name="Opcode"/>
    <tableColumn id="13" xr3:uid="{DCAA9F28-973E-40B8-BA51-764E89E7710D}" name="cachestate"/>
    <tableColumn id="14" xr3:uid="{2509A27F-C306-4A38-8007-4CFEBFEE06F3}" name="TorID"/>
    <tableColumn id="15" xr3:uid="{EF134584-8083-4EC7-A2C6-7D61ADFA5E32}" name="TorFSM"/>
    <tableColumn id="16" xr3:uid="{43024714-00A9-4BE0-9FCB-E9807B47C8CB}" name="SrcID"/>
    <tableColumn id="17" xr3:uid="{B438901F-39C9-4942-B3F2-88378F42BF65}" name="ISMQ"/>
    <tableColumn id="18" xr3:uid="{D3573071-14F4-4E5C-B0B5-7590572809B3}" name="Attribute"/>
    <tableColumn id="19" xr3:uid="{36250397-9E51-489D-932E-8C37ECCE3EE8}" name="Result"/>
    <tableColumn id="20" xr3:uid="{36829545-6133-4733-B653-189208B4B70A}" name="Local Port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66C6BF-A216-4777-A5C9-59D88CF304F7}" name="llcmca" displayName="llcmca" ref="A1:N2" headerRowDxfId="18" dataDxfId="17" totalsRowDxfId="16">
  <autoFilter ref="A1:N2" xr:uid="{35635377-D328-463E-80AD-1E9B9B371558}"/>
  <tableColumns count="14">
    <tableColumn id="1" xr3:uid="{A7A58996-6DB1-4A4F-9EE9-7BBED7504BCC}" name="VisualID" dataDxfId="15"/>
    <tableColumn id="2" xr3:uid="{68FC0452-0A62-4109-A8BD-1EBD0C5F7A5E}" name="Run" dataDxfId="14"/>
    <tableColumn id="3" xr3:uid="{D1174AAD-4670-42B6-B75F-F3DB7AD4997E}" name="Operation" dataDxfId="13"/>
    <tableColumn id="4" xr3:uid="{CC78E33B-DE50-4043-8698-FBD4B5E3FB2B}" name="LLC_MC" dataDxfId="12"/>
    <tableColumn id="5" xr3:uid="{7B4BB3FB-B612-4A30-B3CE-75F408731D09}" name="Compute" dataDxfId="11"/>
    <tableColumn id="6" xr3:uid="{208475D1-EE3C-4E6A-8D72-AC26610E02C8}" name="LLC" dataDxfId="10"/>
    <tableColumn id="7" xr3:uid="{B48C798E-10E5-4254-BC45-A002F97F391E}" name="MC_STATUS" dataDxfId="9"/>
    <tableColumn id="8" xr3:uid="{1E5DA7DB-DEDF-437E-8BEB-5161D5D5AAE8}" name="MC DECODE" dataDxfId="8"/>
    <tableColumn id="9" xr3:uid="{A052D6C7-8D53-4064-B572-F20F4711F190}" name="MC_ADDR" dataDxfId="7"/>
    <tableColumn id="10" xr3:uid="{C0AF6F9E-7B13-48B5-98C5-AD720E6E89BF}" name="MC_MISC" dataDxfId="6"/>
    <tableColumn id="11" xr3:uid="{491B0A01-6661-4476-9BE5-7E8CD869BB95}" name="MiscV" dataDxfId="5"/>
    <tableColumn id="12" xr3:uid="{E228F67F-50F5-4D10-9C24-A389441E26A0}" name="RSF" dataDxfId="4"/>
    <tableColumn id="13" xr3:uid="{33843F69-1A10-4923-BC1D-25813A4E0065}" name="LSF" dataDxfId="3"/>
    <tableColumn id="14" xr3:uid="{91F86AAC-757F-4930-9A96-CFED13D4C7F6}" name="LLC_misc" dataDxfId="2"/>
  </tableColumns>
  <tableStyleInfo name="TableStyleMedium4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B7DEA0-47F2-402F-891E-AC552A72229E}" name="coremca" displayName="coremca" ref="A1:L4095" totalsRowShown="0">
  <autoFilter ref="A1:L4095" xr:uid="{BF943208-E7E7-43F2-AD3C-4E1CA3E17BC3}"/>
  <tableColumns count="12">
    <tableColumn id="1" xr3:uid="{80A08D13-BE33-4C5C-8F0B-CE76458A615B}" name="VisualID"/>
    <tableColumn id="2" xr3:uid="{9F9F132F-2E5B-49B3-BFBA-8563970BEF6D}" name="Run"/>
    <tableColumn id="3" xr3:uid="{C312BEB7-19A3-434F-8108-9152E65E0F0F}" name="Operation"/>
    <tableColumn id="4" xr3:uid="{8BC6F0DD-1624-4632-8A0A-8FF2FC6FFD39}" name="CORE_MC"/>
    <tableColumn id="5" xr3:uid="{66924431-24A3-4639-B05C-CA86CD1A37A6}" name="Compute"/>
    <tableColumn id="6" xr3:uid="{416B5CE0-E30A-4486-8974-E8F9A0B4895D}" name="CORE"/>
    <tableColumn id="7" xr3:uid="{5F8E4B17-4FC5-46D1-9EA1-2103AAD8ADE3}" name="ErrorType"/>
    <tableColumn id="8" xr3:uid="{56588E87-9EAB-4124-B7E7-53BDFF7FEF35}" name="MC_STATUS"/>
    <tableColumn id="9" xr3:uid="{99D7720B-6A8E-4A70-B314-34C573157B54}" name="MCACOD (ErrDecode)"/>
    <tableColumn id="10" xr3:uid="{598123FF-26E4-4F7F-BFF8-D6A893052A11}" name="MSCOD"/>
    <tableColumn id="11" xr3:uid="{FF554B65-CFFE-4041-B921-E58A5FDB6EB1}" name="MC_ADDR"/>
    <tableColumn id="12" xr3:uid="{BC59C509-6046-4B09-976D-D193E624DA30}" name="MC_MISC"/>
  </tableColumns>
  <tableStyleInfo name="TableStyleMedium3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FFB149-22E0-46D3-BD1D-EF12747B91C2}" name="ubox" displayName="ubox" ref="A1:T126">
  <autoFilter ref="A1:T126" xr:uid="{3DFFB149-22E0-46D3-BD1D-EF12747B91C2}">
    <filterColumn colId="0">
      <filters>
        <filter val="74JU522300112"/>
      </filters>
    </filterColumn>
    <filterColumn colId="2">
      <filters>
        <filter val="8749"/>
      </filters>
    </filterColumn>
  </autoFilter>
  <tableColumns count="20">
    <tableColumn id="1" xr3:uid="{1E8F3B81-7B8F-41AB-84C1-23C85DE97DC1}" name="VisualID" dataDxfId="1"/>
    <tableColumn id="2" xr3:uid="{163B7749-7C74-47EA-A64A-9FA5466A4E77}" name="Run"/>
    <tableColumn id="3" xr3:uid="{CC1E142C-F69D-4343-AD4A-F9FD62190E1B}" name="Operation"/>
    <tableColumn id="4" xr3:uid="{176BA617-0EBF-4474-B304-CD7C7A0981EB}" name="NCEVENT"/>
    <tableColumn id="5" xr3:uid="{2A7636D8-CD95-4935-B978-CCC09CB5A48C}" name="VALUE"/>
    <tableColumn id="6" xr3:uid="{FB1B8697-0A50-4E07-9E93-54B430A1409B}" name="FirstError - DIEID"/>
    <tableColumn id="7" xr3:uid="{99028FC7-F7B1-4385-B241-218BEED453D6}" name="FirstError - PortID"/>
    <tableColumn id="8" xr3:uid="{9DFF9553-B561-487B-86A1-4C5324F6CE68}" name="FirstError - Location"/>
    <tableColumn id="9" xr3:uid="{106A1E66-BB14-4DE9-ADBC-2CF22E7C3C81}" name="FirstError - FromCore"/>
    <tableColumn id="10" xr3:uid="{095A12EF-4503-4251-9B00-BA4A4C7CF719}" name="SecondError - DIEID"/>
    <tableColumn id="11" xr3:uid="{F2A11767-9669-4DC7-9D51-085BEC0CF8CD}" name="SecondError - PortID"/>
    <tableColumn id="12" xr3:uid="{38F30E82-1230-4CA2-B02E-8CEC8C3E86DF}" name="SecondError - Location"/>
    <tableColumn id="13" xr3:uid="{0EBBF542-BD2E-4ABB-9C1E-6C79D06C70B2}" name="SecondError - FromCore"/>
    <tableColumn id="14" xr3:uid="{3F04ADA4-2EED-4493-9AB3-89119F02B07A}" name="FirstError - IP">
      <calculatedColumnFormula>INDEX(_xlfn.TEXTSPLIT(ubox[[#This Row],[FirstError - Location]],"."),1,1)</calculatedColumnFormula>
    </tableColumn>
    <tableColumn id="19" xr3:uid="{C083CB6B-C4E8-4438-9133-335B210CFC39}" name="FirstError - IP (name)">
      <calculatedColumnFormula>_xlfn.XLOOKUP(ubox[[#This Row],[FirstError - IP]],Computes!$S$2:$S$22,Computes!$T$2:$T$22)</calculatedColumnFormula>
    </tableColumn>
    <tableColumn id="17" xr3:uid="{6B16C9EB-FAE1-40B2-BC95-AD44CDFB4991}" name="FirstError - Device">
      <calculatedColumnFormula>INDEX(_xlfn.TEXTSPLIT(ubox[[#This Row],[FirstError - Location]],"."),1,3)</calculatedColumnFormula>
    </tableColumn>
    <tableColumn id="20" xr3:uid="{B2818EA6-842E-4509-8143-EB99978176A5}" name="FirstError - Device (Name)">
      <calculatedColumnFormula>_xlfn.XLOOKUP(ubox[[#This Row],[FirstError - Device]],Computes!$AB$2:$AB$22,Computes!$AC$2:$AC$22)</calculatedColumnFormula>
    </tableColumn>
    <tableColumn id="18" xr3:uid="{4585B0FF-5A3C-46BF-A115-D32C3F544290}" name="offset">
      <calculatedColumnFormula>_xlfn.XLOOKUP(ubox[[#This Row],[FirstError - Device]],Computes!$AB$1:$AB$22,Computes!$AD$1:$AD$22)</calculatedColumnFormula>
    </tableColumn>
    <tableColumn id="15" xr3:uid="{D3F00CCD-1269-48D6-AEDE-D12DE68FFD02}" name="FirstError - Physical Loc">
      <calculatedColumnFormula>INDEX(_xlfn.TEXTSPLIT(ubox[[#This Row],[FirstError - Location]],"."),1,4)-(ubox[[#This Row],[offset]]*(ubox[[#This Row],[FirstError - DIEID]]-9))</calculatedColumnFormula>
    </tableColumn>
    <tableColumn id="16" xr3:uid="{5864E961-5525-4AF3-9F04-26A03791A8AD}" name="Failed Instance">
      <calculatedColumnFormula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calculatedColumnFormula>
    </tableColumn>
  </tableColumns>
  <tableStyleInfo name="TableStyleLight2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BEE5E-637E-4F4E-B5CA-0E6A9E490818}" name="topology" displayName="topology" ref="B1:E181" totalsRowShown="0">
  <autoFilter ref="B1:E181" xr:uid="{769BEE5E-637E-4F4E-B5CA-0E6A9E490818}"/>
  <tableColumns count="4">
    <tableColumn id="1" xr3:uid="{765B03DD-D18C-45B0-B562-5C47228E6EFC}" name="DIE"/>
    <tableColumn id="2" xr3:uid="{502D25F4-FBA0-431B-AB9B-D620E2107210}" name="CORE"/>
    <tableColumn id="3" xr3:uid="{94D13340-A9CE-4A2D-A0ED-20AC60C956F8}" name="Row"/>
    <tableColumn id="4" xr3:uid="{6970D05C-BC3C-4C04-B41A-B4D73EE18310}" name="Col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EC31-B556-49A1-B814-6093ED2ED25F}">
  <sheetPr codeName="Sheet1"/>
  <dimension ref="A1:U109"/>
  <sheetViews>
    <sheetView topLeftCell="A39" workbookViewId="0">
      <selection activeCell="K97" sqref="K97"/>
    </sheetView>
  </sheetViews>
  <sheetFormatPr defaultRowHeight="14.4" x14ac:dyDescent="0.3"/>
  <cols>
    <col min="1" max="1" width="8.33203125" bestFit="1" customWidth="1"/>
    <col min="2" max="2" width="11.88671875" bestFit="1" customWidth="1"/>
    <col min="3" max="3" width="16" bestFit="1" customWidth="1"/>
    <col min="4" max="4" width="16.5546875" bestFit="1" customWidth="1"/>
    <col min="5" max="5" width="14" bestFit="1" customWidth="1"/>
    <col min="6" max="6" width="18.21875" bestFit="1" customWidth="1"/>
    <col min="7" max="7" width="22.5546875" bestFit="1" customWidth="1"/>
    <col min="8" max="8" width="11.77734375" bestFit="1" customWidth="1"/>
    <col min="9" max="9" width="18.77734375" bestFit="1" customWidth="1"/>
    <col min="10" max="10" width="14" bestFit="1" customWidth="1"/>
    <col min="11" max="11" width="18.77734375" bestFit="1" customWidth="1"/>
    <col min="12" max="12" width="17.21875" bestFit="1" customWidth="1"/>
    <col min="13" max="13" width="26.6640625" bestFit="1" customWidth="1"/>
    <col min="14" max="14" width="12" bestFit="1" customWidth="1"/>
    <col min="15" max="15" width="18" bestFit="1" customWidth="1"/>
    <col min="16" max="16" width="16" bestFit="1" customWidth="1"/>
    <col min="17" max="17" width="19.44140625" bestFit="1" customWidth="1"/>
    <col min="18" max="18" width="16.109375" bestFit="1" customWidth="1"/>
    <col min="19" max="19" width="7.21875" bestFit="1" customWidth="1"/>
    <col min="20" max="20" width="7.109375" bestFit="1" customWidth="1"/>
    <col min="21" max="21" width="9.5546875" bestFit="1" customWidth="1"/>
    <col min="22" max="22" width="32.44140625" bestFit="1" customWidth="1"/>
    <col min="23" max="23" width="80.88671875" bestFit="1" customWidth="1"/>
    <col min="24" max="24" width="17.21875" bestFit="1" customWidth="1"/>
    <col min="25" max="25" width="11.5546875" bestFit="1" customWidth="1"/>
    <col min="26" max="26" width="11.21875" bestFit="1" customWidth="1"/>
    <col min="27" max="27" width="31.21875" bestFit="1" customWidth="1"/>
    <col min="28" max="29" width="80.88671875" bestFit="1" customWidth="1"/>
    <col min="30" max="30" width="13.21875" bestFit="1" customWidth="1"/>
    <col min="31" max="31" width="12.88671875" bestFit="1" customWidth="1"/>
    <col min="32" max="32" width="15.77734375" bestFit="1" customWidth="1"/>
    <col min="33" max="33" width="22.33203125" bestFit="1" customWidth="1"/>
    <col min="34" max="34" width="11.77734375" bestFit="1" customWidth="1"/>
    <col min="35" max="35" width="7.21875" bestFit="1" customWidth="1"/>
    <col min="36" max="36" width="7.109375" bestFit="1" customWidth="1"/>
    <col min="37" max="37" width="9.5546875" bestFit="1" customWidth="1"/>
    <col min="38" max="38" width="13.33203125" bestFit="1" customWidth="1"/>
    <col min="39" max="39" width="13.44140625" bestFit="1" customWidth="1"/>
    <col min="40" max="40" width="16" bestFit="1" customWidth="1"/>
    <col min="41" max="41" width="21.33203125" bestFit="1" customWidth="1"/>
    <col min="42" max="42" width="27.6640625" bestFit="1" customWidth="1"/>
    <col min="43" max="43" width="10.44140625" bestFit="1" customWidth="1"/>
    <col min="44" max="44" width="12.44140625" bestFit="1" customWidth="1"/>
    <col min="45" max="45" width="12.88671875" bestFit="1" customWidth="1"/>
    <col min="46" max="46" width="11.88671875" bestFit="1" customWidth="1"/>
    <col min="47" max="47" width="12.6640625" bestFit="1" customWidth="1"/>
    <col min="48" max="48" width="14" bestFit="1" customWidth="1"/>
    <col min="49" max="49" width="7.33203125" bestFit="1" customWidth="1"/>
    <col min="50" max="50" width="7.109375" bestFit="1" customWidth="1"/>
    <col min="51" max="51" width="9.5546875" customWidth="1"/>
    <col min="52" max="52" width="15.109375" bestFit="1" customWidth="1"/>
    <col min="53" max="53" width="7.44140625" bestFit="1" customWidth="1"/>
    <col min="54" max="54" width="29.5546875" bestFit="1" customWidth="1"/>
    <col min="55" max="55" width="13.33203125" bestFit="1" customWidth="1"/>
    <col min="56" max="56" width="13.44140625" bestFit="1" customWidth="1"/>
    <col min="57" max="57" width="16" bestFit="1" customWidth="1"/>
    <col min="58" max="58" width="21.33203125" bestFit="1" customWidth="1"/>
    <col min="59" max="59" width="27.6640625" bestFit="1" customWidth="1"/>
    <col min="60" max="60" width="80.88671875" bestFit="1" customWidth="1"/>
    <col min="61" max="61" width="14.44140625" bestFit="1" customWidth="1"/>
    <col min="62" max="62" width="30.109375" bestFit="1" customWidth="1"/>
    <col min="63" max="63" width="21.33203125" bestFit="1" customWidth="1"/>
    <col min="64" max="64" width="11.109375" bestFit="1" customWidth="1"/>
    <col min="65" max="65" width="47.88671875" bestFit="1" customWidth="1"/>
  </cols>
  <sheetData>
    <row r="1" spans="1:21" x14ac:dyDescent="0.3">
      <c r="A1" t="s">
        <v>338</v>
      </c>
      <c r="B1" t="s">
        <v>608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  <c r="K1" t="s">
        <v>617</v>
      </c>
      <c r="L1" t="s">
        <v>378</v>
      </c>
      <c r="M1" t="s">
        <v>618</v>
      </c>
      <c r="N1" t="s">
        <v>380</v>
      </c>
      <c r="O1" t="s">
        <v>619</v>
      </c>
      <c r="P1" t="s">
        <v>379</v>
      </c>
      <c r="Q1" t="s">
        <v>620</v>
      </c>
      <c r="R1" t="s">
        <v>621</v>
      </c>
      <c r="S1" t="s">
        <v>339</v>
      </c>
      <c r="T1" t="s">
        <v>340</v>
      </c>
      <c r="U1" t="s">
        <v>341</v>
      </c>
    </row>
    <row r="2" spans="1:21" x14ac:dyDescent="0.3">
      <c r="A2" t="s">
        <v>622</v>
      </c>
      <c r="B2">
        <v>1</v>
      </c>
      <c r="C2" t="s">
        <v>540</v>
      </c>
      <c r="D2">
        <v>202532</v>
      </c>
      <c r="E2" t="s">
        <v>623</v>
      </c>
      <c r="F2" t="s">
        <v>624</v>
      </c>
      <c r="G2" t="s">
        <v>625</v>
      </c>
      <c r="H2" t="s">
        <v>626</v>
      </c>
      <c r="I2" t="s">
        <v>385</v>
      </c>
      <c r="J2" t="s">
        <v>396</v>
      </c>
      <c r="K2" t="s">
        <v>565</v>
      </c>
      <c r="L2" t="s">
        <v>4</v>
      </c>
      <c r="M2" t="s">
        <v>627</v>
      </c>
      <c r="N2">
        <v>13.730228471001755</v>
      </c>
      <c r="P2" t="s">
        <v>661</v>
      </c>
      <c r="Q2">
        <v>329.81530343007915</v>
      </c>
      <c r="R2" t="s">
        <v>70</v>
      </c>
      <c r="S2" t="s">
        <v>622</v>
      </c>
      <c r="T2" t="s">
        <v>342</v>
      </c>
      <c r="U2" t="b">
        <v>0</v>
      </c>
    </row>
    <row r="3" spans="1:21" x14ac:dyDescent="0.3">
      <c r="A3" t="s">
        <v>622</v>
      </c>
      <c r="B3">
        <v>2</v>
      </c>
      <c r="C3" t="s">
        <v>534</v>
      </c>
      <c r="D3">
        <v>202532</v>
      </c>
      <c r="E3" t="s">
        <v>623</v>
      </c>
      <c r="F3" t="s">
        <v>624</v>
      </c>
      <c r="G3" t="s">
        <v>625</v>
      </c>
      <c r="H3" t="s">
        <v>626</v>
      </c>
      <c r="I3" t="s">
        <v>398</v>
      </c>
      <c r="J3" t="s">
        <v>396</v>
      </c>
      <c r="K3" t="s">
        <v>665</v>
      </c>
      <c r="L3" t="s">
        <v>4</v>
      </c>
      <c r="M3" t="s">
        <v>628</v>
      </c>
      <c r="N3">
        <v>13.730228471001755</v>
      </c>
      <c r="P3" t="s">
        <v>446</v>
      </c>
      <c r="Q3">
        <v>329.81530343007915</v>
      </c>
      <c r="R3" t="s">
        <v>77</v>
      </c>
      <c r="S3" t="s">
        <v>622</v>
      </c>
      <c r="T3" t="s">
        <v>342</v>
      </c>
      <c r="U3" t="b">
        <v>0</v>
      </c>
    </row>
    <row r="4" spans="1:21" x14ac:dyDescent="0.3">
      <c r="A4" t="s">
        <v>622</v>
      </c>
      <c r="B4">
        <v>3</v>
      </c>
      <c r="C4" t="s">
        <v>528</v>
      </c>
      <c r="D4">
        <v>202532</v>
      </c>
      <c r="E4" t="s">
        <v>623</v>
      </c>
      <c r="F4" t="s">
        <v>624</v>
      </c>
      <c r="G4" t="s">
        <v>625</v>
      </c>
      <c r="H4" t="s">
        <v>626</v>
      </c>
      <c r="I4" t="s">
        <v>385</v>
      </c>
      <c r="J4" t="s">
        <v>386</v>
      </c>
      <c r="K4" t="s">
        <v>565</v>
      </c>
      <c r="L4" t="s">
        <v>4</v>
      </c>
      <c r="M4" t="s">
        <v>629</v>
      </c>
      <c r="N4">
        <v>13.730228471001755</v>
      </c>
      <c r="P4" t="s">
        <v>662</v>
      </c>
      <c r="Q4">
        <v>329.81530343007915</v>
      </c>
      <c r="R4" t="s">
        <v>198</v>
      </c>
      <c r="S4" t="s">
        <v>622</v>
      </c>
      <c r="T4" t="s">
        <v>342</v>
      </c>
      <c r="U4" t="b">
        <v>0</v>
      </c>
    </row>
    <row r="5" spans="1:21" x14ac:dyDescent="0.3">
      <c r="A5" t="s">
        <v>622</v>
      </c>
      <c r="B5">
        <v>4</v>
      </c>
      <c r="C5" t="s">
        <v>527</v>
      </c>
      <c r="D5">
        <v>202532</v>
      </c>
      <c r="E5" t="s">
        <v>623</v>
      </c>
      <c r="F5" t="s">
        <v>624</v>
      </c>
      <c r="G5" t="s">
        <v>625</v>
      </c>
      <c r="H5" t="s">
        <v>626</v>
      </c>
      <c r="I5" t="s">
        <v>385</v>
      </c>
      <c r="J5" t="s">
        <v>386</v>
      </c>
      <c r="K5" t="s">
        <v>565</v>
      </c>
      <c r="L5" t="s">
        <v>2</v>
      </c>
      <c r="M5" t="s">
        <v>5</v>
      </c>
      <c r="N5">
        <v>13.730228471001755</v>
      </c>
      <c r="P5" t="s">
        <v>662</v>
      </c>
      <c r="Q5">
        <v>329.81530343007915</v>
      </c>
      <c r="R5" t="s">
        <v>192</v>
      </c>
      <c r="S5" t="s">
        <v>622</v>
      </c>
      <c r="T5" t="s">
        <v>342</v>
      </c>
      <c r="U5" t="b">
        <v>0</v>
      </c>
    </row>
    <row r="6" spans="1:21" x14ac:dyDescent="0.3">
      <c r="A6" t="s">
        <v>622</v>
      </c>
      <c r="B6">
        <v>5</v>
      </c>
      <c r="C6" t="s">
        <v>553</v>
      </c>
      <c r="D6">
        <v>202532</v>
      </c>
      <c r="E6" t="s">
        <v>623</v>
      </c>
      <c r="F6" t="s">
        <v>624</v>
      </c>
      <c r="G6" t="s">
        <v>625</v>
      </c>
      <c r="H6" t="s">
        <v>626</v>
      </c>
      <c r="I6" t="s">
        <v>385</v>
      </c>
      <c r="J6" t="s">
        <v>396</v>
      </c>
      <c r="K6" t="s">
        <v>665</v>
      </c>
      <c r="L6" t="s">
        <v>2</v>
      </c>
      <c r="M6" t="s">
        <v>630</v>
      </c>
      <c r="N6">
        <v>13.730228471001755</v>
      </c>
      <c r="P6" t="s">
        <v>663</v>
      </c>
      <c r="Q6">
        <v>329.81530343007915</v>
      </c>
      <c r="S6" t="s">
        <v>622</v>
      </c>
      <c r="T6" t="s">
        <v>342</v>
      </c>
      <c r="U6" t="b">
        <v>0</v>
      </c>
    </row>
    <row r="7" spans="1:21" x14ac:dyDescent="0.3">
      <c r="A7" t="s">
        <v>622</v>
      </c>
      <c r="B7">
        <v>6</v>
      </c>
      <c r="C7" t="s">
        <v>539</v>
      </c>
      <c r="D7">
        <v>202532</v>
      </c>
      <c r="E7" t="s">
        <v>623</v>
      </c>
      <c r="F7" t="s">
        <v>624</v>
      </c>
      <c r="G7" t="s">
        <v>625</v>
      </c>
      <c r="H7" t="s">
        <v>626</v>
      </c>
      <c r="I7" t="s">
        <v>385</v>
      </c>
      <c r="J7" t="s">
        <v>386</v>
      </c>
      <c r="K7" t="s">
        <v>565</v>
      </c>
      <c r="L7" t="s">
        <v>2</v>
      </c>
      <c r="M7" t="s">
        <v>101</v>
      </c>
      <c r="N7">
        <v>13.730228471001755</v>
      </c>
      <c r="P7" t="s">
        <v>662</v>
      </c>
      <c r="Q7">
        <v>329.81530343007915</v>
      </c>
      <c r="R7" t="s">
        <v>50</v>
      </c>
      <c r="S7" t="s">
        <v>622</v>
      </c>
      <c r="T7" t="s">
        <v>342</v>
      </c>
      <c r="U7" t="b">
        <v>0</v>
      </c>
    </row>
    <row r="8" spans="1:21" x14ac:dyDescent="0.3">
      <c r="A8" t="s">
        <v>622</v>
      </c>
      <c r="B8">
        <v>7</v>
      </c>
      <c r="C8" t="s">
        <v>542</v>
      </c>
      <c r="D8">
        <v>202532</v>
      </c>
      <c r="E8" t="s">
        <v>623</v>
      </c>
      <c r="F8" t="s">
        <v>624</v>
      </c>
      <c r="G8" t="s">
        <v>625</v>
      </c>
      <c r="H8" t="s">
        <v>626</v>
      </c>
      <c r="I8" t="s">
        <v>385</v>
      </c>
      <c r="J8" t="s">
        <v>396</v>
      </c>
      <c r="K8" t="s">
        <v>665</v>
      </c>
      <c r="L8" t="s">
        <v>4</v>
      </c>
      <c r="M8" t="s">
        <v>628</v>
      </c>
      <c r="N8">
        <v>13.730228471001755</v>
      </c>
      <c r="P8" t="s">
        <v>446</v>
      </c>
      <c r="Q8">
        <v>329.81530343007915</v>
      </c>
      <c r="R8" t="s">
        <v>165</v>
      </c>
      <c r="S8" t="s">
        <v>622</v>
      </c>
      <c r="T8" t="s">
        <v>342</v>
      </c>
      <c r="U8" t="b">
        <v>0</v>
      </c>
    </row>
    <row r="9" spans="1:21" x14ac:dyDescent="0.3">
      <c r="A9" t="s">
        <v>622</v>
      </c>
      <c r="B9">
        <v>8</v>
      </c>
      <c r="C9" t="s">
        <v>533</v>
      </c>
      <c r="D9">
        <v>202533</v>
      </c>
      <c r="E9" t="s">
        <v>623</v>
      </c>
      <c r="F9" t="s">
        <v>624</v>
      </c>
      <c r="G9" t="s">
        <v>625</v>
      </c>
      <c r="H9" t="s">
        <v>626</v>
      </c>
      <c r="I9" t="s">
        <v>385</v>
      </c>
      <c r="J9" t="s">
        <v>396</v>
      </c>
      <c r="K9" t="s">
        <v>665</v>
      </c>
      <c r="L9" t="s">
        <v>4</v>
      </c>
      <c r="M9" t="s">
        <v>627</v>
      </c>
      <c r="N9">
        <v>13.730228471001755</v>
      </c>
      <c r="P9" t="s">
        <v>661</v>
      </c>
      <c r="Q9">
        <v>169.60651289009499</v>
      </c>
      <c r="R9" t="s">
        <v>144</v>
      </c>
      <c r="S9" t="s">
        <v>622</v>
      </c>
      <c r="T9" t="s">
        <v>342</v>
      </c>
      <c r="U9" t="b">
        <v>0</v>
      </c>
    </row>
    <row r="10" spans="1:21" x14ac:dyDescent="0.3">
      <c r="A10" t="s">
        <v>622</v>
      </c>
      <c r="B10">
        <v>9</v>
      </c>
      <c r="C10" t="s">
        <v>526</v>
      </c>
      <c r="D10">
        <v>202533</v>
      </c>
      <c r="E10" t="s">
        <v>623</v>
      </c>
      <c r="F10" t="s">
        <v>624</v>
      </c>
      <c r="G10" t="s">
        <v>625</v>
      </c>
      <c r="H10" t="s">
        <v>626</v>
      </c>
      <c r="I10" t="s">
        <v>398</v>
      </c>
      <c r="J10" t="s">
        <v>396</v>
      </c>
      <c r="K10" t="s">
        <v>565</v>
      </c>
      <c r="L10" t="s">
        <v>3</v>
      </c>
      <c r="M10" t="s">
        <v>401</v>
      </c>
      <c r="N10">
        <v>13.730228471001755</v>
      </c>
      <c r="P10" t="s">
        <v>663</v>
      </c>
      <c r="Q10">
        <v>169.60651289009499</v>
      </c>
      <c r="R10" t="s">
        <v>52</v>
      </c>
      <c r="S10" t="s">
        <v>622</v>
      </c>
      <c r="T10" t="s">
        <v>342</v>
      </c>
      <c r="U10" t="b">
        <v>0</v>
      </c>
    </row>
    <row r="11" spans="1:21" x14ac:dyDescent="0.3">
      <c r="A11" t="s">
        <v>622</v>
      </c>
      <c r="B11">
        <v>10</v>
      </c>
      <c r="C11" t="s">
        <v>531</v>
      </c>
      <c r="D11">
        <v>202533</v>
      </c>
      <c r="E11" t="s">
        <v>623</v>
      </c>
      <c r="F11" t="s">
        <v>624</v>
      </c>
      <c r="G11" t="s">
        <v>625</v>
      </c>
      <c r="H11" t="s">
        <v>626</v>
      </c>
      <c r="I11" t="s">
        <v>398</v>
      </c>
      <c r="J11" t="s">
        <v>396</v>
      </c>
      <c r="K11" t="s">
        <v>565</v>
      </c>
      <c r="L11" t="s">
        <v>4</v>
      </c>
      <c r="M11" t="s">
        <v>628</v>
      </c>
      <c r="N11">
        <v>13.730228471001755</v>
      </c>
      <c r="P11" t="s">
        <v>662</v>
      </c>
      <c r="Q11">
        <v>169.60651289009499</v>
      </c>
      <c r="R11" t="s">
        <v>83</v>
      </c>
      <c r="S11" t="s">
        <v>622</v>
      </c>
      <c r="T11" t="s">
        <v>342</v>
      </c>
      <c r="U11" t="b">
        <v>0</v>
      </c>
    </row>
    <row r="12" spans="1:21" x14ac:dyDescent="0.3">
      <c r="A12" t="s">
        <v>622</v>
      </c>
      <c r="B12">
        <v>11</v>
      </c>
      <c r="C12" t="s">
        <v>530</v>
      </c>
      <c r="D12">
        <v>202533</v>
      </c>
      <c r="E12" t="s">
        <v>623</v>
      </c>
      <c r="F12" t="s">
        <v>624</v>
      </c>
      <c r="G12" t="s">
        <v>625</v>
      </c>
      <c r="H12" t="s">
        <v>626</v>
      </c>
      <c r="I12" t="s">
        <v>385</v>
      </c>
      <c r="J12" t="s">
        <v>384</v>
      </c>
      <c r="K12" t="s">
        <v>565</v>
      </c>
      <c r="L12" t="s">
        <v>4</v>
      </c>
      <c r="M12" t="s">
        <v>383</v>
      </c>
      <c r="N12">
        <v>13.730228471001755</v>
      </c>
      <c r="P12" t="s">
        <v>662</v>
      </c>
      <c r="Q12">
        <v>169.60651289009499</v>
      </c>
      <c r="R12" t="s">
        <v>74</v>
      </c>
      <c r="S12" t="s">
        <v>622</v>
      </c>
      <c r="T12" t="s">
        <v>342</v>
      </c>
      <c r="U12" t="b">
        <v>0</v>
      </c>
    </row>
    <row r="13" spans="1:21" x14ac:dyDescent="0.3">
      <c r="A13" t="s">
        <v>622</v>
      </c>
      <c r="B13">
        <v>12</v>
      </c>
      <c r="C13" t="s">
        <v>544</v>
      </c>
      <c r="D13">
        <v>202533</v>
      </c>
      <c r="E13" t="s">
        <v>623</v>
      </c>
      <c r="F13" t="s">
        <v>624</v>
      </c>
      <c r="G13" t="s">
        <v>625</v>
      </c>
      <c r="H13" t="s">
        <v>626</v>
      </c>
      <c r="I13" t="s">
        <v>385</v>
      </c>
      <c r="J13" t="s">
        <v>384</v>
      </c>
      <c r="K13" t="s">
        <v>565</v>
      </c>
      <c r="L13" t="s">
        <v>3</v>
      </c>
      <c r="M13" t="s">
        <v>631</v>
      </c>
      <c r="N13">
        <v>13.730228471001755</v>
      </c>
      <c r="P13" t="s">
        <v>662</v>
      </c>
      <c r="Q13">
        <v>169.60651289009499</v>
      </c>
      <c r="R13" t="s">
        <v>49</v>
      </c>
      <c r="S13" t="s">
        <v>622</v>
      </c>
      <c r="T13" t="s">
        <v>342</v>
      </c>
      <c r="U13" t="b">
        <v>0</v>
      </c>
    </row>
    <row r="14" spans="1:21" x14ac:dyDescent="0.3">
      <c r="A14" t="s">
        <v>622</v>
      </c>
      <c r="B14">
        <v>13</v>
      </c>
      <c r="C14" t="s">
        <v>532</v>
      </c>
      <c r="D14">
        <v>202533</v>
      </c>
      <c r="E14" t="s">
        <v>623</v>
      </c>
      <c r="F14" t="s">
        <v>624</v>
      </c>
      <c r="G14" t="s">
        <v>625</v>
      </c>
      <c r="H14" t="s">
        <v>626</v>
      </c>
      <c r="I14" t="s">
        <v>388</v>
      </c>
      <c r="J14" t="s">
        <v>384</v>
      </c>
      <c r="K14" t="s">
        <v>565</v>
      </c>
      <c r="L14" t="s">
        <v>2</v>
      </c>
      <c r="M14" t="s">
        <v>630</v>
      </c>
      <c r="N14">
        <v>13.730228471001755</v>
      </c>
      <c r="P14" t="s">
        <v>662</v>
      </c>
      <c r="Q14">
        <v>169.60651289009499</v>
      </c>
      <c r="R14" t="s">
        <v>83</v>
      </c>
      <c r="S14" t="s">
        <v>622</v>
      </c>
      <c r="T14" t="s">
        <v>342</v>
      </c>
      <c r="U14" t="b">
        <v>0</v>
      </c>
    </row>
    <row r="15" spans="1:21" x14ac:dyDescent="0.3">
      <c r="A15" t="s">
        <v>622</v>
      </c>
      <c r="B15">
        <v>14</v>
      </c>
      <c r="C15" t="s">
        <v>536</v>
      </c>
      <c r="D15">
        <v>202534</v>
      </c>
      <c r="E15" t="s">
        <v>623</v>
      </c>
      <c r="F15" t="s">
        <v>632</v>
      </c>
      <c r="G15" t="s">
        <v>625</v>
      </c>
      <c r="H15" t="s">
        <v>626</v>
      </c>
      <c r="I15" t="s">
        <v>398</v>
      </c>
      <c r="J15" t="s">
        <v>396</v>
      </c>
      <c r="K15" t="s">
        <v>565</v>
      </c>
      <c r="L15" t="s">
        <v>3</v>
      </c>
      <c r="M15" t="s">
        <v>606</v>
      </c>
      <c r="N15">
        <v>13.730228471001755</v>
      </c>
      <c r="P15" t="s">
        <v>662</v>
      </c>
      <c r="Q15">
        <v>151.42337976983646</v>
      </c>
      <c r="R15" t="s">
        <v>177</v>
      </c>
      <c r="S15" t="s">
        <v>622</v>
      </c>
      <c r="T15" t="s">
        <v>342</v>
      </c>
      <c r="U15" t="b">
        <v>0</v>
      </c>
    </row>
    <row r="16" spans="1:21" x14ac:dyDescent="0.3">
      <c r="A16" t="s">
        <v>622</v>
      </c>
      <c r="B16">
        <v>15</v>
      </c>
      <c r="C16" t="s">
        <v>535</v>
      </c>
      <c r="D16">
        <v>202535</v>
      </c>
      <c r="E16" t="s">
        <v>623</v>
      </c>
      <c r="F16" t="s">
        <v>632</v>
      </c>
      <c r="G16" t="s">
        <v>625</v>
      </c>
      <c r="H16" t="s">
        <v>626</v>
      </c>
      <c r="I16" t="s">
        <v>385</v>
      </c>
      <c r="J16" t="s">
        <v>395</v>
      </c>
      <c r="K16" t="s">
        <v>565</v>
      </c>
      <c r="L16" t="s">
        <v>3</v>
      </c>
      <c r="N16">
        <v>13.730228471001755</v>
      </c>
      <c r="P16" t="s">
        <v>662</v>
      </c>
      <c r="Q16">
        <v>141.0636196924813</v>
      </c>
      <c r="S16" t="s">
        <v>622</v>
      </c>
      <c r="T16" t="s">
        <v>342</v>
      </c>
      <c r="U16" t="b">
        <v>0</v>
      </c>
    </row>
    <row r="17" spans="1:21" x14ac:dyDescent="0.3">
      <c r="A17" t="s">
        <v>622</v>
      </c>
      <c r="B17">
        <v>16</v>
      </c>
      <c r="C17" t="s">
        <v>545</v>
      </c>
      <c r="D17">
        <v>202535</v>
      </c>
      <c r="E17" t="s">
        <v>623</v>
      </c>
      <c r="F17" t="s">
        <v>632</v>
      </c>
      <c r="G17" t="s">
        <v>625</v>
      </c>
      <c r="H17" t="s">
        <v>626</v>
      </c>
      <c r="I17" t="s">
        <v>398</v>
      </c>
      <c r="J17" t="s">
        <v>386</v>
      </c>
      <c r="K17" t="s">
        <v>565</v>
      </c>
      <c r="L17" t="s">
        <v>3</v>
      </c>
      <c r="N17">
        <v>13.730228471001755</v>
      </c>
      <c r="P17" t="s">
        <v>662</v>
      </c>
      <c r="Q17">
        <v>141.0636196924813</v>
      </c>
      <c r="R17" t="s">
        <v>86</v>
      </c>
      <c r="S17" t="s">
        <v>622</v>
      </c>
      <c r="T17" t="s">
        <v>342</v>
      </c>
      <c r="U17" t="b">
        <v>0</v>
      </c>
    </row>
    <row r="18" spans="1:21" x14ac:dyDescent="0.3">
      <c r="A18" t="s">
        <v>622</v>
      </c>
      <c r="B18">
        <v>17</v>
      </c>
      <c r="C18" t="s">
        <v>538</v>
      </c>
      <c r="D18">
        <v>202535</v>
      </c>
      <c r="E18" t="s">
        <v>633</v>
      </c>
      <c r="F18" t="s">
        <v>632</v>
      </c>
      <c r="G18" t="s">
        <v>625</v>
      </c>
      <c r="H18" t="s">
        <v>626</v>
      </c>
      <c r="I18" t="s">
        <v>398</v>
      </c>
      <c r="J18" t="s">
        <v>386</v>
      </c>
      <c r="K18" t="s">
        <v>565</v>
      </c>
      <c r="L18" t="s">
        <v>4</v>
      </c>
      <c r="M18" t="s">
        <v>628</v>
      </c>
      <c r="N18">
        <v>13.730228471001755</v>
      </c>
      <c r="P18" t="s">
        <v>661</v>
      </c>
      <c r="Q18">
        <v>0</v>
      </c>
      <c r="S18" t="s">
        <v>622</v>
      </c>
      <c r="T18" t="s">
        <v>342</v>
      </c>
      <c r="U18" t="b">
        <v>0</v>
      </c>
    </row>
    <row r="19" spans="1:21" x14ac:dyDescent="0.3">
      <c r="A19" t="s">
        <v>622</v>
      </c>
      <c r="B19">
        <v>18</v>
      </c>
      <c r="C19" t="s">
        <v>546</v>
      </c>
      <c r="D19">
        <v>202535</v>
      </c>
      <c r="E19" t="s">
        <v>633</v>
      </c>
      <c r="F19" t="s">
        <v>632</v>
      </c>
      <c r="G19" t="s">
        <v>625</v>
      </c>
      <c r="H19" t="s">
        <v>626</v>
      </c>
      <c r="I19" t="s">
        <v>398</v>
      </c>
      <c r="J19" t="s">
        <v>386</v>
      </c>
      <c r="K19" t="s">
        <v>565</v>
      </c>
      <c r="L19" t="s">
        <v>4</v>
      </c>
      <c r="M19" t="s">
        <v>628</v>
      </c>
      <c r="N19">
        <v>13.730228471001755</v>
      </c>
      <c r="P19" t="s">
        <v>661</v>
      </c>
      <c r="Q19">
        <v>0</v>
      </c>
      <c r="R19" t="s">
        <v>93</v>
      </c>
      <c r="S19" t="s">
        <v>622</v>
      </c>
      <c r="T19" t="s">
        <v>342</v>
      </c>
      <c r="U19" t="b">
        <v>0</v>
      </c>
    </row>
    <row r="20" spans="1:21" x14ac:dyDescent="0.3">
      <c r="A20" t="s">
        <v>622</v>
      </c>
      <c r="B20">
        <v>19</v>
      </c>
      <c r="C20" t="s">
        <v>548</v>
      </c>
      <c r="D20">
        <v>202535</v>
      </c>
      <c r="E20" t="s">
        <v>623</v>
      </c>
      <c r="F20" t="s">
        <v>632</v>
      </c>
      <c r="G20" t="s">
        <v>625</v>
      </c>
      <c r="H20" t="s">
        <v>626</v>
      </c>
      <c r="I20" t="s">
        <v>398</v>
      </c>
      <c r="J20" t="s">
        <v>386</v>
      </c>
      <c r="K20" t="s">
        <v>565</v>
      </c>
      <c r="L20" t="s">
        <v>4</v>
      </c>
      <c r="M20" t="s">
        <v>628</v>
      </c>
      <c r="N20">
        <v>13.730228471001755</v>
      </c>
      <c r="P20" t="s">
        <v>661</v>
      </c>
      <c r="Q20">
        <v>141.0636196924813</v>
      </c>
      <c r="S20" t="s">
        <v>622</v>
      </c>
      <c r="T20" t="s">
        <v>342</v>
      </c>
      <c r="U20" t="b">
        <v>0</v>
      </c>
    </row>
    <row r="21" spans="1:21" x14ac:dyDescent="0.3">
      <c r="A21" t="s">
        <v>622</v>
      </c>
      <c r="B21">
        <v>20</v>
      </c>
      <c r="C21" t="s">
        <v>547</v>
      </c>
      <c r="D21">
        <v>202535</v>
      </c>
      <c r="E21" t="s">
        <v>633</v>
      </c>
      <c r="F21" t="s">
        <v>632</v>
      </c>
      <c r="G21" t="s">
        <v>625</v>
      </c>
      <c r="H21" t="s">
        <v>626</v>
      </c>
      <c r="I21" t="s">
        <v>398</v>
      </c>
      <c r="J21" t="s">
        <v>386</v>
      </c>
      <c r="K21" t="s">
        <v>565</v>
      </c>
      <c r="L21" t="s">
        <v>4</v>
      </c>
      <c r="M21" t="s">
        <v>634</v>
      </c>
      <c r="N21">
        <v>13.730228471001755</v>
      </c>
      <c r="P21" t="s">
        <v>446</v>
      </c>
      <c r="Q21">
        <v>141.0636196924813</v>
      </c>
      <c r="S21" t="s">
        <v>622</v>
      </c>
      <c r="T21" t="s">
        <v>342</v>
      </c>
      <c r="U21" t="b">
        <v>0</v>
      </c>
    </row>
    <row r="22" spans="1:21" x14ac:dyDescent="0.3">
      <c r="A22" t="s">
        <v>622</v>
      </c>
      <c r="B22">
        <v>21</v>
      </c>
      <c r="C22" t="s">
        <v>537</v>
      </c>
      <c r="D22">
        <v>202535</v>
      </c>
      <c r="E22" t="s">
        <v>623</v>
      </c>
      <c r="F22" t="s">
        <v>632</v>
      </c>
      <c r="G22" t="s">
        <v>625</v>
      </c>
      <c r="H22" t="s">
        <v>626</v>
      </c>
      <c r="I22" t="s">
        <v>398</v>
      </c>
      <c r="J22" t="s">
        <v>386</v>
      </c>
      <c r="K22" t="s">
        <v>565</v>
      </c>
      <c r="L22" t="s">
        <v>4</v>
      </c>
      <c r="M22" t="s">
        <v>6</v>
      </c>
      <c r="N22">
        <v>13.730228471001755</v>
      </c>
      <c r="P22" t="s">
        <v>661</v>
      </c>
      <c r="Q22">
        <v>141.0636196924813</v>
      </c>
      <c r="R22" t="s">
        <v>133</v>
      </c>
      <c r="S22" t="s">
        <v>622</v>
      </c>
      <c r="T22" t="s">
        <v>342</v>
      </c>
      <c r="U22" t="b">
        <v>0</v>
      </c>
    </row>
    <row r="23" spans="1:21" x14ac:dyDescent="0.3">
      <c r="A23" t="s">
        <v>622</v>
      </c>
      <c r="B23">
        <v>22</v>
      </c>
      <c r="C23" t="s">
        <v>541</v>
      </c>
      <c r="D23">
        <v>202535</v>
      </c>
      <c r="E23" t="s">
        <v>623</v>
      </c>
      <c r="F23" t="s">
        <v>624</v>
      </c>
      <c r="G23" t="s">
        <v>625</v>
      </c>
      <c r="H23" t="s">
        <v>626</v>
      </c>
      <c r="I23" t="s">
        <v>398</v>
      </c>
      <c r="J23" t="s">
        <v>386</v>
      </c>
      <c r="K23" t="s">
        <v>565</v>
      </c>
      <c r="L23" t="s">
        <v>4</v>
      </c>
      <c r="M23" t="s">
        <v>628</v>
      </c>
      <c r="N23">
        <v>13.730228471001755</v>
      </c>
      <c r="P23" t="s">
        <v>661</v>
      </c>
      <c r="Q23">
        <v>141.0636196924813</v>
      </c>
      <c r="R23" t="s">
        <v>70</v>
      </c>
      <c r="S23" t="s">
        <v>622</v>
      </c>
      <c r="T23" t="s">
        <v>342</v>
      </c>
      <c r="U23" t="b">
        <v>0</v>
      </c>
    </row>
    <row r="24" spans="1:21" x14ac:dyDescent="0.3">
      <c r="A24" t="s">
        <v>622</v>
      </c>
      <c r="B24">
        <v>23</v>
      </c>
      <c r="C24" t="s">
        <v>543</v>
      </c>
      <c r="D24">
        <v>202535</v>
      </c>
      <c r="E24" t="s">
        <v>623</v>
      </c>
      <c r="F24" t="s">
        <v>632</v>
      </c>
      <c r="G24" t="s">
        <v>625</v>
      </c>
      <c r="H24" t="s">
        <v>626</v>
      </c>
      <c r="I24" t="s">
        <v>398</v>
      </c>
      <c r="J24" t="s">
        <v>386</v>
      </c>
      <c r="K24" t="s">
        <v>565</v>
      </c>
      <c r="L24" t="s">
        <v>4</v>
      </c>
      <c r="M24" t="s">
        <v>381</v>
      </c>
      <c r="N24">
        <v>13.730228471001755</v>
      </c>
      <c r="P24" t="s">
        <v>662</v>
      </c>
      <c r="Q24">
        <v>141.0636196924813</v>
      </c>
      <c r="R24" t="s">
        <v>171</v>
      </c>
      <c r="S24" t="s">
        <v>622</v>
      </c>
      <c r="T24" t="s">
        <v>342</v>
      </c>
      <c r="U24" t="b">
        <v>0</v>
      </c>
    </row>
    <row r="25" spans="1:21" x14ac:dyDescent="0.3">
      <c r="A25" t="s">
        <v>622</v>
      </c>
      <c r="B25">
        <v>24</v>
      </c>
      <c r="C25" t="s">
        <v>549</v>
      </c>
      <c r="D25">
        <v>202536</v>
      </c>
      <c r="E25" t="s">
        <v>633</v>
      </c>
      <c r="F25" t="s">
        <v>632</v>
      </c>
      <c r="G25" t="s">
        <v>625</v>
      </c>
      <c r="H25" t="s">
        <v>626</v>
      </c>
      <c r="I25" t="s">
        <v>385</v>
      </c>
      <c r="J25" t="s">
        <v>392</v>
      </c>
      <c r="K25" t="s">
        <v>565</v>
      </c>
      <c r="L25" t="s">
        <v>4</v>
      </c>
      <c r="M25" t="s">
        <v>628</v>
      </c>
      <c r="N25">
        <v>13.730228471001755</v>
      </c>
      <c r="P25" t="s">
        <v>661</v>
      </c>
      <c r="Q25">
        <v>117.13716762328689</v>
      </c>
      <c r="S25" t="s">
        <v>622</v>
      </c>
      <c r="T25" t="s">
        <v>342</v>
      </c>
      <c r="U25" t="b">
        <v>0</v>
      </c>
    </row>
    <row r="26" spans="1:21" x14ac:dyDescent="0.3">
      <c r="A26" t="s">
        <v>622</v>
      </c>
      <c r="B26">
        <v>25</v>
      </c>
      <c r="C26" t="s">
        <v>551</v>
      </c>
      <c r="D26">
        <v>202536</v>
      </c>
      <c r="E26" t="s">
        <v>633</v>
      </c>
      <c r="F26" t="s">
        <v>632</v>
      </c>
      <c r="G26" t="s">
        <v>625</v>
      </c>
      <c r="H26" t="s">
        <v>626</v>
      </c>
      <c r="I26" t="s">
        <v>385</v>
      </c>
      <c r="J26" t="s">
        <v>392</v>
      </c>
      <c r="K26" t="s">
        <v>565</v>
      </c>
      <c r="L26" t="s">
        <v>4</v>
      </c>
      <c r="M26" t="s">
        <v>382</v>
      </c>
      <c r="N26">
        <v>13.730228471001755</v>
      </c>
      <c r="P26" t="s">
        <v>662</v>
      </c>
      <c r="Q26">
        <v>117.13716762328689</v>
      </c>
      <c r="S26" t="s">
        <v>622</v>
      </c>
      <c r="T26" t="s">
        <v>342</v>
      </c>
      <c r="U26" t="b">
        <v>0</v>
      </c>
    </row>
    <row r="27" spans="1:21" x14ac:dyDescent="0.3">
      <c r="A27" t="s">
        <v>622</v>
      </c>
      <c r="B27">
        <v>26</v>
      </c>
      <c r="C27" t="s">
        <v>550</v>
      </c>
      <c r="D27">
        <v>202536</v>
      </c>
      <c r="E27" t="s">
        <v>633</v>
      </c>
      <c r="F27" t="s">
        <v>632</v>
      </c>
      <c r="G27" t="s">
        <v>625</v>
      </c>
      <c r="H27" t="s">
        <v>626</v>
      </c>
      <c r="I27" t="s">
        <v>385</v>
      </c>
      <c r="J27" t="s">
        <v>386</v>
      </c>
      <c r="K27" t="s">
        <v>565</v>
      </c>
      <c r="L27" t="s">
        <v>4</v>
      </c>
      <c r="M27" t="s">
        <v>6</v>
      </c>
      <c r="N27">
        <v>13.730228471001755</v>
      </c>
      <c r="P27" t="s">
        <v>662</v>
      </c>
      <c r="Q27">
        <v>117.13716762328689</v>
      </c>
      <c r="S27" t="s">
        <v>622</v>
      </c>
      <c r="T27" t="s">
        <v>342</v>
      </c>
      <c r="U27" t="b">
        <v>0</v>
      </c>
    </row>
    <row r="28" spans="1:21" x14ac:dyDescent="0.3">
      <c r="A28" t="s">
        <v>622</v>
      </c>
      <c r="B28">
        <v>27</v>
      </c>
      <c r="C28" t="s">
        <v>552</v>
      </c>
      <c r="D28">
        <v>202536</v>
      </c>
      <c r="E28" t="s">
        <v>633</v>
      </c>
      <c r="F28" t="s">
        <v>632</v>
      </c>
      <c r="G28" t="s">
        <v>635</v>
      </c>
      <c r="H28" t="s">
        <v>626</v>
      </c>
      <c r="I28" t="s">
        <v>388</v>
      </c>
      <c r="J28" t="s">
        <v>386</v>
      </c>
      <c r="K28" t="s">
        <v>565</v>
      </c>
      <c r="L28" t="s">
        <v>2</v>
      </c>
      <c r="M28" t="s">
        <v>505</v>
      </c>
      <c r="N28">
        <v>13.730228471001755</v>
      </c>
      <c r="P28" t="s">
        <v>446</v>
      </c>
      <c r="Q28">
        <v>117.13716762328689</v>
      </c>
      <c r="S28" t="s">
        <v>622</v>
      </c>
      <c r="T28" t="s">
        <v>342</v>
      </c>
      <c r="U28" t="b">
        <v>0</v>
      </c>
    </row>
    <row r="29" spans="1:21" x14ac:dyDescent="0.3">
      <c r="A29" t="s">
        <v>622</v>
      </c>
      <c r="B29">
        <v>28</v>
      </c>
      <c r="C29" t="s">
        <v>556</v>
      </c>
      <c r="D29">
        <v>202536</v>
      </c>
      <c r="E29" t="s">
        <v>633</v>
      </c>
      <c r="F29" t="s">
        <v>632</v>
      </c>
      <c r="G29" t="s">
        <v>635</v>
      </c>
      <c r="H29" t="s">
        <v>626</v>
      </c>
      <c r="I29" t="s">
        <v>388</v>
      </c>
      <c r="J29" t="s">
        <v>395</v>
      </c>
      <c r="K29" t="s">
        <v>565</v>
      </c>
      <c r="L29" t="s">
        <v>3</v>
      </c>
      <c r="N29">
        <v>13.730228471001755</v>
      </c>
      <c r="P29" t="s">
        <v>662</v>
      </c>
      <c r="Q29">
        <v>117.13716762328689</v>
      </c>
      <c r="R29" t="s">
        <v>49</v>
      </c>
      <c r="S29" t="s">
        <v>622</v>
      </c>
      <c r="T29" t="s">
        <v>342</v>
      </c>
      <c r="U29" t="b">
        <v>0</v>
      </c>
    </row>
    <row r="30" spans="1:21" x14ac:dyDescent="0.3">
      <c r="A30" t="s">
        <v>622</v>
      </c>
      <c r="B30">
        <v>29</v>
      </c>
      <c r="C30" t="s">
        <v>554</v>
      </c>
      <c r="D30">
        <v>202536</v>
      </c>
      <c r="E30" t="s">
        <v>633</v>
      </c>
      <c r="F30" t="s">
        <v>632</v>
      </c>
      <c r="G30" t="s">
        <v>635</v>
      </c>
      <c r="H30" t="s">
        <v>626</v>
      </c>
      <c r="I30" t="s">
        <v>388</v>
      </c>
      <c r="J30" t="s">
        <v>384</v>
      </c>
      <c r="K30" t="s">
        <v>565</v>
      </c>
      <c r="L30" t="s">
        <v>3</v>
      </c>
      <c r="M30" t="s">
        <v>636</v>
      </c>
      <c r="N30">
        <v>13.730228471001755</v>
      </c>
      <c r="P30" t="s">
        <v>662</v>
      </c>
      <c r="Q30">
        <v>117.13716762328689</v>
      </c>
      <c r="R30" t="s">
        <v>49</v>
      </c>
      <c r="S30" t="s">
        <v>622</v>
      </c>
      <c r="T30" t="s">
        <v>342</v>
      </c>
      <c r="U30" t="b">
        <v>0</v>
      </c>
    </row>
    <row r="31" spans="1:21" x14ac:dyDescent="0.3">
      <c r="A31" t="s">
        <v>622</v>
      </c>
      <c r="B31">
        <v>30</v>
      </c>
      <c r="C31" t="s">
        <v>560</v>
      </c>
      <c r="D31">
        <v>202536</v>
      </c>
      <c r="E31" t="s">
        <v>633</v>
      </c>
      <c r="F31" t="s">
        <v>632</v>
      </c>
      <c r="G31" t="s">
        <v>625</v>
      </c>
      <c r="H31" t="s">
        <v>626</v>
      </c>
      <c r="I31" t="s">
        <v>398</v>
      </c>
      <c r="J31" t="s">
        <v>386</v>
      </c>
      <c r="K31" t="s">
        <v>565</v>
      </c>
      <c r="L31" t="s">
        <v>3</v>
      </c>
      <c r="N31">
        <v>13.730228471001755</v>
      </c>
      <c r="P31" t="s">
        <v>662</v>
      </c>
      <c r="Q31">
        <v>117.13716762328689</v>
      </c>
      <c r="R31" t="s">
        <v>50</v>
      </c>
      <c r="S31" t="s">
        <v>622</v>
      </c>
      <c r="T31" t="s">
        <v>342</v>
      </c>
      <c r="U31" t="b">
        <v>0</v>
      </c>
    </row>
    <row r="32" spans="1:21" x14ac:dyDescent="0.3">
      <c r="A32" t="s">
        <v>622</v>
      </c>
      <c r="B32">
        <v>31</v>
      </c>
      <c r="C32" t="s">
        <v>561</v>
      </c>
      <c r="D32">
        <v>202536</v>
      </c>
      <c r="E32" t="s">
        <v>633</v>
      </c>
      <c r="F32" t="s">
        <v>632</v>
      </c>
      <c r="G32" t="s">
        <v>625</v>
      </c>
      <c r="H32" t="s">
        <v>626</v>
      </c>
      <c r="I32" t="s">
        <v>398</v>
      </c>
      <c r="J32" t="s">
        <v>386</v>
      </c>
      <c r="K32" t="s">
        <v>565</v>
      </c>
      <c r="L32" t="s">
        <v>4</v>
      </c>
      <c r="M32" t="s">
        <v>628</v>
      </c>
      <c r="N32">
        <v>13.730228471001755</v>
      </c>
      <c r="P32" t="s">
        <v>661</v>
      </c>
      <c r="Q32">
        <v>117.13716762328689</v>
      </c>
      <c r="R32" t="s">
        <v>54</v>
      </c>
      <c r="S32" t="s">
        <v>622</v>
      </c>
      <c r="T32" t="s">
        <v>342</v>
      </c>
      <c r="U32" t="b">
        <v>0</v>
      </c>
    </row>
    <row r="33" spans="1:21" x14ac:dyDescent="0.3">
      <c r="A33" t="s">
        <v>622</v>
      </c>
      <c r="B33">
        <v>32</v>
      </c>
      <c r="C33" t="s">
        <v>563</v>
      </c>
      <c r="D33">
        <v>202536</v>
      </c>
      <c r="E33" t="s">
        <v>633</v>
      </c>
      <c r="F33" t="s">
        <v>632</v>
      </c>
      <c r="G33" t="s">
        <v>635</v>
      </c>
      <c r="H33" t="s">
        <v>626</v>
      </c>
      <c r="I33" t="s">
        <v>388</v>
      </c>
      <c r="J33" t="s">
        <v>384</v>
      </c>
      <c r="K33" t="s">
        <v>565</v>
      </c>
      <c r="L33" t="s">
        <v>4</v>
      </c>
      <c r="M33" t="s">
        <v>628</v>
      </c>
      <c r="N33">
        <v>13.730228471001755</v>
      </c>
      <c r="P33" t="s">
        <v>446</v>
      </c>
      <c r="Q33">
        <v>117.13716762328689</v>
      </c>
      <c r="R33" t="s">
        <v>95</v>
      </c>
      <c r="S33" t="s">
        <v>622</v>
      </c>
      <c r="T33" t="s">
        <v>342</v>
      </c>
      <c r="U33" t="b">
        <v>0</v>
      </c>
    </row>
    <row r="34" spans="1:21" x14ac:dyDescent="0.3">
      <c r="A34" t="s">
        <v>622</v>
      </c>
      <c r="B34">
        <v>33</v>
      </c>
      <c r="C34" t="s">
        <v>557</v>
      </c>
      <c r="D34">
        <v>202536</v>
      </c>
      <c r="E34" t="s">
        <v>633</v>
      </c>
      <c r="F34" t="s">
        <v>632</v>
      </c>
      <c r="G34" t="s">
        <v>625</v>
      </c>
      <c r="H34" t="s">
        <v>626</v>
      </c>
      <c r="I34" t="s">
        <v>385</v>
      </c>
      <c r="J34" t="s">
        <v>397</v>
      </c>
      <c r="K34" t="s">
        <v>565</v>
      </c>
      <c r="L34" t="s">
        <v>2</v>
      </c>
      <c r="M34" t="s">
        <v>524</v>
      </c>
      <c r="N34">
        <v>13.730228471001755</v>
      </c>
      <c r="P34" t="s">
        <v>661</v>
      </c>
      <c r="Q34">
        <v>117.13716762328689</v>
      </c>
      <c r="R34" t="s">
        <v>50</v>
      </c>
      <c r="S34" t="s">
        <v>622</v>
      </c>
      <c r="T34" t="s">
        <v>342</v>
      </c>
      <c r="U34" t="b">
        <v>0</v>
      </c>
    </row>
    <row r="35" spans="1:21" x14ac:dyDescent="0.3">
      <c r="A35" t="s">
        <v>622</v>
      </c>
      <c r="B35">
        <v>34</v>
      </c>
      <c r="C35" t="s">
        <v>559</v>
      </c>
      <c r="D35">
        <v>202536</v>
      </c>
      <c r="E35" t="s">
        <v>633</v>
      </c>
      <c r="F35" t="s">
        <v>632</v>
      </c>
      <c r="G35" t="s">
        <v>625</v>
      </c>
      <c r="H35" t="s">
        <v>626</v>
      </c>
      <c r="I35" t="s">
        <v>388</v>
      </c>
      <c r="J35" t="s">
        <v>386</v>
      </c>
      <c r="K35" t="s">
        <v>565</v>
      </c>
      <c r="L35" t="s">
        <v>2</v>
      </c>
      <c r="M35" t="s">
        <v>101</v>
      </c>
      <c r="N35">
        <v>13.730228471001755</v>
      </c>
      <c r="P35" t="s">
        <v>662</v>
      </c>
      <c r="Q35">
        <v>117.13716762328689</v>
      </c>
      <c r="R35" t="s">
        <v>86</v>
      </c>
      <c r="S35" t="s">
        <v>622</v>
      </c>
      <c r="T35" t="s">
        <v>342</v>
      </c>
      <c r="U35" t="b">
        <v>0</v>
      </c>
    </row>
    <row r="36" spans="1:21" x14ac:dyDescent="0.3">
      <c r="A36" t="s">
        <v>622</v>
      </c>
      <c r="B36">
        <v>35</v>
      </c>
      <c r="C36" t="s">
        <v>558</v>
      </c>
      <c r="D36">
        <v>202537</v>
      </c>
      <c r="E36" t="s">
        <v>633</v>
      </c>
      <c r="F36" t="s">
        <v>632</v>
      </c>
      <c r="G36" t="s">
        <v>625</v>
      </c>
      <c r="H36" t="s">
        <v>626</v>
      </c>
      <c r="I36" t="s">
        <v>388</v>
      </c>
      <c r="J36" t="s">
        <v>386</v>
      </c>
      <c r="K36" t="s">
        <v>665</v>
      </c>
      <c r="L36" t="s">
        <v>2</v>
      </c>
      <c r="M36" t="s">
        <v>101</v>
      </c>
      <c r="N36">
        <v>13.730228471001755</v>
      </c>
      <c r="P36" t="s">
        <v>446</v>
      </c>
      <c r="Q36">
        <v>155.59358954411078</v>
      </c>
      <c r="R36" t="s">
        <v>189</v>
      </c>
      <c r="S36" t="s">
        <v>622</v>
      </c>
      <c r="T36" t="s">
        <v>342</v>
      </c>
      <c r="U36" t="b">
        <v>0</v>
      </c>
    </row>
    <row r="37" spans="1:21" x14ac:dyDescent="0.3">
      <c r="A37" t="s">
        <v>622</v>
      </c>
      <c r="B37">
        <v>36</v>
      </c>
      <c r="C37" t="s">
        <v>564</v>
      </c>
      <c r="D37">
        <v>202537</v>
      </c>
      <c r="E37" t="s">
        <v>633</v>
      </c>
      <c r="F37" t="s">
        <v>632</v>
      </c>
      <c r="G37" t="s">
        <v>625</v>
      </c>
      <c r="H37" t="s">
        <v>626</v>
      </c>
      <c r="I37" t="s">
        <v>385</v>
      </c>
      <c r="J37" t="s">
        <v>386</v>
      </c>
      <c r="K37" t="s">
        <v>565</v>
      </c>
      <c r="L37" t="s">
        <v>4</v>
      </c>
      <c r="M37" t="s">
        <v>628</v>
      </c>
      <c r="N37">
        <v>13.730228471001755</v>
      </c>
      <c r="P37" t="s">
        <v>661</v>
      </c>
      <c r="Q37">
        <v>155.59358954411078</v>
      </c>
      <c r="R37" t="s">
        <v>165</v>
      </c>
      <c r="S37" t="s">
        <v>622</v>
      </c>
      <c r="T37" t="s">
        <v>342</v>
      </c>
      <c r="U37" t="b">
        <v>0</v>
      </c>
    </row>
    <row r="38" spans="1:21" x14ac:dyDescent="0.3">
      <c r="A38" t="s">
        <v>622</v>
      </c>
      <c r="B38">
        <v>37</v>
      </c>
      <c r="C38" t="s">
        <v>555</v>
      </c>
      <c r="D38">
        <v>202537</v>
      </c>
      <c r="E38" t="s">
        <v>633</v>
      </c>
      <c r="F38" t="s">
        <v>632</v>
      </c>
      <c r="G38" t="s">
        <v>625</v>
      </c>
      <c r="H38" t="s">
        <v>626</v>
      </c>
      <c r="I38" t="s">
        <v>398</v>
      </c>
      <c r="J38" t="s">
        <v>386</v>
      </c>
      <c r="K38" t="s">
        <v>565</v>
      </c>
      <c r="L38" t="s">
        <v>4</v>
      </c>
      <c r="M38" t="s">
        <v>6</v>
      </c>
      <c r="N38">
        <v>13.730228471001755</v>
      </c>
      <c r="P38" t="s">
        <v>662</v>
      </c>
      <c r="Q38">
        <v>155.59358954411078</v>
      </c>
      <c r="R38" t="s">
        <v>73</v>
      </c>
      <c r="S38" t="s">
        <v>622</v>
      </c>
      <c r="T38" t="s">
        <v>342</v>
      </c>
      <c r="U38" t="b">
        <v>0</v>
      </c>
    </row>
    <row r="39" spans="1:21" x14ac:dyDescent="0.3">
      <c r="A39" t="s">
        <v>622</v>
      </c>
      <c r="B39">
        <v>38</v>
      </c>
      <c r="C39" t="s">
        <v>562</v>
      </c>
      <c r="D39">
        <v>202537</v>
      </c>
      <c r="E39" t="s">
        <v>633</v>
      </c>
      <c r="F39" t="s">
        <v>632</v>
      </c>
      <c r="G39" t="s">
        <v>625</v>
      </c>
      <c r="H39" t="s">
        <v>626</v>
      </c>
      <c r="I39" t="s">
        <v>385</v>
      </c>
      <c r="J39" t="s">
        <v>386</v>
      </c>
      <c r="K39" t="s">
        <v>565</v>
      </c>
      <c r="L39" t="s">
        <v>2</v>
      </c>
      <c r="M39" t="s">
        <v>524</v>
      </c>
      <c r="N39">
        <v>13.730228471001755</v>
      </c>
      <c r="P39" t="s">
        <v>662</v>
      </c>
      <c r="Q39">
        <v>155.59358954411078</v>
      </c>
      <c r="R39" t="s">
        <v>61</v>
      </c>
      <c r="S39" t="s">
        <v>622</v>
      </c>
      <c r="T39" t="s">
        <v>342</v>
      </c>
      <c r="U39" t="b">
        <v>0</v>
      </c>
    </row>
    <row r="40" spans="1:21" x14ac:dyDescent="0.3">
      <c r="A40" t="s">
        <v>622</v>
      </c>
      <c r="B40">
        <v>39</v>
      </c>
      <c r="C40" t="s">
        <v>637</v>
      </c>
      <c r="D40">
        <v>202537</v>
      </c>
      <c r="E40" t="s">
        <v>633</v>
      </c>
      <c r="F40" t="s">
        <v>632</v>
      </c>
      <c r="G40" t="s">
        <v>625</v>
      </c>
      <c r="H40" t="s">
        <v>626</v>
      </c>
      <c r="I40" t="s">
        <v>385</v>
      </c>
      <c r="J40" t="s">
        <v>386</v>
      </c>
      <c r="K40" t="s">
        <v>565</v>
      </c>
      <c r="L40" t="s">
        <v>4</v>
      </c>
      <c r="M40" t="s">
        <v>393</v>
      </c>
      <c r="N40">
        <v>13.730228471001755</v>
      </c>
      <c r="P40" t="s">
        <v>662</v>
      </c>
      <c r="Q40">
        <v>155.59358954411078</v>
      </c>
      <c r="S40" t="s">
        <v>622</v>
      </c>
      <c r="T40" t="s">
        <v>342</v>
      </c>
      <c r="U40" t="b">
        <v>0</v>
      </c>
    </row>
    <row r="41" spans="1:21" x14ac:dyDescent="0.3">
      <c r="A41" t="s">
        <v>622</v>
      </c>
      <c r="B41">
        <v>40</v>
      </c>
      <c r="C41" t="s">
        <v>638</v>
      </c>
      <c r="D41">
        <v>202537</v>
      </c>
      <c r="E41" t="s">
        <v>633</v>
      </c>
      <c r="F41" t="s">
        <v>632</v>
      </c>
      <c r="G41" t="s">
        <v>635</v>
      </c>
      <c r="H41" t="s">
        <v>626</v>
      </c>
      <c r="I41" t="s">
        <v>398</v>
      </c>
      <c r="J41" t="s">
        <v>392</v>
      </c>
      <c r="K41" t="s">
        <v>565</v>
      </c>
      <c r="L41" t="s">
        <v>2</v>
      </c>
      <c r="M41" t="s">
        <v>7</v>
      </c>
      <c r="N41">
        <v>13.730228471001755</v>
      </c>
      <c r="P41" t="s">
        <v>662</v>
      </c>
      <c r="Q41">
        <v>155.59358954411078</v>
      </c>
      <c r="S41" t="s">
        <v>622</v>
      </c>
      <c r="T41" t="s">
        <v>342</v>
      </c>
      <c r="U41" t="b">
        <v>0</v>
      </c>
    </row>
    <row r="42" spans="1:21" x14ac:dyDescent="0.3">
      <c r="A42" t="s">
        <v>622</v>
      </c>
      <c r="B42">
        <v>41</v>
      </c>
      <c r="C42" t="s">
        <v>639</v>
      </c>
      <c r="D42">
        <v>202537</v>
      </c>
      <c r="E42" t="s">
        <v>633</v>
      </c>
      <c r="F42" t="s">
        <v>632</v>
      </c>
      <c r="G42" t="s">
        <v>635</v>
      </c>
      <c r="H42" t="s">
        <v>626</v>
      </c>
      <c r="I42" t="s">
        <v>398</v>
      </c>
      <c r="J42" t="s">
        <v>394</v>
      </c>
      <c r="K42" t="s">
        <v>665</v>
      </c>
      <c r="L42" t="s">
        <v>2</v>
      </c>
      <c r="M42" t="s">
        <v>640</v>
      </c>
      <c r="N42">
        <v>13.730228471001755</v>
      </c>
      <c r="P42" t="s">
        <v>446</v>
      </c>
      <c r="Q42">
        <v>155.59358954411078</v>
      </c>
      <c r="S42" t="s">
        <v>622</v>
      </c>
      <c r="T42" t="s">
        <v>342</v>
      </c>
      <c r="U42" t="b">
        <v>0</v>
      </c>
    </row>
    <row r="43" spans="1:21" x14ac:dyDescent="0.3">
      <c r="A43" t="s">
        <v>622</v>
      </c>
      <c r="B43">
        <v>42</v>
      </c>
      <c r="C43" t="s">
        <v>641</v>
      </c>
      <c r="D43">
        <v>202537</v>
      </c>
      <c r="E43" t="s">
        <v>633</v>
      </c>
      <c r="F43" t="s">
        <v>632</v>
      </c>
      <c r="G43" t="s">
        <v>635</v>
      </c>
      <c r="H43" t="s">
        <v>626</v>
      </c>
      <c r="I43" t="s">
        <v>398</v>
      </c>
      <c r="J43" t="s">
        <v>386</v>
      </c>
      <c r="K43" t="s">
        <v>665</v>
      </c>
      <c r="L43" t="s">
        <v>2</v>
      </c>
      <c r="M43" t="s">
        <v>642</v>
      </c>
      <c r="N43">
        <v>13.730228471001755</v>
      </c>
      <c r="P43" t="s">
        <v>446</v>
      </c>
      <c r="Q43">
        <v>155.59358954411078</v>
      </c>
      <c r="S43" t="s">
        <v>622</v>
      </c>
      <c r="T43" t="s">
        <v>342</v>
      </c>
      <c r="U43" t="b">
        <v>0</v>
      </c>
    </row>
    <row r="44" spans="1:21" x14ac:dyDescent="0.3">
      <c r="A44" t="s">
        <v>622</v>
      </c>
      <c r="B44">
        <v>43</v>
      </c>
      <c r="C44" t="s">
        <v>643</v>
      </c>
      <c r="D44">
        <v>202538</v>
      </c>
      <c r="E44" t="s">
        <v>633</v>
      </c>
      <c r="F44" t="s">
        <v>632</v>
      </c>
      <c r="G44" t="s">
        <v>635</v>
      </c>
      <c r="H44" t="s">
        <v>626</v>
      </c>
      <c r="I44" t="s">
        <v>398</v>
      </c>
      <c r="J44" t="s">
        <v>397</v>
      </c>
      <c r="K44" t="s">
        <v>565</v>
      </c>
      <c r="L44" t="s">
        <v>4</v>
      </c>
      <c r="M44" t="s">
        <v>607</v>
      </c>
      <c r="N44">
        <v>13.730228471001755</v>
      </c>
      <c r="P44" t="s">
        <v>662</v>
      </c>
      <c r="Q44">
        <v>269.90553306342781</v>
      </c>
      <c r="S44" t="s">
        <v>622</v>
      </c>
      <c r="T44" t="s">
        <v>342</v>
      </c>
      <c r="U44" t="b">
        <v>0</v>
      </c>
    </row>
    <row r="45" spans="1:21" x14ac:dyDescent="0.3">
      <c r="A45" t="s">
        <v>622</v>
      </c>
      <c r="B45">
        <v>44</v>
      </c>
      <c r="C45" t="s">
        <v>644</v>
      </c>
      <c r="D45">
        <v>202538</v>
      </c>
      <c r="E45" t="s">
        <v>633</v>
      </c>
      <c r="F45" t="s">
        <v>632</v>
      </c>
      <c r="G45" t="s">
        <v>635</v>
      </c>
      <c r="H45" t="s">
        <v>626</v>
      </c>
      <c r="I45" t="s">
        <v>385</v>
      </c>
      <c r="J45" t="s">
        <v>400</v>
      </c>
      <c r="K45" t="s">
        <v>665</v>
      </c>
      <c r="L45" t="s">
        <v>2</v>
      </c>
      <c r="M45" t="s">
        <v>645</v>
      </c>
      <c r="N45">
        <v>13.730228471001755</v>
      </c>
      <c r="P45" t="s">
        <v>446</v>
      </c>
      <c r="Q45">
        <v>269.90553306342781</v>
      </c>
      <c r="S45" t="s">
        <v>622</v>
      </c>
      <c r="T45" t="s">
        <v>342</v>
      </c>
      <c r="U45" t="b">
        <v>0</v>
      </c>
    </row>
    <row r="46" spans="1:21" x14ac:dyDescent="0.3">
      <c r="A46" t="s">
        <v>622</v>
      </c>
      <c r="B46">
        <v>45</v>
      </c>
      <c r="C46" t="s">
        <v>646</v>
      </c>
      <c r="D46">
        <v>202538</v>
      </c>
      <c r="E46" t="s">
        <v>633</v>
      </c>
      <c r="F46" t="s">
        <v>632</v>
      </c>
      <c r="G46" t="s">
        <v>635</v>
      </c>
      <c r="H46" t="s">
        <v>626</v>
      </c>
      <c r="I46" t="s">
        <v>398</v>
      </c>
      <c r="J46" t="s">
        <v>647</v>
      </c>
      <c r="K46" t="s">
        <v>665</v>
      </c>
      <c r="L46" t="s">
        <v>4</v>
      </c>
      <c r="M46" t="s">
        <v>628</v>
      </c>
      <c r="N46">
        <v>13.730228471001755</v>
      </c>
      <c r="P46" t="s">
        <v>446</v>
      </c>
      <c r="Q46">
        <v>269.90553306342781</v>
      </c>
      <c r="S46" t="s">
        <v>622</v>
      </c>
      <c r="T46" t="s">
        <v>342</v>
      </c>
      <c r="U46" t="b">
        <v>0</v>
      </c>
    </row>
    <row r="47" spans="1:21" x14ac:dyDescent="0.3">
      <c r="A47" t="s">
        <v>622</v>
      </c>
      <c r="B47">
        <v>46</v>
      </c>
      <c r="C47" t="s">
        <v>648</v>
      </c>
      <c r="D47">
        <v>202539</v>
      </c>
      <c r="E47" t="s">
        <v>633</v>
      </c>
      <c r="F47" t="s">
        <v>632</v>
      </c>
      <c r="G47" t="s">
        <v>625</v>
      </c>
      <c r="H47" t="s">
        <v>626</v>
      </c>
      <c r="I47" t="s">
        <v>385</v>
      </c>
      <c r="J47" t="s">
        <v>649</v>
      </c>
      <c r="K47" t="s">
        <v>565</v>
      </c>
      <c r="L47" t="s">
        <v>2</v>
      </c>
      <c r="M47" t="s">
        <v>650</v>
      </c>
      <c r="N47">
        <v>13.730228471001755</v>
      </c>
      <c r="P47" t="s">
        <v>662</v>
      </c>
      <c r="Q47">
        <v>258.79917184265008</v>
      </c>
      <c r="S47" t="s">
        <v>622</v>
      </c>
      <c r="T47" t="s">
        <v>342</v>
      </c>
      <c r="U47" t="b">
        <v>0</v>
      </c>
    </row>
    <row r="48" spans="1:21" x14ac:dyDescent="0.3">
      <c r="A48" t="s">
        <v>622</v>
      </c>
      <c r="B48">
        <v>47</v>
      </c>
      <c r="C48" t="s">
        <v>651</v>
      </c>
      <c r="D48">
        <v>202539</v>
      </c>
      <c r="E48" t="s">
        <v>633</v>
      </c>
      <c r="F48" t="s">
        <v>632</v>
      </c>
      <c r="G48" t="s">
        <v>635</v>
      </c>
      <c r="H48" t="s">
        <v>626</v>
      </c>
      <c r="I48" t="s">
        <v>398</v>
      </c>
      <c r="J48" t="s">
        <v>392</v>
      </c>
      <c r="K48" t="s">
        <v>565</v>
      </c>
      <c r="L48" t="s">
        <v>2</v>
      </c>
      <c r="M48" t="s">
        <v>652</v>
      </c>
      <c r="N48">
        <v>13.730228471001755</v>
      </c>
      <c r="P48" t="s">
        <v>662</v>
      </c>
      <c r="Q48">
        <v>258.79917184265008</v>
      </c>
      <c r="S48" t="s">
        <v>622</v>
      </c>
      <c r="T48" t="s">
        <v>342</v>
      </c>
      <c r="U48" t="b">
        <v>0</v>
      </c>
    </row>
    <row r="49" spans="1:21" x14ac:dyDescent="0.3">
      <c r="A49" t="s">
        <v>622</v>
      </c>
      <c r="B49">
        <v>48</v>
      </c>
      <c r="C49" t="s">
        <v>653</v>
      </c>
      <c r="D49">
        <v>202539</v>
      </c>
      <c r="E49" t="s">
        <v>633</v>
      </c>
      <c r="F49" t="s">
        <v>632</v>
      </c>
      <c r="G49" t="s">
        <v>635</v>
      </c>
      <c r="H49" t="s">
        <v>626</v>
      </c>
      <c r="I49" t="s">
        <v>398</v>
      </c>
      <c r="J49" t="s">
        <v>392</v>
      </c>
      <c r="K49" t="s">
        <v>565</v>
      </c>
      <c r="L49" t="s">
        <v>4</v>
      </c>
      <c r="M49" t="s">
        <v>628</v>
      </c>
      <c r="N49">
        <v>13.730228471001755</v>
      </c>
      <c r="P49" t="s">
        <v>663</v>
      </c>
      <c r="Q49">
        <v>258.79917184265008</v>
      </c>
      <c r="S49" t="s">
        <v>622</v>
      </c>
      <c r="T49" t="s">
        <v>342</v>
      </c>
      <c r="U49" t="b">
        <v>0</v>
      </c>
    </row>
    <row r="50" spans="1:21" x14ac:dyDescent="0.3">
      <c r="A50" t="s">
        <v>622</v>
      </c>
      <c r="B50">
        <v>49</v>
      </c>
      <c r="C50" t="s">
        <v>654</v>
      </c>
      <c r="D50">
        <v>202539</v>
      </c>
      <c r="E50" t="s">
        <v>633</v>
      </c>
      <c r="F50" t="s">
        <v>632</v>
      </c>
      <c r="G50" t="s">
        <v>625</v>
      </c>
      <c r="H50" t="s">
        <v>626</v>
      </c>
      <c r="I50" t="s">
        <v>385</v>
      </c>
      <c r="J50" t="s">
        <v>649</v>
      </c>
      <c r="K50" t="s">
        <v>665</v>
      </c>
      <c r="L50" t="s">
        <v>2</v>
      </c>
      <c r="M50" t="s">
        <v>655</v>
      </c>
      <c r="N50">
        <v>13.730228471001755</v>
      </c>
      <c r="P50" t="s">
        <v>446</v>
      </c>
      <c r="Q50">
        <v>258.79917184265008</v>
      </c>
      <c r="S50" t="s">
        <v>622</v>
      </c>
      <c r="T50" t="s">
        <v>342</v>
      </c>
      <c r="U50" t="b">
        <v>0</v>
      </c>
    </row>
    <row r="51" spans="1:21" x14ac:dyDescent="0.3">
      <c r="A51" t="s">
        <v>622</v>
      </c>
      <c r="B51">
        <v>50</v>
      </c>
      <c r="C51" t="s">
        <v>656</v>
      </c>
      <c r="D51">
        <v>202539</v>
      </c>
      <c r="E51" t="s">
        <v>633</v>
      </c>
      <c r="F51" t="s">
        <v>632</v>
      </c>
      <c r="G51" t="s">
        <v>635</v>
      </c>
      <c r="H51" t="s">
        <v>626</v>
      </c>
      <c r="I51" t="s">
        <v>385</v>
      </c>
      <c r="J51" t="s">
        <v>396</v>
      </c>
      <c r="K51" t="s">
        <v>565</v>
      </c>
      <c r="L51" t="s">
        <v>4</v>
      </c>
      <c r="M51" t="s">
        <v>391</v>
      </c>
      <c r="N51">
        <v>13.730228471001755</v>
      </c>
      <c r="P51" t="s">
        <v>662</v>
      </c>
      <c r="Q51">
        <v>258.79917184265008</v>
      </c>
      <c r="S51" t="s">
        <v>622</v>
      </c>
      <c r="T51" t="s">
        <v>342</v>
      </c>
      <c r="U51" t="b">
        <v>0</v>
      </c>
    </row>
    <row r="52" spans="1:21" x14ac:dyDescent="0.3">
      <c r="A52" t="s">
        <v>622</v>
      </c>
      <c r="B52">
        <v>51</v>
      </c>
      <c r="C52" t="s">
        <v>572</v>
      </c>
      <c r="D52">
        <v>202540</v>
      </c>
      <c r="E52" t="s">
        <v>633</v>
      </c>
      <c r="F52" t="s">
        <v>632</v>
      </c>
      <c r="G52" t="s">
        <v>635</v>
      </c>
      <c r="H52" t="s">
        <v>626</v>
      </c>
      <c r="I52" t="s">
        <v>385</v>
      </c>
      <c r="J52" t="s">
        <v>395</v>
      </c>
      <c r="K52" t="s">
        <v>565</v>
      </c>
      <c r="L52" t="s">
        <v>4</v>
      </c>
      <c r="N52">
        <v>13.730228471001755</v>
      </c>
      <c r="P52" t="s">
        <v>661</v>
      </c>
      <c r="Q52">
        <v>197.55037534571315</v>
      </c>
      <c r="S52" t="s">
        <v>622</v>
      </c>
      <c r="T52" t="s">
        <v>342</v>
      </c>
      <c r="U52" t="b">
        <v>0</v>
      </c>
    </row>
    <row r="53" spans="1:21" x14ac:dyDescent="0.3">
      <c r="A53" t="s">
        <v>622</v>
      </c>
      <c r="B53">
        <v>52</v>
      </c>
      <c r="C53" t="s">
        <v>575</v>
      </c>
      <c r="D53">
        <v>202540</v>
      </c>
      <c r="E53" t="s">
        <v>633</v>
      </c>
      <c r="F53" t="s">
        <v>632</v>
      </c>
      <c r="G53" t="s">
        <v>635</v>
      </c>
      <c r="H53" t="s">
        <v>626</v>
      </c>
      <c r="I53" t="s">
        <v>387</v>
      </c>
      <c r="J53" t="s">
        <v>390</v>
      </c>
      <c r="K53" t="s">
        <v>565</v>
      </c>
      <c r="L53" t="s">
        <v>3</v>
      </c>
      <c r="N53">
        <v>13.730228471001755</v>
      </c>
      <c r="P53" t="s">
        <v>662</v>
      </c>
      <c r="Q53">
        <v>197.55037534571315</v>
      </c>
      <c r="S53" t="s">
        <v>622</v>
      </c>
      <c r="T53" t="s">
        <v>342</v>
      </c>
      <c r="U53" t="b">
        <v>0</v>
      </c>
    </row>
    <row r="54" spans="1:21" x14ac:dyDescent="0.3">
      <c r="A54" t="s">
        <v>622</v>
      </c>
      <c r="B54">
        <v>53</v>
      </c>
      <c r="C54" t="s">
        <v>573</v>
      </c>
      <c r="D54">
        <v>202540</v>
      </c>
      <c r="E54" t="s">
        <v>633</v>
      </c>
      <c r="F54" t="s">
        <v>632</v>
      </c>
      <c r="G54" t="s">
        <v>635</v>
      </c>
      <c r="H54" t="s">
        <v>626</v>
      </c>
      <c r="I54" t="s">
        <v>388</v>
      </c>
      <c r="J54" t="s">
        <v>399</v>
      </c>
      <c r="K54" t="s">
        <v>565</v>
      </c>
      <c r="L54" t="s">
        <v>4</v>
      </c>
      <c r="N54">
        <v>13.730228471001755</v>
      </c>
      <c r="P54" t="s">
        <v>662</v>
      </c>
      <c r="Q54">
        <v>197.55037534571315</v>
      </c>
      <c r="S54" t="s">
        <v>622</v>
      </c>
      <c r="T54" t="s">
        <v>342</v>
      </c>
      <c r="U54" t="b">
        <v>0</v>
      </c>
    </row>
    <row r="55" spans="1:21" x14ac:dyDescent="0.3">
      <c r="A55" t="s">
        <v>622</v>
      </c>
      <c r="B55">
        <v>54</v>
      </c>
      <c r="C55" t="s">
        <v>580</v>
      </c>
      <c r="D55">
        <v>202541</v>
      </c>
      <c r="E55" t="s">
        <v>633</v>
      </c>
      <c r="F55" t="s">
        <v>632</v>
      </c>
      <c r="G55" t="s">
        <v>635</v>
      </c>
      <c r="H55" t="s">
        <v>626</v>
      </c>
      <c r="I55" t="s">
        <v>385</v>
      </c>
      <c r="J55" t="s">
        <v>395</v>
      </c>
      <c r="K55" t="s">
        <v>565</v>
      </c>
      <c r="L55" t="s">
        <v>4</v>
      </c>
      <c r="N55">
        <v>13.730228471001755</v>
      </c>
      <c r="P55" t="s">
        <v>662</v>
      </c>
      <c r="Q55">
        <v>184.80872297172428</v>
      </c>
      <c r="S55" t="s">
        <v>622</v>
      </c>
      <c r="T55" t="s">
        <v>342</v>
      </c>
      <c r="U55" t="b">
        <v>0</v>
      </c>
    </row>
    <row r="56" spans="1:21" x14ac:dyDescent="0.3">
      <c r="A56" t="s">
        <v>622</v>
      </c>
      <c r="B56">
        <v>55</v>
      </c>
      <c r="C56" t="s">
        <v>577</v>
      </c>
      <c r="D56">
        <v>202541</v>
      </c>
      <c r="E56" t="s">
        <v>633</v>
      </c>
      <c r="F56" t="s">
        <v>632</v>
      </c>
      <c r="G56" t="s">
        <v>635</v>
      </c>
      <c r="H56" t="s">
        <v>626</v>
      </c>
      <c r="I56" t="s">
        <v>398</v>
      </c>
      <c r="J56" t="s">
        <v>389</v>
      </c>
      <c r="K56" t="s">
        <v>565</v>
      </c>
      <c r="L56" t="s">
        <v>4</v>
      </c>
      <c r="N56">
        <v>13.730228471001755</v>
      </c>
      <c r="P56" t="s">
        <v>661</v>
      </c>
      <c r="Q56">
        <v>184.80872297172428</v>
      </c>
      <c r="S56" t="s">
        <v>622</v>
      </c>
      <c r="T56" t="s">
        <v>342</v>
      </c>
      <c r="U56" t="b">
        <v>0</v>
      </c>
    </row>
    <row r="57" spans="1:21" x14ac:dyDescent="0.3">
      <c r="A57" t="s">
        <v>622</v>
      </c>
      <c r="B57">
        <v>56</v>
      </c>
      <c r="C57" t="s">
        <v>657</v>
      </c>
      <c r="D57">
        <v>202542</v>
      </c>
      <c r="E57" t="s">
        <v>633</v>
      </c>
      <c r="F57" t="s">
        <v>632</v>
      </c>
      <c r="G57" t="s">
        <v>635</v>
      </c>
      <c r="H57" t="s">
        <v>626</v>
      </c>
      <c r="I57" t="s">
        <v>388</v>
      </c>
      <c r="J57" t="s">
        <v>389</v>
      </c>
      <c r="K57" t="s">
        <v>565</v>
      </c>
      <c r="L57" t="s">
        <v>664</v>
      </c>
      <c r="N57">
        <v>13.730228471001755</v>
      </c>
      <c r="P57" t="s">
        <v>663</v>
      </c>
      <c r="Q57">
        <v>149.0979573579842</v>
      </c>
      <c r="S57" t="s">
        <v>622</v>
      </c>
      <c r="T57" t="s">
        <v>342</v>
      </c>
      <c r="U57" t="b">
        <v>0</v>
      </c>
    </row>
    <row r="58" spans="1:21" x14ac:dyDescent="0.3">
      <c r="A58" t="s">
        <v>622</v>
      </c>
      <c r="B58">
        <v>57</v>
      </c>
      <c r="C58" t="s">
        <v>574</v>
      </c>
      <c r="D58">
        <v>202542</v>
      </c>
      <c r="E58" t="s">
        <v>633</v>
      </c>
      <c r="F58" t="s">
        <v>658</v>
      </c>
      <c r="G58" t="s">
        <v>635</v>
      </c>
      <c r="H58" t="s">
        <v>626</v>
      </c>
      <c r="I58" t="s">
        <v>398</v>
      </c>
      <c r="J58" t="s">
        <v>395</v>
      </c>
      <c r="K58" t="s">
        <v>565</v>
      </c>
      <c r="L58" t="s">
        <v>4</v>
      </c>
      <c r="N58">
        <v>13.730228471001755</v>
      </c>
      <c r="P58" t="s">
        <v>662</v>
      </c>
      <c r="Q58">
        <v>149.0979573579842</v>
      </c>
      <c r="S58" t="s">
        <v>622</v>
      </c>
      <c r="T58" t="s">
        <v>342</v>
      </c>
      <c r="U58" t="b">
        <v>0</v>
      </c>
    </row>
    <row r="59" spans="1:21" x14ac:dyDescent="0.3">
      <c r="A59" t="s">
        <v>622</v>
      </c>
      <c r="B59">
        <v>58</v>
      </c>
      <c r="C59" t="s">
        <v>576</v>
      </c>
      <c r="D59">
        <v>202542</v>
      </c>
      <c r="E59" t="s">
        <v>633</v>
      </c>
      <c r="F59" t="s">
        <v>658</v>
      </c>
      <c r="G59" t="s">
        <v>635</v>
      </c>
      <c r="H59" t="s">
        <v>626</v>
      </c>
      <c r="I59" t="s">
        <v>398</v>
      </c>
      <c r="J59" t="s">
        <v>386</v>
      </c>
      <c r="K59" t="s">
        <v>565</v>
      </c>
      <c r="L59" t="s">
        <v>2</v>
      </c>
      <c r="N59">
        <v>13.730228471001755</v>
      </c>
      <c r="P59" t="s">
        <v>662</v>
      </c>
      <c r="Q59">
        <v>149.0979573579842</v>
      </c>
      <c r="S59" t="s">
        <v>622</v>
      </c>
      <c r="T59" t="s">
        <v>342</v>
      </c>
      <c r="U59" t="b">
        <v>0</v>
      </c>
    </row>
    <row r="60" spans="1:21" x14ac:dyDescent="0.3">
      <c r="A60" t="s">
        <v>622</v>
      </c>
      <c r="B60">
        <v>59</v>
      </c>
      <c r="C60" t="s">
        <v>579</v>
      </c>
      <c r="D60">
        <v>202543</v>
      </c>
      <c r="E60" t="s">
        <v>633</v>
      </c>
      <c r="F60" t="s">
        <v>658</v>
      </c>
      <c r="G60" t="s">
        <v>635</v>
      </c>
      <c r="H60" t="s">
        <v>626</v>
      </c>
      <c r="I60" t="s">
        <v>398</v>
      </c>
      <c r="J60" t="s">
        <v>386</v>
      </c>
      <c r="K60" t="s">
        <v>565</v>
      </c>
      <c r="L60" t="s">
        <v>4</v>
      </c>
      <c r="N60">
        <v>13.730228471001755</v>
      </c>
      <c r="P60" t="s">
        <v>661</v>
      </c>
      <c r="Q60">
        <v>175.68517217146874</v>
      </c>
      <c r="S60" t="s">
        <v>622</v>
      </c>
      <c r="T60" t="s">
        <v>342</v>
      </c>
      <c r="U60" t="b">
        <v>0</v>
      </c>
    </row>
    <row r="61" spans="1:21" x14ac:dyDescent="0.3">
      <c r="A61" t="s">
        <v>622</v>
      </c>
      <c r="B61">
        <v>60</v>
      </c>
      <c r="C61" t="s">
        <v>570</v>
      </c>
      <c r="D61">
        <v>202542</v>
      </c>
      <c r="E61" t="s">
        <v>633</v>
      </c>
      <c r="F61" t="s">
        <v>658</v>
      </c>
      <c r="G61" t="s">
        <v>635</v>
      </c>
      <c r="H61" t="s">
        <v>626</v>
      </c>
      <c r="I61" t="s">
        <v>398</v>
      </c>
      <c r="J61" t="s">
        <v>392</v>
      </c>
      <c r="K61" t="s">
        <v>565</v>
      </c>
      <c r="L61" t="s">
        <v>2</v>
      </c>
      <c r="N61">
        <v>13.730228471001755</v>
      </c>
      <c r="P61" t="s">
        <v>662</v>
      </c>
      <c r="Q61">
        <v>149.0979573579842</v>
      </c>
      <c r="S61" t="s">
        <v>622</v>
      </c>
      <c r="T61" t="s">
        <v>342</v>
      </c>
      <c r="U61" t="b">
        <v>0</v>
      </c>
    </row>
    <row r="62" spans="1:21" x14ac:dyDescent="0.3">
      <c r="A62" t="s">
        <v>622</v>
      </c>
      <c r="B62">
        <v>61</v>
      </c>
      <c r="C62" t="s">
        <v>571</v>
      </c>
      <c r="D62">
        <v>202542</v>
      </c>
      <c r="E62" t="s">
        <v>633</v>
      </c>
      <c r="F62" t="s">
        <v>658</v>
      </c>
      <c r="G62" t="s">
        <v>635</v>
      </c>
      <c r="H62" t="s">
        <v>626</v>
      </c>
      <c r="I62" t="s">
        <v>398</v>
      </c>
      <c r="J62" t="s">
        <v>392</v>
      </c>
      <c r="K62" t="s">
        <v>565</v>
      </c>
      <c r="L62" t="s">
        <v>4</v>
      </c>
      <c r="N62">
        <v>13.730228471001755</v>
      </c>
      <c r="P62" t="s">
        <v>661</v>
      </c>
      <c r="Q62">
        <v>149.0979573579842</v>
      </c>
      <c r="S62" t="s">
        <v>622</v>
      </c>
      <c r="T62" t="s">
        <v>342</v>
      </c>
      <c r="U62" t="b">
        <v>0</v>
      </c>
    </row>
    <row r="63" spans="1:21" x14ac:dyDescent="0.3">
      <c r="A63" t="s">
        <v>622</v>
      </c>
      <c r="B63">
        <v>62</v>
      </c>
      <c r="C63" t="s">
        <v>578</v>
      </c>
      <c r="D63">
        <v>202542</v>
      </c>
      <c r="E63" t="s">
        <v>633</v>
      </c>
      <c r="F63" t="s">
        <v>658</v>
      </c>
      <c r="G63" t="s">
        <v>635</v>
      </c>
      <c r="H63" t="s">
        <v>626</v>
      </c>
      <c r="I63" t="s">
        <v>398</v>
      </c>
      <c r="J63" t="s">
        <v>386</v>
      </c>
      <c r="K63" t="s">
        <v>565</v>
      </c>
      <c r="L63" t="s">
        <v>4</v>
      </c>
      <c r="N63">
        <v>13.730228471001755</v>
      </c>
      <c r="P63" t="s">
        <v>661</v>
      </c>
      <c r="Q63">
        <v>0</v>
      </c>
      <c r="S63" t="s">
        <v>622</v>
      </c>
      <c r="T63" t="s">
        <v>342</v>
      </c>
      <c r="U63" t="b">
        <v>0</v>
      </c>
    </row>
    <row r="64" spans="1:21" x14ac:dyDescent="0.3">
      <c r="A64" t="s">
        <v>622</v>
      </c>
      <c r="B64">
        <v>63</v>
      </c>
      <c r="C64" t="s">
        <v>590</v>
      </c>
      <c r="D64">
        <v>202543</v>
      </c>
      <c r="E64" t="s">
        <v>633</v>
      </c>
      <c r="F64" t="s">
        <v>658</v>
      </c>
      <c r="G64" t="s">
        <v>635</v>
      </c>
      <c r="H64" t="s">
        <v>626</v>
      </c>
      <c r="I64" t="s">
        <v>398</v>
      </c>
      <c r="J64" t="s">
        <v>386</v>
      </c>
      <c r="K64" t="s">
        <v>565</v>
      </c>
      <c r="L64" t="s">
        <v>4</v>
      </c>
      <c r="N64">
        <v>13.730228471001755</v>
      </c>
      <c r="P64" t="s">
        <v>661</v>
      </c>
      <c r="Q64">
        <v>175.68517217146874</v>
      </c>
      <c r="S64" t="s">
        <v>622</v>
      </c>
      <c r="T64" t="s">
        <v>342</v>
      </c>
      <c r="U64" t="b">
        <v>0</v>
      </c>
    </row>
    <row r="65" spans="1:21" x14ac:dyDescent="0.3">
      <c r="A65" t="s">
        <v>622</v>
      </c>
      <c r="B65">
        <v>64</v>
      </c>
      <c r="C65" t="s">
        <v>594</v>
      </c>
      <c r="D65">
        <v>202542</v>
      </c>
      <c r="E65" t="s">
        <v>633</v>
      </c>
      <c r="F65" t="s">
        <v>658</v>
      </c>
      <c r="G65" t="s">
        <v>635</v>
      </c>
      <c r="H65" t="s">
        <v>626</v>
      </c>
      <c r="I65" t="s">
        <v>398</v>
      </c>
      <c r="J65" t="s">
        <v>392</v>
      </c>
      <c r="K65" t="s">
        <v>565</v>
      </c>
      <c r="L65" t="s">
        <v>4</v>
      </c>
      <c r="N65">
        <v>13.730228471001755</v>
      </c>
      <c r="P65" t="s">
        <v>661</v>
      </c>
      <c r="Q65">
        <v>149.0979573579842</v>
      </c>
      <c r="S65" t="s">
        <v>622</v>
      </c>
      <c r="T65" t="s">
        <v>342</v>
      </c>
      <c r="U65" t="b">
        <v>0</v>
      </c>
    </row>
    <row r="66" spans="1:21" x14ac:dyDescent="0.3">
      <c r="A66" t="s">
        <v>622</v>
      </c>
      <c r="B66">
        <v>65</v>
      </c>
      <c r="C66" t="s">
        <v>596</v>
      </c>
      <c r="D66">
        <v>202543</v>
      </c>
      <c r="E66" t="s">
        <v>633</v>
      </c>
      <c r="F66" t="s">
        <v>658</v>
      </c>
      <c r="G66" t="s">
        <v>635</v>
      </c>
      <c r="H66" t="s">
        <v>626</v>
      </c>
      <c r="I66" t="s">
        <v>388</v>
      </c>
      <c r="J66" t="s">
        <v>395</v>
      </c>
      <c r="K66" t="s">
        <v>565</v>
      </c>
      <c r="L66" t="s">
        <v>4</v>
      </c>
      <c r="N66">
        <v>13.730228471001755</v>
      </c>
      <c r="P66" t="s">
        <v>661</v>
      </c>
      <c r="Q66">
        <v>175.68517217146874</v>
      </c>
      <c r="S66" t="s">
        <v>622</v>
      </c>
      <c r="T66" t="s">
        <v>342</v>
      </c>
      <c r="U66" t="b">
        <v>0</v>
      </c>
    </row>
    <row r="67" spans="1:21" x14ac:dyDescent="0.3">
      <c r="A67" t="s">
        <v>622</v>
      </c>
      <c r="B67">
        <v>66</v>
      </c>
      <c r="C67" t="s">
        <v>581</v>
      </c>
      <c r="D67">
        <v>202543</v>
      </c>
      <c r="E67" t="s">
        <v>633</v>
      </c>
      <c r="F67" t="s">
        <v>658</v>
      </c>
      <c r="G67" t="s">
        <v>635</v>
      </c>
      <c r="H67" t="s">
        <v>626</v>
      </c>
      <c r="I67" t="s">
        <v>387</v>
      </c>
      <c r="J67" t="s">
        <v>386</v>
      </c>
      <c r="K67" t="s">
        <v>565</v>
      </c>
      <c r="L67" t="s">
        <v>4</v>
      </c>
      <c r="N67">
        <v>13.730228471001755</v>
      </c>
      <c r="P67" t="s">
        <v>662</v>
      </c>
      <c r="Q67">
        <v>175.68517217146874</v>
      </c>
      <c r="S67" t="s">
        <v>622</v>
      </c>
      <c r="T67" t="s">
        <v>342</v>
      </c>
      <c r="U67" t="b">
        <v>0</v>
      </c>
    </row>
    <row r="68" spans="1:21" x14ac:dyDescent="0.3">
      <c r="A68" t="s">
        <v>622</v>
      </c>
      <c r="B68">
        <v>67</v>
      </c>
      <c r="C68" t="s">
        <v>586</v>
      </c>
      <c r="D68">
        <v>202543</v>
      </c>
      <c r="E68" t="s">
        <v>633</v>
      </c>
      <c r="F68" t="s">
        <v>658</v>
      </c>
      <c r="G68" t="s">
        <v>635</v>
      </c>
      <c r="H68" t="s">
        <v>626</v>
      </c>
      <c r="I68" t="s">
        <v>387</v>
      </c>
      <c r="J68" t="s">
        <v>386</v>
      </c>
      <c r="K68" t="s">
        <v>565</v>
      </c>
      <c r="L68" t="s">
        <v>2</v>
      </c>
      <c r="N68">
        <v>13.730228471001755</v>
      </c>
      <c r="P68" t="s">
        <v>662</v>
      </c>
      <c r="Q68">
        <v>175.68517217146874</v>
      </c>
      <c r="S68" t="s">
        <v>622</v>
      </c>
      <c r="T68" t="s">
        <v>342</v>
      </c>
      <c r="U68" t="b">
        <v>0</v>
      </c>
    </row>
    <row r="69" spans="1:21" x14ac:dyDescent="0.3">
      <c r="A69" t="s">
        <v>622</v>
      </c>
      <c r="B69">
        <v>68</v>
      </c>
      <c r="C69" t="s">
        <v>598</v>
      </c>
      <c r="D69">
        <v>202543</v>
      </c>
      <c r="E69" t="s">
        <v>633</v>
      </c>
      <c r="F69" t="s">
        <v>658</v>
      </c>
      <c r="G69" t="s">
        <v>635</v>
      </c>
      <c r="H69" t="s">
        <v>626</v>
      </c>
      <c r="I69" t="s">
        <v>385</v>
      </c>
      <c r="J69" t="s">
        <v>397</v>
      </c>
      <c r="K69" t="s">
        <v>565</v>
      </c>
      <c r="L69" t="s">
        <v>4</v>
      </c>
      <c r="N69">
        <v>13.730228471001755</v>
      </c>
      <c r="P69" t="s">
        <v>662</v>
      </c>
      <c r="Q69">
        <v>175.68517217146874</v>
      </c>
      <c r="S69" t="s">
        <v>622</v>
      </c>
      <c r="T69" t="s">
        <v>342</v>
      </c>
      <c r="U69" t="b">
        <v>0</v>
      </c>
    </row>
    <row r="70" spans="1:21" x14ac:dyDescent="0.3">
      <c r="A70" t="s">
        <v>622</v>
      </c>
      <c r="B70">
        <v>69</v>
      </c>
      <c r="C70" t="s">
        <v>587</v>
      </c>
      <c r="D70">
        <v>202543</v>
      </c>
      <c r="E70" t="s">
        <v>633</v>
      </c>
      <c r="F70" t="s">
        <v>658</v>
      </c>
      <c r="G70" t="s">
        <v>635</v>
      </c>
      <c r="H70" t="s">
        <v>626</v>
      </c>
      <c r="I70" t="s">
        <v>398</v>
      </c>
      <c r="J70" t="s">
        <v>397</v>
      </c>
      <c r="K70" t="s">
        <v>565</v>
      </c>
      <c r="L70" t="s">
        <v>4</v>
      </c>
      <c r="N70">
        <v>13.730228471001755</v>
      </c>
      <c r="P70" t="s">
        <v>662</v>
      </c>
      <c r="Q70">
        <v>175.68517217146874</v>
      </c>
      <c r="S70" t="s">
        <v>622</v>
      </c>
      <c r="T70" t="s">
        <v>342</v>
      </c>
      <c r="U70" t="b">
        <v>0</v>
      </c>
    </row>
    <row r="71" spans="1:21" x14ac:dyDescent="0.3">
      <c r="A71" t="s">
        <v>622</v>
      </c>
      <c r="B71">
        <v>70</v>
      </c>
      <c r="C71" t="s">
        <v>592</v>
      </c>
      <c r="D71">
        <v>202543</v>
      </c>
      <c r="E71" t="s">
        <v>633</v>
      </c>
      <c r="F71" t="s">
        <v>658</v>
      </c>
      <c r="G71" t="s">
        <v>635</v>
      </c>
      <c r="H71" t="s">
        <v>626</v>
      </c>
      <c r="I71" t="s">
        <v>387</v>
      </c>
      <c r="J71" t="s">
        <v>397</v>
      </c>
      <c r="K71" t="s">
        <v>565</v>
      </c>
      <c r="L71" t="s">
        <v>4</v>
      </c>
      <c r="N71">
        <v>13.730228471001755</v>
      </c>
      <c r="P71" t="s">
        <v>661</v>
      </c>
      <c r="Q71">
        <v>175.68517217146874</v>
      </c>
      <c r="S71" t="s">
        <v>622</v>
      </c>
      <c r="T71" t="s">
        <v>342</v>
      </c>
      <c r="U71" t="b">
        <v>0</v>
      </c>
    </row>
    <row r="72" spans="1:21" x14ac:dyDescent="0.3">
      <c r="A72" t="s">
        <v>622</v>
      </c>
      <c r="B72">
        <v>71</v>
      </c>
      <c r="C72" t="s">
        <v>584</v>
      </c>
      <c r="D72">
        <v>202543</v>
      </c>
      <c r="E72" t="s">
        <v>633</v>
      </c>
      <c r="F72" t="s">
        <v>658</v>
      </c>
      <c r="G72" t="s">
        <v>635</v>
      </c>
      <c r="H72" t="s">
        <v>626</v>
      </c>
      <c r="I72" t="s">
        <v>398</v>
      </c>
      <c r="J72" t="s">
        <v>397</v>
      </c>
      <c r="K72" t="s">
        <v>565</v>
      </c>
      <c r="L72" t="s">
        <v>4</v>
      </c>
      <c r="N72">
        <v>13.730228471001755</v>
      </c>
      <c r="P72" t="s">
        <v>661</v>
      </c>
      <c r="Q72">
        <v>175.68517217146874</v>
      </c>
      <c r="S72" t="s">
        <v>622</v>
      </c>
      <c r="T72" t="s">
        <v>342</v>
      </c>
      <c r="U72" t="b">
        <v>0</v>
      </c>
    </row>
    <row r="73" spans="1:21" x14ac:dyDescent="0.3">
      <c r="A73" t="s">
        <v>622</v>
      </c>
      <c r="B73">
        <v>72</v>
      </c>
      <c r="C73" t="s">
        <v>593</v>
      </c>
      <c r="D73">
        <v>202543</v>
      </c>
      <c r="E73" t="s">
        <v>633</v>
      </c>
      <c r="F73" t="s">
        <v>658</v>
      </c>
      <c r="G73" t="s">
        <v>635</v>
      </c>
      <c r="H73" t="s">
        <v>626</v>
      </c>
      <c r="I73" t="s">
        <v>398</v>
      </c>
      <c r="J73" t="s">
        <v>397</v>
      </c>
      <c r="K73" t="s">
        <v>565</v>
      </c>
      <c r="L73" t="s">
        <v>4</v>
      </c>
      <c r="N73">
        <v>13.730228471001755</v>
      </c>
      <c r="P73" t="s">
        <v>662</v>
      </c>
      <c r="Q73">
        <v>175.68517217146874</v>
      </c>
      <c r="S73" t="s">
        <v>622</v>
      </c>
      <c r="T73" t="s">
        <v>342</v>
      </c>
      <c r="U73" t="b">
        <v>0</v>
      </c>
    </row>
    <row r="74" spans="1:21" x14ac:dyDescent="0.3">
      <c r="A74" t="s">
        <v>622</v>
      </c>
      <c r="B74">
        <v>73</v>
      </c>
      <c r="C74" t="s">
        <v>583</v>
      </c>
      <c r="D74">
        <v>202543</v>
      </c>
      <c r="E74" t="s">
        <v>633</v>
      </c>
      <c r="F74" t="s">
        <v>658</v>
      </c>
      <c r="G74" t="s">
        <v>635</v>
      </c>
      <c r="H74" t="s">
        <v>626</v>
      </c>
      <c r="I74" t="s">
        <v>398</v>
      </c>
      <c r="J74" t="s">
        <v>386</v>
      </c>
      <c r="K74" t="s">
        <v>565</v>
      </c>
      <c r="L74" t="s">
        <v>4</v>
      </c>
      <c r="N74">
        <v>13.730228471001755</v>
      </c>
      <c r="P74" t="s">
        <v>662</v>
      </c>
      <c r="Q74">
        <v>175.68517217146874</v>
      </c>
      <c r="S74" t="s">
        <v>622</v>
      </c>
      <c r="T74" t="s">
        <v>342</v>
      </c>
      <c r="U74" t="b">
        <v>0</v>
      </c>
    </row>
    <row r="75" spans="1:21" x14ac:dyDescent="0.3">
      <c r="A75" t="s">
        <v>622</v>
      </c>
      <c r="B75">
        <v>74</v>
      </c>
      <c r="C75" t="s">
        <v>585</v>
      </c>
      <c r="D75">
        <v>202544</v>
      </c>
      <c r="E75" t="s">
        <v>633</v>
      </c>
      <c r="F75" t="s">
        <v>658</v>
      </c>
      <c r="G75" t="s">
        <v>635</v>
      </c>
      <c r="H75" t="s">
        <v>626</v>
      </c>
      <c r="I75" t="s">
        <v>387</v>
      </c>
      <c r="J75" t="s">
        <v>386</v>
      </c>
      <c r="K75" t="s">
        <v>565</v>
      </c>
      <c r="L75" t="s">
        <v>4</v>
      </c>
      <c r="N75">
        <v>13.730228471001755</v>
      </c>
      <c r="P75" t="s">
        <v>661</v>
      </c>
      <c r="Q75">
        <v>375.5163349605707</v>
      </c>
      <c r="S75" t="s">
        <v>622</v>
      </c>
      <c r="T75" t="s">
        <v>342</v>
      </c>
      <c r="U75" t="b">
        <v>0</v>
      </c>
    </row>
    <row r="76" spans="1:21" x14ac:dyDescent="0.3">
      <c r="A76" t="s">
        <v>622</v>
      </c>
      <c r="B76">
        <v>75</v>
      </c>
      <c r="C76" t="s">
        <v>595</v>
      </c>
      <c r="D76">
        <v>202545</v>
      </c>
      <c r="E76" t="s">
        <v>633</v>
      </c>
      <c r="F76" t="s">
        <v>658</v>
      </c>
      <c r="G76" t="s">
        <v>635</v>
      </c>
      <c r="H76" t="s">
        <v>626</v>
      </c>
      <c r="I76" t="s">
        <v>385</v>
      </c>
      <c r="J76" t="s">
        <v>525</v>
      </c>
      <c r="K76" t="s">
        <v>565</v>
      </c>
      <c r="L76" t="s">
        <v>2</v>
      </c>
      <c r="N76">
        <v>13.730228471001755</v>
      </c>
      <c r="P76" t="s">
        <v>663</v>
      </c>
      <c r="Q76">
        <v>466.63555762949136</v>
      </c>
      <c r="S76" t="s">
        <v>622</v>
      </c>
      <c r="T76" t="s">
        <v>342</v>
      </c>
      <c r="U76" t="b">
        <v>0</v>
      </c>
    </row>
    <row r="77" spans="1:21" x14ac:dyDescent="0.3">
      <c r="A77" t="s">
        <v>622</v>
      </c>
      <c r="B77">
        <v>76</v>
      </c>
      <c r="C77" t="s">
        <v>591</v>
      </c>
      <c r="D77">
        <v>202545</v>
      </c>
      <c r="E77" t="s">
        <v>633</v>
      </c>
      <c r="F77" t="s">
        <v>658</v>
      </c>
      <c r="G77" t="s">
        <v>635</v>
      </c>
      <c r="H77" t="s">
        <v>626</v>
      </c>
      <c r="I77" t="s">
        <v>385</v>
      </c>
      <c r="J77" t="s">
        <v>396</v>
      </c>
      <c r="K77" t="s">
        <v>565</v>
      </c>
      <c r="L77" t="s">
        <v>2</v>
      </c>
      <c r="N77">
        <v>13.730228471001755</v>
      </c>
      <c r="P77" t="s">
        <v>662</v>
      </c>
      <c r="Q77">
        <v>466.63555762949136</v>
      </c>
      <c r="S77" t="s">
        <v>622</v>
      </c>
      <c r="T77" t="s">
        <v>342</v>
      </c>
      <c r="U77" t="b">
        <v>0</v>
      </c>
    </row>
    <row r="78" spans="1:21" x14ac:dyDescent="0.3">
      <c r="A78" t="s">
        <v>622</v>
      </c>
      <c r="B78">
        <v>1</v>
      </c>
      <c r="C78" t="s">
        <v>604</v>
      </c>
      <c r="D78">
        <v>202544</v>
      </c>
      <c r="E78" t="s">
        <v>633</v>
      </c>
      <c r="F78" t="s">
        <v>658</v>
      </c>
      <c r="G78" t="s">
        <v>659</v>
      </c>
      <c r="H78" t="s">
        <v>660</v>
      </c>
      <c r="I78" t="s">
        <v>398</v>
      </c>
      <c r="J78" t="s">
        <v>395</v>
      </c>
      <c r="K78" t="s">
        <v>565</v>
      </c>
      <c r="L78" t="s">
        <v>4</v>
      </c>
      <c r="N78">
        <v>44.863167339614179</v>
      </c>
      <c r="P78" t="s">
        <v>661</v>
      </c>
      <c r="Q78">
        <v>474.60844803037486</v>
      </c>
      <c r="S78" t="s">
        <v>622</v>
      </c>
      <c r="T78" t="s">
        <v>342</v>
      </c>
      <c r="U78" t="b">
        <v>0</v>
      </c>
    </row>
    <row r="79" spans="1:21" x14ac:dyDescent="0.3">
      <c r="A79" t="s">
        <v>622</v>
      </c>
      <c r="B79">
        <v>2</v>
      </c>
      <c r="C79" t="s">
        <v>601</v>
      </c>
      <c r="D79">
        <v>202544</v>
      </c>
      <c r="E79" t="s">
        <v>633</v>
      </c>
      <c r="F79" t="s">
        <v>658</v>
      </c>
      <c r="G79" t="s">
        <v>659</v>
      </c>
      <c r="H79" t="s">
        <v>660</v>
      </c>
      <c r="I79" t="s">
        <v>398</v>
      </c>
      <c r="J79" t="s">
        <v>395</v>
      </c>
      <c r="K79" t="s">
        <v>565</v>
      </c>
      <c r="L79" t="s">
        <v>4</v>
      </c>
      <c r="N79">
        <v>44.863167339614179</v>
      </c>
      <c r="P79" t="s">
        <v>661</v>
      </c>
      <c r="Q79">
        <v>474.60844803037486</v>
      </c>
      <c r="S79" t="s">
        <v>622</v>
      </c>
      <c r="T79" t="s">
        <v>342</v>
      </c>
      <c r="U79" t="b">
        <v>0</v>
      </c>
    </row>
    <row r="80" spans="1:21" x14ac:dyDescent="0.3">
      <c r="A80" t="s">
        <v>622</v>
      </c>
      <c r="B80">
        <v>3</v>
      </c>
      <c r="C80" t="s">
        <v>603</v>
      </c>
      <c r="D80">
        <v>202544</v>
      </c>
      <c r="E80" t="s">
        <v>633</v>
      </c>
      <c r="F80" t="s">
        <v>658</v>
      </c>
      <c r="G80" t="s">
        <v>659</v>
      </c>
      <c r="H80" t="s">
        <v>660</v>
      </c>
      <c r="I80" t="s">
        <v>398</v>
      </c>
      <c r="J80" t="s">
        <v>386</v>
      </c>
      <c r="K80" t="s">
        <v>565</v>
      </c>
      <c r="L80" t="s">
        <v>4</v>
      </c>
      <c r="N80">
        <v>44.863167339614179</v>
      </c>
      <c r="P80" t="s">
        <v>661</v>
      </c>
      <c r="Q80">
        <v>474.60844803037486</v>
      </c>
      <c r="S80" t="s">
        <v>622</v>
      </c>
      <c r="T80" t="s">
        <v>342</v>
      </c>
      <c r="U80" t="b">
        <v>0</v>
      </c>
    </row>
    <row r="81" spans="1:21" x14ac:dyDescent="0.3">
      <c r="A81" t="s">
        <v>622</v>
      </c>
      <c r="B81">
        <v>4</v>
      </c>
      <c r="C81" t="s">
        <v>602</v>
      </c>
      <c r="D81">
        <v>202545</v>
      </c>
      <c r="E81" t="s">
        <v>633</v>
      </c>
      <c r="F81" t="s">
        <v>658</v>
      </c>
      <c r="G81" t="s">
        <v>659</v>
      </c>
      <c r="H81" t="s">
        <v>660</v>
      </c>
      <c r="I81" t="s">
        <v>398</v>
      </c>
      <c r="J81" t="s">
        <v>386</v>
      </c>
      <c r="K81" t="s">
        <v>565</v>
      </c>
      <c r="L81" t="s">
        <v>4</v>
      </c>
      <c r="N81">
        <v>44.863167339614179</v>
      </c>
      <c r="P81" t="s">
        <v>661</v>
      </c>
      <c r="Q81">
        <v>507.09939148073022</v>
      </c>
      <c r="S81" t="s">
        <v>622</v>
      </c>
      <c r="T81" t="s">
        <v>342</v>
      </c>
      <c r="U81" t="b">
        <v>0</v>
      </c>
    </row>
    <row r="82" spans="1:21" x14ac:dyDescent="0.3">
      <c r="A82" t="s">
        <v>622</v>
      </c>
      <c r="B82">
        <v>5</v>
      </c>
      <c r="C82" t="s">
        <v>666</v>
      </c>
      <c r="D82">
        <v>202545</v>
      </c>
      <c r="E82" t="s">
        <v>633</v>
      </c>
      <c r="F82" t="s">
        <v>667</v>
      </c>
      <c r="G82" t="s">
        <v>659</v>
      </c>
      <c r="H82" t="s">
        <v>660</v>
      </c>
      <c r="I82" t="s">
        <v>388</v>
      </c>
      <c r="J82" t="s">
        <v>668</v>
      </c>
      <c r="K82" t="s">
        <v>565</v>
      </c>
      <c r="L82" t="s">
        <v>4</v>
      </c>
      <c r="N82">
        <v>44.863167339614179</v>
      </c>
      <c r="P82" t="s">
        <v>446</v>
      </c>
      <c r="Q82">
        <v>384.46751249519417</v>
      </c>
      <c r="S82" t="s">
        <v>622</v>
      </c>
      <c r="T82" t="s">
        <v>342</v>
      </c>
      <c r="U82" t="b">
        <v>0</v>
      </c>
    </row>
    <row r="83" spans="1:21" x14ac:dyDescent="0.3">
      <c r="A83" t="s">
        <v>622</v>
      </c>
      <c r="B83">
        <v>6</v>
      </c>
      <c r="C83" t="s">
        <v>669</v>
      </c>
      <c r="D83">
        <v>202546</v>
      </c>
      <c r="E83" t="s">
        <v>633</v>
      </c>
      <c r="F83" t="s">
        <v>667</v>
      </c>
      <c r="G83" t="s">
        <v>659</v>
      </c>
      <c r="H83" t="s">
        <v>660</v>
      </c>
      <c r="I83" t="s">
        <v>388</v>
      </c>
      <c r="J83" t="s">
        <v>395</v>
      </c>
      <c r="K83" t="s">
        <v>565</v>
      </c>
      <c r="L83" t="s">
        <v>3</v>
      </c>
      <c r="N83">
        <v>44.863167339614179</v>
      </c>
      <c r="P83" t="s">
        <v>662</v>
      </c>
      <c r="Q83">
        <v>201.3693113169553</v>
      </c>
      <c r="S83" t="s">
        <v>622</v>
      </c>
      <c r="T83" t="s">
        <v>342</v>
      </c>
      <c r="U83" t="b">
        <v>0</v>
      </c>
    </row>
    <row r="84" spans="1:21" x14ac:dyDescent="0.3">
      <c r="A84" t="s">
        <v>622</v>
      </c>
      <c r="B84">
        <v>7</v>
      </c>
      <c r="C84" t="s">
        <v>670</v>
      </c>
      <c r="D84">
        <v>202546</v>
      </c>
      <c r="E84" t="s">
        <v>633</v>
      </c>
      <c r="F84" t="s">
        <v>667</v>
      </c>
      <c r="G84" t="s">
        <v>659</v>
      </c>
      <c r="H84" t="s">
        <v>660</v>
      </c>
      <c r="I84" t="s">
        <v>398</v>
      </c>
      <c r="J84" t="s">
        <v>386</v>
      </c>
      <c r="K84" t="s">
        <v>565</v>
      </c>
      <c r="L84" t="s">
        <v>2</v>
      </c>
      <c r="N84">
        <v>44.863167339614179</v>
      </c>
      <c r="P84" t="s">
        <v>662</v>
      </c>
      <c r="Q84">
        <v>201.3693113169553</v>
      </c>
      <c r="S84" t="s">
        <v>622</v>
      </c>
      <c r="T84" t="s">
        <v>342</v>
      </c>
      <c r="U84" t="b">
        <v>0</v>
      </c>
    </row>
    <row r="85" spans="1:21" x14ac:dyDescent="0.3">
      <c r="A85" t="s">
        <v>622</v>
      </c>
      <c r="B85">
        <v>8</v>
      </c>
      <c r="C85" t="s">
        <v>671</v>
      </c>
      <c r="D85">
        <v>202546</v>
      </c>
      <c r="E85" t="s">
        <v>633</v>
      </c>
      <c r="F85" t="s">
        <v>667</v>
      </c>
      <c r="G85" t="s">
        <v>659</v>
      </c>
      <c r="H85" t="s">
        <v>660</v>
      </c>
      <c r="I85" t="s">
        <v>388</v>
      </c>
      <c r="J85" t="s">
        <v>386</v>
      </c>
      <c r="K85" t="s">
        <v>565</v>
      </c>
      <c r="L85" t="s">
        <v>2</v>
      </c>
      <c r="N85">
        <v>44.863167339614179</v>
      </c>
      <c r="P85" t="s">
        <v>662</v>
      </c>
      <c r="Q85">
        <v>201.3693113169553</v>
      </c>
      <c r="S85" t="s">
        <v>622</v>
      </c>
      <c r="T85" t="s">
        <v>342</v>
      </c>
      <c r="U85" t="b">
        <v>0</v>
      </c>
    </row>
    <row r="86" spans="1:21" x14ac:dyDescent="0.3">
      <c r="A86" t="s">
        <v>622</v>
      </c>
      <c r="B86">
        <v>9</v>
      </c>
      <c r="C86" t="s">
        <v>672</v>
      </c>
      <c r="D86">
        <v>202546</v>
      </c>
      <c r="E86" t="s">
        <v>633</v>
      </c>
      <c r="F86" t="s">
        <v>667</v>
      </c>
      <c r="G86" t="s">
        <v>659</v>
      </c>
      <c r="H86" t="s">
        <v>660</v>
      </c>
      <c r="I86" t="s">
        <v>387</v>
      </c>
      <c r="J86" t="s">
        <v>386</v>
      </c>
      <c r="K86" t="s">
        <v>565</v>
      </c>
      <c r="L86" t="s">
        <v>4</v>
      </c>
      <c r="N86">
        <v>44.863167339614179</v>
      </c>
      <c r="P86" t="s">
        <v>661</v>
      </c>
      <c r="Q86">
        <v>201.3693113169553</v>
      </c>
      <c r="S86" t="s">
        <v>622</v>
      </c>
      <c r="T86" t="s">
        <v>342</v>
      </c>
      <c r="U86" t="b">
        <v>0</v>
      </c>
    </row>
    <row r="87" spans="1:21" x14ac:dyDescent="0.3">
      <c r="A87" t="s">
        <v>622</v>
      </c>
      <c r="B87">
        <v>10</v>
      </c>
      <c r="C87" t="s">
        <v>673</v>
      </c>
      <c r="D87">
        <v>202546</v>
      </c>
      <c r="E87" t="s">
        <v>633</v>
      </c>
      <c r="F87" t="s">
        <v>667</v>
      </c>
      <c r="G87" t="s">
        <v>659</v>
      </c>
      <c r="H87" t="s">
        <v>660</v>
      </c>
      <c r="I87" t="s">
        <v>387</v>
      </c>
      <c r="J87" t="s">
        <v>386</v>
      </c>
      <c r="K87" t="s">
        <v>565</v>
      </c>
      <c r="L87" t="s">
        <v>4</v>
      </c>
      <c r="N87">
        <v>44.863167339614179</v>
      </c>
      <c r="P87" t="s">
        <v>661</v>
      </c>
      <c r="Q87">
        <v>201.3693113169553</v>
      </c>
      <c r="S87" t="s">
        <v>622</v>
      </c>
      <c r="T87" t="s">
        <v>342</v>
      </c>
      <c r="U87" t="b">
        <v>0</v>
      </c>
    </row>
    <row r="88" spans="1:21" x14ac:dyDescent="0.3">
      <c r="A88" t="s">
        <v>622</v>
      </c>
      <c r="B88">
        <v>11</v>
      </c>
      <c r="C88" t="s">
        <v>674</v>
      </c>
      <c r="D88">
        <v>202547</v>
      </c>
      <c r="E88" t="s">
        <v>633</v>
      </c>
      <c r="F88" t="s">
        <v>667</v>
      </c>
      <c r="G88" t="s">
        <v>659</v>
      </c>
      <c r="H88" t="s">
        <v>660</v>
      </c>
      <c r="I88" t="s">
        <v>398</v>
      </c>
      <c r="J88" t="s">
        <v>395</v>
      </c>
      <c r="K88" t="s">
        <v>565</v>
      </c>
      <c r="L88" t="s">
        <v>4</v>
      </c>
      <c r="N88">
        <v>44.863167339614179</v>
      </c>
      <c r="P88" t="s">
        <v>661</v>
      </c>
      <c r="Q88">
        <v>222.91573785109227</v>
      </c>
      <c r="S88" t="s">
        <v>622</v>
      </c>
      <c r="T88" t="s">
        <v>342</v>
      </c>
      <c r="U88" t="b">
        <v>0</v>
      </c>
    </row>
    <row r="89" spans="1:21" x14ac:dyDescent="0.3">
      <c r="A89" t="s">
        <v>622</v>
      </c>
      <c r="B89">
        <v>12</v>
      </c>
      <c r="C89" t="s">
        <v>675</v>
      </c>
      <c r="D89">
        <v>202547</v>
      </c>
      <c r="E89" t="s">
        <v>633</v>
      </c>
      <c r="F89" t="s">
        <v>667</v>
      </c>
      <c r="G89" t="s">
        <v>659</v>
      </c>
      <c r="H89" t="s">
        <v>660</v>
      </c>
      <c r="I89" t="s">
        <v>388</v>
      </c>
      <c r="J89" t="s">
        <v>386</v>
      </c>
      <c r="K89" t="s">
        <v>565</v>
      </c>
      <c r="L89" t="s">
        <v>4</v>
      </c>
      <c r="N89">
        <v>44.863167339614179</v>
      </c>
      <c r="P89" t="s">
        <v>661</v>
      </c>
      <c r="Q89">
        <v>222.91573785109227</v>
      </c>
      <c r="S89" t="s">
        <v>622</v>
      </c>
      <c r="T89" t="s">
        <v>342</v>
      </c>
      <c r="U89" t="b">
        <v>0</v>
      </c>
    </row>
    <row r="90" spans="1:21" x14ac:dyDescent="0.3">
      <c r="A90" t="s">
        <v>622</v>
      </c>
      <c r="B90">
        <v>13</v>
      </c>
      <c r="C90" t="s">
        <v>676</v>
      </c>
      <c r="D90">
        <v>202547</v>
      </c>
      <c r="E90" t="s">
        <v>633</v>
      </c>
      <c r="F90" t="s">
        <v>667</v>
      </c>
      <c r="G90" t="s">
        <v>659</v>
      </c>
      <c r="H90" t="s">
        <v>660</v>
      </c>
      <c r="I90" t="s">
        <v>387</v>
      </c>
      <c r="J90" t="s">
        <v>389</v>
      </c>
      <c r="K90" t="s">
        <v>565</v>
      </c>
      <c r="L90" t="s">
        <v>2</v>
      </c>
      <c r="N90">
        <v>44.863167339614179</v>
      </c>
      <c r="P90" t="s">
        <v>662</v>
      </c>
      <c r="Q90">
        <v>222.91573785109227</v>
      </c>
      <c r="S90" t="s">
        <v>622</v>
      </c>
      <c r="T90" t="s">
        <v>342</v>
      </c>
      <c r="U90" t="b">
        <v>0</v>
      </c>
    </row>
    <row r="91" spans="1:21" x14ac:dyDescent="0.3">
      <c r="A91" t="s">
        <v>622</v>
      </c>
      <c r="B91">
        <v>14</v>
      </c>
      <c r="C91" t="s">
        <v>677</v>
      </c>
      <c r="D91">
        <v>202547</v>
      </c>
      <c r="E91" t="s">
        <v>633</v>
      </c>
      <c r="F91" t="s">
        <v>667</v>
      </c>
      <c r="G91" t="s">
        <v>659</v>
      </c>
      <c r="H91" t="s">
        <v>660</v>
      </c>
      <c r="I91" t="s">
        <v>387</v>
      </c>
      <c r="J91" t="s">
        <v>386</v>
      </c>
      <c r="K91" t="s">
        <v>565</v>
      </c>
      <c r="L91" t="s">
        <v>4</v>
      </c>
      <c r="N91">
        <v>44.863167339614179</v>
      </c>
      <c r="P91" t="s">
        <v>661</v>
      </c>
      <c r="Q91">
        <v>222.91573785109227</v>
      </c>
      <c r="S91" t="s">
        <v>622</v>
      </c>
      <c r="T91" t="s">
        <v>342</v>
      </c>
      <c r="U91" t="b">
        <v>0</v>
      </c>
    </row>
    <row r="92" spans="1:21" x14ac:dyDescent="0.3">
      <c r="A92" t="s">
        <v>622</v>
      </c>
      <c r="B92">
        <v>15</v>
      </c>
      <c r="C92" t="s">
        <v>678</v>
      </c>
      <c r="D92">
        <v>202547</v>
      </c>
      <c r="E92" t="s">
        <v>633</v>
      </c>
      <c r="F92" t="s">
        <v>667</v>
      </c>
      <c r="G92" t="s">
        <v>679</v>
      </c>
      <c r="H92" t="s">
        <v>660</v>
      </c>
      <c r="I92" t="s">
        <v>387</v>
      </c>
      <c r="J92" t="s">
        <v>386</v>
      </c>
      <c r="K92" t="s">
        <v>565</v>
      </c>
      <c r="L92" t="s">
        <v>4</v>
      </c>
      <c r="N92">
        <v>44.863167339614179</v>
      </c>
      <c r="P92" t="s">
        <v>662</v>
      </c>
      <c r="Q92">
        <v>222.91573785109227</v>
      </c>
      <c r="S92" t="s">
        <v>622</v>
      </c>
      <c r="T92" t="s">
        <v>342</v>
      </c>
      <c r="U92" t="b">
        <v>0</v>
      </c>
    </row>
    <row r="93" spans="1:21" x14ac:dyDescent="0.3">
      <c r="A93" t="s">
        <v>622</v>
      </c>
      <c r="B93">
        <v>16</v>
      </c>
      <c r="C93" t="s">
        <v>680</v>
      </c>
      <c r="D93">
        <v>202547</v>
      </c>
      <c r="E93" t="s">
        <v>633</v>
      </c>
      <c r="F93" t="s">
        <v>667</v>
      </c>
      <c r="G93" t="s">
        <v>679</v>
      </c>
      <c r="H93" t="s">
        <v>660</v>
      </c>
      <c r="I93" t="s">
        <v>387</v>
      </c>
      <c r="J93" t="s">
        <v>386</v>
      </c>
      <c r="K93" t="s">
        <v>565</v>
      </c>
      <c r="L93" t="s">
        <v>4</v>
      </c>
      <c r="N93">
        <v>44.863167339614179</v>
      </c>
      <c r="P93" t="s">
        <v>661</v>
      </c>
      <c r="Q93">
        <v>222.91573785109227</v>
      </c>
      <c r="S93" t="s">
        <v>622</v>
      </c>
      <c r="T93" t="s">
        <v>342</v>
      </c>
      <c r="U93" t="b">
        <v>0</v>
      </c>
    </row>
    <row r="94" spans="1:21" x14ac:dyDescent="0.3">
      <c r="A94" t="s">
        <v>622</v>
      </c>
      <c r="B94">
        <v>17</v>
      </c>
      <c r="C94" t="s">
        <v>681</v>
      </c>
      <c r="D94">
        <v>202547</v>
      </c>
      <c r="E94" t="s">
        <v>633</v>
      </c>
      <c r="F94" t="s">
        <v>667</v>
      </c>
      <c r="G94" t="s">
        <v>659</v>
      </c>
      <c r="H94" t="s">
        <v>660</v>
      </c>
      <c r="I94" t="s">
        <v>398</v>
      </c>
      <c r="J94" t="s">
        <v>396</v>
      </c>
      <c r="K94" t="s">
        <v>565</v>
      </c>
      <c r="L94" t="s">
        <v>2</v>
      </c>
      <c r="N94">
        <v>44.863167339614179</v>
      </c>
      <c r="P94" t="s">
        <v>662</v>
      </c>
      <c r="Q94">
        <v>222.91573785109227</v>
      </c>
      <c r="S94" t="s">
        <v>622</v>
      </c>
      <c r="T94" t="s">
        <v>342</v>
      </c>
      <c r="U94" t="b">
        <v>0</v>
      </c>
    </row>
    <row r="95" spans="1:21" x14ac:dyDescent="0.3">
      <c r="A95" t="s">
        <v>622</v>
      </c>
      <c r="B95">
        <v>18</v>
      </c>
      <c r="C95" t="s">
        <v>682</v>
      </c>
      <c r="D95">
        <v>202547</v>
      </c>
      <c r="E95" t="s">
        <v>633</v>
      </c>
      <c r="F95" t="s">
        <v>667</v>
      </c>
      <c r="G95" t="s">
        <v>679</v>
      </c>
      <c r="H95" t="s">
        <v>660</v>
      </c>
      <c r="I95" t="s">
        <v>388</v>
      </c>
      <c r="J95" t="s">
        <v>386</v>
      </c>
      <c r="K95" t="s">
        <v>565</v>
      </c>
      <c r="L95" t="s">
        <v>4</v>
      </c>
      <c r="N95">
        <v>44.863167339614179</v>
      </c>
      <c r="P95" t="s">
        <v>662</v>
      </c>
      <c r="Q95">
        <v>222.91573785109227</v>
      </c>
      <c r="S95" t="s">
        <v>622</v>
      </c>
      <c r="T95" t="s">
        <v>342</v>
      </c>
      <c r="U95" t="b">
        <v>0</v>
      </c>
    </row>
    <row r="96" spans="1:21" x14ac:dyDescent="0.3">
      <c r="A96" t="s">
        <v>622</v>
      </c>
      <c r="B96">
        <v>19</v>
      </c>
      <c r="C96" t="s">
        <v>683</v>
      </c>
      <c r="D96">
        <v>202547</v>
      </c>
      <c r="E96" t="s">
        <v>633</v>
      </c>
      <c r="F96" t="s">
        <v>667</v>
      </c>
      <c r="G96" t="s">
        <v>679</v>
      </c>
      <c r="H96" t="s">
        <v>660</v>
      </c>
      <c r="I96" t="s">
        <v>398</v>
      </c>
      <c r="J96" t="s">
        <v>386</v>
      </c>
      <c r="K96" t="s">
        <v>565</v>
      </c>
      <c r="L96" t="s">
        <v>4</v>
      </c>
      <c r="N96">
        <v>44.863167339614179</v>
      </c>
      <c r="P96" t="s">
        <v>662</v>
      </c>
      <c r="Q96">
        <v>222.91573785109227</v>
      </c>
      <c r="S96" t="s">
        <v>622</v>
      </c>
      <c r="T96" t="s">
        <v>342</v>
      </c>
      <c r="U96" t="b">
        <v>0</v>
      </c>
    </row>
    <row r="97" spans="1:21" x14ac:dyDescent="0.3">
      <c r="A97" t="s">
        <v>622</v>
      </c>
      <c r="B97">
        <v>20</v>
      </c>
      <c r="C97" t="s">
        <v>687</v>
      </c>
      <c r="D97">
        <v>202548</v>
      </c>
      <c r="E97" t="s">
        <v>633</v>
      </c>
      <c r="F97" t="s">
        <v>667</v>
      </c>
      <c r="G97" t="s">
        <v>679</v>
      </c>
      <c r="H97" t="s">
        <v>660</v>
      </c>
      <c r="I97" t="s">
        <v>398</v>
      </c>
      <c r="J97" t="s">
        <v>396</v>
      </c>
      <c r="N97">
        <v>44.863167339614179</v>
      </c>
      <c r="Q97">
        <v>165.97510373443984</v>
      </c>
      <c r="S97" t="s">
        <v>622</v>
      </c>
      <c r="T97" t="s">
        <v>342</v>
      </c>
      <c r="U97" t="b">
        <v>0</v>
      </c>
    </row>
    <row r="98" spans="1:21" x14ac:dyDescent="0.3">
      <c r="A98" t="s">
        <v>622</v>
      </c>
      <c r="B98">
        <v>21</v>
      </c>
      <c r="C98" t="s">
        <v>688</v>
      </c>
      <c r="D98">
        <v>202548</v>
      </c>
      <c r="E98" t="s">
        <v>633</v>
      </c>
      <c r="F98" t="s">
        <v>667</v>
      </c>
      <c r="G98" t="s">
        <v>679</v>
      </c>
      <c r="H98" t="s">
        <v>660</v>
      </c>
      <c r="I98" t="s">
        <v>398</v>
      </c>
      <c r="J98" t="s">
        <v>396</v>
      </c>
      <c r="N98">
        <v>44.863167339614179</v>
      </c>
      <c r="Q98">
        <v>165.97510373443984</v>
      </c>
      <c r="S98" t="s">
        <v>622</v>
      </c>
      <c r="T98" t="s">
        <v>342</v>
      </c>
      <c r="U98" t="b">
        <v>0</v>
      </c>
    </row>
    <row r="99" spans="1:21" x14ac:dyDescent="0.3">
      <c r="A99" t="s">
        <v>622</v>
      </c>
      <c r="B99">
        <v>22</v>
      </c>
      <c r="C99" t="s">
        <v>689</v>
      </c>
      <c r="D99">
        <v>202548</v>
      </c>
      <c r="E99" t="s">
        <v>633</v>
      </c>
      <c r="F99" t="s">
        <v>667</v>
      </c>
      <c r="G99" t="s">
        <v>659</v>
      </c>
      <c r="H99" t="s">
        <v>660</v>
      </c>
      <c r="I99" t="s">
        <v>387</v>
      </c>
      <c r="J99" t="s">
        <v>386</v>
      </c>
      <c r="N99">
        <v>44.863167339614179</v>
      </c>
      <c r="Q99">
        <v>165.97510373443984</v>
      </c>
      <c r="S99" t="s">
        <v>622</v>
      </c>
      <c r="T99" t="s">
        <v>342</v>
      </c>
      <c r="U99" t="b">
        <v>0</v>
      </c>
    </row>
    <row r="100" spans="1:21" x14ac:dyDescent="0.3">
      <c r="A100" t="s">
        <v>622</v>
      </c>
      <c r="B100">
        <v>23</v>
      </c>
      <c r="C100" t="s">
        <v>690</v>
      </c>
      <c r="D100">
        <v>202548</v>
      </c>
      <c r="E100" t="s">
        <v>633</v>
      </c>
      <c r="F100" t="s">
        <v>667</v>
      </c>
      <c r="G100" t="s">
        <v>679</v>
      </c>
      <c r="H100" t="s">
        <v>660</v>
      </c>
      <c r="I100" t="s">
        <v>388</v>
      </c>
      <c r="J100" t="s">
        <v>386</v>
      </c>
      <c r="N100">
        <v>44.863167339614179</v>
      </c>
      <c r="Q100">
        <v>165.97510373443984</v>
      </c>
      <c r="S100" t="s">
        <v>622</v>
      </c>
      <c r="T100" t="s">
        <v>342</v>
      </c>
      <c r="U100" t="b">
        <v>0</v>
      </c>
    </row>
    <row r="101" spans="1:21" x14ac:dyDescent="0.3">
      <c r="A101" t="s">
        <v>622</v>
      </c>
      <c r="B101">
        <v>24</v>
      </c>
      <c r="C101" t="s">
        <v>691</v>
      </c>
      <c r="D101">
        <v>202548</v>
      </c>
      <c r="E101" t="s">
        <v>633</v>
      </c>
      <c r="F101" t="s">
        <v>667</v>
      </c>
      <c r="G101" t="s">
        <v>679</v>
      </c>
      <c r="H101" t="s">
        <v>660</v>
      </c>
      <c r="I101" t="s">
        <v>398</v>
      </c>
      <c r="J101" t="s">
        <v>397</v>
      </c>
      <c r="N101">
        <v>44.863167339614179</v>
      </c>
      <c r="Q101">
        <v>165.97510373443984</v>
      </c>
      <c r="S101" t="s">
        <v>622</v>
      </c>
      <c r="T101" t="s">
        <v>342</v>
      </c>
      <c r="U101" t="b">
        <v>0</v>
      </c>
    </row>
    <row r="102" spans="1:21" x14ac:dyDescent="0.3">
      <c r="A102" t="s">
        <v>622</v>
      </c>
      <c r="B102">
        <v>25</v>
      </c>
      <c r="C102" t="s">
        <v>692</v>
      </c>
      <c r="D102">
        <v>202548</v>
      </c>
      <c r="E102" t="s">
        <v>633</v>
      </c>
      <c r="F102" t="s">
        <v>667</v>
      </c>
      <c r="G102" t="s">
        <v>679</v>
      </c>
      <c r="H102" t="s">
        <v>660</v>
      </c>
      <c r="I102" t="s">
        <v>398</v>
      </c>
      <c r="J102" t="s">
        <v>397</v>
      </c>
      <c r="N102">
        <v>44.863167339614179</v>
      </c>
      <c r="Q102">
        <v>165.97510373443984</v>
      </c>
      <c r="S102" t="s">
        <v>622</v>
      </c>
      <c r="T102" t="s">
        <v>342</v>
      </c>
      <c r="U102" t="b">
        <v>0</v>
      </c>
    </row>
    <row r="103" spans="1:21" x14ac:dyDescent="0.3">
      <c r="A103" t="s">
        <v>622</v>
      </c>
      <c r="B103">
        <v>26</v>
      </c>
      <c r="C103" t="s">
        <v>693</v>
      </c>
      <c r="D103">
        <v>202548</v>
      </c>
      <c r="E103" t="s">
        <v>633</v>
      </c>
      <c r="F103" t="s">
        <v>667</v>
      </c>
      <c r="G103" t="s">
        <v>679</v>
      </c>
      <c r="H103" t="s">
        <v>660</v>
      </c>
      <c r="I103" t="s">
        <v>398</v>
      </c>
      <c r="J103" t="s">
        <v>386</v>
      </c>
      <c r="N103">
        <v>44.863167339614179</v>
      </c>
      <c r="Q103">
        <v>165.97510373443984</v>
      </c>
      <c r="S103" t="s">
        <v>622</v>
      </c>
      <c r="T103" t="s">
        <v>342</v>
      </c>
      <c r="U103" t="b">
        <v>0</v>
      </c>
    </row>
    <row r="104" spans="1:21" x14ac:dyDescent="0.3">
      <c r="A104" t="s">
        <v>622</v>
      </c>
      <c r="B104">
        <v>27</v>
      </c>
      <c r="C104" t="s">
        <v>694</v>
      </c>
      <c r="D104">
        <v>202548</v>
      </c>
      <c r="E104" t="s">
        <v>633</v>
      </c>
      <c r="F104" t="s">
        <v>667</v>
      </c>
      <c r="G104" t="s">
        <v>679</v>
      </c>
      <c r="H104" t="s">
        <v>660</v>
      </c>
      <c r="I104" t="s">
        <v>398</v>
      </c>
      <c r="J104" t="s">
        <v>386</v>
      </c>
      <c r="N104">
        <v>44.863167339614179</v>
      </c>
      <c r="Q104">
        <v>165.97510373443984</v>
      </c>
      <c r="S104" t="s">
        <v>622</v>
      </c>
      <c r="T104" t="s">
        <v>342</v>
      </c>
      <c r="U104" t="b">
        <v>0</v>
      </c>
    </row>
    <row r="105" spans="1:21" x14ac:dyDescent="0.3">
      <c r="A105" t="s">
        <v>622</v>
      </c>
      <c r="B105">
        <v>28</v>
      </c>
      <c r="C105" t="s">
        <v>695</v>
      </c>
      <c r="D105">
        <v>202548</v>
      </c>
      <c r="E105" t="s">
        <v>633</v>
      </c>
      <c r="F105" t="s">
        <v>696</v>
      </c>
      <c r="G105" t="s">
        <v>679</v>
      </c>
      <c r="H105" t="s">
        <v>660</v>
      </c>
      <c r="I105" t="s">
        <v>398</v>
      </c>
      <c r="J105" t="s">
        <v>397</v>
      </c>
      <c r="N105">
        <v>44.863167339614179</v>
      </c>
      <c r="Q105">
        <v>165.97510373443984</v>
      </c>
      <c r="S105" t="s">
        <v>622</v>
      </c>
      <c r="T105" t="s">
        <v>342</v>
      </c>
      <c r="U105" t="b">
        <v>0</v>
      </c>
    </row>
    <row r="106" spans="1:21" x14ac:dyDescent="0.3">
      <c r="A106" t="s">
        <v>622</v>
      </c>
      <c r="B106">
        <v>29</v>
      </c>
      <c r="C106" t="s">
        <v>697</v>
      </c>
      <c r="D106">
        <v>202548</v>
      </c>
      <c r="E106" t="s">
        <v>633</v>
      </c>
      <c r="F106" t="s">
        <v>696</v>
      </c>
      <c r="G106" t="s">
        <v>679</v>
      </c>
      <c r="H106" t="s">
        <v>660</v>
      </c>
      <c r="I106" t="s">
        <v>398</v>
      </c>
      <c r="J106" t="s">
        <v>397</v>
      </c>
      <c r="N106">
        <v>44.863167339614179</v>
      </c>
      <c r="Q106">
        <v>165.97510373443984</v>
      </c>
      <c r="S106" t="s">
        <v>622</v>
      </c>
      <c r="T106" t="s">
        <v>342</v>
      </c>
      <c r="U106" t="b">
        <v>0</v>
      </c>
    </row>
    <row r="107" spans="1:21" x14ac:dyDescent="0.3">
      <c r="A107" t="s">
        <v>622</v>
      </c>
      <c r="B107">
        <v>30</v>
      </c>
      <c r="C107" t="s">
        <v>698</v>
      </c>
      <c r="D107">
        <v>202548</v>
      </c>
      <c r="E107" t="s">
        <v>633</v>
      </c>
      <c r="F107" t="s">
        <v>696</v>
      </c>
      <c r="G107" t="s">
        <v>679</v>
      </c>
      <c r="H107" t="s">
        <v>660</v>
      </c>
      <c r="I107" t="s">
        <v>398</v>
      </c>
      <c r="J107" t="s">
        <v>397</v>
      </c>
      <c r="N107">
        <v>44.863167339614179</v>
      </c>
      <c r="Q107">
        <v>165.97510373443984</v>
      </c>
      <c r="S107" t="s">
        <v>622</v>
      </c>
      <c r="T107" t="s">
        <v>342</v>
      </c>
      <c r="U107" t="b">
        <v>0</v>
      </c>
    </row>
    <row r="108" spans="1:21" x14ac:dyDescent="0.3">
      <c r="A108" t="s">
        <v>622</v>
      </c>
      <c r="B108">
        <v>31</v>
      </c>
      <c r="C108" t="s">
        <v>699</v>
      </c>
      <c r="D108">
        <v>202548</v>
      </c>
      <c r="E108" t="s">
        <v>633</v>
      </c>
      <c r="F108" t="s">
        <v>667</v>
      </c>
      <c r="G108" t="s">
        <v>679</v>
      </c>
      <c r="H108" t="s">
        <v>660</v>
      </c>
      <c r="I108" t="s">
        <v>398</v>
      </c>
      <c r="J108" t="s">
        <v>386</v>
      </c>
      <c r="N108">
        <v>44.863167339614179</v>
      </c>
      <c r="Q108">
        <v>165.97510373443984</v>
      </c>
      <c r="S108" t="s">
        <v>622</v>
      </c>
      <c r="T108" t="s">
        <v>342</v>
      </c>
      <c r="U108" t="b">
        <v>0</v>
      </c>
    </row>
    <row r="109" spans="1:21" x14ac:dyDescent="0.3">
      <c r="A109" t="s">
        <v>622</v>
      </c>
      <c r="B109">
        <v>32</v>
      </c>
      <c r="C109" t="s">
        <v>700</v>
      </c>
      <c r="D109">
        <v>202549</v>
      </c>
      <c r="E109" t="s">
        <v>633</v>
      </c>
      <c r="F109" t="s">
        <v>696</v>
      </c>
      <c r="G109" t="s">
        <v>679</v>
      </c>
      <c r="H109" t="s">
        <v>660</v>
      </c>
      <c r="I109" t="s">
        <v>398</v>
      </c>
      <c r="J109" t="s">
        <v>386</v>
      </c>
      <c r="N109">
        <v>44.863167339614179</v>
      </c>
      <c r="Q109">
        <v>633.7135614702155</v>
      </c>
      <c r="S109" t="s">
        <v>622</v>
      </c>
      <c r="T109" t="s">
        <v>342</v>
      </c>
      <c r="U109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6194-0C36-4A39-B07A-253216D94583}">
  <dimension ref="A1:Y8"/>
  <sheetViews>
    <sheetView workbookViewId="0">
      <selection activeCell="L4" sqref="L4"/>
    </sheetView>
  </sheetViews>
  <sheetFormatPr defaultColWidth="8.88671875" defaultRowHeight="14.4" x14ac:dyDescent="0.3"/>
  <cols>
    <col min="1" max="1" width="15.109375" bestFit="1" customWidth="1"/>
    <col min="2" max="2" width="10.5546875" bestFit="1" customWidth="1"/>
    <col min="3" max="3" width="6.77734375" bestFit="1" customWidth="1"/>
    <col min="4" max="4" width="9" bestFit="1" customWidth="1"/>
    <col min="5" max="5" width="11.6640625" bestFit="1" customWidth="1"/>
    <col min="6" max="6" width="21.109375" bestFit="1" customWidth="1"/>
    <col min="7" max="7" width="11.21875" bestFit="1" customWidth="1"/>
    <col min="8" max="8" width="21.109375" bestFit="1" customWidth="1"/>
    <col min="9" max="9" width="10.6640625" bestFit="1" customWidth="1"/>
    <col min="10" max="10" width="14.33203125" bestFit="1" customWidth="1"/>
    <col min="11" max="11" width="9.44140625" bestFit="1" customWidth="1"/>
    <col min="12" max="12" width="21.109375" bestFit="1" customWidth="1"/>
    <col min="13" max="13" width="13.88671875" bestFit="1" customWidth="1"/>
    <col min="14" max="14" width="14" bestFit="1" customWidth="1"/>
    <col min="15" max="15" width="12.88671875" bestFit="1" customWidth="1"/>
    <col min="16" max="16" width="10.44140625" bestFit="1" customWidth="1"/>
    <col min="17" max="17" width="17.6640625" bestFit="1" customWidth="1"/>
    <col min="18" max="18" width="54.88671875" bestFit="1" customWidth="1"/>
    <col min="19" max="19" width="21.109375" bestFit="1" customWidth="1"/>
    <col min="20" max="20" width="83" bestFit="1" customWidth="1"/>
    <col min="21" max="21" width="59" bestFit="1" customWidth="1"/>
    <col min="22" max="22" width="59" customWidth="1"/>
    <col min="23" max="23" width="68.33203125" bestFit="1" customWidth="1"/>
    <col min="24" max="24" width="82.109375" bestFit="1" customWidth="1"/>
    <col min="25" max="25" width="53.44140625" bestFit="1" customWidth="1"/>
    <col min="26" max="26" width="41.88671875" bestFit="1" customWidth="1"/>
  </cols>
  <sheetData>
    <row r="1" spans="1:25" x14ac:dyDescent="0.3">
      <c r="A1" s="15" t="s">
        <v>33</v>
      </c>
      <c r="B1" t="s">
        <v>35</v>
      </c>
      <c r="C1" t="s">
        <v>474</v>
      </c>
      <c r="D1" t="s">
        <v>346</v>
      </c>
      <c r="E1" t="s">
        <v>465</v>
      </c>
      <c r="F1" t="s">
        <v>488</v>
      </c>
      <c r="G1" t="s">
        <v>466</v>
      </c>
      <c r="H1" t="s">
        <v>489</v>
      </c>
      <c r="I1" t="s">
        <v>500</v>
      </c>
      <c r="J1" t="s">
        <v>502</v>
      </c>
      <c r="K1" t="s">
        <v>345</v>
      </c>
      <c r="L1" t="s">
        <v>473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475</v>
      </c>
      <c r="S1" t="s">
        <v>476</v>
      </c>
      <c r="T1" t="s">
        <v>478</v>
      </c>
      <c r="U1" t="s">
        <v>479</v>
      </c>
      <c r="V1" t="s">
        <v>504</v>
      </c>
      <c r="W1" t="s">
        <v>480</v>
      </c>
      <c r="X1" t="s">
        <v>477</v>
      </c>
      <c r="Y1" t="s">
        <v>490</v>
      </c>
    </row>
    <row r="2" spans="1:25" x14ac:dyDescent="0.3">
      <c r="A2" s="8" t="s">
        <v>709</v>
      </c>
      <c r="B2" t="str">
        <f>_xlfn.XLOOKUP(summ[[#This Row],[VisualIDs]],ppv[Data.Visual_ID],ppv[Data.Step], "")</f>
        <v/>
      </c>
      <c r="C2" t="e">
        <f>_xlfn.XLOOKUP(summ[[#This Row],[VisualIDs]],ppv[Data.Visual_ID],ppv[Data.Start_WW])</f>
        <v>#N/A</v>
      </c>
      <c r="D2">
        <f>_xlfn.XLOOKUP(summ[[#This Row],[VisualIDs]],REV_Units!A:A,REV_Units!F:F)</f>
        <v>2</v>
      </c>
      <c r="E2" t="str">
        <f>_xlfn.XLOOKUP(summ[[#This Row],[VisualIDs]],REV_Units!A:A,REV_Units!G:G)</f>
        <v>CORE143</v>
      </c>
      <c r="F2" t="str">
        <f>_xlfn.XLOOKUP(summ[[#This Row],[VisualIDs]],REV_Units!A:A,REV_Units!H:H)</f>
        <v/>
      </c>
      <c r="G2" t="str">
        <f>_xlfn.XLOOKUP(summ[[#This Row],[VisualIDs]],REV_Units!A:A,REV_Units!I:I)</f>
        <v>NotFound</v>
      </c>
      <c r="H2" t="str">
        <f>_xlfn.XLOOKUP(summ[[#This Row],[VisualIDs]],REV_Units!A:A,REV_Units!J:J)</f>
        <v/>
      </c>
      <c r="I2" t="str">
        <f>_xlfn.XLOOKUP(summ[[#This Row],[VisualIDs]],REV_Units!A:A,REV_Units!K:K)</f>
        <v>NotFound</v>
      </c>
      <c r="J2" t="str">
        <f>_xlfn.XLOOKUP(summ[[#This Row],[VisualIDs]],REV_Units!A:A,REV_Units!L:L)</f>
        <v/>
      </c>
      <c r="K2" t="str">
        <f>_xlfn.XLOOKUP(summ[[#This Row],[VisualIDs]],REV_Units!A:A,REV_Units!M:M)</f>
        <v>NotFound</v>
      </c>
      <c r="L2" t="str">
        <f>_xlfn.XLOOKUP(summ[[#This Row],[VisualIDs]],REV_Units!A:A,REV_Units!N:N)</f>
        <v>PUNIT:EPRPUNIT0</v>
      </c>
      <c r="M2" t="str">
        <f>_xlfn.XLOOKUP(summ[[#This Row],[VisualIDs]],REV_Units!A:A,REV_Units!O:O)</f>
        <v>PortIn</v>
      </c>
      <c r="N2" t="str">
        <f>_xlfn.XLOOKUP(summ[[#This Row],[VisualIDs]],REV_Units!A:A,REV_Units!P:P)</f>
        <v>RspI</v>
      </c>
      <c r="O2" t="str">
        <f>_xlfn.XLOOKUP(summ[[#This Row],[VisualIDs]],REV_Units!A:A,REV_Units!Q:Q)</f>
        <v>Wdata_Wcmp</v>
      </c>
      <c r="P2" t="str">
        <f>_xlfn.XLOOKUP(summ[[#This Row],[VisualIDs]],REV_Units!A:A,REV_Units!R:R)</f>
        <v>IO</v>
      </c>
      <c r="Q2" t="str">
        <f>_xlfn.XLOOKUP(summ[[#This Row],[VisualIDs]],REV_Units!A:A,REV_Units!S:S)</f>
        <v>PCIE0</v>
      </c>
      <c r="R2" t="str">
        <f>_xlfn.XLOOKUP(summ[[#This Row],[VisualIDs]],REV_Units!A:A,REV_Units!U:U)</f>
        <v>WDTimeout (3 strike)</v>
      </c>
      <c r="S2" t="str" cm="1">
        <f t="array" ref="S2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f>
        <v>PUNIT:EPRPUNIT0</v>
      </c>
      <c r="T2" t="str">
        <f>IF(summ[[#This Row],[Core Hint]]&lt;&gt;"NotFound",_xlfn.TEXTJOIN(" ",,"Disable CORE:",summ[[#This Row],[Core Hint]],"- MCAs:",summ[[#This Row],[Core Mcas]]),"")</f>
        <v>Disable CORE: CORE143 - MCAs: WDTimeout (3 strike)</v>
      </c>
      <c r="U2" t="str">
        <f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f>
        <v/>
      </c>
      <c r="V2" t="str">
        <f>IF(summ[[#This Row],[LLC Hint]]&lt;&gt;"NotFound",_xlfn.TEXTJOIN(" ",,"Disable LLC:",summ[[#This Row],[LLC Hint]]),"")</f>
        <v/>
      </c>
      <c r="W2" t="str">
        <f>IF(summ[[#This Row],[Other]]&lt;&gt;"",_xlfn.TEXTJOIN(" ",,"Defeature:",summ[[#This Row],[Other]]," -- Check CORE or CHA MCAs for more data."),"")</f>
        <v>Defeature: PUNIT:EPRPUNIT0  -- Check CORE or CHA MCAs for more data.</v>
      </c>
      <c r="X2" t="str" cm="1">
        <f t="array" ref="X2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f>
        <v>Defeature: PUNIT:EPRPUNIT0  -- Check CORE or CHA MCAs for more data.</v>
      </c>
      <c r="Y2" t="str">
        <f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f>
        <v/>
      </c>
    </row>
    <row r="3" spans="1:25" x14ac:dyDescent="0.3">
      <c r="A3" s="8" t="s">
        <v>731</v>
      </c>
      <c r="B3" t="str">
        <f>_xlfn.XLOOKUP(summ[[#This Row],[VisualIDs]],ppv[Data.Visual_ID],ppv[Data.Step], "")</f>
        <v/>
      </c>
      <c r="C3" t="e">
        <f>_xlfn.XLOOKUP(summ[[#This Row],[VisualIDs]],ppv[Data.Visual_ID],ppv[Data.Start_WW])</f>
        <v>#N/A</v>
      </c>
      <c r="D3">
        <f>_xlfn.XLOOKUP(summ[[#This Row],[VisualIDs]],REV_Units!A:A,REV_Units!F:F)</f>
        <v>1</v>
      </c>
      <c r="E3" t="str">
        <f>_xlfn.XLOOKUP(summ[[#This Row],[VisualIDs]],REV_Units!A:A,REV_Units!G:G)</f>
        <v>CORE13</v>
      </c>
      <c r="F3" t="str">
        <f>_xlfn.XLOOKUP(summ[[#This Row],[VisualIDs]],REV_Units!A:A,REV_Units!H:H)</f>
        <v/>
      </c>
      <c r="G3" t="str">
        <f>_xlfn.XLOOKUP(summ[[#This Row],[VisualIDs]],REV_Units!A:A,REV_Units!I:I)</f>
        <v>CHA134</v>
      </c>
      <c r="H3" t="str">
        <f>_xlfn.XLOOKUP(summ[[#This Row],[VisualIDs]],REV_Units!A:A,REV_Units!J:J)</f>
        <v>Compute2 : Row6 : Col2</v>
      </c>
      <c r="I3" t="str">
        <f>_xlfn.XLOOKUP(summ[[#This Row],[VisualIDs]],REV_Units!A:A,REV_Units!K:K)</f>
        <v>NotFound</v>
      </c>
      <c r="J3" t="str">
        <f>_xlfn.XLOOKUP(summ[[#This Row],[VisualIDs]],REV_Units!A:A,REV_Units!L:L)</f>
        <v/>
      </c>
      <c r="K3">
        <f>_xlfn.XLOOKUP(summ[[#This Row],[VisualIDs]],REV_Units!A:A,REV_Units!M:M)</f>
        <v>10</v>
      </c>
      <c r="L3" t="str">
        <f>_xlfn.XLOOKUP(summ[[#This Row],[VisualIDs]],REV_Units!A:A,REV_Units!N:N)</f>
        <v/>
      </c>
      <c r="M3" t="str">
        <f>_xlfn.XLOOKUP(summ[[#This Row],[VisualIDs]],REV_Units!A:A,REV_Units!O:O)</f>
        <v>WbMtoI</v>
      </c>
      <c r="N3" t="str">
        <f>_xlfn.XLOOKUP(summ[[#This Row],[VisualIDs]],REV_Units!A:A,REV_Units!P:P)</f>
        <v>PullData</v>
      </c>
      <c r="O3" t="str">
        <f>_xlfn.XLOOKUP(summ[[#This Row],[VisualIDs]],REV_Units!A:A,REV_Units!Q:Q)</f>
        <v>Ismq_Idle</v>
      </c>
      <c r="P3" t="str">
        <f>_xlfn.XLOOKUP(summ[[#This Row],[VisualIDs]],REV_Units!A:A,REV_Units!R:R)</f>
        <v>HOM</v>
      </c>
      <c r="Q3" t="str">
        <f>_xlfn.XLOOKUP(summ[[#This Row],[VisualIDs]],REV_Units!A:A,REV_Units!S:S)</f>
        <v>MEM4</v>
      </c>
      <c r="R3" t="str">
        <f>_xlfn.XLOOKUP(summ[[#This Row],[VisualIDs]],REV_Units!A:A,REV_Units!U:U)</f>
        <v>WDTimeout (3 strike)</v>
      </c>
      <c r="S3" t="str" cm="1">
        <f t="array" ref="S3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f>
        <v>CHA134</v>
      </c>
      <c r="T3" t="str">
        <f>IF(summ[[#This Row],[Core Hint]]&lt;&gt;"NotFound",_xlfn.TEXTJOIN(" ",,"Disable CORE:",summ[[#This Row],[Core Hint]],"- MCAs:",summ[[#This Row],[Core Mcas]]),"")</f>
        <v>Disable CORE: CORE13 - MCAs: WDTimeout (3 strike)</v>
      </c>
      <c r="U3" t="str">
        <f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f>
        <v>Disable CHA: CHA134 - Signature: WbMtoI - Ismq_Idle : MEM4</v>
      </c>
      <c r="V3" t="str">
        <f>IF(summ[[#This Row],[LLC Hint]]&lt;&gt;"NotFound",_xlfn.TEXTJOIN(" ",,"Disable LLC:",summ[[#This Row],[LLC Hint]]),"")</f>
        <v/>
      </c>
      <c r="W3" t="str">
        <f>IF(summ[[#This Row],[Other]]&lt;&gt;"",_xlfn.TEXTJOIN(" ",,"Defeature:",summ[[#This Row],[Other]]," -- Check CORE or CHA MCAs for more data."),"")</f>
        <v/>
      </c>
      <c r="X3" t="str" cm="1">
        <f t="array" ref="X3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f>
        <v>Disable CHA: CHA134 - Signature: WbMtoI - Ismq_Idle : MEM4</v>
      </c>
      <c r="Y3" t="str">
        <f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f>
        <v>CHA: Compute2 : Row6 : Col2</v>
      </c>
    </row>
    <row r="4" spans="1:25" x14ac:dyDescent="0.3">
      <c r="A4" s="8" t="s">
        <v>748</v>
      </c>
      <c r="B4" t="str">
        <f>_xlfn.XLOOKUP(summ[[#This Row],[VisualIDs]],ppv[Data.Visual_ID],ppv[Data.Step], "")</f>
        <v/>
      </c>
      <c r="C4" t="e">
        <f>_xlfn.XLOOKUP(summ[[#This Row],[VisualIDs]],ppv[Data.Visual_ID],ppv[Data.Start_WW])</f>
        <v>#N/A</v>
      </c>
      <c r="D4">
        <f>_xlfn.XLOOKUP(summ[[#This Row],[VisualIDs]],REV_Units!A:A,REV_Units!F:F)</f>
        <v>3</v>
      </c>
      <c r="E4" t="str">
        <f>_xlfn.XLOOKUP(summ[[#This Row],[VisualIDs]],REV_Units!A:A,REV_Units!G:G)</f>
        <v>CORE17</v>
      </c>
      <c r="F4" t="str">
        <f>_xlfn.XLOOKUP(summ[[#This Row],[VisualIDs]],REV_Units!A:A,REV_Units!H:H)</f>
        <v/>
      </c>
      <c r="G4" t="str">
        <f>_xlfn.XLOOKUP(summ[[#This Row],[VisualIDs]],REV_Units!A:A,REV_Units!I:I)</f>
        <v>CHA9</v>
      </c>
      <c r="H4" t="str">
        <f>_xlfn.XLOOKUP(summ[[#This Row],[VisualIDs]],REV_Units!A:A,REV_Units!J:J)</f>
        <v/>
      </c>
      <c r="I4" t="str">
        <f>_xlfn.XLOOKUP(summ[[#This Row],[VisualIDs]],REV_Units!A:A,REV_Units!K:K)</f>
        <v>NotFound</v>
      </c>
      <c r="J4" t="str">
        <f>_xlfn.XLOOKUP(summ[[#This Row],[VisualIDs]],REV_Units!A:A,REV_Units!L:L)</f>
        <v/>
      </c>
      <c r="K4" t="str">
        <f>_xlfn.XLOOKUP(summ[[#This Row],[VisualIDs]],REV_Units!A:A,REV_Units!M:M)</f>
        <v>NotFound</v>
      </c>
      <c r="L4" t="str">
        <f>_xlfn.XLOOKUP(summ[[#This Row],[VisualIDs]],REV_Units!A:A,REV_Units!N:N)</f>
        <v>UPI:pcie6</v>
      </c>
      <c r="M4" t="str">
        <f>_xlfn.XLOOKUP(summ[[#This Row],[VisualIDs]],REV_Units!A:A,REV_Units!O:O)</f>
        <v>DRd</v>
      </c>
      <c r="N4" t="str">
        <f>_xlfn.XLOOKUP(summ[[#This Row],[VisualIDs]],REV_Units!A:A,REV_Units!P:P)</f>
        <v>RspI</v>
      </c>
      <c r="O4" t="str">
        <f>_xlfn.XLOOKUP(summ[[#This Row],[VisualIDs]],REV_Units!A:A,REV_Units!Q:Q)</f>
        <v>Wdata_Wcmp_Split</v>
      </c>
      <c r="P4" t="str">
        <f>_xlfn.XLOOKUP(summ[[#This Row],[VisualIDs]],REV_Units!A:A,REV_Units!R:R)</f>
        <v>HOM</v>
      </c>
      <c r="Q4" t="str">
        <f>_xlfn.XLOOKUP(summ[[#This Row],[VisualIDs]],REV_Units!A:A,REV_Units!S:S)</f>
        <v>MEM0</v>
      </c>
      <c r="R4" t="str">
        <f>_xlfn.XLOOKUP(summ[[#This Row],[VisualIDs]],REV_Units!A:A,REV_Units!U:U)</f>
        <v>WDTimeout (3 strike), SQDB or IDI (addr / data) parity</v>
      </c>
      <c r="S4" t="str" cm="1">
        <f t="array" ref="S4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f>
        <v>UPI:pcie6</v>
      </c>
      <c r="T4" t="str">
        <f>IF(summ[[#This Row],[Core Hint]]&lt;&gt;"NotFound",_xlfn.TEXTJOIN(" ",,"Disable CORE:",summ[[#This Row],[Core Hint]],"- MCAs:",summ[[#This Row],[Core Mcas]]),"")</f>
        <v>Disable CORE: CORE17 - MCAs: WDTimeout (3 strike), SQDB or IDI (addr / data) parity</v>
      </c>
      <c r="U4" t="str">
        <f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f>
        <v>Disable CHA: CHA9 - Signature: DRd - Wdata_Wcmp_Split : MEM0</v>
      </c>
      <c r="V4" t="str">
        <f>IF(summ[[#This Row],[LLC Hint]]&lt;&gt;"NotFound",_xlfn.TEXTJOIN(" ",,"Disable LLC:",summ[[#This Row],[LLC Hint]]),"")</f>
        <v/>
      </c>
      <c r="W4" t="str">
        <f>IF(summ[[#This Row],[Other]]&lt;&gt;"",_xlfn.TEXTJOIN(" ",,"Defeature:",summ[[#This Row],[Other]]," -- Check CORE or CHA MCAs for more data."),"")</f>
        <v>Defeature: UPI:pcie6  -- Check CORE or CHA MCAs for more data.</v>
      </c>
      <c r="X4" t="str" cm="1">
        <f t="array" ref="X4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f>
        <v>Defeature: UPI:pcie6  -- Check CORE or CHA MCAs for more data.</v>
      </c>
      <c r="Y4" t="str">
        <f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f>
        <v/>
      </c>
    </row>
    <row r="5" spans="1:25" x14ac:dyDescent="0.3">
      <c r="A5" s="8" t="s">
        <v>1475</v>
      </c>
      <c r="B5" t="str">
        <f>_xlfn.XLOOKUP(summ[[#This Row],[VisualIDs]],ppv[Data.Visual_ID],ppv[Data.Step], "")</f>
        <v/>
      </c>
      <c r="C5" t="e">
        <f>_xlfn.XLOOKUP(summ[[#This Row],[VisualIDs]],ppv[Data.Visual_ID],ppv[Data.Start_WW])</f>
        <v>#N/A</v>
      </c>
      <c r="D5">
        <f>_xlfn.XLOOKUP(summ[[#This Row],[VisualIDs]],REV_Units!A:A,REV_Units!F:F)</f>
        <v>1</v>
      </c>
      <c r="E5" t="str">
        <f>_xlfn.XLOOKUP(summ[[#This Row],[VisualIDs]],REV_Units!A:A,REV_Units!G:G)</f>
        <v>CORE168</v>
      </c>
      <c r="F5" t="str">
        <f>_xlfn.XLOOKUP(summ[[#This Row],[VisualIDs]],REV_Units!A:A,REV_Units!H:H)</f>
        <v/>
      </c>
      <c r="G5" t="str">
        <f>_xlfn.XLOOKUP(summ[[#This Row],[VisualIDs]],REV_Units!A:A,REV_Units!I:I)</f>
        <v>CHA83</v>
      </c>
      <c r="H5" t="str">
        <f>_xlfn.XLOOKUP(summ[[#This Row],[VisualIDs]],REV_Units!A:A,REV_Units!J:J)</f>
        <v/>
      </c>
      <c r="I5" t="str">
        <f>_xlfn.XLOOKUP(summ[[#This Row],[VisualIDs]],REV_Units!A:A,REV_Units!K:K)</f>
        <v>NotFound</v>
      </c>
      <c r="J5" t="str">
        <f>_xlfn.XLOOKUP(summ[[#This Row],[VisualIDs]],REV_Units!A:A,REV_Units!L:L)</f>
        <v/>
      </c>
      <c r="K5">
        <f>_xlfn.XLOOKUP(summ[[#This Row],[VisualIDs]],REV_Units!A:A,REV_Units!M:M)</f>
        <v>110</v>
      </c>
      <c r="L5" t="str">
        <f>_xlfn.XLOOKUP(summ[[#This Row],[VisualIDs]],REV_Units!A:A,REV_Units!N:N)</f>
        <v/>
      </c>
      <c r="M5" t="str">
        <f>_xlfn.XLOOKUP(summ[[#This Row],[VisualIDs]],REV_Units!A:A,REV_Units!O:O)</f>
        <v>CLDemote</v>
      </c>
      <c r="N5" t="str">
        <f>_xlfn.XLOOKUP(summ[[#This Row],[VisualIDs]],REV_Units!A:A,REV_Units!P:P)</f>
        <v>CLDemote</v>
      </c>
      <c r="O5" t="str">
        <f>_xlfn.XLOOKUP(summ[[#This Row],[VisualIDs]],REV_Units!A:A,REV_Units!Q:Q)</f>
        <v>Ismq_Idle</v>
      </c>
      <c r="P5" t="str">
        <f>_xlfn.XLOOKUP(summ[[#This Row],[VisualIDs]],REV_Units!A:A,REV_Units!R:R)</f>
        <v>HOM</v>
      </c>
      <c r="Q5" t="str">
        <f>_xlfn.XLOOKUP(summ[[#This Row],[VisualIDs]],REV_Units!A:A,REV_Units!S:S)</f>
        <v>MEM44</v>
      </c>
      <c r="R5" t="str">
        <f>_xlfn.XLOOKUP(summ[[#This Row],[VisualIDs]],REV_Units!A:A,REV_Units!U:U)</f>
        <v>WDTimeout (3 strike), 51488, 32520</v>
      </c>
      <c r="S5" t="str" cm="1">
        <f t="array" ref="S5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f>
        <v>CHA83</v>
      </c>
      <c r="T5" t="str">
        <f>IF(summ[[#This Row],[Core Hint]]&lt;&gt;"NotFound",_xlfn.TEXTJOIN(" ",,"Disable CORE:",summ[[#This Row],[Core Hint]],"- MCAs:",summ[[#This Row],[Core Mcas]]),"")</f>
        <v>Disable CORE: CORE168 - MCAs: WDTimeout (3 strike), 51488, 32520</v>
      </c>
      <c r="U5" t="str">
        <f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f>
        <v>Disable CHA: CHA83 - Signature: CLDemote - Ismq_Idle : MEM44</v>
      </c>
      <c r="V5" t="str">
        <f>IF(summ[[#This Row],[LLC Hint]]&lt;&gt;"NotFound",_xlfn.TEXTJOIN(" ",,"Disable LLC:",summ[[#This Row],[LLC Hint]]),"")</f>
        <v/>
      </c>
      <c r="W5" t="str">
        <f>IF(summ[[#This Row],[Other]]&lt;&gt;"",_xlfn.TEXTJOIN(" ",,"Defeature:",summ[[#This Row],[Other]]," -- Check CORE or CHA MCAs for more data."),"")</f>
        <v/>
      </c>
      <c r="X5" t="str" cm="1">
        <f t="array" ref="X5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f>
        <v>Disable CHA: CHA83 - Signature: CLDemote - Ismq_Idle : MEM44</v>
      </c>
      <c r="Y5" t="str">
        <f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f>
        <v/>
      </c>
    </row>
    <row r="6" spans="1:25" x14ac:dyDescent="0.3">
      <c r="A6" s="8" t="s">
        <v>1778</v>
      </c>
      <c r="B6" t="str">
        <f>_xlfn.XLOOKUP(summ[[#This Row],[VisualIDs]],ppv[Data.Visual_ID],ppv[Data.Step], "")</f>
        <v/>
      </c>
      <c r="C6" t="e">
        <f>_xlfn.XLOOKUP(summ[[#This Row],[VisualIDs]],ppv[Data.Visual_ID],ppv[Data.Start_WW])</f>
        <v>#N/A</v>
      </c>
      <c r="D6">
        <f>_xlfn.XLOOKUP(summ[[#This Row],[VisualIDs]],REV_Units!A:A,REV_Units!F:F)</f>
        <v>3</v>
      </c>
      <c r="E6" t="str">
        <f>_xlfn.XLOOKUP(summ[[#This Row],[VisualIDs]],REV_Units!A:A,REV_Units!G:G)</f>
        <v>NotFound</v>
      </c>
      <c r="F6" t="str">
        <f>_xlfn.XLOOKUP(summ[[#This Row],[VisualIDs]],REV_Units!A:A,REV_Units!H:H)</f>
        <v/>
      </c>
      <c r="G6" t="str">
        <f>_xlfn.XLOOKUP(summ[[#This Row],[VisualIDs]],REV_Units!A:A,REV_Units!I:I)</f>
        <v>NotFound</v>
      </c>
      <c r="H6" t="str">
        <f>_xlfn.XLOOKUP(summ[[#This Row],[VisualIDs]],REV_Units!A:A,REV_Units!J:J)</f>
        <v/>
      </c>
      <c r="I6" t="str">
        <f>_xlfn.XLOOKUP(summ[[#This Row],[VisualIDs]],REV_Units!A:A,REV_Units!K:K)</f>
        <v>NotFound</v>
      </c>
      <c r="J6" t="str">
        <f>_xlfn.XLOOKUP(summ[[#This Row],[VisualIDs]],REV_Units!A:A,REV_Units!L:L)</f>
        <v/>
      </c>
      <c r="K6">
        <f>_xlfn.XLOOKUP(summ[[#This Row],[VisualIDs]],REV_Units!A:A,REV_Units!M:M)</f>
        <v>24</v>
      </c>
      <c r="L6" t="str">
        <f>_xlfn.XLOOKUP(summ[[#This Row],[VisualIDs]],REV_Units!A:A,REV_Units!N:N)</f>
        <v>UPI:pcie7, UPI:pcie4</v>
      </c>
      <c r="M6" t="str">
        <f>_xlfn.XLOOKUP(summ[[#This Row],[VisualIDs]],REV_Units!A:A,REV_Units!O:O)</f>
        <v>DRd</v>
      </c>
      <c r="N6" t="str">
        <f>_xlfn.XLOOKUP(summ[[#This Row],[VisualIDs]],REV_Units!A:A,REV_Units!P:P)</f>
        <v>RspI</v>
      </c>
      <c r="O6" t="str">
        <f>_xlfn.XLOOKUP(summ[[#This Row],[VisualIDs]],REV_Units!A:A,REV_Units!Q:Q)</f>
        <v>Wdata_Wcmp_Split</v>
      </c>
      <c r="P6" t="str">
        <f>_xlfn.XLOOKUP(summ[[#This Row],[VisualIDs]],REV_Units!A:A,REV_Units!R:R)</f>
        <v>HOM</v>
      </c>
      <c r="Q6" t="str">
        <f>_xlfn.XLOOKUP(summ[[#This Row],[VisualIDs]],REV_Units!A:A,REV_Units!S:S)</f>
        <v>MEM0</v>
      </c>
      <c r="R6" t="str">
        <f>_xlfn.XLOOKUP(summ[[#This Row],[VisualIDs]],REV_Units!A:A,REV_Units!U:U)</f>
        <v>WDTimeout (3 strike)</v>
      </c>
      <c r="S6" t="str" cm="1">
        <f t="array" ref="S6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f>
        <v>UPI:pcie7, UPI:pcie4</v>
      </c>
      <c r="T6" t="str">
        <f>IF(summ[[#This Row],[Core Hint]]&lt;&gt;"NotFound",_xlfn.TEXTJOIN(" ",,"Disable CORE:",summ[[#This Row],[Core Hint]],"- MCAs:",summ[[#This Row],[Core Mcas]]),"")</f>
        <v/>
      </c>
      <c r="U6" t="str">
        <f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f>
        <v>Disable SrcID:  24 - Signature: DRd - Wdata_Wcmp_Split : MEM0</v>
      </c>
      <c r="V6" t="str">
        <f>IF(summ[[#This Row],[LLC Hint]]&lt;&gt;"NotFound",_xlfn.TEXTJOIN(" ",,"Disable LLC:",summ[[#This Row],[LLC Hint]]),"")</f>
        <v/>
      </c>
      <c r="W6" t="str">
        <f>IF(summ[[#This Row],[Other]]&lt;&gt;"",_xlfn.TEXTJOIN(" ",,"Defeature:",summ[[#This Row],[Other]]," -- Check CORE or CHA MCAs for more data."),"")</f>
        <v>Defeature: UPI:pcie7, UPI:pcie4  -- Check CORE or CHA MCAs for more data.</v>
      </c>
      <c r="X6" t="str" cm="1">
        <f t="array" ref="X6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f>
        <v>Defeature: UPI:pcie7, UPI:pcie4  -- Check CORE or CHA MCAs for more data.</v>
      </c>
      <c r="Y6" t="str">
        <f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f>
        <v/>
      </c>
    </row>
    <row r="7" spans="1:25" x14ac:dyDescent="0.3">
      <c r="A7" s="8" t="s">
        <v>2600</v>
      </c>
      <c r="B7" t="str">
        <f>_xlfn.XLOOKUP(summ[[#This Row],[VisualIDs]],ppv[Data.Visual_ID],ppv[Data.Step], "")</f>
        <v/>
      </c>
      <c r="C7" t="e">
        <f>_xlfn.XLOOKUP(summ[[#This Row],[VisualIDs]],ppv[Data.Visual_ID],ppv[Data.Start_WW])</f>
        <v>#N/A</v>
      </c>
      <c r="D7">
        <f>_xlfn.XLOOKUP(summ[[#This Row],[VisualIDs]],REV_Units!A:A,REV_Units!F:F)</f>
        <v>3</v>
      </c>
      <c r="E7" t="str">
        <f>_xlfn.XLOOKUP(summ[[#This Row],[VisualIDs]],REV_Units!A:A,REV_Units!G:G)</f>
        <v>CORE149</v>
      </c>
      <c r="F7" t="str">
        <f>_xlfn.XLOOKUP(summ[[#This Row],[VisualIDs]],REV_Units!A:A,REV_Units!H:H)</f>
        <v/>
      </c>
      <c r="G7" t="str">
        <f>_xlfn.XLOOKUP(summ[[#This Row],[VisualIDs]],REV_Units!A:A,REV_Units!I:I)</f>
        <v>CHA149</v>
      </c>
      <c r="H7" t="str">
        <f>_xlfn.XLOOKUP(summ[[#This Row],[VisualIDs]],REV_Units!A:A,REV_Units!J:J)</f>
        <v/>
      </c>
      <c r="I7" t="str">
        <f>_xlfn.XLOOKUP(summ[[#This Row],[VisualIDs]],REV_Units!A:A,REV_Units!K:K)</f>
        <v>NotFound</v>
      </c>
      <c r="J7" t="str">
        <f>_xlfn.XLOOKUP(summ[[#This Row],[VisualIDs]],REV_Units!A:A,REV_Units!L:L)</f>
        <v/>
      </c>
      <c r="K7">
        <f>_xlfn.XLOOKUP(summ[[#This Row],[VisualIDs]],REV_Units!A:A,REV_Units!M:M)</f>
        <v>99</v>
      </c>
      <c r="L7" t="str">
        <f>_xlfn.XLOOKUP(summ[[#This Row],[VisualIDs]],REV_Units!A:A,REV_Units!N:N)</f>
        <v>UPI:pcie6, UPI:pcie5</v>
      </c>
      <c r="M7" t="str">
        <f>_xlfn.XLOOKUP(summ[[#This Row],[VisualIDs]],REV_Units!A:A,REV_Units!O:O)</f>
        <v>SplitLock</v>
      </c>
      <c r="N7" t="str">
        <f>_xlfn.XLOOKUP(summ[[#This Row],[VisualIDs]],REV_Units!A:A,REV_Units!P:P)</f>
        <v>RspI</v>
      </c>
      <c r="O7" t="str">
        <f>_xlfn.XLOOKUP(summ[[#This Row],[VisualIDs]],REV_Units!A:A,REV_Units!Q:Q)</f>
        <v>Wcmp</v>
      </c>
      <c r="P7" t="str">
        <f>_xlfn.XLOOKUP(summ[[#This Row],[VisualIDs]],REV_Units!A:A,REV_Units!R:R)</f>
        <v>SPECIAL</v>
      </c>
      <c r="Q7" t="str">
        <f>_xlfn.XLOOKUP(summ[[#This Row],[VisualIDs]],REV_Units!A:A,REV_Units!S:S)</f>
        <v>UBOX</v>
      </c>
      <c r="R7" t="str">
        <f>_xlfn.XLOOKUP(summ[[#This Row],[VisualIDs]],REV_Units!A:A,REV_Units!U:U)</f>
        <v>WDTimeout (3 strike)</v>
      </c>
      <c r="S7" t="str" cm="1">
        <f t="array" ref="S7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f>
        <v>UPI:pcie6, UPI:pcie5</v>
      </c>
      <c r="T7" t="str">
        <f>IF(summ[[#This Row],[Core Hint]]&lt;&gt;"NotFound",_xlfn.TEXTJOIN(" ",,"Disable CORE:",summ[[#This Row],[Core Hint]],"- MCAs:",summ[[#This Row],[Core Mcas]]),"")</f>
        <v>Disable CORE: CORE149 - MCAs: WDTimeout (3 strike)</v>
      </c>
      <c r="U7" t="str">
        <f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f>
        <v>Disable CHA: CHA149 - Signature: SplitLock - Wcmp : UBOX</v>
      </c>
      <c r="V7" t="str">
        <f>IF(summ[[#This Row],[LLC Hint]]&lt;&gt;"NotFound",_xlfn.TEXTJOIN(" ",,"Disable LLC:",summ[[#This Row],[LLC Hint]]),"")</f>
        <v/>
      </c>
      <c r="W7" t="str">
        <f>IF(summ[[#This Row],[Other]]&lt;&gt;"",_xlfn.TEXTJOIN(" ",,"Defeature:",summ[[#This Row],[Other]]," -- Check CORE or CHA MCAs for more data."),"")</f>
        <v>Defeature: UPI:pcie6, UPI:pcie5  -- Check CORE or CHA MCAs for more data.</v>
      </c>
      <c r="X7" t="str" cm="1">
        <f t="array" ref="X7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f>
        <v>Defeature: UPI:pcie6, UPI:pcie5  -- Check CORE or CHA MCAs for more data.</v>
      </c>
      <c r="Y7" t="str">
        <f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f>
        <v/>
      </c>
    </row>
    <row r="8" spans="1:25" x14ac:dyDescent="0.3">
      <c r="A8" s="8" t="s">
        <v>2722</v>
      </c>
      <c r="B8" t="str">
        <f>_xlfn.XLOOKUP(summ[[#This Row],[VisualIDs]],ppv[Data.Visual_ID],ppv[Data.Step], "")</f>
        <v/>
      </c>
      <c r="C8" t="e">
        <f>_xlfn.XLOOKUP(summ[[#This Row],[VisualIDs]],ppv[Data.Visual_ID],ppv[Data.Start_WW])</f>
        <v>#N/A</v>
      </c>
      <c r="D8">
        <f>_xlfn.XLOOKUP(summ[[#This Row],[VisualIDs]],REV_Units!A:A,REV_Units!F:F)</f>
        <v>4</v>
      </c>
      <c r="E8" t="str">
        <f>_xlfn.XLOOKUP(summ[[#This Row],[VisualIDs]],REV_Units!A:A,REV_Units!G:G)</f>
        <v>NotFound</v>
      </c>
      <c r="F8" t="str">
        <f>_xlfn.XLOOKUP(summ[[#This Row],[VisualIDs]],REV_Units!A:A,REV_Units!H:H)</f>
        <v/>
      </c>
      <c r="G8" t="str">
        <f>_xlfn.XLOOKUP(summ[[#This Row],[VisualIDs]],REV_Units!A:A,REV_Units!I:I)</f>
        <v>NotFound</v>
      </c>
      <c r="H8" t="str">
        <f>_xlfn.XLOOKUP(summ[[#This Row],[VisualIDs]],REV_Units!A:A,REV_Units!J:J)</f>
        <v/>
      </c>
      <c r="I8" t="str">
        <f>_xlfn.XLOOKUP(summ[[#This Row],[VisualIDs]],REV_Units!A:A,REV_Units!K:K)</f>
        <v>NotFound</v>
      </c>
      <c r="J8" t="str">
        <f>_xlfn.XLOOKUP(summ[[#This Row],[VisualIDs]],REV_Units!A:A,REV_Units!L:L)</f>
        <v/>
      </c>
      <c r="K8">
        <f>_xlfn.XLOOKUP(summ[[#This Row],[VisualIDs]],REV_Units!A:A,REV_Units!M:M)</f>
        <v>47</v>
      </c>
      <c r="L8" t="str">
        <f>_xlfn.XLOOKUP(summ[[#This Row],[VisualIDs]],REV_Units!A:A,REV_Units!N:N)</f>
        <v/>
      </c>
      <c r="M8" t="str">
        <f>_xlfn.XLOOKUP(summ[[#This Row],[VisualIDs]],REV_Units!A:A,REV_Units!O:O)</f>
        <v>WbMtoE</v>
      </c>
      <c r="N8" t="str">
        <f>_xlfn.XLOOKUP(summ[[#This Row],[VisualIDs]],REV_Units!A:A,REV_Units!P:P)</f>
        <v>PullData</v>
      </c>
      <c r="O8" t="str">
        <f>_xlfn.XLOOKUP(summ[[#This Row],[VisualIDs]],REV_Units!A:A,REV_Units!Q:Q)</f>
        <v>Ismq_Idle</v>
      </c>
      <c r="P8" t="str">
        <f>_xlfn.XLOOKUP(summ[[#This Row],[VisualIDs]],REV_Units!A:A,REV_Units!R:R)</f>
        <v>HOM</v>
      </c>
      <c r="Q8" t="str">
        <f>_xlfn.XLOOKUP(summ[[#This Row],[VisualIDs]],REV_Units!A:A,REV_Units!S:S)</f>
        <v>MEM2</v>
      </c>
      <c r="R8" t="str">
        <f>_xlfn.XLOOKUP(summ[[#This Row],[VisualIDs]],REV_Units!A:A,REV_Units!U:U)</f>
        <v/>
      </c>
      <c r="S8" t="str" cm="1">
        <f t="array" ref="S8">_xlfn.IFNA(_xlfn.IFS(summ[[#This Row],[LLC Hint]]&lt;&gt;"NotFound",summ[[#This Row],[LLC Hint]],summ[[#This Row],[Other]]&lt;&gt;"",summ[[#This Row],[Other]],AND(summ[[#This Row],[Top OrigReq]]="PortIn",summ[[#This Row],[Core Hint]]&lt;&gt;"NotFound"),summ[[#This Row],[Core Hint]],summ[[#This Row],[CHA Hint]]&lt;&gt;"NotFound",summ[[#This Row],[CHA Hint]],summ[[#This Row],[SrcIDs]]&lt;&gt;"NotFound","SrcID: "&amp;summ[[#This Row],[SrcIDs]],summ[[#This Row],[Core Hint]]&lt;&gt;"NotFound",summ[[#This Row],[Core Hint]]),"")</f>
        <v>SrcID: 47</v>
      </c>
      <c r="T8" t="str">
        <f>IF(summ[[#This Row],[Core Hint]]&lt;&gt;"NotFound",_xlfn.TEXTJOIN(" ",,"Disable CORE:",summ[[#This Row],[Core Hint]],"- MCAs:",summ[[#This Row],[Core Mcas]]),"")</f>
        <v/>
      </c>
      <c r="U8" t="str">
        <f>IF(summ[[#This Row],[CHA Hint]]&lt;&gt;"NotFound",_xlfn.TEXTJOIN(" ",,"Disable CHA:",summ[[#This Row],[CHA Hint]],"- Signature:",summ[[#This Row],[Top OrigReq]],"-",summ[[#This Row],[Top ISMQ]],":",summ[[#This Row],[Top SAD LocPort]]),IF(summ[[#This Row],[SrcIDs]]&lt;&gt;"NotFound",_xlfn.TEXTJOIN(" ",,"Disable SrcID: ",summ[[#This Row],[SrcIDs]],"- Signature:",summ[[#This Row],[Top OrigReq]],"-",summ[[#This Row],[Top ISMQ]],":",summ[[#This Row],[Top SAD LocPort]]),""))</f>
        <v>Disable SrcID:  47 - Signature: WbMtoE - Ismq_Idle : MEM2</v>
      </c>
      <c r="V8" t="str">
        <f>IF(summ[[#This Row],[LLC Hint]]&lt;&gt;"NotFound",_xlfn.TEXTJOIN(" ",,"Disable LLC:",summ[[#This Row],[LLC Hint]]),"")</f>
        <v/>
      </c>
      <c r="W8" t="str">
        <f>IF(summ[[#This Row],[Other]]&lt;&gt;"",_xlfn.TEXTJOIN(" ",,"Defeature:",summ[[#This Row],[Other]]," -- Check CORE or CHA MCAs for more data."),"")</f>
        <v/>
      </c>
      <c r="X8" t="str" cm="1">
        <f t="array" ref="X8">_xlfn.IFS(COUNTIF(summ[[#This Row],[Root Cause]],"CORE*")&gt;0,summ[[#This Row],[Core Next Steps]],COUNTIF(summ[[#This Row],[Root Cause]],"LLC*")&gt;0,summ[[#This Row],[LLC Next Steps]],(COUNTIF(summ[[#This Row],[Root Cause]],"CHA*")+COUNTIF(summ[[#This Row],[Root Cause]],"SrcID*"))&gt;0,summ[[#This Row],[CHA Next Steps]],summ[[#This Row],[Root Cause]]&lt;&gt;"",summ[[#This Row],[Other Next Steps]],summ[[#This Row],[Root Cause]]="","")</f>
        <v>Disable SrcID:  47 - Signature: WbMtoE - Ismq_Idle : MEM2</v>
      </c>
      <c r="Y8" t="str">
        <f>_xlfn.TEXTJOIN(" - ",,IF(summ[[#This Row],[Core Fail Area]]&lt;&gt;"","CORE: "&amp;summ[[#This Row],[Core Fail Area]],""),IF(summ[[#This Row],[CHA Fail Area]]&lt;&gt;"","CHA: "&amp;summ[[#This Row],[CHA Fail Area]],""),IF(summ[[#This Row],[LLC Fail Area]]&lt;&gt;"","LLC: "&amp;summ[[#This Row],[LLC Fail Area]],""))</f>
        <v/>
      </c>
    </row>
  </sheetData>
  <conditionalFormatting sqref="A2:A8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5A99-F070-4DCC-AFA3-0934C388CB67}">
  <sheetPr codeName="Sheet5"/>
  <dimension ref="A2:U921"/>
  <sheetViews>
    <sheetView topLeftCell="A73" workbookViewId="0">
      <selection activeCell="A204" sqref="A204:U921"/>
    </sheetView>
  </sheetViews>
  <sheetFormatPr defaultRowHeight="14.4" x14ac:dyDescent="0.3"/>
  <cols>
    <col min="1" max="1" width="14.44140625" bestFit="1" customWidth="1"/>
    <col min="2" max="2" width="6.44140625" customWidth="1"/>
    <col min="3" max="3" width="11.6640625" customWidth="1"/>
    <col min="4" max="4" width="70.6640625" bestFit="1" customWidth="1"/>
    <col min="5" max="5" width="11.109375" customWidth="1"/>
    <col min="6" max="6" width="12.33203125" customWidth="1"/>
    <col min="7" max="7" width="19.5546875" bestFit="1" customWidth="1"/>
    <col min="8" max="8" width="19.5546875" customWidth="1"/>
    <col min="9" max="9" width="13.33203125" bestFit="1" customWidth="1"/>
    <col min="10" max="10" width="20" bestFit="1" customWidth="1"/>
    <col min="11" max="11" width="15" bestFit="1" customWidth="1"/>
    <col min="12" max="12" width="9.6640625" customWidth="1"/>
    <col min="13" max="13" width="12.5546875" customWidth="1"/>
    <col min="14" max="14" width="15.6640625" bestFit="1" customWidth="1"/>
    <col min="15" max="15" width="9.33203125" customWidth="1"/>
    <col min="16" max="16" width="7.6640625" customWidth="1"/>
    <col min="17" max="18" width="15.5546875" bestFit="1" customWidth="1"/>
    <col min="19" max="19" width="8.6640625" customWidth="1"/>
    <col min="20" max="20" width="11.5546875" customWidth="1"/>
  </cols>
  <sheetData>
    <row r="2" spans="1:2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42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1</v>
      </c>
      <c r="S2" t="s">
        <v>24</v>
      </c>
      <c r="T2" t="s">
        <v>25</v>
      </c>
      <c r="U2" t="s">
        <v>26</v>
      </c>
    </row>
    <row r="3" spans="1:21" hidden="1" x14ac:dyDescent="0.3">
      <c r="A3" s="1" t="s">
        <v>709</v>
      </c>
      <c r="B3" t="s">
        <v>710</v>
      </c>
      <c r="C3" t="s">
        <v>711</v>
      </c>
      <c r="D3" t="s">
        <v>712</v>
      </c>
      <c r="E3" t="s">
        <v>569</v>
      </c>
      <c r="F3" t="s">
        <v>713</v>
      </c>
      <c r="G3" t="s">
        <v>714</v>
      </c>
      <c r="H3" t="s">
        <v>715</v>
      </c>
      <c r="I3" t="s">
        <v>716</v>
      </c>
      <c r="J3" t="s">
        <v>717</v>
      </c>
      <c r="K3" t="s">
        <v>718</v>
      </c>
      <c r="L3" t="s">
        <v>719</v>
      </c>
      <c r="M3" t="s">
        <v>720</v>
      </c>
      <c r="N3" t="s">
        <v>721</v>
      </c>
      <c r="O3">
        <v>30</v>
      </c>
      <c r="P3">
        <v>0</v>
      </c>
      <c r="Q3">
        <v>23</v>
      </c>
      <c r="R3" t="s">
        <v>722</v>
      </c>
      <c r="S3" t="s">
        <v>723</v>
      </c>
      <c r="T3" t="s">
        <v>724</v>
      </c>
      <c r="U3" t="s">
        <v>725</v>
      </c>
    </row>
    <row r="4" spans="1:21" hidden="1" x14ac:dyDescent="0.3">
      <c r="A4" s="1" t="s">
        <v>709</v>
      </c>
      <c r="B4" t="s">
        <v>726</v>
      </c>
      <c r="C4" t="s">
        <v>711</v>
      </c>
      <c r="D4" t="s">
        <v>727</v>
      </c>
      <c r="E4" t="s">
        <v>568</v>
      </c>
      <c r="F4" t="s">
        <v>728</v>
      </c>
      <c r="G4" t="s">
        <v>714</v>
      </c>
      <c r="H4" t="s">
        <v>715</v>
      </c>
      <c r="I4" t="s">
        <v>716</v>
      </c>
      <c r="J4" t="s">
        <v>729</v>
      </c>
      <c r="K4" t="s">
        <v>730</v>
      </c>
      <c r="L4" t="s">
        <v>719</v>
      </c>
      <c r="M4" t="s">
        <v>720</v>
      </c>
      <c r="N4" t="s">
        <v>721</v>
      </c>
      <c r="O4">
        <v>30</v>
      </c>
      <c r="P4">
        <v>0</v>
      </c>
      <c r="Q4">
        <v>43</v>
      </c>
      <c r="R4" t="s">
        <v>722</v>
      </c>
      <c r="S4" t="s">
        <v>723</v>
      </c>
      <c r="T4" t="s">
        <v>724</v>
      </c>
      <c r="U4" t="s">
        <v>725</v>
      </c>
    </row>
    <row r="5" spans="1:21" hidden="1" x14ac:dyDescent="0.3">
      <c r="A5" s="1" t="s">
        <v>731</v>
      </c>
      <c r="B5" t="s">
        <v>732</v>
      </c>
      <c r="C5" t="s">
        <v>733</v>
      </c>
      <c r="D5" t="s">
        <v>734</v>
      </c>
      <c r="E5" t="s">
        <v>567</v>
      </c>
      <c r="F5" t="s">
        <v>735</v>
      </c>
      <c r="G5" t="s">
        <v>736</v>
      </c>
      <c r="H5" t="s">
        <v>737</v>
      </c>
      <c r="I5" t="s">
        <v>738</v>
      </c>
      <c r="J5" t="s">
        <v>739</v>
      </c>
      <c r="K5" t="s">
        <v>740</v>
      </c>
      <c r="L5" t="s">
        <v>741</v>
      </c>
      <c r="M5" t="s">
        <v>742</v>
      </c>
      <c r="N5" t="s">
        <v>743</v>
      </c>
      <c r="O5">
        <v>14</v>
      </c>
      <c r="P5">
        <v>2</v>
      </c>
      <c r="Q5">
        <v>10</v>
      </c>
      <c r="R5" t="s">
        <v>744</v>
      </c>
      <c r="S5" t="s">
        <v>745</v>
      </c>
      <c r="T5" t="s">
        <v>746</v>
      </c>
      <c r="U5" t="s">
        <v>747</v>
      </c>
    </row>
    <row r="6" spans="1:21" x14ac:dyDescent="0.3">
      <c r="A6" s="1" t="s">
        <v>748</v>
      </c>
      <c r="B6" t="s">
        <v>749</v>
      </c>
      <c r="C6" t="s">
        <v>750</v>
      </c>
      <c r="D6" t="s">
        <v>751</v>
      </c>
      <c r="E6" t="s">
        <v>569</v>
      </c>
      <c r="F6" t="s">
        <v>752</v>
      </c>
      <c r="G6" t="s">
        <v>753</v>
      </c>
      <c r="H6" t="s">
        <v>715</v>
      </c>
      <c r="I6" t="s">
        <v>754</v>
      </c>
      <c r="J6" t="s">
        <v>755</v>
      </c>
      <c r="K6" t="s">
        <v>756</v>
      </c>
      <c r="L6" t="s">
        <v>757</v>
      </c>
      <c r="M6" t="s">
        <v>720</v>
      </c>
      <c r="N6" t="s">
        <v>721</v>
      </c>
      <c r="O6">
        <v>11</v>
      </c>
      <c r="P6">
        <v>7</v>
      </c>
      <c r="Q6">
        <v>104</v>
      </c>
      <c r="R6" t="s">
        <v>758</v>
      </c>
      <c r="S6" t="s">
        <v>745</v>
      </c>
      <c r="T6" t="s">
        <v>746</v>
      </c>
      <c r="U6" t="s">
        <v>759</v>
      </c>
    </row>
    <row r="7" spans="1:21" x14ac:dyDescent="0.3">
      <c r="A7" s="1" t="s">
        <v>748</v>
      </c>
      <c r="B7" t="s">
        <v>749</v>
      </c>
      <c r="C7" t="s">
        <v>750</v>
      </c>
      <c r="D7" t="s">
        <v>760</v>
      </c>
      <c r="E7" t="s">
        <v>569</v>
      </c>
      <c r="F7" t="s">
        <v>761</v>
      </c>
      <c r="G7" t="s">
        <v>753</v>
      </c>
      <c r="H7" t="s">
        <v>715</v>
      </c>
      <c r="I7" t="s">
        <v>762</v>
      </c>
      <c r="J7" t="s">
        <v>763</v>
      </c>
      <c r="K7" t="s">
        <v>764</v>
      </c>
      <c r="L7" t="s">
        <v>765</v>
      </c>
      <c r="M7" t="s">
        <v>720</v>
      </c>
      <c r="N7" t="s">
        <v>721</v>
      </c>
      <c r="O7">
        <v>4</v>
      </c>
      <c r="P7">
        <v>15</v>
      </c>
      <c r="Q7">
        <v>13</v>
      </c>
      <c r="R7" t="s">
        <v>758</v>
      </c>
      <c r="S7" t="s">
        <v>745</v>
      </c>
      <c r="T7" t="s">
        <v>746</v>
      </c>
      <c r="U7" t="s">
        <v>759</v>
      </c>
    </row>
    <row r="8" spans="1:21" x14ac:dyDescent="0.3">
      <c r="A8" s="1" t="s">
        <v>748</v>
      </c>
      <c r="B8" t="s">
        <v>749</v>
      </c>
      <c r="C8" t="s">
        <v>750</v>
      </c>
      <c r="D8" t="s">
        <v>766</v>
      </c>
      <c r="E8" t="s">
        <v>569</v>
      </c>
      <c r="F8" t="s">
        <v>767</v>
      </c>
      <c r="G8" t="s">
        <v>753</v>
      </c>
      <c r="H8" t="s">
        <v>715</v>
      </c>
      <c r="I8" t="s">
        <v>768</v>
      </c>
      <c r="J8" t="s">
        <v>769</v>
      </c>
      <c r="K8" t="s">
        <v>770</v>
      </c>
      <c r="L8" t="s">
        <v>757</v>
      </c>
      <c r="M8" t="s">
        <v>720</v>
      </c>
      <c r="N8" t="s">
        <v>721</v>
      </c>
      <c r="O8">
        <v>6</v>
      </c>
      <c r="P8">
        <v>7</v>
      </c>
      <c r="Q8">
        <v>66</v>
      </c>
      <c r="R8" t="s">
        <v>758</v>
      </c>
      <c r="S8" t="s">
        <v>745</v>
      </c>
      <c r="T8" t="s">
        <v>746</v>
      </c>
      <c r="U8" t="s">
        <v>771</v>
      </c>
    </row>
    <row r="9" spans="1:21" x14ac:dyDescent="0.3">
      <c r="A9" s="1" t="s">
        <v>748</v>
      </c>
      <c r="B9" t="s">
        <v>749</v>
      </c>
      <c r="C9" t="s">
        <v>750</v>
      </c>
      <c r="D9" t="s">
        <v>772</v>
      </c>
      <c r="E9" t="s">
        <v>569</v>
      </c>
      <c r="F9" t="s">
        <v>773</v>
      </c>
      <c r="G9" t="s">
        <v>753</v>
      </c>
      <c r="H9" t="s">
        <v>715</v>
      </c>
      <c r="I9" t="s">
        <v>774</v>
      </c>
      <c r="J9" t="s">
        <v>775</v>
      </c>
      <c r="K9" t="s">
        <v>776</v>
      </c>
      <c r="L9" t="s">
        <v>765</v>
      </c>
      <c r="M9" t="s">
        <v>720</v>
      </c>
      <c r="N9" t="s">
        <v>721</v>
      </c>
      <c r="O9">
        <v>30</v>
      </c>
      <c r="P9">
        <v>15</v>
      </c>
      <c r="Q9">
        <v>98</v>
      </c>
      <c r="R9" t="s">
        <v>758</v>
      </c>
      <c r="S9" t="s">
        <v>745</v>
      </c>
      <c r="T9" t="s">
        <v>746</v>
      </c>
      <c r="U9" t="s">
        <v>759</v>
      </c>
    </row>
    <row r="10" spans="1:21" x14ac:dyDescent="0.3">
      <c r="A10" s="1" t="s">
        <v>748</v>
      </c>
      <c r="B10" t="s">
        <v>749</v>
      </c>
      <c r="C10" t="s">
        <v>750</v>
      </c>
      <c r="D10" t="s">
        <v>777</v>
      </c>
      <c r="E10" t="s">
        <v>569</v>
      </c>
      <c r="F10" t="s">
        <v>778</v>
      </c>
      <c r="G10" t="s">
        <v>753</v>
      </c>
      <c r="H10" t="s">
        <v>715</v>
      </c>
      <c r="I10" t="s">
        <v>779</v>
      </c>
      <c r="J10" t="s">
        <v>780</v>
      </c>
      <c r="K10" t="s">
        <v>781</v>
      </c>
      <c r="L10" t="s">
        <v>765</v>
      </c>
      <c r="M10" t="s">
        <v>720</v>
      </c>
      <c r="N10" t="s">
        <v>721</v>
      </c>
      <c r="O10">
        <v>1</v>
      </c>
      <c r="P10">
        <v>15</v>
      </c>
      <c r="Q10">
        <v>33</v>
      </c>
      <c r="R10" t="s">
        <v>758</v>
      </c>
      <c r="S10" t="s">
        <v>745</v>
      </c>
      <c r="T10" t="s">
        <v>746</v>
      </c>
      <c r="U10" t="s">
        <v>759</v>
      </c>
    </row>
    <row r="11" spans="1:21" x14ac:dyDescent="0.3">
      <c r="A11" s="1" t="s">
        <v>748</v>
      </c>
      <c r="B11" t="s">
        <v>749</v>
      </c>
      <c r="C11" t="s">
        <v>750</v>
      </c>
      <c r="D11" t="s">
        <v>782</v>
      </c>
      <c r="E11" t="s">
        <v>569</v>
      </c>
      <c r="F11" t="s">
        <v>783</v>
      </c>
      <c r="G11" t="s">
        <v>753</v>
      </c>
      <c r="H11" t="s">
        <v>715</v>
      </c>
      <c r="I11" t="s">
        <v>784</v>
      </c>
      <c r="J11" t="s">
        <v>785</v>
      </c>
      <c r="K11" t="s">
        <v>786</v>
      </c>
      <c r="L11" t="s">
        <v>765</v>
      </c>
      <c r="M11" t="s">
        <v>720</v>
      </c>
      <c r="N11" t="s">
        <v>721</v>
      </c>
      <c r="O11">
        <v>5</v>
      </c>
      <c r="P11">
        <v>15</v>
      </c>
      <c r="Q11">
        <v>58</v>
      </c>
      <c r="R11" t="s">
        <v>758</v>
      </c>
      <c r="S11" t="s">
        <v>745</v>
      </c>
      <c r="T11" t="s">
        <v>746</v>
      </c>
      <c r="U11" t="s">
        <v>759</v>
      </c>
    </row>
    <row r="12" spans="1:21" x14ac:dyDescent="0.3">
      <c r="A12" s="1" t="s">
        <v>748</v>
      </c>
      <c r="B12" t="s">
        <v>749</v>
      </c>
      <c r="C12" t="s">
        <v>750</v>
      </c>
      <c r="D12" t="s">
        <v>787</v>
      </c>
      <c r="E12" t="s">
        <v>569</v>
      </c>
      <c r="F12" t="s">
        <v>788</v>
      </c>
      <c r="G12" t="s">
        <v>753</v>
      </c>
      <c r="H12" t="s">
        <v>715</v>
      </c>
      <c r="I12" t="s">
        <v>789</v>
      </c>
      <c r="J12" t="s">
        <v>790</v>
      </c>
      <c r="K12" t="s">
        <v>791</v>
      </c>
      <c r="L12" t="s">
        <v>765</v>
      </c>
      <c r="M12" t="s">
        <v>720</v>
      </c>
      <c r="N12" t="s">
        <v>721</v>
      </c>
      <c r="O12">
        <v>6</v>
      </c>
      <c r="P12">
        <v>15</v>
      </c>
      <c r="Q12">
        <v>72</v>
      </c>
      <c r="R12" t="s">
        <v>758</v>
      </c>
      <c r="S12" t="s">
        <v>745</v>
      </c>
      <c r="T12" t="s">
        <v>746</v>
      </c>
      <c r="U12" t="s">
        <v>759</v>
      </c>
    </row>
    <row r="13" spans="1:21" x14ac:dyDescent="0.3">
      <c r="A13" s="1" t="s">
        <v>748</v>
      </c>
      <c r="B13" t="s">
        <v>749</v>
      </c>
      <c r="C13" t="s">
        <v>750</v>
      </c>
      <c r="D13" t="s">
        <v>792</v>
      </c>
      <c r="E13" t="s">
        <v>569</v>
      </c>
      <c r="F13" t="s">
        <v>793</v>
      </c>
      <c r="G13" t="s">
        <v>794</v>
      </c>
      <c r="H13" t="s">
        <v>715</v>
      </c>
      <c r="I13" t="s">
        <v>795</v>
      </c>
      <c r="J13" t="s">
        <v>796</v>
      </c>
      <c r="K13" t="s">
        <v>797</v>
      </c>
      <c r="L13" t="s">
        <v>741</v>
      </c>
      <c r="M13" t="s">
        <v>720</v>
      </c>
      <c r="N13" t="s">
        <v>743</v>
      </c>
      <c r="O13">
        <v>2</v>
      </c>
      <c r="P13">
        <v>0</v>
      </c>
      <c r="Q13">
        <v>93</v>
      </c>
      <c r="R13" t="s">
        <v>798</v>
      </c>
      <c r="S13" t="s">
        <v>745</v>
      </c>
      <c r="T13" t="s">
        <v>746</v>
      </c>
      <c r="U13" t="s">
        <v>759</v>
      </c>
    </row>
    <row r="14" spans="1:21" x14ac:dyDescent="0.3">
      <c r="A14" s="1" t="s">
        <v>748</v>
      </c>
      <c r="B14" t="s">
        <v>749</v>
      </c>
      <c r="C14" t="s">
        <v>750</v>
      </c>
      <c r="D14" t="s">
        <v>799</v>
      </c>
      <c r="E14" t="s">
        <v>569</v>
      </c>
      <c r="F14" t="s">
        <v>800</v>
      </c>
      <c r="G14" t="s">
        <v>753</v>
      </c>
      <c r="H14" t="s">
        <v>715</v>
      </c>
      <c r="I14" t="s">
        <v>801</v>
      </c>
      <c r="J14" t="s">
        <v>802</v>
      </c>
      <c r="K14" t="s">
        <v>803</v>
      </c>
      <c r="L14" t="s">
        <v>765</v>
      </c>
      <c r="M14" t="s">
        <v>720</v>
      </c>
      <c r="N14" t="s">
        <v>721</v>
      </c>
      <c r="O14">
        <v>4</v>
      </c>
      <c r="P14">
        <v>15</v>
      </c>
      <c r="Q14">
        <v>12</v>
      </c>
      <c r="R14" t="s">
        <v>758</v>
      </c>
      <c r="S14" t="s">
        <v>745</v>
      </c>
      <c r="T14" t="s">
        <v>746</v>
      </c>
      <c r="U14" t="s">
        <v>759</v>
      </c>
    </row>
    <row r="15" spans="1:21" x14ac:dyDescent="0.3">
      <c r="A15" s="1" t="s">
        <v>748</v>
      </c>
      <c r="B15" t="s">
        <v>749</v>
      </c>
      <c r="C15" t="s">
        <v>750</v>
      </c>
      <c r="D15" t="s">
        <v>804</v>
      </c>
      <c r="E15" t="s">
        <v>569</v>
      </c>
      <c r="F15" t="s">
        <v>805</v>
      </c>
      <c r="G15" t="s">
        <v>806</v>
      </c>
      <c r="H15" t="s">
        <v>715</v>
      </c>
      <c r="I15" t="s">
        <v>807</v>
      </c>
      <c r="J15" t="s">
        <v>808</v>
      </c>
      <c r="K15" t="s">
        <v>809</v>
      </c>
      <c r="L15" t="s">
        <v>810</v>
      </c>
      <c r="M15" t="s">
        <v>720</v>
      </c>
      <c r="N15" t="s">
        <v>721</v>
      </c>
      <c r="O15">
        <v>6</v>
      </c>
      <c r="P15">
        <v>3</v>
      </c>
      <c r="Q15">
        <v>90</v>
      </c>
      <c r="R15" t="s">
        <v>798</v>
      </c>
      <c r="S15" t="s">
        <v>745</v>
      </c>
      <c r="T15" t="s">
        <v>746</v>
      </c>
      <c r="U15" t="s">
        <v>759</v>
      </c>
    </row>
    <row r="16" spans="1:21" x14ac:dyDescent="0.3">
      <c r="A16" s="1" t="s">
        <v>748</v>
      </c>
      <c r="B16" t="s">
        <v>749</v>
      </c>
      <c r="C16" t="s">
        <v>750</v>
      </c>
      <c r="D16" t="s">
        <v>811</v>
      </c>
      <c r="E16" t="s">
        <v>569</v>
      </c>
      <c r="F16" t="s">
        <v>812</v>
      </c>
      <c r="G16" t="s">
        <v>753</v>
      </c>
      <c r="H16" t="s">
        <v>715</v>
      </c>
      <c r="I16" t="s">
        <v>813</v>
      </c>
      <c r="J16" t="s">
        <v>814</v>
      </c>
      <c r="K16" t="s">
        <v>815</v>
      </c>
      <c r="L16" t="s">
        <v>765</v>
      </c>
      <c r="M16" t="s">
        <v>720</v>
      </c>
      <c r="N16" t="s">
        <v>721</v>
      </c>
      <c r="O16">
        <v>3</v>
      </c>
      <c r="P16">
        <v>15</v>
      </c>
      <c r="Q16">
        <v>1</v>
      </c>
      <c r="R16" t="s">
        <v>758</v>
      </c>
      <c r="S16" t="s">
        <v>745</v>
      </c>
      <c r="T16" t="s">
        <v>746</v>
      </c>
      <c r="U16" t="s">
        <v>759</v>
      </c>
    </row>
    <row r="17" spans="1:21" x14ac:dyDescent="0.3">
      <c r="A17" s="1" t="s">
        <v>748</v>
      </c>
      <c r="B17" t="s">
        <v>749</v>
      </c>
      <c r="C17" t="s">
        <v>750</v>
      </c>
      <c r="D17" t="s">
        <v>816</v>
      </c>
      <c r="E17" t="s">
        <v>569</v>
      </c>
      <c r="F17" t="s">
        <v>817</v>
      </c>
      <c r="G17" t="s">
        <v>794</v>
      </c>
      <c r="H17" t="s">
        <v>715</v>
      </c>
      <c r="I17" t="s">
        <v>818</v>
      </c>
      <c r="J17" t="s">
        <v>819</v>
      </c>
      <c r="K17" t="s">
        <v>820</v>
      </c>
      <c r="L17" t="s">
        <v>741</v>
      </c>
      <c r="M17" t="s">
        <v>720</v>
      </c>
      <c r="N17" t="s">
        <v>743</v>
      </c>
      <c r="O17">
        <v>7</v>
      </c>
      <c r="P17">
        <v>0</v>
      </c>
      <c r="Q17">
        <v>40</v>
      </c>
      <c r="R17" t="s">
        <v>798</v>
      </c>
      <c r="S17" t="s">
        <v>745</v>
      </c>
      <c r="T17" t="s">
        <v>746</v>
      </c>
      <c r="U17" t="s">
        <v>759</v>
      </c>
    </row>
    <row r="18" spans="1:21" x14ac:dyDescent="0.3">
      <c r="A18" s="1" t="s">
        <v>748</v>
      </c>
      <c r="B18" t="s">
        <v>749</v>
      </c>
      <c r="C18" t="s">
        <v>750</v>
      </c>
      <c r="D18" t="s">
        <v>821</v>
      </c>
      <c r="E18" t="s">
        <v>569</v>
      </c>
      <c r="F18" t="s">
        <v>822</v>
      </c>
      <c r="G18" t="s">
        <v>794</v>
      </c>
      <c r="H18" t="s">
        <v>715</v>
      </c>
      <c r="I18" t="s">
        <v>823</v>
      </c>
      <c r="J18" t="s">
        <v>824</v>
      </c>
      <c r="K18" t="s">
        <v>825</v>
      </c>
      <c r="L18" t="s">
        <v>826</v>
      </c>
      <c r="M18" t="s">
        <v>720</v>
      </c>
      <c r="N18" t="s">
        <v>721</v>
      </c>
      <c r="O18">
        <v>0</v>
      </c>
      <c r="P18">
        <v>2</v>
      </c>
      <c r="Q18">
        <v>30</v>
      </c>
      <c r="R18" t="s">
        <v>798</v>
      </c>
      <c r="S18" t="s">
        <v>745</v>
      </c>
      <c r="T18" t="s">
        <v>746</v>
      </c>
      <c r="U18" t="s">
        <v>759</v>
      </c>
    </row>
    <row r="19" spans="1:21" x14ac:dyDescent="0.3">
      <c r="A19" s="1" t="s">
        <v>748</v>
      </c>
      <c r="B19" t="s">
        <v>749</v>
      </c>
      <c r="C19" t="s">
        <v>750</v>
      </c>
      <c r="D19" t="s">
        <v>827</v>
      </c>
      <c r="E19" t="s">
        <v>569</v>
      </c>
      <c r="F19" t="s">
        <v>828</v>
      </c>
      <c r="G19" t="s">
        <v>753</v>
      </c>
      <c r="H19" t="s">
        <v>715</v>
      </c>
      <c r="I19" t="s">
        <v>829</v>
      </c>
      <c r="J19" t="s">
        <v>830</v>
      </c>
      <c r="K19" t="s">
        <v>831</v>
      </c>
      <c r="L19" t="s">
        <v>765</v>
      </c>
      <c r="M19" t="s">
        <v>720</v>
      </c>
      <c r="N19" t="s">
        <v>721</v>
      </c>
      <c r="O19">
        <v>3</v>
      </c>
      <c r="P19">
        <v>15</v>
      </c>
      <c r="Q19">
        <v>21</v>
      </c>
      <c r="R19" t="s">
        <v>758</v>
      </c>
      <c r="S19" t="s">
        <v>745</v>
      </c>
      <c r="T19" t="s">
        <v>746</v>
      </c>
      <c r="U19" t="s">
        <v>832</v>
      </c>
    </row>
    <row r="20" spans="1:21" x14ac:dyDescent="0.3">
      <c r="A20" s="1" t="s">
        <v>748</v>
      </c>
      <c r="B20" t="s">
        <v>749</v>
      </c>
      <c r="C20" t="s">
        <v>750</v>
      </c>
      <c r="D20" t="s">
        <v>833</v>
      </c>
      <c r="E20" t="s">
        <v>569</v>
      </c>
      <c r="F20" t="s">
        <v>834</v>
      </c>
      <c r="G20" t="s">
        <v>794</v>
      </c>
      <c r="H20" t="s">
        <v>715</v>
      </c>
      <c r="I20" t="s">
        <v>835</v>
      </c>
      <c r="J20" t="s">
        <v>836</v>
      </c>
      <c r="K20" t="s">
        <v>837</v>
      </c>
      <c r="L20" t="s">
        <v>741</v>
      </c>
      <c r="M20" t="s">
        <v>720</v>
      </c>
      <c r="N20" t="s">
        <v>743</v>
      </c>
      <c r="O20">
        <v>1</v>
      </c>
      <c r="P20">
        <v>0</v>
      </c>
      <c r="Q20">
        <v>72</v>
      </c>
      <c r="R20" t="s">
        <v>798</v>
      </c>
      <c r="S20" t="s">
        <v>745</v>
      </c>
      <c r="T20" t="s">
        <v>746</v>
      </c>
      <c r="U20" t="s">
        <v>759</v>
      </c>
    </row>
    <row r="21" spans="1:21" x14ac:dyDescent="0.3">
      <c r="A21" s="1" t="s">
        <v>748</v>
      </c>
      <c r="B21" t="s">
        <v>749</v>
      </c>
      <c r="C21" t="s">
        <v>750</v>
      </c>
      <c r="D21" t="s">
        <v>838</v>
      </c>
      <c r="E21" t="s">
        <v>569</v>
      </c>
      <c r="F21" t="s">
        <v>839</v>
      </c>
      <c r="G21" t="s">
        <v>753</v>
      </c>
      <c r="H21" t="s">
        <v>715</v>
      </c>
      <c r="I21" t="s">
        <v>840</v>
      </c>
      <c r="J21" t="s">
        <v>841</v>
      </c>
      <c r="K21" t="s">
        <v>842</v>
      </c>
      <c r="L21" t="s">
        <v>765</v>
      </c>
      <c r="M21" t="s">
        <v>720</v>
      </c>
      <c r="N21" t="s">
        <v>721</v>
      </c>
      <c r="O21">
        <v>1</v>
      </c>
      <c r="P21">
        <v>15</v>
      </c>
      <c r="Q21">
        <v>72</v>
      </c>
      <c r="R21" t="s">
        <v>758</v>
      </c>
      <c r="S21" t="s">
        <v>745</v>
      </c>
      <c r="T21" t="s">
        <v>746</v>
      </c>
      <c r="U21" t="s">
        <v>759</v>
      </c>
    </row>
    <row r="22" spans="1:21" x14ac:dyDescent="0.3">
      <c r="A22" s="1" t="s">
        <v>748</v>
      </c>
      <c r="B22" t="s">
        <v>749</v>
      </c>
      <c r="C22" t="s">
        <v>750</v>
      </c>
      <c r="D22" t="s">
        <v>843</v>
      </c>
      <c r="E22" t="s">
        <v>569</v>
      </c>
      <c r="F22" t="s">
        <v>844</v>
      </c>
      <c r="G22" t="s">
        <v>753</v>
      </c>
      <c r="H22" t="s">
        <v>715</v>
      </c>
      <c r="I22" t="s">
        <v>845</v>
      </c>
      <c r="J22" t="s">
        <v>846</v>
      </c>
      <c r="K22" t="s">
        <v>847</v>
      </c>
      <c r="L22" t="s">
        <v>765</v>
      </c>
      <c r="M22" t="s">
        <v>720</v>
      </c>
      <c r="N22" t="s">
        <v>721</v>
      </c>
      <c r="O22">
        <v>3</v>
      </c>
      <c r="P22">
        <v>15</v>
      </c>
      <c r="Q22">
        <v>73</v>
      </c>
      <c r="R22" t="s">
        <v>758</v>
      </c>
      <c r="S22" t="s">
        <v>745</v>
      </c>
      <c r="T22" t="s">
        <v>746</v>
      </c>
      <c r="U22" t="s">
        <v>759</v>
      </c>
    </row>
    <row r="23" spans="1:21" x14ac:dyDescent="0.3">
      <c r="A23" s="1" t="s">
        <v>748</v>
      </c>
      <c r="B23" t="s">
        <v>749</v>
      </c>
      <c r="C23" t="s">
        <v>750</v>
      </c>
      <c r="D23" t="s">
        <v>848</v>
      </c>
      <c r="E23" t="s">
        <v>569</v>
      </c>
      <c r="F23" t="s">
        <v>849</v>
      </c>
      <c r="G23" t="s">
        <v>753</v>
      </c>
      <c r="H23" t="s">
        <v>715</v>
      </c>
      <c r="I23" t="s">
        <v>850</v>
      </c>
      <c r="J23" t="s">
        <v>851</v>
      </c>
      <c r="K23" t="s">
        <v>852</v>
      </c>
      <c r="L23" t="s">
        <v>757</v>
      </c>
      <c r="M23" t="s">
        <v>720</v>
      </c>
      <c r="N23" t="s">
        <v>721</v>
      </c>
      <c r="O23">
        <v>1</v>
      </c>
      <c r="P23">
        <v>7</v>
      </c>
      <c r="Q23">
        <v>71</v>
      </c>
      <c r="R23" t="s">
        <v>758</v>
      </c>
      <c r="S23" t="s">
        <v>745</v>
      </c>
      <c r="T23" t="s">
        <v>746</v>
      </c>
      <c r="U23" t="s">
        <v>853</v>
      </c>
    </row>
    <row r="24" spans="1:21" x14ac:dyDescent="0.3">
      <c r="A24" s="1" t="s">
        <v>748</v>
      </c>
      <c r="B24" t="s">
        <v>749</v>
      </c>
      <c r="C24" t="s">
        <v>750</v>
      </c>
      <c r="D24" t="s">
        <v>854</v>
      </c>
      <c r="E24" t="s">
        <v>569</v>
      </c>
      <c r="F24" t="s">
        <v>855</v>
      </c>
      <c r="G24" t="s">
        <v>753</v>
      </c>
      <c r="H24" t="s">
        <v>715</v>
      </c>
      <c r="I24" t="s">
        <v>856</v>
      </c>
      <c r="J24" t="s">
        <v>857</v>
      </c>
      <c r="K24" t="s">
        <v>858</v>
      </c>
      <c r="L24" t="s">
        <v>765</v>
      </c>
      <c r="M24" t="s">
        <v>720</v>
      </c>
      <c r="N24" t="s">
        <v>721</v>
      </c>
      <c r="O24">
        <v>11</v>
      </c>
      <c r="P24">
        <v>15</v>
      </c>
      <c r="Q24">
        <v>33</v>
      </c>
      <c r="R24" t="s">
        <v>758</v>
      </c>
      <c r="S24" t="s">
        <v>745</v>
      </c>
      <c r="T24" t="s">
        <v>746</v>
      </c>
      <c r="U24" t="s">
        <v>759</v>
      </c>
    </row>
    <row r="25" spans="1:21" x14ac:dyDescent="0.3">
      <c r="A25" s="1" t="s">
        <v>748</v>
      </c>
      <c r="B25" t="s">
        <v>749</v>
      </c>
      <c r="C25" t="s">
        <v>750</v>
      </c>
      <c r="D25" t="s">
        <v>859</v>
      </c>
      <c r="E25" t="s">
        <v>569</v>
      </c>
      <c r="F25" t="s">
        <v>860</v>
      </c>
      <c r="G25" t="s">
        <v>753</v>
      </c>
      <c r="H25" t="s">
        <v>715</v>
      </c>
      <c r="I25" t="s">
        <v>861</v>
      </c>
      <c r="J25" t="s">
        <v>862</v>
      </c>
      <c r="K25" t="s">
        <v>863</v>
      </c>
      <c r="L25" t="s">
        <v>757</v>
      </c>
      <c r="M25" t="s">
        <v>720</v>
      </c>
      <c r="N25" t="s">
        <v>721</v>
      </c>
      <c r="O25">
        <v>6</v>
      </c>
      <c r="P25">
        <v>7</v>
      </c>
      <c r="Q25">
        <v>4</v>
      </c>
      <c r="R25" t="s">
        <v>758</v>
      </c>
      <c r="S25" t="s">
        <v>745</v>
      </c>
      <c r="T25" t="s">
        <v>746</v>
      </c>
      <c r="U25" t="s">
        <v>853</v>
      </c>
    </row>
    <row r="26" spans="1:21" x14ac:dyDescent="0.3">
      <c r="A26" s="1" t="s">
        <v>748</v>
      </c>
      <c r="B26" t="s">
        <v>749</v>
      </c>
      <c r="C26" t="s">
        <v>750</v>
      </c>
      <c r="D26" t="s">
        <v>864</v>
      </c>
      <c r="E26" t="s">
        <v>569</v>
      </c>
      <c r="F26" t="s">
        <v>865</v>
      </c>
      <c r="G26" t="s">
        <v>753</v>
      </c>
      <c r="H26" t="s">
        <v>715</v>
      </c>
      <c r="I26" t="s">
        <v>866</v>
      </c>
      <c r="J26" t="s">
        <v>867</v>
      </c>
      <c r="K26" t="s">
        <v>868</v>
      </c>
      <c r="L26" t="s">
        <v>765</v>
      </c>
      <c r="M26" t="s">
        <v>720</v>
      </c>
      <c r="N26" t="s">
        <v>721</v>
      </c>
      <c r="O26">
        <v>0</v>
      </c>
      <c r="P26">
        <v>15</v>
      </c>
      <c r="Q26">
        <v>22</v>
      </c>
      <c r="R26" t="s">
        <v>758</v>
      </c>
      <c r="S26" t="s">
        <v>745</v>
      </c>
      <c r="T26" t="s">
        <v>746</v>
      </c>
      <c r="U26" t="s">
        <v>759</v>
      </c>
    </row>
    <row r="27" spans="1:21" x14ac:dyDescent="0.3">
      <c r="A27" s="1" t="s">
        <v>748</v>
      </c>
      <c r="B27" t="s">
        <v>749</v>
      </c>
      <c r="C27" t="s">
        <v>750</v>
      </c>
      <c r="D27" t="s">
        <v>869</v>
      </c>
      <c r="E27" t="s">
        <v>569</v>
      </c>
      <c r="F27" t="s">
        <v>870</v>
      </c>
      <c r="G27" t="s">
        <v>753</v>
      </c>
      <c r="H27" t="s">
        <v>715</v>
      </c>
      <c r="I27" t="s">
        <v>871</v>
      </c>
      <c r="J27" t="s">
        <v>872</v>
      </c>
      <c r="K27" t="s">
        <v>873</v>
      </c>
      <c r="L27" t="s">
        <v>765</v>
      </c>
      <c r="M27" t="s">
        <v>720</v>
      </c>
      <c r="N27" t="s">
        <v>721</v>
      </c>
      <c r="O27">
        <v>2</v>
      </c>
      <c r="P27">
        <v>15</v>
      </c>
      <c r="Q27">
        <v>68</v>
      </c>
      <c r="R27" t="s">
        <v>758</v>
      </c>
      <c r="S27" t="s">
        <v>745</v>
      </c>
      <c r="T27" t="s">
        <v>746</v>
      </c>
      <c r="U27" t="s">
        <v>759</v>
      </c>
    </row>
    <row r="28" spans="1:21" x14ac:dyDescent="0.3">
      <c r="A28" s="1" t="s">
        <v>748</v>
      </c>
      <c r="B28" t="s">
        <v>749</v>
      </c>
      <c r="C28" t="s">
        <v>750</v>
      </c>
      <c r="D28" t="s">
        <v>874</v>
      </c>
      <c r="E28" t="s">
        <v>569</v>
      </c>
      <c r="F28" t="s">
        <v>875</v>
      </c>
      <c r="G28" t="s">
        <v>753</v>
      </c>
      <c r="H28" t="s">
        <v>715</v>
      </c>
      <c r="I28" t="s">
        <v>876</v>
      </c>
      <c r="J28" t="s">
        <v>877</v>
      </c>
      <c r="K28" t="s">
        <v>878</v>
      </c>
      <c r="L28" t="s">
        <v>765</v>
      </c>
      <c r="M28" t="s">
        <v>720</v>
      </c>
      <c r="N28" t="s">
        <v>721</v>
      </c>
      <c r="O28">
        <v>2</v>
      </c>
      <c r="P28">
        <v>15</v>
      </c>
      <c r="Q28">
        <v>5</v>
      </c>
      <c r="R28" t="s">
        <v>758</v>
      </c>
      <c r="S28" t="s">
        <v>745</v>
      </c>
      <c r="T28" t="s">
        <v>746</v>
      </c>
      <c r="U28" t="s">
        <v>759</v>
      </c>
    </row>
    <row r="29" spans="1:21" x14ac:dyDescent="0.3">
      <c r="A29" s="1" t="s">
        <v>748</v>
      </c>
      <c r="B29" t="s">
        <v>749</v>
      </c>
      <c r="C29" t="s">
        <v>750</v>
      </c>
      <c r="D29" t="s">
        <v>879</v>
      </c>
      <c r="E29" t="s">
        <v>569</v>
      </c>
      <c r="F29" t="s">
        <v>880</v>
      </c>
      <c r="G29" t="s">
        <v>794</v>
      </c>
      <c r="H29" t="s">
        <v>715</v>
      </c>
      <c r="I29" t="s">
        <v>881</v>
      </c>
      <c r="J29" t="s">
        <v>882</v>
      </c>
      <c r="K29" t="s">
        <v>883</v>
      </c>
      <c r="L29" t="s">
        <v>826</v>
      </c>
      <c r="M29" t="s">
        <v>720</v>
      </c>
      <c r="N29" t="s">
        <v>721</v>
      </c>
      <c r="O29">
        <v>1</v>
      </c>
      <c r="P29">
        <v>2</v>
      </c>
      <c r="Q29">
        <v>62</v>
      </c>
      <c r="R29" t="s">
        <v>798</v>
      </c>
      <c r="S29" t="s">
        <v>745</v>
      </c>
      <c r="T29" t="s">
        <v>746</v>
      </c>
      <c r="U29" t="s">
        <v>759</v>
      </c>
    </row>
    <row r="30" spans="1:21" x14ac:dyDescent="0.3">
      <c r="A30" s="1" t="s">
        <v>748</v>
      </c>
      <c r="B30" t="s">
        <v>749</v>
      </c>
      <c r="C30" t="s">
        <v>750</v>
      </c>
      <c r="D30" t="s">
        <v>884</v>
      </c>
      <c r="E30" t="s">
        <v>569</v>
      </c>
      <c r="F30" t="s">
        <v>885</v>
      </c>
      <c r="G30" t="s">
        <v>753</v>
      </c>
      <c r="H30" t="s">
        <v>715</v>
      </c>
      <c r="I30" t="s">
        <v>886</v>
      </c>
      <c r="J30" t="s">
        <v>887</v>
      </c>
      <c r="K30" t="s">
        <v>888</v>
      </c>
      <c r="L30" t="s">
        <v>765</v>
      </c>
      <c r="M30" t="s">
        <v>720</v>
      </c>
      <c r="N30" t="s">
        <v>721</v>
      </c>
      <c r="O30">
        <v>1</v>
      </c>
      <c r="P30">
        <v>15</v>
      </c>
      <c r="Q30">
        <v>102</v>
      </c>
      <c r="R30" t="s">
        <v>758</v>
      </c>
      <c r="S30" t="s">
        <v>745</v>
      </c>
      <c r="T30" t="s">
        <v>746</v>
      </c>
      <c r="U30" t="s">
        <v>853</v>
      </c>
    </row>
    <row r="31" spans="1:21" x14ac:dyDescent="0.3">
      <c r="A31" s="1" t="s">
        <v>748</v>
      </c>
      <c r="B31" t="s">
        <v>749</v>
      </c>
      <c r="C31" t="s">
        <v>750</v>
      </c>
      <c r="D31" t="s">
        <v>889</v>
      </c>
      <c r="E31" t="s">
        <v>569</v>
      </c>
      <c r="F31" t="s">
        <v>890</v>
      </c>
      <c r="G31" t="s">
        <v>753</v>
      </c>
      <c r="H31" t="s">
        <v>715</v>
      </c>
      <c r="I31" t="s">
        <v>891</v>
      </c>
      <c r="J31" t="s">
        <v>892</v>
      </c>
      <c r="K31" t="s">
        <v>893</v>
      </c>
      <c r="L31" t="s">
        <v>765</v>
      </c>
      <c r="M31" t="s">
        <v>720</v>
      </c>
      <c r="N31" t="s">
        <v>721</v>
      </c>
      <c r="O31">
        <v>1</v>
      </c>
      <c r="P31">
        <v>15</v>
      </c>
      <c r="Q31">
        <v>14</v>
      </c>
      <c r="R31" t="s">
        <v>758</v>
      </c>
      <c r="S31" t="s">
        <v>745</v>
      </c>
      <c r="T31" t="s">
        <v>746</v>
      </c>
      <c r="U31" t="s">
        <v>759</v>
      </c>
    </row>
    <row r="32" spans="1:21" x14ac:dyDescent="0.3">
      <c r="A32" s="1" t="s">
        <v>748</v>
      </c>
      <c r="B32" t="s">
        <v>749</v>
      </c>
      <c r="C32" t="s">
        <v>750</v>
      </c>
      <c r="D32" t="s">
        <v>894</v>
      </c>
      <c r="E32" t="s">
        <v>569</v>
      </c>
      <c r="F32" t="s">
        <v>895</v>
      </c>
      <c r="G32" t="s">
        <v>753</v>
      </c>
      <c r="H32" t="s">
        <v>715</v>
      </c>
      <c r="I32" t="s">
        <v>896</v>
      </c>
      <c r="J32" t="s">
        <v>897</v>
      </c>
      <c r="K32" t="s">
        <v>898</v>
      </c>
      <c r="L32" t="s">
        <v>765</v>
      </c>
      <c r="M32" t="s">
        <v>720</v>
      </c>
      <c r="N32" t="s">
        <v>721</v>
      </c>
      <c r="O32">
        <v>1</v>
      </c>
      <c r="P32">
        <v>15</v>
      </c>
      <c r="Q32">
        <v>83</v>
      </c>
      <c r="R32" t="s">
        <v>758</v>
      </c>
      <c r="S32" t="s">
        <v>745</v>
      </c>
      <c r="T32" t="s">
        <v>746</v>
      </c>
      <c r="U32" t="s">
        <v>759</v>
      </c>
    </row>
    <row r="33" spans="1:21" x14ac:dyDescent="0.3">
      <c r="A33" s="1" t="s">
        <v>748</v>
      </c>
      <c r="B33" t="s">
        <v>749</v>
      </c>
      <c r="C33" t="s">
        <v>750</v>
      </c>
      <c r="D33" t="s">
        <v>899</v>
      </c>
      <c r="E33" t="s">
        <v>569</v>
      </c>
      <c r="F33" t="s">
        <v>900</v>
      </c>
      <c r="G33" t="s">
        <v>794</v>
      </c>
      <c r="H33" t="s">
        <v>715</v>
      </c>
      <c r="I33" t="s">
        <v>901</v>
      </c>
      <c r="J33" t="s">
        <v>902</v>
      </c>
      <c r="K33" t="s">
        <v>903</v>
      </c>
      <c r="L33" t="s">
        <v>904</v>
      </c>
      <c r="M33" t="s">
        <v>720</v>
      </c>
      <c r="N33" t="s">
        <v>721</v>
      </c>
      <c r="O33">
        <v>11</v>
      </c>
      <c r="P33">
        <v>10</v>
      </c>
      <c r="Q33">
        <v>96</v>
      </c>
      <c r="R33" t="s">
        <v>722</v>
      </c>
      <c r="S33" t="s">
        <v>745</v>
      </c>
      <c r="T33" t="s">
        <v>746</v>
      </c>
      <c r="U33" t="s">
        <v>759</v>
      </c>
    </row>
    <row r="34" spans="1:21" x14ac:dyDescent="0.3">
      <c r="A34" s="1" t="s">
        <v>748</v>
      </c>
      <c r="B34" t="s">
        <v>749</v>
      </c>
      <c r="C34" t="s">
        <v>750</v>
      </c>
      <c r="D34" t="s">
        <v>905</v>
      </c>
      <c r="E34" t="s">
        <v>569</v>
      </c>
      <c r="F34" t="s">
        <v>906</v>
      </c>
      <c r="G34" t="s">
        <v>753</v>
      </c>
      <c r="H34" t="s">
        <v>715</v>
      </c>
      <c r="I34" t="s">
        <v>907</v>
      </c>
      <c r="J34" t="s">
        <v>908</v>
      </c>
      <c r="K34" t="s">
        <v>909</v>
      </c>
      <c r="L34" t="s">
        <v>765</v>
      </c>
      <c r="M34" t="s">
        <v>720</v>
      </c>
      <c r="N34" t="s">
        <v>721</v>
      </c>
      <c r="O34">
        <v>6</v>
      </c>
      <c r="P34">
        <v>15</v>
      </c>
      <c r="Q34">
        <v>82</v>
      </c>
      <c r="R34" t="s">
        <v>758</v>
      </c>
      <c r="S34" t="s">
        <v>745</v>
      </c>
      <c r="T34" t="s">
        <v>746</v>
      </c>
      <c r="U34" t="s">
        <v>759</v>
      </c>
    </row>
    <row r="35" spans="1:21" x14ac:dyDescent="0.3">
      <c r="A35" s="1" t="s">
        <v>748</v>
      </c>
      <c r="B35" t="s">
        <v>749</v>
      </c>
      <c r="C35" t="s">
        <v>750</v>
      </c>
      <c r="D35" t="s">
        <v>910</v>
      </c>
      <c r="E35" t="s">
        <v>569</v>
      </c>
      <c r="F35" t="s">
        <v>911</v>
      </c>
      <c r="G35" t="s">
        <v>753</v>
      </c>
      <c r="H35" t="s">
        <v>715</v>
      </c>
      <c r="I35" t="s">
        <v>912</v>
      </c>
      <c r="J35" t="s">
        <v>913</v>
      </c>
      <c r="K35" t="s">
        <v>914</v>
      </c>
      <c r="L35" t="s">
        <v>765</v>
      </c>
      <c r="M35" t="s">
        <v>720</v>
      </c>
      <c r="N35" t="s">
        <v>721</v>
      </c>
      <c r="O35">
        <v>5</v>
      </c>
      <c r="P35">
        <v>15</v>
      </c>
      <c r="Q35">
        <v>8</v>
      </c>
      <c r="R35" t="s">
        <v>758</v>
      </c>
      <c r="S35" t="s">
        <v>745</v>
      </c>
      <c r="T35" t="s">
        <v>746</v>
      </c>
      <c r="U35" t="s">
        <v>759</v>
      </c>
    </row>
    <row r="36" spans="1:21" x14ac:dyDescent="0.3">
      <c r="A36" s="1" t="s">
        <v>748</v>
      </c>
      <c r="B36" t="s">
        <v>749</v>
      </c>
      <c r="C36" t="s">
        <v>750</v>
      </c>
      <c r="D36" t="s">
        <v>915</v>
      </c>
      <c r="E36" t="s">
        <v>569</v>
      </c>
      <c r="F36" t="s">
        <v>713</v>
      </c>
      <c r="G36" t="s">
        <v>753</v>
      </c>
      <c r="H36" t="s">
        <v>715</v>
      </c>
      <c r="I36" t="s">
        <v>916</v>
      </c>
      <c r="J36" t="s">
        <v>917</v>
      </c>
      <c r="K36" t="s">
        <v>918</v>
      </c>
      <c r="L36" t="s">
        <v>757</v>
      </c>
      <c r="M36" t="s">
        <v>720</v>
      </c>
      <c r="N36" t="s">
        <v>721</v>
      </c>
      <c r="O36">
        <v>2</v>
      </c>
      <c r="P36">
        <v>7</v>
      </c>
      <c r="Q36">
        <v>56</v>
      </c>
      <c r="R36" t="s">
        <v>758</v>
      </c>
      <c r="S36" t="s">
        <v>745</v>
      </c>
      <c r="T36" t="s">
        <v>746</v>
      </c>
      <c r="U36" t="s">
        <v>919</v>
      </c>
    </row>
    <row r="37" spans="1:21" x14ac:dyDescent="0.3">
      <c r="A37" s="1" t="s">
        <v>748</v>
      </c>
      <c r="B37" t="s">
        <v>749</v>
      </c>
      <c r="C37" t="s">
        <v>750</v>
      </c>
      <c r="D37" t="s">
        <v>920</v>
      </c>
      <c r="E37" t="s">
        <v>569</v>
      </c>
      <c r="F37" t="s">
        <v>921</v>
      </c>
      <c r="G37" t="s">
        <v>753</v>
      </c>
      <c r="H37" t="s">
        <v>715</v>
      </c>
      <c r="I37" t="s">
        <v>922</v>
      </c>
      <c r="J37" t="s">
        <v>923</v>
      </c>
      <c r="K37" t="s">
        <v>924</v>
      </c>
      <c r="L37" t="s">
        <v>765</v>
      </c>
      <c r="M37" t="s">
        <v>720</v>
      </c>
      <c r="N37" t="s">
        <v>721</v>
      </c>
      <c r="O37">
        <v>10</v>
      </c>
      <c r="P37">
        <v>15</v>
      </c>
      <c r="Q37">
        <v>43</v>
      </c>
      <c r="R37" t="s">
        <v>758</v>
      </c>
      <c r="S37" t="s">
        <v>745</v>
      </c>
      <c r="T37" t="s">
        <v>746</v>
      </c>
      <c r="U37" t="s">
        <v>759</v>
      </c>
    </row>
    <row r="38" spans="1:21" x14ac:dyDescent="0.3">
      <c r="A38" s="1" t="s">
        <v>748</v>
      </c>
      <c r="B38" t="s">
        <v>749</v>
      </c>
      <c r="C38" t="s">
        <v>750</v>
      </c>
      <c r="D38" t="s">
        <v>925</v>
      </c>
      <c r="E38" t="s">
        <v>569</v>
      </c>
      <c r="F38" t="s">
        <v>926</v>
      </c>
      <c r="G38" t="s">
        <v>794</v>
      </c>
      <c r="H38" t="s">
        <v>715</v>
      </c>
      <c r="I38" t="s">
        <v>927</v>
      </c>
      <c r="J38" t="s">
        <v>928</v>
      </c>
      <c r="K38" t="s">
        <v>929</v>
      </c>
      <c r="L38" t="s">
        <v>826</v>
      </c>
      <c r="M38" t="s">
        <v>720</v>
      </c>
      <c r="N38" t="s">
        <v>721</v>
      </c>
      <c r="O38">
        <v>2</v>
      </c>
      <c r="P38">
        <v>2</v>
      </c>
      <c r="Q38">
        <v>26</v>
      </c>
      <c r="R38" t="s">
        <v>798</v>
      </c>
      <c r="S38" t="s">
        <v>745</v>
      </c>
      <c r="T38" t="s">
        <v>746</v>
      </c>
      <c r="U38" t="s">
        <v>759</v>
      </c>
    </row>
    <row r="39" spans="1:21" x14ac:dyDescent="0.3">
      <c r="A39" s="1" t="s">
        <v>748</v>
      </c>
      <c r="B39" t="s">
        <v>749</v>
      </c>
      <c r="C39" t="s">
        <v>750</v>
      </c>
      <c r="D39" t="s">
        <v>930</v>
      </c>
      <c r="E39" t="s">
        <v>569</v>
      </c>
      <c r="F39" t="s">
        <v>931</v>
      </c>
      <c r="G39" t="s">
        <v>794</v>
      </c>
      <c r="H39" t="s">
        <v>715</v>
      </c>
      <c r="I39" t="s">
        <v>932</v>
      </c>
      <c r="J39" t="s">
        <v>933</v>
      </c>
      <c r="K39" t="s">
        <v>934</v>
      </c>
      <c r="L39" t="s">
        <v>826</v>
      </c>
      <c r="M39" t="s">
        <v>720</v>
      </c>
      <c r="N39" t="s">
        <v>721</v>
      </c>
      <c r="O39">
        <v>10</v>
      </c>
      <c r="P39">
        <v>2</v>
      </c>
      <c r="Q39">
        <v>58</v>
      </c>
      <c r="R39" t="s">
        <v>798</v>
      </c>
      <c r="S39" t="s">
        <v>745</v>
      </c>
      <c r="T39" t="s">
        <v>746</v>
      </c>
      <c r="U39" t="s">
        <v>759</v>
      </c>
    </row>
    <row r="40" spans="1:21" x14ac:dyDescent="0.3">
      <c r="A40" s="1" t="s">
        <v>748</v>
      </c>
      <c r="B40" t="s">
        <v>749</v>
      </c>
      <c r="C40" t="s">
        <v>750</v>
      </c>
      <c r="D40" t="s">
        <v>935</v>
      </c>
      <c r="E40" t="s">
        <v>569</v>
      </c>
      <c r="F40" t="s">
        <v>936</v>
      </c>
      <c r="G40" t="s">
        <v>753</v>
      </c>
      <c r="H40" t="s">
        <v>715</v>
      </c>
      <c r="I40" t="s">
        <v>937</v>
      </c>
      <c r="J40" t="s">
        <v>938</v>
      </c>
      <c r="K40" t="s">
        <v>939</v>
      </c>
      <c r="L40" t="s">
        <v>765</v>
      </c>
      <c r="M40" t="s">
        <v>720</v>
      </c>
      <c r="N40" t="s">
        <v>721</v>
      </c>
      <c r="O40">
        <v>0</v>
      </c>
      <c r="P40">
        <v>15</v>
      </c>
      <c r="Q40">
        <v>32</v>
      </c>
      <c r="R40" t="s">
        <v>758</v>
      </c>
      <c r="S40" t="s">
        <v>745</v>
      </c>
      <c r="T40" t="s">
        <v>746</v>
      </c>
      <c r="U40" t="s">
        <v>759</v>
      </c>
    </row>
    <row r="41" spans="1:21" x14ac:dyDescent="0.3">
      <c r="A41" s="1" t="s">
        <v>748</v>
      </c>
      <c r="B41" t="s">
        <v>749</v>
      </c>
      <c r="C41" t="s">
        <v>750</v>
      </c>
      <c r="D41" t="s">
        <v>940</v>
      </c>
      <c r="E41" t="s">
        <v>569</v>
      </c>
      <c r="F41" t="s">
        <v>941</v>
      </c>
      <c r="G41" t="s">
        <v>753</v>
      </c>
      <c r="H41" t="s">
        <v>715</v>
      </c>
      <c r="I41" t="s">
        <v>942</v>
      </c>
      <c r="J41" t="s">
        <v>943</v>
      </c>
      <c r="K41" t="s">
        <v>944</v>
      </c>
      <c r="L41" t="s">
        <v>765</v>
      </c>
      <c r="M41" t="s">
        <v>720</v>
      </c>
      <c r="N41" t="s">
        <v>721</v>
      </c>
      <c r="O41">
        <v>5</v>
      </c>
      <c r="P41">
        <v>15</v>
      </c>
      <c r="Q41">
        <v>29</v>
      </c>
      <c r="R41" t="s">
        <v>758</v>
      </c>
      <c r="S41" t="s">
        <v>745</v>
      </c>
      <c r="T41" t="s">
        <v>746</v>
      </c>
      <c r="U41" t="s">
        <v>759</v>
      </c>
    </row>
    <row r="42" spans="1:21" x14ac:dyDescent="0.3">
      <c r="A42" s="1" t="s">
        <v>748</v>
      </c>
      <c r="B42" t="s">
        <v>749</v>
      </c>
      <c r="C42" t="s">
        <v>750</v>
      </c>
      <c r="D42" t="s">
        <v>945</v>
      </c>
      <c r="E42" t="s">
        <v>569</v>
      </c>
      <c r="F42" t="s">
        <v>946</v>
      </c>
      <c r="G42" t="s">
        <v>794</v>
      </c>
      <c r="H42" t="s">
        <v>715</v>
      </c>
      <c r="I42" t="s">
        <v>947</v>
      </c>
      <c r="J42" t="s">
        <v>948</v>
      </c>
      <c r="K42" t="s">
        <v>949</v>
      </c>
      <c r="L42" t="s">
        <v>741</v>
      </c>
      <c r="M42" t="s">
        <v>720</v>
      </c>
      <c r="N42" t="s">
        <v>743</v>
      </c>
      <c r="O42">
        <v>0</v>
      </c>
      <c r="P42">
        <v>0</v>
      </c>
      <c r="Q42">
        <v>111</v>
      </c>
      <c r="R42" t="s">
        <v>798</v>
      </c>
      <c r="S42" t="s">
        <v>745</v>
      </c>
      <c r="T42" t="s">
        <v>746</v>
      </c>
      <c r="U42" t="s">
        <v>759</v>
      </c>
    </row>
    <row r="43" spans="1:21" x14ac:dyDescent="0.3">
      <c r="A43" s="1" t="s">
        <v>748</v>
      </c>
      <c r="B43" t="s">
        <v>749</v>
      </c>
      <c r="C43" t="s">
        <v>750</v>
      </c>
      <c r="D43" t="s">
        <v>950</v>
      </c>
      <c r="E43" t="s">
        <v>569</v>
      </c>
      <c r="F43" t="s">
        <v>951</v>
      </c>
      <c r="G43" t="s">
        <v>806</v>
      </c>
      <c r="H43" t="s">
        <v>715</v>
      </c>
      <c r="I43" t="s">
        <v>952</v>
      </c>
      <c r="J43" t="s">
        <v>953</v>
      </c>
      <c r="K43" t="s">
        <v>954</v>
      </c>
      <c r="L43" t="s">
        <v>810</v>
      </c>
      <c r="M43" t="s">
        <v>720</v>
      </c>
      <c r="N43" t="s">
        <v>721</v>
      </c>
      <c r="O43">
        <v>0</v>
      </c>
      <c r="P43">
        <v>3</v>
      </c>
      <c r="Q43">
        <v>79</v>
      </c>
      <c r="R43" t="s">
        <v>798</v>
      </c>
      <c r="S43" t="s">
        <v>745</v>
      </c>
      <c r="T43" t="s">
        <v>746</v>
      </c>
      <c r="U43" t="s">
        <v>759</v>
      </c>
    </row>
    <row r="44" spans="1:21" x14ac:dyDescent="0.3">
      <c r="A44" s="1" t="s">
        <v>748</v>
      </c>
      <c r="B44" t="s">
        <v>749</v>
      </c>
      <c r="C44" t="s">
        <v>750</v>
      </c>
      <c r="D44" t="s">
        <v>955</v>
      </c>
      <c r="E44" t="s">
        <v>569</v>
      </c>
      <c r="F44" t="s">
        <v>956</v>
      </c>
      <c r="G44" t="s">
        <v>794</v>
      </c>
      <c r="H44" t="s">
        <v>715</v>
      </c>
      <c r="I44" t="s">
        <v>957</v>
      </c>
      <c r="J44" t="s">
        <v>958</v>
      </c>
      <c r="K44" t="s">
        <v>959</v>
      </c>
      <c r="L44" t="s">
        <v>826</v>
      </c>
      <c r="M44" t="s">
        <v>720</v>
      </c>
      <c r="N44" t="s">
        <v>721</v>
      </c>
      <c r="O44">
        <v>0</v>
      </c>
      <c r="P44">
        <v>10</v>
      </c>
      <c r="Q44">
        <v>6</v>
      </c>
      <c r="R44" t="s">
        <v>722</v>
      </c>
      <c r="S44" t="s">
        <v>745</v>
      </c>
      <c r="T44" t="s">
        <v>746</v>
      </c>
      <c r="U44" t="s">
        <v>759</v>
      </c>
    </row>
    <row r="45" spans="1:21" x14ac:dyDescent="0.3">
      <c r="A45" s="1" t="s">
        <v>748</v>
      </c>
      <c r="B45" t="s">
        <v>749</v>
      </c>
      <c r="C45" t="s">
        <v>750</v>
      </c>
      <c r="D45" t="s">
        <v>960</v>
      </c>
      <c r="E45" t="s">
        <v>569</v>
      </c>
      <c r="F45" t="s">
        <v>961</v>
      </c>
      <c r="G45" t="s">
        <v>753</v>
      </c>
      <c r="H45" t="s">
        <v>715</v>
      </c>
      <c r="I45" t="s">
        <v>962</v>
      </c>
      <c r="J45" t="s">
        <v>963</v>
      </c>
      <c r="K45" t="s">
        <v>964</v>
      </c>
      <c r="L45" t="s">
        <v>765</v>
      </c>
      <c r="M45" t="s">
        <v>720</v>
      </c>
      <c r="N45" t="s">
        <v>721</v>
      </c>
      <c r="O45">
        <v>9</v>
      </c>
      <c r="P45">
        <v>15</v>
      </c>
      <c r="Q45">
        <v>48</v>
      </c>
      <c r="R45" t="s">
        <v>758</v>
      </c>
      <c r="S45" t="s">
        <v>745</v>
      </c>
      <c r="T45" t="s">
        <v>746</v>
      </c>
      <c r="U45" t="s">
        <v>759</v>
      </c>
    </row>
    <row r="46" spans="1:21" x14ac:dyDescent="0.3">
      <c r="A46" s="1" t="s">
        <v>748</v>
      </c>
      <c r="B46" t="s">
        <v>749</v>
      </c>
      <c r="C46" t="s">
        <v>750</v>
      </c>
      <c r="D46" t="s">
        <v>965</v>
      </c>
      <c r="E46" t="s">
        <v>568</v>
      </c>
      <c r="F46" t="s">
        <v>966</v>
      </c>
      <c r="G46" t="s">
        <v>794</v>
      </c>
      <c r="H46" t="s">
        <v>715</v>
      </c>
      <c r="I46" t="s">
        <v>967</v>
      </c>
      <c r="J46" t="s">
        <v>968</v>
      </c>
      <c r="K46" t="s">
        <v>969</v>
      </c>
      <c r="L46" t="s">
        <v>826</v>
      </c>
      <c r="M46" t="s">
        <v>720</v>
      </c>
      <c r="N46" t="s">
        <v>721</v>
      </c>
      <c r="O46">
        <v>14</v>
      </c>
      <c r="P46">
        <v>10</v>
      </c>
      <c r="Q46">
        <v>97</v>
      </c>
      <c r="R46" t="s">
        <v>722</v>
      </c>
      <c r="S46" t="s">
        <v>745</v>
      </c>
      <c r="T46" t="s">
        <v>746</v>
      </c>
      <c r="U46" t="s">
        <v>759</v>
      </c>
    </row>
    <row r="47" spans="1:21" x14ac:dyDescent="0.3">
      <c r="A47" s="1" t="s">
        <v>748</v>
      </c>
      <c r="B47" t="s">
        <v>749</v>
      </c>
      <c r="C47" t="s">
        <v>750</v>
      </c>
      <c r="D47" t="s">
        <v>970</v>
      </c>
      <c r="E47" t="s">
        <v>568</v>
      </c>
      <c r="F47" t="s">
        <v>971</v>
      </c>
      <c r="G47" t="s">
        <v>794</v>
      </c>
      <c r="H47" t="s">
        <v>715</v>
      </c>
      <c r="I47" t="s">
        <v>972</v>
      </c>
      <c r="J47" t="s">
        <v>973</v>
      </c>
      <c r="K47" t="s">
        <v>974</v>
      </c>
      <c r="L47" t="s">
        <v>826</v>
      </c>
      <c r="M47" t="s">
        <v>720</v>
      </c>
      <c r="N47" t="s">
        <v>721</v>
      </c>
      <c r="O47">
        <v>3</v>
      </c>
      <c r="P47">
        <v>2</v>
      </c>
      <c r="Q47">
        <v>23</v>
      </c>
      <c r="R47" t="s">
        <v>798</v>
      </c>
      <c r="S47" t="s">
        <v>745</v>
      </c>
      <c r="T47" t="s">
        <v>746</v>
      </c>
      <c r="U47" t="s">
        <v>759</v>
      </c>
    </row>
    <row r="48" spans="1:21" x14ac:dyDescent="0.3">
      <c r="A48" s="1" t="s">
        <v>748</v>
      </c>
      <c r="B48" t="s">
        <v>749</v>
      </c>
      <c r="C48" t="s">
        <v>750</v>
      </c>
      <c r="D48" t="s">
        <v>975</v>
      </c>
      <c r="E48" t="s">
        <v>568</v>
      </c>
      <c r="F48" t="s">
        <v>976</v>
      </c>
      <c r="G48" t="s">
        <v>753</v>
      </c>
      <c r="H48" t="s">
        <v>715</v>
      </c>
      <c r="I48" t="s">
        <v>977</v>
      </c>
      <c r="J48" t="s">
        <v>978</v>
      </c>
      <c r="K48" t="s">
        <v>979</v>
      </c>
      <c r="L48" t="s">
        <v>765</v>
      </c>
      <c r="M48" t="s">
        <v>720</v>
      </c>
      <c r="N48" t="s">
        <v>721</v>
      </c>
      <c r="O48">
        <v>0</v>
      </c>
      <c r="P48">
        <v>15</v>
      </c>
      <c r="Q48">
        <v>64</v>
      </c>
      <c r="R48" t="s">
        <v>758</v>
      </c>
      <c r="S48" t="s">
        <v>745</v>
      </c>
      <c r="T48" t="s">
        <v>746</v>
      </c>
      <c r="U48" t="s">
        <v>759</v>
      </c>
    </row>
    <row r="49" spans="1:21" x14ac:dyDescent="0.3">
      <c r="A49" s="1" t="s">
        <v>748</v>
      </c>
      <c r="B49" t="s">
        <v>749</v>
      </c>
      <c r="C49" t="s">
        <v>750</v>
      </c>
      <c r="D49" t="s">
        <v>980</v>
      </c>
      <c r="E49" t="s">
        <v>568</v>
      </c>
      <c r="F49" t="s">
        <v>981</v>
      </c>
      <c r="G49" t="s">
        <v>794</v>
      </c>
      <c r="H49" t="s">
        <v>715</v>
      </c>
      <c r="I49" t="s">
        <v>982</v>
      </c>
      <c r="J49" t="s">
        <v>983</v>
      </c>
      <c r="K49" t="s">
        <v>984</v>
      </c>
      <c r="L49" t="s">
        <v>985</v>
      </c>
      <c r="M49" t="s">
        <v>720</v>
      </c>
      <c r="N49" t="s">
        <v>743</v>
      </c>
      <c r="O49">
        <v>28</v>
      </c>
      <c r="P49">
        <v>0</v>
      </c>
      <c r="Q49">
        <v>150</v>
      </c>
      <c r="R49" t="s">
        <v>798</v>
      </c>
      <c r="S49" t="s">
        <v>745</v>
      </c>
      <c r="T49" t="s">
        <v>746</v>
      </c>
      <c r="U49" t="s">
        <v>759</v>
      </c>
    </row>
    <row r="50" spans="1:21" x14ac:dyDescent="0.3">
      <c r="A50" s="1" t="s">
        <v>748</v>
      </c>
      <c r="B50" t="s">
        <v>749</v>
      </c>
      <c r="C50" t="s">
        <v>750</v>
      </c>
      <c r="D50" t="s">
        <v>986</v>
      </c>
      <c r="E50" t="s">
        <v>568</v>
      </c>
      <c r="F50" t="s">
        <v>987</v>
      </c>
      <c r="G50" t="s">
        <v>806</v>
      </c>
      <c r="H50" t="s">
        <v>715</v>
      </c>
      <c r="I50" t="s">
        <v>988</v>
      </c>
      <c r="J50" t="s">
        <v>989</v>
      </c>
      <c r="K50" t="s">
        <v>990</v>
      </c>
      <c r="L50" t="s">
        <v>810</v>
      </c>
      <c r="M50" t="s">
        <v>720</v>
      </c>
      <c r="N50" t="s">
        <v>721</v>
      </c>
      <c r="O50">
        <v>6</v>
      </c>
      <c r="P50">
        <v>3</v>
      </c>
      <c r="Q50">
        <v>108</v>
      </c>
      <c r="R50" t="s">
        <v>798</v>
      </c>
      <c r="S50" t="s">
        <v>745</v>
      </c>
      <c r="T50" t="s">
        <v>746</v>
      </c>
      <c r="U50" t="s">
        <v>759</v>
      </c>
    </row>
    <row r="51" spans="1:21" x14ac:dyDescent="0.3">
      <c r="A51" s="1" t="s">
        <v>748</v>
      </c>
      <c r="B51" t="s">
        <v>749</v>
      </c>
      <c r="C51" t="s">
        <v>750</v>
      </c>
      <c r="D51" t="s">
        <v>991</v>
      </c>
      <c r="E51" t="s">
        <v>568</v>
      </c>
      <c r="F51" t="s">
        <v>992</v>
      </c>
      <c r="G51" t="s">
        <v>794</v>
      </c>
      <c r="H51" t="s">
        <v>715</v>
      </c>
      <c r="I51" t="s">
        <v>993</v>
      </c>
      <c r="J51" t="s">
        <v>994</v>
      </c>
      <c r="K51" t="s">
        <v>995</v>
      </c>
      <c r="L51" t="s">
        <v>826</v>
      </c>
      <c r="M51" t="s">
        <v>720</v>
      </c>
      <c r="N51" t="s">
        <v>721</v>
      </c>
      <c r="O51">
        <v>7</v>
      </c>
      <c r="P51">
        <v>2</v>
      </c>
      <c r="Q51">
        <v>87</v>
      </c>
      <c r="R51" t="s">
        <v>798</v>
      </c>
      <c r="S51" t="s">
        <v>745</v>
      </c>
      <c r="T51" t="s">
        <v>746</v>
      </c>
      <c r="U51" t="s">
        <v>759</v>
      </c>
    </row>
    <row r="52" spans="1:21" x14ac:dyDescent="0.3">
      <c r="A52" s="1" t="s">
        <v>748</v>
      </c>
      <c r="B52" t="s">
        <v>749</v>
      </c>
      <c r="C52" t="s">
        <v>750</v>
      </c>
      <c r="D52" t="s">
        <v>996</v>
      </c>
      <c r="E52" t="s">
        <v>568</v>
      </c>
      <c r="F52" t="s">
        <v>997</v>
      </c>
      <c r="G52" t="s">
        <v>753</v>
      </c>
      <c r="H52" t="s">
        <v>715</v>
      </c>
      <c r="I52" t="s">
        <v>998</v>
      </c>
      <c r="J52" t="s">
        <v>999</v>
      </c>
      <c r="K52" t="s">
        <v>1000</v>
      </c>
      <c r="L52" t="s">
        <v>765</v>
      </c>
      <c r="M52" t="s">
        <v>720</v>
      </c>
      <c r="N52" t="s">
        <v>721</v>
      </c>
      <c r="O52">
        <v>1</v>
      </c>
      <c r="P52">
        <v>15</v>
      </c>
      <c r="Q52">
        <v>58</v>
      </c>
      <c r="R52" t="s">
        <v>758</v>
      </c>
      <c r="S52" t="s">
        <v>745</v>
      </c>
      <c r="T52" t="s">
        <v>746</v>
      </c>
      <c r="U52" t="s">
        <v>759</v>
      </c>
    </row>
    <row r="53" spans="1:21" x14ac:dyDescent="0.3">
      <c r="A53" s="1" t="s">
        <v>748</v>
      </c>
      <c r="B53" t="s">
        <v>749</v>
      </c>
      <c r="C53" t="s">
        <v>750</v>
      </c>
      <c r="D53" t="s">
        <v>1001</v>
      </c>
      <c r="E53" t="s">
        <v>568</v>
      </c>
      <c r="F53" t="s">
        <v>1002</v>
      </c>
      <c r="G53" t="s">
        <v>753</v>
      </c>
      <c r="H53" t="s">
        <v>715</v>
      </c>
      <c r="I53" t="s">
        <v>1003</v>
      </c>
      <c r="J53" t="s">
        <v>1004</v>
      </c>
      <c r="K53" t="s">
        <v>1005</v>
      </c>
      <c r="L53" t="s">
        <v>757</v>
      </c>
      <c r="M53" t="s">
        <v>720</v>
      </c>
      <c r="N53" t="s">
        <v>721</v>
      </c>
      <c r="O53">
        <v>13</v>
      </c>
      <c r="P53">
        <v>7</v>
      </c>
      <c r="Q53">
        <v>104</v>
      </c>
      <c r="R53" t="s">
        <v>758</v>
      </c>
      <c r="S53" t="s">
        <v>745</v>
      </c>
      <c r="T53" t="s">
        <v>746</v>
      </c>
      <c r="U53" t="s">
        <v>759</v>
      </c>
    </row>
    <row r="54" spans="1:21" x14ac:dyDescent="0.3">
      <c r="A54" s="1" t="s">
        <v>748</v>
      </c>
      <c r="B54" t="s">
        <v>749</v>
      </c>
      <c r="C54" t="s">
        <v>750</v>
      </c>
      <c r="D54" t="s">
        <v>1006</v>
      </c>
      <c r="E54" t="s">
        <v>568</v>
      </c>
      <c r="F54" t="s">
        <v>1007</v>
      </c>
      <c r="G54" t="s">
        <v>753</v>
      </c>
      <c r="H54" t="s">
        <v>715</v>
      </c>
      <c r="I54" t="s">
        <v>1008</v>
      </c>
      <c r="J54" t="s">
        <v>1009</v>
      </c>
      <c r="K54" t="s">
        <v>1010</v>
      </c>
      <c r="L54" t="s">
        <v>757</v>
      </c>
      <c r="M54" t="s">
        <v>720</v>
      </c>
      <c r="N54" t="s">
        <v>721</v>
      </c>
      <c r="O54">
        <v>14</v>
      </c>
      <c r="P54">
        <v>7</v>
      </c>
      <c r="Q54">
        <v>93</v>
      </c>
      <c r="R54" t="s">
        <v>758</v>
      </c>
      <c r="S54" t="s">
        <v>745</v>
      </c>
      <c r="T54" t="s">
        <v>746</v>
      </c>
      <c r="U54" t="s">
        <v>1011</v>
      </c>
    </row>
    <row r="55" spans="1:21" x14ac:dyDescent="0.3">
      <c r="A55" s="1" t="s">
        <v>748</v>
      </c>
      <c r="B55" t="s">
        <v>749</v>
      </c>
      <c r="C55" t="s">
        <v>750</v>
      </c>
      <c r="D55" t="s">
        <v>1012</v>
      </c>
      <c r="E55" t="s">
        <v>568</v>
      </c>
      <c r="F55" t="s">
        <v>1013</v>
      </c>
      <c r="G55" t="s">
        <v>794</v>
      </c>
      <c r="H55" t="s">
        <v>715</v>
      </c>
      <c r="I55" t="s">
        <v>1014</v>
      </c>
      <c r="J55" t="s">
        <v>1015</v>
      </c>
      <c r="K55" t="s">
        <v>1016</v>
      </c>
      <c r="L55" t="s">
        <v>741</v>
      </c>
      <c r="M55" t="s">
        <v>720</v>
      </c>
      <c r="N55" t="s">
        <v>743</v>
      </c>
      <c r="O55">
        <v>6</v>
      </c>
      <c r="P55">
        <v>0</v>
      </c>
      <c r="Q55">
        <v>25</v>
      </c>
      <c r="R55" t="s">
        <v>798</v>
      </c>
      <c r="S55" t="s">
        <v>745</v>
      </c>
      <c r="T55" t="s">
        <v>746</v>
      </c>
      <c r="U55" t="s">
        <v>759</v>
      </c>
    </row>
    <row r="56" spans="1:21" x14ac:dyDescent="0.3">
      <c r="A56" s="1" t="s">
        <v>748</v>
      </c>
      <c r="B56" t="s">
        <v>749</v>
      </c>
      <c r="C56" t="s">
        <v>750</v>
      </c>
      <c r="D56" t="s">
        <v>1017</v>
      </c>
      <c r="E56" t="s">
        <v>568</v>
      </c>
      <c r="F56" t="s">
        <v>1018</v>
      </c>
      <c r="G56" t="s">
        <v>753</v>
      </c>
      <c r="H56" t="s">
        <v>715</v>
      </c>
      <c r="I56" t="s">
        <v>1019</v>
      </c>
      <c r="J56" t="s">
        <v>1020</v>
      </c>
      <c r="K56" t="s">
        <v>1021</v>
      </c>
      <c r="L56" t="s">
        <v>765</v>
      </c>
      <c r="M56" t="s">
        <v>720</v>
      </c>
      <c r="N56" t="s">
        <v>721</v>
      </c>
      <c r="O56">
        <v>18</v>
      </c>
      <c r="P56">
        <v>15</v>
      </c>
      <c r="Q56">
        <v>89</v>
      </c>
      <c r="R56" t="s">
        <v>758</v>
      </c>
      <c r="S56" t="s">
        <v>745</v>
      </c>
      <c r="T56" t="s">
        <v>746</v>
      </c>
      <c r="U56" t="s">
        <v>759</v>
      </c>
    </row>
    <row r="57" spans="1:21" x14ac:dyDescent="0.3">
      <c r="A57" s="1" t="s">
        <v>748</v>
      </c>
      <c r="B57" t="s">
        <v>749</v>
      </c>
      <c r="C57" t="s">
        <v>750</v>
      </c>
      <c r="D57" t="s">
        <v>1022</v>
      </c>
      <c r="E57" t="s">
        <v>568</v>
      </c>
      <c r="F57" t="s">
        <v>1023</v>
      </c>
      <c r="G57" t="s">
        <v>753</v>
      </c>
      <c r="H57" t="s">
        <v>715</v>
      </c>
      <c r="I57" t="s">
        <v>1024</v>
      </c>
      <c r="J57" t="s">
        <v>1025</v>
      </c>
      <c r="K57" t="s">
        <v>1026</v>
      </c>
      <c r="L57" t="s">
        <v>765</v>
      </c>
      <c r="M57" t="s">
        <v>720</v>
      </c>
      <c r="N57" t="s">
        <v>721</v>
      </c>
      <c r="O57">
        <v>6</v>
      </c>
      <c r="P57">
        <v>15</v>
      </c>
      <c r="Q57">
        <v>12</v>
      </c>
      <c r="R57" t="s">
        <v>758</v>
      </c>
      <c r="S57" t="s">
        <v>745</v>
      </c>
      <c r="T57" t="s">
        <v>746</v>
      </c>
      <c r="U57" t="s">
        <v>759</v>
      </c>
    </row>
    <row r="58" spans="1:21" x14ac:dyDescent="0.3">
      <c r="A58" s="1" t="s">
        <v>748</v>
      </c>
      <c r="B58" t="s">
        <v>749</v>
      </c>
      <c r="C58" t="s">
        <v>750</v>
      </c>
      <c r="D58" t="s">
        <v>1027</v>
      </c>
      <c r="E58" t="s">
        <v>568</v>
      </c>
      <c r="F58" t="s">
        <v>1028</v>
      </c>
      <c r="G58" t="s">
        <v>794</v>
      </c>
      <c r="H58" t="s">
        <v>715</v>
      </c>
      <c r="I58" t="s">
        <v>1029</v>
      </c>
      <c r="J58" t="s">
        <v>1030</v>
      </c>
      <c r="K58" t="s">
        <v>1031</v>
      </c>
      <c r="L58" t="s">
        <v>985</v>
      </c>
      <c r="M58" t="s">
        <v>720</v>
      </c>
      <c r="N58" t="s">
        <v>743</v>
      </c>
      <c r="O58">
        <v>28</v>
      </c>
      <c r="P58">
        <v>0</v>
      </c>
      <c r="Q58">
        <v>150</v>
      </c>
      <c r="R58" t="s">
        <v>798</v>
      </c>
      <c r="S58" t="s">
        <v>745</v>
      </c>
      <c r="T58" t="s">
        <v>746</v>
      </c>
      <c r="U58" t="s">
        <v>759</v>
      </c>
    </row>
    <row r="59" spans="1:21" x14ac:dyDescent="0.3">
      <c r="A59" s="1" t="s">
        <v>748</v>
      </c>
      <c r="B59" t="s">
        <v>749</v>
      </c>
      <c r="C59" t="s">
        <v>750</v>
      </c>
      <c r="D59" t="s">
        <v>1032</v>
      </c>
      <c r="E59" t="s">
        <v>568</v>
      </c>
      <c r="F59" t="s">
        <v>1033</v>
      </c>
      <c r="G59" t="s">
        <v>794</v>
      </c>
      <c r="H59" t="s">
        <v>715</v>
      </c>
      <c r="I59" t="s">
        <v>1034</v>
      </c>
      <c r="J59" t="s">
        <v>1035</v>
      </c>
      <c r="K59" t="s">
        <v>1036</v>
      </c>
      <c r="L59" t="s">
        <v>826</v>
      </c>
      <c r="M59" t="s">
        <v>720</v>
      </c>
      <c r="N59" t="s">
        <v>721</v>
      </c>
      <c r="O59">
        <v>9</v>
      </c>
      <c r="P59">
        <v>10</v>
      </c>
      <c r="Q59">
        <v>29</v>
      </c>
      <c r="R59" t="s">
        <v>722</v>
      </c>
      <c r="S59" t="s">
        <v>745</v>
      </c>
      <c r="T59" t="s">
        <v>746</v>
      </c>
      <c r="U59" t="s">
        <v>759</v>
      </c>
    </row>
    <row r="60" spans="1:21" x14ac:dyDescent="0.3">
      <c r="A60" s="1" t="s">
        <v>748</v>
      </c>
      <c r="B60" t="s">
        <v>749</v>
      </c>
      <c r="C60" t="s">
        <v>750</v>
      </c>
      <c r="D60" t="s">
        <v>1037</v>
      </c>
      <c r="E60" t="s">
        <v>568</v>
      </c>
      <c r="F60" t="s">
        <v>1038</v>
      </c>
      <c r="G60" t="s">
        <v>753</v>
      </c>
      <c r="H60" t="s">
        <v>715</v>
      </c>
      <c r="I60" t="s">
        <v>1039</v>
      </c>
      <c r="J60" t="s">
        <v>1040</v>
      </c>
      <c r="K60" t="s">
        <v>1041</v>
      </c>
      <c r="L60" t="s">
        <v>765</v>
      </c>
      <c r="M60" t="s">
        <v>720</v>
      </c>
      <c r="N60" t="s">
        <v>721</v>
      </c>
      <c r="O60">
        <v>0</v>
      </c>
      <c r="P60">
        <v>15</v>
      </c>
      <c r="Q60">
        <v>112</v>
      </c>
      <c r="R60" t="s">
        <v>758</v>
      </c>
      <c r="S60" t="s">
        <v>745</v>
      </c>
      <c r="T60" t="s">
        <v>746</v>
      </c>
      <c r="U60" t="s">
        <v>759</v>
      </c>
    </row>
    <row r="61" spans="1:21" x14ac:dyDescent="0.3">
      <c r="A61" s="1" t="s">
        <v>748</v>
      </c>
      <c r="B61" t="s">
        <v>749</v>
      </c>
      <c r="C61" t="s">
        <v>750</v>
      </c>
      <c r="D61" t="s">
        <v>1042</v>
      </c>
      <c r="E61" t="s">
        <v>568</v>
      </c>
      <c r="F61" t="s">
        <v>1043</v>
      </c>
      <c r="G61" t="s">
        <v>753</v>
      </c>
      <c r="H61" t="s">
        <v>715</v>
      </c>
      <c r="I61" t="s">
        <v>1044</v>
      </c>
      <c r="J61" t="s">
        <v>1045</v>
      </c>
      <c r="K61" t="s">
        <v>1046</v>
      </c>
      <c r="L61" t="s">
        <v>757</v>
      </c>
      <c r="M61" t="s">
        <v>720</v>
      </c>
      <c r="N61" t="s">
        <v>721</v>
      </c>
      <c r="O61">
        <v>0</v>
      </c>
      <c r="P61">
        <v>7</v>
      </c>
      <c r="Q61">
        <v>45</v>
      </c>
      <c r="R61" t="s">
        <v>758</v>
      </c>
      <c r="S61" t="s">
        <v>745</v>
      </c>
      <c r="T61" t="s">
        <v>746</v>
      </c>
      <c r="U61" t="s">
        <v>759</v>
      </c>
    </row>
    <row r="62" spans="1:21" x14ac:dyDescent="0.3">
      <c r="A62" s="1" t="s">
        <v>748</v>
      </c>
      <c r="B62" t="s">
        <v>749</v>
      </c>
      <c r="C62" t="s">
        <v>750</v>
      </c>
      <c r="D62" t="s">
        <v>1047</v>
      </c>
      <c r="E62" t="s">
        <v>568</v>
      </c>
      <c r="F62" t="s">
        <v>1048</v>
      </c>
      <c r="G62" t="s">
        <v>753</v>
      </c>
      <c r="H62" t="s">
        <v>715</v>
      </c>
      <c r="I62" t="s">
        <v>1049</v>
      </c>
      <c r="J62" t="s">
        <v>1050</v>
      </c>
      <c r="K62" t="s">
        <v>1051</v>
      </c>
      <c r="L62" t="s">
        <v>765</v>
      </c>
      <c r="M62" t="s">
        <v>720</v>
      </c>
      <c r="N62" t="s">
        <v>721</v>
      </c>
      <c r="O62">
        <v>10</v>
      </c>
      <c r="P62">
        <v>15</v>
      </c>
      <c r="Q62">
        <v>92</v>
      </c>
      <c r="R62" t="s">
        <v>758</v>
      </c>
      <c r="S62" t="s">
        <v>745</v>
      </c>
      <c r="T62" t="s">
        <v>746</v>
      </c>
      <c r="U62" t="s">
        <v>759</v>
      </c>
    </row>
    <row r="63" spans="1:21" x14ac:dyDescent="0.3">
      <c r="A63" s="1" t="s">
        <v>748</v>
      </c>
      <c r="B63" t="s">
        <v>749</v>
      </c>
      <c r="C63" t="s">
        <v>750</v>
      </c>
      <c r="D63" t="s">
        <v>1052</v>
      </c>
      <c r="E63" t="s">
        <v>568</v>
      </c>
      <c r="F63" t="s">
        <v>1053</v>
      </c>
      <c r="G63" t="s">
        <v>753</v>
      </c>
      <c r="H63" t="s">
        <v>715</v>
      </c>
      <c r="I63" t="s">
        <v>1054</v>
      </c>
      <c r="J63" t="s">
        <v>1055</v>
      </c>
      <c r="K63" t="s">
        <v>1056</v>
      </c>
      <c r="L63" t="s">
        <v>765</v>
      </c>
      <c r="M63" t="s">
        <v>720</v>
      </c>
      <c r="N63" t="s">
        <v>721</v>
      </c>
      <c r="O63">
        <v>0</v>
      </c>
      <c r="P63">
        <v>15</v>
      </c>
      <c r="Q63">
        <v>22</v>
      </c>
      <c r="R63" t="s">
        <v>758</v>
      </c>
      <c r="S63" t="s">
        <v>745</v>
      </c>
      <c r="T63" t="s">
        <v>746</v>
      </c>
      <c r="U63" t="s">
        <v>759</v>
      </c>
    </row>
    <row r="64" spans="1:21" x14ac:dyDescent="0.3">
      <c r="A64" s="1" t="s">
        <v>748</v>
      </c>
      <c r="B64" t="s">
        <v>749</v>
      </c>
      <c r="C64" t="s">
        <v>750</v>
      </c>
      <c r="D64" t="s">
        <v>1057</v>
      </c>
      <c r="E64" t="s">
        <v>568</v>
      </c>
      <c r="F64" t="s">
        <v>1058</v>
      </c>
      <c r="G64" t="s">
        <v>753</v>
      </c>
      <c r="H64" t="s">
        <v>715</v>
      </c>
      <c r="I64" t="s">
        <v>1059</v>
      </c>
      <c r="J64" t="s">
        <v>1060</v>
      </c>
      <c r="K64" t="s">
        <v>1061</v>
      </c>
      <c r="L64" t="s">
        <v>765</v>
      </c>
      <c r="M64" t="s">
        <v>720</v>
      </c>
      <c r="N64" t="s">
        <v>721</v>
      </c>
      <c r="O64">
        <v>0</v>
      </c>
      <c r="P64">
        <v>15</v>
      </c>
      <c r="Q64">
        <v>92</v>
      </c>
      <c r="R64" t="s">
        <v>758</v>
      </c>
      <c r="S64" t="s">
        <v>745</v>
      </c>
      <c r="T64" t="s">
        <v>746</v>
      </c>
      <c r="U64" t="s">
        <v>759</v>
      </c>
    </row>
    <row r="65" spans="1:21" x14ac:dyDescent="0.3">
      <c r="A65" s="1" t="s">
        <v>748</v>
      </c>
      <c r="B65" t="s">
        <v>749</v>
      </c>
      <c r="C65" t="s">
        <v>750</v>
      </c>
      <c r="D65" t="s">
        <v>1062</v>
      </c>
      <c r="E65" t="s">
        <v>568</v>
      </c>
      <c r="F65" t="s">
        <v>1063</v>
      </c>
      <c r="G65" t="s">
        <v>794</v>
      </c>
      <c r="H65" t="s">
        <v>715</v>
      </c>
      <c r="I65" t="s">
        <v>1064</v>
      </c>
      <c r="J65" t="s">
        <v>1065</v>
      </c>
      <c r="K65" t="s">
        <v>1066</v>
      </c>
      <c r="L65" t="s">
        <v>826</v>
      </c>
      <c r="M65" t="s">
        <v>720</v>
      </c>
      <c r="N65" t="s">
        <v>721</v>
      </c>
      <c r="O65">
        <v>1</v>
      </c>
      <c r="P65">
        <v>10</v>
      </c>
      <c r="Q65">
        <v>86</v>
      </c>
      <c r="R65" t="s">
        <v>722</v>
      </c>
      <c r="S65" t="s">
        <v>745</v>
      </c>
      <c r="T65" t="s">
        <v>746</v>
      </c>
      <c r="U65" t="s">
        <v>759</v>
      </c>
    </row>
    <row r="66" spans="1:21" x14ac:dyDescent="0.3">
      <c r="A66" s="1" t="s">
        <v>748</v>
      </c>
      <c r="B66" t="s">
        <v>749</v>
      </c>
      <c r="C66" t="s">
        <v>750</v>
      </c>
      <c r="D66" t="s">
        <v>1067</v>
      </c>
      <c r="E66" t="s">
        <v>568</v>
      </c>
      <c r="F66" t="s">
        <v>1068</v>
      </c>
      <c r="G66" t="s">
        <v>794</v>
      </c>
      <c r="H66" t="s">
        <v>715</v>
      </c>
      <c r="I66" t="s">
        <v>1069</v>
      </c>
      <c r="J66" t="s">
        <v>1070</v>
      </c>
      <c r="K66" t="s">
        <v>1071</v>
      </c>
      <c r="L66" t="s">
        <v>826</v>
      </c>
      <c r="M66" t="s">
        <v>720</v>
      </c>
      <c r="N66" t="s">
        <v>721</v>
      </c>
      <c r="O66">
        <v>0</v>
      </c>
      <c r="P66">
        <v>10</v>
      </c>
      <c r="Q66">
        <v>86</v>
      </c>
      <c r="R66" t="s">
        <v>722</v>
      </c>
      <c r="S66" t="s">
        <v>745</v>
      </c>
      <c r="T66" t="s">
        <v>746</v>
      </c>
      <c r="U66" t="s">
        <v>759</v>
      </c>
    </row>
    <row r="67" spans="1:21" x14ac:dyDescent="0.3">
      <c r="A67" s="1" t="s">
        <v>748</v>
      </c>
      <c r="B67" t="s">
        <v>749</v>
      </c>
      <c r="C67" t="s">
        <v>750</v>
      </c>
      <c r="D67" t="s">
        <v>1072</v>
      </c>
      <c r="E67" t="s">
        <v>568</v>
      </c>
      <c r="F67" t="s">
        <v>1073</v>
      </c>
      <c r="G67" t="s">
        <v>753</v>
      </c>
      <c r="H67" t="s">
        <v>715</v>
      </c>
      <c r="I67" t="s">
        <v>1074</v>
      </c>
      <c r="J67" t="s">
        <v>1075</v>
      </c>
      <c r="K67" t="s">
        <v>1076</v>
      </c>
      <c r="L67" t="s">
        <v>765</v>
      </c>
      <c r="M67" t="s">
        <v>720</v>
      </c>
      <c r="N67" t="s">
        <v>721</v>
      </c>
      <c r="O67">
        <v>0</v>
      </c>
      <c r="P67">
        <v>15</v>
      </c>
      <c r="Q67">
        <v>68</v>
      </c>
      <c r="R67" t="s">
        <v>758</v>
      </c>
      <c r="S67" t="s">
        <v>745</v>
      </c>
      <c r="T67" t="s">
        <v>746</v>
      </c>
      <c r="U67" t="s">
        <v>759</v>
      </c>
    </row>
    <row r="68" spans="1:21" x14ac:dyDescent="0.3">
      <c r="A68" s="1" t="s">
        <v>748</v>
      </c>
      <c r="B68" t="s">
        <v>749</v>
      </c>
      <c r="C68" t="s">
        <v>750</v>
      </c>
      <c r="D68" t="s">
        <v>1077</v>
      </c>
      <c r="E68" t="s">
        <v>568</v>
      </c>
      <c r="F68" t="s">
        <v>1078</v>
      </c>
      <c r="G68" t="s">
        <v>714</v>
      </c>
      <c r="H68" t="s">
        <v>715</v>
      </c>
      <c r="I68" t="s">
        <v>1079</v>
      </c>
      <c r="J68" t="s">
        <v>1080</v>
      </c>
      <c r="K68" t="s">
        <v>1081</v>
      </c>
      <c r="L68" t="s">
        <v>1082</v>
      </c>
      <c r="M68" t="s">
        <v>720</v>
      </c>
      <c r="N68" t="s">
        <v>721</v>
      </c>
      <c r="O68">
        <v>0</v>
      </c>
      <c r="P68">
        <v>0</v>
      </c>
      <c r="Q68">
        <v>49</v>
      </c>
      <c r="R68" t="s">
        <v>798</v>
      </c>
      <c r="S68" t="s">
        <v>723</v>
      </c>
      <c r="T68" t="s">
        <v>1083</v>
      </c>
      <c r="U68" t="s">
        <v>707</v>
      </c>
    </row>
    <row r="69" spans="1:21" x14ac:dyDescent="0.3">
      <c r="A69" s="1" t="s">
        <v>748</v>
      </c>
      <c r="B69" t="s">
        <v>749</v>
      </c>
      <c r="C69" t="s">
        <v>750</v>
      </c>
      <c r="D69" t="s">
        <v>1084</v>
      </c>
      <c r="E69" t="s">
        <v>568</v>
      </c>
      <c r="F69" t="s">
        <v>1085</v>
      </c>
      <c r="G69" t="s">
        <v>753</v>
      </c>
      <c r="H69" t="s">
        <v>715</v>
      </c>
      <c r="I69" t="s">
        <v>1086</v>
      </c>
      <c r="J69" t="s">
        <v>1087</v>
      </c>
      <c r="K69" t="s">
        <v>1088</v>
      </c>
      <c r="L69" t="s">
        <v>765</v>
      </c>
      <c r="M69" t="s">
        <v>720</v>
      </c>
      <c r="N69" t="s">
        <v>721</v>
      </c>
      <c r="O69">
        <v>3</v>
      </c>
      <c r="P69">
        <v>15</v>
      </c>
      <c r="Q69">
        <v>55</v>
      </c>
      <c r="R69" t="s">
        <v>758</v>
      </c>
      <c r="S69" t="s">
        <v>745</v>
      </c>
      <c r="T69" t="s">
        <v>746</v>
      </c>
      <c r="U69" t="s">
        <v>759</v>
      </c>
    </row>
    <row r="70" spans="1:21" x14ac:dyDescent="0.3">
      <c r="A70" s="1" t="s">
        <v>748</v>
      </c>
      <c r="B70" t="s">
        <v>749</v>
      </c>
      <c r="C70" t="s">
        <v>750</v>
      </c>
      <c r="D70" t="s">
        <v>1089</v>
      </c>
      <c r="E70" t="s">
        <v>568</v>
      </c>
      <c r="F70" t="s">
        <v>1090</v>
      </c>
      <c r="G70" t="s">
        <v>753</v>
      </c>
      <c r="H70" t="s">
        <v>715</v>
      </c>
      <c r="I70" t="s">
        <v>1091</v>
      </c>
      <c r="J70" t="s">
        <v>1092</v>
      </c>
      <c r="K70" t="s">
        <v>1093</v>
      </c>
      <c r="L70" t="s">
        <v>765</v>
      </c>
      <c r="M70" t="s">
        <v>720</v>
      </c>
      <c r="N70" t="s">
        <v>721</v>
      </c>
      <c r="O70">
        <v>1</v>
      </c>
      <c r="P70">
        <v>15</v>
      </c>
      <c r="Q70">
        <v>27</v>
      </c>
      <c r="R70" t="s">
        <v>758</v>
      </c>
      <c r="S70" t="s">
        <v>745</v>
      </c>
      <c r="T70" t="s">
        <v>746</v>
      </c>
      <c r="U70" t="s">
        <v>759</v>
      </c>
    </row>
    <row r="71" spans="1:21" x14ac:dyDescent="0.3">
      <c r="A71" s="1" t="s">
        <v>748</v>
      </c>
      <c r="B71" t="s">
        <v>749</v>
      </c>
      <c r="C71" t="s">
        <v>750</v>
      </c>
      <c r="D71" t="s">
        <v>1094</v>
      </c>
      <c r="E71" t="s">
        <v>568</v>
      </c>
      <c r="F71" t="s">
        <v>1095</v>
      </c>
      <c r="G71" t="s">
        <v>753</v>
      </c>
      <c r="H71" t="s">
        <v>715</v>
      </c>
      <c r="I71" t="s">
        <v>1096</v>
      </c>
      <c r="J71" t="s">
        <v>1097</v>
      </c>
      <c r="K71" t="s">
        <v>1098</v>
      </c>
      <c r="L71" t="s">
        <v>757</v>
      </c>
      <c r="M71" t="s">
        <v>720</v>
      </c>
      <c r="N71" t="s">
        <v>721</v>
      </c>
      <c r="O71">
        <v>4</v>
      </c>
      <c r="P71">
        <v>7</v>
      </c>
      <c r="Q71">
        <v>11</v>
      </c>
      <c r="R71" t="s">
        <v>758</v>
      </c>
      <c r="S71" t="s">
        <v>745</v>
      </c>
      <c r="T71" t="s">
        <v>746</v>
      </c>
      <c r="U71" t="s">
        <v>759</v>
      </c>
    </row>
    <row r="72" spans="1:21" x14ac:dyDescent="0.3">
      <c r="A72" s="1" t="s">
        <v>748</v>
      </c>
      <c r="B72" t="s">
        <v>749</v>
      </c>
      <c r="C72" t="s">
        <v>750</v>
      </c>
      <c r="D72" t="s">
        <v>1099</v>
      </c>
      <c r="E72" t="s">
        <v>568</v>
      </c>
      <c r="F72" t="s">
        <v>1100</v>
      </c>
      <c r="G72" t="s">
        <v>794</v>
      </c>
      <c r="H72" t="s">
        <v>715</v>
      </c>
      <c r="I72" t="s">
        <v>1101</v>
      </c>
      <c r="J72" t="s">
        <v>1102</v>
      </c>
      <c r="K72" t="s">
        <v>1103</v>
      </c>
      <c r="L72" t="s">
        <v>741</v>
      </c>
      <c r="M72" t="s">
        <v>720</v>
      </c>
      <c r="N72" t="s">
        <v>743</v>
      </c>
      <c r="O72">
        <v>4</v>
      </c>
      <c r="P72">
        <v>0</v>
      </c>
      <c r="Q72">
        <v>109</v>
      </c>
      <c r="R72" t="s">
        <v>798</v>
      </c>
      <c r="S72" t="s">
        <v>745</v>
      </c>
      <c r="T72" t="s">
        <v>746</v>
      </c>
      <c r="U72" t="s">
        <v>759</v>
      </c>
    </row>
    <row r="73" spans="1:21" x14ac:dyDescent="0.3">
      <c r="A73" s="1" t="s">
        <v>748</v>
      </c>
      <c r="B73" t="s">
        <v>749</v>
      </c>
      <c r="C73" t="s">
        <v>750</v>
      </c>
      <c r="D73" t="s">
        <v>1104</v>
      </c>
      <c r="E73" t="s">
        <v>568</v>
      </c>
      <c r="F73" t="s">
        <v>1105</v>
      </c>
      <c r="G73" t="s">
        <v>794</v>
      </c>
      <c r="H73" t="s">
        <v>715</v>
      </c>
      <c r="I73" t="s">
        <v>1106</v>
      </c>
      <c r="J73" t="s">
        <v>1107</v>
      </c>
      <c r="K73" t="s">
        <v>1108</v>
      </c>
      <c r="L73" t="s">
        <v>741</v>
      </c>
      <c r="M73" t="s">
        <v>720</v>
      </c>
      <c r="N73" t="s">
        <v>743</v>
      </c>
      <c r="O73">
        <v>10</v>
      </c>
      <c r="P73">
        <v>0</v>
      </c>
      <c r="Q73">
        <v>21</v>
      </c>
      <c r="R73" t="s">
        <v>798</v>
      </c>
      <c r="S73" t="s">
        <v>745</v>
      </c>
      <c r="T73" t="s">
        <v>746</v>
      </c>
      <c r="U73" t="s">
        <v>759</v>
      </c>
    </row>
    <row r="74" spans="1:21" x14ac:dyDescent="0.3">
      <c r="A74" s="1" t="s">
        <v>748</v>
      </c>
      <c r="B74" t="s">
        <v>749</v>
      </c>
      <c r="C74" t="s">
        <v>750</v>
      </c>
      <c r="D74" t="s">
        <v>1109</v>
      </c>
      <c r="E74" t="s">
        <v>568</v>
      </c>
      <c r="F74" t="s">
        <v>1110</v>
      </c>
      <c r="G74" t="s">
        <v>753</v>
      </c>
      <c r="H74" t="s">
        <v>715</v>
      </c>
      <c r="I74" t="s">
        <v>1111</v>
      </c>
      <c r="J74" t="s">
        <v>1112</v>
      </c>
      <c r="K74" t="s">
        <v>1113</v>
      </c>
      <c r="L74" t="s">
        <v>765</v>
      </c>
      <c r="M74" t="s">
        <v>720</v>
      </c>
      <c r="N74" t="s">
        <v>721</v>
      </c>
      <c r="O74">
        <v>3</v>
      </c>
      <c r="P74">
        <v>15</v>
      </c>
      <c r="Q74">
        <v>30</v>
      </c>
      <c r="R74" t="s">
        <v>758</v>
      </c>
      <c r="S74" t="s">
        <v>745</v>
      </c>
      <c r="T74" t="s">
        <v>746</v>
      </c>
      <c r="U74" t="s">
        <v>759</v>
      </c>
    </row>
    <row r="75" spans="1:21" x14ac:dyDescent="0.3">
      <c r="A75" s="1" t="s">
        <v>748</v>
      </c>
      <c r="B75" t="s">
        <v>749</v>
      </c>
      <c r="C75" t="s">
        <v>750</v>
      </c>
      <c r="D75" t="s">
        <v>1114</v>
      </c>
      <c r="E75" t="s">
        <v>568</v>
      </c>
      <c r="F75" t="s">
        <v>1115</v>
      </c>
      <c r="G75" t="s">
        <v>753</v>
      </c>
      <c r="H75" t="s">
        <v>715</v>
      </c>
      <c r="I75" t="s">
        <v>1116</v>
      </c>
      <c r="J75" t="s">
        <v>1117</v>
      </c>
      <c r="K75" t="s">
        <v>1118</v>
      </c>
      <c r="L75" t="s">
        <v>765</v>
      </c>
      <c r="M75" t="s">
        <v>720</v>
      </c>
      <c r="N75" t="s">
        <v>721</v>
      </c>
      <c r="O75">
        <v>3</v>
      </c>
      <c r="P75">
        <v>15</v>
      </c>
      <c r="Q75">
        <v>58</v>
      </c>
      <c r="R75" t="s">
        <v>758</v>
      </c>
      <c r="S75" t="s">
        <v>745</v>
      </c>
      <c r="T75" t="s">
        <v>746</v>
      </c>
      <c r="U75" t="s">
        <v>759</v>
      </c>
    </row>
    <row r="76" spans="1:21" x14ac:dyDescent="0.3">
      <c r="A76" s="1" t="s">
        <v>748</v>
      </c>
      <c r="B76" t="s">
        <v>749</v>
      </c>
      <c r="C76" t="s">
        <v>750</v>
      </c>
      <c r="D76" t="s">
        <v>1119</v>
      </c>
      <c r="E76" t="s">
        <v>568</v>
      </c>
      <c r="F76" t="s">
        <v>728</v>
      </c>
      <c r="G76" t="s">
        <v>753</v>
      </c>
      <c r="H76" t="s">
        <v>715</v>
      </c>
      <c r="I76" t="s">
        <v>1120</v>
      </c>
      <c r="J76" t="s">
        <v>1121</v>
      </c>
      <c r="K76" t="s">
        <v>1122</v>
      </c>
      <c r="L76" t="s">
        <v>765</v>
      </c>
      <c r="M76" t="s">
        <v>720</v>
      </c>
      <c r="N76" t="s">
        <v>721</v>
      </c>
      <c r="O76">
        <v>0</v>
      </c>
      <c r="P76">
        <v>15</v>
      </c>
      <c r="Q76">
        <v>115</v>
      </c>
      <c r="R76" t="s">
        <v>758</v>
      </c>
      <c r="S76" t="s">
        <v>745</v>
      </c>
      <c r="T76" t="s">
        <v>746</v>
      </c>
      <c r="U76" t="s">
        <v>759</v>
      </c>
    </row>
    <row r="77" spans="1:21" x14ac:dyDescent="0.3">
      <c r="A77" s="1" t="s">
        <v>748</v>
      </c>
      <c r="B77" t="s">
        <v>749</v>
      </c>
      <c r="C77" t="s">
        <v>750</v>
      </c>
      <c r="D77" t="s">
        <v>1123</v>
      </c>
      <c r="E77" t="s">
        <v>568</v>
      </c>
      <c r="F77" t="s">
        <v>1124</v>
      </c>
      <c r="G77" t="s">
        <v>753</v>
      </c>
      <c r="H77" t="s">
        <v>715</v>
      </c>
      <c r="I77" t="s">
        <v>1125</v>
      </c>
      <c r="J77" t="s">
        <v>1126</v>
      </c>
      <c r="K77" t="s">
        <v>1127</v>
      </c>
      <c r="L77" t="s">
        <v>765</v>
      </c>
      <c r="M77" t="s">
        <v>720</v>
      </c>
      <c r="N77" t="s">
        <v>721</v>
      </c>
      <c r="O77">
        <v>30</v>
      </c>
      <c r="P77">
        <v>15</v>
      </c>
      <c r="Q77">
        <v>7</v>
      </c>
      <c r="R77" t="s">
        <v>758</v>
      </c>
      <c r="S77" t="s">
        <v>745</v>
      </c>
      <c r="T77" t="s">
        <v>746</v>
      </c>
      <c r="U77" t="s">
        <v>759</v>
      </c>
    </row>
    <row r="78" spans="1:21" x14ac:dyDescent="0.3">
      <c r="A78" s="1" t="s">
        <v>748</v>
      </c>
      <c r="B78" t="s">
        <v>749</v>
      </c>
      <c r="C78" t="s">
        <v>750</v>
      </c>
      <c r="D78" t="s">
        <v>1128</v>
      </c>
      <c r="E78" t="s">
        <v>568</v>
      </c>
      <c r="F78" t="s">
        <v>1129</v>
      </c>
      <c r="G78" t="s">
        <v>753</v>
      </c>
      <c r="H78" t="s">
        <v>715</v>
      </c>
      <c r="I78" t="s">
        <v>1130</v>
      </c>
      <c r="J78" t="s">
        <v>1131</v>
      </c>
      <c r="K78" t="s">
        <v>1132</v>
      </c>
      <c r="L78" t="s">
        <v>765</v>
      </c>
      <c r="M78" t="s">
        <v>720</v>
      </c>
      <c r="N78" t="s">
        <v>721</v>
      </c>
      <c r="O78">
        <v>1</v>
      </c>
      <c r="P78">
        <v>15</v>
      </c>
      <c r="Q78">
        <v>119</v>
      </c>
      <c r="R78" t="s">
        <v>758</v>
      </c>
      <c r="S78" t="s">
        <v>745</v>
      </c>
      <c r="T78" t="s">
        <v>746</v>
      </c>
      <c r="U78" t="s">
        <v>759</v>
      </c>
    </row>
    <row r="79" spans="1:21" x14ac:dyDescent="0.3">
      <c r="A79" s="1" t="s">
        <v>748</v>
      </c>
      <c r="B79" t="s">
        <v>749</v>
      </c>
      <c r="C79" t="s">
        <v>750</v>
      </c>
      <c r="D79" t="s">
        <v>1133</v>
      </c>
      <c r="E79" t="s">
        <v>568</v>
      </c>
      <c r="F79" t="s">
        <v>1134</v>
      </c>
      <c r="G79" t="s">
        <v>753</v>
      </c>
      <c r="H79" t="s">
        <v>715</v>
      </c>
      <c r="I79" t="s">
        <v>1135</v>
      </c>
      <c r="J79" t="s">
        <v>1136</v>
      </c>
      <c r="K79" t="s">
        <v>1137</v>
      </c>
      <c r="L79" t="s">
        <v>765</v>
      </c>
      <c r="M79" t="s">
        <v>720</v>
      </c>
      <c r="N79" t="s">
        <v>721</v>
      </c>
      <c r="O79">
        <v>14</v>
      </c>
      <c r="P79">
        <v>15</v>
      </c>
      <c r="Q79">
        <v>112</v>
      </c>
      <c r="R79" t="s">
        <v>758</v>
      </c>
      <c r="S79" t="s">
        <v>745</v>
      </c>
      <c r="T79" t="s">
        <v>746</v>
      </c>
      <c r="U79" t="s">
        <v>759</v>
      </c>
    </row>
    <row r="80" spans="1:21" x14ac:dyDescent="0.3">
      <c r="A80" s="1" t="s">
        <v>748</v>
      </c>
      <c r="B80" t="s">
        <v>749</v>
      </c>
      <c r="C80" t="s">
        <v>750</v>
      </c>
      <c r="D80" t="s">
        <v>1138</v>
      </c>
      <c r="E80" t="s">
        <v>568</v>
      </c>
      <c r="F80" t="s">
        <v>1139</v>
      </c>
      <c r="G80" t="s">
        <v>753</v>
      </c>
      <c r="H80" t="s">
        <v>715</v>
      </c>
      <c r="I80" t="s">
        <v>1140</v>
      </c>
      <c r="J80" t="s">
        <v>1141</v>
      </c>
      <c r="K80" t="s">
        <v>1142</v>
      </c>
      <c r="L80" t="s">
        <v>765</v>
      </c>
      <c r="M80" t="s">
        <v>720</v>
      </c>
      <c r="N80" t="s">
        <v>721</v>
      </c>
      <c r="O80">
        <v>4</v>
      </c>
      <c r="P80">
        <v>15</v>
      </c>
      <c r="Q80">
        <v>43</v>
      </c>
      <c r="R80" t="s">
        <v>758</v>
      </c>
      <c r="S80" t="s">
        <v>745</v>
      </c>
      <c r="T80" t="s">
        <v>746</v>
      </c>
      <c r="U80" t="s">
        <v>759</v>
      </c>
    </row>
    <row r="81" spans="1:21" x14ac:dyDescent="0.3">
      <c r="A81" s="1" t="s">
        <v>748</v>
      </c>
      <c r="B81" t="s">
        <v>749</v>
      </c>
      <c r="C81" t="s">
        <v>750</v>
      </c>
      <c r="D81" t="s">
        <v>1143</v>
      </c>
      <c r="E81" t="s">
        <v>568</v>
      </c>
      <c r="F81" t="s">
        <v>1144</v>
      </c>
      <c r="G81" t="s">
        <v>753</v>
      </c>
      <c r="H81" t="s">
        <v>715</v>
      </c>
      <c r="I81" t="s">
        <v>1145</v>
      </c>
      <c r="J81" t="s">
        <v>1146</v>
      </c>
      <c r="K81" t="s">
        <v>1147</v>
      </c>
      <c r="L81" t="s">
        <v>765</v>
      </c>
      <c r="M81" t="s">
        <v>720</v>
      </c>
      <c r="N81" t="s">
        <v>721</v>
      </c>
      <c r="O81">
        <v>2</v>
      </c>
      <c r="P81">
        <v>15</v>
      </c>
      <c r="Q81">
        <v>83</v>
      </c>
      <c r="R81" t="s">
        <v>758</v>
      </c>
      <c r="S81" t="s">
        <v>745</v>
      </c>
      <c r="T81" t="s">
        <v>746</v>
      </c>
      <c r="U81" t="s">
        <v>759</v>
      </c>
    </row>
    <row r="82" spans="1:21" x14ac:dyDescent="0.3">
      <c r="A82" s="1" t="s">
        <v>748</v>
      </c>
      <c r="B82" t="s">
        <v>749</v>
      </c>
      <c r="C82" t="s">
        <v>750</v>
      </c>
      <c r="D82" t="s">
        <v>1148</v>
      </c>
      <c r="E82" t="s">
        <v>568</v>
      </c>
      <c r="F82" t="s">
        <v>1149</v>
      </c>
      <c r="G82" t="s">
        <v>753</v>
      </c>
      <c r="H82" t="s">
        <v>715</v>
      </c>
      <c r="I82" t="s">
        <v>1150</v>
      </c>
      <c r="J82" t="s">
        <v>1151</v>
      </c>
      <c r="K82" t="s">
        <v>1152</v>
      </c>
      <c r="L82" t="s">
        <v>765</v>
      </c>
      <c r="M82" t="s">
        <v>720</v>
      </c>
      <c r="N82" t="s">
        <v>721</v>
      </c>
      <c r="O82">
        <v>1</v>
      </c>
      <c r="P82">
        <v>15</v>
      </c>
      <c r="Q82">
        <v>5</v>
      </c>
      <c r="R82" t="s">
        <v>758</v>
      </c>
      <c r="S82" t="s">
        <v>745</v>
      </c>
      <c r="T82" t="s">
        <v>746</v>
      </c>
      <c r="U82" t="s">
        <v>759</v>
      </c>
    </row>
    <row r="83" spans="1:21" x14ac:dyDescent="0.3">
      <c r="A83" s="1" t="s">
        <v>748</v>
      </c>
      <c r="B83" t="s">
        <v>749</v>
      </c>
      <c r="C83" t="s">
        <v>750</v>
      </c>
      <c r="D83" t="s">
        <v>1153</v>
      </c>
      <c r="E83" t="s">
        <v>568</v>
      </c>
      <c r="F83" t="s">
        <v>1154</v>
      </c>
      <c r="G83" t="s">
        <v>753</v>
      </c>
      <c r="H83" t="s">
        <v>715</v>
      </c>
      <c r="I83" t="s">
        <v>1155</v>
      </c>
      <c r="J83" t="s">
        <v>1156</v>
      </c>
      <c r="K83" t="s">
        <v>1157</v>
      </c>
      <c r="L83" t="s">
        <v>765</v>
      </c>
      <c r="M83" t="s">
        <v>720</v>
      </c>
      <c r="N83" t="s">
        <v>721</v>
      </c>
      <c r="O83">
        <v>2</v>
      </c>
      <c r="P83">
        <v>15</v>
      </c>
      <c r="Q83">
        <v>43</v>
      </c>
      <c r="R83" t="s">
        <v>758</v>
      </c>
      <c r="S83" t="s">
        <v>745</v>
      </c>
      <c r="T83" t="s">
        <v>746</v>
      </c>
      <c r="U83" t="s">
        <v>759</v>
      </c>
    </row>
    <row r="84" spans="1:21" x14ac:dyDescent="0.3">
      <c r="A84" s="1" t="s">
        <v>748</v>
      </c>
      <c r="B84" t="s">
        <v>749</v>
      </c>
      <c r="C84" t="s">
        <v>750</v>
      </c>
      <c r="D84" t="s">
        <v>1158</v>
      </c>
      <c r="E84" t="s">
        <v>568</v>
      </c>
      <c r="F84" t="s">
        <v>1159</v>
      </c>
      <c r="G84" t="s">
        <v>753</v>
      </c>
      <c r="H84" t="s">
        <v>715</v>
      </c>
      <c r="I84" t="s">
        <v>1160</v>
      </c>
      <c r="J84" t="s">
        <v>1161</v>
      </c>
      <c r="K84" t="s">
        <v>1162</v>
      </c>
      <c r="L84" t="s">
        <v>765</v>
      </c>
      <c r="M84" t="s">
        <v>720</v>
      </c>
      <c r="N84" t="s">
        <v>721</v>
      </c>
      <c r="O84">
        <v>18</v>
      </c>
      <c r="P84">
        <v>15</v>
      </c>
      <c r="Q84">
        <v>60</v>
      </c>
      <c r="R84" t="s">
        <v>758</v>
      </c>
      <c r="S84" t="s">
        <v>745</v>
      </c>
      <c r="T84" t="s">
        <v>746</v>
      </c>
      <c r="U84" t="s">
        <v>759</v>
      </c>
    </row>
    <row r="85" spans="1:21" x14ac:dyDescent="0.3">
      <c r="A85" s="1" t="s">
        <v>748</v>
      </c>
      <c r="B85" t="s">
        <v>749</v>
      </c>
      <c r="C85" t="s">
        <v>750</v>
      </c>
      <c r="D85" t="s">
        <v>1163</v>
      </c>
      <c r="E85" t="s">
        <v>568</v>
      </c>
      <c r="F85" t="s">
        <v>1164</v>
      </c>
      <c r="G85" t="s">
        <v>794</v>
      </c>
      <c r="H85" t="s">
        <v>715</v>
      </c>
      <c r="I85" t="s">
        <v>1165</v>
      </c>
      <c r="J85" t="s">
        <v>1166</v>
      </c>
      <c r="K85" t="s">
        <v>1167</v>
      </c>
      <c r="L85" t="s">
        <v>826</v>
      </c>
      <c r="M85" t="s">
        <v>720</v>
      </c>
      <c r="N85" t="s">
        <v>721</v>
      </c>
      <c r="O85">
        <v>6</v>
      </c>
      <c r="P85">
        <v>2</v>
      </c>
      <c r="Q85">
        <v>30</v>
      </c>
      <c r="R85" t="s">
        <v>798</v>
      </c>
      <c r="S85" t="s">
        <v>745</v>
      </c>
      <c r="T85" t="s">
        <v>746</v>
      </c>
      <c r="U85" t="s">
        <v>759</v>
      </c>
    </row>
    <row r="86" spans="1:21" x14ac:dyDescent="0.3">
      <c r="A86" s="1" t="s">
        <v>748</v>
      </c>
      <c r="B86" t="s">
        <v>749</v>
      </c>
      <c r="C86" t="s">
        <v>750</v>
      </c>
      <c r="D86" t="s">
        <v>1168</v>
      </c>
      <c r="E86" t="s">
        <v>567</v>
      </c>
      <c r="F86" t="s">
        <v>1169</v>
      </c>
      <c r="G86" t="s">
        <v>794</v>
      </c>
      <c r="H86" t="s">
        <v>715</v>
      </c>
      <c r="I86" t="s">
        <v>1170</v>
      </c>
      <c r="J86" t="s">
        <v>1171</v>
      </c>
      <c r="K86" t="s">
        <v>1172</v>
      </c>
      <c r="L86" t="s">
        <v>826</v>
      </c>
      <c r="M86" t="s">
        <v>720</v>
      </c>
      <c r="N86" t="s">
        <v>721</v>
      </c>
      <c r="O86">
        <v>13</v>
      </c>
      <c r="P86">
        <v>2</v>
      </c>
      <c r="Q86">
        <v>62</v>
      </c>
      <c r="R86" t="s">
        <v>798</v>
      </c>
      <c r="S86" t="s">
        <v>745</v>
      </c>
      <c r="T86" t="s">
        <v>746</v>
      </c>
      <c r="U86" t="s">
        <v>759</v>
      </c>
    </row>
    <row r="87" spans="1:21" x14ac:dyDescent="0.3">
      <c r="A87" s="1" t="s">
        <v>748</v>
      </c>
      <c r="B87" t="s">
        <v>749</v>
      </c>
      <c r="C87" t="s">
        <v>750</v>
      </c>
      <c r="D87" t="s">
        <v>1173</v>
      </c>
      <c r="E87" t="s">
        <v>567</v>
      </c>
      <c r="F87" t="s">
        <v>1174</v>
      </c>
      <c r="G87" t="s">
        <v>753</v>
      </c>
      <c r="H87" t="s">
        <v>715</v>
      </c>
      <c r="I87" t="s">
        <v>1175</v>
      </c>
      <c r="J87" t="s">
        <v>1176</v>
      </c>
      <c r="K87" t="s">
        <v>1177</v>
      </c>
      <c r="L87" t="s">
        <v>765</v>
      </c>
      <c r="M87" t="s">
        <v>720</v>
      </c>
      <c r="N87" t="s">
        <v>721</v>
      </c>
      <c r="O87">
        <v>3</v>
      </c>
      <c r="P87">
        <v>15</v>
      </c>
      <c r="Q87">
        <v>16</v>
      </c>
      <c r="R87" t="s">
        <v>758</v>
      </c>
      <c r="S87" t="s">
        <v>745</v>
      </c>
      <c r="T87" t="s">
        <v>746</v>
      </c>
      <c r="U87" t="s">
        <v>759</v>
      </c>
    </row>
    <row r="88" spans="1:21" x14ac:dyDescent="0.3">
      <c r="A88" s="1" t="s">
        <v>748</v>
      </c>
      <c r="B88" t="s">
        <v>749</v>
      </c>
      <c r="C88" t="s">
        <v>750</v>
      </c>
      <c r="D88" t="s">
        <v>1178</v>
      </c>
      <c r="E88" t="s">
        <v>567</v>
      </c>
      <c r="F88" t="s">
        <v>1179</v>
      </c>
      <c r="G88" t="s">
        <v>794</v>
      </c>
      <c r="H88" t="s">
        <v>715</v>
      </c>
      <c r="I88" t="s">
        <v>1180</v>
      </c>
      <c r="J88" t="s">
        <v>1181</v>
      </c>
      <c r="K88" t="s">
        <v>1182</v>
      </c>
      <c r="L88" t="s">
        <v>741</v>
      </c>
      <c r="M88" t="s">
        <v>720</v>
      </c>
      <c r="N88" t="s">
        <v>743</v>
      </c>
      <c r="O88">
        <v>0</v>
      </c>
      <c r="P88">
        <v>0</v>
      </c>
      <c r="Q88">
        <v>72</v>
      </c>
      <c r="R88" t="s">
        <v>798</v>
      </c>
      <c r="S88" t="s">
        <v>745</v>
      </c>
      <c r="T88" t="s">
        <v>746</v>
      </c>
      <c r="U88" t="s">
        <v>759</v>
      </c>
    </row>
    <row r="89" spans="1:21" x14ac:dyDescent="0.3">
      <c r="A89" s="1" t="s">
        <v>748</v>
      </c>
      <c r="B89" t="s">
        <v>749</v>
      </c>
      <c r="C89" t="s">
        <v>750</v>
      </c>
      <c r="D89" t="s">
        <v>1183</v>
      </c>
      <c r="E89" t="s">
        <v>567</v>
      </c>
      <c r="F89" t="s">
        <v>1184</v>
      </c>
      <c r="G89" t="s">
        <v>806</v>
      </c>
      <c r="H89" t="s">
        <v>715</v>
      </c>
      <c r="I89" t="s">
        <v>1185</v>
      </c>
      <c r="J89" t="s">
        <v>1186</v>
      </c>
      <c r="K89" t="s">
        <v>1187</v>
      </c>
      <c r="L89" t="s">
        <v>810</v>
      </c>
      <c r="M89" t="s">
        <v>720</v>
      </c>
      <c r="N89" t="s">
        <v>721</v>
      </c>
      <c r="O89">
        <v>16</v>
      </c>
      <c r="P89">
        <v>3</v>
      </c>
      <c r="Q89">
        <v>9</v>
      </c>
      <c r="R89" t="s">
        <v>798</v>
      </c>
      <c r="S89" t="s">
        <v>745</v>
      </c>
      <c r="T89" t="s">
        <v>746</v>
      </c>
      <c r="U89" t="s">
        <v>759</v>
      </c>
    </row>
    <row r="90" spans="1:21" x14ac:dyDescent="0.3">
      <c r="A90" s="1" t="s">
        <v>748</v>
      </c>
      <c r="B90" t="s">
        <v>749</v>
      </c>
      <c r="C90" t="s">
        <v>750</v>
      </c>
      <c r="D90" t="s">
        <v>1188</v>
      </c>
      <c r="E90" t="s">
        <v>567</v>
      </c>
      <c r="F90" t="s">
        <v>1189</v>
      </c>
      <c r="G90" t="s">
        <v>753</v>
      </c>
      <c r="H90" t="s">
        <v>715</v>
      </c>
      <c r="I90" t="s">
        <v>1190</v>
      </c>
      <c r="J90" t="s">
        <v>1191</v>
      </c>
      <c r="K90" t="s">
        <v>1192</v>
      </c>
      <c r="L90" t="s">
        <v>757</v>
      </c>
      <c r="M90" t="s">
        <v>720</v>
      </c>
      <c r="N90" t="s">
        <v>721</v>
      </c>
      <c r="O90">
        <v>2</v>
      </c>
      <c r="P90">
        <v>7</v>
      </c>
      <c r="Q90">
        <v>56</v>
      </c>
      <c r="R90" t="s">
        <v>758</v>
      </c>
      <c r="S90" t="s">
        <v>745</v>
      </c>
      <c r="T90" t="s">
        <v>746</v>
      </c>
      <c r="U90" t="s">
        <v>1193</v>
      </c>
    </row>
    <row r="91" spans="1:21" x14ac:dyDescent="0.3">
      <c r="A91" s="1" t="s">
        <v>748</v>
      </c>
      <c r="B91" t="s">
        <v>749</v>
      </c>
      <c r="C91" t="s">
        <v>750</v>
      </c>
      <c r="D91" t="s">
        <v>1194</v>
      </c>
      <c r="E91" t="s">
        <v>567</v>
      </c>
      <c r="F91" t="s">
        <v>1195</v>
      </c>
      <c r="G91" t="s">
        <v>753</v>
      </c>
      <c r="H91" t="s">
        <v>715</v>
      </c>
      <c r="I91" t="s">
        <v>1196</v>
      </c>
      <c r="J91" t="s">
        <v>1197</v>
      </c>
      <c r="K91" t="s">
        <v>1198</v>
      </c>
      <c r="L91" t="s">
        <v>765</v>
      </c>
      <c r="M91" t="s">
        <v>720</v>
      </c>
      <c r="N91" t="s">
        <v>721</v>
      </c>
      <c r="O91">
        <v>9</v>
      </c>
      <c r="P91">
        <v>15</v>
      </c>
      <c r="Q91">
        <v>62</v>
      </c>
      <c r="R91" t="s">
        <v>758</v>
      </c>
      <c r="S91" t="s">
        <v>745</v>
      </c>
      <c r="T91" t="s">
        <v>746</v>
      </c>
      <c r="U91" t="s">
        <v>759</v>
      </c>
    </row>
    <row r="92" spans="1:21" x14ac:dyDescent="0.3">
      <c r="A92" s="1" t="s">
        <v>748</v>
      </c>
      <c r="B92" t="s">
        <v>749</v>
      </c>
      <c r="C92" t="s">
        <v>750</v>
      </c>
      <c r="D92" t="s">
        <v>1199</v>
      </c>
      <c r="E92" t="s">
        <v>567</v>
      </c>
      <c r="F92" t="s">
        <v>1200</v>
      </c>
      <c r="G92" t="s">
        <v>753</v>
      </c>
      <c r="H92" t="s">
        <v>715</v>
      </c>
      <c r="I92" t="s">
        <v>1201</v>
      </c>
      <c r="J92" t="s">
        <v>1202</v>
      </c>
      <c r="K92" t="s">
        <v>1203</v>
      </c>
      <c r="L92" t="s">
        <v>765</v>
      </c>
      <c r="M92" t="s">
        <v>720</v>
      </c>
      <c r="N92" t="s">
        <v>721</v>
      </c>
      <c r="O92">
        <v>1</v>
      </c>
      <c r="P92">
        <v>15</v>
      </c>
      <c r="Q92">
        <v>68</v>
      </c>
      <c r="R92" t="s">
        <v>758</v>
      </c>
      <c r="S92" t="s">
        <v>745</v>
      </c>
      <c r="T92" t="s">
        <v>746</v>
      </c>
      <c r="U92" t="s">
        <v>759</v>
      </c>
    </row>
    <row r="93" spans="1:21" x14ac:dyDescent="0.3">
      <c r="A93" s="1" t="s">
        <v>748</v>
      </c>
      <c r="B93" t="s">
        <v>749</v>
      </c>
      <c r="C93" t="s">
        <v>750</v>
      </c>
      <c r="D93" t="s">
        <v>1204</v>
      </c>
      <c r="E93" t="s">
        <v>567</v>
      </c>
      <c r="F93" t="s">
        <v>1205</v>
      </c>
      <c r="G93" t="s">
        <v>753</v>
      </c>
      <c r="H93" t="s">
        <v>715</v>
      </c>
      <c r="I93" t="s">
        <v>1206</v>
      </c>
      <c r="J93" t="s">
        <v>1207</v>
      </c>
      <c r="K93" t="s">
        <v>1208</v>
      </c>
      <c r="L93" t="s">
        <v>765</v>
      </c>
      <c r="M93" t="s">
        <v>720</v>
      </c>
      <c r="N93" t="s">
        <v>721</v>
      </c>
      <c r="O93">
        <v>4</v>
      </c>
      <c r="P93">
        <v>15</v>
      </c>
      <c r="Q93">
        <v>13</v>
      </c>
      <c r="R93" t="s">
        <v>758</v>
      </c>
      <c r="S93" t="s">
        <v>745</v>
      </c>
      <c r="T93" t="s">
        <v>746</v>
      </c>
      <c r="U93" t="s">
        <v>759</v>
      </c>
    </row>
    <row r="94" spans="1:21" x14ac:dyDescent="0.3">
      <c r="A94" s="1" t="s">
        <v>748</v>
      </c>
      <c r="B94" t="s">
        <v>749</v>
      </c>
      <c r="C94" t="s">
        <v>750</v>
      </c>
      <c r="D94" t="s">
        <v>734</v>
      </c>
      <c r="E94" t="s">
        <v>567</v>
      </c>
      <c r="F94" t="s">
        <v>735</v>
      </c>
      <c r="G94" t="s">
        <v>794</v>
      </c>
      <c r="H94" t="s">
        <v>715</v>
      </c>
      <c r="I94" t="s">
        <v>1209</v>
      </c>
      <c r="J94" t="s">
        <v>1210</v>
      </c>
      <c r="K94" t="s">
        <v>1211</v>
      </c>
      <c r="L94" t="s">
        <v>826</v>
      </c>
      <c r="M94" t="s">
        <v>720</v>
      </c>
      <c r="N94" t="s">
        <v>721</v>
      </c>
      <c r="O94">
        <v>12</v>
      </c>
      <c r="P94">
        <v>2</v>
      </c>
      <c r="Q94">
        <v>62</v>
      </c>
      <c r="R94" t="s">
        <v>798</v>
      </c>
      <c r="S94" t="s">
        <v>745</v>
      </c>
      <c r="T94" t="s">
        <v>746</v>
      </c>
      <c r="U94" t="s">
        <v>759</v>
      </c>
    </row>
    <row r="95" spans="1:21" x14ac:dyDescent="0.3">
      <c r="A95" s="1" t="s">
        <v>748</v>
      </c>
      <c r="B95" t="s">
        <v>749</v>
      </c>
      <c r="C95" t="s">
        <v>750</v>
      </c>
      <c r="D95" t="s">
        <v>1212</v>
      </c>
      <c r="E95" t="s">
        <v>567</v>
      </c>
      <c r="F95" t="s">
        <v>1213</v>
      </c>
      <c r="G95" t="s">
        <v>753</v>
      </c>
      <c r="H95" t="s">
        <v>715</v>
      </c>
      <c r="I95" t="s">
        <v>1214</v>
      </c>
      <c r="J95" t="s">
        <v>1215</v>
      </c>
      <c r="K95" t="s">
        <v>1216</v>
      </c>
      <c r="L95" t="s">
        <v>757</v>
      </c>
      <c r="M95" t="s">
        <v>720</v>
      </c>
      <c r="N95" t="s">
        <v>721</v>
      </c>
      <c r="O95">
        <v>1</v>
      </c>
      <c r="P95">
        <v>7</v>
      </c>
      <c r="Q95">
        <v>104</v>
      </c>
      <c r="R95" t="s">
        <v>758</v>
      </c>
      <c r="S95" t="s">
        <v>745</v>
      </c>
      <c r="T95" t="s">
        <v>746</v>
      </c>
      <c r="U95" t="s">
        <v>759</v>
      </c>
    </row>
    <row r="96" spans="1:21" x14ac:dyDescent="0.3">
      <c r="A96" s="1" t="s">
        <v>748</v>
      </c>
      <c r="B96" t="s">
        <v>749</v>
      </c>
      <c r="C96" t="s">
        <v>750</v>
      </c>
      <c r="D96" t="s">
        <v>1217</v>
      </c>
      <c r="E96" t="s">
        <v>567</v>
      </c>
      <c r="F96" t="s">
        <v>1218</v>
      </c>
      <c r="G96" t="s">
        <v>753</v>
      </c>
      <c r="H96" t="s">
        <v>715</v>
      </c>
      <c r="I96" t="s">
        <v>1219</v>
      </c>
      <c r="J96" t="s">
        <v>1220</v>
      </c>
      <c r="K96" t="s">
        <v>1221</v>
      </c>
      <c r="L96" t="s">
        <v>765</v>
      </c>
      <c r="M96" t="s">
        <v>720</v>
      </c>
      <c r="N96" t="s">
        <v>721</v>
      </c>
      <c r="O96">
        <v>17</v>
      </c>
      <c r="P96">
        <v>15</v>
      </c>
      <c r="Q96">
        <v>76</v>
      </c>
      <c r="R96" t="s">
        <v>758</v>
      </c>
      <c r="S96" t="s">
        <v>745</v>
      </c>
      <c r="T96" t="s">
        <v>746</v>
      </c>
      <c r="U96" t="s">
        <v>759</v>
      </c>
    </row>
    <row r="97" spans="1:21" x14ac:dyDescent="0.3">
      <c r="A97" s="1" t="s">
        <v>748</v>
      </c>
      <c r="B97" t="s">
        <v>749</v>
      </c>
      <c r="C97" t="s">
        <v>750</v>
      </c>
      <c r="D97" t="s">
        <v>1222</v>
      </c>
      <c r="E97" t="s">
        <v>567</v>
      </c>
      <c r="F97" t="s">
        <v>1223</v>
      </c>
      <c r="G97" t="s">
        <v>794</v>
      </c>
      <c r="H97" t="s">
        <v>715</v>
      </c>
      <c r="I97" t="s">
        <v>1224</v>
      </c>
      <c r="J97" t="s">
        <v>1225</v>
      </c>
      <c r="K97" t="s">
        <v>1226</v>
      </c>
      <c r="L97" t="s">
        <v>826</v>
      </c>
      <c r="M97" t="s">
        <v>720</v>
      </c>
      <c r="N97" t="s">
        <v>721</v>
      </c>
      <c r="O97">
        <v>12</v>
      </c>
      <c r="P97">
        <v>2</v>
      </c>
      <c r="Q97">
        <v>86</v>
      </c>
      <c r="R97" t="s">
        <v>798</v>
      </c>
      <c r="S97" t="s">
        <v>745</v>
      </c>
      <c r="T97" t="s">
        <v>746</v>
      </c>
      <c r="U97" t="s">
        <v>759</v>
      </c>
    </row>
    <row r="98" spans="1:21" x14ac:dyDescent="0.3">
      <c r="A98" s="1" t="s">
        <v>748</v>
      </c>
      <c r="B98" t="s">
        <v>749</v>
      </c>
      <c r="C98" t="s">
        <v>750</v>
      </c>
      <c r="D98" t="s">
        <v>1227</v>
      </c>
      <c r="E98" t="s">
        <v>567</v>
      </c>
      <c r="F98" t="s">
        <v>1228</v>
      </c>
      <c r="G98" t="s">
        <v>714</v>
      </c>
      <c r="H98" t="s">
        <v>715</v>
      </c>
      <c r="I98" t="s">
        <v>1229</v>
      </c>
      <c r="J98" t="s">
        <v>1230</v>
      </c>
      <c r="K98" t="s">
        <v>1231</v>
      </c>
      <c r="L98" t="s">
        <v>1082</v>
      </c>
      <c r="M98" t="s">
        <v>720</v>
      </c>
      <c r="N98" t="s">
        <v>721</v>
      </c>
      <c r="O98">
        <v>2</v>
      </c>
      <c r="P98">
        <v>0</v>
      </c>
      <c r="Q98">
        <v>94</v>
      </c>
      <c r="R98" t="s">
        <v>798</v>
      </c>
      <c r="S98" t="s">
        <v>723</v>
      </c>
      <c r="T98" t="s">
        <v>1083</v>
      </c>
      <c r="U98" t="s">
        <v>707</v>
      </c>
    </row>
    <row r="99" spans="1:21" x14ac:dyDescent="0.3">
      <c r="A99" s="1" t="s">
        <v>748</v>
      </c>
      <c r="B99" t="s">
        <v>749</v>
      </c>
      <c r="C99" t="s">
        <v>750</v>
      </c>
      <c r="D99" t="s">
        <v>1232</v>
      </c>
      <c r="E99" t="s">
        <v>567</v>
      </c>
      <c r="F99" t="s">
        <v>1233</v>
      </c>
      <c r="G99" t="s">
        <v>753</v>
      </c>
      <c r="H99" t="s">
        <v>715</v>
      </c>
      <c r="I99" t="s">
        <v>1234</v>
      </c>
      <c r="J99" t="s">
        <v>1235</v>
      </c>
      <c r="K99" t="s">
        <v>1236</v>
      </c>
      <c r="L99" t="s">
        <v>765</v>
      </c>
      <c r="M99" t="s">
        <v>720</v>
      </c>
      <c r="N99" t="s">
        <v>721</v>
      </c>
      <c r="O99">
        <v>3</v>
      </c>
      <c r="P99">
        <v>15</v>
      </c>
      <c r="Q99">
        <v>86</v>
      </c>
      <c r="R99" t="s">
        <v>758</v>
      </c>
      <c r="S99" t="s">
        <v>745</v>
      </c>
      <c r="T99" t="s">
        <v>746</v>
      </c>
      <c r="U99" t="s">
        <v>747</v>
      </c>
    </row>
    <row r="100" spans="1:21" x14ac:dyDescent="0.3">
      <c r="A100" s="1" t="s">
        <v>748</v>
      </c>
      <c r="B100" t="s">
        <v>749</v>
      </c>
      <c r="C100" t="s">
        <v>750</v>
      </c>
      <c r="D100" t="s">
        <v>1237</v>
      </c>
      <c r="E100" t="s">
        <v>567</v>
      </c>
      <c r="F100" t="s">
        <v>1238</v>
      </c>
      <c r="G100" t="s">
        <v>1239</v>
      </c>
      <c r="H100" t="s">
        <v>737</v>
      </c>
      <c r="I100" t="s">
        <v>1240</v>
      </c>
      <c r="J100" t="s">
        <v>1241</v>
      </c>
      <c r="K100" t="s">
        <v>1242</v>
      </c>
      <c r="L100" t="s">
        <v>1243</v>
      </c>
      <c r="M100" t="s">
        <v>1243</v>
      </c>
      <c r="N100" t="s">
        <v>721</v>
      </c>
      <c r="O100">
        <v>27</v>
      </c>
      <c r="P100">
        <v>0</v>
      </c>
      <c r="Q100">
        <v>229</v>
      </c>
      <c r="R100" t="s">
        <v>758</v>
      </c>
      <c r="S100" t="s">
        <v>745</v>
      </c>
      <c r="T100" t="s">
        <v>746</v>
      </c>
      <c r="U100" t="s">
        <v>747</v>
      </c>
    </row>
    <row r="101" spans="1:21" x14ac:dyDescent="0.3">
      <c r="A101" s="1" t="s">
        <v>748</v>
      </c>
      <c r="B101" t="s">
        <v>749</v>
      </c>
      <c r="C101" t="s">
        <v>750</v>
      </c>
      <c r="D101" t="s">
        <v>1244</v>
      </c>
      <c r="E101" t="s">
        <v>567</v>
      </c>
      <c r="F101" t="s">
        <v>1245</v>
      </c>
      <c r="G101" t="s">
        <v>753</v>
      </c>
      <c r="H101" t="s">
        <v>715</v>
      </c>
      <c r="I101" t="s">
        <v>1246</v>
      </c>
      <c r="J101" t="s">
        <v>1247</v>
      </c>
      <c r="K101" t="s">
        <v>1248</v>
      </c>
      <c r="L101" t="s">
        <v>765</v>
      </c>
      <c r="M101" t="s">
        <v>720</v>
      </c>
      <c r="N101" t="s">
        <v>721</v>
      </c>
      <c r="O101">
        <v>0</v>
      </c>
      <c r="P101">
        <v>15</v>
      </c>
      <c r="Q101">
        <v>73</v>
      </c>
      <c r="R101" t="s">
        <v>758</v>
      </c>
      <c r="S101" t="s">
        <v>745</v>
      </c>
      <c r="T101" t="s">
        <v>746</v>
      </c>
      <c r="U101" t="s">
        <v>759</v>
      </c>
    </row>
    <row r="102" spans="1:21" x14ac:dyDescent="0.3">
      <c r="A102" s="1" t="s">
        <v>748</v>
      </c>
      <c r="B102" t="s">
        <v>749</v>
      </c>
      <c r="C102" t="s">
        <v>750</v>
      </c>
      <c r="D102" t="s">
        <v>1249</v>
      </c>
      <c r="E102" t="s">
        <v>567</v>
      </c>
      <c r="F102" t="s">
        <v>1250</v>
      </c>
      <c r="G102" t="s">
        <v>753</v>
      </c>
      <c r="H102" t="s">
        <v>715</v>
      </c>
      <c r="I102" t="s">
        <v>1251</v>
      </c>
      <c r="J102" t="s">
        <v>1252</v>
      </c>
      <c r="K102" t="s">
        <v>1253</v>
      </c>
      <c r="L102" t="s">
        <v>765</v>
      </c>
      <c r="M102" t="s">
        <v>720</v>
      </c>
      <c r="N102" t="s">
        <v>721</v>
      </c>
      <c r="O102">
        <v>1</v>
      </c>
      <c r="P102">
        <v>15</v>
      </c>
      <c r="Q102">
        <v>16</v>
      </c>
      <c r="R102" t="s">
        <v>758</v>
      </c>
      <c r="S102" t="s">
        <v>745</v>
      </c>
      <c r="T102" t="s">
        <v>746</v>
      </c>
      <c r="U102" t="s">
        <v>759</v>
      </c>
    </row>
    <row r="103" spans="1:21" x14ac:dyDescent="0.3">
      <c r="A103" s="1" t="s">
        <v>748</v>
      </c>
      <c r="B103" t="s">
        <v>749</v>
      </c>
      <c r="C103" t="s">
        <v>750</v>
      </c>
      <c r="D103" t="s">
        <v>1254</v>
      </c>
      <c r="E103" t="s">
        <v>567</v>
      </c>
      <c r="F103" t="s">
        <v>1255</v>
      </c>
      <c r="G103" t="s">
        <v>794</v>
      </c>
      <c r="H103" t="s">
        <v>715</v>
      </c>
      <c r="I103" t="s">
        <v>1256</v>
      </c>
      <c r="J103" t="s">
        <v>1257</v>
      </c>
      <c r="K103" t="s">
        <v>1258</v>
      </c>
      <c r="L103" t="s">
        <v>826</v>
      </c>
      <c r="M103" t="s">
        <v>720</v>
      </c>
      <c r="N103" t="s">
        <v>721</v>
      </c>
      <c r="O103">
        <v>6</v>
      </c>
      <c r="P103">
        <v>2</v>
      </c>
      <c r="Q103">
        <v>26</v>
      </c>
      <c r="R103" t="s">
        <v>798</v>
      </c>
      <c r="S103" t="s">
        <v>745</v>
      </c>
      <c r="T103" t="s">
        <v>746</v>
      </c>
      <c r="U103" t="s">
        <v>759</v>
      </c>
    </row>
    <row r="104" spans="1:21" x14ac:dyDescent="0.3">
      <c r="A104" s="1" t="s">
        <v>748</v>
      </c>
      <c r="B104" t="s">
        <v>749</v>
      </c>
      <c r="C104" t="s">
        <v>750</v>
      </c>
      <c r="D104" t="s">
        <v>1259</v>
      </c>
      <c r="E104" t="s">
        <v>567</v>
      </c>
      <c r="F104" t="s">
        <v>1260</v>
      </c>
      <c r="G104" t="s">
        <v>753</v>
      </c>
      <c r="H104" t="s">
        <v>715</v>
      </c>
      <c r="I104" t="s">
        <v>1261</v>
      </c>
      <c r="J104" t="s">
        <v>1262</v>
      </c>
      <c r="K104" t="s">
        <v>1263</v>
      </c>
      <c r="L104" t="s">
        <v>765</v>
      </c>
      <c r="M104" t="s">
        <v>720</v>
      </c>
      <c r="N104" t="s">
        <v>721</v>
      </c>
      <c r="O104">
        <v>1</v>
      </c>
      <c r="P104">
        <v>15</v>
      </c>
      <c r="Q104">
        <v>118</v>
      </c>
      <c r="R104" t="s">
        <v>758</v>
      </c>
      <c r="S104" t="s">
        <v>745</v>
      </c>
      <c r="T104" t="s">
        <v>746</v>
      </c>
      <c r="U104" t="s">
        <v>747</v>
      </c>
    </row>
    <row r="105" spans="1:21" x14ac:dyDescent="0.3">
      <c r="A105" s="1" t="s">
        <v>748</v>
      </c>
      <c r="B105" t="s">
        <v>749</v>
      </c>
      <c r="C105" t="s">
        <v>750</v>
      </c>
      <c r="D105" t="s">
        <v>1264</v>
      </c>
      <c r="E105" t="s">
        <v>567</v>
      </c>
      <c r="F105" t="s">
        <v>1265</v>
      </c>
      <c r="G105" t="s">
        <v>753</v>
      </c>
      <c r="H105" t="s">
        <v>715</v>
      </c>
      <c r="I105" t="s">
        <v>1266</v>
      </c>
      <c r="J105" t="s">
        <v>1267</v>
      </c>
      <c r="K105" t="s">
        <v>1268</v>
      </c>
      <c r="L105" t="s">
        <v>765</v>
      </c>
      <c r="M105" t="s">
        <v>720</v>
      </c>
      <c r="N105" t="s">
        <v>721</v>
      </c>
      <c r="O105">
        <v>6</v>
      </c>
      <c r="P105">
        <v>15</v>
      </c>
      <c r="Q105">
        <v>86</v>
      </c>
      <c r="R105" t="s">
        <v>758</v>
      </c>
      <c r="S105" t="s">
        <v>745</v>
      </c>
      <c r="T105" t="s">
        <v>746</v>
      </c>
      <c r="U105" t="s">
        <v>1269</v>
      </c>
    </row>
    <row r="106" spans="1:21" x14ac:dyDescent="0.3">
      <c r="A106" s="1" t="s">
        <v>748</v>
      </c>
      <c r="B106" t="s">
        <v>749</v>
      </c>
      <c r="C106" t="s">
        <v>750</v>
      </c>
      <c r="D106" t="s">
        <v>1270</v>
      </c>
      <c r="E106" t="s">
        <v>567</v>
      </c>
      <c r="F106" t="s">
        <v>1271</v>
      </c>
      <c r="G106" t="s">
        <v>753</v>
      </c>
      <c r="H106" t="s">
        <v>715</v>
      </c>
      <c r="I106" t="s">
        <v>1272</v>
      </c>
      <c r="J106" t="s">
        <v>1273</v>
      </c>
      <c r="K106" t="s">
        <v>1274</v>
      </c>
      <c r="L106" t="s">
        <v>765</v>
      </c>
      <c r="M106" t="s">
        <v>720</v>
      </c>
      <c r="N106" t="s">
        <v>721</v>
      </c>
      <c r="O106">
        <v>2</v>
      </c>
      <c r="P106">
        <v>15</v>
      </c>
      <c r="Q106">
        <v>36</v>
      </c>
      <c r="R106" t="s">
        <v>758</v>
      </c>
      <c r="S106" t="s">
        <v>745</v>
      </c>
      <c r="T106" t="s">
        <v>746</v>
      </c>
      <c r="U106" t="s">
        <v>759</v>
      </c>
    </row>
    <row r="107" spans="1:21" x14ac:dyDescent="0.3">
      <c r="A107" s="1" t="s">
        <v>748</v>
      </c>
      <c r="B107" t="s">
        <v>749</v>
      </c>
      <c r="C107" t="s">
        <v>750</v>
      </c>
      <c r="D107" t="s">
        <v>1275</v>
      </c>
      <c r="E107" t="s">
        <v>567</v>
      </c>
      <c r="F107" t="s">
        <v>1276</v>
      </c>
      <c r="G107" t="s">
        <v>794</v>
      </c>
      <c r="H107" t="s">
        <v>715</v>
      </c>
      <c r="I107" t="s">
        <v>1277</v>
      </c>
      <c r="J107" t="s">
        <v>1278</v>
      </c>
      <c r="K107" t="s">
        <v>1279</v>
      </c>
      <c r="L107" t="s">
        <v>826</v>
      </c>
      <c r="M107" t="s">
        <v>720</v>
      </c>
      <c r="N107" t="s">
        <v>721</v>
      </c>
      <c r="O107">
        <v>8</v>
      </c>
      <c r="P107">
        <v>10</v>
      </c>
      <c r="Q107">
        <v>97</v>
      </c>
      <c r="R107" t="s">
        <v>722</v>
      </c>
      <c r="S107" t="s">
        <v>745</v>
      </c>
      <c r="T107" t="s">
        <v>746</v>
      </c>
      <c r="U107" t="s">
        <v>759</v>
      </c>
    </row>
    <row r="108" spans="1:21" x14ac:dyDescent="0.3">
      <c r="A108" s="1" t="s">
        <v>748</v>
      </c>
      <c r="B108" t="s">
        <v>749</v>
      </c>
      <c r="C108" t="s">
        <v>750</v>
      </c>
      <c r="D108" t="s">
        <v>1280</v>
      </c>
      <c r="E108" t="s">
        <v>567</v>
      </c>
      <c r="F108" t="s">
        <v>1281</v>
      </c>
      <c r="G108" t="s">
        <v>753</v>
      </c>
      <c r="H108" t="s">
        <v>715</v>
      </c>
      <c r="I108" t="s">
        <v>1282</v>
      </c>
      <c r="J108" t="s">
        <v>1283</v>
      </c>
      <c r="K108" t="s">
        <v>1284</v>
      </c>
      <c r="L108" t="s">
        <v>757</v>
      </c>
      <c r="M108" t="s">
        <v>720</v>
      </c>
      <c r="N108" t="s">
        <v>721</v>
      </c>
      <c r="O108">
        <v>2</v>
      </c>
      <c r="P108">
        <v>7</v>
      </c>
      <c r="Q108">
        <v>111</v>
      </c>
      <c r="R108" t="s">
        <v>758</v>
      </c>
      <c r="S108" t="s">
        <v>745</v>
      </c>
      <c r="T108" t="s">
        <v>746</v>
      </c>
      <c r="U108" t="s">
        <v>759</v>
      </c>
    </row>
    <row r="109" spans="1:21" x14ac:dyDescent="0.3">
      <c r="A109" s="1" t="s">
        <v>748</v>
      </c>
      <c r="B109" t="s">
        <v>749</v>
      </c>
      <c r="C109" t="s">
        <v>750</v>
      </c>
      <c r="D109" t="s">
        <v>1285</v>
      </c>
      <c r="E109" t="s">
        <v>567</v>
      </c>
      <c r="F109" t="s">
        <v>1286</v>
      </c>
      <c r="G109" t="s">
        <v>753</v>
      </c>
      <c r="H109" t="s">
        <v>715</v>
      </c>
      <c r="I109" t="s">
        <v>1287</v>
      </c>
      <c r="J109" t="s">
        <v>1288</v>
      </c>
      <c r="K109" t="s">
        <v>1289</v>
      </c>
      <c r="L109" t="s">
        <v>757</v>
      </c>
      <c r="M109" t="s">
        <v>720</v>
      </c>
      <c r="N109" t="s">
        <v>721</v>
      </c>
      <c r="O109">
        <v>4</v>
      </c>
      <c r="P109">
        <v>7</v>
      </c>
      <c r="Q109">
        <v>45</v>
      </c>
      <c r="R109" t="s">
        <v>758</v>
      </c>
      <c r="S109" t="s">
        <v>745</v>
      </c>
      <c r="T109" t="s">
        <v>746</v>
      </c>
      <c r="U109" t="s">
        <v>759</v>
      </c>
    </row>
    <row r="110" spans="1:21" x14ac:dyDescent="0.3">
      <c r="A110" s="1" t="s">
        <v>748</v>
      </c>
      <c r="B110" t="s">
        <v>749</v>
      </c>
      <c r="C110" t="s">
        <v>750</v>
      </c>
      <c r="D110" t="s">
        <v>1290</v>
      </c>
      <c r="E110" t="s">
        <v>567</v>
      </c>
      <c r="F110" t="s">
        <v>1291</v>
      </c>
      <c r="G110" t="s">
        <v>753</v>
      </c>
      <c r="H110" t="s">
        <v>715</v>
      </c>
      <c r="I110" t="s">
        <v>1292</v>
      </c>
      <c r="J110" t="s">
        <v>1293</v>
      </c>
      <c r="K110" t="s">
        <v>1294</v>
      </c>
      <c r="L110" t="s">
        <v>765</v>
      </c>
      <c r="M110" t="s">
        <v>720</v>
      </c>
      <c r="N110" t="s">
        <v>721</v>
      </c>
      <c r="O110">
        <v>8</v>
      </c>
      <c r="P110">
        <v>15</v>
      </c>
      <c r="Q110">
        <v>119</v>
      </c>
      <c r="R110" t="s">
        <v>758</v>
      </c>
      <c r="S110" t="s">
        <v>745</v>
      </c>
      <c r="T110" t="s">
        <v>746</v>
      </c>
      <c r="U110" t="s">
        <v>759</v>
      </c>
    </row>
    <row r="111" spans="1:21" x14ac:dyDescent="0.3">
      <c r="A111" s="1" t="s">
        <v>748</v>
      </c>
      <c r="B111" t="s">
        <v>749</v>
      </c>
      <c r="C111" t="s">
        <v>750</v>
      </c>
      <c r="D111" t="s">
        <v>1295</v>
      </c>
      <c r="E111" t="s">
        <v>567</v>
      </c>
      <c r="F111" t="s">
        <v>1296</v>
      </c>
      <c r="G111" t="s">
        <v>794</v>
      </c>
      <c r="H111" t="s">
        <v>715</v>
      </c>
      <c r="I111" t="s">
        <v>1297</v>
      </c>
      <c r="J111" t="s">
        <v>1298</v>
      </c>
      <c r="K111" t="s">
        <v>1299</v>
      </c>
      <c r="L111" t="s">
        <v>985</v>
      </c>
      <c r="M111" t="s">
        <v>720</v>
      </c>
      <c r="N111" t="s">
        <v>743</v>
      </c>
      <c r="O111">
        <v>28</v>
      </c>
      <c r="P111">
        <v>0</v>
      </c>
      <c r="Q111">
        <v>150</v>
      </c>
      <c r="R111" t="s">
        <v>798</v>
      </c>
      <c r="S111" t="s">
        <v>745</v>
      </c>
      <c r="T111" t="s">
        <v>746</v>
      </c>
      <c r="U111" t="s">
        <v>759</v>
      </c>
    </row>
    <row r="112" spans="1:21" x14ac:dyDescent="0.3">
      <c r="A112" s="1" t="s">
        <v>748</v>
      </c>
      <c r="B112" t="s">
        <v>749</v>
      </c>
      <c r="C112" t="s">
        <v>750</v>
      </c>
      <c r="D112" t="s">
        <v>1300</v>
      </c>
      <c r="E112" t="s">
        <v>567</v>
      </c>
      <c r="F112" t="s">
        <v>1301</v>
      </c>
      <c r="G112" t="s">
        <v>753</v>
      </c>
      <c r="H112" t="s">
        <v>715</v>
      </c>
      <c r="I112" t="s">
        <v>1302</v>
      </c>
      <c r="J112" t="s">
        <v>1303</v>
      </c>
      <c r="K112" t="s">
        <v>1304</v>
      </c>
      <c r="L112" t="s">
        <v>765</v>
      </c>
      <c r="M112" t="s">
        <v>720</v>
      </c>
      <c r="N112" t="s">
        <v>721</v>
      </c>
      <c r="O112">
        <v>1</v>
      </c>
      <c r="P112">
        <v>15</v>
      </c>
      <c r="Q112">
        <v>104</v>
      </c>
      <c r="R112" t="s">
        <v>758</v>
      </c>
      <c r="S112" t="s">
        <v>745</v>
      </c>
      <c r="T112" t="s">
        <v>746</v>
      </c>
      <c r="U112" t="s">
        <v>759</v>
      </c>
    </row>
    <row r="113" spans="1:21" x14ac:dyDescent="0.3">
      <c r="A113" s="1" t="s">
        <v>748</v>
      </c>
      <c r="B113" t="s">
        <v>749</v>
      </c>
      <c r="C113" t="s">
        <v>750</v>
      </c>
      <c r="D113" t="s">
        <v>1305</v>
      </c>
      <c r="E113" t="s">
        <v>567</v>
      </c>
      <c r="F113" t="s">
        <v>1306</v>
      </c>
      <c r="G113" t="s">
        <v>753</v>
      </c>
      <c r="H113" t="s">
        <v>715</v>
      </c>
      <c r="I113" t="s">
        <v>1307</v>
      </c>
      <c r="J113" t="s">
        <v>1308</v>
      </c>
      <c r="K113" t="s">
        <v>1309</v>
      </c>
      <c r="L113" t="s">
        <v>765</v>
      </c>
      <c r="M113" t="s">
        <v>720</v>
      </c>
      <c r="N113" t="s">
        <v>721</v>
      </c>
      <c r="O113">
        <v>6</v>
      </c>
      <c r="P113">
        <v>15</v>
      </c>
      <c r="Q113">
        <v>43</v>
      </c>
      <c r="R113" t="s">
        <v>758</v>
      </c>
      <c r="S113" t="s">
        <v>745</v>
      </c>
      <c r="T113" t="s">
        <v>746</v>
      </c>
      <c r="U113" t="s">
        <v>759</v>
      </c>
    </row>
    <row r="114" spans="1:21" x14ac:dyDescent="0.3">
      <c r="A114" s="1" t="s">
        <v>748</v>
      </c>
      <c r="B114" t="s">
        <v>749</v>
      </c>
      <c r="C114" t="s">
        <v>750</v>
      </c>
      <c r="D114" t="s">
        <v>1310</v>
      </c>
      <c r="E114" t="s">
        <v>567</v>
      </c>
      <c r="F114" t="s">
        <v>1311</v>
      </c>
      <c r="G114" t="s">
        <v>806</v>
      </c>
      <c r="H114" t="s">
        <v>715</v>
      </c>
      <c r="I114" t="s">
        <v>1312</v>
      </c>
      <c r="J114" t="s">
        <v>1313</v>
      </c>
      <c r="K114" t="s">
        <v>1314</v>
      </c>
      <c r="L114" t="s">
        <v>810</v>
      </c>
      <c r="M114" t="s">
        <v>720</v>
      </c>
      <c r="N114" t="s">
        <v>721</v>
      </c>
      <c r="O114">
        <v>25</v>
      </c>
      <c r="P114">
        <v>3</v>
      </c>
      <c r="Q114">
        <v>93</v>
      </c>
      <c r="R114" t="s">
        <v>798</v>
      </c>
      <c r="S114" t="s">
        <v>745</v>
      </c>
      <c r="T114" t="s">
        <v>746</v>
      </c>
      <c r="U114" t="s">
        <v>759</v>
      </c>
    </row>
    <row r="115" spans="1:21" x14ac:dyDescent="0.3">
      <c r="A115" s="1" t="s">
        <v>748</v>
      </c>
      <c r="B115" t="s">
        <v>749</v>
      </c>
      <c r="C115" t="s">
        <v>750</v>
      </c>
      <c r="D115" t="s">
        <v>1315</v>
      </c>
      <c r="E115" t="s">
        <v>567</v>
      </c>
      <c r="F115" t="s">
        <v>1316</v>
      </c>
      <c r="G115" t="s">
        <v>753</v>
      </c>
      <c r="H115" t="s">
        <v>715</v>
      </c>
      <c r="I115" t="s">
        <v>1317</v>
      </c>
      <c r="J115" t="s">
        <v>1318</v>
      </c>
      <c r="K115" t="s">
        <v>1319</v>
      </c>
      <c r="L115" t="s">
        <v>765</v>
      </c>
      <c r="M115" t="s">
        <v>720</v>
      </c>
      <c r="N115" t="s">
        <v>721</v>
      </c>
      <c r="O115">
        <v>0</v>
      </c>
      <c r="P115">
        <v>15</v>
      </c>
      <c r="Q115">
        <v>66</v>
      </c>
      <c r="R115" t="s">
        <v>758</v>
      </c>
      <c r="S115" t="s">
        <v>745</v>
      </c>
      <c r="T115" t="s">
        <v>746</v>
      </c>
      <c r="U115" t="s">
        <v>759</v>
      </c>
    </row>
    <row r="116" spans="1:21" x14ac:dyDescent="0.3">
      <c r="A116" s="1" t="s">
        <v>748</v>
      </c>
      <c r="B116" t="s">
        <v>749</v>
      </c>
      <c r="C116" t="s">
        <v>750</v>
      </c>
      <c r="D116" t="s">
        <v>1320</v>
      </c>
      <c r="E116" t="s">
        <v>567</v>
      </c>
      <c r="F116" t="s">
        <v>1321</v>
      </c>
      <c r="G116" t="s">
        <v>753</v>
      </c>
      <c r="H116" t="s">
        <v>715</v>
      </c>
      <c r="I116" t="s">
        <v>1322</v>
      </c>
      <c r="J116" t="s">
        <v>1323</v>
      </c>
      <c r="K116" t="s">
        <v>1324</v>
      </c>
      <c r="L116" t="s">
        <v>757</v>
      </c>
      <c r="M116" t="s">
        <v>720</v>
      </c>
      <c r="N116" t="s">
        <v>721</v>
      </c>
      <c r="O116">
        <v>2</v>
      </c>
      <c r="P116">
        <v>7</v>
      </c>
      <c r="Q116">
        <v>59</v>
      </c>
      <c r="R116" t="s">
        <v>758</v>
      </c>
      <c r="S116" t="s">
        <v>745</v>
      </c>
      <c r="T116" t="s">
        <v>746</v>
      </c>
      <c r="U116" t="s">
        <v>1269</v>
      </c>
    </row>
    <row r="117" spans="1:21" x14ac:dyDescent="0.3">
      <c r="A117" s="1" t="s">
        <v>748</v>
      </c>
      <c r="B117" t="s">
        <v>749</v>
      </c>
      <c r="C117" t="s">
        <v>750</v>
      </c>
      <c r="D117" t="s">
        <v>1325</v>
      </c>
      <c r="E117" t="s">
        <v>567</v>
      </c>
      <c r="F117" t="s">
        <v>1326</v>
      </c>
      <c r="G117" t="s">
        <v>753</v>
      </c>
      <c r="H117" t="s">
        <v>715</v>
      </c>
      <c r="I117" t="s">
        <v>1327</v>
      </c>
      <c r="J117" t="s">
        <v>1328</v>
      </c>
      <c r="K117" t="s">
        <v>1329</v>
      </c>
      <c r="L117" t="s">
        <v>765</v>
      </c>
      <c r="M117" t="s">
        <v>720</v>
      </c>
      <c r="N117" t="s">
        <v>721</v>
      </c>
      <c r="O117">
        <v>1</v>
      </c>
      <c r="P117">
        <v>15</v>
      </c>
      <c r="Q117">
        <v>29</v>
      </c>
      <c r="R117" t="s">
        <v>758</v>
      </c>
      <c r="S117" t="s">
        <v>745</v>
      </c>
      <c r="T117" t="s">
        <v>746</v>
      </c>
      <c r="U117" t="s">
        <v>759</v>
      </c>
    </row>
    <row r="118" spans="1:21" x14ac:dyDescent="0.3">
      <c r="A118" s="1" t="s">
        <v>748</v>
      </c>
      <c r="B118" t="s">
        <v>749</v>
      </c>
      <c r="C118" t="s">
        <v>750</v>
      </c>
      <c r="D118" t="s">
        <v>1330</v>
      </c>
      <c r="E118" t="s">
        <v>567</v>
      </c>
      <c r="F118" t="s">
        <v>1331</v>
      </c>
      <c r="G118" t="s">
        <v>794</v>
      </c>
      <c r="H118" t="s">
        <v>715</v>
      </c>
      <c r="I118" t="s">
        <v>1332</v>
      </c>
      <c r="J118" t="s">
        <v>1333</v>
      </c>
      <c r="K118" t="s">
        <v>1334</v>
      </c>
      <c r="L118" t="s">
        <v>741</v>
      </c>
      <c r="M118" t="s">
        <v>720</v>
      </c>
      <c r="N118" t="s">
        <v>743</v>
      </c>
      <c r="O118">
        <v>8</v>
      </c>
      <c r="P118">
        <v>0</v>
      </c>
      <c r="Q118">
        <v>88</v>
      </c>
      <c r="R118" t="s">
        <v>798</v>
      </c>
      <c r="S118" t="s">
        <v>745</v>
      </c>
      <c r="T118" t="s">
        <v>746</v>
      </c>
      <c r="U118" t="s">
        <v>759</v>
      </c>
    </row>
    <row r="119" spans="1:21" x14ac:dyDescent="0.3">
      <c r="A119" s="1" t="s">
        <v>748</v>
      </c>
      <c r="B119" t="s">
        <v>749</v>
      </c>
      <c r="C119" t="s">
        <v>750</v>
      </c>
      <c r="D119" t="s">
        <v>1335</v>
      </c>
      <c r="E119" t="s">
        <v>567</v>
      </c>
      <c r="F119" t="s">
        <v>1336</v>
      </c>
      <c r="G119" t="s">
        <v>753</v>
      </c>
      <c r="H119" t="s">
        <v>715</v>
      </c>
      <c r="I119" t="s">
        <v>1337</v>
      </c>
      <c r="J119" t="s">
        <v>1338</v>
      </c>
      <c r="K119" t="s">
        <v>1339</v>
      </c>
      <c r="L119" t="s">
        <v>765</v>
      </c>
      <c r="M119" t="s">
        <v>720</v>
      </c>
      <c r="N119" t="s">
        <v>721</v>
      </c>
      <c r="O119">
        <v>3</v>
      </c>
      <c r="P119">
        <v>15</v>
      </c>
      <c r="Q119">
        <v>48</v>
      </c>
      <c r="R119" t="s">
        <v>758</v>
      </c>
      <c r="S119" t="s">
        <v>745</v>
      </c>
      <c r="T119" t="s">
        <v>746</v>
      </c>
      <c r="U119" t="s">
        <v>759</v>
      </c>
    </row>
    <row r="120" spans="1:21" x14ac:dyDescent="0.3">
      <c r="A120" s="1" t="s">
        <v>748</v>
      </c>
      <c r="B120" t="s">
        <v>749</v>
      </c>
      <c r="C120" t="s">
        <v>750</v>
      </c>
      <c r="D120" t="s">
        <v>1340</v>
      </c>
      <c r="E120" t="s">
        <v>567</v>
      </c>
      <c r="F120" t="s">
        <v>1341</v>
      </c>
      <c r="G120" t="s">
        <v>794</v>
      </c>
      <c r="H120" t="s">
        <v>715</v>
      </c>
      <c r="I120" t="s">
        <v>1342</v>
      </c>
      <c r="J120" t="s">
        <v>1343</v>
      </c>
      <c r="K120" t="s">
        <v>1344</v>
      </c>
      <c r="L120" t="s">
        <v>826</v>
      </c>
      <c r="M120" t="s">
        <v>720</v>
      </c>
      <c r="N120" t="s">
        <v>721</v>
      </c>
      <c r="O120">
        <v>1</v>
      </c>
      <c r="P120">
        <v>2</v>
      </c>
      <c r="Q120">
        <v>110</v>
      </c>
      <c r="R120" t="s">
        <v>798</v>
      </c>
      <c r="S120" t="s">
        <v>745</v>
      </c>
      <c r="T120" t="s">
        <v>746</v>
      </c>
      <c r="U120" t="s">
        <v>759</v>
      </c>
    </row>
    <row r="121" spans="1:21" x14ac:dyDescent="0.3">
      <c r="A121" s="1" t="s">
        <v>748</v>
      </c>
      <c r="B121" t="s">
        <v>749</v>
      </c>
      <c r="C121" t="s">
        <v>750</v>
      </c>
      <c r="D121" t="s">
        <v>1345</v>
      </c>
      <c r="E121" t="s">
        <v>567</v>
      </c>
      <c r="F121" t="s">
        <v>1346</v>
      </c>
      <c r="G121" t="s">
        <v>753</v>
      </c>
      <c r="H121" t="s">
        <v>715</v>
      </c>
      <c r="I121" t="s">
        <v>1347</v>
      </c>
      <c r="J121" t="s">
        <v>1348</v>
      </c>
      <c r="K121" t="s">
        <v>1349</v>
      </c>
      <c r="L121" t="s">
        <v>765</v>
      </c>
      <c r="M121" t="s">
        <v>720</v>
      </c>
      <c r="N121" t="s">
        <v>721</v>
      </c>
      <c r="O121">
        <v>3</v>
      </c>
      <c r="P121">
        <v>15</v>
      </c>
      <c r="Q121">
        <v>66</v>
      </c>
      <c r="R121" t="s">
        <v>758</v>
      </c>
      <c r="S121" t="s">
        <v>745</v>
      </c>
      <c r="T121" t="s">
        <v>746</v>
      </c>
      <c r="U121" t="s">
        <v>759</v>
      </c>
    </row>
    <row r="122" spans="1:21" x14ac:dyDescent="0.3">
      <c r="A122" s="1" t="s">
        <v>748</v>
      </c>
      <c r="B122" t="s">
        <v>749</v>
      </c>
      <c r="C122" t="s">
        <v>750</v>
      </c>
      <c r="D122" t="s">
        <v>1350</v>
      </c>
      <c r="E122" t="s">
        <v>567</v>
      </c>
      <c r="F122" t="s">
        <v>1351</v>
      </c>
      <c r="G122" t="s">
        <v>753</v>
      </c>
      <c r="H122" t="s">
        <v>715</v>
      </c>
      <c r="I122" t="s">
        <v>1352</v>
      </c>
      <c r="J122" t="s">
        <v>1353</v>
      </c>
      <c r="K122" t="s">
        <v>1354</v>
      </c>
      <c r="L122" t="s">
        <v>765</v>
      </c>
      <c r="M122" t="s">
        <v>720</v>
      </c>
      <c r="N122" t="s">
        <v>721</v>
      </c>
      <c r="O122">
        <v>4</v>
      </c>
      <c r="P122">
        <v>15</v>
      </c>
      <c r="Q122">
        <v>92</v>
      </c>
      <c r="R122" t="s">
        <v>758</v>
      </c>
      <c r="S122" t="s">
        <v>745</v>
      </c>
      <c r="T122" t="s">
        <v>746</v>
      </c>
      <c r="U122" t="s">
        <v>759</v>
      </c>
    </row>
    <row r="123" spans="1:21" x14ac:dyDescent="0.3">
      <c r="A123" s="1" t="s">
        <v>748</v>
      </c>
      <c r="B123" t="s">
        <v>749</v>
      </c>
      <c r="C123" t="s">
        <v>750</v>
      </c>
      <c r="D123" t="s">
        <v>1355</v>
      </c>
      <c r="E123" t="s">
        <v>569</v>
      </c>
      <c r="F123" t="s">
        <v>752</v>
      </c>
      <c r="G123" t="s">
        <v>794</v>
      </c>
      <c r="H123" t="s">
        <v>715</v>
      </c>
      <c r="I123" t="s">
        <v>754</v>
      </c>
      <c r="J123" t="s">
        <v>755</v>
      </c>
      <c r="K123" t="s">
        <v>756</v>
      </c>
      <c r="L123" t="s">
        <v>757</v>
      </c>
      <c r="M123" t="s">
        <v>720</v>
      </c>
      <c r="N123" t="s">
        <v>721</v>
      </c>
      <c r="O123">
        <v>11</v>
      </c>
      <c r="P123">
        <v>7</v>
      </c>
      <c r="Q123">
        <v>104</v>
      </c>
      <c r="R123" t="s">
        <v>758</v>
      </c>
      <c r="S123" t="s">
        <v>745</v>
      </c>
      <c r="T123" t="s">
        <v>746</v>
      </c>
      <c r="U123" t="s">
        <v>759</v>
      </c>
    </row>
    <row r="124" spans="1:21" x14ac:dyDescent="0.3">
      <c r="A124" s="1" t="s">
        <v>748</v>
      </c>
      <c r="B124" t="s">
        <v>749</v>
      </c>
      <c r="C124" t="s">
        <v>750</v>
      </c>
      <c r="D124" t="s">
        <v>1356</v>
      </c>
      <c r="E124" t="s">
        <v>569</v>
      </c>
      <c r="F124" t="s">
        <v>1357</v>
      </c>
      <c r="G124" t="s">
        <v>794</v>
      </c>
      <c r="H124" t="s">
        <v>715</v>
      </c>
      <c r="I124" t="s">
        <v>1358</v>
      </c>
      <c r="J124" t="s">
        <v>1359</v>
      </c>
      <c r="K124" t="s">
        <v>1360</v>
      </c>
      <c r="L124" t="s">
        <v>741</v>
      </c>
      <c r="M124" t="s">
        <v>720</v>
      </c>
      <c r="N124" t="s">
        <v>743</v>
      </c>
      <c r="O124">
        <v>7</v>
      </c>
      <c r="P124">
        <v>0</v>
      </c>
      <c r="Q124">
        <v>41</v>
      </c>
      <c r="R124" t="s">
        <v>798</v>
      </c>
      <c r="S124" t="s">
        <v>745</v>
      </c>
      <c r="T124" t="s">
        <v>746</v>
      </c>
      <c r="U124" t="s">
        <v>832</v>
      </c>
    </row>
    <row r="125" spans="1:21" x14ac:dyDescent="0.3">
      <c r="A125" s="1" t="s">
        <v>748</v>
      </c>
      <c r="B125" t="s">
        <v>749</v>
      </c>
      <c r="C125" t="s">
        <v>750</v>
      </c>
      <c r="D125" t="s">
        <v>1361</v>
      </c>
      <c r="E125" t="s">
        <v>569</v>
      </c>
      <c r="F125" t="s">
        <v>761</v>
      </c>
      <c r="G125" t="s">
        <v>714</v>
      </c>
      <c r="H125" t="s">
        <v>715</v>
      </c>
      <c r="I125" t="s">
        <v>762</v>
      </c>
      <c r="J125" t="s">
        <v>763</v>
      </c>
      <c r="K125" t="s">
        <v>764</v>
      </c>
      <c r="L125" t="s">
        <v>765</v>
      </c>
      <c r="M125" t="s">
        <v>720</v>
      </c>
      <c r="N125" t="s">
        <v>721</v>
      </c>
      <c r="O125">
        <v>4</v>
      </c>
      <c r="P125">
        <v>15</v>
      </c>
      <c r="Q125">
        <v>13</v>
      </c>
      <c r="R125" t="s">
        <v>758</v>
      </c>
      <c r="S125" t="s">
        <v>745</v>
      </c>
      <c r="T125" t="s">
        <v>746</v>
      </c>
      <c r="U125" t="s">
        <v>759</v>
      </c>
    </row>
    <row r="126" spans="1:21" x14ac:dyDescent="0.3">
      <c r="A126" s="1" t="s">
        <v>748</v>
      </c>
      <c r="B126" t="s">
        <v>749</v>
      </c>
      <c r="C126" t="s">
        <v>750</v>
      </c>
      <c r="D126" t="s">
        <v>1362</v>
      </c>
      <c r="E126" t="s">
        <v>569</v>
      </c>
      <c r="F126" t="s">
        <v>767</v>
      </c>
      <c r="G126" t="s">
        <v>794</v>
      </c>
      <c r="H126" t="s">
        <v>715</v>
      </c>
      <c r="I126" t="s">
        <v>768</v>
      </c>
      <c r="J126" t="s">
        <v>769</v>
      </c>
      <c r="K126" t="s">
        <v>770</v>
      </c>
      <c r="L126" t="s">
        <v>757</v>
      </c>
      <c r="M126" t="s">
        <v>720</v>
      </c>
      <c r="N126" t="s">
        <v>721</v>
      </c>
      <c r="O126">
        <v>6</v>
      </c>
      <c r="P126">
        <v>7</v>
      </c>
      <c r="Q126">
        <v>66</v>
      </c>
      <c r="R126" t="s">
        <v>758</v>
      </c>
      <c r="S126" t="s">
        <v>745</v>
      </c>
      <c r="T126" t="s">
        <v>746</v>
      </c>
      <c r="U126" t="s">
        <v>771</v>
      </c>
    </row>
    <row r="127" spans="1:21" x14ac:dyDescent="0.3">
      <c r="A127" s="1" t="s">
        <v>748</v>
      </c>
      <c r="B127" t="s">
        <v>749</v>
      </c>
      <c r="C127" t="s">
        <v>750</v>
      </c>
      <c r="D127" t="s">
        <v>1363</v>
      </c>
      <c r="E127" t="s">
        <v>569</v>
      </c>
      <c r="F127" t="s">
        <v>783</v>
      </c>
      <c r="G127" t="s">
        <v>806</v>
      </c>
      <c r="H127" t="s">
        <v>715</v>
      </c>
      <c r="I127" t="s">
        <v>784</v>
      </c>
      <c r="J127" t="s">
        <v>785</v>
      </c>
      <c r="K127" t="s">
        <v>786</v>
      </c>
      <c r="L127" t="s">
        <v>765</v>
      </c>
      <c r="M127" t="s">
        <v>720</v>
      </c>
      <c r="N127" t="s">
        <v>721</v>
      </c>
      <c r="O127">
        <v>5</v>
      </c>
      <c r="P127">
        <v>15</v>
      </c>
      <c r="Q127">
        <v>58</v>
      </c>
      <c r="R127" t="s">
        <v>758</v>
      </c>
      <c r="S127" t="s">
        <v>745</v>
      </c>
      <c r="T127" t="s">
        <v>746</v>
      </c>
      <c r="U127" t="s">
        <v>759</v>
      </c>
    </row>
    <row r="128" spans="1:21" x14ac:dyDescent="0.3">
      <c r="A128" s="1" t="s">
        <v>748</v>
      </c>
      <c r="B128" t="s">
        <v>749</v>
      </c>
      <c r="C128" t="s">
        <v>750</v>
      </c>
      <c r="D128" t="s">
        <v>1364</v>
      </c>
      <c r="E128" t="s">
        <v>569</v>
      </c>
      <c r="F128" t="s">
        <v>788</v>
      </c>
      <c r="G128" t="s">
        <v>806</v>
      </c>
      <c r="H128" t="s">
        <v>715</v>
      </c>
      <c r="I128" t="s">
        <v>789</v>
      </c>
      <c r="J128" t="s">
        <v>790</v>
      </c>
      <c r="K128" t="s">
        <v>791</v>
      </c>
      <c r="L128" t="s">
        <v>765</v>
      </c>
      <c r="M128" t="s">
        <v>720</v>
      </c>
      <c r="N128" t="s">
        <v>721</v>
      </c>
      <c r="O128">
        <v>6</v>
      </c>
      <c r="P128">
        <v>15</v>
      </c>
      <c r="Q128">
        <v>72</v>
      </c>
      <c r="R128" t="s">
        <v>758</v>
      </c>
      <c r="S128" t="s">
        <v>745</v>
      </c>
      <c r="T128" t="s">
        <v>746</v>
      </c>
      <c r="U128" t="s">
        <v>759</v>
      </c>
    </row>
    <row r="129" spans="1:21" x14ac:dyDescent="0.3">
      <c r="A129" s="1" t="s">
        <v>748</v>
      </c>
      <c r="B129" t="s">
        <v>749</v>
      </c>
      <c r="C129" t="s">
        <v>750</v>
      </c>
      <c r="D129" t="s">
        <v>1365</v>
      </c>
      <c r="E129" t="s">
        <v>569</v>
      </c>
      <c r="F129" t="s">
        <v>812</v>
      </c>
      <c r="G129" t="s">
        <v>794</v>
      </c>
      <c r="H129" t="s">
        <v>715</v>
      </c>
      <c r="I129" t="s">
        <v>813</v>
      </c>
      <c r="J129" t="s">
        <v>814</v>
      </c>
      <c r="K129" t="s">
        <v>815</v>
      </c>
      <c r="L129" t="s">
        <v>765</v>
      </c>
      <c r="M129" t="s">
        <v>720</v>
      </c>
      <c r="N129" t="s">
        <v>721</v>
      </c>
      <c r="O129">
        <v>3</v>
      </c>
      <c r="P129">
        <v>15</v>
      </c>
      <c r="Q129">
        <v>1</v>
      </c>
      <c r="R129" t="s">
        <v>758</v>
      </c>
      <c r="S129" t="s">
        <v>745</v>
      </c>
      <c r="T129" t="s">
        <v>746</v>
      </c>
      <c r="U129" t="s">
        <v>759</v>
      </c>
    </row>
    <row r="130" spans="1:21" x14ac:dyDescent="0.3">
      <c r="A130" s="1" t="s">
        <v>748</v>
      </c>
      <c r="B130" t="s">
        <v>749</v>
      </c>
      <c r="C130" t="s">
        <v>750</v>
      </c>
      <c r="D130" t="s">
        <v>1366</v>
      </c>
      <c r="E130" t="s">
        <v>569</v>
      </c>
      <c r="F130" t="s">
        <v>817</v>
      </c>
      <c r="G130" t="s">
        <v>794</v>
      </c>
      <c r="H130" t="s">
        <v>715</v>
      </c>
      <c r="I130" t="s">
        <v>818</v>
      </c>
      <c r="J130" t="s">
        <v>819</v>
      </c>
      <c r="K130" t="s">
        <v>820</v>
      </c>
      <c r="L130" t="s">
        <v>741</v>
      </c>
      <c r="M130" t="s">
        <v>720</v>
      </c>
      <c r="N130" t="s">
        <v>743</v>
      </c>
      <c r="O130">
        <v>7</v>
      </c>
      <c r="P130">
        <v>0</v>
      </c>
      <c r="Q130">
        <v>40</v>
      </c>
      <c r="R130" t="s">
        <v>798</v>
      </c>
      <c r="S130" t="s">
        <v>745</v>
      </c>
      <c r="T130" t="s">
        <v>746</v>
      </c>
      <c r="U130" t="s">
        <v>759</v>
      </c>
    </row>
    <row r="131" spans="1:21" x14ac:dyDescent="0.3">
      <c r="A131" s="1" t="s">
        <v>748</v>
      </c>
      <c r="B131" t="s">
        <v>749</v>
      </c>
      <c r="C131" t="s">
        <v>750</v>
      </c>
      <c r="D131" t="s">
        <v>1367</v>
      </c>
      <c r="E131" t="s">
        <v>569</v>
      </c>
      <c r="F131" t="s">
        <v>828</v>
      </c>
      <c r="G131" t="s">
        <v>794</v>
      </c>
      <c r="H131" t="s">
        <v>715</v>
      </c>
      <c r="I131" t="s">
        <v>829</v>
      </c>
      <c r="J131" t="s">
        <v>830</v>
      </c>
      <c r="K131" t="s">
        <v>831</v>
      </c>
      <c r="L131" t="s">
        <v>765</v>
      </c>
      <c r="M131" t="s">
        <v>720</v>
      </c>
      <c r="N131" t="s">
        <v>721</v>
      </c>
      <c r="O131">
        <v>3</v>
      </c>
      <c r="P131">
        <v>15</v>
      </c>
      <c r="Q131">
        <v>21</v>
      </c>
      <c r="R131" t="s">
        <v>758</v>
      </c>
      <c r="S131" t="s">
        <v>745</v>
      </c>
      <c r="T131" t="s">
        <v>746</v>
      </c>
      <c r="U131" t="s">
        <v>832</v>
      </c>
    </row>
    <row r="132" spans="1:21" x14ac:dyDescent="0.3">
      <c r="A132" s="1" t="s">
        <v>748</v>
      </c>
      <c r="B132" t="s">
        <v>749</v>
      </c>
      <c r="C132" t="s">
        <v>750</v>
      </c>
      <c r="D132" t="s">
        <v>1368</v>
      </c>
      <c r="E132" t="s">
        <v>569</v>
      </c>
      <c r="F132" t="s">
        <v>834</v>
      </c>
      <c r="G132" t="s">
        <v>794</v>
      </c>
      <c r="H132" t="s">
        <v>715</v>
      </c>
      <c r="I132" t="s">
        <v>835</v>
      </c>
      <c r="J132" t="s">
        <v>836</v>
      </c>
      <c r="K132" t="s">
        <v>837</v>
      </c>
      <c r="L132" t="s">
        <v>741</v>
      </c>
      <c r="M132" t="s">
        <v>720</v>
      </c>
      <c r="N132" t="s">
        <v>743</v>
      </c>
      <c r="O132">
        <v>1</v>
      </c>
      <c r="P132">
        <v>0</v>
      </c>
      <c r="Q132">
        <v>72</v>
      </c>
      <c r="R132" t="s">
        <v>798</v>
      </c>
      <c r="S132" t="s">
        <v>745</v>
      </c>
      <c r="T132" t="s">
        <v>746</v>
      </c>
      <c r="U132" t="s">
        <v>759</v>
      </c>
    </row>
    <row r="133" spans="1:21" x14ac:dyDescent="0.3">
      <c r="A133" s="1" t="s">
        <v>748</v>
      </c>
      <c r="B133" t="s">
        <v>749</v>
      </c>
      <c r="C133" t="s">
        <v>750</v>
      </c>
      <c r="D133" t="s">
        <v>1369</v>
      </c>
      <c r="E133" t="s">
        <v>569</v>
      </c>
      <c r="F133" t="s">
        <v>839</v>
      </c>
      <c r="G133" t="s">
        <v>714</v>
      </c>
      <c r="H133" t="s">
        <v>715</v>
      </c>
      <c r="I133" t="s">
        <v>840</v>
      </c>
      <c r="J133" t="s">
        <v>841</v>
      </c>
      <c r="K133" t="s">
        <v>842</v>
      </c>
      <c r="L133" t="s">
        <v>765</v>
      </c>
      <c r="M133" t="s">
        <v>720</v>
      </c>
      <c r="N133" t="s">
        <v>721</v>
      </c>
      <c r="O133">
        <v>1</v>
      </c>
      <c r="P133">
        <v>15</v>
      </c>
      <c r="Q133">
        <v>72</v>
      </c>
      <c r="R133" t="s">
        <v>758</v>
      </c>
      <c r="S133" t="s">
        <v>745</v>
      </c>
      <c r="T133" t="s">
        <v>746</v>
      </c>
      <c r="U133" t="s">
        <v>759</v>
      </c>
    </row>
    <row r="134" spans="1:21" x14ac:dyDescent="0.3">
      <c r="A134" s="1" t="s">
        <v>748</v>
      </c>
      <c r="B134" t="s">
        <v>749</v>
      </c>
      <c r="C134" t="s">
        <v>750</v>
      </c>
      <c r="D134" t="s">
        <v>1370</v>
      </c>
      <c r="E134" t="s">
        <v>569</v>
      </c>
      <c r="F134" t="s">
        <v>844</v>
      </c>
      <c r="G134" t="s">
        <v>794</v>
      </c>
      <c r="H134" t="s">
        <v>715</v>
      </c>
      <c r="I134" t="s">
        <v>845</v>
      </c>
      <c r="J134" t="s">
        <v>846</v>
      </c>
      <c r="K134" t="s">
        <v>847</v>
      </c>
      <c r="L134" t="s">
        <v>765</v>
      </c>
      <c r="M134" t="s">
        <v>720</v>
      </c>
      <c r="N134" t="s">
        <v>721</v>
      </c>
      <c r="O134">
        <v>3</v>
      </c>
      <c r="P134">
        <v>15</v>
      </c>
      <c r="Q134">
        <v>73</v>
      </c>
      <c r="R134" t="s">
        <v>758</v>
      </c>
      <c r="S134" t="s">
        <v>745</v>
      </c>
      <c r="T134" t="s">
        <v>746</v>
      </c>
      <c r="U134" t="s">
        <v>759</v>
      </c>
    </row>
    <row r="135" spans="1:21" x14ac:dyDescent="0.3">
      <c r="A135" s="1" t="s">
        <v>748</v>
      </c>
      <c r="B135" t="s">
        <v>749</v>
      </c>
      <c r="C135" t="s">
        <v>750</v>
      </c>
      <c r="D135" t="s">
        <v>1371</v>
      </c>
      <c r="E135" t="s">
        <v>569</v>
      </c>
      <c r="F135" t="s">
        <v>855</v>
      </c>
      <c r="G135" t="s">
        <v>806</v>
      </c>
      <c r="H135" t="s">
        <v>715</v>
      </c>
      <c r="I135" t="s">
        <v>856</v>
      </c>
      <c r="J135" t="s">
        <v>857</v>
      </c>
      <c r="K135" t="s">
        <v>858</v>
      </c>
      <c r="L135" t="s">
        <v>765</v>
      </c>
      <c r="M135" t="s">
        <v>720</v>
      </c>
      <c r="N135" t="s">
        <v>721</v>
      </c>
      <c r="O135">
        <v>11</v>
      </c>
      <c r="P135">
        <v>15</v>
      </c>
      <c r="Q135">
        <v>33</v>
      </c>
      <c r="R135" t="s">
        <v>758</v>
      </c>
      <c r="S135" t="s">
        <v>745</v>
      </c>
      <c r="T135" t="s">
        <v>746</v>
      </c>
      <c r="U135" t="s">
        <v>759</v>
      </c>
    </row>
    <row r="136" spans="1:21" x14ac:dyDescent="0.3">
      <c r="A136" s="1" t="s">
        <v>748</v>
      </c>
      <c r="B136" t="s">
        <v>749</v>
      </c>
      <c r="C136" t="s">
        <v>750</v>
      </c>
      <c r="D136" t="s">
        <v>1372</v>
      </c>
      <c r="E136" t="s">
        <v>569</v>
      </c>
      <c r="F136" t="s">
        <v>1373</v>
      </c>
      <c r="G136" t="s">
        <v>806</v>
      </c>
      <c r="H136" t="s">
        <v>715</v>
      </c>
      <c r="I136" t="s">
        <v>1374</v>
      </c>
      <c r="J136" t="s">
        <v>1375</v>
      </c>
      <c r="K136" t="s">
        <v>1376</v>
      </c>
      <c r="L136" t="s">
        <v>810</v>
      </c>
      <c r="M136" t="s">
        <v>720</v>
      </c>
      <c r="N136" t="s">
        <v>721</v>
      </c>
      <c r="O136">
        <v>6</v>
      </c>
      <c r="P136">
        <v>3</v>
      </c>
      <c r="Q136">
        <v>42</v>
      </c>
      <c r="R136" t="s">
        <v>798</v>
      </c>
      <c r="S136" t="s">
        <v>745</v>
      </c>
      <c r="T136" t="s">
        <v>746</v>
      </c>
      <c r="U136" t="s">
        <v>919</v>
      </c>
    </row>
    <row r="137" spans="1:21" x14ac:dyDescent="0.3">
      <c r="A137" s="1" t="s">
        <v>748</v>
      </c>
      <c r="B137" t="s">
        <v>749</v>
      </c>
      <c r="C137" t="s">
        <v>750</v>
      </c>
      <c r="D137" t="s">
        <v>1377</v>
      </c>
      <c r="E137" t="s">
        <v>569</v>
      </c>
      <c r="F137" t="s">
        <v>880</v>
      </c>
      <c r="G137" t="s">
        <v>794</v>
      </c>
      <c r="H137" t="s">
        <v>715</v>
      </c>
      <c r="I137" t="s">
        <v>881</v>
      </c>
      <c r="J137" t="s">
        <v>882</v>
      </c>
      <c r="K137" t="s">
        <v>883</v>
      </c>
      <c r="L137" t="s">
        <v>826</v>
      </c>
      <c r="M137" t="s">
        <v>720</v>
      </c>
      <c r="N137" t="s">
        <v>721</v>
      </c>
      <c r="O137">
        <v>1</v>
      </c>
      <c r="P137">
        <v>2</v>
      </c>
      <c r="Q137">
        <v>62</v>
      </c>
      <c r="R137" t="s">
        <v>798</v>
      </c>
      <c r="S137" t="s">
        <v>745</v>
      </c>
      <c r="T137" t="s">
        <v>746</v>
      </c>
      <c r="U137" t="s">
        <v>759</v>
      </c>
    </row>
    <row r="138" spans="1:21" x14ac:dyDescent="0.3">
      <c r="A138" s="1" t="s">
        <v>748</v>
      </c>
      <c r="B138" t="s">
        <v>749</v>
      </c>
      <c r="C138" t="s">
        <v>750</v>
      </c>
      <c r="D138" t="s">
        <v>1378</v>
      </c>
      <c r="E138" t="s">
        <v>569</v>
      </c>
      <c r="F138" t="s">
        <v>885</v>
      </c>
      <c r="G138" t="s">
        <v>806</v>
      </c>
      <c r="H138" t="s">
        <v>715</v>
      </c>
      <c r="I138" t="s">
        <v>886</v>
      </c>
      <c r="J138" t="s">
        <v>887</v>
      </c>
      <c r="K138" t="s">
        <v>888</v>
      </c>
      <c r="L138" t="s">
        <v>765</v>
      </c>
      <c r="M138" t="s">
        <v>720</v>
      </c>
      <c r="N138" t="s">
        <v>721</v>
      </c>
      <c r="O138">
        <v>1</v>
      </c>
      <c r="P138">
        <v>15</v>
      </c>
      <c r="Q138">
        <v>102</v>
      </c>
      <c r="R138" t="s">
        <v>758</v>
      </c>
      <c r="S138" t="s">
        <v>745</v>
      </c>
      <c r="T138" t="s">
        <v>746</v>
      </c>
      <c r="U138" t="s">
        <v>853</v>
      </c>
    </row>
    <row r="139" spans="1:21" x14ac:dyDescent="0.3">
      <c r="A139" s="1" t="s">
        <v>748</v>
      </c>
      <c r="B139" t="s">
        <v>749</v>
      </c>
      <c r="C139" t="s">
        <v>750</v>
      </c>
      <c r="D139" t="s">
        <v>1379</v>
      </c>
      <c r="E139" t="s">
        <v>569</v>
      </c>
      <c r="F139" t="s">
        <v>890</v>
      </c>
      <c r="G139" t="s">
        <v>806</v>
      </c>
      <c r="H139" t="s">
        <v>715</v>
      </c>
      <c r="I139" t="s">
        <v>891</v>
      </c>
      <c r="J139" t="s">
        <v>892</v>
      </c>
      <c r="K139" t="s">
        <v>893</v>
      </c>
      <c r="L139" t="s">
        <v>765</v>
      </c>
      <c r="M139" t="s">
        <v>720</v>
      </c>
      <c r="N139" t="s">
        <v>721</v>
      </c>
      <c r="O139">
        <v>1</v>
      </c>
      <c r="P139">
        <v>15</v>
      </c>
      <c r="Q139">
        <v>14</v>
      </c>
      <c r="R139" t="s">
        <v>758</v>
      </c>
      <c r="S139" t="s">
        <v>745</v>
      </c>
      <c r="T139" t="s">
        <v>746</v>
      </c>
      <c r="U139" t="s">
        <v>759</v>
      </c>
    </row>
    <row r="140" spans="1:21" x14ac:dyDescent="0.3">
      <c r="A140" s="1" t="s">
        <v>748</v>
      </c>
      <c r="B140" t="s">
        <v>749</v>
      </c>
      <c r="C140" t="s">
        <v>750</v>
      </c>
      <c r="D140" t="s">
        <v>1380</v>
      </c>
      <c r="E140" t="s">
        <v>569</v>
      </c>
      <c r="F140" t="s">
        <v>895</v>
      </c>
      <c r="G140" t="s">
        <v>753</v>
      </c>
      <c r="H140" t="s">
        <v>715</v>
      </c>
      <c r="I140" t="s">
        <v>896</v>
      </c>
      <c r="J140" t="s">
        <v>897</v>
      </c>
      <c r="K140" t="s">
        <v>898</v>
      </c>
      <c r="L140" t="s">
        <v>765</v>
      </c>
      <c r="M140" t="s">
        <v>720</v>
      </c>
      <c r="N140" t="s">
        <v>721</v>
      </c>
      <c r="O140">
        <v>1</v>
      </c>
      <c r="P140">
        <v>15</v>
      </c>
      <c r="Q140">
        <v>83</v>
      </c>
      <c r="R140" t="s">
        <v>758</v>
      </c>
      <c r="S140" t="s">
        <v>745</v>
      </c>
      <c r="T140" t="s">
        <v>746</v>
      </c>
      <c r="U140" t="s">
        <v>759</v>
      </c>
    </row>
    <row r="141" spans="1:21" x14ac:dyDescent="0.3">
      <c r="A141" s="1" t="s">
        <v>748</v>
      </c>
      <c r="B141" t="s">
        <v>749</v>
      </c>
      <c r="C141" t="s">
        <v>750</v>
      </c>
      <c r="D141" t="s">
        <v>1381</v>
      </c>
      <c r="E141" t="s">
        <v>569</v>
      </c>
      <c r="F141" t="s">
        <v>900</v>
      </c>
      <c r="G141" t="s">
        <v>806</v>
      </c>
      <c r="H141" t="s">
        <v>715</v>
      </c>
      <c r="I141" t="s">
        <v>901</v>
      </c>
      <c r="J141" t="s">
        <v>902</v>
      </c>
      <c r="K141" t="s">
        <v>903</v>
      </c>
      <c r="L141" t="s">
        <v>904</v>
      </c>
      <c r="M141" t="s">
        <v>720</v>
      </c>
      <c r="N141" t="s">
        <v>721</v>
      </c>
      <c r="O141">
        <v>11</v>
      </c>
      <c r="P141">
        <v>10</v>
      </c>
      <c r="Q141">
        <v>96</v>
      </c>
      <c r="R141" t="s">
        <v>722</v>
      </c>
      <c r="S141" t="s">
        <v>745</v>
      </c>
      <c r="T141" t="s">
        <v>746</v>
      </c>
      <c r="U141" t="s">
        <v>759</v>
      </c>
    </row>
    <row r="142" spans="1:21" x14ac:dyDescent="0.3">
      <c r="A142" s="1" t="s">
        <v>748</v>
      </c>
      <c r="B142" t="s">
        <v>749</v>
      </c>
      <c r="C142" t="s">
        <v>750</v>
      </c>
      <c r="D142" t="s">
        <v>1382</v>
      </c>
      <c r="E142" t="s">
        <v>569</v>
      </c>
      <c r="F142" t="s">
        <v>906</v>
      </c>
      <c r="G142" t="s">
        <v>794</v>
      </c>
      <c r="H142" t="s">
        <v>715</v>
      </c>
      <c r="I142" t="s">
        <v>907</v>
      </c>
      <c r="J142" t="s">
        <v>908</v>
      </c>
      <c r="K142" t="s">
        <v>909</v>
      </c>
      <c r="L142" t="s">
        <v>765</v>
      </c>
      <c r="M142" t="s">
        <v>720</v>
      </c>
      <c r="N142" t="s">
        <v>721</v>
      </c>
      <c r="O142">
        <v>6</v>
      </c>
      <c r="P142">
        <v>15</v>
      </c>
      <c r="Q142">
        <v>82</v>
      </c>
      <c r="R142" t="s">
        <v>758</v>
      </c>
      <c r="S142" t="s">
        <v>745</v>
      </c>
      <c r="T142" t="s">
        <v>746</v>
      </c>
      <c r="U142" t="s">
        <v>759</v>
      </c>
    </row>
    <row r="143" spans="1:21" x14ac:dyDescent="0.3">
      <c r="A143" s="1" t="s">
        <v>748</v>
      </c>
      <c r="B143" t="s">
        <v>749</v>
      </c>
      <c r="C143" t="s">
        <v>750</v>
      </c>
      <c r="D143" t="s">
        <v>1383</v>
      </c>
      <c r="E143" t="s">
        <v>569</v>
      </c>
      <c r="F143" t="s">
        <v>921</v>
      </c>
      <c r="G143" t="s">
        <v>714</v>
      </c>
      <c r="H143" t="s">
        <v>715</v>
      </c>
      <c r="I143" t="s">
        <v>922</v>
      </c>
      <c r="J143" t="s">
        <v>923</v>
      </c>
      <c r="K143" t="s">
        <v>924</v>
      </c>
      <c r="L143" t="s">
        <v>765</v>
      </c>
      <c r="M143" t="s">
        <v>720</v>
      </c>
      <c r="N143" t="s">
        <v>721</v>
      </c>
      <c r="O143">
        <v>10</v>
      </c>
      <c r="P143">
        <v>15</v>
      </c>
      <c r="Q143">
        <v>43</v>
      </c>
      <c r="R143" t="s">
        <v>758</v>
      </c>
      <c r="S143" t="s">
        <v>745</v>
      </c>
      <c r="T143" t="s">
        <v>746</v>
      </c>
      <c r="U143" t="s">
        <v>759</v>
      </c>
    </row>
    <row r="144" spans="1:21" x14ac:dyDescent="0.3">
      <c r="A144" s="1" t="s">
        <v>748</v>
      </c>
      <c r="B144" t="s">
        <v>749</v>
      </c>
      <c r="C144" t="s">
        <v>750</v>
      </c>
      <c r="D144" t="s">
        <v>1384</v>
      </c>
      <c r="E144" t="s">
        <v>569</v>
      </c>
      <c r="F144" t="s">
        <v>926</v>
      </c>
      <c r="G144" t="s">
        <v>714</v>
      </c>
      <c r="H144" t="s">
        <v>715</v>
      </c>
      <c r="I144" t="s">
        <v>927</v>
      </c>
      <c r="J144" t="s">
        <v>928</v>
      </c>
      <c r="K144" t="s">
        <v>929</v>
      </c>
      <c r="L144" t="s">
        <v>826</v>
      </c>
      <c r="M144" t="s">
        <v>720</v>
      </c>
      <c r="N144" t="s">
        <v>721</v>
      </c>
      <c r="O144">
        <v>2</v>
      </c>
      <c r="P144">
        <v>2</v>
      </c>
      <c r="Q144">
        <v>26</v>
      </c>
      <c r="R144" t="s">
        <v>798</v>
      </c>
      <c r="S144" t="s">
        <v>745</v>
      </c>
      <c r="T144" t="s">
        <v>746</v>
      </c>
      <c r="U144" t="s">
        <v>759</v>
      </c>
    </row>
    <row r="145" spans="1:21" x14ac:dyDescent="0.3">
      <c r="A145" s="1" t="s">
        <v>748</v>
      </c>
      <c r="B145" t="s">
        <v>749</v>
      </c>
      <c r="C145" t="s">
        <v>750</v>
      </c>
      <c r="D145" t="s">
        <v>1385</v>
      </c>
      <c r="E145" t="s">
        <v>569</v>
      </c>
      <c r="F145" t="s">
        <v>931</v>
      </c>
      <c r="G145" t="s">
        <v>753</v>
      </c>
      <c r="H145" t="s">
        <v>715</v>
      </c>
      <c r="I145" t="s">
        <v>932</v>
      </c>
      <c r="J145" t="s">
        <v>933</v>
      </c>
      <c r="K145" t="s">
        <v>934</v>
      </c>
      <c r="L145" t="s">
        <v>826</v>
      </c>
      <c r="M145" t="s">
        <v>720</v>
      </c>
      <c r="N145" t="s">
        <v>721</v>
      </c>
      <c r="O145">
        <v>10</v>
      </c>
      <c r="P145">
        <v>2</v>
      </c>
      <c r="Q145">
        <v>58</v>
      </c>
      <c r="R145" t="s">
        <v>798</v>
      </c>
      <c r="S145" t="s">
        <v>745</v>
      </c>
      <c r="T145" t="s">
        <v>746</v>
      </c>
      <c r="U145" t="s">
        <v>759</v>
      </c>
    </row>
    <row r="146" spans="1:21" x14ac:dyDescent="0.3">
      <c r="A146" s="1" t="s">
        <v>748</v>
      </c>
      <c r="B146" t="s">
        <v>749</v>
      </c>
      <c r="C146" t="s">
        <v>750</v>
      </c>
      <c r="D146" t="s">
        <v>1386</v>
      </c>
      <c r="E146" t="s">
        <v>569</v>
      </c>
      <c r="F146" t="s">
        <v>946</v>
      </c>
      <c r="G146" t="s">
        <v>806</v>
      </c>
      <c r="H146" t="s">
        <v>715</v>
      </c>
      <c r="I146" t="s">
        <v>947</v>
      </c>
      <c r="J146" t="s">
        <v>948</v>
      </c>
      <c r="K146" t="s">
        <v>949</v>
      </c>
      <c r="L146" t="s">
        <v>741</v>
      </c>
      <c r="M146" t="s">
        <v>720</v>
      </c>
      <c r="N146" t="s">
        <v>743</v>
      </c>
      <c r="O146">
        <v>0</v>
      </c>
      <c r="P146">
        <v>0</v>
      </c>
      <c r="Q146">
        <v>111</v>
      </c>
      <c r="R146" t="s">
        <v>798</v>
      </c>
      <c r="S146" t="s">
        <v>745</v>
      </c>
      <c r="T146" t="s">
        <v>746</v>
      </c>
      <c r="U146" t="s">
        <v>759</v>
      </c>
    </row>
    <row r="147" spans="1:21" x14ac:dyDescent="0.3">
      <c r="A147" s="1" t="s">
        <v>748</v>
      </c>
      <c r="B147" t="s">
        <v>749</v>
      </c>
      <c r="C147" t="s">
        <v>750</v>
      </c>
      <c r="D147" t="s">
        <v>1387</v>
      </c>
      <c r="E147" t="s">
        <v>569</v>
      </c>
      <c r="F147" t="s">
        <v>1388</v>
      </c>
      <c r="G147" t="s">
        <v>714</v>
      </c>
      <c r="H147" t="s">
        <v>715</v>
      </c>
      <c r="I147" t="s">
        <v>1389</v>
      </c>
      <c r="J147" t="s">
        <v>1390</v>
      </c>
      <c r="K147" t="s">
        <v>1391</v>
      </c>
      <c r="L147" t="s">
        <v>1082</v>
      </c>
      <c r="M147" t="s">
        <v>720</v>
      </c>
      <c r="N147" t="s">
        <v>721</v>
      </c>
      <c r="O147">
        <v>5</v>
      </c>
      <c r="P147">
        <v>0</v>
      </c>
      <c r="Q147">
        <v>17</v>
      </c>
      <c r="R147" t="s">
        <v>798</v>
      </c>
      <c r="S147" t="s">
        <v>723</v>
      </c>
      <c r="T147" t="s">
        <v>1083</v>
      </c>
      <c r="U147" t="s">
        <v>707</v>
      </c>
    </row>
    <row r="148" spans="1:21" x14ac:dyDescent="0.3">
      <c r="A148" s="1" t="s">
        <v>748</v>
      </c>
      <c r="B148" t="s">
        <v>749</v>
      </c>
      <c r="C148" t="s">
        <v>750</v>
      </c>
      <c r="D148" t="s">
        <v>1392</v>
      </c>
      <c r="E148" t="s">
        <v>569</v>
      </c>
      <c r="F148" t="s">
        <v>961</v>
      </c>
      <c r="G148" t="s">
        <v>794</v>
      </c>
      <c r="H148" t="s">
        <v>715</v>
      </c>
      <c r="I148" t="s">
        <v>962</v>
      </c>
      <c r="J148" t="s">
        <v>963</v>
      </c>
      <c r="K148" t="s">
        <v>964</v>
      </c>
      <c r="L148" t="s">
        <v>765</v>
      </c>
      <c r="M148" t="s">
        <v>720</v>
      </c>
      <c r="N148" t="s">
        <v>721</v>
      </c>
      <c r="O148">
        <v>9</v>
      </c>
      <c r="P148">
        <v>15</v>
      </c>
      <c r="Q148">
        <v>48</v>
      </c>
      <c r="R148" t="s">
        <v>758</v>
      </c>
      <c r="S148" t="s">
        <v>745</v>
      </c>
      <c r="T148" t="s">
        <v>746</v>
      </c>
      <c r="U148" t="s">
        <v>759</v>
      </c>
    </row>
    <row r="149" spans="1:21" x14ac:dyDescent="0.3">
      <c r="A149" s="1" t="s">
        <v>748</v>
      </c>
      <c r="B149" t="s">
        <v>749</v>
      </c>
      <c r="C149" t="s">
        <v>750</v>
      </c>
      <c r="D149" t="s">
        <v>1393</v>
      </c>
      <c r="E149" t="s">
        <v>568</v>
      </c>
      <c r="F149" t="s">
        <v>981</v>
      </c>
      <c r="G149" t="s">
        <v>806</v>
      </c>
      <c r="H149" t="s">
        <v>715</v>
      </c>
      <c r="I149" t="s">
        <v>982</v>
      </c>
      <c r="J149" t="s">
        <v>983</v>
      </c>
      <c r="K149" t="s">
        <v>984</v>
      </c>
      <c r="L149" t="s">
        <v>985</v>
      </c>
      <c r="M149" t="s">
        <v>720</v>
      </c>
      <c r="N149" t="s">
        <v>743</v>
      </c>
      <c r="O149">
        <v>28</v>
      </c>
      <c r="P149">
        <v>0</v>
      </c>
      <c r="Q149">
        <v>150</v>
      </c>
      <c r="R149" t="s">
        <v>798</v>
      </c>
      <c r="S149" t="s">
        <v>745</v>
      </c>
      <c r="T149" t="s">
        <v>746</v>
      </c>
      <c r="U149" t="s">
        <v>759</v>
      </c>
    </row>
    <row r="150" spans="1:21" x14ac:dyDescent="0.3">
      <c r="A150" s="1" t="s">
        <v>748</v>
      </c>
      <c r="B150" t="s">
        <v>749</v>
      </c>
      <c r="C150" t="s">
        <v>750</v>
      </c>
      <c r="D150" t="s">
        <v>1394</v>
      </c>
      <c r="E150" t="s">
        <v>568</v>
      </c>
      <c r="F150" t="s">
        <v>987</v>
      </c>
      <c r="G150" t="s">
        <v>714</v>
      </c>
      <c r="H150" t="s">
        <v>715</v>
      </c>
      <c r="I150" t="s">
        <v>988</v>
      </c>
      <c r="J150" t="s">
        <v>989</v>
      </c>
      <c r="K150" t="s">
        <v>990</v>
      </c>
      <c r="L150" t="s">
        <v>810</v>
      </c>
      <c r="M150" t="s">
        <v>720</v>
      </c>
      <c r="N150" t="s">
        <v>721</v>
      </c>
      <c r="O150">
        <v>6</v>
      </c>
      <c r="P150">
        <v>3</v>
      </c>
      <c r="Q150">
        <v>108</v>
      </c>
      <c r="R150" t="s">
        <v>798</v>
      </c>
      <c r="S150" t="s">
        <v>745</v>
      </c>
      <c r="T150" t="s">
        <v>746</v>
      </c>
      <c r="U150" t="s">
        <v>759</v>
      </c>
    </row>
    <row r="151" spans="1:21" x14ac:dyDescent="0.3">
      <c r="A151" s="1" t="s">
        <v>748</v>
      </c>
      <c r="B151" t="s">
        <v>749</v>
      </c>
      <c r="C151" t="s">
        <v>750</v>
      </c>
      <c r="D151" t="s">
        <v>1395</v>
      </c>
      <c r="E151" t="s">
        <v>568</v>
      </c>
      <c r="F151" t="s">
        <v>992</v>
      </c>
      <c r="G151" t="s">
        <v>794</v>
      </c>
      <c r="H151" t="s">
        <v>715</v>
      </c>
      <c r="I151" t="s">
        <v>993</v>
      </c>
      <c r="J151" t="s">
        <v>994</v>
      </c>
      <c r="K151" t="s">
        <v>995</v>
      </c>
      <c r="L151" t="s">
        <v>826</v>
      </c>
      <c r="M151" t="s">
        <v>720</v>
      </c>
      <c r="N151" t="s">
        <v>721</v>
      </c>
      <c r="O151">
        <v>7</v>
      </c>
      <c r="P151">
        <v>2</v>
      </c>
      <c r="Q151">
        <v>87</v>
      </c>
      <c r="R151" t="s">
        <v>798</v>
      </c>
      <c r="S151" t="s">
        <v>745</v>
      </c>
      <c r="T151" t="s">
        <v>746</v>
      </c>
      <c r="U151" t="s">
        <v>759</v>
      </c>
    </row>
    <row r="152" spans="1:21" x14ac:dyDescent="0.3">
      <c r="A152" s="1" t="s">
        <v>748</v>
      </c>
      <c r="B152" t="s">
        <v>749</v>
      </c>
      <c r="C152" t="s">
        <v>750</v>
      </c>
      <c r="D152" t="s">
        <v>1396</v>
      </c>
      <c r="E152" t="s">
        <v>568</v>
      </c>
      <c r="F152" t="s">
        <v>997</v>
      </c>
      <c r="G152" t="s">
        <v>714</v>
      </c>
      <c r="H152" t="s">
        <v>715</v>
      </c>
      <c r="I152" t="s">
        <v>998</v>
      </c>
      <c r="J152" t="s">
        <v>999</v>
      </c>
      <c r="K152" t="s">
        <v>1000</v>
      </c>
      <c r="L152" t="s">
        <v>765</v>
      </c>
      <c r="M152" t="s">
        <v>720</v>
      </c>
      <c r="N152" t="s">
        <v>721</v>
      </c>
      <c r="O152">
        <v>1</v>
      </c>
      <c r="P152">
        <v>15</v>
      </c>
      <c r="Q152">
        <v>58</v>
      </c>
      <c r="R152" t="s">
        <v>758</v>
      </c>
      <c r="S152" t="s">
        <v>745</v>
      </c>
      <c r="T152" t="s">
        <v>746</v>
      </c>
      <c r="U152" t="s">
        <v>759</v>
      </c>
    </row>
    <row r="153" spans="1:21" x14ac:dyDescent="0.3">
      <c r="A153" s="1" t="s">
        <v>748</v>
      </c>
      <c r="B153" t="s">
        <v>749</v>
      </c>
      <c r="C153" t="s">
        <v>750</v>
      </c>
      <c r="D153" t="s">
        <v>1397</v>
      </c>
      <c r="E153" t="s">
        <v>568</v>
      </c>
      <c r="F153" t="s">
        <v>1002</v>
      </c>
      <c r="G153" t="s">
        <v>794</v>
      </c>
      <c r="H153" t="s">
        <v>715</v>
      </c>
      <c r="I153" t="s">
        <v>1003</v>
      </c>
      <c r="J153" t="s">
        <v>1004</v>
      </c>
      <c r="K153" t="s">
        <v>1005</v>
      </c>
      <c r="L153" t="s">
        <v>757</v>
      </c>
      <c r="M153" t="s">
        <v>720</v>
      </c>
      <c r="N153" t="s">
        <v>721</v>
      </c>
      <c r="O153">
        <v>13</v>
      </c>
      <c r="P153">
        <v>7</v>
      </c>
      <c r="Q153">
        <v>104</v>
      </c>
      <c r="R153" t="s">
        <v>758</v>
      </c>
      <c r="S153" t="s">
        <v>745</v>
      </c>
      <c r="T153" t="s">
        <v>746</v>
      </c>
      <c r="U153" t="s">
        <v>759</v>
      </c>
    </row>
    <row r="154" spans="1:21" x14ac:dyDescent="0.3">
      <c r="A154" s="1" t="s">
        <v>748</v>
      </c>
      <c r="B154" t="s">
        <v>749</v>
      </c>
      <c r="C154" t="s">
        <v>750</v>
      </c>
      <c r="D154" t="s">
        <v>1398</v>
      </c>
      <c r="E154" t="s">
        <v>568</v>
      </c>
      <c r="F154" t="s">
        <v>1018</v>
      </c>
      <c r="G154" t="s">
        <v>794</v>
      </c>
      <c r="H154" t="s">
        <v>715</v>
      </c>
      <c r="I154" t="s">
        <v>1019</v>
      </c>
      <c r="J154" t="s">
        <v>1020</v>
      </c>
      <c r="K154" t="s">
        <v>1021</v>
      </c>
      <c r="L154" t="s">
        <v>765</v>
      </c>
      <c r="M154" t="s">
        <v>720</v>
      </c>
      <c r="N154" t="s">
        <v>721</v>
      </c>
      <c r="O154">
        <v>18</v>
      </c>
      <c r="P154">
        <v>15</v>
      </c>
      <c r="Q154">
        <v>89</v>
      </c>
      <c r="R154" t="s">
        <v>758</v>
      </c>
      <c r="S154" t="s">
        <v>745</v>
      </c>
      <c r="T154" t="s">
        <v>746</v>
      </c>
      <c r="U154" t="s">
        <v>759</v>
      </c>
    </row>
    <row r="155" spans="1:21" x14ac:dyDescent="0.3">
      <c r="A155" s="1" t="s">
        <v>748</v>
      </c>
      <c r="B155" t="s">
        <v>749</v>
      </c>
      <c r="C155" t="s">
        <v>750</v>
      </c>
      <c r="D155" t="s">
        <v>1399</v>
      </c>
      <c r="E155" t="s">
        <v>568</v>
      </c>
      <c r="F155" t="s">
        <v>1028</v>
      </c>
      <c r="G155" t="s">
        <v>714</v>
      </c>
      <c r="H155" t="s">
        <v>715</v>
      </c>
      <c r="I155" t="s">
        <v>1029</v>
      </c>
      <c r="J155" t="s">
        <v>1030</v>
      </c>
      <c r="K155" t="s">
        <v>1031</v>
      </c>
      <c r="L155" t="s">
        <v>985</v>
      </c>
      <c r="M155" t="s">
        <v>720</v>
      </c>
      <c r="N155" t="s">
        <v>743</v>
      </c>
      <c r="O155">
        <v>28</v>
      </c>
      <c r="P155">
        <v>0</v>
      </c>
      <c r="Q155">
        <v>150</v>
      </c>
      <c r="R155" t="s">
        <v>798</v>
      </c>
      <c r="S155" t="s">
        <v>745</v>
      </c>
      <c r="T155" t="s">
        <v>746</v>
      </c>
      <c r="U155" t="s">
        <v>759</v>
      </c>
    </row>
    <row r="156" spans="1:21" x14ac:dyDescent="0.3">
      <c r="A156" s="1" t="s">
        <v>748</v>
      </c>
      <c r="B156" t="s">
        <v>749</v>
      </c>
      <c r="C156" t="s">
        <v>750</v>
      </c>
      <c r="D156" t="s">
        <v>1400</v>
      </c>
      <c r="E156" t="s">
        <v>568</v>
      </c>
      <c r="F156" t="s">
        <v>1401</v>
      </c>
      <c r="G156" t="s">
        <v>714</v>
      </c>
      <c r="H156" t="s">
        <v>715</v>
      </c>
      <c r="I156" t="s">
        <v>1402</v>
      </c>
      <c r="J156" t="s">
        <v>1403</v>
      </c>
      <c r="K156" t="s">
        <v>1404</v>
      </c>
      <c r="L156" t="s">
        <v>1082</v>
      </c>
      <c r="M156" t="s">
        <v>720</v>
      </c>
      <c r="N156" t="s">
        <v>721</v>
      </c>
      <c r="O156">
        <v>1</v>
      </c>
      <c r="P156">
        <v>0</v>
      </c>
      <c r="Q156">
        <v>40</v>
      </c>
      <c r="R156" t="s">
        <v>798</v>
      </c>
      <c r="S156" t="s">
        <v>723</v>
      </c>
      <c r="T156" t="s">
        <v>1083</v>
      </c>
      <c r="U156" t="s">
        <v>707</v>
      </c>
    </row>
    <row r="157" spans="1:21" x14ac:dyDescent="0.3">
      <c r="A157" s="1" t="s">
        <v>748</v>
      </c>
      <c r="B157" t="s">
        <v>749</v>
      </c>
      <c r="C157" t="s">
        <v>750</v>
      </c>
      <c r="D157" t="s">
        <v>1405</v>
      </c>
      <c r="E157" t="s">
        <v>568</v>
      </c>
      <c r="F157" t="s">
        <v>1043</v>
      </c>
      <c r="G157" t="s">
        <v>714</v>
      </c>
      <c r="H157" t="s">
        <v>715</v>
      </c>
      <c r="I157" t="s">
        <v>1044</v>
      </c>
      <c r="J157" t="s">
        <v>1045</v>
      </c>
      <c r="K157" t="s">
        <v>1046</v>
      </c>
      <c r="L157" t="s">
        <v>757</v>
      </c>
      <c r="M157" t="s">
        <v>720</v>
      </c>
      <c r="N157" t="s">
        <v>721</v>
      </c>
      <c r="O157">
        <v>0</v>
      </c>
      <c r="P157">
        <v>7</v>
      </c>
      <c r="Q157">
        <v>45</v>
      </c>
      <c r="R157" t="s">
        <v>758</v>
      </c>
      <c r="S157" t="s">
        <v>745</v>
      </c>
      <c r="T157" t="s">
        <v>746</v>
      </c>
      <c r="U157" t="s">
        <v>759</v>
      </c>
    </row>
    <row r="158" spans="1:21" x14ac:dyDescent="0.3">
      <c r="A158" s="1" t="s">
        <v>748</v>
      </c>
      <c r="B158" t="s">
        <v>749</v>
      </c>
      <c r="C158" t="s">
        <v>750</v>
      </c>
      <c r="D158" t="s">
        <v>1406</v>
      </c>
      <c r="E158" t="s">
        <v>568</v>
      </c>
      <c r="F158" t="s">
        <v>1048</v>
      </c>
      <c r="G158" t="s">
        <v>794</v>
      </c>
      <c r="H158" t="s">
        <v>715</v>
      </c>
      <c r="I158" t="s">
        <v>1049</v>
      </c>
      <c r="J158" t="s">
        <v>1050</v>
      </c>
      <c r="K158" t="s">
        <v>1051</v>
      </c>
      <c r="L158" t="s">
        <v>765</v>
      </c>
      <c r="M158" t="s">
        <v>720</v>
      </c>
      <c r="N158" t="s">
        <v>721</v>
      </c>
      <c r="O158">
        <v>10</v>
      </c>
      <c r="P158">
        <v>15</v>
      </c>
      <c r="Q158">
        <v>92</v>
      </c>
      <c r="R158" t="s">
        <v>758</v>
      </c>
      <c r="S158" t="s">
        <v>745</v>
      </c>
      <c r="T158" t="s">
        <v>746</v>
      </c>
      <c r="U158" t="s">
        <v>759</v>
      </c>
    </row>
    <row r="159" spans="1:21" x14ac:dyDescent="0.3">
      <c r="A159" s="1" t="s">
        <v>748</v>
      </c>
      <c r="B159" t="s">
        <v>749</v>
      </c>
      <c r="C159" t="s">
        <v>750</v>
      </c>
      <c r="D159" t="s">
        <v>1407</v>
      </c>
      <c r="E159" t="s">
        <v>568</v>
      </c>
      <c r="F159" t="s">
        <v>1408</v>
      </c>
      <c r="G159" t="s">
        <v>794</v>
      </c>
      <c r="H159" t="s">
        <v>715</v>
      </c>
      <c r="I159" t="s">
        <v>1409</v>
      </c>
      <c r="J159" t="s">
        <v>1410</v>
      </c>
      <c r="K159" t="s">
        <v>1411</v>
      </c>
      <c r="L159" t="s">
        <v>985</v>
      </c>
      <c r="M159" t="s">
        <v>720</v>
      </c>
      <c r="N159" t="s">
        <v>743</v>
      </c>
      <c r="O159">
        <v>21</v>
      </c>
      <c r="P159">
        <v>0</v>
      </c>
      <c r="Q159">
        <v>150</v>
      </c>
      <c r="R159" t="s">
        <v>798</v>
      </c>
      <c r="S159" t="s">
        <v>745</v>
      </c>
      <c r="T159" t="s">
        <v>746</v>
      </c>
      <c r="U159" t="s">
        <v>759</v>
      </c>
    </row>
    <row r="160" spans="1:21" x14ac:dyDescent="0.3">
      <c r="A160" s="1" t="s">
        <v>748</v>
      </c>
      <c r="B160" t="s">
        <v>749</v>
      </c>
      <c r="C160" t="s">
        <v>750</v>
      </c>
      <c r="D160" t="s">
        <v>1412</v>
      </c>
      <c r="E160" t="s">
        <v>568</v>
      </c>
      <c r="F160" t="s">
        <v>1053</v>
      </c>
      <c r="G160" t="s">
        <v>794</v>
      </c>
      <c r="H160" t="s">
        <v>715</v>
      </c>
      <c r="I160" t="s">
        <v>1054</v>
      </c>
      <c r="J160" t="s">
        <v>1055</v>
      </c>
      <c r="K160" t="s">
        <v>1056</v>
      </c>
      <c r="L160" t="s">
        <v>765</v>
      </c>
      <c r="M160" t="s">
        <v>720</v>
      </c>
      <c r="N160" t="s">
        <v>721</v>
      </c>
      <c r="O160">
        <v>0</v>
      </c>
      <c r="P160">
        <v>15</v>
      </c>
      <c r="Q160">
        <v>22</v>
      </c>
      <c r="R160" t="s">
        <v>758</v>
      </c>
      <c r="S160" t="s">
        <v>745</v>
      </c>
      <c r="T160" t="s">
        <v>746</v>
      </c>
      <c r="U160" t="s">
        <v>759</v>
      </c>
    </row>
    <row r="161" spans="1:21" x14ac:dyDescent="0.3">
      <c r="A161" s="1" t="s">
        <v>748</v>
      </c>
      <c r="B161" t="s">
        <v>749</v>
      </c>
      <c r="C161" t="s">
        <v>750</v>
      </c>
      <c r="D161" t="s">
        <v>1413</v>
      </c>
      <c r="E161" t="s">
        <v>568</v>
      </c>
      <c r="F161" t="s">
        <v>1063</v>
      </c>
      <c r="G161" t="s">
        <v>714</v>
      </c>
      <c r="H161" t="s">
        <v>715</v>
      </c>
      <c r="I161" t="s">
        <v>1064</v>
      </c>
      <c r="J161" t="s">
        <v>1065</v>
      </c>
      <c r="K161" t="s">
        <v>1066</v>
      </c>
      <c r="L161" t="s">
        <v>826</v>
      </c>
      <c r="M161" t="s">
        <v>720</v>
      </c>
      <c r="N161" t="s">
        <v>721</v>
      </c>
      <c r="O161">
        <v>1</v>
      </c>
      <c r="P161">
        <v>10</v>
      </c>
      <c r="Q161">
        <v>86</v>
      </c>
      <c r="R161" t="s">
        <v>722</v>
      </c>
      <c r="S161" t="s">
        <v>745</v>
      </c>
      <c r="T161" t="s">
        <v>746</v>
      </c>
      <c r="U161" t="s">
        <v>759</v>
      </c>
    </row>
    <row r="162" spans="1:21" x14ac:dyDescent="0.3">
      <c r="A162" s="1" t="s">
        <v>748</v>
      </c>
      <c r="B162" t="s">
        <v>749</v>
      </c>
      <c r="C162" t="s">
        <v>750</v>
      </c>
      <c r="D162" t="s">
        <v>1414</v>
      </c>
      <c r="E162" t="s">
        <v>568</v>
      </c>
      <c r="F162" t="s">
        <v>1078</v>
      </c>
      <c r="G162" t="s">
        <v>714</v>
      </c>
      <c r="H162" t="s">
        <v>715</v>
      </c>
      <c r="I162" t="s">
        <v>1079</v>
      </c>
      <c r="J162" t="s">
        <v>1080</v>
      </c>
      <c r="K162" t="s">
        <v>1081</v>
      </c>
      <c r="L162" t="s">
        <v>1082</v>
      </c>
      <c r="M162" t="s">
        <v>720</v>
      </c>
      <c r="N162" t="s">
        <v>721</v>
      </c>
      <c r="O162">
        <v>0</v>
      </c>
      <c r="P162">
        <v>0</v>
      </c>
      <c r="Q162">
        <v>49</v>
      </c>
      <c r="R162" t="s">
        <v>798</v>
      </c>
      <c r="S162" t="s">
        <v>723</v>
      </c>
      <c r="T162" t="s">
        <v>1083</v>
      </c>
      <c r="U162" t="s">
        <v>707</v>
      </c>
    </row>
    <row r="163" spans="1:21" x14ac:dyDescent="0.3">
      <c r="A163" s="1" t="s">
        <v>748</v>
      </c>
      <c r="B163" t="s">
        <v>749</v>
      </c>
      <c r="C163" t="s">
        <v>750</v>
      </c>
      <c r="D163" t="s">
        <v>1415</v>
      </c>
      <c r="E163" t="s">
        <v>568</v>
      </c>
      <c r="F163" t="s">
        <v>1100</v>
      </c>
      <c r="G163" t="s">
        <v>794</v>
      </c>
      <c r="H163" t="s">
        <v>715</v>
      </c>
      <c r="I163" t="s">
        <v>1101</v>
      </c>
      <c r="J163" t="s">
        <v>1102</v>
      </c>
      <c r="K163" t="s">
        <v>1103</v>
      </c>
      <c r="L163" t="s">
        <v>741</v>
      </c>
      <c r="M163" t="s">
        <v>720</v>
      </c>
      <c r="N163" t="s">
        <v>743</v>
      </c>
      <c r="O163">
        <v>4</v>
      </c>
      <c r="P163">
        <v>0</v>
      </c>
      <c r="Q163">
        <v>109</v>
      </c>
      <c r="R163" t="s">
        <v>798</v>
      </c>
      <c r="S163" t="s">
        <v>745</v>
      </c>
      <c r="T163" t="s">
        <v>746</v>
      </c>
      <c r="U163" t="s">
        <v>759</v>
      </c>
    </row>
    <row r="164" spans="1:21" x14ac:dyDescent="0.3">
      <c r="A164" s="1" t="s">
        <v>748</v>
      </c>
      <c r="B164" t="s">
        <v>749</v>
      </c>
      <c r="C164" t="s">
        <v>750</v>
      </c>
      <c r="D164" t="s">
        <v>1416</v>
      </c>
      <c r="E164" t="s">
        <v>568</v>
      </c>
      <c r="F164" t="s">
        <v>1115</v>
      </c>
      <c r="G164" t="s">
        <v>753</v>
      </c>
      <c r="H164" t="s">
        <v>715</v>
      </c>
      <c r="I164" t="s">
        <v>1116</v>
      </c>
      <c r="J164" t="s">
        <v>1117</v>
      </c>
      <c r="K164" t="s">
        <v>1118</v>
      </c>
      <c r="L164" t="s">
        <v>765</v>
      </c>
      <c r="M164" t="s">
        <v>720</v>
      </c>
      <c r="N164" t="s">
        <v>721</v>
      </c>
      <c r="O164">
        <v>3</v>
      </c>
      <c r="P164">
        <v>15</v>
      </c>
      <c r="Q164">
        <v>58</v>
      </c>
      <c r="R164" t="s">
        <v>758</v>
      </c>
      <c r="S164" t="s">
        <v>745</v>
      </c>
      <c r="T164" t="s">
        <v>746</v>
      </c>
      <c r="U164" t="s">
        <v>759</v>
      </c>
    </row>
    <row r="165" spans="1:21" x14ac:dyDescent="0.3">
      <c r="A165" s="1" t="s">
        <v>748</v>
      </c>
      <c r="B165" t="s">
        <v>749</v>
      </c>
      <c r="C165" t="s">
        <v>750</v>
      </c>
      <c r="D165" t="s">
        <v>727</v>
      </c>
      <c r="E165" t="s">
        <v>568</v>
      </c>
      <c r="F165" t="s">
        <v>728</v>
      </c>
      <c r="G165" t="s">
        <v>714</v>
      </c>
      <c r="H165" t="s">
        <v>715</v>
      </c>
      <c r="I165" t="s">
        <v>1120</v>
      </c>
      <c r="J165" t="s">
        <v>1121</v>
      </c>
      <c r="K165" t="s">
        <v>1122</v>
      </c>
      <c r="L165" t="s">
        <v>765</v>
      </c>
      <c r="M165" t="s">
        <v>720</v>
      </c>
      <c r="N165" t="s">
        <v>721</v>
      </c>
      <c r="O165">
        <v>0</v>
      </c>
      <c r="P165">
        <v>15</v>
      </c>
      <c r="Q165">
        <v>115</v>
      </c>
      <c r="R165" t="s">
        <v>758</v>
      </c>
      <c r="S165" t="s">
        <v>745</v>
      </c>
      <c r="T165" t="s">
        <v>746</v>
      </c>
      <c r="U165" t="s">
        <v>759</v>
      </c>
    </row>
    <row r="166" spans="1:21" x14ac:dyDescent="0.3">
      <c r="A166" s="1" t="s">
        <v>748</v>
      </c>
      <c r="B166" t="s">
        <v>749</v>
      </c>
      <c r="C166" t="s">
        <v>750</v>
      </c>
      <c r="D166" t="s">
        <v>1417</v>
      </c>
      <c r="E166" t="s">
        <v>568</v>
      </c>
      <c r="F166" t="s">
        <v>1129</v>
      </c>
      <c r="G166" t="s">
        <v>794</v>
      </c>
      <c r="H166" t="s">
        <v>715</v>
      </c>
      <c r="I166" t="s">
        <v>1130</v>
      </c>
      <c r="J166" t="s">
        <v>1131</v>
      </c>
      <c r="K166" t="s">
        <v>1132</v>
      </c>
      <c r="L166" t="s">
        <v>765</v>
      </c>
      <c r="M166" t="s">
        <v>720</v>
      </c>
      <c r="N166" t="s">
        <v>721</v>
      </c>
      <c r="O166">
        <v>1</v>
      </c>
      <c r="P166">
        <v>15</v>
      </c>
      <c r="Q166">
        <v>119</v>
      </c>
      <c r="R166" t="s">
        <v>758</v>
      </c>
      <c r="S166" t="s">
        <v>745</v>
      </c>
      <c r="T166" t="s">
        <v>746</v>
      </c>
      <c r="U166" t="s">
        <v>759</v>
      </c>
    </row>
    <row r="167" spans="1:21" x14ac:dyDescent="0.3">
      <c r="A167" s="1" t="s">
        <v>748</v>
      </c>
      <c r="B167" t="s">
        <v>749</v>
      </c>
      <c r="C167" t="s">
        <v>750</v>
      </c>
      <c r="D167" t="s">
        <v>1418</v>
      </c>
      <c r="E167" t="s">
        <v>568</v>
      </c>
      <c r="F167" t="s">
        <v>1134</v>
      </c>
      <c r="G167" t="s">
        <v>714</v>
      </c>
      <c r="H167" t="s">
        <v>715</v>
      </c>
      <c r="I167" t="s">
        <v>1135</v>
      </c>
      <c r="J167" t="s">
        <v>1136</v>
      </c>
      <c r="K167" t="s">
        <v>1137</v>
      </c>
      <c r="L167" t="s">
        <v>765</v>
      </c>
      <c r="M167" t="s">
        <v>720</v>
      </c>
      <c r="N167" t="s">
        <v>721</v>
      </c>
      <c r="O167">
        <v>14</v>
      </c>
      <c r="P167">
        <v>15</v>
      </c>
      <c r="Q167">
        <v>112</v>
      </c>
      <c r="R167" t="s">
        <v>758</v>
      </c>
      <c r="S167" t="s">
        <v>745</v>
      </c>
      <c r="T167" t="s">
        <v>746</v>
      </c>
      <c r="U167" t="s">
        <v>759</v>
      </c>
    </row>
    <row r="168" spans="1:21" x14ac:dyDescent="0.3">
      <c r="A168" s="1" t="s">
        <v>748</v>
      </c>
      <c r="B168" t="s">
        <v>749</v>
      </c>
      <c r="C168" t="s">
        <v>750</v>
      </c>
      <c r="D168" t="s">
        <v>1419</v>
      </c>
      <c r="E168" t="s">
        <v>568</v>
      </c>
      <c r="F168" t="s">
        <v>1144</v>
      </c>
      <c r="G168" t="s">
        <v>806</v>
      </c>
      <c r="H168" t="s">
        <v>715</v>
      </c>
      <c r="I168" t="s">
        <v>1145</v>
      </c>
      <c r="J168" t="s">
        <v>1146</v>
      </c>
      <c r="K168" t="s">
        <v>1147</v>
      </c>
      <c r="L168" t="s">
        <v>765</v>
      </c>
      <c r="M168" t="s">
        <v>720</v>
      </c>
      <c r="N168" t="s">
        <v>721</v>
      </c>
      <c r="O168">
        <v>2</v>
      </c>
      <c r="P168">
        <v>15</v>
      </c>
      <c r="Q168">
        <v>83</v>
      </c>
      <c r="R168" t="s">
        <v>758</v>
      </c>
      <c r="S168" t="s">
        <v>745</v>
      </c>
      <c r="T168" t="s">
        <v>746</v>
      </c>
      <c r="U168" t="s">
        <v>759</v>
      </c>
    </row>
    <row r="169" spans="1:21" x14ac:dyDescent="0.3">
      <c r="A169" s="1" t="s">
        <v>748</v>
      </c>
      <c r="B169" t="s">
        <v>749</v>
      </c>
      <c r="C169" t="s">
        <v>750</v>
      </c>
      <c r="D169" t="s">
        <v>1420</v>
      </c>
      <c r="E169" t="s">
        <v>568</v>
      </c>
      <c r="F169" t="s">
        <v>1149</v>
      </c>
      <c r="G169" t="s">
        <v>714</v>
      </c>
      <c r="H169" t="s">
        <v>715</v>
      </c>
      <c r="I169" t="s">
        <v>1150</v>
      </c>
      <c r="J169" t="s">
        <v>1151</v>
      </c>
      <c r="K169" t="s">
        <v>1152</v>
      </c>
      <c r="L169" t="s">
        <v>765</v>
      </c>
      <c r="M169" t="s">
        <v>720</v>
      </c>
      <c r="N169" t="s">
        <v>721</v>
      </c>
      <c r="O169">
        <v>1</v>
      </c>
      <c r="P169">
        <v>15</v>
      </c>
      <c r="Q169">
        <v>5</v>
      </c>
      <c r="R169" t="s">
        <v>758</v>
      </c>
      <c r="S169" t="s">
        <v>745</v>
      </c>
      <c r="T169" t="s">
        <v>746</v>
      </c>
      <c r="U169" t="s">
        <v>759</v>
      </c>
    </row>
    <row r="170" spans="1:21" x14ac:dyDescent="0.3">
      <c r="A170" s="1" t="s">
        <v>748</v>
      </c>
      <c r="B170" t="s">
        <v>749</v>
      </c>
      <c r="C170" t="s">
        <v>750</v>
      </c>
      <c r="D170" t="s">
        <v>1421</v>
      </c>
      <c r="E170" t="s">
        <v>568</v>
      </c>
      <c r="F170" t="s">
        <v>1154</v>
      </c>
      <c r="G170" t="s">
        <v>714</v>
      </c>
      <c r="H170" t="s">
        <v>715</v>
      </c>
      <c r="I170" t="s">
        <v>1155</v>
      </c>
      <c r="J170" t="s">
        <v>1156</v>
      </c>
      <c r="K170" t="s">
        <v>1157</v>
      </c>
      <c r="L170" t="s">
        <v>765</v>
      </c>
      <c r="M170" t="s">
        <v>720</v>
      </c>
      <c r="N170" t="s">
        <v>721</v>
      </c>
      <c r="O170">
        <v>2</v>
      </c>
      <c r="P170">
        <v>15</v>
      </c>
      <c r="Q170">
        <v>43</v>
      </c>
      <c r="R170" t="s">
        <v>758</v>
      </c>
      <c r="S170" t="s">
        <v>745</v>
      </c>
      <c r="T170" t="s">
        <v>746</v>
      </c>
      <c r="U170" t="s">
        <v>759</v>
      </c>
    </row>
    <row r="171" spans="1:21" x14ac:dyDescent="0.3">
      <c r="A171" s="1" t="s">
        <v>748</v>
      </c>
      <c r="B171" t="s">
        <v>749</v>
      </c>
      <c r="C171" t="s">
        <v>750</v>
      </c>
      <c r="D171" t="s">
        <v>1422</v>
      </c>
      <c r="E171" t="s">
        <v>568</v>
      </c>
      <c r="F171" t="s">
        <v>1423</v>
      </c>
      <c r="G171" t="s">
        <v>806</v>
      </c>
      <c r="H171" t="s">
        <v>715</v>
      </c>
      <c r="I171" t="s">
        <v>1424</v>
      </c>
      <c r="J171" t="s">
        <v>1425</v>
      </c>
      <c r="K171" t="s">
        <v>1426</v>
      </c>
      <c r="L171" t="s">
        <v>810</v>
      </c>
      <c r="M171" t="s">
        <v>720</v>
      </c>
      <c r="N171" t="s">
        <v>721</v>
      </c>
      <c r="O171">
        <v>9</v>
      </c>
      <c r="P171">
        <v>3</v>
      </c>
      <c r="Q171">
        <v>15</v>
      </c>
      <c r="R171" t="s">
        <v>798</v>
      </c>
      <c r="S171" t="s">
        <v>745</v>
      </c>
      <c r="T171" t="s">
        <v>746</v>
      </c>
      <c r="U171" t="s">
        <v>1427</v>
      </c>
    </row>
    <row r="172" spans="1:21" x14ac:dyDescent="0.3">
      <c r="A172" s="1" t="s">
        <v>748</v>
      </c>
      <c r="B172" t="s">
        <v>749</v>
      </c>
      <c r="C172" t="s">
        <v>750</v>
      </c>
      <c r="D172" t="s">
        <v>1428</v>
      </c>
      <c r="E172" t="s">
        <v>568</v>
      </c>
      <c r="F172" t="s">
        <v>1159</v>
      </c>
      <c r="G172" t="s">
        <v>714</v>
      </c>
      <c r="H172" t="s">
        <v>715</v>
      </c>
      <c r="I172" t="s">
        <v>1160</v>
      </c>
      <c r="J172" t="s">
        <v>1161</v>
      </c>
      <c r="K172" t="s">
        <v>1162</v>
      </c>
      <c r="L172" t="s">
        <v>765</v>
      </c>
      <c r="M172" t="s">
        <v>720</v>
      </c>
      <c r="N172" t="s">
        <v>721</v>
      </c>
      <c r="O172">
        <v>18</v>
      </c>
      <c r="P172">
        <v>15</v>
      </c>
      <c r="Q172">
        <v>60</v>
      </c>
      <c r="R172" t="s">
        <v>758</v>
      </c>
      <c r="S172" t="s">
        <v>745</v>
      </c>
      <c r="T172" t="s">
        <v>746</v>
      </c>
      <c r="U172" t="s">
        <v>759</v>
      </c>
    </row>
    <row r="173" spans="1:21" x14ac:dyDescent="0.3">
      <c r="A173" s="1" t="s">
        <v>748</v>
      </c>
      <c r="B173" t="s">
        <v>749</v>
      </c>
      <c r="C173" t="s">
        <v>750</v>
      </c>
      <c r="D173" t="s">
        <v>1429</v>
      </c>
      <c r="E173" t="s">
        <v>567</v>
      </c>
      <c r="F173" t="s">
        <v>1179</v>
      </c>
      <c r="G173" t="s">
        <v>794</v>
      </c>
      <c r="H173" t="s">
        <v>715</v>
      </c>
      <c r="I173" t="s">
        <v>1180</v>
      </c>
      <c r="J173" t="s">
        <v>1181</v>
      </c>
      <c r="K173" t="s">
        <v>1182</v>
      </c>
      <c r="L173" t="s">
        <v>741</v>
      </c>
      <c r="M173" t="s">
        <v>720</v>
      </c>
      <c r="N173" t="s">
        <v>743</v>
      </c>
      <c r="O173">
        <v>0</v>
      </c>
      <c r="P173">
        <v>0</v>
      </c>
      <c r="Q173">
        <v>72</v>
      </c>
      <c r="R173" t="s">
        <v>798</v>
      </c>
      <c r="S173" t="s">
        <v>745</v>
      </c>
      <c r="T173" t="s">
        <v>746</v>
      </c>
      <c r="U173" t="s">
        <v>759</v>
      </c>
    </row>
    <row r="174" spans="1:21" x14ac:dyDescent="0.3">
      <c r="A174" s="1" t="s">
        <v>748</v>
      </c>
      <c r="B174" t="s">
        <v>749</v>
      </c>
      <c r="C174" t="s">
        <v>750</v>
      </c>
      <c r="D174" t="s">
        <v>1430</v>
      </c>
      <c r="E174" t="s">
        <v>567</v>
      </c>
      <c r="F174" t="s">
        <v>1184</v>
      </c>
      <c r="G174" t="s">
        <v>714</v>
      </c>
      <c r="H174" t="s">
        <v>715</v>
      </c>
      <c r="I174" t="s">
        <v>1185</v>
      </c>
      <c r="J174" t="s">
        <v>1186</v>
      </c>
      <c r="K174" t="s">
        <v>1187</v>
      </c>
      <c r="L174" t="s">
        <v>810</v>
      </c>
      <c r="M174" t="s">
        <v>720</v>
      </c>
      <c r="N174" t="s">
        <v>721</v>
      </c>
      <c r="O174">
        <v>16</v>
      </c>
      <c r="P174">
        <v>3</v>
      </c>
      <c r="Q174">
        <v>9</v>
      </c>
      <c r="R174" t="s">
        <v>798</v>
      </c>
      <c r="S174" t="s">
        <v>745</v>
      </c>
      <c r="T174" t="s">
        <v>746</v>
      </c>
      <c r="U174" t="s">
        <v>759</v>
      </c>
    </row>
    <row r="175" spans="1:21" x14ac:dyDescent="0.3">
      <c r="A175" s="1" t="s">
        <v>748</v>
      </c>
      <c r="B175" t="s">
        <v>749</v>
      </c>
      <c r="C175" t="s">
        <v>750</v>
      </c>
      <c r="D175" t="s">
        <v>1431</v>
      </c>
      <c r="E175" t="s">
        <v>567</v>
      </c>
      <c r="F175" t="s">
        <v>1195</v>
      </c>
      <c r="G175" t="s">
        <v>714</v>
      </c>
      <c r="H175" t="s">
        <v>715</v>
      </c>
      <c r="I175" t="s">
        <v>1196</v>
      </c>
      <c r="J175" t="s">
        <v>1197</v>
      </c>
      <c r="K175" t="s">
        <v>1198</v>
      </c>
      <c r="L175" t="s">
        <v>765</v>
      </c>
      <c r="M175" t="s">
        <v>720</v>
      </c>
      <c r="N175" t="s">
        <v>721</v>
      </c>
      <c r="O175">
        <v>9</v>
      </c>
      <c r="P175">
        <v>15</v>
      </c>
      <c r="Q175">
        <v>62</v>
      </c>
      <c r="R175" t="s">
        <v>758</v>
      </c>
      <c r="S175" t="s">
        <v>745</v>
      </c>
      <c r="T175" t="s">
        <v>746</v>
      </c>
      <c r="U175" t="s">
        <v>759</v>
      </c>
    </row>
    <row r="176" spans="1:21" x14ac:dyDescent="0.3">
      <c r="A176" s="1" t="s">
        <v>748</v>
      </c>
      <c r="B176" t="s">
        <v>749</v>
      </c>
      <c r="C176" t="s">
        <v>750</v>
      </c>
      <c r="D176" t="s">
        <v>1432</v>
      </c>
      <c r="E176" t="s">
        <v>567</v>
      </c>
      <c r="F176" t="s">
        <v>1200</v>
      </c>
      <c r="G176" t="s">
        <v>714</v>
      </c>
      <c r="H176" t="s">
        <v>715</v>
      </c>
      <c r="I176" t="s">
        <v>1201</v>
      </c>
      <c r="J176" t="s">
        <v>1202</v>
      </c>
      <c r="K176" t="s">
        <v>1203</v>
      </c>
      <c r="L176" t="s">
        <v>765</v>
      </c>
      <c r="M176" t="s">
        <v>720</v>
      </c>
      <c r="N176" t="s">
        <v>721</v>
      </c>
      <c r="O176">
        <v>1</v>
      </c>
      <c r="P176">
        <v>15</v>
      </c>
      <c r="Q176">
        <v>68</v>
      </c>
      <c r="R176" t="s">
        <v>758</v>
      </c>
      <c r="S176" t="s">
        <v>745</v>
      </c>
      <c r="T176" t="s">
        <v>746</v>
      </c>
      <c r="U176" t="s">
        <v>759</v>
      </c>
    </row>
    <row r="177" spans="1:21" x14ac:dyDescent="0.3">
      <c r="A177" s="1" t="s">
        <v>748</v>
      </c>
      <c r="B177" t="s">
        <v>749</v>
      </c>
      <c r="C177" t="s">
        <v>750</v>
      </c>
      <c r="D177" t="s">
        <v>1433</v>
      </c>
      <c r="E177" t="s">
        <v>567</v>
      </c>
      <c r="F177" t="s">
        <v>1205</v>
      </c>
      <c r="G177" t="s">
        <v>714</v>
      </c>
      <c r="H177" t="s">
        <v>715</v>
      </c>
      <c r="I177" t="s">
        <v>1206</v>
      </c>
      <c r="J177" t="s">
        <v>1207</v>
      </c>
      <c r="K177" t="s">
        <v>1208</v>
      </c>
      <c r="L177" t="s">
        <v>765</v>
      </c>
      <c r="M177" t="s">
        <v>720</v>
      </c>
      <c r="N177" t="s">
        <v>721</v>
      </c>
      <c r="O177">
        <v>4</v>
      </c>
      <c r="P177">
        <v>15</v>
      </c>
      <c r="Q177">
        <v>13</v>
      </c>
      <c r="R177" t="s">
        <v>758</v>
      </c>
      <c r="S177" t="s">
        <v>745</v>
      </c>
      <c r="T177" t="s">
        <v>746</v>
      </c>
      <c r="U177" t="s">
        <v>759</v>
      </c>
    </row>
    <row r="178" spans="1:21" x14ac:dyDescent="0.3">
      <c r="A178" s="1" t="s">
        <v>748</v>
      </c>
      <c r="B178" t="s">
        <v>749</v>
      </c>
      <c r="C178" t="s">
        <v>750</v>
      </c>
      <c r="D178" t="s">
        <v>1434</v>
      </c>
      <c r="E178" t="s">
        <v>567</v>
      </c>
      <c r="F178" t="s">
        <v>1218</v>
      </c>
      <c r="G178" t="s">
        <v>794</v>
      </c>
      <c r="H178" t="s">
        <v>715</v>
      </c>
      <c r="I178" t="s">
        <v>1219</v>
      </c>
      <c r="J178" t="s">
        <v>1220</v>
      </c>
      <c r="K178" t="s">
        <v>1221</v>
      </c>
      <c r="L178" t="s">
        <v>765</v>
      </c>
      <c r="M178" t="s">
        <v>720</v>
      </c>
      <c r="N178" t="s">
        <v>721</v>
      </c>
      <c r="O178">
        <v>17</v>
      </c>
      <c r="P178">
        <v>15</v>
      </c>
      <c r="Q178">
        <v>76</v>
      </c>
      <c r="R178" t="s">
        <v>758</v>
      </c>
      <c r="S178" t="s">
        <v>745</v>
      </c>
      <c r="T178" t="s">
        <v>746</v>
      </c>
      <c r="U178" t="s">
        <v>759</v>
      </c>
    </row>
    <row r="179" spans="1:21" x14ac:dyDescent="0.3">
      <c r="A179" s="1" t="s">
        <v>748</v>
      </c>
      <c r="B179" t="s">
        <v>749</v>
      </c>
      <c r="C179" t="s">
        <v>750</v>
      </c>
      <c r="D179" t="s">
        <v>1435</v>
      </c>
      <c r="E179" t="s">
        <v>567</v>
      </c>
      <c r="F179" t="s">
        <v>1223</v>
      </c>
      <c r="G179" t="s">
        <v>794</v>
      </c>
      <c r="H179" t="s">
        <v>715</v>
      </c>
      <c r="I179" t="s">
        <v>1224</v>
      </c>
      <c r="J179" t="s">
        <v>1225</v>
      </c>
      <c r="K179" t="s">
        <v>1226</v>
      </c>
      <c r="L179" t="s">
        <v>826</v>
      </c>
      <c r="M179" t="s">
        <v>720</v>
      </c>
      <c r="N179" t="s">
        <v>721</v>
      </c>
      <c r="O179">
        <v>12</v>
      </c>
      <c r="P179">
        <v>2</v>
      </c>
      <c r="Q179">
        <v>86</v>
      </c>
      <c r="R179" t="s">
        <v>798</v>
      </c>
      <c r="S179" t="s">
        <v>745</v>
      </c>
      <c r="T179" t="s">
        <v>746</v>
      </c>
      <c r="U179" t="s">
        <v>759</v>
      </c>
    </row>
    <row r="180" spans="1:21" x14ac:dyDescent="0.3">
      <c r="A180" s="1" t="s">
        <v>748</v>
      </c>
      <c r="B180" t="s">
        <v>749</v>
      </c>
      <c r="C180" t="s">
        <v>750</v>
      </c>
      <c r="D180" t="s">
        <v>1436</v>
      </c>
      <c r="E180" t="s">
        <v>567</v>
      </c>
      <c r="F180" t="s">
        <v>1228</v>
      </c>
      <c r="G180" t="s">
        <v>794</v>
      </c>
      <c r="H180" t="s">
        <v>715</v>
      </c>
      <c r="I180" t="s">
        <v>1229</v>
      </c>
      <c r="J180" t="s">
        <v>1230</v>
      </c>
      <c r="K180" t="s">
        <v>1231</v>
      </c>
      <c r="L180" t="s">
        <v>1082</v>
      </c>
      <c r="M180" t="s">
        <v>720</v>
      </c>
      <c r="N180" t="s">
        <v>721</v>
      </c>
      <c r="O180">
        <v>2</v>
      </c>
      <c r="P180">
        <v>0</v>
      </c>
      <c r="Q180">
        <v>94</v>
      </c>
      <c r="R180" t="s">
        <v>798</v>
      </c>
      <c r="S180" t="s">
        <v>723</v>
      </c>
      <c r="T180" t="s">
        <v>1083</v>
      </c>
      <c r="U180" t="s">
        <v>707</v>
      </c>
    </row>
    <row r="181" spans="1:21" x14ac:dyDescent="0.3">
      <c r="A181" s="1" t="s">
        <v>748</v>
      </c>
      <c r="B181" t="s">
        <v>749</v>
      </c>
      <c r="C181" t="s">
        <v>750</v>
      </c>
      <c r="D181" t="s">
        <v>1437</v>
      </c>
      <c r="E181" t="s">
        <v>567</v>
      </c>
      <c r="F181" t="s">
        <v>1238</v>
      </c>
      <c r="G181" t="s">
        <v>794</v>
      </c>
      <c r="H181" t="s">
        <v>715</v>
      </c>
      <c r="I181" t="s">
        <v>1240</v>
      </c>
      <c r="J181" t="s">
        <v>1241</v>
      </c>
      <c r="K181" t="s">
        <v>1242</v>
      </c>
      <c r="L181" t="s">
        <v>1243</v>
      </c>
      <c r="M181" t="s">
        <v>1243</v>
      </c>
      <c r="N181" t="s">
        <v>721</v>
      </c>
      <c r="O181">
        <v>27</v>
      </c>
      <c r="P181">
        <v>0</v>
      </c>
      <c r="Q181">
        <v>229</v>
      </c>
      <c r="R181" t="s">
        <v>758</v>
      </c>
      <c r="S181" t="s">
        <v>745</v>
      </c>
      <c r="T181" t="s">
        <v>746</v>
      </c>
      <c r="U181" t="s">
        <v>747</v>
      </c>
    </row>
    <row r="182" spans="1:21" x14ac:dyDescent="0.3">
      <c r="A182" s="1" t="s">
        <v>748</v>
      </c>
      <c r="B182" t="s">
        <v>749</v>
      </c>
      <c r="C182" t="s">
        <v>750</v>
      </c>
      <c r="D182" t="s">
        <v>1438</v>
      </c>
      <c r="E182" t="s">
        <v>567</v>
      </c>
      <c r="F182" t="s">
        <v>1245</v>
      </c>
      <c r="G182" t="s">
        <v>794</v>
      </c>
      <c r="H182" t="s">
        <v>715</v>
      </c>
      <c r="I182" t="s">
        <v>1246</v>
      </c>
      <c r="J182" t="s">
        <v>1247</v>
      </c>
      <c r="K182" t="s">
        <v>1248</v>
      </c>
      <c r="L182" t="s">
        <v>765</v>
      </c>
      <c r="M182" t="s">
        <v>720</v>
      </c>
      <c r="N182" t="s">
        <v>721</v>
      </c>
      <c r="O182">
        <v>0</v>
      </c>
      <c r="P182">
        <v>15</v>
      </c>
      <c r="Q182">
        <v>73</v>
      </c>
      <c r="R182" t="s">
        <v>758</v>
      </c>
      <c r="S182" t="s">
        <v>745</v>
      </c>
      <c r="T182" t="s">
        <v>746</v>
      </c>
      <c r="U182" t="s">
        <v>759</v>
      </c>
    </row>
    <row r="183" spans="1:21" x14ac:dyDescent="0.3">
      <c r="A183" s="1" t="s">
        <v>748</v>
      </c>
      <c r="B183" t="s">
        <v>749</v>
      </c>
      <c r="C183" t="s">
        <v>750</v>
      </c>
      <c r="D183" t="s">
        <v>1439</v>
      </c>
      <c r="E183" t="s">
        <v>567</v>
      </c>
      <c r="F183" t="s">
        <v>1250</v>
      </c>
      <c r="G183" t="s">
        <v>794</v>
      </c>
      <c r="H183" t="s">
        <v>715</v>
      </c>
      <c r="I183" t="s">
        <v>1251</v>
      </c>
      <c r="J183" t="s">
        <v>1252</v>
      </c>
      <c r="K183" t="s">
        <v>1253</v>
      </c>
      <c r="L183" t="s">
        <v>765</v>
      </c>
      <c r="M183" t="s">
        <v>720</v>
      </c>
      <c r="N183" t="s">
        <v>721</v>
      </c>
      <c r="O183">
        <v>1</v>
      </c>
      <c r="P183">
        <v>15</v>
      </c>
      <c r="Q183">
        <v>16</v>
      </c>
      <c r="R183" t="s">
        <v>758</v>
      </c>
      <c r="S183" t="s">
        <v>745</v>
      </c>
      <c r="T183" t="s">
        <v>746</v>
      </c>
      <c r="U183" t="s">
        <v>759</v>
      </c>
    </row>
    <row r="184" spans="1:21" x14ac:dyDescent="0.3">
      <c r="A184" s="1" t="s">
        <v>748</v>
      </c>
      <c r="B184" t="s">
        <v>749</v>
      </c>
      <c r="C184" t="s">
        <v>750</v>
      </c>
      <c r="D184" t="s">
        <v>1440</v>
      </c>
      <c r="E184" t="s">
        <v>567</v>
      </c>
      <c r="F184" t="s">
        <v>1255</v>
      </c>
      <c r="G184" t="s">
        <v>794</v>
      </c>
      <c r="H184" t="s">
        <v>715</v>
      </c>
      <c r="I184" t="s">
        <v>1256</v>
      </c>
      <c r="J184" t="s">
        <v>1257</v>
      </c>
      <c r="K184" t="s">
        <v>1258</v>
      </c>
      <c r="L184" t="s">
        <v>826</v>
      </c>
      <c r="M184" t="s">
        <v>720</v>
      </c>
      <c r="N184" t="s">
        <v>721</v>
      </c>
      <c r="O184">
        <v>6</v>
      </c>
      <c r="P184">
        <v>2</v>
      </c>
      <c r="Q184">
        <v>26</v>
      </c>
      <c r="R184" t="s">
        <v>798</v>
      </c>
      <c r="S184" t="s">
        <v>745</v>
      </c>
      <c r="T184" t="s">
        <v>746</v>
      </c>
      <c r="U184" t="s">
        <v>759</v>
      </c>
    </row>
    <row r="185" spans="1:21" x14ac:dyDescent="0.3">
      <c r="A185" s="1" t="s">
        <v>748</v>
      </c>
      <c r="B185" t="s">
        <v>749</v>
      </c>
      <c r="C185" t="s">
        <v>750</v>
      </c>
      <c r="D185" t="s">
        <v>1441</v>
      </c>
      <c r="E185" t="s">
        <v>567</v>
      </c>
      <c r="F185" t="s">
        <v>1260</v>
      </c>
      <c r="G185" t="s">
        <v>794</v>
      </c>
      <c r="H185" t="s">
        <v>715</v>
      </c>
      <c r="I185" t="s">
        <v>1261</v>
      </c>
      <c r="J185" t="s">
        <v>1262</v>
      </c>
      <c r="K185" t="s">
        <v>1263</v>
      </c>
      <c r="L185" t="s">
        <v>765</v>
      </c>
      <c r="M185" t="s">
        <v>720</v>
      </c>
      <c r="N185" t="s">
        <v>721</v>
      </c>
      <c r="O185">
        <v>1</v>
      </c>
      <c r="P185">
        <v>15</v>
      </c>
      <c r="Q185">
        <v>118</v>
      </c>
      <c r="R185" t="s">
        <v>758</v>
      </c>
      <c r="S185" t="s">
        <v>745</v>
      </c>
      <c r="T185" t="s">
        <v>746</v>
      </c>
      <c r="U185" t="s">
        <v>747</v>
      </c>
    </row>
    <row r="186" spans="1:21" x14ac:dyDescent="0.3">
      <c r="A186" s="1" t="s">
        <v>748</v>
      </c>
      <c r="B186" t="s">
        <v>749</v>
      </c>
      <c r="C186" t="s">
        <v>750</v>
      </c>
      <c r="D186" t="s">
        <v>1442</v>
      </c>
      <c r="E186" t="s">
        <v>567</v>
      </c>
      <c r="F186" t="s">
        <v>1271</v>
      </c>
      <c r="G186" t="s">
        <v>714</v>
      </c>
      <c r="H186" t="s">
        <v>715</v>
      </c>
      <c r="I186" t="s">
        <v>1272</v>
      </c>
      <c r="J186" t="s">
        <v>1273</v>
      </c>
      <c r="K186" t="s">
        <v>1274</v>
      </c>
      <c r="L186" t="s">
        <v>765</v>
      </c>
      <c r="M186" t="s">
        <v>720</v>
      </c>
      <c r="N186" t="s">
        <v>721</v>
      </c>
      <c r="O186">
        <v>2</v>
      </c>
      <c r="P186">
        <v>15</v>
      </c>
      <c r="Q186">
        <v>36</v>
      </c>
      <c r="R186" t="s">
        <v>758</v>
      </c>
      <c r="S186" t="s">
        <v>745</v>
      </c>
      <c r="T186" t="s">
        <v>746</v>
      </c>
      <c r="U186" t="s">
        <v>759</v>
      </c>
    </row>
    <row r="187" spans="1:21" x14ac:dyDescent="0.3">
      <c r="A187" s="1" t="s">
        <v>748</v>
      </c>
      <c r="B187" t="s">
        <v>749</v>
      </c>
      <c r="C187" t="s">
        <v>750</v>
      </c>
      <c r="D187" t="s">
        <v>1443</v>
      </c>
      <c r="E187" t="s">
        <v>567</v>
      </c>
      <c r="F187" t="s">
        <v>1276</v>
      </c>
      <c r="G187" t="s">
        <v>714</v>
      </c>
      <c r="H187" t="s">
        <v>715</v>
      </c>
      <c r="I187" t="s">
        <v>1277</v>
      </c>
      <c r="J187" t="s">
        <v>1278</v>
      </c>
      <c r="K187" t="s">
        <v>1279</v>
      </c>
      <c r="L187" t="s">
        <v>826</v>
      </c>
      <c r="M187" t="s">
        <v>720</v>
      </c>
      <c r="N187" t="s">
        <v>721</v>
      </c>
      <c r="O187">
        <v>8</v>
      </c>
      <c r="P187">
        <v>10</v>
      </c>
      <c r="Q187">
        <v>97</v>
      </c>
      <c r="R187" t="s">
        <v>722</v>
      </c>
      <c r="S187" t="s">
        <v>745</v>
      </c>
      <c r="T187" t="s">
        <v>746</v>
      </c>
      <c r="U187" t="s">
        <v>759</v>
      </c>
    </row>
    <row r="188" spans="1:21" x14ac:dyDescent="0.3">
      <c r="A188" s="1" t="s">
        <v>748</v>
      </c>
      <c r="B188" t="s">
        <v>749</v>
      </c>
      <c r="C188" t="s">
        <v>750</v>
      </c>
      <c r="D188" t="s">
        <v>1444</v>
      </c>
      <c r="E188" t="s">
        <v>567</v>
      </c>
      <c r="F188" t="s">
        <v>1445</v>
      </c>
      <c r="G188" t="s">
        <v>753</v>
      </c>
      <c r="H188" t="s">
        <v>715</v>
      </c>
      <c r="I188" t="s">
        <v>1446</v>
      </c>
      <c r="J188" t="s">
        <v>1447</v>
      </c>
      <c r="K188" t="s">
        <v>1448</v>
      </c>
      <c r="L188" t="s">
        <v>757</v>
      </c>
      <c r="M188" t="s">
        <v>720</v>
      </c>
      <c r="N188" t="s">
        <v>721</v>
      </c>
      <c r="O188">
        <v>0</v>
      </c>
      <c r="P188">
        <v>7</v>
      </c>
      <c r="Q188">
        <v>3</v>
      </c>
      <c r="R188" t="s">
        <v>758</v>
      </c>
      <c r="S188" t="s">
        <v>745</v>
      </c>
      <c r="T188" t="s">
        <v>746</v>
      </c>
      <c r="U188" t="s">
        <v>1269</v>
      </c>
    </row>
    <row r="189" spans="1:21" x14ac:dyDescent="0.3">
      <c r="A189" s="1" t="s">
        <v>748</v>
      </c>
      <c r="B189" t="s">
        <v>749</v>
      </c>
      <c r="C189" t="s">
        <v>750</v>
      </c>
      <c r="D189" t="s">
        <v>1449</v>
      </c>
      <c r="E189" t="s">
        <v>567</v>
      </c>
      <c r="F189" t="s">
        <v>1450</v>
      </c>
      <c r="G189" t="s">
        <v>714</v>
      </c>
      <c r="H189" t="s">
        <v>715</v>
      </c>
      <c r="I189" t="s">
        <v>1451</v>
      </c>
      <c r="J189" t="s">
        <v>1452</v>
      </c>
      <c r="K189" t="s">
        <v>1453</v>
      </c>
      <c r="L189" t="s">
        <v>1082</v>
      </c>
      <c r="M189" t="s">
        <v>720</v>
      </c>
      <c r="N189" t="s">
        <v>721</v>
      </c>
      <c r="O189">
        <v>0</v>
      </c>
      <c r="P189">
        <v>0</v>
      </c>
      <c r="Q189">
        <v>113</v>
      </c>
      <c r="R189" t="s">
        <v>798</v>
      </c>
      <c r="S189" t="s">
        <v>723</v>
      </c>
      <c r="T189" t="s">
        <v>1083</v>
      </c>
      <c r="U189" t="s">
        <v>707</v>
      </c>
    </row>
    <row r="190" spans="1:21" x14ac:dyDescent="0.3">
      <c r="A190" s="1" t="s">
        <v>748</v>
      </c>
      <c r="B190" t="s">
        <v>749</v>
      </c>
      <c r="C190" t="s">
        <v>750</v>
      </c>
      <c r="D190" t="s">
        <v>1454</v>
      </c>
      <c r="E190" t="s">
        <v>567</v>
      </c>
      <c r="F190" t="s">
        <v>1291</v>
      </c>
      <c r="G190" t="s">
        <v>714</v>
      </c>
      <c r="H190" t="s">
        <v>715</v>
      </c>
      <c r="I190" t="s">
        <v>1292</v>
      </c>
      <c r="J190" t="s">
        <v>1293</v>
      </c>
      <c r="K190" t="s">
        <v>1294</v>
      </c>
      <c r="L190" t="s">
        <v>765</v>
      </c>
      <c r="M190" t="s">
        <v>720</v>
      </c>
      <c r="N190" t="s">
        <v>721</v>
      </c>
      <c r="O190">
        <v>8</v>
      </c>
      <c r="P190">
        <v>15</v>
      </c>
      <c r="Q190">
        <v>119</v>
      </c>
      <c r="R190" t="s">
        <v>758</v>
      </c>
      <c r="S190" t="s">
        <v>745</v>
      </c>
      <c r="T190" t="s">
        <v>746</v>
      </c>
      <c r="U190" t="s">
        <v>759</v>
      </c>
    </row>
    <row r="191" spans="1:21" x14ac:dyDescent="0.3">
      <c r="A191" s="1" t="s">
        <v>748</v>
      </c>
      <c r="B191" t="s">
        <v>749</v>
      </c>
      <c r="C191" t="s">
        <v>750</v>
      </c>
      <c r="D191" t="s">
        <v>1455</v>
      </c>
      <c r="E191" t="s">
        <v>567</v>
      </c>
      <c r="F191" t="s">
        <v>1296</v>
      </c>
      <c r="G191" t="s">
        <v>794</v>
      </c>
      <c r="H191" t="s">
        <v>715</v>
      </c>
      <c r="I191" t="s">
        <v>1297</v>
      </c>
      <c r="J191" t="s">
        <v>1298</v>
      </c>
      <c r="K191" t="s">
        <v>1299</v>
      </c>
      <c r="L191" t="s">
        <v>985</v>
      </c>
      <c r="M191" t="s">
        <v>720</v>
      </c>
      <c r="N191" t="s">
        <v>743</v>
      </c>
      <c r="O191">
        <v>28</v>
      </c>
      <c r="P191">
        <v>0</v>
      </c>
      <c r="Q191">
        <v>150</v>
      </c>
      <c r="R191" t="s">
        <v>798</v>
      </c>
      <c r="S191" t="s">
        <v>745</v>
      </c>
      <c r="T191" t="s">
        <v>746</v>
      </c>
      <c r="U191" t="s">
        <v>759</v>
      </c>
    </row>
    <row r="192" spans="1:21" x14ac:dyDescent="0.3">
      <c r="A192" s="1" t="s">
        <v>748</v>
      </c>
      <c r="B192" t="s">
        <v>749</v>
      </c>
      <c r="C192" t="s">
        <v>750</v>
      </c>
      <c r="D192" t="s">
        <v>1456</v>
      </c>
      <c r="E192" t="s">
        <v>567</v>
      </c>
      <c r="F192" t="s">
        <v>1306</v>
      </c>
      <c r="G192" t="s">
        <v>714</v>
      </c>
      <c r="H192" t="s">
        <v>715</v>
      </c>
      <c r="I192" t="s">
        <v>1307</v>
      </c>
      <c r="J192" t="s">
        <v>1308</v>
      </c>
      <c r="K192" t="s">
        <v>1309</v>
      </c>
      <c r="L192" t="s">
        <v>765</v>
      </c>
      <c r="M192" t="s">
        <v>720</v>
      </c>
      <c r="N192" t="s">
        <v>721</v>
      </c>
      <c r="O192">
        <v>6</v>
      </c>
      <c r="P192">
        <v>15</v>
      </c>
      <c r="Q192">
        <v>43</v>
      </c>
      <c r="R192" t="s">
        <v>758</v>
      </c>
      <c r="S192" t="s">
        <v>745</v>
      </c>
      <c r="T192" t="s">
        <v>746</v>
      </c>
      <c r="U192" t="s">
        <v>759</v>
      </c>
    </row>
    <row r="193" spans="1:21" x14ac:dyDescent="0.3">
      <c r="A193" s="1" t="s">
        <v>748</v>
      </c>
      <c r="B193" t="s">
        <v>749</v>
      </c>
      <c r="C193" t="s">
        <v>750</v>
      </c>
      <c r="D193" t="s">
        <v>1457</v>
      </c>
      <c r="E193" t="s">
        <v>567</v>
      </c>
      <c r="F193" t="s">
        <v>1311</v>
      </c>
      <c r="G193" t="s">
        <v>794</v>
      </c>
      <c r="H193" t="s">
        <v>715</v>
      </c>
      <c r="I193" t="s">
        <v>1312</v>
      </c>
      <c r="J193" t="s">
        <v>1313</v>
      </c>
      <c r="K193" t="s">
        <v>1314</v>
      </c>
      <c r="L193" t="s">
        <v>810</v>
      </c>
      <c r="M193" t="s">
        <v>720</v>
      </c>
      <c r="N193" t="s">
        <v>721</v>
      </c>
      <c r="O193">
        <v>25</v>
      </c>
      <c r="P193">
        <v>3</v>
      </c>
      <c r="Q193">
        <v>93</v>
      </c>
      <c r="R193" t="s">
        <v>798</v>
      </c>
      <c r="S193" t="s">
        <v>745</v>
      </c>
      <c r="T193" t="s">
        <v>746</v>
      </c>
      <c r="U193" t="s">
        <v>759</v>
      </c>
    </row>
    <row r="194" spans="1:21" x14ac:dyDescent="0.3">
      <c r="A194" s="1" t="s">
        <v>748</v>
      </c>
      <c r="B194" t="s">
        <v>749</v>
      </c>
      <c r="C194" t="s">
        <v>750</v>
      </c>
      <c r="D194" t="s">
        <v>1458</v>
      </c>
      <c r="E194" t="s">
        <v>567</v>
      </c>
      <c r="F194" t="s">
        <v>1331</v>
      </c>
      <c r="G194" t="s">
        <v>794</v>
      </c>
      <c r="H194" t="s">
        <v>715</v>
      </c>
      <c r="I194" t="s">
        <v>1332</v>
      </c>
      <c r="J194" t="s">
        <v>1333</v>
      </c>
      <c r="K194" t="s">
        <v>1334</v>
      </c>
      <c r="L194" t="s">
        <v>741</v>
      </c>
      <c r="M194" t="s">
        <v>720</v>
      </c>
      <c r="N194" t="s">
        <v>743</v>
      </c>
      <c r="O194">
        <v>8</v>
      </c>
      <c r="P194">
        <v>0</v>
      </c>
      <c r="Q194">
        <v>88</v>
      </c>
      <c r="R194" t="s">
        <v>798</v>
      </c>
      <c r="S194" t="s">
        <v>745</v>
      </c>
      <c r="T194" t="s">
        <v>746</v>
      </c>
      <c r="U194" t="s">
        <v>759</v>
      </c>
    </row>
    <row r="195" spans="1:21" x14ac:dyDescent="0.3">
      <c r="A195" s="1" t="s">
        <v>748</v>
      </c>
      <c r="B195" t="s">
        <v>749</v>
      </c>
      <c r="C195" t="s">
        <v>750</v>
      </c>
      <c r="D195" t="s">
        <v>1459</v>
      </c>
      <c r="E195" t="s">
        <v>567</v>
      </c>
      <c r="F195" t="s">
        <v>1346</v>
      </c>
      <c r="G195" t="s">
        <v>806</v>
      </c>
      <c r="H195" t="s">
        <v>715</v>
      </c>
      <c r="I195" t="s">
        <v>1347</v>
      </c>
      <c r="J195" t="s">
        <v>1348</v>
      </c>
      <c r="K195" t="s">
        <v>1349</v>
      </c>
      <c r="L195" t="s">
        <v>765</v>
      </c>
      <c r="M195" t="s">
        <v>720</v>
      </c>
      <c r="N195" t="s">
        <v>721</v>
      </c>
      <c r="O195">
        <v>3</v>
      </c>
      <c r="P195">
        <v>15</v>
      </c>
      <c r="Q195">
        <v>66</v>
      </c>
      <c r="R195" t="s">
        <v>758</v>
      </c>
      <c r="S195" t="s">
        <v>745</v>
      </c>
      <c r="T195" t="s">
        <v>746</v>
      </c>
      <c r="U195" t="s">
        <v>759</v>
      </c>
    </row>
    <row r="196" spans="1:21" x14ac:dyDescent="0.3">
      <c r="A196" s="1" t="s">
        <v>748</v>
      </c>
      <c r="B196" t="s">
        <v>749</v>
      </c>
      <c r="C196" t="s">
        <v>750</v>
      </c>
      <c r="D196" t="s">
        <v>1460</v>
      </c>
      <c r="E196" t="s">
        <v>567</v>
      </c>
      <c r="F196" t="s">
        <v>1351</v>
      </c>
      <c r="G196" t="s">
        <v>753</v>
      </c>
      <c r="H196" t="s">
        <v>715</v>
      </c>
      <c r="I196" t="s">
        <v>1352</v>
      </c>
      <c r="J196" t="s">
        <v>1353</v>
      </c>
      <c r="K196" t="s">
        <v>1354</v>
      </c>
      <c r="L196" t="s">
        <v>765</v>
      </c>
      <c r="M196" t="s">
        <v>720</v>
      </c>
      <c r="N196" t="s">
        <v>721</v>
      </c>
      <c r="O196">
        <v>4</v>
      </c>
      <c r="P196">
        <v>15</v>
      </c>
      <c r="Q196">
        <v>92</v>
      </c>
      <c r="R196" t="s">
        <v>758</v>
      </c>
      <c r="S196" t="s">
        <v>745</v>
      </c>
      <c r="T196" t="s">
        <v>746</v>
      </c>
      <c r="U196" t="s">
        <v>759</v>
      </c>
    </row>
    <row r="197" spans="1:21" x14ac:dyDescent="0.3">
      <c r="A197" s="1" t="s">
        <v>748</v>
      </c>
      <c r="B197" t="s">
        <v>1461</v>
      </c>
      <c r="C197" t="s">
        <v>711</v>
      </c>
      <c r="D197" t="s">
        <v>1462</v>
      </c>
      <c r="E197" t="s">
        <v>568</v>
      </c>
      <c r="F197" t="s">
        <v>1068</v>
      </c>
      <c r="G197" t="s">
        <v>736</v>
      </c>
      <c r="H197" t="s">
        <v>737</v>
      </c>
      <c r="I197" t="s">
        <v>1463</v>
      </c>
      <c r="J197" t="s">
        <v>1464</v>
      </c>
      <c r="K197" t="s">
        <v>1465</v>
      </c>
      <c r="L197" t="s">
        <v>741</v>
      </c>
      <c r="M197" t="s">
        <v>742</v>
      </c>
      <c r="N197" t="s">
        <v>743</v>
      </c>
      <c r="O197">
        <v>10</v>
      </c>
      <c r="P197">
        <v>2</v>
      </c>
      <c r="Q197">
        <v>67</v>
      </c>
      <c r="R197" t="s">
        <v>744</v>
      </c>
      <c r="S197" t="s">
        <v>745</v>
      </c>
      <c r="T197" t="s">
        <v>746</v>
      </c>
      <c r="U197" t="s">
        <v>1466</v>
      </c>
    </row>
    <row r="198" spans="1:21" x14ac:dyDescent="0.3">
      <c r="A198" s="1" t="s">
        <v>748</v>
      </c>
      <c r="B198" t="s">
        <v>1461</v>
      </c>
      <c r="C198" t="s">
        <v>750</v>
      </c>
      <c r="D198" t="s">
        <v>960</v>
      </c>
      <c r="E198" t="s">
        <v>569</v>
      </c>
      <c r="F198" t="s">
        <v>961</v>
      </c>
      <c r="G198" t="s">
        <v>1467</v>
      </c>
      <c r="H198" t="s">
        <v>737</v>
      </c>
      <c r="I198" t="s">
        <v>1468</v>
      </c>
      <c r="J198" t="s">
        <v>1469</v>
      </c>
      <c r="K198" t="s">
        <v>1470</v>
      </c>
      <c r="L198" t="s">
        <v>1471</v>
      </c>
      <c r="M198" t="s">
        <v>1471</v>
      </c>
      <c r="N198" t="s">
        <v>743</v>
      </c>
      <c r="O198">
        <v>27</v>
      </c>
      <c r="P198">
        <v>0</v>
      </c>
      <c r="Q198">
        <v>229</v>
      </c>
      <c r="R198" t="s">
        <v>758</v>
      </c>
      <c r="S198" t="s">
        <v>745</v>
      </c>
      <c r="T198" t="s">
        <v>746</v>
      </c>
      <c r="U198" t="s">
        <v>771</v>
      </c>
    </row>
    <row r="199" spans="1:21" x14ac:dyDescent="0.3">
      <c r="A199" s="1" t="s">
        <v>748</v>
      </c>
      <c r="B199" t="s">
        <v>1461</v>
      </c>
      <c r="C199" t="s">
        <v>750</v>
      </c>
      <c r="D199" t="s">
        <v>1392</v>
      </c>
      <c r="E199" t="s">
        <v>569</v>
      </c>
      <c r="F199" t="s">
        <v>961</v>
      </c>
      <c r="G199" t="s">
        <v>736</v>
      </c>
      <c r="H199" t="s">
        <v>737</v>
      </c>
      <c r="I199" t="s">
        <v>1468</v>
      </c>
      <c r="J199" t="s">
        <v>1469</v>
      </c>
      <c r="K199" t="s">
        <v>1470</v>
      </c>
      <c r="L199" t="s">
        <v>1471</v>
      </c>
      <c r="M199" t="s">
        <v>1471</v>
      </c>
      <c r="N199" t="s">
        <v>743</v>
      </c>
      <c r="O199">
        <v>27</v>
      </c>
      <c r="P199">
        <v>0</v>
      </c>
      <c r="Q199">
        <v>229</v>
      </c>
      <c r="R199" t="s">
        <v>758</v>
      </c>
      <c r="S199" t="s">
        <v>745</v>
      </c>
      <c r="T199" t="s">
        <v>746</v>
      </c>
      <c r="U199" t="s">
        <v>771</v>
      </c>
    </row>
    <row r="200" spans="1:21" x14ac:dyDescent="0.3">
      <c r="A200" s="1" t="s">
        <v>748</v>
      </c>
      <c r="B200" t="s">
        <v>710</v>
      </c>
      <c r="C200" t="s">
        <v>711</v>
      </c>
      <c r="D200" t="s">
        <v>1462</v>
      </c>
      <c r="E200" t="s">
        <v>568</v>
      </c>
      <c r="F200" t="s">
        <v>1068</v>
      </c>
      <c r="G200" t="s">
        <v>1467</v>
      </c>
      <c r="H200" t="s">
        <v>737</v>
      </c>
      <c r="I200" t="s">
        <v>1472</v>
      </c>
      <c r="J200" t="s">
        <v>1473</v>
      </c>
      <c r="K200" t="s">
        <v>1474</v>
      </c>
      <c r="L200" t="s">
        <v>1471</v>
      </c>
      <c r="M200" t="s">
        <v>1471</v>
      </c>
      <c r="N200" t="s">
        <v>721</v>
      </c>
      <c r="O200">
        <v>27</v>
      </c>
      <c r="P200">
        <v>0</v>
      </c>
      <c r="Q200">
        <v>230</v>
      </c>
      <c r="R200" t="s">
        <v>758</v>
      </c>
      <c r="S200" t="s">
        <v>745</v>
      </c>
      <c r="T200" t="s">
        <v>746</v>
      </c>
      <c r="U200" t="s">
        <v>1466</v>
      </c>
    </row>
    <row r="201" spans="1:21" hidden="1" x14ac:dyDescent="0.3">
      <c r="A201" s="1" t="s">
        <v>1475</v>
      </c>
      <c r="B201" t="s">
        <v>732</v>
      </c>
      <c r="C201" t="s">
        <v>733</v>
      </c>
      <c r="D201" t="s">
        <v>859</v>
      </c>
      <c r="E201" t="s">
        <v>569</v>
      </c>
      <c r="F201" t="s">
        <v>860</v>
      </c>
      <c r="G201" t="s">
        <v>1476</v>
      </c>
      <c r="H201" t="s">
        <v>1477</v>
      </c>
      <c r="I201" t="s">
        <v>1478</v>
      </c>
      <c r="J201" t="s">
        <v>1479</v>
      </c>
      <c r="K201" t="s">
        <v>1480</v>
      </c>
      <c r="L201" t="s">
        <v>1481</v>
      </c>
      <c r="M201" t="s">
        <v>1481</v>
      </c>
      <c r="N201" t="s">
        <v>721</v>
      </c>
      <c r="O201">
        <v>30</v>
      </c>
      <c r="P201">
        <v>0</v>
      </c>
      <c r="Q201">
        <v>110</v>
      </c>
      <c r="R201" t="s">
        <v>744</v>
      </c>
      <c r="S201" t="s">
        <v>745</v>
      </c>
      <c r="T201" t="s">
        <v>746</v>
      </c>
      <c r="U201" t="s">
        <v>1482</v>
      </c>
    </row>
    <row r="202" spans="1:21" hidden="1" x14ac:dyDescent="0.3">
      <c r="A202" s="1" t="s">
        <v>1475</v>
      </c>
      <c r="B202" t="s">
        <v>732</v>
      </c>
      <c r="C202" t="s">
        <v>733</v>
      </c>
      <c r="D202" t="s">
        <v>910</v>
      </c>
      <c r="E202" t="s">
        <v>569</v>
      </c>
      <c r="F202" t="s">
        <v>911</v>
      </c>
      <c r="G202" t="s">
        <v>1483</v>
      </c>
      <c r="H202" t="s">
        <v>1477</v>
      </c>
      <c r="I202" t="s">
        <v>1484</v>
      </c>
      <c r="J202" t="s">
        <v>1485</v>
      </c>
      <c r="K202" t="s">
        <v>1486</v>
      </c>
      <c r="L202" t="s">
        <v>1481</v>
      </c>
      <c r="M202" t="s">
        <v>1481</v>
      </c>
      <c r="N202" t="s">
        <v>721</v>
      </c>
      <c r="O202">
        <v>30</v>
      </c>
      <c r="P202">
        <v>0</v>
      </c>
      <c r="Q202">
        <v>110</v>
      </c>
      <c r="R202" t="s">
        <v>744</v>
      </c>
      <c r="S202" t="s">
        <v>745</v>
      </c>
      <c r="T202" t="s">
        <v>746</v>
      </c>
      <c r="U202" t="s">
        <v>1482</v>
      </c>
    </row>
    <row r="203" spans="1:21" hidden="1" x14ac:dyDescent="0.3">
      <c r="A203" s="1" t="s">
        <v>1475</v>
      </c>
      <c r="B203" t="s">
        <v>732</v>
      </c>
      <c r="C203" t="s">
        <v>733</v>
      </c>
      <c r="D203" t="s">
        <v>1119</v>
      </c>
      <c r="E203" t="s">
        <v>568</v>
      </c>
      <c r="F203" t="s">
        <v>728</v>
      </c>
      <c r="G203" t="s">
        <v>1476</v>
      </c>
      <c r="H203" t="s">
        <v>1477</v>
      </c>
      <c r="I203" t="s">
        <v>1487</v>
      </c>
      <c r="J203" t="s">
        <v>1488</v>
      </c>
      <c r="K203" t="s">
        <v>1489</v>
      </c>
      <c r="L203" t="s">
        <v>1481</v>
      </c>
      <c r="M203" t="s">
        <v>1481</v>
      </c>
      <c r="N203" t="s">
        <v>721</v>
      </c>
      <c r="O203">
        <v>30</v>
      </c>
      <c r="P203">
        <v>0</v>
      </c>
      <c r="Q203">
        <v>110</v>
      </c>
      <c r="R203" t="s">
        <v>744</v>
      </c>
      <c r="S203" t="s">
        <v>723</v>
      </c>
      <c r="T203" t="s">
        <v>1490</v>
      </c>
      <c r="U203" t="s">
        <v>725</v>
      </c>
    </row>
    <row r="204" spans="1:21" hidden="1" x14ac:dyDescent="0.3">
      <c r="A204" s="1" t="s">
        <v>709</v>
      </c>
      <c r="B204" t="s">
        <v>710</v>
      </c>
      <c r="C204" t="s">
        <v>711</v>
      </c>
      <c r="D204" t="s">
        <v>712</v>
      </c>
      <c r="E204" t="s">
        <v>569</v>
      </c>
      <c r="F204" t="s">
        <v>713</v>
      </c>
      <c r="G204" t="s">
        <v>714</v>
      </c>
      <c r="H204" t="s">
        <v>715</v>
      </c>
      <c r="I204" t="s">
        <v>716</v>
      </c>
      <c r="J204" t="s">
        <v>717</v>
      </c>
      <c r="K204" t="s">
        <v>718</v>
      </c>
      <c r="L204" t="s">
        <v>719</v>
      </c>
      <c r="M204" t="s">
        <v>720</v>
      </c>
      <c r="N204" t="s">
        <v>721</v>
      </c>
      <c r="O204">
        <v>30</v>
      </c>
      <c r="P204">
        <v>0</v>
      </c>
      <c r="Q204">
        <v>23</v>
      </c>
      <c r="R204" t="s">
        <v>722</v>
      </c>
      <c r="S204" t="s">
        <v>723</v>
      </c>
      <c r="T204" t="s">
        <v>724</v>
      </c>
      <c r="U204" t="s">
        <v>725</v>
      </c>
    </row>
    <row r="205" spans="1:21" hidden="1" x14ac:dyDescent="0.3">
      <c r="A205" s="1" t="s">
        <v>709</v>
      </c>
      <c r="B205" t="s">
        <v>726</v>
      </c>
      <c r="C205" t="s">
        <v>711</v>
      </c>
      <c r="D205" t="s">
        <v>727</v>
      </c>
      <c r="E205" t="s">
        <v>568</v>
      </c>
      <c r="F205" t="s">
        <v>728</v>
      </c>
      <c r="G205" t="s">
        <v>714</v>
      </c>
      <c r="H205" t="s">
        <v>715</v>
      </c>
      <c r="I205" t="s">
        <v>716</v>
      </c>
      <c r="J205" t="s">
        <v>729</v>
      </c>
      <c r="K205" t="s">
        <v>730</v>
      </c>
      <c r="L205" t="s">
        <v>719</v>
      </c>
      <c r="M205" t="s">
        <v>720</v>
      </c>
      <c r="N205" t="s">
        <v>721</v>
      </c>
      <c r="O205">
        <v>30</v>
      </c>
      <c r="P205">
        <v>0</v>
      </c>
      <c r="Q205">
        <v>43</v>
      </c>
      <c r="R205" t="s">
        <v>722</v>
      </c>
      <c r="S205" t="s">
        <v>723</v>
      </c>
      <c r="T205" t="s">
        <v>724</v>
      </c>
      <c r="U205" t="s">
        <v>725</v>
      </c>
    </row>
    <row r="206" spans="1:21" hidden="1" x14ac:dyDescent="0.3">
      <c r="A206" s="1" t="s">
        <v>1778</v>
      </c>
      <c r="B206" t="s">
        <v>749</v>
      </c>
      <c r="C206" t="s">
        <v>750</v>
      </c>
      <c r="D206" t="s">
        <v>804</v>
      </c>
      <c r="E206" t="s">
        <v>569</v>
      </c>
      <c r="F206" t="s">
        <v>805</v>
      </c>
      <c r="G206" t="s">
        <v>1467</v>
      </c>
      <c r="H206" t="s">
        <v>737</v>
      </c>
      <c r="I206" t="s">
        <v>1779</v>
      </c>
      <c r="J206" t="s">
        <v>1780</v>
      </c>
      <c r="K206" t="s">
        <v>1781</v>
      </c>
      <c r="L206" t="s">
        <v>1471</v>
      </c>
      <c r="M206" t="s">
        <v>1471</v>
      </c>
      <c r="N206" t="s">
        <v>721</v>
      </c>
      <c r="O206">
        <v>6</v>
      </c>
      <c r="P206">
        <v>0</v>
      </c>
      <c r="Q206">
        <v>231</v>
      </c>
      <c r="R206" t="s">
        <v>744</v>
      </c>
      <c r="S206" t="s">
        <v>745</v>
      </c>
      <c r="T206" t="s">
        <v>746</v>
      </c>
      <c r="U206" t="s">
        <v>771</v>
      </c>
    </row>
    <row r="207" spans="1:21" hidden="1" x14ac:dyDescent="0.3">
      <c r="A207" s="1" t="s">
        <v>1778</v>
      </c>
      <c r="B207" t="s">
        <v>749</v>
      </c>
      <c r="C207" t="s">
        <v>750</v>
      </c>
      <c r="D207" t="s">
        <v>1782</v>
      </c>
      <c r="E207" t="s">
        <v>569</v>
      </c>
      <c r="F207" t="s">
        <v>773</v>
      </c>
      <c r="G207" t="s">
        <v>736</v>
      </c>
      <c r="H207" t="s">
        <v>737</v>
      </c>
      <c r="I207" t="s">
        <v>1779</v>
      </c>
      <c r="J207" t="s">
        <v>1783</v>
      </c>
      <c r="K207" t="s">
        <v>1784</v>
      </c>
      <c r="L207" t="s">
        <v>741</v>
      </c>
      <c r="M207" t="s">
        <v>742</v>
      </c>
      <c r="N207" t="s">
        <v>743</v>
      </c>
      <c r="O207">
        <v>19</v>
      </c>
      <c r="P207">
        <v>1</v>
      </c>
      <c r="Q207">
        <v>14</v>
      </c>
      <c r="R207" t="s">
        <v>722</v>
      </c>
      <c r="S207" t="s">
        <v>745</v>
      </c>
      <c r="T207" t="s">
        <v>746</v>
      </c>
      <c r="U207" t="s">
        <v>771</v>
      </c>
    </row>
    <row r="208" spans="1:21" hidden="1" x14ac:dyDescent="0.3">
      <c r="A208" s="1" t="s">
        <v>1778</v>
      </c>
      <c r="B208" t="s">
        <v>1505</v>
      </c>
      <c r="C208" t="s">
        <v>750</v>
      </c>
      <c r="D208" t="s">
        <v>751</v>
      </c>
      <c r="E208" t="s">
        <v>569</v>
      </c>
      <c r="F208" t="s">
        <v>752</v>
      </c>
      <c r="G208" t="s">
        <v>794</v>
      </c>
      <c r="H208" t="s">
        <v>715</v>
      </c>
      <c r="I208" t="s">
        <v>1785</v>
      </c>
      <c r="J208" t="s">
        <v>1786</v>
      </c>
      <c r="K208" t="s">
        <v>1787</v>
      </c>
      <c r="L208" t="s">
        <v>985</v>
      </c>
      <c r="M208" t="s">
        <v>720</v>
      </c>
      <c r="N208" t="s">
        <v>743</v>
      </c>
      <c r="O208">
        <v>21</v>
      </c>
      <c r="P208">
        <v>0</v>
      </c>
      <c r="Q208">
        <v>150</v>
      </c>
      <c r="R208" t="s">
        <v>798</v>
      </c>
      <c r="S208" t="s">
        <v>745</v>
      </c>
      <c r="T208" t="s">
        <v>746</v>
      </c>
      <c r="U208" t="s">
        <v>759</v>
      </c>
    </row>
    <row r="209" spans="1:21" hidden="1" x14ac:dyDescent="0.3">
      <c r="A209" s="1" t="s">
        <v>1778</v>
      </c>
      <c r="B209" t="s">
        <v>1505</v>
      </c>
      <c r="C209" t="s">
        <v>750</v>
      </c>
      <c r="D209" t="s">
        <v>1788</v>
      </c>
      <c r="E209" t="s">
        <v>569</v>
      </c>
      <c r="F209" t="s">
        <v>1357</v>
      </c>
      <c r="G209" t="s">
        <v>753</v>
      </c>
      <c r="H209" t="s">
        <v>715</v>
      </c>
      <c r="I209" t="s">
        <v>1789</v>
      </c>
      <c r="J209" t="s">
        <v>1790</v>
      </c>
      <c r="K209" t="s">
        <v>1791</v>
      </c>
      <c r="L209" t="s">
        <v>757</v>
      </c>
      <c r="M209" t="s">
        <v>720</v>
      </c>
      <c r="N209" t="s">
        <v>721</v>
      </c>
      <c r="O209">
        <v>8</v>
      </c>
      <c r="P209">
        <v>7</v>
      </c>
      <c r="Q209">
        <v>100</v>
      </c>
      <c r="R209" t="s">
        <v>758</v>
      </c>
      <c r="S209" t="s">
        <v>745</v>
      </c>
      <c r="T209" t="s">
        <v>746</v>
      </c>
      <c r="U209" t="s">
        <v>759</v>
      </c>
    </row>
    <row r="210" spans="1:21" hidden="1" x14ac:dyDescent="0.3">
      <c r="A210" s="1" t="s">
        <v>1778</v>
      </c>
      <c r="B210" t="s">
        <v>1505</v>
      </c>
      <c r="C210" t="s">
        <v>750</v>
      </c>
      <c r="D210" t="s">
        <v>760</v>
      </c>
      <c r="E210" t="s">
        <v>569</v>
      </c>
      <c r="F210" t="s">
        <v>761</v>
      </c>
      <c r="G210" t="s">
        <v>794</v>
      </c>
      <c r="H210" t="s">
        <v>715</v>
      </c>
      <c r="I210" t="s">
        <v>1792</v>
      </c>
      <c r="J210" t="s">
        <v>1793</v>
      </c>
      <c r="K210" t="s">
        <v>1794</v>
      </c>
      <c r="L210" t="s">
        <v>826</v>
      </c>
      <c r="M210" t="s">
        <v>720</v>
      </c>
      <c r="N210" t="s">
        <v>721</v>
      </c>
      <c r="O210">
        <v>2</v>
      </c>
      <c r="P210">
        <v>2</v>
      </c>
      <c r="Q210">
        <v>15</v>
      </c>
      <c r="R210" t="s">
        <v>798</v>
      </c>
      <c r="S210" t="s">
        <v>745</v>
      </c>
      <c r="T210" t="s">
        <v>746</v>
      </c>
      <c r="U210" t="s">
        <v>759</v>
      </c>
    </row>
    <row r="211" spans="1:21" hidden="1" x14ac:dyDescent="0.3">
      <c r="A211" s="1" t="s">
        <v>1778</v>
      </c>
      <c r="B211" t="s">
        <v>1505</v>
      </c>
      <c r="C211" t="s">
        <v>750</v>
      </c>
      <c r="D211" t="s">
        <v>766</v>
      </c>
      <c r="E211" t="s">
        <v>569</v>
      </c>
      <c r="F211" t="s">
        <v>767</v>
      </c>
      <c r="G211" t="s">
        <v>753</v>
      </c>
      <c r="H211" t="s">
        <v>715</v>
      </c>
      <c r="I211" t="s">
        <v>1795</v>
      </c>
      <c r="J211" t="s">
        <v>1796</v>
      </c>
      <c r="K211" t="s">
        <v>1797</v>
      </c>
      <c r="L211" t="s">
        <v>765</v>
      </c>
      <c r="M211" t="s">
        <v>720</v>
      </c>
      <c r="N211" t="s">
        <v>721</v>
      </c>
      <c r="O211">
        <v>11</v>
      </c>
      <c r="P211">
        <v>15</v>
      </c>
      <c r="Q211">
        <v>44</v>
      </c>
      <c r="R211" t="s">
        <v>758</v>
      </c>
      <c r="S211" t="s">
        <v>745</v>
      </c>
      <c r="T211" t="s">
        <v>746</v>
      </c>
      <c r="U211" t="s">
        <v>759</v>
      </c>
    </row>
    <row r="212" spans="1:21" hidden="1" x14ac:dyDescent="0.3">
      <c r="A212" s="1" t="s">
        <v>1778</v>
      </c>
      <c r="B212" t="s">
        <v>1505</v>
      </c>
      <c r="C212" t="s">
        <v>750</v>
      </c>
      <c r="D212" t="s">
        <v>772</v>
      </c>
      <c r="E212" t="s">
        <v>569</v>
      </c>
      <c r="F212" t="s">
        <v>773</v>
      </c>
      <c r="G212" t="s">
        <v>753</v>
      </c>
      <c r="H212" t="s">
        <v>715</v>
      </c>
      <c r="I212" t="s">
        <v>1798</v>
      </c>
      <c r="J212" t="s">
        <v>1799</v>
      </c>
      <c r="K212" t="s">
        <v>1800</v>
      </c>
      <c r="L212" t="s">
        <v>765</v>
      </c>
      <c r="M212" t="s">
        <v>720</v>
      </c>
      <c r="N212" t="s">
        <v>721</v>
      </c>
      <c r="O212">
        <v>8</v>
      </c>
      <c r="P212">
        <v>15</v>
      </c>
      <c r="Q212">
        <v>112</v>
      </c>
      <c r="R212" t="s">
        <v>758</v>
      </c>
      <c r="S212" t="s">
        <v>745</v>
      </c>
      <c r="T212" t="s">
        <v>746</v>
      </c>
      <c r="U212" t="s">
        <v>759</v>
      </c>
    </row>
    <row r="213" spans="1:21" hidden="1" x14ac:dyDescent="0.3">
      <c r="A213" s="1" t="s">
        <v>1778</v>
      </c>
      <c r="B213" t="s">
        <v>1505</v>
      </c>
      <c r="C213" t="s">
        <v>750</v>
      </c>
      <c r="D213" t="s">
        <v>777</v>
      </c>
      <c r="E213" t="s">
        <v>569</v>
      </c>
      <c r="F213" t="s">
        <v>778</v>
      </c>
      <c r="G213" t="s">
        <v>794</v>
      </c>
      <c r="H213" t="s">
        <v>715</v>
      </c>
      <c r="I213" t="s">
        <v>1801</v>
      </c>
      <c r="J213" t="s">
        <v>1802</v>
      </c>
      <c r="K213" t="s">
        <v>1803</v>
      </c>
      <c r="L213" t="s">
        <v>826</v>
      </c>
      <c r="M213" t="s">
        <v>720</v>
      </c>
      <c r="N213" t="s">
        <v>721</v>
      </c>
      <c r="O213">
        <v>9</v>
      </c>
      <c r="P213">
        <v>2</v>
      </c>
      <c r="Q213">
        <v>91</v>
      </c>
      <c r="R213" t="s">
        <v>798</v>
      </c>
      <c r="S213" t="s">
        <v>745</v>
      </c>
      <c r="T213" t="s">
        <v>746</v>
      </c>
      <c r="U213" t="s">
        <v>759</v>
      </c>
    </row>
    <row r="214" spans="1:21" hidden="1" x14ac:dyDescent="0.3">
      <c r="A214" s="1" t="s">
        <v>1778</v>
      </c>
      <c r="B214" t="s">
        <v>1505</v>
      </c>
      <c r="C214" t="s">
        <v>750</v>
      </c>
      <c r="D214" t="s">
        <v>782</v>
      </c>
      <c r="E214" t="s">
        <v>569</v>
      </c>
      <c r="F214" t="s">
        <v>783</v>
      </c>
      <c r="G214" t="s">
        <v>753</v>
      </c>
      <c r="H214" t="s">
        <v>715</v>
      </c>
      <c r="I214" t="s">
        <v>1804</v>
      </c>
      <c r="J214" t="s">
        <v>1805</v>
      </c>
      <c r="K214" t="s">
        <v>1806</v>
      </c>
      <c r="L214" t="s">
        <v>757</v>
      </c>
      <c r="M214" t="s">
        <v>720</v>
      </c>
      <c r="N214" t="s">
        <v>721</v>
      </c>
      <c r="O214">
        <v>7</v>
      </c>
      <c r="P214">
        <v>7</v>
      </c>
      <c r="Q214">
        <v>64</v>
      </c>
      <c r="R214" t="s">
        <v>758</v>
      </c>
      <c r="S214" t="s">
        <v>745</v>
      </c>
      <c r="T214" t="s">
        <v>746</v>
      </c>
      <c r="U214" t="s">
        <v>771</v>
      </c>
    </row>
    <row r="215" spans="1:21" hidden="1" x14ac:dyDescent="0.3">
      <c r="A215" s="1" t="s">
        <v>1778</v>
      </c>
      <c r="B215" t="s">
        <v>1505</v>
      </c>
      <c r="C215" t="s">
        <v>750</v>
      </c>
      <c r="D215" t="s">
        <v>787</v>
      </c>
      <c r="E215" t="s">
        <v>569</v>
      </c>
      <c r="F215" t="s">
        <v>788</v>
      </c>
      <c r="G215" t="s">
        <v>794</v>
      </c>
      <c r="H215" t="s">
        <v>715</v>
      </c>
      <c r="I215" t="s">
        <v>1807</v>
      </c>
      <c r="J215" t="s">
        <v>1808</v>
      </c>
      <c r="K215" t="s">
        <v>1809</v>
      </c>
      <c r="L215" t="s">
        <v>826</v>
      </c>
      <c r="M215" t="s">
        <v>720</v>
      </c>
      <c r="N215" t="s">
        <v>721</v>
      </c>
      <c r="O215">
        <v>4</v>
      </c>
      <c r="P215">
        <v>10</v>
      </c>
      <c r="Q215">
        <v>2</v>
      </c>
      <c r="R215" t="s">
        <v>722</v>
      </c>
      <c r="S215" t="s">
        <v>745</v>
      </c>
      <c r="T215" t="s">
        <v>746</v>
      </c>
      <c r="U215" t="s">
        <v>759</v>
      </c>
    </row>
    <row r="216" spans="1:21" hidden="1" x14ac:dyDescent="0.3">
      <c r="A216" s="1" t="s">
        <v>1778</v>
      </c>
      <c r="B216" t="s">
        <v>1505</v>
      </c>
      <c r="C216" t="s">
        <v>750</v>
      </c>
      <c r="D216" t="s">
        <v>792</v>
      </c>
      <c r="E216" t="s">
        <v>569</v>
      </c>
      <c r="F216" t="s">
        <v>793</v>
      </c>
      <c r="G216" t="s">
        <v>753</v>
      </c>
      <c r="H216" t="s">
        <v>715</v>
      </c>
      <c r="I216" t="s">
        <v>1810</v>
      </c>
      <c r="J216" t="s">
        <v>1811</v>
      </c>
      <c r="K216" t="s">
        <v>1812</v>
      </c>
      <c r="L216" t="s">
        <v>765</v>
      </c>
      <c r="M216" t="s">
        <v>720</v>
      </c>
      <c r="N216" t="s">
        <v>721</v>
      </c>
      <c r="O216">
        <v>0</v>
      </c>
      <c r="P216">
        <v>15</v>
      </c>
      <c r="Q216">
        <v>74</v>
      </c>
      <c r="R216" t="s">
        <v>758</v>
      </c>
      <c r="S216" t="s">
        <v>745</v>
      </c>
      <c r="T216" t="s">
        <v>746</v>
      </c>
      <c r="U216" t="s">
        <v>832</v>
      </c>
    </row>
    <row r="217" spans="1:21" hidden="1" x14ac:dyDescent="0.3">
      <c r="A217" s="1" t="s">
        <v>1778</v>
      </c>
      <c r="B217" t="s">
        <v>1505</v>
      </c>
      <c r="C217" t="s">
        <v>750</v>
      </c>
      <c r="D217" t="s">
        <v>799</v>
      </c>
      <c r="E217" t="s">
        <v>569</v>
      </c>
      <c r="F217" t="s">
        <v>800</v>
      </c>
      <c r="G217" t="s">
        <v>753</v>
      </c>
      <c r="H217" t="s">
        <v>715</v>
      </c>
      <c r="I217" t="s">
        <v>1813</v>
      </c>
      <c r="J217" t="s">
        <v>1814</v>
      </c>
      <c r="K217" t="s">
        <v>1815</v>
      </c>
      <c r="L217" t="s">
        <v>757</v>
      </c>
      <c r="M217" t="s">
        <v>720</v>
      </c>
      <c r="N217" t="s">
        <v>721</v>
      </c>
      <c r="O217">
        <v>4</v>
      </c>
      <c r="P217">
        <v>7</v>
      </c>
      <c r="Q217">
        <v>116</v>
      </c>
      <c r="R217" t="s">
        <v>758</v>
      </c>
      <c r="S217" t="s">
        <v>745</v>
      </c>
      <c r="T217" t="s">
        <v>746</v>
      </c>
      <c r="U217" t="s">
        <v>759</v>
      </c>
    </row>
    <row r="218" spans="1:21" hidden="1" x14ac:dyDescent="0.3">
      <c r="A218" s="1" t="s">
        <v>1778</v>
      </c>
      <c r="B218" t="s">
        <v>1505</v>
      </c>
      <c r="C218" t="s">
        <v>750</v>
      </c>
      <c r="D218" t="s">
        <v>804</v>
      </c>
      <c r="E218" t="s">
        <v>569</v>
      </c>
      <c r="F218" t="s">
        <v>805</v>
      </c>
      <c r="G218" t="s">
        <v>753</v>
      </c>
      <c r="H218" t="s">
        <v>715</v>
      </c>
      <c r="I218" t="s">
        <v>1816</v>
      </c>
      <c r="J218" t="s">
        <v>1817</v>
      </c>
      <c r="K218" t="s">
        <v>1818</v>
      </c>
      <c r="L218" t="s">
        <v>765</v>
      </c>
      <c r="M218" t="s">
        <v>720</v>
      </c>
      <c r="N218" t="s">
        <v>721</v>
      </c>
      <c r="O218">
        <v>12</v>
      </c>
      <c r="P218">
        <v>15</v>
      </c>
      <c r="Q218">
        <v>103</v>
      </c>
      <c r="R218" t="s">
        <v>758</v>
      </c>
      <c r="S218" t="s">
        <v>745</v>
      </c>
      <c r="T218" t="s">
        <v>746</v>
      </c>
      <c r="U218" t="s">
        <v>759</v>
      </c>
    </row>
    <row r="219" spans="1:21" hidden="1" x14ac:dyDescent="0.3">
      <c r="A219" s="1" t="s">
        <v>1778</v>
      </c>
      <c r="B219" t="s">
        <v>1505</v>
      </c>
      <c r="C219" t="s">
        <v>750</v>
      </c>
      <c r="D219" t="s">
        <v>811</v>
      </c>
      <c r="E219" t="s">
        <v>569</v>
      </c>
      <c r="F219" t="s">
        <v>812</v>
      </c>
      <c r="G219" t="s">
        <v>753</v>
      </c>
      <c r="H219" t="s">
        <v>715</v>
      </c>
      <c r="I219" t="s">
        <v>1819</v>
      </c>
      <c r="J219" t="s">
        <v>1820</v>
      </c>
      <c r="K219" t="s">
        <v>1821</v>
      </c>
      <c r="L219" t="s">
        <v>765</v>
      </c>
      <c r="M219" t="s">
        <v>720</v>
      </c>
      <c r="N219" t="s">
        <v>721</v>
      </c>
      <c r="O219">
        <v>9</v>
      </c>
      <c r="P219">
        <v>15</v>
      </c>
      <c r="Q219">
        <v>60</v>
      </c>
      <c r="R219" t="s">
        <v>758</v>
      </c>
      <c r="S219" t="s">
        <v>745</v>
      </c>
      <c r="T219" t="s">
        <v>746</v>
      </c>
      <c r="U219" t="s">
        <v>771</v>
      </c>
    </row>
    <row r="220" spans="1:21" hidden="1" x14ac:dyDescent="0.3">
      <c r="A220" s="1" t="s">
        <v>1778</v>
      </c>
      <c r="B220" t="s">
        <v>1505</v>
      </c>
      <c r="C220" t="s">
        <v>750</v>
      </c>
      <c r="D220" t="s">
        <v>816</v>
      </c>
      <c r="E220" t="s">
        <v>569</v>
      </c>
      <c r="F220" t="s">
        <v>817</v>
      </c>
      <c r="G220" t="s">
        <v>794</v>
      </c>
      <c r="H220" t="s">
        <v>715</v>
      </c>
      <c r="I220" t="s">
        <v>1822</v>
      </c>
      <c r="J220" t="s">
        <v>1823</v>
      </c>
      <c r="K220" t="s">
        <v>1824</v>
      </c>
      <c r="L220" t="s">
        <v>826</v>
      </c>
      <c r="M220" t="s">
        <v>720</v>
      </c>
      <c r="N220" t="s">
        <v>721</v>
      </c>
      <c r="O220">
        <v>0</v>
      </c>
      <c r="P220">
        <v>2</v>
      </c>
      <c r="Q220">
        <v>11</v>
      </c>
      <c r="R220" t="s">
        <v>798</v>
      </c>
      <c r="S220" t="s">
        <v>745</v>
      </c>
      <c r="T220" t="s">
        <v>746</v>
      </c>
      <c r="U220" t="s">
        <v>759</v>
      </c>
    </row>
    <row r="221" spans="1:21" hidden="1" x14ac:dyDescent="0.3">
      <c r="A221" s="1" t="s">
        <v>1778</v>
      </c>
      <c r="B221" t="s">
        <v>1505</v>
      </c>
      <c r="C221" t="s">
        <v>750</v>
      </c>
      <c r="D221" t="s">
        <v>821</v>
      </c>
      <c r="E221" t="s">
        <v>569</v>
      </c>
      <c r="F221" t="s">
        <v>822</v>
      </c>
      <c r="G221" t="s">
        <v>753</v>
      </c>
      <c r="H221" t="s">
        <v>715</v>
      </c>
      <c r="I221" t="s">
        <v>1825</v>
      </c>
      <c r="J221" t="s">
        <v>1826</v>
      </c>
      <c r="K221" t="s">
        <v>1827</v>
      </c>
      <c r="L221" t="s">
        <v>765</v>
      </c>
      <c r="M221" t="s">
        <v>720</v>
      </c>
      <c r="N221" t="s">
        <v>721</v>
      </c>
      <c r="O221">
        <v>1</v>
      </c>
      <c r="P221">
        <v>15</v>
      </c>
      <c r="Q221">
        <v>112</v>
      </c>
      <c r="R221" t="s">
        <v>758</v>
      </c>
      <c r="S221" t="s">
        <v>745</v>
      </c>
      <c r="T221" t="s">
        <v>746</v>
      </c>
      <c r="U221" t="s">
        <v>759</v>
      </c>
    </row>
    <row r="222" spans="1:21" hidden="1" x14ac:dyDescent="0.3">
      <c r="A222" s="1" t="s">
        <v>1778</v>
      </c>
      <c r="B222" t="s">
        <v>1505</v>
      </c>
      <c r="C222" t="s">
        <v>750</v>
      </c>
      <c r="D222" t="s">
        <v>827</v>
      </c>
      <c r="E222" t="s">
        <v>569</v>
      </c>
      <c r="F222" t="s">
        <v>828</v>
      </c>
      <c r="G222" t="s">
        <v>753</v>
      </c>
      <c r="H222" t="s">
        <v>715</v>
      </c>
      <c r="I222" t="s">
        <v>1828</v>
      </c>
      <c r="J222" t="s">
        <v>1829</v>
      </c>
      <c r="K222" t="s">
        <v>1830</v>
      </c>
      <c r="L222" t="s">
        <v>757</v>
      </c>
      <c r="M222" t="s">
        <v>720</v>
      </c>
      <c r="N222" t="s">
        <v>721</v>
      </c>
      <c r="O222">
        <v>6</v>
      </c>
      <c r="P222">
        <v>7</v>
      </c>
      <c r="Q222">
        <v>72</v>
      </c>
      <c r="R222" t="s">
        <v>758</v>
      </c>
      <c r="S222" t="s">
        <v>745</v>
      </c>
      <c r="T222" t="s">
        <v>746</v>
      </c>
      <c r="U222" t="s">
        <v>832</v>
      </c>
    </row>
    <row r="223" spans="1:21" hidden="1" x14ac:dyDescent="0.3">
      <c r="A223" s="1" t="s">
        <v>1778</v>
      </c>
      <c r="B223" t="s">
        <v>1505</v>
      </c>
      <c r="C223" t="s">
        <v>750</v>
      </c>
      <c r="D223" t="s">
        <v>833</v>
      </c>
      <c r="E223" t="s">
        <v>569</v>
      </c>
      <c r="F223" t="s">
        <v>834</v>
      </c>
      <c r="G223" t="s">
        <v>753</v>
      </c>
      <c r="H223" t="s">
        <v>715</v>
      </c>
      <c r="I223" t="s">
        <v>1831</v>
      </c>
      <c r="J223" t="s">
        <v>1832</v>
      </c>
      <c r="K223" t="s">
        <v>1833</v>
      </c>
      <c r="L223" t="s">
        <v>765</v>
      </c>
      <c r="M223" t="s">
        <v>720</v>
      </c>
      <c r="N223" t="s">
        <v>721</v>
      </c>
      <c r="O223">
        <v>1</v>
      </c>
      <c r="P223">
        <v>15</v>
      </c>
      <c r="Q223">
        <v>84</v>
      </c>
      <c r="R223" t="s">
        <v>758</v>
      </c>
      <c r="S223" t="s">
        <v>745</v>
      </c>
      <c r="T223" t="s">
        <v>746</v>
      </c>
      <c r="U223" t="s">
        <v>759</v>
      </c>
    </row>
    <row r="224" spans="1:21" hidden="1" x14ac:dyDescent="0.3">
      <c r="A224" s="1" t="s">
        <v>1778</v>
      </c>
      <c r="B224" t="s">
        <v>1505</v>
      </c>
      <c r="C224" t="s">
        <v>750</v>
      </c>
      <c r="D224" t="s">
        <v>838</v>
      </c>
      <c r="E224" t="s">
        <v>569</v>
      </c>
      <c r="F224" t="s">
        <v>839</v>
      </c>
      <c r="G224" t="s">
        <v>794</v>
      </c>
      <c r="H224" t="s">
        <v>715</v>
      </c>
      <c r="I224" t="s">
        <v>1834</v>
      </c>
      <c r="J224" t="s">
        <v>1835</v>
      </c>
      <c r="K224" t="s">
        <v>1836</v>
      </c>
      <c r="L224" t="s">
        <v>826</v>
      </c>
      <c r="M224" t="s">
        <v>720</v>
      </c>
      <c r="N224" t="s">
        <v>721</v>
      </c>
      <c r="O224">
        <v>0</v>
      </c>
      <c r="P224">
        <v>2</v>
      </c>
      <c r="Q224">
        <v>11</v>
      </c>
      <c r="R224" t="s">
        <v>798</v>
      </c>
      <c r="S224" t="s">
        <v>745</v>
      </c>
      <c r="T224" t="s">
        <v>746</v>
      </c>
      <c r="U224" t="s">
        <v>759</v>
      </c>
    </row>
    <row r="225" spans="1:21" hidden="1" x14ac:dyDescent="0.3">
      <c r="A225" s="1" t="s">
        <v>1778</v>
      </c>
      <c r="B225" t="s">
        <v>1505</v>
      </c>
      <c r="C225" t="s">
        <v>750</v>
      </c>
      <c r="D225" t="s">
        <v>843</v>
      </c>
      <c r="E225" t="s">
        <v>569</v>
      </c>
      <c r="F225" t="s">
        <v>844</v>
      </c>
      <c r="G225" t="s">
        <v>753</v>
      </c>
      <c r="H225" t="s">
        <v>715</v>
      </c>
      <c r="I225" t="s">
        <v>1837</v>
      </c>
      <c r="J225" t="s">
        <v>1838</v>
      </c>
      <c r="K225" t="s">
        <v>1839</v>
      </c>
      <c r="L225" t="s">
        <v>765</v>
      </c>
      <c r="M225" t="s">
        <v>720</v>
      </c>
      <c r="N225" t="s">
        <v>721</v>
      </c>
      <c r="O225">
        <v>1</v>
      </c>
      <c r="P225">
        <v>15</v>
      </c>
      <c r="Q225">
        <v>74</v>
      </c>
      <c r="R225" t="s">
        <v>758</v>
      </c>
      <c r="S225" t="s">
        <v>745</v>
      </c>
      <c r="T225" t="s">
        <v>746</v>
      </c>
      <c r="U225" t="s">
        <v>919</v>
      </c>
    </row>
    <row r="226" spans="1:21" hidden="1" x14ac:dyDescent="0.3">
      <c r="A226" s="1" t="s">
        <v>1778</v>
      </c>
      <c r="B226" t="s">
        <v>1505</v>
      </c>
      <c r="C226" t="s">
        <v>750</v>
      </c>
      <c r="D226" t="s">
        <v>848</v>
      </c>
      <c r="E226" t="s">
        <v>569</v>
      </c>
      <c r="F226" t="s">
        <v>849</v>
      </c>
      <c r="G226" t="s">
        <v>794</v>
      </c>
      <c r="H226" t="s">
        <v>715</v>
      </c>
      <c r="I226" t="s">
        <v>1840</v>
      </c>
      <c r="J226" t="s">
        <v>1841</v>
      </c>
      <c r="K226" t="s">
        <v>1842</v>
      </c>
      <c r="L226" t="s">
        <v>826</v>
      </c>
      <c r="M226" t="s">
        <v>720</v>
      </c>
      <c r="N226" t="s">
        <v>721</v>
      </c>
      <c r="O226">
        <v>4</v>
      </c>
      <c r="P226">
        <v>2</v>
      </c>
      <c r="Q226">
        <v>11</v>
      </c>
      <c r="R226" t="s">
        <v>798</v>
      </c>
      <c r="S226" t="s">
        <v>745</v>
      </c>
      <c r="T226" t="s">
        <v>746</v>
      </c>
      <c r="U226" t="s">
        <v>759</v>
      </c>
    </row>
    <row r="227" spans="1:21" hidden="1" x14ac:dyDescent="0.3">
      <c r="A227" s="1" t="s">
        <v>1778</v>
      </c>
      <c r="B227" t="s">
        <v>1505</v>
      </c>
      <c r="C227" t="s">
        <v>750</v>
      </c>
      <c r="D227" t="s">
        <v>854</v>
      </c>
      <c r="E227" t="s">
        <v>569</v>
      </c>
      <c r="F227" t="s">
        <v>855</v>
      </c>
      <c r="G227" t="s">
        <v>753</v>
      </c>
      <c r="H227" t="s">
        <v>715</v>
      </c>
      <c r="I227" t="s">
        <v>1843</v>
      </c>
      <c r="J227" t="s">
        <v>1844</v>
      </c>
      <c r="K227" t="s">
        <v>1845</v>
      </c>
      <c r="L227" t="s">
        <v>765</v>
      </c>
      <c r="M227" t="s">
        <v>720</v>
      </c>
      <c r="N227" t="s">
        <v>721</v>
      </c>
      <c r="O227">
        <v>3</v>
      </c>
      <c r="P227">
        <v>15</v>
      </c>
      <c r="Q227">
        <v>90</v>
      </c>
      <c r="R227" t="s">
        <v>758</v>
      </c>
      <c r="S227" t="s">
        <v>745</v>
      </c>
      <c r="T227" t="s">
        <v>746</v>
      </c>
      <c r="U227" t="s">
        <v>759</v>
      </c>
    </row>
    <row r="228" spans="1:21" hidden="1" x14ac:dyDescent="0.3">
      <c r="A228" s="1" t="s">
        <v>1778</v>
      </c>
      <c r="B228" t="s">
        <v>1505</v>
      </c>
      <c r="C228" t="s">
        <v>750</v>
      </c>
      <c r="D228" t="s">
        <v>859</v>
      </c>
      <c r="E228" t="s">
        <v>569</v>
      </c>
      <c r="F228" t="s">
        <v>860</v>
      </c>
      <c r="G228" t="s">
        <v>794</v>
      </c>
      <c r="H228" t="s">
        <v>715</v>
      </c>
      <c r="I228" t="s">
        <v>1846</v>
      </c>
      <c r="J228" t="s">
        <v>1847</v>
      </c>
      <c r="K228" t="s">
        <v>1848</v>
      </c>
      <c r="L228" t="s">
        <v>826</v>
      </c>
      <c r="M228" t="s">
        <v>720</v>
      </c>
      <c r="N228" t="s">
        <v>721</v>
      </c>
      <c r="O228">
        <v>10</v>
      </c>
      <c r="P228">
        <v>10</v>
      </c>
      <c r="Q228">
        <v>41</v>
      </c>
      <c r="R228" t="s">
        <v>722</v>
      </c>
      <c r="S228" t="s">
        <v>745</v>
      </c>
      <c r="T228" t="s">
        <v>746</v>
      </c>
      <c r="U228" t="s">
        <v>759</v>
      </c>
    </row>
    <row r="229" spans="1:21" hidden="1" x14ac:dyDescent="0.3">
      <c r="A229" s="1" t="s">
        <v>1778</v>
      </c>
      <c r="B229" t="s">
        <v>1505</v>
      </c>
      <c r="C229" t="s">
        <v>750</v>
      </c>
      <c r="D229" t="s">
        <v>1849</v>
      </c>
      <c r="E229" t="s">
        <v>569</v>
      </c>
      <c r="F229" t="s">
        <v>1850</v>
      </c>
      <c r="G229" t="s">
        <v>794</v>
      </c>
      <c r="H229" t="s">
        <v>715</v>
      </c>
      <c r="I229" t="s">
        <v>1851</v>
      </c>
      <c r="J229" t="s">
        <v>1852</v>
      </c>
      <c r="K229" t="s">
        <v>1853</v>
      </c>
      <c r="L229" t="s">
        <v>826</v>
      </c>
      <c r="M229" t="s">
        <v>720</v>
      </c>
      <c r="N229" t="s">
        <v>721</v>
      </c>
      <c r="O229">
        <v>3</v>
      </c>
      <c r="P229">
        <v>2</v>
      </c>
      <c r="Q229">
        <v>42</v>
      </c>
      <c r="R229" t="s">
        <v>798</v>
      </c>
      <c r="S229" t="s">
        <v>745</v>
      </c>
      <c r="T229" t="s">
        <v>746</v>
      </c>
      <c r="U229" t="s">
        <v>759</v>
      </c>
    </row>
    <row r="230" spans="1:21" hidden="1" x14ac:dyDescent="0.3">
      <c r="A230" s="1" t="s">
        <v>1778</v>
      </c>
      <c r="B230" t="s">
        <v>1505</v>
      </c>
      <c r="C230" t="s">
        <v>750</v>
      </c>
      <c r="D230" t="s">
        <v>869</v>
      </c>
      <c r="E230" t="s">
        <v>569</v>
      </c>
      <c r="F230" t="s">
        <v>870</v>
      </c>
      <c r="G230" t="s">
        <v>794</v>
      </c>
      <c r="H230" t="s">
        <v>715</v>
      </c>
      <c r="I230" t="s">
        <v>1854</v>
      </c>
      <c r="J230" t="s">
        <v>1855</v>
      </c>
      <c r="K230" t="s">
        <v>1856</v>
      </c>
      <c r="L230" t="s">
        <v>826</v>
      </c>
      <c r="M230" t="s">
        <v>720</v>
      </c>
      <c r="N230" t="s">
        <v>721</v>
      </c>
      <c r="O230">
        <v>1</v>
      </c>
      <c r="P230">
        <v>2</v>
      </c>
      <c r="Q230">
        <v>0</v>
      </c>
      <c r="R230" t="s">
        <v>798</v>
      </c>
      <c r="S230" t="s">
        <v>745</v>
      </c>
      <c r="T230" t="s">
        <v>746</v>
      </c>
      <c r="U230" t="s">
        <v>759</v>
      </c>
    </row>
    <row r="231" spans="1:21" hidden="1" x14ac:dyDescent="0.3">
      <c r="A231" s="1" t="s">
        <v>1778</v>
      </c>
      <c r="B231" t="s">
        <v>1505</v>
      </c>
      <c r="C231" t="s">
        <v>750</v>
      </c>
      <c r="D231" t="s">
        <v>1857</v>
      </c>
      <c r="E231" t="s">
        <v>569</v>
      </c>
      <c r="F231" t="s">
        <v>1373</v>
      </c>
      <c r="G231" t="s">
        <v>753</v>
      </c>
      <c r="H231" t="s">
        <v>715</v>
      </c>
      <c r="I231" t="s">
        <v>1858</v>
      </c>
      <c r="J231" t="s">
        <v>1859</v>
      </c>
      <c r="K231" t="s">
        <v>1860</v>
      </c>
      <c r="L231" t="s">
        <v>765</v>
      </c>
      <c r="M231" t="s">
        <v>720</v>
      </c>
      <c r="N231" t="s">
        <v>721</v>
      </c>
      <c r="O231">
        <v>1</v>
      </c>
      <c r="P231">
        <v>15</v>
      </c>
      <c r="Q231">
        <v>39</v>
      </c>
      <c r="R231" t="s">
        <v>758</v>
      </c>
      <c r="S231" t="s">
        <v>745</v>
      </c>
      <c r="T231" t="s">
        <v>746</v>
      </c>
      <c r="U231" t="s">
        <v>759</v>
      </c>
    </row>
    <row r="232" spans="1:21" hidden="1" x14ac:dyDescent="0.3">
      <c r="A232" s="1" t="s">
        <v>1778</v>
      </c>
      <c r="B232" t="s">
        <v>1505</v>
      </c>
      <c r="C232" t="s">
        <v>750</v>
      </c>
      <c r="D232" t="s">
        <v>879</v>
      </c>
      <c r="E232" t="s">
        <v>569</v>
      </c>
      <c r="F232" t="s">
        <v>880</v>
      </c>
      <c r="G232" t="s">
        <v>794</v>
      </c>
      <c r="H232" t="s">
        <v>715</v>
      </c>
      <c r="I232" t="s">
        <v>1861</v>
      </c>
      <c r="J232" t="s">
        <v>1862</v>
      </c>
      <c r="K232" t="s">
        <v>1863</v>
      </c>
      <c r="L232" t="s">
        <v>741</v>
      </c>
      <c r="M232" t="s">
        <v>720</v>
      </c>
      <c r="N232" t="s">
        <v>743</v>
      </c>
      <c r="O232">
        <v>1</v>
      </c>
      <c r="P232">
        <v>0</v>
      </c>
      <c r="Q232">
        <v>21</v>
      </c>
      <c r="R232" t="s">
        <v>798</v>
      </c>
      <c r="S232" t="s">
        <v>745</v>
      </c>
      <c r="T232" t="s">
        <v>746</v>
      </c>
      <c r="U232" t="s">
        <v>759</v>
      </c>
    </row>
    <row r="233" spans="1:21" hidden="1" x14ac:dyDescent="0.3">
      <c r="A233" s="1" t="s">
        <v>1778</v>
      </c>
      <c r="B233" t="s">
        <v>1505</v>
      </c>
      <c r="C233" t="s">
        <v>750</v>
      </c>
      <c r="D233" t="s">
        <v>884</v>
      </c>
      <c r="E233" t="s">
        <v>569</v>
      </c>
      <c r="F233" t="s">
        <v>885</v>
      </c>
      <c r="G233" t="s">
        <v>714</v>
      </c>
      <c r="H233" t="s">
        <v>715</v>
      </c>
      <c r="I233" t="s">
        <v>1864</v>
      </c>
      <c r="J233" t="s">
        <v>1865</v>
      </c>
      <c r="K233" t="s">
        <v>1866</v>
      </c>
      <c r="L233" t="s">
        <v>1082</v>
      </c>
      <c r="M233" t="s">
        <v>720</v>
      </c>
      <c r="N233" t="s">
        <v>721</v>
      </c>
      <c r="O233">
        <v>13</v>
      </c>
      <c r="P233">
        <v>0</v>
      </c>
      <c r="Q233">
        <v>37</v>
      </c>
      <c r="R233" t="s">
        <v>798</v>
      </c>
      <c r="S233" t="s">
        <v>723</v>
      </c>
      <c r="T233" t="s">
        <v>1083</v>
      </c>
      <c r="U233" t="s">
        <v>707</v>
      </c>
    </row>
    <row r="234" spans="1:21" hidden="1" x14ac:dyDescent="0.3">
      <c r="A234" s="1" t="s">
        <v>1778</v>
      </c>
      <c r="B234" t="s">
        <v>1505</v>
      </c>
      <c r="C234" t="s">
        <v>750</v>
      </c>
      <c r="D234" t="s">
        <v>899</v>
      </c>
      <c r="E234" t="s">
        <v>569</v>
      </c>
      <c r="F234" t="s">
        <v>900</v>
      </c>
      <c r="G234" t="s">
        <v>753</v>
      </c>
      <c r="H234" t="s">
        <v>715</v>
      </c>
      <c r="I234" t="s">
        <v>1867</v>
      </c>
      <c r="J234" t="s">
        <v>1868</v>
      </c>
      <c r="K234" t="s">
        <v>1869</v>
      </c>
      <c r="L234" t="s">
        <v>757</v>
      </c>
      <c r="M234" t="s">
        <v>720</v>
      </c>
      <c r="N234" t="s">
        <v>721</v>
      </c>
      <c r="O234">
        <v>7</v>
      </c>
      <c r="P234">
        <v>7</v>
      </c>
      <c r="Q234">
        <v>81</v>
      </c>
      <c r="R234" t="s">
        <v>758</v>
      </c>
      <c r="S234" t="s">
        <v>745</v>
      </c>
      <c r="T234" t="s">
        <v>746</v>
      </c>
      <c r="U234" t="s">
        <v>759</v>
      </c>
    </row>
    <row r="235" spans="1:21" hidden="1" x14ac:dyDescent="0.3">
      <c r="A235" s="1" t="s">
        <v>1778</v>
      </c>
      <c r="B235" t="s">
        <v>1505</v>
      </c>
      <c r="C235" t="s">
        <v>750</v>
      </c>
      <c r="D235" t="s">
        <v>905</v>
      </c>
      <c r="E235" t="s">
        <v>569</v>
      </c>
      <c r="F235" t="s">
        <v>906</v>
      </c>
      <c r="G235" t="s">
        <v>794</v>
      </c>
      <c r="H235" t="s">
        <v>715</v>
      </c>
      <c r="I235" t="s">
        <v>1870</v>
      </c>
      <c r="J235" t="s">
        <v>1871</v>
      </c>
      <c r="K235" t="s">
        <v>1872</v>
      </c>
      <c r="L235" t="s">
        <v>826</v>
      </c>
      <c r="M235" t="s">
        <v>720</v>
      </c>
      <c r="N235" t="s">
        <v>721</v>
      </c>
      <c r="O235">
        <v>0</v>
      </c>
      <c r="P235">
        <v>2</v>
      </c>
      <c r="Q235">
        <v>7</v>
      </c>
      <c r="R235" t="s">
        <v>798</v>
      </c>
      <c r="S235" t="s">
        <v>745</v>
      </c>
      <c r="T235" t="s">
        <v>746</v>
      </c>
      <c r="U235" t="s">
        <v>759</v>
      </c>
    </row>
    <row r="236" spans="1:21" hidden="1" x14ac:dyDescent="0.3">
      <c r="A236" s="1" t="s">
        <v>1778</v>
      </c>
      <c r="B236" t="s">
        <v>1505</v>
      </c>
      <c r="C236" t="s">
        <v>750</v>
      </c>
      <c r="D236" t="s">
        <v>910</v>
      </c>
      <c r="E236" t="s">
        <v>569</v>
      </c>
      <c r="F236" t="s">
        <v>911</v>
      </c>
      <c r="G236" t="s">
        <v>753</v>
      </c>
      <c r="H236" t="s">
        <v>715</v>
      </c>
      <c r="I236" t="s">
        <v>1873</v>
      </c>
      <c r="J236" t="s">
        <v>1874</v>
      </c>
      <c r="K236" t="s">
        <v>1875</v>
      </c>
      <c r="L236" t="s">
        <v>757</v>
      </c>
      <c r="M236" t="s">
        <v>720</v>
      </c>
      <c r="N236" t="s">
        <v>721</v>
      </c>
      <c r="O236">
        <v>9</v>
      </c>
      <c r="P236">
        <v>7</v>
      </c>
      <c r="Q236">
        <v>68</v>
      </c>
      <c r="R236" t="s">
        <v>758</v>
      </c>
      <c r="S236" t="s">
        <v>745</v>
      </c>
      <c r="T236" t="s">
        <v>746</v>
      </c>
      <c r="U236" t="s">
        <v>919</v>
      </c>
    </row>
    <row r="237" spans="1:21" hidden="1" x14ac:dyDescent="0.3">
      <c r="A237" s="1" t="s">
        <v>1778</v>
      </c>
      <c r="B237" t="s">
        <v>1505</v>
      </c>
      <c r="C237" t="s">
        <v>750</v>
      </c>
      <c r="D237" t="s">
        <v>915</v>
      </c>
      <c r="E237" t="s">
        <v>569</v>
      </c>
      <c r="F237" t="s">
        <v>713</v>
      </c>
      <c r="G237" t="s">
        <v>753</v>
      </c>
      <c r="H237" t="s">
        <v>715</v>
      </c>
      <c r="I237" t="s">
        <v>1876</v>
      </c>
      <c r="J237" t="s">
        <v>1877</v>
      </c>
      <c r="K237" t="s">
        <v>1878</v>
      </c>
      <c r="L237" t="s">
        <v>765</v>
      </c>
      <c r="M237" t="s">
        <v>720</v>
      </c>
      <c r="N237" t="s">
        <v>721</v>
      </c>
      <c r="O237">
        <v>6</v>
      </c>
      <c r="P237">
        <v>15</v>
      </c>
      <c r="Q237">
        <v>114</v>
      </c>
      <c r="R237" t="s">
        <v>758</v>
      </c>
      <c r="S237" t="s">
        <v>745</v>
      </c>
      <c r="T237" t="s">
        <v>746</v>
      </c>
      <c r="U237" t="s">
        <v>759</v>
      </c>
    </row>
    <row r="238" spans="1:21" hidden="1" x14ac:dyDescent="0.3">
      <c r="A238" s="1" t="s">
        <v>1778</v>
      </c>
      <c r="B238" t="s">
        <v>1505</v>
      </c>
      <c r="C238" t="s">
        <v>750</v>
      </c>
      <c r="D238" t="s">
        <v>920</v>
      </c>
      <c r="E238" t="s">
        <v>569</v>
      </c>
      <c r="F238" t="s">
        <v>921</v>
      </c>
      <c r="G238" t="s">
        <v>753</v>
      </c>
      <c r="H238" t="s">
        <v>715</v>
      </c>
      <c r="I238" t="s">
        <v>1879</v>
      </c>
      <c r="J238" t="s">
        <v>1880</v>
      </c>
      <c r="K238" t="s">
        <v>1881</v>
      </c>
      <c r="L238" t="s">
        <v>765</v>
      </c>
      <c r="M238" t="s">
        <v>720</v>
      </c>
      <c r="N238" t="s">
        <v>721</v>
      </c>
      <c r="O238">
        <v>1</v>
      </c>
      <c r="P238">
        <v>15</v>
      </c>
      <c r="Q238">
        <v>70</v>
      </c>
      <c r="R238" t="s">
        <v>758</v>
      </c>
      <c r="S238" t="s">
        <v>745</v>
      </c>
      <c r="T238" t="s">
        <v>746</v>
      </c>
      <c r="U238" t="s">
        <v>759</v>
      </c>
    </row>
    <row r="239" spans="1:21" hidden="1" x14ac:dyDescent="0.3">
      <c r="A239" s="1" t="s">
        <v>1778</v>
      </c>
      <c r="B239" t="s">
        <v>1505</v>
      </c>
      <c r="C239" t="s">
        <v>750</v>
      </c>
      <c r="D239" t="s">
        <v>925</v>
      </c>
      <c r="E239" t="s">
        <v>569</v>
      </c>
      <c r="F239" t="s">
        <v>926</v>
      </c>
      <c r="G239" t="s">
        <v>753</v>
      </c>
      <c r="H239" t="s">
        <v>715</v>
      </c>
      <c r="I239" t="s">
        <v>1882</v>
      </c>
      <c r="J239" t="s">
        <v>1883</v>
      </c>
      <c r="K239" t="s">
        <v>1884</v>
      </c>
      <c r="L239" t="s">
        <v>757</v>
      </c>
      <c r="M239" t="s">
        <v>720</v>
      </c>
      <c r="N239" t="s">
        <v>721</v>
      </c>
      <c r="O239">
        <v>1</v>
      </c>
      <c r="P239">
        <v>7</v>
      </c>
      <c r="Q239">
        <v>4</v>
      </c>
      <c r="R239" t="s">
        <v>758</v>
      </c>
      <c r="S239" t="s">
        <v>745</v>
      </c>
      <c r="T239" t="s">
        <v>746</v>
      </c>
      <c r="U239" t="s">
        <v>759</v>
      </c>
    </row>
    <row r="240" spans="1:21" hidden="1" x14ac:dyDescent="0.3">
      <c r="A240" s="1" t="s">
        <v>1778</v>
      </c>
      <c r="B240" t="s">
        <v>1505</v>
      </c>
      <c r="C240" t="s">
        <v>750</v>
      </c>
      <c r="D240" t="s">
        <v>930</v>
      </c>
      <c r="E240" t="s">
        <v>569</v>
      </c>
      <c r="F240" t="s">
        <v>931</v>
      </c>
      <c r="G240" t="s">
        <v>753</v>
      </c>
      <c r="H240" t="s">
        <v>715</v>
      </c>
      <c r="I240" t="s">
        <v>1885</v>
      </c>
      <c r="J240" t="s">
        <v>1886</v>
      </c>
      <c r="K240" t="s">
        <v>1887</v>
      </c>
      <c r="L240" t="s">
        <v>765</v>
      </c>
      <c r="M240" t="s">
        <v>720</v>
      </c>
      <c r="N240" t="s">
        <v>721</v>
      </c>
      <c r="O240">
        <v>1</v>
      </c>
      <c r="P240">
        <v>15</v>
      </c>
      <c r="Q240">
        <v>70</v>
      </c>
      <c r="R240" t="s">
        <v>758</v>
      </c>
      <c r="S240" t="s">
        <v>745</v>
      </c>
      <c r="T240" t="s">
        <v>746</v>
      </c>
      <c r="U240" t="s">
        <v>759</v>
      </c>
    </row>
    <row r="241" spans="1:21" hidden="1" x14ac:dyDescent="0.3">
      <c r="A241" s="1" t="s">
        <v>1778</v>
      </c>
      <c r="B241" t="s">
        <v>1505</v>
      </c>
      <c r="C241" t="s">
        <v>750</v>
      </c>
      <c r="D241" t="s">
        <v>935</v>
      </c>
      <c r="E241" t="s">
        <v>569</v>
      </c>
      <c r="F241" t="s">
        <v>936</v>
      </c>
      <c r="G241" t="s">
        <v>753</v>
      </c>
      <c r="H241" t="s">
        <v>715</v>
      </c>
      <c r="I241" t="s">
        <v>1888</v>
      </c>
      <c r="J241" t="s">
        <v>1889</v>
      </c>
      <c r="K241" t="s">
        <v>1890</v>
      </c>
      <c r="L241" t="s">
        <v>765</v>
      </c>
      <c r="M241" t="s">
        <v>720</v>
      </c>
      <c r="N241" t="s">
        <v>721</v>
      </c>
      <c r="O241">
        <v>5</v>
      </c>
      <c r="P241">
        <v>15</v>
      </c>
      <c r="Q241">
        <v>53</v>
      </c>
      <c r="R241" t="s">
        <v>758</v>
      </c>
      <c r="S241" t="s">
        <v>745</v>
      </c>
      <c r="T241" t="s">
        <v>746</v>
      </c>
      <c r="U241" t="s">
        <v>759</v>
      </c>
    </row>
    <row r="242" spans="1:21" hidden="1" x14ac:dyDescent="0.3">
      <c r="A242" s="1" t="s">
        <v>1778</v>
      </c>
      <c r="B242" t="s">
        <v>1505</v>
      </c>
      <c r="C242" t="s">
        <v>750</v>
      </c>
      <c r="D242" t="s">
        <v>940</v>
      </c>
      <c r="E242" t="s">
        <v>569</v>
      </c>
      <c r="F242" t="s">
        <v>941</v>
      </c>
      <c r="G242" t="s">
        <v>753</v>
      </c>
      <c r="H242" t="s">
        <v>715</v>
      </c>
      <c r="I242" t="s">
        <v>1891</v>
      </c>
      <c r="J242" t="s">
        <v>1892</v>
      </c>
      <c r="K242" t="s">
        <v>1893</v>
      </c>
      <c r="L242" t="s">
        <v>757</v>
      </c>
      <c r="M242" t="s">
        <v>720</v>
      </c>
      <c r="N242" t="s">
        <v>721</v>
      </c>
      <c r="O242">
        <v>2</v>
      </c>
      <c r="P242">
        <v>7</v>
      </c>
      <c r="Q242">
        <v>4</v>
      </c>
      <c r="R242" t="s">
        <v>758</v>
      </c>
      <c r="S242" t="s">
        <v>745</v>
      </c>
      <c r="T242" t="s">
        <v>746</v>
      </c>
      <c r="U242" t="s">
        <v>759</v>
      </c>
    </row>
    <row r="243" spans="1:21" hidden="1" x14ac:dyDescent="0.3">
      <c r="A243" s="1" t="s">
        <v>1778</v>
      </c>
      <c r="B243" t="s">
        <v>1505</v>
      </c>
      <c r="C243" t="s">
        <v>750</v>
      </c>
      <c r="D243" t="s">
        <v>945</v>
      </c>
      <c r="E243" t="s">
        <v>569</v>
      </c>
      <c r="F243" t="s">
        <v>946</v>
      </c>
      <c r="G243" t="s">
        <v>794</v>
      </c>
      <c r="H243" t="s">
        <v>715</v>
      </c>
      <c r="I243" t="s">
        <v>1894</v>
      </c>
      <c r="J243" t="s">
        <v>1895</v>
      </c>
      <c r="K243" t="s">
        <v>1896</v>
      </c>
      <c r="L243" t="s">
        <v>741</v>
      </c>
      <c r="M243" t="s">
        <v>720</v>
      </c>
      <c r="N243" t="s">
        <v>743</v>
      </c>
      <c r="O243">
        <v>6</v>
      </c>
      <c r="P243">
        <v>0</v>
      </c>
      <c r="Q243">
        <v>52</v>
      </c>
      <c r="R243" t="s">
        <v>798</v>
      </c>
      <c r="S243" t="s">
        <v>745</v>
      </c>
      <c r="T243" t="s">
        <v>746</v>
      </c>
      <c r="U243" t="s">
        <v>759</v>
      </c>
    </row>
    <row r="244" spans="1:21" hidden="1" x14ac:dyDescent="0.3">
      <c r="A244" s="1" t="s">
        <v>1778</v>
      </c>
      <c r="B244" t="s">
        <v>1505</v>
      </c>
      <c r="C244" t="s">
        <v>750</v>
      </c>
      <c r="D244" t="s">
        <v>950</v>
      </c>
      <c r="E244" t="s">
        <v>569</v>
      </c>
      <c r="F244" t="s">
        <v>951</v>
      </c>
      <c r="G244" t="s">
        <v>753</v>
      </c>
      <c r="H244" t="s">
        <v>715</v>
      </c>
      <c r="I244" t="s">
        <v>1897</v>
      </c>
      <c r="J244" t="s">
        <v>1898</v>
      </c>
      <c r="K244" t="s">
        <v>1899</v>
      </c>
      <c r="L244" t="s">
        <v>757</v>
      </c>
      <c r="M244" t="s">
        <v>720</v>
      </c>
      <c r="N244" t="s">
        <v>721</v>
      </c>
      <c r="O244">
        <v>0</v>
      </c>
      <c r="P244">
        <v>7</v>
      </c>
      <c r="Q244">
        <v>68</v>
      </c>
      <c r="R244" t="s">
        <v>758</v>
      </c>
      <c r="S244" t="s">
        <v>745</v>
      </c>
      <c r="T244" t="s">
        <v>746</v>
      </c>
      <c r="U244" t="s">
        <v>832</v>
      </c>
    </row>
    <row r="245" spans="1:21" hidden="1" x14ac:dyDescent="0.3">
      <c r="A245" s="1" t="s">
        <v>1778</v>
      </c>
      <c r="B245" t="s">
        <v>1505</v>
      </c>
      <c r="C245" t="s">
        <v>750</v>
      </c>
      <c r="D245" t="s">
        <v>1900</v>
      </c>
      <c r="E245" t="s">
        <v>569</v>
      </c>
      <c r="F245" t="s">
        <v>1388</v>
      </c>
      <c r="G245" t="s">
        <v>794</v>
      </c>
      <c r="H245" t="s">
        <v>715</v>
      </c>
      <c r="I245" t="s">
        <v>1901</v>
      </c>
      <c r="J245" t="s">
        <v>1902</v>
      </c>
      <c r="K245" t="s">
        <v>1903</v>
      </c>
      <c r="L245" t="s">
        <v>826</v>
      </c>
      <c r="M245" t="s">
        <v>720</v>
      </c>
      <c r="N245" t="s">
        <v>721</v>
      </c>
      <c r="O245">
        <v>0</v>
      </c>
      <c r="P245">
        <v>2</v>
      </c>
      <c r="Q245">
        <v>118</v>
      </c>
      <c r="R245" t="s">
        <v>798</v>
      </c>
      <c r="S245" t="s">
        <v>745</v>
      </c>
      <c r="T245" t="s">
        <v>746</v>
      </c>
      <c r="U245" t="s">
        <v>759</v>
      </c>
    </row>
    <row r="246" spans="1:21" hidden="1" x14ac:dyDescent="0.3">
      <c r="A246" s="1" t="s">
        <v>1778</v>
      </c>
      <c r="B246" t="s">
        <v>1505</v>
      </c>
      <c r="C246" t="s">
        <v>750</v>
      </c>
      <c r="D246" t="s">
        <v>960</v>
      </c>
      <c r="E246" t="s">
        <v>569</v>
      </c>
      <c r="F246" t="s">
        <v>961</v>
      </c>
      <c r="G246" t="s">
        <v>753</v>
      </c>
      <c r="H246" t="s">
        <v>715</v>
      </c>
      <c r="I246" t="s">
        <v>1904</v>
      </c>
      <c r="J246" t="s">
        <v>1905</v>
      </c>
      <c r="K246" t="s">
        <v>1906</v>
      </c>
      <c r="L246" t="s">
        <v>765</v>
      </c>
      <c r="M246" t="s">
        <v>720</v>
      </c>
      <c r="N246" t="s">
        <v>721</v>
      </c>
      <c r="O246">
        <v>0</v>
      </c>
      <c r="P246">
        <v>15</v>
      </c>
      <c r="Q246">
        <v>11</v>
      </c>
      <c r="R246" t="s">
        <v>758</v>
      </c>
      <c r="S246" t="s">
        <v>745</v>
      </c>
      <c r="T246" t="s">
        <v>746</v>
      </c>
      <c r="U246" t="s">
        <v>759</v>
      </c>
    </row>
    <row r="247" spans="1:21" hidden="1" x14ac:dyDescent="0.3">
      <c r="A247" s="1" t="s">
        <v>1778</v>
      </c>
      <c r="B247" t="s">
        <v>1505</v>
      </c>
      <c r="C247" t="s">
        <v>750</v>
      </c>
      <c r="D247" t="s">
        <v>965</v>
      </c>
      <c r="E247" t="s">
        <v>568</v>
      </c>
      <c r="F247" t="s">
        <v>966</v>
      </c>
      <c r="G247" t="s">
        <v>753</v>
      </c>
      <c r="H247" t="s">
        <v>715</v>
      </c>
      <c r="I247" t="s">
        <v>1907</v>
      </c>
      <c r="J247" t="s">
        <v>1908</v>
      </c>
      <c r="K247" t="s">
        <v>1909</v>
      </c>
      <c r="L247" t="s">
        <v>765</v>
      </c>
      <c r="M247" t="s">
        <v>720</v>
      </c>
      <c r="N247" t="s">
        <v>721</v>
      </c>
      <c r="O247">
        <v>9</v>
      </c>
      <c r="P247">
        <v>15</v>
      </c>
      <c r="Q247">
        <v>13</v>
      </c>
      <c r="R247" t="s">
        <v>758</v>
      </c>
      <c r="S247" t="s">
        <v>745</v>
      </c>
      <c r="T247" t="s">
        <v>746</v>
      </c>
      <c r="U247" t="s">
        <v>759</v>
      </c>
    </row>
    <row r="248" spans="1:21" hidden="1" x14ac:dyDescent="0.3">
      <c r="A248" s="1" t="s">
        <v>1778</v>
      </c>
      <c r="B248" t="s">
        <v>1505</v>
      </c>
      <c r="C248" t="s">
        <v>750</v>
      </c>
      <c r="D248" t="s">
        <v>975</v>
      </c>
      <c r="E248" t="s">
        <v>568</v>
      </c>
      <c r="F248" t="s">
        <v>976</v>
      </c>
      <c r="G248" t="s">
        <v>753</v>
      </c>
      <c r="H248" t="s">
        <v>715</v>
      </c>
      <c r="I248" t="s">
        <v>1910</v>
      </c>
      <c r="J248" t="s">
        <v>1911</v>
      </c>
      <c r="K248" t="s">
        <v>1912</v>
      </c>
      <c r="L248" t="s">
        <v>765</v>
      </c>
      <c r="M248" t="s">
        <v>720</v>
      </c>
      <c r="N248" t="s">
        <v>721</v>
      </c>
      <c r="O248">
        <v>2</v>
      </c>
      <c r="P248">
        <v>15</v>
      </c>
      <c r="Q248">
        <v>0</v>
      </c>
      <c r="R248" t="s">
        <v>758</v>
      </c>
      <c r="S248" t="s">
        <v>745</v>
      </c>
      <c r="T248" t="s">
        <v>746</v>
      </c>
      <c r="U248" t="s">
        <v>759</v>
      </c>
    </row>
    <row r="249" spans="1:21" hidden="1" x14ac:dyDescent="0.3">
      <c r="A249" s="1" t="s">
        <v>1778</v>
      </c>
      <c r="B249" t="s">
        <v>1505</v>
      </c>
      <c r="C249" t="s">
        <v>750</v>
      </c>
      <c r="D249" t="s">
        <v>980</v>
      </c>
      <c r="E249" t="s">
        <v>568</v>
      </c>
      <c r="F249" t="s">
        <v>981</v>
      </c>
      <c r="G249" t="s">
        <v>794</v>
      </c>
      <c r="H249" t="s">
        <v>715</v>
      </c>
      <c r="I249" t="s">
        <v>1913</v>
      </c>
      <c r="J249" t="s">
        <v>1914</v>
      </c>
      <c r="K249" t="s">
        <v>1915</v>
      </c>
      <c r="L249" t="s">
        <v>741</v>
      </c>
      <c r="M249" t="s">
        <v>720</v>
      </c>
      <c r="N249" t="s">
        <v>743</v>
      </c>
      <c r="O249">
        <v>2</v>
      </c>
      <c r="P249">
        <v>0</v>
      </c>
      <c r="Q249">
        <v>74</v>
      </c>
      <c r="R249" t="s">
        <v>798</v>
      </c>
      <c r="S249" t="s">
        <v>745</v>
      </c>
      <c r="T249" t="s">
        <v>746</v>
      </c>
      <c r="U249" t="s">
        <v>759</v>
      </c>
    </row>
    <row r="250" spans="1:21" hidden="1" x14ac:dyDescent="0.3">
      <c r="A250" s="1" t="s">
        <v>1778</v>
      </c>
      <c r="B250" t="s">
        <v>1505</v>
      </c>
      <c r="C250" t="s">
        <v>750</v>
      </c>
      <c r="D250" t="s">
        <v>986</v>
      </c>
      <c r="E250" t="s">
        <v>568</v>
      </c>
      <c r="F250" t="s">
        <v>987</v>
      </c>
      <c r="G250" t="s">
        <v>753</v>
      </c>
      <c r="H250" t="s">
        <v>715</v>
      </c>
      <c r="I250" t="s">
        <v>1916</v>
      </c>
      <c r="J250" t="s">
        <v>1917</v>
      </c>
      <c r="K250" t="s">
        <v>1918</v>
      </c>
      <c r="L250" t="s">
        <v>765</v>
      </c>
      <c r="M250" t="s">
        <v>720</v>
      </c>
      <c r="N250" t="s">
        <v>721</v>
      </c>
      <c r="O250">
        <v>13</v>
      </c>
      <c r="P250">
        <v>15</v>
      </c>
      <c r="Q250">
        <v>103</v>
      </c>
      <c r="R250" t="s">
        <v>758</v>
      </c>
      <c r="S250" t="s">
        <v>745</v>
      </c>
      <c r="T250" t="s">
        <v>746</v>
      </c>
      <c r="U250" t="s">
        <v>759</v>
      </c>
    </row>
    <row r="251" spans="1:21" hidden="1" x14ac:dyDescent="0.3">
      <c r="A251" s="1" t="s">
        <v>1778</v>
      </c>
      <c r="B251" t="s">
        <v>1505</v>
      </c>
      <c r="C251" t="s">
        <v>750</v>
      </c>
      <c r="D251" t="s">
        <v>991</v>
      </c>
      <c r="E251" t="s">
        <v>568</v>
      </c>
      <c r="F251" t="s">
        <v>992</v>
      </c>
      <c r="G251" t="s">
        <v>753</v>
      </c>
      <c r="H251" t="s">
        <v>715</v>
      </c>
      <c r="I251" t="s">
        <v>1919</v>
      </c>
      <c r="J251" t="s">
        <v>1920</v>
      </c>
      <c r="K251" t="s">
        <v>1921</v>
      </c>
      <c r="L251" t="s">
        <v>765</v>
      </c>
      <c r="M251" t="s">
        <v>720</v>
      </c>
      <c r="N251" t="s">
        <v>721</v>
      </c>
      <c r="O251">
        <v>1</v>
      </c>
      <c r="P251">
        <v>15</v>
      </c>
      <c r="Q251">
        <v>61</v>
      </c>
      <c r="R251" t="s">
        <v>758</v>
      </c>
      <c r="S251" t="s">
        <v>745</v>
      </c>
      <c r="T251" t="s">
        <v>746</v>
      </c>
      <c r="U251" t="s">
        <v>759</v>
      </c>
    </row>
    <row r="252" spans="1:21" hidden="1" x14ac:dyDescent="0.3">
      <c r="A252" s="1" t="s">
        <v>1778</v>
      </c>
      <c r="B252" t="s">
        <v>1505</v>
      </c>
      <c r="C252" t="s">
        <v>750</v>
      </c>
      <c r="D252" t="s">
        <v>996</v>
      </c>
      <c r="E252" t="s">
        <v>568</v>
      </c>
      <c r="F252" t="s">
        <v>997</v>
      </c>
      <c r="G252" t="s">
        <v>794</v>
      </c>
      <c r="H252" t="s">
        <v>715</v>
      </c>
      <c r="I252" t="s">
        <v>1922</v>
      </c>
      <c r="J252" t="s">
        <v>1923</v>
      </c>
      <c r="K252" t="s">
        <v>1924</v>
      </c>
      <c r="L252" t="s">
        <v>826</v>
      </c>
      <c r="M252" t="s">
        <v>720</v>
      </c>
      <c r="N252" t="s">
        <v>721</v>
      </c>
      <c r="O252">
        <v>2</v>
      </c>
      <c r="P252">
        <v>2</v>
      </c>
      <c r="Q252">
        <v>118</v>
      </c>
      <c r="R252" t="s">
        <v>798</v>
      </c>
      <c r="S252" t="s">
        <v>745</v>
      </c>
      <c r="T252" t="s">
        <v>746</v>
      </c>
      <c r="U252" t="s">
        <v>759</v>
      </c>
    </row>
    <row r="253" spans="1:21" hidden="1" x14ac:dyDescent="0.3">
      <c r="A253" s="1" t="s">
        <v>1778</v>
      </c>
      <c r="B253" t="s">
        <v>1505</v>
      </c>
      <c r="C253" t="s">
        <v>750</v>
      </c>
      <c r="D253" t="s">
        <v>1006</v>
      </c>
      <c r="E253" t="s">
        <v>568</v>
      </c>
      <c r="F253" t="s">
        <v>1007</v>
      </c>
      <c r="G253" t="s">
        <v>806</v>
      </c>
      <c r="H253" t="s">
        <v>715</v>
      </c>
      <c r="I253" t="s">
        <v>1925</v>
      </c>
      <c r="J253" t="s">
        <v>1926</v>
      </c>
      <c r="K253" t="s">
        <v>1927</v>
      </c>
      <c r="L253" t="s">
        <v>810</v>
      </c>
      <c r="M253" t="s">
        <v>720</v>
      </c>
      <c r="N253" t="s">
        <v>721</v>
      </c>
      <c r="O253">
        <v>0</v>
      </c>
      <c r="P253">
        <v>3</v>
      </c>
      <c r="Q253">
        <v>9</v>
      </c>
      <c r="R253" t="s">
        <v>798</v>
      </c>
      <c r="S253" t="s">
        <v>745</v>
      </c>
      <c r="T253" t="s">
        <v>746</v>
      </c>
      <c r="U253" t="s">
        <v>759</v>
      </c>
    </row>
    <row r="254" spans="1:21" hidden="1" x14ac:dyDescent="0.3">
      <c r="A254" s="1" t="s">
        <v>1778</v>
      </c>
      <c r="B254" t="s">
        <v>1505</v>
      </c>
      <c r="C254" t="s">
        <v>750</v>
      </c>
      <c r="D254" t="s">
        <v>1012</v>
      </c>
      <c r="E254" t="s">
        <v>568</v>
      </c>
      <c r="F254" t="s">
        <v>1013</v>
      </c>
      <c r="G254" t="s">
        <v>753</v>
      </c>
      <c r="H254" t="s">
        <v>715</v>
      </c>
      <c r="I254" t="s">
        <v>1928</v>
      </c>
      <c r="J254" t="s">
        <v>1929</v>
      </c>
      <c r="K254" t="s">
        <v>1930</v>
      </c>
      <c r="L254" t="s">
        <v>757</v>
      </c>
      <c r="M254" t="s">
        <v>720</v>
      </c>
      <c r="N254" t="s">
        <v>721</v>
      </c>
      <c r="O254">
        <v>21</v>
      </c>
      <c r="P254">
        <v>7</v>
      </c>
      <c r="Q254">
        <v>20</v>
      </c>
      <c r="R254" t="s">
        <v>758</v>
      </c>
      <c r="S254" t="s">
        <v>745</v>
      </c>
      <c r="T254" t="s">
        <v>746</v>
      </c>
      <c r="U254" t="s">
        <v>759</v>
      </c>
    </row>
    <row r="255" spans="1:21" hidden="1" x14ac:dyDescent="0.3">
      <c r="A255" s="1" t="s">
        <v>1778</v>
      </c>
      <c r="B255" t="s">
        <v>1505</v>
      </c>
      <c r="C255" t="s">
        <v>750</v>
      </c>
      <c r="D255" t="s">
        <v>1017</v>
      </c>
      <c r="E255" t="s">
        <v>568</v>
      </c>
      <c r="F255" t="s">
        <v>1018</v>
      </c>
      <c r="G255" t="s">
        <v>753</v>
      </c>
      <c r="H255" t="s">
        <v>715</v>
      </c>
      <c r="I255" t="s">
        <v>1931</v>
      </c>
      <c r="J255" t="s">
        <v>1932</v>
      </c>
      <c r="K255" t="s">
        <v>1933</v>
      </c>
      <c r="L255" t="s">
        <v>765</v>
      </c>
      <c r="M255" t="s">
        <v>720</v>
      </c>
      <c r="N255" t="s">
        <v>721</v>
      </c>
      <c r="O255">
        <v>7</v>
      </c>
      <c r="P255">
        <v>15</v>
      </c>
      <c r="Q255">
        <v>53</v>
      </c>
      <c r="R255" t="s">
        <v>758</v>
      </c>
      <c r="S255" t="s">
        <v>745</v>
      </c>
      <c r="T255" t="s">
        <v>746</v>
      </c>
      <c r="U255" t="s">
        <v>759</v>
      </c>
    </row>
    <row r="256" spans="1:21" hidden="1" x14ac:dyDescent="0.3">
      <c r="A256" s="1" t="s">
        <v>1778</v>
      </c>
      <c r="B256" t="s">
        <v>1505</v>
      </c>
      <c r="C256" t="s">
        <v>750</v>
      </c>
      <c r="D256" t="s">
        <v>1022</v>
      </c>
      <c r="E256" t="s">
        <v>568</v>
      </c>
      <c r="F256" t="s">
        <v>1023</v>
      </c>
      <c r="G256" t="s">
        <v>753</v>
      </c>
      <c r="H256" t="s">
        <v>715</v>
      </c>
      <c r="I256" t="s">
        <v>1934</v>
      </c>
      <c r="J256" t="s">
        <v>1935</v>
      </c>
      <c r="K256" t="s">
        <v>1936</v>
      </c>
      <c r="L256" t="s">
        <v>765</v>
      </c>
      <c r="M256" t="s">
        <v>720</v>
      </c>
      <c r="N256" t="s">
        <v>721</v>
      </c>
      <c r="O256">
        <v>19</v>
      </c>
      <c r="P256">
        <v>15</v>
      </c>
      <c r="Q256">
        <v>71</v>
      </c>
      <c r="R256" t="s">
        <v>758</v>
      </c>
      <c r="S256" t="s">
        <v>745</v>
      </c>
      <c r="T256" t="s">
        <v>746</v>
      </c>
      <c r="U256" t="s">
        <v>759</v>
      </c>
    </row>
    <row r="257" spans="1:21" hidden="1" x14ac:dyDescent="0.3">
      <c r="A257" s="1" t="s">
        <v>1778</v>
      </c>
      <c r="B257" t="s">
        <v>1505</v>
      </c>
      <c r="C257" t="s">
        <v>750</v>
      </c>
      <c r="D257" t="s">
        <v>1027</v>
      </c>
      <c r="E257" t="s">
        <v>568</v>
      </c>
      <c r="F257" t="s">
        <v>1028</v>
      </c>
      <c r="G257" t="s">
        <v>753</v>
      </c>
      <c r="H257" t="s">
        <v>715</v>
      </c>
      <c r="I257" t="s">
        <v>1937</v>
      </c>
      <c r="J257" t="s">
        <v>1938</v>
      </c>
      <c r="K257" t="s">
        <v>1939</v>
      </c>
      <c r="L257" t="s">
        <v>765</v>
      </c>
      <c r="M257" t="s">
        <v>720</v>
      </c>
      <c r="N257" t="s">
        <v>721</v>
      </c>
      <c r="O257">
        <v>16</v>
      </c>
      <c r="P257">
        <v>15</v>
      </c>
      <c r="Q257">
        <v>74</v>
      </c>
      <c r="R257" t="s">
        <v>758</v>
      </c>
      <c r="S257" t="s">
        <v>745</v>
      </c>
      <c r="T257" t="s">
        <v>746</v>
      </c>
      <c r="U257" t="s">
        <v>1011</v>
      </c>
    </row>
    <row r="258" spans="1:21" hidden="1" x14ac:dyDescent="0.3">
      <c r="A258" s="1" t="s">
        <v>1778</v>
      </c>
      <c r="B258" t="s">
        <v>1505</v>
      </c>
      <c r="C258" t="s">
        <v>750</v>
      </c>
      <c r="D258" t="s">
        <v>1037</v>
      </c>
      <c r="E258" t="s">
        <v>568</v>
      </c>
      <c r="F258" t="s">
        <v>1038</v>
      </c>
      <c r="G258" t="s">
        <v>753</v>
      </c>
      <c r="H258" t="s">
        <v>715</v>
      </c>
      <c r="I258" t="s">
        <v>1940</v>
      </c>
      <c r="J258" t="s">
        <v>1941</v>
      </c>
      <c r="K258" t="s">
        <v>1942</v>
      </c>
      <c r="L258" t="s">
        <v>757</v>
      </c>
      <c r="M258" t="s">
        <v>720</v>
      </c>
      <c r="N258" t="s">
        <v>721</v>
      </c>
      <c r="O258">
        <v>1</v>
      </c>
      <c r="P258">
        <v>7</v>
      </c>
      <c r="Q258">
        <v>34</v>
      </c>
      <c r="R258" t="s">
        <v>758</v>
      </c>
      <c r="S258" t="s">
        <v>745</v>
      </c>
      <c r="T258" t="s">
        <v>746</v>
      </c>
      <c r="U258" t="s">
        <v>1011</v>
      </c>
    </row>
    <row r="259" spans="1:21" hidden="1" x14ac:dyDescent="0.3">
      <c r="A259" s="1" t="s">
        <v>1778</v>
      </c>
      <c r="B259" t="s">
        <v>1505</v>
      </c>
      <c r="C259" t="s">
        <v>750</v>
      </c>
      <c r="D259" t="s">
        <v>1943</v>
      </c>
      <c r="E259" t="s">
        <v>568</v>
      </c>
      <c r="F259" t="s">
        <v>1401</v>
      </c>
      <c r="G259" t="s">
        <v>794</v>
      </c>
      <c r="H259" t="s">
        <v>715</v>
      </c>
      <c r="I259" t="s">
        <v>1944</v>
      </c>
      <c r="J259" t="s">
        <v>1945</v>
      </c>
      <c r="K259" t="s">
        <v>1946</v>
      </c>
      <c r="L259" t="s">
        <v>741</v>
      </c>
      <c r="M259" t="s">
        <v>720</v>
      </c>
      <c r="N259" t="s">
        <v>743</v>
      </c>
      <c r="O259">
        <v>4</v>
      </c>
      <c r="P259">
        <v>0</v>
      </c>
      <c r="Q259">
        <v>90</v>
      </c>
      <c r="R259" t="s">
        <v>798</v>
      </c>
      <c r="S259" t="s">
        <v>745</v>
      </c>
      <c r="T259" t="s">
        <v>746</v>
      </c>
      <c r="U259" t="s">
        <v>759</v>
      </c>
    </row>
    <row r="260" spans="1:21" hidden="1" x14ac:dyDescent="0.3">
      <c r="A260" s="1" t="s">
        <v>1778</v>
      </c>
      <c r="B260" t="s">
        <v>1505</v>
      </c>
      <c r="C260" t="s">
        <v>750</v>
      </c>
      <c r="D260" t="s">
        <v>1042</v>
      </c>
      <c r="E260" t="s">
        <v>568</v>
      </c>
      <c r="F260" t="s">
        <v>1043</v>
      </c>
      <c r="G260" t="s">
        <v>794</v>
      </c>
      <c r="H260" t="s">
        <v>715</v>
      </c>
      <c r="I260" t="s">
        <v>1947</v>
      </c>
      <c r="J260" t="s">
        <v>1948</v>
      </c>
      <c r="K260" t="s">
        <v>1949</v>
      </c>
      <c r="L260" t="s">
        <v>826</v>
      </c>
      <c r="M260" t="s">
        <v>720</v>
      </c>
      <c r="N260" t="s">
        <v>721</v>
      </c>
      <c r="O260">
        <v>1</v>
      </c>
      <c r="P260">
        <v>2</v>
      </c>
      <c r="Q260">
        <v>0</v>
      </c>
      <c r="R260" t="s">
        <v>798</v>
      </c>
      <c r="S260" t="s">
        <v>745</v>
      </c>
      <c r="T260" t="s">
        <v>746</v>
      </c>
      <c r="U260" t="s">
        <v>759</v>
      </c>
    </row>
    <row r="261" spans="1:21" hidden="1" x14ac:dyDescent="0.3">
      <c r="A261" s="1" t="s">
        <v>1778</v>
      </c>
      <c r="B261" t="s">
        <v>1505</v>
      </c>
      <c r="C261" t="s">
        <v>750</v>
      </c>
      <c r="D261" t="s">
        <v>1950</v>
      </c>
      <c r="E261" t="s">
        <v>568</v>
      </c>
      <c r="F261" t="s">
        <v>1408</v>
      </c>
      <c r="G261" t="s">
        <v>753</v>
      </c>
      <c r="H261" t="s">
        <v>715</v>
      </c>
      <c r="I261" t="s">
        <v>1951</v>
      </c>
      <c r="J261" t="s">
        <v>1952</v>
      </c>
      <c r="K261" t="s">
        <v>1953</v>
      </c>
      <c r="L261" t="s">
        <v>757</v>
      </c>
      <c r="M261" t="s">
        <v>720</v>
      </c>
      <c r="N261" t="s">
        <v>721</v>
      </c>
      <c r="O261">
        <v>9</v>
      </c>
      <c r="P261">
        <v>7</v>
      </c>
      <c r="Q261">
        <v>85</v>
      </c>
      <c r="R261" t="s">
        <v>758</v>
      </c>
      <c r="S261" t="s">
        <v>745</v>
      </c>
      <c r="T261" t="s">
        <v>746</v>
      </c>
      <c r="U261" t="s">
        <v>759</v>
      </c>
    </row>
    <row r="262" spans="1:21" hidden="1" x14ac:dyDescent="0.3">
      <c r="A262" s="1" t="s">
        <v>1778</v>
      </c>
      <c r="B262" t="s">
        <v>1505</v>
      </c>
      <c r="C262" t="s">
        <v>750</v>
      </c>
      <c r="D262" t="s">
        <v>1052</v>
      </c>
      <c r="E262" t="s">
        <v>568</v>
      </c>
      <c r="F262" t="s">
        <v>1053</v>
      </c>
      <c r="G262" t="s">
        <v>794</v>
      </c>
      <c r="H262" t="s">
        <v>715</v>
      </c>
      <c r="I262" t="s">
        <v>1954</v>
      </c>
      <c r="J262" t="s">
        <v>1955</v>
      </c>
      <c r="K262" t="s">
        <v>1956</v>
      </c>
      <c r="L262" t="s">
        <v>826</v>
      </c>
      <c r="M262" t="s">
        <v>720</v>
      </c>
      <c r="N262" t="s">
        <v>721</v>
      </c>
      <c r="O262">
        <v>0</v>
      </c>
      <c r="P262">
        <v>2</v>
      </c>
      <c r="Q262">
        <v>42</v>
      </c>
      <c r="R262" t="s">
        <v>798</v>
      </c>
      <c r="S262" t="s">
        <v>745</v>
      </c>
      <c r="T262" t="s">
        <v>746</v>
      </c>
      <c r="U262" t="s">
        <v>759</v>
      </c>
    </row>
    <row r="263" spans="1:21" hidden="1" x14ac:dyDescent="0.3">
      <c r="A263" s="1" t="s">
        <v>1778</v>
      </c>
      <c r="B263" t="s">
        <v>1505</v>
      </c>
      <c r="C263" t="s">
        <v>750</v>
      </c>
      <c r="D263" t="s">
        <v>1057</v>
      </c>
      <c r="E263" t="s">
        <v>568</v>
      </c>
      <c r="F263" t="s">
        <v>1058</v>
      </c>
      <c r="G263" t="s">
        <v>753</v>
      </c>
      <c r="H263" t="s">
        <v>715</v>
      </c>
      <c r="I263" t="s">
        <v>1957</v>
      </c>
      <c r="J263" t="s">
        <v>1958</v>
      </c>
      <c r="K263" t="s">
        <v>1959</v>
      </c>
      <c r="L263" t="s">
        <v>757</v>
      </c>
      <c r="M263" t="s">
        <v>720</v>
      </c>
      <c r="N263" t="s">
        <v>721</v>
      </c>
      <c r="O263">
        <v>30</v>
      </c>
      <c r="P263">
        <v>7</v>
      </c>
      <c r="Q263">
        <v>92</v>
      </c>
      <c r="R263" t="s">
        <v>758</v>
      </c>
      <c r="S263" t="s">
        <v>745</v>
      </c>
      <c r="T263" t="s">
        <v>746</v>
      </c>
      <c r="U263" t="s">
        <v>759</v>
      </c>
    </row>
    <row r="264" spans="1:21" hidden="1" x14ac:dyDescent="0.3">
      <c r="A264" s="1" t="s">
        <v>1778</v>
      </c>
      <c r="B264" t="s">
        <v>1505</v>
      </c>
      <c r="C264" t="s">
        <v>750</v>
      </c>
      <c r="D264" t="s">
        <v>1067</v>
      </c>
      <c r="E264" t="s">
        <v>568</v>
      </c>
      <c r="F264" t="s">
        <v>1068</v>
      </c>
      <c r="G264" t="s">
        <v>794</v>
      </c>
      <c r="H264" t="s">
        <v>715</v>
      </c>
      <c r="I264" t="s">
        <v>1960</v>
      </c>
      <c r="J264" t="s">
        <v>1961</v>
      </c>
      <c r="K264" t="s">
        <v>1962</v>
      </c>
      <c r="L264" t="s">
        <v>826</v>
      </c>
      <c r="M264" t="s">
        <v>720</v>
      </c>
      <c r="N264" t="s">
        <v>721</v>
      </c>
      <c r="O264">
        <v>1</v>
      </c>
      <c r="P264">
        <v>2</v>
      </c>
      <c r="Q264">
        <v>80</v>
      </c>
      <c r="R264" t="s">
        <v>798</v>
      </c>
      <c r="S264" t="s">
        <v>745</v>
      </c>
      <c r="T264" t="s">
        <v>746</v>
      </c>
      <c r="U264" t="s">
        <v>759</v>
      </c>
    </row>
    <row r="265" spans="1:21" hidden="1" x14ac:dyDescent="0.3">
      <c r="A265" s="1" t="s">
        <v>1778</v>
      </c>
      <c r="B265" t="s">
        <v>1505</v>
      </c>
      <c r="C265" t="s">
        <v>750</v>
      </c>
      <c r="D265" t="s">
        <v>1072</v>
      </c>
      <c r="E265" t="s">
        <v>568</v>
      </c>
      <c r="F265" t="s">
        <v>1073</v>
      </c>
      <c r="G265" t="s">
        <v>753</v>
      </c>
      <c r="H265" t="s">
        <v>715</v>
      </c>
      <c r="I265" t="s">
        <v>1963</v>
      </c>
      <c r="J265" t="s">
        <v>1964</v>
      </c>
      <c r="K265" t="s">
        <v>1965</v>
      </c>
      <c r="L265" t="s">
        <v>757</v>
      </c>
      <c r="M265" t="s">
        <v>720</v>
      </c>
      <c r="N265" t="s">
        <v>721</v>
      </c>
      <c r="O265">
        <v>0</v>
      </c>
      <c r="P265">
        <v>7</v>
      </c>
      <c r="Q265">
        <v>64</v>
      </c>
      <c r="R265" t="s">
        <v>758</v>
      </c>
      <c r="S265" t="s">
        <v>745</v>
      </c>
      <c r="T265" t="s">
        <v>746</v>
      </c>
      <c r="U265" t="s">
        <v>759</v>
      </c>
    </row>
    <row r="266" spans="1:21" hidden="1" x14ac:dyDescent="0.3">
      <c r="A266" s="1" t="s">
        <v>1778</v>
      </c>
      <c r="B266" t="s">
        <v>1505</v>
      </c>
      <c r="C266" t="s">
        <v>750</v>
      </c>
      <c r="D266" t="s">
        <v>1077</v>
      </c>
      <c r="E266" t="s">
        <v>568</v>
      </c>
      <c r="F266" t="s">
        <v>1078</v>
      </c>
      <c r="G266" t="s">
        <v>753</v>
      </c>
      <c r="H266" t="s">
        <v>715</v>
      </c>
      <c r="I266" t="s">
        <v>1966</v>
      </c>
      <c r="J266" t="s">
        <v>1967</v>
      </c>
      <c r="K266" t="s">
        <v>1968</v>
      </c>
      <c r="L266" t="s">
        <v>765</v>
      </c>
      <c r="M266" t="s">
        <v>720</v>
      </c>
      <c r="N266" t="s">
        <v>721</v>
      </c>
      <c r="O266">
        <v>4</v>
      </c>
      <c r="P266">
        <v>15</v>
      </c>
      <c r="Q266">
        <v>90</v>
      </c>
      <c r="R266" t="s">
        <v>758</v>
      </c>
      <c r="S266" t="s">
        <v>745</v>
      </c>
      <c r="T266" t="s">
        <v>746</v>
      </c>
      <c r="U266" t="s">
        <v>759</v>
      </c>
    </row>
    <row r="267" spans="1:21" hidden="1" x14ac:dyDescent="0.3">
      <c r="A267" s="1" t="s">
        <v>1778</v>
      </c>
      <c r="B267" t="s">
        <v>1505</v>
      </c>
      <c r="C267" t="s">
        <v>750</v>
      </c>
      <c r="D267" t="s">
        <v>1084</v>
      </c>
      <c r="E267" t="s">
        <v>568</v>
      </c>
      <c r="F267" t="s">
        <v>1085</v>
      </c>
      <c r="G267" t="s">
        <v>753</v>
      </c>
      <c r="H267" t="s">
        <v>715</v>
      </c>
      <c r="I267" t="s">
        <v>1969</v>
      </c>
      <c r="J267" t="s">
        <v>1970</v>
      </c>
      <c r="K267" t="s">
        <v>1971</v>
      </c>
      <c r="L267" t="s">
        <v>765</v>
      </c>
      <c r="M267" t="s">
        <v>720</v>
      </c>
      <c r="N267" t="s">
        <v>721</v>
      </c>
      <c r="O267">
        <v>12</v>
      </c>
      <c r="P267">
        <v>15</v>
      </c>
      <c r="Q267">
        <v>14</v>
      </c>
      <c r="R267" t="s">
        <v>758</v>
      </c>
      <c r="S267" t="s">
        <v>745</v>
      </c>
      <c r="T267" t="s">
        <v>746</v>
      </c>
      <c r="U267" t="s">
        <v>759</v>
      </c>
    </row>
    <row r="268" spans="1:21" hidden="1" x14ac:dyDescent="0.3">
      <c r="A268" s="1" t="s">
        <v>1778</v>
      </c>
      <c r="B268" t="s">
        <v>1505</v>
      </c>
      <c r="C268" t="s">
        <v>750</v>
      </c>
      <c r="D268" t="s">
        <v>1089</v>
      </c>
      <c r="E268" t="s">
        <v>568</v>
      </c>
      <c r="F268" t="s">
        <v>1090</v>
      </c>
      <c r="G268" t="s">
        <v>753</v>
      </c>
      <c r="H268" t="s">
        <v>715</v>
      </c>
      <c r="I268" t="s">
        <v>1972</v>
      </c>
      <c r="J268" t="s">
        <v>1092</v>
      </c>
      <c r="K268" t="s">
        <v>1973</v>
      </c>
      <c r="L268" t="s">
        <v>765</v>
      </c>
      <c r="M268" t="s">
        <v>720</v>
      </c>
      <c r="N268" t="s">
        <v>721</v>
      </c>
      <c r="O268">
        <v>1</v>
      </c>
      <c r="P268">
        <v>15</v>
      </c>
      <c r="Q268">
        <v>52</v>
      </c>
      <c r="R268" t="s">
        <v>758</v>
      </c>
      <c r="S268" t="s">
        <v>745</v>
      </c>
      <c r="T268" t="s">
        <v>746</v>
      </c>
      <c r="U268" t="s">
        <v>759</v>
      </c>
    </row>
    <row r="269" spans="1:21" hidden="1" x14ac:dyDescent="0.3">
      <c r="A269" s="1" t="s">
        <v>1778</v>
      </c>
      <c r="B269" t="s">
        <v>1505</v>
      </c>
      <c r="C269" t="s">
        <v>750</v>
      </c>
      <c r="D269" t="s">
        <v>1094</v>
      </c>
      <c r="E269" t="s">
        <v>568</v>
      </c>
      <c r="F269" t="s">
        <v>1095</v>
      </c>
      <c r="G269" t="s">
        <v>753</v>
      </c>
      <c r="H269" t="s">
        <v>715</v>
      </c>
      <c r="I269" t="s">
        <v>1974</v>
      </c>
      <c r="J269" t="s">
        <v>1975</v>
      </c>
      <c r="K269" t="s">
        <v>1976</v>
      </c>
      <c r="L269" t="s">
        <v>765</v>
      </c>
      <c r="M269" t="s">
        <v>720</v>
      </c>
      <c r="N269" t="s">
        <v>721</v>
      </c>
      <c r="O269">
        <v>4</v>
      </c>
      <c r="P269">
        <v>15</v>
      </c>
      <c r="Q269">
        <v>24</v>
      </c>
      <c r="R269" t="s">
        <v>758</v>
      </c>
      <c r="S269" t="s">
        <v>745</v>
      </c>
      <c r="T269" t="s">
        <v>746</v>
      </c>
      <c r="U269" t="s">
        <v>759</v>
      </c>
    </row>
    <row r="270" spans="1:21" hidden="1" x14ac:dyDescent="0.3">
      <c r="A270" s="1" t="s">
        <v>1778</v>
      </c>
      <c r="B270" t="s">
        <v>1505</v>
      </c>
      <c r="C270" t="s">
        <v>750</v>
      </c>
      <c r="D270" t="s">
        <v>1099</v>
      </c>
      <c r="E270" t="s">
        <v>568</v>
      </c>
      <c r="F270" t="s">
        <v>1100</v>
      </c>
      <c r="G270" t="s">
        <v>753</v>
      </c>
      <c r="H270" t="s">
        <v>715</v>
      </c>
      <c r="I270" t="s">
        <v>1977</v>
      </c>
      <c r="J270" t="s">
        <v>1978</v>
      </c>
      <c r="K270" t="s">
        <v>1979</v>
      </c>
      <c r="L270" t="s">
        <v>765</v>
      </c>
      <c r="M270" t="s">
        <v>720</v>
      </c>
      <c r="N270" t="s">
        <v>721</v>
      </c>
      <c r="O270">
        <v>0</v>
      </c>
      <c r="P270">
        <v>15</v>
      </c>
      <c r="Q270">
        <v>99</v>
      </c>
      <c r="R270" t="s">
        <v>758</v>
      </c>
      <c r="S270" t="s">
        <v>745</v>
      </c>
      <c r="T270" t="s">
        <v>746</v>
      </c>
      <c r="U270" t="s">
        <v>759</v>
      </c>
    </row>
    <row r="271" spans="1:21" hidden="1" x14ac:dyDescent="0.3">
      <c r="A271" s="1" t="s">
        <v>1778</v>
      </c>
      <c r="B271" t="s">
        <v>1505</v>
      </c>
      <c r="C271" t="s">
        <v>750</v>
      </c>
      <c r="D271" t="s">
        <v>1104</v>
      </c>
      <c r="E271" t="s">
        <v>568</v>
      </c>
      <c r="F271" t="s">
        <v>1105</v>
      </c>
      <c r="G271" t="s">
        <v>753</v>
      </c>
      <c r="H271" t="s">
        <v>715</v>
      </c>
      <c r="I271" t="s">
        <v>1980</v>
      </c>
      <c r="J271" t="s">
        <v>1981</v>
      </c>
      <c r="K271" t="s">
        <v>1982</v>
      </c>
      <c r="L271" t="s">
        <v>757</v>
      </c>
      <c r="M271" t="s">
        <v>720</v>
      </c>
      <c r="N271" t="s">
        <v>721</v>
      </c>
      <c r="O271">
        <v>3</v>
      </c>
      <c r="P271">
        <v>7</v>
      </c>
      <c r="Q271">
        <v>102</v>
      </c>
      <c r="R271" t="s">
        <v>758</v>
      </c>
      <c r="S271" t="s">
        <v>745</v>
      </c>
      <c r="T271" t="s">
        <v>746</v>
      </c>
      <c r="U271" t="s">
        <v>759</v>
      </c>
    </row>
    <row r="272" spans="1:21" hidden="1" x14ac:dyDescent="0.3">
      <c r="A272" s="1" t="s">
        <v>1778</v>
      </c>
      <c r="B272" t="s">
        <v>1505</v>
      </c>
      <c r="C272" t="s">
        <v>750</v>
      </c>
      <c r="D272" t="s">
        <v>1109</v>
      </c>
      <c r="E272" t="s">
        <v>568</v>
      </c>
      <c r="F272" t="s">
        <v>1110</v>
      </c>
      <c r="G272" t="s">
        <v>753</v>
      </c>
      <c r="H272" t="s">
        <v>715</v>
      </c>
      <c r="I272" t="s">
        <v>1983</v>
      </c>
      <c r="J272" t="s">
        <v>1984</v>
      </c>
      <c r="K272" t="s">
        <v>1985</v>
      </c>
      <c r="L272" t="s">
        <v>765</v>
      </c>
      <c r="M272" t="s">
        <v>720</v>
      </c>
      <c r="N272" t="s">
        <v>721</v>
      </c>
      <c r="O272">
        <v>3</v>
      </c>
      <c r="P272">
        <v>15</v>
      </c>
      <c r="Q272">
        <v>44</v>
      </c>
      <c r="R272" t="s">
        <v>758</v>
      </c>
      <c r="S272" t="s">
        <v>745</v>
      </c>
      <c r="T272" t="s">
        <v>746</v>
      </c>
      <c r="U272" t="s">
        <v>759</v>
      </c>
    </row>
    <row r="273" spans="1:21" hidden="1" x14ac:dyDescent="0.3">
      <c r="A273" s="1" t="s">
        <v>1778</v>
      </c>
      <c r="B273" t="s">
        <v>1505</v>
      </c>
      <c r="C273" t="s">
        <v>750</v>
      </c>
      <c r="D273" t="s">
        <v>1114</v>
      </c>
      <c r="E273" t="s">
        <v>568</v>
      </c>
      <c r="F273" t="s">
        <v>1115</v>
      </c>
      <c r="G273" t="s">
        <v>753</v>
      </c>
      <c r="H273" t="s">
        <v>715</v>
      </c>
      <c r="I273" t="s">
        <v>1986</v>
      </c>
      <c r="J273" t="s">
        <v>1987</v>
      </c>
      <c r="K273" t="s">
        <v>1988</v>
      </c>
      <c r="L273" t="s">
        <v>757</v>
      </c>
      <c r="M273" t="s">
        <v>720</v>
      </c>
      <c r="N273" t="s">
        <v>721</v>
      </c>
      <c r="O273">
        <v>3</v>
      </c>
      <c r="P273">
        <v>7</v>
      </c>
      <c r="Q273">
        <v>76</v>
      </c>
      <c r="R273" t="s">
        <v>758</v>
      </c>
      <c r="S273" t="s">
        <v>745</v>
      </c>
      <c r="T273" t="s">
        <v>746</v>
      </c>
      <c r="U273" t="s">
        <v>759</v>
      </c>
    </row>
    <row r="274" spans="1:21" hidden="1" x14ac:dyDescent="0.3">
      <c r="A274" s="1" t="s">
        <v>1778</v>
      </c>
      <c r="B274" t="s">
        <v>1505</v>
      </c>
      <c r="C274" t="s">
        <v>750</v>
      </c>
      <c r="D274" t="s">
        <v>1119</v>
      </c>
      <c r="E274" t="s">
        <v>568</v>
      </c>
      <c r="F274" t="s">
        <v>728</v>
      </c>
      <c r="G274" t="s">
        <v>753</v>
      </c>
      <c r="H274" t="s">
        <v>715</v>
      </c>
      <c r="I274" t="s">
        <v>1989</v>
      </c>
      <c r="J274" t="s">
        <v>1990</v>
      </c>
      <c r="K274" t="s">
        <v>1991</v>
      </c>
      <c r="L274" t="s">
        <v>757</v>
      </c>
      <c r="M274" t="s">
        <v>720</v>
      </c>
      <c r="N274" t="s">
        <v>721</v>
      </c>
      <c r="O274">
        <v>1</v>
      </c>
      <c r="P274">
        <v>7</v>
      </c>
      <c r="Q274">
        <v>76</v>
      </c>
      <c r="R274" t="s">
        <v>758</v>
      </c>
      <c r="S274" t="s">
        <v>745</v>
      </c>
      <c r="T274" t="s">
        <v>746</v>
      </c>
      <c r="U274" t="s">
        <v>759</v>
      </c>
    </row>
    <row r="275" spans="1:21" hidden="1" x14ac:dyDescent="0.3">
      <c r="A275" s="1" t="s">
        <v>1778</v>
      </c>
      <c r="B275" t="s">
        <v>1505</v>
      </c>
      <c r="C275" t="s">
        <v>750</v>
      </c>
      <c r="D275" t="s">
        <v>1123</v>
      </c>
      <c r="E275" t="s">
        <v>568</v>
      </c>
      <c r="F275" t="s">
        <v>1124</v>
      </c>
      <c r="G275" t="s">
        <v>753</v>
      </c>
      <c r="H275" t="s">
        <v>715</v>
      </c>
      <c r="I275" t="s">
        <v>1992</v>
      </c>
      <c r="J275" t="s">
        <v>1993</v>
      </c>
      <c r="K275" t="s">
        <v>1994</v>
      </c>
      <c r="L275" t="s">
        <v>765</v>
      </c>
      <c r="M275" t="s">
        <v>720</v>
      </c>
      <c r="N275" t="s">
        <v>721</v>
      </c>
      <c r="O275">
        <v>1</v>
      </c>
      <c r="P275">
        <v>15</v>
      </c>
      <c r="Q275">
        <v>91</v>
      </c>
      <c r="R275" t="s">
        <v>758</v>
      </c>
      <c r="S275" t="s">
        <v>745</v>
      </c>
      <c r="T275" t="s">
        <v>746</v>
      </c>
      <c r="U275" t="s">
        <v>759</v>
      </c>
    </row>
    <row r="276" spans="1:21" hidden="1" x14ac:dyDescent="0.3">
      <c r="A276" s="1" t="s">
        <v>1778</v>
      </c>
      <c r="B276" t="s">
        <v>1505</v>
      </c>
      <c r="C276" t="s">
        <v>750</v>
      </c>
      <c r="D276" t="s">
        <v>1128</v>
      </c>
      <c r="E276" t="s">
        <v>568</v>
      </c>
      <c r="F276" t="s">
        <v>1129</v>
      </c>
      <c r="G276" t="s">
        <v>794</v>
      </c>
      <c r="H276" t="s">
        <v>715</v>
      </c>
      <c r="I276" t="s">
        <v>1995</v>
      </c>
      <c r="J276" t="s">
        <v>1996</v>
      </c>
      <c r="K276" t="s">
        <v>1997</v>
      </c>
      <c r="L276" t="s">
        <v>826</v>
      </c>
      <c r="M276" t="s">
        <v>720</v>
      </c>
      <c r="N276" t="s">
        <v>721</v>
      </c>
      <c r="O276">
        <v>1</v>
      </c>
      <c r="P276">
        <v>10</v>
      </c>
      <c r="Q276">
        <v>41</v>
      </c>
      <c r="R276" t="s">
        <v>722</v>
      </c>
      <c r="S276" t="s">
        <v>745</v>
      </c>
      <c r="T276" t="s">
        <v>746</v>
      </c>
      <c r="U276" t="s">
        <v>759</v>
      </c>
    </row>
    <row r="277" spans="1:21" hidden="1" x14ac:dyDescent="0.3">
      <c r="A277" s="1" t="s">
        <v>1778</v>
      </c>
      <c r="B277" t="s">
        <v>1505</v>
      </c>
      <c r="C277" t="s">
        <v>750</v>
      </c>
      <c r="D277" t="s">
        <v>1133</v>
      </c>
      <c r="E277" t="s">
        <v>568</v>
      </c>
      <c r="F277" t="s">
        <v>1134</v>
      </c>
      <c r="G277" t="s">
        <v>714</v>
      </c>
      <c r="H277" t="s">
        <v>715</v>
      </c>
      <c r="I277" t="s">
        <v>1998</v>
      </c>
      <c r="J277" t="s">
        <v>1999</v>
      </c>
      <c r="K277" t="s">
        <v>2000</v>
      </c>
      <c r="L277" t="s">
        <v>1082</v>
      </c>
      <c r="M277" t="s">
        <v>720</v>
      </c>
      <c r="N277" t="s">
        <v>721</v>
      </c>
      <c r="O277">
        <v>0</v>
      </c>
      <c r="P277">
        <v>0</v>
      </c>
      <c r="Q277">
        <v>56</v>
      </c>
      <c r="R277" t="s">
        <v>798</v>
      </c>
      <c r="S277" t="s">
        <v>723</v>
      </c>
      <c r="T277" t="s">
        <v>1083</v>
      </c>
      <c r="U277" t="s">
        <v>707</v>
      </c>
    </row>
    <row r="278" spans="1:21" hidden="1" x14ac:dyDescent="0.3">
      <c r="A278" s="1" t="s">
        <v>1778</v>
      </c>
      <c r="B278" t="s">
        <v>1505</v>
      </c>
      <c r="C278" t="s">
        <v>750</v>
      </c>
      <c r="D278" t="s">
        <v>1138</v>
      </c>
      <c r="E278" t="s">
        <v>568</v>
      </c>
      <c r="F278" t="s">
        <v>1139</v>
      </c>
      <c r="G278" t="s">
        <v>753</v>
      </c>
      <c r="H278" t="s">
        <v>715</v>
      </c>
      <c r="I278" t="s">
        <v>2001</v>
      </c>
      <c r="J278" t="s">
        <v>2002</v>
      </c>
      <c r="K278" t="s">
        <v>2003</v>
      </c>
      <c r="L278" t="s">
        <v>757</v>
      </c>
      <c r="M278" t="s">
        <v>720</v>
      </c>
      <c r="N278" t="s">
        <v>721</v>
      </c>
      <c r="O278">
        <v>0</v>
      </c>
      <c r="P278">
        <v>7</v>
      </c>
      <c r="Q278">
        <v>103</v>
      </c>
      <c r="R278" t="s">
        <v>758</v>
      </c>
      <c r="S278" t="s">
        <v>745</v>
      </c>
      <c r="T278" t="s">
        <v>746</v>
      </c>
      <c r="U278" t="s">
        <v>759</v>
      </c>
    </row>
    <row r="279" spans="1:21" hidden="1" x14ac:dyDescent="0.3">
      <c r="A279" s="1" t="s">
        <v>1778</v>
      </c>
      <c r="B279" t="s">
        <v>1505</v>
      </c>
      <c r="C279" t="s">
        <v>750</v>
      </c>
      <c r="D279" t="s">
        <v>1148</v>
      </c>
      <c r="E279" t="s">
        <v>568</v>
      </c>
      <c r="F279" t="s">
        <v>1149</v>
      </c>
      <c r="G279" t="s">
        <v>753</v>
      </c>
      <c r="H279" t="s">
        <v>715</v>
      </c>
      <c r="I279" t="s">
        <v>2004</v>
      </c>
      <c r="J279" t="s">
        <v>2005</v>
      </c>
      <c r="K279" t="s">
        <v>2006</v>
      </c>
      <c r="L279" t="s">
        <v>765</v>
      </c>
      <c r="M279" t="s">
        <v>720</v>
      </c>
      <c r="N279" t="s">
        <v>721</v>
      </c>
      <c r="O279">
        <v>2</v>
      </c>
      <c r="P279">
        <v>15</v>
      </c>
      <c r="Q279">
        <v>14</v>
      </c>
      <c r="R279" t="s">
        <v>758</v>
      </c>
      <c r="S279" t="s">
        <v>745</v>
      </c>
      <c r="T279" t="s">
        <v>746</v>
      </c>
      <c r="U279" t="s">
        <v>759</v>
      </c>
    </row>
    <row r="280" spans="1:21" hidden="1" x14ac:dyDescent="0.3">
      <c r="A280" s="1" t="s">
        <v>1778</v>
      </c>
      <c r="B280" t="s">
        <v>1505</v>
      </c>
      <c r="C280" t="s">
        <v>750</v>
      </c>
      <c r="D280" t="s">
        <v>1153</v>
      </c>
      <c r="E280" t="s">
        <v>568</v>
      </c>
      <c r="F280" t="s">
        <v>1154</v>
      </c>
      <c r="G280" t="s">
        <v>794</v>
      </c>
      <c r="H280" t="s">
        <v>715</v>
      </c>
      <c r="I280" t="s">
        <v>2007</v>
      </c>
      <c r="J280" t="s">
        <v>2008</v>
      </c>
      <c r="K280" t="s">
        <v>2009</v>
      </c>
      <c r="L280" t="s">
        <v>826</v>
      </c>
      <c r="M280" t="s">
        <v>720</v>
      </c>
      <c r="N280" t="s">
        <v>721</v>
      </c>
      <c r="O280">
        <v>3</v>
      </c>
      <c r="P280">
        <v>2</v>
      </c>
      <c r="Q280">
        <v>112</v>
      </c>
      <c r="R280" t="s">
        <v>798</v>
      </c>
      <c r="S280" t="s">
        <v>745</v>
      </c>
      <c r="T280" t="s">
        <v>746</v>
      </c>
      <c r="U280" t="s">
        <v>759</v>
      </c>
    </row>
    <row r="281" spans="1:21" hidden="1" x14ac:dyDescent="0.3">
      <c r="A281" s="1" t="s">
        <v>1778</v>
      </c>
      <c r="B281" t="s">
        <v>1505</v>
      </c>
      <c r="C281" t="s">
        <v>750</v>
      </c>
      <c r="D281" t="s">
        <v>2010</v>
      </c>
      <c r="E281" t="s">
        <v>568</v>
      </c>
      <c r="F281" t="s">
        <v>1423</v>
      </c>
      <c r="G281" t="s">
        <v>753</v>
      </c>
      <c r="H281" t="s">
        <v>715</v>
      </c>
      <c r="I281" t="s">
        <v>2011</v>
      </c>
      <c r="J281" t="s">
        <v>2012</v>
      </c>
      <c r="K281" t="s">
        <v>2013</v>
      </c>
      <c r="L281" t="s">
        <v>765</v>
      </c>
      <c r="M281" t="s">
        <v>720</v>
      </c>
      <c r="N281" t="s">
        <v>721</v>
      </c>
      <c r="O281">
        <v>9</v>
      </c>
      <c r="P281">
        <v>15</v>
      </c>
      <c r="Q281">
        <v>39</v>
      </c>
      <c r="R281" t="s">
        <v>758</v>
      </c>
      <c r="S281" t="s">
        <v>745</v>
      </c>
      <c r="T281" t="s">
        <v>746</v>
      </c>
      <c r="U281" t="s">
        <v>759</v>
      </c>
    </row>
    <row r="282" spans="1:21" hidden="1" x14ac:dyDescent="0.3">
      <c r="A282" s="1" t="s">
        <v>1778</v>
      </c>
      <c r="B282" t="s">
        <v>1505</v>
      </c>
      <c r="C282" t="s">
        <v>750</v>
      </c>
      <c r="D282" t="s">
        <v>1158</v>
      </c>
      <c r="E282" t="s">
        <v>568</v>
      </c>
      <c r="F282" t="s">
        <v>1159</v>
      </c>
      <c r="G282" t="s">
        <v>794</v>
      </c>
      <c r="H282" t="s">
        <v>715</v>
      </c>
      <c r="I282" t="s">
        <v>2014</v>
      </c>
      <c r="J282" t="s">
        <v>2015</v>
      </c>
      <c r="K282" t="s">
        <v>2016</v>
      </c>
      <c r="L282" t="s">
        <v>826</v>
      </c>
      <c r="M282" t="s">
        <v>720</v>
      </c>
      <c r="N282" t="s">
        <v>721</v>
      </c>
      <c r="O282">
        <v>4</v>
      </c>
      <c r="P282">
        <v>2</v>
      </c>
      <c r="Q282">
        <v>42</v>
      </c>
      <c r="R282" t="s">
        <v>798</v>
      </c>
      <c r="S282" t="s">
        <v>745</v>
      </c>
      <c r="T282" t="s">
        <v>746</v>
      </c>
      <c r="U282" t="s">
        <v>759</v>
      </c>
    </row>
    <row r="283" spans="1:21" hidden="1" x14ac:dyDescent="0.3">
      <c r="A283" s="1" t="s">
        <v>1778</v>
      </c>
      <c r="B283" t="s">
        <v>1505</v>
      </c>
      <c r="C283" t="s">
        <v>750</v>
      </c>
      <c r="D283" t="s">
        <v>1163</v>
      </c>
      <c r="E283" t="s">
        <v>568</v>
      </c>
      <c r="F283" t="s">
        <v>1164</v>
      </c>
      <c r="G283" t="s">
        <v>753</v>
      </c>
      <c r="H283" t="s">
        <v>715</v>
      </c>
      <c r="I283" t="s">
        <v>2017</v>
      </c>
      <c r="J283" t="s">
        <v>1151</v>
      </c>
      <c r="K283" t="s">
        <v>2018</v>
      </c>
      <c r="L283" t="s">
        <v>765</v>
      </c>
      <c r="M283" t="s">
        <v>720</v>
      </c>
      <c r="N283" t="s">
        <v>721</v>
      </c>
      <c r="O283">
        <v>1</v>
      </c>
      <c r="P283">
        <v>15</v>
      </c>
      <c r="Q283">
        <v>69</v>
      </c>
      <c r="R283" t="s">
        <v>758</v>
      </c>
      <c r="S283" t="s">
        <v>745</v>
      </c>
      <c r="T283" t="s">
        <v>746</v>
      </c>
      <c r="U283" t="s">
        <v>1011</v>
      </c>
    </row>
    <row r="284" spans="1:21" hidden="1" x14ac:dyDescent="0.3">
      <c r="A284" s="1" t="s">
        <v>1778</v>
      </c>
      <c r="B284" t="s">
        <v>1505</v>
      </c>
      <c r="C284" t="s">
        <v>750</v>
      </c>
      <c r="D284" t="s">
        <v>2019</v>
      </c>
      <c r="E284" t="s">
        <v>567</v>
      </c>
      <c r="F284" t="s">
        <v>2020</v>
      </c>
      <c r="G284" t="s">
        <v>753</v>
      </c>
      <c r="H284" t="s">
        <v>715</v>
      </c>
      <c r="I284" t="s">
        <v>2021</v>
      </c>
      <c r="J284" t="s">
        <v>2022</v>
      </c>
      <c r="K284" t="s">
        <v>2023</v>
      </c>
      <c r="L284" t="s">
        <v>765</v>
      </c>
      <c r="M284" t="s">
        <v>720</v>
      </c>
      <c r="N284" t="s">
        <v>721</v>
      </c>
      <c r="O284">
        <v>1</v>
      </c>
      <c r="P284">
        <v>15</v>
      </c>
      <c r="Q284">
        <v>90</v>
      </c>
      <c r="R284" t="s">
        <v>758</v>
      </c>
      <c r="S284" t="s">
        <v>745</v>
      </c>
      <c r="T284" t="s">
        <v>746</v>
      </c>
      <c r="U284" t="s">
        <v>759</v>
      </c>
    </row>
    <row r="285" spans="1:21" hidden="1" x14ac:dyDescent="0.3">
      <c r="A285" s="1" t="s">
        <v>1778</v>
      </c>
      <c r="B285" t="s">
        <v>1505</v>
      </c>
      <c r="C285" t="s">
        <v>750</v>
      </c>
      <c r="D285" t="s">
        <v>1168</v>
      </c>
      <c r="E285" t="s">
        <v>567</v>
      </c>
      <c r="F285" t="s">
        <v>1169</v>
      </c>
      <c r="G285" t="s">
        <v>794</v>
      </c>
      <c r="H285" t="s">
        <v>715</v>
      </c>
      <c r="I285" t="s">
        <v>2024</v>
      </c>
      <c r="J285" t="s">
        <v>2025</v>
      </c>
      <c r="K285" t="s">
        <v>2026</v>
      </c>
      <c r="L285" t="s">
        <v>826</v>
      </c>
      <c r="M285" t="s">
        <v>720</v>
      </c>
      <c r="N285" t="s">
        <v>721</v>
      </c>
      <c r="O285">
        <v>30</v>
      </c>
      <c r="P285">
        <v>2</v>
      </c>
      <c r="Q285">
        <v>7</v>
      </c>
      <c r="R285" t="s">
        <v>798</v>
      </c>
      <c r="S285" t="s">
        <v>745</v>
      </c>
      <c r="T285" t="s">
        <v>746</v>
      </c>
      <c r="U285" t="s">
        <v>759</v>
      </c>
    </row>
    <row r="286" spans="1:21" hidden="1" x14ac:dyDescent="0.3">
      <c r="A286" s="1" t="s">
        <v>1778</v>
      </c>
      <c r="B286" t="s">
        <v>1505</v>
      </c>
      <c r="C286" t="s">
        <v>750</v>
      </c>
      <c r="D286" t="s">
        <v>1173</v>
      </c>
      <c r="E286" t="s">
        <v>567</v>
      </c>
      <c r="F286" t="s">
        <v>1174</v>
      </c>
      <c r="G286" t="s">
        <v>753</v>
      </c>
      <c r="H286" t="s">
        <v>715</v>
      </c>
      <c r="I286" t="s">
        <v>2027</v>
      </c>
      <c r="J286" t="s">
        <v>2028</v>
      </c>
      <c r="K286" t="s">
        <v>2029</v>
      </c>
      <c r="L286" t="s">
        <v>765</v>
      </c>
      <c r="M286" t="s">
        <v>720</v>
      </c>
      <c r="N286" t="s">
        <v>721</v>
      </c>
      <c r="O286">
        <v>15</v>
      </c>
      <c r="P286">
        <v>15</v>
      </c>
      <c r="Q286">
        <v>61</v>
      </c>
      <c r="R286" t="s">
        <v>758</v>
      </c>
      <c r="S286" t="s">
        <v>745</v>
      </c>
      <c r="T286" t="s">
        <v>746</v>
      </c>
      <c r="U286" t="s">
        <v>759</v>
      </c>
    </row>
    <row r="287" spans="1:21" hidden="1" x14ac:dyDescent="0.3">
      <c r="A287" s="1" t="s">
        <v>1778</v>
      </c>
      <c r="B287" t="s">
        <v>1505</v>
      </c>
      <c r="C287" t="s">
        <v>750</v>
      </c>
      <c r="D287" t="s">
        <v>1178</v>
      </c>
      <c r="E287" t="s">
        <v>567</v>
      </c>
      <c r="F287" t="s">
        <v>1179</v>
      </c>
      <c r="G287" t="s">
        <v>794</v>
      </c>
      <c r="H287" t="s">
        <v>715</v>
      </c>
      <c r="I287" t="s">
        <v>2030</v>
      </c>
      <c r="J287" t="s">
        <v>2031</v>
      </c>
      <c r="K287" t="s">
        <v>2032</v>
      </c>
      <c r="L287" t="s">
        <v>826</v>
      </c>
      <c r="M287" t="s">
        <v>720</v>
      </c>
      <c r="N287" t="s">
        <v>721</v>
      </c>
      <c r="O287">
        <v>2</v>
      </c>
      <c r="P287">
        <v>2</v>
      </c>
      <c r="Q287">
        <v>75</v>
      </c>
      <c r="R287" t="s">
        <v>798</v>
      </c>
      <c r="S287" t="s">
        <v>745</v>
      </c>
      <c r="T287" t="s">
        <v>746</v>
      </c>
      <c r="U287" t="s">
        <v>759</v>
      </c>
    </row>
    <row r="288" spans="1:21" hidden="1" x14ac:dyDescent="0.3">
      <c r="A288" s="1" t="s">
        <v>1778</v>
      </c>
      <c r="B288" t="s">
        <v>1505</v>
      </c>
      <c r="C288" t="s">
        <v>750</v>
      </c>
      <c r="D288" t="s">
        <v>1183</v>
      </c>
      <c r="E288" t="s">
        <v>567</v>
      </c>
      <c r="F288" t="s">
        <v>1184</v>
      </c>
      <c r="G288" t="s">
        <v>794</v>
      </c>
      <c r="H288" t="s">
        <v>715</v>
      </c>
      <c r="I288" t="s">
        <v>2033</v>
      </c>
      <c r="J288" t="s">
        <v>2034</v>
      </c>
      <c r="K288" t="s">
        <v>2035</v>
      </c>
      <c r="L288" t="s">
        <v>741</v>
      </c>
      <c r="M288" t="s">
        <v>720</v>
      </c>
      <c r="N288" t="s">
        <v>743</v>
      </c>
      <c r="O288">
        <v>1</v>
      </c>
      <c r="P288">
        <v>0</v>
      </c>
      <c r="Q288">
        <v>93</v>
      </c>
      <c r="R288" t="s">
        <v>798</v>
      </c>
      <c r="S288" t="s">
        <v>745</v>
      </c>
      <c r="T288" t="s">
        <v>746</v>
      </c>
      <c r="U288" t="s">
        <v>759</v>
      </c>
    </row>
    <row r="289" spans="1:21" hidden="1" x14ac:dyDescent="0.3">
      <c r="A289" s="1" t="s">
        <v>1778</v>
      </c>
      <c r="B289" t="s">
        <v>1505</v>
      </c>
      <c r="C289" t="s">
        <v>750</v>
      </c>
      <c r="D289" t="s">
        <v>1188</v>
      </c>
      <c r="E289" t="s">
        <v>567</v>
      </c>
      <c r="F289" t="s">
        <v>1189</v>
      </c>
      <c r="G289" t="s">
        <v>794</v>
      </c>
      <c r="H289" t="s">
        <v>715</v>
      </c>
      <c r="I289" t="s">
        <v>2036</v>
      </c>
      <c r="J289" t="s">
        <v>2037</v>
      </c>
      <c r="K289" t="s">
        <v>2038</v>
      </c>
      <c r="L289" t="s">
        <v>826</v>
      </c>
      <c r="M289" t="s">
        <v>720</v>
      </c>
      <c r="N289" t="s">
        <v>721</v>
      </c>
      <c r="O289">
        <v>7</v>
      </c>
      <c r="P289">
        <v>10</v>
      </c>
      <c r="Q289">
        <v>83</v>
      </c>
      <c r="R289" t="s">
        <v>722</v>
      </c>
      <c r="S289" t="s">
        <v>745</v>
      </c>
      <c r="T289" t="s">
        <v>746</v>
      </c>
      <c r="U289" t="s">
        <v>759</v>
      </c>
    </row>
    <row r="290" spans="1:21" hidden="1" x14ac:dyDescent="0.3">
      <c r="A290" s="1" t="s">
        <v>1778</v>
      </c>
      <c r="B290" t="s">
        <v>1505</v>
      </c>
      <c r="C290" t="s">
        <v>750</v>
      </c>
      <c r="D290" t="s">
        <v>1199</v>
      </c>
      <c r="E290" t="s">
        <v>567</v>
      </c>
      <c r="F290" t="s">
        <v>1200</v>
      </c>
      <c r="G290" t="s">
        <v>753</v>
      </c>
      <c r="H290" t="s">
        <v>715</v>
      </c>
      <c r="I290" t="s">
        <v>2039</v>
      </c>
      <c r="J290" t="s">
        <v>2040</v>
      </c>
      <c r="K290" t="s">
        <v>2041</v>
      </c>
      <c r="L290" t="s">
        <v>765</v>
      </c>
      <c r="M290" t="s">
        <v>720</v>
      </c>
      <c r="N290" t="s">
        <v>721</v>
      </c>
      <c r="O290">
        <v>2</v>
      </c>
      <c r="P290">
        <v>15</v>
      </c>
      <c r="Q290">
        <v>70</v>
      </c>
      <c r="R290" t="s">
        <v>758</v>
      </c>
      <c r="S290" t="s">
        <v>745</v>
      </c>
      <c r="T290" t="s">
        <v>746</v>
      </c>
      <c r="U290" t="s">
        <v>759</v>
      </c>
    </row>
    <row r="291" spans="1:21" hidden="1" x14ac:dyDescent="0.3">
      <c r="A291" s="1" t="s">
        <v>1778</v>
      </c>
      <c r="B291" t="s">
        <v>1505</v>
      </c>
      <c r="C291" t="s">
        <v>750</v>
      </c>
      <c r="D291" t="s">
        <v>1204</v>
      </c>
      <c r="E291" t="s">
        <v>567</v>
      </c>
      <c r="F291" t="s">
        <v>1205</v>
      </c>
      <c r="G291" t="s">
        <v>794</v>
      </c>
      <c r="H291" t="s">
        <v>715</v>
      </c>
      <c r="I291" t="s">
        <v>2042</v>
      </c>
      <c r="J291" t="s">
        <v>2043</v>
      </c>
      <c r="K291" t="s">
        <v>2044</v>
      </c>
      <c r="L291" t="s">
        <v>826</v>
      </c>
      <c r="M291" t="s">
        <v>720</v>
      </c>
      <c r="N291" t="s">
        <v>721</v>
      </c>
      <c r="O291">
        <v>4</v>
      </c>
      <c r="P291">
        <v>2</v>
      </c>
      <c r="Q291">
        <v>84</v>
      </c>
      <c r="R291" t="s">
        <v>798</v>
      </c>
      <c r="S291" t="s">
        <v>745</v>
      </c>
      <c r="T291" t="s">
        <v>746</v>
      </c>
      <c r="U291" t="s">
        <v>759</v>
      </c>
    </row>
    <row r="292" spans="1:21" hidden="1" x14ac:dyDescent="0.3">
      <c r="A292" s="1" t="s">
        <v>1778</v>
      </c>
      <c r="B292" t="s">
        <v>1505</v>
      </c>
      <c r="C292" t="s">
        <v>750</v>
      </c>
      <c r="D292" t="s">
        <v>734</v>
      </c>
      <c r="E292" t="s">
        <v>567</v>
      </c>
      <c r="F292" t="s">
        <v>735</v>
      </c>
      <c r="G292" t="s">
        <v>753</v>
      </c>
      <c r="H292" t="s">
        <v>715</v>
      </c>
      <c r="I292" t="s">
        <v>2045</v>
      </c>
      <c r="J292" t="s">
        <v>2046</v>
      </c>
      <c r="K292" t="s">
        <v>2047</v>
      </c>
      <c r="L292" t="s">
        <v>765</v>
      </c>
      <c r="M292" t="s">
        <v>720</v>
      </c>
      <c r="N292" t="s">
        <v>721</v>
      </c>
      <c r="O292">
        <v>12</v>
      </c>
      <c r="P292">
        <v>15</v>
      </c>
      <c r="Q292">
        <v>51</v>
      </c>
      <c r="R292" t="s">
        <v>758</v>
      </c>
      <c r="S292" t="s">
        <v>745</v>
      </c>
      <c r="T292" t="s">
        <v>746</v>
      </c>
      <c r="U292" t="s">
        <v>759</v>
      </c>
    </row>
    <row r="293" spans="1:21" hidden="1" x14ac:dyDescent="0.3">
      <c r="A293" s="1" t="s">
        <v>1778</v>
      </c>
      <c r="B293" t="s">
        <v>1505</v>
      </c>
      <c r="C293" t="s">
        <v>750</v>
      </c>
      <c r="D293" t="s">
        <v>2048</v>
      </c>
      <c r="E293" t="s">
        <v>567</v>
      </c>
      <c r="F293" t="s">
        <v>2049</v>
      </c>
      <c r="G293" t="s">
        <v>794</v>
      </c>
      <c r="H293" t="s">
        <v>715</v>
      </c>
      <c r="I293" t="s">
        <v>2050</v>
      </c>
      <c r="J293" t="s">
        <v>2051</v>
      </c>
      <c r="K293" t="s">
        <v>2052</v>
      </c>
      <c r="L293" t="s">
        <v>826</v>
      </c>
      <c r="M293" t="s">
        <v>720</v>
      </c>
      <c r="N293" t="s">
        <v>721</v>
      </c>
      <c r="O293">
        <v>7</v>
      </c>
      <c r="P293">
        <v>2</v>
      </c>
      <c r="Q293">
        <v>7</v>
      </c>
      <c r="R293" t="s">
        <v>798</v>
      </c>
      <c r="S293" t="s">
        <v>745</v>
      </c>
      <c r="T293" t="s">
        <v>746</v>
      </c>
      <c r="U293" t="s">
        <v>759</v>
      </c>
    </row>
    <row r="294" spans="1:21" hidden="1" x14ac:dyDescent="0.3">
      <c r="A294" s="1" t="s">
        <v>1778</v>
      </c>
      <c r="B294" t="s">
        <v>1505</v>
      </c>
      <c r="C294" t="s">
        <v>750</v>
      </c>
      <c r="D294" t="s">
        <v>1212</v>
      </c>
      <c r="E294" t="s">
        <v>567</v>
      </c>
      <c r="F294" t="s">
        <v>1213</v>
      </c>
      <c r="G294" t="s">
        <v>753</v>
      </c>
      <c r="H294" t="s">
        <v>715</v>
      </c>
      <c r="I294" t="s">
        <v>2053</v>
      </c>
      <c r="J294" t="s">
        <v>2054</v>
      </c>
      <c r="K294" t="s">
        <v>2055</v>
      </c>
      <c r="L294" t="s">
        <v>765</v>
      </c>
      <c r="M294" t="s">
        <v>720</v>
      </c>
      <c r="N294" t="s">
        <v>721</v>
      </c>
      <c r="O294">
        <v>5</v>
      </c>
      <c r="P294">
        <v>15</v>
      </c>
      <c r="Q294">
        <v>5</v>
      </c>
      <c r="R294" t="s">
        <v>758</v>
      </c>
      <c r="S294" t="s">
        <v>745</v>
      </c>
      <c r="T294" t="s">
        <v>746</v>
      </c>
      <c r="U294" t="s">
        <v>759</v>
      </c>
    </row>
    <row r="295" spans="1:21" hidden="1" x14ac:dyDescent="0.3">
      <c r="A295" s="1" t="s">
        <v>1778</v>
      </c>
      <c r="B295" t="s">
        <v>1505</v>
      </c>
      <c r="C295" t="s">
        <v>750</v>
      </c>
      <c r="D295" t="s">
        <v>1217</v>
      </c>
      <c r="E295" t="s">
        <v>567</v>
      </c>
      <c r="F295" t="s">
        <v>1218</v>
      </c>
      <c r="G295" t="s">
        <v>753</v>
      </c>
      <c r="H295" t="s">
        <v>715</v>
      </c>
      <c r="I295" t="s">
        <v>2056</v>
      </c>
      <c r="J295" t="s">
        <v>2057</v>
      </c>
      <c r="K295" t="s">
        <v>2058</v>
      </c>
      <c r="L295" t="s">
        <v>765</v>
      </c>
      <c r="M295" t="s">
        <v>720</v>
      </c>
      <c r="N295" t="s">
        <v>721</v>
      </c>
      <c r="O295">
        <v>4</v>
      </c>
      <c r="P295">
        <v>15</v>
      </c>
      <c r="Q295">
        <v>117</v>
      </c>
      <c r="R295" t="s">
        <v>758</v>
      </c>
      <c r="S295" t="s">
        <v>745</v>
      </c>
      <c r="T295" t="s">
        <v>746</v>
      </c>
      <c r="U295" t="s">
        <v>759</v>
      </c>
    </row>
    <row r="296" spans="1:21" hidden="1" x14ac:dyDescent="0.3">
      <c r="A296" s="1" t="s">
        <v>1778</v>
      </c>
      <c r="B296" t="s">
        <v>1505</v>
      </c>
      <c r="C296" t="s">
        <v>750</v>
      </c>
      <c r="D296" t="s">
        <v>1222</v>
      </c>
      <c r="E296" t="s">
        <v>567</v>
      </c>
      <c r="F296" t="s">
        <v>1223</v>
      </c>
      <c r="G296" t="s">
        <v>794</v>
      </c>
      <c r="H296" t="s">
        <v>715</v>
      </c>
      <c r="I296" t="s">
        <v>2059</v>
      </c>
      <c r="J296" t="s">
        <v>2060</v>
      </c>
      <c r="K296" t="s">
        <v>2061</v>
      </c>
      <c r="L296" t="s">
        <v>826</v>
      </c>
      <c r="M296" t="s">
        <v>720</v>
      </c>
      <c r="N296" t="s">
        <v>721</v>
      </c>
      <c r="O296">
        <v>0</v>
      </c>
      <c r="P296">
        <v>2</v>
      </c>
      <c r="Q296">
        <v>42</v>
      </c>
      <c r="R296" t="s">
        <v>798</v>
      </c>
      <c r="S296" t="s">
        <v>745</v>
      </c>
      <c r="T296" t="s">
        <v>746</v>
      </c>
      <c r="U296" t="s">
        <v>759</v>
      </c>
    </row>
    <row r="297" spans="1:21" hidden="1" x14ac:dyDescent="0.3">
      <c r="A297" s="1" t="s">
        <v>1778</v>
      </c>
      <c r="B297" t="s">
        <v>1505</v>
      </c>
      <c r="C297" t="s">
        <v>750</v>
      </c>
      <c r="D297" t="s">
        <v>1227</v>
      </c>
      <c r="E297" t="s">
        <v>567</v>
      </c>
      <c r="F297" t="s">
        <v>1228</v>
      </c>
      <c r="G297" t="s">
        <v>753</v>
      </c>
      <c r="H297" t="s">
        <v>715</v>
      </c>
      <c r="I297" t="s">
        <v>2062</v>
      </c>
      <c r="J297" t="s">
        <v>2063</v>
      </c>
      <c r="K297" t="s">
        <v>2064</v>
      </c>
      <c r="L297" t="s">
        <v>765</v>
      </c>
      <c r="M297" t="s">
        <v>720</v>
      </c>
      <c r="N297" t="s">
        <v>721</v>
      </c>
      <c r="O297">
        <v>11</v>
      </c>
      <c r="P297">
        <v>15</v>
      </c>
      <c r="Q297">
        <v>4</v>
      </c>
      <c r="R297" t="s">
        <v>758</v>
      </c>
      <c r="S297" t="s">
        <v>745</v>
      </c>
      <c r="T297" t="s">
        <v>746</v>
      </c>
      <c r="U297" t="s">
        <v>759</v>
      </c>
    </row>
    <row r="298" spans="1:21" hidden="1" x14ac:dyDescent="0.3">
      <c r="A298" s="1" t="s">
        <v>1778</v>
      </c>
      <c r="B298" t="s">
        <v>1505</v>
      </c>
      <c r="C298" t="s">
        <v>750</v>
      </c>
      <c r="D298" t="s">
        <v>1232</v>
      </c>
      <c r="E298" t="s">
        <v>567</v>
      </c>
      <c r="F298" t="s">
        <v>1233</v>
      </c>
      <c r="G298" t="s">
        <v>753</v>
      </c>
      <c r="H298" t="s">
        <v>715</v>
      </c>
      <c r="I298" t="s">
        <v>2065</v>
      </c>
      <c r="J298" t="s">
        <v>2066</v>
      </c>
      <c r="K298" t="s">
        <v>2067</v>
      </c>
      <c r="L298" t="s">
        <v>765</v>
      </c>
      <c r="M298" t="s">
        <v>720</v>
      </c>
      <c r="N298" t="s">
        <v>721</v>
      </c>
      <c r="O298">
        <v>10</v>
      </c>
      <c r="P298">
        <v>15</v>
      </c>
      <c r="Q298">
        <v>40</v>
      </c>
      <c r="R298" t="s">
        <v>758</v>
      </c>
      <c r="S298" t="s">
        <v>745</v>
      </c>
      <c r="T298" t="s">
        <v>746</v>
      </c>
      <c r="U298" t="s">
        <v>1193</v>
      </c>
    </row>
    <row r="299" spans="1:21" hidden="1" x14ac:dyDescent="0.3">
      <c r="A299" s="1" t="s">
        <v>1778</v>
      </c>
      <c r="B299" t="s">
        <v>1505</v>
      </c>
      <c r="C299" t="s">
        <v>750</v>
      </c>
      <c r="D299" t="s">
        <v>1237</v>
      </c>
      <c r="E299" t="s">
        <v>567</v>
      </c>
      <c r="F299" t="s">
        <v>1238</v>
      </c>
      <c r="G299" t="s">
        <v>753</v>
      </c>
      <c r="H299" t="s">
        <v>715</v>
      </c>
      <c r="I299" t="s">
        <v>2068</v>
      </c>
      <c r="J299" t="s">
        <v>2069</v>
      </c>
      <c r="K299" t="s">
        <v>2070</v>
      </c>
      <c r="L299" t="s">
        <v>765</v>
      </c>
      <c r="M299" t="s">
        <v>720</v>
      </c>
      <c r="N299" t="s">
        <v>721</v>
      </c>
      <c r="O299">
        <v>2</v>
      </c>
      <c r="P299">
        <v>15</v>
      </c>
      <c r="Q299">
        <v>74</v>
      </c>
      <c r="R299" t="s">
        <v>758</v>
      </c>
      <c r="S299" t="s">
        <v>745</v>
      </c>
      <c r="T299" t="s">
        <v>746</v>
      </c>
      <c r="U299" t="s">
        <v>1193</v>
      </c>
    </row>
    <row r="300" spans="1:21" hidden="1" x14ac:dyDescent="0.3">
      <c r="A300" s="1" t="s">
        <v>1778</v>
      </c>
      <c r="B300" t="s">
        <v>1505</v>
      </c>
      <c r="C300" t="s">
        <v>750</v>
      </c>
      <c r="D300" t="s">
        <v>1244</v>
      </c>
      <c r="E300" t="s">
        <v>567</v>
      </c>
      <c r="F300" t="s">
        <v>1245</v>
      </c>
      <c r="G300" t="s">
        <v>753</v>
      </c>
      <c r="H300" t="s">
        <v>715</v>
      </c>
      <c r="I300" t="s">
        <v>2071</v>
      </c>
      <c r="J300" t="s">
        <v>2072</v>
      </c>
      <c r="K300" t="s">
        <v>2073</v>
      </c>
      <c r="L300" t="s">
        <v>765</v>
      </c>
      <c r="M300" t="s">
        <v>720</v>
      </c>
      <c r="N300" t="s">
        <v>721</v>
      </c>
      <c r="O300">
        <v>1</v>
      </c>
      <c r="P300">
        <v>15</v>
      </c>
      <c r="Q300">
        <v>0</v>
      </c>
      <c r="R300" t="s">
        <v>758</v>
      </c>
      <c r="S300" t="s">
        <v>745</v>
      </c>
      <c r="T300" t="s">
        <v>746</v>
      </c>
      <c r="U300" t="s">
        <v>759</v>
      </c>
    </row>
    <row r="301" spans="1:21" hidden="1" x14ac:dyDescent="0.3">
      <c r="A301" s="1" t="s">
        <v>1778</v>
      </c>
      <c r="B301" t="s">
        <v>1505</v>
      </c>
      <c r="C301" t="s">
        <v>750</v>
      </c>
      <c r="D301" t="s">
        <v>1249</v>
      </c>
      <c r="E301" t="s">
        <v>567</v>
      </c>
      <c r="F301" t="s">
        <v>1250</v>
      </c>
      <c r="G301" t="s">
        <v>753</v>
      </c>
      <c r="H301" t="s">
        <v>715</v>
      </c>
      <c r="I301" t="s">
        <v>2074</v>
      </c>
      <c r="J301" t="s">
        <v>2075</v>
      </c>
      <c r="K301" t="s">
        <v>2076</v>
      </c>
      <c r="L301" t="s">
        <v>765</v>
      </c>
      <c r="M301" t="s">
        <v>720</v>
      </c>
      <c r="N301" t="s">
        <v>721</v>
      </c>
      <c r="O301">
        <v>0</v>
      </c>
      <c r="P301">
        <v>15</v>
      </c>
      <c r="Q301">
        <v>70</v>
      </c>
      <c r="R301" t="s">
        <v>758</v>
      </c>
      <c r="S301" t="s">
        <v>745</v>
      </c>
      <c r="T301" t="s">
        <v>746</v>
      </c>
      <c r="U301" t="s">
        <v>759</v>
      </c>
    </row>
    <row r="302" spans="1:21" hidden="1" x14ac:dyDescent="0.3">
      <c r="A302" s="1" t="s">
        <v>1778</v>
      </c>
      <c r="B302" t="s">
        <v>1505</v>
      </c>
      <c r="C302" t="s">
        <v>750</v>
      </c>
      <c r="D302" t="s">
        <v>1254</v>
      </c>
      <c r="E302" t="s">
        <v>567</v>
      </c>
      <c r="F302" t="s">
        <v>1255</v>
      </c>
      <c r="G302" t="s">
        <v>794</v>
      </c>
      <c r="H302" t="s">
        <v>715</v>
      </c>
      <c r="I302" t="s">
        <v>2077</v>
      </c>
      <c r="J302" t="s">
        <v>2078</v>
      </c>
      <c r="K302" t="s">
        <v>2079</v>
      </c>
      <c r="L302" t="s">
        <v>741</v>
      </c>
      <c r="M302" t="s">
        <v>720</v>
      </c>
      <c r="N302" t="s">
        <v>743</v>
      </c>
      <c r="O302">
        <v>1</v>
      </c>
      <c r="P302">
        <v>0</v>
      </c>
      <c r="Q302">
        <v>24</v>
      </c>
      <c r="R302" t="s">
        <v>798</v>
      </c>
      <c r="S302" t="s">
        <v>745</v>
      </c>
      <c r="T302" t="s">
        <v>746</v>
      </c>
      <c r="U302" t="s">
        <v>759</v>
      </c>
    </row>
    <row r="303" spans="1:21" hidden="1" x14ac:dyDescent="0.3">
      <c r="A303" s="1" t="s">
        <v>1778</v>
      </c>
      <c r="B303" t="s">
        <v>1505</v>
      </c>
      <c r="C303" t="s">
        <v>750</v>
      </c>
      <c r="D303" t="s">
        <v>1264</v>
      </c>
      <c r="E303" t="s">
        <v>567</v>
      </c>
      <c r="F303" t="s">
        <v>1265</v>
      </c>
      <c r="G303" t="s">
        <v>753</v>
      </c>
      <c r="H303" t="s">
        <v>715</v>
      </c>
      <c r="I303" t="s">
        <v>2080</v>
      </c>
      <c r="J303" t="s">
        <v>2081</v>
      </c>
      <c r="K303" t="s">
        <v>2082</v>
      </c>
      <c r="L303" t="s">
        <v>765</v>
      </c>
      <c r="M303" t="s">
        <v>720</v>
      </c>
      <c r="N303" t="s">
        <v>721</v>
      </c>
      <c r="O303">
        <v>13</v>
      </c>
      <c r="P303">
        <v>15</v>
      </c>
      <c r="Q303">
        <v>61</v>
      </c>
      <c r="R303" t="s">
        <v>758</v>
      </c>
      <c r="S303" t="s">
        <v>745</v>
      </c>
      <c r="T303" t="s">
        <v>746</v>
      </c>
      <c r="U303" t="s">
        <v>759</v>
      </c>
    </row>
    <row r="304" spans="1:21" hidden="1" x14ac:dyDescent="0.3">
      <c r="A304" s="1" t="s">
        <v>1778</v>
      </c>
      <c r="B304" t="s">
        <v>1505</v>
      </c>
      <c r="C304" t="s">
        <v>750</v>
      </c>
      <c r="D304" t="s">
        <v>1270</v>
      </c>
      <c r="E304" t="s">
        <v>567</v>
      </c>
      <c r="F304" t="s">
        <v>1271</v>
      </c>
      <c r="G304" t="s">
        <v>753</v>
      </c>
      <c r="H304" t="s">
        <v>715</v>
      </c>
      <c r="I304" t="s">
        <v>2083</v>
      </c>
      <c r="J304" t="s">
        <v>2084</v>
      </c>
      <c r="K304" t="s">
        <v>2085</v>
      </c>
      <c r="L304" t="s">
        <v>757</v>
      </c>
      <c r="M304" t="s">
        <v>720</v>
      </c>
      <c r="N304" t="s">
        <v>721</v>
      </c>
      <c r="O304">
        <v>11</v>
      </c>
      <c r="P304">
        <v>7</v>
      </c>
      <c r="Q304">
        <v>116</v>
      </c>
      <c r="R304" t="s">
        <v>758</v>
      </c>
      <c r="S304" t="s">
        <v>745</v>
      </c>
      <c r="T304" t="s">
        <v>746</v>
      </c>
      <c r="U304" t="s">
        <v>759</v>
      </c>
    </row>
    <row r="305" spans="1:21" hidden="1" x14ac:dyDescent="0.3">
      <c r="A305" s="1" t="s">
        <v>1778</v>
      </c>
      <c r="B305" t="s">
        <v>1505</v>
      </c>
      <c r="C305" t="s">
        <v>750</v>
      </c>
      <c r="D305" t="s">
        <v>1275</v>
      </c>
      <c r="E305" t="s">
        <v>567</v>
      </c>
      <c r="F305" t="s">
        <v>1276</v>
      </c>
      <c r="G305" t="s">
        <v>753</v>
      </c>
      <c r="H305" t="s">
        <v>715</v>
      </c>
      <c r="I305" t="s">
        <v>2086</v>
      </c>
      <c r="J305" t="s">
        <v>2087</v>
      </c>
      <c r="K305" t="s">
        <v>2088</v>
      </c>
      <c r="L305" t="s">
        <v>757</v>
      </c>
      <c r="M305" t="s">
        <v>720</v>
      </c>
      <c r="N305" t="s">
        <v>721</v>
      </c>
      <c r="O305">
        <v>9</v>
      </c>
      <c r="P305">
        <v>7</v>
      </c>
      <c r="Q305">
        <v>102</v>
      </c>
      <c r="R305" t="s">
        <v>758</v>
      </c>
      <c r="S305" t="s">
        <v>745</v>
      </c>
      <c r="T305" t="s">
        <v>746</v>
      </c>
      <c r="U305" t="s">
        <v>1269</v>
      </c>
    </row>
    <row r="306" spans="1:21" hidden="1" x14ac:dyDescent="0.3">
      <c r="A306" s="1" t="s">
        <v>1778</v>
      </c>
      <c r="B306" t="s">
        <v>1505</v>
      </c>
      <c r="C306" t="s">
        <v>750</v>
      </c>
      <c r="D306" t="s">
        <v>2089</v>
      </c>
      <c r="E306" t="s">
        <v>567</v>
      </c>
      <c r="F306" t="s">
        <v>2090</v>
      </c>
      <c r="G306" t="s">
        <v>753</v>
      </c>
      <c r="H306" t="s">
        <v>715</v>
      </c>
      <c r="I306" t="s">
        <v>2091</v>
      </c>
      <c r="J306" t="s">
        <v>2092</v>
      </c>
      <c r="K306" t="s">
        <v>2093</v>
      </c>
      <c r="L306" t="s">
        <v>765</v>
      </c>
      <c r="M306" t="s">
        <v>720</v>
      </c>
      <c r="N306" t="s">
        <v>721</v>
      </c>
      <c r="O306">
        <v>5</v>
      </c>
      <c r="P306">
        <v>15</v>
      </c>
      <c r="Q306">
        <v>91</v>
      </c>
      <c r="R306" t="s">
        <v>758</v>
      </c>
      <c r="S306" t="s">
        <v>745</v>
      </c>
      <c r="T306" t="s">
        <v>746</v>
      </c>
      <c r="U306" t="s">
        <v>2094</v>
      </c>
    </row>
    <row r="307" spans="1:21" hidden="1" x14ac:dyDescent="0.3">
      <c r="A307" s="1" t="s">
        <v>1778</v>
      </c>
      <c r="B307" t="s">
        <v>1505</v>
      </c>
      <c r="C307" t="s">
        <v>750</v>
      </c>
      <c r="D307" t="s">
        <v>1280</v>
      </c>
      <c r="E307" t="s">
        <v>567</v>
      </c>
      <c r="F307" t="s">
        <v>1281</v>
      </c>
      <c r="G307" t="s">
        <v>753</v>
      </c>
      <c r="H307" t="s">
        <v>715</v>
      </c>
      <c r="I307" t="s">
        <v>2095</v>
      </c>
      <c r="J307" t="s">
        <v>2096</v>
      </c>
      <c r="K307" t="s">
        <v>2097</v>
      </c>
      <c r="L307" t="s">
        <v>757</v>
      </c>
      <c r="M307" t="s">
        <v>720</v>
      </c>
      <c r="N307" t="s">
        <v>721</v>
      </c>
      <c r="O307">
        <v>12</v>
      </c>
      <c r="P307">
        <v>7</v>
      </c>
      <c r="Q307">
        <v>68</v>
      </c>
      <c r="R307" t="s">
        <v>758</v>
      </c>
      <c r="S307" t="s">
        <v>745</v>
      </c>
      <c r="T307" t="s">
        <v>746</v>
      </c>
      <c r="U307" t="s">
        <v>2094</v>
      </c>
    </row>
    <row r="308" spans="1:21" hidden="1" x14ac:dyDescent="0.3">
      <c r="A308" s="1" t="s">
        <v>1778</v>
      </c>
      <c r="B308" t="s">
        <v>1505</v>
      </c>
      <c r="C308" t="s">
        <v>750</v>
      </c>
      <c r="D308" t="s">
        <v>2098</v>
      </c>
      <c r="E308" t="s">
        <v>567</v>
      </c>
      <c r="F308" t="s">
        <v>2099</v>
      </c>
      <c r="G308" t="s">
        <v>794</v>
      </c>
      <c r="H308" t="s">
        <v>715</v>
      </c>
      <c r="I308" t="s">
        <v>2100</v>
      </c>
      <c r="J308" t="s">
        <v>2101</v>
      </c>
      <c r="K308" t="s">
        <v>2102</v>
      </c>
      <c r="L308" t="s">
        <v>826</v>
      </c>
      <c r="M308" t="s">
        <v>720</v>
      </c>
      <c r="N308" t="s">
        <v>721</v>
      </c>
      <c r="O308">
        <v>10</v>
      </c>
      <c r="P308">
        <v>2</v>
      </c>
      <c r="Q308">
        <v>75</v>
      </c>
      <c r="R308" t="s">
        <v>798</v>
      </c>
      <c r="S308" t="s">
        <v>745</v>
      </c>
      <c r="T308" t="s">
        <v>746</v>
      </c>
      <c r="U308" t="s">
        <v>759</v>
      </c>
    </row>
    <row r="309" spans="1:21" hidden="1" x14ac:dyDescent="0.3">
      <c r="A309" s="1" t="s">
        <v>1778</v>
      </c>
      <c r="B309" t="s">
        <v>1505</v>
      </c>
      <c r="C309" t="s">
        <v>750</v>
      </c>
      <c r="D309" t="s">
        <v>2103</v>
      </c>
      <c r="E309" t="s">
        <v>567</v>
      </c>
      <c r="F309" t="s">
        <v>1445</v>
      </c>
      <c r="G309" t="s">
        <v>794</v>
      </c>
      <c r="H309" t="s">
        <v>715</v>
      </c>
      <c r="I309" t="s">
        <v>2104</v>
      </c>
      <c r="J309" t="s">
        <v>2105</v>
      </c>
      <c r="K309" t="s">
        <v>2106</v>
      </c>
      <c r="L309" t="s">
        <v>826</v>
      </c>
      <c r="M309" t="s">
        <v>720</v>
      </c>
      <c r="N309" t="s">
        <v>721</v>
      </c>
      <c r="O309">
        <v>1</v>
      </c>
      <c r="P309">
        <v>10</v>
      </c>
      <c r="Q309">
        <v>83</v>
      </c>
      <c r="R309" t="s">
        <v>722</v>
      </c>
      <c r="S309" t="s">
        <v>745</v>
      </c>
      <c r="T309" t="s">
        <v>746</v>
      </c>
      <c r="U309" t="s">
        <v>759</v>
      </c>
    </row>
    <row r="310" spans="1:21" hidden="1" x14ac:dyDescent="0.3">
      <c r="A310" s="1" t="s">
        <v>1778</v>
      </c>
      <c r="B310" t="s">
        <v>1505</v>
      </c>
      <c r="C310" t="s">
        <v>750</v>
      </c>
      <c r="D310" t="s">
        <v>2107</v>
      </c>
      <c r="E310" t="s">
        <v>567</v>
      </c>
      <c r="F310" t="s">
        <v>1450</v>
      </c>
      <c r="G310" t="s">
        <v>794</v>
      </c>
      <c r="H310" t="s">
        <v>715</v>
      </c>
      <c r="I310" t="s">
        <v>2108</v>
      </c>
      <c r="J310" t="s">
        <v>2109</v>
      </c>
      <c r="K310" t="s">
        <v>2110</v>
      </c>
      <c r="L310" t="s">
        <v>985</v>
      </c>
      <c r="M310" t="s">
        <v>720</v>
      </c>
      <c r="N310" t="s">
        <v>743</v>
      </c>
      <c r="O310">
        <v>16</v>
      </c>
      <c r="P310">
        <v>0</v>
      </c>
      <c r="Q310">
        <v>150</v>
      </c>
      <c r="R310" t="s">
        <v>798</v>
      </c>
      <c r="S310" t="s">
        <v>745</v>
      </c>
      <c r="T310" t="s">
        <v>746</v>
      </c>
      <c r="U310" t="s">
        <v>759</v>
      </c>
    </row>
    <row r="311" spans="1:21" hidden="1" x14ac:dyDescent="0.3">
      <c r="A311" s="1" t="s">
        <v>1778</v>
      </c>
      <c r="B311" t="s">
        <v>1505</v>
      </c>
      <c r="C311" t="s">
        <v>750</v>
      </c>
      <c r="D311" t="s">
        <v>1290</v>
      </c>
      <c r="E311" t="s">
        <v>567</v>
      </c>
      <c r="F311" t="s">
        <v>1291</v>
      </c>
      <c r="G311" t="s">
        <v>753</v>
      </c>
      <c r="H311" t="s">
        <v>715</v>
      </c>
      <c r="I311" t="s">
        <v>2111</v>
      </c>
      <c r="J311" t="s">
        <v>2112</v>
      </c>
      <c r="K311" t="s">
        <v>2113</v>
      </c>
      <c r="L311" t="s">
        <v>765</v>
      </c>
      <c r="M311" t="s">
        <v>720</v>
      </c>
      <c r="N311" t="s">
        <v>721</v>
      </c>
      <c r="O311">
        <v>3</v>
      </c>
      <c r="P311">
        <v>15</v>
      </c>
      <c r="Q311">
        <v>1</v>
      </c>
      <c r="R311" t="s">
        <v>758</v>
      </c>
      <c r="S311" t="s">
        <v>745</v>
      </c>
      <c r="T311" t="s">
        <v>746</v>
      </c>
      <c r="U311" t="s">
        <v>1269</v>
      </c>
    </row>
    <row r="312" spans="1:21" hidden="1" x14ac:dyDescent="0.3">
      <c r="A312" s="1" t="s">
        <v>1778</v>
      </c>
      <c r="B312" t="s">
        <v>1505</v>
      </c>
      <c r="C312" t="s">
        <v>750</v>
      </c>
      <c r="D312" t="s">
        <v>1305</v>
      </c>
      <c r="E312" t="s">
        <v>567</v>
      </c>
      <c r="F312" t="s">
        <v>1306</v>
      </c>
      <c r="G312" t="s">
        <v>794</v>
      </c>
      <c r="H312" t="s">
        <v>715</v>
      </c>
      <c r="I312" t="s">
        <v>2114</v>
      </c>
      <c r="J312" t="s">
        <v>2115</v>
      </c>
      <c r="K312" t="s">
        <v>2116</v>
      </c>
      <c r="L312" t="s">
        <v>826</v>
      </c>
      <c r="M312" t="s">
        <v>720</v>
      </c>
      <c r="N312" t="s">
        <v>721</v>
      </c>
      <c r="O312">
        <v>6</v>
      </c>
      <c r="P312">
        <v>2</v>
      </c>
      <c r="Q312">
        <v>53</v>
      </c>
      <c r="R312" t="s">
        <v>798</v>
      </c>
      <c r="S312" t="s">
        <v>745</v>
      </c>
      <c r="T312" t="s">
        <v>746</v>
      </c>
      <c r="U312" t="s">
        <v>759</v>
      </c>
    </row>
    <row r="313" spans="1:21" hidden="1" x14ac:dyDescent="0.3">
      <c r="A313" s="1" t="s">
        <v>1778</v>
      </c>
      <c r="B313" t="s">
        <v>1505</v>
      </c>
      <c r="C313" t="s">
        <v>750</v>
      </c>
      <c r="D313" t="s">
        <v>1310</v>
      </c>
      <c r="E313" t="s">
        <v>567</v>
      </c>
      <c r="F313" t="s">
        <v>1311</v>
      </c>
      <c r="G313" t="s">
        <v>794</v>
      </c>
      <c r="H313" t="s">
        <v>715</v>
      </c>
      <c r="I313" t="s">
        <v>2117</v>
      </c>
      <c r="J313" t="s">
        <v>2118</v>
      </c>
      <c r="K313" t="s">
        <v>2119</v>
      </c>
      <c r="L313" t="s">
        <v>826</v>
      </c>
      <c r="M313" t="s">
        <v>720</v>
      </c>
      <c r="N313" t="s">
        <v>721</v>
      </c>
      <c r="O313">
        <v>14</v>
      </c>
      <c r="P313">
        <v>2</v>
      </c>
      <c r="Q313">
        <v>0</v>
      </c>
      <c r="R313" t="s">
        <v>798</v>
      </c>
      <c r="S313" t="s">
        <v>745</v>
      </c>
      <c r="T313" t="s">
        <v>746</v>
      </c>
      <c r="U313" t="s">
        <v>759</v>
      </c>
    </row>
    <row r="314" spans="1:21" hidden="1" x14ac:dyDescent="0.3">
      <c r="A314" s="1" t="s">
        <v>1778</v>
      </c>
      <c r="B314" t="s">
        <v>1505</v>
      </c>
      <c r="C314" t="s">
        <v>750</v>
      </c>
      <c r="D314" t="s">
        <v>1315</v>
      </c>
      <c r="E314" t="s">
        <v>567</v>
      </c>
      <c r="F314" t="s">
        <v>1316</v>
      </c>
      <c r="G314" t="s">
        <v>753</v>
      </c>
      <c r="H314" t="s">
        <v>715</v>
      </c>
      <c r="I314" t="s">
        <v>2120</v>
      </c>
      <c r="J314" t="s">
        <v>2121</v>
      </c>
      <c r="K314" t="s">
        <v>2122</v>
      </c>
      <c r="L314" t="s">
        <v>765</v>
      </c>
      <c r="M314" t="s">
        <v>720</v>
      </c>
      <c r="N314" t="s">
        <v>721</v>
      </c>
      <c r="O314">
        <v>1</v>
      </c>
      <c r="P314">
        <v>15</v>
      </c>
      <c r="Q314">
        <v>58</v>
      </c>
      <c r="R314" t="s">
        <v>758</v>
      </c>
      <c r="S314" t="s">
        <v>745</v>
      </c>
      <c r="T314" t="s">
        <v>746</v>
      </c>
      <c r="U314" t="s">
        <v>759</v>
      </c>
    </row>
    <row r="315" spans="1:21" hidden="1" x14ac:dyDescent="0.3">
      <c r="A315" s="1" t="s">
        <v>1778</v>
      </c>
      <c r="B315" t="s">
        <v>1505</v>
      </c>
      <c r="C315" t="s">
        <v>750</v>
      </c>
      <c r="D315" t="s">
        <v>1320</v>
      </c>
      <c r="E315" t="s">
        <v>567</v>
      </c>
      <c r="F315" t="s">
        <v>1321</v>
      </c>
      <c r="G315" t="s">
        <v>753</v>
      </c>
      <c r="H315" t="s">
        <v>715</v>
      </c>
      <c r="I315" t="s">
        <v>2123</v>
      </c>
      <c r="J315" t="s">
        <v>2124</v>
      </c>
      <c r="K315" t="s">
        <v>2125</v>
      </c>
      <c r="L315" t="s">
        <v>765</v>
      </c>
      <c r="M315" t="s">
        <v>720</v>
      </c>
      <c r="N315" t="s">
        <v>721</v>
      </c>
      <c r="O315">
        <v>1</v>
      </c>
      <c r="P315">
        <v>15</v>
      </c>
      <c r="Q315">
        <v>63</v>
      </c>
      <c r="R315" t="s">
        <v>758</v>
      </c>
      <c r="S315" t="s">
        <v>745</v>
      </c>
      <c r="T315" t="s">
        <v>746</v>
      </c>
      <c r="U315" t="s">
        <v>759</v>
      </c>
    </row>
    <row r="316" spans="1:21" hidden="1" x14ac:dyDescent="0.3">
      <c r="A316" s="1" t="s">
        <v>1778</v>
      </c>
      <c r="B316" t="s">
        <v>1505</v>
      </c>
      <c r="C316" t="s">
        <v>750</v>
      </c>
      <c r="D316" t="s">
        <v>1325</v>
      </c>
      <c r="E316" t="s">
        <v>567</v>
      </c>
      <c r="F316" t="s">
        <v>1326</v>
      </c>
      <c r="G316" t="s">
        <v>753</v>
      </c>
      <c r="H316" t="s">
        <v>715</v>
      </c>
      <c r="I316" t="s">
        <v>2126</v>
      </c>
      <c r="J316" t="s">
        <v>2127</v>
      </c>
      <c r="K316" t="s">
        <v>2128</v>
      </c>
      <c r="L316" t="s">
        <v>765</v>
      </c>
      <c r="M316" t="s">
        <v>720</v>
      </c>
      <c r="N316" t="s">
        <v>721</v>
      </c>
      <c r="O316">
        <v>0</v>
      </c>
      <c r="P316">
        <v>15</v>
      </c>
      <c r="Q316">
        <v>52</v>
      </c>
      <c r="R316" t="s">
        <v>758</v>
      </c>
      <c r="S316" t="s">
        <v>745</v>
      </c>
      <c r="T316" t="s">
        <v>746</v>
      </c>
      <c r="U316" t="s">
        <v>759</v>
      </c>
    </row>
    <row r="317" spans="1:21" hidden="1" x14ac:dyDescent="0.3">
      <c r="A317" s="1" t="s">
        <v>1778</v>
      </c>
      <c r="B317" t="s">
        <v>1505</v>
      </c>
      <c r="C317" t="s">
        <v>750</v>
      </c>
      <c r="D317" t="s">
        <v>1330</v>
      </c>
      <c r="E317" t="s">
        <v>567</v>
      </c>
      <c r="F317" t="s">
        <v>1331</v>
      </c>
      <c r="G317" t="s">
        <v>794</v>
      </c>
      <c r="H317" t="s">
        <v>715</v>
      </c>
      <c r="I317" t="s">
        <v>2129</v>
      </c>
      <c r="J317" t="s">
        <v>2130</v>
      </c>
      <c r="K317" t="s">
        <v>2131</v>
      </c>
      <c r="L317" t="s">
        <v>826</v>
      </c>
      <c r="M317" t="s">
        <v>720</v>
      </c>
      <c r="N317" t="s">
        <v>721</v>
      </c>
      <c r="O317">
        <v>11</v>
      </c>
      <c r="P317">
        <v>2</v>
      </c>
      <c r="Q317">
        <v>1</v>
      </c>
      <c r="R317" t="s">
        <v>798</v>
      </c>
      <c r="S317" t="s">
        <v>745</v>
      </c>
      <c r="T317" t="s">
        <v>746</v>
      </c>
      <c r="U317" t="s">
        <v>759</v>
      </c>
    </row>
    <row r="318" spans="1:21" hidden="1" x14ac:dyDescent="0.3">
      <c r="A318" s="1" t="s">
        <v>1778</v>
      </c>
      <c r="B318" t="s">
        <v>1505</v>
      </c>
      <c r="C318" t="s">
        <v>750</v>
      </c>
      <c r="D318" t="s">
        <v>1335</v>
      </c>
      <c r="E318" t="s">
        <v>567</v>
      </c>
      <c r="F318" t="s">
        <v>1336</v>
      </c>
      <c r="G318" t="s">
        <v>794</v>
      </c>
      <c r="H318" t="s">
        <v>715</v>
      </c>
      <c r="I318" t="s">
        <v>2132</v>
      </c>
      <c r="J318" t="s">
        <v>2133</v>
      </c>
      <c r="K318" t="s">
        <v>2134</v>
      </c>
      <c r="L318" t="s">
        <v>826</v>
      </c>
      <c r="M318" t="s">
        <v>720</v>
      </c>
      <c r="N318" t="s">
        <v>721</v>
      </c>
      <c r="O318">
        <v>4</v>
      </c>
      <c r="P318">
        <v>2</v>
      </c>
      <c r="Q318">
        <v>105</v>
      </c>
      <c r="R318" t="s">
        <v>798</v>
      </c>
      <c r="S318" t="s">
        <v>745</v>
      </c>
      <c r="T318" t="s">
        <v>746</v>
      </c>
      <c r="U318" t="s">
        <v>759</v>
      </c>
    </row>
    <row r="319" spans="1:21" hidden="1" x14ac:dyDescent="0.3">
      <c r="A319" s="1" t="s">
        <v>1778</v>
      </c>
      <c r="B319" t="s">
        <v>1505</v>
      </c>
      <c r="C319" t="s">
        <v>750</v>
      </c>
      <c r="D319" t="s">
        <v>1340</v>
      </c>
      <c r="E319" t="s">
        <v>567</v>
      </c>
      <c r="F319" t="s">
        <v>1341</v>
      </c>
      <c r="G319" t="s">
        <v>753</v>
      </c>
      <c r="H319" t="s">
        <v>715</v>
      </c>
      <c r="I319" t="s">
        <v>2135</v>
      </c>
      <c r="J319" t="s">
        <v>2136</v>
      </c>
      <c r="K319" t="s">
        <v>2137</v>
      </c>
      <c r="L319" t="s">
        <v>765</v>
      </c>
      <c r="M319" t="s">
        <v>720</v>
      </c>
      <c r="N319" t="s">
        <v>721</v>
      </c>
      <c r="O319">
        <v>1</v>
      </c>
      <c r="P319">
        <v>15</v>
      </c>
      <c r="Q319">
        <v>70</v>
      </c>
      <c r="R319" t="s">
        <v>758</v>
      </c>
      <c r="S319" t="s">
        <v>745</v>
      </c>
      <c r="T319" t="s">
        <v>746</v>
      </c>
      <c r="U319" t="s">
        <v>759</v>
      </c>
    </row>
    <row r="320" spans="1:21" hidden="1" x14ac:dyDescent="0.3">
      <c r="A320" s="1" t="s">
        <v>1778</v>
      </c>
      <c r="B320" t="s">
        <v>1505</v>
      </c>
      <c r="C320" t="s">
        <v>750</v>
      </c>
      <c r="D320" t="s">
        <v>1345</v>
      </c>
      <c r="E320" t="s">
        <v>567</v>
      </c>
      <c r="F320" t="s">
        <v>1346</v>
      </c>
      <c r="G320" t="s">
        <v>753</v>
      </c>
      <c r="H320" t="s">
        <v>715</v>
      </c>
      <c r="I320" t="s">
        <v>2138</v>
      </c>
      <c r="J320" t="s">
        <v>1348</v>
      </c>
      <c r="K320" t="s">
        <v>2139</v>
      </c>
      <c r="L320" t="s">
        <v>765</v>
      </c>
      <c r="M320" t="s">
        <v>720</v>
      </c>
      <c r="N320" t="s">
        <v>721</v>
      </c>
      <c r="O320">
        <v>3</v>
      </c>
      <c r="P320">
        <v>15</v>
      </c>
      <c r="Q320">
        <v>27</v>
      </c>
      <c r="R320" t="s">
        <v>758</v>
      </c>
      <c r="S320" t="s">
        <v>745</v>
      </c>
      <c r="T320" t="s">
        <v>746</v>
      </c>
      <c r="U320" t="s">
        <v>759</v>
      </c>
    </row>
    <row r="321" spans="1:21" hidden="1" x14ac:dyDescent="0.3">
      <c r="A321" s="1" t="s">
        <v>1778</v>
      </c>
      <c r="B321" t="s">
        <v>1505</v>
      </c>
      <c r="C321" t="s">
        <v>750</v>
      </c>
      <c r="D321" t="s">
        <v>1350</v>
      </c>
      <c r="E321" t="s">
        <v>567</v>
      </c>
      <c r="F321" t="s">
        <v>1351</v>
      </c>
      <c r="G321" t="s">
        <v>794</v>
      </c>
      <c r="H321" t="s">
        <v>715</v>
      </c>
      <c r="I321" t="s">
        <v>2140</v>
      </c>
      <c r="J321" t="s">
        <v>2141</v>
      </c>
      <c r="K321" t="s">
        <v>2142</v>
      </c>
      <c r="L321" t="s">
        <v>826</v>
      </c>
      <c r="M321" t="s">
        <v>720</v>
      </c>
      <c r="N321" t="s">
        <v>721</v>
      </c>
      <c r="O321">
        <v>8</v>
      </c>
      <c r="P321">
        <v>2</v>
      </c>
      <c r="Q321">
        <v>0</v>
      </c>
      <c r="R321" t="s">
        <v>798</v>
      </c>
      <c r="S321" t="s">
        <v>745</v>
      </c>
      <c r="T321" t="s">
        <v>746</v>
      </c>
      <c r="U321" t="s">
        <v>759</v>
      </c>
    </row>
    <row r="322" spans="1:21" hidden="1" x14ac:dyDescent="0.3">
      <c r="A322" s="1" t="s">
        <v>1778</v>
      </c>
      <c r="B322" t="s">
        <v>1505</v>
      </c>
      <c r="C322" t="s">
        <v>750</v>
      </c>
      <c r="D322" t="s">
        <v>1356</v>
      </c>
      <c r="E322" t="s">
        <v>569</v>
      </c>
      <c r="F322" t="s">
        <v>1357</v>
      </c>
      <c r="G322" t="s">
        <v>794</v>
      </c>
      <c r="H322" t="s">
        <v>715</v>
      </c>
      <c r="I322" t="s">
        <v>1789</v>
      </c>
      <c r="J322" t="s">
        <v>1790</v>
      </c>
      <c r="K322" t="s">
        <v>1791</v>
      </c>
      <c r="L322" t="s">
        <v>757</v>
      </c>
      <c r="M322" t="s">
        <v>720</v>
      </c>
      <c r="N322" t="s">
        <v>721</v>
      </c>
      <c r="O322">
        <v>8</v>
      </c>
      <c r="P322">
        <v>7</v>
      </c>
      <c r="Q322">
        <v>100</v>
      </c>
      <c r="R322" t="s">
        <v>758</v>
      </c>
      <c r="S322" t="s">
        <v>745</v>
      </c>
      <c r="T322" t="s">
        <v>746</v>
      </c>
      <c r="U322" t="s">
        <v>759</v>
      </c>
    </row>
    <row r="323" spans="1:21" hidden="1" x14ac:dyDescent="0.3">
      <c r="A323" s="1" t="s">
        <v>1778</v>
      </c>
      <c r="B323" t="s">
        <v>1505</v>
      </c>
      <c r="C323" t="s">
        <v>750</v>
      </c>
      <c r="D323" t="s">
        <v>1361</v>
      </c>
      <c r="E323" t="s">
        <v>569</v>
      </c>
      <c r="F323" t="s">
        <v>761</v>
      </c>
      <c r="G323" t="s">
        <v>794</v>
      </c>
      <c r="H323" t="s">
        <v>715</v>
      </c>
      <c r="I323" t="s">
        <v>1792</v>
      </c>
      <c r="J323" t="s">
        <v>1793</v>
      </c>
      <c r="K323" t="s">
        <v>1794</v>
      </c>
      <c r="L323" t="s">
        <v>826</v>
      </c>
      <c r="M323" t="s">
        <v>720</v>
      </c>
      <c r="N323" t="s">
        <v>721</v>
      </c>
      <c r="O323">
        <v>2</v>
      </c>
      <c r="P323">
        <v>2</v>
      </c>
      <c r="Q323">
        <v>15</v>
      </c>
      <c r="R323" t="s">
        <v>798</v>
      </c>
      <c r="S323" t="s">
        <v>745</v>
      </c>
      <c r="T323" t="s">
        <v>746</v>
      </c>
      <c r="U323" t="s">
        <v>759</v>
      </c>
    </row>
    <row r="324" spans="1:21" hidden="1" x14ac:dyDescent="0.3">
      <c r="A324" s="1" t="s">
        <v>1778</v>
      </c>
      <c r="B324" t="s">
        <v>1505</v>
      </c>
      <c r="C324" t="s">
        <v>750</v>
      </c>
      <c r="D324" t="s">
        <v>1782</v>
      </c>
      <c r="E324" t="s">
        <v>569</v>
      </c>
      <c r="F324" t="s">
        <v>773</v>
      </c>
      <c r="G324" t="s">
        <v>794</v>
      </c>
      <c r="H324" t="s">
        <v>715</v>
      </c>
      <c r="I324" t="s">
        <v>1798</v>
      </c>
      <c r="J324" t="s">
        <v>1799</v>
      </c>
      <c r="K324" t="s">
        <v>1800</v>
      </c>
      <c r="L324" t="s">
        <v>765</v>
      </c>
      <c r="M324" t="s">
        <v>720</v>
      </c>
      <c r="N324" t="s">
        <v>721</v>
      </c>
      <c r="O324">
        <v>8</v>
      </c>
      <c r="P324">
        <v>15</v>
      </c>
      <c r="Q324">
        <v>112</v>
      </c>
      <c r="R324" t="s">
        <v>758</v>
      </c>
      <c r="S324" t="s">
        <v>745</v>
      </c>
      <c r="T324" t="s">
        <v>746</v>
      </c>
      <c r="U324" t="s">
        <v>759</v>
      </c>
    </row>
    <row r="325" spans="1:21" hidden="1" x14ac:dyDescent="0.3">
      <c r="A325" s="1" t="s">
        <v>1778</v>
      </c>
      <c r="B325" t="s">
        <v>1505</v>
      </c>
      <c r="C325" t="s">
        <v>750</v>
      </c>
      <c r="D325" t="s">
        <v>1364</v>
      </c>
      <c r="E325" t="s">
        <v>569</v>
      </c>
      <c r="F325" t="s">
        <v>788</v>
      </c>
      <c r="G325" t="s">
        <v>794</v>
      </c>
      <c r="H325" t="s">
        <v>715</v>
      </c>
      <c r="I325" t="s">
        <v>1807</v>
      </c>
      <c r="J325" t="s">
        <v>1808</v>
      </c>
      <c r="K325" t="s">
        <v>1809</v>
      </c>
      <c r="L325" t="s">
        <v>826</v>
      </c>
      <c r="M325" t="s">
        <v>720</v>
      </c>
      <c r="N325" t="s">
        <v>721</v>
      </c>
      <c r="O325">
        <v>4</v>
      </c>
      <c r="P325">
        <v>10</v>
      </c>
      <c r="Q325">
        <v>2</v>
      </c>
      <c r="R325" t="s">
        <v>722</v>
      </c>
      <c r="S325" t="s">
        <v>745</v>
      </c>
      <c r="T325" t="s">
        <v>746</v>
      </c>
      <c r="U325" t="s">
        <v>759</v>
      </c>
    </row>
    <row r="326" spans="1:21" hidden="1" x14ac:dyDescent="0.3">
      <c r="A326" s="1" t="s">
        <v>1778</v>
      </c>
      <c r="B326" t="s">
        <v>1505</v>
      </c>
      <c r="C326" t="s">
        <v>750</v>
      </c>
      <c r="D326" t="s">
        <v>1365</v>
      </c>
      <c r="E326" t="s">
        <v>569</v>
      </c>
      <c r="F326" t="s">
        <v>812</v>
      </c>
      <c r="G326" t="s">
        <v>794</v>
      </c>
      <c r="H326" t="s">
        <v>715</v>
      </c>
      <c r="I326" t="s">
        <v>1819</v>
      </c>
      <c r="J326" t="s">
        <v>1820</v>
      </c>
      <c r="K326" t="s">
        <v>1821</v>
      </c>
      <c r="L326" t="s">
        <v>765</v>
      </c>
      <c r="M326" t="s">
        <v>720</v>
      </c>
      <c r="N326" t="s">
        <v>721</v>
      </c>
      <c r="O326">
        <v>9</v>
      </c>
      <c r="P326">
        <v>15</v>
      </c>
      <c r="Q326">
        <v>60</v>
      </c>
      <c r="R326" t="s">
        <v>758</v>
      </c>
      <c r="S326" t="s">
        <v>745</v>
      </c>
      <c r="T326" t="s">
        <v>746</v>
      </c>
      <c r="U326" t="s">
        <v>771</v>
      </c>
    </row>
    <row r="327" spans="1:21" hidden="1" x14ac:dyDescent="0.3">
      <c r="A327" s="1" t="s">
        <v>1778</v>
      </c>
      <c r="B327" t="s">
        <v>1505</v>
      </c>
      <c r="C327" t="s">
        <v>750</v>
      </c>
      <c r="D327" t="s">
        <v>2143</v>
      </c>
      <c r="E327" t="s">
        <v>569</v>
      </c>
      <c r="F327" t="s">
        <v>822</v>
      </c>
      <c r="G327" t="s">
        <v>794</v>
      </c>
      <c r="H327" t="s">
        <v>715</v>
      </c>
      <c r="I327" t="s">
        <v>1825</v>
      </c>
      <c r="J327" t="s">
        <v>1826</v>
      </c>
      <c r="K327" t="s">
        <v>1827</v>
      </c>
      <c r="L327" t="s">
        <v>765</v>
      </c>
      <c r="M327" t="s">
        <v>720</v>
      </c>
      <c r="N327" t="s">
        <v>721</v>
      </c>
      <c r="O327">
        <v>1</v>
      </c>
      <c r="P327">
        <v>15</v>
      </c>
      <c r="Q327">
        <v>112</v>
      </c>
      <c r="R327" t="s">
        <v>758</v>
      </c>
      <c r="S327" t="s">
        <v>745</v>
      </c>
      <c r="T327" t="s">
        <v>746</v>
      </c>
      <c r="U327" t="s">
        <v>759</v>
      </c>
    </row>
    <row r="328" spans="1:21" hidden="1" x14ac:dyDescent="0.3">
      <c r="A328" s="1" t="s">
        <v>1778</v>
      </c>
      <c r="B328" t="s">
        <v>1505</v>
      </c>
      <c r="C328" t="s">
        <v>750</v>
      </c>
      <c r="D328" t="s">
        <v>1369</v>
      </c>
      <c r="E328" t="s">
        <v>569</v>
      </c>
      <c r="F328" t="s">
        <v>839</v>
      </c>
      <c r="G328" t="s">
        <v>714</v>
      </c>
      <c r="H328" t="s">
        <v>715</v>
      </c>
      <c r="I328" t="s">
        <v>1834</v>
      </c>
      <c r="J328" t="s">
        <v>1835</v>
      </c>
      <c r="K328" t="s">
        <v>1836</v>
      </c>
      <c r="L328" t="s">
        <v>826</v>
      </c>
      <c r="M328" t="s">
        <v>720</v>
      </c>
      <c r="N328" t="s">
        <v>721</v>
      </c>
      <c r="O328">
        <v>0</v>
      </c>
      <c r="P328">
        <v>2</v>
      </c>
      <c r="Q328">
        <v>11</v>
      </c>
      <c r="R328" t="s">
        <v>798</v>
      </c>
      <c r="S328" t="s">
        <v>745</v>
      </c>
      <c r="T328" t="s">
        <v>746</v>
      </c>
      <c r="U328" t="s">
        <v>759</v>
      </c>
    </row>
    <row r="329" spans="1:21" hidden="1" x14ac:dyDescent="0.3">
      <c r="A329" s="1" t="s">
        <v>1778</v>
      </c>
      <c r="B329" t="s">
        <v>1505</v>
      </c>
      <c r="C329" t="s">
        <v>750</v>
      </c>
      <c r="D329" t="s">
        <v>1370</v>
      </c>
      <c r="E329" t="s">
        <v>569</v>
      </c>
      <c r="F329" t="s">
        <v>844</v>
      </c>
      <c r="G329" t="s">
        <v>753</v>
      </c>
      <c r="H329" t="s">
        <v>715</v>
      </c>
      <c r="I329" t="s">
        <v>1837</v>
      </c>
      <c r="J329" t="s">
        <v>1838</v>
      </c>
      <c r="K329" t="s">
        <v>1839</v>
      </c>
      <c r="L329" t="s">
        <v>765</v>
      </c>
      <c r="M329" t="s">
        <v>720</v>
      </c>
      <c r="N329" t="s">
        <v>721</v>
      </c>
      <c r="O329">
        <v>1</v>
      </c>
      <c r="P329">
        <v>15</v>
      </c>
      <c r="Q329">
        <v>74</v>
      </c>
      <c r="R329" t="s">
        <v>758</v>
      </c>
      <c r="S329" t="s">
        <v>745</v>
      </c>
      <c r="T329" t="s">
        <v>746</v>
      </c>
      <c r="U329" t="s">
        <v>919</v>
      </c>
    </row>
    <row r="330" spans="1:21" hidden="1" x14ac:dyDescent="0.3">
      <c r="A330" s="1" t="s">
        <v>1778</v>
      </c>
      <c r="B330" t="s">
        <v>1505</v>
      </c>
      <c r="C330" t="s">
        <v>750</v>
      </c>
      <c r="D330" t="s">
        <v>2144</v>
      </c>
      <c r="E330" t="s">
        <v>569</v>
      </c>
      <c r="F330" t="s">
        <v>849</v>
      </c>
      <c r="G330" t="s">
        <v>794</v>
      </c>
      <c r="H330" t="s">
        <v>715</v>
      </c>
      <c r="I330" t="s">
        <v>1840</v>
      </c>
      <c r="J330" t="s">
        <v>1841</v>
      </c>
      <c r="K330" t="s">
        <v>1842</v>
      </c>
      <c r="L330" t="s">
        <v>826</v>
      </c>
      <c r="M330" t="s">
        <v>720</v>
      </c>
      <c r="N330" t="s">
        <v>721</v>
      </c>
      <c r="O330">
        <v>4</v>
      </c>
      <c r="P330">
        <v>2</v>
      </c>
      <c r="Q330">
        <v>11</v>
      </c>
      <c r="R330" t="s">
        <v>798</v>
      </c>
      <c r="S330" t="s">
        <v>745</v>
      </c>
      <c r="T330" t="s">
        <v>746</v>
      </c>
      <c r="U330" t="s">
        <v>759</v>
      </c>
    </row>
    <row r="331" spans="1:21" hidden="1" x14ac:dyDescent="0.3">
      <c r="A331" s="1" t="s">
        <v>1778</v>
      </c>
      <c r="B331" t="s">
        <v>1505</v>
      </c>
      <c r="C331" t="s">
        <v>750</v>
      </c>
      <c r="D331" t="s">
        <v>1371</v>
      </c>
      <c r="E331" t="s">
        <v>569</v>
      </c>
      <c r="F331" t="s">
        <v>855</v>
      </c>
      <c r="G331" t="s">
        <v>794</v>
      </c>
      <c r="H331" t="s">
        <v>715</v>
      </c>
      <c r="I331" t="s">
        <v>1843</v>
      </c>
      <c r="J331" t="s">
        <v>1844</v>
      </c>
      <c r="K331" t="s">
        <v>1845</v>
      </c>
      <c r="L331" t="s">
        <v>765</v>
      </c>
      <c r="M331" t="s">
        <v>720</v>
      </c>
      <c r="N331" t="s">
        <v>721</v>
      </c>
      <c r="O331">
        <v>3</v>
      </c>
      <c r="P331">
        <v>15</v>
      </c>
      <c r="Q331">
        <v>90</v>
      </c>
      <c r="R331" t="s">
        <v>758</v>
      </c>
      <c r="S331" t="s">
        <v>745</v>
      </c>
      <c r="T331" t="s">
        <v>746</v>
      </c>
      <c r="U331" t="s">
        <v>759</v>
      </c>
    </row>
    <row r="332" spans="1:21" hidden="1" x14ac:dyDescent="0.3">
      <c r="A332" s="1" t="s">
        <v>1778</v>
      </c>
      <c r="B332" t="s">
        <v>1505</v>
      </c>
      <c r="C332" t="s">
        <v>750</v>
      </c>
      <c r="D332" t="s">
        <v>2145</v>
      </c>
      <c r="E332" t="s">
        <v>569</v>
      </c>
      <c r="F332" t="s">
        <v>860</v>
      </c>
      <c r="G332" t="s">
        <v>794</v>
      </c>
      <c r="H332" t="s">
        <v>715</v>
      </c>
      <c r="I332" t="s">
        <v>1846</v>
      </c>
      <c r="J332" t="s">
        <v>1847</v>
      </c>
      <c r="K332" t="s">
        <v>1848</v>
      </c>
      <c r="L332" t="s">
        <v>826</v>
      </c>
      <c r="M332" t="s">
        <v>720</v>
      </c>
      <c r="N332" t="s">
        <v>721</v>
      </c>
      <c r="O332">
        <v>10</v>
      </c>
      <c r="P332">
        <v>10</v>
      </c>
      <c r="Q332">
        <v>41</v>
      </c>
      <c r="R332" t="s">
        <v>722</v>
      </c>
      <c r="S332" t="s">
        <v>745</v>
      </c>
      <c r="T332" t="s">
        <v>746</v>
      </c>
      <c r="U332" t="s">
        <v>759</v>
      </c>
    </row>
    <row r="333" spans="1:21" hidden="1" x14ac:dyDescent="0.3">
      <c r="A333" s="1" t="s">
        <v>1778</v>
      </c>
      <c r="B333" t="s">
        <v>1505</v>
      </c>
      <c r="C333" t="s">
        <v>750</v>
      </c>
      <c r="D333" t="s">
        <v>1372</v>
      </c>
      <c r="E333" t="s">
        <v>569</v>
      </c>
      <c r="F333" t="s">
        <v>1373</v>
      </c>
      <c r="G333" t="s">
        <v>794</v>
      </c>
      <c r="H333" t="s">
        <v>715</v>
      </c>
      <c r="I333" t="s">
        <v>1858</v>
      </c>
      <c r="J333" t="s">
        <v>1859</v>
      </c>
      <c r="K333" t="s">
        <v>1860</v>
      </c>
      <c r="L333" t="s">
        <v>765</v>
      </c>
      <c r="M333" t="s">
        <v>720</v>
      </c>
      <c r="N333" t="s">
        <v>721</v>
      </c>
      <c r="O333">
        <v>1</v>
      </c>
      <c r="P333">
        <v>15</v>
      </c>
      <c r="Q333">
        <v>39</v>
      </c>
      <c r="R333" t="s">
        <v>758</v>
      </c>
      <c r="S333" t="s">
        <v>745</v>
      </c>
      <c r="T333" t="s">
        <v>746</v>
      </c>
      <c r="U333" t="s">
        <v>759</v>
      </c>
    </row>
    <row r="334" spans="1:21" hidden="1" x14ac:dyDescent="0.3">
      <c r="A334" s="1" t="s">
        <v>1778</v>
      </c>
      <c r="B334" t="s">
        <v>1505</v>
      </c>
      <c r="C334" t="s">
        <v>750</v>
      </c>
      <c r="D334" t="s">
        <v>1378</v>
      </c>
      <c r="E334" t="s">
        <v>569</v>
      </c>
      <c r="F334" t="s">
        <v>885</v>
      </c>
      <c r="G334" t="s">
        <v>794</v>
      </c>
      <c r="H334" t="s">
        <v>715</v>
      </c>
      <c r="I334" t="s">
        <v>1864</v>
      </c>
      <c r="J334" t="s">
        <v>1865</v>
      </c>
      <c r="K334" t="s">
        <v>1866</v>
      </c>
      <c r="L334" t="s">
        <v>1082</v>
      </c>
      <c r="M334" t="s">
        <v>720</v>
      </c>
      <c r="N334" t="s">
        <v>721</v>
      </c>
      <c r="O334">
        <v>13</v>
      </c>
      <c r="P334">
        <v>0</v>
      </c>
      <c r="Q334">
        <v>37</v>
      </c>
      <c r="R334" t="s">
        <v>798</v>
      </c>
      <c r="S334" t="s">
        <v>723</v>
      </c>
      <c r="T334" t="s">
        <v>1083</v>
      </c>
      <c r="U334" t="s">
        <v>707</v>
      </c>
    </row>
    <row r="335" spans="1:21" hidden="1" x14ac:dyDescent="0.3">
      <c r="A335" s="1" t="s">
        <v>1778</v>
      </c>
      <c r="B335" t="s">
        <v>1505</v>
      </c>
      <c r="C335" t="s">
        <v>750</v>
      </c>
      <c r="D335" t="s">
        <v>1379</v>
      </c>
      <c r="E335" t="s">
        <v>569</v>
      </c>
      <c r="F335" t="s">
        <v>890</v>
      </c>
      <c r="G335" t="s">
        <v>794</v>
      </c>
      <c r="H335" t="s">
        <v>715</v>
      </c>
      <c r="I335" t="s">
        <v>2146</v>
      </c>
      <c r="J335" t="s">
        <v>2147</v>
      </c>
      <c r="K335" t="s">
        <v>2148</v>
      </c>
      <c r="L335" t="s">
        <v>826</v>
      </c>
      <c r="M335" t="s">
        <v>720</v>
      </c>
      <c r="N335" t="s">
        <v>721</v>
      </c>
      <c r="O335">
        <v>15</v>
      </c>
      <c r="P335">
        <v>2</v>
      </c>
      <c r="Q335">
        <v>118</v>
      </c>
      <c r="R335" t="s">
        <v>798</v>
      </c>
      <c r="S335" t="s">
        <v>745</v>
      </c>
      <c r="T335" t="s">
        <v>746</v>
      </c>
      <c r="U335" t="s">
        <v>919</v>
      </c>
    </row>
    <row r="336" spans="1:21" hidden="1" x14ac:dyDescent="0.3">
      <c r="A336" s="1" t="s">
        <v>1778</v>
      </c>
      <c r="B336" t="s">
        <v>1505</v>
      </c>
      <c r="C336" t="s">
        <v>750</v>
      </c>
      <c r="D336" t="s">
        <v>1380</v>
      </c>
      <c r="E336" t="s">
        <v>569</v>
      </c>
      <c r="F336" t="s">
        <v>895</v>
      </c>
      <c r="G336" t="s">
        <v>714</v>
      </c>
      <c r="H336" t="s">
        <v>715</v>
      </c>
      <c r="I336" t="s">
        <v>2149</v>
      </c>
      <c r="J336" t="s">
        <v>2150</v>
      </c>
      <c r="K336" t="s">
        <v>2151</v>
      </c>
      <c r="L336" t="s">
        <v>1082</v>
      </c>
      <c r="M336" t="s">
        <v>720</v>
      </c>
      <c r="N336" t="s">
        <v>721</v>
      </c>
      <c r="O336">
        <v>7</v>
      </c>
      <c r="P336">
        <v>0</v>
      </c>
      <c r="Q336">
        <v>25</v>
      </c>
      <c r="R336" t="s">
        <v>798</v>
      </c>
      <c r="S336" t="s">
        <v>723</v>
      </c>
      <c r="T336" t="s">
        <v>1083</v>
      </c>
      <c r="U336" t="s">
        <v>707</v>
      </c>
    </row>
    <row r="337" spans="1:21" hidden="1" x14ac:dyDescent="0.3">
      <c r="A337" s="1" t="s">
        <v>1778</v>
      </c>
      <c r="B337" t="s">
        <v>1505</v>
      </c>
      <c r="C337" t="s">
        <v>750</v>
      </c>
      <c r="D337" t="s">
        <v>1382</v>
      </c>
      <c r="E337" t="s">
        <v>569</v>
      </c>
      <c r="F337" t="s">
        <v>906</v>
      </c>
      <c r="G337" t="s">
        <v>794</v>
      </c>
      <c r="H337" t="s">
        <v>715</v>
      </c>
      <c r="I337" t="s">
        <v>1870</v>
      </c>
      <c r="J337" t="s">
        <v>1871</v>
      </c>
      <c r="K337" t="s">
        <v>1872</v>
      </c>
      <c r="L337" t="s">
        <v>826</v>
      </c>
      <c r="M337" t="s">
        <v>720</v>
      </c>
      <c r="N337" t="s">
        <v>721</v>
      </c>
      <c r="O337">
        <v>0</v>
      </c>
      <c r="P337">
        <v>2</v>
      </c>
      <c r="Q337">
        <v>7</v>
      </c>
      <c r="R337" t="s">
        <v>798</v>
      </c>
      <c r="S337" t="s">
        <v>745</v>
      </c>
      <c r="T337" t="s">
        <v>746</v>
      </c>
      <c r="U337" t="s">
        <v>759</v>
      </c>
    </row>
    <row r="338" spans="1:21" hidden="1" x14ac:dyDescent="0.3">
      <c r="A338" s="1" t="s">
        <v>1778</v>
      </c>
      <c r="B338" t="s">
        <v>1505</v>
      </c>
      <c r="C338" t="s">
        <v>750</v>
      </c>
      <c r="D338" t="s">
        <v>2152</v>
      </c>
      <c r="E338" t="s">
        <v>569</v>
      </c>
      <c r="F338" t="s">
        <v>911</v>
      </c>
      <c r="G338" t="s">
        <v>794</v>
      </c>
      <c r="H338" t="s">
        <v>715</v>
      </c>
      <c r="I338" t="s">
        <v>1873</v>
      </c>
      <c r="J338" t="s">
        <v>1874</v>
      </c>
      <c r="K338" t="s">
        <v>1875</v>
      </c>
      <c r="L338" t="s">
        <v>757</v>
      </c>
      <c r="M338" t="s">
        <v>720</v>
      </c>
      <c r="N338" t="s">
        <v>721</v>
      </c>
      <c r="O338">
        <v>9</v>
      </c>
      <c r="P338">
        <v>7</v>
      </c>
      <c r="Q338">
        <v>68</v>
      </c>
      <c r="R338" t="s">
        <v>758</v>
      </c>
      <c r="S338" t="s">
        <v>745</v>
      </c>
      <c r="T338" t="s">
        <v>746</v>
      </c>
      <c r="U338" t="s">
        <v>919</v>
      </c>
    </row>
    <row r="339" spans="1:21" hidden="1" x14ac:dyDescent="0.3">
      <c r="A339" s="1" t="s">
        <v>1778</v>
      </c>
      <c r="B339" t="s">
        <v>1505</v>
      </c>
      <c r="C339" t="s">
        <v>750</v>
      </c>
      <c r="D339" t="s">
        <v>1383</v>
      </c>
      <c r="E339" t="s">
        <v>569</v>
      </c>
      <c r="F339" t="s">
        <v>921</v>
      </c>
      <c r="G339" t="s">
        <v>753</v>
      </c>
      <c r="H339" t="s">
        <v>715</v>
      </c>
      <c r="I339" t="s">
        <v>1879</v>
      </c>
      <c r="J339" t="s">
        <v>1880</v>
      </c>
      <c r="K339" t="s">
        <v>1881</v>
      </c>
      <c r="L339" t="s">
        <v>765</v>
      </c>
      <c r="M339" t="s">
        <v>720</v>
      </c>
      <c r="N339" t="s">
        <v>721</v>
      </c>
      <c r="O339">
        <v>1</v>
      </c>
      <c r="P339">
        <v>15</v>
      </c>
      <c r="Q339">
        <v>70</v>
      </c>
      <c r="R339" t="s">
        <v>758</v>
      </c>
      <c r="S339" t="s">
        <v>745</v>
      </c>
      <c r="T339" t="s">
        <v>746</v>
      </c>
      <c r="U339" t="s">
        <v>759</v>
      </c>
    </row>
    <row r="340" spans="1:21" hidden="1" x14ac:dyDescent="0.3">
      <c r="A340" s="1" t="s">
        <v>1778</v>
      </c>
      <c r="B340" t="s">
        <v>1505</v>
      </c>
      <c r="C340" t="s">
        <v>750</v>
      </c>
      <c r="D340" t="s">
        <v>1384</v>
      </c>
      <c r="E340" t="s">
        <v>569</v>
      </c>
      <c r="F340" t="s">
        <v>926</v>
      </c>
      <c r="G340" t="s">
        <v>714</v>
      </c>
      <c r="H340" t="s">
        <v>715</v>
      </c>
      <c r="I340" t="s">
        <v>1882</v>
      </c>
      <c r="J340" t="s">
        <v>1883</v>
      </c>
      <c r="K340" t="s">
        <v>1884</v>
      </c>
      <c r="L340" t="s">
        <v>757</v>
      </c>
      <c r="M340" t="s">
        <v>720</v>
      </c>
      <c r="N340" t="s">
        <v>721</v>
      </c>
      <c r="O340">
        <v>1</v>
      </c>
      <c r="P340">
        <v>7</v>
      </c>
      <c r="Q340">
        <v>4</v>
      </c>
      <c r="R340" t="s">
        <v>758</v>
      </c>
      <c r="S340" t="s">
        <v>745</v>
      </c>
      <c r="T340" t="s">
        <v>746</v>
      </c>
      <c r="U340" t="s">
        <v>759</v>
      </c>
    </row>
    <row r="341" spans="1:21" hidden="1" x14ac:dyDescent="0.3">
      <c r="A341" s="1" t="s">
        <v>1778</v>
      </c>
      <c r="B341" t="s">
        <v>1505</v>
      </c>
      <c r="C341" t="s">
        <v>750</v>
      </c>
      <c r="D341" t="s">
        <v>2153</v>
      </c>
      <c r="E341" t="s">
        <v>569</v>
      </c>
      <c r="F341" t="s">
        <v>936</v>
      </c>
      <c r="G341" t="s">
        <v>753</v>
      </c>
      <c r="H341" t="s">
        <v>715</v>
      </c>
      <c r="I341" t="s">
        <v>1888</v>
      </c>
      <c r="J341" t="s">
        <v>1889</v>
      </c>
      <c r="K341" t="s">
        <v>1890</v>
      </c>
      <c r="L341" t="s">
        <v>765</v>
      </c>
      <c r="M341" t="s">
        <v>720</v>
      </c>
      <c r="N341" t="s">
        <v>721</v>
      </c>
      <c r="O341">
        <v>5</v>
      </c>
      <c r="P341">
        <v>15</v>
      </c>
      <c r="Q341">
        <v>53</v>
      </c>
      <c r="R341" t="s">
        <v>758</v>
      </c>
      <c r="S341" t="s">
        <v>745</v>
      </c>
      <c r="T341" t="s">
        <v>746</v>
      </c>
      <c r="U341" t="s">
        <v>759</v>
      </c>
    </row>
    <row r="342" spans="1:21" hidden="1" x14ac:dyDescent="0.3">
      <c r="A342" s="1" t="s">
        <v>1778</v>
      </c>
      <c r="B342" t="s">
        <v>1505</v>
      </c>
      <c r="C342" t="s">
        <v>750</v>
      </c>
      <c r="D342" t="s">
        <v>1386</v>
      </c>
      <c r="E342" t="s">
        <v>569</v>
      </c>
      <c r="F342" t="s">
        <v>946</v>
      </c>
      <c r="G342" t="s">
        <v>794</v>
      </c>
      <c r="H342" t="s">
        <v>715</v>
      </c>
      <c r="I342" t="s">
        <v>1894</v>
      </c>
      <c r="J342" t="s">
        <v>1895</v>
      </c>
      <c r="K342" t="s">
        <v>1896</v>
      </c>
      <c r="L342" t="s">
        <v>741</v>
      </c>
      <c r="M342" t="s">
        <v>720</v>
      </c>
      <c r="N342" t="s">
        <v>743</v>
      </c>
      <c r="O342">
        <v>6</v>
      </c>
      <c r="P342">
        <v>0</v>
      </c>
      <c r="Q342">
        <v>52</v>
      </c>
      <c r="R342" t="s">
        <v>798</v>
      </c>
      <c r="S342" t="s">
        <v>745</v>
      </c>
      <c r="T342" t="s">
        <v>746</v>
      </c>
      <c r="U342" t="s">
        <v>759</v>
      </c>
    </row>
    <row r="343" spans="1:21" hidden="1" x14ac:dyDescent="0.3">
      <c r="A343" s="1" t="s">
        <v>1778</v>
      </c>
      <c r="B343" t="s">
        <v>1505</v>
      </c>
      <c r="C343" t="s">
        <v>750</v>
      </c>
      <c r="D343" t="s">
        <v>1387</v>
      </c>
      <c r="E343" t="s">
        <v>569</v>
      </c>
      <c r="F343" t="s">
        <v>1388</v>
      </c>
      <c r="G343" t="s">
        <v>714</v>
      </c>
      <c r="H343" t="s">
        <v>715</v>
      </c>
      <c r="I343" t="s">
        <v>1901</v>
      </c>
      <c r="J343" t="s">
        <v>1902</v>
      </c>
      <c r="K343" t="s">
        <v>1903</v>
      </c>
      <c r="L343" t="s">
        <v>826</v>
      </c>
      <c r="M343" t="s">
        <v>720</v>
      </c>
      <c r="N343" t="s">
        <v>721</v>
      </c>
      <c r="O343">
        <v>0</v>
      </c>
      <c r="P343">
        <v>2</v>
      </c>
      <c r="Q343">
        <v>118</v>
      </c>
      <c r="R343" t="s">
        <v>798</v>
      </c>
      <c r="S343" t="s">
        <v>745</v>
      </c>
      <c r="T343" t="s">
        <v>746</v>
      </c>
      <c r="U343" t="s">
        <v>759</v>
      </c>
    </row>
    <row r="344" spans="1:21" hidden="1" x14ac:dyDescent="0.3">
      <c r="A344" s="1" t="s">
        <v>1778</v>
      </c>
      <c r="B344" t="s">
        <v>1505</v>
      </c>
      <c r="C344" t="s">
        <v>750</v>
      </c>
      <c r="D344" t="s">
        <v>1392</v>
      </c>
      <c r="E344" t="s">
        <v>569</v>
      </c>
      <c r="F344" t="s">
        <v>961</v>
      </c>
      <c r="G344" t="s">
        <v>714</v>
      </c>
      <c r="H344" t="s">
        <v>715</v>
      </c>
      <c r="I344" t="s">
        <v>1904</v>
      </c>
      <c r="J344" t="s">
        <v>1905</v>
      </c>
      <c r="K344" t="s">
        <v>1906</v>
      </c>
      <c r="L344" t="s">
        <v>765</v>
      </c>
      <c r="M344" t="s">
        <v>720</v>
      </c>
      <c r="N344" t="s">
        <v>721</v>
      </c>
      <c r="O344">
        <v>0</v>
      </c>
      <c r="P344">
        <v>15</v>
      </c>
      <c r="Q344">
        <v>11</v>
      </c>
      <c r="R344" t="s">
        <v>758</v>
      </c>
      <c r="S344" t="s">
        <v>745</v>
      </c>
      <c r="T344" t="s">
        <v>746</v>
      </c>
      <c r="U344" t="s">
        <v>759</v>
      </c>
    </row>
    <row r="345" spans="1:21" hidden="1" x14ac:dyDescent="0.3">
      <c r="A345" s="1" t="s">
        <v>1778</v>
      </c>
      <c r="B345" t="s">
        <v>1505</v>
      </c>
      <c r="C345" t="s">
        <v>750</v>
      </c>
      <c r="D345" t="s">
        <v>1393</v>
      </c>
      <c r="E345" t="s">
        <v>568</v>
      </c>
      <c r="F345" t="s">
        <v>981</v>
      </c>
      <c r="G345" t="s">
        <v>794</v>
      </c>
      <c r="H345" t="s">
        <v>715</v>
      </c>
      <c r="I345" t="s">
        <v>1913</v>
      </c>
      <c r="J345" t="s">
        <v>1914</v>
      </c>
      <c r="K345" t="s">
        <v>1915</v>
      </c>
      <c r="L345" t="s">
        <v>741</v>
      </c>
      <c r="M345" t="s">
        <v>720</v>
      </c>
      <c r="N345" t="s">
        <v>743</v>
      </c>
      <c r="O345">
        <v>2</v>
      </c>
      <c r="P345">
        <v>0</v>
      </c>
      <c r="Q345">
        <v>74</v>
      </c>
      <c r="R345" t="s">
        <v>798</v>
      </c>
      <c r="S345" t="s">
        <v>745</v>
      </c>
      <c r="T345" t="s">
        <v>746</v>
      </c>
      <c r="U345" t="s">
        <v>759</v>
      </c>
    </row>
    <row r="346" spans="1:21" hidden="1" x14ac:dyDescent="0.3">
      <c r="A346" s="1" t="s">
        <v>1778</v>
      </c>
      <c r="B346" t="s">
        <v>1505</v>
      </c>
      <c r="C346" t="s">
        <v>750</v>
      </c>
      <c r="D346" t="s">
        <v>1394</v>
      </c>
      <c r="E346" t="s">
        <v>568</v>
      </c>
      <c r="F346" t="s">
        <v>987</v>
      </c>
      <c r="G346" t="s">
        <v>794</v>
      </c>
      <c r="H346" t="s">
        <v>715</v>
      </c>
      <c r="I346" t="s">
        <v>1916</v>
      </c>
      <c r="J346" t="s">
        <v>1917</v>
      </c>
      <c r="K346" t="s">
        <v>1918</v>
      </c>
      <c r="L346" t="s">
        <v>765</v>
      </c>
      <c r="M346" t="s">
        <v>720</v>
      </c>
      <c r="N346" t="s">
        <v>721</v>
      </c>
      <c r="O346">
        <v>13</v>
      </c>
      <c r="P346">
        <v>15</v>
      </c>
      <c r="Q346">
        <v>103</v>
      </c>
      <c r="R346" t="s">
        <v>758</v>
      </c>
      <c r="S346" t="s">
        <v>745</v>
      </c>
      <c r="T346" t="s">
        <v>746</v>
      </c>
      <c r="U346" t="s">
        <v>759</v>
      </c>
    </row>
    <row r="347" spans="1:21" hidden="1" x14ac:dyDescent="0.3">
      <c r="A347" s="1" t="s">
        <v>1778</v>
      </c>
      <c r="B347" t="s">
        <v>1505</v>
      </c>
      <c r="C347" t="s">
        <v>750</v>
      </c>
      <c r="D347" t="s">
        <v>1395</v>
      </c>
      <c r="E347" t="s">
        <v>568</v>
      </c>
      <c r="F347" t="s">
        <v>992</v>
      </c>
      <c r="G347" t="s">
        <v>753</v>
      </c>
      <c r="H347" t="s">
        <v>715</v>
      </c>
      <c r="I347" t="s">
        <v>1919</v>
      </c>
      <c r="J347" t="s">
        <v>1920</v>
      </c>
      <c r="K347" t="s">
        <v>1921</v>
      </c>
      <c r="L347" t="s">
        <v>765</v>
      </c>
      <c r="M347" t="s">
        <v>720</v>
      </c>
      <c r="N347" t="s">
        <v>721</v>
      </c>
      <c r="O347">
        <v>1</v>
      </c>
      <c r="P347">
        <v>15</v>
      </c>
      <c r="Q347">
        <v>61</v>
      </c>
      <c r="R347" t="s">
        <v>758</v>
      </c>
      <c r="S347" t="s">
        <v>745</v>
      </c>
      <c r="T347" t="s">
        <v>746</v>
      </c>
      <c r="U347" t="s">
        <v>759</v>
      </c>
    </row>
    <row r="348" spans="1:21" hidden="1" x14ac:dyDescent="0.3">
      <c r="A348" s="1" t="s">
        <v>1778</v>
      </c>
      <c r="B348" t="s">
        <v>1505</v>
      </c>
      <c r="C348" t="s">
        <v>750</v>
      </c>
      <c r="D348" t="s">
        <v>1396</v>
      </c>
      <c r="E348" t="s">
        <v>568</v>
      </c>
      <c r="F348" t="s">
        <v>997</v>
      </c>
      <c r="G348" t="s">
        <v>714</v>
      </c>
      <c r="H348" t="s">
        <v>715</v>
      </c>
      <c r="I348" t="s">
        <v>1922</v>
      </c>
      <c r="J348" t="s">
        <v>1923</v>
      </c>
      <c r="K348" t="s">
        <v>1924</v>
      </c>
      <c r="L348" t="s">
        <v>826</v>
      </c>
      <c r="M348" t="s">
        <v>720</v>
      </c>
      <c r="N348" t="s">
        <v>721</v>
      </c>
      <c r="O348">
        <v>2</v>
      </c>
      <c r="P348">
        <v>2</v>
      </c>
      <c r="Q348">
        <v>118</v>
      </c>
      <c r="R348" t="s">
        <v>798</v>
      </c>
      <c r="S348" t="s">
        <v>745</v>
      </c>
      <c r="T348" t="s">
        <v>746</v>
      </c>
      <c r="U348" t="s">
        <v>759</v>
      </c>
    </row>
    <row r="349" spans="1:21" hidden="1" x14ac:dyDescent="0.3">
      <c r="A349" s="1" t="s">
        <v>1778</v>
      </c>
      <c r="B349" t="s">
        <v>1505</v>
      </c>
      <c r="C349" t="s">
        <v>750</v>
      </c>
      <c r="D349" t="s">
        <v>1397</v>
      </c>
      <c r="E349" t="s">
        <v>568</v>
      </c>
      <c r="F349" t="s">
        <v>1002</v>
      </c>
      <c r="G349" t="s">
        <v>714</v>
      </c>
      <c r="H349" t="s">
        <v>715</v>
      </c>
      <c r="I349" t="s">
        <v>2154</v>
      </c>
      <c r="J349" t="s">
        <v>2155</v>
      </c>
      <c r="K349" t="s">
        <v>2156</v>
      </c>
      <c r="L349" t="s">
        <v>1082</v>
      </c>
      <c r="M349" t="s">
        <v>720</v>
      </c>
      <c r="N349" t="s">
        <v>721</v>
      </c>
      <c r="O349">
        <v>6</v>
      </c>
      <c r="P349">
        <v>0</v>
      </c>
      <c r="Q349">
        <v>78</v>
      </c>
      <c r="R349" t="s">
        <v>798</v>
      </c>
      <c r="S349" t="s">
        <v>723</v>
      </c>
      <c r="T349" t="s">
        <v>1083</v>
      </c>
      <c r="U349" t="s">
        <v>707</v>
      </c>
    </row>
    <row r="350" spans="1:21" hidden="1" x14ac:dyDescent="0.3">
      <c r="A350" s="1" t="s">
        <v>1778</v>
      </c>
      <c r="B350" t="s">
        <v>1505</v>
      </c>
      <c r="C350" t="s">
        <v>750</v>
      </c>
      <c r="D350" t="s">
        <v>1398</v>
      </c>
      <c r="E350" t="s">
        <v>568</v>
      </c>
      <c r="F350" t="s">
        <v>1018</v>
      </c>
      <c r="G350" t="s">
        <v>794</v>
      </c>
      <c r="H350" t="s">
        <v>715</v>
      </c>
      <c r="I350" t="s">
        <v>1931</v>
      </c>
      <c r="J350" t="s">
        <v>1932</v>
      </c>
      <c r="K350" t="s">
        <v>1933</v>
      </c>
      <c r="L350" t="s">
        <v>765</v>
      </c>
      <c r="M350" t="s">
        <v>720</v>
      </c>
      <c r="N350" t="s">
        <v>721</v>
      </c>
      <c r="O350">
        <v>7</v>
      </c>
      <c r="P350">
        <v>15</v>
      </c>
      <c r="Q350">
        <v>53</v>
      </c>
      <c r="R350" t="s">
        <v>758</v>
      </c>
      <c r="S350" t="s">
        <v>745</v>
      </c>
      <c r="T350" t="s">
        <v>746</v>
      </c>
      <c r="U350" t="s">
        <v>759</v>
      </c>
    </row>
    <row r="351" spans="1:21" hidden="1" x14ac:dyDescent="0.3">
      <c r="A351" s="1" t="s">
        <v>1778</v>
      </c>
      <c r="B351" t="s">
        <v>1505</v>
      </c>
      <c r="C351" t="s">
        <v>750</v>
      </c>
      <c r="D351" t="s">
        <v>2157</v>
      </c>
      <c r="E351" t="s">
        <v>568</v>
      </c>
      <c r="F351" t="s">
        <v>1023</v>
      </c>
      <c r="G351" t="s">
        <v>794</v>
      </c>
      <c r="H351" t="s">
        <v>715</v>
      </c>
      <c r="I351" t="s">
        <v>1934</v>
      </c>
      <c r="J351" t="s">
        <v>1935</v>
      </c>
      <c r="K351" t="s">
        <v>1936</v>
      </c>
      <c r="L351" t="s">
        <v>765</v>
      </c>
      <c r="M351" t="s">
        <v>720</v>
      </c>
      <c r="N351" t="s">
        <v>721</v>
      </c>
      <c r="O351">
        <v>19</v>
      </c>
      <c r="P351">
        <v>15</v>
      </c>
      <c r="Q351">
        <v>71</v>
      </c>
      <c r="R351" t="s">
        <v>758</v>
      </c>
      <c r="S351" t="s">
        <v>745</v>
      </c>
      <c r="T351" t="s">
        <v>746</v>
      </c>
      <c r="U351" t="s">
        <v>759</v>
      </c>
    </row>
    <row r="352" spans="1:21" hidden="1" x14ac:dyDescent="0.3">
      <c r="A352" s="1" t="s">
        <v>1778</v>
      </c>
      <c r="B352" t="s">
        <v>1505</v>
      </c>
      <c r="C352" t="s">
        <v>750</v>
      </c>
      <c r="D352" t="s">
        <v>2158</v>
      </c>
      <c r="E352" t="s">
        <v>568</v>
      </c>
      <c r="F352" t="s">
        <v>1033</v>
      </c>
      <c r="G352" t="s">
        <v>794</v>
      </c>
      <c r="H352" t="s">
        <v>715</v>
      </c>
      <c r="I352" t="s">
        <v>2159</v>
      </c>
      <c r="J352" t="s">
        <v>2160</v>
      </c>
      <c r="K352" t="s">
        <v>2161</v>
      </c>
      <c r="L352" t="s">
        <v>985</v>
      </c>
      <c r="M352" t="s">
        <v>720</v>
      </c>
      <c r="N352" t="s">
        <v>743</v>
      </c>
      <c r="O352">
        <v>22</v>
      </c>
      <c r="P352">
        <v>0</v>
      </c>
      <c r="Q352">
        <v>150</v>
      </c>
      <c r="R352" t="s">
        <v>798</v>
      </c>
      <c r="S352" t="s">
        <v>745</v>
      </c>
      <c r="T352" t="s">
        <v>746</v>
      </c>
      <c r="U352" t="s">
        <v>1427</v>
      </c>
    </row>
    <row r="353" spans="1:21" hidden="1" x14ac:dyDescent="0.3">
      <c r="A353" s="1" t="s">
        <v>1778</v>
      </c>
      <c r="B353" t="s">
        <v>1505</v>
      </c>
      <c r="C353" t="s">
        <v>750</v>
      </c>
      <c r="D353" t="s">
        <v>2162</v>
      </c>
      <c r="E353" t="s">
        <v>568</v>
      </c>
      <c r="F353" t="s">
        <v>1038</v>
      </c>
      <c r="G353" t="s">
        <v>753</v>
      </c>
      <c r="H353" t="s">
        <v>715</v>
      </c>
      <c r="I353" t="s">
        <v>1940</v>
      </c>
      <c r="J353" t="s">
        <v>1941</v>
      </c>
      <c r="K353" t="s">
        <v>1942</v>
      </c>
      <c r="L353" t="s">
        <v>757</v>
      </c>
      <c r="M353" t="s">
        <v>720</v>
      </c>
      <c r="N353" t="s">
        <v>721</v>
      </c>
      <c r="O353">
        <v>1</v>
      </c>
      <c r="P353">
        <v>7</v>
      </c>
      <c r="Q353">
        <v>34</v>
      </c>
      <c r="R353" t="s">
        <v>758</v>
      </c>
      <c r="S353" t="s">
        <v>745</v>
      </c>
      <c r="T353" t="s">
        <v>746</v>
      </c>
      <c r="U353" t="s">
        <v>1011</v>
      </c>
    </row>
    <row r="354" spans="1:21" hidden="1" x14ac:dyDescent="0.3">
      <c r="A354" s="1" t="s">
        <v>1778</v>
      </c>
      <c r="B354" t="s">
        <v>1505</v>
      </c>
      <c r="C354" t="s">
        <v>750</v>
      </c>
      <c r="D354" t="s">
        <v>1400</v>
      </c>
      <c r="E354" t="s">
        <v>568</v>
      </c>
      <c r="F354" t="s">
        <v>1401</v>
      </c>
      <c r="G354" t="s">
        <v>794</v>
      </c>
      <c r="H354" t="s">
        <v>715</v>
      </c>
      <c r="I354" t="s">
        <v>1944</v>
      </c>
      <c r="J354" t="s">
        <v>1945</v>
      </c>
      <c r="K354" t="s">
        <v>1946</v>
      </c>
      <c r="L354" t="s">
        <v>741</v>
      </c>
      <c r="M354" t="s">
        <v>720</v>
      </c>
      <c r="N354" t="s">
        <v>743</v>
      </c>
      <c r="O354">
        <v>4</v>
      </c>
      <c r="P354">
        <v>0</v>
      </c>
      <c r="Q354">
        <v>90</v>
      </c>
      <c r="R354" t="s">
        <v>798</v>
      </c>
      <c r="S354" t="s">
        <v>745</v>
      </c>
      <c r="T354" t="s">
        <v>746</v>
      </c>
      <c r="U354" t="s">
        <v>759</v>
      </c>
    </row>
    <row r="355" spans="1:21" hidden="1" x14ac:dyDescent="0.3">
      <c r="A355" s="1" t="s">
        <v>1778</v>
      </c>
      <c r="B355" t="s">
        <v>1505</v>
      </c>
      <c r="C355" t="s">
        <v>750</v>
      </c>
      <c r="D355" t="s">
        <v>1405</v>
      </c>
      <c r="E355" t="s">
        <v>568</v>
      </c>
      <c r="F355" t="s">
        <v>1043</v>
      </c>
      <c r="G355" t="s">
        <v>794</v>
      </c>
      <c r="H355" t="s">
        <v>715</v>
      </c>
      <c r="I355" t="s">
        <v>1947</v>
      </c>
      <c r="J355" t="s">
        <v>1948</v>
      </c>
      <c r="K355" t="s">
        <v>1949</v>
      </c>
      <c r="L355" t="s">
        <v>826</v>
      </c>
      <c r="M355" t="s">
        <v>720</v>
      </c>
      <c r="N355" t="s">
        <v>721</v>
      </c>
      <c r="O355">
        <v>1</v>
      </c>
      <c r="P355">
        <v>2</v>
      </c>
      <c r="Q355">
        <v>0</v>
      </c>
      <c r="R355" t="s">
        <v>798</v>
      </c>
      <c r="S355" t="s">
        <v>745</v>
      </c>
      <c r="T355" t="s">
        <v>746</v>
      </c>
      <c r="U355" t="s">
        <v>759</v>
      </c>
    </row>
    <row r="356" spans="1:21" hidden="1" x14ac:dyDescent="0.3">
      <c r="A356" s="1" t="s">
        <v>1778</v>
      </c>
      <c r="B356" t="s">
        <v>1505</v>
      </c>
      <c r="C356" t="s">
        <v>750</v>
      </c>
      <c r="D356" t="s">
        <v>1406</v>
      </c>
      <c r="E356" t="s">
        <v>568</v>
      </c>
      <c r="F356" t="s">
        <v>1048</v>
      </c>
      <c r="G356" t="s">
        <v>794</v>
      </c>
      <c r="H356" t="s">
        <v>715</v>
      </c>
      <c r="I356" t="s">
        <v>2163</v>
      </c>
      <c r="J356" t="s">
        <v>2164</v>
      </c>
      <c r="K356" t="s">
        <v>2165</v>
      </c>
      <c r="L356" t="s">
        <v>985</v>
      </c>
      <c r="M356" t="s">
        <v>720</v>
      </c>
      <c r="N356" t="s">
        <v>2166</v>
      </c>
      <c r="O356">
        <v>21</v>
      </c>
      <c r="P356">
        <v>0</v>
      </c>
      <c r="Q356">
        <v>150</v>
      </c>
      <c r="R356" t="s">
        <v>798</v>
      </c>
      <c r="S356" t="s">
        <v>745</v>
      </c>
      <c r="T356" t="s">
        <v>746</v>
      </c>
      <c r="U356" t="s">
        <v>1466</v>
      </c>
    </row>
    <row r="357" spans="1:21" hidden="1" x14ac:dyDescent="0.3">
      <c r="A357" s="1" t="s">
        <v>1778</v>
      </c>
      <c r="B357" t="s">
        <v>1505</v>
      </c>
      <c r="C357" t="s">
        <v>750</v>
      </c>
      <c r="D357" t="s">
        <v>2167</v>
      </c>
      <c r="E357" t="s">
        <v>568</v>
      </c>
      <c r="F357" t="s">
        <v>1058</v>
      </c>
      <c r="G357" t="s">
        <v>794</v>
      </c>
      <c r="H357" t="s">
        <v>715</v>
      </c>
      <c r="I357" t="s">
        <v>1957</v>
      </c>
      <c r="J357" t="s">
        <v>1958</v>
      </c>
      <c r="K357" t="s">
        <v>1959</v>
      </c>
      <c r="L357" t="s">
        <v>757</v>
      </c>
      <c r="M357" t="s">
        <v>720</v>
      </c>
      <c r="N357" t="s">
        <v>721</v>
      </c>
      <c r="O357">
        <v>30</v>
      </c>
      <c r="P357">
        <v>7</v>
      </c>
      <c r="Q357">
        <v>92</v>
      </c>
      <c r="R357" t="s">
        <v>758</v>
      </c>
      <c r="S357" t="s">
        <v>745</v>
      </c>
      <c r="T357" t="s">
        <v>746</v>
      </c>
      <c r="U357" t="s">
        <v>759</v>
      </c>
    </row>
    <row r="358" spans="1:21" hidden="1" x14ac:dyDescent="0.3">
      <c r="A358" s="1" t="s">
        <v>1778</v>
      </c>
      <c r="B358" t="s">
        <v>1505</v>
      </c>
      <c r="C358" t="s">
        <v>750</v>
      </c>
      <c r="D358" t="s">
        <v>1413</v>
      </c>
      <c r="E358" t="s">
        <v>568</v>
      </c>
      <c r="F358" t="s">
        <v>1063</v>
      </c>
      <c r="G358" t="s">
        <v>794</v>
      </c>
      <c r="H358" t="s">
        <v>715</v>
      </c>
      <c r="I358" t="s">
        <v>2168</v>
      </c>
      <c r="J358" t="s">
        <v>2169</v>
      </c>
      <c r="K358" t="s">
        <v>2170</v>
      </c>
      <c r="L358" t="s">
        <v>826</v>
      </c>
      <c r="M358" t="s">
        <v>720</v>
      </c>
      <c r="N358" t="s">
        <v>721</v>
      </c>
      <c r="O358">
        <v>16</v>
      </c>
      <c r="P358">
        <v>2</v>
      </c>
      <c r="Q358">
        <v>45</v>
      </c>
      <c r="R358" t="s">
        <v>798</v>
      </c>
      <c r="S358" t="s">
        <v>745</v>
      </c>
      <c r="T358" t="s">
        <v>746</v>
      </c>
      <c r="U358" t="s">
        <v>1466</v>
      </c>
    </row>
    <row r="359" spans="1:21" hidden="1" x14ac:dyDescent="0.3">
      <c r="A359" s="1" t="s">
        <v>1778</v>
      </c>
      <c r="B359" t="s">
        <v>1505</v>
      </c>
      <c r="C359" t="s">
        <v>750</v>
      </c>
      <c r="D359" t="s">
        <v>1414</v>
      </c>
      <c r="E359" t="s">
        <v>568</v>
      </c>
      <c r="F359" t="s">
        <v>1078</v>
      </c>
      <c r="G359" t="s">
        <v>714</v>
      </c>
      <c r="H359" t="s">
        <v>715</v>
      </c>
      <c r="I359" t="s">
        <v>1966</v>
      </c>
      <c r="J359" t="s">
        <v>1967</v>
      </c>
      <c r="K359" t="s">
        <v>1968</v>
      </c>
      <c r="L359" t="s">
        <v>765</v>
      </c>
      <c r="M359" t="s">
        <v>720</v>
      </c>
      <c r="N359" t="s">
        <v>721</v>
      </c>
      <c r="O359">
        <v>4</v>
      </c>
      <c r="P359">
        <v>15</v>
      </c>
      <c r="Q359">
        <v>90</v>
      </c>
      <c r="R359" t="s">
        <v>758</v>
      </c>
      <c r="S359" t="s">
        <v>745</v>
      </c>
      <c r="T359" t="s">
        <v>746</v>
      </c>
      <c r="U359" t="s">
        <v>759</v>
      </c>
    </row>
    <row r="360" spans="1:21" hidden="1" x14ac:dyDescent="0.3">
      <c r="A360" s="1" t="s">
        <v>1778</v>
      </c>
      <c r="B360" t="s">
        <v>1505</v>
      </c>
      <c r="C360" t="s">
        <v>750</v>
      </c>
      <c r="D360" t="s">
        <v>1415</v>
      </c>
      <c r="E360" t="s">
        <v>568</v>
      </c>
      <c r="F360" t="s">
        <v>1100</v>
      </c>
      <c r="G360" t="s">
        <v>794</v>
      </c>
      <c r="H360" t="s">
        <v>715</v>
      </c>
      <c r="I360" t="s">
        <v>1977</v>
      </c>
      <c r="J360" t="s">
        <v>1978</v>
      </c>
      <c r="K360" t="s">
        <v>1979</v>
      </c>
      <c r="L360" t="s">
        <v>765</v>
      </c>
      <c r="M360" t="s">
        <v>720</v>
      </c>
      <c r="N360" t="s">
        <v>721</v>
      </c>
      <c r="O360">
        <v>0</v>
      </c>
      <c r="P360">
        <v>15</v>
      </c>
      <c r="Q360">
        <v>99</v>
      </c>
      <c r="R360" t="s">
        <v>758</v>
      </c>
      <c r="S360" t="s">
        <v>745</v>
      </c>
      <c r="T360" t="s">
        <v>746</v>
      </c>
      <c r="U360" t="s">
        <v>759</v>
      </c>
    </row>
    <row r="361" spans="1:21" hidden="1" x14ac:dyDescent="0.3">
      <c r="A361" s="1" t="s">
        <v>1778</v>
      </c>
      <c r="B361" t="s">
        <v>1505</v>
      </c>
      <c r="C361" t="s">
        <v>750</v>
      </c>
      <c r="D361" t="s">
        <v>2171</v>
      </c>
      <c r="E361" t="s">
        <v>568</v>
      </c>
      <c r="F361" t="s">
        <v>1105</v>
      </c>
      <c r="G361" t="s">
        <v>794</v>
      </c>
      <c r="H361" t="s">
        <v>715</v>
      </c>
      <c r="I361" t="s">
        <v>1980</v>
      </c>
      <c r="J361" t="s">
        <v>1981</v>
      </c>
      <c r="K361" t="s">
        <v>1982</v>
      </c>
      <c r="L361" t="s">
        <v>757</v>
      </c>
      <c r="M361" t="s">
        <v>720</v>
      </c>
      <c r="N361" t="s">
        <v>721</v>
      </c>
      <c r="O361">
        <v>3</v>
      </c>
      <c r="P361">
        <v>7</v>
      </c>
      <c r="Q361">
        <v>102</v>
      </c>
      <c r="R361" t="s">
        <v>758</v>
      </c>
      <c r="S361" t="s">
        <v>745</v>
      </c>
      <c r="T361" t="s">
        <v>746</v>
      </c>
      <c r="U361" t="s">
        <v>759</v>
      </c>
    </row>
    <row r="362" spans="1:21" hidden="1" x14ac:dyDescent="0.3">
      <c r="A362" s="1" t="s">
        <v>1778</v>
      </c>
      <c r="B362" t="s">
        <v>1505</v>
      </c>
      <c r="C362" t="s">
        <v>750</v>
      </c>
      <c r="D362" t="s">
        <v>2172</v>
      </c>
      <c r="E362" t="s">
        <v>568</v>
      </c>
      <c r="F362" t="s">
        <v>1110</v>
      </c>
      <c r="G362" t="s">
        <v>794</v>
      </c>
      <c r="H362" t="s">
        <v>715</v>
      </c>
      <c r="I362" t="s">
        <v>1983</v>
      </c>
      <c r="J362" t="s">
        <v>1984</v>
      </c>
      <c r="K362" t="s">
        <v>1985</v>
      </c>
      <c r="L362" t="s">
        <v>765</v>
      </c>
      <c r="M362" t="s">
        <v>720</v>
      </c>
      <c r="N362" t="s">
        <v>721</v>
      </c>
      <c r="O362">
        <v>3</v>
      </c>
      <c r="P362">
        <v>15</v>
      </c>
      <c r="Q362">
        <v>44</v>
      </c>
      <c r="R362" t="s">
        <v>758</v>
      </c>
      <c r="S362" t="s">
        <v>745</v>
      </c>
      <c r="T362" t="s">
        <v>746</v>
      </c>
      <c r="U362" t="s">
        <v>759</v>
      </c>
    </row>
    <row r="363" spans="1:21" hidden="1" x14ac:dyDescent="0.3">
      <c r="A363" s="1" t="s">
        <v>1778</v>
      </c>
      <c r="B363" t="s">
        <v>1505</v>
      </c>
      <c r="C363" t="s">
        <v>750</v>
      </c>
      <c r="D363" t="s">
        <v>1416</v>
      </c>
      <c r="E363" t="s">
        <v>568</v>
      </c>
      <c r="F363" t="s">
        <v>1115</v>
      </c>
      <c r="G363" t="s">
        <v>794</v>
      </c>
      <c r="H363" t="s">
        <v>715</v>
      </c>
      <c r="I363" t="s">
        <v>1986</v>
      </c>
      <c r="J363" t="s">
        <v>1987</v>
      </c>
      <c r="K363" t="s">
        <v>1988</v>
      </c>
      <c r="L363" t="s">
        <v>757</v>
      </c>
      <c r="M363" t="s">
        <v>720</v>
      </c>
      <c r="N363" t="s">
        <v>721</v>
      </c>
      <c r="O363">
        <v>3</v>
      </c>
      <c r="P363">
        <v>7</v>
      </c>
      <c r="Q363">
        <v>76</v>
      </c>
      <c r="R363" t="s">
        <v>758</v>
      </c>
      <c r="S363" t="s">
        <v>745</v>
      </c>
      <c r="T363" t="s">
        <v>746</v>
      </c>
      <c r="U363" t="s">
        <v>759</v>
      </c>
    </row>
    <row r="364" spans="1:21" hidden="1" x14ac:dyDescent="0.3">
      <c r="A364" s="1" t="s">
        <v>1778</v>
      </c>
      <c r="B364" t="s">
        <v>1505</v>
      </c>
      <c r="C364" t="s">
        <v>750</v>
      </c>
      <c r="D364" t="s">
        <v>727</v>
      </c>
      <c r="E364" t="s">
        <v>568</v>
      </c>
      <c r="F364" t="s">
        <v>728</v>
      </c>
      <c r="G364" t="s">
        <v>714</v>
      </c>
      <c r="H364" t="s">
        <v>715</v>
      </c>
      <c r="I364" t="s">
        <v>1989</v>
      </c>
      <c r="J364" t="s">
        <v>1990</v>
      </c>
      <c r="K364" t="s">
        <v>1991</v>
      </c>
      <c r="L364" t="s">
        <v>757</v>
      </c>
      <c r="M364" t="s">
        <v>720</v>
      </c>
      <c r="N364" t="s">
        <v>721</v>
      </c>
      <c r="O364">
        <v>1</v>
      </c>
      <c r="P364">
        <v>7</v>
      </c>
      <c r="Q364">
        <v>76</v>
      </c>
      <c r="R364" t="s">
        <v>758</v>
      </c>
      <c r="S364" t="s">
        <v>745</v>
      </c>
      <c r="T364" t="s">
        <v>746</v>
      </c>
      <c r="U364" t="s">
        <v>759</v>
      </c>
    </row>
    <row r="365" spans="1:21" hidden="1" x14ac:dyDescent="0.3">
      <c r="A365" s="1" t="s">
        <v>1778</v>
      </c>
      <c r="B365" t="s">
        <v>1505</v>
      </c>
      <c r="C365" t="s">
        <v>750</v>
      </c>
      <c r="D365" t="s">
        <v>2173</v>
      </c>
      <c r="E365" t="s">
        <v>568</v>
      </c>
      <c r="F365" t="s">
        <v>1124</v>
      </c>
      <c r="G365" t="s">
        <v>753</v>
      </c>
      <c r="H365" t="s">
        <v>715</v>
      </c>
      <c r="I365" t="s">
        <v>1992</v>
      </c>
      <c r="J365" t="s">
        <v>1993</v>
      </c>
      <c r="K365" t="s">
        <v>1994</v>
      </c>
      <c r="L365" t="s">
        <v>765</v>
      </c>
      <c r="M365" t="s">
        <v>720</v>
      </c>
      <c r="N365" t="s">
        <v>721</v>
      </c>
      <c r="O365">
        <v>1</v>
      </c>
      <c r="P365">
        <v>15</v>
      </c>
      <c r="Q365">
        <v>91</v>
      </c>
      <c r="R365" t="s">
        <v>758</v>
      </c>
      <c r="S365" t="s">
        <v>745</v>
      </c>
      <c r="T365" t="s">
        <v>746</v>
      </c>
      <c r="U365" t="s">
        <v>759</v>
      </c>
    </row>
    <row r="366" spans="1:21" hidden="1" x14ac:dyDescent="0.3">
      <c r="A366" s="1" t="s">
        <v>1778</v>
      </c>
      <c r="B366" t="s">
        <v>1505</v>
      </c>
      <c r="C366" t="s">
        <v>750</v>
      </c>
      <c r="D366" t="s">
        <v>1417</v>
      </c>
      <c r="E366" t="s">
        <v>568</v>
      </c>
      <c r="F366" t="s">
        <v>1129</v>
      </c>
      <c r="G366" t="s">
        <v>794</v>
      </c>
      <c r="H366" t="s">
        <v>715</v>
      </c>
      <c r="I366" t="s">
        <v>1995</v>
      </c>
      <c r="J366" t="s">
        <v>1996</v>
      </c>
      <c r="K366" t="s">
        <v>1997</v>
      </c>
      <c r="L366" t="s">
        <v>826</v>
      </c>
      <c r="M366" t="s">
        <v>720</v>
      </c>
      <c r="N366" t="s">
        <v>721</v>
      </c>
      <c r="O366">
        <v>1</v>
      </c>
      <c r="P366">
        <v>10</v>
      </c>
      <c r="Q366">
        <v>41</v>
      </c>
      <c r="R366" t="s">
        <v>722</v>
      </c>
      <c r="S366" t="s">
        <v>745</v>
      </c>
      <c r="T366" t="s">
        <v>746</v>
      </c>
      <c r="U366" t="s">
        <v>759</v>
      </c>
    </row>
    <row r="367" spans="1:21" hidden="1" x14ac:dyDescent="0.3">
      <c r="A367" s="1" t="s">
        <v>1778</v>
      </c>
      <c r="B367" t="s">
        <v>1505</v>
      </c>
      <c r="C367" t="s">
        <v>750</v>
      </c>
      <c r="D367" t="s">
        <v>1418</v>
      </c>
      <c r="E367" t="s">
        <v>568</v>
      </c>
      <c r="F367" t="s">
        <v>1134</v>
      </c>
      <c r="G367" t="s">
        <v>794</v>
      </c>
      <c r="H367" t="s">
        <v>715</v>
      </c>
      <c r="I367" t="s">
        <v>1998</v>
      </c>
      <c r="J367" t="s">
        <v>1999</v>
      </c>
      <c r="K367" t="s">
        <v>2000</v>
      </c>
      <c r="L367" t="s">
        <v>1082</v>
      </c>
      <c r="M367" t="s">
        <v>720</v>
      </c>
      <c r="N367" t="s">
        <v>721</v>
      </c>
      <c r="O367">
        <v>0</v>
      </c>
      <c r="P367">
        <v>0</v>
      </c>
      <c r="Q367">
        <v>56</v>
      </c>
      <c r="R367" t="s">
        <v>798</v>
      </c>
      <c r="S367" t="s">
        <v>723</v>
      </c>
      <c r="T367" t="s">
        <v>1083</v>
      </c>
      <c r="U367" t="s">
        <v>707</v>
      </c>
    </row>
    <row r="368" spans="1:21" hidden="1" x14ac:dyDescent="0.3">
      <c r="A368" s="1" t="s">
        <v>1778</v>
      </c>
      <c r="B368" t="s">
        <v>1505</v>
      </c>
      <c r="C368" t="s">
        <v>750</v>
      </c>
      <c r="D368" t="s">
        <v>2174</v>
      </c>
      <c r="E368" t="s">
        <v>568</v>
      </c>
      <c r="F368" t="s">
        <v>1139</v>
      </c>
      <c r="G368" t="s">
        <v>794</v>
      </c>
      <c r="H368" t="s">
        <v>715</v>
      </c>
      <c r="I368" t="s">
        <v>2001</v>
      </c>
      <c r="J368" t="s">
        <v>2002</v>
      </c>
      <c r="K368" t="s">
        <v>2003</v>
      </c>
      <c r="L368" t="s">
        <v>757</v>
      </c>
      <c r="M368" t="s">
        <v>720</v>
      </c>
      <c r="N368" t="s">
        <v>721</v>
      </c>
      <c r="O368">
        <v>0</v>
      </c>
      <c r="P368">
        <v>7</v>
      </c>
      <c r="Q368">
        <v>103</v>
      </c>
      <c r="R368" t="s">
        <v>758</v>
      </c>
      <c r="S368" t="s">
        <v>745</v>
      </c>
      <c r="T368" t="s">
        <v>746</v>
      </c>
      <c r="U368" t="s">
        <v>759</v>
      </c>
    </row>
    <row r="369" spans="1:21" hidden="1" x14ac:dyDescent="0.3">
      <c r="A369" s="1" t="s">
        <v>1778</v>
      </c>
      <c r="B369" t="s">
        <v>1505</v>
      </c>
      <c r="C369" t="s">
        <v>750</v>
      </c>
      <c r="D369" t="s">
        <v>1420</v>
      </c>
      <c r="E369" t="s">
        <v>568</v>
      </c>
      <c r="F369" t="s">
        <v>1149</v>
      </c>
      <c r="G369" t="s">
        <v>714</v>
      </c>
      <c r="H369" t="s">
        <v>715</v>
      </c>
      <c r="I369" t="s">
        <v>2004</v>
      </c>
      <c r="J369" t="s">
        <v>2005</v>
      </c>
      <c r="K369" t="s">
        <v>2006</v>
      </c>
      <c r="L369" t="s">
        <v>765</v>
      </c>
      <c r="M369" t="s">
        <v>720</v>
      </c>
      <c r="N369" t="s">
        <v>721</v>
      </c>
      <c r="O369">
        <v>2</v>
      </c>
      <c r="P369">
        <v>15</v>
      </c>
      <c r="Q369">
        <v>14</v>
      </c>
      <c r="R369" t="s">
        <v>758</v>
      </c>
      <c r="S369" t="s">
        <v>745</v>
      </c>
      <c r="T369" t="s">
        <v>746</v>
      </c>
      <c r="U369" t="s">
        <v>759</v>
      </c>
    </row>
    <row r="370" spans="1:21" hidden="1" x14ac:dyDescent="0.3">
      <c r="A370" s="1" t="s">
        <v>1778</v>
      </c>
      <c r="B370" t="s">
        <v>1505</v>
      </c>
      <c r="C370" t="s">
        <v>750</v>
      </c>
      <c r="D370" t="s">
        <v>1421</v>
      </c>
      <c r="E370" t="s">
        <v>568</v>
      </c>
      <c r="F370" t="s">
        <v>1154</v>
      </c>
      <c r="G370" t="s">
        <v>714</v>
      </c>
      <c r="H370" t="s">
        <v>715</v>
      </c>
      <c r="I370" t="s">
        <v>2007</v>
      </c>
      <c r="J370" t="s">
        <v>2008</v>
      </c>
      <c r="K370" t="s">
        <v>2009</v>
      </c>
      <c r="L370" t="s">
        <v>826</v>
      </c>
      <c r="M370" t="s">
        <v>720</v>
      </c>
      <c r="N370" t="s">
        <v>721</v>
      </c>
      <c r="O370">
        <v>3</v>
      </c>
      <c r="P370">
        <v>2</v>
      </c>
      <c r="Q370">
        <v>112</v>
      </c>
      <c r="R370" t="s">
        <v>798</v>
      </c>
      <c r="S370" t="s">
        <v>745</v>
      </c>
      <c r="T370" t="s">
        <v>746</v>
      </c>
      <c r="U370" t="s">
        <v>759</v>
      </c>
    </row>
    <row r="371" spans="1:21" hidden="1" x14ac:dyDescent="0.3">
      <c r="A371" s="1" t="s">
        <v>1778</v>
      </c>
      <c r="B371" t="s">
        <v>1505</v>
      </c>
      <c r="C371" t="s">
        <v>750</v>
      </c>
      <c r="D371" t="s">
        <v>2175</v>
      </c>
      <c r="E371" t="s">
        <v>568</v>
      </c>
      <c r="F371" t="s">
        <v>2176</v>
      </c>
      <c r="G371" t="s">
        <v>753</v>
      </c>
      <c r="H371" t="s">
        <v>715</v>
      </c>
      <c r="I371" t="s">
        <v>1934</v>
      </c>
      <c r="J371" t="s">
        <v>2177</v>
      </c>
      <c r="K371" t="s">
        <v>2178</v>
      </c>
      <c r="L371" t="s">
        <v>2179</v>
      </c>
      <c r="M371" t="s">
        <v>720</v>
      </c>
      <c r="N371" t="s">
        <v>721</v>
      </c>
      <c r="O371">
        <v>15</v>
      </c>
      <c r="P371">
        <v>0</v>
      </c>
      <c r="Q371">
        <v>231</v>
      </c>
      <c r="R371" t="s">
        <v>758</v>
      </c>
      <c r="S371" t="s">
        <v>745</v>
      </c>
      <c r="T371" t="s">
        <v>746</v>
      </c>
      <c r="U371" t="s">
        <v>1011</v>
      </c>
    </row>
    <row r="372" spans="1:21" hidden="1" x14ac:dyDescent="0.3">
      <c r="A372" s="1" t="s">
        <v>1778</v>
      </c>
      <c r="B372" t="s">
        <v>1505</v>
      </c>
      <c r="C372" t="s">
        <v>750</v>
      </c>
      <c r="D372" t="s">
        <v>2180</v>
      </c>
      <c r="E372" t="s">
        <v>567</v>
      </c>
      <c r="F372" t="s">
        <v>1174</v>
      </c>
      <c r="G372" t="s">
        <v>794</v>
      </c>
      <c r="H372" t="s">
        <v>715</v>
      </c>
      <c r="I372" t="s">
        <v>2027</v>
      </c>
      <c r="J372" t="s">
        <v>2028</v>
      </c>
      <c r="K372" t="s">
        <v>2029</v>
      </c>
      <c r="L372" t="s">
        <v>765</v>
      </c>
      <c r="M372" t="s">
        <v>720</v>
      </c>
      <c r="N372" t="s">
        <v>721</v>
      </c>
      <c r="O372">
        <v>15</v>
      </c>
      <c r="P372">
        <v>15</v>
      </c>
      <c r="Q372">
        <v>61</v>
      </c>
      <c r="R372" t="s">
        <v>758</v>
      </c>
      <c r="S372" t="s">
        <v>745</v>
      </c>
      <c r="T372" t="s">
        <v>746</v>
      </c>
      <c r="U372" t="s">
        <v>759</v>
      </c>
    </row>
    <row r="373" spans="1:21" hidden="1" x14ac:dyDescent="0.3">
      <c r="A373" s="1" t="s">
        <v>1778</v>
      </c>
      <c r="B373" t="s">
        <v>1505</v>
      </c>
      <c r="C373" t="s">
        <v>750</v>
      </c>
      <c r="D373" t="s">
        <v>1429</v>
      </c>
      <c r="E373" t="s">
        <v>567</v>
      </c>
      <c r="F373" t="s">
        <v>1179</v>
      </c>
      <c r="G373" t="s">
        <v>794</v>
      </c>
      <c r="H373" t="s">
        <v>715</v>
      </c>
      <c r="I373" t="s">
        <v>2030</v>
      </c>
      <c r="J373" t="s">
        <v>2031</v>
      </c>
      <c r="K373" t="s">
        <v>2032</v>
      </c>
      <c r="L373" t="s">
        <v>826</v>
      </c>
      <c r="M373" t="s">
        <v>720</v>
      </c>
      <c r="N373" t="s">
        <v>721</v>
      </c>
      <c r="O373">
        <v>2</v>
      </c>
      <c r="P373">
        <v>2</v>
      </c>
      <c r="Q373">
        <v>75</v>
      </c>
      <c r="R373" t="s">
        <v>798</v>
      </c>
      <c r="S373" t="s">
        <v>745</v>
      </c>
      <c r="T373" t="s">
        <v>746</v>
      </c>
      <c r="U373" t="s">
        <v>759</v>
      </c>
    </row>
    <row r="374" spans="1:21" hidden="1" x14ac:dyDescent="0.3">
      <c r="A374" s="1" t="s">
        <v>1778</v>
      </c>
      <c r="B374" t="s">
        <v>1505</v>
      </c>
      <c r="C374" t="s">
        <v>750</v>
      </c>
      <c r="D374" t="s">
        <v>1430</v>
      </c>
      <c r="E374" t="s">
        <v>567</v>
      </c>
      <c r="F374" t="s">
        <v>1184</v>
      </c>
      <c r="G374" t="s">
        <v>714</v>
      </c>
      <c r="H374" t="s">
        <v>715</v>
      </c>
      <c r="I374" t="s">
        <v>2033</v>
      </c>
      <c r="J374" t="s">
        <v>2034</v>
      </c>
      <c r="K374" t="s">
        <v>2035</v>
      </c>
      <c r="L374" t="s">
        <v>741</v>
      </c>
      <c r="M374" t="s">
        <v>720</v>
      </c>
      <c r="N374" t="s">
        <v>743</v>
      </c>
      <c r="O374">
        <v>1</v>
      </c>
      <c r="P374">
        <v>0</v>
      </c>
      <c r="Q374">
        <v>93</v>
      </c>
      <c r="R374" t="s">
        <v>798</v>
      </c>
      <c r="S374" t="s">
        <v>745</v>
      </c>
      <c r="T374" t="s">
        <v>746</v>
      </c>
      <c r="U374" t="s">
        <v>759</v>
      </c>
    </row>
    <row r="375" spans="1:21" hidden="1" x14ac:dyDescent="0.3">
      <c r="A375" s="1" t="s">
        <v>1778</v>
      </c>
      <c r="B375" t="s">
        <v>1505</v>
      </c>
      <c r="C375" t="s">
        <v>750</v>
      </c>
      <c r="D375" t="s">
        <v>2181</v>
      </c>
      <c r="E375" t="s">
        <v>567</v>
      </c>
      <c r="F375" t="s">
        <v>1189</v>
      </c>
      <c r="G375" t="s">
        <v>794</v>
      </c>
      <c r="H375" t="s">
        <v>715</v>
      </c>
      <c r="I375" t="s">
        <v>2036</v>
      </c>
      <c r="J375" t="s">
        <v>2037</v>
      </c>
      <c r="K375" t="s">
        <v>2038</v>
      </c>
      <c r="L375" t="s">
        <v>826</v>
      </c>
      <c r="M375" t="s">
        <v>720</v>
      </c>
      <c r="N375" t="s">
        <v>721</v>
      </c>
      <c r="O375">
        <v>7</v>
      </c>
      <c r="P375">
        <v>10</v>
      </c>
      <c r="Q375">
        <v>83</v>
      </c>
      <c r="R375" t="s">
        <v>722</v>
      </c>
      <c r="S375" t="s">
        <v>745</v>
      </c>
      <c r="T375" t="s">
        <v>746</v>
      </c>
      <c r="U375" t="s">
        <v>759</v>
      </c>
    </row>
    <row r="376" spans="1:21" hidden="1" x14ac:dyDescent="0.3">
      <c r="A376" s="1" t="s">
        <v>1778</v>
      </c>
      <c r="B376" t="s">
        <v>1505</v>
      </c>
      <c r="C376" t="s">
        <v>750</v>
      </c>
      <c r="D376" t="s">
        <v>1431</v>
      </c>
      <c r="E376" t="s">
        <v>567</v>
      </c>
      <c r="F376" t="s">
        <v>1195</v>
      </c>
      <c r="G376" t="s">
        <v>714</v>
      </c>
      <c r="H376" t="s">
        <v>715</v>
      </c>
      <c r="I376" t="s">
        <v>2182</v>
      </c>
      <c r="J376" t="s">
        <v>2183</v>
      </c>
      <c r="K376" t="s">
        <v>2184</v>
      </c>
      <c r="L376" t="s">
        <v>1082</v>
      </c>
      <c r="M376" t="s">
        <v>720</v>
      </c>
      <c r="N376" t="s">
        <v>721</v>
      </c>
      <c r="O376">
        <v>1</v>
      </c>
      <c r="P376">
        <v>0</v>
      </c>
      <c r="Q376">
        <v>81</v>
      </c>
      <c r="R376" t="s">
        <v>798</v>
      </c>
      <c r="S376" t="s">
        <v>723</v>
      </c>
      <c r="T376" t="s">
        <v>1083</v>
      </c>
      <c r="U376" t="s">
        <v>707</v>
      </c>
    </row>
    <row r="377" spans="1:21" hidden="1" x14ac:dyDescent="0.3">
      <c r="A377" s="1" t="s">
        <v>1778</v>
      </c>
      <c r="B377" t="s">
        <v>1505</v>
      </c>
      <c r="C377" t="s">
        <v>750</v>
      </c>
      <c r="D377" t="s">
        <v>1432</v>
      </c>
      <c r="E377" t="s">
        <v>567</v>
      </c>
      <c r="F377" t="s">
        <v>1200</v>
      </c>
      <c r="G377" t="s">
        <v>806</v>
      </c>
      <c r="H377" t="s">
        <v>715</v>
      </c>
      <c r="I377" t="s">
        <v>2039</v>
      </c>
      <c r="J377" t="s">
        <v>2040</v>
      </c>
      <c r="K377" t="s">
        <v>2041</v>
      </c>
      <c r="L377" t="s">
        <v>765</v>
      </c>
      <c r="M377" t="s">
        <v>720</v>
      </c>
      <c r="N377" t="s">
        <v>721</v>
      </c>
      <c r="O377">
        <v>2</v>
      </c>
      <c r="P377">
        <v>15</v>
      </c>
      <c r="Q377">
        <v>70</v>
      </c>
      <c r="R377" t="s">
        <v>758</v>
      </c>
      <c r="S377" t="s">
        <v>745</v>
      </c>
      <c r="T377" t="s">
        <v>746</v>
      </c>
      <c r="U377" t="s">
        <v>759</v>
      </c>
    </row>
    <row r="378" spans="1:21" hidden="1" x14ac:dyDescent="0.3">
      <c r="A378" s="1" t="s">
        <v>1778</v>
      </c>
      <c r="B378" t="s">
        <v>1505</v>
      </c>
      <c r="C378" t="s">
        <v>750</v>
      </c>
      <c r="D378" t="s">
        <v>1433</v>
      </c>
      <c r="E378" t="s">
        <v>567</v>
      </c>
      <c r="F378" t="s">
        <v>1205</v>
      </c>
      <c r="G378" t="s">
        <v>753</v>
      </c>
      <c r="H378" t="s">
        <v>715</v>
      </c>
      <c r="I378" t="s">
        <v>2042</v>
      </c>
      <c r="J378" t="s">
        <v>2043</v>
      </c>
      <c r="K378" t="s">
        <v>2044</v>
      </c>
      <c r="L378" t="s">
        <v>826</v>
      </c>
      <c r="M378" t="s">
        <v>720</v>
      </c>
      <c r="N378" t="s">
        <v>721</v>
      </c>
      <c r="O378">
        <v>4</v>
      </c>
      <c r="P378">
        <v>2</v>
      </c>
      <c r="Q378">
        <v>84</v>
      </c>
      <c r="R378" t="s">
        <v>798</v>
      </c>
      <c r="S378" t="s">
        <v>745</v>
      </c>
      <c r="T378" t="s">
        <v>746</v>
      </c>
      <c r="U378" t="s">
        <v>759</v>
      </c>
    </row>
    <row r="379" spans="1:21" hidden="1" x14ac:dyDescent="0.3">
      <c r="A379" s="1" t="s">
        <v>1778</v>
      </c>
      <c r="B379" t="s">
        <v>1505</v>
      </c>
      <c r="C379" t="s">
        <v>750</v>
      </c>
      <c r="D379" t="s">
        <v>2185</v>
      </c>
      <c r="E379" t="s">
        <v>567</v>
      </c>
      <c r="F379" t="s">
        <v>735</v>
      </c>
      <c r="G379" t="s">
        <v>794</v>
      </c>
      <c r="H379" t="s">
        <v>715</v>
      </c>
      <c r="I379" t="s">
        <v>2045</v>
      </c>
      <c r="J379" t="s">
        <v>2046</v>
      </c>
      <c r="K379" t="s">
        <v>2047</v>
      </c>
      <c r="L379" t="s">
        <v>765</v>
      </c>
      <c r="M379" t="s">
        <v>720</v>
      </c>
      <c r="N379" t="s">
        <v>721</v>
      </c>
      <c r="O379">
        <v>12</v>
      </c>
      <c r="P379">
        <v>15</v>
      </c>
      <c r="Q379">
        <v>51</v>
      </c>
      <c r="R379" t="s">
        <v>758</v>
      </c>
      <c r="S379" t="s">
        <v>745</v>
      </c>
      <c r="T379" t="s">
        <v>746</v>
      </c>
      <c r="U379" t="s">
        <v>759</v>
      </c>
    </row>
    <row r="380" spans="1:21" hidden="1" x14ac:dyDescent="0.3">
      <c r="A380" s="1" t="s">
        <v>1778</v>
      </c>
      <c r="B380" t="s">
        <v>1505</v>
      </c>
      <c r="C380" t="s">
        <v>750</v>
      </c>
      <c r="D380" t="s">
        <v>2186</v>
      </c>
      <c r="E380" t="s">
        <v>567</v>
      </c>
      <c r="F380" t="s">
        <v>2049</v>
      </c>
      <c r="G380" t="s">
        <v>794</v>
      </c>
      <c r="H380" t="s">
        <v>715</v>
      </c>
      <c r="I380" t="s">
        <v>2050</v>
      </c>
      <c r="J380" t="s">
        <v>2051</v>
      </c>
      <c r="K380" t="s">
        <v>2052</v>
      </c>
      <c r="L380" t="s">
        <v>826</v>
      </c>
      <c r="M380" t="s">
        <v>720</v>
      </c>
      <c r="N380" t="s">
        <v>721</v>
      </c>
      <c r="O380">
        <v>7</v>
      </c>
      <c r="P380">
        <v>2</v>
      </c>
      <c r="Q380">
        <v>7</v>
      </c>
      <c r="R380" t="s">
        <v>798</v>
      </c>
      <c r="S380" t="s">
        <v>745</v>
      </c>
      <c r="T380" t="s">
        <v>746</v>
      </c>
      <c r="U380" t="s">
        <v>759</v>
      </c>
    </row>
    <row r="381" spans="1:21" hidden="1" x14ac:dyDescent="0.3">
      <c r="A381" s="1" t="s">
        <v>1778</v>
      </c>
      <c r="B381" t="s">
        <v>1505</v>
      </c>
      <c r="C381" t="s">
        <v>750</v>
      </c>
      <c r="D381" t="s">
        <v>1434</v>
      </c>
      <c r="E381" t="s">
        <v>567</v>
      </c>
      <c r="F381" t="s">
        <v>1218</v>
      </c>
      <c r="G381" t="s">
        <v>714</v>
      </c>
      <c r="H381" t="s">
        <v>715</v>
      </c>
      <c r="I381" t="s">
        <v>2056</v>
      </c>
      <c r="J381" t="s">
        <v>2057</v>
      </c>
      <c r="K381" t="s">
        <v>2058</v>
      </c>
      <c r="L381" t="s">
        <v>765</v>
      </c>
      <c r="M381" t="s">
        <v>720</v>
      </c>
      <c r="N381" t="s">
        <v>721</v>
      </c>
      <c r="O381">
        <v>4</v>
      </c>
      <c r="P381">
        <v>15</v>
      </c>
      <c r="Q381">
        <v>117</v>
      </c>
      <c r="R381" t="s">
        <v>758</v>
      </c>
      <c r="S381" t="s">
        <v>745</v>
      </c>
      <c r="T381" t="s">
        <v>746</v>
      </c>
      <c r="U381" t="s">
        <v>759</v>
      </c>
    </row>
    <row r="382" spans="1:21" hidden="1" x14ac:dyDescent="0.3">
      <c r="A382" s="1" t="s">
        <v>1778</v>
      </c>
      <c r="B382" t="s">
        <v>1505</v>
      </c>
      <c r="C382" t="s">
        <v>750</v>
      </c>
      <c r="D382" t="s">
        <v>1436</v>
      </c>
      <c r="E382" t="s">
        <v>567</v>
      </c>
      <c r="F382" t="s">
        <v>1228</v>
      </c>
      <c r="G382" t="s">
        <v>794</v>
      </c>
      <c r="H382" t="s">
        <v>715</v>
      </c>
      <c r="I382" t="s">
        <v>2062</v>
      </c>
      <c r="J382" t="s">
        <v>2063</v>
      </c>
      <c r="K382" t="s">
        <v>2064</v>
      </c>
      <c r="L382" t="s">
        <v>765</v>
      </c>
      <c r="M382" t="s">
        <v>720</v>
      </c>
      <c r="N382" t="s">
        <v>721</v>
      </c>
      <c r="O382">
        <v>11</v>
      </c>
      <c r="P382">
        <v>15</v>
      </c>
      <c r="Q382">
        <v>4</v>
      </c>
      <c r="R382" t="s">
        <v>758</v>
      </c>
      <c r="S382" t="s">
        <v>745</v>
      </c>
      <c r="T382" t="s">
        <v>746</v>
      </c>
      <c r="U382" t="s">
        <v>759</v>
      </c>
    </row>
    <row r="383" spans="1:21" hidden="1" x14ac:dyDescent="0.3">
      <c r="A383" s="1" t="s">
        <v>1778</v>
      </c>
      <c r="B383" t="s">
        <v>1505</v>
      </c>
      <c r="C383" t="s">
        <v>750</v>
      </c>
      <c r="D383" t="s">
        <v>1437</v>
      </c>
      <c r="E383" t="s">
        <v>567</v>
      </c>
      <c r="F383" t="s">
        <v>1238</v>
      </c>
      <c r="G383" t="s">
        <v>794</v>
      </c>
      <c r="H383" t="s">
        <v>715</v>
      </c>
      <c r="I383" t="s">
        <v>2068</v>
      </c>
      <c r="J383" t="s">
        <v>2069</v>
      </c>
      <c r="K383" t="s">
        <v>2070</v>
      </c>
      <c r="L383" t="s">
        <v>765</v>
      </c>
      <c r="M383" t="s">
        <v>720</v>
      </c>
      <c r="N383" t="s">
        <v>721</v>
      </c>
      <c r="O383">
        <v>2</v>
      </c>
      <c r="P383">
        <v>15</v>
      </c>
      <c r="Q383">
        <v>74</v>
      </c>
      <c r="R383" t="s">
        <v>758</v>
      </c>
      <c r="S383" t="s">
        <v>745</v>
      </c>
      <c r="T383" t="s">
        <v>746</v>
      </c>
      <c r="U383" t="s">
        <v>1193</v>
      </c>
    </row>
    <row r="384" spans="1:21" hidden="1" x14ac:dyDescent="0.3">
      <c r="A384" s="1" t="s">
        <v>1778</v>
      </c>
      <c r="B384" t="s">
        <v>1505</v>
      </c>
      <c r="C384" t="s">
        <v>750</v>
      </c>
      <c r="D384" t="s">
        <v>1438</v>
      </c>
      <c r="E384" t="s">
        <v>567</v>
      </c>
      <c r="F384" t="s">
        <v>1245</v>
      </c>
      <c r="G384" t="s">
        <v>806</v>
      </c>
      <c r="H384" t="s">
        <v>715</v>
      </c>
      <c r="I384" t="s">
        <v>2071</v>
      </c>
      <c r="J384" t="s">
        <v>2072</v>
      </c>
      <c r="K384" t="s">
        <v>2073</v>
      </c>
      <c r="L384" t="s">
        <v>765</v>
      </c>
      <c r="M384" t="s">
        <v>720</v>
      </c>
      <c r="N384" t="s">
        <v>721</v>
      </c>
      <c r="O384">
        <v>1</v>
      </c>
      <c r="P384">
        <v>15</v>
      </c>
      <c r="Q384">
        <v>0</v>
      </c>
      <c r="R384" t="s">
        <v>758</v>
      </c>
      <c r="S384" t="s">
        <v>745</v>
      </c>
      <c r="T384" t="s">
        <v>746</v>
      </c>
      <c r="U384" t="s">
        <v>759</v>
      </c>
    </row>
    <row r="385" spans="1:21" hidden="1" x14ac:dyDescent="0.3">
      <c r="A385" s="1" t="s">
        <v>1778</v>
      </c>
      <c r="B385" t="s">
        <v>1505</v>
      </c>
      <c r="C385" t="s">
        <v>750</v>
      </c>
      <c r="D385" t="s">
        <v>1439</v>
      </c>
      <c r="E385" t="s">
        <v>567</v>
      </c>
      <c r="F385" t="s">
        <v>1250</v>
      </c>
      <c r="G385" t="s">
        <v>714</v>
      </c>
      <c r="H385" t="s">
        <v>715</v>
      </c>
      <c r="I385" t="s">
        <v>2074</v>
      </c>
      <c r="J385" t="s">
        <v>2075</v>
      </c>
      <c r="K385" t="s">
        <v>2076</v>
      </c>
      <c r="L385" t="s">
        <v>765</v>
      </c>
      <c r="M385" t="s">
        <v>720</v>
      </c>
      <c r="N385" t="s">
        <v>721</v>
      </c>
      <c r="O385">
        <v>0</v>
      </c>
      <c r="P385">
        <v>15</v>
      </c>
      <c r="Q385">
        <v>70</v>
      </c>
      <c r="R385" t="s">
        <v>758</v>
      </c>
      <c r="S385" t="s">
        <v>745</v>
      </c>
      <c r="T385" t="s">
        <v>746</v>
      </c>
      <c r="U385" t="s">
        <v>759</v>
      </c>
    </row>
    <row r="386" spans="1:21" hidden="1" x14ac:dyDescent="0.3">
      <c r="A386" s="1" t="s">
        <v>1778</v>
      </c>
      <c r="B386" t="s">
        <v>1505</v>
      </c>
      <c r="C386" t="s">
        <v>750</v>
      </c>
      <c r="D386" t="s">
        <v>1440</v>
      </c>
      <c r="E386" t="s">
        <v>567</v>
      </c>
      <c r="F386" t="s">
        <v>1255</v>
      </c>
      <c r="G386" t="s">
        <v>794</v>
      </c>
      <c r="H386" t="s">
        <v>715</v>
      </c>
      <c r="I386" t="s">
        <v>2077</v>
      </c>
      <c r="J386" t="s">
        <v>2078</v>
      </c>
      <c r="K386" t="s">
        <v>2079</v>
      </c>
      <c r="L386" t="s">
        <v>741</v>
      </c>
      <c r="M386" t="s">
        <v>720</v>
      </c>
      <c r="N386" t="s">
        <v>743</v>
      </c>
      <c r="O386">
        <v>1</v>
      </c>
      <c r="P386">
        <v>0</v>
      </c>
      <c r="Q386">
        <v>24</v>
      </c>
      <c r="R386" t="s">
        <v>798</v>
      </c>
      <c r="S386" t="s">
        <v>745</v>
      </c>
      <c r="T386" t="s">
        <v>746</v>
      </c>
      <c r="U386" t="s">
        <v>759</v>
      </c>
    </row>
    <row r="387" spans="1:21" hidden="1" x14ac:dyDescent="0.3">
      <c r="A387" s="1" t="s">
        <v>1778</v>
      </c>
      <c r="B387" t="s">
        <v>1505</v>
      </c>
      <c r="C387" t="s">
        <v>750</v>
      </c>
      <c r="D387" t="s">
        <v>1441</v>
      </c>
      <c r="E387" t="s">
        <v>567</v>
      </c>
      <c r="F387" t="s">
        <v>1260</v>
      </c>
      <c r="G387" t="s">
        <v>714</v>
      </c>
      <c r="H387" t="s">
        <v>715</v>
      </c>
      <c r="I387" t="s">
        <v>2187</v>
      </c>
      <c r="J387" t="s">
        <v>2188</v>
      </c>
      <c r="K387" t="s">
        <v>2189</v>
      </c>
      <c r="L387" t="s">
        <v>1082</v>
      </c>
      <c r="M387" t="s">
        <v>720</v>
      </c>
      <c r="N387" t="s">
        <v>721</v>
      </c>
      <c r="O387">
        <v>2</v>
      </c>
      <c r="P387">
        <v>0</v>
      </c>
      <c r="Q387">
        <v>99</v>
      </c>
      <c r="R387" t="s">
        <v>798</v>
      </c>
      <c r="S387" t="s">
        <v>723</v>
      </c>
      <c r="T387" t="s">
        <v>1083</v>
      </c>
      <c r="U387" t="s">
        <v>707</v>
      </c>
    </row>
    <row r="388" spans="1:21" hidden="1" x14ac:dyDescent="0.3">
      <c r="A388" s="1" t="s">
        <v>1778</v>
      </c>
      <c r="B388" t="s">
        <v>1505</v>
      </c>
      <c r="C388" t="s">
        <v>750</v>
      </c>
      <c r="D388" t="s">
        <v>1442</v>
      </c>
      <c r="E388" t="s">
        <v>567</v>
      </c>
      <c r="F388" t="s">
        <v>1271</v>
      </c>
      <c r="G388" t="s">
        <v>806</v>
      </c>
      <c r="H388" t="s">
        <v>715</v>
      </c>
      <c r="I388" t="s">
        <v>2083</v>
      </c>
      <c r="J388" t="s">
        <v>2084</v>
      </c>
      <c r="K388" t="s">
        <v>2085</v>
      </c>
      <c r="L388" t="s">
        <v>757</v>
      </c>
      <c r="M388" t="s">
        <v>720</v>
      </c>
      <c r="N388" t="s">
        <v>721</v>
      </c>
      <c r="O388">
        <v>11</v>
      </c>
      <c r="P388">
        <v>7</v>
      </c>
      <c r="Q388">
        <v>116</v>
      </c>
      <c r="R388" t="s">
        <v>758</v>
      </c>
      <c r="S388" t="s">
        <v>745</v>
      </c>
      <c r="T388" t="s">
        <v>746</v>
      </c>
      <c r="U388" t="s">
        <v>759</v>
      </c>
    </row>
    <row r="389" spans="1:21" hidden="1" x14ac:dyDescent="0.3">
      <c r="A389" s="1" t="s">
        <v>1778</v>
      </c>
      <c r="B389" t="s">
        <v>1505</v>
      </c>
      <c r="C389" t="s">
        <v>750</v>
      </c>
      <c r="D389" t="s">
        <v>1443</v>
      </c>
      <c r="E389" t="s">
        <v>567</v>
      </c>
      <c r="F389" t="s">
        <v>1276</v>
      </c>
      <c r="G389" t="s">
        <v>714</v>
      </c>
      <c r="H389" t="s">
        <v>715</v>
      </c>
      <c r="I389" t="s">
        <v>2086</v>
      </c>
      <c r="J389" t="s">
        <v>2087</v>
      </c>
      <c r="K389" t="s">
        <v>2088</v>
      </c>
      <c r="L389" t="s">
        <v>757</v>
      </c>
      <c r="M389" t="s">
        <v>720</v>
      </c>
      <c r="N389" t="s">
        <v>721</v>
      </c>
      <c r="O389">
        <v>9</v>
      </c>
      <c r="P389">
        <v>7</v>
      </c>
      <c r="Q389">
        <v>102</v>
      </c>
      <c r="R389" t="s">
        <v>758</v>
      </c>
      <c r="S389" t="s">
        <v>745</v>
      </c>
      <c r="T389" t="s">
        <v>746</v>
      </c>
      <c r="U389" t="s">
        <v>1269</v>
      </c>
    </row>
    <row r="390" spans="1:21" hidden="1" x14ac:dyDescent="0.3">
      <c r="A390" s="1" t="s">
        <v>1778</v>
      </c>
      <c r="B390" t="s">
        <v>1505</v>
      </c>
      <c r="C390" t="s">
        <v>750</v>
      </c>
      <c r="D390" t="s">
        <v>2190</v>
      </c>
      <c r="E390" t="s">
        <v>567</v>
      </c>
      <c r="F390" t="s">
        <v>2099</v>
      </c>
      <c r="G390" t="s">
        <v>714</v>
      </c>
      <c r="H390" t="s">
        <v>715</v>
      </c>
      <c r="I390" t="s">
        <v>2100</v>
      </c>
      <c r="J390" t="s">
        <v>2101</v>
      </c>
      <c r="K390" t="s">
        <v>2102</v>
      </c>
      <c r="L390" t="s">
        <v>826</v>
      </c>
      <c r="M390" t="s">
        <v>720</v>
      </c>
      <c r="N390" t="s">
        <v>721</v>
      </c>
      <c r="O390">
        <v>10</v>
      </c>
      <c r="P390">
        <v>2</v>
      </c>
      <c r="Q390">
        <v>75</v>
      </c>
      <c r="R390" t="s">
        <v>798</v>
      </c>
      <c r="S390" t="s">
        <v>745</v>
      </c>
      <c r="T390" t="s">
        <v>746</v>
      </c>
      <c r="U390" t="s">
        <v>759</v>
      </c>
    </row>
    <row r="391" spans="1:21" hidden="1" x14ac:dyDescent="0.3">
      <c r="A391" s="1" t="s">
        <v>1778</v>
      </c>
      <c r="B391" t="s">
        <v>1505</v>
      </c>
      <c r="C391" t="s">
        <v>750</v>
      </c>
      <c r="D391" t="s">
        <v>2191</v>
      </c>
      <c r="E391" t="s">
        <v>567</v>
      </c>
      <c r="F391" t="s">
        <v>1286</v>
      </c>
      <c r="G391" t="s">
        <v>794</v>
      </c>
      <c r="H391" t="s">
        <v>715</v>
      </c>
      <c r="I391" t="s">
        <v>2192</v>
      </c>
      <c r="J391" t="s">
        <v>2193</v>
      </c>
      <c r="K391" t="s">
        <v>2194</v>
      </c>
      <c r="L391" t="s">
        <v>741</v>
      </c>
      <c r="M391" t="s">
        <v>720</v>
      </c>
      <c r="N391" t="s">
        <v>743</v>
      </c>
      <c r="O391">
        <v>5</v>
      </c>
      <c r="P391">
        <v>0</v>
      </c>
      <c r="Q391">
        <v>46</v>
      </c>
      <c r="R391" t="s">
        <v>798</v>
      </c>
      <c r="S391" t="s">
        <v>745</v>
      </c>
      <c r="T391" t="s">
        <v>746</v>
      </c>
      <c r="U391" t="s">
        <v>2094</v>
      </c>
    </row>
    <row r="392" spans="1:21" hidden="1" x14ac:dyDescent="0.3">
      <c r="A392" s="1" t="s">
        <v>1778</v>
      </c>
      <c r="B392" t="s">
        <v>1505</v>
      </c>
      <c r="C392" t="s">
        <v>750</v>
      </c>
      <c r="D392" t="s">
        <v>1449</v>
      </c>
      <c r="E392" t="s">
        <v>567</v>
      </c>
      <c r="F392" t="s">
        <v>1450</v>
      </c>
      <c r="G392" t="s">
        <v>794</v>
      </c>
      <c r="H392" t="s">
        <v>715</v>
      </c>
      <c r="I392" t="s">
        <v>2108</v>
      </c>
      <c r="J392" t="s">
        <v>2109</v>
      </c>
      <c r="K392" t="s">
        <v>2110</v>
      </c>
      <c r="L392" t="s">
        <v>985</v>
      </c>
      <c r="M392" t="s">
        <v>720</v>
      </c>
      <c r="N392" t="s">
        <v>743</v>
      </c>
      <c r="O392">
        <v>16</v>
      </c>
      <c r="P392">
        <v>0</v>
      </c>
      <c r="Q392">
        <v>150</v>
      </c>
      <c r="R392" t="s">
        <v>798</v>
      </c>
      <c r="S392" t="s">
        <v>745</v>
      </c>
      <c r="T392" t="s">
        <v>746</v>
      </c>
      <c r="U392" t="s">
        <v>759</v>
      </c>
    </row>
    <row r="393" spans="1:21" hidden="1" x14ac:dyDescent="0.3">
      <c r="A393" s="1" t="s">
        <v>1778</v>
      </c>
      <c r="B393" t="s">
        <v>1505</v>
      </c>
      <c r="C393" t="s">
        <v>750</v>
      </c>
      <c r="D393" t="s">
        <v>1454</v>
      </c>
      <c r="E393" t="s">
        <v>567</v>
      </c>
      <c r="F393" t="s">
        <v>1291</v>
      </c>
      <c r="G393" t="s">
        <v>714</v>
      </c>
      <c r="H393" t="s">
        <v>715</v>
      </c>
      <c r="I393" t="s">
        <v>2111</v>
      </c>
      <c r="J393" t="s">
        <v>2112</v>
      </c>
      <c r="K393" t="s">
        <v>2113</v>
      </c>
      <c r="L393" t="s">
        <v>765</v>
      </c>
      <c r="M393" t="s">
        <v>720</v>
      </c>
      <c r="N393" t="s">
        <v>721</v>
      </c>
      <c r="O393">
        <v>3</v>
      </c>
      <c r="P393">
        <v>15</v>
      </c>
      <c r="Q393">
        <v>1</v>
      </c>
      <c r="R393" t="s">
        <v>758</v>
      </c>
      <c r="S393" t="s">
        <v>745</v>
      </c>
      <c r="T393" t="s">
        <v>746</v>
      </c>
      <c r="U393" t="s">
        <v>1269</v>
      </c>
    </row>
    <row r="394" spans="1:21" hidden="1" x14ac:dyDescent="0.3">
      <c r="A394" s="1" t="s">
        <v>1778</v>
      </c>
      <c r="B394" t="s">
        <v>1505</v>
      </c>
      <c r="C394" t="s">
        <v>750</v>
      </c>
      <c r="D394" t="s">
        <v>1456</v>
      </c>
      <c r="E394" t="s">
        <v>567</v>
      </c>
      <c r="F394" t="s">
        <v>1306</v>
      </c>
      <c r="G394" t="s">
        <v>794</v>
      </c>
      <c r="H394" t="s">
        <v>715</v>
      </c>
      <c r="I394" t="s">
        <v>2114</v>
      </c>
      <c r="J394" t="s">
        <v>2115</v>
      </c>
      <c r="K394" t="s">
        <v>2116</v>
      </c>
      <c r="L394" t="s">
        <v>826</v>
      </c>
      <c r="M394" t="s">
        <v>720</v>
      </c>
      <c r="N394" t="s">
        <v>721</v>
      </c>
      <c r="O394">
        <v>6</v>
      </c>
      <c r="P394">
        <v>2</v>
      </c>
      <c r="Q394">
        <v>53</v>
      </c>
      <c r="R394" t="s">
        <v>798</v>
      </c>
      <c r="S394" t="s">
        <v>745</v>
      </c>
      <c r="T394" t="s">
        <v>746</v>
      </c>
      <c r="U394" t="s">
        <v>759</v>
      </c>
    </row>
    <row r="395" spans="1:21" hidden="1" x14ac:dyDescent="0.3">
      <c r="A395" s="1" t="s">
        <v>1778</v>
      </c>
      <c r="B395" t="s">
        <v>1505</v>
      </c>
      <c r="C395" t="s">
        <v>750</v>
      </c>
      <c r="D395" t="s">
        <v>1457</v>
      </c>
      <c r="E395" t="s">
        <v>567</v>
      </c>
      <c r="F395" t="s">
        <v>1311</v>
      </c>
      <c r="G395" t="s">
        <v>714</v>
      </c>
      <c r="H395" t="s">
        <v>715</v>
      </c>
      <c r="I395" t="s">
        <v>2117</v>
      </c>
      <c r="J395" t="s">
        <v>2118</v>
      </c>
      <c r="K395" t="s">
        <v>2119</v>
      </c>
      <c r="L395" t="s">
        <v>826</v>
      </c>
      <c r="M395" t="s">
        <v>720</v>
      </c>
      <c r="N395" t="s">
        <v>721</v>
      </c>
      <c r="O395">
        <v>14</v>
      </c>
      <c r="P395">
        <v>2</v>
      </c>
      <c r="Q395">
        <v>0</v>
      </c>
      <c r="R395" t="s">
        <v>798</v>
      </c>
      <c r="S395" t="s">
        <v>745</v>
      </c>
      <c r="T395" t="s">
        <v>746</v>
      </c>
      <c r="U395" t="s">
        <v>759</v>
      </c>
    </row>
    <row r="396" spans="1:21" hidden="1" x14ac:dyDescent="0.3">
      <c r="A396" s="1" t="s">
        <v>1778</v>
      </c>
      <c r="B396" t="s">
        <v>1505</v>
      </c>
      <c r="C396" t="s">
        <v>750</v>
      </c>
      <c r="D396" t="s">
        <v>2195</v>
      </c>
      <c r="E396" t="s">
        <v>567</v>
      </c>
      <c r="F396" t="s">
        <v>1321</v>
      </c>
      <c r="G396" t="s">
        <v>753</v>
      </c>
      <c r="H396" t="s">
        <v>715</v>
      </c>
      <c r="I396" t="s">
        <v>2123</v>
      </c>
      <c r="J396" t="s">
        <v>2124</v>
      </c>
      <c r="K396" t="s">
        <v>2125</v>
      </c>
      <c r="L396" t="s">
        <v>765</v>
      </c>
      <c r="M396" t="s">
        <v>720</v>
      </c>
      <c r="N396" t="s">
        <v>721</v>
      </c>
      <c r="O396">
        <v>1</v>
      </c>
      <c r="P396">
        <v>15</v>
      </c>
      <c r="Q396">
        <v>63</v>
      </c>
      <c r="R396" t="s">
        <v>758</v>
      </c>
      <c r="S396" t="s">
        <v>745</v>
      </c>
      <c r="T396" t="s">
        <v>746</v>
      </c>
      <c r="U396" t="s">
        <v>759</v>
      </c>
    </row>
    <row r="397" spans="1:21" hidden="1" x14ac:dyDescent="0.3">
      <c r="A397" s="1" t="s">
        <v>1778</v>
      </c>
      <c r="B397" t="s">
        <v>1505</v>
      </c>
      <c r="C397" t="s">
        <v>750</v>
      </c>
      <c r="D397" t="s">
        <v>2196</v>
      </c>
      <c r="E397" t="s">
        <v>567</v>
      </c>
      <c r="F397" t="s">
        <v>1326</v>
      </c>
      <c r="G397" t="s">
        <v>794</v>
      </c>
      <c r="H397" t="s">
        <v>715</v>
      </c>
      <c r="I397" t="s">
        <v>2126</v>
      </c>
      <c r="J397" t="s">
        <v>2127</v>
      </c>
      <c r="K397" t="s">
        <v>2128</v>
      </c>
      <c r="L397" t="s">
        <v>765</v>
      </c>
      <c r="M397" t="s">
        <v>720</v>
      </c>
      <c r="N397" t="s">
        <v>721</v>
      </c>
      <c r="O397">
        <v>0</v>
      </c>
      <c r="P397">
        <v>15</v>
      </c>
      <c r="Q397">
        <v>52</v>
      </c>
      <c r="R397" t="s">
        <v>758</v>
      </c>
      <c r="S397" t="s">
        <v>745</v>
      </c>
      <c r="T397" t="s">
        <v>746</v>
      </c>
      <c r="U397" t="s">
        <v>759</v>
      </c>
    </row>
    <row r="398" spans="1:21" hidden="1" x14ac:dyDescent="0.3">
      <c r="A398" s="1" t="s">
        <v>1778</v>
      </c>
      <c r="B398" t="s">
        <v>1505</v>
      </c>
      <c r="C398" t="s">
        <v>750</v>
      </c>
      <c r="D398" t="s">
        <v>1458</v>
      </c>
      <c r="E398" t="s">
        <v>567</v>
      </c>
      <c r="F398" t="s">
        <v>1331</v>
      </c>
      <c r="G398" t="s">
        <v>794</v>
      </c>
      <c r="H398" t="s">
        <v>715</v>
      </c>
      <c r="I398" t="s">
        <v>2129</v>
      </c>
      <c r="J398" t="s">
        <v>2130</v>
      </c>
      <c r="K398" t="s">
        <v>2131</v>
      </c>
      <c r="L398" t="s">
        <v>826</v>
      </c>
      <c r="M398" t="s">
        <v>720</v>
      </c>
      <c r="N398" t="s">
        <v>721</v>
      </c>
      <c r="O398">
        <v>11</v>
      </c>
      <c r="P398">
        <v>2</v>
      </c>
      <c r="Q398">
        <v>1</v>
      </c>
      <c r="R398" t="s">
        <v>798</v>
      </c>
      <c r="S398" t="s">
        <v>745</v>
      </c>
      <c r="T398" t="s">
        <v>746</v>
      </c>
      <c r="U398" t="s">
        <v>759</v>
      </c>
    </row>
    <row r="399" spans="1:21" hidden="1" x14ac:dyDescent="0.3">
      <c r="A399" s="1" t="s">
        <v>1778</v>
      </c>
      <c r="B399" t="s">
        <v>1505</v>
      </c>
      <c r="C399" t="s">
        <v>750</v>
      </c>
      <c r="D399" t="s">
        <v>2197</v>
      </c>
      <c r="E399" t="s">
        <v>567</v>
      </c>
      <c r="F399" t="s">
        <v>1336</v>
      </c>
      <c r="G399" t="s">
        <v>794</v>
      </c>
      <c r="H399" t="s">
        <v>715</v>
      </c>
      <c r="I399" t="s">
        <v>2132</v>
      </c>
      <c r="J399" t="s">
        <v>2133</v>
      </c>
      <c r="K399" t="s">
        <v>2134</v>
      </c>
      <c r="L399" t="s">
        <v>826</v>
      </c>
      <c r="M399" t="s">
        <v>720</v>
      </c>
      <c r="N399" t="s">
        <v>721</v>
      </c>
      <c r="O399">
        <v>4</v>
      </c>
      <c r="P399">
        <v>2</v>
      </c>
      <c r="Q399">
        <v>105</v>
      </c>
      <c r="R399" t="s">
        <v>798</v>
      </c>
      <c r="S399" t="s">
        <v>745</v>
      </c>
      <c r="T399" t="s">
        <v>746</v>
      </c>
      <c r="U399" t="s">
        <v>759</v>
      </c>
    </row>
    <row r="400" spans="1:21" hidden="1" x14ac:dyDescent="0.3">
      <c r="A400" s="1" t="s">
        <v>1778</v>
      </c>
      <c r="B400" t="s">
        <v>1505</v>
      </c>
      <c r="C400" t="s">
        <v>750</v>
      </c>
      <c r="D400" t="s">
        <v>2198</v>
      </c>
      <c r="E400" t="s">
        <v>567</v>
      </c>
      <c r="F400" t="s">
        <v>1341</v>
      </c>
      <c r="G400" t="s">
        <v>753</v>
      </c>
      <c r="H400" t="s">
        <v>715</v>
      </c>
      <c r="I400" t="s">
        <v>2135</v>
      </c>
      <c r="J400" t="s">
        <v>2136</v>
      </c>
      <c r="K400" t="s">
        <v>2137</v>
      </c>
      <c r="L400" t="s">
        <v>765</v>
      </c>
      <c r="M400" t="s">
        <v>720</v>
      </c>
      <c r="N400" t="s">
        <v>721</v>
      </c>
      <c r="O400">
        <v>1</v>
      </c>
      <c r="P400">
        <v>15</v>
      </c>
      <c r="Q400">
        <v>70</v>
      </c>
      <c r="R400" t="s">
        <v>758</v>
      </c>
      <c r="S400" t="s">
        <v>745</v>
      </c>
      <c r="T400" t="s">
        <v>746</v>
      </c>
      <c r="U400" t="s">
        <v>759</v>
      </c>
    </row>
    <row r="401" spans="1:21" hidden="1" x14ac:dyDescent="0.3">
      <c r="A401" s="1" t="s">
        <v>1778</v>
      </c>
      <c r="B401" t="s">
        <v>1505</v>
      </c>
      <c r="C401" t="s">
        <v>750</v>
      </c>
      <c r="D401" t="s">
        <v>1459</v>
      </c>
      <c r="E401" t="s">
        <v>567</v>
      </c>
      <c r="F401" t="s">
        <v>1346</v>
      </c>
      <c r="G401" t="s">
        <v>806</v>
      </c>
      <c r="H401" t="s">
        <v>715</v>
      </c>
      <c r="I401" t="s">
        <v>2138</v>
      </c>
      <c r="J401" t="s">
        <v>1348</v>
      </c>
      <c r="K401" t="s">
        <v>2139</v>
      </c>
      <c r="L401" t="s">
        <v>765</v>
      </c>
      <c r="M401" t="s">
        <v>720</v>
      </c>
      <c r="N401" t="s">
        <v>721</v>
      </c>
      <c r="O401">
        <v>3</v>
      </c>
      <c r="P401">
        <v>15</v>
      </c>
      <c r="Q401">
        <v>27</v>
      </c>
      <c r="R401" t="s">
        <v>758</v>
      </c>
      <c r="S401" t="s">
        <v>745</v>
      </c>
      <c r="T401" t="s">
        <v>746</v>
      </c>
      <c r="U401" t="s">
        <v>759</v>
      </c>
    </row>
    <row r="402" spans="1:21" hidden="1" x14ac:dyDescent="0.3">
      <c r="A402" s="1" t="s">
        <v>1778</v>
      </c>
      <c r="B402" t="s">
        <v>1505</v>
      </c>
      <c r="C402" t="s">
        <v>750</v>
      </c>
      <c r="D402" t="s">
        <v>1460</v>
      </c>
      <c r="E402" t="s">
        <v>567</v>
      </c>
      <c r="F402" t="s">
        <v>1351</v>
      </c>
      <c r="G402" t="s">
        <v>794</v>
      </c>
      <c r="H402" t="s">
        <v>715</v>
      </c>
      <c r="I402" t="s">
        <v>2140</v>
      </c>
      <c r="J402" t="s">
        <v>2141</v>
      </c>
      <c r="K402" t="s">
        <v>2142</v>
      </c>
      <c r="L402" t="s">
        <v>826</v>
      </c>
      <c r="M402" t="s">
        <v>720</v>
      </c>
      <c r="N402" t="s">
        <v>721</v>
      </c>
      <c r="O402">
        <v>8</v>
      </c>
      <c r="P402">
        <v>2</v>
      </c>
      <c r="Q402">
        <v>0</v>
      </c>
      <c r="R402" t="s">
        <v>798</v>
      </c>
      <c r="S402" t="s">
        <v>745</v>
      </c>
      <c r="T402" t="s">
        <v>746</v>
      </c>
      <c r="U402" t="s">
        <v>759</v>
      </c>
    </row>
    <row r="403" spans="1:21" hidden="1" x14ac:dyDescent="0.3">
      <c r="A403" s="1" t="s">
        <v>1778</v>
      </c>
      <c r="B403" t="s">
        <v>732</v>
      </c>
      <c r="C403" t="s">
        <v>711</v>
      </c>
      <c r="D403" t="s">
        <v>751</v>
      </c>
      <c r="E403" t="s">
        <v>569</v>
      </c>
      <c r="F403" t="s">
        <v>752</v>
      </c>
      <c r="G403" t="s">
        <v>714</v>
      </c>
      <c r="H403" t="s">
        <v>715</v>
      </c>
      <c r="I403" t="s">
        <v>2199</v>
      </c>
      <c r="J403" t="s">
        <v>2200</v>
      </c>
      <c r="K403" t="s">
        <v>2201</v>
      </c>
      <c r="L403" t="s">
        <v>1082</v>
      </c>
      <c r="M403" t="s">
        <v>720</v>
      </c>
      <c r="N403" t="s">
        <v>721</v>
      </c>
      <c r="O403">
        <v>30</v>
      </c>
      <c r="P403">
        <v>0</v>
      </c>
      <c r="Q403">
        <v>0</v>
      </c>
      <c r="R403" t="s">
        <v>798</v>
      </c>
      <c r="S403" t="s">
        <v>723</v>
      </c>
      <c r="T403" t="s">
        <v>1083</v>
      </c>
      <c r="U403" t="s">
        <v>707</v>
      </c>
    </row>
    <row r="404" spans="1:21" hidden="1" x14ac:dyDescent="0.3">
      <c r="A404" s="1" t="s">
        <v>1778</v>
      </c>
      <c r="B404" t="s">
        <v>732</v>
      </c>
      <c r="C404" t="s">
        <v>711</v>
      </c>
      <c r="D404" t="s">
        <v>804</v>
      </c>
      <c r="E404" t="s">
        <v>569</v>
      </c>
      <c r="F404" t="s">
        <v>805</v>
      </c>
      <c r="G404" t="s">
        <v>714</v>
      </c>
      <c r="H404" t="s">
        <v>715</v>
      </c>
      <c r="I404" t="s">
        <v>2202</v>
      </c>
      <c r="J404" t="s">
        <v>2203</v>
      </c>
      <c r="K404" t="s">
        <v>2204</v>
      </c>
      <c r="L404" t="s">
        <v>1082</v>
      </c>
      <c r="M404" t="s">
        <v>720</v>
      </c>
      <c r="N404" t="s">
        <v>721</v>
      </c>
      <c r="O404">
        <v>30</v>
      </c>
      <c r="P404">
        <v>0</v>
      </c>
      <c r="Q404">
        <v>18</v>
      </c>
      <c r="R404" t="s">
        <v>798</v>
      </c>
      <c r="S404" t="s">
        <v>723</v>
      </c>
      <c r="T404" t="s">
        <v>1083</v>
      </c>
      <c r="U404" t="s">
        <v>707</v>
      </c>
    </row>
    <row r="405" spans="1:21" hidden="1" x14ac:dyDescent="0.3">
      <c r="A405" s="1" t="s">
        <v>1778</v>
      </c>
      <c r="B405" t="s">
        <v>732</v>
      </c>
      <c r="C405" t="s">
        <v>711</v>
      </c>
      <c r="D405" t="s">
        <v>879</v>
      </c>
      <c r="E405" t="s">
        <v>569</v>
      </c>
      <c r="F405" t="s">
        <v>880</v>
      </c>
      <c r="G405" t="s">
        <v>714</v>
      </c>
      <c r="H405" t="s">
        <v>715</v>
      </c>
      <c r="I405" t="s">
        <v>2205</v>
      </c>
      <c r="J405" t="s">
        <v>2206</v>
      </c>
      <c r="K405" t="s">
        <v>2207</v>
      </c>
      <c r="L405" t="s">
        <v>1082</v>
      </c>
      <c r="M405" t="s">
        <v>720</v>
      </c>
      <c r="N405" t="s">
        <v>721</v>
      </c>
      <c r="O405">
        <v>30</v>
      </c>
      <c r="P405">
        <v>0</v>
      </c>
      <c r="Q405">
        <v>33</v>
      </c>
      <c r="R405" t="s">
        <v>798</v>
      </c>
      <c r="S405" t="s">
        <v>723</v>
      </c>
      <c r="T405" t="s">
        <v>1083</v>
      </c>
      <c r="U405" t="s">
        <v>707</v>
      </c>
    </row>
    <row r="406" spans="1:21" hidden="1" x14ac:dyDescent="0.3">
      <c r="A406" s="1" t="s">
        <v>1778</v>
      </c>
      <c r="B406" t="s">
        <v>732</v>
      </c>
      <c r="C406" t="s">
        <v>711</v>
      </c>
      <c r="D406" t="s">
        <v>1094</v>
      </c>
      <c r="E406" t="s">
        <v>568</v>
      </c>
      <c r="F406" t="s">
        <v>1095</v>
      </c>
      <c r="G406" t="s">
        <v>2208</v>
      </c>
      <c r="H406" t="s">
        <v>2209</v>
      </c>
      <c r="I406" t="s">
        <v>2210</v>
      </c>
      <c r="J406" t="s">
        <v>2211</v>
      </c>
      <c r="K406" t="s">
        <v>2212</v>
      </c>
      <c r="L406" t="s">
        <v>2213</v>
      </c>
      <c r="M406" t="s">
        <v>2213</v>
      </c>
      <c r="N406" t="s">
        <v>721</v>
      </c>
      <c r="O406">
        <v>6</v>
      </c>
      <c r="P406">
        <v>0</v>
      </c>
      <c r="Q406">
        <v>231</v>
      </c>
      <c r="R406" t="s">
        <v>758</v>
      </c>
      <c r="S406" t="s">
        <v>723</v>
      </c>
      <c r="T406" t="s">
        <v>2214</v>
      </c>
      <c r="U406" t="s">
        <v>725</v>
      </c>
    </row>
    <row r="407" spans="1:21" hidden="1" x14ac:dyDescent="0.3">
      <c r="A407" s="1" t="s">
        <v>1778</v>
      </c>
      <c r="B407" t="s">
        <v>732</v>
      </c>
      <c r="C407" t="s">
        <v>711</v>
      </c>
      <c r="D407" t="s">
        <v>1133</v>
      </c>
      <c r="E407" t="s">
        <v>568</v>
      </c>
      <c r="F407" t="s">
        <v>1134</v>
      </c>
      <c r="G407" t="s">
        <v>714</v>
      </c>
      <c r="H407" t="s">
        <v>715</v>
      </c>
      <c r="I407" t="s">
        <v>2215</v>
      </c>
      <c r="J407" t="s">
        <v>1999</v>
      </c>
      <c r="K407" t="s">
        <v>2000</v>
      </c>
      <c r="L407" t="s">
        <v>1082</v>
      </c>
      <c r="M407" t="s">
        <v>720</v>
      </c>
      <c r="N407" t="s">
        <v>721</v>
      </c>
      <c r="O407">
        <v>0</v>
      </c>
      <c r="P407">
        <v>0</v>
      </c>
      <c r="Q407">
        <v>56</v>
      </c>
      <c r="R407" t="s">
        <v>798</v>
      </c>
      <c r="S407" t="s">
        <v>723</v>
      </c>
      <c r="T407" t="s">
        <v>1083</v>
      </c>
      <c r="U407" t="s">
        <v>707</v>
      </c>
    </row>
    <row r="408" spans="1:21" hidden="1" x14ac:dyDescent="0.3">
      <c r="A408" s="1" t="s">
        <v>1778</v>
      </c>
      <c r="B408" t="s">
        <v>732</v>
      </c>
      <c r="C408" t="s">
        <v>711</v>
      </c>
      <c r="D408" t="s">
        <v>1355</v>
      </c>
      <c r="E408" t="s">
        <v>569</v>
      </c>
      <c r="F408" t="s">
        <v>752</v>
      </c>
      <c r="G408" t="s">
        <v>714</v>
      </c>
      <c r="H408" t="s">
        <v>715</v>
      </c>
      <c r="I408" t="s">
        <v>2199</v>
      </c>
      <c r="J408" t="s">
        <v>2200</v>
      </c>
      <c r="K408" t="s">
        <v>2201</v>
      </c>
      <c r="L408" t="s">
        <v>1082</v>
      </c>
      <c r="M408" t="s">
        <v>720</v>
      </c>
      <c r="N408" t="s">
        <v>721</v>
      </c>
      <c r="O408">
        <v>30</v>
      </c>
      <c r="P408">
        <v>0</v>
      </c>
      <c r="Q408">
        <v>0</v>
      </c>
      <c r="R408" t="s">
        <v>798</v>
      </c>
      <c r="S408" t="s">
        <v>723</v>
      </c>
      <c r="T408" t="s">
        <v>1083</v>
      </c>
      <c r="U408" t="s">
        <v>707</v>
      </c>
    </row>
    <row r="409" spans="1:21" hidden="1" x14ac:dyDescent="0.3">
      <c r="A409" s="1" t="s">
        <v>1778</v>
      </c>
      <c r="B409" t="s">
        <v>732</v>
      </c>
      <c r="C409" t="s">
        <v>711</v>
      </c>
      <c r="D409" t="s">
        <v>1361</v>
      </c>
      <c r="E409" t="s">
        <v>569</v>
      </c>
      <c r="F409" t="s">
        <v>761</v>
      </c>
      <c r="G409" t="s">
        <v>714</v>
      </c>
      <c r="H409" t="s">
        <v>715</v>
      </c>
      <c r="I409" t="s">
        <v>2216</v>
      </c>
      <c r="J409" t="s">
        <v>2217</v>
      </c>
      <c r="K409" t="s">
        <v>2218</v>
      </c>
      <c r="L409" t="s">
        <v>1082</v>
      </c>
      <c r="M409" t="s">
        <v>720</v>
      </c>
      <c r="N409" t="s">
        <v>721</v>
      </c>
      <c r="O409">
        <v>30</v>
      </c>
      <c r="P409">
        <v>0</v>
      </c>
      <c r="Q409">
        <v>11</v>
      </c>
      <c r="R409" t="s">
        <v>798</v>
      </c>
      <c r="S409" t="s">
        <v>723</v>
      </c>
      <c r="T409" t="s">
        <v>1083</v>
      </c>
      <c r="U409" t="s">
        <v>707</v>
      </c>
    </row>
    <row r="410" spans="1:21" hidden="1" x14ac:dyDescent="0.3">
      <c r="A410" s="1" t="s">
        <v>1778</v>
      </c>
      <c r="B410" t="s">
        <v>732</v>
      </c>
      <c r="C410" t="s">
        <v>711</v>
      </c>
      <c r="D410" t="s">
        <v>1364</v>
      </c>
      <c r="E410" t="s">
        <v>569</v>
      </c>
      <c r="F410" t="s">
        <v>788</v>
      </c>
      <c r="G410" t="s">
        <v>714</v>
      </c>
      <c r="H410" t="s">
        <v>715</v>
      </c>
      <c r="I410" t="s">
        <v>2219</v>
      </c>
      <c r="J410" t="s">
        <v>2220</v>
      </c>
      <c r="K410" t="s">
        <v>2221</v>
      </c>
      <c r="L410" t="s">
        <v>1082</v>
      </c>
      <c r="M410" t="s">
        <v>720</v>
      </c>
      <c r="N410" t="s">
        <v>721</v>
      </c>
      <c r="O410">
        <v>12</v>
      </c>
      <c r="P410">
        <v>0</v>
      </c>
      <c r="Q410">
        <v>5</v>
      </c>
      <c r="R410" t="s">
        <v>798</v>
      </c>
      <c r="S410" t="s">
        <v>723</v>
      </c>
      <c r="T410" t="s">
        <v>1083</v>
      </c>
      <c r="U410" t="s">
        <v>707</v>
      </c>
    </row>
    <row r="411" spans="1:21" hidden="1" x14ac:dyDescent="0.3">
      <c r="A411" s="1" t="s">
        <v>1778</v>
      </c>
      <c r="B411" t="s">
        <v>732</v>
      </c>
      <c r="C411" t="s">
        <v>711</v>
      </c>
      <c r="D411" t="s">
        <v>2222</v>
      </c>
      <c r="E411" t="s">
        <v>569</v>
      </c>
      <c r="F411" t="s">
        <v>875</v>
      </c>
      <c r="G411" t="s">
        <v>714</v>
      </c>
      <c r="H411" t="s">
        <v>715</v>
      </c>
      <c r="I411" t="s">
        <v>2223</v>
      </c>
      <c r="J411" t="s">
        <v>2224</v>
      </c>
      <c r="K411" t="s">
        <v>2225</v>
      </c>
      <c r="L411" t="s">
        <v>1082</v>
      </c>
      <c r="M411" t="s">
        <v>720</v>
      </c>
      <c r="N411" t="s">
        <v>721</v>
      </c>
      <c r="O411">
        <v>30</v>
      </c>
      <c r="P411">
        <v>0</v>
      </c>
      <c r="Q411">
        <v>6</v>
      </c>
      <c r="R411" t="s">
        <v>798</v>
      </c>
      <c r="S411" t="s">
        <v>723</v>
      </c>
      <c r="T411" t="s">
        <v>1083</v>
      </c>
      <c r="U411" t="s">
        <v>707</v>
      </c>
    </row>
    <row r="412" spans="1:21" hidden="1" x14ac:dyDescent="0.3">
      <c r="A412" s="1" t="s">
        <v>1778</v>
      </c>
      <c r="B412" t="s">
        <v>732</v>
      </c>
      <c r="C412" t="s">
        <v>711</v>
      </c>
      <c r="D412" t="s">
        <v>1379</v>
      </c>
      <c r="E412" t="s">
        <v>569</v>
      </c>
      <c r="F412" t="s">
        <v>890</v>
      </c>
      <c r="G412" t="s">
        <v>714</v>
      </c>
      <c r="H412" t="s">
        <v>715</v>
      </c>
      <c r="I412" t="s">
        <v>2226</v>
      </c>
      <c r="J412" t="s">
        <v>2227</v>
      </c>
      <c r="K412" t="s">
        <v>2228</v>
      </c>
      <c r="L412" t="s">
        <v>1082</v>
      </c>
      <c r="M412" t="s">
        <v>720</v>
      </c>
      <c r="N412" t="s">
        <v>721</v>
      </c>
      <c r="O412">
        <v>2</v>
      </c>
      <c r="P412">
        <v>0</v>
      </c>
      <c r="Q412">
        <v>21</v>
      </c>
      <c r="R412" t="s">
        <v>798</v>
      </c>
      <c r="S412" t="s">
        <v>723</v>
      </c>
      <c r="T412" t="s">
        <v>1083</v>
      </c>
      <c r="U412" t="s">
        <v>707</v>
      </c>
    </row>
    <row r="413" spans="1:21" hidden="1" x14ac:dyDescent="0.3">
      <c r="A413" s="1" t="s">
        <v>1778</v>
      </c>
      <c r="B413" t="s">
        <v>732</v>
      </c>
      <c r="C413" t="s">
        <v>711</v>
      </c>
      <c r="D413" t="s">
        <v>1382</v>
      </c>
      <c r="E413" t="s">
        <v>569</v>
      </c>
      <c r="F413" t="s">
        <v>906</v>
      </c>
      <c r="G413" t="s">
        <v>714</v>
      </c>
      <c r="H413" t="s">
        <v>715</v>
      </c>
      <c r="I413" t="s">
        <v>2229</v>
      </c>
      <c r="J413" t="s">
        <v>2230</v>
      </c>
      <c r="K413" t="s">
        <v>2231</v>
      </c>
      <c r="L413" t="s">
        <v>1082</v>
      </c>
      <c r="M413" t="s">
        <v>720</v>
      </c>
      <c r="N413" t="s">
        <v>721</v>
      </c>
      <c r="O413">
        <v>20</v>
      </c>
      <c r="P413">
        <v>0</v>
      </c>
      <c r="Q413">
        <v>34</v>
      </c>
      <c r="R413" t="s">
        <v>798</v>
      </c>
      <c r="S413" t="s">
        <v>723</v>
      </c>
      <c r="T413" t="s">
        <v>1083</v>
      </c>
      <c r="U413" t="s">
        <v>707</v>
      </c>
    </row>
    <row r="414" spans="1:21" hidden="1" x14ac:dyDescent="0.3">
      <c r="A414" s="1" t="s">
        <v>1778</v>
      </c>
      <c r="B414" t="s">
        <v>732</v>
      </c>
      <c r="C414" t="s">
        <v>711</v>
      </c>
      <c r="D414" t="s">
        <v>2152</v>
      </c>
      <c r="E414" t="s">
        <v>569</v>
      </c>
      <c r="F414" t="s">
        <v>911</v>
      </c>
      <c r="G414" t="s">
        <v>714</v>
      </c>
      <c r="H414" t="s">
        <v>715</v>
      </c>
      <c r="I414" t="s">
        <v>2232</v>
      </c>
      <c r="J414" t="s">
        <v>2233</v>
      </c>
      <c r="K414" t="s">
        <v>2234</v>
      </c>
      <c r="L414" t="s">
        <v>1082</v>
      </c>
      <c r="M414" t="s">
        <v>720</v>
      </c>
      <c r="N414" t="s">
        <v>721</v>
      </c>
      <c r="O414">
        <v>10</v>
      </c>
      <c r="P414">
        <v>0</v>
      </c>
      <c r="Q414">
        <v>38</v>
      </c>
      <c r="R414" t="s">
        <v>798</v>
      </c>
      <c r="S414" t="s">
        <v>723</v>
      </c>
      <c r="T414" t="s">
        <v>1083</v>
      </c>
      <c r="U414" t="s">
        <v>707</v>
      </c>
    </row>
    <row r="415" spans="1:21" hidden="1" x14ac:dyDescent="0.3">
      <c r="A415" s="1" t="s">
        <v>1778</v>
      </c>
      <c r="B415" t="s">
        <v>732</v>
      </c>
      <c r="C415" t="s">
        <v>711</v>
      </c>
      <c r="D415" t="s">
        <v>1385</v>
      </c>
      <c r="E415" t="s">
        <v>569</v>
      </c>
      <c r="F415" t="s">
        <v>931</v>
      </c>
      <c r="G415" t="s">
        <v>714</v>
      </c>
      <c r="H415" t="s">
        <v>715</v>
      </c>
      <c r="I415" t="s">
        <v>2235</v>
      </c>
      <c r="J415" t="s">
        <v>2236</v>
      </c>
      <c r="K415" t="s">
        <v>2237</v>
      </c>
      <c r="L415" t="s">
        <v>1082</v>
      </c>
      <c r="M415" t="s">
        <v>720</v>
      </c>
      <c r="N415" t="s">
        <v>721</v>
      </c>
      <c r="O415">
        <v>21</v>
      </c>
      <c r="P415">
        <v>0</v>
      </c>
      <c r="Q415">
        <v>35</v>
      </c>
      <c r="R415" t="s">
        <v>798</v>
      </c>
      <c r="S415" t="s">
        <v>723</v>
      </c>
      <c r="T415" t="s">
        <v>1083</v>
      </c>
      <c r="U415" t="s">
        <v>707</v>
      </c>
    </row>
    <row r="416" spans="1:21" hidden="1" x14ac:dyDescent="0.3">
      <c r="A416" s="1" t="s">
        <v>1778</v>
      </c>
      <c r="B416" t="s">
        <v>732</v>
      </c>
      <c r="C416" t="s">
        <v>711</v>
      </c>
      <c r="D416" t="s">
        <v>2238</v>
      </c>
      <c r="E416" t="s">
        <v>569</v>
      </c>
      <c r="F416" t="s">
        <v>956</v>
      </c>
      <c r="G416" t="s">
        <v>714</v>
      </c>
      <c r="H416" t="s">
        <v>715</v>
      </c>
      <c r="I416" t="s">
        <v>2239</v>
      </c>
      <c r="J416" t="s">
        <v>2240</v>
      </c>
      <c r="K416" t="s">
        <v>2241</v>
      </c>
      <c r="L416" t="s">
        <v>1082</v>
      </c>
      <c r="M416" t="s">
        <v>720</v>
      </c>
      <c r="N416" t="s">
        <v>721</v>
      </c>
      <c r="O416">
        <v>8</v>
      </c>
      <c r="P416">
        <v>0</v>
      </c>
      <c r="Q416">
        <v>13</v>
      </c>
      <c r="R416" t="s">
        <v>798</v>
      </c>
      <c r="S416" t="s">
        <v>723</v>
      </c>
      <c r="T416" t="s">
        <v>1083</v>
      </c>
      <c r="U416" t="s">
        <v>707</v>
      </c>
    </row>
    <row r="417" spans="1:21" hidden="1" x14ac:dyDescent="0.3">
      <c r="A417" s="1" t="s">
        <v>1778</v>
      </c>
      <c r="B417" t="s">
        <v>732</v>
      </c>
      <c r="C417" t="s">
        <v>711</v>
      </c>
      <c r="D417" t="s">
        <v>1387</v>
      </c>
      <c r="E417" t="s">
        <v>569</v>
      </c>
      <c r="F417" t="s">
        <v>1388</v>
      </c>
      <c r="G417" t="s">
        <v>714</v>
      </c>
      <c r="H417" t="s">
        <v>715</v>
      </c>
      <c r="I417" t="s">
        <v>2242</v>
      </c>
      <c r="J417" t="s">
        <v>2243</v>
      </c>
      <c r="K417" t="s">
        <v>1391</v>
      </c>
      <c r="L417" t="s">
        <v>1082</v>
      </c>
      <c r="M417" t="s">
        <v>720</v>
      </c>
      <c r="N417" t="s">
        <v>721</v>
      </c>
      <c r="O417">
        <v>17</v>
      </c>
      <c r="P417">
        <v>0</v>
      </c>
      <c r="Q417">
        <v>17</v>
      </c>
      <c r="R417" t="s">
        <v>798</v>
      </c>
      <c r="S417" t="s">
        <v>723</v>
      </c>
      <c r="T417" t="s">
        <v>1083</v>
      </c>
      <c r="U417" t="s">
        <v>707</v>
      </c>
    </row>
    <row r="418" spans="1:21" hidden="1" x14ac:dyDescent="0.3">
      <c r="A418" s="1" t="s">
        <v>1778</v>
      </c>
      <c r="B418" t="s">
        <v>732</v>
      </c>
      <c r="C418" t="s">
        <v>711</v>
      </c>
      <c r="D418" t="s">
        <v>1392</v>
      </c>
      <c r="E418" t="s">
        <v>569</v>
      </c>
      <c r="F418" t="s">
        <v>961</v>
      </c>
      <c r="G418" t="s">
        <v>714</v>
      </c>
      <c r="H418" t="s">
        <v>715</v>
      </c>
      <c r="I418" t="s">
        <v>2244</v>
      </c>
      <c r="J418" t="s">
        <v>2245</v>
      </c>
      <c r="K418" t="s">
        <v>2246</v>
      </c>
      <c r="L418" t="s">
        <v>1082</v>
      </c>
      <c r="M418" t="s">
        <v>720</v>
      </c>
      <c r="N418" t="s">
        <v>721</v>
      </c>
      <c r="O418">
        <v>7</v>
      </c>
      <c r="P418">
        <v>0</v>
      </c>
      <c r="Q418">
        <v>2</v>
      </c>
      <c r="R418" t="s">
        <v>798</v>
      </c>
      <c r="S418" t="s">
        <v>723</v>
      </c>
      <c r="T418" t="s">
        <v>1083</v>
      </c>
      <c r="U418" t="s">
        <v>707</v>
      </c>
    </row>
    <row r="419" spans="1:21" hidden="1" x14ac:dyDescent="0.3">
      <c r="A419" s="1" t="s">
        <v>1778</v>
      </c>
      <c r="B419" t="s">
        <v>732</v>
      </c>
      <c r="C419" t="s">
        <v>711</v>
      </c>
      <c r="D419" t="s">
        <v>1394</v>
      </c>
      <c r="E419" t="s">
        <v>568</v>
      </c>
      <c r="F419" t="s">
        <v>987</v>
      </c>
      <c r="G419" t="s">
        <v>714</v>
      </c>
      <c r="H419" t="s">
        <v>715</v>
      </c>
      <c r="I419" t="s">
        <v>2247</v>
      </c>
      <c r="J419" t="s">
        <v>2248</v>
      </c>
      <c r="K419" t="s">
        <v>2249</v>
      </c>
      <c r="L419" t="s">
        <v>1082</v>
      </c>
      <c r="M419" t="s">
        <v>720</v>
      </c>
      <c r="N419" t="s">
        <v>721</v>
      </c>
      <c r="O419">
        <v>0</v>
      </c>
      <c r="P419">
        <v>0</v>
      </c>
      <c r="Q419">
        <v>66</v>
      </c>
      <c r="R419" t="s">
        <v>798</v>
      </c>
      <c r="S419" t="s">
        <v>723</v>
      </c>
      <c r="T419" t="s">
        <v>1083</v>
      </c>
      <c r="U419" t="s">
        <v>707</v>
      </c>
    </row>
    <row r="420" spans="1:21" hidden="1" x14ac:dyDescent="0.3">
      <c r="A420" s="1" t="s">
        <v>1778</v>
      </c>
      <c r="B420" t="s">
        <v>732</v>
      </c>
      <c r="C420" t="s">
        <v>711</v>
      </c>
      <c r="D420" t="s">
        <v>1396</v>
      </c>
      <c r="E420" t="s">
        <v>568</v>
      </c>
      <c r="F420" t="s">
        <v>997</v>
      </c>
      <c r="G420" t="s">
        <v>714</v>
      </c>
      <c r="H420" t="s">
        <v>715</v>
      </c>
      <c r="I420" t="s">
        <v>2250</v>
      </c>
      <c r="J420" t="s">
        <v>2251</v>
      </c>
      <c r="K420" t="s">
        <v>2252</v>
      </c>
      <c r="L420" t="s">
        <v>1082</v>
      </c>
      <c r="M420" t="s">
        <v>720</v>
      </c>
      <c r="N420" t="s">
        <v>721</v>
      </c>
      <c r="O420">
        <v>6</v>
      </c>
      <c r="P420">
        <v>0</v>
      </c>
      <c r="Q420">
        <v>74</v>
      </c>
      <c r="R420" t="s">
        <v>798</v>
      </c>
      <c r="S420" t="s">
        <v>723</v>
      </c>
      <c r="T420" t="s">
        <v>1083</v>
      </c>
      <c r="U420" t="s">
        <v>707</v>
      </c>
    </row>
    <row r="421" spans="1:21" hidden="1" x14ac:dyDescent="0.3">
      <c r="A421" s="1" t="s">
        <v>1778</v>
      </c>
      <c r="B421" t="s">
        <v>732</v>
      </c>
      <c r="C421" t="s">
        <v>711</v>
      </c>
      <c r="D421" t="s">
        <v>1400</v>
      </c>
      <c r="E421" t="s">
        <v>568</v>
      </c>
      <c r="F421" t="s">
        <v>1401</v>
      </c>
      <c r="G421" t="s">
        <v>714</v>
      </c>
      <c r="H421" t="s">
        <v>715</v>
      </c>
      <c r="I421" t="s">
        <v>2253</v>
      </c>
      <c r="J421" t="s">
        <v>2254</v>
      </c>
      <c r="K421" t="s">
        <v>2255</v>
      </c>
      <c r="L421" t="s">
        <v>1082</v>
      </c>
      <c r="M421" t="s">
        <v>720</v>
      </c>
      <c r="N421" t="s">
        <v>721</v>
      </c>
      <c r="O421">
        <v>14</v>
      </c>
      <c r="P421">
        <v>0</v>
      </c>
      <c r="Q421">
        <v>40</v>
      </c>
      <c r="R421" t="s">
        <v>798</v>
      </c>
      <c r="S421" t="s">
        <v>723</v>
      </c>
      <c r="T421" t="s">
        <v>1083</v>
      </c>
      <c r="U421" t="s">
        <v>707</v>
      </c>
    </row>
    <row r="422" spans="1:21" hidden="1" x14ac:dyDescent="0.3">
      <c r="A422" s="1" t="s">
        <v>1778</v>
      </c>
      <c r="B422" t="s">
        <v>732</v>
      </c>
      <c r="C422" t="s">
        <v>711</v>
      </c>
      <c r="D422" t="s">
        <v>1405</v>
      </c>
      <c r="E422" t="s">
        <v>568</v>
      </c>
      <c r="F422" t="s">
        <v>1043</v>
      </c>
      <c r="G422" t="s">
        <v>714</v>
      </c>
      <c r="H422" t="s">
        <v>715</v>
      </c>
      <c r="I422" t="s">
        <v>2256</v>
      </c>
      <c r="J422" t="s">
        <v>2257</v>
      </c>
      <c r="K422" t="s">
        <v>2258</v>
      </c>
      <c r="L422" t="s">
        <v>1082</v>
      </c>
      <c r="M422" t="s">
        <v>720</v>
      </c>
      <c r="N422" t="s">
        <v>721</v>
      </c>
      <c r="O422">
        <v>13</v>
      </c>
      <c r="P422">
        <v>0</v>
      </c>
      <c r="Q422">
        <v>45</v>
      </c>
      <c r="R422" t="s">
        <v>798</v>
      </c>
      <c r="S422" t="s">
        <v>723</v>
      </c>
      <c r="T422" t="s">
        <v>1083</v>
      </c>
      <c r="U422" t="s">
        <v>707</v>
      </c>
    </row>
    <row r="423" spans="1:21" hidden="1" x14ac:dyDescent="0.3">
      <c r="A423" s="1" t="s">
        <v>1778</v>
      </c>
      <c r="B423" t="s">
        <v>732</v>
      </c>
      <c r="C423" t="s">
        <v>711</v>
      </c>
      <c r="D423" t="s">
        <v>1412</v>
      </c>
      <c r="E423" t="s">
        <v>568</v>
      </c>
      <c r="F423" t="s">
        <v>1053</v>
      </c>
      <c r="G423" t="s">
        <v>714</v>
      </c>
      <c r="H423" t="s">
        <v>715</v>
      </c>
      <c r="I423" t="s">
        <v>2259</v>
      </c>
      <c r="J423" t="s">
        <v>2260</v>
      </c>
      <c r="K423" t="s">
        <v>2261</v>
      </c>
      <c r="L423" t="s">
        <v>1082</v>
      </c>
      <c r="M423" t="s">
        <v>720</v>
      </c>
      <c r="N423" t="s">
        <v>721</v>
      </c>
      <c r="O423">
        <v>3</v>
      </c>
      <c r="P423">
        <v>0</v>
      </c>
      <c r="Q423">
        <v>49</v>
      </c>
      <c r="R423" t="s">
        <v>798</v>
      </c>
      <c r="S423" t="s">
        <v>723</v>
      </c>
      <c r="T423" t="s">
        <v>1083</v>
      </c>
      <c r="U423" t="s">
        <v>707</v>
      </c>
    </row>
    <row r="424" spans="1:21" hidden="1" x14ac:dyDescent="0.3">
      <c r="A424" s="1" t="s">
        <v>1778</v>
      </c>
      <c r="B424" t="s">
        <v>732</v>
      </c>
      <c r="C424" t="s">
        <v>711</v>
      </c>
      <c r="D424" t="s">
        <v>2167</v>
      </c>
      <c r="E424" t="s">
        <v>568</v>
      </c>
      <c r="F424" t="s">
        <v>1058</v>
      </c>
      <c r="G424" t="s">
        <v>714</v>
      </c>
      <c r="H424" t="s">
        <v>715</v>
      </c>
      <c r="I424" t="s">
        <v>2262</v>
      </c>
      <c r="J424" t="s">
        <v>2263</v>
      </c>
      <c r="K424" t="s">
        <v>2264</v>
      </c>
      <c r="L424" t="s">
        <v>1082</v>
      </c>
      <c r="M424" t="s">
        <v>720</v>
      </c>
      <c r="N424" t="s">
        <v>721</v>
      </c>
      <c r="O424">
        <v>3</v>
      </c>
      <c r="P424">
        <v>0</v>
      </c>
      <c r="Q424">
        <v>53</v>
      </c>
      <c r="R424" t="s">
        <v>798</v>
      </c>
      <c r="S424" t="s">
        <v>723</v>
      </c>
      <c r="T424" t="s">
        <v>1083</v>
      </c>
      <c r="U424" t="s">
        <v>707</v>
      </c>
    </row>
    <row r="425" spans="1:21" hidden="1" x14ac:dyDescent="0.3">
      <c r="A425" s="1" t="s">
        <v>1778</v>
      </c>
      <c r="B425" t="s">
        <v>732</v>
      </c>
      <c r="C425" t="s">
        <v>711</v>
      </c>
      <c r="D425" t="s">
        <v>1462</v>
      </c>
      <c r="E425" t="s">
        <v>568</v>
      </c>
      <c r="F425" t="s">
        <v>1068</v>
      </c>
      <c r="G425" t="s">
        <v>794</v>
      </c>
      <c r="H425" t="s">
        <v>715</v>
      </c>
      <c r="I425" t="s">
        <v>2210</v>
      </c>
      <c r="J425" t="s">
        <v>2265</v>
      </c>
      <c r="K425" t="s">
        <v>2266</v>
      </c>
      <c r="L425" t="s">
        <v>826</v>
      </c>
      <c r="M425" t="s">
        <v>720</v>
      </c>
      <c r="N425" t="s">
        <v>721</v>
      </c>
      <c r="O425">
        <v>12</v>
      </c>
      <c r="P425">
        <v>10</v>
      </c>
      <c r="Q425">
        <v>72</v>
      </c>
      <c r="R425" t="s">
        <v>722</v>
      </c>
      <c r="S425" t="s">
        <v>745</v>
      </c>
      <c r="T425" t="s">
        <v>746</v>
      </c>
      <c r="U425" t="s">
        <v>759</v>
      </c>
    </row>
    <row r="426" spans="1:21" hidden="1" x14ac:dyDescent="0.3">
      <c r="A426" s="1" t="s">
        <v>1778</v>
      </c>
      <c r="B426" t="s">
        <v>732</v>
      </c>
      <c r="C426" t="s">
        <v>711</v>
      </c>
      <c r="D426" t="s">
        <v>727</v>
      </c>
      <c r="E426" t="s">
        <v>568</v>
      </c>
      <c r="F426" t="s">
        <v>728</v>
      </c>
      <c r="G426" t="s">
        <v>714</v>
      </c>
      <c r="H426" t="s">
        <v>715</v>
      </c>
      <c r="I426" t="s">
        <v>2267</v>
      </c>
      <c r="J426" t="s">
        <v>2268</v>
      </c>
      <c r="K426" t="s">
        <v>2269</v>
      </c>
      <c r="L426" t="s">
        <v>1082</v>
      </c>
      <c r="M426" t="s">
        <v>720</v>
      </c>
      <c r="N426" t="s">
        <v>721</v>
      </c>
      <c r="O426">
        <v>30</v>
      </c>
      <c r="P426">
        <v>0</v>
      </c>
      <c r="Q426">
        <v>44</v>
      </c>
      <c r="R426" t="s">
        <v>798</v>
      </c>
      <c r="S426" t="s">
        <v>723</v>
      </c>
      <c r="T426" t="s">
        <v>1083</v>
      </c>
      <c r="U426" t="s">
        <v>707</v>
      </c>
    </row>
    <row r="427" spans="1:21" hidden="1" x14ac:dyDescent="0.3">
      <c r="A427" s="1" t="s">
        <v>1778</v>
      </c>
      <c r="B427" t="s">
        <v>732</v>
      </c>
      <c r="C427" t="s">
        <v>711</v>
      </c>
      <c r="D427" t="s">
        <v>1421</v>
      </c>
      <c r="E427" t="s">
        <v>568</v>
      </c>
      <c r="F427" t="s">
        <v>1154</v>
      </c>
      <c r="G427" t="s">
        <v>714</v>
      </c>
      <c r="H427" t="s">
        <v>715</v>
      </c>
      <c r="I427" t="s">
        <v>2270</v>
      </c>
      <c r="J427" t="s">
        <v>2271</v>
      </c>
      <c r="K427" t="s">
        <v>2272</v>
      </c>
      <c r="L427" t="s">
        <v>1082</v>
      </c>
      <c r="M427" t="s">
        <v>720</v>
      </c>
      <c r="N427" t="s">
        <v>721</v>
      </c>
      <c r="O427">
        <v>30</v>
      </c>
      <c r="P427">
        <v>0</v>
      </c>
      <c r="Q427">
        <v>69</v>
      </c>
      <c r="R427" t="s">
        <v>798</v>
      </c>
      <c r="S427" t="s">
        <v>723</v>
      </c>
      <c r="T427" t="s">
        <v>1083</v>
      </c>
      <c r="U427" t="s">
        <v>707</v>
      </c>
    </row>
    <row r="428" spans="1:21" hidden="1" x14ac:dyDescent="0.3">
      <c r="A428" s="1" t="s">
        <v>1778</v>
      </c>
      <c r="B428" t="s">
        <v>732</v>
      </c>
      <c r="C428" t="s">
        <v>711</v>
      </c>
      <c r="D428" t="s">
        <v>1428</v>
      </c>
      <c r="E428" t="s">
        <v>568</v>
      </c>
      <c r="F428" t="s">
        <v>1159</v>
      </c>
      <c r="G428" t="s">
        <v>714</v>
      </c>
      <c r="H428" t="s">
        <v>715</v>
      </c>
      <c r="I428" t="s">
        <v>2273</v>
      </c>
      <c r="J428" t="s">
        <v>2274</v>
      </c>
      <c r="K428" t="s">
        <v>2275</v>
      </c>
      <c r="L428" t="s">
        <v>1082</v>
      </c>
      <c r="M428" t="s">
        <v>720</v>
      </c>
      <c r="N428" t="s">
        <v>721</v>
      </c>
      <c r="O428">
        <v>10</v>
      </c>
      <c r="P428">
        <v>0</v>
      </c>
      <c r="Q428">
        <v>61</v>
      </c>
      <c r="R428" t="s">
        <v>798</v>
      </c>
      <c r="S428" t="s">
        <v>723</v>
      </c>
      <c r="T428" t="s">
        <v>1083</v>
      </c>
      <c r="U428" t="s">
        <v>707</v>
      </c>
    </row>
    <row r="429" spans="1:21" hidden="1" x14ac:dyDescent="0.3">
      <c r="A429" s="1" t="s">
        <v>1778</v>
      </c>
      <c r="B429" t="s">
        <v>732</v>
      </c>
      <c r="C429" t="s">
        <v>711</v>
      </c>
      <c r="D429" t="s">
        <v>2181</v>
      </c>
      <c r="E429" t="s">
        <v>567</v>
      </c>
      <c r="F429" t="s">
        <v>1189</v>
      </c>
      <c r="G429" t="s">
        <v>714</v>
      </c>
      <c r="H429" t="s">
        <v>715</v>
      </c>
      <c r="I429" t="s">
        <v>2276</v>
      </c>
      <c r="J429" t="s">
        <v>2277</v>
      </c>
      <c r="K429" t="s">
        <v>2278</v>
      </c>
      <c r="L429" t="s">
        <v>1082</v>
      </c>
      <c r="M429" t="s">
        <v>720</v>
      </c>
      <c r="N429" t="s">
        <v>721</v>
      </c>
      <c r="O429">
        <v>4</v>
      </c>
      <c r="P429">
        <v>0</v>
      </c>
      <c r="Q429">
        <v>96</v>
      </c>
      <c r="R429" t="s">
        <v>798</v>
      </c>
      <c r="S429" t="s">
        <v>723</v>
      </c>
      <c r="T429" t="s">
        <v>1083</v>
      </c>
      <c r="U429" t="s">
        <v>707</v>
      </c>
    </row>
    <row r="430" spans="1:21" hidden="1" x14ac:dyDescent="0.3">
      <c r="A430" s="1" t="s">
        <v>1778</v>
      </c>
      <c r="B430" t="s">
        <v>732</v>
      </c>
      <c r="C430" t="s">
        <v>711</v>
      </c>
      <c r="D430" t="s">
        <v>1432</v>
      </c>
      <c r="E430" t="s">
        <v>567</v>
      </c>
      <c r="F430" t="s">
        <v>1200</v>
      </c>
      <c r="G430" t="s">
        <v>714</v>
      </c>
      <c r="H430" t="s">
        <v>715</v>
      </c>
      <c r="I430" t="s">
        <v>2279</v>
      </c>
      <c r="J430" t="s">
        <v>2280</v>
      </c>
      <c r="K430" t="s">
        <v>2281</v>
      </c>
      <c r="L430" t="s">
        <v>1082</v>
      </c>
      <c r="M430" t="s">
        <v>720</v>
      </c>
      <c r="N430" t="s">
        <v>721</v>
      </c>
      <c r="O430">
        <v>0</v>
      </c>
      <c r="P430">
        <v>0</v>
      </c>
      <c r="Q430">
        <v>85</v>
      </c>
      <c r="R430" t="s">
        <v>798</v>
      </c>
      <c r="S430" t="s">
        <v>723</v>
      </c>
      <c r="T430" t="s">
        <v>1083</v>
      </c>
      <c r="U430" t="s">
        <v>707</v>
      </c>
    </row>
    <row r="431" spans="1:21" hidden="1" x14ac:dyDescent="0.3">
      <c r="A431" s="1" t="s">
        <v>1778</v>
      </c>
      <c r="B431" t="s">
        <v>732</v>
      </c>
      <c r="C431" t="s">
        <v>711</v>
      </c>
      <c r="D431" t="s">
        <v>1433</v>
      </c>
      <c r="E431" t="s">
        <v>567</v>
      </c>
      <c r="F431" t="s">
        <v>1205</v>
      </c>
      <c r="G431" t="s">
        <v>714</v>
      </c>
      <c r="H431" t="s">
        <v>715</v>
      </c>
      <c r="I431" t="s">
        <v>2282</v>
      </c>
      <c r="J431" t="s">
        <v>2283</v>
      </c>
      <c r="K431" t="s">
        <v>2284</v>
      </c>
      <c r="L431" t="s">
        <v>1082</v>
      </c>
      <c r="M431" t="s">
        <v>720</v>
      </c>
      <c r="N431" t="s">
        <v>721</v>
      </c>
      <c r="O431">
        <v>0</v>
      </c>
      <c r="P431">
        <v>0</v>
      </c>
      <c r="Q431">
        <v>89</v>
      </c>
      <c r="R431" t="s">
        <v>798</v>
      </c>
      <c r="S431" t="s">
        <v>723</v>
      </c>
      <c r="T431" t="s">
        <v>1083</v>
      </c>
      <c r="U431" t="s">
        <v>707</v>
      </c>
    </row>
    <row r="432" spans="1:21" hidden="1" x14ac:dyDescent="0.3">
      <c r="A432" s="1" t="s">
        <v>1778</v>
      </c>
      <c r="B432" t="s">
        <v>732</v>
      </c>
      <c r="C432" t="s">
        <v>711</v>
      </c>
      <c r="D432" t="s">
        <v>1434</v>
      </c>
      <c r="E432" t="s">
        <v>567</v>
      </c>
      <c r="F432" t="s">
        <v>1218</v>
      </c>
      <c r="G432" t="s">
        <v>714</v>
      </c>
      <c r="H432" t="s">
        <v>715</v>
      </c>
      <c r="I432" t="s">
        <v>2285</v>
      </c>
      <c r="J432" t="s">
        <v>2286</v>
      </c>
      <c r="K432" t="s">
        <v>2287</v>
      </c>
      <c r="L432" t="s">
        <v>1082</v>
      </c>
      <c r="M432" t="s">
        <v>720</v>
      </c>
      <c r="N432" t="s">
        <v>721</v>
      </c>
      <c r="O432">
        <v>0</v>
      </c>
      <c r="P432">
        <v>0</v>
      </c>
      <c r="Q432">
        <v>86</v>
      </c>
      <c r="R432" t="s">
        <v>798</v>
      </c>
      <c r="S432" t="s">
        <v>723</v>
      </c>
      <c r="T432" t="s">
        <v>1083</v>
      </c>
      <c r="U432" t="s">
        <v>707</v>
      </c>
    </row>
    <row r="433" spans="1:21" hidden="1" x14ac:dyDescent="0.3">
      <c r="A433" s="1" t="s">
        <v>1778</v>
      </c>
      <c r="B433" t="s">
        <v>732</v>
      </c>
      <c r="C433" t="s">
        <v>711</v>
      </c>
      <c r="D433" t="s">
        <v>1443</v>
      </c>
      <c r="E433" t="s">
        <v>567</v>
      </c>
      <c r="F433" t="s">
        <v>1276</v>
      </c>
      <c r="G433" t="s">
        <v>714</v>
      </c>
      <c r="H433" t="s">
        <v>715</v>
      </c>
      <c r="I433" t="s">
        <v>2288</v>
      </c>
      <c r="J433" t="s">
        <v>2289</v>
      </c>
      <c r="K433" t="s">
        <v>2290</v>
      </c>
      <c r="L433" t="s">
        <v>1082</v>
      </c>
      <c r="M433" t="s">
        <v>720</v>
      </c>
      <c r="N433" t="s">
        <v>721</v>
      </c>
      <c r="O433">
        <v>9</v>
      </c>
      <c r="P433">
        <v>0</v>
      </c>
      <c r="Q433">
        <v>109</v>
      </c>
      <c r="R433" t="s">
        <v>798</v>
      </c>
      <c r="S433" t="s">
        <v>723</v>
      </c>
      <c r="T433" t="s">
        <v>1083</v>
      </c>
      <c r="U433" t="s">
        <v>707</v>
      </c>
    </row>
    <row r="434" spans="1:21" hidden="1" x14ac:dyDescent="0.3">
      <c r="A434" s="1" t="s">
        <v>1778</v>
      </c>
      <c r="B434" t="s">
        <v>732</v>
      </c>
      <c r="C434" t="s">
        <v>711</v>
      </c>
      <c r="D434" t="s">
        <v>2190</v>
      </c>
      <c r="E434" t="s">
        <v>567</v>
      </c>
      <c r="F434" t="s">
        <v>2099</v>
      </c>
      <c r="G434" t="s">
        <v>714</v>
      </c>
      <c r="H434" t="s">
        <v>715</v>
      </c>
      <c r="I434" t="s">
        <v>2291</v>
      </c>
      <c r="J434" t="s">
        <v>2292</v>
      </c>
      <c r="K434" t="s">
        <v>2293</v>
      </c>
      <c r="L434" t="s">
        <v>1082</v>
      </c>
      <c r="M434" t="s">
        <v>720</v>
      </c>
      <c r="N434" t="s">
        <v>721</v>
      </c>
      <c r="O434">
        <v>16</v>
      </c>
      <c r="P434">
        <v>0</v>
      </c>
      <c r="Q434">
        <v>100</v>
      </c>
      <c r="R434" t="s">
        <v>798</v>
      </c>
      <c r="S434" t="s">
        <v>723</v>
      </c>
      <c r="T434" t="s">
        <v>1083</v>
      </c>
      <c r="U434" t="s">
        <v>707</v>
      </c>
    </row>
    <row r="435" spans="1:21" hidden="1" x14ac:dyDescent="0.3">
      <c r="A435" s="1" t="s">
        <v>1778</v>
      </c>
      <c r="B435" t="s">
        <v>732</v>
      </c>
      <c r="C435" t="s">
        <v>711</v>
      </c>
      <c r="D435" t="s">
        <v>1449</v>
      </c>
      <c r="E435" t="s">
        <v>567</v>
      </c>
      <c r="F435" t="s">
        <v>1450</v>
      </c>
      <c r="G435" t="s">
        <v>714</v>
      </c>
      <c r="H435" t="s">
        <v>715</v>
      </c>
      <c r="I435" t="s">
        <v>2294</v>
      </c>
      <c r="J435" t="s">
        <v>2295</v>
      </c>
      <c r="K435" t="s">
        <v>2296</v>
      </c>
      <c r="L435" t="s">
        <v>1082</v>
      </c>
      <c r="M435" t="s">
        <v>720</v>
      </c>
      <c r="N435" t="s">
        <v>721</v>
      </c>
      <c r="O435">
        <v>4</v>
      </c>
      <c r="P435">
        <v>0</v>
      </c>
      <c r="Q435">
        <v>113</v>
      </c>
      <c r="R435" t="s">
        <v>798</v>
      </c>
      <c r="S435" t="s">
        <v>723</v>
      </c>
      <c r="T435" t="s">
        <v>1083</v>
      </c>
      <c r="U435" t="s">
        <v>707</v>
      </c>
    </row>
    <row r="436" spans="1:21" hidden="1" x14ac:dyDescent="0.3">
      <c r="A436" s="1" t="s">
        <v>1778</v>
      </c>
      <c r="B436" t="s">
        <v>732</v>
      </c>
      <c r="C436" t="s">
        <v>711</v>
      </c>
      <c r="D436" t="s">
        <v>1454</v>
      </c>
      <c r="E436" t="s">
        <v>567</v>
      </c>
      <c r="F436" t="s">
        <v>1291</v>
      </c>
      <c r="G436" t="s">
        <v>714</v>
      </c>
      <c r="H436" t="s">
        <v>715</v>
      </c>
      <c r="I436" t="s">
        <v>2297</v>
      </c>
      <c r="J436" t="s">
        <v>2298</v>
      </c>
      <c r="K436" t="s">
        <v>2299</v>
      </c>
      <c r="L436" t="s">
        <v>1082</v>
      </c>
      <c r="M436" t="s">
        <v>720</v>
      </c>
      <c r="N436" t="s">
        <v>721</v>
      </c>
      <c r="O436">
        <v>30</v>
      </c>
      <c r="P436">
        <v>0</v>
      </c>
      <c r="Q436">
        <v>117</v>
      </c>
      <c r="R436" t="s">
        <v>798</v>
      </c>
      <c r="S436" t="s">
        <v>723</v>
      </c>
      <c r="T436" t="s">
        <v>1083</v>
      </c>
      <c r="U436" t="s">
        <v>707</v>
      </c>
    </row>
    <row r="437" spans="1:21" hidden="1" x14ac:dyDescent="0.3">
      <c r="A437" s="1" t="s">
        <v>1778</v>
      </c>
      <c r="B437" t="s">
        <v>732</v>
      </c>
      <c r="C437" t="s">
        <v>711</v>
      </c>
      <c r="D437" t="s">
        <v>1456</v>
      </c>
      <c r="E437" t="s">
        <v>567</v>
      </c>
      <c r="F437" t="s">
        <v>1306</v>
      </c>
      <c r="G437" t="s">
        <v>714</v>
      </c>
      <c r="H437" t="s">
        <v>715</v>
      </c>
      <c r="I437" t="s">
        <v>2300</v>
      </c>
      <c r="J437" t="s">
        <v>2301</v>
      </c>
      <c r="K437" t="s">
        <v>2302</v>
      </c>
      <c r="L437" t="s">
        <v>1082</v>
      </c>
      <c r="M437" t="s">
        <v>720</v>
      </c>
      <c r="N437" t="s">
        <v>721</v>
      </c>
      <c r="O437">
        <v>11</v>
      </c>
      <c r="P437">
        <v>0</v>
      </c>
      <c r="Q437">
        <v>111</v>
      </c>
      <c r="R437" t="s">
        <v>798</v>
      </c>
      <c r="S437" t="s">
        <v>723</v>
      </c>
      <c r="T437" t="s">
        <v>1083</v>
      </c>
      <c r="U437" t="s">
        <v>707</v>
      </c>
    </row>
    <row r="438" spans="1:21" hidden="1" x14ac:dyDescent="0.3">
      <c r="A438" s="1" t="s">
        <v>1778</v>
      </c>
      <c r="B438" t="s">
        <v>732</v>
      </c>
      <c r="C438" t="s">
        <v>711</v>
      </c>
      <c r="D438" t="s">
        <v>751</v>
      </c>
      <c r="E438" t="s">
        <v>569</v>
      </c>
      <c r="F438" t="s">
        <v>752</v>
      </c>
      <c r="G438" t="s">
        <v>753</v>
      </c>
      <c r="H438" t="s">
        <v>715</v>
      </c>
      <c r="I438" t="s">
        <v>2199</v>
      </c>
      <c r="J438" t="s">
        <v>2200</v>
      </c>
      <c r="K438" t="s">
        <v>2201</v>
      </c>
      <c r="L438" t="s">
        <v>1082</v>
      </c>
      <c r="M438" t="s">
        <v>720</v>
      </c>
      <c r="N438" t="s">
        <v>721</v>
      </c>
      <c r="O438">
        <v>30</v>
      </c>
      <c r="P438">
        <v>0</v>
      </c>
      <c r="Q438">
        <v>0</v>
      </c>
      <c r="R438" t="s">
        <v>798</v>
      </c>
      <c r="S438" t="s">
        <v>723</v>
      </c>
      <c r="T438" t="s">
        <v>1083</v>
      </c>
      <c r="U438" t="s">
        <v>707</v>
      </c>
    </row>
    <row r="439" spans="1:21" hidden="1" x14ac:dyDescent="0.3">
      <c r="A439" s="1" t="s">
        <v>1778</v>
      </c>
      <c r="B439" t="s">
        <v>732</v>
      </c>
      <c r="C439" t="s">
        <v>711</v>
      </c>
      <c r="D439" t="s">
        <v>1788</v>
      </c>
      <c r="E439" t="s">
        <v>569</v>
      </c>
      <c r="F439" t="s">
        <v>1357</v>
      </c>
      <c r="G439" t="s">
        <v>794</v>
      </c>
      <c r="H439" t="s">
        <v>715</v>
      </c>
      <c r="I439" t="s">
        <v>2303</v>
      </c>
      <c r="J439" t="s">
        <v>2304</v>
      </c>
      <c r="K439" t="s">
        <v>2305</v>
      </c>
      <c r="L439" t="s">
        <v>826</v>
      </c>
      <c r="M439" t="s">
        <v>720</v>
      </c>
      <c r="N439" t="s">
        <v>721</v>
      </c>
      <c r="O439">
        <v>0</v>
      </c>
      <c r="P439">
        <v>8</v>
      </c>
      <c r="Q439">
        <v>40</v>
      </c>
      <c r="R439" t="s">
        <v>798</v>
      </c>
      <c r="S439" t="s">
        <v>745</v>
      </c>
      <c r="T439" t="s">
        <v>746</v>
      </c>
      <c r="U439" t="s">
        <v>759</v>
      </c>
    </row>
    <row r="440" spans="1:21" hidden="1" x14ac:dyDescent="0.3">
      <c r="A440" s="1" t="s">
        <v>1778</v>
      </c>
      <c r="B440" t="s">
        <v>732</v>
      </c>
      <c r="C440" t="s">
        <v>711</v>
      </c>
      <c r="D440" t="s">
        <v>760</v>
      </c>
      <c r="E440" t="s">
        <v>569</v>
      </c>
      <c r="F440" t="s">
        <v>761</v>
      </c>
      <c r="G440" t="s">
        <v>794</v>
      </c>
      <c r="H440" t="s">
        <v>715</v>
      </c>
      <c r="I440" t="s">
        <v>2216</v>
      </c>
      <c r="J440" t="s">
        <v>2217</v>
      </c>
      <c r="K440" t="s">
        <v>2218</v>
      </c>
      <c r="L440" t="s">
        <v>1082</v>
      </c>
      <c r="M440" t="s">
        <v>720</v>
      </c>
      <c r="N440" t="s">
        <v>721</v>
      </c>
      <c r="O440">
        <v>30</v>
      </c>
      <c r="P440">
        <v>0</v>
      </c>
      <c r="Q440">
        <v>11</v>
      </c>
      <c r="R440" t="s">
        <v>798</v>
      </c>
      <c r="S440" t="s">
        <v>723</v>
      </c>
      <c r="T440" t="s">
        <v>1083</v>
      </c>
      <c r="U440" t="s">
        <v>707</v>
      </c>
    </row>
    <row r="441" spans="1:21" hidden="1" x14ac:dyDescent="0.3">
      <c r="A441" s="1" t="s">
        <v>1778</v>
      </c>
      <c r="B441" t="s">
        <v>732</v>
      </c>
      <c r="C441" t="s">
        <v>711</v>
      </c>
      <c r="D441" t="s">
        <v>766</v>
      </c>
      <c r="E441" t="s">
        <v>569</v>
      </c>
      <c r="F441" t="s">
        <v>767</v>
      </c>
      <c r="G441" t="s">
        <v>753</v>
      </c>
      <c r="H441" t="s">
        <v>715</v>
      </c>
      <c r="I441" t="s">
        <v>2306</v>
      </c>
      <c r="J441" t="s">
        <v>2307</v>
      </c>
      <c r="K441" t="s">
        <v>2308</v>
      </c>
      <c r="L441" t="s">
        <v>765</v>
      </c>
      <c r="M441" t="s">
        <v>720</v>
      </c>
      <c r="N441" t="s">
        <v>721</v>
      </c>
      <c r="O441">
        <v>5</v>
      </c>
      <c r="P441">
        <v>15</v>
      </c>
      <c r="Q441">
        <v>82</v>
      </c>
      <c r="R441" t="s">
        <v>758</v>
      </c>
      <c r="S441" t="s">
        <v>745</v>
      </c>
      <c r="T441" t="s">
        <v>746</v>
      </c>
      <c r="U441" t="s">
        <v>832</v>
      </c>
    </row>
    <row r="442" spans="1:21" hidden="1" x14ac:dyDescent="0.3">
      <c r="A442" s="1" t="s">
        <v>1778</v>
      </c>
      <c r="B442" t="s">
        <v>732</v>
      </c>
      <c r="C442" t="s">
        <v>711</v>
      </c>
      <c r="D442" t="s">
        <v>772</v>
      </c>
      <c r="E442" t="s">
        <v>569</v>
      </c>
      <c r="F442" t="s">
        <v>773</v>
      </c>
      <c r="G442" t="s">
        <v>753</v>
      </c>
      <c r="H442" t="s">
        <v>715</v>
      </c>
      <c r="I442" t="s">
        <v>2309</v>
      </c>
      <c r="J442" t="s">
        <v>2310</v>
      </c>
      <c r="K442" t="s">
        <v>2311</v>
      </c>
      <c r="L442" t="s">
        <v>765</v>
      </c>
      <c r="M442" t="s">
        <v>720</v>
      </c>
      <c r="N442" t="s">
        <v>721</v>
      </c>
      <c r="O442">
        <v>2</v>
      </c>
      <c r="P442">
        <v>15</v>
      </c>
      <c r="Q442">
        <v>104</v>
      </c>
      <c r="R442" t="s">
        <v>758</v>
      </c>
      <c r="S442" t="s">
        <v>745</v>
      </c>
      <c r="T442" t="s">
        <v>746</v>
      </c>
      <c r="U442" t="s">
        <v>759</v>
      </c>
    </row>
    <row r="443" spans="1:21" hidden="1" x14ac:dyDescent="0.3">
      <c r="A443" s="1" t="s">
        <v>1778</v>
      </c>
      <c r="B443" t="s">
        <v>732</v>
      </c>
      <c r="C443" t="s">
        <v>711</v>
      </c>
      <c r="D443" t="s">
        <v>777</v>
      </c>
      <c r="E443" t="s">
        <v>569</v>
      </c>
      <c r="F443" t="s">
        <v>778</v>
      </c>
      <c r="G443" t="s">
        <v>753</v>
      </c>
      <c r="H443" t="s">
        <v>715</v>
      </c>
      <c r="I443" t="s">
        <v>2312</v>
      </c>
      <c r="J443" t="s">
        <v>2313</v>
      </c>
      <c r="K443" t="s">
        <v>2314</v>
      </c>
      <c r="L443" t="s">
        <v>765</v>
      </c>
      <c r="M443" t="s">
        <v>720</v>
      </c>
      <c r="N443" t="s">
        <v>721</v>
      </c>
      <c r="O443">
        <v>0</v>
      </c>
      <c r="P443">
        <v>15</v>
      </c>
      <c r="Q443">
        <v>27</v>
      </c>
      <c r="R443" t="s">
        <v>758</v>
      </c>
      <c r="S443" t="s">
        <v>745</v>
      </c>
      <c r="T443" t="s">
        <v>746</v>
      </c>
      <c r="U443" t="s">
        <v>759</v>
      </c>
    </row>
    <row r="444" spans="1:21" hidden="1" x14ac:dyDescent="0.3">
      <c r="A444" s="1" t="s">
        <v>1778</v>
      </c>
      <c r="B444" t="s">
        <v>732</v>
      </c>
      <c r="C444" t="s">
        <v>711</v>
      </c>
      <c r="D444" t="s">
        <v>782</v>
      </c>
      <c r="E444" t="s">
        <v>569</v>
      </c>
      <c r="F444" t="s">
        <v>783</v>
      </c>
      <c r="G444" t="s">
        <v>1239</v>
      </c>
      <c r="H444" t="s">
        <v>737</v>
      </c>
      <c r="I444" t="s">
        <v>2315</v>
      </c>
      <c r="J444" t="s">
        <v>2316</v>
      </c>
      <c r="K444" t="s">
        <v>2317</v>
      </c>
      <c r="L444" t="s">
        <v>1471</v>
      </c>
      <c r="M444" t="s">
        <v>1471</v>
      </c>
      <c r="N444" t="s">
        <v>721</v>
      </c>
      <c r="O444">
        <v>27</v>
      </c>
      <c r="P444">
        <v>0</v>
      </c>
      <c r="Q444">
        <v>228</v>
      </c>
      <c r="R444" t="s">
        <v>758</v>
      </c>
      <c r="S444" t="s">
        <v>745</v>
      </c>
      <c r="T444" t="s">
        <v>746</v>
      </c>
      <c r="U444" t="s">
        <v>771</v>
      </c>
    </row>
    <row r="445" spans="1:21" hidden="1" x14ac:dyDescent="0.3">
      <c r="A445" s="1" t="s">
        <v>1778</v>
      </c>
      <c r="B445" t="s">
        <v>732</v>
      </c>
      <c r="C445" t="s">
        <v>711</v>
      </c>
      <c r="D445" t="s">
        <v>787</v>
      </c>
      <c r="E445" t="s">
        <v>569</v>
      </c>
      <c r="F445" t="s">
        <v>788</v>
      </c>
      <c r="G445" t="s">
        <v>753</v>
      </c>
      <c r="H445" t="s">
        <v>715</v>
      </c>
      <c r="I445" t="s">
        <v>2219</v>
      </c>
      <c r="J445" t="s">
        <v>2220</v>
      </c>
      <c r="K445" t="s">
        <v>2221</v>
      </c>
      <c r="L445" t="s">
        <v>1082</v>
      </c>
      <c r="M445" t="s">
        <v>720</v>
      </c>
      <c r="N445" t="s">
        <v>721</v>
      </c>
      <c r="O445">
        <v>12</v>
      </c>
      <c r="P445">
        <v>0</v>
      </c>
      <c r="Q445">
        <v>5</v>
      </c>
      <c r="R445" t="s">
        <v>798</v>
      </c>
      <c r="S445" t="s">
        <v>723</v>
      </c>
      <c r="T445" t="s">
        <v>1083</v>
      </c>
      <c r="U445" t="s">
        <v>707</v>
      </c>
    </row>
    <row r="446" spans="1:21" hidden="1" x14ac:dyDescent="0.3">
      <c r="A446" s="1" t="s">
        <v>1778</v>
      </c>
      <c r="B446" t="s">
        <v>732</v>
      </c>
      <c r="C446" t="s">
        <v>711</v>
      </c>
      <c r="D446" t="s">
        <v>792</v>
      </c>
      <c r="E446" t="s">
        <v>569</v>
      </c>
      <c r="F446" t="s">
        <v>793</v>
      </c>
      <c r="G446" t="s">
        <v>753</v>
      </c>
      <c r="H446" t="s">
        <v>715</v>
      </c>
      <c r="I446" t="s">
        <v>2318</v>
      </c>
      <c r="J446" t="s">
        <v>2319</v>
      </c>
      <c r="K446" t="s">
        <v>2320</v>
      </c>
      <c r="L446" t="s">
        <v>765</v>
      </c>
      <c r="M446" t="s">
        <v>720</v>
      </c>
      <c r="N446" t="s">
        <v>721</v>
      </c>
      <c r="O446">
        <v>10</v>
      </c>
      <c r="P446">
        <v>15</v>
      </c>
      <c r="Q446">
        <v>23</v>
      </c>
      <c r="R446" t="s">
        <v>758</v>
      </c>
      <c r="S446" t="s">
        <v>745</v>
      </c>
      <c r="T446" t="s">
        <v>746</v>
      </c>
      <c r="U446" t="s">
        <v>832</v>
      </c>
    </row>
    <row r="447" spans="1:21" hidden="1" x14ac:dyDescent="0.3">
      <c r="A447" s="1" t="s">
        <v>1778</v>
      </c>
      <c r="B447" t="s">
        <v>732</v>
      </c>
      <c r="C447" t="s">
        <v>711</v>
      </c>
      <c r="D447" t="s">
        <v>799</v>
      </c>
      <c r="E447" t="s">
        <v>569</v>
      </c>
      <c r="F447" t="s">
        <v>800</v>
      </c>
      <c r="G447" t="s">
        <v>794</v>
      </c>
      <c r="H447" t="s">
        <v>715</v>
      </c>
      <c r="I447" t="s">
        <v>2321</v>
      </c>
      <c r="J447" t="s">
        <v>2322</v>
      </c>
      <c r="K447" t="s">
        <v>2323</v>
      </c>
      <c r="L447" t="s">
        <v>826</v>
      </c>
      <c r="M447" t="s">
        <v>720</v>
      </c>
      <c r="N447" t="s">
        <v>721</v>
      </c>
      <c r="O447">
        <v>0</v>
      </c>
      <c r="P447">
        <v>2</v>
      </c>
      <c r="Q447">
        <v>55</v>
      </c>
      <c r="R447" t="s">
        <v>798</v>
      </c>
      <c r="S447" t="s">
        <v>745</v>
      </c>
      <c r="T447" t="s">
        <v>746</v>
      </c>
      <c r="U447" t="s">
        <v>759</v>
      </c>
    </row>
    <row r="448" spans="1:21" hidden="1" x14ac:dyDescent="0.3">
      <c r="A448" s="1" t="s">
        <v>1778</v>
      </c>
      <c r="B448" t="s">
        <v>732</v>
      </c>
      <c r="C448" t="s">
        <v>711</v>
      </c>
      <c r="D448" t="s">
        <v>804</v>
      </c>
      <c r="E448" t="s">
        <v>569</v>
      </c>
      <c r="F448" t="s">
        <v>805</v>
      </c>
      <c r="G448" t="s">
        <v>753</v>
      </c>
      <c r="H448" t="s">
        <v>715</v>
      </c>
      <c r="I448" t="s">
        <v>2202</v>
      </c>
      <c r="J448" t="s">
        <v>2203</v>
      </c>
      <c r="K448" t="s">
        <v>2204</v>
      </c>
      <c r="L448" t="s">
        <v>1082</v>
      </c>
      <c r="M448" t="s">
        <v>720</v>
      </c>
      <c r="N448" t="s">
        <v>721</v>
      </c>
      <c r="O448">
        <v>30</v>
      </c>
      <c r="P448">
        <v>0</v>
      </c>
      <c r="Q448">
        <v>18</v>
      </c>
      <c r="R448" t="s">
        <v>798</v>
      </c>
      <c r="S448" t="s">
        <v>723</v>
      </c>
      <c r="T448" t="s">
        <v>1083</v>
      </c>
      <c r="U448" t="s">
        <v>707</v>
      </c>
    </row>
    <row r="449" spans="1:21" hidden="1" x14ac:dyDescent="0.3">
      <c r="A449" s="1" t="s">
        <v>1778</v>
      </c>
      <c r="B449" t="s">
        <v>732</v>
      </c>
      <c r="C449" t="s">
        <v>711</v>
      </c>
      <c r="D449" t="s">
        <v>811</v>
      </c>
      <c r="E449" t="s">
        <v>569</v>
      </c>
      <c r="F449" t="s">
        <v>812</v>
      </c>
      <c r="G449" t="s">
        <v>794</v>
      </c>
      <c r="H449" t="s">
        <v>715</v>
      </c>
      <c r="I449" t="s">
        <v>2324</v>
      </c>
      <c r="J449" t="s">
        <v>2325</v>
      </c>
      <c r="K449" t="s">
        <v>2326</v>
      </c>
      <c r="L449" t="s">
        <v>826</v>
      </c>
      <c r="M449" t="s">
        <v>720</v>
      </c>
      <c r="N449" t="s">
        <v>721</v>
      </c>
      <c r="O449">
        <v>1</v>
      </c>
      <c r="P449">
        <v>10</v>
      </c>
      <c r="Q449">
        <v>100</v>
      </c>
      <c r="R449" t="s">
        <v>722</v>
      </c>
      <c r="S449" t="s">
        <v>745</v>
      </c>
      <c r="T449" t="s">
        <v>746</v>
      </c>
      <c r="U449" t="s">
        <v>759</v>
      </c>
    </row>
    <row r="450" spans="1:21" hidden="1" x14ac:dyDescent="0.3">
      <c r="A450" s="1" t="s">
        <v>1778</v>
      </c>
      <c r="B450" t="s">
        <v>732</v>
      </c>
      <c r="C450" t="s">
        <v>711</v>
      </c>
      <c r="D450" t="s">
        <v>816</v>
      </c>
      <c r="E450" t="s">
        <v>569</v>
      </c>
      <c r="F450" t="s">
        <v>817</v>
      </c>
      <c r="G450" t="s">
        <v>753</v>
      </c>
      <c r="H450" t="s">
        <v>715</v>
      </c>
      <c r="I450" t="s">
        <v>2327</v>
      </c>
      <c r="J450" t="s">
        <v>2328</v>
      </c>
      <c r="K450" t="s">
        <v>2329</v>
      </c>
      <c r="L450" t="s">
        <v>765</v>
      </c>
      <c r="M450" t="s">
        <v>720</v>
      </c>
      <c r="N450" t="s">
        <v>721</v>
      </c>
      <c r="O450">
        <v>0</v>
      </c>
      <c r="P450">
        <v>15</v>
      </c>
      <c r="Q450">
        <v>27</v>
      </c>
      <c r="R450" t="s">
        <v>758</v>
      </c>
      <c r="S450" t="s">
        <v>745</v>
      </c>
      <c r="T450" t="s">
        <v>746</v>
      </c>
      <c r="U450" t="s">
        <v>759</v>
      </c>
    </row>
    <row r="451" spans="1:21" hidden="1" x14ac:dyDescent="0.3">
      <c r="A451" s="1" t="s">
        <v>1778</v>
      </c>
      <c r="B451" t="s">
        <v>732</v>
      </c>
      <c r="C451" t="s">
        <v>711</v>
      </c>
      <c r="D451" t="s">
        <v>821</v>
      </c>
      <c r="E451" t="s">
        <v>569</v>
      </c>
      <c r="F451" t="s">
        <v>822</v>
      </c>
      <c r="G451" t="s">
        <v>753</v>
      </c>
      <c r="H451" t="s">
        <v>715</v>
      </c>
      <c r="I451" t="s">
        <v>2330</v>
      </c>
      <c r="J451" t="s">
        <v>2331</v>
      </c>
      <c r="K451" t="s">
        <v>2332</v>
      </c>
      <c r="L451" t="s">
        <v>765</v>
      </c>
      <c r="M451" t="s">
        <v>720</v>
      </c>
      <c r="N451" t="s">
        <v>721</v>
      </c>
      <c r="O451">
        <v>0</v>
      </c>
      <c r="P451">
        <v>15</v>
      </c>
      <c r="Q451">
        <v>83</v>
      </c>
      <c r="R451" t="s">
        <v>758</v>
      </c>
      <c r="S451" t="s">
        <v>745</v>
      </c>
      <c r="T451" t="s">
        <v>746</v>
      </c>
      <c r="U451" t="s">
        <v>832</v>
      </c>
    </row>
    <row r="452" spans="1:21" hidden="1" x14ac:dyDescent="0.3">
      <c r="A452" s="1" t="s">
        <v>1778</v>
      </c>
      <c r="B452" t="s">
        <v>732</v>
      </c>
      <c r="C452" t="s">
        <v>711</v>
      </c>
      <c r="D452" t="s">
        <v>827</v>
      </c>
      <c r="E452" t="s">
        <v>569</v>
      </c>
      <c r="F452" t="s">
        <v>828</v>
      </c>
      <c r="G452" t="s">
        <v>753</v>
      </c>
      <c r="H452" t="s">
        <v>715</v>
      </c>
      <c r="I452" t="s">
        <v>2333</v>
      </c>
      <c r="J452" t="s">
        <v>2334</v>
      </c>
      <c r="K452" t="s">
        <v>2335</v>
      </c>
      <c r="L452" t="s">
        <v>765</v>
      </c>
      <c r="M452" t="s">
        <v>720</v>
      </c>
      <c r="N452" t="s">
        <v>721</v>
      </c>
      <c r="O452">
        <v>0</v>
      </c>
      <c r="P452">
        <v>15</v>
      </c>
      <c r="Q452">
        <v>18</v>
      </c>
      <c r="R452" t="s">
        <v>758</v>
      </c>
      <c r="S452" t="s">
        <v>745</v>
      </c>
      <c r="T452" t="s">
        <v>746</v>
      </c>
      <c r="U452" t="s">
        <v>759</v>
      </c>
    </row>
    <row r="453" spans="1:21" hidden="1" x14ac:dyDescent="0.3">
      <c r="A453" s="1" t="s">
        <v>1778</v>
      </c>
      <c r="B453" t="s">
        <v>732</v>
      </c>
      <c r="C453" t="s">
        <v>711</v>
      </c>
      <c r="D453" t="s">
        <v>833</v>
      </c>
      <c r="E453" t="s">
        <v>569</v>
      </c>
      <c r="F453" t="s">
        <v>834</v>
      </c>
      <c r="G453" t="s">
        <v>794</v>
      </c>
      <c r="H453" t="s">
        <v>715</v>
      </c>
      <c r="I453" t="s">
        <v>2336</v>
      </c>
      <c r="J453" t="s">
        <v>2337</v>
      </c>
      <c r="K453" t="s">
        <v>2323</v>
      </c>
      <c r="L453" t="s">
        <v>826</v>
      </c>
      <c r="M453" t="s">
        <v>720</v>
      </c>
      <c r="N453" t="s">
        <v>721</v>
      </c>
      <c r="O453">
        <v>2</v>
      </c>
      <c r="P453">
        <v>2</v>
      </c>
      <c r="Q453">
        <v>55</v>
      </c>
      <c r="R453" t="s">
        <v>798</v>
      </c>
      <c r="S453" t="s">
        <v>745</v>
      </c>
      <c r="T453" t="s">
        <v>746</v>
      </c>
      <c r="U453" t="s">
        <v>759</v>
      </c>
    </row>
    <row r="454" spans="1:21" hidden="1" x14ac:dyDescent="0.3">
      <c r="A454" s="1" t="s">
        <v>1778</v>
      </c>
      <c r="B454" t="s">
        <v>732</v>
      </c>
      <c r="C454" t="s">
        <v>711</v>
      </c>
      <c r="D454" t="s">
        <v>838</v>
      </c>
      <c r="E454" t="s">
        <v>569</v>
      </c>
      <c r="F454" t="s">
        <v>839</v>
      </c>
      <c r="G454" t="s">
        <v>753</v>
      </c>
      <c r="H454" t="s">
        <v>715</v>
      </c>
      <c r="I454" t="s">
        <v>2338</v>
      </c>
      <c r="J454" t="s">
        <v>2339</v>
      </c>
      <c r="K454" t="s">
        <v>2340</v>
      </c>
      <c r="L454" t="s">
        <v>765</v>
      </c>
      <c r="M454" t="s">
        <v>720</v>
      </c>
      <c r="N454" t="s">
        <v>721</v>
      </c>
      <c r="O454">
        <v>0</v>
      </c>
      <c r="P454">
        <v>15</v>
      </c>
      <c r="Q454">
        <v>100</v>
      </c>
      <c r="R454" t="s">
        <v>758</v>
      </c>
      <c r="S454" t="s">
        <v>745</v>
      </c>
      <c r="T454" t="s">
        <v>746</v>
      </c>
      <c r="U454" t="s">
        <v>759</v>
      </c>
    </row>
    <row r="455" spans="1:21" hidden="1" x14ac:dyDescent="0.3">
      <c r="A455" s="1" t="s">
        <v>1778</v>
      </c>
      <c r="B455" t="s">
        <v>732</v>
      </c>
      <c r="C455" t="s">
        <v>711</v>
      </c>
      <c r="D455" t="s">
        <v>843</v>
      </c>
      <c r="E455" t="s">
        <v>569</v>
      </c>
      <c r="F455" t="s">
        <v>844</v>
      </c>
      <c r="G455" t="s">
        <v>753</v>
      </c>
      <c r="H455" t="s">
        <v>715</v>
      </c>
      <c r="I455" t="s">
        <v>2341</v>
      </c>
      <c r="J455" t="s">
        <v>2342</v>
      </c>
      <c r="K455" t="s">
        <v>2343</v>
      </c>
      <c r="L455" t="s">
        <v>765</v>
      </c>
      <c r="M455" t="s">
        <v>720</v>
      </c>
      <c r="N455" t="s">
        <v>721</v>
      </c>
      <c r="O455">
        <v>4</v>
      </c>
      <c r="P455">
        <v>15</v>
      </c>
      <c r="Q455">
        <v>33</v>
      </c>
      <c r="R455" t="s">
        <v>758</v>
      </c>
      <c r="S455" t="s">
        <v>745</v>
      </c>
      <c r="T455" t="s">
        <v>746</v>
      </c>
      <c r="U455" t="s">
        <v>919</v>
      </c>
    </row>
    <row r="456" spans="1:21" hidden="1" x14ac:dyDescent="0.3">
      <c r="A456" s="1" t="s">
        <v>1778</v>
      </c>
      <c r="B456" t="s">
        <v>732</v>
      </c>
      <c r="C456" t="s">
        <v>711</v>
      </c>
      <c r="D456" t="s">
        <v>848</v>
      </c>
      <c r="E456" t="s">
        <v>569</v>
      </c>
      <c r="F456" t="s">
        <v>849</v>
      </c>
      <c r="G456" t="s">
        <v>753</v>
      </c>
      <c r="H456" t="s">
        <v>715</v>
      </c>
      <c r="I456" t="s">
        <v>2344</v>
      </c>
      <c r="J456" t="s">
        <v>2345</v>
      </c>
      <c r="K456" t="s">
        <v>2346</v>
      </c>
      <c r="L456" t="s">
        <v>765</v>
      </c>
      <c r="M456" t="s">
        <v>720</v>
      </c>
      <c r="N456" t="s">
        <v>721</v>
      </c>
      <c r="O456">
        <v>1</v>
      </c>
      <c r="P456">
        <v>15</v>
      </c>
      <c r="Q456">
        <v>83</v>
      </c>
      <c r="R456" t="s">
        <v>758</v>
      </c>
      <c r="S456" t="s">
        <v>745</v>
      </c>
      <c r="T456" t="s">
        <v>746</v>
      </c>
      <c r="U456" t="s">
        <v>853</v>
      </c>
    </row>
    <row r="457" spans="1:21" hidden="1" x14ac:dyDescent="0.3">
      <c r="A457" s="1" t="s">
        <v>1778</v>
      </c>
      <c r="B457" t="s">
        <v>732</v>
      </c>
      <c r="C457" t="s">
        <v>711</v>
      </c>
      <c r="D457" t="s">
        <v>854</v>
      </c>
      <c r="E457" t="s">
        <v>569</v>
      </c>
      <c r="F457" t="s">
        <v>855</v>
      </c>
      <c r="G457" t="s">
        <v>753</v>
      </c>
      <c r="H457" t="s">
        <v>715</v>
      </c>
      <c r="I457" t="s">
        <v>2347</v>
      </c>
      <c r="J457" t="s">
        <v>2348</v>
      </c>
      <c r="K457" t="s">
        <v>2349</v>
      </c>
      <c r="L457" t="s">
        <v>765</v>
      </c>
      <c r="M457" t="s">
        <v>720</v>
      </c>
      <c r="N457" t="s">
        <v>721</v>
      </c>
      <c r="O457">
        <v>2</v>
      </c>
      <c r="P457">
        <v>15</v>
      </c>
      <c r="Q457">
        <v>96</v>
      </c>
      <c r="R457" t="s">
        <v>758</v>
      </c>
      <c r="S457" t="s">
        <v>745</v>
      </c>
      <c r="T457" t="s">
        <v>746</v>
      </c>
      <c r="U457" t="s">
        <v>759</v>
      </c>
    </row>
    <row r="458" spans="1:21" hidden="1" x14ac:dyDescent="0.3">
      <c r="A458" s="1" t="s">
        <v>1778</v>
      </c>
      <c r="B458" t="s">
        <v>732</v>
      </c>
      <c r="C458" t="s">
        <v>711</v>
      </c>
      <c r="D458" t="s">
        <v>859</v>
      </c>
      <c r="E458" t="s">
        <v>569</v>
      </c>
      <c r="F458" t="s">
        <v>860</v>
      </c>
      <c r="G458" t="s">
        <v>794</v>
      </c>
      <c r="H458" t="s">
        <v>715</v>
      </c>
      <c r="I458" t="s">
        <v>2350</v>
      </c>
      <c r="J458" t="s">
        <v>2351</v>
      </c>
      <c r="K458" t="s">
        <v>2352</v>
      </c>
      <c r="L458" t="s">
        <v>826</v>
      </c>
      <c r="M458" t="s">
        <v>720</v>
      </c>
      <c r="N458" t="s">
        <v>721</v>
      </c>
      <c r="O458">
        <v>0</v>
      </c>
      <c r="P458">
        <v>2</v>
      </c>
      <c r="Q458">
        <v>103</v>
      </c>
      <c r="R458" t="s">
        <v>798</v>
      </c>
      <c r="S458" t="s">
        <v>745</v>
      </c>
      <c r="T458" t="s">
        <v>746</v>
      </c>
      <c r="U458" t="s">
        <v>759</v>
      </c>
    </row>
    <row r="459" spans="1:21" hidden="1" x14ac:dyDescent="0.3">
      <c r="A459" s="1" t="s">
        <v>1778</v>
      </c>
      <c r="B459" t="s">
        <v>732</v>
      </c>
      <c r="C459" t="s">
        <v>711</v>
      </c>
      <c r="D459" t="s">
        <v>1849</v>
      </c>
      <c r="E459" t="s">
        <v>569</v>
      </c>
      <c r="F459" t="s">
        <v>1850</v>
      </c>
      <c r="G459" t="s">
        <v>753</v>
      </c>
      <c r="H459" t="s">
        <v>715</v>
      </c>
      <c r="I459" t="s">
        <v>2353</v>
      </c>
      <c r="J459" t="s">
        <v>2354</v>
      </c>
      <c r="K459" t="s">
        <v>2355</v>
      </c>
      <c r="L459" t="s">
        <v>765</v>
      </c>
      <c r="M459" t="s">
        <v>720</v>
      </c>
      <c r="N459" t="s">
        <v>721</v>
      </c>
      <c r="O459">
        <v>1</v>
      </c>
      <c r="P459">
        <v>15</v>
      </c>
      <c r="Q459">
        <v>112</v>
      </c>
      <c r="R459" t="s">
        <v>758</v>
      </c>
      <c r="S459" t="s">
        <v>745</v>
      </c>
      <c r="T459" t="s">
        <v>746</v>
      </c>
      <c r="U459" t="s">
        <v>759</v>
      </c>
    </row>
    <row r="460" spans="1:21" hidden="1" x14ac:dyDescent="0.3">
      <c r="A460" s="1" t="s">
        <v>1778</v>
      </c>
      <c r="B460" t="s">
        <v>732</v>
      </c>
      <c r="C460" t="s">
        <v>711</v>
      </c>
      <c r="D460" t="s">
        <v>869</v>
      </c>
      <c r="E460" t="s">
        <v>569</v>
      </c>
      <c r="F460" t="s">
        <v>870</v>
      </c>
      <c r="G460" t="s">
        <v>753</v>
      </c>
      <c r="H460" t="s">
        <v>715</v>
      </c>
      <c r="I460" t="s">
        <v>2356</v>
      </c>
      <c r="J460" t="s">
        <v>2357</v>
      </c>
      <c r="K460" t="s">
        <v>2358</v>
      </c>
      <c r="L460" t="s">
        <v>765</v>
      </c>
      <c r="M460" t="s">
        <v>720</v>
      </c>
      <c r="N460" t="s">
        <v>721</v>
      </c>
      <c r="O460">
        <v>1</v>
      </c>
      <c r="P460">
        <v>15</v>
      </c>
      <c r="Q460">
        <v>60</v>
      </c>
      <c r="R460" t="s">
        <v>758</v>
      </c>
      <c r="S460" t="s">
        <v>745</v>
      </c>
      <c r="T460" t="s">
        <v>746</v>
      </c>
      <c r="U460" t="s">
        <v>919</v>
      </c>
    </row>
    <row r="461" spans="1:21" hidden="1" x14ac:dyDescent="0.3">
      <c r="A461" s="1" t="s">
        <v>1778</v>
      </c>
      <c r="B461" t="s">
        <v>732</v>
      </c>
      <c r="C461" t="s">
        <v>711</v>
      </c>
      <c r="D461" t="s">
        <v>1857</v>
      </c>
      <c r="E461" t="s">
        <v>569</v>
      </c>
      <c r="F461" t="s">
        <v>1373</v>
      </c>
      <c r="G461" t="s">
        <v>753</v>
      </c>
      <c r="H461" t="s">
        <v>715</v>
      </c>
      <c r="I461" t="s">
        <v>2359</v>
      </c>
      <c r="J461" t="s">
        <v>2360</v>
      </c>
      <c r="K461" t="s">
        <v>2361</v>
      </c>
      <c r="L461" t="s">
        <v>757</v>
      </c>
      <c r="M461" t="s">
        <v>720</v>
      </c>
      <c r="N461" t="s">
        <v>721</v>
      </c>
      <c r="O461">
        <v>1</v>
      </c>
      <c r="P461">
        <v>7</v>
      </c>
      <c r="Q461">
        <v>91</v>
      </c>
      <c r="R461" t="s">
        <v>758</v>
      </c>
      <c r="S461" t="s">
        <v>745</v>
      </c>
      <c r="T461" t="s">
        <v>746</v>
      </c>
      <c r="U461" t="s">
        <v>919</v>
      </c>
    </row>
    <row r="462" spans="1:21" hidden="1" x14ac:dyDescent="0.3">
      <c r="A462" s="1" t="s">
        <v>1778</v>
      </c>
      <c r="B462" t="s">
        <v>732</v>
      </c>
      <c r="C462" t="s">
        <v>711</v>
      </c>
      <c r="D462" t="s">
        <v>879</v>
      </c>
      <c r="E462" t="s">
        <v>569</v>
      </c>
      <c r="F462" t="s">
        <v>880</v>
      </c>
      <c r="G462" t="s">
        <v>806</v>
      </c>
      <c r="H462" t="s">
        <v>715</v>
      </c>
      <c r="I462" t="s">
        <v>2205</v>
      </c>
      <c r="J462" t="s">
        <v>2206</v>
      </c>
      <c r="K462" t="s">
        <v>2207</v>
      </c>
      <c r="L462" t="s">
        <v>1082</v>
      </c>
      <c r="M462" t="s">
        <v>720</v>
      </c>
      <c r="N462" t="s">
        <v>721</v>
      </c>
      <c r="O462">
        <v>30</v>
      </c>
      <c r="P462">
        <v>0</v>
      </c>
      <c r="Q462">
        <v>33</v>
      </c>
      <c r="R462" t="s">
        <v>798</v>
      </c>
      <c r="S462" t="s">
        <v>723</v>
      </c>
      <c r="T462" t="s">
        <v>1083</v>
      </c>
      <c r="U462" t="s">
        <v>707</v>
      </c>
    </row>
    <row r="463" spans="1:21" hidden="1" x14ac:dyDescent="0.3">
      <c r="A463" s="1" t="s">
        <v>1778</v>
      </c>
      <c r="B463" t="s">
        <v>732</v>
      </c>
      <c r="C463" t="s">
        <v>711</v>
      </c>
      <c r="D463" t="s">
        <v>884</v>
      </c>
      <c r="E463" t="s">
        <v>569</v>
      </c>
      <c r="F463" t="s">
        <v>885</v>
      </c>
      <c r="G463" t="s">
        <v>753</v>
      </c>
      <c r="H463" t="s">
        <v>715</v>
      </c>
      <c r="I463" t="s">
        <v>2362</v>
      </c>
      <c r="J463" t="s">
        <v>2363</v>
      </c>
      <c r="K463" t="s">
        <v>2364</v>
      </c>
      <c r="L463" t="s">
        <v>765</v>
      </c>
      <c r="M463" t="s">
        <v>720</v>
      </c>
      <c r="N463" t="s">
        <v>721</v>
      </c>
      <c r="O463">
        <v>4</v>
      </c>
      <c r="P463">
        <v>15</v>
      </c>
      <c r="Q463">
        <v>88</v>
      </c>
      <c r="R463" t="s">
        <v>758</v>
      </c>
      <c r="S463" t="s">
        <v>745</v>
      </c>
      <c r="T463" t="s">
        <v>746</v>
      </c>
      <c r="U463" t="s">
        <v>853</v>
      </c>
    </row>
    <row r="464" spans="1:21" hidden="1" x14ac:dyDescent="0.3">
      <c r="A464" s="1" t="s">
        <v>1778</v>
      </c>
      <c r="B464" t="s">
        <v>732</v>
      </c>
      <c r="C464" t="s">
        <v>711</v>
      </c>
      <c r="D464" t="s">
        <v>894</v>
      </c>
      <c r="E464" t="s">
        <v>569</v>
      </c>
      <c r="F464" t="s">
        <v>895</v>
      </c>
      <c r="G464" t="s">
        <v>794</v>
      </c>
      <c r="H464" t="s">
        <v>715</v>
      </c>
      <c r="I464" t="s">
        <v>2365</v>
      </c>
      <c r="J464" t="s">
        <v>2366</v>
      </c>
      <c r="K464" t="s">
        <v>2367</v>
      </c>
      <c r="L464" t="s">
        <v>826</v>
      </c>
      <c r="M464" t="s">
        <v>720</v>
      </c>
      <c r="N464" t="s">
        <v>721</v>
      </c>
      <c r="O464">
        <v>9</v>
      </c>
      <c r="P464">
        <v>2</v>
      </c>
      <c r="Q464">
        <v>40</v>
      </c>
      <c r="R464" t="s">
        <v>798</v>
      </c>
      <c r="S464" t="s">
        <v>745</v>
      </c>
      <c r="T464" t="s">
        <v>746</v>
      </c>
      <c r="U464" t="s">
        <v>759</v>
      </c>
    </row>
    <row r="465" spans="1:21" hidden="1" x14ac:dyDescent="0.3">
      <c r="A465" s="1" t="s">
        <v>1778</v>
      </c>
      <c r="B465" t="s">
        <v>732</v>
      </c>
      <c r="C465" t="s">
        <v>711</v>
      </c>
      <c r="D465" t="s">
        <v>899</v>
      </c>
      <c r="E465" t="s">
        <v>569</v>
      </c>
      <c r="F465" t="s">
        <v>900</v>
      </c>
      <c r="G465" t="s">
        <v>753</v>
      </c>
      <c r="H465" t="s">
        <v>715</v>
      </c>
      <c r="I465" t="s">
        <v>2368</v>
      </c>
      <c r="J465" t="s">
        <v>2369</v>
      </c>
      <c r="K465" t="s">
        <v>2370</v>
      </c>
      <c r="L465" t="s">
        <v>765</v>
      </c>
      <c r="M465" t="s">
        <v>720</v>
      </c>
      <c r="N465" t="s">
        <v>721</v>
      </c>
      <c r="O465">
        <v>2</v>
      </c>
      <c r="P465">
        <v>15</v>
      </c>
      <c r="Q465">
        <v>83</v>
      </c>
      <c r="R465" t="s">
        <v>758</v>
      </c>
      <c r="S465" t="s">
        <v>745</v>
      </c>
      <c r="T465" t="s">
        <v>746</v>
      </c>
      <c r="U465" t="s">
        <v>853</v>
      </c>
    </row>
    <row r="466" spans="1:21" hidden="1" x14ac:dyDescent="0.3">
      <c r="A466" s="1" t="s">
        <v>1778</v>
      </c>
      <c r="B466" t="s">
        <v>732</v>
      </c>
      <c r="C466" t="s">
        <v>711</v>
      </c>
      <c r="D466" t="s">
        <v>905</v>
      </c>
      <c r="E466" t="s">
        <v>569</v>
      </c>
      <c r="F466" t="s">
        <v>906</v>
      </c>
      <c r="G466" t="s">
        <v>753</v>
      </c>
      <c r="H466" t="s">
        <v>715</v>
      </c>
      <c r="I466" t="s">
        <v>2229</v>
      </c>
      <c r="J466" t="s">
        <v>2230</v>
      </c>
      <c r="K466" t="s">
        <v>2231</v>
      </c>
      <c r="L466" t="s">
        <v>1082</v>
      </c>
      <c r="M466" t="s">
        <v>720</v>
      </c>
      <c r="N466" t="s">
        <v>721</v>
      </c>
      <c r="O466">
        <v>20</v>
      </c>
      <c r="P466">
        <v>0</v>
      </c>
      <c r="Q466">
        <v>34</v>
      </c>
      <c r="R466" t="s">
        <v>798</v>
      </c>
      <c r="S466" t="s">
        <v>723</v>
      </c>
      <c r="T466" t="s">
        <v>1083</v>
      </c>
      <c r="U466" t="s">
        <v>707</v>
      </c>
    </row>
    <row r="467" spans="1:21" hidden="1" x14ac:dyDescent="0.3">
      <c r="A467" s="1" t="s">
        <v>1778</v>
      </c>
      <c r="B467" t="s">
        <v>732</v>
      </c>
      <c r="C467" t="s">
        <v>711</v>
      </c>
      <c r="D467" t="s">
        <v>910</v>
      </c>
      <c r="E467" t="s">
        <v>569</v>
      </c>
      <c r="F467" t="s">
        <v>911</v>
      </c>
      <c r="G467" t="s">
        <v>753</v>
      </c>
      <c r="H467" t="s">
        <v>715</v>
      </c>
      <c r="I467" t="s">
        <v>2232</v>
      </c>
      <c r="J467" t="s">
        <v>2233</v>
      </c>
      <c r="K467" t="s">
        <v>2234</v>
      </c>
      <c r="L467" t="s">
        <v>1082</v>
      </c>
      <c r="M467" t="s">
        <v>720</v>
      </c>
      <c r="N467" t="s">
        <v>721</v>
      </c>
      <c r="O467">
        <v>10</v>
      </c>
      <c r="P467">
        <v>0</v>
      </c>
      <c r="Q467">
        <v>38</v>
      </c>
      <c r="R467" t="s">
        <v>798</v>
      </c>
      <c r="S467" t="s">
        <v>723</v>
      </c>
      <c r="T467" t="s">
        <v>1083</v>
      </c>
      <c r="U467" t="s">
        <v>707</v>
      </c>
    </row>
    <row r="468" spans="1:21" hidden="1" x14ac:dyDescent="0.3">
      <c r="A468" s="1" t="s">
        <v>1778</v>
      </c>
      <c r="B468" t="s">
        <v>732</v>
      </c>
      <c r="C468" t="s">
        <v>711</v>
      </c>
      <c r="D468" t="s">
        <v>915</v>
      </c>
      <c r="E468" t="s">
        <v>569</v>
      </c>
      <c r="F468" t="s">
        <v>713</v>
      </c>
      <c r="G468" t="s">
        <v>753</v>
      </c>
      <c r="H468" t="s">
        <v>715</v>
      </c>
      <c r="I468" t="s">
        <v>2371</v>
      </c>
      <c r="J468" t="s">
        <v>867</v>
      </c>
      <c r="K468" t="s">
        <v>2372</v>
      </c>
      <c r="L468" t="s">
        <v>765</v>
      </c>
      <c r="M468" t="s">
        <v>720</v>
      </c>
      <c r="N468" t="s">
        <v>721</v>
      </c>
      <c r="O468">
        <v>0</v>
      </c>
      <c r="P468">
        <v>15</v>
      </c>
      <c r="Q468">
        <v>109</v>
      </c>
      <c r="R468" t="s">
        <v>758</v>
      </c>
      <c r="S468" t="s">
        <v>745</v>
      </c>
      <c r="T468" t="s">
        <v>746</v>
      </c>
      <c r="U468" t="s">
        <v>759</v>
      </c>
    </row>
    <row r="469" spans="1:21" hidden="1" x14ac:dyDescent="0.3">
      <c r="A469" s="1" t="s">
        <v>1778</v>
      </c>
      <c r="B469" t="s">
        <v>732</v>
      </c>
      <c r="C469" t="s">
        <v>711</v>
      </c>
      <c r="D469" t="s">
        <v>920</v>
      </c>
      <c r="E469" t="s">
        <v>569</v>
      </c>
      <c r="F469" t="s">
        <v>921</v>
      </c>
      <c r="G469" t="s">
        <v>753</v>
      </c>
      <c r="H469" t="s">
        <v>715</v>
      </c>
      <c r="I469" t="s">
        <v>2373</v>
      </c>
      <c r="J469" t="s">
        <v>1880</v>
      </c>
      <c r="K469" t="s">
        <v>2374</v>
      </c>
      <c r="L469" t="s">
        <v>765</v>
      </c>
      <c r="M469" t="s">
        <v>720</v>
      </c>
      <c r="N469" t="s">
        <v>721</v>
      </c>
      <c r="O469">
        <v>1</v>
      </c>
      <c r="P469">
        <v>15</v>
      </c>
      <c r="Q469">
        <v>20</v>
      </c>
      <c r="R469" t="s">
        <v>758</v>
      </c>
      <c r="S469" t="s">
        <v>745</v>
      </c>
      <c r="T469" t="s">
        <v>746</v>
      </c>
      <c r="U469" t="s">
        <v>759</v>
      </c>
    </row>
    <row r="470" spans="1:21" hidden="1" x14ac:dyDescent="0.3">
      <c r="A470" s="1" t="s">
        <v>1778</v>
      </c>
      <c r="B470" t="s">
        <v>732</v>
      </c>
      <c r="C470" t="s">
        <v>711</v>
      </c>
      <c r="D470" t="s">
        <v>925</v>
      </c>
      <c r="E470" t="s">
        <v>569</v>
      </c>
      <c r="F470" t="s">
        <v>926</v>
      </c>
      <c r="G470" t="s">
        <v>794</v>
      </c>
      <c r="H470" t="s">
        <v>715</v>
      </c>
      <c r="I470" t="s">
        <v>2375</v>
      </c>
      <c r="J470" t="s">
        <v>2376</v>
      </c>
      <c r="K470" t="s">
        <v>2377</v>
      </c>
      <c r="L470" t="s">
        <v>741</v>
      </c>
      <c r="M470" t="s">
        <v>720</v>
      </c>
      <c r="N470" t="s">
        <v>743</v>
      </c>
      <c r="O470">
        <v>7</v>
      </c>
      <c r="P470">
        <v>0</v>
      </c>
      <c r="Q470">
        <v>72</v>
      </c>
      <c r="R470" t="s">
        <v>798</v>
      </c>
      <c r="S470" t="s">
        <v>745</v>
      </c>
      <c r="T470" t="s">
        <v>746</v>
      </c>
      <c r="U470" t="s">
        <v>759</v>
      </c>
    </row>
    <row r="471" spans="1:21" hidden="1" x14ac:dyDescent="0.3">
      <c r="A471" s="1" t="s">
        <v>1778</v>
      </c>
      <c r="B471" t="s">
        <v>732</v>
      </c>
      <c r="C471" t="s">
        <v>711</v>
      </c>
      <c r="D471" t="s">
        <v>930</v>
      </c>
      <c r="E471" t="s">
        <v>569</v>
      </c>
      <c r="F471" t="s">
        <v>931</v>
      </c>
      <c r="G471" t="s">
        <v>753</v>
      </c>
      <c r="H471" t="s">
        <v>715</v>
      </c>
      <c r="I471" t="s">
        <v>2235</v>
      </c>
      <c r="J471" t="s">
        <v>2236</v>
      </c>
      <c r="K471" t="s">
        <v>2237</v>
      </c>
      <c r="L471" t="s">
        <v>1082</v>
      </c>
      <c r="M471" t="s">
        <v>720</v>
      </c>
      <c r="N471" t="s">
        <v>721</v>
      </c>
      <c r="O471">
        <v>21</v>
      </c>
      <c r="P471">
        <v>0</v>
      </c>
      <c r="Q471">
        <v>35</v>
      </c>
      <c r="R471" t="s">
        <v>798</v>
      </c>
      <c r="S471" t="s">
        <v>723</v>
      </c>
      <c r="T471" t="s">
        <v>1083</v>
      </c>
      <c r="U471" t="s">
        <v>707</v>
      </c>
    </row>
    <row r="472" spans="1:21" hidden="1" x14ac:dyDescent="0.3">
      <c r="A472" s="1" t="s">
        <v>1778</v>
      </c>
      <c r="B472" t="s">
        <v>732</v>
      </c>
      <c r="C472" t="s">
        <v>711</v>
      </c>
      <c r="D472" t="s">
        <v>935</v>
      </c>
      <c r="E472" t="s">
        <v>569</v>
      </c>
      <c r="F472" t="s">
        <v>936</v>
      </c>
      <c r="G472" t="s">
        <v>794</v>
      </c>
      <c r="H472" t="s">
        <v>715</v>
      </c>
      <c r="I472" t="s">
        <v>2378</v>
      </c>
      <c r="J472" t="s">
        <v>2379</v>
      </c>
      <c r="K472" t="s">
        <v>2380</v>
      </c>
      <c r="L472" t="s">
        <v>826</v>
      </c>
      <c r="M472" t="s">
        <v>720</v>
      </c>
      <c r="N472" t="s">
        <v>721</v>
      </c>
      <c r="O472">
        <v>0</v>
      </c>
      <c r="P472">
        <v>10</v>
      </c>
      <c r="Q472">
        <v>14</v>
      </c>
      <c r="R472" t="s">
        <v>722</v>
      </c>
      <c r="S472" t="s">
        <v>745</v>
      </c>
      <c r="T472" t="s">
        <v>746</v>
      </c>
      <c r="U472" t="s">
        <v>759</v>
      </c>
    </row>
    <row r="473" spans="1:21" hidden="1" x14ac:dyDescent="0.3">
      <c r="A473" s="1" t="s">
        <v>1778</v>
      </c>
      <c r="B473" t="s">
        <v>732</v>
      </c>
      <c r="C473" t="s">
        <v>711</v>
      </c>
      <c r="D473" t="s">
        <v>940</v>
      </c>
      <c r="E473" t="s">
        <v>569</v>
      </c>
      <c r="F473" t="s">
        <v>941</v>
      </c>
      <c r="G473" t="s">
        <v>806</v>
      </c>
      <c r="H473" t="s">
        <v>715</v>
      </c>
      <c r="I473" t="s">
        <v>2381</v>
      </c>
      <c r="J473" t="s">
        <v>2382</v>
      </c>
      <c r="K473" t="s">
        <v>2383</v>
      </c>
      <c r="L473" t="s">
        <v>810</v>
      </c>
      <c r="M473" t="s">
        <v>720</v>
      </c>
      <c r="N473" t="s">
        <v>721</v>
      </c>
      <c r="O473">
        <v>1</v>
      </c>
      <c r="P473">
        <v>3</v>
      </c>
      <c r="Q473">
        <v>27</v>
      </c>
      <c r="R473" t="s">
        <v>798</v>
      </c>
      <c r="S473" t="s">
        <v>745</v>
      </c>
      <c r="T473" t="s">
        <v>746</v>
      </c>
      <c r="U473" t="s">
        <v>759</v>
      </c>
    </row>
    <row r="474" spans="1:21" hidden="1" x14ac:dyDescent="0.3">
      <c r="A474" s="1" t="s">
        <v>1778</v>
      </c>
      <c r="B474" t="s">
        <v>732</v>
      </c>
      <c r="C474" t="s">
        <v>711</v>
      </c>
      <c r="D474" t="s">
        <v>945</v>
      </c>
      <c r="E474" t="s">
        <v>569</v>
      </c>
      <c r="F474" t="s">
        <v>946</v>
      </c>
      <c r="G474" t="s">
        <v>753</v>
      </c>
      <c r="H474" t="s">
        <v>715</v>
      </c>
      <c r="I474" t="s">
        <v>2384</v>
      </c>
      <c r="J474" t="s">
        <v>2385</v>
      </c>
      <c r="K474" t="s">
        <v>2386</v>
      </c>
      <c r="L474" t="s">
        <v>765</v>
      </c>
      <c r="M474" t="s">
        <v>720</v>
      </c>
      <c r="N474" t="s">
        <v>721</v>
      </c>
      <c r="O474">
        <v>2</v>
      </c>
      <c r="P474">
        <v>15</v>
      </c>
      <c r="Q474">
        <v>33</v>
      </c>
      <c r="R474" t="s">
        <v>758</v>
      </c>
      <c r="S474" t="s">
        <v>745</v>
      </c>
      <c r="T474" t="s">
        <v>746</v>
      </c>
      <c r="U474" t="s">
        <v>853</v>
      </c>
    </row>
    <row r="475" spans="1:21" hidden="1" x14ac:dyDescent="0.3">
      <c r="A475" s="1" t="s">
        <v>1778</v>
      </c>
      <c r="B475" t="s">
        <v>732</v>
      </c>
      <c r="C475" t="s">
        <v>711</v>
      </c>
      <c r="D475" t="s">
        <v>950</v>
      </c>
      <c r="E475" t="s">
        <v>569</v>
      </c>
      <c r="F475" t="s">
        <v>951</v>
      </c>
      <c r="G475" t="s">
        <v>753</v>
      </c>
      <c r="H475" t="s">
        <v>715</v>
      </c>
      <c r="I475" t="s">
        <v>2387</v>
      </c>
      <c r="J475" t="s">
        <v>2388</v>
      </c>
      <c r="K475" t="s">
        <v>2389</v>
      </c>
      <c r="L475" t="s">
        <v>765</v>
      </c>
      <c r="M475" t="s">
        <v>720</v>
      </c>
      <c r="N475" t="s">
        <v>721</v>
      </c>
      <c r="O475">
        <v>3</v>
      </c>
      <c r="P475">
        <v>15</v>
      </c>
      <c r="Q475">
        <v>84</v>
      </c>
      <c r="R475" t="s">
        <v>758</v>
      </c>
      <c r="S475" t="s">
        <v>745</v>
      </c>
      <c r="T475" t="s">
        <v>746</v>
      </c>
      <c r="U475" t="s">
        <v>759</v>
      </c>
    </row>
    <row r="476" spans="1:21" hidden="1" x14ac:dyDescent="0.3">
      <c r="A476" s="1" t="s">
        <v>1778</v>
      </c>
      <c r="B476" t="s">
        <v>732</v>
      </c>
      <c r="C476" t="s">
        <v>711</v>
      </c>
      <c r="D476" t="s">
        <v>1900</v>
      </c>
      <c r="E476" t="s">
        <v>569</v>
      </c>
      <c r="F476" t="s">
        <v>1388</v>
      </c>
      <c r="G476" t="s">
        <v>753</v>
      </c>
      <c r="H476" t="s">
        <v>715</v>
      </c>
      <c r="I476" t="s">
        <v>2242</v>
      </c>
      <c r="J476" t="s">
        <v>2243</v>
      </c>
      <c r="K476" t="s">
        <v>1391</v>
      </c>
      <c r="L476" t="s">
        <v>1082</v>
      </c>
      <c r="M476" t="s">
        <v>720</v>
      </c>
      <c r="N476" t="s">
        <v>721</v>
      </c>
      <c r="O476">
        <v>17</v>
      </c>
      <c r="P476">
        <v>0</v>
      </c>
      <c r="Q476">
        <v>17</v>
      </c>
      <c r="R476" t="s">
        <v>798</v>
      </c>
      <c r="S476" t="s">
        <v>723</v>
      </c>
      <c r="T476" t="s">
        <v>1083</v>
      </c>
      <c r="U476" t="s">
        <v>707</v>
      </c>
    </row>
    <row r="477" spans="1:21" hidden="1" x14ac:dyDescent="0.3">
      <c r="A477" s="1" t="s">
        <v>1778</v>
      </c>
      <c r="B477" t="s">
        <v>732</v>
      </c>
      <c r="C477" t="s">
        <v>711</v>
      </c>
      <c r="D477" t="s">
        <v>960</v>
      </c>
      <c r="E477" t="s">
        <v>569</v>
      </c>
      <c r="F477" t="s">
        <v>961</v>
      </c>
      <c r="G477" t="s">
        <v>753</v>
      </c>
      <c r="H477" t="s">
        <v>715</v>
      </c>
      <c r="I477" t="s">
        <v>2244</v>
      </c>
      <c r="J477" t="s">
        <v>2245</v>
      </c>
      <c r="K477" t="s">
        <v>2246</v>
      </c>
      <c r="L477" t="s">
        <v>1082</v>
      </c>
      <c r="M477" t="s">
        <v>720</v>
      </c>
      <c r="N477" t="s">
        <v>721</v>
      </c>
      <c r="O477">
        <v>7</v>
      </c>
      <c r="P477">
        <v>0</v>
      </c>
      <c r="Q477">
        <v>2</v>
      </c>
      <c r="R477" t="s">
        <v>798</v>
      </c>
      <c r="S477" t="s">
        <v>723</v>
      </c>
      <c r="T477" t="s">
        <v>1083</v>
      </c>
      <c r="U477" t="s">
        <v>707</v>
      </c>
    </row>
    <row r="478" spans="1:21" hidden="1" x14ac:dyDescent="0.3">
      <c r="A478" s="1" t="s">
        <v>1778</v>
      </c>
      <c r="B478" t="s">
        <v>732</v>
      </c>
      <c r="C478" t="s">
        <v>711</v>
      </c>
      <c r="D478" t="s">
        <v>965</v>
      </c>
      <c r="E478" t="s">
        <v>568</v>
      </c>
      <c r="F478" t="s">
        <v>966</v>
      </c>
      <c r="G478" t="s">
        <v>794</v>
      </c>
      <c r="H478" t="s">
        <v>715</v>
      </c>
      <c r="I478" t="s">
        <v>2390</v>
      </c>
      <c r="J478" t="s">
        <v>2391</v>
      </c>
      <c r="K478" t="s">
        <v>2392</v>
      </c>
      <c r="L478" t="s">
        <v>826</v>
      </c>
      <c r="M478" t="s">
        <v>720</v>
      </c>
      <c r="N478" t="s">
        <v>721</v>
      </c>
      <c r="O478">
        <v>1</v>
      </c>
      <c r="P478">
        <v>2</v>
      </c>
      <c r="Q478">
        <v>27</v>
      </c>
      <c r="R478" t="s">
        <v>798</v>
      </c>
      <c r="S478" t="s">
        <v>745</v>
      </c>
      <c r="T478" t="s">
        <v>746</v>
      </c>
      <c r="U478" t="s">
        <v>759</v>
      </c>
    </row>
    <row r="479" spans="1:21" hidden="1" x14ac:dyDescent="0.3">
      <c r="A479" s="1" t="s">
        <v>1778</v>
      </c>
      <c r="B479" t="s">
        <v>732</v>
      </c>
      <c r="C479" t="s">
        <v>711</v>
      </c>
      <c r="D479" t="s">
        <v>970</v>
      </c>
      <c r="E479" t="s">
        <v>568</v>
      </c>
      <c r="F479" t="s">
        <v>971</v>
      </c>
      <c r="G479" t="s">
        <v>753</v>
      </c>
      <c r="H479" t="s">
        <v>715</v>
      </c>
      <c r="I479" t="s">
        <v>2393</v>
      </c>
      <c r="J479" t="s">
        <v>2394</v>
      </c>
      <c r="K479" t="s">
        <v>2395</v>
      </c>
      <c r="L479" t="s">
        <v>765</v>
      </c>
      <c r="M479" t="s">
        <v>720</v>
      </c>
      <c r="N479" t="s">
        <v>721</v>
      </c>
      <c r="O479">
        <v>0</v>
      </c>
      <c r="P479">
        <v>15</v>
      </c>
      <c r="Q479">
        <v>6</v>
      </c>
      <c r="R479" t="s">
        <v>758</v>
      </c>
      <c r="S479" t="s">
        <v>745</v>
      </c>
      <c r="T479" t="s">
        <v>746</v>
      </c>
      <c r="U479" t="s">
        <v>759</v>
      </c>
    </row>
    <row r="480" spans="1:21" hidden="1" x14ac:dyDescent="0.3">
      <c r="A480" s="1" t="s">
        <v>1778</v>
      </c>
      <c r="B480" t="s">
        <v>732</v>
      </c>
      <c r="C480" t="s">
        <v>711</v>
      </c>
      <c r="D480" t="s">
        <v>975</v>
      </c>
      <c r="E480" t="s">
        <v>568</v>
      </c>
      <c r="F480" t="s">
        <v>976</v>
      </c>
      <c r="G480" t="s">
        <v>753</v>
      </c>
      <c r="H480" t="s">
        <v>715</v>
      </c>
      <c r="I480" t="s">
        <v>2396</v>
      </c>
      <c r="J480" t="s">
        <v>2397</v>
      </c>
      <c r="K480" t="s">
        <v>2398</v>
      </c>
      <c r="L480" t="s">
        <v>765</v>
      </c>
      <c r="M480" t="s">
        <v>720</v>
      </c>
      <c r="N480" t="s">
        <v>721</v>
      </c>
      <c r="O480">
        <v>3</v>
      </c>
      <c r="P480">
        <v>15</v>
      </c>
      <c r="Q480">
        <v>44</v>
      </c>
      <c r="R480" t="s">
        <v>758</v>
      </c>
      <c r="S480" t="s">
        <v>745</v>
      </c>
      <c r="T480" t="s">
        <v>746</v>
      </c>
      <c r="U480" t="s">
        <v>759</v>
      </c>
    </row>
    <row r="481" spans="1:21" hidden="1" x14ac:dyDescent="0.3">
      <c r="A481" s="1" t="s">
        <v>1778</v>
      </c>
      <c r="B481" t="s">
        <v>732</v>
      </c>
      <c r="C481" t="s">
        <v>711</v>
      </c>
      <c r="D481" t="s">
        <v>980</v>
      </c>
      <c r="E481" t="s">
        <v>568</v>
      </c>
      <c r="F481" t="s">
        <v>981</v>
      </c>
      <c r="G481" t="s">
        <v>794</v>
      </c>
      <c r="H481" t="s">
        <v>715</v>
      </c>
      <c r="I481" t="s">
        <v>2399</v>
      </c>
      <c r="J481" t="s">
        <v>2400</v>
      </c>
      <c r="K481" t="s">
        <v>2401</v>
      </c>
      <c r="L481" t="s">
        <v>826</v>
      </c>
      <c r="M481" t="s">
        <v>720</v>
      </c>
      <c r="N481" t="s">
        <v>721</v>
      </c>
      <c r="O481">
        <v>0</v>
      </c>
      <c r="P481">
        <v>2</v>
      </c>
      <c r="Q481">
        <v>55</v>
      </c>
      <c r="R481" t="s">
        <v>798</v>
      </c>
      <c r="S481" t="s">
        <v>745</v>
      </c>
      <c r="T481" t="s">
        <v>746</v>
      </c>
      <c r="U481" t="s">
        <v>759</v>
      </c>
    </row>
    <row r="482" spans="1:21" hidden="1" x14ac:dyDescent="0.3">
      <c r="A482" s="1" t="s">
        <v>1778</v>
      </c>
      <c r="B482" t="s">
        <v>732</v>
      </c>
      <c r="C482" t="s">
        <v>711</v>
      </c>
      <c r="D482" t="s">
        <v>986</v>
      </c>
      <c r="E482" t="s">
        <v>568</v>
      </c>
      <c r="F482" t="s">
        <v>987</v>
      </c>
      <c r="G482" t="s">
        <v>753</v>
      </c>
      <c r="H482" t="s">
        <v>715</v>
      </c>
      <c r="I482" t="s">
        <v>2247</v>
      </c>
      <c r="J482" t="s">
        <v>2248</v>
      </c>
      <c r="K482" t="s">
        <v>2249</v>
      </c>
      <c r="L482" t="s">
        <v>1082</v>
      </c>
      <c r="M482" t="s">
        <v>720</v>
      </c>
      <c r="N482" t="s">
        <v>721</v>
      </c>
      <c r="O482">
        <v>0</v>
      </c>
      <c r="P482">
        <v>0</v>
      </c>
      <c r="Q482">
        <v>66</v>
      </c>
      <c r="R482" t="s">
        <v>798</v>
      </c>
      <c r="S482" t="s">
        <v>723</v>
      </c>
      <c r="T482" t="s">
        <v>1083</v>
      </c>
      <c r="U482" t="s">
        <v>707</v>
      </c>
    </row>
    <row r="483" spans="1:21" hidden="1" x14ac:dyDescent="0.3">
      <c r="A483" s="1" t="s">
        <v>1778</v>
      </c>
      <c r="B483" t="s">
        <v>732</v>
      </c>
      <c r="C483" t="s">
        <v>711</v>
      </c>
      <c r="D483" t="s">
        <v>991</v>
      </c>
      <c r="E483" t="s">
        <v>568</v>
      </c>
      <c r="F483" t="s">
        <v>992</v>
      </c>
      <c r="G483" t="s">
        <v>753</v>
      </c>
      <c r="H483" t="s">
        <v>715</v>
      </c>
      <c r="I483" t="s">
        <v>2402</v>
      </c>
      <c r="J483" t="s">
        <v>1920</v>
      </c>
      <c r="K483" t="s">
        <v>2403</v>
      </c>
      <c r="L483" t="s">
        <v>765</v>
      </c>
      <c r="M483" t="s">
        <v>720</v>
      </c>
      <c r="N483" t="s">
        <v>721</v>
      </c>
      <c r="O483">
        <v>1</v>
      </c>
      <c r="P483">
        <v>15</v>
      </c>
      <c r="Q483">
        <v>109</v>
      </c>
      <c r="R483" t="s">
        <v>758</v>
      </c>
      <c r="S483" t="s">
        <v>745</v>
      </c>
      <c r="T483" t="s">
        <v>746</v>
      </c>
      <c r="U483" t="s">
        <v>759</v>
      </c>
    </row>
    <row r="484" spans="1:21" hidden="1" x14ac:dyDescent="0.3">
      <c r="A484" s="1" t="s">
        <v>1778</v>
      </c>
      <c r="B484" t="s">
        <v>732</v>
      </c>
      <c r="C484" t="s">
        <v>711</v>
      </c>
      <c r="D484" t="s">
        <v>996</v>
      </c>
      <c r="E484" t="s">
        <v>568</v>
      </c>
      <c r="F484" t="s">
        <v>997</v>
      </c>
      <c r="G484" t="s">
        <v>753</v>
      </c>
      <c r="H484" t="s">
        <v>715</v>
      </c>
      <c r="I484" t="s">
        <v>2250</v>
      </c>
      <c r="J484" t="s">
        <v>2251</v>
      </c>
      <c r="K484" t="s">
        <v>2252</v>
      </c>
      <c r="L484" t="s">
        <v>1082</v>
      </c>
      <c r="M484" t="s">
        <v>720</v>
      </c>
      <c r="N484" t="s">
        <v>721</v>
      </c>
      <c r="O484">
        <v>6</v>
      </c>
      <c r="P484">
        <v>0</v>
      </c>
      <c r="Q484">
        <v>74</v>
      </c>
      <c r="R484" t="s">
        <v>798</v>
      </c>
      <c r="S484" t="s">
        <v>723</v>
      </c>
      <c r="T484" t="s">
        <v>1083</v>
      </c>
      <c r="U484" t="s">
        <v>707</v>
      </c>
    </row>
    <row r="485" spans="1:21" hidden="1" x14ac:dyDescent="0.3">
      <c r="A485" s="1" t="s">
        <v>1778</v>
      </c>
      <c r="B485" t="s">
        <v>732</v>
      </c>
      <c r="C485" t="s">
        <v>711</v>
      </c>
      <c r="D485" t="s">
        <v>1001</v>
      </c>
      <c r="E485" t="s">
        <v>568</v>
      </c>
      <c r="F485" t="s">
        <v>1002</v>
      </c>
      <c r="G485" t="s">
        <v>753</v>
      </c>
      <c r="H485" t="s">
        <v>715</v>
      </c>
      <c r="I485" t="s">
        <v>2404</v>
      </c>
      <c r="J485" t="s">
        <v>2405</v>
      </c>
      <c r="K485" t="s">
        <v>2406</v>
      </c>
      <c r="L485" t="s">
        <v>765</v>
      </c>
      <c r="M485" t="s">
        <v>720</v>
      </c>
      <c r="N485" t="s">
        <v>721</v>
      </c>
      <c r="O485">
        <v>5</v>
      </c>
      <c r="P485">
        <v>15</v>
      </c>
      <c r="Q485">
        <v>55</v>
      </c>
      <c r="R485" t="s">
        <v>758</v>
      </c>
      <c r="S485" t="s">
        <v>745</v>
      </c>
      <c r="T485" t="s">
        <v>746</v>
      </c>
      <c r="U485" t="s">
        <v>759</v>
      </c>
    </row>
    <row r="486" spans="1:21" hidden="1" x14ac:dyDescent="0.3">
      <c r="A486" s="1" t="s">
        <v>1778</v>
      </c>
      <c r="B486" t="s">
        <v>732</v>
      </c>
      <c r="C486" t="s">
        <v>711</v>
      </c>
      <c r="D486" t="s">
        <v>1006</v>
      </c>
      <c r="E486" t="s">
        <v>568</v>
      </c>
      <c r="F486" t="s">
        <v>1007</v>
      </c>
      <c r="G486" t="s">
        <v>794</v>
      </c>
      <c r="H486" t="s">
        <v>715</v>
      </c>
      <c r="I486" t="s">
        <v>2407</v>
      </c>
      <c r="J486" t="s">
        <v>2408</v>
      </c>
      <c r="K486" t="s">
        <v>2409</v>
      </c>
      <c r="L486" t="s">
        <v>826</v>
      </c>
      <c r="M486" t="s">
        <v>720</v>
      </c>
      <c r="N486" t="s">
        <v>721</v>
      </c>
      <c r="O486">
        <v>0</v>
      </c>
      <c r="P486">
        <v>8</v>
      </c>
      <c r="Q486">
        <v>20</v>
      </c>
      <c r="R486" t="s">
        <v>798</v>
      </c>
      <c r="S486" t="s">
        <v>745</v>
      </c>
      <c r="T486" t="s">
        <v>746</v>
      </c>
      <c r="U486" t="s">
        <v>759</v>
      </c>
    </row>
    <row r="487" spans="1:21" hidden="1" x14ac:dyDescent="0.3">
      <c r="A487" s="1" t="s">
        <v>1778</v>
      </c>
      <c r="B487" t="s">
        <v>732</v>
      </c>
      <c r="C487" t="s">
        <v>711</v>
      </c>
      <c r="D487" t="s">
        <v>1012</v>
      </c>
      <c r="E487" t="s">
        <v>568</v>
      </c>
      <c r="F487" t="s">
        <v>1013</v>
      </c>
      <c r="G487" t="s">
        <v>753</v>
      </c>
      <c r="H487" t="s">
        <v>715</v>
      </c>
      <c r="I487" t="s">
        <v>2410</v>
      </c>
      <c r="J487" t="s">
        <v>2411</v>
      </c>
      <c r="K487" t="s">
        <v>2412</v>
      </c>
      <c r="L487" t="s">
        <v>765</v>
      </c>
      <c r="M487" t="s">
        <v>720</v>
      </c>
      <c r="N487" t="s">
        <v>721</v>
      </c>
      <c r="O487">
        <v>12</v>
      </c>
      <c r="P487">
        <v>15</v>
      </c>
      <c r="Q487">
        <v>82</v>
      </c>
      <c r="R487" t="s">
        <v>758</v>
      </c>
      <c r="S487" t="s">
        <v>745</v>
      </c>
      <c r="T487" t="s">
        <v>746</v>
      </c>
      <c r="U487" t="s">
        <v>1011</v>
      </c>
    </row>
    <row r="488" spans="1:21" hidden="1" x14ac:dyDescent="0.3">
      <c r="A488" s="1" t="s">
        <v>1778</v>
      </c>
      <c r="B488" t="s">
        <v>732</v>
      </c>
      <c r="C488" t="s">
        <v>711</v>
      </c>
      <c r="D488" t="s">
        <v>1017</v>
      </c>
      <c r="E488" t="s">
        <v>568</v>
      </c>
      <c r="F488" t="s">
        <v>1018</v>
      </c>
      <c r="G488" t="s">
        <v>753</v>
      </c>
      <c r="H488" t="s">
        <v>715</v>
      </c>
      <c r="I488" t="s">
        <v>2413</v>
      </c>
      <c r="J488" t="s">
        <v>2414</v>
      </c>
      <c r="K488" t="s">
        <v>2415</v>
      </c>
      <c r="L488" t="s">
        <v>765</v>
      </c>
      <c r="M488" t="s">
        <v>720</v>
      </c>
      <c r="N488" t="s">
        <v>721</v>
      </c>
      <c r="O488">
        <v>0</v>
      </c>
      <c r="P488">
        <v>15</v>
      </c>
      <c r="Q488">
        <v>24</v>
      </c>
      <c r="R488" t="s">
        <v>758</v>
      </c>
      <c r="S488" t="s">
        <v>745</v>
      </c>
      <c r="T488" t="s">
        <v>746</v>
      </c>
      <c r="U488" t="s">
        <v>759</v>
      </c>
    </row>
    <row r="489" spans="1:21" hidden="1" x14ac:dyDescent="0.3">
      <c r="A489" s="1" t="s">
        <v>1778</v>
      </c>
      <c r="B489" t="s">
        <v>732</v>
      </c>
      <c r="C489" t="s">
        <v>711</v>
      </c>
      <c r="D489" t="s">
        <v>1022</v>
      </c>
      <c r="E489" t="s">
        <v>568</v>
      </c>
      <c r="F489" t="s">
        <v>1023</v>
      </c>
      <c r="G489" t="s">
        <v>753</v>
      </c>
      <c r="H489" t="s">
        <v>715</v>
      </c>
      <c r="I489" t="s">
        <v>2416</v>
      </c>
      <c r="J489" t="s">
        <v>2417</v>
      </c>
      <c r="K489" t="s">
        <v>2418</v>
      </c>
      <c r="L489" t="s">
        <v>765</v>
      </c>
      <c r="M489" t="s">
        <v>720</v>
      </c>
      <c r="N489" t="s">
        <v>721</v>
      </c>
      <c r="O489">
        <v>2</v>
      </c>
      <c r="P489">
        <v>15</v>
      </c>
      <c r="Q489">
        <v>29</v>
      </c>
      <c r="R489" t="s">
        <v>758</v>
      </c>
      <c r="S489" t="s">
        <v>745</v>
      </c>
      <c r="T489" t="s">
        <v>746</v>
      </c>
      <c r="U489" t="s">
        <v>759</v>
      </c>
    </row>
    <row r="490" spans="1:21" hidden="1" x14ac:dyDescent="0.3">
      <c r="A490" s="1" t="s">
        <v>1778</v>
      </c>
      <c r="B490" t="s">
        <v>732</v>
      </c>
      <c r="C490" t="s">
        <v>711</v>
      </c>
      <c r="D490" t="s">
        <v>1027</v>
      </c>
      <c r="E490" t="s">
        <v>568</v>
      </c>
      <c r="F490" t="s">
        <v>1028</v>
      </c>
      <c r="G490" t="s">
        <v>794</v>
      </c>
      <c r="H490" t="s">
        <v>715</v>
      </c>
      <c r="I490" t="s">
        <v>2419</v>
      </c>
      <c r="J490" t="s">
        <v>2420</v>
      </c>
      <c r="K490" t="s">
        <v>2421</v>
      </c>
      <c r="L490" t="s">
        <v>826</v>
      </c>
      <c r="M490" t="s">
        <v>720</v>
      </c>
      <c r="N490" t="s">
        <v>721</v>
      </c>
      <c r="O490">
        <v>11</v>
      </c>
      <c r="P490">
        <v>2</v>
      </c>
      <c r="Q490">
        <v>84</v>
      </c>
      <c r="R490" t="s">
        <v>798</v>
      </c>
      <c r="S490" t="s">
        <v>745</v>
      </c>
      <c r="T490" t="s">
        <v>746</v>
      </c>
      <c r="U490" t="s">
        <v>759</v>
      </c>
    </row>
    <row r="491" spans="1:21" hidden="1" x14ac:dyDescent="0.3">
      <c r="A491" s="1" t="s">
        <v>1778</v>
      </c>
      <c r="B491" t="s">
        <v>732</v>
      </c>
      <c r="C491" t="s">
        <v>711</v>
      </c>
      <c r="D491" t="s">
        <v>1032</v>
      </c>
      <c r="E491" t="s">
        <v>568</v>
      </c>
      <c r="F491" t="s">
        <v>1033</v>
      </c>
      <c r="G491" t="s">
        <v>753</v>
      </c>
      <c r="H491" t="s">
        <v>715</v>
      </c>
      <c r="I491" t="s">
        <v>2422</v>
      </c>
      <c r="J491" t="s">
        <v>2423</v>
      </c>
      <c r="K491" t="s">
        <v>2424</v>
      </c>
      <c r="L491" t="s">
        <v>765</v>
      </c>
      <c r="M491" t="s">
        <v>720</v>
      </c>
      <c r="N491" t="s">
        <v>721</v>
      </c>
      <c r="O491">
        <v>1</v>
      </c>
      <c r="P491">
        <v>15</v>
      </c>
      <c r="Q491">
        <v>84</v>
      </c>
      <c r="R491" t="s">
        <v>758</v>
      </c>
      <c r="S491" t="s">
        <v>745</v>
      </c>
      <c r="T491" t="s">
        <v>746</v>
      </c>
      <c r="U491" t="s">
        <v>759</v>
      </c>
    </row>
    <row r="492" spans="1:21" hidden="1" x14ac:dyDescent="0.3">
      <c r="A492" s="1" t="s">
        <v>1778</v>
      </c>
      <c r="B492" t="s">
        <v>732</v>
      </c>
      <c r="C492" t="s">
        <v>711</v>
      </c>
      <c r="D492" t="s">
        <v>1037</v>
      </c>
      <c r="E492" t="s">
        <v>568</v>
      </c>
      <c r="F492" t="s">
        <v>1038</v>
      </c>
      <c r="G492" t="s">
        <v>794</v>
      </c>
      <c r="H492" t="s">
        <v>715</v>
      </c>
      <c r="I492" t="s">
        <v>2425</v>
      </c>
      <c r="J492" t="s">
        <v>2426</v>
      </c>
      <c r="K492" t="s">
        <v>2427</v>
      </c>
      <c r="L492" t="s">
        <v>826</v>
      </c>
      <c r="M492" t="s">
        <v>720</v>
      </c>
      <c r="N492" t="s">
        <v>721</v>
      </c>
      <c r="O492">
        <v>1</v>
      </c>
      <c r="P492">
        <v>10</v>
      </c>
      <c r="Q492">
        <v>14</v>
      </c>
      <c r="R492" t="s">
        <v>722</v>
      </c>
      <c r="S492" t="s">
        <v>745</v>
      </c>
      <c r="T492" t="s">
        <v>746</v>
      </c>
      <c r="U492" t="s">
        <v>759</v>
      </c>
    </row>
    <row r="493" spans="1:21" hidden="1" x14ac:dyDescent="0.3">
      <c r="A493" s="1" t="s">
        <v>1778</v>
      </c>
      <c r="B493" t="s">
        <v>732</v>
      </c>
      <c r="C493" t="s">
        <v>711</v>
      </c>
      <c r="D493" t="s">
        <v>1943</v>
      </c>
      <c r="E493" t="s">
        <v>568</v>
      </c>
      <c r="F493" t="s">
        <v>1401</v>
      </c>
      <c r="G493" t="s">
        <v>753</v>
      </c>
      <c r="H493" t="s">
        <v>715</v>
      </c>
      <c r="I493" t="s">
        <v>2253</v>
      </c>
      <c r="J493" t="s">
        <v>2254</v>
      </c>
      <c r="K493" t="s">
        <v>2255</v>
      </c>
      <c r="L493" t="s">
        <v>1082</v>
      </c>
      <c r="M493" t="s">
        <v>720</v>
      </c>
      <c r="N493" t="s">
        <v>721</v>
      </c>
      <c r="O493">
        <v>14</v>
      </c>
      <c r="P493">
        <v>0</v>
      </c>
      <c r="Q493">
        <v>40</v>
      </c>
      <c r="R493" t="s">
        <v>798</v>
      </c>
      <c r="S493" t="s">
        <v>723</v>
      </c>
      <c r="T493" t="s">
        <v>1083</v>
      </c>
      <c r="U493" t="s">
        <v>707</v>
      </c>
    </row>
    <row r="494" spans="1:21" hidden="1" x14ac:dyDescent="0.3">
      <c r="A494" s="1" t="s">
        <v>1778</v>
      </c>
      <c r="B494" t="s">
        <v>732</v>
      </c>
      <c r="C494" t="s">
        <v>711</v>
      </c>
      <c r="D494" t="s">
        <v>1042</v>
      </c>
      <c r="E494" t="s">
        <v>568</v>
      </c>
      <c r="F494" t="s">
        <v>1043</v>
      </c>
      <c r="G494" t="s">
        <v>753</v>
      </c>
      <c r="H494" t="s">
        <v>715</v>
      </c>
      <c r="I494" t="s">
        <v>2256</v>
      </c>
      <c r="J494" t="s">
        <v>2257</v>
      </c>
      <c r="K494" t="s">
        <v>2258</v>
      </c>
      <c r="L494" t="s">
        <v>1082</v>
      </c>
      <c r="M494" t="s">
        <v>720</v>
      </c>
      <c r="N494" t="s">
        <v>721</v>
      </c>
      <c r="O494">
        <v>13</v>
      </c>
      <c r="P494">
        <v>0</v>
      </c>
      <c r="Q494">
        <v>45</v>
      </c>
      <c r="R494" t="s">
        <v>798</v>
      </c>
      <c r="S494" t="s">
        <v>723</v>
      </c>
      <c r="T494" t="s">
        <v>1083</v>
      </c>
      <c r="U494" t="s">
        <v>707</v>
      </c>
    </row>
    <row r="495" spans="1:21" hidden="1" x14ac:dyDescent="0.3">
      <c r="A495" s="1" t="s">
        <v>1778</v>
      </c>
      <c r="B495" t="s">
        <v>732</v>
      </c>
      <c r="C495" t="s">
        <v>711</v>
      </c>
      <c r="D495" t="s">
        <v>1950</v>
      </c>
      <c r="E495" t="s">
        <v>568</v>
      </c>
      <c r="F495" t="s">
        <v>1408</v>
      </c>
      <c r="G495" t="s">
        <v>753</v>
      </c>
      <c r="H495" t="s">
        <v>715</v>
      </c>
      <c r="I495" t="s">
        <v>2428</v>
      </c>
      <c r="J495" t="s">
        <v>1075</v>
      </c>
      <c r="K495" t="s">
        <v>2429</v>
      </c>
      <c r="L495" t="s">
        <v>765</v>
      </c>
      <c r="M495" t="s">
        <v>720</v>
      </c>
      <c r="N495" t="s">
        <v>721</v>
      </c>
      <c r="O495">
        <v>0</v>
      </c>
      <c r="P495">
        <v>15</v>
      </c>
      <c r="Q495">
        <v>31</v>
      </c>
      <c r="R495" t="s">
        <v>758</v>
      </c>
      <c r="S495" t="s">
        <v>745</v>
      </c>
      <c r="T495" t="s">
        <v>746</v>
      </c>
      <c r="U495" t="s">
        <v>759</v>
      </c>
    </row>
    <row r="496" spans="1:21" hidden="1" x14ac:dyDescent="0.3">
      <c r="A496" s="1" t="s">
        <v>1778</v>
      </c>
      <c r="B496" t="s">
        <v>732</v>
      </c>
      <c r="C496" t="s">
        <v>711</v>
      </c>
      <c r="D496" t="s">
        <v>1052</v>
      </c>
      <c r="E496" t="s">
        <v>568</v>
      </c>
      <c r="F496" t="s">
        <v>1053</v>
      </c>
      <c r="G496" t="s">
        <v>753</v>
      </c>
      <c r="H496" t="s">
        <v>715</v>
      </c>
      <c r="I496" t="s">
        <v>2259</v>
      </c>
      <c r="J496" t="s">
        <v>2260</v>
      </c>
      <c r="K496" t="s">
        <v>2261</v>
      </c>
      <c r="L496" t="s">
        <v>1082</v>
      </c>
      <c r="M496" t="s">
        <v>720</v>
      </c>
      <c r="N496" t="s">
        <v>721</v>
      </c>
      <c r="O496">
        <v>3</v>
      </c>
      <c r="P496">
        <v>0</v>
      </c>
      <c r="Q496">
        <v>49</v>
      </c>
      <c r="R496" t="s">
        <v>798</v>
      </c>
      <c r="S496" t="s">
        <v>723</v>
      </c>
      <c r="T496" t="s">
        <v>1083</v>
      </c>
      <c r="U496" t="s">
        <v>707</v>
      </c>
    </row>
    <row r="497" spans="1:21" hidden="1" x14ac:dyDescent="0.3">
      <c r="A497" s="1" t="s">
        <v>1778</v>
      </c>
      <c r="B497" t="s">
        <v>732</v>
      </c>
      <c r="C497" t="s">
        <v>711</v>
      </c>
      <c r="D497" t="s">
        <v>1057</v>
      </c>
      <c r="E497" t="s">
        <v>568</v>
      </c>
      <c r="F497" t="s">
        <v>1058</v>
      </c>
      <c r="G497" t="s">
        <v>753</v>
      </c>
      <c r="H497" t="s">
        <v>715</v>
      </c>
      <c r="I497" t="s">
        <v>2262</v>
      </c>
      <c r="J497" t="s">
        <v>2263</v>
      </c>
      <c r="K497" t="s">
        <v>2264</v>
      </c>
      <c r="L497" t="s">
        <v>1082</v>
      </c>
      <c r="M497" t="s">
        <v>720</v>
      </c>
      <c r="N497" t="s">
        <v>721</v>
      </c>
      <c r="O497">
        <v>3</v>
      </c>
      <c r="P497">
        <v>0</v>
      </c>
      <c r="Q497">
        <v>53</v>
      </c>
      <c r="R497" t="s">
        <v>798</v>
      </c>
      <c r="S497" t="s">
        <v>723</v>
      </c>
      <c r="T497" t="s">
        <v>1083</v>
      </c>
      <c r="U497" t="s">
        <v>707</v>
      </c>
    </row>
    <row r="498" spans="1:21" hidden="1" x14ac:dyDescent="0.3">
      <c r="A498" s="1" t="s">
        <v>1778</v>
      </c>
      <c r="B498" t="s">
        <v>732</v>
      </c>
      <c r="C498" t="s">
        <v>711</v>
      </c>
      <c r="D498" t="s">
        <v>1067</v>
      </c>
      <c r="E498" t="s">
        <v>568</v>
      </c>
      <c r="F498" t="s">
        <v>1068</v>
      </c>
      <c r="G498" t="s">
        <v>753</v>
      </c>
      <c r="H498" t="s">
        <v>715</v>
      </c>
      <c r="I498" t="s">
        <v>2210</v>
      </c>
      <c r="J498" t="s">
        <v>2265</v>
      </c>
      <c r="K498" t="s">
        <v>2266</v>
      </c>
      <c r="L498" t="s">
        <v>826</v>
      </c>
      <c r="M498" t="s">
        <v>720</v>
      </c>
      <c r="N498" t="s">
        <v>721</v>
      </c>
      <c r="O498">
        <v>12</v>
      </c>
      <c r="P498">
        <v>10</v>
      </c>
      <c r="Q498">
        <v>72</v>
      </c>
      <c r="R498" t="s">
        <v>722</v>
      </c>
      <c r="S498" t="s">
        <v>745</v>
      </c>
      <c r="T498" t="s">
        <v>746</v>
      </c>
      <c r="U498" t="s">
        <v>759</v>
      </c>
    </row>
    <row r="499" spans="1:21" hidden="1" x14ac:dyDescent="0.3">
      <c r="A499" s="1" t="s">
        <v>1778</v>
      </c>
      <c r="B499" t="s">
        <v>732</v>
      </c>
      <c r="C499" t="s">
        <v>711</v>
      </c>
      <c r="D499" t="s">
        <v>1072</v>
      </c>
      <c r="E499" t="s">
        <v>568</v>
      </c>
      <c r="F499" t="s">
        <v>1073</v>
      </c>
      <c r="G499" t="s">
        <v>753</v>
      </c>
      <c r="H499" t="s">
        <v>715</v>
      </c>
      <c r="I499" t="s">
        <v>2430</v>
      </c>
      <c r="J499" t="s">
        <v>2431</v>
      </c>
      <c r="K499" t="s">
        <v>2432</v>
      </c>
      <c r="L499" t="s">
        <v>765</v>
      </c>
      <c r="M499" t="s">
        <v>720</v>
      </c>
      <c r="N499" t="s">
        <v>721</v>
      </c>
      <c r="O499">
        <v>4</v>
      </c>
      <c r="P499">
        <v>15</v>
      </c>
      <c r="Q499">
        <v>117</v>
      </c>
      <c r="R499" t="s">
        <v>758</v>
      </c>
      <c r="S499" t="s">
        <v>745</v>
      </c>
      <c r="T499" t="s">
        <v>746</v>
      </c>
      <c r="U499" t="s">
        <v>759</v>
      </c>
    </row>
    <row r="500" spans="1:21" hidden="1" x14ac:dyDescent="0.3">
      <c r="A500" s="1" t="s">
        <v>1778</v>
      </c>
      <c r="B500" t="s">
        <v>732</v>
      </c>
      <c r="C500" t="s">
        <v>711</v>
      </c>
      <c r="D500" t="s">
        <v>1077</v>
      </c>
      <c r="E500" t="s">
        <v>568</v>
      </c>
      <c r="F500" t="s">
        <v>1078</v>
      </c>
      <c r="G500" t="s">
        <v>753</v>
      </c>
      <c r="H500" t="s">
        <v>715</v>
      </c>
      <c r="I500" t="s">
        <v>2433</v>
      </c>
      <c r="J500" t="s">
        <v>2434</v>
      </c>
      <c r="K500" t="s">
        <v>2435</v>
      </c>
      <c r="L500" t="s">
        <v>765</v>
      </c>
      <c r="M500" t="s">
        <v>720</v>
      </c>
      <c r="N500" t="s">
        <v>721</v>
      </c>
      <c r="O500">
        <v>0</v>
      </c>
      <c r="P500">
        <v>15</v>
      </c>
      <c r="Q500">
        <v>55</v>
      </c>
      <c r="R500" t="s">
        <v>758</v>
      </c>
      <c r="S500" t="s">
        <v>745</v>
      </c>
      <c r="T500" t="s">
        <v>746</v>
      </c>
      <c r="U500" t="s">
        <v>759</v>
      </c>
    </row>
    <row r="501" spans="1:21" hidden="1" x14ac:dyDescent="0.3">
      <c r="A501" s="1" t="s">
        <v>1778</v>
      </c>
      <c r="B501" t="s">
        <v>732</v>
      </c>
      <c r="C501" t="s">
        <v>711</v>
      </c>
      <c r="D501" t="s">
        <v>1084</v>
      </c>
      <c r="E501" t="s">
        <v>568</v>
      </c>
      <c r="F501" t="s">
        <v>1085</v>
      </c>
      <c r="G501" t="s">
        <v>794</v>
      </c>
      <c r="H501" t="s">
        <v>715</v>
      </c>
      <c r="I501" t="s">
        <v>2436</v>
      </c>
      <c r="J501" t="s">
        <v>2437</v>
      </c>
      <c r="K501" t="s">
        <v>2438</v>
      </c>
      <c r="L501" t="s">
        <v>826</v>
      </c>
      <c r="M501" t="s">
        <v>720</v>
      </c>
      <c r="N501" t="s">
        <v>721</v>
      </c>
      <c r="O501">
        <v>0</v>
      </c>
      <c r="P501">
        <v>2</v>
      </c>
      <c r="Q501">
        <v>84</v>
      </c>
      <c r="R501" t="s">
        <v>798</v>
      </c>
      <c r="S501" t="s">
        <v>745</v>
      </c>
      <c r="T501" t="s">
        <v>746</v>
      </c>
      <c r="U501" t="s">
        <v>759</v>
      </c>
    </row>
    <row r="502" spans="1:21" hidden="1" x14ac:dyDescent="0.3">
      <c r="A502" s="1" t="s">
        <v>1778</v>
      </c>
      <c r="B502" t="s">
        <v>732</v>
      </c>
      <c r="C502" t="s">
        <v>711</v>
      </c>
      <c r="D502" t="s">
        <v>1089</v>
      </c>
      <c r="E502" t="s">
        <v>568</v>
      </c>
      <c r="F502" t="s">
        <v>1090</v>
      </c>
      <c r="G502" t="s">
        <v>794</v>
      </c>
      <c r="H502" t="s">
        <v>715</v>
      </c>
      <c r="I502" t="s">
        <v>2439</v>
      </c>
      <c r="J502" t="s">
        <v>2440</v>
      </c>
      <c r="K502" t="s">
        <v>2441</v>
      </c>
      <c r="L502" t="s">
        <v>826</v>
      </c>
      <c r="M502" t="s">
        <v>720</v>
      </c>
      <c r="N502" t="s">
        <v>721</v>
      </c>
      <c r="O502">
        <v>0</v>
      </c>
      <c r="P502">
        <v>2</v>
      </c>
      <c r="Q502">
        <v>20</v>
      </c>
      <c r="R502" t="s">
        <v>798</v>
      </c>
      <c r="S502" t="s">
        <v>745</v>
      </c>
      <c r="T502" t="s">
        <v>746</v>
      </c>
      <c r="U502" t="s">
        <v>759</v>
      </c>
    </row>
    <row r="503" spans="1:21" hidden="1" x14ac:dyDescent="0.3">
      <c r="A503" s="1" t="s">
        <v>1778</v>
      </c>
      <c r="B503" t="s">
        <v>732</v>
      </c>
      <c r="C503" t="s">
        <v>711</v>
      </c>
      <c r="D503" t="s">
        <v>1094</v>
      </c>
      <c r="E503" t="s">
        <v>568</v>
      </c>
      <c r="F503" t="s">
        <v>1095</v>
      </c>
      <c r="G503" t="s">
        <v>753</v>
      </c>
      <c r="H503" t="s">
        <v>715</v>
      </c>
      <c r="I503" t="s">
        <v>2210</v>
      </c>
      <c r="J503" t="s">
        <v>2211</v>
      </c>
      <c r="K503" t="s">
        <v>2212</v>
      </c>
      <c r="L503" t="s">
        <v>2213</v>
      </c>
      <c r="M503" t="s">
        <v>2213</v>
      </c>
      <c r="N503" t="s">
        <v>721</v>
      </c>
      <c r="O503">
        <v>6</v>
      </c>
      <c r="P503">
        <v>0</v>
      </c>
      <c r="Q503">
        <v>231</v>
      </c>
      <c r="R503" t="s">
        <v>758</v>
      </c>
      <c r="S503" t="s">
        <v>723</v>
      </c>
      <c r="T503" t="s">
        <v>2214</v>
      </c>
      <c r="U503" t="s">
        <v>725</v>
      </c>
    </row>
    <row r="504" spans="1:21" hidden="1" x14ac:dyDescent="0.3">
      <c r="A504" s="1" t="s">
        <v>1778</v>
      </c>
      <c r="B504" t="s">
        <v>732</v>
      </c>
      <c r="C504" t="s">
        <v>711</v>
      </c>
      <c r="D504" t="s">
        <v>1099</v>
      </c>
      <c r="E504" t="s">
        <v>568</v>
      </c>
      <c r="F504" t="s">
        <v>1100</v>
      </c>
      <c r="G504" t="s">
        <v>794</v>
      </c>
      <c r="H504" t="s">
        <v>715</v>
      </c>
      <c r="I504" t="s">
        <v>2442</v>
      </c>
      <c r="J504" t="s">
        <v>2443</v>
      </c>
      <c r="K504" t="s">
        <v>2444</v>
      </c>
      <c r="L504" t="s">
        <v>826</v>
      </c>
      <c r="M504" t="s">
        <v>720</v>
      </c>
      <c r="N504" t="s">
        <v>721</v>
      </c>
      <c r="O504">
        <v>0</v>
      </c>
      <c r="P504">
        <v>2</v>
      </c>
      <c r="Q504">
        <v>84</v>
      </c>
      <c r="R504" t="s">
        <v>798</v>
      </c>
      <c r="S504" t="s">
        <v>745</v>
      </c>
      <c r="T504" t="s">
        <v>746</v>
      </c>
      <c r="U504" t="s">
        <v>759</v>
      </c>
    </row>
    <row r="505" spans="1:21" hidden="1" x14ac:dyDescent="0.3">
      <c r="A505" s="1" t="s">
        <v>1778</v>
      </c>
      <c r="B505" t="s">
        <v>732</v>
      </c>
      <c r="C505" t="s">
        <v>711</v>
      </c>
      <c r="D505" t="s">
        <v>1104</v>
      </c>
      <c r="E505" t="s">
        <v>568</v>
      </c>
      <c r="F505" t="s">
        <v>1105</v>
      </c>
      <c r="G505" t="s">
        <v>753</v>
      </c>
      <c r="H505" t="s">
        <v>715</v>
      </c>
      <c r="I505" t="s">
        <v>2445</v>
      </c>
      <c r="J505" t="s">
        <v>2446</v>
      </c>
      <c r="K505" t="s">
        <v>2447</v>
      </c>
      <c r="L505" t="s">
        <v>765</v>
      </c>
      <c r="M505" t="s">
        <v>720</v>
      </c>
      <c r="N505" t="s">
        <v>721</v>
      </c>
      <c r="O505">
        <v>0</v>
      </c>
      <c r="P505">
        <v>15</v>
      </c>
      <c r="Q505">
        <v>34</v>
      </c>
      <c r="R505" t="s">
        <v>758</v>
      </c>
      <c r="S505" t="s">
        <v>745</v>
      </c>
      <c r="T505" t="s">
        <v>746</v>
      </c>
      <c r="U505" t="s">
        <v>759</v>
      </c>
    </row>
    <row r="506" spans="1:21" hidden="1" x14ac:dyDescent="0.3">
      <c r="A506" s="1" t="s">
        <v>1778</v>
      </c>
      <c r="B506" t="s">
        <v>732</v>
      </c>
      <c r="C506" t="s">
        <v>711</v>
      </c>
      <c r="D506" t="s">
        <v>1109</v>
      </c>
      <c r="E506" t="s">
        <v>568</v>
      </c>
      <c r="F506" t="s">
        <v>1110</v>
      </c>
      <c r="G506" t="s">
        <v>753</v>
      </c>
      <c r="H506" t="s">
        <v>715</v>
      </c>
      <c r="I506" t="s">
        <v>2448</v>
      </c>
      <c r="J506" t="s">
        <v>2449</v>
      </c>
      <c r="K506" t="s">
        <v>2450</v>
      </c>
      <c r="L506" t="s">
        <v>765</v>
      </c>
      <c r="M506" t="s">
        <v>720</v>
      </c>
      <c r="N506" t="s">
        <v>721</v>
      </c>
      <c r="O506">
        <v>0</v>
      </c>
      <c r="P506">
        <v>15</v>
      </c>
      <c r="Q506">
        <v>24</v>
      </c>
      <c r="R506" t="s">
        <v>758</v>
      </c>
      <c r="S506" t="s">
        <v>745</v>
      </c>
      <c r="T506" t="s">
        <v>746</v>
      </c>
      <c r="U506" t="s">
        <v>759</v>
      </c>
    </row>
    <row r="507" spans="1:21" hidden="1" x14ac:dyDescent="0.3">
      <c r="A507" s="1" t="s">
        <v>1778</v>
      </c>
      <c r="B507" t="s">
        <v>732</v>
      </c>
      <c r="C507" t="s">
        <v>711</v>
      </c>
      <c r="D507" t="s">
        <v>1114</v>
      </c>
      <c r="E507" t="s">
        <v>568</v>
      </c>
      <c r="F507" t="s">
        <v>1115</v>
      </c>
      <c r="G507" t="s">
        <v>794</v>
      </c>
      <c r="H507" t="s">
        <v>715</v>
      </c>
      <c r="I507" t="s">
        <v>2451</v>
      </c>
      <c r="J507" t="s">
        <v>2452</v>
      </c>
      <c r="K507" t="s">
        <v>2453</v>
      </c>
      <c r="L507" t="s">
        <v>826</v>
      </c>
      <c r="M507" t="s">
        <v>720</v>
      </c>
      <c r="N507" t="s">
        <v>721</v>
      </c>
      <c r="O507">
        <v>9</v>
      </c>
      <c r="P507">
        <v>8</v>
      </c>
      <c r="Q507">
        <v>44</v>
      </c>
      <c r="R507" t="s">
        <v>798</v>
      </c>
      <c r="S507" t="s">
        <v>745</v>
      </c>
      <c r="T507" t="s">
        <v>746</v>
      </c>
      <c r="U507" t="s">
        <v>759</v>
      </c>
    </row>
    <row r="508" spans="1:21" hidden="1" x14ac:dyDescent="0.3">
      <c r="A508" s="1" t="s">
        <v>1778</v>
      </c>
      <c r="B508" t="s">
        <v>732</v>
      </c>
      <c r="C508" t="s">
        <v>711</v>
      </c>
      <c r="D508" t="s">
        <v>1119</v>
      </c>
      <c r="E508" t="s">
        <v>568</v>
      </c>
      <c r="F508" t="s">
        <v>728</v>
      </c>
      <c r="G508" t="s">
        <v>753</v>
      </c>
      <c r="H508" t="s">
        <v>715</v>
      </c>
      <c r="I508" t="s">
        <v>2267</v>
      </c>
      <c r="J508" t="s">
        <v>2268</v>
      </c>
      <c r="K508" t="s">
        <v>2269</v>
      </c>
      <c r="L508" t="s">
        <v>1082</v>
      </c>
      <c r="M508" t="s">
        <v>720</v>
      </c>
      <c r="N508" t="s">
        <v>721</v>
      </c>
      <c r="O508">
        <v>30</v>
      </c>
      <c r="P508">
        <v>0</v>
      </c>
      <c r="Q508">
        <v>44</v>
      </c>
      <c r="R508" t="s">
        <v>798</v>
      </c>
      <c r="S508" t="s">
        <v>723</v>
      </c>
      <c r="T508" t="s">
        <v>1083</v>
      </c>
      <c r="U508" t="s">
        <v>707</v>
      </c>
    </row>
    <row r="509" spans="1:21" hidden="1" x14ac:dyDescent="0.3">
      <c r="A509" s="1" t="s">
        <v>1778</v>
      </c>
      <c r="B509" t="s">
        <v>732</v>
      </c>
      <c r="C509" t="s">
        <v>711</v>
      </c>
      <c r="D509" t="s">
        <v>1123</v>
      </c>
      <c r="E509" t="s">
        <v>568</v>
      </c>
      <c r="F509" t="s">
        <v>1124</v>
      </c>
      <c r="G509" t="s">
        <v>753</v>
      </c>
      <c r="H509" t="s">
        <v>715</v>
      </c>
      <c r="I509" t="s">
        <v>2454</v>
      </c>
      <c r="J509" t="s">
        <v>1055</v>
      </c>
      <c r="K509" t="s">
        <v>2415</v>
      </c>
      <c r="L509" t="s">
        <v>765</v>
      </c>
      <c r="M509" t="s">
        <v>720</v>
      </c>
      <c r="N509" t="s">
        <v>721</v>
      </c>
      <c r="O509">
        <v>0</v>
      </c>
      <c r="P509">
        <v>15</v>
      </c>
      <c r="Q509">
        <v>24</v>
      </c>
      <c r="R509" t="s">
        <v>758</v>
      </c>
      <c r="S509" t="s">
        <v>745</v>
      </c>
      <c r="T509" t="s">
        <v>746</v>
      </c>
      <c r="U509" t="s">
        <v>759</v>
      </c>
    </row>
    <row r="510" spans="1:21" hidden="1" x14ac:dyDescent="0.3">
      <c r="A510" s="1" t="s">
        <v>1778</v>
      </c>
      <c r="B510" t="s">
        <v>732</v>
      </c>
      <c r="C510" t="s">
        <v>711</v>
      </c>
      <c r="D510" t="s">
        <v>1128</v>
      </c>
      <c r="E510" t="s">
        <v>568</v>
      </c>
      <c r="F510" t="s">
        <v>1129</v>
      </c>
      <c r="G510" t="s">
        <v>753</v>
      </c>
      <c r="H510" t="s">
        <v>715</v>
      </c>
      <c r="I510" t="s">
        <v>2455</v>
      </c>
      <c r="J510" t="s">
        <v>2456</v>
      </c>
      <c r="K510" t="s">
        <v>2457</v>
      </c>
      <c r="L510" t="s">
        <v>765</v>
      </c>
      <c r="M510" t="s">
        <v>720</v>
      </c>
      <c r="N510" t="s">
        <v>721</v>
      </c>
      <c r="O510">
        <v>1</v>
      </c>
      <c r="P510">
        <v>15</v>
      </c>
      <c r="Q510">
        <v>116</v>
      </c>
      <c r="R510" t="s">
        <v>758</v>
      </c>
      <c r="S510" t="s">
        <v>745</v>
      </c>
      <c r="T510" t="s">
        <v>746</v>
      </c>
      <c r="U510" t="s">
        <v>759</v>
      </c>
    </row>
    <row r="511" spans="1:21" hidden="1" x14ac:dyDescent="0.3">
      <c r="A511" s="1" t="s">
        <v>1778</v>
      </c>
      <c r="B511" t="s">
        <v>732</v>
      </c>
      <c r="C511" t="s">
        <v>711</v>
      </c>
      <c r="D511" t="s">
        <v>1133</v>
      </c>
      <c r="E511" t="s">
        <v>568</v>
      </c>
      <c r="F511" t="s">
        <v>1134</v>
      </c>
      <c r="G511" t="s">
        <v>753</v>
      </c>
      <c r="H511" t="s">
        <v>715</v>
      </c>
      <c r="I511" t="s">
        <v>2215</v>
      </c>
      <c r="J511" t="s">
        <v>1999</v>
      </c>
      <c r="K511" t="s">
        <v>2000</v>
      </c>
      <c r="L511" t="s">
        <v>1082</v>
      </c>
      <c r="M511" t="s">
        <v>720</v>
      </c>
      <c r="N511" t="s">
        <v>721</v>
      </c>
      <c r="O511">
        <v>0</v>
      </c>
      <c r="P511">
        <v>0</v>
      </c>
      <c r="Q511">
        <v>56</v>
      </c>
      <c r="R511" t="s">
        <v>798</v>
      </c>
      <c r="S511" t="s">
        <v>723</v>
      </c>
      <c r="T511" t="s">
        <v>1083</v>
      </c>
      <c r="U511" t="s">
        <v>707</v>
      </c>
    </row>
    <row r="512" spans="1:21" hidden="1" x14ac:dyDescent="0.3">
      <c r="A512" s="1" t="s">
        <v>1778</v>
      </c>
      <c r="B512" t="s">
        <v>732</v>
      </c>
      <c r="C512" t="s">
        <v>711</v>
      </c>
      <c r="D512" t="s">
        <v>1138</v>
      </c>
      <c r="E512" t="s">
        <v>568</v>
      </c>
      <c r="F512" t="s">
        <v>1139</v>
      </c>
      <c r="G512" t="s">
        <v>753</v>
      </c>
      <c r="H512" t="s">
        <v>715</v>
      </c>
      <c r="I512" t="s">
        <v>2458</v>
      </c>
      <c r="J512" t="s">
        <v>2459</v>
      </c>
      <c r="K512" t="s">
        <v>2460</v>
      </c>
      <c r="L512" t="s">
        <v>765</v>
      </c>
      <c r="M512" t="s">
        <v>720</v>
      </c>
      <c r="N512" t="s">
        <v>721</v>
      </c>
      <c r="O512">
        <v>3</v>
      </c>
      <c r="P512">
        <v>15</v>
      </c>
      <c r="Q512">
        <v>105</v>
      </c>
      <c r="R512" t="s">
        <v>758</v>
      </c>
      <c r="S512" t="s">
        <v>745</v>
      </c>
      <c r="T512" t="s">
        <v>746</v>
      </c>
      <c r="U512" t="s">
        <v>1466</v>
      </c>
    </row>
    <row r="513" spans="1:21" hidden="1" x14ac:dyDescent="0.3">
      <c r="A513" s="1" t="s">
        <v>1778</v>
      </c>
      <c r="B513" t="s">
        <v>732</v>
      </c>
      <c r="C513" t="s">
        <v>711</v>
      </c>
      <c r="D513" t="s">
        <v>1148</v>
      </c>
      <c r="E513" t="s">
        <v>568</v>
      </c>
      <c r="F513" t="s">
        <v>1149</v>
      </c>
      <c r="G513" t="s">
        <v>794</v>
      </c>
      <c r="H513" t="s">
        <v>715</v>
      </c>
      <c r="I513" t="s">
        <v>2461</v>
      </c>
      <c r="J513" t="s">
        <v>2462</v>
      </c>
      <c r="K513" t="s">
        <v>2463</v>
      </c>
      <c r="L513" t="s">
        <v>826</v>
      </c>
      <c r="M513" t="s">
        <v>720</v>
      </c>
      <c r="N513" t="s">
        <v>721</v>
      </c>
      <c r="O513">
        <v>0</v>
      </c>
      <c r="P513">
        <v>2</v>
      </c>
      <c r="Q513">
        <v>31</v>
      </c>
      <c r="R513" t="s">
        <v>798</v>
      </c>
      <c r="S513" t="s">
        <v>745</v>
      </c>
      <c r="T513" t="s">
        <v>746</v>
      </c>
      <c r="U513" t="s">
        <v>759</v>
      </c>
    </row>
    <row r="514" spans="1:21" hidden="1" x14ac:dyDescent="0.3">
      <c r="A514" s="1" t="s">
        <v>1778</v>
      </c>
      <c r="B514" t="s">
        <v>732</v>
      </c>
      <c r="C514" t="s">
        <v>711</v>
      </c>
      <c r="D514" t="s">
        <v>1153</v>
      </c>
      <c r="E514" t="s">
        <v>568</v>
      </c>
      <c r="F514" t="s">
        <v>1154</v>
      </c>
      <c r="G514" t="s">
        <v>753</v>
      </c>
      <c r="H514" t="s">
        <v>715</v>
      </c>
      <c r="I514" t="s">
        <v>2270</v>
      </c>
      <c r="J514" t="s">
        <v>2271</v>
      </c>
      <c r="K514" t="s">
        <v>2272</v>
      </c>
      <c r="L514" t="s">
        <v>1082</v>
      </c>
      <c r="M514" t="s">
        <v>720</v>
      </c>
      <c r="N514" t="s">
        <v>721</v>
      </c>
      <c r="O514">
        <v>30</v>
      </c>
      <c r="P514">
        <v>0</v>
      </c>
      <c r="Q514">
        <v>69</v>
      </c>
      <c r="R514" t="s">
        <v>798</v>
      </c>
      <c r="S514" t="s">
        <v>723</v>
      </c>
      <c r="T514" t="s">
        <v>1083</v>
      </c>
      <c r="U514" t="s">
        <v>707</v>
      </c>
    </row>
    <row r="515" spans="1:21" hidden="1" x14ac:dyDescent="0.3">
      <c r="A515" s="1" t="s">
        <v>1778</v>
      </c>
      <c r="B515" t="s">
        <v>732</v>
      </c>
      <c r="C515" t="s">
        <v>711</v>
      </c>
      <c r="D515" t="s">
        <v>2010</v>
      </c>
      <c r="E515" t="s">
        <v>568</v>
      </c>
      <c r="F515" t="s">
        <v>1423</v>
      </c>
      <c r="G515" t="s">
        <v>753</v>
      </c>
      <c r="H515" t="s">
        <v>715</v>
      </c>
      <c r="I515" t="s">
        <v>2464</v>
      </c>
      <c r="J515" t="s">
        <v>2465</v>
      </c>
      <c r="K515" t="s">
        <v>2466</v>
      </c>
      <c r="L515" t="s">
        <v>765</v>
      </c>
      <c r="M515" t="s">
        <v>720</v>
      </c>
      <c r="N515" t="s">
        <v>721</v>
      </c>
      <c r="O515">
        <v>3</v>
      </c>
      <c r="P515">
        <v>15</v>
      </c>
      <c r="Q515">
        <v>22</v>
      </c>
      <c r="R515" t="s">
        <v>758</v>
      </c>
      <c r="S515" t="s">
        <v>745</v>
      </c>
      <c r="T515" t="s">
        <v>746</v>
      </c>
      <c r="U515" t="s">
        <v>1011</v>
      </c>
    </row>
    <row r="516" spans="1:21" hidden="1" x14ac:dyDescent="0.3">
      <c r="A516" s="1" t="s">
        <v>1778</v>
      </c>
      <c r="B516" t="s">
        <v>732</v>
      </c>
      <c r="C516" t="s">
        <v>711</v>
      </c>
      <c r="D516" t="s">
        <v>1158</v>
      </c>
      <c r="E516" t="s">
        <v>568</v>
      </c>
      <c r="F516" t="s">
        <v>1159</v>
      </c>
      <c r="G516" t="s">
        <v>753</v>
      </c>
      <c r="H516" t="s">
        <v>715</v>
      </c>
      <c r="I516" t="s">
        <v>2273</v>
      </c>
      <c r="J516" t="s">
        <v>2274</v>
      </c>
      <c r="K516" t="s">
        <v>2275</v>
      </c>
      <c r="L516" t="s">
        <v>1082</v>
      </c>
      <c r="M516" t="s">
        <v>720</v>
      </c>
      <c r="N516" t="s">
        <v>721</v>
      </c>
      <c r="O516">
        <v>10</v>
      </c>
      <c r="P516">
        <v>0</v>
      </c>
      <c r="Q516">
        <v>61</v>
      </c>
      <c r="R516" t="s">
        <v>798</v>
      </c>
      <c r="S516" t="s">
        <v>723</v>
      </c>
      <c r="T516" t="s">
        <v>1083</v>
      </c>
      <c r="U516" t="s">
        <v>707</v>
      </c>
    </row>
    <row r="517" spans="1:21" hidden="1" x14ac:dyDescent="0.3">
      <c r="A517" s="1" t="s">
        <v>1778</v>
      </c>
      <c r="B517" t="s">
        <v>732</v>
      </c>
      <c r="C517" t="s">
        <v>711</v>
      </c>
      <c r="D517" t="s">
        <v>1163</v>
      </c>
      <c r="E517" t="s">
        <v>568</v>
      </c>
      <c r="F517" t="s">
        <v>1164</v>
      </c>
      <c r="G517" t="s">
        <v>753</v>
      </c>
      <c r="H517" t="s">
        <v>715</v>
      </c>
      <c r="I517" t="s">
        <v>2467</v>
      </c>
      <c r="J517" t="s">
        <v>2468</v>
      </c>
      <c r="K517" t="s">
        <v>2469</v>
      </c>
      <c r="L517" t="s">
        <v>757</v>
      </c>
      <c r="M517" t="s">
        <v>720</v>
      </c>
      <c r="N517" t="s">
        <v>721</v>
      </c>
      <c r="O517">
        <v>0</v>
      </c>
      <c r="P517">
        <v>7</v>
      </c>
      <c r="Q517">
        <v>72</v>
      </c>
      <c r="R517" t="s">
        <v>758</v>
      </c>
      <c r="S517" t="s">
        <v>745</v>
      </c>
      <c r="T517" t="s">
        <v>746</v>
      </c>
      <c r="U517" t="s">
        <v>759</v>
      </c>
    </row>
    <row r="518" spans="1:21" hidden="1" x14ac:dyDescent="0.3">
      <c r="A518" s="1" t="s">
        <v>1778</v>
      </c>
      <c r="B518" t="s">
        <v>732</v>
      </c>
      <c r="C518" t="s">
        <v>711</v>
      </c>
      <c r="D518" t="s">
        <v>2019</v>
      </c>
      <c r="E518" t="s">
        <v>567</v>
      </c>
      <c r="F518" t="s">
        <v>2020</v>
      </c>
      <c r="G518" t="s">
        <v>753</v>
      </c>
      <c r="H518" t="s">
        <v>715</v>
      </c>
      <c r="I518" t="s">
        <v>2470</v>
      </c>
      <c r="J518" t="s">
        <v>2471</v>
      </c>
      <c r="K518" t="s">
        <v>2472</v>
      </c>
      <c r="L518" t="s">
        <v>757</v>
      </c>
      <c r="M518" t="s">
        <v>720</v>
      </c>
      <c r="N518" t="s">
        <v>721</v>
      </c>
      <c r="O518">
        <v>0</v>
      </c>
      <c r="P518">
        <v>7</v>
      </c>
      <c r="Q518">
        <v>34</v>
      </c>
      <c r="R518" t="s">
        <v>758</v>
      </c>
      <c r="S518" t="s">
        <v>745</v>
      </c>
      <c r="T518" t="s">
        <v>746</v>
      </c>
      <c r="U518" t="s">
        <v>747</v>
      </c>
    </row>
    <row r="519" spans="1:21" hidden="1" x14ac:dyDescent="0.3">
      <c r="A519" s="1" t="s">
        <v>1778</v>
      </c>
      <c r="B519" t="s">
        <v>732</v>
      </c>
      <c r="C519" t="s">
        <v>711</v>
      </c>
      <c r="D519" t="s">
        <v>1168</v>
      </c>
      <c r="E519" t="s">
        <v>567</v>
      </c>
      <c r="F519" t="s">
        <v>1169</v>
      </c>
      <c r="G519" t="s">
        <v>794</v>
      </c>
      <c r="H519" t="s">
        <v>715</v>
      </c>
      <c r="I519" t="s">
        <v>2473</v>
      </c>
      <c r="J519" t="s">
        <v>2474</v>
      </c>
      <c r="K519" t="s">
        <v>2475</v>
      </c>
      <c r="L519" t="s">
        <v>826</v>
      </c>
      <c r="M519" t="s">
        <v>720</v>
      </c>
      <c r="N519" t="s">
        <v>721</v>
      </c>
      <c r="O519">
        <v>0</v>
      </c>
      <c r="P519">
        <v>10</v>
      </c>
      <c r="Q519">
        <v>116</v>
      </c>
      <c r="R519" t="s">
        <v>722</v>
      </c>
      <c r="S519" t="s">
        <v>745</v>
      </c>
      <c r="T519" t="s">
        <v>746</v>
      </c>
      <c r="U519" t="s">
        <v>759</v>
      </c>
    </row>
    <row r="520" spans="1:21" hidden="1" x14ac:dyDescent="0.3">
      <c r="A520" s="1" t="s">
        <v>1778</v>
      </c>
      <c r="B520" t="s">
        <v>732</v>
      </c>
      <c r="C520" t="s">
        <v>711</v>
      </c>
      <c r="D520" t="s">
        <v>1173</v>
      </c>
      <c r="E520" t="s">
        <v>567</v>
      </c>
      <c r="F520" t="s">
        <v>1174</v>
      </c>
      <c r="G520" t="s">
        <v>753</v>
      </c>
      <c r="H520" t="s">
        <v>715</v>
      </c>
      <c r="I520" t="s">
        <v>2476</v>
      </c>
      <c r="J520" t="s">
        <v>2477</v>
      </c>
      <c r="K520" t="s">
        <v>2478</v>
      </c>
      <c r="L520" t="s">
        <v>765</v>
      </c>
      <c r="M520" t="s">
        <v>720</v>
      </c>
      <c r="N520" t="s">
        <v>721</v>
      </c>
      <c r="O520">
        <v>16</v>
      </c>
      <c r="P520">
        <v>15</v>
      </c>
      <c r="Q520">
        <v>100</v>
      </c>
      <c r="R520" t="s">
        <v>758</v>
      </c>
      <c r="S520" t="s">
        <v>745</v>
      </c>
      <c r="T520" t="s">
        <v>746</v>
      </c>
      <c r="U520" t="s">
        <v>759</v>
      </c>
    </row>
    <row r="521" spans="1:21" hidden="1" x14ac:dyDescent="0.3">
      <c r="A521" s="1" t="s">
        <v>1778</v>
      </c>
      <c r="B521" t="s">
        <v>732</v>
      </c>
      <c r="C521" t="s">
        <v>711</v>
      </c>
      <c r="D521" t="s">
        <v>1178</v>
      </c>
      <c r="E521" t="s">
        <v>567</v>
      </c>
      <c r="F521" t="s">
        <v>1179</v>
      </c>
      <c r="G521" t="s">
        <v>794</v>
      </c>
      <c r="H521" t="s">
        <v>715</v>
      </c>
      <c r="I521" t="s">
        <v>2479</v>
      </c>
      <c r="J521" t="s">
        <v>2480</v>
      </c>
      <c r="K521" t="s">
        <v>2481</v>
      </c>
      <c r="L521" t="s">
        <v>826</v>
      </c>
      <c r="M521" t="s">
        <v>720</v>
      </c>
      <c r="N521" t="s">
        <v>721</v>
      </c>
      <c r="O521">
        <v>0</v>
      </c>
      <c r="P521">
        <v>10</v>
      </c>
      <c r="Q521">
        <v>14</v>
      </c>
      <c r="R521" t="s">
        <v>722</v>
      </c>
      <c r="S521" t="s">
        <v>745</v>
      </c>
      <c r="T521" t="s">
        <v>746</v>
      </c>
      <c r="U521" t="s">
        <v>759</v>
      </c>
    </row>
    <row r="522" spans="1:21" hidden="1" x14ac:dyDescent="0.3">
      <c r="A522" s="1" t="s">
        <v>1778</v>
      </c>
      <c r="B522" t="s">
        <v>732</v>
      </c>
      <c r="C522" t="s">
        <v>711</v>
      </c>
      <c r="D522" t="s">
        <v>1183</v>
      </c>
      <c r="E522" t="s">
        <v>567</v>
      </c>
      <c r="F522" t="s">
        <v>1184</v>
      </c>
      <c r="G522" t="s">
        <v>806</v>
      </c>
      <c r="H522" t="s">
        <v>715</v>
      </c>
      <c r="I522" t="s">
        <v>2482</v>
      </c>
      <c r="J522" t="s">
        <v>2483</v>
      </c>
      <c r="K522" t="s">
        <v>2484</v>
      </c>
      <c r="L522" t="s">
        <v>810</v>
      </c>
      <c r="M522" t="s">
        <v>720</v>
      </c>
      <c r="N522" t="s">
        <v>721</v>
      </c>
      <c r="O522">
        <v>5</v>
      </c>
      <c r="P522">
        <v>3</v>
      </c>
      <c r="Q522">
        <v>32</v>
      </c>
      <c r="R522" t="s">
        <v>798</v>
      </c>
      <c r="S522" t="s">
        <v>745</v>
      </c>
      <c r="T522" t="s">
        <v>746</v>
      </c>
      <c r="U522" t="s">
        <v>759</v>
      </c>
    </row>
    <row r="523" spans="1:21" hidden="1" x14ac:dyDescent="0.3">
      <c r="A523" s="1" t="s">
        <v>1778</v>
      </c>
      <c r="B523" t="s">
        <v>732</v>
      </c>
      <c r="C523" t="s">
        <v>711</v>
      </c>
      <c r="D523" t="s">
        <v>1188</v>
      </c>
      <c r="E523" t="s">
        <v>567</v>
      </c>
      <c r="F523" t="s">
        <v>1189</v>
      </c>
      <c r="G523" t="s">
        <v>1239</v>
      </c>
      <c r="H523" t="s">
        <v>737</v>
      </c>
      <c r="I523" t="s">
        <v>2276</v>
      </c>
      <c r="J523" t="s">
        <v>2277</v>
      </c>
      <c r="K523" t="s">
        <v>2278</v>
      </c>
      <c r="L523" t="s">
        <v>1082</v>
      </c>
      <c r="M523" t="s">
        <v>720</v>
      </c>
      <c r="N523" t="s">
        <v>721</v>
      </c>
      <c r="O523">
        <v>4</v>
      </c>
      <c r="P523">
        <v>0</v>
      </c>
      <c r="Q523">
        <v>96</v>
      </c>
      <c r="R523" t="s">
        <v>798</v>
      </c>
      <c r="S523" t="s">
        <v>723</v>
      </c>
      <c r="T523" t="s">
        <v>1083</v>
      </c>
      <c r="U523" t="s">
        <v>707</v>
      </c>
    </row>
    <row r="524" spans="1:21" hidden="1" x14ac:dyDescent="0.3">
      <c r="A524" s="1" t="s">
        <v>1778</v>
      </c>
      <c r="B524" t="s">
        <v>732</v>
      </c>
      <c r="C524" t="s">
        <v>711</v>
      </c>
      <c r="D524" t="s">
        <v>1199</v>
      </c>
      <c r="E524" t="s">
        <v>567</v>
      </c>
      <c r="F524" t="s">
        <v>1200</v>
      </c>
      <c r="G524" t="s">
        <v>794</v>
      </c>
      <c r="H524" t="s">
        <v>715</v>
      </c>
      <c r="I524" t="s">
        <v>2279</v>
      </c>
      <c r="J524" t="s">
        <v>2280</v>
      </c>
      <c r="K524" t="s">
        <v>2281</v>
      </c>
      <c r="L524" t="s">
        <v>1082</v>
      </c>
      <c r="M524" t="s">
        <v>720</v>
      </c>
      <c r="N524" t="s">
        <v>721</v>
      </c>
      <c r="O524">
        <v>0</v>
      </c>
      <c r="P524">
        <v>0</v>
      </c>
      <c r="Q524">
        <v>85</v>
      </c>
      <c r="R524" t="s">
        <v>798</v>
      </c>
      <c r="S524" t="s">
        <v>723</v>
      </c>
      <c r="T524" t="s">
        <v>1083</v>
      </c>
      <c r="U524" t="s">
        <v>707</v>
      </c>
    </row>
    <row r="525" spans="1:21" hidden="1" x14ac:dyDescent="0.3">
      <c r="A525" s="1" t="s">
        <v>1778</v>
      </c>
      <c r="B525" t="s">
        <v>732</v>
      </c>
      <c r="C525" t="s">
        <v>711</v>
      </c>
      <c r="D525" t="s">
        <v>1204</v>
      </c>
      <c r="E525" t="s">
        <v>567</v>
      </c>
      <c r="F525" t="s">
        <v>1205</v>
      </c>
      <c r="G525" t="s">
        <v>753</v>
      </c>
      <c r="H525" t="s">
        <v>715</v>
      </c>
      <c r="I525" t="s">
        <v>2282</v>
      </c>
      <c r="J525" t="s">
        <v>2283</v>
      </c>
      <c r="K525" t="s">
        <v>2284</v>
      </c>
      <c r="L525" t="s">
        <v>1082</v>
      </c>
      <c r="M525" t="s">
        <v>720</v>
      </c>
      <c r="N525" t="s">
        <v>721</v>
      </c>
      <c r="O525">
        <v>0</v>
      </c>
      <c r="P525">
        <v>0</v>
      </c>
      <c r="Q525">
        <v>89</v>
      </c>
      <c r="R525" t="s">
        <v>798</v>
      </c>
      <c r="S525" t="s">
        <v>723</v>
      </c>
      <c r="T525" t="s">
        <v>1083</v>
      </c>
      <c r="U525" t="s">
        <v>707</v>
      </c>
    </row>
    <row r="526" spans="1:21" hidden="1" x14ac:dyDescent="0.3">
      <c r="A526" s="1" t="s">
        <v>1778</v>
      </c>
      <c r="B526" t="s">
        <v>732</v>
      </c>
      <c r="C526" t="s">
        <v>711</v>
      </c>
      <c r="D526" t="s">
        <v>734</v>
      </c>
      <c r="E526" t="s">
        <v>567</v>
      </c>
      <c r="F526" t="s">
        <v>735</v>
      </c>
      <c r="G526" t="s">
        <v>794</v>
      </c>
      <c r="H526" t="s">
        <v>715</v>
      </c>
      <c r="I526" t="s">
        <v>2485</v>
      </c>
      <c r="J526" t="s">
        <v>2486</v>
      </c>
      <c r="K526" t="s">
        <v>2487</v>
      </c>
      <c r="L526" t="s">
        <v>826</v>
      </c>
      <c r="M526" t="s">
        <v>720</v>
      </c>
      <c r="N526" t="s">
        <v>721</v>
      </c>
      <c r="O526">
        <v>2</v>
      </c>
      <c r="P526">
        <v>2</v>
      </c>
      <c r="Q526">
        <v>84</v>
      </c>
      <c r="R526" t="s">
        <v>798</v>
      </c>
      <c r="S526" t="s">
        <v>745</v>
      </c>
      <c r="T526" t="s">
        <v>746</v>
      </c>
      <c r="U526" t="s">
        <v>759</v>
      </c>
    </row>
    <row r="527" spans="1:21" hidden="1" x14ac:dyDescent="0.3">
      <c r="A527" s="1" t="s">
        <v>1778</v>
      </c>
      <c r="B527" t="s">
        <v>732</v>
      </c>
      <c r="C527" t="s">
        <v>711</v>
      </c>
      <c r="D527" t="s">
        <v>2048</v>
      </c>
      <c r="E527" t="s">
        <v>567</v>
      </c>
      <c r="F527" t="s">
        <v>2049</v>
      </c>
      <c r="G527" t="s">
        <v>753</v>
      </c>
      <c r="H527" t="s">
        <v>715</v>
      </c>
      <c r="I527" t="s">
        <v>2488</v>
      </c>
      <c r="J527" t="s">
        <v>2489</v>
      </c>
      <c r="K527" t="s">
        <v>2490</v>
      </c>
      <c r="L527" t="s">
        <v>757</v>
      </c>
      <c r="M527" t="s">
        <v>720</v>
      </c>
      <c r="N527" t="s">
        <v>721</v>
      </c>
      <c r="O527">
        <v>1</v>
      </c>
      <c r="P527">
        <v>7</v>
      </c>
      <c r="Q527">
        <v>34</v>
      </c>
      <c r="R527" t="s">
        <v>758</v>
      </c>
      <c r="S527" t="s">
        <v>745</v>
      </c>
      <c r="T527" t="s">
        <v>746</v>
      </c>
      <c r="U527" t="s">
        <v>747</v>
      </c>
    </row>
    <row r="528" spans="1:21" hidden="1" x14ac:dyDescent="0.3">
      <c r="A528" s="1" t="s">
        <v>1778</v>
      </c>
      <c r="B528" t="s">
        <v>732</v>
      </c>
      <c r="C528" t="s">
        <v>711</v>
      </c>
      <c r="D528" t="s">
        <v>1212</v>
      </c>
      <c r="E528" t="s">
        <v>567</v>
      </c>
      <c r="F528" t="s">
        <v>1213</v>
      </c>
      <c r="G528" t="s">
        <v>753</v>
      </c>
      <c r="H528" t="s">
        <v>715</v>
      </c>
      <c r="I528" t="s">
        <v>2491</v>
      </c>
      <c r="J528" t="s">
        <v>2492</v>
      </c>
      <c r="K528" t="s">
        <v>2493</v>
      </c>
      <c r="L528" t="s">
        <v>765</v>
      </c>
      <c r="M528" t="s">
        <v>720</v>
      </c>
      <c r="N528" t="s">
        <v>721</v>
      </c>
      <c r="O528">
        <v>4</v>
      </c>
      <c r="P528">
        <v>15</v>
      </c>
      <c r="Q528">
        <v>93</v>
      </c>
      <c r="R528" t="s">
        <v>758</v>
      </c>
      <c r="S528" t="s">
        <v>745</v>
      </c>
      <c r="T528" t="s">
        <v>746</v>
      </c>
      <c r="U528" t="s">
        <v>759</v>
      </c>
    </row>
    <row r="529" spans="1:21" hidden="1" x14ac:dyDescent="0.3">
      <c r="A529" s="1" t="s">
        <v>1778</v>
      </c>
      <c r="B529" t="s">
        <v>732</v>
      </c>
      <c r="C529" t="s">
        <v>711</v>
      </c>
      <c r="D529" t="s">
        <v>1217</v>
      </c>
      <c r="E529" t="s">
        <v>567</v>
      </c>
      <c r="F529" t="s">
        <v>1218</v>
      </c>
      <c r="G529" t="s">
        <v>794</v>
      </c>
      <c r="H529" t="s">
        <v>715</v>
      </c>
      <c r="I529" t="s">
        <v>2285</v>
      </c>
      <c r="J529" t="s">
        <v>2286</v>
      </c>
      <c r="K529" t="s">
        <v>2287</v>
      </c>
      <c r="L529" t="s">
        <v>1082</v>
      </c>
      <c r="M529" t="s">
        <v>720</v>
      </c>
      <c r="N529" t="s">
        <v>721</v>
      </c>
      <c r="O529">
        <v>0</v>
      </c>
      <c r="P529">
        <v>0</v>
      </c>
      <c r="Q529">
        <v>86</v>
      </c>
      <c r="R529" t="s">
        <v>798</v>
      </c>
      <c r="S529" t="s">
        <v>723</v>
      </c>
      <c r="T529" t="s">
        <v>1083</v>
      </c>
      <c r="U529" t="s">
        <v>707</v>
      </c>
    </row>
    <row r="530" spans="1:21" hidden="1" x14ac:dyDescent="0.3">
      <c r="A530" s="1" t="s">
        <v>1778</v>
      </c>
      <c r="B530" t="s">
        <v>732</v>
      </c>
      <c r="C530" t="s">
        <v>711</v>
      </c>
      <c r="D530" t="s">
        <v>1222</v>
      </c>
      <c r="E530" t="s">
        <v>567</v>
      </c>
      <c r="F530" t="s">
        <v>1223</v>
      </c>
      <c r="G530" t="s">
        <v>753</v>
      </c>
      <c r="H530" t="s">
        <v>715</v>
      </c>
      <c r="I530" t="s">
        <v>2494</v>
      </c>
      <c r="J530" t="s">
        <v>2495</v>
      </c>
      <c r="K530" t="s">
        <v>2496</v>
      </c>
      <c r="L530" t="s">
        <v>765</v>
      </c>
      <c r="M530" t="s">
        <v>720</v>
      </c>
      <c r="N530" t="s">
        <v>721</v>
      </c>
      <c r="O530">
        <v>6</v>
      </c>
      <c r="P530">
        <v>15</v>
      </c>
      <c r="Q530">
        <v>32</v>
      </c>
      <c r="R530" t="s">
        <v>758</v>
      </c>
      <c r="S530" t="s">
        <v>745</v>
      </c>
      <c r="T530" t="s">
        <v>746</v>
      </c>
      <c r="U530" t="s">
        <v>759</v>
      </c>
    </row>
    <row r="531" spans="1:21" hidden="1" x14ac:dyDescent="0.3">
      <c r="A531" s="1" t="s">
        <v>1778</v>
      </c>
      <c r="B531" t="s">
        <v>732</v>
      </c>
      <c r="C531" t="s">
        <v>711</v>
      </c>
      <c r="D531" t="s">
        <v>1227</v>
      </c>
      <c r="E531" t="s">
        <v>567</v>
      </c>
      <c r="F531" t="s">
        <v>1228</v>
      </c>
      <c r="G531" t="s">
        <v>753</v>
      </c>
      <c r="H531" t="s">
        <v>715</v>
      </c>
      <c r="I531" t="s">
        <v>2497</v>
      </c>
      <c r="J531" t="s">
        <v>2498</v>
      </c>
      <c r="K531" t="s">
        <v>2499</v>
      </c>
      <c r="L531" t="s">
        <v>765</v>
      </c>
      <c r="M531" t="s">
        <v>720</v>
      </c>
      <c r="N531" t="s">
        <v>721</v>
      </c>
      <c r="O531">
        <v>1</v>
      </c>
      <c r="P531">
        <v>15</v>
      </c>
      <c r="Q531">
        <v>31</v>
      </c>
      <c r="R531" t="s">
        <v>758</v>
      </c>
      <c r="S531" t="s">
        <v>745</v>
      </c>
      <c r="T531" t="s">
        <v>746</v>
      </c>
      <c r="U531" t="s">
        <v>759</v>
      </c>
    </row>
    <row r="532" spans="1:21" hidden="1" x14ac:dyDescent="0.3">
      <c r="A532" s="1" t="s">
        <v>1778</v>
      </c>
      <c r="B532" t="s">
        <v>732</v>
      </c>
      <c r="C532" t="s">
        <v>711</v>
      </c>
      <c r="D532" t="s">
        <v>1232</v>
      </c>
      <c r="E532" t="s">
        <v>567</v>
      </c>
      <c r="F532" t="s">
        <v>1233</v>
      </c>
      <c r="G532" t="s">
        <v>753</v>
      </c>
      <c r="H532" t="s">
        <v>715</v>
      </c>
      <c r="I532" t="s">
        <v>2500</v>
      </c>
      <c r="J532" t="s">
        <v>2501</v>
      </c>
      <c r="K532" t="s">
        <v>2502</v>
      </c>
      <c r="L532" t="s">
        <v>765</v>
      </c>
      <c r="M532" t="s">
        <v>720</v>
      </c>
      <c r="N532" t="s">
        <v>721</v>
      </c>
      <c r="O532">
        <v>1</v>
      </c>
      <c r="P532">
        <v>15</v>
      </c>
      <c r="Q532">
        <v>10</v>
      </c>
      <c r="R532" t="s">
        <v>758</v>
      </c>
      <c r="S532" t="s">
        <v>745</v>
      </c>
      <c r="T532" t="s">
        <v>746</v>
      </c>
      <c r="U532" t="s">
        <v>1193</v>
      </c>
    </row>
    <row r="533" spans="1:21" hidden="1" x14ac:dyDescent="0.3">
      <c r="A533" s="1" t="s">
        <v>1778</v>
      </c>
      <c r="B533" t="s">
        <v>732</v>
      </c>
      <c r="C533" t="s">
        <v>711</v>
      </c>
      <c r="D533" t="s">
        <v>1237</v>
      </c>
      <c r="E533" t="s">
        <v>567</v>
      </c>
      <c r="F533" t="s">
        <v>1238</v>
      </c>
      <c r="G533" t="s">
        <v>794</v>
      </c>
      <c r="H533" t="s">
        <v>715</v>
      </c>
      <c r="I533" t="s">
        <v>2503</v>
      </c>
      <c r="J533" t="s">
        <v>2504</v>
      </c>
      <c r="K533" t="s">
        <v>2505</v>
      </c>
      <c r="L533" t="s">
        <v>826</v>
      </c>
      <c r="M533" t="s">
        <v>720</v>
      </c>
      <c r="N533" t="s">
        <v>721</v>
      </c>
      <c r="O533">
        <v>4</v>
      </c>
      <c r="P533">
        <v>2</v>
      </c>
      <c r="Q533">
        <v>20</v>
      </c>
      <c r="R533" t="s">
        <v>798</v>
      </c>
      <c r="S533" t="s">
        <v>745</v>
      </c>
      <c r="T533" t="s">
        <v>746</v>
      </c>
      <c r="U533" t="s">
        <v>759</v>
      </c>
    </row>
    <row r="534" spans="1:21" hidden="1" x14ac:dyDescent="0.3">
      <c r="A534" s="1" t="s">
        <v>1778</v>
      </c>
      <c r="B534" t="s">
        <v>732</v>
      </c>
      <c r="C534" t="s">
        <v>711</v>
      </c>
      <c r="D534" t="s">
        <v>1244</v>
      </c>
      <c r="E534" t="s">
        <v>567</v>
      </c>
      <c r="F534" t="s">
        <v>1245</v>
      </c>
      <c r="G534" t="s">
        <v>794</v>
      </c>
      <c r="H534" t="s">
        <v>715</v>
      </c>
      <c r="I534" t="s">
        <v>2506</v>
      </c>
      <c r="J534" t="s">
        <v>2507</v>
      </c>
      <c r="K534" t="s">
        <v>2508</v>
      </c>
      <c r="L534" t="s">
        <v>826</v>
      </c>
      <c r="M534" t="s">
        <v>720</v>
      </c>
      <c r="N534" t="s">
        <v>721</v>
      </c>
      <c r="O534">
        <v>0</v>
      </c>
      <c r="P534">
        <v>10</v>
      </c>
      <c r="Q534">
        <v>69</v>
      </c>
      <c r="R534" t="s">
        <v>722</v>
      </c>
      <c r="S534" t="s">
        <v>745</v>
      </c>
      <c r="T534" t="s">
        <v>746</v>
      </c>
      <c r="U534" t="s">
        <v>759</v>
      </c>
    </row>
    <row r="535" spans="1:21" hidden="1" x14ac:dyDescent="0.3">
      <c r="A535" s="1" t="s">
        <v>1778</v>
      </c>
      <c r="B535" t="s">
        <v>732</v>
      </c>
      <c r="C535" t="s">
        <v>711</v>
      </c>
      <c r="D535" t="s">
        <v>1249</v>
      </c>
      <c r="E535" t="s">
        <v>567</v>
      </c>
      <c r="F535" t="s">
        <v>1250</v>
      </c>
      <c r="G535" t="s">
        <v>753</v>
      </c>
      <c r="H535" t="s">
        <v>715</v>
      </c>
      <c r="I535" t="s">
        <v>2509</v>
      </c>
      <c r="J535" t="s">
        <v>1252</v>
      </c>
      <c r="K535" t="s">
        <v>2510</v>
      </c>
      <c r="L535" t="s">
        <v>765</v>
      </c>
      <c r="M535" t="s">
        <v>720</v>
      </c>
      <c r="N535" t="s">
        <v>721</v>
      </c>
      <c r="O535">
        <v>1</v>
      </c>
      <c r="P535">
        <v>15</v>
      </c>
      <c r="Q535">
        <v>91</v>
      </c>
      <c r="R535" t="s">
        <v>758</v>
      </c>
      <c r="S535" t="s">
        <v>745</v>
      </c>
      <c r="T535" t="s">
        <v>746</v>
      </c>
      <c r="U535" t="s">
        <v>1193</v>
      </c>
    </row>
    <row r="536" spans="1:21" hidden="1" x14ac:dyDescent="0.3">
      <c r="A536" s="1" t="s">
        <v>1778</v>
      </c>
      <c r="B536" t="s">
        <v>732</v>
      </c>
      <c r="C536" t="s">
        <v>711</v>
      </c>
      <c r="D536" t="s">
        <v>1254</v>
      </c>
      <c r="E536" t="s">
        <v>567</v>
      </c>
      <c r="F536" t="s">
        <v>1255</v>
      </c>
      <c r="G536" t="s">
        <v>806</v>
      </c>
      <c r="H536" t="s">
        <v>715</v>
      </c>
      <c r="I536" t="s">
        <v>2511</v>
      </c>
      <c r="J536" t="s">
        <v>2512</v>
      </c>
      <c r="K536" t="s">
        <v>2513</v>
      </c>
      <c r="L536" t="s">
        <v>810</v>
      </c>
      <c r="M536" t="s">
        <v>720</v>
      </c>
      <c r="N536" t="s">
        <v>721</v>
      </c>
      <c r="O536">
        <v>0</v>
      </c>
      <c r="P536">
        <v>3</v>
      </c>
      <c r="Q536">
        <v>27</v>
      </c>
      <c r="R536" t="s">
        <v>798</v>
      </c>
      <c r="S536" t="s">
        <v>745</v>
      </c>
      <c r="T536" t="s">
        <v>746</v>
      </c>
      <c r="U536" t="s">
        <v>759</v>
      </c>
    </row>
    <row r="537" spans="1:21" hidden="1" x14ac:dyDescent="0.3">
      <c r="A537" s="1" t="s">
        <v>1778</v>
      </c>
      <c r="B537" t="s">
        <v>732</v>
      </c>
      <c r="C537" t="s">
        <v>711</v>
      </c>
      <c r="D537" t="s">
        <v>1259</v>
      </c>
      <c r="E537" t="s">
        <v>567</v>
      </c>
      <c r="F537" t="s">
        <v>1260</v>
      </c>
      <c r="G537" t="s">
        <v>753</v>
      </c>
      <c r="H537" t="s">
        <v>715</v>
      </c>
      <c r="I537" t="s">
        <v>2514</v>
      </c>
      <c r="J537" t="s">
        <v>2515</v>
      </c>
      <c r="K537" t="s">
        <v>2516</v>
      </c>
      <c r="L537" t="s">
        <v>765</v>
      </c>
      <c r="M537" t="s">
        <v>720</v>
      </c>
      <c r="N537" t="s">
        <v>721</v>
      </c>
      <c r="O537">
        <v>2</v>
      </c>
      <c r="P537">
        <v>15</v>
      </c>
      <c r="Q537">
        <v>24</v>
      </c>
      <c r="R537" t="s">
        <v>758</v>
      </c>
      <c r="S537" t="s">
        <v>745</v>
      </c>
      <c r="T537" t="s">
        <v>746</v>
      </c>
      <c r="U537" t="s">
        <v>759</v>
      </c>
    </row>
    <row r="538" spans="1:21" hidden="1" x14ac:dyDescent="0.3">
      <c r="A538" s="1" t="s">
        <v>1778</v>
      </c>
      <c r="B538" t="s">
        <v>732</v>
      </c>
      <c r="C538" t="s">
        <v>711</v>
      </c>
      <c r="D538" t="s">
        <v>1264</v>
      </c>
      <c r="E538" t="s">
        <v>567</v>
      </c>
      <c r="F538" t="s">
        <v>1265</v>
      </c>
      <c r="G538" t="s">
        <v>794</v>
      </c>
      <c r="H538" t="s">
        <v>715</v>
      </c>
      <c r="I538" t="s">
        <v>2517</v>
      </c>
      <c r="J538" t="s">
        <v>2518</v>
      </c>
      <c r="K538" t="s">
        <v>2519</v>
      </c>
      <c r="L538" t="s">
        <v>826</v>
      </c>
      <c r="M538" t="s">
        <v>720</v>
      </c>
      <c r="N538" t="s">
        <v>721</v>
      </c>
      <c r="O538">
        <v>4</v>
      </c>
      <c r="P538">
        <v>10</v>
      </c>
      <c r="Q538">
        <v>27</v>
      </c>
      <c r="R538" t="s">
        <v>722</v>
      </c>
      <c r="S538" t="s">
        <v>745</v>
      </c>
      <c r="T538" t="s">
        <v>746</v>
      </c>
      <c r="U538" t="s">
        <v>759</v>
      </c>
    </row>
    <row r="539" spans="1:21" hidden="1" x14ac:dyDescent="0.3">
      <c r="A539" s="1" t="s">
        <v>1778</v>
      </c>
      <c r="B539" t="s">
        <v>732</v>
      </c>
      <c r="C539" t="s">
        <v>711</v>
      </c>
      <c r="D539" t="s">
        <v>1270</v>
      </c>
      <c r="E539" t="s">
        <v>567</v>
      </c>
      <c r="F539" t="s">
        <v>1271</v>
      </c>
      <c r="G539" t="s">
        <v>1239</v>
      </c>
      <c r="H539" t="s">
        <v>737</v>
      </c>
      <c r="I539" t="s">
        <v>2520</v>
      </c>
      <c r="J539" t="s">
        <v>2521</v>
      </c>
      <c r="K539" t="s">
        <v>2522</v>
      </c>
      <c r="L539" t="s">
        <v>1471</v>
      </c>
      <c r="M539" t="s">
        <v>1471</v>
      </c>
      <c r="N539" t="s">
        <v>721</v>
      </c>
      <c r="O539">
        <v>26</v>
      </c>
      <c r="P539">
        <v>0</v>
      </c>
      <c r="Q539">
        <v>228</v>
      </c>
      <c r="R539" t="s">
        <v>2523</v>
      </c>
      <c r="S539" t="s">
        <v>745</v>
      </c>
      <c r="T539" t="s">
        <v>746</v>
      </c>
      <c r="U539" t="s">
        <v>1269</v>
      </c>
    </row>
    <row r="540" spans="1:21" hidden="1" x14ac:dyDescent="0.3">
      <c r="A540" s="1" t="s">
        <v>1778</v>
      </c>
      <c r="B540" t="s">
        <v>732</v>
      </c>
      <c r="C540" t="s">
        <v>711</v>
      </c>
      <c r="D540" t="s">
        <v>1275</v>
      </c>
      <c r="E540" t="s">
        <v>567</v>
      </c>
      <c r="F540" t="s">
        <v>1276</v>
      </c>
      <c r="G540" t="s">
        <v>753</v>
      </c>
      <c r="H540" t="s">
        <v>715</v>
      </c>
      <c r="I540" t="s">
        <v>2288</v>
      </c>
      <c r="J540" t="s">
        <v>2289</v>
      </c>
      <c r="K540" t="s">
        <v>2290</v>
      </c>
      <c r="L540" t="s">
        <v>1082</v>
      </c>
      <c r="M540" t="s">
        <v>720</v>
      </c>
      <c r="N540" t="s">
        <v>721</v>
      </c>
      <c r="O540">
        <v>9</v>
      </c>
      <c r="P540">
        <v>0</v>
      </c>
      <c r="Q540">
        <v>109</v>
      </c>
      <c r="R540" t="s">
        <v>798</v>
      </c>
      <c r="S540" t="s">
        <v>723</v>
      </c>
      <c r="T540" t="s">
        <v>1083</v>
      </c>
      <c r="U540" t="s">
        <v>707</v>
      </c>
    </row>
    <row r="541" spans="1:21" hidden="1" x14ac:dyDescent="0.3">
      <c r="A541" s="1" t="s">
        <v>1778</v>
      </c>
      <c r="B541" t="s">
        <v>732</v>
      </c>
      <c r="C541" t="s">
        <v>711</v>
      </c>
      <c r="D541" t="s">
        <v>2089</v>
      </c>
      <c r="E541" t="s">
        <v>567</v>
      </c>
      <c r="F541" t="s">
        <v>2090</v>
      </c>
      <c r="G541" t="s">
        <v>794</v>
      </c>
      <c r="H541" t="s">
        <v>715</v>
      </c>
      <c r="I541" t="s">
        <v>2524</v>
      </c>
      <c r="J541" t="s">
        <v>2525</v>
      </c>
      <c r="K541" t="s">
        <v>2526</v>
      </c>
      <c r="L541" t="s">
        <v>826</v>
      </c>
      <c r="M541" t="s">
        <v>720</v>
      </c>
      <c r="N541" t="s">
        <v>721</v>
      </c>
      <c r="O541">
        <v>0</v>
      </c>
      <c r="P541">
        <v>8</v>
      </c>
      <c r="Q541">
        <v>103</v>
      </c>
      <c r="R541" t="s">
        <v>798</v>
      </c>
      <c r="S541" t="s">
        <v>745</v>
      </c>
      <c r="T541" t="s">
        <v>746</v>
      </c>
      <c r="U541" t="s">
        <v>759</v>
      </c>
    </row>
    <row r="542" spans="1:21" hidden="1" x14ac:dyDescent="0.3">
      <c r="A542" s="1" t="s">
        <v>1778</v>
      </c>
      <c r="B542" t="s">
        <v>732</v>
      </c>
      <c r="C542" t="s">
        <v>711</v>
      </c>
      <c r="D542" t="s">
        <v>1280</v>
      </c>
      <c r="E542" t="s">
        <v>567</v>
      </c>
      <c r="F542" t="s">
        <v>1281</v>
      </c>
      <c r="G542" t="s">
        <v>753</v>
      </c>
      <c r="H542" t="s">
        <v>715</v>
      </c>
      <c r="I542" t="s">
        <v>2527</v>
      </c>
      <c r="J542" t="s">
        <v>2528</v>
      </c>
      <c r="K542" t="s">
        <v>2529</v>
      </c>
      <c r="L542" t="s">
        <v>765</v>
      </c>
      <c r="M542" t="s">
        <v>720</v>
      </c>
      <c r="N542" t="s">
        <v>721</v>
      </c>
      <c r="O542">
        <v>0</v>
      </c>
      <c r="P542">
        <v>15</v>
      </c>
      <c r="Q542">
        <v>99</v>
      </c>
      <c r="R542" t="s">
        <v>758</v>
      </c>
      <c r="S542" t="s">
        <v>745</v>
      </c>
      <c r="T542" t="s">
        <v>746</v>
      </c>
      <c r="U542" t="s">
        <v>1269</v>
      </c>
    </row>
    <row r="543" spans="1:21" hidden="1" x14ac:dyDescent="0.3">
      <c r="A543" s="1" t="s">
        <v>1778</v>
      </c>
      <c r="B543" t="s">
        <v>732</v>
      </c>
      <c r="C543" t="s">
        <v>711</v>
      </c>
      <c r="D543" t="s">
        <v>2098</v>
      </c>
      <c r="E543" t="s">
        <v>567</v>
      </c>
      <c r="F543" t="s">
        <v>2099</v>
      </c>
      <c r="G543" t="s">
        <v>753</v>
      </c>
      <c r="H543" t="s">
        <v>715</v>
      </c>
      <c r="I543" t="s">
        <v>2291</v>
      </c>
      <c r="J543" t="s">
        <v>2292</v>
      </c>
      <c r="K543" t="s">
        <v>2293</v>
      </c>
      <c r="L543" t="s">
        <v>1082</v>
      </c>
      <c r="M543" t="s">
        <v>720</v>
      </c>
      <c r="N543" t="s">
        <v>721</v>
      </c>
      <c r="O543">
        <v>16</v>
      </c>
      <c r="P543">
        <v>0</v>
      </c>
      <c r="Q543">
        <v>100</v>
      </c>
      <c r="R543" t="s">
        <v>798</v>
      </c>
      <c r="S543" t="s">
        <v>723</v>
      </c>
      <c r="T543" t="s">
        <v>1083</v>
      </c>
      <c r="U543" t="s">
        <v>707</v>
      </c>
    </row>
    <row r="544" spans="1:21" hidden="1" x14ac:dyDescent="0.3">
      <c r="A544" s="1" t="s">
        <v>1778</v>
      </c>
      <c r="B544" t="s">
        <v>732</v>
      </c>
      <c r="C544" t="s">
        <v>711</v>
      </c>
      <c r="D544" t="s">
        <v>2103</v>
      </c>
      <c r="E544" t="s">
        <v>567</v>
      </c>
      <c r="F544" t="s">
        <v>1445</v>
      </c>
      <c r="G544" t="s">
        <v>794</v>
      </c>
      <c r="H544" t="s">
        <v>715</v>
      </c>
      <c r="I544" t="s">
        <v>2530</v>
      </c>
      <c r="J544" t="s">
        <v>2531</v>
      </c>
      <c r="K544" t="s">
        <v>2532</v>
      </c>
      <c r="L544" t="s">
        <v>826</v>
      </c>
      <c r="M544" t="s">
        <v>720</v>
      </c>
      <c r="N544" t="s">
        <v>721</v>
      </c>
      <c r="O544">
        <v>3</v>
      </c>
      <c r="P544">
        <v>8</v>
      </c>
      <c r="Q544">
        <v>40</v>
      </c>
      <c r="R544" t="s">
        <v>798</v>
      </c>
      <c r="S544" t="s">
        <v>745</v>
      </c>
      <c r="T544" t="s">
        <v>746</v>
      </c>
      <c r="U544" t="s">
        <v>759</v>
      </c>
    </row>
    <row r="545" spans="1:21" hidden="1" x14ac:dyDescent="0.3">
      <c r="A545" s="1" t="s">
        <v>1778</v>
      </c>
      <c r="B545" t="s">
        <v>732</v>
      </c>
      <c r="C545" t="s">
        <v>711</v>
      </c>
      <c r="D545" t="s">
        <v>2107</v>
      </c>
      <c r="E545" t="s">
        <v>567</v>
      </c>
      <c r="F545" t="s">
        <v>1450</v>
      </c>
      <c r="G545" t="s">
        <v>794</v>
      </c>
      <c r="H545" t="s">
        <v>715</v>
      </c>
      <c r="I545" t="s">
        <v>2294</v>
      </c>
      <c r="J545" t="s">
        <v>2295</v>
      </c>
      <c r="K545" t="s">
        <v>2296</v>
      </c>
      <c r="L545" t="s">
        <v>1082</v>
      </c>
      <c r="M545" t="s">
        <v>720</v>
      </c>
      <c r="N545" t="s">
        <v>721</v>
      </c>
      <c r="O545">
        <v>4</v>
      </c>
      <c r="P545">
        <v>0</v>
      </c>
      <c r="Q545">
        <v>113</v>
      </c>
      <c r="R545" t="s">
        <v>798</v>
      </c>
      <c r="S545" t="s">
        <v>723</v>
      </c>
      <c r="T545" t="s">
        <v>1083</v>
      </c>
      <c r="U545" t="s">
        <v>707</v>
      </c>
    </row>
    <row r="546" spans="1:21" hidden="1" x14ac:dyDescent="0.3">
      <c r="A546" s="1" t="s">
        <v>1778</v>
      </c>
      <c r="B546" t="s">
        <v>732</v>
      </c>
      <c r="C546" t="s">
        <v>711</v>
      </c>
      <c r="D546" t="s">
        <v>1290</v>
      </c>
      <c r="E546" t="s">
        <v>567</v>
      </c>
      <c r="F546" t="s">
        <v>1291</v>
      </c>
      <c r="G546" t="s">
        <v>794</v>
      </c>
      <c r="H546" t="s">
        <v>715</v>
      </c>
      <c r="I546" t="s">
        <v>2297</v>
      </c>
      <c r="J546" t="s">
        <v>2298</v>
      </c>
      <c r="K546" t="s">
        <v>2299</v>
      </c>
      <c r="L546" t="s">
        <v>1082</v>
      </c>
      <c r="M546" t="s">
        <v>720</v>
      </c>
      <c r="N546" t="s">
        <v>721</v>
      </c>
      <c r="O546">
        <v>30</v>
      </c>
      <c r="P546">
        <v>0</v>
      </c>
      <c r="Q546">
        <v>117</v>
      </c>
      <c r="R546" t="s">
        <v>798</v>
      </c>
      <c r="S546" t="s">
        <v>723</v>
      </c>
      <c r="T546" t="s">
        <v>1083</v>
      </c>
      <c r="U546" t="s">
        <v>707</v>
      </c>
    </row>
    <row r="547" spans="1:21" hidden="1" x14ac:dyDescent="0.3">
      <c r="A547" s="1" t="s">
        <v>1778</v>
      </c>
      <c r="B547" t="s">
        <v>732</v>
      </c>
      <c r="C547" t="s">
        <v>711</v>
      </c>
      <c r="D547" t="s">
        <v>1305</v>
      </c>
      <c r="E547" t="s">
        <v>567</v>
      </c>
      <c r="F547" t="s">
        <v>1306</v>
      </c>
      <c r="G547" t="s">
        <v>794</v>
      </c>
      <c r="H547" t="s">
        <v>715</v>
      </c>
      <c r="I547" t="s">
        <v>2300</v>
      </c>
      <c r="J547" t="s">
        <v>2301</v>
      </c>
      <c r="K547" t="s">
        <v>2302</v>
      </c>
      <c r="L547" t="s">
        <v>1082</v>
      </c>
      <c r="M547" t="s">
        <v>720</v>
      </c>
      <c r="N547" t="s">
        <v>721</v>
      </c>
      <c r="O547">
        <v>11</v>
      </c>
      <c r="P547">
        <v>0</v>
      </c>
      <c r="Q547">
        <v>111</v>
      </c>
      <c r="R547" t="s">
        <v>798</v>
      </c>
      <c r="S547" t="s">
        <v>723</v>
      </c>
      <c r="T547" t="s">
        <v>1083</v>
      </c>
      <c r="U547" t="s">
        <v>707</v>
      </c>
    </row>
    <row r="548" spans="1:21" hidden="1" x14ac:dyDescent="0.3">
      <c r="A548" s="1" t="s">
        <v>1778</v>
      </c>
      <c r="B548" t="s">
        <v>732</v>
      </c>
      <c r="C548" t="s">
        <v>711</v>
      </c>
      <c r="D548" t="s">
        <v>1310</v>
      </c>
      <c r="E548" t="s">
        <v>567</v>
      </c>
      <c r="F548" t="s">
        <v>1311</v>
      </c>
      <c r="G548" t="s">
        <v>753</v>
      </c>
      <c r="H548" t="s">
        <v>715</v>
      </c>
      <c r="I548" t="s">
        <v>2533</v>
      </c>
      <c r="J548" t="s">
        <v>2534</v>
      </c>
      <c r="K548" t="s">
        <v>2535</v>
      </c>
      <c r="L548" t="s">
        <v>765</v>
      </c>
      <c r="M548" t="s">
        <v>720</v>
      </c>
      <c r="N548" t="s">
        <v>721</v>
      </c>
      <c r="O548">
        <v>2</v>
      </c>
      <c r="P548">
        <v>15</v>
      </c>
      <c r="Q548">
        <v>24</v>
      </c>
      <c r="R548" t="s">
        <v>758</v>
      </c>
      <c r="S548" t="s">
        <v>745</v>
      </c>
      <c r="T548" t="s">
        <v>746</v>
      </c>
      <c r="U548" t="s">
        <v>759</v>
      </c>
    </row>
    <row r="549" spans="1:21" hidden="1" x14ac:dyDescent="0.3">
      <c r="A549" s="1" t="s">
        <v>1778</v>
      </c>
      <c r="B549" t="s">
        <v>732</v>
      </c>
      <c r="C549" t="s">
        <v>711</v>
      </c>
      <c r="D549" t="s">
        <v>1315</v>
      </c>
      <c r="E549" t="s">
        <v>567</v>
      </c>
      <c r="F549" t="s">
        <v>1316</v>
      </c>
      <c r="G549" t="s">
        <v>794</v>
      </c>
      <c r="H549" t="s">
        <v>715</v>
      </c>
      <c r="I549" t="s">
        <v>2536</v>
      </c>
      <c r="J549" t="s">
        <v>2537</v>
      </c>
      <c r="K549" t="s">
        <v>2326</v>
      </c>
      <c r="L549" t="s">
        <v>826</v>
      </c>
      <c r="M549" t="s">
        <v>720</v>
      </c>
      <c r="N549" t="s">
        <v>721</v>
      </c>
      <c r="O549">
        <v>1</v>
      </c>
      <c r="P549">
        <v>10</v>
      </c>
      <c r="Q549">
        <v>100</v>
      </c>
      <c r="R549" t="s">
        <v>722</v>
      </c>
      <c r="S549" t="s">
        <v>745</v>
      </c>
      <c r="T549" t="s">
        <v>746</v>
      </c>
      <c r="U549" t="s">
        <v>759</v>
      </c>
    </row>
    <row r="550" spans="1:21" hidden="1" x14ac:dyDescent="0.3">
      <c r="A550" s="1" t="s">
        <v>1778</v>
      </c>
      <c r="B550" t="s">
        <v>732</v>
      </c>
      <c r="C550" t="s">
        <v>711</v>
      </c>
      <c r="D550" t="s">
        <v>1320</v>
      </c>
      <c r="E550" t="s">
        <v>567</v>
      </c>
      <c r="F550" t="s">
        <v>1321</v>
      </c>
      <c r="G550" t="s">
        <v>794</v>
      </c>
      <c r="H550" t="s">
        <v>715</v>
      </c>
      <c r="I550" t="s">
        <v>2538</v>
      </c>
      <c r="J550" t="s">
        <v>2539</v>
      </c>
      <c r="K550" t="s">
        <v>2540</v>
      </c>
      <c r="L550" t="s">
        <v>826</v>
      </c>
      <c r="M550" t="s">
        <v>720</v>
      </c>
      <c r="N550" t="s">
        <v>721</v>
      </c>
      <c r="O550">
        <v>0</v>
      </c>
      <c r="P550">
        <v>2</v>
      </c>
      <c r="Q550">
        <v>109</v>
      </c>
      <c r="R550" t="s">
        <v>798</v>
      </c>
      <c r="S550" t="s">
        <v>745</v>
      </c>
      <c r="T550" t="s">
        <v>746</v>
      </c>
      <c r="U550" t="s">
        <v>759</v>
      </c>
    </row>
    <row r="551" spans="1:21" hidden="1" x14ac:dyDescent="0.3">
      <c r="A551" s="1" t="s">
        <v>1778</v>
      </c>
      <c r="B551" t="s">
        <v>732</v>
      </c>
      <c r="C551" t="s">
        <v>711</v>
      </c>
      <c r="D551" t="s">
        <v>1325</v>
      </c>
      <c r="E551" t="s">
        <v>567</v>
      </c>
      <c r="F551" t="s">
        <v>1326</v>
      </c>
      <c r="G551" t="s">
        <v>753</v>
      </c>
      <c r="H551" t="s">
        <v>715</v>
      </c>
      <c r="I551" t="s">
        <v>2541</v>
      </c>
      <c r="J551" t="s">
        <v>2542</v>
      </c>
      <c r="K551" t="s">
        <v>2543</v>
      </c>
      <c r="L551" t="s">
        <v>765</v>
      </c>
      <c r="M551" t="s">
        <v>720</v>
      </c>
      <c r="N551" t="s">
        <v>721</v>
      </c>
      <c r="O551">
        <v>13</v>
      </c>
      <c r="P551">
        <v>15</v>
      </c>
      <c r="Q551">
        <v>93</v>
      </c>
      <c r="R551" t="s">
        <v>758</v>
      </c>
      <c r="S551" t="s">
        <v>745</v>
      </c>
      <c r="T551" t="s">
        <v>746</v>
      </c>
      <c r="U551" t="s">
        <v>759</v>
      </c>
    </row>
    <row r="552" spans="1:21" hidden="1" x14ac:dyDescent="0.3">
      <c r="A552" s="1" t="s">
        <v>1778</v>
      </c>
      <c r="B552" t="s">
        <v>732</v>
      </c>
      <c r="C552" t="s">
        <v>711</v>
      </c>
      <c r="D552" t="s">
        <v>1330</v>
      </c>
      <c r="E552" t="s">
        <v>567</v>
      </c>
      <c r="F552" t="s">
        <v>1331</v>
      </c>
      <c r="G552" t="s">
        <v>794</v>
      </c>
      <c r="H552" t="s">
        <v>715</v>
      </c>
      <c r="I552" t="s">
        <v>2544</v>
      </c>
      <c r="J552" t="s">
        <v>2545</v>
      </c>
      <c r="K552" t="s">
        <v>2546</v>
      </c>
      <c r="L552" t="s">
        <v>826</v>
      </c>
      <c r="M552" t="s">
        <v>720</v>
      </c>
      <c r="N552" t="s">
        <v>721</v>
      </c>
      <c r="O552">
        <v>0</v>
      </c>
      <c r="P552">
        <v>2</v>
      </c>
      <c r="Q552">
        <v>109</v>
      </c>
      <c r="R552" t="s">
        <v>798</v>
      </c>
      <c r="S552" t="s">
        <v>745</v>
      </c>
      <c r="T552" t="s">
        <v>746</v>
      </c>
      <c r="U552" t="s">
        <v>759</v>
      </c>
    </row>
    <row r="553" spans="1:21" hidden="1" x14ac:dyDescent="0.3">
      <c r="A553" s="1" t="s">
        <v>1778</v>
      </c>
      <c r="B553" t="s">
        <v>732</v>
      </c>
      <c r="C553" t="s">
        <v>711</v>
      </c>
      <c r="D553" t="s">
        <v>1335</v>
      </c>
      <c r="E553" t="s">
        <v>567</v>
      </c>
      <c r="F553" t="s">
        <v>1336</v>
      </c>
      <c r="G553" t="s">
        <v>753</v>
      </c>
      <c r="H553" t="s">
        <v>715</v>
      </c>
      <c r="I553" t="s">
        <v>2547</v>
      </c>
      <c r="J553" t="s">
        <v>2548</v>
      </c>
      <c r="K553" t="s">
        <v>2549</v>
      </c>
      <c r="L553" t="s">
        <v>765</v>
      </c>
      <c r="M553" t="s">
        <v>720</v>
      </c>
      <c r="N553" t="s">
        <v>721</v>
      </c>
      <c r="O553">
        <v>4</v>
      </c>
      <c r="P553">
        <v>15</v>
      </c>
      <c r="Q553">
        <v>103</v>
      </c>
      <c r="R553" t="s">
        <v>758</v>
      </c>
      <c r="S553" t="s">
        <v>745</v>
      </c>
      <c r="T553" t="s">
        <v>746</v>
      </c>
      <c r="U553" t="s">
        <v>759</v>
      </c>
    </row>
    <row r="554" spans="1:21" hidden="1" x14ac:dyDescent="0.3">
      <c r="A554" s="1" t="s">
        <v>1778</v>
      </c>
      <c r="B554" t="s">
        <v>732</v>
      </c>
      <c r="C554" t="s">
        <v>711</v>
      </c>
      <c r="D554" t="s">
        <v>1340</v>
      </c>
      <c r="E554" t="s">
        <v>567</v>
      </c>
      <c r="F554" t="s">
        <v>1341</v>
      </c>
      <c r="G554" t="s">
        <v>753</v>
      </c>
      <c r="H554" t="s">
        <v>715</v>
      </c>
      <c r="I554" t="s">
        <v>2550</v>
      </c>
      <c r="J554" t="s">
        <v>2551</v>
      </c>
      <c r="K554" t="s">
        <v>2552</v>
      </c>
      <c r="L554" t="s">
        <v>765</v>
      </c>
      <c r="M554" t="s">
        <v>720</v>
      </c>
      <c r="N554" t="s">
        <v>721</v>
      </c>
      <c r="O554">
        <v>0</v>
      </c>
      <c r="P554">
        <v>15</v>
      </c>
      <c r="Q554">
        <v>31</v>
      </c>
      <c r="R554" t="s">
        <v>758</v>
      </c>
      <c r="S554" t="s">
        <v>745</v>
      </c>
      <c r="T554" t="s">
        <v>746</v>
      </c>
      <c r="U554" t="s">
        <v>759</v>
      </c>
    </row>
    <row r="555" spans="1:21" hidden="1" x14ac:dyDescent="0.3">
      <c r="A555" s="1" t="s">
        <v>1778</v>
      </c>
      <c r="B555" t="s">
        <v>732</v>
      </c>
      <c r="C555" t="s">
        <v>711</v>
      </c>
      <c r="D555" t="s">
        <v>1345</v>
      </c>
      <c r="E555" t="s">
        <v>567</v>
      </c>
      <c r="F555" t="s">
        <v>1346</v>
      </c>
      <c r="G555" t="s">
        <v>753</v>
      </c>
      <c r="H555" t="s">
        <v>715</v>
      </c>
      <c r="I555" t="s">
        <v>2553</v>
      </c>
      <c r="J555" t="s">
        <v>2554</v>
      </c>
      <c r="K555" t="s">
        <v>2555</v>
      </c>
      <c r="L555" t="s">
        <v>757</v>
      </c>
      <c r="M555" t="s">
        <v>720</v>
      </c>
      <c r="N555" t="s">
        <v>721</v>
      </c>
      <c r="O555">
        <v>3</v>
      </c>
      <c r="P555">
        <v>7</v>
      </c>
      <c r="Q555">
        <v>72</v>
      </c>
      <c r="R555" t="s">
        <v>758</v>
      </c>
      <c r="S555" t="s">
        <v>745</v>
      </c>
      <c r="T555" t="s">
        <v>746</v>
      </c>
      <c r="U555" t="s">
        <v>759</v>
      </c>
    </row>
    <row r="556" spans="1:21" hidden="1" x14ac:dyDescent="0.3">
      <c r="A556" s="1" t="s">
        <v>1778</v>
      </c>
      <c r="B556" t="s">
        <v>732</v>
      </c>
      <c r="C556" t="s">
        <v>711</v>
      </c>
      <c r="D556" t="s">
        <v>1350</v>
      </c>
      <c r="E556" t="s">
        <v>567</v>
      </c>
      <c r="F556" t="s">
        <v>1351</v>
      </c>
      <c r="G556" t="s">
        <v>794</v>
      </c>
      <c r="H556" t="s">
        <v>715</v>
      </c>
      <c r="I556" t="s">
        <v>2556</v>
      </c>
      <c r="J556" t="s">
        <v>2557</v>
      </c>
      <c r="K556" t="s">
        <v>2558</v>
      </c>
      <c r="L556" t="s">
        <v>826</v>
      </c>
      <c r="M556" t="s">
        <v>720</v>
      </c>
      <c r="N556" t="s">
        <v>721</v>
      </c>
      <c r="O556">
        <v>10</v>
      </c>
      <c r="P556">
        <v>2</v>
      </c>
      <c r="Q556">
        <v>24</v>
      </c>
      <c r="R556" t="s">
        <v>798</v>
      </c>
      <c r="S556" t="s">
        <v>745</v>
      </c>
      <c r="T556" t="s">
        <v>746</v>
      </c>
      <c r="U556" t="s">
        <v>759</v>
      </c>
    </row>
    <row r="557" spans="1:21" hidden="1" x14ac:dyDescent="0.3">
      <c r="A557" s="1" t="s">
        <v>1778</v>
      </c>
      <c r="B557" t="s">
        <v>732</v>
      </c>
      <c r="C557" t="s">
        <v>711</v>
      </c>
      <c r="D557" t="s">
        <v>1355</v>
      </c>
      <c r="E557" t="s">
        <v>569</v>
      </c>
      <c r="F557" t="s">
        <v>752</v>
      </c>
      <c r="G557" t="s">
        <v>753</v>
      </c>
      <c r="H557" t="s">
        <v>715</v>
      </c>
      <c r="I557" t="s">
        <v>2199</v>
      </c>
      <c r="J557" t="s">
        <v>2200</v>
      </c>
      <c r="K557" t="s">
        <v>2201</v>
      </c>
      <c r="L557" t="s">
        <v>1082</v>
      </c>
      <c r="M557" t="s">
        <v>720</v>
      </c>
      <c r="N557" t="s">
        <v>721</v>
      </c>
      <c r="O557">
        <v>30</v>
      </c>
      <c r="P557">
        <v>0</v>
      </c>
      <c r="Q557">
        <v>0</v>
      </c>
      <c r="R557" t="s">
        <v>798</v>
      </c>
      <c r="S557" t="s">
        <v>723</v>
      </c>
      <c r="T557" t="s">
        <v>1083</v>
      </c>
      <c r="U557" t="s">
        <v>707</v>
      </c>
    </row>
    <row r="558" spans="1:21" hidden="1" x14ac:dyDescent="0.3">
      <c r="A558" s="1" t="s">
        <v>1778</v>
      </c>
      <c r="B558" t="s">
        <v>732</v>
      </c>
      <c r="C558" t="s">
        <v>711</v>
      </c>
      <c r="D558" t="s">
        <v>1356</v>
      </c>
      <c r="E558" t="s">
        <v>569</v>
      </c>
      <c r="F558" t="s">
        <v>1357</v>
      </c>
      <c r="G558" t="s">
        <v>794</v>
      </c>
      <c r="H558" t="s">
        <v>715</v>
      </c>
      <c r="I558" t="s">
        <v>2303</v>
      </c>
      <c r="J558" t="s">
        <v>2304</v>
      </c>
      <c r="K558" t="s">
        <v>2305</v>
      </c>
      <c r="L558" t="s">
        <v>826</v>
      </c>
      <c r="M558" t="s">
        <v>720</v>
      </c>
      <c r="N558" t="s">
        <v>721</v>
      </c>
      <c r="O558">
        <v>0</v>
      </c>
      <c r="P558">
        <v>8</v>
      </c>
      <c r="Q558">
        <v>40</v>
      </c>
      <c r="R558" t="s">
        <v>798</v>
      </c>
      <c r="S558" t="s">
        <v>745</v>
      </c>
      <c r="T558" t="s">
        <v>746</v>
      </c>
      <c r="U558" t="s">
        <v>759</v>
      </c>
    </row>
    <row r="559" spans="1:21" hidden="1" x14ac:dyDescent="0.3">
      <c r="A559" s="1" t="s">
        <v>1778</v>
      </c>
      <c r="B559" t="s">
        <v>732</v>
      </c>
      <c r="C559" t="s">
        <v>711</v>
      </c>
      <c r="D559" t="s">
        <v>1361</v>
      </c>
      <c r="E559" t="s">
        <v>569</v>
      </c>
      <c r="F559" t="s">
        <v>761</v>
      </c>
      <c r="G559" t="s">
        <v>794</v>
      </c>
      <c r="H559" t="s">
        <v>715</v>
      </c>
      <c r="I559" t="s">
        <v>2216</v>
      </c>
      <c r="J559" t="s">
        <v>2217</v>
      </c>
      <c r="K559" t="s">
        <v>2218</v>
      </c>
      <c r="L559" t="s">
        <v>1082</v>
      </c>
      <c r="M559" t="s">
        <v>720</v>
      </c>
      <c r="N559" t="s">
        <v>721</v>
      </c>
      <c r="O559">
        <v>30</v>
      </c>
      <c r="P559">
        <v>0</v>
      </c>
      <c r="Q559">
        <v>11</v>
      </c>
      <c r="R559" t="s">
        <v>798</v>
      </c>
      <c r="S559" t="s">
        <v>723</v>
      </c>
      <c r="T559" t="s">
        <v>1083</v>
      </c>
      <c r="U559" t="s">
        <v>707</v>
      </c>
    </row>
    <row r="560" spans="1:21" hidden="1" x14ac:dyDescent="0.3">
      <c r="A560" s="1" t="s">
        <v>1778</v>
      </c>
      <c r="B560" t="s">
        <v>732</v>
      </c>
      <c r="C560" t="s">
        <v>711</v>
      </c>
      <c r="D560" t="s">
        <v>1362</v>
      </c>
      <c r="E560" t="s">
        <v>569</v>
      </c>
      <c r="F560" t="s">
        <v>767</v>
      </c>
      <c r="G560" t="s">
        <v>794</v>
      </c>
      <c r="H560" t="s">
        <v>715</v>
      </c>
      <c r="I560" t="s">
        <v>2306</v>
      </c>
      <c r="J560" t="s">
        <v>2307</v>
      </c>
      <c r="K560" t="s">
        <v>2308</v>
      </c>
      <c r="L560" t="s">
        <v>765</v>
      </c>
      <c r="M560" t="s">
        <v>720</v>
      </c>
      <c r="N560" t="s">
        <v>721</v>
      </c>
      <c r="O560">
        <v>5</v>
      </c>
      <c r="P560">
        <v>15</v>
      </c>
      <c r="Q560">
        <v>82</v>
      </c>
      <c r="R560" t="s">
        <v>758</v>
      </c>
      <c r="S560" t="s">
        <v>745</v>
      </c>
      <c r="T560" t="s">
        <v>746</v>
      </c>
      <c r="U560" t="s">
        <v>832</v>
      </c>
    </row>
    <row r="561" spans="1:21" hidden="1" x14ac:dyDescent="0.3">
      <c r="A561" s="1" t="s">
        <v>1778</v>
      </c>
      <c r="B561" t="s">
        <v>732</v>
      </c>
      <c r="C561" t="s">
        <v>711</v>
      </c>
      <c r="D561" t="s">
        <v>1782</v>
      </c>
      <c r="E561" t="s">
        <v>569</v>
      </c>
      <c r="F561" t="s">
        <v>773</v>
      </c>
      <c r="G561" t="s">
        <v>794</v>
      </c>
      <c r="H561" t="s">
        <v>715</v>
      </c>
      <c r="I561" t="s">
        <v>2309</v>
      </c>
      <c r="J561" t="s">
        <v>2310</v>
      </c>
      <c r="K561" t="s">
        <v>2311</v>
      </c>
      <c r="L561" t="s">
        <v>765</v>
      </c>
      <c r="M561" t="s">
        <v>720</v>
      </c>
      <c r="N561" t="s">
        <v>721</v>
      </c>
      <c r="O561">
        <v>2</v>
      </c>
      <c r="P561">
        <v>15</v>
      </c>
      <c r="Q561">
        <v>104</v>
      </c>
      <c r="R561" t="s">
        <v>758</v>
      </c>
      <c r="S561" t="s">
        <v>745</v>
      </c>
      <c r="T561" t="s">
        <v>746</v>
      </c>
      <c r="U561" t="s">
        <v>759</v>
      </c>
    </row>
    <row r="562" spans="1:21" hidden="1" x14ac:dyDescent="0.3">
      <c r="A562" s="1" t="s">
        <v>1778</v>
      </c>
      <c r="B562" t="s">
        <v>732</v>
      </c>
      <c r="C562" t="s">
        <v>711</v>
      </c>
      <c r="D562" t="s">
        <v>2559</v>
      </c>
      <c r="E562" t="s">
        <v>569</v>
      </c>
      <c r="F562" t="s">
        <v>778</v>
      </c>
      <c r="G562" t="s">
        <v>753</v>
      </c>
      <c r="H562" t="s">
        <v>715</v>
      </c>
      <c r="I562" t="s">
        <v>2312</v>
      </c>
      <c r="J562" t="s">
        <v>2313</v>
      </c>
      <c r="K562" t="s">
        <v>2314</v>
      </c>
      <c r="L562" t="s">
        <v>765</v>
      </c>
      <c r="M562" t="s">
        <v>720</v>
      </c>
      <c r="N562" t="s">
        <v>721</v>
      </c>
      <c r="O562">
        <v>0</v>
      </c>
      <c r="P562">
        <v>15</v>
      </c>
      <c r="Q562">
        <v>27</v>
      </c>
      <c r="R562" t="s">
        <v>758</v>
      </c>
      <c r="S562" t="s">
        <v>745</v>
      </c>
      <c r="T562" t="s">
        <v>746</v>
      </c>
      <c r="U562" t="s">
        <v>759</v>
      </c>
    </row>
    <row r="563" spans="1:21" hidden="1" x14ac:dyDescent="0.3">
      <c r="A563" s="1" t="s">
        <v>1778</v>
      </c>
      <c r="B563" t="s">
        <v>732</v>
      </c>
      <c r="C563" t="s">
        <v>711</v>
      </c>
      <c r="D563" t="s">
        <v>1363</v>
      </c>
      <c r="E563" t="s">
        <v>569</v>
      </c>
      <c r="F563" t="s">
        <v>783</v>
      </c>
      <c r="G563" t="s">
        <v>794</v>
      </c>
      <c r="H563" t="s">
        <v>715</v>
      </c>
      <c r="I563" t="s">
        <v>2315</v>
      </c>
      <c r="J563" t="s">
        <v>2316</v>
      </c>
      <c r="K563" t="s">
        <v>2317</v>
      </c>
      <c r="L563" t="s">
        <v>1471</v>
      </c>
      <c r="M563" t="s">
        <v>1471</v>
      </c>
      <c r="N563" t="s">
        <v>721</v>
      </c>
      <c r="O563">
        <v>27</v>
      </c>
      <c r="P563">
        <v>0</v>
      </c>
      <c r="Q563">
        <v>228</v>
      </c>
      <c r="R563" t="s">
        <v>758</v>
      </c>
      <c r="S563" t="s">
        <v>745</v>
      </c>
      <c r="T563" t="s">
        <v>746</v>
      </c>
      <c r="U563" t="s">
        <v>771</v>
      </c>
    </row>
    <row r="564" spans="1:21" hidden="1" x14ac:dyDescent="0.3">
      <c r="A564" s="1" t="s">
        <v>1778</v>
      </c>
      <c r="B564" t="s">
        <v>732</v>
      </c>
      <c r="C564" t="s">
        <v>711</v>
      </c>
      <c r="D564" t="s">
        <v>1364</v>
      </c>
      <c r="E564" t="s">
        <v>569</v>
      </c>
      <c r="F564" t="s">
        <v>788</v>
      </c>
      <c r="G564" t="s">
        <v>794</v>
      </c>
      <c r="H564" t="s">
        <v>715</v>
      </c>
      <c r="I564" t="s">
        <v>2219</v>
      </c>
      <c r="J564" t="s">
        <v>2220</v>
      </c>
      <c r="K564" t="s">
        <v>2221</v>
      </c>
      <c r="L564" t="s">
        <v>1082</v>
      </c>
      <c r="M564" t="s">
        <v>720</v>
      </c>
      <c r="N564" t="s">
        <v>721</v>
      </c>
      <c r="O564">
        <v>12</v>
      </c>
      <c r="P564">
        <v>0</v>
      </c>
      <c r="Q564">
        <v>5</v>
      </c>
      <c r="R564" t="s">
        <v>798</v>
      </c>
      <c r="S564" t="s">
        <v>723</v>
      </c>
      <c r="T564" t="s">
        <v>1083</v>
      </c>
      <c r="U564" t="s">
        <v>707</v>
      </c>
    </row>
    <row r="565" spans="1:21" hidden="1" x14ac:dyDescent="0.3">
      <c r="A565" s="1" t="s">
        <v>1778</v>
      </c>
      <c r="B565" t="s">
        <v>732</v>
      </c>
      <c r="C565" t="s">
        <v>711</v>
      </c>
      <c r="D565" t="s">
        <v>2560</v>
      </c>
      <c r="E565" t="s">
        <v>569</v>
      </c>
      <c r="F565" t="s">
        <v>800</v>
      </c>
      <c r="G565" t="s">
        <v>794</v>
      </c>
      <c r="H565" t="s">
        <v>715</v>
      </c>
      <c r="I565" t="s">
        <v>2321</v>
      </c>
      <c r="J565" t="s">
        <v>2322</v>
      </c>
      <c r="K565" t="s">
        <v>2323</v>
      </c>
      <c r="L565" t="s">
        <v>826</v>
      </c>
      <c r="M565" t="s">
        <v>720</v>
      </c>
      <c r="N565" t="s">
        <v>721</v>
      </c>
      <c r="O565">
        <v>0</v>
      </c>
      <c r="P565">
        <v>2</v>
      </c>
      <c r="Q565">
        <v>55</v>
      </c>
      <c r="R565" t="s">
        <v>798</v>
      </c>
      <c r="S565" t="s">
        <v>745</v>
      </c>
      <c r="T565" t="s">
        <v>746</v>
      </c>
      <c r="U565" t="s">
        <v>759</v>
      </c>
    </row>
    <row r="566" spans="1:21" hidden="1" x14ac:dyDescent="0.3">
      <c r="A566" s="1" t="s">
        <v>1778</v>
      </c>
      <c r="B566" t="s">
        <v>732</v>
      </c>
      <c r="C566" t="s">
        <v>711</v>
      </c>
      <c r="D566" t="s">
        <v>1365</v>
      </c>
      <c r="E566" t="s">
        <v>569</v>
      </c>
      <c r="F566" t="s">
        <v>812</v>
      </c>
      <c r="G566" t="s">
        <v>753</v>
      </c>
      <c r="H566" t="s">
        <v>715</v>
      </c>
      <c r="I566" t="s">
        <v>2324</v>
      </c>
      <c r="J566" t="s">
        <v>2325</v>
      </c>
      <c r="K566" t="s">
        <v>2326</v>
      </c>
      <c r="L566" t="s">
        <v>826</v>
      </c>
      <c r="M566" t="s">
        <v>720</v>
      </c>
      <c r="N566" t="s">
        <v>721</v>
      </c>
      <c r="O566">
        <v>1</v>
      </c>
      <c r="P566">
        <v>10</v>
      </c>
      <c r="Q566">
        <v>100</v>
      </c>
      <c r="R566" t="s">
        <v>722</v>
      </c>
      <c r="S566" t="s">
        <v>745</v>
      </c>
      <c r="T566" t="s">
        <v>746</v>
      </c>
      <c r="U566" t="s">
        <v>759</v>
      </c>
    </row>
    <row r="567" spans="1:21" hidden="1" x14ac:dyDescent="0.3">
      <c r="A567" s="1" t="s">
        <v>1778</v>
      </c>
      <c r="B567" t="s">
        <v>732</v>
      </c>
      <c r="C567" t="s">
        <v>711</v>
      </c>
      <c r="D567" t="s">
        <v>1366</v>
      </c>
      <c r="E567" t="s">
        <v>569</v>
      </c>
      <c r="F567" t="s">
        <v>817</v>
      </c>
      <c r="G567" t="s">
        <v>794</v>
      </c>
      <c r="H567" t="s">
        <v>715</v>
      </c>
      <c r="I567" t="s">
        <v>2327</v>
      </c>
      <c r="J567" t="s">
        <v>2328</v>
      </c>
      <c r="K567" t="s">
        <v>2329</v>
      </c>
      <c r="L567" t="s">
        <v>765</v>
      </c>
      <c r="M567" t="s">
        <v>720</v>
      </c>
      <c r="N567" t="s">
        <v>721</v>
      </c>
      <c r="O567">
        <v>0</v>
      </c>
      <c r="P567">
        <v>15</v>
      </c>
      <c r="Q567">
        <v>27</v>
      </c>
      <c r="R567" t="s">
        <v>758</v>
      </c>
      <c r="S567" t="s">
        <v>745</v>
      </c>
      <c r="T567" t="s">
        <v>746</v>
      </c>
      <c r="U567" t="s">
        <v>759</v>
      </c>
    </row>
    <row r="568" spans="1:21" hidden="1" x14ac:dyDescent="0.3">
      <c r="A568" s="1" t="s">
        <v>1778</v>
      </c>
      <c r="B568" t="s">
        <v>732</v>
      </c>
      <c r="C568" t="s">
        <v>711</v>
      </c>
      <c r="D568" t="s">
        <v>2143</v>
      </c>
      <c r="E568" t="s">
        <v>569</v>
      </c>
      <c r="F568" t="s">
        <v>822</v>
      </c>
      <c r="G568" t="s">
        <v>806</v>
      </c>
      <c r="H568" t="s">
        <v>715</v>
      </c>
      <c r="I568" t="s">
        <v>2330</v>
      </c>
      <c r="J568" t="s">
        <v>2331</v>
      </c>
      <c r="K568" t="s">
        <v>2332</v>
      </c>
      <c r="L568" t="s">
        <v>765</v>
      </c>
      <c r="M568" t="s">
        <v>720</v>
      </c>
      <c r="N568" t="s">
        <v>721</v>
      </c>
      <c r="O568">
        <v>0</v>
      </c>
      <c r="P568">
        <v>15</v>
      </c>
      <c r="Q568">
        <v>83</v>
      </c>
      <c r="R568" t="s">
        <v>758</v>
      </c>
      <c r="S568" t="s">
        <v>745</v>
      </c>
      <c r="T568" t="s">
        <v>746</v>
      </c>
      <c r="U568" t="s">
        <v>832</v>
      </c>
    </row>
    <row r="569" spans="1:21" hidden="1" x14ac:dyDescent="0.3">
      <c r="A569" s="1" t="s">
        <v>1778</v>
      </c>
      <c r="B569" t="s">
        <v>732</v>
      </c>
      <c r="C569" t="s">
        <v>711</v>
      </c>
      <c r="D569" t="s">
        <v>1367</v>
      </c>
      <c r="E569" t="s">
        <v>569</v>
      </c>
      <c r="F569" t="s">
        <v>828</v>
      </c>
      <c r="G569" t="s">
        <v>794</v>
      </c>
      <c r="H569" t="s">
        <v>715</v>
      </c>
      <c r="I569" t="s">
        <v>2333</v>
      </c>
      <c r="J569" t="s">
        <v>2334</v>
      </c>
      <c r="K569" t="s">
        <v>2335</v>
      </c>
      <c r="L569" t="s">
        <v>765</v>
      </c>
      <c r="M569" t="s">
        <v>720</v>
      </c>
      <c r="N569" t="s">
        <v>721</v>
      </c>
      <c r="O569">
        <v>0</v>
      </c>
      <c r="P569">
        <v>15</v>
      </c>
      <c r="Q569">
        <v>18</v>
      </c>
      <c r="R569" t="s">
        <v>758</v>
      </c>
      <c r="S569" t="s">
        <v>745</v>
      </c>
      <c r="T569" t="s">
        <v>746</v>
      </c>
      <c r="U569" t="s">
        <v>759</v>
      </c>
    </row>
    <row r="570" spans="1:21" hidden="1" x14ac:dyDescent="0.3">
      <c r="A570" s="1" t="s">
        <v>1778</v>
      </c>
      <c r="B570" t="s">
        <v>732</v>
      </c>
      <c r="C570" t="s">
        <v>711</v>
      </c>
      <c r="D570" t="s">
        <v>1368</v>
      </c>
      <c r="E570" t="s">
        <v>569</v>
      </c>
      <c r="F570" t="s">
        <v>834</v>
      </c>
      <c r="G570" t="s">
        <v>794</v>
      </c>
      <c r="H570" t="s">
        <v>715</v>
      </c>
      <c r="I570" t="s">
        <v>2336</v>
      </c>
      <c r="J570" t="s">
        <v>2337</v>
      </c>
      <c r="K570" t="s">
        <v>2323</v>
      </c>
      <c r="L570" t="s">
        <v>826</v>
      </c>
      <c r="M570" t="s">
        <v>720</v>
      </c>
      <c r="N570" t="s">
        <v>721</v>
      </c>
      <c r="O570">
        <v>2</v>
      </c>
      <c r="P570">
        <v>2</v>
      </c>
      <c r="Q570">
        <v>55</v>
      </c>
      <c r="R570" t="s">
        <v>798</v>
      </c>
      <c r="S570" t="s">
        <v>745</v>
      </c>
      <c r="T570" t="s">
        <v>746</v>
      </c>
      <c r="U570" t="s">
        <v>759</v>
      </c>
    </row>
    <row r="571" spans="1:21" hidden="1" x14ac:dyDescent="0.3">
      <c r="A571" s="1" t="s">
        <v>1778</v>
      </c>
      <c r="B571" t="s">
        <v>732</v>
      </c>
      <c r="C571" t="s">
        <v>711</v>
      </c>
      <c r="D571" t="s">
        <v>1370</v>
      </c>
      <c r="E571" t="s">
        <v>569</v>
      </c>
      <c r="F571" t="s">
        <v>844</v>
      </c>
      <c r="G571" t="s">
        <v>794</v>
      </c>
      <c r="H571" t="s">
        <v>715</v>
      </c>
      <c r="I571" t="s">
        <v>2341</v>
      </c>
      <c r="J571" t="s">
        <v>2342</v>
      </c>
      <c r="K571" t="s">
        <v>2343</v>
      </c>
      <c r="L571" t="s">
        <v>765</v>
      </c>
      <c r="M571" t="s">
        <v>720</v>
      </c>
      <c r="N571" t="s">
        <v>721</v>
      </c>
      <c r="O571">
        <v>4</v>
      </c>
      <c r="P571">
        <v>15</v>
      </c>
      <c r="Q571">
        <v>33</v>
      </c>
      <c r="R571" t="s">
        <v>758</v>
      </c>
      <c r="S571" t="s">
        <v>745</v>
      </c>
      <c r="T571" t="s">
        <v>746</v>
      </c>
      <c r="U571" t="s">
        <v>919</v>
      </c>
    </row>
    <row r="572" spans="1:21" hidden="1" x14ac:dyDescent="0.3">
      <c r="A572" s="1" t="s">
        <v>1778</v>
      </c>
      <c r="B572" t="s">
        <v>732</v>
      </c>
      <c r="C572" t="s">
        <v>711</v>
      </c>
      <c r="D572" t="s">
        <v>2144</v>
      </c>
      <c r="E572" t="s">
        <v>569</v>
      </c>
      <c r="F572" t="s">
        <v>849</v>
      </c>
      <c r="G572" t="s">
        <v>794</v>
      </c>
      <c r="H572" t="s">
        <v>715</v>
      </c>
      <c r="I572" t="s">
        <v>2344</v>
      </c>
      <c r="J572" t="s">
        <v>2345</v>
      </c>
      <c r="K572" t="s">
        <v>2346</v>
      </c>
      <c r="L572" t="s">
        <v>765</v>
      </c>
      <c r="M572" t="s">
        <v>720</v>
      </c>
      <c r="N572" t="s">
        <v>721</v>
      </c>
      <c r="O572">
        <v>1</v>
      </c>
      <c r="P572">
        <v>15</v>
      </c>
      <c r="Q572">
        <v>83</v>
      </c>
      <c r="R572" t="s">
        <v>758</v>
      </c>
      <c r="S572" t="s">
        <v>745</v>
      </c>
      <c r="T572" t="s">
        <v>746</v>
      </c>
      <c r="U572" t="s">
        <v>853</v>
      </c>
    </row>
    <row r="573" spans="1:21" hidden="1" x14ac:dyDescent="0.3">
      <c r="A573" s="1" t="s">
        <v>1778</v>
      </c>
      <c r="B573" t="s">
        <v>732</v>
      </c>
      <c r="C573" t="s">
        <v>711</v>
      </c>
      <c r="D573" t="s">
        <v>1371</v>
      </c>
      <c r="E573" t="s">
        <v>569</v>
      </c>
      <c r="F573" t="s">
        <v>855</v>
      </c>
      <c r="G573" t="s">
        <v>794</v>
      </c>
      <c r="H573" t="s">
        <v>715</v>
      </c>
      <c r="I573" t="s">
        <v>2347</v>
      </c>
      <c r="J573" t="s">
        <v>2348</v>
      </c>
      <c r="K573" t="s">
        <v>2349</v>
      </c>
      <c r="L573" t="s">
        <v>765</v>
      </c>
      <c r="M573" t="s">
        <v>720</v>
      </c>
      <c r="N573" t="s">
        <v>721</v>
      </c>
      <c r="O573">
        <v>2</v>
      </c>
      <c r="P573">
        <v>15</v>
      </c>
      <c r="Q573">
        <v>96</v>
      </c>
      <c r="R573" t="s">
        <v>758</v>
      </c>
      <c r="S573" t="s">
        <v>745</v>
      </c>
      <c r="T573" t="s">
        <v>746</v>
      </c>
      <c r="U573" t="s">
        <v>759</v>
      </c>
    </row>
    <row r="574" spans="1:21" hidden="1" x14ac:dyDescent="0.3">
      <c r="A574" s="1" t="s">
        <v>1778</v>
      </c>
      <c r="B574" t="s">
        <v>732</v>
      </c>
      <c r="C574" t="s">
        <v>711</v>
      </c>
      <c r="D574" t="s">
        <v>2145</v>
      </c>
      <c r="E574" t="s">
        <v>569</v>
      </c>
      <c r="F574" t="s">
        <v>860</v>
      </c>
      <c r="G574" t="s">
        <v>794</v>
      </c>
      <c r="H574" t="s">
        <v>715</v>
      </c>
      <c r="I574" t="s">
        <v>2350</v>
      </c>
      <c r="J574" t="s">
        <v>2351</v>
      </c>
      <c r="K574" t="s">
        <v>2352</v>
      </c>
      <c r="L574" t="s">
        <v>826</v>
      </c>
      <c r="M574" t="s">
        <v>720</v>
      </c>
      <c r="N574" t="s">
        <v>721</v>
      </c>
      <c r="O574">
        <v>0</v>
      </c>
      <c r="P574">
        <v>2</v>
      </c>
      <c r="Q574">
        <v>103</v>
      </c>
      <c r="R574" t="s">
        <v>798</v>
      </c>
      <c r="S574" t="s">
        <v>745</v>
      </c>
      <c r="T574" t="s">
        <v>746</v>
      </c>
      <c r="U574" t="s">
        <v>759</v>
      </c>
    </row>
    <row r="575" spans="1:21" hidden="1" x14ac:dyDescent="0.3">
      <c r="A575" s="1" t="s">
        <v>1778</v>
      </c>
      <c r="B575" t="s">
        <v>732</v>
      </c>
      <c r="C575" t="s">
        <v>711</v>
      </c>
      <c r="D575" t="s">
        <v>2561</v>
      </c>
      <c r="E575" t="s">
        <v>569</v>
      </c>
      <c r="F575" t="s">
        <v>1850</v>
      </c>
      <c r="G575" t="s">
        <v>753</v>
      </c>
      <c r="H575" t="s">
        <v>715</v>
      </c>
      <c r="I575" t="s">
        <v>2353</v>
      </c>
      <c r="J575" t="s">
        <v>2354</v>
      </c>
      <c r="K575" t="s">
        <v>2355</v>
      </c>
      <c r="L575" t="s">
        <v>765</v>
      </c>
      <c r="M575" t="s">
        <v>720</v>
      </c>
      <c r="N575" t="s">
        <v>721</v>
      </c>
      <c r="O575">
        <v>1</v>
      </c>
      <c r="P575">
        <v>15</v>
      </c>
      <c r="Q575">
        <v>112</v>
      </c>
      <c r="R575" t="s">
        <v>758</v>
      </c>
      <c r="S575" t="s">
        <v>745</v>
      </c>
      <c r="T575" t="s">
        <v>746</v>
      </c>
      <c r="U575" t="s">
        <v>759</v>
      </c>
    </row>
    <row r="576" spans="1:21" hidden="1" x14ac:dyDescent="0.3">
      <c r="A576" s="1" t="s">
        <v>1778</v>
      </c>
      <c r="B576" t="s">
        <v>732</v>
      </c>
      <c r="C576" t="s">
        <v>711</v>
      </c>
      <c r="D576" t="s">
        <v>2222</v>
      </c>
      <c r="E576" t="s">
        <v>569</v>
      </c>
      <c r="F576" t="s">
        <v>875</v>
      </c>
      <c r="G576" t="s">
        <v>753</v>
      </c>
      <c r="H576" t="s">
        <v>715</v>
      </c>
      <c r="I576" t="s">
        <v>2223</v>
      </c>
      <c r="J576" t="s">
        <v>2224</v>
      </c>
      <c r="K576" t="s">
        <v>2225</v>
      </c>
      <c r="L576" t="s">
        <v>1082</v>
      </c>
      <c r="M576" t="s">
        <v>720</v>
      </c>
      <c r="N576" t="s">
        <v>721</v>
      </c>
      <c r="O576">
        <v>30</v>
      </c>
      <c r="P576">
        <v>0</v>
      </c>
      <c r="Q576">
        <v>6</v>
      </c>
      <c r="R576" t="s">
        <v>798</v>
      </c>
      <c r="S576" t="s">
        <v>723</v>
      </c>
      <c r="T576" t="s">
        <v>1083</v>
      </c>
      <c r="U576" t="s">
        <v>707</v>
      </c>
    </row>
    <row r="577" spans="1:21" hidden="1" x14ac:dyDescent="0.3">
      <c r="A577" s="1" t="s">
        <v>1778</v>
      </c>
      <c r="B577" t="s">
        <v>732</v>
      </c>
      <c r="C577" t="s">
        <v>711</v>
      </c>
      <c r="D577" t="s">
        <v>1372</v>
      </c>
      <c r="E577" t="s">
        <v>569</v>
      </c>
      <c r="F577" t="s">
        <v>1373</v>
      </c>
      <c r="G577" t="s">
        <v>794</v>
      </c>
      <c r="H577" t="s">
        <v>715</v>
      </c>
      <c r="I577" t="s">
        <v>2359</v>
      </c>
      <c r="J577" t="s">
        <v>2360</v>
      </c>
      <c r="K577" t="s">
        <v>2361</v>
      </c>
      <c r="L577" t="s">
        <v>757</v>
      </c>
      <c r="M577" t="s">
        <v>720</v>
      </c>
      <c r="N577" t="s">
        <v>721</v>
      </c>
      <c r="O577">
        <v>1</v>
      </c>
      <c r="P577">
        <v>7</v>
      </c>
      <c r="Q577">
        <v>91</v>
      </c>
      <c r="R577" t="s">
        <v>758</v>
      </c>
      <c r="S577" t="s">
        <v>745</v>
      </c>
      <c r="T577" t="s">
        <v>746</v>
      </c>
      <c r="U577" t="s">
        <v>919</v>
      </c>
    </row>
    <row r="578" spans="1:21" hidden="1" x14ac:dyDescent="0.3">
      <c r="A578" s="1" t="s">
        <v>1778</v>
      </c>
      <c r="B578" t="s">
        <v>732</v>
      </c>
      <c r="C578" t="s">
        <v>711</v>
      </c>
      <c r="D578" t="s">
        <v>1377</v>
      </c>
      <c r="E578" t="s">
        <v>569</v>
      </c>
      <c r="F578" t="s">
        <v>880</v>
      </c>
      <c r="G578" t="s">
        <v>794</v>
      </c>
      <c r="H578" t="s">
        <v>715</v>
      </c>
      <c r="I578" t="s">
        <v>2205</v>
      </c>
      <c r="J578" t="s">
        <v>2206</v>
      </c>
      <c r="K578" t="s">
        <v>2207</v>
      </c>
      <c r="L578" t="s">
        <v>1082</v>
      </c>
      <c r="M578" t="s">
        <v>720</v>
      </c>
      <c r="N578" t="s">
        <v>721</v>
      </c>
      <c r="O578">
        <v>30</v>
      </c>
      <c r="P578">
        <v>0</v>
      </c>
      <c r="Q578">
        <v>33</v>
      </c>
      <c r="R578" t="s">
        <v>798</v>
      </c>
      <c r="S578" t="s">
        <v>723</v>
      </c>
      <c r="T578" t="s">
        <v>1083</v>
      </c>
      <c r="U578" t="s">
        <v>707</v>
      </c>
    </row>
    <row r="579" spans="1:21" hidden="1" x14ac:dyDescent="0.3">
      <c r="A579" s="1" t="s">
        <v>1778</v>
      </c>
      <c r="B579" t="s">
        <v>732</v>
      </c>
      <c r="C579" t="s">
        <v>711</v>
      </c>
      <c r="D579" t="s">
        <v>1378</v>
      </c>
      <c r="E579" t="s">
        <v>569</v>
      </c>
      <c r="F579" t="s">
        <v>885</v>
      </c>
      <c r="G579" t="s">
        <v>794</v>
      </c>
      <c r="H579" t="s">
        <v>715</v>
      </c>
      <c r="I579" t="s">
        <v>2362</v>
      </c>
      <c r="J579" t="s">
        <v>2363</v>
      </c>
      <c r="K579" t="s">
        <v>2364</v>
      </c>
      <c r="L579" t="s">
        <v>765</v>
      </c>
      <c r="M579" t="s">
        <v>720</v>
      </c>
      <c r="N579" t="s">
        <v>721</v>
      </c>
      <c r="O579">
        <v>4</v>
      </c>
      <c r="P579">
        <v>15</v>
      </c>
      <c r="Q579">
        <v>88</v>
      </c>
      <c r="R579" t="s">
        <v>758</v>
      </c>
      <c r="S579" t="s">
        <v>745</v>
      </c>
      <c r="T579" t="s">
        <v>746</v>
      </c>
      <c r="U579" t="s">
        <v>853</v>
      </c>
    </row>
    <row r="580" spans="1:21" hidden="1" x14ac:dyDescent="0.3">
      <c r="A580" s="1" t="s">
        <v>1778</v>
      </c>
      <c r="B580" t="s">
        <v>732</v>
      </c>
      <c r="C580" t="s">
        <v>711</v>
      </c>
      <c r="D580" t="s">
        <v>1379</v>
      </c>
      <c r="E580" t="s">
        <v>569</v>
      </c>
      <c r="F580" t="s">
        <v>890</v>
      </c>
      <c r="G580" t="s">
        <v>794</v>
      </c>
      <c r="H580" t="s">
        <v>715</v>
      </c>
      <c r="I580" t="s">
        <v>2226</v>
      </c>
      <c r="J580" t="s">
        <v>2227</v>
      </c>
      <c r="K580" t="s">
        <v>2228</v>
      </c>
      <c r="L580" t="s">
        <v>1082</v>
      </c>
      <c r="M580" t="s">
        <v>720</v>
      </c>
      <c r="N580" t="s">
        <v>721</v>
      </c>
      <c r="O580">
        <v>2</v>
      </c>
      <c r="P580">
        <v>0</v>
      </c>
      <c r="Q580">
        <v>21</v>
      </c>
      <c r="R580" t="s">
        <v>798</v>
      </c>
      <c r="S580" t="s">
        <v>723</v>
      </c>
      <c r="T580" t="s">
        <v>1083</v>
      </c>
      <c r="U580" t="s">
        <v>707</v>
      </c>
    </row>
    <row r="581" spans="1:21" hidden="1" x14ac:dyDescent="0.3">
      <c r="A581" s="1" t="s">
        <v>1778</v>
      </c>
      <c r="B581" t="s">
        <v>732</v>
      </c>
      <c r="C581" t="s">
        <v>711</v>
      </c>
      <c r="D581" t="s">
        <v>1380</v>
      </c>
      <c r="E581" t="s">
        <v>569</v>
      </c>
      <c r="F581" t="s">
        <v>895</v>
      </c>
      <c r="G581" t="s">
        <v>794</v>
      </c>
      <c r="H581" t="s">
        <v>715</v>
      </c>
      <c r="I581" t="s">
        <v>2365</v>
      </c>
      <c r="J581" t="s">
        <v>2366</v>
      </c>
      <c r="K581" t="s">
        <v>2367</v>
      </c>
      <c r="L581" t="s">
        <v>826</v>
      </c>
      <c r="M581" t="s">
        <v>720</v>
      </c>
      <c r="N581" t="s">
        <v>721</v>
      </c>
      <c r="O581">
        <v>9</v>
      </c>
      <c r="P581">
        <v>2</v>
      </c>
      <c r="Q581">
        <v>40</v>
      </c>
      <c r="R581" t="s">
        <v>798</v>
      </c>
      <c r="S581" t="s">
        <v>745</v>
      </c>
      <c r="T581" t="s">
        <v>746</v>
      </c>
      <c r="U581" t="s">
        <v>759</v>
      </c>
    </row>
    <row r="582" spans="1:21" hidden="1" x14ac:dyDescent="0.3">
      <c r="A582" s="1" t="s">
        <v>1778</v>
      </c>
      <c r="B582" t="s">
        <v>732</v>
      </c>
      <c r="C582" t="s">
        <v>711</v>
      </c>
      <c r="D582" t="s">
        <v>1381</v>
      </c>
      <c r="E582" t="s">
        <v>569</v>
      </c>
      <c r="F582" t="s">
        <v>900</v>
      </c>
      <c r="G582" t="s">
        <v>794</v>
      </c>
      <c r="H582" t="s">
        <v>715</v>
      </c>
      <c r="I582" t="s">
        <v>2368</v>
      </c>
      <c r="J582" t="s">
        <v>2369</v>
      </c>
      <c r="K582" t="s">
        <v>2370</v>
      </c>
      <c r="L582" t="s">
        <v>765</v>
      </c>
      <c r="M582" t="s">
        <v>720</v>
      </c>
      <c r="N582" t="s">
        <v>721</v>
      </c>
      <c r="O582">
        <v>2</v>
      </c>
      <c r="P582">
        <v>15</v>
      </c>
      <c r="Q582">
        <v>83</v>
      </c>
      <c r="R582" t="s">
        <v>758</v>
      </c>
      <c r="S582" t="s">
        <v>745</v>
      </c>
      <c r="T582" t="s">
        <v>746</v>
      </c>
      <c r="U582" t="s">
        <v>853</v>
      </c>
    </row>
    <row r="583" spans="1:21" hidden="1" x14ac:dyDescent="0.3">
      <c r="A583" s="1" t="s">
        <v>1778</v>
      </c>
      <c r="B583" t="s">
        <v>732</v>
      </c>
      <c r="C583" t="s">
        <v>711</v>
      </c>
      <c r="D583" t="s">
        <v>1382</v>
      </c>
      <c r="E583" t="s">
        <v>569</v>
      </c>
      <c r="F583" t="s">
        <v>906</v>
      </c>
      <c r="G583" t="s">
        <v>753</v>
      </c>
      <c r="H583" t="s">
        <v>715</v>
      </c>
      <c r="I583" t="s">
        <v>2229</v>
      </c>
      <c r="J583" t="s">
        <v>2230</v>
      </c>
      <c r="K583" t="s">
        <v>2231</v>
      </c>
      <c r="L583" t="s">
        <v>1082</v>
      </c>
      <c r="M583" t="s">
        <v>720</v>
      </c>
      <c r="N583" t="s">
        <v>721</v>
      </c>
      <c r="O583">
        <v>20</v>
      </c>
      <c r="P583">
        <v>0</v>
      </c>
      <c r="Q583">
        <v>34</v>
      </c>
      <c r="R583" t="s">
        <v>798</v>
      </c>
      <c r="S583" t="s">
        <v>723</v>
      </c>
      <c r="T583" t="s">
        <v>1083</v>
      </c>
      <c r="U583" t="s">
        <v>707</v>
      </c>
    </row>
    <row r="584" spans="1:21" hidden="1" x14ac:dyDescent="0.3">
      <c r="A584" s="1" t="s">
        <v>1778</v>
      </c>
      <c r="B584" t="s">
        <v>732</v>
      </c>
      <c r="C584" t="s">
        <v>711</v>
      </c>
      <c r="D584" t="s">
        <v>2152</v>
      </c>
      <c r="E584" t="s">
        <v>569</v>
      </c>
      <c r="F584" t="s">
        <v>911</v>
      </c>
      <c r="G584" t="s">
        <v>794</v>
      </c>
      <c r="H584" t="s">
        <v>715</v>
      </c>
      <c r="I584" t="s">
        <v>2232</v>
      </c>
      <c r="J584" t="s">
        <v>2233</v>
      </c>
      <c r="K584" t="s">
        <v>2234</v>
      </c>
      <c r="L584" t="s">
        <v>1082</v>
      </c>
      <c r="M584" t="s">
        <v>720</v>
      </c>
      <c r="N584" t="s">
        <v>721</v>
      </c>
      <c r="O584">
        <v>10</v>
      </c>
      <c r="P584">
        <v>0</v>
      </c>
      <c r="Q584">
        <v>38</v>
      </c>
      <c r="R584" t="s">
        <v>798</v>
      </c>
      <c r="S584" t="s">
        <v>723</v>
      </c>
      <c r="T584" t="s">
        <v>1083</v>
      </c>
      <c r="U584" t="s">
        <v>707</v>
      </c>
    </row>
    <row r="585" spans="1:21" hidden="1" x14ac:dyDescent="0.3">
      <c r="A585" s="1" t="s">
        <v>1778</v>
      </c>
      <c r="B585" t="s">
        <v>732</v>
      </c>
      <c r="C585" t="s">
        <v>711</v>
      </c>
      <c r="D585" t="s">
        <v>712</v>
      </c>
      <c r="E585" t="s">
        <v>569</v>
      </c>
      <c r="F585" t="s">
        <v>713</v>
      </c>
      <c r="G585" t="s">
        <v>753</v>
      </c>
      <c r="H585" t="s">
        <v>715</v>
      </c>
      <c r="I585" t="s">
        <v>2371</v>
      </c>
      <c r="J585" t="s">
        <v>867</v>
      </c>
      <c r="K585" t="s">
        <v>2372</v>
      </c>
      <c r="L585" t="s">
        <v>765</v>
      </c>
      <c r="M585" t="s">
        <v>720</v>
      </c>
      <c r="N585" t="s">
        <v>721</v>
      </c>
      <c r="O585">
        <v>0</v>
      </c>
      <c r="P585">
        <v>15</v>
      </c>
      <c r="Q585">
        <v>109</v>
      </c>
      <c r="R585" t="s">
        <v>758</v>
      </c>
      <c r="S585" t="s">
        <v>745</v>
      </c>
      <c r="T585" t="s">
        <v>746</v>
      </c>
      <c r="U585" t="s">
        <v>759</v>
      </c>
    </row>
    <row r="586" spans="1:21" hidden="1" x14ac:dyDescent="0.3">
      <c r="A586" s="1" t="s">
        <v>1778</v>
      </c>
      <c r="B586" t="s">
        <v>732</v>
      </c>
      <c r="C586" t="s">
        <v>711</v>
      </c>
      <c r="D586" t="s">
        <v>1383</v>
      </c>
      <c r="E586" t="s">
        <v>569</v>
      </c>
      <c r="F586" t="s">
        <v>921</v>
      </c>
      <c r="G586" t="s">
        <v>753</v>
      </c>
      <c r="H586" t="s">
        <v>715</v>
      </c>
      <c r="I586" t="s">
        <v>2373</v>
      </c>
      <c r="J586" t="s">
        <v>1880</v>
      </c>
      <c r="K586" t="s">
        <v>2374</v>
      </c>
      <c r="L586" t="s">
        <v>765</v>
      </c>
      <c r="M586" t="s">
        <v>720</v>
      </c>
      <c r="N586" t="s">
        <v>721</v>
      </c>
      <c r="O586">
        <v>1</v>
      </c>
      <c r="P586">
        <v>15</v>
      </c>
      <c r="Q586">
        <v>20</v>
      </c>
      <c r="R586" t="s">
        <v>758</v>
      </c>
      <c r="S586" t="s">
        <v>745</v>
      </c>
      <c r="T586" t="s">
        <v>746</v>
      </c>
      <c r="U586" t="s">
        <v>759</v>
      </c>
    </row>
    <row r="587" spans="1:21" hidden="1" x14ac:dyDescent="0.3">
      <c r="A587" s="1" t="s">
        <v>1778</v>
      </c>
      <c r="B587" t="s">
        <v>732</v>
      </c>
      <c r="C587" t="s">
        <v>711</v>
      </c>
      <c r="D587" t="s">
        <v>1384</v>
      </c>
      <c r="E587" t="s">
        <v>569</v>
      </c>
      <c r="F587" t="s">
        <v>926</v>
      </c>
      <c r="G587" t="s">
        <v>753</v>
      </c>
      <c r="H587" t="s">
        <v>715</v>
      </c>
      <c r="I587" t="s">
        <v>2375</v>
      </c>
      <c r="J587" t="s">
        <v>2376</v>
      </c>
      <c r="K587" t="s">
        <v>2377</v>
      </c>
      <c r="L587" t="s">
        <v>741</v>
      </c>
      <c r="M587" t="s">
        <v>720</v>
      </c>
      <c r="N587" t="s">
        <v>743</v>
      </c>
      <c r="O587">
        <v>7</v>
      </c>
      <c r="P587">
        <v>0</v>
      </c>
      <c r="Q587">
        <v>72</v>
      </c>
      <c r="R587" t="s">
        <v>798</v>
      </c>
      <c r="S587" t="s">
        <v>745</v>
      </c>
      <c r="T587" t="s">
        <v>746</v>
      </c>
      <c r="U587" t="s">
        <v>759</v>
      </c>
    </row>
    <row r="588" spans="1:21" hidden="1" x14ac:dyDescent="0.3">
      <c r="A588" s="1" t="s">
        <v>1778</v>
      </c>
      <c r="B588" t="s">
        <v>732</v>
      </c>
      <c r="C588" t="s">
        <v>711</v>
      </c>
      <c r="D588" t="s">
        <v>1385</v>
      </c>
      <c r="E588" t="s">
        <v>569</v>
      </c>
      <c r="F588" t="s">
        <v>931</v>
      </c>
      <c r="G588" t="s">
        <v>794</v>
      </c>
      <c r="H588" t="s">
        <v>715</v>
      </c>
      <c r="I588" t="s">
        <v>2235</v>
      </c>
      <c r="J588" t="s">
        <v>2236</v>
      </c>
      <c r="K588" t="s">
        <v>2237</v>
      </c>
      <c r="L588" t="s">
        <v>1082</v>
      </c>
      <c r="M588" t="s">
        <v>720</v>
      </c>
      <c r="N588" t="s">
        <v>721</v>
      </c>
      <c r="O588">
        <v>21</v>
      </c>
      <c r="P588">
        <v>0</v>
      </c>
      <c r="Q588">
        <v>35</v>
      </c>
      <c r="R588" t="s">
        <v>798</v>
      </c>
      <c r="S588" t="s">
        <v>723</v>
      </c>
      <c r="T588" t="s">
        <v>1083</v>
      </c>
      <c r="U588" t="s">
        <v>707</v>
      </c>
    </row>
    <row r="589" spans="1:21" hidden="1" x14ac:dyDescent="0.3">
      <c r="A589" s="1" t="s">
        <v>1778</v>
      </c>
      <c r="B589" t="s">
        <v>732</v>
      </c>
      <c r="C589" t="s">
        <v>711</v>
      </c>
      <c r="D589" t="s">
        <v>2153</v>
      </c>
      <c r="E589" t="s">
        <v>569</v>
      </c>
      <c r="F589" t="s">
        <v>936</v>
      </c>
      <c r="G589" t="s">
        <v>794</v>
      </c>
      <c r="H589" t="s">
        <v>715</v>
      </c>
      <c r="I589" t="s">
        <v>2378</v>
      </c>
      <c r="J589" t="s">
        <v>2379</v>
      </c>
      <c r="K589" t="s">
        <v>2380</v>
      </c>
      <c r="L589" t="s">
        <v>826</v>
      </c>
      <c r="M589" t="s">
        <v>720</v>
      </c>
      <c r="N589" t="s">
        <v>721</v>
      </c>
      <c r="O589">
        <v>0</v>
      </c>
      <c r="P589">
        <v>10</v>
      </c>
      <c r="Q589">
        <v>14</v>
      </c>
      <c r="R589" t="s">
        <v>722</v>
      </c>
      <c r="S589" t="s">
        <v>745</v>
      </c>
      <c r="T589" t="s">
        <v>746</v>
      </c>
      <c r="U589" t="s">
        <v>759</v>
      </c>
    </row>
    <row r="590" spans="1:21" hidden="1" x14ac:dyDescent="0.3">
      <c r="A590" s="1" t="s">
        <v>1778</v>
      </c>
      <c r="B590" t="s">
        <v>732</v>
      </c>
      <c r="C590" t="s">
        <v>711</v>
      </c>
      <c r="D590" t="s">
        <v>2562</v>
      </c>
      <c r="E590" t="s">
        <v>569</v>
      </c>
      <c r="F590" t="s">
        <v>941</v>
      </c>
      <c r="G590" t="s">
        <v>794</v>
      </c>
      <c r="H590" t="s">
        <v>715</v>
      </c>
      <c r="I590" t="s">
        <v>2381</v>
      </c>
      <c r="J590" t="s">
        <v>2382</v>
      </c>
      <c r="K590" t="s">
        <v>2383</v>
      </c>
      <c r="L590" t="s">
        <v>810</v>
      </c>
      <c r="M590" t="s">
        <v>720</v>
      </c>
      <c r="N590" t="s">
        <v>721</v>
      </c>
      <c r="O590">
        <v>1</v>
      </c>
      <c r="P590">
        <v>3</v>
      </c>
      <c r="Q590">
        <v>27</v>
      </c>
      <c r="R590" t="s">
        <v>798</v>
      </c>
      <c r="S590" t="s">
        <v>745</v>
      </c>
      <c r="T590" t="s">
        <v>746</v>
      </c>
      <c r="U590" t="s">
        <v>759</v>
      </c>
    </row>
    <row r="591" spans="1:21" hidden="1" x14ac:dyDescent="0.3">
      <c r="A591" s="1" t="s">
        <v>1778</v>
      </c>
      <c r="B591" t="s">
        <v>732</v>
      </c>
      <c r="C591" t="s">
        <v>711</v>
      </c>
      <c r="D591" t="s">
        <v>1386</v>
      </c>
      <c r="E591" t="s">
        <v>569</v>
      </c>
      <c r="F591" t="s">
        <v>946</v>
      </c>
      <c r="G591" t="s">
        <v>753</v>
      </c>
      <c r="H591" t="s">
        <v>715</v>
      </c>
      <c r="I591" t="s">
        <v>2384</v>
      </c>
      <c r="J591" t="s">
        <v>2385</v>
      </c>
      <c r="K591" t="s">
        <v>2386</v>
      </c>
      <c r="L591" t="s">
        <v>765</v>
      </c>
      <c r="M591" t="s">
        <v>720</v>
      </c>
      <c r="N591" t="s">
        <v>721</v>
      </c>
      <c r="O591">
        <v>2</v>
      </c>
      <c r="P591">
        <v>15</v>
      </c>
      <c r="Q591">
        <v>33</v>
      </c>
      <c r="R591" t="s">
        <v>758</v>
      </c>
      <c r="S591" t="s">
        <v>745</v>
      </c>
      <c r="T591" t="s">
        <v>746</v>
      </c>
      <c r="U591" t="s">
        <v>853</v>
      </c>
    </row>
    <row r="592" spans="1:21" hidden="1" x14ac:dyDescent="0.3">
      <c r="A592" s="1" t="s">
        <v>1778</v>
      </c>
      <c r="B592" t="s">
        <v>732</v>
      </c>
      <c r="C592" t="s">
        <v>711</v>
      </c>
      <c r="D592" t="s">
        <v>2563</v>
      </c>
      <c r="E592" t="s">
        <v>569</v>
      </c>
      <c r="F592" t="s">
        <v>951</v>
      </c>
      <c r="G592" t="s">
        <v>794</v>
      </c>
      <c r="H592" t="s">
        <v>715</v>
      </c>
      <c r="I592" t="s">
        <v>2387</v>
      </c>
      <c r="J592" t="s">
        <v>2388</v>
      </c>
      <c r="K592" t="s">
        <v>2389</v>
      </c>
      <c r="L592" t="s">
        <v>765</v>
      </c>
      <c r="M592" t="s">
        <v>720</v>
      </c>
      <c r="N592" t="s">
        <v>721</v>
      </c>
      <c r="O592">
        <v>3</v>
      </c>
      <c r="P592">
        <v>15</v>
      </c>
      <c r="Q592">
        <v>84</v>
      </c>
      <c r="R592" t="s">
        <v>758</v>
      </c>
      <c r="S592" t="s">
        <v>745</v>
      </c>
      <c r="T592" t="s">
        <v>746</v>
      </c>
      <c r="U592" t="s">
        <v>759</v>
      </c>
    </row>
    <row r="593" spans="1:21" hidden="1" x14ac:dyDescent="0.3">
      <c r="A593" s="1" t="s">
        <v>1778</v>
      </c>
      <c r="B593" t="s">
        <v>732</v>
      </c>
      <c r="C593" t="s">
        <v>711</v>
      </c>
      <c r="D593" t="s">
        <v>2238</v>
      </c>
      <c r="E593" t="s">
        <v>569</v>
      </c>
      <c r="F593" t="s">
        <v>956</v>
      </c>
      <c r="G593" t="s">
        <v>806</v>
      </c>
      <c r="H593" t="s">
        <v>715</v>
      </c>
      <c r="I593" t="s">
        <v>2239</v>
      </c>
      <c r="J593" t="s">
        <v>2240</v>
      </c>
      <c r="K593" t="s">
        <v>2241</v>
      </c>
      <c r="L593" t="s">
        <v>1082</v>
      </c>
      <c r="M593" t="s">
        <v>720</v>
      </c>
      <c r="N593" t="s">
        <v>721</v>
      </c>
      <c r="O593">
        <v>8</v>
      </c>
      <c r="P593">
        <v>0</v>
      </c>
      <c r="Q593">
        <v>13</v>
      </c>
      <c r="R593" t="s">
        <v>798</v>
      </c>
      <c r="S593" t="s">
        <v>723</v>
      </c>
      <c r="T593" t="s">
        <v>1083</v>
      </c>
      <c r="U593" t="s">
        <v>707</v>
      </c>
    </row>
    <row r="594" spans="1:21" hidden="1" x14ac:dyDescent="0.3">
      <c r="A594" s="1" t="s">
        <v>1778</v>
      </c>
      <c r="B594" t="s">
        <v>732</v>
      </c>
      <c r="C594" t="s">
        <v>711</v>
      </c>
      <c r="D594" t="s">
        <v>1387</v>
      </c>
      <c r="E594" t="s">
        <v>569</v>
      </c>
      <c r="F594" t="s">
        <v>1388</v>
      </c>
      <c r="G594" t="s">
        <v>806</v>
      </c>
      <c r="H594" t="s">
        <v>715</v>
      </c>
      <c r="I594" t="s">
        <v>2242</v>
      </c>
      <c r="J594" t="s">
        <v>2243</v>
      </c>
      <c r="K594" t="s">
        <v>1391</v>
      </c>
      <c r="L594" t="s">
        <v>1082</v>
      </c>
      <c r="M594" t="s">
        <v>720</v>
      </c>
      <c r="N594" t="s">
        <v>721</v>
      </c>
      <c r="O594">
        <v>17</v>
      </c>
      <c r="P594">
        <v>0</v>
      </c>
      <c r="Q594">
        <v>17</v>
      </c>
      <c r="R594" t="s">
        <v>798</v>
      </c>
      <c r="S594" t="s">
        <v>723</v>
      </c>
      <c r="T594" t="s">
        <v>1083</v>
      </c>
      <c r="U594" t="s">
        <v>707</v>
      </c>
    </row>
    <row r="595" spans="1:21" hidden="1" x14ac:dyDescent="0.3">
      <c r="A595" s="1" t="s">
        <v>1778</v>
      </c>
      <c r="B595" t="s">
        <v>732</v>
      </c>
      <c r="C595" t="s">
        <v>711</v>
      </c>
      <c r="D595" t="s">
        <v>1392</v>
      </c>
      <c r="E595" t="s">
        <v>569</v>
      </c>
      <c r="F595" t="s">
        <v>961</v>
      </c>
      <c r="G595" t="s">
        <v>753</v>
      </c>
      <c r="H595" t="s">
        <v>715</v>
      </c>
      <c r="I595" t="s">
        <v>2244</v>
      </c>
      <c r="J595" t="s">
        <v>2245</v>
      </c>
      <c r="K595" t="s">
        <v>2246</v>
      </c>
      <c r="L595" t="s">
        <v>1082</v>
      </c>
      <c r="M595" t="s">
        <v>720</v>
      </c>
      <c r="N595" t="s">
        <v>721</v>
      </c>
      <c r="O595">
        <v>7</v>
      </c>
      <c r="P595">
        <v>0</v>
      </c>
      <c r="Q595">
        <v>2</v>
      </c>
      <c r="R595" t="s">
        <v>798</v>
      </c>
      <c r="S595" t="s">
        <v>723</v>
      </c>
      <c r="T595" t="s">
        <v>1083</v>
      </c>
      <c r="U595" t="s">
        <v>707</v>
      </c>
    </row>
    <row r="596" spans="1:21" hidden="1" x14ac:dyDescent="0.3">
      <c r="A596" s="1" t="s">
        <v>1778</v>
      </c>
      <c r="B596" t="s">
        <v>732</v>
      </c>
      <c r="C596" t="s">
        <v>711</v>
      </c>
      <c r="D596" t="s">
        <v>2564</v>
      </c>
      <c r="E596" t="s">
        <v>568</v>
      </c>
      <c r="F596" t="s">
        <v>971</v>
      </c>
      <c r="G596" t="s">
        <v>794</v>
      </c>
      <c r="H596" t="s">
        <v>715</v>
      </c>
      <c r="I596" t="s">
        <v>2393</v>
      </c>
      <c r="J596" t="s">
        <v>2394</v>
      </c>
      <c r="K596" t="s">
        <v>2395</v>
      </c>
      <c r="L596" t="s">
        <v>765</v>
      </c>
      <c r="M596" t="s">
        <v>720</v>
      </c>
      <c r="N596" t="s">
        <v>721</v>
      </c>
      <c r="O596">
        <v>0</v>
      </c>
      <c r="P596">
        <v>15</v>
      </c>
      <c r="Q596">
        <v>6</v>
      </c>
      <c r="R596" t="s">
        <v>758</v>
      </c>
      <c r="S596" t="s">
        <v>745</v>
      </c>
      <c r="T596" t="s">
        <v>746</v>
      </c>
      <c r="U596" t="s">
        <v>759</v>
      </c>
    </row>
    <row r="597" spans="1:21" hidden="1" x14ac:dyDescent="0.3">
      <c r="A597" s="1" t="s">
        <v>1778</v>
      </c>
      <c r="B597" t="s">
        <v>732</v>
      </c>
      <c r="C597" t="s">
        <v>711</v>
      </c>
      <c r="D597" t="s">
        <v>2565</v>
      </c>
      <c r="E597" t="s">
        <v>568</v>
      </c>
      <c r="F597" t="s">
        <v>976</v>
      </c>
      <c r="G597" t="s">
        <v>794</v>
      </c>
      <c r="H597" t="s">
        <v>715</v>
      </c>
      <c r="I597" t="s">
        <v>2396</v>
      </c>
      <c r="J597" t="s">
        <v>2397</v>
      </c>
      <c r="K597" t="s">
        <v>2398</v>
      </c>
      <c r="L597" t="s">
        <v>765</v>
      </c>
      <c r="M597" t="s">
        <v>720</v>
      </c>
      <c r="N597" t="s">
        <v>721</v>
      </c>
      <c r="O597">
        <v>3</v>
      </c>
      <c r="P597">
        <v>15</v>
      </c>
      <c r="Q597">
        <v>44</v>
      </c>
      <c r="R597" t="s">
        <v>758</v>
      </c>
      <c r="S597" t="s">
        <v>745</v>
      </c>
      <c r="T597" t="s">
        <v>746</v>
      </c>
      <c r="U597" t="s">
        <v>759</v>
      </c>
    </row>
    <row r="598" spans="1:21" hidden="1" x14ac:dyDescent="0.3">
      <c r="A598" s="1" t="s">
        <v>1778</v>
      </c>
      <c r="B598" t="s">
        <v>732</v>
      </c>
      <c r="C598" t="s">
        <v>711</v>
      </c>
      <c r="D598" t="s">
        <v>1394</v>
      </c>
      <c r="E598" t="s">
        <v>568</v>
      </c>
      <c r="F598" t="s">
        <v>987</v>
      </c>
      <c r="G598" t="s">
        <v>794</v>
      </c>
      <c r="H598" t="s">
        <v>715</v>
      </c>
      <c r="I598" t="s">
        <v>2247</v>
      </c>
      <c r="J598" t="s">
        <v>2248</v>
      </c>
      <c r="K598" t="s">
        <v>2249</v>
      </c>
      <c r="L598" t="s">
        <v>1082</v>
      </c>
      <c r="M598" t="s">
        <v>720</v>
      </c>
      <c r="N598" t="s">
        <v>721</v>
      </c>
      <c r="O598">
        <v>0</v>
      </c>
      <c r="P598">
        <v>0</v>
      </c>
      <c r="Q598">
        <v>66</v>
      </c>
      <c r="R598" t="s">
        <v>798</v>
      </c>
      <c r="S598" t="s">
        <v>723</v>
      </c>
      <c r="T598" t="s">
        <v>1083</v>
      </c>
      <c r="U598" t="s">
        <v>707</v>
      </c>
    </row>
    <row r="599" spans="1:21" hidden="1" x14ac:dyDescent="0.3">
      <c r="A599" s="1" t="s">
        <v>1778</v>
      </c>
      <c r="B599" t="s">
        <v>732</v>
      </c>
      <c r="C599" t="s">
        <v>711</v>
      </c>
      <c r="D599" t="s">
        <v>1395</v>
      </c>
      <c r="E599" t="s">
        <v>568</v>
      </c>
      <c r="F599" t="s">
        <v>992</v>
      </c>
      <c r="G599" t="s">
        <v>753</v>
      </c>
      <c r="H599" t="s">
        <v>715</v>
      </c>
      <c r="I599" t="s">
        <v>2402</v>
      </c>
      <c r="J599" t="s">
        <v>1920</v>
      </c>
      <c r="K599" t="s">
        <v>2403</v>
      </c>
      <c r="L599" t="s">
        <v>765</v>
      </c>
      <c r="M599" t="s">
        <v>720</v>
      </c>
      <c r="N599" t="s">
        <v>721</v>
      </c>
      <c r="O599">
        <v>1</v>
      </c>
      <c r="P599">
        <v>15</v>
      </c>
      <c r="Q599">
        <v>109</v>
      </c>
      <c r="R599" t="s">
        <v>758</v>
      </c>
      <c r="S599" t="s">
        <v>745</v>
      </c>
      <c r="T599" t="s">
        <v>746</v>
      </c>
      <c r="U599" t="s">
        <v>759</v>
      </c>
    </row>
    <row r="600" spans="1:21" hidden="1" x14ac:dyDescent="0.3">
      <c r="A600" s="1" t="s">
        <v>1778</v>
      </c>
      <c r="B600" t="s">
        <v>732</v>
      </c>
      <c r="C600" t="s">
        <v>711</v>
      </c>
      <c r="D600" t="s">
        <v>1396</v>
      </c>
      <c r="E600" t="s">
        <v>568</v>
      </c>
      <c r="F600" t="s">
        <v>997</v>
      </c>
      <c r="G600" t="s">
        <v>794</v>
      </c>
      <c r="H600" t="s">
        <v>715</v>
      </c>
      <c r="I600" t="s">
        <v>2250</v>
      </c>
      <c r="J600" t="s">
        <v>2251</v>
      </c>
      <c r="K600" t="s">
        <v>2252</v>
      </c>
      <c r="L600" t="s">
        <v>1082</v>
      </c>
      <c r="M600" t="s">
        <v>720</v>
      </c>
      <c r="N600" t="s">
        <v>721</v>
      </c>
      <c r="O600">
        <v>6</v>
      </c>
      <c r="P600">
        <v>0</v>
      </c>
      <c r="Q600">
        <v>74</v>
      </c>
      <c r="R600" t="s">
        <v>798</v>
      </c>
      <c r="S600" t="s">
        <v>723</v>
      </c>
      <c r="T600" t="s">
        <v>1083</v>
      </c>
      <c r="U600" t="s">
        <v>707</v>
      </c>
    </row>
    <row r="601" spans="1:21" hidden="1" x14ac:dyDescent="0.3">
      <c r="A601" s="1" t="s">
        <v>1778</v>
      </c>
      <c r="B601" t="s">
        <v>732</v>
      </c>
      <c r="C601" t="s">
        <v>711</v>
      </c>
      <c r="D601" t="s">
        <v>1397</v>
      </c>
      <c r="E601" t="s">
        <v>568</v>
      </c>
      <c r="F601" t="s">
        <v>1002</v>
      </c>
      <c r="G601" t="s">
        <v>794</v>
      </c>
      <c r="H601" t="s">
        <v>715</v>
      </c>
      <c r="I601" t="s">
        <v>2404</v>
      </c>
      <c r="J601" t="s">
        <v>2405</v>
      </c>
      <c r="K601" t="s">
        <v>2406</v>
      </c>
      <c r="L601" t="s">
        <v>765</v>
      </c>
      <c r="M601" t="s">
        <v>720</v>
      </c>
      <c r="N601" t="s">
        <v>721</v>
      </c>
      <c r="O601">
        <v>5</v>
      </c>
      <c r="P601">
        <v>15</v>
      </c>
      <c r="Q601">
        <v>55</v>
      </c>
      <c r="R601" t="s">
        <v>758</v>
      </c>
      <c r="S601" t="s">
        <v>745</v>
      </c>
      <c r="T601" t="s">
        <v>746</v>
      </c>
      <c r="U601" t="s">
        <v>759</v>
      </c>
    </row>
    <row r="602" spans="1:21" hidden="1" x14ac:dyDescent="0.3">
      <c r="A602" s="1" t="s">
        <v>1778</v>
      </c>
      <c r="B602" t="s">
        <v>732</v>
      </c>
      <c r="C602" t="s">
        <v>711</v>
      </c>
      <c r="D602" t="s">
        <v>2566</v>
      </c>
      <c r="E602" t="s">
        <v>568</v>
      </c>
      <c r="F602" t="s">
        <v>1007</v>
      </c>
      <c r="G602" t="s">
        <v>753</v>
      </c>
      <c r="H602" t="s">
        <v>715</v>
      </c>
      <c r="I602" t="s">
        <v>2407</v>
      </c>
      <c r="J602" t="s">
        <v>2408</v>
      </c>
      <c r="K602" t="s">
        <v>2409</v>
      </c>
      <c r="L602" t="s">
        <v>826</v>
      </c>
      <c r="M602" t="s">
        <v>720</v>
      </c>
      <c r="N602" t="s">
        <v>721</v>
      </c>
      <c r="O602">
        <v>0</v>
      </c>
      <c r="P602">
        <v>8</v>
      </c>
      <c r="Q602">
        <v>20</v>
      </c>
      <c r="R602" t="s">
        <v>798</v>
      </c>
      <c r="S602" t="s">
        <v>745</v>
      </c>
      <c r="T602" t="s">
        <v>746</v>
      </c>
      <c r="U602" t="s">
        <v>759</v>
      </c>
    </row>
    <row r="603" spans="1:21" hidden="1" x14ac:dyDescent="0.3">
      <c r="A603" s="1" t="s">
        <v>1778</v>
      </c>
      <c r="B603" t="s">
        <v>732</v>
      </c>
      <c r="C603" t="s">
        <v>711</v>
      </c>
      <c r="D603" t="s">
        <v>2567</v>
      </c>
      <c r="E603" t="s">
        <v>568</v>
      </c>
      <c r="F603" t="s">
        <v>1013</v>
      </c>
      <c r="G603" t="s">
        <v>794</v>
      </c>
      <c r="H603" t="s">
        <v>715</v>
      </c>
      <c r="I603" t="s">
        <v>2410</v>
      </c>
      <c r="J603" t="s">
        <v>2411</v>
      </c>
      <c r="K603" t="s">
        <v>2412</v>
      </c>
      <c r="L603" t="s">
        <v>765</v>
      </c>
      <c r="M603" t="s">
        <v>720</v>
      </c>
      <c r="N603" t="s">
        <v>721</v>
      </c>
      <c r="O603">
        <v>12</v>
      </c>
      <c r="P603">
        <v>15</v>
      </c>
      <c r="Q603">
        <v>82</v>
      </c>
      <c r="R603" t="s">
        <v>758</v>
      </c>
      <c r="S603" t="s">
        <v>745</v>
      </c>
      <c r="T603" t="s">
        <v>746</v>
      </c>
      <c r="U603" t="s">
        <v>1011</v>
      </c>
    </row>
    <row r="604" spans="1:21" hidden="1" x14ac:dyDescent="0.3">
      <c r="A604" s="1" t="s">
        <v>1778</v>
      </c>
      <c r="B604" t="s">
        <v>732</v>
      </c>
      <c r="C604" t="s">
        <v>711</v>
      </c>
      <c r="D604" t="s">
        <v>1398</v>
      </c>
      <c r="E604" t="s">
        <v>568</v>
      </c>
      <c r="F604" t="s">
        <v>1018</v>
      </c>
      <c r="G604" t="s">
        <v>753</v>
      </c>
      <c r="H604" t="s">
        <v>715</v>
      </c>
      <c r="I604" t="s">
        <v>2413</v>
      </c>
      <c r="J604" t="s">
        <v>2414</v>
      </c>
      <c r="K604" t="s">
        <v>2415</v>
      </c>
      <c r="L604" t="s">
        <v>765</v>
      </c>
      <c r="M604" t="s">
        <v>720</v>
      </c>
      <c r="N604" t="s">
        <v>721</v>
      </c>
      <c r="O604">
        <v>0</v>
      </c>
      <c r="P604">
        <v>15</v>
      </c>
      <c r="Q604">
        <v>24</v>
      </c>
      <c r="R604" t="s">
        <v>758</v>
      </c>
      <c r="S604" t="s">
        <v>745</v>
      </c>
      <c r="T604" t="s">
        <v>746</v>
      </c>
      <c r="U604" t="s">
        <v>759</v>
      </c>
    </row>
    <row r="605" spans="1:21" hidden="1" x14ac:dyDescent="0.3">
      <c r="A605" s="1" t="s">
        <v>1778</v>
      </c>
      <c r="B605" t="s">
        <v>732</v>
      </c>
      <c r="C605" t="s">
        <v>711</v>
      </c>
      <c r="D605" t="s">
        <v>2157</v>
      </c>
      <c r="E605" t="s">
        <v>568</v>
      </c>
      <c r="F605" t="s">
        <v>1023</v>
      </c>
      <c r="G605" t="s">
        <v>794</v>
      </c>
      <c r="H605" t="s">
        <v>715</v>
      </c>
      <c r="I605" t="s">
        <v>2416</v>
      </c>
      <c r="J605" t="s">
        <v>2417</v>
      </c>
      <c r="K605" t="s">
        <v>2418</v>
      </c>
      <c r="L605" t="s">
        <v>765</v>
      </c>
      <c r="M605" t="s">
        <v>720</v>
      </c>
      <c r="N605" t="s">
        <v>721</v>
      </c>
      <c r="O605">
        <v>2</v>
      </c>
      <c r="P605">
        <v>15</v>
      </c>
      <c r="Q605">
        <v>29</v>
      </c>
      <c r="R605" t="s">
        <v>758</v>
      </c>
      <c r="S605" t="s">
        <v>745</v>
      </c>
      <c r="T605" t="s">
        <v>746</v>
      </c>
      <c r="U605" t="s">
        <v>759</v>
      </c>
    </row>
    <row r="606" spans="1:21" hidden="1" x14ac:dyDescent="0.3">
      <c r="A606" s="1" t="s">
        <v>1778</v>
      </c>
      <c r="B606" t="s">
        <v>732</v>
      </c>
      <c r="C606" t="s">
        <v>711</v>
      </c>
      <c r="D606" t="s">
        <v>1399</v>
      </c>
      <c r="E606" t="s">
        <v>568</v>
      </c>
      <c r="F606" t="s">
        <v>1028</v>
      </c>
      <c r="G606" t="s">
        <v>794</v>
      </c>
      <c r="H606" t="s">
        <v>715</v>
      </c>
      <c r="I606" t="s">
        <v>2419</v>
      </c>
      <c r="J606" t="s">
        <v>2420</v>
      </c>
      <c r="K606" t="s">
        <v>2421</v>
      </c>
      <c r="L606" t="s">
        <v>826</v>
      </c>
      <c r="M606" t="s">
        <v>720</v>
      </c>
      <c r="N606" t="s">
        <v>721</v>
      </c>
      <c r="O606">
        <v>11</v>
      </c>
      <c r="P606">
        <v>2</v>
      </c>
      <c r="Q606">
        <v>84</v>
      </c>
      <c r="R606" t="s">
        <v>798</v>
      </c>
      <c r="S606" t="s">
        <v>745</v>
      </c>
      <c r="T606" t="s">
        <v>746</v>
      </c>
      <c r="U606" t="s">
        <v>759</v>
      </c>
    </row>
    <row r="607" spans="1:21" hidden="1" x14ac:dyDescent="0.3">
      <c r="A607" s="1" t="s">
        <v>1778</v>
      </c>
      <c r="B607" t="s">
        <v>732</v>
      </c>
      <c r="C607" t="s">
        <v>711</v>
      </c>
      <c r="D607" t="s">
        <v>2158</v>
      </c>
      <c r="E607" t="s">
        <v>568</v>
      </c>
      <c r="F607" t="s">
        <v>1033</v>
      </c>
      <c r="G607" t="s">
        <v>806</v>
      </c>
      <c r="H607" t="s">
        <v>715</v>
      </c>
      <c r="I607" t="s">
        <v>2422</v>
      </c>
      <c r="J607" t="s">
        <v>2423</v>
      </c>
      <c r="K607" t="s">
        <v>2424</v>
      </c>
      <c r="L607" t="s">
        <v>765</v>
      </c>
      <c r="M607" t="s">
        <v>720</v>
      </c>
      <c r="N607" t="s">
        <v>721</v>
      </c>
      <c r="O607">
        <v>1</v>
      </c>
      <c r="P607">
        <v>15</v>
      </c>
      <c r="Q607">
        <v>84</v>
      </c>
      <c r="R607" t="s">
        <v>758</v>
      </c>
      <c r="S607" t="s">
        <v>745</v>
      </c>
      <c r="T607" t="s">
        <v>746</v>
      </c>
      <c r="U607" t="s">
        <v>759</v>
      </c>
    </row>
    <row r="608" spans="1:21" hidden="1" x14ac:dyDescent="0.3">
      <c r="A608" s="1" t="s">
        <v>1778</v>
      </c>
      <c r="B608" t="s">
        <v>732</v>
      </c>
      <c r="C608" t="s">
        <v>711</v>
      </c>
      <c r="D608" t="s">
        <v>1400</v>
      </c>
      <c r="E608" t="s">
        <v>568</v>
      </c>
      <c r="F608" t="s">
        <v>1401</v>
      </c>
      <c r="G608" t="s">
        <v>806</v>
      </c>
      <c r="H608" t="s">
        <v>715</v>
      </c>
      <c r="I608" t="s">
        <v>2253</v>
      </c>
      <c r="J608" t="s">
        <v>2254</v>
      </c>
      <c r="K608" t="s">
        <v>2255</v>
      </c>
      <c r="L608" t="s">
        <v>1082</v>
      </c>
      <c r="M608" t="s">
        <v>720</v>
      </c>
      <c r="N608" t="s">
        <v>721</v>
      </c>
      <c r="O608">
        <v>14</v>
      </c>
      <c r="P608">
        <v>0</v>
      </c>
      <c r="Q608">
        <v>40</v>
      </c>
      <c r="R608" t="s">
        <v>798</v>
      </c>
      <c r="S608" t="s">
        <v>723</v>
      </c>
      <c r="T608" t="s">
        <v>1083</v>
      </c>
      <c r="U608" t="s">
        <v>707</v>
      </c>
    </row>
    <row r="609" spans="1:21" hidden="1" x14ac:dyDescent="0.3">
      <c r="A609" s="1" t="s">
        <v>1778</v>
      </c>
      <c r="B609" t="s">
        <v>732</v>
      </c>
      <c r="C609" t="s">
        <v>711</v>
      </c>
      <c r="D609" t="s">
        <v>1405</v>
      </c>
      <c r="E609" t="s">
        <v>568</v>
      </c>
      <c r="F609" t="s">
        <v>1043</v>
      </c>
      <c r="G609" t="s">
        <v>753</v>
      </c>
      <c r="H609" t="s">
        <v>715</v>
      </c>
      <c r="I609" t="s">
        <v>2256</v>
      </c>
      <c r="J609" t="s">
        <v>2257</v>
      </c>
      <c r="K609" t="s">
        <v>2258</v>
      </c>
      <c r="L609" t="s">
        <v>1082</v>
      </c>
      <c r="M609" t="s">
        <v>720</v>
      </c>
      <c r="N609" t="s">
        <v>721</v>
      </c>
      <c r="O609">
        <v>13</v>
      </c>
      <c r="P609">
        <v>0</v>
      </c>
      <c r="Q609">
        <v>45</v>
      </c>
      <c r="R609" t="s">
        <v>798</v>
      </c>
      <c r="S609" t="s">
        <v>723</v>
      </c>
      <c r="T609" t="s">
        <v>1083</v>
      </c>
      <c r="U609" t="s">
        <v>707</v>
      </c>
    </row>
    <row r="610" spans="1:21" hidden="1" x14ac:dyDescent="0.3">
      <c r="A610" s="1" t="s">
        <v>1778</v>
      </c>
      <c r="B610" t="s">
        <v>732</v>
      </c>
      <c r="C610" t="s">
        <v>711</v>
      </c>
      <c r="D610" t="s">
        <v>1406</v>
      </c>
      <c r="E610" t="s">
        <v>568</v>
      </c>
      <c r="F610" t="s">
        <v>1048</v>
      </c>
      <c r="G610" t="s">
        <v>794</v>
      </c>
      <c r="H610" t="s">
        <v>715</v>
      </c>
      <c r="I610" t="s">
        <v>2568</v>
      </c>
      <c r="J610" t="s">
        <v>2569</v>
      </c>
      <c r="K610" t="s">
        <v>2570</v>
      </c>
      <c r="L610" t="s">
        <v>985</v>
      </c>
      <c r="M610" t="s">
        <v>720</v>
      </c>
      <c r="N610" t="s">
        <v>743</v>
      </c>
      <c r="O610">
        <v>28</v>
      </c>
      <c r="P610">
        <v>0</v>
      </c>
      <c r="Q610">
        <v>150</v>
      </c>
      <c r="R610" t="s">
        <v>798</v>
      </c>
      <c r="S610" t="s">
        <v>745</v>
      </c>
      <c r="T610" t="s">
        <v>746</v>
      </c>
      <c r="U610" t="s">
        <v>1466</v>
      </c>
    </row>
    <row r="611" spans="1:21" hidden="1" x14ac:dyDescent="0.3">
      <c r="A611" s="1" t="s">
        <v>1778</v>
      </c>
      <c r="B611" t="s">
        <v>732</v>
      </c>
      <c r="C611" t="s">
        <v>711</v>
      </c>
      <c r="D611" t="s">
        <v>1407</v>
      </c>
      <c r="E611" t="s">
        <v>568</v>
      </c>
      <c r="F611" t="s">
        <v>1408</v>
      </c>
      <c r="G611" t="s">
        <v>753</v>
      </c>
      <c r="H611" t="s">
        <v>715</v>
      </c>
      <c r="I611" t="s">
        <v>2428</v>
      </c>
      <c r="J611" t="s">
        <v>1075</v>
      </c>
      <c r="K611" t="s">
        <v>2429</v>
      </c>
      <c r="L611" t="s">
        <v>765</v>
      </c>
      <c r="M611" t="s">
        <v>720</v>
      </c>
      <c r="N611" t="s">
        <v>721</v>
      </c>
      <c r="O611">
        <v>0</v>
      </c>
      <c r="P611">
        <v>15</v>
      </c>
      <c r="Q611">
        <v>31</v>
      </c>
      <c r="R611" t="s">
        <v>758</v>
      </c>
      <c r="S611" t="s">
        <v>745</v>
      </c>
      <c r="T611" t="s">
        <v>746</v>
      </c>
      <c r="U611" t="s">
        <v>759</v>
      </c>
    </row>
    <row r="612" spans="1:21" hidden="1" x14ac:dyDescent="0.3">
      <c r="A612" s="1" t="s">
        <v>1778</v>
      </c>
      <c r="B612" t="s">
        <v>732</v>
      </c>
      <c r="C612" t="s">
        <v>711</v>
      </c>
      <c r="D612" t="s">
        <v>1412</v>
      </c>
      <c r="E612" t="s">
        <v>568</v>
      </c>
      <c r="F612" t="s">
        <v>1053</v>
      </c>
      <c r="G612" t="s">
        <v>806</v>
      </c>
      <c r="H612" t="s">
        <v>715</v>
      </c>
      <c r="I612" t="s">
        <v>2259</v>
      </c>
      <c r="J612" t="s">
        <v>2260</v>
      </c>
      <c r="K612" t="s">
        <v>2261</v>
      </c>
      <c r="L612" t="s">
        <v>1082</v>
      </c>
      <c r="M612" t="s">
        <v>720</v>
      </c>
      <c r="N612" t="s">
        <v>721</v>
      </c>
      <c r="O612">
        <v>3</v>
      </c>
      <c r="P612">
        <v>0</v>
      </c>
      <c r="Q612">
        <v>49</v>
      </c>
      <c r="R612" t="s">
        <v>798</v>
      </c>
      <c r="S612" t="s">
        <v>723</v>
      </c>
      <c r="T612" t="s">
        <v>1083</v>
      </c>
      <c r="U612" t="s">
        <v>707</v>
      </c>
    </row>
    <row r="613" spans="1:21" hidden="1" x14ac:dyDescent="0.3">
      <c r="A613" s="1" t="s">
        <v>1778</v>
      </c>
      <c r="B613" t="s">
        <v>732</v>
      </c>
      <c r="C613" t="s">
        <v>711</v>
      </c>
      <c r="D613" t="s">
        <v>2167</v>
      </c>
      <c r="E613" t="s">
        <v>568</v>
      </c>
      <c r="F613" t="s">
        <v>1058</v>
      </c>
      <c r="G613" t="s">
        <v>753</v>
      </c>
      <c r="H613" t="s">
        <v>715</v>
      </c>
      <c r="I613" t="s">
        <v>2262</v>
      </c>
      <c r="J613" t="s">
        <v>2263</v>
      </c>
      <c r="K613" t="s">
        <v>2264</v>
      </c>
      <c r="L613" t="s">
        <v>1082</v>
      </c>
      <c r="M613" t="s">
        <v>720</v>
      </c>
      <c r="N613" t="s">
        <v>721</v>
      </c>
      <c r="O613">
        <v>3</v>
      </c>
      <c r="P613">
        <v>0</v>
      </c>
      <c r="Q613">
        <v>53</v>
      </c>
      <c r="R613" t="s">
        <v>798</v>
      </c>
      <c r="S613" t="s">
        <v>723</v>
      </c>
      <c r="T613" t="s">
        <v>1083</v>
      </c>
      <c r="U613" t="s">
        <v>707</v>
      </c>
    </row>
    <row r="614" spans="1:21" hidden="1" x14ac:dyDescent="0.3">
      <c r="A614" s="1" t="s">
        <v>1778</v>
      </c>
      <c r="B614" t="s">
        <v>732</v>
      </c>
      <c r="C614" t="s">
        <v>711</v>
      </c>
      <c r="D614" t="s">
        <v>1462</v>
      </c>
      <c r="E614" t="s">
        <v>568</v>
      </c>
      <c r="F614" t="s">
        <v>1068</v>
      </c>
      <c r="G614" t="s">
        <v>794</v>
      </c>
      <c r="H614" t="s">
        <v>715</v>
      </c>
      <c r="I614" t="s">
        <v>2210</v>
      </c>
      <c r="J614" t="s">
        <v>2265</v>
      </c>
      <c r="K614" t="s">
        <v>2266</v>
      </c>
      <c r="L614" t="s">
        <v>826</v>
      </c>
      <c r="M614" t="s">
        <v>720</v>
      </c>
      <c r="N614" t="s">
        <v>721</v>
      </c>
      <c r="O614">
        <v>12</v>
      </c>
      <c r="P614">
        <v>10</v>
      </c>
      <c r="Q614">
        <v>72</v>
      </c>
      <c r="R614" t="s">
        <v>722</v>
      </c>
      <c r="S614" t="s">
        <v>745</v>
      </c>
      <c r="T614" t="s">
        <v>746</v>
      </c>
      <c r="U614" t="s">
        <v>759</v>
      </c>
    </row>
    <row r="615" spans="1:21" hidden="1" x14ac:dyDescent="0.3">
      <c r="A615" s="1" t="s">
        <v>1778</v>
      </c>
      <c r="B615" t="s">
        <v>732</v>
      </c>
      <c r="C615" t="s">
        <v>711</v>
      </c>
      <c r="D615" t="s">
        <v>2571</v>
      </c>
      <c r="E615" t="s">
        <v>568</v>
      </c>
      <c r="F615" t="s">
        <v>1095</v>
      </c>
      <c r="G615" t="s">
        <v>794</v>
      </c>
      <c r="H615" t="s">
        <v>715</v>
      </c>
      <c r="I615" t="s">
        <v>2210</v>
      </c>
      <c r="J615" t="s">
        <v>2211</v>
      </c>
      <c r="K615" t="s">
        <v>2212</v>
      </c>
      <c r="L615" t="s">
        <v>2213</v>
      </c>
      <c r="M615" t="s">
        <v>2213</v>
      </c>
      <c r="N615" t="s">
        <v>721</v>
      </c>
      <c r="O615">
        <v>6</v>
      </c>
      <c r="P615">
        <v>0</v>
      </c>
      <c r="Q615">
        <v>231</v>
      </c>
      <c r="R615" t="s">
        <v>758</v>
      </c>
      <c r="S615" t="s">
        <v>723</v>
      </c>
      <c r="T615" t="s">
        <v>2214</v>
      </c>
      <c r="U615" t="s">
        <v>725</v>
      </c>
    </row>
    <row r="616" spans="1:21" hidden="1" x14ac:dyDescent="0.3">
      <c r="A616" s="1" t="s">
        <v>1778</v>
      </c>
      <c r="B616" t="s">
        <v>732</v>
      </c>
      <c r="C616" t="s">
        <v>711</v>
      </c>
      <c r="D616" t="s">
        <v>1415</v>
      </c>
      <c r="E616" t="s">
        <v>568</v>
      </c>
      <c r="F616" t="s">
        <v>1100</v>
      </c>
      <c r="G616" t="s">
        <v>794</v>
      </c>
      <c r="H616" t="s">
        <v>715</v>
      </c>
      <c r="I616" t="s">
        <v>2442</v>
      </c>
      <c r="J616" t="s">
        <v>2443</v>
      </c>
      <c r="K616" t="s">
        <v>2444</v>
      </c>
      <c r="L616" t="s">
        <v>826</v>
      </c>
      <c r="M616" t="s">
        <v>720</v>
      </c>
      <c r="N616" t="s">
        <v>721</v>
      </c>
      <c r="O616">
        <v>0</v>
      </c>
      <c r="P616">
        <v>2</v>
      </c>
      <c r="Q616">
        <v>84</v>
      </c>
      <c r="R616" t="s">
        <v>798</v>
      </c>
      <c r="S616" t="s">
        <v>745</v>
      </c>
      <c r="T616" t="s">
        <v>746</v>
      </c>
      <c r="U616" t="s">
        <v>759</v>
      </c>
    </row>
    <row r="617" spans="1:21" hidden="1" x14ac:dyDescent="0.3">
      <c r="A617" s="1" t="s">
        <v>1778</v>
      </c>
      <c r="B617" t="s">
        <v>732</v>
      </c>
      <c r="C617" t="s">
        <v>711</v>
      </c>
      <c r="D617" t="s">
        <v>2171</v>
      </c>
      <c r="E617" t="s">
        <v>568</v>
      </c>
      <c r="F617" t="s">
        <v>1105</v>
      </c>
      <c r="G617" t="s">
        <v>753</v>
      </c>
      <c r="H617" t="s">
        <v>715</v>
      </c>
      <c r="I617" t="s">
        <v>2445</v>
      </c>
      <c r="J617" t="s">
        <v>2446</v>
      </c>
      <c r="K617" t="s">
        <v>2447</v>
      </c>
      <c r="L617" t="s">
        <v>765</v>
      </c>
      <c r="M617" t="s">
        <v>720</v>
      </c>
      <c r="N617" t="s">
        <v>721</v>
      </c>
      <c r="O617">
        <v>0</v>
      </c>
      <c r="P617">
        <v>15</v>
      </c>
      <c r="Q617">
        <v>34</v>
      </c>
      <c r="R617" t="s">
        <v>758</v>
      </c>
      <c r="S617" t="s">
        <v>745</v>
      </c>
      <c r="T617" t="s">
        <v>746</v>
      </c>
      <c r="U617" t="s">
        <v>759</v>
      </c>
    </row>
    <row r="618" spans="1:21" hidden="1" x14ac:dyDescent="0.3">
      <c r="A618" s="1" t="s">
        <v>1778</v>
      </c>
      <c r="B618" t="s">
        <v>732</v>
      </c>
      <c r="C618" t="s">
        <v>711</v>
      </c>
      <c r="D618" t="s">
        <v>2172</v>
      </c>
      <c r="E618" t="s">
        <v>568</v>
      </c>
      <c r="F618" t="s">
        <v>1110</v>
      </c>
      <c r="G618" t="s">
        <v>753</v>
      </c>
      <c r="H618" t="s">
        <v>715</v>
      </c>
      <c r="I618" t="s">
        <v>2448</v>
      </c>
      <c r="J618" t="s">
        <v>2449</v>
      </c>
      <c r="K618" t="s">
        <v>2450</v>
      </c>
      <c r="L618" t="s">
        <v>765</v>
      </c>
      <c r="M618" t="s">
        <v>720</v>
      </c>
      <c r="N618" t="s">
        <v>721</v>
      </c>
      <c r="O618">
        <v>0</v>
      </c>
      <c r="P618">
        <v>15</v>
      </c>
      <c r="Q618">
        <v>24</v>
      </c>
      <c r="R618" t="s">
        <v>758</v>
      </c>
      <c r="S618" t="s">
        <v>745</v>
      </c>
      <c r="T618" t="s">
        <v>746</v>
      </c>
      <c r="U618" t="s">
        <v>759</v>
      </c>
    </row>
    <row r="619" spans="1:21" hidden="1" x14ac:dyDescent="0.3">
      <c r="A619" s="1" t="s">
        <v>1778</v>
      </c>
      <c r="B619" t="s">
        <v>732</v>
      </c>
      <c r="C619" t="s">
        <v>711</v>
      </c>
      <c r="D619" t="s">
        <v>727</v>
      </c>
      <c r="E619" t="s">
        <v>568</v>
      </c>
      <c r="F619" t="s">
        <v>728</v>
      </c>
      <c r="G619" t="s">
        <v>753</v>
      </c>
      <c r="H619" t="s">
        <v>715</v>
      </c>
      <c r="I619" t="s">
        <v>2267</v>
      </c>
      <c r="J619" t="s">
        <v>2268</v>
      </c>
      <c r="K619" t="s">
        <v>2269</v>
      </c>
      <c r="L619" t="s">
        <v>1082</v>
      </c>
      <c r="M619" t="s">
        <v>720</v>
      </c>
      <c r="N619" t="s">
        <v>721</v>
      </c>
      <c r="O619">
        <v>30</v>
      </c>
      <c r="P619">
        <v>0</v>
      </c>
      <c r="Q619">
        <v>44</v>
      </c>
      <c r="R619" t="s">
        <v>798</v>
      </c>
      <c r="S619" t="s">
        <v>723</v>
      </c>
      <c r="T619" t="s">
        <v>1083</v>
      </c>
      <c r="U619" t="s">
        <v>707</v>
      </c>
    </row>
    <row r="620" spans="1:21" hidden="1" x14ac:dyDescent="0.3">
      <c r="A620" s="1" t="s">
        <v>1778</v>
      </c>
      <c r="B620" t="s">
        <v>732</v>
      </c>
      <c r="C620" t="s">
        <v>711</v>
      </c>
      <c r="D620" t="s">
        <v>2173</v>
      </c>
      <c r="E620" t="s">
        <v>568</v>
      </c>
      <c r="F620" t="s">
        <v>1124</v>
      </c>
      <c r="G620" t="s">
        <v>794</v>
      </c>
      <c r="H620" t="s">
        <v>715</v>
      </c>
      <c r="I620" t="s">
        <v>2454</v>
      </c>
      <c r="J620" t="s">
        <v>1055</v>
      </c>
      <c r="K620" t="s">
        <v>2415</v>
      </c>
      <c r="L620" t="s">
        <v>765</v>
      </c>
      <c r="M620" t="s">
        <v>720</v>
      </c>
      <c r="N620" t="s">
        <v>721</v>
      </c>
      <c r="O620">
        <v>0</v>
      </c>
      <c r="P620">
        <v>15</v>
      </c>
      <c r="Q620">
        <v>24</v>
      </c>
      <c r="R620" t="s">
        <v>758</v>
      </c>
      <c r="S620" t="s">
        <v>745</v>
      </c>
      <c r="T620" t="s">
        <v>746</v>
      </c>
      <c r="U620" t="s">
        <v>759</v>
      </c>
    </row>
    <row r="621" spans="1:21" hidden="1" x14ac:dyDescent="0.3">
      <c r="A621" s="1" t="s">
        <v>1778</v>
      </c>
      <c r="B621" t="s">
        <v>732</v>
      </c>
      <c r="C621" t="s">
        <v>711</v>
      </c>
      <c r="D621" t="s">
        <v>1417</v>
      </c>
      <c r="E621" t="s">
        <v>568</v>
      </c>
      <c r="F621" t="s">
        <v>1129</v>
      </c>
      <c r="G621" t="s">
        <v>794</v>
      </c>
      <c r="H621" t="s">
        <v>715</v>
      </c>
      <c r="I621" t="s">
        <v>2455</v>
      </c>
      <c r="J621" t="s">
        <v>2456</v>
      </c>
      <c r="K621" t="s">
        <v>2457</v>
      </c>
      <c r="L621" t="s">
        <v>765</v>
      </c>
      <c r="M621" t="s">
        <v>720</v>
      </c>
      <c r="N621" t="s">
        <v>721</v>
      </c>
      <c r="O621">
        <v>1</v>
      </c>
      <c r="P621">
        <v>15</v>
      </c>
      <c r="Q621">
        <v>116</v>
      </c>
      <c r="R621" t="s">
        <v>758</v>
      </c>
      <c r="S621" t="s">
        <v>745</v>
      </c>
      <c r="T621" t="s">
        <v>746</v>
      </c>
      <c r="U621" t="s">
        <v>759</v>
      </c>
    </row>
    <row r="622" spans="1:21" hidden="1" x14ac:dyDescent="0.3">
      <c r="A622" s="1" t="s">
        <v>1778</v>
      </c>
      <c r="B622" t="s">
        <v>732</v>
      </c>
      <c r="C622" t="s">
        <v>711</v>
      </c>
      <c r="D622" t="s">
        <v>1418</v>
      </c>
      <c r="E622" t="s">
        <v>568</v>
      </c>
      <c r="F622" t="s">
        <v>1134</v>
      </c>
      <c r="G622" t="s">
        <v>794</v>
      </c>
      <c r="H622" t="s">
        <v>715</v>
      </c>
      <c r="I622" t="s">
        <v>2215</v>
      </c>
      <c r="J622" t="s">
        <v>1999</v>
      </c>
      <c r="K622" t="s">
        <v>2000</v>
      </c>
      <c r="L622" t="s">
        <v>1082</v>
      </c>
      <c r="M622" t="s">
        <v>720</v>
      </c>
      <c r="N622" t="s">
        <v>721</v>
      </c>
      <c r="O622">
        <v>0</v>
      </c>
      <c r="P622">
        <v>0</v>
      </c>
      <c r="Q622">
        <v>56</v>
      </c>
      <c r="R622" t="s">
        <v>798</v>
      </c>
      <c r="S622" t="s">
        <v>723</v>
      </c>
      <c r="T622" t="s">
        <v>1083</v>
      </c>
      <c r="U622" t="s">
        <v>707</v>
      </c>
    </row>
    <row r="623" spans="1:21" hidden="1" x14ac:dyDescent="0.3">
      <c r="A623" s="1" t="s">
        <v>1778</v>
      </c>
      <c r="B623" t="s">
        <v>732</v>
      </c>
      <c r="C623" t="s">
        <v>711</v>
      </c>
      <c r="D623" t="s">
        <v>2174</v>
      </c>
      <c r="E623" t="s">
        <v>568</v>
      </c>
      <c r="F623" t="s">
        <v>1139</v>
      </c>
      <c r="G623" t="s">
        <v>794</v>
      </c>
      <c r="H623" t="s">
        <v>715</v>
      </c>
      <c r="I623" t="s">
        <v>2458</v>
      </c>
      <c r="J623" t="s">
        <v>2459</v>
      </c>
      <c r="K623" t="s">
        <v>2460</v>
      </c>
      <c r="L623" t="s">
        <v>765</v>
      </c>
      <c r="M623" t="s">
        <v>720</v>
      </c>
      <c r="N623" t="s">
        <v>721</v>
      </c>
      <c r="O623">
        <v>3</v>
      </c>
      <c r="P623">
        <v>15</v>
      </c>
      <c r="Q623">
        <v>105</v>
      </c>
      <c r="R623" t="s">
        <v>758</v>
      </c>
      <c r="S623" t="s">
        <v>745</v>
      </c>
      <c r="T623" t="s">
        <v>746</v>
      </c>
      <c r="U623" t="s">
        <v>1466</v>
      </c>
    </row>
    <row r="624" spans="1:21" hidden="1" x14ac:dyDescent="0.3">
      <c r="A624" s="1" t="s">
        <v>1778</v>
      </c>
      <c r="B624" t="s">
        <v>732</v>
      </c>
      <c r="C624" t="s">
        <v>711</v>
      </c>
      <c r="D624" t="s">
        <v>1419</v>
      </c>
      <c r="E624" t="s">
        <v>568</v>
      </c>
      <c r="F624" t="s">
        <v>1144</v>
      </c>
      <c r="G624" t="s">
        <v>794</v>
      </c>
      <c r="H624" t="s">
        <v>715</v>
      </c>
      <c r="I624" t="s">
        <v>2572</v>
      </c>
      <c r="J624" t="s">
        <v>2573</v>
      </c>
      <c r="K624" t="s">
        <v>2574</v>
      </c>
      <c r="L624" t="s">
        <v>985</v>
      </c>
      <c r="M624" t="s">
        <v>720</v>
      </c>
      <c r="N624" t="s">
        <v>743</v>
      </c>
      <c r="O624">
        <v>22</v>
      </c>
      <c r="P624">
        <v>0</v>
      </c>
      <c r="Q624">
        <v>150</v>
      </c>
      <c r="R624" t="s">
        <v>798</v>
      </c>
      <c r="S624" t="s">
        <v>745</v>
      </c>
      <c r="T624" t="s">
        <v>746</v>
      </c>
      <c r="U624" t="s">
        <v>1011</v>
      </c>
    </row>
    <row r="625" spans="1:21" hidden="1" x14ac:dyDescent="0.3">
      <c r="A625" s="1" t="s">
        <v>1778</v>
      </c>
      <c r="B625" t="s">
        <v>732</v>
      </c>
      <c r="C625" t="s">
        <v>711</v>
      </c>
      <c r="D625" t="s">
        <v>1420</v>
      </c>
      <c r="E625" t="s">
        <v>568</v>
      </c>
      <c r="F625" t="s">
        <v>1149</v>
      </c>
      <c r="G625" t="s">
        <v>794</v>
      </c>
      <c r="H625" t="s">
        <v>715</v>
      </c>
      <c r="I625" t="s">
        <v>2461</v>
      </c>
      <c r="J625" t="s">
        <v>2462</v>
      </c>
      <c r="K625" t="s">
        <v>2463</v>
      </c>
      <c r="L625" t="s">
        <v>826</v>
      </c>
      <c r="M625" t="s">
        <v>720</v>
      </c>
      <c r="N625" t="s">
        <v>721</v>
      </c>
      <c r="O625">
        <v>0</v>
      </c>
      <c r="P625">
        <v>2</v>
      </c>
      <c r="Q625">
        <v>31</v>
      </c>
      <c r="R625" t="s">
        <v>798</v>
      </c>
      <c r="S625" t="s">
        <v>745</v>
      </c>
      <c r="T625" t="s">
        <v>746</v>
      </c>
      <c r="U625" t="s">
        <v>759</v>
      </c>
    </row>
    <row r="626" spans="1:21" hidden="1" x14ac:dyDescent="0.3">
      <c r="A626" s="1" t="s">
        <v>1778</v>
      </c>
      <c r="B626" t="s">
        <v>732</v>
      </c>
      <c r="C626" t="s">
        <v>711</v>
      </c>
      <c r="D626" t="s">
        <v>1421</v>
      </c>
      <c r="E626" t="s">
        <v>568</v>
      </c>
      <c r="F626" t="s">
        <v>1154</v>
      </c>
      <c r="G626" t="s">
        <v>806</v>
      </c>
      <c r="H626" t="s">
        <v>715</v>
      </c>
      <c r="I626" t="s">
        <v>2270</v>
      </c>
      <c r="J626" t="s">
        <v>2271</v>
      </c>
      <c r="K626" t="s">
        <v>2272</v>
      </c>
      <c r="L626" t="s">
        <v>1082</v>
      </c>
      <c r="M626" t="s">
        <v>720</v>
      </c>
      <c r="N626" t="s">
        <v>721</v>
      </c>
      <c r="O626">
        <v>30</v>
      </c>
      <c r="P626">
        <v>0</v>
      </c>
      <c r="Q626">
        <v>69</v>
      </c>
      <c r="R626" t="s">
        <v>798</v>
      </c>
      <c r="S626" t="s">
        <v>723</v>
      </c>
      <c r="T626" t="s">
        <v>1083</v>
      </c>
      <c r="U626" t="s">
        <v>707</v>
      </c>
    </row>
    <row r="627" spans="1:21" hidden="1" x14ac:dyDescent="0.3">
      <c r="A627" s="1" t="s">
        <v>1778</v>
      </c>
      <c r="B627" t="s">
        <v>732</v>
      </c>
      <c r="C627" t="s">
        <v>711</v>
      </c>
      <c r="D627" t="s">
        <v>1422</v>
      </c>
      <c r="E627" t="s">
        <v>568</v>
      </c>
      <c r="F627" t="s">
        <v>1423</v>
      </c>
      <c r="G627" t="s">
        <v>794</v>
      </c>
      <c r="H627" t="s">
        <v>715</v>
      </c>
      <c r="I627" t="s">
        <v>2464</v>
      </c>
      <c r="J627" t="s">
        <v>2465</v>
      </c>
      <c r="K627" t="s">
        <v>2466</v>
      </c>
      <c r="L627" t="s">
        <v>765</v>
      </c>
      <c r="M627" t="s">
        <v>720</v>
      </c>
      <c r="N627" t="s">
        <v>721</v>
      </c>
      <c r="O627">
        <v>3</v>
      </c>
      <c r="P627">
        <v>15</v>
      </c>
      <c r="Q627">
        <v>22</v>
      </c>
      <c r="R627" t="s">
        <v>758</v>
      </c>
      <c r="S627" t="s">
        <v>745</v>
      </c>
      <c r="T627" t="s">
        <v>746</v>
      </c>
      <c r="U627" t="s">
        <v>1011</v>
      </c>
    </row>
    <row r="628" spans="1:21" hidden="1" x14ac:dyDescent="0.3">
      <c r="A628" s="1" t="s">
        <v>1778</v>
      </c>
      <c r="B628" t="s">
        <v>732</v>
      </c>
      <c r="C628" t="s">
        <v>711</v>
      </c>
      <c r="D628" t="s">
        <v>2175</v>
      </c>
      <c r="E628" t="s">
        <v>568</v>
      </c>
      <c r="F628" t="s">
        <v>2176</v>
      </c>
      <c r="G628" t="s">
        <v>794</v>
      </c>
      <c r="H628" t="s">
        <v>715</v>
      </c>
      <c r="I628" t="s">
        <v>2575</v>
      </c>
      <c r="J628" t="s">
        <v>2576</v>
      </c>
      <c r="K628" t="s">
        <v>2577</v>
      </c>
      <c r="L628" t="s">
        <v>985</v>
      </c>
      <c r="M628" t="s">
        <v>720</v>
      </c>
      <c r="N628" t="s">
        <v>743</v>
      </c>
      <c r="O628">
        <v>22</v>
      </c>
      <c r="P628">
        <v>0</v>
      </c>
      <c r="Q628">
        <v>150</v>
      </c>
      <c r="R628" t="s">
        <v>798</v>
      </c>
      <c r="S628" t="s">
        <v>745</v>
      </c>
      <c r="T628" t="s">
        <v>746</v>
      </c>
      <c r="U628" t="s">
        <v>1011</v>
      </c>
    </row>
    <row r="629" spans="1:21" hidden="1" x14ac:dyDescent="0.3">
      <c r="A629" s="1" t="s">
        <v>1778</v>
      </c>
      <c r="B629" t="s">
        <v>732</v>
      </c>
      <c r="C629" t="s">
        <v>711</v>
      </c>
      <c r="D629" t="s">
        <v>1428</v>
      </c>
      <c r="E629" t="s">
        <v>568</v>
      </c>
      <c r="F629" t="s">
        <v>1159</v>
      </c>
      <c r="G629" t="s">
        <v>753</v>
      </c>
      <c r="H629" t="s">
        <v>715</v>
      </c>
      <c r="I629" t="s">
        <v>2273</v>
      </c>
      <c r="J629" t="s">
        <v>2274</v>
      </c>
      <c r="K629" t="s">
        <v>2275</v>
      </c>
      <c r="L629" t="s">
        <v>1082</v>
      </c>
      <c r="M629" t="s">
        <v>720</v>
      </c>
      <c r="N629" t="s">
        <v>721</v>
      </c>
      <c r="O629">
        <v>10</v>
      </c>
      <c r="P629">
        <v>0</v>
      </c>
      <c r="Q629">
        <v>61</v>
      </c>
      <c r="R629" t="s">
        <v>798</v>
      </c>
      <c r="S629" t="s">
        <v>723</v>
      </c>
      <c r="T629" t="s">
        <v>1083</v>
      </c>
      <c r="U629" t="s">
        <v>707</v>
      </c>
    </row>
    <row r="630" spans="1:21" hidden="1" x14ac:dyDescent="0.3">
      <c r="A630" s="1" t="s">
        <v>1778</v>
      </c>
      <c r="B630" t="s">
        <v>732</v>
      </c>
      <c r="C630" t="s">
        <v>711</v>
      </c>
      <c r="D630" t="s">
        <v>2180</v>
      </c>
      <c r="E630" t="s">
        <v>567</v>
      </c>
      <c r="F630" t="s">
        <v>1174</v>
      </c>
      <c r="G630" t="s">
        <v>753</v>
      </c>
      <c r="H630" t="s">
        <v>715</v>
      </c>
      <c r="I630" t="s">
        <v>2476</v>
      </c>
      <c r="J630" t="s">
        <v>2477</v>
      </c>
      <c r="K630" t="s">
        <v>2478</v>
      </c>
      <c r="L630" t="s">
        <v>765</v>
      </c>
      <c r="M630" t="s">
        <v>720</v>
      </c>
      <c r="N630" t="s">
        <v>721</v>
      </c>
      <c r="O630">
        <v>16</v>
      </c>
      <c r="P630">
        <v>15</v>
      </c>
      <c r="Q630">
        <v>100</v>
      </c>
      <c r="R630" t="s">
        <v>758</v>
      </c>
      <c r="S630" t="s">
        <v>745</v>
      </c>
      <c r="T630" t="s">
        <v>746</v>
      </c>
      <c r="U630" t="s">
        <v>759</v>
      </c>
    </row>
    <row r="631" spans="1:21" hidden="1" x14ac:dyDescent="0.3">
      <c r="A631" s="1" t="s">
        <v>1778</v>
      </c>
      <c r="B631" t="s">
        <v>732</v>
      </c>
      <c r="C631" t="s">
        <v>711</v>
      </c>
      <c r="D631" t="s">
        <v>2578</v>
      </c>
      <c r="E631" t="s">
        <v>567</v>
      </c>
      <c r="F631" t="s">
        <v>2579</v>
      </c>
      <c r="G631" t="s">
        <v>794</v>
      </c>
      <c r="H631" t="s">
        <v>715</v>
      </c>
      <c r="I631" t="s">
        <v>2580</v>
      </c>
      <c r="J631" t="s">
        <v>2581</v>
      </c>
      <c r="K631" t="s">
        <v>2582</v>
      </c>
      <c r="L631" t="s">
        <v>826</v>
      </c>
      <c r="M631" t="s">
        <v>720</v>
      </c>
      <c r="N631" t="s">
        <v>721</v>
      </c>
      <c r="O631">
        <v>5</v>
      </c>
      <c r="P631">
        <v>2</v>
      </c>
      <c r="Q631">
        <v>9</v>
      </c>
      <c r="R631" t="s">
        <v>798</v>
      </c>
      <c r="S631" t="s">
        <v>745</v>
      </c>
      <c r="T631" t="s">
        <v>746</v>
      </c>
      <c r="U631" t="s">
        <v>1193</v>
      </c>
    </row>
    <row r="632" spans="1:21" hidden="1" x14ac:dyDescent="0.3">
      <c r="A632" s="1" t="s">
        <v>1778</v>
      </c>
      <c r="B632" t="s">
        <v>732</v>
      </c>
      <c r="C632" t="s">
        <v>711</v>
      </c>
      <c r="D632" t="s">
        <v>1429</v>
      </c>
      <c r="E632" t="s">
        <v>567</v>
      </c>
      <c r="F632" t="s">
        <v>1179</v>
      </c>
      <c r="G632" t="s">
        <v>794</v>
      </c>
      <c r="H632" t="s">
        <v>715</v>
      </c>
      <c r="I632" t="s">
        <v>2479</v>
      </c>
      <c r="J632" t="s">
        <v>2480</v>
      </c>
      <c r="K632" t="s">
        <v>2481</v>
      </c>
      <c r="L632" t="s">
        <v>826</v>
      </c>
      <c r="M632" t="s">
        <v>720</v>
      </c>
      <c r="N632" t="s">
        <v>721</v>
      </c>
      <c r="O632">
        <v>0</v>
      </c>
      <c r="P632">
        <v>10</v>
      </c>
      <c r="Q632">
        <v>14</v>
      </c>
      <c r="R632" t="s">
        <v>722</v>
      </c>
      <c r="S632" t="s">
        <v>745</v>
      </c>
      <c r="T632" t="s">
        <v>746</v>
      </c>
      <c r="U632" t="s">
        <v>759</v>
      </c>
    </row>
    <row r="633" spans="1:21" hidden="1" x14ac:dyDescent="0.3">
      <c r="A633" s="1" t="s">
        <v>1778</v>
      </c>
      <c r="B633" t="s">
        <v>732</v>
      </c>
      <c r="C633" t="s">
        <v>711</v>
      </c>
      <c r="D633" t="s">
        <v>1430</v>
      </c>
      <c r="E633" t="s">
        <v>567</v>
      </c>
      <c r="F633" t="s">
        <v>1184</v>
      </c>
      <c r="G633" t="s">
        <v>794</v>
      </c>
      <c r="H633" t="s">
        <v>715</v>
      </c>
      <c r="I633" t="s">
        <v>2482</v>
      </c>
      <c r="J633" t="s">
        <v>2483</v>
      </c>
      <c r="K633" t="s">
        <v>2484</v>
      </c>
      <c r="L633" t="s">
        <v>810</v>
      </c>
      <c r="M633" t="s">
        <v>720</v>
      </c>
      <c r="N633" t="s">
        <v>721</v>
      </c>
      <c r="O633">
        <v>5</v>
      </c>
      <c r="P633">
        <v>3</v>
      </c>
      <c r="Q633">
        <v>32</v>
      </c>
      <c r="R633" t="s">
        <v>798</v>
      </c>
      <c r="S633" t="s">
        <v>745</v>
      </c>
      <c r="T633" t="s">
        <v>746</v>
      </c>
      <c r="U633" t="s">
        <v>759</v>
      </c>
    </row>
    <row r="634" spans="1:21" hidden="1" x14ac:dyDescent="0.3">
      <c r="A634" s="1" t="s">
        <v>1778</v>
      </c>
      <c r="B634" t="s">
        <v>732</v>
      </c>
      <c r="C634" t="s">
        <v>711</v>
      </c>
      <c r="D634" t="s">
        <v>2181</v>
      </c>
      <c r="E634" t="s">
        <v>567</v>
      </c>
      <c r="F634" t="s">
        <v>1189</v>
      </c>
      <c r="G634" t="s">
        <v>794</v>
      </c>
      <c r="H634" t="s">
        <v>715</v>
      </c>
      <c r="I634" t="s">
        <v>2276</v>
      </c>
      <c r="J634" t="s">
        <v>2277</v>
      </c>
      <c r="K634" t="s">
        <v>2278</v>
      </c>
      <c r="L634" t="s">
        <v>1082</v>
      </c>
      <c r="M634" t="s">
        <v>720</v>
      </c>
      <c r="N634" t="s">
        <v>721</v>
      </c>
      <c r="O634">
        <v>4</v>
      </c>
      <c r="P634">
        <v>0</v>
      </c>
      <c r="Q634">
        <v>96</v>
      </c>
      <c r="R634" t="s">
        <v>798</v>
      </c>
      <c r="S634" t="s">
        <v>723</v>
      </c>
      <c r="T634" t="s">
        <v>1083</v>
      </c>
      <c r="U634" t="s">
        <v>707</v>
      </c>
    </row>
    <row r="635" spans="1:21" hidden="1" x14ac:dyDescent="0.3">
      <c r="A635" s="1" t="s">
        <v>1778</v>
      </c>
      <c r="B635" t="s">
        <v>732</v>
      </c>
      <c r="C635" t="s">
        <v>711</v>
      </c>
      <c r="D635" t="s">
        <v>1431</v>
      </c>
      <c r="E635" t="s">
        <v>567</v>
      </c>
      <c r="F635" t="s">
        <v>1195</v>
      </c>
      <c r="G635" t="s">
        <v>794</v>
      </c>
      <c r="H635" t="s">
        <v>715</v>
      </c>
      <c r="I635" t="s">
        <v>2583</v>
      </c>
      <c r="J635" t="s">
        <v>2584</v>
      </c>
      <c r="K635" t="s">
        <v>2585</v>
      </c>
      <c r="L635" t="s">
        <v>985</v>
      </c>
      <c r="M635" t="s">
        <v>720</v>
      </c>
      <c r="N635" t="s">
        <v>743</v>
      </c>
      <c r="O635">
        <v>28</v>
      </c>
      <c r="P635">
        <v>0</v>
      </c>
      <c r="Q635">
        <v>150</v>
      </c>
      <c r="R635" t="s">
        <v>798</v>
      </c>
      <c r="S635" t="s">
        <v>745</v>
      </c>
      <c r="T635" t="s">
        <v>746</v>
      </c>
      <c r="U635" t="s">
        <v>1193</v>
      </c>
    </row>
    <row r="636" spans="1:21" hidden="1" x14ac:dyDescent="0.3">
      <c r="A636" s="1" t="s">
        <v>1778</v>
      </c>
      <c r="B636" t="s">
        <v>732</v>
      </c>
      <c r="C636" t="s">
        <v>711</v>
      </c>
      <c r="D636" t="s">
        <v>1432</v>
      </c>
      <c r="E636" t="s">
        <v>567</v>
      </c>
      <c r="F636" t="s">
        <v>1200</v>
      </c>
      <c r="G636" t="s">
        <v>794</v>
      </c>
      <c r="H636" t="s">
        <v>715</v>
      </c>
      <c r="I636" t="s">
        <v>2279</v>
      </c>
      <c r="J636" t="s">
        <v>2280</v>
      </c>
      <c r="K636" t="s">
        <v>2281</v>
      </c>
      <c r="L636" t="s">
        <v>1082</v>
      </c>
      <c r="M636" t="s">
        <v>720</v>
      </c>
      <c r="N636" t="s">
        <v>721</v>
      </c>
      <c r="O636">
        <v>0</v>
      </c>
      <c r="P636">
        <v>0</v>
      </c>
      <c r="Q636">
        <v>85</v>
      </c>
      <c r="R636" t="s">
        <v>798</v>
      </c>
      <c r="S636" t="s">
        <v>723</v>
      </c>
      <c r="T636" t="s">
        <v>1083</v>
      </c>
      <c r="U636" t="s">
        <v>707</v>
      </c>
    </row>
    <row r="637" spans="1:21" hidden="1" x14ac:dyDescent="0.3">
      <c r="A637" s="1" t="s">
        <v>1778</v>
      </c>
      <c r="B637" t="s">
        <v>732</v>
      </c>
      <c r="C637" t="s">
        <v>711</v>
      </c>
      <c r="D637" t="s">
        <v>1433</v>
      </c>
      <c r="E637" t="s">
        <v>567</v>
      </c>
      <c r="F637" t="s">
        <v>1205</v>
      </c>
      <c r="G637" t="s">
        <v>753</v>
      </c>
      <c r="H637" t="s">
        <v>715</v>
      </c>
      <c r="I637" t="s">
        <v>2282</v>
      </c>
      <c r="J637" t="s">
        <v>2283</v>
      </c>
      <c r="K637" t="s">
        <v>2284</v>
      </c>
      <c r="L637" t="s">
        <v>1082</v>
      </c>
      <c r="M637" t="s">
        <v>720</v>
      </c>
      <c r="N637" t="s">
        <v>721</v>
      </c>
      <c r="O637">
        <v>0</v>
      </c>
      <c r="P637">
        <v>0</v>
      </c>
      <c r="Q637">
        <v>89</v>
      </c>
      <c r="R637" t="s">
        <v>798</v>
      </c>
      <c r="S637" t="s">
        <v>723</v>
      </c>
      <c r="T637" t="s">
        <v>1083</v>
      </c>
      <c r="U637" t="s">
        <v>707</v>
      </c>
    </row>
    <row r="638" spans="1:21" hidden="1" x14ac:dyDescent="0.3">
      <c r="A638" s="1" t="s">
        <v>1778</v>
      </c>
      <c r="B638" t="s">
        <v>732</v>
      </c>
      <c r="C638" t="s">
        <v>711</v>
      </c>
      <c r="D638" t="s">
        <v>2185</v>
      </c>
      <c r="E638" t="s">
        <v>567</v>
      </c>
      <c r="F638" t="s">
        <v>735</v>
      </c>
      <c r="G638" t="s">
        <v>794</v>
      </c>
      <c r="H638" t="s">
        <v>715</v>
      </c>
      <c r="I638" t="s">
        <v>2485</v>
      </c>
      <c r="J638" t="s">
        <v>2486</v>
      </c>
      <c r="K638" t="s">
        <v>2487</v>
      </c>
      <c r="L638" t="s">
        <v>826</v>
      </c>
      <c r="M638" t="s">
        <v>720</v>
      </c>
      <c r="N638" t="s">
        <v>721</v>
      </c>
      <c r="O638">
        <v>2</v>
      </c>
      <c r="P638">
        <v>2</v>
      </c>
      <c r="Q638">
        <v>84</v>
      </c>
      <c r="R638" t="s">
        <v>798</v>
      </c>
      <c r="S638" t="s">
        <v>745</v>
      </c>
      <c r="T638" t="s">
        <v>746</v>
      </c>
      <c r="U638" t="s">
        <v>759</v>
      </c>
    </row>
    <row r="639" spans="1:21" hidden="1" x14ac:dyDescent="0.3">
      <c r="A639" s="1" t="s">
        <v>1778</v>
      </c>
      <c r="B639" t="s">
        <v>732</v>
      </c>
      <c r="C639" t="s">
        <v>711</v>
      </c>
      <c r="D639" t="s">
        <v>2186</v>
      </c>
      <c r="E639" t="s">
        <v>567</v>
      </c>
      <c r="F639" t="s">
        <v>2049</v>
      </c>
      <c r="G639" t="s">
        <v>753</v>
      </c>
      <c r="H639" t="s">
        <v>715</v>
      </c>
      <c r="I639" t="s">
        <v>2488</v>
      </c>
      <c r="J639" t="s">
        <v>2489</v>
      </c>
      <c r="K639" t="s">
        <v>2490</v>
      </c>
      <c r="L639" t="s">
        <v>757</v>
      </c>
      <c r="M639" t="s">
        <v>720</v>
      </c>
      <c r="N639" t="s">
        <v>721</v>
      </c>
      <c r="O639">
        <v>1</v>
      </c>
      <c r="P639">
        <v>7</v>
      </c>
      <c r="Q639">
        <v>34</v>
      </c>
      <c r="R639" t="s">
        <v>758</v>
      </c>
      <c r="S639" t="s">
        <v>745</v>
      </c>
      <c r="T639" t="s">
        <v>746</v>
      </c>
      <c r="U639" t="s">
        <v>747</v>
      </c>
    </row>
    <row r="640" spans="1:21" hidden="1" x14ac:dyDescent="0.3">
      <c r="A640" s="1" t="s">
        <v>1778</v>
      </c>
      <c r="B640" t="s">
        <v>732</v>
      </c>
      <c r="C640" t="s">
        <v>711</v>
      </c>
      <c r="D640" t="s">
        <v>2586</v>
      </c>
      <c r="E640" t="s">
        <v>567</v>
      </c>
      <c r="F640" t="s">
        <v>1213</v>
      </c>
      <c r="G640" t="s">
        <v>794</v>
      </c>
      <c r="H640" t="s">
        <v>715</v>
      </c>
      <c r="I640" t="s">
        <v>2491</v>
      </c>
      <c r="J640" t="s">
        <v>2492</v>
      </c>
      <c r="K640" t="s">
        <v>2493</v>
      </c>
      <c r="L640" t="s">
        <v>765</v>
      </c>
      <c r="M640" t="s">
        <v>720</v>
      </c>
      <c r="N640" t="s">
        <v>721</v>
      </c>
      <c r="O640">
        <v>4</v>
      </c>
      <c r="P640">
        <v>15</v>
      </c>
      <c r="Q640">
        <v>93</v>
      </c>
      <c r="R640" t="s">
        <v>758</v>
      </c>
      <c r="S640" t="s">
        <v>745</v>
      </c>
      <c r="T640" t="s">
        <v>746</v>
      </c>
      <c r="U640" t="s">
        <v>759</v>
      </c>
    </row>
    <row r="641" spans="1:21" hidden="1" x14ac:dyDescent="0.3">
      <c r="A641" s="1" t="s">
        <v>1778</v>
      </c>
      <c r="B641" t="s">
        <v>732</v>
      </c>
      <c r="C641" t="s">
        <v>711</v>
      </c>
      <c r="D641" t="s">
        <v>1434</v>
      </c>
      <c r="E641" t="s">
        <v>567</v>
      </c>
      <c r="F641" t="s">
        <v>1218</v>
      </c>
      <c r="G641" t="s">
        <v>794</v>
      </c>
      <c r="H641" t="s">
        <v>715</v>
      </c>
      <c r="I641" t="s">
        <v>2285</v>
      </c>
      <c r="J641" t="s">
        <v>2286</v>
      </c>
      <c r="K641" t="s">
        <v>2287</v>
      </c>
      <c r="L641" t="s">
        <v>1082</v>
      </c>
      <c r="M641" t="s">
        <v>720</v>
      </c>
      <c r="N641" t="s">
        <v>721</v>
      </c>
      <c r="O641">
        <v>0</v>
      </c>
      <c r="P641">
        <v>0</v>
      </c>
      <c r="Q641">
        <v>86</v>
      </c>
      <c r="R641" t="s">
        <v>798</v>
      </c>
      <c r="S641" t="s">
        <v>723</v>
      </c>
      <c r="T641" t="s">
        <v>1083</v>
      </c>
      <c r="U641" t="s">
        <v>707</v>
      </c>
    </row>
    <row r="642" spans="1:21" hidden="1" x14ac:dyDescent="0.3">
      <c r="A642" s="1" t="s">
        <v>1778</v>
      </c>
      <c r="B642" t="s">
        <v>732</v>
      </c>
      <c r="C642" t="s">
        <v>711</v>
      </c>
      <c r="D642" t="s">
        <v>1435</v>
      </c>
      <c r="E642" t="s">
        <v>567</v>
      </c>
      <c r="F642" t="s">
        <v>1223</v>
      </c>
      <c r="G642" t="s">
        <v>794</v>
      </c>
      <c r="H642" t="s">
        <v>715</v>
      </c>
      <c r="I642" t="s">
        <v>2494</v>
      </c>
      <c r="J642" t="s">
        <v>2495</v>
      </c>
      <c r="K642" t="s">
        <v>2496</v>
      </c>
      <c r="L642" t="s">
        <v>765</v>
      </c>
      <c r="M642" t="s">
        <v>720</v>
      </c>
      <c r="N642" t="s">
        <v>721</v>
      </c>
      <c r="O642">
        <v>6</v>
      </c>
      <c r="P642">
        <v>15</v>
      </c>
      <c r="Q642">
        <v>32</v>
      </c>
      <c r="R642" t="s">
        <v>758</v>
      </c>
      <c r="S642" t="s">
        <v>745</v>
      </c>
      <c r="T642" t="s">
        <v>746</v>
      </c>
      <c r="U642" t="s">
        <v>759</v>
      </c>
    </row>
    <row r="643" spans="1:21" hidden="1" x14ac:dyDescent="0.3">
      <c r="A643" s="1" t="s">
        <v>1778</v>
      </c>
      <c r="B643" t="s">
        <v>732</v>
      </c>
      <c r="C643" t="s">
        <v>711</v>
      </c>
      <c r="D643" t="s">
        <v>1436</v>
      </c>
      <c r="E643" t="s">
        <v>567</v>
      </c>
      <c r="F643" t="s">
        <v>1228</v>
      </c>
      <c r="G643" t="s">
        <v>794</v>
      </c>
      <c r="H643" t="s">
        <v>715</v>
      </c>
      <c r="I643" t="s">
        <v>2497</v>
      </c>
      <c r="J643" t="s">
        <v>2498</v>
      </c>
      <c r="K643" t="s">
        <v>2499</v>
      </c>
      <c r="L643" t="s">
        <v>765</v>
      </c>
      <c r="M643" t="s">
        <v>720</v>
      </c>
      <c r="N643" t="s">
        <v>721</v>
      </c>
      <c r="O643">
        <v>1</v>
      </c>
      <c r="P643">
        <v>15</v>
      </c>
      <c r="Q643">
        <v>31</v>
      </c>
      <c r="R643" t="s">
        <v>758</v>
      </c>
      <c r="S643" t="s">
        <v>745</v>
      </c>
      <c r="T643" t="s">
        <v>746</v>
      </c>
      <c r="U643" t="s">
        <v>759</v>
      </c>
    </row>
    <row r="644" spans="1:21" hidden="1" x14ac:dyDescent="0.3">
      <c r="A644" s="1" t="s">
        <v>1778</v>
      </c>
      <c r="B644" t="s">
        <v>732</v>
      </c>
      <c r="C644" t="s">
        <v>711</v>
      </c>
      <c r="D644" t="s">
        <v>2587</v>
      </c>
      <c r="E644" t="s">
        <v>567</v>
      </c>
      <c r="F644" t="s">
        <v>1233</v>
      </c>
      <c r="G644" t="s">
        <v>794</v>
      </c>
      <c r="H644" t="s">
        <v>715</v>
      </c>
      <c r="I644" t="s">
        <v>2500</v>
      </c>
      <c r="J644" t="s">
        <v>2501</v>
      </c>
      <c r="K644" t="s">
        <v>2502</v>
      </c>
      <c r="L644" t="s">
        <v>765</v>
      </c>
      <c r="M644" t="s">
        <v>720</v>
      </c>
      <c r="N644" t="s">
        <v>721</v>
      </c>
      <c r="O644">
        <v>1</v>
      </c>
      <c r="P644">
        <v>15</v>
      </c>
      <c r="Q644">
        <v>10</v>
      </c>
      <c r="R644" t="s">
        <v>758</v>
      </c>
      <c r="S644" t="s">
        <v>745</v>
      </c>
      <c r="T644" t="s">
        <v>746</v>
      </c>
      <c r="U644" t="s">
        <v>1193</v>
      </c>
    </row>
    <row r="645" spans="1:21" hidden="1" x14ac:dyDescent="0.3">
      <c r="A645" s="1" t="s">
        <v>1778</v>
      </c>
      <c r="B645" t="s">
        <v>732</v>
      </c>
      <c r="C645" t="s">
        <v>711</v>
      </c>
      <c r="D645" t="s">
        <v>1437</v>
      </c>
      <c r="E645" t="s">
        <v>567</v>
      </c>
      <c r="F645" t="s">
        <v>1238</v>
      </c>
      <c r="G645" t="s">
        <v>794</v>
      </c>
      <c r="H645" t="s">
        <v>715</v>
      </c>
      <c r="I645" t="s">
        <v>2503</v>
      </c>
      <c r="J645" t="s">
        <v>2504</v>
      </c>
      <c r="K645" t="s">
        <v>2505</v>
      </c>
      <c r="L645" t="s">
        <v>826</v>
      </c>
      <c r="M645" t="s">
        <v>720</v>
      </c>
      <c r="N645" t="s">
        <v>721</v>
      </c>
      <c r="O645">
        <v>4</v>
      </c>
      <c r="P645">
        <v>2</v>
      </c>
      <c r="Q645">
        <v>20</v>
      </c>
      <c r="R645" t="s">
        <v>798</v>
      </c>
      <c r="S645" t="s">
        <v>745</v>
      </c>
      <c r="T645" t="s">
        <v>746</v>
      </c>
      <c r="U645" t="s">
        <v>759</v>
      </c>
    </row>
    <row r="646" spans="1:21" hidden="1" x14ac:dyDescent="0.3">
      <c r="A646" s="1" t="s">
        <v>1778</v>
      </c>
      <c r="B646" t="s">
        <v>732</v>
      </c>
      <c r="C646" t="s">
        <v>711</v>
      </c>
      <c r="D646" t="s">
        <v>1438</v>
      </c>
      <c r="E646" t="s">
        <v>567</v>
      </c>
      <c r="F646" t="s">
        <v>1245</v>
      </c>
      <c r="G646" t="s">
        <v>806</v>
      </c>
      <c r="H646" t="s">
        <v>715</v>
      </c>
      <c r="I646" t="s">
        <v>2506</v>
      </c>
      <c r="J646" t="s">
        <v>2507</v>
      </c>
      <c r="K646" t="s">
        <v>2508</v>
      </c>
      <c r="L646" t="s">
        <v>826</v>
      </c>
      <c r="M646" t="s">
        <v>720</v>
      </c>
      <c r="N646" t="s">
        <v>721</v>
      </c>
      <c r="O646">
        <v>0</v>
      </c>
      <c r="P646">
        <v>10</v>
      </c>
      <c r="Q646">
        <v>69</v>
      </c>
      <c r="R646" t="s">
        <v>722</v>
      </c>
      <c r="S646" t="s">
        <v>745</v>
      </c>
      <c r="T646" t="s">
        <v>746</v>
      </c>
      <c r="U646" t="s">
        <v>759</v>
      </c>
    </row>
    <row r="647" spans="1:21" hidden="1" x14ac:dyDescent="0.3">
      <c r="A647" s="1" t="s">
        <v>1778</v>
      </c>
      <c r="B647" t="s">
        <v>732</v>
      </c>
      <c r="C647" t="s">
        <v>711</v>
      </c>
      <c r="D647" t="s">
        <v>1439</v>
      </c>
      <c r="E647" t="s">
        <v>567</v>
      </c>
      <c r="F647" t="s">
        <v>1250</v>
      </c>
      <c r="G647" t="s">
        <v>794</v>
      </c>
      <c r="H647" t="s">
        <v>715</v>
      </c>
      <c r="I647" t="s">
        <v>2509</v>
      </c>
      <c r="J647" t="s">
        <v>1252</v>
      </c>
      <c r="K647" t="s">
        <v>2510</v>
      </c>
      <c r="L647" t="s">
        <v>765</v>
      </c>
      <c r="M647" t="s">
        <v>720</v>
      </c>
      <c r="N647" t="s">
        <v>721</v>
      </c>
      <c r="O647">
        <v>1</v>
      </c>
      <c r="P647">
        <v>15</v>
      </c>
      <c r="Q647">
        <v>91</v>
      </c>
      <c r="R647" t="s">
        <v>758</v>
      </c>
      <c r="S647" t="s">
        <v>745</v>
      </c>
      <c r="T647" t="s">
        <v>746</v>
      </c>
      <c r="U647" t="s">
        <v>1193</v>
      </c>
    </row>
    <row r="648" spans="1:21" hidden="1" x14ac:dyDescent="0.3">
      <c r="A648" s="1" t="s">
        <v>1778</v>
      </c>
      <c r="B648" t="s">
        <v>732</v>
      </c>
      <c r="C648" t="s">
        <v>711</v>
      </c>
      <c r="D648" t="s">
        <v>1440</v>
      </c>
      <c r="E648" t="s">
        <v>567</v>
      </c>
      <c r="F648" t="s">
        <v>1255</v>
      </c>
      <c r="G648" t="s">
        <v>794</v>
      </c>
      <c r="H648" t="s">
        <v>715</v>
      </c>
      <c r="I648" t="s">
        <v>2511</v>
      </c>
      <c r="J648" t="s">
        <v>2512</v>
      </c>
      <c r="K648" t="s">
        <v>2513</v>
      </c>
      <c r="L648" t="s">
        <v>810</v>
      </c>
      <c r="M648" t="s">
        <v>720</v>
      </c>
      <c r="N648" t="s">
        <v>721</v>
      </c>
      <c r="O648">
        <v>0</v>
      </c>
      <c r="P648">
        <v>3</v>
      </c>
      <c r="Q648">
        <v>27</v>
      </c>
      <c r="R648" t="s">
        <v>798</v>
      </c>
      <c r="S648" t="s">
        <v>745</v>
      </c>
      <c r="T648" t="s">
        <v>746</v>
      </c>
      <c r="U648" t="s">
        <v>759</v>
      </c>
    </row>
    <row r="649" spans="1:21" hidden="1" x14ac:dyDescent="0.3">
      <c r="A649" s="1" t="s">
        <v>1778</v>
      </c>
      <c r="B649" t="s">
        <v>732</v>
      </c>
      <c r="C649" t="s">
        <v>711</v>
      </c>
      <c r="D649" t="s">
        <v>1441</v>
      </c>
      <c r="E649" t="s">
        <v>567</v>
      </c>
      <c r="F649" t="s">
        <v>1260</v>
      </c>
      <c r="G649" t="s">
        <v>753</v>
      </c>
      <c r="H649" t="s">
        <v>715</v>
      </c>
      <c r="I649" t="s">
        <v>2514</v>
      </c>
      <c r="J649" t="s">
        <v>2515</v>
      </c>
      <c r="K649" t="s">
        <v>2516</v>
      </c>
      <c r="L649" t="s">
        <v>765</v>
      </c>
      <c r="M649" t="s">
        <v>720</v>
      </c>
      <c r="N649" t="s">
        <v>721</v>
      </c>
      <c r="O649">
        <v>2</v>
      </c>
      <c r="P649">
        <v>15</v>
      </c>
      <c r="Q649">
        <v>24</v>
      </c>
      <c r="R649" t="s">
        <v>758</v>
      </c>
      <c r="S649" t="s">
        <v>745</v>
      </c>
      <c r="T649" t="s">
        <v>746</v>
      </c>
      <c r="U649" t="s">
        <v>759</v>
      </c>
    </row>
    <row r="650" spans="1:21" hidden="1" x14ac:dyDescent="0.3">
      <c r="A650" s="1" t="s">
        <v>1778</v>
      </c>
      <c r="B650" t="s">
        <v>732</v>
      </c>
      <c r="C650" t="s">
        <v>711</v>
      </c>
      <c r="D650" t="s">
        <v>1442</v>
      </c>
      <c r="E650" t="s">
        <v>567</v>
      </c>
      <c r="F650" t="s">
        <v>1271</v>
      </c>
      <c r="G650" t="s">
        <v>794</v>
      </c>
      <c r="H650" t="s">
        <v>715</v>
      </c>
      <c r="I650" t="s">
        <v>2520</v>
      </c>
      <c r="J650" t="s">
        <v>2521</v>
      </c>
      <c r="K650" t="s">
        <v>2522</v>
      </c>
      <c r="L650" t="s">
        <v>1471</v>
      </c>
      <c r="M650" t="s">
        <v>1471</v>
      </c>
      <c r="N650" t="s">
        <v>721</v>
      </c>
      <c r="O650">
        <v>26</v>
      </c>
      <c r="P650">
        <v>0</v>
      </c>
      <c r="Q650">
        <v>228</v>
      </c>
      <c r="R650" t="s">
        <v>2523</v>
      </c>
      <c r="S650" t="s">
        <v>745</v>
      </c>
      <c r="T650" t="s">
        <v>746</v>
      </c>
      <c r="U650" t="s">
        <v>1269</v>
      </c>
    </row>
    <row r="651" spans="1:21" hidden="1" x14ac:dyDescent="0.3">
      <c r="A651" s="1" t="s">
        <v>1778</v>
      </c>
      <c r="B651" t="s">
        <v>732</v>
      </c>
      <c r="C651" t="s">
        <v>711</v>
      </c>
      <c r="D651" t="s">
        <v>1443</v>
      </c>
      <c r="E651" t="s">
        <v>567</v>
      </c>
      <c r="F651" t="s">
        <v>1276</v>
      </c>
      <c r="G651" t="s">
        <v>794</v>
      </c>
      <c r="H651" t="s">
        <v>715</v>
      </c>
      <c r="I651" t="s">
        <v>2288</v>
      </c>
      <c r="J651" t="s">
        <v>2289</v>
      </c>
      <c r="K651" t="s">
        <v>2290</v>
      </c>
      <c r="L651" t="s">
        <v>1082</v>
      </c>
      <c r="M651" t="s">
        <v>720</v>
      </c>
      <c r="N651" t="s">
        <v>721</v>
      </c>
      <c r="O651">
        <v>9</v>
      </c>
      <c r="P651">
        <v>0</v>
      </c>
      <c r="Q651">
        <v>109</v>
      </c>
      <c r="R651" t="s">
        <v>798</v>
      </c>
      <c r="S651" t="s">
        <v>723</v>
      </c>
      <c r="T651" t="s">
        <v>1083</v>
      </c>
      <c r="U651" t="s">
        <v>707</v>
      </c>
    </row>
    <row r="652" spans="1:21" hidden="1" x14ac:dyDescent="0.3">
      <c r="A652" s="1" t="s">
        <v>1778</v>
      </c>
      <c r="B652" t="s">
        <v>732</v>
      </c>
      <c r="C652" t="s">
        <v>711</v>
      </c>
      <c r="D652" t="s">
        <v>2588</v>
      </c>
      <c r="E652" t="s">
        <v>567</v>
      </c>
      <c r="F652" t="s">
        <v>1281</v>
      </c>
      <c r="G652" t="s">
        <v>794</v>
      </c>
      <c r="H652" t="s">
        <v>715</v>
      </c>
      <c r="I652" t="s">
        <v>2527</v>
      </c>
      <c r="J652" t="s">
        <v>2528</v>
      </c>
      <c r="K652" t="s">
        <v>2529</v>
      </c>
      <c r="L652" t="s">
        <v>765</v>
      </c>
      <c r="M652" t="s">
        <v>720</v>
      </c>
      <c r="N652" t="s">
        <v>721</v>
      </c>
      <c r="O652">
        <v>0</v>
      </c>
      <c r="P652">
        <v>15</v>
      </c>
      <c r="Q652">
        <v>99</v>
      </c>
      <c r="R652" t="s">
        <v>758</v>
      </c>
      <c r="S652" t="s">
        <v>745</v>
      </c>
      <c r="T652" t="s">
        <v>746</v>
      </c>
      <c r="U652" t="s">
        <v>1269</v>
      </c>
    </row>
    <row r="653" spans="1:21" hidden="1" x14ac:dyDescent="0.3">
      <c r="A653" s="1" t="s">
        <v>1778</v>
      </c>
      <c r="B653" t="s">
        <v>732</v>
      </c>
      <c r="C653" t="s">
        <v>711</v>
      </c>
      <c r="D653" t="s">
        <v>2191</v>
      </c>
      <c r="E653" t="s">
        <v>567</v>
      </c>
      <c r="F653" t="s">
        <v>1286</v>
      </c>
      <c r="G653" t="s">
        <v>753</v>
      </c>
      <c r="H653" t="s">
        <v>715</v>
      </c>
      <c r="I653" t="s">
        <v>2589</v>
      </c>
      <c r="J653" t="s">
        <v>2590</v>
      </c>
      <c r="K653" t="s">
        <v>2591</v>
      </c>
      <c r="L653" t="s">
        <v>2179</v>
      </c>
      <c r="M653" t="s">
        <v>720</v>
      </c>
      <c r="N653" t="s">
        <v>721</v>
      </c>
      <c r="O653">
        <v>2</v>
      </c>
      <c r="P653">
        <v>0</v>
      </c>
      <c r="Q653">
        <v>228</v>
      </c>
      <c r="R653" t="s">
        <v>758</v>
      </c>
      <c r="S653" t="s">
        <v>745</v>
      </c>
      <c r="T653" t="s">
        <v>746</v>
      </c>
      <c r="U653" t="s">
        <v>1269</v>
      </c>
    </row>
    <row r="654" spans="1:21" hidden="1" x14ac:dyDescent="0.3">
      <c r="A654" s="1" t="s">
        <v>1778</v>
      </c>
      <c r="B654" t="s">
        <v>732</v>
      </c>
      <c r="C654" t="s">
        <v>711</v>
      </c>
      <c r="D654" t="s">
        <v>1449</v>
      </c>
      <c r="E654" t="s">
        <v>567</v>
      </c>
      <c r="F654" t="s">
        <v>1450</v>
      </c>
      <c r="G654" t="s">
        <v>806</v>
      </c>
      <c r="H654" t="s">
        <v>715</v>
      </c>
      <c r="I654" t="s">
        <v>2294</v>
      </c>
      <c r="J654" t="s">
        <v>2295</v>
      </c>
      <c r="K654" t="s">
        <v>2296</v>
      </c>
      <c r="L654" t="s">
        <v>1082</v>
      </c>
      <c r="M654" t="s">
        <v>720</v>
      </c>
      <c r="N654" t="s">
        <v>721</v>
      </c>
      <c r="O654">
        <v>4</v>
      </c>
      <c r="P654">
        <v>0</v>
      </c>
      <c r="Q654">
        <v>113</v>
      </c>
      <c r="R654" t="s">
        <v>798</v>
      </c>
      <c r="S654" t="s">
        <v>723</v>
      </c>
      <c r="T654" t="s">
        <v>1083</v>
      </c>
      <c r="U654" t="s">
        <v>707</v>
      </c>
    </row>
    <row r="655" spans="1:21" hidden="1" x14ac:dyDescent="0.3">
      <c r="A655" s="1" t="s">
        <v>1778</v>
      </c>
      <c r="B655" t="s">
        <v>732</v>
      </c>
      <c r="C655" t="s">
        <v>711</v>
      </c>
      <c r="D655" t="s">
        <v>1455</v>
      </c>
      <c r="E655" t="s">
        <v>567</v>
      </c>
      <c r="F655" t="s">
        <v>1296</v>
      </c>
      <c r="G655" t="s">
        <v>794</v>
      </c>
      <c r="H655" t="s">
        <v>715</v>
      </c>
      <c r="I655" t="s">
        <v>2592</v>
      </c>
      <c r="J655" t="s">
        <v>2593</v>
      </c>
      <c r="K655" t="s">
        <v>2594</v>
      </c>
      <c r="L655" t="s">
        <v>985</v>
      </c>
      <c r="M655" t="s">
        <v>720</v>
      </c>
      <c r="N655" t="s">
        <v>743</v>
      </c>
      <c r="O655">
        <v>28</v>
      </c>
      <c r="P655">
        <v>0</v>
      </c>
      <c r="Q655">
        <v>150</v>
      </c>
      <c r="R655" t="s">
        <v>798</v>
      </c>
      <c r="S655" t="s">
        <v>745</v>
      </c>
      <c r="T655" t="s">
        <v>746</v>
      </c>
      <c r="U655" t="s">
        <v>2094</v>
      </c>
    </row>
    <row r="656" spans="1:21" hidden="1" x14ac:dyDescent="0.3">
      <c r="A656" s="1" t="s">
        <v>1778</v>
      </c>
      <c r="B656" t="s">
        <v>732</v>
      </c>
      <c r="C656" t="s">
        <v>711</v>
      </c>
      <c r="D656" t="s">
        <v>2595</v>
      </c>
      <c r="E656" t="s">
        <v>567</v>
      </c>
      <c r="F656" t="s">
        <v>1301</v>
      </c>
      <c r="G656" t="s">
        <v>794</v>
      </c>
      <c r="H656" t="s">
        <v>715</v>
      </c>
      <c r="I656" t="s">
        <v>2596</v>
      </c>
      <c r="J656" t="s">
        <v>2597</v>
      </c>
      <c r="K656" t="s">
        <v>2598</v>
      </c>
      <c r="L656" t="s">
        <v>826</v>
      </c>
      <c r="M656" t="s">
        <v>720</v>
      </c>
      <c r="N656" t="s">
        <v>721</v>
      </c>
      <c r="O656">
        <v>4</v>
      </c>
      <c r="P656">
        <v>2</v>
      </c>
      <c r="Q656">
        <v>48</v>
      </c>
      <c r="R656" t="s">
        <v>798</v>
      </c>
      <c r="S656" t="s">
        <v>745</v>
      </c>
      <c r="T656" t="s">
        <v>746</v>
      </c>
      <c r="U656" t="s">
        <v>2094</v>
      </c>
    </row>
    <row r="657" spans="1:21" hidden="1" x14ac:dyDescent="0.3">
      <c r="A657" s="1" t="s">
        <v>1778</v>
      </c>
      <c r="B657" t="s">
        <v>732</v>
      </c>
      <c r="C657" t="s">
        <v>711</v>
      </c>
      <c r="D657" t="s">
        <v>1456</v>
      </c>
      <c r="E657" t="s">
        <v>567</v>
      </c>
      <c r="F657" t="s">
        <v>1306</v>
      </c>
      <c r="G657" t="s">
        <v>753</v>
      </c>
      <c r="H657" t="s">
        <v>715</v>
      </c>
      <c r="I657" t="s">
        <v>2300</v>
      </c>
      <c r="J657" t="s">
        <v>2301</v>
      </c>
      <c r="K657" t="s">
        <v>2302</v>
      </c>
      <c r="L657" t="s">
        <v>1082</v>
      </c>
      <c r="M657" t="s">
        <v>720</v>
      </c>
      <c r="N657" t="s">
        <v>721</v>
      </c>
      <c r="O657">
        <v>11</v>
      </c>
      <c r="P657">
        <v>0</v>
      </c>
      <c r="Q657">
        <v>111</v>
      </c>
      <c r="R657" t="s">
        <v>798</v>
      </c>
      <c r="S657" t="s">
        <v>723</v>
      </c>
      <c r="T657" t="s">
        <v>1083</v>
      </c>
      <c r="U657" t="s">
        <v>707</v>
      </c>
    </row>
    <row r="658" spans="1:21" hidden="1" x14ac:dyDescent="0.3">
      <c r="A658" s="1" t="s">
        <v>1778</v>
      </c>
      <c r="B658" t="s">
        <v>732</v>
      </c>
      <c r="C658" t="s">
        <v>711</v>
      </c>
      <c r="D658" t="s">
        <v>1457</v>
      </c>
      <c r="E658" t="s">
        <v>567</v>
      </c>
      <c r="F658" t="s">
        <v>1311</v>
      </c>
      <c r="G658" t="s">
        <v>753</v>
      </c>
      <c r="H658" t="s">
        <v>715</v>
      </c>
      <c r="I658" t="s">
        <v>2533</v>
      </c>
      <c r="J658" t="s">
        <v>2534</v>
      </c>
      <c r="K658" t="s">
        <v>2535</v>
      </c>
      <c r="L658" t="s">
        <v>765</v>
      </c>
      <c r="M658" t="s">
        <v>720</v>
      </c>
      <c r="N658" t="s">
        <v>721</v>
      </c>
      <c r="O658">
        <v>2</v>
      </c>
      <c r="P658">
        <v>15</v>
      </c>
      <c r="Q658">
        <v>24</v>
      </c>
      <c r="R658" t="s">
        <v>758</v>
      </c>
      <c r="S658" t="s">
        <v>745</v>
      </c>
      <c r="T658" t="s">
        <v>746</v>
      </c>
      <c r="U658" t="s">
        <v>759</v>
      </c>
    </row>
    <row r="659" spans="1:21" hidden="1" x14ac:dyDescent="0.3">
      <c r="A659" s="1" t="s">
        <v>1778</v>
      </c>
      <c r="B659" t="s">
        <v>732</v>
      </c>
      <c r="C659" t="s">
        <v>711</v>
      </c>
      <c r="D659" t="s">
        <v>2599</v>
      </c>
      <c r="E659" t="s">
        <v>567</v>
      </c>
      <c r="F659" t="s">
        <v>1316</v>
      </c>
      <c r="G659" t="s">
        <v>753</v>
      </c>
      <c r="H659" t="s">
        <v>715</v>
      </c>
      <c r="I659" t="s">
        <v>2536</v>
      </c>
      <c r="J659" t="s">
        <v>2537</v>
      </c>
      <c r="K659" t="s">
        <v>2326</v>
      </c>
      <c r="L659" t="s">
        <v>826</v>
      </c>
      <c r="M659" t="s">
        <v>720</v>
      </c>
      <c r="N659" t="s">
        <v>721</v>
      </c>
      <c r="O659">
        <v>1</v>
      </c>
      <c r="P659">
        <v>10</v>
      </c>
      <c r="Q659">
        <v>100</v>
      </c>
      <c r="R659" t="s">
        <v>722</v>
      </c>
      <c r="S659" t="s">
        <v>745</v>
      </c>
      <c r="T659" t="s">
        <v>746</v>
      </c>
      <c r="U659" t="s">
        <v>759</v>
      </c>
    </row>
    <row r="660" spans="1:21" hidden="1" x14ac:dyDescent="0.3">
      <c r="A660" s="1" t="s">
        <v>1778</v>
      </c>
      <c r="B660" t="s">
        <v>732</v>
      </c>
      <c r="C660" t="s">
        <v>711</v>
      </c>
      <c r="D660" t="s">
        <v>2195</v>
      </c>
      <c r="E660" t="s">
        <v>567</v>
      </c>
      <c r="F660" t="s">
        <v>1321</v>
      </c>
      <c r="G660" t="s">
        <v>794</v>
      </c>
      <c r="H660" t="s">
        <v>715</v>
      </c>
      <c r="I660" t="s">
        <v>2538</v>
      </c>
      <c r="J660" t="s">
        <v>2539</v>
      </c>
      <c r="K660" t="s">
        <v>2540</v>
      </c>
      <c r="L660" t="s">
        <v>826</v>
      </c>
      <c r="M660" t="s">
        <v>720</v>
      </c>
      <c r="N660" t="s">
        <v>721</v>
      </c>
      <c r="O660">
        <v>0</v>
      </c>
      <c r="P660">
        <v>2</v>
      </c>
      <c r="Q660">
        <v>109</v>
      </c>
      <c r="R660" t="s">
        <v>798</v>
      </c>
      <c r="S660" t="s">
        <v>745</v>
      </c>
      <c r="T660" t="s">
        <v>746</v>
      </c>
      <c r="U660" t="s">
        <v>759</v>
      </c>
    </row>
    <row r="661" spans="1:21" hidden="1" x14ac:dyDescent="0.3">
      <c r="A661" s="1" t="s">
        <v>1778</v>
      </c>
      <c r="B661" t="s">
        <v>732</v>
      </c>
      <c r="C661" t="s">
        <v>711</v>
      </c>
      <c r="D661" t="s">
        <v>2196</v>
      </c>
      <c r="E661" t="s">
        <v>567</v>
      </c>
      <c r="F661" t="s">
        <v>1326</v>
      </c>
      <c r="G661" t="s">
        <v>794</v>
      </c>
      <c r="H661" t="s">
        <v>715</v>
      </c>
      <c r="I661" t="s">
        <v>2541</v>
      </c>
      <c r="J661" t="s">
        <v>2542</v>
      </c>
      <c r="K661" t="s">
        <v>2543</v>
      </c>
      <c r="L661" t="s">
        <v>765</v>
      </c>
      <c r="M661" t="s">
        <v>720</v>
      </c>
      <c r="N661" t="s">
        <v>721</v>
      </c>
      <c r="O661">
        <v>13</v>
      </c>
      <c r="P661">
        <v>15</v>
      </c>
      <c r="Q661">
        <v>93</v>
      </c>
      <c r="R661" t="s">
        <v>758</v>
      </c>
      <c r="S661" t="s">
        <v>745</v>
      </c>
      <c r="T661" t="s">
        <v>746</v>
      </c>
      <c r="U661" t="s">
        <v>759</v>
      </c>
    </row>
    <row r="662" spans="1:21" hidden="1" x14ac:dyDescent="0.3">
      <c r="A662" s="1" t="s">
        <v>1778</v>
      </c>
      <c r="B662" t="s">
        <v>732</v>
      </c>
      <c r="C662" t="s">
        <v>711</v>
      </c>
      <c r="D662" t="s">
        <v>1458</v>
      </c>
      <c r="E662" t="s">
        <v>567</v>
      </c>
      <c r="F662" t="s">
        <v>1331</v>
      </c>
      <c r="G662" t="s">
        <v>753</v>
      </c>
      <c r="H662" t="s">
        <v>715</v>
      </c>
      <c r="I662" t="s">
        <v>2544</v>
      </c>
      <c r="J662" t="s">
        <v>2545</v>
      </c>
      <c r="K662" t="s">
        <v>2546</v>
      </c>
      <c r="L662" t="s">
        <v>826</v>
      </c>
      <c r="M662" t="s">
        <v>720</v>
      </c>
      <c r="N662" t="s">
        <v>721</v>
      </c>
      <c r="O662">
        <v>0</v>
      </c>
      <c r="P662">
        <v>2</v>
      </c>
      <c r="Q662">
        <v>109</v>
      </c>
      <c r="R662" t="s">
        <v>798</v>
      </c>
      <c r="S662" t="s">
        <v>745</v>
      </c>
      <c r="T662" t="s">
        <v>746</v>
      </c>
      <c r="U662" t="s">
        <v>759</v>
      </c>
    </row>
    <row r="663" spans="1:21" hidden="1" x14ac:dyDescent="0.3">
      <c r="A663" s="1" t="s">
        <v>1778</v>
      </c>
      <c r="B663" t="s">
        <v>732</v>
      </c>
      <c r="C663" t="s">
        <v>711</v>
      </c>
      <c r="D663" t="s">
        <v>2197</v>
      </c>
      <c r="E663" t="s">
        <v>567</v>
      </c>
      <c r="F663" t="s">
        <v>1336</v>
      </c>
      <c r="G663" t="s">
        <v>794</v>
      </c>
      <c r="H663" t="s">
        <v>715</v>
      </c>
      <c r="I663" t="s">
        <v>2547</v>
      </c>
      <c r="J663" t="s">
        <v>2548</v>
      </c>
      <c r="K663" t="s">
        <v>2549</v>
      </c>
      <c r="L663" t="s">
        <v>765</v>
      </c>
      <c r="M663" t="s">
        <v>720</v>
      </c>
      <c r="N663" t="s">
        <v>721</v>
      </c>
      <c r="O663">
        <v>4</v>
      </c>
      <c r="P663">
        <v>15</v>
      </c>
      <c r="Q663">
        <v>103</v>
      </c>
      <c r="R663" t="s">
        <v>758</v>
      </c>
      <c r="S663" t="s">
        <v>745</v>
      </c>
      <c r="T663" t="s">
        <v>746</v>
      </c>
      <c r="U663" t="s">
        <v>759</v>
      </c>
    </row>
    <row r="664" spans="1:21" hidden="1" x14ac:dyDescent="0.3">
      <c r="A664" s="1" t="s">
        <v>1778</v>
      </c>
      <c r="B664" t="s">
        <v>732</v>
      </c>
      <c r="C664" t="s">
        <v>711</v>
      </c>
      <c r="D664" t="s">
        <v>2198</v>
      </c>
      <c r="E664" t="s">
        <v>567</v>
      </c>
      <c r="F664" t="s">
        <v>1341</v>
      </c>
      <c r="G664" t="s">
        <v>753</v>
      </c>
      <c r="H664" t="s">
        <v>715</v>
      </c>
      <c r="I664" t="s">
        <v>2550</v>
      </c>
      <c r="J664" t="s">
        <v>2551</v>
      </c>
      <c r="K664" t="s">
        <v>2552</v>
      </c>
      <c r="L664" t="s">
        <v>765</v>
      </c>
      <c r="M664" t="s">
        <v>720</v>
      </c>
      <c r="N664" t="s">
        <v>721</v>
      </c>
      <c r="O664">
        <v>0</v>
      </c>
      <c r="P664">
        <v>15</v>
      </c>
      <c r="Q664">
        <v>31</v>
      </c>
      <c r="R664" t="s">
        <v>758</v>
      </c>
      <c r="S664" t="s">
        <v>745</v>
      </c>
      <c r="T664" t="s">
        <v>746</v>
      </c>
      <c r="U664" t="s">
        <v>759</v>
      </c>
    </row>
    <row r="665" spans="1:21" hidden="1" x14ac:dyDescent="0.3">
      <c r="A665" s="1" t="s">
        <v>1778</v>
      </c>
      <c r="B665" t="s">
        <v>732</v>
      </c>
      <c r="C665" t="s">
        <v>711</v>
      </c>
      <c r="D665" t="s">
        <v>1459</v>
      </c>
      <c r="E665" t="s">
        <v>567</v>
      </c>
      <c r="F665" t="s">
        <v>1346</v>
      </c>
      <c r="G665" t="s">
        <v>794</v>
      </c>
      <c r="H665" t="s">
        <v>715</v>
      </c>
      <c r="I665" t="s">
        <v>2553</v>
      </c>
      <c r="J665" t="s">
        <v>2554</v>
      </c>
      <c r="K665" t="s">
        <v>2555</v>
      </c>
      <c r="L665" t="s">
        <v>757</v>
      </c>
      <c r="M665" t="s">
        <v>720</v>
      </c>
      <c r="N665" t="s">
        <v>721</v>
      </c>
      <c r="O665">
        <v>3</v>
      </c>
      <c r="P665">
        <v>7</v>
      </c>
      <c r="Q665">
        <v>72</v>
      </c>
      <c r="R665" t="s">
        <v>758</v>
      </c>
      <c r="S665" t="s">
        <v>745</v>
      </c>
      <c r="T665" t="s">
        <v>746</v>
      </c>
      <c r="U665" t="s">
        <v>759</v>
      </c>
    </row>
    <row r="666" spans="1:21" hidden="1" x14ac:dyDescent="0.3">
      <c r="A666" s="1" t="s">
        <v>1778</v>
      </c>
      <c r="B666" t="s">
        <v>732</v>
      </c>
      <c r="C666" t="s">
        <v>711</v>
      </c>
      <c r="D666" t="s">
        <v>1460</v>
      </c>
      <c r="E666" t="s">
        <v>567</v>
      </c>
      <c r="F666" t="s">
        <v>1351</v>
      </c>
      <c r="G666" t="s">
        <v>753</v>
      </c>
      <c r="H666" t="s">
        <v>715</v>
      </c>
      <c r="I666" t="s">
        <v>2556</v>
      </c>
      <c r="J666" t="s">
        <v>2557</v>
      </c>
      <c r="K666" t="s">
        <v>2558</v>
      </c>
      <c r="L666" t="s">
        <v>826</v>
      </c>
      <c r="M666" t="s">
        <v>720</v>
      </c>
      <c r="N666" t="s">
        <v>721</v>
      </c>
      <c r="O666">
        <v>10</v>
      </c>
      <c r="P666">
        <v>2</v>
      </c>
      <c r="Q666">
        <v>24</v>
      </c>
      <c r="R666" t="s">
        <v>798</v>
      </c>
      <c r="S666" t="s">
        <v>745</v>
      </c>
      <c r="T666" t="s">
        <v>746</v>
      </c>
      <c r="U666" t="s">
        <v>759</v>
      </c>
    </row>
    <row r="667" spans="1:21" hidden="1" x14ac:dyDescent="0.3">
      <c r="A667" s="1" t="s">
        <v>731</v>
      </c>
      <c r="B667" t="s">
        <v>732</v>
      </c>
      <c r="C667" t="s">
        <v>733</v>
      </c>
      <c r="D667" t="s">
        <v>734</v>
      </c>
      <c r="E667" t="s">
        <v>567</v>
      </c>
      <c r="F667" t="s">
        <v>735</v>
      </c>
      <c r="G667" t="s">
        <v>736</v>
      </c>
      <c r="H667" t="s">
        <v>737</v>
      </c>
      <c r="I667" t="s">
        <v>738</v>
      </c>
      <c r="J667" t="s">
        <v>739</v>
      </c>
      <c r="K667" t="s">
        <v>740</v>
      </c>
      <c r="L667" t="s">
        <v>741</v>
      </c>
      <c r="M667" t="s">
        <v>742</v>
      </c>
      <c r="N667" t="s">
        <v>743</v>
      </c>
      <c r="O667">
        <v>14</v>
      </c>
      <c r="P667">
        <v>2</v>
      </c>
      <c r="Q667">
        <v>10</v>
      </c>
      <c r="R667" t="s">
        <v>744</v>
      </c>
      <c r="S667" t="s">
        <v>745</v>
      </c>
      <c r="T667" t="s">
        <v>746</v>
      </c>
      <c r="U667" t="s">
        <v>747</v>
      </c>
    </row>
    <row r="668" spans="1:21" x14ac:dyDescent="0.3">
      <c r="A668" s="1" t="s">
        <v>748</v>
      </c>
      <c r="B668" t="s">
        <v>749</v>
      </c>
      <c r="C668" t="s">
        <v>750</v>
      </c>
      <c r="D668" t="s">
        <v>751</v>
      </c>
      <c r="E668" t="s">
        <v>569</v>
      </c>
      <c r="F668" t="s">
        <v>752</v>
      </c>
      <c r="G668" t="s">
        <v>753</v>
      </c>
      <c r="H668" t="s">
        <v>715</v>
      </c>
      <c r="I668" t="s">
        <v>754</v>
      </c>
      <c r="J668" t="s">
        <v>755</v>
      </c>
      <c r="K668" t="s">
        <v>756</v>
      </c>
      <c r="L668" t="s">
        <v>757</v>
      </c>
      <c r="M668" t="s">
        <v>720</v>
      </c>
      <c r="N668" t="s">
        <v>721</v>
      </c>
      <c r="O668">
        <v>11</v>
      </c>
      <c r="P668">
        <v>7</v>
      </c>
      <c r="Q668">
        <v>104</v>
      </c>
      <c r="R668" t="s">
        <v>758</v>
      </c>
      <c r="S668" t="s">
        <v>745</v>
      </c>
      <c r="T668" t="s">
        <v>746</v>
      </c>
      <c r="U668" t="s">
        <v>759</v>
      </c>
    </row>
    <row r="669" spans="1:21" x14ac:dyDescent="0.3">
      <c r="A669" s="1" t="s">
        <v>748</v>
      </c>
      <c r="B669" t="s">
        <v>749</v>
      </c>
      <c r="C669" t="s">
        <v>750</v>
      </c>
      <c r="D669" t="s">
        <v>760</v>
      </c>
      <c r="E669" t="s">
        <v>569</v>
      </c>
      <c r="F669" t="s">
        <v>761</v>
      </c>
      <c r="G669" t="s">
        <v>753</v>
      </c>
      <c r="H669" t="s">
        <v>715</v>
      </c>
      <c r="I669" t="s">
        <v>762</v>
      </c>
      <c r="J669" t="s">
        <v>763</v>
      </c>
      <c r="K669" t="s">
        <v>764</v>
      </c>
      <c r="L669" t="s">
        <v>765</v>
      </c>
      <c r="M669" t="s">
        <v>720</v>
      </c>
      <c r="N669" t="s">
        <v>721</v>
      </c>
      <c r="O669">
        <v>4</v>
      </c>
      <c r="P669">
        <v>15</v>
      </c>
      <c r="Q669">
        <v>13</v>
      </c>
      <c r="R669" t="s">
        <v>758</v>
      </c>
      <c r="S669" t="s">
        <v>745</v>
      </c>
      <c r="T669" t="s">
        <v>746</v>
      </c>
      <c r="U669" t="s">
        <v>759</v>
      </c>
    </row>
    <row r="670" spans="1:21" x14ac:dyDescent="0.3">
      <c r="A670" s="1" t="s">
        <v>748</v>
      </c>
      <c r="B670" t="s">
        <v>749</v>
      </c>
      <c r="C670" t="s">
        <v>750</v>
      </c>
      <c r="D670" t="s">
        <v>766</v>
      </c>
      <c r="E670" t="s">
        <v>569</v>
      </c>
      <c r="F670" t="s">
        <v>767</v>
      </c>
      <c r="G670" t="s">
        <v>753</v>
      </c>
      <c r="H670" t="s">
        <v>715</v>
      </c>
      <c r="I670" t="s">
        <v>768</v>
      </c>
      <c r="J670" t="s">
        <v>769</v>
      </c>
      <c r="K670" t="s">
        <v>770</v>
      </c>
      <c r="L670" t="s">
        <v>757</v>
      </c>
      <c r="M670" t="s">
        <v>720</v>
      </c>
      <c r="N670" t="s">
        <v>721</v>
      </c>
      <c r="O670">
        <v>6</v>
      </c>
      <c r="P670">
        <v>7</v>
      </c>
      <c r="Q670">
        <v>66</v>
      </c>
      <c r="R670" t="s">
        <v>758</v>
      </c>
      <c r="S670" t="s">
        <v>745</v>
      </c>
      <c r="T670" t="s">
        <v>746</v>
      </c>
      <c r="U670" t="s">
        <v>771</v>
      </c>
    </row>
    <row r="671" spans="1:21" x14ac:dyDescent="0.3">
      <c r="A671" s="1" t="s">
        <v>748</v>
      </c>
      <c r="B671" t="s">
        <v>749</v>
      </c>
      <c r="C671" t="s">
        <v>750</v>
      </c>
      <c r="D671" t="s">
        <v>772</v>
      </c>
      <c r="E671" t="s">
        <v>569</v>
      </c>
      <c r="F671" t="s">
        <v>773</v>
      </c>
      <c r="G671" t="s">
        <v>753</v>
      </c>
      <c r="H671" t="s">
        <v>715</v>
      </c>
      <c r="I671" t="s">
        <v>774</v>
      </c>
      <c r="J671" t="s">
        <v>775</v>
      </c>
      <c r="K671" t="s">
        <v>776</v>
      </c>
      <c r="L671" t="s">
        <v>765</v>
      </c>
      <c r="M671" t="s">
        <v>720</v>
      </c>
      <c r="N671" t="s">
        <v>721</v>
      </c>
      <c r="O671">
        <v>30</v>
      </c>
      <c r="P671">
        <v>15</v>
      </c>
      <c r="Q671">
        <v>98</v>
      </c>
      <c r="R671" t="s">
        <v>758</v>
      </c>
      <c r="S671" t="s">
        <v>745</v>
      </c>
      <c r="T671" t="s">
        <v>746</v>
      </c>
      <c r="U671" t="s">
        <v>759</v>
      </c>
    </row>
    <row r="672" spans="1:21" x14ac:dyDescent="0.3">
      <c r="A672" s="1" t="s">
        <v>748</v>
      </c>
      <c r="B672" t="s">
        <v>749</v>
      </c>
      <c r="C672" t="s">
        <v>750</v>
      </c>
      <c r="D672" t="s">
        <v>777</v>
      </c>
      <c r="E672" t="s">
        <v>569</v>
      </c>
      <c r="F672" t="s">
        <v>778</v>
      </c>
      <c r="G672" t="s">
        <v>753</v>
      </c>
      <c r="H672" t="s">
        <v>715</v>
      </c>
      <c r="I672" t="s">
        <v>779</v>
      </c>
      <c r="J672" t="s">
        <v>780</v>
      </c>
      <c r="K672" t="s">
        <v>781</v>
      </c>
      <c r="L672" t="s">
        <v>765</v>
      </c>
      <c r="M672" t="s">
        <v>720</v>
      </c>
      <c r="N672" t="s">
        <v>721</v>
      </c>
      <c r="O672">
        <v>1</v>
      </c>
      <c r="P672">
        <v>15</v>
      </c>
      <c r="Q672">
        <v>33</v>
      </c>
      <c r="R672" t="s">
        <v>758</v>
      </c>
      <c r="S672" t="s">
        <v>745</v>
      </c>
      <c r="T672" t="s">
        <v>746</v>
      </c>
      <c r="U672" t="s">
        <v>759</v>
      </c>
    </row>
    <row r="673" spans="1:21" x14ac:dyDescent="0.3">
      <c r="A673" s="1" t="s">
        <v>748</v>
      </c>
      <c r="B673" t="s">
        <v>749</v>
      </c>
      <c r="C673" t="s">
        <v>750</v>
      </c>
      <c r="D673" t="s">
        <v>782</v>
      </c>
      <c r="E673" t="s">
        <v>569</v>
      </c>
      <c r="F673" t="s">
        <v>783</v>
      </c>
      <c r="G673" t="s">
        <v>753</v>
      </c>
      <c r="H673" t="s">
        <v>715</v>
      </c>
      <c r="I673" t="s">
        <v>784</v>
      </c>
      <c r="J673" t="s">
        <v>785</v>
      </c>
      <c r="K673" t="s">
        <v>786</v>
      </c>
      <c r="L673" t="s">
        <v>765</v>
      </c>
      <c r="M673" t="s">
        <v>720</v>
      </c>
      <c r="N673" t="s">
        <v>721</v>
      </c>
      <c r="O673">
        <v>5</v>
      </c>
      <c r="P673">
        <v>15</v>
      </c>
      <c r="Q673">
        <v>58</v>
      </c>
      <c r="R673" t="s">
        <v>758</v>
      </c>
      <c r="S673" t="s">
        <v>745</v>
      </c>
      <c r="T673" t="s">
        <v>746</v>
      </c>
      <c r="U673" t="s">
        <v>759</v>
      </c>
    </row>
    <row r="674" spans="1:21" x14ac:dyDescent="0.3">
      <c r="A674" s="1" t="s">
        <v>748</v>
      </c>
      <c r="B674" t="s">
        <v>749</v>
      </c>
      <c r="C674" t="s">
        <v>750</v>
      </c>
      <c r="D674" t="s">
        <v>787</v>
      </c>
      <c r="E674" t="s">
        <v>569</v>
      </c>
      <c r="F674" t="s">
        <v>788</v>
      </c>
      <c r="G674" t="s">
        <v>753</v>
      </c>
      <c r="H674" t="s">
        <v>715</v>
      </c>
      <c r="I674" t="s">
        <v>789</v>
      </c>
      <c r="J674" t="s">
        <v>790</v>
      </c>
      <c r="K674" t="s">
        <v>791</v>
      </c>
      <c r="L674" t="s">
        <v>765</v>
      </c>
      <c r="M674" t="s">
        <v>720</v>
      </c>
      <c r="N674" t="s">
        <v>721</v>
      </c>
      <c r="O674">
        <v>6</v>
      </c>
      <c r="P674">
        <v>15</v>
      </c>
      <c r="Q674">
        <v>72</v>
      </c>
      <c r="R674" t="s">
        <v>758</v>
      </c>
      <c r="S674" t="s">
        <v>745</v>
      </c>
      <c r="T674" t="s">
        <v>746</v>
      </c>
      <c r="U674" t="s">
        <v>759</v>
      </c>
    </row>
    <row r="675" spans="1:21" x14ac:dyDescent="0.3">
      <c r="A675" s="1" t="s">
        <v>748</v>
      </c>
      <c r="B675" t="s">
        <v>749</v>
      </c>
      <c r="C675" t="s">
        <v>750</v>
      </c>
      <c r="D675" t="s">
        <v>792</v>
      </c>
      <c r="E675" t="s">
        <v>569</v>
      </c>
      <c r="F675" t="s">
        <v>793</v>
      </c>
      <c r="G675" t="s">
        <v>794</v>
      </c>
      <c r="H675" t="s">
        <v>715</v>
      </c>
      <c r="I675" t="s">
        <v>795</v>
      </c>
      <c r="J675" t="s">
        <v>796</v>
      </c>
      <c r="K675" t="s">
        <v>797</v>
      </c>
      <c r="L675" t="s">
        <v>741</v>
      </c>
      <c r="M675" t="s">
        <v>720</v>
      </c>
      <c r="N675" t="s">
        <v>743</v>
      </c>
      <c r="O675">
        <v>2</v>
      </c>
      <c r="P675">
        <v>0</v>
      </c>
      <c r="Q675">
        <v>93</v>
      </c>
      <c r="R675" t="s">
        <v>798</v>
      </c>
      <c r="S675" t="s">
        <v>745</v>
      </c>
      <c r="T675" t="s">
        <v>746</v>
      </c>
      <c r="U675" t="s">
        <v>759</v>
      </c>
    </row>
    <row r="676" spans="1:21" x14ac:dyDescent="0.3">
      <c r="A676" s="1" t="s">
        <v>748</v>
      </c>
      <c r="B676" t="s">
        <v>749</v>
      </c>
      <c r="C676" t="s">
        <v>750</v>
      </c>
      <c r="D676" t="s">
        <v>799</v>
      </c>
      <c r="E676" t="s">
        <v>569</v>
      </c>
      <c r="F676" t="s">
        <v>800</v>
      </c>
      <c r="G676" t="s">
        <v>753</v>
      </c>
      <c r="H676" t="s">
        <v>715</v>
      </c>
      <c r="I676" t="s">
        <v>801</v>
      </c>
      <c r="J676" t="s">
        <v>802</v>
      </c>
      <c r="K676" t="s">
        <v>803</v>
      </c>
      <c r="L676" t="s">
        <v>765</v>
      </c>
      <c r="M676" t="s">
        <v>720</v>
      </c>
      <c r="N676" t="s">
        <v>721</v>
      </c>
      <c r="O676">
        <v>4</v>
      </c>
      <c r="P676">
        <v>15</v>
      </c>
      <c r="Q676">
        <v>12</v>
      </c>
      <c r="R676" t="s">
        <v>758</v>
      </c>
      <c r="S676" t="s">
        <v>745</v>
      </c>
      <c r="T676" t="s">
        <v>746</v>
      </c>
      <c r="U676" t="s">
        <v>759</v>
      </c>
    </row>
    <row r="677" spans="1:21" x14ac:dyDescent="0.3">
      <c r="A677" s="1" t="s">
        <v>748</v>
      </c>
      <c r="B677" t="s">
        <v>749</v>
      </c>
      <c r="C677" t="s">
        <v>750</v>
      </c>
      <c r="D677" t="s">
        <v>804</v>
      </c>
      <c r="E677" t="s">
        <v>569</v>
      </c>
      <c r="F677" t="s">
        <v>805</v>
      </c>
      <c r="G677" t="s">
        <v>806</v>
      </c>
      <c r="H677" t="s">
        <v>715</v>
      </c>
      <c r="I677" t="s">
        <v>807</v>
      </c>
      <c r="J677" t="s">
        <v>808</v>
      </c>
      <c r="K677" t="s">
        <v>809</v>
      </c>
      <c r="L677" t="s">
        <v>810</v>
      </c>
      <c r="M677" t="s">
        <v>720</v>
      </c>
      <c r="N677" t="s">
        <v>721</v>
      </c>
      <c r="O677">
        <v>6</v>
      </c>
      <c r="P677">
        <v>3</v>
      </c>
      <c r="Q677">
        <v>90</v>
      </c>
      <c r="R677" t="s">
        <v>798</v>
      </c>
      <c r="S677" t="s">
        <v>745</v>
      </c>
      <c r="T677" t="s">
        <v>746</v>
      </c>
      <c r="U677" t="s">
        <v>759</v>
      </c>
    </row>
    <row r="678" spans="1:21" x14ac:dyDescent="0.3">
      <c r="A678" s="1" t="s">
        <v>748</v>
      </c>
      <c r="B678" t="s">
        <v>749</v>
      </c>
      <c r="C678" t="s">
        <v>750</v>
      </c>
      <c r="D678" t="s">
        <v>811</v>
      </c>
      <c r="E678" t="s">
        <v>569</v>
      </c>
      <c r="F678" t="s">
        <v>812</v>
      </c>
      <c r="G678" t="s">
        <v>753</v>
      </c>
      <c r="H678" t="s">
        <v>715</v>
      </c>
      <c r="I678" t="s">
        <v>813</v>
      </c>
      <c r="J678" t="s">
        <v>814</v>
      </c>
      <c r="K678" t="s">
        <v>815</v>
      </c>
      <c r="L678" t="s">
        <v>765</v>
      </c>
      <c r="M678" t="s">
        <v>720</v>
      </c>
      <c r="N678" t="s">
        <v>721</v>
      </c>
      <c r="O678">
        <v>3</v>
      </c>
      <c r="P678">
        <v>15</v>
      </c>
      <c r="Q678">
        <v>1</v>
      </c>
      <c r="R678" t="s">
        <v>758</v>
      </c>
      <c r="S678" t="s">
        <v>745</v>
      </c>
      <c r="T678" t="s">
        <v>746</v>
      </c>
      <c r="U678" t="s">
        <v>759</v>
      </c>
    </row>
    <row r="679" spans="1:21" x14ac:dyDescent="0.3">
      <c r="A679" s="1" t="s">
        <v>748</v>
      </c>
      <c r="B679" t="s">
        <v>749</v>
      </c>
      <c r="C679" t="s">
        <v>750</v>
      </c>
      <c r="D679" t="s">
        <v>816</v>
      </c>
      <c r="E679" t="s">
        <v>569</v>
      </c>
      <c r="F679" t="s">
        <v>817</v>
      </c>
      <c r="G679" t="s">
        <v>794</v>
      </c>
      <c r="H679" t="s">
        <v>715</v>
      </c>
      <c r="I679" t="s">
        <v>818</v>
      </c>
      <c r="J679" t="s">
        <v>819</v>
      </c>
      <c r="K679" t="s">
        <v>820</v>
      </c>
      <c r="L679" t="s">
        <v>741</v>
      </c>
      <c r="M679" t="s">
        <v>720</v>
      </c>
      <c r="N679" t="s">
        <v>743</v>
      </c>
      <c r="O679">
        <v>7</v>
      </c>
      <c r="P679">
        <v>0</v>
      </c>
      <c r="Q679">
        <v>40</v>
      </c>
      <c r="R679" t="s">
        <v>798</v>
      </c>
      <c r="S679" t="s">
        <v>745</v>
      </c>
      <c r="T679" t="s">
        <v>746</v>
      </c>
      <c r="U679" t="s">
        <v>759</v>
      </c>
    </row>
    <row r="680" spans="1:21" x14ac:dyDescent="0.3">
      <c r="A680" s="1" t="s">
        <v>748</v>
      </c>
      <c r="B680" t="s">
        <v>749</v>
      </c>
      <c r="C680" t="s">
        <v>750</v>
      </c>
      <c r="D680" t="s">
        <v>821</v>
      </c>
      <c r="E680" t="s">
        <v>569</v>
      </c>
      <c r="F680" t="s">
        <v>822</v>
      </c>
      <c r="G680" t="s">
        <v>794</v>
      </c>
      <c r="H680" t="s">
        <v>715</v>
      </c>
      <c r="I680" t="s">
        <v>823</v>
      </c>
      <c r="J680" t="s">
        <v>824</v>
      </c>
      <c r="K680" t="s">
        <v>825</v>
      </c>
      <c r="L680" t="s">
        <v>826</v>
      </c>
      <c r="M680" t="s">
        <v>720</v>
      </c>
      <c r="N680" t="s">
        <v>721</v>
      </c>
      <c r="O680">
        <v>0</v>
      </c>
      <c r="P680">
        <v>2</v>
      </c>
      <c r="Q680">
        <v>30</v>
      </c>
      <c r="R680" t="s">
        <v>798</v>
      </c>
      <c r="S680" t="s">
        <v>745</v>
      </c>
      <c r="T680" t="s">
        <v>746</v>
      </c>
      <c r="U680" t="s">
        <v>759</v>
      </c>
    </row>
    <row r="681" spans="1:21" x14ac:dyDescent="0.3">
      <c r="A681" s="1" t="s">
        <v>748</v>
      </c>
      <c r="B681" t="s">
        <v>749</v>
      </c>
      <c r="C681" t="s">
        <v>750</v>
      </c>
      <c r="D681" t="s">
        <v>827</v>
      </c>
      <c r="E681" t="s">
        <v>569</v>
      </c>
      <c r="F681" t="s">
        <v>828</v>
      </c>
      <c r="G681" t="s">
        <v>753</v>
      </c>
      <c r="H681" t="s">
        <v>715</v>
      </c>
      <c r="I681" t="s">
        <v>829</v>
      </c>
      <c r="J681" t="s">
        <v>830</v>
      </c>
      <c r="K681" t="s">
        <v>831</v>
      </c>
      <c r="L681" t="s">
        <v>765</v>
      </c>
      <c r="M681" t="s">
        <v>720</v>
      </c>
      <c r="N681" t="s">
        <v>721</v>
      </c>
      <c r="O681">
        <v>3</v>
      </c>
      <c r="P681">
        <v>15</v>
      </c>
      <c r="Q681">
        <v>21</v>
      </c>
      <c r="R681" t="s">
        <v>758</v>
      </c>
      <c r="S681" t="s">
        <v>745</v>
      </c>
      <c r="T681" t="s">
        <v>746</v>
      </c>
      <c r="U681" t="s">
        <v>832</v>
      </c>
    </row>
    <row r="682" spans="1:21" x14ac:dyDescent="0.3">
      <c r="A682" s="1" t="s">
        <v>748</v>
      </c>
      <c r="B682" t="s">
        <v>749</v>
      </c>
      <c r="C682" t="s">
        <v>750</v>
      </c>
      <c r="D682" t="s">
        <v>833</v>
      </c>
      <c r="E682" t="s">
        <v>569</v>
      </c>
      <c r="F682" t="s">
        <v>834</v>
      </c>
      <c r="G682" t="s">
        <v>794</v>
      </c>
      <c r="H682" t="s">
        <v>715</v>
      </c>
      <c r="I682" t="s">
        <v>835</v>
      </c>
      <c r="J682" t="s">
        <v>836</v>
      </c>
      <c r="K682" t="s">
        <v>837</v>
      </c>
      <c r="L682" t="s">
        <v>741</v>
      </c>
      <c r="M682" t="s">
        <v>720</v>
      </c>
      <c r="N682" t="s">
        <v>743</v>
      </c>
      <c r="O682">
        <v>1</v>
      </c>
      <c r="P682">
        <v>0</v>
      </c>
      <c r="Q682">
        <v>72</v>
      </c>
      <c r="R682" t="s">
        <v>798</v>
      </c>
      <c r="S682" t="s">
        <v>745</v>
      </c>
      <c r="T682" t="s">
        <v>746</v>
      </c>
      <c r="U682" t="s">
        <v>759</v>
      </c>
    </row>
    <row r="683" spans="1:21" x14ac:dyDescent="0.3">
      <c r="A683" s="1" t="s">
        <v>748</v>
      </c>
      <c r="B683" t="s">
        <v>749</v>
      </c>
      <c r="C683" t="s">
        <v>750</v>
      </c>
      <c r="D683" t="s">
        <v>838</v>
      </c>
      <c r="E683" t="s">
        <v>569</v>
      </c>
      <c r="F683" t="s">
        <v>839</v>
      </c>
      <c r="G683" t="s">
        <v>753</v>
      </c>
      <c r="H683" t="s">
        <v>715</v>
      </c>
      <c r="I683" t="s">
        <v>840</v>
      </c>
      <c r="J683" t="s">
        <v>841</v>
      </c>
      <c r="K683" t="s">
        <v>842</v>
      </c>
      <c r="L683" t="s">
        <v>765</v>
      </c>
      <c r="M683" t="s">
        <v>720</v>
      </c>
      <c r="N683" t="s">
        <v>721</v>
      </c>
      <c r="O683">
        <v>1</v>
      </c>
      <c r="P683">
        <v>15</v>
      </c>
      <c r="Q683">
        <v>72</v>
      </c>
      <c r="R683" t="s">
        <v>758</v>
      </c>
      <c r="S683" t="s">
        <v>745</v>
      </c>
      <c r="T683" t="s">
        <v>746</v>
      </c>
      <c r="U683" t="s">
        <v>759</v>
      </c>
    </row>
    <row r="684" spans="1:21" x14ac:dyDescent="0.3">
      <c r="A684" s="1" t="s">
        <v>748</v>
      </c>
      <c r="B684" t="s">
        <v>749</v>
      </c>
      <c r="C684" t="s">
        <v>750</v>
      </c>
      <c r="D684" t="s">
        <v>843</v>
      </c>
      <c r="E684" t="s">
        <v>569</v>
      </c>
      <c r="F684" t="s">
        <v>844</v>
      </c>
      <c r="G684" t="s">
        <v>753</v>
      </c>
      <c r="H684" t="s">
        <v>715</v>
      </c>
      <c r="I684" t="s">
        <v>845</v>
      </c>
      <c r="J684" t="s">
        <v>846</v>
      </c>
      <c r="K684" t="s">
        <v>847</v>
      </c>
      <c r="L684" t="s">
        <v>765</v>
      </c>
      <c r="M684" t="s">
        <v>720</v>
      </c>
      <c r="N684" t="s">
        <v>721</v>
      </c>
      <c r="O684">
        <v>3</v>
      </c>
      <c r="P684">
        <v>15</v>
      </c>
      <c r="Q684">
        <v>73</v>
      </c>
      <c r="R684" t="s">
        <v>758</v>
      </c>
      <c r="S684" t="s">
        <v>745</v>
      </c>
      <c r="T684" t="s">
        <v>746</v>
      </c>
      <c r="U684" t="s">
        <v>759</v>
      </c>
    </row>
    <row r="685" spans="1:21" x14ac:dyDescent="0.3">
      <c r="A685" s="1" t="s">
        <v>748</v>
      </c>
      <c r="B685" t="s">
        <v>749</v>
      </c>
      <c r="C685" t="s">
        <v>750</v>
      </c>
      <c r="D685" t="s">
        <v>848</v>
      </c>
      <c r="E685" t="s">
        <v>569</v>
      </c>
      <c r="F685" t="s">
        <v>849</v>
      </c>
      <c r="G685" t="s">
        <v>753</v>
      </c>
      <c r="H685" t="s">
        <v>715</v>
      </c>
      <c r="I685" t="s">
        <v>850</v>
      </c>
      <c r="J685" t="s">
        <v>851</v>
      </c>
      <c r="K685" t="s">
        <v>852</v>
      </c>
      <c r="L685" t="s">
        <v>757</v>
      </c>
      <c r="M685" t="s">
        <v>720</v>
      </c>
      <c r="N685" t="s">
        <v>721</v>
      </c>
      <c r="O685">
        <v>1</v>
      </c>
      <c r="P685">
        <v>7</v>
      </c>
      <c r="Q685">
        <v>71</v>
      </c>
      <c r="R685" t="s">
        <v>758</v>
      </c>
      <c r="S685" t="s">
        <v>745</v>
      </c>
      <c r="T685" t="s">
        <v>746</v>
      </c>
      <c r="U685" t="s">
        <v>853</v>
      </c>
    </row>
    <row r="686" spans="1:21" x14ac:dyDescent="0.3">
      <c r="A686" s="1" t="s">
        <v>748</v>
      </c>
      <c r="B686" t="s">
        <v>749</v>
      </c>
      <c r="C686" t="s">
        <v>750</v>
      </c>
      <c r="D686" t="s">
        <v>854</v>
      </c>
      <c r="E686" t="s">
        <v>569</v>
      </c>
      <c r="F686" t="s">
        <v>855</v>
      </c>
      <c r="G686" t="s">
        <v>753</v>
      </c>
      <c r="H686" t="s">
        <v>715</v>
      </c>
      <c r="I686" t="s">
        <v>856</v>
      </c>
      <c r="J686" t="s">
        <v>857</v>
      </c>
      <c r="K686" t="s">
        <v>858</v>
      </c>
      <c r="L686" t="s">
        <v>765</v>
      </c>
      <c r="M686" t="s">
        <v>720</v>
      </c>
      <c r="N686" t="s">
        <v>721</v>
      </c>
      <c r="O686">
        <v>11</v>
      </c>
      <c r="P686">
        <v>15</v>
      </c>
      <c r="Q686">
        <v>33</v>
      </c>
      <c r="R686" t="s">
        <v>758</v>
      </c>
      <c r="S686" t="s">
        <v>745</v>
      </c>
      <c r="T686" t="s">
        <v>746</v>
      </c>
      <c r="U686" t="s">
        <v>759</v>
      </c>
    </row>
    <row r="687" spans="1:21" x14ac:dyDescent="0.3">
      <c r="A687" s="1" t="s">
        <v>748</v>
      </c>
      <c r="B687" t="s">
        <v>749</v>
      </c>
      <c r="C687" t="s">
        <v>750</v>
      </c>
      <c r="D687" t="s">
        <v>859</v>
      </c>
      <c r="E687" t="s">
        <v>569</v>
      </c>
      <c r="F687" t="s">
        <v>860</v>
      </c>
      <c r="G687" t="s">
        <v>753</v>
      </c>
      <c r="H687" t="s">
        <v>715</v>
      </c>
      <c r="I687" t="s">
        <v>861</v>
      </c>
      <c r="J687" t="s">
        <v>862</v>
      </c>
      <c r="K687" t="s">
        <v>863</v>
      </c>
      <c r="L687" t="s">
        <v>757</v>
      </c>
      <c r="M687" t="s">
        <v>720</v>
      </c>
      <c r="N687" t="s">
        <v>721</v>
      </c>
      <c r="O687">
        <v>6</v>
      </c>
      <c r="P687">
        <v>7</v>
      </c>
      <c r="Q687">
        <v>4</v>
      </c>
      <c r="R687" t="s">
        <v>758</v>
      </c>
      <c r="S687" t="s">
        <v>745</v>
      </c>
      <c r="T687" t="s">
        <v>746</v>
      </c>
      <c r="U687" t="s">
        <v>853</v>
      </c>
    </row>
    <row r="688" spans="1:21" x14ac:dyDescent="0.3">
      <c r="A688" s="1" t="s">
        <v>748</v>
      </c>
      <c r="B688" t="s">
        <v>749</v>
      </c>
      <c r="C688" t="s">
        <v>750</v>
      </c>
      <c r="D688" t="s">
        <v>864</v>
      </c>
      <c r="E688" t="s">
        <v>569</v>
      </c>
      <c r="F688" t="s">
        <v>865</v>
      </c>
      <c r="G688" t="s">
        <v>753</v>
      </c>
      <c r="H688" t="s">
        <v>715</v>
      </c>
      <c r="I688" t="s">
        <v>866</v>
      </c>
      <c r="J688" t="s">
        <v>867</v>
      </c>
      <c r="K688" t="s">
        <v>868</v>
      </c>
      <c r="L688" t="s">
        <v>765</v>
      </c>
      <c r="M688" t="s">
        <v>720</v>
      </c>
      <c r="N688" t="s">
        <v>721</v>
      </c>
      <c r="O688">
        <v>0</v>
      </c>
      <c r="P688">
        <v>15</v>
      </c>
      <c r="Q688">
        <v>22</v>
      </c>
      <c r="R688" t="s">
        <v>758</v>
      </c>
      <c r="S688" t="s">
        <v>745</v>
      </c>
      <c r="T688" t="s">
        <v>746</v>
      </c>
      <c r="U688" t="s">
        <v>759</v>
      </c>
    </row>
    <row r="689" spans="1:21" x14ac:dyDescent="0.3">
      <c r="A689" s="1" t="s">
        <v>748</v>
      </c>
      <c r="B689" t="s">
        <v>749</v>
      </c>
      <c r="C689" t="s">
        <v>750</v>
      </c>
      <c r="D689" t="s">
        <v>869</v>
      </c>
      <c r="E689" t="s">
        <v>569</v>
      </c>
      <c r="F689" t="s">
        <v>870</v>
      </c>
      <c r="G689" t="s">
        <v>753</v>
      </c>
      <c r="H689" t="s">
        <v>715</v>
      </c>
      <c r="I689" t="s">
        <v>871</v>
      </c>
      <c r="J689" t="s">
        <v>872</v>
      </c>
      <c r="K689" t="s">
        <v>873</v>
      </c>
      <c r="L689" t="s">
        <v>765</v>
      </c>
      <c r="M689" t="s">
        <v>720</v>
      </c>
      <c r="N689" t="s">
        <v>721</v>
      </c>
      <c r="O689">
        <v>2</v>
      </c>
      <c r="P689">
        <v>15</v>
      </c>
      <c r="Q689">
        <v>68</v>
      </c>
      <c r="R689" t="s">
        <v>758</v>
      </c>
      <c r="S689" t="s">
        <v>745</v>
      </c>
      <c r="T689" t="s">
        <v>746</v>
      </c>
      <c r="U689" t="s">
        <v>759</v>
      </c>
    </row>
    <row r="690" spans="1:21" x14ac:dyDescent="0.3">
      <c r="A690" s="1" t="s">
        <v>748</v>
      </c>
      <c r="B690" t="s">
        <v>749</v>
      </c>
      <c r="C690" t="s">
        <v>750</v>
      </c>
      <c r="D690" t="s">
        <v>874</v>
      </c>
      <c r="E690" t="s">
        <v>569</v>
      </c>
      <c r="F690" t="s">
        <v>875</v>
      </c>
      <c r="G690" t="s">
        <v>753</v>
      </c>
      <c r="H690" t="s">
        <v>715</v>
      </c>
      <c r="I690" t="s">
        <v>876</v>
      </c>
      <c r="J690" t="s">
        <v>877</v>
      </c>
      <c r="K690" t="s">
        <v>878</v>
      </c>
      <c r="L690" t="s">
        <v>765</v>
      </c>
      <c r="M690" t="s">
        <v>720</v>
      </c>
      <c r="N690" t="s">
        <v>721</v>
      </c>
      <c r="O690">
        <v>2</v>
      </c>
      <c r="P690">
        <v>15</v>
      </c>
      <c r="Q690">
        <v>5</v>
      </c>
      <c r="R690" t="s">
        <v>758</v>
      </c>
      <c r="S690" t="s">
        <v>745</v>
      </c>
      <c r="T690" t="s">
        <v>746</v>
      </c>
      <c r="U690" t="s">
        <v>759</v>
      </c>
    </row>
    <row r="691" spans="1:21" x14ac:dyDescent="0.3">
      <c r="A691" s="1" t="s">
        <v>748</v>
      </c>
      <c r="B691" t="s">
        <v>749</v>
      </c>
      <c r="C691" t="s">
        <v>750</v>
      </c>
      <c r="D691" t="s">
        <v>879</v>
      </c>
      <c r="E691" t="s">
        <v>569</v>
      </c>
      <c r="F691" t="s">
        <v>880</v>
      </c>
      <c r="G691" t="s">
        <v>794</v>
      </c>
      <c r="H691" t="s">
        <v>715</v>
      </c>
      <c r="I691" t="s">
        <v>881</v>
      </c>
      <c r="J691" t="s">
        <v>882</v>
      </c>
      <c r="K691" t="s">
        <v>883</v>
      </c>
      <c r="L691" t="s">
        <v>826</v>
      </c>
      <c r="M691" t="s">
        <v>720</v>
      </c>
      <c r="N691" t="s">
        <v>721</v>
      </c>
      <c r="O691">
        <v>1</v>
      </c>
      <c r="P691">
        <v>2</v>
      </c>
      <c r="Q691">
        <v>62</v>
      </c>
      <c r="R691" t="s">
        <v>798</v>
      </c>
      <c r="S691" t="s">
        <v>745</v>
      </c>
      <c r="T691" t="s">
        <v>746</v>
      </c>
      <c r="U691" t="s">
        <v>759</v>
      </c>
    </row>
    <row r="692" spans="1:21" x14ac:dyDescent="0.3">
      <c r="A692" s="1" t="s">
        <v>748</v>
      </c>
      <c r="B692" t="s">
        <v>749</v>
      </c>
      <c r="C692" t="s">
        <v>750</v>
      </c>
      <c r="D692" t="s">
        <v>884</v>
      </c>
      <c r="E692" t="s">
        <v>569</v>
      </c>
      <c r="F692" t="s">
        <v>885</v>
      </c>
      <c r="G692" t="s">
        <v>753</v>
      </c>
      <c r="H692" t="s">
        <v>715</v>
      </c>
      <c r="I692" t="s">
        <v>886</v>
      </c>
      <c r="J692" t="s">
        <v>887</v>
      </c>
      <c r="K692" t="s">
        <v>888</v>
      </c>
      <c r="L692" t="s">
        <v>765</v>
      </c>
      <c r="M692" t="s">
        <v>720</v>
      </c>
      <c r="N692" t="s">
        <v>721</v>
      </c>
      <c r="O692">
        <v>1</v>
      </c>
      <c r="P692">
        <v>15</v>
      </c>
      <c r="Q692">
        <v>102</v>
      </c>
      <c r="R692" t="s">
        <v>758</v>
      </c>
      <c r="S692" t="s">
        <v>745</v>
      </c>
      <c r="T692" t="s">
        <v>746</v>
      </c>
      <c r="U692" t="s">
        <v>853</v>
      </c>
    </row>
    <row r="693" spans="1:21" x14ac:dyDescent="0.3">
      <c r="A693" s="1" t="s">
        <v>748</v>
      </c>
      <c r="B693" t="s">
        <v>749</v>
      </c>
      <c r="C693" t="s">
        <v>750</v>
      </c>
      <c r="D693" t="s">
        <v>889</v>
      </c>
      <c r="E693" t="s">
        <v>569</v>
      </c>
      <c r="F693" t="s">
        <v>890</v>
      </c>
      <c r="G693" t="s">
        <v>753</v>
      </c>
      <c r="H693" t="s">
        <v>715</v>
      </c>
      <c r="I693" t="s">
        <v>891</v>
      </c>
      <c r="J693" t="s">
        <v>892</v>
      </c>
      <c r="K693" t="s">
        <v>893</v>
      </c>
      <c r="L693" t="s">
        <v>765</v>
      </c>
      <c r="M693" t="s">
        <v>720</v>
      </c>
      <c r="N693" t="s">
        <v>721</v>
      </c>
      <c r="O693">
        <v>1</v>
      </c>
      <c r="P693">
        <v>15</v>
      </c>
      <c r="Q693">
        <v>14</v>
      </c>
      <c r="R693" t="s">
        <v>758</v>
      </c>
      <c r="S693" t="s">
        <v>745</v>
      </c>
      <c r="T693" t="s">
        <v>746</v>
      </c>
      <c r="U693" t="s">
        <v>759</v>
      </c>
    </row>
    <row r="694" spans="1:21" x14ac:dyDescent="0.3">
      <c r="A694" s="1" t="s">
        <v>748</v>
      </c>
      <c r="B694" t="s">
        <v>749</v>
      </c>
      <c r="C694" t="s">
        <v>750</v>
      </c>
      <c r="D694" t="s">
        <v>894</v>
      </c>
      <c r="E694" t="s">
        <v>569</v>
      </c>
      <c r="F694" t="s">
        <v>895</v>
      </c>
      <c r="G694" t="s">
        <v>753</v>
      </c>
      <c r="H694" t="s">
        <v>715</v>
      </c>
      <c r="I694" t="s">
        <v>896</v>
      </c>
      <c r="J694" t="s">
        <v>897</v>
      </c>
      <c r="K694" t="s">
        <v>898</v>
      </c>
      <c r="L694" t="s">
        <v>765</v>
      </c>
      <c r="M694" t="s">
        <v>720</v>
      </c>
      <c r="N694" t="s">
        <v>721</v>
      </c>
      <c r="O694">
        <v>1</v>
      </c>
      <c r="P694">
        <v>15</v>
      </c>
      <c r="Q694">
        <v>83</v>
      </c>
      <c r="R694" t="s">
        <v>758</v>
      </c>
      <c r="S694" t="s">
        <v>745</v>
      </c>
      <c r="T694" t="s">
        <v>746</v>
      </c>
      <c r="U694" t="s">
        <v>759</v>
      </c>
    </row>
    <row r="695" spans="1:21" x14ac:dyDescent="0.3">
      <c r="A695" s="1" t="s">
        <v>748</v>
      </c>
      <c r="B695" t="s">
        <v>749</v>
      </c>
      <c r="C695" t="s">
        <v>750</v>
      </c>
      <c r="D695" t="s">
        <v>899</v>
      </c>
      <c r="E695" t="s">
        <v>569</v>
      </c>
      <c r="F695" t="s">
        <v>900</v>
      </c>
      <c r="G695" t="s">
        <v>794</v>
      </c>
      <c r="H695" t="s">
        <v>715</v>
      </c>
      <c r="I695" t="s">
        <v>901</v>
      </c>
      <c r="J695" t="s">
        <v>902</v>
      </c>
      <c r="K695" t="s">
        <v>903</v>
      </c>
      <c r="L695" t="s">
        <v>904</v>
      </c>
      <c r="M695" t="s">
        <v>720</v>
      </c>
      <c r="N695" t="s">
        <v>721</v>
      </c>
      <c r="O695">
        <v>11</v>
      </c>
      <c r="P695">
        <v>10</v>
      </c>
      <c r="Q695">
        <v>96</v>
      </c>
      <c r="R695" t="s">
        <v>722</v>
      </c>
      <c r="S695" t="s">
        <v>745</v>
      </c>
      <c r="T695" t="s">
        <v>746</v>
      </c>
      <c r="U695" t="s">
        <v>759</v>
      </c>
    </row>
    <row r="696" spans="1:21" x14ac:dyDescent="0.3">
      <c r="A696" s="1" t="s">
        <v>748</v>
      </c>
      <c r="B696" t="s">
        <v>749</v>
      </c>
      <c r="C696" t="s">
        <v>750</v>
      </c>
      <c r="D696" t="s">
        <v>905</v>
      </c>
      <c r="E696" t="s">
        <v>569</v>
      </c>
      <c r="F696" t="s">
        <v>906</v>
      </c>
      <c r="G696" t="s">
        <v>753</v>
      </c>
      <c r="H696" t="s">
        <v>715</v>
      </c>
      <c r="I696" t="s">
        <v>907</v>
      </c>
      <c r="J696" t="s">
        <v>908</v>
      </c>
      <c r="K696" t="s">
        <v>909</v>
      </c>
      <c r="L696" t="s">
        <v>765</v>
      </c>
      <c r="M696" t="s">
        <v>720</v>
      </c>
      <c r="N696" t="s">
        <v>721</v>
      </c>
      <c r="O696">
        <v>6</v>
      </c>
      <c r="P696">
        <v>15</v>
      </c>
      <c r="Q696">
        <v>82</v>
      </c>
      <c r="R696" t="s">
        <v>758</v>
      </c>
      <c r="S696" t="s">
        <v>745</v>
      </c>
      <c r="T696" t="s">
        <v>746</v>
      </c>
      <c r="U696" t="s">
        <v>759</v>
      </c>
    </row>
    <row r="697" spans="1:21" x14ac:dyDescent="0.3">
      <c r="A697" s="1" t="s">
        <v>748</v>
      </c>
      <c r="B697" t="s">
        <v>749</v>
      </c>
      <c r="C697" t="s">
        <v>750</v>
      </c>
      <c r="D697" t="s">
        <v>910</v>
      </c>
      <c r="E697" t="s">
        <v>569</v>
      </c>
      <c r="F697" t="s">
        <v>911</v>
      </c>
      <c r="G697" t="s">
        <v>753</v>
      </c>
      <c r="H697" t="s">
        <v>715</v>
      </c>
      <c r="I697" t="s">
        <v>912</v>
      </c>
      <c r="J697" t="s">
        <v>913</v>
      </c>
      <c r="K697" t="s">
        <v>914</v>
      </c>
      <c r="L697" t="s">
        <v>765</v>
      </c>
      <c r="M697" t="s">
        <v>720</v>
      </c>
      <c r="N697" t="s">
        <v>721</v>
      </c>
      <c r="O697">
        <v>5</v>
      </c>
      <c r="P697">
        <v>15</v>
      </c>
      <c r="Q697">
        <v>8</v>
      </c>
      <c r="R697" t="s">
        <v>758</v>
      </c>
      <c r="S697" t="s">
        <v>745</v>
      </c>
      <c r="T697" t="s">
        <v>746</v>
      </c>
      <c r="U697" t="s">
        <v>759</v>
      </c>
    </row>
    <row r="698" spans="1:21" x14ac:dyDescent="0.3">
      <c r="A698" s="1" t="s">
        <v>748</v>
      </c>
      <c r="B698" t="s">
        <v>749</v>
      </c>
      <c r="C698" t="s">
        <v>750</v>
      </c>
      <c r="D698" t="s">
        <v>915</v>
      </c>
      <c r="E698" t="s">
        <v>569</v>
      </c>
      <c r="F698" t="s">
        <v>713</v>
      </c>
      <c r="G698" t="s">
        <v>753</v>
      </c>
      <c r="H698" t="s">
        <v>715</v>
      </c>
      <c r="I698" t="s">
        <v>916</v>
      </c>
      <c r="J698" t="s">
        <v>917</v>
      </c>
      <c r="K698" t="s">
        <v>918</v>
      </c>
      <c r="L698" t="s">
        <v>757</v>
      </c>
      <c r="M698" t="s">
        <v>720</v>
      </c>
      <c r="N698" t="s">
        <v>721</v>
      </c>
      <c r="O698">
        <v>2</v>
      </c>
      <c r="P698">
        <v>7</v>
      </c>
      <c r="Q698">
        <v>56</v>
      </c>
      <c r="R698" t="s">
        <v>758</v>
      </c>
      <c r="S698" t="s">
        <v>745</v>
      </c>
      <c r="T698" t="s">
        <v>746</v>
      </c>
      <c r="U698" t="s">
        <v>919</v>
      </c>
    </row>
    <row r="699" spans="1:21" x14ac:dyDescent="0.3">
      <c r="A699" s="1" t="s">
        <v>748</v>
      </c>
      <c r="B699" t="s">
        <v>749</v>
      </c>
      <c r="C699" t="s">
        <v>750</v>
      </c>
      <c r="D699" t="s">
        <v>920</v>
      </c>
      <c r="E699" t="s">
        <v>569</v>
      </c>
      <c r="F699" t="s">
        <v>921</v>
      </c>
      <c r="G699" t="s">
        <v>753</v>
      </c>
      <c r="H699" t="s">
        <v>715</v>
      </c>
      <c r="I699" t="s">
        <v>922</v>
      </c>
      <c r="J699" t="s">
        <v>923</v>
      </c>
      <c r="K699" t="s">
        <v>924</v>
      </c>
      <c r="L699" t="s">
        <v>765</v>
      </c>
      <c r="M699" t="s">
        <v>720</v>
      </c>
      <c r="N699" t="s">
        <v>721</v>
      </c>
      <c r="O699">
        <v>10</v>
      </c>
      <c r="P699">
        <v>15</v>
      </c>
      <c r="Q699">
        <v>43</v>
      </c>
      <c r="R699" t="s">
        <v>758</v>
      </c>
      <c r="S699" t="s">
        <v>745</v>
      </c>
      <c r="T699" t="s">
        <v>746</v>
      </c>
      <c r="U699" t="s">
        <v>759</v>
      </c>
    </row>
    <row r="700" spans="1:21" x14ac:dyDescent="0.3">
      <c r="A700" s="1" t="s">
        <v>748</v>
      </c>
      <c r="B700" t="s">
        <v>749</v>
      </c>
      <c r="C700" t="s">
        <v>750</v>
      </c>
      <c r="D700" t="s">
        <v>925</v>
      </c>
      <c r="E700" t="s">
        <v>569</v>
      </c>
      <c r="F700" t="s">
        <v>926</v>
      </c>
      <c r="G700" t="s">
        <v>794</v>
      </c>
      <c r="H700" t="s">
        <v>715</v>
      </c>
      <c r="I700" t="s">
        <v>927</v>
      </c>
      <c r="J700" t="s">
        <v>928</v>
      </c>
      <c r="K700" t="s">
        <v>929</v>
      </c>
      <c r="L700" t="s">
        <v>826</v>
      </c>
      <c r="M700" t="s">
        <v>720</v>
      </c>
      <c r="N700" t="s">
        <v>721</v>
      </c>
      <c r="O700">
        <v>2</v>
      </c>
      <c r="P700">
        <v>2</v>
      </c>
      <c r="Q700">
        <v>26</v>
      </c>
      <c r="R700" t="s">
        <v>798</v>
      </c>
      <c r="S700" t="s">
        <v>745</v>
      </c>
      <c r="T700" t="s">
        <v>746</v>
      </c>
      <c r="U700" t="s">
        <v>759</v>
      </c>
    </row>
    <row r="701" spans="1:21" x14ac:dyDescent="0.3">
      <c r="A701" s="1" t="s">
        <v>748</v>
      </c>
      <c r="B701" t="s">
        <v>749</v>
      </c>
      <c r="C701" t="s">
        <v>750</v>
      </c>
      <c r="D701" t="s">
        <v>930</v>
      </c>
      <c r="E701" t="s">
        <v>569</v>
      </c>
      <c r="F701" t="s">
        <v>931</v>
      </c>
      <c r="G701" t="s">
        <v>794</v>
      </c>
      <c r="H701" t="s">
        <v>715</v>
      </c>
      <c r="I701" t="s">
        <v>932</v>
      </c>
      <c r="J701" t="s">
        <v>933</v>
      </c>
      <c r="K701" t="s">
        <v>934</v>
      </c>
      <c r="L701" t="s">
        <v>826</v>
      </c>
      <c r="M701" t="s">
        <v>720</v>
      </c>
      <c r="N701" t="s">
        <v>721</v>
      </c>
      <c r="O701">
        <v>10</v>
      </c>
      <c r="P701">
        <v>2</v>
      </c>
      <c r="Q701">
        <v>58</v>
      </c>
      <c r="R701" t="s">
        <v>798</v>
      </c>
      <c r="S701" t="s">
        <v>745</v>
      </c>
      <c r="T701" t="s">
        <v>746</v>
      </c>
      <c r="U701" t="s">
        <v>759</v>
      </c>
    </row>
    <row r="702" spans="1:21" x14ac:dyDescent="0.3">
      <c r="A702" s="1" t="s">
        <v>748</v>
      </c>
      <c r="B702" t="s">
        <v>749</v>
      </c>
      <c r="C702" t="s">
        <v>750</v>
      </c>
      <c r="D702" t="s">
        <v>935</v>
      </c>
      <c r="E702" t="s">
        <v>569</v>
      </c>
      <c r="F702" t="s">
        <v>936</v>
      </c>
      <c r="G702" t="s">
        <v>753</v>
      </c>
      <c r="H702" t="s">
        <v>715</v>
      </c>
      <c r="I702" t="s">
        <v>937</v>
      </c>
      <c r="J702" t="s">
        <v>938</v>
      </c>
      <c r="K702" t="s">
        <v>939</v>
      </c>
      <c r="L702" t="s">
        <v>765</v>
      </c>
      <c r="M702" t="s">
        <v>720</v>
      </c>
      <c r="N702" t="s">
        <v>721</v>
      </c>
      <c r="O702">
        <v>0</v>
      </c>
      <c r="P702">
        <v>15</v>
      </c>
      <c r="Q702">
        <v>32</v>
      </c>
      <c r="R702" t="s">
        <v>758</v>
      </c>
      <c r="S702" t="s">
        <v>745</v>
      </c>
      <c r="T702" t="s">
        <v>746</v>
      </c>
      <c r="U702" t="s">
        <v>759</v>
      </c>
    </row>
    <row r="703" spans="1:21" x14ac:dyDescent="0.3">
      <c r="A703" s="1" t="s">
        <v>748</v>
      </c>
      <c r="B703" t="s">
        <v>749</v>
      </c>
      <c r="C703" t="s">
        <v>750</v>
      </c>
      <c r="D703" t="s">
        <v>940</v>
      </c>
      <c r="E703" t="s">
        <v>569</v>
      </c>
      <c r="F703" t="s">
        <v>941</v>
      </c>
      <c r="G703" t="s">
        <v>753</v>
      </c>
      <c r="H703" t="s">
        <v>715</v>
      </c>
      <c r="I703" t="s">
        <v>942</v>
      </c>
      <c r="J703" t="s">
        <v>943</v>
      </c>
      <c r="K703" t="s">
        <v>944</v>
      </c>
      <c r="L703" t="s">
        <v>765</v>
      </c>
      <c r="M703" t="s">
        <v>720</v>
      </c>
      <c r="N703" t="s">
        <v>721</v>
      </c>
      <c r="O703">
        <v>5</v>
      </c>
      <c r="P703">
        <v>15</v>
      </c>
      <c r="Q703">
        <v>29</v>
      </c>
      <c r="R703" t="s">
        <v>758</v>
      </c>
      <c r="S703" t="s">
        <v>745</v>
      </c>
      <c r="T703" t="s">
        <v>746</v>
      </c>
      <c r="U703" t="s">
        <v>759</v>
      </c>
    </row>
    <row r="704" spans="1:21" x14ac:dyDescent="0.3">
      <c r="A704" s="1" t="s">
        <v>748</v>
      </c>
      <c r="B704" t="s">
        <v>749</v>
      </c>
      <c r="C704" t="s">
        <v>750</v>
      </c>
      <c r="D704" t="s">
        <v>945</v>
      </c>
      <c r="E704" t="s">
        <v>569</v>
      </c>
      <c r="F704" t="s">
        <v>946</v>
      </c>
      <c r="G704" t="s">
        <v>794</v>
      </c>
      <c r="H704" t="s">
        <v>715</v>
      </c>
      <c r="I704" t="s">
        <v>947</v>
      </c>
      <c r="J704" t="s">
        <v>948</v>
      </c>
      <c r="K704" t="s">
        <v>949</v>
      </c>
      <c r="L704" t="s">
        <v>741</v>
      </c>
      <c r="M704" t="s">
        <v>720</v>
      </c>
      <c r="N704" t="s">
        <v>743</v>
      </c>
      <c r="O704">
        <v>0</v>
      </c>
      <c r="P704">
        <v>0</v>
      </c>
      <c r="Q704">
        <v>111</v>
      </c>
      <c r="R704" t="s">
        <v>798</v>
      </c>
      <c r="S704" t="s">
        <v>745</v>
      </c>
      <c r="T704" t="s">
        <v>746</v>
      </c>
      <c r="U704" t="s">
        <v>759</v>
      </c>
    </row>
    <row r="705" spans="1:21" x14ac:dyDescent="0.3">
      <c r="A705" s="1" t="s">
        <v>748</v>
      </c>
      <c r="B705" t="s">
        <v>749</v>
      </c>
      <c r="C705" t="s">
        <v>750</v>
      </c>
      <c r="D705" t="s">
        <v>950</v>
      </c>
      <c r="E705" t="s">
        <v>569</v>
      </c>
      <c r="F705" t="s">
        <v>951</v>
      </c>
      <c r="G705" t="s">
        <v>806</v>
      </c>
      <c r="H705" t="s">
        <v>715</v>
      </c>
      <c r="I705" t="s">
        <v>952</v>
      </c>
      <c r="J705" t="s">
        <v>953</v>
      </c>
      <c r="K705" t="s">
        <v>954</v>
      </c>
      <c r="L705" t="s">
        <v>810</v>
      </c>
      <c r="M705" t="s">
        <v>720</v>
      </c>
      <c r="N705" t="s">
        <v>721</v>
      </c>
      <c r="O705">
        <v>0</v>
      </c>
      <c r="P705">
        <v>3</v>
      </c>
      <c r="Q705">
        <v>79</v>
      </c>
      <c r="R705" t="s">
        <v>798</v>
      </c>
      <c r="S705" t="s">
        <v>745</v>
      </c>
      <c r="T705" t="s">
        <v>746</v>
      </c>
      <c r="U705" t="s">
        <v>759</v>
      </c>
    </row>
    <row r="706" spans="1:21" x14ac:dyDescent="0.3">
      <c r="A706" s="1" t="s">
        <v>748</v>
      </c>
      <c r="B706" t="s">
        <v>749</v>
      </c>
      <c r="C706" t="s">
        <v>750</v>
      </c>
      <c r="D706" t="s">
        <v>955</v>
      </c>
      <c r="E706" t="s">
        <v>569</v>
      </c>
      <c r="F706" t="s">
        <v>956</v>
      </c>
      <c r="G706" t="s">
        <v>794</v>
      </c>
      <c r="H706" t="s">
        <v>715</v>
      </c>
      <c r="I706" t="s">
        <v>957</v>
      </c>
      <c r="J706" t="s">
        <v>958</v>
      </c>
      <c r="K706" t="s">
        <v>959</v>
      </c>
      <c r="L706" t="s">
        <v>826</v>
      </c>
      <c r="M706" t="s">
        <v>720</v>
      </c>
      <c r="N706" t="s">
        <v>721</v>
      </c>
      <c r="O706">
        <v>0</v>
      </c>
      <c r="P706">
        <v>10</v>
      </c>
      <c r="Q706">
        <v>6</v>
      </c>
      <c r="R706" t="s">
        <v>722</v>
      </c>
      <c r="S706" t="s">
        <v>745</v>
      </c>
      <c r="T706" t="s">
        <v>746</v>
      </c>
      <c r="U706" t="s">
        <v>759</v>
      </c>
    </row>
    <row r="707" spans="1:21" x14ac:dyDescent="0.3">
      <c r="A707" s="1" t="s">
        <v>748</v>
      </c>
      <c r="B707" t="s">
        <v>749</v>
      </c>
      <c r="C707" t="s">
        <v>750</v>
      </c>
      <c r="D707" t="s">
        <v>960</v>
      </c>
      <c r="E707" t="s">
        <v>569</v>
      </c>
      <c r="F707" t="s">
        <v>961</v>
      </c>
      <c r="G707" t="s">
        <v>753</v>
      </c>
      <c r="H707" t="s">
        <v>715</v>
      </c>
      <c r="I707" t="s">
        <v>962</v>
      </c>
      <c r="J707" t="s">
        <v>963</v>
      </c>
      <c r="K707" t="s">
        <v>964</v>
      </c>
      <c r="L707" t="s">
        <v>765</v>
      </c>
      <c r="M707" t="s">
        <v>720</v>
      </c>
      <c r="N707" t="s">
        <v>721</v>
      </c>
      <c r="O707">
        <v>9</v>
      </c>
      <c r="P707">
        <v>15</v>
      </c>
      <c r="Q707">
        <v>48</v>
      </c>
      <c r="R707" t="s">
        <v>758</v>
      </c>
      <c r="S707" t="s">
        <v>745</v>
      </c>
      <c r="T707" t="s">
        <v>746</v>
      </c>
      <c r="U707" t="s">
        <v>759</v>
      </c>
    </row>
    <row r="708" spans="1:21" x14ac:dyDescent="0.3">
      <c r="A708" s="1" t="s">
        <v>748</v>
      </c>
      <c r="B708" t="s">
        <v>749</v>
      </c>
      <c r="C708" t="s">
        <v>750</v>
      </c>
      <c r="D708" t="s">
        <v>965</v>
      </c>
      <c r="E708" t="s">
        <v>568</v>
      </c>
      <c r="F708" t="s">
        <v>966</v>
      </c>
      <c r="G708" t="s">
        <v>794</v>
      </c>
      <c r="H708" t="s">
        <v>715</v>
      </c>
      <c r="I708" t="s">
        <v>967</v>
      </c>
      <c r="J708" t="s">
        <v>968</v>
      </c>
      <c r="K708" t="s">
        <v>969</v>
      </c>
      <c r="L708" t="s">
        <v>826</v>
      </c>
      <c r="M708" t="s">
        <v>720</v>
      </c>
      <c r="N708" t="s">
        <v>721</v>
      </c>
      <c r="O708">
        <v>14</v>
      </c>
      <c r="P708">
        <v>10</v>
      </c>
      <c r="Q708">
        <v>97</v>
      </c>
      <c r="R708" t="s">
        <v>722</v>
      </c>
      <c r="S708" t="s">
        <v>745</v>
      </c>
      <c r="T708" t="s">
        <v>746</v>
      </c>
      <c r="U708" t="s">
        <v>759</v>
      </c>
    </row>
    <row r="709" spans="1:21" x14ac:dyDescent="0.3">
      <c r="A709" s="1" t="s">
        <v>748</v>
      </c>
      <c r="B709" t="s">
        <v>749</v>
      </c>
      <c r="C709" t="s">
        <v>750</v>
      </c>
      <c r="D709" t="s">
        <v>970</v>
      </c>
      <c r="E709" t="s">
        <v>568</v>
      </c>
      <c r="F709" t="s">
        <v>971</v>
      </c>
      <c r="G709" t="s">
        <v>794</v>
      </c>
      <c r="H709" t="s">
        <v>715</v>
      </c>
      <c r="I709" t="s">
        <v>972</v>
      </c>
      <c r="J709" t="s">
        <v>973</v>
      </c>
      <c r="K709" t="s">
        <v>974</v>
      </c>
      <c r="L709" t="s">
        <v>826</v>
      </c>
      <c r="M709" t="s">
        <v>720</v>
      </c>
      <c r="N709" t="s">
        <v>721</v>
      </c>
      <c r="O709">
        <v>3</v>
      </c>
      <c r="P709">
        <v>2</v>
      </c>
      <c r="Q709">
        <v>23</v>
      </c>
      <c r="R709" t="s">
        <v>798</v>
      </c>
      <c r="S709" t="s">
        <v>745</v>
      </c>
      <c r="T709" t="s">
        <v>746</v>
      </c>
      <c r="U709" t="s">
        <v>759</v>
      </c>
    </row>
    <row r="710" spans="1:21" x14ac:dyDescent="0.3">
      <c r="A710" s="1" t="s">
        <v>748</v>
      </c>
      <c r="B710" t="s">
        <v>749</v>
      </c>
      <c r="C710" t="s">
        <v>750</v>
      </c>
      <c r="D710" t="s">
        <v>975</v>
      </c>
      <c r="E710" t="s">
        <v>568</v>
      </c>
      <c r="F710" t="s">
        <v>976</v>
      </c>
      <c r="G710" t="s">
        <v>753</v>
      </c>
      <c r="H710" t="s">
        <v>715</v>
      </c>
      <c r="I710" t="s">
        <v>977</v>
      </c>
      <c r="J710" t="s">
        <v>978</v>
      </c>
      <c r="K710" t="s">
        <v>979</v>
      </c>
      <c r="L710" t="s">
        <v>765</v>
      </c>
      <c r="M710" t="s">
        <v>720</v>
      </c>
      <c r="N710" t="s">
        <v>721</v>
      </c>
      <c r="O710">
        <v>0</v>
      </c>
      <c r="P710">
        <v>15</v>
      </c>
      <c r="Q710">
        <v>64</v>
      </c>
      <c r="R710" t="s">
        <v>758</v>
      </c>
      <c r="S710" t="s">
        <v>745</v>
      </c>
      <c r="T710" t="s">
        <v>746</v>
      </c>
      <c r="U710" t="s">
        <v>759</v>
      </c>
    </row>
    <row r="711" spans="1:21" x14ac:dyDescent="0.3">
      <c r="A711" s="1" t="s">
        <v>748</v>
      </c>
      <c r="B711" t="s">
        <v>749</v>
      </c>
      <c r="C711" t="s">
        <v>750</v>
      </c>
      <c r="D711" t="s">
        <v>980</v>
      </c>
      <c r="E711" t="s">
        <v>568</v>
      </c>
      <c r="F711" t="s">
        <v>981</v>
      </c>
      <c r="G711" t="s">
        <v>794</v>
      </c>
      <c r="H711" t="s">
        <v>715</v>
      </c>
      <c r="I711" t="s">
        <v>982</v>
      </c>
      <c r="J711" t="s">
        <v>983</v>
      </c>
      <c r="K711" t="s">
        <v>984</v>
      </c>
      <c r="L711" t="s">
        <v>985</v>
      </c>
      <c r="M711" t="s">
        <v>720</v>
      </c>
      <c r="N711" t="s">
        <v>743</v>
      </c>
      <c r="O711">
        <v>28</v>
      </c>
      <c r="P711">
        <v>0</v>
      </c>
      <c r="Q711">
        <v>150</v>
      </c>
      <c r="R711" t="s">
        <v>798</v>
      </c>
      <c r="S711" t="s">
        <v>745</v>
      </c>
      <c r="T711" t="s">
        <v>746</v>
      </c>
      <c r="U711" t="s">
        <v>759</v>
      </c>
    </row>
    <row r="712" spans="1:21" x14ac:dyDescent="0.3">
      <c r="A712" s="1" t="s">
        <v>748</v>
      </c>
      <c r="B712" t="s">
        <v>749</v>
      </c>
      <c r="C712" t="s">
        <v>750</v>
      </c>
      <c r="D712" t="s">
        <v>986</v>
      </c>
      <c r="E712" t="s">
        <v>568</v>
      </c>
      <c r="F712" t="s">
        <v>987</v>
      </c>
      <c r="G712" t="s">
        <v>806</v>
      </c>
      <c r="H712" t="s">
        <v>715</v>
      </c>
      <c r="I712" t="s">
        <v>988</v>
      </c>
      <c r="J712" t="s">
        <v>989</v>
      </c>
      <c r="K712" t="s">
        <v>990</v>
      </c>
      <c r="L712" t="s">
        <v>810</v>
      </c>
      <c r="M712" t="s">
        <v>720</v>
      </c>
      <c r="N712" t="s">
        <v>721</v>
      </c>
      <c r="O712">
        <v>6</v>
      </c>
      <c r="P712">
        <v>3</v>
      </c>
      <c r="Q712">
        <v>108</v>
      </c>
      <c r="R712" t="s">
        <v>798</v>
      </c>
      <c r="S712" t="s">
        <v>745</v>
      </c>
      <c r="T712" t="s">
        <v>746</v>
      </c>
      <c r="U712" t="s">
        <v>759</v>
      </c>
    </row>
    <row r="713" spans="1:21" x14ac:dyDescent="0.3">
      <c r="A713" s="1" t="s">
        <v>748</v>
      </c>
      <c r="B713" t="s">
        <v>749</v>
      </c>
      <c r="C713" t="s">
        <v>750</v>
      </c>
      <c r="D713" t="s">
        <v>991</v>
      </c>
      <c r="E713" t="s">
        <v>568</v>
      </c>
      <c r="F713" t="s">
        <v>992</v>
      </c>
      <c r="G713" t="s">
        <v>794</v>
      </c>
      <c r="H713" t="s">
        <v>715</v>
      </c>
      <c r="I713" t="s">
        <v>993</v>
      </c>
      <c r="J713" t="s">
        <v>994</v>
      </c>
      <c r="K713" t="s">
        <v>995</v>
      </c>
      <c r="L713" t="s">
        <v>826</v>
      </c>
      <c r="M713" t="s">
        <v>720</v>
      </c>
      <c r="N713" t="s">
        <v>721</v>
      </c>
      <c r="O713">
        <v>7</v>
      </c>
      <c r="P713">
        <v>2</v>
      </c>
      <c r="Q713">
        <v>87</v>
      </c>
      <c r="R713" t="s">
        <v>798</v>
      </c>
      <c r="S713" t="s">
        <v>745</v>
      </c>
      <c r="T713" t="s">
        <v>746</v>
      </c>
      <c r="U713" t="s">
        <v>759</v>
      </c>
    </row>
    <row r="714" spans="1:21" x14ac:dyDescent="0.3">
      <c r="A714" s="1" t="s">
        <v>748</v>
      </c>
      <c r="B714" t="s">
        <v>749</v>
      </c>
      <c r="C714" t="s">
        <v>750</v>
      </c>
      <c r="D714" t="s">
        <v>996</v>
      </c>
      <c r="E714" t="s">
        <v>568</v>
      </c>
      <c r="F714" t="s">
        <v>997</v>
      </c>
      <c r="G714" t="s">
        <v>753</v>
      </c>
      <c r="H714" t="s">
        <v>715</v>
      </c>
      <c r="I714" t="s">
        <v>998</v>
      </c>
      <c r="J714" t="s">
        <v>999</v>
      </c>
      <c r="K714" t="s">
        <v>1000</v>
      </c>
      <c r="L714" t="s">
        <v>765</v>
      </c>
      <c r="M714" t="s">
        <v>720</v>
      </c>
      <c r="N714" t="s">
        <v>721</v>
      </c>
      <c r="O714">
        <v>1</v>
      </c>
      <c r="P714">
        <v>15</v>
      </c>
      <c r="Q714">
        <v>58</v>
      </c>
      <c r="R714" t="s">
        <v>758</v>
      </c>
      <c r="S714" t="s">
        <v>745</v>
      </c>
      <c r="T714" t="s">
        <v>746</v>
      </c>
      <c r="U714" t="s">
        <v>759</v>
      </c>
    </row>
    <row r="715" spans="1:21" x14ac:dyDescent="0.3">
      <c r="A715" s="1" t="s">
        <v>748</v>
      </c>
      <c r="B715" t="s">
        <v>749</v>
      </c>
      <c r="C715" t="s">
        <v>750</v>
      </c>
      <c r="D715" t="s">
        <v>1001</v>
      </c>
      <c r="E715" t="s">
        <v>568</v>
      </c>
      <c r="F715" t="s">
        <v>1002</v>
      </c>
      <c r="G715" t="s">
        <v>753</v>
      </c>
      <c r="H715" t="s">
        <v>715</v>
      </c>
      <c r="I715" t="s">
        <v>1003</v>
      </c>
      <c r="J715" t="s">
        <v>1004</v>
      </c>
      <c r="K715" t="s">
        <v>1005</v>
      </c>
      <c r="L715" t="s">
        <v>757</v>
      </c>
      <c r="M715" t="s">
        <v>720</v>
      </c>
      <c r="N715" t="s">
        <v>721</v>
      </c>
      <c r="O715">
        <v>13</v>
      </c>
      <c r="P715">
        <v>7</v>
      </c>
      <c r="Q715">
        <v>104</v>
      </c>
      <c r="R715" t="s">
        <v>758</v>
      </c>
      <c r="S715" t="s">
        <v>745</v>
      </c>
      <c r="T715" t="s">
        <v>746</v>
      </c>
      <c r="U715" t="s">
        <v>759</v>
      </c>
    </row>
    <row r="716" spans="1:21" x14ac:dyDescent="0.3">
      <c r="A716" s="1" t="s">
        <v>748</v>
      </c>
      <c r="B716" t="s">
        <v>749</v>
      </c>
      <c r="C716" t="s">
        <v>750</v>
      </c>
      <c r="D716" t="s">
        <v>1006</v>
      </c>
      <c r="E716" t="s">
        <v>568</v>
      </c>
      <c r="F716" t="s">
        <v>1007</v>
      </c>
      <c r="G716" t="s">
        <v>753</v>
      </c>
      <c r="H716" t="s">
        <v>715</v>
      </c>
      <c r="I716" t="s">
        <v>1008</v>
      </c>
      <c r="J716" t="s">
        <v>1009</v>
      </c>
      <c r="K716" t="s">
        <v>1010</v>
      </c>
      <c r="L716" t="s">
        <v>757</v>
      </c>
      <c r="M716" t="s">
        <v>720</v>
      </c>
      <c r="N716" t="s">
        <v>721</v>
      </c>
      <c r="O716">
        <v>14</v>
      </c>
      <c r="P716">
        <v>7</v>
      </c>
      <c r="Q716">
        <v>93</v>
      </c>
      <c r="R716" t="s">
        <v>758</v>
      </c>
      <c r="S716" t="s">
        <v>745</v>
      </c>
      <c r="T716" t="s">
        <v>746</v>
      </c>
      <c r="U716" t="s">
        <v>1011</v>
      </c>
    </row>
    <row r="717" spans="1:21" x14ac:dyDescent="0.3">
      <c r="A717" s="1" t="s">
        <v>748</v>
      </c>
      <c r="B717" t="s">
        <v>749</v>
      </c>
      <c r="C717" t="s">
        <v>750</v>
      </c>
      <c r="D717" t="s">
        <v>1012</v>
      </c>
      <c r="E717" t="s">
        <v>568</v>
      </c>
      <c r="F717" t="s">
        <v>1013</v>
      </c>
      <c r="G717" t="s">
        <v>794</v>
      </c>
      <c r="H717" t="s">
        <v>715</v>
      </c>
      <c r="I717" t="s">
        <v>1014</v>
      </c>
      <c r="J717" t="s">
        <v>1015</v>
      </c>
      <c r="K717" t="s">
        <v>1016</v>
      </c>
      <c r="L717" t="s">
        <v>741</v>
      </c>
      <c r="M717" t="s">
        <v>720</v>
      </c>
      <c r="N717" t="s">
        <v>743</v>
      </c>
      <c r="O717">
        <v>6</v>
      </c>
      <c r="P717">
        <v>0</v>
      </c>
      <c r="Q717">
        <v>25</v>
      </c>
      <c r="R717" t="s">
        <v>798</v>
      </c>
      <c r="S717" t="s">
        <v>745</v>
      </c>
      <c r="T717" t="s">
        <v>746</v>
      </c>
      <c r="U717" t="s">
        <v>759</v>
      </c>
    </row>
    <row r="718" spans="1:21" x14ac:dyDescent="0.3">
      <c r="A718" s="1" t="s">
        <v>748</v>
      </c>
      <c r="B718" t="s">
        <v>749</v>
      </c>
      <c r="C718" t="s">
        <v>750</v>
      </c>
      <c r="D718" t="s">
        <v>1017</v>
      </c>
      <c r="E718" t="s">
        <v>568</v>
      </c>
      <c r="F718" t="s">
        <v>1018</v>
      </c>
      <c r="G718" t="s">
        <v>753</v>
      </c>
      <c r="H718" t="s">
        <v>715</v>
      </c>
      <c r="I718" t="s">
        <v>1019</v>
      </c>
      <c r="J718" t="s">
        <v>1020</v>
      </c>
      <c r="K718" t="s">
        <v>1021</v>
      </c>
      <c r="L718" t="s">
        <v>765</v>
      </c>
      <c r="M718" t="s">
        <v>720</v>
      </c>
      <c r="N718" t="s">
        <v>721</v>
      </c>
      <c r="O718">
        <v>18</v>
      </c>
      <c r="P718">
        <v>15</v>
      </c>
      <c r="Q718">
        <v>89</v>
      </c>
      <c r="R718" t="s">
        <v>758</v>
      </c>
      <c r="S718" t="s">
        <v>745</v>
      </c>
      <c r="T718" t="s">
        <v>746</v>
      </c>
      <c r="U718" t="s">
        <v>759</v>
      </c>
    </row>
    <row r="719" spans="1:21" x14ac:dyDescent="0.3">
      <c r="A719" s="1" t="s">
        <v>748</v>
      </c>
      <c r="B719" t="s">
        <v>749</v>
      </c>
      <c r="C719" t="s">
        <v>750</v>
      </c>
      <c r="D719" t="s">
        <v>1022</v>
      </c>
      <c r="E719" t="s">
        <v>568</v>
      </c>
      <c r="F719" t="s">
        <v>1023</v>
      </c>
      <c r="G719" t="s">
        <v>753</v>
      </c>
      <c r="H719" t="s">
        <v>715</v>
      </c>
      <c r="I719" t="s">
        <v>1024</v>
      </c>
      <c r="J719" t="s">
        <v>1025</v>
      </c>
      <c r="K719" t="s">
        <v>1026</v>
      </c>
      <c r="L719" t="s">
        <v>765</v>
      </c>
      <c r="M719" t="s">
        <v>720</v>
      </c>
      <c r="N719" t="s">
        <v>721</v>
      </c>
      <c r="O719">
        <v>6</v>
      </c>
      <c r="P719">
        <v>15</v>
      </c>
      <c r="Q719">
        <v>12</v>
      </c>
      <c r="R719" t="s">
        <v>758</v>
      </c>
      <c r="S719" t="s">
        <v>745</v>
      </c>
      <c r="T719" t="s">
        <v>746</v>
      </c>
      <c r="U719" t="s">
        <v>759</v>
      </c>
    </row>
    <row r="720" spans="1:21" x14ac:dyDescent="0.3">
      <c r="A720" s="1" t="s">
        <v>748</v>
      </c>
      <c r="B720" t="s">
        <v>749</v>
      </c>
      <c r="C720" t="s">
        <v>750</v>
      </c>
      <c r="D720" t="s">
        <v>1027</v>
      </c>
      <c r="E720" t="s">
        <v>568</v>
      </c>
      <c r="F720" t="s">
        <v>1028</v>
      </c>
      <c r="G720" t="s">
        <v>794</v>
      </c>
      <c r="H720" t="s">
        <v>715</v>
      </c>
      <c r="I720" t="s">
        <v>1029</v>
      </c>
      <c r="J720" t="s">
        <v>1030</v>
      </c>
      <c r="K720" t="s">
        <v>1031</v>
      </c>
      <c r="L720" t="s">
        <v>985</v>
      </c>
      <c r="M720" t="s">
        <v>720</v>
      </c>
      <c r="N720" t="s">
        <v>743</v>
      </c>
      <c r="O720">
        <v>28</v>
      </c>
      <c r="P720">
        <v>0</v>
      </c>
      <c r="Q720">
        <v>150</v>
      </c>
      <c r="R720" t="s">
        <v>798</v>
      </c>
      <c r="S720" t="s">
        <v>745</v>
      </c>
      <c r="T720" t="s">
        <v>746</v>
      </c>
      <c r="U720" t="s">
        <v>759</v>
      </c>
    </row>
    <row r="721" spans="1:21" x14ac:dyDescent="0.3">
      <c r="A721" s="1" t="s">
        <v>748</v>
      </c>
      <c r="B721" t="s">
        <v>749</v>
      </c>
      <c r="C721" t="s">
        <v>750</v>
      </c>
      <c r="D721" t="s">
        <v>1032</v>
      </c>
      <c r="E721" t="s">
        <v>568</v>
      </c>
      <c r="F721" t="s">
        <v>1033</v>
      </c>
      <c r="G721" t="s">
        <v>794</v>
      </c>
      <c r="H721" t="s">
        <v>715</v>
      </c>
      <c r="I721" t="s">
        <v>1034</v>
      </c>
      <c r="J721" t="s">
        <v>1035</v>
      </c>
      <c r="K721" t="s">
        <v>1036</v>
      </c>
      <c r="L721" t="s">
        <v>826</v>
      </c>
      <c r="M721" t="s">
        <v>720</v>
      </c>
      <c r="N721" t="s">
        <v>721</v>
      </c>
      <c r="O721">
        <v>9</v>
      </c>
      <c r="P721">
        <v>10</v>
      </c>
      <c r="Q721">
        <v>29</v>
      </c>
      <c r="R721" t="s">
        <v>722</v>
      </c>
      <c r="S721" t="s">
        <v>745</v>
      </c>
      <c r="T721" t="s">
        <v>746</v>
      </c>
      <c r="U721" t="s">
        <v>759</v>
      </c>
    </row>
    <row r="722" spans="1:21" x14ac:dyDescent="0.3">
      <c r="A722" s="1" t="s">
        <v>748</v>
      </c>
      <c r="B722" t="s">
        <v>749</v>
      </c>
      <c r="C722" t="s">
        <v>750</v>
      </c>
      <c r="D722" t="s">
        <v>1037</v>
      </c>
      <c r="E722" t="s">
        <v>568</v>
      </c>
      <c r="F722" t="s">
        <v>1038</v>
      </c>
      <c r="G722" t="s">
        <v>753</v>
      </c>
      <c r="H722" t="s">
        <v>715</v>
      </c>
      <c r="I722" t="s">
        <v>1039</v>
      </c>
      <c r="J722" t="s">
        <v>1040</v>
      </c>
      <c r="K722" t="s">
        <v>1041</v>
      </c>
      <c r="L722" t="s">
        <v>765</v>
      </c>
      <c r="M722" t="s">
        <v>720</v>
      </c>
      <c r="N722" t="s">
        <v>721</v>
      </c>
      <c r="O722">
        <v>0</v>
      </c>
      <c r="P722">
        <v>15</v>
      </c>
      <c r="Q722">
        <v>112</v>
      </c>
      <c r="R722" t="s">
        <v>758</v>
      </c>
      <c r="S722" t="s">
        <v>745</v>
      </c>
      <c r="T722" t="s">
        <v>746</v>
      </c>
      <c r="U722" t="s">
        <v>759</v>
      </c>
    </row>
    <row r="723" spans="1:21" x14ac:dyDescent="0.3">
      <c r="A723" s="1" t="s">
        <v>748</v>
      </c>
      <c r="B723" t="s">
        <v>749</v>
      </c>
      <c r="C723" t="s">
        <v>750</v>
      </c>
      <c r="D723" t="s">
        <v>1042</v>
      </c>
      <c r="E723" t="s">
        <v>568</v>
      </c>
      <c r="F723" t="s">
        <v>1043</v>
      </c>
      <c r="G723" t="s">
        <v>753</v>
      </c>
      <c r="H723" t="s">
        <v>715</v>
      </c>
      <c r="I723" t="s">
        <v>1044</v>
      </c>
      <c r="J723" t="s">
        <v>1045</v>
      </c>
      <c r="K723" t="s">
        <v>1046</v>
      </c>
      <c r="L723" t="s">
        <v>757</v>
      </c>
      <c r="M723" t="s">
        <v>720</v>
      </c>
      <c r="N723" t="s">
        <v>721</v>
      </c>
      <c r="O723">
        <v>0</v>
      </c>
      <c r="P723">
        <v>7</v>
      </c>
      <c r="Q723">
        <v>45</v>
      </c>
      <c r="R723" t="s">
        <v>758</v>
      </c>
      <c r="S723" t="s">
        <v>745</v>
      </c>
      <c r="T723" t="s">
        <v>746</v>
      </c>
      <c r="U723" t="s">
        <v>759</v>
      </c>
    </row>
    <row r="724" spans="1:21" x14ac:dyDescent="0.3">
      <c r="A724" s="1" t="s">
        <v>748</v>
      </c>
      <c r="B724" t="s">
        <v>749</v>
      </c>
      <c r="C724" t="s">
        <v>750</v>
      </c>
      <c r="D724" t="s">
        <v>1047</v>
      </c>
      <c r="E724" t="s">
        <v>568</v>
      </c>
      <c r="F724" t="s">
        <v>1048</v>
      </c>
      <c r="G724" t="s">
        <v>753</v>
      </c>
      <c r="H724" t="s">
        <v>715</v>
      </c>
      <c r="I724" t="s">
        <v>1049</v>
      </c>
      <c r="J724" t="s">
        <v>1050</v>
      </c>
      <c r="K724" t="s">
        <v>1051</v>
      </c>
      <c r="L724" t="s">
        <v>765</v>
      </c>
      <c r="M724" t="s">
        <v>720</v>
      </c>
      <c r="N724" t="s">
        <v>721</v>
      </c>
      <c r="O724">
        <v>10</v>
      </c>
      <c r="P724">
        <v>15</v>
      </c>
      <c r="Q724">
        <v>92</v>
      </c>
      <c r="R724" t="s">
        <v>758</v>
      </c>
      <c r="S724" t="s">
        <v>745</v>
      </c>
      <c r="T724" t="s">
        <v>746</v>
      </c>
      <c r="U724" t="s">
        <v>759</v>
      </c>
    </row>
    <row r="725" spans="1:21" x14ac:dyDescent="0.3">
      <c r="A725" s="1" t="s">
        <v>748</v>
      </c>
      <c r="B725" t="s">
        <v>749</v>
      </c>
      <c r="C725" t="s">
        <v>750</v>
      </c>
      <c r="D725" t="s">
        <v>1052</v>
      </c>
      <c r="E725" t="s">
        <v>568</v>
      </c>
      <c r="F725" t="s">
        <v>1053</v>
      </c>
      <c r="G725" t="s">
        <v>753</v>
      </c>
      <c r="H725" t="s">
        <v>715</v>
      </c>
      <c r="I725" t="s">
        <v>1054</v>
      </c>
      <c r="J725" t="s">
        <v>1055</v>
      </c>
      <c r="K725" t="s">
        <v>1056</v>
      </c>
      <c r="L725" t="s">
        <v>765</v>
      </c>
      <c r="M725" t="s">
        <v>720</v>
      </c>
      <c r="N725" t="s">
        <v>721</v>
      </c>
      <c r="O725">
        <v>0</v>
      </c>
      <c r="P725">
        <v>15</v>
      </c>
      <c r="Q725">
        <v>22</v>
      </c>
      <c r="R725" t="s">
        <v>758</v>
      </c>
      <c r="S725" t="s">
        <v>745</v>
      </c>
      <c r="T725" t="s">
        <v>746</v>
      </c>
      <c r="U725" t="s">
        <v>759</v>
      </c>
    </row>
    <row r="726" spans="1:21" x14ac:dyDescent="0.3">
      <c r="A726" s="1" t="s">
        <v>748</v>
      </c>
      <c r="B726" t="s">
        <v>749</v>
      </c>
      <c r="C726" t="s">
        <v>750</v>
      </c>
      <c r="D726" t="s">
        <v>1057</v>
      </c>
      <c r="E726" t="s">
        <v>568</v>
      </c>
      <c r="F726" t="s">
        <v>1058</v>
      </c>
      <c r="G726" t="s">
        <v>753</v>
      </c>
      <c r="H726" t="s">
        <v>715</v>
      </c>
      <c r="I726" t="s">
        <v>1059</v>
      </c>
      <c r="J726" t="s">
        <v>1060</v>
      </c>
      <c r="K726" t="s">
        <v>1061</v>
      </c>
      <c r="L726" t="s">
        <v>765</v>
      </c>
      <c r="M726" t="s">
        <v>720</v>
      </c>
      <c r="N726" t="s">
        <v>721</v>
      </c>
      <c r="O726">
        <v>0</v>
      </c>
      <c r="P726">
        <v>15</v>
      </c>
      <c r="Q726">
        <v>92</v>
      </c>
      <c r="R726" t="s">
        <v>758</v>
      </c>
      <c r="S726" t="s">
        <v>745</v>
      </c>
      <c r="T726" t="s">
        <v>746</v>
      </c>
      <c r="U726" t="s">
        <v>759</v>
      </c>
    </row>
    <row r="727" spans="1:21" x14ac:dyDescent="0.3">
      <c r="A727" s="1" t="s">
        <v>748</v>
      </c>
      <c r="B727" t="s">
        <v>749</v>
      </c>
      <c r="C727" t="s">
        <v>750</v>
      </c>
      <c r="D727" t="s">
        <v>1062</v>
      </c>
      <c r="E727" t="s">
        <v>568</v>
      </c>
      <c r="F727" t="s">
        <v>1063</v>
      </c>
      <c r="G727" t="s">
        <v>794</v>
      </c>
      <c r="H727" t="s">
        <v>715</v>
      </c>
      <c r="I727" t="s">
        <v>1064</v>
      </c>
      <c r="J727" t="s">
        <v>1065</v>
      </c>
      <c r="K727" t="s">
        <v>1066</v>
      </c>
      <c r="L727" t="s">
        <v>826</v>
      </c>
      <c r="M727" t="s">
        <v>720</v>
      </c>
      <c r="N727" t="s">
        <v>721</v>
      </c>
      <c r="O727">
        <v>1</v>
      </c>
      <c r="P727">
        <v>10</v>
      </c>
      <c r="Q727">
        <v>86</v>
      </c>
      <c r="R727" t="s">
        <v>722</v>
      </c>
      <c r="S727" t="s">
        <v>745</v>
      </c>
      <c r="T727" t="s">
        <v>746</v>
      </c>
      <c r="U727" t="s">
        <v>759</v>
      </c>
    </row>
    <row r="728" spans="1:21" x14ac:dyDescent="0.3">
      <c r="A728" s="1" t="s">
        <v>748</v>
      </c>
      <c r="B728" t="s">
        <v>749</v>
      </c>
      <c r="C728" t="s">
        <v>750</v>
      </c>
      <c r="D728" t="s">
        <v>1067</v>
      </c>
      <c r="E728" t="s">
        <v>568</v>
      </c>
      <c r="F728" t="s">
        <v>1068</v>
      </c>
      <c r="G728" t="s">
        <v>794</v>
      </c>
      <c r="H728" t="s">
        <v>715</v>
      </c>
      <c r="I728" t="s">
        <v>1069</v>
      </c>
      <c r="J728" t="s">
        <v>1070</v>
      </c>
      <c r="K728" t="s">
        <v>1071</v>
      </c>
      <c r="L728" t="s">
        <v>826</v>
      </c>
      <c r="M728" t="s">
        <v>720</v>
      </c>
      <c r="N728" t="s">
        <v>721</v>
      </c>
      <c r="O728">
        <v>0</v>
      </c>
      <c r="P728">
        <v>10</v>
      </c>
      <c r="Q728">
        <v>86</v>
      </c>
      <c r="R728" t="s">
        <v>722</v>
      </c>
      <c r="S728" t="s">
        <v>745</v>
      </c>
      <c r="T728" t="s">
        <v>746</v>
      </c>
      <c r="U728" t="s">
        <v>759</v>
      </c>
    </row>
    <row r="729" spans="1:21" x14ac:dyDescent="0.3">
      <c r="A729" s="1" t="s">
        <v>748</v>
      </c>
      <c r="B729" t="s">
        <v>749</v>
      </c>
      <c r="C729" t="s">
        <v>750</v>
      </c>
      <c r="D729" t="s">
        <v>1072</v>
      </c>
      <c r="E729" t="s">
        <v>568</v>
      </c>
      <c r="F729" t="s">
        <v>1073</v>
      </c>
      <c r="G729" t="s">
        <v>753</v>
      </c>
      <c r="H729" t="s">
        <v>715</v>
      </c>
      <c r="I729" t="s">
        <v>1074</v>
      </c>
      <c r="J729" t="s">
        <v>1075</v>
      </c>
      <c r="K729" t="s">
        <v>1076</v>
      </c>
      <c r="L729" t="s">
        <v>765</v>
      </c>
      <c r="M729" t="s">
        <v>720</v>
      </c>
      <c r="N729" t="s">
        <v>721</v>
      </c>
      <c r="O729">
        <v>0</v>
      </c>
      <c r="P729">
        <v>15</v>
      </c>
      <c r="Q729">
        <v>68</v>
      </c>
      <c r="R729" t="s">
        <v>758</v>
      </c>
      <c r="S729" t="s">
        <v>745</v>
      </c>
      <c r="T729" t="s">
        <v>746</v>
      </c>
      <c r="U729" t="s">
        <v>759</v>
      </c>
    </row>
    <row r="730" spans="1:21" x14ac:dyDescent="0.3">
      <c r="A730" s="1" t="s">
        <v>748</v>
      </c>
      <c r="B730" t="s">
        <v>749</v>
      </c>
      <c r="C730" t="s">
        <v>750</v>
      </c>
      <c r="D730" t="s">
        <v>1077</v>
      </c>
      <c r="E730" t="s">
        <v>568</v>
      </c>
      <c r="F730" t="s">
        <v>1078</v>
      </c>
      <c r="G730" t="s">
        <v>714</v>
      </c>
      <c r="H730" t="s">
        <v>715</v>
      </c>
      <c r="I730" t="s">
        <v>1079</v>
      </c>
      <c r="J730" t="s">
        <v>1080</v>
      </c>
      <c r="K730" t="s">
        <v>1081</v>
      </c>
      <c r="L730" t="s">
        <v>1082</v>
      </c>
      <c r="M730" t="s">
        <v>720</v>
      </c>
      <c r="N730" t="s">
        <v>721</v>
      </c>
      <c r="O730">
        <v>0</v>
      </c>
      <c r="P730">
        <v>0</v>
      </c>
      <c r="Q730">
        <v>49</v>
      </c>
      <c r="R730" t="s">
        <v>798</v>
      </c>
      <c r="S730" t="s">
        <v>723</v>
      </c>
      <c r="T730" t="s">
        <v>1083</v>
      </c>
      <c r="U730" t="s">
        <v>707</v>
      </c>
    </row>
    <row r="731" spans="1:21" x14ac:dyDescent="0.3">
      <c r="A731" s="1" t="s">
        <v>748</v>
      </c>
      <c r="B731" t="s">
        <v>749</v>
      </c>
      <c r="C731" t="s">
        <v>750</v>
      </c>
      <c r="D731" t="s">
        <v>1084</v>
      </c>
      <c r="E731" t="s">
        <v>568</v>
      </c>
      <c r="F731" t="s">
        <v>1085</v>
      </c>
      <c r="G731" t="s">
        <v>753</v>
      </c>
      <c r="H731" t="s">
        <v>715</v>
      </c>
      <c r="I731" t="s">
        <v>1086</v>
      </c>
      <c r="J731" t="s">
        <v>1087</v>
      </c>
      <c r="K731" t="s">
        <v>1088</v>
      </c>
      <c r="L731" t="s">
        <v>765</v>
      </c>
      <c r="M731" t="s">
        <v>720</v>
      </c>
      <c r="N731" t="s">
        <v>721</v>
      </c>
      <c r="O731">
        <v>3</v>
      </c>
      <c r="P731">
        <v>15</v>
      </c>
      <c r="Q731">
        <v>55</v>
      </c>
      <c r="R731" t="s">
        <v>758</v>
      </c>
      <c r="S731" t="s">
        <v>745</v>
      </c>
      <c r="T731" t="s">
        <v>746</v>
      </c>
      <c r="U731" t="s">
        <v>759</v>
      </c>
    </row>
    <row r="732" spans="1:21" x14ac:dyDescent="0.3">
      <c r="A732" s="1" t="s">
        <v>748</v>
      </c>
      <c r="B732" t="s">
        <v>749</v>
      </c>
      <c r="C732" t="s">
        <v>750</v>
      </c>
      <c r="D732" t="s">
        <v>1089</v>
      </c>
      <c r="E732" t="s">
        <v>568</v>
      </c>
      <c r="F732" t="s">
        <v>1090</v>
      </c>
      <c r="G732" t="s">
        <v>753</v>
      </c>
      <c r="H732" t="s">
        <v>715</v>
      </c>
      <c r="I732" t="s">
        <v>1091</v>
      </c>
      <c r="J732" t="s">
        <v>1092</v>
      </c>
      <c r="K732" t="s">
        <v>1093</v>
      </c>
      <c r="L732" t="s">
        <v>765</v>
      </c>
      <c r="M732" t="s">
        <v>720</v>
      </c>
      <c r="N732" t="s">
        <v>721</v>
      </c>
      <c r="O732">
        <v>1</v>
      </c>
      <c r="P732">
        <v>15</v>
      </c>
      <c r="Q732">
        <v>27</v>
      </c>
      <c r="R732" t="s">
        <v>758</v>
      </c>
      <c r="S732" t="s">
        <v>745</v>
      </c>
      <c r="T732" t="s">
        <v>746</v>
      </c>
      <c r="U732" t="s">
        <v>759</v>
      </c>
    </row>
    <row r="733" spans="1:21" x14ac:dyDescent="0.3">
      <c r="A733" s="1" t="s">
        <v>748</v>
      </c>
      <c r="B733" t="s">
        <v>749</v>
      </c>
      <c r="C733" t="s">
        <v>750</v>
      </c>
      <c r="D733" t="s">
        <v>1094</v>
      </c>
      <c r="E733" t="s">
        <v>568</v>
      </c>
      <c r="F733" t="s">
        <v>1095</v>
      </c>
      <c r="G733" t="s">
        <v>753</v>
      </c>
      <c r="H733" t="s">
        <v>715</v>
      </c>
      <c r="I733" t="s">
        <v>1096</v>
      </c>
      <c r="J733" t="s">
        <v>1097</v>
      </c>
      <c r="K733" t="s">
        <v>1098</v>
      </c>
      <c r="L733" t="s">
        <v>757</v>
      </c>
      <c r="M733" t="s">
        <v>720</v>
      </c>
      <c r="N733" t="s">
        <v>721</v>
      </c>
      <c r="O733">
        <v>4</v>
      </c>
      <c r="P733">
        <v>7</v>
      </c>
      <c r="Q733">
        <v>11</v>
      </c>
      <c r="R733" t="s">
        <v>758</v>
      </c>
      <c r="S733" t="s">
        <v>745</v>
      </c>
      <c r="T733" t="s">
        <v>746</v>
      </c>
      <c r="U733" t="s">
        <v>759</v>
      </c>
    </row>
    <row r="734" spans="1:21" x14ac:dyDescent="0.3">
      <c r="A734" s="1" t="s">
        <v>748</v>
      </c>
      <c r="B734" t="s">
        <v>749</v>
      </c>
      <c r="C734" t="s">
        <v>750</v>
      </c>
      <c r="D734" t="s">
        <v>1099</v>
      </c>
      <c r="E734" t="s">
        <v>568</v>
      </c>
      <c r="F734" t="s">
        <v>1100</v>
      </c>
      <c r="G734" t="s">
        <v>794</v>
      </c>
      <c r="H734" t="s">
        <v>715</v>
      </c>
      <c r="I734" t="s">
        <v>1101</v>
      </c>
      <c r="J734" t="s">
        <v>1102</v>
      </c>
      <c r="K734" t="s">
        <v>1103</v>
      </c>
      <c r="L734" t="s">
        <v>741</v>
      </c>
      <c r="M734" t="s">
        <v>720</v>
      </c>
      <c r="N734" t="s">
        <v>743</v>
      </c>
      <c r="O734">
        <v>4</v>
      </c>
      <c r="P734">
        <v>0</v>
      </c>
      <c r="Q734">
        <v>109</v>
      </c>
      <c r="R734" t="s">
        <v>798</v>
      </c>
      <c r="S734" t="s">
        <v>745</v>
      </c>
      <c r="T734" t="s">
        <v>746</v>
      </c>
      <c r="U734" t="s">
        <v>759</v>
      </c>
    </row>
    <row r="735" spans="1:21" x14ac:dyDescent="0.3">
      <c r="A735" s="1" t="s">
        <v>748</v>
      </c>
      <c r="B735" t="s">
        <v>749</v>
      </c>
      <c r="C735" t="s">
        <v>750</v>
      </c>
      <c r="D735" t="s">
        <v>1104</v>
      </c>
      <c r="E735" t="s">
        <v>568</v>
      </c>
      <c r="F735" t="s">
        <v>1105</v>
      </c>
      <c r="G735" t="s">
        <v>794</v>
      </c>
      <c r="H735" t="s">
        <v>715</v>
      </c>
      <c r="I735" t="s">
        <v>1106</v>
      </c>
      <c r="J735" t="s">
        <v>1107</v>
      </c>
      <c r="K735" t="s">
        <v>1108</v>
      </c>
      <c r="L735" t="s">
        <v>741</v>
      </c>
      <c r="M735" t="s">
        <v>720</v>
      </c>
      <c r="N735" t="s">
        <v>743</v>
      </c>
      <c r="O735">
        <v>10</v>
      </c>
      <c r="P735">
        <v>0</v>
      </c>
      <c r="Q735">
        <v>21</v>
      </c>
      <c r="R735" t="s">
        <v>798</v>
      </c>
      <c r="S735" t="s">
        <v>745</v>
      </c>
      <c r="T735" t="s">
        <v>746</v>
      </c>
      <c r="U735" t="s">
        <v>759</v>
      </c>
    </row>
    <row r="736" spans="1:21" x14ac:dyDescent="0.3">
      <c r="A736" s="1" t="s">
        <v>748</v>
      </c>
      <c r="B736" t="s">
        <v>749</v>
      </c>
      <c r="C736" t="s">
        <v>750</v>
      </c>
      <c r="D736" t="s">
        <v>1109</v>
      </c>
      <c r="E736" t="s">
        <v>568</v>
      </c>
      <c r="F736" t="s">
        <v>1110</v>
      </c>
      <c r="G736" t="s">
        <v>753</v>
      </c>
      <c r="H736" t="s">
        <v>715</v>
      </c>
      <c r="I736" t="s">
        <v>1111</v>
      </c>
      <c r="J736" t="s">
        <v>1112</v>
      </c>
      <c r="K736" t="s">
        <v>1113</v>
      </c>
      <c r="L736" t="s">
        <v>765</v>
      </c>
      <c r="M736" t="s">
        <v>720</v>
      </c>
      <c r="N736" t="s">
        <v>721</v>
      </c>
      <c r="O736">
        <v>3</v>
      </c>
      <c r="P736">
        <v>15</v>
      </c>
      <c r="Q736">
        <v>30</v>
      </c>
      <c r="R736" t="s">
        <v>758</v>
      </c>
      <c r="S736" t="s">
        <v>745</v>
      </c>
      <c r="T736" t="s">
        <v>746</v>
      </c>
      <c r="U736" t="s">
        <v>759</v>
      </c>
    </row>
    <row r="737" spans="1:21" x14ac:dyDescent="0.3">
      <c r="A737" s="1" t="s">
        <v>748</v>
      </c>
      <c r="B737" t="s">
        <v>749</v>
      </c>
      <c r="C737" t="s">
        <v>750</v>
      </c>
      <c r="D737" t="s">
        <v>1114</v>
      </c>
      <c r="E737" t="s">
        <v>568</v>
      </c>
      <c r="F737" t="s">
        <v>1115</v>
      </c>
      <c r="G737" t="s">
        <v>753</v>
      </c>
      <c r="H737" t="s">
        <v>715</v>
      </c>
      <c r="I737" t="s">
        <v>1116</v>
      </c>
      <c r="J737" t="s">
        <v>1117</v>
      </c>
      <c r="K737" t="s">
        <v>1118</v>
      </c>
      <c r="L737" t="s">
        <v>765</v>
      </c>
      <c r="M737" t="s">
        <v>720</v>
      </c>
      <c r="N737" t="s">
        <v>721</v>
      </c>
      <c r="O737">
        <v>3</v>
      </c>
      <c r="P737">
        <v>15</v>
      </c>
      <c r="Q737">
        <v>58</v>
      </c>
      <c r="R737" t="s">
        <v>758</v>
      </c>
      <c r="S737" t="s">
        <v>745</v>
      </c>
      <c r="T737" t="s">
        <v>746</v>
      </c>
      <c r="U737" t="s">
        <v>759</v>
      </c>
    </row>
    <row r="738" spans="1:21" x14ac:dyDescent="0.3">
      <c r="A738" s="1" t="s">
        <v>748</v>
      </c>
      <c r="B738" t="s">
        <v>749</v>
      </c>
      <c r="C738" t="s">
        <v>750</v>
      </c>
      <c r="D738" t="s">
        <v>1119</v>
      </c>
      <c r="E738" t="s">
        <v>568</v>
      </c>
      <c r="F738" t="s">
        <v>728</v>
      </c>
      <c r="G738" t="s">
        <v>753</v>
      </c>
      <c r="H738" t="s">
        <v>715</v>
      </c>
      <c r="I738" t="s">
        <v>1120</v>
      </c>
      <c r="J738" t="s">
        <v>1121</v>
      </c>
      <c r="K738" t="s">
        <v>1122</v>
      </c>
      <c r="L738" t="s">
        <v>765</v>
      </c>
      <c r="M738" t="s">
        <v>720</v>
      </c>
      <c r="N738" t="s">
        <v>721</v>
      </c>
      <c r="O738">
        <v>0</v>
      </c>
      <c r="P738">
        <v>15</v>
      </c>
      <c r="Q738">
        <v>115</v>
      </c>
      <c r="R738" t="s">
        <v>758</v>
      </c>
      <c r="S738" t="s">
        <v>745</v>
      </c>
      <c r="T738" t="s">
        <v>746</v>
      </c>
      <c r="U738" t="s">
        <v>759</v>
      </c>
    </row>
    <row r="739" spans="1:21" x14ac:dyDescent="0.3">
      <c r="A739" s="1" t="s">
        <v>748</v>
      </c>
      <c r="B739" t="s">
        <v>749</v>
      </c>
      <c r="C739" t="s">
        <v>750</v>
      </c>
      <c r="D739" t="s">
        <v>1123</v>
      </c>
      <c r="E739" t="s">
        <v>568</v>
      </c>
      <c r="F739" t="s">
        <v>1124</v>
      </c>
      <c r="G739" t="s">
        <v>753</v>
      </c>
      <c r="H739" t="s">
        <v>715</v>
      </c>
      <c r="I739" t="s">
        <v>1125</v>
      </c>
      <c r="J739" t="s">
        <v>1126</v>
      </c>
      <c r="K739" t="s">
        <v>1127</v>
      </c>
      <c r="L739" t="s">
        <v>765</v>
      </c>
      <c r="M739" t="s">
        <v>720</v>
      </c>
      <c r="N739" t="s">
        <v>721</v>
      </c>
      <c r="O739">
        <v>30</v>
      </c>
      <c r="P739">
        <v>15</v>
      </c>
      <c r="Q739">
        <v>7</v>
      </c>
      <c r="R739" t="s">
        <v>758</v>
      </c>
      <c r="S739" t="s">
        <v>745</v>
      </c>
      <c r="T739" t="s">
        <v>746</v>
      </c>
      <c r="U739" t="s">
        <v>759</v>
      </c>
    </row>
    <row r="740" spans="1:21" x14ac:dyDescent="0.3">
      <c r="A740" s="1" t="s">
        <v>748</v>
      </c>
      <c r="B740" t="s">
        <v>749</v>
      </c>
      <c r="C740" t="s">
        <v>750</v>
      </c>
      <c r="D740" t="s">
        <v>1128</v>
      </c>
      <c r="E740" t="s">
        <v>568</v>
      </c>
      <c r="F740" t="s">
        <v>1129</v>
      </c>
      <c r="G740" t="s">
        <v>753</v>
      </c>
      <c r="H740" t="s">
        <v>715</v>
      </c>
      <c r="I740" t="s">
        <v>1130</v>
      </c>
      <c r="J740" t="s">
        <v>1131</v>
      </c>
      <c r="K740" t="s">
        <v>1132</v>
      </c>
      <c r="L740" t="s">
        <v>765</v>
      </c>
      <c r="M740" t="s">
        <v>720</v>
      </c>
      <c r="N740" t="s">
        <v>721</v>
      </c>
      <c r="O740">
        <v>1</v>
      </c>
      <c r="P740">
        <v>15</v>
      </c>
      <c r="Q740">
        <v>119</v>
      </c>
      <c r="R740" t="s">
        <v>758</v>
      </c>
      <c r="S740" t="s">
        <v>745</v>
      </c>
      <c r="T740" t="s">
        <v>746</v>
      </c>
      <c r="U740" t="s">
        <v>759</v>
      </c>
    </row>
    <row r="741" spans="1:21" x14ac:dyDescent="0.3">
      <c r="A741" s="1" t="s">
        <v>748</v>
      </c>
      <c r="B741" t="s">
        <v>749</v>
      </c>
      <c r="C741" t="s">
        <v>750</v>
      </c>
      <c r="D741" t="s">
        <v>1133</v>
      </c>
      <c r="E741" t="s">
        <v>568</v>
      </c>
      <c r="F741" t="s">
        <v>1134</v>
      </c>
      <c r="G741" t="s">
        <v>753</v>
      </c>
      <c r="H741" t="s">
        <v>715</v>
      </c>
      <c r="I741" t="s">
        <v>1135</v>
      </c>
      <c r="J741" t="s">
        <v>1136</v>
      </c>
      <c r="K741" t="s">
        <v>1137</v>
      </c>
      <c r="L741" t="s">
        <v>765</v>
      </c>
      <c r="M741" t="s">
        <v>720</v>
      </c>
      <c r="N741" t="s">
        <v>721</v>
      </c>
      <c r="O741">
        <v>14</v>
      </c>
      <c r="P741">
        <v>15</v>
      </c>
      <c r="Q741">
        <v>112</v>
      </c>
      <c r="R741" t="s">
        <v>758</v>
      </c>
      <c r="S741" t="s">
        <v>745</v>
      </c>
      <c r="T741" t="s">
        <v>746</v>
      </c>
      <c r="U741" t="s">
        <v>759</v>
      </c>
    </row>
    <row r="742" spans="1:21" x14ac:dyDescent="0.3">
      <c r="A742" s="1" t="s">
        <v>748</v>
      </c>
      <c r="B742" t="s">
        <v>749</v>
      </c>
      <c r="C742" t="s">
        <v>750</v>
      </c>
      <c r="D742" t="s">
        <v>1138</v>
      </c>
      <c r="E742" t="s">
        <v>568</v>
      </c>
      <c r="F742" t="s">
        <v>1139</v>
      </c>
      <c r="G742" t="s">
        <v>753</v>
      </c>
      <c r="H742" t="s">
        <v>715</v>
      </c>
      <c r="I742" t="s">
        <v>1140</v>
      </c>
      <c r="J742" t="s">
        <v>1141</v>
      </c>
      <c r="K742" t="s">
        <v>1142</v>
      </c>
      <c r="L742" t="s">
        <v>765</v>
      </c>
      <c r="M742" t="s">
        <v>720</v>
      </c>
      <c r="N742" t="s">
        <v>721</v>
      </c>
      <c r="O742">
        <v>4</v>
      </c>
      <c r="P742">
        <v>15</v>
      </c>
      <c r="Q742">
        <v>43</v>
      </c>
      <c r="R742" t="s">
        <v>758</v>
      </c>
      <c r="S742" t="s">
        <v>745</v>
      </c>
      <c r="T742" t="s">
        <v>746</v>
      </c>
      <c r="U742" t="s">
        <v>759</v>
      </c>
    </row>
    <row r="743" spans="1:21" x14ac:dyDescent="0.3">
      <c r="A743" s="1" t="s">
        <v>748</v>
      </c>
      <c r="B743" t="s">
        <v>749</v>
      </c>
      <c r="C743" t="s">
        <v>750</v>
      </c>
      <c r="D743" t="s">
        <v>1143</v>
      </c>
      <c r="E743" t="s">
        <v>568</v>
      </c>
      <c r="F743" t="s">
        <v>1144</v>
      </c>
      <c r="G743" t="s">
        <v>753</v>
      </c>
      <c r="H743" t="s">
        <v>715</v>
      </c>
      <c r="I743" t="s">
        <v>1145</v>
      </c>
      <c r="J743" t="s">
        <v>1146</v>
      </c>
      <c r="K743" t="s">
        <v>1147</v>
      </c>
      <c r="L743" t="s">
        <v>765</v>
      </c>
      <c r="M743" t="s">
        <v>720</v>
      </c>
      <c r="N743" t="s">
        <v>721</v>
      </c>
      <c r="O743">
        <v>2</v>
      </c>
      <c r="P743">
        <v>15</v>
      </c>
      <c r="Q743">
        <v>83</v>
      </c>
      <c r="R743" t="s">
        <v>758</v>
      </c>
      <c r="S743" t="s">
        <v>745</v>
      </c>
      <c r="T743" t="s">
        <v>746</v>
      </c>
      <c r="U743" t="s">
        <v>759</v>
      </c>
    </row>
    <row r="744" spans="1:21" x14ac:dyDescent="0.3">
      <c r="A744" s="1" t="s">
        <v>748</v>
      </c>
      <c r="B744" t="s">
        <v>749</v>
      </c>
      <c r="C744" t="s">
        <v>750</v>
      </c>
      <c r="D744" t="s">
        <v>1148</v>
      </c>
      <c r="E744" t="s">
        <v>568</v>
      </c>
      <c r="F744" t="s">
        <v>1149</v>
      </c>
      <c r="G744" t="s">
        <v>753</v>
      </c>
      <c r="H744" t="s">
        <v>715</v>
      </c>
      <c r="I744" t="s">
        <v>1150</v>
      </c>
      <c r="J744" t="s">
        <v>1151</v>
      </c>
      <c r="K744" t="s">
        <v>1152</v>
      </c>
      <c r="L744" t="s">
        <v>765</v>
      </c>
      <c r="M744" t="s">
        <v>720</v>
      </c>
      <c r="N744" t="s">
        <v>721</v>
      </c>
      <c r="O744">
        <v>1</v>
      </c>
      <c r="P744">
        <v>15</v>
      </c>
      <c r="Q744">
        <v>5</v>
      </c>
      <c r="R744" t="s">
        <v>758</v>
      </c>
      <c r="S744" t="s">
        <v>745</v>
      </c>
      <c r="T744" t="s">
        <v>746</v>
      </c>
      <c r="U744" t="s">
        <v>759</v>
      </c>
    </row>
    <row r="745" spans="1:21" x14ac:dyDescent="0.3">
      <c r="A745" s="1" t="s">
        <v>748</v>
      </c>
      <c r="B745" t="s">
        <v>749</v>
      </c>
      <c r="C745" t="s">
        <v>750</v>
      </c>
      <c r="D745" t="s">
        <v>1153</v>
      </c>
      <c r="E745" t="s">
        <v>568</v>
      </c>
      <c r="F745" t="s">
        <v>1154</v>
      </c>
      <c r="G745" t="s">
        <v>753</v>
      </c>
      <c r="H745" t="s">
        <v>715</v>
      </c>
      <c r="I745" t="s">
        <v>1155</v>
      </c>
      <c r="J745" t="s">
        <v>1156</v>
      </c>
      <c r="K745" t="s">
        <v>1157</v>
      </c>
      <c r="L745" t="s">
        <v>765</v>
      </c>
      <c r="M745" t="s">
        <v>720</v>
      </c>
      <c r="N745" t="s">
        <v>721</v>
      </c>
      <c r="O745">
        <v>2</v>
      </c>
      <c r="P745">
        <v>15</v>
      </c>
      <c r="Q745">
        <v>43</v>
      </c>
      <c r="R745" t="s">
        <v>758</v>
      </c>
      <c r="S745" t="s">
        <v>745</v>
      </c>
      <c r="T745" t="s">
        <v>746</v>
      </c>
      <c r="U745" t="s">
        <v>759</v>
      </c>
    </row>
    <row r="746" spans="1:21" x14ac:dyDescent="0.3">
      <c r="A746" s="1" t="s">
        <v>748</v>
      </c>
      <c r="B746" t="s">
        <v>749</v>
      </c>
      <c r="C746" t="s">
        <v>750</v>
      </c>
      <c r="D746" t="s">
        <v>1158</v>
      </c>
      <c r="E746" t="s">
        <v>568</v>
      </c>
      <c r="F746" t="s">
        <v>1159</v>
      </c>
      <c r="G746" t="s">
        <v>753</v>
      </c>
      <c r="H746" t="s">
        <v>715</v>
      </c>
      <c r="I746" t="s">
        <v>1160</v>
      </c>
      <c r="J746" t="s">
        <v>1161</v>
      </c>
      <c r="K746" t="s">
        <v>1162</v>
      </c>
      <c r="L746" t="s">
        <v>765</v>
      </c>
      <c r="M746" t="s">
        <v>720</v>
      </c>
      <c r="N746" t="s">
        <v>721</v>
      </c>
      <c r="O746">
        <v>18</v>
      </c>
      <c r="P746">
        <v>15</v>
      </c>
      <c r="Q746">
        <v>60</v>
      </c>
      <c r="R746" t="s">
        <v>758</v>
      </c>
      <c r="S746" t="s">
        <v>745</v>
      </c>
      <c r="T746" t="s">
        <v>746</v>
      </c>
      <c r="U746" t="s">
        <v>759</v>
      </c>
    </row>
    <row r="747" spans="1:21" x14ac:dyDescent="0.3">
      <c r="A747" s="1" t="s">
        <v>748</v>
      </c>
      <c r="B747" t="s">
        <v>749</v>
      </c>
      <c r="C747" t="s">
        <v>750</v>
      </c>
      <c r="D747" t="s">
        <v>1163</v>
      </c>
      <c r="E747" t="s">
        <v>568</v>
      </c>
      <c r="F747" t="s">
        <v>1164</v>
      </c>
      <c r="G747" t="s">
        <v>794</v>
      </c>
      <c r="H747" t="s">
        <v>715</v>
      </c>
      <c r="I747" t="s">
        <v>1165</v>
      </c>
      <c r="J747" t="s">
        <v>1166</v>
      </c>
      <c r="K747" t="s">
        <v>1167</v>
      </c>
      <c r="L747" t="s">
        <v>826</v>
      </c>
      <c r="M747" t="s">
        <v>720</v>
      </c>
      <c r="N747" t="s">
        <v>721</v>
      </c>
      <c r="O747">
        <v>6</v>
      </c>
      <c r="P747">
        <v>2</v>
      </c>
      <c r="Q747">
        <v>30</v>
      </c>
      <c r="R747" t="s">
        <v>798</v>
      </c>
      <c r="S747" t="s">
        <v>745</v>
      </c>
      <c r="T747" t="s">
        <v>746</v>
      </c>
      <c r="U747" t="s">
        <v>759</v>
      </c>
    </row>
    <row r="748" spans="1:21" x14ac:dyDescent="0.3">
      <c r="A748" s="1" t="s">
        <v>748</v>
      </c>
      <c r="B748" t="s">
        <v>749</v>
      </c>
      <c r="C748" t="s">
        <v>750</v>
      </c>
      <c r="D748" t="s">
        <v>1168</v>
      </c>
      <c r="E748" t="s">
        <v>567</v>
      </c>
      <c r="F748" t="s">
        <v>1169</v>
      </c>
      <c r="G748" t="s">
        <v>794</v>
      </c>
      <c r="H748" t="s">
        <v>715</v>
      </c>
      <c r="I748" t="s">
        <v>1170</v>
      </c>
      <c r="J748" t="s">
        <v>1171</v>
      </c>
      <c r="K748" t="s">
        <v>1172</v>
      </c>
      <c r="L748" t="s">
        <v>826</v>
      </c>
      <c r="M748" t="s">
        <v>720</v>
      </c>
      <c r="N748" t="s">
        <v>721</v>
      </c>
      <c r="O748">
        <v>13</v>
      </c>
      <c r="P748">
        <v>2</v>
      </c>
      <c r="Q748">
        <v>62</v>
      </c>
      <c r="R748" t="s">
        <v>798</v>
      </c>
      <c r="S748" t="s">
        <v>745</v>
      </c>
      <c r="T748" t="s">
        <v>746</v>
      </c>
      <c r="U748" t="s">
        <v>759</v>
      </c>
    </row>
    <row r="749" spans="1:21" x14ac:dyDescent="0.3">
      <c r="A749" s="1" t="s">
        <v>748</v>
      </c>
      <c r="B749" t="s">
        <v>749</v>
      </c>
      <c r="C749" t="s">
        <v>750</v>
      </c>
      <c r="D749" t="s">
        <v>1173</v>
      </c>
      <c r="E749" t="s">
        <v>567</v>
      </c>
      <c r="F749" t="s">
        <v>1174</v>
      </c>
      <c r="G749" t="s">
        <v>753</v>
      </c>
      <c r="H749" t="s">
        <v>715</v>
      </c>
      <c r="I749" t="s">
        <v>1175</v>
      </c>
      <c r="J749" t="s">
        <v>1176</v>
      </c>
      <c r="K749" t="s">
        <v>1177</v>
      </c>
      <c r="L749" t="s">
        <v>765</v>
      </c>
      <c r="M749" t="s">
        <v>720</v>
      </c>
      <c r="N749" t="s">
        <v>721</v>
      </c>
      <c r="O749">
        <v>3</v>
      </c>
      <c r="P749">
        <v>15</v>
      </c>
      <c r="Q749">
        <v>16</v>
      </c>
      <c r="R749" t="s">
        <v>758</v>
      </c>
      <c r="S749" t="s">
        <v>745</v>
      </c>
      <c r="T749" t="s">
        <v>746</v>
      </c>
      <c r="U749" t="s">
        <v>759</v>
      </c>
    </row>
    <row r="750" spans="1:21" x14ac:dyDescent="0.3">
      <c r="A750" s="1" t="s">
        <v>748</v>
      </c>
      <c r="B750" t="s">
        <v>749</v>
      </c>
      <c r="C750" t="s">
        <v>750</v>
      </c>
      <c r="D750" t="s">
        <v>1178</v>
      </c>
      <c r="E750" t="s">
        <v>567</v>
      </c>
      <c r="F750" t="s">
        <v>1179</v>
      </c>
      <c r="G750" t="s">
        <v>794</v>
      </c>
      <c r="H750" t="s">
        <v>715</v>
      </c>
      <c r="I750" t="s">
        <v>1180</v>
      </c>
      <c r="J750" t="s">
        <v>1181</v>
      </c>
      <c r="K750" t="s">
        <v>1182</v>
      </c>
      <c r="L750" t="s">
        <v>741</v>
      </c>
      <c r="M750" t="s">
        <v>720</v>
      </c>
      <c r="N750" t="s">
        <v>743</v>
      </c>
      <c r="O750">
        <v>0</v>
      </c>
      <c r="P750">
        <v>0</v>
      </c>
      <c r="Q750">
        <v>72</v>
      </c>
      <c r="R750" t="s">
        <v>798</v>
      </c>
      <c r="S750" t="s">
        <v>745</v>
      </c>
      <c r="T750" t="s">
        <v>746</v>
      </c>
      <c r="U750" t="s">
        <v>759</v>
      </c>
    </row>
    <row r="751" spans="1:21" x14ac:dyDescent="0.3">
      <c r="A751" s="1" t="s">
        <v>748</v>
      </c>
      <c r="B751" t="s">
        <v>749</v>
      </c>
      <c r="C751" t="s">
        <v>750</v>
      </c>
      <c r="D751" t="s">
        <v>1183</v>
      </c>
      <c r="E751" t="s">
        <v>567</v>
      </c>
      <c r="F751" t="s">
        <v>1184</v>
      </c>
      <c r="G751" t="s">
        <v>806</v>
      </c>
      <c r="H751" t="s">
        <v>715</v>
      </c>
      <c r="I751" t="s">
        <v>1185</v>
      </c>
      <c r="J751" t="s">
        <v>1186</v>
      </c>
      <c r="K751" t="s">
        <v>1187</v>
      </c>
      <c r="L751" t="s">
        <v>810</v>
      </c>
      <c r="M751" t="s">
        <v>720</v>
      </c>
      <c r="N751" t="s">
        <v>721</v>
      </c>
      <c r="O751">
        <v>16</v>
      </c>
      <c r="P751">
        <v>3</v>
      </c>
      <c r="Q751">
        <v>9</v>
      </c>
      <c r="R751" t="s">
        <v>798</v>
      </c>
      <c r="S751" t="s">
        <v>745</v>
      </c>
      <c r="T751" t="s">
        <v>746</v>
      </c>
      <c r="U751" t="s">
        <v>759</v>
      </c>
    </row>
    <row r="752" spans="1:21" x14ac:dyDescent="0.3">
      <c r="A752" s="1" t="s">
        <v>748</v>
      </c>
      <c r="B752" t="s">
        <v>749</v>
      </c>
      <c r="C752" t="s">
        <v>750</v>
      </c>
      <c r="D752" t="s">
        <v>1188</v>
      </c>
      <c r="E752" t="s">
        <v>567</v>
      </c>
      <c r="F752" t="s">
        <v>1189</v>
      </c>
      <c r="G752" t="s">
        <v>753</v>
      </c>
      <c r="H752" t="s">
        <v>715</v>
      </c>
      <c r="I752" t="s">
        <v>1190</v>
      </c>
      <c r="J752" t="s">
        <v>1191</v>
      </c>
      <c r="K752" t="s">
        <v>1192</v>
      </c>
      <c r="L752" t="s">
        <v>757</v>
      </c>
      <c r="M752" t="s">
        <v>720</v>
      </c>
      <c r="N752" t="s">
        <v>721</v>
      </c>
      <c r="O752">
        <v>2</v>
      </c>
      <c r="P752">
        <v>7</v>
      </c>
      <c r="Q752">
        <v>56</v>
      </c>
      <c r="R752" t="s">
        <v>758</v>
      </c>
      <c r="S752" t="s">
        <v>745</v>
      </c>
      <c r="T752" t="s">
        <v>746</v>
      </c>
      <c r="U752" t="s">
        <v>1193</v>
      </c>
    </row>
    <row r="753" spans="1:21" x14ac:dyDescent="0.3">
      <c r="A753" s="1" t="s">
        <v>748</v>
      </c>
      <c r="B753" t="s">
        <v>749</v>
      </c>
      <c r="C753" t="s">
        <v>750</v>
      </c>
      <c r="D753" t="s">
        <v>1194</v>
      </c>
      <c r="E753" t="s">
        <v>567</v>
      </c>
      <c r="F753" t="s">
        <v>1195</v>
      </c>
      <c r="G753" t="s">
        <v>753</v>
      </c>
      <c r="H753" t="s">
        <v>715</v>
      </c>
      <c r="I753" t="s">
        <v>1196</v>
      </c>
      <c r="J753" t="s">
        <v>1197</v>
      </c>
      <c r="K753" t="s">
        <v>1198</v>
      </c>
      <c r="L753" t="s">
        <v>765</v>
      </c>
      <c r="M753" t="s">
        <v>720</v>
      </c>
      <c r="N753" t="s">
        <v>721</v>
      </c>
      <c r="O753">
        <v>9</v>
      </c>
      <c r="P753">
        <v>15</v>
      </c>
      <c r="Q753">
        <v>62</v>
      </c>
      <c r="R753" t="s">
        <v>758</v>
      </c>
      <c r="S753" t="s">
        <v>745</v>
      </c>
      <c r="T753" t="s">
        <v>746</v>
      </c>
      <c r="U753" t="s">
        <v>759</v>
      </c>
    </row>
    <row r="754" spans="1:21" x14ac:dyDescent="0.3">
      <c r="A754" s="1" t="s">
        <v>748</v>
      </c>
      <c r="B754" t="s">
        <v>749</v>
      </c>
      <c r="C754" t="s">
        <v>750</v>
      </c>
      <c r="D754" t="s">
        <v>1199</v>
      </c>
      <c r="E754" t="s">
        <v>567</v>
      </c>
      <c r="F754" t="s">
        <v>1200</v>
      </c>
      <c r="G754" t="s">
        <v>753</v>
      </c>
      <c r="H754" t="s">
        <v>715</v>
      </c>
      <c r="I754" t="s">
        <v>1201</v>
      </c>
      <c r="J754" t="s">
        <v>1202</v>
      </c>
      <c r="K754" t="s">
        <v>1203</v>
      </c>
      <c r="L754" t="s">
        <v>765</v>
      </c>
      <c r="M754" t="s">
        <v>720</v>
      </c>
      <c r="N754" t="s">
        <v>721</v>
      </c>
      <c r="O754">
        <v>1</v>
      </c>
      <c r="P754">
        <v>15</v>
      </c>
      <c r="Q754">
        <v>68</v>
      </c>
      <c r="R754" t="s">
        <v>758</v>
      </c>
      <c r="S754" t="s">
        <v>745</v>
      </c>
      <c r="T754" t="s">
        <v>746</v>
      </c>
      <c r="U754" t="s">
        <v>759</v>
      </c>
    </row>
    <row r="755" spans="1:21" x14ac:dyDescent="0.3">
      <c r="A755" s="1" t="s">
        <v>748</v>
      </c>
      <c r="B755" t="s">
        <v>749</v>
      </c>
      <c r="C755" t="s">
        <v>750</v>
      </c>
      <c r="D755" t="s">
        <v>1204</v>
      </c>
      <c r="E755" t="s">
        <v>567</v>
      </c>
      <c r="F755" t="s">
        <v>1205</v>
      </c>
      <c r="G755" t="s">
        <v>753</v>
      </c>
      <c r="H755" t="s">
        <v>715</v>
      </c>
      <c r="I755" t="s">
        <v>1206</v>
      </c>
      <c r="J755" t="s">
        <v>1207</v>
      </c>
      <c r="K755" t="s">
        <v>1208</v>
      </c>
      <c r="L755" t="s">
        <v>765</v>
      </c>
      <c r="M755" t="s">
        <v>720</v>
      </c>
      <c r="N755" t="s">
        <v>721</v>
      </c>
      <c r="O755">
        <v>4</v>
      </c>
      <c r="P755">
        <v>15</v>
      </c>
      <c r="Q755">
        <v>13</v>
      </c>
      <c r="R755" t="s">
        <v>758</v>
      </c>
      <c r="S755" t="s">
        <v>745</v>
      </c>
      <c r="T755" t="s">
        <v>746</v>
      </c>
      <c r="U755" t="s">
        <v>759</v>
      </c>
    </row>
    <row r="756" spans="1:21" x14ac:dyDescent="0.3">
      <c r="A756" s="1" t="s">
        <v>748</v>
      </c>
      <c r="B756" t="s">
        <v>749</v>
      </c>
      <c r="C756" t="s">
        <v>750</v>
      </c>
      <c r="D756" t="s">
        <v>734</v>
      </c>
      <c r="E756" t="s">
        <v>567</v>
      </c>
      <c r="F756" t="s">
        <v>735</v>
      </c>
      <c r="G756" t="s">
        <v>794</v>
      </c>
      <c r="H756" t="s">
        <v>715</v>
      </c>
      <c r="I756" t="s">
        <v>1209</v>
      </c>
      <c r="J756" t="s">
        <v>1210</v>
      </c>
      <c r="K756" t="s">
        <v>1211</v>
      </c>
      <c r="L756" t="s">
        <v>826</v>
      </c>
      <c r="M756" t="s">
        <v>720</v>
      </c>
      <c r="N756" t="s">
        <v>721</v>
      </c>
      <c r="O756">
        <v>12</v>
      </c>
      <c r="P756">
        <v>2</v>
      </c>
      <c r="Q756">
        <v>62</v>
      </c>
      <c r="R756" t="s">
        <v>798</v>
      </c>
      <c r="S756" t="s">
        <v>745</v>
      </c>
      <c r="T756" t="s">
        <v>746</v>
      </c>
      <c r="U756" t="s">
        <v>759</v>
      </c>
    </row>
    <row r="757" spans="1:21" x14ac:dyDescent="0.3">
      <c r="A757" s="1" t="s">
        <v>748</v>
      </c>
      <c r="B757" t="s">
        <v>749</v>
      </c>
      <c r="C757" t="s">
        <v>750</v>
      </c>
      <c r="D757" t="s">
        <v>1212</v>
      </c>
      <c r="E757" t="s">
        <v>567</v>
      </c>
      <c r="F757" t="s">
        <v>1213</v>
      </c>
      <c r="G757" t="s">
        <v>753</v>
      </c>
      <c r="H757" t="s">
        <v>715</v>
      </c>
      <c r="I757" t="s">
        <v>1214</v>
      </c>
      <c r="J757" t="s">
        <v>1215</v>
      </c>
      <c r="K757" t="s">
        <v>1216</v>
      </c>
      <c r="L757" t="s">
        <v>757</v>
      </c>
      <c r="M757" t="s">
        <v>720</v>
      </c>
      <c r="N757" t="s">
        <v>721</v>
      </c>
      <c r="O757">
        <v>1</v>
      </c>
      <c r="P757">
        <v>7</v>
      </c>
      <c r="Q757">
        <v>104</v>
      </c>
      <c r="R757" t="s">
        <v>758</v>
      </c>
      <c r="S757" t="s">
        <v>745</v>
      </c>
      <c r="T757" t="s">
        <v>746</v>
      </c>
      <c r="U757" t="s">
        <v>759</v>
      </c>
    </row>
    <row r="758" spans="1:21" x14ac:dyDescent="0.3">
      <c r="A758" s="1" t="s">
        <v>748</v>
      </c>
      <c r="B758" t="s">
        <v>749</v>
      </c>
      <c r="C758" t="s">
        <v>750</v>
      </c>
      <c r="D758" t="s">
        <v>1217</v>
      </c>
      <c r="E758" t="s">
        <v>567</v>
      </c>
      <c r="F758" t="s">
        <v>1218</v>
      </c>
      <c r="G758" t="s">
        <v>753</v>
      </c>
      <c r="H758" t="s">
        <v>715</v>
      </c>
      <c r="I758" t="s">
        <v>1219</v>
      </c>
      <c r="J758" t="s">
        <v>1220</v>
      </c>
      <c r="K758" t="s">
        <v>1221</v>
      </c>
      <c r="L758" t="s">
        <v>765</v>
      </c>
      <c r="M758" t="s">
        <v>720</v>
      </c>
      <c r="N758" t="s">
        <v>721</v>
      </c>
      <c r="O758">
        <v>17</v>
      </c>
      <c r="P758">
        <v>15</v>
      </c>
      <c r="Q758">
        <v>76</v>
      </c>
      <c r="R758" t="s">
        <v>758</v>
      </c>
      <c r="S758" t="s">
        <v>745</v>
      </c>
      <c r="T758" t="s">
        <v>746</v>
      </c>
      <c r="U758" t="s">
        <v>759</v>
      </c>
    </row>
    <row r="759" spans="1:21" x14ac:dyDescent="0.3">
      <c r="A759" s="1" t="s">
        <v>748</v>
      </c>
      <c r="B759" t="s">
        <v>749</v>
      </c>
      <c r="C759" t="s">
        <v>750</v>
      </c>
      <c r="D759" t="s">
        <v>1222</v>
      </c>
      <c r="E759" t="s">
        <v>567</v>
      </c>
      <c r="F759" t="s">
        <v>1223</v>
      </c>
      <c r="G759" t="s">
        <v>794</v>
      </c>
      <c r="H759" t="s">
        <v>715</v>
      </c>
      <c r="I759" t="s">
        <v>1224</v>
      </c>
      <c r="J759" t="s">
        <v>1225</v>
      </c>
      <c r="K759" t="s">
        <v>1226</v>
      </c>
      <c r="L759" t="s">
        <v>826</v>
      </c>
      <c r="M759" t="s">
        <v>720</v>
      </c>
      <c r="N759" t="s">
        <v>721</v>
      </c>
      <c r="O759">
        <v>12</v>
      </c>
      <c r="P759">
        <v>2</v>
      </c>
      <c r="Q759">
        <v>86</v>
      </c>
      <c r="R759" t="s">
        <v>798</v>
      </c>
      <c r="S759" t="s">
        <v>745</v>
      </c>
      <c r="T759" t="s">
        <v>746</v>
      </c>
      <c r="U759" t="s">
        <v>759</v>
      </c>
    </row>
    <row r="760" spans="1:21" x14ac:dyDescent="0.3">
      <c r="A760" s="1" t="s">
        <v>748</v>
      </c>
      <c r="B760" t="s">
        <v>749</v>
      </c>
      <c r="C760" t="s">
        <v>750</v>
      </c>
      <c r="D760" t="s">
        <v>1227</v>
      </c>
      <c r="E760" t="s">
        <v>567</v>
      </c>
      <c r="F760" t="s">
        <v>1228</v>
      </c>
      <c r="G760" t="s">
        <v>714</v>
      </c>
      <c r="H760" t="s">
        <v>715</v>
      </c>
      <c r="I760" t="s">
        <v>1229</v>
      </c>
      <c r="J760" t="s">
        <v>1230</v>
      </c>
      <c r="K760" t="s">
        <v>1231</v>
      </c>
      <c r="L760" t="s">
        <v>1082</v>
      </c>
      <c r="M760" t="s">
        <v>720</v>
      </c>
      <c r="N760" t="s">
        <v>721</v>
      </c>
      <c r="O760">
        <v>2</v>
      </c>
      <c r="P760">
        <v>0</v>
      </c>
      <c r="Q760">
        <v>94</v>
      </c>
      <c r="R760" t="s">
        <v>798</v>
      </c>
      <c r="S760" t="s">
        <v>723</v>
      </c>
      <c r="T760" t="s">
        <v>1083</v>
      </c>
      <c r="U760" t="s">
        <v>707</v>
      </c>
    </row>
    <row r="761" spans="1:21" x14ac:dyDescent="0.3">
      <c r="A761" s="1" t="s">
        <v>748</v>
      </c>
      <c r="B761" t="s">
        <v>749</v>
      </c>
      <c r="C761" t="s">
        <v>750</v>
      </c>
      <c r="D761" t="s">
        <v>1232</v>
      </c>
      <c r="E761" t="s">
        <v>567</v>
      </c>
      <c r="F761" t="s">
        <v>1233</v>
      </c>
      <c r="G761" t="s">
        <v>753</v>
      </c>
      <c r="H761" t="s">
        <v>715</v>
      </c>
      <c r="I761" t="s">
        <v>1234</v>
      </c>
      <c r="J761" t="s">
        <v>1235</v>
      </c>
      <c r="K761" t="s">
        <v>1236</v>
      </c>
      <c r="L761" t="s">
        <v>765</v>
      </c>
      <c r="M761" t="s">
        <v>720</v>
      </c>
      <c r="N761" t="s">
        <v>721</v>
      </c>
      <c r="O761">
        <v>3</v>
      </c>
      <c r="P761">
        <v>15</v>
      </c>
      <c r="Q761">
        <v>86</v>
      </c>
      <c r="R761" t="s">
        <v>758</v>
      </c>
      <c r="S761" t="s">
        <v>745</v>
      </c>
      <c r="T761" t="s">
        <v>746</v>
      </c>
      <c r="U761" t="s">
        <v>747</v>
      </c>
    </row>
    <row r="762" spans="1:21" x14ac:dyDescent="0.3">
      <c r="A762" s="1" t="s">
        <v>748</v>
      </c>
      <c r="B762" t="s">
        <v>749</v>
      </c>
      <c r="C762" t="s">
        <v>750</v>
      </c>
      <c r="D762" t="s">
        <v>1237</v>
      </c>
      <c r="E762" t="s">
        <v>567</v>
      </c>
      <c r="F762" t="s">
        <v>1238</v>
      </c>
      <c r="G762" t="s">
        <v>1239</v>
      </c>
      <c r="H762" t="s">
        <v>737</v>
      </c>
      <c r="I762" t="s">
        <v>1240</v>
      </c>
      <c r="J762" t="s">
        <v>1241</v>
      </c>
      <c r="K762" t="s">
        <v>1242</v>
      </c>
      <c r="L762" t="s">
        <v>1243</v>
      </c>
      <c r="M762" t="s">
        <v>1243</v>
      </c>
      <c r="N762" t="s">
        <v>721</v>
      </c>
      <c r="O762">
        <v>27</v>
      </c>
      <c r="P762">
        <v>0</v>
      </c>
      <c r="Q762">
        <v>229</v>
      </c>
      <c r="R762" t="s">
        <v>758</v>
      </c>
      <c r="S762" t="s">
        <v>745</v>
      </c>
      <c r="T762" t="s">
        <v>746</v>
      </c>
      <c r="U762" t="s">
        <v>747</v>
      </c>
    </row>
    <row r="763" spans="1:21" x14ac:dyDescent="0.3">
      <c r="A763" s="1" t="s">
        <v>748</v>
      </c>
      <c r="B763" t="s">
        <v>749</v>
      </c>
      <c r="C763" t="s">
        <v>750</v>
      </c>
      <c r="D763" t="s">
        <v>1244</v>
      </c>
      <c r="E763" t="s">
        <v>567</v>
      </c>
      <c r="F763" t="s">
        <v>1245</v>
      </c>
      <c r="G763" t="s">
        <v>753</v>
      </c>
      <c r="H763" t="s">
        <v>715</v>
      </c>
      <c r="I763" t="s">
        <v>1246</v>
      </c>
      <c r="J763" t="s">
        <v>1247</v>
      </c>
      <c r="K763" t="s">
        <v>1248</v>
      </c>
      <c r="L763" t="s">
        <v>765</v>
      </c>
      <c r="M763" t="s">
        <v>720</v>
      </c>
      <c r="N763" t="s">
        <v>721</v>
      </c>
      <c r="O763">
        <v>0</v>
      </c>
      <c r="P763">
        <v>15</v>
      </c>
      <c r="Q763">
        <v>73</v>
      </c>
      <c r="R763" t="s">
        <v>758</v>
      </c>
      <c r="S763" t="s">
        <v>745</v>
      </c>
      <c r="T763" t="s">
        <v>746</v>
      </c>
      <c r="U763" t="s">
        <v>759</v>
      </c>
    </row>
    <row r="764" spans="1:21" x14ac:dyDescent="0.3">
      <c r="A764" s="1" t="s">
        <v>748</v>
      </c>
      <c r="B764" t="s">
        <v>749</v>
      </c>
      <c r="C764" t="s">
        <v>750</v>
      </c>
      <c r="D764" t="s">
        <v>1249</v>
      </c>
      <c r="E764" t="s">
        <v>567</v>
      </c>
      <c r="F764" t="s">
        <v>1250</v>
      </c>
      <c r="G764" t="s">
        <v>753</v>
      </c>
      <c r="H764" t="s">
        <v>715</v>
      </c>
      <c r="I764" t="s">
        <v>1251</v>
      </c>
      <c r="J764" t="s">
        <v>1252</v>
      </c>
      <c r="K764" t="s">
        <v>1253</v>
      </c>
      <c r="L764" t="s">
        <v>765</v>
      </c>
      <c r="M764" t="s">
        <v>720</v>
      </c>
      <c r="N764" t="s">
        <v>721</v>
      </c>
      <c r="O764">
        <v>1</v>
      </c>
      <c r="P764">
        <v>15</v>
      </c>
      <c r="Q764">
        <v>16</v>
      </c>
      <c r="R764" t="s">
        <v>758</v>
      </c>
      <c r="S764" t="s">
        <v>745</v>
      </c>
      <c r="T764" t="s">
        <v>746</v>
      </c>
      <c r="U764" t="s">
        <v>759</v>
      </c>
    </row>
    <row r="765" spans="1:21" x14ac:dyDescent="0.3">
      <c r="A765" s="1" t="s">
        <v>748</v>
      </c>
      <c r="B765" t="s">
        <v>749</v>
      </c>
      <c r="C765" t="s">
        <v>750</v>
      </c>
      <c r="D765" t="s">
        <v>1254</v>
      </c>
      <c r="E765" t="s">
        <v>567</v>
      </c>
      <c r="F765" t="s">
        <v>1255</v>
      </c>
      <c r="G765" t="s">
        <v>794</v>
      </c>
      <c r="H765" t="s">
        <v>715</v>
      </c>
      <c r="I765" t="s">
        <v>1256</v>
      </c>
      <c r="J765" t="s">
        <v>1257</v>
      </c>
      <c r="K765" t="s">
        <v>1258</v>
      </c>
      <c r="L765" t="s">
        <v>826</v>
      </c>
      <c r="M765" t="s">
        <v>720</v>
      </c>
      <c r="N765" t="s">
        <v>721</v>
      </c>
      <c r="O765">
        <v>6</v>
      </c>
      <c r="P765">
        <v>2</v>
      </c>
      <c r="Q765">
        <v>26</v>
      </c>
      <c r="R765" t="s">
        <v>798</v>
      </c>
      <c r="S765" t="s">
        <v>745</v>
      </c>
      <c r="T765" t="s">
        <v>746</v>
      </c>
      <c r="U765" t="s">
        <v>759</v>
      </c>
    </row>
    <row r="766" spans="1:21" x14ac:dyDescent="0.3">
      <c r="A766" s="1" t="s">
        <v>748</v>
      </c>
      <c r="B766" t="s">
        <v>749</v>
      </c>
      <c r="C766" t="s">
        <v>750</v>
      </c>
      <c r="D766" t="s">
        <v>1259</v>
      </c>
      <c r="E766" t="s">
        <v>567</v>
      </c>
      <c r="F766" t="s">
        <v>1260</v>
      </c>
      <c r="G766" t="s">
        <v>753</v>
      </c>
      <c r="H766" t="s">
        <v>715</v>
      </c>
      <c r="I766" t="s">
        <v>1261</v>
      </c>
      <c r="J766" t="s">
        <v>1262</v>
      </c>
      <c r="K766" t="s">
        <v>1263</v>
      </c>
      <c r="L766" t="s">
        <v>765</v>
      </c>
      <c r="M766" t="s">
        <v>720</v>
      </c>
      <c r="N766" t="s">
        <v>721</v>
      </c>
      <c r="O766">
        <v>1</v>
      </c>
      <c r="P766">
        <v>15</v>
      </c>
      <c r="Q766">
        <v>118</v>
      </c>
      <c r="R766" t="s">
        <v>758</v>
      </c>
      <c r="S766" t="s">
        <v>745</v>
      </c>
      <c r="T766" t="s">
        <v>746</v>
      </c>
      <c r="U766" t="s">
        <v>747</v>
      </c>
    </row>
    <row r="767" spans="1:21" x14ac:dyDescent="0.3">
      <c r="A767" s="1" t="s">
        <v>748</v>
      </c>
      <c r="B767" t="s">
        <v>749</v>
      </c>
      <c r="C767" t="s">
        <v>750</v>
      </c>
      <c r="D767" t="s">
        <v>1264</v>
      </c>
      <c r="E767" t="s">
        <v>567</v>
      </c>
      <c r="F767" t="s">
        <v>1265</v>
      </c>
      <c r="G767" t="s">
        <v>753</v>
      </c>
      <c r="H767" t="s">
        <v>715</v>
      </c>
      <c r="I767" t="s">
        <v>1266</v>
      </c>
      <c r="J767" t="s">
        <v>1267</v>
      </c>
      <c r="K767" t="s">
        <v>1268</v>
      </c>
      <c r="L767" t="s">
        <v>765</v>
      </c>
      <c r="M767" t="s">
        <v>720</v>
      </c>
      <c r="N767" t="s">
        <v>721</v>
      </c>
      <c r="O767">
        <v>6</v>
      </c>
      <c r="P767">
        <v>15</v>
      </c>
      <c r="Q767">
        <v>86</v>
      </c>
      <c r="R767" t="s">
        <v>758</v>
      </c>
      <c r="S767" t="s">
        <v>745</v>
      </c>
      <c r="T767" t="s">
        <v>746</v>
      </c>
      <c r="U767" t="s">
        <v>1269</v>
      </c>
    </row>
    <row r="768" spans="1:21" x14ac:dyDescent="0.3">
      <c r="A768" s="1" t="s">
        <v>748</v>
      </c>
      <c r="B768" t="s">
        <v>749</v>
      </c>
      <c r="C768" t="s">
        <v>750</v>
      </c>
      <c r="D768" t="s">
        <v>1270</v>
      </c>
      <c r="E768" t="s">
        <v>567</v>
      </c>
      <c r="F768" t="s">
        <v>1271</v>
      </c>
      <c r="G768" t="s">
        <v>753</v>
      </c>
      <c r="H768" t="s">
        <v>715</v>
      </c>
      <c r="I768" t="s">
        <v>1272</v>
      </c>
      <c r="J768" t="s">
        <v>1273</v>
      </c>
      <c r="K768" t="s">
        <v>1274</v>
      </c>
      <c r="L768" t="s">
        <v>765</v>
      </c>
      <c r="M768" t="s">
        <v>720</v>
      </c>
      <c r="N768" t="s">
        <v>721</v>
      </c>
      <c r="O768">
        <v>2</v>
      </c>
      <c r="P768">
        <v>15</v>
      </c>
      <c r="Q768">
        <v>36</v>
      </c>
      <c r="R768" t="s">
        <v>758</v>
      </c>
      <c r="S768" t="s">
        <v>745</v>
      </c>
      <c r="T768" t="s">
        <v>746</v>
      </c>
      <c r="U768" t="s">
        <v>759</v>
      </c>
    </row>
    <row r="769" spans="1:21" x14ac:dyDescent="0.3">
      <c r="A769" s="1" t="s">
        <v>748</v>
      </c>
      <c r="B769" t="s">
        <v>749</v>
      </c>
      <c r="C769" t="s">
        <v>750</v>
      </c>
      <c r="D769" t="s">
        <v>1275</v>
      </c>
      <c r="E769" t="s">
        <v>567</v>
      </c>
      <c r="F769" t="s">
        <v>1276</v>
      </c>
      <c r="G769" t="s">
        <v>794</v>
      </c>
      <c r="H769" t="s">
        <v>715</v>
      </c>
      <c r="I769" t="s">
        <v>1277</v>
      </c>
      <c r="J769" t="s">
        <v>1278</v>
      </c>
      <c r="K769" t="s">
        <v>1279</v>
      </c>
      <c r="L769" t="s">
        <v>826</v>
      </c>
      <c r="M769" t="s">
        <v>720</v>
      </c>
      <c r="N769" t="s">
        <v>721</v>
      </c>
      <c r="O769">
        <v>8</v>
      </c>
      <c r="P769">
        <v>10</v>
      </c>
      <c r="Q769">
        <v>97</v>
      </c>
      <c r="R769" t="s">
        <v>722</v>
      </c>
      <c r="S769" t="s">
        <v>745</v>
      </c>
      <c r="T769" t="s">
        <v>746</v>
      </c>
      <c r="U769" t="s">
        <v>759</v>
      </c>
    </row>
    <row r="770" spans="1:21" x14ac:dyDescent="0.3">
      <c r="A770" s="1" t="s">
        <v>748</v>
      </c>
      <c r="B770" t="s">
        <v>749</v>
      </c>
      <c r="C770" t="s">
        <v>750</v>
      </c>
      <c r="D770" t="s">
        <v>1280</v>
      </c>
      <c r="E770" t="s">
        <v>567</v>
      </c>
      <c r="F770" t="s">
        <v>1281</v>
      </c>
      <c r="G770" t="s">
        <v>753</v>
      </c>
      <c r="H770" t="s">
        <v>715</v>
      </c>
      <c r="I770" t="s">
        <v>1282</v>
      </c>
      <c r="J770" t="s">
        <v>1283</v>
      </c>
      <c r="K770" t="s">
        <v>1284</v>
      </c>
      <c r="L770" t="s">
        <v>757</v>
      </c>
      <c r="M770" t="s">
        <v>720</v>
      </c>
      <c r="N770" t="s">
        <v>721</v>
      </c>
      <c r="O770">
        <v>2</v>
      </c>
      <c r="P770">
        <v>7</v>
      </c>
      <c r="Q770">
        <v>111</v>
      </c>
      <c r="R770" t="s">
        <v>758</v>
      </c>
      <c r="S770" t="s">
        <v>745</v>
      </c>
      <c r="T770" t="s">
        <v>746</v>
      </c>
      <c r="U770" t="s">
        <v>759</v>
      </c>
    </row>
    <row r="771" spans="1:21" x14ac:dyDescent="0.3">
      <c r="A771" s="1" t="s">
        <v>748</v>
      </c>
      <c r="B771" t="s">
        <v>749</v>
      </c>
      <c r="C771" t="s">
        <v>750</v>
      </c>
      <c r="D771" t="s">
        <v>1285</v>
      </c>
      <c r="E771" t="s">
        <v>567</v>
      </c>
      <c r="F771" t="s">
        <v>1286</v>
      </c>
      <c r="G771" t="s">
        <v>753</v>
      </c>
      <c r="H771" t="s">
        <v>715</v>
      </c>
      <c r="I771" t="s">
        <v>1287</v>
      </c>
      <c r="J771" t="s">
        <v>1288</v>
      </c>
      <c r="K771" t="s">
        <v>1289</v>
      </c>
      <c r="L771" t="s">
        <v>757</v>
      </c>
      <c r="M771" t="s">
        <v>720</v>
      </c>
      <c r="N771" t="s">
        <v>721</v>
      </c>
      <c r="O771">
        <v>4</v>
      </c>
      <c r="P771">
        <v>7</v>
      </c>
      <c r="Q771">
        <v>45</v>
      </c>
      <c r="R771" t="s">
        <v>758</v>
      </c>
      <c r="S771" t="s">
        <v>745</v>
      </c>
      <c r="T771" t="s">
        <v>746</v>
      </c>
      <c r="U771" t="s">
        <v>759</v>
      </c>
    </row>
    <row r="772" spans="1:21" x14ac:dyDescent="0.3">
      <c r="A772" s="1" t="s">
        <v>748</v>
      </c>
      <c r="B772" t="s">
        <v>749</v>
      </c>
      <c r="C772" t="s">
        <v>750</v>
      </c>
      <c r="D772" t="s">
        <v>1290</v>
      </c>
      <c r="E772" t="s">
        <v>567</v>
      </c>
      <c r="F772" t="s">
        <v>1291</v>
      </c>
      <c r="G772" t="s">
        <v>753</v>
      </c>
      <c r="H772" t="s">
        <v>715</v>
      </c>
      <c r="I772" t="s">
        <v>1292</v>
      </c>
      <c r="J772" t="s">
        <v>1293</v>
      </c>
      <c r="K772" t="s">
        <v>1294</v>
      </c>
      <c r="L772" t="s">
        <v>765</v>
      </c>
      <c r="M772" t="s">
        <v>720</v>
      </c>
      <c r="N772" t="s">
        <v>721</v>
      </c>
      <c r="O772">
        <v>8</v>
      </c>
      <c r="P772">
        <v>15</v>
      </c>
      <c r="Q772">
        <v>119</v>
      </c>
      <c r="R772" t="s">
        <v>758</v>
      </c>
      <c r="S772" t="s">
        <v>745</v>
      </c>
      <c r="T772" t="s">
        <v>746</v>
      </c>
      <c r="U772" t="s">
        <v>759</v>
      </c>
    </row>
    <row r="773" spans="1:21" x14ac:dyDescent="0.3">
      <c r="A773" s="1" t="s">
        <v>748</v>
      </c>
      <c r="B773" t="s">
        <v>749</v>
      </c>
      <c r="C773" t="s">
        <v>750</v>
      </c>
      <c r="D773" t="s">
        <v>1295</v>
      </c>
      <c r="E773" t="s">
        <v>567</v>
      </c>
      <c r="F773" t="s">
        <v>1296</v>
      </c>
      <c r="G773" t="s">
        <v>794</v>
      </c>
      <c r="H773" t="s">
        <v>715</v>
      </c>
      <c r="I773" t="s">
        <v>1297</v>
      </c>
      <c r="J773" t="s">
        <v>1298</v>
      </c>
      <c r="K773" t="s">
        <v>1299</v>
      </c>
      <c r="L773" t="s">
        <v>985</v>
      </c>
      <c r="M773" t="s">
        <v>720</v>
      </c>
      <c r="N773" t="s">
        <v>743</v>
      </c>
      <c r="O773">
        <v>28</v>
      </c>
      <c r="P773">
        <v>0</v>
      </c>
      <c r="Q773">
        <v>150</v>
      </c>
      <c r="R773" t="s">
        <v>798</v>
      </c>
      <c r="S773" t="s">
        <v>745</v>
      </c>
      <c r="T773" t="s">
        <v>746</v>
      </c>
      <c r="U773" t="s">
        <v>759</v>
      </c>
    </row>
    <row r="774" spans="1:21" x14ac:dyDescent="0.3">
      <c r="A774" s="1" t="s">
        <v>748</v>
      </c>
      <c r="B774" t="s">
        <v>749</v>
      </c>
      <c r="C774" t="s">
        <v>750</v>
      </c>
      <c r="D774" t="s">
        <v>1300</v>
      </c>
      <c r="E774" t="s">
        <v>567</v>
      </c>
      <c r="F774" t="s">
        <v>1301</v>
      </c>
      <c r="G774" t="s">
        <v>753</v>
      </c>
      <c r="H774" t="s">
        <v>715</v>
      </c>
      <c r="I774" t="s">
        <v>1302</v>
      </c>
      <c r="J774" t="s">
        <v>1303</v>
      </c>
      <c r="K774" t="s">
        <v>1304</v>
      </c>
      <c r="L774" t="s">
        <v>765</v>
      </c>
      <c r="M774" t="s">
        <v>720</v>
      </c>
      <c r="N774" t="s">
        <v>721</v>
      </c>
      <c r="O774">
        <v>1</v>
      </c>
      <c r="P774">
        <v>15</v>
      </c>
      <c r="Q774">
        <v>104</v>
      </c>
      <c r="R774" t="s">
        <v>758</v>
      </c>
      <c r="S774" t="s">
        <v>745</v>
      </c>
      <c r="T774" t="s">
        <v>746</v>
      </c>
      <c r="U774" t="s">
        <v>759</v>
      </c>
    </row>
    <row r="775" spans="1:21" x14ac:dyDescent="0.3">
      <c r="A775" s="1" t="s">
        <v>748</v>
      </c>
      <c r="B775" t="s">
        <v>749</v>
      </c>
      <c r="C775" t="s">
        <v>750</v>
      </c>
      <c r="D775" t="s">
        <v>1305</v>
      </c>
      <c r="E775" t="s">
        <v>567</v>
      </c>
      <c r="F775" t="s">
        <v>1306</v>
      </c>
      <c r="G775" t="s">
        <v>753</v>
      </c>
      <c r="H775" t="s">
        <v>715</v>
      </c>
      <c r="I775" t="s">
        <v>1307</v>
      </c>
      <c r="J775" t="s">
        <v>1308</v>
      </c>
      <c r="K775" t="s">
        <v>1309</v>
      </c>
      <c r="L775" t="s">
        <v>765</v>
      </c>
      <c r="M775" t="s">
        <v>720</v>
      </c>
      <c r="N775" t="s">
        <v>721</v>
      </c>
      <c r="O775">
        <v>6</v>
      </c>
      <c r="P775">
        <v>15</v>
      </c>
      <c r="Q775">
        <v>43</v>
      </c>
      <c r="R775" t="s">
        <v>758</v>
      </c>
      <c r="S775" t="s">
        <v>745</v>
      </c>
      <c r="T775" t="s">
        <v>746</v>
      </c>
      <c r="U775" t="s">
        <v>759</v>
      </c>
    </row>
    <row r="776" spans="1:21" x14ac:dyDescent="0.3">
      <c r="A776" s="1" t="s">
        <v>748</v>
      </c>
      <c r="B776" t="s">
        <v>749</v>
      </c>
      <c r="C776" t="s">
        <v>750</v>
      </c>
      <c r="D776" t="s">
        <v>1310</v>
      </c>
      <c r="E776" t="s">
        <v>567</v>
      </c>
      <c r="F776" t="s">
        <v>1311</v>
      </c>
      <c r="G776" t="s">
        <v>806</v>
      </c>
      <c r="H776" t="s">
        <v>715</v>
      </c>
      <c r="I776" t="s">
        <v>1312</v>
      </c>
      <c r="J776" t="s">
        <v>1313</v>
      </c>
      <c r="K776" t="s">
        <v>1314</v>
      </c>
      <c r="L776" t="s">
        <v>810</v>
      </c>
      <c r="M776" t="s">
        <v>720</v>
      </c>
      <c r="N776" t="s">
        <v>721</v>
      </c>
      <c r="O776">
        <v>25</v>
      </c>
      <c r="P776">
        <v>3</v>
      </c>
      <c r="Q776">
        <v>93</v>
      </c>
      <c r="R776" t="s">
        <v>798</v>
      </c>
      <c r="S776" t="s">
        <v>745</v>
      </c>
      <c r="T776" t="s">
        <v>746</v>
      </c>
      <c r="U776" t="s">
        <v>759</v>
      </c>
    </row>
    <row r="777" spans="1:21" x14ac:dyDescent="0.3">
      <c r="A777" s="1" t="s">
        <v>748</v>
      </c>
      <c r="B777" t="s">
        <v>749</v>
      </c>
      <c r="C777" t="s">
        <v>750</v>
      </c>
      <c r="D777" t="s">
        <v>1315</v>
      </c>
      <c r="E777" t="s">
        <v>567</v>
      </c>
      <c r="F777" t="s">
        <v>1316</v>
      </c>
      <c r="G777" t="s">
        <v>753</v>
      </c>
      <c r="H777" t="s">
        <v>715</v>
      </c>
      <c r="I777" t="s">
        <v>1317</v>
      </c>
      <c r="J777" t="s">
        <v>1318</v>
      </c>
      <c r="K777" t="s">
        <v>1319</v>
      </c>
      <c r="L777" t="s">
        <v>765</v>
      </c>
      <c r="M777" t="s">
        <v>720</v>
      </c>
      <c r="N777" t="s">
        <v>721</v>
      </c>
      <c r="O777">
        <v>0</v>
      </c>
      <c r="P777">
        <v>15</v>
      </c>
      <c r="Q777">
        <v>66</v>
      </c>
      <c r="R777" t="s">
        <v>758</v>
      </c>
      <c r="S777" t="s">
        <v>745</v>
      </c>
      <c r="T777" t="s">
        <v>746</v>
      </c>
      <c r="U777" t="s">
        <v>759</v>
      </c>
    </row>
    <row r="778" spans="1:21" x14ac:dyDescent="0.3">
      <c r="A778" s="1" t="s">
        <v>748</v>
      </c>
      <c r="B778" t="s">
        <v>749</v>
      </c>
      <c r="C778" t="s">
        <v>750</v>
      </c>
      <c r="D778" t="s">
        <v>1320</v>
      </c>
      <c r="E778" t="s">
        <v>567</v>
      </c>
      <c r="F778" t="s">
        <v>1321</v>
      </c>
      <c r="G778" t="s">
        <v>753</v>
      </c>
      <c r="H778" t="s">
        <v>715</v>
      </c>
      <c r="I778" t="s">
        <v>1322</v>
      </c>
      <c r="J778" t="s">
        <v>1323</v>
      </c>
      <c r="K778" t="s">
        <v>1324</v>
      </c>
      <c r="L778" t="s">
        <v>757</v>
      </c>
      <c r="M778" t="s">
        <v>720</v>
      </c>
      <c r="N778" t="s">
        <v>721</v>
      </c>
      <c r="O778">
        <v>2</v>
      </c>
      <c r="P778">
        <v>7</v>
      </c>
      <c r="Q778">
        <v>59</v>
      </c>
      <c r="R778" t="s">
        <v>758</v>
      </c>
      <c r="S778" t="s">
        <v>745</v>
      </c>
      <c r="T778" t="s">
        <v>746</v>
      </c>
      <c r="U778" t="s">
        <v>1269</v>
      </c>
    </row>
    <row r="779" spans="1:21" x14ac:dyDescent="0.3">
      <c r="A779" s="1" t="s">
        <v>748</v>
      </c>
      <c r="B779" t="s">
        <v>749</v>
      </c>
      <c r="C779" t="s">
        <v>750</v>
      </c>
      <c r="D779" t="s">
        <v>1325</v>
      </c>
      <c r="E779" t="s">
        <v>567</v>
      </c>
      <c r="F779" t="s">
        <v>1326</v>
      </c>
      <c r="G779" t="s">
        <v>753</v>
      </c>
      <c r="H779" t="s">
        <v>715</v>
      </c>
      <c r="I779" t="s">
        <v>1327</v>
      </c>
      <c r="J779" t="s">
        <v>1328</v>
      </c>
      <c r="K779" t="s">
        <v>1329</v>
      </c>
      <c r="L779" t="s">
        <v>765</v>
      </c>
      <c r="M779" t="s">
        <v>720</v>
      </c>
      <c r="N779" t="s">
        <v>721</v>
      </c>
      <c r="O779">
        <v>1</v>
      </c>
      <c r="P779">
        <v>15</v>
      </c>
      <c r="Q779">
        <v>29</v>
      </c>
      <c r="R779" t="s">
        <v>758</v>
      </c>
      <c r="S779" t="s">
        <v>745</v>
      </c>
      <c r="T779" t="s">
        <v>746</v>
      </c>
      <c r="U779" t="s">
        <v>759</v>
      </c>
    </row>
    <row r="780" spans="1:21" x14ac:dyDescent="0.3">
      <c r="A780" s="1" t="s">
        <v>748</v>
      </c>
      <c r="B780" t="s">
        <v>749</v>
      </c>
      <c r="C780" t="s">
        <v>750</v>
      </c>
      <c r="D780" t="s">
        <v>1330</v>
      </c>
      <c r="E780" t="s">
        <v>567</v>
      </c>
      <c r="F780" t="s">
        <v>1331</v>
      </c>
      <c r="G780" t="s">
        <v>794</v>
      </c>
      <c r="H780" t="s">
        <v>715</v>
      </c>
      <c r="I780" t="s">
        <v>1332</v>
      </c>
      <c r="J780" t="s">
        <v>1333</v>
      </c>
      <c r="K780" t="s">
        <v>1334</v>
      </c>
      <c r="L780" t="s">
        <v>741</v>
      </c>
      <c r="M780" t="s">
        <v>720</v>
      </c>
      <c r="N780" t="s">
        <v>743</v>
      </c>
      <c r="O780">
        <v>8</v>
      </c>
      <c r="P780">
        <v>0</v>
      </c>
      <c r="Q780">
        <v>88</v>
      </c>
      <c r="R780" t="s">
        <v>798</v>
      </c>
      <c r="S780" t="s">
        <v>745</v>
      </c>
      <c r="T780" t="s">
        <v>746</v>
      </c>
      <c r="U780" t="s">
        <v>759</v>
      </c>
    </row>
    <row r="781" spans="1:21" x14ac:dyDescent="0.3">
      <c r="A781" s="1" t="s">
        <v>748</v>
      </c>
      <c r="B781" t="s">
        <v>749</v>
      </c>
      <c r="C781" t="s">
        <v>750</v>
      </c>
      <c r="D781" t="s">
        <v>1335</v>
      </c>
      <c r="E781" t="s">
        <v>567</v>
      </c>
      <c r="F781" t="s">
        <v>1336</v>
      </c>
      <c r="G781" t="s">
        <v>753</v>
      </c>
      <c r="H781" t="s">
        <v>715</v>
      </c>
      <c r="I781" t="s">
        <v>1337</v>
      </c>
      <c r="J781" t="s">
        <v>1338</v>
      </c>
      <c r="K781" t="s">
        <v>1339</v>
      </c>
      <c r="L781" t="s">
        <v>765</v>
      </c>
      <c r="M781" t="s">
        <v>720</v>
      </c>
      <c r="N781" t="s">
        <v>721</v>
      </c>
      <c r="O781">
        <v>3</v>
      </c>
      <c r="P781">
        <v>15</v>
      </c>
      <c r="Q781">
        <v>48</v>
      </c>
      <c r="R781" t="s">
        <v>758</v>
      </c>
      <c r="S781" t="s">
        <v>745</v>
      </c>
      <c r="T781" t="s">
        <v>746</v>
      </c>
      <c r="U781" t="s">
        <v>759</v>
      </c>
    </row>
    <row r="782" spans="1:21" x14ac:dyDescent="0.3">
      <c r="A782" s="1" t="s">
        <v>748</v>
      </c>
      <c r="B782" t="s">
        <v>749</v>
      </c>
      <c r="C782" t="s">
        <v>750</v>
      </c>
      <c r="D782" t="s">
        <v>1340</v>
      </c>
      <c r="E782" t="s">
        <v>567</v>
      </c>
      <c r="F782" t="s">
        <v>1341</v>
      </c>
      <c r="G782" t="s">
        <v>794</v>
      </c>
      <c r="H782" t="s">
        <v>715</v>
      </c>
      <c r="I782" t="s">
        <v>1342</v>
      </c>
      <c r="J782" t="s">
        <v>1343</v>
      </c>
      <c r="K782" t="s">
        <v>1344</v>
      </c>
      <c r="L782" t="s">
        <v>826</v>
      </c>
      <c r="M782" t="s">
        <v>720</v>
      </c>
      <c r="N782" t="s">
        <v>721</v>
      </c>
      <c r="O782">
        <v>1</v>
      </c>
      <c r="P782">
        <v>2</v>
      </c>
      <c r="Q782">
        <v>110</v>
      </c>
      <c r="R782" t="s">
        <v>798</v>
      </c>
      <c r="S782" t="s">
        <v>745</v>
      </c>
      <c r="T782" t="s">
        <v>746</v>
      </c>
      <c r="U782" t="s">
        <v>759</v>
      </c>
    </row>
    <row r="783" spans="1:21" x14ac:dyDescent="0.3">
      <c r="A783" s="1" t="s">
        <v>748</v>
      </c>
      <c r="B783" t="s">
        <v>749</v>
      </c>
      <c r="C783" t="s">
        <v>750</v>
      </c>
      <c r="D783" t="s">
        <v>1345</v>
      </c>
      <c r="E783" t="s">
        <v>567</v>
      </c>
      <c r="F783" t="s">
        <v>1346</v>
      </c>
      <c r="G783" t="s">
        <v>753</v>
      </c>
      <c r="H783" t="s">
        <v>715</v>
      </c>
      <c r="I783" t="s">
        <v>1347</v>
      </c>
      <c r="J783" t="s">
        <v>1348</v>
      </c>
      <c r="K783" t="s">
        <v>1349</v>
      </c>
      <c r="L783" t="s">
        <v>765</v>
      </c>
      <c r="M783" t="s">
        <v>720</v>
      </c>
      <c r="N783" t="s">
        <v>721</v>
      </c>
      <c r="O783">
        <v>3</v>
      </c>
      <c r="P783">
        <v>15</v>
      </c>
      <c r="Q783">
        <v>66</v>
      </c>
      <c r="R783" t="s">
        <v>758</v>
      </c>
      <c r="S783" t="s">
        <v>745</v>
      </c>
      <c r="T783" t="s">
        <v>746</v>
      </c>
      <c r="U783" t="s">
        <v>759</v>
      </c>
    </row>
    <row r="784" spans="1:21" x14ac:dyDescent="0.3">
      <c r="A784" s="1" t="s">
        <v>748</v>
      </c>
      <c r="B784" t="s">
        <v>749</v>
      </c>
      <c r="C784" t="s">
        <v>750</v>
      </c>
      <c r="D784" t="s">
        <v>1350</v>
      </c>
      <c r="E784" t="s">
        <v>567</v>
      </c>
      <c r="F784" t="s">
        <v>1351</v>
      </c>
      <c r="G784" t="s">
        <v>753</v>
      </c>
      <c r="H784" t="s">
        <v>715</v>
      </c>
      <c r="I784" t="s">
        <v>1352</v>
      </c>
      <c r="J784" t="s">
        <v>1353</v>
      </c>
      <c r="K784" t="s">
        <v>1354</v>
      </c>
      <c r="L784" t="s">
        <v>765</v>
      </c>
      <c r="M784" t="s">
        <v>720</v>
      </c>
      <c r="N784" t="s">
        <v>721</v>
      </c>
      <c r="O784">
        <v>4</v>
      </c>
      <c r="P784">
        <v>15</v>
      </c>
      <c r="Q784">
        <v>92</v>
      </c>
      <c r="R784" t="s">
        <v>758</v>
      </c>
      <c r="S784" t="s">
        <v>745</v>
      </c>
      <c r="T784" t="s">
        <v>746</v>
      </c>
      <c r="U784" t="s">
        <v>759</v>
      </c>
    </row>
    <row r="785" spans="1:21" x14ac:dyDescent="0.3">
      <c r="A785" s="1" t="s">
        <v>748</v>
      </c>
      <c r="B785" t="s">
        <v>749</v>
      </c>
      <c r="C785" t="s">
        <v>750</v>
      </c>
      <c r="D785" t="s">
        <v>1355</v>
      </c>
      <c r="E785" t="s">
        <v>569</v>
      </c>
      <c r="F785" t="s">
        <v>752</v>
      </c>
      <c r="G785" t="s">
        <v>794</v>
      </c>
      <c r="H785" t="s">
        <v>715</v>
      </c>
      <c r="I785" t="s">
        <v>754</v>
      </c>
      <c r="J785" t="s">
        <v>755</v>
      </c>
      <c r="K785" t="s">
        <v>756</v>
      </c>
      <c r="L785" t="s">
        <v>757</v>
      </c>
      <c r="M785" t="s">
        <v>720</v>
      </c>
      <c r="N785" t="s">
        <v>721</v>
      </c>
      <c r="O785">
        <v>11</v>
      </c>
      <c r="P785">
        <v>7</v>
      </c>
      <c r="Q785">
        <v>104</v>
      </c>
      <c r="R785" t="s">
        <v>758</v>
      </c>
      <c r="S785" t="s">
        <v>745</v>
      </c>
      <c r="T785" t="s">
        <v>746</v>
      </c>
      <c r="U785" t="s">
        <v>759</v>
      </c>
    </row>
    <row r="786" spans="1:21" x14ac:dyDescent="0.3">
      <c r="A786" s="1" t="s">
        <v>748</v>
      </c>
      <c r="B786" t="s">
        <v>749</v>
      </c>
      <c r="C786" t="s">
        <v>750</v>
      </c>
      <c r="D786" t="s">
        <v>1356</v>
      </c>
      <c r="E786" t="s">
        <v>569</v>
      </c>
      <c r="F786" t="s">
        <v>1357</v>
      </c>
      <c r="G786" t="s">
        <v>794</v>
      </c>
      <c r="H786" t="s">
        <v>715</v>
      </c>
      <c r="I786" t="s">
        <v>1358</v>
      </c>
      <c r="J786" t="s">
        <v>1359</v>
      </c>
      <c r="K786" t="s">
        <v>1360</v>
      </c>
      <c r="L786" t="s">
        <v>741</v>
      </c>
      <c r="M786" t="s">
        <v>720</v>
      </c>
      <c r="N786" t="s">
        <v>743</v>
      </c>
      <c r="O786">
        <v>7</v>
      </c>
      <c r="P786">
        <v>0</v>
      </c>
      <c r="Q786">
        <v>41</v>
      </c>
      <c r="R786" t="s">
        <v>798</v>
      </c>
      <c r="S786" t="s">
        <v>745</v>
      </c>
      <c r="T786" t="s">
        <v>746</v>
      </c>
      <c r="U786" t="s">
        <v>832</v>
      </c>
    </row>
    <row r="787" spans="1:21" x14ac:dyDescent="0.3">
      <c r="A787" s="1" t="s">
        <v>748</v>
      </c>
      <c r="B787" t="s">
        <v>749</v>
      </c>
      <c r="C787" t="s">
        <v>750</v>
      </c>
      <c r="D787" t="s">
        <v>1361</v>
      </c>
      <c r="E787" t="s">
        <v>569</v>
      </c>
      <c r="F787" t="s">
        <v>761</v>
      </c>
      <c r="G787" t="s">
        <v>714</v>
      </c>
      <c r="H787" t="s">
        <v>715</v>
      </c>
      <c r="I787" t="s">
        <v>762</v>
      </c>
      <c r="J787" t="s">
        <v>763</v>
      </c>
      <c r="K787" t="s">
        <v>764</v>
      </c>
      <c r="L787" t="s">
        <v>765</v>
      </c>
      <c r="M787" t="s">
        <v>720</v>
      </c>
      <c r="N787" t="s">
        <v>721</v>
      </c>
      <c r="O787">
        <v>4</v>
      </c>
      <c r="P787">
        <v>15</v>
      </c>
      <c r="Q787">
        <v>13</v>
      </c>
      <c r="R787" t="s">
        <v>758</v>
      </c>
      <c r="S787" t="s">
        <v>745</v>
      </c>
      <c r="T787" t="s">
        <v>746</v>
      </c>
      <c r="U787" t="s">
        <v>759</v>
      </c>
    </row>
    <row r="788" spans="1:21" x14ac:dyDescent="0.3">
      <c r="A788" s="1" t="s">
        <v>748</v>
      </c>
      <c r="B788" t="s">
        <v>749</v>
      </c>
      <c r="C788" t="s">
        <v>750</v>
      </c>
      <c r="D788" t="s">
        <v>1362</v>
      </c>
      <c r="E788" t="s">
        <v>569</v>
      </c>
      <c r="F788" t="s">
        <v>767</v>
      </c>
      <c r="G788" t="s">
        <v>794</v>
      </c>
      <c r="H788" t="s">
        <v>715</v>
      </c>
      <c r="I788" t="s">
        <v>768</v>
      </c>
      <c r="J788" t="s">
        <v>769</v>
      </c>
      <c r="K788" t="s">
        <v>770</v>
      </c>
      <c r="L788" t="s">
        <v>757</v>
      </c>
      <c r="M788" t="s">
        <v>720</v>
      </c>
      <c r="N788" t="s">
        <v>721</v>
      </c>
      <c r="O788">
        <v>6</v>
      </c>
      <c r="P788">
        <v>7</v>
      </c>
      <c r="Q788">
        <v>66</v>
      </c>
      <c r="R788" t="s">
        <v>758</v>
      </c>
      <c r="S788" t="s">
        <v>745</v>
      </c>
      <c r="T788" t="s">
        <v>746</v>
      </c>
      <c r="U788" t="s">
        <v>771</v>
      </c>
    </row>
    <row r="789" spans="1:21" x14ac:dyDescent="0.3">
      <c r="A789" s="1" t="s">
        <v>748</v>
      </c>
      <c r="B789" t="s">
        <v>749</v>
      </c>
      <c r="C789" t="s">
        <v>750</v>
      </c>
      <c r="D789" t="s">
        <v>1363</v>
      </c>
      <c r="E789" t="s">
        <v>569</v>
      </c>
      <c r="F789" t="s">
        <v>783</v>
      </c>
      <c r="G789" t="s">
        <v>806</v>
      </c>
      <c r="H789" t="s">
        <v>715</v>
      </c>
      <c r="I789" t="s">
        <v>784</v>
      </c>
      <c r="J789" t="s">
        <v>785</v>
      </c>
      <c r="K789" t="s">
        <v>786</v>
      </c>
      <c r="L789" t="s">
        <v>765</v>
      </c>
      <c r="M789" t="s">
        <v>720</v>
      </c>
      <c r="N789" t="s">
        <v>721</v>
      </c>
      <c r="O789">
        <v>5</v>
      </c>
      <c r="P789">
        <v>15</v>
      </c>
      <c r="Q789">
        <v>58</v>
      </c>
      <c r="R789" t="s">
        <v>758</v>
      </c>
      <c r="S789" t="s">
        <v>745</v>
      </c>
      <c r="T789" t="s">
        <v>746</v>
      </c>
      <c r="U789" t="s">
        <v>759</v>
      </c>
    </row>
    <row r="790" spans="1:21" x14ac:dyDescent="0.3">
      <c r="A790" s="1" t="s">
        <v>748</v>
      </c>
      <c r="B790" t="s">
        <v>749</v>
      </c>
      <c r="C790" t="s">
        <v>750</v>
      </c>
      <c r="D790" t="s">
        <v>1364</v>
      </c>
      <c r="E790" t="s">
        <v>569</v>
      </c>
      <c r="F790" t="s">
        <v>788</v>
      </c>
      <c r="G790" t="s">
        <v>806</v>
      </c>
      <c r="H790" t="s">
        <v>715</v>
      </c>
      <c r="I790" t="s">
        <v>789</v>
      </c>
      <c r="J790" t="s">
        <v>790</v>
      </c>
      <c r="K790" t="s">
        <v>791</v>
      </c>
      <c r="L790" t="s">
        <v>765</v>
      </c>
      <c r="M790" t="s">
        <v>720</v>
      </c>
      <c r="N790" t="s">
        <v>721</v>
      </c>
      <c r="O790">
        <v>6</v>
      </c>
      <c r="P790">
        <v>15</v>
      </c>
      <c r="Q790">
        <v>72</v>
      </c>
      <c r="R790" t="s">
        <v>758</v>
      </c>
      <c r="S790" t="s">
        <v>745</v>
      </c>
      <c r="T790" t="s">
        <v>746</v>
      </c>
      <c r="U790" t="s">
        <v>759</v>
      </c>
    </row>
    <row r="791" spans="1:21" x14ac:dyDescent="0.3">
      <c r="A791" s="1" t="s">
        <v>748</v>
      </c>
      <c r="B791" t="s">
        <v>749</v>
      </c>
      <c r="C791" t="s">
        <v>750</v>
      </c>
      <c r="D791" t="s">
        <v>1365</v>
      </c>
      <c r="E791" t="s">
        <v>569</v>
      </c>
      <c r="F791" t="s">
        <v>812</v>
      </c>
      <c r="G791" t="s">
        <v>794</v>
      </c>
      <c r="H791" t="s">
        <v>715</v>
      </c>
      <c r="I791" t="s">
        <v>813</v>
      </c>
      <c r="J791" t="s">
        <v>814</v>
      </c>
      <c r="K791" t="s">
        <v>815</v>
      </c>
      <c r="L791" t="s">
        <v>765</v>
      </c>
      <c r="M791" t="s">
        <v>720</v>
      </c>
      <c r="N791" t="s">
        <v>721</v>
      </c>
      <c r="O791">
        <v>3</v>
      </c>
      <c r="P791">
        <v>15</v>
      </c>
      <c r="Q791">
        <v>1</v>
      </c>
      <c r="R791" t="s">
        <v>758</v>
      </c>
      <c r="S791" t="s">
        <v>745</v>
      </c>
      <c r="T791" t="s">
        <v>746</v>
      </c>
      <c r="U791" t="s">
        <v>759</v>
      </c>
    </row>
    <row r="792" spans="1:21" x14ac:dyDescent="0.3">
      <c r="A792" s="1" t="s">
        <v>748</v>
      </c>
      <c r="B792" t="s">
        <v>749</v>
      </c>
      <c r="C792" t="s">
        <v>750</v>
      </c>
      <c r="D792" t="s">
        <v>1366</v>
      </c>
      <c r="E792" t="s">
        <v>569</v>
      </c>
      <c r="F792" t="s">
        <v>817</v>
      </c>
      <c r="G792" t="s">
        <v>794</v>
      </c>
      <c r="H792" t="s">
        <v>715</v>
      </c>
      <c r="I792" t="s">
        <v>818</v>
      </c>
      <c r="J792" t="s">
        <v>819</v>
      </c>
      <c r="K792" t="s">
        <v>820</v>
      </c>
      <c r="L792" t="s">
        <v>741</v>
      </c>
      <c r="M792" t="s">
        <v>720</v>
      </c>
      <c r="N792" t="s">
        <v>743</v>
      </c>
      <c r="O792">
        <v>7</v>
      </c>
      <c r="P792">
        <v>0</v>
      </c>
      <c r="Q792">
        <v>40</v>
      </c>
      <c r="R792" t="s">
        <v>798</v>
      </c>
      <c r="S792" t="s">
        <v>745</v>
      </c>
      <c r="T792" t="s">
        <v>746</v>
      </c>
      <c r="U792" t="s">
        <v>759</v>
      </c>
    </row>
    <row r="793" spans="1:21" x14ac:dyDescent="0.3">
      <c r="A793" s="1" t="s">
        <v>748</v>
      </c>
      <c r="B793" t="s">
        <v>749</v>
      </c>
      <c r="C793" t="s">
        <v>750</v>
      </c>
      <c r="D793" t="s">
        <v>1367</v>
      </c>
      <c r="E793" t="s">
        <v>569</v>
      </c>
      <c r="F793" t="s">
        <v>828</v>
      </c>
      <c r="G793" t="s">
        <v>794</v>
      </c>
      <c r="H793" t="s">
        <v>715</v>
      </c>
      <c r="I793" t="s">
        <v>829</v>
      </c>
      <c r="J793" t="s">
        <v>830</v>
      </c>
      <c r="K793" t="s">
        <v>831</v>
      </c>
      <c r="L793" t="s">
        <v>765</v>
      </c>
      <c r="M793" t="s">
        <v>720</v>
      </c>
      <c r="N793" t="s">
        <v>721</v>
      </c>
      <c r="O793">
        <v>3</v>
      </c>
      <c r="P793">
        <v>15</v>
      </c>
      <c r="Q793">
        <v>21</v>
      </c>
      <c r="R793" t="s">
        <v>758</v>
      </c>
      <c r="S793" t="s">
        <v>745</v>
      </c>
      <c r="T793" t="s">
        <v>746</v>
      </c>
      <c r="U793" t="s">
        <v>832</v>
      </c>
    </row>
    <row r="794" spans="1:21" x14ac:dyDescent="0.3">
      <c r="A794" s="1" t="s">
        <v>748</v>
      </c>
      <c r="B794" t="s">
        <v>749</v>
      </c>
      <c r="C794" t="s">
        <v>750</v>
      </c>
      <c r="D794" t="s">
        <v>1368</v>
      </c>
      <c r="E794" t="s">
        <v>569</v>
      </c>
      <c r="F794" t="s">
        <v>834</v>
      </c>
      <c r="G794" t="s">
        <v>794</v>
      </c>
      <c r="H794" t="s">
        <v>715</v>
      </c>
      <c r="I794" t="s">
        <v>835</v>
      </c>
      <c r="J794" t="s">
        <v>836</v>
      </c>
      <c r="K794" t="s">
        <v>837</v>
      </c>
      <c r="L794" t="s">
        <v>741</v>
      </c>
      <c r="M794" t="s">
        <v>720</v>
      </c>
      <c r="N794" t="s">
        <v>743</v>
      </c>
      <c r="O794">
        <v>1</v>
      </c>
      <c r="P794">
        <v>0</v>
      </c>
      <c r="Q794">
        <v>72</v>
      </c>
      <c r="R794" t="s">
        <v>798</v>
      </c>
      <c r="S794" t="s">
        <v>745</v>
      </c>
      <c r="T794" t="s">
        <v>746</v>
      </c>
      <c r="U794" t="s">
        <v>759</v>
      </c>
    </row>
    <row r="795" spans="1:21" x14ac:dyDescent="0.3">
      <c r="A795" s="1" t="s">
        <v>748</v>
      </c>
      <c r="B795" t="s">
        <v>749</v>
      </c>
      <c r="C795" t="s">
        <v>750</v>
      </c>
      <c r="D795" t="s">
        <v>1369</v>
      </c>
      <c r="E795" t="s">
        <v>569</v>
      </c>
      <c r="F795" t="s">
        <v>839</v>
      </c>
      <c r="G795" t="s">
        <v>714</v>
      </c>
      <c r="H795" t="s">
        <v>715</v>
      </c>
      <c r="I795" t="s">
        <v>840</v>
      </c>
      <c r="J795" t="s">
        <v>841</v>
      </c>
      <c r="K795" t="s">
        <v>842</v>
      </c>
      <c r="L795" t="s">
        <v>765</v>
      </c>
      <c r="M795" t="s">
        <v>720</v>
      </c>
      <c r="N795" t="s">
        <v>721</v>
      </c>
      <c r="O795">
        <v>1</v>
      </c>
      <c r="P795">
        <v>15</v>
      </c>
      <c r="Q795">
        <v>72</v>
      </c>
      <c r="R795" t="s">
        <v>758</v>
      </c>
      <c r="S795" t="s">
        <v>745</v>
      </c>
      <c r="T795" t="s">
        <v>746</v>
      </c>
      <c r="U795" t="s">
        <v>759</v>
      </c>
    </row>
    <row r="796" spans="1:21" x14ac:dyDescent="0.3">
      <c r="A796" s="1" t="s">
        <v>748</v>
      </c>
      <c r="B796" t="s">
        <v>749</v>
      </c>
      <c r="C796" t="s">
        <v>750</v>
      </c>
      <c r="D796" t="s">
        <v>1370</v>
      </c>
      <c r="E796" t="s">
        <v>569</v>
      </c>
      <c r="F796" t="s">
        <v>844</v>
      </c>
      <c r="G796" t="s">
        <v>794</v>
      </c>
      <c r="H796" t="s">
        <v>715</v>
      </c>
      <c r="I796" t="s">
        <v>845</v>
      </c>
      <c r="J796" t="s">
        <v>846</v>
      </c>
      <c r="K796" t="s">
        <v>847</v>
      </c>
      <c r="L796" t="s">
        <v>765</v>
      </c>
      <c r="M796" t="s">
        <v>720</v>
      </c>
      <c r="N796" t="s">
        <v>721</v>
      </c>
      <c r="O796">
        <v>3</v>
      </c>
      <c r="P796">
        <v>15</v>
      </c>
      <c r="Q796">
        <v>73</v>
      </c>
      <c r="R796" t="s">
        <v>758</v>
      </c>
      <c r="S796" t="s">
        <v>745</v>
      </c>
      <c r="T796" t="s">
        <v>746</v>
      </c>
      <c r="U796" t="s">
        <v>759</v>
      </c>
    </row>
    <row r="797" spans="1:21" x14ac:dyDescent="0.3">
      <c r="A797" s="1" t="s">
        <v>748</v>
      </c>
      <c r="B797" t="s">
        <v>749</v>
      </c>
      <c r="C797" t="s">
        <v>750</v>
      </c>
      <c r="D797" t="s">
        <v>1371</v>
      </c>
      <c r="E797" t="s">
        <v>569</v>
      </c>
      <c r="F797" t="s">
        <v>855</v>
      </c>
      <c r="G797" t="s">
        <v>806</v>
      </c>
      <c r="H797" t="s">
        <v>715</v>
      </c>
      <c r="I797" t="s">
        <v>856</v>
      </c>
      <c r="J797" t="s">
        <v>857</v>
      </c>
      <c r="K797" t="s">
        <v>858</v>
      </c>
      <c r="L797" t="s">
        <v>765</v>
      </c>
      <c r="M797" t="s">
        <v>720</v>
      </c>
      <c r="N797" t="s">
        <v>721</v>
      </c>
      <c r="O797">
        <v>11</v>
      </c>
      <c r="P797">
        <v>15</v>
      </c>
      <c r="Q797">
        <v>33</v>
      </c>
      <c r="R797" t="s">
        <v>758</v>
      </c>
      <c r="S797" t="s">
        <v>745</v>
      </c>
      <c r="T797" t="s">
        <v>746</v>
      </c>
      <c r="U797" t="s">
        <v>759</v>
      </c>
    </row>
    <row r="798" spans="1:21" x14ac:dyDescent="0.3">
      <c r="A798" s="1" t="s">
        <v>748</v>
      </c>
      <c r="B798" t="s">
        <v>749</v>
      </c>
      <c r="C798" t="s">
        <v>750</v>
      </c>
      <c r="D798" t="s">
        <v>1372</v>
      </c>
      <c r="E798" t="s">
        <v>569</v>
      </c>
      <c r="F798" t="s">
        <v>1373</v>
      </c>
      <c r="G798" t="s">
        <v>806</v>
      </c>
      <c r="H798" t="s">
        <v>715</v>
      </c>
      <c r="I798" t="s">
        <v>1374</v>
      </c>
      <c r="J798" t="s">
        <v>1375</v>
      </c>
      <c r="K798" t="s">
        <v>1376</v>
      </c>
      <c r="L798" t="s">
        <v>810</v>
      </c>
      <c r="M798" t="s">
        <v>720</v>
      </c>
      <c r="N798" t="s">
        <v>721</v>
      </c>
      <c r="O798">
        <v>6</v>
      </c>
      <c r="P798">
        <v>3</v>
      </c>
      <c r="Q798">
        <v>42</v>
      </c>
      <c r="R798" t="s">
        <v>798</v>
      </c>
      <c r="S798" t="s">
        <v>745</v>
      </c>
      <c r="T798" t="s">
        <v>746</v>
      </c>
      <c r="U798" t="s">
        <v>919</v>
      </c>
    </row>
    <row r="799" spans="1:21" x14ac:dyDescent="0.3">
      <c r="A799" s="1" t="s">
        <v>748</v>
      </c>
      <c r="B799" t="s">
        <v>749</v>
      </c>
      <c r="C799" t="s">
        <v>750</v>
      </c>
      <c r="D799" t="s">
        <v>1377</v>
      </c>
      <c r="E799" t="s">
        <v>569</v>
      </c>
      <c r="F799" t="s">
        <v>880</v>
      </c>
      <c r="G799" t="s">
        <v>794</v>
      </c>
      <c r="H799" t="s">
        <v>715</v>
      </c>
      <c r="I799" t="s">
        <v>881</v>
      </c>
      <c r="J799" t="s">
        <v>882</v>
      </c>
      <c r="K799" t="s">
        <v>883</v>
      </c>
      <c r="L799" t="s">
        <v>826</v>
      </c>
      <c r="M799" t="s">
        <v>720</v>
      </c>
      <c r="N799" t="s">
        <v>721</v>
      </c>
      <c r="O799">
        <v>1</v>
      </c>
      <c r="P799">
        <v>2</v>
      </c>
      <c r="Q799">
        <v>62</v>
      </c>
      <c r="R799" t="s">
        <v>798</v>
      </c>
      <c r="S799" t="s">
        <v>745</v>
      </c>
      <c r="T799" t="s">
        <v>746</v>
      </c>
      <c r="U799" t="s">
        <v>759</v>
      </c>
    </row>
    <row r="800" spans="1:21" x14ac:dyDescent="0.3">
      <c r="A800" s="1" t="s">
        <v>748</v>
      </c>
      <c r="B800" t="s">
        <v>749</v>
      </c>
      <c r="C800" t="s">
        <v>750</v>
      </c>
      <c r="D800" t="s">
        <v>1378</v>
      </c>
      <c r="E800" t="s">
        <v>569</v>
      </c>
      <c r="F800" t="s">
        <v>885</v>
      </c>
      <c r="G800" t="s">
        <v>806</v>
      </c>
      <c r="H800" t="s">
        <v>715</v>
      </c>
      <c r="I800" t="s">
        <v>886</v>
      </c>
      <c r="J800" t="s">
        <v>887</v>
      </c>
      <c r="K800" t="s">
        <v>888</v>
      </c>
      <c r="L800" t="s">
        <v>765</v>
      </c>
      <c r="M800" t="s">
        <v>720</v>
      </c>
      <c r="N800" t="s">
        <v>721</v>
      </c>
      <c r="O800">
        <v>1</v>
      </c>
      <c r="P800">
        <v>15</v>
      </c>
      <c r="Q800">
        <v>102</v>
      </c>
      <c r="R800" t="s">
        <v>758</v>
      </c>
      <c r="S800" t="s">
        <v>745</v>
      </c>
      <c r="T800" t="s">
        <v>746</v>
      </c>
      <c r="U800" t="s">
        <v>853</v>
      </c>
    </row>
    <row r="801" spans="1:21" x14ac:dyDescent="0.3">
      <c r="A801" s="1" t="s">
        <v>748</v>
      </c>
      <c r="B801" t="s">
        <v>749</v>
      </c>
      <c r="C801" t="s">
        <v>750</v>
      </c>
      <c r="D801" t="s">
        <v>1379</v>
      </c>
      <c r="E801" t="s">
        <v>569</v>
      </c>
      <c r="F801" t="s">
        <v>890</v>
      </c>
      <c r="G801" t="s">
        <v>806</v>
      </c>
      <c r="H801" t="s">
        <v>715</v>
      </c>
      <c r="I801" t="s">
        <v>891</v>
      </c>
      <c r="J801" t="s">
        <v>892</v>
      </c>
      <c r="K801" t="s">
        <v>893</v>
      </c>
      <c r="L801" t="s">
        <v>765</v>
      </c>
      <c r="M801" t="s">
        <v>720</v>
      </c>
      <c r="N801" t="s">
        <v>721</v>
      </c>
      <c r="O801">
        <v>1</v>
      </c>
      <c r="P801">
        <v>15</v>
      </c>
      <c r="Q801">
        <v>14</v>
      </c>
      <c r="R801" t="s">
        <v>758</v>
      </c>
      <c r="S801" t="s">
        <v>745</v>
      </c>
      <c r="T801" t="s">
        <v>746</v>
      </c>
      <c r="U801" t="s">
        <v>759</v>
      </c>
    </row>
    <row r="802" spans="1:21" x14ac:dyDescent="0.3">
      <c r="A802" s="1" t="s">
        <v>748</v>
      </c>
      <c r="B802" t="s">
        <v>749</v>
      </c>
      <c r="C802" t="s">
        <v>750</v>
      </c>
      <c r="D802" t="s">
        <v>1380</v>
      </c>
      <c r="E802" t="s">
        <v>569</v>
      </c>
      <c r="F802" t="s">
        <v>895</v>
      </c>
      <c r="G802" t="s">
        <v>753</v>
      </c>
      <c r="H802" t="s">
        <v>715</v>
      </c>
      <c r="I802" t="s">
        <v>896</v>
      </c>
      <c r="J802" t="s">
        <v>897</v>
      </c>
      <c r="K802" t="s">
        <v>898</v>
      </c>
      <c r="L802" t="s">
        <v>765</v>
      </c>
      <c r="M802" t="s">
        <v>720</v>
      </c>
      <c r="N802" t="s">
        <v>721</v>
      </c>
      <c r="O802">
        <v>1</v>
      </c>
      <c r="P802">
        <v>15</v>
      </c>
      <c r="Q802">
        <v>83</v>
      </c>
      <c r="R802" t="s">
        <v>758</v>
      </c>
      <c r="S802" t="s">
        <v>745</v>
      </c>
      <c r="T802" t="s">
        <v>746</v>
      </c>
      <c r="U802" t="s">
        <v>759</v>
      </c>
    </row>
    <row r="803" spans="1:21" x14ac:dyDescent="0.3">
      <c r="A803" s="1" t="s">
        <v>748</v>
      </c>
      <c r="B803" t="s">
        <v>749</v>
      </c>
      <c r="C803" t="s">
        <v>750</v>
      </c>
      <c r="D803" t="s">
        <v>1381</v>
      </c>
      <c r="E803" t="s">
        <v>569</v>
      </c>
      <c r="F803" t="s">
        <v>900</v>
      </c>
      <c r="G803" t="s">
        <v>806</v>
      </c>
      <c r="H803" t="s">
        <v>715</v>
      </c>
      <c r="I803" t="s">
        <v>901</v>
      </c>
      <c r="J803" t="s">
        <v>902</v>
      </c>
      <c r="K803" t="s">
        <v>903</v>
      </c>
      <c r="L803" t="s">
        <v>904</v>
      </c>
      <c r="M803" t="s">
        <v>720</v>
      </c>
      <c r="N803" t="s">
        <v>721</v>
      </c>
      <c r="O803">
        <v>11</v>
      </c>
      <c r="P803">
        <v>10</v>
      </c>
      <c r="Q803">
        <v>96</v>
      </c>
      <c r="R803" t="s">
        <v>722</v>
      </c>
      <c r="S803" t="s">
        <v>745</v>
      </c>
      <c r="T803" t="s">
        <v>746</v>
      </c>
      <c r="U803" t="s">
        <v>759</v>
      </c>
    </row>
    <row r="804" spans="1:21" x14ac:dyDescent="0.3">
      <c r="A804" s="1" t="s">
        <v>748</v>
      </c>
      <c r="B804" t="s">
        <v>749</v>
      </c>
      <c r="C804" t="s">
        <v>750</v>
      </c>
      <c r="D804" t="s">
        <v>1382</v>
      </c>
      <c r="E804" t="s">
        <v>569</v>
      </c>
      <c r="F804" t="s">
        <v>906</v>
      </c>
      <c r="G804" t="s">
        <v>794</v>
      </c>
      <c r="H804" t="s">
        <v>715</v>
      </c>
      <c r="I804" t="s">
        <v>907</v>
      </c>
      <c r="J804" t="s">
        <v>908</v>
      </c>
      <c r="K804" t="s">
        <v>909</v>
      </c>
      <c r="L804" t="s">
        <v>765</v>
      </c>
      <c r="M804" t="s">
        <v>720</v>
      </c>
      <c r="N804" t="s">
        <v>721</v>
      </c>
      <c r="O804">
        <v>6</v>
      </c>
      <c r="P804">
        <v>15</v>
      </c>
      <c r="Q804">
        <v>82</v>
      </c>
      <c r="R804" t="s">
        <v>758</v>
      </c>
      <c r="S804" t="s">
        <v>745</v>
      </c>
      <c r="T804" t="s">
        <v>746</v>
      </c>
      <c r="U804" t="s">
        <v>759</v>
      </c>
    </row>
    <row r="805" spans="1:21" x14ac:dyDescent="0.3">
      <c r="A805" s="1" t="s">
        <v>748</v>
      </c>
      <c r="B805" t="s">
        <v>749</v>
      </c>
      <c r="C805" t="s">
        <v>750</v>
      </c>
      <c r="D805" t="s">
        <v>1383</v>
      </c>
      <c r="E805" t="s">
        <v>569</v>
      </c>
      <c r="F805" t="s">
        <v>921</v>
      </c>
      <c r="G805" t="s">
        <v>714</v>
      </c>
      <c r="H805" t="s">
        <v>715</v>
      </c>
      <c r="I805" t="s">
        <v>922</v>
      </c>
      <c r="J805" t="s">
        <v>923</v>
      </c>
      <c r="K805" t="s">
        <v>924</v>
      </c>
      <c r="L805" t="s">
        <v>765</v>
      </c>
      <c r="M805" t="s">
        <v>720</v>
      </c>
      <c r="N805" t="s">
        <v>721</v>
      </c>
      <c r="O805">
        <v>10</v>
      </c>
      <c r="P805">
        <v>15</v>
      </c>
      <c r="Q805">
        <v>43</v>
      </c>
      <c r="R805" t="s">
        <v>758</v>
      </c>
      <c r="S805" t="s">
        <v>745</v>
      </c>
      <c r="T805" t="s">
        <v>746</v>
      </c>
      <c r="U805" t="s">
        <v>759</v>
      </c>
    </row>
    <row r="806" spans="1:21" x14ac:dyDescent="0.3">
      <c r="A806" s="1" t="s">
        <v>748</v>
      </c>
      <c r="B806" t="s">
        <v>749</v>
      </c>
      <c r="C806" t="s">
        <v>750</v>
      </c>
      <c r="D806" t="s">
        <v>1384</v>
      </c>
      <c r="E806" t="s">
        <v>569</v>
      </c>
      <c r="F806" t="s">
        <v>926</v>
      </c>
      <c r="G806" t="s">
        <v>714</v>
      </c>
      <c r="H806" t="s">
        <v>715</v>
      </c>
      <c r="I806" t="s">
        <v>927</v>
      </c>
      <c r="J806" t="s">
        <v>928</v>
      </c>
      <c r="K806" t="s">
        <v>929</v>
      </c>
      <c r="L806" t="s">
        <v>826</v>
      </c>
      <c r="M806" t="s">
        <v>720</v>
      </c>
      <c r="N806" t="s">
        <v>721</v>
      </c>
      <c r="O806">
        <v>2</v>
      </c>
      <c r="P806">
        <v>2</v>
      </c>
      <c r="Q806">
        <v>26</v>
      </c>
      <c r="R806" t="s">
        <v>798</v>
      </c>
      <c r="S806" t="s">
        <v>745</v>
      </c>
      <c r="T806" t="s">
        <v>746</v>
      </c>
      <c r="U806" t="s">
        <v>759</v>
      </c>
    </row>
    <row r="807" spans="1:21" x14ac:dyDescent="0.3">
      <c r="A807" s="1" t="s">
        <v>748</v>
      </c>
      <c r="B807" t="s">
        <v>749</v>
      </c>
      <c r="C807" t="s">
        <v>750</v>
      </c>
      <c r="D807" t="s">
        <v>1385</v>
      </c>
      <c r="E807" t="s">
        <v>569</v>
      </c>
      <c r="F807" t="s">
        <v>931</v>
      </c>
      <c r="G807" t="s">
        <v>753</v>
      </c>
      <c r="H807" t="s">
        <v>715</v>
      </c>
      <c r="I807" t="s">
        <v>932</v>
      </c>
      <c r="J807" t="s">
        <v>933</v>
      </c>
      <c r="K807" t="s">
        <v>934</v>
      </c>
      <c r="L807" t="s">
        <v>826</v>
      </c>
      <c r="M807" t="s">
        <v>720</v>
      </c>
      <c r="N807" t="s">
        <v>721</v>
      </c>
      <c r="O807">
        <v>10</v>
      </c>
      <c r="P807">
        <v>2</v>
      </c>
      <c r="Q807">
        <v>58</v>
      </c>
      <c r="R807" t="s">
        <v>798</v>
      </c>
      <c r="S807" t="s">
        <v>745</v>
      </c>
      <c r="T807" t="s">
        <v>746</v>
      </c>
      <c r="U807" t="s">
        <v>759</v>
      </c>
    </row>
    <row r="808" spans="1:21" x14ac:dyDescent="0.3">
      <c r="A808" s="1" t="s">
        <v>748</v>
      </c>
      <c r="B808" t="s">
        <v>749</v>
      </c>
      <c r="C808" t="s">
        <v>750</v>
      </c>
      <c r="D808" t="s">
        <v>1386</v>
      </c>
      <c r="E808" t="s">
        <v>569</v>
      </c>
      <c r="F808" t="s">
        <v>946</v>
      </c>
      <c r="G808" t="s">
        <v>806</v>
      </c>
      <c r="H808" t="s">
        <v>715</v>
      </c>
      <c r="I808" t="s">
        <v>947</v>
      </c>
      <c r="J808" t="s">
        <v>948</v>
      </c>
      <c r="K808" t="s">
        <v>949</v>
      </c>
      <c r="L808" t="s">
        <v>741</v>
      </c>
      <c r="M808" t="s">
        <v>720</v>
      </c>
      <c r="N808" t="s">
        <v>743</v>
      </c>
      <c r="O808">
        <v>0</v>
      </c>
      <c r="P808">
        <v>0</v>
      </c>
      <c r="Q808">
        <v>111</v>
      </c>
      <c r="R808" t="s">
        <v>798</v>
      </c>
      <c r="S808" t="s">
        <v>745</v>
      </c>
      <c r="T808" t="s">
        <v>746</v>
      </c>
      <c r="U808" t="s">
        <v>759</v>
      </c>
    </row>
    <row r="809" spans="1:21" x14ac:dyDescent="0.3">
      <c r="A809" s="1" t="s">
        <v>748</v>
      </c>
      <c r="B809" t="s">
        <v>749</v>
      </c>
      <c r="C809" t="s">
        <v>750</v>
      </c>
      <c r="D809" t="s">
        <v>1387</v>
      </c>
      <c r="E809" t="s">
        <v>569</v>
      </c>
      <c r="F809" t="s">
        <v>1388</v>
      </c>
      <c r="G809" t="s">
        <v>714</v>
      </c>
      <c r="H809" t="s">
        <v>715</v>
      </c>
      <c r="I809" t="s">
        <v>1389</v>
      </c>
      <c r="J809" t="s">
        <v>1390</v>
      </c>
      <c r="K809" t="s">
        <v>1391</v>
      </c>
      <c r="L809" t="s">
        <v>1082</v>
      </c>
      <c r="M809" t="s">
        <v>720</v>
      </c>
      <c r="N809" t="s">
        <v>721</v>
      </c>
      <c r="O809">
        <v>5</v>
      </c>
      <c r="P809">
        <v>0</v>
      </c>
      <c r="Q809">
        <v>17</v>
      </c>
      <c r="R809" t="s">
        <v>798</v>
      </c>
      <c r="S809" t="s">
        <v>723</v>
      </c>
      <c r="T809" t="s">
        <v>1083</v>
      </c>
      <c r="U809" t="s">
        <v>707</v>
      </c>
    </row>
    <row r="810" spans="1:21" x14ac:dyDescent="0.3">
      <c r="A810" s="1" t="s">
        <v>748</v>
      </c>
      <c r="B810" t="s">
        <v>749</v>
      </c>
      <c r="C810" t="s">
        <v>750</v>
      </c>
      <c r="D810" t="s">
        <v>1392</v>
      </c>
      <c r="E810" t="s">
        <v>569</v>
      </c>
      <c r="F810" t="s">
        <v>961</v>
      </c>
      <c r="G810" t="s">
        <v>794</v>
      </c>
      <c r="H810" t="s">
        <v>715</v>
      </c>
      <c r="I810" t="s">
        <v>962</v>
      </c>
      <c r="J810" t="s">
        <v>963</v>
      </c>
      <c r="K810" t="s">
        <v>964</v>
      </c>
      <c r="L810" t="s">
        <v>765</v>
      </c>
      <c r="M810" t="s">
        <v>720</v>
      </c>
      <c r="N810" t="s">
        <v>721</v>
      </c>
      <c r="O810">
        <v>9</v>
      </c>
      <c r="P810">
        <v>15</v>
      </c>
      <c r="Q810">
        <v>48</v>
      </c>
      <c r="R810" t="s">
        <v>758</v>
      </c>
      <c r="S810" t="s">
        <v>745</v>
      </c>
      <c r="T810" t="s">
        <v>746</v>
      </c>
      <c r="U810" t="s">
        <v>759</v>
      </c>
    </row>
    <row r="811" spans="1:21" x14ac:dyDescent="0.3">
      <c r="A811" s="1" t="s">
        <v>748</v>
      </c>
      <c r="B811" t="s">
        <v>749</v>
      </c>
      <c r="C811" t="s">
        <v>750</v>
      </c>
      <c r="D811" t="s">
        <v>1393</v>
      </c>
      <c r="E811" t="s">
        <v>568</v>
      </c>
      <c r="F811" t="s">
        <v>981</v>
      </c>
      <c r="G811" t="s">
        <v>806</v>
      </c>
      <c r="H811" t="s">
        <v>715</v>
      </c>
      <c r="I811" t="s">
        <v>982</v>
      </c>
      <c r="J811" t="s">
        <v>983</v>
      </c>
      <c r="K811" t="s">
        <v>984</v>
      </c>
      <c r="L811" t="s">
        <v>985</v>
      </c>
      <c r="M811" t="s">
        <v>720</v>
      </c>
      <c r="N811" t="s">
        <v>743</v>
      </c>
      <c r="O811">
        <v>28</v>
      </c>
      <c r="P811">
        <v>0</v>
      </c>
      <c r="Q811">
        <v>150</v>
      </c>
      <c r="R811" t="s">
        <v>798</v>
      </c>
      <c r="S811" t="s">
        <v>745</v>
      </c>
      <c r="T811" t="s">
        <v>746</v>
      </c>
      <c r="U811" t="s">
        <v>759</v>
      </c>
    </row>
    <row r="812" spans="1:21" x14ac:dyDescent="0.3">
      <c r="A812" s="1" t="s">
        <v>748</v>
      </c>
      <c r="B812" t="s">
        <v>749</v>
      </c>
      <c r="C812" t="s">
        <v>750</v>
      </c>
      <c r="D812" t="s">
        <v>1394</v>
      </c>
      <c r="E812" t="s">
        <v>568</v>
      </c>
      <c r="F812" t="s">
        <v>987</v>
      </c>
      <c r="G812" t="s">
        <v>714</v>
      </c>
      <c r="H812" t="s">
        <v>715</v>
      </c>
      <c r="I812" t="s">
        <v>988</v>
      </c>
      <c r="J812" t="s">
        <v>989</v>
      </c>
      <c r="K812" t="s">
        <v>990</v>
      </c>
      <c r="L812" t="s">
        <v>810</v>
      </c>
      <c r="M812" t="s">
        <v>720</v>
      </c>
      <c r="N812" t="s">
        <v>721</v>
      </c>
      <c r="O812">
        <v>6</v>
      </c>
      <c r="P812">
        <v>3</v>
      </c>
      <c r="Q812">
        <v>108</v>
      </c>
      <c r="R812" t="s">
        <v>798</v>
      </c>
      <c r="S812" t="s">
        <v>745</v>
      </c>
      <c r="T812" t="s">
        <v>746</v>
      </c>
      <c r="U812" t="s">
        <v>759</v>
      </c>
    </row>
    <row r="813" spans="1:21" x14ac:dyDescent="0.3">
      <c r="A813" s="1" t="s">
        <v>748</v>
      </c>
      <c r="B813" t="s">
        <v>749</v>
      </c>
      <c r="C813" t="s">
        <v>750</v>
      </c>
      <c r="D813" t="s">
        <v>1395</v>
      </c>
      <c r="E813" t="s">
        <v>568</v>
      </c>
      <c r="F813" t="s">
        <v>992</v>
      </c>
      <c r="G813" t="s">
        <v>794</v>
      </c>
      <c r="H813" t="s">
        <v>715</v>
      </c>
      <c r="I813" t="s">
        <v>993</v>
      </c>
      <c r="J813" t="s">
        <v>994</v>
      </c>
      <c r="K813" t="s">
        <v>995</v>
      </c>
      <c r="L813" t="s">
        <v>826</v>
      </c>
      <c r="M813" t="s">
        <v>720</v>
      </c>
      <c r="N813" t="s">
        <v>721</v>
      </c>
      <c r="O813">
        <v>7</v>
      </c>
      <c r="P813">
        <v>2</v>
      </c>
      <c r="Q813">
        <v>87</v>
      </c>
      <c r="R813" t="s">
        <v>798</v>
      </c>
      <c r="S813" t="s">
        <v>745</v>
      </c>
      <c r="T813" t="s">
        <v>746</v>
      </c>
      <c r="U813" t="s">
        <v>759</v>
      </c>
    </row>
    <row r="814" spans="1:21" x14ac:dyDescent="0.3">
      <c r="A814" s="1" t="s">
        <v>748</v>
      </c>
      <c r="B814" t="s">
        <v>749</v>
      </c>
      <c r="C814" t="s">
        <v>750</v>
      </c>
      <c r="D814" t="s">
        <v>1396</v>
      </c>
      <c r="E814" t="s">
        <v>568</v>
      </c>
      <c r="F814" t="s">
        <v>997</v>
      </c>
      <c r="G814" t="s">
        <v>714</v>
      </c>
      <c r="H814" t="s">
        <v>715</v>
      </c>
      <c r="I814" t="s">
        <v>998</v>
      </c>
      <c r="J814" t="s">
        <v>999</v>
      </c>
      <c r="K814" t="s">
        <v>1000</v>
      </c>
      <c r="L814" t="s">
        <v>765</v>
      </c>
      <c r="M814" t="s">
        <v>720</v>
      </c>
      <c r="N814" t="s">
        <v>721</v>
      </c>
      <c r="O814">
        <v>1</v>
      </c>
      <c r="P814">
        <v>15</v>
      </c>
      <c r="Q814">
        <v>58</v>
      </c>
      <c r="R814" t="s">
        <v>758</v>
      </c>
      <c r="S814" t="s">
        <v>745</v>
      </c>
      <c r="T814" t="s">
        <v>746</v>
      </c>
      <c r="U814" t="s">
        <v>759</v>
      </c>
    </row>
    <row r="815" spans="1:21" x14ac:dyDescent="0.3">
      <c r="A815" s="1" t="s">
        <v>748</v>
      </c>
      <c r="B815" t="s">
        <v>749</v>
      </c>
      <c r="C815" t="s">
        <v>750</v>
      </c>
      <c r="D815" t="s">
        <v>1397</v>
      </c>
      <c r="E815" t="s">
        <v>568</v>
      </c>
      <c r="F815" t="s">
        <v>1002</v>
      </c>
      <c r="G815" t="s">
        <v>794</v>
      </c>
      <c r="H815" t="s">
        <v>715</v>
      </c>
      <c r="I815" t="s">
        <v>1003</v>
      </c>
      <c r="J815" t="s">
        <v>1004</v>
      </c>
      <c r="K815" t="s">
        <v>1005</v>
      </c>
      <c r="L815" t="s">
        <v>757</v>
      </c>
      <c r="M815" t="s">
        <v>720</v>
      </c>
      <c r="N815" t="s">
        <v>721</v>
      </c>
      <c r="O815">
        <v>13</v>
      </c>
      <c r="P815">
        <v>7</v>
      </c>
      <c r="Q815">
        <v>104</v>
      </c>
      <c r="R815" t="s">
        <v>758</v>
      </c>
      <c r="S815" t="s">
        <v>745</v>
      </c>
      <c r="T815" t="s">
        <v>746</v>
      </c>
      <c r="U815" t="s">
        <v>759</v>
      </c>
    </row>
    <row r="816" spans="1:21" x14ac:dyDescent="0.3">
      <c r="A816" s="1" t="s">
        <v>748</v>
      </c>
      <c r="B816" t="s">
        <v>749</v>
      </c>
      <c r="C816" t="s">
        <v>750</v>
      </c>
      <c r="D816" t="s">
        <v>1398</v>
      </c>
      <c r="E816" t="s">
        <v>568</v>
      </c>
      <c r="F816" t="s">
        <v>1018</v>
      </c>
      <c r="G816" t="s">
        <v>794</v>
      </c>
      <c r="H816" t="s">
        <v>715</v>
      </c>
      <c r="I816" t="s">
        <v>1019</v>
      </c>
      <c r="J816" t="s">
        <v>1020</v>
      </c>
      <c r="K816" t="s">
        <v>1021</v>
      </c>
      <c r="L816" t="s">
        <v>765</v>
      </c>
      <c r="M816" t="s">
        <v>720</v>
      </c>
      <c r="N816" t="s">
        <v>721</v>
      </c>
      <c r="O816">
        <v>18</v>
      </c>
      <c r="P816">
        <v>15</v>
      </c>
      <c r="Q816">
        <v>89</v>
      </c>
      <c r="R816" t="s">
        <v>758</v>
      </c>
      <c r="S816" t="s">
        <v>745</v>
      </c>
      <c r="T816" t="s">
        <v>746</v>
      </c>
      <c r="U816" t="s">
        <v>759</v>
      </c>
    </row>
    <row r="817" spans="1:21" x14ac:dyDescent="0.3">
      <c r="A817" s="1" t="s">
        <v>748</v>
      </c>
      <c r="B817" t="s">
        <v>749</v>
      </c>
      <c r="C817" t="s">
        <v>750</v>
      </c>
      <c r="D817" t="s">
        <v>1399</v>
      </c>
      <c r="E817" t="s">
        <v>568</v>
      </c>
      <c r="F817" t="s">
        <v>1028</v>
      </c>
      <c r="G817" t="s">
        <v>714</v>
      </c>
      <c r="H817" t="s">
        <v>715</v>
      </c>
      <c r="I817" t="s">
        <v>1029</v>
      </c>
      <c r="J817" t="s">
        <v>1030</v>
      </c>
      <c r="K817" t="s">
        <v>1031</v>
      </c>
      <c r="L817" t="s">
        <v>985</v>
      </c>
      <c r="M817" t="s">
        <v>720</v>
      </c>
      <c r="N817" t="s">
        <v>743</v>
      </c>
      <c r="O817">
        <v>28</v>
      </c>
      <c r="P817">
        <v>0</v>
      </c>
      <c r="Q817">
        <v>150</v>
      </c>
      <c r="R817" t="s">
        <v>798</v>
      </c>
      <c r="S817" t="s">
        <v>745</v>
      </c>
      <c r="T817" t="s">
        <v>746</v>
      </c>
      <c r="U817" t="s">
        <v>759</v>
      </c>
    </row>
    <row r="818" spans="1:21" x14ac:dyDescent="0.3">
      <c r="A818" s="1" t="s">
        <v>748</v>
      </c>
      <c r="B818" t="s">
        <v>749</v>
      </c>
      <c r="C818" t="s">
        <v>750</v>
      </c>
      <c r="D818" t="s">
        <v>1400</v>
      </c>
      <c r="E818" t="s">
        <v>568</v>
      </c>
      <c r="F818" t="s">
        <v>1401</v>
      </c>
      <c r="G818" t="s">
        <v>714</v>
      </c>
      <c r="H818" t="s">
        <v>715</v>
      </c>
      <c r="I818" t="s">
        <v>1402</v>
      </c>
      <c r="J818" t="s">
        <v>1403</v>
      </c>
      <c r="K818" t="s">
        <v>1404</v>
      </c>
      <c r="L818" t="s">
        <v>1082</v>
      </c>
      <c r="M818" t="s">
        <v>720</v>
      </c>
      <c r="N818" t="s">
        <v>721</v>
      </c>
      <c r="O818">
        <v>1</v>
      </c>
      <c r="P818">
        <v>0</v>
      </c>
      <c r="Q818">
        <v>40</v>
      </c>
      <c r="R818" t="s">
        <v>798</v>
      </c>
      <c r="S818" t="s">
        <v>723</v>
      </c>
      <c r="T818" t="s">
        <v>1083</v>
      </c>
      <c r="U818" t="s">
        <v>707</v>
      </c>
    </row>
    <row r="819" spans="1:21" x14ac:dyDescent="0.3">
      <c r="A819" s="1" t="s">
        <v>748</v>
      </c>
      <c r="B819" t="s">
        <v>749</v>
      </c>
      <c r="C819" t="s">
        <v>750</v>
      </c>
      <c r="D819" t="s">
        <v>1405</v>
      </c>
      <c r="E819" t="s">
        <v>568</v>
      </c>
      <c r="F819" t="s">
        <v>1043</v>
      </c>
      <c r="G819" t="s">
        <v>714</v>
      </c>
      <c r="H819" t="s">
        <v>715</v>
      </c>
      <c r="I819" t="s">
        <v>1044</v>
      </c>
      <c r="J819" t="s">
        <v>1045</v>
      </c>
      <c r="K819" t="s">
        <v>1046</v>
      </c>
      <c r="L819" t="s">
        <v>757</v>
      </c>
      <c r="M819" t="s">
        <v>720</v>
      </c>
      <c r="N819" t="s">
        <v>721</v>
      </c>
      <c r="O819">
        <v>0</v>
      </c>
      <c r="P819">
        <v>7</v>
      </c>
      <c r="Q819">
        <v>45</v>
      </c>
      <c r="R819" t="s">
        <v>758</v>
      </c>
      <c r="S819" t="s">
        <v>745</v>
      </c>
      <c r="T819" t="s">
        <v>746</v>
      </c>
      <c r="U819" t="s">
        <v>759</v>
      </c>
    </row>
    <row r="820" spans="1:21" x14ac:dyDescent="0.3">
      <c r="A820" s="1" t="s">
        <v>748</v>
      </c>
      <c r="B820" t="s">
        <v>749</v>
      </c>
      <c r="C820" t="s">
        <v>750</v>
      </c>
      <c r="D820" t="s">
        <v>1406</v>
      </c>
      <c r="E820" t="s">
        <v>568</v>
      </c>
      <c r="F820" t="s">
        <v>1048</v>
      </c>
      <c r="G820" t="s">
        <v>794</v>
      </c>
      <c r="H820" t="s">
        <v>715</v>
      </c>
      <c r="I820" t="s">
        <v>1049</v>
      </c>
      <c r="J820" t="s">
        <v>1050</v>
      </c>
      <c r="K820" t="s">
        <v>1051</v>
      </c>
      <c r="L820" t="s">
        <v>765</v>
      </c>
      <c r="M820" t="s">
        <v>720</v>
      </c>
      <c r="N820" t="s">
        <v>721</v>
      </c>
      <c r="O820">
        <v>10</v>
      </c>
      <c r="P820">
        <v>15</v>
      </c>
      <c r="Q820">
        <v>92</v>
      </c>
      <c r="R820" t="s">
        <v>758</v>
      </c>
      <c r="S820" t="s">
        <v>745</v>
      </c>
      <c r="T820" t="s">
        <v>746</v>
      </c>
      <c r="U820" t="s">
        <v>759</v>
      </c>
    </row>
    <row r="821" spans="1:21" x14ac:dyDescent="0.3">
      <c r="A821" s="1" t="s">
        <v>748</v>
      </c>
      <c r="B821" t="s">
        <v>749</v>
      </c>
      <c r="C821" t="s">
        <v>750</v>
      </c>
      <c r="D821" t="s">
        <v>1407</v>
      </c>
      <c r="E821" t="s">
        <v>568</v>
      </c>
      <c r="F821" t="s">
        <v>1408</v>
      </c>
      <c r="G821" t="s">
        <v>794</v>
      </c>
      <c r="H821" t="s">
        <v>715</v>
      </c>
      <c r="I821" t="s">
        <v>1409</v>
      </c>
      <c r="J821" t="s">
        <v>1410</v>
      </c>
      <c r="K821" t="s">
        <v>1411</v>
      </c>
      <c r="L821" t="s">
        <v>985</v>
      </c>
      <c r="M821" t="s">
        <v>720</v>
      </c>
      <c r="N821" t="s">
        <v>743</v>
      </c>
      <c r="O821">
        <v>21</v>
      </c>
      <c r="P821">
        <v>0</v>
      </c>
      <c r="Q821">
        <v>150</v>
      </c>
      <c r="R821" t="s">
        <v>798</v>
      </c>
      <c r="S821" t="s">
        <v>745</v>
      </c>
      <c r="T821" t="s">
        <v>746</v>
      </c>
      <c r="U821" t="s">
        <v>759</v>
      </c>
    </row>
    <row r="822" spans="1:21" x14ac:dyDescent="0.3">
      <c r="A822" s="1" t="s">
        <v>748</v>
      </c>
      <c r="B822" t="s">
        <v>749</v>
      </c>
      <c r="C822" t="s">
        <v>750</v>
      </c>
      <c r="D822" t="s">
        <v>1412</v>
      </c>
      <c r="E822" t="s">
        <v>568</v>
      </c>
      <c r="F822" t="s">
        <v>1053</v>
      </c>
      <c r="G822" t="s">
        <v>794</v>
      </c>
      <c r="H822" t="s">
        <v>715</v>
      </c>
      <c r="I822" t="s">
        <v>1054</v>
      </c>
      <c r="J822" t="s">
        <v>1055</v>
      </c>
      <c r="K822" t="s">
        <v>1056</v>
      </c>
      <c r="L822" t="s">
        <v>765</v>
      </c>
      <c r="M822" t="s">
        <v>720</v>
      </c>
      <c r="N822" t="s">
        <v>721</v>
      </c>
      <c r="O822">
        <v>0</v>
      </c>
      <c r="P822">
        <v>15</v>
      </c>
      <c r="Q822">
        <v>22</v>
      </c>
      <c r="R822" t="s">
        <v>758</v>
      </c>
      <c r="S822" t="s">
        <v>745</v>
      </c>
      <c r="T822" t="s">
        <v>746</v>
      </c>
      <c r="U822" t="s">
        <v>759</v>
      </c>
    </row>
    <row r="823" spans="1:21" x14ac:dyDescent="0.3">
      <c r="A823" s="1" t="s">
        <v>748</v>
      </c>
      <c r="B823" t="s">
        <v>749</v>
      </c>
      <c r="C823" t="s">
        <v>750</v>
      </c>
      <c r="D823" t="s">
        <v>1413</v>
      </c>
      <c r="E823" t="s">
        <v>568</v>
      </c>
      <c r="F823" t="s">
        <v>1063</v>
      </c>
      <c r="G823" t="s">
        <v>714</v>
      </c>
      <c r="H823" t="s">
        <v>715</v>
      </c>
      <c r="I823" t="s">
        <v>1064</v>
      </c>
      <c r="J823" t="s">
        <v>1065</v>
      </c>
      <c r="K823" t="s">
        <v>1066</v>
      </c>
      <c r="L823" t="s">
        <v>826</v>
      </c>
      <c r="M823" t="s">
        <v>720</v>
      </c>
      <c r="N823" t="s">
        <v>721</v>
      </c>
      <c r="O823">
        <v>1</v>
      </c>
      <c r="P823">
        <v>10</v>
      </c>
      <c r="Q823">
        <v>86</v>
      </c>
      <c r="R823" t="s">
        <v>722</v>
      </c>
      <c r="S823" t="s">
        <v>745</v>
      </c>
      <c r="T823" t="s">
        <v>746</v>
      </c>
      <c r="U823" t="s">
        <v>759</v>
      </c>
    </row>
    <row r="824" spans="1:21" x14ac:dyDescent="0.3">
      <c r="A824" s="1" t="s">
        <v>748</v>
      </c>
      <c r="B824" t="s">
        <v>749</v>
      </c>
      <c r="C824" t="s">
        <v>750</v>
      </c>
      <c r="D824" t="s">
        <v>1414</v>
      </c>
      <c r="E824" t="s">
        <v>568</v>
      </c>
      <c r="F824" t="s">
        <v>1078</v>
      </c>
      <c r="G824" t="s">
        <v>714</v>
      </c>
      <c r="H824" t="s">
        <v>715</v>
      </c>
      <c r="I824" t="s">
        <v>1079</v>
      </c>
      <c r="J824" t="s">
        <v>1080</v>
      </c>
      <c r="K824" t="s">
        <v>1081</v>
      </c>
      <c r="L824" t="s">
        <v>1082</v>
      </c>
      <c r="M824" t="s">
        <v>720</v>
      </c>
      <c r="N824" t="s">
        <v>721</v>
      </c>
      <c r="O824">
        <v>0</v>
      </c>
      <c r="P824">
        <v>0</v>
      </c>
      <c r="Q824">
        <v>49</v>
      </c>
      <c r="R824" t="s">
        <v>798</v>
      </c>
      <c r="S824" t="s">
        <v>723</v>
      </c>
      <c r="T824" t="s">
        <v>1083</v>
      </c>
      <c r="U824" t="s">
        <v>707</v>
      </c>
    </row>
    <row r="825" spans="1:21" x14ac:dyDescent="0.3">
      <c r="A825" s="1" t="s">
        <v>748</v>
      </c>
      <c r="B825" t="s">
        <v>749</v>
      </c>
      <c r="C825" t="s">
        <v>750</v>
      </c>
      <c r="D825" t="s">
        <v>1415</v>
      </c>
      <c r="E825" t="s">
        <v>568</v>
      </c>
      <c r="F825" t="s">
        <v>1100</v>
      </c>
      <c r="G825" t="s">
        <v>794</v>
      </c>
      <c r="H825" t="s">
        <v>715</v>
      </c>
      <c r="I825" t="s">
        <v>1101</v>
      </c>
      <c r="J825" t="s">
        <v>1102</v>
      </c>
      <c r="K825" t="s">
        <v>1103</v>
      </c>
      <c r="L825" t="s">
        <v>741</v>
      </c>
      <c r="M825" t="s">
        <v>720</v>
      </c>
      <c r="N825" t="s">
        <v>743</v>
      </c>
      <c r="O825">
        <v>4</v>
      </c>
      <c r="P825">
        <v>0</v>
      </c>
      <c r="Q825">
        <v>109</v>
      </c>
      <c r="R825" t="s">
        <v>798</v>
      </c>
      <c r="S825" t="s">
        <v>745</v>
      </c>
      <c r="T825" t="s">
        <v>746</v>
      </c>
      <c r="U825" t="s">
        <v>759</v>
      </c>
    </row>
    <row r="826" spans="1:21" x14ac:dyDescent="0.3">
      <c r="A826" s="1" t="s">
        <v>748</v>
      </c>
      <c r="B826" t="s">
        <v>749</v>
      </c>
      <c r="C826" t="s">
        <v>750</v>
      </c>
      <c r="D826" t="s">
        <v>1416</v>
      </c>
      <c r="E826" t="s">
        <v>568</v>
      </c>
      <c r="F826" t="s">
        <v>1115</v>
      </c>
      <c r="G826" t="s">
        <v>753</v>
      </c>
      <c r="H826" t="s">
        <v>715</v>
      </c>
      <c r="I826" t="s">
        <v>1116</v>
      </c>
      <c r="J826" t="s">
        <v>1117</v>
      </c>
      <c r="K826" t="s">
        <v>1118</v>
      </c>
      <c r="L826" t="s">
        <v>765</v>
      </c>
      <c r="M826" t="s">
        <v>720</v>
      </c>
      <c r="N826" t="s">
        <v>721</v>
      </c>
      <c r="O826">
        <v>3</v>
      </c>
      <c r="P826">
        <v>15</v>
      </c>
      <c r="Q826">
        <v>58</v>
      </c>
      <c r="R826" t="s">
        <v>758</v>
      </c>
      <c r="S826" t="s">
        <v>745</v>
      </c>
      <c r="T826" t="s">
        <v>746</v>
      </c>
      <c r="U826" t="s">
        <v>759</v>
      </c>
    </row>
    <row r="827" spans="1:21" x14ac:dyDescent="0.3">
      <c r="A827" s="1" t="s">
        <v>748</v>
      </c>
      <c r="B827" t="s">
        <v>749</v>
      </c>
      <c r="C827" t="s">
        <v>750</v>
      </c>
      <c r="D827" t="s">
        <v>727</v>
      </c>
      <c r="E827" t="s">
        <v>568</v>
      </c>
      <c r="F827" t="s">
        <v>728</v>
      </c>
      <c r="G827" t="s">
        <v>714</v>
      </c>
      <c r="H827" t="s">
        <v>715</v>
      </c>
      <c r="I827" t="s">
        <v>1120</v>
      </c>
      <c r="J827" t="s">
        <v>1121</v>
      </c>
      <c r="K827" t="s">
        <v>1122</v>
      </c>
      <c r="L827" t="s">
        <v>765</v>
      </c>
      <c r="M827" t="s">
        <v>720</v>
      </c>
      <c r="N827" t="s">
        <v>721</v>
      </c>
      <c r="O827">
        <v>0</v>
      </c>
      <c r="P827">
        <v>15</v>
      </c>
      <c r="Q827">
        <v>115</v>
      </c>
      <c r="R827" t="s">
        <v>758</v>
      </c>
      <c r="S827" t="s">
        <v>745</v>
      </c>
      <c r="T827" t="s">
        <v>746</v>
      </c>
      <c r="U827" t="s">
        <v>759</v>
      </c>
    </row>
    <row r="828" spans="1:21" x14ac:dyDescent="0.3">
      <c r="A828" s="1" t="s">
        <v>748</v>
      </c>
      <c r="B828" t="s">
        <v>749</v>
      </c>
      <c r="C828" t="s">
        <v>750</v>
      </c>
      <c r="D828" t="s">
        <v>1417</v>
      </c>
      <c r="E828" t="s">
        <v>568</v>
      </c>
      <c r="F828" t="s">
        <v>1129</v>
      </c>
      <c r="G828" t="s">
        <v>794</v>
      </c>
      <c r="H828" t="s">
        <v>715</v>
      </c>
      <c r="I828" t="s">
        <v>1130</v>
      </c>
      <c r="J828" t="s">
        <v>1131</v>
      </c>
      <c r="K828" t="s">
        <v>1132</v>
      </c>
      <c r="L828" t="s">
        <v>765</v>
      </c>
      <c r="M828" t="s">
        <v>720</v>
      </c>
      <c r="N828" t="s">
        <v>721</v>
      </c>
      <c r="O828">
        <v>1</v>
      </c>
      <c r="P828">
        <v>15</v>
      </c>
      <c r="Q828">
        <v>119</v>
      </c>
      <c r="R828" t="s">
        <v>758</v>
      </c>
      <c r="S828" t="s">
        <v>745</v>
      </c>
      <c r="T828" t="s">
        <v>746</v>
      </c>
      <c r="U828" t="s">
        <v>759</v>
      </c>
    </row>
    <row r="829" spans="1:21" x14ac:dyDescent="0.3">
      <c r="A829" s="1" t="s">
        <v>748</v>
      </c>
      <c r="B829" t="s">
        <v>749</v>
      </c>
      <c r="C829" t="s">
        <v>750</v>
      </c>
      <c r="D829" t="s">
        <v>1418</v>
      </c>
      <c r="E829" t="s">
        <v>568</v>
      </c>
      <c r="F829" t="s">
        <v>1134</v>
      </c>
      <c r="G829" t="s">
        <v>714</v>
      </c>
      <c r="H829" t="s">
        <v>715</v>
      </c>
      <c r="I829" t="s">
        <v>1135</v>
      </c>
      <c r="J829" t="s">
        <v>1136</v>
      </c>
      <c r="K829" t="s">
        <v>1137</v>
      </c>
      <c r="L829" t="s">
        <v>765</v>
      </c>
      <c r="M829" t="s">
        <v>720</v>
      </c>
      <c r="N829" t="s">
        <v>721</v>
      </c>
      <c r="O829">
        <v>14</v>
      </c>
      <c r="P829">
        <v>15</v>
      </c>
      <c r="Q829">
        <v>112</v>
      </c>
      <c r="R829" t="s">
        <v>758</v>
      </c>
      <c r="S829" t="s">
        <v>745</v>
      </c>
      <c r="T829" t="s">
        <v>746</v>
      </c>
      <c r="U829" t="s">
        <v>759</v>
      </c>
    </row>
    <row r="830" spans="1:21" x14ac:dyDescent="0.3">
      <c r="A830" s="1" t="s">
        <v>748</v>
      </c>
      <c r="B830" t="s">
        <v>749</v>
      </c>
      <c r="C830" t="s">
        <v>750</v>
      </c>
      <c r="D830" t="s">
        <v>1419</v>
      </c>
      <c r="E830" t="s">
        <v>568</v>
      </c>
      <c r="F830" t="s">
        <v>1144</v>
      </c>
      <c r="G830" t="s">
        <v>806</v>
      </c>
      <c r="H830" t="s">
        <v>715</v>
      </c>
      <c r="I830" t="s">
        <v>1145</v>
      </c>
      <c r="J830" t="s">
        <v>1146</v>
      </c>
      <c r="K830" t="s">
        <v>1147</v>
      </c>
      <c r="L830" t="s">
        <v>765</v>
      </c>
      <c r="M830" t="s">
        <v>720</v>
      </c>
      <c r="N830" t="s">
        <v>721</v>
      </c>
      <c r="O830">
        <v>2</v>
      </c>
      <c r="P830">
        <v>15</v>
      </c>
      <c r="Q830">
        <v>83</v>
      </c>
      <c r="R830" t="s">
        <v>758</v>
      </c>
      <c r="S830" t="s">
        <v>745</v>
      </c>
      <c r="T830" t="s">
        <v>746</v>
      </c>
      <c r="U830" t="s">
        <v>759</v>
      </c>
    </row>
    <row r="831" spans="1:21" x14ac:dyDescent="0.3">
      <c r="A831" s="1" t="s">
        <v>748</v>
      </c>
      <c r="B831" t="s">
        <v>749</v>
      </c>
      <c r="C831" t="s">
        <v>750</v>
      </c>
      <c r="D831" t="s">
        <v>1420</v>
      </c>
      <c r="E831" t="s">
        <v>568</v>
      </c>
      <c r="F831" t="s">
        <v>1149</v>
      </c>
      <c r="G831" t="s">
        <v>714</v>
      </c>
      <c r="H831" t="s">
        <v>715</v>
      </c>
      <c r="I831" t="s">
        <v>1150</v>
      </c>
      <c r="J831" t="s">
        <v>1151</v>
      </c>
      <c r="K831" t="s">
        <v>1152</v>
      </c>
      <c r="L831" t="s">
        <v>765</v>
      </c>
      <c r="M831" t="s">
        <v>720</v>
      </c>
      <c r="N831" t="s">
        <v>721</v>
      </c>
      <c r="O831">
        <v>1</v>
      </c>
      <c r="P831">
        <v>15</v>
      </c>
      <c r="Q831">
        <v>5</v>
      </c>
      <c r="R831" t="s">
        <v>758</v>
      </c>
      <c r="S831" t="s">
        <v>745</v>
      </c>
      <c r="T831" t="s">
        <v>746</v>
      </c>
      <c r="U831" t="s">
        <v>759</v>
      </c>
    </row>
    <row r="832" spans="1:21" x14ac:dyDescent="0.3">
      <c r="A832" s="1" t="s">
        <v>748</v>
      </c>
      <c r="B832" t="s">
        <v>749</v>
      </c>
      <c r="C832" t="s">
        <v>750</v>
      </c>
      <c r="D832" t="s">
        <v>1421</v>
      </c>
      <c r="E832" t="s">
        <v>568</v>
      </c>
      <c r="F832" t="s">
        <v>1154</v>
      </c>
      <c r="G832" t="s">
        <v>714</v>
      </c>
      <c r="H832" t="s">
        <v>715</v>
      </c>
      <c r="I832" t="s">
        <v>1155</v>
      </c>
      <c r="J832" t="s">
        <v>1156</v>
      </c>
      <c r="K832" t="s">
        <v>1157</v>
      </c>
      <c r="L832" t="s">
        <v>765</v>
      </c>
      <c r="M832" t="s">
        <v>720</v>
      </c>
      <c r="N832" t="s">
        <v>721</v>
      </c>
      <c r="O832">
        <v>2</v>
      </c>
      <c r="P832">
        <v>15</v>
      </c>
      <c r="Q832">
        <v>43</v>
      </c>
      <c r="R832" t="s">
        <v>758</v>
      </c>
      <c r="S832" t="s">
        <v>745</v>
      </c>
      <c r="T832" t="s">
        <v>746</v>
      </c>
      <c r="U832" t="s">
        <v>759</v>
      </c>
    </row>
    <row r="833" spans="1:21" x14ac:dyDescent="0.3">
      <c r="A833" s="1" t="s">
        <v>748</v>
      </c>
      <c r="B833" t="s">
        <v>749</v>
      </c>
      <c r="C833" t="s">
        <v>750</v>
      </c>
      <c r="D833" t="s">
        <v>1422</v>
      </c>
      <c r="E833" t="s">
        <v>568</v>
      </c>
      <c r="F833" t="s">
        <v>1423</v>
      </c>
      <c r="G833" t="s">
        <v>806</v>
      </c>
      <c r="H833" t="s">
        <v>715</v>
      </c>
      <c r="I833" t="s">
        <v>1424</v>
      </c>
      <c r="J833" t="s">
        <v>1425</v>
      </c>
      <c r="K833" t="s">
        <v>1426</v>
      </c>
      <c r="L833" t="s">
        <v>810</v>
      </c>
      <c r="M833" t="s">
        <v>720</v>
      </c>
      <c r="N833" t="s">
        <v>721</v>
      </c>
      <c r="O833">
        <v>9</v>
      </c>
      <c r="P833">
        <v>3</v>
      </c>
      <c r="Q833">
        <v>15</v>
      </c>
      <c r="R833" t="s">
        <v>798</v>
      </c>
      <c r="S833" t="s">
        <v>745</v>
      </c>
      <c r="T833" t="s">
        <v>746</v>
      </c>
      <c r="U833" t="s">
        <v>1427</v>
      </c>
    </row>
    <row r="834" spans="1:21" x14ac:dyDescent="0.3">
      <c r="A834" s="1" t="s">
        <v>748</v>
      </c>
      <c r="B834" t="s">
        <v>749</v>
      </c>
      <c r="C834" t="s">
        <v>750</v>
      </c>
      <c r="D834" t="s">
        <v>1428</v>
      </c>
      <c r="E834" t="s">
        <v>568</v>
      </c>
      <c r="F834" t="s">
        <v>1159</v>
      </c>
      <c r="G834" t="s">
        <v>714</v>
      </c>
      <c r="H834" t="s">
        <v>715</v>
      </c>
      <c r="I834" t="s">
        <v>1160</v>
      </c>
      <c r="J834" t="s">
        <v>1161</v>
      </c>
      <c r="K834" t="s">
        <v>1162</v>
      </c>
      <c r="L834" t="s">
        <v>765</v>
      </c>
      <c r="M834" t="s">
        <v>720</v>
      </c>
      <c r="N834" t="s">
        <v>721</v>
      </c>
      <c r="O834">
        <v>18</v>
      </c>
      <c r="P834">
        <v>15</v>
      </c>
      <c r="Q834">
        <v>60</v>
      </c>
      <c r="R834" t="s">
        <v>758</v>
      </c>
      <c r="S834" t="s">
        <v>745</v>
      </c>
      <c r="T834" t="s">
        <v>746</v>
      </c>
      <c r="U834" t="s">
        <v>759</v>
      </c>
    </row>
    <row r="835" spans="1:21" x14ac:dyDescent="0.3">
      <c r="A835" s="1" t="s">
        <v>748</v>
      </c>
      <c r="B835" t="s">
        <v>749</v>
      </c>
      <c r="C835" t="s">
        <v>750</v>
      </c>
      <c r="D835" t="s">
        <v>1429</v>
      </c>
      <c r="E835" t="s">
        <v>567</v>
      </c>
      <c r="F835" t="s">
        <v>1179</v>
      </c>
      <c r="G835" t="s">
        <v>794</v>
      </c>
      <c r="H835" t="s">
        <v>715</v>
      </c>
      <c r="I835" t="s">
        <v>1180</v>
      </c>
      <c r="J835" t="s">
        <v>1181</v>
      </c>
      <c r="K835" t="s">
        <v>1182</v>
      </c>
      <c r="L835" t="s">
        <v>741</v>
      </c>
      <c r="M835" t="s">
        <v>720</v>
      </c>
      <c r="N835" t="s">
        <v>743</v>
      </c>
      <c r="O835">
        <v>0</v>
      </c>
      <c r="P835">
        <v>0</v>
      </c>
      <c r="Q835">
        <v>72</v>
      </c>
      <c r="R835" t="s">
        <v>798</v>
      </c>
      <c r="S835" t="s">
        <v>745</v>
      </c>
      <c r="T835" t="s">
        <v>746</v>
      </c>
      <c r="U835" t="s">
        <v>759</v>
      </c>
    </row>
    <row r="836" spans="1:21" x14ac:dyDescent="0.3">
      <c r="A836" s="1" t="s">
        <v>748</v>
      </c>
      <c r="B836" t="s">
        <v>749</v>
      </c>
      <c r="C836" t="s">
        <v>750</v>
      </c>
      <c r="D836" t="s">
        <v>1430</v>
      </c>
      <c r="E836" t="s">
        <v>567</v>
      </c>
      <c r="F836" t="s">
        <v>1184</v>
      </c>
      <c r="G836" t="s">
        <v>714</v>
      </c>
      <c r="H836" t="s">
        <v>715</v>
      </c>
      <c r="I836" t="s">
        <v>1185</v>
      </c>
      <c r="J836" t="s">
        <v>1186</v>
      </c>
      <c r="K836" t="s">
        <v>1187</v>
      </c>
      <c r="L836" t="s">
        <v>810</v>
      </c>
      <c r="M836" t="s">
        <v>720</v>
      </c>
      <c r="N836" t="s">
        <v>721</v>
      </c>
      <c r="O836">
        <v>16</v>
      </c>
      <c r="P836">
        <v>3</v>
      </c>
      <c r="Q836">
        <v>9</v>
      </c>
      <c r="R836" t="s">
        <v>798</v>
      </c>
      <c r="S836" t="s">
        <v>745</v>
      </c>
      <c r="T836" t="s">
        <v>746</v>
      </c>
      <c r="U836" t="s">
        <v>759</v>
      </c>
    </row>
    <row r="837" spans="1:21" x14ac:dyDescent="0.3">
      <c r="A837" s="1" t="s">
        <v>748</v>
      </c>
      <c r="B837" t="s">
        <v>749</v>
      </c>
      <c r="C837" t="s">
        <v>750</v>
      </c>
      <c r="D837" t="s">
        <v>1431</v>
      </c>
      <c r="E837" t="s">
        <v>567</v>
      </c>
      <c r="F837" t="s">
        <v>1195</v>
      </c>
      <c r="G837" t="s">
        <v>714</v>
      </c>
      <c r="H837" t="s">
        <v>715</v>
      </c>
      <c r="I837" t="s">
        <v>1196</v>
      </c>
      <c r="J837" t="s">
        <v>1197</v>
      </c>
      <c r="K837" t="s">
        <v>1198</v>
      </c>
      <c r="L837" t="s">
        <v>765</v>
      </c>
      <c r="M837" t="s">
        <v>720</v>
      </c>
      <c r="N837" t="s">
        <v>721</v>
      </c>
      <c r="O837">
        <v>9</v>
      </c>
      <c r="P837">
        <v>15</v>
      </c>
      <c r="Q837">
        <v>62</v>
      </c>
      <c r="R837" t="s">
        <v>758</v>
      </c>
      <c r="S837" t="s">
        <v>745</v>
      </c>
      <c r="T837" t="s">
        <v>746</v>
      </c>
      <c r="U837" t="s">
        <v>759</v>
      </c>
    </row>
    <row r="838" spans="1:21" x14ac:dyDescent="0.3">
      <c r="A838" s="1" t="s">
        <v>748</v>
      </c>
      <c r="B838" t="s">
        <v>749</v>
      </c>
      <c r="C838" t="s">
        <v>750</v>
      </c>
      <c r="D838" t="s">
        <v>1432</v>
      </c>
      <c r="E838" t="s">
        <v>567</v>
      </c>
      <c r="F838" t="s">
        <v>1200</v>
      </c>
      <c r="G838" t="s">
        <v>714</v>
      </c>
      <c r="H838" t="s">
        <v>715</v>
      </c>
      <c r="I838" t="s">
        <v>1201</v>
      </c>
      <c r="J838" t="s">
        <v>1202</v>
      </c>
      <c r="K838" t="s">
        <v>1203</v>
      </c>
      <c r="L838" t="s">
        <v>765</v>
      </c>
      <c r="M838" t="s">
        <v>720</v>
      </c>
      <c r="N838" t="s">
        <v>721</v>
      </c>
      <c r="O838">
        <v>1</v>
      </c>
      <c r="P838">
        <v>15</v>
      </c>
      <c r="Q838">
        <v>68</v>
      </c>
      <c r="R838" t="s">
        <v>758</v>
      </c>
      <c r="S838" t="s">
        <v>745</v>
      </c>
      <c r="T838" t="s">
        <v>746</v>
      </c>
      <c r="U838" t="s">
        <v>759</v>
      </c>
    </row>
    <row r="839" spans="1:21" x14ac:dyDescent="0.3">
      <c r="A839" s="1" t="s">
        <v>748</v>
      </c>
      <c r="B839" t="s">
        <v>749</v>
      </c>
      <c r="C839" t="s">
        <v>750</v>
      </c>
      <c r="D839" t="s">
        <v>1433</v>
      </c>
      <c r="E839" t="s">
        <v>567</v>
      </c>
      <c r="F839" t="s">
        <v>1205</v>
      </c>
      <c r="G839" t="s">
        <v>714</v>
      </c>
      <c r="H839" t="s">
        <v>715</v>
      </c>
      <c r="I839" t="s">
        <v>1206</v>
      </c>
      <c r="J839" t="s">
        <v>1207</v>
      </c>
      <c r="K839" t="s">
        <v>1208</v>
      </c>
      <c r="L839" t="s">
        <v>765</v>
      </c>
      <c r="M839" t="s">
        <v>720</v>
      </c>
      <c r="N839" t="s">
        <v>721</v>
      </c>
      <c r="O839">
        <v>4</v>
      </c>
      <c r="P839">
        <v>15</v>
      </c>
      <c r="Q839">
        <v>13</v>
      </c>
      <c r="R839" t="s">
        <v>758</v>
      </c>
      <c r="S839" t="s">
        <v>745</v>
      </c>
      <c r="T839" t="s">
        <v>746</v>
      </c>
      <c r="U839" t="s">
        <v>759</v>
      </c>
    </row>
    <row r="840" spans="1:21" x14ac:dyDescent="0.3">
      <c r="A840" s="1" t="s">
        <v>748</v>
      </c>
      <c r="B840" t="s">
        <v>749</v>
      </c>
      <c r="C840" t="s">
        <v>750</v>
      </c>
      <c r="D840" t="s">
        <v>1434</v>
      </c>
      <c r="E840" t="s">
        <v>567</v>
      </c>
      <c r="F840" t="s">
        <v>1218</v>
      </c>
      <c r="G840" t="s">
        <v>794</v>
      </c>
      <c r="H840" t="s">
        <v>715</v>
      </c>
      <c r="I840" t="s">
        <v>1219</v>
      </c>
      <c r="J840" t="s">
        <v>1220</v>
      </c>
      <c r="K840" t="s">
        <v>1221</v>
      </c>
      <c r="L840" t="s">
        <v>765</v>
      </c>
      <c r="M840" t="s">
        <v>720</v>
      </c>
      <c r="N840" t="s">
        <v>721</v>
      </c>
      <c r="O840">
        <v>17</v>
      </c>
      <c r="P840">
        <v>15</v>
      </c>
      <c r="Q840">
        <v>76</v>
      </c>
      <c r="R840" t="s">
        <v>758</v>
      </c>
      <c r="S840" t="s">
        <v>745</v>
      </c>
      <c r="T840" t="s">
        <v>746</v>
      </c>
      <c r="U840" t="s">
        <v>759</v>
      </c>
    </row>
    <row r="841" spans="1:21" x14ac:dyDescent="0.3">
      <c r="A841" s="1" t="s">
        <v>748</v>
      </c>
      <c r="B841" t="s">
        <v>749</v>
      </c>
      <c r="C841" t="s">
        <v>750</v>
      </c>
      <c r="D841" t="s">
        <v>1435</v>
      </c>
      <c r="E841" t="s">
        <v>567</v>
      </c>
      <c r="F841" t="s">
        <v>1223</v>
      </c>
      <c r="G841" t="s">
        <v>794</v>
      </c>
      <c r="H841" t="s">
        <v>715</v>
      </c>
      <c r="I841" t="s">
        <v>1224</v>
      </c>
      <c r="J841" t="s">
        <v>1225</v>
      </c>
      <c r="K841" t="s">
        <v>1226</v>
      </c>
      <c r="L841" t="s">
        <v>826</v>
      </c>
      <c r="M841" t="s">
        <v>720</v>
      </c>
      <c r="N841" t="s">
        <v>721</v>
      </c>
      <c r="O841">
        <v>12</v>
      </c>
      <c r="P841">
        <v>2</v>
      </c>
      <c r="Q841">
        <v>86</v>
      </c>
      <c r="R841" t="s">
        <v>798</v>
      </c>
      <c r="S841" t="s">
        <v>745</v>
      </c>
      <c r="T841" t="s">
        <v>746</v>
      </c>
      <c r="U841" t="s">
        <v>759</v>
      </c>
    </row>
    <row r="842" spans="1:21" x14ac:dyDescent="0.3">
      <c r="A842" s="1" t="s">
        <v>748</v>
      </c>
      <c r="B842" t="s">
        <v>749</v>
      </c>
      <c r="C842" t="s">
        <v>750</v>
      </c>
      <c r="D842" t="s">
        <v>1436</v>
      </c>
      <c r="E842" t="s">
        <v>567</v>
      </c>
      <c r="F842" t="s">
        <v>1228</v>
      </c>
      <c r="G842" t="s">
        <v>794</v>
      </c>
      <c r="H842" t="s">
        <v>715</v>
      </c>
      <c r="I842" t="s">
        <v>1229</v>
      </c>
      <c r="J842" t="s">
        <v>1230</v>
      </c>
      <c r="K842" t="s">
        <v>1231</v>
      </c>
      <c r="L842" t="s">
        <v>1082</v>
      </c>
      <c r="M842" t="s">
        <v>720</v>
      </c>
      <c r="N842" t="s">
        <v>721</v>
      </c>
      <c r="O842">
        <v>2</v>
      </c>
      <c r="P842">
        <v>0</v>
      </c>
      <c r="Q842">
        <v>94</v>
      </c>
      <c r="R842" t="s">
        <v>798</v>
      </c>
      <c r="S842" t="s">
        <v>723</v>
      </c>
      <c r="T842" t="s">
        <v>1083</v>
      </c>
      <c r="U842" t="s">
        <v>707</v>
      </c>
    </row>
    <row r="843" spans="1:21" x14ac:dyDescent="0.3">
      <c r="A843" s="1" t="s">
        <v>748</v>
      </c>
      <c r="B843" t="s">
        <v>749</v>
      </c>
      <c r="C843" t="s">
        <v>750</v>
      </c>
      <c r="D843" t="s">
        <v>1437</v>
      </c>
      <c r="E843" t="s">
        <v>567</v>
      </c>
      <c r="F843" t="s">
        <v>1238</v>
      </c>
      <c r="G843" t="s">
        <v>794</v>
      </c>
      <c r="H843" t="s">
        <v>715</v>
      </c>
      <c r="I843" t="s">
        <v>1240</v>
      </c>
      <c r="J843" t="s">
        <v>1241</v>
      </c>
      <c r="K843" t="s">
        <v>1242</v>
      </c>
      <c r="L843" t="s">
        <v>1243</v>
      </c>
      <c r="M843" t="s">
        <v>1243</v>
      </c>
      <c r="N843" t="s">
        <v>721</v>
      </c>
      <c r="O843">
        <v>27</v>
      </c>
      <c r="P843">
        <v>0</v>
      </c>
      <c r="Q843">
        <v>229</v>
      </c>
      <c r="R843" t="s">
        <v>758</v>
      </c>
      <c r="S843" t="s">
        <v>745</v>
      </c>
      <c r="T843" t="s">
        <v>746</v>
      </c>
      <c r="U843" t="s">
        <v>747</v>
      </c>
    </row>
    <row r="844" spans="1:21" x14ac:dyDescent="0.3">
      <c r="A844" s="1" t="s">
        <v>748</v>
      </c>
      <c r="B844" t="s">
        <v>749</v>
      </c>
      <c r="C844" t="s">
        <v>750</v>
      </c>
      <c r="D844" t="s">
        <v>1438</v>
      </c>
      <c r="E844" t="s">
        <v>567</v>
      </c>
      <c r="F844" t="s">
        <v>1245</v>
      </c>
      <c r="G844" t="s">
        <v>794</v>
      </c>
      <c r="H844" t="s">
        <v>715</v>
      </c>
      <c r="I844" t="s">
        <v>1246</v>
      </c>
      <c r="J844" t="s">
        <v>1247</v>
      </c>
      <c r="K844" t="s">
        <v>1248</v>
      </c>
      <c r="L844" t="s">
        <v>765</v>
      </c>
      <c r="M844" t="s">
        <v>720</v>
      </c>
      <c r="N844" t="s">
        <v>721</v>
      </c>
      <c r="O844">
        <v>0</v>
      </c>
      <c r="P844">
        <v>15</v>
      </c>
      <c r="Q844">
        <v>73</v>
      </c>
      <c r="R844" t="s">
        <v>758</v>
      </c>
      <c r="S844" t="s">
        <v>745</v>
      </c>
      <c r="T844" t="s">
        <v>746</v>
      </c>
      <c r="U844" t="s">
        <v>759</v>
      </c>
    </row>
    <row r="845" spans="1:21" x14ac:dyDescent="0.3">
      <c r="A845" s="1" t="s">
        <v>748</v>
      </c>
      <c r="B845" t="s">
        <v>749</v>
      </c>
      <c r="C845" t="s">
        <v>750</v>
      </c>
      <c r="D845" t="s">
        <v>1439</v>
      </c>
      <c r="E845" t="s">
        <v>567</v>
      </c>
      <c r="F845" t="s">
        <v>1250</v>
      </c>
      <c r="G845" t="s">
        <v>794</v>
      </c>
      <c r="H845" t="s">
        <v>715</v>
      </c>
      <c r="I845" t="s">
        <v>1251</v>
      </c>
      <c r="J845" t="s">
        <v>1252</v>
      </c>
      <c r="K845" t="s">
        <v>1253</v>
      </c>
      <c r="L845" t="s">
        <v>765</v>
      </c>
      <c r="M845" t="s">
        <v>720</v>
      </c>
      <c r="N845" t="s">
        <v>721</v>
      </c>
      <c r="O845">
        <v>1</v>
      </c>
      <c r="P845">
        <v>15</v>
      </c>
      <c r="Q845">
        <v>16</v>
      </c>
      <c r="R845" t="s">
        <v>758</v>
      </c>
      <c r="S845" t="s">
        <v>745</v>
      </c>
      <c r="T845" t="s">
        <v>746</v>
      </c>
      <c r="U845" t="s">
        <v>759</v>
      </c>
    </row>
    <row r="846" spans="1:21" x14ac:dyDescent="0.3">
      <c r="A846" s="1" t="s">
        <v>748</v>
      </c>
      <c r="B846" t="s">
        <v>749</v>
      </c>
      <c r="C846" t="s">
        <v>750</v>
      </c>
      <c r="D846" t="s">
        <v>1440</v>
      </c>
      <c r="E846" t="s">
        <v>567</v>
      </c>
      <c r="F846" t="s">
        <v>1255</v>
      </c>
      <c r="G846" t="s">
        <v>794</v>
      </c>
      <c r="H846" t="s">
        <v>715</v>
      </c>
      <c r="I846" t="s">
        <v>1256</v>
      </c>
      <c r="J846" t="s">
        <v>1257</v>
      </c>
      <c r="K846" t="s">
        <v>1258</v>
      </c>
      <c r="L846" t="s">
        <v>826</v>
      </c>
      <c r="M846" t="s">
        <v>720</v>
      </c>
      <c r="N846" t="s">
        <v>721</v>
      </c>
      <c r="O846">
        <v>6</v>
      </c>
      <c r="P846">
        <v>2</v>
      </c>
      <c r="Q846">
        <v>26</v>
      </c>
      <c r="R846" t="s">
        <v>798</v>
      </c>
      <c r="S846" t="s">
        <v>745</v>
      </c>
      <c r="T846" t="s">
        <v>746</v>
      </c>
      <c r="U846" t="s">
        <v>759</v>
      </c>
    </row>
    <row r="847" spans="1:21" x14ac:dyDescent="0.3">
      <c r="A847" s="1" t="s">
        <v>748</v>
      </c>
      <c r="B847" t="s">
        <v>749</v>
      </c>
      <c r="C847" t="s">
        <v>750</v>
      </c>
      <c r="D847" t="s">
        <v>1441</v>
      </c>
      <c r="E847" t="s">
        <v>567</v>
      </c>
      <c r="F847" t="s">
        <v>1260</v>
      </c>
      <c r="G847" t="s">
        <v>794</v>
      </c>
      <c r="H847" t="s">
        <v>715</v>
      </c>
      <c r="I847" t="s">
        <v>1261</v>
      </c>
      <c r="J847" t="s">
        <v>1262</v>
      </c>
      <c r="K847" t="s">
        <v>1263</v>
      </c>
      <c r="L847" t="s">
        <v>765</v>
      </c>
      <c r="M847" t="s">
        <v>720</v>
      </c>
      <c r="N847" t="s">
        <v>721</v>
      </c>
      <c r="O847">
        <v>1</v>
      </c>
      <c r="P847">
        <v>15</v>
      </c>
      <c r="Q847">
        <v>118</v>
      </c>
      <c r="R847" t="s">
        <v>758</v>
      </c>
      <c r="S847" t="s">
        <v>745</v>
      </c>
      <c r="T847" t="s">
        <v>746</v>
      </c>
      <c r="U847" t="s">
        <v>747</v>
      </c>
    </row>
    <row r="848" spans="1:21" x14ac:dyDescent="0.3">
      <c r="A848" s="1" t="s">
        <v>748</v>
      </c>
      <c r="B848" t="s">
        <v>749</v>
      </c>
      <c r="C848" t="s">
        <v>750</v>
      </c>
      <c r="D848" t="s">
        <v>1442</v>
      </c>
      <c r="E848" t="s">
        <v>567</v>
      </c>
      <c r="F848" t="s">
        <v>1271</v>
      </c>
      <c r="G848" t="s">
        <v>714</v>
      </c>
      <c r="H848" t="s">
        <v>715</v>
      </c>
      <c r="I848" t="s">
        <v>1272</v>
      </c>
      <c r="J848" t="s">
        <v>1273</v>
      </c>
      <c r="K848" t="s">
        <v>1274</v>
      </c>
      <c r="L848" t="s">
        <v>765</v>
      </c>
      <c r="M848" t="s">
        <v>720</v>
      </c>
      <c r="N848" t="s">
        <v>721</v>
      </c>
      <c r="O848">
        <v>2</v>
      </c>
      <c r="P848">
        <v>15</v>
      </c>
      <c r="Q848">
        <v>36</v>
      </c>
      <c r="R848" t="s">
        <v>758</v>
      </c>
      <c r="S848" t="s">
        <v>745</v>
      </c>
      <c r="T848" t="s">
        <v>746</v>
      </c>
      <c r="U848" t="s">
        <v>759</v>
      </c>
    </row>
    <row r="849" spans="1:21" x14ac:dyDescent="0.3">
      <c r="A849" s="1" t="s">
        <v>748</v>
      </c>
      <c r="B849" t="s">
        <v>749</v>
      </c>
      <c r="C849" t="s">
        <v>750</v>
      </c>
      <c r="D849" t="s">
        <v>1443</v>
      </c>
      <c r="E849" t="s">
        <v>567</v>
      </c>
      <c r="F849" t="s">
        <v>1276</v>
      </c>
      <c r="G849" t="s">
        <v>714</v>
      </c>
      <c r="H849" t="s">
        <v>715</v>
      </c>
      <c r="I849" t="s">
        <v>1277</v>
      </c>
      <c r="J849" t="s">
        <v>1278</v>
      </c>
      <c r="K849" t="s">
        <v>1279</v>
      </c>
      <c r="L849" t="s">
        <v>826</v>
      </c>
      <c r="M849" t="s">
        <v>720</v>
      </c>
      <c r="N849" t="s">
        <v>721</v>
      </c>
      <c r="O849">
        <v>8</v>
      </c>
      <c r="P849">
        <v>10</v>
      </c>
      <c r="Q849">
        <v>97</v>
      </c>
      <c r="R849" t="s">
        <v>722</v>
      </c>
      <c r="S849" t="s">
        <v>745</v>
      </c>
      <c r="T849" t="s">
        <v>746</v>
      </c>
      <c r="U849" t="s">
        <v>759</v>
      </c>
    </row>
    <row r="850" spans="1:21" x14ac:dyDescent="0.3">
      <c r="A850" s="1" t="s">
        <v>748</v>
      </c>
      <c r="B850" t="s">
        <v>749</v>
      </c>
      <c r="C850" t="s">
        <v>750</v>
      </c>
      <c r="D850" t="s">
        <v>1444</v>
      </c>
      <c r="E850" t="s">
        <v>567</v>
      </c>
      <c r="F850" t="s">
        <v>1445</v>
      </c>
      <c r="G850" t="s">
        <v>753</v>
      </c>
      <c r="H850" t="s">
        <v>715</v>
      </c>
      <c r="I850" t="s">
        <v>1446</v>
      </c>
      <c r="J850" t="s">
        <v>1447</v>
      </c>
      <c r="K850" t="s">
        <v>1448</v>
      </c>
      <c r="L850" t="s">
        <v>757</v>
      </c>
      <c r="M850" t="s">
        <v>720</v>
      </c>
      <c r="N850" t="s">
        <v>721</v>
      </c>
      <c r="O850">
        <v>0</v>
      </c>
      <c r="P850">
        <v>7</v>
      </c>
      <c r="Q850">
        <v>3</v>
      </c>
      <c r="R850" t="s">
        <v>758</v>
      </c>
      <c r="S850" t="s">
        <v>745</v>
      </c>
      <c r="T850" t="s">
        <v>746</v>
      </c>
      <c r="U850" t="s">
        <v>1269</v>
      </c>
    </row>
    <row r="851" spans="1:21" x14ac:dyDescent="0.3">
      <c r="A851" s="1" t="s">
        <v>748</v>
      </c>
      <c r="B851" t="s">
        <v>749</v>
      </c>
      <c r="C851" t="s">
        <v>750</v>
      </c>
      <c r="D851" t="s">
        <v>1449</v>
      </c>
      <c r="E851" t="s">
        <v>567</v>
      </c>
      <c r="F851" t="s">
        <v>1450</v>
      </c>
      <c r="G851" t="s">
        <v>714</v>
      </c>
      <c r="H851" t="s">
        <v>715</v>
      </c>
      <c r="I851" t="s">
        <v>1451</v>
      </c>
      <c r="J851" t="s">
        <v>1452</v>
      </c>
      <c r="K851" t="s">
        <v>1453</v>
      </c>
      <c r="L851" t="s">
        <v>1082</v>
      </c>
      <c r="M851" t="s">
        <v>720</v>
      </c>
      <c r="N851" t="s">
        <v>721</v>
      </c>
      <c r="O851">
        <v>0</v>
      </c>
      <c r="P851">
        <v>0</v>
      </c>
      <c r="Q851">
        <v>113</v>
      </c>
      <c r="R851" t="s">
        <v>798</v>
      </c>
      <c r="S851" t="s">
        <v>723</v>
      </c>
      <c r="T851" t="s">
        <v>1083</v>
      </c>
      <c r="U851" t="s">
        <v>707</v>
      </c>
    </row>
    <row r="852" spans="1:21" x14ac:dyDescent="0.3">
      <c r="A852" s="1" t="s">
        <v>748</v>
      </c>
      <c r="B852" t="s">
        <v>749</v>
      </c>
      <c r="C852" t="s">
        <v>750</v>
      </c>
      <c r="D852" t="s">
        <v>1454</v>
      </c>
      <c r="E852" t="s">
        <v>567</v>
      </c>
      <c r="F852" t="s">
        <v>1291</v>
      </c>
      <c r="G852" t="s">
        <v>714</v>
      </c>
      <c r="H852" t="s">
        <v>715</v>
      </c>
      <c r="I852" t="s">
        <v>1292</v>
      </c>
      <c r="J852" t="s">
        <v>1293</v>
      </c>
      <c r="K852" t="s">
        <v>1294</v>
      </c>
      <c r="L852" t="s">
        <v>765</v>
      </c>
      <c r="M852" t="s">
        <v>720</v>
      </c>
      <c r="N852" t="s">
        <v>721</v>
      </c>
      <c r="O852">
        <v>8</v>
      </c>
      <c r="P852">
        <v>15</v>
      </c>
      <c r="Q852">
        <v>119</v>
      </c>
      <c r="R852" t="s">
        <v>758</v>
      </c>
      <c r="S852" t="s">
        <v>745</v>
      </c>
      <c r="T852" t="s">
        <v>746</v>
      </c>
      <c r="U852" t="s">
        <v>759</v>
      </c>
    </row>
    <row r="853" spans="1:21" x14ac:dyDescent="0.3">
      <c r="A853" s="1" t="s">
        <v>748</v>
      </c>
      <c r="B853" t="s">
        <v>749</v>
      </c>
      <c r="C853" t="s">
        <v>750</v>
      </c>
      <c r="D853" t="s">
        <v>1455</v>
      </c>
      <c r="E853" t="s">
        <v>567</v>
      </c>
      <c r="F853" t="s">
        <v>1296</v>
      </c>
      <c r="G853" t="s">
        <v>794</v>
      </c>
      <c r="H853" t="s">
        <v>715</v>
      </c>
      <c r="I853" t="s">
        <v>1297</v>
      </c>
      <c r="J853" t="s">
        <v>1298</v>
      </c>
      <c r="K853" t="s">
        <v>1299</v>
      </c>
      <c r="L853" t="s">
        <v>985</v>
      </c>
      <c r="M853" t="s">
        <v>720</v>
      </c>
      <c r="N853" t="s">
        <v>743</v>
      </c>
      <c r="O853">
        <v>28</v>
      </c>
      <c r="P853">
        <v>0</v>
      </c>
      <c r="Q853">
        <v>150</v>
      </c>
      <c r="R853" t="s">
        <v>798</v>
      </c>
      <c r="S853" t="s">
        <v>745</v>
      </c>
      <c r="T853" t="s">
        <v>746</v>
      </c>
      <c r="U853" t="s">
        <v>759</v>
      </c>
    </row>
    <row r="854" spans="1:21" x14ac:dyDescent="0.3">
      <c r="A854" s="1" t="s">
        <v>748</v>
      </c>
      <c r="B854" t="s">
        <v>749</v>
      </c>
      <c r="C854" t="s">
        <v>750</v>
      </c>
      <c r="D854" t="s">
        <v>1456</v>
      </c>
      <c r="E854" t="s">
        <v>567</v>
      </c>
      <c r="F854" t="s">
        <v>1306</v>
      </c>
      <c r="G854" t="s">
        <v>714</v>
      </c>
      <c r="H854" t="s">
        <v>715</v>
      </c>
      <c r="I854" t="s">
        <v>1307</v>
      </c>
      <c r="J854" t="s">
        <v>1308</v>
      </c>
      <c r="K854" t="s">
        <v>1309</v>
      </c>
      <c r="L854" t="s">
        <v>765</v>
      </c>
      <c r="M854" t="s">
        <v>720</v>
      </c>
      <c r="N854" t="s">
        <v>721</v>
      </c>
      <c r="O854">
        <v>6</v>
      </c>
      <c r="P854">
        <v>15</v>
      </c>
      <c r="Q854">
        <v>43</v>
      </c>
      <c r="R854" t="s">
        <v>758</v>
      </c>
      <c r="S854" t="s">
        <v>745</v>
      </c>
      <c r="T854" t="s">
        <v>746</v>
      </c>
      <c r="U854" t="s">
        <v>759</v>
      </c>
    </row>
    <row r="855" spans="1:21" x14ac:dyDescent="0.3">
      <c r="A855" s="1" t="s">
        <v>748</v>
      </c>
      <c r="B855" t="s">
        <v>749</v>
      </c>
      <c r="C855" t="s">
        <v>750</v>
      </c>
      <c r="D855" t="s">
        <v>1457</v>
      </c>
      <c r="E855" t="s">
        <v>567</v>
      </c>
      <c r="F855" t="s">
        <v>1311</v>
      </c>
      <c r="G855" t="s">
        <v>794</v>
      </c>
      <c r="H855" t="s">
        <v>715</v>
      </c>
      <c r="I855" t="s">
        <v>1312</v>
      </c>
      <c r="J855" t="s">
        <v>1313</v>
      </c>
      <c r="K855" t="s">
        <v>1314</v>
      </c>
      <c r="L855" t="s">
        <v>810</v>
      </c>
      <c r="M855" t="s">
        <v>720</v>
      </c>
      <c r="N855" t="s">
        <v>721</v>
      </c>
      <c r="O855">
        <v>25</v>
      </c>
      <c r="P855">
        <v>3</v>
      </c>
      <c r="Q855">
        <v>93</v>
      </c>
      <c r="R855" t="s">
        <v>798</v>
      </c>
      <c r="S855" t="s">
        <v>745</v>
      </c>
      <c r="T855" t="s">
        <v>746</v>
      </c>
      <c r="U855" t="s">
        <v>759</v>
      </c>
    </row>
    <row r="856" spans="1:21" x14ac:dyDescent="0.3">
      <c r="A856" s="1" t="s">
        <v>748</v>
      </c>
      <c r="B856" t="s">
        <v>749</v>
      </c>
      <c r="C856" t="s">
        <v>750</v>
      </c>
      <c r="D856" t="s">
        <v>1458</v>
      </c>
      <c r="E856" t="s">
        <v>567</v>
      </c>
      <c r="F856" t="s">
        <v>1331</v>
      </c>
      <c r="G856" t="s">
        <v>794</v>
      </c>
      <c r="H856" t="s">
        <v>715</v>
      </c>
      <c r="I856" t="s">
        <v>1332</v>
      </c>
      <c r="J856" t="s">
        <v>1333</v>
      </c>
      <c r="K856" t="s">
        <v>1334</v>
      </c>
      <c r="L856" t="s">
        <v>741</v>
      </c>
      <c r="M856" t="s">
        <v>720</v>
      </c>
      <c r="N856" t="s">
        <v>743</v>
      </c>
      <c r="O856">
        <v>8</v>
      </c>
      <c r="P856">
        <v>0</v>
      </c>
      <c r="Q856">
        <v>88</v>
      </c>
      <c r="R856" t="s">
        <v>798</v>
      </c>
      <c r="S856" t="s">
        <v>745</v>
      </c>
      <c r="T856" t="s">
        <v>746</v>
      </c>
      <c r="U856" t="s">
        <v>759</v>
      </c>
    </row>
    <row r="857" spans="1:21" x14ac:dyDescent="0.3">
      <c r="A857" s="1" t="s">
        <v>748</v>
      </c>
      <c r="B857" t="s">
        <v>749</v>
      </c>
      <c r="C857" t="s">
        <v>750</v>
      </c>
      <c r="D857" t="s">
        <v>1459</v>
      </c>
      <c r="E857" t="s">
        <v>567</v>
      </c>
      <c r="F857" t="s">
        <v>1346</v>
      </c>
      <c r="G857" t="s">
        <v>806</v>
      </c>
      <c r="H857" t="s">
        <v>715</v>
      </c>
      <c r="I857" t="s">
        <v>1347</v>
      </c>
      <c r="J857" t="s">
        <v>1348</v>
      </c>
      <c r="K857" t="s">
        <v>1349</v>
      </c>
      <c r="L857" t="s">
        <v>765</v>
      </c>
      <c r="M857" t="s">
        <v>720</v>
      </c>
      <c r="N857" t="s">
        <v>721</v>
      </c>
      <c r="O857">
        <v>3</v>
      </c>
      <c r="P857">
        <v>15</v>
      </c>
      <c r="Q857">
        <v>66</v>
      </c>
      <c r="R857" t="s">
        <v>758</v>
      </c>
      <c r="S857" t="s">
        <v>745</v>
      </c>
      <c r="T857" t="s">
        <v>746</v>
      </c>
      <c r="U857" t="s">
        <v>759</v>
      </c>
    </row>
    <row r="858" spans="1:21" x14ac:dyDescent="0.3">
      <c r="A858" s="1" t="s">
        <v>748</v>
      </c>
      <c r="B858" t="s">
        <v>749</v>
      </c>
      <c r="C858" t="s">
        <v>750</v>
      </c>
      <c r="D858" t="s">
        <v>1460</v>
      </c>
      <c r="E858" t="s">
        <v>567</v>
      </c>
      <c r="F858" t="s">
        <v>1351</v>
      </c>
      <c r="G858" t="s">
        <v>753</v>
      </c>
      <c r="H858" t="s">
        <v>715</v>
      </c>
      <c r="I858" t="s">
        <v>1352</v>
      </c>
      <c r="J858" t="s">
        <v>1353</v>
      </c>
      <c r="K858" t="s">
        <v>1354</v>
      </c>
      <c r="L858" t="s">
        <v>765</v>
      </c>
      <c r="M858" t="s">
        <v>720</v>
      </c>
      <c r="N858" t="s">
        <v>721</v>
      </c>
      <c r="O858">
        <v>4</v>
      </c>
      <c r="P858">
        <v>15</v>
      </c>
      <c r="Q858">
        <v>92</v>
      </c>
      <c r="R858" t="s">
        <v>758</v>
      </c>
      <c r="S858" t="s">
        <v>745</v>
      </c>
      <c r="T858" t="s">
        <v>746</v>
      </c>
      <c r="U858" t="s">
        <v>759</v>
      </c>
    </row>
    <row r="859" spans="1:21" x14ac:dyDescent="0.3">
      <c r="A859" s="1" t="s">
        <v>748</v>
      </c>
      <c r="B859" t="s">
        <v>1461</v>
      </c>
      <c r="C859" t="s">
        <v>711</v>
      </c>
      <c r="D859" t="s">
        <v>1462</v>
      </c>
      <c r="E859" t="s">
        <v>568</v>
      </c>
      <c r="F859" t="s">
        <v>1068</v>
      </c>
      <c r="G859" t="s">
        <v>736</v>
      </c>
      <c r="H859" t="s">
        <v>737</v>
      </c>
      <c r="I859" t="s">
        <v>1463</v>
      </c>
      <c r="J859" t="s">
        <v>1464</v>
      </c>
      <c r="K859" t="s">
        <v>1465</v>
      </c>
      <c r="L859" t="s">
        <v>741</v>
      </c>
      <c r="M859" t="s">
        <v>742</v>
      </c>
      <c r="N859" t="s">
        <v>743</v>
      </c>
      <c r="O859">
        <v>10</v>
      </c>
      <c r="P859">
        <v>2</v>
      </c>
      <c r="Q859">
        <v>67</v>
      </c>
      <c r="R859" t="s">
        <v>744</v>
      </c>
      <c r="S859" t="s">
        <v>745</v>
      </c>
      <c r="T859" t="s">
        <v>746</v>
      </c>
      <c r="U859" t="s">
        <v>1466</v>
      </c>
    </row>
    <row r="860" spans="1:21" x14ac:dyDescent="0.3">
      <c r="A860" s="1" t="s">
        <v>748</v>
      </c>
      <c r="B860" t="s">
        <v>1461</v>
      </c>
      <c r="C860" t="s">
        <v>750</v>
      </c>
      <c r="D860" t="s">
        <v>960</v>
      </c>
      <c r="E860" t="s">
        <v>569</v>
      </c>
      <c r="F860" t="s">
        <v>961</v>
      </c>
      <c r="G860" t="s">
        <v>1467</v>
      </c>
      <c r="H860" t="s">
        <v>737</v>
      </c>
      <c r="I860" t="s">
        <v>1468</v>
      </c>
      <c r="J860" t="s">
        <v>1469</v>
      </c>
      <c r="K860" t="s">
        <v>1470</v>
      </c>
      <c r="L860" t="s">
        <v>1471</v>
      </c>
      <c r="M860" t="s">
        <v>1471</v>
      </c>
      <c r="N860" t="s">
        <v>743</v>
      </c>
      <c r="O860">
        <v>27</v>
      </c>
      <c r="P860">
        <v>0</v>
      </c>
      <c r="Q860">
        <v>229</v>
      </c>
      <c r="R860" t="s">
        <v>758</v>
      </c>
      <c r="S860" t="s">
        <v>745</v>
      </c>
      <c r="T860" t="s">
        <v>746</v>
      </c>
      <c r="U860" t="s">
        <v>771</v>
      </c>
    </row>
    <row r="861" spans="1:21" x14ac:dyDescent="0.3">
      <c r="A861" s="1" t="s">
        <v>748</v>
      </c>
      <c r="B861" t="s">
        <v>1461</v>
      </c>
      <c r="C861" t="s">
        <v>750</v>
      </c>
      <c r="D861" t="s">
        <v>1392</v>
      </c>
      <c r="E861" t="s">
        <v>569</v>
      </c>
      <c r="F861" t="s">
        <v>961</v>
      </c>
      <c r="G861" t="s">
        <v>736</v>
      </c>
      <c r="H861" t="s">
        <v>737</v>
      </c>
      <c r="I861" t="s">
        <v>1468</v>
      </c>
      <c r="J861" t="s">
        <v>1469</v>
      </c>
      <c r="K861" t="s">
        <v>1470</v>
      </c>
      <c r="L861" t="s">
        <v>1471</v>
      </c>
      <c r="M861" t="s">
        <v>1471</v>
      </c>
      <c r="N861" t="s">
        <v>743</v>
      </c>
      <c r="O861">
        <v>27</v>
      </c>
      <c r="P861">
        <v>0</v>
      </c>
      <c r="Q861">
        <v>229</v>
      </c>
      <c r="R861" t="s">
        <v>758</v>
      </c>
      <c r="S861" t="s">
        <v>745</v>
      </c>
      <c r="T861" t="s">
        <v>746</v>
      </c>
      <c r="U861" t="s">
        <v>771</v>
      </c>
    </row>
    <row r="862" spans="1:21" x14ac:dyDescent="0.3">
      <c r="A862" s="1" t="s">
        <v>748</v>
      </c>
      <c r="B862" t="s">
        <v>710</v>
      </c>
      <c r="C862" t="s">
        <v>711</v>
      </c>
      <c r="D862" t="s">
        <v>1462</v>
      </c>
      <c r="E862" t="s">
        <v>568</v>
      </c>
      <c r="F862" t="s">
        <v>1068</v>
      </c>
      <c r="G862" t="s">
        <v>1467</v>
      </c>
      <c r="H862" t="s">
        <v>737</v>
      </c>
      <c r="I862" t="s">
        <v>1472</v>
      </c>
      <c r="J862" t="s">
        <v>1473</v>
      </c>
      <c r="K862" t="s">
        <v>1474</v>
      </c>
      <c r="L862" t="s">
        <v>1471</v>
      </c>
      <c r="M862" t="s">
        <v>1471</v>
      </c>
      <c r="N862" t="s">
        <v>721</v>
      </c>
      <c r="O862">
        <v>27</v>
      </c>
      <c r="P862">
        <v>0</v>
      </c>
      <c r="Q862">
        <v>230</v>
      </c>
      <c r="R862" t="s">
        <v>758</v>
      </c>
      <c r="S862" t="s">
        <v>745</v>
      </c>
      <c r="T862" t="s">
        <v>746</v>
      </c>
      <c r="U862" t="s">
        <v>1466</v>
      </c>
    </row>
    <row r="863" spans="1:21" hidden="1" x14ac:dyDescent="0.3">
      <c r="A863" s="1" t="s">
        <v>2600</v>
      </c>
      <c r="B863" t="s">
        <v>1505</v>
      </c>
      <c r="C863" t="s">
        <v>711</v>
      </c>
      <c r="D863" t="s">
        <v>1361</v>
      </c>
      <c r="E863" t="s">
        <v>569</v>
      </c>
      <c r="F863" t="s">
        <v>761</v>
      </c>
      <c r="G863" t="s">
        <v>1467</v>
      </c>
      <c r="H863" t="s">
        <v>737</v>
      </c>
      <c r="I863" t="s">
        <v>2601</v>
      </c>
      <c r="J863" t="s">
        <v>2602</v>
      </c>
      <c r="K863" t="s">
        <v>2603</v>
      </c>
      <c r="L863" t="s">
        <v>1471</v>
      </c>
      <c r="M863" t="s">
        <v>1471</v>
      </c>
      <c r="N863" t="s">
        <v>743</v>
      </c>
      <c r="O863">
        <v>27</v>
      </c>
      <c r="P863">
        <v>0</v>
      </c>
      <c r="Q863">
        <v>228</v>
      </c>
      <c r="R863" t="s">
        <v>744</v>
      </c>
      <c r="S863" t="s">
        <v>745</v>
      </c>
      <c r="T863" t="s">
        <v>746</v>
      </c>
      <c r="U863" t="s">
        <v>771</v>
      </c>
    </row>
    <row r="864" spans="1:21" hidden="1" x14ac:dyDescent="0.3">
      <c r="A864" s="1" t="s">
        <v>2600</v>
      </c>
      <c r="B864" t="s">
        <v>1501</v>
      </c>
      <c r="C864" t="s">
        <v>750</v>
      </c>
      <c r="D864" t="s">
        <v>777</v>
      </c>
      <c r="E864" t="s">
        <v>569</v>
      </c>
      <c r="F864" t="s">
        <v>778</v>
      </c>
      <c r="G864" t="s">
        <v>2208</v>
      </c>
      <c r="H864" t="s">
        <v>2209</v>
      </c>
      <c r="I864" t="s">
        <v>2604</v>
      </c>
      <c r="J864" t="s">
        <v>2605</v>
      </c>
      <c r="K864" t="s">
        <v>2606</v>
      </c>
      <c r="L864" t="s">
        <v>2213</v>
      </c>
      <c r="M864" t="s">
        <v>2213</v>
      </c>
      <c r="N864" t="s">
        <v>721</v>
      </c>
      <c r="O864">
        <v>26</v>
      </c>
      <c r="P864">
        <v>0</v>
      </c>
      <c r="Q864">
        <v>229</v>
      </c>
      <c r="R864" t="s">
        <v>744</v>
      </c>
      <c r="S864" t="s">
        <v>723</v>
      </c>
      <c r="T864" t="s">
        <v>2214</v>
      </c>
      <c r="U864" t="s">
        <v>725</v>
      </c>
    </row>
    <row r="865" spans="1:21" hidden="1" x14ac:dyDescent="0.3">
      <c r="A865" s="1" t="s">
        <v>2600</v>
      </c>
      <c r="B865" t="s">
        <v>1501</v>
      </c>
      <c r="C865" t="s">
        <v>750</v>
      </c>
      <c r="D865" t="s">
        <v>782</v>
      </c>
      <c r="E865" t="s">
        <v>569</v>
      </c>
      <c r="F865" t="s">
        <v>783</v>
      </c>
      <c r="G865" t="s">
        <v>714</v>
      </c>
      <c r="H865" t="s">
        <v>715</v>
      </c>
      <c r="I865" t="s">
        <v>2607</v>
      </c>
      <c r="J865" t="s">
        <v>2608</v>
      </c>
      <c r="K865" t="s">
        <v>2609</v>
      </c>
      <c r="L865" t="s">
        <v>1082</v>
      </c>
      <c r="M865" t="s">
        <v>720</v>
      </c>
      <c r="N865" t="s">
        <v>721</v>
      </c>
      <c r="O865">
        <v>6</v>
      </c>
      <c r="P865">
        <v>0</v>
      </c>
      <c r="Q865">
        <v>7</v>
      </c>
      <c r="R865" t="s">
        <v>798</v>
      </c>
      <c r="S865" t="s">
        <v>723</v>
      </c>
      <c r="T865" t="s">
        <v>1083</v>
      </c>
      <c r="U865" t="s">
        <v>707</v>
      </c>
    </row>
    <row r="866" spans="1:21" hidden="1" x14ac:dyDescent="0.3">
      <c r="A866" s="1" t="s">
        <v>2600</v>
      </c>
      <c r="B866" t="s">
        <v>1501</v>
      </c>
      <c r="C866" t="s">
        <v>750</v>
      </c>
      <c r="D866" t="s">
        <v>821</v>
      </c>
      <c r="E866" t="s">
        <v>569</v>
      </c>
      <c r="F866" t="s">
        <v>822</v>
      </c>
      <c r="G866" t="s">
        <v>714</v>
      </c>
      <c r="H866" t="s">
        <v>715</v>
      </c>
      <c r="I866" t="s">
        <v>2610</v>
      </c>
      <c r="J866" t="s">
        <v>2217</v>
      </c>
      <c r="K866" t="s">
        <v>2611</v>
      </c>
      <c r="L866" t="s">
        <v>1082</v>
      </c>
      <c r="M866" t="s">
        <v>720</v>
      </c>
      <c r="N866" t="s">
        <v>721</v>
      </c>
      <c r="O866">
        <v>30</v>
      </c>
      <c r="P866">
        <v>0</v>
      </c>
      <c r="Q866">
        <v>11</v>
      </c>
      <c r="R866" t="s">
        <v>798</v>
      </c>
      <c r="S866" t="s">
        <v>723</v>
      </c>
      <c r="T866" t="s">
        <v>1083</v>
      </c>
      <c r="U866" t="s">
        <v>707</v>
      </c>
    </row>
    <row r="867" spans="1:21" hidden="1" x14ac:dyDescent="0.3">
      <c r="A867" s="1" t="s">
        <v>2600</v>
      </c>
      <c r="B867" t="s">
        <v>1501</v>
      </c>
      <c r="C867" t="s">
        <v>750</v>
      </c>
      <c r="D867" t="s">
        <v>859</v>
      </c>
      <c r="E867" t="s">
        <v>569</v>
      </c>
      <c r="F867" t="s">
        <v>860</v>
      </c>
      <c r="G867" t="s">
        <v>714</v>
      </c>
      <c r="H867" t="s">
        <v>715</v>
      </c>
      <c r="I867" t="s">
        <v>2612</v>
      </c>
      <c r="J867" t="s">
        <v>2613</v>
      </c>
      <c r="K867" t="s">
        <v>2614</v>
      </c>
      <c r="L867" t="s">
        <v>1082</v>
      </c>
      <c r="M867" t="s">
        <v>720</v>
      </c>
      <c r="N867" t="s">
        <v>721</v>
      </c>
      <c r="O867">
        <v>0</v>
      </c>
      <c r="P867">
        <v>0</v>
      </c>
      <c r="Q867">
        <v>32</v>
      </c>
      <c r="R867" t="s">
        <v>798</v>
      </c>
      <c r="S867" t="s">
        <v>723</v>
      </c>
      <c r="T867" t="s">
        <v>1083</v>
      </c>
      <c r="U867" t="s">
        <v>707</v>
      </c>
    </row>
    <row r="868" spans="1:21" hidden="1" x14ac:dyDescent="0.3">
      <c r="A868" s="1" t="s">
        <v>2600</v>
      </c>
      <c r="B868" t="s">
        <v>1501</v>
      </c>
      <c r="C868" t="s">
        <v>750</v>
      </c>
      <c r="D868" t="s">
        <v>884</v>
      </c>
      <c r="E868" t="s">
        <v>569</v>
      </c>
      <c r="F868" t="s">
        <v>885</v>
      </c>
      <c r="G868" t="s">
        <v>714</v>
      </c>
      <c r="H868" t="s">
        <v>715</v>
      </c>
      <c r="I868" t="s">
        <v>2615</v>
      </c>
      <c r="J868" t="s">
        <v>2616</v>
      </c>
      <c r="K868" t="s">
        <v>1866</v>
      </c>
      <c r="L868" t="s">
        <v>1082</v>
      </c>
      <c r="M868" t="s">
        <v>720</v>
      </c>
      <c r="N868" t="s">
        <v>721</v>
      </c>
      <c r="O868">
        <v>30</v>
      </c>
      <c r="P868">
        <v>0</v>
      </c>
      <c r="Q868">
        <v>37</v>
      </c>
      <c r="R868" t="s">
        <v>798</v>
      </c>
      <c r="S868" t="s">
        <v>723</v>
      </c>
      <c r="T868" t="s">
        <v>1083</v>
      </c>
      <c r="U868" t="s">
        <v>707</v>
      </c>
    </row>
    <row r="869" spans="1:21" hidden="1" x14ac:dyDescent="0.3">
      <c r="A869" s="1" t="s">
        <v>2600</v>
      </c>
      <c r="B869" t="s">
        <v>1501</v>
      </c>
      <c r="C869" t="s">
        <v>750</v>
      </c>
      <c r="D869" t="s">
        <v>945</v>
      </c>
      <c r="E869" t="s">
        <v>569</v>
      </c>
      <c r="F869" t="s">
        <v>946</v>
      </c>
      <c r="G869" t="s">
        <v>714</v>
      </c>
      <c r="H869" t="s">
        <v>715</v>
      </c>
      <c r="I869" t="s">
        <v>2617</v>
      </c>
      <c r="J869" t="s">
        <v>2618</v>
      </c>
      <c r="K869" t="s">
        <v>2619</v>
      </c>
      <c r="L869" t="s">
        <v>1082</v>
      </c>
      <c r="M869" t="s">
        <v>720</v>
      </c>
      <c r="N869" t="s">
        <v>721</v>
      </c>
      <c r="O869">
        <v>7</v>
      </c>
      <c r="P869">
        <v>0</v>
      </c>
      <c r="Q869">
        <v>28</v>
      </c>
      <c r="R869" t="s">
        <v>798</v>
      </c>
      <c r="S869" t="s">
        <v>723</v>
      </c>
      <c r="T869" t="s">
        <v>1083</v>
      </c>
      <c r="U869" t="s">
        <v>707</v>
      </c>
    </row>
    <row r="870" spans="1:21" hidden="1" x14ac:dyDescent="0.3">
      <c r="A870" s="1" t="s">
        <v>2600</v>
      </c>
      <c r="B870" t="s">
        <v>1501</v>
      </c>
      <c r="C870" t="s">
        <v>750</v>
      </c>
      <c r="D870" t="s">
        <v>1062</v>
      </c>
      <c r="E870" t="s">
        <v>568</v>
      </c>
      <c r="F870" t="s">
        <v>1063</v>
      </c>
      <c r="G870" t="s">
        <v>714</v>
      </c>
      <c r="H870" t="s">
        <v>715</v>
      </c>
      <c r="I870" t="s">
        <v>2620</v>
      </c>
      <c r="J870" t="s">
        <v>2621</v>
      </c>
      <c r="K870" t="s">
        <v>2000</v>
      </c>
      <c r="L870" t="s">
        <v>1082</v>
      </c>
      <c r="M870" t="s">
        <v>720</v>
      </c>
      <c r="N870" t="s">
        <v>721</v>
      </c>
      <c r="O870">
        <v>4</v>
      </c>
      <c r="P870">
        <v>0</v>
      </c>
      <c r="Q870">
        <v>56</v>
      </c>
      <c r="R870" t="s">
        <v>798</v>
      </c>
      <c r="S870" t="s">
        <v>723</v>
      </c>
      <c r="T870" t="s">
        <v>1083</v>
      </c>
      <c r="U870" t="s">
        <v>707</v>
      </c>
    </row>
    <row r="871" spans="1:21" hidden="1" x14ac:dyDescent="0.3">
      <c r="A871" s="1" t="s">
        <v>2600</v>
      </c>
      <c r="B871" t="s">
        <v>1501</v>
      </c>
      <c r="C871" t="s">
        <v>750</v>
      </c>
      <c r="D871" t="s">
        <v>1099</v>
      </c>
      <c r="E871" t="s">
        <v>568</v>
      </c>
      <c r="F871" t="s">
        <v>1100</v>
      </c>
      <c r="G871" t="s">
        <v>714</v>
      </c>
      <c r="H871" t="s">
        <v>715</v>
      </c>
      <c r="I871" t="s">
        <v>2622</v>
      </c>
      <c r="J871" t="s">
        <v>2623</v>
      </c>
      <c r="K871" t="s">
        <v>2624</v>
      </c>
      <c r="L871" t="s">
        <v>1082</v>
      </c>
      <c r="M871" t="s">
        <v>720</v>
      </c>
      <c r="N871" t="s">
        <v>721</v>
      </c>
      <c r="O871">
        <v>2</v>
      </c>
      <c r="P871">
        <v>0</v>
      </c>
      <c r="Q871">
        <v>46</v>
      </c>
      <c r="R871" t="s">
        <v>798</v>
      </c>
      <c r="S871" t="s">
        <v>723</v>
      </c>
      <c r="T871" t="s">
        <v>1083</v>
      </c>
      <c r="U871" t="s">
        <v>707</v>
      </c>
    </row>
    <row r="872" spans="1:21" hidden="1" x14ac:dyDescent="0.3">
      <c r="A872" s="1" t="s">
        <v>2600</v>
      </c>
      <c r="B872" t="s">
        <v>1501</v>
      </c>
      <c r="C872" t="s">
        <v>750</v>
      </c>
      <c r="D872" t="s">
        <v>1259</v>
      </c>
      <c r="E872" t="s">
        <v>567</v>
      </c>
      <c r="F872" t="s">
        <v>1260</v>
      </c>
      <c r="G872" t="s">
        <v>714</v>
      </c>
      <c r="H872" t="s">
        <v>715</v>
      </c>
      <c r="I872" t="s">
        <v>2625</v>
      </c>
      <c r="J872" t="s">
        <v>2188</v>
      </c>
      <c r="K872" t="s">
        <v>2626</v>
      </c>
      <c r="L872" t="s">
        <v>1082</v>
      </c>
      <c r="M872" t="s">
        <v>720</v>
      </c>
      <c r="N872" t="s">
        <v>721</v>
      </c>
      <c r="O872">
        <v>2</v>
      </c>
      <c r="P872">
        <v>0</v>
      </c>
      <c r="Q872">
        <v>99</v>
      </c>
      <c r="R872" t="s">
        <v>798</v>
      </c>
      <c r="S872" t="s">
        <v>723</v>
      </c>
      <c r="T872" t="s">
        <v>1083</v>
      </c>
      <c r="U872" t="s">
        <v>707</v>
      </c>
    </row>
    <row r="873" spans="1:21" hidden="1" x14ac:dyDescent="0.3">
      <c r="A873" s="1" t="s">
        <v>2600</v>
      </c>
      <c r="B873" t="s">
        <v>1501</v>
      </c>
      <c r="C873" t="s">
        <v>750</v>
      </c>
      <c r="D873" t="s">
        <v>1305</v>
      </c>
      <c r="E873" t="s">
        <v>567</v>
      </c>
      <c r="F873" t="s">
        <v>1306</v>
      </c>
      <c r="G873" t="s">
        <v>714</v>
      </c>
      <c r="H873" t="s">
        <v>715</v>
      </c>
      <c r="I873" t="s">
        <v>2627</v>
      </c>
      <c r="J873" t="s">
        <v>2628</v>
      </c>
      <c r="K873" t="s">
        <v>2629</v>
      </c>
      <c r="L873" t="s">
        <v>1082</v>
      </c>
      <c r="M873" t="s">
        <v>720</v>
      </c>
      <c r="N873" t="s">
        <v>721</v>
      </c>
      <c r="O873">
        <v>6</v>
      </c>
      <c r="P873">
        <v>0</v>
      </c>
      <c r="Q873">
        <v>111</v>
      </c>
      <c r="R873" t="s">
        <v>798</v>
      </c>
      <c r="S873" t="s">
        <v>723</v>
      </c>
      <c r="T873" t="s">
        <v>1083</v>
      </c>
      <c r="U873" t="s">
        <v>707</v>
      </c>
    </row>
    <row r="874" spans="1:21" hidden="1" x14ac:dyDescent="0.3">
      <c r="A874" s="1" t="s">
        <v>2600</v>
      </c>
      <c r="B874" t="s">
        <v>1501</v>
      </c>
      <c r="C874" t="s">
        <v>750</v>
      </c>
      <c r="D874" t="s">
        <v>1355</v>
      </c>
      <c r="E874" t="s">
        <v>569</v>
      </c>
      <c r="F874" t="s">
        <v>752</v>
      </c>
      <c r="G874" t="s">
        <v>714</v>
      </c>
      <c r="H874" t="s">
        <v>715</v>
      </c>
      <c r="I874" t="s">
        <v>2630</v>
      </c>
      <c r="J874" t="s">
        <v>2631</v>
      </c>
      <c r="K874" t="s">
        <v>2632</v>
      </c>
      <c r="L874" t="s">
        <v>1082</v>
      </c>
      <c r="M874" t="s">
        <v>720</v>
      </c>
      <c r="N874" t="s">
        <v>721</v>
      </c>
      <c r="O874">
        <v>4</v>
      </c>
      <c r="P874">
        <v>0</v>
      </c>
      <c r="Q874">
        <v>0</v>
      </c>
      <c r="R874" t="s">
        <v>798</v>
      </c>
      <c r="S874" t="s">
        <v>723</v>
      </c>
      <c r="T874" t="s">
        <v>1083</v>
      </c>
      <c r="U874" t="s">
        <v>707</v>
      </c>
    </row>
    <row r="875" spans="1:21" hidden="1" x14ac:dyDescent="0.3">
      <c r="A875" s="1" t="s">
        <v>2600</v>
      </c>
      <c r="B875" t="s">
        <v>1501</v>
      </c>
      <c r="C875" t="s">
        <v>750</v>
      </c>
      <c r="D875" t="s">
        <v>1363</v>
      </c>
      <c r="E875" t="s">
        <v>569</v>
      </c>
      <c r="F875" t="s">
        <v>783</v>
      </c>
      <c r="G875" t="s">
        <v>714</v>
      </c>
      <c r="H875" t="s">
        <v>715</v>
      </c>
      <c r="I875" t="s">
        <v>2607</v>
      </c>
      <c r="J875" t="s">
        <v>2608</v>
      </c>
      <c r="K875" t="s">
        <v>2609</v>
      </c>
      <c r="L875" t="s">
        <v>1082</v>
      </c>
      <c r="M875" t="s">
        <v>720</v>
      </c>
      <c r="N875" t="s">
        <v>721</v>
      </c>
      <c r="O875">
        <v>6</v>
      </c>
      <c r="P875">
        <v>0</v>
      </c>
      <c r="Q875">
        <v>7</v>
      </c>
      <c r="R875" t="s">
        <v>798</v>
      </c>
      <c r="S875" t="s">
        <v>723</v>
      </c>
      <c r="T875" t="s">
        <v>1083</v>
      </c>
      <c r="U875" t="s">
        <v>707</v>
      </c>
    </row>
    <row r="876" spans="1:21" hidden="1" x14ac:dyDescent="0.3">
      <c r="A876" s="1" t="s">
        <v>2600</v>
      </c>
      <c r="B876" t="s">
        <v>1501</v>
      </c>
      <c r="C876" t="s">
        <v>750</v>
      </c>
      <c r="D876" t="s">
        <v>1364</v>
      </c>
      <c r="E876" t="s">
        <v>569</v>
      </c>
      <c r="F876" t="s">
        <v>788</v>
      </c>
      <c r="G876" t="s">
        <v>714</v>
      </c>
      <c r="H876" t="s">
        <v>715</v>
      </c>
      <c r="I876" t="s">
        <v>2633</v>
      </c>
      <c r="J876" t="s">
        <v>2634</v>
      </c>
      <c r="K876" t="s">
        <v>2635</v>
      </c>
      <c r="L876" t="s">
        <v>1082</v>
      </c>
      <c r="M876" t="s">
        <v>720</v>
      </c>
      <c r="N876" t="s">
        <v>721</v>
      </c>
      <c r="O876">
        <v>11</v>
      </c>
      <c r="P876">
        <v>0</v>
      </c>
      <c r="Q876">
        <v>5</v>
      </c>
      <c r="R876" t="s">
        <v>798</v>
      </c>
      <c r="S876" t="s">
        <v>723</v>
      </c>
      <c r="T876" t="s">
        <v>1083</v>
      </c>
      <c r="U876" t="s">
        <v>707</v>
      </c>
    </row>
    <row r="877" spans="1:21" hidden="1" x14ac:dyDescent="0.3">
      <c r="A877" s="1" t="s">
        <v>2600</v>
      </c>
      <c r="B877" t="s">
        <v>1501</v>
      </c>
      <c r="C877" t="s">
        <v>750</v>
      </c>
      <c r="D877" t="s">
        <v>1380</v>
      </c>
      <c r="E877" t="s">
        <v>569</v>
      </c>
      <c r="F877" t="s">
        <v>895</v>
      </c>
      <c r="G877" t="s">
        <v>714</v>
      </c>
      <c r="H877" t="s">
        <v>715</v>
      </c>
      <c r="I877" t="s">
        <v>2636</v>
      </c>
      <c r="J877" t="s">
        <v>2637</v>
      </c>
      <c r="K877" t="s">
        <v>2638</v>
      </c>
      <c r="L877" t="s">
        <v>1082</v>
      </c>
      <c r="M877" t="s">
        <v>720</v>
      </c>
      <c r="N877" t="s">
        <v>721</v>
      </c>
      <c r="O877">
        <v>1</v>
      </c>
      <c r="P877">
        <v>0</v>
      </c>
      <c r="Q877">
        <v>25</v>
      </c>
      <c r="R877" t="s">
        <v>798</v>
      </c>
      <c r="S877" t="s">
        <v>723</v>
      </c>
      <c r="T877" t="s">
        <v>1083</v>
      </c>
      <c r="U877" t="s">
        <v>707</v>
      </c>
    </row>
    <row r="878" spans="1:21" hidden="1" x14ac:dyDescent="0.3">
      <c r="A878" s="1" t="s">
        <v>2600</v>
      </c>
      <c r="B878" t="s">
        <v>1501</v>
      </c>
      <c r="C878" t="s">
        <v>750</v>
      </c>
      <c r="D878" t="s">
        <v>1382</v>
      </c>
      <c r="E878" t="s">
        <v>569</v>
      </c>
      <c r="F878" t="s">
        <v>906</v>
      </c>
      <c r="G878" t="s">
        <v>714</v>
      </c>
      <c r="H878" t="s">
        <v>715</v>
      </c>
      <c r="I878" t="s">
        <v>2639</v>
      </c>
      <c r="J878" t="s">
        <v>2640</v>
      </c>
      <c r="K878" t="s">
        <v>2641</v>
      </c>
      <c r="L878" t="s">
        <v>1082</v>
      </c>
      <c r="M878" t="s">
        <v>720</v>
      </c>
      <c r="N878" t="s">
        <v>721</v>
      </c>
      <c r="O878">
        <v>10</v>
      </c>
      <c r="P878">
        <v>0</v>
      </c>
      <c r="Q878">
        <v>34</v>
      </c>
      <c r="R878" t="s">
        <v>798</v>
      </c>
      <c r="S878" t="s">
        <v>723</v>
      </c>
      <c r="T878" t="s">
        <v>1083</v>
      </c>
      <c r="U878" t="s">
        <v>707</v>
      </c>
    </row>
    <row r="879" spans="1:21" hidden="1" x14ac:dyDescent="0.3">
      <c r="A879" s="1" t="s">
        <v>2600</v>
      </c>
      <c r="B879" t="s">
        <v>1501</v>
      </c>
      <c r="C879" t="s">
        <v>750</v>
      </c>
      <c r="D879" t="s">
        <v>1384</v>
      </c>
      <c r="E879" t="s">
        <v>569</v>
      </c>
      <c r="F879" t="s">
        <v>926</v>
      </c>
      <c r="G879" t="s">
        <v>714</v>
      </c>
      <c r="H879" t="s">
        <v>715</v>
      </c>
      <c r="I879" t="s">
        <v>2642</v>
      </c>
      <c r="J879" t="s">
        <v>2643</v>
      </c>
      <c r="K879" t="s">
        <v>2644</v>
      </c>
      <c r="L879" t="s">
        <v>1082</v>
      </c>
      <c r="M879" t="s">
        <v>720</v>
      </c>
      <c r="N879" t="s">
        <v>721</v>
      </c>
      <c r="O879">
        <v>10</v>
      </c>
      <c r="P879">
        <v>0</v>
      </c>
      <c r="Q879">
        <v>31</v>
      </c>
      <c r="R879" t="s">
        <v>798</v>
      </c>
      <c r="S879" t="s">
        <v>723</v>
      </c>
      <c r="T879" t="s">
        <v>1083</v>
      </c>
      <c r="U879" t="s">
        <v>707</v>
      </c>
    </row>
    <row r="880" spans="1:21" hidden="1" x14ac:dyDescent="0.3">
      <c r="A880" s="1" t="s">
        <v>2600</v>
      </c>
      <c r="B880" t="s">
        <v>1501</v>
      </c>
      <c r="C880" t="s">
        <v>750</v>
      </c>
      <c r="D880" t="s">
        <v>1385</v>
      </c>
      <c r="E880" t="s">
        <v>569</v>
      </c>
      <c r="F880" t="s">
        <v>931</v>
      </c>
      <c r="G880" t="s">
        <v>714</v>
      </c>
      <c r="H880" t="s">
        <v>715</v>
      </c>
      <c r="I880" t="s">
        <v>2235</v>
      </c>
      <c r="J880" t="s">
        <v>2645</v>
      </c>
      <c r="K880" t="s">
        <v>2237</v>
      </c>
      <c r="L880" t="s">
        <v>1082</v>
      </c>
      <c r="M880" t="s">
        <v>720</v>
      </c>
      <c r="N880" t="s">
        <v>721</v>
      </c>
      <c r="O880">
        <v>30</v>
      </c>
      <c r="P880">
        <v>0</v>
      </c>
      <c r="Q880">
        <v>35</v>
      </c>
      <c r="R880" t="s">
        <v>798</v>
      </c>
      <c r="S880" t="s">
        <v>723</v>
      </c>
      <c r="T880" t="s">
        <v>1083</v>
      </c>
      <c r="U880" t="s">
        <v>707</v>
      </c>
    </row>
    <row r="881" spans="1:21" hidden="1" x14ac:dyDescent="0.3">
      <c r="A881" s="1" t="s">
        <v>2600</v>
      </c>
      <c r="B881" t="s">
        <v>1501</v>
      </c>
      <c r="C881" t="s">
        <v>750</v>
      </c>
      <c r="D881" t="s">
        <v>1387</v>
      </c>
      <c r="E881" t="s">
        <v>569</v>
      </c>
      <c r="F881" t="s">
        <v>1388</v>
      </c>
      <c r="G881" t="s">
        <v>714</v>
      </c>
      <c r="H881" t="s">
        <v>715</v>
      </c>
      <c r="I881" t="s">
        <v>2646</v>
      </c>
      <c r="J881" t="s">
        <v>2647</v>
      </c>
      <c r="K881" t="s">
        <v>1391</v>
      </c>
      <c r="L881" t="s">
        <v>1082</v>
      </c>
      <c r="M881" t="s">
        <v>720</v>
      </c>
      <c r="N881" t="s">
        <v>721</v>
      </c>
      <c r="O881">
        <v>10</v>
      </c>
      <c r="P881">
        <v>0</v>
      </c>
      <c r="Q881">
        <v>17</v>
      </c>
      <c r="R881" t="s">
        <v>798</v>
      </c>
      <c r="S881" t="s">
        <v>723</v>
      </c>
      <c r="T881" t="s">
        <v>1083</v>
      </c>
      <c r="U881" t="s">
        <v>707</v>
      </c>
    </row>
    <row r="882" spans="1:21" hidden="1" x14ac:dyDescent="0.3">
      <c r="A882" s="1" t="s">
        <v>2600</v>
      </c>
      <c r="B882" t="s">
        <v>1501</v>
      </c>
      <c r="C882" t="s">
        <v>750</v>
      </c>
      <c r="D882" t="s">
        <v>1392</v>
      </c>
      <c r="E882" t="s">
        <v>569</v>
      </c>
      <c r="F882" t="s">
        <v>961</v>
      </c>
      <c r="G882" t="s">
        <v>794</v>
      </c>
      <c r="H882" t="s">
        <v>715</v>
      </c>
      <c r="I882" t="s">
        <v>2604</v>
      </c>
      <c r="J882" t="s">
        <v>2648</v>
      </c>
      <c r="K882" t="s">
        <v>2649</v>
      </c>
      <c r="L882" t="s">
        <v>826</v>
      </c>
      <c r="M882" t="s">
        <v>720</v>
      </c>
      <c r="N882" t="s">
        <v>721</v>
      </c>
      <c r="O882">
        <v>8</v>
      </c>
      <c r="P882">
        <v>10</v>
      </c>
      <c r="Q882">
        <v>28</v>
      </c>
      <c r="R882" t="s">
        <v>722</v>
      </c>
      <c r="S882" t="s">
        <v>745</v>
      </c>
      <c r="T882" t="s">
        <v>746</v>
      </c>
      <c r="U882" t="s">
        <v>832</v>
      </c>
    </row>
    <row r="883" spans="1:21" hidden="1" x14ac:dyDescent="0.3">
      <c r="A883" s="1" t="s">
        <v>2600</v>
      </c>
      <c r="B883" t="s">
        <v>1501</v>
      </c>
      <c r="C883" t="s">
        <v>750</v>
      </c>
      <c r="D883" t="s">
        <v>1394</v>
      </c>
      <c r="E883" t="s">
        <v>568</v>
      </c>
      <c r="F883" t="s">
        <v>987</v>
      </c>
      <c r="G883" t="s">
        <v>714</v>
      </c>
      <c r="H883" t="s">
        <v>715</v>
      </c>
      <c r="I883" t="s">
        <v>2650</v>
      </c>
      <c r="J883" t="s">
        <v>2651</v>
      </c>
      <c r="K883" t="s">
        <v>2249</v>
      </c>
      <c r="L883" t="s">
        <v>1082</v>
      </c>
      <c r="M883" t="s">
        <v>720</v>
      </c>
      <c r="N883" t="s">
        <v>721</v>
      </c>
      <c r="O883">
        <v>8</v>
      </c>
      <c r="P883">
        <v>0</v>
      </c>
      <c r="Q883">
        <v>66</v>
      </c>
      <c r="R883" t="s">
        <v>798</v>
      </c>
      <c r="S883" t="s">
        <v>723</v>
      </c>
      <c r="T883" t="s">
        <v>1083</v>
      </c>
      <c r="U883" t="s">
        <v>707</v>
      </c>
    </row>
    <row r="884" spans="1:21" hidden="1" x14ac:dyDescent="0.3">
      <c r="A884" s="1" t="s">
        <v>2600</v>
      </c>
      <c r="B884" t="s">
        <v>1501</v>
      </c>
      <c r="C884" t="s">
        <v>750</v>
      </c>
      <c r="D884" t="s">
        <v>1396</v>
      </c>
      <c r="E884" t="s">
        <v>568</v>
      </c>
      <c r="F884" t="s">
        <v>997</v>
      </c>
      <c r="G884" t="s">
        <v>714</v>
      </c>
      <c r="H884" t="s">
        <v>715</v>
      </c>
      <c r="I884" t="s">
        <v>2652</v>
      </c>
      <c r="J884" t="s">
        <v>2653</v>
      </c>
      <c r="K884" t="s">
        <v>2654</v>
      </c>
      <c r="L884" t="s">
        <v>1082</v>
      </c>
      <c r="M884" t="s">
        <v>720</v>
      </c>
      <c r="N884" t="s">
        <v>721</v>
      </c>
      <c r="O884">
        <v>30</v>
      </c>
      <c r="P884">
        <v>0</v>
      </c>
      <c r="Q884">
        <v>74</v>
      </c>
      <c r="R884" t="s">
        <v>798</v>
      </c>
      <c r="S884" t="s">
        <v>723</v>
      </c>
      <c r="T884" t="s">
        <v>1083</v>
      </c>
      <c r="U884" t="s">
        <v>707</v>
      </c>
    </row>
    <row r="885" spans="1:21" hidden="1" x14ac:dyDescent="0.3">
      <c r="A885" s="1" t="s">
        <v>2600</v>
      </c>
      <c r="B885" t="s">
        <v>1501</v>
      </c>
      <c r="C885" t="s">
        <v>750</v>
      </c>
      <c r="D885" t="s">
        <v>1397</v>
      </c>
      <c r="E885" t="s">
        <v>568</v>
      </c>
      <c r="F885" t="s">
        <v>1002</v>
      </c>
      <c r="G885" t="s">
        <v>714</v>
      </c>
      <c r="H885" t="s">
        <v>715</v>
      </c>
      <c r="I885" t="s">
        <v>2154</v>
      </c>
      <c r="J885" t="s">
        <v>2655</v>
      </c>
      <c r="K885" t="s">
        <v>2156</v>
      </c>
      <c r="L885" t="s">
        <v>1082</v>
      </c>
      <c r="M885" t="s">
        <v>720</v>
      </c>
      <c r="N885" t="s">
        <v>721</v>
      </c>
      <c r="O885">
        <v>0</v>
      </c>
      <c r="P885">
        <v>0</v>
      </c>
      <c r="Q885">
        <v>78</v>
      </c>
      <c r="R885" t="s">
        <v>798</v>
      </c>
      <c r="S885" t="s">
        <v>723</v>
      </c>
      <c r="T885" t="s">
        <v>1083</v>
      </c>
      <c r="U885" t="s">
        <v>707</v>
      </c>
    </row>
    <row r="886" spans="1:21" hidden="1" x14ac:dyDescent="0.3">
      <c r="A886" s="1" t="s">
        <v>2600</v>
      </c>
      <c r="B886" t="s">
        <v>1501</v>
      </c>
      <c r="C886" t="s">
        <v>750</v>
      </c>
      <c r="D886" t="s">
        <v>1400</v>
      </c>
      <c r="E886" t="s">
        <v>568</v>
      </c>
      <c r="F886" t="s">
        <v>1401</v>
      </c>
      <c r="G886" t="s">
        <v>714</v>
      </c>
      <c r="H886" t="s">
        <v>715</v>
      </c>
      <c r="I886" t="s">
        <v>2253</v>
      </c>
      <c r="J886" t="s">
        <v>2656</v>
      </c>
      <c r="K886" t="s">
        <v>2255</v>
      </c>
      <c r="L886" t="s">
        <v>1082</v>
      </c>
      <c r="M886" t="s">
        <v>720</v>
      </c>
      <c r="N886" t="s">
        <v>721</v>
      </c>
      <c r="O886">
        <v>30</v>
      </c>
      <c r="P886">
        <v>0</v>
      </c>
      <c r="Q886">
        <v>40</v>
      </c>
      <c r="R886" t="s">
        <v>798</v>
      </c>
      <c r="S886" t="s">
        <v>723</v>
      </c>
      <c r="T886" t="s">
        <v>1083</v>
      </c>
      <c r="U886" t="s">
        <v>707</v>
      </c>
    </row>
    <row r="887" spans="1:21" hidden="1" x14ac:dyDescent="0.3">
      <c r="A887" s="1" t="s">
        <v>2600</v>
      </c>
      <c r="B887" t="s">
        <v>1501</v>
      </c>
      <c r="C887" t="s">
        <v>750</v>
      </c>
      <c r="D887" t="s">
        <v>1405</v>
      </c>
      <c r="E887" t="s">
        <v>568</v>
      </c>
      <c r="F887" t="s">
        <v>1043</v>
      </c>
      <c r="G887" t="s">
        <v>714</v>
      </c>
      <c r="H887" t="s">
        <v>715</v>
      </c>
      <c r="I887" t="s">
        <v>2657</v>
      </c>
      <c r="J887" t="s">
        <v>2658</v>
      </c>
      <c r="K887" t="s">
        <v>2659</v>
      </c>
      <c r="L887" t="s">
        <v>1082</v>
      </c>
      <c r="M887" t="s">
        <v>720</v>
      </c>
      <c r="N887" t="s">
        <v>721</v>
      </c>
      <c r="O887">
        <v>0</v>
      </c>
      <c r="P887">
        <v>0</v>
      </c>
      <c r="Q887">
        <v>45</v>
      </c>
      <c r="R887" t="s">
        <v>798</v>
      </c>
      <c r="S887" t="s">
        <v>723</v>
      </c>
      <c r="T887" t="s">
        <v>1083</v>
      </c>
      <c r="U887" t="s">
        <v>707</v>
      </c>
    </row>
    <row r="888" spans="1:21" hidden="1" x14ac:dyDescent="0.3">
      <c r="A888" s="1" t="s">
        <v>2600</v>
      </c>
      <c r="B888" t="s">
        <v>1501</v>
      </c>
      <c r="C888" t="s">
        <v>750</v>
      </c>
      <c r="D888" t="s">
        <v>1412</v>
      </c>
      <c r="E888" t="s">
        <v>568</v>
      </c>
      <c r="F888" t="s">
        <v>1053</v>
      </c>
      <c r="G888" t="s">
        <v>714</v>
      </c>
      <c r="H888" t="s">
        <v>715</v>
      </c>
      <c r="I888" t="s">
        <v>2660</v>
      </c>
      <c r="J888" t="s">
        <v>1080</v>
      </c>
      <c r="K888" t="s">
        <v>2261</v>
      </c>
      <c r="L888" t="s">
        <v>1082</v>
      </c>
      <c r="M888" t="s">
        <v>720</v>
      </c>
      <c r="N888" t="s">
        <v>721</v>
      </c>
      <c r="O888">
        <v>0</v>
      </c>
      <c r="P888">
        <v>0</v>
      </c>
      <c r="Q888">
        <v>49</v>
      </c>
      <c r="R888" t="s">
        <v>798</v>
      </c>
      <c r="S888" t="s">
        <v>723</v>
      </c>
      <c r="T888" t="s">
        <v>1083</v>
      </c>
      <c r="U888" t="s">
        <v>707</v>
      </c>
    </row>
    <row r="889" spans="1:21" hidden="1" x14ac:dyDescent="0.3">
      <c r="A889" s="1" t="s">
        <v>2600</v>
      </c>
      <c r="B889" t="s">
        <v>1501</v>
      </c>
      <c r="C889" t="s">
        <v>750</v>
      </c>
      <c r="D889" t="s">
        <v>2167</v>
      </c>
      <c r="E889" t="s">
        <v>568</v>
      </c>
      <c r="F889" t="s">
        <v>1058</v>
      </c>
      <c r="G889" t="s">
        <v>714</v>
      </c>
      <c r="H889" t="s">
        <v>715</v>
      </c>
      <c r="I889" t="s">
        <v>2661</v>
      </c>
      <c r="J889" t="s">
        <v>2662</v>
      </c>
      <c r="K889" t="s">
        <v>2264</v>
      </c>
      <c r="L889" t="s">
        <v>1082</v>
      </c>
      <c r="M889" t="s">
        <v>720</v>
      </c>
      <c r="N889" t="s">
        <v>721</v>
      </c>
      <c r="O889">
        <v>7</v>
      </c>
      <c r="P889">
        <v>0</v>
      </c>
      <c r="Q889">
        <v>53</v>
      </c>
      <c r="R889" t="s">
        <v>798</v>
      </c>
      <c r="S889" t="s">
        <v>723</v>
      </c>
      <c r="T889" t="s">
        <v>1083</v>
      </c>
      <c r="U889" t="s">
        <v>707</v>
      </c>
    </row>
    <row r="890" spans="1:21" hidden="1" x14ac:dyDescent="0.3">
      <c r="A890" s="1" t="s">
        <v>2600</v>
      </c>
      <c r="B890" t="s">
        <v>1501</v>
      </c>
      <c r="C890" t="s">
        <v>750</v>
      </c>
      <c r="D890" t="s">
        <v>1414</v>
      </c>
      <c r="E890" t="s">
        <v>568</v>
      </c>
      <c r="F890" t="s">
        <v>1078</v>
      </c>
      <c r="G890" t="s">
        <v>714</v>
      </c>
      <c r="H890" t="s">
        <v>715</v>
      </c>
      <c r="I890" t="s">
        <v>2663</v>
      </c>
      <c r="J890" t="s">
        <v>2664</v>
      </c>
      <c r="K890" t="s">
        <v>2665</v>
      </c>
      <c r="L890" t="s">
        <v>1082</v>
      </c>
      <c r="M890" t="s">
        <v>720</v>
      </c>
      <c r="N890" t="s">
        <v>721</v>
      </c>
      <c r="O890">
        <v>9</v>
      </c>
      <c r="P890">
        <v>0</v>
      </c>
      <c r="Q890">
        <v>50</v>
      </c>
      <c r="R890" t="s">
        <v>798</v>
      </c>
      <c r="S890" t="s">
        <v>723</v>
      </c>
      <c r="T890" t="s">
        <v>1083</v>
      </c>
      <c r="U890" t="s">
        <v>707</v>
      </c>
    </row>
    <row r="891" spans="1:21" hidden="1" x14ac:dyDescent="0.3">
      <c r="A891" s="1" t="s">
        <v>2600</v>
      </c>
      <c r="B891" t="s">
        <v>1501</v>
      </c>
      <c r="C891" t="s">
        <v>750</v>
      </c>
      <c r="D891" t="s">
        <v>727</v>
      </c>
      <c r="E891" t="s">
        <v>568</v>
      </c>
      <c r="F891" t="s">
        <v>728</v>
      </c>
      <c r="G891" t="s">
        <v>714</v>
      </c>
      <c r="H891" t="s">
        <v>715</v>
      </c>
      <c r="I891" t="s">
        <v>2666</v>
      </c>
      <c r="J891" t="s">
        <v>2667</v>
      </c>
      <c r="K891" t="s">
        <v>2269</v>
      </c>
      <c r="L891" t="s">
        <v>1082</v>
      </c>
      <c r="M891" t="s">
        <v>720</v>
      </c>
      <c r="N891" t="s">
        <v>721</v>
      </c>
      <c r="O891">
        <v>15</v>
      </c>
      <c r="P891">
        <v>0</v>
      </c>
      <c r="Q891">
        <v>44</v>
      </c>
      <c r="R891" t="s">
        <v>798</v>
      </c>
      <c r="S891" t="s">
        <v>723</v>
      </c>
      <c r="T891" t="s">
        <v>1083</v>
      </c>
      <c r="U891" t="s">
        <v>707</v>
      </c>
    </row>
    <row r="892" spans="1:21" hidden="1" x14ac:dyDescent="0.3">
      <c r="A892" s="1" t="s">
        <v>2600</v>
      </c>
      <c r="B892" t="s">
        <v>1501</v>
      </c>
      <c r="C892" t="s">
        <v>750</v>
      </c>
      <c r="D892" t="s">
        <v>1420</v>
      </c>
      <c r="E892" t="s">
        <v>568</v>
      </c>
      <c r="F892" t="s">
        <v>1149</v>
      </c>
      <c r="G892" t="s">
        <v>714</v>
      </c>
      <c r="H892" t="s">
        <v>715</v>
      </c>
      <c r="I892" t="s">
        <v>2668</v>
      </c>
      <c r="J892" t="s">
        <v>2669</v>
      </c>
      <c r="K892" t="s">
        <v>2670</v>
      </c>
      <c r="L892" t="s">
        <v>1082</v>
      </c>
      <c r="M892" t="s">
        <v>720</v>
      </c>
      <c r="N892" t="s">
        <v>721</v>
      </c>
      <c r="O892">
        <v>30</v>
      </c>
      <c r="P892">
        <v>0</v>
      </c>
      <c r="Q892">
        <v>65</v>
      </c>
      <c r="R892" t="s">
        <v>798</v>
      </c>
      <c r="S892" t="s">
        <v>723</v>
      </c>
      <c r="T892" t="s">
        <v>1083</v>
      </c>
      <c r="U892" t="s">
        <v>707</v>
      </c>
    </row>
    <row r="893" spans="1:21" hidden="1" x14ac:dyDescent="0.3">
      <c r="A893" s="1" t="s">
        <v>2600</v>
      </c>
      <c r="B893" t="s">
        <v>1501</v>
      </c>
      <c r="C893" t="s">
        <v>750</v>
      </c>
      <c r="D893" t="s">
        <v>1421</v>
      </c>
      <c r="E893" t="s">
        <v>568</v>
      </c>
      <c r="F893" t="s">
        <v>1154</v>
      </c>
      <c r="G893" t="s">
        <v>714</v>
      </c>
      <c r="H893" t="s">
        <v>715</v>
      </c>
      <c r="I893" t="s">
        <v>2671</v>
      </c>
      <c r="J893" t="s">
        <v>2672</v>
      </c>
      <c r="K893" t="s">
        <v>2272</v>
      </c>
      <c r="L893" t="s">
        <v>1082</v>
      </c>
      <c r="M893" t="s">
        <v>720</v>
      </c>
      <c r="N893" t="s">
        <v>721</v>
      </c>
      <c r="O893">
        <v>8</v>
      </c>
      <c r="P893">
        <v>0</v>
      </c>
      <c r="Q893">
        <v>69</v>
      </c>
      <c r="R893" t="s">
        <v>798</v>
      </c>
      <c r="S893" t="s">
        <v>723</v>
      </c>
      <c r="T893" t="s">
        <v>1083</v>
      </c>
      <c r="U893" t="s">
        <v>707</v>
      </c>
    </row>
    <row r="894" spans="1:21" hidden="1" x14ac:dyDescent="0.3">
      <c r="A894" s="1" t="s">
        <v>2600</v>
      </c>
      <c r="B894" t="s">
        <v>1501</v>
      </c>
      <c r="C894" t="s">
        <v>750</v>
      </c>
      <c r="D894" t="s">
        <v>1428</v>
      </c>
      <c r="E894" t="s">
        <v>568</v>
      </c>
      <c r="F894" t="s">
        <v>1159</v>
      </c>
      <c r="G894" t="s">
        <v>714</v>
      </c>
      <c r="H894" t="s">
        <v>715</v>
      </c>
      <c r="I894" t="s">
        <v>2673</v>
      </c>
      <c r="J894" t="s">
        <v>2674</v>
      </c>
      <c r="K894" t="s">
        <v>2275</v>
      </c>
      <c r="L894" t="s">
        <v>1082</v>
      </c>
      <c r="M894" t="s">
        <v>720</v>
      </c>
      <c r="N894" t="s">
        <v>721</v>
      </c>
      <c r="O894">
        <v>11</v>
      </c>
      <c r="P894">
        <v>0</v>
      </c>
      <c r="Q894">
        <v>61</v>
      </c>
      <c r="R894" t="s">
        <v>798</v>
      </c>
      <c r="S894" t="s">
        <v>723</v>
      </c>
      <c r="T894" t="s">
        <v>1083</v>
      </c>
      <c r="U894" t="s">
        <v>707</v>
      </c>
    </row>
    <row r="895" spans="1:21" hidden="1" x14ac:dyDescent="0.3">
      <c r="A895" s="1" t="s">
        <v>2600</v>
      </c>
      <c r="B895" t="s">
        <v>1501</v>
      </c>
      <c r="C895" t="s">
        <v>750</v>
      </c>
      <c r="D895" t="s">
        <v>1430</v>
      </c>
      <c r="E895" t="s">
        <v>567</v>
      </c>
      <c r="F895" t="s">
        <v>1184</v>
      </c>
      <c r="G895" t="s">
        <v>714</v>
      </c>
      <c r="H895" t="s">
        <v>715</v>
      </c>
      <c r="I895" t="s">
        <v>2610</v>
      </c>
      <c r="J895" t="s">
        <v>2675</v>
      </c>
      <c r="K895" t="s">
        <v>2676</v>
      </c>
      <c r="L895" t="s">
        <v>1082</v>
      </c>
      <c r="M895" t="s">
        <v>720</v>
      </c>
      <c r="N895" t="s">
        <v>721</v>
      </c>
      <c r="O895">
        <v>2</v>
      </c>
      <c r="P895">
        <v>0</v>
      </c>
      <c r="Q895">
        <v>92</v>
      </c>
      <c r="R895" t="s">
        <v>798</v>
      </c>
      <c r="S895" t="s">
        <v>723</v>
      </c>
      <c r="T895" t="s">
        <v>1083</v>
      </c>
      <c r="U895" t="s">
        <v>707</v>
      </c>
    </row>
    <row r="896" spans="1:21" hidden="1" x14ac:dyDescent="0.3">
      <c r="A896" s="1" t="s">
        <v>2600</v>
      </c>
      <c r="B896" t="s">
        <v>1501</v>
      </c>
      <c r="C896" t="s">
        <v>750</v>
      </c>
      <c r="D896" t="s">
        <v>1431</v>
      </c>
      <c r="E896" t="s">
        <v>567</v>
      </c>
      <c r="F896" t="s">
        <v>1195</v>
      </c>
      <c r="G896" t="s">
        <v>714</v>
      </c>
      <c r="H896" t="s">
        <v>715</v>
      </c>
      <c r="I896" t="s">
        <v>2677</v>
      </c>
      <c r="J896" t="s">
        <v>2678</v>
      </c>
      <c r="K896" t="s">
        <v>2679</v>
      </c>
      <c r="L896" t="s">
        <v>1082</v>
      </c>
      <c r="M896" t="s">
        <v>720</v>
      </c>
      <c r="N896" t="s">
        <v>721</v>
      </c>
      <c r="O896">
        <v>14</v>
      </c>
      <c r="P896">
        <v>0</v>
      </c>
      <c r="Q896">
        <v>81</v>
      </c>
      <c r="R896" t="s">
        <v>798</v>
      </c>
      <c r="S896" t="s">
        <v>723</v>
      </c>
      <c r="T896" t="s">
        <v>1083</v>
      </c>
      <c r="U896" t="s">
        <v>707</v>
      </c>
    </row>
    <row r="897" spans="1:21" hidden="1" x14ac:dyDescent="0.3">
      <c r="A897" s="1" t="s">
        <v>2600</v>
      </c>
      <c r="B897" t="s">
        <v>1501</v>
      </c>
      <c r="C897" t="s">
        <v>750</v>
      </c>
      <c r="D897" t="s">
        <v>1433</v>
      </c>
      <c r="E897" t="s">
        <v>567</v>
      </c>
      <c r="F897" t="s">
        <v>1205</v>
      </c>
      <c r="G897" t="s">
        <v>714</v>
      </c>
      <c r="H897" t="s">
        <v>715</v>
      </c>
      <c r="I897" t="s">
        <v>2680</v>
      </c>
      <c r="J897" t="s">
        <v>2681</v>
      </c>
      <c r="K897" t="s">
        <v>2682</v>
      </c>
      <c r="L897" t="s">
        <v>1082</v>
      </c>
      <c r="M897" t="s">
        <v>720</v>
      </c>
      <c r="N897" t="s">
        <v>721</v>
      </c>
      <c r="O897">
        <v>3</v>
      </c>
      <c r="P897">
        <v>0</v>
      </c>
      <c r="Q897">
        <v>89</v>
      </c>
      <c r="R897" t="s">
        <v>798</v>
      </c>
      <c r="S897" t="s">
        <v>723</v>
      </c>
      <c r="T897" t="s">
        <v>1083</v>
      </c>
      <c r="U897" t="s">
        <v>707</v>
      </c>
    </row>
    <row r="898" spans="1:21" hidden="1" x14ac:dyDescent="0.3">
      <c r="A898" s="1" t="s">
        <v>2600</v>
      </c>
      <c r="B898" t="s">
        <v>1501</v>
      </c>
      <c r="C898" t="s">
        <v>750</v>
      </c>
      <c r="D898" t="s">
        <v>1435</v>
      </c>
      <c r="E898" t="s">
        <v>567</v>
      </c>
      <c r="F898" t="s">
        <v>1223</v>
      </c>
      <c r="G898" t="s">
        <v>714</v>
      </c>
      <c r="H898" t="s">
        <v>715</v>
      </c>
      <c r="I898" t="s">
        <v>2683</v>
      </c>
      <c r="J898" t="s">
        <v>2684</v>
      </c>
      <c r="K898" t="s">
        <v>2685</v>
      </c>
      <c r="L898" t="s">
        <v>1082</v>
      </c>
      <c r="M898" t="s">
        <v>720</v>
      </c>
      <c r="N898" t="s">
        <v>721</v>
      </c>
      <c r="O898">
        <v>12</v>
      </c>
      <c r="P898">
        <v>0</v>
      </c>
      <c r="Q898">
        <v>90</v>
      </c>
      <c r="R898" t="s">
        <v>798</v>
      </c>
      <c r="S898" t="s">
        <v>723</v>
      </c>
      <c r="T898" t="s">
        <v>1083</v>
      </c>
      <c r="U898" t="s">
        <v>707</v>
      </c>
    </row>
    <row r="899" spans="1:21" hidden="1" x14ac:dyDescent="0.3">
      <c r="A899" s="1" t="s">
        <v>2600</v>
      </c>
      <c r="B899" t="s">
        <v>1501</v>
      </c>
      <c r="C899" t="s">
        <v>750</v>
      </c>
      <c r="D899" t="s">
        <v>1439</v>
      </c>
      <c r="E899" t="s">
        <v>567</v>
      </c>
      <c r="F899" t="s">
        <v>1250</v>
      </c>
      <c r="G899" t="s">
        <v>714</v>
      </c>
      <c r="H899" t="s">
        <v>715</v>
      </c>
      <c r="I899" t="s">
        <v>2686</v>
      </c>
      <c r="J899" t="s">
        <v>2687</v>
      </c>
      <c r="K899" t="s">
        <v>2688</v>
      </c>
      <c r="L899" t="s">
        <v>1082</v>
      </c>
      <c r="M899" t="s">
        <v>720</v>
      </c>
      <c r="N899" t="s">
        <v>721</v>
      </c>
      <c r="O899">
        <v>1</v>
      </c>
      <c r="P899">
        <v>0</v>
      </c>
      <c r="Q899">
        <v>91</v>
      </c>
      <c r="R899" t="s">
        <v>798</v>
      </c>
      <c r="S899" t="s">
        <v>723</v>
      </c>
      <c r="T899" t="s">
        <v>1083</v>
      </c>
      <c r="U899" t="s">
        <v>707</v>
      </c>
    </row>
    <row r="900" spans="1:21" hidden="1" x14ac:dyDescent="0.3">
      <c r="A900" s="1" t="s">
        <v>2600</v>
      </c>
      <c r="B900" t="s">
        <v>1501</v>
      </c>
      <c r="C900" t="s">
        <v>750</v>
      </c>
      <c r="D900" t="s">
        <v>1440</v>
      </c>
      <c r="E900" t="s">
        <v>567</v>
      </c>
      <c r="F900" t="s">
        <v>1255</v>
      </c>
      <c r="G900" t="s">
        <v>714</v>
      </c>
      <c r="H900" t="s">
        <v>715</v>
      </c>
      <c r="I900" t="s">
        <v>2689</v>
      </c>
      <c r="J900" t="s">
        <v>2690</v>
      </c>
      <c r="K900" t="s">
        <v>2691</v>
      </c>
      <c r="L900" t="s">
        <v>1082</v>
      </c>
      <c r="M900" t="s">
        <v>720</v>
      </c>
      <c r="N900" t="s">
        <v>721</v>
      </c>
      <c r="O900">
        <v>4</v>
      </c>
      <c r="P900">
        <v>0</v>
      </c>
      <c r="Q900">
        <v>95</v>
      </c>
      <c r="R900" t="s">
        <v>798</v>
      </c>
      <c r="S900" t="s">
        <v>723</v>
      </c>
      <c r="T900" t="s">
        <v>1083</v>
      </c>
      <c r="U900" t="s">
        <v>707</v>
      </c>
    </row>
    <row r="901" spans="1:21" hidden="1" x14ac:dyDescent="0.3">
      <c r="A901" s="1" t="s">
        <v>2600</v>
      </c>
      <c r="B901" t="s">
        <v>1501</v>
      </c>
      <c r="C901" t="s">
        <v>750</v>
      </c>
      <c r="D901" t="s">
        <v>1441</v>
      </c>
      <c r="E901" t="s">
        <v>567</v>
      </c>
      <c r="F901" t="s">
        <v>1260</v>
      </c>
      <c r="G901" t="s">
        <v>714</v>
      </c>
      <c r="H901" t="s">
        <v>715</v>
      </c>
      <c r="I901" t="s">
        <v>2625</v>
      </c>
      <c r="J901" t="s">
        <v>2188</v>
      </c>
      <c r="K901" t="s">
        <v>2626</v>
      </c>
      <c r="L901" t="s">
        <v>1082</v>
      </c>
      <c r="M901" t="s">
        <v>720</v>
      </c>
      <c r="N901" t="s">
        <v>721</v>
      </c>
      <c r="O901">
        <v>2</v>
      </c>
      <c r="P901">
        <v>0</v>
      </c>
      <c r="Q901">
        <v>99</v>
      </c>
      <c r="R901" t="s">
        <v>798</v>
      </c>
      <c r="S901" t="s">
        <v>723</v>
      </c>
      <c r="T901" t="s">
        <v>1083</v>
      </c>
      <c r="U901" t="s">
        <v>707</v>
      </c>
    </row>
    <row r="902" spans="1:21" hidden="1" x14ac:dyDescent="0.3">
      <c r="A902" s="1" t="s">
        <v>2600</v>
      </c>
      <c r="B902" t="s">
        <v>1501</v>
      </c>
      <c r="C902" t="s">
        <v>750</v>
      </c>
      <c r="D902" t="s">
        <v>1442</v>
      </c>
      <c r="E902" t="s">
        <v>567</v>
      </c>
      <c r="F902" t="s">
        <v>1271</v>
      </c>
      <c r="G902" t="s">
        <v>714</v>
      </c>
      <c r="H902" t="s">
        <v>715</v>
      </c>
      <c r="I902" t="s">
        <v>2692</v>
      </c>
      <c r="J902" t="s">
        <v>2693</v>
      </c>
      <c r="K902" t="s">
        <v>2694</v>
      </c>
      <c r="L902" t="s">
        <v>1082</v>
      </c>
      <c r="M902" t="s">
        <v>720</v>
      </c>
      <c r="N902" t="s">
        <v>721</v>
      </c>
      <c r="O902">
        <v>9</v>
      </c>
      <c r="P902">
        <v>0</v>
      </c>
      <c r="Q902">
        <v>104</v>
      </c>
      <c r="R902" t="s">
        <v>798</v>
      </c>
      <c r="S902" t="s">
        <v>723</v>
      </c>
      <c r="T902" t="s">
        <v>1083</v>
      </c>
      <c r="U902" t="s">
        <v>707</v>
      </c>
    </row>
    <row r="903" spans="1:21" hidden="1" x14ac:dyDescent="0.3">
      <c r="A903" s="1" t="s">
        <v>2600</v>
      </c>
      <c r="B903" t="s">
        <v>1501</v>
      </c>
      <c r="C903" t="s">
        <v>750</v>
      </c>
      <c r="D903" t="s">
        <v>1443</v>
      </c>
      <c r="E903" t="s">
        <v>567</v>
      </c>
      <c r="F903" t="s">
        <v>1276</v>
      </c>
      <c r="G903" t="s">
        <v>714</v>
      </c>
      <c r="H903" t="s">
        <v>715</v>
      </c>
      <c r="I903" t="s">
        <v>2695</v>
      </c>
      <c r="J903" t="s">
        <v>2696</v>
      </c>
      <c r="K903" t="s">
        <v>2697</v>
      </c>
      <c r="L903" t="s">
        <v>1082</v>
      </c>
      <c r="M903" t="s">
        <v>720</v>
      </c>
      <c r="N903" t="s">
        <v>721</v>
      </c>
      <c r="O903">
        <v>30</v>
      </c>
      <c r="P903">
        <v>0</v>
      </c>
      <c r="Q903">
        <v>109</v>
      </c>
      <c r="R903" t="s">
        <v>798</v>
      </c>
      <c r="S903" t="s">
        <v>723</v>
      </c>
      <c r="T903" t="s">
        <v>1083</v>
      </c>
      <c r="U903" t="s">
        <v>707</v>
      </c>
    </row>
    <row r="904" spans="1:21" hidden="1" x14ac:dyDescent="0.3">
      <c r="A904" s="1" t="s">
        <v>2600</v>
      </c>
      <c r="B904" t="s">
        <v>1501</v>
      </c>
      <c r="C904" t="s">
        <v>750</v>
      </c>
      <c r="D904" t="s">
        <v>1449</v>
      </c>
      <c r="E904" t="s">
        <v>567</v>
      </c>
      <c r="F904" t="s">
        <v>1450</v>
      </c>
      <c r="G904" t="s">
        <v>714</v>
      </c>
      <c r="H904" t="s">
        <v>715</v>
      </c>
      <c r="I904" t="s">
        <v>2294</v>
      </c>
      <c r="J904" t="s">
        <v>1452</v>
      </c>
      <c r="K904" t="s">
        <v>2698</v>
      </c>
      <c r="L904" t="s">
        <v>1082</v>
      </c>
      <c r="M904" t="s">
        <v>720</v>
      </c>
      <c r="N904" t="s">
        <v>721</v>
      </c>
      <c r="O904">
        <v>0</v>
      </c>
      <c r="P904">
        <v>0</v>
      </c>
      <c r="Q904">
        <v>113</v>
      </c>
      <c r="R904" t="s">
        <v>798</v>
      </c>
      <c r="S904" t="s">
        <v>723</v>
      </c>
      <c r="T904" t="s">
        <v>1083</v>
      </c>
      <c r="U904" t="s">
        <v>707</v>
      </c>
    </row>
    <row r="905" spans="1:21" hidden="1" x14ac:dyDescent="0.3">
      <c r="A905" s="1" t="s">
        <v>2600</v>
      </c>
      <c r="B905" t="s">
        <v>2699</v>
      </c>
      <c r="C905" t="s">
        <v>750</v>
      </c>
      <c r="D905" t="s">
        <v>777</v>
      </c>
      <c r="E905" t="s">
        <v>569</v>
      </c>
      <c r="F905" t="s">
        <v>778</v>
      </c>
      <c r="G905" t="s">
        <v>2208</v>
      </c>
      <c r="H905" t="s">
        <v>2209</v>
      </c>
      <c r="I905" t="s">
        <v>2700</v>
      </c>
      <c r="J905" t="s">
        <v>2701</v>
      </c>
      <c r="K905" t="s">
        <v>2702</v>
      </c>
      <c r="L905" t="s">
        <v>2213</v>
      </c>
      <c r="M905" t="s">
        <v>2213</v>
      </c>
      <c r="N905" t="s">
        <v>2703</v>
      </c>
      <c r="O905">
        <v>5</v>
      </c>
      <c r="P905">
        <v>0</v>
      </c>
      <c r="Q905">
        <v>230</v>
      </c>
      <c r="R905" t="s">
        <v>744</v>
      </c>
      <c r="S905" t="s">
        <v>723</v>
      </c>
      <c r="T905" t="s">
        <v>2214</v>
      </c>
      <c r="U905" t="s">
        <v>725</v>
      </c>
    </row>
    <row r="906" spans="1:21" hidden="1" x14ac:dyDescent="0.3">
      <c r="A906" s="1" t="s">
        <v>2600</v>
      </c>
      <c r="B906" t="s">
        <v>2699</v>
      </c>
      <c r="C906" t="s">
        <v>750</v>
      </c>
      <c r="D906" t="s">
        <v>1392</v>
      </c>
      <c r="E906" t="s">
        <v>569</v>
      </c>
      <c r="F906" t="s">
        <v>961</v>
      </c>
      <c r="G906" t="s">
        <v>794</v>
      </c>
      <c r="H906" t="s">
        <v>715</v>
      </c>
      <c r="I906" t="s">
        <v>2700</v>
      </c>
      <c r="J906" t="s">
        <v>2704</v>
      </c>
      <c r="K906" t="s">
        <v>2705</v>
      </c>
      <c r="L906" t="s">
        <v>826</v>
      </c>
      <c r="M906" t="s">
        <v>720</v>
      </c>
      <c r="N906" t="s">
        <v>721</v>
      </c>
      <c r="O906">
        <v>0</v>
      </c>
      <c r="P906">
        <v>10</v>
      </c>
      <c r="Q906">
        <v>95</v>
      </c>
      <c r="R906" t="s">
        <v>722</v>
      </c>
      <c r="S906" t="s">
        <v>745</v>
      </c>
      <c r="T906" t="s">
        <v>746</v>
      </c>
      <c r="U906" t="s">
        <v>832</v>
      </c>
    </row>
    <row r="907" spans="1:21" hidden="1" x14ac:dyDescent="0.3">
      <c r="A907" s="1" t="s">
        <v>2600</v>
      </c>
      <c r="B907" t="s">
        <v>2699</v>
      </c>
      <c r="C907" t="s">
        <v>750</v>
      </c>
      <c r="D907" t="s">
        <v>1433</v>
      </c>
      <c r="E907" t="s">
        <v>567</v>
      </c>
      <c r="F907" t="s">
        <v>1205</v>
      </c>
      <c r="G907" t="s">
        <v>714</v>
      </c>
      <c r="H907" t="s">
        <v>715</v>
      </c>
      <c r="I907" t="s">
        <v>2706</v>
      </c>
      <c r="J907" t="s">
        <v>2707</v>
      </c>
      <c r="K907" t="s">
        <v>2708</v>
      </c>
      <c r="L907" t="s">
        <v>1082</v>
      </c>
      <c r="M907" t="s">
        <v>720</v>
      </c>
      <c r="N907" t="s">
        <v>721</v>
      </c>
      <c r="O907">
        <v>30</v>
      </c>
      <c r="P907">
        <v>0</v>
      </c>
      <c r="Q907">
        <v>89</v>
      </c>
      <c r="R907" t="s">
        <v>798</v>
      </c>
      <c r="S907" t="s">
        <v>723</v>
      </c>
      <c r="T907" t="s">
        <v>1083</v>
      </c>
      <c r="U907" t="s">
        <v>707</v>
      </c>
    </row>
    <row r="908" spans="1:21" hidden="1" x14ac:dyDescent="0.3">
      <c r="A908" s="1" t="s">
        <v>2600</v>
      </c>
      <c r="B908" t="s">
        <v>2699</v>
      </c>
      <c r="C908" t="s">
        <v>750</v>
      </c>
      <c r="D908" t="s">
        <v>1441</v>
      </c>
      <c r="E908" t="s">
        <v>567</v>
      </c>
      <c r="F908" t="s">
        <v>1260</v>
      </c>
      <c r="G908" t="s">
        <v>714</v>
      </c>
      <c r="H908" t="s">
        <v>715</v>
      </c>
      <c r="I908" t="s">
        <v>2709</v>
      </c>
      <c r="J908" t="s">
        <v>2188</v>
      </c>
      <c r="K908" t="s">
        <v>2710</v>
      </c>
      <c r="L908" t="s">
        <v>1082</v>
      </c>
      <c r="M908" t="s">
        <v>720</v>
      </c>
      <c r="N908" t="s">
        <v>721</v>
      </c>
      <c r="O908">
        <v>2</v>
      </c>
      <c r="P908">
        <v>0</v>
      </c>
      <c r="Q908">
        <v>99</v>
      </c>
      <c r="R908" t="s">
        <v>798</v>
      </c>
      <c r="S908" t="s">
        <v>723</v>
      </c>
      <c r="T908" t="s">
        <v>1083</v>
      </c>
      <c r="U908" t="s">
        <v>707</v>
      </c>
    </row>
    <row r="909" spans="1:21" hidden="1" x14ac:dyDescent="0.3">
      <c r="A909" s="1" t="s">
        <v>2600</v>
      </c>
      <c r="B909" t="s">
        <v>1505</v>
      </c>
      <c r="C909" t="s">
        <v>711</v>
      </c>
      <c r="D909" t="s">
        <v>821</v>
      </c>
      <c r="E909" t="s">
        <v>569</v>
      </c>
      <c r="F909" t="s">
        <v>822</v>
      </c>
      <c r="G909" t="s">
        <v>2208</v>
      </c>
      <c r="H909" t="s">
        <v>2209</v>
      </c>
      <c r="I909" t="s">
        <v>2711</v>
      </c>
      <c r="J909" t="s">
        <v>2712</v>
      </c>
      <c r="K909" t="s">
        <v>2713</v>
      </c>
      <c r="L909" t="s">
        <v>2213</v>
      </c>
      <c r="M909" t="s">
        <v>2213</v>
      </c>
      <c r="N909" t="s">
        <v>721</v>
      </c>
      <c r="O909">
        <v>1</v>
      </c>
      <c r="P909">
        <v>0</v>
      </c>
      <c r="Q909">
        <v>230</v>
      </c>
      <c r="R909" t="s">
        <v>2523</v>
      </c>
      <c r="S909" t="s">
        <v>723</v>
      </c>
      <c r="T909" t="s">
        <v>2214</v>
      </c>
      <c r="U909" t="s">
        <v>725</v>
      </c>
    </row>
    <row r="910" spans="1:21" hidden="1" x14ac:dyDescent="0.3">
      <c r="A910" s="1" t="s">
        <v>2600</v>
      </c>
      <c r="B910" t="s">
        <v>1505</v>
      </c>
      <c r="C910" t="s">
        <v>711</v>
      </c>
      <c r="D910" t="s">
        <v>1361</v>
      </c>
      <c r="E910" t="s">
        <v>569</v>
      </c>
      <c r="F910" t="s">
        <v>761</v>
      </c>
      <c r="G910" t="s">
        <v>794</v>
      </c>
      <c r="H910" t="s">
        <v>715</v>
      </c>
      <c r="I910" t="s">
        <v>2601</v>
      </c>
      <c r="J910" t="s">
        <v>2602</v>
      </c>
      <c r="K910" t="s">
        <v>2603</v>
      </c>
      <c r="L910" t="s">
        <v>1471</v>
      </c>
      <c r="M910" t="s">
        <v>1471</v>
      </c>
      <c r="N910" t="s">
        <v>743</v>
      </c>
      <c r="O910">
        <v>27</v>
      </c>
      <c r="P910">
        <v>0</v>
      </c>
      <c r="Q910">
        <v>228</v>
      </c>
      <c r="R910" t="s">
        <v>744</v>
      </c>
      <c r="S910" t="s">
        <v>745</v>
      </c>
      <c r="T910" t="s">
        <v>746</v>
      </c>
      <c r="U910" t="s">
        <v>771</v>
      </c>
    </row>
    <row r="911" spans="1:21" hidden="1" x14ac:dyDescent="0.3">
      <c r="A911" s="1" t="s">
        <v>2600</v>
      </c>
      <c r="B911" t="s">
        <v>1505</v>
      </c>
      <c r="C911" t="s">
        <v>711</v>
      </c>
      <c r="D911" t="s">
        <v>1365</v>
      </c>
      <c r="E911" t="s">
        <v>569</v>
      </c>
      <c r="F911" t="s">
        <v>812</v>
      </c>
      <c r="G911" t="s">
        <v>714</v>
      </c>
      <c r="H911" t="s">
        <v>715</v>
      </c>
      <c r="I911" t="s">
        <v>2714</v>
      </c>
      <c r="J911" t="s">
        <v>2715</v>
      </c>
      <c r="K911" t="s">
        <v>2716</v>
      </c>
      <c r="L911" t="s">
        <v>1082</v>
      </c>
      <c r="M911" t="s">
        <v>720</v>
      </c>
      <c r="N911" t="s">
        <v>721</v>
      </c>
      <c r="O911">
        <v>3</v>
      </c>
      <c r="P911">
        <v>0</v>
      </c>
      <c r="Q911">
        <v>4</v>
      </c>
      <c r="R911" t="s">
        <v>798</v>
      </c>
      <c r="S911" t="s">
        <v>723</v>
      </c>
      <c r="T911" t="s">
        <v>1083</v>
      </c>
      <c r="U911" t="s">
        <v>707</v>
      </c>
    </row>
    <row r="912" spans="1:21" hidden="1" x14ac:dyDescent="0.3">
      <c r="A912" s="1" t="s">
        <v>2600</v>
      </c>
      <c r="B912" t="s">
        <v>1505</v>
      </c>
      <c r="C912" t="s">
        <v>711</v>
      </c>
      <c r="D912" t="s">
        <v>1458</v>
      </c>
      <c r="E912" t="s">
        <v>567</v>
      </c>
      <c r="F912" t="s">
        <v>1331</v>
      </c>
      <c r="G912" t="s">
        <v>714</v>
      </c>
      <c r="H912" t="s">
        <v>715</v>
      </c>
      <c r="I912" t="s">
        <v>2717</v>
      </c>
      <c r="J912" t="s">
        <v>2718</v>
      </c>
      <c r="K912" t="s">
        <v>2719</v>
      </c>
      <c r="L912" t="s">
        <v>1082</v>
      </c>
      <c r="M912" t="s">
        <v>720</v>
      </c>
      <c r="N912" t="s">
        <v>721</v>
      </c>
      <c r="O912">
        <v>11</v>
      </c>
      <c r="P912">
        <v>0</v>
      </c>
      <c r="Q912">
        <v>112</v>
      </c>
      <c r="R912" t="s">
        <v>798</v>
      </c>
      <c r="S912" t="s">
        <v>723</v>
      </c>
      <c r="T912" t="s">
        <v>1083</v>
      </c>
      <c r="U912" t="s">
        <v>707</v>
      </c>
    </row>
    <row r="913" spans="1:21" hidden="1" x14ac:dyDescent="0.3">
      <c r="A913" s="1" t="s">
        <v>2600</v>
      </c>
      <c r="B913" t="s">
        <v>1501</v>
      </c>
      <c r="C913" t="s">
        <v>750</v>
      </c>
      <c r="D913" t="s">
        <v>1067</v>
      </c>
      <c r="E913" t="s">
        <v>568</v>
      </c>
      <c r="F913" t="s">
        <v>1068</v>
      </c>
      <c r="G913" t="s">
        <v>1467</v>
      </c>
      <c r="H913" t="s">
        <v>737</v>
      </c>
      <c r="I913" t="s">
        <v>2720</v>
      </c>
      <c r="J913" t="s">
        <v>1473</v>
      </c>
      <c r="K913" t="s">
        <v>2721</v>
      </c>
      <c r="L913" t="s">
        <v>1471</v>
      </c>
      <c r="M913" t="s">
        <v>1471</v>
      </c>
      <c r="N913" t="s">
        <v>721</v>
      </c>
      <c r="O913">
        <v>27</v>
      </c>
      <c r="P913">
        <v>0</v>
      </c>
      <c r="Q913">
        <v>231</v>
      </c>
      <c r="R913" t="s">
        <v>744</v>
      </c>
      <c r="S913" t="s">
        <v>745</v>
      </c>
      <c r="T913" t="s">
        <v>746</v>
      </c>
      <c r="U913" t="s">
        <v>759</v>
      </c>
    </row>
    <row r="914" spans="1:21" hidden="1" x14ac:dyDescent="0.3">
      <c r="A914" s="1" t="s">
        <v>2600</v>
      </c>
      <c r="B914" t="s">
        <v>1501</v>
      </c>
      <c r="C914" t="s">
        <v>750</v>
      </c>
      <c r="D914" t="s">
        <v>1462</v>
      </c>
      <c r="E914" t="s">
        <v>568</v>
      </c>
      <c r="F914" t="s">
        <v>1068</v>
      </c>
      <c r="G914" t="s">
        <v>736</v>
      </c>
      <c r="H914" t="s">
        <v>737</v>
      </c>
      <c r="I914" t="s">
        <v>2720</v>
      </c>
      <c r="J914" t="s">
        <v>1473</v>
      </c>
      <c r="K914" t="s">
        <v>2721</v>
      </c>
      <c r="L914" t="s">
        <v>1471</v>
      </c>
      <c r="M914" t="s">
        <v>1471</v>
      </c>
      <c r="N914" t="s">
        <v>721</v>
      </c>
      <c r="O914">
        <v>27</v>
      </c>
      <c r="P914">
        <v>0</v>
      </c>
      <c r="Q914">
        <v>231</v>
      </c>
      <c r="R914" t="s">
        <v>744</v>
      </c>
      <c r="S914" t="s">
        <v>745</v>
      </c>
      <c r="T914" t="s">
        <v>746</v>
      </c>
      <c r="U914" t="s">
        <v>759</v>
      </c>
    </row>
    <row r="915" spans="1:21" hidden="1" x14ac:dyDescent="0.3">
      <c r="A915" s="1" t="s">
        <v>2722</v>
      </c>
      <c r="B915" t="s">
        <v>1501</v>
      </c>
      <c r="C915" t="s">
        <v>750</v>
      </c>
      <c r="D915" t="s">
        <v>777</v>
      </c>
      <c r="E915" t="s">
        <v>569</v>
      </c>
      <c r="F915" t="s">
        <v>778</v>
      </c>
      <c r="G915" t="s">
        <v>736</v>
      </c>
      <c r="H915" t="s">
        <v>737</v>
      </c>
      <c r="I915" t="s">
        <v>2723</v>
      </c>
      <c r="J915" t="s">
        <v>2724</v>
      </c>
      <c r="K915" t="s">
        <v>2725</v>
      </c>
      <c r="L915" t="s">
        <v>2726</v>
      </c>
      <c r="M915" t="s">
        <v>742</v>
      </c>
      <c r="N915" t="s">
        <v>743</v>
      </c>
      <c r="O915">
        <v>1</v>
      </c>
      <c r="P915">
        <v>2</v>
      </c>
      <c r="Q915">
        <v>47</v>
      </c>
      <c r="R915" t="s">
        <v>744</v>
      </c>
      <c r="S915" t="s">
        <v>745</v>
      </c>
      <c r="T915" t="s">
        <v>746</v>
      </c>
      <c r="U915" t="s">
        <v>771</v>
      </c>
    </row>
    <row r="916" spans="1:21" hidden="1" x14ac:dyDescent="0.3">
      <c r="A916" s="1" t="s">
        <v>2722</v>
      </c>
      <c r="B916" t="s">
        <v>732</v>
      </c>
      <c r="C916" t="s">
        <v>566</v>
      </c>
      <c r="D916" t="s">
        <v>1345</v>
      </c>
      <c r="E916" t="s">
        <v>567</v>
      </c>
      <c r="F916" t="s">
        <v>1346</v>
      </c>
      <c r="G916" t="s">
        <v>736</v>
      </c>
      <c r="H916" t="s">
        <v>737</v>
      </c>
      <c r="I916" t="s">
        <v>2727</v>
      </c>
      <c r="J916" t="s">
        <v>2728</v>
      </c>
      <c r="K916" t="s">
        <v>2729</v>
      </c>
      <c r="L916" t="s">
        <v>2726</v>
      </c>
      <c r="M916" t="s">
        <v>742</v>
      </c>
      <c r="N916" t="s">
        <v>743</v>
      </c>
      <c r="O916">
        <v>3</v>
      </c>
      <c r="P916">
        <v>2</v>
      </c>
      <c r="Q916">
        <v>47</v>
      </c>
      <c r="R916" t="s">
        <v>744</v>
      </c>
      <c r="S916" t="s">
        <v>745</v>
      </c>
      <c r="T916" t="s">
        <v>746</v>
      </c>
      <c r="U916" t="s">
        <v>1269</v>
      </c>
    </row>
    <row r="917" spans="1:21" hidden="1" x14ac:dyDescent="0.3">
      <c r="A917" s="1" t="s">
        <v>2722</v>
      </c>
      <c r="B917" t="s">
        <v>749</v>
      </c>
      <c r="C917" t="s">
        <v>566</v>
      </c>
      <c r="D917" t="s">
        <v>2048</v>
      </c>
      <c r="E917" t="s">
        <v>567</v>
      </c>
      <c r="F917" t="s">
        <v>2049</v>
      </c>
      <c r="G917" t="s">
        <v>736</v>
      </c>
      <c r="H917" t="s">
        <v>737</v>
      </c>
      <c r="I917" t="s">
        <v>2730</v>
      </c>
      <c r="J917" t="s">
        <v>2731</v>
      </c>
      <c r="K917" t="s">
        <v>2732</v>
      </c>
      <c r="L917" t="s">
        <v>2726</v>
      </c>
      <c r="M917" t="s">
        <v>742</v>
      </c>
      <c r="N917" t="s">
        <v>743</v>
      </c>
      <c r="O917">
        <v>4</v>
      </c>
      <c r="P917">
        <v>2</v>
      </c>
      <c r="Q917">
        <v>47</v>
      </c>
      <c r="R917" t="s">
        <v>744</v>
      </c>
      <c r="S917" t="s">
        <v>745</v>
      </c>
      <c r="T917" t="s">
        <v>746</v>
      </c>
      <c r="U917" t="s">
        <v>1193</v>
      </c>
    </row>
    <row r="918" spans="1:21" hidden="1" x14ac:dyDescent="0.3">
      <c r="A918" s="1" t="s">
        <v>2722</v>
      </c>
      <c r="B918" t="s">
        <v>1505</v>
      </c>
      <c r="C918" t="s">
        <v>711</v>
      </c>
      <c r="D918" t="s">
        <v>950</v>
      </c>
      <c r="E918" t="s">
        <v>569</v>
      </c>
      <c r="F918" t="s">
        <v>951</v>
      </c>
      <c r="G918" t="s">
        <v>736</v>
      </c>
      <c r="H918" t="s">
        <v>737</v>
      </c>
      <c r="I918" t="s">
        <v>2733</v>
      </c>
      <c r="J918" t="s">
        <v>2734</v>
      </c>
      <c r="K918" t="s">
        <v>2735</v>
      </c>
      <c r="L918" t="s">
        <v>2726</v>
      </c>
      <c r="M918" t="s">
        <v>742</v>
      </c>
      <c r="N918" t="s">
        <v>743</v>
      </c>
      <c r="O918">
        <v>3</v>
      </c>
      <c r="P918">
        <v>2</v>
      </c>
      <c r="Q918">
        <v>47</v>
      </c>
      <c r="R918" t="s">
        <v>744</v>
      </c>
      <c r="S918" t="s">
        <v>745</v>
      </c>
      <c r="T918" t="s">
        <v>746</v>
      </c>
      <c r="U918" t="s">
        <v>832</v>
      </c>
    </row>
    <row r="919" spans="1:21" hidden="1" x14ac:dyDescent="0.3">
      <c r="A919" s="1" t="s">
        <v>1475</v>
      </c>
      <c r="B919" t="s">
        <v>732</v>
      </c>
      <c r="C919" t="s">
        <v>733</v>
      </c>
      <c r="D919" t="s">
        <v>859</v>
      </c>
      <c r="E919" t="s">
        <v>569</v>
      </c>
      <c r="F919" t="s">
        <v>860</v>
      </c>
      <c r="G919" t="s">
        <v>1476</v>
      </c>
      <c r="H919" t="s">
        <v>1477</v>
      </c>
      <c r="I919" t="s">
        <v>1478</v>
      </c>
      <c r="J919" t="s">
        <v>1479</v>
      </c>
      <c r="K919" t="s">
        <v>1480</v>
      </c>
      <c r="L919" t="s">
        <v>1481</v>
      </c>
      <c r="M919" t="s">
        <v>1481</v>
      </c>
      <c r="N919" t="s">
        <v>721</v>
      </c>
      <c r="O919">
        <v>30</v>
      </c>
      <c r="P919">
        <v>0</v>
      </c>
      <c r="Q919">
        <v>110</v>
      </c>
      <c r="R919" t="s">
        <v>744</v>
      </c>
      <c r="S919" t="s">
        <v>745</v>
      </c>
      <c r="T919" t="s">
        <v>746</v>
      </c>
      <c r="U919" t="s">
        <v>1482</v>
      </c>
    </row>
    <row r="920" spans="1:21" hidden="1" x14ac:dyDescent="0.3">
      <c r="A920" s="1" t="s">
        <v>1475</v>
      </c>
      <c r="B920" t="s">
        <v>732</v>
      </c>
      <c r="C920" t="s">
        <v>733</v>
      </c>
      <c r="D920" t="s">
        <v>910</v>
      </c>
      <c r="E920" t="s">
        <v>569</v>
      </c>
      <c r="F920" t="s">
        <v>911</v>
      </c>
      <c r="G920" t="s">
        <v>1483</v>
      </c>
      <c r="H920" t="s">
        <v>1477</v>
      </c>
      <c r="I920" t="s">
        <v>1484</v>
      </c>
      <c r="J920" t="s">
        <v>1485</v>
      </c>
      <c r="K920" t="s">
        <v>1486</v>
      </c>
      <c r="L920" t="s">
        <v>1481</v>
      </c>
      <c r="M920" t="s">
        <v>1481</v>
      </c>
      <c r="N920" t="s">
        <v>721</v>
      </c>
      <c r="O920">
        <v>30</v>
      </c>
      <c r="P920">
        <v>0</v>
      </c>
      <c r="Q920">
        <v>110</v>
      </c>
      <c r="R920" t="s">
        <v>744</v>
      </c>
      <c r="S920" t="s">
        <v>745</v>
      </c>
      <c r="T920" t="s">
        <v>746</v>
      </c>
      <c r="U920" t="s">
        <v>1482</v>
      </c>
    </row>
    <row r="921" spans="1:21" hidden="1" x14ac:dyDescent="0.3">
      <c r="A921" s="19" t="s">
        <v>1475</v>
      </c>
      <c r="B921" t="s">
        <v>732</v>
      </c>
      <c r="C921" t="s">
        <v>733</v>
      </c>
      <c r="D921" t="s">
        <v>1119</v>
      </c>
      <c r="E921" t="s">
        <v>568</v>
      </c>
      <c r="F921" t="s">
        <v>728</v>
      </c>
      <c r="G921" t="s">
        <v>1476</v>
      </c>
      <c r="H921" t="s">
        <v>1477</v>
      </c>
      <c r="I921" t="s">
        <v>1487</v>
      </c>
      <c r="J921" t="s">
        <v>1488</v>
      </c>
      <c r="K921" t="s">
        <v>1489</v>
      </c>
      <c r="L921" t="s">
        <v>1481</v>
      </c>
      <c r="M921" t="s">
        <v>1481</v>
      </c>
      <c r="N921" t="s">
        <v>721</v>
      </c>
      <c r="O921">
        <v>30</v>
      </c>
      <c r="P921">
        <v>0</v>
      </c>
      <c r="Q921">
        <v>110</v>
      </c>
      <c r="R921" t="s">
        <v>744</v>
      </c>
      <c r="S921" t="s">
        <v>723</v>
      </c>
      <c r="T921" t="s">
        <v>1490</v>
      </c>
      <c r="U921" t="s">
        <v>725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A35B-8E02-45A1-85C7-0D380F31B5C2}">
  <dimension ref="A1:N2"/>
  <sheetViews>
    <sheetView workbookViewId="0">
      <selection activeCell="N9" sqref="N9"/>
    </sheetView>
  </sheetViews>
  <sheetFormatPr defaultRowHeight="14.4" x14ac:dyDescent="0.3"/>
  <cols>
    <col min="1" max="1" width="15.109375" bestFit="1" customWidth="1"/>
  </cols>
  <sheetData>
    <row r="1" spans="1:14" x14ac:dyDescent="0.3">
      <c r="A1" s="16" t="s">
        <v>44</v>
      </c>
      <c r="B1" s="16" t="s">
        <v>9</v>
      </c>
      <c r="C1" s="16" t="s">
        <v>10</v>
      </c>
      <c r="D1" s="16" t="s">
        <v>493</v>
      </c>
      <c r="E1" s="16" t="s">
        <v>12</v>
      </c>
      <c r="F1" s="16" t="s">
        <v>494</v>
      </c>
      <c r="G1" s="16" t="s">
        <v>14</v>
      </c>
      <c r="H1" s="16" t="s">
        <v>495</v>
      </c>
      <c r="I1" s="16" t="s">
        <v>15</v>
      </c>
      <c r="J1" s="16" t="s">
        <v>16</v>
      </c>
      <c r="K1" s="16" t="s">
        <v>496</v>
      </c>
      <c r="L1" s="16" t="s">
        <v>497</v>
      </c>
      <c r="M1" s="16" t="s">
        <v>498</v>
      </c>
      <c r="N1" s="16" t="s">
        <v>499</v>
      </c>
    </row>
    <row r="2" spans="1:14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401E-266B-4B00-84CE-EBC4FB3DF70E}">
  <sheetPr codeName="Sheet6"/>
  <dimension ref="A1:L4095"/>
  <sheetViews>
    <sheetView topLeftCell="A1441" workbookViewId="0">
      <selection activeCell="A1473" sqref="A1473:L4095"/>
    </sheetView>
  </sheetViews>
  <sheetFormatPr defaultRowHeight="14.4" x14ac:dyDescent="0.3"/>
  <cols>
    <col min="1" max="1" width="14.88671875" bestFit="1" customWidth="1"/>
    <col min="2" max="2" width="6.44140625" customWidth="1"/>
    <col min="3" max="3" width="11.6640625" customWidth="1"/>
    <col min="4" max="4" width="65.6640625" bestFit="1" customWidth="1"/>
    <col min="5" max="5" width="11.109375" customWidth="1"/>
    <col min="6" max="6" width="8.6640625" bestFit="1" customWidth="1"/>
    <col min="7" max="7" width="11.44140625" customWidth="1"/>
    <col min="8" max="8" width="19.6640625" bestFit="1" customWidth="1"/>
    <col min="9" max="9" width="28.44140625" bestFit="1" customWidth="1"/>
    <col min="10" max="10" width="144" bestFit="1" customWidth="1"/>
    <col min="11" max="12" width="19.5546875" bestFit="1" customWidth="1"/>
  </cols>
  <sheetData>
    <row r="1" spans="1:12" x14ac:dyDescent="0.3">
      <c r="A1" t="s">
        <v>44</v>
      </c>
      <c r="B1" t="s">
        <v>9</v>
      </c>
      <c r="C1" t="s">
        <v>10</v>
      </c>
      <c r="D1" t="s">
        <v>106</v>
      </c>
      <c r="E1" t="s">
        <v>12</v>
      </c>
      <c r="F1" t="s">
        <v>97</v>
      </c>
      <c r="G1" t="s">
        <v>107</v>
      </c>
      <c r="H1" t="s">
        <v>14</v>
      </c>
      <c r="I1" t="s">
        <v>108</v>
      </c>
      <c r="J1" t="s">
        <v>109</v>
      </c>
      <c r="K1" t="s">
        <v>15</v>
      </c>
      <c r="L1" t="s">
        <v>16</v>
      </c>
    </row>
    <row r="2" spans="1:12" x14ac:dyDescent="0.3">
      <c r="A2" t="s">
        <v>731</v>
      </c>
      <c r="B2" t="s">
        <v>1505</v>
      </c>
      <c r="C2" t="s">
        <v>566</v>
      </c>
      <c r="D2" t="s">
        <v>209</v>
      </c>
      <c r="E2" t="s">
        <v>569</v>
      </c>
      <c r="F2" t="s">
        <v>115</v>
      </c>
      <c r="G2" t="s">
        <v>111</v>
      </c>
      <c r="H2" t="s">
        <v>113</v>
      </c>
      <c r="I2" t="s">
        <v>112</v>
      </c>
      <c r="J2" t="s">
        <v>114</v>
      </c>
      <c r="K2" t="s">
        <v>116</v>
      </c>
      <c r="L2" t="s">
        <v>116</v>
      </c>
    </row>
    <row r="3" spans="1:12" x14ac:dyDescent="0.3">
      <c r="A3" t="s">
        <v>731</v>
      </c>
      <c r="B3" t="s">
        <v>1505</v>
      </c>
      <c r="C3" t="s">
        <v>566</v>
      </c>
      <c r="D3" t="s">
        <v>210</v>
      </c>
      <c r="E3" t="s">
        <v>569</v>
      </c>
      <c r="F3" t="s">
        <v>59</v>
      </c>
      <c r="G3" t="s">
        <v>111</v>
      </c>
      <c r="H3" t="s">
        <v>147</v>
      </c>
      <c r="I3" t="s">
        <v>112</v>
      </c>
      <c r="J3" t="s">
        <v>119</v>
      </c>
      <c r="K3" t="s">
        <v>1525</v>
      </c>
      <c r="L3" t="s">
        <v>1525</v>
      </c>
    </row>
    <row r="4" spans="1:12" x14ac:dyDescent="0.3">
      <c r="A4" t="s">
        <v>731</v>
      </c>
      <c r="B4" t="s">
        <v>1505</v>
      </c>
      <c r="C4" t="s">
        <v>566</v>
      </c>
      <c r="D4" t="s">
        <v>304</v>
      </c>
      <c r="E4" t="s">
        <v>569</v>
      </c>
      <c r="F4" t="s">
        <v>117</v>
      </c>
      <c r="G4" t="s">
        <v>111</v>
      </c>
      <c r="H4" t="s">
        <v>113</v>
      </c>
      <c r="I4" t="s">
        <v>112</v>
      </c>
      <c r="J4" t="s">
        <v>114</v>
      </c>
      <c r="K4" t="s">
        <v>116</v>
      </c>
      <c r="L4" t="s">
        <v>116</v>
      </c>
    </row>
    <row r="5" spans="1:12" x14ac:dyDescent="0.3">
      <c r="A5" t="s">
        <v>731</v>
      </c>
      <c r="B5" t="s">
        <v>1505</v>
      </c>
      <c r="C5" t="s">
        <v>566</v>
      </c>
      <c r="D5" t="s">
        <v>211</v>
      </c>
      <c r="E5" t="s">
        <v>569</v>
      </c>
      <c r="F5" t="s">
        <v>188</v>
      </c>
      <c r="G5" t="s">
        <v>111</v>
      </c>
      <c r="H5" t="s">
        <v>113</v>
      </c>
      <c r="I5" t="s">
        <v>112</v>
      </c>
      <c r="J5" t="s">
        <v>114</v>
      </c>
      <c r="K5" t="s">
        <v>116</v>
      </c>
      <c r="L5" t="s">
        <v>116</v>
      </c>
    </row>
    <row r="6" spans="1:12" x14ac:dyDescent="0.3">
      <c r="A6" t="s">
        <v>731</v>
      </c>
      <c r="B6" t="s">
        <v>1505</v>
      </c>
      <c r="C6" t="s">
        <v>566</v>
      </c>
      <c r="D6" t="s">
        <v>212</v>
      </c>
      <c r="E6" t="s">
        <v>569</v>
      </c>
      <c r="F6" t="s">
        <v>164</v>
      </c>
      <c r="G6" t="s">
        <v>111</v>
      </c>
      <c r="H6" t="s">
        <v>113</v>
      </c>
      <c r="I6" t="s">
        <v>112</v>
      </c>
      <c r="J6" t="s">
        <v>114</v>
      </c>
      <c r="K6" t="s">
        <v>116</v>
      </c>
      <c r="L6" t="s">
        <v>116</v>
      </c>
    </row>
    <row r="7" spans="1:12" x14ac:dyDescent="0.3">
      <c r="A7" t="s">
        <v>731</v>
      </c>
      <c r="B7" t="s">
        <v>1505</v>
      </c>
      <c r="C7" t="s">
        <v>566</v>
      </c>
      <c r="D7" t="s">
        <v>213</v>
      </c>
      <c r="E7" t="s">
        <v>569</v>
      </c>
      <c r="F7" t="s">
        <v>53</v>
      </c>
      <c r="G7" t="s">
        <v>111</v>
      </c>
      <c r="H7" t="s">
        <v>113</v>
      </c>
      <c r="I7" t="s">
        <v>112</v>
      </c>
      <c r="J7" t="s">
        <v>114</v>
      </c>
      <c r="K7" t="s">
        <v>116</v>
      </c>
      <c r="L7" t="s">
        <v>116</v>
      </c>
    </row>
    <row r="8" spans="1:12" x14ac:dyDescent="0.3">
      <c r="A8" t="s">
        <v>731</v>
      </c>
      <c r="B8" t="s">
        <v>1505</v>
      </c>
      <c r="C8" t="s">
        <v>566</v>
      </c>
      <c r="D8" t="s">
        <v>215</v>
      </c>
      <c r="E8" t="s">
        <v>569</v>
      </c>
      <c r="F8" t="s">
        <v>69</v>
      </c>
      <c r="G8" t="s">
        <v>111</v>
      </c>
      <c r="H8" t="s">
        <v>113</v>
      </c>
      <c r="I8" t="s">
        <v>112</v>
      </c>
      <c r="J8" t="s">
        <v>114</v>
      </c>
      <c r="K8" t="s">
        <v>116</v>
      </c>
      <c r="L8" t="s">
        <v>116</v>
      </c>
    </row>
    <row r="9" spans="1:12" x14ac:dyDescent="0.3">
      <c r="A9" t="s">
        <v>731</v>
      </c>
      <c r="B9" t="s">
        <v>1505</v>
      </c>
      <c r="C9" t="s">
        <v>566</v>
      </c>
      <c r="D9" t="s">
        <v>216</v>
      </c>
      <c r="E9" t="s">
        <v>569</v>
      </c>
      <c r="F9" t="s">
        <v>121</v>
      </c>
      <c r="G9" t="s">
        <v>111</v>
      </c>
      <c r="H9" t="s">
        <v>113</v>
      </c>
      <c r="I9" t="s">
        <v>112</v>
      </c>
      <c r="J9" t="s">
        <v>114</v>
      </c>
      <c r="K9" t="s">
        <v>116</v>
      </c>
      <c r="L9" t="s">
        <v>116</v>
      </c>
    </row>
    <row r="10" spans="1:12" x14ac:dyDescent="0.3">
      <c r="A10" t="s">
        <v>731</v>
      </c>
      <c r="B10" t="s">
        <v>1505</v>
      </c>
      <c r="C10" t="s">
        <v>566</v>
      </c>
      <c r="D10" t="s">
        <v>217</v>
      </c>
      <c r="E10" t="s">
        <v>569</v>
      </c>
      <c r="F10" t="s">
        <v>122</v>
      </c>
      <c r="G10" t="s">
        <v>111</v>
      </c>
      <c r="H10" t="s">
        <v>113</v>
      </c>
      <c r="I10" t="s">
        <v>112</v>
      </c>
      <c r="J10" t="s">
        <v>114</v>
      </c>
      <c r="K10" t="s">
        <v>116</v>
      </c>
      <c r="L10" t="s">
        <v>116</v>
      </c>
    </row>
    <row r="11" spans="1:12" x14ac:dyDescent="0.3">
      <c r="A11" t="s">
        <v>731</v>
      </c>
      <c r="B11" t="s">
        <v>1505</v>
      </c>
      <c r="C11" t="s">
        <v>566</v>
      </c>
      <c r="D11" t="s">
        <v>306</v>
      </c>
      <c r="E11" t="s">
        <v>569</v>
      </c>
      <c r="F11" t="s">
        <v>165</v>
      </c>
      <c r="G11" t="s">
        <v>111</v>
      </c>
      <c r="H11" t="s">
        <v>113</v>
      </c>
      <c r="I11" t="s">
        <v>112</v>
      </c>
      <c r="J11" t="s">
        <v>114</v>
      </c>
      <c r="K11" t="s">
        <v>116</v>
      </c>
      <c r="L11" t="s">
        <v>116</v>
      </c>
    </row>
    <row r="12" spans="1:12" x14ac:dyDescent="0.3">
      <c r="A12" t="s">
        <v>731</v>
      </c>
      <c r="B12" t="s">
        <v>1505</v>
      </c>
      <c r="C12" t="s">
        <v>566</v>
      </c>
      <c r="D12" t="s">
        <v>218</v>
      </c>
      <c r="E12" t="s">
        <v>569</v>
      </c>
      <c r="F12" t="s">
        <v>166</v>
      </c>
      <c r="G12" t="s">
        <v>111</v>
      </c>
      <c r="H12" t="s">
        <v>113</v>
      </c>
      <c r="I12" t="s">
        <v>112</v>
      </c>
      <c r="J12" t="s">
        <v>114</v>
      </c>
      <c r="K12" t="s">
        <v>116</v>
      </c>
      <c r="L12" t="s">
        <v>116</v>
      </c>
    </row>
    <row r="13" spans="1:12" x14ac:dyDescent="0.3">
      <c r="A13" t="s">
        <v>731</v>
      </c>
      <c r="B13" t="s">
        <v>1505</v>
      </c>
      <c r="C13" t="s">
        <v>566</v>
      </c>
      <c r="D13" t="s">
        <v>307</v>
      </c>
      <c r="E13" t="s">
        <v>569</v>
      </c>
      <c r="F13" t="s">
        <v>123</v>
      </c>
      <c r="G13" t="s">
        <v>111</v>
      </c>
      <c r="H13" t="s">
        <v>118</v>
      </c>
      <c r="I13" t="s">
        <v>112</v>
      </c>
      <c r="J13" t="s">
        <v>119</v>
      </c>
      <c r="K13" t="s">
        <v>116</v>
      </c>
      <c r="L13" t="s">
        <v>116</v>
      </c>
    </row>
    <row r="14" spans="1:12" x14ac:dyDescent="0.3">
      <c r="A14" t="s">
        <v>731</v>
      </c>
      <c r="B14" t="s">
        <v>1505</v>
      </c>
      <c r="C14" t="s">
        <v>566</v>
      </c>
      <c r="D14" t="s">
        <v>219</v>
      </c>
      <c r="E14" t="s">
        <v>569</v>
      </c>
      <c r="F14" t="s">
        <v>189</v>
      </c>
      <c r="G14" t="s">
        <v>111</v>
      </c>
      <c r="H14" t="s">
        <v>118</v>
      </c>
      <c r="I14" t="s">
        <v>112</v>
      </c>
      <c r="J14" t="s">
        <v>119</v>
      </c>
      <c r="K14" t="s">
        <v>116</v>
      </c>
      <c r="L14" t="s">
        <v>116</v>
      </c>
    </row>
    <row r="15" spans="1:12" x14ac:dyDescent="0.3">
      <c r="A15" t="s">
        <v>731</v>
      </c>
      <c r="B15" t="s">
        <v>1505</v>
      </c>
      <c r="C15" t="s">
        <v>566</v>
      </c>
      <c r="D15" t="s">
        <v>220</v>
      </c>
      <c r="E15" t="s">
        <v>569</v>
      </c>
      <c r="F15" t="s">
        <v>54</v>
      </c>
      <c r="G15" t="s">
        <v>111</v>
      </c>
      <c r="H15" t="s">
        <v>113</v>
      </c>
      <c r="I15" t="s">
        <v>112</v>
      </c>
      <c r="J15" t="s">
        <v>114</v>
      </c>
      <c r="K15" t="s">
        <v>1526</v>
      </c>
      <c r="L15" t="s">
        <v>1526</v>
      </c>
    </row>
    <row r="16" spans="1:12" x14ac:dyDescent="0.3">
      <c r="A16" t="s">
        <v>731</v>
      </c>
      <c r="B16" t="s">
        <v>1505</v>
      </c>
      <c r="C16" t="s">
        <v>566</v>
      </c>
      <c r="D16" t="s">
        <v>308</v>
      </c>
      <c r="E16" t="s">
        <v>569</v>
      </c>
      <c r="F16" t="s">
        <v>190</v>
      </c>
      <c r="G16" t="s">
        <v>111</v>
      </c>
      <c r="H16" t="s">
        <v>113</v>
      </c>
      <c r="I16" t="s">
        <v>112</v>
      </c>
      <c r="J16" t="s">
        <v>114</v>
      </c>
      <c r="K16" t="s">
        <v>116</v>
      </c>
      <c r="L16" t="s">
        <v>116</v>
      </c>
    </row>
    <row r="17" spans="1:12" x14ac:dyDescent="0.3">
      <c r="A17" t="s">
        <v>731</v>
      </c>
      <c r="B17" t="s">
        <v>1505</v>
      </c>
      <c r="C17" t="s">
        <v>566</v>
      </c>
      <c r="D17" t="s">
        <v>222</v>
      </c>
      <c r="E17" t="s">
        <v>569</v>
      </c>
      <c r="F17" t="s">
        <v>124</v>
      </c>
      <c r="G17" t="s">
        <v>111</v>
      </c>
      <c r="H17" t="s">
        <v>113</v>
      </c>
      <c r="I17" t="s">
        <v>112</v>
      </c>
      <c r="J17" t="s">
        <v>114</v>
      </c>
      <c r="K17" t="s">
        <v>116</v>
      </c>
      <c r="L17" t="s">
        <v>116</v>
      </c>
    </row>
    <row r="18" spans="1:12" x14ac:dyDescent="0.3">
      <c r="A18" t="s">
        <v>731</v>
      </c>
      <c r="B18" t="s">
        <v>1505</v>
      </c>
      <c r="C18" t="s">
        <v>566</v>
      </c>
      <c r="D18" t="s">
        <v>223</v>
      </c>
      <c r="E18" t="s">
        <v>569</v>
      </c>
      <c r="F18" t="s">
        <v>65</v>
      </c>
      <c r="G18" t="s">
        <v>111</v>
      </c>
      <c r="H18" t="s">
        <v>113</v>
      </c>
      <c r="I18" t="s">
        <v>112</v>
      </c>
      <c r="J18" t="s">
        <v>114</v>
      </c>
      <c r="K18" t="s">
        <v>116</v>
      </c>
      <c r="L18" t="s">
        <v>116</v>
      </c>
    </row>
    <row r="19" spans="1:12" x14ac:dyDescent="0.3">
      <c r="A19" t="s">
        <v>731</v>
      </c>
      <c r="B19" t="s">
        <v>1505</v>
      </c>
      <c r="C19" t="s">
        <v>566</v>
      </c>
      <c r="D19" t="s">
        <v>224</v>
      </c>
      <c r="E19" t="s">
        <v>569</v>
      </c>
      <c r="F19" t="s">
        <v>125</v>
      </c>
      <c r="G19" t="s">
        <v>111</v>
      </c>
      <c r="H19" t="s">
        <v>113</v>
      </c>
      <c r="I19" t="s">
        <v>112</v>
      </c>
      <c r="J19" t="s">
        <v>114</v>
      </c>
      <c r="K19" t="s">
        <v>116</v>
      </c>
      <c r="L19" t="s">
        <v>116</v>
      </c>
    </row>
    <row r="20" spans="1:12" x14ac:dyDescent="0.3">
      <c r="A20" t="s">
        <v>731</v>
      </c>
      <c r="B20" t="s">
        <v>1505</v>
      </c>
      <c r="C20" t="s">
        <v>566</v>
      </c>
      <c r="D20" t="s">
        <v>225</v>
      </c>
      <c r="E20" t="s">
        <v>569</v>
      </c>
      <c r="F20" t="s">
        <v>126</v>
      </c>
      <c r="G20" t="s">
        <v>111</v>
      </c>
      <c r="H20" t="s">
        <v>113</v>
      </c>
      <c r="I20" t="s">
        <v>112</v>
      </c>
      <c r="J20" t="s">
        <v>114</v>
      </c>
      <c r="K20" t="s">
        <v>116</v>
      </c>
      <c r="L20" t="s">
        <v>116</v>
      </c>
    </row>
    <row r="21" spans="1:12" x14ac:dyDescent="0.3">
      <c r="A21" t="s">
        <v>731</v>
      </c>
      <c r="B21" t="s">
        <v>1505</v>
      </c>
      <c r="C21" t="s">
        <v>566</v>
      </c>
      <c r="D21" t="s">
        <v>226</v>
      </c>
      <c r="E21" t="s">
        <v>569</v>
      </c>
      <c r="F21" t="s">
        <v>80</v>
      </c>
      <c r="G21" t="s">
        <v>111</v>
      </c>
      <c r="H21" t="s">
        <v>113</v>
      </c>
      <c r="I21" t="s">
        <v>112</v>
      </c>
      <c r="J21" t="s">
        <v>114</v>
      </c>
      <c r="K21" t="s">
        <v>116</v>
      </c>
      <c r="L21" t="s">
        <v>116</v>
      </c>
    </row>
    <row r="22" spans="1:12" x14ac:dyDescent="0.3">
      <c r="A22" t="s">
        <v>731</v>
      </c>
      <c r="B22" t="s">
        <v>1505</v>
      </c>
      <c r="C22" t="s">
        <v>566</v>
      </c>
      <c r="D22" t="s">
        <v>227</v>
      </c>
      <c r="E22" t="s">
        <v>569</v>
      </c>
      <c r="F22" t="s">
        <v>192</v>
      </c>
      <c r="G22" t="s">
        <v>111</v>
      </c>
      <c r="H22" t="s">
        <v>113</v>
      </c>
      <c r="I22" t="s">
        <v>112</v>
      </c>
      <c r="J22" t="s">
        <v>114</v>
      </c>
      <c r="K22" t="s">
        <v>116</v>
      </c>
      <c r="L22" t="s">
        <v>116</v>
      </c>
    </row>
    <row r="23" spans="1:12" x14ac:dyDescent="0.3">
      <c r="A23" t="s">
        <v>731</v>
      </c>
      <c r="B23" t="s">
        <v>1505</v>
      </c>
      <c r="C23" t="s">
        <v>566</v>
      </c>
      <c r="D23" t="s">
        <v>228</v>
      </c>
      <c r="E23" t="s">
        <v>569</v>
      </c>
      <c r="F23" t="s">
        <v>167</v>
      </c>
      <c r="G23" t="s">
        <v>111</v>
      </c>
      <c r="H23" t="s">
        <v>113</v>
      </c>
      <c r="I23" t="s">
        <v>112</v>
      </c>
      <c r="J23" t="s">
        <v>114</v>
      </c>
      <c r="K23" t="s">
        <v>116</v>
      </c>
      <c r="L23" t="s">
        <v>116</v>
      </c>
    </row>
    <row r="24" spans="1:12" x14ac:dyDescent="0.3">
      <c r="A24" t="s">
        <v>731</v>
      </c>
      <c r="B24" t="s">
        <v>1505</v>
      </c>
      <c r="C24" t="s">
        <v>566</v>
      </c>
      <c r="D24" t="s">
        <v>229</v>
      </c>
      <c r="E24" t="s">
        <v>569</v>
      </c>
      <c r="F24" t="s">
        <v>127</v>
      </c>
      <c r="G24" t="s">
        <v>111</v>
      </c>
      <c r="H24" t="s">
        <v>113</v>
      </c>
      <c r="I24" t="s">
        <v>112</v>
      </c>
      <c r="J24" t="s">
        <v>114</v>
      </c>
      <c r="K24" t="s">
        <v>116</v>
      </c>
      <c r="L24" t="s">
        <v>116</v>
      </c>
    </row>
    <row r="25" spans="1:12" x14ac:dyDescent="0.3">
      <c r="A25" t="s">
        <v>731</v>
      </c>
      <c r="B25" t="s">
        <v>1505</v>
      </c>
      <c r="C25" t="s">
        <v>566</v>
      </c>
      <c r="D25" t="s">
        <v>230</v>
      </c>
      <c r="E25" t="s">
        <v>569</v>
      </c>
      <c r="F25" t="s">
        <v>168</v>
      </c>
      <c r="G25" t="s">
        <v>111</v>
      </c>
      <c r="H25" t="s">
        <v>113</v>
      </c>
      <c r="I25" t="s">
        <v>112</v>
      </c>
      <c r="J25" t="s">
        <v>114</v>
      </c>
      <c r="K25" t="s">
        <v>116</v>
      </c>
      <c r="L25" t="s">
        <v>116</v>
      </c>
    </row>
    <row r="26" spans="1:12" x14ac:dyDescent="0.3">
      <c r="A26" t="s">
        <v>731</v>
      </c>
      <c r="B26" t="s">
        <v>1505</v>
      </c>
      <c r="C26" t="s">
        <v>566</v>
      </c>
      <c r="D26" t="s">
        <v>311</v>
      </c>
      <c r="E26" t="s">
        <v>569</v>
      </c>
      <c r="F26" t="s">
        <v>89</v>
      </c>
      <c r="G26" t="s">
        <v>111</v>
      </c>
      <c r="H26" t="s">
        <v>113</v>
      </c>
      <c r="I26" t="s">
        <v>112</v>
      </c>
      <c r="J26" t="s">
        <v>114</v>
      </c>
      <c r="K26" t="s">
        <v>116</v>
      </c>
      <c r="L26" t="s">
        <v>116</v>
      </c>
    </row>
    <row r="27" spans="1:12" x14ac:dyDescent="0.3">
      <c r="A27" t="s">
        <v>731</v>
      </c>
      <c r="B27" t="s">
        <v>1505</v>
      </c>
      <c r="C27" t="s">
        <v>566</v>
      </c>
      <c r="D27" t="s">
        <v>231</v>
      </c>
      <c r="E27" t="s">
        <v>569</v>
      </c>
      <c r="F27" t="s">
        <v>66</v>
      </c>
      <c r="G27" t="s">
        <v>111</v>
      </c>
      <c r="H27" t="s">
        <v>118</v>
      </c>
      <c r="I27" t="s">
        <v>112</v>
      </c>
      <c r="J27" t="s">
        <v>119</v>
      </c>
      <c r="K27" t="s">
        <v>116</v>
      </c>
      <c r="L27" t="s">
        <v>116</v>
      </c>
    </row>
    <row r="28" spans="1:12" x14ac:dyDescent="0.3">
      <c r="A28" t="s">
        <v>731</v>
      </c>
      <c r="B28" t="s">
        <v>1505</v>
      </c>
      <c r="C28" t="s">
        <v>566</v>
      </c>
      <c r="D28" t="s">
        <v>232</v>
      </c>
      <c r="E28" t="s">
        <v>569</v>
      </c>
      <c r="F28" t="s">
        <v>169</v>
      </c>
      <c r="G28" t="s">
        <v>111</v>
      </c>
      <c r="H28" t="s">
        <v>113</v>
      </c>
      <c r="I28" t="s">
        <v>112</v>
      </c>
      <c r="J28" t="s">
        <v>114</v>
      </c>
      <c r="K28" t="s">
        <v>116</v>
      </c>
      <c r="L28" t="s">
        <v>116</v>
      </c>
    </row>
    <row r="29" spans="1:12" x14ac:dyDescent="0.3">
      <c r="A29" t="s">
        <v>731</v>
      </c>
      <c r="B29" t="s">
        <v>1505</v>
      </c>
      <c r="C29" t="s">
        <v>566</v>
      </c>
      <c r="D29" t="s">
        <v>312</v>
      </c>
      <c r="E29" t="s">
        <v>569</v>
      </c>
      <c r="F29" t="s">
        <v>129</v>
      </c>
      <c r="G29" t="s">
        <v>111</v>
      </c>
      <c r="H29" t="s">
        <v>113</v>
      </c>
      <c r="I29" t="s">
        <v>112</v>
      </c>
      <c r="J29" t="s">
        <v>114</v>
      </c>
      <c r="K29" t="s">
        <v>116</v>
      </c>
      <c r="L29" t="s">
        <v>116</v>
      </c>
    </row>
    <row r="30" spans="1:12" x14ac:dyDescent="0.3">
      <c r="A30" t="s">
        <v>731</v>
      </c>
      <c r="B30" t="s">
        <v>1505</v>
      </c>
      <c r="C30" t="s">
        <v>566</v>
      </c>
      <c r="D30" t="s">
        <v>313</v>
      </c>
      <c r="E30" t="s">
        <v>569</v>
      </c>
      <c r="F30" t="s">
        <v>68</v>
      </c>
      <c r="G30" t="s">
        <v>111</v>
      </c>
      <c r="H30" t="s">
        <v>113</v>
      </c>
      <c r="I30" t="s">
        <v>112</v>
      </c>
      <c r="J30" t="s">
        <v>114</v>
      </c>
      <c r="K30" t="s">
        <v>116</v>
      </c>
      <c r="L30" t="s">
        <v>116</v>
      </c>
    </row>
    <row r="31" spans="1:12" x14ac:dyDescent="0.3">
      <c r="A31" t="s">
        <v>731</v>
      </c>
      <c r="B31" t="s">
        <v>1505</v>
      </c>
      <c r="C31" t="s">
        <v>566</v>
      </c>
      <c r="D31" t="s">
        <v>314</v>
      </c>
      <c r="E31" t="s">
        <v>569</v>
      </c>
      <c r="F31" t="s">
        <v>61</v>
      </c>
      <c r="G31" t="s">
        <v>111</v>
      </c>
      <c r="H31" t="s">
        <v>113</v>
      </c>
      <c r="I31" t="s">
        <v>112</v>
      </c>
      <c r="J31" t="s">
        <v>114</v>
      </c>
      <c r="K31" t="s">
        <v>116</v>
      </c>
      <c r="L31" t="s">
        <v>116</v>
      </c>
    </row>
    <row r="32" spans="1:12" x14ac:dyDescent="0.3">
      <c r="A32" t="s">
        <v>731</v>
      </c>
      <c r="B32" t="s">
        <v>1505</v>
      </c>
      <c r="C32" t="s">
        <v>566</v>
      </c>
      <c r="D32" t="s">
        <v>236</v>
      </c>
      <c r="E32" t="s">
        <v>569</v>
      </c>
      <c r="F32" t="s">
        <v>87</v>
      </c>
      <c r="G32" t="s">
        <v>111</v>
      </c>
      <c r="H32" t="s">
        <v>118</v>
      </c>
      <c r="I32" t="s">
        <v>112</v>
      </c>
      <c r="J32" t="s">
        <v>119</v>
      </c>
      <c r="K32" t="s">
        <v>116</v>
      </c>
      <c r="L32" t="s">
        <v>116</v>
      </c>
    </row>
    <row r="33" spans="1:12" x14ac:dyDescent="0.3">
      <c r="A33" t="s">
        <v>731</v>
      </c>
      <c r="B33" t="s">
        <v>1505</v>
      </c>
      <c r="C33" t="s">
        <v>566</v>
      </c>
      <c r="D33" t="s">
        <v>237</v>
      </c>
      <c r="E33" t="s">
        <v>569</v>
      </c>
      <c r="F33" t="s">
        <v>130</v>
      </c>
      <c r="G33" t="s">
        <v>111</v>
      </c>
      <c r="H33" t="s">
        <v>113</v>
      </c>
      <c r="I33" t="s">
        <v>112</v>
      </c>
      <c r="J33" t="s">
        <v>114</v>
      </c>
      <c r="K33" t="s">
        <v>116</v>
      </c>
      <c r="L33" t="s">
        <v>116</v>
      </c>
    </row>
    <row r="34" spans="1:12" x14ac:dyDescent="0.3">
      <c r="A34" t="s">
        <v>731</v>
      </c>
      <c r="B34" t="s">
        <v>1505</v>
      </c>
      <c r="C34" t="s">
        <v>566</v>
      </c>
      <c r="D34" t="s">
        <v>316</v>
      </c>
      <c r="E34" t="s">
        <v>568</v>
      </c>
      <c r="F34" t="s">
        <v>132</v>
      </c>
      <c r="G34" t="s">
        <v>111</v>
      </c>
      <c r="H34" t="s">
        <v>113</v>
      </c>
      <c r="I34" t="s">
        <v>112</v>
      </c>
      <c r="J34" t="s">
        <v>114</v>
      </c>
      <c r="K34" t="s">
        <v>116</v>
      </c>
      <c r="L34" t="s">
        <v>116</v>
      </c>
    </row>
    <row r="35" spans="1:12" x14ac:dyDescent="0.3">
      <c r="A35" t="s">
        <v>731</v>
      </c>
      <c r="B35" t="s">
        <v>1505</v>
      </c>
      <c r="C35" t="s">
        <v>566</v>
      </c>
      <c r="D35" t="s">
        <v>317</v>
      </c>
      <c r="E35" t="s">
        <v>568</v>
      </c>
      <c r="F35" t="s">
        <v>133</v>
      </c>
      <c r="G35" t="s">
        <v>111</v>
      </c>
      <c r="H35" t="s">
        <v>113</v>
      </c>
      <c r="I35" t="s">
        <v>112</v>
      </c>
      <c r="J35" t="s">
        <v>114</v>
      </c>
      <c r="K35" t="s">
        <v>116</v>
      </c>
      <c r="L35" t="s">
        <v>116</v>
      </c>
    </row>
    <row r="36" spans="1:12" x14ac:dyDescent="0.3">
      <c r="A36" t="s">
        <v>731</v>
      </c>
      <c r="B36" t="s">
        <v>1505</v>
      </c>
      <c r="C36" t="s">
        <v>566</v>
      </c>
      <c r="D36" t="s">
        <v>240</v>
      </c>
      <c r="E36" t="s">
        <v>568</v>
      </c>
      <c r="F36" t="s">
        <v>134</v>
      </c>
      <c r="G36" t="s">
        <v>111</v>
      </c>
      <c r="H36" t="s">
        <v>113</v>
      </c>
      <c r="I36" t="s">
        <v>112</v>
      </c>
      <c r="J36" t="s">
        <v>114</v>
      </c>
      <c r="K36" t="s">
        <v>116</v>
      </c>
      <c r="L36" t="s">
        <v>116</v>
      </c>
    </row>
    <row r="37" spans="1:12" x14ac:dyDescent="0.3">
      <c r="A37" t="s">
        <v>731</v>
      </c>
      <c r="B37" t="s">
        <v>1505</v>
      </c>
      <c r="C37" t="s">
        <v>566</v>
      </c>
      <c r="D37" t="s">
        <v>241</v>
      </c>
      <c r="E37" t="s">
        <v>568</v>
      </c>
      <c r="F37" t="s">
        <v>51</v>
      </c>
      <c r="G37" t="s">
        <v>111</v>
      </c>
      <c r="H37" t="s">
        <v>113</v>
      </c>
      <c r="I37" t="s">
        <v>112</v>
      </c>
      <c r="J37" t="s">
        <v>114</v>
      </c>
      <c r="K37" t="s">
        <v>116</v>
      </c>
      <c r="L37" t="s">
        <v>116</v>
      </c>
    </row>
    <row r="38" spans="1:12" x14ac:dyDescent="0.3">
      <c r="A38" t="s">
        <v>731</v>
      </c>
      <c r="B38" t="s">
        <v>1505</v>
      </c>
      <c r="C38" t="s">
        <v>566</v>
      </c>
      <c r="D38" t="s">
        <v>242</v>
      </c>
      <c r="E38" t="s">
        <v>568</v>
      </c>
      <c r="F38" t="s">
        <v>163</v>
      </c>
      <c r="G38" t="s">
        <v>111</v>
      </c>
      <c r="H38" t="s">
        <v>113</v>
      </c>
      <c r="I38" t="s">
        <v>112</v>
      </c>
      <c r="J38" t="s">
        <v>114</v>
      </c>
      <c r="K38" t="s">
        <v>116</v>
      </c>
      <c r="L38" t="s">
        <v>116</v>
      </c>
    </row>
    <row r="39" spans="1:12" x14ac:dyDescent="0.3">
      <c r="A39" t="s">
        <v>731</v>
      </c>
      <c r="B39" t="s">
        <v>1505</v>
      </c>
      <c r="C39" t="s">
        <v>566</v>
      </c>
      <c r="D39" t="s">
        <v>243</v>
      </c>
      <c r="E39" t="s">
        <v>568</v>
      </c>
      <c r="F39" t="s">
        <v>170</v>
      </c>
      <c r="G39" t="s">
        <v>111</v>
      </c>
      <c r="H39" t="s">
        <v>113</v>
      </c>
      <c r="I39" t="s">
        <v>112</v>
      </c>
      <c r="J39" t="s">
        <v>114</v>
      </c>
      <c r="K39" t="s">
        <v>116</v>
      </c>
      <c r="L39" t="s">
        <v>116</v>
      </c>
    </row>
    <row r="40" spans="1:12" x14ac:dyDescent="0.3">
      <c r="A40" t="s">
        <v>731</v>
      </c>
      <c r="B40" t="s">
        <v>1505</v>
      </c>
      <c r="C40" t="s">
        <v>566</v>
      </c>
      <c r="D40" t="s">
        <v>244</v>
      </c>
      <c r="E40" t="s">
        <v>568</v>
      </c>
      <c r="F40" t="s">
        <v>78</v>
      </c>
      <c r="G40" t="s">
        <v>111</v>
      </c>
      <c r="H40" t="s">
        <v>113</v>
      </c>
      <c r="I40" t="s">
        <v>112</v>
      </c>
      <c r="J40" t="s">
        <v>114</v>
      </c>
      <c r="K40" t="s">
        <v>116</v>
      </c>
      <c r="L40" t="s">
        <v>116</v>
      </c>
    </row>
    <row r="41" spans="1:12" x14ac:dyDescent="0.3">
      <c r="A41" t="s">
        <v>731</v>
      </c>
      <c r="B41" t="s">
        <v>1505</v>
      </c>
      <c r="C41" t="s">
        <v>566</v>
      </c>
      <c r="D41" t="s">
        <v>246</v>
      </c>
      <c r="E41" t="s">
        <v>568</v>
      </c>
      <c r="F41" t="s">
        <v>135</v>
      </c>
      <c r="G41" t="s">
        <v>111</v>
      </c>
      <c r="H41" t="s">
        <v>113</v>
      </c>
      <c r="I41" t="s">
        <v>112</v>
      </c>
      <c r="J41" t="s">
        <v>114</v>
      </c>
      <c r="K41" t="s">
        <v>116</v>
      </c>
      <c r="L41" t="s">
        <v>116</v>
      </c>
    </row>
    <row r="42" spans="1:12" x14ac:dyDescent="0.3">
      <c r="A42" t="s">
        <v>731</v>
      </c>
      <c r="B42" t="s">
        <v>1505</v>
      </c>
      <c r="C42" t="s">
        <v>566</v>
      </c>
      <c r="D42" t="s">
        <v>319</v>
      </c>
      <c r="E42" t="s">
        <v>568</v>
      </c>
      <c r="F42" t="s">
        <v>136</v>
      </c>
      <c r="G42" t="s">
        <v>111</v>
      </c>
      <c r="H42" t="s">
        <v>113</v>
      </c>
      <c r="I42" t="s">
        <v>112</v>
      </c>
      <c r="J42" t="s">
        <v>114</v>
      </c>
      <c r="K42" t="s">
        <v>116</v>
      </c>
      <c r="L42" t="s">
        <v>116</v>
      </c>
    </row>
    <row r="43" spans="1:12" x14ac:dyDescent="0.3">
      <c r="A43" t="s">
        <v>731</v>
      </c>
      <c r="B43" t="s">
        <v>1505</v>
      </c>
      <c r="C43" t="s">
        <v>566</v>
      </c>
      <c r="D43" t="s">
        <v>247</v>
      </c>
      <c r="E43" t="s">
        <v>568</v>
      </c>
      <c r="F43" t="s">
        <v>60</v>
      </c>
      <c r="G43" t="s">
        <v>111</v>
      </c>
      <c r="H43" t="s">
        <v>113</v>
      </c>
      <c r="I43" t="s">
        <v>112</v>
      </c>
      <c r="J43" t="s">
        <v>114</v>
      </c>
      <c r="K43" t="s">
        <v>116</v>
      </c>
      <c r="L43" t="s">
        <v>116</v>
      </c>
    </row>
    <row r="44" spans="1:12" x14ac:dyDescent="0.3">
      <c r="A44" t="s">
        <v>731</v>
      </c>
      <c r="B44" t="s">
        <v>1505</v>
      </c>
      <c r="C44" t="s">
        <v>566</v>
      </c>
      <c r="D44" t="s">
        <v>250</v>
      </c>
      <c r="E44" t="s">
        <v>568</v>
      </c>
      <c r="F44" t="s">
        <v>70</v>
      </c>
      <c r="G44" t="s">
        <v>111</v>
      </c>
      <c r="H44" t="s">
        <v>113</v>
      </c>
      <c r="I44" t="s">
        <v>112</v>
      </c>
      <c r="J44" t="s">
        <v>114</v>
      </c>
      <c r="K44" t="s">
        <v>116</v>
      </c>
      <c r="L44" t="s">
        <v>116</v>
      </c>
    </row>
    <row r="45" spans="1:12" x14ac:dyDescent="0.3">
      <c r="A45" t="s">
        <v>731</v>
      </c>
      <c r="B45" t="s">
        <v>1505</v>
      </c>
      <c r="C45" t="s">
        <v>566</v>
      </c>
      <c r="D45" t="s">
        <v>251</v>
      </c>
      <c r="E45" t="s">
        <v>568</v>
      </c>
      <c r="F45" t="s">
        <v>48</v>
      </c>
      <c r="G45" t="s">
        <v>111</v>
      </c>
      <c r="H45" t="s">
        <v>118</v>
      </c>
      <c r="I45" t="s">
        <v>112</v>
      </c>
      <c r="J45" t="s">
        <v>119</v>
      </c>
      <c r="K45" t="s">
        <v>116</v>
      </c>
      <c r="L45" t="s">
        <v>116</v>
      </c>
    </row>
    <row r="46" spans="1:12" x14ac:dyDescent="0.3">
      <c r="A46" t="s">
        <v>731</v>
      </c>
      <c r="B46" t="s">
        <v>1505</v>
      </c>
      <c r="C46" t="s">
        <v>566</v>
      </c>
      <c r="D46" t="s">
        <v>252</v>
      </c>
      <c r="E46" t="s">
        <v>568</v>
      </c>
      <c r="F46" t="s">
        <v>138</v>
      </c>
      <c r="G46" t="s">
        <v>111</v>
      </c>
      <c r="H46" t="s">
        <v>113</v>
      </c>
      <c r="I46" t="s">
        <v>112</v>
      </c>
      <c r="J46" t="s">
        <v>114</v>
      </c>
      <c r="K46" t="s">
        <v>116</v>
      </c>
      <c r="L46" t="s">
        <v>116</v>
      </c>
    </row>
    <row r="47" spans="1:12" x14ac:dyDescent="0.3">
      <c r="A47" t="s">
        <v>731</v>
      </c>
      <c r="B47" t="s">
        <v>1505</v>
      </c>
      <c r="C47" t="s">
        <v>566</v>
      </c>
      <c r="D47" t="s">
        <v>253</v>
      </c>
      <c r="E47" t="s">
        <v>568</v>
      </c>
      <c r="F47" t="s">
        <v>95</v>
      </c>
      <c r="G47" t="s">
        <v>111</v>
      </c>
      <c r="H47" t="s">
        <v>113</v>
      </c>
      <c r="I47" t="s">
        <v>112</v>
      </c>
      <c r="J47" t="s">
        <v>114</v>
      </c>
      <c r="K47" t="s">
        <v>116</v>
      </c>
      <c r="L47" t="s">
        <v>116</v>
      </c>
    </row>
    <row r="48" spans="1:12" x14ac:dyDescent="0.3">
      <c r="A48" t="s">
        <v>731</v>
      </c>
      <c r="B48" t="s">
        <v>1505</v>
      </c>
      <c r="C48" t="s">
        <v>566</v>
      </c>
      <c r="D48" t="s">
        <v>254</v>
      </c>
      <c r="E48" t="s">
        <v>568</v>
      </c>
      <c r="F48" t="s">
        <v>139</v>
      </c>
      <c r="G48" t="s">
        <v>111</v>
      </c>
      <c r="H48" t="s">
        <v>113</v>
      </c>
      <c r="I48" t="s">
        <v>112</v>
      </c>
      <c r="J48" t="s">
        <v>114</v>
      </c>
      <c r="K48" t="s">
        <v>116</v>
      </c>
      <c r="L48" t="s">
        <v>116</v>
      </c>
    </row>
    <row r="49" spans="1:12" x14ac:dyDescent="0.3">
      <c r="A49" t="s">
        <v>731</v>
      </c>
      <c r="B49" t="s">
        <v>1505</v>
      </c>
      <c r="C49" t="s">
        <v>566</v>
      </c>
      <c r="D49" t="s">
        <v>255</v>
      </c>
      <c r="E49" t="s">
        <v>568</v>
      </c>
      <c r="F49" t="s">
        <v>171</v>
      </c>
      <c r="G49" t="s">
        <v>111</v>
      </c>
      <c r="H49" t="s">
        <v>113</v>
      </c>
      <c r="I49" t="s">
        <v>112</v>
      </c>
      <c r="J49" t="s">
        <v>114</v>
      </c>
      <c r="K49" t="s">
        <v>116</v>
      </c>
      <c r="L49" t="s">
        <v>116</v>
      </c>
    </row>
    <row r="50" spans="1:12" x14ac:dyDescent="0.3">
      <c r="A50" t="s">
        <v>731</v>
      </c>
      <c r="B50" t="s">
        <v>1505</v>
      </c>
      <c r="C50" t="s">
        <v>566</v>
      </c>
      <c r="D50" t="s">
        <v>320</v>
      </c>
      <c r="E50" t="s">
        <v>568</v>
      </c>
      <c r="F50" t="s">
        <v>172</v>
      </c>
      <c r="G50" t="s">
        <v>111</v>
      </c>
      <c r="H50" t="s">
        <v>113</v>
      </c>
      <c r="I50" t="s">
        <v>112</v>
      </c>
      <c r="J50" t="s">
        <v>114</v>
      </c>
      <c r="K50" t="s">
        <v>116</v>
      </c>
      <c r="L50" t="s">
        <v>116</v>
      </c>
    </row>
    <row r="51" spans="1:12" x14ac:dyDescent="0.3">
      <c r="A51" t="s">
        <v>731</v>
      </c>
      <c r="B51" t="s">
        <v>1505</v>
      </c>
      <c r="C51" t="s">
        <v>566</v>
      </c>
      <c r="D51" t="s">
        <v>256</v>
      </c>
      <c r="E51" t="s">
        <v>568</v>
      </c>
      <c r="F51" t="s">
        <v>57</v>
      </c>
      <c r="G51" t="s">
        <v>111</v>
      </c>
      <c r="H51" t="s">
        <v>113</v>
      </c>
      <c r="I51" t="s">
        <v>112</v>
      </c>
      <c r="J51" t="s">
        <v>114</v>
      </c>
      <c r="K51" t="s">
        <v>116</v>
      </c>
      <c r="L51" t="s">
        <v>116</v>
      </c>
    </row>
    <row r="52" spans="1:12" x14ac:dyDescent="0.3">
      <c r="A52" t="s">
        <v>731</v>
      </c>
      <c r="B52" t="s">
        <v>1505</v>
      </c>
      <c r="C52" t="s">
        <v>566</v>
      </c>
      <c r="D52" t="s">
        <v>322</v>
      </c>
      <c r="E52" t="s">
        <v>568</v>
      </c>
      <c r="F52" t="s">
        <v>173</v>
      </c>
      <c r="G52" t="s">
        <v>111</v>
      </c>
      <c r="H52" t="s">
        <v>113</v>
      </c>
      <c r="I52" t="s">
        <v>112</v>
      </c>
      <c r="J52" t="s">
        <v>114</v>
      </c>
      <c r="K52" t="s">
        <v>116</v>
      </c>
      <c r="L52" t="s">
        <v>116</v>
      </c>
    </row>
    <row r="53" spans="1:12" x14ac:dyDescent="0.3">
      <c r="A53" t="s">
        <v>731</v>
      </c>
      <c r="B53" t="s">
        <v>1505</v>
      </c>
      <c r="C53" t="s">
        <v>566</v>
      </c>
      <c r="D53" t="s">
        <v>257</v>
      </c>
      <c r="E53" t="s">
        <v>568</v>
      </c>
      <c r="F53" t="s">
        <v>174</v>
      </c>
      <c r="G53" t="s">
        <v>111</v>
      </c>
      <c r="H53" t="s">
        <v>113</v>
      </c>
      <c r="I53" t="s">
        <v>112</v>
      </c>
      <c r="J53" t="s">
        <v>114</v>
      </c>
      <c r="K53" t="s">
        <v>116</v>
      </c>
      <c r="L53" t="s">
        <v>116</v>
      </c>
    </row>
    <row r="54" spans="1:12" x14ac:dyDescent="0.3">
      <c r="A54" t="s">
        <v>731</v>
      </c>
      <c r="B54" t="s">
        <v>1505</v>
      </c>
      <c r="C54" t="s">
        <v>566</v>
      </c>
      <c r="D54" t="s">
        <v>258</v>
      </c>
      <c r="E54" t="s">
        <v>568</v>
      </c>
      <c r="F54" t="s">
        <v>88</v>
      </c>
      <c r="G54" t="s">
        <v>111</v>
      </c>
      <c r="H54" t="s">
        <v>113</v>
      </c>
      <c r="I54" t="s">
        <v>112</v>
      </c>
      <c r="J54" t="s">
        <v>114</v>
      </c>
      <c r="K54" t="s">
        <v>116</v>
      </c>
      <c r="L54" t="s">
        <v>116</v>
      </c>
    </row>
    <row r="55" spans="1:12" x14ac:dyDescent="0.3">
      <c r="A55" t="s">
        <v>731</v>
      </c>
      <c r="B55" t="s">
        <v>1505</v>
      </c>
      <c r="C55" t="s">
        <v>566</v>
      </c>
      <c r="D55" t="s">
        <v>323</v>
      </c>
      <c r="E55" t="s">
        <v>568</v>
      </c>
      <c r="F55" t="s">
        <v>74</v>
      </c>
      <c r="G55" t="s">
        <v>111</v>
      </c>
      <c r="H55" t="s">
        <v>113</v>
      </c>
      <c r="I55" t="s">
        <v>112</v>
      </c>
      <c r="J55" t="s">
        <v>114</v>
      </c>
      <c r="K55" t="s">
        <v>116</v>
      </c>
      <c r="L55" t="s">
        <v>116</v>
      </c>
    </row>
    <row r="56" spans="1:12" x14ac:dyDescent="0.3">
      <c r="A56" t="s">
        <v>731</v>
      </c>
      <c r="B56" t="s">
        <v>1505</v>
      </c>
      <c r="C56" t="s">
        <v>566</v>
      </c>
      <c r="D56" t="s">
        <v>324</v>
      </c>
      <c r="E56" t="s">
        <v>568</v>
      </c>
      <c r="F56" t="s">
        <v>102</v>
      </c>
      <c r="G56" t="s">
        <v>111</v>
      </c>
      <c r="H56" t="s">
        <v>113</v>
      </c>
      <c r="I56" t="s">
        <v>112</v>
      </c>
      <c r="J56" t="s">
        <v>114</v>
      </c>
      <c r="K56" t="s">
        <v>116</v>
      </c>
      <c r="L56" t="s">
        <v>116</v>
      </c>
    </row>
    <row r="57" spans="1:12" x14ac:dyDescent="0.3">
      <c r="A57" t="s">
        <v>731</v>
      </c>
      <c r="B57" t="s">
        <v>1505</v>
      </c>
      <c r="C57" t="s">
        <v>566</v>
      </c>
      <c r="D57" t="s">
        <v>260</v>
      </c>
      <c r="E57" t="s">
        <v>568</v>
      </c>
      <c r="F57" t="s">
        <v>140</v>
      </c>
      <c r="G57" t="s">
        <v>111</v>
      </c>
      <c r="H57" t="s">
        <v>113</v>
      </c>
      <c r="I57" t="s">
        <v>112</v>
      </c>
      <c r="J57" t="s">
        <v>114</v>
      </c>
      <c r="K57" t="s">
        <v>116</v>
      </c>
      <c r="L57" t="s">
        <v>116</v>
      </c>
    </row>
    <row r="58" spans="1:12" x14ac:dyDescent="0.3">
      <c r="A58" t="s">
        <v>731</v>
      </c>
      <c r="B58" t="s">
        <v>1505</v>
      </c>
      <c r="C58" t="s">
        <v>566</v>
      </c>
      <c r="D58" t="s">
        <v>325</v>
      </c>
      <c r="E58" t="s">
        <v>568</v>
      </c>
      <c r="F58" t="s">
        <v>46</v>
      </c>
      <c r="G58" t="s">
        <v>111</v>
      </c>
      <c r="H58" t="s">
        <v>113</v>
      </c>
      <c r="I58" t="s">
        <v>112</v>
      </c>
      <c r="J58" t="s">
        <v>114</v>
      </c>
      <c r="K58" t="s">
        <v>116</v>
      </c>
      <c r="L58" t="s">
        <v>116</v>
      </c>
    </row>
    <row r="59" spans="1:12" x14ac:dyDescent="0.3">
      <c r="A59" t="s">
        <v>731</v>
      </c>
      <c r="B59" t="s">
        <v>1505</v>
      </c>
      <c r="C59" t="s">
        <v>566</v>
      </c>
      <c r="D59" t="s">
        <v>262</v>
      </c>
      <c r="E59" t="s">
        <v>568</v>
      </c>
      <c r="F59" t="s">
        <v>202</v>
      </c>
      <c r="G59" t="s">
        <v>111</v>
      </c>
      <c r="H59" t="s">
        <v>113</v>
      </c>
      <c r="I59" t="s">
        <v>112</v>
      </c>
      <c r="J59" t="s">
        <v>114</v>
      </c>
      <c r="K59" t="s">
        <v>116</v>
      </c>
      <c r="L59" t="s">
        <v>116</v>
      </c>
    </row>
    <row r="60" spans="1:12" x14ac:dyDescent="0.3">
      <c r="A60" t="s">
        <v>731</v>
      </c>
      <c r="B60" t="s">
        <v>1505</v>
      </c>
      <c r="C60" t="s">
        <v>566</v>
      </c>
      <c r="D60" t="s">
        <v>263</v>
      </c>
      <c r="E60" t="s">
        <v>568</v>
      </c>
      <c r="F60" t="s">
        <v>141</v>
      </c>
      <c r="G60" t="s">
        <v>111</v>
      </c>
      <c r="H60" t="s">
        <v>113</v>
      </c>
      <c r="I60" t="s">
        <v>112</v>
      </c>
      <c r="J60" t="s">
        <v>114</v>
      </c>
      <c r="K60" t="s">
        <v>116</v>
      </c>
      <c r="L60" t="s">
        <v>116</v>
      </c>
    </row>
    <row r="61" spans="1:12" x14ac:dyDescent="0.3">
      <c r="A61" t="s">
        <v>731</v>
      </c>
      <c r="B61" t="s">
        <v>1505</v>
      </c>
      <c r="C61" t="s">
        <v>566</v>
      </c>
      <c r="D61" t="s">
        <v>265</v>
      </c>
      <c r="E61" t="s">
        <v>568</v>
      </c>
      <c r="F61" t="s">
        <v>142</v>
      </c>
      <c r="G61" t="s">
        <v>111</v>
      </c>
      <c r="H61" t="s">
        <v>113</v>
      </c>
      <c r="I61" t="s">
        <v>112</v>
      </c>
      <c r="J61" t="s">
        <v>114</v>
      </c>
      <c r="K61" t="s">
        <v>116</v>
      </c>
      <c r="L61" t="s">
        <v>116</v>
      </c>
    </row>
    <row r="62" spans="1:12" x14ac:dyDescent="0.3">
      <c r="A62" t="s">
        <v>731</v>
      </c>
      <c r="B62" t="s">
        <v>1505</v>
      </c>
      <c r="C62" t="s">
        <v>566</v>
      </c>
      <c r="D62" t="s">
        <v>266</v>
      </c>
      <c r="E62" t="s">
        <v>568</v>
      </c>
      <c r="F62" t="s">
        <v>75</v>
      </c>
      <c r="G62" t="s">
        <v>111</v>
      </c>
      <c r="H62" t="s">
        <v>113</v>
      </c>
      <c r="I62" t="s">
        <v>112</v>
      </c>
      <c r="J62" t="s">
        <v>114</v>
      </c>
      <c r="K62" t="s">
        <v>116</v>
      </c>
      <c r="L62" t="s">
        <v>116</v>
      </c>
    </row>
    <row r="63" spans="1:12" x14ac:dyDescent="0.3">
      <c r="A63" t="s">
        <v>731</v>
      </c>
      <c r="B63" t="s">
        <v>1505</v>
      </c>
      <c r="C63" t="s">
        <v>566</v>
      </c>
      <c r="D63" t="s">
        <v>326</v>
      </c>
      <c r="E63" t="s">
        <v>568</v>
      </c>
      <c r="F63" t="s">
        <v>144</v>
      </c>
      <c r="G63" t="s">
        <v>111</v>
      </c>
      <c r="H63" t="s">
        <v>113</v>
      </c>
      <c r="I63" t="s">
        <v>112</v>
      </c>
      <c r="J63" t="s">
        <v>114</v>
      </c>
      <c r="K63" t="s">
        <v>116</v>
      </c>
      <c r="L63" t="s">
        <v>116</v>
      </c>
    </row>
    <row r="64" spans="1:12" x14ac:dyDescent="0.3">
      <c r="A64" t="s">
        <v>731</v>
      </c>
      <c r="B64" t="s">
        <v>1505</v>
      </c>
      <c r="C64" t="s">
        <v>566</v>
      </c>
      <c r="D64" t="s">
        <v>268</v>
      </c>
      <c r="E64" t="s">
        <v>568</v>
      </c>
      <c r="F64" t="s">
        <v>194</v>
      </c>
      <c r="G64" t="s">
        <v>111</v>
      </c>
      <c r="H64" t="s">
        <v>113</v>
      </c>
      <c r="I64" t="s">
        <v>112</v>
      </c>
      <c r="J64" t="s">
        <v>114</v>
      </c>
      <c r="K64" t="s">
        <v>116</v>
      </c>
      <c r="L64" t="s">
        <v>116</v>
      </c>
    </row>
    <row r="65" spans="1:12" x14ac:dyDescent="0.3">
      <c r="A65" t="s">
        <v>731</v>
      </c>
      <c r="B65" t="s">
        <v>1505</v>
      </c>
      <c r="C65" t="s">
        <v>566</v>
      </c>
      <c r="D65" t="s">
        <v>270</v>
      </c>
      <c r="E65" t="s">
        <v>568</v>
      </c>
      <c r="F65" t="s">
        <v>81</v>
      </c>
      <c r="G65" t="s">
        <v>111</v>
      </c>
      <c r="H65" t="s">
        <v>113</v>
      </c>
      <c r="I65" t="s">
        <v>112</v>
      </c>
      <c r="J65" t="s">
        <v>114</v>
      </c>
      <c r="K65" t="s">
        <v>116</v>
      </c>
      <c r="L65" t="s">
        <v>116</v>
      </c>
    </row>
    <row r="66" spans="1:12" x14ac:dyDescent="0.3">
      <c r="A66" t="s">
        <v>731</v>
      </c>
      <c r="B66" t="s">
        <v>1505</v>
      </c>
      <c r="C66" t="s">
        <v>566</v>
      </c>
      <c r="D66" t="s">
        <v>271</v>
      </c>
      <c r="E66" t="s">
        <v>567</v>
      </c>
      <c r="F66" t="s">
        <v>76</v>
      </c>
      <c r="G66" t="s">
        <v>111</v>
      </c>
      <c r="H66" t="s">
        <v>113</v>
      </c>
      <c r="I66" t="s">
        <v>112</v>
      </c>
      <c r="J66" t="s">
        <v>114</v>
      </c>
      <c r="K66" t="s">
        <v>116</v>
      </c>
      <c r="L66" t="s">
        <v>116</v>
      </c>
    </row>
    <row r="67" spans="1:12" x14ac:dyDescent="0.3">
      <c r="A67" t="s">
        <v>731</v>
      </c>
      <c r="B67" t="s">
        <v>1505</v>
      </c>
      <c r="C67" t="s">
        <v>566</v>
      </c>
      <c r="D67" t="s">
        <v>272</v>
      </c>
      <c r="E67" t="s">
        <v>567</v>
      </c>
      <c r="F67" t="s">
        <v>52</v>
      </c>
      <c r="G67" t="s">
        <v>111</v>
      </c>
      <c r="H67" t="s">
        <v>113</v>
      </c>
      <c r="I67" t="s">
        <v>112</v>
      </c>
      <c r="J67" t="s">
        <v>114</v>
      </c>
      <c r="K67" t="s">
        <v>116</v>
      </c>
      <c r="L67" t="s">
        <v>116</v>
      </c>
    </row>
    <row r="68" spans="1:12" x14ac:dyDescent="0.3">
      <c r="A68" t="s">
        <v>731</v>
      </c>
      <c r="B68" t="s">
        <v>1505</v>
      </c>
      <c r="C68" t="s">
        <v>566</v>
      </c>
      <c r="D68" t="s">
        <v>275</v>
      </c>
      <c r="E68" t="s">
        <v>567</v>
      </c>
      <c r="F68" t="s">
        <v>148</v>
      </c>
      <c r="G68" t="s">
        <v>111</v>
      </c>
      <c r="H68" t="s">
        <v>113</v>
      </c>
      <c r="I68" t="s">
        <v>112</v>
      </c>
      <c r="J68" t="s">
        <v>114</v>
      </c>
      <c r="K68" t="s">
        <v>116</v>
      </c>
      <c r="L68" t="s">
        <v>116</v>
      </c>
    </row>
    <row r="69" spans="1:12" x14ac:dyDescent="0.3">
      <c r="A69" t="s">
        <v>731</v>
      </c>
      <c r="B69" t="s">
        <v>1505</v>
      </c>
      <c r="C69" t="s">
        <v>566</v>
      </c>
      <c r="D69" t="s">
        <v>276</v>
      </c>
      <c r="E69" t="s">
        <v>567</v>
      </c>
      <c r="F69" t="s">
        <v>149</v>
      </c>
      <c r="G69" t="s">
        <v>111</v>
      </c>
      <c r="H69" t="s">
        <v>113</v>
      </c>
      <c r="I69" t="s">
        <v>112</v>
      </c>
      <c r="J69" t="s">
        <v>114</v>
      </c>
      <c r="K69" t="s">
        <v>116</v>
      </c>
      <c r="L69" t="s">
        <v>116</v>
      </c>
    </row>
    <row r="70" spans="1:12" x14ac:dyDescent="0.3">
      <c r="A70" t="s">
        <v>731</v>
      </c>
      <c r="B70" t="s">
        <v>1505</v>
      </c>
      <c r="C70" t="s">
        <v>566</v>
      </c>
      <c r="D70" t="s">
        <v>279</v>
      </c>
      <c r="E70" t="s">
        <v>567</v>
      </c>
      <c r="F70" t="s">
        <v>150</v>
      </c>
      <c r="G70" t="s">
        <v>111</v>
      </c>
      <c r="H70" t="s">
        <v>113</v>
      </c>
      <c r="I70" t="s">
        <v>112</v>
      </c>
      <c r="J70" t="s">
        <v>114</v>
      </c>
      <c r="K70" t="s">
        <v>116</v>
      </c>
      <c r="L70" t="s">
        <v>116</v>
      </c>
    </row>
    <row r="71" spans="1:12" x14ac:dyDescent="0.3">
      <c r="A71" t="s">
        <v>731</v>
      </c>
      <c r="B71" t="s">
        <v>1505</v>
      </c>
      <c r="C71" t="s">
        <v>566</v>
      </c>
      <c r="D71" t="s">
        <v>280</v>
      </c>
      <c r="E71" t="s">
        <v>567</v>
      </c>
      <c r="F71" t="s">
        <v>71</v>
      </c>
      <c r="G71" t="s">
        <v>111</v>
      </c>
      <c r="H71" t="s">
        <v>113</v>
      </c>
      <c r="I71" t="s">
        <v>112</v>
      </c>
      <c r="J71" t="s">
        <v>114</v>
      </c>
      <c r="K71" t="s">
        <v>116</v>
      </c>
      <c r="L71" t="s">
        <v>116</v>
      </c>
    </row>
    <row r="72" spans="1:12" x14ac:dyDescent="0.3">
      <c r="A72" t="s">
        <v>731</v>
      </c>
      <c r="B72" t="s">
        <v>1505</v>
      </c>
      <c r="C72" t="s">
        <v>566</v>
      </c>
      <c r="D72" t="s">
        <v>281</v>
      </c>
      <c r="E72" t="s">
        <v>567</v>
      </c>
      <c r="F72" t="s">
        <v>84</v>
      </c>
      <c r="G72" t="s">
        <v>111</v>
      </c>
      <c r="H72" t="s">
        <v>113</v>
      </c>
      <c r="I72" t="s">
        <v>112</v>
      </c>
      <c r="J72" t="s">
        <v>114</v>
      </c>
      <c r="K72" t="s">
        <v>116</v>
      </c>
      <c r="L72" t="s">
        <v>116</v>
      </c>
    </row>
    <row r="73" spans="1:12" x14ac:dyDescent="0.3">
      <c r="A73" t="s">
        <v>731</v>
      </c>
      <c r="B73" t="s">
        <v>1505</v>
      </c>
      <c r="C73" t="s">
        <v>566</v>
      </c>
      <c r="D73" t="s">
        <v>283</v>
      </c>
      <c r="E73" t="s">
        <v>567</v>
      </c>
      <c r="F73" t="s">
        <v>63</v>
      </c>
      <c r="G73" t="s">
        <v>111</v>
      </c>
      <c r="H73" t="s">
        <v>113</v>
      </c>
      <c r="I73" t="s">
        <v>112</v>
      </c>
      <c r="J73" t="s">
        <v>114</v>
      </c>
      <c r="K73" t="s">
        <v>116</v>
      </c>
      <c r="L73" t="s">
        <v>116</v>
      </c>
    </row>
    <row r="74" spans="1:12" x14ac:dyDescent="0.3">
      <c r="A74" t="s">
        <v>731</v>
      </c>
      <c r="B74" t="s">
        <v>1505</v>
      </c>
      <c r="C74" t="s">
        <v>566</v>
      </c>
      <c r="D74" t="s">
        <v>284</v>
      </c>
      <c r="E74" t="s">
        <v>567</v>
      </c>
      <c r="F74" t="s">
        <v>151</v>
      </c>
      <c r="G74" t="s">
        <v>111</v>
      </c>
      <c r="H74" t="s">
        <v>113</v>
      </c>
      <c r="I74" t="s">
        <v>112</v>
      </c>
      <c r="J74" t="s">
        <v>114</v>
      </c>
      <c r="K74" t="s">
        <v>116</v>
      </c>
      <c r="L74" t="s">
        <v>116</v>
      </c>
    </row>
    <row r="75" spans="1:12" x14ac:dyDescent="0.3">
      <c r="A75" t="s">
        <v>731</v>
      </c>
      <c r="B75" t="s">
        <v>1505</v>
      </c>
      <c r="C75" t="s">
        <v>566</v>
      </c>
      <c r="D75" t="s">
        <v>285</v>
      </c>
      <c r="E75" t="s">
        <v>567</v>
      </c>
      <c r="F75" t="s">
        <v>195</v>
      </c>
      <c r="G75" t="s">
        <v>111</v>
      </c>
      <c r="H75" t="s">
        <v>113</v>
      </c>
      <c r="I75" t="s">
        <v>112</v>
      </c>
      <c r="J75" t="s">
        <v>114</v>
      </c>
      <c r="K75" t="s">
        <v>116</v>
      </c>
      <c r="L75" t="s">
        <v>116</v>
      </c>
    </row>
    <row r="76" spans="1:12" x14ac:dyDescent="0.3">
      <c r="A76" t="s">
        <v>731</v>
      </c>
      <c r="B76" t="s">
        <v>1505</v>
      </c>
      <c r="C76" t="s">
        <v>566</v>
      </c>
      <c r="D76" t="s">
        <v>330</v>
      </c>
      <c r="E76" t="s">
        <v>567</v>
      </c>
      <c r="F76" t="s">
        <v>177</v>
      </c>
      <c r="G76" t="s">
        <v>111</v>
      </c>
      <c r="H76" t="s">
        <v>113</v>
      </c>
      <c r="I76" t="s">
        <v>112</v>
      </c>
      <c r="J76" t="s">
        <v>114</v>
      </c>
      <c r="K76" t="s">
        <v>116</v>
      </c>
      <c r="L76" t="s">
        <v>116</v>
      </c>
    </row>
    <row r="77" spans="1:12" x14ac:dyDescent="0.3">
      <c r="A77" t="s">
        <v>731</v>
      </c>
      <c r="B77" t="s">
        <v>1505</v>
      </c>
      <c r="C77" t="s">
        <v>566</v>
      </c>
      <c r="D77" t="s">
        <v>331</v>
      </c>
      <c r="E77" t="s">
        <v>567</v>
      </c>
      <c r="F77" t="s">
        <v>91</v>
      </c>
      <c r="G77" t="s">
        <v>111</v>
      </c>
      <c r="H77" t="s">
        <v>113</v>
      </c>
      <c r="I77" t="s">
        <v>112</v>
      </c>
      <c r="J77" t="s">
        <v>114</v>
      </c>
      <c r="K77" t="s">
        <v>116</v>
      </c>
      <c r="L77" t="s">
        <v>116</v>
      </c>
    </row>
    <row r="78" spans="1:12" x14ac:dyDescent="0.3">
      <c r="A78" t="s">
        <v>731</v>
      </c>
      <c r="B78" t="s">
        <v>1505</v>
      </c>
      <c r="C78" t="s">
        <v>566</v>
      </c>
      <c r="D78" t="s">
        <v>332</v>
      </c>
      <c r="E78" t="s">
        <v>567</v>
      </c>
      <c r="F78" t="s">
        <v>152</v>
      </c>
      <c r="G78" t="s">
        <v>111</v>
      </c>
      <c r="H78" t="s">
        <v>113</v>
      </c>
      <c r="I78" t="s">
        <v>112</v>
      </c>
      <c r="J78" t="s">
        <v>114</v>
      </c>
      <c r="K78" t="s">
        <v>116</v>
      </c>
      <c r="L78" t="s">
        <v>116</v>
      </c>
    </row>
    <row r="79" spans="1:12" x14ac:dyDescent="0.3">
      <c r="A79" t="s">
        <v>731</v>
      </c>
      <c r="B79" t="s">
        <v>1505</v>
      </c>
      <c r="C79" t="s">
        <v>566</v>
      </c>
      <c r="D79" t="s">
        <v>286</v>
      </c>
      <c r="E79" t="s">
        <v>567</v>
      </c>
      <c r="F79" t="s">
        <v>67</v>
      </c>
      <c r="G79" t="s">
        <v>111</v>
      </c>
      <c r="H79" t="s">
        <v>113</v>
      </c>
      <c r="I79" t="s">
        <v>112</v>
      </c>
      <c r="J79" t="s">
        <v>114</v>
      </c>
      <c r="K79" t="s">
        <v>116</v>
      </c>
      <c r="L79" t="s">
        <v>116</v>
      </c>
    </row>
    <row r="80" spans="1:12" x14ac:dyDescent="0.3">
      <c r="A80" t="s">
        <v>731</v>
      </c>
      <c r="B80" t="s">
        <v>1505</v>
      </c>
      <c r="C80" t="s">
        <v>566</v>
      </c>
      <c r="D80" t="s">
        <v>287</v>
      </c>
      <c r="E80" t="s">
        <v>567</v>
      </c>
      <c r="F80" t="s">
        <v>196</v>
      </c>
      <c r="G80" t="s">
        <v>111</v>
      </c>
      <c r="H80" t="s">
        <v>113</v>
      </c>
      <c r="I80" t="s">
        <v>112</v>
      </c>
      <c r="J80" t="s">
        <v>114</v>
      </c>
      <c r="K80" t="s">
        <v>116</v>
      </c>
      <c r="L80" t="s">
        <v>116</v>
      </c>
    </row>
    <row r="81" spans="1:12" x14ac:dyDescent="0.3">
      <c r="A81" t="s">
        <v>731</v>
      </c>
      <c r="B81" t="s">
        <v>1505</v>
      </c>
      <c r="C81" t="s">
        <v>566</v>
      </c>
      <c r="D81" t="s">
        <v>289</v>
      </c>
      <c r="E81" t="s">
        <v>567</v>
      </c>
      <c r="F81" t="s">
        <v>179</v>
      </c>
      <c r="G81" t="s">
        <v>111</v>
      </c>
      <c r="H81" t="s">
        <v>118</v>
      </c>
      <c r="I81" t="s">
        <v>112</v>
      </c>
      <c r="J81" t="s">
        <v>119</v>
      </c>
      <c r="K81" t="s">
        <v>116</v>
      </c>
      <c r="L81" t="s">
        <v>116</v>
      </c>
    </row>
    <row r="82" spans="1:12" x14ac:dyDescent="0.3">
      <c r="A82" t="s">
        <v>731</v>
      </c>
      <c r="B82" t="s">
        <v>1505</v>
      </c>
      <c r="C82" t="s">
        <v>566</v>
      </c>
      <c r="D82" t="s">
        <v>291</v>
      </c>
      <c r="E82" t="s">
        <v>567</v>
      </c>
      <c r="F82" t="s">
        <v>154</v>
      </c>
      <c r="G82" t="s">
        <v>111</v>
      </c>
      <c r="H82" t="s">
        <v>113</v>
      </c>
      <c r="I82" t="s">
        <v>112</v>
      </c>
      <c r="J82" t="s">
        <v>114</v>
      </c>
      <c r="K82" t="s">
        <v>116</v>
      </c>
      <c r="L82" t="s">
        <v>116</v>
      </c>
    </row>
    <row r="83" spans="1:12" x14ac:dyDescent="0.3">
      <c r="A83" t="s">
        <v>731</v>
      </c>
      <c r="B83" t="s">
        <v>1505</v>
      </c>
      <c r="C83" t="s">
        <v>566</v>
      </c>
      <c r="D83" t="s">
        <v>293</v>
      </c>
      <c r="E83" t="s">
        <v>567</v>
      </c>
      <c r="F83" t="s">
        <v>72</v>
      </c>
      <c r="G83" t="s">
        <v>111</v>
      </c>
      <c r="H83" t="s">
        <v>113</v>
      </c>
      <c r="I83" t="s">
        <v>112</v>
      </c>
      <c r="J83" t="s">
        <v>114</v>
      </c>
      <c r="K83" t="s">
        <v>116</v>
      </c>
      <c r="L83" t="s">
        <v>116</v>
      </c>
    </row>
    <row r="84" spans="1:12" x14ac:dyDescent="0.3">
      <c r="A84" t="s">
        <v>731</v>
      </c>
      <c r="B84" t="s">
        <v>1505</v>
      </c>
      <c r="C84" t="s">
        <v>566</v>
      </c>
      <c r="D84" t="s">
        <v>334</v>
      </c>
      <c r="E84" t="s">
        <v>567</v>
      </c>
      <c r="F84" t="s">
        <v>155</v>
      </c>
      <c r="G84" t="s">
        <v>111</v>
      </c>
      <c r="H84" t="s">
        <v>113</v>
      </c>
      <c r="I84" t="s">
        <v>112</v>
      </c>
      <c r="J84" t="s">
        <v>114</v>
      </c>
      <c r="K84" t="s">
        <v>116</v>
      </c>
      <c r="L84" t="s">
        <v>116</v>
      </c>
    </row>
    <row r="85" spans="1:12" x14ac:dyDescent="0.3">
      <c r="A85" t="s">
        <v>731</v>
      </c>
      <c r="B85" t="s">
        <v>1505</v>
      </c>
      <c r="C85" t="s">
        <v>566</v>
      </c>
      <c r="D85" t="s">
        <v>294</v>
      </c>
      <c r="E85" t="s">
        <v>567</v>
      </c>
      <c r="F85" t="s">
        <v>156</v>
      </c>
      <c r="G85" t="s">
        <v>111</v>
      </c>
      <c r="H85" t="s">
        <v>113</v>
      </c>
      <c r="I85" t="s">
        <v>112</v>
      </c>
      <c r="J85" t="s">
        <v>114</v>
      </c>
      <c r="K85" t="s">
        <v>116</v>
      </c>
      <c r="L85" t="s">
        <v>116</v>
      </c>
    </row>
    <row r="86" spans="1:12" x14ac:dyDescent="0.3">
      <c r="A86" t="s">
        <v>731</v>
      </c>
      <c r="B86" t="s">
        <v>1505</v>
      </c>
      <c r="C86" t="s">
        <v>566</v>
      </c>
      <c r="D86" t="s">
        <v>295</v>
      </c>
      <c r="E86" t="s">
        <v>567</v>
      </c>
      <c r="F86" t="s">
        <v>103</v>
      </c>
      <c r="G86" t="s">
        <v>111</v>
      </c>
      <c r="H86" t="s">
        <v>118</v>
      </c>
      <c r="I86" t="s">
        <v>112</v>
      </c>
      <c r="J86" t="s">
        <v>119</v>
      </c>
      <c r="K86" t="s">
        <v>116</v>
      </c>
      <c r="L86" t="s">
        <v>116</v>
      </c>
    </row>
    <row r="87" spans="1:12" x14ac:dyDescent="0.3">
      <c r="A87" t="s">
        <v>731</v>
      </c>
      <c r="B87" t="s">
        <v>1505</v>
      </c>
      <c r="C87" t="s">
        <v>566</v>
      </c>
      <c r="D87" t="s">
        <v>337</v>
      </c>
      <c r="E87" t="s">
        <v>567</v>
      </c>
      <c r="F87" t="s">
        <v>157</v>
      </c>
      <c r="G87" t="s">
        <v>111</v>
      </c>
      <c r="H87" t="s">
        <v>113</v>
      </c>
      <c r="I87" t="s">
        <v>112</v>
      </c>
      <c r="J87" t="s">
        <v>114</v>
      </c>
      <c r="K87" t="s">
        <v>116</v>
      </c>
      <c r="L87" t="s">
        <v>116</v>
      </c>
    </row>
    <row r="88" spans="1:12" x14ac:dyDescent="0.3">
      <c r="A88" t="s">
        <v>731</v>
      </c>
      <c r="B88" t="s">
        <v>1505</v>
      </c>
      <c r="C88" t="s">
        <v>566</v>
      </c>
      <c r="D88" t="s">
        <v>296</v>
      </c>
      <c r="E88" t="s">
        <v>567</v>
      </c>
      <c r="F88" t="s">
        <v>198</v>
      </c>
      <c r="G88" t="s">
        <v>111</v>
      </c>
      <c r="H88" t="s">
        <v>113</v>
      </c>
      <c r="I88" t="s">
        <v>112</v>
      </c>
      <c r="J88" t="s">
        <v>114</v>
      </c>
      <c r="K88" t="s">
        <v>116</v>
      </c>
      <c r="L88" t="s">
        <v>116</v>
      </c>
    </row>
    <row r="89" spans="1:12" x14ac:dyDescent="0.3">
      <c r="A89" t="s">
        <v>731</v>
      </c>
      <c r="B89" t="s">
        <v>1505</v>
      </c>
      <c r="C89" t="s">
        <v>566</v>
      </c>
      <c r="D89" t="s">
        <v>297</v>
      </c>
      <c r="E89" t="s">
        <v>567</v>
      </c>
      <c r="F89" t="s">
        <v>180</v>
      </c>
      <c r="G89" t="s">
        <v>111</v>
      </c>
      <c r="H89" t="s">
        <v>113</v>
      </c>
      <c r="I89" t="s">
        <v>112</v>
      </c>
      <c r="J89" t="s">
        <v>114</v>
      </c>
      <c r="K89" t="s">
        <v>116</v>
      </c>
      <c r="L89" t="s">
        <v>116</v>
      </c>
    </row>
    <row r="90" spans="1:12" x14ac:dyDescent="0.3">
      <c r="A90" t="s">
        <v>731</v>
      </c>
      <c r="B90" t="s">
        <v>1505</v>
      </c>
      <c r="C90" t="s">
        <v>566</v>
      </c>
      <c r="D90" t="s">
        <v>298</v>
      </c>
      <c r="E90" t="s">
        <v>567</v>
      </c>
      <c r="F90" t="s">
        <v>158</v>
      </c>
      <c r="G90" t="s">
        <v>111</v>
      </c>
      <c r="H90" t="s">
        <v>113</v>
      </c>
      <c r="I90" t="s">
        <v>112</v>
      </c>
      <c r="J90" t="s">
        <v>114</v>
      </c>
      <c r="K90" t="s">
        <v>116</v>
      </c>
      <c r="L90" t="s">
        <v>116</v>
      </c>
    </row>
    <row r="91" spans="1:12" x14ac:dyDescent="0.3">
      <c r="A91" t="s">
        <v>731</v>
      </c>
      <c r="B91" t="s">
        <v>1505</v>
      </c>
      <c r="C91" t="s">
        <v>566</v>
      </c>
      <c r="D91" t="s">
        <v>335</v>
      </c>
      <c r="E91" t="s">
        <v>567</v>
      </c>
      <c r="F91" t="s">
        <v>199</v>
      </c>
      <c r="G91" t="s">
        <v>111</v>
      </c>
      <c r="H91" t="s">
        <v>113</v>
      </c>
      <c r="I91" t="s">
        <v>112</v>
      </c>
      <c r="J91" t="s">
        <v>114</v>
      </c>
      <c r="K91" t="s">
        <v>116</v>
      </c>
      <c r="L91" t="s">
        <v>116</v>
      </c>
    </row>
    <row r="92" spans="1:12" x14ac:dyDescent="0.3">
      <c r="A92" t="s">
        <v>731</v>
      </c>
      <c r="B92" t="s">
        <v>1505</v>
      </c>
      <c r="C92" t="s">
        <v>566</v>
      </c>
      <c r="D92" t="s">
        <v>336</v>
      </c>
      <c r="E92" t="s">
        <v>567</v>
      </c>
      <c r="F92" t="s">
        <v>159</v>
      </c>
      <c r="G92" t="s">
        <v>111</v>
      </c>
      <c r="H92" t="s">
        <v>113</v>
      </c>
      <c r="I92" t="s">
        <v>112</v>
      </c>
      <c r="J92" t="s">
        <v>114</v>
      </c>
      <c r="K92" t="s">
        <v>116</v>
      </c>
      <c r="L92" t="s">
        <v>116</v>
      </c>
    </row>
    <row r="93" spans="1:12" x14ac:dyDescent="0.3">
      <c r="A93" t="s">
        <v>731</v>
      </c>
      <c r="B93" t="s">
        <v>1505</v>
      </c>
      <c r="C93" t="s">
        <v>566</v>
      </c>
      <c r="D93" t="s">
        <v>299</v>
      </c>
      <c r="E93" t="s">
        <v>567</v>
      </c>
      <c r="F93" t="s">
        <v>47</v>
      </c>
      <c r="G93" t="s">
        <v>111</v>
      </c>
      <c r="H93" t="s">
        <v>113</v>
      </c>
      <c r="I93" t="s">
        <v>112</v>
      </c>
      <c r="J93" t="s">
        <v>114</v>
      </c>
      <c r="K93" t="s">
        <v>116</v>
      </c>
      <c r="L93" t="s">
        <v>116</v>
      </c>
    </row>
    <row r="94" spans="1:12" x14ac:dyDescent="0.3">
      <c r="A94" t="s">
        <v>731</v>
      </c>
      <c r="B94" t="s">
        <v>1505</v>
      </c>
      <c r="C94" t="s">
        <v>566</v>
      </c>
      <c r="D94" t="s">
        <v>300</v>
      </c>
      <c r="E94" t="s">
        <v>567</v>
      </c>
      <c r="F94" t="s">
        <v>181</v>
      </c>
      <c r="G94" t="s">
        <v>111</v>
      </c>
      <c r="H94" t="s">
        <v>113</v>
      </c>
      <c r="I94" t="s">
        <v>112</v>
      </c>
      <c r="J94" t="s">
        <v>114</v>
      </c>
      <c r="K94" t="s">
        <v>116</v>
      </c>
      <c r="L94" t="s">
        <v>116</v>
      </c>
    </row>
    <row r="95" spans="1:12" x14ac:dyDescent="0.3">
      <c r="A95" t="s">
        <v>731</v>
      </c>
      <c r="B95" t="s">
        <v>1505</v>
      </c>
      <c r="C95" t="s">
        <v>566</v>
      </c>
      <c r="D95" t="s">
        <v>301</v>
      </c>
      <c r="E95" t="s">
        <v>567</v>
      </c>
      <c r="F95" t="s">
        <v>73</v>
      </c>
      <c r="G95" t="s">
        <v>111</v>
      </c>
      <c r="H95" t="s">
        <v>113</v>
      </c>
      <c r="I95" t="s">
        <v>112</v>
      </c>
      <c r="J95" t="s">
        <v>114</v>
      </c>
      <c r="K95" t="s">
        <v>116</v>
      </c>
      <c r="L95" t="s">
        <v>116</v>
      </c>
    </row>
    <row r="96" spans="1:12" x14ac:dyDescent="0.3">
      <c r="A96" t="s">
        <v>731</v>
      </c>
      <c r="B96" t="s">
        <v>1505</v>
      </c>
      <c r="C96" t="s">
        <v>566</v>
      </c>
      <c r="D96" t="s">
        <v>208</v>
      </c>
      <c r="E96" t="s">
        <v>567</v>
      </c>
      <c r="F96" t="s">
        <v>161</v>
      </c>
      <c r="G96" t="s">
        <v>111</v>
      </c>
      <c r="H96" t="s">
        <v>113</v>
      </c>
      <c r="I96" t="s">
        <v>112</v>
      </c>
      <c r="J96" t="s">
        <v>114</v>
      </c>
      <c r="K96" t="s">
        <v>116</v>
      </c>
      <c r="L96" t="s">
        <v>116</v>
      </c>
    </row>
    <row r="97" spans="1:12" x14ac:dyDescent="0.3">
      <c r="A97" t="s">
        <v>731</v>
      </c>
      <c r="B97" t="s">
        <v>1505</v>
      </c>
      <c r="C97" t="s">
        <v>566</v>
      </c>
      <c r="D97" t="s">
        <v>302</v>
      </c>
      <c r="E97" t="s">
        <v>567</v>
      </c>
      <c r="F97" t="s">
        <v>162</v>
      </c>
      <c r="G97" t="s">
        <v>111</v>
      </c>
      <c r="H97" t="s">
        <v>113</v>
      </c>
      <c r="I97" t="s">
        <v>112</v>
      </c>
      <c r="J97" t="s">
        <v>114</v>
      </c>
      <c r="K97" t="s">
        <v>116</v>
      </c>
      <c r="L97" t="s">
        <v>116</v>
      </c>
    </row>
    <row r="98" spans="1:12" x14ac:dyDescent="0.3">
      <c r="A98" t="s">
        <v>731</v>
      </c>
      <c r="B98" t="s">
        <v>1501</v>
      </c>
      <c r="C98" t="s">
        <v>566</v>
      </c>
      <c r="D98" t="s">
        <v>209</v>
      </c>
      <c r="E98" t="s">
        <v>569</v>
      </c>
      <c r="F98" t="s">
        <v>115</v>
      </c>
      <c r="G98" t="s">
        <v>111</v>
      </c>
      <c r="H98" t="s">
        <v>113</v>
      </c>
      <c r="I98" t="s">
        <v>112</v>
      </c>
      <c r="J98" t="s">
        <v>114</v>
      </c>
      <c r="K98" t="s">
        <v>116</v>
      </c>
      <c r="L98" t="s">
        <v>116</v>
      </c>
    </row>
    <row r="99" spans="1:12" x14ac:dyDescent="0.3">
      <c r="A99" t="s">
        <v>731</v>
      </c>
      <c r="B99" t="s">
        <v>1501</v>
      </c>
      <c r="C99" t="s">
        <v>566</v>
      </c>
      <c r="D99" t="s">
        <v>210</v>
      </c>
      <c r="E99" t="s">
        <v>569</v>
      </c>
      <c r="F99" t="s">
        <v>59</v>
      </c>
      <c r="G99" t="s">
        <v>111</v>
      </c>
      <c r="H99" t="s">
        <v>328</v>
      </c>
      <c r="I99" t="s">
        <v>112</v>
      </c>
      <c r="J99" t="s">
        <v>119</v>
      </c>
    </row>
    <row r="100" spans="1:12" x14ac:dyDescent="0.3">
      <c r="A100" t="s">
        <v>731</v>
      </c>
      <c r="B100" t="s">
        <v>1501</v>
      </c>
      <c r="C100" t="s">
        <v>566</v>
      </c>
      <c r="D100" t="s">
        <v>304</v>
      </c>
      <c r="E100" t="s">
        <v>569</v>
      </c>
      <c r="F100" t="s">
        <v>117</v>
      </c>
      <c r="G100" t="s">
        <v>111</v>
      </c>
      <c r="H100" t="s">
        <v>113</v>
      </c>
      <c r="I100" t="s">
        <v>112</v>
      </c>
      <c r="J100" t="s">
        <v>114</v>
      </c>
      <c r="K100" t="s">
        <v>116</v>
      </c>
      <c r="L100" t="s">
        <v>116</v>
      </c>
    </row>
    <row r="101" spans="1:12" x14ac:dyDescent="0.3">
      <c r="A101" t="s">
        <v>731</v>
      </c>
      <c r="B101" t="s">
        <v>1501</v>
      </c>
      <c r="C101" t="s">
        <v>566</v>
      </c>
      <c r="D101" t="s">
        <v>211</v>
      </c>
      <c r="E101" t="s">
        <v>569</v>
      </c>
      <c r="F101" t="s">
        <v>188</v>
      </c>
      <c r="G101" t="s">
        <v>111</v>
      </c>
      <c r="H101" t="s">
        <v>113</v>
      </c>
      <c r="I101" t="s">
        <v>112</v>
      </c>
      <c r="J101" t="s">
        <v>114</v>
      </c>
      <c r="K101" t="s">
        <v>116</v>
      </c>
      <c r="L101" t="s">
        <v>116</v>
      </c>
    </row>
    <row r="102" spans="1:12" x14ac:dyDescent="0.3">
      <c r="A102" t="s">
        <v>731</v>
      </c>
      <c r="B102" t="s">
        <v>1501</v>
      </c>
      <c r="C102" t="s">
        <v>566</v>
      </c>
      <c r="D102" t="s">
        <v>212</v>
      </c>
      <c r="E102" t="s">
        <v>569</v>
      </c>
      <c r="F102" t="s">
        <v>164</v>
      </c>
      <c r="G102" t="s">
        <v>111</v>
      </c>
      <c r="H102" t="s">
        <v>113</v>
      </c>
      <c r="I102" t="s">
        <v>112</v>
      </c>
      <c r="J102" t="s">
        <v>114</v>
      </c>
      <c r="K102" t="s">
        <v>116</v>
      </c>
      <c r="L102" t="s">
        <v>116</v>
      </c>
    </row>
    <row r="103" spans="1:12" x14ac:dyDescent="0.3">
      <c r="A103" t="s">
        <v>731</v>
      </c>
      <c r="B103" t="s">
        <v>1501</v>
      </c>
      <c r="C103" t="s">
        <v>566</v>
      </c>
      <c r="D103" t="s">
        <v>213</v>
      </c>
      <c r="E103" t="s">
        <v>569</v>
      </c>
      <c r="F103" t="s">
        <v>53</v>
      </c>
      <c r="G103" t="s">
        <v>111</v>
      </c>
      <c r="H103" t="s">
        <v>113</v>
      </c>
      <c r="I103" t="s">
        <v>112</v>
      </c>
      <c r="J103" t="s">
        <v>114</v>
      </c>
      <c r="K103" t="s">
        <v>116</v>
      </c>
      <c r="L103" t="s">
        <v>116</v>
      </c>
    </row>
    <row r="104" spans="1:12" x14ac:dyDescent="0.3">
      <c r="A104" t="s">
        <v>731</v>
      </c>
      <c r="B104" t="s">
        <v>1501</v>
      </c>
      <c r="C104" t="s">
        <v>566</v>
      </c>
      <c r="D104" t="s">
        <v>215</v>
      </c>
      <c r="E104" t="s">
        <v>569</v>
      </c>
      <c r="F104" t="s">
        <v>69</v>
      </c>
      <c r="G104" t="s">
        <v>111</v>
      </c>
      <c r="H104" t="s">
        <v>113</v>
      </c>
      <c r="I104" t="s">
        <v>112</v>
      </c>
      <c r="J104" t="s">
        <v>114</v>
      </c>
      <c r="K104" t="s">
        <v>116</v>
      </c>
      <c r="L104" t="s">
        <v>116</v>
      </c>
    </row>
    <row r="105" spans="1:12" x14ac:dyDescent="0.3">
      <c r="A105" t="s">
        <v>731</v>
      </c>
      <c r="B105" t="s">
        <v>1501</v>
      </c>
      <c r="C105" t="s">
        <v>566</v>
      </c>
      <c r="D105" t="s">
        <v>216</v>
      </c>
      <c r="E105" t="s">
        <v>569</v>
      </c>
      <c r="F105" t="s">
        <v>121</v>
      </c>
      <c r="G105" t="s">
        <v>111</v>
      </c>
      <c r="H105" t="s">
        <v>118</v>
      </c>
      <c r="I105" t="s">
        <v>112</v>
      </c>
      <c r="J105" t="s">
        <v>119</v>
      </c>
      <c r="K105" t="s">
        <v>116</v>
      </c>
      <c r="L105" t="s">
        <v>116</v>
      </c>
    </row>
    <row r="106" spans="1:12" x14ac:dyDescent="0.3">
      <c r="A106" t="s">
        <v>731</v>
      </c>
      <c r="B106" t="s">
        <v>1501</v>
      </c>
      <c r="C106" t="s">
        <v>566</v>
      </c>
      <c r="D106" t="s">
        <v>217</v>
      </c>
      <c r="E106" t="s">
        <v>569</v>
      </c>
      <c r="F106" t="s">
        <v>122</v>
      </c>
      <c r="G106" t="s">
        <v>111</v>
      </c>
      <c r="H106" t="s">
        <v>113</v>
      </c>
      <c r="I106" t="s">
        <v>112</v>
      </c>
      <c r="J106" t="s">
        <v>114</v>
      </c>
      <c r="K106" t="s">
        <v>116</v>
      </c>
      <c r="L106" t="s">
        <v>116</v>
      </c>
    </row>
    <row r="107" spans="1:12" x14ac:dyDescent="0.3">
      <c r="A107" t="s">
        <v>731</v>
      </c>
      <c r="B107" t="s">
        <v>1501</v>
      </c>
      <c r="C107" t="s">
        <v>566</v>
      </c>
      <c r="D107" t="s">
        <v>306</v>
      </c>
      <c r="E107" t="s">
        <v>569</v>
      </c>
      <c r="F107" t="s">
        <v>165</v>
      </c>
      <c r="G107" t="s">
        <v>111</v>
      </c>
      <c r="H107" t="s">
        <v>113</v>
      </c>
      <c r="I107" t="s">
        <v>112</v>
      </c>
      <c r="J107" t="s">
        <v>114</v>
      </c>
      <c r="K107" t="s">
        <v>116</v>
      </c>
      <c r="L107" t="s">
        <v>116</v>
      </c>
    </row>
    <row r="108" spans="1:12" x14ac:dyDescent="0.3">
      <c r="A108" t="s">
        <v>731</v>
      </c>
      <c r="B108" t="s">
        <v>1501</v>
      </c>
      <c r="C108" t="s">
        <v>566</v>
      </c>
      <c r="D108" t="s">
        <v>218</v>
      </c>
      <c r="E108" t="s">
        <v>569</v>
      </c>
      <c r="F108" t="s">
        <v>166</v>
      </c>
      <c r="G108" t="s">
        <v>111</v>
      </c>
      <c r="H108" t="s">
        <v>113</v>
      </c>
      <c r="I108" t="s">
        <v>112</v>
      </c>
      <c r="J108" t="s">
        <v>114</v>
      </c>
      <c r="K108" t="s">
        <v>116</v>
      </c>
      <c r="L108" t="s">
        <v>116</v>
      </c>
    </row>
    <row r="109" spans="1:12" x14ac:dyDescent="0.3">
      <c r="A109" t="s">
        <v>731</v>
      </c>
      <c r="B109" t="s">
        <v>1501</v>
      </c>
      <c r="C109" t="s">
        <v>566</v>
      </c>
      <c r="D109" t="s">
        <v>307</v>
      </c>
      <c r="E109" t="s">
        <v>569</v>
      </c>
      <c r="F109" t="s">
        <v>123</v>
      </c>
      <c r="G109" t="s">
        <v>111</v>
      </c>
      <c r="H109" t="s">
        <v>113</v>
      </c>
      <c r="I109" t="s">
        <v>112</v>
      </c>
      <c r="J109" t="s">
        <v>114</v>
      </c>
      <c r="K109" t="s">
        <v>116</v>
      </c>
      <c r="L109" t="s">
        <v>116</v>
      </c>
    </row>
    <row r="110" spans="1:12" x14ac:dyDescent="0.3">
      <c r="A110" t="s">
        <v>731</v>
      </c>
      <c r="B110" t="s">
        <v>1501</v>
      </c>
      <c r="C110" t="s">
        <v>566</v>
      </c>
      <c r="D110" t="s">
        <v>219</v>
      </c>
      <c r="E110" t="s">
        <v>569</v>
      </c>
      <c r="F110" t="s">
        <v>189</v>
      </c>
      <c r="G110" t="s">
        <v>111</v>
      </c>
      <c r="H110" t="s">
        <v>113</v>
      </c>
      <c r="I110" t="s">
        <v>112</v>
      </c>
      <c r="J110" t="s">
        <v>114</v>
      </c>
      <c r="K110" t="s">
        <v>116</v>
      </c>
      <c r="L110" t="s">
        <v>116</v>
      </c>
    </row>
    <row r="111" spans="1:12" x14ac:dyDescent="0.3">
      <c r="A111" t="s">
        <v>731</v>
      </c>
      <c r="B111" t="s">
        <v>1501</v>
      </c>
      <c r="C111" t="s">
        <v>566</v>
      </c>
      <c r="D111" t="s">
        <v>220</v>
      </c>
      <c r="E111" t="s">
        <v>569</v>
      </c>
      <c r="F111" t="s">
        <v>54</v>
      </c>
      <c r="G111" t="s">
        <v>111</v>
      </c>
      <c r="H111" t="s">
        <v>113</v>
      </c>
      <c r="I111" t="s">
        <v>112</v>
      </c>
      <c r="J111" t="s">
        <v>114</v>
      </c>
      <c r="K111" t="s">
        <v>599</v>
      </c>
      <c r="L111" t="s">
        <v>599</v>
      </c>
    </row>
    <row r="112" spans="1:12" x14ac:dyDescent="0.3">
      <c r="A112" t="s">
        <v>731</v>
      </c>
      <c r="B112" t="s">
        <v>1501</v>
      </c>
      <c r="C112" t="s">
        <v>566</v>
      </c>
      <c r="D112" t="s">
        <v>308</v>
      </c>
      <c r="E112" t="s">
        <v>569</v>
      </c>
      <c r="F112" t="s">
        <v>190</v>
      </c>
      <c r="G112" t="s">
        <v>111</v>
      </c>
      <c r="H112" t="s">
        <v>113</v>
      </c>
      <c r="I112" t="s">
        <v>112</v>
      </c>
      <c r="J112" t="s">
        <v>114</v>
      </c>
      <c r="K112" t="s">
        <v>116</v>
      </c>
      <c r="L112" t="s">
        <v>116</v>
      </c>
    </row>
    <row r="113" spans="1:12" x14ac:dyDescent="0.3">
      <c r="A113" t="s">
        <v>731</v>
      </c>
      <c r="B113" t="s">
        <v>1501</v>
      </c>
      <c r="C113" t="s">
        <v>566</v>
      </c>
      <c r="D113" t="s">
        <v>222</v>
      </c>
      <c r="E113" t="s">
        <v>569</v>
      </c>
      <c r="F113" t="s">
        <v>124</v>
      </c>
      <c r="G113" t="s">
        <v>111</v>
      </c>
      <c r="H113" t="s">
        <v>113</v>
      </c>
      <c r="I113" t="s">
        <v>112</v>
      </c>
      <c r="J113" t="s">
        <v>114</v>
      </c>
      <c r="K113" t="s">
        <v>116</v>
      </c>
      <c r="L113" t="s">
        <v>116</v>
      </c>
    </row>
    <row r="114" spans="1:12" x14ac:dyDescent="0.3">
      <c r="A114" t="s">
        <v>731</v>
      </c>
      <c r="B114" t="s">
        <v>1501</v>
      </c>
      <c r="C114" t="s">
        <v>566</v>
      </c>
      <c r="D114" t="s">
        <v>223</v>
      </c>
      <c r="E114" t="s">
        <v>569</v>
      </c>
      <c r="F114" t="s">
        <v>65</v>
      </c>
      <c r="G114" t="s">
        <v>111</v>
      </c>
      <c r="H114" t="s">
        <v>113</v>
      </c>
      <c r="I114" t="s">
        <v>112</v>
      </c>
      <c r="J114" t="s">
        <v>114</v>
      </c>
      <c r="K114" t="s">
        <v>116</v>
      </c>
      <c r="L114" t="s">
        <v>116</v>
      </c>
    </row>
    <row r="115" spans="1:12" x14ac:dyDescent="0.3">
      <c r="A115" t="s">
        <v>731</v>
      </c>
      <c r="B115" t="s">
        <v>1501</v>
      </c>
      <c r="C115" t="s">
        <v>566</v>
      </c>
      <c r="D115" t="s">
        <v>224</v>
      </c>
      <c r="E115" t="s">
        <v>569</v>
      </c>
      <c r="F115" t="s">
        <v>125</v>
      </c>
      <c r="G115" t="s">
        <v>111</v>
      </c>
      <c r="H115" t="s">
        <v>113</v>
      </c>
      <c r="I115" t="s">
        <v>112</v>
      </c>
      <c r="J115" t="s">
        <v>114</v>
      </c>
      <c r="K115" t="s">
        <v>116</v>
      </c>
      <c r="L115" t="s">
        <v>116</v>
      </c>
    </row>
    <row r="116" spans="1:12" x14ac:dyDescent="0.3">
      <c r="A116" t="s">
        <v>731</v>
      </c>
      <c r="B116" t="s">
        <v>1501</v>
      </c>
      <c r="C116" t="s">
        <v>566</v>
      </c>
      <c r="D116" t="s">
        <v>225</v>
      </c>
      <c r="E116" t="s">
        <v>569</v>
      </c>
      <c r="F116" t="s">
        <v>126</v>
      </c>
      <c r="G116" t="s">
        <v>111</v>
      </c>
      <c r="H116" t="s">
        <v>113</v>
      </c>
      <c r="I116" t="s">
        <v>112</v>
      </c>
      <c r="J116" t="s">
        <v>114</v>
      </c>
      <c r="K116" t="s">
        <v>116</v>
      </c>
      <c r="L116" t="s">
        <v>116</v>
      </c>
    </row>
    <row r="117" spans="1:12" x14ac:dyDescent="0.3">
      <c r="A117" t="s">
        <v>731</v>
      </c>
      <c r="B117" t="s">
        <v>1501</v>
      </c>
      <c r="C117" t="s">
        <v>566</v>
      </c>
      <c r="D117" t="s">
        <v>226</v>
      </c>
      <c r="E117" t="s">
        <v>569</v>
      </c>
      <c r="F117" t="s">
        <v>80</v>
      </c>
      <c r="G117" t="s">
        <v>111</v>
      </c>
      <c r="H117" t="s">
        <v>113</v>
      </c>
      <c r="I117" t="s">
        <v>112</v>
      </c>
      <c r="J117" t="s">
        <v>114</v>
      </c>
      <c r="K117" t="s">
        <v>116</v>
      </c>
      <c r="L117" t="s">
        <v>116</v>
      </c>
    </row>
    <row r="118" spans="1:12" x14ac:dyDescent="0.3">
      <c r="A118" t="s">
        <v>731</v>
      </c>
      <c r="B118" t="s">
        <v>1501</v>
      </c>
      <c r="C118" t="s">
        <v>566</v>
      </c>
      <c r="D118" t="s">
        <v>227</v>
      </c>
      <c r="E118" t="s">
        <v>569</v>
      </c>
      <c r="F118" t="s">
        <v>192</v>
      </c>
      <c r="G118" t="s">
        <v>111</v>
      </c>
      <c r="H118" t="s">
        <v>113</v>
      </c>
      <c r="I118" t="s">
        <v>112</v>
      </c>
      <c r="J118" t="s">
        <v>114</v>
      </c>
      <c r="K118" t="s">
        <v>116</v>
      </c>
      <c r="L118" t="s">
        <v>116</v>
      </c>
    </row>
    <row r="119" spans="1:12" x14ac:dyDescent="0.3">
      <c r="A119" t="s">
        <v>731</v>
      </c>
      <c r="B119" t="s">
        <v>1501</v>
      </c>
      <c r="C119" t="s">
        <v>566</v>
      </c>
      <c r="D119" t="s">
        <v>228</v>
      </c>
      <c r="E119" t="s">
        <v>569</v>
      </c>
      <c r="F119" t="s">
        <v>167</v>
      </c>
      <c r="G119" t="s">
        <v>111</v>
      </c>
      <c r="H119" t="s">
        <v>113</v>
      </c>
      <c r="I119" t="s">
        <v>112</v>
      </c>
      <c r="J119" t="s">
        <v>114</v>
      </c>
      <c r="K119" t="s">
        <v>116</v>
      </c>
      <c r="L119" t="s">
        <v>116</v>
      </c>
    </row>
    <row r="120" spans="1:12" x14ac:dyDescent="0.3">
      <c r="A120" t="s">
        <v>731</v>
      </c>
      <c r="B120" t="s">
        <v>1501</v>
      </c>
      <c r="C120" t="s">
        <v>566</v>
      </c>
      <c r="D120" t="s">
        <v>229</v>
      </c>
      <c r="E120" t="s">
        <v>569</v>
      </c>
      <c r="F120" t="s">
        <v>127</v>
      </c>
      <c r="G120" t="s">
        <v>111</v>
      </c>
      <c r="H120" t="s">
        <v>113</v>
      </c>
      <c r="I120" t="s">
        <v>112</v>
      </c>
      <c r="J120" t="s">
        <v>114</v>
      </c>
      <c r="K120" t="s">
        <v>116</v>
      </c>
      <c r="L120" t="s">
        <v>116</v>
      </c>
    </row>
    <row r="121" spans="1:12" x14ac:dyDescent="0.3">
      <c r="A121" t="s">
        <v>731</v>
      </c>
      <c r="B121" t="s">
        <v>1501</v>
      </c>
      <c r="C121" t="s">
        <v>566</v>
      </c>
      <c r="D121" t="s">
        <v>230</v>
      </c>
      <c r="E121" t="s">
        <v>569</v>
      </c>
      <c r="F121" t="s">
        <v>168</v>
      </c>
      <c r="G121" t="s">
        <v>111</v>
      </c>
      <c r="H121" t="s">
        <v>113</v>
      </c>
      <c r="I121" t="s">
        <v>112</v>
      </c>
      <c r="J121" t="s">
        <v>114</v>
      </c>
      <c r="K121" t="s">
        <v>116</v>
      </c>
      <c r="L121" t="s">
        <v>116</v>
      </c>
    </row>
    <row r="122" spans="1:12" x14ac:dyDescent="0.3">
      <c r="A122" t="s">
        <v>731</v>
      </c>
      <c r="B122" t="s">
        <v>1501</v>
      </c>
      <c r="C122" t="s">
        <v>566</v>
      </c>
      <c r="D122" t="s">
        <v>311</v>
      </c>
      <c r="E122" t="s">
        <v>569</v>
      </c>
      <c r="F122" t="s">
        <v>89</v>
      </c>
      <c r="G122" t="s">
        <v>111</v>
      </c>
      <c r="H122" t="s">
        <v>113</v>
      </c>
      <c r="I122" t="s">
        <v>112</v>
      </c>
      <c r="J122" t="s">
        <v>114</v>
      </c>
      <c r="K122" t="s">
        <v>116</v>
      </c>
      <c r="L122" t="s">
        <v>116</v>
      </c>
    </row>
    <row r="123" spans="1:12" x14ac:dyDescent="0.3">
      <c r="A123" t="s">
        <v>731</v>
      </c>
      <c r="B123" t="s">
        <v>1501</v>
      </c>
      <c r="C123" t="s">
        <v>566</v>
      </c>
      <c r="D123" t="s">
        <v>231</v>
      </c>
      <c r="E123" t="s">
        <v>569</v>
      </c>
      <c r="F123" t="s">
        <v>66</v>
      </c>
      <c r="G123" t="s">
        <v>111</v>
      </c>
      <c r="H123" t="s">
        <v>113</v>
      </c>
      <c r="I123" t="s">
        <v>112</v>
      </c>
      <c r="J123" t="s">
        <v>114</v>
      </c>
      <c r="K123" t="s">
        <v>116</v>
      </c>
      <c r="L123" t="s">
        <v>116</v>
      </c>
    </row>
    <row r="124" spans="1:12" x14ac:dyDescent="0.3">
      <c r="A124" t="s">
        <v>731</v>
      </c>
      <c r="B124" t="s">
        <v>1501</v>
      </c>
      <c r="C124" t="s">
        <v>566</v>
      </c>
      <c r="D124" t="s">
        <v>232</v>
      </c>
      <c r="E124" t="s">
        <v>569</v>
      </c>
      <c r="F124" t="s">
        <v>169</v>
      </c>
      <c r="G124" t="s">
        <v>111</v>
      </c>
      <c r="H124" t="s">
        <v>113</v>
      </c>
      <c r="I124" t="s">
        <v>112</v>
      </c>
      <c r="J124" t="s">
        <v>114</v>
      </c>
      <c r="K124" t="s">
        <v>116</v>
      </c>
      <c r="L124" t="s">
        <v>116</v>
      </c>
    </row>
    <row r="125" spans="1:12" x14ac:dyDescent="0.3">
      <c r="A125" t="s">
        <v>731</v>
      </c>
      <c r="B125" t="s">
        <v>1501</v>
      </c>
      <c r="C125" t="s">
        <v>566</v>
      </c>
      <c r="D125" t="s">
        <v>312</v>
      </c>
      <c r="E125" t="s">
        <v>569</v>
      </c>
      <c r="F125" t="s">
        <v>129</v>
      </c>
      <c r="G125" t="s">
        <v>111</v>
      </c>
      <c r="H125" t="s">
        <v>113</v>
      </c>
      <c r="I125" t="s">
        <v>112</v>
      </c>
      <c r="J125" t="s">
        <v>114</v>
      </c>
      <c r="K125" t="s">
        <v>116</v>
      </c>
      <c r="L125" t="s">
        <v>116</v>
      </c>
    </row>
    <row r="126" spans="1:12" x14ac:dyDescent="0.3">
      <c r="A126" t="s">
        <v>731</v>
      </c>
      <c r="B126" t="s">
        <v>1501</v>
      </c>
      <c r="C126" t="s">
        <v>566</v>
      </c>
      <c r="D126" t="s">
        <v>313</v>
      </c>
      <c r="E126" t="s">
        <v>569</v>
      </c>
      <c r="F126" t="s">
        <v>68</v>
      </c>
      <c r="G126" t="s">
        <v>111</v>
      </c>
      <c r="H126" t="s">
        <v>113</v>
      </c>
      <c r="I126" t="s">
        <v>112</v>
      </c>
      <c r="J126" t="s">
        <v>114</v>
      </c>
      <c r="K126" t="s">
        <v>116</v>
      </c>
      <c r="L126" t="s">
        <v>116</v>
      </c>
    </row>
    <row r="127" spans="1:12" x14ac:dyDescent="0.3">
      <c r="A127" t="s">
        <v>731</v>
      </c>
      <c r="B127" t="s">
        <v>1501</v>
      </c>
      <c r="C127" t="s">
        <v>566</v>
      </c>
      <c r="D127" t="s">
        <v>314</v>
      </c>
      <c r="E127" t="s">
        <v>569</v>
      </c>
      <c r="F127" t="s">
        <v>61</v>
      </c>
      <c r="G127" t="s">
        <v>111</v>
      </c>
      <c r="H127" t="s">
        <v>113</v>
      </c>
      <c r="I127" t="s">
        <v>112</v>
      </c>
      <c r="J127" t="s">
        <v>114</v>
      </c>
      <c r="K127" t="s">
        <v>116</v>
      </c>
      <c r="L127" t="s">
        <v>116</v>
      </c>
    </row>
    <row r="128" spans="1:12" x14ac:dyDescent="0.3">
      <c r="A128" t="s">
        <v>731</v>
      </c>
      <c r="B128" t="s">
        <v>1501</v>
      </c>
      <c r="C128" t="s">
        <v>566</v>
      </c>
      <c r="D128" t="s">
        <v>236</v>
      </c>
      <c r="E128" t="s">
        <v>569</v>
      </c>
      <c r="F128" t="s">
        <v>87</v>
      </c>
      <c r="G128" t="s">
        <v>111</v>
      </c>
      <c r="H128" t="s">
        <v>113</v>
      </c>
      <c r="I128" t="s">
        <v>112</v>
      </c>
      <c r="J128" t="s">
        <v>114</v>
      </c>
      <c r="K128" t="s">
        <v>116</v>
      </c>
      <c r="L128" t="s">
        <v>116</v>
      </c>
    </row>
    <row r="129" spans="1:12" x14ac:dyDescent="0.3">
      <c r="A129" t="s">
        <v>731</v>
      </c>
      <c r="B129" t="s">
        <v>1501</v>
      </c>
      <c r="C129" t="s">
        <v>566</v>
      </c>
      <c r="D129" t="s">
        <v>237</v>
      </c>
      <c r="E129" t="s">
        <v>569</v>
      </c>
      <c r="F129" t="s">
        <v>130</v>
      </c>
      <c r="G129" t="s">
        <v>111</v>
      </c>
      <c r="H129" t="s">
        <v>113</v>
      </c>
      <c r="I129" t="s">
        <v>112</v>
      </c>
      <c r="J129" t="s">
        <v>114</v>
      </c>
      <c r="K129" t="s">
        <v>116</v>
      </c>
      <c r="L129" t="s">
        <v>116</v>
      </c>
    </row>
    <row r="130" spans="1:12" x14ac:dyDescent="0.3">
      <c r="A130" t="s">
        <v>731</v>
      </c>
      <c r="B130" t="s">
        <v>1501</v>
      </c>
      <c r="C130" t="s">
        <v>566</v>
      </c>
      <c r="D130" t="s">
        <v>316</v>
      </c>
      <c r="E130" t="s">
        <v>568</v>
      </c>
      <c r="F130" t="s">
        <v>132</v>
      </c>
      <c r="G130" t="s">
        <v>111</v>
      </c>
      <c r="H130" t="s">
        <v>113</v>
      </c>
      <c r="I130" t="s">
        <v>112</v>
      </c>
      <c r="J130" t="s">
        <v>114</v>
      </c>
      <c r="K130" t="s">
        <v>116</v>
      </c>
      <c r="L130" t="s">
        <v>116</v>
      </c>
    </row>
    <row r="131" spans="1:12" x14ac:dyDescent="0.3">
      <c r="A131" t="s">
        <v>731</v>
      </c>
      <c r="B131" t="s">
        <v>1501</v>
      </c>
      <c r="C131" t="s">
        <v>566</v>
      </c>
      <c r="D131" t="s">
        <v>317</v>
      </c>
      <c r="E131" t="s">
        <v>568</v>
      </c>
      <c r="F131" t="s">
        <v>133</v>
      </c>
      <c r="G131" t="s">
        <v>111</v>
      </c>
      <c r="H131" t="s">
        <v>113</v>
      </c>
      <c r="I131" t="s">
        <v>112</v>
      </c>
      <c r="J131" t="s">
        <v>114</v>
      </c>
      <c r="K131" t="s">
        <v>116</v>
      </c>
      <c r="L131" t="s">
        <v>116</v>
      </c>
    </row>
    <row r="132" spans="1:12" x14ac:dyDescent="0.3">
      <c r="A132" t="s">
        <v>731</v>
      </c>
      <c r="B132" t="s">
        <v>1501</v>
      </c>
      <c r="C132" t="s">
        <v>566</v>
      </c>
      <c r="D132" t="s">
        <v>240</v>
      </c>
      <c r="E132" t="s">
        <v>568</v>
      </c>
      <c r="F132" t="s">
        <v>134</v>
      </c>
      <c r="G132" t="s">
        <v>111</v>
      </c>
      <c r="H132" t="s">
        <v>113</v>
      </c>
      <c r="I132" t="s">
        <v>112</v>
      </c>
      <c r="J132" t="s">
        <v>114</v>
      </c>
      <c r="K132" t="s">
        <v>116</v>
      </c>
      <c r="L132" t="s">
        <v>116</v>
      </c>
    </row>
    <row r="133" spans="1:12" x14ac:dyDescent="0.3">
      <c r="A133" t="s">
        <v>731</v>
      </c>
      <c r="B133" t="s">
        <v>1501</v>
      </c>
      <c r="C133" t="s">
        <v>566</v>
      </c>
      <c r="D133" t="s">
        <v>241</v>
      </c>
      <c r="E133" t="s">
        <v>568</v>
      </c>
      <c r="F133" t="s">
        <v>51</v>
      </c>
      <c r="G133" t="s">
        <v>111</v>
      </c>
      <c r="H133" t="s">
        <v>118</v>
      </c>
      <c r="I133" t="s">
        <v>112</v>
      </c>
      <c r="J133" t="s">
        <v>119</v>
      </c>
      <c r="K133" t="s">
        <v>116</v>
      </c>
      <c r="L133" t="s">
        <v>116</v>
      </c>
    </row>
    <row r="134" spans="1:12" x14ac:dyDescent="0.3">
      <c r="A134" t="s">
        <v>731</v>
      </c>
      <c r="B134" t="s">
        <v>1501</v>
      </c>
      <c r="C134" t="s">
        <v>566</v>
      </c>
      <c r="D134" t="s">
        <v>242</v>
      </c>
      <c r="E134" t="s">
        <v>568</v>
      </c>
      <c r="F134" t="s">
        <v>163</v>
      </c>
      <c r="G134" t="s">
        <v>111</v>
      </c>
      <c r="H134" t="s">
        <v>113</v>
      </c>
      <c r="I134" t="s">
        <v>112</v>
      </c>
      <c r="J134" t="s">
        <v>114</v>
      </c>
      <c r="K134" t="s">
        <v>116</v>
      </c>
      <c r="L134" t="s">
        <v>116</v>
      </c>
    </row>
    <row r="135" spans="1:12" x14ac:dyDescent="0.3">
      <c r="A135" t="s">
        <v>731</v>
      </c>
      <c r="B135" t="s">
        <v>1501</v>
      </c>
      <c r="C135" t="s">
        <v>566</v>
      </c>
      <c r="D135" t="s">
        <v>243</v>
      </c>
      <c r="E135" t="s">
        <v>568</v>
      </c>
      <c r="F135" t="s">
        <v>170</v>
      </c>
      <c r="G135" t="s">
        <v>111</v>
      </c>
      <c r="H135" t="s">
        <v>113</v>
      </c>
      <c r="I135" t="s">
        <v>112</v>
      </c>
      <c r="J135" t="s">
        <v>114</v>
      </c>
      <c r="K135" t="s">
        <v>116</v>
      </c>
      <c r="L135" t="s">
        <v>116</v>
      </c>
    </row>
    <row r="136" spans="1:12" x14ac:dyDescent="0.3">
      <c r="A136" t="s">
        <v>731</v>
      </c>
      <c r="B136" t="s">
        <v>1501</v>
      </c>
      <c r="C136" t="s">
        <v>566</v>
      </c>
      <c r="D136" t="s">
        <v>244</v>
      </c>
      <c r="E136" t="s">
        <v>568</v>
      </c>
      <c r="F136" t="s">
        <v>78</v>
      </c>
      <c r="G136" t="s">
        <v>111</v>
      </c>
      <c r="H136" t="s">
        <v>113</v>
      </c>
      <c r="I136" t="s">
        <v>112</v>
      </c>
      <c r="J136" t="s">
        <v>114</v>
      </c>
      <c r="K136" t="s">
        <v>116</v>
      </c>
      <c r="L136" t="s">
        <v>116</v>
      </c>
    </row>
    <row r="137" spans="1:12" x14ac:dyDescent="0.3">
      <c r="A137" t="s">
        <v>731</v>
      </c>
      <c r="B137" t="s">
        <v>1501</v>
      </c>
      <c r="C137" t="s">
        <v>566</v>
      </c>
      <c r="D137" t="s">
        <v>246</v>
      </c>
      <c r="E137" t="s">
        <v>568</v>
      </c>
      <c r="F137" t="s">
        <v>135</v>
      </c>
      <c r="G137" t="s">
        <v>111</v>
      </c>
      <c r="H137" t="s">
        <v>113</v>
      </c>
      <c r="I137" t="s">
        <v>112</v>
      </c>
      <c r="J137" t="s">
        <v>114</v>
      </c>
      <c r="K137" t="s">
        <v>116</v>
      </c>
      <c r="L137" t="s">
        <v>116</v>
      </c>
    </row>
    <row r="138" spans="1:12" x14ac:dyDescent="0.3">
      <c r="A138" t="s">
        <v>731</v>
      </c>
      <c r="B138" t="s">
        <v>1501</v>
      </c>
      <c r="C138" t="s">
        <v>566</v>
      </c>
      <c r="D138" t="s">
        <v>319</v>
      </c>
      <c r="E138" t="s">
        <v>568</v>
      </c>
      <c r="F138" t="s">
        <v>136</v>
      </c>
      <c r="G138" t="s">
        <v>111</v>
      </c>
      <c r="H138" t="s">
        <v>113</v>
      </c>
      <c r="I138" t="s">
        <v>112</v>
      </c>
      <c r="J138" t="s">
        <v>114</v>
      </c>
      <c r="K138" t="s">
        <v>116</v>
      </c>
      <c r="L138" t="s">
        <v>116</v>
      </c>
    </row>
    <row r="139" spans="1:12" x14ac:dyDescent="0.3">
      <c r="A139" t="s">
        <v>731</v>
      </c>
      <c r="B139" t="s">
        <v>1501</v>
      </c>
      <c r="C139" t="s">
        <v>566</v>
      </c>
      <c r="D139" t="s">
        <v>247</v>
      </c>
      <c r="E139" t="s">
        <v>568</v>
      </c>
      <c r="F139" t="s">
        <v>60</v>
      </c>
      <c r="G139" t="s">
        <v>111</v>
      </c>
      <c r="H139" t="s">
        <v>113</v>
      </c>
      <c r="I139" t="s">
        <v>112</v>
      </c>
      <c r="J139" t="s">
        <v>114</v>
      </c>
      <c r="K139" t="s">
        <v>116</v>
      </c>
      <c r="L139" t="s">
        <v>116</v>
      </c>
    </row>
    <row r="140" spans="1:12" x14ac:dyDescent="0.3">
      <c r="A140" t="s">
        <v>731</v>
      </c>
      <c r="B140" t="s">
        <v>1501</v>
      </c>
      <c r="C140" t="s">
        <v>566</v>
      </c>
      <c r="D140" t="s">
        <v>250</v>
      </c>
      <c r="E140" t="s">
        <v>568</v>
      </c>
      <c r="F140" t="s">
        <v>70</v>
      </c>
      <c r="G140" t="s">
        <v>111</v>
      </c>
      <c r="H140" t="s">
        <v>113</v>
      </c>
      <c r="I140" t="s">
        <v>112</v>
      </c>
      <c r="J140" t="s">
        <v>114</v>
      </c>
      <c r="K140" t="s">
        <v>116</v>
      </c>
      <c r="L140" t="s">
        <v>116</v>
      </c>
    </row>
    <row r="141" spans="1:12" x14ac:dyDescent="0.3">
      <c r="A141" t="s">
        <v>731</v>
      </c>
      <c r="B141" t="s">
        <v>1501</v>
      </c>
      <c r="C141" t="s">
        <v>566</v>
      </c>
      <c r="D141" t="s">
        <v>251</v>
      </c>
      <c r="E141" t="s">
        <v>568</v>
      </c>
      <c r="F141" t="s">
        <v>48</v>
      </c>
      <c r="G141" t="s">
        <v>111</v>
      </c>
      <c r="H141" t="s">
        <v>113</v>
      </c>
      <c r="I141" t="s">
        <v>112</v>
      </c>
      <c r="J141" t="s">
        <v>114</v>
      </c>
      <c r="K141" t="s">
        <v>116</v>
      </c>
      <c r="L141" t="s">
        <v>116</v>
      </c>
    </row>
    <row r="142" spans="1:12" x14ac:dyDescent="0.3">
      <c r="A142" t="s">
        <v>731</v>
      </c>
      <c r="B142" t="s">
        <v>1501</v>
      </c>
      <c r="C142" t="s">
        <v>566</v>
      </c>
      <c r="D142" t="s">
        <v>252</v>
      </c>
      <c r="E142" t="s">
        <v>568</v>
      </c>
      <c r="F142" t="s">
        <v>138</v>
      </c>
      <c r="G142" t="s">
        <v>111</v>
      </c>
      <c r="H142" t="s">
        <v>113</v>
      </c>
      <c r="I142" t="s">
        <v>112</v>
      </c>
      <c r="J142" t="s">
        <v>114</v>
      </c>
      <c r="K142" t="s">
        <v>116</v>
      </c>
      <c r="L142" t="s">
        <v>116</v>
      </c>
    </row>
    <row r="143" spans="1:12" x14ac:dyDescent="0.3">
      <c r="A143" t="s">
        <v>731</v>
      </c>
      <c r="B143" t="s">
        <v>1501</v>
      </c>
      <c r="C143" t="s">
        <v>566</v>
      </c>
      <c r="D143" t="s">
        <v>253</v>
      </c>
      <c r="E143" t="s">
        <v>568</v>
      </c>
      <c r="F143" t="s">
        <v>95</v>
      </c>
      <c r="G143" t="s">
        <v>111</v>
      </c>
      <c r="H143" t="s">
        <v>113</v>
      </c>
      <c r="I143" t="s">
        <v>112</v>
      </c>
      <c r="J143" t="s">
        <v>114</v>
      </c>
      <c r="K143" t="s">
        <v>116</v>
      </c>
      <c r="L143" t="s">
        <v>116</v>
      </c>
    </row>
    <row r="144" spans="1:12" x14ac:dyDescent="0.3">
      <c r="A144" t="s">
        <v>731</v>
      </c>
      <c r="B144" t="s">
        <v>1501</v>
      </c>
      <c r="C144" t="s">
        <v>566</v>
      </c>
      <c r="D144" t="s">
        <v>254</v>
      </c>
      <c r="E144" t="s">
        <v>568</v>
      </c>
      <c r="F144" t="s">
        <v>139</v>
      </c>
      <c r="G144" t="s">
        <v>111</v>
      </c>
      <c r="H144" t="s">
        <v>113</v>
      </c>
      <c r="I144" t="s">
        <v>112</v>
      </c>
      <c r="J144" t="s">
        <v>114</v>
      </c>
      <c r="K144" t="s">
        <v>116</v>
      </c>
      <c r="L144" t="s">
        <v>116</v>
      </c>
    </row>
    <row r="145" spans="1:12" x14ac:dyDescent="0.3">
      <c r="A145" t="s">
        <v>731</v>
      </c>
      <c r="B145" t="s">
        <v>1501</v>
      </c>
      <c r="C145" t="s">
        <v>566</v>
      </c>
      <c r="D145" t="s">
        <v>255</v>
      </c>
      <c r="E145" t="s">
        <v>568</v>
      </c>
      <c r="F145" t="s">
        <v>171</v>
      </c>
      <c r="G145" t="s">
        <v>111</v>
      </c>
      <c r="H145" t="s">
        <v>113</v>
      </c>
      <c r="I145" t="s">
        <v>112</v>
      </c>
      <c r="J145" t="s">
        <v>114</v>
      </c>
      <c r="K145" t="s">
        <v>116</v>
      </c>
      <c r="L145" t="s">
        <v>116</v>
      </c>
    </row>
    <row r="146" spans="1:12" x14ac:dyDescent="0.3">
      <c r="A146" t="s">
        <v>731</v>
      </c>
      <c r="B146" t="s">
        <v>1501</v>
      </c>
      <c r="C146" t="s">
        <v>566</v>
      </c>
      <c r="D146" t="s">
        <v>320</v>
      </c>
      <c r="E146" t="s">
        <v>568</v>
      </c>
      <c r="F146" t="s">
        <v>172</v>
      </c>
      <c r="G146" t="s">
        <v>111</v>
      </c>
      <c r="H146" t="s">
        <v>113</v>
      </c>
      <c r="I146" t="s">
        <v>112</v>
      </c>
      <c r="J146" t="s">
        <v>114</v>
      </c>
      <c r="K146" t="s">
        <v>116</v>
      </c>
      <c r="L146" t="s">
        <v>116</v>
      </c>
    </row>
    <row r="147" spans="1:12" x14ac:dyDescent="0.3">
      <c r="A147" t="s">
        <v>731</v>
      </c>
      <c r="B147" t="s">
        <v>1501</v>
      </c>
      <c r="C147" t="s">
        <v>566</v>
      </c>
      <c r="D147" t="s">
        <v>256</v>
      </c>
      <c r="E147" t="s">
        <v>568</v>
      </c>
      <c r="F147" t="s">
        <v>57</v>
      </c>
      <c r="G147" t="s">
        <v>111</v>
      </c>
      <c r="H147" t="s">
        <v>118</v>
      </c>
      <c r="I147" t="s">
        <v>112</v>
      </c>
      <c r="J147" t="s">
        <v>119</v>
      </c>
      <c r="K147" t="s">
        <v>116</v>
      </c>
      <c r="L147" t="s">
        <v>116</v>
      </c>
    </row>
    <row r="148" spans="1:12" x14ac:dyDescent="0.3">
      <c r="A148" t="s">
        <v>731</v>
      </c>
      <c r="B148" t="s">
        <v>1501</v>
      </c>
      <c r="C148" t="s">
        <v>566</v>
      </c>
      <c r="D148" t="s">
        <v>322</v>
      </c>
      <c r="E148" t="s">
        <v>568</v>
      </c>
      <c r="F148" t="s">
        <v>173</v>
      </c>
      <c r="G148" t="s">
        <v>111</v>
      </c>
      <c r="H148" t="s">
        <v>113</v>
      </c>
      <c r="I148" t="s">
        <v>112</v>
      </c>
      <c r="J148" t="s">
        <v>114</v>
      </c>
      <c r="K148" t="s">
        <v>116</v>
      </c>
      <c r="L148" t="s">
        <v>116</v>
      </c>
    </row>
    <row r="149" spans="1:12" x14ac:dyDescent="0.3">
      <c r="A149" t="s">
        <v>731</v>
      </c>
      <c r="B149" t="s">
        <v>1501</v>
      </c>
      <c r="C149" t="s">
        <v>566</v>
      </c>
      <c r="D149" t="s">
        <v>257</v>
      </c>
      <c r="E149" t="s">
        <v>568</v>
      </c>
      <c r="F149" t="s">
        <v>174</v>
      </c>
      <c r="G149" t="s">
        <v>111</v>
      </c>
      <c r="H149" t="s">
        <v>113</v>
      </c>
      <c r="I149" t="s">
        <v>112</v>
      </c>
      <c r="J149" t="s">
        <v>114</v>
      </c>
      <c r="K149" t="s">
        <v>116</v>
      </c>
      <c r="L149" t="s">
        <v>116</v>
      </c>
    </row>
    <row r="150" spans="1:12" x14ac:dyDescent="0.3">
      <c r="A150" t="s">
        <v>731</v>
      </c>
      <c r="B150" t="s">
        <v>1501</v>
      </c>
      <c r="C150" t="s">
        <v>566</v>
      </c>
      <c r="D150" t="s">
        <v>258</v>
      </c>
      <c r="E150" t="s">
        <v>568</v>
      </c>
      <c r="F150" t="s">
        <v>88</v>
      </c>
      <c r="G150" t="s">
        <v>111</v>
      </c>
      <c r="H150" t="s">
        <v>113</v>
      </c>
      <c r="I150" t="s">
        <v>112</v>
      </c>
      <c r="J150" t="s">
        <v>114</v>
      </c>
      <c r="K150" t="s">
        <v>116</v>
      </c>
      <c r="L150" t="s">
        <v>116</v>
      </c>
    </row>
    <row r="151" spans="1:12" x14ac:dyDescent="0.3">
      <c r="A151" t="s">
        <v>731</v>
      </c>
      <c r="B151" t="s">
        <v>1501</v>
      </c>
      <c r="C151" t="s">
        <v>566</v>
      </c>
      <c r="D151" t="s">
        <v>323</v>
      </c>
      <c r="E151" t="s">
        <v>568</v>
      </c>
      <c r="F151" t="s">
        <v>74</v>
      </c>
      <c r="G151" t="s">
        <v>111</v>
      </c>
      <c r="H151" t="s">
        <v>113</v>
      </c>
      <c r="I151" t="s">
        <v>112</v>
      </c>
      <c r="J151" t="s">
        <v>114</v>
      </c>
      <c r="K151" t="s">
        <v>116</v>
      </c>
      <c r="L151" t="s">
        <v>116</v>
      </c>
    </row>
    <row r="152" spans="1:12" x14ac:dyDescent="0.3">
      <c r="A152" t="s">
        <v>731</v>
      </c>
      <c r="B152" t="s">
        <v>1501</v>
      </c>
      <c r="C152" t="s">
        <v>566</v>
      </c>
      <c r="D152" t="s">
        <v>324</v>
      </c>
      <c r="E152" t="s">
        <v>568</v>
      </c>
      <c r="F152" t="s">
        <v>102</v>
      </c>
      <c r="G152" t="s">
        <v>111</v>
      </c>
      <c r="H152" t="s">
        <v>113</v>
      </c>
      <c r="I152" t="s">
        <v>112</v>
      </c>
      <c r="J152" t="s">
        <v>114</v>
      </c>
      <c r="K152" t="s">
        <v>116</v>
      </c>
      <c r="L152" t="s">
        <v>116</v>
      </c>
    </row>
    <row r="153" spans="1:12" x14ac:dyDescent="0.3">
      <c r="A153" t="s">
        <v>731</v>
      </c>
      <c r="B153" t="s">
        <v>1501</v>
      </c>
      <c r="C153" t="s">
        <v>566</v>
      </c>
      <c r="D153" t="s">
        <v>260</v>
      </c>
      <c r="E153" t="s">
        <v>568</v>
      </c>
      <c r="F153" t="s">
        <v>140</v>
      </c>
      <c r="G153" t="s">
        <v>111</v>
      </c>
      <c r="H153" t="s">
        <v>113</v>
      </c>
      <c r="I153" t="s">
        <v>112</v>
      </c>
      <c r="J153" t="s">
        <v>114</v>
      </c>
      <c r="K153" t="s">
        <v>116</v>
      </c>
      <c r="L153" t="s">
        <v>116</v>
      </c>
    </row>
    <row r="154" spans="1:12" x14ac:dyDescent="0.3">
      <c r="A154" t="s">
        <v>731</v>
      </c>
      <c r="B154" t="s">
        <v>1501</v>
      </c>
      <c r="C154" t="s">
        <v>566</v>
      </c>
      <c r="D154" t="s">
        <v>325</v>
      </c>
      <c r="E154" t="s">
        <v>568</v>
      </c>
      <c r="F154" t="s">
        <v>46</v>
      </c>
      <c r="G154" t="s">
        <v>111</v>
      </c>
      <c r="H154" t="s">
        <v>113</v>
      </c>
      <c r="I154" t="s">
        <v>112</v>
      </c>
      <c r="J154" t="s">
        <v>114</v>
      </c>
      <c r="K154" t="s">
        <v>116</v>
      </c>
      <c r="L154" t="s">
        <v>116</v>
      </c>
    </row>
    <row r="155" spans="1:12" x14ac:dyDescent="0.3">
      <c r="A155" t="s">
        <v>731</v>
      </c>
      <c r="B155" t="s">
        <v>1501</v>
      </c>
      <c r="C155" t="s">
        <v>566</v>
      </c>
      <c r="D155" t="s">
        <v>262</v>
      </c>
      <c r="E155" t="s">
        <v>568</v>
      </c>
      <c r="F155" t="s">
        <v>202</v>
      </c>
      <c r="G155" t="s">
        <v>111</v>
      </c>
      <c r="H155" t="s">
        <v>113</v>
      </c>
      <c r="I155" t="s">
        <v>112</v>
      </c>
      <c r="J155" t="s">
        <v>114</v>
      </c>
      <c r="K155" t="s">
        <v>116</v>
      </c>
      <c r="L155" t="s">
        <v>116</v>
      </c>
    </row>
    <row r="156" spans="1:12" x14ac:dyDescent="0.3">
      <c r="A156" t="s">
        <v>731</v>
      </c>
      <c r="B156" t="s">
        <v>1501</v>
      </c>
      <c r="C156" t="s">
        <v>566</v>
      </c>
      <c r="D156" t="s">
        <v>263</v>
      </c>
      <c r="E156" t="s">
        <v>568</v>
      </c>
      <c r="F156" t="s">
        <v>141</v>
      </c>
      <c r="G156" t="s">
        <v>111</v>
      </c>
      <c r="H156" t="s">
        <v>118</v>
      </c>
      <c r="I156" t="s">
        <v>112</v>
      </c>
      <c r="J156" t="s">
        <v>119</v>
      </c>
      <c r="K156" t="s">
        <v>116</v>
      </c>
      <c r="L156" t="s">
        <v>116</v>
      </c>
    </row>
    <row r="157" spans="1:12" x14ac:dyDescent="0.3">
      <c r="A157" t="s">
        <v>731</v>
      </c>
      <c r="B157" t="s">
        <v>1501</v>
      </c>
      <c r="C157" t="s">
        <v>566</v>
      </c>
      <c r="D157" t="s">
        <v>265</v>
      </c>
      <c r="E157" t="s">
        <v>568</v>
      </c>
      <c r="F157" t="s">
        <v>142</v>
      </c>
      <c r="G157" t="s">
        <v>111</v>
      </c>
      <c r="H157" t="s">
        <v>113</v>
      </c>
      <c r="I157" t="s">
        <v>112</v>
      </c>
      <c r="J157" t="s">
        <v>114</v>
      </c>
      <c r="K157" t="s">
        <v>116</v>
      </c>
      <c r="L157" t="s">
        <v>116</v>
      </c>
    </row>
    <row r="158" spans="1:12" x14ac:dyDescent="0.3">
      <c r="A158" t="s">
        <v>731</v>
      </c>
      <c r="B158" t="s">
        <v>1501</v>
      </c>
      <c r="C158" t="s">
        <v>566</v>
      </c>
      <c r="D158" t="s">
        <v>266</v>
      </c>
      <c r="E158" t="s">
        <v>568</v>
      </c>
      <c r="F158" t="s">
        <v>75</v>
      </c>
      <c r="G158" t="s">
        <v>111</v>
      </c>
      <c r="H158" t="s">
        <v>113</v>
      </c>
      <c r="I158" t="s">
        <v>112</v>
      </c>
      <c r="J158" t="s">
        <v>114</v>
      </c>
      <c r="K158" t="s">
        <v>116</v>
      </c>
      <c r="L158" t="s">
        <v>116</v>
      </c>
    </row>
    <row r="159" spans="1:12" x14ac:dyDescent="0.3">
      <c r="A159" t="s">
        <v>731</v>
      </c>
      <c r="B159" t="s">
        <v>1501</v>
      </c>
      <c r="C159" t="s">
        <v>566</v>
      </c>
      <c r="D159" t="s">
        <v>326</v>
      </c>
      <c r="E159" t="s">
        <v>568</v>
      </c>
      <c r="F159" t="s">
        <v>144</v>
      </c>
      <c r="G159" t="s">
        <v>111</v>
      </c>
      <c r="H159" t="s">
        <v>113</v>
      </c>
      <c r="I159" t="s">
        <v>112</v>
      </c>
      <c r="J159" t="s">
        <v>114</v>
      </c>
      <c r="K159" t="s">
        <v>116</v>
      </c>
      <c r="L159" t="s">
        <v>116</v>
      </c>
    </row>
    <row r="160" spans="1:12" x14ac:dyDescent="0.3">
      <c r="A160" t="s">
        <v>731</v>
      </c>
      <c r="B160" t="s">
        <v>1501</v>
      </c>
      <c r="C160" t="s">
        <v>566</v>
      </c>
      <c r="D160" t="s">
        <v>268</v>
      </c>
      <c r="E160" t="s">
        <v>568</v>
      </c>
      <c r="F160" t="s">
        <v>194</v>
      </c>
      <c r="G160" t="s">
        <v>111</v>
      </c>
      <c r="H160" t="s">
        <v>113</v>
      </c>
      <c r="I160" t="s">
        <v>112</v>
      </c>
      <c r="J160" t="s">
        <v>114</v>
      </c>
      <c r="K160" t="s">
        <v>116</v>
      </c>
      <c r="L160" t="s">
        <v>116</v>
      </c>
    </row>
    <row r="161" spans="1:12" x14ac:dyDescent="0.3">
      <c r="A161" t="s">
        <v>731</v>
      </c>
      <c r="B161" t="s">
        <v>1501</v>
      </c>
      <c r="C161" t="s">
        <v>566</v>
      </c>
      <c r="D161" t="s">
        <v>270</v>
      </c>
      <c r="E161" t="s">
        <v>568</v>
      </c>
      <c r="F161" t="s">
        <v>81</v>
      </c>
      <c r="G161" t="s">
        <v>111</v>
      </c>
      <c r="H161" t="s">
        <v>113</v>
      </c>
      <c r="I161" t="s">
        <v>112</v>
      </c>
      <c r="J161" t="s">
        <v>114</v>
      </c>
      <c r="K161" t="s">
        <v>116</v>
      </c>
      <c r="L161" t="s">
        <v>116</v>
      </c>
    </row>
    <row r="162" spans="1:12" x14ac:dyDescent="0.3">
      <c r="A162" t="s">
        <v>731</v>
      </c>
      <c r="B162" t="s">
        <v>1501</v>
      </c>
      <c r="C162" t="s">
        <v>566</v>
      </c>
      <c r="D162" t="s">
        <v>271</v>
      </c>
      <c r="E162" t="s">
        <v>567</v>
      </c>
      <c r="F162" t="s">
        <v>76</v>
      </c>
      <c r="G162" t="s">
        <v>111</v>
      </c>
      <c r="H162" t="s">
        <v>113</v>
      </c>
      <c r="I162" t="s">
        <v>112</v>
      </c>
      <c r="J162" t="s">
        <v>114</v>
      </c>
      <c r="K162" t="s">
        <v>116</v>
      </c>
      <c r="L162" t="s">
        <v>116</v>
      </c>
    </row>
    <row r="163" spans="1:12" x14ac:dyDescent="0.3">
      <c r="A163" t="s">
        <v>731</v>
      </c>
      <c r="B163" t="s">
        <v>1501</v>
      </c>
      <c r="C163" t="s">
        <v>566</v>
      </c>
      <c r="D163" t="s">
        <v>272</v>
      </c>
      <c r="E163" t="s">
        <v>567</v>
      </c>
      <c r="F163" t="s">
        <v>52</v>
      </c>
      <c r="G163" t="s">
        <v>111</v>
      </c>
      <c r="H163" t="s">
        <v>113</v>
      </c>
      <c r="I163" t="s">
        <v>112</v>
      </c>
      <c r="J163" t="s">
        <v>114</v>
      </c>
      <c r="K163" t="s">
        <v>116</v>
      </c>
      <c r="L163" t="s">
        <v>116</v>
      </c>
    </row>
    <row r="164" spans="1:12" x14ac:dyDescent="0.3">
      <c r="A164" t="s">
        <v>731</v>
      </c>
      <c r="B164" t="s">
        <v>1501</v>
      </c>
      <c r="C164" t="s">
        <v>566</v>
      </c>
      <c r="D164" t="s">
        <v>275</v>
      </c>
      <c r="E164" t="s">
        <v>567</v>
      </c>
      <c r="F164" t="s">
        <v>148</v>
      </c>
      <c r="G164" t="s">
        <v>111</v>
      </c>
      <c r="H164" t="s">
        <v>113</v>
      </c>
      <c r="I164" t="s">
        <v>112</v>
      </c>
      <c r="J164" t="s">
        <v>114</v>
      </c>
      <c r="K164" t="s">
        <v>116</v>
      </c>
      <c r="L164" t="s">
        <v>116</v>
      </c>
    </row>
    <row r="165" spans="1:12" x14ac:dyDescent="0.3">
      <c r="A165" t="s">
        <v>731</v>
      </c>
      <c r="B165" t="s">
        <v>1501</v>
      </c>
      <c r="C165" t="s">
        <v>566</v>
      </c>
      <c r="D165" t="s">
        <v>276</v>
      </c>
      <c r="E165" t="s">
        <v>567</v>
      </c>
      <c r="F165" t="s">
        <v>149</v>
      </c>
      <c r="G165" t="s">
        <v>111</v>
      </c>
      <c r="H165" t="s">
        <v>113</v>
      </c>
      <c r="I165" t="s">
        <v>112</v>
      </c>
      <c r="J165" t="s">
        <v>114</v>
      </c>
      <c r="K165" t="s">
        <v>116</v>
      </c>
      <c r="L165" t="s">
        <v>116</v>
      </c>
    </row>
    <row r="166" spans="1:12" x14ac:dyDescent="0.3">
      <c r="A166" t="s">
        <v>731</v>
      </c>
      <c r="B166" t="s">
        <v>1501</v>
      </c>
      <c r="C166" t="s">
        <v>566</v>
      </c>
      <c r="D166" t="s">
        <v>279</v>
      </c>
      <c r="E166" t="s">
        <v>567</v>
      </c>
      <c r="F166" t="s">
        <v>150</v>
      </c>
      <c r="G166" t="s">
        <v>111</v>
      </c>
      <c r="H166" t="s">
        <v>113</v>
      </c>
      <c r="I166" t="s">
        <v>112</v>
      </c>
      <c r="J166" t="s">
        <v>114</v>
      </c>
      <c r="K166" t="s">
        <v>116</v>
      </c>
      <c r="L166" t="s">
        <v>116</v>
      </c>
    </row>
    <row r="167" spans="1:12" x14ac:dyDescent="0.3">
      <c r="A167" t="s">
        <v>731</v>
      </c>
      <c r="B167" t="s">
        <v>1501</v>
      </c>
      <c r="C167" t="s">
        <v>566</v>
      </c>
      <c r="D167" t="s">
        <v>280</v>
      </c>
      <c r="E167" t="s">
        <v>567</v>
      </c>
      <c r="F167" t="s">
        <v>71</v>
      </c>
      <c r="G167" t="s">
        <v>111</v>
      </c>
      <c r="H167" t="s">
        <v>113</v>
      </c>
      <c r="I167" t="s">
        <v>112</v>
      </c>
      <c r="J167" t="s">
        <v>114</v>
      </c>
      <c r="K167" t="s">
        <v>116</v>
      </c>
      <c r="L167" t="s">
        <v>116</v>
      </c>
    </row>
    <row r="168" spans="1:12" x14ac:dyDescent="0.3">
      <c r="A168" t="s">
        <v>731</v>
      </c>
      <c r="B168" t="s">
        <v>1501</v>
      </c>
      <c r="C168" t="s">
        <v>566</v>
      </c>
      <c r="D168" t="s">
        <v>281</v>
      </c>
      <c r="E168" t="s">
        <v>567</v>
      </c>
      <c r="F168" t="s">
        <v>84</v>
      </c>
      <c r="G168" t="s">
        <v>111</v>
      </c>
      <c r="H168" t="s">
        <v>118</v>
      </c>
      <c r="I168" t="s">
        <v>112</v>
      </c>
      <c r="J168" t="s">
        <v>119</v>
      </c>
      <c r="K168" t="s">
        <v>116</v>
      </c>
      <c r="L168" t="s">
        <v>116</v>
      </c>
    </row>
    <row r="169" spans="1:12" x14ac:dyDescent="0.3">
      <c r="A169" t="s">
        <v>731</v>
      </c>
      <c r="B169" t="s">
        <v>1501</v>
      </c>
      <c r="C169" t="s">
        <v>566</v>
      </c>
      <c r="D169" t="s">
        <v>283</v>
      </c>
      <c r="E169" t="s">
        <v>567</v>
      </c>
      <c r="F169" t="s">
        <v>63</v>
      </c>
      <c r="G169" t="s">
        <v>111</v>
      </c>
      <c r="H169" t="s">
        <v>113</v>
      </c>
      <c r="I169" t="s">
        <v>112</v>
      </c>
      <c r="J169" t="s">
        <v>114</v>
      </c>
      <c r="K169" t="s">
        <v>116</v>
      </c>
      <c r="L169" t="s">
        <v>116</v>
      </c>
    </row>
    <row r="170" spans="1:12" x14ac:dyDescent="0.3">
      <c r="A170" t="s">
        <v>731</v>
      </c>
      <c r="B170" t="s">
        <v>1501</v>
      </c>
      <c r="C170" t="s">
        <v>566</v>
      </c>
      <c r="D170" t="s">
        <v>284</v>
      </c>
      <c r="E170" t="s">
        <v>567</v>
      </c>
      <c r="F170" t="s">
        <v>151</v>
      </c>
      <c r="G170" t="s">
        <v>111</v>
      </c>
      <c r="H170" t="s">
        <v>113</v>
      </c>
      <c r="I170" t="s">
        <v>112</v>
      </c>
      <c r="J170" t="s">
        <v>114</v>
      </c>
      <c r="K170" t="s">
        <v>116</v>
      </c>
      <c r="L170" t="s">
        <v>116</v>
      </c>
    </row>
    <row r="171" spans="1:12" x14ac:dyDescent="0.3">
      <c r="A171" t="s">
        <v>731</v>
      </c>
      <c r="B171" t="s">
        <v>1501</v>
      </c>
      <c r="C171" t="s">
        <v>566</v>
      </c>
      <c r="D171" t="s">
        <v>285</v>
      </c>
      <c r="E171" t="s">
        <v>567</v>
      </c>
      <c r="F171" t="s">
        <v>195</v>
      </c>
      <c r="G171" t="s">
        <v>111</v>
      </c>
      <c r="H171" t="s">
        <v>113</v>
      </c>
      <c r="I171" t="s">
        <v>112</v>
      </c>
      <c r="J171" t="s">
        <v>114</v>
      </c>
      <c r="K171" t="s">
        <v>116</v>
      </c>
      <c r="L171" t="s">
        <v>116</v>
      </c>
    </row>
    <row r="172" spans="1:12" x14ac:dyDescent="0.3">
      <c r="A172" t="s">
        <v>731</v>
      </c>
      <c r="B172" t="s">
        <v>1501</v>
      </c>
      <c r="C172" t="s">
        <v>566</v>
      </c>
      <c r="D172" t="s">
        <v>330</v>
      </c>
      <c r="E172" t="s">
        <v>567</v>
      </c>
      <c r="F172" t="s">
        <v>177</v>
      </c>
      <c r="G172" t="s">
        <v>111</v>
      </c>
      <c r="H172" t="s">
        <v>113</v>
      </c>
      <c r="I172" t="s">
        <v>112</v>
      </c>
      <c r="J172" t="s">
        <v>114</v>
      </c>
      <c r="K172" t="s">
        <v>116</v>
      </c>
      <c r="L172" t="s">
        <v>116</v>
      </c>
    </row>
    <row r="173" spans="1:12" x14ac:dyDescent="0.3">
      <c r="A173" t="s">
        <v>731</v>
      </c>
      <c r="B173" t="s">
        <v>1501</v>
      </c>
      <c r="C173" t="s">
        <v>566</v>
      </c>
      <c r="D173" t="s">
        <v>331</v>
      </c>
      <c r="E173" t="s">
        <v>567</v>
      </c>
      <c r="F173" t="s">
        <v>91</v>
      </c>
      <c r="G173" t="s">
        <v>111</v>
      </c>
      <c r="H173" t="s">
        <v>118</v>
      </c>
      <c r="I173" t="s">
        <v>112</v>
      </c>
      <c r="J173" t="s">
        <v>119</v>
      </c>
      <c r="K173" t="s">
        <v>116</v>
      </c>
      <c r="L173" t="s">
        <v>116</v>
      </c>
    </row>
    <row r="174" spans="1:12" x14ac:dyDescent="0.3">
      <c r="A174" t="s">
        <v>731</v>
      </c>
      <c r="B174" t="s">
        <v>1501</v>
      </c>
      <c r="C174" t="s">
        <v>566</v>
      </c>
      <c r="D174" t="s">
        <v>332</v>
      </c>
      <c r="E174" t="s">
        <v>567</v>
      </c>
      <c r="F174" t="s">
        <v>152</v>
      </c>
      <c r="G174" t="s">
        <v>111</v>
      </c>
      <c r="H174" t="s">
        <v>113</v>
      </c>
      <c r="I174" t="s">
        <v>112</v>
      </c>
      <c r="J174" t="s">
        <v>114</v>
      </c>
      <c r="K174" t="s">
        <v>116</v>
      </c>
      <c r="L174" t="s">
        <v>116</v>
      </c>
    </row>
    <row r="175" spans="1:12" x14ac:dyDescent="0.3">
      <c r="A175" t="s">
        <v>731</v>
      </c>
      <c r="B175" t="s">
        <v>1501</v>
      </c>
      <c r="C175" t="s">
        <v>566</v>
      </c>
      <c r="D175" t="s">
        <v>286</v>
      </c>
      <c r="E175" t="s">
        <v>567</v>
      </c>
      <c r="F175" t="s">
        <v>67</v>
      </c>
      <c r="G175" t="s">
        <v>111</v>
      </c>
      <c r="H175" t="s">
        <v>113</v>
      </c>
      <c r="I175" t="s">
        <v>112</v>
      </c>
      <c r="J175" t="s">
        <v>114</v>
      </c>
      <c r="K175" t="s">
        <v>116</v>
      </c>
      <c r="L175" t="s">
        <v>116</v>
      </c>
    </row>
    <row r="176" spans="1:12" x14ac:dyDescent="0.3">
      <c r="A176" t="s">
        <v>731</v>
      </c>
      <c r="B176" t="s">
        <v>1501</v>
      </c>
      <c r="C176" t="s">
        <v>566</v>
      </c>
      <c r="D176" t="s">
        <v>287</v>
      </c>
      <c r="E176" t="s">
        <v>567</v>
      </c>
      <c r="F176" t="s">
        <v>196</v>
      </c>
      <c r="G176" t="s">
        <v>111</v>
      </c>
      <c r="H176" t="s">
        <v>113</v>
      </c>
      <c r="I176" t="s">
        <v>112</v>
      </c>
      <c r="J176" t="s">
        <v>114</v>
      </c>
      <c r="K176" t="s">
        <v>116</v>
      </c>
      <c r="L176" t="s">
        <v>116</v>
      </c>
    </row>
    <row r="177" spans="1:12" x14ac:dyDescent="0.3">
      <c r="A177" t="s">
        <v>731</v>
      </c>
      <c r="B177" t="s">
        <v>1501</v>
      </c>
      <c r="C177" t="s">
        <v>566</v>
      </c>
      <c r="D177" t="s">
        <v>289</v>
      </c>
      <c r="E177" t="s">
        <v>567</v>
      </c>
      <c r="F177" t="s">
        <v>179</v>
      </c>
      <c r="G177" t="s">
        <v>111</v>
      </c>
      <c r="H177" t="s">
        <v>113</v>
      </c>
      <c r="I177" t="s">
        <v>112</v>
      </c>
      <c r="J177" t="s">
        <v>114</v>
      </c>
      <c r="K177" t="s">
        <v>116</v>
      </c>
      <c r="L177" t="s">
        <v>116</v>
      </c>
    </row>
    <row r="178" spans="1:12" x14ac:dyDescent="0.3">
      <c r="A178" t="s">
        <v>731</v>
      </c>
      <c r="B178" t="s">
        <v>1501</v>
      </c>
      <c r="C178" t="s">
        <v>566</v>
      </c>
      <c r="D178" t="s">
        <v>291</v>
      </c>
      <c r="E178" t="s">
        <v>567</v>
      </c>
      <c r="F178" t="s">
        <v>154</v>
      </c>
      <c r="G178" t="s">
        <v>111</v>
      </c>
      <c r="H178" t="s">
        <v>118</v>
      </c>
      <c r="I178" t="s">
        <v>112</v>
      </c>
      <c r="J178" t="s">
        <v>119</v>
      </c>
      <c r="K178" t="s">
        <v>116</v>
      </c>
      <c r="L178" t="s">
        <v>116</v>
      </c>
    </row>
    <row r="179" spans="1:12" x14ac:dyDescent="0.3">
      <c r="A179" t="s">
        <v>731</v>
      </c>
      <c r="B179" t="s">
        <v>1501</v>
      </c>
      <c r="C179" t="s">
        <v>566</v>
      </c>
      <c r="D179" t="s">
        <v>293</v>
      </c>
      <c r="E179" t="s">
        <v>567</v>
      </c>
      <c r="F179" t="s">
        <v>72</v>
      </c>
      <c r="G179" t="s">
        <v>111</v>
      </c>
      <c r="H179" t="s">
        <v>113</v>
      </c>
      <c r="I179" t="s">
        <v>112</v>
      </c>
      <c r="J179" t="s">
        <v>114</v>
      </c>
      <c r="K179" t="s">
        <v>116</v>
      </c>
      <c r="L179" t="s">
        <v>116</v>
      </c>
    </row>
    <row r="180" spans="1:12" x14ac:dyDescent="0.3">
      <c r="A180" t="s">
        <v>731</v>
      </c>
      <c r="B180" t="s">
        <v>1501</v>
      </c>
      <c r="C180" t="s">
        <v>566</v>
      </c>
      <c r="D180" t="s">
        <v>334</v>
      </c>
      <c r="E180" t="s">
        <v>567</v>
      </c>
      <c r="F180" t="s">
        <v>155</v>
      </c>
      <c r="G180" t="s">
        <v>111</v>
      </c>
      <c r="H180" t="s">
        <v>113</v>
      </c>
      <c r="I180" t="s">
        <v>112</v>
      </c>
      <c r="J180" t="s">
        <v>114</v>
      </c>
      <c r="K180" t="s">
        <v>116</v>
      </c>
      <c r="L180" t="s">
        <v>116</v>
      </c>
    </row>
    <row r="181" spans="1:12" x14ac:dyDescent="0.3">
      <c r="A181" t="s">
        <v>731</v>
      </c>
      <c r="B181" t="s">
        <v>1501</v>
      </c>
      <c r="C181" t="s">
        <v>566</v>
      </c>
      <c r="D181" t="s">
        <v>294</v>
      </c>
      <c r="E181" t="s">
        <v>567</v>
      </c>
      <c r="F181" t="s">
        <v>156</v>
      </c>
      <c r="G181" t="s">
        <v>111</v>
      </c>
      <c r="H181" t="s">
        <v>113</v>
      </c>
      <c r="I181" t="s">
        <v>112</v>
      </c>
      <c r="J181" t="s">
        <v>114</v>
      </c>
      <c r="K181" t="s">
        <v>116</v>
      </c>
      <c r="L181" t="s">
        <v>116</v>
      </c>
    </row>
    <row r="182" spans="1:12" x14ac:dyDescent="0.3">
      <c r="A182" t="s">
        <v>731</v>
      </c>
      <c r="B182" t="s">
        <v>1501</v>
      </c>
      <c r="C182" t="s">
        <v>566</v>
      </c>
      <c r="D182" t="s">
        <v>295</v>
      </c>
      <c r="E182" t="s">
        <v>567</v>
      </c>
      <c r="F182" t="s">
        <v>103</v>
      </c>
      <c r="G182" t="s">
        <v>111</v>
      </c>
      <c r="H182" t="s">
        <v>113</v>
      </c>
      <c r="I182" t="s">
        <v>112</v>
      </c>
      <c r="J182" t="s">
        <v>114</v>
      </c>
      <c r="K182" t="s">
        <v>116</v>
      </c>
      <c r="L182" t="s">
        <v>116</v>
      </c>
    </row>
    <row r="183" spans="1:12" x14ac:dyDescent="0.3">
      <c r="A183" t="s">
        <v>731</v>
      </c>
      <c r="B183" t="s">
        <v>1501</v>
      </c>
      <c r="C183" t="s">
        <v>566</v>
      </c>
      <c r="D183" t="s">
        <v>337</v>
      </c>
      <c r="E183" t="s">
        <v>567</v>
      </c>
      <c r="F183" t="s">
        <v>157</v>
      </c>
      <c r="G183" t="s">
        <v>111</v>
      </c>
      <c r="H183" t="s">
        <v>113</v>
      </c>
      <c r="I183" t="s">
        <v>112</v>
      </c>
      <c r="J183" t="s">
        <v>114</v>
      </c>
      <c r="K183" t="s">
        <v>116</v>
      </c>
      <c r="L183" t="s">
        <v>116</v>
      </c>
    </row>
    <row r="184" spans="1:12" x14ac:dyDescent="0.3">
      <c r="A184" t="s">
        <v>731</v>
      </c>
      <c r="B184" t="s">
        <v>1501</v>
      </c>
      <c r="C184" t="s">
        <v>566</v>
      </c>
      <c r="D184" t="s">
        <v>296</v>
      </c>
      <c r="E184" t="s">
        <v>567</v>
      </c>
      <c r="F184" t="s">
        <v>198</v>
      </c>
      <c r="G184" t="s">
        <v>111</v>
      </c>
      <c r="H184" t="s">
        <v>113</v>
      </c>
      <c r="I184" t="s">
        <v>112</v>
      </c>
      <c r="J184" t="s">
        <v>114</v>
      </c>
      <c r="K184" t="s">
        <v>116</v>
      </c>
      <c r="L184" t="s">
        <v>116</v>
      </c>
    </row>
    <row r="185" spans="1:12" x14ac:dyDescent="0.3">
      <c r="A185" t="s">
        <v>731</v>
      </c>
      <c r="B185" t="s">
        <v>1501</v>
      </c>
      <c r="C185" t="s">
        <v>566</v>
      </c>
      <c r="D185" t="s">
        <v>297</v>
      </c>
      <c r="E185" t="s">
        <v>567</v>
      </c>
      <c r="F185" t="s">
        <v>180</v>
      </c>
      <c r="G185" t="s">
        <v>111</v>
      </c>
      <c r="H185" t="s">
        <v>113</v>
      </c>
      <c r="I185" t="s">
        <v>112</v>
      </c>
      <c r="J185" t="s">
        <v>114</v>
      </c>
      <c r="K185" t="s">
        <v>116</v>
      </c>
      <c r="L185" t="s">
        <v>116</v>
      </c>
    </row>
    <row r="186" spans="1:12" x14ac:dyDescent="0.3">
      <c r="A186" t="s">
        <v>731</v>
      </c>
      <c r="B186" t="s">
        <v>1501</v>
      </c>
      <c r="C186" t="s">
        <v>566</v>
      </c>
      <c r="D186" t="s">
        <v>298</v>
      </c>
      <c r="E186" t="s">
        <v>567</v>
      </c>
      <c r="F186" t="s">
        <v>158</v>
      </c>
      <c r="G186" t="s">
        <v>111</v>
      </c>
      <c r="H186" t="s">
        <v>113</v>
      </c>
      <c r="I186" t="s">
        <v>112</v>
      </c>
      <c r="J186" t="s">
        <v>114</v>
      </c>
      <c r="K186" t="s">
        <v>116</v>
      </c>
      <c r="L186" t="s">
        <v>116</v>
      </c>
    </row>
    <row r="187" spans="1:12" x14ac:dyDescent="0.3">
      <c r="A187" t="s">
        <v>731</v>
      </c>
      <c r="B187" t="s">
        <v>1501</v>
      </c>
      <c r="C187" t="s">
        <v>566</v>
      </c>
      <c r="D187" t="s">
        <v>335</v>
      </c>
      <c r="E187" t="s">
        <v>567</v>
      </c>
      <c r="F187" t="s">
        <v>199</v>
      </c>
      <c r="G187" t="s">
        <v>111</v>
      </c>
      <c r="H187" t="s">
        <v>113</v>
      </c>
      <c r="I187" t="s">
        <v>112</v>
      </c>
      <c r="J187" t="s">
        <v>114</v>
      </c>
      <c r="K187" t="s">
        <v>116</v>
      </c>
      <c r="L187" t="s">
        <v>116</v>
      </c>
    </row>
    <row r="188" spans="1:12" x14ac:dyDescent="0.3">
      <c r="A188" t="s">
        <v>731</v>
      </c>
      <c r="B188" t="s">
        <v>1501</v>
      </c>
      <c r="C188" t="s">
        <v>566</v>
      </c>
      <c r="D188" t="s">
        <v>336</v>
      </c>
      <c r="E188" t="s">
        <v>567</v>
      </c>
      <c r="F188" t="s">
        <v>159</v>
      </c>
      <c r="G188" t="s">
        <v>111</v>
      </c>
      <c r="H188" t="s">
        <v>113</v>
      </c>
      <c r="I188" t="s">
        <v>112</v>
      </c>
      <c r="J188" t="s">
        <v>114</v>
      </c>
      <c r="K188" t="s">
        <v>116</v>
      </c>
      <c r="L188" t="s">
        <v>116</v>
      </c>
    </row>
    <row r="189" spans="1:12" x14ac:dyDescent="0.3">
      <c r="A189" t="s">
        <v>731</v>
      </c>
      <c r="B189" t="s">
        <v>1501</v>
      </c>
      <c r="C189" t="s">
        <v>566</v>
      </c>
      <c r="D189" t="s">
        <v>299</v>
      </c>
      <c r="E189" t="s">
        <v>567</v>
      </c>
      <c r="F189" t="s">
        <v>47</v>
      </c>
      <c r="G189" t="s">
        <v>111</v>
      </c>
      <c r="H189" t="s">
        <v>113</v>
      </c>
      <c r="I189" t="s">
        <v>112</v>
      </c>
      <c r="J189" t="s">
        <v>114</v>
      </c>
      <c r="K189" t="s">
        <v>116</v>
      </c>
      <c r="L189" t="s">
        <v>116</v>
      </c>
    </row>
    <row r="190" spans="1:12" x14ac:dyDescent="0.3">
      <c r="A190" t="s">
        <v>731</v>
      </c>
      <c r="B190" t="s">
        <v>1501</v>
      </c>
      <c r="C190" t="s">
        <v>566</v>
      </c>
      <c r="D190" t="s">
        <v>300</v>
      </c>
      <c r="E190" t="s">
        <v>567</v>
      </c>
      <c r="F190" t="s">
        <v>181</v>
      </c>
      <c r="G190" t="s">
        <v>111</v>
      </c>
      <c r="H190" t="s">
        <v>113</v>
      </c>
      <c r="I190" t="s">
        <v>112</v>
      </c>
      <c r="J190" t="s">
        <v>114</v>
      </c>
      <c r="K190" t="s">
        <v>116</v>
      </c>
      <c r="L190" t="s">
        <v>116</v>
      </c>
    </row>
    <row r="191" spans="1:12" x14ac:dyDescent="0.3">
      <c r="A191" t="s">
        <v>731</v>
      </c>
      <c r="B191" t="s">
        <v>1501</v>
      </c>
      <c r="C191" t="s">
        <v>566</v>
      </c>
      <c r="D191" t="s">
        <v>301</v>
      </c>
      <c r="E191" t="s">
        <v>567</v>
      </c>
      <c r="F191" t="s">
        <v>73</v>
      </c>
      <c r="G191" t="s">
        <v>111</v>
      </c>
      <c r="H191" t="s">
        <v>113</v>
      </c>
      <c r="I191" t="s">
        <v>112</v>
      </c>
      <c r="J191" t="s">
        <v>114</v>
      </c>
      <c r="K191" t="s">
        <v>116</v>
      </c>
      <c r="L191" t="s">
        <v>116</v>
      </c>
    </row>
    <row r="192" spans="1:12" x14ac:dyDescent="0.3">
      <c r="A192" t="s">
        <v>731</v>
      </c>
      <c r="B192" t="s">
        <v>1501</v>
      </c>
      <c r="C192" t="s">
        <v>566</v>
      </c>
      <c r="D192" t="s">
        <v>208</v>
      </c>
      <c r="E192" t="s">
        <v>567</v>
      </c>
      <c r="F192" t="s">
        <v>161</v>
      </c>
      <c r="G192" t="s">
        <v>111</v>
      </c>
      <c r="H192" t="s">
        <v>113</v>
      </c>
      <c r="I192" t="s">
        <v>112</v>
      </c>
      <c r="J192" t="s">
        <v>114</v>
      </c>
      <c r="K192" t="s">
        <v>116</v>
      </c>
      <c r="L192" t="s">
        <v>116</v>
      </c>
    </row>
    <row r="193" spans="1:12" x14ac:dyDescent="0.3">
      <c r="A193" t="s">
        <v>731</v>
      </c>
      <c r="B193" t="s">
        <v>1501</v>
      </c>
      <c r="C193" t="s">
        <v>566</v>
      </c>
      <c r="D193" t="s">
        <v>302</v>
      </c>
      <c r="E193" t="s">
        <v>567</v>
      </c>
      <c r="F193" t="s">
        <v>162</v>
      </c>
      <c r="G193" t="s">
        <v>111</v>
      </c>
      <c r="H193" t="s">
        <v>113</v>
      </c>
      <c r="I193" t="s">
        <v>112</v>
      </c>
      <c r="J193" t="s">
        <v>114</v>
      </c>
      <c r="K193" t="s">
        <v>116</v>
      </c>
      <c r="L193" t="s">
        <v>116</v>
      </c>
    </row>
    <row r="194" spans="1:12" x14ac:dyDescent="0.3">
      <c r="A194" t="s">
        <v>731</v>
      </c>
      <c r="B194" t="s">
        <v>732</v>
      </c>
      <c r="C194" t="s">
        <v>733</v>
      </c>
      <c r="D194" t="s">
        <v>209</v>
      </c>
      <c r="E194" t="s">
        <v>569</v>
      </c>
      <c r="F194" t="s">
        <v>115</v>
      </c>
      <c r="G194" t="s">
        <v>111</v>
      </c>
      <c r="H194" t="s">
        <v>113</v>
      </c>
      <c r="I194" t="s">
        <v>112</v>
      </c>
      <c r="J194" t="s">
        <v>114</v>
      </c>
      <c r="K194" t="s">
        <v>116</v>
      </c>
      <c r="L194" t="s">
        <v>116</v>
      </c>
    </row>
    <row r="195" spans="1:12" x14ac:dyDescent="0.3">
      <c r="A195" t="s">
        <v>731</v>
      </c>
      <c r="B195" t="s">
        <v>732</v>
      </c>
      <c r="C195" t="s">
        <v>733</v>
      </c>
      <c r="D195" t="s">
        <v>210</v>
      </c>
      <c r="E195" t="s">
        <v>569</v>
      </c>
      <c r="F195" t="s">
        <v>59</v>
      </c>
      <c r="G195" t="s">
        <v>111</v>
      </c>
      <c r="H195" t="s">
        <v>147</v>
      </c>
      <c r="I195" t="s">
        <v>112</v>
      </c>
      <c r="J195" t="s">
        <v>119</v>
      </c>
      <c r="K195" t="s">
        <v>1527</v>
      </c>
      <c r="L195" t="s">
        <v>1527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304</v>
      </c>
      <c r="E196" t="s">
        <v>569</v>
      </c>
      <c r="F196" t="s">
        <v>117</v>
      </c>
      <c r="G196" t="s">
        <v>111</v>
      </c>
      <c r="H196" t="s">
        <v>118</v>
      </c>
      <c r="I196" t="s">
        <v>112</v>
      </c>
      <c r="J196" t="s">
        <v>119</v>
      </c>
      <c r="K196" t="s">
        <v>116</v>
      </c>
      <c r="L196" t="s">
        <v>116</v>
      </c>
    </row>
    <row r="197" spans="1:12" x14ac:dyDescent="0.3">
      <c r="A197" t="s">
        <v>731</v>
      </c>
      <c r="B197" t="s">
        <v>732</v>
      </c>
      <c r="C197" t="s">
        <v>733</v>
      </c>
      <c r="D197" t="s">
        <v>211</v>
      </c>
      <c r="E197" t="s">
        <v>569</v>
      </c>
      <c r="F197" t="s">
        <v>188</v>
      </c>
      <c r="G197" t="s">
        <v>111</v>
      </c>
      <c r="H197" t="s">
        <v>113</v>
      </c>
      <c r="I197" t="s">
        <v>112</v>
      </c>
      <c r="J197" t="s">
        <v>114</v>
      </c>
      <c r="K197" t="s">
        <v>116</v>
      </c>
      <c r="L197" t="s">
        <v>116</v>
      </c>
    </row>
    <row r="198" spans="1:12" x14ac:dyDescent="0.3">
      <c r="A198" t="s">
        <v>731</v>
      </c>
      <c r="B198" t="s">
        <v>732</v>
      </c>
      <c r="C198" t="s">
        <v>733</v>
      </c>
      <c r="D198" t="s">
        <v>212</v>
      </c>
      <c r="E198" t="s">
        <v>569</v>
      </c>
      <c r="F198" t="s">
        <v>164</v>
      </c>
      <c r="G198" t="s">
        <v>111</v>
      </c>
      <c r="H198" t="s">
        <v>118</v>
      </c>
      <c r="I198" t="s">
        <v>112</v>
      </c>
      <c r="J198" t="s">
        <v>119</v>
      </c>
      <c r="K198" t="s">
        <v>116</v>
      </c>
      <c r="L198" t="s">
        <v>116</v>
      </c>
    </row>
    <row r="199" spans="1:12" x14ac:dyDescent="0.3">
      <c r="A199" t="s">
        <v>731</v>
      </c>
      <c r="B199" t="s">
        <v>732</v>
      </c>
      <c r="C199" t="s">
        <v>733</v>
      </c>
      <c r="D199" t="s">
        <v>213</v>
      </c>
      <c r="E199" t="s">
        <v>569</v>
      </c>
      <c r="F199" t="s">
        <v>53</v>
      </c>
      <c r="G199" t="s">
        <v>111</v>
      </c>
      <c r="H199" t="s">
        <v>113</v>
      </c>
      <c r="I199" t="s">
        <v>112</v>
      </c>
      <c r="J199" t="s">
        <v>114</v>
      </c>
      <c r="K199" t="s">
        <v>116</v>
      </c>
      <c r="L199" t="s">
        <v>116</v>
      </c>
    </row>
    <row r="200" spans="1:12" x14ac:dyDescent="0.3">
      <c r="A200" t="s">
        <v>731</v>
      </c>
      <c r="B200" t="s">
        <v>732</v>
      </c>
      <c r="C200" t="s">
        <v>733</v>
      </c>
      <c r="D200" t="s">
        <v>215</v>
      </c>
      <c r="E200" t="s">
        <v>569</v>
      </c>
      <c r="F200" t="s">
        <v>69</v>
      </c>
      <c r="G200" t="s">
        <v>111</v>
      </c>
      <c r="H200" t="s">
        <v>113</v>
      </c>
      <c r="I200" t="s">
        <v>112</v>
      </c>
      <c r="J200" t="s">
        <v>114</v>
      </c>
      <c r="K200" t="s">
        <v>116</v>
      </c>
      <c r="L200" t="s">
        <v>116</v>
      </c>
    </row>
    <row r="201" spans="1:12" x14ac:dyDescent="0.3">
      <c r="A201" t="s">
        <v>731</v>
      </c>
      <c r="B201" t="s">
        <v>732</v>
      </c>
      <c r="C201" t="s">
        <v>733</v>
      </c>
      <c r="D201" t="s">
        <v>216</v>
      </c>
      <c r="E201" t="s">
        <v>569</v>
      </c>
      <c r="F201" t="s">
        <v>121</v>
      </c>
      <c r="G201" t="s">
        <v>111</v>
      </c>
      <c r="H201" t="s">
        <v>113</v>
      </c>
      <c r="I201" t="s">
        <v>112</v>
      </c>
      <c r="J201" t="s">
        <v>114</v>
      </c>
      <c r="K201" t="s">
        <v>116</v>
      </c>
      <c r="L201" t="s">
        <v>116</v>
      </c>
    </row>
    <row r="202" spans="1:12" x14ac:dyDescent="0.3">
      <c r="A202" t="s">
        <v>731</v>
      </c>
      <c r="B202" t="s">
        <v>732</v>
      </c>
      <c r="C202" t="s">
        <v>733</v>
      </c>
      <c r="D202" t="s">
        <v>217</v>
      </c>
      <c r="E202" t="s">
        <v>569</v>
      </c>
      <c r="F202" t="s">
        <v>122</v>
      </c>
      <c r="G202" t="s">
        <v>111</v>
      </c>
      <c r="H202" t="s">
        <v>113</v>
      </c>
      <c r="I202" t="s">
        <v>112</v>
      </c>
      <c r="J202" t="s">
        <v>114</v>
      </c>
      <c r="K202" t="s">
        <v>116</v>
      </c>
      <c r="L202" t="s">
        <v>116</v>
      </c>
    </row>
    <row r="203" spans="1:12" x14ac:dyDescent="0.3">
      <c r="A203" t="s">
        <v>731</v>
      </c>
      <c r="B203" t="s">
        <v>732</v>
      </c>
      <c r="C203" t="s">
        <v>733</v>
      </c>
      <c r="D203" t="s">
        <v>306</v>
      </c>
      <c r="E203" t="s">
        <v>569</v>
      </c>
      <c r="F203" t="s">
        <v>165</v>
      </c>
      <c r="G203" t="s">
        <v>111</v>
      </c>
      <c r="H203" t="s">
        <v>113</v>
      </c>
      <c r="I203" t="s">
        <v>112</v>
      </c>
      <c r="J203" t="s">
        <v>114</v>
      </c>
      <c r="K203" t="s">
        <v>116</v>
      </c>
      <c r="L203" t="s">
        <v>116</v>
      </c>
    </row>
    <row r="204" spans="1:12" x14ac:dyDescent="0.3">
      <c r="A204" t="s">
        <v>731</v>
      </c>
      <c r="B204" t="s">
        <v>732</v>
      </c>
      <c r="C204" t="s">
        <v>733</v>
      </c>
      <c r="D204" t="s">
        <v>218</v>
      </c>
      <c r="E204" t="s">
        <v>569</v>
      </c>
      <c r="F204" t="s">
        <v>166</v>
      </c>
      <c r="G204" t="s">
        <v>111</v>
      </c>
      <c r="H204" t="s">
        <v>118</v>
      </c>
      <c r="I204" t="s">
        <v>112</v>
      </c>
      <c r="J204" t="s">
        <v>119</v>
      </c>
      <c r="K204" t="s">
        <v>116</v>
      </c>
      <c r="L204" t="s">
        <v>116</v>
      </c>
    </row>
    <row r="205" spans="1:12" x14ac:dyDescent="0.3">
      <c r="A205" t="s">
        <v>731</v>
      </c>
      <c r="B205" t="s">
        <v>732</v>
      </c>
      <c r="C205" t="s">
        <v>733</v>
      </c>
      <c r="D205" t="s">
        <v>307</v>
      </c>
      <c r="E205" t="s">
        <v>569</v>
      </c>
      <c r="F205" t="s">
        <v>123</v>
      </c>
      <c r="G205" t="s">
        <v>111</v>
      </c>
      <c r="H205" t="s">
        <v>113</v>
      </c>
      <c r="I205" t="s">
        <v>112</v>
      </c>
      <c r="J205" t="s">
        <v>114</v>
      </c>
      <c r="K205" t="s">
        <v>116</v>
      </c>
      <c r="L205" t="s">
        <v>116</v>
      </c>
    </row>
    <row r="206" spans="1:12" x14ac:dyDescent="0.3">
      <c r="A206" t="s">
        <v>731</v>
      </c>
      <c r="B206" t="s">
        <v>732</v>
      </c>
      <c r="C206" t="s">
        <v>733</v>
      </c>
      <c r="D206" t="s">
        <v>219</v>
      </c>
      <c r="E206" t="s">
        <v>569</v>
      </c>
      <c r="F206" t="s">
        <v>189</v>
      </c>
      <c r="G206" t="s">
        <v>111</v>
      </c>
      <c r="H206" t="s">
        <v>113</v>
      </c>
      <c r="I206" t="s">
        <v>112</v>
      </c>
      <c r="J206" t="s">
        <v>114</v>
      </c>
      <c r="K206" t="s">
        <v>116</v>
      </c>
      <c r="L206" t="s">
        <v>116</v>
      </c>
    </row>
    <row r="207" spans="1:12" x14ac:dyDescent="0.3">
      <c r="A207" t="s">
        <v>731</v>
      </c>
      <c r="B207" t="s">
        <v>732</v>
      </c>
      <c r="C207" t="s">
        <v>733</v>
      </c>
      <c r="D207" t="s">
        <v>220</v>
      </c>
      <c r="E207" t="s">
        <v>569</v>
      </c>
      <c r="F207" t="s">
        <v>54</v>
      </c>
      <c r="G207" t="s">
        <v>111</v>
      </c>
      <c r="H207" t="s">
        <v>113</v>
      </c>
      <c r="I207" t="s">
        <v>112</v>
      </c>
      <c r="J207" t="s">
        <v>114</v>
      </c>
      <c r="K207" t="s">
        <v>1528</v>
      </c>
      <c r="L207" t="s">
        <v>1528</v>
      </c>
    </row>
    <row r="208" spans="1:12" x14ac:dyDescent="0.3">
      <c r="A208" t="s">
        <v>731</v>
      </c>
      <c r="B208" t="s">
        <v>732</v>
      </c>
      <c r="C208" t="s">
        <v>733</v>
      </c>
      <c r="D208" t="s">
        <v>308</v>
      </c>
      <c r="E208" t="s">
        <v>569</v>
      </c>
      <c r="F208" t="s">
        <v>190</v>
      </c>
      <c r="G208" t="s">
        <v>111</v>
      </c>
      <c r="H208" t="s">
        <v>113</v>
      </c>
      <c r="I208" t="s">
        <v>112</v>
      </c>
      <c r="J208" t="s">
        <v>114</v>
      </c>
      <c r="K208" t="s">
        <v>116</v>
      </c>
      <c r="L208" t="s">
        <v>116</v>
      </c>
    </row>
    <row r="209" spans="1:12" x14ac:dyDescent="0.3">
      <c r="A209" t="s">
        <v>731</v>
      </c>
      <c r="B209" t="s">
        <v>732</v>
      </c>
      <c r="C209" t="s">
        <v>733</v>
      </c>
      <c r="D209" t="s">
        <v>222</v>
      </c>
      <c r="E209" t="s">
        <v>569</v>
      </c>
      <c r="F209" t="s">
        <v>124</v>
      </c>
      <c r="G209" t="s">
        <v>111</v>
      </c>
      <c r="H209" t="s">
        <v>113</v>
      </c>
      <c r="I209" t="s">
        <v>112</v>
      </c>
      <c r="J209" t="s">
        <v>114</v>
      </c>
      <c r="K209" t="s">
        <v>116</v>
      </c>
      <c r="L209" t="s">
        <v>116</v>
      </c>
    </row>
    <row r="210" spans="1:12" x14ac:dyDescent="0.3">
      <c r="A210" t="s">
        <v>731</v>
      </c>
      <c r="B210" t="s">
        <v>732</v>
      </c>
      <c r="C210" t="s">
        <v>733</v>
      </c>
      <c r="D210" t="s">
        <v>223</v>
      </c>
      <c r="E210" t="s">
        <v>569</v>
      </c>
      <c r="F210" t="s">
        <v>65</v>
      </c>
      <c r="G210" t="s">
        <v>111</v>
      </c>
      <c r="H210" t="s">
        <v>113</v>
      </c>
      <c r="I210" t="s">
        <v>112</v>
      </c>
      <c r="J210" t="s">
        <v>114</v>
      </c>
      <c r="K210" t="s">
        <v>116</v>
      </c>
      <c r="L210" t="s">
        <v>116</v>
      </c>
    </row>
    <row r="211" spans="1:12" x14ac:dyDescent="0.3">
      <c r="A211" t="s">
        <v>731</v>
      </c>
      <c r="B211" t="s">
        <v>732</v>
      </c>
      <c r="C211" t="s">
        <v>733</v>
      </c>
      <c r="D211" t="s">
        <v>224</v>
      </c>
      <c r="E211" t="s">
        <v>569</v>
      </c>
      <c r="F211" t="s">
        <v>125</v>
      </c>
      <c r="G211" t="s">
        <v>111</v>
      </c>
      <c r="H211" t="s">
        <v>113</v>
      </c>
      <c r="I211" t="s">
        <v>112</v>
      </c>
      <c r="J211" t="s">
        <v>114</v>
      </c>
      <c r="K211" t="s">
        <v>116</v>
      </c>
      <c r="L211" t="s">
        <v>116</v>
      </c>
    </row>
    <row r="212" spans="1:12" x14ac:dyDescent="0.3">
      <c r="A212" t="s">
        <v>731</v>
      </c>
      <c r="B212" t="s">
        <v>732</v>
      </c>
      <c r="C212" t="s">
        <v>733</v>
      </c>
      <c r="D212" t="s">
        <v>225</v>
      </c>
      <c r="E212" t="s">
        <v>569</v>
      </c>
      <c r="F212" t="s">
        <v>126</v>
      </c>
      <c r="G212" t="s">
        <v>111</v>
      </c>
      <c r="H212" t="s">
        <v>113</v>
      </c>
      <c r="I212" t="s">
        <v>112</v>
      </c>
      <c r="J212" t="s">
        <v>114</v>
      </c>
      <c r="K212" t="s">
        <v>116</v>
      </c>
      <c r="L212" t="s">
        <v>116</v>
      </c>
    </row>
    <row r="213" spans="1:12" x14ac:dyDescent="0.3">
      <c r="A213" t="s">
        <v>731</v>
      </c>
      <c r="B213" t="s">
        <v>732</v>
      </c>
      <c r="C213" t="s">
        <v>733</v>
      </c>
      <c r="D213" t="s">
        <v>226</v>
      </c>
      <c r="E213" t="s">
        <v>569</v>
      </c>
      <c r="F213" t="s">
        <v>80</v>
      </c>
      <c r="G213" t="s">
        <v>111</v>
      </c>
      <c r="H213" t="s">
        <v>113</v>
      </c>
      <c r="I213" t="s">
        <v>112</v>
      </c>
      <c r="J213" t="s">
        <v>114</v>
      </c>
      <c r="K213" t="s">
        <v>116</v>
      </c>
      <c r="L213" t="s">
        <v>116</v>
      </c>
    </row>
    <row r="214" spans="1:12" x14ac:dyDescent="0.3">
      <c r="A214" t="s">
        <v>731</v>
      </c>
      <c r="B214" t="s">
        <v>732</v>
      </c>
      <c r="C214" t="s">
        <v>733</v>
      </c>
      <c r="D214" t="s">
        <v>227</v>
      </c>
      <c r="E214" t="s">
        <v>569</v>
      </c>
      <c r="F214" t="s">
        <v>192</v>
      </c>
      <c r="G214" t="s">
        <v>111</v>
      </c>
      <c r="H214" t="s">
        <v>113</v>
      </c>
      <c r="I214" t="s">
        <v>112</v>
      </c>
      <c r="J214" t="s">
        <v>114</v>
      </c>
      <c r="K214" t="s">
        <v>116</v>
      </c>
      <c r="L214" t="s">
        <v>116</v>
      </c>
    </row>
    <row r="215" spans="1:12" x14ac:dyDescent="0.3">
      <c r="A215" t="s">
        <v>731</v>
      </c>
      <c r="B215" t="s">
        <v>732</v>
      </c>
      <c r="C215" t="s">
        <v>733</v>
      </c>
      <c r="D215" t="s">
        <v>228</v>
      </c>
      <c r="E215" t="s">
        <v>569</v>
      </c>
      <c r="F215" t="s">
        <v>167</v>
      </c>
      <c r="G215" t="s">
        <v>111</v>
      </c>
      <c r="H215" t="s">
        <v>113</v>
      </c>
      <c r="I215" t="s">
        <v>112</v>
      </c>
      <c r="J215" t="s">
        <v>114</v>
      </c>
      <c r="K215" t="s">
        <v>116</v>
      </c>
      <c r="L215" t="s">
        <v>116</v>
      </c>
    </row>
    <row r="216" spans="1:12" x14ac:dyDescent="0.3">
      <c r="A216" t="s">
        <v>731</v>
      </c>
      <c r="B216" t="s">
        <v>732</v>
      </c>
      <c r="C216" t="s">
        <v>733</v>
      </c>
      <c r="D216" t="s">
        <v>229</v>
      </c>
      <c r="E216" t="s">
        <v>569</v>
      </c>
      <c r="F216" t="s">
        <v>127</v>
      </c>
      <c r="G216" t="s">
        <v>111</v>
      </c>
      <c r="H216" t="s">
        <v>113</v>
      </c>
      <c r="I216" t="s">
        <v>112</v>
      </c>
      <c r="J216" t="s">
        <v>114</v>
      </c>
      <c r="K216" t="s">
        <v>116</v>
      </c>
      <c r="L216" t="s">
        <v>116</v>
      </c>
    </row>
    <row r="217" spans="1:12" x14ac:dyDescent="0.3">
      <c r="A217" t="s">
        <v>731</v>
      </c>
      <c r="B217" t="s">
        <v>732</v>
      </c>
      <c r="C217" t="s">
        <v>733</v>
      </c>
      <c r="D217" t="s">
        <v>230</v>
      </c>
      <c r="E217" t="s">
        <v>569</v>
      </c>
      <c r="F217" t="s">
        <v>168</v>
      </c>
      <c r="G217" t="s">
        <v>111</v>
      </c>
      <c r="H217" t="s">
        <v>113</v>
      </c>
      <c r="I217" t="s">
        <v>112</v>
      </c>
      <c r="J217" t="s">
        <v>114</v>
      </c>
      <c r="K217" t="s">
        <v>116</v>
      </c>
      <c r="L217" t="s">
        <v>116</v>
      </c>
    </row>
    <row r="218" spans="1:12" x14ac:dyDescent="0.3">
      <c r="A218" t="s">
        <v>731</v>
      </c>
      <c r="B218" t="s">
        <v>732</v>
      </c>
      <c r="C218" t="s">
        <v>733</v>
      </c>
      <c r="D218" t="s">
        <v>311</v>
      </c>
      <c r="E218" t="s">
        <v>569</v>
      </c>
      <c r="F218" t="s">
        <v>89</v>
      </c>
      <c r="G218" t="s">
        <v>111</v>
      </c>
      <c r="H218" t="s">
        <v>113</v>
      </c>
      <c r="I218" t="s">
        <v>112</v>
      </c>
      <c r="J218" t="s">
        <v>114</v>
      </c>
      <c r="K218" t="s">
        <v>116</v>
      </c>
      <c r="L218" t="s">
        <v>116</v>
      </c>
    </row>
    <row r="219" spans="1:12" x14ac:dyDescent="0.3">
      <c r="A219" t="s">
        <v>731</v>
      </c>
      <c r="B219" t="s">
        <v>732</v>
      </c>
      <c r="C219" t="s">
        <v>733</v>
      </c>
      <c r="D219" t="s">
        <v>231</v>
      </c>
      <c r="E219" t="s">
        <v>569</v>
      </c>
      <c r="F219" t="s">
        <v>66</v>
      </c>
      <c r="G219" t="s">
        <v>111</v>
      </c>
      <c r="H219" t="s">
        <v>113</v>
      </c>
      <c r="I219" t="s">
        <v>112</v>
      </c>
      <c r="J219" t="s">
        <v>114</v>
      </c>
      <c r="K219" t="s">
        <v>116</v>
      </c>
      <c r="L219" t="s">
        <v>116</v>
      </c>
    </row>
    <row r="220" spans="1:12" x14ac:dyDescent="0.3">
      <c r="A220" t="s">
        <v>731</v>
      </c>
      <c r="B220" t="s">
        <v>732</v>
      </c>
      <c r="C220" t="s">
        <v>733</v>
      </c>
      <c r="D220" t="s">
        <v>232</v>
      </c>
      <c r="E220" t="s">
        <v>569</v>
      </c>
      <c r="F220" t="s">
        <v>169</v>
      </c>
      <c r="G220" t="s">
        <v>111</v>
      </c>
      <c r="H220" t="s">
        <v>113</v>
      </c>
      <c r="I220" t="s">
        <v>112</v>
      </c>
      <c r="J220" t="s">
        <v>114</v>
      </c>
      <c r="K220" t="s">
        <v>116</v>
      </c>
      <c r="L220" t="s">
        <v>116</v>
      </c>
    </row>
    <row r="221" spans="1:12" x14ac:dyDescent="0.3">
      <c r="A221" t="s">
        <v>731</v>
      </c>
      <c r="B221" t="s">
        <v>732</v>
      </c>
      <c r="C221" t="s">
        <v>733</v>
      </c>
      <c r="D221" t="s">
        <v>312</v>
      </c>
      <c r="E221" t="s">
        <v>569</v>
      </c>
      <c r="F221" t="s">
        <v>129</v>
      </c>
      <c r="G221" t="s">
        <v>111</v>
      </c>
      <c r="H221" t="s">
        <v>113</v>
      </c>
      <c r="I221" t="s">
        <v>112</v>
      </c>
      <c r="J221" t="s">
        <v>114</v>
      </c>
      <c r="K221" t="s">
        <v>116</v>
      </c>
      <c r="L221" t="s">
        <v>116</v>
      </c>
    </row>
    <row r="222" spans="1:12" x14ac:dyDescent="0.3">
      <c r="A222" t="s">
        <v>731</v>
      </c>
      <c r="B222" t="s">
        <v>732</v>
      </c>
      <c r="C222" t="s">
        <v>733</v>
      </c>
      <c r="D222" t="s">
        <v>313</v>
      </c>
      <c r="E222" t="s">
        <v>569</v>
      </c>
      <c r="F222" t="s">
        <v>68</v>
      </c>
      <c r="G222" t="s">
        <v>111</v>
      </c>
      <c r="H222" t="s">
        <v>113</v>
      </c>
      <c r="I222" t="s">
        <v>112</v>
      </c>
      <c r="J222" t="s">
        <v>114</v>
      </c>
      <c r="K222" t="s">
        <v>116</v>
      </c>
      <c r="L222" t="s">
        <v>116</v>
      </c>
    </row>
    <row r="223" spans="1:12" x14ac:dyDescent="0.3">
      <c r="A223" t="s">
        <v>731</v>
      </c>
      <c r="B223" t="s">
        <v>732</v>
      </c>
      <c r="C223" t="s">
        <v>733</v>
      </c>
      <c r="D223" t="s">
        <v>314</v>
      </c>
      <c r="E223" t="s">
        <v>569</v>
      </c>
      <c r="F223" t="s">
        <v>61</v>
      </c>
      <c r="G223" t="s">
        <v>111</v>
      </c>
      <c r="H223" t="s">
        <v>113</v>
      </c>
      <c r="I223" t="s">
        <v>112</v>
      </c>
      <c r="J223" t="s">
        <v>114</v>
      </c>
      <c r="K223" t="s">
        <v>116</v>
      </c>
      <c r="L223" t="s">
        <v>116</v>
      </c>
    </row>
    <row r="224" spans="1:12" x14ac:dyDescent="0.3">
      <c r="A224" t="s">
        <v>731</v>
      </c>
      <c r="B224" t="s">
        <v>732</v>
      </c>
      <c r="C224" t="s">
        <v>733</v>
      </c>
      <c r="D224" t="s">
        <v>236</v>
      </c>
      <c r="E224" t="s">
        <v>569</v>
      </c>
      <c r="F224" t="s">
        <v>87</v>
      </c>
      <c r="G224" t="s">
        <v>111</v>
      </c>
      <c r="H224" t="s">
        <v>113</v>
      </c>
      <c r="I224" t="s">
        <v>112</v>
      </c>
      <c r="J224" t="s">
        <v>114</v>
      </c>
      <c r="K224" t="s">
        <v>116</v>
      </c>
      <c r="L224" t="s">
        <v>116</v>
      </c>
    </row>
    <row r="225" spans="1:12" x14ac:dyDescent="0.3">
      <c r="A225" t="s">
        <v>731</v>
      </c>
      <c r="B225" t="s">
        <v>732</v>
      </c>
      <c r="C225" t="s">
        <v>733</v>
      </c>
      <c r="D225" t="s">
        <v>237</v>
      </c>
      <c r="E225" t="s">
        <v>569</v>
      </c>
      <c r="F225" t="s">
        <v>130</v>
      </c>
      <c r="G225" t="s">
        <v>111</v>
      </c>
      <c r="H225" t="s">
        <v>118</v>
      </c>
      <c r="I225" t="s">
        <v>112</v>
      </c>
      <c r="J225" t="s">
        <v>119</v>
      </c>
      <c r="K225" t="s">
        <v>116</v>
      </c>
      <c r="L225" t="s">
        <v>116</v>
      </c>
    </row>
    <row r="226" spans="1:12" x14ac:dyDescent="0.3">
      <c r="A226" t="s">
        <v>731</v>
      </c>
      <c r="B226" t="s">
        <v>732</v>
      </c>
      <c r="C226" t="s">
        <v>733</v>
      </c>
      <c r="D226" t="s">
        <v>316</v>
      </c>
      <c r="E226" t="s">
        <v>568</v>
      </c>
      <c r="F226" t="s">
        <v>132</v>
      </c>
      <c r="G226" t="s">
        <v>111</v>
      </c>
      <c r="H226" t="s">
        <v>113</v>
      </c>
      <c r="I226" t="s">
        <v>112</v>
      </c>
      <c r="J226" t="s">
        <v>114</v>
      </c>
      <c r="K226" t="s">
        <v>116</v>
      </c>
      <c r="L226" t="s">
        <v>116</v>
      </c>
    </row>
    <row r="227" spans="1:12" x14ac:dyDescent="0.3">
      <c r="A227" t="s">
        <v>731</v>
      </c>
      <c r="B227" t="s">
        <v>732</v>
      </c>
      <c r="C227" t="s">
        <v>733</v>
      </c>
      <c r="D227" t="s">
        <v>317</v>
      </c>
      <c r="E227" t="s">
        <v>568</v>
      </c>
      <c r="F227" t="s">
        <v>133</v>
      </c>
      <c r="G227" t="s">
        <v>111</v>
      </c>
      <c r="H227" t="s">
        <v>113</v>
      </c>
      <c r="I227" t="s">
        <v>112</v>
      </c>
      <c r="J227" t="s">
        <v>114</v>
      </c>
      <c r="K227" t="s">
        <v>116</v>
      </c>
      <c r="L227" t="s">
        <v>116</v>
      </c>
    </row>
    <row r="228" spans="1:12" x14ac:dyDescent="0.3">
      <c r="A228" t="s">
        <v>731</v>
      </c>
      <c r="B228" t="s">
        <v>732</v>
      </c>
      <c r="C228" t="s">
        <v>733</v>
      </c>
      <c r="D228" t="s">
        <v>240</v>
      </c>
      <c r="E228" t="s">
        <v>568</v>
      </c>
      <c r="F228" t="s">
        <v>134</v>
      </c>
      <c r="G228" t="s">
        <v>111</v>
      </c>
      <c r="H228" t="s">
        <v>113</v>
      </c>
      <c r="I228" t="s">
        <v>112</v>
      </c>
      <c r="J228" t="s">
        <v>114</v>
      </c>
      <c r="K228" t="s">
        <v>116</v>
      </c>
      <c r="L228" t="s">
        <v>116</v>
      </c>
    </row>
    <row r="229" spans="1:12" x14ac:dyDescent="0.3">
      <c r="A229" t="s">
        <v>731</v>
      </c>
      <c r="B229" t="s">
        <v>732</v>
      </c>
      <c r="C229" t="s">
        <v>733</v>
      </c>
      <c r="D229" t="s">
        <v>241</v>
      </c>
      <c r="E229" t="s">
        <v>568</v>
      </c>
      <c r="F229" t="s">
        <v>51</v>
      </c>
      <c r="G229" t="s">
        <v>111</v>
      </c>
      <c r="H229" t="s">
        <v>113</v>
      </c>
      <c r="I229" t="s">
        <v>112</v>
      </c>
      <c r="J229" t="s">
        <v>114</v>
      </c>
      <c r="K229" t="s">
        <v>116</v>
      </c>
      <c r="L229" t="s">
        <v>116</v>
      </c>
    </row>
    <row r="230" spans="1:12" x14ac:dyDescent="0.3">
      <c r="A230" t="s">
        <v>731</v>
      </c>
      <c r="B230" t="s">
        <v>732</v>
      </c>
      <c r="C230" t="s">
        <v>733</v>
      </c>
      <c r="D230" t="s">
        <v>242</v>
      </c>
      <c r="E230" t="s">
        <v>568</v>
      </c>
      <c r="F230" t="s">
        <v>163</v>
      </c>
      <c r="G230" t="s">
        <v>111</v>
      </c>
      <c r="H230" t="s">
        <v>113</v>
      </c>
      <c r="I230" t="s">
        <v>112</v>
      </c>
      <c r="J230" t="s">
        <v>114</v>
      </c>
      <c r="K230" t="s">
        <v>116</v>
      </c>
      <c r="L230" t="s">
        <v>116</v>
      </c>
    </row>
    <row r="231" spans="1:12" x14ac:dyDescent="0.3">
      <c r="A231" t="s">
        <v>731</v>
      </c>
      <c r="B231" t="s">
        <v>732</v>
      </c>
      <c r="C231" t="s">
        <v>733</v>
      </c>
      <c r="D231" t="s">
        <v>243</v>
      </c>
      <c r="E231" t="s">
        <v>568</v>
      </c>
      <c r="F231" t="s">
        <v>170</v>
      </c>
      <c r="G231" t="s">
        <v>111</v>
      </c>
      <c r="H231" t="s">
        <v>113</v>
      </c>
      <c r="I231" t="s">
        <v>112</v>
      </c>
      <c r="J231" t="s">
        <v>114</v>
      </c>
      <c r="K231" t="s">
        <v>116</v>
      </c>
      <c r="L231" t="s">
        <v>116</v>
      </c>
    </row>
    <row r="232" spans="1:12" x14ac:dyDescent="0.3">
      <c r="A232" t="s">
        <v>731</v>
      </c>
      <c r="B232" t="s">
        <v>732</v>
      </c>
      <c r="C232" t="s">
        <v>733</v>
      </c>
      <c r="D232" t="s">
        <v>244</v>
      </c>
      <c r="E232" t="s">
        <v>568</v>
      </c>
      <c r="F232" t="s">
        <v>78</v>
      </c>
      <c r="G232" t="s">
        <v>111</v>
      </c>
      <c r="H232" t="s">
        <v>113</v>
      </c>
      <c r="I232" t="s">
        <v>112</v>
      </c>
      <c r="J232" t="s">
        <v>114</v>
      </c>
      <c r="K232" t="s">
        <v>116</v>
      </c>
      <c r="L232" t="s">
        <v>116</v>
      </c>
    </row>
    <row r="233" spans="1:12" x14ac:dyDescent="0.3">
      <c r="A233" t="s">
        <v>731</v>
      </c>
      <c r="B233" t="s">
        <v>732</v>
      </c>
      <c r="C233" t="s">
        <v>733</v>
      </c>
      <c r="D233" t="s">
        <v>246</v>
      </c>
      <c r="E233" t="s">
        <v>568</v>
      </c>
      <c r="F233" t="s">
        <v>135</v>
      </c>
      <c r="G233" t="s">
        <v>111</v>
      </c>
      <c r="H233" t="s">
        <v>113</v>
      </c>
      <c r="I233" t="s">
        <v>112</v>
      </c>
      <c r="J233" t="s">
        <v>114</v>
      </c>
      <c r="K233" t="s">
        <v>116</v>
      </c>
      <c r="L233" t="s">
        <v>116</v>
      </c>
    </row>
    <row r="234" spans="1:12" x14ac:dyDescent="0.3">
      <c r="A234" t="s">
        <v>731</v>
      </c>
      <c r="B234" t="s">
        <v>732</v>
      </c>
      <c r="C234" t="s">
        <v>733</v>
      </c>
      <c r="D234" t="s">
        <v>319</v>
      </c>
      <c r="E234" t="s">
        <v>568</v>
      </c>
      <c r="F234" t="s">
        <v>136</v>
      </c>
      <c r="G234" t="s">
        <v>111</v>
      </c>
      <c r="H234" t="s">
        <v>113</v>
      </c>
      <c r="I234" t="s">
        <v>112</v>
      </c>
      <c r="J234" t="s">
        <v>114</v>
      </c>
      <c r="K234" t="s">
        <v>116</v>
      </c>
      <c r="L234" t="s">
        <v>116</v>
      </c>
    </row>
    <row r="235" spans="1:12" x14ac:dyDescent="0.3">
      <c r="A235" t="s">
        <v>731</v>
      </c>
      <c r="B235" t="s">
        <v>732</v>
      </c>
      <c r="C235" t="s">
        <v>733</v>
      </c>
      <c r="D235" t="s">
        <v>247</v>
      </c>
      <c r="E235" t="s">
        <v>568</v>
      </c>
      <c r="F235" t="s">
        <v>60</v>
      </c>
      <c r="G235" t="s">
        <v>111</v>
      </c>
      <c r="H235" t="s">
        <v>113</v>
      </c>
      <c r="I235" t="s">
        <v>112</v>
      </c>
      <c r="J235" t="s">
        <v>114</v>
      </c>
      <c r="K235" t="s">
        <v>116</v>
      </c>
      <c r="L235" t="s">
        <v>116</v>
      </c>
    </row>
    <row r="236" spans="1:12" x14ac:dyDescent="0.3">
      <c r="A236" t="s">
        <v>731</v>
      </c>
      <c r="B236" t="s">
        <v>732</v>
      </c>
      <c r="C236" t="s">
        <v>733</v>
      </c>
      <c r="D236" t="s">
        <v>250</v>
      </c>
      <c r="E236" t="s">
        <v>568</v>
      </c>
      <c r="F236" t="s">
        <v>70</v>
      </c>
      <c r="G236" t="s">
        <v>111</v>
      </c>
      <c r="H236" t="s">
        <v>113</v>
      </c>
      <c r="I236" t="s">
        <v>112</v>
      </c>
      <c r="J236" t="s">
        <v>114</v>
      </c>
      <c r="K236" t="s">
        <v>116</v>
      </c>
      <c r="L236" t="s">
        <v>116</v>
      </c>
    </row>
    <row r="237" spans="1:12" x14ac:dyDescent="0.3">
      <c r="A237" t="s">
        <v>731</v>
      </c>
      <c r="B237" t="s">
        <v>732</v>
      </c>
      <c r="C237" t="s">
        <v>733</v>
      </c>
      <c r="D237" t="s">
        <v>251</v>
      </c>
      <c r="E237" t="s">
        <v>568</v>
      </c>
      <c r="F237" t="s">
        <v>48</v>
      </c>
      <c r="G237" t="s">
        <v>111</v>
      </c>
      <c r="H237" t="s">
        <v>113</v>
      </c>
      <c r="I237" t="s">
        <v>112</v>
      </c>
      <c r="J237" t="s">
        <v>114</v>
      </c>
      <c r="K237" t="s">
        <v>116</v>
      </c>
      <c r="L237" t="s">
        <v>116</v>
      </c>
    </row>
    <row r="238" spans="1:12" x14ac:dyDescent="0.3">
      <c r="A238" t="s">
        <v>731</v>
      </c>
      <c r="B238" t="s">
        <v>732</v>
      </c>
      <c r="C238" t="s">
        <v>733</v>
      </c>
      <c r="D238" t="s">
        <v>252</v>
      </c>
      <c r="E238" t="s">
        <v>568</v>
      </c>
      <c r="F238" t="s">
        <v>138</v>
      </c>
      <c r="G238" t="s">
        <v>111</v>
      </c>
      <c r="H238" t="s">
        <v>113</v>
      </c>
      <c r="I238" t="s">
        <v>112</v>
      </c>
      <c r="J238" t="s">
        <v>114</v>
      </c>
      <c r="K238" t="s">
        <v>116</v>
      </c>
      <c r="L238" t="s">
        <v>116</v>
      </c>
    </row>
    <row r="239" spans="1:12" x14ac:dyDescent="0.3">
      <c r="A239" t="s">
        <v>731</v>
      </c>
      <c r="B239" t="s">
        <v>732</v>
      </c>
      <c r="C239" t="s">
        <v>733</v>
      </c>
      <c r="D239" t="s">
        <v>253</v>
      </c>
      <c r="E239" t="s">
        <v>568</v>
      </c>
      <c r="F239" t="s">
        <v>95</v>
      </c>
      <c r="G239" t="s">
        <v>111</v>
      </c>
      <c r="H239" t="s">
        <v>113</v>
      </c>
      <c r="I239" t="s">
        <v>112</v>
      </c>
      <c r="J239" t="s">
        <v>114</v>
      </c>
      <c r="K239" t="s">
        <v>116</v>
      </c>
      <c r="L239" t="s">
        <v>116</v>
      </c>
    </row>
    <row r="240" spans="1:12" x14ac:dyDescent="0.3">
      <c r="A240" t="s">
        <v>731</v>
      </c>
      <c r="B240" t="s">
        <v>732</v>
      </c>
      <c r="C240" t="s">
        <v>733</v>
      </c>
      <c r="D240" t="s">
        <v>254</v>
      </c>
      <c r="E240" t="s">
        <v>568</v>
      </c>
      <c r="F240" t="s">
        <v>139</v>
      </c>
      <c r="G240" t="s">
        <v>111</v>
      </c>
      <c r="H240" t="s">
        <v>118</v>
      </c>
      <c r="I240" t="s">
        <v>112</v>
      </c>
      <c r="J240" t="s">
        <v>119</v>
      </c>
      <c r="K240" t="s">
        <v>116</v>
      </c>
      <c r="L240" t="s">
        <v>116</v>
      </c>
    </row>
    <row r="241" spans="1:12" x14ac:dyDescent="0.3">
      <c r="A241" t="s">
        <v>731</v>
      </c>
      <c r="B241" t="s">
        <v>732</v>
      </c>
      <c r="C241" t="s">
        <v>733</v>
      </c>
      <c r="D241" t="s">
        <v>255</v>
      </c>
      <c r="E241" t="s">
        <v>568</v>
      </c>
      <c r="F241" t="s">
        <v>171</v>
      </c>
      <c r="G241" t="s">
        <v>111</v>
      </c>
      <c r="H241" t="s">
        <v>118</v>
      </c>
      <c r="I241" t="s">
        <v>112</v>
      </c>
      <c r="J241" t="s">
        <v>119</v>
      </c>
      <c r="K241" t="s">
        <v>116</v>
      </c>
      <c r="L241" t="s">
        <v>116</v>
      </c>
    </row>
    <row r="242" spans="1:12" x14ac:dyDescent="0.3">
      <c r="A242" t="s">
        <v>731</v>
      </c>
      <c r="B242" t="s">
        <v>732</v>
      </c>
      <c r="C242" t="s">
        <v>733</v>
      </c>
      <c r="D242" t="s">
        <v>320</v>
      </c>
      <c r="E242" t="s">
        <v>568</v>
      </c>
      <c r="F242" t="s">
        <v>172</v>
      </c>
      <c r="G242" t="s">
        <v>111</v>
      </c>
      <c r="H242" t="s">
        <v>113</v>
      </c>
      <c r="I242" t="s">
        <v>112</v>
      </c>
      <c r="J242" t="s">
        <v>114</v>
      </c>
      <c r="K242" t="s">
        <v>116</v>
      </c>
      <c r="L242" t="s">
        <v>116</v>
      </c>
    </row>
    <row r="243" spans="1:12" x14ac:dyDescent="0.3">
      <c r="A243" t="s">
        <v>731</v>
      </c>
      <c r="B243" t="s">
        <v>732</v>
      </c>
      <c r="C243" t="s">
        <v>733</v>
      </c>
      <c r="D243" t="s">
        <v>256</v>
      </c>
      <c r="E243" t="s">
        <v>568</v>
      </c>
      <c r="F243" t="s">
        <v>57</v>
      </c>
      <c r="G243" t="s">
        <v>111</v>
      </c>
      <c r="H243" t="s">
        <v>113</v>
      </c>
      <c r="I243" t="s">
        <v>112</v>
      </c>
      <c r="J243" t="s">
        <v>114</v>
      </c>
      <c r="K243" t="s">
        <v>116</v>
      </c>
      <c r="L243" t="s">
        <v>116</v>
      </c>
    </row>
    <row r="244" spans="1:12" x14ac:dyDescent="0.3">
      <c r="A244" t="s">
        <v>731</v>
      </c>
      <c r="B244" t="s">
        <v>732</v>
      </c>
      <c r="C244" t="s">
        <v>733</v>
      </c>
      <c r="D244" t="s">
        <v>322</v>
      </c>
      <c r="E244" t="s">
        <v>568</v>
      </c>
      <c r="F244" t="s">
        <v>173</v>
      </c>
      <c r="G244" t="s">
        <v>111</v>
      </c>
      <c r="H244" t="s">
        <v>113</v>
      </c>
      <c r="I244" t="s">
        <v>112</v>
      </c>
      <c r="J244" t="s">
        <v>114</v>
      </c>
      <c r="K244" t="s">
        <v>116</v>
      </c>
      <c r="L244" t="s">
        <v>116</v>
      </c>
    </row>
    <row r="245" spans="1:12" x14ac:dyDescent="0.3">
      <c r="A245" t="s">
        <v>731</v>
      </c>
      <c r="B245" t="s">
        <v>732</v>
      </c>
      <c r="C245" t="s">
        <v>733</v>
      </c>
      <c r="D245" t="s">
        <v>257</v>
      </c>
      <c r="E245" t="s">
        <v>568</v>
      </c>
      <c r="F245" t="s">
        <v>174</v>
      </c>
      <c r="G245" t="s">
        <v>111</v>
      </c>
      <c r="H245" t="s">
        <v>113</v>
      </c>
      <c r="I245" t="s">
        <v>112</v>
      </c>
      <c r="J245" t="s">
        <v>114</v>
      </c>
      <c r="K245" t="s">
        <v>116</v>
      </c>
      <c r="L245" t="s">
        <v>116</v>
      </c>
    </row>
    <row r="246" spans="1:12" x14ac:dyDescent="0.3">
      <c r="A246" t="s">
        <v>731</v>
      </c>
      <c r="B246" t="s">
        <v>732</v>
      </c>
      <c r="C246" t="s">
        <v>733</v>
      </c>
      <c r="D246" t="s">
        <v>258</v>
      </c>
      <c r="E246" t="s">
        <v>568</v>
      </c>
      <c r="F246" t="s">
        <v>88</v>
      </c>
      <c r="G246" t="s">
        <v>111</v>
      </c>
      <c r="H246" t="s">
        <v>113</v>
      </c>
      <c r="I246" t="s">
        <v>112</v>
      </c>
      <c r="J246" t="s">
        <v>114</v>
      </c>
      <c r="K246" t="s">
        <v>116</v>
      </c>
      <c r="L246" t="s">
        <v>116</v>
      </c>
    </row>
    <row r="247" spans="1:12" x14ac:dyDescent="0.3">
      <c r="A247" t="s">
        <v>731</v>
      </c>
      <c r="B247" t="s">
        <v>732</v>
      </c>
      <c r="C247" t="s">
        <v>733</v>
      </c>
      <c r="D247" t="s">
        <v>323</v>
      </c>
      <c r="E247" t="s">
        <v>568</v>
      </c>
      <c r="F247" t="s">
        <v>74</v>
      </c>
      <c r="G247" t="s">
        <v>111</v>
      </c>
      <c r="H247" t="s">
        <v>113</v>
      </c>
      <c r="I247" t="s">
        <v>112</v>
      </c>
      <c r="J247" t="s">
        <v>114</v>
      </c>
      <c r="K247" t="s">
        <v>116</v>
      </c>
      <c r="L247" t="s">
        <v>116</v>
      </c>
    </row>
    <row r="248" spans="1:12" x14ac:dyDescent="0.3">
      <c r="A248" t="s">
        <v>731</v>
      </c>
      <c r="B248" t="s">
        <v>732</v>
      </c>
      <c r="C248" t="s">
        <v>733</v>
      </c>
      <c r="D248" t="s">
        <v>324</v>
      </c>
      <c r="E248" t="s">
        <v>568</v>
      </c>
      <c r="F248" t="s">
        <v>102</v>
      </c>
      <c r="G248" t="s">
        <v>111</v>
      </c>
      <c r="H248" t="s">
        <v>113</v>
      </c>
      <c r="I248" t="s">
        <v>112</v>
      </c>
      <c r="J248" t="s">
        <v>114</v>
      </c>
      <c r="K248" t="s">
        <v>116</v>
      </c>
      <c r="L248" t="s">
        <v>116</v>
      </c>
    </row>
    <row r="249" spans="1:12" x14ac:dyDescent="0.3">
      <c r="A249" t="s">
        <v>731</v>
      </c>
      <c r="B249" t="s">
        <v>732</v>
      </c>
      <c r="C249" t="s">
        <v>733</v>
      </c>
      <c r="D249" t="s">
        <v>260</v>
      </c>
      <c r="E249" t="s">
        <v>568</v>
      </c>
      <c r="F249" t="s">
        <v>140</v>
      </c>
      <c r="G249" t="s">
        <v>111</v>
      </c>
      <c r="H249" t="s">
        <v>113</v>
      </c>
      <c r="I249" t="s">
        <v>112</v>
      </c>
      <c r="J249" t="s">
        <v>114</v>
      </c>
      <c r="K249" t="s">
        <v>116</v>
      </c>
      <c r="L249" t="s">
        <v>116</v>
      </c>
    </row>
    <row r="250" spans="1:12" x14ac:dyDescent="0.3">
      <c r="A250" t="s">
        <v>731</v>
      </c>
      <c r="B250" t="s">
        <v>732</v>
      </c>
      <c r="C250" t="s">
        <v>733</v>
      </c>
      <c r="D250" t="s">
        <v>325</v>
      </c>
      <c r="E250" t="s">
        <v>568</v>
      </c>
      <c r="F250" t="s">
        <v>46</v>
      </c>
      <c r="G250" t="s">
        <v>111</v>
      </c>
      <c r="H250" t="s">
        <v>113</v>
      </c>
      <c r="I250" t="s">
        <v>112</v>
      </c>
      <c r="J250" t="s">
        <v>114</v>
      </c>
      <c r="K250" t="s">
        <v>116</v>
      </c>
      <c r="L250" t="s">
        <v>116</v>
      </c>
    </row>
    <row r="251" spans="1:12" x14ac:dyDescent="0.3">
      <c r="A251" t="s">
        <v>731</v>
      </c>
      <c r="B251" t="s">
        <v>732</v>
      </c>
      <c r="C251" t="s">
        <v>733</v>
      </c>
      <c r="D251" t="s">
        <v>262</v>
      </c>
      <c r="E251" t="s">
        <v>568</v>
      </c>
      <c r="F251" t="s">
        <v>202</v>
      </c>
      <c r="G251" t="s">
        <v>111</v>
      </c>
      <c r="H251" t="s">
        <v>113</v>
      </c>
      <c r="I251" t="s">
        <v>112</v>
      </c>
      <c r="J251" t="s">
        <v>114</v>
      </c>
      <c r="K251" t="s">
        <v>116</v>
      </c>
      <c r="L251" t="s">
        <v>116</v>
      </c>
    </row>
    <row r="252" spans="1:12" x14ac:dyDescent="0.3">
      <c r="A252" t="s">
        <v>731</v>
      </c>
      <c r="B252" t="s">
        <v>732</v>
      </c>
      <c r="C252" t="s">
        <v>733</v>
      </c>
      <c r="D252" t="s">
        <v>263</v>
      </c>
      <c r="E252" t="s">
        <v>568</v>
      </c>
      <c r="F252" t="s">
        <v>141</v>
      </c>
      <c r="G252" t="s">
        <v>111</v>
      </c>
      <c r="H252" t="s">
        <v>113</v>
      </c>
      <c r="I252" t="s">
        <v>112</v>
      </c>
      <c r="J252" t="s">
        <v>114</v>
      </c>
      <c r="K252" t="s">
        <v>116</v>
      </c>
      <c r="L252" t="s">
        <v>116</v>
      </c>
    </row>
    <row r="253" spans="1:12" x14ac:dyDescent="0.3">
      <c r="A253" t="s">
        <v>731</v>
      </c>
      <c r="B253" t="s">
        <v>732</v>
      </c>
      <c r="C253" t="s">
        <v>733</v>
      </c>
      <c r="D253" t="s">
        <v>265</v>
      </c>
      <c r="E253" t="s">
        <v>568</v>
      </c>
      <c r="F253" t="s">
        <v>142</v>
      </c>
      <c r="G253" t="s">
        <v>111</v>
      </c>
      <c r="H253" t="s">
        <v>113</v>
      </c>
      <c r="I253" t="s">
        <v>112</v>
      </c>
      <c r="J253" t="s">
        <v>114</v>
      </c>
      <c r="K253" t="s">
        <v>116</v>
      </c>
      <c r="L253" t="s">
        <v>116</v>
      </c>
    </row>
    <row r="254" spans="1:12" x14ac:dyDescent="0.3">
      <c r="A254" t="s">
        <v>731</v>
      </c>
      <c r="B254" t="s">
        <v>732</v>
      </c>
      <c r="C254" t="s">
        <v>733</v>
      </c>
      <c r="D254" t="s">
        <v>266</v>
      </c>
      <c r="E254" t="s">
        <v>568</v>
      </c>
      <c r="F254" t="s">
        <v>75</v>
      </c>
      <c r="G254" t="s">
        <v>111</v>
      </c>
      <c r="H254" t="s">
        <v>113</v>
      </c>
      <c r="I254" t="s">
        <v>112</v>
      </c>
      <c r="J254" t="s">
        <v>114</v>
      </c>
      <c r="K254" t="s">
        <v>116</v>
      </c>
      <c r="L254" t="s">
        <v>116</v>
      </c>
    </row>
    <row r="255" spans="1:12" x14ac:dyDescent="0.3">
      <c r="A255" t="s">
        <v>731</v>
      </c>
      <c r="B255" t="s">
        <v>732</v>
      </c>
      <c r="C255" t="s">
        <v>733</v>
      </c>
      <c r="D255" t="s">
        <v>326</v>
      </c>
      <c r="E255" t="s">
        <v>568</v>
      </c>
      <c r="F255" t="s">
        <v>144</v>
      </c>
      <c r="G255" t="s">
        <v>111</v>
      </c>
      <c r="H255" t="s">
        <v>113</v>
      </c>
      <c r="I255" t="s">
        <v>112</v>
      </c>
      <c r="J255" t="s">
        <v>114</v>
      </c>
      <c r="K255" t="s">
        <v>116</v>
      </c>
      <c r="L255" t="s">
        <v>116</v>
      </c>
    </row>
    <row r="256" spans="1:12" x14ac:dyDescent="0.3">
      <c r="A256" t="s">
        <v>731</v>
      </c>
      <c r="B256" t="s">
        <v>732</v>
      </c>
      <c r="C256" t="s">
        <v>733</v>
      </c>
      <c r="D256" t="s">
        <v>268</v>
      </c>
      <c r="E256" t="s">
        <v>568</v>
      </c>
      <c r="F256" t="s">
        <v>194</v>
      </c>
      <c r="G256" t="s">
        <v>111</v>
      </c>
      <c r="H256" t="s">
        <v>113</v>
      </c>
      <c r="I256" t="s">
        <v>112</v>
      </c>
      <c r="J256" t="s">
        <v>114</v>
      </c>
      <c r="K256" t="s">
        <v>116</v>
      </c>
      <c r="L256" t="s">
        <v>116</v>
      </c>
    </row>
    <row r="257" spans="1:12" x14ac:dyDescent="0.3">
      <c r="A257" t="s">
        <v>731</v>
      </c>
      <c r="B257" t="s">
        <v>732</v>
      </c>
      <c r="C257" t="s">
        <v>733</v>
      </c>
      <c r="D257" t="s">
        <v>270</v>
      </c>
      <c r="E257" t="s">
        <v>568</v>
      </c>
      <c r="F257" t="s">
        <v>81</v>
      </c>
      <c r="G257" t="s">
        <v>111</v>
      </c>
      <c r="H257" t="s">
        <v>113</v>
      </c>
      <c r="I257" t="s">
        <v>112</v>
      </c>
      <c r="J257" t="s">
        <v>114</v>
      </c>
      <c r="K257" t="s">
        <v>116</v>
      </c>
      <c r="L257" t="s">
        <v>116</v>
      </c>
    </row>
    <row r="258" spans="1:12" x14ac:dyDescent="0.3">
      <c r="A258" t="s">
        <v>731</v>
      </c>
      <c r="B258" t="s">
        <v>732</v>
      </c>
      <c r="C258" t="s">
        <v>733</v>
      </c>
      <c r="D258" t="s">
        <v>271</v>
      </c>
      <c r="E258" t="s">
        <v>567</v>
      </c>
      <c r="F258" t="s">
        <v>76</v>
      </c>
      <c r="G258" t="s">
        <v>111</v>
      </c>
      <c r="H258" t="s">
        <v>113</v>
      </c>
      <c r="I258" t="s">
        <v>112</v>
      </c>
      <c r="J258" t="s">
        <v>114</v>
      </c>
      <c r="K258" t="s">
        <v>116</v>
      </c>
      <c r="L258" t="s">
        <v>116</v>
      </c>
    </row>
    <row r="259" spans="1:12" x14ac:dyDescent="0.3">
      <c r="A259" t="s">
        <v>731</v>
      </c>
      <c r="B259" t="s">
        <v>732</v>
      </c>
      <c r="C259" t="s">
        <v>733</v>
      </c>
      <c r="D259" t="s">
        <v>272</v>
      </c>
      <c r="E259" t="s">
        <v>567</v>
      </c>
      <c r="F259" t="s">
        <v>52</v>
      </c>
      <c r="G259" t="s">
        <v>111</v>
      </c>
      <c r="H259" t="s">
        <v>113</v>
      </c>
      <c r="I259" t="s">
        <v>112</v>
      </c>
      <c r="J259" t="s">
        <v>114</v>
      </c>
      <c r="K259" t="s">
        <v>116</v>
      </c>
      <c r="L259" t="s">
        <v>116</v>
      </c>
    </row>
    <row r="260" spans="1:12" x14ac:dyDescent="0.3">
      <c r="A260" t="s">
        <v>731</v>
      </c>
      <c r="B260" t="s">
        <v>732</v>
      </c>
      <c r="C260" t="s">
        <v>733</v>
      </c>
      <c r="D260" t="s">
        <v>275</v>
      </c>
      <c r="E260" t="s">
        <v>567</v>
      </c>
      <c r="F260" t="s">
        <v>148</v>
      </c>
      <c r="G260" t="s">
        <v>111</v>
      </c>
      <c r="H260" t="s">
        <v>118</v>
      </c>
      <c r="I260" t="s">
        <v>112</v>
      </c>
      <c r="J260" t="s">
        <v>119</v>
      </c>
      <c r="K260" t="s">
        <v>116</v>
      </c>
      <c r="L260" t="s">
        <v>116</v>
      </c>
    </row>
    <row r="261" spans="1:12" x14ac:dyDescent="0.3">
      <c r="A261" t="s">
        <v>731</v>
      </c>
      <c r="B261" t="s">
        <v>732</v>
      </c>
      <c r="C261" t="s">
        <v>733</v>
      </c>
      <c r="D261" t="s">
        <v>276</v>
      </c>
      <c r="E261" t="s">
        <v>567</v>
      </c>
      <c r="F261" t="s">
        <v>149</v>
      </c>
      <c r="G261" t="s">
        <v>111</v>
      </c>
      <c r="H261" t="s">
        <v>113</v>
      </c>
      <c r="I261" t="s">
        <v>112</v>
      </c>
      <c r="J261" t="s">
        <v>114</v>
      </c>
      <c r="K261" t="s">
        <v>116</v>
      </c>
      <c r="L261" t="s">
        <v>116</v>
      </c>
    </row>
    <row r="262" spans="1:12" x14ac:dyDescent="0.3">
      <c r="A262" t="s">
        <v>731</v>
      </c>
      <c r="B262" t="s">
        <v>732</v>
      </c>
      <c r="C262" t="s">
        <v>733</v>
      </c>
      <c r="D262" t="s">
        <v>279</v>
      </c>
      <c r="E262" t="s">
        <v>567</v>
      </c>
      <c r="F262" t="s">
        <v>150</v>
      </c>
      <c r="G262" t="s">
        <v>111</v>
      </c>
      <c r="H262" t="s">
        <v>113</v>
      </c>
      <c r="I262" t="s">
        <v>112</v>
      </c>
      <c r="J262" t="s">
        <v>114</v>
      </c>
      <c r="K262" t="s">
        <v>116</v>
      </c>
      <c r="L262" t="s">
        <v>116</v>
      </c>
    </row>
    <row r="263" spans="1:12" x14ac:dyDescent="0.3">
      <c r="A263" t="s">
        <v>731</v>
      </c>
      <c r="B263" t="s">
        <v>732</v>
      </c>
      <c r="C263" t="s">
        <v>733</v>
      </c>
      <c r="D263" t="s">
        <v>280</v>
      </c>
      <c r="E263" t="s">
        <v>567</v>
      </c>
      <c r="F263" t="s">
        <v>71</v>
      </c>
      <c r="G263" t="s">
        <v>111</v>
      </c>
      <c r="H263" t="s">
        <v>113</v>
      </c>
      <c r="I263" t="s">
        <v>112</v>
      </c>
      <c r="J263" t="s">
        <v>114</v>
      </c>
      <c r="K263" t="s">
        <v>116</v>
      </c>
      <c r="L263" t="s">
        <v>116</v>
      </c>
    </row>
    <row r="264" spans="1:12" x14ac:dyDescent="0.3">
      <c r="A264" t="s">
        <v>731</v>
      </c>
      <c r="B264" t="s">
        <v>732</v>
      </c>
      <c r="C264" t="s">
        <v>733</v>
      </c>
      <c r="D264" t="s">
        <v>281</v>
      </c>
      <c r="E264" t="s">
        <v>567</v>
      </c>
      <c r="F264" t="s">
        <v>84</v>
      </c>
      <c r="G264" t="s">
        <v>111</v>
      </c>
      <c r="H264" t="s">
        <v>113</v>
      </c>
      <c r="I264" t="s">
        <v>112</v>
      </c>
      <c r="J264" t="s">
        <v>114</v>
      </c>
      <c r="K264" t="s">
        <v>116</v>
      </c>
      <c r="L264" t="s">
        <v>116</v>
      </c>
    </row>
    <row r="265" spans="1:12" x14ac:dyDescent="0.3">
      <c r="A265" t="s">
        <v>731</v>
      </c>
      <c r="B265" t="s">
        <v>732</v>
      </c>
      <c r="C265" t="s">
        <v>733</v>
      </c>
      <c r="D265" t="s">
        <v>283</v>
      </c>
      <c r="E265" t="s">
        <v>567</v>
      </c>
      <c r="F265" t="s">
        <v>63</v>
      </c>
      <c r="G265" t="s">
        <v>111</v>
      </c>
      <c r="H265" t="s">
        <v>113</v>
      </c>
      <c r="I265" t="s">
        <v>112</v>
      </c>
      <c r="J265" t="s">
        <v>114</v>
      </c>
      <c r="K265" t="s">
        <v>116</v>
      </c>
      <c r="L265" t="s">
        <v>116</v>
      </c>
    </row>
    <row r="266" spans="1:12" x14ac:dyDescent="0.3">
      <c r="A266" t="s">
        <v>731</v>
      </c>
      <c r="B266" t="s">
        <v>732</v>
      </c>
      <c r="C266" t="s">
        <v>733</v>
      </c>
      <c r="D266" t="s">
        <v>284</v>
      </c>
      <c r="E266" t="s">
        <v>567</v>
      </c>
      <c r="F266" t="s">
        <v>151</v>
      </c>
      <c r="G266" t="s">
        <v>111</v>
      </c>
      <c r="H266" t="s">
        <v>113</v>
      </c>
      <c r="I266" t="s">
        <v>112</v>
      </c>
      <c r="J266" t="s">
        <v>114</v>
      </c>
      <c r="K266" t="s">
        <v>116</v>
      </c>
      <c r="L266" t="s">
        <v>116</v>
      </c>
    </row>
    <row r="267" spans="1:12" x14ac:dyDescent="0.3">
      <c r="A267" t="s">
        <v>731</v>
      </c>
      <c r="B267" t="s">
        <v>732</v>
      </c>
      <c r="C267" t="s">
        <v>733</v>
      </c>
      <c r="D267" t="s">
        <v>285</v>
      </c>
      <c r="E267" t="s">
        <v>567</v>
      </c>
      <c r="F267" t="s">
        <v>195</v>
      </c>
      <c r="G267" t="s">
        <v>111</v>
      </c>
      <c r="H267" t="s">
        <v>113</v>
      </c>
      <c r="I267" t="s">
        <v>112</v>
      </c>
      <c r="J267" t="s">
        <v>114</v>
      </c>
      <c r="K267" t="s">
        <v>116</v>
      </c>
      <c r="L267" t="s">
        <v>116</v>
      </c>
    </row>
    <row r="268" spans="1:12" x14ac:dyDescent="0.3">
      <c r="A268" t="s">
        <v>731</v>
      </c>
      <c r="B268" t="s">
        <v>732</v>
      </c>
      <c r="C268" t="s">
        <v>733</v>
      </c>
      <c r="D268" t="s">
        <v>330</v>
      </c>
      <c r="E268" t="s">
        <v>567</v>
      </c>
      <c r="F268" t="s">
        <v>177</v>
      </c>
      <c r="G268" t="s">
        <v>111</v>
      </c>
      <c r="H268" t="s">
        <v>113</v>
      </c>
      <c r="I268" t="s">
        <v>112</v>
      </c>
      <c r="J268" t="s">
        <v>114</v>
      </c>
      <c r="K268" t="s">
        <v>116</v>
      </c>
      <c r="L268" t="s">
        <v>116</v>
      </c>
    </row>
    <row r="269" spans="1:12" x14ac:dyDescent="0.3">
      <c r="A269" t="s">
        <v>731</v>
      </c>
      <c r="B269" t="s">
        <v>732</v>
      </c>
      <c r="C269" t="s">
        <v>733</v>
      </c>
      <c r="D269" t="s">
        <v>331</v>
      </c>
      <c r="E269" t="s">
        <v>567</v>
      </c>
      <c r="F269" t="s">
        <v>91</v>
      </c>
      <c r="G269" t="s">
        <v>111</v>
      </c>
      <c r="H269" t="s">
        <v>113</v>
      </c>
      <c r="I269" t="s">
        <v>112</v>
      </c>
      <c r="J269" t="s">
        <v>114</v>
      </c>
      <c r="K269" t="s">
        <v>116</v>
      </c>
      <c r="L269" t="s">
        <v>116</v>
      </c>
    </row>
    <row r="270" spans="1:12" x14ac:dyDescent="0.3">
      <c r="A270" t="s">
        <v>731</v>
      </c>
      <c r="B270" t="s">
        <v>732</v>
      </c>
      <c r="C270" t="s">
        <v>733</v>
      </c>
      <c r="D270" t="s">
        <v>332</v>
      </c>
      <c r="E270" t="s">
        <v>567</v>
      </c>
      <c r="F270" t="s">
        <v>152</v>
      </c>
      <c r="G270" t="s">
        <v>111</v>
      </c>
      <c r="H270" t="s">
        <v>113</v>
      </c>
      <c r="I270" t="s">
        <v>112</v>
      </c>
      <c r="J270" t="s">
        <v>114</v>
      </c>
      <c r="K270" t="s">
        <v>116</v>
      </c>
      <c r="L270" t="s">
        <v>116</v>
      </c>
    </row>
    <row r="271" spans="1:12" x14ac:dyDescent="0.3">
      <c r="A271" t="s">
        <v>731</v>
      </c>
      <c r="B271" t="s">
        <v>732</v>
      </c>
      <c r="C271" t="s">
        <v>733</v>
      </c>
      <c r="D271" t="s">
        <v>286</v>
      </c>
      <c r="E271" t="s">
        <v>567</v>
      </c>
      <c r="F271" t="s">
        <v>67</v>
      </c>
      <c r="G271" t="s">
        <v>111</v>
      </c>
      <c r="H271" t="s">
        <v>118</v>
      </c>
      <c r="I271" t="s">
        <v>112</v>
      </c>
      <c r="J271" t="s">
        <v>119</v>
      </c>
      <c r="K271" t="s">
        <v>116</v>
      </c>
      <c r="L271" t="s">
        <v>116</v>
      </c>
    </row>
    <row r="272" spans="1:12" x14ac:dyDescent="0.3">
      <c r="A272" t="s">
        <v>731</v>
      </c>
      <c r="B272" t="s">
        <v>732</v>
      </c>
      <c r="C272" t="s">
        <v>733</v>
      </c>
      <c r="D272" t="s">
        <v>287</v>
      </c>
      <c r="E272" t="s">
        <v>567</v>
      </c>
      <c r="F272" t="s">
        <v>196</v>
      </c>
      <c r="G272" t="s">
        <v>111</v>
      </c>
      <c r="H272" t="s">
        <v>113</v>
      </c>
      <c r="I272" t="s">
        <v>112</v>
      </c>
      <c r="J272" t="s">
        <v>114</v>
      </c>
      <c r="K272" t="s">
        <v>116</v>
      </c>
      <c r="L272" t="s">
        <v>116</v>
      </c>
    </row>
    <row r="273" spans="1:12" x14ac:dyDescent="0.3">
      <c r="A273" t="s">
        <v>731</v>
      </c>
      <c r="B273" t="s">
        <v>732</v>
      </c>
      <c r="C273" t="s">
        <v>733</v>
      </c>
      <c r="D273" t="s">
        <v>289</v>
      </c>
      <c r="E273" t="s">
        <v>567</v>
      </c>
      <c r="F273" t="s">
        <v>179</v>
      </c>
      <c r="G273" t="s">
        <v>111</v>
      </c>
      <c r="H273" t="s">
        <v>113</v>
      </c>
      <c r="I273" t="s">
        <v>112</v>
      </c>
      <c r="J273" t="s">
        <v>114</v>
      </c>
      <c r="K273" t="s">
        <v>116</v>
      </c>
      <c r="L273" t="s">
        <v>116</v>
      </c>
    </row>
    <row r="274" spans="1:12" x14ac:dyDescent="0.3">
      <c r="A274" t="s">
        <v>731</v>
      </c>
      <c r="B274" t="s">
        <v>732</v>
      </c>
      <c r="C274" t="s">
        <v>733</v>
      </c>
      <c r="D274" t="s">
        <v>291</v>
      </c>
      <c r="E274" t="s">
        <v>567</v>
      </c>
      <c r="F274" t="s">
        <v>154</v>
      </c>
      <c r="G274" t="s">
        <v>111</v>
      </c>
      <c r="H274" t="s">
        <v>113</v>
      </c>
      <c r="I274" t="s">
        <v>112</v>
      </c>
      <c r="J274" t="s">
        <v>114</v>
      </c>
      <c r="K274" t="s">
        <v>116</v>
      </c>
      <c r="L274" t="s">
        <v>116</v>
      </c>
    </row>
    <row r="275" spans="1:12" x14ac:dyDescent="0.3">
      <c r="A275" t="s">
        <v>731</v>
      </c>
      <c r="B275" t="s">
        <v>732</v>
      </c>
      <c r="C275" t="s">
        <v>733</v>
      </c>
      <c r="D275" t="s">
        <v>293</v>
      </c>
      <c r="E275" t="s">
        <v>567</v>
      </c>
      <c r="F275" t="s">
        <v>72</v>
      </c>
      <c r="G275" t="s">
        <v>111</v>
      </c>
      <c r="H275" t="s">
        <v>113</v>
      </c>
      <c r="I275" t="s">
        <v>112</v>
      </c>
      <c r="J275" t="s">
        <v>114</v>
      </c>
      <c r="K275" t="s">
        <v>116</v>
      </c>
      <c r="L275" t="s">
        <v>116</v>
      </c>
    </row>
    <row r="276" spans="1:12" x14ac:dyDescent="0.3">
      <c r="A276" t="s">
        <v>731</v>
      </c>
      <c r="B276" t="s">
        <v>732</v>
      </c>
      <c r="C276" t="s">
        <v>733</v>
      </c>
      <c r="D276" t="s">
        <v>334</v>
      </c>
      <c r="E276" t="s">
        <v>567</v>
      </c>
      <c r="F276" t="s">
        <v>155</v>
      </c>
      <c r="G276" t="s">
        <v>111</v>
      </c>
      <c r="H276" t="s">
        <v>113</v>
      </c>
      <c r="I276" t="s">
        <v>112</v>
      </c>
      <c r="J276" t="s">
        <v>114</v>
      </c>
      <c r="K276" t="s">
        <v>116</v>
      </c>
      <c r="L276" t="s">
        <v>116</v>
      </c>
    </row>
    <row r="277" spans="1:12" x14ac:dyDescent="0.3">
      <c r="A277" t="s">
        <v>731</v>
      </c>
      <c r="B277" t="s">
        <v>732</v>
      </c>
      <c r="C277" t="s">
        <v>733</v>
      </c>
      <c r="D277" t="s">
        <v>294</v>
      </c>
      <c r="E277" t="s">
        <v>567</v>
      </c>
      <c r="F277" t="s">
        <v>156</v>
      </c>
      <c r="G277" t="s">
        <v>111</v>
      </c>
      <c r="H277" t="s">
        <v>113</v>
      </c>
      <c r="I277" t="s">
        <v>112</v>
      </c>
      <c r="J277" t="s">
        <v>114</v>
      </c>
      <c r="K277" t="s">
        <v>116</v>
      </c>
      <c r="L277" t="s">
        <v>116</v>
      </c>
    </row>
    <row r="278" spans="1:12" x14ac:dyDescent="0.3">
      <c r="A278" t="s">
        <v>731</v>
      </c>
      <c r="B278" t="s">
        <v>732</v>
      </c>
      <c r="C278" t="s">
        <v>733</v>
      </c>
      <c r="D278" t="s">
        <v>295</v>
      </c>
      <c r="E278" t="s">
        <v>567</v>
      </c>
      <c r="F278" t="s">
        <v>103</v>
      </c>
      <c r="G278" t="s">
        <v>111</v>
      </c>
      <c r="H278" t="s">
        <v>113</v>
      </c>
      <c r="I278" t="s">
        <v>112</v>
      </c>
      <c r="J278" t="s">
        <v>114</v>
      </c>
      <c r="K278" t="s">
        <v>116</v>
      </c>
      <c r="L278" t="s">
        <v>116</v>
      </c>
    </row>
    <row r="279" spans="1:12" x14ac:dyDescent="0.3">
      <c r="A279" t="s">
        <v>731</v>
      </c>
      <c r="B279" t="s">
        <v>732</v>
      </c>
      <c r="C279" t="s">
        <v>733</v>
      </c>
      <c r="D279" t="s">
        <v>337</v>
      </c>
      <c r="E279" t="s">
        <v>567</v>
      </c>
      <c r="F279" t="s">
        <v>157</v>
      </c>
      <c r="G279" t="s">
        <v>111</v>
      </c>
      <c r="H279" t="s">
        <v>113</v>
      </c>
      <c r="I279" t="s">
        <v>112</v>
      </c>
      <c r="J279" t="s">
        <v>114</v>
      </c>
      <c r="K279" t="s">
        <v>116</v>
      </c>
      <c r="L279" t="s">
        <v>116</v>
      </c>
    </row>
    <row r="280" spans="1:12" x14ac:dyDescent="0.3">
      <c r="A280" t="s">
        <v>731</v>
      </c>
      <c r="B280" t="s">
        <v>732</v>
      </c>
      <c r="C280" t="s">
        <v>733</v>
      </c>
      <c r="D280" t="s">
        <v>296</v>
      </c>
      <c r="E280" t="s">
        <v>567</v>
      </c>
      <c r="F280" t="s">
        <v>198</v>
      </c>
      <c r="G280" t="s">
        <v>111</v>
      </c>
      <c r="H280" t="s">
        <v>118</v>
      </c>
      <c r="I280" t="s">
        <v>112</v>
      </c>
      <c r="J280" t="s">
        <v>119</v>
      </c>
      <c r="K280" t="s">
        <v>116</v>
      </c>
      <c r="L280" t="s">
        <v>116</v>
      </c>
    </row>
    <row r="281" spans="1:12" x14ac:dyDescent="0.3">
      <c r="A281" t="s">
        <v>731</v>
      </c>
      <c r="B281" t="s">
        <v>732</v>
      </c>
      <c r="C281" t="s">
        <v>733</v>
      </c>
      <c r="D281" t="s">
        <v>297</v>
      </c>
      <c r="E281" t="s">
        <v>567</v>
      </c>
      <c r="F281" t="s">
        <v>180</v>
      </c>
      <c r="G281" t="s">
        <v>111</v>
      </c>
      <c r="H281" t="s">
        <v>113</v>
      </c>
      <c r="I281" t="s">
        <v>112</v>
      </c>
      <c r="J281" t="s">
        <v>114</v>
      </c>
      <c r="K281" t="s">
        <v>116</v>
      </c>
      <c r="L281" t="s">
        <v>116</v>
      </c>
    </row>
    <row r="282" spans="1:12" x14ac:dyDescent="0.3">
      <c r="A282" t="s">
        <v>731</v>
      </c>
      <c r="B282" t="s">
        <v>732</v>
      </c>
      <c r="C282" t="s">
        <v>733</v>
      </c>
      <c r="D282" t="s">
        <v>298</v>
      </c>
      <c r="E282" t="s">
        <v>567</v>
      </c>
      <c r="F282" t="s">
        <v>158</v>
      </c>
      <c r="G282" t="s">
        <v>111</v>
      </c>
      <c r="H282" t="s">
        <v>113</v>
      </c>
      <c r="I282" t="s">
        <v>112</v>
      </c>
      <c r="J282" t="s">
        <v>114</v>
      </c>
      <c r="K282" t="s">
        <v>116</v>
      </c>
      <c r="L282" t="s">
        <v>116</v>
      </c>
    </row>
    <row r="283" spans="1:12" x14ac:dyDescent="0.3">
      <c r="A283" t="s">
        <v>731</v>
      </c>
      <c r="B283" t="s">
        <v>732</v>
      </c>
      <c r="C283" t="s">
        <v>733</v>
      </c>
      <c r="D283" t="s">
        <v>335</v>
      </c>
      <c r="E283" t="s">
        <v>567</v>
      </c>
      <c r="F283" t="s">
        <v>199</v>
      </c>
      <c r="G283" t="s">
        <v>111</v>
      </c>
      <c r="H283" t="s">
        <v>113</v>
      </c>
      <c r="I283" t="s">
        <v>112</v>
      </c>
      <c r="J283" t="s">
        <v>114</v>
      </c>
      <c r="K283" t="s">
        <v>116</v>
      </c>
      <c r="L283" t="s">
        <v>116</v>
      </c>
    </row>
    <row r="284" spans="1:12" x14ac:dyDescent="0.3">
      <c r="A284" t="s">
        <v>731</v>
      </c>
      <c r="B284" t="s">
        <v>732</v>
      </c>
      <c r="C284" t="s">
        <v>733</v>
      </c>
      <c r="D284" t="s">
        <v>336</v>
      </c>
      <c r="E284" t="s">
        <v>567</v>
      </c>
      <c r="F284" t="s">
        <v>159</v>
      </c>
      <c r="G284" t="s">
        <v>111</v>
      </c>
      <c r="H284" t="s">
        <v>118</v>
      </c>
      <c r="I284" t="s">
        <v>112</v>
      </c>
      <c r="J284" t="s">
        <v>119</v>
      </c>
      <c r="K284" t="s">
        <v>116</v>
      </c>
      <c r="L284" t="s">
        <v>116</v>
      </c>
    </row>
    <row r="285" spans="1:12" x14ac:dyDescent="0.3">
      <c r="A285" t="s">
        <v>731</v>
      </c>
      <c r="B285" t="s">
        <v>732</v>
      </c>
      <c r="C285" t="s">
        <v>733</v>
      </c>
      <c r="D285" t="s">
        <v>299</v>
      </c>
      <c r="E285" t="s">
        <v>567</v>
      </c>
      <c r="F285" t="s">
        <v>47</v>
      </c>
      <c r="G285" t="s">
        <v>111</v>
      </c>
      <c r="H285" t="s">
        <v>113</v>
      </c>
      <c r="I285" t="s">
        <v>112</v>
      </c>
      <c r="J285" t="s">
        <v>114</v>
      </c>
      <c r="K285" t="s">
        <v>116</v>
      </c>
      <c r="L285" t="s">
        <v>116</v>
      </c>
    </row>
    <row r="286" spans="1:12" x14ac:dyDescent="0.3">
      <c r="A286" t="s">
        <v>731</v>
      </c>
      <c r="B286" t="s">
        <v>732</v>
      </c>
      <c r="C286" t="s">
        <v>733</v>
      </c>
      <c r="D286" t="s">
        <v>300</v>
      </c>
      <c r="E286" t="s">
        <v>567</v>
      </c>
      <c r="F286" t="s">
        <v>181</v>
      </c>
      <c r="G286" t="s">
        <v>111</v>
      </c>
      <c r="H286" t="s">
        <v>113</v>
      </c>
      <c r="I286" t="s">
        <v>112</v>
      </c>
      <c r="J286" t="s">
        <v>114</v>
      </c>
      <c r="K286" t="s">
        <v>116</v>
      </c>
      <c r="L286" t="s">
        <v>116</v>
      </c>
    </row>
    <row r="287" spans="1:12" x14ac:dyDescent="0.3">
      <c r="A287" t="s">
        <v>731</v>
      </c>
      <c r="B287" t="s">
        <v>732</v>
      </c>
      <c r="C287" t="s">
        <v>733</v>
      </c>
      <c r="D287" t="s">
        <v>301</v>
      </c>
      <c r="E287" t="s">
        <v>567</v>
      </c>
      <c r="F287" t="s">
        <v>73</v>
      </c>
      <c r="G287" t="s">
        <v>111</v>
      </c>
      <c r="H287" t="s">
        <v>113</v>
      </c>
      <c r="I287" t="s">
        <v>112</v>
      </c>
      <c r="J287" t="s">
        <v>114</v>
      </c>
      <c r="K287" t="s">
        <v>116</v>
      </c>
      <c r="L287" t="s">
        <v>116</v>
      </c>
    </row>
    <row r="288" spans="1:12" x14ac:dyDescent="0.3">
      <c r="A288" t="s">
        <v>731</v>
      </c>
      <c r="B288" t="s">
        <v>732</v>
      </c>
      <c r="C288" t="s">
        <v>733</v>
      </c>
      <c r="D288" t="s">
        <v>208</v>
      </c>
      <c r="E288" t="s">
        <v>567</v>
      </c>
      <c r="F288" t="s">
        <v>161</v>
      </c>
      <c r="G288" t="s">
        <v>111</v>
      </c>
      <c r="H288" t="s">
        <v>113</v>
      </c>
      <c r="I288" t="s">
        <v>112</v>
      </c>
      <c r="J288" t="s">
        <v>114</v>
      </c>
      <c r="K288" t="s">
        <v>116</v>
      </c>
      <c r="L288" t="s">
        <v>116</v>
      </c>
    </row>
    <row r="289" spans="1:12" x14ac:dyDescent="0.3">
      <c r="A289" t="s">
        <v>731</v>
      </c>
      <c r="B289" t="s">
        <v>732</v>
      </c>
      <c r="C289" t="s">
        <v>733</v>
      </c>
      <c r="D289" t="s">
        <v>302</v>
      </c>
      <c r="E289" t="s">
        <v>567</v>
      </c>
      <c r="F289" t="s">
        <v>162</v>
      </c>
      <c r="G289" t="s">
        <v>111</v>
      </c>
      <c r="H289" t="s">
        <v>113</v>
      </c>
      <c r="I289" t="s">
        <v>112</v>
      </c>
      <c r="J289" t="s">
        <v>114</v>
      </c>
      <c r="K289" t="s">
        <v>116</v>
      </c>
      <c r="L289" t="s">
        <v>116</v>
      </c>
    </row>
    <row r="290" spans="1:12" x14ac:dyDescent="0.3">
      <c r="A290" t="s">
        <v>1475</v>
      </c>
      <c r="B290" t="s">
        <v>1505</v>
      </c>
      <c r="C290" t="s">
        <v>566</v>
      </c>
      <c r="D290" t="s">
        <v>223</v>
      </c>
      <c r="E290" t="s">
        <v>569</v>
      </c>
      <c r="F290" t="s">
        <v>65</v>
      </c>
      <c r="G290" t="s">
        <v>111</v>
      </c>
      <c r="H290" t="s">
        <v>113</v>
      </c>
      <c r="I290" t="s">
        <v>112</v>
      </c>
      <c r="J290" t="s">
        <v>114</v>
      </c>
      <c r="K290" t="s">
        <v>684</v>
      </c>
      <c r="L290" t="s">
        <v>684</v>
      </c>
    </row>
    <row r="291" spans="1:12" x14ac:dyDescent="0.3">
      <c r="A291" t="s">
        <v>1475</v>
      </c>
      <c r="B291" t="s">
        <v>1505</v>
      </c>
      <c r="C291" t="s">
        <v>566</v>
      </c>
      <c r="D291" t="s">
        <v>229</v>
      </c>
      <c r="E291" t="s">
        <v>569</v>
      </c>
      <c r="F291" t="s">
        <v>127</v>
      </c>
      <c r="G291" t="s">
        <v>111</v>
      </c>
      <c r="H291" t="s">
        <v>113</v>
      </c>
      <c r="I291" t="s">
        <v>112</v>
      </c>
      <c r="J291" t="s">
        <v>114</v>
      </c>
      <c r="K291" t="s">
        <v>684</v>
      </c>
      <c r="L291" t="s">
        <v>684</v>
      </c>
    </row>
    <row r="292" spans="1:12" x14ac:dyDescent="0.3">
      <c r="A292" t="s">
        <v>1475</v>
      </c>
      <c r="B292" t="s">
        <v>732</v>
      </c>
      <c r="C292" t="s">
        <v>733</v>
      </c>
      <c r="D292" t="s">
        <v>303</v>
      </c>
      <c r="E292" t="s">
        <v>569</v>
      </c>
      <c r="F292" t="s">
        <v>49</v>
      </c>
      <c r="G292" t="s">
        <v>111</v>
      </c>
      <c r="H292" t="s">
        <v>160</v>
      </c>
      <c r="I292" t="s">
        <v>112</v>
      </c>
      <c r="J292" t="s">
        <v>114</v>
      </c>
      <c r="K292" t="s">
        <v>1529</v>
      </c>
      <c r="L292" t="s">
        <v>1529</v>
      </c>
    </row>
    <row r="293" spans="1:12" x14ac:dyDescent="0.3">
      <c r="A293" t="s">
        <v>1475</v>
      </c>
      <c r="B293" t="s">
        <v>732</v>
      </c>
      <c r="C293" t="s">
        <v>733</v>
      </c>
      <c r="D293" t="s">
        <v>209</v>
      </c>
      <c r="E293" t="s">
        <v>569</v>
      </c>
      <c r="F293" t="s">
        <v>115</v>
      </c>
      <c r="G293" t="s">
        <v>111</v>
      </c>
      <c r="H293" t="s">
        <v>160</v>
      </c>
      <c r="I293" t="s">
        <v>112</v>
      </c>
      <c r="J293" t="s">
        <v>114</v>
      </c>
      <c r="K293" t="s">
        <v>1529</v>
      </c>
      <c r="L293" t="s">
        <v>1529</v>
      </c>
    </row>
    <row r="294" spans="1:12" x14ac:dyDescent="0.3">
      <c r="A294" t="s">
        <v>1475</v>
      </c>
      <c r="B294" t="s">
        <v>732</v>
      </c>
      <c r="C294" t="s">
        <v>733</v>
      </c>
      <c r="D294" t="s">
        <v>210</v>
      </c>
      <c r="E294" t="s">
        <v>569</v>
      </c>
      <c r="F294" t="s">
        <v>59</v>
      </c>
      <c r="G294" t="s">
        <v>111</v>
      </c>
      <c r="H294" t="s">
        <v>160</v>
      </c>
      <c r="I294" t="s">
        <v>112</v>
      </c>
      <c r="J294" t="s">
        <v>114</v>
      </c>
      <c r="K294" t="s">
        <v>1529</v>
      </c>
      <c r="L294" t="s">
        <v>1529</v>
      </c>
    </row>
    <row r="295" spans="1:12" x14ac:dyDescent="0.3">
      <c r="A295" t="s">
        <v>1475</v>
      </c>
      <c r="B295" t="s">
        <v>732</v>
      </c>
      <c r="C295" t="s">
        <v>733</v>
      </c>
      <c r="D295" t="s">
        <v>304</v>
      </c>
      <c r="E295" t="s">
        <v>569</v>
      </c>
      <c r="F295" t="s">
        <v>117</v>
      </c>
      <c r="G295" t="s">
        <v>111</v>
      </c>
      <c r="H295" t="s">
        <v>160</v>
      </c>
      <c r="I295" t="s">
        <v>112</v>
      </c>
      <c r="J295" t="s">
        <v>114</v>
      </c>
      <c r="K295" t="s">
        <v>1529</v>
      </c>
      <c r="L295" t="s">
        <v>1529</v>
      </c>
    </row>
    <row r="296" spans="1:12" x14ac:dyDescent="0.3">
      <c r="A296" t="s">
        <v>1475</v>
      </c>
      <c r="B296" t="s">
        <v>732</v>
      </c>
      <c r="C296" t="s">
        <v>733</v>
      </c>
      <c r="D296" t="s">
        <v>211</v>
      </c>
      <c r="E296" t="s">
        <v>569</v>
      </c>
      <c r="F296" t="s">
        <v>188</v>
      </c>
      <c r="G296" t="s">
        <v>111</v>
      </c>
      <c r="H296" t="s">
        <v>160</v>
      </c>
      <c r="I296" t="s">
        <v>112</v>
      </c>
      <c r="J296" t="s">
        <v>114</v>
      </c>
      <c r="K296" t="s">
        <v>1529</v>
      </c>
      <c r="L296" t="s">
        <v>1529</v>
      </c>
    </row>
    <row r="297" spans="1:12" x14ac:dyDescent="0.3">
      <c r="A297" t="s">
        <v>1475</v>
      </c>
      <c r="B297" t="s">
        <v>732</v>
      </c>
      <c r="C297" t="s">
        <v>733</v>
      </c>
      <c r="D297" t="s">
        <v>305</v>
      </c>
      <c r="E297" t="s">
        <v>569</v>
      </c>
      <c r="F297" t="s">
        <v>120</v>
      </c>
      <c r="G297" t="s">
        <v>111</v>
      </c>
      <c r="H297" t="s">
        <v>160</v>
      </c>
      <c r="I297" t="s">
        <v>112</v>
      </c>
      <c r="J297" t="s">
        <v>114</v>
      </c>
      <c r="K297" t="s">
        <v>1529</v>
      </c>
      <c r="L297" t="s">
        <v>1529</v>
      </c>
    </row>
    <row r="298" spans="1:12" x14ac:dyDescent="0.3">
      <c r="A298" t="s">
        <v>1475</v>
      </c>
      <c r="B298" t="s">
        <v>732</v>
      </c>
      <c r="C298" t="s">
        <v>733</v>
      </c>
      <c r="D298" t="s">
        <v>212</v>
      </c>
      <c r="E298" t="s">
        <v>569</v>
      </c>
      <c r="F298" t="s">
        <v>164</v>
      </c>
      <c r="G298" t="s">
        <v>111</v>
      </c>
      <c r="H298" t="s">
        <v>160</v>
      </c>
      <c r="I298" t="s">
        <v>112</v>
      </c>
      <c r="J298" t="s">
        <v>114</v>
      </c>
      <c r="K298" t="s">
        <v>1529</v>
      </c>
      <c r="L298" t="s">
        <v>1529</v>
      </c>
    </row>
    <row r="299" spans="1:12" x14ac:dyDescent="0.3">
      <c r="A299" t="s">
        <v>1475</v>
      </c>
      <c r="B299" t="s">
        <v>732</v>
      </c>
      <c r="C299" t="s">
        <v>733</v>
      </c>
      <c r="D299" t="s">
        <v>213</v>
      </c>
      <c r="E299" t="s">
        <v>569</v>
      </c>
      <c r="F299" t="s">
        <v>53</v>
      </c>
      <c r="G299" t="s">
        <v>111</v>
      </c>
      <c r="H299" t="s">
        <v>160</v>
      </c>
      <c r="I299" t="s">
        <v>112</v>
      </c>
      <c r="J299" t="s">
        <v>114</v>
      </c>
      <c r="K299" t="s">
        <v>1529</v>
      </c>
      <c r="L299" t="s">
        <v>1529</v>
      </c>
    </row>
    <row r="300" spans="1:12" x14ac:dyDescent="0.3">
      <c r="A300" t="s">
        <v>1475</v>
      </c>
      <c r="B300" t="s">
        <v>732</v>
      </c>
      <c r="C300" t="s">
        <v>733</v>
      </c>
      <c r="D300" t="s">
        <v>214</v>
      </c>
      <c r="E300" t="s">
        <v>569</v>
      </c>
      <c r="F300" t="s">
        <v>56</v>
      </c>
      <c r="G300" t="s">
        <v>111</v>
      </c>
      <c r="H300" t="s">
        <v>160</v>
      </c>
      <c r="I300" t="s">
        <v>112</v>
      </c>
      <c r="J300" t="s">
        <v>114</v>
      </c>
      <c r="K300" t="s">
        <v>1529</v>
      </c>
      <c r="L300" t="s">
        <v>1529</v>
      </c>
    </row>
    <row r="301" spans="1:12" x14ac:dyDescent="0.3">
      <c r="A301" t="s">
        <v>1475</v>
      </c>
      <c r="B301" t="s">
        <v>732</v>
      </c>
      <c r="C301" t="s">
        <v>733</v>
      </c>
      <c r="D301" t="s">
        <v>215</v>
      </c>
      <c r="E301" t="s">
        <v>569</v>
      </c>
      <c r="F301" t="s">
        <v>69</v>
      </c>
      <c r="G301" t="s">
        <v>111</v>
      </c>
      <c r="H301" t="s">
        <v>160</v>
      </c>
      <c r="I301" t="s">
        <v>112</v>
      </c>
      <c r="J301" t="s">
        <v>114</v>
      </c>
      <c r="K301" t="s">
        <v>1529</v>
      </c>
      <c r="L301" t="s">
        <v>1529</v>
      </c>
    </row>
    <row r="302" spans="1:12" x14ac:dyDescent="0.3">
      <c r="A302" t="s">
        <v>1475</v>
      </c>
      <c r="B302" t="s">
        <v>732</v>
      </c>
      <c r="C302" t="s">
        <v>733</v>
      </c>
      <c r="D302" t="s">
        <v>216</v>
      </c>
      <c r="E302" t="s">
        <v>569</v>
      </c>
      <c r="F302" t="s">
        <v>121</v>
      </c>
      <c r="G302" t="s">
        <v>111</v>
      </c>
      <c r="H302" t="s">
        <v>160</v>
      </c>
      <c r="I302" t="s">
        <v>112</v>
      </c>
      <c r="J302" t="s">
        <v>114</v>
      </c>
      <c r="K302" t="s">
        <v>1529</v>
      </c>
      <c r="L302" t="s">
        <v>1529</v>
      </c>
    </row>
    <row r="303" spans="1:12" x14ac:dyDescent="0.3">
      <c r="A303" t="s">
        <v>1475</v>
      </c>
      <c r="B303" t="s">
        <v>732</v>
      </c>
      <c r="C303" t="s">
        <v>733</v>
      </c>
      <c r="D303" t="s">
        <v>218</v>
      </c>
      <c r="E303" t="s">
        <v>569</v>
      </c>
      <c r="F303" t="s">
        <v>166</v>
      </c>
      <c r="G303" t="s">
        <v>111</v>
      </c>
      <c r="H303" t="s">
        <v>160</v>
      </c>
      <c r="I303" t="s">
        <v>112</v>
      </c>
      <c r="J303" t="s">
        <v>114</v>
      </c>
      <c r="K303" t="s">
        <v>1529</v>
      </c>
      <c r="L303" t="s">
        <v>1529</v>
      </c>
    </row>
    <row r="304" spans="1:12" x14ac:dyDescent="0.3">
      <c r="A304" t="s">
        <v>1475</v>
      </c>
      <c r="B304" t="s">
        <v>732</v>
      </c>
      <c r="C304" t="s">
        <v>733</v>
      </c>
      <c r="D304" t="s">
        <v>219</v>
      </c>
      <c r="E304" t="s">
        <v>569</v>
      </c>
      <c r="F304" t="s">
        <v>189</v>
      </c>
      <c r="G304" t="s">
        <v>111</v>
      </c>
      <c r="H304" t="s">
        <v>160</v>
      </c>
      <c r="I304" t="s">
        <v>112</v>
      </c>
      <c r="J304" t="s">
        <v>114</v>
      </c>
      <c r="K304" t="s">
        <v>1529</v>
      </c>
      <c r="L304" t="s">
        <v>1529</v>
      </c>
    </row>
    <row r="305" spans="1:12" x14ac:dyDescent="0.3">
      <c r="A305" t="s">
        <v>1475</v>
      </c>
      <c r="B305" t="s">
        <v>732</v>
      </c>
      <c r="C305" t="s">
        <v>733</v>
      </c>
      <c r="D305" t="s">
        <v>220</v>
      </c>
      <c r="E305" t="s">
        <v>569</v>
      </c>
      <c r="F305" t="s">
        <v>54</v>
      </c>
      <c r="G305" t="s">
        <v>111</v>
      </c>
      <c r="H305" t="s">
        <v>160</v>
      </c>
      <c r="I305" t="s">
        <v>112</v>
      </c>
      <c r="J305" t="s">
        <v>114</v>
      </c>
      <c r="K305" t="s">
        <v>1529</v>
      </c>
      <c r="L305" t="s">
        <v>1529</v>
      </c>
    </row>
    <row r="306" spans="1:12" x14ac:dyDescent="0.3">
      <c r="A306" t="s">
        <v>1475</v>
      </c>
      <c r="B306" t="s">
        <v>732</v>
      </c>
      <c r="C306" t="s">
        <v>733</v>
      </c>
      <c r="D306" t="s">
        <v>222</v>
      </c>
      <c r="E306" t="s">
        <v>569</v>
      </c>
      <c r="F306" t="s">
        <v>124</v>
      </c>
      <c r="G306" t="s">
        <v>111</v>
      </c>
      <c r="H306" t="s">
        <v>160</v>
      </c>
      <c r="I306" t="s">
        <v>112</v>
      </c>
      <c r="J306" t="s">
        <v>114</v>
      </c>
      <c r="K306" t="s">
        <v>1529</v>
      </c>
      <c r="L306" t="s">
        <v>1529</v>
      </c>
    </row>
    <row r="307" spans="1:12" x14ac:dyDescent="0.3">
      <c r="A307" t="s">
        <v>1475</v>
      </c>
      <c r="B307" t="s">
        <v>732</v>
      </c>
      <c r="C307" t="s">
        <v>733</v>
      </c>
      <c r="D307" t="s">
        <v>223</v>
      </c>
      <c r="E307" t="s">
        <v>569</v>
      </c>
      <c r="F307" t="s">
        <v>65</v>
      </c>
      <c r="G307" t="s">
        <v>111</v>
      </c>
      <c r="H307" t="s">
        <v>160</v>
      </c>
      <c r="I307" t="s">
        <v>112</v>
      </c>
      <c r="J307" t="s">
        <v>114</v>
      </c>
      <c r="K307" t="s">
        <v>1529</v>
      </c>
      <c r="L307" t="s">
        <v>1529</v>
      </c>
    </row>
    <row r="308" spans="1:12" x14ac:dyDescent="0.3">
      <c r="A308" t="s">
        <v>1475</v>
      </c>
      <c r="B308" t="s">
        <v>732</v>
      </c>
      <c r="C308" t="s">
        <v>733</v>
      </c>
      <c r="D308" t="s">
        <v>224</v>
      </c>
      <c r="E308" t="s">
        <v>569</v>
      </c>
      <c r="F308" t="s">
        <v>125</v>
      </c>
      <c r="G308" t="s">
        <v>111</v>
      </c>
      <c r="H308" t="s">
        <v>160</v>
      </c>
      <c r="I308" t="s">
        <v>112</v>
      </c>
      <c r="J308" t="s">
        <v>114</v>
      </c>
      <c r="K308" t="s">
        <v>1529</v>
      </c>
      <c r="L308" t="s">
        <v>1529</v>
      </c>
    </row>
    <row r="309" spans="1:12" x14ac:dyDescent="0.3">
      <c r="A309" t="s">
        <v>1475</v>
      </c>
      <c r="B309" t="s">
        <v>732</v>
      </c>
      <c r="C309" t="s">
        <v>733</v>
      </c>
      <c r="D309" t="s">
        <v>226</v>
      </c>
      <c r="E309" t="s">
        <v>569</v>
      </c>
      <c r="F309" t="s">
        <v>80</v>
      </c>
      <c r="G309" t="s">
        <v>111</v>
      </c>
      <c r="H309" t="s">
        <v>160</v>
      </c>
      <c r="I309" t="s">
        <v>112</v>
      </c>
      <c r="J309" t="s">
        <v>114</v>
      </c>
      <c r="K309" t="s">
        <v>1529</v>
      </c>
      <c r="L309" t="s">
        <v>1529</v>
      </c>
    </row>
    <row r="310" spans="1:12" x14ac:dyDescent="0.3">
      <c r="A310" t="s">
        <v>1475</v>
      </c>
      <c r="B310" t="s">
        <v>732</v>
      </c>
      <c r="C310" t="s">
        <v>733</v>
      </c>
      <c r="D310" t="s">
        <v>227</v>
      </c>
      <c r="E310" t="s">
        <v>569</v>
      </c>
      <c r="F310" t="s">
        <v>192</v>
      </c>
      <c r="G310" t="s">
        <v>111</v>
      </c>
      <c r="H310" t="s">
        <v>160</v>
      </c>
      <c r="I310" t="s">
        <v>112</v>
      </c>
      <c r="J310" t="s">
        <v>114</v>
      </c>
      <c r="K310" t="s">
        <v>1529</v>
      </c>
      <c r="L310" t="s">
        <v>1529</v>
      </c>
    </row>
    <row r="311" spans="1:12" x14ac:dyDescent="0.3">
      <c r="A311" t="s">
        <v>1475</v>
      </c>
      <c r="B311" t="s">
        <v>732</v>
      </c>
      <c r="C311" t="s">
        <v>733</v>
      </c>
      <c r="D311" t="s">
        <v>229</v>
      </c>
      <c r="E311" t="s">
        <v>569</v>
      </c>
      <c r="F311" t="s">
        <v>127</v>
      </c>
      <c r="G311" t="s">
        <v>111</v>
      </c>
      <c r="H311" t="s">
        <v>160</v>
      </c>
      <c r="I311" t="s">
        <v>112</v>
      </c>
      <c r="J311" t="s">
        <v>114</v>
      </c>
      <c r="K311" t="s">
        <v>1529</v>
      </c>
      <c r="L311" t="s">
        <v>1529</v>
      </c>
    </row>
    <row r="312" spans="1:12" x14ac:dyDescent="0.3">
      <c r="A312" t="s">
        <v>1475</v>
      </c>
      <c r="B312" t="s">
        <v>732</v>
      </c>
      <c r="C312" t="s">
        <v>733</v>
      </c>
      <c r="D312" t="s">
        <v>310</v>
      </c>
      <c r="E312" t="s">
        <v>569</v>
      </c>
      <c r="F312" t="s">
        <v>128</v>
      </c>
      <c r="G312" t="s">
        <v>111</v>
      </c>
      <c r="H312" t="s">
        <v>160</v>
      </c>
      <c r="I312" t="s">
        <v>112</v>
      </c>
      <c r="J312" t="s">
        <v>114</v>
      </c>
      <c r="K312" t="s">
        <v>1529</v>
      </c>
      <c r="L312" t="s">
        <v>1529</v>
      </c>
    </row>
    <row r="313" spans="1:12" x14ac:dyDescent="0.3">
      <c r="A313" t="s">
        <v>1475</v>
      </c>
      <c r="B313" t="s">
        <v>732</v>
      </c>
      <c r="C313" t="s">
        <v>733</v>
      </c>
      <c r="D313" t="s">
        <v>230</v>
      </c>
      <c r="E313" t="s">
        <v>569</v>
      </c>
      <c r="F313" t="s">
        <v>168</v>
      </c>
      <c r="G313" t="s">
        <v>111</v>
      </c>
      <c r="H313" t="s">
        <v>160</v>
      </c>
      <c r="I313" t="s">
        <v>112</v>
      </c>
      <c r="J313" t="s">
        <v>114</v>
      </c>
      <c r="K313" t="s">
        <v>1529</v>
      </c>
      <c r="L313" t="s">
        <v>1529</v>
      </c>
    </row>
    <row r="314" spans="1:12" x14ac:dyDescent="0.3">
      <c r="A314" t="s">
        <v>1475</v>
      </c>
      <c r="B314" t="s">
        <v>732</v>
      </c>
      <c r="C314" t="s">
        <v>733</v>
      </c>
      <c r="D314" t="s">
        <v>311</v>
      </c>
      <c r="E314" t="s">
        <v>569</v>
      </c>
      <c r="F314" t="s">
        <v>89</v>
      </c>
      <c r="G314" t="s">
        <v>111</v>
      </c>
      <c r="H314" t="s">
        <v>160</v>
      </c>
      <c r="I314" t="s">
        <v>112</v>
      </c>
      <c r="J314" t="s">
        <v>114</v>
      </c>
      <c r="K314" t="s">
        <v>1529</v>
      </c>
      <c r="L314" t="s">
        <v>1529</v>
      </c>
    </row>
    <row r="315" spans="1:12" x14ac:dyDescent="0.3">
      <c r="A315" t="s">
        <v>1475</v>
      </c>
      <c r="B315" t="s">
        <v>732</v>
      </c>
      <c r="C315" t="s">
        <v>733</v>
      </c>
      <c r="D315" t="s">
        <v>231</v>
      </c>
      <c r="E315" t="s">
        <v>569</v>
      </c>
      <c r="F315" t="s">
        <v>66</v>
      </c>
      <c r="G315" t="s">
        <v>111</v>
      </c>
      <c r="H315" t="s">
        <v>204</v>
      </c>
      <c r="I315" t="s">
        <v>112</v>
      </c>
      <c r="J315" t="s">
        <v>205</v>
      </c>
      <c r="K315" t="s">
        <v>1530</v>
      </c>
      <c r="L315" t="s">
        <v>1530</v>
      </c>
    </row>
    <row r="316" spans="1:12" x14ac:dyDescent="0.3">
      <c r="A316" t="s">
        <v>1475</v>
      </c>
      <c r="B316" t="s">
        <v>732</v>
      </c>
      <c r="C316" t="s">
        <v>733</v>
      </c>
      <c r="D316" t="s">
        <v>232</v>
      </c>
      <c r="E316" t="s">
        <v>569</v>
      </c>
      <c r="F316" t="s">
        <v>169</v>
      </c>
      <c r="G316" t="s">
        <v>111</v>
      </c>
      <c r="H316" t="s">
        <v>160</v>
      </c>
      <c r="I316" t="s">
        <v>112</v>
      </c>
      <c r="J316" t="s">
        <v>114</v>
      </c>
      <c r="K316" t="s">
        <v>1529</v>
      </c>
      <c r="L316" t="s">
        <v>1529</v>
      </c>
    </row>
    <row r="317" spans="1:12" x14ac:dyDescent="0.3">
      <c r="A317" t="s">
        <v>1475</v>
      </c>
      <c r="B317" t="s">
        <v>732</v>
      </c>
      <c r="C317" t="s">
        <v>733</v>
      </c>
      <c r="D317" t="s">
        <v>233</v>
      </c>
      <c r="E317" t="s">
        <v>569</v>
      </c>
      <c r="F317" t="s">
        <v>110</v>
      </c>
      <c r="G317" t="s">
        <v>111</v>
      </c>
      <c r="H317" t="s">
        <v>160</v>
      </c>
      <c r="I317" t="s">
        <v>112</v>
      </c>
      <c r="J317" t="s">
        <v>114</v>
      </c>
      <c r="K317" t="s">
        <v>1529</v>
      </c>
      <c r="L317" t="s">
        <v>1529</v>
      </c>
    </row>
    <row r="318" spans="1:12" x14ac:dyDescent="0.3">
      <c r="A318" t="s">
        <v>1475</v>
      </c>
      <c r="B318" t="s">
        <v>732</v>
      </c>
      <c r="C318" t="s">
        <v>733</v>
      </c>
      <c r="D318" t="s">
        <v>234</v>
      </c>
      <c r="E318" t="s">
        <v>569</v>
      </c>
      <c r="F318" t="s">
        <v>93</v>
      </c>
      <c r="G318" t="s">
        <v>111</v>
      </c>
      <c r="H318" t="s">
        <v>160</v>
      </c>
      <c r="I318" t="s">
        <v>112</v>
      </c>
      <c r="J318" t="s">
        <v>114</v>
      </c>
      <c r="K318" t="s">
        <v>1529</v>
      </c>
      <c r="L318" t="s">
        <v>1529</v>
      </c>
    </row>
    <row r="319" spans="1:12" x14ac:dyDescent="0.3">
      <c r="A319" t="s">
        <v>1475</v>
      </c>
      <c r="B319" t="s">
        <v>732</v>
      </c>
      <c r="C319" t="s">
        <v>733</v>
      </c>
      <c r="D319" t="s">
        <v>312</v>
      </c>
      <c r="E319" t="s">
        <v>569</v>
      </c>
      <c r="F319" t="s">
        <v>129</v>
      </c>
      <c r="G319" t="s">
        <v>111</v>
      </c>
      <c r="H319" t="s">
        <v>160</v>
      </c>
      <c r="I319" t="s">
        <v>112</v>
      </c>
      <c r="J319" t="s">
        <v>114</v>
      </c>
      <c r="K319" t="s">
        <v>1529</v>
      </c>
      <c r="L319" t="s">
        <v>1529</v>
      </c>
    </row>
    <row r="320" spans="1:12" x14ac:dyDescent="0.3">
      <c r="A320" t="s">
        <v>1475</v>
      </c>
      <c r="B320" t="s">
        <v>732</v>
      </c>
      <c r="C320" t="s">
        <v>733</v>
      </c>
      <c r="D320" t="s">
        <v>313</v>
      </c>
      <c r="E320" t="s">
        <v>569</v>
      </c>
      <c r="F320" t="s">
        <v>68</v>
      </c>
      <c r="G320" t="s">
        <v>111</v>
      </c>
      <c r="H320" t="s">
        <v>160</v>
      </c>
      <c r="I320" t="s">
        <v>112</v>
      </c>
      <c r="J320" t="s">
        <v>114</v>
      </c>
      <c r="K320" t="s">
        <v>1529</v>
      </c>
      <c r="L320" t="s">
        <v>1529</v>
      </c>
    </row>
    <row r="321" spans="1:12" x14ac:dyDescent="0.3">
      <c r="A321" t="s">
        <v>1475</v>
      </c>
      <c r="B321" t="s">
        <v>732</v>
      </c>
      <c r="C321" t="s">
        <v>733</v>
      </c>
      <c r="D321" t="s">
        <v>235</v>
      </c>
      <c r="E321" t="s">
        <v>569</v>
      </c>
      <c r="F321" t="s">
        <v>85</v>
      </c>
      <c r="G321" t="s">
        <v>111</v>
      </c>
      <c r="H321" t="s">
        <v>160</v>
      </c>
      <c r="I321" t="s">
        <v>112</v>
      </c>
      <c r="J321" t="s">
        <v>114</v>
      </c>
      <c r="K321" t="s">
        <v>1529</v>
      </c>
      <c r="L321" t="s">
        <v>1529</v>
      </c>
    </row>
    <row r="322" spans="1:12" x14ac:dyDescent="0.3">
      <c r="A322" t="s">
        <v>1475</v>
      </c>
      <c r="B322" t="s">
        <v>732</v>
      </c>
      <c r="C322" t="s">
        <v>733</v>
      </c>
      <c r="D322" t="s">
        <v>314</v>
      </c>
      <c r="E322" t="s">
        <v>569</v>
      </c>
      <c r="F322" t="s">
        <v>61</v>
      </c>
      <c r="G322" t="s">
        <v>111</v>
      </c>
      <c r="H322" t="s">
        <v>160</v>
      </c>
      <c r="I322" t="s">
        <v>112</v>
      </c>
      <c r="J322" t="s">
        <v>114</v>
      </c>
      <c r="K322" t="s">
        <v>1529</v>
      </c>
      <c r="L322" t="s">
        <v>1529</v>
      </c>
    </row>
    <row r="323" spans="1:12" x14ac:dyDescent="0.3">
      <c r="A323" t="s">
        <v>1475</v>
      </c>
      <c r="B323" t="s">
        <v>732</v>
      </c>
      <c r="C323" t="s">
        <v>733</v>
      </c>
      <c r="D323" t="s">
        <v>237</v>
      </c>
      <c r="E323" t="s">
        <v>569</v>
      </c>
      <c r="F323" t="s">
        <v>130</v>
      </c>
      <c r="G323" t="s">
        <v>111</v>
      </c>
      <c r="H323" t="s">
        <v>160</v>
      </c>
      <c r="I323" t="s">
        <v>112</v>
      </c>
      <c r="J323" t="s">
        <v>114</v>
      </c>
      <c r="K323" t="s">
        <v>1529</v>
      </c>
      <c r="L323" t="s">
        <v>1529</v>
      </c>
    </row>
    <row r="324" spans="1:12" x14ac:dyDescent="0.3">
      <c r="A324" t="s">
        <v>1475</v>
      </c>
      <c r="B324" t="s">
        <v>732</v>
      </c>
      <c r="C324" t="s">
        <v>733</v>
      </c>
      <c r="D324" t="s">
        <v>315</v>
      </c>
      <c r="E324" t="s">
        <v>568</v>
      </c>
      <c r="F324" t="s">
        <v>79</v>
      </c>
      <c r="G324" t="s">
        <v>111</v>
      </c>
      <c r="H324" t="s">
        <v>160</v>
      </c>
      <c r="I324" t="s">
        <v>112</v>
      </c>
      <c r="J324" t="s">
        <v>114</v>
      </c>
      <c r="K324" t="s">
        <v>1529</v>
      </c>
      <c r="L324" t="s">
        <v>1529</v>
      </c>
    </row>
    <row r="325" spans="1:12" x14ac:dyDescent="0.3">
      <c r="A325" t="s">
        <v>1475</v>
      </c>
      <c r="B325" t="s">
        <v>732</v>
      </c>
      <c r="C325" t="s">
        <v>733</v>
      </c>
      <c r="D325" t="s">
        <v>316</v>
      </c>
      <c r="E325" t="s">
        <v>568</v>
      </c>
      <c r="F325" t="s">
        <v>132</v>
      </c>
      <c r="G325" t="s">
        <v>111</v>
      </c>
      <c r="H325" t="s">
        <v>160</v>
      </c>
      <c r="I325" t="s">
        <v>112</v>
      </c>
      <c r="J325" t="s">
        <v>114</v>
      </c>
      <c r="K325" t="s">
        <v>1529</v>
      </c>
      <c r="L325" t="s">
        <v>1529</v>
      </c>
    </row>
    <row r="326" spans="1:12" x14ac:dyDescent="0.3">
      <c r="A326" t="s">
        <v>1475</v>
      </c>
      <c r="B326" t="s">
        <v>732</v>
      </c>
      <c r="C326" t="s">
        <v>733</v>
      </c>
      <c r="D326" t="s">
        <v>318</v>
      </c>
      <c r="E326" t="s">
        <v>568</v>
      </c>
      <c r="F326" t="s">
        <v>193</v>
      </c>
      <c r="G326" t="s">
        <v>111</v>
      </c>
      <c r="H326" t="s">
        <v>160</v>
      </c>
      <c r="I326" t="s">
        <v>112</v>
      </c>
      <c r="J326" t="s">
        <v>114</v>
      </c>
      <c r="K326" t="s">
        <v>1529</v>
      </c>
      <c r="L326" t="s">
        <v>1529</v>
      </c>
    </row>
    <row r="327" spans="1:12" x14ac:dyDescent="0.3">
      <c r="A327" t="s">
        <v>1475</v>
      </c>
      <c r="B327" t="s">
        <v>732</v>
      </c>
      <c r="C327" t="s">
        <v>733</v>
      </c>
      <c r="D327" t="s">
        <v>240</v>
      </c>
      <c r="E327" t="s">
        <v>568</v>
      </c>
      <c r="F327" t="s">
        <v>134</v>
      </c>
      <c r="G327" t="s">
        <v>111</v>
      </c>
      <c r="H327" t="s">
        <v>160</v>
      </c>
      <c r="I327" t="s">
        <v>112</v>
      </c>
      <c r="J327" t="s">
        <v>114</v>
      </c>
      <c r="K327" t="s">
        <v>1529</v>
      </c>
      <c r="L327" t="s">
        <v>1529</v>
      </c>
    </row>
    <row r="328" spans="1:12" x14ac:dyDescent="0.3">
      <c r="A328" t="s">
        <v>1475</v>
      </c>
      <c r="B328" t="s">
        <v>732</v>
      </c>
      <c r="C328" t="s">
        <v>733</v>
      </c>
      <c r="D328" t="s">
        <v>244</v>
      </c>
      <c r="E328" t="s">
        <v>568</v>
      </c>
      <c r="F328" t="s">
        <v>78</v>
      </c>
      <c r="G328" t="s">
        <v>111</v>
      </c>
      <c r="H328" t="s">
        <v>160</v>
      </c>
      <c r="I328" t="s">
        <v>112</v>
      </c>
      <c r="J328" t="s">
        <v>114</v>
      </c>
      <c r="K328" t="s">
        <v>1529</v>
      </c>
      <c r="L328" t="s">
        <v>1529</v>
      </c>
    </row>
    <row r="329" spans="1:12" x14ac:dyDescent="0.3">
      <c r="A329" t="s">
        <v>1475</v>
      </c>
      <c r="B329" t="s">
        <v>732</v>
      </c>
      <c r="C329" t="s">
        <v>733</v>
      </c>
      <c r="D329" t="s">
        <v>245</v>
      </c>
      <c r="E329" t="s">
        <v>568</v>
      </c>
      <c r="F329" t="s">
        <v>82</v>
      </c>
      <c r="G329" t="s">
        <v>111</v>
      </c>
      <c r="H329" t="s">
        <v>160</v>
      </c>
      <c r="I329" t="s">
        <v>112</v>
      </c>
      <c r="J329" t="s">
        <v>114</v>
      </c>
      <c r="K329" t="s">
        <v>1529</v>
      </c>
      <c r="L329" t="s">
        <v>1529</v>
      </c>
    </row>
    <row r="330" spans="1:12" x14ac:dyDescent="0.3">
      <c r="A330" t="s">
        <v>1475</v>
      </c>
      <c r="B330" t="s">
        <v>732</v>
      </c>
      <c r="C330" t="s">
        <v>733</v>
      </c>
      <c r="D330" t="s">
        <v>246</v>
      </c>
      <c r="E330" t="s">
        <v>568</v>
      </c>
      <c r="F330" t="s">
        <v>135</v>
      </c>
      <c r="G330" t="s">
        <v>111</v>
      </c>
      <c r="H330" t="s">
        <v>160</v>
      </c>
      <c r="I330" t="s">
        <v>112</v>
      </c>
      <c r="J330" t="s">
        <v>114</v>
      </c>
      <c r="K330" t="s">
        <v>1529</v>
      </c>
      <c r="L330" t="s">
        <v>1529</v>
      </c>
    </row>
    <row r="331" spans="1:12" x14ac:dyDescent="0.3">
      <c r="A331" t="s">
        <v>1475</v>
      </c>
      <c r="B331" t="s">
        <v>732</v>
      </c>
      <c r="C331" t="s">
        <v>733</v>
      </c>
      <c r="D331" t="s">
        <v>319</v>
      </c>
      <c r="E331" t="s">
        <v>568</v>
      </c>
      <c r="F331" t="s">
        <v>136</v>
      </c>
      <c r="G331" t="s">
        <v>111</v>
      </c>
      <c r="H331" t="s">
        <v>160</v>
      </c>
      <c r="I331" t="s">
        <v>112</v>
      </c>
      <c r="J331" t="s">
        <v>114</v>
      </c>
      <c r="K331" t="s">
        <v>1529</v>
      </c>
      <c r="L331" t="s">
        <v>1529</v>
      </c>
    </row>
    <row r="332" spans="1:12" x14ac:dyDescent="0.3">
      <c r="A332" t="s">
        <v>1475</v>
      </c>
      <c r="B332" t="s">
        <v>732</v>
      </c>
      <c r="C332" t="s">
        <v>733</v>
      </c>
      <c r="D332" t="s">
        <v>247</v>
      </c>
      <c r="E332" t="s">
        <v>568</v>
      </c>
      <c r="F332" t="s">
        <v>60</v>
      </c>
      <c r="G332" t="s">
        <v>111</v>
      </c>
      <c r="H332" t="s">
        <v>160</v>
      </c>
      <c r="I332" t="s">
        <v>112</v>
      </c>
      <c r="J332" t="s">
        <v>114</v>
      </c>
      <c r="K332" t="s">
        <v>1529</v>
      </c>
      <c r="L332" t="s">
        <v>1529</v>
      </c>
    </row>
    <row r="333" spans="1:12" x14ac:dyDescent="0.3">
      <c r="A333" t="s">
        <v>1475</v>
      </c>
      <c r="B333" t="s">
        <v>732</v>
      </c>
      <c r="C333" t="s">
        <v>733</v>
      </c>
      <c r="D333" t="s">
        <v>248</v>
      </c>
      <c r="E333" t="s">
        <v>568</v>
      </c>
      <c r="F333" t="s">
        <v>137</v>
      </c>
      <c r="G333" t="s">
        <v>111</v>
      </c>
      <c r="H333" t="s">
        <v>160</v>
      </c>
      <c r="I333" t="s">
        <v>112</v>
      </c>
      <c r="J333" t="s">
        <v>114</v>
      </c>
      <c r="K333" t="s">
        <v>1529</v>
      </c>
      <c r="L333" t="s">
        <v>1529</v>
      </c>
    </row>
    <row r="334" spans="1:12" x14ac:dyDescent="0.3">
      <c r="A334" t="s">
        <v>1475</v>
      </c>
      <c r="B334" t="s">
        <v>732</v>
      </c>
      <c r="C334" t="s">
        <v>733</v>
      </c>
      <c r="D334" t="s">
        <v>249</v>
      </c>
      <c r="E334" t="s">
        <v>568</v>
      </c>
      <c r="F334" t="s">
        <v>86</v>
      </c>
      <c r="G334" t="s">
        <v>111</v>
      </c>
      <c r="H334" t="s">
        <v>160</v>
      </c>
      <c r="I334" t="s">
        <v>112</v>
      </c>
      <c r="J334" t="s">
        <v>114</v>
      </c>
      <c r="K334" t="s">
        <v>1529</v>
      </c>
      <c r="L334" t="s">
        <v>1529</v>
      </c>
    </row>
    <row r="335" spans="1:12" x14ac:dyDescent="0.3">
      <c r="A335" t="s">
        <v>1475</v>
      </c>
      <c r="B335" t="s">
        <v>732</v>
      </c>
      <c r="C335" t="s">
        <v>733</v>
      </c>
      <c r="D335" t="s">
        <v>250</v>
      </c>
      <c r="E335" t="s">
        <v>568</v>
      </c>
      <c r="F335" t="s">
        <v>70</v>
      </c>
      <c r="G335" t="s">
        <v>111</v>
      </c>
      <c r="H335" t="s">
        <v>160</v>
      </c>
      <c r="I335" t="s">
        <v>112</v>
      </c>
      <c r="J335" t="s">
        <v>114</v>
      </c>
      <c r="K335" t="s">
        <v>1529</v>
      </c>
      <c r="L335" t="s">
        <v>1529</v>
      </c>
    </row>
    <row r="336" spans="1:12" x14ac:dyDescent="0.3">
      <c r="A336" t="s">
        <v>1475</v>
      </c>
      <c r="B336" t="s">
        <v>732</v>
      </c>
      <c r="C336" t="s">
        <v>733</v>
      </c>
      <c r="D336" t="s">
        <v>252</v>
      </c>
      <c r="E336" t="s">
        <v>568</v>
      </c>
      <c r="F336" t="s">
        <v>138</v>
      </c>
      <c r="G336" t="s">
        <v>111</v>
      </c>
      <c r="H336" t="s">
        <v>160</v>
      </c>
      <c r="I336" t="s">
        <v>112</v>
      </c>
      <c r="J336" t="s">
        <v>114</v>
      </c>
      <c r="K336" t="s">
        <v>1529</v>
      </c>
      <c r="L336" t="s">
        <v>1529</v>
      </c>
    </row>
    <row r="337" spans="1:12" x14ac:dyDescent="0.3">
      <c r="A337" t="s">
        <v>1475</v>
      </c>
      <c r="B337" t="s">
        <v>732</v>
      </c>
      <c r="C337" t="s">
        <v>733</v>
      </c>
      <c r="D337" t="s">
        <v>254</v>
      </c>
      <c r="E337" t="s">
        <v>568</v>
      </c>
      <c r="F337" t="s">
        <v>139</v>
      </c>
      <c r="G337" t="s">
        <v>111</v>
      </c>
      <c r="H337" t="s">
        <v>160</v>
      </c>
      <c r="I337" t="s">
        <v>112</v>
      </c>
      <c r="J337" t="s">
        <v>114</v>
      </c>
      <c r="K337" t="s">
        <v>1529</v>
      </c>
      <c r="L337" t="s">
        <v>1529</v>
      </c>
    </row>
    <row r="338" spans="1:12" x14ac:dyDescent="0.3">
      <c r="A338" t="s">
        <v>1475</v>
      </c>
      <c r="B338" t="s">
        <v>732</v>
      </c>
      <c r="C338" t="s">
        <v>733</v>
      </c>
      <c r="D338" t="s">
        <v>207</v>
      </c>
      <c r="E338" t="s">
        <v>568</v>
      </c>
      <c r="F338" t="s">
        <v>62</v>
      </c>
      <c r="G338" t="s">
        <v>111</v>
      </c>
      <c r="H338" t="s">
        <v>160</v>
      </c>
      <c r="I338" t="s">
        <v>112</v>
      </c>
      <c r="J338" t="s">
        <v>114</v>
      </c>
      <c r="K338" t="s">
        <v>1529</v>
      </c>
      <c r="L338" t="s">
        <v>1529</v>
      </c>
    </row>
    <row r="339" spans="1:12" x14ac:dyDescent="0.3">
      <c r="A339" t="s">
        <v>1475</v>
      </c>
      <c r="B339" t="s">
        <v>732</v>
      </c>
      <c r="C339" t="s">
        <v>733</v>
      </c>
      <c r="D339" t="s">
        <v>321</v>
      </c>
      <c r="E339" t="s">
        <v>568</v>
      </c>
      <c r="F339" t="s">
        <v>94</v>
      </c>
      <c r="G339" t="s">
        <v>111</v>
      </c>
      <c r="H339" t="s">
        <v>160</v>
      </c>
      <c r="I339" t="s">
        <v>112</v>
      </c>
      <c r="J339" t="s">
        <v>114</v>
      </c>
      <c r="K339" t="s">
        <v>1529</v>
      </c>
      <c r="L339" t="s">
        <v>1529</v>
      </c>
    </row>
    <row r="340" spans="1:12" x14ac:dyDescent="0.3">
      <c r="A340" t="s">
        <v>1475</v>
      </c>
      <c r="B340" t="s">
        <v>732</v>
      </c>
      <c r="C340" t="s">
        <v>733</v>
      </c>
      <c r="D340" t="s">
        <v>322</v>
      </c>
      <c r="E340" t="s">
        <v>568</v>
      </c>
      <c r="F340" t="s">
        <v>173</v>
      </c>
      <c r="G340" t="s">
        <v>111</v>
      </c>
      <c r="H340" t="s">
        <v>160</v>
      </c>
      <c r="I340" t="s">
        <v>112</v>
      </c>
      <c r="J340" t="s">
        <v>114</v>
      </c>
      <c r="K340" t="s">
        <v>1529</v>
      </c>
      <c r="L340" t="s">
        <v>1529</v>
      </c>
    </row>
    <row r="341" spans="1:12" x14ac:dyDescent="0.3">
      <c r="A341" t="s">
        <v>1475</v>
      </c>
      <c r="B341" t="s">
        <v>732</v>
      </c>
      <c r="C341" t="s">
        <v>733</v>
      </c>
      <c r="D341" t="s">
        <v>258</v>
      </c>
      <c r="E341" t="s">
        <v>568</v>
      </c>
      <c r="F341" t="s">
        <v>88</v>
      </c>
      <c r="G341" t="s">
        <v>111</v>
      </c>
      <c r="H341" t="s">
        <v>160</v>
      </c>
      <c r="I341" t="s">
        <v>112</v>
      </c>
      <c r="J341" t="s">
        <v>114</v>
      </c>
      <c r="K341" t="s">
        <v>1529</v>
      </c>
      <c r="L341" t="s">
        <v>1529</v>
      </c>
    </row>
    <row r="342" spans="1:12" x14ac:dyDescent="0.3">
      <c r="A342" t="s">
        <v>1475</v>
      </c>
      <c r="B342" t="s">
        <v>732</v>
      </c>
      <c r="C342" t="s">
        <v>733</v>
      </c>
      <c r="D342" t="s">
        <v>259</v>
      </c>
      <c r="E342" t="s">
        <v>568</v>
      </c>
      <c r="F342" t="s">
        <v>77</v>
      </c>
      <c r="G342" t="s">
        <v>111</v>
      </c>
      <c r="H342" t="s">
        <v>160</v>
      </c>
      <c r="I342" t="s">
        <v>112</v>
      </c>
      <c r="J342" t="s">
        <v>114</v>
      </c>
      <c r="K342" t="s">
        <v>1529</v>
      </c>
      <c r="L342" t="s">
        <v>1529</v>
      </c>
    </row>
    <row r="343" spans="1:12" x14ac:dyDescent="0.3">
      <c r="A343" t="s">
        <v>1475</v>
      </c>
      <c r="B343" t="s">
        <v>732</v>
      </c>
      <c r="C343" t="s">
        <v>733</v>
      </c>
      <c r="D343" t="s">
        <v>323</v>
      </c>
      <c r="E343" t="s">
        <v>568</v>
      </c>
      <c r="F343" t="s">
        <v>74</v>
      </c>
      <c r="G343" t="s">
        <v>111</v>
      </c>
      <c r="H343" t="s">
        <v>160</v>
      </c>
      <c r="I343" t="s">
        <v>112</v>
      </c>
      <c r="J343" t="s">
        <v>114</v>
      </c>
      <c r="K343" t="s">
        <v>1529</v>
      </c>
      <c r="L343" t="s">
        <v>1529</v>
      </c>
    </row>
    <row r="344" spans="1:12" x14ac:dyDescent="0.3">
      <c r="A344" t="s">
        <v>1475</v>
      </c>
      <c r="B344" t="s">
        <v>732</v>
      </c>
      <c r="C344" t="s">
        <v>733</v>
      </c>
      <c r="D344" t="s">
        <v>324</v>
      </c>
      <c r="E344" t="s">
        <v>568</v>
      </c>
      <c r="F344" t="s">
        <v>102</v>
      </c>
      <c r="G344" t="s">
        <v>111</v>
      </c>
      <c r="H344" t="s">
        <v>160</v>
      </c>
      <c r="I344" t="s">
        <v>112</v>
      </c>
      <c r="J344" t="s">
        <v>114</v>
      </c>
      <c r="K344" t="s">
        <v>1529</v>
      </c>
      <c r="L344" t="s">
        <v>1529</v>
      </c>
    </row>
    <row r="345" spans="1:12" x14ac:dyDescent="0.3">
      <c r="A345" t="s">
        <v>1475</v>
      </c>
      <c r="B345" t="s">
        <v>732</v>
      </c>
      <c r="C345" t="s">
        <v>733</v>
      </c>
      <c r="D345" t="s">
        <v>260</v>
      </c>
      <c r="E345" t="s">
        <v>568</v>
      </c>
      <c r="F345" t="s">
        <v>140</v>
      </c>
      <c r="G345" t="s">
        <v>111</v>
      </c>
      <c r="H345" t="s">
        <v>160</v>
      </c>
      <c r="I345" t="s">
        <v>112</v>
      </c>
      <c r="J345" t="s">
        <v>114</v>
      </c>
      <c r="K345" t="s">
        <v>1529</v>
      </c>
      <c r="L345" t="s">
        <v>1529</v>
      </c>
    </row>
    <row r="346" spans="1:12" x14ac:dyDescent="0.3">
      <c r="A346" t="s">
        <v>1475</v>
      </c>
      <c r="B346" t="s">
        <v>732</v>
      </c>
      <c r="C346" t="s">
        <v>733</v>
      </c>
      <c r="D346" t="s">
        <v>261</v>
      </c>
      <c r="E346" t="s">
        <v>568</v>
      </c>
      <c r="F346" t="s">
        <v>175</v>
      </c>
      <c r="G346" t="s">
        <v>111</v>
      </c>
      <c r="H346" t="s">
        <v>160</v>
      </c>
      <c r="I346" t="s">
        <v>112</v>
      </c>
      <c r="J346" t="s">
        <v>114</v>
      </c>
      <c r="K346" t="s">
        <v>1529</v>
      </c>
      <c r="L346" t="s">
        <v>1529</v>
      </c>
    </row>
    <row r="347" spans="1:12" x14ac:dyDescent="0.3">
      <c r="A347" t="s">
        <v>1475</v>
      </c>
      <c r="B347" t="s">
        <v>732</v>
      </c>
      <c r="C347" t="s">
        <v>733</v>
      </c>
      <c r="D347" t="s">
        <v>325</v>
      </c>
      <c r="E347" t="s">
        <v>568</v>
      </c>
      <c r="F347" t="s">
        <v>46</v>
      </c>
      <c r="G347" t="s">
        <v>111</v>
      </c>
      <c r="H347" t="s">
        <v>160</v>
      </c>
      <c r="I347" t="s">
        <v>112</v>
      </c>
      <c r="J347" t="s">
        <v>114</v>
      </c>
      <c r="K347" t="s">
        <v>1529</v>
      </c>
      <c r="L347" t="s">
        <v>1529</v>
      </c>
    </row>
    <row r="348" spans="1:12" x14ac:dyDescent="0.3">
      <c r="A348" t="s">
        <v>1475</v>
      </c>
      <c r="B348" t="s">
        <v>732</v>
      </c>
      <c r="C348" t="s">
        <v>733</v>
      </c>
      <c r="D348" t="s">
        <v>262</v>
      </c>
      <c r="E348" t="s">
        <v>568</v>
      </c>
      <c r="F348" t="s">
        <v>202</v>
      </c>
      <c r="G348" t="s">
        <v>111</v>
      </c>
      <c r="H348" t="s">
        <v>160</v>
      </c>
      <c r="I348" t="s">
        <v>112</v>
      </c>
      <c r="J348" t="s">
        <v>114</v>
      </c>
      <c r="K348" t="s">
        <v>1529</v>
      </c>
      <c r="L348" t="s">
        <v>1529</v>
      </c>
    </row>
    <row r="349" spans="1:12" x14ac:dyDescent="0.3">
      <c r="A349" t="s">
        <v>1475</v>
      </c>
      <c r="B349" t="s">
        <v>732</v>
      </c>
      <c r="C349" t="s">
        <v>733</v>
      </c>
      <c r="D349" t="s">
        <v>263</v>
      </c>
      <c r="E349" t="s">
        <v>568</v>
      </c>
      <c r="F349" t="s">
        <v>141</v>
      </c>
      <c r="G349" t="s">
        <v>111</v>
      </c>
      <c r="H349" t="s">
        <v>160</v>
      </c>
      <c r="I349" t="s">
        <v>112</v>
      </c>
      <c r="J349" t="s">
        <v>114</v>
      </c>
      <c r="K349" t="s">
        <v>1529</v>
      </c>
      <c r="L349" t="s">
        <v>1529</v>
      </c>
    </row>
    <row r="350" spans="1:12" x14ac:dyDescent="0.3">
      <c r="A350" t="s">
        <v>1475</v>
      </c>
      <c r="B350" t="s">
        <v>732</v>
      </c>
      <c r="C350" t="s">
        <v>733</v>
      </c>
      <c r="D350" t="s">
        <v>265</v>
      </c>
      <c r="E350" t="s">
        <v>568</v>
      </c>
      <c r="F350" t="s">
        <v>142</v>
      </c>
      <c r="G350" t="s">
        <v>111</v>
      </c>
      <c r="H350" t="s">
        <v>160</v>
      </c>
      <c r="I350" t="s">
        <v>112</v>
      </c>
      <c r="J350" t="s">
        <v>114</v>
      </c>
      <c r="K350" t="s">
        <v>1529</v>
      </c>
      <c r="L350" t="s">
        <v>1529</v>
      </c>
    </row>
    <row r="351" spans="1:12" x14ac:dyDescent="0.3">
      <c r="A351" t="s">
        <v>1475</v>
      </c>
      <c r="B351" t="s">
        <v>732</v>
      </c>
      <c r="C351" t="s">
        <v>733</v>
      </c>
      <c r="D351" t="s">
        <v>266</v>
      </c>
      <c r="E351" t="s">
        <v>568</v>
      </c>
      <c r="F351" t="s">
        <v>75</v>
      </c>
      <c r="G351" t="s">
        <v>111</v>
      </c>
      <c r="H351" t="s">
        <v>160</v>
      </c>
      <c r="I351" t="s">
        <v>112</v>
      </c>
      <c r="J351" t="s">
        <v>114</v>
      </c>
      <c r="K351" t="s">
        <v>1529</v>
      </c>
      <c r="L351" t="s">
        <v>1529</v>
      </c>
    </row>
    <row r="352" spans="1:12" x14ac:dyDescent="0.3">
      <c r="A352" t="s">
        <v>1475</v>
      </c>
      <c r="B352" t="s">
        <v>732</v>
      </c>
      <c r="C352" t="s">
        <v>733</v>
      </c>
      <c r="D352" t="s">
        <v>267</v>
      </c>
      <c r="E352" t="s">
        <v>568</v>
      </c>
      <c r="F352" t="s">
        <v>143</v>
      </c>
      <c r="G352" t="s">
        <v>111</v>
      </c>
      <c r="H352" t="s">
        <v>160</v>
      </c>
      <c r="I352" t="s">
        <v>112</v>
      </c>
      <c r="J352" t="s">
        <v>114</v>
      </c>
      <c r="K352" t="s">
        <v>1529</v>
      </c>
      <c r="L352" t="s">
        <v>1529</v>
      </c>
    </row>
    <row r="353" spans="1:12" x14ac:dyDescent="0.3">
      <c r="A353" t="s">
        <v>1475</v>
      </c>
      <c r="B353" t="s">
        <v>732</v>
      </c>
      <c r="C353" t="s">
        <v>733</v>
      </c>
      <c r="D353" t="s">
        <v>326</v>
      </c>
      <c r="E353" t="s">
        <v>568</v>
      </c>
      <c r="F353" t="s">
        <v>144</v>
      </c>
      <c r="G353" t="s">
        <v>111</v>
      </c>
      <c r="H353" t="s">
        <v>160</v>
      </c>
      <c r="I353" t="s">
        <v>112</v>
      </c>
      <c r="J353" t="s">
        <v>114</v>
      </c>
      <c r="K353" t="s">
        <v>1529</v>
      </c>
      <c r="L353" t="s">
        <v>1529</v>
      </c>
    </row>
    <row r="354" spans="1:12" x14ac:dyDescent="0.3">
      <c r="A354" t="s">
        <v>1475</v>
      </c>
      <c r="B354" t="s">
        <v>732</v>
      </c>
      <c r="C354" t="s">
        <v>733</v>
      </c>
      <c r="D354" t="s">
        <v>269</v>
      </c>
      <c r="E354" t="s">
        <v>568</v>
      </c>
      <c r="F354" t="s">
        <v>145</v>
      </c>
      <c r="G354" t="s">
        <v>111</v>
      </c>
      <c r="H354" t="s">
        <v>160</v>
      </c>
      <c r="I354" t="s">
        <v>112</v>
      </c>
      <c r="J354" t="s">
        <v>114</v>
      </c>
      <c r="K354" t="s">
        <v>1529</v>
      </c>
      <c r="L354" t="s">
        <v>1529</v>
      </c>
    </row>
    <row r="355" spans="1:12" x14ac:dyDescent="0.3">
      <c r="A355" t="s">
        <v>1475</v>
      </c>
      <c r="B355" t="s">
        <v>732</v>
      </c>
      <c r="C355" t="s">
        <v>733</v>
      </c>
      <c r="D355" t="s">
        <v>270</v>
      </c>
      <c r="E355" t="s">
        <v>568</v>
      </c>
      <c r="F355" t="s">
        <v>81</v>
      </c>
      <c r="G355" t="s">
        <v>111</v>
      </c>
      <c r="H355" t="s">
        <v>160</v>
      </c>
      <c r="I355" t="s">
        <v>112</v>
      </c>
      <c r="J355" t="s">
        <v>114</v>
      </c>
      <c r="K355" t="s">
        <v>1529</v>
      </c>
      <c r="L355" t="s">
        <v>1529</v>
      </c>
    </row>
    <row r="356" spans="1:12" x14ac:dyDescent="0.3">
      <c r="A356" t="s">
        <v>1475</v>
      </c>
      <c r="B356" t="s">
        <v>732</v>
      </c>
      <c r="C356" t="s">
        <v>733</v>
      </c>
      <c r="D356" t="s">
        <v>271</v>
      </c>
      <c r="E356" t="s">
        <v>567</v>
      </c>
      <c r="F356" t="s">
        <v>76</v>
      </c>
      <c r="G356" t="s">
        <v>111</v>
      </c>
      <c r="H356" t="s">
        <v>160</v>
      </c>
      <c r="I356" t="s">
        <v>112</v>
      </c>
      <c r="J356" t="s">
        <v>114</v>
      </c>
      <c r="K356" t="s">
        <v>1529</v>
      </c>
      <c r="L356" t="s">
        <v>1529</v>
      </c>
    </row>
    <row r="357" spans="1:12" x14ac:dyDescent="0.3">
      <c r="A357" t="s">
        <v>1475</v>
      </c>
      <c r="B357" t="s">
        <v>732</v>
      </c>
      <c r="C357" t="s">
        <v>733</v>
      </c>
      <c r="D357" t="s">
        <v>272</v>
      </c>
      <c r="E357" t="s">
        <v>567</v>
      </c>
      <c r="F357" t="s">
        <v>52</v>
      </c>
      <c r="G357" t="s">
        <v>111</v>
      </c>
      <c r="H357" t="s">
        <v>160</v>
      </c>
      <c r="I357" t="s">
        <v>112</v>
      </c>
      <c r="J357" t="s">
        <v>114</v>
      </c>
      <c r="K357" t="s">
        <v>1529</v>
      </c>
      <c r="L357" t="s">
        <v>1529</v>
      </c>
    </row>
    <row r="358" spans="1:12" x14ac:dyDescent="0.3">
      <c r="A358" t="s">
        <v>1475</v>
      </c>
      <c r="B358" t="s">
        <v>732</v>
      </c>
      <c r="C358" t="s">
        <v>733</v>
      </c>
      <c r="D358" t="s">
        <v>327</v>
      </c>
      <c r="E358" t="s">
        <v>567</v>
      </c>
      <c r="F358" t="s">
        <v>104</v>
      </c>
      <c r="G358" t="s">
        <v>111</v>
      </c>
      <c r="H358" t="s">
        <v>160</v>
      </c>
      <c r="I358" t="s">
        <v>112</v>
      </c>
      <c r="J358" t="s">
        <v>114</v>
      </c>
      <c r="K358" t="s">
        <v>1529</v>
      </c>
      <c r="L358" t="s">
        <v>1529</v>
      </c>
    </row>
    <row r="359" spans="1:12" x14ac:dyDescent="0.3">
      <c r="A359" t="s">
        <v>1475</v>
      </c>
      <c r="B359" t="s">
        <v>732</v>
      </c>
      <c r="C359" t="s">
        <v>733</v>
      </c>
      <c r="D359" t="s">
        <v>273</v>
      </c>
      <c r="E359" t="s">
        <v>567</v>
      </c>
      <c r="F359" t="s">
        <v>176</v>
      </c>
      <c r="G359" t="s">
        <v>111</v>
      </c>
      <c r="H359" t="s">
        <v>160</v>
      </c>
      <c r="I359" t="s">
        <v>112</v>
      </c>
      <c r="J359" t="s">
        <v>114</v>
      </c>
      <c r="K359" t="s">
        <v>1529</v>
      </c>
      <c r="L359" t="s">
        <v>1529</v>
      </c>
    </row>
    <row r="360" spans="1:12" x14ac:dyDescent="0.3">
      <c r="A360" t="s">
        <v>1475</v>
      </c>
      <c r="B360" t="s">
        <v>732</v>
      </c>
      <c r="C360" t="s">
        <v>733</v>
      </c>
      <c r="D360" t="s">
        <v>274</v>
      </c>
      <c r="E360" t="s">
        <v>567</v>
      </c>
      <c r="F360" t="s">
        <v>146</v>
      </c>
      <c r="G360" t="s">
        <v>111</v>
      </c>
      <c r="H360" t="s">
        <v>160</v>
      </c>
      <c r="I360" t="s">
        <v>112</v>
      </c>
      <c r="J360" t="s">
        <v>114</v>
      </c>
      <c r="K360" t="s">
        <v>1529</v>
      </c>
      <c r="L360" t="s">
        <v>1529</v>
      </c>
    </row>
    <row r="361" spans="1:12" x14ac:dyDescent="0.3">
      <c r="A361" t="s">
        <v>1475</v>
      </c>
      <c r="B361" t="s">
        <v>732</v>
      </c>
      <c r="C361" t="s">
        <v>733</v>
      </c>
      <c r="D361" t="s">
        <v>275</v>
      </c>
      <c r="E361" t="s">
        <v>567</v>
      </c>
      <c r="F361" t="s">
        <v>148</v>
      </c>
      <c r="G361" t="s">
        <v>111</v>
      </c>
      <c r="H361" t="s">
        <v>160</v>
      </c>
      <c r="I361" t="s">
        <v>112</v>
      </c>
      <c r="J361" t="s">
        <v>114</v>
      </c>
      <c r="K361" t="s">
        <v>1529</v>
      </c>
      <c r="L361" t="s">
        <v>1529</v>
      </c>
    </row>
    <row r="362" spans="1:12" x14ac:dyDescent="0.3">
      <c r="A362" t="s">
        <v>1475</v>
      </c>
      <c r="B362" t="s">
        <v>732</v>
      </c>
      <c r="C362" t="s">
        <v>733</v>
      </c>
      <c r="D362" t="s">
        <v>276</v>
      </c>
      <c r="E362" t="s">
        <v>567</v>
      </c>
      <c r="F362" t="s">
        <v>149</v>
      </c>
      <c r="G362" t="s">
        <v>111</v>
      </c>
      <c r="H362" t="s">
        <v>160</v>
      </c>
      <c r="I362" t="s">
        <v>112</v>
      </c>
      <c r="J362" t="s">
        <v>114</v>
      </c>
      <c r="K362" t="s">
        <v>1529</v>
      </c>
      <c r="L362" t="s">
        <v>1529</v>
      </c>
    </row>
    <row r="363" spans="1:12" x14ac:dyDescent="0.3">
      <c r="A363" t="s">
        <v>1475</v>
      </c>
      <c r="B363" t="s">
        <v>732</v>
      </c>
      <c r="C363" t="s">
        <v>733</v>
      </c>
      <c r="D363" t="s">
        <v>277</v>
      </c>
      <c r="E363" t="s">
        <v>567</v>
      </c>
      <c r="F363" t="s">
        <v>83</v>
      </c>
      <c r="G363" t="s">
        <v>111</v>
      </c>
      <c r="H363" t="s">
        <v>160</v>
      </c>
      <c r="I363" t="s">
        <v>112</v>
      </c>
      <c r="J363" t="s">
        <v>114</v>
      </c>
      <c r="K363" t="s">
        <v>1529</v>
      </c>
      <c r="L363" t="s">
        <v>1529</v>
      </c>
    </row>
    <row r="364" spans="1:12" x14ac:dyDescent="0.3">
      <c r="A364" t="s">
        <v>1475</v>
      </c>
      <c r="B364" t="s">
        <v>732</v>
      </c>
      <c r="C364" t="s">
        <v>733</v>
      </c>
      <c r="D364" t="s">
        <v>278</v>
      </c>
      <c r="E364" t="s">
        <v>567</v>
      </c>
      <c r="F364" t="s">
        <v>203</v>
      </c>
      <c r="G364" t="s">
        <v>111</v>
      </c>
      <c r="H364" t="s">
        <v>160</v>
      </c>
      <c r="I364" t="s">
        <v>112</v>
      </c>
      <c r="J364" t="s">
        <v>114</v>
      </c>
      <c r="K364" t="s">
        <v>1529</v>
      </c>
      <c r="L364" t="s">
        <v>1529</v>
      </c>
    </row>
    <row r="365" spans="1:12" x14ac:dyDescent="0.3">
      <c r="A365" t="s">
        <v>1475</v>
      </c>
      <c r="B365" t="s">
        <v>732</v>
      </c>
      <c r="C365" t="s">
        <v>733</v>
      </c>
      <c r="D365" t="s">
        <v>279</v>
      </c>
      <c r="E365" t="s">
        <v>567</v>
      </c>
      <c r="F365" t="s">
        <v>150</v>
      </c>
      <c r="G365" t="s">
        <v>111</v>
      </c>
      <c r="H365" t="s">
        <v>160</v>
      </c>
      <c r="I365" t="s">
        <v>112</v>
      </c>
      <c r="J365" t="s">
        <v>114</v>
      </c>
      <c r="K365" t="s">
        <v>1529</v>
      </c>
      <c r="L365" t="s">
        <v>1529</v>
      </c>
    </row>
    <row r="366" spans="1:12" x14ac:dyDescent="0.3">
      <c r="A366" t="s">
        <v>1475</v>
      </c>
      <c r="B366" t="s">
        <v>732</v>
      </c>
      <c r="C366" t="s">
        <v>733</v>
      </c>
      <c r="D366" t="s">
        <v>329</v>
      </c>
      <c r="E366" t="s">
        <v>567</v>
      </c>
      <c r="F366" t="s">
        <v>92</v>
      </c>
      <c r="G366" t="s">
        <v>111</v>
      </c>
      <c r="H366" t="s">
        <v>160</v>
      </c>
      <c r="I366" t="s">
        <v>112</v>
      </c>
      <c r="J366" t="s">
        <v>114</v>
      </c>
      <c r="K366" t="s">
        <v>1529</v>
      </c>
      <c r="L366" t="s">
        <v>1529</v>
      </c>
    </row>
    <row r="367" spans="1:12" x14ac:dyDescent="0.3">
      <c r="A367" t="s">
        <v>1475</v>
      </c>
      <c r="B367" t="s">
        <v>732</v>
      </c>
      <c r="C367" t="s">
        <v>733</v>
      </c>
      <c r="D367" t="s">
        <v>283</v>
      </c>
      <c r="E367" t="s">
        <v>567</v>
      </c>
      <c r="F367" t="s">
        <v>63</v>
      </c>
      <c r="G367" t="s">
        <v>111</v>
      </c>
      <c r="H367" t="s">
        <v>160</v>
      </c>
      <c r="I367" t="s">
        <v>112</v>
      </c>
      <c r="J367" t="s">
        <v>114</v>
      </c>
      <c r="K367" t="s">
        <v>1529</v>
      </c>
      <c r="L367" t="s">
        <v>1529</v>
      </c>
    </row>
    <row r="368" spans="1:12" x14ac:dyDescent="0.3">
      <c r="A368" t="s">
        <v>1475</v>
      </c>
      <c r="B368" t="s">
        <v>732</v>
      </c>
      <c r="C368" t="s">
        <v>733</v>
      </c>
      <c r="D368" t="s">
        <v>284</v>
      </c>
      <c r="E368" t="s">
        <v>567</v>
      </c>
      <c r="F368" t="s">
        <v>151</v>
      </c>
      <c r="G368" t="s">
        <v>111</v>
      </c>
      <c r="H368" t="s">
        <v>160</v>
      </c>
      <c r="I368" t="s">
        <v>112</v>
      </c>
      <c r="J368" t="s">
        <v>114</v>
      </c>
      <c r="K368" t="s">
        <v>1529</v>
      </c>
      <c r="L368" t="s">
        <v>1529</v>
      </c>
    </row>
    <row r="369" spans="1:12" x14ac:dyDescent="0.3">
      <c r="A369" t="s">
        <v>1475</v>
      </c>
      <c r="B369" t="s">
        <v>732</v>
      </c>
      <c r="C369" t="s">
        <v>733</v>
      </c>
      <c r="D369" t="s">
        <v>285</v>
      </c>
      <c r="E369" t="s">
        <v>567</v>
      </c>
      <c r="F369" t="s">
        <v>195</v>
      </c>
      <c r="G369" t="s">
        <v>111</v>
      </c>
      <c r="H369" t="s">
        <v>160</v>
      </c>
      <c r="I369" t="s">
        <v>112</v>
      </c>
      <c r="J369" t="s">
        <v>114</v>
      </c>
      <c r="K369" t="s">
        <v>1529</v>
      </c>
      <c r="L369" t="s">
        <v>1529</v>
      </c>
    </row>
    <row r="370" spans="1:12" x14ac:dyDescent="0.3">
      <c r="A370" t="s">
        <v>1475</v>
      </c>
      <c r="B370" t="s">
        <v>732</v>
      </c>
      <c r="C370" t="s">
        <v>733</v>
      </c>
      <c r="D370" t="s">
        <v>330</v>
      </c>
      <c r="E370" t="s">
        <v>567</v>
      </c>
      <c r="F370" t="s">
        <v>177</v>
      </c>
      <c r="G370" t="s">
        <v>111</v>
      </c>
      <c r="H370" t="s">
        <v>160</v>
      </c>
      <c r="I370" t="s">
        <v>112</v>
      </c>
      <c r="J370" t="s">
        <v>114</v>
      </c>
      <c r="K370" t="s">
        <v>1529</v>
      </c>
      <c r="L370" t="s">
        <v>1529</v>
      </c>
    </row>
    <row r="371" spans="1:12" x14ac:dyDescent="0.3">
      <c r="A371" t="s">
        <v>1475</v>
      </c>
      <c r="B371" t="s">
        <v>732</v>
      </c>
      <c r="C371" t="s">
        <v>733</v>
      </c>
      <c r="D371" t="s">
        <v>288</v>
      </c>
      <c r="E371" t="s">
        <v>567</v>
      </c>
      <c r="F371" t="s">
        <v>178</v>
      </c>
      <c r="G371" t="s">
        <v>111</v>
      </c>
      <c r="H371" t="s">
        <v>160</v>
      </c>
      <c r="I371" t="s">
        <v>112</v>
      </c>
      <c r="J371" t="s">
        <v>114</v>
      </c>
      <c r="K371" t="s">
        <v>1529</v>
      </c>
      <c r="L371" t="s">
        <v>1529</v>
      </c>
    </row>
    <row r="372" spans="1:12" x14ac:dyDescent="0.3">
      <c r="A372" t="s">
        <v>1475</v>
      </c>
      <c r="B372" t="s">
        <v>732</v>
      </c>
      <c r="C372" t="s">
        <v>733</v>
      </c>
      <c r="D372" t="s">
        <v>290</v>
      </c>
      <c r="E372" t="s">
        <v>567</v>
      </c>
      <c r="F372" t="s">
        <v>153</v>
      </c>
      <c r="G372" t="s">
        <v>111</v>
      </c>
      <c r="H372" t="s">
        <v>160</v>
      </c>
      <c r="I372" t="s">
        <v>112</v>
      </c>
      <c r="J372" t="s">
        <v>114</v>
      </c>
      <c r="K372" t="s">
        <v>1529</v>
      </c>
      <c r="L372" t="s">
        <v>1529</v>
      </c>
    </row>
    <row r="373" spans="1:12" x14ac:dyDescent="0.3">
      <c r="A373" t="s">
        <v>1475</v>
      </c>
      <c r="B373" t="s">
        <v>732</v>
      </c>
      <c r="C373" t="s">
        <v>733</v>
      </c>
      <c r="D373" t="s">
        <v>291</v>
      </c>
      <c r="E373" t="s">
        <v>567</v>
      </c>
      <c r="F373" t="s">
        <v>154</v>
      </c>
      <c r="G373" t="s">
        <v>111</v>
      </c>
      <c r="H373" t="s">
        <v>160</v>
      </c>
      <c r="I373" t="s">
        <v>112</v>
      </c>
      <c r="J373" t="s">
        <v>114</v>
      </c>
      <c r="K373" t="s">
        <v>1529</v>
      </c>
      <c r="L373" t="s">
        <v>1529</v>
      </c>
    </row>
    <row r="374" spans="1:12" x14ac:dyDescent="0.3">
      <c r="A374" t="s">
        <v>1475</v>
      </c>
      <c r="B374" t="s">
        <v>732</v>
      </c>
      <c r="C374" t="s">
        <v>733</v>
      </c>
      <c r="D374" t="s">
        <v>292</v>
      </c>
      <c r="E374" t="s">
        <v>567</v>
      </c>
      <c r="F374" t="s">
        <v>55</v>
      </c>
      <c r="G374" t="s">
        <v>111</v>
      </c>
      <c r="H374" t="s">
        <v>160</v>
      </c>
      <c r="I374" t="s">
        <v>112</v>
      </c>
      <c r="J374" t="s">
        <v>114</v>
      </c>
      <c r="K374" t="s">
        <v>1529</v>
      </c>
      <c r="L374" t="s">
        <v>1529</v>
      </c>
    </row>
    <row r="375" spans="1:12" x14ac:dyDescent="0.3">
      <c r="A375" t="s">
        <v>1475</v>
      </c>
      <c r="B375" t="s">
        <v>732</v>
      </c>
      <c r="C375" t="s">
        <v>733</v>
      </c>
      <c r="D375" t="s">
        <v>333</v>
      </c>
      <c r="E375" t="s">
        <v>567</v>
      </c>
      <c r="F375" t="s">
        <v>197</v>
      </c>
      <c r="G375" t="s">
        <v>111</v>
      </c>
      <c r="H375" t="s">
        <v>160</v>
      </c>
      <c r="I375" t="s">
        <v>112</v>
      </c>
      <c r="J375" t="s">
        <v>114</v>
      </c>
      <c r="K375" t="s">
        <v>1529</v>
      </c>
      <c r="L375" t="s">
        <v>1529</v>
      </c>
    </row>
    <row r="376" spans="1:12" x14ac:dyDescent="0.3">
      <c r="A376" t="s">
        <v>1475</v>
      </c>
      <c r="B376" t="s">
        <v>732</v>
      </c>
      <c r="C376" t="s">
        <v>733</v>
      </c>
      <c r="D376" t="s">
        <v>293</v>
      </c>
      <c r="E376" t="s">
        <v>567</v>
      </c>
      <c r="F376" t="s">
        <v>72</v>
      </c>
      <c r="G376" t="s">
        <v>111</v>
      </c>
      <c r="H376" t="s">
        <v>160</v>
      </c>
      <c r="I376" t="s">
        <v>112</v>
      </c>
      <c r="J376" t="s">
        <v>114</v>
      </c>
      <c r="K376" t="s">
        <v>1529</v>
      </c>
      <c r="L376" t="s">
        <v>1529</v>
      </c>
    </row>
    <row r="377" spans="1:12" x14ac:dyDescent="0.3">
      <c r="A377" t="s">
        <v>1475</v>
      </c>
      <c r="B377" t="s">
        <v>732</v>
      </c>
      <c r="C377" t="s">
        <v>733</v>
      </c>
      <c r="D377" t="s">
        <v>294</v>
      </c>
      <c r="E377" t="s">
        <v>567</v>
      </c>
      <c r="F377" t="s">
        <v>156</v>
      </c>
      <c r="G377" t="s">
        <v>111</v>
      </c>
      <c r="H377" t="s">
        <v>160</v>
      </c>
      <c r="I377" t="s">
        <v>112</v>
      </c>
      <c r="J377" t="s">
        <v>114</v>
      </c>
      <c r="K377" t="s">
        <v>1529</v>
      </c>
      <c r="L377" t="s">
        <v>1529</v>
      </c>
    </row>
    <row r="378" spans="1:12" x14ac:dyDescent="0.3">
      <c r="A378" t="s">
        <v>1475</v>
      </c>
      <c r="B378" t="s">
        <v>732</v>
      </c>
      <c r="C378" t="s">
        <v>733</v>
      </c>
      <c r="D378" t="s">
        <v>295</v>
      </c>
      <c r="E378" t="s">
        <v>567</v>
      </c>
      <c r="F378" t="s">
        <v>103</v>
      </c>
      <c r="G378" t="s">
        <v>111</v>
      </c>
      <c r="H378" t="s">
        <v>160</v>
      </c>
      <c r="I378" t="s">
        <v>112</v>
      </c>
      <c r="J378" t="s">
        <v>114</v>
      </c>
      <c r="K378" t="s">
        <v>1529</v>
      </c>
      <c r="L378" t="s">
        <v>1529</v>
      </c>
    </row>
    <row r="379" spans="1:12" x14ac:dyDescent="0.3">
      <c r="A379" t="s">
        <v>1475</v>
      </c>
      <c r="B379" t="s">
        <v>732</v>
      </c>
      <c r="C379" t="s">
        <v>733</v>
      </c>
      <c r="D379" t="s">
        <v>206</v>
      </c>
      <c r="E379" t="s">
        <v>567</v>
      </c>
      <c r="F379" t="s">
        <v>105</v>
      </c>
      <c r="G379" t="s">
        <v>111</v>
      </c>
      <c r="H379" t="s">
        <v>160</v>
      </c>
      <c r="I379" t="s">
        <v>112</v>
      </c>
      <c r="J379" t="s">
        <v>114</v>
      </c>
      <c r="K379" t="s">
        <v>1529</v>
      </c>
      <c r="L379" t="s">
        <v>1529</v>
      </c>
    </row>
    <row r="380" spans="1:12" x14ac:dyDescent="0.3">
      <c r="A380" t="s">
        <v>1475</v>
      </c>
      <c r="B380" t="s">
        <v>732</v>
      </c>
      <c r="C380" t="s">
        <v>733</v>
      </c>
      <c r="D380" t="s">
        <v>298</v>
      </c>
      <c r="E380" t="s">
        <v>567</v>
      </c>
      <c r="F380" t="s">
        <v>158</v>
      </c>
      <c r="G380" t="s">
        <v>111</v>
      </c>
      <c r="H380" t="s">
        <v>160</v>
      </c>
      <c r="I380" t="s">
        <v>112</v>
      </c>
      <c r="J380" t="s">
        <v>114</v>
      </c>
      <c r="K380" t="s">
        <v>1529</v>
      </c>
      <c r="L380" t="s">
        <v>1529</v>
      </c>
    </row>
    <row r="381" spans="1:12" x14ac:dyDescent="0.3">
      <c r="A381" t="s">
        <v>1475</v>
      </c>
      <c r="B381" t="s">
        <v>732</v>
      </c>
      <c r="C381" t="s">
        <v>733</v>
      </c>
      <c r="D381" t="s">
        <v>335</v>
      </c>
      <c r="E381" t="s">
        <v>567</v>
      </c>
      <c r="F381" t="s">
        <v>199</v>
      </c>
      <c r="G381" t="s">
        <v>111</v>
      </c>
      <c r="H381" t="s">
        <v>160</v>
      </c>
      <c r="I381" t="s">
        <v>112</v>
      </c>
      <c r="J381" t="s">
        <v>114</v>
      </c>
      <c r="K381" t="s">
        <v>1529</v>
      </c>
      <c r="L381" t="s">
        <v>1529</v>
      </c>
    </row>
    <row r="382" spans="1:12" x14ac:dyDescent="0.3">
      <c r="A382" t="s">
        <v>1475</v>
      </c>
      <c r="B382" t="s">
        <v>732</v>
      </c>
      <c r="C382" t="s">
        <v>733</v>
      </c>
      <c r="D382" t="s">
        <v>336</v>
      </c>
      <c r="E382" t="s">
        <v>567</v>
      </c>
      <c r="F382" t="s">
        <v>159</v>
      </c>
      <c r="G382" t="s">
        <v>111</v>
      </c>
      <c r="H382" t="s">
        <v>160</v>
      </c>
      <c r="I382" t="s">
        <v>112</v>
      </c>
      <c r="J382" t="s">
        <v>114</v>
      </c>
      <c r="K382" t="s">
        <v>1529</v>
      </c>
      <c r="L382" t="s">
        <v>1529</v>
      </c>
    </row>
    <row r="383" spans="1:12" x14ac:dyDescent="0.3">
      <c r="A383" t="s">
        <v>1475</v>
      </c>
      <c r="B383" t="s">
        <v>732</v>
      </c>
      <c r="C383" t="s">
        <v>733</v>
      </c>
      <c r="D383" t="s">
        <v>299</v>
      </c>
      <c r="E383" t="s">
        <v>567</v>
      </c>
      <c r="F383" t="s">
        <v>47</v>
      </c>
      <c r="G383" t="s">
        <v>111</v>
      </c>
      <c r="H383" t="s">
        <v>160</v>
      </c>
      <c r="I383" t="s">
        <v>112</v>
      </c>
      <c r="J383" t="s">
        <v>114</v>
      </c>
      <c r="K383" t="s">
        <v>1529</v>
      </c>
      <c r="L383" t="s">
        <v>1529</v>
      </c>
    </row>
    <row r="384" spans="1:12" x14ac:dyDescent="0.3">
      <c r="A384" t="s">
        <v>1475</v>
      </c>
      <c r="B384" t="s">
        <v>732</v>
      </c>
      <c r="C384" t="s">
        <v>733</v>
      </c>
      <c r="D384" t="s">
        <v>300</v>
      </c>
      <c r="E384" t="s">
        <v>567</v>
      </c>
      <c r="F384" t="s">
        <v>181</v>
      </c>
      <c r="G384" t="s">
        <v>111</v>
      </c>
      <c r="H384" t="s">
        <v>160</v>
      </c>
      <c r="I384" t="s">
        <v>112</v>
      </c>
      <c r="J384" t="s">
        <v>114</v>
      </c>
      <c r="K384" t="s">
        <v>1529</v>
      </c>
      <c r="L384" t="s">
        <v>1529</v>
      </c>
    </row>
    <row r="385" spans="1:12" x14ac:dyDescent="0.3">
      <c r="A385" t="s">
        <v>1475</v>
      </c>
      <c r="B385" t="s">
        <v>732</v>
      </c>
      <c r="C385" t="s">
        <v>733</v>
      </c>
      <c r="D385" t="s">
        <v>301</v>
      </c>
      <c r="E385" t="s">
        <v>567</v>
      </c>
      <c r="F385" t="s">
        <v>73</v>
      </c>
      <c r="G385" t="s">
        <v>111</v>
      </c>
      <c r="H385" t="s">
        <v>160</v>
      </c>
      <c r="I385" t="s">
        <v>112</v>
      </c>
      <c r="J385" t="s">
        <v>114</v>
      </c>
      <c r="K385" t="s">
        <v>1529</v>
      </c>
      <c r="L385" t="s">
        <v>1529</v>
      </c>
    </row>
    <row r="386" spans="1:12" x14ac:dyDescent="0.3">
      <c r="A386" t="s">
        <v>1475</v>
      </c>
      <c r="B386" t="s">
        <v>732</v>
      </c>
      <c r="C386" t="s">
        <v>733</v>
      </c>
      <c r="D386" t="s">
        <v>302</v>
      </c>
      <c r="E386" t="s">
        <v>567</v>
      </c>
      <c r="F386" t="s">
        <v>162</v>
      </c>
      <c r="G386" t="s">
        <v>111</v>
      </c>
      <c r="H386" t="s">
        <v>160</v>
      </c>
      <c r="I386" t="s">
        <v>112</v>
      </c>
      <c r="J386" t="s">
        <v>114</v>
      </c>
      <c r="K386" t="s">
        <v>1529</v>
      </c>
      <c r="L386" t="s">
        <v>1529</v>
      </c>
    </row>
    <row r="387" spans="1:12" x14ac:dyDescent="0.3">
      <c r="A387" t="s">
        <v>1475</v>
      </c>
      <c r="B387" t="s">
        <v>732</v>
      </c>
      <c r="C387" t="s">
        <v>733</v>
      </c>
      <c r="D387" t="s">
        <v>685</v>
      </c>
      <c r="E387" t="s">
        <v>567</v>
      </c>
      <c r="F387" t="s">
        <v>198</v>
      </c>
      <c r="G387" t="s">
        <v>421</v>
      </c>
      <c r="H387" t="s">
        <v>1531</v>
      </c>
      <c r="I387">
        <v>51488</v>
      </c>
      <c r="J387">
        <v>55</v>
      </c>
      <c r="L387" t="s">
        <v>1532</v>
      </c>
    </row>
    <row r="388" spans="1:12" x14ac:dyDescent="0.3">
      <c r="A388" t="s">
        <v>1475</v>
      </c>
      <c r="B388" t="s">
        <v>732</v>
      </c>
      <c r="C388" t="s">
        <v>733</v>
      </c>
      <c r="D388" t="s">
        <v>686</v>
      </c>
      <c r="E388" t="s">
        <v>567</v>
      </c>
      <c r="F388" t="s">
        <v>198</v>
      </c>
      <c r="G388" t="s">
        <v>421</v>
      </c>
      <c r="H388" t="s">
        <v>1533</v>
      </c>
      <c r="I388">
        <v>32520</v>
      </c>
      <c r="J388">
        <v>248</v>
      </c>
      <c r="L388" t="s">
        <v>1534</v>
      </c>
    </row>
    <row r="389" spans="1:12" x14ac:dyDescent="0.3">
      <c r="A389" t="s">
        <v>748</v>
      </c>
      <c r="B389" t="s">
        <v>749</v>
      </c>
      <c r="C389" t="s">
        <v>750</v>
      </c>
      <c r="D389" t="s">
        <v>303</v>
      </c>
      <c r="E389" t="s">
        <v>569</v>
      </c>
      <c r="F389" t="s">
        <v>49</v>
      </c>
      <c r="G389" t="s">
        <v>111</v>
      </c>
      <c r="H389" t="s">
        <v>703</v>
      </c>
      <c r="I389" t="s">
        <v>112</v>
      </c>
      <c r="J389" t="s">
        <v>702</v>
      </c>
      <c r="K389" t="s">
        <v>1535</v>
      </c>
      <c r="L389" t="s">
        <v>1535</v>
      </c>
    </row>
    <row r="390" spans="1:12" x14ac:dyDescent="0.3">
      <c r="A390" t="s">
        <v>748</v>
      </c>
      <c r="B390" t="s">
        <v>749</v>
      </c>
      <c r="C390" t="s">
        <v>750</v>
      </c>
      <c r="D390" t="s">
        <v>304</v>
      </c>
      <c r="E390" t="s">
        <v>569</v>
      </c>
      <c r="F390" t="s">
        <v>117</v>
      </c>
      <c r="G390" t="s">
        <v>111</v>
      </c>
      <c r="H390" t="s">
        <v>703</v>
      </c>
      <c r="I390" t="s">
        <v>112</v>
      </c>
      <c r="J390" t="s">
        <v>702</v>
      </c>
      <c r="K390" t="s">
        <v>1536</v>
      </c>
      <c r="L390" t="s">
        <v>1536</v>
      </c>
    </row>
    <row r="391" spans="1:12" x14ac:dyDescent="0.3">
      <c r="A391" t="s">
        <v>748</v>
      </c>
      <c r="B391" t="s">
        <v>749</v>
      </c>
      <c r="C391" t="s">
        <v>750</v>
      </c>
      <c r="D391" t="s">
        <v>305</v>
      </c>
      <c r="E391" t="s">
        <v>569</v>
      </c>
      <c r="F391" t="s">
        <v>120</v>
      </c>
      <c r="G391" t="s">
        <v>111</v>
      </c>
      <c r="H391" t="s">
        <v>182</v>
      </c>
      <c r="I391" t="s">
        <v>112</v>
      </c>
      <c r="J391" t="s">
        <v>183</v>
      </c>
      <c r="K391" t="s">
        <v>1537</v>
      </c>
      <c r="L391" t="s">
        <v>1537</v>
      </c>
    </row>
    <row r="392" spans="1:12" x14ac:dyDescent="0.3">
      <c r="A392" t="s">
        <v>748</v>
      </c>
      <c r="B392" t="s">
        <v>749</v>
      </c>
      <c r="C392" t="s">
        <v>750</v>
      </c>
      <c r="D392" t="s">
        <v>212</v>
      </c>
      <c r="E392" t="s">
        <v>569</v>
      </c>
      <c r="F392" t="s">
        <v>164</v>
      </c>
      <c r="G392" t="s">
        <v>111</v>
      </c>
      <c r="H392" t="s">
        <v>703</v>
      </c>
      <c r="I392" t="s">
        <v>112</v>
      </c>
      <c r="J392" t="s">
        <v>702</v>
      </c>
      <c r="K392" t="s">
        <v>1538</v>
      </c>
      <c r="L392" t="s">
        <v>1538</v>
      </c>
    </row>
    <row r="393" spans="1:12" x14ac:dyDescent="0.3">
      <c r="A393" t="s">
        <v>748</v>
      </c>
      <c r="B393" t="s">
        <v>749</v>
      </c>
      <c r="C393" t="s">
        <v>750</v>
      </c>
      <c r="D393" t="s">
        <v>213</v>
      </c>
      <c r="E393" t="s">
        <v>569</v>
      </c>
      <c r="F393" t="s">
        <v>53</v>
      </c>
      <c r="G393" t="s">
        <v>111</v>
      </c>
      <c r="H393" t="s">
        <v>1539</v>
      </c>
      <c r="I393" t="s">
        <v>112</v>
      </c>
      <c r="J393" t="s">
        <v>704</v>
      </c>
    </row>
    <row r="394" spans="1:12" x14ac:dyDescent="0.3">
      <c r="A394" t="s">
        <v>748</v>
      </c>
      <c r="B394" t="s">
        <v>749</v>
      </c>
      <c r="C394" t="s">
        <v>750</v>
      </c>
      <c r="D394" t="s">
        <v>214</v>
      </c>
      <c r="E394" t="s">
        <v>569</v>
      </c>
      <c r="F394" t="s">
        <v>56</v>
      </c>
      <c r="G394" t="s">
        <v>111</v>
      </c>
      <c r="H394" t="s">
        <v>703</v>
      </c>
      <c r="I394" t="s">
        <v>112</v>
      </c>
      <c r="J394" t="s">
        <v>702</v>
      </c>
      <c r="K394" t="s">
        <v>1540</v>
      </c>
      <c r="L394" t="s">
        <v>1540</v>
      </c>
    </row>
    <row r="395" spans="1:12" x14ac:dyDescent="0.3">
      <c r="A395" t="s">
        <v>748</v>
      </c>
      <c r="B395" t="s">
        <v>749</v>
      </c>
      <c r="C395" t="s">
        <v>750</v>
      </c>
      <c r="D395" t="s">
        <v>215</v>
      </c>
      <c r="E395" t="s">
        <v>569</v>
      </c>
      <c r="F395" t="s">
        <v>69</v>
      </c>
      <c r="G395" t="s">
        <v>111</v>
      </c>
      <c r="H395" t="s">
        <v>703</v>
      </c>
      <c r="I395" t="s">
        <v>112</v>
      </c>
      <c r="J395" t="s">
        <v>702</v>
      </c>
      <c r="K395" t="s">
        <v>1541</v>
      </c>
      <c r="L395" t="s">
        <v>1541</v>
      </c>
    </row>
    <row r="396" spans="1:12" x14ac:dyDescent="0.3">
      <c r="A396" t="s">
        <v>748</v>
      </c>
      <c r="B396" t="s">
        <v>749</v>
      </c>
      <c r="C396" t="s">
        <v>750</v>
      </c>
      <c r="D396" t="s">
        <v>217</v>
      </c>
      <c r="E396" t="s">
        <v>569</v>
      </c>
      <c r="F396" t="s">
        <v>122</v>
      </c>
      <c r="G396" t="s">
        <v>111</v>
      </c>
      <c r="H396" t="s">
        <v>703</v>
      </c>
      <c r="I396" t="s">
        <v>112</v>
      </c>
      <c r="J396" t="s">
        <v>702</v>
      </c>
      <c r="K396" t="s">
        <v>1542</v>
      </c>
      <c r="L396" t="s">
        <v>1542</v>
      </c>
    </row>
    <row r="397" spans="1:12" x14ac:dyDescent="0.3">
      <c r="A397" t="s">
        <v>748</v>
      </c>
      <c r="B397" t="s">
        <v>749</v>
      </c>
      <c r="C397" t="s">
        <v>750</v>
      </c>
      <c r="D397" t="s">
        <v>306</v>
      </c>
      <c r="E397" t="s">
        <v>569</v>
      </c>
      <c r="F397" t="s">
        <v>165</v>
      </c>
      <c r="G397" t="s">
        <v>111</v>
      </c>
      <c r="H397" t="s">
        <v>1543</v>
      </c>
      <c r="I397" t="s">
        <v>112</v>
      </c>
      <c r="J397" t="s">
        <v>1544</v>
      </c>
      <c r="K397" t="s">
        <v>1545</v>
      </c>
      <c r="L397" t="s">
        <v>1545</v>
      </c>
    </row>
    <row r="398" spans="1:12" x14ac:dyDescent="0.3">
      <c r="A398" t="s">
        <v>748</v>
      </c>
      <c r="B398" t="s">
        <v>749</v>
      </c>
      <c r="C398" t="s">
        <v>750</v>
      </c>
      <c r="D398" t="s">
        <v>218</v>
      </c>
      <c r="E398" t="s">
        <v>569</v>
      </c>
      <c r="F398" t="s">
        <v>166</v>
      </c>
      <c r="G398" t="s">
        <v>111</v>
      </c>
      <c r="H398" t="s">
        <v>1543</v>
      </c>
      <c r="I398" t="s">
        <v>112</v>
      </c>
      <c r="J398" t="s">
        <v>1544</v>
      </c>
    </row>
    <row r="399" spans="1:12" x14ac:dyDescent="0.3">
      <c r="A399" t="s">
        <v>748</v>
      </c>
      <c r="B399" t="s">
        <v>749</v>
      </c>
      <c r="C399" t="s">
        <v>750</v>
      </c>
      <c r="D399" t="s">
        <v>307</v>
      </c>
      <c r="E399" t="s">
        <v>569</v>
      </c>
      <c r="F399" t="s">
        <v>123</v>
      </c>
      <c r="G399" t="s">
        <v>111</v>
      </c>
      <c r="H399" t="s">
        <v>703</v>
      </c>
      <c r="I399" t="s">
        <v>112</v>
      </c>
      <c r="J399" t="s">
        <v>702</v>
      </c>
      <c r="K399" t="s">
        <v>1546</v>
      </c>
      <c r="L399" t="s">
        <v>1546</v>
      </c>
    </row>
    <row r="400" spans="1:12" x14ac:dyDescent="0.3">
      <c r="A400" t="s">
        <v>748</v>
      </c>
      <c r="B400" t="s">
        <v>749</v>
      </c>
      <c r="C400" t="s">
        <v>750</v>
      </c>
      <c r="D400" t="s">
        <v>220</v>
      </c>
      <c r="E400" t="s">
        <v>569</v>
      </c>
      <c r="F400" t="s">
        <v>54</v>
      </c>
      <c r="G400" t="s">
        <v>111</v>
      </c>
      <c r="H400" t="s">
        <v>1539</v>
      </c>
      <c r="I400" t="s">
        <v>112</v>
      </c>
      <c r="J400" t="s">
        <v>704</v>
      </c>
      <c r="K400" t="s">
        <v>1547</v>
      </c>
      <c r="L400" t="s">
        <v>1547</v>
      </c>
    </row>
    <row r="401" spans="1:12" x14ac:dyDescent="0.3">
      <c r="A401" t="s">
        <v>748</v>
      </c>
      <c r="B401" t="s">
        <v>749</v>
      </c>
      <c r="C401" t="s">
        <v>750</v>
      </c>
      <c r="D401" t="s">
        <v>221</v>
      </c>
      <c r="E401" t="s">
        <v>569</v>
      </c>
      <c r="F401" t="s">
        <v>45</v>
      </c>
      <c r="G401" t="s">
        <v>111</v>
      </c>
      <c r="H401" t="s">
        <v>703</v>
      </c>
      <c r="I401" t="s">
        <v>112</v>
      </c>
      <c r="J401" t="s">
        <v>702</v>
      </c>
      <c r="K401" t="s">
        <v>1542</v>
      </c>
      <c r="L401" t="s">
        <v>1542</v>
      </c>
    </row>
    <row r="402" spans="1:12" x14ac:dyDescent="0.3">
      <c r="A402" t="s">
        <v>748</v>
      </c>
      <c r="B402" t="s">
        <v>749</v>
      </c>
      <c r="C402" t="s">
        <v>750</v>
      </c>
      <c r="D402" t="s">
        <v>308</v>
      </c>
      <c r="E402" t="s">
        <v>569</v>
      </c>
      <c r="F402" t="s">
        <v>190</v>
      </c>
      <c r="G402" t="s">
        <v>111</v>
      </c>
      <c r="H402" t="s">
        <v>703</v>
      </c>
      <c r="I402" t="s">
        <v>112</v>
      </c>
      <c r="J402" t="s">
        <v>702</v>
      </c>
      <c r="K402" t="s">
        <v>1548</v>
      </c>
      <c r="L402" t="s">
        <v>1548</v>
      </c>
    </row>
    <row r="403" spans="1:12" x14ac:dyDescent="0.3">
      <c r="A403" t="s">
        <v>748</v>
      </c>
      <c r="B403" t="s">
        <v>749</v>
      </c>
      <c r="C403" t="s">
        <v>750</v>
      </c>
      <c r="D403" t="s">
        <v>222</v>
      </c>
      <c r="E403" t="s">
        <v>569</v>
      </c>
      <c r="F403" t="s">
        <v>124</v>
      </c>
      <c r="G403" t="s">
        <v>111</v>
      </c>
      <c r="H403" t="s">
        <v>1549</v>
      </c>
      <c r="I403" t="s">
        <v>112</v>
      </c>
      <c r="J403" t="s">
        <v>1544</v>
      </c>
      <c r="K403" t="s">
        <v>1550</v>
      </c>
      <c r="L403" t="s">
        <v>1550</v>
      </c>
    </row>
    <row r="404" spans="1:12" x14ac:dyDescent="0.3">
      <c r="A404" t="s">
        <v>748</v>
      </c>
      <c r="B404" t="s">
        <v>749</v>
      </c>
      <c r="C404" t="s">
        <v>750</v>
      </c>
      <c r="D404" t="s">
        <v>309</v>
      </c>
      <c r="E404" t="s">
        <v>569</v>
      </c>
      <c r="F404" t="s">
        <v>58</v>
      </c>
      <c r="G404" t="s">
        <v>111</v>
      </c>
      <c r="H404" t="s">
        <v>703</v>
      </c>
      <c r="I404" t="s">
        <v>112</v>
      </c>
      <c r="J404" t="s">
        <v>702</v>
      </c>
      <c r="K404" t="s">
        <v>1551</v>
      </c>
      <c r="L404" t="s">
        <v>1551</v>
      </c>
    </row>
    <row r="405" spans="1:12" x14ac:dyDescent="0.3">
      <c r="A405" t="s">
        <v>748</v>
      </c>
      <c r="B405" t="s">
        <v>749</v>
      </c>
      <c r="C405" t="s">
        <v>750</v>
      </c>
      <c r="D405" t="s">
        <v>223</v>
      </c>
      <c r="E405" t="s">
        <v>569</v>
      </c>
      <c r="F405" t="s">
        <v>65</v>
      </c>
      <c r="G405" t="s">
        <v>111</v>
      </c>
      <c r="H405" t="s">
        <v>703</v>
      </c>
      <c r="I405" t="s">
        <v>112</v>
      </c>
      <c r="J405" t="s">
        <v>702</v>
      </c>
      <c r="K405" t="s">
        <v>1552</v>
      </c>
      <c r="L405" t="s">
        <v>1552</v>
      </c>
    </row>
    <row r="406" spans="1:12" x14ac:dyDescent="0.3">
      <c r="A406" t="s">
        <v>748</v>
      </c>
      <c r="B406" t="s">
        <v>749</v>
      </c>
      <c r="C406" t="s">
        <v>750</v>
      </c>
      <c r="D406" t="s">
        <v>224</v>
      </c>
      <c r="E406" t="s">
        <v>569</v>
      </c>
      <c r="F406" t="s">
        <v>125</v>
      </c>
      <c r="G406" t="s">
        <v>111</v>
      </c>
      <c r="H406" t="s">
        <v>1553</v>
      </c>
      <c r="I406" t="s">
        <v>112</v>
      </c>
      <c r="J406" t="s">
        <v>1554</v>
      </c>
      <c r="K406" t="s">
        <v>1555</v>
      </c>
      <c r="L406" t="s">
        <v>1555</v>
      </c>
    </row>
    <row r="407" spans="1:12" x14ac:dyDescent="0.3">
      <c r="A407" t="s">
        <v>748</v>
      </c>
      <c r="B407" t="s">
        <v>749</v>
      </c>
      <c r="C407" t="s">
        <v>750</v>
      </c>
      <c r="D407" t="s">
        <v>225</v>
      </c>
      <c r="E407" t="s">
        <v>569</v>
      </c>
      <c r="F407" t="s">
        <v>126</v>
      </c>
      <c r="G407" t="s">
        <v>111</v>
      </c>
      <c r="H407" t="s">
        <v>1556</v>
      </c>
      <c r="I407" t="s">
        <v>112</v>
      </c>
      <c r="J407" t="s">
        <v>1557</v>
      </c>
      <c r="K407" t="s">
        <v>1558</v>
      </c>
      <c r="L407" t="s">
        <v>1558</v>
      </c>
    </row>
    <row r="408" spans="1:12" x14ac:dyDescent="0.3">
      <c r="A408" t="s">
        <v>748</v>
      </c>
      <c r="B408" t="s">
        <v>749</v>
      </c>
      <c r="C408" t="s">
        <v>750</v>
      </c>
      <c r="D408" t="s">
        <v>227</v>
      </c>
      <c r="E408" t="s">
        <v>569</v>
      </c>
      <c r="F408" t="s">
        <v>192</v>
      </c>
      <c r="G408" t="s">
        <v>111</v>
      </c>
      <c r="H408" t="s">
        <v>703</v>
      </c>
      <c r="I408" t="s">
        <v>112</v>
      </c>
      <c r="J408" t="s">
        <v>702</v>
      </c>
      <c r="K408" t="s">
        <v>1559</v>
      </c>
      <c r="L408" t="s">
        <v>1559</v>
      </c>
    </row>
    <row r="409" spans="1:12" x14ac:dyDescent="0.3">
      <c r="A409" t="s">
        <v>748</v>
      </c>
      <c r="B409" t="s">
        <v>749</v>
      </c>
      <c r="C409" t="s">
        <v>750</v>
      </c>
      <c r="D409" t="s">
        <v>229</v>
      </c>
      <c r="E409" t="s">
        <v>569</v>
      </c>
      <c r="F409" t="s">
        <v>127</v>
      </c>
      <c r="G409" t="s">
        <v>111</v>
      </c>
      <c r="H409" t="s">
        <v>1553</v>
      </c>
      <c r="I409" t="s">
        <v>112</v>
      </c>
      <c r="J409" t="s">
        <v>1554</v>
      </c>
      <c r="K409" t="s">
        <v>1555</v>
      </c>
      <c r="L409" t="s">
        <v>1555</v>
      </c>
    </row>
    <row r="410" spans="1:12" x14ac:dyDescent="0.3">
      <c r="A410" t="s">
        <v>748</v>
      </c>
      <c r="B410" t="s">
        <v>749</v>
      </c>
      <c r="C410" t="s">
        <v>750</v>
      </c>
      <c r="D410" t="s">
        <v>310</v>
      </c>
      <c r="E410" t="s">
        <v>569</v>
      </c>
      <c r="F410" t="s">
        <v>128</v>
      </c>
      <c r="G410" t="s">
        <v>111</v>
      </c>
      <c r="H410" t="s">
        <v>701</v>
      </c>
      <c r="I410" t="s">
        <v>112</v>
      </c>
      <c r="J410" t="s">
        <v>702</v>
      </c>
      <c r="K410" t="s">
        <v>1541</v>
      </c>
      <c r="L410" t="s">
        <v>1541</v>
      </c>
    </row>
    <row r="411" spans="1:12" x14ac:dyDescent="0.3">
      <c r="A411" t="s">
        <v>748</v>
      </c>
      <c r="B411" t="s">
        <v>749</v>
      </c>
      <c r="C411" t="s">
        <v>750</v>
      </c>
      <c r="D411" t="s">
        <v>230</v>
      </c>
      <c r="E411" t="s">
        <v>569</v>
      </c>
      <c r="F411" t="s">
        <v>168</v>
      </c>
      <c r="G411" t="s">
        <v>111</v>
      </c>
      <c r="H411" t="s">
        <v>703</v>
      </c>
      <c r="I411" t="s">
        <v>112</v>
      </c>
      <c r="J411" t="s">
        <v>702</v>
      </c>
      <c r="K411" t="s">
        <v>1560</v>
      </c>
      <c r="L411" t="s">
        <v>1560</v>
      </c>
    </row>
    <row r="412" spans="1:12" x14ac:dyDescent="0.3">
      <c r="A412" t="s">
        <v>748</v>
      </c>
      <c r="B412" t="s">
        <v>749</v>
      </c>
      <c r="C412" t="s">
        <v>750</v>
      </c>
      <c r="D412" t="s">
        <v>232</v>
      </c>
      <c r="E412" t="s">
        <v>569</v>
      </c>
      <c r="F412" t="s">
        <v>169</v>
      </c>
      <c r="G412" t="s">
        <v>111</v>
      </c>
      <c r="H412" t="s">
        <v>1549</v>
      </c>
      <c r="I412" t="s">
        <v>112</v>
      </c>
      <c r="J412" t="s">
        <v>1544</v>
      </c>
      <c r="K412" t="s">
        <v>1559</v>
      </c>
      <c r="L412" t="s">
        <v>1559</v>
      </c>
    </row>
    <row r="413" spans="1:12" x14ac:dyDescent="0.3">
      <c r="A413" t="s">
        <v>748</v>
      </c>
      <c r="B413" t="s">
        <v>749</v>
      </c>
      <c r="C413" t="s">
        <v>750</v>
      </c>
      <c r="D413" t="s">
        <v>233</v>
      </c>
      <c r="E413" t="s">
        <v>569</v>
      </c>
      <c r="F413" t="s">
        <v>110</v>
      </c>
      <c r="G413" t="s">
        <v>111</v>
      </c>
      <c r="H413" t="s">
        <v>1561</v>
      </c>
      <c r="I413" t="s">
        <v>112</v>
      </c>
      <c r="J413" t="s">
        <v>702</v>
      </c>
      <c r="K413" t="s">
        <v>1562</v>
      </c>
      <c r="L413" t="s">
        <v>1562</v>
      </c>
    </row>
    <row r="414" spans="1:12" x14ac:dyDescent="0.3">
      <c r="A414" t="s">
        <v>748</v>
      </c>
      <c r="B414" t="s">
        <v>749</v>
      </c>
      <c r="C414" t="s">
        <v>750</v>
      </c>
      <c r="D414" t="s">
        <v>234</v>
      </c>
      <c r="E414" t="s">
        <v>569</v>
      </c>
      <c r="F414" t="s">
        <v>93</v>
      </c>
      <c r="G414" t="s">
        <v>111</v>
      </c>
      <c r="H414" t="s">
        <v>703</v>
      </c>
      <c r="I414" t="s">
        <v>112</v>
      </c>
      <c r="J414" t="s">
        <v>702</v>
      </c>
      <c r="K414" t="s">
        <v>1548</v>
      </c>
      <c r="L414" t="s">
        <v>1548</v>
      </c>
    </row>
    <row r="415" spans="1:12" x14ac:dyDescent="0.3">
      <c r="A415" t="s">
        <v>748</v>
      </c>
      <c r="B415" t="s">
        <v>749</v>
      </c>
      <c r="C415" t="s">
        <v>750</v>
      </c>
      <c r="D415" t="s">
        <v>312</v>
      </c>
      <c r="E415" t="s">
        <v>569</v>
      </c>
      <c r="F415" t="s">
        <v>129</v>
      </c>
      <c r="G415" t="s">
        <v>111</v>
      </c>
      <c r="H415" t="s">
        <v>703</v>
      </c>
      <c r="I415" t="s">
        <v>112</v>
      </c>
      <c r="J415" t="s">
        <v>702</v>
      </c>
      <c r="K415" t="s">
        <v>1560</v>
      </c>
      <c r="L415" t="s">
        <v>1560</v>
      </c>
    </row>
    <row r="416" spans="1:12" x14ac:dyDescent="0.3">
      <c r="A416" t="s">
        <v>748</v>
      </c>
      <c r="B416" t="s">
        <v>749</v>
      </c>
      <c r="C416" t="s">
        <v>750</v>
      </c>
      <c r="D416" t="s">
        <v>235</v>
      </c>
      <c r="E416" t="s">
        <v>569</v>
      </c>
      <c r="F416" t="s">
        <v>85</v>
      </c>
      <c r="G416" t="s">
        <v>111</v>
      </c>
      <c r="H416" t="s">
        <v>703</v>
      </c>
      <c r="I416" t="s">
        <v>112</v>
      </c>
      <c r="J416" t="s">
        <v>702</v>
      </c>
      <c r="K416" t="s">
        <v>1555</v>
      </c>
      <c r="L416" t="s">
        <v>1555</v>
      </c>
    </row>
    <row r="417" spans="1:12" x14ac:dyDescent="0.3">
      <c r="A417" t="s">
        <v>748</v>
      </c>
      <c r="B417" t="s">
        <v>749</v>
      </c>
      <c r="C417" t="s">
        <v>750</v>
      </c>
      <c r="D417" t="s">
        <v>314</v>
      </c>
      <c r="E417" t="s">
        <v>569</v>
      </c>
      <c r="F417" t="s">
        <v>61</v>
      </c>
      <c r="G417" t="s">
        <v>111</v>
      </c>
      <c r="H417" t="s">
        <v>1553</v>
      </c>
      <c r="I417" t="s">
        <v>112</v>
      </c>
      <c r="J417" t="s">
        <v>1554</v>
      </c>
      <c r="K417" t="s">
        <v>1555</v>
      </c>
      <c r="L417" t="s">
        <v>1555</v>
      </c>
    </row>
    <row r="418" spans="1:12" x14ac:dyDescent="0.3">
      <c r="A418" t="s">
        <v>748</v>
      </c>
      <c r="B418" t="s">
        <v>749</v>
      </c>
      <c r="C418" t="s">
        <v>750</v>
      </c>
      <c r="D418" t="s">
        <v>236</v>
      </c>
      <c r="E418" t="s">
        <v>569</v>
      </c>
      <c r="F418" t="s">
        <v>87</v>
      </c>
      <c r="G418" t="s">
        <v>111</v>
      </c>
      <c r="H418" t="s">
        <v>703</v>
      </c>
      <c r="I418" t="s">
        <v>112</v>
      </c>
      <c r="J418" t="s">
        <v>702</v>
      </c>
      <c r="K418" t="s">
        <v>1548</v>
      </c>
      <c r="L418" t="s">
        <v>1548</v>
      </c>
    </row>
    <row r="419" spans="1:12" x14ac:dyDescent="0.3">
      <c r="A419" t="s">
        <v>748</v>
      </c>
      <c r="B419" t="s">
        <v>749</v>
      </c>
      <c r="C419" t="s">
        <v>750</v>
      </c>
      <c r="D419" t="s">
        <v>237</v>
      </c>
      <c r="E419" t="s">
        <v>569</v>
      </c>
      <c r="F419" t="s">
        <v>130</v>
      </c>
      <c r="G419" t="s">
        <v>111</v>
      </c>
      <c r="H419" t="s">
        <v>703</v>
      </c>
      <c r="I419" t="s">
        <v>112</v>
      </c>
      <c r="J419" t="s">
        <v>702</v>
      </c>
      <c r="K419" t="s">
        <v>1563</v>
      </c>
      <c r="L419" t="s">
        <v>1563</v>
      </c>
    </row>
    <row r="420" spans="1:12" x14ac:dyDescent="0.3">
      <c r="A420" t="s">
        <v>748</v>
      </c>
      <c r="B420" t="s">
        <v>749</v>
      </c>
      <c r="C420" t="s">
        <v>750</v>
      </c>
      <c r="D420" t="s">
        <v>239</v>
      </c>
      <c r="E420" t="s">
        <v>569</v>
      </c>
      <c r="F420" t="s">
        <v>50</v>
      </c>
      <c r="G420" t="s">
        <v>111</v>
      </c>
      <c r="H420" t="s">
        <v>703</v>
      </c>
      <c r="I420" t="s">
        <v>112</v>
      </c>
      <c r="J420" t="s">
        <v>702</v>
      </c>
      <c r="K420" t="s">
        <v>1551</v>
      </c>
      <c r="L420" t="s">
        <v>1551</v>
      </c>
    </row>
    <row r="421" spans="1:12" x14ac:dyDescent="0.3">
      <c r="A421" t="s">
        <v>748</v>
      </c>
      <c r="B421" t="s">
        <v>749</v>
      </c>
      <c r="C421" t="s">
        <v>750</v>
      </c>
      <c r="D421" t="s">
        <v>315</v>
      </c>
      <c r="E421" t="s">
        <v>568</v>
      </c>
      <c r="F421" t="s">
        <v>79</v>
      </c>
      <c r="G421" t="s">
        <v>111</v>
      </c>
      <c r="H421" t="s">
        <v>1561</v>
      </c>
      <c r="I421" t="s">
        <v>112</v>
      </c>
      <c r="J421" t="s">
        <v>702</v>
      </c>
    </row>
    <row r="422" spans="1:12" x14ac:dyDescent="0.3">
      <c r="A422" t="s">
        <v>748</v>
      </c>
      <c r="B422" t="s">
        <v>749</v>
      </c>
      <c r="C422" t="s">
        <v>750</v>
      </c>
      <c r="D422" t="s">
        <v>316</v>
      </c>
      <c r="E422" t="s">
        <v>568</v>
      </c>
      <c r="F422" t="s">
        <v>132</v>
      </c>
      <c r="G422" t="s">
        <v>111</v>
      </c>
      <c r="H422" t="s">
        <v>182</v>
      </c>
      <c r="I422" t="s">
        <v>112</v>
      </c>
      <c r="J422" t="s">
        <v>183</v>
      </c>
      <c r="K422" t="s">
        <v>1535</v>
      </c>
      <c r="L422" t="s">
        <v>1535</v>
      </c>
    </row>
    <row r="423" spans="1:12" x14ac:dyDescent="0.3">
      <c r="A423" t="s">
        <v>748</v>
      </c>
      <c r="B423" t="s">
        <v>749</v>
      </c>
      <c r="C423" t="s">
        <v>750</v>
      </c>
      <c r="D423" t="s">
        <v>318</v>
      </c>
      <c r="E423" t="s">
        <v>568</v>
      </c>
      <c r="F423" t="s">
        <v>193</v>
      </c>
      <c r="G423" t="s">
        <v>111</v>
      </c>
      <c r="H423" t="s">
        <v>1549</v>
      </c>
      <c r="I423" t="s">
        <v>112</v>
      </c>
      <c r="J423" t="s">
        <v>1544</v>
      </c>
      <c r="K423" t="s">
        <v>1564</v>
      </c>
      <c r="L423" t="s">
        <v>1564</v>
      </c>
    </row>
    <row r="424" spans="1:12" x14ac:dyDescent="0.3">
      <c r="A424" t="s">
        <v>748</v>
      </c>
      <c r="B424" t="s">
        <v>749</v>
      </c>
      <c r="C424" t="s">
        <v>750</v>
      </c>
      <c r="D424" t="s">
        <v>240</v>
      </c>
      <c r="E424" t="s">
        <v>568</v>
      </c>
      <c r="F424" t="s">
        <v>134</v>
      </c>
      <c r="G424" t="s">
        <v>111</v>
      </c>
      <c r="H424" t="s">
        <v>1565</v>
      </c>
      <c r="I424" t="s">
        <v>112</v>
      </c>
      <c r="J424" t="s">
        <v>1566</v>
      </c>
      <c r="K424" t="s">
        <v>1562</v>
      </c>
      <c r="L424" t="s">
        <v>1562</v>
      </c>
    </row>
    <row r="425" spans="1:12" x14ac:dyDescent="0.3">
      <c r="A425" t="s">
        <v>748</v>
      </c>
      <c r="B425" t="s">
        <v>749</v>
      </c>
      <c r="C425" t="s">
        <v>750</v>
      </c>
      <c r="D425" t="s">
        <v>241</v>
      </c>
      <c r="E425" t="s">
        <v>568</v>
      </c>
      <c r="F425" t="s">
        <v>51</v>
      </c>
      <c r="G425" t="s">
        <v>111</v>
      </c>
      <c r="H425" t="s">
        <v>1561</v>
      </c>
      <c r="I425" t="s">
        <v>112</v>
      </c>
      <c r="J425" t="s">
        <v>702</v>
      </c>
      <c r="K425" t="s">
        <v>1567</v>
      </c>
      <c r="L425" t="s">
        <v>1567</v>
      </c>
    </row>
    <row r="426" spans="1:12" x14ac:dyDescent="0.3">
      <c r="A426" t="s">
        <v>748</v>
      </c>
      <c r="B426" t="s">
        <v>749</v>
      </c>
      <c r="C426" t="s">
        <v>750</v>
      </c>
      <c r="D426" t="s">
        <v>242</v>
      </c>
      <c r="E426" t="s">
        <v>568</v>
      </c>
      <c r="F426" t="s">
        <v>163</v>
      </c>
      <c r="G426" t="s">
        <v>111</v>
      </c>
      <c r="H426" t="s">
        <v>703</v>
      </c>
      <c r="I426" t="s">
        <v>112</v>
      </c>
      <c r="J426" t="s">
        <v>702</v>
      </c>
      <c r="K426" t="s">
        <v>1542</v>
      </c>
      <c r="L426" t="s">
        <v>1542</v>
      </c>
    </row>
    <row r="427" spans="1:12" x14ac:dyDescent="0.3">
      <c r="A427" t="s">
        <v>748</v>
      </c>
      <c r="B427" t="s">
        <v>749</v>
      </c>
      <c r="C427" t="s">
        <v>750</v>
      </c>
      <c r="D427" t="s">
        <v>244</v>
      </c>
      <c r="E427" t="s">
        <v>568</v>
      </c>
      <c r="F427" t="s">
        <v>78</v>
      </c>
      <c r="G427" t="s">
        <v>111</v>
      </c>
      <c r="H427" t="s">
        <v>1539</v>
      </c>
      <c r="I427" t="s">
        <v>112</v>
      </c>
      <c r="J427" t="s">
        <v>704</v>
      </c>
    </row>
    <row r="428" spans="1:12" x14ac:dyDescent="0.3">
      <c r="A428" t="s">
        <v>748</v>
      </c>
      <c r="B428" t="s">
        <v>749</v>
      </c>
      <c r="C428" t="s">
        <v>750</v>
      </c>
      <c r="D428" t="s">
        <v>245</v>
      </c>
      <c r="E428" t="s">
        <v>568</v>
      </c>
      <c r="F428" t="s">
        <v>82</v>
      </c>
      <c r="G428" t="s">
        <v>111</v>
      </c>
      <c r="H428" t="s">
        <v>703</v>
      </c>
      <c r="I428" t="s">
        <v>112</v>
      </c>
      <c r="J428" t="s">
        <v>702</v>
      </c>
      <c r="K428" t="s">
        <v>1555</v>
      </c>
      <c r="L428" t="s">
        <v>1555</v>
      </c>
    </row>
    <row r="429" spans="1:12" x14ac:dyDescent="0.3">
      <c r="A429" t="s">
        <v>748</v>
      </c>
      <c r="B429" t="s">
        <v>749</v>
      </c>
      <c r="C429" t="s">
        <v>750</v>
      </c>
      <c r="D429" t="s">
        <v>246</v>
      </c>
      <c r="E429" t="s">
        <v>568</v>
      </c>
      <c r="F429" t="s">
        <v>135</v>
      </c>
      <c r="G429" t="s">
        <v>111</v>
      </c>
      <c r="H429" t="s">
        <v>703</v>
      </c>
      <c r="I429" t="s">
        <v>112</v>
      </c>
      <c r="J429" t="s">
        <v>702</v>
      </c>
      <c r="K429" t="s">
        <v>1551</v>
      </c>
      <c r="L429" t="s">
        <v>1551</v>
      </c>
    </row>
    <row r="430" spans="1:12" x14ac:dyDescent="0.3">
      <c r="A430" t="s">
        <v>748</v>
      </c>
      <c r="B430" t="s">
        <v>749</v>
      </c>
      <c r="C430" t="s">
        <v>750</v>
      </c>
      <c r="D430" t="s">
        <v>319</v>
      </c>
      <c r="E430" t="s">
        <v>568</v>
      </c>
      <c r="F430" t="s">
        <v>136</v>
      </c>
      <c r="G430" t="s">
        <v>111</v>
      </c>
      <c r="H430" t="s">
        <v>703</v>
      </c>
      <c r="I430" t="s">
        <v>112</v>
      </c>
      <c r="J430" t="s">
        <v>702</v>
      </c>
      <c r="K430" t="s">
        <v>1548</v>
      </c>
      <c r="L430" t="s">
        <v>1548</v>
      </c>
    </row>
    <row r="431" spans="1:12" x14ac:dyDescent="0.3">
      <c r="A431" t="s">
        <v>748</v>
      </c>
      <c r="B431" t="s">
        <v>749</v>
      </c>
      <c r="C431" t="s">
        <v>750</v>
      </c>
      <c r="D431" t="s">
        <v>247</v>
      </c>
      <c r="E431" t="s">
        <v>568</v>
      </c>
      <c r="F431" t="s">
        <v>60</v>
      </c>
      <c r="G431" t="s">
        <v>111</v>
      </c>
      <c r="H431" t="s">
        <v>703</v>
      </c>
      <c r="I431" t="s">
        <v>112</v>
      </c>
      <c r="J431" t="s">
        <v>702</v>
      </c>
      <c r="K431" t="s">
        <v>1555</v>
      </c>
      <c r="L431" t="s">
        <v>1555</v>
      </c>
    </row>
    <row r="432" spans="1:12" x14ac:dyDescent="0.3">
      <c r="A432" t="s">
        <v>748</v>
      </c>
      <c r="B432" t="s">
        <v>749</v>
      </c>
      <c r="C432" t="s">
        <v>750</v>
      </c>
      <c r="D432" t="s">
        <v>248</v>
      </c>
      <c r="E432" t="s">
        <v>568</v>
      </c>
      <c r="F432" t="s">
        <v>137</v>
      </c>
      <c r="G432" t="s">
        <v>111</v>
      </c>
      <c r="H432" t="s">
        <v>703</v>
      </c>
      <c r="I432" t="s">
        <v>112</v>
      </c>
      <c r="J432" t="s">
        <v>702</v>
      </c>
      <c r="K432" t="s">
        <v>1548</v>
      </c>
      <c r="L432" t="s">
        <v>1548</v>
      </c>
    </row>
    <row r="433" spans="1:12" x14ac:dyDescent="0.3">
      <c r="A433" t="s">
        <v>748</v>
      </c>
      <c r="B433" t="s">
        <v>749</v>
      </c>
      <c r="C433" t="s">
        <v>750</v>
      </c>
      <c r="D433" t="s">
        <v>251</v>
      </c>
      <c r="E433" t="s">
        <v>568</v>
      </c>
      <c r="F433" t="s">
        <v>48</v>
      </c>
      <c r="G433" t="s">
        <v>111</v>
      </c>
      <c r="H433" t="s">
        <v>182</v>
      </c>
      <c r="I433" t="s">
        <v>112</v>
      </c>
      <c r="J433" t="s">
        <v>183</v>
      </c>
      <c r="K433" t="s">
        <v>1537</v>
      </c>
      <c r="L433" t="s">
        <v>1537</v>
      </c>
    </row>
    <row r="434" spans="1:12" x14ac:dyDescent="0.3">
      <c r="A434" t="s">
        <v>748</v>
      </c>
      <c r="B434" t="s">
        <v>749</v>
      </c>
      <c r="C434" t="s">
        <v>750</v>
      </c>
      <c r="D434" t="s">
        <v>252</v>
      </c>
      <c r="E434" t="s">
        <v>568</v>
      </c>
      <c r="F434" t="s">
        <v>138</v>
      </c>
      <c r="G434" t="s">
        <v>111</v>
      </c>
      <c r="H434" t="s">
        <v>1539</v>
      </c>
      <c r="I434" t="s">
        <v>112</v>
      </c>
      <c r="J434" t="s">
        <v>704</v>
      </c>
    </row>
    <row r="435" spans="1:12" x14ac:dyDescent="0.3">
      <c r="A435" t="s">
        <v>748</v>
      </c>
      <c r="B435" t="s">
        <v>749</v>
      </c>
      <c r="C435" t="s">
        <v>750</v>
      </c>
      <c r="D435" t="s">
        <v>254</v>
      </c>
      <c r="E435" t="s">
        <v>568</v>
      </c>
      <c r="F435" t="s">
        <v>139</v>
      </c>
      <c r="G435" t="s">
        <v>111</v>
      </c>
      <c r="H435" t="s">
        <v>703</v>
      </c>
      <c r="I435" t="s">
        <v>112</v>
      </c>
      <c r="J435" t="s">
        <v>702</v>
      </c>
      <c r="K435" t="s">
        <v>1555</v>
      </c>
      <c r="L435" t="s">
        <v>1555</v>
      </c>
    </row>
    <row r="436" spans="1:12" x14ac:dyDescent="0.3">
      <c r="A436" t="s">
        <v>748</v>
      </c>
      <c r="B436" t="s">
        <v>749</v>
      </c>
      <c r="C436" t="s">
        <v>750</v>
      </c>
      <c r="D436" t="s">
        <v>320</v>
      </c>
      <c r="E436" t="s">
        <v>568</v>
      </c>
      <c r="F436" t="s">
        <v>172</v>
      </c>
      <c r="G436" t="s">
        <v>111</v>
      </c>
      <c r="H436" t="s">
        <v>1561</v>
      </c>
      <c r="I436" t="s">
        <v>112</v>
      </c>
      <c r="J436" t="s">
        <v>702</v>
      </c>
      <c r="K436" t="s">
        <v>1568</v>
      </c>
      <c r="L436" t="s">
        <v>1568</v>
      </c>
    </row>
    <row r="437" spans="1:12" x14ac:dyDescent="0.3">
      <c r="A437" t="s">
        <v>748</v>
      </c>
      <c r="B437" t="s">
        <v>749</v>
      </c>
      <c r="C437" t="s">
        <v>750</v>
      </c>
      <c r="D437" t="s">
        <v>321</v>
      </c>
      <c r="E437" t="s">
        <v>568</v>
      </c>
      <c r="F437" t="s">
        <v>94</v>
      </c>
      <c r="G437" t="s">
        <v>111</v>
      </c>
      <c r="H437" t="s">
        <v>1561</v>
      </c>
      <c r="I437" t="s">
        <v>112</v>
      </c>
      <c r="J437" t="s">
        <v>702</v>
      </c>
    </row>
    <row r="438" spans="1:12" x14ac:dyDescent="0.3">
      <c r="A438" t="s">
        <v>748</v>
      </c>
      <c r="B438" t="s">
        <v>749</v>
      </c>
      <c r="C438" t="s">
        <v>750</v>
      </c>
      <c r="D438" t="s">
        <v>256</v>
      </c>
      <c r="E438" t="s">
        <v>568</v>
      </c>
      <c r="F438" t="s">
        <v>57</v>
      </c>
      <c r="G438" t="s">
        <v>111</v>
      </c>
      <c r="H438" t="s">
        <v>182</v>
      </c>
      <c r="I438" t="s">
        <v>112</v>
      </c>
      <c r="J438" t="s">
        <v>183</v>
      </c>
      <c r="K438" t="s">
        <v>1535</v>
      </c>
      <c r="L438" t="s">
        <v>1535</v>
      </c>
    </row>
    <row r="439" spans="1:12" x14ac:dyDescent="0.3">
      <c r="A439" t="s">
        <v>748</v>
      </c>
      <c r="B439" t="s">
        <v>749</v>
      </c>
      <c r="C439" t="s">
        <v>750</v>
      </c>
      <c r="D439" t="s">
        <v>322</v>
      </c>
      <c r="E439" t="s">
        <v>568</v>
      </c>
      <c r="F439" t="s">
        <v>173</v>
      </c>
      <c r="G439" t="s">
        <v>111</v>
      </c>
      <c r="H439" t="s">
        <v>703</v>
      </c>
      <c r="I439" t="s">
        <v>112</v>
      </c>
      <c r="J439" t="s">
        <v>702</v>
      </c>
      <c r="K439" t="s">
        <v>1542</v>
      </c>
      <c r="L439" t="s">
        <v>1542</v>
      </c>
    </row>
    <row r="440" spans="1:12" x14ac:dyDescent="0.3">
      <c r="A440" t="s">
        <v>748</v>
      </c>
      <c r="B440" t="s">
        <v>749</v>
      </c>
      <c r="C440" t="s">
        <v>750</v>
      </c>
      <c r="D440" t="s">
        <v>257</v>
      </c>
      <c r="E440" t="s">
        <v>568</v>
      </c>
      <c r="F440" t="s">
        <v>174</v>
      </c>
      <c r="G440" t="s">
        <v>111</v>
      </c>
      <c r="H440" t="s">
        <v>1539</v>
      </c>
      <c r="I440" t="s">
        <v>112</v>
      </c>
      <c r="J440" t="s">
        <v>704</v>
      </c>
    </row>
    <row r="441" spans="1:12" x14ac:dyDescent="0.3">
      <c r="A441" t="s">
        <v>748</v>
      </c>
      <c r="B441" t="s">
        <v>749</v>
      </c>
      <c r="C441" t="s">
        <v>750</v>
      </c>
      <c r="D441" t="s">
        <v>324</v>
      </c>
      <c r="E441" t="s">
        <v>568</v>
      </c>
      <c r="F441" t="s">
        <v>102</v>
      </c>
      <c r="G441" t="s">
        <v>111</v>
      </c>
      <c r="H441" t="s">
        <v>703</v>
      </c>
      <c r="I441" t="s">
        <v>112</v>
      </c>
      <c r="J441" t="s">
        <v>702</v>
      </c>
      <c r="K441" t="s">
        <v>1563</v>
      </c>
      <c r="L441" t="s">
        <v>1563</v>
      </c>
    </row>
    <row r="442" spans="1:12" x14ac:dyDescent="0.3">
      <c r="A442" t="s">
        <v>748</v>
      </c>
      <c r="B442" t="s">
        <v>749</v>
      </c>
      <c r="C442" t="s">
        <v>750</v>
      </c>
      <c r="D442" t="s">
        <v>260</v>
      </c>
      <c r="E442" t="s">
        <v>568</v>
      </c>
      <c r="F442" t="s">
        <v>140</v>
      </c>
      <c r="G442" t="s">
        <v>111</v>
      </c>
      <c r="H442" t="s">
        <v>1569</v>
      </c>
      <c r="I442" t="s">
        <v>112</v>
      </c>
      <c r="J442" t="s">
        <v>1544</v>
      </c>
      <c r="K442" t="s">
        <v>1541</v>
      </c>
      <c r="L442" t="s">
        <v>1541</v>
      </c>
    </row>
    <row r="443" spans="1:12" x14ac:dyDescent="0.3">
      <c r="A443" t="s">
        <v>748</v>
      </c>
      <c r="B443" t="s">
        <v>749</v>
      </c>
      <c r="C443" t="s">
        <v>750</v>
      </c>
      <c r="D443" t="s">
        <v>261</v>
      </c>
      <c r="E443" t="s">
        <v>568</v>
      </c>
      <c r="F443" t="s">
        <v>175</v>
      </c>
      <c r="G443" t="s">
        <v>111</v>
      </c>
      <c r="H443" t="s">
        <v>1553</v>
      </c>
      <c r="I443" t="s">
        <v>112</v>
      </c>
      <c r="J443" t="s">
        <v>1554</v>
      </c>
      <c r="K443" t="s">
        <v>1555</v>
      </c>
      <c r="L443" t="s">
        <v>1555</v>
      </c>
    </row>
    <row r="444" spans="1:12" x14ac:dyDescent="0.3">
      <c r="A444" t="s">
        <v>748</v>
      </c>
      <c r="B444" t="s">
        <v>749</v>
      </c>
      <c r="C444" t="s">
        <v>750</v>
      </c>
      <c r="D444" t="s">
        <v>325</v>
      </c>
      <c r="E444" t="s">
        <v>568</v>
      </c>
      <c r="F444" t="s">
        <v>46</v>
      </c>
      <c r="G444" t="s">
        <v>111</v>
      </c>
      <c r="H444" t="s">
        <v>1539</v>
      </c>
      <c r="I444" t="s">
        <v>112</v>
      </c>
      <c r="J444" t="s">
        <v>704</v>
      </c>
    </row>
    <row r="445" spans="1:12" x14ac:dyDescent="0.3">
      <c r="A445" t="s">
        <v>748</v>
      </c>
      <c r="B445" t="s">
        <v>749</v>
      </c>
      <c r="C445" t="s">
        <v>750</v>
      </c>
      <c r="D445" t="s">
        <v>262</v>
      </c>
      <c r="E445" t="s">
        <v>568</v>
      </c>
      <c r="F445" t="s">
        <v>202</v>
      </c>
      <c r="G445" t="s">
        <v>111</v>
      </c>
      <c r="H445" t="s">
        <v>703</v>
      </c>
      <c r="I445" t="s">
        <v>112</v>
      </c>
      <c r="J445" t="s">
        <v>702</v>
      </c>
      <c r="K445" t="s">
        <v>1570</v>
      </c>
      <c r="L445" t="s">
        <v>1570</v>
      </c>
    </row>
    <row r="446" spans="1:12" x14ac:dyDescent="0.3">
      <c r="A446" t="s">
        <v>748</v>
      </c>
      <c r="B446" t="s">
        <v>749</v>
      </c>
      <c r="C446" t="s">
        <v>750</v>
      </c>
      <c r="D446" t="s">
        <v>263</v>
      </c>
      <c r="E446" t="s">
        <v>568</v>
      </c>
      <c r="F446" t="s">
        <v>141</v>
      </c>
      <c r="G446" t="s">
        <v>111</v>
      </c>
      <c r="H446" t="s">
        <v>703</v>
      </c>
      <c r="I446" t="s">
        <v>112</v>
      </c>
      <c r="J446" t="s">
        <v>702</v>
      </c>
      <c r="K446" t="s">
        <v>1555</v>
      </c>
      <c r="L446" t="s">
        <v>1555</v>
      </c>
    </row>
    <row r="447" spans="1:12" x14ac:dyDescent="0.3">
      <c r="A447" t="s">
        <v>748</v>
      </c>
      <c r="B447" t="s">
        <v>749</v>
      </c>
      <c r="C447" t="s">
        <v>750</v>
      </c>
      <c r="D447" t="s">
        <v>264</v>
      </c>
      <c r="E447" t="s">
        <v>568</v>
      </c>
      <c r="F447" t="s">
        <v>64</v>
      </c>
      <c r="G447" t="s">
        <v>111</v>
      </c>
      <c r="H447" t="s">
        <v>1561</v>
      </c>
      <c r="I447" t="s">
        <v>112</v>
      </c>
      <c r="J447" t="s">
        <v>702</v>
      </c>
    </row>
    <row r="448" spans="1:12" x14ac:dyDescent="0.3">
      <c r="A448" t="s">
        <v>748</v>
      </c>
      <c r="B448" t="s">
        <v>749</v>
      </c>
      <c r="C448" t="s">
        <v>750</v>
      </c>
      <c r="D448" t="s">
        <v>265</v>
      </c>
      <c r="E448" t="s">
        <v>568</v>
      </c>
      <c r="F448" t="s">
        <v>142</v>
      </c>
      <c r="G448" t="s">
        <v>111</v>
      </c>
      <c r="H448" t="s">
        <v>703</v>
      </c>
      <c r="I448" t="s">
        <v>112</v>
      </c>
      <c r="J448" t="s">
        <v>702</v>
      </c>
      <c r="K448" t="s">
        <v>1548</v>
      </c>
      <c r="L448" t="s">
        <v>1548</v>
      </c>
    </row>
    <row r="449" spans="1:12" x14ac:dyDescent="0.3">
      <c r="A449" t="s">
        <v>748</v>
      </c>
      <c r="B449" t="s">
        <v>749</v>
      </c>
      <c r="C449" t="s">
        <v>750</v>
      </c>
      <c r="D449" t="s">
        <v>266</v>
      </c>
      <c r="E449" t="s">
        <v>568</v>
      </c>
      <c r="F449" t="s">
        <v>75</v>
      </c>
      <c r="G449" t="s">
        <v>111</v>
      </c>
      <c r="H449" t="s">
        <v>703</v>
      </c>
      <c r="I449" t="s">
        <v>112</v>
      </c>
      <c r="J449" t="s">
        <v>702</v>
      </c>
      <c r="K449" t="s">
        <v>1571</v>
      </c>
      <c r="L449" t="s">
        <v>1571</v>
      </c>
    </row>
    <row r="450" spans="1:12" x14ac:dyDescent="0.3">
      <c r="A450" t="s">
        <v>748</v>
      </c>
      <c r="B450" t="s">
        <v>749</v>
      </c>
      <c r="C450" t="s">
        <v>750</v>
      </c>
      <c r="D450" t="s">
        <v>267</v>
      </c>
      <c r="E450" t="s">
        <v>568</v>
      </c>
      <c r="F450" t="s">
        <v>143</v>
      </c>
      <c r="G450" t="s">
        <v>111</v>
      </c>
      <c r="H450" t="s">
        <v>1553</v>
      </c>
      <c r="I450" t="s">
        <v>112</v>
      </c>
      <c r="J450" t="s">
        <v>1554</v>
      </c>
      <c r="K450" t="s">
        <v>1536</v>
      </c>
      <c r="L450" t="s">
        <v>1536</v>
      </c>
    </row>
    <row r="451" spans="1:12" x14ac:dyDescent="0.3">
      <c r="A451" t="s">
        <v>748</v>
      </c>
      <c r="B451" t="s">
        <v>749</v>
      </c>
      <c r="C451" t="s">
        <v>750</v>
      </c>
      <c r="D451" t="s">
        <v>269</v>
      </c>
      <c r="E451" t="s">
        <v>568</v>
      </c>
      <c r="F451" t="s">
        <v>145</v>
      </c>
      <c r="G451" t="s">
        <v>111</v>
      </c>
      <c r="H451" t="s">
        <v>703</v>
      </c>
      <c r="I451" t="s">
        <v>112</v>
      </c>
      <c r="J451" t="s">
        <v>702</v>
      </c>
      <c r="K451" t="s">
        <v>1551</v>
      </c>
      <c r="L451" t="s">
        <v>1551</v>
      </c>
    </row>
    <row r="452" spans="1:12" x14ac:dyDescent="0.3">
      <c r="A452" t="s">
        <v>748</v>
      </c>
      <c r="B452" t="s">
        <v>749</v>
      </c>
      <c r="C452" t="s">
        <v>750</v>
      </c>
      <c r="D452" t="s">
        <v>270</v>
      </c>
      <c r="E452" t="s">
        <v>568</v>
      </c>
      <c r="F452" t="s">
        <v>81</v>
      </c>
      <c r="G452" t="s">
        <v>111</v>
      </c>
      <c r="H452" t="s">
        <v>703</v>
      </c>
      <c r="I452" t="s">
        <v>112</v>
      </c>
      <c r="J452" t="s">
        <v>702</v>
      </c>
      <c r="K452" t="s">
        <v>1572</v>
      </c>
      <c r="L452" t="s">
        <v>1572</v>
      </c>
    </row>
    <row r="453" spans="1:12" x14ac:dyDescent="0.3">
      <c r="A453" t="s">
        <v>748</v>
      </c>
      <c r="B453" t="s">
        <v>749</v>
      </c>
      <c r="C453" t="s">
        <v>750</v>
      </c>
      <c r="D453" t="s">
        <v>272</v>
      </c>
      <c r="E453" t="s">
        <v>567</v>
      </c>
      <c r="F453" t="s">
        <v>52</v>
      </c>
      <c r="G453" t="s">
        <v>111</v>
      </c>
      <c r="H453" t="s">
        <v>182</v>
      </c>
      <c r="I453" t="s">
        <v>112</v>
      </c>
      <c r="J453" t="s">
        <v>183</v>
      </c>
      <c r="K453" t="s">
        <v>1537</v>
      </c>
      <c r="L453" t="s">
        <v>1537</v>
      </c>
    </row>
    <row r="454" spans="1:12" x14ac:dyDescent="0.3">
      <c r="A454" t="s">
        <v>748</v>
      </c>
      <c r="B454" t="s">
        <v>749</v>
      </c>
      <c r="C454" t="s">
        <v>750</v>
      </c>
      <c r="D454" t="s">
        <v>327</v>
      </c>
      <c r="E454" t="s">
        <v>567</v>
      </c>
      <c r="F454" t="s">
        <v>104</v>
      </c>
      <c r="G454" t="s">
        <v>111</v>
      </c>
      <c r="H454" t="s">
        <v>1543</v>
      </c>
      <c r="I454" t="s">
        <v>112</v>
      </c>
      <c r="J454" t="s">
        <v>1544</v>
      </c>
    </row>
    <row r="455" spans="1:12" x14ac:dyDescent="0.3">
      <c r="A455" t="s">
        <v>748</v>
      </c>
      <c r="B455" t="s">
        <v>749</v>
      </c>
      <c r="C455" t="s">
        <v>750</v>
      </c>
      <c r="D455" t="s">
        <v>274</v>
      </c>
      <c r="E455" t="s">
        <v>567</v>
      </c>
      <c r="F455" t="s">
        <v>146</v>
      </c>
      <c r="G455" t="s">
        <v>111</v>
      </c>
      <c r="H455" t="s">
        <v>1561</v>
      </c>
      <c r="I455" t="s">
        <v>112</v>
      </c>
      <c r="J455" t="s">
        <v>702</v>
      </c>
    </row>
    <row r="456" spans="1:12" x14ac:dyDescent="0.3">
      <c r="A456" t="s">
        <v>748</v>
      </c>
      <c r="B456" t="s">
        <v>749</v>
      </c>
      <c r="C456" t="s">
        <v>750</v>
      </c>
      <c r="D456" t="s">
        <v>275</v>
      </c>
      <c r="E456" t="s">
        <v>567</v>
      </c>
      <c r="F456" t="s">
        <v>148</v>
      </c>
      <c r="G456" t="s">
        <v>111</v>
      </c>
      <c r="H456" t="s">
        <v>703</v>
      </c>
      <c r="I456" t="s">
        <v>112</v>
      </c>
      <c r="J456" t="s">
        <v>702</v>
      </c>
      <c r="K456" t="s">
        <v>1563</v>
      </c>
      <c r="L456" t="s">
        <v>1563</v>
      </c>
    </row>
    <row r="457" spans="1:12" x14ac:dyDescent="0.3">
      <c r="A457" t="s">
        <v>748</v>
      </c>
      <c r="B457" t="s">
        <v>749</v>
      </c>
      <c r="C457" t="s">
        <v>750</v>
      </c>
      <c r="D457" t="s">
        <v>276</v>
      </c>
      <c r="E457" t="s">
        <v>567</v>
      </c>
      <c r="F457" t="s">
        <v>149</v>
      </c>
      <c r="G457" t="s">
        <v>111</v>
      </c>
      <c r="H457" t="s">
        <v>1543</v>
      </c>
      <c r="I457" t="s">
        <v>112</v>
      </c>
      <c r="J457" t="s">
        <v>1544</v>
      </c>
      <c r="K457" t="s">
        <v>1573</v>
      </c>
      <c r="L457" t="s">
        <v>1573</v>
      </c>
    </row>
    <row r="458" spans="1:12" x14ac:dyDescent="0.3">
      <c r="A458" t="s">
        <v>748</v>
      </c>
      <c r="B458" t="s">
        <v>749</v>
      </c>
      <c r="C458" t="s">
        <v>750</v>
      </c>
      <c r="D458" t="s">
        <v>277</v>
      </c>
      <c r="E458" t="s">
        <v>567</v>
      </c>
      <c r="F458" t="s">
        <v>83</v>
      </c>
      <c r="G458" t="s">
        <v>111</v>
      </c>
      <c r="H458" t="s">
        <v>703</v>
      </c>
      <c r="I458" t="s">
        <v>112</v>
      </c>
      <c r="J458" t="s">
        <v>702</v>
      </c>
      <c r="K458" t="s">
        <v>1574</v>
      </c>
      <c r="L458" t="s">
        <v>1574</v>
      </c>
    </row>
    <row r="459" spans="1:12" x14ac:dyDescent="0.3">
      <c r="A459" t="s">
        <v>748</v>
      </c>
      <c r="B459" t="s">
        <v>749</v>
      </c>
      <c r="C459" t="s">
        <v>750</v>
      </c>
      <c r="D459" t="s">
        <v>278</v>
      </c>
      <c r="E459" t="s">
        <v>567</v>
      </c>
      <c r="F459" t="s">
        <v>203</v>
      </c>
      <c r="G459" t="s">
        <v>111</v>
      </c>
      <c r="H459" t="s">
        <v>703</v>
      </c>
      <c r="I459" t="s">
        <v>112</v>
      </c>
      <c r="J459" t="s">
        <v>702</v>
      </c>
      <c r="K459" t="s">
        <v>1575</v>
      </c>
      <c r="L459" t="s">
        <v>1575</v>
      </c>
    </row>
    <row r="460" spans="1:12" x14ac:dyDescent="0.3">
      <c r="A460" t="s">
        <v>748</v>
      </c>
      <c r="B460" t="s">
        <v>749</v>
      </c>
      <c r="C460" t="s">
        <v>750</v>
      </c>
      <c r="D460" t="s">
        <v>279</v>
      </c>
      <c r="E460" t="s">
        <v>567</v>
      </c>
      <c r="F460" t="s">
        <v>150</v>
      </c>
      <c r="G460" t="s">
        <v>111</v>
      </c>
      <c r="H460" t="s">
        <v>1576</v>
      </c>
      <c r="I460" t="s">
        <v>112</v>
      </c>
      <c r="J460" t="s">
        <v>1554</v>
      </c>
      <c r="K460" t="s">
        <v>1547</v>
      </c>
      <c r="L460" t="s">
        <v>1547</v>
      </c>
    </row>
    <row r="461" spans="1:12" x14ac:dyDescent="0.3">
      <c r="A461" t="s">
        <v>748</v>
      </c>
      <c r="B461" t="s">
        <v>749</v>
      </c>
      <c r="C461" t="s">
        <v>750</v>
      </c>
      <c r="D461" t="s">
        <v>280</v>
      </c>
      <c r="E461" t="s">
        <v>567</v>
      </c>
      <c r="F461" t="s">
        <v>71</v>
      </c>
      <c r="G461" t="s">
        <v>111</v>
      </c>
      <c r="H461" t="s">
        <v>703</v>
      </c>
      <c r="I461" t="s">
        <v>112</v>
      </c>
      <c r="J461" t="s">
        <v>702</v>
      </c>
      <c r="K461" t="s">
        <v>1542</v>
      </c>
      <c r="L461" t="s">
        <v>1542</v>
      </c>
    </row>
    <row r="462" spans="1:12" x14ac:dyDescent="0.3">
      <c r="A462" t="s">
        <v>748</v>
      </c>
      <c r="B462" t="s">
        <v>749</v>
      </c>
      <c r="C462" t="s">
        <v>750</v>
      </c>
      <c r="D462" t="s">
        <v>281</v>
      </c>
      <c r="E462" t="s">
        <v>567</v>
      </c>
      <c r="F462" t="s">
        <v>84</v>
      </c>
      <c r="G462" t="s">
        <v>111</v>
      </c>
      <c r="H462" t="s">
        <v>1553</v>
      </c>
      <c r="I462" t="s">
        <v>112</v>
      </c>
      <c r="J462" t="s">
        <v>1554</v>
      </c>
      <c r="K462" t="s">
        <v>1555</v>
      </c>
      <c r="L462" t="s">
        <v>1555</v>
      </c>
    </row>
    <row r="463" spans="1:12" x14ac:dyDescent="0.3">
      <c r="A463" t="s">
        <v>748</v>
      </c>
      <c r="B463" t="s">
        <v>749</v>
      </c>
      <c r="C463" t="s">
        <v>750</v>
      </c>
      <c r="D463" t="s">
        <v>282</v>
      </c>
      <c r="E463" t="s">
        <v>567</v>
      </c>
      <c r="F463" t="s">
        <v>90</v>
      </c>
      <c r="G463" t="s">
        <v>111</v>
      </c>
      <c r="H463" t="s">
        <v>703</v>
      </c>
      <c r="I463" t="s">
        <v>112</v>
      </c>
      <c r="J463" t="s">
        <v>702</v>
      </c>
      <c r="K463" t="s">
        <v>1548</v>
      </c>
      <c r="L463" t="s">
        <v>1548</v>
      </c>
    </row>
    <row r="464" spans="1:12" x14ac:dyDescent="0.3">
      <c r="A464" t="s">
        <v>748</v>
      </c>
      <c r="B464" t="s">
        <v>749</v>
      </c>
      <c r="C464" t="s">
        <v>750</v>
      </c>
      <c r="D464" t="s">
        <v>329</v>
      </c>
      <c r="E464" t="s">
        <v>567</v>
      </c>
      <c r="F464" t="s">
        <v>92</v>
      </c>
      <c r="G464" t="s">
        <v>111</v>
      </c>
      <c r="H464" t="s">
        <v>1553</v>
      </c>
      <c r="I464" t="s">
        <v>112</v>
      </c>
      <c r="J464" t="s">
        <v>1554</v>
      </c>
      <c r="K464" t="s">
        <v>1555</v>
      </c>
      <c r="L464" t="s">
        <v>1555</v>
      </c>
    </row>
    <row r="465" spans="1:12" x14ac:dyDescent="0.3">
      <c r="A465" t="s">
        <v>748</v>
      </c>
      <c r="B465" t="s">
        <v>749</v>
      </c>
      <c r="C465" t="s">
        <v>750</v>
      </c>
      <c r="D465" t="s">
        <v>283</v>
      </c>
      <c r="E465" t="s">
        <v>567</v>
      </c>
      <c r="F465" t="s">
        <v>63</v>
      </c>
      <c r="G465" t="s">
        <v>111</v>
      </c>
      <c r="H465" t="s">
        <v>703</v>
      </c>
      <c r="I465" t="s">
        <v>112</v>
      </c>
      <c r="J465" t="s">
        <v>702</v>
      </c>
      <c r="K465" t="s">
        <v>1555</v>
      </c>
      <c r="L465" t="s">
        <v>1555</v>
      </c>
    </row>
    <row r="466" spans="1:12" x14ac:dyDescent="0.3">
      <c r="A466" t="s">
        <v>748</v>
      </c>
      <c r="B466" t="s">
        <v>749</v>
      </c>
      <c r="C466" t="s">
        <v>750</v>
      </c>
      <c r="D466" t="s">
        <v>284</v>
      </c>
      <c r="E466" t="s">
        <v>567</v>
      </c>
      <c r="F466" t="s">
        <v>151</v>
      </c>
      <c r="G466" t="s">
        <v>111</v>
      </c>
      <c r="H466" t="s">
        <v>182</v>
      </c>
      <c r="I466" t="s">
        <v>112</v>
      </c>
      <c r="J466" t="s">
        <v>183</v>
      </c>
      <c r="K466" t="s">
        <v>1537</v>
      </c>
      <c r="L466" t="s">
        <v>1537</v>
      </c>
    </row>
    <row r="467" spans="1:12" x14ac:dyDescent="0.3">
      <c r="A467" t="s">
        <v>748</v>
      </c>
      <c r="B467" t="s">
        <v>749</v>
      </c>
      <c r="C467" t="s">
        <v>750</v>
      </c>
      <c r="D467" t="s">
        <v>285</v>
      </c>
      <c r="E467" t="s">
        <v>567</v>
      </c>
      <c r="F467" t="s">
        <v>195</v>
      </c>
      <c r="G467" t="s">
        <v>111</v>
      </c>
      <c r="H467" t="s">
        <v>703</v>
      </c>
      <c r="I467" t="s">
        <v>112</v>
      </c>
      <c r="J467" t="s">
        <v>702</v>
      </c>
      <c r="K467" t="s">
        <v>1559</v>
      </c>
      <c r="L467" t="s">
        <v>1559</v>
      </c>
    </row>
    <row r="468" spans="1:12" x14ac:dyDescent="0.3">
      <c r="A468" t="s">
        <v>748</v>
      </c>
      <c r="B468" t="s">
        <v>749</v>
      </c>
      <c r="C468" t="s">
        <v>750</v>
      </c>
      <c r="D468" t="s">
        <v>330</v>
      </c>
      <c r="E468" t="s">
        <v>567</v>
      </c>
      <c r="F468" t="s">
        <v>177</v>
      </c>
      <c r="G468" t="s">
        <v>111</v>
      </c>
      <c r="H468" t="s">
        <v>703</v>
      </c>
      <c r="I468" t="s">
        <v>112</v>
      </c>
      <c r="J468" t="s">
        <v>702</v>
      </c>
      <c r="K468" t="s">
        <v>1551</v>
      </c>
      <c r="L468" t="s">
        <v>1551</v>
      </c>
    </row>
    <row r="469" spans="1:12" x14ac:dyDescent="0.3">
      <c r="A469" t="s">
        <v>748</v>
      </c>
      <c r="B469" t="s">
        <v>749</v>
      </c>
      <c r="C469" t="s">
        <v>750</v>
      </c>
      <c r="D469" t="s">
        <v>331</v>
      </c>
      <c r="E469" t="s">
        <v>567</v>
      </c>
      <c r="F469" t="s">
        <v>91</v>
      </c>
      <c r="G469" t="s">
        <v>111</v>
      </c>
      <c r="H469" t="s">
        <v>1549</v>
      </c>
      <c r="I469" t="s">
        <v>112</v>
      </c>
      <c r="J469" t="s">
        <v>1544</v>
      </c>
      <c r="K469" t="s">
        <v>1559</v>
      </c>
      <c r="L469" t="s">
        <v>1559</v>
      </c>
    </row>
    <row r="470" spans="1:12" x14ac:dyDescent="0.3">
      <c r="A470" t="s">
        <v>748</v>
      </c>
      <c r="B470" t="s">
        <v>749</v>
      </c>
      <c r="C470" t="s">
        <v>750</v>
      </c>
      <c r="D470" t="s">
        <v>288</v>
      </c>
      <c r="E470" t="s">
        <v>567</v>
      </c>
      <c r="F470" t="s">
        <v>178</v>
      </c>
      <c r="G470" t="s">
        <v>111</v>
      </c>
      <c r="H470" t="s">
        <v>1561</v>
      </c>
      <c r="I470" t="s">
        <v>112</v>
      </c>
      <c r="J470" t="s">
        <v>702</v>
      </c>
    </row>
    <row r="471" spans="1:12" x14ac:dyDescent="0.3">
      <c r="A471" t="s">
        <v>748</v>
      </c>
      <c r="B471" t="s">
        <v>749</v>
      </c>
      <c r="C471" t="s">
        <v>750</v>
      </c>
      <c r="D471" t="s">
        <v>289</v>
      </c>
      <c r="E471" t="s">
        <v>567</v>
      </c>
      <c r="F471" t="s">
        <v>179</v>
      </c>
      <c r="G471" t="s">
        <v>111</v>
      </c>
      <c r="H471" t="s">
        <v>1539</v>
      </c>
      <c r="I471" t="s">
        <v>112</v>
      </c>
      <c r="J471" t="s">
        <v>704</v>
      </c>
      <c r="K471" t="s">
        <v>1562</v>
      </c>
      <c r="L471" t="s">
        <v>1562</v>
      </c>
    </row>
    <row r="472" spans="1:12" x14ac:dyDescent="0.3">
      <c r="A472" t="s">
        <v>748</v>
      </c>
      <c r="B472" t="s">
        <v>749</v>
      </c>
      <c r="C472" t="s">
        <v>750</v>
      </c>
      <c r="D472" t="s">
        <v>290</v>
      </c>
      <c r="E472" t="s">
        <v>567</v>
      </c>
      <c r="F472" t="s">
        <v>153</v>
      </c>
      <c r="G472" t="s">
        <v>111</v>
      </c>
      <c r="H472" t="s">
        <v>1539</v>
      </c>
      <c r="I472" t="s">
        <v>112</v>
      </c>
      <c r="J472" t="s">
        <v>704</v>
      </c>
      <c r="K472" t="s">
        <v>1577</v>
      </c>
      <c r="L472" t="s">
        <v>1577</v>
      </c>
    </row>
    <row r="473" spans="1:12" x14ac:dyDescent="0.3">
      <c r="A473" t="s">
        <v>748</v>
      </c>
      <c r="B473" t="s">
        <v>749</v>
      </c>
      <c r="C473" t="s">
        <v>750</v>
      </c>
      <c r="D473" t="s">
        <v>292</v>
      </c>
      <c r="E473" t="s">
        <v>567</v>
      </c>
      <c r="F473" t="s">
        <v>55</v>
      </c>
      <c r="G473" t="s">
        <v>111</v>
      </c>
      <c r="H473" t="s">
        <v>1539</v>
      </c>
      <c r="I473" t="s">
        <v>112</v>
      </c>
      <c r="J473" t="s">
        <v>704</v>
      </c>
    </row>
    <row r="474" spans="1:12" x14ac:dyDescent="0.3">
      <c r="A474" t="s">
        <v>748</v>
      </c>
      <c r="B474" t="s">
        <v>749</v>
      </c>
      <c r="C474" t="s">
        <v>750</v>
      </c>
      <c r="D474" t="s">
        <v>293</v>
      </c>
      <c r="E474" t="s">
        <v>567</v>
      </c>
      <c r="F474" t="s">
        <v>72</v>
      </c>
      <c r="G474" t="s">
        <v>111</v>
      </c>
      <c r="H474" t="s">
        <v>703</v>
      </c>
      <c r="I474" t="s">
        <v>112</v>
      </c>
      <c r="J474" t="s">
        <v>702</v>
      </c>
      <c r="K474" t="s">
        <v>1548</v>
      </c>
      <c r="L474" t="s">
        <v>1548</v>
      </c>
    </row>
    <row r="475" spans="1:12" x14ac:dyDescent="0.3">
      <c r="A475" t="s">
        <v>748</v>
      </c>
      <c r="B475" t="s">
        <v>749</v>
      </c>
      <c r="C475" t="s">
        <v>750</v>
      </c>
      <c r="D475" t="s">
        <v>334</v>
      </c>
      <c r="E475" t="s">
        <v>567</v>
      </c>
      <c r="F475" t="s">
        <v>155</v>
      </c>
      <c r="G475" t="s">
        <v>111</v>
      </c>
      <c r="H475" t="s">
        <v>1549</v>
      </c>
      <c r="I475" t="s">
        <v>112</v>
      </c>
      <c r="J475" t="s">
        <v>1544</v>
      </c>
      <c r="K475" t="s">
        <v>1578</v>
      </c>
      <c r="L475" t="s">
        <v>1578</v>
      </c>
    </row>
    <row r="476" spans="1:12" x14ac:dyDescent="0.3">
      <c r="A476" t="s">
        <v>748</v>
      </c>
      <c r="B476" t="s">
        <v>749</v>
      </c>
      <c r="C476" t="s">
        <v>750</v>
      </c>
      <c r="D476" t="s">
        <v>296</v>
      </c>
      <c r="E476" t="s">
        <v>567</v>
      </c>
      <c r="F476" t="s">
        <v>198</v>
      </c>
      <c r="G476" t="s">
        <v>111</v>
      </c>
      <c r="H476" t="s">
        <v>703</v>
      </c>
      <c r="I476" t="s">
        <v>112</v>
      </c>
      <c r="J476" t="s">
        <v>702</v>
      </c>
      <c r="K476" t="s">
        <v>1572</v>
      </c>
      <c r="L476" t="s">
        <v>1572</v>
      </c>
    </row>
    <row r="477" spans="1:12" x14ac:dyDescent="0.3">
      <c r="A477" t="s">
        <v>748</v>
      </c>
      <c r="B477" t="s">
        <v>749</v>
      </c>
      <c r="C477" t="s">
        <v>750</v>
      </c>
      <c r="D477" t="s">
        <v>298</v>
      </c>
      <c r="E477" t="s">
        <v>567</v>
      </c>
      <c r="F477" t="s">
        <v>158</v>
      </c>
      <c r="G477" t="s">
        <v>111</v>
      </c>
      <c r="H477" t="s">
        <v>703</v>
      </c>
      <c r="I477" t="s">
        <v>112</v>
      </c>
      <c r="J477" t="s">
        <v>702</v>
      </c>
      <c r="K477" t="s">
        <v>1548</v>
      </c>
      <c r="L477" t="s">
        <v>1548</v>
      </c>
    </row>
    <row r="478" spans="1:12" x14ac:dyDescent="0.3">
      <c r="A478" t="s">
        <v>748</v>
      </c>
      <c r="B478" t="s">
        <v>749</v>
      </c>
      <c r="C478" t="s">
        <v>750</v>
      </c>
      <c r="D478" t="s">
        <v>335</v>
      </c>
      <c r="E478" t="s">
        <v>567</v>
      </c>
      <c r="F478" t="s">
        <v>199</v>
      </c>
      <c r="G478" t="s">
        <v>111</v>
      </c>
      <c r="H478" t="s">
        <v>1539</v>
      </c>
      <c r="I478" t="s">
        <v>112</v>
      </c>
      <c r="J478" t="s">
        <v>704</v>
      </c>
    </row>
    <row r="479" spans="1:12" x14ac:dyDescent="0.3">
      <c r="A479" t="s">
        <v>748</v>
      </c>
      <c r="B479" t="s">
        <v>749</v>
      </c>
      <c r="C479" t="s">
        <v>750</v>
      </c>
      <c r="D479" t="s">
        <v>336</v>
      </c>
      <c r="E479" t="s">
        <v>567</v>
      </c>
      <c r="F479" t="s">
        <v>159</v>
      </c>
      <c r="G479" t="s">
        <v>111</v>
      </c>
      <c r="H479" t="s">
        <v>1553</v>
      </c>
      <c r="I479" t="s">
        <v>112</v>
      </c>
      <c r="J479" t="s">
        <v>1554</v>
      </c>
      <c r="K479" t="s">
        <v>1551</v>
      </c>
      <c r="L479" t="s">
        <v>1551</v>
      </c>
    </row>
    <row r="480" spans="1:12" x14ac:dyDescent="0.3">
      <c r="A480" t="s">
        <v>748</v>
      </c>
      <c r="B480" t="s">
        <v>749</v>
      </c>
      <c r="C480" t="s">
        <v>750</v>
      </c>
      <c r="D480" t="s">
        <v>299</v>
      </c>
      <c r="E480" t="s">
        <v>567</v>
      </c>
      <c r="F480" t="s">
        <v>47</v>
      </c>
      <c r="G480" t="s">
        <v>111</v>
      </c>
      <c r="H480" t="s">
        <v>703</v>
      </c>
      <c r="I480" t="s">
        <v>112</v>
      </c>
      <c r="J480" t="s">
        <v>702</v>
      </c>
      <c r="K480" t="s">
        <v>1563</v>
      </c>
      <c r="L480" t="s">
        <v>1563</v>
      </c>
    </row>
    <row r="481" spans="1:12" x14ac:dyDescent="0.3">
      <c r="A481" t="s">
        <v>748</v>
      </c>
      <c r="B481" t="s">
        <v>749</v>
      </c>
      <c r="C481" t="s">
        <v>750</v>
      </c>
      <c r="D481" t="s">
        <v>300</v>
      </c>
      <c r="E481" t="s">
        <v>567</v>
      </c>
      <c r="F481" t="s">
        <v>181</v>
      </c>
      <c r="G481" t="s">
        <v>111</v>
      </c>
      <c r="H481" t="s">
        <v>703</v>
      </c>
      <c r="I481" t="s">
        <v>112</v>
      </c>
      <c r="J481" t="s">
        <v>702</v>
      </c>
      <c r="K481" t="s">
        <v>1541</v>
      </c>
      <c r="L481" t="s">
        <v>1541</v>
      </c>
    </row>
    <row r="482" spans="1:12" x14ac:dyDescent="0.3">
      <c r="A482" t="s">
        <v>748</v>
      </c>
      <c r="B482" t="s">
        <v>749</v>
      </c>
      <c r="C482" t="s">
        <v>750</v>
      </c>
      <c r="D482" t="s">
        <v>301</v>
      </c>
      <c r="E482" t="s">
        <v>567</v>
      </c>
      <c r="F482" t="s">
        <v>73</v>
      </c>
      <c r="G482" t="s">
        <v>111</v>
      </c>
      <c r="H482" t="s">
        <v>703</v>
      </c>
      <c r="I482" t="s">
        <v>112</v>
      </c>
      <c r="J482" t="s">
        <v>702</v>
      </c>
      <c r="K482" t="s">
        <v>1551</v>
      </c>
      <c r="L482" t="s">
        <v>1551</v>
      </c>
    </row>
    <row r="483" spans="1:12" x14ac:dyDescent="0.3">
      <c r="A483" t="s">
        <v>748</v>
      </c>
      <c r="B483" t="s">
        <v>749</v>
      </c>
      <c r="C483" t="s">
        <v>750</v>
      </c>
      <c r="D483" t="s">
        <v>208</v>
      </c>
      <c r="E483" t="s">
        <v>567</v>
      </c>
      <c r="F483" t="s">
        <v>161</v>
      </c>
      <c r="G483" t="s">
        <v>111</v>
      </c>
      <c r="H483" t="s">
        <v>703</v>
      </c>
      <c r="I483" t="s">
        <v>112</v>
      </c>
      <c r="J483" t="s">
        <v>702</v>
      </c>
      <c r="K483" t="s">
        <v>1558</v>
      </c>
      <c r="L483" t="s">
        <v>1558</v>
      </c>
    </row>
    <row r="484" spans="1:12" x14ac:dyDescent="0.3">
      <c r="A484" t="s">
        <v>748</v>
      </c>
      <c r="B484" t="s">
        <v>749</v>
      </c>
      <c r="C484" t="s">
        <v>750</v>
      </c>
      <c r="D484" t="s">
        <v>302</v>
      </c>
      <c r="E484" t="s">
        <v>567</v>
      </c>
      <c r="F484" t="s">
        <v>162</v>
      </c>
      <c r="G484" t="s">
        <v>111</v>
      </c>
      <c r="H484" t="s">
        <v>1561</v>
      </c>
      <c r="I484" t="s">
        <v>112</v>
      </c>
      <c r="J484" t="s">
        <v>702</v>
      </c>
      <c r="K484" t="s">
        <v>1579</v>
      </c>
      <c r="L484" t="s">
        <v>1579</v>
      </c>
    </row>
    <row r="485" spans="1:12" x14ac:dyDescent="0.3">
      <c r="A485" t="s">
        <v>748</v>
      </c>
      <c r="B485" t="s">
        <v>749</v>
      </c>
      <c r="C485" t="s">
        <v>750</v>
      </c>
      <c r="D485" t="s">
        <v>1580</v>
      </c>
      <c r="E485" t="s">
        <v>569</v>
      </c>
      <c r="F485" t="s">
        <v>49</v>
      </c>
      <c r="G485" t="s">
        <v>111</v>
      </c>
      <c r="H485" t="s">
        <v>182</v>
      </c>
      <c r="I485" t="s">
        <v>112</v>
      </c>
      <c r="J485" t="s">
        <v>183</v>
      </c>
      <c r="K485" t="s">
        <v>1535</v>
      </c>
      <c r="L485" t="s">
        <v>1535</v>
      </c>
    </row>
    <row r="486" spans="1:12" x14ac:dyDescent="0.3">
      <c r="A486" t="s">
        <v>748</v>
      </c>
      <c r="B486" t="s">
        <v>749</v>
      </c>
      <c r="C486" t="s">
        <v>750</v>
      </c>
      <c r="D486" t="s">
        <v>1581</v>
      </c>
      <c r="E486" t="s">
        <v>569</v>
      </c>
      <c r="F486" t="s">
        <v>115</v>
      </c>
      <c r="G486" t="s">
        <v>111</v>
      </c>
      <c r="H486" t="s">
        <v>703</v>
      </c>
      <c r="I486" t="s">
        <v>112</v>
      </c>
      <c r="J486" t="s">
        <v>702</v>
      </c>
      <c r="K486" t="s">
        <v>1582</v>
      </c>
      <c r="L486" t="s">
        <v>1582</v>
      </c>
    </row>
    <row r="487" spans="1:12" x14ac:dyDescent="0.3">
      <c r="A487" t="s">
        <v>748</v>
      </c>
      <c r="B487" t="s">
        <v>749</v>
      </c>
      <c r="C487" t="s">
        <v>750</v>
      </c>
      <c r="D487" t="s">
        <v>1583</v>
      </c>
      <c r="E487" t="s">
        <v>569</v>
      </c>
      <c r="F487" t="s">
        <v>59</v>
      </c>
      <c r="G487" t="s">
        <v>111</v>
      </c>
      <c r="H487" t="s">
        <v>187</v>
      </c>
      <c r="I487" t="s">
        <v>112</v>
      </c>
      <c r="J487" t="s">
        <v>183</v>
      </c>
    </row>
    <row r="488" spans="1:12" x14ac:dyDescent="0.3">
      <c r="A488" t="s">
        <v>748</v>
      </c>
      <c r="B488" t="s">
        <v>749</v>
      </c>
      <c r="C488" t="s">
        <v>750</v>
      </c>
      <c r="D488" t="s">
        <v>1584</v>
      </c>
      <c r="E488" t="s">
        <v>569</v>
      </c>
      <c r="F488" t="s">
        <v>117</v>
      </c>
      <c r="G488" t="s">
        <v>111</v>
      </c>
      <c r="H488" t="s">
        <v>703</v>
      </c>
      <c r="I488" t="s">
        <v>112</v>
      </c>
      <c r="J488" t="s">
        <v>702</v>
      </c>
      <c r="K488" t="s">
        <v>1536</v>
      </c>
      <c r="L488" t="s">
        <v>1536</v>
      </c>
    </row>
    <row r="489" spans="1:12" x14ac:dyDescent="0.3">
      <c r="A489" t="s">
        <v>748</v>
      </c>
      <c r="B489" t="s">
        <v>749</v>
      </c>
      <c r="C489" t="s">
        <v>750</v>
      </c>
      <c r="D489" t="s">
        <v>1585</v>
      </c>
      <c r="E489" t="s">
        <v>569</v>
      </c>
      <c r="F489" t="s">
        <v>188</v>
      </c>
      <c r="G489" t="s">
        <v>111</v>
      </c>
      <c r="H489" t="s">
        <v>1539</v>
      </c>
      <c r="I489" t="s">
        <v>112</v>
      </c>
      <c r="J489" t="s">
        <v>704</v>
      </c>
    </row>
    <row r="490" spans="1:12" x14ac:dyDescent="0.3">
      <c r="A490" t="s">
        <v>748</v>
      </c>
      <c r="B490" t="s">
        <v>749</v>
      </c>
      <c r="C490" t="s">
        <v>750</v>
      </c>
      <c r="D490" t="s">
        <v>1586</v>
      </c>
      <c r="E490" t="s">
        <v>569</v>
      </c>
      <c r="F490" t="s">
        <v>120</v>
      </c>
      <c r="G490" t="s">
        <v>111</v>
      </c>
      <c r="H490" t="s">
        <v>703</v>
      </c>
      <c r="I490" t="s">
        <v>112</v>
      </c>
      <c r="J490" t="s">
        <v>702</v>
      </c>
      <c r="K490" t="s">
        <v>1537</v>
      </c>
      <c r="L490" t="s">
        <v>1537</v>
      </c>
    </row>
    <row r="491" spans="1:12" x14ac:dyDescent="0.3">
      <c r="A491" t="s">
        <v>748</v>
      </c>
      <c r="B491" t="s">
        <v>749</v>
      </c>
      <c r="C491" t="s">
        <v>750</v>
      </c>
      <c r="D491" t="s">
        <v>1587</v>
      </c>
      <c r="E491" t="s">
        <v>569</v>
      </c>
      <c r="F491" t="s">
        <v>164</v>
      </c>
      <c r="G491" t="s">
        <v>111</v>
      </c>
      <c r="H491" t="s">
        <v>703</v>
      </c>
      <c r="I491" t="s">
        <v>112</v>
      </c>
      <c r="J491" t="s">
        <v>702</v>
      </c>
      <c r="K491" t="s">
        <v>1538</v>
      </c>
      <c r="L491" t="s">
        <v>1538</v>
      </c>
    </row>
    <row r="492" spans="1:12" x14ac:dyDescent="0.3">
      <c r="A492" t="s">
        <v>748</v>
      </c>
      <c r="B492" t="s">
        <v>749</v>
      </c>
      <c r="C492" t="s">
        <v>750</v>
      </c>
      <c r="D492" t="s">
        <v>1588</v>
      </c>
      <c r="E492" t="s">
        <v>569</v>
      </c>
      <c r="F492" t="s">
        <v>53</v>
      </c>
      <c r="G492" t="s">
        <v>111</v>
      </c>
      <c r="H492" t="s">
        <v>187</v>
      </c>
      <c r="I492" t="s">
        <v>112</v>
      </c>
      <c r="J492" t="s">
        <v>183</v>
      </c>
    </row>
    <row r="493" spans="1:12" x14ac:dyDescent="0.3">
      <c r="A493" t="s">
        <v>748</v>
      </c>
      <c r="B493" t="s">
        <v>749</v>
      </c>
      <c r="C493" t="s">
        <v>750</v>
      </c>
      <c r="D493" t="s">
        <v>1589</v>
      </c>
      <c r="E493" t="s">
        <v>569</v>
      </c>
      <c r="F493" t="s">
        <v>69</v>
      </c>
      <c r="G493" t="s">
        <v>111</v>
      </c>
      <c r="H493" t="s">
        <v>1539</v>
      </c>
      <c r="I493" t="s">
        <v>112</v>
      </c>
      <c r="J493" t="s">
        <v>704</v>
      </c>
      <c r="K493" t="s">
        <v>1541</v>
      </c>
      <c r="L493" t="s">
        <v>1541</v>
      </c>
    </row>
    <row r="494" spans="1:12" x14ac:dyDescent="0.3">
      <c r="A494" t="s">
        <v>748</v>
      </c>
      <c r="B494" t="s">
        <v>749</v>
      </c>
      <c r="C494" t="s">
        <v>750</v>
      </c>
      <c r="D494" t="s">
        <v>1590</v>
      </c>
      <c r="E494" t="s">
        <v>569</v>
      </c>
      <c r="F494" t="s">
        <v>122</v>
      </c>
      <c r="G494" t="s">
        <v>111</v>
      </c>
      <c r="H494" t="s">
        <v>1553</v>
      </c>
      <c r="I494" t="s">
        <v>112</v>
      </c>
      <c r="J494" t="s">
        <v>1554</v>
      </c>
      <c r="K494" t="s">
        <v>1542</v>
      </c>
      <c r="L494" t="s">
        <v>1542</v>
      </c>
    </row>
    <row r="495" spans="1:12" x14ac:dyDescent="0.3">
      <c r="A495" t="s">
        <v>748</v>
      </c>
      <c r="B495" t="s">
        <v>749</v>
      </c>
      <c r="C495" t="s">
        <v>750</v>
      </c>
      <c r="D495" t="s">
        <v>1591</v>
      </c>
      <c r="E495" t="s">
        <v>569</v>
      </c>
      <c r="F495" t="s">
        <v>165</v>
      </c>
      <c r="G495" t="s">
        <v>111</v>
      </c>
      <c r="H495" t="s">
        <v>703</v>
      </c>
      <c r="I495" t="s">
        <v>112</v>
      </c>
      <c r="J495" t="s">
        <v>702</v>
      </c>
      <c r="K495" t="s">
        <v>1545</v>
      </c>
      <c r="L495" t="s">
        <v>1545</v>
      </c>
    </row>
    <row r="496" spans="1:12" x14ac:dyDescent="0.3">
      <c r="A496" t="s">
        <v>748</v>
      </c>
      <c r="B496" t="s">
        <v>749</v>
      </c>
      <c r="C496" t="s">
        <v>750</v>
      </c>
      <c r="D496" t="s">
        <v>1592</v>
      </c>
      <c r="E496" t="s">
        <v>569</v>
      </c>
      <c r="F496" t="s">
        <v>54</v>
      </c>
      <c r="G496" t="s">
        <v>111</v>
      </c>
      <c r="H496" t="s">
        <v>182</v>
      </c>
      <c r="I496" t="s">
        <v>112</v>
      </c>
      <c r="J496" t="s">
        <v>183</v>
      </c>
      <c r="K496" t="s">
        <v>1547</v>
      </c>
      <c r="L496" t="s">
        <v>1547</v>
      </c>
    </row>
    <row r="497" spans="1:12" x14ac:dyDescent="0.3">
      <c r="A497" t="s">
        <v>748</v>
      </c>
      <c r="B497" t="s">
        <v>749</v>
      </c>
      <c r="C497" t="s">
        <v>750</v>
      </c>
      <c r="D497" t="s">
        <v>1593</v>
      </c>
      <c r="E497" t="s">
        <v>569</v>
      </c>
      <c r="F497" t="s">
        <v>45</v>
      </c>
      <c r="G497" t="s">
        <v>111</v>
      </c>
      <c r="H497" t="s">
        <v>1594</v>
      </c>
      <c r="I497" t="s">
        <v>112</v>
      </c>
      <c r="J497" t="s">
        <v>1595</v>
      </c>
      <c r="K497" t="s">
        <v>1542</v>
      </c>
      <c r="L497" t="s">
        <v>1542</v>
      </c>
    </row>
    <row r="498" spans="1:12" x14ac:dyDescent="0.3">
      <c r="A498" t="s">
        <v>748</v>
      </c>
      <c r="B498" t="s">
        <v>749</v>
      </c>
      <c r="C498" t="s">
        <v>750</v>
      </c>
      <c r="D498" t="s">
        <v>1596</v>
      </c>
      <c r="E498" t="s">
        <v>569</v>
      </c>
      <c r="F498" t="s">
        <v>190</v>
      </c>
      <c r="G498" t="s">
        <v>111</v>
      </c>
      <c r="H498" t="s">
        <v>1539</v>
      </c>
      <c r="I498" t="s">
        <v>112</v>
      </c>
      <c r="J498" t="s">
        <v>704</v>
      </c>
      <c r="K498" t="s">
        <v>1548</v>
      </c>
      <c r="L498" t="s">
        <v>1548</v>
      </c>
    </row>
    <row r="499" spans="1:12" x14ac:dyDescent="0.3">
      <c r="A499" t="s">
        <v>748</v>
      </c>
      <c r="B499" t="s">
        <v>749</v>
      </c>
      <c r="C499" t="s">
        <v>750</v>
      </c>
      <c r="D499" t="s">
        <v>1597</v>
      </c>
      <c r="E499" t="s">
        <v>569</v>
      </c>
      <c r="F499" t="s">
        <v>124</v>
      </c>
      <c r="G499" t="s">
        <v>111</v>
      </c>
      <c r="H499" t="s">
        <v>1565</v>
      </c>
      <c r="I499" t="s">
        <v>112</v>
      </c>
      <c r="J499" t="s">
        <v>1566</v>
      </c>
      <c r="K499" t="s">
        <v>1550</v>
      </c>
      <c r="L499" t="s">
        <v>1550</v>
      </c>
    </row>
    <row r="500" spans="1:12" x14ac:dyDescent="0.3">
      <c r="A500" t="s">
        <v>748</v>
      </c>
      <c r="B500" t="s">
        <v>749</v>
      </c>
      <c r="C500" t="s">
        <v>750</v>
      </c>
      <c r="D500" t="s">
        <v>1598</v>
      </c>
      <c r="E500" t="s">
        <v>569</v>
      </c>
      <c r="F500" t="s">
        <v>58</v>
      </c>
      <c r="G500" t="s">
        <v>111</v>
      </c>
      <c r="H500" t="s">
        <v>703</v>
      </c>
      <c r="I500" t="s">
        <v>112</v>
      </c>
      <c r="J500" t="s">
        <v>702</v>
      </c>
      <c r="K500" t="s">
        <v>1551</v>
      </c>
      <c r="L500" t="s">
        <v>1551</v>
      </c>
    </row>
    <row r="501" spans="1:12" x14ac:dyDescent="0.3">
      <c r="A501" t="s">
        <v>748</v>
      </c>
      <c r="B501" t="s">
        <v>749</v>
      </c>
      <c r="C501" t="s">
        <v>750</v>
      </c>
      <c r="D501" t="s">
        <v>1599</v>
      </c>
      <c r="E501" t="s">
        <v>569</v>
      </c>
      <c r="F501" t="s">
        <v>191</v>
      </c>
      <c r="G501" t="s">
        <v>111</v>
      </c>
      <c r="H501" t="s">
        <v>703</v>
      </c>
      <c r="I501" t="s">
        <v>112</v>
      </c>
      <c r="J501" t="s">
        <v>702</v>
      </c>
      <c r="K501" t="s">
        <v>1600</v>
      </c>
      <c r="L501" t="s">
        <v>1600</v>
      </c>
    </row>
    <row r="502" spans="1:12" x14ac:dyDescent="0.3">
      <c r="A502" t="s">
        <v>748</v>
      </c>
      <c r="B502" t="s">
        <v>749</v>
      </c>
      <c r="C502" t="s">
        <v>750</v>
      </c>
      <c r="D502" t="s">
        <v>1601</v>
      </c>
      <c r="E502" t="s">
        <v>569</v>
      </c>
      <c r="F502" t="s">
        <v>126</v>
      </c>
      <c r="G502" t="s">
        <v>111</v>
      </c>
      <c r="H502" t="s">
        <v>703</v>
      </c>
      <c r="I502" t="s">
        <v>112</v>
      </c>
      <c r="J502" t="s">
        <v>702</v>
      </c>
      <c r="K502" t="s">
        <v>1558</v>
      </c>
      <c r="L502" t="s">
        <v>1558</v>
      </c>
    </row>
    <row r="503" spans="1:12" x14ac:dyDescent="0.3">
      <c r="A503" t="s">
        <v>748</v>
      </c>
      <c r="B503" t="s">
        <v>749</v>
      </c>
      <c r="C503" t="s">
        <v>750</v>
      </c>
      <c r="D503" t="s">
        <v>1602</v>
      </c>
      <c r="E503" t="s">
        <v>569</v>
      </c>
      <c r="F503" t="s">
        <v>167</v>
      </c>
      <c r="G503" t="s">
        <v>111</v>
      </c>
      <c r="H503" t="s">
        <v>1553</v>
      </c>
      <c r="I503" t="s">
        <v>112</v>
      </c>
      <c r="J503" t="s">
        <v>1554</v>
      </c>
      <c r="K503" t="s">
        <v>1603</v>
      </c>
      <c r="L503" t="s">
        <v>1603</v>
      </c>
    </row>
    <row r="504" spans="1:12" x14ac:dyDescent="0.3">
      <c r="A504" t="s">
        <v>748</v>
      </c>
      <c r="B504" t="s">
        <v>749</v>
      </c>
      <c r="C504" t="s">
        <v>750</v>
      </c>
      <c r="D504" t="s">
        <v>1604</v>
      </c>
      <c r="E504" t="s">
        <v>569</v>
      </c>
      <c r="F504" t="s">
        <v>127</v>
      </c>
      <c r="G504" t="s">
        <v>111</v>
      </c>
      <c r="H504" t="s">
        <v>703</v>
      </c>
      <c r="I504" t="s">
        <v>112</v>
      </c>
      <c r="J504" t="s">
        <v>702</v>
      </c>
      <c r="K504" t="s">
        <v>1555</v>
      </c>
      <c r="L504" t="s">
        <v>1555</v>
      </c>
    </row>
    <row r="505" spans="1:12" x14ac:dyDescent="0.3">
      <c r="A505" t="s">
        <v>748</v>
      </c>
      <c r="B505" t="s">
        <v>749</v>
      </c>
      <c r="C505" t="s">
        <v>750</v>
      </c>
      <c r="D505" t="s">
        <v>1605</v>
      </c>
      <c r="E505" t="s">
        <v>569</v>
      </c>
      <c r="F505" t="s">
        <v>128</v>
      </c>
      <c r="G505" t="s">
        <v>111</v>
      </c>
      <c r="H505" t="s">
        <v>1594</v>
      </c>
      <c r="I505" t="s">
        <v>112</v>
      </c>
      <c r="J505" t="s">
        <v>1595</v>
      </c>
      <c r="K505" t="s">
        <v>1541</v>
      </c>
      <c r="L505" t="s">
        <v>1541</v>
      </c>
    </row>
    <row r="506" spans="1:12" x14ac:dyDescent="0.3">
      <c r="A506" t="s">
        <v>748</v>
      </c>
      <c r="B506" t="s">
        <v>749</v>
      </c>
      <c r="C506" t="s">
        <v>750</v>
      </c>
      <c r="D506" t="s">
        <v>1606</v>
      </c>
      <c r="E506" t="s">
        <v>569</v>
      </c>
      <c r="F506" t="s">
        <v>168</v>
      </c>
      <c r="G506" t="s">
        <v>111</v>
      </c>
      <c r="H506" t="s">
        <v>1539</v>
      </c>
      <c r="I506" t="s">
        <v>112</v>
      </c>
      <c r="J506" t="s">
        <v>704</v>
      </c>
      <c r="K506" t="s">
        <v>1560</v>
      </c>
      <c r="L506" t="s">
        <v>1560</v>
      </c>
    </row>
    <row r="507" spans="1:12" x14ac:dyDescent="0.3">
      <c r="A507" t="s">
        <v>748</v>
      </c>
      <c r="B507" t="s">
        <v>749</v>
      </c>
      <c r="C507" t="s">
        <v>750</v>
      </c>
      <c r="D507" t="s">
        <v>1607</v>
      </c>
      <c r="E507" t="s">
        <v>569</v>
      </c>
      <c r="F507" t="s">
        <v>89</v>
      </c>
      <c r="G507" t="s">
        <v>111</v>
      </c>
      <c r="H507" t="s">
        <v>182</v>
      </c>
      <c r="I507" t="s">
        <v>112</v>
      </c>
      <c r="J507" t="s">
        <v>183</v>
      </c>
      <c r="K507" t="s">
        <v>1608</v>
      </c>
      <c r="L507" t="s">
        <v>1608</v>
      </c>
    </row>
    <row r="508" spans="1:12" x14ac:dyDescent="0.3">
      <c r="A508" t="s">
        <v>748</v>
      </c>
      <c r="B508" t="s">
        <v>749</v>
      </c>
      <c r="C508" t="s">
        <v>750</v>
      </c>
      <c r="D508" t="s">
        <v>1609</v>
      </c>
      <c r="E508" t="s">
        <v>569</v>
      </c>
      <c r="F508" t="s">
        <v>66</v>
      </c>
      <c r="G508" t="s">
        <v>111</v>
      </c>
      <c r="H508" t="s">
        <v>703</v>
      </c>
      <c r="I508" t="s">
        <v>112</v>
      </c>
      <c r="J508" t="s">
        <v>702</v>
      </c>
      <c r="K508" t="s">
        <v>1610</v>
      </c>
      <c r="L508" t="s">
        <v>1610</v>
      </c>
    </row>
    <row r="509" spans="1:12" x14ac:dyDescent="0.3">
      <c r="A509" t="s">
        <v>748</v>
      </c>
      <c r="B509" t="s">
        <v>749</v>
      </c>
      <c r="C509" t="s">
        <v>750</v>
      </c>
      <c r="D509" t="s">
        <v>1611</v>
      </c>
      <c r="E509" t="s">
        <v>569</v>
      </c>
      <c r="F509" t="s">
        <v>169</v>
      </c>
      <c r="G509" t="s">
        <v>111</v>
      </c>
      <c r="H509" t="s">
        <v>703</v>
      </c>
      <c r="I509" t="s">
        <v>112</v>
      </c>
      <c r="J509" t="s">
        <v>702</v>
      </c>
      <c r="K509" t="s">
        <v>1559</v>
      </c>
      <c r="L509" t="s">
        <v>1559</v>
      </c>
    </row>
    <row r="510" spans="1:12" x14ac:dyDescent="0.3">
      <c r="A510" t="s">
        <v>748</v>
      </c>
      <c r="B510" t="s">
        <v>749</v>
      </c>
      <c r="C510" t="s">
        <v>750</v>
      </c>
      <c r="D510" t="s">
        <v>1612</v>
      </c>
      <c r="E510" t="s">
        <v>569</v>
      </c>
      <c r="F510" t="s">
        <v>110</v>
      </c>
      <c r="G510" t="s">
        <v>111</v>
      </c>
      <c r="H510" t="s">
        <v>182</v>
      </c>
      <c r="I510" t="s">
        <v>112</v>
      </c>
      <c r="J510" t="s">
        <v>183</v>
      </c>
      <c r="K510" t="s">
        <v>1562</v>
      </c>
      <c r="L510" t="s">
        <v>1562</v>
      </c>
    </row>
    <row r="511" spans="1:12" x14ac:dyDescent="0.3">
      <c r="A511" t="s">
        <v>748</v>
      </c>
      <c r="B511" t="s">
        <v>749</v>
      </c>
      <c r="C511" t="s">
        <v>750</v>
      </c>
      <c r="D511" t="s">
        <v>1613</v>
      </c>
      <c r="E511" t="s">
        <v>569</v>
      </c>
      <c r="F511" t="s">
        <v>93</v>
      </c>
      <c r="G511" t="s">
        <v>111</v>
      </c>
      <c r="H511" t="s">
        <v>182</v>
      </c>
      <c r="I511" t="s">
        <v>112</v>
      </c>
      <c r="J511" t="s">
        <v>183</v>
      </c>
      <c r="K511" t="s">
        <v>1548</v>
      </c>
      <c r="L511" t="s">
        <v>1548</v>
      </c>
    </row>
    <row r="512" spans="1:12" x14ac:dyDescent="0.3">
      <c r="A512" t="s">
        <v>748</v>
      </c>
      <c r="B512" t="s">
        <v>749</v>
      </c>
      <c r="C512" t="s">
        <v>750</v>
      </c>
      <c r="D512" t="s">
        <v>1614</v>
      </c>
      <c r="E512" t="s">
        <v>569</v>
      </c>
      <c r="F512" t="s">
        <v>129</v>
      </c>
      <c r="G512" t="s">
        <v>111</v>
      </c>
      <c r="H512" t="s">
        <v>703</v>
      </c>
      <c r="I512" t="s">
        <v>112</v>
      </c>
      <c r="J512" t="s">
        <v>702</v>
      </c>
      <c r="K512" t="s">
        <v>1560</v>
      </c>
      <c r="L512" t="s">
        <v>1560</v>
      </c>
    </row>
    <row r="513" spans="1:12" x14ac:dyDescent="0.3">
      <c r="A513" t="s">
        <v>748</v>
      </c>
      <c r="B513" t="s">
        <v>749</v>
      </c>
      <c r="C513" t="s">
        <v>750</v>
      </c>
      <c r="D513" t="s">
        <v>1615</v>
      </c>
      <c r="E513" t="s">
        <v>569</v>
      </c>
      <c r="F513" t="s">
        <v>87</v>
      </c>
      <c r="G513" t="s">
        <v>111</v>
      </c>
      <c r="H513" t="s">
        <v>1565</v>
      </c>
      <c r="I513" t="s">
        <v>112</v>
      </c>
      <c r="J513" t="s">
        <v>1566</v>
      </c>
      <c r="K513" t="s">
        <v>1548</v>
      </c>
      <c r="L513" t="s">
        <v>1548</v>
      </c>
    </row>
    <row r="514" spans="1:12" x14ac:dyDescent="0.3">
      <c r="A514" t="s">
        <v>748</v>
      </c>
      <c r="B514" t="s">
        <v>749</v>
      </c>
      <c r="C514" t="s">
        <v>750</v>
      </c>
      <c r="D514" t="s">
        <v>1616</v>
      </c>
      <c r="E514" t="s">
        <v>569</v>
      </c>
      <c r="F514" t="s">
        <v>130</v>
      </c>
      <c r="G514" t="s">
        <v>111</v>
      </c>
      <c r="H514" t="s">
        <v>703</v>
      </c>
      <c r="I514" t="s">
        <v>112</v>
      </c>
      <c r="J514" t="s">
        <v>702</v>
      </c>
      <c r="K514" t="s">
        <v>1563</v>
      </c>
      <c r="L514" t="s">
        <v>1563</v>
      </c>
    </row>
    <row r="515" spans="1:12" x14ac:dyDescent="0.3">
      <c r="A515" t="s">
        <v>748</v>
      </c>
      <c r="B515" t="s">
        <v>749</v>
      </c>
      <c r="C515" t="s">
        <v>750</v>
      </c>
      <c r="D515" t="s">
        <v>1617</v>
      </c>
      <c r="E515" t="s">
        <v>569</v>
      </c>
      <c r="F515" t="s">
        <v>131</v>
      </c>
      <c r="G515" t="s">
        <v>111</v>
      </c>
      <c r="H515" t="s">
        <v>182</v>
      </c>
      <c r="I515" t="s">
        <v>112</v>
      </c>
      <c r="J515" t="s">
        <v>183</v>
      </c>
      <c r="K515" t="s">
        <v>1562</v>
      </c>
      <c r="L515" t="s">
        <v>1562</v>
      </c>
    </row>
    <row r="516" spans="1:12" x14ac:dyDescent="0.3">
      <c r="A516" t="s">
        <v>748</v>
      </c>
      <c r="B516" t="s">
        <v>749</v>
      </c>
      <c r="C516" t="s">
        <v>750</v>
      </c>
      <c r="D516" t="s">
        <v>1618</v>
      </c>
      <c r="E516" t="s">
        <v>569</v>
      </c>
      <c r="F516" t="s">
        <v>50</v>
      </c>
      <c r="G516" t="s">
        <v>111</v>
      </c>
      <c r="H516" t="s">
        <v>703</v>
      </c>
      <c r="I516" t="s">
        <v>112</v>
      </c>
      <c r="J516" t="s">
        <v>702</v>
      </c>
      <c r="K516" t="s">
        <v>1551</v>
      </c>
      <c r="L516" t="s">
        <v>1551</v>
      </c>
    </row>
    <row r="517" spans="1:12" x14ac:dyDescent="0.3">
      <c r="A517" t="s">
        <v>748</v>
      </c>
      <c r="B517" t="s">
        <v>749</v>
      </c>
      <c r="C517" t="s">
        <v>750</v>
      </c>
      <c r="D517" t="s">
        <v>1619</v>
      </c>
      <c r="E517" t="s">
        <v>568</v>
      </c>
      <c r="F517" t="s">
        <v>193</v>
      </c>
      <c r="G517" t="s">
        <v>111</v>
      </c>
      <c r="H517" t="s">
        <v>1539</v>
      </c>
      <c r="I517" t="s">
        <v>112</v>
      </c>
      <c r="J517" t="s">
        <v>704</v>
      </c>
      <c r="K517" t="s">
        <v>1564</v>
      </c>
      <c r="L517" t="s">
        <v>1564</v>
      </c>
    </row>
    <row r="518" spans="1:12" x14ac:dyDescent="0.3">
      <c r="A518" t="s">
        <v>748</v>
      </c>
      <c r="B518" t="s">
        <v>749</v>
      </c>
      <c r="C518" t="s">
        <v>750</v>
      </c>
      <c r="D518" t="s">
        <v>1620</v>
      </c>
      <c r="E518" t="s">
        <v>568</v>
      </c>
      <c r="F518" t="s">
        <v>134</v>
      </c>
      <c r="G518" t="s">
        <v>111</v>
      </c>
      <c r="H518" t="s">
        <v>182</v>
      </c>
      <c r="I518" t="s">
        <v>112</v>
      </c>
      <c r="J518" t="s">
        <v>183</v>
      </c>
      <c r="K518" t="s">
        <v>1562</v>
      </c>
      <c r="L518" t="s">
        <v>1562</v>
      </c>
    </row>
    <row r="519" spans="1:12" x14ac:dyDescent="0.3">
      <c r="A519" t="s">
        <v>748</v>
      </c>
      <c r="B519" t="s">
        <v>749</v>
      </c>
      <c r="C519" t="s">
        <v>750</v>
      </c>
      <c r="D519" t="s">
        <v>1621</v>
      </c>
      <c r="E519" t="s">
        <v>568</v>
      </c>
      <c r="F519" t="s">
        <v>51</v>
      </c>
      <c r="G519" t="s">
        <v>111</v>
      </c>
      <c r="H519" t="s">
        <v>703</v>
      </c>
      <c r="I519" t="s">
        <v>112</v>
      </c>
      <c r="J519" t="s">
        <v>702</v>
      </c>
      <c r="K519" t="s">
        <v>1567</v>
      </c>
      <c r="L519" t="s">
        <v>1567</v>
      </c>
    </row>
    <row r="520" spans="1:12" x14ac:dyDescent="0.3">
      <c r="A520" t="s">
        <v>748</v>
      </c>
      <c r="B520" t="s">
        <v>749</v>
      </c>
      <c r="C520" t="s">
        <v>750</v>
      </c>
      <c r="D520" t="s">
        <v>1622</v>
      </c>
      <c r="E520" t="s">
        <v>568</v>
      </c>
      <c r="F520" t="s">
        <v>163</v>
      </c>
      <c r="G520" t="s">
        <v>111</v>
      </c>
      <c r="H520" t="s">
        <v>186</v>
      </c>
      <c r="I520" t="s">
        <v>112</v>
      </c>
      <c r="J520" t="s">
        <v>183</v>
      </c>
      <c r="K520" t="s">
        <v>1542</v>
      </c>
      <c r="L520" t="s">
        <v>1542</v>
      </c>
    </row>
    <row r="521" spans="1:12" x14ac:dyDescent="0.3">
      <c r="A521" t="s">
        <v>748</v>
      </c>
      <c r="B521" t="s">
        <v>749</v>
      </c>
      <c r="C521" t="s">
        <v>750</v>
      </c>
      <c r="D521" t="s">
        <v>1623</v>
      </c>
      <c r="E521" t="s">
        <v>568</v>
      </c>
      <c r="F521" t="s">
        <v>170</v>
      </c>
      <c r="G521" t="s">
        <v>111</v>
      </c>
      <c r="H521" t="s">
        <v>187</v>
      </c>
      <c r="I521" t="s">
        <v>112</v>
      </c>
      <c r="J521" t="s">
        <v>183</v>
      </c>
    </row>
    <row r="522" spans="1:12" x14ac:dyDescent="0.3">
      <c r="A522" t="s">
        <v>748</v>
      </c>
      <c r="B522" t="s">
        <v>749</v>
      </c>
      <c r="C522" t="s">
        <v>750</v>
      </c>
      <c r="D522" t="s">
        <v>1624</v>
      </c>
      <c r="E522" t="s">
        <v>568</v>
      </c>
      <c r="F522" t="s">
        <v>78</v>
      </c>
      <c r="G522" t="s">
        <v>111</v>
      </c>
      <c r="H522" t="s">
        <v>1539</v>
      </c>
      <c r="I522" t="s">
        <v>112</v>
      </c>
      <c r="J522" t="s">
        <v>704</v>
      </c>
    </row>
    <row r="523" spans="1:12" x14ac:dyDescent="0.3">
      <c r="A523" t="s">
        <v>748</v>
      </c>
      <c r="B523" t="s">
        <v>749</v>
      </c>
      <c r="C523" t="s">
        <v>750</v>
      </c>
      <c r="D523" t="s">
        <v>1625</v>
      </c>
      <c r="E523" t="s">
        <v>568</v>
      </c>
      <c r="F523" t="s">
        <v>82</v>
      </c>
      <c r="G523" t="s">
        <v>111</v>
      </c>
      <c r="H523" t="s">
        <v>1539</v>
      </c>
      <c r="I523" t="s">
        <v>112</v>
      </c>
      <c r="J523" t="s">
        <v>704</v>
      </c>
      <c r="K523" t="s">
        <v>1555</v>
      </c>
      <c r="L523" t="s">
        <v>1555</v>
      </c>
    </row>
    <row r="524" spans="1:12" x14ac:dyDescent="0.3">
      <c r="A524" t="s">
        <v>748</v>
      </c>
      <c r="B524" t="s">
        <v>749</v>
      </c>
      <c r="C524" t="s">
        <v>750</v>
      </c>
      <c r="D524" t="s">
        <v>1626</v>
      </c>
      <c r="E524" t="s">
        <v>568</v>
      </c>
      <c r="F524" t="s">
        <v>135</v>
      </c>
      <c r="G524" t="s">
        <v>111</v>
      </c>
      <c r="H524" t="s">
        <v>1539</v>
      </c>
      <c r="I524" t="s">
        <v>112</v>
      </c>
      <c r="J524" t="s">
        <v>704</v>
      </c>
      <c r="K524" t="s">
        <v>1551</v>
      </c>
      <c r="L524" t="s">
        <v>1551</v>
      </c>
    </row>
    <row r="525" spans="1:12" x14ac:dyDescent="0.3">
      <c r="A525" t="s">
        <v>748</v>
      </c>
      <c r="B525" t="s">
        <v>749</v>
      </c>
      <c r="C525" t="s">
        <v>750</v>
      </c>
      <c r="D525" t="s">
        <v>1627</v>
      </c>
      <c r="E525" t="s">
        <v>568</v>
      </c>
      <c r="F525" t="s">
        <v>136</v>
      </c>
      <c r="G525" t="s">
        <v>111</v>
      </c>
      <c r="H525" t="s">
        <v>703</v>
      </c>
      <c r="I525" t="s">
        <v>112</v>
      </c>
      <c r="J525" t="s">
        <v>702</v>
      </c>
      <c r="K525" t="s">
        <v>1548</v>
      </c>
      <c r="L525" t="s">
        <v>1548</v>
      </c>
    </row>
    <row r="526" spans="1:12" x14ac:dyDescent="0.3">
      <c r="A526" t="s">
        <v>748</v>
      </c>
      <c r="B526" t="s">
        <v>749</v>
      </c>
      <c r="C526" t="s">
        <v>750</v>
      </c>
      <c r="D526" t="s">
        <v>1628</v>
      </c>
      <c r="E526" t="s">
        <v>568</v>
      </c>
      <c r="F526" t="s">
        <v>60</v>
      </c>
      <c r="G526" t="s">
        <v>111</v>
      </c>
      <c r="H526" t="s">
        <v>182</v>
      </c>
      <c r="I526" t="s">
        <v>112</v>
      </c>
      <c r="J526" t="s">
        <v>183</v>
      </c>
      <c r="K526" t="s">
        <v>1555</v>
      </c>
      <c r="L526" t="s">
        <v>1555</v>
      </c>
    </row>
    <row r="527" spans="1:12" x14ac:dyDescent="0.3">
      <c r="A527" t="s">
        <v>748</v>
      </c>
      <c r="B527" t="s">
        <v>749</v>
      </c>
      <c r="C527" t="s">
        <v>750</v>
      </c>
      <c r="D527" t="s">
        <v>1629</v>
      </c>
      <c r="E527" t="s">
        <v>568</v>
      </c>
      <c r="F527" t="s">
        <v>70</v>
      </c>
      <c r="G527" t="s">
        <v>111</v>
      </c>
      <c r="H527" t="s">
        <v>182</v>
      </c>
      <c r="I527" t="s">
        <v>112</v>
      </c>
      <c r="J527" t="s">
        <v>183</v>
      </c>
      <c r="K527" t="s">
        <v>1568</v>
      </c>
      <c r="L527" t="s">
        <v>1568</v>
      </c>
    </row>
    <row r="528" spans="1:12" x14ac:dyDescent="0.3">
      <c r="A528" t="s">
        <v>748</v>
      </c>
      <c r="B528" t="s">
        <v>749</v>
      </c>
      <c r="C528" t="s">
        <v>750</v>
      </c>
      <c r="D528" t="s">
        <v>1630</v>
      </c>
      <c r="E528" t="s">
        <v>568</v>
      </c>
      <c r="F528" t="s">
        <v>48</v>
      </c>
      <c r="G528" t="s">
        <v>111</v>
      </c>
      <c r="H528" t="s">
        <v>182</v>
      </c>
      <c r="I528" t="s">
        <v>112</v>
      </c>
      <c r="J528" t="s">
        <v>183</v>
      </c>
      <c r="K528" t="s">
        <v>1537</v>
      </c>
      <c r="L528" t="s">
        <v>1537</v>
      </c>
    </row>
    <row r="529" spans="1:12" x14ac:dyDescent="0.3">
      <c r="A529" t="s">
        <v>748</v>
      </c>
      <c r="B529" t="s">
        <v>749</v>
      </c>
      <c r="C529" t="s">
        <v>750</v>
      </c>
      <c r="D529" t="s">
        <v>1631</v>
      </c>
      <c r="E529" t="s">
        <v>568</v>
      </c>
      <c r="F529" t="s">
        <v>138</v>
      </c>
      <c r="G529" t="s">
        <v>111</v>
      </c>
      <c r="H529" t="s">
        <v>1539</v>
      </c>
      <c r="I529" t="s">
        <v>112</v>
      </c>
      <c r="J529" t="s">
        <v>704</v>
      </c>
    </row>
    <row r="530" spans="1:12" x14ac:dyDescent="0.3">
      <c r="A530" t="s">
        <v>748</v>
      </c>
      <c r="B530" t="s">
        <v>749</v>
      </c>
      <c r="C530" t="s">
        <v>750</v>
      </c>
      <c r="D530" t="s">
        <v>1632</v>
      </c>
      <c r="E530" t="s">
        <v>568</v>
      </c>
      <c r="F530" t="s">
        <v>95</v>
      </c>
      <c r="G530" t="s">
        <v>111</v>
      </c>
      <c r="H530" t="s">
        <v>1539</v>
      </c>
      <c r="I530" t="s">
        <v>112</v>
      </c>
      <c r="J530" t="s">
        <v>704</v>
      </c>
    </row>
    <row r="531" spans="1:12" x14ac:dyDescent="0.3">
      <c r="A531" t="s">
        <v>748</v>
      </c>
      <c r="B531" t="s">
        <v>749</v>
      </c>
      <c r="C531" t="s">
        <v>750</v>
      </c>
      <c r="D531" t="s">
        <v>1633</v>
      </c>
      <c r="E531" t="s">
        <v>568</v>
      </c>
      <c r="F531" t="s">
        <v>139</v>
      </c>
      <c r="G531" t="s">
        <v>111</v>
      </c>
      <c r="H531" t="s">
        <v>703</v>
      </c>
      <c r="I531" t="s">
        <v>112</v>
      </c>
      <c r="J531" t="s">
        <v>702</v>
      </c>
      <c r="K531" t="s">
        <v>1555</v>
      </c>
      <c r="L531" t="s">
        <v>1555</v>
      </c>
    </row>
    <row r="532" spans="1:12" x14ac:dyDescent="0.3">
      <c r="A532" t="s">
        <v>748</v>
      </c>
      <c r="B532" t="s">
        <v>749</v>
      </c>
      <c r="C532" t="s">
        <v>750</v>
      </c>
      <c r="D532" t="s">
        <v>1634</v>
      </c>
      <c r="E532" t="s">
        <v>568</v>
      </c>
      <c r="F532" t="s">
        <v>171</v>
      </c>
      <c r="G532" t="s">
        <v>111</v>
      </c>
      <c r="H532" t="s">
        <v>703</v>
      </c>
      <c r="I532" t="s">
        <v>112</v>
      </c>
      <c r="J532" t="s">
        <v>702</v>
      </c>
      <c r="K532" t="s">
        <v>1635</v>
      </c>
      <c r="L532" t="s">
        <v>1635</v>
      </c>
    </row>
    <row r="533" spans="1:12" x14ac:dyDescent="0.3">
      <c r="A533" t="s">
        <v>748</v>
      </c>
      <c r="B533" t="s">
        <v>749</v>
      </c>
      <c r="C533" t="s">
        <v>750</v>
      </c>
      <c r="D533" t="s">
        <v>1636</v>
      </c>
      <c r="E533" t="s">
        <v>568</v>
      </c>
      <c r="F533" t="s">
        <v>172</v>
      </c>
      <c r="G533" t="s">
        <v>111</v>
      </c>
      <c r="H533" t="s">
        <v>182</v>
      </c>
      <c r="I533" t="s">
        <v>112</v>
      </c>
      <c r="J533" t="s">
        <v>183</v>
      </c>
      <c r="K533" t="s">
        <v>1568</v>
      </c>
      <c r="L533" t="s">
        <v>1568</v>
      </c>
    </row>
    <row r="534" spans="1:12" x14ac:dyDescent="0.3">
      <c r="A534" t="s">
        <v>748</v>
      </c>
      <c r="B534" t="s">
        <v>749</v>
      </c>
      <c r="C534" t="s">
        <v>750</v>
      </c>
      <c r="D534" t="s">
        <v>1637</v>
      </c>
      <c r="E534" t="s">
        <v>568</v>
      </c>
      <c r="F534" t="s">
        <v>62</v>
      </c>
      <c r="G534" t="s">
        <v>111</v>
      </c>
      <c r="H534" t="s">
        <v>1539</v>
      </c>
      <c r="I534" t="s">
        <v>112</v>
      </c>
      <c r="J534" t="s">
        <v>704</v>
      </c>
    </row>
    <row r="535" spans="1:12" x14ac:dyDescent="0.3">
      <c r="A535" t="s">
        <v>748</v>
      </c>
      <c r="B535" t="s">
        <v>749</v>
      </c>
      <c r="C535" t="s">
        <v>750</v>
      </c>
      <c r="D535" t="s">
        <v>1638</v>
      </c>
      <c r="E535" t="s">
        <v>568</v>
      </c>
      <c r="F535" t="s">
        <v>57</v>
      </c>
      <c r="G535" t="s">
        <v>111</v>
      </c>
      <c r="H535" t="s">
        <v>182</v>
      </c>
      <c r="I535" t="s">
        <v>112</v>
      </c>
      <c r="J535" t="s">
        <v>183</v>
      </c>
      <c r="K535" t="s">
        <v>1535</v>
      </c>
      <c r="L535" t="s">
        <v>1535</v>
      </c>
    </row>
    <row r="536" spans="1:12" x14ac:dyDescent="0.3">
      <c r="A536" t="s">
        <v>748</v>
      </c>
      <c r="B536" t="s">
        <v>749</v>
      </c>
      <c r="C536" t="s">
        <v>750</v>
      </c>
      <c r="D536" t="s">
        <v>1639</v>
      </c>
      <c r="E536" t="s">
        <v>568</v>
      </c>
      <c r="F536" t="s">
        <v>174</v>
      </c>
      <c r="G536" t="s">
        <v>111</v>
      </c>
      <c r="H536" t="s">
        <v>1539</v>
      </c>
      <c r="I536" t="s">
        <v>112</v>
      </c>
      <c r="J536" t="s">
        <v>704</v>
      </c>
    </row>
    <row r="537" spans="1:12" x14ac:dyDescent="0.3">
      <c r="A537" t="s">
        <v>748</v>
      </c>
      <c r="B537" t="s">
        <v>749</v>
      </c>
      <c r="C537" t="s">
        <v>750</v>
      </c>
      <c r="D537" t="s">
        <v>1640</v>
      </c>
      <c r="E537" t="s">
        <v>568</v>
      </c>
      <c r="F537" t="s">
        <v>77</v>
      </c>
      <c r="G537" t="s">
        <v>111</v>
      </c>
      <c r="H537" t="s">
        <v>1539</v>
      </c>
      <c r="I537" t="s">
        <v>112</v>
      </c>
      <c r="J537" t="s">
        <v>704</v>
      </c>
    </row>
    <row r="538" spans="1:12" x14ac:dyDescent="0.3">
      <c r="A538" t="s">
        <v>748</v>
      </c>
      <c r="B538" t="s">
        <v>749</v>
      </c>
      <c r="C538" t="s">
        <v>750</v>
      </c>
      <c r="D538" t="s">
        <v>1641</v>
      </c>
      <c r="E538" t="s">
        <v>568</v>
      </c>
      <c r="F538" t="s">
        <v>102</v>
      </c>
      <c r="G538" t="s">
        <v>111</v>
      </c>
      <c r="H538" t="s">
        <v>1565</v>
      </c>
      <c r="I538" t="s">
        <v>112</v>
      </c>
      <c r="J538" t="s">
        <v>1566</v>
      </c>
      <c r="K538" t="s">
        <v>1563</v>
      </c>
      <c r="L538" t="s">
        <v>1563</v>
      </c>
    </row>
    <row r="539" spans="1:12" x14ac:dyDescent="0.3">
      <c r="A539" t="s">
        <v>748</v>
      </c>
      <c r="B539" t="s">
        <v>749</v>
      </c>
      <c r="C539" t="s">
        <v>750</v>
      </c>
      <c r="D539" t="s">
        <v>1642</v>
      </c>
      <c r="E539" t="s">
        <v>568</v>
      </c>
      <c r="F539" t="s">
        <v>175</v>
      </c>
      <c r="G539" t="s">
        <v>111</v>
      </c>
      <c r="H539" t="s">
        <v>182</v>
      </c>
      <c r="I539" t="s">
        <v>112</v>
      </c>
      <c r="J539" t="s">
        <v>183</v>
      </c>
      <c r="K539" t="s">
        <v>1555</v>
      </c>
      <c r="L539" t="s">
        <v>1555</v>
      </c>
    </row>
    <row r="540" spans="1:12" x14ac:dyDescent="0.3">
      <c r="A540" t="s">
        <v>748</v>
      </c>
      <c r="B540" t="s">
        <v>749</v>
      </c>
      <c r="C540" t="s">
        <v>750</v>
      </c>
      <c r="D540" t="s">
        <v>1643</v>
      </c>
      <c r="E540" t="s">
        <v>568</v>
      </c>
      <c r="F540" t="s">
        <v>46</v>
      </c>
      <c r="G540" t="s">
        <v>111</v>
      </c>
      <c r="H540" t="s">
        <v>1539</v>
      </c>
      <c r="I540" t="s">
        <v>112</v>
      </c>
      <c r="J540" t="s">
        <v>704</v>
      </c>
    </row>
    <row r="541" spans="1:12" x14ac:dyDescent="0.3">
      <c r="A541" t="s">
        <v>748</v>
      </c>
      <c r="B541" t="s">
        <v>749</v>
      </c>
      <c r="C541" t="s">
        <v>750</v>
      </c>
      <c r="D541" t="s">
        <v>1644</v>
      </c>
      <c r="E541" t="s">
        <v>568</v>
      </c>
      <c r="F541" t="s">
        <v>202</v>
      </c>
      <c r="G541" t="s">
        <v>111</v>
      </c>
      <c r="H541" t="s">
        <v>703</v>
      </c>
      <c r="I541" t="s">
        <v>112</v>
      </c>
      <c r="J541" t="s">
        <v>702</v>
      </c>
      <c r="K541" t="s">
        <v>1570</v>
      </c>
      <c r="L541" t="s">
        <v>1570</v>
      </c>
    </row>
    <row r="542" spans="1:12" x14ac:dyDescent="0.3">
      <c r="A542" t="s">
        <v>748</v>
      </c>
      <c r="B542" t="s">
        <v>749</v>
      </c>
      <c r="C542" t="s">
        <v>750</v>
      </c>
      <c r="D542" t="s">
        <v>1645</v>
      </c>
      <c r="E542" t="s">
        <v>568</v>
      </c>
      <c r="F542" t="s">
        <v>141</v>
      </c>
      <c r="G542" t="s">
        <v>111</v>
      </c>
      <c r="H542" t="s">
        <v>182</v>
      </c>
      <c r="I542" t="s">
        <v>112</v>
      </c>
      <c r="J542" t="s">
        <v>183</v>
      </c>
      <c r="K542" t="s">
        <v>1555</v>
      </c>
      <c r="L542" t="s">
        <v>1555</v>
      </c>
    </row>
    <row r="543" spans="1:12" x14ac:dyDescent="0.3">
      <c r="A543" t="s">
        <v>748</v>
      </c>
      <c r="B543" t="s">
        <v>749</v>
      </c>
      <c r="C543" t="s">
        <v>750</v>
      </c>
      <c r="D543" t="s">
        <v>1646</v>
      </c>
      <c r="E543" t="s">
        <v>568</v>
      </c>
      <c r="F543" t="s">
        <v>142</v>
      </c>
      <c r="G543" t="s">
        <v>111</v>
      </c>
      <c r="H543" t="s">
        <v>1539</v>
      </c>
      <c r="I543" t="s">
        <v>112</v>
      </c>
      <c r="J543" t="s">
        <v>704</v>
      </c>
      <c r="K543" t="s">
        <v>1548</v>
      </c>
      <c r="L543" t="s">
        <v>1548</v>
      </c>
    </row>
    <row r="544" spans="1:12" x14ac:dyDescent="0.3">
      <c r="A544" t="s">
        <v>748</v>
      </c>
      <c r="B544" t="s">
        <v>749</v>
      </c>
      <c r="C544" t="s">
        <v>750</v>
      </c>
      <c r="D544" t="s">
        <v>1647</v>
      </c>
      <c r="E544" t="s">
        <v>568</v>
      </c>
      <c r="F544" t="s">
        <v>75</v>
      </c>
      <c r="G544" t="s">
        <v>111</v>
      </c>
      <c r="H544" t="s">
        <v>182</v>
      </c>
      <c r="I544" t="s">
        <v>112</v>
      </c>
      <c r="J544" t="s">
        <v>183</v>
      </c>
      <c r="K544" t="s">
        <v>1571</v>
      </c>
      <c r="L544" t="s">
        <v>1571</v>
      </c>
    </row>
    <row r="545" spans="1:12" x14ac:dyDescent="0.3">
      <c r="A545" t="s">
        <v>748</v>
      </c>
      <c r="B545" t="s">
        <v>749</v>
      </c>
      <c r="C545" t="s">
        <v>750</v>
      </c>
      <c r="D545" t="s">
        <v>1648</v>
      </c>
      <c r="E545" t="s">
        <v>568</v>
      </c>
      <c r="F545" t="s">
        <v>143</v>
      </c>
      <c r="G545" t="s">
        <v>111</v>
      </c>
      <c r="H545" t="s">
        <v>184</v>
      </c>
      <c r="I545" t="s">
        <v>112</v>
      </c>
      <c r="J545" t="s">
        <v>185</v>
      </c>
      <c r="K545" t="s">
        <v>1536</v>
      </c>
      <c r="L545" t="s">
        <v>1536</v>
      </c>
    </row>
    <row r="546" spans="1:12" x14ac:dyDescent="0.3">
      <c r="A546" t="s">
        <v>748</v>
      </c>
      <c r="B546" t="s">
        <v>749</v>
      </c>
      <c r="C546" t="s">
        <v>750</v>
      </c>
      <c r="D546" t="s">
        <v>1649</v>
      </c>
      <c r="E546" t="s">
        <v>568</v>
      </c>
      <c r="F546" t="s">
        <v>144</v>
      </c>
      <c r="G546" t="s">
        <v>111</v>
      </c>
      <c r="H546" t="s">
        <v>1539</v>
      </c>
      <c r="I546" t="s">
        <v>112</v>
      </c>
      <c r="J546" t="s">
        <v>704</v>
      </c>
    </row>
    <row r="547" spans="1:12" x14ac:dyDescent="0.3">
      <c r="A547" t="s">
        <v>748</v>
      </c>
      <c r="B547" t="s">
        <v>749</v>
      </c>
      <c r="C547" t="s">
        <v>750</v>
      </c>
      <c r="D547" t="s">
        <v>1650</v>
      </c>
      <c r="E547" t="s">
        <v>568</v>
      </c>
      <c r="F547" t="s">
        <v>194</v>
      </c>
      <c r="G547" t="s">
        <v>111</v>
      </c>
      <c r="H547" t="s">
        <v>1539</v>
      </c>
      <c r="I547" t="s">
        <v>112</v>
      </c>
      <c r="J547" t="s">
        <v>704</v>
      </c>
    </row>
    <row r="548" spans="1:12" x14ac:dyDescent="0.3">
      <c r="A548" t="s">
        <v>748</v>
      </c>
      <c r="B548" t="s">
        <v>749</v>
      </c>
      <c r="C548" t="s">
        <v>750</v>
      </c>
      <c r="D548" t="s">
        <v>1651</v>
      </c>
      <c r="E548" t="s">
        <v>568</v>
      </c>
      <c r="F548" t="s">
        <v>145</v>
      </c>
      <c r="G548" t="s">
        <v>111</v>
      </c>
      <c r="H548" t="s">
        <v>182</v>
      </c>
      <c r="I548" t="s">
        <v>112</v>
      </c>
      <c r="J548" t="s">
        <v>183</v>
      </c>
      <c r="K548" t="s">
        <v>1551</v>
      </c>
      <c r="L548" t="s">
        <v>1551</v>
      </c>
    </row>
    <row r="549" spans="1:12" x14ac:dyDescent="0.3">
      <c r="A549" t="s">
        <v>748</v>
      </c>
      <c r="B549" t="s">
        <v>749</v>
      </c>
      <c r="C549" t="s">
        <v>750</v>
      </c>
      <c r="D549" t="s">
        <v>1652</v>
      </c>
      <c r="E549" t="s">
        <v>567</v>
      </c>
      <c r="F549" t="s">
        <v>104</v>
      </c>
      <c r="G549" t="s">
        <v>111</v>
      </c>
      <c r="H549" t="s">
        <v>1539</v>
      </c>
      <c r="I549" t="s">
        <v>112</v>
      </c>
      <c r="J549" t="s">
        <v>704</v>
      </c>
    </row>
    <row r="550" spans="1:12" x14ac:dyDescent="0.3">
      <c r="A550" t="s">
        <v>748</v>
      </c>
      <c r="B550" t="s">
        <v>749</v>
      </c>
      <c r="C550" t="s">
        <v>750</v>
      </c>
      <c r="D550" t="s">
        <v>1653</v>
      </c>
      <c r="E550" t="s">
        <v>567</v>
      </c>
      <c r="F550" t="s">
        <v>176</v>
      </c>
      <c r="G550" t="s">
        <v>111</v>
      </c>
      <c r="H550" t="s">
        <v>1539</v>
      </c>
      <c r="I550" t="s">
        <v>112</v>
      </c>
      <c r="J550" t="s">
        <v>704</v>
      </c>
    </row>
    <row r="551" spans="1:12" x14ac:dyDescent="0.3">
      <c r="A551" t="s">
        <v>748</v>
      </c>
      <c r="B551" t="s">
        <v>749</v>
      </c>
      <c r="C551" t="s">
        <v>750</v>
      </c>
      <c r="D551" t="s">
        <v>1654</v>
      </c>
      <c r="E551" t="s">
        <v>567</v>
      </c>
      <c r="F551" t="s">
        <v>146</v>
      </c>
      <c r="G551" t="s">
        <v>111</v>
      </c>
      <c r="H551" t="s">
        <v>1539</v>
      </c>
      <c r="I551" t="s">
        <v>112</v>
      </c>
      <c r="J551" t="s">
        <v>704</v>
      </c>
    </row>
    <row r="552" spans="1:12" x14ac:dyDescent="0.3">
      <c r="A552" t="s">
        <v>748</v>
      </c>
      <c r="B552" t="s">
        <v>749</v>
      </c>
      <c r="C552" t="s">
        <v>750</v>
      </c>
      <c r="D552" t="s">
        <v>1655</v>
      </c>
      <c r="E552" t="s">
        <v>567</v>
      </c>
      <c r="F552" t="s">
        <v>148</v>
      </c>
      <c r="G552" t="s">
        <v>111</v>
      </c>
      <c r="H552" t="s">
        <v>182</v>
      </c>
      <c r="I552" t="s">
        <v>112</v>
      </c>
      <c r="J552" t="s">
        <v>183</v>
      </c>
      <c r="K552" t="s">
        <v>1563</v>
      </c>
      <c r="L552" t="s">
        <v>1563</v>
      </c>
    </row>
    <row r="553" spans="1:12" x14ac:dyDescent="0.3">
      <c r="A553" t="s">
        <v>748</v>
      </c>
      <c r="B553" t="s">
        <v>749</v>
      </c>
      <c r="C553" t="s">
        <v>750</v>
      </c>
      <c r="D553" t="s">
        <v>1656</v>
      </c>
      <c r="E553" t="s">
        <v>567</v>
      </c>
      <c r="F553" t="s">
        <v>149</v>
      </c>
      <c r="G553" t="s">
        <v>111</v>
      </c>
      <c r="H553" t="s">
        <v>703</v>
      </c>
      <c r="I553" t="s">
        <v>112</v>
      </c>
      <c r="J553" t="s">
        <v>702</v>
      </c>
      <c r="K553" t="s">
        <v>1573</v>
      </c>
      <c r="L553" t="s">
        <v>1573</v>
      </c>
    </row>
    <row r="554" spans="1:12" x14ac:dyDescent="0.3">
      <c r="A554" t="s">
        <v>748</v>
      </c>
      <c r="B554" t="s">
        <v>749</v>
      </c>
      <c r="C554" t="s">
        <v>750</v>
      </c>
      <c r="D554" t="s">
        <v>1657</v>
      </c>
      <c r="E554" t="s">
        <v>567</v>
      </c>
      <c r="F554" t="s">
        <v>83</v>
      </c>
      <c r="G554" t="s">
        <v>111</v>
      </c>
      <c r="H554" t="s">
        <v>182</v>
      </c>
      <c r="I554" t="s">
        <v>112</v>
      </c>
      <c r="J554" t="s">
        <v>183</v>
      </c>
      <c r="K554" t="s">
        <v>1574</v>
      </c>
      <c r="L554" t="s">
        <v>1574</v>
      </c>
    </row>
    <row r="555" spans="1:12" x14ac:dyDescent="0.3">
      <c r="A555" t="s">
        <v>748</v>
      </c>
      <c r="B555" t="s">
        <v>749</v>
      </c>
      <c r="C555" t="s">
        <v>750</v>
      </c>
      <c r="D555" t="s">
        <v>1658</v>
      </c>
      <c r="E555" t="s">
        <v>567</v>
      </c>
      <c r="F555" t="s">
        <v>203</v>
      </c>
      <c r="G555" t="s">
        <v>111</v>
      </c>
      <c r="H555" t="s">
        <v>182</v>
      </c>
      <c r="I555" t="s">
        <v>112</v>
      </c>
      <c r="J555" t="s">
        <v>183</v>
      </c>
      <c r="K555" t="s">
        <v>1575</v>
      </c>
      <c r="L555" t="s">
        <v>1575</v>
      </c>
    </row>
    <row r="556" spans="1:12" x14ac:dyDescent="0.3">
      <c r="A556" t="s">
        <v>748</v>
      </c>
      <c r="B556" t="s">
        <v>749</v>
      </c>
      <c r="C556" t="s">
        <v>750</v>
      </c>
      <c r="D556" t="s">
        <v>1659</v>
      </c>
      <c r="E556" t="s">
        <v>567</v>
      </c>
      <c r="F556" t="s">
        <v>150</v>
      </c>
      <c r="G556" t="s">
        <v>111</v>
      </c>
      <c r="H556" t="s">
        <v>182</v>
      </c>
      <c r="I556" t="s">
        <v>112</v>
      </c>
      <c r="J556" t="s">
        <v>183</v>
      </c>
      <c r="K556" t="s">
        <v>1547</v>
      </c>
      <c r="L556" t="s">
        <v>1547</v>
      </c>
    </row>
    <row r="557" spans="1:12" x14ac:dyDescent="0.3">
      <c r="A557" t="s">
        <v>748</v>
      </c>
      <c r="B557" t="s">
        <v>749</v>
      </c>
      <c r="C557" t="s">
        <v>750</v>
      </c>
      <c r="D557" t="s">
        <v>1660</v>
      </c>
      <c r="E557" t="s">
        <v>567</v>
      </c>
      <c r="F557" t="s">
        <v>92</v>
      </c>
      <c r="G557" t="s">
        <v>111</v>
      </c>
      <c r="H557" t="s">
        <v>703</v>
      </c>
      <c r="I557" t="s">
        <v>112</v>
      </c>
      <c r="J557" t="s">
        <v>702</v>
      </c>
      <c r="K557" t="s">
        <v>1555</v>
      </c>
      <c r="L557" t="s">
        <v>1555</v>
      </c>
    </row>
    <row r="558" spans="1:12" x14ac:dyDescent="0.3">
      <c r="A558" t="s">
        <v>748</v>
      </c>
      <c r="B558" t="s">
        <v>749</v>
      </c>
      <c r="C558" t="s">
        <v>750</v>
      </c>
      <c r="D558" t="s">
        <v>1661</v>
      </c>
      <c r="E558" t="s">
        <v>567</v>
      </c>
      <c r="F558" t="s">
        <v>63</v>
      </c>
      <c r="G558" t="s">
        <v>111</v>
      </c>
      <c r="H558" t="s">
        <v>703</v>
      </c>
      <c r="I558" t="s">
        <v>112</v>
      </c>
      <c r="J558" t="s">
        <v>702</v>
      </c>
      <c r="K558" t="s">
        <v>1555</v>
      </c>
      <c r="L558" t="s">
        <v>1555</v>
      </c>
    </row>
    <row r="559" spans="1:12" x14ac:dyDescent="0.3">
      <c r="A559" t="s">
        <v>748</v>
      </c>
      <c r="B559" t="s">
        <v>749</v>
      </c>
      <c r="C559" t="s">
        <v>750</v>
      </c>
      <c r="D559" t="s">
        <v>1662</v>
      </c>
      <c r="E559" t="s">
        <v>567</v>
      </c>
      <c r="F559" t="s">
        <v>151</v>
      </c>
      <c r="G559" t="s">
        <v>111</v>
      </c>
      <c r="H559" t="s">
        <v>703</v>
      </c>
      <c r="I559" t="s">
        <v>112</v>
      </c>
      <c r="J559" t="s">
        <v>702</v>
      </c>
      <c r="K559" t="s">
        <v>1537</v>
      </c>
      <c r="L559" t="s">
        <v>1537</v>
      </c>
    </row>
    <row r="560" spans="1:12" x14ac:dyDescent="0.3">
      <c r="A560" t="s">
        <v>748</v>
      </c>
      <c r="B560" t="s">
        <v>749</v>
      </c>
      <c r="C560" t="s">
        <v>750</v>
      </c>
      <c r="D560" t="s">
        <v>1663</v>
      </c>
      <c r="E560" t="s">
        <v>567</v>
      </c>
      <c r="F560" t="s">
        <v>195</v>
      </c>
      <c r="G560" t="s">
        <v>111</v>
      </c>
      <c r="H560" t="s">
        <v>1539</v>
      </c>
      <c r="I560" t="s">
        <v>112</v>
      </c>
      <c r="J560" t="s">
        <v>704</v>
      </c>
      <c r="K560" t="s">
        <v>1559</v>
      </c>
      <c r="L560" t="s">
        <v>1559</v>
      </c>
    </row>
    <row r="561" spans="1:12" x14ac:dyDescent="0.3">
      <c r="A561" t="s">
        <v>748</v>
      </c>
      <c r="B561" t="s">
        <v>749</v>
      </c>
      <c r="C561" t="s">
        <v>750</v>
      </c>
      <c r="D561" t="s">
        <v>1664</v>
      </c>
      <c r="E561" t="s">
        <v>567</v>
      </c>
      <c r="F561" t="s">
        <v>177</v>
      </c>
      <c r="G561" t="s">
        <v>111</v>
      </c>
      <c r="H561" t="s">
        <v>1539</v>
      </c>
      <c r="I561" t="s">
        <v>112</v>
      </c>
      <c r="J561" t="s">
        <v>704</v>
      </c>
      <c r="K561" t="s">
        <v>1551</v>
      </c>
      <c r="L561" t="s">
        <v>1551</v>
      </c>
    </row>
    <row r="562" spans="1:12" x14ac:dyDescent="0.3">
      <c r="A562" t="s">
        <v>748</v>
      </c>
      <c r="B562" t="s">
        <v>749</v>
      </c>
      <c r="C562" t="s">
        <v>750</v>
      </c>
      <c r="D562" t="s">
        <v>1665</v>
      </c>
      <c r="E562" t="s">
        <v>567</v>
      </c>
      <c r="F562" t="s">
        <v>91</v>
      </c>
      <c r="G562" t="s">
        <v>111</v>
      </c>
      <c r="H562" t="s">
        <v>1539</v>
      </c>
      <c r="I562" t="s">
        <v>112</v>
      </c>
      <c r="J562" t="s">
        <v>704</v>
      </c>
      <c r="K562" t="s">
        <v>1559</v>
      </c>
      <c r="L562" t="s">
        <v>1559</v>
      </c>
    </row>
    <row r="563" spans="1:12" x14ac:dyDescent="0.3">
      <c r="A563" t="s">
        <v>748</v>
      </c>
      <c r="B563" t="s">
        <v>749</v>
      </c>
      <c r="C563" t="s">
        <v>750</v>
      </c>
      <c r="D563" t="s">
        <v>1666</v>
      </c>
      <c r="E563" t="s">
        <v>567</v>
      </c>
      <c r="F563" t="s">
        <v>152</v>
      </c>
      <c r="G563" t="s">
        <v>111</v>
      </c>
      <c r="H563" t="s">
        <v>1594</v>
      </c>
      <c r="I563" t="s">
        <v>112</v>
      </c>
      <c r="J563" t="s">
        <v>1595</v>
      </c>
      <c r="K563" t="s">
        <v>1667</v>
      </c>
      <c r="L563" t="s">
        <v>1667</v>
      </c>
    </row>
    <row r="564" spans="1:12" x14ac:dyDescent="0.3">
      <c r="A564" t="s">
        <v>748</v>
      </c>
      <c r="B564" t="s">
        <v>749</v>
      </c>
      <c r="C564" t="s">
        <v>750</v>
      </c>
      <c r="D564" t="s">
        <v>1668</v>
      </c>
      <c r="E564" t="s">
        <v>567</v>
      </c>
      <c r="F564" t="s">
        <v>67</v>
      </c>
      <c r="G564" t="s">
        <v>111</v>
      </c>
      <c r="H564" t="s">
        <v>182</v>
      </c>
      <c r="I564" t="s">
        <v>112</v>
      </c>
      <c r="J564" t="s">
        <v>183</v>
      </c>
      <c r="K564" t="s">
        <v>1669</v>
      </c>
      <c r="L564" t="s">
        <v>1669</v>
      </c>
    </row>
    <row r="565" spans="1:12" x14ac:dyDescent="0.3">
      <c r="A565" t="s">
        <v>748</v>
      </c>
      <c r="B565" t="s">
        <v>749</v>
      </c>
      <c r="C565" t="s">
        <v>750</v>
      </c>
      <c r="D565" t="s">
        <v>1670</v>
      </c>
      <c r="E565" t="s">
        <v>567</v>
      </c>
      <c r="F565" t="s">
        <v>196</v>
      </c>
      <c r="G565" t="s">
        <v>111</v>
      </c>
      <c r="H565" t="s">
        <v>703</v>
      </c>
      <c r="I565" t="s">
        <v>112</v>
      </c>
      <c r="J565" t="s">
        <v>702</v>
      </c>
      <c r="K565" t="s">
        <v>1671</v>
      </c>
      <c r="L565" t="s">
        <v>1671</v>
      </c>
    </row>
    <row r="566" spans="1:12" x14ac:dyDescent="0.3">
      <c r="A566" t="s">
        <v>748</v>
      </c>
      <c r="B566" t="s">
        <v>749</v>
      </c>
      <c r="C566" t="s">
        <v>750</v>
      </c>
      <c r="D566" t="s">
        <v>1672</v>
      </c>
      <c r="E566" t="s">
        <v>567</v>
      </c>
      <c r="F566" t="s">
        <v>179</v>
      </c>
      <c r="G566" t="s">
        <v>111</v>
      </c>
      <c r="H566" t="s">
        <v>182</v>
      </c>
      <c r="I566" t="s">
        <v>112</v>
      </c>
      <c r="J566" t="s">
        <v>183</v>
      </c>
      <c r="K566" t="s">
        <v>1562</v>
      </c>
      <c r="L566" t="s">
        <v>1562</v>
      </c>
    </row>
    <row r="567" spans="1:12" x14ac:dyDescent="0.3">
      <c r="A567" t="s">
        <v>748</v>
      </c>
      <c r="B567" t="s">
        <v>749</v>
      </c>
      <c r="C567" t="s">
        <v>750</v>
      </c>
      <c r="D567" t="s">
        <v>1673</v>
      </c>
      <c r="E567" t="s">
        <v>567</v>
      </c>
      <c r="F567" t="s">
        <v>153</v>
      </c>
      <c r="G567" t="s">
        <v>111</v>
      </c>
      <c r="H567" t="s">
        <v>182</v>
      </c>
      <c r="I567" t="s">
        <v>112</v>
      </c>
      <c r="J567" t="s">
        <v>183</v>
      </c>
      <c r="K567" t="s">
        <v>1577</v>
      </c>
      <c r="L567" t="s">
        <v>1577</v>
      </c>
    </row>
    <row r="568" spans="1:12" x14ac:dyDescent="0.3">
      <c r="A568" t="s">
        <v>748</v>
      </c>
      <c r="B568" t="s">
        <v>749</v>
      </c>
      <c r="C568" t="s">
        <v>750</v>
      </c>
      <c r="D568" t="s">
        <v>1674</v>
      </c>
      <c r="E568" t="s">
        <v>567</v>
      </c>
      <c r="F568" t="s">
        <v>55</v>
      </c>
      <c r="G568" t="s">
        <v>111</v>
      </c>
      <c r="H568" t="s">
        <v>1539</v>
      </c>
      <c r="I568" t="s">
        <v>112</v>
      </c>
      <c r="J568" t="s">
        <v>704</v>
      </c>
    </row>
    <row r="569" spans="1:12" x14ac:dyDescent="0.3">
      <c r="A569" t="s">
        <v>748</v>
      </c>
      <c r="B569" t="s">
        <v>749</v>
      </c>
      <c r="C569" t="s">
        <v>750</v>
      </c>
      <c r="D569" t="s">
        <v>1675</v>
      </c>
      <c r="E569" t="s">
        <v>567</v>
      </c>
      <c r="F569" t="s">
        <v>197</v>
      </c>
      <c r="G569" t="s">
        <v>111</v>
      </c>
      <c r="H569" t="s">
        <v>703</v>
      </c>
      <c r="I569" t="s">
        <v>112</v>
      </c>
      <c r="J569" t="s">
        <v>702</v>
      </c>
      <c r="K569" t="s">
        <v>1676</v>
      </c>
      <c r="L569" t="s">
        <v>1676</v>
      </c>
    </row>
    <row r="570" spans="1:12" x14ac:dyDescent="0.3">
      <c r="A570" t="s">
        <v>748</v>
      </c>
      <c r="B570" t="s">
        <v>749</v>
      </c>
      <c r="C570" t="s">
        <v>750</v>
      </c>
      <c r="D570" t="s">
        <v>1677</v>
      </c>
      <c r="E570" t="s">
        <v>567</v>
      </c>
      <c r="F570" t="s">
        <v>156</v>
      </c>
      <c r="G570" t="s">
        <v>111</v>
      </c>
      <c r="H570" t="s">
        <v>182</v>
      </c>
      <c r="I570" t="s">
        <v>112</v>
      </c>
      <c r="J570" t="s">
        <v>183</v>
      </c>
      <c r="K570" t="s">
        <v>1577</v>
      </c>
      <c r="L570" t="s">
        <v>1577</v>
      </c>
    </row>
    <row r="571" spans="1:12" x14ac:dyDescent="0.3">
      <c r="A571" t="s">
        <v>748</v>
      </c>
      <c r="B571" t="s">
        <v>749</v>
      </c>
      <c r="C571" t="s">
        <v>750</v>
      </c>
      <c r="D571" t="s">
        <v>1678</v>
      </c>
      <c r="E571" t="s">
        <v>567</v>
      </c>
      <c r="F571" t="s">
        <v>103</v>
      </c>
      <c r="G571" t="s">
        <v>111</v>
      </c>
      <c r="H571" t="s">
        <v>182</v>
      </c>
      <c r="I571" t="s">
        <v>112</v>
      </c>
      <c r="J571" t="s">
        <v>183</v>
      </c>
      <c r="K571" t="s">
        <v>1610</v>
      </c>
      <c r="L571" t="s">
        <v>1610</v>
      </c>
    </row>
    <row r="572" spans="1:12" x14ac:dyDescent="0.3">
      <c r="A572" t="s">
        <v>748</v>
      </c>
      <c r="B572" t="s">
        <v>749</v>
      </c>
      <c r="C572" t="s">
        <v>750</v>
      </c>
      <c r="D572" t="s">
        <v>1679</v>
      </c>
      <c r="E572" t="s">
        <v>567</v>
      </c>
      <c r="F572" t="s">
        <v>198</v>
      </c>
      <c r="G572" t="s">
        <v>111</v>
      </c>
      <c r="H572" t="s">
        <v>186</v>
      </c>
      <c r="I572" t="s">
        <v>112</v>
      </c>
      <c r="J572" t="s">
        <v>183</v>
      </c>
      <c r="K572" t="s">
        <v>1572</v>
      </c>
      <c r="L572" t="s">
        <v>1572</v>
      </c>
    </row>
    <row r="573" spans="1:12" x14ac:dyDescent="0.3">
      <c r="A573" t="s">
        <v>748</v>
      </c>
      <c r="B573" t="s">
        <v>749</v>
      </c>
      <c r="C573" t="s">
        <v>750</v>
      </c>
      <c r="D573" t="s">
        <v>1680</v>
      </c>
      <c r="E573" t="s">
        <v>567</v>
      </c>
      <c r="F573" t="s">
        <v>180</v>
      </c>
      <c r="G573" t="s">
        <v>111</v>
      </c>
      <c r="H573" t="s">
        <v>182</v>
      </c>
      <c r="I573" t="s">
        <v>112</v>
      </c>
      <c r="J573" t="s">
        <v>183</v>
      </c>
      <c r="K573" t="s">
        <v>1562</v>
      </c>
      <c r="L573" t="s">
        <v>1562</v>
      </c>
    </row>
    <row r="574" spans="1:12" x14ac:dyDescent="0.3">
      <c r="A574" t="s">
        <v>748</v>
      </c>
      <c r="B574" t="s">
        <v>749</v>
      </c>
      <c r="C574" t="s">
        <v>750</v>
      </c>
      <c r="D574" t="s">
        <v>1681</v>
      </c>
      <c r="E574" t="s">
        <v>567</v>
      </c>
      <c r="F574" t="s">
        <v>158</v>
      </c>
      <c r="G574" t="s">
        <v>111</v>
      </c>
      <c r="H574" t="s">
        <v>703</v>
      </c>
      <c r="I574" t="s">
        <v>112</v>
      </c>
      <c r="J574" t="s">
        <v>702</v>
      </c>
      <c r="K574" t="s">
        <v>1548</v>
      </c>
      <c r="L574" t="s">
        <v>1548</v>
      </c>
    </row>
    <row r="575" spans="1:12" x14ac:dyDescent="0.3">
      <c r="A575" t="s">
        <v>748</v>
      </c>
      <c r="B575" t="s">
        <v>749</v>
      </c>
      <c r="C575" t="s">
        <v>750</v>
      </c>
      <c r="D575" t="s">
        <v>1682</v>
      </c>
      <c r="E575" t="s">
        <v>567</v>
      </c>
      <c r="F575" t="s">
        <v>199</v>
      </c>
      <c r="G575" t="s">
        <v>111</v>
      </c>
      <c r="H575" t="s">
        <v>1539</v>
      </c>
      <c r="I575" t="s">
        <v>112</v>
      </c>
      <c r="J575" t="s">
        <v>704</v>
      </c>
    </row>
    <row r="576" spans="1:12" x14ac:dyDescent="0.3">
      <c r="A576" t="s">
        <v>748</v>
      </c>
      <c r="B576" t="s">
        <v>749</v>
      </c>
      <c r="C576" t="s">
        <v>750</v>
      </c>
      <c r="D576" t="s">
        <v>1683</v>
      </c>
      <c r="E576" t="s">
        <v>567</v>
      </c>
      <c r="F576" t="s">
        <v>159</v>
      </c>
      <c r="G576" t="s">
        <v>111</v>
      </c>
      <c r="H576" t="s">
        <v>703</v>
      </c>
      <c r="I576" t="s">
        <v>112</v>
      </c>
      <c r="J576" t="s">
        <v>702</v>
      </c>
      <c r="K576" t="s">
        <v>1551</v>
      </c>
      <c r="L576" t="s">
        <v>1551</v>
      </c>
    </row>
    <row r="577" spans="1:12" x14ac:dyDescent="0.3">
      <c r="A577" t="s">
        <v>748</v>
      </c>
      <c r="B577" t="s">
        <v>749</v>
      </c>
      <c r="C577" t="s">
        <v>750</v>
      </c>
      <c r="D577" t="s">
        <v>1684</v>
      </c>
      <c r="E577" t="s">
        <v>567</v>
      </c>
      <c r="F577" t="s">
        <v>47</v>
      </c>
      <c r="G577" t="s">
        <v>111</v>
      </c>
      <c r="H577" t="s">
        <v>1685</v>
      </c>
      <c r="I577" t="s">
        <v>112</v>
      </c>
      <c r="J577" t="s">
        <v>1686</v>
      </c>
      <c r="K577" t="s">
        <v>1563</v>
      </c>
      <c r="L577" t="s">
        <v>1563</v>
      </c>
    </row>
    <row r="578" spans="1:12" x14ac:dyDescent="0.3">
      <c r="A578" t="s">
        <v>748</v>
      </c>
      <c r="B578" t="s">
        <v>749</v>
      </c>
      <c r="C578" t="s">
        <v>750</v>
      </c>
      <c r="D578" t="s">
        <v>1687</v>
      </c>
      <c r="E578" t="s">
        <v>567</v>
      </c>
      <c r="F578" t="s">
        <v>181</v>
      </c>
      <c r="G578" t="s">
        <v>111</v>
      </c>
      <c r="H578" t="s">
        <v>1539</v>
      </c>
      <c r="I578" t="s">
        <v>112</v>
      </c>
      <c r="J578" t="s">
        <v>704</v>
      </c>
      <c r="K578" t="s">
        <v>1541</v>
      </c>
      <c r="L578" t="s">
        <v>1541</v>
      </c>
    </row>
    <row r="579" spans="1:12" x14ac:dyDescent="0.3">
      <c r="A579" t="s">
        <v>748</v>
      </c>
      <c r="B579" t="s">
        <v>749</v>
      </c>
      <c r="C579" t="s">
        <v>750</v>
      </c>
      <c r="D579" t="s">
        <v>1688</v>
      </c>
      <c r="E579" t="s">
        <v>567</v>
      </c>
      <c r="F579" t="s">
        <v>73</v>
      </c>
      <c r="G579" t="s">
        <v>111</v>
      </c>
      <c r="H579" t="s">
        <v>1539</v>
      </c>
      <c r="I579" t="s">
        <v>112</v>
      </c>
      <c r="J579" t="s">
        <v>704</v>
      </c>
      <c r="K579" t="s">
        <v>1551</v>
      </c>
      <c r="L579" t="s">
        <v>1551</v>
      </c>
    </row>
    <row r="580" spans="1:12" x14ac:dyDescent="0.3">
      <c r="A580" t="s">
        <v>748</v>
      </c>
      <c r="B580" t="s">
        <v>749</v>
      </c>
      <c r="C580" t="s">
        <v>750</v>
      </c>
      <c r="D580" t="s">
        <v>1689</v>
      </c>
      <c r="E580" t="s">
        <v>567</v>
      </c>
      <c r="F580" t="s">
        <v>162</v>
      </c>
      <c r="G580" t="s">
        <v>111</v>
      </c>
      <c r="H580" t="s">
        <v>703</v>
      </c>
      <c r="I580" t="s">
        <v>112</v>
      </c>
      <c r="J580" t="s">
        <v>702</v>
      </c>
      <c r="K580" t="s">
        <v>1579</v>
      </c>
      <c r="L580" t="s">
        <v>1579</v>
      </c>
    </row>
    <row r="581" spans="1:12" x14ac:dyDescent="0.3">
      <c r="A581" t="s">
        <v>748</v>
      </c>
      <c r="B581" t="s">
        <v>1501</v>
      </c>
      <c r="C581" t="s">
        <v>566</v>
      </c>
      <c r="D581" t="s">
        <v>212</v>
      </c>
      <c r="E581" t="s">
        <v>569</v>
      </c>
      <c r="F581" t="s">
        <v>164</v>
      </c>
      <c r="G581" t="s">
        <v>111</v>
      </c>
      <c r="H581" t="s">
        <v>1690</v>
      </c>
      <c r="I581" t="s">
        <v>1691</v>
      </c>
      <c r="J581" t="s">
        <v>1692</v>
      </c>
    </row>
    <row r="582" spans="1:12" x14ac:dyDescent="0.3">
      <c r="A582" t="s">
        <v>748</v>
      </c>
      <c r="B582" t="s">
        <v>1501</v>
      </c>
      <c r="C582" t="s">
        <v>566</v>
      </c>
      <c r="D582" t="s">
        <v>212</v>
      </c>
      <c r="E582" t="s">
        <v>569</v>
      </c>
      <c r="F582" t="s">
        <v>164</v>
      </c>
      <c r="G582" t="s">
        <v>111</v>
      </c>
      <c r="H582" t="s">
        <v>1690</v>
      </c>
      <c r="I582" t="s">
        <v>1691</v>
      </c>
      <c r="J582" t="s">
        <v>1692</v>
      </c>
    </row>
    <row r="583" spans="1:12" x14ac:dyDescent="0.3">
      <c r="A583" t="s">
        <v>709</v>
      </c>
      <c r="B583" t="s">
        <v>1491</v>
      </c>
      <c r="C583" t="s">
        <v>750</v>
      </c>
      <c r="D583" t="s">
        <v>209</v>
      </c>
      <c r="E583" t="s">
        <v>569</v>
      </c>
      <c r="F583" t="s">
        <v>115</v>
      </c>
      <c r="G583" t="s">
        <v>111</v>
      </c>
      <c r="H583" t="s">
        <v>113</v>
      </c>
      <c r="I583" t="s">
        <v>112</v>
      </c>
      <c r="J583" t="s">
        <v>114</v>
      </c>
      <c r="K583" t="s">
        <v>1693</v>
      </c>
      <c r="L583" t="s">
        <v>1693</v>
      </c>
    </row>
    <row r="584" spans="1:12" x14ac:dyDescent="0.3">
      <c r="A584" t="s">
        <v>709</v>
      </c>
      <c r="B584" t="s">
        <v>1491</v>
      </c>
      <c r="C584" t="s">
        <v>750</v>
      </c>
      <c r="D584" t="s">
        <v>304</v>
      </c>
      <c r="E584" t="s">
        <v>569</v>
      </c>
      <c r="F584" t="s">
        <v>117</v>
      </c>
      <c r="G584" t="s">
        <v>111</v>
      </c>
      <c r="H584" t="s">
        <v>113</v>
      </c>
      <c r="I584" t="s">
        <v>112</v>
      </c>
      <c r="J584" t="s">
        <v>114</v>
      </c>
      <c r="K584" t="s">
        <v>1694</v>
      </c>
      <c r="L584" t="s">
        <v>1694</v>
      </c>
    </row>
    <row r="585" spans="1:12" x14ac:dyDescent="0.3">
      <c r="A585" t="s">
        <v>709</v>
      </c>
      <c r="B585" t="s">
        <v>1491</v>
      </c>
      <c r="C585" t="s">
        <v>750</v>
      </c>
      <c r="D585" t="s">
        <v>211</v>
      </c>
      <c r="E585" t="s">
        <v>569</v>
      </c>
      <c r="F585" t="s">
        <v>188</v>
      </c>
      <c r="G585" t="s">
        <v>111</v>
      </c>
      <c r="H585" t="s">
        <v>113</v>
      </c>
      <c r="I585" t="s">
        <v>112</v>
      </c>
      <c r="J585" t="s">
        <v>114</v>
      </c>
      <c r="K585" t="s">
        <v>1693</v>
      </c>
      <c r="L585" t="s">
        <v>1693</v>
      </c>
    </row>
    <row r="586" spans="1:12" x14ac:dyDescent="0.3">
      <c r="A586" t="s">
        <v>709</v>
      </c>
      <c r="B586" t="s">
        <v>1491</v>
      </c>
      <c r="C586" t="s">
        <v>750</v>
      </c>
      <c r="D586" t="s">
        <v>305</v>
      </c>
      <c r="E586" t="s">
        <v>569</v>
      </c>
      <c r="F586" t="s">
        <v>120</v>
      </c>
      <c r="G586" t="s">
        <v>111</v>
      </c>
      <c r="H586" t="s">
        <v>113</v>
      </c>
      <c r="I586" t="s">
        <v>112</v>
      </c>
      <c r="J586" t="s">
        <v>114</v>
      </c>
      <c r="K586" t="s">
        <v>1695</v>
      </c>
      <c r="L586" t="s">
        <v>1695</v>
      </c>
    </row>
    <row r="587" spans="1:12" x14ac:dyDescent="0.3">
      <c r="A587" t="s">
        <v>709</v>
      </c>
      <c r="B587" t="s">
        <v>1491</v>
      </c>
      <c r="C587" t="s">
        <v>750</v>
      </c>
      <c r="D587" t="s">
        <v>213</v>
      </c>
      <c r="E587" t="s">
        <v>569</v>
      </c>
      <c r="F587" t="s">
        <v>53</v>
      </c>
      <c r="G587" t="s">
        <v>111</v>
      </c>
      <c r="H587" t="s">
        <v>113</v>
      </c>
      <c r="I587" t="s">
        <v>112</v>
      </c>
      <c r="J587" t="s">
        <v>114</v>
      </c>
      <c r="K587" t="s">
        <v>1693</v>
      </c>
      <c r="L587" t="s">
        <v>1693</v>
      </c>
    </row>
    <row r="588" spans="1:12" x14ac:dyDescent="0.3">
      <c r="A588" t="s">
        <v>709</v>
      </c>
      <c r="B588" t="s">
        <v>1491</v>
      </c>
      <c r="C588" t="s">
        <v>750</v>
      </c>
      <c r="D588" t="s">
        <v>214</v>
      </c>
      <c r="E588" t="s">
        <v>569</v>
      </c>
      <c r="F588" t="s">
        <v>56</v>
      </c>
      <c r="G588" t="s">
        <v>111</v>
      </c>
      <c r="H588" t="s">
        <v>118</v>
      </c>
      <c r="I588" t="s">
        <v>112</v>
      </c>
      <c r="J588" t="s">
        <v>119</v>
      </c>
      <c r="K588" t="s">
        <v>1694</v>
      </c>
      <c r="L588" t="s">
        <v>1694</v>
      </c>
    </row>
    <row r="589" spans="1:12" x14ac:dyDescent="0.3">
      <c r="A589" t="s">
        <v>709</v>
      </c>
      <c r="B589" t="s">
        <v>1491</v>
      </c>
      <c r="C589" t="s">
        <v>750</v>
      </c>
      <c r="D589" t="s">
        <v>215</v>
      </c>
      <c r="E589" t="s">
        <v>569</v>
      </c>
      <c r="F589" t="s">
        <v>69</v>
      </c>
      <c r="G589" t="s">
        <v>111</v>
      </c>
      <c r="H589" t="s">
        <v>113</v>
      </c>
      <c r="I589" t="s">
        <v>112</v>
      </c>
      <c r="J589" t="s">
        <v>114</v>
      </c>
      <c r="K589" t="s">
        <v>1694</v>
      </c>
      <c r="L589" t="s">
        <v>1694</v>
      </c>
    </row>
    <row r="590" spans="1:12" x14ac:dyDescent="0.3">
      <c r="A590" t="s">
        <v>709</v>
      </c>
      <c r="B590" t="s">
        <v>1491</v>
      </c>
      <c r="C590" t="s">
        <v>750</v>
      </c>
      <c r="D590" t="s">
        <v>306</v>
      </c>
      <c r="E590" t="s">
        <v>569</v>
      </c>
      <c r="F590" t="s">
        <v>165</v>
      </c>
      <c r="G590" t="s">
        <v>111</v>
      </c>
      <c r="H590" t="s">
        <v>113</v>
      </c>
      <c r="I590" t="s">
        <v>112</v>
      </c>
      <c r="J590" t="s">
        <v>114</v>
      </c>
      <c r="K590" t="s">
        <v>1694</v>
      </c>
      <c r="L590" t="s">
        <v>1694</v>
      </c>
    </row>
    <row r="591" spans="1:12" x14ac:dyDescent="0.3">
      <c r="A591" t="s">
        <v>709</v>
      </c>
      <c r="B591" t="s">
        <v>1491</v>
      </c>
      <c r="C591" t="s">
        <v>750</v>
      </c>
      <c r="D591" t="s">
        <v>218</v>
      </c>
      <c r="E591" t="s">
        <v>569</v>
      </c>
      <c r="F591" t="s">
        <v>166</v>
      </c>
      <c r="G591" t="s">
        <v>111</v>
      </c>
      <c r="H591" t="s">
        <v>113</v>
      </c>
      <c r="I591" t="s">
        <v>112</v>
      </c>
      <c r="J591" t="s">
        <v>114</v>
      </c>
      <c r="K591" t="s">
        <v>1693</v>
      </c>
      <c r="L591" t="s">
        <v>1693</v>
      </c>
    </row>
    <row r="592" spans="1:12" x14ac:dyDescent="0.3">
      <c r="A592" t="s">
        <v>709</v>
      </c>
      <c r="B592" t="s">
        <v>1491</v>
      </c>
      <c r="C592" t="s">
        <v>750</v>
      </c>
      <c r="D592" t="s">
        <v>307</v>
      </c>
      <c r="E592" t="s">
        <v>569</v>
      </c>
      <c r="F592" t="s">
        <v>123</v>
      </c>
      <c r="G592" t="s">
        <v>111</v>
      </c>
      <c r="H592" t="s">
        <v>118</v>
      </c>
      <c r="I592" t="s">
        <v>112</v>
      </c>
      <c r="J592" t="s">
        <v>119</v>
      </c>
      <c r="K592" t="s">
        <v>600</v>
      </c>
      <c r="L592" t="s">
        <v>600</v>
      </c>
    </row>
    <row r="593" spans="1:12" x14ac:dyDescent="0.3">
      <c r="A593" t="s">
        <v>709</v>
      </c>
      <c r="B593" t="s">
        <v>1491</v>
      </c>
      <c r="C593" t="s">
        <v>750</v>
      </c>
      <c r="D593" t="s">
        <v>219</v>
      </c>
      <c r="E593" t="s">
        <v>569</v>
      </c>
      <c r="F593" t="s">
        <v>189</v>
      </c>
      <c r="G593" t="s">
        <v>111</v>
      </c>
      <c r="H593" t="s">
        <v>113</v>
      </c>
      <c r="I593" t="s">
        <v>112</v>
      </c>
      <c r="J593" t="s">
        <v>114</v>
      </c>
      <c r="K593" t="s">
        <v>1693</v>
      </c>
      <c r="L593" t="s">
        <v>1693</v>
      </c>
    </row>
    <row r="594" spans="1:12" x14ac:dyDescent="0.3">
      <c r="A594" t="s">
        <v>709</v>
      </c>
      <c r="B594" t="s">
        <v>1491</v>
      </c>
      <c r="C594" t="s">
        <v>750</v>
      </c>
      <c r="D594" t="s">
        <v>220</v>
      </c>
      <c r="E594" t="s">
        <v>569</v>
      </c>
      <c r="F594" t="s">
        <v>54</v>
      </c>
      <c r="G594" t="s">
        <v>111</v>
      </c>
      <c r="H594" t="s">
        <v>113</v>
      </c>
      <c r="I594" t="s">
        <v>112</v>
      </c>
      <c r="J594" t="s">
        <v>114</v>
      </c>
      <c r="K594" t="s">
        <v>1693</v>
      </c>
      <c r="L594" t="s">
        <v>1693</v>
      </c>
    </row>
    <row r="595" spans="1:12" x14ac:dyDescent="0.3">
      <c r="A595" t="s">
        <v>709</v>
      </c>
      <c r="B595" t="s">
        <v>1491</v>
      </c>
      <c r="C595" t="s">
        <v>750</v>
      </c>
      <c r="D595" t="s">
        <v>221</v>
      </c>
      <c r="E595" t="s">
        <v>569</v>
      </c>
      <c r="F595" t="s">
        <v>45</v>
      </c>
      <c r="G595" t="s">
        <v>111</v>
      </c>
      <c r="H595" t="s">
        <v>113</v>
      </c>
      <c r="I595" t="s">
        <v>112</v>
      </c>
      <c r="J595" t="s">
        <v>114</v>
      </c>
      <c r="K595" t="s">
        <v>1693</v>
      </c>
      <c r="L595" t="s">
        <v>1693</v>
      </c>
    </row>
    <row r="596" spans="1:12" x14ac:dyDescent="0.3">
      <c r="A596" t="s">
        <v>709</v>
      </c>
      <c r="B596" t="s">
        <v>1491</v>
      </c>
      <c r="C596" t="s">
        <v>750</v>
      </c>
      <c r="D596" t="s">
        <v>223</v>
      </c>
      <c r="E596" t="s">
        <v>569</v>
      </c>
      <c r="F596" t="s">
        <v>65</v>
      </c>
      <c r="G596" t="s">
        <v>111</v>
      </c>
      <c r="H596" t="s">
        <v>113</v>
      </c>
      <c r="I596" t="s">
        <v>112</v>
      </c>
      <c r="J596" t="s">
        <v>114</v>
      </c>
      <c r="K596" t="s">
        <v>1693</v>
      </c>
      <c r="L596" t="s">
        <v>1693</v>
      </c>
    </row>
    <row r="597" spans="1:12" x14ac:dyDescent="0.3">
      <c r="A597" t="s">
        <v>709</v>
      </c>
      <c r="B597" t="s">
        <v>1491</v>
      </c>
      <c r="C597" t="s">
        <v>750</v>
      </c>
      <c r="D597" t="s">
        <v>224</v>
      </c>
      <c r="E597" t="s">
        <v>569</v>
      </c>
      <c r="F597" t="s">
        <v>125</v>
      </c>
      <c r="G597" t="s">
        <v>111</v>
      </c>
      <c r="H597" t="s">
        <v>113</v>
      </c>
      <c r="I597" t="s">
        <v>112</v>
      </c>
      <c r="J597" t="s">
        <v>114</v>
      </c>
      <c r="K597" t="s">
        <v>1693</v>
      </c>
      <c r="L597" t="s">
        <v>1693</v>
      </c>
    </row>
    <row r="598" spans="1:12" x14ac:dyDescent="0.3">
      <c r="A598" t="s">
        <v>709</v>
      </c>
      <c r="B598" t="s">
        <v>1491</v>
      </c>
      <c r="C598" t="s">
        <v>750</v>
      </c>
      <c r="D598" t="s">
        <v>225</v>
      </c>
      <c r="E598" t="s">
        <v>569</v>
      </c>
      <c r="F598" t="s">
        <v>126</v>
      </c>
      <c r="G598" t="s">
        <v>111</v>
      </c>
      <c r="H598" t="s">
        <v>113</v>
      </c>
      <c r="I598" t="s">
        <v>112</v>
      </c>
      <c r="J598" t="s">
        <v>114</v>
      </c>
      <c r="K598" t="s">
        <v>1693</v>
      </c>
      <c r="L598" t="s">
        <v>1693</v>
      </c>
    </row>
    <row r="599" spans="1:12" x14ac:dyDescent="0.3">
      <c r="A599" t="s">
        <v>709</v>
      </c>
      <c r="B599" t="s">
        <v>1491</v>
      </c>
      <c r="C599" t="s">
        <v>750</v>
      </c>
      <c r="D599" t="s">
        <v>227</v>
      </c>
      <c r="E599" t="s">
        <v>569</v>
      </c>
      <c r="F599" t="s">
        <v>192</v>
      </c>
      <c r="G599" t="s">
        <v>111</v>
      </c>
      <c r="H599" t="s">
        <v>113</v>
      </c>
      <c r="I599" t="s">
        <v>112</v>
      </c>
      <c r="J599" t="s">
        <v>114</v>
      </c>
      <c r="K599" t="s">
        <v>1693</v>
      </c>
      <c r="L599" t="s">
        <v>1693</v>
      </c>
    </row>
    <row r="600" spans="1:12" x14ac:dyDescent="0.3">
      <c r="A600" t="s">
        <v>709</v>
      </c>
      <c r="B600" t="s">
        <v>1491</v>
      </c>
      <c r="C600" t="s">
        <v>750</v>
      </c>
      <c r="D600" t="s">
        <v>228</v>
      </c>
      <c r="E600" t="s">
        <v>569</v>
      </c>
      <c r="F600" t="s">
        <v>167</v>
      </c>
      <c r="G600" t="s">
        <v>111</v>
      </c>
      <c r="H600" t="s">
        <v>113</v>
      </c>
      <c r="I600" t="s">
        <v>112</v>
      </c>
      <c r="J600" t="s">
        <v>114</v>
      </c>
      <c r="K600" t="s">
        <v>1693</v>
      </c>
      <c r="L600" t="s">
        <v>1693</v>
      </c>
    </row>
    <row r="601" spans="1:12" x14ac:dyDescent="0.3">
      <c r="A601" t="s">
        <v>709</v>
      </c>
      <c r="B601" t="s">
        <v>1491</v>
      </c>
      <c r="C601" t="s">
        <v>750</v>
      </c>
      <c r="D601" t="s">
        <v>229</v>
      </c>
      <c r="E601" t="s">
        <v>569</v>
      </c>
      <c r="F601" t="s">
        <v>127</v>
      </c>
      <c r="G601" t="s">
        <v>111</v>
      </c>
      <c r="H601" t="s">
        <v>113</v>
      </c>
      <c r="I601" t="s">
        <v>112</v>
      </c>
      <c r="J601" t="s">
        <v>114</v>
      </c>
      <c r="K601" t="s">
        <v>1694</v>
      </c>
      <c r="L601" t="s">
        <v>1694</v>
      </c>
    </row>
    <row r="602" spans="1:12" x14ac:dyDescent="0.3">
      <c r="A602" t="s">
        <v>709</v>
      </c>
      <c r="B602" t="s">
        <v>1491</v>
      </c>
      <c r="C602" t="s">
        <v>750</v>
      </c>
      <c r="D602" t="s">
        <v>310</v>
      </c>
      <c r="E602" t="s">
        <v>569</v>
      </c>
      <c r="F602" t="s">
        <v>128</v>
      </c>
      <c r="G602" t="s">
        <v>111</v>
      </c>
      <c r="H602" t="s">
        <v>118</v>
      </c>
      <c r="I602" t="s">
        <v>112</v>
      </c>
      <c r="J602" t="s">
        <v>119</v>
      </c>
      <c r="K602" t="s">
        <v>1695</v>
      </c>
      <c r="L602" t="s">
        <v>1695</v>
      </c>
    </row>
    <row r="603" spans="1:12" x14ac:dyDescent="0.3">
      <c r="A603" t="s">
        <v>709</v>
      </c>
      <c r="B603" t="s">
        <v>1491</v>
      </c>
      <c r="C603" t="s">
        <v>750</v>
      </c>
      <c r="D603" t="s">
        <v>311</v>
      </c>
      <c r="E603" t="s">
        <v>569</v>
      </c>
      <c r="F603" t="s">
        <v>89</v>
      </c>
      <c r="G603" t="s">
        <v>111</v>
      </c>
      <c r="H603" t="s">
        <v>113</v>
      </c>
      <c r="I603" t="s">
        <v>112</v>
      </c>
      <c r="J603" t="s">
        <v>114</v>
      </c>
      <c r="K603" t="s">
        <v>1696</v>
      </c>
      <c r="L603" t="s">
        <v>1696</v>
      </c>
    </row>
    <row r="604" spans="1:12" x14ac:dyDescent="0.3">
      <c r="A604" t="s">
        <v>709</v>
      </c>
      <c r="B604" t="s">
        <v>1491</v>
      </c>
      <c r="C604" t="s">
        <v>750</v>
      </c>
      <c r="D604" t="s">
        <v>231</v>
      </c>
      <c r="E604" t="s">
        <v>569</v>
      </c>
      <c r="F604" t="s">
        <v>66</v>
      </c>
      <c r="G604" t="s">
        <v>111</v>
      </c>
      <c r="H604" t="s">
        <v>113</v>
      </c>
      <c r="I604" t="s">
        <v>112</v>
      </c>
      <c r="J604" t="s">
        <v>114</v>
      </c>
      <c r="K604" t="s">
        <v>1693</v>
      </c>
      <c r="L604" t="s">
        <v>1693</v>
      </c>
    </row>
    <row r="605" spans="1:12" x14ac:dyDescent="0.3">
      <c r="A605" t="s">
        <v>709</v>
      </c>
      <c r="B605" t="s">
        <v>1491</v>
      </c>
      <c r="C605" t="s">
        <v>750</v>
      </c>
      <c r="D605" t="s">
        <v>232</v>
      </c>
      <c r="E605" t="s">
        <v>569</v>
      </c>
      <c r="F605" t="s">
        <v>169</v>
      </c>
      <c r="G605" t="s">
        <v>111</v>
      </c>
      <c r="H605" t="s">
        <v>113</v>
      </c>
      <c r="I605" t="s">
        <v>112</v>
      </c>
      <c r="J605" t="s">
        <v>114</v>
      </c>
      <c r="K605" t="s">
        <v>1693</v>
      </c>
      <c r="L605" t="s">
        <v>1693</v>
      </c>
    </row>
    <row r="606" spans="1:12" x14ac:dyDescent="0.3">
      <c r="A606" t="s">
        <v>709</v>
      </c>
      <c r="B606" t="s">
        <v>1491</v>
      </c>
      <c r="C606" t="s">
        <v>750</v>
      </c>
      <c r="D606" t="s">
        <v>234</v>
      </c>
      <c r="E606" t="s">
        <v>569</v>
      </c>
      <c r="F606" t="s">
        <v>93</v>
      </c>
      <c r="G606" t="s">
        <v>111</v>
      </c>
      <c r="H606" t="s">
        <v>113</v>
      </c>
      <c r="I606" t="s">
        <v>112</v>
      </c>
      <c r="J606" t="s">
        <v>114</v>
      </c>
      <c r="K606" t="s">
        <v>1693</v>
      </c>
      <c r="L606" t="s">
        <v>1693</v>
      </c>
    </row>
    <row r="607" spans="1:12" x14ac:dyDescent="0.3">
      <c r="A607" t="s">
        <v>709</v>
      </c>
      <c r="B607" t="s">
        <v>1491</v>
      </c>
      <c r="C607" t="s">
        <v>750</v>
      </c>
      <c r="D607" t="s">
        <v>312</v>
      </c>
      <c r="E607" t="s">
        <v>569</v>
      </c>
      <c r="F607" t="s">
        <v>129</v>
      </c>
      <c r="G607" t="s">
        <v>111</v>
      </c>
      <c r="H607" t="s">
        <v>113</v>
      </c>
      <c r="I607" t="s">
        <v>112</v>
      </c>
      <c r="J607" t="s">
        <v>114</v>
      </c>
      <c r="K607" t="s">
        <v>1693</v>
      </c>
      <c r="L607" t="s">
        <v>1693</v>
      </c>
    </row>
    <row r="608" spans="1:12" x14ac:dyDescent="0.3">
      <c r="A608" t="s">
        <v>709</v>
      </c>
      <c r="B608" t="s">
        <v>1491</v>
      </c>
      <c r="C608" t="s">
        <v>750</v>
      </c>
      <c r="D608" t="s">
        <v>313</v>
      </c>
      <c r="E608" t="s">
        <v>569</v>
      </c>
      <c r="F608" t="s">
        <v>68</v>
      </c>
      <c r="G608" t="s">
        <v>111</v>
      </c>
      <c r="H608" t="s">
        <v>113</v>
      </c>
      <c r="I608" t="s">
        <v>112</v>
      </c>
      <c r="J608" t="s">
        <v>114</v>
      </c>
      <c r="K608" t="s">
        <v>1694</v>
      </c>
      <c r="L608" t="s">
        <v>1694</v>
      </c>
    </row>
    <row r="609" spans="1:12" x14ac:dyDescent="0.3">
      <c r="A609" t="s">
        <v>709</v>
      </c>
      <c r="B609" t="s">
        <v>1491</v>
      </c>
      <c r="C609" t="s">
        <v>750</v>
      </c>
      <c r="D609" t="s">
        <v>235</v>
      </c>
      <c r="E609" t="s">
        <v>569</v>
      </c>
      <c r="F609" t="s">
        <v>85</v>
      </c>
      <c r="G609" t="s">
        <v>111</v>
      </c>
      <c r="H609" t="s">
        <v>118</v>
      </c>
      <c r="I609" t="s">
        <v>112</v>
      </c>
      <c r="J609" t="s">
        <v>119</v>
      </c>
      <c r="K609" t="s">
        <v>1697</v>
      </c>
      <c r="L609" t="s">
        <v>1697</v>
      </c>
    </row>
    <row r="610" spans="1:12" x14ac:dyDescent="0.3">
      <c r="A610" t="s">
        <v>709</v>
      </c>
      <c r="B610" t="s">
        <v>1491</v>
      </c>
      <c r="C610" t="s">
        <v>750</v>
      </c>
      <c r="D610" t="s">
        <v>314</v>
      </c>
      <c r="E610" t="s">
        <v>569</v>
      </c>
      <c r="F610" t="s">
        <v>61</v>
      </c>
      <c r="G610" t="s">
        <v>111</v>
      </c>
      <c r="H610" t="s">
        <v>118</v>
      </c>
      <c r="I610" t="s">
        <v>112</v>
      </c>
      <c r="J610" t="s">
        <v>119</v>
      </c>
      <c r="K610" t="s">
        <v>1698</v>
      </c>
      <c r="L610" t="s">
        <v>1698</v>
      </c>
    </row>
    <row r="611" spans="1:12" x14ac:dyDescent="0.3">
      <c r="A611" t="s">
        <v>709</v>
      </c>
      <c r="B611" t="s">
        <v>1491</v>
      </c>
      <c r="C611" t="s">
        <v>750</v>
      </c>
      <c r="D611" t="s">
        <v>236</v>
      </c>
      <c r="E611" t="s">
        <v>569</v>
      </c>
      <c r="F611" t="s">
        <v>87</v>
      </c>
      <c r="G611" t="s">
        <v>111</v>
      </c>
      <c r="H611" t="s">
        <v>113</v>
      </c>
      <c r="I611" t="s">
        <v>112</v>
      </c>
      <c r="J611" t="s">
        <v>114</v>
      </c>
      <c r="K611" t="s">
        <v>1693</v>
      </c>
      <c r="L611" t="s">
        <v>1693</v>
      </c>
    </row>
    <row r="612" spans="1:12" x14ac:dyDescent="0.3">
      <c r="A612" t="s">
        <v>709</v>
      </c>
      <c r="B612" t="s">
        <v>1491</v>
      </c>
      <c r="C612" t="s">
        <v>750</v>
      </c>
      <c r="D612" t="s">
        <v>237</v>
      </c>
      <c r="E612" t="s">
        <v>569</v>
      </c>
      <c r="F612" t="s">
        <v>130</v>
      </c>
      <c r="G612" t="s">
        <v>111</v>
      </c>
      <c r="H612" t="s">
        <v>118</v>
      </c>
      <c r="I612" t="s">
        <v>112</v>
      </c>
      <c r="J612" t="s">
        <v>119</v>
      </c>
      <c r="K612" t="s">
        <v>1693</v>
      </c>
      <c r="L612" t="s">
        <v>1693</v>
      </c>
    </row>
    <row r="613" spans="1:12" x14ac:dyDescent="0.3">
      <c r="A613" t="s">
        <v>709</v>
      </c>
      <c r="B613" t="s">
        <v>1491</v>
      </c>
      <c r="C613" t="s">
        <v>750</v>
      </c>
      <c r="D613" t="s">
        <v>238</v>
      </c>
      <c r="E613" t="s">
        <v>569</v>
      </c>
      <c r="F613" t="s">
        <v>131</v>
      </c>
      <c r="G613" t="s">
        <v>111</v>
      </c>
      <c r="H613" t="s">
        <v>113</v>
      </c>
      <c r="I613" t="s">
        <v>112</v>
      </c>
      <c r="J613" t="s">
        <v>114</v>
      </c>
      <c r="K613" t="s">
        <v>1693</v>
      </c>
      <c r="L613" t="s">
        <v>1693</v>
      </c>
    </row>
    <row r="614" spans="1:12" x14ac:dyDescent="0.3">
      <c r="A614" t="s">
        <v>709</v>
      </c>
      <c r="B614" t="s">
        <v>1491</v>
      </c>
      <c r="C614" t="s">
        <v>750</v>
      </c>
      <c r="D614" t="s">
        <v>239</v>
      </c>
      <c r="E614" t="s">
        <v>569</v>
      </c>
      <c r="F614" t="s">
        <v>50</v>
      </c>
      <c r="G614" t="s">
        <v>111</v>
      </c>
      <c r="H614" t="s">
        <v>113</v>
      </c>
      <c r="I614" t="s">
        <v>112</v>
      </c>
      <c r="J614" t="s">
        <v>114</v>
      </c>
      <c r="K614" t="s">
        <v>1699</v>
      </c>
      <c r="L614" t="s">
        <v>1699</v>
      </c>
    </row>
    <row r="615" spans="1:12" x14ac:dyDescent="0.3">
      <c r="A615" t="s">
        <v>709</v>
      </c>
      <c r="B615" t="s">
        <v>1491</v>
      </c>
      <c r="C615" t="s">
        <v>750</v>
      </c>
      <c r="D615" t="s">
        <v>315</v>
      </c>
      <c r="E615" t="s">
        <v>568</v>
      </c>
      <c r="F615" t="s">
        <v>79</v>
      </c>
      <c r="G615" t="s">
        <v>111</v>
      </c>
      <c r="H615" t="s">
        <v>118</v>
      </c>
      <c r="I615" t="s">
        <v>112</v>
      </c>
      <c r="J615" t="s">
        <v>119</v>
      </c>
      <c r="K615" t="s">
        <v>1693</v>
      </c>
      <c r="L615" t="s">
        <v>1693</v>
      </c>
    </row>
    <row r="616" spans="1:12" x14ac:dyDescent="0.3">
      <c r="A616" t="s">
        <v>709</v>
      </c>
      <c r="B616" t="s">
        <v>1491</v>
      </c>
      <c r="C616" t="s">
        <v>750</v>
      </c>
      <c r="D616" t="s">
        <v>316</v>
      </c>
      <c r="E616" t="s">
        <v>568</v>
      </c>
      <c r="F616" t="s">
        <v>132</v>
      </c>
      <c r="G616" t="s">
        <v>111</v>
      </c>
      <c r="H616" t="s">
        <v>113</v>
      </c>
      <c r="I616" t="s">
        <v>112</v>
      </c>
      <c r="J616" t="s">
        <v>114</v>
      </c>
      <c r="K616" t="s">
        <v>1693</v>
      </c>
      <c r="L616" t="s">
        <v>1693</v>
      </c>
    </row>
    <row r="617" spans="1:12" x14ac:dyDescent="0.3">
      <c r="A617" t="s">
        <v>709</v>
      </c>
      <c r="B617" t="s">
        <v>1491</v>
      </c>
      <c r="C617" t="s">
        <v>750</v>
      </c>
      <c r="D617" t="s">
        <v>317</v>
      </c>
      <c r="E617" t="s">
        <v>568</v>
      </c>
      <c r="F617" t="s">
        <v>133</v>
      </c>
      <c r="G617" t="s">
        <v>111</v>
      </c>
      <c r="H617" t="s">
        <v>118</v>
      </c>
      <c r="I617" t="s">
        <v>112</v>
      </c>
      <c r="J617" t="s">
        <v>119</v>
      </c>
      <c r="K617" t="s">
        <v>1695</v>
      </c>
      <c r="L617" t="s">
        <v>1695</v>
      </c>
    </row>
    <row r="618" spans="1:12" x14ac:dyDescent="0.3">
      <c r="A618" t="s">
        <v>709</v>
      </c>
      <c r="B618" t="s">
        <v>1491</v>
      </c>
      <c r="C618" t="s">
        <v>750</v>
      </c>
      <c r="D618" t="s">
        <v>318</v>
      </c>
      <c r="E618" t="s">
        <v>568</v>
      </c>
      <c r="F618" t="s">
        <v>193</v>
      </c>
      <c r="G618" t="s">
        <v>111</v>
      </c>
      <c r="H618" t="s">
        <v>118</v>
      </c>
      <c r="I618" t="s">
        <v>112</v>
      </c>
      <c r="J618" t="s">
        <v>119</v>
      </c>
      <c r="K618" t="s">
        <v>1698</v>
      </c>
      <c r="L618" t="s">
        <v>1698</v>
      </c>
    </row>
    <row r="619" spans="1:12" x14ac:dyDescent="0.3">
      <c r="A619" t="s">
        <v>709</v>
      </c>
      <c r="B619" t="s">
        <v>1491</v>
      </c>
      <c r="C619" t="s">
        <v>750</v>
      </c>
      <c r="D619" t="s">
        <v>241</v>
      </c>
      <c r="E619" t="s">
        <v>568</v>
      </c>
      <c r="F619" t="s">
        <v>51</v>
      </c>
      <c r="G619" t="s">
        <v>111</v>
      </c>
      <c r="H619" t="s">
        <v>113</v>
      </c>
      <c r="I619" t="s">
        <v>112</v>
      </c>
      <c r="J619" t="s">
        <v>114</v>
      </c>
      <c r="K619" t="s">
        <v>1693</v>
      </c>
      <c r="L619" t="s">
        <v>1693</v>
      </c>
    </row>
    <row r="620" spans="1:12" x14ac:dyDescent="0.3">
      <c r="A620" t="s">
        <v>709</v>
      </c>
      <c r="B620" t="s">
        <v>1491</v>
      </c>
      <c r="C620" t="s">
        <v>750</v>
      </c>
      <c r="D620" t="s">
        <v>242</v>
      </c>
      <c r="E620" t="s">
        <v>568</v>
      </c>
      <c r="F620" t="s">
        <v>163</v>
      </c>
      <c r="G620" t="s">
        <v>111</v>
      </c>
      <c r="H620" t="s">
        <v>113</v>
      </c>
      <c r="I620" t="s">
        <v>112</v>
      </c>
      <c r="J620" t="s">
        <v>114</v>
      </c>
      <c r="K620" t="s">
        <v>1700</v>
      </c>
      <c r="L620" t="s">
        <v>1700</v>
      </c>
    </row>
    <row r="621" spans="1:12" x14ac:dyDescent="0.3">
      <c r="A621" t="s">
        <v>709</v>
      </c>
      <c r="B621" t="s">
        <v>1491</v>
      </c>
      <c r="C621" t="s">
        <v>750</v>
      </c>
      <c r="D621" t="s">
        <v>243</v>
      </c>
      <c r="E621" t="s">
        <v>568</v>
      </c>
      <c r="F621" t="s">
        <v>170</v>
      </c>
      <c r="G621" t="s">
        <v>111</v>
      </c>
      <c r="H621" t="s">
        <v>113</v>
      </c>
      <c r="I621" t="s">
        <v>112</v>
      </c>
      <c r="J621" t="s">
        <v>114</v>
      </c>
      <c r="K621" t="s">
        <v>1693</v>
      </c>
      <c r="L621" t="s">
        <v>1693</v>
      </c>
    </row>
    <row r="622" spans="1:12" x14ac:dyDescent="0.3">
      <c r="A622" t="s">
        <v>709</v>
      </c>
      <c r="B622" t="s">
        <v>1491</v>
      </c>
      <c r="C622" t="s">
        <v>750</v>
      </c>
      <c r="D622" t="s">
        <v>244</v>
      </c>
      <c r="E622" t="s">
        <v>568</v>
      </c>
      <c r="F622" t="s">
        <v>78</v>
      </c>
      <c r="G622" t="s">
        <v>111</v>
      </c>
      <c r="H622" t="s">
        <v>113</v>
      </c>
      <c r="I622" t="s">
        <v>112</v>
      </c>
      <c r="J622" t="s">
        <v>114</v>
      </c>
      <c r="K622" t="s">
        <v>1693</v>
      </c>
      <c r="L622" t="s">
        <v>1693</v>
      </c>
    </row>
    <row r="623" spans="1:12" x14ac:dyDescent="0.3">
      <c r="A623" t="s">
        <v>709</v>
      </c>
      <c r="B623" t="s">
        <v>1491</v>
      </c>
      <c r="C623" t="s">
        <v>750</v>
      </c>
      <c r="D623" t="s">
        <v>319</v>
      </c>
      <c r="E623" t="s">
        <v>568</v>
      </c>
      <c r="F623" t="s">
        <v>136</v>
      </c>
      <c r="G623" t="s">
        <v>111</v>
      </c>
      <c r="H623" t="s">
        <v>113</v>
      </c>
      <c r="I623" t="s">
        <v>112</v>
      </c>
      <c r="J623" t="s">
        <v>114</v>
      </c>
      <c r="K623" t="s">
        <v>1693</v>
      </c>
      <c r="L623" t="s">
        <v>1693</v>
      </c>
    </row>
    <row r="624" spans="1:12" x14ac:dyDescent="0.3">
      <c r="A624" t="s">
        <v>709</v>
      </c>
      <c r="B624" t="s">
        <v>1491</v>
      </c>
      <c r="C624" t="s">
        <v>750</v>
      </c>
      <c r="D624" t="s">
        <v>247</v>
      </c>
      <c r="E624" t="s">
        <v>568</v>
      </c>
      <c r="F624" t="s">
        <v>60</v>
      </c>
      <c r="G624" t="s">
        <v>111</v>
      </c>
      <c r="H624" t="s">
        <v>113</v>
      </c>
      <c r="I624" t="s">
        <v>112</v>
      </c>
      <c r="J624" t="s">
        <v>114</v>
      </c>
      <c r="K624" t="s">
        <v>1693</v>
      </c>
      <c r="L624" t="s">
        <v>1693</v>
      </c>
    </row>
    <row r="625" spans="1:12" x14ac:dyDescent="0.3">
      <c r="A625" t="s">
        <v>709</v>
      </c>
      <c r="B625" t="s">
        <v>1491</v>
      </c>
      <c r="C625" t="s">
        <v>750</v>
      </c>
      <c r="D625" t="s">
        <v>251</v>
      </c>
      <c r="E625" t="s">
        <v>568</v>
      </c>
      <c r="F625" t="s">
        <v>48</v>
      </c>
      <c r="G625" t="s">
        <v>111</v>
      </c>
      <c r="H625" t="s">
        <v>113</v>
      </c>
      <c r="I625" t="s">
        <v>112</v>
      </c>
      <c r="J625" t="s">
        <v>114</v>
      </c>
      <c r="K625" t="s">
        <v>1694</v>
      </c>
      <c r="L625" t="s">
        <v>1694</v>
      </c>
    </row>
    <row r="626" spans="1:12" x14ac:dyDescent="0.3">
      <c r="A626" t="s">
        <v>709</v>
      </c>
      <c r="B626" t="s">
        <v>1491</v>
      </c>
      <c r="C626" t="s">
        <v>750</v>
      </c>
      <c r="D626" t="s">
        <v>252</v>
      </c>
      <c r="E626" t="s">
        <v>568</v>
      </c>
      <c r="F626" t="s">
        <v>138</v>
      </c>
      <c r="G626" t="s">
        <v>111</v>
      </c>
      <c r="H626" t="s">
        <v>118</v>
      </c>
      <c r="I626" t="s">
        <v>112</v>
      </c>
      <c r="J626" t="s">
        <v>119</v>
      </c>
      <c r="K626" t="s">
        <v>1698</v>
      </c>
      <c r="L626" t="s">
        <v>1698</v>
      </c>
    </row>
    <row r="627" spans="1:12" x14ac:dyDescent="0.3">
      <c r="A627" t="s">
        <v>709</v>
      </c>
      <c r="B627" t="s">
        <v>1491</v>
      </c>
      <c r="C627" t="s">
        <v>750</v>
      </c>
      <c r="D627" t="s">
        <v>253</v>
      </c>
      <c r="E627" t="s">
        <v>568</v>
      </c>
      <c r="F627" t="s">
        <v>95</v>
      </c>
      <c r="G627" t="s">
        <v>111</v>
      </c>
      <c r="H627" t="s">
        <v>113</v>
      </c>
      <c r="I627" t="s">
        <v>112</v>
      </c>
      <c r="J627" t="s">
        <v>114</v>
      </c>
      <c r="K627" t="s">
        <v>428</v>
      </c>
      <c r="L627" t="s">
        <v>428</v>
      </c>
    </row>
    <row r="628" spans="1:12" x14ac:dyDescent="0.3">
      <c r="A628" t="s">
        <v>709</v>
      </c>
      <c r="B628" t="s">
        <v>1491</v>
      </c>
      <c r="C628" t="s">
        <v>750</v>
      </c>
      <c r="D628" t="s">
        <v>254</v>
      </c>
      <c r="E628" t="s">
        <v>568</v>
      </c>
      <c r="F628" t="s">
        <v>139</v>
      </c>
      <c r="G628" t="s">
        <v>111</v>
      </c>
      <c r="H628" t="s">
        <v>118</v>
      </c>
      <c r="I628" t="s">
        <v>112</v>
      </c>
      <c r="J628" t="s">
        <v>119</v>
      </c>
      <c r="K628" t="s">
        <v>1693</v>
      </c>
      <c r="L628" t="s">
        <v>1693</v>
      </c>
    </row>
    <row r="629" spans="1:12" x14ac:dyDescent="0.3">
      <c r="A629" t="s">
        <v>709</v>
      </c>
      <c r="B629" t="s">
        <v>1491</v>
      </c>
      <c r="C629" t="s">
        <v>750</v>
      </c>
      <c r="D629" t="s">
        <v>255</v>
      </c>
      <c r="E629" t="s">
        <v>568</v>
      </c>
      <c r="F629" t="s">
        <v>171</v>
      </c>
      <c r="G629" t="s">
        <v>111</v>
      </c>
      <c r="H629" t="s">
        <v>113</v>
      </c>
      <c r="I629" t="s">
        <v>112</v>
      </c>
      <c r="J629" t="s">
        <v>114</v>
      </c>
      <c r="K629" t="s">
        <v>1693</v>
      </c>
      <c r="L629" t="s">
        <v>1693</v>
      </c>
    </row>
    <row r="630" spans="1:12" x14ac:dyDescent="0.3">
      <c r="A630" t="s">
        <v>709</v>
      </c>
      <c r="B630" t="s">
        <v>1491</v>
      </c>
      <c r="C630" t="s">
        <v>750</v>
      </c>
      <c r="D630" t="s">
        <v>320</v>
      </c>
      <c r="E630" t="s">
        <v>568</v>
      </c>
      <c r="F630" t="s">
        <v>172</v>
      </c>
      <c r="G630" t="s">
        <v>111</v>
      </c>
      <c r="H630" t="s">
        <v>113</v>
      </c>
      <c r="I630" t="s">
        <v>112</v>
      </c>
      <c r="J630" t="s">
        <v>114</v>
      </c>
      <c r="K630" t="s">
        <v>1694</v>
      </c>
      <c r="L630" t="s">
        <v>1694</v>
      </c>
    </row>
    <row r="631" spans="1:12" x14ac:dyDescent="0.3">
      <c r="A631" t="s">
        <v>709</v>
      </c>
      <c r="B631" t="s">
        <v>1491</v>
      </c>
      <c r="C631" t="s">
        <v>750</v>
      </c>
      <c r="D631" t="s">
        <v>207</v>
      </c>
      <c r="E631" t="s">
        <v>568</v>
      </c>
      <c r="F631" t="s">
        <v>62</v>
      </c>
      <c r="G631" t="s">
        <v>111</v>
      </c>
      <c r="H631" t="s">
        <v>113</v>
      </c>
      <c r="I631" t="s">
        <v>112</v>
      </c>
      <c r="J631" t="s">
        <v>114</v>
      </c>
      <c r="K631" t="s">
        <v>1694</v>
      </c>
      <c r="L631" t="s">
        <v>1694</v>
      </c>
    </row>
    <row r="632" spans="1:12" x14ac:dyDescent="0.3">
      <c r="A632" t="s">
        <v>709</v>
      </c>
      <c r="B632" t="s">
        <v>1491</v>
      </c>
      <c r="C632" t="s">
        <v>750</v>
      </c>
      <c r="D632" t="s">
        <v>256</v>
      </c>
      <c r="E632" t="s">
        <v>568</v>
      </c>
      <c r="F632" t="s">
        <v>57</v>
      </c>
      <c r="G632" t="s">
        <v>111</v>
      </c>
      <c r="H632" t="s">
        <v>113</v>
      </c>
      <c r="I632" t="s">
        <v>112</v>
      </c>
      <c r="J632" t="s">
        <v>114</v>
      </c>
      <c r="K632" t="s">
        <v>1693</v>
      </c>
      <c r="L632" t="s">
        <v>1693</v>
      </c>
    </row>
    <row r="633" spans="1:12" x14ac:dyDescent="0.3">
      <c r="A633" t="s">
        <v>709</v>
      </c>
      <c r="B633" t="s">
        <v>1491</v>
      </c>
      <c r="C633" t="s">
        <v>750</v>
      </c>
      <c r="D633" t="s">
        <v>322</v>
      </c>
      <c r="E633" t="s">
        <v>568</v>
      </c>
      <c r="F633" t="s">
        <v>173</v>
      </c>
      <c r="G633" t="s">
        <v>111</v>
      </c>
      <c r="H633" t="s">
        <v>118</v>
      </c>
      <c r="I633" t="s">
        <v>112</v>
      </c>
      <c r="J633" t="s">
        <v>119</v>
      </c>
      <c r="K633" t="s">
        <v>1701</v>
      </c>
      <c r="L633" t="s">
        <v>1701</v>
      </c>
    </row>
    <row r="634" spans="1:12" x14ac:dyDescent="0.3">
      <c r="A634" t="s">
        <v>709</v>
      </c>
      <c r="B634" t="s">
        <v>1491</v>
      </c>
      <c r="C634" t="s">
        <v>750</v>
      </c>
      <c r="D634" t="s">
        <v>257</v>
      </c>
      <c r="E634" t="s">
        <v>568</v>
      </c>
      <c r="F634" t="s">
        <v>174</v>
      </c>
      <c r="G634" t="s">
        <v>111</v>
      </c>
      <c r="H634" t="s">
        <v>113</v>
      </c>
      <c r="I634" t="s">
        <v>112</v>
      </c>
      <c r="J634" t="s">
        <v>114</v>
      </c>
      <c r="K634" t="s">
        <v>1702</v>
      </c>
      <c r="L634" t="s">
        <v>1702</v>
      </c>
    </row>
    <row r="635" spans="1:12" x14ac:dyDescent="0.3">
      <c r="A635" t="s">
        <v>709</v>
      </c>
      <c r="B635" t="s">
        <v>1491</v>
      </c>
      <c r="C635" t="s">
        <v>750</v>
      </c>
      <c r="D635" t="s">
        <v>258</v>
      </c>
      <c r="E635" t="s">
        <v>568</v>
      </c>
      <c r="F635" t="s">
        <v>88</v>
      </c>
      <c r="G635" t="s">
        <v>111</v>
      </c>
      <c r="H635" t="s">
        <v>113</v>
      </c>
      <c r="I635" t="s">
        <v>112</v>
      </c>
      <c r="J635" t="s">
        <v>114</v>
      </c>
      <c r="K635" t="s">
        <v>1693</v>
      </c>
      <c r="L635" t="s">
        <v>1693</v>
      </c>
    </row>
    <row r="636" spans="1:12" x14ac:dyDescent="0.3">
      <c r="A636" t="s">
        <v>709</v>
      </c>
      <c r="B636" t="s">
        <v>1491</v>
      </c>
      <c r="C636" t="s">
        <v>750</v>
      </c>
      <c r="D636" t="s">
        <v>259</v>
      </c>
      <c r="E636" t="s">
        <v>568</v>
      </c>
      <c r="F636" t="s">
        <v>77</v>
      </c>
      <c r="G636" t="s">
        <v>111</v>
      </c>
      <c r="H636" t="s">
        <v>113</v>
      </c>
      <c r="I636" t="s">
        <v>112</v>
      </c>
      <c r="J636" t="s">
        <v>114</v>
      </c>
      <c r="K636" t="s">
        <v>1693</v>
      </c>
      <c r="L636" t="s">
        <v>1693</v>
      </c>
    </row>
    <row r="637" spans="1:12" x14ac:dyDescent="0.3">
      <c r="A637" t="s">
        <v>709</v>
      </c>
      <c r="B637" t="s">
        <v>1491</v>
      </c>
      <c r="C637" t="s">
        <v>750</v>
      </c>
      <c r="D637" t="s">
        <v>323</v>
      </c>
      <c r="E637" t="s">
        <v>568</v>
      </c>
      <c r="F637" t="s">
        <v>74</v>
      </c>
      <c r="G637" t="s">
        <v>111</v>
      </c>
      <c r="H637" t="s">
        <v>113</v>
      </c>
      <c r="I637" t="s">
        <v>112</v>
      </c>
      <c r="J637" t="s">
        <v>114</v>
      </c>
      <c r="K637" t="s">
        <v>1694</v>
      </c>
      <c r="L637" t="s">
        <v>1694</v>
      </c>
    </row>
    <row r="638" spans="1:12" x14ac:dyDescent="0.3">
      <c r="A638" t="s">
        <v>709</v>
      </c>
      <c r="B638" t="s">
        <v>1491</v>
      </c>
      <c r="C638" t="s">
        <v>750</v>
      </c>
      <c r="D638" t="s">
        <v>324</v>
      </c>
      <c r="E638" t="s">
        <v>568</v>
      </c>
      <c r="F638" t="s">
        <v>102</v>
      </c>
      <c r="G638" t="s">
        <v>111</v>
      </c>
      <c r="H638" t="s">
        <v>118</v>
      </c>
      <c r="I638" t="s">
        <v>112</v>
      </c>
      <c r="J638" t="s">
        <v>119</v>
      </c>
      <c r="K638" t="s">
        <v>1698</v>
      </c>
      <c r="L638" t="s">
        <v>1698</v>
      </c>
    </row>
    <row r="639" spans="1:12" x14ac:dyDescent="0.3">
      <c r="A639" t="s">
        <v>709</v>
      </c>
      <c r="B639" t="s">
        <v>1491</v>
      </c>
      <c r="C639" t="s">
        <v>750</v>
      </c>
      <c r="D639" t="s">
        <v>260</v>
      </c>
      <c r="E639" t="s">
        <v>568</v>
      </c>
      <c r="F639" t="s">
        <v>140</v>
      </c>
      <c r="G639" t="s">
        <v>111</v>
      </c>
      <c r="H639" t="s">
        <v>113</v>
      </c>
      <c r="I639" t="s">
        <v>112</v>
      </c>
      <c r="J639" t="s">
        <v>114</v>
      </c>
      <c r="K639" t="s">
        <v>1693</v>
      </c>
      <c r="L639" t="s">
        <v>1693</v>
      </c>
    </row>
    <row r="640" spans="1:12" x14ac:dyDescent="0.3">
      <c r="A640" t="s">
        <v>709</v>
      </c>
      <c r="B640" t="s">
        <v>1491</v>
      </c>
      <c r="C640" t="s">
        <v>750</v>
      </c>
      <c r="D640" t="s">
        <v>263</v>
      </c>
      <c r="E640" t="s">
        <v>568</v>
      </c>
      <c r="F640" t="s">
        <v>141</v>
      </c>
      <c r="G640" t="s">
        <v>111</v>
      </c>
      <c r="H640" t="s">
        <v>118</v>
      </c>
      <c r="I640" t="s">
        <v>112</v>
      </c>
      <c r="J640" t="s">
        <v>119</v>
      </c>
      <c r="K640" t="s">
        <v>1693</v>
      </c>
      <c r="L640" t="s">
        <v>1693</v>
      </c>
    </row>
    <row r="641" spans="1:12" x14ac:dyDescent="0.3">
      <c r="A641" t="s">
        <v>709</v>
      </c>
      <c r="B641" t="s">
        <v>1491</v>
      </c>
      <c r="C641" t="s">
        <v>750</v>
      </c>
      <c r="D641" t="s">
        <v>264</v>
      </c>
      <c r="E641" t="s">
        <v>568</v>
      </c>
      <c r="F641" t="s">
        <v>64</v>
      </c>
      <c r="G641" t="s">
        <v>111</v>
      </c>
      <c r="H641" t="s">
        <v>113</v>
      </c>
      <c r="I641" t="s">
        <v>112</v>
      </c>
      <c r="J641" t="s">
        <v>114</v>
      </c>
      <c r="K641" t="s">
        <v>1694</v>
      </c>
      <c r="L641" t="s">
        <v>1694</v>
      </c>
    </row>
    <row r="642" spans="1:12" x14ac:dyDescent="0.3">
      <c r="A642" t="s">
        <v>709</v>
      </c>
      <c r="B642" t="s">
        <v>1491</v>
      </c>
      <c r="C642" t="s">
        <v>750</v>
      </c>
      <c r="D642" t="s">
        <v>265</v>
      </c>
      <c r="E642" t="s">
        <v>568</v>
      </c>
      <c r="F642" t="s">
        <v>142</v>
      </c>
      <c r="G642" t="s">
        <v>111</v>
      </c>
      <c r="H642" t="s">
        <v>113</v>
      </c>
      <c r="I642" t="s">
        <v>112</v>
      </c>
      <c r="J642" t="s">
        <v>114</v>
      </c>
      <c r="K642" t="s">
        <v>1693</v>
      </c>
      <c r="L642" t="s">
        <v>1693</v>
      </c>
    </row>
    <row r="643" spans="1:12" x14ac:dyDescent="0.3">
      <c r="A643" t="s">
        <v>709</v>
      </c>
      <c r="B643" t="s">
        <v>1491</v>
      </c>
      <c r="C643" t="s">
        <v>750</v>
      </c>
      <c r="D643" t="s">
        <v>326</v>
      </c>
      <c r="E643" t="s">
        <v>568</v>
      </c>
      <c r="F643" t="s">
        <v>144</v>
      </c>
      <c r="G643" t="s">
        <v>111</v>
      </c>
      <c r="H643" t="s">
        <v>113</v>
      </c>
      <c r="I643" t="s">
        <v>112</v>
      </c>
      <c r="J643" t="s">
        <v>114</v>
      </c>
      <c r="K643" t="s">
        <v>1693</v>
      </c>
      <c r="L643" t="s">
        <v>1693</v>
      </c>
    </row>
    <row r="644" spans="1:12" x14ac:dyDescent="0.3">
      <c r="A644" t="s">
        <v>709</v>
      </c>
      <c r="B644" t="s">
        <v>1491</v>
      </c>
      <c r="C644" t="s">
        <v>750</v>
      </c>
      <c r="D644" t="s">
        <v>268</v>
      </c>
      <c r="E644" t="s">
        <v>568</v>
      </c>
      <c r="F644" t="s">
        <v>194</v>
      </c>
      <c r="G644" t="s">
        <v>111</v>
      </c>
      <c r="H644" t="s">
        <v>113</v>
      </c>
      <c r="I644" t="s">
        <v>112</v>
      </c>
      <c r="J644" t="s">
        <v>114</v>
      </c>
      <c r="K644" t="s">
        <v>1693</v>
      </c>
      <c r="L644" t="s">
        <v>1693</v>
      </c>
    </row>
    <row r="645" spans="1:12" x14ac:dyDescent="0.3">
      <c r="A645" t="s">
        <v>709</v>
      </c>
      <c r="B645" t="s">
        <v>1491</v>
      </c>
      <c r="C645" t="s">
        <v>750</v>
      </c>
      <c r="D645" t="s">
        <v>269</v>
      </c>
      <c r="E645" t="s">
        <v>568</v>
      </c>
      <c r="F645" t="s">
        <v>145</v>
      </c>
      <c r="G645" t="s">
        <v>111</v>
      </c>
      <c r="H645" t="s">
        <v>118</v>
      </c>
      <c r="I645" t="s">
        <v>112</v>
      </c>
      <c r="J645" t="s">
        <v>119</v>
      </c>
      <c r="K645" t="s">
        <v>1694</v>
      </c>
      <c r="L645" t="s">
        <v>1694</v>
      </c>
    </row>
    <row r="646" spans="1:12" x14ac:dyDescent="0.3">
      <c r="A646" t="s">
        <v>709</v>
      </c>
      <c r="B646" t="s">
        <v>1491</v>
      </c>
      <c r="C646" t="s">
        <v>750</v>
      </c>
      <c r="D646" t="s">
        <v>270</v>
      </c>
      <c r="E646" t="s">
        <v>568</v>
      </c>
      <c r="F646" t="s">
        <v>81</v>
      </c>
      <c r="G646" t="s">
        <v>111</v>
      </c>
      <c r="H646" t="s">
        <v>118</v>
      </c>
      <c r="I646" t="s">
        <v>112</v>
      </c>
      <c r="J646" t="s">
        <v>119</v>
      </c>
      <c r="K646" t="s">
        <v>1693</v>
      </c>
      <c r="L646" t="s">
        <v>1693</v>
      </c>
    </row>
    <row r="647" spans="1:12" x14ac:dyDescent="0.3">
      <c r="A647" t="s">
        <v>709</v>
      </c>
      <c r="B647" t="s">
        <v>1491</v>
      </c>
      <c r="C647" t="s">
        <v>750</v>
      </c>
      <c r="D647" t="s">
        <v>271</v>
      </c>
      <c r="E647" t="s">
        <v>567</v>
      </c>
      <c r="F647" t="s">
        <v>76</v>
      </c>
      <c r="G647" t="s">
        <v>111</v>
      </c>
      <c r="H647" t="s">
        <v>113</v>
      </c>
      <c r="I647" t="s">
        <v>112</v>
      </c>
      <c r="J647" t="s">
        <v>114</v>
      </c>
      <c r="K647" t="s">
        <v>1693</v>
      </c>
      <c r="L647" t="s">
        <v>1693</v>
      </c>
    </row>
    <row r="648" spans="1:12" x14ac:dyDescent="0.3">
      <c r="A648" t="s">
        <v>709</v>
      </c>
      <c r="B648" t="s">
        <v>1491</v>
      </c>
      <c r="C648" t="s">
        <v>750</v>
      </c>
      <c r="D648" t="s">
        <v>272</v>
      </c>
      <c r="E648" t="s">
        <v>567</v>
      </c>
      <c r="F648" t="s">
        <v>52</v>
      </c>
      <c r="G648" t="s">
        <v>111</v>
      </c>
      <c r="H648" t="s">
        <v>113</v>
      </c>
      <c r="I648" t="s">
        <v>112</v>
      </c>
      <c r="J648" t="s">
        <v>114</v>
      </c>
      <c r="K648" t="s">
        <v>1693</v>
      </c>
      <c r="L648" t="s">
        <v>1693</v>
      </c>
    </row>
    <row r="649" spans="1:12" x14ac:dyDescent="0.3">
      <c r="A649" t="s">
        <v>709</v>
      </c>
      <c r="B649" t="s">
        <v>1491</v>
      </c>
      <c r="C649" t="s">
        <v>750</v>
      </c>
      <c r="D649" t="s">
        <v>327</v>
      </c>
      <c r="E649" t="s">
        <v>567</v>
      </c>
      <c r="F649" t="s">
        <v>104</v>
      </c>
      <c r="G649" t="s">
        <v>111</v>
      </c>
      <c r="H649" t="s">
        <v>113</v>
      </c>
      <c r="I649" t="s">
        <v>112</v>
      </c>
      <c r="J649" t="s">
        <v>114</v>
      </c>
      <c r="K649" t="s">
        <v>1693</v>
      </c>
      <c r="L649" t="s">
        <v>1693</v>
      </c>
    </row>
    <row r="650" spans="1:12" x14ac:dyDescent="0.3">
      <c r="A650" t="s">
        <v>709</v>
      </c>
      <c r="B650" t="s">
        <v>1491</v>
      </c>
      <c r="C650" t="s">
        <v>750</v>
      </c>
      <c r="D650" t="s">
        <v>273</v>
      </c>
      <c r="E650" t="s">
        <v>567</v>
      </c>
      <c r="F650" t="s">
        <v>176</v>
      </c>
      <c r="G650" t="s">
        <v>111</v>
      </c>
      <c r="H650" t="s">
        <v>113</v>
      </c>
      <c r="I650" t="s">
        <v>112</v>
      </c>
      <c r="J650" t="s">
        <v>114</v>
      </c>
      <c r="K650" t="s">
        <v>1693</v>
      </c>
      <c r="L650" t="s">
        <v>1693</v>
      </c>
    </row>
    <row r="651" spans="1:12" x14ac:dyDescent="0.3">
      <c r="A651" t="s">
        <v>709</v>
      </c>
      <c r="B651" t="s">
        <v>1491</v>
      </c>
      <c r="C651" t="s">
        <v>750</v>
      </c>
      <c r="D651" t="s">
        <v>274</v>
      </c>
      <c r="E651" t="s">
        <v>567</v>
      </c>
      <c r="F651" t="s">
        <v>146</v>
      </c>
      <c r="G651" t="s">
        <v>111</v>
      </c>
      <c r="H651" t="s">
        <v>113</v>
      </c>
      <c r="I651" t="s">
        <v>112</v>
      </c>
      <c r="J651" t="s">
        <v>114</v>
      </c>
      <c r="K651" t="s">
        <v>1700</v>
      </c>
      <c r="L651" t="s">
        <v>1700</v>
      </c>
    </row>
    <row r="652" spans="1:12" x14ac:dyDescent="0.3">
      <c r="A652" t="s">
        <v>709</v>
      </c>
      <c r="B652" t="s">
        <v>1491</v>
      </c>
      <c r="C652" t="s">
        <v>750</v>
      </c>
      <c r="D652" t="s">
        <v>275</v>
      </c>
      <c r="E652" t="s">
        <v>567</v>
      </c>
      <c r="F652" t="s">
        <v>148</v>
      </c>
      <c r="G652" t="s">
        <v>111</v>
      </c>
      <c r="H652" t="s">
        <v>113</v>
      </c>
      <c r="I652" t="s">
        <v>112</v>
      </c>
      <c r="J652" t="s">
        <v>114</v>
      </c>
      <c r="K652" t="s">
        <v>1693</v>
      </c>
      <c r="L652" t="s">
        <v>1693</v>
      </c>
    </row>
    <row r="653" spans="1:12" x14ac:dyDescent="0.3">
      <c r="A653" t="s">
        <v>709</v>
      </c>
      <c r="B653" t="s">
        <v>1491</v>
      </c>
      <c r="C653" t="s">
        <v>750</v>
      </c>
      <c r="D653" t="s">
        <v>276</v>
      </c>
      <c r="E653" t="s">
        <v>567</v>
      </c>
      <c r="F653" t="s">
        <v>149</v>
      </c>
      <c r="G653" t="s">
        <v>111</v>
      </c>
      <c r="H653" t="s">
        <v>113</v>
      </c>
      <c r="I653" t="s">
        <v>112</v>
      </c>
      <c r="J653" t="s">
        <v>114</v>
      </c>
      <c r="K653" t="s">
        <v>1698</v>
      </c>
      <c r="L653" t="s">
        <v>1698</v>
      </c>
    </row>
    <row r="654" spans="1:12" x14ac:dyDescent="0.3">
      <c r="A654" t="s">
        <v>709</v>
      </c>
      <c r="B654" t="s">
        <v>1491</v>
      </c>
      <c r="C654" t="s">
        <v>750</v>
      </c>
      <c r="D654" t="s">
        <v>277</v>
      </c>
      <c r="E654" t="s">
        <v>567</v>
      </c>
      <c r="F654" t="s">
        <v>83</v>
      </c>
      <c r="G654" t="s">
        <v>111</v>
      </c>
      <c r="H654" t="s">
        <v>113</v>
      </c>
      <c r="I654" t="s">
        <v>112</v>
      </c>
      <c r="J654" t="s">
        <v>114</v>
      </c>
      <c r="K654" t="s">
        <v>1693</v>
      </c>
      <c r="L654" t="s">
        <v>1693</v>
      </c>
    </row>
    <row r="655" spans="1:12" x14ac:dyDescent="0.3">
      <c r="A655" t="s">
        <v>709</v>
      </c>
      <c r="B655" t="s">
        <v>1491</v>
      </c>
      <c r="C655" t="s">
        <v>750</v>
      </c>
      <c r="D655" t="s">
        <v>278</v>
      </c>
      <c r="E655" t="s">
        <v>567</v>
      </c>
      <c r="F655" t="s">
        <v>203</v>
      </c>
      <c r="G655" t="s">
        <v>111</v>
      </c>
      <c r="H655" t="s">
        <v>113</v>
      </c>
      <c r="I655" t="s">
        <v>112</v>
      </c>
      <c r="J655" t="s">
        <v>114</v>
      </c>
      <c r="K655" t="s">
        <v>1695</v>
      </c>
      <c r="L655" t="s">
        <v>1695</v>
      </c>
    </row>
    <row r="656" spans="1:12" x14ac:dyDescent="0.3">
      <c r="A656" t="s">
        <v>709</v>
      </c>
      <c r="B656" t="s">
        <v>1491</v>
      </c>
      <c r="C656" t="s">
        <v>750</v>
      </c>
      <c r="D656" t="s">
        <v>279</v>
      </c>
      <c r="E656" t="s">
        <v>567</v>
      </c>
      <c r="F656" t="s">
        <v>150</v>
      </c>
      <c r="G656" t="s">
        <v>111</v>
      </c>
      <c r="H656" t="s">
        <v>113</v>
      </c>
      <c r="I656" t="s">
        <v>112</v>
      </c>
      <c r="J656" t="s">
        <v>114</v>
      </c>
      <c r="K656" t="s">
        <v>1695</v>
      </c>
      <c r="L656" t="s">
        <v>1695</v>
      </c>
    </row>
    <row r="657" spans="1:12" x14ac:dyDescent="0.3">
      <c r="A657" t="s">
        <v>709</v>
      </c>
      <c r="B657" t="s">
        <v>1491</v>
      </c>
      <c r="C657" t="s">
        <v>750</v>
      </c>
      <c r="D657" t="s">
        <v>280</v>
      </c>
      <c r="E657" t="s">
        <v>567</v>
      </c>
      <c r="F657" t="s">
        <v>71</v>
      </c>
      <c r="G657" t="s">
        <v>111</v>
      </c>
      <c r="H657" t="s">
        <v>118</v>
      </c>
      <c r="I657" t="s">
        <v>112</v>
      </c>
      <c r="J657" t="s">
        <v>119</v>
      </c>
      <c r="K657" t="s">
        <v>1693</v>
      </c>
      <c r="L657" t="s">
        <v>1693</v>
      </c>
    </row>
    <row r="658" spans="1:12" x14ac:dyDescent="0.3">
      <c r="A658" t="s">
        <v>709</v>
      </c>
      <c r="B658" t="s">
        <v>1491</v>
      </c>
      <c r="C658" t="s">
        <v>750</v>
      </c>
      <c r="D658" t="s">
        <v>282</v>
      </c>
      <c r="E658" t="s">
        <v>567</v>
      </c>
      <c r="F658" t="s">
        <v>90</v>
      </c>
      <c r="G658" t="s">
        <v>111</v>
      </c>
      <c r="H658" t="s">
        <v>113</v>
      </c>
      <c r="I658" t="s">
        <v>112</v>
      </c>
      <c r="J658" t="s">
        <v>114</v>
      </c>
      <c r="K658" t="s">
        <v>1693</v>
      </c>
      <c r="L658" t="s">
        <v>1693</v>
      </c>
    </row>
    <row r="659" spans="1:12" x14ac:dyDescent="0.3">
      <c r="A659" t="s">
        <v>709</v>
      </c>
      <c r="B659" t="s">
        <v>1491</v>
      </c>
      <c r="C659" t="s">
        <v>750</v>
      </c>
      <c r="D659" t="s">
        <v>329</v>
      </c>
      <c r="E659" t="s">
        <v>567</v>
      </c>
      <c r="F659" t="s">
        <v>92</v>
      </c>
      <c r="G659" t="s">
        <v>111</v>
      </c>
      <c r="H659" t="s">
        <v>113</v>
      </c>
      <c r="I659" t="s">
        <v>112</v>
      </c>
      <c r="J659" t="s">
        <v>114</v>
      </c>
      <c r="K659" t="s">
        <v>1693</v>
      </c>
      <c r="L659" t="s">
        <v>1693</v>
      </c>
    </row>
    <row r="660" spans="1:12" x14ac:dyDescent="0.3">
      <c r="A660" t="s">
        <v>709</v>
      </c>
      <c r="B660" t="s">
        <v>1491</v>
      </c>
      <c r="C660" t="s">
        <v>750</v>
      </c>
      <c r="D660" t="s">
        <v>283</v>
      </c>
      <c r="E660" t="s">
        <v>567</v>
      </c>
      <c r="F660" t="s">
        <v>63</v>
      </c>
      <c r="G660" t="s">
        <v>111</v>
      </c>
      <c r="H660" t="s">
        <v>113</v>
      </c>
      <c r="I660" t="s">
        <v>112</v>
      </c>
      <c r="J660" t="s">
        <v>114</v>
      </c>
      <c r="K660" t="s">
        <v>1693</v>
      </c>
      <c r="L660" t="s">
        <v>1693</v>
      </c>
    </row>
    <row r="661" spans="1:12" x14ac:dyDescent="0.3">
      <c r="A661" t="s">
        <v>709</v>
      </c>
      <c r="B661" t="s">
        <v>1491</v>
      </c>
      <c r="C661" t="s">
        <v>750</v>
      </c>
      <c r="D661" t="s">
        <v>284</v>
      </c>
      <c r="E661" t="s">
        <v>567</v>
      </c>
      <c r="F661" t="s">
        <v>151</v>
      </c>
      <c r="G661" t="s">
        <v>111</v>
      </c>
      <c r="H661" t="s">
        <v>113</v>
      </c>
      <c r="I661" t="s">
        <v>112</v>
      </c>
      <c r="J661" t="s">
        <v>114</v>
      </c>
      <c r="K661" t="s">
        <v>1694</v>
      </c>
      <c r="L661" t="s">
        <v>1694</v>
      </c>
    </row>
    <row r="662" spans="1:12" x14ac:dyDescent="0.3">
      <c r="A662" t="s">
        <v>709</v>
      </c>
      <c r="B662" t="s">
        <v>1491</v>
      </c>
      <c r="C662" t="s">
        <v>750</v>
      </c>
      <c r="D662" t="s">
        <v>285</v>
      </c>
      <c r="E662" t="s">
        <v>567</v>
      </c>
      <c r="F662" t="s">
        <v>195</v>
      </c>
      <c r="G662" t="s">
        <v>111</v>
      </c>
      <c r="H662" t="s">
        <v>113</v>
      </c>
      <c r="I662" t="s">
        <v>112</v>
      </c>
      <c r="J662" t="s">
        <v>114</v>
      </c>
      <c r="K662" t="s">
        <v>1693</v>
      </c>
      <c r="L662" t="s">
        <v>1693</v>
      </c>
    </row>
    <row r="663" spans="1:12" x14ac:dyDescent="0.3">
      <c r="A663" t="s">
        <v>709</v>
      </c>
      <c r="B663" t="s">
        <v>1491</v>
      </c>
      <c r="C663" t="s">
        <v>750</v>
      </c>
      <c r="D663" t="s">
        <v>330</v>
      </c>
      <c r="E663" t="s">
        <v>567</v>
      </c>
      <c r="F663" t="s">
        <v>177</v>
      </c>
      <c r="G663" t="s">
        <v>111</v>
      </c>
      <c r="H663" t="s">
        <v>147</v>
      </c>
      <c r="I663" t="s">
        <v>112</v>
      </c>
      <c r="J663" t="s">
        <v>119</v>
      </c>
      <c r="K663" t="s">
        <v>1703</v>
      </c>
      <c r="L663" t="s">
        <v>1703</v>
      </c>
    </row>
    <row r="664" spans="1:12" x14ac:dyDescent="0.3">
      <c r="A664" t="s">
        <v>709</v>
      </c>
      <c r="B664" t="s">
        <v>1491</v>
      </c>
      <c r="C664" t="s">
        <v>750</v>
      </c>
      <c r="D664" t="s">
        <v>288</v>
      </c>
      <c r="E664" t="s">
        <v>567</v>
      </c>
      <c r="F664" t="s">
        <v>178</v>
      </c>
      <c r="G664" t="s">
        <v>111</v>
      </c>
      <c r="H664" t="s">
        <v>113</v>
      </c>
      <c r="I664" t="s">
        <v>112</v>
      </c>
      <c r="J664" t="s">
        <v>114</v>
      </c>
      <c r="K664" t="s">
        <v>1694</v>
      </c>
      <c r="L664" t="s">
        <v>1694</v>
      </c>
    </row>
    <row r="665" spans="1:12" x14ac:dyDescent="0.3">
      <c r="A665" t="s">
        <v>709</v>
      </c>
      <c r="B665" t="s">
        <v>1491</v>
      </c>
      <c r="C665" t="s">
        <v>750</v>
      </c>
      <c r="D665" t="s">
        <v>289</v>
      </c>
      <c r="E665" t="s">
        <v>567</v>
      </c>
      <c r="F665" t="s">
        <v>179</v>
      </c>
      <c r="G665" t="s">
        <v>111</v>
      </c>
      <c r="H665" t="s">
        <v>113</v>
      </c>
      <c r="I665" t="s">
        <v>112</v>
      </c>
      <c r="J665" t="s">
        <v>114</v>
      </c>
      <c r="K665" t="s">
        <v>1694</v>
      </c>
      <c r="L665" t="s">
        <v>1694</v>
      </c>
    </row>
    <row r="666" spans="1:12" x14ac:dyDescent="0.3">
      <c r="A666" t="s">
        <v>709</v>
      </c>
      <c r="B666" t="s">
        <v>1491</v>
      </c>
      <c r="C666" t="s">
        <v>750</v>
      </c>
      <c r="D666" t="s">
        <v>290</v>
      </c>
      <c r="E666" t="s">
        <v>567</v>
      </c>
      <c r="F666" t="s">
        <v>153</v>
      </c>
      <c r="G666" t="s">
        <v>111</v>
      </c>
      <c r="H666" t="s">
        <v>113</v>
      </c>
      <c r="I666" t="s">
        <v>112</v>
      </c>
      <c r="J666" t="s">
        <v>114</v>
      </c>
      <c r="K666" t="s">
        <v>1697</v>
      </c>
      <c r="L666" t="s">
        <v>1697</v>
      </c>
    </row>
    <row r="667" spans="1:12" x14ac:dyDescent="0.3">
      <c r="A667" t="s">
        <v>709</v>
      </c>
      <c r="B667" t="s">
        <v>1491</v>
      </c>
      <c r="C667" t="s">
        <v>750</v>
      </c>
      <c r="D667" t="s">
        <v>291</v>
      </c>
      <c r="E667" t="s">
        <v>567</v>
      </c>
      <c r="F667" t="s">
        <v>154</v>
      </c>
      <c r="G667" t="s">
        <v>111</v>
      </c>
      <c r="H667" t="s">
        <v>113</v>
      </c>
      <c r="I667" t="s">
        <v>112</v>
      </c>
      <c r="J667" t="s">
        <v>114</v>
      </c>
      <c r="K667" t="s">
        <v>1693</v>
      </c>
      <c r="L667" t="s">
        <v>1693</v>
      </c>
    </row>
    <row r="668" spans="1:12" x14ac:dyDescent="0.3">
      <c r="A668" t="s">
        <v>709</v>
      </c>
      <c r="B668" t="s">
        <v>1491</v>
      </c>
      <c r="C668" t="s">
        <v>750</v>
      </c>
      <c r="D668" t="s">
        <v>292</v>
      </c>
      <c r="E668" t="s">
        <v>567</v>
      </c>
      <c r="F668" t="s">
        <v>55</v>
      </c>
      <c r="G668" t="s">
        <v>111</v>
      </c>
      <c r="H668" t="s">
        <v>118</v>
      </c>
      <c r="I668" t="s">
        <v>112</v>
      </c>
      <c r="J668" t="s">
        <v>119</v>
      </c>
      <c r="K668" t="s">
        <v>1693</v>
      </c>
      <c r="L668" t="s">
        <v>1693</v>
      </c>
    </row>
    <row r="669" spans="1:12" x14ac:dyDescent="0.3">
      <c r="A669" t="s">
        <v>709</v>
      </c>
      <c r="B669" t="s">
        <v>1491</v>
      </c>
      <c r="C669" t="s">
        <v>750</v>
      </c>
      <c r="D669" t="s">
        <v>334</v>
      </c>
      <c r="E669" t="s">
        <v>567</v>
      </c>
      <c r="F669" t="s">
        <v>155</v>
      </c>
      <c r="G669" t="s">
        <v>111</v>
      </c>
      <c r="H669" t="s">
        <v>113</v>
      </c>
      <c r="I669" t="s">
        <v>112</v>
      </c>
      <c r="J669" t="s">
        <v>114</v>
      </c>
      <c r="K669" t="s">
        <v>1693</v>
      </c>
      <c r="L669" t="s">
        <v>1693</v>
      </c>
    </row>
    <row r="670" spans="1:12" x14ac:dyDescent="0.3">
      <c r="A670" t="s">
        <v>709</v>
      </c>
      <c r="B670" t="s">
        <v>1491</v>
      </c>
      <c r="C670" t="s">
        <v>750</v>
      </c>
      <c r="D670" t="s">
        <v>295</v>
      </c>
      <c r="E670" t="s">
        <v>567</v>
      </c>
      <c r="F670" t="s">
        <v>103</v>
      </c>
      <c r="G670" t="s">
        <v>111</v>
      </c>
      <c r="H670" t="s">
        <v>113</v>
      </c>
      <c r="I670" t="s">
        <v>112</v>
      </c>
      <c r="J670" t="s">
        <v>114</v>
      </c>
      <c r="K670" t="s">
        <v>1693</v>
      </c>
      <c r="L670" t="s">
        <v>1693</v>
      </c>
    </row>
    <row r="671" spans="1:12" x14ac:dyDescent="0.3">
      <c r="A671" t="s">
        <v>709</v>
      </c>
      <c r="B671" t="s">
        <v>1491</v>
      </c>
      <c r="C671" t="s">
        <v>750</v>
      </c>
      <c r="D671" t="s">
        <v>337</v>
      </c>
      <c r="E671" t="s">
        <v>567</v>
      </c>
      <c r="F671" t="s">
        <v>157</v>
      </c>
      <c r="G671" t="s">
        <v>111</v>
      </c>
      <c r="H671" t="s">
        <v>118</v>
      </c>
      <c r="I671" t="s">
        <v>112</v>
      </c>
      <c r="J671" t="s">
        <v>119</v>
      </c>
      <c r="K671" t="s">
        <v>600</v>
      </c>
      <c r="L671" t="s">
        <v>600</v>
      </c>
    </row>
    <row r="672" spans="1:12" x14ac:dyDescent="0.3">
      <c r="A672" t="s">
        <v>709</v>
      </c>
      <c r="B672" t="s">
        <v>1491</v>
      </c>
      <c r="C672" t="s">
        <v>750</v>
      </c>
      <c r="D672" t="s">
        <v>296</v>
      </c>
      <c r="E672" t="s">
        <v>567</v>
      </c>
      <c r="F672" t="s">
        <v>198</v>
      </c>
      <c r="G672" t="s">
        <v>111</v>
      </c>
      <c r="H672" t="s">
        <v>118</v>
      </c>
      <c r="I672" t="s">
        <v>112</v>
      </c>
      <c r="J672" t="s">
        <v>119</v>
      </c>
      <c r="K672" t="s">
        <v>1697</v>
      </c>
      <c r="L672" t="s">
        <v>1697</v>
      </c>
    </row>
    <row r="673" spans="1:12" x14ac:dyDescent="0.3">
      <c r="A673" t="s">
        <v>709</v>
      </c>
      <c r="B673" t="s">
        <v>1491</v>
      </c>
      <c r="C673" t="s">
        <v>750</v>
      </c>
      <c r="D673" t="s">
        <v>297</v>
      </c>
      <c r="E673" t="s">
        <v>567</v>
      </c>
      <c r="F673" t="s">
        <v>180</v>
      </c>
      <c r="G673" t="s">
        <v>111</v>
      </c>
      <c r="H673" t="s">
        <v>113</v>
      </c>
      <c r="I673" t="s">
        <v>112</v>
      </c>
      <c r="J673" t="s">
        <v>114</v>
      </c>
      <c r="K673" t="s">
        <v>1693</v>
      </c>
      <c r="L673" t="s">
        <v>1693</v>
      </c>
    </row>
    <row r="674" spans="1:12" x14ac:dyDescent="0.3">
      <c r="A674" t="s">
        <v>709</v>
      </c>
      <c r="B674" t="s">
        <v>1491</v>
      </c>
      <c r="C674" t="s">
        <v>750</v>
      </c>
      <c r="D674" t="s">
        <v>298</v>
      </c>
      <c r="E674" t="s">
        <v>567</v>
      </c>
      <c r="F674" t="s">
        <v>158</v>
      </c>
      <c r="G674" t="s">
        <v>111</v>
      </c>
      <c r="H674" t="s">
        <v>113</v>
      </c>
      <c r="I674" t="s">
        <v>112</v>
      </c>
      <c r="J674" t="s">
        <v>114</v>
      </c>
      <c r="K674" t="s">
        <v>1693</v>
      </c>
      <c r="L674" t="s">
        <v>1693</v>
      </c>
    </row>
    <row r="675" spans="1:12" x14ac:dyDescent="0.3">
      <c r="A675" t="s">
        <v>709</v>
      </c>
      <c r="B675" t="s">
        <v>1491</v>
      </c>
      <c r="C675" t="s">
        <v>750</v>
      </c>
      <c r="D675" t="s">
        <v>336</v>
      </c>
      <c r="E675" t="s">
        <v>567</v>
      </c>
      <c r="F675" t="s">
        <v>159</v>
      </c>
      <c r="G675" t="s">
        <v>111</v>
      </c>
      <c r="H675" t="s">
        <v>113</v>
      </c>
      <c r="I675" t="s">
        <v>112</v>
      </c>
      <c r="J675" t="s">
        <v>114</v>
      </c>
      <c r="K675" t="s">
        <v>1693</v>
      </c>
      <c r="L675" t="s">
        <v>1693</v>
      </c>
    </row>
    <row r="676" spans="1:12" x14ac:dyDescent="0.3">
      <c r="A676" t="s">
        <v>709</v>
      </c>
      <c r="B676" t="s">
        <v>1491</v>
      </c>
      <c r="C676" t="s">
        <v>750</v>
      </c>
      <c r="D676" t="s">
        <v>299</v>
      </c>
      <c r="E676" t="s">
        <v>567</v>
      </c>
      <c r="F676" t="s">
        <v>47</v>
      </c>
      <c r="G676" t="s">
        <v>111</v>
      </c>
      <c r="H676" t="s">
        <v>113</v>
      </c>
      <c r="I676" t="s">
        <v>112</v>
      </c>
      <c r="J676" t="s">
        <v>114</v>
      </c>
      <c r="K676" t="s">
        <v>1697</v>
      </c>
      <c r="L676" t="s">
        <v>1697</v>
      </c>
    </row>
    <row r="677" spans="1:12" x14ac:dyDescent="0.3">
      <c r="A677" t="s">
        <v>709</v>
      </c>
      <c r="B677" t="s">
        <v>1491</v>
      </c>
      <c r="C677" t="s">
        <v>750</v>
      </c>
      <c r="D677" t="s">
        <v>300</v>
      </c>
      <c r="E677" t="s">
        <v>567</v>
      </c>
      <c r="F677" t="s">
        <v>181</v>
      </c>
      <c r="G677" t="s">
        <v>111</v>
      </c>
      <c r="H677" t="s">
        <v>118</v>
      </c>
      <c r="I677" t="s">
        <v>112</v>
      </c>
      <c r="J677" t="s">
        <v>119</v>
      </c>
      <c r="K677" t="s">
        <v>1693</v>
      </c>
      <c r="L677" t="s">
        <v>1693</v>
      </c>
    </row>
    <row r="678" spans="1:12" x14ac:dyDescent="0.3">
      <c r="A678" t="s">
        <v>709</v>
      </c>
      <c r="B678" t="s">
        <v>1491</v>
      </c>
      <c r="C678" t="s">
        <v>750</v>
      </c>
      <c r="D678" t="s">
        <v>208</v>
      </c>
      <c r="E678" t="s">
        <v>567</v>
      </c>
      <c r="F678" t="s">
        <v>161</v>
      </c>
      <c r="G678" t="s">
        <v>111</v>
      </c>
      <c r="H678" t="s">
        <v>113</v>
      </c>
      <c r="I678" t="s">
        <v>112</v>
      </c>
      <c r="J678" t="s">
        <v>114</v>
      </c>
      <c r="K678" t="s">
        <v>1693</v>
      </c>
      <c r="L678" t="s">
        <v>1693</v>
      </c>
    </row>
    <row r="679" spans="1:12" x14ac:dyDescent="0.3">
      <c r="A679" t="s">
        <v>709</v>
      </c>
      <c r="B679" t="s">
        <v>1491</v>
      </c>
      <c r="C679" t="s">
        <v>750</v>
      </c>
      <c r="D679" t="s">
        <v>1581</v>
      </c>
      <c r="E679" t="s">
        <v>569</v>
      </c>
      <c r="F679" t="s">
        <v>115</v>
      </c>
      <c r="G679" t="s">
        <v>111</v>
      </c>
      <c r="H679" t="s">
        <v>118</v>
      </c>
      <c r="I679" t="s">
        <v>112</v>
      </c>
      <c r="J679" t="s">
        <v>119</v>
      </c>
      <c r="K679" t="s">
        <v>1693</v>
      </c>
      <c r="L679" t="s">
        <v>1693</v>
      </c>
    </row>
    <row r="680" spans="1:12" x14ac:dyDescent="0.3">
      <c r="A680" t="s">
        <v>709</v>
      </c>
      <c r="B680" t="s">
        <v>1491</v>
      </c>
      <c r="C680" t="s">
        <v>750</v>
      </c>
      <c r="D680" t="s">
        <v>1583</v>
      </c>
      <c r="E680" t="s">
        <v>569</v>
      </c>
      <c r="F680" t="s">
        <v>59</v>
      </c>
      <c r="G680" t="s">
        <v>111</v>
      </c>
      <c r="H680" t="s">
        <v>118</v>
      </c>
      <c r="I680" t="s">
        <v>112</v>
      </c>
      <c r="J680" t="s">
        <v>119</v>
      </c>
      <c r="K680" t="s">
        <v>1693</v>
      </c>
      <c r="L680" t="s">
        <v>1693</v>
      </c>
    </row>
    <row r="681" spans="1:12" x14ac:dyDescent="0.3">
      <c r="A681" t="s">
        <v>709</v>
      </c>
      <c r="B681" t="s">
        <v>1491</v>
      </c>
      <c r="C681" t="s">
        <v>750</v>
      </c>
      <c r="D681" t="s">
        <v>1584</v>
      </c>
      <c r="E681" t="s">
        <v>569</v>
      </c>
      <c r="F681" t="s">
        <v>117</v>
      </c>
      <c r="G681" t="s">
        <v>111</v>
      </c>
      <c r="H681" t="s">
        <v>118</v>
      </c>
      <c r="I681" t="s">
        <v>112</v>
      </c>
      <c r="J681" t="s">
        <v>119</v>
      </c>
      <c r="K681" t="s">
        <v>1694</v>
      </c>
      <c r="L681" t="s">
        <v>1694</v>
      </c>
    </row>
    <row r="682" spans="1:12" x14ac:dyDescent="0.3">
      <c r="A682" t="s">
        <v>709</v>
      </c>
      <c r="B682" t="s">
        <v>1491</v>
      </c>
      <c r="C682" t="s">
        <v>750</v>
      </c>
      <c r="D682" t="s">
        <v>1585</v>
      </c>
      <c r="E682" t="s">
        <v>569</v>
      </c>
      <c r="F682" t="s">
        <v>188</v>
      </c>
      <c r="G682" t="s">
        <v>111</v>
      </c>
      <c r="H682" t="s">
        <v>113</v>
      </c>
      <c r="I682" t="s">
        <v>112</v>
      </c>
      <c r="J682" t="s">
        <v>114</v>
      </c>
      <c r="K682" t="s">
        <v>1693</v>
      </c>
      <c r="L682" t="s">
        <v>1693</v>
      </c>
    </row>
    <row r="683" spans="1:12" x14ac:dyDescent="0.3">
      <c r="A683" t="s">
        <v>709</v>
      </c>
      <c r="B683" t="s">
        <v>1491</v>
      </c>
      <c r="C683" t="s">
        <v>750</v>
      </c>
      <c r="D683" t="s">
        <v>1587</v>
      </c>
      <c r="E683" t="s">
        <v>569</v>
      </c>
      <c r="F683" t="s">
        <v>164</v>
      </c>
      <c r="G683" t="s">
        <v>111</v>
      </c>
      <c r="H683" t="s">
        <v>113</v>
      </c>
      <c r="I683" t="s">
        <v>112</v>
      </c>
      <c r="J683" t="s">
        <v>114</v>
      </c>
      <c r="K683" t="s">
        <v>1693</v>
      </c>
      <c r="L683" t="s">
        <v>1693</v>
      </c>
    </row>
    <row r="684" spans="1:12" x14ac:dyDescent="0.3">
      <c r="A684" t="s">
        <v>709</v>
      </c>
      <c r="B684" t="s">
        <v>1491</v>
      </c>
      <c r="C684" t="s">
        <v>750</v>
      </c>
      <c r="D684" t="s">
        <v>1588</v>
      </c>
      <c r="E684" t="s">
        <v>569</v>
      </c>
      <c r="F684" t="s">
        <v>53</v>
      </c>
      <c r="G684" t="s">
        <v>111</v>
      </c>
      <c r="H684" t="s">
        <v>118</v>
      </c>
      <c r="I684" t="s">
        <v>112</v>
      </c>
      <c r="J684" t="s">
        <v>119</v>
      </c>
      <c r="K684" t="s">
        <v>1693</v>
      </c>
      <c r="L684" t="s">
        <v>1693</v>
      </c>
    </row>
    <row r="685" spans="1:12" x14ac:dyDescent="0.3">
      <c r="A685" t="s">
        <v>709</v>
      </c>
      <c r="B685" t="s">
        <v>1491</v>
      </c>
      <c r="C685" t="s">
        <v>750</v>
      </c>
      <c r="D685" t="s">
        <v>1704</v>
      </c>
      <c r="E685" t="s">
        <v>569</v>
      </c>
      <c r="F685" t="s">
        <v>121</v>
      </c>
      <c r="G685" t="s">
        <v>111</v>
      </c>
      <c r="H685" t="s">
        <v>113</v>
      </c>
      <c r="I685" t="s">
        <v>112</v>
      </c>
      <c r="J685" t="s">
        <v>114</v>
      </c>
      <c r="K685" t="s">
        <v>1693</v>
      </c>
      <c r="L685" t="s">
        <v>1693</v>
      </c>
    </row>
    <row r="686" spans="1:12" x14ac:dyDescent="0.3">
      <c r="A686" t="s">
        <v>709</v>
      </c>
      <c r="B686" t="s">
        <v>1491</v>
      </c>
      <c r="C686" t="s">
        <v>750</v>
      </c>
      <c r="D686" t="s">
        <v>1590</v>
      </c>
      <c r="E686" t="s">
        <v>569</v>
      </c>
      <c r="F686" t="s">
        <v>122</v>
      </c>
      <c r="G686" t="s">
        <v>111</v>
      </c>
      <c r="H686" t="s">
        <v>118</v>
      </c>
      <c r="I686" t="s">
        <v>112</v>
      </c>
      <c r="J686" t="s">
        <v>119</v>
      </c>
      <c r="K686" t="s">
        <v>1693</v>
      </c>
      <c r="L686" t="s">
        <v>1693</v>
      </c>
    </row>
    <row r="687" spans="1:12" x14ac:dyDescent="0.3">
      <c r="A687" t="s">
        <v>709</v>
      </c>
      <c r="B687" t="s">
        <v>1491</v>
      </c>
      <c r="C687" t="s">
        <v>750</v>
      </c>
      <c r="D687" t="s">
        <v>1591</v>
      </c>
      <c r="E687" t="s">
        <v>569</v>
      </c>
      <c r="F687" t="s">
        <v>165</v>
      </c>
      <c r="G687" t="s">
        <v>111</v>
      </c>
      <c r="H687" t="s">
        <v>147</v>
      </c>
      <c r="I687" t="s">
        <v>112</v>
      </c>
      <c r="J687" t="s">
        <v>119</v>
      </c>
      <c r="K687" t="s">
        <v>1694</v>
      </c>
      <c r="L687" t="s">
        <v>1694</v>
      </c>
    </row>
    <row r="688" spans="1:12" x14ac:dyDescent="0.3">
      <c r="A688" t="s">
        <v>709</v>
      </c>
      <c r="B688" t="s">
        <v>1491</v>
      </c>
      <c r="C688" t="s">
        <v>750</v>
      </c>
      <c r="D688" t="s">
        <v>1705</v>
      </c>
      <c r="E688" t="s">
        <v>569</v>
      </c>
      <c r="F688" t="s">
        <v>166</v>
      </c>
      <c r="G688" t="s">
        <v>111</v>
      </c>
      <c r="H688" t="s">
        <v>118</v>
      </c>
      <c r="I688" t="s">
        <v>112</v>
      </c>
      <c r="J688" t="s">
        <v>119</v>
      </c>
      <c r="K688" t="s">
        <v>1693</v>
      </c>
      <c r="L688" t="s">
        <v>1693</v>
      </c>
    </row>
    <row r="689" spans="1:12" x14ac:dyDescent="0.3">
      <c r="A689" t="s">
        <v>709</v>
      </c>
      <c r="B689" t="s">
        <v>1491</v>
      </c>
      <c r="C689" t="s">
        <v>750</v>
      </c>
      <c r="D689" t="s">
        <v>1706</v>
      </c>
      <c r="E689" t="s">
        <v>569</v>
      </c>
      <c r="F689" t="s">
        <v>123</v>
      </c>
      <c r="G689" t="s">
        <v>111</v>
      </c>
      <c r="H689" t="s">
        <v>113</v>
      </c>
      <c r="I689" t="s">
        <v>112</v>
      </c>
      <c r="J689" t="s">
        <v>114</v>
      </c>
      <c r="K689" t="s">
        <v>600</v>
      </c>
      <c r="L689" t="s">
        <v>600</v>
      </c>
    </row>
    <row r="690" spans="1:12" x14ac:dyDescent="0.3">
      <c r="A690" t="s">
        <v>709</v>
      </c>
      <c r="B690" t="s">
        <v>1491</v>
      </c>
      <c r="C690" t="s">
        <v>750</v>
      </c>
      <c r="D690" t="s">
        <v>1707</v>
      </c>
      <c r="E690" t="s">
        <v>569</v>
      </c>
      <c r="F690" t="s">
        <v>189</v>
      </c>
      <c r="G690" t="s">
        <v>111</v>
      </c>
      <c r="H690" t="s">
        <v>113</v>
      </c>
      <c r="I690" t="s">
        <v>112</v>
      </c>
      <c r="J690" t="s">
        <v>114</v>
      </c>
      <c r="K690" t="s">
        <v>1693</v>
      </c>
      <c r="L690" t="s">
        <v>1693</v>
      </c>
    </row>
    <row r="691" spans="1:12" x14ac:dyDescent="0.3">
      <c r="A691" t="s">
        <v>709</v>
      </c>
      <c r="B691" t="s">
        <v>1491</v>
      </c>
      <c r="C691" t="s">
        <v>750</v>
      </c>
      <c r="D691" t="s">
        <v>1592</v>
      </c>
      <c r="E691" t="s">
        <v>569</v>
      </c>
      <c r="F691" t="s">
        <v>54</v>
      </c>
      <c r="G691" t="s">
        <v>111</v>
      </c>
      <c r="H691" t="s">
        <v>118</v>
      </c>
      <c r="I691" t="s">
        <v>112</v>
      </c>
      <c r="J691" t="s">
        <v>119</v>
      </c>
      <c r="K691" t="s">
        <v>1693</v>
      </c>
      <c r="L691" t="s">
        <v>1693</v>
      </c>
    </row>
    <row r="692" spans="1:12" x14ac:dyDescent="0.3">
      <c r="A692" t="s">
        <v>709</v>
      </c>
      <c r="B692" t="s">
        <v>1491</v>
      </c>
      <c r="C692" t="s">
        <v>750</v>
      </c>
      <c r="D692" t="s">
        <v>1593</v>
      </c>
      <c r="E692" t="s">
        <v>569</v>
      </c>
      <c r="F692" t="s">
        <v>45</v>
      </c>
      <c r="G692" t="s">
        <v>111</v>
      </c>
      <c r="H692" t="s">
        <v>113</v>
      </c>
      <c r="I692" t="s">
        <v>112</v>
      </c>
      <c r="J692" t="s">
        <v>114</v>
      </c>
      <c r="K692" t="s">
        <v>1693</v>
      </c>
      <c r="L692" t="s">
        <v>1693</v>
      </c>
    </row>
    <row r="693" spans="1:12" x14ac:dyDescent="0.3">
      <c r="A693" t="s">
        <v>709</v>
      </c>
      <c r="B693" t="s">
        <v>1491</v>
      </c>
      <c r="C693" t="s">
        <v>750</v>
      </c>
      <c r="D693" t="s">
        <v>1597</v>
      </c>
      <c r="E693" t="s">
        <v>569</v>
      </c>
      <c r="F693" t="s">
        <v>124</v>
      </c>
      <c r="G693" t="s">
        <v>111</v>
      </c>
      <c r="H693" t="s">
        <v>113</v>
      </c>
      <c r="I693" t="s">
        <v>112</v>
      </c>
      <c r="J693" t="s">
        <v>114</v>
      </c>
      <c r="K693" t="s">
        <v>1693</v>
      </c>
      <c r="L693" t="s">
        <v>1693</v>
      </c>
    </row>
    <row r="694" spans="1:12" x14ac:dyDescent="0.3">
      <c r="A694" t="s">
        <v>709</v>
      </c>
      <c r="B694" t="s">
        <v>1491</v>
      </c>
      <c r="C694" t="s">
        <v>750</v>
      </c>
      <c r="D694" t="s">
        <v>1598</v>
      </c>
      <c r="E694" t="s">
        <v>569</v>
      </c>
      <c r="F694" t="s">
        <v>58</v>
      </c>
      <c r="G694" t="s">
        <v>111</v>
      </c>
      <c r="H694" t="s">
        <v>113</v>
      </c>
      <c r="I694" t="s">
        <v>112</v>
      </c>
      <c r="J694" t="s">
        <v>114</v>
      </c>
      <c r="K694" t="s">
        <v>1697</v>
      </c>
      <c r="L694" t="s">
        <v>1697</v>
      </c>
    </row>
    <row r="695" spans="1:12" x14ac:dyDescent="0.3">
      <c r="A695" t="s">
        <v>709</v>
      </c>
      <c r="B695" t="s">
        <v>1491</v>
      </c>
      <c r="C695" t="s">
        <v>750</v>
      </c>
      <c r="D695" t="s">
        <v>1708</v>
      </c>
      <c r="E695" t="s">
        <v>569</v>
      </c>
      <c r="F695" t="s">
        <v>65</v>
      </c>
      <c r="G695" t="s">
        <v>111</v>
      </c>
      <c r="H695" t="s">
        <v>118</v>
      </c>
      <c r="I695" t="s">
        <v>112</v>
      </c>
      <c r="J695" t="s">
        <v>119</v>
      </c>
      <c r="K695" t="s">
        <v>1693</v>
      </c>
      <c r="L695" t="s">
        <v>1693</v>
      </c>
    </row>
    <row r="696" spans="1:12" x14ac:dyDescent="0.3">
      <c r="A696" t="s">
        <v>709</v>
      </c>
      <c r="B696" t="s">
        <v>1491</v>
      </c>
      <c r="C696" t="s">
        <v>750</v>
      </c>
      <c r="D696" t="s">
        <v>1709</v>
      </c>
      <c r="E696" t="s">
        <v>569</v>
      </c>
      <c r="F696" t="s">
        <v>125</v>
      </c>
      <c r="G696" t="s">
        <v>111</v>
      </c>
      <c r="H696" t="s">
        <v>113</v>
      </c>
      <c r="I696" t="s">
        <v>112</v>
      </c>
      <c r="J696" t="s">
        <v>114</v>
      </c>
      <c r="K696" t="s">
        <v>1693</v>
      </c>
      <c r="L696" t="s">
        <v>1693</v>
      </c>
    </row>
    <row r="697" spans="1:12" x14ac:dyDescent="0.3">
      <c r="A697" t="s">
        <v>709</v>
      </c>
      <c r="B697" t="s">
        <v>1491</v>
      </c>
      <c r="C697" t="s">
        <v>750</v>
      </c>
      <c r="D697" t="s">
        <v>1710</v>
      </c>
      <c r="E697" t="s">
        <v>569</v>
      </c>
      <c r="F697" t="s">
        <v>80</v>
      </c>
      <c r="G697" t="s">
        <v>111</v>
      </c>
      <c r="H697" t="s">
        <v>118</v>
      </c>
      <c r="I697" t="s">
        <v>112</v>
      </c>
      <c r="J697" t="s">
        <v>119</v>
      </c>
      <c r="K697" t="s">
        <v>1698</v>
      </c>
      <c r="L697" t="s">
        <v>1698</v>
      </c>
    </row>
    <row r="698" spans="1:12" x14ac:dyDescent="0.3">
      <c r="A698" t="s">
        <v>709</v>
      </c>
      <c r="B698" t="s">
        <v>1491</v>
      </c>
      <c r="C698" t="s">
        <v>750</v>
      </c>
      <c r="D698" t="s">
        <v>1602</v>
      </c>
      <c r="E698" t="s">
        <v>569</v>
      </c>
      <c r="F698" t="s">
        <v>167</v>
      </c>
      <c r="G698" t="s">
        <v>111</v>
      </c>
      <c r="H698" t="s">
        <v>118</v>
      </c>
      <c r="I698" t="s">
        <v>112</v>
      </c>
      <c r="J698" t="s">
        <v>119</v>
      </c>
      <c r="K698" t="s">
        <v>1693</v>
      </c>
      <c r="L698" t="s">
        <v>1693</v>
      </c>
    </row>
    <row r="699" spans="1:12" x14ac:dyDescent="0.3">
      <c r="A699" t="s">
        <v>709</v>
      </c>
      <c r="B699" t="s">
        <v>1491</v>
      </c>
      <c r="C699" t="s">
        <v>750</v>
      </c>
      <c r="D699" t="s">
        <v>1606</v>
      </c>
      <c r="E699" t="s">
        <v>569</v>
      </c>
      <c r="F699" t="s">
        <v>168</v>
      </c>
      <c r="G699" t="s">
        <v>111</v>
      </c>
      <c r="H699" t="s">
        <v>113</v>
      </c>
      <c r="I699" t="s">
        <v>112</v>
      </c>
      <c r="J699" t="s">
        <v>114</v>
      </c>
      <c r="K699" t="s">
        <v>600</v>
      </c>
      <c r="L699" t="s">
        <v>600</v>
      </c>
    </row>
    <row r="700" spans="1:12" x14ac:dyDescent="0.3">
      <c r="A700" t="s">
        <v>709</v>
      </c>
      <c r="B700" t="s">
        <v>1491</v>
      </c>
      <c r="C700" t="s">
        <v>750</v>
      </c>
      <c r="D700" t="s">
        <v>1607</v>
      </c>
      <c r="E700" t="s">
        <v>569</v>
      </c>
      <c r="F700" t="s">
        <v>89</v>
      </c>
      <c r="G700" t="s">
        <v>111</v>
      </c>
      <c r="H700" t="s">
        <v>113</v>
      </c>
      <c r="I700" t="s">
        <v>112</v>
      </c>
      <c r="J700" t="s">
        <v>114</v>
      </c>
      <c r="K700" t="s">
        <v>1696</v>
      </c>
      <c r="L700" t="s">
        <v>1696</v>
      </c>
    </row>
    <row r="701" spans="1:12" x14ac:dyDescent="0.3">
      <c r="A701" t="s">
        <v>709</v>
      </c>
      <c r="B701" t="s">
        <v>1491</v>
      </c>
      <c r="C701" t="s">
        <v>750</v>
      </c>
      <c r="D701" t="s">
        <v>1611</v>
      </c>
      <c r="E701" t="s">
        <v>569</v>
      </c>
      <c r="F701" t="s">
        <v>169</v>
      </c>
      <c r="G701" t="s">
        <v>111</v>
      </c>
      <c r="H701" t="s">
        <v>113</v>
      </c>
      <c r="I701" t="s">
        <v>112</v>
      </c>
      <c r="J701" t="s">
        <v>114</v>
      </c>
      <c r="K701" t="s">
        <v>1693</v>
      </c>
      <c r="L701" t="s">
        <v>1693</v>
      </c>
    </row>
    <row r="702" spans="1:12" x14ac:dyDescent="0.3">
      <c r="A702" t="s">
        <v>709</v>
      </c>
      <c r="B702" t="s">
        <v>1491</v>
      </c>
      <c r="C702" t="s">
        <v>750</v>
      </c>
      <c r="D702" t="s">
        <v>1612</v>
      </c>
      <c r="E702" t="s">
        <v>569</v>
      </c>
      <c r="F702" t="s">
        <v>110</v>
      </c>
      <c r="G702" t="s">
        <v>111</v>
      </c>
      <c r="H702" t="s">
        <v>118</v>
      </c>
      <c r="I702" t="s">
        <v>112</v>
      </c>
      <c r="J702" t="s">
        <v>119</v>
      </c>
      <c r="K702" t="s">
        <v>1693</v>
      </c>
      <c r="L702" t="s">
        <v>1693</v>
      </c>
    </row>
    <row r="703" spans="1:12" x14ac:dyDescent="0.3">
      <c r="A703" t="s">
        <v>709</v>
      </c>
      <c r="B703" t="s">
        <v>1491</v>
      </c>
      <c r="C703" t="s">
        <v>750</v>
      </c>
      <c r="D703" t="s">
        <v>1613</v>
      </c>
      <c r="E703" t="s">
        <v>569</v>
      </c>
      <c r="F703" t="s">
        <v>93</v>
      </c>
      <c r="G703" t="s">
        <v>111</v>
      </c>
      <c r="H703" t="s">
        <v>118</v>
      </c>
      <c r="I703" t="s">
        <v>112</v>
      </c>
      <c r="J703" t="s">
        <v>119</v>
      </c>
      <c r="K703" t="s">
        <v>1693</v>
      </c>
      <c r="L703" t="s">
        <v>1693</v>
      </c>
    </row>
    <row r="704" spans="1:12" x14ac:dyDescent="0.3">
      <c r="A704" t="s">
        <v>709</v>
      </c>
      <c r="B704" t="s">
        <v>1491</v>
      </c>
      <c r="C704" t="s">
        <v>750</v>
      </c>
      <c r="D704" t="s">
        <v>1614</v>
      </c>
      <c r="E704" t="s">
        <v>569</v>
      </c>
      <c r="F704" t="s">
        <v>129</v>
      </c>
      <c r="G704" t="s">
        <v>111</v>
      </c>
      <c r="H704" t="s">
        <v>113</v>
      </c>
      <c r="I704" t="s">
        <v>112</v>
      </c>
      <c r="J704" t="s">
        <v>114</v>
      </c>
      <c r="K704" t="s">
        <v>1693</v>
      </c>
      <c r="L704" t="s">
        <v>1693</v>
      </c>
    </row>
    <row r="705" spans="1:12" x14ac:dyDescent="0.3">
      <c r="A705" t="s">
        <v>709</v>
      </c>
      <c r="B705" t="s">
        <v>1491</v>
      </c>
      <c r="C705" t="s">
        <v>750</v>
      </c>
      <c r="D705" t="s">
        <v>1711</v>
      </c>
      <c r="E705" t="s">
        <v>569</v>
      </c>
      <c r="F705" t="s">
        <v>85</v>
      </c>
      <c r="G705" t="s">
        <v>111</v>
      </c>
      <c r="H705" t="s">
        <v>113</v>
      </c>
      <c r="I705" t="s">
        <v>112</v>
      </c>
      <c r="J705" t="s">
        <v>114</v>
      </c>
      <c r="K705" t="s">
        <v>1697</v>
      </c>
      <c r="L705" t="s">
        <v>1697</v>
      </c>
    </row>
    <row r="706" spans="1:12" x14ac:dyDescent="0.3">
      <c r="A706" t="s">
        <v>709</v>
      </c>
      <c r="B706" t="s">
        <v>1491</v>
      </c>
      <c r="C706" t="s">
        <v>750</v>
      </c>
      <c r="D706" t="s">
        <v>1712</v>
      </c>
      <c r="E706" t="s">
        <v>569</v>
      </c>
      <c r="F706" t="s">
        <v>61</v>
      </c>
      <c r="G706" t="s">
        <v>111</v>
      </c>
      <c r="H706" t="s">
        <v>118</v>
      </c>
      <c r="I706" t="s">
        <v>112</v>
      </c>
      <c r="J706" t="s">
        <v>119</v>
      </c>
      <c r="K706" t="s">
        <v>1698</v>
      </c>
      <c r="L706" t="s">
        <v>1698</v>
      </c>
    </row>
    <row r="707" spans="1:12" x14ac:dyDescent="0.3">
      <c r="A707" t="s">
        <v>709</v>
      </c>
      <c r="B707" t="s">
        <v>1491</v>
      </c>
      <c r="C707" t="s">
        <v>750</v>
      </c>
      <c r="D707" t="s">
        <v>1615</v>
      </c>
      <c r="E707" t="s">
        <v>569</v>
      </c>
      <c r="F707" t="s">
        <v>87</v>
      </c>
      <c r="G707" t="s">
        <v>111</v>
      </c>
      <c r="H707" t="s">
        <v>118</v>
      </c>
      <c r="I707" t="s">
        <v>112</v>
      </c>
      <c r="J707" t="s">
        <v>119</v>
      </c>
      <c r="K707" t="s">
        <v>1693</v>
      </c>
      <c r="L707" t="s">
        <v>1693</v>
      </c>
    </row>
    <row r="708" spans="1:12" x14ac:dyDescent="0.3">
      <c r="A708" t="s">
        <v>709</v>
      </c>
      <c r="B708" t="s">
        <v>1491</v>
      </c>
      <c r="C708" t="s">
        <v>750</v>
      </c>
      <c r="D708" t="s">
        <v>1616</v>
      </c>
      <c r="E708" t="s">
        <v>569</v>
      </c>
      <c r="F708" t="s">
        <v>130</v>
      </c>
      <c r="G708" t="s">
        <v>111</v>
      </c>
      <c r="H708" t="s">
        <v>113</v>
      </c>
      <c r="I708" t="s">
        <v>112</v>
      </c>
      <c r="J708" t="s">
        <v>114</v>
      </c>
      <c r="K708" t="s">
        <v>1693</v>
      </c>
      <c r="L708" t="s">
        <v>1693</v>
      </c>
    </row>
    <row r="709" spans="1:12" x14ac:dyDescent="0.3">
      <c r="A709" t="s">
        <v>709</v>
      </c>
      <c r="B709" t="s">
        <v>1491</v>
      </c>
      <c r="C709" t="s">
        <v>750</v>
      </c>
      <c r="D709" t="s">
        <v>1617</v>
      </c>
      <c r="E709" t="s">
        <v>569</v>
      </c>
      <c r="F709" t="s">
        <v>131</v>
      </c>
      <c r="G709" t="s">
        <v>111</v>
      </c>
      <c r="H709" t="s">
        <v>118</v>
      </c>
      <c r="I709" t="s">
        <v>112</v>
      </c>
      <c r="J709" t="s">
        <v>119</v>
      </c>
      <c r="K709" t="s">
        <v>1693</v>
      </c>
      <c r="L709" t="s">
        <v>1693</v>
      </c>
    </row>
    <row r="710" spans="1:12" x14ac:dyDescent="0.3">
      <c r="A710" t="s">
        <v>709</v>
      </c>
      <c r="B710" t="s">
        <v>1491</v>
      </c>
      <c r="C710" t="s">
        <v>750</v>
      </c>
      <c r="D710" t="s">
        <v>1618</v>
      </c>
      <c r="E710" t="s">
        <v>569</v>
      </c>
      <c r="F710" t="s">
        <v>50</v>
      </c>
      <c r="G710" t="s">
        <v>111</v>
      </c>
      <c r="H710" t="s">
        <v>113</v>
      </c>
      <c r="I710" t="s">
        <v>112</v>
      </c>
      <c r="J710" t="s">
        <v>114</v>
      </c>
      <c r="K710" t="s">
        <v>1699</v>
      </c>
      <c r="L710" t="s">
        <v>1699</v>
      </c>
    </row>
    <row r="711" spans="1:12" x14ac:dyDescent="0.3">
      <c r="A711" t="s">
        <v>709</v>
      </c>
      <c r="B711" t="s">
        <v>1491</v>
      </c>
      <c r="C711" t="s">
        <v>750</v>
      </c>
      <c r="D711" t="s">
        <v>1713</v>
      </c>
      <c r="E711" t="s">
        <v>568</v>
      </c>
      <c r="F711" t="s">
        <v>79</v>
      </c>
      <c r="G711" t="s">
        <v>111</v>
      </c>
      <c r="H711" t="s">
        <v>113</v>
      </c>
      <c r="I711" t="s">
        <v>112</v>
      </c>
      <c r="J711" t="s">
        <v>114</v>
      </c>
      <c r="K711" t="s">
        <v>1693</v>
      </c>
      <c r="L711" t="s">
        <v>1693</v>
      </c>
    </row>
    <row r="712" spans="1:12" x14ac:dyDescent="0.3">
      <c r="A712" t="s">
        <v>709</v>
      </c>
      <c r="B712" t="s">
        <v>1491</v>
      </c>
      <c r="C712" t="s">
        <v>750</v>
      </c>
      <c r="D712" t="s">
        <v>1620</v>
      </c>
      <c r="E712" t="s">
        <v>568</v>
      </c>
      <c r="F712" t="s">
        <v>134</v>
      </c>
      <c r="G712" t="s">
        <v>111</v>
      </c>
      <c r="H712" t="s">
        <v>118</v>
      </c>
      <c r="I712" t="s">
        <v>112</v>
      </c>
      <c r="J712" t="s">
        <v>119</v>
      </c>
      <c r="K712" t="s">
        <v>1693</v>
      </c>
      <c r="L712" t="s">
        <v>1693</v>
      </c>
    </row>
    <row r="713" spans="1:12" x14ac:dyDescent="0.3">
      <c r="A713" t="s">
        <v>709</v>
      </c>
      <c r="B713" t="s">
        <v>1491</v>
      </c>
      <c r="C713" t="s">
        <v>750</v>
      </c>
      <c r="D713" t="s">
        <v>1621</v>
      </c>
      <c r="E713" t="s">
        <v>568</v>
      </c>
      <c r="F713" t="s">
        <v>51</v>
      </c>
      <c r="G713" t="s">
        <v>111</v>
      </c>
      <c r="H713" t="s">
        <v>118</v>
      </c>
      <c r="I713" t="s">
        <v>112</v>
      </c>
      <c r="J713" t="s">
        <v>119</v>
      </c>
      <c r="K713" t="s">
        <v>1693</v>
      </c>
      <c r="L713" t="s">
        <v>1693</v>
      </c>
    </row>
    <row r="714" spans="1:12" x14ac:dyDescent="0.3">
      <c r="A714" t="s">
        <v>709</v>
      </c>
      <c r="B714" t="s">
        <v>1491</v>
      </c>
      <c r="C714" t="s">
        <v>750</v>
      </c>
      <c r="D714" t="s">
        <v>1622</v>
      </c>
      <c r="E714" t="s">
        <v>568</v>
      </c>
      <c r="F714" t="s">
        <v>163</v>
      </c>
      <c r="G714" t="s">
        <v>111</v>
      </c>
      <c r="H714" t="s">
        <v>113</v>
      </c>
      <c r="I714" t="s">
        <v>112</v>
      </c>
      <c r="J714" t="s">
        <v>114</v>
      </c>
      <c r="K714" t="s">
        <v>1700</v>
      </c>
      <c r="L714" t="s">
        <v>1700</v>
      </c>
    </row>
    <row r="715" spans="1:12" x14ac:dyDescent="0.3">
      <c r="A715" t="s">
        <v>709</v>
      </c>
      <c r="B715" t="s">
        <v>1491</v>
      </c>
      <c r="C715" t="s">
        <v>750</v>
      </c>
      <c r="D715" t="s">
        <v>1624</v>
      </c>
      <c r="E715" t="s">
        <v>568</v>
      </c>
      <c r="F715" t="s">
        <v>78</v>
      </c>
      <c r="G715" t="s">
        <v>111</v>
      </c>
      <c r="H715" t="s">
        <v>113</v>
      </c>
      <c r="I715" t="s">
        <v>112</v>
      </c>
      <c r="J715" t="s">
        <v>114</v>
      </c>
      <c r="K715" t="s">
        <v>1693</v>
      </c>
      <c r="L715" t="s">
        <v>1693</v>
      </c>
    </row>
    <row r="716" spans="1:12" x14ac:dyDescent="0.3">
      <c r="A716" t="s">
        <v>709</v>
      </c>
      <c r="B716" t="s">
        <v>1491</v>
      </c>
      <c r="C716" t="s">
        <v>750</v>
      </c>
      <c r="D716" t="s">
        <v>1625</v>
      </c>
      <c r="E716" t="s">
        <v>568</v>
      </c>
      <c r="F716" t="s">
        <v>82</v>
      </c>
      <c r="G716" t="s">
        <v>111</v>
      </c>
      <c r="H716" t="s">
        <v>113</v>
      </c>
      <c r="I716" t="s">
        <v>112</v>
      </c>
      <c r="J716" t="s">
        <v>114</v>
      </c>
      <c r="K716" t="s">
        <v>1693</v>
      </c>
      <c r="L716" t="s">
        <v>1693</v>
      </c>
    </row>
    <row r="717" spans="1:12" x14ac:dyDescent="0.3">
      <c r="A717" t="s">
        <v>709</v>
      </c>
      <c r="B717" t="s">
        <v>1491</v>
      </c>
      <c r="C717" t="s">
        <v>750</v>
      </c>
      <c r="D717" t="s">
        <v>1626</v>
      </c>
      <c r="E717" t="s">
        <v>568</v>
      </c>
      <c r="F717" t="s">
        <v>135</v>
      </c>
      <c r="G717" t="s">
        <v>111</v>
      </c>
      <c r="H717" t="s">
        <v>118</v>
      </c>
      <c r="I717" t="s">
        <v>112</v>
      </c>
      <c r="J717" t="s">
        <v>119</v>
      </c>
      <c r="K717" t="s">
        <v>1697</v>
      </c>
      <c r="L717" t="s">
        <v>1697</v>
      </c>
    </row>
    <row r="718" spans="1:12" x14ac:dyDescent="0.3">
      <c r="A718" t="s">
        <v>709</v>
      </c>
      <c r="B718" t="s">
        <v>1491</v>
      </c>
      <c r="C718" t="s">
        <v>750</v>
      </c>
      <c r="D718" t="s">
        <v>1628</v>
      </c>
      <c r="E718" t="s">
        <v>568</v>
      </c>
      <c r="F718" t="s">
        <v>60</v>
      </c>
      <c r="G718" t="s">
        <v>111</v>
      </c>
      <c r="H718" t="s">
        <v>118</v>
      </c>
      <c r="I718" t="s">
        <v>112</v>
      </c>
      <c r="J718" t="s">
        <v>119</v>
      </c>
      <c r="K718" t="s">
        <v>1693</v>
      </c>
      <c r="L718" t="s">
        <v>1693</v>
      </c>
    </row>
    <row r="719" spans="1:12" x14ac:dyDescent="0.3">
      <c r="A719" t="s">
        <v>709</v>
      </c>
      <c r="B719" t="s">
        <v>1491</v>
      </c>
      <c r="C719" t="s">
        <v>750</v>
      </c>
      <c r="D719" t="s">
        <v>1630</v>
      </c>
      <c r="E719" t="s">
        <v>568</v>
      </c>
      <c r="F719" t="s">
        <v>48</v>
      </c>
      <c r="G719" t="s">
        <v>111</v>
      </c>
      <c r="H719" t="s">
        <v>118</v>
      </c>
      <c r="I719" t="s">
        <v>112</v>
      </c>
      <c r="J719" t="s">
        <v>119</v>
      </c>
      <c r="K719" t="s">
        <v>1694</v>
      </c>
      <c r="L719" t="s">
        <v>1694</v>
      </c>
    </row>
    <row r="720" spans="1:12" x14ac:dyDescent="0.3">
      <c r="A720" t="s">
        <v>709</v>
      </c>
      <c r="B720" t="s">
        <v>1491</v>
      </c>
      <c r="C720" t="s">
        <v>750</v>
      </c>
      <c r="D720" t="s">
        <v>1632</v>
      </c>
      <c r="E720" t="s">
        <v>568</v>
      </c>
      <c r="F720" t="s">
        <v>95</v>
      </c>
      <c r="G720" t="s">
        <v>111</v>
      </c>
      <c r="H720" t="s">
        <v>118</v>
      </c>
      <c r="I720" t="s">
        <v>112</v>
      </c>
      <c r="J720" t="s">
        <v>119</v>
      </c>
      <c r="K720" t="s">
        <v>428</v>
      </c>
      <c r="L720" t="s">
        <v>428</v>
      </c>
    </row>
    <row r="721" spans="1:12" x14ac:dyDescent="0.3">
      <c r="A721" t="s">
        <v>709</v>
      </c>
      <c r="B721" t="s">
        <v>1491</v>
      </c>
      <c r="C721" t="s">
        <v>750</v>
      </c>
      <c r="D721" t="s">
        <v>1633</v>
      </c>
      <c r="E721" t="s">
        <v>568</v>
      </c>
      <c r="F721" t="s">
        <v>139</v>
      </c>
      <c r="G721" t="s">
        <v>111</v>
      </c>
      <c r="H721" t="s">
        <v>113</v>
      </c>
      <c r="I721" t="s">
        <v>112</v>
      </c>
      <c r="J721" t="s">
        <v>114</v>
      </c>
      <c r="K721" t="s">
        <v>1693</v>
      </c>
      <c r="L721" t="s">
        <v>1693</v>
      </c>
    </row>
    <row r="722" spans="1:12" x14ac:dyDescent="0.3">
      <c r="A722" t="s">
        <v>709</v>
      </c>
      <c r="B722" t="s">
        <v>1491</v>
      </c>
      <c r="C722" t="s">
        <v>750</v>
      </c>
      <c r="D722" t="s">
        <v>1634</v>
      </c>
      <c r="E722" t="s">
        <v>568</v>
      </c>
      <c r="F722" t="s">
        <v>171</v>
      </c>
      <c r="G722" t="s">
        <v>111</v>
      </c>
      <c r="H722" t="s">
        <v>118</v>
      </c>
      <c r="I722" t="s">
        <v>112</v>
      </c>
      <c r="J722" t="s">
        <v>119</v>
      </c>
      <c r="K722" t="s">
        <v>1693</v>
      </c>
      <c r="L722" t="s">
        <v>1693</v>
      </c>
    </row>
    <row r="723" spans="1:12" x14ac:dyDescent="0.3">
      <c r="A723" t="s">
        <v>709</v>
      </c>
      <c r="B723" t="s">
        <v>1491</v>
      </c>
      <c r="C723" t="s">
        <v>750</v>
      </c>
      <c r="D723" t="s">
        <v>1636</v>
      </c>
      <c r="E723" t="s">
        <v>568</v>
      </c>
      <c r="F723" t="s">
        <v>172</v>
      </c>
      <c r="G723" t="s">
        <v>111</v>
      </c>
      <c r="H723" t="s">
        <v>118</v>
      </c>
      <c r="I723" t="s">
        <v>112</v>
      </c>
      <c r="J723" t="s">
        <v>119</v>
      </c>
      <c r="K723" t="s">
        <v>1694</v>
      </c>
      <c r="L723" t="s">
        <v>1694</v>
      </c>
    </row>
    <row r="724" spans="1:12" x14ac:dyDescent="0.3">
      <c r="A724" t="s">
        <v>709</v>
      </c>
      <c r="B724" t="s">
        <v>1491</v>
      </c>
      <c r="C724" t="s">
        <v>750</v>
      </c>
      <c r="D724" t="s">
        <v>1714</v>
      </c>
      <c r="E724" t="s">
        <v>568</v>
      </c>
      <c r="F724" t="s">
        <v>94</v>
      </c>
      <c r="G724" t="s">
        <v>111</v>
      </c>
      <c r="H724" t="s">
        <v>118</v>
      </c>
      <c r="I724" t="s">
        <v>112</v>
      </c>
      <c r="J724" t="s">
        <v>119</v>
      </c>
      <c r="K724" t="s">
        <v>1693</v>
      </c>
      <c r="L724" t="s">
        <v>1693</v>
      </c>
    </row>
    <row r="725" spans="1:12" x14ac:dyDescent="0.3">
      <c r="A725" t="s">
        <v>709</v>
      </c>
      <c r="B725" t="s">
        <v>1491</v>
      </c>
      <c r="C725" t="s">
        <v>750</v>
      </c>
      <c r="D725" t="s">
        <v>1638</v>
      </c>
      <c r="E725" t="s">
        <v>568</v>
      </c>
      <c r="F725" t="s">
        <v>57</v>
      </c>
      <c r="G725" t="s">
        <v>111</v>
      </c>
      <c r="H725" t="s">
        <v>118</v>
      </c>
      <c r="I725" t="s">
        <v>112</v>
      </c>
      <c r="J725" t="s">
        <v>119</v>
      </c>
      <c r="K725" t="s">
        <v>1693</v>
      </c>
      <c r="L725" t="s">
        <v>1693</v>
      </c>
    </row>
    <row r="726" spans="1:12" x14ac:dyDescent="0.3">
      <c r="A726" t="s">
        <v>709</v>
      </c>
      <c r="B726" t="s">
        <v>1491</v>
      </c>
      <c r="C726" t="s">
        <v>750</v>
      </c>
      <c r="D726" t="s">
        <v>1715</v>
      </c>
      <c r="E726" t="s">
        <v>568</v>
      </c>
      <c r="F726" t="s">
        <v>173</v>
      </c>
      <c r="G726" t="s">
        <v>111</v>
      </c>
      <c r="H726" t="s">
        <v>118</v>
      </c>
      <c r="I726" t="s">
        <v>112</v>
      </c>
      <c r="J726" t="s">
        <v>119</v>
      </c>
      <c r="K726" t="s">
        <v>1701</v>
      </c>
      <c r="L726" t="s">
        <v>1701</v>
      </c>
    </row>
    <row r="727" spans="1:12" x14ac:dyDescent="0.3">
      <c r="A727" t="s">
        <v>709</v>
      </c>
      <c r="B727" t="s">
        <v>1491</v>
      </c>
      <c r="C727" t="s">
        <v>750</v>
      </c>
      <c r="D727" t="s">
        <v>1639</v>
      </c>
      <c r="E727" t="s">
        <v>568</v>
      </c>
      <c r="F727" t="s">
        <v>174</v>
      </c>
      <c r="G727" t="s">
        <v>111</v>
      </c>
      <c r="H727" t="s">
        <v>113</v>
      </c>
      <c r="I727" t="s">
        <v>112</v>
      </c>
      <c r="J727" t="s">
        <v>114</v>
      </c>
      <c r="K727" t="s">
        <v>1702</v>
      </c>
      <c r="L727" t="s">
        <v>1702</v>
      </c>
    </row>
    <row r="728" spans="1:12" x14ac:dyDescent="0.3">
      <c r="A728" t="s">
        <v>709</v>
      </c>
      <c r="B728" t="s">
        <v>1491</v>
      </c>
      <c r="C728" t="s">
        <v>750</v>
      </c>
      <c r="D728" t="s">
        <v>1716</v>
      </c>
      <c r="E728" t="s">
        <v>568</v>
      </c>
      <c r="F728" t="s">
        <v>88</v>
      </c>
      <c r="G728" t="s">
        <v>111</v>
      </c>
      <c r="H728" t="s">
        <v>118</v>
      </c>
      <c r="I728" t="s">
        <v>112</v>
      </c>
      <c r="J728" t="s">
        <v>119</v>
      </c>
      <c r="K728" t="s">
        <v>1693</v>
      </c>
      <c r="L728" t="s">
        <v>1693</v>
      </c>
    </row>
    <row r="729" spans="1:12" x14ac:dyDescent="0.3">
      <c r="A729" t="s">
        <v>709</v>
      </c>
      <c r="B729" t="s">
        <v>1491</v>
      </c>
      <c r="C729" t="s">
        <v>750</v>
      </c>
      <c r="D729" t="s">
        <v>1640</v>
      </c>
      <c r="E729" t="s">
        <v>568</v>
      </c>
      <c r="F729" t="s">
        <v>77</v>
      </c>
      <c r="G729" t="s">
        <v>111</v>
      </c>
      <c r="H729" t="s">
        <v>118</v>
      </c>
      <c r="I729" t="s">
        <v>112</v>
      </c>
      <c r="J729" t="s">
        <v>119</v>
      </c>
      <c r="K729" t="s">
        <v>1693</v>
      </c>
      <c r="L729" t="s">
        <v>1693</v>
      </c>
    </row>
    <row r="730" spans="1:12" x14ac:dyDescent="0.3">
      <c r="A730" t="s">
        <v>709</v>
      </c>
      <c r="B730" t="s">
        <v>1491</v>
      </c>
      <c r="C730" t="s">
        <v>750</v>
      </c>
      <c r="D730" t="s">
        <v>1717</v>
      </c>
      <c r="E730" t="s">
        <v>568</v>
      </c>
      <c r="F730" t="s">
        <v>74</v>
      </c>
      <c r="G730" t="s">
        <v>111</v>
      </c>
      <c r="H730" t="s">
        <v>113</v>
      </c>
      <c r="I730" t="s">
        <v>112</v>
      </c>
      <c r="J730" t="s">
        <v>114</v>
      </c>
      <c r="K730" t="s">
        <v>1694</v>
      </c>
      <c r="L730" t="s">
        <v>1694</v>
      </c>
    </row>
    <row r="731" spans="1:12" x14ac:dyDescent="0.3">
      <c r="A731" t="s">
        <v>709</v>
      </c>
      <c r="B731" t="s">
        <v>1491</v>
      </c>
      <c r="C731" t="s">
        <v>750</v>
      </c>
      <c r="D731" t="s">
        <v>1718</v>
      </c>
      <c r="E731" t="s">
        <v>568</v>
      </c>
      <c r="F731" t="s">
        <v>140</v>
      </c>
      <c r="G731" t="s">
        <v>111</v>
      </c>
      <c r="H731" t="s">
        <v>113</v>
      </c>
      <c r="I731" t="s">
        <v>112</v>
      </c>
      <c r="J731" t="s">
        <v>114</v>
      </c>
      <c r="K731" t="s">
        <v>1693</v>
      </c>
      <c r="L731" t="s">
        <v>1693</v>
      </c>
    </row>
    <row r="732" spans="1:12" x14ac:dyDescent="0.3">
      <c r="A732" t="s">
        <v>709</v>
      </c>
      <c r="B732" t="s">
        <v>1491</v>
      </c>
      <c r="C732" t="s">
        <v>750</v>
      </c>
      <c r="D732" t="s">
        <v>1642</v>
      </c>
      <c r="E732" t="s">
        <v>568</v>
      </c>
      <c r="F732" t="s">
        <v>175</v>
      </c>
      <c r="G732" t="s">
        <v>111</v>
      </c>
      <c r="H732" t="s">
        <v>118</v>
      </c>
      <c r="I732" t="s">
        <v>112</v>
      </c>
      <c r="J732" t="s">
        <v>119</v>
      </c>
      <c r="K732" t="s">
        <v>1694</v>
      </c>
      <c r="L732" t="s">
        <v>1694</v>
      </c>
    </row>
    <row r="733" spans="1:12" x14ac:dyDescent="0.3">
      <c r="A733" t="s">
        <v>709</v>
      </c>
      <c r="B733" t="s">
        <v>1491</v>
      </c>
      <c r="C733" t="s">
        <v>750</v>
      </c>
      <c r="D733" t="s">
        <v>1643</v>
      </c>
      <c r="E733" t="s">
        <v>568</v>
      </c>
      <c r="F733" t="s">
        <v>46</v>
      </c>
      <c r="G733" t="s">
        <v>111</v>
      </c>
      <c r="H733" t="s">
        <v>118</v>
      </c>
      <c r="I733" t="s">
        <v>112</v>
      </c>
      <c r="J733" t="s">
        <v>119</v>
      </c>
      <c r="K733" t="s">
        <v>1693</v>
      </c>
      <c r="L733" t="s">
        <v>1693</v>
      </c>
    </row>
    <row r="734" spans="1:12" x14ac:dyDescent="0.3">
      <c r="A734" t="s">
        <v>709</v>
      </c>
      <c r="B734" t="s">
        <v>1491</v>
      </c>
      <c r="C734" t="s">
        <v>750</v>
      </c>
      <c r="D734" t="s">
        <v>1645</v>
      </c>
      <c r="E734" t="s">
        <v>568</v>
      </c>
      <c r="F734" t="s">
        <v>141</v>
      </c>
      <c r="G734" t="s">
        <v>111</v>
      </c>
      <c r="H734" t="s">
        <v>118</v>
      </c>
      <c r="I734" t="s">
        <v>112</v>
      </c>
      <c r="J734" t="s">
        <v>119</v>
      </c>
      <c r="K734" t="s">
        <v>1693</v>
      </c>
      <c r="L734" t="s">
        <v>1693</v>
      </c>
    </row>
    <row r="735" spans="1:12" x14ac:dyDescent="0.3">
      <c r="A735" t="s">
        <v>709</v>
      </c>
      <c r="B735" t="s">
        <v>1491</v>
      </c>
      <c r="C735" t="s">
        <v>750</v>
      </c>
      <c r="D735" t="s">
        <v>1719</v>
      </c>
      <c r="E735" t="s">
        <v>568</v>
      </c>
      <c r="F735" t="s">
        <v>64</v>
      </c>
      <c r="G735" t="s">
        <v>111</v>
      </c>
      <c r="H735" t="s">
        <v>113</v>
      </c>
      <c r="I735" t="s">
        <v>112</v>
      </c>
      <c r="J735" t="s">
        <v>114</v>
      </c>
      <c r="K735" t="s">
        <v>1694</v>
      </c>
      <c r="L735" t="s">
        <v>1694</v>
      </c>
    </row>
    <row r="736" spans="1:12" x14ac:dyDescent="0.3">
      <c r="A736" t="s">
        <v>709</v>
      </c>
      <c r="B736" t="s">
        <v>1491</v>
      </c>
      <c r="C736" t="s">
        <v>750</v>
      </c>
      <c r="D736" t="s">
        <v>1646</v>
      </c>
      <c r="E736" t="s">
        <v>568</v>
      </c>
      <c r="F736" t="s">
        <v>142</v>
      </c>
      <c r="G736" t="s">
        <v>111</v>
      </c>
      <c r="H736" t="s">
        <v>113</v>
      </c>
      <c r="I736" t="s">
        <v>112</v>
      </c>
      <c r="J736" t="s">
        <v>114</v>
      </c>
      <c r="K736" t="s">
        <v>1693</v>
      </c>
      <c r="L736" t="s">
        <v>1693</v>
      </c>
    </row>
    <row r="737" spans="1:12" x14ac:dyDescent="0.3">
      <c r="A737" t="s">
        <v>709</v>
      </c>
      <c r="B737" t="s">
        <v>1491</v>
      </c>
      <c r="C737" t="s">
        <v>750</v>
      </c>
      <c r="D737" t="s">
        <v>1647</v>
      </c>
      <c r="E737" t="s">
        <v>568</v>
      </c>
      <c r="F737" t="s">
        <v>75</v>
      </c>
      <c r="G737" t="s">
        <v>111</v>
      </c>
      <c r="H737" t="s">
        <v>113</v>
      </c>
      <c r="I737" t="s">
        <v>112</v>
      </c>
      <c r="J737" t="s">
        <v>114</v>
      </c>
      <c r="K737" t="s">
        <v>1693</v>
      </c>
      <c r="L737" t="s">
        <v>1693</v>
      </c>
    </row>
    <row r="738" spans="1:12" x14ac:dyDescent="0.3">
      <c r="A738" t="s">
        <v>709</v>
      </c>
      <c r="B738" t="s">
        <v>1491</v>
      </c>
      <c r="C738" t="s">
        <v>750</v>
      </c>
      <c r="D738" t="s">
        <v>1648</v>
      </c>
      <c r="E738" t="s">
        <v>568</v>
      </c>
      <c r="F738" t="s">
        <v>143</v>
      </c>
      <c r="G738" t="s">
        <v>111</v>
      </c>
      <c r="H738" t="s">
        <v>113</v>
      </c>
      <c r="I738" t="s">
        <v>112</v>
      </c>
      <c r="J738" t="s">
        <v>114</v>
      </c>
      <c r="K738" t="s">
        <v>1697</v>
      </c>
      <c r="L738" t="s">
        <v>1697</v>
      </c>
    </row>
    <row r="739" spans="1:12" x14ac:dyDescent="0.3">
      <c r="A739" t="s">
        <v>709</v>
      </c>
      <c r="B739" t="s">
        <v>1491</v>
      </c>
      <c r="C739" t="s">
        <v>750</v>
      </c>
      <c r="D739" t="s">
        <v>1649</v>
      </c>
      <c r="E739" t="s">
        <v>568</v>
      </c>
      <c r="F739" t="s">
        <v>144</v>
      </c>
      <c r="G739" t="s">
        <v>111</v>
      </c>
      <c r="H739" t="s">
        <v>113</v>
      </c>
      <c r="I739" t="s">
        <v>112</v>
      </c>
      <c r="J739" t="s">
        <v>114</v>
      </c>
      <c r="K739" t="s">
        <v>1693</v>
      </c>
      <c r="L739" t="s">
        <v>1693</v>
      </c>
    </row>
    <row r="740" spans="1:12" x14ac:dyDescent="0.3">
      <c r="A740" t="s">
        <v>709</v>
      </c>
      <c r="B740" t="s">
        <v>1491</v>
      </c>
      <c r="C740" t="s">
        <v>750</v>
      </c>
      <c r="D740" t="s">
        <v>1650</v>
      </c>
      <c r="E740" t="s">
        <v>568</v>
      </c>
      <c r="F740" t="s">
        <v>194</v>
      </c>
      <c r="G740" t="s">
        <v>111</v>
      </c>
      <c r="H740" t="s">
        <v>113</v>
      </c>
      <c r="I740" t="s">
        <v>112</v>
      </c>
      <c r="J740" t="s">
        <v>114</v>
      </c>
      <c r="K740" t="s">
        <v>1693</v>
      </c>
      <c r="L740" t="s">
        <v>1693</v>
      </c>
    </row>
    <row r="741" spans="1:12" x14ac:dyDescent="0.3">
      <c r="A741" t="s">
        <v>709</v>
      </c>
      <c r="B741" t="s">
        <v>1491</v>
      </c>
      <c r="C741" t="s">
        <v>750</v>
      </c>
      <c r="D741" t="s">
        <v>1651</v>
      </c>
      <c r="E741" t="s">
        <v>568</v>
      </c>
      <c r="F741" t="s">
        <v>145</v>
      </c>
      <c r="G741" t="s">
        <v>111</v>
      </c>
      <c r="H741" t="s">
        <v>113</v>
      </c>
      <c r="I741" t="s">
        <v>112</v>
      </c>
      <c r="J741" t="s">
        <v>114</v>
      </c>
      <c r="K741" t="s">
        <v>1694</v>
      </c>
      <c r="L741" t="s">
        <v>1694</v>
      </c>
    </row>
    <row r="742" spans="1:12" x14ac:dyDescent="0.3">
      <c r="A742" t="s">
        <v>709</v>
      </c>
      <c r="B742" t="s">
        <v>1491</v>
      </c>
      <c r="C742" t="s">
        <v>750</v>
      </c>
      <c r="D742" t="s">
        <v>1720</v>
      </c>
      <c r="E742" t="s">
        <v>568</v>
      </c>
      <c r="F742" t="s">
        <v>81</v>
      </c>
      <c r="G742" t="s">
        <v>111</v>
      </c>
      <c r="H742" t="s">
        <v>113</v>
      </c>
      <c r="I742" t="s">
        <v>112</v>
      </c>
      <c r="J742" t="s">
        <v>114</v>
      </c>
      <c r="K742" t="s">
        <v>1693</v>
      </c>
      <c r="L742" t="s">
        <v>1693</v>
      </c>
    </row>
    <row r="743" spans="1:12" x14ac:dyDescent="0.3">
      <c r="A743" t="s">
        <v>709</v>
      </c>
      <c r="B743" t="s">
        <v>1491</v>
      </c>
      <c r="C743" t="s">
        <v>750</v>
      </c>
      <c r="D743" t="s">
        <v>1721</v>
      </c>
      <c r="E743" t="s">
        <v>567</v>
      </c>
      <c r="F743" t="s">
        <v>76</v>
      </c>
      <c r="G743" t="s">
        <v>111</v>
      </c>
      <c r="H743" t="s">
        <v>118</v>
      </c>
      <c r="I743" t="s">
        <v>112</v>
      </c>
      <c r="J743" t="s">
        <v>119</v>
      </c>
      <c r="K743" t="s">
        <v>1693</v>
      </c>
      <c r="L743" t="s">
        <v>1693</v>
      </c>
    </row>
    <row r="744" spans="1:12" x14ac:dyDescent="0.3">
      <c r="A744" t="s">
        <v>709</v>
      </c>
      <c r="B744" t="s">
        <v>1491</v>
      </c>
      <c r="C744" t="s">
        <v>750</v>
      </c>
      <c r="D744" t="s">
        <v>1722</v>
      </c>
      <c r="E744" t="s">
        <v>567</v>
      </c>
      <c r="F744" t="s">
        <v>52</v>
      </c>
      <c r="G744" t="s">
        <v>111</v>
      </c>
      <c r="H744" t="s">
        <v>113</v>
      </c>
      <c r="I744" t="s">
        <v>112</v>
      </c>
      <c r="J744" t="s">
        <v>114</v>
      </c>
      <c r="K744" t="s">
        <v>1693</v>
      </c>
      <c r="L744" t="s">
        <v>1693</v>
      </c>
    </row>
    <row r="745" spans="1:12" x14ac:dyDescent="0.3">
      <c r="A745" t="s">
        <v>709</v>
      </c>
      <c r="B745" t="s">
        <v>1491</v>
      </c>
      <c r="C745" t="s">
        <v>750</v>
      </c>
      <c r="D745" t="s">
        <v>1652</v>
      </c>
      <c r="E745" t="s">
        <v>567</v>
      </c>
      <c r="F745" t="s">
        <v>104</v>
      </c>
      <c r="G745" t="s">
        <v>111</v>
      </c>
      <c r="H745" t="s">
        <v>113</v>
      </c>
      <c r="I745" t="s">
        <v>112</v>
      </c>
      <c r="J745" t="s">
        <v>114</v>
      </c>
      <c r="K745" t="s">
        <v>1693</v>
      </c>
      <c r="L745" t="s">
        <v>1693</v>
      </c>
    </row>
    <row r="746" spans="1:12" x14ac:dyDescent="0.3">
      <c r="A746" t="s">
        <v>709</v>
      </c>
      <c r="B746" t="s">
        <v>1491</v>
      </c>
      <c r="C746" t="s">
        <v>750</v>
      </c>
      <c r="D746" t="s">
        <v>1654</v>
      </c>
      <c r="E746" t="s">
        <v>567</v>
      </c>
      <c r="F746" t="s">
        <v>146</v>
      </c>
      <c r="G746" t="s">
        <v>111</v>
      </c>
      <c r="H746" t="s">
        <v>113</v>
      </c>
      <c r="I746" t="s">
        <v>112</v>
      </c>
      <c r="J746" t="s">
        <v>114</v>
      </c>
      <c r="K746" t="s">
        <v>1700</v>
      </c>
      <c r="L746" t="s">
        <v>1700</v>
      </c>
    </row>
    <row r="747" spans="1:12" x14ac:dyDescent="0.3">
      <c r="A747" t="s">
        <v>709</v>
      </c>
      <c r="B747" t="s">
        <v>1491</v>
      </c>
      <c r="C747" t="s">
        <v>750</v>
      </c>
      <c r="D747" t="s">
        <v>1655</v>
      </c>
      <c r="E747" t="s">
        <v>567</v>
      </c>
      <c r="F747" t="s">
        <v>148</v>
      </c>
      <c r="G747" t="s">
        <v>111</v>
      </c>
      <c r="H747" t="s">
        <v>118</v>
      </c>
      <c r="I747" t="s">
        <v>112</v>
      </c>
      <c r="J747" t="s">
        <v>119</v>
      </c>
      <c r="K747" t="s">
        <v>1693</v>
      </c>
      <c r="L747" t="s">
        <v>1693</v>
      </c>
    </row>
    <row r="748" spans="1:12" x14ac:dyDescent="0.3">
      <c r="A748" t="s">
        <v>709</v>
      </c>
      <c r="B748" t="s">
        <v>1491</v>
      </c>
      <c r="C748" t="s">
        <v>750</v>
      </c>
      <c r="D748" t="s">
        <v>1657</v>
      </c>
      <c r="E748" t="s">
        <v>567</v>
      </c>
      <c r="F748" t="s">
        <v>83</v>
      </c>
      <c r="G748" t="s">
        <v>111</v>
      </c>
      <c r="H748" t="s">
        <v>118</v>
      </c>
      <c r="I748" t="s">
        <v>112</v>
      </c>
      <c r="J748" t="s">
        <v>119</v>
      </c>
      <c r="K748" t="s">
        <v>1693</v>
      </c>
      <c r="L748" t="s">
        <v>1693</v>
      </c>
    </row>
    <row r="749" spans="1:12" x14ac:dyDescent="0.3">
      <c r="A749" t="s">
        <v>709</v>
      </c>
      <c r="B749" t="s">
        <v>1491</v>
      </c>
      <c r="C749" t="s">
        <v>750</v>
      </c>
      <c r="D749" t="s">
        <v>1658</v>
      </c>
      <c r="E749" t="s">
        <v>567</v>
      </c>
      <c r="F749" t="s">
        <v>203</v>
      </c>
      <c r="G749" t="s">
        <v>111</v>
      </c>
      <c r="H749" t="s">
        <v>118</v>
      </c>
      <c r="I749" t="s">
        <v>112</v>
      </c>
      <c r="J749" t="s">
        <v>119</v>
      </c>
      <c r="K749" t="s">
        <v>1695</v>
      </c>
      <c r="L749" t="s">
        <v>1695</v>
      </c>
    </row>
    <row r="750" spans="1:12" x14ac:dyDescent="0.3">
      <c r="A750" t="s">
        <v>709</v>
      </c>
      <c r="B750" t="s">
        <v>1491</v>
      </c>
      <c r="C750" t="s">
        <v>750</v>
      </c>
      <c r="D750" t="s">
        <v>1723</v>
      </c>
      <c r="E750" t="s">
        <v>567</v>
      </c>
      <c r="F750" t="s">
        <v>71</v>
      </c>
      <c r="G750" t="s">
        <v>111</v>
      </c>
      <c r="H750" t="s">
        <v>113</v>
      </c>
      <c r="I750" t="s">
        <v>112</v>
      </c>
      <c r="J750" t="s">
        <v>114</v>
      </c>
      <c r="K750" t="s">
        <v>1693</v>
      </c>
      <c r="L750" t="s">
        <v>1693</v>
      </c>
    </row>
    <row r="751" spans="1:12" x14ac:dyDescent="0.3">
      <c r="A751" t="s">
        <v>709</v>
      </c>
      <c r="B751" t="s">
        <v>1491</v>
      </c>
      <c r="C751" t="s">
        <v>750</v>
      </c>
      <c r="D751" t="s">
        <v>1724</v>
      </c>
      <c r="E751" t="s">
        <v>567</v>
      </c>
      <c r="F751" t="s">
        <v>90</v>
      </c>
      <c r="G751" t="s">
        <v>111</v>
      </c>
      <c r="H751" t="s">
        <v>118</v>
      </c>
      <c r="I751" t="s">
        <v>112</v>
      </c>
      <c r="J751" t="s">
        <v>119</v>
      </c>
      <c r="K751" t="s">
        <v>1693</v>
      </c>
      <c r="L751" t="s">
        <v>1693</v>
      </c>
    </row>
    <row r="752" spans="1:12" x14ac:dyDescent="0.3">
      <c r="A752" t="s">
        <v>709</v>
      </c>
      <c r="B752" t="s">
        <v>1491</v>
      </c>
      <c r="C752" t="s">
        <v>750</v>
      </c>
      <c r="D752" t="s">
        <v>1660</v>
      </c>
      <c r="E752" t="s">
        <v>567</v>
      </c>
      <c r="F752" t="s">
        <v>92</v>
      </c>
      <c r="G752" t="s">
        <v>111</v>
      </c>
      <c r="H752" t="s">
        <v>118</v>
      </c>
      <c r="I752" t="s">
        <v>112</v>
      </c>
      <c r="J752" t="s">
        <v>119</v>
      </c>
      <c r="K752" t="s">
        <v>1693</v>
      </c>
      <c r="L752" t="s">
        <v>1693</v>
      </c>
    </row>
    <row r="753" spans="1:12" x14ac:dyDescent="0.3">
      <c r="A753" t="s">
        <v>709</v>
      </c>
      <c r="B753" t="s">
        <v>1491</v>
      </c>
      <c r="C753" t="s">
        <v>750</v>
      </c>
      <c r="D753" t="s">
        <v>1664</v>
      </c>
      <c r="E753" t="s">
        <v>567</v>
      </c>
      <c r="F753" t="s">
        <v>177</v>
      </c>
      <c r="G753" t="s">
        <v>111</v>
      </c>
      <c r="H753" t="s">
        <v>113</v>
      </c>
      <c r="I753" t="s">
        <v>112</v>
      </c>
      <c r="J753" t="s">
        <v>114</v>
      </c>
      <c r="K753" t="s">
        <v>1703</v>
      </c>
      <c r="L753" t="s">
        <v>1703</v>
      </c>
    </row>
    <row r="754" spans="1:12" x14ac:dyDescent="0.3">
      <c r="A754" t="s">
        <v>709</v>
      </c>
      <c r="B754" t="s">
        <v>1491</v>
      </c>
      <c r="C754" t="s">
        <v>750</v>
      </c>
      <c r="D754" t="s">
        <v>1665</v>
      </c>
      <c r="E754" t="s">
        <v>567</v>
      </c>
      <c r="F754" t="s">
        <v>91</v>
      </c>
      <c r="G754" t="s">
        <v>111</v>
      </c>
      <c r="H754" t="s">
        <v>113</v>
      </c>
      <c r="I754" t="s">
        <v>112</v>
      </c>
      <c r="J754" t="s">
        <v>114</v>
      </c>
      <c r="K754" t="s">
        <v>600</v>
      </c>
      <c r="L754" t="s">
        <v>600</v>
      </c>
    </row>
    <row r="755" spans="1:12" x14ac:dyDescent="0.3">
      <c r="A755" t="s">
        <v>709</v>
      </c>
      <c r="B755" t="s">
        <v>1491</v>
      </c>
      <c r="C755" t="s">
        <v>750</v>
      </c>
      <c r="D755" t="s">
        <v>1666</v>
      </c>
      <c r="E755" t="s">
        <v>567</v>
      </c>
      <c r="F755" t="s">
        <v>152</v>
      </c>
      <c r="G755" t="s">
        <v>111</v>
      </c>
      <c r="H755" t="s">
        <v>113</v>
      </c>
      <c r="I755" t="s">
        <v>112</v>
      </c>
      <c r="J755" t="s">
        <v>114</v>
      </c>
      <c r="K755" t="s">
        <v>1694</v>
      </c>
      <c r="L755" t="s">
        <v>1694</v>
      </c>
    </row>
    <row r="756" spans="1:12" x14ac:dyDescent="0.3">
      <c r="A756" t="s">
        <v>709</v>
      </c>
      <c r="B756" t="s">
        <v>1491</v>
      </c>
      <c r="C756" t="s">
        <v>750</v>
      </c>
      <c r="D756" t="s">
        <v>1668</v>
      </c>
      <c r="E756" t="s">
        <v>567</v>
      </c>
      <c r="F756" t="s">
        <v>67</v>
      </c>
      <c r="G756" t="s">
        <v>111</v>
      </c>
      <c r="H756" t="s">
        <v>113</v>
      </c>
      <c r="I756" t="s">
        <v>112</v>
      </c>
      <c r="J756" t="s">
        <v>114</v>
      </c>
      <c r="K756" t="s">
        <v>1697</v>
      </c>
      <c r="L756" t="s">
        <v>1697</v>
      </c>
    </row>
    <row r="757" spans="1:12" x14ac:dyDescent="0.3">
      <c r="A757" t="s">
        <v>709</v>
      </c>
      <c r="B757" t="s">
        <v>1491</v>
      </c>
      <c r="C757" t="s">
        <v>750</v>
      </c>
      <c r="D757" t="s">
        <v>1670</v>
      </c>
      <c r="E757" t="s">
        <v>567</v>
      </c>
      <c r="F757" t="s">
        <v>196</v>
      </c>
      <c r="G757" t="s">
        <v>111</v>
      </c>
      <c r="H757" t="s">
        <v>118</v>
      </c>
      <c r="I757" t="s">
        <v>112</v>
      </c>
      <c r="J757" t="s">
        <v>119</v>
      </c>
      <c r="K757" t="s">
        <v>1697</v>
      </c>
      <c r="L757" t="s">
        <v>1697</v>
      </c>
    </row>
    <row r="758" spans="1:12" x14ac:dyDescent="0.3">
      <c r="A758" t="s">
        <v>709</v>
      </c>
      <c r="B758" t="s">
        <v>1491</v>
      </c>
      <c r="C758" t="s">
        <v>750</v>
      </c>
      <c r="D758" t="s">
        <v>1725</v>
      </c>
      <c r="E758" t="s">
        <v>567</v>
      </c>
      <c r="F758" t="s">
        <v>178</v>
      </c>
      <c r="G758" t="s">
        <v>111</v>
      </c>
      <c r="H758" t="s">
        <v>113</v>
      </c>
      <c r="I758" t="s">
        <v>112</v>
      </c>
      <c r="J758" t="s">
        <v>114</v>
      </c>
      <c r="K758" t="s">
        <v>1694</v>
      </c>
      <c r="L758" t="s">
        <v>1694</v>
      </c>
    </row>
    <row r="759" spans="1:12" x14ac:dyDescent="0.3">
      <c r="A759" t="s">
        <v>709</v>
      </c>
      <c r="B759" t="s">
        <v>1491</v>
      </c>
      <c r="C759" t="s">
        <v>750</v>
      </c>
      <c r="D759" t="s">
        <v>1673</v>
      </c>
      <c r="E759" t="s">
        <v>567</v>
      </c>
      <c r="F759" t="s">
        <v>153</v>
      </c>
      <c r="G759" t="s">
        <v>111</v>
      </c>
      <c r="H759" t="s">
        <v>113</v>
      </c>
      <c r="I759" t="s">
        <v>112</v>
      </c>
      <c r="J759" t="s">
        <v>114</v>
      </c>
      <c r="K759" t="s">
        <v>1697</v>
      </c>
      <c r="L759" t="s">
        <v>1697</v>
      </c>
    </row>
    <row r="760" spans="1:12" x14ac:dyDescent="0.3">
      <c r="A760" t="s">
        <v>709</v>
      </c>
      <c r="B760" t="s">
        <v>1491</v>
      </c>
      <c r="C760" t="s">
        <v>750</v>
      </c>
      <c r="D760" t="s">
        <v>1726</v>
      </c>
      <c r="E760" t="s">
        <v>567</v>
      </c>
      <c r="F760" t="s">
        <v>154</v>
      </c>
      <c r="G760" t="s">
        <v>111</v>
      </c>
      <c r="H760" t="s">
        <v>118</v>
      </c>
      <c r="I760" t="s">
        <v>112</v>
      </c>
      <c r="J760" t="s">
        <v>119</v>
      </c>
      <c r="K760" t="s">
        <v>1693</v>
      </c>
      <c r="L760" t="s">
        <v>1693</v>
      </c>
    </row>
    <row r="761" spans="1:12" x14ac:dyDescent="0.3">
      <c r="A761" t="s">
        <v>709</v>
      </c>
      <c r="B761" t="s">
        <v>1491</v>
      </c>
      <c r="C761" t="s">
        <v>750</v>
      </c>
      <c r="D761" t="s">
        <v>1674</v>
      </c>
      <c r="E761" t="s">
        <v>567</v>
      </c>
      <c r="F761" t="s">
        <v>55</v>
      </c>
      <c r="G761" t="s">
        <v>111</v>
      </c>
      <c r="H761" t="s">
        <v>113</v>
      </c>
      <c r="I761" t="s">
        <v>112</v>
      </c>
      <c r="J761" t="s">
        <v>114</v>
      </c>
      <c r="K761" t="s">
        <v>1693</v>
      </c>
      <c r="L761" t="s">
        <v>1693</v>
      </c>
    </row>
    <row r="762" spans="1:12" x14ac:dyDescent="0.3">
      <c r="A762" t="s">
        <v>709</v>
      </c>
      <c r="B762" t="s">
        <v>1491</v>
      </c>
      <c r="C762" t="s">
        <v>750</v>
      </c>
      <c r="D762" t="s">
        <v>1675</v>
      </c>
      <c r="E762" t="s">
        <v>567</v>
      </c>
      <c r="F762" t="s">
        <v>197</v>
      </c>
      <c r="G762" t="s">
        <v>111</v>
      </c>
      <c r="H762" t="s">
        <v>113</v>
      </c>
      <c r="I762" t="s">
        <v>112</v>
      </c>
      <c r="J762" t="s">
        <v>114</v>
      </c>
      <c r="K762" t="s">
        <v>1693</v>
      </c>
      <c r="L762" t="s">
        <v>1693</v>
      </c>
    </row>
    <row r="763" spans="1:12" x14ac:dyDescent="0.3">
      <c r="A763" t="s">
        <v>709</v>
      </c>
      <c r="B763" t="s">
        <v>1491</v>
      </c>
      <c r="C763" t="s">
        <v>750</v>
      </c>
      <c r="D763" t="s">
        <v>1727</v>
      </c>
      <c r="E763" t="s">
        <v>567</v>
      </c>
      <c r="F763" t="s">
        <v>155</v>
      </c>
      <c r="G763" t="s">
        <v>111</v>
      </c>
      <c r="H763" t="s">
        <v>113</v>
      </c>
      <c r="I763" t="s">
        <v>112</v>
      </c>
      <c r="J763" t="s">
        <v>114</v>
      </c>
      <c r="K763" t="s">
        <v>1693</v>
      </c>
      <c r="L763" t="s">
        <v>1693</v>
      </c>
    </row>
    <row r="764" spans="1:12" x14ac:dyDescent="0.3">
      <c r="A764" t="s">
        <v>709</v>
      </c>
      <c r="B764" t="s">
        <v>1491</v>
      </c>
      <c r="C764" t="s">
        <v>750</v>
      </c>
      <c r="D764" t="s">
        <v>1677</v>
      </c>
      <c r="E764" t="s">
        <v>567</v>
      </c>
      <c r="F764" t="s">
        <v>156</v>
      </c>
      <c r="G764" t="s">
        <v>111</v>
      </c>
      <c r="H764" t="s">
        <v>113</v>
      </c>
      <c r="I764" t="s">
        <v>112</v>
      </c>
      <c r="J764" t="s">
        <v>114</v>
      </c>
      <c r="K764" t="s">
        <v>1694</v>
      </c>
      <c r="L764" t="s">
        <v>1694</v>
      </c>
    </row>
    <row r="765" spans="1:12" x14ac:dyDescent="0.3">
      <c r="A765" t="s">
        <v>709</v>
      </c>
      <c r="B765" t="s">
        <v>1491</v>
      </c>
      <c r="C765" t="s">
        <v>750</v>
      </c>
      <c r="D765" t="s">
        <v>1678</v>
      </c>
      <c r="E765" t="s">
        <v>567</v>
      </c>
      <c r="F765" t="s">
        <v>103</v>
      </c>
      <c r="G765" t="s">
        <v>111</v>
      </c>
      <c r="H765" t="s">
        <v>118</v>
      </c>
      <c r="I765" t="s">
        <v>112</v>
      </c>
      <c r="J765" t="s">
        <v>119</v>
      </c>
      <c r="K765" t="s">
        <v>1693</v>
      </c>
      <c r="L765" t="s">
        <v>1693</v>
      </c>
    </row>
    <row r="766" spans="1:12" x14ac:dyDescent="0.3">
      <c r="A766" t="s">
        <v>709</v>
      </c>
      <c r="B766" t="s">
        <v>1491</v>
      </c>
      <c r="C766" t="s">
        <v>750</v>
      </c>
      <c r="D766" t="s">
        <v>1728</v>
      </c>
      <c r="E766" t="s">
        <v>567</v>
      </c>
      <c r="F766" t="s">
        <v>105</v>
      </c>
      <c r="G766" t="s">
        <v>111</v>
      </c>
      <c r="H766" t="s">
        <v>113</v>
      </c>
      <c r="I766" t="s">
        <v>112</v>
      </c>
      <c r="J766" t="s">
        <v>114</v>
      </c>
      <c r="K766" t="s">
        <v>600</v>
      </c>
      <c r="L766" t="s">
        <v>600</v>
      </c>
    </row>
    <row r="767" spans="1:12" x14ac:dyDescent="0.3">
      <c r="A767" t="s">
        <v>709</v>
      </c>
      <c r="B767" t="s">
        <v>1491</v>
      </c>
      <c r="C767" t="s">
        <v>750</v>
      </c>
      <c r="D767" t="s">
        <v>1729</v>
      </c>
      <c r="E767" t="s">
        <v>567</v>
      </c>
      <c r="F767" t="s">
        <v>157</v>
      </c>
      <c r="G767" t="s">
        <v>111</v>
      </c>
      <c r="H767" t="s">
        <v>113</v>
      </c>
      <c r="I767" t="s">
        <v>112</v>
      </c>
      <c r="J767" t="s">
        <v>114</v>
      </c>
      <c r="K767" t="s">
        <v>600</v>
      </c>
      <c r="L767" t="s">
        <v>600</v>
      </c>
    </row>
    <row r="768" spans="1:12" x14ac:dyDescent="0.3">
      <c r="A768" t="s">
        <v>709</v>
      </c>
      <c r="B768" t="s">
        <v>1491</v>
      </c>
      <c r="C768" t="s">
        <v>750</v>
      </c>
      <c r="D768" t="s">
        <v>1680</v>
      </c>
      <c r="E768" t="s">
        <v>567</v>
      </c>
      <c r="F768" t="s">
        <v>180</v>
      </c>
      <c r="G768" t="s">
        <v>111</v>
      </c>
      <c r="H768" t="s">
        <v>113</v>
      </c>
      <c r="I768" t="s">
        <v>112</v>
      </c>
      <c r="J768" t="s">
        <v>114</v>
      </c>
      <c r="K768" t="s">
        <v>1693</v>
      </c>
      <c r="L768" t="s">
        <v>1693</v>
      </c>
    </row>
    <row r="769" spans="1:12" x14ac:dyDescent="0.3">
      <c r="A769" t="s">
        <v>709</v>
      </c>
      <c r="B769" t="s">
        <v>1491</v>
      </c>
      <c r="C769" t="s">
        <v>750</v>
      </c>
      <c r="D769" t="s">
        <v>1682</v>
      </c>
      <c r="E769" t="s">
        <v>567</v>
      </c>
      <c r="F769" t="s">
        <v>199</v>
      </c>
      <c r="G769" t="s">
        <v>111</v>
      </c>
      <c r="H769" t="s">
        <v>113</v>
      </c>
      <c r="I769" t="s">
        <v>112</v>
      </c>
      <c r="J769" t="s">
        <v>114</v>
      </c>
      <c r="K769" t="s">
        <v>1693</v>
      </c>
      <c r="L769" t="s">
        <v>1693</v>
      </c>
    </row>
    <row r="770" spans="1:12" x14ac:dyDescent="0.3">
      <c r="A770" t="s">
        <v>709</v>
      </c>
      <c r="B770" t="s">
        <v>1491</v>
      </c>
      <c r="C770" t="s">
        <v>750</v>
      </c>
      <c r="D770" t="s">
        <v>1683</v>
      </c>
      <c r="E770" t="s">
        <v>567</v>
      </c>
      <c r="F770" t="s">
        <v>159</v>
      </c>
      <c r="G770" t="s">
        <v>111</v>
      </c>
      <c r="H770" t="s">
        <v>113</v>
      </c>
      <c r="I770" t="s">
        <v>112</v>
      </c>
      <c r="J770" t="s">
        <v>114</v>
      </c>
      <c r="K770" t="s">
        <v>1693</v>
      </c>
      <c r="L770" t="s">
        <v>1693</v>
      </c>
    </row>
    <row r="771" spans="1:12" x14ac:dyDescent="0.3">
      <c r="A771" t="s">
        <v>709</v>
      </c>
      <c r="B771" t="s">
        <v>1491</v>
      </c>
      <c r="C771" t="s">
        <v>750</v>
      </c>
      <c r="D771" t="s">
        <v>1684</v>
      </c>
      <c r="E771" t="s">
        <v>567</v>
      </c>
      <c r="F771" t="s">
        <v>47</v>
      </c>
      <c r="G771" t="s">
        <v>111</v>
      </c>
      <c r="H771" t="s">
        <v>113</v>
      </c>
      <c r="I771" t="s">
        <v>112</v>
      </c>
      <c r="J771" t="s">
        <v>114</v>
      </c>
      <c r="K771" t="s">
        <v>1697</v>
      </c>
      <c r="L771" t="s">
        <v>1697</v>
      </c>
    </row>
    <row r="772" spans="1:12" x14ac:dyDescent="0.3">
      <c r="A772" t="s">
        <v>709</v>
      </c>
      <c r="B772" t="s">
        <v>1491</v>
      </c>
      <c r="C772" t="s">
        <v>750</v>
      </c>
      <c r="D772" t="s">
        <v>1688</v>
      </c>
      <c r="E772" t="s">
        <v>567</v>
      </c>
      <c r="F772" t="s">
        <v>73</v>
      </c>
      <c r="G772" t="s">
        <v>111</v>
      </c>
      <c r="H772" t="s">
        <v>113</v>
      </c>
      <c r="I772" t="s">
        <v>112</v>
      </c>
      <c r="J772" t="s">
        <v>114</v>
      </c>
      <c r="K772" t="s">
        <v>600</v>
      </c>
      <c r="L772" t="s">
        <v>600</v>
      </c>
    </row>
    <row r="773" spans="1:12" x14ac:dyDescent="0.3">
      <c r="A773" t="s">
        <v>709</v>
      </c>
      <c r="B773" t="s">
        <v>1491</v>
      </c>
      <c r="C773" t="s">
        <v>750</v>
      </c>
      <c r="D773" t="s">
        <v>1730</v>
      </c>
      <c r="E773" t="s">
        <v>567</v>
      </c>
      <c r="F773" t="s">
        <v>161</v>
      </c>
      <c r="G773" t="s">
        <v>111</v>
      </c>
      <c r="H773" t="s">
        <v>118</v>
      </c>
      <c r="I773" t="s">
        <v>112</v>
      </c>
      <c r="J773" t="s">
        <v>119</v>
      </c>
      <c r="K773" t="s">
        <v>1693</v>
      </c>
      <c r="L773" t="s">
        <v>1693</v>
      </c>
    </row>
    <row r="774" spans="1:12" x14ac:dyDescent="0.3">
      <c r="A774" t="s">
        <v>709</v>
      </c>
      <c r="B774" t="s">
        <v>1491</v>
      </c>
      <c r="C774" t="s">
        <v>750</v>
      </c>
      <c r="D774" t="s">
        <v>1689</v>
      </c>
      <c r="E774" t="s">
        <v>567</v>
      </c>
      <c r="F774" t="s">
        <v>162</v>
      </c>
      <c r="G774" t="s">
        <v>111</v>
      </c>
      <c r="H774" t="s">
        <v>113</v>
      </c>
      <c r="I774" t="s">
        <v>112</v>
      </c>
      <c r="J774" t="s">
        <v>114</v>
      </c>
      <c r="K774" t="s">
        <v>1697</v>
      </c>
      <c r="L774" t="s">
        <v>1697</v>
      </c>
    </row>
    <row r="775" spans="1:12" x14ac:dyDescent="0.3">
      <c r="A775" t="s">
        <v>709</v>
      </c>
      <c r="B775" t="s">
        <v>710</v>
      </c>
      <c r="C775" t="s">
        <v>711</v>
      </c>
      <c r="D775" t="s">
        <v>209</v>
      </c>
      <c r="E775" t="s">
        <v>569</v>
      </c>
      <c r="F775" t="s">
        <v>115</v>
      </c>
      <c r="G775" t="s">
        <v>111</v>
      </c>
      <c r="H775" t="s">
        <v>113</v>
      </c>
      <c r="I775" t="s">
        <v>112</v>
      </c>
      <c r="J775" t="s">
        <v>114</v>
      </c>
      <c r="K775" t="s">
        <v>1731</v>
      </c>
      <c r="L775" t="s">
        <v>1731</v>
      </c>
    </row>
    <row r="776" spans="1:12" x14ac:dyDescent="0.3">
      <c r="A776" t="s">
        <v>709</v>
      </c>
      <c r="B776" t="s">
        <v>710</v>
      </c>
      <c r="C776" t="s">
        <v>711</v>
      </c>
      <c r="D776" t="s">
        <v>304</v>
      </c>
      <c r="E776" t="s">
        <v>569</v>
      </c>
      <c r="F776" t="s">
        <v>117</v>
      </c>
      <c r="G776" t="s">
        <v>111</v>
      </c>
      <c r="H776" t="s">
        <v>113</v>
      </c>
      <c r="I776" t="s">
        <v>112</v>
      </c>
      <c r="J776" t="s">
        <v>114</v>
      </c>
      <c r="K776" t="s">
        <v>1732</v>
      </c>
      <c r="L776" t="s">
        <v>1732</v>
      </c>
    </row>
    <row r="777" spans="1:12" x14ac:dyDescent="0.3">
      <c r="A777" t="s">
        <v>709</v>
      </c>
      <c r="B777" t="s">
        <v>710</v>
      </c>
      <c r="C777" t="s">
        <v>711</v>
      </c>
      <c r="D777" t="s">
        <v>211</v>
      </c>
      <c r="E777" t="s">
        <v>569</v>
      </c>
      <c r="F777" t="s">
        <v>188</v>
      </c>
      <c r="G777" t="s">
        <v>111</v>
      </c>
      <c r="H777" t="s">
        <v>113</v>
      </c>
      <c r="I777" t="s">
        <v>112</v>
      </c>
      <c r="J777" t="s">
        <v>114</v>
      </c>
      <c r="K777" t="s">
        <v>1731</v>
      </c>
      <c r="L777" t="s">
        <v>1731</v>
      </c>
    </row>
    <row r="778" spans="1:12" x14ac:dyDescent="0.3">
      <c r="A778" t="s">
        <v>709</v>
      </c>
      <c r="B778" t="s">
        <v>710</v>
      </c>
      <c r="C778" t="s">
        <v>711</v>
      </c>
      <c r="D778" t="s">
        <v>305</v>
      </c>
      <c r="E778" t="s">
        <v>569</v>
      </c>
      <c r="F778" t="s">
        <v>120</v>
      </c>
      <c r="G778" t="s">
        <v>111</v>
      </c>
      <c r="H778" t="s">
        <v>113</v>
      </c>
      <c r="I778" t="s">
        <v>112</v>
      </c>
      <c r="J778" t="s">
        <v>114</v>
      </c>
      <c r="K778" t="s">
        <v>1731</v>
      </c>
      <c r="L778" t="s">
        <v>1731</v>
      </c>
    </row>
    <row r="779" spans="1:12" x14ac:dyDescent="0.3">
      <c r="A779" t="s">
        <v>709</v>
      </c>
      <c r="B779" t="s">
        <v>710</v>
      </c>
      <c r="C779" t="s">
        <v>711</v>
      </c>
      <c r="D779" t="s">
        <v>213</v>
      </c>
      <c r="E779" t="s">
        <v>569</v>
      </c>
      <c r="F779" t="s">
        <v>53</v>
      </c>
      <c r="G779" t="s">
        <v>111</v>
      </c>
      <c r="H779" t="s">
        <v>113</v>
      </c>
      <c r="I779" t="s">
        <v>112</v>
      </c>
      <c r="J779" t="s">
        <v>114</v>
      </c>
      <c r="K779" t="s">
        <v>1732</v>
      </c>
      <c r="L779" t="s">
        <v>1732</v>
      </c>
    </row>
    <row r="780" spans="1:12" x14ac:dyDescent="0.3">
      <c r="A780" t="s">
        <v>709</v>
      </c>
      <c r="B780" t="s">
        <v>710</v>
      </c>
      <c r="C780" t="s">
        <v>711</v>
      </c>
      <c r="D780" t="s">
        <v>214</v>
      </c>
      <c r="E780" t="s">
        <v>569</v>
      </c>
      <c r="F780" t="s">
        <v>56</v>
      </c>
      <c r="G780" t="s">
        <v>111</v>
      </c>
      <c r="H780" t="s">
        <v>113</v>
      </c>
      <c r="I780" t="s">
        <v>112</v>
      </c>
      <c r="J780" t="s">
        <v>114</v>
      </c>
      <c r="K780" t="s">
        <v>1733</v>
      </c>
      <c r="L780" t="s">
        <v>1733</v>
      </c>
    </row>
    <row r="781" spans="1:12" x14ac:dyDescent="0.3">
      <c r="A781" t="s">
        <v>709</v>
      </c>
      <c r="B781" t="s">
        <v>710</v>
      </c>
      <c r="C781" t="s">
        <v>711</v>
      </c>
      <c r="D781" t="s">
        <v>215</v>
      </c>
      <c r="E781" t="s">
        <v>569</v>
      </c>
      <c r="F781" t="s">
        <v>69</v>
      </c>
      <c r="G781" t="s">
        <v>111</v>
      </c>
      <c r="H781" t="s">
        <v>113</v>
      </c>
      <c r="I781" t="s">
        <v>112</v>
      </c>
      <c r="J781" t="s">
        <v>114</v>
      </c>
      <c r="K781" t="s">
        <v>1734</v>
      </c>
      <c r="L781" t="s">
        <v>1734</v>
      </c>
    </row>
    <row r="782" spans="1:12" x14ac:dyDescent="0.3">
      <c r="A782" t="s">
        <v>709</v>
      </c>
      <c r="B782" t="s">
        <v>710</v>
      </c>
      <c r="C782" t="s">
        <v>711</v>
      </c>
      <c r="D782" t="s">
        <v>306</v>
      </c>
      <c r="E782" t="s">
        <v>569</v>
      </c>
      <c r="F782" t="s">
        <v>165</v>
      </c>
      <c r="G782" t="s">
        <v>111</v>
      </c>
      <c r="H782" t="s">
        <v>113</v>
      </c>
      <c r="I782" t="s">
        <v>112</v>
      </c>
      <c r="J782" t="s">
        <v>114</v>
      </c>
      <c r="K782" t="s">
        <v>1731</v>
      </c>
      <c r="L782" t="s">
        <v>1731</v>
      </c>
    </row>
    <row r="783" spans="1:12" x14ac:dyDescent="0.3">
      <c r="A783" t="s">
        <v>709</v>
      </c>
      <c r="B783" t="s">
        <v>710</v>
      </c>
      <c r="C783" t="s">
        <v>711</v>
      </c>
      <c r="D783" t="s">
        <v>218</v>
      </c>
      <c r="E783" t="s">
        <v>569</v>
      </c>
      <c r="F783" t="s">
        <v>166</v>
      </c>
      <c r="G783" t="s">
        <v>111</v>
      </c>
      <c r="H783" t="s">
        <v>113</v>
      </c>
      <c r="I783" t="s">
        <v>112</v>
      </c>
      <c r="J783" t="s">
        <v>114</v>
      </c>
      <c r="K783" t="s">
        <v>1735</v>
      </c>
      <c r="L783" t="s">
        <v>1735</v>
      </c>
    </row>
    <row r="784" spans="1:12" x14ac:dyDescent="0.3">
      <c r="A784" t="s">
        <v>709</v>
      </c>
      <c r="B784" t="s">
        <v>710</v>
      </c>
      <c r="C784" t="s">
        <v>711</v>
      </c>
      <c r="D784" t="s">
        <v>307</v>
      </c>
      <c r="E784" t="s">
        <v>569</v>
      </c>
      <c r="F784" t="s">
        <v>123</v>
      </c>
      <c r="G784" t="s">
        <v>111</v>
      </c>
      <c r="H784" t="s">
        <v>118</v>
      </c>
      <c r="I784" t="s">
        <v>112</v>
      </c>
      <c r="J784" t="s">
        <v>119</v>
      </c>
      <c r="K784" t="s">
        <v>1731</v>
      </c>
      <c r="L784" t="s">
        <v>1731</v>
      </c>
    </row>
    <row r="785" spans="1:12" x14ac:dyDescent="0.3">
      <c r="A785" t="s">
        <v>709</v>
      </c>
      <c r="B785" t="s">
        <v>710</v>
      </c>
      <c r="C785" t="s">
        <v>711</v>
      </c>
      <c r="D785" t="s">
        <v>219</v>
      </c>
      <c r="E785" t="s">
        <v>569</v>
      </c>
      <c r="F785" t="s">
        <v>189</v>
      </c>
      <c r="G785" t="s">
        <v>111</v>
      </c>
      <c r="H785" t="s">
        <v>118</v>
      </c>
      <c r="I785" t="s">
        <v>112</v>
      </c>
      <c r="J785" t="s">
        <v>119</v>
      </c>
      <c r="K785" t="s">
        <v>1732</v>
      </c>
      <c r="L785" t="s">
        <v>1732</v>
      </c>
    </row>
    <row r="786" spans="1:12" x14ac:dyDescent="0.3">
      <c r="A786" t="s">
        <v>709</v>
      </c>
      <c r="B786" t="s">
        <v>710</v>
      </c>
      <c r="C786" t="s">
        <v>711</v>
      </c>
      <c r="D786" t="s">
        <v>220</v>
      </c>
      <c r="E786" t="s">
        <v>569</v>
      </c>
      <c r="F786" t="s">
        <v>54</v>
      </c>
      <c r="G786" t="s">
        <v>111</v>
      </c>
      <c r="H786" t="s">
        <v>160</v>
      </c>
      <c r="I786" t="s">
        <v>112</v>
      </c>
      <c r="J786" t="s">
        <v>114</v>
      </c>
      <c r="K786" t="s">
        <v>1731</v>
      </c>
      <c r="L786" t="s">
        <v>1731</v>
      </c>
    </row>
    <row r="787" spans="1:12" x14ac:dyDescent="0.3">
      <c r="A787" t="s">
        <v>709</v>
      </c>
      <c r="B787" t="s">
        <v>710</v>
      </c>
      <c r="C787" t="s">
        <v>711</v>
      </c>
      <c r="D787" t="s">
        <v>221</v>
      </c>
      <c r="E787" t="s">
        <v>569</v>
      </c>
      <c r="F787" t="s">
        <v>45</v>
      </c>
      <c r="G787" t="s">
        <v>111</v>
      </c>
      <c r="H787" t="s">
        <v>113</v>
      </c>
      <c r="I787" t="s">
        <v>112</v>
      </c>
      <c r="J787" t="s">
        <v>114</v>
      </c>
      <c r="K787" t="s">
        <v>1734</v>
      </c>
      <c r="L787" t="s">
        <v>1734</v>
      </c>
    </row>
    <row r="788" spans="1:12" x14ac:dyDescent="0.3">
      <c r="A788" t="s">
        <v>709</v>
      </c>
      <c r="B788" t="s">
        <v>710</v>
      </c>
      <c r="C788" t="s">
        <v>711</v>
      </c>
      <c r="D788" t="s">
        <v>223</v>
      </c>
      <c r="E788" t="s">
        <v>569</v>
      </c>
      <c r="F788" t="s">
        <v>65</v>
      </c>
      <c r="G788" t="s">
        <v>111</v>
      </c>
      <c r="H788" t="s">
        <v>160</v>
      </c>
      <c r="I788" t="s">
        <v>112</v>
      </c>
      <c r="J788" t="s">
        <v>114</v>
      </c>
      <c r="K788" t="s">
        <v>1731</v>
      </c>
      <c r="L788" t="s">
        <v>1731</v>
      </c>
    </row>
    <row r="789" spans="1:12" x14ac:dyDescent="0.3">
      <c r="A789" t="s">
        <v>709</v>
      </c>
      <c r="B789" t="s">
        <v>710</v>
      </c>
      <c r="C789" t="s">
        <v>711</v>
      </c>
      <c r="D789" t="s">
        <v>224</v>
      </c>
      <c r="E789" t="s">
        <v>569</v>
      </c>
      <c r="F789" t="s">
        <v>125</v>
      </c>
      <c r="G789" t="s">
        <v>111</v>
      </c>
      <c r="H789" t="s">
        <v>113</v>
      </c>
      <c r="I789" t="s">
        <v>112</v>
      </c>
      <c r="J789" t="s">
        <v>114</v>
      </c>
      <c r="K789" t="s">
        <v>1731</v>
      </c>
      <c r="L789" t="s">
        <v>1731</v>
      </c>
    </row>
    <row r="790" spans="1:12" x14ac:dyDescent="0.3">
      <c r="A790" t="s">
        <v>709</v>
      </c>
      <c r="B790" t="s">
        <v>710</v>
      </c>
      <c r="C790" t="s">
        <v>711</v>
      </c>
      <c r="D790" t="s">
        <v>225</v>
      </c>
      <c r="E790" t="s">
        <v>569</v>
      </c>
      <c r="F790" t="s">
        <v>126</v>
      </c>
      <c r="G790" t="s">
        <v>111</v>
      </c>
      <c r="H790" t="s">
        <v>160</v>
      </c>
      <c r="I790" t="s">
        <v>112</v>
      </c>
      <c r="J790" t="s">
        <v>114</v>
      </c>
      <c r="K790" t="s">
        <v>1731</v>
      </c>
      <c r="L790" t="s">
        <v>1731</v>
      </c>
    </row>
    <row r="791" spans="1:12" x14ac:dyDescent="0.3">
      <c r="A791" t="s">
        <v>709</v>
      </c>
      <c r="B791" t="s">
        <v>710</v>
      </c>
      <c r="C791" t="s">
        <v>711</v>
      </c>
      <c r="D791" t="s">
        <v>227</v>
      </c>
      <c r="E791" t="s">
        <v>569</v>
      </c>
      <c r="F791" t="s">
        <v>192</v>
      </c>
      <c r="G791" t="s">
        <v>111</v>
      </c>
      <c r="H791" t="s">
        <v>118</v>
      </c>
      <c r="I791" t="s">
        <v>112</v>
      </c>
      <c r="J791" t="s">
        <v>119</v>
      </c>
      <c r="K791" t="s">
        <v>1736</v>
      </c>
      <c r="L791" t="s">
        <v>1736</v>
      </c>
    </row>
    <row r="792" spans="1:12" x14ac:dyDescent="0.3">
      <c r="A792" t="s">
        <v>709</v>
      </c>
      <c r="B792" t="s">
        <v>710</v>
      </c>
      <c r="C792" t="s">
        <v>711</v>
      </c>
      <c r="D792" t="s">
        <v>228</v>
      </c>
      <c r="E792" t="s">
        <v>569</v>
      </c>
      <c r="F792" t="s">
        <v>167</v>
      </c>
      <c r="G792" t="s">
        <v>111</v>
      </c>
      <c r="H792" t="s">
        <v>113</v>
      </c>
      <c r="I792" t="s">
        <v>112</v>
      </c>
      <c r="J792" t="s">
        <v>114</v>
      </c>
      <c r="K792" t="s">
        <v>1734</v>
      </c>
      <c r="L792" t="s">
        <v>1734</v>
      </c>
    </row>
    <row r="793" spans="1:12" x14ac:dyDescent="0.3">
      <c r="A793" t="s">
        <v>709</v>
      </c>
      <c r="B793" t="s">
        <v>710</v>
      </c>
      <c r="C793" t="s">
        <v>711</v>
      </c>
      <c r="D793" t="s">
        <v>229</v>
      </c>
      <c r="E793" t="s">
        <v>569</v>
      </c>
      <c r="F793" t="s">
        <v>127</v>
      </c>
      <c r="G793" t="s">
        <v>111</v>
      </c>
      <c r="H793" t="s">
        <v>113</v>
      </c>
      <c r="I793" t="s">
        <v>112</v>
      </c>
      <c r="J793" t="s">
        <v>114</v>
      </c>
      <c r="K793" t="s">
        <v>1734</v>
      </c>
      <c r="L793" t="s">
        <v>1734</v>
      </c>
    </row>
    <row r="794" spans="1:12" x14ac:dyDescent="0.3">
      <c r="A794" t="s">
        <v>709</v>
      </c>
      <c r="B794" t="s">
        <v>710</v>
      </c>
      <c r="C794" t="s">
        <v>711</v>
      </c>
      <c r="D794" t="s">
        <v>310</v>
      </c>
      <c r="E794" t="s">
        <v>569</v>
      </c>
      <c r="F794" t="s">
        <v>128</v>
      </c>
      <c r="G794" t="s">
        <v>111</v>
      </c>
      <c r="H794" t="s">
        <v>160</v>
      </c>
      <c r="I794" t="s">
        <v>112</v>
      </c>
      <c r="J794" t="s">
        <v>114</v>
      </c>
      <c r="K794" t="s">
        <v>1731</v>
      </c>
      <c r="L794" t="s">
        <v>1731</v>
      </c>
    </row>
    <row r="795" spans="1:12" x14ac:dyDescent="0.3">
      <c r="A795" t="s">
        <v>709</v>
      </c>
      <c r="B795" t="s">
        <v>710</v>
      </c>
      <c r="C795" t="s">
        <v>711</v>
      </c>
      <c r="D795" t="s">
        <v>311</v>
      </c>
      <c r="E795" t="s">
        <v>569</v>
      </c>
      <c r="F795" t="s">
        <v>89</v>
      </c>
      <c r="G795" t="s">
        <v>111</v>
      </c>
      <c r="H795" t="s">
        <v>118</v>
      </c>
      <c r="I795" t="s">
        <v>112</v>
      </c>
      <c r="J795" t="s">
        <v>119</v>
      </c>
      <c r="K795" t="s">
        <v>1732</v>
      </c>
      <c r="L795" t="s">
        <v>1732</v>
      </c>
    </row>
    <row r="796" spans="1:12" x14ac:dyDescent="0.3">
      <c r="A796" t="s">
        <v>709</v>
      </c>
      <c r="B796" t="s">
        <v>710</v>
      </c>
      <c r="C796" t="s">
        <v>711</v>
      </c>
      <c r="D796" t="s">
        <v>231</v>
      </c>
      <c r="E796" t="s">
        <v>569</v>
      </c>
      <c r="F796" t="s">
        <v>66</v>
      </c>
      <c r="G796" t="s">
        <v>111</v>
      </c>
      <c r="H796" t="s">
        <v>113</v>
      </c>
      <c r="I796" t="s">
        <v>112</v>
      </c>
      <c r="J796" t="s">
        <v>114</v>
      </c>
      <c r="K796" t="s">
        <v>1737</v>
      </c>
      <c r="L796" t="s">
        <v>1737</v>
      </c>
    </row>
    <row r="797" spans="1:12" x14ac:dyDescent="0.3">
      <c r="A797" t="s">
        <v>709</v>
      </c>
      <c r="B797" t="s">
        <v>710</v>
      </c>
      <c r="C797" t="s">
        <v>711</v>
      </c>
      <c r="D797" t="s">
        <v>232</v>
      </c>
      <c r="E797" t="s">
        <v>569</v>
      </c>
      <c r="F797" t="s">
        <v>169</v>
      </c>
      <c r="G797" t="s">
        <v>111</v>
      </c>
      <c r="H797" t="s">
        <v>160</v>
      </c>
      <c r="I797" t="s">
        <v>112</v>
      </c>
      <c r="J797" t="s">
        <v>114</v>
      </c>
      <c r="K797" t="s">
        <v>1734</v>
      </c>
      <c r="L797" t="s">
        <v>1734</v>
      </c>
    </row>
    <row r="798" spans="1:12" x14ac:dyDescent="0.3">
      <c r="A798" t="s">
        <v>709</v>
      </c>
      <c r="B798" t="s">
        <v>710</v>
      </c>
      <c r="C798" t="s">
        <v>711</v>
      </c>
      <c r="D798" t="s">
        <v>234</v>
      </c>
      <c r="E798" t="s">
        <v>569</v>
      </c>
      <c r="F798" t="s">
        <v>93</v>
      </c>
      <c r="G798" t="s">
        <v>111</v>
      </c>
      <c r="H798" t="s">
        <v>147</v>
      </c>
      <c r="I798" t="s">
        <v>112</v>
      </c>
      <c r="J798" t="s">
        <v>119</v>
      </c>
      <c r="K798" t="s">
        <v>1731</v>
      </c>
      <c r="L798" t="s">
        <v>1731</v>
      </c>
    </row>
    <row r="799" spans="1:12" x14ac:dyDescent="0.3">
      <c r="A799" t="s">
        <v>709</v>
      </c>
      <c r="B799" t="s">
        <v>710</v>
      </c>
      <c r="C799" t="s">
        <v>711</v>
      </c>
      <c r="D799" t="s">
        <v>312</v>
      </c>
      <c r="E799" t="s">
        <v>569</v>
      </c>
      <c r="F799" t="s">
        <v>129</v>
      </c>
      <c r="G799" t="s">
        <v>111</v>
      </c>
      <c r="H799" t="s">
        <v>113</v>
      </c>
      <c r="I799" t="s">
        <v>112</v>
      </c>
      <c r="J799" t="s">
        <v>114</v>
      </c>
      <c r="K799" t="s">
        <v>1734</v>
      </c>
      <c r="L799" t="s">
        <v>1734</v>
      </c>
    </row>
    <row r="800" spans="1:12" x14ac:dyDescent="0.3">
      <c r="A800" t="s">
        <v>709</v>
      </c>
      <c r="B800" t="s">
        <v>710</v>
      </c>
      <c r="C800" t="s">
        <v>711</v>
      </c>
      <c r="D800" t="s">
        <v>313</v>
      </c>
      <c r="E800" t="s">
        <v>569</v>
      </c>
      <c r="F800" t="s">
        <v>68</v>
      </c>
      <c r="G800" t="s">
        <v>111</v>
      </c>
      <c r="H800" t="s">
        <v>113</v>
      </c>
      <c r="I800" t="s">
        <v>112</v>
      </c>
      <c r="J800" t="s">
        <v>114</v>
      </c>
      <c r="K800" t="s">
        <v>1734</v>
      </c>
      <c r="L800" t="s">
        <v>1734</v>
      </c>
    </row>
    <row r="801" spans="1:12" x14ac:dyDescent="0.3">
      <c r="A801" t="s">
        <v>709</v>
      </c>
      <c r="B801" t="s">
        <v>710</v>
      </c>
      <c r="C801" t="s">
        <v>711</v>
      </c>
      <c r="D801" t="s">
        <v>235</v>
      </c>
      <c r="E801" t="s">
        <v>569</v>
      </c>
      <c r="F801" t="s">
        <v>85</v>
      </c>
      <c r="G801" t="s">
        <v>111</v>
      </c>
      <c r="H801" t="s">
        <v>113</v>
      </c>
      <c r="I801" t="s">
        <v>112</v>
      </c>
      <c r="J801" t="s">
        <v>114</v>
      </c>
      <c r="K801" t="s">
        <v>1734</v>
      </c>
      <c r="L801" t="s">
        <v>1734</v>
      </c>
    </row>
    <row r="802" spans="1:12" x14ac:dyDescent="0.3">
      <c r="A802" t="s">
        <v>709</v>
      </c>
      <c r="B802" t="s">
        <v>710</v>
      </c>
      <c r="C802" t="s">
        <v>711</v>
      </c>
      <c r="D802" t="s">
        <v>314</v>
      </c>
      <c r="E802" t="s">
        <v>569</v>
      </c>
      <c r="F802" t="s">
        <v>61</v>
      </c>
      <c r="G802" t="s">
        <v>111</v>
      </c>
      <c r="H802" t="s">
        <v>113</v>
      </c>
      <c r="I802" t="s">
        <v>112</v>
      </c>
      <c r="J802" t="s">
        <v>114</v>
      </c>
      <c r="K802" t="s">
        <v>1734</v>
      </c>
      <c r="L802" t="s">
        <v>1734</v>
      </c>
    </row>
    <row r="803" spans="1:12" x14ac:dyDescent="0.3">
      <c r="A803" t="s">
        <v>709</v>
      </c>
      <c r="B803" t="s">
        <v>710</v>
      </c>
      <c r="C803" t="s">
        <v>711</v>
      </c>
      <c r="D803" t="s">
        <v>236</v>
      </c>
      <c r="E803" t="s">
        <v>569</v>
      </c>
      <c r="F803" t="s">
        <v>87</v>
      </c>
      <c r="G803" t="s">
        <v>111</v>
      </c>
      <c r="H803" t="s">
        <v>113</v>
      </c>
      <c r="I803" t="s">
        <v>112</v>
      </c>
      <c r="J803" t="s">
        <v>114</v>
      </c>
      <c r="K803" t="s">
        <v>1738</v>
      </c>
      <c r="L803" t="s">
        <v>1738</v>
      </c>
    </row>
    <row r="804" spans="1:12" x14ac:dyDescent="0.3">
      <c r="A804" t="s">
        <v>709</v>
      </c>
      <c r="B804" t="s">
        <v>710</v>
      </c>
      <c r="C804" t="s">
        <v>711</v>
      </c>
      <c r="D804" t="s">
        <v>237</v>
      </c>
      <c r="E804" t="s">
        <v>569</v>
      </c>
      <c r="F804" t="s">
        <v>130</v>
      </c>
      <c r="G804" t="s">
        <v>111</v>
      </c>
      <c r="H804" t="s">
        <v>113</v>
      </c>
      <c r="I804" t="s">
        <v>112</v>
      </c>
      <c r="J804" t="s">
        <v>114</v>
      </c>
      <c r="K804" t="s">
        <v>1732</v>
      </c>
      <c r="L804" t="s">
        <v>1732</v>
      </c>
    </row>
    <row r="805" spans="1:12" x14ac:dyDescent="0.3">
      <c r="A805" t="s">
        <v>709</v>
      </c>
      <c r="B805" t="s">
        <v>710</v>
      </c>
      <c r="C805" t="s">
        <v>711</v>
      </c>
      <c r="D805" t="s">
        <v>238</v>
      </c>
      <c r="E805" t="s">
        <v>569</v>
      </c>
      <c r="F805" t="s">
        <v>131</v>
      </c>
      <c r="G805" t="s">
        <v>111</v>
      </c>
      <c r="H805" t="s">
        <v>113</v>
      </c>
      <c r="I805" t="s">
        <v>112</v>
      </c>
      <c r="J805" t="s">
        <v>114</v>
      </c>
      <c r="K805" t="s">
        <v>1734</v>
      </c>
      <c r="L805" t="s">
        <v>1734</v>
      </c>
    </row>
    <row r="806" spans="1:12" x14ac:dyDescent="0.3">
      <c r="A806" t="s">
        <v>709</v>
      </c>
      <c r="B806" t="s">
        <v>710</v>
      </c>
      <c r="C806" t="s">
        <v>711</v>
      </c>
      <c r="D806" t="s">
        <v>239</v>
      </c>
      <c r="E806" t="s">
        <v>569</v>
      </c>
      <c r="F806" t="s">
        <v>50</v>
      </c>
      <c r="G806" t="s">
        <v>111</v>
      </c>
      <c r="H806" t="s">
        <v>113</v>
      </c>
      <c r="I806" t="s">
        <v>112</v>
      </c>
      <c r="J806" t="s">
        <v>114</v>
      </c>
      <c r="K806" t="s">
        <v>1734</v>
      </c>
      <c r="L806" t="s">
        <v>1734</v>
      </c>
    </row>
    <row r="807" spans="1:12" x14ac:dyDescent="0.3">
      <c r="A807" t="s">
        <v>709</v>
      </c>
      <c r="B807" t="s">
        <v>710</v>
      </c>
      <c r="C807" t="s">
        <v>711</v>
      </c>
      <c r="D807" t="s">
        <v>315</v>
      </c>
      <c r="E807" t="s">
        <v>568</v>
      </c>
      <c r="F807" t="s">
        <v>79</v>
      </c>
      <c r="G807" t="s">
        <v>111</v>
      </c>
      <c r="H807" t="s">
        <v>147</v>
      </c>
      <c r="I807" t="s">
        <v>112</v>
      </c>
      <c r="J807" t="s">
        <v>119</v>
      </c>
      <c r="K807" t="s">
        <v>1732</v>
      </c>
      <c r="L807" t="s">
        <v>1732</v>
      </c>
    </row>
    <row r="808" spans="1:12" x14ac:dyDescent="0.3">
      <c r="A808" t="s">
        <v>709</v>
      </c>
      <c r="B808" t="s">
        <v>710</v>
      </c>
      <c r="C808" t="s">
        <v>711</v>
      </c>
      <c r="D808" t="s">
        <v>316</v>
      </c>
      <c r="E808" t="s">
        <v>568</v>
      </c>
      <c r="F808" t="s">
        <v>132</v>
      </c>
      <c r="G808" t="s">
        <v>111</v>
      </c>
      <c r="H808" t="s">
        <v>118</v>
      </c>
      <c r="I808" t="s">
        <v>112</v>
      </c>
      <c r="J808" t="s">
        <v>119</v>
      </c>
      <c r="K808" t="s">
        <v>1731</v>
      </c>
      <c r="L808" t="s">
        <v>1731</v>
      </c>
    </row>
    <row r="809" spans="1:12" x14ac:dyDescent="0.3">
      <c r="A809" t="s">
        <v>709</v>
      </c>
      <c r="B809" t="s">
        <v>710</v>
      </c>
      <c r="C809" t="s">
        <v>711</v>
      </c>
      <c r="D809" t="s">
        <v>317</v>
      </c>
      <c r="E809" t="s">
        <v>568</v>
      </c>
      <c r="F809" t="s">
        <v>133</v>
      </c>
      <c r="G809" t="s">
        <v>111</v>
      </c>
      <c r="H809" t="s">
        <v>113</v>
      </c>
      <c r="I809" t="s">
        <v>112</v>
      </c>
      <c r="J809" t="s">
        <v>114</v>
      </c>
      <c r="K809" t="s">
        <v>1731</v>
      </c>
      <c r="L809" t="s">
        <v>1731</v>
      </c>
    </row>
    <row r="810" spans="1:12" x14ac:dyDescent="0.3">
      <c r="A810" t="s">
        <v>709</v>
      </c>
      <c r="B810" t="s">
        <v>710</v>
      </c>
      <c r="C810" t="s">
        <v>711</v>
      </c>
      <c r="D810" t="s">
        <v>318</v>
      </c>
      <c r="E810" t="s">
        <v>568</v>
      </c>
      <c r="F810" t="s">
        <v>193</v>
      </c>
      <c r="G810" t="s">
        <v>111</v>
      </c>
      <c r="H810" t="s">
        <v>147</v>
      </c>
      <c r="I810" t="s">
        <v>112</v>
      </c>
      <c r="J810" t="s">
        <v>119</v>
      </c>
      <c r="K810" t="s">
        <v>1731</v>
      </c>
      <c r="L810" t="s">
        <v>1731</v>
      </c>
    </row>
    <row r="811" spans="1:12" x14ac:dyDescent="0.3">
      <c r="A811" t="s">
        <v>709</v>
      </c>
      <c r="B811" t="s">
        <v>710</v>
      </c>
      <c r="C811" t="s">
        <v>711</v>
      </c>
      <c r="D811" t="s">
        <v>241</v>
      </c>
      <c r="E811" t="s">
        <v>568</v>
      </c>
      <c r="F811" t="s">
        <v>51</v>
      </c>
      <c r="G811" t="s">
        <v>111</v>
      </c>
      <c r="H811" t="s">
        <v>113</v>
      </c>
      <c r="I811" t="s">
        <v>112</v>
      </c>
      <c r="J811" t="s">
        <v>114</v>
      </c>
      <c r="K811" t="s">
        <v>1731</v>
      </c>
      <c r="L811" t="s">
        <v>1731</v>
      </c>
    </row>
    <row r="812" spans="1:12" x14ac:dyDescent="0.3">
      <c r="A812" t="s">
        <v>709</v>
      </c>
      <c r="B812" t="s">
        <v>710</v>
      </c>
      <c r="C812" t="s">
        <v>711</v>
      </c>
      <c r="D812" t="s">
        <v>242</v>
      </c>
      <c r="E812" t="s">
        <v>568</v>
      </c>
      <c r="F812" t="s">
        <v>163</v>
      </c>
      <c r="G812" t="s">
        <v>111</v>
      </c>
      <c r="H812" t="s">
        <v>118</v>
      </c>
      <c r="I812" t="s">
        <v>112</v>
      </c>
      <c r="J812" t="s">
        <v>119</v>
      </c>
      <c r="K812" t="s">
        <v>1731</v>
      </c>
      <c r="L812" t="s">
        <v>1731</v>
      </c>
    </row>
    <row r="813" spans="1:12" x14ac:dyDescent="0.3">
      <c r="A813" t="s">
        <v>709</v>
      </c>
      <c r="B813" t="s">
        <v>710</v>
      </c>
      <c r="C813" t="s">
        <v>711</v>
      </c>
      <c r="D813" t="s">
        <v>243</v>
      </c>
      <c r="E813" t="s">
        <v>568</v>
      </c>
      <c r="F813" t="s">
        <v>170</v>
      </c>
      <c r="G813" t="s">
        <v>111</v>
      </c>
      <c r="H813" t="s">
        <v>147</v>
      </c>
      <c r="I813" t="s">
        <v>112</v>
      </c>
      <c r="J813" t="s">
        <v>119</v>
      </c>
      <c r="K813" t="s">
        <v>1734</v>
      </c>
      <c r="L813" t="s">
        <v>1734</v>
      </c>
    </row>
    <row r="814" spans="1:12" x14ac:dyDescent="0.3">
      <c r="A814" t="s">
        <v>709</v>
      </c>
      <c r="B814" t="s">
        <v>710</v>
      </c>
      <c r="C814" t="s">
        <v>711</v>
      </c>
      <c r="D814" t="s">
        <v>244</v>
      </c>
      <c r="E814" t="s">
        <v>568</v>
      </c>
      <c r="F814" t="s">
        <v>78</v>
      </c>
      <c r="G814" t="s">
        <v>111</v>
      </c>
      <c r="H814" t="s">
        <v>160</v>
      </c>
      <c r="I814" t="s">
        <v>112</v>
      </c>
      <c r="J814" t="s">
        <v>114</v>
      </c>
      <c r="K814" t="s">
        <v>1734</v>
      </c>
      <c r="L814" t="s">
        <v>1734</v>
      </c>
    </row>
    <row r="815" spans="1:12" x14ac:dyDescent="0.3">
      <c r="A815" t="s">
        <v>709</v>
      </c>
      <c r="B815" t="s">
        <v>710</v>
      </c>
      <c r="C815" t="s">
        <v>711</v>
      </c>
      <c r="D815" t="s">
        <v>319</v>
      </c>
      <c r="E815" t="s">
        <v>568</v>
      </c>
      <c r="F815" t="s">
        <v>136</v>
      </c>
      <c r="G815" t="s">
        <v>111</v>
      </c>
      <c r="H815" t="s">
        <v>113</v>
      </c>
      <c r="I815" t="s">
        <v>112</v>
      </c>
      <c r="J815" t="s">
        <v>114</v>
      </c>
      <c r="K815" t="s">
        <v>1731</v>
      </c>
      <c r="L815" t="s">
        <v>1731</v>
      </c>
    </row>
    <row r="816" spans="1:12" x14ac:dyDescent="0.3">
      <c r="A816" t="s">
        <v>709</v>
      </c>
      <c r="B816" t="s">
        <v>710</v>
      </c>
      <c r="C816" t="s">
        <v>711</v>
      </c>
      <c r="D816" t="s">
        <v>247</v>
      </c>
      <c r="E816" t="s">
        <v>568</v>
      </c>
      <c r="F816" t="s">
        <v>60</v>
      </c>
      <c r="G816" t="s">
        <v>111</v>
      </c>
      <c r="H816" t="s">
        <v>113</v>
      </c>
      <c r="I816" t="s">
        <v>112</v>
      </c>
      <c r="J816" t="s">
        <v>114</v>
      </c>
      <c r="K816" t="s">
        <v>1732</v>
      </c>
      <c r="L816" t="s">
        <v>1732</v>
      </c>
    </row>
    <row r="817" spans="1:12" x14ac:dyDescent="0.3">
      <c r="A817" t="s">
        <v>709</v>
      </c>
      <c r="B817" t="s">
        <v>710</v>
      </c>
      <c r="C817" t="s">
        <v>711</v>
      </c>
      <c r="D817" t="s">
        <v>251</v>
      </c>
      <c r="E817" t="s">
        <v>568</v>
      </c>
      <c r="F817" t="s">
        <v>48</v>
      </c>
      <c r="G817" t="s">
        <v>111</v>
      </c>
      <c r="H817" t="s">
        <v>113</v>
      </c>
      <c r="I817" t="s">
        <v>112</v>
      </c>
      <c r="J817" t="s">
        <v>114</v>
      </c>
      <c r="K817" t="s">
        <v>1731</v>
      </c>
      <c r="L817" t="s">
        <v>1731</v>
      </c>
    </row>
    <row r="818" spans="1:12" x14ac:dyDescent="0.3">
      <c r="A818" t="s">
        <v>709</v>
      </c>
      <c r="B818" t="s">
        <v>710</v>
      </c>
      <c r="C818" t="s">
        <v>711</v>
      </c>
      <c r="D818" t="s">
        <v>252</v>
      </c>
      <c r="E818" t="s">
        <v>568</v>
      </c>
      <c r="F818" t="s">
        <v>138</v>
      </c>
      <c r="G818" t="s">
        <v>111</v>
      </c>
      <c r="H818" t="s">
        <v>113</v>
      </c>
      <c r="I818" t="s">
        <v>112</v>
      </c>
      <c r="J818" t="s">
        <v>114</v>
      </c>
      <c r="K818" t="s">
        <v>1731</v>
      </c>
      <c r="L818" t="s">
        <v>1731</v>
      </c>
    </row>
    <row r="819" spans="1:12" x14ac:dyDescent="0.3">
      <c r="A819" t="s">
        <v>709</v>
      </c>
      <c r="B819" t="s">
        <v>710</v>
      </c>
      <c r="C819" t="s">
        <v>711</v>
      </c>
      <c r="D819" t="s">
        <v>253</v>
      </c>
      <c r="E819" t="s">
        <v>568</v>
      </c>
      <c r="F819" t="s">
        <v>95</v>
      </c>
      <c r="G819" t="s">
        <v>111</v>
      </c>
      <c r="H819" t="s">
        <v>118</v>
      </c>
      <c r="I819" t="s">
        <v>112</v>
      </c>
      <c r="J819" t="s">
        <v>119</v>
      </c>
      <c r="K819" t="s">
        <v>1731</v>
      </c>
      <c r="L819" t="s">
        <v>1731</v>
      </c>
    </row>
    <row r="820" spans="1:12" x14ac:dyDescent="0.3">
      <c r="A820" t="s">
        <v>709</v>
      </c>
      <c r="B820" t="s">
        <v>710</v>
      </c>
      <c r="C820" t="s">
        <v>711</v>
      </c>
      <c r="D820" t="s">
        <v>254</v>
      </c>
      <c r="E820" t="s">
        <v>568</v>
      </c>
      <c r="F820" t="s">
        <v>139</v>
      </c>
      <c r="G820" t="s">
        <v>111</v>
      </c>
      <c r="H820" t="s">
        <v>113</v>
      </c>
      <c r="I820" t="s">
        <v>112</v>
      </c>
      <c r="J820" t="s">
        <v>114</v>
      </c>
      <c r="K820" t="s">
        <v>1737</v>
      </c>
      <c r="L820" t="s">
        <v>1737</v>
      </c>
    </row>
    <row r="821" spans="1:12" x14ac:dyDescent="0.3">
      <c r="A821" t="s">
        <v>709</v>
      </c>
      <c r="B821" t="s">
        <v>710</v>
      </c>
      <c r="C821" t="s">
        <v>711</v>
      </c>
      <c r="D821" t="s">
        <v>255</v>
      </c>
      <c r="E821" t="s">
        <v>568</v>
      </c>
      <c r="F821" t="s">
        <v>171</v>
      </c>
      <c r="G821" t="s">
        <v>111</v>
      </c>
      <c r="H821" t="s">
        <v>160</v>
      </c>
      <c r="I821" t="s">
        <v>112</v>
      </c>
      <c r="J821" t="s">
        <v>114</v>
      </c>
      <c r="K821" t="s">
        <v>1731</v>
      </c>
      <c r="L821" t="s">
        <v>1731</v>
      </c>
    </row>
    <row r="822" spans="1:12" x14ac:dyDescent="0.3">
      <c r="A822" t="s">
        <v>709</v>
      </c>
      <c r="B822" t="s">
        <v>710</v>
      </c>
      <c r="C822" t="s">
        <v>711</v>
      </c>
      <c r="D822" t="s">
        <v>320</v>
      </c>
      <c r="E822" t="s">
        <v>568</v>
      </c>
      <c r="F822" t="s">
        <v>172</v>
      </c>
      <c r="G822" t="s">
        <v>111</v>
      </c>
      <c r="H822" t="s">
        <v>160</v>
      </c>
      <c r="I822" t="s">
        <v>112</v>
      </c>
      <c r="J822" t="s">
        <v>114</v>
      </c>
      <c r="K822" t="s">
        <v>1739</v>
      </c>
      <c r="L822" t="s">
        <v>1739</v>
      </c>
    </row>
    <row r="823" spans="1:12" x14ac:dyDescent="0.3">
      <c r="A823" t="s">
        <v>709</v>
      </c>
      <c r="B823" t="s">
        <v>710</v>
      </c>
      <c r="C823" t="s">
        <v>711</v>
      </c>
      <c r="D823" t="s">
        <v>207</v>
      </c>
      <c r="E823" t="s">
        <v>568</v>
      </c>
      <c r="F823" t="s">
        <v>62</v>
      </c>
      <c r="G823" t="s">
        <v>111</v>
      </c>
      <c r="H823" t="s">
        <v>113</v>
      </c>
      <c r="I823" t="s">
        <v>112</v>
      </c>
      <c r="J823" t="s">
        <v>114</v>
      </c>
      <c r="K823" t="s">
        <v>1731</v>
      </c>
      <c r="L823" t="s">
        <v>1731</v>
      </c>
    </row>
    <row r="824" spans="1:12" x14ac:dyDescent="0.3">
      <c r="A824" t="s">
        <v>709</v>
      </c>
      <c r="B824" t="s">
        <v>710</v>
      </c>
      <c r="C824" t="s">
        <v>711</v>
      </c>
      <c r="D824" t="s">
        <v>256</v>
      </c>
      <c r="E824" t="s">
        <v>568</v>
      </c>
      <c r="F824" t="s">
        <v>57</v>
      </c>
      <c r="G824" t="s">
        <v>111</v>
      </c>
      <c r="H824" t="s">
        <v>113</v>
      </c>
      <c r="I824" t="s">
        <v>112</v>
      </c>
      <c r="J824" t="s">
        <v>114</v>
      </c>
      <c r="K824" t="s">
        <v>1737</v>
      </c>
      <c r="L824" t="s">
        <v>1737</v>
      </c>
    </row>
    <row r="825" spans="1:12" x14ac:dyDescent="0.3">
      <c r="A825" t="s">
        <v>709</v>
      </c>
      <c r="B825" t="s">
        <v>710</v>
      </c>
      <c r="C825" t="s">
        <v>711</v>
      </c>
      <c r="D825" t="s">
        <v>322</v>
      </c>
      <c r="E825" t="s">
        <v>568</v>
      </c>
      <c r="F825" t="s">
        <v>173</v>
      </c>
      <c r="G825" t="s">
        <v>111</v>
      </c>
      <c r="H825" t="s">
        <v>118</v>
      </c>
      <c r="I825" t="s">
        <v>112</v>
      </c>
      <c r="J825" t="s">
        <v>119</v>
      </c>
      <c r="K825" t="s">
        <v>1731</v>
      </c>
      <c r="L825" t="s">
        <v>1731</v>
      </c>
    </row>
    <row r="826" spans="1:12" x14ac:dyDescent="0.3">
      <c r="A826" t="s">
        <v>709</v>
      </c>
      <c r="B826" t="s">
        <v>710</v>
      </c>
      <c r="C826" t="s">
        <v>711</v>
      </c>
      <c r="D826" t="s">
        <v>257</v>
      </c>
      <c r="E826" t="s">
        <v>568</v>
      </c>
      <c r="F826" t="s">
        <v>174</v>
      </c>
      <c r="G826" t="s">
        <v>111</v>
      </c>
      <c r="H826" t="s">
        <v>113</v>
      </c>
      <c r="I826" t="s">
        <v>112</v>
      </c>
      <c r="J826" t="s">
        <v>114</v>
      </c>
      <c r="K826" t="s">
        <v>1731</v>
      </c>
      <c r="L826" t="s">
        <v>1731</v>
      </c>
    </row>
    <row r="827" spans="1:12" x14ac:dyDescent="0.3">
      <c r="A827" t="s">
        <v>709</v>
      </c>
      <c r="B827" t="s">
        <v>710</v>
      </c>
      <c r="C827" t="s">
        <v>711</v>
      </c>
      <c r="D827" t="s">
        <v>258</v>
      </c>
      <c r="E827" t="s">
        <v>568</v>
      </c>
      <c r="F827" t="s">
        <v>88</v>
      </c>
      <c r="G827" t="s">
        <v>111</v>
      </c>
      <c r="H827" t="s">
        <v>113</v>
      </c>
      <c r="I827" t="s">
        <v>112</v>
      </c>
      <c r="J827" t="s">
        <v>114</v>
      </c>
      <c r="K827" t="s">
        <v>1737</v>
      </c>
      <c r="L827" t="s">
        <v>1737</v>
      </c>
    </row>
    <row r="828" spans="1:12" x14ac:dyDescent="0.3">
      <c r="A828" t="s">
        <v>709</v>
      </c>
      <c r="B828" t="s">
        <v>710</v>
      </c>
      <c r="C828" t="s">
        <v>711</v>
      </c>
      <c r="D828" t="s">
        <v>259</v>
      </c>
      <c r="E828" t="s">
        <v>568</v>
      </c>
      <c r="F828" t="s">
        <v>77</v>
      </c>
      <c r="G828" t="s">
        <v>111</v>
      </c>
      <c r="H828" t="s">
        <v>113</v>
      </c>
      <c r="I828" t="s">
        <v>112</v>
      </c>
      <c r="J828" t="s">
        <v>114</v>
      </c>
      <c r="K828" t="s">
        <v>1737</v>
      </c>
      <c r="L828" t="s">
        <v>1737</v>
      </c>
    </row>
    <row r="829" spans="1:12" x14ac:dyDescent="0.3">
      <c r="A829" t="s">
        <v>709</v>
      </c>
      <c r="B829" t="s">
        <v>710</v>
      </c>
      <c r="C829" t="s">
        <v>711</v>
      </c>
      <c r="D829" t="s">
        <v>323</v>
      </c>
      <c r="E829" t="s">
        <v>568</v>
      </c>
      <c r="F829" t="s">
        <v>74</v>
      </c>
      <c r="G829" t="s">
        <v>111</v>
      </c>
      <c r="H829" t="s">
        <v>113</v>
      </c>
      <c r="I829" t="s">
        <v>112</v>
      </c>
      <c r="J829" t="s">
        <v>114</v>
      </c>
      <c r="K829" t="s">
        <v>1731</v>
      </c>
      <c r="L829" t="s">
        <v>1731</v>
      </c>
    </row>
    <row r="830" spans="1:12" x14ac:dyDescent="0.3">
      <c r="A830" t="s">
        <v>709</v>
      </c>
      <c r="B830" t="s">
        <v>710</v>
      </c>
      <c r="C830" t="s">
        <v>711</v>
      </c>
      <c r="D830" t="s">
        <v>324</v>
      </c>
      <c r="E830" t="s">
        <v>568</v>
      </c>
      <c r="F830" t="s">
        <v>102</v>
      </c>
      <c r="G830" t="s">
        <v>111</v>
      </c>
      <c r="H830" t="s">
        <v>113</v>
      </c>
      <c r="I830" t="s">
        <v>112</v>
      </c>
      <c r="J830" t="s">
        <v>114</v>
      </c>
      <c r="K830" t="s">
        <v>1737</v>
      </c>
      <c r="L830" t="s">
        <v>1737</v>
      </c>
    </row>
    <row r="831" spans="1:12" x14ac:dyDescent="0.3">
      <c r="A831" t="s">
        <v>709</v>
      </c>
      <c r="B831" t="s">
        <v>710</v>
      </c>
      <c r="C831" t="s">
        <v>711</v>
      </c>
      <c r="D831" t="s">
        <v>260</v>
      </c>
      <c r="E831" t="s">
        <v>568</v>
      </c>
      <c r="F831" t="s">
        <v>140</v>
      </c>
      <c r="G831" t="s">
        <v>111</v>
      </c>
      <c r="H831" t="s">
        <v>113</v>
      </c>
      <c r="I831" t="s">
        <v>112</v>
      </c>
      <c r="J831" t="s">
        <v>114</v>
      </c>
      <c r="K831" t="s">
        <v>1740</v>
      </c>
      <c r="L831" t="s">
        <v>1740</v>
      </c>
    </row>
    <row r="832" spans="1:12" x14ac:dyDescent="0.3">
      <c r="A832" t="s">
        <v>709</v>
      </c>
      <c r="B832" t="s">
        <v>710</v>
      </c>
      <c r="C832" t="s">
        <v>711</v>
      </c>
      <c r="D832" t="s">
        <v>263</v>
      </c>
      <c r="E832" t="s">
        <v>568</v>
      </c>
      <c r="F832" t="s">
        <v>141</v>
      </c>
      <c r="G832" t="s">
        <v>111</v>
      </c>
      <c r="H832" t="s">
        <v>118</v>
      </c>
      <c r="I832" t="s">
        <v>112</v>
      </c>
      <c r="J832" t="s">
        <v>119</v>
      </c>
      <c r="K832" t="s">
        <v>1734</v>
      </c>
      <c r="L832" t="s">
        <v>1734</v>
      </c>
    </row>
    <row r="833" spans="1:12" x14ac:dyDescent="0.3">
      <c r="A833" t="s">
        <v>709</v>
      </c>
      <c r="B833" t="s">
        <v>710</v>
      </c>
      <c r="C833" t="s">
        <v>711</v>
      </c>
      <c r="D833" t="s">
        <v>264</v>
      </c>
      <c r="E833" t="s">
        <v>568</v>
      </c>
      <c r="F833" t="s">
        <v>64</v>
      </c>
      <c r="G833" t="s">
        <v>111</v>
      </c>
      <c r="H833" t="s">
        <v>113</v>
      </c>
      <c r="I833" t="s">
        <v>112</v>
      </c>
      <c r="J833" t="s">
        <v>114</v>
      </c>
      <c r="K833" t="s">
        <v>1731</v>
      </c>
      <c r="L833" t="s">
        <v>1731</v>
      </c>
    </row>
    <row r="834" spans="1:12" x14ac:dyDescent="0.3">
      <c r="A834" t="s">
        <v>709</v>
      </c>
      <c r="B834" t="s">
        <v>710</v>
      </c>
      <c r="C834" t="s">
        <v>711</v>
      </c>
      <c r="D834" t="s">
        <v>265</v>
      </c>
      <c r="E834" t="s">
        <v>568</v>
      </c>
      <c r="F834" t="s">
        <v>142</v>
      </c>
      <c r="G834" t="s">
        <v>111</v>
      </c>
      <c r="H834" t="s">
        <v>113</v>
      </c>
      <c r="I834" t="s">
        <v>112</v>
      </c>
      <c r="J834" t="s">
        <v>114</v>
      </c>
      <c r="K834" t="s">
        <v>1731</v>
      </c>
      <c r="L834" t="s">
        <v>1731</v>
      </c>
    </row>
    <row r="835" spans="1:12" x14ac:dyDescent="0.3">
      <c r="A835" t="s">
        <v>709</v>
      </c>
      <c r="B835" t="s">
        <v>710</v>
      </c>
      <c r="C835" t="s">
        <v>711</v>
      </c>
      <c r="D835" t="s">
        <v>326</v>
      </c>
      <c r="E835" t="s">
        <v>568</v>
      </c>
      <c r="F835" t="s">
        <v>144</v>
      </c>
      <c r="G835" t="s">
        <v>111</v>
      </c>
      <c r="H835" t="s">
        <v>118</v>
      </c>
      <c r="I835" t="s">
        <v>112</v>
      </c>
      <c r="J835" t="s">
        <v>119</v>
      </c>
      <c r="K835" t="s">
        <v>1741</v>
      </c>
      <c r="L835" t="s">
        <v>1741</v>
      </c>
    </row>
    <row r="836" spans="1:12" x14ac:dyDescent="0.3">
      <c r="A836" t="s">
        <v>709</v>
      </c>
      <c r="B836" t="s">
        <v>710</v>
      </c>
      <c r="C836" t="s">
        <v>711</v>
      </c>
      <c r="D836" t="s">
        <v>268</v>
      </c>
      <c r="E836" t="s">
        <v>568</v>
      </c>
      <c r="F836" t="s">
        <v>194</v>
      </c>
      <c r="G836" t="s">
        <v>111</v>
      </c>
      <c r="H836" t="s">
        <v>118</v>
      </c>
      <c r="I836" t="s">
        <v>112</v>
      </c>
      <c r="J836" t="s">
        <v>119</v>
      </c>
      <c r="K836" t="s">
        <v>1731</v>
      </c>
      <c r="L836" t="s">
        <v>1731</v>
      </c>
    </row>
    <row r="837" spans="1:12" x14ac:dyDescent="0.3">
      <c r="A837" t="s">
        <v>709</v>
      </c>
      <c r="B837" t="s">
        <v>710</v>
      </c>
      <c r="C837" t="s">
        <v>711</v>
      </c>
      <c r="D837" t="s">
        <v>269</v>
      </c>
      <c r="E837" t="s">
        <v>568</v>
      </c>
      <c r="F837" t="s">
        <v>145</v>
      </c>
      <c r="G837" t="s">
        <v>111</v>
      </c>
      <c r="H837" t="s">
        <v>113</v>
      </c>
      <c r="I837" t="s">
        <v>112</v>
      </c>
      <c r="J837" t="s">
        <v>114</v>
      </c>
      <c r="K837" t="s">
        <v>1731</v>
      </c>
      <c r="L837" t="s">
        <v>1731</v>
      </c>
    </row>
    <row r="838" spans="1:12" x14ac:dyDescent="0.3">
      <c r="A838" t="s">
        <v>709</v>
      </c>
      <c r="B838" t="s">
        <v>710</v>
      </c>
      <c r="C838" t="s">
        <v>711</v>
      </c>
      <c r="D838" t="s">
        <v>270</v>
      </c>
      <c r="E838" t="s">
        <v>568</v>
      </c>
      <c r="F838" t="s">
        <v>81</v>
      </c>
      <c r="G838" t="s">
        <v>111</v>
      </c>
      <c r="H838" t="s">
        <v>113</v>
      </c>
      <c r="I838" t="s">
        <v>112</v>
      </c>
      <c r="J838" t="s">
        <v>114</v>
      </c>
      <c r="K838" t="s">
        <v>1737</v>
      </c>
      <c r="L838" t="s">
        <v>1737</v>
      </c>
    </row>
    <row r="839" spans="1:12" x14ac:dyDescent="0.3">
      <c r="A839" t="s">
        <v>709</v>
      </c>
      <c r="B839" t="s">
        <v>710</v>
      </c>
      <c r="C839" t="s">
        <v>711</v>
      </c>
      <c r="D839" t="s">
        <v>271</v>
      </c>
      <c r="E839" t="s">
        <v>567</v>
      </c>
      <c r="F839" t="s">
        <v>76</v>
      </c>
      <c r="G839" t="s">
        <v>111</v>
      </c>
      <c r="H839" t="s">
        <v>113</v>
      </c>
      <c r="I839" t="s">
        <v>112</v>
      </c>
      <c r="J839" t="s">
        <v>114</v>
      </c>
      <c r="K839" t="s">
        <v>1731</v>
      </c>
      <c r="L839" t="s">
        <v>1731</v>
      </c>
    </row>
    <row r="840" spans="1:12" x14ac:dyDescent="0.3">
      <c r="A840" t="s">
        <v>709</v>
      </c>
      <c r="B840" t="s">
        <v>710</v>
      </c>
      <c r="C840" t="s">
        <v>711</v>
      </c>
      <c r="D840" t="s">
        <v>272</v>
      </c>
      <c r="E840" t="s">
        <v>567</v>
      </c>
      <c r="F840" t="s">
        <v>52</v>
      </c>
      <c r="G840" t="s">
        <v>111</v>
      </c>
      <c r="H840" t="s">
        <v>160</v>
      </c>
      <c r="I840" t="s">
        <v>112</v>
      </c>
      <c r="J840" t="s">
        <v>114</v>
      </c>
      <c r="K840" t="s">
        <v>1733</v>
      </c>
      <c r="L840" t="s">
        <v>1733</v>
      </c>
    </row>
    <row r="841" spans="1:12" x14ac:dyDescent="0.3">
      <c r="A841" t="s">
        <v>709</v>
      </c>
      <c r="B841" t="s">
        <v>710</v>
      </c>
      <c r="C841" t="s">
        <v>711</v>
      </c>
      <c r="D841" t="s">
        <v>327</v>
      </c>
      <c r="E841" t="s">
        <v>567</v>
      </c>
      <c r="F841" t="s">
        <v>104</v>
      </c>
      <c r="G841" t="s">
        <v>111</v>
      </c>
      <c r="H841" t="s">
        <v>113</v>
      </c>
      <c r="I841" t="s">
        <v>112</v>
      </c>
      <c r="J841" t="s">
        <v>114</v>
      </c>
      <c r="K841" t="s">
        <v>1734</v>
      </c>
      <c r="L841" t="s">
        <v>1734</v>
      </c>
    </row>
    <row r="842" spans="1:12" x14ac:dyDescent="0.3">
      <c r="A842" t="s">
        <v>709</v>
      </c>
      <c r="B842" t="s">
        <v>710</v>
      </c>
      <c r="C842" t="s">
        <v>711</v>
      </c>
      <c r="D842" t="s">
        <v>273</v>
      </c>
      <c r="E842" t="s">
        <v>567</v>
      </c>
      <c r="F842" t="s">
        <v>176</v>
      </c>
      <c r="G842" t="s">
        <v>111</v>
      </c>
      <c r="H842" t="s">
        <v>160</v>
      </c>
      <c r="I842" t="s">
        <v>112</v>
      </c>
      <c r="J842" t="s">
        <v>114</v>
      </c>
      <c r="K842" t="s">
        <v>1742</v>
      </c>
      <c r="L842" t="s">
        <v>1742</v>
      </c>
    </row>
    <row r="843" spans="1:12" x14ac:dyDescent="0.3">
      <c r="A843" t="s">
        <v>709</v>
      </c>
      <c r="B843" t="s">
        <v>710</v>
      </c>
      <c r="C843" t="s">
        <v>711</v>
      </c>
      <c r="D843" t="s">
        <v>274</v>
      </c>
      <c r="E843" t="s">
        <v>567</v>
      </c>
      <c r="F843" t="s">
        <v>146</v>
      </c>
      <c r="G843" t="s">
        <v>111</v>
      </c>
      <c r="H843" t="s">
        <v>160</v>
      </c>
      <c r="I843" t="s">
        <v>112</v>
      </c>
      <c r="J843" t="s">
        <v>114</v>
      </c>
      <c r="K843" t="s">
        <v>1731</v>
      </c>
      <c r="L843" t="s">
        <v>1731</v>
      </c>
    </row>
    <row r="844" spans="1:12" x14ac:dyDescent="0.3">
      <c r="A844" t="s">
        <v>709</v>
      </c>
      <c r="B844" t="s">
        <v>710</v>
      </c>
      <c r="C844" t="s">
        <v>711</v>
      </c>
      <c r="D844" t="s">
        <v>275</v>
      </c>
      <c r="E844" t="s">
        <v>567</v>
      </c>
      <c r="F844" t="s">
        <v>148</v>
      </c>
      <c r="G844" t="s">
        <v>111</v>
      </c>
      <c r="H844" t="s">
        <v>147</v>
      </c>
      <c r="I844" t="s">
        <v>112</v>
      </c>
      <c r="J844" t="s">
        <v>119</v>
      </c>
      <c r="K844" t="s">
        <v>1731</v>
      </c>
      <c r="L844" t="s">
        <v>1731</v>
      </c>
    </row>
    <row r="845" spans="1:12" x14ac:dyDescent="0.3">
      <c r="A845" t="s">
        <v>709</v>
      </c>
      <c r="B845" t="s">
        <v>710</v>
      </c>
      <c r="C845" t="s">
        <v>711</v>
      </c>
      <c r="D845" t="s">
        <v>276</v>
      </c>
      <c r="E845" t="s">
        <v>567</v>
      </c>
      <c r="F845" t="s">
        <v>149</v>
      </c>
      <c r="G845" t="s">
        <v>111</v>
      </c>
      <c r="H845" t="s">
        <v>113</v>
      </c>
      <c r="I845" t="s">
        <v>112</v>
      </c>
      <c r="J845" t="s">
        <v>114</v>
      </c>
      <c r="K845" t="s">
        <v>1731</v>
      </c>
      <c r="L845" t="s">
        <v>1731</v>
      </c>
    </row>
    <row r="846" spans="1:12" x14ac:dyDescent="0.3">
      <c r="A846" t="s">
        <v>709</v>
      </c>
      <c r="B846" t="s">
        <v>710</v>
      </c>
      <c r="C846" t="s">
        <v>711</v>
      </c>
      <c r="D846" t="s">
        <v>277</v>
      </c>
      <c r="E846" t="s">
        <v>567</v>
      </c>
      <c r="F846" t="s">
        <v>83</v>
      </c>
      <c r="G846" t="s">
        <v>111</v>
      </c>
      <c r="H846" t="s">
        <v>160</v>
      </c>
      <c r="I846" t="s">
        <v>112</v>
      </c>
      <c r="J846" t="s">
        <v>114</v>
      </c>
      <c r="K846" t="s">
        <v>1731</v>
      </c>
      <c r="L846" t="s">
        <v>1731</v>
      </c>
    </row>
    <row r="847" spans="1:12" x14ac:dyDescent="0.3">
      <c r="A847" t="s">
        <v>709</v>
      </c>
      <c r="B847" t="s">
        <v>710</v>
      </c>
      <c r="C847" t="s">
        <v>711</v>
      </c>
      <c r="D847" t="s">
        <v>278</v>
      </c>
      <c r="E847" t="s">
        <v>567</v>
      </c>
      <c r="F847" t="s">
        <v>203</v>
      </c>
      <c r="G847" t="s">
        <v>111</v>
      </c>
      <c r="H847" t="s">
        <v>113</v>
      </c>
      <c r="I847" t="s">
        <v>112</v>
      </c>
      <c r="J847" t="s">
        <v>114</v>
      </c>
      <c r="K847" t="s">
        <v>1733</v>
      </c>
      <c r="L847" t="s">
        <v>1733</v>
      </c>
    </row>
    <row r="848" spans="1:12" x14ac:dyDescent="0.3">
      <c r="A848" t="s">
        <v>709</v>
      </c>
      <c r="B848" t="s">
        <v>710</v>
      </c>
      <c r="C848" t="s">
        <v>711</v>
      </c>
      <c r="D848" t="s">
        <v>279</v>
      </c>
      <c r="E848" t="s">
        <v>567</v>
      </c>
      <c r="F848" t="s">
        <v>150</v>
      </c>
      <c r="G848" t="s">
        <v>111</v>
      </c>
      <c r="H848" t="s">
        <v>160</v>
      </c>
      <c r="I848" t="s">
        <v>112</v>
      </c>
      <c r="J848" t="s">
        <v>114</v>
      </c>
      <c r="K848" t="s">
        <v>1732</v>
      </c>
      <c r="L848" t="s">
        <v>1732</v>
      </c>
    </row>
    <row r="849" spans="1:12" x14ac:dyDescent="0.3">
      <c r="A849" t="s">
        <v>709</v>
      </c>
      <c r="B849" t="s">
        <v>710</v>
      </c>
      <c r="C849" t="s">
        <v>711</v>
      </c>
      <c r="D849" t="s">
        <v>280</v>
      </c>
      <c r="E849" t="s">
        <v>567</v>
      </c>
      <c r="F849" t="s">
        <v>71</v>
      </c>
      <c r="G849" t="s">
        <v>111</v>
      </c>
      <c r="H849" t="s">
        <v>113</v>
      </c>
      <c r="I849" t="s">
        <v>112</v>
      </c>
      <c r="J849" t="s">
        <v>114</v>
      </c>
      <c r="K849" t="s">
        <v>1737</v>
      </c>
      <c r="L849" t="s">
        <v>1737</v>
      </c>
    </row>
    <row r="850" spans="1:12" x14ac:dyDescent="0.3">
      <c r="A850" t="s">
        <v>709</v>
      </c>
      <c r="B850" t="s">
        <v>710</v>
      </c>
      <c r="C850" t="s">
        <v>711</v>
      </c>
      <c r="D850" t="s">
        <v>282</v>
      </c>
      <c r="E850" t="s">
        <v>567</v>
      </c>
      <c r="F850" t="s">
        <v>90</v>
      </c>
      <c r="G850" t="s">
        <v>111</v>
      </c>
      <c r="H850" t="s">
        <v>113</v>
      </c>
      <c r="I850" t="s">
        <v>112</v>
      </c>
      <c r="J850" t="s">
        <v>114</v>
      </c>
      <c r="K850" t="s">
        <v>1731</v>
      </c>
      <c r="L850" t="s">
        <v>1731</v>
      </c>
    </row>
    <row r="851" spans="1:12" x14ac:dyDescent="0.3">
      <c r="A851" t="s">
        <v>709</v>
      </c>
      <c r="B851" t="s">
        <v>710</v>
      </c>
      <c r="C851" t="s">
        <v>711</v>
      </c>
      <c r="D851" t="s">
        <v>329</v>
      </c>
      <c r="E851" t="s">
        <v>567</v>
      </c>
      <c r="F851" t="s">
        <v>92</v>
      </c>
      <c r="G851" t="s">
        <v>111</v>
      </c>
      <c r="H851" t="s">
        <v>113</v>
      </c>
      <c r="I851" t="s">
        <v>112</v>
      </c>
      <c r="J851" t="s">
        <v>114</v>
      </c>
      <c r="K851" t="s">
        <v>1732</v>
      </c>
      <c r="L851" t="s">
        <v>1732</v>
      </c>
    </row>
    <row r="852" spans="1:12" x14ac:dyDescent="0.3">
      <c r="A852" t="s">
        <v>709</v>
      </c>
      <c r="B852" t="s">
        <v>710</v>
      </c>
      <c r="C852" t="s">
        <v>711</v>
      </c>
      <c r="D852" t="s">
        <v>283</v>
      </c>
      <c r="E852" t="s">
        <v>567</v>
      </c>
      <c r="F852" t="s">
        <v>63</v>
      </c>
      <c r="G852" t="s">
        <v>111</v>
      </c>
      <c r="H852" t="s">
        <v>113</v>
      </c>
      <c r="I852" t="s">
        <v>112</v>
      </c>
      <c r="J852" t="s">
        <v>114</v>
      </c>
      <c r="K852" t="s">
        <v>1731</v>
      </c>
      <c r="L852" t="s">
        <v>1731</v>
      </c>
    </row>
    <row r="853" spans="1:12" x14ac:dyDescent="0.3">
      <c r="A853" t="s">
        <v>709</v>
      </c>
      <c r="B853" t="s">
        <v>710</v>
      </c>
      <c r="C853" t="s">
        <v>711</v>
      </c>
      <c r="D853" t="s">
        <v>284</v>
      </c>
      <c r="E853" t="s">
        <v>567</v>
      </c>
      <c r="F853" t="s">
        <v>151</v>
      </c>
      <c r="G853" t="s">
        <v>111</v>
      </c>
      <c r="H853" t="s">
        <v>113</v>
      </c>
      <c r="I853" t="s">
        <v>112</v>
      </c>
      <c r="J853" t="s">
        <v>114</v>
      </c>
      <c r="K853" t="s">
        <v>1732</v>
      </c>
      <c r="L853" t="s">
        <v>1732</v>
      </c>
    </row>
    <row r="854" spans="1:12" x14ac:dyDescent="0.3">
      <c r="A854" t="s">
        <v>709</v>
      </c>
      <c r="B854" t="s">
        <v>710</v>
      </c>
      <c r="C854" t="s">
        <v>711</v>
      </c>
      <c r="D854" t="s">
        <v>285</v>
      </c>
      <c r="E854" t="s">
        <v>567</v>
      </c>
      <c r="F854" t="s">
        <v>195</v>
      </c>
      <c r="G854" t="s">
        <v>111</v>
      </c>
      <c r="H854" t="s">
        <v>113</v>
      </c>
      <c r="I854" t="s">
        <v>112</v>
      </c>
      <c r="J854" t="s">
        <v>114</v>
      </c>
      <c r="K854" t="s">
        <v>1738</v>
      </c>
      <c r="L854" t="s">
        <v>1738</v>
      </c>
    </row>
    <row r="855" spans="1:12" x14ac:dyDescent="0.3">
      <c r="A855" t="s">
        <v>709</v>
      </c>
      <c r="B855" t="s">
        <v>710</v>
      </c>
      <c r="C855" t="s">
        <v>711</v>
      </c>
      <c r="D855" t="s">
        <v>330</v>
      </c>
      <c r="E855" t="s">
        <v>567</v>
      </c>
      <c r="F855" t="s">
        <v>177</v>
      </c>
      <c r="G855" t="s">
        <v>111</v>
      </c>
      <c r="H855" t="s">
        <v>147</v>
      </c>
      <c r="I855" t="s">
        <v>112</v>
      </c>
      <c r="J855" t="s">
        <v>119</v>
      </c>
      <c r="K855" t="s">
        <v>1743</v>
      </c>
      <c r="L855" t="s">
        <v>1743</v>
      </c>
    </row>
    <row r="856" spans="1:12" x14ac:dyDescent="0.3">
      <c r="A856" t="s">
        <v>709</v>
      </c>
      <c r="B856" t="s">
        <v>710</v>
      </c>
      <c r="C856" t="s">
        <v>711</v>
      </c>
      <c r="D856" t="s">
        <v>288</v>
      </c>
      <c r="E856" t="s">
        <v>567</v>
      </c>
      <c r="F856" t="s">
        <v>178</v>
      </c>
      <c r="G856" t="s">
        <v>111</v>
      </c>
      <c r="H856" t="s">
        <v>113</v>
      </c>
      <c r="I856" t="s">
        <v>112</v>
      </c>
      <c r="J856" t="s">
        <v>114</v>
      </c>
      <c r="K856" t="s">
        <v>1731</v>
      </c>
      <c r="L856" t="s">
        <v>1731</v>
      </c>
    </row>
    <row r="857" spans="1:12" x14ac:dyDescent="0.3">
      <c r="A857" t="s">
        <v>709</v>
      </c>
      <c r="B857" t="s">
        <v>710</v>
      </c>
      <c r="C857" t="s">
        <v>711</v>
      </c>
      <c r="D857" t="s">
        <v>289</v>
      </c>
      <c r="E857" t="s">
        <v>567</v>
      </c>
      <c r="F857" t="s">
        <v>179</v>
      </c>
      <c r="G857" t="s">
        <v>111</v>
      </c>
      <c r="H857" t="s">
        <v>118</v>
      </c>
      <c r="I857" t="s">
        <v>112</v>
      </c>
      <c r="J857" t="s">
        <v>119</v>
      </c>
      <c r="K857" t="s">
        <v>1731</v>
      </c>
      <c r="L857" t="s">
        <v>1731</v>
      </c>
    </row>
    <row r="858" spans="1:12" x14ac:dyDescent="0.3">
      <c r="A858" t="s">
        <v>709</v>
      </c>
      <c r="B858" t="s">
        <v>710</v>
      </c>
      <c r="C858" t="s">
        <v>711</v>
      </c>
      <c r="D858" t="s">
        <v>290</v>
      </c>
      <c r="E858" t="s">
        <v>567</v>
      </c>
      <c r="F858" t="s">
        <v>153</v>
      </c>
      <c r="G858" t="s">
        <v>111</v>
      </c>
      <c r="H858" t="s">
        <v>113</v>
      </c>
      <c r="I858" t="s">
        <v>112</v>
      </c>
      <c r="J858" t="s">
        <v>114</v>
      </c>
      <c r="K858" t="s">
        <v>1734</v>
      </c>
      <c r="L858" t="s">
        <v>1734</v>
      </c>
    </row>
    <row r="859" spans="1:12" x14ac:dyDescent="0.3">
      <c r="A859" t="s">
        <v>709</v>
      </c>
      <c r="B859" t="s">
        <v>710</v>
      </c>
      <c r="C859" t="s">
        <v>711</v>
      </c>
      <c r="D859" t="s">
        <v>291</v>
      </c>
      <c r="E859" t="s">
        <v>567</v>
      </c>
      <c r="F859" t="s">
        <v>154</v>
      </c>
      <c r="G859" t="s">
        <v>111</v>
      </c>
      <c r="H859" t="s">
        <v>113</v>
      </c>
      <c r="I859" t="s">
        <v>112</v>
      </c>
      <c r="J859" t="s">
        <v>114</v>
      </c>
      <c r="K859" t="s">
        <v>1734</v>
      </c>
      <c r="L859" t="s">
        <v>1734</v>
      </c>
    </row>
    <row r="860" spans="1:12" x14ac:dyDescent="0.3">
      <c r="A860" t="s">
        <v>709</v>
      </c>
      <c r="B860" t="s">
        <v>710</v>
      </c>
      <c r="C860" t="s">
        <v>711</v>
      </c>
      <c r="D860" t="s">
        <v>292</v>
      </c>
      <c r="E860" t="s">
        <v>567</v>
      </c>
      <c r="F860" t="s">
        <v>55</v>
      </c>
      <c r="G860" t="s">
        <v>111</v>
      </c>
      <c r="H860" t="s">
        <v>113</v>
      </c>
      <c r="I860" t="s">
        <v>112</v>
      </c>
      <c r="J860" t="s">
        <v>114</v>
      </c>
      <c r="K860" t="s">
        <v>1734</v>
      </c>
      <c r="L860" t="s">
        <v>1734</v>
      </c>
    </row>
    <row r="861" spans="1:12" x14ac:dyDescent="0.3">
      <c r="A861" t="s">
        <v>709</v>
      </c>
      <c r="B861" t="s">
        <v>710</v>
      </c>
      <c r="C861" t="s">
        <v>711</v>
      </c>
      <c r="D861" t="s">
        <v>334</v>
      </c>
      <c r="E861" t="s">
        <v>567</v>
      </c>
      <c r="F861" t="s">
        <v>155</v>
      </c>
      <c r="G861" t="s">
        <v>111</v>
      </c>
      <c r="H861" t="s">
        <v>113</v>
      </c>
      <c r="I861" t="s">
        <v>112</v>
      </c>
      <c r="J861" t="s">
        <v>114</v>
      </c>
      <c r="K861" t="s">
        <v>1734</v>
      </c>
      <c r="L861" t="s">
        <v>1734</v>
      </c>
    </row>
    <row r="862" spans="1:12" x14ac:dyDescent="0.3">
      <c r="A862" t="s">
        <v>709</v>
      </c>
      <c r="B862" t="s">
        <v>710</v>
      </c>
      <c r="C862" t="s">
        <v>711</v>
      </c>
      <c r="D862" t="s">
        <v>295</v>
      </c>
      <c r="E862" t="s">
        <v>567</v>
      </c>
      <c r="F862" t="s">
        <v>103</v>
      </c>
      <c r="G862" t="s">
        <v>111</v>
      </c>
      <c r="H862" t="s">
        <v>113</v>
      </c>
      <c r="I862" t="s">
        <v>112</v>
      </c>
      <c r="J862" t="s">
        <v>114</v>
      </c>
      <c r="K862" t="s">
        <v>1731</v>
      </c>
      <c r="L862" t="s">
        <v>1731</v>
      </c>
    </row>
    <row r="863" spans="1:12" x14ac:dyDescent="0.3">
      <c r="A863" t="s">
        <v>709</v>
      </c>
      <c r="B863" t="s">
        <v>710</v>
      </c>
      <c r="C863" t="s">
        <v>711</v>
      </c>
      <c r="D863" t="s">
        <v>337</v>
      </c>
      <c r="E863" t="s">
        <v>567</v>
      </c>
      <c r="F863" t="s">
        <v>157</v>
      </c>
      <c r="G863" t="s">
        <v>111</v>
      </c>
      <c r="H863" t="s">
        <v>118</v>
      </c>
      <c r="I863" t="s">
        <v>112</v>
      </c>
      <c r="J863" t="s">
        <v>119</v>
      </c>
      <c r="K863" t="s">
        <v>1731</v>
      </c>
      <c r="L863" t="s">
        <v>1731</v>
      </c>
    </row>
    <row r="864" spans="1:12" x14ac:dyDescent="0.3">
      <c r="A864" t="s">
        <v>709</v>
      </c>
      <c r="B864" t="s">
        <v>710</v>
      </c>
      <c r="C864" t="s">
        <v>711</v>
      </c>
      <c r="D864" t="s">
        <v>296</v>
      </c>
      <c r="E864" t="s">
        <v>567</v>
      </c>
      <c r="F864" t="s">
        <v>198</v>
      </c>
      <c r="G864" t="s">
        <v>111</v>
      </c>
      <c r="H864" t="s">
        <v>160</v>
      </c>
      <c r="I864" t="s">
        <v>112</v>
      </c>
      <c r="J864" t="s">
        <v>114</v>
      </c>
      <c r="K864" t="s">
        <v>1734</v>
      </c>
      <c r="L864" t="s">
        <v>1734</v>
      </c>
    </row>
    <row r="865" spans="1:12" x14ac:dyDescent="0.3">
      <c r="A865" t="s">
        <v>709</v>
      </c>
      <c r="B865" t="s">
        <v>710</v>
      </c>
      <c r="C865" t="s">
        <v>711</v>
      </c>
      <c r="D865" t="s">
        <v>297</v>
      </c>
      <c r="E865" t="s">
        <v>567</v>
      </c>
      <c r="F865" t="s">
        <v>180</v>
      </c>
      <c r="G865" t="s">
        <v>111</v>
      </c>
      <c r="H865" t="s">
        <v>160</v>
      </c>
      <c r="I865" t="s">
        <v>112</v>
      </c>
      <c r="J865" t="s">
        <v>114</v>
      </c>
      <c r="K865" t="s">
        <v>1731</v>
      </c>
      <c r="L865" t="s">
        <v>1731</v>
      </c>
    </row>
    <row r="866" spans="1:12" x14ac:dyDescent="0.3">
      <c r="A866" t="s">
        <v>709</v>
      </c>
      <c r="B866" t="s">
        <v>710</v>
      </c>
      <c r="C866" t="s">
        <v>711</v>
      </c>
      <c r="D866" t="s">
        <v>298</v>
      </c>
      <c r="E866" t="s">
        <v>567</v>
      </c>
      <c r="F866" t="s">
        <v>158</v>
      </c>
      <c r="G866" t="s">
        <v>111</v>
      </c>
      <c r="H866" t="s">
        <v>118</v>
      </c>
      <c r="I866" t="s">
        <v>112</v>
      </c>
      <c r="J866" t="s">
        <v>119</v>
      </c>
      <c r="K866" t="s">
        <v>1734</v>
      </c>
      <c r="L866" t="s">
        <v>1734</v>
      </c>
    </row>
    <row r="867" spans="1:12" x14ac:dyDescent="0.3">
      <c r="A867" t="s">
        <v>709</v>
      </c>
      <c r="B867" t="s">
        <v>710</v>
      </c>
      <c r="C867" t="s">
        <v>711</v>
      </c>
      <c r="D867" t="s">
        <v>336</v>
      </c>
      <c r="E867" t="s">
        <v>567</v>
      </c>
      <c r="F867" t="s">
        <v>159</v>
      </c>
      <c r="G867" t="s">
        <v>111</v>
      </c>
      <c r="H867" t="s">
        <v>113</v>
      </c>
      <c r="I867" t="s">
        <v>112</v>
      </c>
      <c r="J867" t="s">
        <v>114</v>
      </c>
      <c r="K867" t="s">
        <v>1734</v>
      </c>
      <c r="L867" t="s">
        <v>1734</v>
      </c>
    </row>
    <row r="868" spans="1:12" x14ac:dyDescent="0.3">
      <c r="A868" t="s">
        <v>709</v>
      </c>
      <c r="B868" t="s">
        <v>710</v>
      </c>
      <c r="C868" t="s">
        <v>711</v>
      </c>
      <c r="D868" t="s">
        <v>299</v>
      </c>
      <c r="E868" t="s">
        <v>567</v>
      </c>
      <c r="F868" t="s">
        <v>47</v>
      </c>
      <c r="G868" t="s">
        <v>111</v>
      </c>
      <c r="H868" t="s">
        <v>113</v>
      </c>
      <c r="I868" t="s">
        <v>112</v>
      </c>
      <c r="J868" t="s">
        <v>114</v>
      </c>
      <c r="K868" t="s">
        <v>1734</v>
      </c>
      <c r="L868" t="s">
        <v>1734</v>
      </c>
    </row>
    <row r="869" spans="1:12" x14ac:dyDescent="0.3">
      <c r="A869" t="s">
        <v>709</v>
      </c>
      <c r="B869" t="s">
        <v>710</v>
      </c>
      <c r="C869" t="s">
        <v>711</v>
      </c>
      <c r="D869" t="s">
        <v>300</v>
      </c>
      <c r="E869" t="s">
        <v>567</v>
      </c>
      <c r="F869" t="s">
        <v>181</v>
      </c>
      <c r="G869" t="s">
        <v>111</v>
      </c>
      <c r="H869" t="s">
        <v>113</v>
      </c>
      <c r="I869" t="s">
        <v>112</v>
      </c>
      <c r="J869" t="s">
        <v>114</v>
      </c>
      <c r="K869" t="s">
        <v>1731</v>
      </c>
      <c r="L869" t="s">
        <v>1731</v>
      </c>
    </row>
    <row r="870" spans="1:12" x14ac:dyDescent="0.3">
      <c r="A870" t="s">
        <v>709</v>
      </c>
      <c r="B870" t="s">
        <v>710</v>
      </c>
      <c r="C870" t="s">
        <v>711</v>
      </c>
      <c r="D870" t="s">
        <v>208</v>
      </c>
      <c r="E870" t="s">
        <v>567</v>
      </c>
      <c r="F870" t="s">
        <v>161</v>
      </c>
      <c r="G870" t="s">
        <v>111</v>
      </c>
      <c r="H870" t="s">
        <v>118</v>
      </c>
      <c r="I870" t="s">
        <v>112</v>
      </c>
      <c r="J870" t="s">
        <v>119</v>
      </c>
      <c r="K870" t="s">
        <v>1731</v>
      </c>
      <c r="L870" t="s">
        <v>1731</v>
      </c>
    </row>
    <row r="871" spans="1:12" x14ac:dyDescent="0.3">
      <c r="A871" t="s">
        <v>709</v>
      </c>
      <c r="B871" t="s">
        <v>710</v>
      </c>
      <c r="C871" t="s">
        <v>711</v>
      </c>
      <c r="D871" t="s">
        <v>1581</v>
      </c>
      <c r="E871" t="s">
        <v>569</v>
      </c>
      <c r="F871" t="s">
        <v>115</v>
      </c>
      <c r="G871" t="s">
        <v>111</v>
      </c>
      <c r="H871" t="s">
        <v>160</v>
      </c>
      <c r="I871" t="s">
        <v>112</v>
      </c>
      <c r="J871" t="s">
        <v>114</v>
      </c>
      <c r="K871" t="s">
        <v>1731</v>
      </c>
      <c r="L871" t="s">
        <v>1731</v>
      </c>
    </row>
    <row r="872" spans="1:12" x14ac:dyDescent="0.3">
      <c r="A872" t="s">
        <v>709</v>
      </c>
      <c r="B872" t="s">
        <v>710</v>
      </c>
      <c r="C872" t="s">
        <v>711</v>
      </c>
      <c r="D872" t="s">
        <v>1583</v>
      </c>
      <c r="E872" t="s">
        <v>569</v>
      </c>
      <c r="F872" t="s">
        <v>59</v>
      </c>
      <c r="G872" t="s">
        <v>111</v>
      </c>
      <c r="H872" t="s">
        <v>113</v>
      </c>
      <c r="I872" t="s">
        <v>112</v>
      </c>
      <c r="J872" t="s">
        <v>114</v>
      </c>
      <c r="K872" t="s">
        <v>1744</v>
      </c>
      <c r="L872" t="s">
        <v>1744</v>
      </c>
    </row>
    <row r="873" spans="1:12" x14ac:dyDescent="0.3">
      <c r="A873" t="s">
        <v>709</v>
      </c>
      <c r="B873" t="s">
        <v>710</v>
      </c>
      <c r="C873" t="s">
        <v>711</v>
      </c>
      <c r="D873" t="s">
        <v>1584</v>
      </c>
      <c r="E873" t="s">
        <v>569</v>
      </c>
      <c r="F873" t="s">
        <v>117</v>
      </c>
      <c r="G873" t="s">
        <v>111</v>
      </c>
      <c r="H873" t="s">
        <v>113</v>
      </c>
      <c r="I873" t="s">
        <v>112</v>
      </c>
      <c r="J873" t="s">
        <v>114</v>
      </c>
      <c r="K873" t="s">
        <v>1732</v>
      </c>
      <c r="L873" t="s">
        <v>1732</v>
      </c>
    </row>
    <row r="874" spans="1:12" x14ac:dyDescent="0.3">
      <c r="A874" t="s">
        <v>709</v>
      </c>
      <c r="B874" t="s">
        <v>710</v>
      </c>
      <c r="C874" t="s">
        <v>711</v>
      </c>
      <c r="D874" t="s">
        <v>1585</v>
      </c>
      <c r="E874" t="s">
        <v>569</v>
      </c>
      <c r="F874" t="s">
        <v>188</v>
      </c>
      <c r="G874" t="s">
        <v>111</v>
      </c>
      <c r="H874" t="s">
        <v>113</v>
      </c>
      <c r="I874" t="s">
        <v>112</v>
      </c>
      <c r="J874" t="s">
        <v>114</v>
      </c>
      <c r="K874" t="s">
        <v>1731</v>
      </c>
      <c r="L874" t="s">
        <v>1731</v>
      </c>
    </row>
    <row r="875" spans="1:12" x14ac:dyDescent="0.3">
      <c r="A875" t="s">
        <v>709</v>
      </c>
      <c r="B875" t="s">
        <v>710</v>
      </c>
      <c r="C875" t="s">
        <v>711</v>
      </c>
      <c r="D875" t="s">
        <v>1587</v>
      </c>
      <c r="E875" t="s">
        <v>569</v>
      </c>
      <c r="F875" t="s">
        <v>164</v>
      </c>
      <c r="G875" t="s">
        <v>111</v>
      </c>
      <c r="H875" t="s">
        <v>160</v>
      </c>
      <c r="I875" t="s">
        <v>112</v>
      </c>
      <c r="J875" t="s">
        <v>114</v>
      </c>
      <c r="K875" t="s">
        <v>1744</v>
      </c>
      <c r="L875" t="s">
        <v>1744</v>
      </c>
    </row>
    <row r="876" spans="1:12" x14ac:dyDescent="0.3">
      <c r="A876" t="s">
        <v>709</v>
      </c>
      <c r="B876" t="s">
        <v>710</v>
      </c>
      <c r="C876" t="s">
        <v>711</v>
      </c>
      <c r="D876" t="s">
        <v>1588</v>
      </c>
      <c r="E876" t="s">
        <v>569</v>
      </c>
      <c r="F876" t="s">
        <v>53</v>
      </c>
      <c r="G876" t="s">
        <v>111</v>
      </c>
      <c r="H876" t="s">
        <v>113</v>
      </c>
      <c r="I876" t="s">
        <v>112</v>
      </c>
      <c r="J876" t="s">
        <v>114</v>
      </c>
      <c r="K876" t="s">
        <v>1732</v>
      </c>
      <c r="L876" t="s">
        <v>1732</v>
      </c>
    </row>
    <row r="877" spans="1:12" x14ac:dyDescent="0.3">
      <c r="A877" t="s">
        <v>709</v>
      </c>
      <c r="B877" t="s">
        <v>710</v>
      </c>
      <c r="C877" t="s">
        <v>711</v>
      </c>
      <c r="D877" t="s">
        <v>1704</v>
      </c>
      <c r="E877" t="s">
        <v>569</v>
      </c>
      <c r="F877" t="s">
        <v>121</v>
      </c>
      <c r="G877" t="s">
        <v>111</v>
      </c>
      <c r="H877" t="s">
        <v>160</v>
      </c>
      <c r="I877" t="s">
        <v>112</v>
      </c>
      <c r="J877" t="s">
        <v>114</v>
      </c>
      <c r="K877" t="s">
        <v>1744</v>
      </c>
      <c r="L877" t="s">
        <v>1744</v>
      </c>
    </row>
    <row r="878" spans="1:12" x14ac:dyDescent="0.3">
      <c r="A878" t="s">
        <v>709</v>
      </c>
      <c r="B878" t="s">
        <v>710</v>
      </c>
      <c r="C878" t="s">
        <v>711</v>
      </c>
      <c r="D878" t="s">
        <v>1590</v>
      </c>
      <c r="E878" t="s">
        <v>569</v>
      </c>
      <c r="F878" t="s">
        <v>122</v>
      </c>
      <c r="G878" t="s">
        <v>111</v>
      </c>
      <c r="H878" t="s">
        <v>113</v>
      </c>
      <c r="I878" t="s">
        <v>112</v>
      </c>
      <c r="J878" t="s">
        <v>114</v>
      </c>
      <c r="K878" t="s">
        <v>1744</v>
      </c>
      <c r="L878" t="s">
        <v>1744</v>
      </c>
    </row>
    <row r="879" spans="1:12" x14ac:dyDescent="0.3">
      <c r="A879" t="s">
        <v>709</v>
      </c>
      <c r="B879" t="s">
        <v>710</v>
      </c>
      <c r="C879" t="s">
        <v>711</v>
      </c>
      <c r="D879" t="s">
        <v>1591</v>
      </c>
      <c r="E879" t="s">
        <v>569</v>
      </c>
      <c r="F879" t="s">
        <v>165</v>
      </c>
      <c r="G879" t="s">
        <v>111</v>
      </c>
      <c r="H879" t="s">
        <v>113</v>
      </c>
      <c r="I879" t="s">
        <v>112</v>
      </c>
      <c r="J879" t="s">
        <v>114</v>
      </c>
      <c r="K879" t="s">
        <v>1731</v>
      </c>
      <c r="L879" t="s">
        <v>1731</v>
      </c>
    </row>
    <row r="880" spans="1:12" x14ac:dyDescent="0.3">
      <c r="A880" t="s">
        <v>709</v>
      </c>
      <c r="B880" t="s">
        <v>710</v>
      </c>
      <c r="C880" t="s">
        <v>711</v>
      </c>
      <c r="D880" t="s">
        <v>1705</v>
      </c>
      <c r="E880" t="s">
        <v>569</v>
      </c>
      <c r="F880" t="s">
        <v>166</v>
      </c>
      <c r="G880" t="s">
        <v>111</v>
      </c>
      <c r="H880" t="s">
        <v>113</v>
      </c>
      <c r="I880" t="s">
        <v>112</v>
      </c>
      <c r="J880" t="s">
        <v>114</v>
      </c>
      <c r="K880" t="s">
        <v>1735</v>
      </c>
      <c r="L880" t="s">
        <v>1735</v>
      </c>
    </row>
    <row r="881" spans="1:12" x14ac:dyDescent="0.3">
      <c r="A881" t="s">
        <v>709</v>
      </c>
      <c r="B881" t="s">
        <v>710</v>
      </c>
      <c r="C881" t="s">
        <v>711</v>
      </c>
      <c r="D881" t="s">
        <v>1706</v>
      </c>
      <c r="E881" t="s">
        <v>569</v>
      </c>
      <c r="F881" t="s">
        <v>123</v>
      </c>
      <c r="G881" t="s">
        <v>111</v>
      </c>
      <c r="H881" t="s">
        <v>113</v>
      </c>
      <c r="I881" t="s">
        <v>112</v>
      </c>
      <c r="J881" t="s">
        <v>114</v>
      </c>
      <c r="K881" t="s">
        <v>1731</v>
      </c>
      <c r="L881" t="s">
        <v>1731</v>
      </c>
    </row>
    <row r="882" spans="1:12" x14ac:dyDescent="0.3">
      <c r="A882" t="s">
        <v>709</v>
      </c>
      <c r="B882" t="s">
        <v>710</v>
      </c>
      <c r="C882" t="s">
        <v>711</v>
      </c>
      <c r="D882" t="s">
        <v>1707</v>
      </c>
      <c r="E882" t="s">
        <v>569</v>
      </c>
      <c r="F882" t="s">
        <v>189</v>
      </c>
      <c r="G882" t="s">
        <v>111</v>
      </c>
      <c r="H882" t="s">
        <v>118</v>
      </c>
      <c r="I882" t="s">
        <v>112</v>
      </c>
      <c r="J882" t="s">
        <v>119</v>
      </c>
      <c r="K882" t="s">
        <v>1732</v>
      </c>
      <c r="L882" t="s">
        <v>1732</v>
      </c>
    </row>
    <row r="883" spans="1:12" x14ac:dyDescent="0.3">
      <c r="A883" t="s">
        <v>709</v>
      </c>
      <c r="B883" t="s">
        <v>710</v>
      </c>
      <c r="C883" t="s">
        <v>711</v>
      </c>
      <c r="D883" t="s">
        <v>1592</v>
      </c>
      <c r="E883" t="s">
        <v>569</v>
      </c>
      <c r="F883" t="s">
        <v>54</v>
      </c>
      <c r="G883" t="s">
        <v>111</v>
      </c>
      <c r="H883" t="s">
        <v>113</v>
      </c>
      <c r="I883" t="s">
        <v>112</v>
      </c>
      <c r="J883" t="s">
        <v>114</v>
      </c>
      <c r="K883" t="s">
        <v>1731</v>
      </c>
      <c r="L883" t="s">
        <v>1731</v>
      </c>
    </row>
    <row r="884" spans="1:12" x14ac:dyDescent="0.3">
      <c r="A884" t="s">
        <v>709</v>
      </c>
      <c r="B884" t="s">
        <v>710</v>
      </c>
      <c r="C884" t="s">
        <v>711</v>
      </c>
      <c r="D884" t="s">
        <v>1593</v>
      </c>
      <c r="E884" t="s">
        <v>569</v>
      </c>
      <c r="F884" t="s">
        <v>45</v>
      </c>
      <c r="G884" t="s">
        <v>111</v>
      </c>
      <c r="H884" t="s">
        <v>160</v>
      </c>
      <c r="I884" t="s">
        <v>112</v>
      </c>
      <c r="J884" t="s">
        <v>114</v>
      </c>
      <c r="K884" t="s">
        <v>1734</v>
      </c>
      <c r="L884" t="s">
        <v>1734</v>
      </c>
    </row>
    <row r="885" spans="1:12" x14ac:dyDescent="0.3">
      <c r="A885" t="s">
        <v>709</v>
      </c>
      <c r="B885" t="s">
        <v>710</v>
      </c>
      <c r="C885" t="s">
        <v>711</v>
      </c>
      <c r="D885" t="s">
        <v>1597</v>
      </c>
      <c r="E885" t="s">
        <v>569</v>
      </c>
      <c r="F885" t="s">
        <v>124</v>
      </c>
      <c r="G885" t="s">
        <v>111</v>
      </c>
      <c r="H885" t="s">
        <v>160</v>
      </c>
      <c r="I885" t="s">
        <v>112</v>
      </c>
      <c r="J885" t="s">
        <v>114</v>
      </c>
      <c r="K885" t="s">
        <v>1744</v>
      </c>
      <c r="L885" t="s">
        <v>1744</v>
      </c>
    </row>
    <row r="886" spans="1:12" x14ac:dyDescent="0.3">
      <c r="A886" t="s">
        <v>709</v>
      </c>
      <c r="B886" t="s">
        <v>710</v>
      </c>
      <c r="C886" t="s">
        <v>711</v>
      </c>
      <c r="D886" t="s">
        <v>1598</v>
      </c>
      <c r="E886" t="s">
        <v>569</v>
      </c>
      <c r="F886" t="s">
        <v>58</v>
      </c>
      <c r="G886" t="s">
        <v>111</v>
      </c>
      <c r="H886" t="s">
        <v>160</v>
      </c>
      <c r="I886" t="s">
        <v>112</v>
      </c>
      <c r="J886" t="s">
        <v>114</v>
      </c>
      <c r="K886" t="s">
        <v>1744</v>
      </c>
      <c r="L886" t="s">
        <v>1744</v>
      </c>
    </row>
    <row r="887" spans="1:12" x14ac:dyDescent="0.3">
      <c r="A887" t="s">
        <v>709</v>
      </c>
      <c r="B887" t="s">
        <v>710</v>
      </c>
      <c r="C887" t="s">
        <v>711</v>
      </c>
      <c r="D887" t="s">
        <v>1708</v>
      </c>
      <c r="E887" t="s">
        <v>569</v>
      </c>
      <c r="F887" t="s">
        <v>65</v>
      </c>
      <c r="G887" t="s">
        <v>111</v>
      </c>
      <c r="H887" t="s">
        <v>160</v>
      </c>
      <c r="I887" t="s">
        <v>112</v>
      </c>
      <c r="J887" t="s">
        <v>114</v>
      </c>
      <c r="K887" t="s">
        <v>1731</v>
      </c>
      <c r="L887" t="s">
        <v>1731</v>
      </c>
    </row>
    <row r="888" spans="1:12" x14ac:dyDescent="0.3">
      <c r="A888" t="s">
        <v>709</v>
      </c>
      <c r="B888" t="s">
        <v>710</v>
      </c>
      <c r="C888" t="s">
        <v>711</v>
      </c>
      <c r="D888" t="s">
        <v>1709</v>
      </c>
      <c r="E888" t="s">
        <v>569</v>
      </c>
      <c r="F888" t="s">
        <v>125</v>
      </c>
      <c r="G888" t="s">
        <v>111</v>
      </c>
      <c r="H888" t="s">
        <v>113</v>
      </c>
      <c r="I888" t="s">
        <v>112</v>
      </c>
      <c r="J888" t="s">
        <v>114</v>
      </c>
      <c r="K888" t="s">
        <v>1731</v>
      </c>
      <c r="L888" t="s">
        <v>1731</v>
      </c>
    </row>
    <row r="889" spans="1:12" x14ac:dyDescent="0.3">
      <c r="A889" t="s">
        <v>709</v>
      </c>
      <c r="B889" t="s">
        <v>710</v>
      </c>
      <c r="C889" t="s">
        <v>711</v>
      </c>
      <c r="D889" t="s">
        <v>1710</v>
      </c>
      <c r="E889" t="s">
        <v>569</v>
      </c>
      <c r="F889" t="s">
        <v>80</v>
      </c>
      <c r="G889" t="s">
        <v>111</v>
      </c>
      <c r="H889" t="s">
        <v>113</v>
      </c>
      <c r="I889" t="s">
        <v>112</v>
      </c>
      <c r="J889" t="s">
        <v>114</v>
      </c>
      <c r="K889" t="s">
        <v>1744</v>
      </c>
      <c r="L889" t="s">
        <v>1744</v>
      </c>
    </row>
    <row r="890" spans="1:12" x14ac:dyDescent="0.3">
      <c r="A890" t="s">
        <v>709</v>
      </c>
      <c r="B890" t="s">
        <v>710</v>
      </c>
      <c r="C890" t="s">
        <v>711</v>
      </c>
      <c r="D890" t="s">
        <v>1602</v>
      </c>
      <c r="E890" t="s">
        <v>569</v>
      </c>
      <c r="F890" t="s">
        <v>167</v>
      </c>
      <c r="G890" t="s">
        <v>111</v>
      </c>
      <c r="H890" t="s">
        <v>160</v>
      </c>
      <c r="I890" t="s">
        <v>112</v>
      </c>
      <c r="J890" t="s">
        <v>114</v>
      </c>
      <c r="K890" t="s">
        <v>1734</v>
      </c>
      <c r="L890" t="s">
        <v>1734</v>
      </c>
    </row>
    <row r="891" spans="1:12" x14ac:dyDescent="0.3">
      <c r="A891" t="s">
        <v>709</v>
      </c>
      <c r="B891" t="s">
        <v>710</v>
      </c>
      <c r="C891" t="s">
        <v>711</v>
      </c>
      <c r="D891" t="s">
        <v>1606</v>
      </c>
      <c r="E891" t="s">
        <v>569</v>
      </c>
      <c r="F891" t="s">
        <v>168</v>
      </c>
      <c r="G891" t="s">
        <v>111</v>
      </c>
      <c r="H891" t="s">
        <v>160</v>
      </c>
      <c r="I891" t="s">
        <v>112</v>
      </c>
      <c r="J891" t="s">
        <v>114</v>
      </c>
      <c r="K891" t="s">
        <v>1744</v>
      </c>
      <c r="L891" t="s">
        <v>1744</v>
      </c>
    </row>
    <row r="892" spans="1:12" x14ac:dyDescent="0.3">
      <c r="A892" t="s">
        <v>709</v>
      </c>
      <c r="B892" t="s">
        <v>710</v>
      </c>
      <c r="C892" t="s">
        <v>711</v>
      </c>
      <c r="D892" t="s">
        <v>1607</v>
      </c>
      <c r="E892" t="s">
        <v>569</v>
      </c>
      <c r="F892" t="s">
        <v>89</v>
      </c>
      <c r="G892" t="s">
        <v>111</v>
      </c>
      <c r="H892" t="s">
        <v>160</v>
      </c>
      <c r="I892" t="s">
        <v>112</v>
      </c>
      <c r="J892" t="s">
        <v>114</v>
      </c>
      <c r="K892" t="s">
        <v>1732</v>
      </c>
      <c r="L892" t="s">
        <v>1732</v>
      </c>
    </row>
    <row r="893" spans="1:12" x14ac:dyDescent="0.3">
      <c r="A893" t="s">
        <v>709</v>
      </c>
      <c r="B893" t="s">
        <v>710</v>
      </c>
      <c r="C893" t="s">
        <v>711</v>
      </c>
      <c r="D893" t="s">
        <v>1611</v>
      </c>
      <c r="E893" t="s">
        <v>569</v>
      </c>
      <c r="F893" t="s">
        <v>169</v>
      </c>
      <c r="G893" t="s">
        <v>111</v>
      </c>
      <c r="H893" t="s">
        <v>204</v>
      </c>
      <c r="I893" t="s">
        <v>112</v>
      </c>
      <c r="J893" t="s">
        <v>205</v>
      </c>
      <c r="K893" t="s">
        <v>1734</v>
      </c>
      <c r="L893" t="s">
        <v>1734</v>
      </c>
    </row>
    <row r="894" spans="1:12" x14ac:dyDescent="0.3">
      <c r="A894" t="s">
        <v>709</v>
      </c>
      <c r="B894" t="s">
        <v>710</v>
      </c>
      <c r="C894" t="s">
        <v>711</v>
      </c>
      <c r="D894" t="s">
        <v>1612</v>
      </c>
      <c r="E894" t="s">
        <v>569</v>
      </c>
      <c r="F894" t="s">
        <v>110</v>
      </c>
      <c r="G894" t="s">
        <v>111</v>
      </c>
      <c r="H894" t="s">
        <v>160</v>
      </c>
      <c r="I894" t="s">
        <v>112</v>
      </c>
      <c r="J894" t="s">
        <v>114</v>
      </c>
      <c r="K894" t="s">
        <v>1744</v>
      </c>
      <c r="L894" t="s">
        <v>1744</v>
      </c>
    </row>
    <row r="895" spans="1:12" x14ac:dyDescent="0.3">
      <c r="A895" t="s">
        <v>709</v>
      </c>
      <c r="B895" t="s">
        <v>710</v>
      </c>
      <c r="C895" t="s">
        <v>711</v>
      </c>
      <c r="D895" t="s">
        <v>1613</v>
      </c>
      <c r="E895" t="s">
        <v>569</v>
      </c>
      <c r="F895" t="s">
        <v>93</v>
      </c>
      <c r="G895" t="s">
        <v>111</v>
      </c>
      <c r="H895" t="s">
        <v>147</v>
      </c>
      <c r="I895" t="s">
        <v>112</v>
      </c>
      <c r="J895" t="s">
        <v>119</v>
      </c>
      <c r="K895" t="s">
        <v>1731</v>
      </c>
      <c r="L895" t="s">
        <v>1731</v>
      </c>
    </row>
    <row r="896" spans="1:12" x14ac:dyDescent="0.3">
      <c r="A896" t="s">
        <v>709</v>
      </c>
      <c r="B896" t="s">
        <v>710</v>
      </c>
      <c r="C896" t="s">
        <v>711</v>
      </c>
      <c r="D896" t="s">
        <v>1614</v>
      </c>
      <c r="E896" t="s">
        <v>569</v>
      </c>
      <c r="F896" t="s">
        <v>129</v>
      </c>
      <c r="G896" t="s">
        <v>111</v>
      </c>
      <c r="H896" t="s">
        <v>160</v>
      </c>
      <c r="I896" t="s">
        <v>112</v>
      </c>
      <c r="J896" t="s">
        <v>114</v>
      </c>
      <c r="K896" t="s">
        <v>1734</v>
      </c>
      <c r="L896" t="s">
        <v>1734</v>
      </c>
    </row>
    <row r="897" spans="1:12" x14ac:dyDescent="0.3">
      <c r="A897" t="s">
        <v>709</v>
      </c>
      <c r="B897" t="s">
        <v>710</v>
      </c>
      <c r="C897" t="s">
        <v>711</v>
      </c>
      <c r="D897" t="s">
        <v>1711</v>
      </c>
      <c r="E897" t="s">
        <v>569</v>
      </c>
      <c r="F897" t="s">
        <v>85</v>
      </c>
      <c r="G897" t="s">
        <v>111</v>
      </c>
      <c r="H897" t="s">
        <v>113</v>
      </c>
      <c r="I897" t="s">
        <v>112</v>
      </c>
      <c r="J897" t="s">
        <v>114</v>
      </c>
      <c r="K897" t="s">
        <v>1734</v>
      </c>
      <c r="L897" t="s">
        <v>1734</v>
      </c>
    </row>
    <row r="898" spans="1:12" x14ac:dyDescent="0.3">
      <c r="A898" t="s">
        <v>709</v>
      </c>
      <c r="B898" t="s">
        <v>710</v>
      </c>
      <c r="C898" t="s">
        <v>711</v>
      </c>
      <c r="D898" t="s">
        <v>1712</v>
      </c>
      <c r="E898" t="s">
        <v>569</v>
      </c>
      <c r="F898" t="s">
        <v>61</v>
      </c>
      <c r="G898" t="s">
        <v>111</v>
      </c>
      <c r="H898" t="s">
        <v>160</v>
      </c>
      <c r="I898" t="s">
        <v>112</v>
      </c>
      <c r="J898" t="s">
        <v>114</v>
      </c>
      <c r="K898" t="s">
        <v>1734</v>
      </c>
      <c r="L898" t="s">
        <v>1734</v>
      </c>
    </row>
    <row r="899" spans="1:12" x14ac:dyDescent="0.3">
      <c r="A899" t="s">
        <v>709</v>
      </c>
      <c r="B899" t="s">
        <v>710</v>
      </c>
      <c r="C899" t="s">
        <v>711</v>
      </c>
      <c r="D899" t="s">
        <v>1615</v>
      </c>
      <c r="E899" t="s">
        <v>569</v>
      </c>
      <c r="F899" t="s">
        <v>87</v>
      </c>
      <c r="G899" t="s">
        <v>111</v>
      </c>
      <c r="H899" t="s">
        <v>113</v>
      </c>
      <c r="I899" t="s">
        <v>112</v>
      </c>
      <c r="J899" t="s">
        <v>114</v>
      </c>
      <c r="K899" t="s">
        <v>1738</v>
      </c>
      <c r="L899" t="s">
        <v>1738</v>
      </c>
    </row>
    <row r="900" spans="1:12" x14ac:dyDescent="0.3">
      <c r="A900" t="s">
        <v>709</v>
      </c>
      <c r="B900" t="s">
        <v>710</v>
      </c>
      <c r="C900" t="s">
        <v>711</v>
      </c>
      <c r="D900" t="s">
        <v>1616</v>
      </c>
      <c r="E900" t="s">
        <v>569</v>
      </c>
      <c r="F900" t="s">
        <v>130</v>
      </c>
      <c r="G900" t="s">
        <v>111</v>
      </c>
      <c r="H900" t="s">
        <v>113</v>
      </c>
      <c r="I900" t="s">
        <v>112</v>
      </c>
      <c r="J900" t="s">
        <v>114</v>
      </c>
      <c r="K900" t="s">
        <v>1732</v>
      </c>
      <c r="L900" t="s">
        <v>1732</v>
      </c>
    </row>
    <row r="901" spans="1:12" x14ac:dyDescent="0.3">
      <c r="A901" t="s">
        <v>709</v>
      </c>
      <c r="B901" t="s">
        <v>710</v>
      </c>
      <c r="C901" t="s">
        <v>711</v>
      </c>
      <c r="D901" t="s">
        <v>1617</v>
      </c>
      <c r="E901" t="s">
        <v>569</v>
      </c>
      <c r="F901" t="s">
        <v>131</v>
      </c>
      <c r="G901" t="s">
        <v>111</v>
      </c>
      <c r="H901" t="s">
        <v>113</v>
      </c>
      <c r="I901" t="s">
        <v>112</v>
      </c>
      <c r="J901" t="s">
        <v>114</v>
      </c>
      <c r="K901" t="s">
        <v>1734</v>
      </c>
      <c r="L901" t="s">
        <v>1734</v>
      </c>
    </row>
    <row r="902" spans="1:12" x14ac:dyDescent="0.3">
      <c r="A902" t="s">
        <v>709</v>
      </c>
      <c r="B902" t="s">
        <v>710</v>
      </c>
      <c r="C902" t="s">
        <v>711</v>
      </c>
      <c r="D902" t="s">
        <v>1618</v>
      </c>
      <c r="E902" t="s">
        <v>569</v>
      </c>
      <c r="F902" t="s">
        <v>50</v>
      </c>
      <c r="G902" t="s">
        <v>111</v>
      </c>
      <c r="H902" t="s">
        <v>113</v>
      </c>
      <c r="I902" t="s">
        <v>112</v>
      </c>
      <c r="J902" t="s">
        <v>114</v>
      </c>
      <c r="K902" t="s">
        <v>1734</v>
      </c>
      <c r="L902" t="s">
        <v>1734</v>
      </c>
    </row>
    <row r="903" spans="1:12" x14ac:dyDescent="0.3">
      <c r="A903" t="s">
        <v>709</v>
      </c>
      <c r="B903" t="s">
        <v>710</v>
      </c>
      <c r="C903" t="s">
        <v>711</v>
      </c>
      <c r="D903" t="s">
        <v>1621</v>
      </c>
      <c r="E903" t="s">
        <v>568</v>
      </c>
      <c r="F903" t="s">
        <v>51</v>
      </c>
      <c r="G903" t="s">
        <v>111</v>
      </c>
      <c r="H903" t="s">
        <v>113</v>
      </c>
      <c r="I903" t="s">
        <v>112</v>
      </c>
      <c r="J903" t="s">
        <v>114</v>
      </c>
      <c r="K903" t="s">
        <v>1731</v>
      </c>
      <c r="L903" t="s">
        <v>1731</v>
      </c>
    </row>
    <row r="904" spans="1:12" x14ac:dyDescent="0.3">
      <c r="A904" t="s">
        <v>709</v>
      </c>
      <c r="B904" t="s">
        <v>710</v>
      </c>
      <c r="C904" t="s">
        <v>711</v>
      </c>
      <c r="D904" t="s">
        <v>1630</v>
      </c>
      <c r="E904" t="s">
        <v>568</v>
      </c>
      <c r="F904" t="s">
        <v>48</v>
      </c>
      <c r="G904" t="s">
        <v>111</v>
      </c>
      <c r="H904" t="s">
        <v>118</v>
      </c>
      <c r="I904" t="s">
        <v>112</v>
      </c>
      <c r="J904" t="s">
        <v>119</v>
      </c>
      <c r="K904" t="s">
        <v>1731</v>
      </c>
      <c r="L904" t="s">
        <v>1731</v>
      </c>
    </row>
    <row r="905" spans="1:12" x14ac:dyDescent="0.3">
      <c r="A905" t="s">
        <v>709</v>
      </c>
      <c r="B905" t="s">
        <v>710</v>
      </c>
      <c r="C905" t="s">
        <v>711</v>
      </c>
      <c r="D905" t="s">
        <v>1721</v>
      </c>
      <c r="E905" t="s">
        <v>567</v>
      </c>
      <c r="F905" t="s">
        <v>76</v>
      </c>
      <c r="G905" t="s">
        <v>111</v>
      </c>
      <c r="H905" t="s">
        <v>160</v>
      </c>
      <c r="I905" t="s">
        <v>112</v>
      </c>
      <c r="J905" t="s">
        <v>114</v>
      </c>
      <c r="K905" t="s">
        <v>1731</v>
      </c>
      <c r="L905" t="s">
        <v>1731</v>
      </c>
    </row>
    <row r="906" spans="1:12" x14ac:dyDescent="0.3">
      <c r="A906" t="s">
        <v>709</v>
      </c>
      <c r="B906" t="s">
        <v>710</v>
      </c>
      <c r="C906" t="s">
        <v>711</v>
      </c>
      <c r="D906" t="s">
        <v>1722</v>
      </c>
      <c r="E906" t="s">
        <v>567</v>
      </c>
      <c r="F906" t="s">
        <v>52</v>
      </c>
      <c r="G906" t="s">
        <v>111</v>
      </c>
      <c r="H906" t="s">
        <v>113</v>
      </c>
      <c r="I906" t="s">
        <v>112</v>
      </c>
      <c r="J906" t="s">
        <v>114</v>
      </c>
      <c r="K906" t="s">
        <v>1733</v>
      </c>
      <c r="L906" t="s">
        <v>1733</v>
      </c>
    </row>
    <row r="907" spans="1:12" x14ac:dyDescent="0.3">
      <c r="A907" t="s">
        <v>709</v>
      </c>
      <c r="B907" t="s">
        <v>710</v>
      </c>
      <c r="C907" t="s">
        <v>711</v>
      </c>
      <c r="D907" t="s">
        <v>1652</v>
      </c>
      <c r="E907" t="s">
        <v>567</v>
      </c>
      <c r="F907" t="s">
        <v>104</v>
      </c>
      <c r="G907" t="s">
        <v>111</v>
      </c>
      <c r="H907" t="s">
        <v>113</v>
      </c>
      <c r="I907" t="s">
        <v>112</v>
      </c>
      <c r="J907" t="s">
        <v>114</v>
      </c>
      <c r="K907" t="s">
        <v>1734</v>
      </c>
      <c r="L907" t="s">
        <v>1734</v>
      </c>
    </row>
    <row r="908" spans="1:12" x14ac:dyDescent="0.3">
      <c r="A908" t="s">
        <v>709</v>
      </c>
      <c r="B908" t="s">
        <v>710</v>
      </c>
      <c r="C908" t="s">
        <v>711</v>
      </c>
      <c r="D908" t="s">
        <v>1654</v>
      </c>
      <c r="E908" t="s">
        <v>567</v>
      </c>
      <c r="F908" t="s">
        <v>146</v>
      </c>
      <c r="G908" t="s">
        <v>111</v>
      </c>
      <c r="H908" t="s">
        <v>160</v>
      </c>
      <c r="I908" t="s">
        <v>112</v>
      </c>
      <c r="J908" t="s">
        <v>114</v>
      </c>
      <c r="K908" t="s">
        <v>1731</v>
      </c>
      <c r="L908" t="s">
        <v>1731</v>
      </c>
    </row>
    <row r="909" spans="1:12" x14ac:dyDescent="0.3">
      <c r="A909" t="s">
        <v>709</v>
      </c>
      <c r="B909" t="s">
        <v>710</v>
      </c>
      <c r="C909" t="s">
        <v>711</v>
      </c>
      <c r="D909" t="s">
        <v>1655</v>
      </c>
      <c r="E909" t="s">
        <v>567</v>
      </c>
      <c r="F909" t="s">
        <v>148</v>
      </c>
      <c r="G909" t="s">
        <v>111</v>
      </c>
      <c r="H909" t="s">
        <v>113</v>
      </c>
      <c r="I909" t="s">
        <v>112</v>
      </c>
      <c r="J909" t="s">
        <v>114</v>
      </c>
      <c r="K909" t="s">
        <v>1731</v>
      </c>
      <c r="L909" t="s">
        <v>1731</v>
      </c>
    </row>
    <row r="910" spans="1:12" x14ac:dyDescent="0.3">
      <c r="A910" t="s">
        <v>709</v>
      </c>
      <c r="B910" t="s">
        <v>710</v>
      </c>
      <c r="C910" t="s">
        <v>711</v>
      </c>
      <c r="D910" t="s">
        <v>1657</v>
      </c>
      <c r="E910" t="s">
        <v>567</v>
      </c>
      <c r="F910" t="s">
        <v>83</v>
      </c>
      <c r="G910" t="s">
        <v>111</v>
      </c>
      <c r="H910" t="s">
        <v>113</v>
      </c>
      <c r="I910" t="s">
        <v>112</v>
      </c>
      <c r="J910" t="s">
        <v>114</v>
      </c>
      <c r="K910" t="s">
        <v>1731</v>
      </c>
      <c r="L910" t="s">
        <v>1731</v>
      </c>
    </row>
    <row r="911" spans="1:12" x14ac:dyDescent="0.3">
      <c r="A911" t="s">
        <v>709</v>
      </c>
      <c r="B911" t="s">
        <v>710</v>
      </c>
      <c r="C911" t="s">
        <v>711</v>
      </c>
      <c r="D911" t="s">
        <v>1658</v>
      </c>
      <c r="E911" t="s">
        <v>567</v>
      </c>
      <c r="F911" t="s">
        <v>203</v>
      </c>
      <c r="G911" t="s">
        <v>111</v>
      </c>
      <c r="H911" t="s">
        <v>113</v>
      </c>
      <c r="I911" t="s">
        <v>112</v>
      </c>
      <c r="J911" t="s">
        <v>114</v>
      </c>
      <c r="K911" t="s">
        <v>1733</v>
      </c>
      <c r="L911" t="s">
        <v>1733</v>
      </c>
    </row>
    <row r="912" spans="1:12" x14ac:dyDescent="0.3">
      <c r="A912" t="s">
        <v>709</v>
      </c>
      <c r="B912" t="s">
        <v>710</v>
      </c>
      <c r="C912" t="s">
        <v>711</v>
      </c>
      <c r="D912" t="s">
        <v>1723</v>
      </c>
      <c r="E912" t="s">
        <v>567</v>
      </c>
      <c r="F912" t="s">
        <v>71</v>
      </c>
      <c r="G912" t="s">
        <v>111</v>
      </c>
      <c r="H912" t="s">
        <v>113</v>
      </c>
      <c r="I912" t="s">
        <v>112</v>
      </c>
      <c r="J912" t="s">
        <v>114</v>
      </c>
      <c r="K912" t="s">
        <v>1737</v>
      </c>
      <c r="L912" t="s">
        <v>1737</v>
      </c>
    </row>
    <row r="913" spans="1:12" x14ac:dyDescent="0.3">
      <c r="A913" t="s">
        <v>709</v>
      </c>
      <c r="B913" t="s">
        <v>710</v>
      </c>
      <c r="C913" t="s">
        <v>711</v>
      </c>
      <c r="D913" t="s">
        <v>1724</v>
      </c>
      <c r="E913" t="s">
        <v>567</v>
      </c>
      <c r="F913" t="s">
        <v>90</v>
      </c>
      <c r="G913" t="s">
        <v>111</v>
      </c>
      <c r="H913" t="s">
        <v>160</v>
      </c>
      <c r="I913" t="s">
        <v>112</v>
      </c>
      <c r="J913" t="s">
        <v>114</v>
      </c>
      <c r="K913" t="s">
        <v>1731</v>
      </c>
      <c r="L913" t="s">
        <v>1731</v>
      </c>
    </row>
    <row r="914" spans="1:12" x14ac:dyDescent="0.3">
      <c r="A914" t="s">
        <v>709</v>
      </c>
      <c r="B914" t="s">
        <v>710</v>
      </c>
      <c r="C914" t="s">
        <v>711</v>
      </c>
      <c r="D914" t="s">
        <v>1660</v>
      </c>
      <c r="E914" t="s">
        <v>567</v>
      </c>
      <c r="F914" t="s">
        <v>92</v>
      </c>
      <c r="G914" t="s">
        <v>111</v>
      </c>
      <c r="H914" t="s">
        <v>113</v>
      </c>
      <c r="I914" t="s">
        <v>112</v>
      </c>
      <c r="J914" t="s">
        <v>114</v>
      </c>
      <c r="K914" t="s">
        <v>1732</v>
      </c>
      <c r="L914" t="s">
        <v>1732</v>
      </c>
    </row>
    <row r="915" spans="1:12" x14ac:dyDescent="0.3">
      <c r="A915" t="s">
        <v>709</v>
      </c>
      <c r="B915" t="s">
        <v>710</v>
      </c>
      <c r="C915" t="s">
        <v>711</v>
      </c>
      <c r="D915" t="s">
        <v>1664</v>
      </c>
      <c r="E915" t="s">
        <v>567</v>
      </c>
      <c r="F915" t="s">
        <v>177</v>
      </c>
      <c r="G915" t="s">
        <v>111</v>
      </c>
      <c r="H915" t="s">
        <v>160</v>
      </c>
      <c r="I915" t="s">
        <v>112</v>
      </c>
      <c r="J915" t="s">
        <v>114</v>
      </c>
      <c r="K915" t="s">
        <v>1743</v>
      </c>
      <c r="L915" t="s">
        <v>1743</v>
      </c>
    </row>
    <row r="916" spans="1:12" x14ac:dyDescent="0.3">
      <c r="A916" t="s">
        <v>709</v>
      </c>
      <c r="B916" t="s">
        <v>710</v>
      </c>
      <c r="C916" t="s">
        <v>711</v>
      </c>
      <c r="D916" t="s">
        <v>1665</v>
      </c>
      <c r="E916" t="s">
        <v>567</v>
      </c>
      <c r="F916" t="s">
        <v>91</v>
      </c>
      <c r="G916" t="s">
        <v>111</v>
      </c>
      <c r="H916" t="s">
        <v>113</v>
      </c>
      <c r="I916" t="s">
        <v>112</v>
      </c>
      <c r="J916" t="s">
        <v>114</v>
      </c>
      <c r="K916" t="s">
        <v>1744</v>
      </c>
      <c r="L916" t="s">
        <v>1744</v>
      </c>
    </row>
    <row r="917" spans="1:12" x14ac:dyDescent="0.3">
      <c r="A917" t="s">
        <v>709</v>
      </c>
      <c r="B917" t="s">
        <v>710</v>
      </c>
      <c r="C917" t="s">
        <v>711</v>
      </c>
      <c r="D917" t="s">
        <v>1666</v>
      </c>
      <c r="E917" t="s">
        <v>567</v>
      </c>
      <c r="F917" t="s">
        <v>152</v>
      </c>
      <c r="G917" t="s">
        <v>111</v>
      </c>
      <c r="H917" t="s">
        <v>113</v>
      </c>
      <c r="I917" t="s">
        <v>112</v>
      </c>
      <c r="J917" t="s">
        <v>114</v>
      </c>
      <c r="K917" t="s">
        <v>1744</v>
      </c>
      <c r="L917" t="s">
        <v>1744</v>
      </c>
    </row>
    <row r="918" spans="1:12" x14ac:dyDescent="0.3">
      <c r="A918" t="s">
        <v>709</v>
      </c>
      <c r="B918" t="s">
        <v>710</v>
      </c>
      <c r="C918" t="s">
        <v>711</v>
      </c>
      <c r="D918" t="s">
        <v>1668</v>
      </c>
      <c r="E918" t="s">
        <v>567</v>
      </c>
      <c r="F918" t="s">
        <v>67</v>
      </c>
      <c r="G918" t="s">
        <v>111</v>
      </c>
      <c r="H918" t="s">
        <v>113</v>
      </c>
      <c r="I918" t="s">
        <v>112</v>
      </c>
      <c r="J918" t="s">
        <v>114</v>
      </c>
      <c r="K918" t="s">
        <v>1744</v>
      </c>
      <c r="L918" t="s">
        <v>1744</v>
      </c>
    </row>
    <row r="919" spans="1:12" x14ac:dyDescent="0.3">
      <c r="A919" t="s">
        <v>709</v>
      </c>
      <c r="B919" t="s">
        <v>710</v>
      </c>
      <c r="C919" t="s">
        <v>711</v>
      </c>
      <c r="D919" t="s">
        <v>1670</v>
      </c>
      <c r="E919" t="s">
        <v>567</v>
      </c>
      <c r="F919" t="s">
        <v>196</v>
      </c>
      <c r="G919" t="s">
        <v>111</v>
      </c>
      <c r="H919" t="s">
        <v>113</v>
      </c>
      <c r="I919" t="s">
        <v>112</v>
      </c>
      <c r="J919" t="s">
        <v>114</v>
      </c>
      <c r="K919" t="s">
        <v>1744</v>
      </c>
      <c r="L919" t="s">
        <v>1744</v>
      </c>
    </row>
    <row r="920" spans="1:12" x14ac:dyDescent="0.3">
      <c r="A920" t="s">
        <v>709</v>
      </c>
      <c r="B920" t="s">
        <v>710</v>
      </c>
      <c r="C920" t="s">
        <v>711</v>
      </c>
      <c r="D920" t="s">
        <v>1725</v>
      </c>
      <c r="E920" t="s">
        <v>567</v>
      </c>
      <c r="F920" t="s">
        <v>178</v>
      </c>
      <c r="G920" t="s">
        <v>111</v>
      </c>
      <c r="H920" t="s">
        <v>160</v>
      </c>
      <c r="I920" t="s">
        <v>112</v>
      </c>
      <c r="J920" t="s">
        <v>114</v>
      </c>
      <c r="K920" t="s">
        <v>1731</v>
      </c>
      <c r="L920" t="s">
        <v>1731</v>
      </c>
    </row>
    <row r="921" spans="1:12" x14ac:dyDescent="0.3">
      <c r="A921" t="s">
        <v>709</v>
      </c>
      <c r="B921" t="s">
        <v>710</v>
      </c>
      <c r="C921" t="s">
        <v>711</v>
      </c>
      <c r="D921" t="s">
        <v>1674</v>
      </c>
      <c r="E921" t="s">
        <v>567</v>
      </c>
      <c r="F921" t="s">
        <v>55</v>
      </c>
      <c r="G921" t="s">
        <v>111</v>
      </c>
      <c r="H921" t="s">
        <v>113</v>
      </c>
      <c r="I921" t="s">
        <v>112</v>
      </c>
      <c r="J921" t="s">
        <v>114</v>
      </c>
      <c r="K921" t="s">
        <v>1734</v>
      </c>
      <c r="L921" t="s">
        <v>1734</v>
      </c>
    </row>
    <row r="922" spans="1:12" x14ac:dyDescent="0.3">
      <c r="A922" t="s">
        <v>709</v>
      </c>
      <c r="B922" t="s">
        <v>710</v>
      </c>
      <c r="C922" t="s">
        <v>711</v>
      </c>
      <c r="D922" t="s">
        <v>1677</v>
      </c>
      <c r="E922" t="s">
        <v>567</v>
      </c>
      <c r="F922" t="s">
        <v>156</v>
      </c>
      <c r="G922" t="s">
        <v>111</v>
      </c>
      <c r="H922" t="s">
        <v>113</v>
      </c>
      <c r="I922" t="s">
        <v>112</v>
      </c>
      <c r="J922" t="s">
        <v>114</v>
      </c>
      <c r="K922" t="s">
        <v>1744</v>
      </c>
      <c r="L922" t="s">
        <v>1744</v>
      </c>
    </row>
    <row r="923" spans="1:12" x14ac:dyDescent="0.3">
      <c r="A923" t="s">
        <v>709</v>
      </c>
      <c r="B923" t="s">
        <v>710</v>
      </c>
      <c r="C923" t="s">
        <v>711</v>
      </c>
      <c r="D923" t="s">
        <v>1678</v>
      </c>
      <c r="E923" t="s">
        <v>567</v>
      </c>
      <c r="F923" t="s">
        <v>103</v>
      </c>
      <c r="G923" t="s">
        <v>111</v>
      </c>
      <c r="H923" t="s">
        <v>113</v>
      </c>
      <c r="I923" t="s">
        <v>112</v>
      </c>
      <c r="J923" t="s">
        <v>114</v>
      </c>
      <c r="K923" t="s">
        <v>1731</v>
      </c>
      <c r="L923" t="s">
        <v>1731</v>
      </c>
    </row>
    <row r="924" spans="1:12" x14ac:dyDescent="0.3">
      <c r="A924" t="s">
        <v>709</v>
      </c>
      <c r="B924" t="s">
        <v>710</v>
      </c>
      <c r="C924" t="s">
        <v>711</v>
      </c>
      <c r="D924" t="s">
        <v>1680</v>
      </c>
      <c r="E924" t="s">
        <v>567</v>
      </c>
      <c r="F924" t="s">
        <v>180</v>
      </c>
      <c r="G924" t="s">
        <v>111</v>
      </c>
      <c r="H924" t="s">
        <v>113</v>
      </c>
      <c r="I924" t="s">
        <v>112</v>
      </c>
      <c r="J924" t="s">
        <v>114</v>
      </c>
      <c r="K924" t="s">
        <v>1731</v>
      </c>
      <c r="L924" t="s">
        <v>1731</v>
      </c>
    </row>
    <row r="925" spans="1:12" x14ac:dyDescent="0.3">
      <c r="A925" t="s">
        <v>709</v>
      </c>
      <c r="B925" t="s">
        <v>710</v>
      </c>
      <c r="C925" t="s">
        <v>711</v>
      </c>
      <c r="D925" t="s">
        <v>1688</v>
      </c>
      <c r="E925" t="s">
        <v>567</v>
      </c>
      <c r="F925" t="s">
        <v>73</v>
      </c>
      <c r="G925" t="s">
        <v>111</v>
      </c>
      <c r="H925" t="s">
        <v>160</v>
      </c>
      <c r="I925" t="s">
        <v>112</v>
      </c>
      <c r="J925" t="s">
        <v>114</v>
      </c>
      <c r="K925" t="s">
        <v>1744</v>
      </c>
      <c r="L925" t="s">
        <v>1744</v>
      </c>
    </row>
    <row r="926" spans="1:12" x14ac:dyDescent="0.3">
      <c r="A926" t="s">
        <v>709</v>
      </c>
      <c r="B926" t="s">
        <v>710</v>
      </c>
      <c r="C926" t="s">
        <v>711</v>
      </c>
      <c r="D926" t="s">
        <v>1689</v>
      </c>
      <c r="E926" t="s">
        <v>567</v>
      </c>
      <c r="F926" t="s">
        <v>162</v>
      </c>
      <c r="G926" t="s">
        <v>111</v>
      </c>
      <c r="H926" t="s">
        <v>113</v>
      </c>
      <c r="I926" t="s">
        <v>112</v>
      </c>
      <c r="J926" t="s">
        <v>114</v>
      </c>
      <c r="K926" t="s">
        <v>1744</v>
      </c>
      <c r="L926" t="s">
        <v>1744</v>
      </c>
    </row>
    <row r="927" spans="1:12" x14ac:dyDescent="0.3">
      <c r="A927" t="s">
        <v>709</v>
      </c>
      <c r="B927" t="s">
        <v>1461</v>
      </c>
      <c r="C927" t="s">
        <v>750</v>
      </c>
      <c r="D927" t="s">
        <v>209</v>
      </c>
      <c r="E927" t="s">
        <v>569</v>
      </c>
      <c r="F927" t="s">
        <v>115</v>
      </c>
      <c r="G927" t="s">
        <v>111</v>
      </c>
      <c r="H927" t="s">
        <v>113</v>
      </c>
      <c r="I927" t="s">
        <v>112</v>
      </c>
      <c r="J927" t="s">
        <v>114</v>
      </c>
      <c r="K927" t="s">
        <v>1745</v>
      </c>
      <c r="L927" t="s">
        <v>1745</v>
      </c>
    </row>
    <row r="928" spans="1:12" x14ac:dyDescent="0.3">
      <c r="A928" t="s">
        <v>709</v>
      </c>
      <c r="B928" t="s">
        <v>1461</v>
      </c>
      <c r="C928" t="s">
        <v>750</v>
      </c>
      <c r="D928" t="s">
        <v>304</v>
      </c>
      <c r="E928" t="s">
        <v>569</v>
      </c>
      <c r="F928" t="s">
        <v>117</v>
      </c>
      <c r="G928" t="s">
        <v>111</v>
      </c>
      <c r="H928" t="s">
        <v>113</v>
      </c>
      <c r="I928" t="s">
        <v>112</v>
      </c>
      <c r="J928" t="s">
        <v>114</v>
      </c>
      <c r="K928" t="s">
        <v>1745</v>
      </c>
      <c r="L928" t="s">
        <v>1745</v>
      </c>
    </row>
    <row r="929" spans="1:12" x14ac:dyDescent="0.3">
      <c r="A929" t="s">
        <v>709</v>
      </c>
      <c r="B929" t="s">
        <v>1461</v>
      </c>
      <c r="C929" t="s">
        <v>750</v>
      </c>
      <c r="D929" t="s">
        <v>211</v>
      </c>
      <c r="E929" t="s">
        <v>569</v>
      </c>
      <c r="F929" t="s">
        <v>188</v>
      </c>
      <c r="G929" t="s">
        <v>111</v>
      </c>
      <c r="H929" t="s">
        <v>113</v>
      </c>
      <c r="I929" t="s">
        <v>112</v>
      </c>
      <c r="J929" t="s">
        <v>114</v>
      </c>
      <c r="K929" t="s">
        <v>1745</v>
      </c>
      <c r="L929" t="s">
        <v>1745</v>
      </c>
    </row>
    <row r="930" spans="1:12" x14ac:dyDescent="0.3">
      <c r="A930" t="s">
        <v>709</v>
      </c>
      <c r="B930" t="s">
        <v>1461</v>
      </c>
      <c r="C930" t="s">
        <v>750</v>
      </c>
      <c r="D930" t="s">
        <v>305</v>
      </c>
      <c r="E930" t="s">
        <v>569</v>
      </c>
      <c r="F930" t="s">
        <v>120</v>
      </c>
      <c r="G930" t="s">
        <v>111</v>
      </c>
      <c r="H930" t="s">
        <v>113</v>
      </c>
      <c r="I930" t="s">
        <v>112</v>
      </c>
      <c r="J930" t="s">
        <v>114</v>
      </c>
      <c r="K930" t="s">
        <v>1745</v>
      </c>
      <c r="L930" t="s">
        <v>1745</v>
      </c>
    </row>
    <row r="931" spans="1:12" x14ac:dyDescent="0.3">
      <c r="A931" t="s">
        <v>709</v>
      </c>
      <c r="B931" t="s">
        <v>1461</v>
      </c>
      <c r="C931" t="s">
        <v>750</v>
      </c>
      <c r="D931" t="s">
        <v>213</v>
      </c>
      <c r="E931" t="s">
        <v>569</v>
      </c>
      <c r="F931" t="s">
        <v>53</v>
      </c>
      <c r="G931" t="s">
        <v>111</v>
      </c>
      <c r="H931" t="s">
        <v>113</v>
      </c>
      <c r="I931" t="s">
        <v>112</v>
      </c>
      <c r="J931" t="s">
        <v>114</v>
      </c>
      <c r="K931" t="s">
        <v>1745</v>
      </c>
      <c r="L931" t="s">
        <v>1745</v>
      </c>
    </row>
    <row r="932" spans="1:12" x14ac:dyDescent="0.3">
      <c r="A932" t="s">
        <v>709</v>
      </c>
      <c r="B932" t="s">
        <v>1461</v>
      </c>
      <c r="C932" t="s">
        <v>750</v>
      </c>
      <c r="D932" t="s">
        <v>214</v>
      </c>
      <c r="E932" t="s">
        <v>569</v>
      </c>
      <c r="F932" t="s">
        <v>56</v>
      </c>
      <c r="G932" t="s">
        <v>111</v>
      </c>
      <c r="H932" t="s">
        <v>113</v>
      </c>
      <c r="I932" t="s">
        <v>112</v>
      </c>
      <c r="J932" t="s">
        <v>114</v>
      </c>
      <c r="K932" t="s">
        <v>1745</v>
      </c>
      <c r="L932" t="s">
        <v>1745</v>
      </c>
    </row>
    <row r="933" spans="1:12" x14ac:dyDescent="0.3">
      <c r="A933" t="s">
        <v>709</v>
      </c>
      <c r="B933" t="s">
        <v>1461</v>
      </c>
      <c r="C933" t="s">
        <v>750</v>
      </c>
      <c r="D933" t="s">
        <v>215</v>
      </c>
      <c r="E933" t="s">
        <v>569</v>
      </c>
      <c r="F933" t="s">
        <v>69</v>
      </c>
      <c r="G933" t="s">
        <v>111</v>
      </c>
      <c r="H933" t="s">
        <v>113</v>
      </c>
      <c r="I933" t="s">
        <v>112</v>
      </c>
      <c r="J933" t="s">
        <v>114</v>
      </c>
      <c r="K933" t="s">
        <v>1745</v>
      </c>
      <c r="L933" t="s">
        <v>1745</v>
      </c>
    </row>
    <row r="934" spans="1:12" x14ac:dyDescent="0.3">
      <c r="A934" t="s">
        <v>709</v>
      </c>
      <c r="B934" t="s">
        <v>1461</v>
      </c>
      <c r="C934" t="s">
        <v>750</v>
      </c>
      <c r="D934" t="s">
        <v>306</v>
      </c>
      <c r="E934" t="s">
        <v>569</v>
      </c>
      <c r="F934" t="s">
        <v>165</v>
      </c>
      <c r="G934" t="s">
        <v>111</v>
      </c>
      <c r="H934" t="s">
        <v>113</v>
      </c>
      <c r="I934" t="s">
        <v>112</v>
      </c>
      <c r="J934" t="s">
        <v>114</v>
      </c>
      <c r="K934" t="s">
        <v>1745</v>
      </c>
      <c r="L934" t="s">
        <v>1745</v>
      </c>
    </row>
    <row r="935" spans="1:12" x14ac:dyDescent="0.3">
      <c r="A935" t="s">
        <v>709</v>
      </c>
      <c r="B935" t="s">
        <v>1461</v>
      </c>
      <c r="C935" t="s">
        <v>750</v>
      </c>
      <c r="D935" t="s">
        <v>218</v>
      </c>
      <c r="E935" t="s">
        <v>569</v>
      </c>
      <c r="F935" t="s">
        <v>166</v>
      </c>
      <c r="G935" t="s">
        <v>111</v>
      </c>
      <c r="H935" t="s">
        <v>113</v>
      </c>
      <c r="I935" t="s">
        <v>112</v>
      </c>
      <c r="J935" t="s">
        <v>114</v>
      </c>
      <c r="K935" t="s">
        <v>1745</v>
      </c>
      <c r="L935" t="s">
        <v>1745</v>
      </c>
    </row>
    <row r="936" spans="1:12" x14ac:dyDescent="0.3">
      <c r="A936" t="s">
        <v>709</v>
      </c>
      <c r="B936" t="s">
        <v>1461</v>
      </c>
      <c r="C936" t="s">
        <v>750</v>
      </c>
      <c r="D936" t="s">
        <v>307</v>
      </c>
      <c r="E936" t="s">
        <v>569</v>
      </c>
      <c r="F936" t="s">
        <v>123</v>
      </c>
      <c r="G936" t="s">
        <v>111</v>
      </c>
      <c r="H936" t="s">
        <v>113</v>
      </c>
      <c r="I936" t="s">
        <v>112</v>
      </c>
      <c r="J936" t="s">
        <v>114</v>
      </c>
      <c r="K936" t="s">
        <v>1745</v>
      </c>
      <c r="L936" t="s">
        <v>1745</v>
      </c>
    </row>
    <row r="937" spans="1:12" x14ac:dyDescent="0.3">
      <c r="A937" t="s">
        <v>709</v>
      </c>
      <c r="B937" t="s">
        <v>1461</v>
      </c>
      <c r="C937" t="s">
        <v>750</v>
      </c>
      <c r="D937" t="s">
        <v>219</v>
      </c>
      <c r="E937" t="s">
        <v>569</v>
      </c>
      <c r="F937" t="s">
        <v>189</v>
      </c>
      <c r="G937" t="s">
        <v>111</v>
      </c>
      <c r="H937" t="s">
        <v>113</v>
      </c>
      <c r="I937" t="s">
        <v>112</v>
      </c>
      <c r="J937" t="s">
        <v>114</v>
      </c>
      <c r="K937" t="s">
        <v>1745</v>
      </c>
      <c r="L937" t="s">
        <v>1745</v>
      </c>
    </row>
    <row r="938" spans="1:12" x14ac:dyDescent="0.3">
      <c r="A938" t="s">
        <v>709</v>
      </c>
      <c r="B938" t="s">
        <v>1461</v>
      </c>
      <c r="C938" t="s">
        <v>750</v>
      </c>
      <c r="D938" t="s">
        <v>220</v>
      </c>
      <c r="E938" t="s">
        <v>569</v>
      </c>
      <c r="F938" t="s">
        <v>54</v>
      </c>
      <c r="G938" t="s">
        <v>111</v>
      </c>
      <c r="H938" t="s">
        <v>113</v>
      </c>
      <c r="I938" t="s">
        <v>112</v>
      </c>
      <c r="J938" t="s">
        <v>114</v>
      </c>
      <c r="K938" t="s">
        <v>1745</v>
      </c>
      <c r="L938" t="s">
        <v>1745</v>
      </c>
    </row>
    <row r="939" spans="1:12" x14ac:dyDescent="0.3">
      <c r="A939" t="s">
        <v>709</v>
      </c>
      <c r="B939" t="s">
        <v>1461</v>
      </c>
      <c r="C939" t="s">
        <v>750</v>
      </c>
      <c r="D939" t="s">
        <v>221</v>
      </c>
      <c r="E939" t="s">
        <v>569</v>
      </c>
      <c r="F939" t="s">
        <v>45</v>
      </c>
      <c r="G939" t="s">
        <v>111</v>
      </c>
      <c r="H939" t="s">
        <v>113</v>
      </c>
      <c r="I939" t="s">
        <v>112</v>
      </c>
      <c r="J939" t="s">
        <v>114</v>
      </c>
      <c r="K939" t="s">
        <v>1745</v>
      </c>
      <c r="L939" t="s">
        <v>1745</v>
      </c>
    </row>
    <row r="940" spans="1:12" x14ac:dyDescent="0.3">
      <c r="A940" t="s">
        <v>709</v>
      </c>
      <c r="B940" t="s">
        <v>1461</v>
      </c>
      <c r="C940" t="s">
        <v>750</v>
      </c>
      <c r="D940" t="s">
        <v>223</v>
      </c>
      <c r="E940" t="s">
        <v>569</v>
      </c>
      <c r="F940" t="s">
        <v>65</v>
      </c>
      <c r="G940" t="s">
        <v>111</v>
      </c>
      <c r="H940" t="s">
        <v>113</v>
      </c>
      <c r="I940" t="s">
        <v>112</v>
      </c>
      <c r="J940" t="s">
        <v>114</v>
      </c>
      <c r="K940" t="s">
        <v>1745</v>
      </c>
      <c r="L940" t="s">
        <v>1745</v>
      </c>
    </row>
    <row r="941" spans="1:12" x14ac:dyDescent="0.3">
      <c r="A941" t="s">
        <v>709</v>
      </c>
      <c r="B941" t="s">
        <v>1461</v>
      </c>
      <c r="C941" t="s">
        <v>750</v>
      </c>
      <c r="D941" t="s">
        <v>224</v>
      </c>
      <c r="E941" t="s">
        <v>569</v>
      </c>
      <c r="F941" t="s">
        <v>125</v>
      </c>
      <c r="G941" t="s">
        <v>111</v>
      </c>
      <c r="H941" t="s">
        <v>113</v>
      </c>
      <c r="I941" t="s">
        <v>112</v>
      </c>
      <c r="J941" t="s">
        <v>114</v>
      </c>
      <c r="K941" t="s">
        <v>1745</v>
      </c>
      <c r="L941" t="s">
        <v>1745</v>
      </c>
    </row>
    <row r="942" spans="1:12" x14ac:dyDescent="0.3">
      <c r="A942" t="s">
        <v>709</v>
      </c>
      <c r="B942" t="s">
        <v>1461</v>
      </c>
      <c r="C942" t="s">
        <v>750</v>
      </c>
      <c r="D942" t="s">
        <v>225</v>
      </c>
      <c r="E942" t="s">
        <v>569</v>
      </c>
      <c r="F942" t="s">
        <v>126</v>
      </c>
      <c r="G942" t="s">
        <v>111</v>
      </c>
      <c r="H942" t="s">
        <v>113</v>
      </c>
      <c r="I942" t="s">
        <v>112</v>
      </c>
      <c r="J942" t="s">
        <v>114</v>
      </c>
      <c r="K942" t="s">
        <v>1745</v>
      </c>
      <c r="L942" t="s">
        <v>1745</v>
      </c>
    </row>
    <row r="943" spans="1:12" x14ac:dyDescent="0.3">
      <c r="A943" t="s">
        <v>709</v>
      </c>
      <c r="B943" t="s">
        <v>1461</v>
      </c>
      <c r="C943" t="s">
        <v>750</v>
      </c>
      <c r="D943" t="s">
        <v>227</v>
      </c>
      <c r="E943" t="s">
        <v>569</v>
      </c>
      <c r="F943" t="s">
        <v>192</v>
      </c>
      <c r="G943" t="s">
        <v>111</v>
      </c>
      <c r="H943" t="s">
        <v>113</v>
      </c>
      <c r="I943" t="s">
        <v>112</v>
      </c>
      <c r="J943" t="s">
        <v>114</v>
      </c>
      <c r="K943" t="s">
        <v>1745</v>
      </c>
      <c r="L943" t="s">
        <v>1745</v>
      </c>
    </row>
    <row r="944" spans="1:12" x14ac:dyDescent="0.3">
      <c r="A944" t="s">
        <v>709</v>
      </c>
      <c r="B944" t="s">
        <v>1461</v>
      </c>
      <c r="C944" t="s">
        <v>750</v>
      </c>
      <c r="D944" t="s">
        <v>228</v>
      </c>
      <c r="E944" t="s">
        <v>569</v>
      </c>
      <c r="F944" t="s">
        <v>167</v>
      </c>
      <c r="G944" t="s">
        <v>111</v>
      </c>
      <c r="H944" t="s">
        <v>113</v>
      </c>
      <c r="I944" t="s">
        <v>112</v>
      </c>
      <c r="J944" t="s">
        <v>114</v>
      </c>
      <c r="K944" t="s">
        <v>1745</v>
      </c>
      <c r="L944" t="s">
        <v>1745</v>
      </c>
    </row>
    <row r="945" spans="1:12" x14ac:dyDescent="0.3">
      <c r="A945" t="s">
        <v>709</v>
      </c>
      <c r="B945" t="s">
        <v>1461</v>
      </c>
      <c r="C945" t="s">
        <v>750</v>
      </c>
      <c r="D945" t="s">
        <v>229</v>
      </c>
      <c r="E945" t="s">
        <v>569</v>
      </c>
      <c r="F945" t="s">
        <v>127</v>
      </c>
      <c r="G945" t="s">
        <v>111</v>
      </c>
      <c r="H945" t="s">
        <v>113</v>
      </c>
      <c r="I945" t="s">
        <v>112</v>
      </c>
      <c r="J945" t="s">
        <v>114</v>
      </c>
      <c r="K945" t="s">
        <v>1745</v>
      </c>
      <c r="L945" t="s">
        <v>1745</v>
      </c>
    </row>
    <row r="946" spans="1:12" x14ac:dyDescent="0.3">
      <c r="A946" t="s">
        <v>709</v>
      </c>
      <c r="B946" t="s">
        <v>1461</v>
      </c>
      <c r="C946" t="s">
        <v>750</v>
      </c>
      <c r="D946" t="s">
        <v>310</v>
      </c>
      <c r="E946" t="s">
        <v>569</v>
      </c>
      <c r="F946" t="s">
        <v>128</v>
      </c>
      <c r="G946" t="s">
        <v>111</v>
      </c>
      <c r="H946" t="s">
        <v>113</v>
      </c>
      <c r="I946" t="s">
        <v>112</v>
      </c>
      <c r="J946" t="s">
        <v>114</v>
      </c>
      <c r="K946" t="s">
        <v>1745</v>
      </c>
      <c r="L946" t="s">
        <v>1745</v>
      </c>
    </row>
    <row r="947" spans="1:12" x14ac:dyDescent="0.3">
      <c r="A947" t="s">
        <v>709</v>
      </c>
      <c r="B947" t="s">
        <v>1461</v>
      </c>
      <c r="C947" t="s">
        <v>750</v>
      </c>
      <c r="D947" t="s">
        <v>311</v>
      </c>
      <c r="E947" t="s">
        <v>569</v>
      </c>
      <c r="F947" t="s">
        <v>89</v>
      </c>
      <c r="G947" t="s">
        <v>111</v>
      </c>
      <c r="H947" t="s">
        <v>113</v>
      </c>
      <c r="I947" t="s">
        <v>112</v>
      </c>
      <c r="J947" t="s">
        <v>114</v>
      </c>
      <c r="K947" t="s">
        <v>1745</v>
      </c>
      <c r="L947" t="s">
        <v>1745</v>
      </c>
    </row>
    <row r="948" spans="1:12" x14ac:dyDescent="0.3">
      <c r="A948" t="s">
        <v>709</v>
      </c>
      <c r="B948" t="s">
        <v>1461</v>
      </c>
      <c r="C948" t="s">
        <v>750</v>
      </c>
      <c r="D948" t="s">
        <v>231</v>
      </c>
      <c r="E948" t="s">
        <v>569</v>
      </c>
      <c r="F948" t="s">
        <v>66</v>
      </c>
      <c r="G948" t="s">
        <v>111</v>
      </c>
      <c r="H948" t="s">
        <v>113</v>
      </c>
      <c r="I948" t="s">
        <v>112</v>
      </c>
      <c r="J948" t="s">
        <v>114</v>
      </c>
      <c r="K948" t="s">
        <v>1745</v>
      </c>
      <c r="L948" t="s">
        <v>1745</v>
      </c>
    </row>
    <row r="949" spans="1:12" x14ac:dyDescent="0.3">
      <c r="A949" t="s">
        <v>709</v>
      </c>
      <c r="B949" t="s">
        <v>1461</v>
      </c>
      <c r="C949" t="s">
        <v>750</v>
      </c>
      <c r="D949" t="s">
        <v>232</v>
      </c>
      <c r="E949" t="s">
        <v>569</v>
      </c>
      <c r="F949" t="s">
        <v>169</v>
      </c>
      <c r="G949" t="s">
        <v>111</v>
      </c>
      <c r="H949" t="s">
        <v>113</v>
      </c>
      <c r="I949" t="s">
        <v>112</v>
      </c>
      <c r="J949" t="s">
        <v>114</v>
      </c>
      <c r="K949" t="s">
        <v>1745</v>
      </c>
      <c r="L949" t="s">
        <v>1745</v>
      </c>
    </row>
    <row r="950" spans="1:12" x14ac:dyDescent="0.3">
      <c r="A950" t="s">
        <v>709</v>
      </c>
      <c r="B950" t="s">
        <v>1461</v>
      </c>
      <c r="C950" t="s">
        <v>750</v>
      </c>
      <c r="D950" t="s">
        <v>234</v>
      </c>
      <c r="E950" t="s">
        <v>569</v>
      </c>
      <c r="F950" t="s">
        <v>93</v>
      </c>
      <c r="G950" t="s">
        <v>111</v>
      </c>
      <c r="H950" t="s">
        <v>113</v>
      </c>
      <c r="I950" t="s">
        <v>112</v>
      </c>
      <c r="J950" t="s">
        <v>114</v>
      </c>
      <c r="K950" t="s">
        <v>1745</v>
      </c>
      <c r="L950" t="s">
        <v>1745</v>
      </c>
    </row>
    <row r="951" spans="1:12" x14ac:dyDescent="0.3">
      <c r="A951" t="s">
        <v>709</v>
      </c>
      <c r="B951" t="s">
        <v>1461</v>
      </c>
      <c r="C951" t="s">
        <v>750</v>
      </c>
      <c r="D951" t="s">
        <v>312</v>
      </c>
      <c r="E951" t="s">
        <v>569</v>
      </c>
      <c r="F951" t="s">
        <v>129</v>
      </c>
      <c r="G951" t="s">
        <v>111</v>
      </c>
      <c r="H951" t="s">
        <v>113</v>
      </c>
      <c r="I951" t="s">
        <v>112</v>
      </c>
      <c r="J951" t="s">
        <v>114</v>
      </c>
      <c r="K951" t="s">
        <v>1745</v>
      </c>
      <c r="L951" t="s">
        <v>1745</v>
      </c>
    </row>
    <row r="952" spans="1:12" x14ac:dyDescent="0.3">
      <c r="A952" t="s">
        <v>709</v>
      </c>
      <c r="B952" t="s">
        <v>1461</v>
      </c>
      <c r="C952" t="s">
        <v>750</v>
      </c>
      <c r="D952" t="s">
        <v>313</v>
      </c>
      <c r="E952" t="s">
        <v>569</v>
      </c>
      <c r="F952" t="s">
        <v>68</v>
      </c>
      <c r="G952" t="s">
        <v>111</v>
      </c>
      <c r="H952" t="s">
        <v>113</v>
      </c>
      <c r="I952" t="s">
        <v>112</v>
      </c>
      <c r="J952" t="s">
        <v>114</v>
      </c>
      <c r="K952" t="s">
        <v>1745</v>
      </c>
      <c r="L952" t="s">
        <v>1745</v>
      </c>
    </row>
    <row r="953" spans="1:12" x14ac:dyDescent="0.3">
      <c r="A953" t="s">
        <v>709</v>
      </c>
      <c r="B953" t="s">
        <v>1461</v>
      </c>
      <c r="C953" t="s">
        <v>750</v>
      </c>
      <c r="D953" t="s">
        <v>235</v>
      </c>
      <c r="E953" t="s">
        <v>569</v>
      </c>
      <c r="F953" t="s">
        <v>85</v>
      </c>
      <c r="G953" t="s">
        <v>111</v>
      </c>
      <c r="H953" t="s">
        <v>113</v>
      </c>
      <c r="I953" t="s">
        <v>112</v>
      </c>
      <c r="J953" t="s">
        <v>114</v>
      </c>
      <c r="K953" t="s">
        <v>1745</v>
      </c>
      <c r="L953" t="s">
        <v>1745</v>
      </c>
    </row>
    <row r="954" spans="1:12" x14ac:dyDescent="0.3">
      <c r="A954" t="s">
        <v>709</v>
      </c>
      <c r="B954" t="s">
        <v>1461</v>
      </c>
      <c r="C954" t="s">
        <v>750</v>
      </c>
      <c r="D954" t="s">
        <v>314</v>
      </c>
      <c r="E954" t="s">
        <v>569</v>
      </c>
      <c r="F954" t="s">
        <v>61</v>
      </c>
      <c r="G954" t="s">
        <v>111</v>
      </c>
      <c r="H954" t="s">
        <v>113</v>
      </c>
      <c r="I954" t="s">
        <v>112</v>
      </c>
      <c r="J954" t="s">
        <v>114</v>
      </c>
      <c r="K954" t="s">
        <v>1745</v>
      </c>
      <c r="L954" t="s">
        <v>1745</v>
      </c>
    </row>
    <row r="955" spans="1:12" x14ac:dyDescent="0.3">
      <c r="A955" t="s">
        <v>709</v>
      </c>
      <c r="B955" t="s">
        <v>1461</v>
      </c>
      <c r="C955" t="s">
        <v>750</v>
      </c>
      <c r="D955" t="s">
        <v>236</v>
      </c>
      <c r="E955" t="s">
        <v>569</v>
      </c>
      <c r="F955" t="s">
        <v>87</v>
      </c>
      <c r="G955" t="s">
        <v>111</v>
      </c>
      <c r="H955" t="s">
        <v>113</v>
      </c>
      <c r="I955" t="s">
        <v>112</v>
      </c>
      <c r="J955" t="s">
        <v>114</v>
      </c>
      <c r="K955" t="s">
        <v>1745</v>
      </c>
      <c r="L955" t="s">
        <v>1745</v>
      </c>
    </row>
    <row r="956" spans="1:12" x14ac:dyDescent="0.3">
      <c r="A956" t="s">
        <v>709</v>
      </c>
      <c r="B956" t="s">
        <v>1461</v>
      </c>
      <c r="C956" t="s">
        <v>750</v>
      </c>
      <c r="D956" t="s">
        <v>237</v>
      </c>
      <c r="E956" t="s">
        <v>569</v>
      </c>
      <c r="F956" t="s">
        <v>130</v>
      </c>
      <c r="G956" t="s">
        <v>111</v>
      </c>
      <c r="H956" t="s">
        <v>113</v>
      </c>
      <c r="I956" t="s">
        <v>112</v>
      </c>
      <c r="J956" t="s">
        <v>114</v>
      </c>
      <c r="K956" t="s">
        <v>1745</v>
      </c>
      <c r="L956" t="s">
        <v>1745</v>
      </c>
    </row>
    <row r="957" spans="1:12" x14ac:dyDescent="0.3">
      <c r="A957" t="s">
        <v>709</v>
      </c>
      <c r="B957" t="s">
        <v>1461</v>
      </c>
      <c r="C957" t="s">
        <v>750</v>
      </c>
      <c r="D957" t="s">
        <v>238</v>
      </c>
      <c r="E957" t="s">
        <v>569</v>
      </c>
      <c r="F957" t="s">
        <v>131</v>
      </c>
      <c r="G957" t="s">
        <v>111</v>
      </c>
      <c r="H957" t="s">
        <v>113</v>
      </c>
      <c r="I957" t="s">
        <v>112</v>
      </c>
      <c r="J957" t="s">
        <v>114</v>
      </c>
      <c r="K957" t="s">
        <v>1745</v>
      </c>
      <c r="L957" t="s">
        <v>1745</v>
      </c>
    </row>
    <row r="958" spans="1:12" x14ac:dyDescent="0.3">
      <c r="A958" t="s">
        <v>709</v>
      </c>
      <c r="B958" t="s">
        <v>1461</v>
      </c>
      <c r="C958" t="s">
        <v>750</v>
      </c>
      <c r="D958" t="s">
        <v>239</v>
      </c>
      <c r="E958" t="s">
        <v>569</v>
      </c>
      <c r="F958" t="s">
        <v>50</v>
      </c>
      <c r="G958" t="s">
        <v>111</v>
      </c>
      <c r="H958" t="s">
        <v>113</v>
      </c>
      <c r="I958" t="s">
        <v>112</v>
      </c>
      <c r="J958" t="s">
        <v>114</v>
      </c>
      <c r="K958" t="s">
        <v>1745</v>
      </c>
      <c r="L958" t="s">
        <v>1745</v>
      </c>
    </row>
    <row r="959" spans="1:12" x14ac:dyDescent="0.3">
      <c r="A959" t="s">
        <v>709</v>
      </c>
      <c r="B959" t="s">
        <v>1461</v>
      </c>
      <c r="C959" t="s">
        <v>750</v>
      </c>
      <c r="D959" t="s">
        <v>315</v>
      </c>
      <c r="E959" t="s">
        <v>568</v>
      </c>
      <c r="F959" t="s">
        <v>79</v>
      </c>
      <c r="G959" t="s">
        <v>111</v>
      </c>
      <c r="H959" t="s">
        <v>113</v>
      </c>
      <c r="I959" t="s">
        <v>112</v>
      </c>
      <c r="J959" t="s">
        <v>114</v>
      </c>
      <c r="K959" t="s">
        <v>1746</v>
      </c>
      <c r="L959" t="s">
        <v>1746</v>
      </c>
    </row>
    <row r="960" spans="1:12" x14ac:dyDescent="0.3">
      <c r="A960" t="s">
        <v>709</v>
      </c>
      <c r="B960" t="s">
        <v>1461</v>
      </c>
      <c r="C960" t="s">
        <v>750</v>
      </c>
      <c r="D960" t="s">
        <v>316</v>
      </c>
      <c r="E960" t="s">
        <v>568</v>
      </c>
      <c r="F960" t="s">
        <v>132</v>
      </c>
      <c r="G960" t="s">
        <v>111</v>
      </c>
      <c r="H960" t="s">
        <v>113</v>
      </c>
      <c r="I960" t="s">
        <v>112</v>
      </c>
      <c r="J960" t="s">
        <v>114</v>
      </c>
      <c r="K960" t="s">
        <v>1746</v>
      </c>
      <c r="L960" t="s">
        <v>1746</v>
      </c>
    </row>
    <row r="961" spans="1:12" x14ac:dyDescent="0.3">
      <c r="A961" t="s">
        <v>709</v>
      </c>
      <c r="B961" t="s">
        <v>1461</v>
      </c>
      <c r="C961" t="s">
        <v>750</v>
      </c>
      <c r="D961" t="s">
        <v>317</v>
      </c>
      <c r="E961" t="s">
        <v>568</v>
      </c>
      <c r="F961" t="s">
        <v>133</v>
      </c>
      <c r="G961" t="s">
        <v>111</v>
      </c>
      <c r="H961" t="s">
        <v>113</v>
      </c>
      <c r="I961" t="s">
        <v>112</v>
      </c>
      <c r="J961" t="s">
        <v>114</v>
      </c>
      <c r="K961" t="s">
        <v>1747</v>
      </c>
      <c r="L961" t="s">
        <v>1747</v>
      </c>
    </row>
    <row r="962" spans="1:12" x14ac:dyDescent="0.3">
      <c r="A962" t="s">
        <v>709</v>
      </c>
      <c r="B962" t="s">
        <v>1461</v>
      </c>
      <c r="C962" t="s">
        <v>750</v>
      </c>
      <c r="D962" t="s">
        <v>318</v>
      </c>
      <c r="E962" t="s">
        <v>568</v>
      </c>
      <c r="F962" t="s">
        <v>193</v>
      </c>
      <c r="G962" t="s">
        <v>111</v>
      </c>
      <c r="H962" t="s">
        <v>113</v>
      </c>
      <c r="I962" t="s">
        <v>112</v>
      </c>
      <c r="J962" t="s">
        <v>114</v>
      </c>
      <c r="K962" t="s">
        <v>426</v>
      </c>
      <c r="L962" t="s">
        <v>426</v>
      </c>
    </row>
    <row r="963" spans="1:12" x14ac:dyDescent="0.3">
      <c r="A963" t="s">
        <v>709</v>
      </c>
      <c r="B963" t="s">
        <v>1461</v>
      </c>
      <c r="C963" t="s">
        <v>750</v>
      </c>
      <c r="D963" t="s">
        <v>241</v>
      </c>
      <c r="E963" t="s">
        <v>568</v>
      </c>
      <c r="F963" t="s">
        <v>51</v>
      </c>
      <c r="G963" t="s">
        <v>111</v>
      </c>
      <c r="H963" t="s">
        <v>113</v>
      </c>
      <c r="I963" t="s">
        <v>112</v>
      </c>
      <c r="J963" t="s">
        <v>114</v>
      </c>
      <c r="K963" t="s">
        <v>1746</v>
      </c>
      <c r="L963" t="s">
        <v>1746</v>
      </c>
    </row>
    <row r="964" spans="1:12" x14ac:dyDescent="0.3">
      <c r="A964" t="s">
        <v>709</v>
      </c>
      <c r="B964" t="s">
        <v>1461</v>
      </c>
      <c r="C964" t="s">
        <v>750</v>
      </c>
      <c r="D964" t="s">
        <v>242</v>
      </c>
      <c r="E964" t="s">
        <v>568</v>
      </c>
      <c r="F964" t="s">
        <v>163</v>
      </c>
      <c r="G964" t="s">
        <v>111</v>
      </c>
      <c r="H964" t="s">
        <v>113</v>
      </c>
      <c r="I964" t="s">
        <v>112</v>
      </c>
      <c r="J964" t="s">
        <v>114</v>
      </c>
      <c r="K964" t="s">
        <v>1746</v>
      </c>
      <c r="L964" t="s">
        <v>1746</v>
      </c>
    </row>
    <row r="965" spans="1:12" x14ac:dyDescent="0.3">
      <c r="A965" t="s">
        <v>709</v>
      </c>
      <c r="B965" t="s">
        <v>1461</v>
      </c>
      <c r="C965" t="s">
        <v>750</v>
      </c>
      <c r="D965" t="s">
        <v>243</v>
      </c>
      <c r="E965" t="s">
        <v>568</v>
      </c>
      <c r="F965" t="s">
        <v>170</v>
      </c>
      <c r="G965" t="s">
        <v>111</v>
      </c>
      <c r="H965" t="s">
        <v>113</v>
      </c>
      <c r="I965" t="s">
        <v>112</v>
      </c>
      <c r="J965" t="s">
        <v>114</v>
      </c>
      <c r="K965" t="s">
        <v>1746</v>
      </c>
      <c r="L965" t="s">
        <v>1746</v>
      </c>
    </row>
    <row r="966" spans="1:12" x14ac:dyDescent="0.3">
      <c r="A966" t="s">
        <v>709</v>
      </c>
      <c r="B966" t="s">
        <v>1461</v>
      </c>
      <c r="C966" t="s">
        <v>750</v>
      </c>
      <c r="D966" t="s">
        <v>244</v>
      </c>
      <c r="E966" t="s">
        <v>568</v>
      </c>
      <c r="F966" t="s">
        <v>78</v>
      </c>
      <c r="G966" t="s">
        <v>111</v>
      </c>
      <c r="H966" t="s">
        <v>113</v>
      </c>
      <c r="I966" t="s">
        <v>112</v>
      </c>
      <c r="J966" t="s">
        <v>114</v>
      </c>
      <c r="K966" t="s">
        <v>1746</v>
      </c>
      <c r="L966" t="s">
        <v>1746</v>
      </c>
    </row>
    <row r="967" spans="1:12" x14ac:dyDescent="0.3">
      <c r="A967" t="s">
        <v>709</v>
      </c>
      <c r="B967" t="s">
        <v>1461</v>
      </c>
      <c r="C967" t="s">
        <v>750</v>
      </c>
      <c r="D967" t="s">
        <v>319</v>
      </c>
      <c r="E967" t="s">
        <v>568</v>
      </c>
      <c r="F967" t="s">
        <v>136</v>
      </c>
      <c r="G967" t="s">
        <v>111</v>
      </c>
      <c r="H967" t="s">
        <v>118</v>
      </c>
      <c r="I967" t="s">
        <v>112</v>
      </c>
      <c r="J967" t="s">
        <v>119</v>
      </c>
      <c r="K967" t="s">
        <v>1748</v>
      </c>
      <c r="L967" t="s">
        <v>1748</v>
      </c>
    </row>
    <row r="968" spans="1:12" x14ac:dyDescent="0.3">
      <c r="A968" t="s">
        <v>709</v>
      </c>
      <c r="B968" t="s">
        <v>1461</v>
      </c>
      <c r="C968" t="s">
        <v>750</v>
      </c>
      <c r="D968" t="s">
        <v>247</v>
      </c>
      <c r="E968" t="s">
        <v>568</v>
      </c>
      <c r="F968" t="s">
        <v>60</v>
      </c>
      <c r="G968" t="s">
        <v>111</v>
      </c>
      <c r="H968" t="s">
        <v>118</v>
      </c>
      <c r="I968" t="s">
        <v>112</v>
      </c>
      <c r="J968" t="s">
        <v>119</v>
      </c>
      <c r="K968" t="s">
        <v>1746</v>
      </c>
      <c r="L968" t="s">
        <v>1746</v>
      </c>
    </row>
    <row r="969" spans="1:12" x14ac:dyDescent="0.3">
      <c r="A969" t="s">
        <v>709</v>
      </c>
      <c r="B969" t="s">
        <v>1461</v>
      </c>
      <c r="C969" t="s">
        <v>750</v>
      </c>
      <c r="D969" t="s">
        <v>251</v>
      </c>
      <c r="E969" t="s">
        <v>568</v>
      </c>
      <c r="F969" t="s">
        <v>48</v>
      </c>
      <c r="G969" t="s">
        <v>111</v>
      </c>
      <c r="H969" t="s">
        <v>113</v>
      </c>
      <c r="I969" t="s">
        <v>112</v>
      </c>
      <c r="J969" t="s">
        <v>114</v>
      </c>
      <c r="K969" t="s">
        <v>1746</v>
      </c>
      <c r="L969" t="s">
        <v>1746</v>
      </c>
    </row>
    <row r="970" spans="1:12" x14ac:dyDescent="0.3">
      <c r="A970" t="s">
        <v>709</v>
      </c>
      <c r="B970" t="s">
        <v>1461</v>
      </c>
      <c r="C970" t="s">
        <v>750</v>
      </c>
      <c r="D970" t="s">
        <v>252</v>
      </c>
      <c r="E970" t="s">
        <v>568</v>
      </c>
      <c r="F970" t="s">
        <v>138</v>
      </c>
      <c r="G970" t="s">
        <v>111</v>
      </c>
      <c r="H970" t="s">
        <v>113</v>
      </c>
      <c r="I970" t="s">
        <v>112</v>
      </c>
      <c r="J970" t="s">
        <v>114</v>
      </c>
      <c r="K970" t="s">
        <v>1746</v>
      </c>
      <c r="L970" t="s">
        <v>1746</v>
      </c>
    </row>
    <row r="971" spans="1:12" x14ac:dyDescent="0.3">
      <c r="A971" t="s">
        <v>709</v>
      </c>
      <c r="B971" t="s">
        <v>1461</v>
      </c>
      <c r="C971" t="s">
        <v>750</v>
      </c>
      <c r="D971" t="s">
        <v>253</v>
      </c>
      <c r="E971" t="s">
        <v>568</v>
      </c>
      <c r="F971" t="s">
        <v>95</v>
      </c>
      <c r="G971" t="s">
        <v>111</v>
      </c>
      <c r="H971" t="s">
        <v>113</v>
      </c>
      <c r="I971" t="s">
        <v>112</v>
      </c>
      <c r="J971" t="s">
        <v>114</v>
      </c>
      <c r="K971" t="s">
        <v>1746</v>
      </c>
      <c r="L971" t="s">
        <v>1746</v>
      </c>
    </row>
    <row r="972" spans="1:12" x14ac:dyDescent="0.3">
      <c r="A972" t="s">
        <v>709</v>
      </c>
      <c r="B972" t="s">
        <v>1461</v>
      </c>
      <c r="C972" t="s">
        <v>750</v>
      </c>
      <c r="D972" t="s">
        <v>254</v>
      </c>
      <c r="E972" t="s">
        <v>568</v>
      </c>
      <c r="F972" t="s">
        <v>139</v>
      </c>
      <c r="G972" t="s">
        <v>111</v>
      </c>
      <c r="H972" t="s">
        <v>113</v>
      </c>
      <c r="I972" t="s">
        <v>112</v>
      </c>
      <c r="J972" t="s">
        <v>114</v>
      </c>
      <c r="K972" t="s">
        <v>1746</v>
      </c>
      <c r="L972" t="s">
        <v>1746</v>
      </c>
    </row>
    <row r="973" spans="1:12" x14ac:dyDescent="0.3">
      <c r="A973" t="s">
        <v>709</v>
      </c>
      <c r="B973" t="s">
        <v>1461</v>
      </c>
      <c r="C973" t="s">
        <v>750</v>
      </c>
      <c r="D973" t="s">
        <v>255</v>
      </c>
      <c r="E973" t="s">
        <v>568</v>
      </c>
      <c r="F973" t="s">
        <v>171</v>
      </c>
      <c r="G973" t="s">
        <v>111</v>
      </c>
      <c r="H973" t="s">
        <v>113</v>
      </c>
      <c r="I973" t="s">
        <v>112</v>
      </c>
      <c r="J973" t="s">
        <v>114</v>
      </c>
      <c r="K973" t="s">
        <v>1748</v>
      </c>
      <c r="L973" t="s">
        <v>1748</v>
      </c>
    </row>
    <row r="974" spans="1:12" x14ac:dyDescent="0.3">
      <c r="A974" t="s">
        <v>709</v>
      </c>
      <c r="B974" t="s">
        <v>1461</v>
      </c>
      <c r="C974" t="s">
        <v>750</v>
      </c>
      <c r="D974" t="s">
        <v>320</v>
      </c>
      <c r="E974" t="s">
        <v>568</v>
      </c>
      <c r="F974" t="s">
        <v>172</v>
      </c>
      <c r="G974" t="s">
        <v>111</v>
      </c>
      <c r="H974" t="s">
        <v>118</v>
      </c>
      <c r="I974" t="s">
        <v>112</v>
      </c>
      <c r="J974" t="s">
        <v>119</v>
      </c>
      <c r="K974" t="s">
        <v>1746</v>
      </c>
      <c r="L974" t="s">
        <v>1746</v>
      </c>
    </row>
    <row r="975" spans="1:12" x14ac:dyDescent="0.3">
      <c r="A975" t="s">
        <v>709</v>
      </c>
      <c r="B975" t="s">
        <v>1461</v>
      </c>
      <c r="C975" t="s">
        <v>750</v>
      </c>
      <c r="D975" t="s">
        <v>207</v>
      </c>
      <c r="E975" t="s">
        <v>568</v>
      </c>
      <c r="F975" t="s">
        <v>62</v>
      </c>
      <c r="G975" t="s">
        <v>111</v>
      </c>
      <c r="H975" t="s">
        <v>113</v>
      </c>
      <c r="I975" t="s">
        <v>112</v>
      </c>
      <c r="J975" t="s">
        <v>114</v>
      </c>
      <c r="K975" t="s">
        <v>424</v>
      </c>
      <c r="L975" t="s">
        <v>424</v>
      </c>
    </row>
    <row r="976" spans="1:12" x14ac:dyDescent="0.3">
      <c r="A976" t="s">
        <v>709</v>
      </c>
      <c r="B976" t="s">
        <v>1461</v>
      </c>
      <c r="C976" t="s">
        <v>750</v>
      </c>
      <c r="D976" t="s">
        <v>256</v>
      </c>
      <c r="E976" t="s">
        <v>568</v>
      </c>
      <c r="F976" t="s">
        <v>57</v>
      </c>
      <c r="G976" t="s">
        <v>111</v>
      </c>
      <c r="H976" t="s">
        <v>113</v>
      </c>
      <c r="I976" t="s">
        <v>112</v>
      </c>
      <c r="J976" t="s">
        <v>114</v>
      </c>
      <c r="K976" t="s">
        <v>1749</v>
      </c>
      <c r="L976" t="s">
        <v>1749</v>
      </c>
    </row>
    <row r="977" spans="1:12" x14ac:dyDescent="0.3">
      <c r="A977" t="s">
        <v>709</v>
      </c>
      <c r="B977" t="s">
        <v>1461</v>
      </c>
      <c r="C977" t="s">
        <v>750</v>
      </c>
      <c r="D977" t="s">
        <v>322</v>
      </c>
      <c r="E977" t="s">
        <v>568</v>
      </c>
      <c r="F977" t="s">
        <v>173</v>
      </c>
      <c r="G977" t="s">
        <v>111</v>
      </c>
      <c r="H977" t="s">
        <v>113</v>
      </c>
      <c r="I977" t="s">
        <v>112</v>
      </c>
      <c r="J977" t="s">
        <v>114</v>
      </c>
      <c r="K977" t="s">
        <v>425</v>
      </c>
      <c r="L977" t="s">
        <v>425</v>
      </c>
    </row>
    <row r="978" spans="1:12" x14ac:dyDescent="0.3">
      <c r="A978" t="s">
        <v>709</v>
      </c>
      <c r="B978" t="s">
        <v>1461</v>
      </c>
      <c r="C978" t="s">
        <v>750</v>
      </c>
      <c r="D978" t="s">
        <v>257</v>
      </c>
      <c r="E978" t="s">
        <v>568</v>
      </c>
      <c r="F978" t="s">
        <v>174</v>
      </c>
      <c r="G978" t="s">
        <v>111</v>
      </c>
      <c r="H978" t="s">
        <v>113</v>
      </c>
      <c r="I978" t="s">
        <v>112</v>
      </c>
      <c r="J978" t="s">
        <v>114</v>
      </c>
      <c r="K978" t="s">
        <v>1746</v>
      </c>
      <c r="L978" t="s">
        <v>1746</v>
      </c>
    </row>
    <row r="979" spans="1:12" x14ac:dyDescent="0.3">
      <c r="A979" t="s">
        <v>709</v>
      </c>
      <c r="B979" t="s">
        <v>1461</v>
      </c>
      <c r="C979" t="s">
        <v>750</v>
      </c>
      <c r="D979" t="s">
        <v>258</v>
      </c>
      <c r="E979" t="s">
        <v>568</v>
      </c>
      <c r="F979" t="s">
        <v>88</v>
      </c>
      <c r="G979" t="s">
        <v>111</v>
      </c>
      <c r="H979" t="s">
        <v>113</v>
      </c>
      <c r="I979" t="s">
        <v>112</v>
      </c>
      <c r="J979" t="s">
        <v>114</v>
      </c>
      <c r="K979" t="s">
        <v>1746</v>
      </c>
      <c r="L979" t="s">
        <v>1746</v>
      </c>
    </row>
    <row r="980" spans="1:12" x14ac:dyDescent="0.3">
      <c r="A980" t="s">
        <v>709</v>
      </c>
      <c r="B980" t="s">
        <v>1461</v>
      </c>
      <c r="C980" t="s">
        <v>750</v>
      </c>
      <c r="D980" t="s">
        <v>259</v>
      </c>
      <c r="E980" t="s">
        <v>568</v>
      </c>
      <c r="F980" t="s">
        <v>77</v>
      </c>
      <c r="G980" t="s">
        <v>111</v>
      </c>
      <c r="H980" t="s">
        <v>113</v>
      </c>
      <c r="I980" t="s">
        <v>112</v>
      </c>
      <c r="J980" t="s">
        <v>114</v>
      </c>
      <c r="K980" t="s">
        <v>1748</v>
      </c>
      <c r="L980" t="s">
        <v>1748</v>
      </c>
    </row>
    <row r="981" spans="1:12" x14ac:dyDescent="0.3">
      <c r="A981" t="s">
        <v>709</v>
      </c>
      <c r="B981" t="s">
        <v>1461</v>
      </c>
      <c r="C981" t="s">
        <v>750</v>
      </c>
      <c r="D981" t="s">
        <v>323</v>
      </c>
      <c r="E981" t="s">
        <v>568</v>
      </c>
      <c r="F981" t="s">
        <v>74</v>
      </c>
      <c r="G981" t="s">
        <v>111</v>
      </c>
      <c r="H981" t="s">
        <v>113</v>
      </c>
      <c r="I981" t="s">
        <v>112</v>
      </c>
      <c r="J981" t="s">
        <v>114</v>
      </c>
      <c r="K981" t="s">
        <v>1750</v>
      </c>
      <c r="L981" t="s">
        <v>1750</v>
      </c>
    </row>
    <row r="982" spans="1:12" x14ac:dyDescent="0.3">
      <c r="A982" t="s">
        <v>709</v>
      </c>
      <c r="B982" t="s">
        <v>1461</v>
      </c>
      <c r="C982" t="s">
        <v>750</v>
      </c>
      <c r="D982" t="s">
        <v>324</v>
      </c>
      <c r="E982" t="s">
        <v>568</v>
      </c>
      <c r="F982" t="s">
        <v>102</v>
      </c>
      <c r="G982" t="s">
        <v>111</v>
      </c>
      <c r="H982" t="s">
        <v>113</v>
      </c>
      <c r="I982" t="s">
        <v>112</v>
      </c>
      <c r="J982" t="s">
        <v>114</v>
      </c>
      <c r="K982" t="s">
        <v>1746</v>
      </c>
      <c r="L982" t="s">
        <v>1746</v>
      </c>
    </row>
    <row r="983" spans="1:12" x14ac:dyDescent="0.3">
      <c r="A983" t="s">
        <v>709</v>
      </c>
      <c r="B983" t="s">
        <v>1461</v>
      </c>
      <c r="C983" t="s">
        <v>750</v>
      </c>
      <c r="D983" t="s">
        <v>260</v>
      </c>
      <c r="E983" t="s">
        <v>568</v>
      </c>
      <c r="F983" t="s">
        <v>140</v>
      </c>
      <c r="G983" t="s">
        <v>111</v>
      </c>
      <c r="H983" t="s">
        <v>113</v>
      </c>
      <c r="I983" t="s">
        <v>112</v>
      </c>
      <c r="J983" t="s">
        <v>114</v>
      </c>
      <c r="K983" t="s">
        <v>1746</v>
      </c>
      <c r="L983" t="s">
        <v>1746</v>
      </c>
    </row>
    <row r="984" spans="1:12" x14ac:dyDescent="0.3">
      <c r="A984" t="s">
        <v>709</v>
      </c>
      <c r="B984" t="s">
        <v>1461</v>
      </c>
      <c r="C984" t="s">
        <v>750</v>
      </c>
      <c r="D984" t="s">
        <v>263</v>
      </c>
      <c r="E984" t="s">
        <v>568</v>
      </c>
      <c r="F984" t="s">
        <v>141</v>
      </c>
      <c r="G984" t="s">
        <v>111</v>
      </c>
      <c r="H984" t="s">
        <v>113</v>
      </c>
      <c r="I984" t="s">
        <v>112</v>
      </c>
      <c r="J984" t="s">
        <v>114</v>
      </c>
      <c r="K984" t="s">
        <v>1746</v>
      </c>
      <c r="L984" t="s">
        <v>1746</v>
      </c>
    </row>
    <row r="985" spans="1:12" x14ac:dyDescent="0.3">
      <c r="A985" t="s">
        <v>709</v>
      </c>
      <c r="B985" t="s">
        <v>1461</v>
      </c>
      <c r="C985" t="s">
        <v>750</v>
      </c>
      <c r="D985" t="s">
        <v>264</v>
      </c>
      <c r="E985" t="s">
        <v>568</v>
      </c>
      <c r="F985" t="s">
        <v>64</v>
      </c>
      <c r="G985" t="s">
        <v>111</v>
      </c>
      <c r="H985" t="s">
        <v>113</v>
      </c>
      <c r="I985" t="s">
        <v>112</v>
      </c>
      <c r="J985" t="s">
        <v>114</v>
      </c>
      <c r="K985" t="s">
        <v>1746</v>
      </c>
      <c r="L985" t="s">
        <v>1746</v>
      </c>
    </row>
    <row r="986" spans="1:12" x14ac:dyDescent="0.3">
      <c r="A986" t="s">
        <v>709</v>
      </c>
      <c r="B986" t="s">
        <v>1461</v>
      </c>
      <c r="C986" t="s">
        <v>750</v>
      </c>
      <c r="D986" t="s">
        <v>265</v>
      </c>
      <c r="E986" t="s">
        <v>568</v>
      </c>
      <c r="F986" t="s">
        <v>142</v>
      </c>
      <c r="G986" t="s">
        <v>111</v>
      </c>
      <c r="H986" t="s">
        <v>113</v>
      </c>
      <c r="I986" t="s">
        <v>112</v>
      </c>
      <c r="J986" t="s">
        <v>114</v>
      </c>
      <c r="K986" t="s">
        <v>1746</v>
      </c>
      <c r="L986" t="s">
        <v>1746</v>
      </c>
    </row>
    <row r="987" spans="1:12" x14ac:dyDescent="0.3">
      <c r="A987" t="s">
        <v>709</v>
      </c>
      <c r="B987" t="s">
        <v>1461</v>
      </c>
      <c r="C987" t="s">
        <v>750</v>
      </c>
      <c r="D987" t="s">
        <v>326</v>
      </c>
      <c r="E987" t="s">
        <v>568</v>
      </c>
      <c r="F987" t="s">
        <v>144</v>
      </c>
      <c r="G987" t="s">
        <v>111</v>
      </c>
      <c r="H987" t="s">
        <v>113</v>
      </c>
      <c r="I987" t="s">
        <v>112</v>
      </c>
      <c r="J987" t="s">
        <v>114</v>
      </c>
      <c r="K987" t="s">
        <v>1746</v>
      </c>
      <c r="L987" t="s">
        <v>1746</v>
      </c>
    </row>
    <row r="988" spans="1:12" x14ac:dyDescent="0.3">
      <c r="A988" t="s">
        <v>709</v>
      </c>
      <c r="B988" t="s">
        <v>1461</v>
      </c>
      <c r="C988" t="s">
        <v>750</v>
      </c>
      <c r="D988" t="s">
        <v>268</v>
      </c>
      <c r="E988" t="s">
        <v>568</v>
      </c>
      <c r="F988" t="s">
        <v>194</v>
      </c>
      <c r="G988" t="s">
        <v>111</v>
      </c>
      <c r="H988" t="s">
        <v>113</v>
      </c>
      <c r="I988" t="s">
        <v>112</v>
      </c>
      <c r="J988" t="s">
        <v>114</v>
      </c>
      <c r="K988" t="s">
        <v>1748</v>
      </c>
      <c r="L988" t="s">
        <v>1748</v>
      </c>
    </row>
    <row r="989" spans="1:12" x14ac:dyDescent="0.3">
      <c r="A989" t="s">
        <v>709</v>
      </c>
      <c r="B989" t="s">
        <v>1461</v>
      </c>
      <c r="C989" t="s">
        <v>750</v>
      </c>
      <c r="D989" t="s">
        <v>269</v>
      </c>
      <c r="E989" t="s">
        <v>568</v>
      </c>
      <c r="F989" t="s">
        <v>145</v>
      </c>
      <c r="G989" t="s">
        <v>111</v>
      </c>
      <c r="H989" t="s">
        <v>118</v>
      </c>
      <c r="I989" t="s">
        <v>112</v>
      </c>
      <c r="J989" t="s">
        <v>119</v>
      </c>
      <c r="K989" t="s">
        <v>1746</v>
      </c>
      <c r="L989" t="s">
        <v>1746</v>
      </c>
    </row>
    <row r="990" spans="1:12" x14ac:dyDescent="0.3">
      <c r="A990" t="s">
        <v>709</v>
      </c>
      <c r="B990" t="s">
        <v>1461</v>
      </c>
      <c r="C990" t="s">
        <v>750</v>
      </c>
      <c r="D990" t="s">
        <v>270</v>
      </c>
      <c r="E990" t="s">
        <v>568</v>
      </c>
      <c r="F990" t="s">
        <v>81</v>
      </c>
      <c r="G990" t="s">
        <v>111</v>
      </c>
      <c r="H990" t="s">
        <v>113</v>
      </c>
      <c r="I990" t="s">
        <v>112</v>
      </c>
      <c r="J990" t="s">
        <v>114</v>
      </c>
      <c r="K990" t="s">
        <v>1746</v>
      </c>
      <c r="L990" t="s">
        <v>1746</v>
      </c>
    </row>
    <row r="991" spans="1:12" x14ac:dyDescent="0.3">
      <c r="A991" t="s">
        <v>709</v>
      </c>
      <c r="B991" t="s">
        <v>1461</v>
      </c>
      <c r="C991" t="s">
        <v>750</v>
      </c>
      <c r="D991" t="s">
        <v>271</v>
      </c>
      <c r="E991" t="s">
        <v>567</v>
      </c>
      <c r="F991" t="s">
        <v>76</v>
      </c>
      <c r="G991" t="s">
        <v>111</v>
      </c>
      <c r="H991" t="s">
        <v>113</v>
      </c>
      <c r="I991" t="s">
        <v>112</v>
      </c>
      <c r="J991" t="s">
        <v>114</v>
      </c>
      <c r="K991" t="s">
        <v>1746</v>
      </c>
      <c r="L991" t="s">
        <v>1746</v>
      </c>
    </row>
    <row r="992" spans="1:12" x14ac:dyDescent="0.3">
      <c r="A992" t="s">
        <v>709</v>
      </c>
      <c r="B992" t="s">
        <v>1461</v>
      </c>
      <c r="C992" t="s">
        <v>750</v>
      </c>
      <c r="D992" t="s">
        <v>272</v>
      </c>
      <c r="E992" t="s">
        <v>567</v>
      </c>
      <c r="F992" t="s">
        <v>52</v>
      </c>
      <c r="G992" t="s">
        <v>111</v>
      </c>
      <c r="H992" t="s">
        <v>118</v>
      </c>
      <c r="I992" t="s">
        <v>112</v>
      </c>
      <c r="J992" t="s">
        <v>119</v>
      </c>
      <c r="K992" t="s">
        <v>1746</v>
      </c>
      <c r="L992" t="s">
        <v>1746</v>
      </c>
    </row>
    <row r="993" spans="1:12" x14ac:dyDescent="0.3">
      <c r="A993" t="s">
        <v>709</v>
      </c>
      <c r="B993" t="s">
        <v>1461</v>
      </c>
      <c r="C993" t="s">
        <v>750</v>
      </c>
      <c r="D993" t="s">
        <v>327</v>
      </c>
      <c r="E993" t="s">
        <v>567</v>
      </c>
      <c r="F993" t="s">
        <v>104</v>
      </c>
      <c r="G993" t="s">
        <v>111</v>
      </c>
      <c r="H993" t="s">
        <v>113</v>
      </c>
      <c r="I993" t="s">
        <v>112</v>
      </c>
      <c r="J993" t="s">
        <v>114</v>
      </c>
      <c r="K993" t="s">
        <v>1746</v>
      </c>
      <c r="L993" t="s">
        <v>1746</v>
      </c>
    </row>
    <row r="994" spans="1:12" x14ac:dyDescent="0.3">
      <c r="A994" t="s">
        <v>709</v>
      </c>
      <c r="B994" t="s">
        <v>1461</v>
      </c>
      <c r="C994" t="s">
        <v>750</v>
      </c>
      <c r="D994" t="s">
        <v>273</v>
      </c>
      <c r="E994" t="s">
        <v>567</v>
      </c>
      <c r="F994" t="s">
        <v>176</v>
      </c>
      <c r="G994" t="s">
        <v>111</v>
      </c>
      <c r="H994" t="s">
        <v>113</v>
      </c>
      <c r="I994" t="s">
        <v>112</v>
      </c>
      <c r="J994" t="s">
        <v>114</v>
      </c>
      <c r="K994" t="s">
        <v>1746</v>
      </c>
      <c r="L994" t="s">
        <v>1746</v>
      </c>
    </row>
    <row r="995" spans="1:12" x14ac:dyDescent="0.3">
      <c r="A995" t="s">
        <v>709</v>
      </c>
      <c r="B995" t="s">
        <v>1461</v>
      </c>
      <c r="C995" t="s">
        <v>750</v>
      </c>
      <c r="D995" t="s">
        <v>274</v>
      </c>
      <c r="E995" t="s">
        <v>567</v>
      </c>
      <c r="F995" t="s">
        <v>146</v>
      </c>
      <c r="G995" t="s">
        <v>111</v>
      </c>
      <c r="H995" t="s">
        <v>113</v>
      </c>
      <c r="I995" t="s">
        <v>112</v>
      </c>
      <c r="J995" t="s">
        <v>114</v>
      </c>
      <c r="K995" t="s">
        <v>1746</v>
      </c>
      <c r="L995" t="s">
        <v>1746</v>
      </c>
    </row>
    <row r="996" spans="1:12" x14ac:dyDescent="0.3">
      <c r="A996" t="s">
        <v>709</v>
      </c>
      <c r="B996" t="s">
        <v>1461</v>
      </c>
      <c r="C996" t="s">
        <v>750</v>
      </c>
      <c r="D996" t="s">
        <v>275</v>
      </c>
      <c r="E996" t="s">
        <v>567</v>
      </c>
      <c r="F996" t="s">
        <v>148</v>
      </c>
      <c r="G996" t="s">
        <v>111</v>
      </c>
      <c r="H996" t="s">
        <v>113</v>
      </c>
      <c r="I996" t="s">
        <v>112</v>
      </c>
      <c r="J996" t="s">
        <v>114</v>
      </c>
      <c r="K996" t="s">
        <v>1748</v>
      </c>
      <c r="L996" t="s">
        <v>1748</v>
      </c>
    </row>
    <row r="997" spans="1:12" x14ac:dyDescent="0.3">
      <c r="A997" t="s">
        <v>709</v>
      </c>
      <c r="B997" t="s">
        <v>1461</v>
      </c>
      <c r="C997" t="s">
        <v>750</v>
      </c>
      <c r="D997" t="s">
        <v>276</v>
      </c>
      <c r="E997" t="s">
        <v>567</v>
      </c>
      <c r="F997" t="s">
        <v>149</v>
      </c>
      <c r="G997" t="s">
        <v>111</v>
      </c>
      <c r="H997" t="s">
        <v>113</v>
      </c>
      <c r="I997" t="s">
        <v>112</v>
      </c>
      <c r="J997" t="s">
        <v>114</v>
      </c>
      <c r="K997" t="s">
        <v>1746</v>
      </c>
      <c r="L997" t="s">
        <v>1746</v>
      </c>
    </row>
    <row r="998" spans="1:12" x14ac:dyDescent="0.3">
      <c r="A998" t="s">
        <v>709</v>
      </c>
      <c r="B998" t="s">
        <v>1461</v>
      </c>
      <c r="C998" t="s">
        <v>750</v>
      </c>
      <c r="D998" t="s">
        <v>277</v>
      </c>
      <c r="E998" t="s">
        <v>567</v>
      </c>
      <c r="F998" t="s">
        <v>83</v>
      </c>
      <c r="G998" t="s">
        <v>111</v>
      </c>
      <c r="H998" t="s">
        <v>113</v>
      </c>
      <c r="I998" t="s">
        <v>112</v>
      </c>
      <c r="J998" t="s">
        <v>114</v>
      </c>
      <c r="K998" t="s">
        <v>1748</v>
      </c>
      <c r="L998" t="s">
        <v>1748</v>
      </c>
    </row>
    <row r="999" spans="1:12" x14ac:dyDescent="0.3">
      <c r="A999" t="s">
        <v>709</v>
      </c>
      <c r="B999" t="s">
        <v>1461</v>
      </c>
      <c r="C999" t="s">
        <v>750</v>
      </c>
      <c r="D999" t="s">
        <v>278</v>
      </c>
      <c r="E999" t="s">
        <v>567</v>
      </c>
      <c r="F999" t="s">
        <v>203</v>
      </c>
      <c r="G999" t="s">
        <v>111</v>
      </c>
      <c r="H999" t="s">
        <v>113</v>
      </c>
      <c r="I999" t="s">
        <v>112</v>
      </c>
      <c r="J999" t="s">
        <v>114</v>
      </c>
      <c r="K999" t="s">
        <v>1746</v>
      </c>
      <c r="L999" t="s">
        <v>1746</v>
      </c>
    </row>
    <row r="1000" spans="1:12" x14ac:dyDescent="0.3">
      <c r="A1000" t="s">
        <v>709</v>
      </c>
      <c r="B1000" t="s">
        <v>1461</v>
      </c>
      <c r="C1000" t="s">
        <v>750</v>
      </c>
      <c r="D1000" t="s">
        <v>279</v>
      </c>
      <c r="E1000" t="s">
        <v>567</v>
      </c>
      <c r="F1000" t="s">
        <v>150</v>
      </c>
      <c r="G1000" t="s">
        <v>111</v>
      </c>
      <c r="H1000" t="s">
        <v>113</v>
      </c>
      <c r="I1000" t="s">
        <v>112</v>
      </c>
      <c r="J1000" t="s">
        <v>114</v>
      </c>
      <c r="K1000" t="s">
        <v>1750</v>
      </c>
      <c r="L1000" t="s">
        <v>1750</v>
      </c>
    </row>
    <row r="1001" spans="1:12" x14ac:dyDescent="0.3">
      <c r="A1001" t="s">
        <v>709</v>
      </c>
      <c r="B1001" t="s">
        <v>1461</v>
      </c>
      <c r="C1001" t="s">
        <v>750</v>
      </c>
      <c r="D1001" t="s">
        <v>280</v>
      </c>
      <c r="E1001" t="s">
        <v>567</v>
      </c>
      <c r="F1001" t="s">
        <v>71</v>
      </c>
      <c r="G1001" t="s">
        <v>111</v>
      </c>
      <c r="H1001" t="s">
        <v>113</v>
      </c>
      <c r="I1001" t="s">
        <v>112</v>
      </c>
      <c r="J1001" t="s">
        <v>114</v>
      </c>
      <c r="K1001" t="s">
        <v>1746</v>
      </c>
      <c r="L1001" t="s">
        <v>1746</v>
      </c>
    </row>
    <row r="1002" spans="1:12" x14ac:dyDescent="0.3">
      <c r="A1002" t="s">
        <v>709</v>
      </c>
      <c r="B1002" t="s">
        <v>1461</v>
      </c>
      <c r="C1002" t="s">
        <v>750</v>
      </c>
      <c r="D1002" t="s">
        <v>282</v>
      </c>
      <c r="E1002" t="s">
        <v>567</v>
      </c>
      <c r="F1002" t="s">
        <v>90</v>
      </c>
      <c r="G1002" t="s">
        <v>111</v>
      </c>
      <c r="H1002" t="s">
        <v>118</v>
      </c>
      <c r="I1002" t="s">
        <v>112</v>
      </c>
      <c r="J1002" t="s">
        <v>119</v>
      </c>
      <c r="K1002" t="s">
        <v>1746</v>
      </c>
      <c r="L1002" t="s">
        <v>1746</v>
      </c>
    </row>
    <row r="1003" spans="1:12" x14ac:dyDescent="0.3">
      <c r="A1003" t="s">
        <v>709</v>
      </c>
      <c r="B1003" t="s">
        <v>1461</v>
      </c>
      <c r="C1003" t="s">
        <v>750</v>
      </c>
      <c r="D1003" t="s">
        <v>329</v>
      </c>
      <c r="E1003" t="s">
        <v>567</v>
      </c>
      <c r="F1003" t="s">
        <v>92</v>
      </c>
      <c r="G1003" t="s">
        <v>111</v>
      </c>
      <c r="H1003" t="s">
        <v>113</v>
      </c>
      <c r="I1003" t="s">
        <v>112</v>
      </c>
      <c r="J1003" t="s">
        <v>114</v>
      </c>
      <c r="K1003" t="s">
        <v>1746</v>
      </c>
      <c r="L1003" t="s">
        <v>1746</v>
      </c>
    </row>
    <row r="1004" spans="1:12" x14ac:dyDescent="0.3">
      <c r="A1004" t="s">
        <v>709</v>
      </c>
      <c r="B1004" t="s">
        <v>1461</v>
      </c>
      <c r="C1004" t="s">
        <v>750</v>
      </c>
      <c r="D1004" t="s">
        <v>283</v>
      </c>
      <c r="E1004" t="s">
        <v>567</v>
      </c>
      <c r="F1004" t="s">
        <v>63</v>
      </c>
      <c r="G1004" t="s">
        <v>111</v>
      </c>
      <c r="H1004" t="s">
        <v>118</v>
      </c>
      <c r="I1004" t="s">
        <v>112</v>
      </c>
      <c r="J1004" t="s">
        <v>119</v>
      </c>
      <c r="K1004" t="s">
        <v>1746</v>
      </c>
      <c r="L1004" t="s">
        <v>1746</v>
      </c>
    </row>
    <row r="1005" spans="1:12" x14ac:dyDescent="0.3">
      <c r="A1005" t="s">
        <v>709</v>
      </c>
      <c r="B1005" t="s">
        <v>1461</v>
      </c>
      <c r="C1005" t="s">
        <v>750</v>
      </c>
      <c r="D1005" t="s">
        <v>284</v>
      </c>
      <c r="E1005" t="s">
        <v>567</v>
      </c>
      <c r="F1005" t="s">
        <v>151</v>
      </c>
      <c r="G1005" t="s">
        <v>111</v>
      </c>
      <c r="H1005" t="s">
        <v>113</v>
      </c>
      <c r="I1005" t="s">
        <v>112</v>
      </c>
      <c r="J1005" t="s">
        <v>114</v>
      </c>
      <c r="K1005" t="s">
        <v>1748</v>
      </c>
      <c r="L1005" t="s">
        <v>1748</v>
      </c>
    </row>
    <row r="1006" spans="1:12" x14ac:dyDescent="0.3">
      <c r="A1006" t="s">
        <v>709</v>
      </c>
      <c r="B1006" t="s">
        <v>1461</v>
      </c>
      <c r="C1006" t="s">
        <v>750</v>
      </c>
      <c r="D1006" t="s">
        <v>285</v>
      </c>
      <c r="E1006" t="s">
        <v>567</v>
      </c>
      <c r="F1006" t="s">
        <v>195</v>
      </c>
      <c r="G1006" t="s">
        <v>111</v>
      </c>
      <c r="H1006" t="s">
        <v>113</v>
      </c>
      <c r="I1006" t="s">
        <v>112</v>
      </c>
      <c r="J1006" t="s">
        <v>114</v>
      </c>
      <c r="K1006" t="s">
        <v>1750</v>
      </c>
      <c r="L1006" t="s">
        <v>1750</v>
      </c>
    </row>
    <row r="1007" spans="1:12" x14ac:dyDescent="0.3">
      <c r="A1007" t="s">
        <v>709</v>
      </c>
      <c r="B1007" t="s">
        <v>1461</v>
      </c>
      <c r="C1007" t="s">
        <v>750</v>
      </c>
      <c r="D1007" t="s">
        <v>330</v>
      </c>
      <c r="E1007" t="s">
        <v>567</v>
      </c>
      <c r="F1007" t="s">
        <v>177</v>
      </c>
      <c r="G1007" t="s">
        <v>111</v>
      </c>
      <c r="H1007" t="s">
        <v>147</v>
      </c>
      <c r="I1007" t="s">
        <v>112</v>
      </c>
      <c r="J1007" t="s">
        <v>119</v>
      </c>
      <c r="K1007" t="s">
        <v>1751</v>
      </c>
      <c r="L1007" t="s">
        <v>1751</v>
      </c>
    </row>
    <row r="1008" spans="1:12" x14ac:dyDescent="0.3">
      <c r="A1008" t="s">
        <v>709</v>
      </c>
      <c r="B1008" t="s">
        <v>1461</v>
      </c>
      <c r="C1008" t="s">
        <v>750</v>
      </c>
      <c r="D1008" t="s">
        <v>288</v>
      </c>
      <c r="E1008" t="s">
        <v>567</v>
      </c>
      <c r="F1008" t="s">
        <v>178</v>
      </c>
      <c r="G1008" t="s">
        <v>111</v>
      </c>
      <c r="H1008" t="s">
        <v>113</v>
      </c>
      <c r="I1008" t="s">
        <v>112</v>
      </c>
      <c r="J1008" t="s">
        <v>114</v>
      </c>
      <c r="K1008" t="s">
        <v>1746</v>
      </c>
      <c r="L1008" t="s">
        <v>1746</v>
      </c>
    </row>
    <row r="1009" spans="1:12" x14ac:dyDescent="0.3">
      <c r="A1009" t="s">
        <v>709</v>
      </c>
      <c r="B1009" t="s">
        <v>1461</v>
      </c>
      <c r="C1009" t="s">
        <v>750</v>
      </c>
      <c r="D1009" t="s">
        <v>289</v>
      </c>
      <c r="E1009" t="s">
        <v>567</v>
      </c>
      <c r="F1009" t="s">
        <v>179</v>
      </c>
      <c r="G1009" t="s">
        <v>111</v>
      </c>
      <c r="H1009" t="s">
        <v>118</v>
      </c>
      <c r="I1009" t="s">
        <v>112</v>
      </c>
      <c r="J1009" t="s">
        <v>119</v>
      </c>
      <c r="K1009" t="s">
        <v>1746</v>
      </c>
      <c r="L1009" t="s">
        <v>1746</v>
      </c>
    </row>
    <row r="1010" spans="1:12" x14ac:dyDescent="0.3">
      <c r="A1010" t="s">
        <v>709</v>
      </c>
      <c r="B1010" t="s">
        <v>1461</v>
      </c>
      <c r="C1010" t="s">
        <v>750</v>
      </c>
      <c r="D1010" t="s">
        <v>290</v>
      </c>
      <c r="E1010" t="s">
        <v>567</v>
      </c>
      <c r="F1010" t="s">
        <v>153</v>
      </c>
      <c r="G1010" t="s">
        <v>111</v>
      </c>
      <c r="H1010" t="s">
        <v>113</v>
      </c>
      <c r="I1010" t="s">
        <v>112</v>
      </c>
      <c r="J1010" t="s">
        <v>114</v>
      </c>
      <c r="K1010" t="s">
        <v>422</v>
      </c>
      <c r="L1010" t="s">
        <v>422</v>
      </c>
    </row>
    <row r="1011" spans="1:12" x14ac:dyDescent="0.3">
      <c r="A1011" t="s">
        <v>709</v>
      </c>
      <c r="B1011" t="s">
        <v>1461</v>
      </c>
      <c r="C1011" t="s">
        <v>750</v>
      </c>
      <c r="D1011" t="s">
        <v>291</v>
      </c>
      <c r="E1011" t="s">
        <v>567</v>
      </c>
      <c r="F1011" t="s">
        <v>154</v>
      </c>
      <c r="G1011" t="s">
        <v>111</v>
      </c>
      <c r="H1011" t="s">
        <v>113</v>
      </c>
      <c r="I1011" t="s">
        <v>112</v>
      </c>
      <c r="J1011" t="s">
        <v>114</v>
      </c>
      <c r="K1011" t="s">
        <v>1749</v>
      </c>
      <c r="L1011" t="s">
        <v>1749</v>
      </c>
    </row>
    <row r="1012" spans="1:12" x14ac:dyDescent="0.3">
      <c r="A1012" t="s">
        <v>709</v>
      </c>
      <c r="B1012" t="s">
        <v>1461</v>
      </c>
      <c r="C1012" t="s">
        <v>750</v>
      </c>
      <c r="D1012" t="s">
        <v>292</v>
      </c>
      <c r="E1012" t="s">
        <v>567</v>
      </c>
      <c r="F1012" t="s">
        <v>55</v>
      </c>
      <c r="G1012" t="s">
        <v>111</v>
      </c>
      <c r="H1012" t="s">
        <v>118</v>
      </c>
      <c r="I1012" t="s">
        <v>112</v>
      </c>
      <c r="J1012" t="s">
        <v>119</v>
      </c>
      <c r="K1012" t="s">
        <v>1746</v>
      </c>
      <c r="L1012" t="s">
        <v>1746</v>
      </c>
    </row>
    <row r="1013" spans="1:12" x14ac:dyDescent="0.3">
      <c r="A1013" t="s">
        <v>709</v>
      </c>
      <c r="B1013" t="s">
        <v>1461</v>
      </c>
      <c r="C1013" t="s">
        <v>750</v>
      </c>
      <c r="D1013" t="s">
        <v>334</v>
      </c>
      <c r="E1013" t="s">
        <v>567</v>
      </c>
      <c r="F1013" t="s">
        <v>155</v>
      </c>
      <c r="G1013" t="s">
        <v>111</v>
      </c>
      <c r="H1013" t="s">
        <v>113</v>
      </c>
      <c r="I1013" t="s">
        <v>112</v>
      </c>
      <c r="J1013" t="s">
        <v>114</v>
      </c>
      <c r="K1013" t="s">
        <v>1748</v>
      </c>
      <c r="L1013" t="s">
        <v>1748</v>
      </c>
    </row>
    <row r="1014" spans="1:12" x14ac:dyDescent="0.3">
      <c r="A1014" t="s">
        <v>709</v>
      </c>
      <c r="B1014" t="s">
        <v>1461</v>
      </c>
      <c r="C1014" t="s">
        <v>750</v>
      </c>
      <c r="D1014" t="s">
        <v>295</v>
      </c>
      <c r="E1014" t="s">
        <v>567</v>
      </c>
      <c r="F1014" t="s">
        <v>103</v>
      </c>
      <c r="G1014" t="s">
        <v>111</v>
      </c>
      <c r="H1014" t="s">
        <v>113</v>
      </c>
      <c r="I1014" t="s">
        <v>112</v>
      </c>
      <c r="J1014" t="s">
        <v>114</v>
      </c>
      <c r="K1014" t="s">
        <v>1746</v>
      </c>
      <c r="L1014" t="s">
        <v>1746</v>
      </c>
    </row>
    <row r="1015" spans="1:12" x14ac:dyDescent="0.3">
      <c r="A1015" t="s">
        <v>709</v>
      </c>
      <c r="B1015" t="s">
        <v>1461</v>
      </c>
      <c r="C1015" t="s">
        <v>750</v>
      </c>
      <c r="D1015" t="s">
        <v>337</v>
      </c>
      <c r="E1015" t="s">
        <v>567</v>
      </c>
      <c r="F1015" t="s">
        <v>157</v>
      </c>
      <c r="G1015" t="s">
        <v>111</v>
      </c>
      <c r="H1015" t="s">
        <v>113</v>
      </c>
      <c r="I1015" t="s">
        <v>112</v>
      </c>
      <c r="J1015" t="s">
        <v>114</v>
      </c>
      <c r="K1015" t="s">
        <v>1746</v>
      </c>
      <c r="L1015" t="s">
        <v>1746</v>
      </c>
    </row>
    <row r="1016" spans="1:12" x14ac:dyDescent="0.3">
      <c r="A1016" t="s">
        <v>709</v>
      </c>
      <c r="B1016" t="s">
        <v>1461</v>
      </c>
      <c r="C1016" t="s">
        <v>750</v>
      </c>
      <c r="D1016" t="s">
        <v>296</v>
      </c>
      <c r="E1016" t="s">
        <v>567</v>
      </c>
      <c r="F1016" t="s">
        <v>198</v>
      </c>
      <c r="G1016" t="s">
        <v>111</v>
      </c>
      <c r="H1016" t="s">
        <v>113</v>
      </c>
      <c r="I1016" t="s">
        <v>112</v>
      </c>
      <c r="J1016" t="s">
        <v>114</v>
      </c>
      <c r="K1016" t="s">
        <v>1746</v>
      </c>
      <c r="L1016" t="s">
        <v>1746</v>
      </c>
    </row>
    <row r="1017" spans="1:12" x14ac:dyDescent="0.3">
      <c r="A1017" t="s">
        <v>709</v>
      </c>
      <c r="B1017" t="s">
        <v>1461</v>
      </c>
      <c r="C1017" t="s">
        <v>750</v>
      </c>
      <c r="D1017" t="s">
        <v>297</v>
      </c>
      <c r="E1017" t="s">
        <v>567</v>
      </c>
      <c r="F1017" t="s">
        <v>180</v>
      </c>
      <c r="G1017" t="s">
        <v>111</v>
      </c>
      <c r="H1017" t="s">
        <v>118</v>
      </c>
      <c r="I1017" t="s">
        <v>112</v>
      </c>
      <c r="J1017" t="s">
        <v>119</v>
      </c>
      <c r="K1017" t="s">
        <v>1748</v>
      </c>
      <c r="L1017" t="s">
        <v>1748</v>
      </c>
    </row>
    <row r="1018" spans="1:12" x14ac:dyDescent="0.3">
      <c r="A1018" t="s">
        <v>709</v>
      </c>
      <c r="B1018" t="s">
        <v>1461</v>
      </c>
      <c r="C1018" t="s">
        <v>750</v>
      </c>
      <c r="D1018" t="s">
        <v>298</v>
      </c>
      <c r="E1018" t="s">
        <v>567</v>
      </c>
      <c r="F1018" t="s">
        <v>158</v>
      </c>
      <c r="G1018" t="s">
        <v>111</v>
      </c>
      <c r="H1018" t="s">
        <v>113</v>
      </c>
      <c r="I1018" t="s">
        <v>112</v>
      </c>
      <c r="J1018" t="s">
        <v>114</v>
      </c>
      <c r="K1018" t="s">
        <v>1748</v>
      </c>
      <c r="L1018" t="s">
        <v>1748</v>
      </c>
    </row>
    <row r="1019" spans="1:12" x14ac:dyDescent="0.3">
      <c r="A1019" t="s">
        <v>709</v>
      </c>
      <c r="B1019" t="s">
        <v>1461</v>
      </c>
      <c r="C1019" t="s">
        <v>750</v>
      </c>
      <c r="D1019" t="s">
        <v>336</v>
      </c>
      <c r="E1019" t="s">
        <v>567</v>
      </c>
      <c r="F1019" t="s">
        <v>159</v>
      </c>
      <c r="G1019" t="s">
        <v>111</v>
      </c>
      <c r="H1019" t="s">
        <v>113</v>
      </c>
      <c r="I1019" t="s">
        <v>112</v>
      </c>
      <c r="J1019" t="s">
        <v>114</v>
      </c>
      <c r="K1019" t="s">
        <v>1746</v>
      </c>
      <c r="L1019" t="s">
        <v>1746</v>
      </c>
    </row>
    <row r="1020" spans="1:12" x14ac:dyDescent="0.3">
      <c r="A1020" t="s">
        <v>709</v>
      </c>
      <c r="B1020" t="s">
        <v>1461</v>
      </c>
      <c r="C1020" t="s">
        <v>750</v>
      </c>
      <c r="D1020" t="s">
        <v>299</v>
      </c>
      <c r="E1020" t="s">
        <v>567</v>
      </c>
      <c r="F1020" t="s">
        <v>47</v>
      </c>
      <c r="G1020" t="s">
        <v>111</v>
      </c>
      <c r="H1020" t="s">
        <v>113</v>
      </c>
      <c r="I1020" t="s">
        <v>112</v>
      </c>
      <c r="J1020" t="s">
        <v>114</v>
      </c>
      <c r="K1020" t="s">
        <v>1746</v>
      </c>
      <c r="L1020" t="s">
        <v>1746</v>
      </c>
    </row>
    <row r="1021" spans="1:12" x14ac:dyDescent="0.3">
      <c r="A1021" t="s">
        <v>709</v>
      </c>
      <c r="B1021" t="s">
        <v>1461</v>
      </c>
      <c r="C1021" t="s">
        <v>750</v>
      </c>
      <c r="D1021" t="s">
        <v>300</v>
      </c>
      <c r="E1021" t="s">
        <v>567</v>
      </c>
      <c r="F1021" t="s">
        <v>181</v>
      </c>
      <c r="G1021" t="s">
        <v>111</v>
      </c>
      <c r="H1021" t="s">
        <v>118</v>
      </c>
      <c r="I1021" t="s">
        <v>112</v>
      </c>
      <c r="J1021" t="s">
        <v>119</v>
      </c>
      <c r="K1021" t="s">
        <v>1746</v>
      </c>
      <c r="L1021" t="s">
        <v>1746</v>
      </c>
    </row>
    <row r="1022" spans="1:12" x14ac:dyDescent="0.3">
      <c r="A1022" t="s">
        <v>709</v>
      </c>
      <c r="B1022" t="s">
        <v>1461</v>
      </c>
      <c r="C1022" t="s">
        <v>750</v>
      </c>
      <c r="D1022" t="s">
        <v>208</v>
      </c>
      <c r="E1022" t="s">
        <v>567</v>
      </c>
      <c r="F1022" t="s">
        <v>161</v>
      </c>
      <c r="G1022" t="s">
        <v>111</v>
      </c>
      <c r="H1022" t="s">
        <v>113</v>
      </c>
      <c r="I1022" t="s">
        <v>112</v>
      </c>
      <c r="J1022" t="s">
        <v>114</v>
      </c>
      <c r="K1022" t="s">
        <v>1746</v>
      </c>
      <c r="L1022" t="s">
        <v>1746</v>
      </c>
    </row>
    <row r="1023" spans="1:12" x14ac:dyDescent="0.3">
      <c r="A1023" t="s">
        <v>709</v>
      </c>
      <c r="B1023" t="s">
        <v>1461</v>
      </c>
      <c r="C1023" t="s">
        <v>750</v>
      </c>
      <c r="D1023" t="s">
        <v>1581</v>
      </c>
      <c r="E1023" t="s">
        <v>569</v>
      </c>
      <c r="F1023" t="s">
        <v>115</v>
      </c>
      <c r="G1023" t="s">
        <v>111</v>
      </c>
      <c r="H1023" t="s">
        <v>113</v>
      </c>
      <c r="I1023" t="s">
        <v>112</v>
      </c>
      <c r="J1023" t="s">
        <v>114</v>
      </c>
      <c r="K1023" t="s">
        <v>1745</v>
      </c>
      <c r="L1023" t="s">
        <v>1745</v>
      </c>
    </row>
    <row r="1024" spans="1:12" x14ac:dyDescent="0.3">
      <c r="A1024" t="s">
        <v>709</v>
      </c>
      <c r="B1024" t="s">
        <v>1461</v>
      </c>
      <c r="C1024" t="s">
        <v>750</v>
      </c>
      <c r="D1024" t="s">
        <v>1583</v>
      </c>
      <c r="E1024" t="s">
        <v>569</v>
      </c>
      <c r="F1024" t="s">
        <v>59</v>
      </c>
      <c r="G1024" t="s">
        <v>111</v>
      </c>
      <c r="H1024" t="s">
        <v>113</v>
      </c>
      <c r="I1024" t="s">
        <v>112</v>
      </c>
      <c r="J1024" t="s">
        <v>114</v>
      </c>
      <c r="K1024" t="s">
        <v>1746</v>
      </c>
      <c r="L1024" t="s">
        <v>1746</v>
      </c>
    </row>
    <row r="1025" spans="1:12" x14ac:dyDescent="0.3">
      <c r="A1025" t="s">
        <v>709</v>
      </c>
      <c r="B1025" t="s">
        <v>1461</v>
      </c>
      <c r="C1025" t="s">
        <v>750</v>
      </c>
      <c r="D1025" t="s">
        <v>1584</v>
      </c>
      <c r="E1025" t="s">
        <v>569</v>
      </c>
      <c r="F1025" t="s">
        <v>117</v>
      </c>
      <c r="G1025" t="s">
        <v>111</v>
      </c>
      <c r="H1025" t="s">
        <v>113</v>
      </c>
      <c r="I1025" t="s">
        <v>112</v>
      </c>
      <c r="J1025" t="s">
        <v>114</v>
      </c>
      <c r="K1025" t="s">
        <v>1745</v>
      </c>
      <c r="L1025" t="s">
        <v>1745</v>
      </c>
    </row>
    <row r="1026" spans="1:12" x14ac:dyDescent="0.3">
      <c r="A1026" t="s">
        <v>709</v>
      </c>
      <c r="B1026" t="s">
        <v>1461</v>
      </c>
      <c r="C1026" t="s">
        <v>750</v>
      </c>
      <c r="D1026" t="s">
        <v>1585</v>
      </c>
      <c r="E1026" t="s">
        <v>569</v>
      </c>
      <c r="F1026" t="s">
        <v>188</v>
      </c>
      <c r="G1026" t="s">
        <v>111</v>
      </c>
      <c r="H1026" t="s">
        <v>113</v>
      </c>
      <c r="I1026" t="s">
        <v>112</v>
      </c>
      <c r="J1026" t="s">
        <v>114</v>
      </c>
      <c r="K1026" t="s">
        <v>1745</v>
      </c>
      <c r="L1026" t="s">
        <v>1745</v>
      </c>
    </row>
    <row r="1027" spans="1:12" x14ac:dyDescent="0.3">
      <c r="A1027" t="s">
        <v>709</v>
      </c>
      <c r="B1027" t="s">
        <v>1461</v>
      </c>
      <c r="C1027" t="s">
        <v>750</v>
      </c>
      <c r="D1027" t="s">
        <v>1587</v>
      </c>
      <c r="E1027" t="s">
        <v>569</v>
      </c>
      <c r="F1027" t="s">
        <v>164</v>
      </c>
      <c r="G1027" t="s">
        <v>111</v>
      </c>
      <c r="H1027" t="s">
        <v>113</v>
      </c>
      <c r="I1027" t="s">
        <v>112</v>
      </c>
      <c r="J1027" t="s">
        <v>114</v>
      </c>
      <c r="K1027" t="s">
        <v>1746</v>
      </c>
      <c r="L1027" t="s">
        <v>1746</v>
      </c>
    </row>
    <row r="1028" spans="1:12" x14ac:dyDescent="0.3">
      <c r="A1028" t="s">
        <v>709</v>
      </c>
      <c r="B1028" t="s">
        <v>1461</v>
      </c>
      <c r="C1028" t="s">
        <v>750</v>
      </c>
      <c r="D1028" t="s">
        <v>1588</v>
      </c>
      <c r="E1028" t="s">
        <v>569</v>
      </c>
      <c r="F1028" t="s">
        <v>53</v>
      </c>
      <c r="G1028" t="s">
        <v>111</v>
      </c>
      <c r="H1028" t="s">
        <v>113</v>
      </c>
      <c r="I1028" t="s">
        <v>112</v>
      </c>
      <c r="J1028" t="s">
        <v>114</v>
      </c>
      <c r="K1028" t="s">
        <v>1745</v>
      </c>
      <c r="L1028" t="s">
        <v>1745</v>
      </c>
    </row>
    <row r="1029" spans="1:12" x14ac:dyDescent="0.3">
      <c r="A1029" t="s">
        <v>709</v>
      </c>
      <c r="B1029" t="s">
        <v>1461</v>
      </c>
      <c r="C1029" t="s">
        <v>750</v>
      </c>
      <c r="D1029" t="s">
        <v>1704</v>
      </c>
      <c r="E1029" t="s">
        <v>569</v>
      </c>
      <c r="F1029" t="s">
        <v>121</v>
      </c>
      <c r="G1029" t="s">
        <v>111</v>
      </c>
      <c r="H1029" t="s">
        <v>113</v>
      </c>
      <c r="I1029" t="s">
        <v>112</v>
      </c>
      <c r="J1029" t="s">
        <v>114</v>
      </c>
      <c r="K1029" t="s">
        <v>1748</v>
      </c>
      <c r="L1029" t="s">
        <v>1748</v>
      </c>
    </row>
    <row r="1030" spans="1:12" x14ac:dyDescent="0.3">
      <c r="A1030" t="s">
        <v>709</v>
      </c>
      <c r="B1030" t="s">
        <v>1461</v>
      </c>
      <c r="C1030" t="s">
        <v>750</v>
      </c>
      <c r="D1030" t="s">
        <v>1590</v>
      </c>
      <c r="E1030" t="s">
        <v>569</v>
      </c>
      <c r="F1030" t="s">
        <v>122</v>
      </c>
      <c r="G1030" t="s">
        <v>111</v>
      </c>
      <c r="H1030" t="s">
        <v>113</v>
      </c>
      <c r="I1030" t="s">
        <v>112</v>
      </c>
      <c r="J1030" t="s">
        <v>114</v>
      </c>
      <c r="K1030" t="s">
        <v>1746</v>
      </c>
      <c r="L1030" t="s">
        <v>1746</v>
      </c>
    </row>
    <row r="1031" spans="1:12" x14ac:dyDescent="0.3">
      <c r="A1031" t="s">
        <v>709</v>
      </c>
      <c r="B1031" t="s">
        <v>1461</v>
      </c>
      <c r="C1031" t="s">
        <v>750</v>
      </c>
      <c r="D1031" t="s">
        <v>1591</v>
      </c>
      <c r="E1031" t="s">
        <v>569</v>
      </c>
      <c r="F1031" t="s">
        <v>165</v>
      </c>
      <c r="G1031" t="s">
        <v>111</v>
      </c>
      <c r="H1031" t="s">
        <v>113</v>
      </c>
      <c r="I1031" t="s">
        <v>112</v>
      </c>
      <c r="J1031" t="s">
        <v>114</v>
      </c>
      <c r="K1031" t="s">
        <v>1745</v>
      </c>
      <c r="L1031" t="s">
        <v>1745</v>
      </c>
    </row>
    <row r="1032" spans="1:12" x14ac:dyDescent="0.3">
      <c r="A1032" t="s">
        <v>709</v>
      </c>
      <c r="B1032" t="s">
        <v>1461</v>
      </c>
      <c r="C1032" t="s">
        <v>750</v>
      </c>
      <c r="D1032" t="s">
        <v>1705</v>
      </c>
      <c r="E1032" t="s">
        <v>569</v>
      </c>
      <c r="F1032" t="s">
        <v>166</v>
      </c>
      <c r="G1032" t="s">
        <v>111</v>
      </c>
      <c r="H1032" t="s">
        <v>118</v>
      </c>
      <c r="I1032" t="s">
        <v>112</v>
      </c>
      <c r="J1032" t="s">
        <v>119</v>
      </c>
      <c r="K1032" t="s">
        <v>1745</v>
      </c>
      <c r="L1032" t="s">
        <v>1745</v>
      </c>
    </row>
    <row r="1033" spans="1:12" x14ac:dyDescent="0.3">
      <c r="A1033" t="s">
        <v>709</v>
      </c>
      <c r="B1033" t="s">
        <v>1461</v>
      </c>
      <c r="C1033" t="s">
        <v>750</v>
      </c>
      <c r="D1033" t="s">
        <v>1706</v>
      </c>
      <c r="E1033" t="s">
        <v>569</v>
      </c>
      <c r="F1033" t="s">
        <v>123</v>
      </c>
      <c r="G1033" t="s">
        <v>111</v>
      </c>
      <c r="H1033" t="s">
        <v>118</v>
      </c>
      <c r="I1033" t="s">
        <v>112</v>
      </c>
      <c r="J1033" t="s">
        <v>119</v>
      </c>
      <c r="K1033" t="s">
        <v>1745</v>
      </c>
      <c r="L1033" t="s">
        <v>1745</v>
      </c>
    </row>
    <row r="1034" spans="1:12" x14ac:dyDescent="0.3">
      <c r="A1034" t="s">
        <v>709</v>
      </c>
      <c r="B1034" t="s">
        <v>1461</v>
      </c>
      <c r="C1034" t="s">
        <v>750</v>
      </c>
      <c r="D1034" t="s">
        <v>1707</v>
      </c>
      <c r="E1034" t="s">
        <v>569</v>
      </c>
      <c r="F1034" t="s">
        <v>189</v>
      </c>
      <c r="G1034" t="s">
        <v>111</v>
      </c>
      <c r="H1034" t="s">
        <v>113</v>
      </c>
      <c r="I1034" t="s">
        <v>112</v>
      </c>
      <c r="J1034" t="s">
        <v>114</v>
      </c>
      <c r="K1034" t="s">
        <v>1745</v>
      </c>
      <c r="L1034" t="s">
        <v>1745</v>
      </c>
    </row>
    <row r="1035" spans="1:12" x14ac:dyDescent="0.3">
      <c r="A1035" t="s">
        <v>709</v>
      </c>
      <c r="B1035" t="s">
        <v>1461</v>
      </c>
      <c r="C1035" t="s">
        <v>750</v>
      </c>
      <c r="D1035" t="s">
        <v>1592</v>
      </c>
      <c r="E1035" t="s">
        <v>569</v>
      </c>
      <c r="F1035" t="s">
        <v>54</v>
      </c>
      <c r="G1035" t="s">
        <v>111</v>
      </c>
      <c r="H1035" t="s">
        <v>113</v>
      </c>
      <c r="I1035" t="s">
        <v>112</v>
      </c>
      <c r="J1035" t="s">
        <v>114</v>
      </c>
      <c r="K1035" t="s">
        <v>1745</v>
      </c>
      <c r="L1035" t="s">
        <v>1745</v>
      </c>
    </row>
    <row r="1036" spans="1:12" x14ac:dyDescent="0.3">
      <c r="A1036" t="s">
        <v>709</v>
      </c>
      <c r="B1036" t="s">
        <v>1461</v>
      </c>
      <c r="C1036" t="s">
        <v>750</v>
      </c>
      <c r="D1036" t="s">
        <v>1593</v>
      </c>
      <c r="E1036" t="s">
        <v>569</v>
      </c>
      <c r="F1036" t="s">
        <v>45</v>
      </c>
      <c r="G1036" t="s">
        <v>111</v>
      </c>
      <c r="H1036" t="s">
        <v>113</v>
      </c>
      <c r="I1036" t="s">
        <v>112</v>
      </c>
      <c r="J1036" t="s">
        <v>114</v>
      </c>
      <c r="K1036" t="s">
        <v>1745</v>
      </c>
      <c r="L1036" t="s">
        <v>1745</v>
      </c>
    </row>
    <row r="1037" spans="1:12" x14ac:dyDescent="0.3">
      <c r="A1037" t="s">
        <v>709</v>
      </c>
      <c r="B1037" t="s">
        <v>1461</v>
      </c>
      <c r="C1037" t="s">
        <v>750</v>
      </c>
      <c r="D1037" t="s">
        <v>1597</v>
      </c>
      <c r="E1037" t="s">
        <v>569</v>
      </c>
      <c r="F1037" t="s">
        <v>124</v>
      </c>
      <c r="G1037" t="s">
        <v>111</v>
      </c>
      <c r="H1037" t="s">
        <v>113</v>
      </c>
      <c r="I1037" t="s">
        <v>112</v>
      </c>
      <c r="J1037" t="s">
        <v>114</v>
      </c>
      <c r="K1037" t="s">
        <v>1746</v>
      </c>
      <c r="L1037" t="s">
        <v>1746</v>
      </c>
    </row>
    <row r="1038" spans="1:12" x14ac:dyDescent="0.3">
      <c r="A1038" t="s">
        <v>709</v>
      </c>
      <c r="B1038" t="s">
        <v>1461</v>
      </c>
      <c r="C1038" t="s">
        <v>750</v>
      </c>
      <c r="D1038" t="s">
        <v>1598</v>
      </c>
      <c r="E1038" t="s">
        <v>569</v>
      </c>
      <c r="F1038" t="s">
        <v>58</v>
      </c>
      <c r="G1038" t="s">
        <v>111</v>
      </c>
      <c r="H1038" t="s">
        <v>118</v>
      </c>
      <c r="I1038" t="s">
        <v>112</v>
      </c>
      <c r="J1038" t="s">
        <v>119</v>
      </c>
      <c r="K1038" t="s">
        <v>1746</v>
      </c>
      <c r="L1038" t="s">
        <v>1746</v>
      </c>
    </row>
    <row r="1039" spans="1:12" x14ac:dyDescent="0.3">
      <c r="A1039" t="s">
        <v>709</v>
      </c>
      <c r="B1039" t="s">
        <v>1461</v>
      </c>
      <c r="C1039" t="s">
        <v>750</v>
      </c>
      <c r="D1039" t="s">
        <v>1708</v>
      </c>
      <c r="E1039" t="s">
        <v>569</v>
      </c>
      <c r="F1039" t="s">
        <v>65</v>
      </c>
      <c r="G1039" t="s">
        <v>111</v>
      </c>
      <c r="H1039" t="s">
        <v>113</v>
      </c>
      <c r="I1039" t="s">
        <v>112</v>
      </c>
      <c r="J1039" t="s">
        <v>114</v>
      </c>
      <c r="K1039" t="s">
        <v>1745</v>
      </c>
      <c r="L1039" t="s">
        <v>1745</v>
      </c>
    </row>
    <row r="1040" spans="1:12" x14ac:dyDescent="0.3">
      <c r="A1040" t="s">
        <v>709</v>
      </c>
      <c r="B1040" t="s">
        <v>1461</v>
      </c>
      <c r="C1040" t="s">
        <v>750</v>
      </c>
      <c r="D1040" t="s">
        <v>1709</v>
      </c>
      <c r="E1040" t="s">
        <v>569</v>
      </c>
      <c r="F1040" t="s">
        <v>125</v>
      </c>
      <c r="G1040" t="s">
        <v>111</v>
      </c>
      <c r="H1040" t="s">
        <v>113</v>
      </c>
      <c r="I1040" t="s">
        <v>112</v>
      </c>
      <c r="J1040" t="s">
        <v>114</v>
      </c>
      <c r="K1040" t="s">
        <v>1745</v>
      </c>
      <c r="L1040" t="s">
        <v>1745</v>
      </c>
    </row>
    <row r="1041" spans="1:12" x14ac:dyDescent="0.3">
      <c r="A1041" t="s">
        <v>709</v>
      </c>
      <c r="B1041" t="s">
        <v>1461</v>
      </c>
      <c r="C1041" t="s">
        <v>750</v>
      </c>
      <c r="D1041" t="s">
        <v>1710</v>
      </c>
      <c r="E1041" t="s">
        <v>569</v>
      </c>
      <c r="F1041" t="s">
        <v>80</v>
      </c>
      <c r="G1041" t="s">
        <v>111</v>
      </c>
      <c r="H1041" t="s">
        <v>113</v>
      </c>
      <c r="I1041" t="s">
        <v>112</v>
      </c>
      <c r="J1041" t="s">
        <v>114</v>
      </c>
      <c r="K1041" t="s">
        <v>1752</v>
      </c>
      <c r="L1041" t="s">
        <v>1752</v>
      </c>
    </row>
    <row r="1042" spans="1:12" x14ac:dyDescent="0.3">
      <c r="A1042" t="s">
        <v>709</v>
      </c>
      <c r="B1042" t="s">
        <v>1461</v>
      </c>
      <c r="C1042" t="s">
        <v>750</v>
      </c>
      <c r="D1042" t="s">
        <v>1602</v>
      </c>
      <c r="E1042" t="s">
        <v>569</v>
      </c>
      <c r="F1042" t="s">
        <v>167</v>
      </c>
      <c r="G1042" t="s">
        <v>111</v>
      </c>
      <c r="H1042" t="s">
        <v>118</v>
      </c>
      <c r="I1042" t="s">
        <v>112</v>
      </c>
      <c r="J1042" t="s">
        <v>119</v>
      </c>
      <c r="K1042" t="s">
        <v>1745</v>
      </c>
      <c r="L1042" t="s">
        <v>1745</v>
      </c>
    </row>
    <row r="1043" spans="1:12" x14ac:dyDescent="0.3">
      <c r="A1043" t="s">
        <v>709</v>
      </c>
      <c r="B1043" t="s">
        <v>1461</v>
      </c>
      <c r="C1043" t="s">
        <v>750</v>
      </c>
      <c r="D1043" t="s">
        <v>1606</v>
      </c>
      <c r="E1043" t="s">
        <v>569</v>
      </c>
      <c r="F1043" t="s">
        <v>168</v>
      </c>
      <c r="G1043" t="s">
        <v>111</v>
      </c>
      <c r="H1043" t="s">
        <v>118</v>
      </c>
      <c r="I1043" t="s">
        <v>112</v>
      </c>
      <c r="J1043" t="s">
        <v>119</v>
      </c>
      <c r="K1043" t="s">
        <v>1746</v>
      </c>
      <c r="L1043" t="s">
        <v>1746</v>
      </c>
    </row>
    <row r="1044" spans="1:12" x14ac:dyDescent="0.3">
      <c r="A1044" t="s">
        <v>709</v>
      </c>
      <c r="B1044" t="s">
        <v>1461</v>
      </c>
      <c r="C1044" t="s">
        <v>750</v>
      </c>
      <c r="D1044" t="s">
        <v>1607</v>
      </c>
      <c r="E1044" t="s">
        <v>569</v>
      </c>
      <c r="F1044" t="s">
        <v>89</v>
      </c>
      <c r="G1044" t="s">
        <v>111</v>
      </c>
      <c r="H1044" t="s">
        <v>113</v>
      </c>
      <c r="I1044" t="s">
        <v>112</v>
      </c>
      <c r="J1044" t="s">
        <v>114</v>
      </c>
      <c r="K1044" t="s">
        <v>1745</v>
      </c>
      <c r="L1044" t="s">
        <v>1745</v>
      </c>
    </row>
    <row r="1045" spans="1:12" x14ac:dyDescent="0.3">
      <c r="A1045" t="s">
        <v>709</v>
      </c>
      <c r="B1045" t="s">
        <v>1461</v>
      </c>
      <c r="C1045" t="s">
        <v>750</v>
      </c>
      <c r="D1045" t="s">
        <v>1611</v>
      </c>
      <c r="E1045" t="s">
        <v>569</v>
      </c>
      <c r="F1045" t="s">
        <v>169</v>
      </c>
      <c r="G1045" t="s">
        <v>111</v>
      </c>
      <c r="H1045" t="s">
        <v>118</v>
      </c>
      <c r="I1045" t="s">
        <v>112</v>
      </c>
      <c r="J1045" t="s">
        <v>119</v>
      </c>
      <c r="K1045" t="s">
        <v>1745</v>
      </c>
      <c r="L1045" t="s">
        <v>1745</v>
      </c>
    </row>
    <row r="1046" spans="1:12" x14ac:dyDescent="0.3">
      <c r="A1046" t="s">
        <v>709</v>
      </c>
      <c r="B1046" t="s">
        <v>1461</v>
      </c>
      <c r="C1046" t="s">
        <v>750</v>
      </c>
      <c r="D1046" t="s">
        <v>1612</v>
      </c>
      <c r="E1046" t="s">
        <v>569</v>
      </c>
      <c r="F1046" t="s">
        <v>110</v>
      </c>
      <c r="G1046" t="s">
        <v>111</v>
      </c>
      <c r="H1046" t="s">
        <v>113</v>
      </c>
      <c r="I1046" t="s">
        <v>112</v>
      </c>
      <c r="J1046" t="s">
        <v>114</v>
      </c>
      <c r="K1046" t="s">
        <v>1747</v>
      </c>
      <c r="L1046" t="s">
        <v>1747</v>
      </c>
    </row>
    <row r="1047" spans="1:12" x14ac:dyDescent="0.3">
      <c r="A1047" t="s">
        <v>709</v>
      </c>
      <c r="B1047" t="s">
        <v>1461</v>
      </c>
      <c r="C1047" t="s">
        <v>750</v>
      </c>
      <c r="D1047" t="s">
        <v>1613</v>
      </c>
      <c r="E1047" t="s">
        <v>569</v>
      </c>
      <c r="F1047" t="s">
        <v>93</v>
      </c>
      <c r="G1047" t="s">
        <v>111</v>
      </c>
      <c r="H1047" t="s">
        <v>113</v>
      </c>
      <c r="I1047" t="s">
        <v>112</v>
      </c>
      <c r="J1047" t="s">
        <v>114</v>
      </c>
      <c r="K1047" t="s">
        <v>1745</v>
      </c>
      <c r="L1047" t="s">
        <v>1745</v>
      </c>
    </row>
    <row r="1048" spans="1:12" x14ac:dyDescent="0.3">
      <c r="A1048" t="s">
        <v>709</v>
      </c>
      <c r="B1048" t="s">
        <v>1461</v>
      </c>
      <c r="C1048" t="s">
        <v>750</v>
      </c>
      <c r="D1048" t="s">
        <v>1614</v>
      </c>
      <c r="E1048" t="s">
        <v>569</v>
      </c>
      <c r="F1048" t="s">
        <v>129</v>
      </c>
      <c r="G1048" t="s">
        <v>111</v>
      </c>
      <c r="H1048" t="s">
        <v>113</v>
      </c>
      <c r="I1048" t="s">
        <v>112</v>
      </c>
      <c r="J1048" t="s">
        <v>114</v>
      </c>
      <c r="K1048" t="s">
        <v>1745</v>
      </c>
      <c r="L1048" t="s">
        <v>1745</v>
      </c>
    </row>
    <row r="1049" spans="1:12" x14ac:dyDescent="0.3">
      <c r="A1049" t="s">
        <v>709</v>
      </c>
      <c r="B1049" t="s">
        <v>1461</v>
      </c>
      <c r="C1049" t="s">
        <v>750</v>
      </c>
      <c r="D1049" t="s">
        <v>1711</v>
      </c>
      <c r="E1049" t="s">
        <v>569</v>
      </c>
      <c r="F1049" t="s">
        <v>85</v>
      </c>
      <c r="G1049" t="s">
        <v>111</v>
      </c>
      <c r="H1049" t="s">
        <v>113</v>
      </c>
      <c r="I1049" t="s">
        <v>112</v>
      </c>
      <c r="J1049" t="s">
        <v>114</v>
      </c>
      <c r="K1049" t="s">
        <v>1745</v>
      </c>
      <c r="L1049" t="s">
        <v>1745</v>
      </c>
    </row>
    <row r="1050" spans="1:12" x14ac:dyDescent="0.3">
      <c r="A1050" t="s">
        <v>709</v>
      </c>
      <c r="B1050" t="s">
        <v>1461</v>
      </c>
      <c r="C1050" t="s">
        <v>750</v>
      </c>
      <c r="D1050" t="s">
        <v>1712</v>
      </c>
      <c r="E1050" t="s">
        <v>569</v>
      </c>
      <c r="F1050" t="s">
        <v>61</v>
      </c>
      <c r="G1050" t="s">
        <v>111</v>
      </c>
      <c r="H1050" t="s">
        <v>113</v>
      </c>
      <c r="I1050" t="s">
        <v>112</v>
      </c>
      <c r="J1050" t="s">
        <v>114</v>
      </c>
      <c r="K1050" t="s">
        <v>1745</v>
      </c>
      <c r="L1050" t="s">
        <v>1745</v>
      </c>
    </row>
    <row r="1051" spans="1:12" x14ac:dyDescent="0.3">
      <c r="A1051" t="s">
        <v>709</v>
      </c>
      <c r="B1051" t="s">
        <v>1461</v>
      </c>
      <c r="C1051" t="s">
        <v>750</v>
      </c>
      <c r="D1051" t="s">
        <v>1615</v>
      </c>
      <c r="E1051" t="s">
        <v>569</v>
      </c>
      <c r="F1051" t="s">
        <v>87</v>
      </c>
      <c r="G1051" t="s">
        <v>111</v>
      </c>
      <c r="H1051" t="s">
        <v>113</v>
      </c>
      <c r="I1051" t="s">
        <v>112</v>
      </c>
      <c r="J1051" t="s">
        <v>114</v>
      </c>
      <c r="K1051" t="s">
        <v>1745</v>
      </c>
      <c r="L1051" t="s">
        <v>1745</v>
      </c>
    </row>
    <row r="1052" spans="1:12" x14ac:dyDescent="0.3">
      <c r="A1052" t="s">
        <v>709</v>
      </c>
      <c r="B1052" t="s">
        <v>1461</v>
      </c>
      <c r="C1052" t="s">
        <v>750</v>
      </c>
      <c r="D1052" t="s">
        <v>1616</v>
      </c>
      <c r="E1052" t="s">
        <v>569</v>
      </c>
      <c r="F1052" t="s">
        <v>130</v>
      </c>
      <c r="G1052" t="s">
        <v>111</v>
      </c>
      <c r="H1052" t="s">
        <v>113</v>
      </c>
      <c r="I1052" t="s">
        <v>112</v>
      </c>
      <c r="J1052" t="s">
        <v>114</v>
      </c>
      <c r="K1052" t="s">
        <v>1745</v>
      </c>
      <c r="L1052" t="s">
        <v>1745</v>
      </c>
    </row>
    <row r="1053" spans="1:12" x14ac:dyDescent="0.3">
      <c r="A1053" t="s">
        <v>709</v>
      </c>
      <c r="B1053" t="s">
        <v>1461</v>
      </c>
      <c r="C1053" t="s">
        <v>750</v>
      </c>
      <c r="D1053" t="s">
        <v>1617</v>
      </c>
      <c r="E1053" t="s">
        <v>569</v>
      </c>
      <c r="F1053" t="s">
        <v>131</v>
      </c>
      <c r="G1053" t="s">
        <v>111</v>
      </c>
      <c r="H1053" t="s">
        <v>113</v>
      </c>
      <c r="I1053" t="s">
        <v>112</v>
      </c>
      <c r="J1053" t="s">
        <v>114</v>
      </c>
      <c r="K1053" t="s">
        <v>1745</v>
      </c>
      <c r="L1053" t="s">
        <v>1745</v>
      </c>
    </row>
    <row r="1054" spans="1:12" x14ac:dyDescent="0.3">
      <c r="A1054" t="s">
        <v>709</v>
      </c>
      <c r="B1054" t="s">
        <v>1461</v>
      </c>
      <c r="C1054" t="s">
        <v>750</v>
      </c>
      <c r="D1054" t="s">
        <v>1618</v>
      </c>
      <c r="E1054" t="s">
        <v>569</v>
      </c>
      <c r="F1054" t="s">
        <v>50</v>
      </c>
      <c r="G1054" t="s">
        <v>111</v>
      </c>
      <c r="H1054" t="s">
        <v>113</v>
      </c>
      <c r="I1054" t="s">
        <v>112</v>
      </c>
      <c r="J1054" t="s">
        <v>114</v>
      </c>
      <c r="K1054" t="s">
        <v>1745</v>
      </c>
      <c r="L1054" t="s">
        <v>1745</v>
      </c>
    </row>
    <row r="1055" spans="1:12" x14ac:dyDescent="0.3">
      <c r="A1055" t="s">
        <v>709</v>
      </c>
      <c r="B1055" t="s">
        <v>1461</v>
      </c>
      <c r="C1055" t="s">
        <v>750</v>
      </c>
      <c r="D1055" t="s">
        <v>1713</v>
      </c>
      <c r="E1055" t="s">
        <v>568</v>
      </c>
      <c r="F1055" t="s">
        <v>79</v>
      </c>
      <c r="G1055" t="s">
        <v>111</v>
      </c>
      <c r="H1055" t="s">
        <v>113</v>
      </c>
      <c r="I1055" t="s">
        <v>112</v>
      </c>
      <c r="J1055" t="s">
        <v>114</v>
      </c>
      <c r="K1055" t="s">
        <v>1746</v>
      </c>
      <c r="L1055" t="s">
        <v>1746</v>
      </c>
    </row>
    <row r="1056" spans="1:12" x14ac:dyDescent="0.3">
      <c r="A1056" t="s">
        <v>709</v>
      </c>
      <c r="B1056" t="s">
        <v>1461</v>
      </c>
      <c r="C1056" t="s">
        <v>750</v>
      </c>
      <c r="D1056" t="s">
        <v>1620</v>
      </c>
      <c r="E1056" t="s">
        <v>568</v>
      </c>
      <c r="F1056" t="s">
        <v>134</v>
      </c>
      <c r="G1056" t="s">
        <v>111</v>
      </c>
      <c r="H1056" t="s">
        <v>113</v>
      </c>
      <c r="I1056" t="s">
        <v>112</v>
      </c>
      <c r="J1056" t="s">
        <v>114</v>
      </c>
      <c r="K1056" t="s">
        <v>1746</v>
      </c>
      <c r="L1056" t="s">
        <v>1746</v>
      </c>
    </row>
    <row r="1057" spans="1:12" x14ac:dyDescent="0.3">
      <c r="A1057" t="s">
        <v>709</v>
      </c>
      <c r="B1057" t="s">
        <v>1461</v>
      </c>
      <c r="C1057" t="s">
        <v>750</v>
      </c>
      <c r="D1057" t="s">
        <v>1621</v>
      </c>
      <c r="E1057" t="s">
        <v>568</v>
      </c>
      <c r="F1057" t="s">
        <v>51</v>
      </c>
      <c r="G1057" t="s">
        <v>111</v>
      </c>
      <c r="H1057" t="s">
        <v>118</v>
      </c>
      <c r="I1057" t="s">
        <v>112</v>
      </c>
      <c r="J1057" t="s">
        <v>119</v>
      </c>
      <c r="K1057" t="s">
        <v>1746</v>
      </c>
      <c r="L1057" t="s">
        <v>1746</v>
      </c>
    </row>
    <row r="1058" spans="1:12" x14ac:dyDescent="0.3">
      <c r="A1058" t="s">
        <v>709</v>
      </c>
      <c r="B1058" t="s">
        <v>1461</v>
      </c>
      <c r="C1058" t="s">
        <v>750</v>
      </c>
      <c r="D1058" t="s">
        <v>1622</v>
      </c>
      <c r="E1058" t="s">
        <v>568</v>
      </c>
      <c r="F1058" t="s">
        <v>163</v>
      </c>
      <c r="G1058" t="s">
        <v>111</v>
      </c>
      <c r="H1058" t="s">
        <v>118</v>
      </c>
      <c r="I1058" t="s">
        <v>112</v>
      </c>
      <c r="J1058" t="s">
        <v>119</v>
      </c>
      <c r="K1058" t="s">
        <v>1746</v>
      </c>
      <c r="L1058" t="s">
        <v>1746</v>
      </c>
    </row>
    <row r="1059" spans="1:12" x14ac:dyDescent="0.3">
      <c r="A1059" t="s">
        <v>709</v>
      </c>
      <c r="B1059" t="s">
        <v>1461</v>
      </c>
      <c r="C1059" t="s">
        <v>750</v>
      </c>
      <c r="D1059" t="s">
        <v>1624</v>
      </c>
      <c r="E1059" t="s">
        <v>568</v>
      </c>
      <c r="F1059" t="s">
        <v>78</v>
      </c>
      <c r="G1059" t="s">
        <v>111</v>
      </c>
      <c r="H1059" t="s">
        <v>113</v>
      </c>
      <c r="I1059" t="s">
        <v>112</v>
      </c>
      <c r="J1059" t="s">
        <v>114</v>
      </c>
      <c r="K1059" t="s">
        <v>1746</v>
      </c>
      <c r="L1059" t="s">
        <v>1746</v>
      </c>
    </row>
    <row r="1060" spans="1:12" x14ac:dyDescent="0.3">
      <c r="A1060" t="s">
        <v>709</v>
      </c>
      <c r="B1060" t="s">
        <v>1461</v>
      </c>
      <c r="C1060" t="s">
        <v>750</v>
      </c>
      <c r="D1060" t="s">
        <v>1625</v>
      </c>
      <c r="E1060" t="s">
        <v>568</v>
      </c>
      <c r="F1060" t="s">
        <v>82</v>
      </c>
      <c r="G1060" t="s">
        <v>111</v>
      </c>
      <c r="H1060" t="s">
        <v>113</v>
      </c>
      <c r="I1060" t="s">
        <v>112</v>
      </c>
      <c r="J1060" t="s">
        <v>114</v>
      </c>
      <c r="K1060" t="s">
        <v>1746</v>
      </c>
      <c r="L1060" t="s">
        <v>1746</v>
      </c>
    </row>
    <row r="1061" spans="1:12" x14ac:dyDescent="0.3">
      <c r="A1061" t="s">
        <v>709</v>
      </c>
      <c r="B1061" t="s">
        <v>1461</v>
      </c>
      <c r="C1061" t="s">
        <v>750</v>
      </c>
      <c r="D1061" t="s">
        <v>1626</v>
      </c>
      <c r="E1061" t="s">
        <v>568</v>
      </c>
      <c r="F1061" t="s">
        <v>135</v>
      </c>
      <c r="G1061" t="s">
        <v>111</v>
      </c>
      <c r="H1061" t="s">
        <v>118</v>
      </c>
      <c r="I1061" t="s">
        <v>112</v>
      </c>
      <c r="J1061" t="s">
        <v>119</v>
      </c>
      <c r="K1061" t="s">
        <v>1746</v>
      </c>
      <c r="L1061" t="s">
        <v>1746</v>
      </c>
    </row>
    <row r="1062" spans="1:12" x14ac:dyDescent="0.3">
      <c r="A1062" t="s">
        <v>709</v>
      </c>
      <c r="B1062" t="s">
        <v>1461</v>
      </c>
      <c r="C1062" t="s">
        <v>750</v>
      </c>
      <c r="D1062" t="s">
        <v>1628</v>
      </c>
      <c r="E1062" t="s">
        <v>568</v>
      </c>
      <c r="F1062" t="s">
        <v>60</v>
      </c>
      <c r="G1062" t="s">
        <v>111</v>
      </c>
      <c r="H1062" t="s">
        <v>113</v>
      </c>
      <c r="I1062" t="s">
        <v>112</v>
      </c>
      <c r="J1062" t="s">
        <v>114</v>
      </c>
      <c r="K1062" t="s">
        <v>1746</v>
      </c>
      <c r="L1062" t="s">
        <v>1746</v>
      </c>
    </row>
    <row r="1063" spans="1:12" x14ac:dyDescent="0.3">
      <c r="A1063" t="s">
        <v>709</v>
      </c>
      <c r="B1063" t="s">
        <v>1461</v>
      </c>
      <c r="C1063" t="s">
        <v>750</v>
      </c>
      <c r="D1063" t="s">
        <v>1630</v>
      </c>
      <c r="E1063" t="s">
        <v>568</v>
      </c>
      <c r="F1063" t="s">
        <v>48</v>
      </c>
      <c r="G1063" t="s">
        <v>111</v>
      </c>
      <c r="H1063" t="s">
        <v>113</v>
      </c>
      <c r="I1063" t="s">
        <v>112</v>
      </c>
      <c r="J1063" t="s">
        <v>114</v>
      </c>
      <c r="K1063" t="s">
        <v>1746</v>
      </c>
      <c r="L1063" t="s">
        <v>1746</v>
      </c>
    </row>
    <row r="1064" spans="1:12" x14ac:dyDescent="0.3">
      <c r="A1064" t="s">
        <v>709</v>
      </c>
      <c r="B1064" t="s">
        <v>1461</v>
      </c>
      <c r="C1064" t="s">
        <v>750</v>
      </c>
      <c r="D1064" t="s">
        <v>1632</v>
      </c>
      <c r="E1064" t="s">
        <v>568</v>
      </c>
      <c r="F1064" t="s">
        <v>95</v>
      </c>
      <c r="G1064" t="s">
        <v>111</v>
      </c>
      <c r="H1064" t="s">
        <v>113</v>
      </c>
      <c r="I1064" t="s">
        <v>112</v>
      </c>
      <c r="J1064" t="s">
        <v>114</v>
      </c>
      <c r="K1064" t="s">
        <v>1746</v>
      </c>
      <c r="L1064" t="s">
        <v>1746</v>
      </c>
    </row>
    <row r="1065" spans="1:12" x14ac:dyDescent="0.3">
      <c r="A1065" t="s">
        <v>709</v>
      </c>
      <c r="B1065" t="s">
        <v>1461</v>
      </c>
      <c r="C1065" t="s">
        <v>750</v>
      </c>
      <c r="D1065" t="s">
        <v>1633</v>
      </c>
      <c r="E1065" t="s">
        <v>568</v>
      </c>
      <c r="F1065" t="s">
        <v>139</v>
      </c>
      <c r="G1065" t="s">
        <v>111</v>
      </c>
      <c r="H1065" t="s">
        <v>113</v>
      </c>
      <c r="I1065" t="s">
        <v>112</v>
      </c>
      <c r="J1065" t="s">
        <v>114</v>
      </c>
      <c r="K1065" t="s">
        <v>1746</v>
      </c>
      <c r="L1065" t="s">
        <v>1746</v>
      </c>
    </row>
    <row r="1066" spans="1:12" x14ac:dyDescent="0.3">
      <c r="A1066" t="s">
        <v>709</v>
      </c>
      <c r="B1066" t="s">
        <v>1461</v>
      </c>
      <c r="C1066" t="s">
        <v>750</v>
      </c>
      <c r="D1066" t="s">
        <v>1634</v>
      </c>
      <c r="E1066" t="s">
        <v>568</v>
      </c>
      <c r="F1066" t="s">
        <v>171</v>
      </c>
      <c r="G1066" t="s">
        <v>111</v>
      </c>
      <c r="H1066" t="s">
        <v>118</v>
      </c>
      <c r="I1066" t="s">
        <v>112</v>
      </c>
      <c r="J1066" t="s">
        <v>119</v>
      </c>
      <c r="K1066" t="s">
        <v>1748</v>
      </c>
      <c r="L1066" t="s">
        <v>1748</v>
      </c>
    </row>
    <row r="1067" spans="1:12" x14ac:dyDescent="0.3">
      <c r="A1067" t="s">
        <v>709</v>
      </c>
      <c r="B1067" t="s">
        <v>1461</v>
      </c>
      <c r="C1067" t="s">
        <v>750</v>
      </c>
      <c r="D1067" t="s">
        <v>1636</v>
      </c>
      <c r="E1067" t="s">
        <v>568</v>
      </c>
      <c r="F1067" t="s">
        <v>172</v>
      </c>
      <c r="G1067" t="s">
        <v>111</v>
      </c>
      <c r="H1067" t="s">
        <v>113</v>
      </c>
      <c r="I1067" t="s">
        <v>112</v>
      </c>
      <c r="J1067" t="s">
        <v>114</v>
      </c>
      <c r="K1067" t="s">
        <v>1746</v>
      </c>
      <c r="L1067" t="s">
        <v>1746</v>
      </c>
    </row>
    <row r="1068" spans="1:12" x14ac:dyDescent="0.3">
      <c r="A1068" t="s">
        <v>709</v>
      </c>
      <c r="B1068" t="s">
        <v>1461</v>
      </c>
      <c r="C1068" t="s">
        <v>750</v>
      </c>
      <c r="D1068" t="s">
        <v>1714</v>
      </c>
      <c r="E1068" t="s">
        <v>568</v>
      </c>
      <c r="F1068" t="s">
        <v>94</v>
      </c>
      <c r="G1068" t="s">
        <v>111</v>
      </c>
      <c r="H1068" t="s">
        <v>113</v>
      </c>
      <c r="I1068" t="s">
        <v>112</v>
      </c>
      <c r="J1068" t="s">
        <v>114</v>
      </c>
      <c r="K1068" t="s">
        <v>1746</v>
      </c>
      <c r="L1068" t="s">
        <v>1746</v>
      </c>
    </row>
    <row r="1069" spans="1:12" x14ac:dyDescent="0.3">
      <c r="A1069" t="s">
        <v>709</v>
      </c>
      <c r="B1069" t="s">
        <v>1461</v>
      </c>
      <c r="C1069" t="s">
        <v>750</v>
      </c>
      <c r="D1069" t="s">
        <v>1638</v>
      </c>
      <c r="E1069" t="s">
        <v>568</v>
      </c>
      <c r="F1069" t="s">
        <v>57</v>
      </c>
      <c r="G1069" t="s">
        <v>111</v>
      </c>
      <c r="H1069" t="s">
        <v>113</v>
      </c>
      <c r="I1069" t="s">
        <v>112</v>
      </c>
      <c r="J1069" t="s">
        <v>114</v>
      </c>
      <c r="K1069" t="s">
        <v>1749</v>
      </c>
      <c r="L1069" t="s">
        <v>1749</v>
      </c>
    </row>
    <row r="1070" spans="1:12" x14ac:dyDescent="0.3">
      <c r="A1070" t="s">
        <v>709</v>
      </c>
      <c r="B1070" t="s">
        <v>1461</v>
      </c>
      <c r="C1070" t="s">
        <v>750</v>
      </c>
      <c r="D1070" t="s">
        <v>1715</v>
      </c>
      <c r="E1070" t="s">
        <v>568</v>
      </c>
      <c r="F1070" t="s">
        <v>173</v>
      </c>
      <c r="G1070" t="s">
        <v>111</v>
      </c>
      <c r="H1070" t="s">
        <v>118</v>
      </c>
      <c r="I1070" t="s">
        <v>112</v>
      </c>
      <c r="J1070" t="s">
        <v>119</v>
      </c>
      <c r="K1070" t="s">
        <v>425</v>
      </c>
      <c r="L1070" t="s">
        <v>425</v>
      </c>
    </row>
    <row r="1071" spans="1:12" x14ac:dyDescent="0.3">
      <c r="A1071" t="s">
        <v>709</v>
      </c>
      <c r="B1071" t="s">
        <v>1461</v>
      </c>
      <c r="C1071" t="s">
        <v>750</v>
      </c>
      <c r="D1071" t="s">
        <v>1639</v>
      </c>
      <c r="E1071" t="s">
        <v>568</v>
      </c>
      <c r="F1071" t="s">
        <v>174</v>
      </c>
      <c r="G1071" t="s">
        <v>111</v>
      </c>
      <c r="H1071" t="s">
        <v>113</v>
      </c>
      <c r="I1071" t="s">
        <v>112</v>
      </c>
      <c r="J1071" t="s">
        <v>114</v>
      </c>
      <c r="K1071" t="s">
        <v>1746</v>
      </c>
      <c r="L1071" t="s">
        <v>1746</v>
      </c>
    </row>
    <row r="1072" spans="1:12" x14ac:dyDescent="0.3">
      <c r="A1072" t="s">
        <v>709</v>
      </c>
      <c r="B1072" t="s">
        <v>1461</v>
      </c>
      <c r="C1072" t="s">
        <v>750</v>
      </c>
      <c r="D1072" t="s">
        <v>1716</v>
      </c>
      <c r="E1072" t="s">
        <v>568</v>
      </c>
      <c r="F1072" t="s">
        <v>88</v>
      </c>
      <c r="G1072" t="s">
        <v>111</v>
      </c>
      <c r="H1072" t="s">
        <v>113</v>
      </c>
      <c r="I1072" t="s">
        <v>112</v>
      </c>
      <c r="J1072" t="s">
        <v>114</v>
      </c>
      <c r="K1072" t="s">
        <v>1746</v>
      </c>
      <c r="L1072" t="s">
        <v>1746</v>
      </c>
    </row>
    <row r="1073" spans="1:12" x14ac:dyDescent="0.3">
      <c r="A1073" t="s">
        <v>709</v>
      </c>
      <c r="B1073" t="s">
        <v>1461</v>
      </c>
      <c r="C1073" t="s">
        <v>750</v>
      </c>
      <c r="D1073" t="s">
        <v>1640</v>
      </c>
      <c r="E1073" t="s">
        <v>568</v>
      </c>
      <c r="F1073" t="s">
        <v>77</v>
      </c>
      <c r="G1073" t="s">
        <v>111</v>
      </c>
      <c r="H1073" t="s">
        <v>118</v>
      </c>
      <c r="I1073" t="s">
        <v>112</v>
      </c>
      <c r="J1073" t="s">
        <v>119</v>
      </c>
      <c r="K1073" t="s">
        <v>1748</v>
      </c>
      <c r="L1073" t="s">
        <v>1748</v>
      </c>
    </row>
    <row r="1074" spans="1:12" x14ac:dyDescent="0.3">
      <c r="A1074" t="s">
        <v>709</v>
      </c>
      <c r="B1074" t="s">
        <v>1461</v>
      </c>
      <c r="C1074" t="s">
        <v>750</v>
      </c>
      <c r="D1074" t="s">
        <v>1717</v>
      </c>
      <c r="E1074" t="s">
        <v>568</v>
      </c>
      <c r="F1074" t="s">
        <v>74</v>
      </c>
      <c r="G1074" t="s">
        <v>111</v>
      </c>
      <c r="H1074" t="s">
        <v>118</v>
      </c>
      <c r="I1074" t="s">
        <v>112</v>
      </c>
      <c r="J1074" t="s">
        <v>119</v>
      </c>
      <c r="K1074" t="s">
        <v>1750</v>
      </c>
      <c r="L1074" t="s">
        <v>1750</v>
      </c>
    </row>
    <row r="1075" spans="1:12" x14ac:dyDescent="0.3">
      <c r="A1075" t="s">
        <v>709</v>
      </c>
      <c r="B1075" t="s">
        <v>1461</v>
      </c>
      <c r="C1075" t="s">
        <v>750</v>
      </c>
      <c r="D1075" t="s">
        <v>1718</v>
      </c>
      <c r="E1075" t="s">
        <v>568</v>
      </c>
      <c r="F1075" t="s">
        <v>140</v>
      </c>
      <c r="G1075" t="s">
        <v>111</v>
      </c>
      <c r="H1075" t="s">
        <v>113</v>
      </c>
      <c r="I1075" t="s">
        <v>112</v>
      </c>
      <c r="J1075" t="s">
        <v>114</v>
      </c>
      <c r="K1075" t="s">
        <v>1746</v>
      </c>
      <c r="L1075" t="s">
        <v>1746</v>
      </c>
    </row>
    <row r="1076" spans="1:12" x14ac:dyDescent="0.3">
      <c r="A1076" t="s">
        <v>709</v>
      </c>
      <c r="B1076" t="s">
        <v>1461</v>
      </c>
      <c r="C1076" t="s">
        <v>750</v>
      </c>
      <c r="D1076" t="s">
        <v>1642</v>
      </c>
      <c r="E1076" t="s">
        <v>568</v>
      </c>
      <c r="F1076" t="s">
        <v>175</v>
      </c>
      <c r="G1076" t="s">
        <v>111</v>
      </c>
      <c r="H1076" t="s">
        <v>113</v>
      </c>
      <c r="I1076" t="s">
        <v>112</v>
      </c>
      <c r="J1076" t="s">
        <v>114</v>
      </c>
      <c r="K1076" t="s">
        <v>1746</v>
      </c>
      <c r="L1076" t="s">
        <v>1746</v>
      </c>
    </row>
    <row r="1077" spans="1:12" x14ac:dyDescent="0.3">
      <c r="A1077" t="s">
        <v>709</v>
      </c>
      <c r="B1077" t="s">
        <v>1461</v>
      </c>
      <c r="C1077" t="s">
        <v>750</v>
      </c>
      <c r="D1077" t="s">
        <v>1643</v>
      </c>
      <c r="E1077" t="s">
        <v>568</v>
      </c>
      <c r="F1077" t="s">
        <v>46</v>
      </c>
      <c r="G1077" t="s">
        <v>111</v>
      </c>
      <c r="H1077" t="s">
        <v>113</v>
      </c>
      <c r="I1077" t="s">
        <v>112</v>
      </c>
      <c r="J1077" t="s">
        <v>114</v>
      </c>
      <c r="K1077" t="s">
        <v>1746</v>
      </c>
      <c r="L1077" t="s">
        <v>1746</v>
      </c>
    </row>
    <row r="1078" spans="1:12" x14ac:dyDescent="0.3">
      <c r="A1078" t="s">
        <v>709</v>
      </c>
      <c r="B1078" t="s">
        <v>1461</v>
      </c>
      <c r="C1078" t="s">
        <v>750</v>
      </c>
      <c r="D1078" t="s">
        <v>1645</v>
      </c>
      <c r="E1078" t="s">
        <v>568</v>
      </c>
      <c r="F1078" t="s">
        <v>141</v>
      </c>
      <c r="G1078" t="s">
        <v>111</v>
      </c>
      <c r="H1078" t="s">
        <v>113</v>
      </c>
      <c r="I1078" t="s">
        <v>112</v>
      </c>
      <c r="J1078" t="s">
        <v>114</v>
      </c>
      <c r="K1078" t="s">
        <v>1746</v>
      </c>
      <c r="L1078" t="s">
        <v>1746</v>
      </c>
    </row>
    <row r="1079" spans="1:12" x14ac:dyDescent="0.3">
      <c r="A1079" t="s">
        <v>709</v>
      </c>
      <c r="B1079" t="s">
        <v>1461</v>
      </c>
      <c r="C1079" t="s">
        <v>750</v>
      </c>
      <c r="D1079" t="s">
        <v>1719</v>
      </c>
      <c r="E1079" t="s">
        <v>568</v>
      </c>
      <c r="F1079" t="s">
        <v>64</v>
      </c>
      <c r="G1079" t="s">
        <v>111</v>
      </c>
      <c r="H1079" t="s">
        <v>118</v>
      </c>
      <c r="I1079" t="s">
        <v>112</v>
      </c>
      <c r="J1079" t="s">
        <v>119</v>
      </c>
      <c r="K1079" t="s">
        <v>1746</v>
      </c>
      <c r="L1079" t="s">
        <v>1746</v>
      </c>
    </row>
    <row r="1080" spans="1:12" x14ac:dyDescent="0.3">
      <c r="A1080" t="s">
        <v>709</v>
      </c>
      <c r="B1080" t="s">
        <v>1461</v>
      </c>
      <c r="C1080" t="s">
        <v>750</v>
      </c>
      <c r="D1080" t="s">
        <v>1646</v>
      </c>
      <c r="E1080" t="s">
        <v>568</v>
      </c>
      <c r="F1080" t="s">
        <v>142</v>
      </c>
      <c r="G1080" t="s">
        <v>111</v>
      </c>
      <c r="H1080" t="s">
        <v>160</v>
      </c>
      <c r="I1080" t="s">
        <v>112</v>
      </c>
      <c r="J1080" t="s">
        <v>114</v>
      </c>
      <c r="K1080" t="s">
        <v>1746</v>
      </c>
      <c r="L1080" t="s">
        <v>1746</v>
      </c>
    </row>
    <row r="1081" spans="1:12" x14ac:dyDescent="0.3">
      <c r="A1081" t="s">
        <v>709</v>
      </c>
      <c r="B1081" t="s">
        <v>1461</v>
      </c>
      <c r="C1081" t="s">
        <v>750</v>
      </c>
      <c r="D1081" t="s">
        <v>1647</v>
      </c>
      <c r="E1081" t="s">
        <v>568</v>
      </c>
      <c r="F1081" t="s">
        <v>75</v>
      </c>
      <c r="G1081" t="s">
        <v>111</v>
      </c>
      <c r="H1081" t="s">
        <v>113</v>
      </c>
      <c r="I1081" t="s">
        <v>112</v>
      </c>
      <c r="J1081" t="s">
        <v>114</v>
      </c>
      <c r="K1081" t="s">
        <v>1746</v>
      </c>
      <c r="L1081" t="s">
        <v>1746</v>
      </c>
    </row>
    <row r="1082" spans="1:12" x14ac:dyDescent="0.3">
      <c r="A1082" t="s">
        <v>709</v>
      </c>
      <c r="B1082" t="s">
        <v>1461</v>
      </c>
      <c r="C1082" t="s">
        <v>750</v>
      </c>
      <c r="D1082" t="s">
        <v>1648</v>
      </c>
      <c r="E1082" t="s">
        <v>568</v>
      </c>
      <c r="F1082" t="s">
        <v>143</v>
      </c>
      <c r="G1082" t="s">
        <v>111</v>
      </c>
      <c r="H1082" t="s">
        <v>113</v>
      </c>
      <c r="I1082" t="s">
        <v>112</v>
      </c>
      <c r="J1082" t="s">
        <v>114</v>
      </c>
      <c r="K1082" t="s">
        <v>1746</v>
      </c>
      <c r="L1082" t="s">
        <v>1746</v>
      </c>
    </row>
    <row r="1083" spans="1:12" x14ac:dyDescent="0.3">
      <c r="A1083" t="s">
        <v>709</v>
      </c>
      <c r="B1083" t="s">
        <v>1461</v>
      </c>
      <c r="C1083" t="s">
        <v>750</v>
      </c>
      <c r="D1083" t="s">
        <v>1649</v>
      </c>
      <c r="E1083" t="s">
        <v>568</v>
      </c>
      <c r="F1083" t="s">
        <v>144</v>
      </c>
      <c r="G1083" t="s">
        <v>111</v>
      </c>
      <c r="H1083" t="s">
        <v>113</v>
      </c>
      <c r="I1083" t="s">
        <v>112</v>
      </c>
      <c r="J1083" t="s">
        <v>114</v>
      </c>
      <c r="K1083" t="s">
        <v>1746</v>
      </c>
      <c r="L1083" t="s">
        <v>1746</v>
      </c>
    </row>
    <row r="1084" spans="1:12" x14ac:dyDescent="0.3">
      <c r="A1084" t="s">
        <v>709</v>
      </c>
      <c r="B1084" t="s">
        <v>1461</v>
      </c>
      <c r="C1084" t="s">
        <v>750</v>
      </c>
      <c r="D1084" t="s">
        <v>1650</v>
      </c>
      <c r="E1084" t="s">
        <v>568</v>
      </c>
      <c r="F1084" t="s">
        <v>194</v>
      </c>
      <c r="G1084" t="s">
        <v>111</v>
      </c>
      <c r="H1084" t="s">
        <v>113</v>
      </c>
      <c r="I1084" t="s">
        <v>112</v>
      </c>
      <c r="J1084" t="s">
        <v>114</v>
      </c>
      <c r="K1084" t="s">
        <v>1748</v>
      </c>
      <c r="L1084" t="s">
        <v>1748</v>
      </c>
    </row>
    <row r="1085" spans="1:12" x14ac:dyDescent="0.3">
      <c r="A1085" t="s">
        <v>709</v>
      </c>
      <c r="B1085" t="s">
        <v>1461</v>
      </c>
      <c r="C1085" t="s">
        <v>750</v>
      </c>
      <c r="D1085" t="s">
        <v>1651</v>
      </c>
      <c r="E1085" t="s">
        <v>568</v>
      </c>
      <c r="F1085" t="s">
        <v>145</v>
      </c>
      <c r="G1085" t="s">
        <v>111</v>
      </c>
      <c r="H1085" t="s">
        <v>113</v>
      </c>
      <c r="I1085" t="s">
        <v>112</v>
      </c>
      <c r="J1085" t="s">
        <v>114</v>
      </c>
      <c r="K1085" t="s">
        <v>1746</v>
      </c>
      <c r="L1085" t="s">
        <v>1746</v>
      </c>
    </row>
    <row r="1086" spans="1:12" x14ac:dyDescent="0.3">
      <c r="A1086" t="s">
        <v>709</v>
      </c>
      <c r="B1086" t="s">
        <v>1461</v>
      </c>
      <c r="C1086" t="s">
        <v>750</v>
      </c>
      <c r="D1086" t="s">
        <v>1720</v>
      </c>
      <c r="E1086" t="s">
        <v>568</v>
      </c>
      <c r="F1086" t="s">
        <v>81</v>
      </c>
      <c r="G1086" t="s">
        <v>111</v>
      </c>
      <c r="H1086" t="s">
        <v>113</v>
      </c>
      <c r="I1086" t="s">
        <v>112</v>
      </c>
      <c r="J1086" t="s">
        <v>114</v>
      </c>
      <c r="K1086" t="s">
        <v>1746</v>
      </c>
      <c r="L1086" t="s">
        <v>1746</v>
      </c>
    </row>
    <row r="1087" spans="1:12" x14ac:dyDescent="0.3">
      <c r="A1087" t="s">
        <v>709</v>
      </c>
      <c r="B1087" t="s">
        <v>1461</v>
      </c>
      <c r="C1087" t="s">
        <v>750</v>
      </c>
      <c r="D1087" t="s">
        <v>1721</v>
      </c>
      <c r="E1087" t="s">
        <v>567</v>
      </c>
      <c r="F1087" t="s">
        <v>76</v>
      </c>
      <c r="G1087" t="s">
        <v>111</v>
      </c>
      <c r="H1087" t="s">
        <v>113</v>
      </c>
      <c r="I1087" t="s">
        <v>112</v>
      </c>
      <c r="J1087" t="s">
        <v>114</v>
      </c>
      <c r="K1087" t="s">
        <v>1746</v>
      </c>
      <c r="L1087" t="s">
        <v>1746</v>
      </c>
    </row>
    <row r="1088" spans="1:12" x14ac:dyDescent="0.3">
      <c r="A1088" t="s">
        <v>709</v>
      </c>
      <c r="B1088" t="s">
        <v>1461</v>
      </c>
      <c r="C1088" t="s">
        <v>750</v>
      </c>
      <c r="D1088" t="s">
        <v>1722</v>
      </c>
      <c r="E1088" t="s">
        <v>567</v>
      </c>
      <c r="F1088" t="s">
        <v>52</v>
      </c>
      <c r="G1088" t="s">
        <v>111</v>
      </c>
      <c r="H1088" t="s">
        <v>118</v>
      </c>
      <c r="I1088" t="s">
        <v>112</v>
      </c>
      <c r="J1088" t="s">
        <v>119</v>
      </c>
      <c r="K1088" t="s">
        <v>1746</v>
      </c>
      <c r="L1088" t="s">
        <v>1746</v>
      </c>
    </row>
    <row r="1089" spans="1:12" x14ac:dyDescent="0.3">
      <c r="A1089" t="s">
        <v>709</v>
      </c>
      <c r="B1089" t="s">
        <v>1461</v>
      </c>
      <c r="C1089" t="s">
        <v>750</v>
      </c>
      <c r="D1089" t="s">
        <v>1652</v>
      </c>
      <c r="E1089" t="s">
        <v>567</v>
      </c>
      <c r="F1089" t="s">
        <v>104</v>
      </c>
      <c r="G1089" t="s">
        <v>111</v>
      </c>
      <c r="H1089" t="s">
        <v>113</v>
      </c>
      <c r="I1089" t="s">
        <v>112</v>
      </c>
      <c r="J1089" t="s">
        <v>114</v>
      </c>
      <c r="K1089" t="s">
        <v>1746</v>
      </c>
      <c r="L1089" t="s">
        <v>1746</v>
      </c>
    </row>
    <row r="1090" spans="1:12" x14ac:dyDescent="0.3">
      <c r="A1090" t="s">
        <v>709</v>
      </c>
      <c r="B1090" t="s">
        <v>1461</v>
      </c>
      <c r="C1090" t="s">
        <v>750</v>
      </c>
      <c r="D1090" t="s">
        <v>1654</v>
      </c>
      <c r="E1090" t="s">
        <v>567</v>
      </c>
      <c r="F1090" t="s">
        <v>146</v>
      </c>
      <c r="G1090" t="s">
        <v>111</v>
      </c>
      <c r="H1090" t="s">
        <v>113</v>
      </c>
      <c r="I1090" t="s">
        <v>112</v>
      </c>
      <c r="J1090" t="s">
        <v>114</v>
      </c>
      <c r="K1090" t="s">
        <v>1746</v>
      </c>
      <c r="L1090" t="s">
        <v>1746</v>
      </c>
    </row>
    <row r="1091" spans="1:12" x14ac:dyDescent="0.3">
      <c r="A1091" t="s">
        <v>709</v>
      </c>
      <c r="B1091" t="s">
        <v>1461</v>
      </c>
      <c r="C1091" t="s">
        <v>750</v>
      </c>
      <c r="D1091" t="s">
        <v>1655</v>
      </c>
      <c r="E1091" t="s">
        <v>567</v>
      </c>
      <c r="F1091" t="s">
        <v>148</v>
      </c>
      <c r="G1091" t="s">
        <v>111</v>
      </c>
      <c r="H1091" t="s">
        <v>113</v>
      </c>
      <c r="I1091" t="s">
        <v>112</v>
      </c>
      <c r="J1091" t="s">
        <v>114</v>
      </c>
      <c r="K1091" t="s">
        <v>1748</v>
      </c>
      <c r="L1091" t="s">
        <v>1748</v>
      </c>
    </row>
    <row r="1092" spans="1:12" x14ac:dyDescent="0.3">
      <c r="A1092" t="s">
        <v>709</v>
      </c>
      <c r="B1092" t="s">
        <v>1461</v>
      </c>
      <c r="C1092" t="s">
        <v>750</v>
      </c>
      <c r="D1092" t="s">
        <v>1657</v>
      </c>
      <c r="E1092" t="s">
        <v>567</v>
      </c>
      <c r="F1092" t="s">
        <v>83</v>
      </c>
      <c r="G1092" t="s">
        <v>111</v>
      </c>
      <c r="H1092" t="s">
        <v>113</v>
      </c>
      <c r="I1092" t="s">
        <v>112</v>
      </c>
      <c r="J1092" t="s">
        <v>114</v>
      </c>
      <c r="K1092" t="s">
        <v>1748</v>
      </c>
      <c r="L1092" t="s">
        <v>1748</v>
      </c>
    </row>
    <row r="1093" spans="1:12" x14ac:dyDescent="0.3">
      <c r="A1093" t="s">
        <v>709</v>
      </c>
      <c r="B1093" t="s">
        <v>1461</v>
      </c>
      <c r="C1093" t="s">
        <v>750</v>
      </c>
      <c r="D1093" t="s">
        <v>1658</v>
      </c>
      <c r="E1093" t="s">
        <v>567</v>
      </c>
      <c r="F1093" t="s">
        <v>203</v>
      </c>
      <c r="G1093" t="s">
        <v>111</v>
      </c>
      <c r="H1093" t="s">
        <v>113</v>
      </c>
      <c r="I1093" t="s">
        <v>112</v>
      </c>
      <c r="J1093" t="s">
        <v>114</v>
      </c>
      <c r="K1093" t="s">
        <v>1746</v>
      </c>
      <c r="L1093" t="s">
        <v>1746</v>
      </c>
    </row>
    <row r="1094" spans="1:12" x14ac:dyDescent="0.3">
      <c r="A1094" t="s">
        <v>709</v>
      </c>
      <c r="B1094" t="s">
        <v>1461</v>
      </c>
      <c r="C1094" t="s">
        <v>750</v>
      </c>
      <c r="D1094" t="s">
        <v>1723</v>
      </c>
      <c r="E1094" t="s">
        <v>567</v>
      </c>
      <c r="F1094" t="s">
        <v>71</v>
      </c>
      <c r="G1094" t="s">
        <v>111</v>
      </c>
      <c r="H1094" t="s">
        <v>113</v>
      </c>
      <c r="I1094" t="s">
        <v>112</v>
      </c>
      <c r="J1094" t="s">
        <v>114</v>
      </c>
      <c r="K1094" t="s">
        <v>1746</v>
      </c>
      <c r="L1094" t="s">
        <v>1746</v>
      </c>
    </row>
    <row r="1095" spans="1:12" x14ac:dyDescent="0.3">
      <c r="A1095" t="s">
        <v>709</v>
      </c>
      <c r="B1095" t="s">
        <v>1461</v>
      </c>
      <c r="C1095" t="s">
        <v>750</v>
      </c>
      <c r="D1095" t="s">
        <v>1724</v>
      </c>
      <c r="E1095" t="s">
        <v>567</v>
      </c>
      <c r="F1095" t="s">
        <v>90</v>
      </c>
      <c r="G1095" t="s">
        <v>111</v>
      </c>
      <c r="H1095" t="s">
        <v>113</v>
      </c>
      <c r="I1095" t="s">
        <v>112</v>
      </c>
      <c r="J1095" t="s">
        <v>114</v>
      </c>
      <c r="K1095" t="s">
        <v>1746</v>
      </c>
      <c r="L1095" t="s">
        <v>1746</v>
      </c>
    </row>
    <row r="1096" spans="1:12" x14ac:dyDescent="0.3">
      <c r="A1096" t="s">
        <v>709</v>
      </c>
      <c r="B1096" t="s">
        <v>1461</v>
      </c>
      <c r="C1096" t="s">
        <v>750</v>
      </c>
      <c r="D1096" t="s">
        <v>1660</v>
      </c>
      <c r="E1096" t="s">
        <v>567</v>
      </c>
      <c r="F1096" t="s">
        <v>92</v>
      </c>
      <c r="G1096" t="s">
        <v>111</v>
      </c>
      <c r="H1096" t="s">
        <v>113</v>
      </c>
      <c r="I1096" t="s">
        <v>112</v>
      </c>
      <c r="J1096" t="s">
        <v>114</v>
      </c>
      <c r="K1096" t="s">
        <v>1746</v>
      </c>
      <c r="L1096" t="s">
        <v>1746</v>
      </c>
    </row>
    <row r="1097" spans="1:12" x14ac:dyDescent="0.3">
      <c r="A1097" t="s">
        <v>709</v>
      </c>
      <c r="B1097" t="s">
        <v>1461</v>
      </c>
      <c r="C1097" t="s">
        <v>750</v>
      </c>
      <c r="D1097" t="s">
        <v>1664</v>
      </c>
      <c r="E1097" t="s">
        <v>567</v>
      </c>
      <c r="F1097" t="s">
        <v>177</v>
      </c>
      <c r="G1097" t="s">
        <v>111</v>
      </c>
      <c r="H1097" t="s">
        <v>113</v>
      </c>
      <c r="I1097" t="s">
        <v>112</v>
      </c>
      <c r="J1097" t="s">
        <v>114</v>
      </c>
      <c r="K1097" t="s">
        <v>1751</v>
      </c>
      <c r="L1097" t="s">
        <v>1751</v>
      </c>
    </row>
    <row r="1098" spans="1:12" x14ac:dyDescent="0.3">
      <c r="A1098" t="s">
        <v>709</v>
      </c>
      <c r="B1098" t="s">
        <v>1461</v>
      </c>
      <c r="C1098" t="s">
        <v>750</v>
      </c>
      <c r="D1098" t="s">
        <v>1665</v>
      </c>
      <c r="E1098" t="s">
        <v>567</v>
      </c>
      <c r="F1098" t="s">
        <v>91</v>
      </c>
      <c r="G1098" t="s">
        <v>111</v>
      </c>
      <c r="H1098" t="s">
        <v>113</v>
      </c>
      <c r="I1098" t="s">
        <v>112</v>
      </c>
      <c r="J1098" t="s">
        <v>114</v>
      </c>
      <c r="K1098" t="s">
        <v>1746</v>
      </c>
      <c r="L1098" t="s">
        <v>1746</v>
      </c>
    </row>
    <row r="1099" spans="1:12" x14ac:dyDescent="0.3">
      <c r="A1099" t="s">
        <v>709</v>
      </c>
      <c r="B1099" t="s">
        <v>1461</v>
      </c>
      <c r="C1099" t="s">
        <v>750</v>
      </c>
      <c r="D1099" t="s">
        <v>1666</v>
      </c>
      <c r="E1099" t="s">
        <v>567</v>
      </c>
      <c r="F1099" t="s">
        <v>152</v>
      </c>
      <c r="G1099" t="s">
        <v>111</v>
      </c>
      <c r="H1099" t="s">
        <v>113</v>
      </c>
      <c r="I1099" t="s">
        <v>112</v>
      </c>
      <c r="J1099" t="s">
        <v>114</v>
      </c>
      <c r="K1099" t="s">
        <v>1746</v>
      </c>
      <c r="L1099" t="s">
        <v>1746</v>
      </c>
    </row>
    <row r="1100" spans="1:12" x14ac:dyDescent="0.3">
      <c r="A1100" t="s">
        <v>709</v>
      </c>
      <c r="B1100" t="s">
        <v>1461</v>
      </c>
      <c r="C1100" t="s">
        <v>750</v>
      </c>
      <c r="D1100" t="s">
        <v>1668</v>
      </c>
      <c r="E1100" t="s">
        <v>567</v>
      </c>
      <c r="F1100" t="s">
        <v>67</v>
      </c>
      <c r="G1100" t="s">
        <v>111</v>
      </c>
      <c r="H1100" t="s">
        <v>113</v>
      </c>
      <c r="I1100" t="s">
        <v>112</v>
      </c>
      <c r="J1100" t="s">
        <v>114</v>
      </c>
      <c r="K1100" t="s">
        <v>1746</v>
      </c>
      <c r="L1100" t="s">
        <v>1746</v>
      </c>
    </row>
    <row r="1101" spans="1:12" x14ac:dyDescent="0.3">
      <c r="A1101" t="s">
        <v>709</v>
      </c>
      <c r="B1101" t="s">
        <v>1461</v>
      </c>
      <c r="C1101" t="s">
        <v>750</v>
      </c>
      <c r="D1101" t="s">
        <v>1670</v>
      </c>
      <c r="E1101" t="s">
        <v>567</v>
      </c>
      <c r="F1101" t="s">
        <v>196</v>
      </c>
      <c r="G1101" t="s">
        <v>111</v>
      </c>
      <c r="H1101" t="s">
        <v>113</v>
      </c>
      <c r="I1101" t="s">
        <v>112</v>
      </c>
      <c r="J1101" t="s">
        <v>114</v>
      </c>
      <c r="K1101" t="s">
        <v>1748</v>
      </c>
      <c r="L1101" t="s">
        <v>1748</v>
      </c>
    </row>
    <row r="1102" spans="1:12" x14ac:dyDescent="0.3">
      <c r="A1102" t="s">
        <v>709</v>
      </c>
      <c r="B1102" t="s">
        <v>1461</v>
      </c>
      <c r="C1102" t="s">
        <v>750</v>
      </c>
      <c r="D1102" t="s">
        <v>1725</v>
      </c>
      <c r="E1102" t="s">
        <v>567</v>
      </c>
      <c r="F1102" t="s">
        <v>178</v>
      </c>
      <c r="G1102" t="s">
        <v>111</v>
      </c>
      <c r="H1102" t="s">
        <v>113</v>
      </c>
      <c r="I1102" t="s">
        <v>112</v>
      </c>
      <c r="J1102" t="s">
        <v>114</v>
      </c>
      <c r="K1102" t="s">
        <v>1746</v>
      </c>
      <c r="L1102" t="s">
        <v>1746</v>
      </c>
    </row>
    <row r="1103" spans="1:12" x14ac:dyDescent="0.3">
      <c r="A1103" t="s">
        <v>709</v>
      </c>
      <c r="B1103" t="s">
        <v>1461</v>
      </c>
      <c r="C1103" t="s">
        <v>750</v>
      </c>
      <c r="D1103" t="s">
        <v>1673</v>
      </c>
      <c r="E1103" t="s">
        <v>567</v>
      </c>
      <c r="F1103" t="s">
        <v>153</v>
      </c>
      <c r="G1103" t="s">
        <v>111</v>
      </c>
      <c r="H1103" t="s">
        <v>113</v>
      </c>
      <c r="I1103" t="s">
        <v>112</v>
      </c>
      <c r="J1103" t="s">
        <v>114</v>
      </c>
      <c r="K1103" t="s">
        <v>422</v>
      </c>
      <c r="L1103" t="s">
        <v>422</v>
      </c>
    </row>
    <row r="1104" spans="1:12" x14ac:dyDescent="0.3">
      <c r="A1104" t="s">
        <v>709</v>
      </c>
      <c r="B1104" t="s">
        <v>1461</v>
      </c>
      <c r="C1104" t="s">
        <v>750</v>
      </c>
      <c r="D1104" t="s">
        <v>1726</v>
      </c>
      <c r="E1104" t="s">
        <v>567</v>
      </c>
      <c r="F1104" t="s">
        <v>154</v>
      </c>
      <c r="G1104" t="s">
        <v>111</v>
      </c>
      <c r="H1104" t="s">
        <v>118</v>
      </c>
      <c r="I1104" t="s">
        <v>112</v>
      </c>
      <c r="J1104" t="s">
        <v>119</v>
      </c>
      <c r="K1104" t="s">
        <v>1749</v>
      </c>
      <c r="L1104" t="s">
        <v>1749</v>
      </c>
    </row>
    <row r="1105" spans="1:12" x14ac:dyDescent="0.3">
      <c r="A1105" t="s">
        <v>709</v>
      </c>
      <c r="B1105" t="s">
        <v>1461</v>
      </c>
      <c r="C1105" t="s">
        <v>750</v>
      </c>
      <c r="D1105" t="s">
        <v>1674</v>
      </c>
      <c r="E1105" t="s">
        <v>567</v>
      </c>
      <c r="F1105" t="s">
        <v>55</v>
      </c>
      <c r="G1105" t="s">
        <v>111</v>
      </c>
      <c r="H1105" t="s">
        <v>113</v>
      </c>
      <c r="I1105" t="s">
        <v>112</v>
      </c>
      <c r="J1105" t="s">
        <v>114</v>
      </c>
      <c r="K1105" t="s">
        <v>1746</v>
      </c>
      <c r="L1105" t="s">
        <v>1746</v>
      </c>
    </row>
    <row r="1106" spans="1:12" x14ac:dyDescent="0.3">
      <c r="A1106" t="s">
        <v>709</v>
      </c>
      <c r="B1106" t="s">
        <v>1461</v>
      </c>
      <c r="C1106" t="s">
        <v>750</v>
      </c>
      <c r="D1106" t="s">
        <v>1675</v>
      </c>
      <c r="E1106" t="s">
        <v>567</v>
      </c>
      <c r="F1106" t="s">
        <v>197</v>
      </c>
      <c r="G1106" t="s">
        <v>111</v>
      </c>
      <c r="H1106" t="s">
        <v>118</v>
      </c>
      <c r="I1106" t="s">
        <v>112</v>
      </c>
      <c r="J1106" t="s">
        <v>119</v>
      </c>
      <c r="K1106" t="s">
        <v>423</v>
      </c>
      <c r="L1106" t="s">
        <v>423</v>
      </c>
    </row>
    <row r="1107" spans="1:12" x14ac:dyDescent="0.3">
      <c r="A1107" t="s">
        <v>709</v>
      </c>
      <c r="B1107" t="s">
        <v>1461</v>
      </c>
      <c r="C1107" t="s">
        <v>750</v>
      </c>
      <c r="D1107" t="s">
        <v>1727</v>
      </c>
      <c r="E1107" t="s">
        <v>567</v>
      </c>
      <c r="F1107" t="s">
        <v>155</v>
      </c>
      <c r="G1107" t="s">
        <v>111</v>
      </c>
      <c r="H1107" t="s">
        <v>160</v>
      </c>
      <c r="I1107" t="s">
        <v>112</v>
      </c>
      <c r="J1107" t="s">
        <v>114</v>
      </c>
      <c r="K1107" t="s">
        <v>1748</v>
      </c>
      <c r="L1107" t="s">
        <v>1748</v>
      </c>
    </row>
    <row r="1108" spans="1:12" x14ac:dyDescent="0.3">
      <c r="A1108" t="s">
        <v>709</v>
      </c>
      <c r="B1108" t="s">
        <v>1461</v>
      </c>
      <c r="C1108" t="s">
        <v>750</v>
      </c>
      <c r="D1108" t="s">
        <v>1677</v>
      </c>
      <c r="E1108" t="s">
        <v>567</v>
      </c>
      <c r="F1108" t="s">
        <v>156</v>
      </c>
      <c r="G1108" t="s">
        <v>111</v>
      </c>
      <c r="H1108" t="s">
        <v>113</v>
      </c>
      <c r="I1108" t="s">
        <v>112</v>
      </c>
      <c r="J1108" t="s">
        <v>114</v>
      </c>
      <c r="K1108" t="s">
        <v>1746</v>
      </c>
      <c r="L1108" t="s">
        <v>1746</v>
      </c>
    </row>
    <row r="1109" spans="1:12" x14ac:dyDescent="0.3">
      <c r="A1109" t="s">
        <v>709</v>
      </c>
      <c r="B1109" t="s">
        <v>1461</v>
      </c>
      <c r="C1109" t="s">
        <v>750</v>
      </c>
      <c r="D1109" t="s">
        <v>1678</v>
      </c>
      <c r="E1109" t="s">
        <v>567</v>
      </c>
      <c r="F1109" t="s">
        <v>103</v>
      </c>
      <c r="G1109" t="s">
        <v>111</v>
      </c>
      <c r="H1109" t="s">
        <v>113</v>
      </c>
      <c r="I1109" t="s">
        <v>112</v>
      </c>
      <c r="J1109" t="s">
        <v>114</v>
      </c>
      <c r="K1109" t="s">
        <v>1746</v>
      </c>
      <c r="L1109" t="s">
        <v>1746</v>
      </c>
    </row>
    <row r="1110" spans="1:12" x14ac:dyDescent="0.3">
      <c r="A1110" t="s">
        <v>709</v>
      </c>
      <c r="B1110" t="s">
        <v>1461</v>
      </c>
      <c r="C1110" t="s">
        <v>750</v>
      </c>
      <c r="D1110" t="s">
        <v>1728</v>
      </c>
      <c r="E1110" t="s">
        <v>567</v>
      </c>
      <c r="F1110" t="s">
        <v>105</v>
      </c>
      <c r="G1110" t="s">
        <v>111</v>
      </c>
      <c r="H1110" t="s">
        <v>113</v>
      </c>
      <c r="I1110" t="s">
        <v>112</v>
      </c>
      <c r="J1110" t="s">
        <v>114</v>
      </c>
      <c r="K1110" t="s">
        <v>1746</v>
      </c>
      <c r="L1110" t="s">
        <v>1746</v>
      </c>
    </row>
    <row r="1111" spans="1:12" x14ac:dyDescent="0.3">
      <c r="A1111" t="s">
        <v>709</v>
      </c>
      <c r="B1111" t="s">
        <v>1461</v>
      </c>
      <c r="C1111" t="s">
        <v>750</v>
      </c>
      <c r="D1111" t="s">
        <v>1729</v>
      </c>
      <c r="E1111" t="s">
        <v>567</v>
      </c>
      <c r="F1111" t="s">
        <v>157</v>
      </c>
      <c r="G1111" t="s">
        <v>111</v>
      </c>
      <c r="H1111" t="s">
        <v>113</v>
      </c>
      <c r="I1111" t="s">
        <v>112</v>
      </c>
      <c r="J1111" t="s">
        <v>114</v>
      </c>
      <c r="K1111" t="s">
        <v>1746</v>
      </c>
      <c r="L1111" t="s">
        <v>1746</v>
      </c>
    </row>
    <row r="1112" spans="1:12" x14ac:dyDescent="0.3">
      <c r="A1112" t="s">
        <v>709</v>
      </c>
      <c r="B1112" t="s">
        <v>1461</v>
      </c>
      <c r="C1112" t="s">
        <v>750</v>
      </c>
      <c r="D1112" t="s">
        <v>1680</v>
      </c>
      <c r="E1112" t="s">
        <v>567</v>
      </c>
      <c r="F1112" t="s">
        <v>180</v>
      </c>
      <c r="G1112" t="s">
        <v>111</v>
      </c>
      <c r="H1112" t="s">
        <v>118</v>
      </c>
      <c r="I1112" t="s">
        <v>112</v>
      </c>
      <c r="J1112" t="s">
        <v>119</v>
      </c>
      <c r="K1112" t="s">
        <v>1748</v>
      </c>
      <c r="L1112" t="s">
        <v>1748</v>
      </c>
    </row>
    <row r="1113" spans="1:12" x14ac:dyDescent="0.3">
      <c r="A1113" t="s">
        <v>709</v>
      </c>
      <c r="B1113" t="s">
        <v>1461</v>
      </c>
      <c r="C1113" t="s">
        <v>750</v>
      </c>
      <c r="D1113" t="s">
        <v>1682</v>
      </c>
      <c r="E1113" t="s">
        <v>567</v>
      </c>
      <c r="F1113" t="s">
        <v>199</v>
      </c>
      <c r="G1113" t="s">
        <v>111</v>
      </c>
      <c r="H1113" t="s">
        <v>118</v>
      </c>
      <c r="I1113" t="s">
        <v>112</v>
      </c>
      <c r="J1113" t="s">
        <v>119</v>
      </c>
      <c r="K1113" t="s">
        <v>1746</v>
      </c>
      <c r="L1113" t="s">
        <v>1746</v>
      </c>
    </row>
    <row r="1114" spans="1:12" x14ac:dyDescent="0.3">
      <c r="A1114" t="s">
        <v>709</v>
      </c>
      <c r="B1114" t="s">
        <v>1461</v>
      </c>
      <c r="C1114" t="s">
        <v>750</v>
      </c>
      <c r="D1114" t="s">
        <v>1683</v>
      </c>
      <c r="E1114" t="s">
        <v>567</v>
      </c>
      <c r="F1114" t="s">
        <v>159</v>
      </c>
      <c r="G1114" t="s">
        <v>111</v>
      </c>
      <c r="H1114" t="s">
        <v>113</v>
      </c>
      <c r="I1114" t="s">
        <v>112</v>
      </c>
      <c r="J1114" t="s">
        <v>114</v>
      </c>
      <c r="K1114" t="s">
        <v>1746</v>
      </c>
      <c r="L1114" t="s">
        <v>1746</v>
      </c>
    </row>
    <row r="1115" spans="1:12" x14ac:dyDescent="0.3">
      <c r="A1115" t="s">
        <v>709</v>
      </c>
      <c r="B1115" t="s">
        <v>1461</v>
      </c>
      <c r="C1115" t="s">
        <v>750</v>
      </c>
      <c r="D1115" t="s">
        <v>1684</v>
      </c>
      <c r="E1115" t="s">
        <v>567</v>
      </c>
      <c r="F1115" t="s">
        <v>47</v>
      </c>
      <c r="G1115" t="s">
        <v>111</v>
      </c>
      <c r="H1115" t="s">
        <v>113</v>
      </c>
      <c r="I1115" t="s">
        <v>112</v>
      </c>
      <c r="J1115" t="s">
        <v>114</v>
      </c>
      <c r="K1115" t="s">
        <v>1746</v>
      </c>
      <c r="L1115" t="s">
        <v>1746</v>
      </c>
    </row>
    <row r="1116" spans="1:12" x14ac:dyDescent="0.3">
      <c r="A1116" t="s">
        <v>709</v>
      </c>
      <c r="B1116" t="s">
        <v>1461</v>
      </c>
      <c r="C1116" t="s">
        <v>750</v>
      </c>
      <c r="D1116" t="s">
        <v>1688</v>
      </c>
      <c r="E1116" t="s">
        <v>567</v>
      </c>
      <c r="F1116" t="s">
        <v>73</v>
      </c>
      <c r="G1116" t="s">
        <v>111</v>
      </c>
      <c r="H1116" t="s">
        <v>113</v>
      </c>
      <c r="I1116" t="s">
        <v>112</v>
      </c>
      <c r="J1116" t="s">
        <v>114</v>
      </c>
      <c r="K1116" t="s">
        <v>1750</v>
      </c>
      <c r="L1116" t="s">
        <v>1750</v>
      </c>
    </row>
    <row r="1117" spans="1:12" x14ac:dyDescent="0.3">
      <c r="A1117" t="s">
        <v>709</v>
      </c>
      <c r="B1117" t="s">
        <v>1461</v>
      </c>
      <c r="C1117" t="s">
        <v>750</v>
      </c>
      <c r="D1117" t="s">
        <v>1730</v>
      </c>
      <c r="E1117" t="s">
        <v>567</v>
      </c>
      <c r="F1117" t="s">
        <v>161</v>
      </c>
      <c r="G1117" t="s">
        <v>111</v>
      </c>
      <c r="H1117" t="s">
        <v>113</v>
      </c>
      <c r="I1117" t="s">
        <v>112</v>
      </c>
      <c r="J1117" t="s">
        <v>114</v>
      </c>
      <c r="K1117" t="s">
        <v>1746</v>
      </c>
      <c r="L1117" t="s">
        <v>1746</v>
      </c>
    </row>
    <row r="1118" spans="1:12" x14ac:dyDescent="0.3">
      <c r="A1118" t="s">
        <v>709</v>
      </c>
      <c r="B1118" t="s">
        <v>1461</v>
      </c>
      <c r="C1118" t="s">
        <v>750</v>
      </c>
      <c r="D1118" t="s">
        <v>1689</v>
      </c>
      <c r="E1118" t="s">
        <v>567</v>
      </c>
      <c r="F1118" t="s">
        <v>162</v>
      </c>
      <c r="G1118" t="s">
        <v>111</v>
      </c>
      <c r="H1118" t="s">
        <v>118</v>
      </c>
      <c r="I1118" t="s">
        <v>112</v>
      </c>
      <c r="J1118" t="s">
        <v>119</v>
      </c>
      <c r="K1118" t="s">
        <v>1753</v>
      </c>
      <c r="L1118" t="s">
        <v>1753</v>
      </c>
    </row>
    <row r="1119" spans="1:12" x14ac:dyDescent="0.3">
      <c r="A1119" t="s">
        <v>709</v>
      </c>
      <c r="B1119" t="s">
        <v>726</v>
      </c>
      <c r="C1119" t="s">
        <v>711</v>
      </c>
      <c r="D1119" t="s">
        <v>209</v>
      </c>
      <c r="E1119" t="s">
        <v>569</v>
      </c>
      <c r="F1119" t="s">
        <v>115</v>
      </c>
      <c r="G1119" t="s">
        <v>111</v>
      </c>
      <c r="H1119" t="s">
        <v>113</v>
      </c>
      <c r="I1119" t="s">
        <v>112</v>
      </c>
      <c r="J1119" t="s">
        <v>114</v>
      </c>
      <c r="K1119" t="s">
        <v>424</v>
      </c>
      <c r="L1119" t="s">
        <v>424</v>
      </c>
    </row>
    <row r="1120" spans="1:12" x14ac:dyDescent="0.3">
      <c r="A1120" t="s">
        <v>709</v>
      </c>
      <c r="B1120" t="s">
        <v>726</v>
      </c>
      <c r="C1120" t="s">
        <v>711</v>
      </c>
      <c r="D1120" t="s">
        <v>304</v>
      </c>
      <c r="E1120" t="s">
        <v>569</v>
      </c>
      <c r="F1120" t="s">
        <v>117</v>
      </c>
      <c r="G1120" t="s">
        <v>111</v>
      </c>
      <c r="H1120" t="s">
        <v>113</v>
      </c>
      <c r="I1120" t="s">
        <v>112</v>
      </c>
      <c r="J1120" t="s">
        <v>114</v>
      </c>
      <c r="K1120" t="s">
        <v>1754</v>
      </c>
      <c r="L1120" t="s">
        <v>1754</v>
      </c>
    </row>
    <row r="1121" spans="1:12" x14ac:dyDescent="0.3">
      <c r="A1121" t="s">
        <v>709</v>
      </c>
      <c r="B1121" t="s">
        <v>726</v>
      </c>
      <c r="C1121" t="s">
        <v>711</v>
      </c>
      <c r="D1121" t="s">
        <v>211</v>
      </c>
      <c r="E1121" t="s">
        <v>569</v>
      </c>
      <c r="F1121" t="s">
        <v>188</v>
      </c>
      <c r="G1121" t="s">
        <v>111</v>
      </c>
      <c r="H1121" t="s">
        <v>160</v>
      </c>
      <c r="I1121" t="s">
        <v>112</v>
      </c>
      <c r="J1121" t="s">
        <v>114</v>
      </c>
      <c r="K1121" t="s">
        <v>1755</v>
      </c>
      <c r="L1121" t="s">
        <v>1755</v>
      </c>
    </row>
    <row r="1122" spans="1:12" x14ac:dyDescent="0.3">
      <c r="A1122" t="s">
        <v>709</v>
      </c>
      <c r="B1122" t="s">
        <v>726</v>
      </c>
      <c r="C1122" t="s">
        <v>711</v>
      </c>
      <c r="D1122" t="s">
        <v>305</v>
      </c>
      <c r="E1122" t="s">
        <v>569</v>
      </c>
      <c r="F1122" t="s">
        <v>120</v>
      </c>
      <c r="G1122" t="s">
        <v>111</v>
      </c>
      <c r="H1122" t="s">
        <v>113</v>
      </c>
      <c r="I1122" t="s">
        <v>112</v>
      </c>
      <c r="J1122" t="s">
        <v>114</v>
      </c>
      <c r="K1122" t="s">
        <v>1755</v>
      </c>
      <c r="L1122" t="s">
        <v>1755</v>
      </c>
    </row>
    <row r="1123" spans="1:12" x14ac:dyDescent="0.3">
      <c r="A1123" t="s">
        <v>709</v>
      </c>
      <c r="B1123" t="s">
        <v>726</v>
      </c>
      <c r="C1123" t="s">
        <v>711</v>
      </c>
      <c r="D1123" t="s">
        <v>213</v>
      </c>
      <c r="E1123" t="s">
        <v>569</v>
      </c>
      <c r="F1123" t="s">
        <v>53</v>
      </c>
      <c r="G1123" t="s">
        <v>111</v>
      </c>
      <c r="H1123" t="s">
        <v>113</v>
      </c>
      <c r="I1123" t="s">
        <v>112</v>
      </c>
      <c r="J1123" t="s">
        <v>114</v>
      </c>
      <c r="K1123" t="s">
        <v>428</v>
      </c>
      <c r="L1123" t="s">
        <v>428</v>
      </c>
    </row>
    <row r="1124" spans="1:12" x14ac:dyDescent="0.3">
      <c r="A1124" t="s">
        <v>709</v>
      </c>
      <c r="B1124" t="s">
        <v>726</v>
      </c>
      <c r="C1124" t="s">
        <v>711</v>
      </c>
      <c r="D1124" t="s">
        <v>214</v>
      </c>
      <c r="E1124" t="s">
        <v>569</v>
      </c>
      <c r="F1124" t="s">
        <v>56</v>
      </c>
      <c r="G1124" t="s">
        <v>111</v>
      </c>
      <c r="H1124" t="s">
        <v>113</v>
      </c>
      <c r="I1124" t="s">
        <v>112</v>
      </c>
      <c r="J1124" t="s">
        <v>114</v>
      </c>
      <c r="K1124" t="s">
        <v>428</v>
      </c>
      <c r="L1124" t="s">
        <v>428</v>
      </c>
    </row>
    <row r="1125" spans="1:12" x14ac:dyDescent="0.3">
      <c r="A1125" t="s">
        <v>709</v>
      </c>
      <c r="B1125" t="s">
        <v>726</v>
      </c>
      <c r="C1125" t="s">
        <v>711</v>
      </c>
      <c r="D1125" t="s">
        <v>215</v>
      </c>
      <c r="E1125" t="s">
        <v>569</v>
      </c>
      <c r="F1125" t="s">
        <v>69</v>
      </c>
      <c r="G1125" t="s">
        <v>111</v>
      </c>
      <c r="H1125" t="s">
        <v>113</v>
      </c>
      <c r="I1125" t="s">
        <v>112</v>
      </c>
      <c r="J1125" t="s">
        <v>114</v>
      </c>
      <c r="K1125" t="s">
        <v>424</v>
      </c>
      <c r="L1125" t="s">
        <v>424</v>
      </c>
    </row>
    <row r="1126" spans="1:12" x14ac:dyDescent="0.3">
      <c r="A1126" t="s">
        <v>709</v>
      </c>
      <c r="B1126" t="s">
        <v>726</v>
      </c>
      <c r="C1126" t="s">
        <v>711</v>
      </c>
      <c r="D1126" t="s">
        <v>306</v>
      </c>
      <c r="E1126" t="s">
        <v>569</v>
      </c>
      <c r="F1126" t="s">
        <v>165</v>
      </c>
      <c r="G1126" t="s">
        <v>111</v>
      </c>
      <c r="H1126" t="s">
        <v>118</v>
      </c>
      <c r="I1126" t="s">
        <v>112</v>
      </c>
      <c r="J1126" t="s">
        <v>119</v>
      </c>
      <c r="K1126" t="s">
        <v>597</v>
      </c>
      <c r="L1126" t="s">
        <v>597</v>
      </c>
    </row>
    <row r="1127" spans="1:12" x14ac:dyDescent="0.3">
      <c r="A1127" t="s">
        <v>709</v>
      </c>
      <c r="B1127" t="s">
        <v>726</v>
      </c>
      <c r="C1127" t="s">
        <v>711</v>
      </c>
      <c r="D1127" t="s">
        <v>218</v>
      </c>
      <c r="E1127" t="s">
        <v>569</v>
      </c>
      <c r="F1127" t="s">
        <v>166</v>
      </c>
      <c r="G1127" t="s">
        <v>111</v>
      </c>
      <c r="H1127" t="s">
        <v>113</v>
      </c>
      <c r="I1127" t="s">
        <v>112</v>
      </c>
      <c r="J1127" t="s">
        <v>114</v>
      </c>
      <c r="K1127" t="s">
        <v>423</v>
      </c>
      <c r="L1127" t="s">
        <v>423</v>
      </c>
    </row>
    <row r="1128" spans="1:12" x14ac:dyDescent="0.3">
      <c r="A1128" t="s">
        <v>709</v>
      </c>
      <c r="B1128" t="s">
        <v>726</v>
      </c>
      <c r="C1128" t="s">
        <v>711</v>
      </c>
      <c r="D1128" t="s">
        <v>307</v>
      </c>
      <c r="E1128" t="s">
        <v>569</v>
      </c>
      <c r="F1128" t="s">
        <v>123</v>
      </c>
      <c r="G1128" t="s">
        <v>111</v>
      </c>
      <c r="H1128" t="s">
        <v>113</v>
      </c>
      <c r="I1128" t="s">
        <v>112</v>
      </c>
      <c r="J1128" t="s">
        <v>114</v>
      </c>
      <c r="K1128" t="s">
        <v>1756</v>
      </c>
      <c r="L1128" t="s">
        <v>1756</v>
      </c>
    </row>
    <row r="1129" spans="1:12" x14ac:dyDescent="0.3">
      <c r="A1129" t="s">
        <v>709</v>
      </c>
      <c r="B1129" t="s">
        <v>726</v>
      </c>
      <c r="C1129" t="s">
        <v>711</v>
      </c>
      <c r="D1129" t="s">
        <v>219</v>
      </c>
      <c r="E1129" t="s">
        <v>569</v>
      </c>
      <c r="F1129" t="s">
        <v>189</v>
      </c>
      <c r="G1129" t="s">
        <v>111</v>
      </c>
      <c r="H1129" t="s">
        <v>113</v>
      </c>
      <c r="I1129" t="s">
        <v>112</v>
      </c>
      <c r="J1129" t="s">
        <v>114</v>
      </c>
      <c r="K1129" t="s">
        <v>424</v>
      </c>
      <c r="L1129" t="s">
        <v>424</v>
      </c>
    </row>
    <row r="1130" spans="1:12" x14ac:dyDescent="0.3">
      <c r="A1130" t="s">
        <v>709</v>
      </c>
      <c r="B1130" t="s">
        <v>726</v>
      </c>
      <c r="C1130" t="s">
        <v>711</v>
      </c>
      <c r="D1130" t="s">
        <v>220</v>
      </c>
      <c r="E1130" t="s">
        <v>569</v>
      </c>
      <c r="F1130" t="s">
        <v>54</v>
      </c>
      <c r="G1130" t="s">
        <v>111</v>
      </c>
      <c r="H1130" t="s">
        <v>160</v>
      </c>
      <c r="I1130" t="s">
        <v>112</v>
      </c>
      <c r="J1130" t="s">
        <v>114</v>
      </c>
      <c r="K1130" t="s">
        <v>1757</v>
      </c>
      <c r="L1130" t="s">
        <v>1757</v>
      </c>
    </row>
    <row r="1131" spans="1:12" x14ac:dyDescent="0.3">
      <c r="A1131" t="s">
        <v>709</v>
      </c>
      <c r="B1131" t="s">
        <v>726</v>
      </c>
      <c r="C1131" t="s">
        <v>711</v>
      </c>
      <c r="D1131" t="s">
        <v>221</v>
      </c>
      <c r="E1131" t="s">
        <v>569</v>
      </c>
      <c r="F1131" t="s">
        <v>45</v>
      </c>
      <c r="G1131" t="s">
        <v>111</v>
      </c>
      <c r="H1131" t="s">
        <v>113</v>
      </c>
      <c r="I1131" t="s">
        <v>112</v>
      </c>
      <c r="J1131" t="s">
        <v>114</v>
      </c>
      <c r="K1131" t="s">
        <v>428</v>
      </c>
      <c r="L1131" t="s">
        <v>428</v>
      </c>
    </row>
    <row r="1132" spans="1:12" x14ac:dyDescent="0.3">
      <c r="A1132" t="s">
        <v>709</v>
      </c>
      <c r="B1132" t="s">
        <v>726</v>
      </c>
      <c r="C1132" t="s">
        <v>711</v>
      </c>
      <c r="D1132" t="s">
        <v>223</v>
      </c>
      <c r="E1132" t="s">
        <v>569</v>
      </c>
      <c r="F1132" t="s">
        <v>65</v>
      </c>
      <c r="G1132" t="s">
        <v>111</v>
      </c>
      <c r="H1132" t="s">
        <v>113</v>
      </c>
      <c r="I1132" t="s">
        <v>112</v>
      </c>
      <c r="J1132" t="s">
        <v>114</v>
      </c>
      <c r="K1132" t="s">
        <v>1758</v>
      </c>
      <c r="L1132" t="s">
        <v>1758</v>
      </c>
    </row>
    <row r="1133" spans="1:12" x14ac:dyDescent="0.3">
      <c r="A1133" t="s">
        <v>709</v>
      </c>
      <c r="B1133" t="s">
        <v>726</v>
      </c>
      <c r="C1133" t="s">
        <v>711</v>
      </c>
      <c r="D1133" t="s">
        <v>224</v>
      </c>
      <c r="E1133" t="s">
        <v>569</v>
      </c>
      <c r="F1133" t="s">
        <v>125</v>
      </c>
      <c r="G1133" t="s">
        <v>111</v>
      </c>
      <c r="H1133" t="s">
        <v>113</v>
      </c>
      <c r="I1133" t="s">
        <v>112</v>
      </c>
      <c r="J1133" t="s">
        <v>114</v>
      </c>
      <c r="K1133" t="s">
        <v>428</v>
      </c>
      <c r="L1133" t="s">
        <v>428</v>
      </c>
    </row>
    <row r="1134" spans="1:12" x14ac:dyDescent="0.3">
      <c r="A1134" t="s">
        <v>709</v>
      </c>
      <c r="B1134" t="s">
        <v>726</v>
      </c>
      <c r="C1134" t="s">
        <v>711</v>
      </c>
      <c r="D1134" t="s">
        <v>225</v>
      </c>
      <c r="E1134" t="s">
        <v>569</v>
      </c>
      <c r="F1134" t="s">
        <v>126</v>
      </c>
      <c r="G1134" t="s">
        <v>111</v>
      </c>
      <c r="H1134" t="s">
        <v>113</v>
      </c>
      <c r="I1134" t="s">
        <v>112</v>
      </c>
      <c r="J1134" t="s">
        <v>114</v>
      </c>
      <c r="K1134" t="s">
        <v>424</v>
      </c>
      <c r="L1134" t="s">
        <v>424</v>
      </c>
    </row>
    <row r="1135" spans="1:12" x14ac:dyDescent="0.3">
      <c r="A1135" t="s">
        <v>709</v>
      </c>
      <c r="B1135" t="s">
        <v>726</v>
      </c>
      <c r="C1135" t="s">
        <v>711</v>
      </c>
      <c r="D1135" t="s">
        <v>227</v>
      </c>
      <c r="E1135" t="s">
        <v>569</v>
      </c>
      <c r="F1135" t="s">
        <v>192</v>
      </c>
      <c r="G1135" t="s">
        <v>111</v>
      </c>
      <c r="H1135" t="s">
        <v>113</v>
      </c>
      <c r="I1135" t="s">
        <v>112</v>
      </c>
      <c r="J1135" t="s">
        <v>114</v>
      </c>
      <c r="K1135" t="s">
        <v>1758</v>
      </c>
      <c r="L1135" t="s">
        <v>1758</v>
      </c>
    </row>
    <row r="1136" spans="1:12" x14ac:dyDescent="0.3">
      <c r="A1136" t="s">
        <v>709</v>
      </c>
      <c r="B1136" t="s">
        <v>726</v>
      </c>
      <c r="C1136" t="s">
        <v>711</v>
      </c>
      <c r="D1136" t="s">
        <v>228</v>
      </c>
      <c r="E1136" t="s">
        <v>569</v>
      </c>
      <c r="F1136" t="s">
        <v>167</v>
      </c>
      <c r="G1136" t="s">
        <v>111</v>
      </c>
      <c r="H1136" t="s">
        <v>113</v>
      </c>
      <c r="I1136" t="s">
        <v>112</v>
      </c>
      <c r="J1136" t="s">
        <v>114</v>
      </c>
      <c r="K1136" t="s">
        <v>422</v>
      </c>
      <c r="L1136" t="s">
        <v>422</v>
      </c>
    </row>
    <row r="1137" spans="1:12" x14ac:dyDescent="0.3">
      <c r="A1137" t="s">
        <v>709</v>
      </c>
      <c r="B1137" t="s">
        <v>726</v>
      </c>
      <c r="C1137" t="s">
        <v>711</v>
      </c>
      <c r="D1137" t="s">
        <v>229</v>
      </c>
      <c r="E1137" t="s">
        <v>569</v>
      </c>
      <c r="F1137" t="s">
        <v>127</v>
      </c>
      <c r="G1137" t="s">
        <v>111</v>
      </c>
      <c r="H1137" t="s">
        <v>113</v>
      </c>
      <c r="I1137" t="s">
        <v>112</v>
      </c>
      <c r="J1137" t="s">
        <v>114</v>
      </c>
      <c r="K1137" t="s">
        <v>424</v>
      </c>
      <c r="L1137" t="s">
        <v>424</v>
      </c>
    </row>
    <row r="1138" spans="1:12" x14ac:dyDescent="0.3">
      <c r="A1138" t="s">
        <v>709</v>
      </c>
      <c r="B1138" t="s">
        <v>726</v>
      </c>
      <c r="C1138" t="s">
        <v>711</v>
      </c>
      <c r="D1138" t="s">
        <v>310</v>
      </c>
      <c r="E1138" t="s">
        <v>569</v>
      </c>
      <c r="F1138" t="s">
        <v>128</v>
      </c>
      <c r="G1138" t="s">
        <v>111</v>
      </c>
      <c r="H1138" t="s">
        <v>113</v>
      </c>
      <c r="I1138" t="s">
        <v>112</v>
      </c>
      <c r="J1138" t="s">
        <v>114</v>
      </c>
      <c r="K1138" t="s">
        <v>1758</v>
      </c>
      <c r="L1138" t="s">
        <v>1758</v>
      </c>
    </row>
    <row r="1139" spans="1:12" x14ac:dyDescent="0.3">
      <c r="A1139" t="s">
        <v>709</v>
      </c>
      <c r="B1139" t="s">
        <v>726</v>
      </c>
      <c r="C1139" t="s">
        <v>711</v>
      </c>
      <c r="D1139" t="s">
        <v>311</v>
      </c>
      <c r="E1139" t="s">
        <v>569</v>
      </c>
      <c r="F1139" t="s">
        <v>89</v>
      </c>
      <c r="G1139" t="s">
        <v>111</v>
      </c>
      <c r="H1139" t="s">
        <v>113</v>
      </c>
      <c r="I1139" t="s">
        <v>112</v>
      </c>
      <c r="J1139" t="s">
        <v>114</v>
      </c>
      <c r="K1139" t="s">
        <v>424</v>
      </c>
      <c r="L1139" t="s">
        <v>424</v>
      </c>
    </row>
    <row r="1140" spans="1:12" x14ac:dyDescent="0.3">
      <c r="A1140" t="s">
        <v>709</v>
      </c>
      <c r="B1140" t="s">
        <v>726</v>
      </c>
      <c r="C1140" t="s">
        <v>711</v>
      </c>
      <c r="D1140" t="s">
        <v>231</v>
      </c>
      <c r="E1140" t="s">
        <v>569</v>
      </c>
      <c r="F1140" t="s">
        <v>66</v>
      </c>
      <c r="G1140" t="s">
        <v>111</v>
      </c>
      <c r="H1140" t="s">
        <v>113</v>
      </c>
      <c r="I1140" t="s">
        <v>112</v>
      </c>
      <c r="J1140" t="s">
        <v>114</v>
      </c>
      <c r="K1140" t="s">
        <v>1759</v>
      </c>
      <c r="L1140" t="s">
        <v>1759</v>
      </c>
    </row>
    <row r="1141" spans="1:12" x14ac:dyDescent="0.3">
      <c r="A1141" t="s">
        <v>709</v>
      </c>
      <c r="B1141" t="s">
        <v>726</v>
      </c>
      <c r="C1141" t="s">
        <v>711</v>
      </c>
      <c r="D1141" t="s">
        <v>232</v>
      </c>
      <c r="E1141" t="s">
        <v>569</v>
      </c>
      <c r="F1141" t="s">
        <v>169</v>
      </c>
      <c r="G1141" t="s">
        <v>111</v>
      </c>
      <c r="H1141" t="s">
        <v>113</v>
      </c>
      <c r="I1141" t="s">
        <v>112</v>
      </c>
      <c r="J1141" t="s">
        <v>114</v>
      </c>
      <c r="K1141" t="s">
        <v>1759</v>
      </c>
      <c r="L1141" t="s">
        <v>1759</v>
      </c>
    </row>
    <row r="1142" spans="1:12" x14ac:dyDescent="0.3">
      <c r="A1142" t="s">
        <v>709</v>
      </c>
      <c r="B1142" t="s">
        <v>726</v>
      </c>
      <c r="C1142" t="s">
        <v>711</v>
      </c>
      <c r="D1142" t="s">
        <v>234</v>
      </c>
      <c r="E1142" t="s">
        <v>569</v>
      </c>
      <c r="F1142" t="s">
        <v>93</v>
      </c>
      <c r="G1142" t="s">
        <v>111</v>
      </c>
      <c r="H1142" t="s">
        <v>160</v>
      </c>
      <c r="I1142" t="s">
        <v>112</v>
      </c>
      <c r="J1142" t="s">
        <v>114</v>
      </c>
      <c r="K1142" t="s">
        <v>428</v>
      </c>
      <c r="L1142" t="s">
        <v>428</v>
      </c>
    </row>
    <row r="1143" spans="1:12" x14ac:dyDescent="0.3">
      <c r="A1143" t="s">
        <v>709</v>
      </c>
      <c r="B1143" t="s">
        <v>726</v>
      </c>
      <c r="C1143" t="s">
        <v>711</v>
      </c>
      <c r="D1143" t="s">
        <v>312</v>
      </c>
      <c r="E1143" t="s">
        <v>569</v>
      </c>
      <c r="F1143" t="s">
        <v>129</v>
      </c>
      <c r="G1143" t="s">
        <v>111</v>
      </c>
      <c r="H1143" t="s">
        <v>113</v>
      </c>
      <c r="I1143" t="s">
        <v>112</v>
      </c>
      <c r="J1143" t="s">
        <v>114</v>
      </c>
      <c r="K1143" t="s">
        <v>424</v>
      </c>
      <c r="L1143" t="s">
        <v>424</v>
      </c>
    </row>
    <row r="1144" spans="1:12" x14ac:dyDescent="0.3">
      <c r="A1144" t="s">
        <v>709</v>
      </c>
      <c r="B1144" t="s">
        <v>726</v>
      </c>
      <c r="C1144" t="s">
        <v>711</v>
      </c>
      <c r="D1144" t="s">
        <v>313</v>
      </c>
      <c r="E1144" t="s">
        <v>569</v>
      </c>
      <c r="F1144" t="s">
        <v>68</v>
      </c>
      <c r="G1144" t="s">
        <v>111</v>
      </c>
      <c r="H1144" t="s">
        <v>113</v>
      </c>
      <c r="I1144" t="s">
        <v>112</v>
      </c>
      <c r="J1144" t="s">
        <v>114</v>
      </c>
      <c r="K1144" t="s">
        <v>423</v>
      </c>
      <c r="L1144" t="s">
        <v>423</v>
      </c>
    </row>
    <row r="1145" spans="1:12" x14ac:dyDescent="0.3">
      <c r="A1145" t="s">
        <v>709</v>
      </c>
      <c r="B1145" t="s">
        <v>726</v>
      </c>
      <c r="C1145" t="s">
        <v>711</v>
      </c>
      <c r="D1145" t="s">
        <v>235</v>
      </c>
      <c r="E1145" t="s">
        <v>569</v>
      </c>
      <c r="F1145" t="s">
        <v>85</v>
      </c>
      <c r="G1145" t="s">
        <v>111</v>
      </c>
      <c r="H1145" t="s">
        <v>113</v>
      </c>
      <c r="I1145" t="s">
        <v>112</v>
      </c>
      <c r="J1145" t="s">
        <v>114</v>
      </c>
      <c r="K1145" t="s">
        <v>1759</v>
      </c>
      <c r="L1145" t="s">
        <v>1759</v>
      </c>
    </row>
    <row r="1146" spans="1:12" x14ac:dyDescent="0.3">
      <c r="A1146" t="s">
        <v>709</v>
      </c>
      <c r="B1146" t="s">
        <v>726</v>
      </c>
      <c r="C1146" t="s">
        <v>711</v>
      </c>
      <c r="D1146" t="s">
        <v>314</v>
      </c>
      <c r="E1146" t="s">
        <v>569</v>
      </c>
      <c r="F1146" t="s">
        <v>61</v>
      </c>
      <c r="G1146" t="s">
        <v>111</v>
      </c>
      <c r="H1146" t="s">
        <v>160</v>
      </c>
      <c r="I1146" t="s">
        <v>112</v>
      </c>
      <c r="J1146" t="s">
        <v>114</v>
      </c>
      <c r="K1146" t="s">
        <v>1758</v>
      </c>
      <c r="L1146" t="s">
        <v>1758</v>
      </c>
    </row>
    <row r="1147" spans="1:12" x14ac:dyDescent="0.3">
      <c r="A1147" t="s">
        <v>709</v>
      </c>
      <c r="B1147" t="s">
        <v>726</v>
      </c>
      <c r="C1147" t="s">
        <v>711</v>
      </c>
      <c r="D1147" t="s">
        <v>236</v>
      </c>
      <c r="E1147" t="s">
        <v>569</v>
      </c>
      <c r="F1147" t="s">
        <v>87</v>
      </c>
      <c r="G1147" t="s">
        <v>111</v>
      </c>
      <c r="H1147" t="s">
        <v>113</v>
      </c>
      <c r="I1147" t="s">
        <v>112</v>
      </c>
      <c r="J1147" t="s">
        <v>114</v>
      </c>
      <c r="K1147" t="s">
        <v>1755</v>
      </c>
      <c r="L1147" t="s">
        <v>1755</v>
      </c>
    </row>
    <row r="1148" spans="1:12" x14ac:dyDescent="0.3">
      <c r="A1148" t="s">
        <v>709</v>
      </c>
      <c r="B1148" t="s">
        <v>726</v>
      </c>
      <c r="C1148" t="s">
        <v>711</v>
      </c>
      <c r="D1148" t="s">
        <v>237</v>
      </c>
      <c r="E1148" t="s">
        <v>569</v>
      </c>
      <c r="F1148" t="s">
        <v>130</v>
      </c>
      <c r="G1148" t="s">
        <v>111</v>
      </c>
      <c r="H1148" t="s">
        <v>113</v>
      </c>
      <c r="I1148" t="s">
        <v>112</v>
      </c>
      <c r="J1148" t="s">
        <v>114</v>
      </c>
      <c r="K1148" t="s">
        <v>1758</v>
      </c>
      <c r="L1148" t="s">
        <v>1758</v>
      </c>
    </row>
    <row r="1149" spans="1:12" x14ac:dyDescent="0.3">
      <c r="A1149" t="s">
        <v>709</v>
      </c>
      <c r="B1149" t="s">
        <v>726</v>
      </c>
      <c r="C1149" t="s">
        <v>711</v>
      </c>
      <c r="D1149" t="s">
        <v>238</v>
      </c>
      <c r="E1149" t="s">
        <v>569</v>
      </c>
      <c r="F1149" t="s">
        <v>131</v>
      </c>
      <c r="G1149" t="s">
        <v>111</v>
      </c>
      <c r="H1149" t="s">
        <v>118</v>
      </c>
      <c r="I1149" t="s">
        <v>112</v>
      </c>
      <c r="J1149" t="s">
        <v>119</v>
      </c>
      <c r="K1149" t="s">
        <v>1754</v>
      </c>
      <c r="L1149" t="s">
        <v>1754</v>
      </c>
    </row>
    <row r="1150" spans="1:12" x14ac:dyDescent="0.3">
      <c r="A1150" t="s">
        <v>709</v>
      </c>
      <c r="B1150" t="s">
        <v>726</v>
      </c>
      <c r="C1150" t="s">
        <v>711</v>
      </c>
      <c r="D1150" t="s">
        <v>239</v>
      </c>
      <c r="E1150" t="s">
        <v>569</v>
      </c>
      <c r="F1150" t="s">
        <v>50</v>
      </c>
      <c r="G1150" t="s">
        <v>111</v>
      </c>
      <c r="H1150" t="s">
        <v>118</v>
      </c>
      <c r="I1150" t="s">
        <v>112</v>
      </c>
      <c r="J1150" t="s">
        <v>119</v>
      </c>
      <c r="K1150" t="s">
        <v>597</v>
      </c>
      <c r="L1150" t="s">
        <v>597</v>
      </c>
    </row>
    <row r="1151" spans="1:12" x14ac:dyDescent="0.3">
      <c r="A1151" t="s">
        <v>709</v>
      </c>
      <c r="B1151" t="s">
        <v>726</v>
      </c>
      <c r="C1151" t="s">
        <v>711</v>
      </c>
      <c r="D1151" t="s">
        <v>315</v>
      </c>
      <c r="E1151" t="s">
        <v>568</v>
      </c>
      <c r="F1151" t="s">
        <v>79</v>
      </c>
      <c r="G1151" t="s">
        <v>111</v>
      </c>
      <c r="H1151" t="s">
        <v>113</v>
      </c>
      <c r="I1151" t="s">
        <v>112</v>
      </c>
      <c r="J1151" t="s">
        <v>114</v>
      </c>
      <c r="K1151" t="s">
        <v>597</v>
      </c>
      <c r="L1151" t="s">
        <v>597</v>
      </c>
    </row>
    <row r="1152" spans="1:12" x14ac:dyDescent="0.3">
      <c r="A1152" t="s">
        <v>709</v>
      </c>
      <c r="B1152" t="s">
        <v>726</v>
      </c>
      <c r="C1152" t="s">
        <v>711</v>
      </c>
      <c r="D1152" t="s">
        <v>317</v>
      </c>
      <c r="E1152" t="s">
        <v>568</v>
      </c>
      <c r="F1152" t="s">
        <v>133</v>
      </c>
      <c r="G1152" t="s">
        <v>111</v>
      </c>
      <c r="H1152" t="s">
        <v>113</v>
      </c>
      <c r="I1152" t="s">
        <v>112</v>
      </c>
      <c r="J1152" t="s">
        <v>114</v>
      </c>
      <c r="K1152" t="s">
        <v>597</v>
      </c>
      <c r="L1152" t="s">
        <v>597</v>
      </c>
    </row>
    <row r="1153" spans="1:12" x14ac:dyDescent="0.3">
      <c r="A1153" t="s">
        <v>709</v>
      </c>
      <c r="B1153" t="s">
        <v>726</v>
      </c>
      <c r="C1153" t="s">
        <v>711</v>
      </c>
      <c r="D1153" t="s">
        <v>318</v>
      </c>
      <c r="E1153" t="s">
        <v>568</v>
      </c>
      <c r="F1153" t="s">
        <v>193</v>
      </c>
      <c r="G1153" t="s">
        <v>111</v>
      </c>
      <c r="H1153" t="s">
        <v>118</v>
      </c>
      <c r="I1153" t="s">
        <v>112</v>
      </c>
      <c r="J1153" t="s">
        <v>119</v>
      </c>
      <c r="K1153" t="s">
        <v>597</v>
      </c>
      <c r="L1153" t="s">
        <v>597</v>
      </c>
    </row>
    <row r="1154" spans="1:12" x14ac:dyDescent="0.3">
      <c r="A1154" t="s">
        <v>709</v>
      </c>
      <c r="B1154" t="s">
        <v>726</v>
      </c>
      <c r="C1154" t="s">
        <v>711</v>
      </c>
      <c r="D1154" t="s">
        <v>242</v>
      </c>
      <c r="E1154" t="s">
        <v>568</v>
      </c>
      <c r="F1154" t="s">
        <v>163</v>
      </c>
      <c r="G1154" t="s">
        <v>111</v>
      </c>
      <c r="H1154" t="s">
        <v>113</v>
      </c>
      <c r="I1154" t="s">
        <v>112</v>
      </c>
      <c r="J1154" t="s">
        <v>114</v>
      </c>
      <c r="K1154" t="s">
        <v>1758</v>
      </c>
      <c r="L1154" t="s">
        <v>1758</v>
      </c>
    </row>
    <row r="1155" spans="1:12" x14ac:dyDescent="0.3">
      <c r="A1155" t="s">
        <v>709</v>
      </c>
      <c r="B1155" t="s">
        <v>726</v>
      </c>
      <c r="C1155" t="s">
        <v>711</v>
      </c>
      <c r="D1155" t="s">
        <v>243</v>
      </c>
      <c r="E1155" t="s">
        <v>568</v>
      </c>
      <c r="F1155" t="s">
        <v>170</v>
      </c>
      <c r="G1155" t="s">
        <v>111</v>
      </c>
      <c r="H1155" t="s">
        <v>118</v>
      </c>
      <c r="I1155" t="s">
        <v>112</v>
      </c>
      <c r="J1155" t="s">
        <v>119</v>
      </c>
      <c r="K1155" t="s">
        <v>1760</v>
      </c>
      <c r="L1155" t="s">
        <v>1760</v>
      </c>
    </row>
    <row r="1156" spans="1:12" x14ac:dyDescent="0.3">
      <c r="A1156" t="s">
        <v>709</v>
      </c>
      <c r="B1156" t="s">
        <v>726</v>
      </c>
      <c r="C1156" t="s">
        <v>711</v>
      </c>
      <c r="D1156" t="s">
        <v>244</v>
      </c>
      <c r="E1156" t="s">
        <v>568</v>
      </c>
      <c r="F1156" t="s">
        <v>78</v>
      </c>
      <c r="G1156" t="s">
        <v>111</v>
      </c>
      <c r="H1156" t="s">
        <v>118</v>
      </c>
      <c r="I1156" t="s">
        <v>112</v>
      </c>
      <c r="J1156" t="s">
        <v>119</v>
      </c>
      <c r="K1156" t="s">
        <v>1761</v>
      </c>
      <c r="L1156" t="s">
        <v>1761</v>
      </c>
    </row>
    <row r="1157" spans="1:12" x14ac:dyDescent="0.3">
      <c r="A1157" t="s">
        <v>709</v>
      </c>
      <c r="B1157" t="s">
        <v>726</v>
      </c>
      <c r="C1157" t="s">
        <v>711</v>
      </c>
      <c r="D1157" t="s">
        <v>247</v>
      </c>
      <c r="E1157" t="s">
        <v>568</v>
      </c>
      <c r="F1157" t="s">
        <v>60</v>
      </c>
      <c r="G1157" t="s">
        <v>111</v>
      </c>
      <c r="H1157" t="s">
        <v>118</v>
      </c>
      <c r="I1157" t="s">
        <v>112</v>
      </c>
      <c r="J1157" t="s">
        <v>119</v>
      </c>
      <c r="K1157" t="s">
        <v>1760</v>
      </c>
      <c r="L1157" t="s">
        <v>1760</v>
      </c>
    </row>
    <row r="1158" spans="1:12" x14ac:dyDescent="0.3">
      <c r="A1158" t="s">
        <v>709</v>
      </c>
      <c r="B1158" t="s">
        <v>726</v>
      </c>
      <c r="C1158" t="s">
        <v>711</v>
      </c>
      <c r="D1158" t="s">
        <v>251</v>
      </c>
      <c r="E1158" t="s">
        <v>568</v>
      </c>
      <c r="F1158" t="s">
        <v>48</v>
      </c>
      <c r="G1158" t="s">
        <v>111</v>
      </c>
      <c r="H1158" t="s">
        <v>160</v>
      </c>
      <c r="I1158" t="s">
        <v>112</v>
      </c>
      <c r="J1158" t="s">
        <v>114</v>
      </c>
      <c r="K1158" t="s">
        <v>428</v>
      </c>
      <c r="L1158" t="s">
        <v>428</v>
      </c>
    </row>
    <row r="1159" spans="1:12" x14ac:dyDescent="0.3">
      <c r="A1159" t="s">
        <v>709</v>
      </c>
      <c r="B1159" t="s">
        <v>726</v>
      </c>
      <c r="C1159" t="s">
        <v>711</v>
      </c>
      <c r="D1159" t="s">
        <v>252</v>
      </c>
      <c r="E1159" t="s">
        <v>568</v>
      </c>
      <c r="F1159" t="s">
        <v>138</v>
      </c>
      <c r="G1159" t="s">
        <v>111</v>
      </c>
      <c r="H1159" t="s">
        <v>113</v>
      </c>
      <c r="I1159" t="s">
        <v>112</v>
      </c>
      <c r="J1159" t="s">
        <v>114</v>
      </c>
      <c r="K1159" t="s">
        <v>424</v>
      </c>
      <c r="L1159" t="s">
        <v>424</v>
      </c>
    </row>
    <row r="1160" spans="1:12" x14ac:dyDescent="0.3">
      <c r="A1160" t="s">
        <v>709</v>
      </c>
      <c r="B1160" t="s">
        <v>726</v>
      </c>
      <c r="C1160" t="s">
        <v>711</v>
      </c>
      <c r="D1160" t="s">
        <v>253</v>
      </c>
      <c r="E1160" t="s">
        <v>568</v>
      </c>
      <c r="F1160" t="s">
        <v>95</v>
      </c>
      <c r="G1160" t="s">
        <v>111</v>
      </c>
      <c r="H1160" t="s">
        <v>118</v>
      </c>
      <c r="I1160" t="s">
        <v>112</v>
      </c>
      <c r="J1160" t="s">
        <v>119</v>
      </c>
      <c r="K1160" t="s">
        <v>597</v>
      </c>
      <c r="L1160" t="s">
        <v>597</v>
      </c>
    </row>
    <row r="1161" spans="1:12" x14ac:dyDescent="0.3">
      <c r="A1161" t="s">
        <v>709</v>
      </c>
      <c r="B1161" t="s">
        <v>726</v>
      </c>
      <c r="C1161" t="s">
        <v>711</v>
      </c>
      <c r="D1161" t="s">
        <v>254</v>
      </c>
      <c r="E1161" t="s">
        <v>568</v>
      </c>
      <c r="F1161" t="s">
        <v>139</v>
      </c>
      <c r="G1161" t="s">
        <v>111</v>
      </c>
      <c r="H1161" t="s">
        <v>113</v>
      </c>
      <c r="I1161" t="s">
        <v>112</v>
      </c>
      <c r="J1161" t="s">
        <v>114</v>
      </c>
      <c r="K1161" t="s">
        <v>1759</v>
      </c>
      <c r="L1161" t="s">
        <v>1759</v>
      </c>
    </row>
    <row r="1162" spans="1:12" x14ac:dyDescent="0.3">
      <c r="A1162" t="s">
        <v>709</v>
      </c>
      <c r="B1162" t="s">
        <v>726</v>
      </c>
      <c r="C1162" t="s">
        <v>711</v>
      </c>
      <c r="D1162" t="s">
        <v>255</v>
      </c>
      <c r="E1162" t="s">
        <v>568</v>
      </c>
      <c r="F1162" t="s">
        <v>171</v>
      </c>
      <c r="G1162" t="s">
        <v>111</v>
      </c>
      <c r="H1162" t="s">
        <v>113</v>
      </c>
      <c r="I1162" t="s">
        <v>112</v>
      </c>
      <c r="J1162" t="s">
        <v>114</v>
      </c>
      <c r="K1162" t="s">
        <v>427</v>
      </c>
      <c r="L1162" t="s">
        <v>427</v>
      </c>
    </row>
    <row r="1163" spans="1:12" x14ac:dyDescent="0.3">
      <c r="A1163" t="s">
        <v>709</v>
      </c>
      <c r="B1163" t="s">
        <v>726</v>
      </c>
      <c r="C1163" t="s">
        <v>711</v>
      </c>
      <c r="D1163" t="s">
        <v>320</v>
      </c>
      <c r="E1163" t="s">
        <v>568</v>
      </c>
      <c r="F1163" t="s">
        <v>172</v>
      </c>
      <c r="G1163" t="s">
        <v>111</v>
      </c>
      <c r="H1163" t="s">
        <v>113</v>
      </c>
      <c r="I1163" t="s">
        <v>112</v>
      </c>
      <c r="J1163" t="s">
        <v>114</v>
      </c>
      <c r="K1163" t="s">
        <v>428</v>
      </c>
      <c r="L1163" t="s">
        <v>428</v>
      </c>
    </row>
    <row r="1164" spans="1:12" x14ac:dyDescent="0.3">
      <c r="A1164" t="s">
        <v>709</v>
      </c>
      <c r="B1164" t="s">
        <v>726</v>
      </c>
      <c r="C1164" t="s">
        <v>711</v>
      </c>
      <c r="D1164" t="s">
        <v>207</v>
      </c>
      <c r="E1164" t="s">
        <v>568</v>
      </c>
      <c r="F1164" t="s">
        <v>62</v>
      </c>
      <c r="G1164" t="s">
        <v>111</v>
      </c>
      <c r="H1164" t="s">
        <v>113</v>
      </c>
      <c r="I1164" t="s">
        <v>112</v>
      </c>
      <c r="J1164" t="s">
        <v>114</v>
      </c>
      <c r="K1164" t="s">
        <v>424</v>
      </c>
      <c r="L1164" t="s">
        <v>424</v>
      </c>
    </row>
    <row r="1165" spans="1:12" x14ac:dyDescent="0.3">
      <c r="A1165" t="s">
        <v>709</v>
      </c>
      <c r="B1165" t="s">
        <v>726</v>
      </c>
      <c r="C1165" t="s">
        <v>711</v>
      </c>
      <c r="D1165" t="s">
        <v>256</v>
      </c>
      <c r="E1165" t="s">
        <v>568</v>
      </c>
      <c r="F1165" t="s">
        <v>57</v>
      </c>
      <c r="G1165" t="s">
        <v>111</v>
      </c>
      <c r="H1165" t="s">
        <v>113</v>
      </c>
      <c r="I1165" t="s">
        <v>112</v>
      </c>
      <c r="J1165" t="s">
        <v>114</v>
      </c>
      <c r="K1165" t="s">
        <v>1754</v>
      </c>
      <c r="L1165" t="s">
        <v>1754</v>
      </c>
    </row>
    <row r="1166" spans="1:12" x14ac:dyDescent="0.3">
      <c r="A1166" t="s">
        <v>709</v>
      </c>
      <c r="B1166" t="s">
        <v>726</v>
      </c>
      <c r="C1166" t="s">
        <v>711</v>
      </c>
      <c r="D1166" t="s">
        <v>322</v>
      </c>
      <c r="E1166" t="s">
        <v>568</v>
      </c>
      <c r="F1166" t="s">
        <v>173</v>
      </c>
      <c r="G1166" t="s">
        <v>111</v>
      </c>
      <c r="H1166" t="s">
        <v>113</v>
      </c>
      <c r="I1166" t="s">
        <v>112</v>
      </c>
      <c r="J1166" t="s">
        <v>114</v>
      </c>
      <c r="K1166" t="s">
        <v>1757</v>
      </c>
      <c r="L1166" t="s">
        <v>1757</v>
      </c>
    </row>
    <row r="1167" spans="1:12" x14ac:dyDescent="0.3">
      <c r="A1167" t="s">
        <v>709</v>
      </c>
      <c r="B1167" t="s">
        <v>726</v>
      </c>
      <c r="C1167" t="s">
        <v>711</v>
      </c>
      <c r="D1167" t="s">
        <v>257</v>
      </c>
      <c r="E1167" t="s">
        <v>568</v>
      </c>
      <c r="F1167" t="s">
        <v>174</v>
      </c>
      <c r="G1167" t="s">
        <v>111</v>
      </c>
      <c r="H1167" t="s">
        <v>113</v>
      </c>
      <c r="I1167" t="s">
        <v>112</v>
      </c>
      <c r="J1167" t="s">
        <v>114</v>
      </c>
      <c r="K1167" t="s">
        <v>1762</v>
      </c>
      <c r="L1167" t="s">
        <v>1762</v>
      </c>
    </row>
    <row r="1168" spans="1:12" x14ac:dyDescent="0.3">
      <c r="A1168" t="s">
        <v>709</v>
      </c>
      <c r="B1168" t="s">
        <v>726</v>
      </c>
      <c r="C1168" t="s">
        <v>711</v>
      </c>
      <c r="D1168" t="s">
        <v>258</v>
      </c>
      <c r="E1168" t="s">
        <v>568</v>
      </c>
      <c r="F1168" t="s">
        <v>88</v>
      </c>
      <c r="G1168" t="s">
        <v>111</v>
      </c>
      <c r="H1168" t="s">
        <v>113</v>
      </c>
      <c r="I1168" t="s">
        <v>112</v>
      </c>
      <c r="J1168" t="s">
        <v>114</v>
      </c>
      <c r="K1168" t="s">
        <v>1758</v>
      </c>
      <c r="L1168" t="s">
        <v>1758</v>
      </c>
    </row>
    <row r="1169" spans="1:12" x14ac:dyDescent="0.3">
      <c r="A1169" t="s">
        <v>709</v>
      </c>
      <c r="B1169" t="s">
        <v>726</v>
      </c>
      <c r="C1169" t="s">
        <v>711</v>
      </c>
      <c r="D1169" t="s">
        <v>259</v>
      </c>
      <c r="E1169" t="s">
        <v>568</v>
      </c>
      <c r="F1169" t="s">
        <v>77</v>
      </c>
      <c r="G1169" t="s">
        <v>111</v>
      </c>
      <c r="H1169" t="s">
        <v>118</v>
      </c>
      <c r="I1169" t="s">
        <v>112</v>
      </c>
      <c r="J1169" t="s">
        <v>119</v>
      </c>
      <c r="K1169" t="s">
        <v>597</v>
      </c>
      <c r="L1169" t="s">
        <v>597</v>
      </c>
    </row>
    <row r="1170" spans="1:12" x14ac:dyDescent="0.3">
      <c r="A1170" t="s">
        <v>709</v>
      </c>
      <c r="B1170" t="s">
        <v>726</v>
      </c>
      <c r="C1170" t="s">
        <v>711</v>
      </c>
      <c r="D1170" t="s">
        <v>323</v>
      </c>
      <c r="E1170" t="s">
        <v>568</v>
      </c>
      <c r="F1170" t="s">
        <v>74</v>
      </c>
      <c r="G1170" t="s">
        <v>111</v>
      </c>
      <c r="H1170" t="s">
        <v>113</v>
      </c>
      <c r="I1170" t="s">
        <v>112</v>
      </c>
      <c r="J1170" t="s">
        <v>114</v>
      </c>
      <c r="K1170" t="s">
        <v>428</v>
      </c>
      <c r="L1170" t="s">
        <v>428</v>
      </c>
    </row>
    <row r="1171" spans="1:12" x14ac:dyDescent="0.3">
      <c r="A1171" t="s">
        <v>709</v>
      </c>
      <c r="B1171" t="s">
        <v>726</v>
      </c>
      <c r="C1171" t="s">
        <v>711</v>
      </c>
      <c r="D1171" t="s">
        <v>324</v>
      </c>
      <c r="E1171" t="s">
        <v>568</v>
      </c>
      <c r="F1171" t="s">
        <v>102</v>
      </c>
      <c r="G1171" t="s">
        <v>111</v>
      </c>
      <c r="H1171" t="s">
        <v>118</v>
      </c>
      <c r="I1171" t="s">
        <v>112</v>
      </c>
      <c r="J1171" t="s">
        <v>119</v>
      </c>
      <c r="K1171" t="s">
        <v>1760</v>
      </c>
      <c r="L1171" t="s">
        <v>1760</v>
      </c>
    </row>
    <row r="1172" spans="1:12" x14ac:dyDescent="0.3">
      <c r="A1172" t="s">
        <v>709</v>
      </c>
      <c r="B1172" t="s">
        <v>726</v>
      </c>
      <c r="C1172" t="s">
        <v>711</v>
      </c>
      <c r="D1172" t="s">
        <v>260</v>
      </c>
      <c r="E1172" t="s">
        <v>568</v>
      </c>
      <c r="F1172" t="s">
        <v>140</v>
      </c>
      <c r="G1172" t="s">
        <v>111</v>
      </c>
      <c r="H1172" t="s">
        <v>113</v>
      </c>
      <c r="I1172" t="s">
        <v>112</v>
      </c>
      <c r="J1172" t="s">
        <v>114</v>
      </c>
      <c r="K1172" t="s">
        <v>428</v>
      </c>
      <c r="L1172" t="s">
        <v>428</v>
      </c>
    </row>
    <row r="1173" spans="1:12" x14ac:dyDescent="0.3">
      <c r="A1173" t="s">
        <v>709</v>
      </c>
      <c r="B1173" t="s">
        <v>726</v>
      </c>
      <c r="C1173" t="s">
        <v>711</v>
      </c>
      <c r="D1173" t="s">
        <v>263</v>
      </c>
      <c r="E1173" t="s">
        <v>568</v>
      </c>
      <c r="F1173" t="s">
        <v>141</v>
      </c>
      <c r="G1173" t="s">
        <v>111</v>
      </c>
      <c r="H1173" t="s">
        <v>113</v>
      </c>
      <c r="I1173" t="s">
        <v>112</v>
      </c>
      <c r="J1173" t="s">
        <v>114</v>
      </c>
      <c r="K1173" t="s">
        <v>424</v>
      </c>
      <c r="L1173" t="s">
        <v>424</v>
      </c>
    </row>
    <row r="1174" spans="1:12" x14ac:dyDescent="0.3">
      <c r="A1174" t="s">
        <v>709</v>
      </c>
      <c r="B1174" t="s">
        <v>726</v>
      </c>
      <c r="C1174" t="s">
        <v>711</v>
      </c>
      <c r="D1174" t="s">
        <v>264</v>
      </c>
      <c r="E1174" t="s">
        <v>568</v>
      </c>
      <c r="F1174" t="s">
        <v>64</v>
      </c>
      <c r="G1174" t="s">
        <v>111</v>
      </c>
      <c r="H1174" t="s">
        <v>113</v>
      </c>
      <c r="I1174" t="s">
        <v>112</v>
      </c>
      <c r="J1174" t="s">
        <v>114</v>
      </c>
      <c r="K1174" t="s">
        <v>1759</v>
      </c>
      <c r="L1174" t="s">
        <v>1759</v>
      </c>
    </row>
    <row r="1175" spans="1:12" x14ac:dyDescent="0.3">
      <c r="A1175" t="s">
        <v>709</v>
      </c>
      <c r="B1175" t="s">
        <v>726</v>
      </c>
      <c r="C1175" t="s">
        <v>711</v>
      </c>
      <c r="D1175" t="s">
        <v>265</v>
      </c>
      <c r="E1175" t="s">
        <v>568</v>
      </c>
      <c r="F1175" t="s">
        <v>142</v>
      </c>
      <c r="G1175" t="s">
        <v>111</v>
      </c>
      <c r="H1175" t="s">
        <v>118</v>
      </c>
      <c r="I1175" t="s">
        <v>112</v>
      </c>
      <c r="J1175" t="s">
        <v>119</v>
      </c>
      <c r="K1175" t="s">
        <v>597</v>
      </c>
      <c r="L1175" t="s">
        <v>597</v>
      </c>
    </row>
    <row r="1176" spans="1:12" x14ac:dyDescent="0.3">
      <c r="A1176" t="s">
        <v>709</v>
      </c>
      <c r="B1176" t="s">
        <v>726</v>
      </c>
      <c r="C1176" t="s">
        <v>711</v>
      </c>
      <c r="D1176" t="s">
        <v>326</v>
      </c>
      <c r="E1176" t="s">
        <v>568</v>
      </c>
      <c r="F1176" t="s">
        <v>144</v>
      </c>
      <c r="G1176" t="s">
        <v>111</v>
      </c>
      <c r="H1176" t="s">
        <v>113</v>
      </c>
      <c r="I1176" t="s">
        <v>112</v>
      </c>
      <c r="J1176" t="s">
        <v>114</v>
      </c>
      <c r="K1176" t="s">
        <v>1763</v>
      </c>
      <c r="L1176" t="s">
        <v>1763</v>
      </c>
    </row>
    <row r="1177" spans="1:12" x14ac:dyDescent="0.3">
      <c r="A1177" t="s">
        <v>709</v>
      </c>
      <c r="B1177" t="s">
        <v>726</v>
      </c>
      <c r="C1177" t="s">
        <v>711</v>
      </c>
      <c r="D1177" t="s">
        <v>269</v>
      </c>
      <c r="E1177" t="s">
        <v>568</v>
      </c>
      <c r="F1177" t="s">
        <v>145</v>
      </c>
      <c r="G1177" t="s">
        <v>111</v>
      </c>
      <c r="H1177" t="s">
        <v>113</v>
      </c>
      <c r="I1177" t="s">
        <v>112</v>
      </c>
      <c r="J1177" t="s">
        <v>114</v>
      </c>
      <c r="K1177" t="s">
        <v>424</v>
      </c>
      <c r="L1177" t="s">
        <v>424</v>
      </c>
    </row>
    <row r="1178" spans="1:12" x14ac:dyDescent="0.3">
      <c r="A1178" t="s">
        <v>709</v>
      </c>
      <c r="B1178" t="s">
        <v>726</v>
      </c>
      <c r="C1178" t="s">
        <v>711</v>
      </c>
      <c r="D1178" t="s">
        <v>270</v>
      </c>
      <c r="E1178" t="s">
        <v>568</v>
      </c>
      <c r="F1178" t="s">
        <v>81</v>
      </c>
      <c r="G1178" t="s">
        <v>111</v>
      </c>
      <c r="H1178" t="s">
        <v>118</v>
      </c>
      <c r="I1178" t="s">
        <v>112</v>
      </c>
      <c r="J1178" t="s">
        <v>119</v>
      </c>
      <c r="K1178" t="s">
        <v>597</v>
      </c>
      <c r="L1178" t="s">
        <v>597</v>
      </c>
    </row>
    <row r="1179" spans="1:12" x14ac:dyDescent="0.3">
      <c r="A1179" t="s">
        <v>709</v>
      </c>
      <c r="B1179" t="s">
        <v>726</v>
      </c>
      <c r="C1179" t="s">
        <v>711</v>
      </c>
      <c r="D1179" t="s">
        <v>271</v>
      </c>
      <c r="E1179" t="s">
        <v>567</v>
      </c>
      <c r="F1179" t="s">
        <v>76</v>
      </c>
      <c r="G1179" t="s">
        <v>111</v>
      </c>
      <c r="H1179" t="s">
        <v>113</v>
      </c>
      <c r="I1179" t="s">
        <v>112</v>
      </c>
      <c r="J1179" t="s">
        <v>114</v>
      </c>
      <c r="K1179" t="s">
        <v>1761</v>
      </c>
      <c r="L1179" t="s">
        <v>1761</v>
      </c>
    </row>
    <row r="1180" spans="1:12" x14ac:dyDescent="0.3">
      <c r="A1180" t="s">
        <v>709</v>
      </c>
      <c r="B1180" t="s">
        <v>726</v>
      </c>
      <c r="C1180" t="s">
        <v>711</v>
      </c>
      <c r="D1180" t="s">
        <v>272</v>
      </c>
      <c r="E1180" t="s">
        <v>567</v>
      </c>
      <c r="F1180" t="s">
        <v>52</v>
      </c>
      <c r="G1180" t="s">
        <v>111</v>
      </c>
      <c r="H1180" t="s">
        <v>113</v>
      </c>
      <c r="I1180" t="s">
        <v>112</v>
      </c>
      <c r="J1180" t="s">
        <v>114</v>
      </c>
      <c r="K1180" t="s">
        <v>1758</v>
      </c>
      <c r="L1180" t="s">
        <v>1758</v>
      </c>
    </row>
    <row r="1181" spans="1:12" x14ac:dyDescent="0.3">
      <c r="A1181" t="s">
        <v>709</v>
      </c>
      <c r="B1181" t="s">
        <v>726</v>
      </c>
      <c r="C1181" t="s">
        <v>711</v>
      </c>
      <c r="D1181" t="s">
        <v>327</v>
      </c>
      <c r="E1181" t="s">
        <v>567</v>
      </c>
      <c r="F1181" t="s">
        <v>104</v>
      </c>
      <c r="G1181" t="s">
        <v>111</v>
      </c>
      <c r="H1181" t="s">
        <v>113</v>
      </c>
      <c r="I1181" t="s">
        <v>112</v>
      </c>
      <c r="J1181" t="s">
        <v>114</v>
      </c>
      <c r="K1181" t="s">
        <v>1763</v>
      </c>
      <c r="L1181" t="s">
        <v>1763</v>
      </c>
    </row>
    <row r="1182" spans="1:12" x14ac:dyDescent="0.3">
      <c r="A1182" t="s">
        <v>709</v>
      </c>
      <c r="B1182" t="s">
        <v>726</v>
      </c>
      <c r="C1182" t="s">
        <v>711</v>
      </c>
      <c r="D1182" t="s">
        <v>273</v>
      </c>
      <c r="E1182" t="s">
        <v>567</v>
      </c>
      <c r="F1182" t="s">
        <v>176</v>
      </c>
      <c r="G1182" t="s">
        <v>111</v>
      </c>
      <c r="H1182" t="s">
        <v>113</v>
      </c>
      <c r="I1182" t="s">
        <v>112</v>
      </c>
      <c r="J1182" t="s">
        <v>114</v>
      </c>
      <c r="K1182" t="s">
        <v>1755</v>
      </c>
      <c r="L1182" t="s">
        <v>1755</v>
      </c>
    </row>
    <row r="1183" spans="1:12" x14ac:dyDescent="0.3">
      <c r="A1183" t="s">
        <v>709</v>
      </c>
      <c r="B1183" t="s">
        <v>726</v>
      </c>
      <c r="C1183" t="s">
        <v>711</v>
      </c>
      <c r="D1183" t="s">
        <v>274</v>
      </c>
      <c r="E1183" t="s">
        <v>567</v>
      </c>
      <c r="F1183" t="s">
        <v>146</v>
      </c>
      <c r="G1183" t="s">
        <v>111</v>
      </c>
      <c r="H1183" t="s">
        <v>113</v>
      </c>
      <c r="I1183" t="s">
        <v>112</v>
      </c>
      <c r="J1183" t="s">
        <v>114</v>
      </c>
      <c r="K1183" t="s">
        <v>597</v>
      </c>
      <c r="L1183" t="s">
        <v>597</v>
      </c>
    </row>
    <row r="1184" spans="1:12" x14ac:dyDescent="0.3">
      <c r="A1184" t="s">
        <v>709</v>
      </c>
      <c r="B1184" t="s">
        <v>726</v>
      </c>
      <c r="C1184" t="s">
        <v>711</v>
      </c>
      <c r="D1184" t="s">
        <v>276</v>
      </c>
      <c r="E1184" t="s">
        <v>567</v>
      </c>
      <c r="F1184" t="s">
        <v>149</v>
      </c>
      <c r="G1184" t="s">
        <v>111</v>
      </c>
      <c r="H1184" t="s">
        <v>113</v>
      </c>
      <c r="I1184" t="s">
        <v>112</v>
      </c>
      <c r="J1184" t="s">
        <v>114</v>
      </c>
      <c r="K1184" t="s">
        <v>1764</v>
      </c>
      <c r="L1184" t="s">
        <v>1764</v>
      </c>
    </row>
    <row r="1185" spans="1:12" x14ac:dyDescent="0.3">
      <c r="A1185" t="s">
        <v>709</v>
      </c>
      <c r="B1185" t="s">
        <v>726</v>
      </c>
      <c r="C1185" t="s">
        <v>711</v>
      </c>
      <c r="D1185" t="s">
        <v>277</v>
      </c>
      <c r="E1185" t="s">
        <v>567</v>
      </c>
      <c r="F1185" t="s">
        <v>83</v>
      </c>
      <c r="G1185" t="s">
        <v>111</v>
      </c>
      <c r="H1185" t="s">
        <v>113</v>
      </c>
      <c r="I1185" t="s">
        <v>112</v>
      </c>
      <c r="J1185" t="s">
        <v>114</v>
      </c>
      <c r="K1185" t="s">
        <v>597</v>
      </c>
      <c r="L1185" t="s">
        <v>597</v>
      </c>
    </row>
    <row r="1186" spans="1:12" x14ac:dyDescent="0.3">
      <c r="A1186" t="s">
        <v>709</v>
      </c>
      <c r="B1186" t="s">
        <v>726</v>
      </c>
      <c r="C1186" t="s">
        <v>711</v>
      </c>
      <c r="D1186" t="s">
        <v>278</v>
      </c>
      <c r="E1186" t="s">
        <v>567</v>
      </c>
      <c r="F1186" t="s">
        <v>203</v>
      </c>
      <c r="G1186" t="s">
        <v>111</v>
      </c>
      <c r="H1186" t="s">
        <v>113</v>
      </c>
      <c r="I1186" t="s">
        <v>112</v>
      </c>
      <c r="J1186" t="s">
        <v>114</v>
      </c>
      <c r="K1186" t="s">
        <v>597</v>
      </c>
      <c r="L1186" t="s">
        <v>597</v>
      </c>
    </row>
    <row r="1187" spans="1:12" x14ac:dyDescent="0.3">
      <c r="A1187" t="s">
        <v>709</v>
      </c>
      <c r="B1187" t="s">
        <v>726</v>
      </c>
      <c r="C1187" t="s">
        <v>711</v>
      </c>
      <c r="D1187" t="s">
        <v>279</v>
      </c>
      <c r="E1187" t="s">
        <v>567</v>
      </c>
      <c r="F1187" t="s">
        <v>150</v>
      </c>
      <c r="G1187" t="s">
        <v>111</v>
      </c>
      <c r="H1187" t="s">
        <v>160</v>
      </c>
      <c r="I1187" t="s">
        <v>112</v>
      </c>
      <c r="J1187" t="s">
        <v>114</v>
      </c>
      <c r="K1187" t="s">
        <v>1761</v>
      </c>
      <c r="L1187" t="s">
        <v>1761</v>
      </c>
    </row>
    <row r="1188" spans="1:12" x14ac:dyDescent="0.3">
      <c r="A1188" t="s">
        <v>709</v>
      </c>
      <c r="B1188" t="s">
        <v>726</v>
      </c>
      <c r="C1188" t="s">
        <v>711</v>
      </c>
      <c r="D1188" t="s">
        <v>280</v>
      </c>
      <c r="E1188" t="s">
        <v>567</v>
      </c>
      <c r="F1188" t="s">
        <v>71</v>
      </c>
      <c r="G1188" t="s">
        <v>111</v>
      </c>
      <c r="H1188" t="s">
        <v>118</v>
      </c>
      <c r="I1188" t="s">
        <v>112</v>
      </c>
      <c r="J1188" t="s">
        <v>119</v>
      </c>
      <c r="K1188" t="s">
        <v>1761</v>
      </c>
      <c r="L1188" t="s">
        <v>1761</v>
      </c>
    </row>
    <row r="1189" spans="1:12" x14ac:dyDescent="0.3">
      <c r="A1189" t="s">
        <v>709</v>
      </c>
      <c r="B1189" t="s">
        <v>726</v>
      </c>
      <c r="C1189" t="s">
        <v>711</v>
      </c>
      <c r="D1189" t="s">
        <v>282</v>
      </c>
      <c r="E1189" t="s">
        <v>567</v>
      </c>
      <c r="F1189" t="s">
        <v>90</v>
      </c>
      <c r="G1189" t="s">
        <v>111</v>
      </c>
      <c r="H1189" t="s">
        <v>113</v>
      </c>
      <c r="I1189" t="s">
        <v>112</v>
      </c>
      <c r="J1189" t="s">
        <v>114</v>
      </c>
      <c r="K1189" t="s">
        <v>1765</v>
      </c>
      <c r="L1189" t="s">
        <v>1765</v>
      </c>
    </row>
    <row r="1190" spans="1:12" x14ac:dyDescent="0.3">
      <c r="A1190" t="s">
        <v>709</v>
      </c>
      <c r="B1190" t="s">
        <v>726</v>
      </c>
      <c r="C1190" t="s">
        <v>711</v>
      </c>
      <c r="D1190" t="s">
        <v>329</v>
      </c>
      <c r="E1190" t="s">
        <v>567</v>
      </c>
      <c r="F1190" t="s">
        <v>92</v>
      </c>
      <c r="G1190" t="s">
        <v>111</v>
      </c>
      <c r="H1190" t="s">
        <v>113</v>
      </c>
      <c r="I1190" t="s">
        <v>112</v>
      </c>
      <c r="J1190" t="s">
        <v>114</v>
      </c>
      <c r="K1190" t="s">
        <v>1766</v>
      </c>
      <c r="L1190" t="s">
        <v>1766</v>
      </c>
    </row>
    <row r="1191" spans="1:12" x14ac:dyDescent="0.3">
      <c r="A1191" t="s">
        <v>709</v>
      </c>
      <c r="B1191" t="s">
        <v>726</v>
      </c>
      <c r="C1191" t="s">
        <v>711</v>
      </c>
      <c r="D1191" t="s">
        <v>283</v>
      </c>
      <c r="E1191" t="s">
        <v>567</v>
      </c>
      <c r="F1191" t="s">
        <v>63</v>
      </c>
      <c r="G1191" t="s">
        <v>111</v>
      </c>
      <c r="H1191" t="s">
        <v>118</v>
      </c>
      <c r="I1191" t="s">
        <v>112</v>
      </c>
      <c r="J1191" t="s">
        <v>119</v>
      </c>
      <c r="K1191" t="s">
        <v>1761</v>
      </c>
      <c r="L1191" t="s">
        <v>1761</v>
      </c>
    </row>
    <row r="1192" spans="1:12" x14ac:dyDescent="0.3">
      <c r="A1192" t="s">
        <v>709</v>
      </c>
      <c r="B1192" t="s">
        <v>726</v>
      </c>
      <c r="C1192" t="s">
        <v>711</v>
      </c>
      <c r="D1192" t="s">
        <v>285</v>
      </c>
      <c r="E1192" t="s">
        <v>567</v>
      </c>
      <c r="F1192" t="s">
        <v>195</v>
      </c>
      <c r="G1192" t="s">
        <v>111</v>
      </c>
      <c r="H1192" t="s">
        <v>118</v>
      </c>
      <c r="I1192" t="s">
        <v>112</v>
      </c>
      <c r="J1192" t="s">
        <v>119</v>
      </c>
      <c r="K1192" t="s">
        <v>597</v>
      </c>
      <c r="L1192" t="s">
        <v>597</v>
      </c>
    </row>
    <row r="1193" spans="1:12" x14ac:dyDescent="0.3">
      <c r="A1193" t="s">
        <v>709</v>
      </c>
      <c r="B1193" t="s">
        <v>726</v>
      </c>
      <c r="C1193" t="s">
        <v>711</v>
      </c>
      <c r="D1193" t="s">
        <v>330</v>
      </c>
      <c r="E1193" t="s">
        <v>567</v>
      </c>
      <c r="F1193" t="s">
        <v>177</v>
      </c>
      <c r="G1193" t="s">
        <v>111</v>
      </c>
      <c r="H1193" t="s">
        <v>147</v>
      </c>
      <c r="I1193" t="s">
        <v>112</v>
      </c>
      <c r="J1193" t="s">
        <v>119</v>
      </c>
      <c r="K1193" t="s">
        <v>1767</v>
      </c>
      <c r="L1193" t="s">
        <v>1767</v>
      </c>
    </row>
    <row r="1194" spans="1:12" x14ac:dyDescent="0.3">
      <c r="A1194" t="s">
        <v>709</v>
      </c>
      <c r="B1194" t="s">
        <v>726</v>
      </c>
      <c r="C1194" t="s">
        <v>711</v>
      </c>
      <c r="D1194" t="s">
        <v>288</v>
      </c>
      <c r="E1194" t="s">
        <v>567</v>
      </c>
      <c r="F1194" t="s">
        <v>178</v>
      </c>
      <c r="G1194" t="s">
        <v>111</v>
      </c>
      <c r="H1194" t="s">
        <v>113</v>
      </c>
      <c r="I1194" t="s">
        <v>112</v>
      </c>
      <c r="J1194" t="s">
        <v>114</v>
      </c>
      <c r="K1194" t="s">
        <v>597</v>
      </c>
      <c r="L1194" t="s">
        <v>597</v>
      </c>
    </row>
    <row r="1195" spans="1:12" x14ac:dyDescent="0.3">
      <c r="A1195" t="s">
        <v>709</v>
      </c>
      <c r="B1195" t="s">
        <v>726</v>
      </c>
      <c r="C1195" t="s">
        <v>711</v>
      </c>
      <c r="D1195" t="s">
        <v>289</v>
      </c>
      <c r="E1195" t="s">
        <v>567</v>
      </c>
      <c r="F1195" t="s">
        <v>179</v>
      </c>
      <c r="G1195" t="s">
        <v>111</v>
      </c>
      <c r="H1195" t="s">
        <v>113</v>
      </c>
      <c r="I1195" t="s">
        <v>112</v>
      </c>
      <c r="J1195" t="s">
        <v>114</v>
      </c>
      <c r="K1195" t="s">
        <v>1755</v>
      </c>
      <c r="L1195" t="s">
        <v>1755</v>
      </c>
    </row>
    <row r="1196" spans="1:12" x14ac:dyDescent="0.3">
      <c r="A1196" t="s">
        <v>709</v>
      </c>
      <c r="B1196" t="s">
        <v>726</v>
      </c>
      <c r="C1196" t="s">
        <v>711</v>
      </c>
      <c r="D1196" t="s">
        <v>290</v>
      </c>
      <c r="E1196" t="s">
        <v>567</v>
      </c>
      <c r="F1196" t="s">
        <v>153</v>
      </c>
      <c r="G1196" t="s">
        <v>111</v>
      </c>
      <c r="H1196" t="s">
        <v>118</v>
      </c>
      <c r="I1196" t="s">
        <v>112</v>
      </c>
      <c r="J1196" t="s">
        <v>119</v>
      </c>
      <c r="K1196" t="s">
        <v>1761</v>
      </c>
      <c r="L1196" t="s">
        <v>1761</v>
      </c>
    </row>
    <row r="1197" spans="1:12" x14ac:dyDescent="0.3">
      <c r="A1197" t="s">
        <v>709</v>
      </c>
      <c r="B1197" t="s">
        <v>726</v>
      </c>
      <c r="C1197" t="s">
        <v>711</v>
      </c>
      <c r="D1197" t="s">
        <v>291</v>
      </c>
      <c r="E1197" t="s">
        <v>567</v>
      </c>
      <c r="F1197" t="s">
        <v>154</v>
      </c>
      <c r="G1197" t="s">
        <v>111</v>
      </c>
      <c r="H1197" t="s">
        <v>113</v>
      </c>
      <c r="I1197" t="s">
        <v>112</v>
      </c>
      <c r="J1197" t="s">
        <v>114</v>
      </c>
      <c r="K1197" t="s">
        <v>597</v>
      </c>
      <c r="L1197" t="s">
        <v>597</v>
      </c>
    </row>
    <row r="1198" spans="1:12" x14ac:dyDescent="0.3">
      <c r="A1198" t="s">
        <v>709</v>
      </c>
      <c r="B1198" t="s">
        <v>726</v>
      </c>
      <c r="C1198" t="s">
        <v>711</v>
      </c>
      <c r="D1198" t="s">
        <v>292</v>
      </c>
      <c r="E1198" t="s">
        <v>567</v>
      </c>
      <c r="F1198" t="s">
        <v>55</v>
      </c>
      <c r="G1198" t="s">
        <v>111</v>
      </c>
      <c r="H1198" t="s">
        <v>113</v>
      </c>
      <c r="I1198" t="s">
        <v>112</v>
      </c>
      <c r="J1198" t="s">
        <v>114</v>
      </c>
      <c r="K1198" t="s">
        <v>1760</v>
      </c>
      <c r="L1198" t="s">
        <v>1760</v>
      </c>
    </row>
    <row r="1199" spans="1:12" x14ac:dyDescent="0.3">
      <c r="A1199" t="s">
        <v>709</v>
      </c>
      <c r="B1199" t="s">
        <v>726</v>
      </c>
      <c r="C1199" t="s">
        <v>711</v>
      </c>
      <c r="D1199" t="s">
        <v>334</v>
      </c>
      <c r="E1199" t="s">
        <v>567</v>
      </c>
      <c r="F1199" t="s">
        <v>155</v>
      </c>
      <c r="G1199" t="s">
        <v>111</v>
      </c>
      <c r="H1199" t="s">
        <v>118</v>
      </c>
      <c r="I1199" t="s">
        <v>112</v>
      </c>
      <c r="J1199" t="s">
        <v>119</v>
      </c>
      <c r="K1199" t="s">
        <v>1761</v>
      </c>
      <c r="L1199" t="s">
        <v>1761</v>
      </c>
    </row>
    <row r="1200" spans="1:12" x14ac:dyDescent="0.3">
      <c r="A1200" t="s">
        <v>709</v>
      </c>
      <c r="B1200" t="s">
        <v>726</v>
      </c>
      <c r="C1200" t="s">
        <v>711</v>
      </c>
      <c r="D1200" t="s">
        <v>296</v>
      </c>
      <c r="E1200" t="s">
        <v>567</v>
      </c>
      <c r="F1200" t="s">
        <v>198</v>
      </c>
      <c r="G1200" t="s">
        <v>111</v>
      </c>
      <c r="H1200" t="s">
        <v>113</v>
      </c>
      <c r="I1200" t="s">
        <v>112</v>
      </c>
      <c r="J1200" t="s">
        <v>114</v>
      </c>
      <c r="K1200" t="s">
        <v>597</v>
      </c>
      <c r="L1200" t="s">
        <v>597</v>
      </c>
    </row>
    <row r="1201" spans="1:12" x14ac:dyDescent="0.3">
      <c r="A1201" t="s">
        <v>709</v>
      </c>
      <c r="B1201" t="s">
        <v>726</v>
      </c>
      <c r="C1201" t="s">
        <v>711</v>
      </c>
      <c r="D1201" t="s">
        <v>298</v>
      </c>
      <c r="E1201" t="s">
        <v>567</v>
      </c>
      <c r="F1201" t="s">
        <v>158</v>
      </c>
      <c r="G1201" t="s">
        <v>111</v>
      </c>
      <c r="H1201" t="s">
        <v>113</v>
      </c>
      <c r="I1201" t="s">
        <v>112</v>
      </c>
      <c r="J1201" t="s">
        <v>114</v>
      </c>
      <c r="K1201" t="s">
        <v>597</v>
      </c>
      <c r="L1201" t="s">
        <v>597</v>
      </c>
    </row>
    <row r="1202" spans="1:12" x14ac:dyDescent="0.3">
      <c r="A1202" t="s">
        <v>709</v>
      </c>
      <c r="B1202" t="s">
        <v>726</v>
      </c>
      <c r="C1202" t="s">
        <v>711</v>
      </c>
      <c r="D1202" t="s">
        <v>336</v>
      </c>
      <c r="E1202" t="s">
        <v>567</v>
      </c>
      <c r="F1202" t="s">
        <v>159</v>
      </c>
      <c r="G1202" t="s">
        <v>111</v>
      </c>
      <c r="H1202" t="s">
        <v>118</v>
      </c>
      <c r="I1202" t="s">
        <v>112</v>
      </c>
      <c r="J1202" t="s">
        <v>119</v>
      </c>
      <c r="K1202" t="s">
        <v>597</v>
      </c>
      <c r="L1202" t="s">
        <v>597</v>
      </c>
    </row>
    <row r="1203" spans="1:12" x14ac:dyDescent="0.3">
      <c r="A1203" t="s">
        <v>709</v>
      </c>
      <c r="B1203" t="s">
        <v>726</v>
      </c>
      <c r="C1203" t="s">
        <v>711</v>
      </c>
      <c r="D1203" t="s">
        <v>299</v>
      </c>
      <c r="E1203" t="s">
        <v>567</v>
      </c>
      <c r="F1203" t="s">
        <v>47</v>
      </c>
      <c r="G1203" t="s">
        <v>111</v>
      </c>
      <c r="H1203" t="s">
        <v>113</v>
      </c>
      <c r="I1203" t="s">
        <v>112</v>
      </c>
      <c r="J1203" t="s">
        <v>114</v>
      </c>
      <c r="K1203" t="s">
        <v>597</v>
      </c>
      <c r="L1203" t="s">
        <v>597</v>
      </c>
    </row>
    <row r="1204" spans="1:12" x14ac:dyDescent="0.3">
      <c r="A1204" t="s">
        <v>709</v>
      </c>
      <c r="B1204" t="s">
        <v>726</v>
      </c>
      <c r="C1204" t="s">
        <v>711</v>
      </c>
      <c r="D1204" t="s">
        <v>300</v>
      </c>
      <c r="E1204" t="s">
        <v>567</v>
      </c>
      <c r="F1204" t="s">
        <v>181</v>
      </c>
      <c r="G1204" t="s">
        <v>111</v>
      </c>
      <c r="H1204" t="s">
        <v>113</v>
      </c>
      <c r="I1204" t="s">
        <v>112</v>
      </c>
      <c r="J1204" t="s">
        <v>114</v>
      </c>
      <c r="K1204" t="s">
        <v>597</v>
      </c>
      <c r="L1204" t="s">
        <v>597</v>
      </c>
    </row>
    <row r="1205" spans="1:12" x14ac:dyDescent="0.3">
      <c r="A1205" t="s">
        <v>709</v>
      </c>
      <c r="B1205" t="s">
        <v>726</v>
      </c>
      <c r="C1205" t="s">
        <v>711</v>
      </c>
      <c r="D1205" t="s">
        <v>208</v>
      </c>
      <c r="E1205" t="s">
        <v>567</v>
      </c>
      <c r="F1205" t="s">
        <v>161</v>
      </c>
      <c r="G1205" t="s">
        <v>111</v>
      </c>
      <c r="H1205" t="s">
        <v>113</v>
      </c>
      <c r="I1205" t="s">
        <v>112</v>
      </c>
      <c r="J1205" t="s">
        <v>114</v>
      </c>
      <c r="K1205" t="s">
        <v>1755</v>
      </c>
      <c r="L1205" t="s">
        <v>1755</v>
      </c>
    </row>
    <row r="1206" spans="1:12" x14ac:dyDescent="0.3">
      <c r="A1206" t="s">
        <v>709</v>
      </c>
      <c r="B1206" t="s">
        <v>726</v>
      </c>
      <c r="C1206" t="s">
        <v>711</v>
      </c>
      <c r="D1206" t="s">
        <v>1581</v>
      </c>
      <c r="E1206" t="s">
        <v>569</v>
      </c>
      <c r="F1206" t="s">
        <v>115</v>
      </c>
      <c r="G1206" t="s">
        <v>111</v>
      </c>
      <c r="H1206" t="s">
        <v>113</v>
      </c>
      <c r="I1206" t="s">
        <v>112</v>
      </c>
      <c r="J1206" t="s">
        <v>114</v>
      </c>
      <c r="K1206" t="s">
        <v>424</v>
      </c>
      <c r="L1206" t="s">
        <v>424</v>
      </c>
    </row>
    <row r="1207" spans="1:12" x14ac:dyDescent="0.3">
      <c r="A1207" t="s">
        <v>709</v>
      </c>
      <c r="B1207" t="s">
        <v>726</v>
      </c>
      <c r="C1207" t="s">
        <v>711</v>
      </c>
      <c r="D1207" t="s">
        <v>1584</v>
      </c>
      <c r="E1207" t="s">
        <v>569</v>
      </c>
      <c r="F1207" t="s">
        <v>117</v>
      </c>
      <c r="G1207" t="s">
        <v>111</v>
      </c>
      <c r="H1207" t="s">
        <v>113</v>
      </c>
      <c r="I1207" t="s">
        <v>112</v>
      </c>
      <c r="J1207" t="s">
        <v>114</v>
      </c>
      <c r="K1207" t="s">
        <v>1754</v>
      </c>
      <c r="L1207" t="s">
        <v>1754</v>
      </c>
    </row>
    <row r="1208" spans="1:12" x14ac:dyDescent="0.3">
      <c r="A1208" t="s">
        <v>709</v>
      </c>
      <c r="B1208" t="s">
        <v>726</v>
      </c>
      <c r="C1208" t="s">
        <v>711</v>
      </c>
      <c r="D1208" t="s">
        <v>1587</v>
      </c>
      <c r="E1208" t="s">
        <v>569</v>
      </c>
      <c r="F1208" t="s">
        <v>164</v>
      </c>
      <c r="G1208" t="s">
        <v>111</v>
      </c>
      <c r="H1208" t="s">
        <v>118</v>
      </c>
      <c r="I1208" t="s">
        <v>112</v>
      </c>
      <c r="J1208" t="s">
        <v>119</v>
      </c>
      <c r="K1208" t="s">
        <v>597</v>
      </c>
      <c r="L1208" t="s">
        <v>597</v>
      </c>
    </row>
    <row r="1209" spans="1:12" x14ac:dyDescent="0.3">
      <c r="A1209" t="s">
        <v>709</v>
      </c>
      <c r="B1209" t="s">
        <v>726</v>
      </c>
      <c r="C1209" t="s">
        <v>711</v>
      </c>
      <c r="D1209" t="s">
        <v>1588</v>
      </c>
      <c r="E1209" t="s">
        <v>569</v>
      </c>
      <c r="F1209" t="s">
        <v>53</v>
      </c>
      <c r="G1209" t="s">
        <v>111</v>
      </c>
      <c r="H1209" t="s">
        <v>113</v>
      </c>
      <c r="I1209" t="s">
        <v>112</v>
      </c>
      <c r="J1209" t="s">
        <v>114</v>
      </c>
      <c r="K1209" t="s">
        <v>428</v>
      </c>
      <c r="L1209" t="s">
        <v>428</v>
      </c>
    </row>
    <row r="1210" spans="1:12" x14ac:dyDescent="0.3">
      <c r="A1210" t="s">
        <v>709</v>
      </c>
      <c r="B1210" t="s">
        <v>726</v>
      </c>
      <c r="C1210" t="s">
        <v>711</v>
      </c>
      <c r="D1210" t="s">
        <v>1704</v>
      </c>
      <c r="E1210" t="s">
        <v>569</v>
      </c>
      <c r="F1210" t="s">
        <v>121</v>
      </c>
      <c r="G1210" t="s">
        <v>111</v>
      </c>
      <c r="H1210" t="s">
        <v>113</v>
      </c>
      <c r="I1210" t="s">
        <v>112</v>
      </c>
      <c r="J1210" t="s">
        <v>114</v>
      </c>
      <c r="K1210" t="s">
        <v>1761</v>
      </c>
      <c r="L1210" t="s">
        <v>1761</v>
      </c>
    </row>
    <row r="1211" spans="1:12" x14ac:dyDescent="0.3">
      <c r="A1211" t="s">
        <v>709</v>
      </c>
      <c r="B1211" t="s">
        <v>726</v>
      </c>
      <c r="C1211" t="s">
        <v>711</v>
      </c>
      <c r="D1211" t="s">
        <v>1707</v>
      </c>
      <c r="E1211" t="s">
        <v>569</v>
      </c>
      <c r="F1211" t="s">
        <v>189</v>
      </c>
      <c r="G1211" t="s">
        <v>111</v>
      </c>
      <c r="H1211" t="s">
        <v>113</v>
      </c>
      <c r="I1211" t="s">
        <v>112</v>
      </c>
      <c r="J1211" t="s">
        <v>114</v>
      </c>
      <c r="K1211" t="s">
        <v>424</v>
      </c>
      <c r="L1211" t="s">
        <v>424</v>
      </c>
    </row>
    <row r="1212" spans="1:12" x14ac:dyDescent="0.3">
      <c r="A1212" t="s">
        <v>709</v>
      </c>
      <c r="B1212" t="s">
        <v>726</v>
      </c>
      <c r="C1212" t="s">
        <v>711</v>
      </c>
      <c r="D1212" t="s">
        <v>1592</v>
      </c>
      <c r="E1212" t="s">
        <v>569</v>
      </c>
      <c r="F1212" t="s">
        <v>54</v>
      </c>
      <c r="G1212" t="s">
        <v>111</v>
      </c>
      <c r="H1212" t="s">
        <v>118</v>
      </c>
      <c r="I1212" t="s">
        <v>112</v>
      </c>
      <c r="J1212" t="s">
        <v>119</v>
      </c>
      <c r="K1212" t="s">
        <v>1757</v>
      </c>
      <c r="L1212" t="s">
        <v>1757</v>
      </c>
    </row>
    <row r="1213" spans="1:12" x14ac:dyDescent="0.3">
      <c r="A1213" t="s">
        <v>709</v>
      </c>
      <c r="B1213" t="s">
        <v>726</v>
      </c>
      <c r="C1213" t="s">
        <v>711</v>
      </c>
      <c r="D1213" t="s">
        <v>1593</v>
      </c>
      <c r="E1213" t="s">
        <v>569</v>
      </c>
      <c r="F1213" t="s">
        <v>45</v>
      </c>
      <c r="G1213" t="s">
        <v>111</v>
      </c>
      <c r="H1213" t="s">
        <v>113</v>
      </c>
      <c r="I1213" t="s">
        <v>112</v>
      </c>
      <c r="J1213" t="s">
        <v>114</v>
      </c>
      <c r="K1213" t="s">
        <v>428</v>
      </c>
      <c r="L1213" t="s">
        <v>428</v>
      </c>
    </row>
    <row r="1214" spans="1:12" x14ac:dyDescent="0.3">
      <c r="A1214" t="s">
        <v>709</v>
      </c>
      <c r="B1214" t="s">
        <v>726</v>
      </c>
      <c r="C1214" t="s">
        <v>711</v>
      </c>
      <c r="D1214" t="s">
        <v>1597</v>
      </c>
      <c r="E1214" t="s">
        <v>569</v>
      </c>
      <c r="F1214" t="s">
        <v>124</v>
      </c>
      <c r="G1214" t="s">
        <v>111</v>
      </c>
      <c r="H1214" t="s">
        <v>118</v>
      </c>
      <c r="I1214" t="s">
        <v>112</v>
      </c>
      <c r="J1214" t="s">
        <v>119</v>
      </c>
      <c r="K1214" t="s">
        <v>1758</v>
      </c>
      <c r="L1214" t="s">
        <v>1758</v>
      </c>
    </row>
    <row r="1215" spans="1:12" x14ac:dyDescent="0.3">
      <c r="A1215" t="s">
        <v>709</v>
      </c>
      <c r="B1215" t="s">
        <v>726</v>
      </c>
      <c r="C1215" t="s">
        <v>711</v>
      </c>
      <c r="D1215" t="s">
        <v>1708</v>
      </c>
      <c r="E1215" t="s">
        <v>569</v>
      </c>
      <c r="F1215" t="s">
        <v>65</v>
      </c>
      <c r="G1215" t="s">
        <v>111</v>
      </c>
      <c r="H1215" t="s">
        <v>118</v>
      </c>
      <c r="I1215" t="s">
        <v>112</v>
      </c>
      <c r="J1215" t="s">
        <v>119</v>
      </c>
      <c r="K1215" t="s">
        <v>1758</v>
      </c>
      <c r="L1215" t="s">
        <v>1758</v>
      </c>
    </row>
    <row r="1216" spans="1:12" x14ac:dyDescent="0.3">
      <c r="A1216" t="s">
        <v>709</v>
      </c>
      <c r="B1216" t="s">
        <v>726</v>
      </c>
      <c r="C1216" t="s">
        <v>711</v>
      </c>
      <c r="D1216" t="s">
        <v>1709</v>
      </c>
      <c r="E1216" t="s">
        <v>569</v>
      </c>
      <c r="F1216" t="s">
        <v>125</v>
      </c>
      <c r="G1216" t="s">
        <v>111</v>
      </c>
      <c r="H1216" t="s">
        <v>113</v>
      </c>
      <c r="I1216" t="s">
        <v>112</v>
      </c>
      <c r="J1216" t="s">
        <v>114</v>
      </c>
      <c r="K1216" t="s">
        <v>428</v>
      </c>
      <c r="L1216" t="s">
        <v>428</v>
      </c>
    </row>
    <row r="1217" spans="1:12" x14ac:dyDescent="0.3">
      <c r="A1217" t="s">
        <v>709</v>
      </c>
      <c r="B1217" t="s">
        <v>726</v>
      </c>
      <c r="C1217" t="s">
        <v>711</v>
      </c>
      <c r="D1217" t="s">
        <v>1710</v>
      </c>
      <c r="E1217" t="s">
        <v>569</v>
      </c>
      <c r="F1217" t="s">
        <v>80</v>
      </c>
      <c r="G1217" t="s">
        <v>111</v>
      </c>
      <c r="H1217" t="s">
        <v>113</v>
      </c>
      <c r="I1217" t="s">
        <v>112</v>
      </c>
      <c r="J1217" t="s">
        <v>114</v>
      </c>
      <c r="K1217" t="s">
        <v>1755</v>
      </c>
      <c r="L1217" t="s">
        <v>1755</v>
      </c>
    </row>
    <row r="1218" spans="1:12" x14ac:dyDescent="0.3">
      <c r="A1218" t="s">
        <v>709</v>
      </c>
      <c r="B1218" t="s">
        <v>726</v>
      </c>
      <c r="C1218" t="s">
        <v>711</v>
      </c>
      <c r="D1218" t="s">
        <v>1602</v>
      </c>
      <c r="E1218" t="s">
        <v>569</v>
      </c>
      <c r="F1218" t="s">
        <v>167</v>
      </c>
      <c r="G1218" t="s">
        <v>111</v>
      </c>
      <c r="H1218" t="s">
        <v>118</v>
      </c>
      <c r="I1218" t="s">
        <v>112</v>
      </c>
      <c r="J1218" t="s">
        <v>119</v>
      </c>
      <c r="K1218" t="s">
        <v>422</v>
      </c>
      <c r="L1218" t="s">
        <v>422</v>
      </c>
    </row>
    <row r="1219" spans="1:12" x14ac:dyDescent="0.3">
      <c r="A1219" t="s">
        <v>709</v>
      </c>
      <c r="B1219" t="s">
        <v>726</v>
      </c>
      <c r="C1219" t="s">
        <v>711</v>
      </c>
      <c r="D1219" t="s">
        <v>1606</v>
      </c>
      <c r="E1219" t="s">
        <v>569</v>
      </c>
      <c r="F1219" t="s">
        <v>168</v>
      </c>
      <c r="G1219" t="s">
        <v>111</v>
      </c>
      <c r="H1219" t="s">
        <v>118</v>
      </c>
      <c r="I1219" t="s">
        <v>112</v>
      </c>
      <c r="J1219" t="s">
        <v>119</v>
      </c>
      <c r="K1219" t="s">
        <v>597</v>
      </c>
      <c r="L1219" t="s">
        <v>597</v>
      </c>
    </row>
    <row r="1220" spans="1:12" x14ac:dyDescent="0.3">
      <c r="A1220" t="s">
        <v>709</v>
      </c>
      <c r="B1220" t="s">
        <v>726</v>
      </c>
      <c r="C1220" t="s">
        <v>711</v>
      </c>
      <c r="D1220" t="s">
        <v>1607</v>
      </c>
      <c r="E1220" t="s">
        <v>569</v>
      </c>
      <c r="F1220" t="s">
        <v>89</v>
      </c>
      <c r="G1220" t="s">
        <v>111</v>
      </c>
      <c r="H1220" t="s">
        <v>113</v>
      </c>
      <c r="I1220" t="s">
        <v>112</v>
      </c>
      <c r="J1220" t="s">
        <v>114</v>
      </c>
      <c r="K1220" t="s">
        <v>424</v>
      </c>
      <c r="L1220" t="s">
        <v>424</v>
      </c>
    </row>
    <row r="1221" spans="1:12" x14ac:dyDescent="0.3">
      <c r="A1221" t="s">
        <v>709</v>
      </c>
      <c r="B1221" t="s">
        <v>726</v>
      </c>
      <c r="C1221" t="s">
        <v>711</v>
      </c>
      <c r="D1221" t="s">
        <v>1612</v>
      </c>
      <c r="E1221" t="s">
        <v>569</v>
      </c>
      <c r="F1221" t="s">
        <v>110</v>
      </c>
      <c r="G1221" t="s">
        <v>111</v>
      </c>
      <c r="H1221" t="s">
        <v>113</v>
      </c>
      <c r="I1221" t="s">
        <v>112</v>
      </c>
      <c r="J1221" t="s">
        <v>114</v>
      </c>
      <c r="K1221" t="s">
        <v>1761</v>
      </c>
      <c r="L1221" t="s">
        <v>1761</v>
      </c>
    </row>
    <row r="1222" spans="1:12" x14ac:dyDescent="0.3">
      <c r="A1222" t="s">
        <v>709</v>
      </c>
      <c r="B1222" t="s">
        <v>726</v>
      </c>
      <c r="C1222" t="s">
        <v>711</v>
      </c>
      <c r="D1222" t="s">
        <v>1613</v>
      </c>
      <c r="E1222" t="s">
        <v>569</v>
      </c>
      <c r="F1222" t="s">
        <v>93</v>
      </c>
      <c r="G1222" t="s">
        <v>111</v>
      </c>
      <c r="H1222" t="s">
        <v>113</v>
      </c>
      <c r="I1222" t="s">
        <v>112</v>
      </c>
      <c r="J1222" t="s">
        <v>114</v>
      </c>
      <c r="K1222" t="s">
        <v>428</v>
      </c>
      <c r="L1222" t="s">
        <v>428</v>
      </c>
    </row>
    <row r="1223" spans="1:12" x14ac:dyDescent="0.3">
      <c r="A1223" t="s">
        <v>709</v>
      </c>
      <c r="B1223" t="s">
        <v>726</v>
      </c>
      <c r="C1223" t="s">
        <v>711</v>
      </c>
      <c r="D1223" t="s">
        <v>1614</v>
      </c>
      <c r="E1223" t="s">
        <v>569</v>
      </c>
      <c r="F1223" t="s">
        <v>129</v>
      </c>
      <c r="G1223" t="s">
        <v>111</v>
      </c>
      <c r="H1223" t="s">
        <v>113</v>
      </c>
      <c r="I1223" t="s">
        <v>112</v>
      </c>
      <c r="J1223" t="s">
        <v>114</v>
      </c>
      <c r="K1223" t="s">
        <v>424</v>
      </c>
      <c r="L1223" t="s">
        <v>424</v>
      </c>
    </row>
    <row r="1224" spans="1:12" x14ac:dyDescent="0.3">
      <c r="A1224" t="s">
        <v>709</v>
      </c>
      <c r="B1224" t="s">
        <v>726</v>
      </c>
      <c r="C1224" t="s">
        <v>711</v>
      </c>
      <c r="D1224" t="s">
        <v>1711</v>
      </c>
      <c r="E1224" t="s">
        <v>569</v>
      </c>
      <c r="F1224" t="s">
        <v>85</v>
      </c>
      <c r="G1224" t="s">
        <v>111</v>
      </c>
      <c r="H1224" t="s">
        <v>113</v>
      </c>
      <c r="I1224" t="s">
        <v>112</v>
      </c>
      <c r="J1224" t="s">
        <v>114</v>
      </c>
      <c r="K1224" t="s">
        <v>1759</v>
      </c>
      <c r="L1224" t="s">
        <v>1759</v>
      </c>
    </row>
    <row r="1225" spans="1:12" x14ac:dyDescent="0.3">
      <c r="A1225" t="s">
        <v>709</v>
      </c>
      <c r="B1225" t="s">
        <v>726</v>
      </c>
      <c r="C1225" t="s">
        <v>711</v>
      </c>
      <c r="D1225" t="s">
        <v>1616</v>
      </c>
      <c r="E1225" t="s">
        <v>569</v>
      </c>
      <c r="F1225" t="s">
        <v>130</v>
      </c>
      <c r="G1225" t="s">
        <v>111</v>
      </c>
      <c r="H1225" t="s">
        <v>118</v>
      </c>
      <c r="I1225" t="s">
        <v>112</v>
      </c>
      <c r="J1225" t="s">
        <v>119</v>
      </c>
      <c r="K1225" t="s">
        <v>1758</v>
      </c>
      <c r="L1225" t="s">
        <v>1758</v>
      </c>
    </row>
    <row r="1226" spans="1:12" x14ac:dyDescent="0.3">
      <c r="A1226" t="s">
        <v>709</v>
      </c>
      <c r="B1226" t="s">
        <v>726</v>
      </c>
      <c r="C1226" t="s">
        <v>711</v>
      </c>
      <c r="D1226" t="s">
        <v>1618</v>
      </c>
      <c r="E1226" t="s">
        <v>569</v>
      </c>
      <c r="F1226" t="s">
        <v>50</v>
      </c>
      <c r="G1226" t="s">
        <v>111</v>
      </c>
      <c r="H1226" t="s">
        <v>113</v>
      </c>
      <c r="I1226" t="s">
        <v>112</v>
      </c>
      <c r="J1226" t="s">
        <v>114</v>
      </c>
      <c r="K1226" t="s">
        <v>597</v>
      </c>
      <c r="L1226" t="s">
        <v>597</v>
      </c>
    </row>
    <row r="1227" spans="1:12" x14ac:dyDescent="0.3">
      <c r="A1227" t="s">
        <v>709</v>
      </c>
      <c r="B1227" t="s">
        <v>726</v>
      </c>
      <c r="C1227" t="s">
        <v>711</v>
      </c>
      <c r="D1227" t="s">
        <v>1620</v>
      </c>
      <c r="E1227" t="s">
        <v>568</v>
      </c>
      <c r="F1227" t="s">
        <v>134</v>
      </c>
      <c r="G1227" t="s">
        <v>111</v>
      </c>
      <c r="H1227" t="s">
        <v>113</v>
      </c>
      <c r="I1227" t="s">
        <v>112</v>
      </c>
      <c r="J1227" t="s">
        <v>114</v>
      </c>
      <c r="K1227" t="s">
        <v>1768</v>
      </c>
      <c r="L1227" t="s">
        <v>1768</v>
      </c>
    </row>
    <row r="1228" spans="1:12" x14ac:dyDescent="0.3">
      <c r="A1228" t="s">
        <v>709</v>
      </c>
      <c r="B1228" t="s">
        <v>726</v>
      </c>
      <c r="C1228" t="s">
        <v>711</v>
      </c>
      <c r="D1228" t="s">
        <v>1621</v>
      </c>
      <c r="E1228" t="s">
        <v>568</v>
      </c>
      <c r="F1228" t="s">
        <v>51</v>
      </c>
      <c r="G1228" t="s">
        <v>111</v>
      </c>
      <c r="H1228" t="s">
        <v>113</v>
      </c>
      <c r="I1228" t="s">
        <v>112</v>
      </c>
      <c r="J1228" t="s">
        <v>114</v>
      </c>
      <c r="K1228" t="s">
        <v>1768</v>
      </c>
      <c r="L1228" t="s">
        <v>1768</v>
      </c>
    </row>
    <row r="1229" spans="1:12" x14ac:dyDescent="0.3">
      <c r="A1229" t="s">
        <v>709</v>
      </c>
      <c r="B1229" t="s">
        <v>726</v>
      </c>
      <c r="C1229" t="s">
        <v>711</v>
      </c>
      <c r="D1229" t="s">
        <v>1622</v>
      </c>
      <c r="E1229" t="s">
        <v>568</v>
      </c>
      <c r="F1229" t="s">
        <v>163</v>
      </c>
      <c r="G1229" t="s">
        <v>111</v>
      </c>
      <c r="H1229" t="s">
        <v>113</v>
      </c>
      <c r="I1229" t="s">
        <v>112</v>
      </c>
      <c r="J1229" t="s">
        <v>114</v>
      </c>
      <c r="K1229" t="s">
        <v>1758</v>
      </c>
      <c r="L1229" t="s">
        <v>1758</v>
      </c>
    </row>
    <row r="1230" spans="1:12" x14ac:dyDescent="0.3">
      <c r="A1230" t="s">
        <v>709</v>
      </c>
      <c r="B1230" t="s">
        <v>726</v>
      </c>
      <c r="C1230" t="s">
        <v>711</v>
      </c>
      <c r="D1230" t="s">
        <v>1624</v>
      </c>
      <c r="E1230" t="s">
        <v>568</v>
      </c>
      <c r="F1230" t="s">
        <v>78</v>
      </c>
      <c r="G1230" t="s">
        <v>111</v>
      </c>
      <c r="H1230" t="s">
        <v>113</v>
      </c>
      <c r="I1230" t="s">
        <v>112</v>
      </c>
      <c r="J1230" t="s">
        <v>114</v>
      </c>
      <c r="K1230" t="s">
        <v>1761</v>
      </c>
      <c r="L1230" t="s">
        <v>1761</v>
      </c>
    </row>
    <row r="1231" spans="1:12" x14ac:dyDescent="0.3">
      <c r="A1231" t="s">
        <v>709</v>
      </c>
      <c r="B1231" t="s">
        <v>726</v>
      </c>
      <c r="C1231" t="s">
        <v>711</v>
      </c>
      <c r="D1231" t="s">
        <v>1625</v>
      </c>
      <c r="E1231" t="s">
        <v>568</v>
      </c>
      <c r="F1231" t="s">
        <v>82</v>
      </c>
      <c r="G1231" t="s">
        <v>111</v>
      </c>
      <c r="H1231" t="s">
        <v>113</v>
      </c>
      <c r="I1231" t="s">
        <v>112</v>
      </c>
      <c r="J1231" t="s">
        <v>114</v>
      </c>
      <c r="K1231" t="s">
        <v>1768</v>
      </c>
      <c r="L1231" t="s">
        <v>1768</v>
      </c>
    </row>
    <row r="1232" spans="1:12" x14ac:dyDescent="0.3">
      <c r="A1232" t="s">
        <v>709</v>
      </c>
      <c r="B1232" t="s">
        <v>726</v>
      </c>
      <c r="C1232" t="s">
        <v>711</v>
      </c>
      <c r="D1232" t="s">
        <v>1626</v>
      </c>
      <c r="E1232" t="s">
        <v>568</v>
      </c>
      <c r="F1232" t="s">
        <v>135</v>
      </c>
      <c r="G1232" t="s">
        <v>111</v>
      </c>
      <c r="H1232" t="s">
        <v>113</v>
      </c>
      <c r="I1232" t="s">
        <v>112</v>
      </c>
      <c r="J1232" t="s">
        <v>114</v>
      </c>
      <c r="K1232" t="s">
        <v>1768</v>
      </c>
      <c r="L1232" t="s">
        <v>1768</v>
      </c>
    </row>
    <row r="1233" spans="1:12" x14ac:dyDescent="0.3">
      <c r="A1233" t="s">
        <v>709</v>
      </c>
      <c r="B1233" t="s">
        <v>726</v>
      </c>
      <c r="C1233" t="s">
        <v>711</v>
      </c>
      <c r="D1233" t="s">
        <v>1628</v>
      </c>
      <c r="E1233" t="s">
        <v>568</v>
      </c>
      <c r="F1233" t="s">
        <v>60</v>
      </c>
      <c r="G1233" t="s">
        <v>111</v>
      </c>
      <c r="H1233" t="s">
        <v>113</v>
      </c>
      <c r="I1233" t="s">
        <v>112</v>
      </c>
      <c r="J1233" t="s">
        <v>114</v>
      </c>
      <c r="K1233" t="s">
        <v>1760</v>
      </c>
      <c r="L1233" t="s">
        <v>1760</v>
      </c>
    </row>
    <row r="1234" spans="1:12" x14ac:dyDescent="0.3">
      <c r="A1234" t="s">
        <v>709</v>
      </c>
      <c r="B1234" t="s">
        <v>726</v>
      </c>
      <c r="C1234" t="s">
        <v>711</v>
      </c>
      <c r="D1234" t="s">
        <v>1630</v>
      </c>
      <c r="E1234" t="s">
        <v>568</v>
      </c>
      <c r="F1234" t="s">
        <v>48</v>
      </c>
      <c r="G1234" t="s">
        <v>111</v>
      </c>
      <c r="H1234" t="s">
        <v>113</v>
      </c>
      <c r="I1234" t="s">
        <v>112</v>
      </c>
      <c r="J1234" t="s">
        <v>114</v>
      </c>
      <c r="K1234" t="s">
        <v>428</v>
      </c>
      <c r="L1234" t="s">
        <v>428</v>
      </c>
    </row>
    <row r="1235" spans="1:12" x14ac:dyDescent="0.3">
      <c r="A1235" t="s">
        <v>709</v>
      </c>
      <c r="B1235" t="s">
        <v>726</v>
      </c>
      <c r="C1235" t="s">
        <v>711</v>
      </c>
      <c r="D1235" t="s">
        <v>1632</v>
      </c>
      <c r="E1235" t="s">
        <v>568</v>
      </c>
      <c r="F1235" t="s">
        <v>95</v>
      </c>
      <c r="G1235" t="s">
        <v>111</v>
      </c>
      <c r="H1235" t="s">
        <v>113</v>
      </c>
      <c r="I1235" t="s">
        <v>112</v>
      </c>
      <c r="J1235" t="s">
        <v>114</v>
      </c>
      <c r="K1235" t="s">
        <v>597</v>
      </c>
      <c r="L1235" t="s">
        <v>597</v>
      </c>
    </row>
    <row r="1236" spans="1:12" x14ac:dyDescent="0.3">
      <c r="A1236" t="s">
        <v>709</v>
      </c>
      <c r="B1236" t="s">
        <v>726</v>
      </c>
      <c r="C1236" t="s">
        <v>711</v>
      </c>
      <c r="D1236" t="s">
        <v>1633</v>
      </c>
      <c r="E1236" t="s">
        <v>568</v>
      </c>
      <c r="F1236" t="s">
        <v>139</v>
      </c>
      <c r="G1236" t="s">
        <v>111</v>
      </c>
      <c r="H1236" t="s">
        <v>113</v>
      </c>
      <c r="I1236" t="s">
        <v>112</v>
      </c>
      <c r="J1236" t="s">
        <v>114</v>
      </c>
      <c r="K1236" t="s">
        <v>1759</v>
      </c>
      <c r="L1236" t="s">
        <v>1759</v>
      </c>
    </row>
    <row r="1237" spans="1:12" x14ac:dyDescent="0.3">
      <c r="A1237" t="s">
        <v>709</v>
      </c>
      <c r="B1237" t="s">
        <v>726</v>
      </c>
      <c r="C1237" t="s">
        <v>711</v>
      </c>
      <c r="D1237" t="s">
        <v>1634</v>
      </c>
      <c r="E1237" t="s">
        <v>568</v>
      </c>
      <c r="F1237" t="s">
        <v>171</v>
      </c>
      <c r="G1237" t="s">
        <v>111</v>
      </c>
      <c r="H1237" t="s">
        <v>113</v>
      </c>
      <c r="I1237" t="s">
        <v>112</v>
      </c>
      <c r="J1237" t="s">
        <v>114</v>
      </c>
      <c r="K1237" t="s">
        <v>427</v>
      </c>
      <c r="L1237" t="s">
        <v>427</v>
      </c>
    </row>
    <row r="1238" spans="1:12" x14ac:dyDescent="0.3">
      <c r="A1238" t="s">
        <v>709</v>
      </c>
      <c r="B1238" t="s">
        <v>726</v>
      </c>
      <c r="C1238" t="s">
        <v>711</v>
      </c>
      <c r="D1238" t="s">
        <v>1636</v>
      </c>
      <c r="E1238" t="s">
        <v>568</v>
      </c>
      <c r="F1238" t="s">
        <v>172</v>
      </c>
      <c r="G1238" t="s">
        <v>111</v>
      </c>
      <c r="H1238" t="s">
        <v>113</v>
      </c>
      <c r="I1238" t="s">
        <v>112</v>
      </c>
      <c r="J1238" t="s">
        <v>114</v>
      </c>
      <c r="K1238" t="s">
        <v>428</v>
      </c>
      <c r="L1238" t="s">
        <v>428</v>
      </c>
    </row>
    <row r="1239" spans="1:12" x14ac:dyDescent="0.3">
      <c r="A1239" t="s">
        <v>709</v>
      </c>
      <c r="B1239" t="s">
        <v>726</v>
      </c>
      <c r="C1239" t="s">
        <v>711</v>
      </c>
      <c r="D1239" t="s">
        <v>1714</v>
      </c>
      <c r="E1239" t="s">
        <v>568</v>
      </c>
      <c r="F1239" t="s">
        <v>94</v>
      </c>
      <c r="G1239" t="s">
        <v>111</v>
      </c>
      <c r="H1239" t="s">
        <v>113</v>
      </c>
      <c r="I1239" t="s">
        <v>112</v>
      </c>
      <c r="J1239" t="s">
        <v>114</v>
      </c>
      <c r="K1239" t="s">
        <v>1768</v>
      </c>
      <c r="L1239" t="s">
        <v>1768</v>
      </c>
    </row>
    <row r="1240" spans="1:12" x14ac:dyDescent="0.3">
      <c r="A1240" t="s">
        <v>709</v>
      </c>
      <c r="B1240" t="s">
        <v>726</v>
      </c>
      <c r="C1240" t="s">
        <v>711</v>
      </c>
      <c r="D1240" t="s">
        <v>1638</v>
      </c>
      <c r="E1240" t="s">
        <v>568</v>
      </c>
      <c r="F1240" t="s">
        <v>57</v>
      </c>
      <c r="G1240" t="s">
        <v>111</v>
      </c>
      <c r="H1240" t="s">
        <v>113</v>
      </c>
      <c r="I1240" t="s">
        <v>112</v>
      </c>
      <c r="J1240" t="s">
        <v>114</v>
      </c>
      <c r="K1240" t="s">
        <v>1754</v>
      </c>
      <c r="L1240" t="s">
        <v>1754</v>
      </c>
    </row>
    <row r="1241" spans="1:12" x14ac:dyDescent="0.3">
      <c r="A1241" t="s">
        <v>709</v>
      </c>
      <c r="B1241" t="s">
        <v>726</v>
      </c>
      <c r="C1241" t="s">
        <v>711</v>
      </c>
      <c r="D1241" t="s">
        <v>1715</v>
      </c>
      <c r="E1241" t="s">
        <v>568</v>
      </c>
      <c r="F1241" t="s">
        <v>173</v>
      </c>
      <c r="G1241" t="s">
        <v>111</v>
      </c>
      <c r="H1241" t="s">
        <v>113</v>
      </c>
      <c r="I1241" t="s">
        <v>112</v>
      </c>
      <c r="J1241" t="s">
        <v>114</v>
      </c>
      <c r="K1241" t="s">
        <v>1757</v>
      </c>
      <c r="L1241" t="s">
        <v>1757</v>
      </c>
    </row>
    <row r="1242" spans="1:12" x14ac:dyDescent="0.3">
      <c r="A1242" t="s">
        <v>709</v>
      </c>
      <c r="B1242" t="s">
        <v>726</v>
      </c>
      <c r="C1242" t="s">
        <v>711</v>
      </c>
      <c r="D1242" t="s">
        <v>1639</v>
      </c>
      <c r="E1242" t="s">
        <v>568</v>
      </c>
      <c r="F1242" t="s">
        <v>174</v>
      </c>
      <c r="G1242" t="s">
        <v>111</v>
      </c>
      <c r="H1242" t="s">
        <v>113</v>
      </c>
      <c r="I1242" t="s">
        <v>112</v>
      </c>
      <c r="J1242" t="s">
        <v>114</v>
      </c>
      <c r="K1242" t="s">
        <v>1762</v>
      </c>
      <c r="L1242" t="s">
        <v>1762</v>
      </c>
    </row>
    <row r="1243" spans="1:12" x14ac:dyDescent="0.3">
      <c r="A1243" t="s">
        <v>709</v>
      </c>
      <c r="B1243" t="s">
        <v>726</v>
      </c>
      <c r="C1243" t="s">
        <v>711</v>
      </c>
      <c r="D1243" t="s">
        <v>1716</v>
      </c>
      <c r="E1243" t="s">
        <v>568</v>
      </c>
      <c r="F1243" t="s">
        <v>88</v>
      </c>
      <c r="G1243" t="s">
        <v>111</v>
      </c>
      <c r="H1243" t="s">
        <v>113</v>
      </c>
      <c r="I1243" t="s">
        <v>112</v>
      </c>
      <c r="J1243" t="s">
        <v>114</v>
      </c>
      <c r="K1243" t="s">
        <v>1758</v>
      </c>
      <c r="L1243" t="s">
        <v>1758</v>
      </c>
    </row>
    <row r="1244" spans="1:12" x14ac:dyDescent="0.3">
      <c r="A1244" t="s">
        <v>709</v>
      </c>
      <c r="B1244" t="s">
        <v>726</v>
      </c>
      <c r="C1244" t="s">
        <v>711</v>
      </c>
      <c r="D1244" t="s">
        <v>1640</v>
      </c>
      <c r="E1244" t="s">
        <v>568</v>
      </c>
      <c r="F1244" t="s">
        <v>77</v>
      </c>
      <c r="G1244" t="s">
        <v>111</v>
      </c>
      <c r="H1244" t="s">
        <v>113</v>
      </c>
      <c r="I1244" t="s">
        <v>112</v>
      </c>
      <c r="J1244" t="s">
        <v>114</v>
      </c>
      <c r="K1244" t="s">
        <v>597</v>
      </c>
      <c r="L1244" t="s">
        <v>597</v>
      </c>
    </row>
    <row r="1245" spans="1:12" x14ac:dyDescent="0.3">
      <c r="A1245" t="s">
        <v>709</v>
      </c>
      <c r="B1245" t="s">
        <v>726</v>
      </c>
      <c r="C1245" t="s">
        <v>711</v>
      </c>
      <c r="D1245" t="s">
        <v>1717</v>
      </c>
      <c r="E1245" t="s">
        <v>568</v>
      </c>
      <c r="F1245" t="s">
        <v>74</v>
      </c>
      <c r="G1245" t="s">
        <v>111</v>
      </c>
      <c r="H1245" t="s">
        <v>113</v>
      </c>
      <c r="I1245" t="s">
        <v>112</v>
      </c>
      <c r="J1245" t="s">
        <v>114</v>
      </c>
      <c r="K1245" t="s">
        <v>428</v>
      </c>
      <c r="L1245" t="s">
        <v>428</v>
      </c>
    </row>
    <row r="1246" spans="1:12" x14ac:dyDescent="0.3">
      <c r="A1246" t="s">
        <v>709</v>
      </c>
      <c r="B1246" t="s">
        <v>726</v>
      </c>
      <c r="C1246" t="s">
        <v>711</v>
      </c>
      <c r="D1246" t="s">
        <v>1718</v>
      </c>
      <c r="E1246" t="s">
        <v>568</v>
      </c>
      <c r="F1246" t="s">
        <v>140</v>
      </c>
      <c r="G1246" t="s">
        <v>111</v>
      </c>
      <c r="H1246" t="s">
        <v>113</v>
      </c>
      <c r="I1246" t="s">
        <v>112</v>
      </c>
      <c r="J1246" t="s">
        <v>114</v>
      </c>
      <c r="K1246" t="s">
        <v>428</v>
      </c>
      <c r="L1246" t="s">
        <v>428</v>
      </c>
    </row>
    <row r="1247" spans="1:12" x14ac:dyDescent="0.3">
      <c r="A1247" t="s">
        <v>709</v>
      </c>
      <c r="B1247" t="s">
        <v>726</v>
      </c>
      <c r="C1247" t="s">
        <v>711</v>
      </c>
      <c r="D1247" t="s">
        <v>1642</v>
      </c>
      <c r="E1247" t="s">
        <v>568</v>
      </c>
      <c r="F1247" t="s">
        <v>175</v>
      </c>
      <c r="G1247" t="s">
        <v>111</v>
      </c>
      <c r="H1247" t="s">
        <v>200</v>
      </c>
      <c r="I1247" t="s">
        <v>112</v>
      </c>
      <c r="J1247" t="s">
        <v>201</v>
      </c>
      <c r="K1247" t="s">
        <v>1769</v>
      </c>
      <c r="L1247" t="s">
        <v>1769</v>
      </c>
    </row>
    <row r="1248" spans="1:12" x14ac:dyDescent="0.3">
      <c r="A1248" t="s">
        <v>709</v>
      </c>
      <c r="B1248" t="s">
        <v>726</v>
      </c>
      <c r="C1248" t="s">
        <v>711</v>
      </c>
      <c r="D1248" t="s">
        <v>1643</v>
      </c>
      <c r="E1248" t="s">
        <v>568</v>
      </c>
      <c r="F1248" t="s">
        <v>46</v>
      </c>
      <c r="G1248" t="s">
        <v>111</v>
      </c>
      <c r="H1248" t="s">
        <v>113</v>
      </c>
      <c r="I1248" t="s">
        <v>112</v>
      </c>
      <c r="J1248" t="s">
        <v>114</v>
      </c>
      <c r="K1248" t="s">
        <v>1768</v>
      </c>
      <c r="L1248" t="s">
        <v>1768</v>
      </c>
    </row>
    <row r="1249" spans="1:12" x14ac:dyDescent="0.3">
      <c r="A1249" t="s">
        <v>709</v>
      </c>
      <c r="B1249" t="s">
        <v>726</v>
      </c>
      <c r="C1249" t="s">
        <v>711</v>
      </c>
      <c r="D1249" t="s">
        <v>1645</v>
      </c>
      <c r="E1249" t="s">
        <v>568</v>
      </c>
      <c r="F1249" t="s">
        <v>141</v>
      </c>
      <c r="G1249" t="s">
        <v>111</v>
      </c>
      <c r="H1249" t="s">
        <v>113</v>
      </c>
      <c r="I1249" t="s">
        <v>112</v>
      </c>
      <c r="J1249" t="s">
        <v>114</v>
      </c>
      <c r="K1249" t="s">
        <v>424</v>
      </c>
      <c r="L1249" t="s">
        <v>424</v>
      </c>
    </row>
    <row r="1250" spans="1:12" x14ac:dyDescent="0.3">
      <c r="A1250" t="s">
        <v>709</v>
      </c>
      <c r="B1250" t="s">
        <v>726</v>
      </c>
      <c r="C1250" t="s">
        <v>711</v>
      </c>
      <c r="D1250" t="s">
        <v>1719</v>
      </c>
      <c r="E1250" t="s">
        <v>568</v>
      </c>
      <c r="F1250" t="s">
        <v>64</v>
      </c>
      <c r="G1250" t="s">
        <v>111</v>
      </c>
      <c r="H1250" t="s">
        <v>160</v>
      </c>
      <c r="I1250" t="s">
        <v>112</v>
      </c>
      <c r="J1250" t="s">
        <v>114</v>
      </c>
      <c r="K1250" t="s">
        <v>1759</v>
      </c>
      <c r="L1250" t="s">
        <v>1759</v>
      </c>
    </row>
    <row r="1251" spans="1:12" x14ac:dyDescent="0.3">
      <c r="A1251" t="s">
        <v>709</v>
      </c>
      <c r="B1251" t="s">
        <v>726</v>
      </c>
      <c r="C1251" t="s">
        <v>711</v>
      </c>
      <c r="D1251" t="s">
        <v>1646</v>
      </c>
      <c r="E1251" t="s">
        <v>568</v>
      </c>
      <c r="F1251" t="s">
        <v>142</v>
      </c>
      <c r="G1251" t="s">
        <v>111</v>
      </c>
      <c r="H1251" t="s">
        <v>160</v>
      </c>
      <c r="I1251" t="s">
        <v>112</v>
      </c>
      <c r="J1251" t="s">
        <v>114</v>
      </c>
      <c r="K1251" t="s">
        <v>597</v>
      </c>
      <c r="L1251" t="s">
        <v>597</v>
      </c>
    </row>
    <row r="1252" spans="1:12" x14ac:dyDescent="0.3">
      <c r="A1252" t="s">
        <v>709</v>
      </c>
      <c r="B1252" t="s">
        <v>726</v>
      </c>
      <c r="C1252" t="s">
        <v>711</v>
      </c>
      <c r="D1252" t="s">
        <v>1647</v>
      </c>
      <c r="E1252" t="s">
        <v>568</v>
      </c>
      <c r="F1252" t="s">
        <v>75</v>
      </c>
      <c r="G1252" t="s">
        <v>111</v>
      </c>
      <c r="H1252" t="s">
        <v>113</v>
      </c>
      <c r="I1252" t="s">
        <v>112</v>
      </c>
      <c r="J1252" t="s">
        <v>114</v>
      </c>
      <c r="K1252" t="s">
        <v>1768</v>
      </c>
      <c r="L1252" t="s">
        <v>1768</v>
      </c>
    </row>
    <row r="1253" spans="1:12" x14ac:dyDescent="0.3">
      <c r="A1253" t="s">
        <v>709</v>
      </c>
      <c r="B1253" t="s">
        <v>726</v>
      </c>
      <c r="C1253" t="s">
        <v>711</v>
      </c>
      <c r="D1253" t="s">
        <v>1648</v>
      </c>
      <c r="E1253" t="s">
        <v>568</v>
      </c>
      <c r="F1253" t="s">
        <v>143</v>
      </c>
      <c r="G1253" t="s">
        <v>111</v>
      </c>
      <c r="H1253" t="s">
        <v>113</v>
      </c>
      <c r="I1253" t="s">
        <v>112</v>
      </c>
      <c r="J1253" t="s">
        <v>114</v>
      </c>
      <c r="K1253" t="s">
        <v>1768</v>
      </c>
      <c r="L1253" t="s">
        <v>1768</v>
      </c>
    </row>
    <row r="1254" spans="1:12" x14ac:dyDescent="0.3">
      <c r="A1254" t="s">
        <v>709</v>
      </c>
      <c r="B1254" t="s">
        <v>726</v>
      </c>
      <c r="C1254" t="s">
        <v>711</v>
      </c>
      <c r="D1254" t="s">
        <v>1649</v>
      </c>
      <c r="E1254" t="s">
        <v>568</v>
      </c>
      <c r="F1254" t="s">
        <v>144</v>
      </c>
      <c r="G1254" t="s">
        <v>111</v>
      </c>
      <c r="H1254" t="s">
        <v>113</v>
      </c>
      <c r="I1254" t="s">
        <v>112</v>
      </c>
      <c r="J1254" t="s">
        <v>114</v>
      </c>
      <c r="K1254" t="s">
        <v>1763</v>
      </c>
      <c r="L1254" t="s">
        <v>1763</v>
      </c>
    </row>
    <row r="1255" spans="1:12" x14ac:dyDescent="0.3">
      <c r="A1255" t="s">
        <v>709</v>
      </c>
      <c r="B1255" t="s">
        <v>726</v>
      </c>
      <c r="C1255" t="s">
        <v>711</v>
      </c>
      <c r="D1255" t="s">
        <v>1650</v>
      </c>
      <c r="E1255" t="s">
        <v>568</v>
      </c>
      <c r="F1255" t="s">
        <v>194</v>
      </c>
      <c r="G1255" t="s">
        <v>111</v>
      </c>
      <c r="H1255" t="s">
        <v>113</v>
      </c>
      <c r="I1255" t="s">
        <v>112</v>
      </c>
      <c r="J1255" t="s">
        <v>114</v>
      </c>
      <c r="K1255" t="s">
        <v>1768</v>
      </c>
      <c r="L1255" t="s">
        <v>1768</v>
      </c>
    </row>
    <row r="1256" spans="1:12" x14ac:dyDescent="0.3">
      <c r="A1256" t="s">
        <v>709</v>
      </c>
      <c r="B1256" t="s">
        <v>726</v>
      </c>
      <c r="C1256" t="s">
        <v>711</v>
      </c>
      <c r="D1256" t="s">
        <v>1651</v>
      </c>
      <c r="E1256" t="s">
        <v>568</v>
      </c>
      <c r="F1256" t="s">
        <v>145</v>
      </c>
      <c r="G1256" t="s">
        <v>111</v>
      </c>
      <c r="H1256" t="s">
        <v>113</v>
      </c>
      <c r="I1256" t="s">
        <v>112</v>
      </c>
      <c r="J1256" t="s">
        <v>114</v>
      </c>
      <c r="K1256" t="s">
        <v>424</v>
      </c>
      <c r="L1256" t="s">
        <v>424</v>
      </c>
    </row>
    <row r="1257" spans="1:12" x14ac:dyDescent="0.3">
      <c r="A1257" t="s">
        <v>709</v>
      </c>
      <c r="B1257" t="s">
        <v>726</v>
      </c>
      <c r="C1257" t="s">
        <v>711</v>
      </c>
      <c r="D1257" t="s">
        <v>1720</v>
      </c>
      <c r="E1257" t="s">
        <v>568</v>
      </c>
      <c r="F1257" t="s">
        <v>81</v>
      </c>
      <c r="G1257" t="s">
        <v>111</v>
      </c>
      <c r="H1257" t="s">
        <v>113</v>
      </c>
      <c r="I1257" t="s">
        <v>112</v>
      </c>
      <c r="J1257" t="s">
        <v>114</v>
      </c>
      <c r="K1257" t="s">
        <v>597</v>
      </c>
      <c r="L1257" t="s">
        <v>597</v>
      </c>
    </row>
    <row r="1258" spans="1:12" x14ac:dyDescent="0.3">
      <c r="A1258" t="s">
        <v>709</v>
      </c>
      <c r="B1258" t="s">
        <v>726</v>
      </c>
      <c r="C1258" t="s">
        <v>711</v>
      </c>
      <c r="D1258" t="s">
        <v>1721</v>
      </c>
      <c r="E1258" t="s">
        <v>567</v>
      </c>
      <c r="F1258" t="s">
        <v>76</v>
      </c>
      <c r="G1258" t="s">
        <v>111</v>
      </c>
      <c r="H1258" t="s">
        <v>113</v>
      </c>
      <c r="I1258" t="s">
        <v>112</v>
      </c>
      <c r="J1258" t="s">
        <v>114</v>
      </c>
      <c r="K1258" t="s">
        <v>1761</v>
      </c>
      <c r="L1258" t="s">
        <v>1761</v>
      </c>
    </row>
    <row r="1259" spans="1:12" x14ac:dyDescent="0.3">
      <c r="A1259" t="s">
        <v>709</v>
      </c>
      <c r="B1259" t="s">
        <v>726</v>
      </c>
      <c r="C1259" t="s">
        <v>711</v>
      </c>
      <c r="D1259" t="s">
        <v>1722</v>
      </c>
      <c r="E1259" t="s">
        <v>567</v>
      </c>
      <c r="F1259" t="s">
        <v>52</v>
      </c>
      <c r="G1259" t="s">
        <v>111</v>
      </c>
      <c r="H1259" t="s">
        <v>113</v>
      </c>
      <c r="I1259" t="s">
        <v>112</v>
      </c>
      <c r="J1259" t="s">
        <v>114</v>
      </c>
      <c r="K1259" t="s">
        <v>1758</v>
      </c>
      <c r="L1259" t="s">
        <v>1758</v>
      </c>
    </row>
    <row r="1260" spans="1:12" x14ac:dyDescent="0.3">
      <c r="A1260" t="s">
        <v>709</v>
      </c>
      <c r="B1260" t="s">
        <v>726</v>
      </c>
      <c r="C1260" t="s">
        <v>711</v>
      </c>
      <c r="D1260" t="s">
        <v>1652</v>
      </c>
      <c r="E1260" t="s">
        <v>567</v>
      </c>
      <c r="F1260" t="s">
        <v>104</v>
      </c>
      <c r="G1260" t="s">
        <v>111</v>
      </c>
      <c r="H1260" t="s">
        <v>113</v>
      </c>
      <c r="I1260" t="s">
        <v>112</v>
      </c>
      <c r="J1260" t="s">
        <v>114</v>
      </c>
      <c r="K1260" t="s">
        <v>1763</v>
      </c>
      <c r="L1260" t="s">
        <v>1763</v>
      </c>
    </row>
    <row r="1261" spans="1:12" x14ac:dyDescent="0.3">
      <c r="A1261" t="s">
        <v>709</v>
      </c>
      <c r="B1261" t="s">
        <v>726</v>
      </c>
      <c r="C1261" t="s">
        <v>711</v>
      </c>
      <c r="D1261" t="s">
        <v>1657</v>
      </c>
      <c r="E1261" t="s">
        <v>567</v>
      </c>
      <c r="F1261" t="s">
        <v>83</v>
      </c>
      <c r="G1261" t="s">
        <v>111</v>
      </c>
      <c r="H1261" t="s">
        <v>113</v>
      </c>
      <c r="I1261" t="s">
        <v>112</v>
      </c>
      <c r="J1261" t="s">
        <v>114</v>
      </c>
      <c r="K1261" t="s">
        <v>597</v>
      </c>
      <c r="L1261" t="s">
        <v>597</v>
      </c>
    </row>
    <row r="1262" spans="1:12" x14ac:dyDescent="0.3">
      <c r="A1262" t="s">
        <v>709</v>
      </c>
      <c r="B1262" t="s">
        <v>726</v>
      </c>
      <c r="C1262" t="s">
        <v>711</v>
      </c>
      <c r="D1262" t="s">
        <v>1723</v>
      </c>
      <c r="E1262" t="s">
        <v>567</v>
      </c>
      <c r="F1262" t="s">
        <v>71</v>
      </c>
      <c r="G1262" t="s">
        <v>111</v>
      </c>
      <c r="H1262" t="s">
        <v>118</v>
      </c>
      <c r="I1262" t="s">
        <v>112</v>
      </c>
      <c r="J1262" t="s">
        <v>119</v>
      </c>
      <c r="K1262" t="s">
        <v>1761</v>
      </c>
      <c r="L1262" t="s">
        <v>1761</v>
      </c>
    </row>
    <row r="1263" spans="1:12" x14ac:dyDescent="0.3">
      <c r="A1263" t="s">
        <v>709</v>
      </c>
      <c r="B1263" t="s">
        <v>726</v>
      </c>
      <c r="C1263" t="s">
        <v>711</v>
      </c>
      <c r="D1263" t="s">
        <v>1724</v>
      </c>
      <c r="E1263" t="s">
        <v>567</v>
      </c>
      <c r="F1263" t="s">
        <v>90</v>
      </c>
      <c r="G1263" t="s">
        <v>111</v>
      </c>
      <c r="H1263" t="s">
        <v>160</v>
      </c>
      <c r="I1263" t="s">
        <v>112</v>
      </c>
      <c r="J1263" t="s">
        <v>114</v>
      </c>
      <c r="K1263" t="s">
        <v>1765</v>
      </c>
      <c r="L1263" t="s">
        <v>1765</v>
      </c>
    </row>
    <row r="1264" spans="1:12" x14ac:dyDescent="0.3">
      <c r="A1264" t="s">
        <v>709</v>
      </c>
      <c r="B1264" t="s">
        <v>726</v>
      </c>
      <c r="C1264" t="s">
        <v>711</v>
      </c>
      <c r="D1264" t="s">
        <v>1660</v>
      </c>
      <c r="E1264" t="s">
        <v>567</v>
      </c>
      <c r="F1264" t="s">
        <v>92</v>
      </c>
      <c r="G1264" t="s">
        <v>111</v>
      </c>
      <c r="H1264" t="s">
        <v>160</v>
      </c>
      <c r="I1264" t="s">
        <v>112</v>
      </c>
      <c r="J1264" t="s">
        <v>114</v>
      </c>
      <c r="K1264" t="s">
        <v>1766</v>
      </c>
      <c r="L1264" t="s">
        <v>1766</v>
      </c>
    </row>
    <row r="1265" spans="1:12" x14ac:dyDescent="0.3">
      <c r="A1265" t="s">
        <v>709</v>
      </c>
      <c r="B1265" t="s">
        <v>726</v>
      </c>
      <c r="C1265" t="s">
        <v>711</v>
      </c>
      <c r="D1265" t="s">
        <v>1665</v>
      </c>
      <c r="E1265" t="s">
        <v>567</v>
      </c>
      <c r="F1265" t="s">
        <v>91</v>
      </c>
      <c r="G1265" t="s">
        <v>111</v>
      </c>
      <c r="H1265" t="s">
        <v>113</v>
      </c>
      <c r="I1265" t="s">
        <v>112</v>
      </c>
      <c r="J1265" t="s">
        <v>114</v>
      </c>
      <c r="K1265" t="s">
        <v>597</v>
      </c>
      <c r="L1265" t="s">
        <v>597</v>
      </c>
    </row>
    <row r="1266" spans="1:12" x14ac:dyDescent="0.3">
      <c r="A1266" t="s">
        <v>709</v>
      </c>
      <c r="B1266" t="s">
        <v>726</v>
      </c>
      <c r="C1266" t="s">
        <v>711</v>
      </c>
      <c r="D1266" t="s">
        <v>1666</v>
      </c>
      <c r="E1266" t="s">
        <v>567</v>
      </c>
      <c r="F1266" t="s">
        <v>152</v>
      </c>
      <c r="G1266" t="s">
        <v>111</v>
      </c>
      <c r="H1266" t="s">
        <v>118</v>
      </c>
      <c r="I1266" t="s">
        <v>112</v>
      </c>
      <c r="J1266" t="s">
        <v>119</v>
      </c>
      <c r="K1266" t="s">
        <v>1758</v>
      </c>
      <c r="L1266" t="s">
        <v>1758</v>
      </c>
    </row>
    <row r="1267" spans="1:12" x14ac:dyDescent="0.3">
      <c r="A1267" t="s">
        <v>709</v>
      </c>
      <c r="B1267" t="s">
        <v>726</v>
      </c>
      <c r="C1267" t="s">
        <v>711</v>
      </c>
      <c r="D1267" t="s">
        <v>1668</v>
      </c>
      <c r="E1267" t="s">
        <v>567</v>
      </c>
      <c r="F1267" t="s">
        <v>67</v>
      </c>
      <c r="G1267" t="s">
        <v>111</v>
      </c>
      <c r="H1267" t="s">
        <v>113</v>
      </c>
      <c r="I1267" t="s">
        <v>112</v>
      </c>
      <c r="J1267" t="s">
        <v>114</v>
      </c>
      <c r="K1267" t="s">
        <v>1761</v>
      </c>
      <c r="L1267" t="s">
        <v>1761</v>
      </c>
    </row>
    <row r="1268" spans="1:12" x14ac:dyDescent="0.3">
      <c r="A1268" t="s">
        <v>709</v>
      </c>
      <c r="B1268" t="s">
        <v>726</v>
      </c>
      <c r="C1268" t="s">
        <v>711</v>
      </c>
      <c r="D1268" t="s">
        <v>1670</v>
      </c>
      <c r="E1268" t="s">
        <v>567</v>
      </c>
      <c r="F1268" t="s">
        <v>196</v>
      </c>
      <c r="G1268" t="s">
        <v>111</v>
      </c>
      <c r="H1268" t="s">
        <v>118</v>
      </c>
      <c r="I1268" t="s">
        <v>112</v>
      </c>
      <c r="J1268" t="s">
        <v>119</v>
      </c>
      <c r="K1268" t="s">
        <v>1761</v>
      </c>
      <c r="L1268" t="s">
        <v>1761</v>
      </c>
    </row>
    <row r="1269" spans="1:12" x14ac:dyDescent="0.3">
      <c r="A1269" t="s">
        <v>709</v>
      </c>
      <c r="B1269" t="s">
        <v>726</v>
      </c>
      <c r="C1269" t="s">
        <v>711</v>
      </c>
      <c r="D1269" t="s">
        <v>1725</v>
      </c>
      <c r="E1269" t="s">
        <v>567</v>
      </c>
      <c r="F1269" t="s">
        <v>178</v>
      </c>
      <c r="G1269" t="s">
        <v>111</v>
      </c>
      <c r="H1269" t="s">
        <v>113</v>
      </c>
      <c r="I1269" t="s">
        <v>112</v>
      </c>
      <c r="J1269" t="s">
        <v>114</v>
      </c>
      <c r="K1269" t="s">
        <v>597</v>
      </c>
      <c r="L1269" t="s">
        <v>597</v>
      </c>
    </row>
    <row r="1270" spans="1:12" x14ac:dyDescent="0.3">
      <c r="A1270" t="s">
        <v>709</v>
      </c>
      <c r="B1270" t="s">
        <v>726</v>
      </c>
      <c r="C1270" t="s">
        <v>711</v>
      </c>
      <c r="D1270" t="s">
        <v>1673</v>
      </c>
      <c r="E1270" t="s">
        <v>567</v>
      </c>
      <c r="F1270" t="s">
        <v>153</v>
      </c>
      <c r="G1270" t="s">
        <v>111</v>
      </c>
      <c r="H1270" t="s">
        <v>113</v>
      </c>
      <c r="I1270" t="s">
        <v>112</v>
      </c>
      <c r="J1270" t="s">
        <v>114</v>
      </c>
      <c r="K1270" t="s">
        <v>1761</v>
      </c>
      <c r="L1270" t="s">
        <v>1761</v>
      </c>
    </row>
    <row r="1271" spans="1:12" x14ac:dyDescent="0.3">
      <c r="A1271" t="s">
        <v>709</v>
      </c>
      <c r="B1271" t="s">
        <v>726</v>
      </c>
      <c r="C1271" t="s">
        <v>711</v>
      </c>
      <c r="D1271" t="s">
        <v>1675</v>
      </c>
      <c r="E1271" t="s">
        <v>567</v>
      </c>
      <c r="F1271" t="s">
        <v>197</v>
      </c>
      <c r="G1271" t="s">
        <v>111</v>
      </c>
      <c r="H1271" t="s">
        <v>118</v>
      </c>
      <c r="I1271" t="s">
        <v>112</v>
      </c>
      <c r="J1271" t="s">
        <v>119</v>
      </c>
      <c r="K1271" t="s">
        <v>1758</v>
      </c>
      <c r="L1271" t="s">
        <v>1758</v>
      </c>
    </row>
    <row r="1272" spans="1:12" x14ac:dyDescent="0.3">
      <c r="A1272" t="s">
        <v>709</v>
      </c>
      <c r="B1272" t="s">
        <v>726</v>
      </c>
      <c r="C1272" t="s">
        <v>711</v>
      </c>
      <c r="D1272" t="s">
        <v>1727</v>
      </c>
      <c r="E1272" t="s">
        <v>567</v>
      </c>
      <c r="F1272" t="s">
        <v>155</v>
      </c>
      <c r="G1272" t="s">
        <v>111</v>
      </c>
      <c r="H1272" t="s">
        <v>113</v>
      </c>
      <c r="I1272" t="s">
        <v>112</v>
      </c>
      <c r="J1272" t="s">
        <v>114</v>
      </c>
      <c r="K1272" t="s">
        <v>1761</v>
      </c>
      <c r="L1272" t="s">
        <v>1761</v>
      </c>
    </row>
    <row r="1273" spans="1:12" x14ac:dyDescent="0.3">
      <c r="A1273" t="s">
        <v>709</v>
      </c>
      <c r="B1273" t="s">
        <v>726</v>
      </c>
      <c r="C1273" t="s">
        <v>711</v>
      </c>
      <c r="D1273" t="s">
        <v>1677</v>
      </c>
      <c r="E1273" t="s">
        <v>567</v>
      </c>
      <c r="F1273" t="s">
        <v>156</v>
      </c>
      <c r="G1273" t="s">
        <v>111</v>
      </c>
      <c r="H1273" t="s">
        <v>113</v>
      </c>
      <c r="I1273" t="s">
        <v>112</v>
      </c>
      <c r="J1273" t="s">
        <v>114</v>
      </c>
      <c r="K1273" t="s">
        <v>1761</v>
      </c>
      <c r="L1273" t="s">
        <v>1761</v>
      </c>
    </row>
    <row r="1274" spans="1:12" x14ac:dyDescent="0.3">
      <c r="A1274" t="s">
        <v>709</v>
      </c>
      <c r="B1274" t="s">
        <v>726</v>
      </c>
      <c r="C1274" t="s">
        <v>711</v>
      </c>
      <c r="D1274" t="s">
        <v>1678</v>
      </c>
      <c r="E1274" t="s">
        <v>567</v>
      </c>
      <c r="F1274" t="s">
        <v>103</v>
      </c>
      <c r="G1274" t="s">
        <v>111</v>
      </c>
      <c r="H1274" t="s">
        <v>113</v>
      </c>
      <c r="I1274" t="s">
        <v>112</v>
      </c>
      <c r="J1274" t="s">
        <v>114</v>
      </c>
      <c r="K1274" t="s">
        <v>1761</v>
      </c>
      <c r="L1274" t="s">
        <v>1761</v>
      </c>
    </row>
    <row r="1275" spans="1:12" x14ac:dyDescent="0.3">
      <c r="A1275" t="s">
        <v>709</v>
      </c>
      <c r="B1275" t="s">
        <v>726</v>
      </c>
      <c r="C1275" t="s">
        <v>711</v>
      </c>
      <c r="D1275" t="s">
        <v>1729</v>
      </c>
      <c r="E1275" t="s">
        <v>567</v>
      </c>
      <c r="F1275" t="s">
        <v>157</v>
      </c>
      <c r="G1275" t="s">
        <v>111</v>
      </c>
      <c r="H1275" t="s">
        <v>113</v>
      </c>
      <c r="I1275" t="s">
        <v>112</v>
      </c>
      <c r="J1275" t="s">
        <v>114</v>
      </c>
      <c r="K1275" t="s">
        <v>1758</v>
      </c>
      <c r="L1275" t="s">
        <v>1758</v>
      </c>
    </row>
    <row r="1276" spans="1:12" x14ac:dyDescent="0.3">
      <c r="A1276" t="s">
        <v>709</v>
      </c>
      <c r="B1276" t="s">
        <v>726</v>
      </c>
      <c r="C1276" t="s">
        <v>711</v>
      </c>
      <c r="D1276" t="s">
        <v>1680</v>
      </c>
      <c r="E1276" t="s">
        <v>567</v>
      </c>
      <c r="F1276" t="s">
        <v>180</v>
      </c>
      <c r="G1276" t="s">
        <v>111</v>
      </c>
      <c r="H1276" t="s">
        <v>160</v>
      </c>
      <c r="I1276" t="s">
        <v>112</v>
      </c>
      <c r="J1276" t="s">
        <v>114</v>
      </c>
      <c r="K1276" t="s">
        <v>1757</v>
      </c>
      <c r="L1276" t="s">
        <v>1757</v>
      </c>
    </row>
    <row r="1277" spans="1:12" x14ac:dyDescent="0.3">
      <c r="A1277" t="s">
        <v>709</v>
      </c>
      <c r="B1277" t="s">
        <v>726</v>
      </c>
      <c r="C1277" t="s">
        <v>711</v>
      </c>
      <c r="D1277" t="s">
        <v>1682</v>
      </c>
      <c r="E1277" t="s">
        <v>567</v>
      </c>
      <c r="F1277" t="s">
        <v>199</v>
      </c>
      <c r="G1277" t="s">
        <v>111</v>
      </c>
      <c r="H1277" t="s">
        <v>118</v>
      </c>
      <c r="I1277" t="s">
        <v>112</v>
      </c>
      <c r="J1277" t="s">
        <v>119</v>
      </c>
      <c r="K1277" t="s">
        <v>597</v>
      </c>
      <c r="L1277" t="s">
        <v>597</v>
      </c>
    </row>
    <row r="1278" spans="1:12" x14ac:dyDescent="0.3">
      <c r="A1278" t="s">
        <v>709</v>
      </c>
      <c r="B1278" t="s">
        <v>726</v>
      </c>
      <c r="C1278" t="s">
        <v>711</v>
      </c>
      <c r="D1278" t="s">
        <v>1688</v>
      </c>
      <c r="E1278" t="s">
        <v>567</v>
      </c>
      <c r="F1278" t="s">
        <v>73</v>
      </c>
      <c r="G1278" t="s">
        <v>111</v>
      </c>
      <c r="H1278" t="s">
        <v>118</v>
      </c>
      <c r="I1278" t="s">
        <v>112</v>
      </c>
      <c r="J1278" t="s">
        <v>119</v>
      </c>
      <c r="K1278" t="s">
        <v>1761</v>
      </c>
      <c r="L1278" t="s">
        <v>1761</v>
      </c>
    </row>
    <row r="1279" spans="1:12" x14ac:dyDescent="0.3">
      <c r="A1279" t="s">
        <v>709</v>
      </c>
      <c r="B1279" t="s">
        <v>726</v>
      </c>
      <c r="C1279" t="s">
        <v>711</v>
      </c>
      <c r="D1279" t="s">
        <v>1730</v>
      </c>
      <c r="E1279" t="s">
        <v>567</v>
      </c>
      <c r="F1279" t="s">
        <v>161</v>
      </c>
      <c r="G1279" t="s">
        <v>111</v>
      </c>
      <c r="H1279" t="s">
        <v>113</v>
      </c>
      <c r="I1279" t="s">
        <v>112</v>
      </c>
      <c r="J1279" t="s">
        <v>114</v>
      </c>
      <c r="K1279" t="s">
        <v>1755</v>
      </c>
      <c r="L1279" t="s">
        <v>1755</v>
      </c>
    </row>
    <row r="1280" spans="1:12" x14ac:dyDescent="0.3">
      <c r="A1280" t="s">
        <v>709</v>
      </c>
      <c r="B1280" t="s">
        <v>726</v>
      </c>
      <c r="C1280" t="s">
        <v>711</v>
      </c>
      <c r="D1280" t="s">
        <v>1689</v>
      </c>
      <c r="E1280" t="s">
        <v>567</v>
      </c>
      <c r="F1280" t="s">
        <v>162</v>
      </c>
      <c r="G1280" t="s">
        <v>111</v>
      </c>
      <c r="H1280" t="s">
        <v>113</v>
      </c>
      <c r="I1280" t="s">
        <v>112</v>
      </c>
      <c r="J1280" t="s">
        <v>114</v>
      </c>
      <c r="K1280" t="s">
        <v>1761</v>
      </c>
      <c r="L1280" t="s">
        <v>1761</v>
      </c>
    </row>
    <row r="1281" spans="1:12" x14ac:dyDescent="0.3">
      <c r="A1281" t="s">
        <v>709</v>
      </c>
      <c r="B1281" t="s">
        <v>732</v>
      </c>
      <c r="C1281" t="s">
        <v>733</v>
      </c>
      <c r="D1281" t="s">
        <v>209</v>
      </c>
      <c r="E1281" t="s">
        <v>569</v>
      </c>
      <c r="F1281" t="s">
        <v>115</v>
      </c>
      <c r="G1281" t="s">
        <v>111</v>
      </c>
      <c r="H1281" t="s">
        <v>113</v>
      </c>
      <c r="I1281" t="s">
        <v>112</v>
      </c>
      <c r="J1281" t="s">
        <v>114</v>
      </c>
      <c r="K1281" t="s">
        <v>116</v>
      </c>
      <c r="L1281" t="s">
        <v>116</v>
      </c>
    </row>
    <row r="1282" spans="1:12" x14ac:dyDescent="0.3">
      <c r="A1282" t="s">
        <v>709</v>
      </c>
      <c r="B1282" t="s">
        <v>732</v>
      </c>
      <c r="C1282" t="s">
        <v>733</v>
      </c>
      <c r="D1282" t="s">
        <v>304</v>
      </c>
      <c r="E1282" t="s">
        <v>569</v>
      </c>
      <c r="F1282" t="s">
        <v>117</v>
      </c>
      <c r="G1282" t="s">
        <v>111</v>
      </c>
      <c r="H1282" t="s">
        <v>113</v>
      </c>
      <c r="I1282" t="s">
        <v>112</v>
      </c>
      <c r="J1282" t="s">
        <v>114</v>
      </c>
      <c r="K1282" t="s">
        <v>116</v>
      </c>
      <c r="L1282" t="s">
        <v>116</v>
      </c>
    </row>
    <row r="1283" spans="1:12" x14ac:dyDescent="0.3">
      <c r="A1283" t="s">
        <v>709</v>
      </c>
      <c r="B1283" t="s">
        <v>732</v>
      </c>
      <c r="C1283" t="s">
        <v>733</v>
      </c>
      <c r="D1283" t="s">
        <v>211</v>
      </c>
      <c r="E1283" t="s">
        <v>569</v>
      </c>
      <c r="F1283" t="s">
        <v>188</v>
      </c>
      <c r="G1283" t="s">
        <v>111</v>
      </c>
      <c r="H1283" t="s">
        <v>113</v>
      </c>
      <c r="I1283" t="s">
        <v>112</v>
      </c>
      <c r="J1283" t="s">
        <v>114</v>
      </c>
      <c r="K1283" t="s">
        <v>116</v>
      </c>
      <c r="L1283" t="s">
        <v>116</v>
      </c>
    </row>
    <row r="1284" spans="1:12" x14ac:dyDescent="0.3">
      <c r="A1284" t="s">
        <v>709</v>
      </c>
      <c r="B1284" t="s">
        <v>732</v>
      </c>
      <c r="C1284" t="s">
        <v>733</v>
      </c>
      <c r="D1284" t="s">
        <v>305</v>
      </c>
      <c r="E1284" t="s">
        <v>569</v>
      </c>
      <c r="F1284" t="s">
        <v>120</v>
      </c>
      <c r="G1284" t="s">
        <v>111</v>
      </c>
      <c r="H1284" t="s">
        <v>113</v>
      </c>
      <c r="I1284" t="s">
        <v>112</v>
      </c>
      <c r="J1284" t="s">
        <v>114</v>
      </c>
      <c r="K1284" t="s">
        <v>116</v>
      </c>
      <c r="L1284" t="s">
        <v>116</v>
      </c>
    </row>
    <row r="1285" spans="1:12" x14ac:dyDescent="0.3">
      <c r="A1285" t="s">
        <v>709</v>
      </c>
      <c r="B1285" t="s">
        <v>732</v>
      </c>
      <c r="C1285" t="s">
        <v>733</v>
      </c>
      <c r="D1285" t="s">
        <v>213</v>
      </c>
      <c r="E1285" t="s">
        <v>569</v>
      </c>
      <c r="F1285" t="s">
        <v>53</v>
      </c>
      <c r="G1285" t="s">
        <v>111</v>
      </c>
      <c r="H1285" t="s">
        <v>113</v>
      </c>
      <c r="I1285" t="s">
        <v>112</v>
      </c>
      <c r="J1285" t="s">
        <v>114</v>
      </c>
      <c r="K1285" t="s">
        <v>116</v>
      </c>
      <c r="L1285" t="s">
        <v>116</v>
      </c>
    </row>
    <row r="1286" spans="1:12" x14ac:dyDescent="0.3">
      <c r="A1286" t="s">
        <v>709</v>
      </c>
      <c r="B1286" t="s">
        <v>732</v>
      </c>
      <c r="C1286" t="s">
        <v>733</v>
      </c>
      <c r="D1286" t="s">
        <v>214</v>
      </c>
      <c r="E1286" t="s">
        <v>569</v>
      </c>
      <c r="F1286" t="s">
        <v>56</v>
      </c>
      <c r="G1286" t="s">
        <v>111</v>
      </c>
      <c r="H1286" t="s">
        <v>113</v>
      </c>
      <c r="I1286" t="s">
        <v>112</v>
      </c>
      <c r="J1286" t="s">
        <v>114</v>
      </c>
      <c r="K1286" t="s">
        <v>116</v>
      </c>
      <c r="L1286" t="s">
        <v>116</v>
      </c>
    </row>
    <row r="1287" spans="1:12" x14ac:dyDescent="0.3">
      <c r="A1287" t="s">
        <v>709</v>
      </c>
      <c r="B1287" t="s">
        <v>732</v>
      </c>
      <c r="C1287" t="s">
        <v>733</v>
      </c>
      <c r="D1287" t="s">
        <v>215</v>
      </c>
      <c r="E1287" t="s">
        <v>569</v>
      </c>
      <c r="F1287" t="s">
        <v>69</v>
      </c>
      <c r="G1287" t="s">
        <v>111</v>
      </c>
      <c r="H1287" t="s">
        <v>113</v>
      </c>
      <c r="I1287" t="s">
        <v>112</v>
      </c>
      <c r="J1287" t="s">
        <v>114</v>
      </c>
      <c r="K1287" t="s">
        <v>116</v>
      </c>
      <c r="L1287" t="s">
        <v>116</v>
      </c>
    </row>
    <row r="1288" spans="1:12" x14ac:dyDescent="0.3">
      <c r="A1288" t="s">
        <v>709</v>
      </c>
      <c r="B1288" t="s">
        <v>732</v>
      </c>
      <c r="C1288" t="s">
        <v>733</v>
      </c>
      <c r="D1288" t="s">
        <v>306</v>
      </c>
      <c r="E1288" t="s">
        <v>569</v>
      </c>
      <c r="F1288" t="s">
        <v>165</v>
      </c>
      <c r="G1288" t="s">
        <v>111</v>
      </c>
      <c r="H1288" t="s">
        <v>113</v>
      </c>
      <c r="I1288" t="s">
        <v>112</v>
      </c>
      <c r="J1288" t="s">
        <v>114</v>
      </c>
      <c r="K1288" t="s">
        <v>116</v>
      </c>
      <c r="L1288" t="s">
        <v>116</v>
      </c>
    </row>
    <row r="1289" spans="1:12" x14ac:dyDescent="0.3">
      <c r="A1289" t="s">
        <v>709</v>
      </c>
      <c r="B1289" t="s">
        <v>732</v>
      </c>
      <c r="C1289" t="s">
        <v>733</v>
      </c>
      <c r="D1289" t="s">
        <v>218</v>
      </c>
      <c r="E1289" t="s">
        <v>569</v>
      </c>
      <c r="F1289" t="s">
        <v>166</v>
      </c>
      <c r="G1289" t="s">
        <v>111</v>
      </c>
      <c r="H1289" t="s">
        <v>113</v>
      </c>
      <c r="I1289" t="s">
        <v>112</v>
      </c>
      <c r="J1289" t="s">
        <v>114</v>
      </c>
      <c r="K1289" t="s">
        <v>116</v>
      </c>
      <c r="L1289" t="s">
        <v>116</v>
      </c>
    </row>
    <row r="1290" spans="1:12" x14ac:dyDescent="0.3">
      <c r="A1290" t="s">
        <v>709</v>
      </c>
      <c r="B1290" t="s">
        <v>732</v>
      </c>
      <c r="C1290" t="s">
        <v>733</v>
      </c>
      <c r="D1290" t="s">
        <v>307</v>
      </c>
      <c r="E1290" t="s">
        <v>569</v>
      </c>
      <c r="F1290" t="s">
        <v>123</v>
      </c>
      <c r="G1290" t="s">
        <v>111</v>
      </c>
      <c r="H1290" t="s">
        <v>113</v>
      </c>
      <c r="I1290" t="s">
        <v>112</v>
      </c>
      <c r="J1290" t="s">
        <v>114</v>
      </c>
      <c r="K1290" t="s">
        <v>116</v>
      </c>
      <c r="L1290" t="s">
        <v>116</v>
      </c>
    </row>
    <row r="1291" spans="1:12" x14ac:dyDescent="0.3">
      <c r="A1291" t="s">
        <v>709</v>
      </c>
      <c r="B1291" t="s">
        <v>732</v>
      </c>
      <c r="C1291" t="s">
        <v>733</v>
      </c>
      <c r="D1291" t="s">
        <v>219</v>
      </c>
      <c r="E1291" t="s">
        <v>569</v>
      </c>
      <c r="F1291" t="s">
        <v>189</v>
      </c>
      <c r="G1291" t="s">
        <v>111</v>
      </c>
      <c r="H1291" t="s">
        <v>113</v>
      </c>
      <c r="I1291" t="s">
        <v>112</v>
      </c>
      <c r="J1291" t="s">
        <v>114</v>
      </c>
      <c r="K1291" t="s">
        <v>116</v>
      </c>
      <c r="L1291" t="s">
        <v>116</v>
      </c>
    </row>
    <row r="1292" spans="1:12" x14ac:dyDescent="0.3">
      <c r="A1292" t="s">
        <v>709</v>
      </c>
      <c r="B1292" t="s">
        <v>732</v>
      </c>
      <c r="C1292" t="s">
        <v>733</v>
      </c>
      <c r="D1292" t="s">
        <v>220</v>
      </c>
      <c r="E1292" t="s">
        <v>569</v>
      </c>
      <c r="F1292" t="s">
        <v>54</v>
      </c>
      <c r="G1292" t="s">
        <v>111</v>
      </c>
      <c r="H1292" t="s">
        <v>113</v>
      </c>
      <c r="I1292" t="s">
        <v>112</v>
      </c>
      <c r="J1292" t="s">
        <v>114</v>
      </c>
      <c r="K1292" t="s">
        <v>1770</v>
      </c>
      <c r="L1292" t="s">
        <v>1770</v>
      </c>
    </row>
    <row r="1293" spans="1:12" x14ac:dyDescent="0.3">
      <c r="A1293" t="s">
        <v>709</v>
      </c>
      <c r="B1293" t="s">
        <v>732</v>
      </c>
      <c r="C1293" t="s">
        <v>733</v>
      </c>
      <c r="D1293" t="s">
        <v>221</v>
      </c>
      <c r="E1293" t="s">
        <v>569</v>
      </c>
      <c r="F1293" t="s">
        <v>45</v>
      </c>
      <c r="G1293" t="s">
        <v>111</v>
      </c>
      <c r="H1293" t="s">
        <v>113</v>
      </c>
      <c r="I1293" t="s">
        <v>112</v>
      </c>
      <c r="J1293" t="s">
        <v>114</v>
      </c>
      <c r="K1293" t="s">
        <v>116</v>
      </c>
      <c r="L1293" t="s">
        <v>116</v>
      </c>
    </row>
    <row r="1294" spans="1:12" x14ac:dyDescent="0.3">
      <c r="A1294" t="s">
        <v>709</v>
      </c>
      <c r="B1294" t="s">
        <v>732</v>
      </c>
      <c r="C1294" t="s">
        <v>733</v>
      </c>
      <c r="D1294" t="s">
        <v>223</v>
      </c>
      <c r="E1294" t="s">
        <v>569</v>
      </c>
      <c r="F1294" t="s">
        <v>65</v>
      </c>
      <c r="G1294" t="s">
        <v>111</v>
      </c>
      <c r="H1294" t="s">
        <v>113</v>
      </c>
      <c r="I1294" t="s">
        <v>112</v>
      </c>
      <c r="J1294" t="s">
        <v>114</v>
      </c>
      <c r="K1294" t="s">
        <v>116</v>
      </c>
      <c r="L1294" t="s">
        <v>116</v>
      </c>
    </row>
    <row r="1295" spans="1:12" x14ac:dyDescent="0.3">
      <c r="A1295" t="s">
        <v>709</v>
      </c>
      <c r="B1295" t="s">
        <v>732</v>
      </c>
      <c r="C1295" t="s">
        <v>733</v>
      </c>
      <c r="D1295" t="s">
        <v>224</v>
      </c>
      <c r="E1295" t="s">
        <v>569</v>
      </c>
      <c r="F1295" t="s">
        <v>125</v>
      </c>
      <c r="G1295" t="s">
        <v>111</v>
      </c>
      <c r="H1295" t="s">
        <v>113</v>
      </c>
      <c r="I1295" t="s">
        <v>112</v>
      </c>
      <c r="J1295" t="s">
        <v>114</v>
      </c>
      <c r="K1295" t="s">
        <v>116</v>
      </c>
      <c r="L1295" t="s">
        <v>116</v>
      </c>
    </row>
    <row r="1296" spans="1:12" x14ac:dyDescent="0.3">
      <c r="A1296" t="s">
        <v>709</v>
      </c>
      <c r="B1296" t="s">
        <v>732</v>
      </c>
      <c r="C1296" t="s">
        <v>733</v>
      </c>
      <c r="D1296" t="s">
        <v>225</v>
      </c>
      <c r="E1296" t="s">
        <v>569</v>
      </c>
      <c r="F1296" t="s">
        <v>126</v>
      </c>
      <c r="G1296" t="s">
        <v>111</v>
      </c>
      <c r="H1296" t="s">
        <v>113</v>
      </c>
      <c r="I1296" t="s">
        <v>112</v>
      </c>
      <c r="J1296" t="s">
        <v>114</v>
      </c>
      <c r="K1296" t="s">
        <v>116</v>
      </c>
      <c r="L1296" t="s">
        <v>116</v>
      </c>
    </row>
    <row r="1297" spans="1:12" x14ac:dyDescent="0.3">
      <c r="A1297" t="s">
        <v>709</v>
      </c>
      <c r="B1297" t="s">
        <v>732</v>
      </c>
      <c r="C1297" t="s">
        <v>733</v>
      </c>
      <c r="D1297" t="s">
        <v>227</v>
      </c>
      <c r="E1297" t="s">
        <v>569</v>
      </c>
      <c r="F1297" t="s">
        <v>192</v>
      </c>
      <c r="G1297" t="s">
        <v>111</v>
      </c>
      <c r="H1297" t="s">
        <v>113</v>
      </c>
      <c r="I1297" t="s">
        <v>112</v>
      </c>
      <c r="J1297" t="s">
        <v>114</v>
      </c>
      <c r="K1297" t="s">
        <v>116</v>
      </c>
      <c r="L1297" t="s">
        <v>116</v>
      </c>
    </row>
    <row r="1298" spans="1:12" x14ac:dyDescent="0.3">
      <c r="A1298" t="s">
        <v>709</v>
      </c>
      <c r="B1298" t="s">
        <v>732</v>
      </c>
      <c r="C1298" t="s">
        <v>733</v>
      </c>
      <c r="D1298" t="s">
        <v>228</v>
      </c>
      <c r="E1298" t="s">
        <v>569</v>
      </c>
      <c r="F1298" t="s">
        <v>167</v>
      </c>
      <c r="G1298" t="s">
        <v>111</v>
      </c>
      <c r="H1298" t="s">
        <v>113</v>
      </c>
      <c r="I1298" t="s">
        <v>112</v>
      </c>
      <c r="J1298" t="s">
        <v>114</v>
      </c>
      <c r="K1298" t="s">
        <v>116</v>
      </c>
      <c r="L1298" t="s">
        <v>116</v>
      </c>
    </row>
    <row r="1299" spans="1:12" x14ac:dyDescent="0.3">
      <c r="A1299" t="s">
        <v>709</v>
      </c>
      <c r="B1299" t="s">
        <v>732</v>
      </c>
      <c r="C1299" t="s">
        <v>733</v>
      </c>
      <c r="D1299" t="s">
        <v>229</v>
      </c>
      <c r="E1299" t="s">
        <v>569</v>
      </c>
      <c r="F1299" t="s">
        <v>127</v>
      </c>
      <c r="G1299" t="s">
        <v>111</v>
      </c>
      <c r="H1299" t="s">
        <v>113</v>
      </c>
      <c r="I1299" t="s">
        <v>112</v>
      </c>
      <c r="J1299" t="s">
        <v>114</v>
      </c>
      <c r="K1299" t="s">
        <v>116</v>
      </c>
      <c r="L1299" t="s">
        <v>116</v>
      </c>
    </row>
    <row r="1300" spans="1:12" x14ac:dyDescent="0.3">
      <c r="A1300" t="s">
        <v>709</v>
      </c>
      <c r="B1300" t="s">
        <v>732</v>
      </c>
      <c r="C1300" t="s">
        <v>733</v>
      </c>
      <c r="D1300" t="s">
        <v>310</v>
      </c>
      <c r="E1300" t="s">
        <v>569</v>
      </c>
      <c r="F1300" t="s">
        <v>128</v>
      </c>
      <c r="G1300" t="s">
        <v>111</v>
      </c>
      <c r="H1300" t="s">
        <v>113</v>
      </c>
      <c r="I1300" t="s">
        <v>112</v>
      </c>
      <c r="J1300" t="s">
        <v>114</v>
      </c>
      <c r="K1300" t="s">
        <v>116</v>
      </c>
      <c r="L1300" t="s">
        <v>116</v>
      </c>
    </row>
    <row r="1301" spans="1:12" x14ac:dyDescent="0.3">
      <c r="A1301" t="s">
        <v>709</v>
      </c>
      <c r="B1301" t="s">
        <v>732</v>
      </c>
      <c r="C1301" t="s">
        <v>733</v>
      </c>
      <c r="D1301" t="s">
        <v>311</v>
      </c>
      <c r="E1301" t="s">
        <v>569</v>
      </c>
      <c r="F1301" t="s">
        <v>89</v>
      </c>
      <c r="G1301" t="s">
        <v>111</v>
      </c>
      <c r="H1301" t="s">
        <v>113</v>
      </c>
      <c r="I1301" t="s">
        <v>112</v>
      </c>
      <c r="J1301" t="s">
        <v>114</v>
      </c>
      <c r="K1301" t="s">
        <v>116</v>
      </c>
      <c r="L1301" t="s">
        <v>116</v>
      </c>
    </row>
    <row r="1302" spans="1:12" x14ac:dyDescent="0.3">
      <c r="A1302" t="s">
        <v>709</v>
      </c>
      <c r="B1302" t="s">
        <v>732</v>
      </c>
      <c r="C1302" t="s">
        <v>733</v>
      </c>
      <c r="D1302" t="s">
        <v>231</v>
      </c>
      <c r="E1302" t="s">
        <v>569</v>
      </c>
      <c r="F1302" t="s">
        <v>66</v>
      </c>
      <c r="G1302" t="s">
        <v>111</v>
      </c>
      <c r="H1302" t="s">
        <v>113</v>
      </c>
      <c r="I1302" t="s">
        <v>112</v>
      </c>
      <c r="J1302" t="s">
        <v>114</v>
      </c>
      <c r="K1302" t="s">
        <v>116</v>
      </c>
      <c r="L1302" t="s">
        <v>116</v>
      </c>
    </row>
    <row r="1303" spans="1:12" x14ac:dyDescent="0.3">
      <c r="A1303" t="s">
        <v>709</v>
      </c>
      <c r="B1303" t="s">
        <v>732</v>
      </c>
      <c r="C1303" t="s">
        <v>733</v>
      </c>
      <c r="D1303" t="s">
        <v>232</v>
      </c>
      <c r="E1303" t="s">
        <v>569</v>
      </c>
      <c r="F1303" t="s">
        <v>169</v>
      </c>
      <c r="G1303" t="s">
        <v>111</v>
      </c>
      <c r="H1303" t="s">
        <v>113</v>
      </c>
      <c r="I1303" t="s">
        <v>112</v>
      </c>
      <c r="J1303" t="s">
        <v>114</v>
      </c>
      <c r="K1303" t="s">
        <v>116</v>
      </c>
      <c r="L1303" t="s">
        <v>116</v>
      </c>
    </row>
    <row r="1304" spans="1:12" x14ac:dyDescent="0.3">
      <c r="A1304" t="s">
        <v>709</v>
      </c>
      <c r="B1304" t="s">
        <v>732</v>
      </c>
      <c r="C1304" t="s">
        <v>733</v>
      </c>
      <c r="D1304" t="s">
        <v>234</v>
      </c>
      <c r="E1304" t="s">
        <v>569</v>
      </c>
      <c r="F1304" t="s">
        <v>93</v>
      </c>
      <c r="G1304" t="s">
        <v>111</v>
      </c>
      <c r="H1304" t="s">
        <v>113</v>
      </c>
      <c r="I1304" t="s">
        <v>112</v>
      </c>
      <c r="J1304" t="s">
        <v>114</v>
      </c>
      <c r="K1304" t="s">
        <v>116</v>
      </c>
      <c r="L1304" t="s">
        <v>116</v>
      </c>
    </row>
    <row r="1305" spans="1:12" x14ac:dyDescent="0.3">
      <c r="A1305" t="s">
        <v>709</v>
      </c>
      <c r="B1305" t="s">
        <v>732</v>
      </c>
      <c r="C1305" t="s">
        <v>733</v>
      </c>
      <c r="D1305" t="s">
        <v>312</v>
      </c>
      <c r="E1305" t="s">
        <v>569</v>
      </c>
      <c r="F1305" t="s">
        <v>129</v>
      </c>
      <c r="G1305" t="s">
        <v>111</v>
      </c>
      <c r="H1305" t="s">
        <v>113</v>
      </c>
      <c r="I1305" t="s">
        <v>112</v>
      </c>
      <c r="J1305" t="s">
        <v>114</v>
      </c>
      <c r="K1305" t="s">
        <v>116</v>
      </c>
      <c r="L1305" t="s">
        <v>116</v>
      </c>
    </row>
    <row r="1306" spans="1:12" x14ac:dyDescent="0.3">
      <c r="A1306" t="s">
        <v>709</v>
      </c>
      <c r="B1306" t="s">
        <v>732</v>
      </c>
      <c r="C1306" t="s">
        <v>733</v>
      </c>
      <c r="D1306" t="s">
        <v>313</v>
      </c>
      <c r="E1306" t="s">
        <v>569</v>
      </c>
      <c r="F1306" t="s">
        <v>68</v>
      </c>
      <c r="G1306" t="s">
        <v>111</v>
      </c>
      <c r="H1306" t="s">
        <v>113</v>
      </c>
      <c r="I1306" t="s">
        <v>112</v>
      </c>
      <c r="J1306" t="s">
        <v>114</v>
      </c>
      <c r="K1306" t="s">
        <v>116</v>
      </c>
      <c r="L1306" t="s">
        <v>116</v>
      </c>
    </row>
    <row r="1307" spans="1:12" x14ac:dyDescent="0.3">
      <c r="A1307" t="s">
        <v>709</v>
      </c>
      <c r="B1307" t="s">
        <v>732</v>
      </c>
      <c r="C1307" t="s">
        <v>733</v>
      </c>
      <c r="D1307" t="s">
        <v>235</v>
      </c>
      <c r="E1307" t="s">
        <v>569</v>
      </c>
      <c r="F1307" t="s">
        <v>85</v>
      </c>
      <c r="G1307" t="s">
        <v>111</v>
      </c>
      <c r="H1307" t="s">
        <v>113</v>
      </c>
      <c r="I1307" t="s">
        <v>112</v>
      </c>
      <c r="J1307" t="s">
        <v>114</v>
      </c>
      <c r="K1307" t="s">
        <v>116</v>
      </c>
      <c r="L1307" t="s">
        <v>116</v>
      </c>
    </row>
    <row r="1308" spans="1:12" x14ac:dyDescent="0.3">
      <c r="A1308" t="s">
        <v>709</v>
      </c>
      <c r="B1308" t="s">
        <v>732</v>
      </c>
      <c r="C1308" t="s">
        <v>733</v>
      </c>
      <c r="D1308" t="s">
        <v>314</v>
      </c>
      <c r="E1308" t="s">
        <v>569</v>
      </c>
      <c r="F1308" t="s">
        <v>61</v>
      </c>
      <c r="G1308" t="s">
        <v>111</v>
      </c>
      <c r="H1308" t="s">
        <v>113</v>
      </c>
      <c r="I1308" t="s">
        <v>112</v>
      </c>
      <c r="J1308" t="s">
        <v>114</v>
      </c>
      <c r="K1308" t="s">
        <v>116</v>
      </c>
      <c r="L1308" t="s">
        <v>116</v>
      </c>
    </row>
    <row r="1309" spans="1:12" x14ac:dyDescent="0.3">
      <c r="A1309" t="s">
        <v>709</v>
      </c>
      <c r="B1309" t="s">
        <v>732</v>
      </c>
      <c r="C1309" t="s">
        <v>733</v>
      </c>
      <c r="D1309" t="s">
        <v>236</v>
      </c>
      <c r="E1309" t="s">
        <v>569</v>
      </c>
      <c r="F1309" t="s">
        <v>87</v>
      </c>
      <c r="G1309" t="s">
        <v>111</v>
      </c>
      <c r="H1309" t="s">
        <v>113</v>
      </c>
      <c r="I1309" t="s">
        <v>112</v>
      </c>
      <c r="J1309" t="s">
        <v>114</v>
      </c>
      <c r="K1309" t="s">
        <v>116</v>
      </c>
      <c r="L1309" t="s">
        <v>116</v>
      </c>
    </row>
    <row r="1310" spans="1:12" x14ac:dyDescent="0.3">
      <c r="A1310" t="s">
        <v>709</v>
      </c>
      <c r="B1310" t="s">
        <v>732</v>
      </c>
      <c r="C1310" t="s">
        <v>733</v>
      </c>
      <c r="D1310" t="s">
        <v>237</v>
      </c>
      <c r="E1310" t="s">
        <v>569</v>
      </c>
      <c r="F1310" t="s">
        <v>130</v>
      </c>
      <c r="G1310" t="s">
        <v>111</v>
      </c>
      <c r="H1310" t="s">
        <v>113</v>
      </c>
      <c r="I1310" t="s">
        <v>112</v>
      </c>
      <c r="J1310" t="s">
        <v>114</v>
      </c>
      <c r="K1310" t="s">
        <v>116</v>
      </c>
      <c r="L1310" t="s">
        <v>116</v>
      </c>
    </row>
    <row r="1311" spans="1:12" x14ac:dyDescent="0.3">
      <c r="A1311" t="s">
        <v>709</v>
      </c>
      <c r="B1311" t="s">
        <v>732</v>
      </c>
      <c r="C1311" t="s">
        <v>733</v>
      </c>
      <c r="D1311" t="s">
        <v>238</v>
      </c>
      <c r="E1311" t="s">
        <v>569</v>
      </c>
      <c r="F1311" t="s">
        <v>131</v>
      </c>
      <c r="G1311" t="s">
        <v>111</v>
      </c>
      <c r="H1311" t="s">
        <v>113</v>
      </c>
      <c r="I1311" t="s">
        <v>112</v>
      </c>
      <c r="J1311" t="s">
        <v>114</v>
      </c>
      <c r="K1311" t="s">
        <v>116</v>
      </c>
      <c r="L1311" t="s">
        <v>116</v>
      </c>
    </row>
    <row r="1312" spans="1:12" x14ac:dyDescent="0.3">
      <c r="A1312" t="s">
        <v>709</v>
      </c>
      <c r="B1312" t="s">
        <v>732</v>
      </c>
      <c r="C1312" t="s">
        <v>733</v>
      </c>
      <c r="D1312" t="s">
        <v>239</v>
      </c>
      <c r="E1312" t="s">
        <v>569</v>
      </c>
      <c r="F1312" t="s">
        <v>50</v>
      </c>
      <c r="G1312" t="s">
        <v>111</v>
      </c>
      <c r="H1312" t="s">
        <v>113</v>
      </c>
      <c r="I1312" t="s">
        <v>112</v>
      </c>
      <c r="J1312" t="s">
        <v>114</v>
      </c>
      <c r="K1312" t="s">
        <v>116</v>
      </c>
      <c r="L1312" t="s">
        <v>116</v>
      </c>
    </row>
    <row r="1313" spans="1:12" x14ac:dyDescent="0.3">
      <c r="A1313" t="s">
        <v>709</v>
      </c>
      <c r="B1313" t="s">
        <v>732</v>
      </c>
      <c r="C1313" t="s">
        <v>733</v>
      </c>
      <c r="D1313" t="s">
        <v>315</v>
      </c>
      <c r="E1313" t="s">
        <v>568</v>
      </c>
      <c r="F1313" t="s">
        <v>79</v>
      </c>
      <c r="G1313" t="s">
        <v>111</v>
      </c>
      <c r="H1313" t="s">
        <v>113</v>
      </c>
      <c r="I1313" t="s">
        <v>112</v>
      </c>
      <c r="J1313" t="s">
        <v>114</v>
      </c>
      <c r="K1313" t="s">
        <v>116</v>
      </c>
      <c r="L1313" t="s">
        <v>116</v>
      </c>
    </row>
    <row r="1314" spans="1:12" x14ac:dyDescent="0.3">
      <c r="A1314" t="s">
        <v>709</v>
      </c>
      <c r="B1314" t="s">
        <v>732</v>
      </c>
      <c r="C1314" t="s">
        <v>733</v>
      </c>
      <c r="D1314" t="s">
        <v>316</v>
      </c>
      <c r="E1314" t="s">
        <v>568</v>
      </c>
      <c r="F1314" t="s">
        <v>132</v>
      </c>
      <c r="G1314" t="s">
        <v>111</v>
      </c>
      <c r="H1314" t="s">
        <v>113</v>
      </c>
      <c r="I1314" t="s">
        <v>112</v>
      </c>
      <c r="J1314" t="s">
        <v>114</v>
      </c>
      <c r="K1314" t="s">
        <v>116</v>
      </c>
      <c r="L1314" t="s">
        <v>116</v>
      </c>
    </row>
    <row r="1315" spans="1:12" x14ac:dyDescent="0.3">
      <c r="A1315" t="s">
        <v>709</v>
      </c>
      <c r="B1315" t="s">
        <v>732</v>
      </c>
      <c r="C1315" t="s">
        <v>733</v>
      </c>
      <c r="D1315" t="s">
        <v>317</v>
      </c>
      <c r="E1315" t="s">
        <v>568</v>
      </c>
      <c r="F1315" t="s">
        <v>133</v>
      </c>
      <c r="G1315" t="s">
        <v>111</v>
      </c>
      <c r="H1315" t="s">
        <v>113</v>
      </c>
      <c r="I1315" t="s">
        <v>112</v>
      </c>
      <c r="J1315" t="s">
        <v>114</v>
      </c>
      <c r="K1315" t="s">
        <v>116</v>
      </c>
      <c r="L1315" t="s">
        <v>116</v>
      </c>
    </row>
    <row r="1316" spans="1:12" x14ac:dyDescent="0.3">
      <c r="A1316" t="s">
        <v>709</v>
      </c>
      <c r="B1316" t="s">
        <v>732</v>
      </c>
      <c r="C1316" t="s">
        <v>733</v>
      </c>
      <c r="D1316" t="s">
        <v>318</v>
      </c>
      <c r="E1316" t="s">
        <v>568</v>
      </c>
      <c r="F1316" t="s">
        <v>193</v>
      </c>
      <c r="G1316" t="s">
        <v>111</v>
      </c>
      <c r="H1316" t="s">
        <v>113</v>
      </c>
      <c r="I1316" t="s">
        <v>112</v>
      </c>
      <c r="J1316" t="s">
        <v>114</v>
      </c>
      <c r="K1316" t="s">
        <v>116</v>
      </c>
      <c r="L1316" t="s">
        <v>116</v>
      </c>
    </row>
    <row r="1317" spans="1:12" x14ac:dyDescent="0.3">
      <c r="A1317" t="s">
        <v>709</v>
      </c>
      <c r="B1317" t="s">
        <v>732</v>
      </c>
      <c r="C1317" t="s">
        <v>733</v>
      </c>
      <c r="D1317" t="s">
        <v>241</v>
      </c>
      <c r="E1317" t="s">
        <v>568</v>
      </c>
      <c r="F1317" t="s">
        <v>51</v>
      </c>
      <c r="G1317" t="s">
        <v>111</v>
      </c>
      <c r="H1317" t="s">
        <v>113</v>
      </c>
      <c r="I1317" t="s">
        <v>112</v>
      </c>
      <c r="J1317" t="s">
        <v>114</v>
      </c>
      <c r="K1317" t="s">
        <v>116</v>
      </c>
      <c r="L1317" t="s">
        <v>116</v>
      </c>
    </row>
    <row r="1318" spans="1:12" x14ac:dyDescent="0.3">
      <c r="A1318" t="s">
        <v>709</v>
      </c>
      <c r="B1318" t="s">
        <v>732</v>
      </c>
      <c r="C1318" t="s">
        <v>733</v>
      </c>
      <c r="D1318" t="s">
        <v>242</v>
      </c>
      <c r="E1318" t="s">
        <v>568</v>
      </c>
      <c r="F1318" t="s">
        <v>163</v>
      </c>
      <c r="G1318" t="s">
        <v>111</v>
      </c>
      <c r="H1318" t="s">
        <v>113</v>
      </c>
      <c r="I1318" t="s">
        <v>112</v>
      </c>
      <c r="J1318" t="s">
        <v>114</v>
      </c>
      <c r="K1318" t="s">
        <v>116</v>
      </c>
      <c r="L1318" t="s">
        <v>116</v>
      </c>
    </row>
    <row r="1319" spans="1:12" x14ac:dyDescent="0.3">
      <c r="A1319" t="s">
        <v>709</v>
      </c>
      <c r="B1319" t="s">
        <v>732</v>
      </c>
      <c r="C1319" t="s">
        <v>733</v>
      </c>
      <c r="D1319" t="s">
        <v>243</v>
      </c>
      <c r="E1319" t="s">
        <v>568</v>
      </c>
      <c r="F1319" t="s">
        <v>170</v>
      </c>
      <c r="G1319" t="s">
        <v>111</v>
      </c>
      <c r="H1319" t="s">
        <v>113</v>
      </c>
      <c r="I1319" t="s">
        <v>112</v>
      </c>
      <c r="J1319" t="s">
        <v>114</v>
      </c>
      <c r="K1319" t="s">
        <v>116</v>
      </c>
      <c r="L1319" t="s">
        <v>116</v>
      </c>
    </row>
    <row r="1320" spans="1:12" x14ac:dyDescent="0.3">
      <c r="A1320" t="s">
        <v>709</v>
      </c>
      <c r="B1320" t="s">
        <v>732</v>
      </c>
      <c r="C1320" t="s">
        <v>733</v>
      </c>
      <c r="D1320" t="s">
        <v>244</v>
      </c>
      <c r="E1320" t="s">
        <v>568</v>
      </c>
      <c r="F1320" t="s">
        <v>78</v>
      </c>
      <c r="G1320" t="s">
        <v>111</v>
      </c>
      <c r="H1320" t="s">
        <v>113</v>
      </c>
      <c r="I1320" t="s">
        <v>112</v>
      </c>
      <c r="J1320" t="s">
        <v>114</v>
      </c>
      <c r="K1320" t="s">
        <v>116</v>
      </c>
      <c r="L1320" t="s">
        <v>116</v>
      </c>
    </row>
    <row r="1321" spans="1:12" x14ac:dyDescent="0.3">
      <c r="A1321" t="s">
        <v>709</v>
      </c>
      <c r="B1321" t="s">
        <v>732</v>
      </c>
      <c r="C1321" t="s">
        <v>733</v>
      </c>
      <c r="D1321" t="s">
        <v>319</v>
      </c>
      <c r="E1321" t="s">
        <v>568</v>
      </c>
      <c r="F1321" t="s">
        <v>136</v>
      </c>
      <c r="G1321" t="s">
        <v>111</v>
      </c>
      <c r="H1321" t="s">
        <v>113</v>
      </c>
      <c r="I1321" t="s">
        <v>112</v>
      </c>
      <c r="J1321" t="s">
        <v>114</v>
      </c>
      <c r="K1321" t="s">
        <v>116</v>
      </c>
      <c r="L1321" t="s">
        <v>116</v>
      </c>
    </row>
    <row r="1322" spans="1:12" x14ac:dyDescent="0.3">
      <c r="A1322" t="s">
        <v>709</v>
      </c>
      <c r="B1322" t="s">
        <v>732</v>
      </c>
      <c r="C1322" t="s">
        <v>733</v>
      </c>
      <c r="D1322" t="s">
        <v>247</v>
      </c>
      <c r="E1322" t="s">
        <v>568</v>
      </c>
      <c r="F1322" t="s">
        <v>60</v>
      </c>
      <c r="G1322" t="s">
        <v>111</v>
      </c>
      <c r="H1322" t="s">
        <v>113</v>
      </c>
      <c r="I1322" t="s">
        <v>112</v>
      </c>
      <c r="J1322" t="s">
        <v>114</v>
      </c>
      <c r="K1322" t="s">
        <v>116</v>
      </c>
      <c r="L1322" t="s">
        <v>116</v>
      </c>
    </row>
    <row r="1323" spans="1:12" x14ac:dyDescent="0.3">
      <c r="A1323" t="s">
        <v>709</v>
      </c>
      <c r="B1323" t="s">
        <v>732</v>
      </c>
      <c r="C1323" t="s">
        <v>733</v>
      </c>
      <c r="D1323" t="s">
        <v>251</v>
      </c>
      <c r="E1323" t="s">
        <v>568</v>
      </c>
      <c r="F1323" t="s">
        <v>48</v>
      </c>
      <c r="G1323" t="s">
        <v>111</v>
      </c>
      <c r="H1323" t="s">
        <v>113</v>
      </c>
      <c r="I1323" t="s">
        <v>112</v>
      </c>
      <c r="J1323" t="s">
        <v>114</v>
      </c>
      <c r="K1323" t="s">
        <v>116</v>
      </c>
      <c r="L1323" t="s">
        <v>116</v>
      </c>
    </row>
    <row r="1324" spans="1:12" x14ac:dyDescent="0.3">
      <c r="A1324" t="s">
        <v>709</v>
      </c>
      <c r="B1324" t="s">
        <v>732</v>
      </c>
      <c r="C1324" t="s">
        <v>733</v>
      </c>
      <c r="D1324" t="s">
        <v>252</v>
      </c>
      <c r="E1324" t="s">
        <v>568</v>
      </c>
      <c r="F1324" t="s">
        <v>138</v>
      </c>
      <c r="G1324" t="s">
        <v>111</v>
      </c>
      <c r="H1324" t="s">
        <v>113</v>
      </c>
      <c r="I1324" t="s">
        <v>112</v>
      </c>
      <c r="J1324" t="s">
        <v>114</v>
      </c>
      <c r="K1324" t="s">
        <v>116</v>
      </c>
      <c r="L1324" t="s">
        <v>116</v>
      </c>
    </row>
    <row r="1325" spans="1:12" x14ac:dyDescent="0.3">
      <c r="A1325" t="s">
        <v>709</v>
      </c>
      <c r="B1325" t="s">
        <v>732</v>
      </c>
      <c r="C1325" t="s">
        <v>733</v>
      </c>
      <c r="D1325" t="s">
        <v>253</v>
      </c>
      <c r="E1325" t="s">
        <v>568</v>
      </c>
      <c r="F1325" t="s">
        <v>95</v>
      </c>
      <c r="G1325" t="s">
        <v>111</v>
      </c>
      <c r="H1325" t="s">
        <v>113</v>
      </c>
      <c r="I1325" t="s">
        <v>112</v>
      </c>
      <c r="J1325" t="s">
        <v>114</v>
      </c>
      <c r="K1325" t="s">
        <v>116</v>
      </c>
      <c r="L1325" t="s">
        <v>116</v>
      </c>
    </row>
    <row r="1326" spans="1:12" x14ac:dyDescent="0.3">
      <c r="A1326" t="s">
        <v>709</v>
      </c>
      <c r="B1326" t="s">
        <v>732</v>
      </c>
      <c r="C1326" t="s">
        <v>733</v>
      </c>
      <c r="D1326" t="s">
        <v>254</v>
      </c>
      <c r="E1326" t="s">
        <v>568</v>
      </c>
      <c r="F1326" t="s">
        <v>139</v>
      </c>
      <c r="G1326" t="s">
        <v>111</v>
      </c>
      <c r="H1326" t="s">
        <v>113</v>
      </c>
      <c r="I1326" t="s">
        <v>112</v>
      </c>
      <c r="J1326" t="s">
        <v>114</v>
      </c>
      <c r="K1326" t="s">
        <v>116</v>
      </c>
      <c r="L1326" t="s">
        <v>116</v>
      </c>
    </row>
    <row r="1327" spans="1:12" x14ac:dyDescent="0.3">
      <c r="A1327" t="s">
        <v>709</v>
      </c>
      <c r="B1327" t="s">
        <v>732</v>
      </c>
      <c r="C1327" t="s">
        <v>733</v>
      </c>
      <c r="D1327" t="s">
        <v>255</v>
      </c>
      <c r="E1327" t="s">
        <v>568</v>
      </c>
      <c r="F1327" t="s">
        <v>171</v>
      </c>
      <c r="G1327" t="s">
        <v>111</v>
      </c>
      <c r="H1327" t="s">
        <v>113</v>
      </c>
      <c r="I1327" t="s">
        <v>112</v>
      </c>
      <c r="J1327" t="s">
        <v>114</v>
      </c>
      <c r="K1327" t="s">
        <v>116</v>
      </c>
      <c r="L1327" t="s">
        <v>116</v>
      </c>
    </row>
    <row r="1328" spans="1:12" x14ac:dyDescent="0.3">
      <c r="A1328" t="s">
        <v>709</v>
      </c>
      <c r="B1328" t="s">
        <v>732</v>
      </c>
      <c r="C1328" t="s">
        <v>733</v>
      </c>
      <c r="D1328" t="s">
        <v>320</v>
      </c>
      <c r="E1328" t="s">
        <v>568</v>
      </c>
      <c r="F1328" t="s">
        <v>172</v>
      </c>
      <c r="G1328" t="s">
        <v>111</v>
      </c>
      <c r="H1328" t="s">
        <v>113</v>
      </c>
      <c r="I1328" t="s">
        <v>112</v>
      </c>
      <c r="J1328" t="s">
        <v>114</v>
      </c>
      <c r="K1328" t="s">
        <v>116</v>
      </c>
      <c r="L1328" t="s">
        <v>116</v>
      </c>
    </row>
    <row r="1329" spans="1:12" x14ac:dyDescent="0.3">
      <c r="A1329" t="s">
        <v>709</v>
      </c>
      <c r="B1329" t="s">
        <v>732</v>
      </c>
      <c r="C1329" t="s">
        <v>733</v>
      </c>
      <c r="D1329" t="s">
        <v>207</v>
      </c>
      <c r="E1329" t="s">
        <v>568</v>
      </c>
      <c r="F1329" t="s">
        <v>62</v>
      </c>
      <c r="G1329" t="s">
        <v>111</v>
      </c>
      <c r="H1329" t="s">
        <v>113</v>
      </c>
      <c r="I1329" t="s">
        <v>112</v>
      </c>
      <c r="J1329" t="s">
        <v>114</v>
      </c>
      <c r="K1329" t="s">
        <v>116</v>
      </c>
      <c r="L1329" t="s">
        <v>116</v>
      </c>
    </row>
    <row r="1330" spans="1:12" x14ac:dyDescent="0.3">
      <c r="A1330" t="s">
        <v>709</v>
      </c>
      <c r="B1330" t="s">
        <v>732</v>
      </c>
      <c r="C1330" t="s">
        <v>733</v>
      </c>
      <c r="D1330" t="s">
        <v>256</v>
      </c>
      <c r="E1330" t="s">
        <v>568</v>
      </c>
      <c r="F1330" t="s">
        <v>57</v>
      </c>
      <c r="G1330" t="s">
        <v>111</v>
      </c>
      <c r="H1330" t="s">
        <v>113</v>
      </c>
      <c r="I1330" t="s">
        <v>112</v>
      </c>
      <c r="J1330" t="s">
        <v>114</v>
      </c>
      <c r="K1330" t="s">
        <v>116</v>
      </c>
      <c r="L1330" t="s">
        <v>116</v>
      </c>
    </row>
    <row r="1331" spans="1:12" x14ac:dyDescent="0.3">
      <c r="A1331" t="s">
        <v>709</v>
      </c>
      <c r="B1331" t="s">
        <v>732</v>
      </c>
      <c r="C1331" t="s">
        <v>733</v>
      </c>
      <c r="D1331" t="s">
        <v>322</v>
      </c>
      <c r="E1331" t="s">
        <v>568</v>
      </c>
      <c r="F1331" t="s">
        <v>173</v>
      </c>
      <c r="G1331" t="s">
        <v>111</v>
      </c>
      <c r="H1331" t="s">
        <v>113</v>
      </c>
      <c r="I1331" t="s">
        <v>112</v>
      </c>
      <c r="J1331" t="s">
        <v>114</v>
      </c>
      <c r="K1331" t="s">
        <v>116</v>
      </c>
      <c r="L1331" t="s">
        <v>116</v>
      </c>
    </row>
    <row r="1332" spans="1:12" x14ac:dyDescent="0.3">
      <c r="A1332" t="s">
        <v>709</v>
      </c>
      <c r="B1332" t="s">
        <v>732</v>
      </c>
      <c r="C1332" t="s">
        <v>733</v>
      </c>
      <c r="D1332" t="s">
        <v>257</v>
      </c>
      <c r="E1332" t="s">
        <v>568</v>
      </c>
      <c r="F1332" t="s">
        <v>174</v>
      </c>
      <c r="G1332" t="s">
        <v>111</v>
      </c>
      <c r="H1332" t="s">
        <v>113</v>
      </c>
      <c r="I1332" t="s">
        <v>112</v>
      </c>
      <c r="J1332" t="s">
        <v>114</v>
      </c>
      <c r="K1332" t="s">
        <v>116</v>
      </c>
      <c r="L1332" t="s">
        <v>116</v>
      </c>
    </row>
    <row r="1333" spans="1:12" x14ac:dyDescent="0.3">
      <c r="A1333" t="s">
        <v>709</v>
      </c>
      <c r="B1333" t="s">
        <v>732</v>
      </c>
      <c r="C1333" t="s">
        <v>733</v>
      </c>
      <c r="D1333" t="s">
        <v>258</v>
      </c>
      <c r="E1333" t="s">
        <v>568</v>
      </c>
      <c r="F1333" t="s">
        <v>88</v>
      </c>
      <c r="G1333" t="s">
        <v>111</v>
      </c>
      <c r="H1333" t="s">
        <v>113</v>
      </c>
      <c r="I1333" t="s">
        <v>112</v>
      </c>
      <c r="J1333" t="s">
        <v>114</v>
      </c>
      <c r="K1333" t="s">
        <v>116</v>
      </c>
      <c r="L1333" t="s">
        <v>116</v>
      </c>
    </row>
    <row r="1334" spans="1:12" x14ac:dyDescent="0.3">
      <c r="A1334" t="s">
        <v>709</v>
      </c>
      <c r="B1334" t="s">
        <v>732</v>
      </c>
      <c r="C1334" t="s">
        <v>733</v>
      </c>
      <c r="D1334" t="s">
        <v>259</v>
      </c>
      <c r="E1334" t="s">
        <v>568</v>
      </c>
      <c r="F1334" t="s">
        <v>77</v>
      </c>
      <c r="G1334" t="s">
        <v>111</v>
      </c>
      <c r="H1334" t="s">
        <v>113</v>
      </c>
      <c r="I1334" t="s">
        <v>112</v>
      </c>
      <c r="J1334" t="s">
        <v>114</v>
      </c>
      <c r="K1334" t="s">
        <v>116</v>
      </c>
      <c r="L1334" t="s">
        <v>116</v>
      </c>
    </row>
    <row r="1335" spans="1:12" x14ac:dyDescent="0.3">
      <c r="A1335" t="s">
        <v>709</v>
      </c>
      <c r="B1335" t="s">
        <v>732</v>
      </c>
      <c r="C1335" t="s">
        <v>733</v>
      </c>
      <c r="D1335" t="s">
        <v>323</v>
      </c>
      <c r="E1335" t="s">
        <v>568</v>
      </c>
      <c r="F1335" t="s">
        <v>74</v>
      </c>
      <c r="G1335" t="s">
        <v>111</v>
      </c>
      <c r="H1335" t="s">
        <v>113</v>
      </c>
      <c r="I1335" t="s">
        <v>112</v>
      </c>
      <c r="J1335" t="s">
        <v>114</v>
      </c>
      <c r="K1335" t="s">
        <v>116</v>
      </c>
      <c r="L1335" t="s">
        <v>116</v>
      </c>
    </row>
    <row r="1336" spans="1:12" x14ac:dyDescent="0.3">
      <c r="A1336" t="s">
        <v>709</v>
      </c>
      <c r="B1336" t="s">
        <v>732</v>
      </c>
      <c r="C1336" t="s">
        <v>733</v>
      </c>
      <c r="D1336" t="s">
        <v>324</v>
      </c>
      <c r="E1336" t="s">
        <v>568</v>
      </c>
      <c r="F1336" t="s">
        <v>102</v>
      </c>
      <c r="G1336" t="s">
        <v>111</v>
      </c>
      <c r="H1336" t="s">
        <v>113</v>
      </c>
      <c r="I1336" t="s">
        <v>112</v>
      </c>
      <c r="J1336" t="s">
        <v>114</v>
      </c>
      <c r="K1336" t="s">
        <v>116</v>
      </c>
      <c r="L1336" t="s">
        <v>116</v>
      </c>
    </row>
    <row r="1337" spans="1:12" x14ac:dyDescent="0.3">
      <c r="A1337" t="s">
        <v>709</v>
      </c>
      <c r="B1337" t="s">
        <v>732</v>
      </c>
      <c r="C1337" t="s">
        <v>733</v>
      </c>
      <c r="D1337" t="s">
        <v>260</v>
      </c>
      <c r="E1337" t="s">
        <v>568</v>
      </c>
      <c r="F1337" t="s">
        <v>140</v>
      </c>
      <c r="G1337" t="s">
        <v>111</v>
      </c>
      <c r="H1337" t="s">
        <v>113</v>
      </c>
      <c r="I1337" t="s">
        <v>112</v>
      </c>
      <c r="J1337" t="s">
        <v>114</v>
      </c>
      <c r="K1337" t="s">
        <v>116</v>
      </c>
      <c r="L1337" t="s">
        <v>116</v>
      </c>
    </row>
    <row r="1338" spans="1:12" x14ac:dyDescent="0.3">
      <c r="A1338" t="s">
        <v>709</v>
      </c>
      <c r="B1338" t="s">
        <v>732</v>
      </c>
      <c r="C1338" t="s">
        <v>733</v>
      </c>
      <c r="D1338" t="s">
        <v>263</v>
      </c>
      <c r="E1338" t="s">
        <v>568</v>
      </c>
      <c r="F1338" t="s">
        <v>141</v>
      </c>
      <c r="G1338" t="s">
        <v>111</v>
      </c>
      <c r="H1338" t="s">
        <v>113</v>
      </c>
      <c r="I1338" t="s">
        <v>112</v>
      </c>
      <c r="J1338" t="s">
        <v>114</v>
      </c>
      <c r="K1338" t="s">
        <v>116</v>
      </c>
      <c r="L1338" t="s">
        <v>116</v>
      </c>
    </row>
    <row r="1339" spans="1:12" x14ac:dyDescent="0.3">
      <c r="A1339" t="s">
        <v>709</v>
      </c>
      <c r="B1339" t="s">
        <v>732</v>
      </c>
      <c r="C1339" t="s">
        <v>733</v>
      </c>
      <c r="D1339" t="s">
        <v>264</v>
      </c>
      <c r="E1339" t="s">
        <v>568</v>
      </c>
      <c r="F1339" t="s">
        <v>64</v>
      </c>
      <c r="G1339" t="s">
        <v>111</v>
      </c>
      <c r="H1339" t="s">
        <v>113</v>
      </c>
      <c r="I1339" t="s">
        <v>112</v>
      </c>
      <c r="J1339" t="s">
        <v>114</v>
      </c>
      <c r="K1339" t="s">
        <v>116</v>
      </c>
      <c r="L1339" t="s">
        <v>116</v>
      </c>
    </row>
    <row r="1340" spans="1:12" x14ac:dyDescent="0.3">
      <c r="A1340" t="s">
        <v>709</v>
      </c>
      <c r="B1340" t="s">
        <v>732</v>
      </c>
      <c r="C1340" t="s">
        <v>733</v>
      </c>
      <c r="D1340" t="s">
        <v>265</v>
      </c>
      <c r="E1340" t="s">
        <v>568</v>
      </c>
      <c r="F1340" t="s">
        <v>142</v>
      </c>
      <c r="G1340" t="s">
        <v>111</v>
      </c>
      <c r="H1340" t="s">
        <v>113</v>
      </c>
      <c r="I1340" t="s">
        <v>112</v>
      </c>
      <c r="J1340" t="s">
        <v>114</v>
      </c>
      <c r="K1340" t="s">
        <v>116</v>
      </c>
      <c r="L1340" t="s">
        <v>116</v>
      </c>
    </row>
    <row r="1341" spans="1:12" x14ac:dyDescent="0.3">
      <c r="A1341" t="s">
        <v>709</v>
      </c>
      <c r="B1341" t="s">
        <v>732</v>
      </c>
      <c r="C1341" t="s">
        <v>733</v>
      </c>
      <c r="D1341" t="s">
        <v>326</v>
      </c>
      <c r="E1341" t="s">
        <v>568</v>
      </c>
      <c r="F1341" t="s">
        <v>144</v>
      </c>
      <c r="G1341" t="s">
        <v>111</v>
      </c>
      <c r="H1341" t="s">
        <v>113</v>
      </c>
      <c r="I1341" t="s">
        <v>112</v>
      </c>
      <c r="J1341" t="s">
        <v>114</v>
      </c>
      <c r="K1341" t="s">
        <v>116</v>
      </c>
      <c r="L1341" t="s">
        <v>116</v>
      </c>
    </row>
    <row r="1342" spans="1:12" x14ac:dyDescent="0.3">
      <c r="A1342" t="s">
        <v>709</v>
      </c>
      <c r="B1342" t="s">
        <v>732</v>
      </c>
      <c r="C1342" t="s">
        <v>733</v>
      </c>
      <c r="D1342" t="s">
        <v>268</v>
      </c>
      <c r="E1342" t="s">
        <v>568</v>
      </c>
      <c r="F1342" t="s">
        <v>194</v>
      </c>
      <c r="G1342" t="s">
        <v>111</v>
      </c>
      <c r="H1342" t="s">
        <v>113</v>
      </c>
      <c r="I1342" t="s">
        <v>112</v>
      </c>
      <c r="J1342" t="s">
        <v>114</v>
      </c>
      <c r="K1342" t="s">
        <v>116</v>
      </c>
      <c r="L1342" t="s">
        <v>116</v>
      </c>
    </row>
    <row r="1343" spans="1:12" x14ac:dyDescent="0.3">
      <c r="A1343" t="s">
        <v>709</v>
      </c>
      <c r="B1343" t="s">
        <v>732</v>
      </c>
      <c r="C1343" t="s">
        <v>733</v>
      </c>
      <c r="D1343" t="s">
        <v>269</v>
      </c>
      <c r="E1343" t="s">
        <v>568</v>
      </c>
      <c r="F1343" t="s">
        <v>145</v>
      </c>
      <c r="G1343" t="s">
        <v>111</v>
      </c>
      <c r="H1343" t="s">
        <v>113</v>
      </c>
      <c r="I1343" t="s">
        <v>112</v>
      </c>
      <c r="J1343" t="s">
        <v>114</v>
      </c>
      <c r="K1343" t="s">
        <v>116</v>
      </c>
      <c r="L1343" t="s">
        <v>116</v>
      </c>
    </row>
    <row r="1344" spans="1:12" x14ac:dyDescent="0.3">
      <c r="A1344" t="s">
        <v>709</v>
      </c>
      <c r="B1344" t="s">
        <v>732</v>
      </c>
      <c r="C1344" t="s">
        <v>733</v>
      </c>
      <c r="D1344" t="s">
        <v>270</v>
      </c>
      <c r="E1344" t="s">
        <v>568</v>
      </c>
      <c r="F1344" t="s">
        <v>81</v>
      </c>
      <c r="G1344" t="s">
        <v>111</v>
      </c>
      <c r="H1344" t="s">
        <v>113</v>
      </c>
      <c r="I1344" t="s">
        <v>112</v>
      </c>
      <c r="J1344" t="s">
        <v>114</v>
      </c>
      <c r="K1344" t="s">
        <v>116</v>
      </c>
      <c r="L1344" t="s">
        <v>116</v>
      </c>
    </row>
    <row r="1345" spans="1:12" x14ac:dyDescent="0.3">
      <c r="A1345" t="s">
        <v>709</v>
      </c>
      <c r="B1345" t="s">
        <v>732</v>
      </c>
      <c r="C1345" t="s">
        <v>733</v>
      </c>
      <c r="D1345" t="s">
        <v>271</v>
      </c>
      <c r="E1345" t="s">
        <v>567</v>
      </c>
      <c r="F1345" t="s">
        <v>76</v>
      </c>
      <c r="G1345" t="s">
        <v>111</v>
      </c>
      <c r="H1345" t="s">
        <v>113</v>
      </c>
      <c r="I1345" t="s">
        <v>112</v>
      </c>
      <c r="J1345" t="s">
        <v>114</v>
      </c>
      <c r="K1345" t="s">
        <v>116</v>
      </c>
      <c r="L1345" t="s">
        <v>116</v>
      </c>
    </row>
    <row r="1346" spans="1:12" x14ac:dyDescent="0.3">
      <c r="A1346" t="s">
        <v>709</v>
      </c>
      <c r="B1346" t="s">
        <v>732</v>
      </c>
      <c r="C1346" t="s">
        <v>733</v>
      </c>
      <c r="D1346" t="s">
        <v>272</v>
      </c>
      <c r="E1346" t="s">
        <v>567</v>
      </c>
      <c r="F1346" t="s">
        <v>52</v>
      </c>
      <c r="G1346" t="s">
        <v>111</v>
      </c>
      <c r="H1346" t="s">
        <v>113</v>
      </c>
      <c r="I1346" t="s">
        <v>112</v>
      </c>
      <c r="J1346" t="s">
        <v>114</v>
      </c>
      <c r="K1346" t="s">
        <v>116</v>
      </c>
      <c r="L1346" t="s">
        <v>116</v>
      </c>
    </row>
    <row r="1347" spans="1:12" x14ac:dyDescent="0.3">
      <c r="A1347" t="s">
        <v>709</v>
      </c>
      <c r="B1347" t="s">
        <v>732</v>
      </c>
      <c r="C1347" t="s">
        <v>733</v>
      </c>
      <c r="D1347" t="s">
        <v>327</v>
      </c>
      <c r="E1347" t="s">
        <v>567</v>
      </c>
      <c r="F1347" t="s">
        <v>104</v>
      </c>
      <c r="G1347" t="s">
        <v>111</v>
      </c>
      <c r="H1347" t="s">
        <v>113</v>
      </c>
      <c r="I1347" t="s">
        <v>112</v>
      </c>
      <c r="J1347" t="s">
        <v>114</v>
      </c>
      <c r="K1347" t="s">
        <v>116</v>
      </c>
      <c r="L1347" t="s">
        <v>116</v>
      </c>
    </row>
    <row r="1348" spans="1:12" x14ac:dyDescent="0.3">
      <c r="A1348" t="s">
        <v>709</v>
      </c>
      <c r="B1348" t="s">
        <v>732</v>
      </c>
      <c r="C1348" t="s">
        <v>733</v>
      </c>
      <c r="D1348" t="s">
        <v>273</v>
      </c>
      <c r="E1348" t="s">
        <v>567</v>
      </c>
      <c r="F1348" t="s">
        <v>176</v>
      </c>
      <c r="G1348" t="s">
        <v>111</v>
      </c>
      <c r="H1348" t="s">
        <v>113</v>
      </c>
      <c r="I1348" t="s">
        <v>112</v>
      </c>
      <c r="J1348" t="s">
        <v>114</v>
      </c>
      <c r="K1348" t="s">
        <v>116</v>
      </c>
      <c r="L1348" t="s">
        <v>116</v>
      </c>
    </row>
    <row r="1349" spans="1:12" x14ac:dyDescent="0.3">
      <c r="A1349" t="s">
        <v>709</v>
      </c>
      <c r="B1349" t="s">
        <v>732</v>
      </c>
      <c r="C1349" t="s">
        <v>733</v>
      </c>
      <c r="D1349" t="s">
        <v>274</v>
      </c>
      <c r="E1349" t="s">
        <v>567</v>
      </c>
      <c r="F1349" t="s">
        <v>146</v>
      </c>
      <c r="G1349" t="s">
        <v>111</v>
      </c>
      <c r="H1349" t="s">
        <v>113</v>
      </c>
      <c r="I1349" t="s">
        <v>112</v>
      </c>
      <c r="J1349" t="s">
        <v>114</v>
      </c>
      <c r="K1349" t="s">
        <v>116</v>
      </c>
      <c r="L1349" t="s">
        <v>116</v>
      </c>
    </row>
    <row r="1350" spans="1:12" x14ac:dyDescent="0.3">
      <c r="A1350" t="s">
        <v>709</v>
      </c>
      <c r="B1350" t="s">
        <v>732</v>
      </c>
      <c r="C1350" t="s">
        <v>733</v>
      </c>
      <c r="D1350" t="s">
        <v>275</v>
      </c>
      <c r="E1350" t="s">
        <v>567</v>
      </c>
      <c r="F1350" t="s">
        <v>148</v>
      </c>
      <c r="G1350" t="s">
        <v>111</v>
      </c>
      <c r="H1350" t="s">
        <v>113</v>
      </c>
      <c r="I1350" t="s">
        <v>112</v>
      </c>
      <c r="J1350" t="s">
        <v>114</v>
      </c>
      <c r="K1350" t="s">
        <v>116</v>
      </c>
      <c r="L1350" t="s">
        <v>116</v>
      </c>
    </row>
    <row r="1351" spans="1:12" x14ac:dyDescent="0.3">
      <c r="A1351" t="s">
        <v>709</v>
      </c>
      <c r="B1351" t="s">
        <v>732</v>
      </c>
      <c r="C1351" t="s">
        <v>733</v>
      </c>
      <c r="D1351" t="s">
        <v>276</v>
      </c>
      <c r="E1351" t="s">
        <v>567</v>
      </c>
      <c r="F1351" t="s">
        <v>149</v>
      </c>
      <c r="G1351" t="s">
        <v>111</v>
      </c>
      <c r="H1351" t="s">
        <v>113</v>
      </c>
      <c r="I1351" t="s">
        <v>112</v>
      </c>
      <c r="J1351" t="s">
        <v>114</v>
      </c>
      <c r="K1351" t="s">
        <v>116</v>
      </c>
      <c r="L1351" t="s">
        <v>116</v>
      </c>
    </row>
    <row r="1352" spans="1:12" x14ac:dyDescent="0.3">
      <c r="A1352" t="s">
        <v>709</v>
      </c>
      <c r="B1352" t="s">
        <v>732</v>
      </c>
      <c r="C1352" t="s">
        <v>733</v>
      </c>
      <c r="D1352" t="s">
        <v>277</v>
      </c>
      <c r="E1352" t="s">
        <v>567</v>
      </c>
      <c r="F1352" t="s">
        <v>83</v>
      </c>
      <c r="G1352" t="s">
        <v>111</v>
      </c>
      <c r="H1352" t="s">
        <v>113</v>
      </c>
      <c r="I1352" t="s">
        <v>112</v>
      </c>
      <c r="J1352" t="s">
        <v>114</v>
      </c>
      <c r="K1352" t="s">
        <v>116</v>
      </c>
      <c r="L1352" t="s">
        <v>116</v>
      </c>
    </row>
    <row r="1353" spans="1:12" x14ac:dyDescent="0.3">
      <c r="A1353" t="s">
        <v>709</v>
      </c>
      <c r="B1353" t="s">
        <v>732</v>
      </c>
      <c r="C1353" t="s">
        <v>733</v>
      </c>
      <c r="D1353" t="s">
        <v>278</v>
      </c>
      <c r="E1353" t="s">
        <v>567</v>
      </c>
      <c r="F1353" t="s">
        <v>203</v>
      </c>
      <c r="G1353" t="s">
        <v>111</v>
      </c>
      <c r="H1353" t="s">
        <v>113</v>
      </c>
      <c r="I1353" t="s">
        <v>112</v>
      </c>
      <c r="J1353" t="s">
        <v>114</v>
      </c>
      <c r="K1353" t="s">
        <v>116</v>
      </c>
      <c r="L1353" t="s">
        <v>116</v>
      </c>
    </row>
    <row r="1354" spans="1:12" x14ac:dyDescent="0.3">
      <c r="A1354" t="s">
        <v>709</v>
      </c>
      <c r="B1354" t="s">
        <v>732</v>
      </c>
      <c r="C1354" t="s">
        <v>733</v>
      </c>
      <c r="D1354" t="s">
        <v>279</v>
      </c>
      <c r="E1354" t="s">
        <v>567</v>
      </c>
      <c r="F1354" t="s">
        <v>150</v>
      </c>
      <c r="G1354" t="s">
        <v>111</v>
      </c>
      <c r="H1354" t="s">
        <v>113</v>
      </c>
      <c r="I1354" t="s">
        <v>112</v>
      </c>
      <c r="J1354" t="s">
        <v>114</v>
      </c>
      <c r="K1354" t="s">
        <v>116</v>
      </c>
      <c r="L1354" t="s">
        <v>116</v>
      </c>
    </row>
    <row r="1355" spans="1:12" x14ac:dyDescent="0.3">
      <c r="A1355" t="s">
        <v>709</v>
      </c>
      <c r="B1355" t="s">
        <v>732</v>
      </c>
      <c r="C1355" t="s">
        <v>733</v>
      </c>
      <c r="D1355" t="s">
        <v>280</v>
      </c>
      <c r="E1355" t="s">
        <v>567</v>
      </c>
      <c r="F1355" t="s">
        <v>71</v>
      </c>
      <c r="G1355" t="s">
        <v>111</v>
      </c>
      <c r="H1355" t="s">
        <v>113</v>
      </c>
      <c r="I1355" t="s">
        <v>112</v>
      </c>
      <c r="J1355" t="s">
        <v>114</v>
      </c>
      <c r="K1355" t="s">
        <v>116</v>
      </c>
      <c r="L1355" t="s">
        <v>116</v>
      </c>
    </row>
    <row r="1356" spans="1:12" x14ac:dyDescent="0.3">
      <c r="A1356" t="s">
        <v>709</v>
      </c>
      <c r="B1356" t="s">
        <v>732</v>
      </c>
      <c r="C1356" t="s">
        <v>733</v>
      </c>
      <c r="D1356" t="s">
        <v>282</v>
      </c>
      <c r="E1356" t="s">
        <v>567</v>
      </c>
      <c r="F1356" t="s">
        <v>90</v>
      </c>
      <c r="G1356" t="s">
        <v>111</v>
      </c>
      <c r="H1356" t="s">
        <v>113</v>
      </c>
      <c r="I1356" t="s">
        <v>112</v>
      </c>
      <c r="J1356" t="s">
        <v>114</v>
      </c>
      <c r="K1356" t="s">
        <v>116</v>
      </c>
      <c r="L1356" t="s">
        <v>116</v>
      </c>
    </row>
    <row r="1357" spans="1:12" x14ac:dyDescent="0.3">
      <c r="A1357" t="s">
        <v>709</v>
      </c>
      <c r="B1357" t="s">
        <v>732</v>
      </c>
      <c r="C1357" t="s">
        <v>733</v>
      </c>
      <c r="D1357" t="s">
        <v>329</v>
      </c>
      <c r="E1357" t="s">
        <v>567</v>
      </c>
      <c r="F1357" t="s">
        <v>92</v>
      </c>
      <c r="G1357" t="s">
        <v>111</v>
      </c>
      <c r="H1357" t="s">
        <v>113</v>
      </c>
      <c r="I1357" t="s">
        <v>112</v>
      </c>
      <c r="J1357" t="s">
        <v>114</v>
      </c>
      <c r="K1357" t="s">
        <v>116</v>
      </c>
      <c r="L1357" t="s">
        <v>116</v>
      </c>
    </row>
    <row r="1358" spans="1:12" x14ac:dyDescent="0.3">
      <c r="A1358" t="s">
        <v>709</v>
      </c>
      <c r="B1358" t="s">
        <v>732</v>
      </c>
      <c r="C1358" t="s">
        <v>733</v>
      </c>
      <c r="D1358" t="s">
        <v>283</v>
      </c>
      <c r="E1358" t="s">
        <v>567</v>
      </c>
      <c r="F1358" t="s">
        <v>63</v>
      </c>
      <c r="G1358" t="s">
        <v>111</v>
      </c>
      <c r="H1358" t="s">
        <v>113</v>
      </c>
      <c r="I1358" t="s">
        <v>112</v>
      </c>
      <c r="J1358" t="s">
        <v>114</v>
      </c>
      <c r="K1358" t="s">
        <v>116</v>
      </c>
      <c r="L1358" t="s">
        <v>116</v>
      </c>
    </row>
    <row r="1359" spans="1:12" x14ac:dyDescent="0.3">
      <c r="A1359" t="s">
        <v>709</v>
      </c>
      <c r="B1359" t="s">
        <v>732</v>
      </c>
      <c r="C1359" t="s">
        <v>733</v>
      </c>
      <c r="D1359" t="s">
        <v>284</v>
      </c>
      <c r="E1359" t="s">
        <v>567</v>
      </c>
      <c r="F1359" t="s">
        <v>151</v>
      </c>
      <c r="G1359" t="s">
        <v>111</v>
      </c>
      <c r="H1359" t="s">
        <v>113</v>
      </c>
      <c r="I1359" t="s">
        <v>112</v>
      </c>
      <c r="J1359" t="s">
        <v>114</v>
      </c>
      <c r="K1359" t="s">
        <v>116</v>
      </c>
      <c r="L1359" t="s">
        <v>116</v>
      </c>
    </row>
    <row r="1360" spans="1:12" x14ac:dyDescent="0.3">
      <c r="A1360" t="s">
        <v>709</v>
      </c>
      <c r="B1360" t="s">
        <v>732</v>
      </c>
      <c r="C1360" t="s">
        <v>733</v>
      </c>
      <c r="D1360" t="s">
        <v>285</v>
      </c>
      <c r="E1360" t="s">
        <v>567</v>
      </c>
      <c r="F1360" t="s">
        <v>195</v>
      </c>
      <c r="G1360" t="s">
        <v>111</v>
      </c>
      <c r="H1360" t="s">
        <v>113</v>
      </c>
      <c r="I1360" t="s">
        <v>112</v>
      </c>
      <c r="J1360" t="s">
        <v>114</v>
      </c>
      <c r="K1360" t="s">
        <v>116</v>
      </c>
      <c r="L1360" t="s">
        <v>116</v>
      </c>
    </row>
    <row r="1361" spans="1:12" x14ac:dyDescent="0.3">
      <c r="A1361" t="s">
        <v>709</v>
      </c>
      <c r="B1361" t="s">
        <v>732</v>
      </c>
      <c r="C1361" t="s">
        <v>733</v>
      </c>
      <c r="D1361" t="s">
        <v>330</v>
      </c>
      <c r="E1361" t="s">
        <v>567</v>
      </c>
      <c r="F1361" t="s">
        <v>177</v>
      </c>
      <c r="G1361" t="s">
        <v>111</v>
      </c>
      <c r="H1361" t="s">
        <v>147</v>
      </c>
      <c r="I1361" t="s">
        <v>112</v>
      </c>
      <c r="J1361" t="s">
        <v>119</v>
      </c>
      <c r="K1361" t="s">
        <v>1771</v>
      </c>
      <c r="L1361" t="s">
        <v>1771</v>
      </c>
    </row>
    <row r="1362" spans="1:12" x14ac:dyDescent="0.3">
      <c r="A1362" t="s">
        <v>709</v>
      </c>
      <c r="B1362" t="s">
        <v>732</v>
      </c>
      <c r="C1362" t="s">
        <v>733</v>
      </c>
      <c r="D1362" t="s">
        <v>288</v>
      </c>
      <c r="E1362" t="s">
        <v>567</v>
      </c>
      <c r="F1362" t="s">
        <v>178</v>
      </c>
      <c r="G1362" t="s">
        <v>111</v>
      </c>
      <c r="H1362" t="s">
        <v>113</v>
      </c>
      <c r="I1362" t="s">
        <v>112</v>
      </c>
      <c r="J1362" t="s">
        <v>114</v>
      </c>
      <c r="K1362" t="s">
        <v>116</v>
      </c>
      <c r="L1362" t="s">
        <v>116</v>
      </c>
    </row>
    <row r="1363" spans="1:12" x14ac:dyDescent="0.3">
      <c r="A1363" t="s">
        <v>709</v>
      </c>
      <c r="B1363" t="s">
        <v>732</v>
      </c>
      <c r="C1363" t="s">
        <v>733</v>
      </c>
      <c r="D1363" t="s">
        <v>289</v>
      </c>
      <c r="E1363" t="s">
        <v>567</v>
      </c>
      <c r="F1363" t="s">
        <v>179</v>
      </c>
      <c r="G1363" t="s">
        <v>111</v>
      </c>
      <c r="H1363" t="s">
        <v>113</v>
      </c>
      <c r="I1363" t="s">
        <v>112</v>
      </c>
      <c r="J1363" t="s">
        <v>114</v>
      </c>
      <c r="K1363" t="s">
        <v>116</v>
      </c>
      <c r="L1363" t="s">
        <v>116</v>
      </c>
    </row>
    <row r="1364" spans="1:12" x14ac:dyDescent="0.3">
      <c r="A1364" t="s">
        <v>709</v>
      </c>
      <c r="B1364" t="s">
        <v>732</v>
      </c>
      <c r="C1364" t="s">
        <v>733</v>
      </c>
      <c r="D1364" t="s">
        <v>290</v>
      </c>
      <c r="E1364" t="s">
        <v>567</v>
      </c>
      <c r="F1364" t="s">
        <v>153</v>
      </c>
      <c r="G1364" t="s">
        <v>111</v>
      </c>
      <c r="H1364" t="s">
        <v>113</v>
      </c>
      <c r="I1364" t="s">
        <v>112</v>
      </c>
      <c r="J1364" t="s">
        <v>114</v>
      </c>
      <c r="K1364" t="s">
        <v>116</v>
      </c>
      <c r="L1364" t="s">
        <v>116</v>
      </c>
    </row>
    <row r="1365" spans="1:12" x14ac:dyDescent="0.3">
      <c r="A1365" t="s">
        <v>709</v>
      </c>
      <c r="B1365" t="s">
        <v>732</v>
      </c>
      <c r="C1365" t="s">
        <v>733</v>
      </c>
      <c r="D1365" t="s">
        <v>291</v>
      </c>
      <c r="E1365" t="s">
        <v>567</v>
      </c>
      <c r="F1365" t="s">
        <v>154</v>
      </c>
      <c r="G1365" t="s">
        <v>111</v>
      </c>
      <c r="H1365" t="s">
        <v>113</v>
      </c>
      <c r="I1365" t="s">
        <v>112</v>
      </c>
      <c r="J1365" t="s">
        <v>114</v>
      </c>
      <c r="K1365" t="s">
        <v>116</v>
      </c>
      <c r="L1365" t="s">
        <v>116</v>
      </c>
    </row>
    <row r="1366" spans="1:12" x14ac:dyDescent="0.3">
      <c r="A1366" t="s">
        <v>709</v>
      </c>
      <c r="B1366" t="s">
        <v>732</v>
      </c>
      <c r="C1366" t="s">
        <v>733</v>
      </c>
      <c r="D1366" t="s">
        <v>292</v>
      </c>
      <c r="E1366" t="s">
        <v>567</v>
      </c>
      <c r="F1366" t="s">
        <v>55</v>
      </c>
      <c r="G1366" t="s">
        <v>111</v>
      </c>
      <c r="H1366" t="s">
        <v>113</v>
      </c>
      <c r="I1366" t="s">
        <v>112</v>
      </c>
      <c r="J1366" t="s">
        <v>114</v>
      </c>
      <c r="K1366" t="s">
        <v>116</v>
      </c>
      <c r="L1366" t="s">
        <v>116</v>
      </c>
    </row>
    <row r="1367" spans="1:12" x14ac:dyDescent="0.3">
      <c r="A1367" t="s">
        <v>709</v>
      </c>
      <c r="B1367" t="s">
        <v>732</v>
      </c>
      <c r="C1367" t="s">
        <v>733</v>
      </c>
      <c r="D1367" t="s">
        <v>334</v>
      </c>
      <c r="E1367" t="s">
        <v>567</v>
      </c>
      <c r="F1367" t="s">
        <v>155</v>
      </c>
      <c r="G1367" t="s">
        <v>111</v>
      </c>
      <c r="H1367" t="s">
        <v>113</v>
      </c>
      <c r="I1367" t="s">
        <v>112</v>
      </c>
      <c r="J1367" t="s">
        <v>114</v>
      </c>
      <c r="K1367" t="s">
        <v>116</v>
      </c>
      <c r="L1367" t="s">
        <v>116</v>
      </c>
    </row>
    <row r="1368" spans="1:12" x14ac:dyDescent="0.3">
      <c r="A1368" t="s">
        <v>709</v>
      </c>
      <c r="B1368" t="s">
        <v>732</v>
      </c>
      <c r="C1368" t="s">
        <v>733</v>
      </c>
      <c r="D1368" t="s">
        <v>295</v>
      </c>
      <c r="E1368" t="s">
        <v>567</v>
      </c>
      <c r="F1368" t="s">
        <v>103</v>
      </c>
      <c r="G1368" t="s">
        <v>111</v>
      </c>
      <c r="H1368" t="s">
        <v>113</v>
      </c>
      <c r="I1368" t="s">
        <v>112</v>
      </c>
      <c r="J1368" t="s">
        <v>114</v>
      </c>
      <c r="K1368" t="s">
        <v>116</v>
      </c>
      <c r="L1368" t="s">
        <v>116</v>
      </c>
    </row>
    <row r="1369" spans="1:12" x14ac:dyDescent="0.3">
      <c r="A1369" t="s">
        <v>709</v>
      </c>
      <c r="B1369" t="s">
        <v>732</v>
      </c>
      <c r="C1369" t="s">
        <v>733</v>
      </c>
      <c r="D1369" t="s">
        <v>337</v>
      </c>
      <c r="E1369" t="s">
        <v>567</v>
      </c>
      <c r="F1369" t="s">
        <v>157</v>
      </c>
      <c r="G1369" t="s">
        <v>111</v>
      </c>
      <c r="H1369" t="s">
        <v>113</v>
      </c>
      <c r="I1369" t="s">
        <v>112</v>
      </c>
      <c r="J1369" t="s">
        <v>114</v>
      </c>
      <c r="K1369" t="s">
        <v>116</v>
      </c>
      <c r="L1369" t="s">
        <v>116</v>
      </c>
    </row>
    <row r="1370" spans="1:12" x14ac:dyDescent="0.3">
      <c r="A1370" t="s">
        <v>709</v>
      </c>
      <c r="B1370" t="s">
        <v>732</v>
      </c>
      <c r="C1370" t="s">
        <v>733</v>
      </c>
      <c r="D1370" t="s">
        <v>296</v>
      </c>
      <c r="E1370" t="s">
        <v>567</v>
      </c>
      <c r="F1370" t="s">
        <v>198</v>
      </c>
      <c r="G1370" t="s">
        <v>111</v>
      </c>
      <c r="H1370" t="s">
        <v>113</v>
      </c>
      <c r="I1370" t="s">
        <v>112</v>
      </c>
      <c r="J1370" t="s">
        <v>114</v>
      </c>
      <c r="K1370" t="s">
        <v>116</v>
      </c>
      <c r="L1370" t="s">
        <v>116</v>
      </c>
    </row>
    <row r="1371" spans="1:12" x14ac:dyDescent="0.3">
      <c r="A1371" t="s">
        <v>709</v>
      </c>
      <c r="B1371" t="s">
        <v>732</v>
      </c>
      <c r="C1371" t="s">
        <v>733</v>
      </c>
      <c r="D1371" t="s">
        <v>297</v>
      </c>
      <c r="E1371" t="s">
        <v>567</v>
      </c>
      <c r="F1371" t="s">
        <v>180</v>
      </c>
      <c r="G1371" t="s">
        <v>111</v>
      </c>
      <c r="H1371" t="s">
        <v>113</v>
      </c>
      <c r="I1371" t="s">
        <v>112</v>
      </c>
      <c r="J1371" t="s">
        <v>114</v>
      </c>
      <c r="K1371" t="s">
        <v>116</v>
      </c>
      <c r="L1371" t="s">
        <v>116</v>
      </c>
    </row>
    <row r="1372" spans="1:12" x14ac:dyDescent="0.3">
      <c r="A1372" t="s">
        <v>709</v>
      </c>
      <c r="B1372" t="s">
        <v>732</v>
      </c>
      <c r="C1372" t="s">
        <v>733</v>
      </c>
      <c r="D1372" t="s">
        <v>298</v>
      </c>
      <c r="E1372" t="s">
        <v>567</v>
      </c>
      <c r="F1372" t="s">
        <v>158</v>
      </c>
      <c r="G1372" t="s">
        <v>111</v>
      </c>
      <c r="H1372" t="s">
        <v>113</v>
      </c>
      <c r="I1372" t="s">
        <v>112</v>
      </c>
      <c r="J1372" t="s">
        <v>114</v>
      </c>
      <c r="K1372" t="s">
        <v>116</v>
      </c>
      <c r="L1372" t="s">
        <v>116</v>
      </c>
    </row>
    <row r="1373" spans="1:12" x14ac:dyDescent="0.3">
      <c r="A1373" t="s">
        <v>709</v>
      </c>
      <c r="B1373" t="s">
        <v>732</v>
      </c>
      <c r="C1373" t="s">
        <v>733</v>
      </c>
      <c r="D1373" t="s">
        <v>336</v>
      </c>
      <c r="E1373" t="s">
        <v>567</v>
      </c>
      <c r="F1373" t="s">
        <v>159</v>
      </c>
      <c r="G1373" t="s">
        <v>111</v>
      </c>
      <c r="H1373" t="s">
        <v>113</v>
      </c>
      <c r="I1373" t="s">
        <v>112</v>
      </c>
      <c r="J1373" t="s">
        <v>114</v>
      </c>
      <c r="K1373" t="s">
        <v>116</v>
      </c>
      <c r="L1373" t="s">
        <v>116</v>
      </c>
    </row>
    <row r="1374" spans="1:12" x14ac:dyDescent="0.3">
      <c r="A1374" t="s">
        <v>709</v>
      </c>
      <c r="B1374" t="s">
        <v>732</v>
      </c>
      <c r="C1374" t="s">
        <v>733</v>
      </c>
      <c r="D1374" t="s">
        <v>299</v>
      </c>
      <c r="E1374" t="s">
        <v>567</v>
      </c>
      <c r="F1374" t="s">
        <v>47</v>
      </c>
      <c r="G1374" t="s">
        <v>111</v>
      </c>
      <c r="H1374" t="s">
        <v>113</v>
      </c>
      <c r="I1374" t="s">
        <v>112</v>
      </c>
      <c r="J1374" t="s">
        <v>114</v>
      </c>
      <c r="K1374" t="s">
        <v>116</v>
      </c>
      <c r="L1374" t="s">
        <v>116</v>
      </c>
    </row>
    <row r="1375" spans="1:12" x14ac:dyDescent="0.3">
      <c r="A1375" t="s">
        <v>709</v>
      </c>
      <c r="B1375" t="s">
        <v>732</v>
      </c>
      <c r="C1375" t="s">
        <v>733</v>
      </c>
      <c r="D1375" t="s">
        <v>300</v>
      </c>
      <c r="E1375" t="s">
        <v>567</v>
      </c>
      <c r="F1375" t="s">
        <v>181</v>
      </c>
      <c r="G1375" t="s">
        <v>111</v>
      </c>
      <c r="H1375" t="s">
        <v>113</v>
      </c>
      <c r="I1375" t="s">
        <v>112</v>
      </c>
      <c r="J1375" t="s">
        <v>114</v>
      </c>
      <c r="K1375" t="s">
        <v>116</v>
      </c>
      <c r="L1375" t="s">
        <v>116</v>
      </c>
    </row>
    <row r="1376" spans="1:12" x14ac:dyDescent="0.3">
      <c r="A1376" t="s">
        <v>709</v>
      </c>
      <c r="B1376" t="s">
        <v>732</v>
      </c>
      <c r="C1376" t="s">
        <v>733</v>
      </c>
      <c r="D1376" t="s">
        <v>208</v>
      </c>
      <c r="E1376" t="s">
        <v>567</v>
      </c>
      <c r="F1376" t="s">
        <v>161</v>
      </c>
      <c r="G1376" t="s">
        <v>111</v>
      </c>
      <c r="H1376" t="s">
        <v>113</v>
      </c>
      <c r="I1376" t="s">
        <v>112</v>
      </c>
      <c r="J1376" t="s">
        <v>114</v>
      </c>
      <c r="K1376" t="s">
        <v>116</v>
      </c>
      <c r="L1376" t="s">
        <v>116</v>
      </c>
    </row>
    <row r="1377" spans="1:12" x14ac:dyDescent="0.3">
      <c r="A1377" t="s">
        <v>709</v>
      </c>
      <c r="B1377" t="s">
        <v>1501</v>
      </c>
      <c r="C1377" t="s">
        <v>566</v>
      </c>
      <c r="D1377" t="s">
        <v>209</v>
      </c>
      <c r="E1377" t="s">
        <v>569</v>
      </c>
      <c r="F1377" t="s">
        <v>115</v>
      </c>
      <c r="G1377" t="s">
        <v>111</v>
      </c>
      <c r="H1377" t="s">
        <v>118</v>
      </c>
      <c r="I1377" t="s">
        <v>112</v>
      </c>
      <c r="J1377" t="s">
        <v>119</v>
      </c>
      <c r="K1377" t="s">
        <v>116</v>
      </c>
      <c r="L1377" t="s">
        <v>116</v>
      </c>
    </row>
    <row r="1378" spans="1:12" x14ac:dyDescent="0.3">
      <c r="A1378" t="s">
        <v>709</v>
      </c>
      <c r="B1378" t="s">
        <v>1501</v>
      </c>
      <c r="C1378" t="s">
        <v>566</v>
      </c>
      <c r="D1378" t="s">
        <v>304</v>
      </c>
      <c r="E1378" t="s">
        <v>569</v>
      </c>
      <c r="F1378" t="s">
        <v>117</v>
      </c>
      <c r="G1378" t="s">
        <v>111</v>
      </c>
      <c r="H1378" t="s">
        <v>113</v>
      </c>
      <c r="I1378" t="s">
        <v>112</v>
      </c>
      <c r="J1378" t="s">
        <v>114</v>
      </c>
      <c r="K1378" t="s">
        <v>116</v>
      </c>
      <c r="L1378" t="s">
        <v>116</v>
      </c>
    </row>
    <row r="1379" spans="1:12" x14ac:dyDescent="0.3">
      <c r="A1379" t="s">
        <v>709</v>
      </c>
      <c r="B1379" t="s">
        <v>1501</v>
      </c>
      <c r="C1379" t="s">
        <v>566</v>
      </c>
      <c r="D1379" t="s">
        <v>211</v>
      </c>
      <c r="E1379" t="s">
        <v>569</v>
      </c>
      <c r="F1379" t="s">
        <v>188</v>
      </c>
      <c r="G1379" t="s">
        <v>111</v>
      </c>
      <c r="H1379" t="s">
        <v>113</v>
      </c>
      <c r="I1379" t="s">
        <v>112</v>
      </c>
      <c r="J1379" t="s">
        <v>114</v>
      </c>
      <c r="K1379" t="s">
        <v>116</v>
      </c>
      <c r="L1379" t="s">
        <v>116</v>
      </c>
    </row>
    <row r="1380" spans="1:12" x14ac:dyDescent="0.3">
      <c r="A1380" t="s">
        <v>709</v>
      </c>
      <c r="B1380" t="s">
        <v>1501</v>
      </c>
      <c r="C1380" t="s">
        <v>566</v>
      </c>
      <c r="D1380" t="s">
        <v>305</v>
      </c>
      <c r="E1380" t="s">
        <v>569</v>
      </c>
      <c r="F1380" t="s">
        <v>120</v>
      </c>
      <c r="G1380" t="s">
        <v>111</v>
      </c>
      <c r="H1380" t="s">
        <v>113</v>
      </c>
      <c r="I1380" t="s">
        <v>112</v>
      </c>
      <c r="J1380" t="s">
        <v>114</v>
      </c>
      <c r="K1380" t="s">
        <v>116</v>
      </c>
      <c r="L1380" t="s">
        <v>116</v>
      </c>
    </row>
    <row r="1381" spans="1:12" x14ac:dyDescent="0.3">
      <c r="A1381" t="s">
        <v>709</v>
      </c>
      <c r="B1381" t="s">
        <v>1501</v>
      </c>
      <c r="C1381" t="s">
        <v>566</v>
      </c>
      <c r="D1381" t="s">
        <v>213</v>
      </c>
      <c r="E1381" t="s">
        <v>569</v>
      </c>
      <c r="F1381" t="s">
        <v>53</v>
      </c>
      <c r="G1381" t="s">
        <v>111</v>
      </c>
      <c r="H1381" t="s">
        <v>113</v>
      </c>
      <c r="I1381" t="s">
        <v>112</v>
      </c>
      <c r="J1381" t="s">
        <v>114</v>
      </c>
      <c r="K1381" t="s">
        <v>116</v>
      </c>
      <c r="L1381" t="s">
        <v>116</v>
      </c>
    </row>
    <row r="1382" spans="1:12" x14ac:dyDescent="0.3">
      <c r="A1382" t="s">
        <v>709</v>
      </c>
      <c r="B1382" t="s">
        <v>1501</v>
      </c>
      <c r="C1382" t="s">
        <v>566</v>
      </c>
      <c r="D1382" t="s">
        <v>214</v>
      </c>
      <c r="E1382" t="s">
        <v>569</v>
      </c>
      <c r="F1382" t="s">
        <v>56</v>
      </c>
      <c r="G1382" t="s">
        <v>111</v>
      </c>
      <c r="H1382" t="s">
        <v>113</v>
      </c>
      <c r="I1382" t="s">
        <v>112</v>
      </c>
      <c r="J1382" t="s">
        <v>114</v>
      </c>
      <c r="K1382" t="s">
        <v>116</v>
      </c>
      <c r="L1382" t="s">
        <v>116</v>
      </c>
    </row>
    <row r="1383" spans="1:12" x14ac:dyDescent="0.3">
      <c r="A1383" t="s">
        <v>709</v>
      </c>
      <c r="B1383" t="s">
        <v>1501</v>
      </c>
      <c r="C1383" t="s">
        <v>566</v>
      </c>
      <c r="D1383" t="s">
        <v>215</v>
      </c>
      <c r="E1383" t="s">
        <v>569</v>
      </c>
      <c r="F1383" t="s">
        <v>69</v>
      </c>
      <c r="G1383" t="s">
        <v>111</v>
      </c>
      <c r="H1383" t="s">
        <v>113</v>
      </c>
      <c r="I1383" t="s">
        <v>112</v>
      </c>
      <c r="J1383" t="s">
        <v>114</v>
      </c>
      <c r="K1383" t="s">
        <v>116</v>
      </c>
      <c r="L1383" t="s">
        <v>116</v>
      </c>
    </row>
    <row r="1384" spans="1:12" x14ac:dyDescent="0.3">
      <c r="A1384" t="s">
        <v>709</v>
      </c>
      <c r="B1384" t="s">
        <v>1501</v>
      </c>
      <c r="C1384" t="s">
        <v>566</v>
      </c>
      <c r="D1384" t="s">
        <v>306</v>
      </c>
      <c r="E1384" t="s">
        <v>569</v>
      </c>
      <c r="F1384" t="s">
        <v>165</v>
      </c>
      <c r="G1384" t="s">
        <v>111</v>
      </c>
      <c r="H1384" t="s">
        <v>113</v>
      </c>
      <c r="I1384" t="s">
        <v>112</v>
      </c>
      <c r="J1384" t="s">
        <v>114</v>
      </c>
      <c r="K1384" t="s">
        <v>116</v>
      </c>
      <c r="L1384" t="s">
        <v>116</v>
      </c>
    </row>
    <row r="1385" spans="1:12" x14ac:dyDescent="0.3">
      <c r="A1385" t="s">
        <v>709</v>
      </c>
      <c r="B1385" t="s">
        <v>1501</v>
      </c>
      <c r="C1385" t="s">
        <v>566</v>
      </c>
      <c r="D1385" t="s">
        <v>218</v>
      </c>
      <c r="E1385" t="s">
        <v>569</v>
      </c>
      <c r="F1385" t="s">
        <v>166</v>
      </c>
      <c r="G1385" t="s">
        <v>111</v>
      </c>
      <c r="H1385" t="s">
        <v>113</v>
      </c>
      <c r="I1385" t="s">
        <v>112</v>
      </c>
      <c r="J1385" t="s">
        <v>114</v>
      </c>
      <c r="K1385" t="s">
        <v>116</v>
      </c>
      <c r="L1385" t="s">
        <v>116</v>
      </c>
    </row>
    <row r="1386" spans="1:12" x14ac:dyDescent="0.3">
      <c r="A1386" t="s">
        <v>709</v>
      </c>
      <c r="B1386" t="s">
        <v>1501</v>
      </c>
      <c r="C1386" t="s">
        <v>566</v>
      </c>
      <c r="D1386" t="s">
        <v>307</v>
      </c>
      <c r="E1386" t="s">
        <v>569</v>
      </c>
      <c r="F1386" t="s">
        <v>123</v>
      </c>
      <c r="G1386" t="s">
        <v>111</v>
      </c>
      <c r="H1386" t="s">
        <v>113</v>
      </c>
      <c r="I1386" t="s">
        <v>112</v>
      </c>
      <c r="J1386" t="s">
        <v>114</v>
      </c>
      <c r="K1386" t="s">
        <v>116</v>
      </c>
      <c r="L1386" t="s">
        <v>116</v>
      </c>
    </row>
    <row r="1387" spans="1:12" x14ac:dyDescent="0.3">
      <c r="A1387" t="s">
        <v>709</v>
      </c>
      <c r="B1387" t="s">
        <v>1501</v>
      </c>
      <c r="C1387" t="s">
        <v>566</v>
      </c>
      <c r="D1387" t="s">
        <v>219</v>
      </c>
      <c r="E1387" t="s">
        <v>569</v>
      </c>
      <c r="F1387" t="s">
        <v>189</v>
      </c>
      <c r="G1387" t="s">
        <v>111</v>
      </c>
      <c r="H1387" t="s">
        <v>113</v>
      </c>
      <c r="I1387" t="s">
        <v>112</v>
      </c>
      <c r="J1387" t="s">
        <v>114</v>
      </c>
      <c r="K1387" t="s">
        <v>116</v>
      </c>
      <c r="L1387" t="s">
        <v>116</v>
      </c>
    </row>
    <row r="1388" spans="1:12" x14ac:dyDescent="0.3">
      <c r="A1388" t="s">
        <v>709</v>
      </c>
      <c r="B1388" t="s">
        <v>1501</v>
      </c>
      <c r="C1388" t="s">
        <v>566</v>
      </c>
      <c r="D1388" t="s">
        <v>220</v>
      </c>
      <c r="E1388" t="s">
        <v>569</v>
      </c>
      <c r="F1388" t="s">
        <v>54</v>
      </c>
      <c r="G1388" t="s">
        <v>111</v>
      </c>
      <c r="H1388" t="s">
        <v>113</v>
      </c>
      <c r="I1388" t="s">
        <v>112</v>
      </c>
      <c r="J1388" t="s">
        <v>114</v>
      </c>
      <c r="K1388" t="s">
        <v>1772</v>
      </c>
      <c r="L1388" t="s">
        <v>1772</v>
      </c>
    </row>
    <row r="1389" spans="1:12" x14ac:dyDescent="0.3">
      <c r="A1389" t="s">
        <v>709</v>
      </c>
      <c r="B1389" t="s">
        <v>1501</v>
      </c>
      <c r="C1389" t="s">
        <v>566</v>
      </c>
      <c r="D1389" t="s">
        <v>221</v>
      </c>
      <c r="E1389" t="s">
        <v>569</v>
      </c>
      <c r="F1389" t="s">
        <v>45</v>
      </c>
      <c r="G1389" t="s">
        <v>111</v>
      </c>
      <c r="H1389" t="s">
        <v>113</v>
      </c>
      <c r="I1389" t="s">
        <v>112</v>
      </c>
      <c r="J1389" t="s">
        <v>114</v>
      </c>
      <c r="K1389" t="s">
        <v>116</v>
      </c>
      <c r="L1389" t="s">
        <v>116</v>
      </c>
    </row>
    <row r="1390" spans="1:12" x14ac:dyDescent="0.3">
      <c r="A1390" t="s">
        <v>709</v>
      </c>
      <c r="B1390" t="s">
        <v>1501</v>
      </c>
      <c r="C1390" t="s">
        <v>566</v>
      </c>
      <c r="D1390" t="s">
        <v>223</v>
      </c>
      <c r="E1390" t="s">
        <v>569</v>
      </c>
      <c r="F1390" t="s">
        <v>65</v>
      </c>
      <c r="G1390" t="s">
        <v>111</v>
      </c>
      <c r="H1390" t="s">
        <v>113</v>
      </c>
      <c r="I1390" t="s">
        <v>112</v>
      </c>
      <c r="J1390" t="s">
        <v>114</v>
      </c>
      <c r="K1390" t="s">
        <v>116</v>
      </c>
      <c r="L1390" t="s">
        <v>116</v>
      </c>
    </row>
    <row r="1391" spans="1:12" x14ac:dyDescent="0.3">
      <c r="A1391" t="s">
        <v>709</v>
      </c>
      <c r="B1391" t="s">
        <v>1501</v>
      </c>
      <c r="C1391" t="s">
        <v>566</v>
      </c>
      <c r="D1391" t="s">
        <v>224</v>
      </c>
      <c r="E1391" t="s">
        <v>569</v>
      </c>
      <c r="F1391" t="s">
        <v>125</v>
      </c>
      <c r="G1391" t="s">
        <v>111</v>
      </c>
      <c r="H1391" t="s">
        <v>113</v>
      </c>
      <c r="I1391" t="s">
        <v>112</v>
      </c>
      <c r="J1391" t="s">
        <v>114</v>
      </c>
      <c r="K1391" t="s">
        <v>116</v>
      </c>
      <c r="L1391" t="s">
        <v>116</v>
      </c>
    </row>
    <row r="1392" spans="1:12" x14ac:dyDescent="0.3">
      <c r="A1392" t="s">
        <v>709</v>
      </c>
      <c r="B1392" t="s">
        <v>1501</v>
      </c>
      <c r="C1392" t="s">
        <v>566</v>
      </c>
      <c r="D1392" t="s">
        <v>225</v>
      </c>
      <c r="E1392" t="s">
        <v>569</v>
      </c>
      <c r="F1392" t="s">
        <v>126</v>
      </c>
      <c r="G1392" t="s">
        <v>111</v>
      </c>
      <c r="H1392" t="s">
        <v>113</v>
      </c>
      <c r="I1392" t="s">
        <v>112</v>
      </c>
      <c r="J1392" t="s">
        <v>114</v>
      </c>
      <c r="K1392" t="s">
        <v>116</v>
      </c>
      <c r="L1392" t="s">
        <v>116</v>
      </c>
    </row>
    <row r="1393" spans="1:12" x14ac:dyDescent="0.3">
      <c r="A1393" t="s">
        <v>709</v>
      </c>
      <c r="B1393" t="s">
        <v>1501</v>
      </c>
      <c r="C1393" t="s">
        <v>566</v>
      </c>
      <c r="D1393" t="s">
        <v>227</v>
      </c>
      <c r="E1393" t="s">
        <v>569</v>
      </c>
      <c r="F1393" t="s">
        <v>192</v>
      </c>
      <c r="G1393" t="s">
        <v>111</v>
      </c>
      <c r="H1393" t="s">
        <v>113</v>
      </c>
      <c r="I1393" t="s">
        <v>112</v>
      </c>
      <c r="J1393" t="s">
        <v>114</v>
      </c>
      <c r="K1393" t="s">
        <v>116</v>
      </c>
      <c r="L1393" t="s">
        <v>116</v>
      </c>
    </row>
    <row r="1394" spans="1:12" x14ac:dyDescent="0.3">
      <c r="A1394" t="s">
        <v>709</v>
      </c>
      <c r="B1394" t="s">
        <v>1501</v>
      </c>
      <c r="C1394" t="s">
        <v>566</v>
      </c>
      <c r="D1394" t="s">
        <v>228</v>
      </c>
      <c r="E1394" t="s">
        <v>569</v>
      </c>
      <c r="F1394" t="s">
        <v>167</v>
      </c>
      <c r="G1394" t="s">
        <v>111</v>
      </c>
      <c r="H1394" t="s">
        <v>113</v>
      </c>
      <c r="I1394" t="s">
        <v>112</v>
      </c>
      <c r="J1394" t="s">
        <v>114</v>
      </c>
      <c r="K1394" t="s">
        <v>116</v>
      </c>
      <c r="L1394" t="s">
        <v>116</v>
      </c>
    </row>
    <row r="1395" spans="1:12" x14ac:dyDescent="0.3">
      <c r="A1395" t="s">
        <v>709</v>
      </c>
      <c r="B1395" t="s">
        <v>1501</v>
      </c>
      <c r="C1395" t="s">
        <v>566</v>
      </c>
      <c r="D1395" t="s">
        <v>229</v>
      </c>
      <c r="E1395" t="s">
        <v>569</v>
      </c>
      <c r="F1395" t="s">
        <v>127</v>
      </c>
      <c r="G1395" t="s">
        <v>111</v>
      </c>
      <c r="H1395" t="s">
        <v>113</v>
      </c>
      <c r="I1395" t="s">
        <v>112</v>
      </c>
      <c r="J1395" t="s">
        <v>114</v>
      </c>
      <c r="K1395" t="s">
        <v>116</v>
      </c>
      <c r="L1395" t="s">
        <v>116</v>
      </c>
    </row>
    <row r="1396" spans="1:12" x14ac:dyDescent="0.3">
      <c r="A1396" t="s">
        <v>709</v>
      </c>
      <c r="B1396" t="s">
        <v>1501</v>
      </c>
      <c r="C1396" t="s">
        <v>566</v>
      </c>
      <c r="D1396" t="s">
        <v>310</v>
      </c>
      <c r="E1396" t="s">
        <v>569</v>
      </c>
      <c r="F1396" t="s">
        <v>128</v>
      </c>
      <c r="G1396" t="s">
        <v>111</v>
      </c>
      <c r="H1396" t="s">
        <v>113</v>
      </c>
      <c r="I1396" t="s">
        <v>112</v>
      </c>
      <c r="J1396" t="s">
        <v>114</v>
      </c>
      <c r="K1396" t="s">
        <v>116</v>
      </c>
      <c r="L1396" t="s">
        <v>116</v>
      </c>
    </row>
    <row r="1397" spans="1:12" x14ac:dyDescent="0.3">
      <c r="A1397" t="s">
        <v>709</v>
      </c>
      <c r="B1397" t="s">
        <v>1501</v>
      </c>
      <c r="C1397" t="s">
        <v>566</v>
      </c>
      <c r="D1397" t="s">
        <v>311</v>
      </c>
      <c r="E1397" t="s">
        <v>569</v>
      </c>
      <c r="F1397" t="s">
        <v>89</v>
      </c>
      <c r="G1397" t="s">
        <v>111</v>
      </c>
      <c r="H1397" t="s">
        <v>113</v>
      </c>
      <c r="I1397" t="s">
        <v>112</v>
      </c>
      <c r="J1397" t="s">
        <v>114</v>
      </c>
      <c r="K1397" t="s">
        <v>116</v>
      </c>
      <c r="L1397" t="s">
        <v>116</v>
      </c>
    </row>
    <row r="1398" spans="1:12" x14ac:dyDescent="0.3">
      <c r="A1398" t="s">
        <v>709</v>
      </c>
      <c r="B1398" t="s">
        <v>1501</v>
      </c>
      <c r="C1398" t="s">
        <v>566</v>
      </c>
      <c r="D1398" t="s">
        <v>231</v>
      </c>
      <c r="E1398" t="s">
        <v>569</v>
      </c>
      <c r="F1398" t="s">
        <v>66</v>
      </c>
      <c r="G1398" t="s">
        <v>111</v>
      </c>
      <c r="H1398" t="s">
        <v>113</v>
      </c>
      <c r="I1398" t="s">
        <v>112</v>
      </c>
      <c r="J1398" t="s">
        <v>114</v>
      </c>
      <c r="K1398" t="s">
        <v>116</v>
      </c>
      <c r="L1398" t="s">
        <v>116</v>
      </c>
    </row>
    <row r="1399" spans="1:12" x14ac:dyDescent="0.3">
      <c r="A1399" t="s">
        <v>709</v>
      </c>
      <c r="B1399" t="s">
        <v>1501</v>
      </c>
      <c r="C1399" t="s">
        <v>566</v>
      </c>
      <c r="D1399" t="s">
        <v>232</v>
      </c>
      <c r="E1399" t="s">
        <v>569</v>
      </c>
      <c r="F1399" t="s">
        <v>169</v>
      </c>
      <c r="G1399" t="s">
        <v>111</v>
      </c>
      <c r="H1399" t="s">
        <v>113</v>
      </c>
      <c r="I1399" t="s">
        <v>112</v>
      </c>
      <c r="J1399" t="s">
        <v>114</v>
      </c>
      <c r="K1399" t="s">
        <v>116</v>
      </c>
      <c r="L1399" t="s">
        <v>116</v>
      </c>
    </row>
    <row r="1400" spans="1:12" x14ac:dyDescent="0.3">
      <c r="A1400" t="s">
        <v>709</v>
      </c>
      <c r="B1400" t="s">
        <v>1501</v>
      </c>
      <c r="C1400" t="s">
        <v>566</v>
      </c>
      <c r="D1400" t="s">
        <v>234</v>
      </c>
      <c r="E1400" t="s">
        <v>569</v>
      </c>
      <c r="F1400" t="s">
        <v>93</v>
      </c>
      <c r="G1400" t="s">
        <v>111</v>
      </c>
      <c r="H1400" t="s">
        <v>113</v>
      </c>
      <c r="I1400" t="s">
        <v>112</v>
      </c>
      <c r="J1400" t="s">
        <v>114</v>
      </c>
      <c r="K1400" t="s">
        <v>116</v>
      </c>
      <c r="L1400" t="s">
        <v>116</v>
      </c>
    </row>
    <row r="1401" spans="1:12" x14ac:dyDescent="0.3">
      <c r="A1401" t="s">
        <v>709</v>
      </c>
      <c r="B1401" t="s">
        <v>1501</v>
      </c>
      <c r="C1401" t="s">
        <v>566</v>
      </c>
      <c r="D1401" t="s">
        <v>312</v>
      </c>
      <c r="E1401" t="s">
        <v>569</v>
      </c>
      <c r="F1401" t="s">
        <v>129</v>
      </c>
      <c r="G1401" t="s">
        <v>111</v>
      </c>
      <c r="H1401" t="s">
        <v>113</v>
      </c>
      <c r="I1401" t="s">
        <v>112</v>
      </c>
      <c r="J1401" t="s">
        <v>114</v>
      </c>
      <c r="K1401" t="s">
        <v>116</v>
      </c>
      <c r="L1401" t="s">
        <v>116</v>
      </c>
    </row>
    <row r="1402" spans="1:12" x14ac:dyDescent="0.3">
      <c r="A1402" t="s">
        <v>709</v>
      </c>
      <c r="B1402" t="s">
        <v>1501</v>
      </c>
      <c r="C1402" t="s">
        <v>566</v>
      </c>
      <c r="D1402" t="s">
        <v>313</v>
      </c>
      <c r="E1402" t="s">
        <v>569</v>
      </c>
      <c r="F1402" t="s">
        <v>68</v>
      </c>
      <c r="G1402" t="s">
        <v>111</v>
      </c>
      <c r="H1402" t="s">
        <v>113</v>
      </c>
      <c r="I1402" t="s">
        <v>112</v>
      </c>
      <c r="J1402" t="s">
        <v>114</v>
      </c>
      <c r="K1402" t="s">
        <v>116</v>
      </c>
      <c r="L1402" t="s">
        <v>116</v>
      </c>
    </row>
    <row r="1403" spans="1:12" x14ac:dyDescent="0.3">
      <c r="A1403" t="s">
        <v>709</v>
      </c>
      <c r="B1403" t="s">
        <v>1501</v>
      </c>
      <c r="C1403" t="s">
        <v>566</v>
      </c>
      <c r="D1403" t="s">
        <v>235</v>
      </c>
      <c r="E1403" t="s">
        <v>569</v>
      </c>
      <c r="F1403" t="s">
        <v>85</v>
      </c>
      <c r="G1403" t="s">
        <v>111</v>
      </c>
      <c r="H1403" t="s">
        <v>113</v>
      </c>
      <c r="I1403" t="s">
        <v>112</v>
      </c>
      <c r="J1403" t="s">
        <v>114</v>
      </c>
      <c r="K1403" t="s">
        <v>116</v>
      </c>
      <c r="L1403" t="s">
        <v>116</v>
      </c>
    </row>
    <row r="1404" spans="1:12" x14ac:dyDescent="0.3">
      <c r="A1404" t="s">
        <v>709</v>
      </c>
      <c r="B1404" t="s">
        <v>1501</v>
      </c>
      <c r="C1404" t="s">
        <v>566</v>
      </c>
      <c r="D1404" t="s">
        <v>314</v>
      </c>
      <c r="E1404" t="s">
        <v>569</v>
      </c>
      <c r="F1404" t="s">
        <v>61</v>
      </c>
      <c r="G1404" t="s">
        <v>111</v>
      </c>
      <c r="H1404" t="s">
        <v>113</v>
      </c>
      <c r="I1404" t="s">
        <v>112</v>
      </c>
      <c r="J1404" t="s">
        <v>114</v>
      </c>
      <c r="K1404" t="s">
        <v>116</v>
      </c>
      <c r="L1404" t="s">
        <v>116</v>
      </c>
    </row>
    <row r="1405" spans="1:12" x14ac:dyDescent="0.3">
      <c r="A1405" t="s">
        <v>709</v>
      </c>
      <c r="B1405" t="s">
        <v>1501</v>
      </c>
      <c r="C1405" t="s">
        <v>566</v>
      </c>
      <c r="D1405" t="s">
        <v>236</v>
      </c>
      <c r="E1405" t="s">
        <v>569</v>
      </c>
      <c r="F1405" t="s">
        <v>87</v>
      </c>
      <c r="G1405" t="s">
        <v>111</v>
      </c>
      <c r="H1405" t="s">
        <v>113</v>
      </c>
      <c r="I1405" t="s">
        <v>112</v>
      </c>
      <c r="J1405" t="s">
        <v>114</v>
      </c>
      <c r="K1405" t="s">
        <v>116</v>
      </c>
      <c r="L1405" t="s">
        <v>116</v>
      </c>
    </row>
    <row r="1406" spans="1:12" x14ac:dyDescent="0.3">
      <c r="A1406" t="s">
        <v>709</v>
      </c>
      <c r="B1406" t="s">
        <v>1501</v>
      </c>
      <c r="C1406" t="s">
        <v>566</v>
      </c>
      <c r="D1406" t="s">
        <v>237</v>
      </c>
      <c r="E1406" t="s">
        <v>569</v>
      </c>
      <c r="F1406" t="s">
        <v>130</v>
      </c>
      <c r="G1406" t="s">
        <v>111</v>
      </c>
      <c r="H1406" t="s">
        <v>118</v>
      </c>
      <c r="I1406" t="s">
        <v>112</v>
      </c>
      <c r="J1406" t="s">
        <v>119</v>
      </c>
      <c r="K1406" t="s">
        <v>116</v>
      </c>
      <c r="L1406" t="s">
        <v>116</v>
      </c>
    </row>
    <row r="1407" spans="1:12" x14ac:dyDescent="0.3">
      <c r="A1407" t="s">
        <v>709</v>
      </c>
      <c r="B1407" t="s">
        <v>1501</v>
      </c>
      <c r="C1407" t="s">
        <v>566</v>
      </c>
      <c r="D1407" t="s">
        <v>238</v>
      </c>
      <c r="E1407" t="s">
        <v>569</v>
      </c>
      <c r="F1407" t="s">
        <v>131</v>
      </c>
      <c r="G1407" t="s">
        <v>111</v>
      </c>
      <c r="H1407" t="s">
        <v>113</v>
      </c>
      <c r="I1407" t="s">
        <v>112</v>
      </c>
      <c r="J1407" t="s">
        <v>114</v>
      </c>
      <c r="K1407" t="s">
        <v>116</v>
      </c>
      <c r="L1407" t="s">
        <v>116</v>
      </c>
    </row>
    <row r="1408" spans="1:12" x14ac:dyDescent="0.3">
      <c r="A1408" t="s">
        <v>709</v>
      </c>
      <c r="B1408" t="s">
        <v>1501</v>
      </c>
      <c r="C1408" t="s">
        <v>566</v>
      </c>
      <c r="D1408" t="s">
        <v>239</v>
      </c>
      <c r="E1408" t="s">
        <v>569</v>
      </c>
      <c r="F1408" t="s">
        <v>50</v>
      </c>
      <c r="G1408" t="s">
        <v>111</v>
      </c>
      <c r="H1408" t="s">
        <v>113</v>
      </c>
      <c r="I1408" t="s">
        <v>112</v>
      </c>
      <c r="J1408" t="s">
        <v>114</v>
      </c>
      <c r="K1408" t="s">
        <v>116</v>
      </c>
      <c r="L1408" t="s">
        <v>116</v>
      </c>
    </row>
    <row r="1409" spans="1:12" x14ac:dyDescent="0.3">
      <c r="A1409" t="s">
        <v>709</v>
      </c>
      <c r="B1409" t="s">
        <v>1501</v>
      </c>
      <c r="C1409" t="s">
        <v>566</v>
      </c>
      <c r="D1409" t="s">
        <v>315</v>
      </c>
      <c r="E1409" t="s">
        <v>568</v>
      </c>
      <c r="F1409" t="s">
        <v>79</v>
      </c>
      <c r="G1409" t="s">
        <v>111</v>
      </c>
      <c r="H1409" t="s">
        <v>113</v>
      </c>
      <c r="I1409" t="s">
        <v>112</v>
      </c>
      <c r="J1409" t="s">
        <v>114</v>
      </c>
      <c r="K1409" t="s">
        <v>116</v>
      </c>
      <c r="L1409" t="s">
        <v>116</v>
      </c>
    </row>
    <row r="1410" spans="1:12" x14ac:dyDescent="0.3">
      <c r="A1410" t="s">
        <v>709</v>
      </c>
      <c r="B1410" t="s">
        <v>1501</v>
      </c>
      <c r="C1410" t="s">
        <v>566</v>
      </c>
      <c r="D1410" t="s">
        <v>316</v>
      </c>
      <c r="E1410" t="s">
        <v>568</v>
      </c>
      <c r="F1410" t="s">
        <v>132</v>
      </c>
      <c r="G1410" t="s">
        <v>111</v>
      </c>
      <c r="H1410" t="s">
        <v>113</v>
      </c>
      <c r="I1410" t="s">
        <v>112</v>
      </c>
      <c r="J1410" t="s">
        <v>114</v>
      </c>
      <c r="K1410" t="s">
        <v>116</v>
      </c>
      <c r="L1410" t="s">
        <v>116</v>
      </c>
    </row>
    <row r="1411" spans="1:12" x14ac:dyDescent="0.3">
      <c r="A1411" t="s">
        <v>709</v>
      </c>
      <c r="B1411" t="s">
        <v>1501</v>
      </c>
      <c r="C1411" t="s">
        <v>566</v>
      </c>
      <c r="D1411" t="s">
        <v>317</v>
      </c>
      <c r="E1411" t="s">
        <v>568</v>
      </c>
      <c r="F1411" t="s">
        <v>133</v>
      </c>
      <c r="G1411" t="s">
        <v>111</v>
      </c>
      <c r="H1411" t="s">
        <v>113</v>
      </c>
      <c r="I1411" t="s">
        <v>112</v>
      </c>
      <c r="J1411" t="s">
        <v>114</v>
      </c>
      <c r="K1411" t="s">
        <v>116</v>
      </c>
      <c r="L1411" t="s">
        <v>116</v>
      </c>
    </row>
    <row r="1412" spans="1:12" x14ac:dyDescent="0.3">
      <c r="A1412" t="s">
        <v>709</v>
      </c>
      <c r="B1412" t="s">
        <v>1501</v>
      </c>
      <c r="C1412" t="s">
        <v>566</v>
      </c>
      <c r="D1412" t="s">
        <v>318</v>
      </c>
      <c r="E1412" t="s">
        <v>568</v>
      </c>
      <c r="F1412" t="s">
        <v>193</v>
      </c>
      <c r="G1412" t="s">
        <v>111</v>
      </c>
      <c r="H1412" t="s">
        <v>113</v>
      </c>
      <c r="I1412" t="s">
        <v>112</v>
      </c>
      <c r="J1412" t="s">
        <v>114</v>
      </c>
      <c r="K1412" t="s">
        <v>116</v>
      </c>
      <c r="L1412" t="s">
        <v>116</v>
      </c>
    </row>
    <row r="1413" spans="1:12" x14ac:dyDescent="0.3">
      <c r="A1413" t="s">
        <v>709</v>
      </c>
      <c r="B1413" t="s">
        <v>1501</v>
      </c>
      <c r="C1413" t="s">
        <v>566</v>
      </c>
      <c r="D1413" t="s">
        <v>241</v>
      </c>
      <c r="E1413" t="s">
        <v>568</v>
      </c>
      <c r="F1413" t="s">
        <v>51</v>
      </c>
      <c r="G1413" t="s">
        <v>111</v>
      </c>
      <c r="H1413" t="s">
        <v>113</v>
      </c>
      <c r="I1413" t="s">
        <v>112</v>
      </c>
      <c r="J1413" t="s">
        <v>114</v>
      </c>
      <c r="K1413" t="s">
        <v>116</v>
      </c>
      <c r="L1413" t="s">
        <v>116</v>
      </c>
    </row>
    <row r="1414" spans="1:12" x14ac:dyDescent="0.3">
      <c r="A1414" t="s">
        <v>709</v>
      </c>
      <c r="B1414" t="s">
        <v>1501</v>
      </c>
      <c r="C1414" t="s">
        <v>566</v>
      </c>
      <c r="D1414" t="s">
        <v>242</v>
      </c>
      <c r="E1414" t="s">
        <v>568</v>
      </c>
      <c r="F1414" t="s">
        <v>163</v>
      </c>
      <c r="G1414" t="s">
        <v>111</v>
      </c>
      <c r="H1414" t="s">
        <v>113</v>
      </c>
      <c r="I1414" t="s">
        <v>112</v>
      </c>
      <c r="J1414" t="s">
        <v>114</v>
      </c>
      <c r="K1414" t="s">
        <v>116</v>
      </c>
      <c r="L1414" t="s">
        <v>116</v>
      </c>
    </row>
    <row r="1415" spans="1:12" x14ac:dyDescent="0.3">
      <c r="A1415" t="s">
        <v>709</v>
      </c>
      <c r="B1415" t="s">
        <v>1501</v>
      </c>
      <c r="C1415" t="s">
        <v>566</v>
      </c>
      <c r="D1415" t="s">
        <v>243</v>
      </c>
      <c r="E1415" t="s">
        <v>568</v>
      </c>
      <c r="F1415" t="s">
        <v>170</v>
      </c>
      <c r="G1415" t="s">
        <v>111</v>
      </c>
      <c r="H1415" t="s">
        <v>113</v>
      </c>
      <c r="I1415" t="s">
        <v>112</v>
      </c>
      <c r="J1415" t="s">
        <v>114</v>
      </c>
      <c r="K1415" t="s">
        <v>116</v>
      </c>
      <c r="L1415" t="s">
        <v>116</v>
      </c>
    </row>
    <row r="1416" spans="1:12" x14ac:dyDescent="0.3">
      <c r="A1416" t="s">
        <v>709</v>
      </c>
      <c r="B1416" t="s">
        <v>1501</v>
      </c>
      <c r="C1416" t="s">
        <v>566</v>
      </c>
      <c r="D1416" t="s">
        <v>244</v>
      </c>
      <c r="E1416" t="s">
        <v>568</v>
      </c>
      <c r="F1416" t="s">
        <v>78</v>
      </c>
      <c r="G1416" t="s">
        <v>111</v>
      </c>
      <c r="H1416" t="s">
        <v>113</v>
      </c>
      <c r="I1416" t="s">
        <v>112</v>
      </c>
      <c r="J1416" t="s">
        <v>114</v>
      </c>
      <c r="K1416" t="s">
        <v>116</v>
      </c>
      <c r="L1416" t="s">
        <v>116</v>
      </c>
    </row>
    <row r="1417" spans="1:12" x14ac:dyDescent="0.3">
      <c r="A1417" t="s">
        <v>709</v>
      </c>
      <c r="B1417" t="s">
        <v>1501</v>
      </c>
      <c r="C1417" t="s">
        <v>566</v>
      </c>
      <c r="D1417" t="s">
        <v>319</v>
      </c>
      <c r="E1417" t="s">
        <v>568</v>
      </c>
      <c r="F1417" t="s">
        <v>136</v>
      </c>
      <c r="G1417" t="s">
        <v>111</v>
      </c>
      <c r="H1417" t="s">
        <v>113</v>
      </c>
      <c r="I1417" t="s">
        <v>112</v>
      </c>
      <c r="J1417" t="s">
        <v>114</v>
      </c>
      <c r="K1417" t="s">
        <v>116</v>
      </c>
      <c r="L1417" t="s">
        <v>116</v>
      </c>
    </row>
    <row r="1418" spans="1:12" x14ac:dyDescent="0.3">
      <c r="A1418" t="s">
        <v>709</v>
      </c>
      <c r="B1418" t="s">
        <v>1501</v>
      </c>
      <c r="C1418" t="s">
        <v>566</v>
      </c>
      <c r="D1418" t="s">
        <v>247</v>
      </c>
      <c r="E1418" t="s">
        <v>568</v>
      </c>
      <c r="F1418" t="s">
        <v>60</v>
      </c>
      <c r="G1418" t="s">
        <v>111</v>
      </c>
      <c r="H1418" t="s">
        <v>113</v>
      </c>
      <c r="I1418" t="s">
        <v>112</v>
      </c>
      <c r="J1418" t="s">
        <v>114</v>
      </c>
      <c r="K1418" t="s">
        <v>116</v>
      </c>
      <c r="L1418" t="s">
        <v>116</v>
      </c>
    </row>
    <row r="1419" spans="1:12" x14ac:dyDescent="0.3">
      <c r="A1419" t="s">
        <v>709</v>
      </c>
      <c r="B1419" t="s">
        <v>1501</v>
      </c>
      <c r="C1419" t="s">
        <v>566</v>
      </c>
      <c r="D1419" t="s">
        <v>251</v>
      </c>
      <c r="E1419" t="s">
        <v>568</v>
      </c>
      <c r="F1419" t="s">
        <v>48</v>
      </c>
      <c r="G1419" t="s">
        <v>111</v>
      </c>
      <c r="H1419" t="s">
        <v>113</v>
      </c>
      <c r="I1419" t="s">
        <v>112</v>
      </c>
      <c r="J1419" t="s">
        <v>114</v>
      </c>
      <c r="K1419" t="s">
        <v>116</v>
      </c>
      <c r="L1419" t="s">
        <v>116</v>
      </c>
    </row>
    <row r="1420" spans="1:12" x14ac:dyDescent="0.3">
      <c r="A1420" t="s">
        <v>709</v>
      </c>
      <c r="B1420" t="s">
        <v>1501</v>
      </c>
      <c r="C1420" t="s">
        <v>566</v>
      </c>
      <c r="D1420" t="s">
        <v>252</v>
      </c>
      <c r="E1420" t="s">
        <v>568</v>
      </c>
      <c r="F1420" t="s">
        <v>138</v>
      </c>
      <c r="G1420" t="s">
        <v>111</v>
      </c>
      <c r="H1420" t="s">
        <v>113</v>
      </c>
      <c r="I1420" t="s">
        <v>112</v>
      </c>
      <c r="J1420" t="s">
        <v>114</v>
      </c>
      <c r="K1420" t="s">
        <v>116</v>
      </c>
      <c r="L1420" t="s">
        <v>116</v>
      </c>
    </row>
    <row r="1421" spans="1:12" x14ac:dyDescent="0.3">
      <c r="A1421" t="s">
        <v>709</v>
      </c>
      <c r="B1421" t="s">
        <v>1501</v>
      </c>
      <c r="C1421" t="s">
        <v>566</v>
      </c>
      <c r="D1421" t="s">
        <v>253</v>
      </c>
      <c r="E1421" t="s">
        <v>568</v>
      </c>
      <c r="F1421" t="s">
        <v>95</v>
      </c>
      <c r="G1421" t="s">
        <v>111</v>
      </c>
      <c r="H1421" t="s">
        <v>113</v>
      </c>
      <c r="I1421" t="s">
        <v>112</v>
      </c>
      <c r="J1421" t="s">
        <v>114</v>
      </c>
      <c r="K1421" t="s">
        <v>116</v>
      </c>
      <c r="L1421" t="s">
        <v>116</v>
      </c>
    </row>
    <row r="1422" spans="1:12" x14ac:dyDescent="0.3">
      <c r="A1422" t="s">
        <v>709</v>
      </c>
      <c r="B1422" t="s">
        <v>1501</v>
      </c>
      <c r="C1422" t="s">
        <v>566</v>
      </c>
      <c r="D1422" t="s">
        <v>254</v>
      </c>
      <c r="E1422" t="s">
        <v>568</v>
      </c>
      <c r="F1422" t="s">
        <v>139</v>
      </c>
      <c r="G1422" t="s">
        <v>111</v>
      </c>
      <c r="H1422" t="s">
        <v>113</v>
      </c>
      <c r="I1422" t="s">
        <v>112</v>
      </c>
      <c r="J1422" t="s">
        <v>114</v>
      </c>
      <c r="K1422" t="s">
        <v>116</v>
      </c>
      <c r="L1422" t="s">
        <v>116</v>
      </c>
    </row>
    <row r="1423" spans="1:12" x14ac:dyDescent="0.3">
      <c r="A1423" t="s">
        <v>709</v>
      </c>
      <c r="B1423" t="s">
        <v>1501</v>
      </c>
      <c r="C1423" t="s">
        <v>566</v>
      </c>
      <c r="D1423" t="s">
        <v>255</v>
      </c>
      <c r="E1423" t="s">
        <v>568</v>
      </c>
      <c r="F1423" t="s">
        <v>171</v>
      </c>
      <c r="G1423" t="s">
        <v>111</v>
      </c>
      <c r="H1423" t="s">
        <v>113</v>
      </c>
      <c r="I1423" t="s">
        <v>112</v>
      </c>
      <c r="J1423" t="s">
        <v>114</v>
      </c>
      <c r="K1423" t="s">
        <v>116</v>
      </c>
      <c r="L1423" t="s">
        <v>116</v>
      </c>
    </row>
    <row r="1424" spans="1:12" x14ac:dyDescent="0.3">
      <c r="A1424" t="s">
        <v>709</v>
      </c>
      <c r="B1424" t="s">
        <v>1501</v>
      </c>
      <c r="C1424" t="s">
        <v>566</v>
      </c>
      <c r="D1424" t="s">
        <v>320</v>
      </c>
      <c r="E1424" t="s">
        <v>568</v>
      </c>
      <c r="F1424" t="s">
        <v>172</v>
      </c>
      <c r="G1424" t="s">
        <v>111</v>
      </c>
      <c r="H1424" t="s">
        <v>113</v>
      </c>
      <c r="I1424" t="s">
        <v>112</v>
      </c>
      <c r="J1424" t="s">
        <v>114</v>
      </c>
      <c r="K1424" t="s">
        <v>116</v>
      </c>
      <c r="L1424" t="s">
        <v>116</v>
      </c>
    </row>
    <row r="1425" spans="1:12" x14ac:dyDescent="0.3">
      <c r="A1425" t="s">
        <v>709</v>
      </c>
      <c r="B1425" t="s">
        <v>1501</v>
      </c>
      <c r="C1425" t="s">
        <v>566</v>
      </c>
      <c r="D1425" t="s">
        <v>207</v>
      </c>
      <c r="E1425" t="s">
        <v>568</v>
      </c>
      <c r="F1425" t="s">
        <v>62</v>
      </c>
      <c r="G1425" t="s">
        <v>111</v>
      </c>
      <c r="H1425" t="s">
        <v>113</v>
      </c>
      <c r="I1425" t="s">
        <v>112</v>
      </c>
      <c r="J1425" t="s">
        <v>114</v>
      </c>
      <c r="K1425" t="s">
        <v>116</v>
      </c>
      <c r="L1425" t="s">
        <v>116</v>
      </c>
    </row>
    <row r="1426" spans="1:12" x14ac:dyDescent="0.3">
      <c r="A1426" t="s">
        <v>709</v>
      </c>
      <c r="B1426" t="s">
        <v>1501</v>
      </c>
      <c r="C1426" t="s">
        <v>566</v>
      </c>
      <c r="D1426" t="s">
        <v>256</v>
      </c>
      <c r="E1426" t="s">
        <v>568</v>
      </c>
      <c r="F1426" t="s">
        <v>57</v>
      </c>
      <c r="G1426" t="s">
        <v>111</v>
      </c>
      <c r="H1426" t="s">
        <v>113</v>
      </c>
      <c r="I1426" t="s">
        <v>112</v>
      </c>
      <c r="J1426" t="s">
        <v>114</v>
      </c>
      <c r="K1426" t="s">
        <v>116</v>
      </c>
      <c r="L1426" t="s">
        <v>116</v>
      </c>
    </row>
    <row r="1427" spans="1:12" x14ac:dyDescent="0.3">
      <c r="A1427" t="s">
        <v>709</v>
      </c>
      <c r="B1427" t="s">
        <v>1501</v>
      </c>
      <c r="C1427" t="s">
        <v>566</v>
      </c>
      <c r="D1427" t="s">
        <v>322</v>
      </c>
      <c r="E1427" t="s">
        <v>568</v>
      </c>
      <c r="F1427" t="s">
        <v>173</v>
      </c>
      <c r="G1427" t="s">
        <v>111</v>
      </c>
      <c r="H1427" t="s">
        <v>113</v>
      </c>
      <c r="I1427" t="s">
        <v>112</v>
      </c>
      <c r="J1427" t="s">
        <v>114</v>
      </c>
      <c r="K1427" t="s">
        <v>116</v>
      </c>
      <c r="L1427" t="s">
        <v>116</v>
      </c>
    </row>
    <row r="1428" spans="1:12" x14ac:dyDescent="0.3">
      <c r="A1428" t="s">
        <v>709</v>
      </c>
      <c r="B1428" t="s">
        <v>1501</v>
      </c>
      <c r="C1428" t="s">
        <v>566</v>
      </c>
      <c r="D1428" t="s">
        <v>257</v>
      </c>
      <c r="E1428" t="s">
        <v>568</v>
      </c>
      <c r="F1428" t="s">
        <v>174</v>
      </c>
      <c r="G1428" t="s">
        <v>111</v>
      </c>
      <c r="H1428" t="s">
        <v>113</v>
      </c>
      <c r="I1428" t="s">
        <v>112</v>
      </c>
      <c r="J1428" t="s">
        <v>114</v>
      </c>
      <c r="K1428" t="s">
        <v>116</v>
      </c>
      <c r="L1428" t="s">
        <v>116</v>
      </c>
    </row>
    <row r="1429" spans="1:12" x14ac:dyDescent="0.3">
      <c r="A1429" t="s">
        <v>709</v>
      </c>
      <c r="B1429" t="s">
        <v>1501</v>
      </c>
      <c r="C1429" t="s">
        <v>566</v>
      </c>
      <c r="D1429" t="s">
        <v>258</v>
      </c>
      <c r="E1429" t="s">
        <v>568</v>
      </c>
      <c r="F1429" t="s">
        <v>88</v>
      </c>
      <c r="G1429" t="s">
        <v>111</v>
      </c>
      <c r="H1429" t="s">
        <v>113</v>
      </c>
      <c r="I1429" t="s">
        <v>112</v>
      </c>
      <c r="J1429" t="s">
        <v>114</v>
      </c>
      <c r="K1429" t="s">
        <v>116</v>
      </c>
      <c r="L1429" t="s">
        <v>116</v>
      </c>
    </row>
    <row r="1430" spans="1:12" x14ac:dyDescent="0.3">
      <c r="A1430" t="s">
        <v>709</v>
      </c>
      <c r="B1430" t="s">
        <v>1501</v>
      </c>
      <c r="C1430" t="s">
        <v>566</v>
      </c>
      <c r="D1430" t="s">
        <v>259</v>
      </c>
      <c r="E1430" t="s">
        <v>568</v>
      </c>
      <c r="F1430" t="s">
        <v>77</v>
      </c>
      <c r="G1430" t="s">
        <v>111</v>
      </c>
      <c r="H1430" t="s">
        <v>113</v>
      </c>
      <c r="I1430" t="s">
        <v>112</v>
      </c>
      <c r="J1430" t="s">
        <v>114</v>
      </c>
      <c r="K1430" t="s">
        <v>116</v>
      </c>
      <c r="L1430" t="s">
        <v>116</v>
      </c>
    </row>
    <row r="1431" spans="1:12" x14ac:dyDescent="0.3">
      <c r="A1431" t="s">
        <v>709</v>
      </c>
      <c r="B1431" t="s">
        <v>1501</v>
      </c>
      <c r="C1431" t="s">
        <v>566</v>
      </c>
      <c r="D1431" t="s">
        <v>323</v>
      </c>
      <c r="E1431" t="s">
        <v>568</v>
      </c>
      <c r="F1431" t="s">
        <v>74</v>
      </c>
      <c r="G1431" t="s">
        <v>111</v>
      </c>
      <c r="H1431" t="s">
        <v>113</v>
      </c>
      <c r="I1431" t="s">
        <v>112</v>
      </c>
      <c r="J1431" t="s">
        <v>114</v>
      </c>
      <c r="K1431" t="s">
        <v>116</v>
      </c>
      <c r="L1431" t="s">
        <v>116</v>
      </c>
    </row>
    <row r="1432" spans="1:12" x14ac:dyDescent="0.3">
      <c r="A1432" t="s">
        <v>709</v>
      </c>
      <c r="B1432" t="s">
        <v>1501</v>
      </c>
      <c r="C1432" t="s">
        <v>566</v>
      </c>
      <c r="D1432" t="s">
        <v>324</v>
      </c>
      <c r="E1432" t="s">
        <v>568</v>
      </c>
      <c r="F1432" t="s">
        <v>102</v>
      </c>
      <c r="G1432" t="s">
        <v>111</v>
      </c>
      <c r="H1432" t="s">
        <v>113</v>
      </c>
      <c r="I1432" t="s">
        <v>112</v>
      </c>
      <c r="J1432" t="s">
        <v>114</v>
      </c>
      <c r="K1432" t="s">
        <v>116</v>
      </c>
      <c r="L1432" t="s">
        <v>116</v>
      </c>
    </row>
    <row r="1433" spans="1:12" x14ac:dyDescent="0.3">
      <c r="A1433" t="s">
        <v>709</v>
      </c>
      <c r="B1433" t="s">
        <v>1501</v>
      </c>
      <c r="C1433" t="s">
        <v>566</v>
      </c>
      <c r="D1433" t="s">
        <v>260</v>
      </c>
      <c r="E1433" t="s">
        <v>568</v>
      </c>
      <c r="F1433" t="s">
        <v>140</v>
      </c>
      <c r="G1433" t="s">
        <v>111</v>
      </c>
      <c r="H1433" t="s">
        <v>113</v>
      </c>
      <c r="I1433" t="s">
        <v>112</v>
      </c>
      <c r="J1433" t="s">
        <v>114</v>
      </c>
      <c r="K1433" t="s">
        <v>116</v>
      </c>
      <c r="L1433" t="s">
        <v>116</v>
      </c>
    </row>
    <row r="1434" spans="1:12" x14ac:dyDescent="0.3">
      <c r="A1434" t="s">
        <v>709</v>
      </c>
      <c r="B1434" t="s">
        <v>1501</v>
      </c>
      <c r="C1434" t="s">
        <v>566</v>
      </c>
      <c r="D1434" t="s">
        <v>263</v>
      </c>
      <c r="E1434" t="s">
        <v>568</v>
      </c>
      <c r="F1434" t="s">
        <v>141</v>
      </c>
      <c r="G1434" t="s">
        <v>111</v>
      </c>
      <c r="H1434" t="s">
        <v>113</v>
      </c>
      <c r="I1434" t="s">
        <v>112</v>
      </c>
      <c r="J1434" t="s">
        <v>114</v>
      </c>
      <c r="K1434" t="s">
        <v>116</v>
      </c>
      <c r="L1434" t="s">
        <v>116</v>
      </c>
    </row>
    <row r="1435" spans="1:12" x14ac:dyDescent="0.3">
      <c r="A1435" t="s">
        <v>709</v>
      </c>
      <c r="B1435" t="s">
        <v>1501</v>
      </c>
      <c r="C1435" t="s">
        <v>566</v>
      </c>
      <c r="D1435" t="s">
        <v>264</v>
      </c>
      <c r="E1435" t="s">
        <v>568</v>
      </c>
      <c r="F1435" t="s">
        <v>64</v>
      </c>
      <c r="G1435" t="s">
        <v>111</v>
      </c>
      <c r="H1435" t="s">
        <v>113</v>
      </c>
      <c r="I1435" t="s">
        <v>112</v>
      </c>
      <c r="J1435" t="s">
        <v>114</v>
      </c>
      <c r="K1435" t="s">
        <v>116</v>
      </c>
      <c r="L1435" t="s">
        <v>116</v>
      </c>
    </row>
    <row r="1436" spans="1:12" x14ac:dyDescent="0.3">
      <c r="A1436" t="s">
        <v>709</v>
      </c>
      <c r="B1436" t="s">
        <v>1501</v>
      </c>
      <c r="C1436" t="s">
        <v>566</v>
      </c>
      <c r="D1436" t="s">
        <v>265</v>
      </c>
      <c r="E1436" t="s">
        <v>568</v>
      </c>
      <c r="F1436" t="s">
        <v>142</v>
      </c>
      <c r="G1436" t="s">
        <v>111</v>
      </c>
      <c r="H1436" t="s">
        <v>118</v>
      </c>
      <c r="I1436" t="s">
        <v>112</v>
      </c>
      <c r="J1436" t="s">
        <v>119</v>
      </c>
      <c r="K1436" t="s">
        <v>116</v>
      </c>
      <c r="L1436" t="s">
        <v>116</v>
      </c>
    </row>
    <row r="1437" spans="1:12" x14ac:dyDescent="0.3">
      <c r="A1437" t="s">
        <v>709</v>
      </c>
      <c r="B1437" t="s">
        <v>1501</v>
      </c>
      <c r="C1437" t="s">
        <v>566</v>
      </c>
      <c r="D1437" t="s">
        <v>326</v>
      </c>
      <c r="E1437" t="s">
        <v>568</v>
      </c>
      <c r="F1437" t="s">
        <v>144</v>
      </c>
      <c r="G1437" t="s">
        <v>111</v>
      </c>
      <c r="H1437" t="s">
        <v>113</v>
      </c>
      <c r="I1437" t="s">
        <v>112</v>
      </c>
      <c r="J1437" t="s">
        <v>114</v>
      </c>
      <c r="K1437" t="s">
        <v>116</v>
      </c>
      <c r="L1437" t="s">
        <v>116</v>
      </c>
    </row>
    <row r="1438" spans="1:12" x14ac:dyDescent="0.3">
      <c r="A1438" t="s">
        <v>709</v>
      </c>
      <c r="B1438" t="s">
        <v>1501</v>
      </c>
      <c r="C1438" t="s">
        <v>566</v>
      </c>
      <c r="D1438" t="s">
        <v>268</v>
      </c>
      <c r="E1438" t="s">
        <v>568</v>
      </c>
      <c r="F1438" t="s">
        <v>194</v>
      </c>
      <c r="G1438" t="s">
        <v>111</v>
      </c>
      <c r="H1438" t="s">
        <v>113</v>
      </c>
      <c r="I1438" t="s">
        <v>112</v>
      </c>
      <c r="J1438" t="s">
        <v>114</v>
      </c>
      <c r="K1438" t="s">
        <v>116</v>
      </c>
      <c r="L1438" t="s">
        <v>116</v>
      </c>
    </row>
    <row r="1439" spans="1:12" x14ac:dyDescent="0.3">
      <c r="A1439" t="s">
        <v>709</v>
      </c>
      <c r="B1439" t="s">
        <v>1501</v>
      </c>
      <c r="C1439" t="s">
        <v>566</v>
      </c>
      <c r="D1439" t="s">
        <v>269</v>
      </c>
      <c r="E1439" t="s">
        <v>568</v>
      </c>
      <c r="F1439" t="s">
        <v>145</v>
      </c>
      <c r="G1439" t="s">
        <v>111</v>
      </c>
      <c r="H1439" t="s">
        <v>118</v>
      </c>
      <c r="I1439" t="s">
        <v>112</v>
      </c>
      <c r="J1439" t="s">
        <v>119</v>
      </c>
      <c r="K1439" t="s">
        <v>116</v>
      </c>
      <c r="L1439" t="s">
        <v>116</v>
      </c>
    </row>
    <row r="1440" spans="1:12" x14ac:dyDescent="0.3">
      <c r="A1440" t="s">
        <v>709</v>
      </c>
      <c r="B1440" t="s">
        <v>1501</v>
      </c>
      <c r="C1440" t="s">
        <v>566</v>
      </c>
      <c r="D1440" t="s">
        <v>270</v>
      </c>
      <c r="E1440" t="s">
        <v>568</v>
      </c>
      <c r="F1440" t="s">
        <v>81</v>
      </c>
      <c r="G1440" t="s">
        <v>111</v>
      </c>
      <c r="H1440" t="s">
        <v>113</v>
      </c>
      <c r="I1440" t="s">
        <v>112</v>
      </c>
      <c r="J1440" t="s">
        <v>114</v>
      </c>
      <c r="K1440" t="s">
        <v>116</v>
      </c>
      <c r="L1440" t="s">
        <v>116</v>
      </c>
    </row>
    <row r="1441" spans="1:12" x14ac:dyDescent="0.3">
      <c r="A1441" t="s">
        <v>709</v>
      </c>
      <c r="B1441" t="s">
        <v>1501</v>
      </c>
      <c r="C1441" t="s">
        <v>566</v>
      </c>
      <c r="D1441" t="s">
        <v>271</v>
      </c>
      <c r="E1441" t="s">
        <v>567</v>
      </c>
      <c r="F1441" t="s">
        <v>76</v>
      </c>
      <c r="G1441" t="s">
        <v>111</v>
      </c>
      <c r="H1441" t="s">
        <v>113</v>
      </c>
      <c r="I1441" t="s">
        <v>112</v>
      </c>
      <c r="J1441" t="s">
        <v>114</v>
      </c>
      <c r="K1441" t="s">
        <v>116</v>
      </c>
      <c r="L1441" t="s">
        <v>116</v>
      </c>
    </row>
    <row r="1442" spans="1:12" x14ac:dyDescent="0.3">
      <c r="A1442" t="s">
        <v>709</v>
      </c>
      <c r="B1442" t="s">
        <v>1501</v>
      </c>
      <c r="C1442" t="s">
        <v>566</v>
      </c>
      <c r="D1442" t="s">
        <v>272</v>
      </c>
      <c r="E1442" t="s">
        <v>567</v>
      </c>
      <c r="F1442" t="s">
        <v>52</v>
      </c>
      <c r="G1442" t="s">
        <v>111</v>
      </c>
      <c r="H1442" t="s">
        <v>118</v>
      </c>
      <c r="I1442" t="s">
        <v>112</v>
      </c>
      <c r="J1442" t="s">
        <v>119</v>
      </c>
      <c r="K1442" t="s">
        <v>116</v>
      </c>
      <c r="L1442" t="s">
        <v>116</v>
      </c>
    </row>
    <row r="1443" spans="1:12" x14ac:dyDescent="0.3">
      <c r="A1443" t="s">
        <v>709</v>
      </c>
      <c r="B1443" t="s">
        <v>1501</v>
      </c>
      <c r="C1443" t="s">
        <v>566</v>
      </c>
      <c r="D1443" t="s">
        <v>327</v>
      </c>
      <c r="E1443" t="s">
        <v>567</v>
      </c>
      <c r="F1443" t="s">
        <v>104</v>
      </c>
      <c r="G1443" t="s">
        <v>111</v>
      </c>
      <c r="H1443" t="s">
        <v>113</v>
      </c>
      <c r="I1443" t="s">
        <v>112</v>
      </c>
      <c r="J1443" t="s">
        <v>114</v>
      </c>
      <c r="K1443" t="s">
        <v>116</v>
      </c>
      <c r="L1443" t="s">
        <v>116</v>
      </c>
    </row>
    <row r="1444" spans="1:12" x14ac:dyDescent="0.3">
      <c r="A1444" t="s">
        <v>709</v>
      </c>
      <c r="B1444" t="s">
        <v>1501</v>
      </c>
      <c r="C1444" t="s">
        <v>566</v>
      </c>
      <c r="D1444" t="s">
        <v>273</v>
      </c>
      <c r="E1444" t="s">
        <v>567</v>
      </c>
      <c r="F1444" t="s">
        <v>176</v>
      </c>
      <c r="G1444" t="s">
        <v>111</v>
      </c>
      <c r="H1444" t="s">
        <v>113</v>
      </c>
      <c r="I1444" t="s">
        <v>112</v>
      </c>
      <c r="J1444" t="s">
        <v>114</v>
      </c>
      <c r="K1444" t="s">
        <v>116</v>
      </c>
      <c r="L1444" t="s">
        <v>116</v>
      </c>
    </row>
    <row r="1445" spans="1:12" x14ac:dyDescent="0.3">
      <c r="A1445" t="s">
        <v>709</v>
      </c>
      <c r="B1445" t="s">
        <v>1501</v>
      </c>
      <c r="C1445" t="s">
        <v>566</v>
      </c>
      <c r="D1445" t="s">
        <v>274</v>
      </c>
      <c r="E1445" t="s">
        <v>567</v>
      </c>
      <c r="F1445" t="s">
        <v>146</v>
      </c>
      <c r="G1445" t="s">
        <v>111</v>
      </c>
      <c r="H1445" t="s">
        <v>113</v>
      </c>
      <c r="I1445" t="s">
        <v>112</v>
      </c>
      <c r="J1445" t="s">
        <v>114</v>
      </c>
      <c r="K1445" t="s">
        <v>116</v>
      </c>
      <c r="L1445" t="s">
        <v>116</v>
      </c>
    </row>
    <row r="1446" spans="1:12" x14ac:dyDescent="0.3">
      <c r="A1446" t="s">
        <v>709</v>
      </c>
      <c r="B1446" t="s">
        <v>1501</v>
      </c>
      <c r="C1446" t="s">
        <v>566</v>
      </c>
      <c r="D1446" t="s">
        <v>275</v>
      </c>
      <c r="E1446" t="s">
        <v>567</v>
      </c>
      <c r="F1446" t="s">
        <v>148</v>
      </c>
      <c r="G1446" t="s">
        <v>111</v>
      </c>
      <c r="H1446" t="s">
        <v>118</v>
      </c>
      <c r="I1446" t="s">
        <v>112</v>
      </c>
      <c r="J1446" t="s">
        <v>119</v>
      </c>
      <c r="K1446" t="s">
        <v>116</v>
      </c>
      <c r="L1446" t="s">
        <v>116</v>
      </c>
    </row>
    <row r="1447" spans="1:12" x14ac:dyDescent="0.3">
      <c r="A1447" t="s">
        <v>709</v>
      </c>
      <c r="B1447" t="s">
        <v>1501</v>
      </c>
      <c r="C1447" t="s">
        <v>566</v>
      </c>
      <c r="D1447" t="s">
        <v>276</v>
      </c>
      <c r="E1447" t="s">
        <v>567</v>
      </c>
      <c r="F1447" t="s">
        <v>149</v>
      </c>
      <c r="G1447" t="s">
        <v>111</v>
      </c>
      <c r="H1447" t="s">
        <v>113</v>
      </c>
      <c r="I1447" t="s">
        <v>112</v>
      </c>
      <c r="J1447" t="s">
        <v>114</v>
      </c>
      <c r="K1447" t="s">
        <v>116</v>
      </c>
      <c r="L1447" t="s">
        <v>116</v>
      </c>
    </row>
    <row r="1448" spans="1:12" x14ac:dyDescent="0.3">
      <c r="A1448" t="s">
        <v>709</v>
      </c>
      <c r="B1448" t="s">
        <v>1501</v>
      </c>
      <c r="C1448" t="s">
        <v>566</v>
      </c>
      <c r="D1448" t="s">
        <v>277</v>
      </c>
      <c r="E1448" t="s">
        <v>567</v>
      </c>
      <c r="F1448" t="s">
        <v>83</v>
      </c>
      <c r="G1448" t="s">
        <v>111</v>
      </c>
      <c r="H1448" t="s">
        <v>113</v>
      </c>
      <c r="I1448" t="s">
        <v>112</v>
      </c>
      <c r="J1448" t="s">
        <v>114</v>
      </c>
      <c r="K1448" t="s">
        <v>116</v>
      </c>
      <c r="L1448" t="s">
        <v>116</v>
      </c>
    </row>
    <row r="1449" spans="1:12" x14ac:dyDescent="0.3">
      <c r="A1449" t="s">
        <v>709</v>
      </c>
      <c r="B1449" t="s">
        <v>1501</v>
      </c>
      <c r="C1449" t="s">
        <v>566</v>
      </c>
      <c r="D1449" t="s">
        <v>278</v>
      </c>
      <c r="E1449" t="s">
        <v>567</v>
      </c>
      <c r="F1449" t="s">
        <v>203</v>
      </c>
      <c r="G1449" t="s">
        <v>111</v>
      </c>
      <c r="H1449" t="s">
        <v>118</v>
      </c>
      <c r="I1449" t="s">
        <v>112</v>
      </c>
      <c r="J1449" t="s">
        <v>119</v>
      </c>
      <c r="K1449" t="s">
        <v>116</v>
      </c>
      <c r="L1449" t="s">
        <v>116</v>
      </c>
    </row>
    <row r="1450" spans="1:12" x14ac:dyDescent="0.3">
      <c r="A1450" t="s">
        <v>709</v>
      </c>
      <c r="B1450" t="s">
        <v>1501</v>
      </c>
      <c r="C1450" t="s">
        <v>566</v>
      </c>
      <c r="D1450" t="s">
        <v>279</v>
      </c>
      <c r="E1450" t="s">
        <v>567</v>
      </c>
      <c r="F1450" t="s">
        <v>150</v>
      </c>
      <c r="G1450" t="s">
        <v>111</v>
      </c>
      <c r="H1450" t="s">
        <v>113</v>
      </c>
      <c r="I1450" t="s">
        <v>112</v>
      </c>
      <c r="J1450" t="s">
        <v>114</v>
      </c>
      <c r="K1450" t="s">
        <v>116</v>
      </c>
      <c r="L1450" t="s">
        <v>116</v>
      </c>
    </row>
    <row r="1451" spans="1:12" x14ac:dyDescent="0.3">
      <c r="A1451" t="s">
        <v>709</v>
      </c>
      <c r="B1451" t="s">
        <v>1501</v>
      </c>
      <c r="C1451" t="s">
        <v>566</v>
      </c>
      <c r="D1451" t="s">
        <v>280</v>
      </c>
      <c r="E1451" t="s">
        <v>567</v>
      </c>
      <c r="F1451" t="s">
        <v>71</v>
      </c>
      <c r="G1451" t="s">
        <v>111</v>
      </c>
      <c r="H1451" t="s">
        <v>113</v>
      </c>
      <c r="I1451" t="s">
        <v>112</v>
      </c>
      <c r="J1451" t="s">
        <v>114</v>
      </c>
      <c r="K1451" t="s">
        <v>116</v>
      </c>
      <c r="L1451" t="s">
        <v>116</v>
      </c>
    </row>
    <row r="1452" spans="1:12" x14ac:dyDescent="0.3">
      <c r="A1452" t="s">
        <v>709</v>
      </c>
      <c r="B1452" t="s">
        <v>1501</v>
      </c>
      <c r="C1452" t="s">
        <v>566</v>
      </c>
      <c r="D1452" t="s">
        <v>282</v>
      </c>
      <c r="E1452" t="s">
        <v>567</v>
      </c>
      <c r="F1452" t="s">
        <v>90</v>
      </c>
      <c r="G1452" t="s">
        <v>111</v>
      </c>
      <c r="H1452" t="s">
        <v>113</v>
      </c>
      <c r="I1452" t="s">
        <v>112</v>
      </c>
      <c r="J1452" t="s">
        <v>114</v>
      </c>
      <c r="K1452" t="s">
        <v>116</v>
      </c>
      <c r="L1452" t="s">
        <v>116</v>
      </c>
    </row>
    <row r="1453" spans="1:12" x14ac:dyDescent="0.3">
      <c r="A1453" t="s">
        <v>709</v>
      </c>
      <c r="B1453" t="s">
        <v>1501</v>
      </c>
      <c r="C1453" t="s">
        <v>566</v>
      </c>
      <c r="D1453" t="s">
        <v>329</v>
      </c>
      <c r="E1453" t="s">
        <v>567</v>
      </c>
      <c r="F1453" t="s">
        <v>92</v>
      </c>
      <c r="G1453" t="s">
        <v>111</v>
      </c>
      <c r="H1453" t="s">
        <v>113</v>
      </c>
      <c r="I1453" t="s">
        <v>112</v>
      </c>
      <c r="J1453" t="s">
        <v>114</v>
      </c>
      <c r="K1453" t="s">
        <v>116</v>
      </c>
      <c r="L1453" t="s">
        <v>116</v>
      </c>
    </row>
    <row r="1454" spans="1:12" x14ac:dyDescent="0.3">
      <c r="A1454" t="s">
        <v>709</v>
      </c>
      <c r="B1454" t="s">
        <v>1501</v>
      </c>
      <c r="C1454" t="s">
        <v>566</v>
      </c>
      <c r="D1454" t="s">
        <v>283</v>
      </c>
      <c r="E1454" t="s">
        <v>567</v>
      </c>
      <c r="F1454" t="s">
        <v>63</v>
      </c>
      <c r="G1454" t="s">
        <v>111</v>
      </c>
      <c r="H1454" t="s">
        <v>118</v>
      </c>
      <c r="I1454" t="s">
        <v>112</v>
      </c>
      <c r="J1454" t="s">
        <v>119</v>
      </c>
      <c r="K1454" t="s">
        <v>116</v>
      </c>
      <c r="L1454" t="s">
        <v>116</v>
      </c>
    </row>
    <row r="1455" spans="1:12" x14ac:dyDescent="0.3">
      <c r="A1455" t="s">
        <v>709</v>
      </c>
      <c r="B1455" t="s">
        <v>1501</v>
      </c>
      <c r="C1455" t="s">
        <v>566</v>
      </c>
      <c r="D1455" t="s">
        <v>284</v>
      </c>
      <c r="E1455" t="s">
        <v>567</v>
      </c>
      <c r="F1455" t="s">
        <v>151</v>
      </c>
      <c r="G1455" t="s">
        <v>111</v>
      </c>
      <c r="H1455" t="s">
        <v>113</v>
      </c>
      <c r="I1455" t="s">
        <v>112</v>
      </c>
      <c r="J1455" t="s">
        <v>114</v>
      </c>
      <c r="K1455" t="s">
        <v>116</v>
      </c>
      <c r="L1455" t="s">
        <v>116</v>
      </c>
    </row>
    <row r="1456" spans="1:12" x14ac:dyDescent="0.3">
      <c r="A1456" t="s">
        <v>709</v>
      </c>
      <c r="B1456" t="s">
        <v>1501</v>
      </c>
      <c r="C1456" t="s">
        <v>566</v>
      </c>
      <c r="D1456" t="s">
        <v>285</v>
      </c>
      <c r="E1456" t="s">
        <v>567</v>
      </c>
      <c r="F1456" t="s">
        <v>195</v>
      </c>
      <c r="G1456" t="s">
        <v>111</v>
      </c>
      <c r="H1456" t="s">
        <v>113</v>
      </c>
      <c r="I1456" t="s">
        <v>112</v>
      </c>
      <c r="J1456" t="s">
        <v>114</v>
      </c>
      <c r="K1456" t="s">
        <v>116</v>
      </c>
      <c r="L1456" t="s">
        <v>116</v>
      </c>
    </row>
    <row r="1457" spans="1:12" x14ac:dyDescent="0.3">
      <c r="A1457" t="s">
        <v>709</v>
      </c>
      <c r="B1457" t="s">
        <v>1501</v>
      </c>
      <c r="C1457" t="s">
        <v>566</v>
      </c>
      <c r="D1457" t="s">
        <v>330</v>
      </c>
      <c r="E1457" t="s">
        <v>567</v>
      </c>
      <c r="F1457" t="s">
        <v>177</v>
      </c>
      <c r="G1457" t="s">
        <v>111</v>
      </c>
      <c r="H1457" t="s">
        <v>147</v>
      </c>
      <c r="I1457" t="s">
        <v>112</v>
      </c>
      <c r="J1457" t="s">
        <v>119</v>
      </c>
      <c r="K1457" t="s">
        <v>1773</v>
      </c>
      <c r="L1457" t="s">
        <v>1773</v>
      </c>
    </row>
    <row r="1458" spans="1:12" x14ac:dyDescent="0.3">
      <c r="A1458" t="s">
        <v>709</v>
      </c>
      <c r="B1458" t="s">
        <v>1501</v>
      </c>
      <c r="C1458" t="s">
        <v>566</v>
      </c>
      <c r="D1458" t="s">
        <v>288</v>
      </c>
      <c r="E1458" t="s">
        <v>567</v>
      </c>
      <c r="F1458" t="s">
        <v>178</v>
      </c>
      <c r="G1458" t="s">
        <v>111</v>
      </c>
      <c r="H1458" t="s">
        <v>113</v>
      </c>
      <c r="I1458" t="s">
        <v>112</v>
      </c>
      <c r="J1458" t="s">
        <v>114</v>
      </c>
      <c r="K1458" t="s">
        <v>116</v>
      </c>
      <c r="L1458" t="s">
        <v>116</v>
      </c>
    </row>
    <row r="1459" spans="1:12" x14ac:dyDescent="0.3">
      <c r="A1459" t="s">
        <v>709</v>
      </c>
      <c r="B1459" t="s">
        <v>1501</v>
      </c>
      <c r="C1459" t="s">
        <v>566</v>
      </c>
      <c r="D1459" t="s">
        <v>289</v>
      </c>
      <c r="E1459" t="s">
        <v>567</v>
      </c>
      <c r="F1459" t="s">
        <v>179</v>
      </c>
      <c r="G1459" t="s">
        <v>111</v>
      </c>
      <c r="H1459" t="s">
        <v>113</v>
      </c>
      <c r="I1459" t="s">
        <v>112</v>
      </c>
      <c r="J1459" t="s">
        <v>114</v>
      </c>
      <c r="K1459" t="s">
        <v>116</v>
      </c>
      <c r="L1459" t="s">
        <v>116</v>
      </c>
    </row>
    <row r="1460" spans="1:12" x14ac:dyDescent="0.3">
      <c r="A1460" t="s">
        <v>709</v>
      </c>
      <c r="B1460" t="s">
        <v>1501</v>
      </c>
      <c r="C1460" t="s">
        <v>566</v>
      </c>
      <c r="D1460" t="s">
        <v>290</v>
      </c>
      <c r="E1460" t="s">
        <v>567</v>
      </c>
      <c r="F1460" t="s">
        <v>153</v>
      </c>
      <c r="G1460" t="s">
        <v>111</v>
      </c>
      <c r="H1460" t="s">
        <v>113</v>
      </c>
      <c r="I1460" t="s">
        <v>112</v>
      </c>
      <c r="J1460" t="s">
        <v>114</v>
      </c>
      <c r="K1460" t="s">
        <v>116</v>
      </c>
      <c r="L1460" t="s">
        <v>116</v>
      </c>
    </row>
    <row r="1461" spans="1:12" x14ac:dyDescent="0.3">
      <c r="A1461" t="s">
        <v>709</v>
      </c>
      <c r="B1461" t="s">
        <v>1501</v>
      </c>
      <c r="C1461" t="s">
        <v>566</v>
      </c>
      <c r="D1461" t="s">
        <v>291</v>
      </c>
      <c r="E1461" t="s">
        <v>567</v>
      </c>
      <c r="F1461" t="s">
        <v>154</v>
      </c>
      <c r="G1461" t="s">
        <v>111</v>
      </c>
      <c r="H1461" t="s">
        <v>113</v>
      </c>
      <c r="I1461" t="s">
        <v>112</v>
      </c>
      <c r="J1461" t="s">
        <v>114</v>
      </c>
      <c r="K1461" t="s">
        <v>116</v>
      </c>
      <c r="L1461" t="s">
        <v>116</v>
      </c>
    </row>
    <row r="1462" spans="1:12" x14ac:dyDescent="0.3">
      <c r="A1462" t="s">
        <v>709</v>
      </c>
      <c r="B1462" t="s">
        <v>1501</v>
      </c>
      <c r="C1462" t="s">
        <v>566</v>
      </c>
      <c r="D1462" t="s">
        <v>292</v>
      </c>
      <c r="E1462" t="s">
        <v>567</v>
      </c>
      <c r="F1462" t="s">
        <v>55</v>
      </c>
      <c r="G1462" t="s">
        <v>111</v>
      </c>
      <c r="H1462" t="s">
        <v>113</v>
      </c>
      <c r="I1462" t="s">
        <v>112</v>
      </c>
      <c r="J1462" t="s">
        <v>114</v>
      </c>
      <c r="K1462" t="s">
        <v>116</v>
      </c>
      <c r="L1462" t="s">
        <v>116</v>
      </c>
    </row>
    <row r="1463" spans="1:12" x14ac:dyDescent="0.3">
      <c r="A1463" t="s">
        <v>709</v>
      </c>
      <c r="B1463" t="s">
        <v>1501</v>
      </c>
      <c r="C1463" t="s">
        <v>566</v>
      </c>
      <c r="D1463" t="s">
        <v>334</v>
      </c>
      <c r="E1463" t="s">
        <v>567</v>
      </c>
      <c r="F1463" t="s">
        <v>155</v>
      </c>
      <c r="G1463" t="s">
        <v>111</v>
      </c>
      <c r="H1463" t="s">
        <v>113</v>
      </c>
      <c r="I1463" t="s">
        <v>112</v>
      </c>
      <c r="J1463" t="s">
        <v>114</v>
      </c>
      <c r="K1463" t="s">
        <v>116</v>
      </c>
      <c r="L1463" t="s">
        <v>116</v>
      </c>
    </row>
    <row r="1464" spans="1:12" x14ac:dyDescent="0.3">
      <c r="A1464" t="s">
        <v>709</v>
      </c>
      <c r="B1464" t="s">
        <v>1501</v>
      </c>
      <c r="C1464" t="s">
        <v>566</v>
      </c>
      <c r="D1464" t="s">
        <v>295</v>
      </c>
      <c r="E1464" t="s">
        <v>567</v>
      </c>
      <c r="F1464" t="s">
        <v>103</v>
      </c>
      <c r="G1464" t="s">
        <v>111</v>
      </c>
      <c r="H1464" t="s">
        <v>113</v>
      </c>
      <c r="I1464" t="s">
        <v>112</v>
      </c>
      <c r="J1464" t="s">
        <v>114</v>
      </c>
      <c r="K1464" t="s">
        <v>116</v>
      </c>
      <c r="L1464" t="s">
        <v>116</v>
      </c>
    </row>
    <row r="1465" spans="1:12" x14ac:dyDescent="0.3">
      <c r="A1465" t="s">
        <v>709</v>
      </c>
      <c r="B1465" t="s">
        <v>1501</v>
      </c>
      <c r="C1465" t="s">
        <v>566</v>
      </c>
      <c r="D1465" t="s">
        <v>337</v>
      </c>
      <c r="E1465" t="s">
        <v>567</v>
      </c>
      <c r="F1465" t="s">
        <v>157</v>
      </c>
      <c r="G1465" t="s">
        <v>111</v>
      </c>
      <c r="H1465" t="s">
        <v>113</v>
      </c>
      <c r="I1465" t="s">
        <v>112</v>
      </c>
      <c r="J1465" t="s">
        <v>114</v>
      </c>
      <c r="K1465" t="s">
        <v>116</v>
      </c>
      <c r="L1465" t="s">
        <v>116</v>
      </c>
    </row>
    <row r="1466" spans="1:12" x14ac:dyDescent="0.3">
      <c r="A1466" t="s">
        <v>709</v>
      </c>
      <c r="B1466" t="s">
        <v>1501</v>
      </c>
      <c r="C1466" t="s">
        <v>566</v>
      </c>
      <c r="D1466" t="s">
        <v>296</v>
      </c>
      <c r="E1466" t="s">
        <v>567</v>
      </c>
      <c r="F1466" t="s">
        <v>198</v>
      </c>
      <c r="G1466" t="s">
        <v>111</v>
      </c>
      <c r="H1466" t="s">
        <v>113</v>
      </c>
      <c r="I1466" t="s">
        <v>112</v>
      </c>
      <c r="J1466" t="s">
        <v>114</v>
      </c>
      <c r="K1466" t="s">
        <v>116</v>
      </c>
      <c r="L1466" t="s">
        <v>116</v>
      </c>
    </row>
    <row r="1467" spans="1:12" x14ac:dyDescent="0.3">
      <c r="A1467" t="s">
        <v>709</v>
      </c>
      <c r="B1467" t="s">
        <v>1501</v>
      </c>
      <c r="C1467" t="s">
        <v>566</v>
      </c>
      <c r="D1467" t="s">
        <v>297</v>
      </c>
      <c r="E1467" t="s">
        <v>567</v>
      </c>
      <c r="F1467" t="s">
        <v>180</v>
      </c>
      <c r="G1467" t="s">
        <v>111</v>
      </c>
      <c r="H1467" t="s">
        <v>113</v>
      </c>
      <c r="I1467" t="s">
        <v>112</v>
      </c>
      <c r="J1467" t="s">
        <v>114</v>
      </c>
      <c r="K1467" t="s">
        <v>116</v>
      </c>
      <c r="L1467" t="s">
        <v>116</v>
      </c>
    </row>
    <row r="1468" spans="1:12" x14ac:dyDescent="0.3">
      <c r="A1468" t="s">
        <v>709</v>
      </c>
      <c r="B1468" t="s">
        <v>1501</v>
      </c>
      <c r="C1468" t="s">
        <v>566</v>
      </c>
      <c r="D1468" t="s">
        <v>298</v>
      </c>
      <c r="E1468" t="s">
        <v>567</v>
      </c>
      <c r="F1468" t="s">
        <v>158</v>
      </c>
      <c r="G1468" t="s">
        <v>111</v>
      </c>
      <c r="H1468" t="s">
        <v>113</v>
      </c>
      <c r="I1468" t="s">
        <v>112</v>
      </c>
      <c r="J1468" t="s">
        <v>114</v>
      </c>
      <c r="K1468" t="s">
        <v>116</v>
      </c>
      <c r="L1468" t="s">
        <v>116</v>
      </c>
    </row>
    <row r="1469" spans="1:12" x14ac:dyDescent="0.3">
      <c r="A1469" t="s">
        <v>709</v>
      </c>
      <c r="B1469" t="s">
        <v>1501</v>
      </c>
      <c r="C1469" t="s">
        <v>566</v>
      </c>
      <c r="D1469" t="s">
        <v>336</v>
      </c>
      <c r="E1469" t="s">
        <v>567</v>
      </c>
      <c r="F1469" t="s">
        <v>159</v>
      </c>
      <c r="G1469" t="s">
        <v>111</v>
      </c>
      <c r="H1469" t="s">
        <v>113</v>
      </c>
      <c r="I1469" t="s">
        <v>112</v>
      </c>
      <c r="J1469" t="s">
        <v>114</v>
      </c>
      <c r="K1469" t="s">
        <v>116</v>
      </c>
      <c r="L1469" t="s">
        <v>116</v>
      </c>
    </row>
    <row r="1470" spans="1:12" x14ac:dyDescent="0.3">
      <c r="A1470" t="s">
        <v>709</v>
      </c>
      <c r="B1470" t="s">
        <v>1501</v>
      </c>
      <c r="C1470" t="s">
        <v>566</v>
      </c>
      <c r="D1470" t="s">
        <v>299</v>
      </c>
      <c r="E1470" t="s">
        <v>567</v>
      </c>
      <c r="F1470" t="s">
        <v>47</v>
      </c>
      <c r="G1470" t="s">
        <v>111</v>
      </c>
      <c r="H1470" t="s">
        <v>113</v>
      </c>
      <c r="I1470" t="s">
        <v>112</v>
      </c>
      <c r="J1470" t="s">
        <v>114</v>
      </c>
      <c r="K1470" t="s">
        <v>116</v>
      </c>
      <c r="L1470" t="s">
        <v>116</v>
      </c>
    </row>
    <row r="1471" spans="1:12" x14ac:dyDescent="0.3">
      <c r="A1471" t="s">
        <v>709</v>
      </c>
      <c r="B1471" t="s">
        <v>1501</v>
      </c>
      <c r="C1471" t="s">
        <v>566</v>
      </c>
      <c r="D1471" t="s">
        <v>300</v>
      </c>
      <c r="E1471" t="s">
        <v>567</v>
      </c>
      <c r="F1471" t="s">
        <v>181</v>
      </c>
      <c r="G1471" t="s">
        <v>111</v>
      </c>
      <c r="H1471" t="s">
        <v>113</v>
      </c>
      <c r="I1471" t="s">
        <v>112</v>
      </c>
      <c r="J1471" t="s">
        <v>114</v>
      </c>
      <c r="K1471" t="s">
        <v>116</v>
      </c>
      <c r="L1471" t="s">
        <v>116</v>
      </c>
    </row>
    <row r="1472" spans="1:12" x14ac:dyDescent="0.3">
      <c r="A1472" t="s">
        <v>709</v>
      </c>
      <c r="B1472" t="s">
        <v>1501</v>
      </c>
      <c r="C1472" t="s">
        <v>566</v>
      </c>
      <c r="D1472" t="s">
        <v>208</v>
      </c>
      <c r="E1472" t="s">
        <v>567</v>
      </c>
      <c r="F1472" t="s">
        <v>161</v>
      </c>
      <c r="G1472" t="s">
        <v>111</v>
      </c>
      <c r="H1472" t="s">
        <v>113</v>
      </c>
      <c r="I1472" t="s">
        <v>112</v>
      </c>
      <c r="J1472" t="s">
        <v>114</v>
      </c>
      <c r="K1472" t="s">
        <v>116</v>
      </c>
      <c r="L1472" t="s">
        <v>116</v>
      </c>
    </row>
    <row r="1473" spans="1:12" x14ac:dyDescent="0.3">
      <c r="A1473" t="s">
        <v>731</v>
      </c>
      <c r="B1473" t="s">
        <v>1505</v>
      </c>
      <c r="C1473" t="s">
        <v>566</v>
      </c>
      <c r="D1473" t="s">
        <v>209</v>
      </c>
      <c r="E1473" t="s">
        <v>569</v>
      </c>
      <c r="F1473" t="s">
        <v>115</v>
      </c>
      <c r="G1473" t="s">
        <v>111</v>
      </c>
      <c r="H1473" t="s">
        <v>113</v>
      </c>
      <c r="I1473" t="s">
        <v>112</v>
      </c>
      <c r="J1473" t="s">
        <v>114</v>
      </c>
      <c r="K1473" t="s">
        <v>116</v>
      </c>
      <c r="L1473" t="s">
        <v>116</v>
      </c>
    </row>
    <row r="1474" spans="1:12" x14ac:dyDescent="0.3">
      <c r="A1474" t="s">
        <v>731</v>
      </c>
      <c r="B1474" t="s">
        <v>1505</v>
      </c>
      <c r="C1474" t="s">
        <v>566</v>
      </c>
      <c r="D1474" t="s">
        <v>210</v>
      </c>
      <c r="E1474" t="s">
        <v>569</v>
      </c>
      <c r="F1474" t="s">
        <v>59</v>
      </c>
      <c r="G1474" t="s">
        <v>111</v>
      </c>
      <c r="H1474" t="s">
        <v>147</v>
      </c>
      <c r="I1474" t="s">
        <v>112</v>
      </c>
      <c r="J1474" t="s">
        <v>119</v>
      </c>
      <c r="K1474" t="s">
        <v>1525</v>
      </c>
      <c r="L1474" t="s">
        <v>1525</v>
      </c>
    </row>
    <row r="1475" spans="1:12" x14ac:dyDescent="0.3">
      <c r="A1475" t="s">
        <v>731</v>
      </c>
      <c r="B1475" t="s">
        <v>1505</v>
      </c>
      <c r="C1475" t="s">
        <v>566</v>
      </c>
      <c r="D1475" t="s">
        <v>304</v>
      </c>
      <c r="E1475" t="s">
        <v>569</v>
      </c>
      <c r="F1475" t="s">
        <v>117</v>
      </c>
      <c r="G1475" t="s">
        <v>111</v>
      </c>
      <c r="H1475" t="s">
        <v>113</v>
      </c>
      <c r="I1475" t="s">
        <v>112</v>
      </c>
      <c r="J1475" t="s">
        <v>114</v>
      </c>
      <c r="K1475" t="s">
        <v>116</v>
      </c>
      <c r="L1475" t="s">
        <v>116</v>
      </c>
    </row>
    <row r="1476" spans="1:12" x14ac:dyDescent="0.3">
      <c r="A1476" t="s">
        <v>731</v>
      </c>
      <c r="B1476" t="s">
        <v>1505</v>
      </c>
      <c r="C1476" t="s">
        <v>566</v>
      </c>
      <c r="D1476" t="s">
        <v>211</v>
      </c>
      <c r="E1476" t="s">
        <v>569</v>
      </c>
      <c r="F1476" t="s">
        <v>188</v>
      </c>
      <c r="G1476" t="s">
        <v>111</v>
      </c>
      <c r="H1476" t="s">
        <v>113</v>
      </c>
      <c r="I1476" t="s">
        <v>112</v>
      </c>
      <c r="J1476" t="s">
        <v>114</v>
      </c>
      <c r="K1476" t="s">
        <v>116</v>
      </c>
      <c r="L1476" t="s">
        <v>116</v>
      </c>
    </row>
    <row r="1477" spans="1:12" x14ac:dyDescent="0.3">
      <c r="A1477" t="s">
        <v>731</v>
      </c>
      <c r="B1477" t="s">
        <v>1505</v>
      </c>
      <c r="C1477" t="s">
        <v>566</v>
      </c>
      <c r="D1477" t="s">
        <v>212</v>
      </c>
      <c r="E1477" t="s">
        <v>569</v>
      </c>
      <c r="F1477" t="s">
        <v>164</v>
      </c>
      <c r="G1477" t="s">
        <v>111</v>
      </c>
      <c r="H1477" t="s">
        <v>113</v>
      </c>
      <c r="I1477" t="s">
        <v>112</v>
      </c>
      <c r="J1477" t="s">
        <v>114</v>
      </c>
      <c r="K1477" t="s">
        <v>116</v>
      </c>
      <c r="L1477" t="s">
        <v>116</v>
      </c>
    </row>
    <row r="1478" spans="1:12" x14ac:dyDescent="0.3">
      <c r="A1478" t="s">
        <v>731</v>
      </c>
      <c r="B1478" t="s">
        <v>1505</v>
      </c>
      <c r="C1478" t="s">
        <v>566</v>
      </c>
      <c r="D1478" t="s">
        <v>213</v>
      </c>
      <c r="E1478" t="s">
        <v>569</v>
      </c>
      <c r="F1478" t="s">
        <v>53</v>
      </c>
      <c r="G1478" t="s">
        <v>111</v>
      </c>
      <c r="H1478" t="s">
        <v>113</v>
      </c>
      <c r="I1478" t="s">
        <v>112</v>
      </c>
      <c r="J1478" t="s">
        <v>114</v>
      </c>
      <c r="K1478" t="s">
        <v>116</v>
      </c>
      <c r="L1478" t="s">
        <v>116</v>
      </c>
    </row>
    <row r="1479" spans="1:12" x14ac:dyDescent="0.3">
      <c r="A1479" t="s">
        <v>731</v>
      </c>
      <c r="B1479" t="s">
        <v>1505</v>
      </c>
      <c r="C1479" t="s">
        <v>566</v>
      </c>
      <c r="D1479" t="s">
        <v>215</v>
      </c>
      <c r="E1479" t="s">
        <v>569</v>
      </c>
      <c r="F1479" t="s">
        <v>69</v>
      </c>
      <c r="G1479" t="s">
        <v>111</v>
      </c>
      <c r="H1479" t="s">
        <v>113</v>
      </c>
      <c r="I1479" t="s">
        <v>112</v>
      </c>
      <c r="J1479" t="s">
        <v>114</v>
      </c>
      <c r="K1479" t="s">
        <v>116</v>
      </c>
      <c r="L1479" t="s">
        <v>116</v>
      </c>
    </row>
    <row r="1480" spans="1:12" x14ac:dyDescent="0.3">
      <c r="A1480" t="s">
        <v>731</v>
      </c>
      <c r="B1480" t="s">
        <v>1505</v>
      </c>
      <c r="C1480" t="s">
        <v>566</v>
      </c>
      <c r="D1480" t="s">
        <v>216</v>
      </c>
      <c r="E1480" t="s">
        <v>569</v>
      </c>
      <c r="F1480" t="s">
        <v>121</v>
      </c>
      <c r="G1480" t="s">
        <v>111</v>
      </c>
      <c r="H1480" t="s">
        <v>113</v>
      </c>
      <c r="I1480" t="s">
        <v>112</v>
      </c>
      <c r="J1480" t="s">
        <v>114</v>
      </c>
      <c r="K1480" t="s">
        <v>116</v>
      </c>
      <c r="L1480" t="s">
        <v>116</v>
      </c>
    </row>
    <row r="1481" spans="1:12" x14ac:dyDescent="0.3">
      <c r="A1481" t="s">
        <v>731</v>
      </c>
      <c r="B1481" t="s">
        <v>1505</v>
      </c>
      <c r="C1481" t="s">
        <v>566</v>
      </c>
      <c r="D1481" t="s">
        <v>217</v>
      </c>
      <c r="E1481" t="s">
        <v>569</v>
      </c>
      <c r="F1481" t="s">
        <v>122</v>
      </c>
      <c r="G1481" t="s">
        <v>111</v>
      </c>
      <c r="H1481" t="s">
        <v>113</v>
      </c>
      <c r="I1481" t="s">
        <v>112</v>
      </c>
      <c r="J1481" t="s">
        <v>114</v>
      </c>
      <c r="K1481" t="s">
        <v>116</v>
      </c>
      <c r="L1481" t="s">
        <v>116</v>
      </c>
    </row>
    <row r="1482" spans="1:12" x14ac:dyDescent="0.3">
      <c r="A1482" t="s">
        <v>731</v>
      </c>
      <c r="B1482" t="s">
        <v>1505</v>
      </c>
      <c r="C1482" t="s">
        <v>566</v>
      </c>
      <c r="D1482" t="s">
        <v>306</v>
      </c>
      <c r="E1482" t="s">
        <v>569</v>
      </c>
      <c r="F1482" t="s">
        <v>165</v>
      </c>
      <c r="G1482" t="s">
        <v>111</v>
      </c>
      <c r="H1482" t="s">
        <v>113</v>
      </c>
      <c r="I1482" t="s">
        <v>112</v>
      </c>
      <c r="J1482" t="s">
        <v>114</v>
      </c>
      <c r="K1482" t="s">
        <v>116</v>
      </c>
      <c r="L1482" t="s">
        <v>116</v>
      </c>
    </row>
    <row r="1483" spans="1:12" x14ac:dyDescent="0.3">
      <c r="A1483" t="s">
        <v>731</v>
      </c>
      <c r="B1483" t="s">
        <v>1505</v>
      </c>
      <c r="C1483" t="s">
        <v>566</v>
      </c>
      <c r="D1483" t="s">
        <v>218</v>
      </c>
      <c r="E1483" t="s">
        <v>569</v>
      </c>
      <c r="F1483" t="s">
        <v>166</v>
      </c>
      <c r="G1483" t="s">
        <v>111</v>
      </c>
      <c r="H1483" t="s">
        <v>113</v>
      </c>
      <c r="I1483" t="s">
        <v>112</v>
      </c>
      <c r="J1483" t="s">
        <v>114</v>
      </c>
      <c r="K1483" t="s">
        <v>116</v>
      </c>
      <c r="L1483" t="s">
        <v>116</v>
      </c>
    </row>
    <row r="1484" spans="1:12" x14ac:dyDescent="0.3">
      <c r="A1484" t="s">
        <v>731</v>
      </c>
      <c r="B1484" t="s">
        <v>1505</v>
      </c>
      <c r="C1484" t="s">
        <v>566</v>
      </c>
      <c r="D1484" t="s">
        <v>307</v>
      </c>
      <c r="E1484" t="s">
        <v>569</v>
      </c>
      <c r="F1484" t="s">
        <v>123</v>
      </c>
      <c r="G1484" t="s">
        <v>111</v>
      </c>
      <c r="H1484" t="s">
        <v>118</v>
      </c>
      <c r="I1484" t="s">
        <v>112</v>
      </c>
      <c r="J1484" t="s">
        <v>119</v>
      </c>
      <c r="K1484" t="s">
        <v>116</v>
      </c>
      <c r="L1484" t="s">
        <v>116</v>
      </c>
    </row>
    <row r="1485" spans="1:12" x14ac:dyDescent="0.3">
      <c r="A1485" t="s">
        <v>731</v>
      </c>
      <c r="B1485" t="s">
        <v>1505</v>
      </c>
      <c r="C1485" t="s">
        <v>566</v>
      </c>
      <c r="D1485" t="s">
        <v>219</v>
      </c>
      <c r="E1485" t="s">
        <v>569</v>
      </c>
      <c r="F1485" t="s">
        <v>189</v>
      </c>
      <c r="G1485" t="s">
        <v>111</v>
      </c>
      <c r="H1485" t="s">
        <v>118</v>
      </c>
      <c r="I1485" t="s">
        <v>112</v>
      </c>
      <c r="J1485" t="s">
        <v>119</v>
      </c>
      <c r="K1485" t="s">
        <v>116</v>
      </c>
      <c r="L1485" t="s">
        <v>116</v>
      </c>
    </row>
    <row r="1486" spans="1:12" x14ac:dyDescent="0.3">
      <c r="A1486" t="s">
        <v>731</v>
      </c>
      <c r="B1486" t="s">
        <v>1505</v>
      </c>
      <c r="C1486" t="s">
        <v>566</v>
      </c>
      <c r="D1486" t="s">
        <v>220</v>
      </c>
      <c r="E1486" t="s">
        <v>569</v>
      </c>
      <c r="F1486" t="s">
        <v>54</v>
      </c>
      <c r="G1486" t="s">
        <v>111</v>
      </c>
      <c r="H1486" t="s">
        <v>113</v>
      </c>
      <c r="I1486" t="s">
        <v>112</v>
      </c>
      <c r="J1486" t="s">
        <v>114</v>
      </c>
      <c r="K1486" t="s">
        <v>1526</v>
      </c>
      <c r="L1486" t="s">
        <v>1526</v>
      </c>
    </row>
    <row r="1487" spans="1:12" x14ac:dyDescent="0.3">
      <c r="A1487" t="s">
        <v>731</v>
      </c>
      <c r="B1487" t="s">
        <v>1505</v>
      </c>
      <c r="C1487" t="s">
        <v>566</v>
      </c>
      <c r="D1487" t="s">
        <v>308</v>
      </c>
      <c r="E1487" t="s">
        <v>569</v>
      </c>
      <c r="F1487" t="s">
        <v>190</v>
      </c>
      <c r="G1487" t="s">
        <v>111</v>
      </c>
      <c r="H1487" t="s">
        <v>113</v>
      </c>
      <c r="I1487" t="s">
        <v>112</v>
      </c>
      <c r="J1487" t="s">
        <v>114</v>
      </c>
      <c r="K1487" t="s">
        <v>116</v>
      </c>
      <c r="L1487" t="s">
        <v>116</v>
      </c>
    </row>
    <row r="1488" spans="1:12" x14ac:dyDescent="0.3">
      <c r="A1488" t="s">
        <v>731</v>
      </c>
      <c r="B1488" t="s">
        <v>1505</v>
      </c>
      <c r="C1488" t="s">
        <v>566</v>
      </c>
      <c r="D1488" t="s">
        <v>222</v>
      </c>
      <c r="E1488" t="s">
        <v>569</v>
      </c>
      <c r="F1488" t="s">
        <v>124</v>
      </c>
      <c r="G1488" t="s">
        <v>111</v>
      </c>
      <c r="H1488" t="s">
        <v>113</v>
      </c>
      <c r="I1488" t="s">
        <v>112</v>
      </c>
      <c r="J1488" t="s">
        <v>114</v>
      </c>
      <c r="K1488" t="s">
        <v>116</v>
      </c>
      <c r="L1488" t="s">
        <v>116</v>
      </c>
    </row>
    <row r="1489" spans="1:12" x14ac:dyDescent="0.3">
      <c r="A1489" t="s">
        <v>731</v>
      </c>
      <c r="B1489" t="s">
        <v>1505</v>
      </c>
      <c r="C1489" t="s">
        <v>566</v>
      </c>
      <c r="D1489" t="s">
        <v>223</v>
      </c>
      <c r="E1489" t="s">
        <v>569</v>
      </c>
      <c r="F1489" t="s">
        <v>65</v>
      </c>
      <c r="G1489" t="s">
        <v>111</v>
      </c>
      <c r="H1489" t="s">
        <v>113</v>
      </c>
      <c r="I1489" t="s">
        <v>112</v>
      </c>
      <c r="J1489" t="s">
        <v>114</v>
      </c>
      <c r="K1489" t="s">
        <v>116</v>
      </c>
      <c r="L1489" t="s">
        <v>116</v>
      </c>
    </row>
    <row r="1490" spans="1:12" x14ac:dyDescent="0.3">
      <c r="A1490" t="s">
        <v>731</v>
      </c>
      <c r="B1490" t="s">
        <v>1505</v>
      </c>
      <c r="C1490" t="s">
        <v>566</v>
      </c>
      <c r="D1490" t="s">
        <v>224</v>
      </c>
      <c r="E1490" t="s">
        <v>569</v>
      </c>
      <c r="F1490" t="s">
        <v>125</v>
      </c>
      <c r="G1490" t="s">
        <v>111</v>
      </c>
      <c r="H1490" t="s">
        <v>113</v>
      </c>
      <c r="I1490" t="s">
        <v>112</v>
      </c>
      <c r="J1490" t="s">
        <v>114</v>
      </c>
      <c r="K1490" t="s">
        <v>116</v>
      </c>
      <c r="L1490" t="s">
        <v>116</v>
      </c>
    </row>
    <row r="1491" spans="1:12" x14ac:dyDescent="0.3">
      <c r="A1491" t="s">
        <v>731</v>
      </c>
      <c r="B1491" t="s">
        <v>1505</v>
      </c>
      <c r="C1491" t="s">
        <v>566</v>
      </c>
      <c r="D1491" t="s">
        <v>225</v>
      </c>
      <c r="E1491" t="s">
        <v>569</v>
      </c>
      <c r="F1491" t="s">
        <v>126</v>
      </c>
      <c r="G1491" t="s">
        <v>111</v>
      </c>
      <c r="H1491" t="s">
        <v>113</v>
      </c>
      <c r="I1491" t="s">
        <v>112</v>
      </c>
      <c r="J1491" t="s">
        <v>114</v>
      </c>
      <c r="K1491" t="s">
        <v>116</v>
      </c>
      <c r="L1491" t="s">
        <v>116</v>
      </c>
    </row>
    <row r="1492" spans="1:12" x14ac:dyDescent="0.3">
      <c r="A1492" t="s">
        <v>731</v>
      </c>
      <c r="B1492" t="s">
        <v>1505</v>
      </c>
      <c r="C1492" t="s">
        <v>566</v>
      </c>
      <c r="D1492" t="s">
        <v>226</v>
      </c>
      <c r="E1492" t="s">
        <v>569</v>
      </c>
      <c r="F1492" t="s">
        <v>80</v>
      </c>
      <c r="G1492" t="s">
        <v>111</v>
      </c>
      <c r="H1492" t="s">
        <v>113</v>
      </c>
      <c r="I1492" t="s">
        <v>112</v>
      </c>
      <c r="J1492" t="s">
        <v>114</v>
      </c>
      <c r="K1492" t="s">
        <v>116</v>
      </c>
      <c r="L1492" t="s">
        <v>116</v>
      </c>
    </row>
    <row r="1493" spans="1:12" x14ac:dyDescent="0.3">
      <c r="A1493" t="s">
        <v>731</v>
      </c>
      <c r="B1493" t="s">
        <v>1505</v>
      </c>
      <c r="C1493" t="s">
        <v>566</v>
      </c>
      <c r="D1493" t="s">
        <v>227</v>
      </c>
      <c r="E1493" t="s">
        <v>569</v>
      </c>
      <c r="F1493" t="s">
        <v>192</v>
      </c>
      <c r="G1493" t="s">
        <v>111</v>
      </c>
      <c r="H1493" t="s">
        <v>113</v>
      </c>
      <c r="I1493" t="s">
        <v>112</v>
      </c>
      <c r="J1493" t="s">
        <v>114</v>
      </c>
      <c r="K1493" t="s">
        <v>116</v>
      </c>
      <c r="L1493" t="s">
        <v>116</v>
      </c>
    </row>
    <row r="1494" spans="1:12" x14ac:dyDescent="0.3">
      <c r="A1494" t="s">
        <v>731</v>
      </c>
      <c r="B1494" t="s">
        <v>1505</v>
      </c>
      <c r="C1494" t="s">
        <v>566</v>
      </c>
      <c r="D1494" t="s">
        <v>228</v>
      </c>
      <c r="E1494" t="s">
        <v>569</v>
      </c>
      <c r="F1494" t="s">
        <v>167</v>
      </c>
      <c r="G1494" t="s">
        <v>111</v>
      </c>
      <c r="H1494" t="s">
        <v>113</v>
      </c>
      <c r="I1494" t="s">
        <v>112</v>
      </c>
      <c r="J1494" t="s">
        <v>114</v>
      </c>
      <c r="K1494" t="s">
        <v>116</v>
      </c>
      <c r="L1494" t="s">
        <v>116</v>
      </c>
    </row>
    <row r="1495" spans="1:12" x14ac:dyDescent="0.3">
      <c r="A1495" t="s">
        <v>731</v>
      </c>
      <c r="B1495" t="s">
        <v>1505</v>
      </c>
      <c r="C1495" t="s">
        <v>566</v>
      </c>
      <c r="D1495" t="s">
        <v>229</v>
      </c>
      <c r="E1495" t="s">
        <v>569</v>
      </c>
      <c r="F1495" t="s">
        <v>127</v>
      </c>
      <c r="G1495" t="s">
        <v>111</v>
      </c>
      <c r="H1495" t="s">
        <v>113</v>
      </c>
      <c r="I1495" t="s">
        <v>112</v>
      </c>
      <c r="J1495" t="s">
        <v>114</v>
      </c>
      <c r="K1495" t="s">
        <v>116</v>
      </c>
      <c r="L1495" t="s">
        <v>116</v>
      </c>
    </row>
    <row r="1496" spans="1:12" x14ac:dyDescent="0.3">
      <c r="A1496" t="s">
        <v>731</v>
      </c>
      <c r="B1496" t="s">
        <v>1505</v>
      </c>
      <c r="C1496" t="s">
        <v>566</v>
      </c>
      <c r="D1496" t="s">
        <v>230</v>
      </c>
      <c r="E1496" t="s">
        <v>569</v>
      </c>
      <c r="F1496" t="s">
        <v>168</v>
      </c>
      <c r="G1496" t="s">
        <v>111</v>
      </c>
      <c r="H1496" t="s">
        <v>113</v>
      </c>
      <c r="I1496" t="s">
        <v>112</v>
      </c>
      <c r="J1496" t="s">
        <v>114</v>
      </c>
      <c r="K1496" t="s">
        <v>116</v>
      </c>
      <c r="L1496" t="s">
        <v>116</v>
      </c>
    </row>
    <row r="1497" spans="1:12" x14ac:dyDescent="0.3">
      <c r="A1497" t="s">
        <v>731</v>
      </c>
      <c r="B1497" t="s">
        <v>1505</v>
      </c>
      <c r="C1497" t="s">
        <v>566</v>
      </c>
      <c r="D1497" t="s">
        <v>311</v>
      </c>
      <c r="E1497" t="s">
        <v>569</v>
      </c>
      <c r="F1497" t="s">
        <v>89</v>
      </c>
      <c r="G1497" t="s">
        <v>111</v>
      </c>
      <c r="H1497" t="s">
        <v>113</v>
      </c>
      <c r="I1497" t="s">
        <v>112</v>
      </c>
      <c r="J1497" t="s">
        <v>114</v>
      </c>
      <c r="K1497" t="s">
        <v>116</v>
      </c>
      <c r="L1497" t="s">
        <v>116</v>
      </c>
    </row>
    <row r="1498" spans="1:12" x14ac:dyDescent="0.3">
      <c r="A1498" t="s">
        <v>731</v>
      </c>
      <c r="B1498" t="s">
        <v>1505</v>
      </c>
      <c r="C1498" t="s">
        <v>566</v>
      </c>
      <c r="D1498" t="s">
        <v>231</v>
      </c>
      <c r="E1498" t="s">
        <v>569</v>
      </c>
      <c r="F1498" t="s">
        <v>66</v>
      </c>
      <c r="G1498" t="s">
        <v>111</v>
      </c>
      <c r="H1498" t="s">
        <v>118</v>
      </c>
      <c r="I1498" t="s">
        <v>112</v>
      </c>
      <c r="J1498" t="s">
        <v>119</v>
      </c>
      <c r="K1498" t="s">
        <v>116</v>
      </c>
      <c r="L1498" t="s">
        <v>116</v>
      </c>
    </row>
    <row r="1499" spans="1:12" x14ac:dyDescent="0.3">
      <c r="A1499" t="s">
        <v>731</v>
      </c>
      <c r="B1499" t="s">
        <v>1505</v>
      </c>
      <c r="C1499" t="s">
        <v>566</v>
      </c>
      <c r="D1499" t="s">
        <v>232</v>
      </c>
      <c r="E1499" t="s">
        <v>569</v>
      </c>
      <c r="F1499" t="s">
        <v>169</v>
      </c>
      <c r="G1499" t="s">
        <v>111</v>
      </c>
      <c r="H1499" t="s">
        <v>113</v>
      </c>
      <c r="I1499" t="s">
        <v>112</v>
      </c>
      <c r="J1499" t="s">
        <v>114</v>
      </c>
      <c r="K1499" t="s">
        <v>116</v>
      </c>
      <c r="L1499" t="s">
        <v>116</v>
      </c>
    </row>
    <row r="1500" spans="1:12" x14ac:dyDescent="0.3">
      <c r="A1500" t="s">
        <v>731</v>
      </c>
      <c r="B1500" t="s">
        <v>1505</v>
      </c>
      <c r="C1500" t="s">
        <v>566</v>
      </c>
      <c r="D1500" t="s">
        <v>312</v>
      </c>
      <c r="E1500" t="s">
        <v>569</v>
      </c>
      <c r="F1500" t="s">
        <v>129</v>
      </c>
      <c r="G1500" t="s">
        <v>111</v>
      </c>
      <c r="H1500" t="s">
        <v>113</v>
      </c>
      <c r="I1500" t="s">
        <v>112</v>
      </c>
      <c r="J1500" t="s">
        <v>114</v>
      </c>
      <c r="K1500" t="s">
        <v>116</v>
      </c>
      <c r="L1500" t="s">
        <v>116</v>
      </c>
    </row>
    <row r="1501" spans="1:12" x14ac:dyDescent="0.3">
      <c r="A1501" t="s">
        <v>731</v>
      </c>
      <c r="B1501" t="s">
        <v>1505</v>
      </c>
      <c r="C1501" t="s">
        <v>566</v>
      </c>
      <c r="D1501" t="s">
        <v>313</v>
      </c>
      <c r="E1501" t="s">
        <v>569</v>
      </c>
      <c r="F1501" t="s">
        <v>68</v>
      </c>
      <c r="G1501" t="s">
        <v>111</v>
      </c>
      <c r="H1501" t="s">
        <v>113</v>
      </c>
      <c r="I1501" t="s">
        <v>112</v>
      </c>
      <c r="J1501" t="s">
        <v>114</v>
      </c>
      <c r="K1501" t="s">
        <v>116</v>
      </c>
      <c r="L1501" t="s">
        <v>116</v>
      </c>
    </row>
    <row r="1502" spans="1:12" x14ac:dyDescent="0.3">
      <c r="A1502" t="s">
        <v>731</v>
      </c>
      <c r="B1502" t="s">
        <v>1505</v>
      </c>
      <c r="C1502" t="s">
        <v>566</v>
      </c>
      <c r="D1502" t="s">
        <v>314</v>
      </c>
      <c r="E1502" t="s">
        <v>569</v>
      </c>
      <c r="F1502" t="s">
        <v>61</v>
      </c>
      <c r="G1502" t="s">
        <v>111</v>
      </c>
      <c r="H1502" t="s">
        <v>113</v>
      </c>
      <c r="I1502" t="s">
        <v>112</v>
      </c>
      <c r="J1502" t="s">
        <v>114</v>
      </c>
      <c r="K1502" t="s">
        <v>116</v>
      </c>
      <c r="L1502" t="s">
        <v>116</v>
      </c>
    </row>
    <row r="1503" spans="1:12" x14ac:dyDescent="0.3">
      <c r="A1503" t="s">
        <v>731</v>
      </c>
      <c r="B1503" t="s">
        <v>1505</v>
      </c>
      <c r="C1503" t="s">
        <v>566</v>
      </c>
      <c r="D1503" t="s">
        <v>236</v>
      </c>
      <c r="E1503" t="s">
        <v>569</v>
      </c>
      <c r="F1503" t="s">
        <v>87</v>
      </c>
      <c r="G1503" t="s">
        <v>111</v>
      </c>
      <c r="H1503" t="s">
        <v>118</v>
      </c>
      <c r="I1503" t="s">
        <v>112</v>
      </c>
      <c r="J1503" t="s">
        <v>119</v>
      </c>
      <c r="K1503" t="s">
        <v>116</v>
      </c>
      <c r="L1503" t="s">
        <v>116</v>
      </c>
    </row>
    <row r="1504" spans="1:12" x14ac:dyDescent="0.3">
      <c r="A1504" t="s">
        <v>731</v>
      </c>
      <c r="B1504" t="s">
        <v>1505</v>
      </c>
      <c r="C1504" t="s">
        <v>566</v>
      </c>
      <c r="D1504" t="s">
        <v>237</v>
      </c>
      <c r="E1504" t="s">
        <v>569</v>
      </c>
      <c r="F1504" t="s">
        <v>130</v>
      </c>
      <c r="G1504" t="s">
        <v>111</v>
      </c>
      <c r="H1504" t="s">
        <v>113</v>
      </c>
      <c r="I1504" t="s">
        <v>112</v>
      </c>
      <c r="J1504" t="s">
        <v>114</v>
      </c>
      <c r="K1504" t="s">
        <v>116</v>
      </c>
      <c r="L1504" t="s">
        <v>116</v>
      </c>
    </row>
    <row r="1505" spans="1:12" x14ac:dyDescent="0.3">
      <c r="A1505" t="s">
        <v>731</v>
      </c>
      <c r="B1505" t="s">
        <v>1505</v>
      </c>
      <c r="C1505" t="s">
        <v>566</v>
      </c>
      <c r="D1505" t="s">
        <v>316</v>
      </c>
      <c r="E1505" t="s">
        <v>568</v>
      </c>
      <c r="F1505" t="s">
        <v>132</v>
      </c>
      <c r="G1505" t="s">
        <v>111</v>
      </c>
      <c r="H1505" t="s">
        <v>113</v>
      </c>
      <c r="I1505" t="s">
        <v>112</v>
      </c>
      <c r="J1505" t="s">
        <v>114</v>
      </c>
      <c r="K1505" t="s">
        <v>116</v>
      </c>
      <c r="L1505" t="s">
        <v>116</v>
      </c>
    </row>
    <row r="1506" spans="1:12" x14ac:dyDescent="0.3">
      <c r="A1506" t="s">
        <v>731</v>
      </c>
      <c r="B1506" t="s">
        <v>1505</v>
      </c>
      <c r="C1506" t="s">
        <v>566</v>
      </c>
      <c r="D1506" t="s">
        <v>317</v>
      </c>
      <c r="E1506" t="s">
        <v>568</v>
      </c>
      <c r="F1506" t="s">
        <v>133</v>
      </c>
      <c r="G1506" t="s">
        <v>111</v>
      </c>
      <c r="H1506" t="s">
        <v>113</v>
      </c>
      <c r="I1506" t="s">
        <v>112</v>
      </c>
      <c r="J1506" t="s">
        <v>114</v>
      </c>
      <c r="K1506" t="s">
        <v>116</v>
      </c>
      <c r="L1506" t="s">
        <v>116</v>
      </c>
    </row>
    <row r="1507" spans="1:12" x14ac:dyDescent="0.3">
      <c r="A1507" t="s">
        <v>731</v>
      </c>
      <c r="B1507" t="s">
        <v>1505</v>
      </c>
      <c r="C1507" t="s">
        <v>566</v>
      </c>
      <c r="D1507" t="s">
        <v>240</v>
      </c>
      <c r="E1507" t="s">
        <v>568</v>
      </c>
      <c r="F1507" t="s">
        <v>134</v>
      </c>
      <c r="G1507" t="s">
        <v>111</v>
      </c>
      <c r="H1507" t="s">
        <v>113</v>
      </c>
      <c r="I1507" t="s">
        <v>112</v>
      </c>
      <c r="J1507" t="s">
        <v>114</v>
      </c>
      <c r="K1507" t="s">
        <v>116</v>
      </c>
      <c r="L1507" t="s">
        <v>116</v>
      </c>
    </row>
    <row r="1508" spans="1:12" x14ac:dyDescent="0.3">
      <c r="A1508" t="s">
        <v>731</v>
      </c>
      <c r="B1508" t="s">
        <v>1505</v>
      </c>
      <c r="C1508" t="s">
        <v>566</v>
      </c>
      <c r="D1508" t="s">
        <v>241</v>
      </c>
      <c r="E1508" t="s">
        <v>568</v>
      </c>
      <c r="F1508" t="s">
        <v>51</v>
      </c>
      <c r="G1508" t="s">
        <v>111</v>
      </c>
      <c r="H1508" t="s">
        <v>113</v>
      </c>
      <c r="I1508" t="s">
        <v>112</v>
      </c>
      <c r="J1508" t="s">
        <v>114</v>
      </c>
      <c r="K1508" t="s">
        <v>116</v>
      </c>
      <c r="L1508" t="s">
        <v>116</v>
      </c>
    </row>
    <row r="1509" spans="1:12" x14ac:dyDescent="0.3">
      <c r="A1509" t="s">
        <v>731</v>
      </c>
      <c r="B1509" t="s">
        <v>1505</v>
      </c>
      <c r="C1509" t="s">
        <v>566</v>
      </c>
      <c r="D1509" t="s">
        <v>242</v>
      </c>
      <c r="E1509" t="s">
        <v>568</v>
      </c>
      <c r="F1509" t="s">
        <v>163</v>
      </c>
      <c r="G1509" t="s">
        <v>111</v>
      </c>
      <c r="H1509" t="s">
        <v>113</v>
      </c>
      <c r="I1509" t="s">
        <v>112</v>
      </c>
      <c r="J1509" t="s">
        <v>114</v>
      </c>
      <c r="K1509" t="s">
        <v>116</v>
      </c>
      <c r="L1509" t="s">
        <v>116</v>
      </c>
    </row>
    <row r="1510" spans="1:12" x14ac:dyDescent="0.3">
      <c r="A1510" t="s">
        <v>731</v>
      </c>
      <c r="B1510" t="s">
        <v>1505</v>
      </c>
      <c r="C1510" t="s">
        <v>566</v>
      </c>
      <c r="D1510" t="s">
        <v>243</v>
      </c>
      <c r="E1510" t="s">
        <v>568</v>
      </c>
      <c r="F1510" t="s">
        <v>170</v>
      </c>
      <c r="G1510" t="s">
        <v>111</v>
      </c>
      <c r="H1510" t="s">
        <v>113</v>
      </c>
      <c r="I1510" t="s">
        <v>112</v>
      </c>
      <c r="J1510" t="s">
        <v>114</v>
      </c>
      <c r="K1510" t="s">
        <v>116</v>
      </c>
      <c r="L1510" t="s">
        <v>116</v>
      </c>
    </row>
    <row r="1511" spans="1:12" x14ac:dyDescent="0.3">
      <c r="A1511" t="s">
        <v>731</v>
      </c>
      <c r="B1511" t="s">
        <v>1505</v>
      </c>
      <c r="C1511" t="s">
        <v>566</v>
      </c>
      <c r="D1511" t="s">
        <v>244</v>
      </c>
      <c r="E1511" t="s">
        <v>568</v>
      </c>
      <c r="F1511" t="s">
        <v>78</v>
      </c>
      <c r="G1511" t="s">
        <v>111</v>
      </c>
      <c r="H1511" t="s">
        <v>113</v>
      </c>
      <c r="I1511" t="s">
        <v>112</v>
      </c>
      <c r="J1511" t="s">
        <v>114</v>
      </c>
      <c r="K1511" t="s">
        <v>116</v>
      </c>
      <c r="L1511" t="s">
        <v>116</v>
      </c>
    </row>
    <row r="1512" spans="1:12" x14ac:dyDescent="0.3">
      <c r="A1512" t="s">
        <v>731</v>
      </c>
      <c r="B1512" t="s">
        <v>1505</v>
      </c>
      <c r="C1512" t="s">
        <v>566</v>
      </c>
      <c r="D1512" t="s">
        <v>246</v>
      </c>
      <c r="E1512" t="s">
        <v>568</v>
      </c>
      <c r="F1512" t="s">
        <v>135</v>
      </c>
      <c r="G1512" t="s">
        <v>111</v>
      </c>
      <c r="H1512" t="s">
        <v>113</v>
      </c>
      <c r="I1512" t="s">
        <v>112</v>
      </c>
      <c r="J1512" t="s">
        <v>114</v>
      </c>
      <c r="K1512" t="s">
        <v>116</v>
      </c>
      <c r="L1512" t="s">
        <v>116</v>
      </c>
    </row>
    <row r="1513" spans="1:12" x14ac:dyDescent="0.3">
      <c r="A1513" t="s">
        <v>731</v>
      </c>
      <c r="B1513" t="s">
        <v>1505</v>
      </c>
      <c r="C1513" t="s">
        <v>566</v>
      </c>
      <c r="D1513" t="s">
        <v>319</v>
      </c>
      <c r="E1513" t="s">
        <v>568</v>
      </c>
      <c r="F1513" t="s">
        <v>136</v>
      </c>
      <c r="G1513" t="s">
        <v>111</v>
      </c>
      <c r="H1513" t="s">
        <v>113</v>
      </c>
      <c r="I1513" t="s">
        <v>112</v>
      </c>
      <c r="J1513" t="s">
        <v>114</v>
      </c>
      <c r="K1513" t="s">
        <v>116</v>
      </c>
      <c r="L1513" t="s">
        <v>116</v>
      </c>
    </row>
    <row r="1514" spans="1:12" x14ac:dyDescent="0.3">
      <c r="A1514" t="s">
        <v>731</v>
      </c>
      <c r="B1514" t="s">
        <v>1505</v>
      </c>
      <c r="C1514" t="s">
        <v>566</v>
      </c>
      <c r="D1514" t="s">
        <v>247</v>
      </c>
      <c r="E1514" t="s">
        <v>568</v>
      </c>
      <c r="F1514" t="s">
        <v>60</v>
      </c>
      <c r="G1514" t="s">
        <v>111</v>
      </c>
      <c r="H1514" t="s">
        <v>113</v>
      </c>
      <c r="I1514" t="s">
        <v>112</v>
      </c>
      <c r="J1514" t="s">
        <v>114</v>
      </c>
      <c r="K1514" t="s">
        <v>116</v>
      </c>
      <c r="L1514" t="s">
        <v>116</v>
      </c>
    </row>
    <row r="1515" spans="1:12" x14ac:dyDescent="0.3">
      <c r="A1515" t="s">
        <v>731</v>
      </c>
      <c r="B1515" t="s">
        <v>1505</v>
      </c>
      <c r="C1515" t="s">
        <v>566</v>
      </c>
      <c r="D1515" t="s">
        <v>250</v>
      </c>
      <c r="E1515" t="s">
        <v>568</v>
      </c>
      <c r="F1515" t="s">
        <v>70</v>
      </c>
      <c r="G1515" t="s">
        <v>111</v>
      </c>
      <c r="H1515" t="s">
        <v>113</v>
      </c>
      <c r="I1515" t="s">
        <v>112</v>
      </c>
      <c r="J1515" t="s">
        <v>114</v>
      </c>
      <c r="K1515" t="s">
        <v>116</v>
      </c>
      <c r="L1515" t="s">
        <v>116</v>
      </c>
    </row>
    <row r="1516" spans="1:12" x14ac:dyDescent="0.3">
      <c r="A1516" t="s">
        <v>731</v>
      </c>
      <c r="B1516" t="s">
        <v>1505</v>
      </c>
      <c r="C1516" t="s">
        <v>566</v>
      </c>
      <c r="D1516" t="s">
        <v>251</v>
      </c>
      <c r="E1516" t="s">
        <v>568</v>
      </c>
      <c r="F1516" t="s">
        <v>48</v>
      </c>
      <c r="G1516" t="s">
        <v>111</v>
      </c>
      <c r="H1516" t="s">
        <v>118</v>
      </c>
      <c r="I1516" t="s">
        <v>112</v>
      </c>
      <c r="J1516" t="s">
        <v>119</v>
      </c>
      <c r="K1516" t="s">
        <v>116</v>
      </c>
      <c r="L1516" t="s">
        <v>116</v>
      </c>
    </row>
    <row r="1517" spans="1:12" x14ac:dyDescent="0.3">
      <c r="A1517" t="s">
        <v>731</v>
      </c>
      <c r="B1517" t="s">
        <v>1505</v>
      </c>
      <c r="C1517" t="s">
        <v>566</v>
      </c>
      <c r="D1517" t="s">
        <v>252</v>
      </c>
      <c r="E1517" t="s">
        <v>568</v>
      </c>
      <c r="F1517" t="s">
        <v>138</v>
      </c>
      <c r="G1517" t="s">
        <v>111</v>
      </c>
      <c r="H1517" t="s">
        <v>113</v>
      </c>
      <c r="I1517" t="s">
        <v>112</v>
      </c>
      <c r="J1517" t="s">
        <v>114</v>
      </c>
      <c r="K1517" t="s">
        <v>116</v>
      </c>
      <c r="L1517" t="s">
        <v>116</v>
      </c>
    </row>
    <row r="1518" spans="1:12" x14ac:dyDescent="0.3">
      <c r="A1518" t="s">
        <v>731</v>
      </c>
      <c r="B1518" t="s">
        <v>1505</v>
      </c>
      <c r="C1518" t="s">
        <v>566</v>
      </c>
      <c r="D1518" t="s">
        <v>253</v>
      </c>
      <c r="E1518" t="s">
        <v>568</v>
      </c>
      <c r="F1518" t="s">
        <v>95</v>
      </c>
      <c r="G1518" t="s">
        <v>111</v>
      </c>
      <c r="H1518" t="s">
        <v>113</v>
      </c>
      <c r="I1518" t="s">
        <v>112</v>
      </c>
      <c r="J1518" t="s">
        <v>114</v>
      </c>
      <c r="K1518" t="s">
        <v>116</v>
      </c>
      <c r="L1518" t="s">
        <v>116</v>
      </c>
    </row>
    <row r="1519" spans="1:12" x14ac:dyDescent="0.3">
      <c r="A1519" t="s">
        <v>731</v>
      </c>
      <c r="B1519" t="s">
        <v>1505</v>
      </c>
      <c r="C1519" t="s">
        <v>566</v>
      </c>
      <c r="D1519" t="s">
        <v>254</v>
      </c>
      <c r="E1519" t="s">
        <v>568</v>
      </c>
      <c r="F1519" t="s">
        <v>139</v>
      </c>
      <c r="G1519" t="s">
        <v>111</v>
      </c>
      <c r="H1519" t="s">
        <v>113</v>
      </c>
      <c r="I1519" t="s">
        <v>112</v>
      </c>
      <c r="J1519" t="s">
        <v>114</v>
      </c>
      <c r="K1519" t="s">
        <v>116</v>
      </c>
      <c r="L1519" t="s">
        <v>116</v>
      </c>
    </row>
    <row r="1520" spans="1:12" x14ac:dyDescent="0.3">
      <c r="A1520" t="s">
        <v>731</v>
      </c>
      <c r="B1520" t="s">
        <v>1505</v>
      </c>
      <c r="C1520" t="s">
        <v>566</v>
      </c>
      <c r="D1520" t="s">
        <v>255</v>
      </c>
      <c r="E1520" t="s">
        <v>568</v>
      </c>
      <c r="F1520" t="s">
        <v>171</v>
      </c>
      <c r="G1520" t="s">
        <v>111</v>
      </c>
      <c r="H1520" t="s">
        <v>113</v>
      </c>
      <c r="I1520" t="s">
        <v>112</v>
      </c>
      <c r="J1520" t="s">
        <v>114</v>
      </c>
      <c r="K1520" t="s">
        <v>116</v>
      </c>
      <c r="L1520" t="s">
        <v>116</v>
      </c>
    </row>
    <row r="1521" spans="1:12" x14ac:dyDescent="0.3">
      <c r="A1521" t="s">
        <v>731</v>
      </c>
      <c r="B1521" t="s">
        <v>1505</v>
      </c>
      <c r="C1521" t="s">
        <v>566</v>
      </c>
      <c r="D1521" t="s">
        <v>320</v>
      </c>
      <c r="E1521" t="s">
        <v>568</v>
      </c>
      <c r="F1521" t="s">
        <v>172</v>
      </c>
      <c r="G1521" t="s">
        <v>111</v>
      </c>
      <c r="H1521" t="s">
        <v>113</v>
      </c>
      <c r="I1521" t="s">
        <v>112</v>
      </c>
      <c r="J1521" t="s">
        <v>114</v>
      </c>
      <c r="K1521" t="s">
        <v>116</v>
      </c>
      <c r="L1521" t="s">
        <v>116</v>
      </c>
    </row>
    <row r="1522" spans="1:12" x14ac:dyDescent="0.3">
      <c r="A1522" t="s">
        <v>731</v>
      </c>
      <c r="B1522" t="s">
        <v>1505</v>
      </c>
      <c r="C1522" t="s">
        <v>566</v>
      </c>
      <c r="D1522" t="s">
        <v>256</v>
      </c>
      <c r="E1522" t="s">
        <v>568</v>
      </c>
      <c r="F1522" t="s">
        <v>57</v>
      </c>
      <c r="G1522" t="s">
        <v>111</v>
      </c>
      <c r="H1522" t="s">
        <v>113</v>
      </c>
      <c r="I1522" t="s">
        <v>112</v>
      </c>
      <c r="J1522" t="s">
        <v>114</v>
      </c>
      <c r="K1522" t="s">
        <v>116</v>
      </c>
      <c r="L1522" t="s">
        <v>116</v>
      </c>
    </row>
    <row r="1523" spans="1:12" x14ac:dyDescent="0.3">
      <c r="A1523" t="s">
        <v>731</v>
      </c>
      <c r="B1523" t="s">
        <v>1505</v>
      </c>
      <c r="C1523" t="s">
        <v>566</v>
      </c>
      <c r="D1523" t="s">
        <v>322</v>
      </c>
      <c r="E1523" t="s">
        <v>568</v>
      </c>
      <c r="F1523" t="s">
        <v>173</v>
      </c>
      <c r="G1523" t="s">
        <v>111</v>
      </c>
      <c r="H1523" t="s">
        <v>113</v>
      </c>
      <c r="I1523" t="s">
        <v>112</v>
      </c>
      <c r="J1523" t="s">
        <v>114</v>
      </c>
      <c r="K1523" t="s">
        <v>116</v>
      </c>
      <c r="L1523" t="s">
        <v>116</v>
      </c>
    </row>
    <row r="1524" spans="1:12" x14ac:dyDescent="0.3">
      <c r="A1524" t="s">
        <v>731</v>
      </c>
      <c r="B1524" t="s">
        <v>1505</v>
      </c>
      <c r="C1524" t="s">
        <v>566</v>
      </c>
      <c r="D1524" t="s">
        <v>257</v>
      </c>
      <c r="E1524" t="s">
        <v>568</v>
      </c>
      <c r="F1524" t="s">
        <v>174</v>
      </c>
      <c r="G1524" t="s">
        <v>111</v>
      </c>
      <c r="H1524" t="s">
        <v>113</v>
      </c>
      <c r="I1524" t="s">
        <v>112</v>
      </c>
      <c r="J1524" t="s">
        <v>114</v>
      </c>
      <c r="K1524" t="s">
        <v>116</v>
      </c>
      <c r="L1524" t="s">
        <v>116</v>
      </c>
    </row>
    <row r="1525" spans="1:12" x14ac:dyDescent="0.3">
      <c r="A1525" t="s">
        <v>731</v>
      </c>
      <c r="B1525" t="s">
        <v>1505</v>
      </c>
      <c r="C1525" t="s">
        <v>566</v>
      </c>
      <c r="D1525" t="s">
        <v>258</v>
      </c>
      <c r="E1525" t="s">
        <v>568</v>
      </c>
      <c r="F1525" t="s">
        <v>88</v>
      </c>
      <c r="G1525" t="s">
        <v>111</v>
      </c>
      <c r="H1525" t="s">
        <v>113</v>
      </c>
      <c r="I1525" t="s">
        <v>112</v>
      </c>
      <c r="J1525" t="s">
        <v>114</v>
      </c>
      <c r="K1525" t="s">
        <v>116</v>
      </c>
      <c r="L1525" t="s">
        <v>116</v>
      </c>
    </row>
    <row r="1526" spans="1:12" x14ac:dyDescent="0.3">
      <c r="A1526" t="s">
        <v>731</v>
      </c>
      <c r="B1526" t="s">
        <v>1505</v>
      </c>
      <c r="C1526" t="s">
        <v>566</v>
      </c>
      <c r="D1526" t="s">
        <v>323</v>
      </c>
      <c r="E1526" t="s">
        <v>568</v>
      </c>
      <c r="F1526" t="s">
        <v>74</v>
      </c>
      <c r="G1526" t="s">
        <v>111</v>
      </c>
      <c r="H1526" t="s">
        <v>113</v>
      </c>
      <c r="I1526" t="s">
        <v>112</v>
      </c>
      <c r="J1526" t="s">
        <v>114</v>
      </c>
      <c r="K1526" t="s">
        <v>116</v>
      </c>
      <c r="L1526" t="s">
        <v>116</v>
      </c>
    </row>
    <row r="1527" spans="1:12" x14ac:dyDescent="0.3">
      <c r="A1527" t="s">
        <v>731</v>
      </c>
      <c r="B1527" t="s">
        <v>1505</v>
      </c>
      <c r="C1527" t="s">
        <v>566</v>
      </c>
      <c r="D1527" t="s">
        <v>324</v>
      </c>
      <c r="E1527" t="s">
        <v>568</v>
      </c>
      <c r="F1527" t="s">
        <v>102</v>
      </c>
      <c r="G1527" t="s">
        <v>111</v>
      </c>
      <c r="H1527" t="s">
        <v>113</v>
      </c>
      <c r="I1527" t="s">
        <v>112</v>
      </c>
      <c r="J1527" t="s">
        <v>114</v>
      </c>
      <c r="K1527" t="s">
        <v>116</v>
      </c>
      <c r="L1527" t="s">
        <v>116</v>
      </c>
    </row>
    <row r="1528" spans="1:12" x14ac:dyDescent="0.3">
      <c r="A1528" t="s">
        <v>731</v>
      </c>
      <c r="B1528" t="s">
        <v>1505</v>
      </c>
      <c r="C1528" t="s">
        <v>566</v>
      </c>
      <c r="D1528" t="s">
        <v>260</v>
      </c>
      <c r="E1528" t="s">
        <v>568</v>
      </c>
      <c r="F1528" t="s">
        <v>140</v>
      </c>
      <c r="G1528" t="s">
        <v>111</v>
      </c>
      <c r="H1528" t="s">
        <v>113</v>
      </c>
      <c r="I1528" t="s">
        <v>112</v>
      </c>
      <c r="J1528" t="s">
        <v>114</v>
      </c>
      <c r="K1528" t="s">
        <v>116</v>
      </c>
      <c r="L1528" t="s">
        <v>116</v>
      </c>
    </row>
    <row r="1529" spans="1:12" x14ac:dyDescent="0.3">
      <c r="A1529" t="s">
        <v>731</v>
      </c>
      <c r="B1529" t="s">
        <v>1505</v>
      </c>
      <c r="C1529" t="s">
        <v>566</v>
      </c>
      <c r="D1529" t="s">
        <v>325</v>
      </c>
      <c r="E1529" t="s">
        <v>568</v>
      </c>
      <c r="F1529" t="s">
        <v>46</v>
      </c>
      <c r="G1529" t="s">
        <v>111</v>
      </c>
      <c r="H1529" t="s">
        <v>113</v>
      </c>
      <c r="I1529" t="s">
        <v>112</v>
      </c>
      <c r="J1529" t="s">
        <v>114</v>
      </c>
      <c r="K1529" t="s">
        <v>116</v>
      </c>
      <c r="L1529" t="s">
        <v>116</v>
      </c>
    </row>
    <row r="1530" spans="1:12" x14ac:dyDescent="0.3">
      <c r="A1530" t="s">
        <v>731</v>
      </c>
      <c r="B1530" t="s">
        <v>1505</v>
      </c>
      <c r="C1530" t="s">
        <v>566</v>
      </c>
      <c r="D1530" t="s">
        <v>262</v>
      </c>
      <c r="E1530" t="s">
        <v>568</v>
      </c>
      <c r="F1530" t="s">
        <v>202</v>
      </c>
      <c r="G1530" t="s">
        <v>111</v>
      </c>
      <c r="H1530" t="s">
        <v>113</v>
      </c>
      <c r="I1530" t="s">
        <v>112</v>
      </c>
      <c r="J1530" t="s">
        <v>114</v>
      </c>
      <c r="K1530" t="s">
        <v>116</v>
      </c>
      <c r="L1530" t="s">
        <v>116</v>
      </c>
    </row>
    <row r="1531" spans="1:12" x14ac:dyDescent="0.3">
      <c r="A1531" t="s">
        <v>731</v>
      </c>
      <c r="B1531" t="s">
        <v>1505</v>
      </c>
      <c r="C1531" t="s">
        <v>566</v>
      </c>
      <c r="D1531" t="s">
        <v>263</v>
      </c>
      <c r="E1531" t="s">
        <v>568</v>
      </c>
      <c r="F1531" t="s">
        <v>141</v>
      </c>
      <c r="G1531" t="s">
        <v>111</v>
      </c>
      <c r="H1531" t="s">
        <v>113</v>
      </c>
      <c r="I1531" t="s">
        <v>112</v>
      </c>
      <c r="J1531" t="s">
        <v>114</v>
      </c>
      <c r="K1531" t="s">
        <v>116</v>
      </c>
      <c r="L1531" t="s">
        <v>116</v>
      </c>
    </row>
    <row r="1532" spans="1:12" x14ac:dyDescent="0.3">
      <c r="A1532" t="s">
        <v>731</v>
      </c>
      <c r="B1532" t="s">
        <v>1505</v>
      </c>
      <c r="C1532" t="s">
        <v>566</v>
      </c>
      <c r="D1532" t="s">
        <v>265</v>
      </c>
      <c r="E1532" t="s">
        <v>568</v>
      </c>
      <c r="F1532" t="s">
        <v>142</v>
      </c>
      <c r="G1532" t="s">
        <v>111</v>
      </c>
      <c r="H1532" t="s">
        <v>113</v>
      </c>
      <c r="I1532" t="s">
        <v>112</v>
      </c>
      <c r="J1532" t="s">
        <v>114</v>
      </c>
      <c r="K1532" t="s">
        <v>116</v>
      </c>
      <c r="L1532" t="s">
        <v>116</v>
      </c>
    </row>
    <row r="1533" spans="1:12" x14ac:dyDescent="0.3">
      <c r="A1533" t="s">
        <v>731</v>
      </c>
      <c r="B1533" t="s">
        <v>1505</v>
      </c>
      <c r="C1533" t="s">
        <v>566</v>
      </c>
      <c r="D1533" t="s">
        <v>266</v>
      </c>
      <c r="E1533" t="s">
        <v>568</v>
      </c>
      <c r="F1533" t="s">
        <v>75</v>
      </c>
      <c r="G1533" t="s">
        <v>111</v>
      </c>
      <c r="H1533" t="s">
        <v>113</v>
      </c>
      <c r="I1533" t="s">
        <v>112</v>
      </c>
      <c r="J1533" t="s">
        <v>114</v>
      </c>
      <c r="K1533" t="s">
        <v>116</v>
      </c>
      <c r="L1533" t="s">
        <v>116</v>
      </c>
    </row>
    <row r="1534" spans="1:12" x14ac:dyDescent="0.3">
      <c r="A1534" t="s">
        <v>731</v>
      </c>
      <c r="B1534" t="s">
        <v>1505</v>
      </c>
      <c r="C1534" t="s">
        <v>566</v>
      </c>
      <c r="D1534" t="s">
        <v>326</v>
      </c>
      <c r="E1534" t="s">
        <v>568</v>
      </c>
      <c r="F1534" t="s">
        <v>144</v>
      </c>
      <c r="G1534" t="s">
        <v>111</v>
      </c>
      <c r="H1534" t="s">
        <v>113</v>
      </c>
      <c r="I1534" t="s">
        <v>112</v>
      </c>
      <c r="J1534" t="s">
        <v>114</v>
      </c>
      <c r="K1534" t="s">
        <v>116</v>
      </c>
      <c r="L1534" t="s">
        <v>116</v>
      </c>
    </row>
    <row r="1535" spans="1:12" x14ac:dyDescent="0.3">
      <c r="A1535" t="s">
        <v>731</v>
      </c>
      <c r="B1535" t="s">
        <v>1505</v>
      </c>
      <c r="C1535" t="s">
        <v>566</v>
      </c>
      <c r="D1535" t="s">
        <v>268</v>
      </c>
      <c r="E1535" t="s">
        <v>568</v>
      </c>
      <c r="F1535" t="s">
        <v>194</v>
      </c>
      <c r="G1535" t="s">
        <v>111</v>
      </c>
      <c r="H1535" t="s">
        <v>113</v>
      </c>
      <c r="I1535" t="s">
        <v>112</v>
      </c>
      <c r="J1535" t="s">
        <v>114</v>
      </c>
      <c r="K1535" t="s">
        <v>116</v>
      </c>
      <c r="L1535" t="s">
        <v>116</v>
      </c>
    </row>
    <row r="1536" spans="1:12" x14ac:dyDescent="0.3">
      <c r="A1536" t="s">
        <v>731</v>
      </c>
      <c r="B1536" t="s">
        <v>1505</v>
      </c>
      <c r="C1536" t="s">
        <v>566</v>
      </c>
      <c r="D1536" t="s">
        <v>270</v>
      </c>
      <c r="E1536" t="s">
        <v>568</v>
      </c>
      <c r="F1536" t="s">
        <v>81</v>
      </c>
      <c r="G1536" t="s">
        <v>111</v>
      </c>
      <c r="H1536" t="s">
        <v>113</v>
      </c>
      <c r="I1536" t="s">
        <v>112</v>
      </c>
      <c r="J1536" t="s">
        <v>114</v>
      </c>
      <c r="K1536" t="s">
        <v>116</v>
      </c>
      <c r="L1536" t="s">
        <v>116</v>
      </c>
    </row>
    <row r="1537" spans="1:12" x14ac:dyDescent="0.3">
      <c r="A1537" t="s">
        <v>731</v>
      </c>
      <c r="B1537" t="s">
        <v>1505</v>
      </c>
      <c r="C1537" t="s">
        <v>566</v>
      </c>
      <c r="D1537" t="s">
        <v>271</v>
      </c>
      <c r="E1537" t="s">
        <v>567</v>
      </c>
      <c r="F1537" t="s">
        <v>76</v>
      </c>
      <c r="G1537" t="s">
        <v>111</v>
      </c>
      <c r="H1537" t="s">
        <v>113</v>
      </c>
      <c r="I1537" t="s">
        <v>112</v>
      </c>
      <c r="J1537" t="s">
        <v>114</v>
      </c>
      <c r="K1537" t="s">
        <v>116</v>
      </c>
      <c r="L1537" t="s">
        <v>116</v>
      </c>
    </row>
    <row r="1538" spans="1:12" x14ac:dyDescent="0.3">
      <c r="A1538" t="s">
        <v>731</v>
      </c>
      <c r="B1538" t="s">
        <v>1505</v>
      </c>
      <c r="C1538" t="s">
        <v>566</v>
      </c>
      <c r="D1538" t="s">
        <v>272</v>
      </c>
      <c r="E1538" t="s">
        <v>567</v>
      </c>
      <c r="F1538" t="s">
        <v>52</v>
      </c>
      <c r="G1538" t="s">
        <v>111</v>
      </c>
      <c r="H1538" t="s">
        <v>113</v>
      </c>
      <c r="I1538" t="s">
        <v>112</v>
      </c>
      <c r="J1538" t="s">
        <v>114</v>
      </c>
      <c r="K1538" t="s">
        <v>116</v>
      </c>
      <c r="L1538" t="s">
        <v>116</v>
      </c>
    </row>
    <row r="1539" spans="1:12" x14ac:dyDescent="0.3">
      <c r="A1539" t="s">
        <v>731</v>
      </c>
      <c r="B1539" t="s">
        <v>1505</v>
      </c>
      <c r="C1539" t="s">
        <v>566</v>
      </c>
      <c r="D1539" t="s">
        <v>275</v>
      </c>
      <c r="E1539" t="s">
        <v>567</v>
      </c>
      <c r="F1539" t="s">
        <v>148</v>
      </c>
      <c r="G1539" t="s">
        <v>111</v>
      </c>
      <c r="H1539" t="s">
        <v>113</v>
      </c>
      <c r="I1539" t="s">
        <v>112</v>
      </c>
      <c r="J1539" t="s">
        <v>114</v>
      </c>
      <c r="K1539" t="s">
        <v>116</v>
      </c>
      <c r="L1539" t="s">
        <v>116</v>
      </c>
    </row>
    <row r="1540" spans="1:12" x14ac:dyDescent="0.3">
      <c r="A1540" t="s">
        <v>731</v>
      </c>
      <c r="B1540" t="s">
        <v>1505</v>
      </c>
      <c r="C1540" t="s">
        <v>566</v>
      </c>
      <c r="D1540" t="s">
        <v>276</v>
      </c>
      <c r="E1540" t="s">
        <v>567</v>
      </c>
      <c r="F1540" t="s">
        <v>149</v>
      </c>
      <c r="G1540" t="s">
        <v>111</v>
      </c>
      <c r="H1540" t="s">
        <v>113</v>
      </c>
      <c r="I1540" t="s">
        <v>112</v>
      </c>
      <c r="J1540" t="s">
        <v>114</v>
      </c>
      <c r="K1540" t="s">
        <v>116</v>
      </c>
      <c r="L1540" t="s">
        <v>116</v>
      </c>
    </row>
    <row r="1541" spans="1:12" x14ac:dyDescent="0.3">
      <c r="A1541" t="s">
        <v>731</v>
      </c>
      <c r="B1541" t="s">
        <v>1505</v>
      </c>
      <c r="C1541" t="s">
        <v>566</v>
      </c>
      <c r="D1541" t="s">
        <v>279</v>
      </c>
      <c r="E1541" t="s">
        <v>567</v>
      </c>
      <c r="F1541" t="s">
        <v>150</v>
      </c>
      <c r="G1541" t="s">
        <v>111</v>
      </c>
      <c r="H1541" t="s">
        <v>113</v>
      </c>
      <c r="I1541" t="s">
        <v>112</v>
      </c>
      <c r="J1541" t="s">
        <v>114</v>
      </c>
      <c r="K1541" t="s">
        <v>116</v>
      </c>
      <c r="L1541" t="s">
        <v>116</v>
      </c>
    </row>
    <row r="1542" spans="1:12" x14ac:dyDescent="0.3">
      <c r="A1542" t="s">
        <v>731</v>
      </c>
      <c r="B1542" t="s">
        <v>1505</v>
      </c>
      <c r="C1542" t="s">
        <v>566</v>
      </c>
      <c r="D1542" t="s">
        <v>280</v>
      </c>
      <c r="E1542" t="s">
        <v>567</v>
      </c>
      <c r="F1542" t="s">
        <v>71</v>
      </c>
      <c r="G1542" t="s">
        <v>111</v>
      </c>
      <c r="H1542" t="s">
        <v>113</v>
      </c>
      <c r="I1542" t="s">
        <v>112</v>
      </c>
      <c r="J1542" t="s">
        <v>114</v>
      </c>
      <c r="K1542" t="s">
        <v>116</v>
      </c>
      <c r="L1542" t="s">
        <v>116</v>
      </c>
    </row>
    <row r="1543" spans="1:12" x14ac:dyDescent="0.3">
      <c r="A1543" t="s">
        <v>731</v>
      </c>
      <c r="B1543" t="s">
        <v>1505</v>
      </c>
      <c r="C1543" t="s">
        <v>566</v>
      </c>
      <c r="D1543" t="s">
        <v>281</v>
      </c>
      <c r="E1543" t="s">
        <v>567</v>
      </c>
      <c r="F1543" t="s">
        <v>84</v>
      </c>
      <c r="G1543" t="s">
        <v>111</v>
      </c>
      <c r="H1543" t="s">
        <v>113</v>
      </c>
      <c r="I1543" t="s">
        <v>112</v>
      </c>
      <c r="J1543" t="s">
        <v>114</v>
      </c>
      <c r="K1543" t="s">
        <v>116</v>
      </c>
      <c r="L1543" t="s">
        <v>116</v>
      </c>
    </row>
    <row r="1544" spans="1:12" x14ac:dyDescent="0.3">
      <c r="A1544" t="s">
        <v>731</v>
      </c>
      <c r="B1544" t="s">
        <v>1505</v>
      </c>
      <c r="C1544" t="s">
        <v>566</v>
      </c>
      <c r="D1544" t="s">
        <v>283</v>
      </c>
      <c r="E1544" t="s">
        <v>567</v>
      </c>
      <c r="F1544" t="s">
        <v>63</v>
      </c>
      <c r="G1544" t="s">
        <v>111</v>
      </c>
      <c r="H1544" t="s">
        <v>113</v>
      </c>
      <c r="I1544" t="s">
        <v>112</v>
      </c>
      <c r="J1544" t="s">
        <v>114</v>
      </c>
      <c r="K1544" t="s">
        <v>116</v>
      </c>
      <c r="L1544" t="s">
        <v>116</v>
      </c>
    </row>
    <row r="1545" spans="1:12" x14ac:dyDescent="0.3">
      <c r="A1545" t="s">
        <v>731</v>
      </c>
      <c r="B1545" t="s">
        <v>1505</v>
      </c>
      <c r="C1545" t="s">
        <v>566</v>
      </c>
      <c r="D1545" t="s">
        <v>284</v>
      </c>
      <c r="E1545" t="s">
        <v>567</v>
      </c>
      <c r="F1545" t="s">
        <v>151</v>
      </c>
      <c r="G1545" t="s">
        <v>111</v>
      </c>
      <c r="H1545" t="s">
        <v>113</v>
      </c>
      <c r="I1545" t="s">
        <v>112</v>
      </c>
      <c r="J1545" t="s">
        <v>114</v>
      </c>
      <c r="K1545" t="s">
        <v>116</v>
      </c>
      <c r="L1545" t="s">
        <v>116</v>
      </c>
    </row>
    <row r="1546" spans="1:12" x14ac:dyDescent="0.3">
      <c r="A1546" t="s">
        <v>731</v>
      </c>
      <c r="B1546" t="s">
        <v>1505</v>
      </c>
      <c r="C1546" t="s">
        <v>566</v>
      </c>
      <c r="D1546" t="s">
        <v>285</v>
      </c>
      <c r="E1546" t="s">
        <v>567</v>
      </c>
      <c r="F1546" t="s">
        <v>195</v>
      </c>
      <c r="G1546" t="s">
        <v>111</v>
      </c>
      <c r="H1546" t="s">
        <v>113</v>
      </c>
      <c r="I1546" t="s">
        <v>112</v>
      </c>
      <c r="J1546" t="s">
        <v>114</v>
      </c>
      <c r="K1546" t="s">
        <v>116</v>
      </c>
      <c r="L1546" t="s">
        <v>116</v>
      </c>
    </row>
    <row r="1547" spans="1:12" x14ac:dyDescent="0.3">
      <c r="A1547" t="s">
        <v>731</v>
      </c>
      <c r="B1547" t="s">
        <v>1505</v>
      </c>
      <c r="C1547" t="s">
        <v>566</v>
      </c>
      <c r="D1547" t="s">
        <v>330</v>
      </c>
      <c r="E1547" t="s">
        <v>567</v>
      </c>
      <c r="F1547" t="s">
        <v>177</v>
      </c>
      <c r="G1547" t="s">
        <v>111</v>
      </c>
      <c r="H1547" t="s">
        <v>113</v>
      </c>
      <c r="I1547" t="s">
        <v>112</v>
      </c>
      <c r="J1547" t="s">
        <v>114</v>
      </c>
      <c r="K1547" t="s">
        <v>116</v>
      </c>
      <c r="L1547" t="s">
        <v>116</v>
      </c>
    </row>
    <row r="1548" spans="1:12" x14ac:dyDescent="0.3">
      <c r="A1548" t="s">
        <v>731</v>
      </c>
      <c r="B1548" t="s">
        <v>1505</v>
      </c>
      <c r="C1548" t="s">
        <v>566</v>
      </c>
      <c r="D1548" t="s">
        <v>331</v>
      </c>
      <c r="E1548" t="s">
        <v>567</v>
      </c>
      <c r="F1548" t="s">
        <v>91</v>
      </c>
      <c r="G1548" t="s">
        <v>111</v>
      </c>
      <c r="H1548" t="s">
        <v>113</v>
      </c>
      <c r="I1548" t="s">
        <v>112</v>
      </c>
      <c r="J1548" t="s">
        <v>114</v>
      </c>
      <c r="K1548" t="s">
        <v>116</v>
      </c>
      <c r="L1548" t="s">
        <v>116</v>
      </c>
    </row>
    <row r="1549" spans="1:12" x14ac:dyDescent="0.3">
      <c r="A1549" t="s">
        <v>731</v>
      </c>
      <c r="B1549" t="s">
        <v>1505</v>
      </c>
      <c r="C1549" t="s">
        <v>566</v>
      </c>
      <c r="D1549" t="s">
        <v>332</v>
      </c>
      <c r="E1549" t="s">
        <v>567</v>
      </c>
      <c r="F1549" t="s">
        <v>152</v>
      </c>
      <c r="G1549" t="s">
        <v>111</v>
      </c>
      <c r="H1549" t="s">
        <v>113</v>
      </c>
      <c r="I1549" t="s">
        <v>112</v>
      </c>
      <c r="J1549" t="s">
        <v>114</v>
      </c>
      <c r="K1549" t="s">
        <v>116</v>
      </c>
      <c r="L1549" t="s">
        <v>116</v>
      </c>
    </row>
    <row r="1550" spans="1:12" x14ac:dyDescent="0.3">
      <c r="A1550" t="s">
        <v>731</v>
      </c>
      <c r="B1550" t="s">
        <v>1505</v>
      </c>
      <c r="C1550" t="s">
        <v>566</v>
      </c>
      <c r="D1550" t="s">
        <v>286</v>
      </c>
      <c r="E1550" t="s">
        <v>567</v>
      </c>
      <c r="F1550" t="s">
        <v>67</v>
      </c>
      <c r="G1550" t="s">
        <v>111</v>
      </c>
      <c r="H1550" t="s">
        <v>113</v>
      </c>
      <c r="I1550" t="s">
        <v>112</v>
      </c>
      <c r="J1550" t="s">
        <v>114</v>
      </c>
      <c r="K1550" t="s">
        <v>116</v>
      </c>
      <c r="L1550" t="s">
        <v>116</v>
      </c>
    </row>
    <row r="1551" spans="1:12" x14ac:dyDescent="0.3">
      <c r="A1551" t="s">
        <v>731</v>
      </c>
      <c r="B1551" t="s">
        <v>1505</v>
      </c>
      <c r="C1551" t="s">
        <v>566</v>
      </c>
      <c r="D1551" t="s">
        <v>287</v>
      </c>
      <c r="E1551" t="s">
        <v>567</v>
      </c>
      <c r="F1551" t="s">
        <v>196</v>
      </c>
      <c r="G1551" t="s">
        <v>111</v>
      </c>
      <c r="H1551" t="s">
        <v>113</v>
      </c>
      <c r="I1551" t="s">
        <v>112</v>
      </c>
      <c r="J1551" t="s">
        <v>114</v>
      </c>
      <c r="K1551" t="s">
        <v>116</v>
      </c>
      <c r="L1551" t="s">
        <v>116</v>
      </c>
    </row>
    <row r="1552" spans="1:12" x14ac:dyDescent="0.3">
      <c r="A1552" t="s">
        <v>731</v>
      </c>
      <c r="B1552" t="s">
        <v>1505</v>
      </c>
      <c r="C1552" t="s">
        <v>566</v>
      </c>
      <c r="D1552" t="s">
        <v>289</v>
      </c>
      <c r="E1552" t="s">
        <v>567</v>
      </c>
      <c r="F1552" t="s">
        <v>179</v>
      </c>
      <c r="G1552" t="s">
        <v>111</v>
      </c>
      <c r="H1552" t="s">
        <v>118</v>
      </c>
      <c r="I1552" t="s">
        <v>112</v>
      </c>
      <c r="J1552" t="s">
        <v>119</v>
      </c>
      <c r="K1552" t="s">
        <v>116</v>
      </c>
      <c r="L1552" t="s">
        <v>116</v>
      </c>
    </row>
    <row r="1553" spans="1:12" x14ac:dyDescent="0.3">
      <c r="A1553" t="s">
        <v>731</v>
      </c>
      <c r="B1553" t="s">
        <v>1505</v>
      </c>
      <c r="C1553" t="s">
        <v>566</v>
      </c>
      <c r="D1553" t="s">
        <v>291</v>
      </c>
      <c r="E1553" t="s">
        <v>567</v>
      </c>
      <c r="F1553" t="s">
        <v>154</v>
      </c>
      <c r="G1553" t="s">
        <v>111</v>
      </c>
      <c r="H1553" t="s">
        <v>113</v>
      </c>
      <c r="I1553" t="s">
        <v>112</v>
      </c>
      <c r="J1553" t="s">
        <v>114</v>
      </c>
      <c r="K1553" t="s">
        <v>116</v>
      </c>
      <c r="L1553" t="s">
        <v>116</v>
      </c>
    </row>
    <row r="1554" spans="1:12" x14ac:dyDescent="0.3">
      <c r="A1554" t="s">
        <v>731</v>
      </c>
      <c r="B1554" t="s">
        <v>1505</v>
      </c>
      <c r="C1554" t="s">
        <v>566</v>
      </c>
      <c r="D1554" t="s">
        <v>293</v>
      </c>
      <c r="E1554" t="s">
        <v>567</v>
      </c>
      <c r="F1554" t="s">
        <v>72</v>
      </c>
      <c r="G1554" t="s">
        <v>111</v>
      </c>
      <c r="H1554" t="s">
        <v>113</v>
      </c>
      <c r="I1554" t="s">
        <v>112</v>
      </c>
      <c r="J1554" t="s">
        <v>114</v>
      </c>
      <c r="K1554" t="s">
        <v>116</v>
      </c>
      <c r="L1554" t="s">
        <v>116</v>
      </c>
    </row>
    <row r="1555" spans="1:12" x14ac:dyDescent="0.3">
      <c r="A1555" t="s">
        <v>731</v>
      </c>
      <c r="B1555" t="s">
        <v>1505</v>
      </c>
      <c r="C1555" t="s">
        <v>566</v>
      </c>
      <c r="D1555" t="s">
        <v>334</v>
      </c>
      <c r="E1555" t="s">
        <v>567</v>
      </c>
      <c r="F1555" t="s">
        <v>155</v>
      </c>
      <c r="G1555" t="s">
        <v>111</v>
      </c>
      <c r="H1555" t="s">
        <v>113</v>
      </c>
      <c r="I1555" t="s">
        <v>112</v>
      </c>
      <c r="J1555" t="s">
        <v>114</v>
      </c>
      <c r="K1555" t="s">
        <v>116</v>
      </c>
      <c r="L1555" t="s">
        <v>116</v>
      </c>
    </row>
    <row r="1556" spans="1:12" x14ac:dyDescent="0.3">
      <c r="A1556" t="s">
        <v>731</v>
      </c>
      <c r="B1556" t="s">
        <v>1505</v>
      </c>
      <c r="C1556" t="s">
        <v>566</v>
      </c>
      <c r="D1556" t="s">
        <v>294</v>
      </c>
      <c r="E1556" t="s">
        <v>567</v>
      </c>
      <c r="F1556" t="s">
        <v>156</v>
      </c>
      <c r="G1556" t="s">
        <v>111</v>
      </c>
      <c r="H1556" t="s">
        <v>113</v>
      </c>
      <c r="I1556" t="s">
        <v>112</v>
      </c>
      <c r="J1556" t="s">
        <v>114</v>
      </c>
      <c r="K1556" t="s">
        <v>116</v>
      </c>
      <c r="L1556" t="s">
        <v>116</v>
      </c>
    </row>
    <row r="1557" spans="1:12" x14ac:dyDescent="0.3">
      <c r="A1557" t="s">
        <v>731</v>
      </c>
      <c r="B1557" t="s">
        <v>1505</v>
      </c>
      <c r="C1557" t="s">
        <v>566</v>
      </c>
      <c r="D1557" t="s">
        <v>295</v>
      </c>
      <c r="E1557" t="s">
        <v>567</v>
      </c>
      <c r="F1557" t="s">
        <v>103</v>
      </c>
      <c r="G1557" t="s">
        <v>111</v>
      </c>
      <c r="H1557" t="s">
        <v>118</v>
      </c>
      <c r="I1557" t="s">
        <v>112</v>
      </c>
      <c r="J1557" t="s">
        <v>119</v>
      </c>
      <c r="K1557" t="s">
        <v>116</v>
      </c>
      <c r="L1557" t="s">
        <v>116</v>
      </c>
    </row>
    <row r="1558" spans="1:12" x14ac:dyDescent="0.3">
      <c r="A1558" t="s">
        <v>731</v>
      </c>
      <c r="B1558" t="s">
        <v>1505</v>
      </c>
      <c r="C1558" t="s">
        <v>566</v>
      </c>
      <c r="D1558" t="s">
        <v>337</v>
      </c>
      <c r="E1558" t="s">
        <v>567</v>
      </c>
      <c r="F1558" t="s">
        <v>157</v>
      </c>
      <c r="G1558" t="s">
        <v>111</v>
      </c>
      <c r="H1558" t="s">
        <v>113</v>
      </c>
      <c r="I1558" t="s">
        <v>112</v>
      </c>
      <c r="J1558" t="s">
        <v>114</v>
      </c>
      <c r="K1558" t="s">
        <v>116</v>
      </c>
      <c r="L1558" t="s">
        <v>116</v>
      </c>
    </row>
    <row r="1559" spans="1:12" x14ac:dyDescent="0.3">
      <c r="A1559" t="s">
        <v>731</v>
      </c>
      <c r="B1559" t="s">
        <v>1505</v>
      </c>
      <c r="C1559" t="s">
        <v>566</v>
      </c>
      <c r="D1559" t="s">
        <v>296</v>
      </c>
      <c r="E1559" t="s">
        <v>567</v>
      </c>
      <c r="F1559" t="s">
        <v>198</v>
      </c>
      <c r="G1559" t="s">
        <v>111</v>
      </c>
      <c r="H1559" t="s">
        <v>113</v>
      </c>
      <c r="I1559" t="s">
        <v>112</v>
      </c>
      <c r="J1559" t="s">
        <v>114</v>
      </c>
      <c r="K1559" t="s">
        <v>116</v>
      </c>
      <c r="L1559" t="s">
        <v>116</v>
      </c>
    </row>
    <row r="1560" spans="1:12" x14ac:dyDescent="0.3">
      <c r="A1560" t="s">
        <v>731</v>
      </c>
      <c r="B1560" t="s">
        <v>1505</v>
      </c>
      <c r="C1560" t="s">
        <v>566</v>
      </c>
      <c r="D1560" t="s">
        <v>297</v>
      </c>
      <c r="E1560" t="s">
        <v>567</v>
      </c>
      <c r="F1560" t="s">
        <v>180</v>
      </c>
      <c r="G1560" t="s">
        <v>111</v>
      </c>
      <c r="H1560" t="s">
        <v>113</v>
      </c>
      <c r="I1560" t="s">
        <v>112</v>
      </c>
      <c r="J1560" t="s">
        <v>114</v>
      </c>
      <c r="K1560" t="s">
        <v>116</v>
      </c>
      <c r="L1560" t="s">
        <v>116</v>
      </c>
    </row>
    <row r="1561" spans="1:12" x14ac:dyDescent="0.3">
      <c r="A1561" t="s">
        <v>731</v>
      </c>
      <c r="B1561" t="s">
        <v>1505</v>
      </c>
      <c r="C1561" t="s">
        <v>566</v>
      </c>
      <c r="D1561" t="s">
        <v>298</v>
      </c>
      <c r="E1561" t="s">
        <v>567</v>
      </c>
      <c r="F1561" t="s">
        <v>158</v>
      </c>
      <c r="G1561" t="s">
        <v>111</v>
      </c>
      <c r="H1561" t="s">
        <v>113</v>
      </c>
      <c r="I1561" t="s">
        <v>112</v>
      </c>
      <c r="J1561" t="s">
        <v>114</v>
      </c>
      <c r="K1561" t="s">
        <v>116</v>
      </c>
      <c r="L1561" t="s">
        <v>116</v>
      </c>
    </row>
    <row r="1562" spans="1:12" x14ac:dyDescent="0.3">
      <c r="A1562" t="s">
        <v>731</v>
      </c>
      <c r="B1562" t="s">
        <v>1505</v>
      </c>
      <c r="C1562" t="s">
        <v>566</v>
      </c>
      <c r="D1562" t="s">
        <v>335</v>
      </c>
      <c r="E1562" t="s">
        <v>567</v>
      </c>
      <c r="F1562" t="s">
        <v>199</v>
      </c>
      <c r="G1562" t="s">
        <v>111</v>
      </c>
      <c r="H1562" t="s">
        <v>113</v>
      </c>
      <c r="I1562" t="s">
        <v>112</v>
      </c>
      <c r="J1562" t="s">
        <v>114</v>
      </c>
      <c r="K1562" t="s">
        <v>116</v>
      </c>
      <c r="L1562" t="s">
        <v>116</v>
      </c>
    </row>
    <row r="1563" spans="1:12" x14ac:dyDescent="0.3">
      <c r="A1563" t="s">
        <v>731</v>
      </c>
      <c r="B1563" t="s">
        <v>1505</v>
      </c>
      <c r="C1563" t="s">
        <v>566</v>
      </c>
      <c r="D1563" t="s">
        <v>336</v>
      </c>
      <c r="E1563" t="s">
        <v>567</v>
      </c>
      <c r="F1563" t="s">
        <v>159</v>
      </c>
      <c r="G1563" t="s">
        <v>111</v>
      </c>
      <c r="H1563" t="s">
        <v>113</v>
      </c>
      <c r="I1563" t="s">
        <v>112</v>
      </c>
      <c r="J1563" t="s">
        <v>114</v>
      </c>
      <c r="K1563" t="s">
        <v>116</v>
      </c>
      <c r="L1563" t="s">
        <v>116</v>
      </c>
    </row>
    <row r="1564" spans="1:12" x14ac:dyDescent="0.3">
      <c r="A1564" t="s">
        <v>731</v>
      </c>
      <c r="B1564" t="s">
        <v>1505</v>
      </c>
      <c r="C1564" t="s">
        <v>566</v>
      </c>
      <c r="D1564" t="s">
        <v>299</v>
      </c>
      <c r="E1564" t="s">
        <v>567</v>
      </c>
      <c r="F1564" t="s">
        <v>47</v>
      </c>
      <c r="G1564" t="s">
        <v>111</v>
      </c>
      <c r="H1564" t="s">
        <v>113</v>
      </c>
      <c r="I1564" t="s">
        <v>112</v>
      </c>
      <c r="J1564" t="s">
        <v>114</v>
      </c>
      <c r="K1564" t="s">
        <v>116</v>
      </c>
      <c r="L1564" t="s">
        <v>116</v>
      </c>
    </row>
    <row r="1565" spans="1:12" x14ac:dyDescent="0.3">
      <c r="A1565" t="s">
        <v>731</v>
      </c>
      <c r="B1565" t="s">
        <v>1505</v>
      </c>
      <c r="C1565" t="s">
        <v>566</v>
      </c>
      <c r="D1565" t="s">
        <v>300</v>
      </c>
      <c r="E1565" t="s">
        <v>567</v>
      </c>
      <c r="F1565" t="s">
        <v>181</v>
      </c>
      <c r="G1565" t="s">
        <v>111</v>
      </c>
      <c r="H1565" t="s">
        <v>113</v>
      </c>
      <c r="I1565" t="s">
        <v>112</v>
      </c>
      <c r="J1565" t="s">
        <v>114</v>
      </c>
      <c r="K1565" t="s">
        <v>116</v>
      </c>
      <c r="L1565" t="s">
        <v>116</v>
      </c>
    </row>
    <row r="1566" spans="1:12" x14ac:dyDescent="0.3">
      <c r="A1566" t="s">
        <v>731</v>
      </c>
      <c r="B1566" t="s">
        <v>1505</v>
      </c>
      <c r="C1566" t="s">
        <v>566</v>
      </c>
      <c r="D1566" t="s">
        <v>301</v>
      </c>
      <c r="E1566" t="s">
        <v>567</v>
      </c>
      <c r="F1566" t="s">
        <v>73</v>
      </c>
      <c r="G1566" t="s">
        <v>111</v>
      </c>
      <c r="H1566" t="s">
        <v>113</v>
      </c>
      <c r="I1566" t="s">
        <v>112</v>
      </c>
      <c r="J1566" t="s">
        <v>114</v>
      </c>
      <c r="K1566" t="s">
        <v>116</v>
      </c>
      <c r="L1566" t="s">
        <v>116</v>
      </c>
    </row>
    <row r="1567" spans="1:12" x14ac:dyDescent="0.3">
      <c r="A1567" t="s">
        <v>731</v>
      </c>
      <c r="B1567" t="s">
        <v>1505</v>
      </c>
      <c r="C1567" t="s">
        <v>566</v>
      </c>
      <c r="D1567" t="s">
        <v>208</v>
      </c>
      <c r="E1567" t="s">
        <v>567</v>
      </c>
      <c r="F1567" t="s">
        <v>161</v>
      </c>
      <c r="G1567" t="s">
        <v>111</v>
      </c>
      <c r="H1567" t="s">
        <v>113</v>
      </c>
      <c r="I1567" t="s">
        <v>112</v>
      </c>
      <c r="J1567" t="s">
        <v>114</v>
      </c>
      <c r="K1567" t="s">
        <v>116</v>
      </c>
      <c r="L1567" t="s">
        <v>116</v>
      </c>
    </row>
    <row r="1568" spans="1:12" x14ac:dyDescent="0.3">
      <c r="A1568" t="s">
        <v>731</v>
      </c>
      <c r="B1568" t="s">
        <v>1505</v>
      </c>
      <c r="C1568" t="s">
        <v>566</v>
      </c>
      <c r="D1568" t="s">
        <v>302</v>
      </c>
      <c r="E1568" t="s">
        <v>567</v>
      </c>
      <c r="F1568" t="s">
        <v>162</v>
      </c>
      <c r="G1568" t="s">
        <v>111</v>
      </c>
      <c r="H1568" t="s">
        <v>113</v>
      </c>
      <c r="I1568" t="s">
        <v>112</v>
      </c>
      <c r="J1568" t="s">
        <v>114</v>
      </c>
      <c r="K1568" t="s">
        <v>116</v>
      </c>
      <c r="L1568" t="s">
        <v>116</v>
      </c>
    </row>
    <row r="1569" spans="1:12" x14ac:dyDescent="0.3">
      <c r="A1569" t="s">
        <v>731</v>
      </c>
      <c r="B1569" t="s">
        <v>1501</v>
      </c>
      <c r="C1569" t="s">
        <v>566</v>
      </c>
      <c r="D1569" t="s">
        <v>209</v>
      </c>
      <c r="E1569" t="s">
        <v>569</v>
      </c>
      <c r="F1569" t="s">
        <v>115</v>
      </c>
      <c r="G1569" t="s">
        <v>111</v>
      </c>
      <c r="H1569" t="s">
        <v>113</v>
      </c>
      <c r="I1569" t="s">
        <v>112</v>
      </c>
      <c r="J1569" t="s">
        <v>114</v>
      </c>
      <c r="K1569" t="s">
        <v>116</v>
      </c>
      <c r="L1569" t="s">
        <v>116</v>
      </c>
    </row>
    <row r="1570" spans="1:12" x14ac:dyDescent="0.3">
      <c r="A1570" t="s">
        <v>731</v>
      </c>
      <c r="B1570" t="s">
        <v>1501</v>
      </c>
      <c r="C1570" t="s">
        <v>566</v>
      </c>
      <c r="D1570" t="s">
        <v>210</v>
      </c>
      <c r="E1570" t="s">
        <v>569</v>
      </c>
      <c r="F1570" t="s">
        <v>59</v>
      </c>
      <c r="G1570" t="s">
        <v>111</v>
      </c>
      <c r="H1570" t="s">
        <v>328</v>
      </c>
      <c r="I1570" t="s">
        <v>112</v>
      </c>
      <c r="J1570" t="s">
        <v>119</v>
      </c>
    </row>
    <row r="1571" spans="1:12" x14ac:dyDescent="0.3">
      <c r="A1571" t="s">
        <v>731</v>
      </c>
      <c r="B1571" t="s">
        <v>1501</v>
      </c>
      <c r="C1571" t="s">
        <v>566</v>
      </c>
      <c r="D1571" t="s">
        <v>304</v>
      </c>
      <c r="E1571" t="s">
        <v>569</v>
      </c>
      <c r="F1571" t="s">
        <v>117</v>
      </c>
      <c r="G1571" t="s">
        <v>111</v>
      </c>
      <c r="H1571" t="s">
        <v>113</v>
      </c>
      <c r="I1571" t="s">
        <v>112</v>
      </c>
      <c r="J1571" t="s">
        <v>114</v>
      </c>
      <c r="K1571" t="s">
        <v>116</v>
      </c>
      <c r="L1571" t="s">
        <v>116</v>
      </c>
    </row>
    <row r="1572" spans="1:12" x14ac:dyDescent="0.3">
      <c r="A1572" t="s">
        <v>731</v>
      </c>
      <c r="B1572" t="s">
        <v>1501</v>
      </c>
      <c r="C1572" t="s">
        <v>566</v>
      </c>
      <c r="D1572" t="s">
        <v>211</v>
      </c>
      <c r="E1572" t="s">
        <v>569</v>
      </c>
      <c r="F1572" t="s">
        <v>188</v>
      </c>
      <c r="G1572" t="s">
        <v>111</v>
      </c>
      <c r="H1572" t="s">
        <v>113</v>
      </c>
      <c r="I1572" t="s">
        <v>112</v>
      </c>
      <c r="J1572" t="s">
        <v>114</v>
      </c>
      <c r="K1572" t="s">
        <v>116</v>
      </c>
      <c r="L1572" t="s">
        <v>116</v>
      </c>
    </row>
    <row r="1573" spans="1:12" x14ac:dyDescent="0.3">
      <c r="A1573" t="s">
        <v>731</v>
      </c>
      <c r="B1573" t="s">
        <v>1501</v>
      </c>
      <c r="C1573" t="s">
        <v>566</v>
      </c>
      <c r="D1573" t="s">
        <v>212</v>
      </c>
      <c r="E1573" t="s">
        <v>569</v>
      </c>
      <c r="F1573" t="s">
        <v>164</v>
      </c>
      <c r="G1573" t="s">
        <v>111</v>
      </c>
      <c r="H1573" t="s">
        <v>113</v>
      </c>
      <c r="I1573" t="s">
        <v>112</v>
      </c>
      <c r="J1573" t="s">
        <v>114</v>
      </c>
      <c r="K1573" t="s">
        <v>116</v>
      </c>
      <c r="L1573" t="s">
        <v>116</v>
      </c>
    </row>
    <row r="1574" spans="1:12" x14ac:dyDescent="0.3">
      <c r="A1574" t="s">
        <v>731</v>
      </c>
      <c r="B1574" t="s">
        <v>1501</v>
      </c>
      <c r="C1574" t="s">
        <v>566</v>
      </c>
      <c r="D1574" t="s">
        <v>213</v>
      </c>
      <c r="E1574" t="s">
        <v>569</v>
      </c>
      <c r="F1574" t="s">
        <v>53</v>
      </c>
      <c r="G1574" t="s">
        <v>111</v>
      </c>
      <c r="H1574" t="s">
        <v>113</v>
      </c>
      <c r="I1574" t="s">
        <v>112</v>
      </c>
      <c r="J1574" t="s">
        <v>114</v>
      </c>
      <c r="K1574" t="s">
        <v>116</v>
      </c>
      <c r="L1574" t="s">
        <v>116</v>
      </c>
    </row>
    <row r="1575" spans="1:12" x14ac:dyDescent="0.3">
      <c r="A1575" t="s">
        <v>731</v>
      </c>
      <c r="B1575" t="s">
        <v>1501</v>
      </c>
      <c r="C1575" t="s">
        <v>566</v>
      </c>
      <c r="D1575" t="s">
        <v>215</v>
      </c>
      <c r="E1575" t="s">
        <v>569</v>
      </c>
      <c r="F1575" t="s">
        <v>69</v>
      </c>
      <c r="G1575" t="s">
        <v>111</v>
      </c>
      <c r="H1575" t="s">
        <v>113</v>
      </c>
      <c r="I1575" t="s">
        <v>112</v>
      </c>
      <c r="J1575" t="s">
        <v>114</v>
      </c>
      <c r="K1575" t="s">
        <v>116</v>
      </c>
      <c r="L1575" t="s">
        <v>116</v>
      </c>
    </row>
    <row r="1576" spans="1:12" x14ac:dyDescent="0.3">
      <c r="A1576" t="s">
        <v>731</v>
      </c>
      <c r="B1576" t="s">
        <v>1501</v>
      </c>
      <c r="C1576" t="s">
        <v>566</v>
      </c>
      <c r="D1576" t="s">
        <v>216</v>
      </c>
      <c r="E1576" t="s">
        <v>569</v>
      </c>
      <c r="F1576" t="s">
        <v>121</v>
      </c>
      <c r="G1576" t="s">
        <v>111</v>
      </c>
      <c r="H1576" t="s">
        <v>118</v>
      </c>
      <c r="I1576" t="s">
        <v>112</v>
      </c>
      <c r="J1576" t="s">
        <v>119</v>
      </c>
      <c r="K1576" t="s">
        <v>116</v>
      </c>
      <c r="L1576" t="s">
        <v>116</v>
      </c>
    </row>
    <row r="1577" spans="1:12" x14ac:dyDescent="0.3">
      <c r="A1577" t="s">
        <v>731</v>
      </c>
      <c r="B1577" t="s">
        <v>1501</v>
      </c>
      <c r="C1577" t="s">
        <v>566</v>
      </c>
      <c r="D1577" t="s">
        <v>217</v>
      </c>
      <c r="E1577" t="s">
        <v>569</v>
      </c>
      <c r="F1577" t="s">
        <v>122</v>
      </c>
      <c r="G1577" t="s">
        <v>111</v>
      </c>
      <c r="H1577" t="s">
        <v>113</v>
      </c>
      <c r="I1577" t="s">
        <v>112</v>
      </c>
      <c r="J1577" t="s">
        <v>114</v>
      </c>
      <c r="K1577" t="s">
        <v>116</v>
      </c>
      <c r="L1577" t="s">
        <v>116</v>
      </c>
    </row>
    <row r="1578" spans="1:12" x14ac:dyDescent="0.3">
      <c r="A1578" t="s">
        <v>731</v>
      </c>
      <c r="B1578" t="s">
        <v>1501</v>
      </c>
      <c r="C1578" t="s">
        <v>566</v>
      </c>
      <c r="D1578" t="s">
        <v>306</v>
      </c>
      <c r="E1578" t="s">
        <v>569</v>
      </c>
      <c r="F1578" t="s">
        <v>165</v>
      </c>
      <c r="G1578" t="s">
        <v>111</v>
      </c>
      <c r="H1578" t="s">
        <v>113</v>
      </c>
      <c r="I1578" t="s">
        <v>112</v>
      </c>
      <c r="J1578" t="s">
        <v>114</v>
      </c>
      <c r="K1578" t="s">
        <v>116</v>
      </c>
      <c r="L1578" t="s">
        <v>116</v>
      </c>
    </row>
    <row r="1579" spans="1:12" x14ac:dyDescent="0.3">
      <c r="A1579" t="s">
        <v>731</v>
      </c>
      <c r="B1579" t="s">
        <v>1501</v>
      </c>
      <c r="C1579" t="s">
        <v>566</v>
      </c>
      <c r="D1579" t="s">
        <v>218</v>
      </c>
      <c r="E1579" t="s">
        <v>569</v>
      </c>
      <c r="F1579" t="s">
        <v>166</v>
      </c>
      <c r="G1579" t="s">
        <v>111</v>
      </c>
      <c r="H1579" t="s">
        <v>113</v>
      </c>
      <c r="I1579" t="s">
        <v>112</v>
      </c>
      <c r="J1579" t="s">
        <v>114</v>
      </c>
      <c r="K1579" t="s">
        <v>116</v>
      </c>
      <c r="L1579" t="s">
        <v>116</v>
      </c>
    </row>
    <row r="1580" spans="1:12" x14ac:dyDescent="0.3">
      <c r="A1580" t="s">
        <v>731</v>
      </c>
      <c r="B1580" t="s">
        <v>1501</v>
      </c>
      <c r="C1580" t="s">
        <v>566</v>
      </c>
      <c r="D1580" t="s">
        <v>307</v>
      </c>
      <c r="E1580" t="s">
        <v>569</v>
      </c>
      <c r="F1580" t="s">
        <v>123</v>
      </c>
      <c r="G1580" t="s">
        <v>111</v>
      </c>
      <c r="H1580" t="s">
        <v>113</v>
      </c>
      <c r="I1580" t="s">
        <v>112</v>
      </c>
      <c r="J1580" t="s">
        <v>114</v>
      </c>
      <c r="K1580" t="s">
        <v>116</v>
      </c>
      <c r="L1580" t="s">
        <v>116</v>
      </c>
    </row>
    <row r="1581" spans="1:12" x14ac:dyDescent="0.3">
      <c r="A1581" t="s">
        <v>731</v>
      </c>
      <c r="B1581" t="s">
        <v>1501</v>
      </c>
      <c r="C1581" t="s">
        <v>566</v>
      </c>
      <c r="D1581" t="s">
        <v>219</v>
      </c>
      <c r="E1581" t="s">
        <v>569</v>
      </c>
      <c r="F1581" t="s">
        <v>189</v>
      </c>
      <c r="G1581" t="s">
        <v>111</v>
      </c>
      <c r="H1581" t="s">
        <v>113</v>
      </c>
      <c r="I1581" t="s">
        <v>112</v>
      </c>
      <c r="J1581" t="s">
        <v>114</v>
      </c>
      <c r="K1581" t="s">
        <v>116</v>
      </c>
      <c r="L1581" t="s">
        <v>116</v>
      </c>
    </row>
    <row r="1582" spans="1:12" x14ac:dyDescent="0.3">
      <c r="A1582" t="s">
        <v>731</v>
      </c>
      <c r="B1582" t="s">
        <v>1501</v>
      </c>
      <c r="C1582" t="s">
        <v>566</v>
      </c>
      <c r="D1582" t="s">
        <v>220</v>
      </c>
      <c r="E1582" t="s">
        <v>569</v>
      </c>
      <c r="F1582" t="s">
        <v>54</v>
      </c>
      <c r="G1582" t="s">
        <v>111</v>
      </c>
      <c r="H1582" t="s">
        <v>113</v>
      </c>
      <c r="I1582" t="s">
        <v>112</v>
      </c>
      <c r="J1582" t="s">
        <v>114</v>
      </c>
      <c r="K1582" t="s">
        <v>599</v>
      </c>
      <c r="L1582" t="s">
        <v>599</v>
      </c>
    </row>
    <row r="1583" spans="1:12" x14ac:dyDescent="0.3">
      <c r="A1583" t="s">
        <v>731</v>
      </c>
      <c r="B1583" t="s">
        <v>1501</v>
      </c>
      <c r="C1583" t="s">
        <v>566</v>
      </c>
      <c r="D1583" t="s">
        <v>308</v>
      </c>
      <c r="E1583" t="s">
        <v>569</v>
      </c>
      <c r="F1583" t="s">
        <v>190</v>
      </c>
      <c r="G1583" t="s">
        <v>111</v>
      </c>
      <c r="H1583" t="s">
        <v>113</v>
      </c>
      <c r="I1583" t="s">
        <v>112</v>
      </c>
      <c r="J1583" t="s">
        <v>114</v>
      </c>
      <c r="K1583" t="s">
        <v>116</v>
      </c>
      <c r="L1583" t="s">
        <v>116</v>
      </c>
    </row>
    <row r="1584" spans="1:12" x14ac:dyDescent="0.3">
      <c r="A1584" t="s">
        <v>731</v>
      </c>
      <c r="B1584" t="s">
        <v>1501</v>
      </c>
      <c r="C1584" t="s">
        <v>566</v>
      </c>
      <c r="D1584" t="s">
        <v>222</v>
      </c>
      <c r="E1584" t="s">
        <v>569</v>
      </c>
      <c r="F1584" t="s">
        <v>124</v>
      </c>
      <c r="G1584" t="s">
        <v>111</v>
      </c>
      <c r="H1584" t="s">
        <v>113</v>
      </c>
      <c r="I1584" t="s">
        <v>112</v>
      </c>
      <c r="J1584" t="s">
        <v>114</v>
      </c>
      <c r="K1584" t="s">
        <v>116</v>
      </c>
      <c r="L1584" t="s">
        <v>116</v>
      </c>
    </row>
    <row r="1585" spans="1:12" x14ac:dyDescent="0.3">
      <c r="A1585" t="s">
        <v>731</v>
      </c>
      <c r="B1585" t="s">
        <v>1501</v>
      </c>
      <c r="C1585" t="s">
        <v>566</v>
      </c>
      <c r="D1585" t="s">
        <v>223</v>
      </c>
      <c r="E1585" t="s">
        <v>569</v>
      </c>
      <c r="F1585" t="s">
        <v>65</v>
      </c>
      <c r="G1585" t="s">
        <v>111</v>
      </c>
      <c r="H1585" t="s">
        <v>113</v>
      </c>
      <c r="I1585" t="s">
        <v>112</v>
      </c>
      <c r="J1585" t="s">
        <v>114</v>
      </c>
      <c r="K1585" t="s">
        <v>116</v>
      </c>
      <c r="L1585" t="s">
        <v>116</v>
      </c>
    </row>
    <row r="1586" spans="1:12" x14ac:dyDescent="0.3">
      <c r="A1586" t="s">
        <v>731</v>
      </c>
      <c r="B1586" t="s">
        <v>1501</v>
      </c>
      <c r="C1586" t="s">
        <v>566</v>
      </c>
      <c r="D1586" t="s">
        <v>224</v>
      </c>
      <c r="E1586" t="s">
        <v>569</v>
      </c>
      <c r="F1586" t="s">
        <v>125</v>
      </c>
      <c r="G1586" t="s">
        <v>111</v>
      </c>
      <c r="H1586" t="s">
        <v>113</v>
      </c>
      <c r="I1586" t="s">
        <v>112</v>
      </c>
      <c r="J1586" t="s">
        <v>114</v>
      </c>
      <c r="K1586" t="s">
        <v>116</v>
      </c>
      <c r="L1586" t="s">
        <v>116</v>
      </c>
    </row>
    <row r="1587" spans="1:12" x14ac:dyDescent="0.3">
      <c r="A1587" t="s">
        <v>731</v>
      </c>
      <c r="B1587" t="s">
        <v>1501</v>
      </c>
      <c r="C1587" t="s">
        <v>566</v>
      </c>
      <c r="D1587" t="s">
        <v>225</v>
      </c>
      <c r="E1587" t="s">
        <v>569</v>
      </c>
      <c r="F1587" t="s">
        <v>126</v>
      </c>
      <c r="G1587" t="s">
        <v>111</v>
      </c>
      <c r="H1587" t="s">
        <v>113</v>
      </c>
      <c r="I1587" t="s">
        <v>112</v>
      </c>
      <c r="J1587" t="s">
        <v>114</v>
      </c>
      <c r="K1587" t="s">
        <v>116</v>
      </c>
      <c r="L1587" t="s">
        <v>116</v>
      </c>
    </row>
    <row r="1588" spans="1:12" x14ac:dyDescent="0.3">
      <c r="A1588" t="s">
        <v>731</v>
      </c>
      <c r="B1588" t="s">
        <v>1501</v>
      </c>
      <c r="C1588" t="s">
        <v>566</v>
      </c>
      <c r="D1588" t="s">
        <v>226</v>
      </c>
      <c r="E1588" t="s">
        <v>569</v>
      </c>
      <c r="F1588" t="s">
        <v>80</v>
      </c>
      <c r="G1588" t="s">
        <v>111</v>
      </c>
      <c r="H1588" t="s">
        <v>113</v>
      </c>
      <c r="I1588" t="s">
        <v>112</v>
      </c>
      <c r="J1588" t="s">
        <v>114</v>
      </c>
      <c r="K1588" t="s">
        <v>116</v>
      </c>
      <c r="L1588" t="s">
        <v>116</v>
      </c>
    </row>
    <row r="1589" spans="1:12" x14ac:dyDescent="0.3">
      <c r="A1589" t="s">
        <v>731</v>
      </c>
      <c r="B1589" t="s">
        <v>1501</v>
      </c>
      <c r="C1589" t="s">
        <v>566</v>
      </c>
      <c r="D1589" t="s">
        <v>227</v>
      </c>
      <c r="E1589" t="s">
        <v>569</v>
      </c>
      <c r="F1589" t="s">
        <v>192</v>
      </c>
      <c r="G1589" t="s">
        <v>111</v>
      </c>
      <c r="H1589" t="s">
        <v>113</v>
      </c>
      <c r="I1589" t="s">
        <v>112</v>
      </c>
      <c r="J1589" t="s">
        <v>114</v>
      </c>
      <c r="K1589" t="s">
        <v>116</v>
      </c>
      <c r="L1589" t="s">
        <v>116</v>
      </c>
    </row>
    <row r="1590" spans="1:12" x14ac:dyDescent="0.3">
      <c r="A1590" t="s">
        <v>731</v>
      </c>
      <c r="B1590" t="s">
        <v>1501</v>
      </c>
      <c r="C1590" t="s">
        <v>566</v>
      </c>
      <c r="D1590" t="s">
        <v>228</v>
      </c>
      <c r="E1590" t="s">
        <v>569</v>
      </c>
      <c r="F1590" t="s">
        <v>167</v>
      </c>
      <c r="G1590" t="s">
        <v>111</v>
      </c>
      <c r="H1590" t="s">
        <v>113</v>
      </c>
      <c r="I1590" t="s">
        <v>112</v>
      </c>
      <c r="J1590" t="s">
        <v>114</v>
      </c>
      <c r="K1590" t="s">
        <v>116</v>
      </c>
      <c r="L1590" t="s">
        <v>116</v>
      </c>
    </row>
    <row r="1591" spans="1:12" x14ac:dyDescent="0.3">
      <c r="A1591" t="s">
        <v>731</v>
      </c>
      <c r="B1591" t="s">
        <v>1501</v>
      </c>
      <c r="C1591" t="s">
        <v>566</v>
      </c>
      <c r="D1591" t="s">
        <v>229</v>
      </c>
      <c r="E1591" t="s">
        <v>569</v>
      </c>
      <c r="F1591" t="s">
        <v>127</v>
      </c>
      <c r="G1591" t="s">
        <v>111</v>
      </c>
      <c r="H1591" t="s">
        <v>113</v>
      </c>
      <c r="I1591" t="s">
        <v>112</v>
      </c>
      <c r="J1591" t="s">
        <v>114</v>
      </c>
      <c r="K1591" t="s">
        <v>116</v>
      </c>
      <c r="L1591" t="s">
        <v>116</v>
      </c>
    </row>
    <row r="1592" spans="1:12" x14ac:dyDescent="0.3">
      <c r="A1592" t="s">
        <v>731</v>
      </c>
      <c r="B1592" t="s">
        <v>1501</v>
      </c>
      <c r="C1592" t="s">
        <v>566</v>
      </c>
      <c r="D1592" t="s">
        <v>230</v>
      </c>
      <c r="E1592" t="s">
        <v>569</v>
      </c>
      <c r="F1592" t="s">
        <v>168</v>
      </c>
      <c r="G1592" t="s">
        <v>111</v>
      </c>
      <c r="H1592" t="s">
        <v>113</v>
      </c>
      <c r="I1592" t="s">
        <v>112</v>
      </c>
      <c r="J1592" t="s">
        <v>114</v>
      </c>
      <c r="K1592" t="s">
        <v>116</v>
      </c>
      <c r="L1592" t="s">
        <v>116</v>
      </c>
    </row>
    <row r="1593" spans="1:12" x14ac:dyDescent="0.3">
      <c r="A1593" t="s">
        <v>731</v>
      </c>
      <c r="B1593" t="s">
        <v>1501</v>
      </c>
      <c r="C1593" t="s">
        <v>566</v>
      </c>
      <c r="D1593" t="s">
        <v>311</v>
      </c>
      <c r="E1593" t="s">
        <v>569</v>
      </c>
      <c r="F1593" t="s">
        <v>89</v>
      </c>
      <c r="G1593" t="s">
        <v>111</v>
      </c>
      <c r="H1593" t="s">
        <v>113</v>
      </c>
      <c r="I1593" t="s">
        <v>112</v>
      </c>
      <c r="J1593" t="s">
        <v>114</v>
      </c>
      <c r="K1593" t="s">
        <v>116</v>
      </c>
      <c r="L1593" t="s">
        <v>116</v>
      </c>
    </row>
    <row r="1594" spans="1:12" x14ac:dyDescent="0.3">
      <c r="A1594" t="s">
        <v>731</v>
      </c>
      <c r="B1594" t="s">
        <v>1501</v>
      </c>
      <c r="C1594" t="s">
        <v>566</v>
      </c>
      <c r="D1594" t="s">
        <v>231</v>
      </c>
      <c r="E1594" t="s">
        <v>569</v>
      </c>
      <c r="F1594" t="s">
        <v>66</v>
      </c>
      <c r="G1594" t="s">
        <v>111</v>
      </c>
      <c r="H1594" t="s">
        <v>113</v>
      </c>
      <c r="I1594" t="s">
        <v>112</v>
      </c>
      <c r="J1594" t="s">
        <v>114</v>
      </c>
      <c r="K1594" t="s">
        <v>116</v>
      </c>
      <c r="L1594" t="s">
        <v>116</v>
      </c>
    </row>
    <row r="1595" spans="1:12" x14ac:dyDescent="0.3">
      <c r="A1595" t="s">
        <v>731</v>
      </c>
      <c r="B1595" t="s">
        <v>1501</v>
      </c>
      <c r="C1595" t="s">
        <v>566</v>
      </c>
      <c r="D1595" t="s">
        <v>232</v>
      </c>
      <c r="E1595" t="s">
        <v>569</v>
      </c>
      <c r="F1595" t="s">
        <v>169</v>
      </c>
      <c r="G1595" t="s">
        <v>111</v>
      </c>
      <c r="H1595" t="s">
        <v>113</v>
      </c>
      <c r="I1595" t="s">
        <v>112</v>
      </c>
      <c r="J1595" t="s">
        <v>114</v>
      </c>
      <c r="K1595" t="s">
        <v>116</v>
      </c>
      <c r="L1595" t="s">
        <v>116</v>
      </c>
    </row>
    <row r="1596" spans="1:12" x14ac:dyDescent="0.3">
      <c r="A1596" t="s">
        <v>731</v>
      </c>
      <c r="B1596" t="s">
        <v>1501</v>
      </c>
      <c r="C1596" t="s">
        <v>566</v>
      </c>
      <c r="D1596" t="s">
        <v>312</v>
      </c>
      <c r="E1596" t="s">
        <v>569</v>
      </c>
      <c r="F1596" t="s">
        <v>129</v>
      </c>
      <c r="G1596" t="s">
        <v>111</v>
      </c>
      <c r="H1596" t="s">
        <v>113</v>
      </c>
      <c r="I1596" t="s">
        <v>112</v>
      </c>
      <c r="J1596" t="s">
        <v>114</v>
      </c>
      <c r="K1596" t="s">
        <v>116</v>
      </c>
      <c r="L1596" t="s">
        <v>116</v>
      </c>
    </row>
    <row r="1597" spans="1:12" x14ac:dyDescent="0.3">
      <c r="A1597" t="s">
        <v>731</v>
      </c>
      <c r="B1597" t="s">
        <v>1501</v>
      </c>
      <c r="C1597" t="s">
        <v>566</v>
      </c>
      <c r="D1597" t="s">
        <v>313</v>
      </c>
      <c r="E1597" t="s">
        <v>569</v>
      </c>
      <c r="F1597" t="s">
        <v>68</v>
      </c>
      <c r="G1597" t="s">
        <v>111</v>
      </c>
      <c r="H1597" t="s">
        <v>113</v>
      </c>
      <c r="I1597" t="s">
        <v>112</v>
      </c>
      <c r="J1597" t="s">
        <v>114</v>
      </c>
      <c r="K1597" t="s">
        <v>116</v>
      </c>
      <c r="L1597" t="s">
        <v>116</v>
      </c>
    </row>
    <row r="1598" spans="1:12" x14ac:dyDescent="0.3">
      <c r="A1598" t="s">
        <v>731</v>
      </c>
      <c r="B1598" t="s">
        <v>1501</v>
      </c>
      <c r="C1598" t="s">
        <v>566</v>
      </c>
      <c r="D1598" t="s">
        <v>314</v>
      </c>
      <c r="E1598" t="s">
        <v>569</v>
      </c>
      <c r="F1598" t="s">
        <v>61</v>
      </c>
      <c r="G1598" t="s">
        <v>111</v>
      </c>
      <c r="H1598" t="s">
        <v>113</v>
      </c>
      <c r="I1598" t="s">
        <v>112</v>
      </c>
      <c r="J1598" t="s">
        <v>114</v>
      </c>
      <c r="K1598" t="s">
        <v>116</v>
      </c>
      <c r="L1598" t="s">
        <v>116</v>
      </c>
    </row>
    <row r="1599" spans="1:12" x14ac:dyDescent="0.3">
      <c r="A1599" t="s">
        <v>731</v>
      </c>
      <c r="B1599" t="s">
        <v>1501</v>
      </c>
      <c r="C1599" t="s">
        <v>566</v>
      </c>
      <c r="D1599" t="s">
        <v>236</v>
      </c>
      <c r="E1599" t="s">
        <v>569</v>
      </c>
      <c r="F1599" t="s">
        <v>87</v>
      </c>
      <c r="G1599" t="s">
        <v>111</v>
      </c>
      <c r="H1599" t="s">
        <v>113</v>
      </c>
      <c r="I1599" t="s">
        <v>112</v>
      </c>
      <c r="J1599" t="s">
        <v>114</v>
      </c>
      <c r="K1599" t="s">
        <v>116</v>
      </c>
      <c r="L1599" t="s">
        <v>116</v>
      </c>
    </row>
    <row r="1600" spans="1:12" x14ac:dyDescent="0.3">
      <c r="A1600" t="s">
        <v>731</v>
      </c>
      <c r="B1600" t="s">
        <v>1501</v>
      </c>
      <c r="C1600" t="s">
        <v>566</v>
      </c>
      <c r="D1600" t="s">
        <v>237</v>
      </c>
      <c r="E1600" t="s">
        <v>569</v>
      </c>
      <c r="F1600" t="s">
        <v>130</v>
      </c>
      <c r="G1600" t="s">
        <v>111</v>
      </c>
      <c r="H1600" t="s">
        <v>113</v>
      </c>
      <c r="I1600" t="s">
        <v>112</v>
      </c>
      <c r="J1600" t="s">
        <v>114</v>
      </c>
      <c r="K1600" t="s">
        <v>116</v>
      </c>
      <c r="L1600" t="s">
        <v>116</v>
      </c>
    </row>
    <row r="1601" spans="1:12" x14ac:dyDescent="0.3">
      <c r="A1601" t="s">
        <v>731</v>
      </c>
      <c r="B1601" t="s">
        <v>1501</v>
      </c>
      <c r="C1601" t="s">
        <v>566</v>
      </c>
      <c r="D1601" t="s">
        <v>316</v>
      </c>
      <c r="E1601" t="s">
        <v>568</v>
      </c>
      <c r="F1601" t="s">
        <v>132</v>
      </c>
      <c r="G1601" t="s">
        <v>111</v>
      </c>
      <c r="H1601" t="s">
        <v>113</v>
      </c>
      <c r="I1601" t="s">
        <v>112</v>
      </c>
      <c r="J1601" t="s">
        <v>114</v>
      </c>
      <c r="K1601" t="s">
        <v>116</v>
      </c>
      <c r="L1601" t="s">
        <v>116</v>
      </c>
    </row>
    <row r="1602" spans="1:12" x14ac:dyDescent="0.3">
      <c r="A1602" t="s">
        <v>731</v>
      </c>
      <c r="B1602" t="s">
        <v>1501</v>
      </c>
      <c r="C1602" t="s">
        <v>566</v>
      </c>
      <c r="D1602" t="s">
        <v>317</v>
      </c>
      <c r="E1602" t="s">
        <v>568</v>
      </c>
      <c r="F1602" t="s">
        <v>133</v>
      </c>
      <c r="G1602" t="s">
        <v>111</v>
      </c>
      <c r="H1602" t="s">
        <v>113</v>
      </c>
      <c r="I1602" t="s">
        <v>112</v>
      </c>
      <c r="J1602" t="s">
        <v>114</v>
      </c>
      <c r="K1602" t="s">
        <v>116</v>
      </c>
      <c r="L1602" t="s">
        <v>116</v>
      </c>
    </row>
    <row r="1603" spans="1:12" x14ac:dyDescent="0.3">
      <c r="A1603" t="s">
        <v>731</v>
      </c>
      <c r="B1603" t="s">
        <v>1501</v>
      </c>
      <c r="C1603" t="s">
        <v>566</v>
      </c>
      <c r="D1603" t="s">
        <v>240</v>
      </c>
      <c r="E1603" t="s">
        <v>568</v>
      </c>
      <c r="F1603" t="s">
        <v>134</v>
      </c>
      <c r="G1603" t="s">
        <v>111</v>
      </c>
      <c r="H1603" t="s">
        <v>113</v>
      </c>
      <c r="I1603" t="s">
        <v>112</v>
      </c>
      <c r="J1603" t="s">
        <v>114</v>
      </c>
      <c r="K1603" t="s">
        <v>116</v>
      </c>
      <c r="L1603" t="s">
        <v>116</v>
      </c>
    </row>
    <row r="1604" spans="1:12" x14ac:dyDescent="0.3">
      <c r="A1604" t="s">
        <v>731</v>
      </c>
      <c r="B1604" t="s">
        <v>1501</v>
      </c>
      <c r="C1604" t="s">
        <v>566</v>
      </c>
      <c r="D1604" t="s">
        <v>241</v>
      </c>
      <c r="E1604" t="s">
        <v>568</v>
      </c>
      <c r="F1604" t="s">
        <v>51</v>
      </c>
      <c r="G1604" t="s">
        <v>111</v>
      </c>
      <c r="H1604" t="s">
        <v>118</v>
      </c>
      <c r="I1604" t="s">
        <v>112</v>
      </c>
      <c r="J1604" t="s">
        <v>119</v>
      </c>
      <c r="K1604" t="s">
        <v>116</v>
      </c>
      <c r="L1604" t="s">
        <v>116</v>
      </c>
    </row>
    <row r="1605" spans="1:12" x14ac:dyDescent="0.3">
      <c r="A1605" t="s">
        <v>731</v>
      </c>
      <c r="B1605" t="s">
        <v>1501</v>
      </c>
      <c r="C1605" t="s">
        <v>566</v>
      </c>
      <c r="D1605" t="s">
        <v>242</v>
      </c>
      <c r="E1605" t="s">
        <v>568</v>
      </c>
      <c r="F1605" t="s">
        <v>163</v>
      </c>
      <c r="G1605" t="s">
        <v>111</v>
      </c>
      <c r="H1605" t="s">
        <v>113</v>
      </c>
      <c r="I1605" t="s">
        <v>112</v>
      </c>
      <c r="J1605" t="s">
        <v>114</v>
      </c>
      <c r="K1605" t="s">
        <v>116</v>
      </c>
      <c r="L1605" t="s">
        <v>116</v>
      </c>
    </row>
    <row r="1606" spans="1:12" x14ac:dyDescent="0.3">
      <c r="A1606" t="s">
        <v>731</v>
      </c>
      <c r="B1606" t="s">
        <v>1501</v>
      </c>
      <c r="C1606" t="s">
        <v>566</v>
      </c>
      <c r="D1606" t="s">
        <v>243</v>
      </c>
      <c r="E1606" t="s">
        <v>568</v>
      </c>
      <c r="F1606" t="s">
        <v>170</v>
      </c>
      <c r="G1606" t="s">
        <v>111</v>
      </c>
      <c r="H1606" t="s">
        <v>113</v>
      </c>
      <c r="I1606" t="s">
        <v>112</v>
      </c>
      <c r="J1606" t="s">
        <v>114</v>
      </c>
      <c r="K1606" t="s">
        <v>116</v>
      </c>
      <c r="L1606" t="s">
        <v>116</v>
      </c>
    </row>
    <row r="1607" spans="1:12" x14ac:dyDescent="0.3">
      <c r="A1607" t="s">
        <v>731</v>
      </c>
      <c r="B1607" t="s">
        <v>1501</v>
      </c>
      <c r="C1607" t="s">
        <v>566</v>
      </c>
      <c r="D1607" t="s">
        <v>244</v>
      </c>
      <c r="E1607" t="s">
        <v>568</v>
      </c>
      <c r="F1607" t="s">
        <v>78</v>
      </c>
      <c r="G1607" t="s">
        <v>111</v>
      </c>
      <c r="H1607" t="s">
        <v>113</v>
      </c>
      <c r="I1607" t="s">
        <v>112</v>
      </c>
      <c r="J1607" t="s">
        <v>114</v>
      </c>
      <c r="K1607" t="s">
        <v>116</v>
      </c>
      <c r="L1607" t="s">
        <v>116</v>
      </c>
    </row>
    <row r="1608" spans="1:12" x14ac:dyDescent="0.3">
      <c r="A1608" t="s">
        <v>731</v>
      </c>
      <c r="B1608" t="s">
        <v>1501</v>
      </c>
      <c r="C1608" t="s">
        <v>566</v>
      </c>
      <c r="D1608" t="s">
        <v>246</v>
      </c>
      <c r="E1608" t="s">
        <v>568</v>
      </c>
      <c r="F1608" t="s">
        <v>135</v>
      </c>
      <c r="G1608" t="s">
        <v>111</v>
      </c>
      <c r="H1608" t="s">
        <v>113</v>
      </c>
      <c r="I1608" t="s">
        <v>112</v>
      </c>
      <c r="J1608" t="s">
        <v>114</v>
      </c>
      <c r="K1608" t="s">
        <v>116</v>
      </c>
      <c r="L1608" t="s">
        <v>116</v>
      </c>
    </row>
    <row r="1609" spans="1:12" x14ac:dyDescent="0.3">
      <c r="A1609" t="s">
        <v>731</v>
      </c>
      <c r="B1609" t="s">
        <v>1501</v>
      </c>
      <c r="C1609" t="s">
        <v>566</v>
      </c>
      <c r="D1609" t="s">
        <v>319</v>
      </c>
      <c r="E1609" t="s">
        <v>568</v>
      </c>
      <c r="F1609" t="s">
        <v>136</v>
      </c>
      <c r="G1609" t="s">
        <v>111</v>
      </c>
      <c r="H1609" t="s">
        <v>113</v>
      </c>
      <c r="I1609" t="s">
        <v>112</v>
      </c>
      <c r="J1609" t="s">
        <v>114</v>
      </c>
      <c r="K1609" t="s">
        <v>116</v>
      </c>
      <c r="L1609" t="s">
        <v>116</v>
      </c>
    </row>
    <row r="1610" spans="1:12" x14ac:dyDescent="0.3">
      <c r="A1610" t="s">
        <v>731</v>
      </c>
      <c r="B1610" t="s">
        <v>1501</v>
      </c>
      <c r="C1610" t="s">
        <v>566</v>
      </c>
      <c r="D1610" t="s">
        <v>247</v>
      </c>
      <c r="E1610" t="s">
        <v>568</v>
      </c>
      <c r="F1610" t="s">
        <v>60</v>
      </c>
      <c r="G1610" t="s">
        <v>111</v>
      </c>
      <c r="H1610" t="s">
        <v>113</v>
      </c>
      <c r="I1610" t="s">
        <v>112</v>
      </c>
      <c r="J1610" t="s">
        <v>114</v>
      </c>
      <c r="K1610" t="s">
        <v>116</v>
      </c>
      <c r="L1610" t="s">
        <v>116</v>
      </c>
    </row>
    <row r="1611" spans="1:12" x14ac:dyDescent="0.3">
      <c r="A1611" t="s">
        <v>731</v>
      </c>
      <c r="B1611" t="s">
        <v>1501</v>
      </c>
      <c r="C1611" t="s">
        <v>566</v>
      </c>
      <c r="D1611" t="s">
        <v>250</v>
      </c>
      <c r="E1611" t="s">
        <v>568</v>
      </c>
      <c r="F1611" t="s">
        <v>70</v>
      </c>
      <c r="G1611" t="s">
        <v>111</v>
      </c>
      <c r="H1611" t="s">
        <v>113</v>
      </c>
      <c r="I1611" t="s">
        <v>112</v>
      </c>
      <c r="J1611" t="s">
        <v>114</v>
      </c>
      <c r="K1611" t="s">
        <v>116</v>
      </c>
      <c r="L1611" t="s">
        <v>116</v>
      </c>
    </row>
    <row r="1612" spans="1:12" x14ac:dyDescent="0.3">
      <c r="A1612" t="s">
        <v>731</v>
      </c>
      <c r="B1612" t="s">
        <v>1501</v>
      </c>
      <c r="C1612" t="s">
        <v>566</v>
      </c>
      <c r="D1612" t="s">
        <v>251</v>
      </c>
      <c r="E1612" t="s">
        <v>568</v>
      </c>
      <c r="F1612" t="s">
        <v>48</v>
      </c>
      <c r="G1612" t="s">
        <v>111</v>
      </c>
      <c r="H1612" t="s">
        <v>113</v>
      </c>
      <c r="I1612" t="s">
        <v>112</v>
      </c>
      <c r="J1612" t="s">
        <v>114</v>
      </c>
      <c r="K1612" t="s">
        <v>116</v>
      </c>
      <c r="L1612" t="s">
        <v>116</v>
      </c>
    </row>
    <row r="1613" spans="1:12" x14ac:dyDescent="0.3">
      <c r="A1613" t="s">
        <v>731</v>
      </c>
      <c r="B1613" t="s">
        <v>1501</v>
      </c>
      <c r="C1613" t="s">
        <v>566</v>
      </c>
      <c r="D1613" t="s">
        <v>252</v>
      </c>
      <c r="E1613" t="s">
        <v>568</v>
      </c>
      <c r="F1613" t="s">
        <v>138</v>
      </c>
      <c r="G1613" t="s">
        <v>111</v>
      </c>
      <c r="H1613" t="s">
        <v>113</v>
      </c>
      <c r="I1613" t="s">
        <v>112</v>
      </c>
      <c r="J1613" t="s">
        <v>114</v>
      </c>
      <c r="K1613" t="s">
        <v>116</v>
      </c>
      <c r="L1613" t="s">
        <v>116</v>
      </c>
    </row>
    <row r="1614" spans="1:12" x14ac:dyDescent="0.3">
      <c r="A1614" t="s">
        <v>731</v>
      </c>
      <c r="B1614" t="s">
        <v>1501</v>
      </c>
      <c r="C1614" t="s">
        <v>566</v>
      </c>
      <c r="D1614" t="s">
        <v>253</v>
      </c>
      <c r="E1614" t="s">
        <v>568</v>
      </c>
      <c r="F1614" t="s">
        <v>95</v>
      </c>
      <c r="G1614" t="s">
        <v>111</v>
      </c>
      <c r="H1614" t="s">
        <v>113</v>
      </c>
      <c r="I1614" t="s">
        <v>112</v>
      </c>
      <c r="J1614" t="s">
        <v>114</v>
      </c>
      <c r="K1614" t="s">
        <v>116</v>
      </c>
      <c r="L1614" t="s">
        <v>116</v>
      </c>
    </row>
    <row r="1615" spans="1:12" x14ac:dyDescent="0.3">
      <c r="A1615" t="s">
        <v>731</v>
      </c>
      <c r="B1615" t="s">
        <v>1501</v>
      </c>
      <c r="C1615" t="s">
        <v>566</v>
      </c>
      <c r="D1615" t="s">
        <v>254</v>
      </c>
      <c r="E1615" t="s">
        <v>568</v>
      </c>
      <c r="F1615" t="s">
        <v>139</v>
      </c>
      <c r="G1615" t="s">
        <v>111</v>
      </c>
      <c r="H1615" t="s">
        <v>113</v>
      </c>
      <c r="I1615" t="s">
        <v>112</v>
      </c>
      <c r="J1615" t="s">
        <v>114</v>
      </c>
      <c r="K1615" t="s">
        <v>116</v>
      </c>
      <c r="L1615" t="s">
        <v>116</v>
      </c>
    </row>
    <row r="1616" spans="1:12" x14ac:dyDescent="0.3">
      <c r="A1616" t="s">
        <v>731</v>
      </c>
      <c r="B1616" t="s">
        <v>1501</v>
      </c>
      <c r="C1616" t="s">
        <v>566</v>
      </c>
      <c r="D1616" t="s">
        <v>255</v>
      </c>
      <c r="E1616" t="s">
        <v>568</v>
      </c>
      <c r="F1616" t="s">
        <v>171</v>
      </c>
      <c r="G1616" t="s">
        <v>111</v>
      </c>
      <c r="H1616" t="s">
        <v>113</v>
      </c>
      <c r="I1616" t="s">
        <v>112</v>
      </c>
      <c r="J1616" t="s">
        <v>114</v>
      </c>
      <c r="K1616" t="s">
        <v>116</v>
      </c>
      <c r="L1616" t="s">
        <v>116</v>
      </c>
    </row>
    <row r="1617" spans="1:12" x14ac:dyDescent="0.3">
      <c r="A1617" t="s">
        <v>731</v>
      </c>
      <c r="B1617" t="s">
        <v>1501</v>
      </c>
      <c r="C1617" t="s">
        <v>566</v>
      </c>
      <c r="D1617" t="s">
        <v>320</v>
      </c>
      <c r="E1617" t="s">
        <v>568</v>
      </c>
      <c r="F1617" t="s">
        <v>172</v>
      </c>
      <c r="G1617" t="s">
        <v>111</v>
      </c>
      <c r="H1617" t="s">
        <v>113</v>
      </c>
      <c r="I1617" t="s">
        <v>112</v>
      </c>
      <c r="J1617" t="s">
        <v>114</v>
      </c>
      <c r="K1617" t="s">
        <v>116</v>
      </c>
      <c r="L1617" t="s">
        <v>116</v>
      </c>
    </row>
    <row r="1618" spans="1:12" x14ac:dyDescent="0.3">
      <c r="A1618" t="s">
        <v>731</v>
      </c>
      <c r="B1618" t="s">
        <v>1501</v>
      </c>
      <c r="C1618" t="s">
        <v>566</v>
      </c>
      <c r="D1618" t="s">
        <v>256</v>
      </c>
      <c r="E1618" t="s">
        <v>568</v>
      </c>
      <c r="F1618" t="s">
        <v>57</v>
      </c>
      <c r="G1618" t="s">
        <v>111</v>
      </c>
      <c r="H1618" t="s">
        <v>118</v>
      </c>
      <c r="I1618" t="s">
        <v>112</v>
      </c>
      <c r="J1618" t="s">
        <v>119</v>
      </c>
      <c r="K1618" t="s">
        <v>116</v>
      </c>
      <c r="L1618" t="s">
        <v>116</v>
      </c>
    </row>
    <row r="1619" spans="1:12" x14ac:dyDescent="0.3">
      <c r="A1619" t="s">
        <v>731</v>
      </c>
      <c r="B1619" t="s">
        <v>1501</v>
      </c>
      <c r="C1619" t="s">
        <v>566</v>
      </c>
      <c r="D1619" t="s">
        <v>322</v>
      </c>
      <c r="E1619" t="s">
        <v>568</v>
      </c>
      <c r="F1619" t="s">
        <v>173</v>
      </c>
      <c r="G1619" t="s">
        <v>111</v>
      </c>
      <c r="H1619" t="s">
        <v>113</v>
      </c>
      <c r="I1619" t="s">
        <v>112</v>
      </c>
      <c r="J1619" t="s">
        <v>114</v>
      </c>
      <c r="K1619" t="s">
        <v>116</v>
      </c>
      <c r="L1619" t="s">
        <v>116</v>
      </c>
    </row>
    <row r="1620" spans="1:12" x14ac:dyDescent="0.3">
      <c r="A1620" t="s">
        <v>731</v>
      </c>
      <c r="B1620" t="s">
        <v>1501</v>
      </c>
      <c r="C1620" t="s">
        <v>566</v>
      </c>
      <c r="D1620" t="s">
        <v>257</v>
      </c>
      <c r="E1620" t="s">
        <v>568</v>
      </c>
      <c r="F1620" t="s">
        <v>174</v>
      </c>
      <c r="G1620" t="s">
        <v>111</v>
      </c>
      <c r="H1620" t="s">
        <v>113</v>
      </c>
      <c r="I1620" t="s">
        <v>112</v>
      </c>
      <c r="J1620" t="s">
        <v>114</v>
      </c>
      <c r="K1620" t="s">
        <v>116</v>
      </c>
      <c r="L1620" t="s">
        <v>116</v>
      </c>
    </row>
    <row r="1621" spans="1:12" x14ac:dyDescent="0.3">
      <c r="A1621" t="s">
        <v>731</v>
      </c>
      <c r="B1621" t="s">
        <v>1501</v>
      </c>
      <c r="C1621" t="s">
        <v>566</v>
      </c>
      <c r="D1621" t="s">
        <v>258</v>
      </c>
      <c r="E1621" t="s">
        <v>568</v>
      </c>
      <c r="F1621" t="s">
        <v>88</v>
      </c>
      <c r="G1621" t="s">
        <v>111</v>
      </c>
      <c r="H1621" t="s">
        <v>113</v>
      </c>
      <c r="I1621" t="s">
        <v>112</v>
      </c>
      <c r="J1621" t="s">
        <v>114</v>
      </c>
      <c r="K1621" t="s">
        <v>116</v>
      </c>
      <c r="L1621" t="s">
        <v>116</v>
      </c>
    </row>
    <row r="1622" spans="1:12" x14ac:dyDescent="0.3">
      <c r="A1622" t="s">
        <v>731</v>
      </c>
      <c r="B1622" t="s">
        <v>1501</v>
      </c>
      <c r="C1622" t="s">
        <v>566</v>
      </c>
      <c r="D1622" t="s">
        <v>323</v>
      </c>
      <c r="E1622" t="s">
        <v>568</v>
      </c>
      <c r="F1622" t="s">
        <v>74</v>
      </c>
      <c r="G1622" t="s">
        <v>111</v>
      </c>
      <c r="H1622" t="s">
        <v>113</v>
      </c>
      <c r="I1622" t="s">
        <v>112</v>
      </c>
      <c r="J1622" t="s">
        <v>114</v>
      </c>
      <c r="K1622" t="s">
        <v>116</v>
      </c>
      <c r="L1622" t="s">
        <v>116</v>
      </c>
    </row>
    <row r="1623" spans="1:12" x14ac:dyDescent="0.3">
      <c r="A1623" t="s">
        <v>731</v>
      </c>
      <c r="B1623" t="s">
        <v>1501</v>
      </c>
      <c r="C1623" t="s">
        <v>566</v>
      </c>
      <c r="D1623" t="s">
        <v>324</v>
      </c>
      <c r="E1623" t="s">
        <v>568</v>
      </c>
      <c r="F1623" t="s">
        <v>102</v>
      </c>
      <c r="G1623" t="s">
        <v>111</v>
      </c>
      <c r="H1623" t="s">
        <v>113</v>
      </c>
      <c r="I1623" t="s">
        <v>112</v>
      </c>
      <c r="J1623" t="s">
        <v>114</v>
      </c>
      <c r="K1623" t="s">
        <v>116</v>
      </c>
      <c r="L1623" t="s">
        <v>116</v>
      </c>
    </row>
    <row r="1624" spans="1:12" x14ac:dyDescent="0.3">
      <c r="A1624" t="s">
        <v>731</v>
      </c>
      <c r="B1624" t="s">
        <v>1501</v>
      </c>
      <c r="C1624" t="s">
        <v>566</v>
      </c>
      <c r="D1624" t="s">
        <v>260</v>
      </c>
      <c r="E1624" t="s">
        <v>568</v>
      </c>
      <c r="F1624" t="s">
        <v>140</v>
      </c>
      <c r="G1624" t="s">
        <v>111</v>
      </c>
      <c r="H1624" t="s">
        <v>113</v>
      </c>
      <c r="I1624" t="s">
        <v>112</v>
      </c>
      <c r="J1624" t="s">
        <v>114</v>
      </c>
      <c r="K1624" t="s">
        <v>116</v>
      </c>
      <c r="L1624" t="s">
        <v>116</v>
      </c>
    </row>
    <row r="1625" spans="1:12" x14ac:dyDescent="0.3">
      <c r="A1625" t="s">
        <v>731</v>
      </c>
      <c r="B1625" t="s">
        <v>1501</v>
      </c>
      <c r="C1625" t="s">
        <v>566</v>
      </c>
      <c r="D1625" t="s">
        <v>325</v>
      </c>
      <c r="E1625" t="s">
        <v>568</v>
      </c>
      <c r="F1625" t="s">
        <v>46</v>
      </c>
      <c r="G1625" t="s">
        <v>111</v>
      </c>
      <c r="H1625" t="s">
        <v>113</v>
      </c>
      <c r="I1625" t="s">
        <v>112</v>
      </c>
      <c r="J1625" t="s">
        <v>114</v>
      </c>
      <c r="K1625" t="s">
        <v>116</v>
      </c>
      <c r="L1625" t="s">
        <v>116</v>
      </c>
    </row>
    <row r="1626" spans="1:12" x14ac:dyDescent="0.3">
      <c r="A1626" t="s">
        <v>731</v>
      </c>
      <c r="B1626" t="s">
        <v>1501</v>
      </c>
      <c r="C1626" t="s">
        <v>566</v>
      </c>
      <c r="D1626" t="s">
        <v>262</v>
      </c>
      <c r="E1626" t="s">
        <v>568</v>
      </c>
      <c r="F1626" t="s">
        <v>202</v>
      </c>
      <c r="G1626" t="s">
        <v>111</v>
      </c>
      <c r="H1626" t="s">
        <v>113</v>
      </c>
      <c r="I1626" t="s">
        <v>112</v>
      </c>
      <c r="J1626" t="s">
        <v>114</v>
      </c>
      <c r="K1626" t="s">
        <v>116</v>
      </c>
      <c r="L1626" t="s">
        <v>116</v>
      </c>
    </row>
    <row r="1627" spans="1:12" x14ac:dyDescent="0.3">
      <c r="A1627" t="s">
        <v>731</v>
      </c>
      <c r="B1627" t="s">
        <v>1501</v>
      </c>
      <c r="C1627" t="s">
        <v>566</v>
      </c>
      <c r="D1627" t="s">
        <v>263</v>
      </c>
      <c r="E1627" t="s">
        <v>568</v>
      </c>
      <c r="F1627" t="s">
        <v>141</v>
      </c>
      <c r="G1627" t="s">
        <v>111</v>
      </c>
      <c r="H1627" t="s">
        <v>118</v>
      </c>
      <c r="I1627" t="s">
        <v>112</v>
      </c>
      <c r="J1627" t="s">
        <v>119</v>
      </c>
      <c r="K1627" t="s">
        <v>116</v>
      </c>
      <c r="L1627" t="s">
        <v>116</v>
      </c>
    </row>
    <row r="1628" spans="1:12" x14ac:dyDescent="0.3">
      <c r="A1628" t="s">
        <v>731</v>
      </c>
      <c r="B1628" t="s">
        <v>1501</v>
      </c>
      <c r="C1628" t="s">
        <v>566</v>
      </c>
      <c r="D1628" t="s">
        <v>265</v>
      </c>
      <c r="E1628" t="s">
        <v>568</v>
      </c>
      <c r="F1628" t="s">
        <v>142</v>
      </c>
      <c r="G1628" t="s">
        <v>111</v>
      </c>
      <c r="H1628" t="s">
        <v>113</v>
      </c>
      <c r="I1628" t="s">
        <v>112</v>
      </c>
      <c r="J1628" t="s">
        <v>114</v>
      </c>
      <c r="K1628" t="s">
        <v>116</v>
      </c>
      <c r="L1628" t="s">
        <v>116</v>
      </c>
    </row>
    <row r="1629" spans="1:12" x14ac:dyDescent="0.3">
      <c r="A1629" t="s">
        <v>731</v>
      </c>
      <c r="B1629" t="s">
        <v>1501</v>
      </c>
      <c r="C1629" t="s">
        <v>566</v>
      </c>
      <c r="D1629" t="s">
        <v>266</v>
      </c>
      <c r="E1629" t="s">
        <v>568</v>
      </c>
      <c r="F1629" t="s">
        <v>75</v>
      </c>
      <c r="G1629" t="s">
        <v>111</v>
      </c>
      <c r="H1629" t="s">
        <v>113</v>
      </c>
      <c r="I1629" t="s">
        <v>112</v>
      </c>
      <c r="J1629" t="s">
        <v>114</v>
      </c>
      <c r="K1629" t="s">
        <v>116</v>
      </c>
      <c r="L1629" t="s">
        <v>116</v>
      </c>
    </row>
    <row r="1630" spans="1:12" x14ac:dyDescent="0.3">
      <c r="A1630" t="s">
        <v>731</v>
      </c>
      <c r="B1630" t="s">
        <v>1501</v>
      </c>
      <c r="C1630" t="s">
        <v>566</v>
      </c>
      <c r="D1630" t="s">
        <v>326</v>
      </c>
      <c r="E1630" t="s">
        <v>568</v>
      </c>
      <c r="F1630" t="s">
        <v>144</v>
      </c>
      <c r="G1630" t="s">
        <v>111</v>
      </c>
      <c r="H1630" t="s">
        <v>113</v>
      </c>
      <c r="I1630" t="s">
        <v>112</v>
      </c>
      <c r="J1630" t="s">
        <v>114</v>
      </c>
      <c r="K1630" t="s">
        <v>116</v>
      </c>
      <c r="L1630" t="s">
        <v>116</v>
      </c>
    </row>
    <row r="1631" spans="1:12" x14ac:dyDescent="0.3">
      <c r="A1631" t="s">
        <v>731</v>
      </c>
      <c r="B1631" t="s">
        <v>1501</v>
      </c>
      <c r="C1631" t="s">
        <v>566</v>
      </c>
      <c r="D1631" t="s">
        <v>268</v>
      </c>
      <c r="E1631" t="s">
        <v>568</v>
      </c>
      <c r="F1631" t="s">
        <v>194</v>
      </c>
      <c r="G1631" t="s">
        <v>111</v>
      </c>
      <c r="H1631" t="s">
        <v>113</v>
      </c>
      <c r="I1631" t="s">
        <v>112</v>
      </c>
      <c r="J1631" t="s">
        <v>114</v>
      </c>
      <c r="K1631" t="s">
        <v>116</v>
      </c>
      <c r="L1631" t="s">
        <v>116</v>
      </c>
    </row>
    <row r="1632" spans="1:12" x14ac:dyDescent="0.3">
      <c r="A1632" t="s">
        <v>731</v>
      </c>
      <c r="B1632" t="s">
        <v>1501</v>
      </c>
      <c r="C1632" t="s">
        <v>566</v>
      </c>
      <c r="D1632" t="s">
        <v>270</v>
      </c>
      <c r="E1632" t="s">
        <v>568</v>
      </c>
      <c r="F1632" t="s">
        <v>81</v>
      </c>
      <c r="G1632" t="s">
        <v>111</v>
      </c>
      <c r="H1632" t="s">
        <v>113</v>
      </c>
      <c r="I1632" t="s">
        <v>112</v>
      </c>
      <c r="J1632" t="s">
        <v>114</v>
      </c>
      <c r="K1632" t="s">
        <v>116</v>
      </c>
      <c r="L1632" t="s">
        <v>116</v>
      </c>
    </row>
    <row r="1633" spans="1:12" x14ac:dyDescent="0.3">
      <c r="A1633" t="s">
        <v>731</v>
      </c>
      <c r="B1633" t="s">
        <v>1501</v>
      </c>
      <c r="C1633" t="s">
        <v>566</v>
      </c>
      <c r="D1633" t="s">
        <v>271</v>
      </c>
      <c r="E1633" t="s">
        <v>567</v>
      </c>
      <c r="F1633" t="s">
        <v>76</v>
      </c>
      <c r="G1633" t="s">
        <v>111</v>
      </c>
      <c r="H1633" t="s">
        <v>113</v>
      </c>
      <c r="I1633" t="s">
        <v>112</v>
      </c>
      <c r="J1633" t="s">
        <v>114</v>
      </c>
      <c r="K1633" t="s">
        <v>116</v>
      </c>
      <c r="L1633" t="s">
        <v>116</v>
      </c>
    </row>
    <row r="1634" spans="1:12" x14ac:dyDescent="0.3">
      <c r="A1634" t="s">
        <v>731</v>
      </c>
      <c r="B1634" t="s">
        <v>1501</v>
      </c>
      <c r="C1634" t="s">
        <v>566</v>
      </c>
      <c r="D1634" t="s">
        <v>272</v>
      </c>
      <c r="E1634" t="s">
        <v>567</v>
      </c>
      <c r="F1634" t="s">
        <v>52</v>
      </c>
      <c r="G1634" t="s">
        <v>111</v>
      </c>
      <c r="H1634" t="s">
        <v>113</v>
      </c>
      <c r="I1634" t="s">
        <v>112</v>
      </c>
      <c r="J1634" t="s">
        <v>114</v>
      </c>
      <c r="K1634" t="s">
        <v>116</v>
      </c>
      <c r="L1634" t="s">
        <v>116</v>
      </c>
    </row>
    <row r="1635" spans="1:12" x14ac:dyDescent="0.3">
      <c r="A1635" t="s">
        <v>731</v>
      </c>
      <c r="B1635" t="s">
        <v>1501</v>
      </c>
      <c r="C1635" t="s">
        <v>566</v>
      </c>
      <c r="D1635" t="s">
        <v>275</v>
      </c>
      <c r="E1635" t="s">
        <v>567</v>
      </c>
      <c r="F1635" t="s">
        <v>148</v>
      </c>
      <c r="G1635" t="s">
        <v>111</v>
      </c>
      <c r="H1635" t="s">
        <v>113</v>
      </c>
      <c r="I1635" t="s">
        <v>112</v>
      </c>
      <c r="J1635" t="s">
        <v>114</v>
      </c>
      <c r="K1635" t="s">
        <v>116</v>
      </c>
      <c r="L1635" t="s">
        <v>116</v>
      </c>
    </row>
    <row r="1636" spans="1:12" x14ac:dyDescent="0.3">
      <c r="A1636" t="s">
        <v>731</v>
      </c>
      <c r="B1636" t="s">
        <v>1501</v>
      </c>
      <c r="C1636" t="s">
        <v>566</v>
      </c>
      <c r="D1636" t="s">
        <v>276</v>
      </c>
      <c r="E1636" t="s">
        <v>567</v>
      </c>
      <c r="F1636" t="s">
        <v>149</v>
      </c>
      <c r="G1636" t="s">
        <v>111</v>
      </c>
      <c r="H1636" t="s">
        <v>113</v>
      </c>
      <c r="I1636" t="s">
        <v>112</v>
      </c>
      <c r="J1636" t="s">
        <v>114</v>
      </c>
      <c r="K1636" t="s">
        <v>116</v>
      </c>
      <c r="L1636" t="s">
        <v>116</v>
      </c>
    </row>
    <row r="1637" spans="1:12" x14ac:dyDescent="0.3">
      <c r="A1637" t="s">
        <v>731</v>
      </c>
      <c r="B1637" t="s">
        <v>1501</v>
      </c>
      <c r="C1637" t="s">
        <v>566</v>
      </c>
      <c r="D1637" t="s">
        <v>279</v>
      </c>
      <c r="E1637" t="s">
        <v>567</v>
      </c>
      <c r="F1637" t="s">
        <v>150</v>
      </c>
      <c r="G1637" t="s">
        <v>111</v>
      </c>
      <c r="H1637" t="s">
        <v>113</v>
      </c>
      <c r="I1637" t="s">
        <v>112</v>
      </c>
      <c r="J1637" t="s">
        <v>114</v>
      </c>
      <c r="K1637" t="s">
        <v>116</v>
      </c>
      <c r="L1637" t="s">
        <v>116</v>
      </c>
    </row>
    <row r="1638" spans="1:12" x14ac:dyDescent="0.3">
      <c r="A1638" t="s">
        <v>731</v>
      </c>
      <c r="B1638" t="s">
        <v>1501</v>
      </c>
      <c r="C1638" t="s">
        <v>566</v>
      </c>
      <c r="D1638" t="s">
        <v>280</v>
      </c>
      <c r="E1638" t="s">
        <v>567</v>
      </c>
      <c r="F1638" t="s">
        <v>71</v>
      </c>
      <c r="G1638" t="s">
        <v>111</v>
      </c>
      <c r="H1638" t="s">
        <v>113</v>
      </c>
      <c r="I1638" t="s">
        <v>112</v>
      </c>
      <c r="J1638" t="s">
        <v>114</v>
      </c>
      <c r="K1638" t="s">
        <v>116</v>
      </c>
      <c r="L1638" t="s">
        <v>116</v>
      </c>
    </row>
    <row r="1639" spans="1:12" x14ac:dyDescent="0.3">
      <c r="A1639" t="s">
        <v>731</v>
      </c>
      <c r="B1639" t="s">
        <v>1501</v>
      </c>
      <c r="C1639" t="s">
        <v>566</v>
      </c>
      <c r="D1639" t="s">
        <v>281</v>
      </c>
      <c r="E1639" t="s">
        <v>567</v>
      </c>
      <c r="F1639" t="s">
        <v>84</v>
      </c>
      <c r="G1639" t="s">
        <v>111</v>
      </c>
      <c r="H1639" t="s">
        <v>118</v>
      </c>
      <c r="I1639" t="s">
        <v>112</v>
      </c>
      <c r="J1639" t="s">
        <v>119</v>
      </c>
      <c r="K1639" t="s">
        <v>116</v>
      </c>
      <c r="L1639" t="s">
        <v>116</v>
      </c>
    </row>
    <row r="1640" spans="1:12" x14ac:dyDescent="0.3">
      <c r="A1640" t="s">
        <v>731</v>
      </c>
      <c r="B1640" t="s">
        <v>1501</v>
      </c>
      <c r="C1640" t="s">
        <v>566</v>
      </c>
      <c r="D1640" t="s">
        <v>283</v>
      </c>
      <c r="E1640" t="s">
        <v>567</v>
      </c>
      <c r="F1640" t="s">
        <v>63</v>
      </c>
      <c r="G1640" t="s">
        <v>111</v>
      </c>
      <c r="H1640" t="s">
        <v>113</v>
      </c>
      <c r="I1640" t="s">
        <v>112</v>
      </c>
      <c r="J1640" t="s">
        <v>114</v>
      </c>
      <c r="K1640" t="s">
        <v>116</v>
      </c>
      <c r="L1640" t="s">
        <v>116</v>
      </c>
    </row>
    <row r="1641" spans="1:12" x14ac:dyDescent="0.3">
      <c r="A1641" t="s">
        <v>731</v>
      </c>
      <c r="B1641" t="s">
        <v>1501</v>
      </c>
      <c r="C1641" t="s">
        <v>566</v>
      </c>
      <c r="D1641" t="s">
        <v>284</v>
      </c>
      <c r="E1641" t="s">
        <v>567</v>
      </c>
      <c r="F1641" t="s">
        <v>151</v>
      </c>
      <c r="G1641" t="s">
        <v>111</v>
      </c>
      <c r="H1641" t="s">
        <v>113</v>
      </c>
      <c r="I1641" t="s">
        <v>112</v>
      </c>
      <c r="J1641" t="s">
        <v>114</v>
      </c>
      <c r="K1641" t="s">
        <v>116</v>
      </c>
      <c r="L1641" t="s">
        <v>116</v>
      </c>
    </row>
    <row r="1642" spans="1:12" x14ac:dyDescent="0.3">
      <c r="A1642" t="s">
        <v>731</v>
      </c>
      <c r="B1642" t="s">
        <v>1501</v>
      </c>
      <c r="C1642" t="s">
        <v>566</v>
      </c>
      <c r="D1642" t="s">
        <v>285</v>
      </c>
      <c r="E1642" t="s">
        <v>567</v>
      </c>
      <c r="F1642" t="s">
        <v>195</v>
      </c>
      <c r="G1642" t="s">
        <v>111</v>
      </c>
      <c r="H1642" t="s">
        <v>113</v>
      </c>
      <c r="I1642" t="s">
        <v>112</v>
      </c>
      <c r="J1642" t="s">
        <v>114</v>
      </c>
      <c r="K1642" t="s">
        <v>116</v>
      </c>
      <c r="L1642" t="s">
        <v>116</v>
      </c>
    </row>
    <row r="1643" spans="1:12" x14ac:dyDescent="0.3">
      <c r="A1643" t="s">
        <v>731</v>
      </c>
      <c r="B1643" t="s">
        <v>1501</v>
      </c>
      <c r="C1643" t="s">
        <v>566</v>
      </c>
      <c r="D1643" t="s">
        <v>330</v>
      </c>
      <c r="E1643" t="s">
        <v>567</v>
      </c>
      <c r="F1643" t="s">
        <v>177</v>
      </c>
      <c r="G1643" t="s">
        <v>111</v>
      </c>
      <c r="H1643" t="s">
        <v>113</v>
      </c>
      <c r="I1643" t="s">
        <v>112</v>
      </c>
      <c r="J1643" t="s">
        <v>114</v>
      </c>
      <c r="K1643" t="s">
        <v>116</v>
      </c>
      <c r="L1643" t="s">
        <v>116</v>
      </c>
    </row>
    <row r="1644" spans="1:12" x14ac:dyDescent="0.3">
      <c r="A1644" t="s">
        <v>731</v>
      </c>
      <c r="B1644" t="s">
        <v>1501</v>
      </c>
      <c r="C1644" t="s">
        <v>566</v>
      </c>
      <c r="D1644" t="s">
        <v>331</v>
      </c>
      <c r="E1644" t="s">
        <v>567</v>
      </c>
      <c r="F1644" t="s">
        <v>91</v>
      </c>
      <c r="G1644" t="s">
        <v>111</v>
      </c>
      <c r="H1644" t="s">
        <v>118</v>
      </c>
      <c r="I1644" t="s">
        <v>112</v>
      </c>
      <c r="J1644" t="s">
        <v>119</v>
      </c>
      <c r="K1644" t="s">
        <v>116</v>
      </c>
      <c r="L1644" t="s">
        <v>116</v>
      </c>
    </row>
    <row r="1645" spans="1:12" x14ac:dyDescent="0.3">
      <c r="A1645" t="s">
        <v>731</v>
      </c>
      <c r="B1645" t="s">
        <v>1501</v>
      </c>
      <c r="C1645" t="s">
        <v>566</v>
      </c>
      <c r="D1645" t="s">
        <v>332</v>
      </c>
      <c r="E1645" t="s">
        <v>567</v>
      </c>
      <c r="F1645" t="s">
        <v>152</v>
      </c>
      <c r="G1645" t="s">
        <v>111</v>
      </c>
      <c r="H1645" t="s">
        <v>113</v>
      </c>
      <c r="I1645" t="s">
        <v>112</v>
      </c>
      <c r="J1645" t="s">
        <v>114</v>
      </c>
      <c r="K1645" t="s">
        <v>116</v>
      </c>
      <c r="L1645" t="s">
        <v>116</v>
      </c>
    </row>
    <row r="1646" spans="1:12" x14ac:dyDescent="0.3">
      <c r="A1646" t="s">
        <v>731</v>
      </c>
      <c r="B1646" t="s">
        <v>1501</v>
      </c>
      <c r="C1646" t="s">
        <v>566</v>
      </c>
      <c r="D1646" t="s">
        <v>286</v>
      </c>
      <c r="E1646" t="s">
        <v>567</v>
      </c>
      <c r="F1646" t="s">
        <v>67</v>
      </c>
      <c r="G1646" t="s">
        <v>111</v>
      </c>
      <c r="H1646" t="s">
        <v>113</v>
      </c>
      <c r="I1646" t="s">
        <v>112</v>
      </c>
      <c r="J1646" t="s">
        <v>114</v>
      </c>
      <c r="K1646" t="s">
        <v>116</v>
      </c>
      <c r="L1646" t="s">
        <v>116</v>
      </c>
    </row>
    <row r="1647" spans="1:12" x14ac:dyDescent="0.3">
      <c r="A1647" t="s">
        <v>731</v>
      </c>
      <c r="B1647" t="s">
        <v>1501</v>
      </c>
      <c r="C1647" t="s">
        <v>566</v>
      </c>
      <c r="D1647" t="s">
        <v>287</v>
      </c>
      <c r="E1647" t="s">
        <v>567</v>
      </c>
      <c r="F1647" t="s">
        <v>196</v>
      </c>
      <c r="G1647" t="s">
        <v>111</v>
      </c>
      <c r="H1647" t="s">
        <v>113</v>
      </c>
      <c r="I1647" t="s">
        <v>112</v>
      </c>
      <c r="J1647" t="s">
        <v>114</v>
      </c>
      <c r="K1647" t="s">
        <v>116</v>
      </c>
      <c r="L1647" t="s">
        <v>116</v>
      </c>
    </row>
    <row r="1648" spans="1:12" x14ac:dyDescent="0.3">
      <c r="A1648" t="s">
        <v>731</v>
      </c>
      <c r="B1648" t="s">
        <v>1501</v>
      </c>
      <c r="C1648" t="s">
        <v>566</v>
      </c>
      <c r="D1648" t="s">
        <v>289</v>
      </c>
      <c r="E1648" t="s">
        <v>567</v>
      </c>
      <c r="F1648" t="s">
        <v>179</v>
      </c>
      <c r="G1648" t="s">
        <v>111</v>
      </c>
      <c r="H1648" t="s">
        <v>113</v>
      </c>
      <c r="I1648" t="s">
        <v>112</v>
      </c>
      <c r="J1648" t="s">
        <v>114</v>
      </c>
      <c r="K1648" t="s">
        <v>116</v>
      </c>
      <c r="L1648" t="s">
        <v>116</v>
      </c>
    </row>
    <row r="1649" spans="1:12" x14ac:dyDescent="0.3">
      <c r="A1649" t="s">
        <v>731</v>
      </c>
      <c r="B1649" t="s">
        <v>1501</v>
      </c>
      <c r="C1649" t="s">
        <v>566</v>
      </c>
      <c r="D1649" t="s">
        <v>291</v>
      </c>
      <c r="E1649" t="s">
        <v>567</v>
      </c>
      <c r="F1649" t="s">
        <v>154</v>
      </c>
      <c r="G1649" t="s">
        <v>111</v>
      </c>
      <c r="H1649" t="s">
        <v>118</v>
      </c>
      <c r="I1649" t="s">
        <v>112</v>
      </c>
      <c r="J1649" t="s">
        <v>119</v>
      </c>
      <c r="K1649" t="s">
        <v>116</v>
      </c>
      <c r="L1649" t="s">
        <v>116</v>
      </c>
    </row>
    <row r="1650" spans="1:12" x14ac:dyDescent="0.3">
      <c r="A1650" t="s">
        <v>731</v>
      </c>
      <c r="B1650" t="s">
        <v>1501</v>
      </c>
      <c r="C1650" t="s">
        <v>566</v>
      </c>
      <c r="D1650" t="s">
        <v>293</v>
      </c>
      <c r="E1650" t="s">
        <v>567</v>
      </c>
      <c r="F1650" t="s">
        <v>72</v>
      </c>
      <c r="G1650" t="s">
        <v>111</v>
      </c>
      <c r="H1650" t="s">
        <v>113</v>
      </c>
      <c r="I1650" t="s">
        <v>112</v>
      </c>
      <c r="J1650" t="s">
        <v>114</v>
      </c>
      <c r="K1650" t="s">
        <v>116</v>
      </c>
      <c r="L1650" t="s">
        <v>116</v>
      </c>
    </row>
    <row r="1651" spans="1:12" x14ac:dyDescent="0.3">
      <c r="A1651" t="s">
        <v>731</v>
      </c>
      <c r="B1651" t="s">
        <v>1501</v>
      </c>
      <c r="C1651" t="s">
        <v>566</v>
      </c>
      <c r="D1651" t="s">
        <v>334</v>
      </c>
      <c r="E1651" t="s">
        <v>567</v>
      </c>
      <c r="F1651" t="s">
        <v>155</v>
      </c>
      <c r="G1651" t="s">
        <v>111</v>
      </c>
      <c r="H1651" t="s">
        <v>113</v>
      </c>
      <c r="I1651" t="s">
        <v>112</v>
      </c>
      <c r="J1651" t="s">
        <v>114</v>
      </c>
      <c r="K1651" t="s">
        <v>116</v>
      </c>
      <c r="L1651" t="s">
        <v>116</v>
      </c>
    </row>
    <row r="1652" spans="1:12" x14ac:dyDescent="0.3">
      <c r="A1652" t="s">
        <v>731</v>
      </c>
      <c r="B1652" t="s">
        <v>1501</v>
      </c>
      <c r="C1652" t="s">
        <v>566</v>
      </c>
      <c r="D1652" t="s">
        <v>294</v>
      </c>
      <c r="E1652" t="s">
        <v>567</v>
      </c>
      <c r="F1652" t="s">
        <v>156</v>
      </c>
      <c r="G1652" t="s">
        <v>111</v>
      </c>
      <c r="H1652" t="s">
        <v>113</v>
      </c>
      <c r="I1652" t="s">
        <v>112</v>
      </c>
      <c r="J1652" t="s">
        <v>114</v>
      </c>
      <c r="K1652" t="s">
        <v>116</v>
      </c>
      <c r="L1652" t="s">
        <v>116</v>
      </c>
    </row>
    <row r="1653" spans="1:12" x14ac:dyDescent="0.3">
      <c r="A1653" t="s">
        <v>731</v>
      </c>
      <c r="B1653" t="s">
        <v>1501</v>
      </c>
      <c r="C1653" t="s">
        <v>566</v>
      </c>
      <c r="D1653" t="s">
        <v>295</v>
      </c>
      <c r="E1653" t="s">
        <v>567</v>
      </c>
      <c r="F1653" t="s">
        <v>103</v>
      </c>
      <c r="G1653" t="s">
        <v>111</v>
      </c>
      <c r="H1653" t="s">
        <v>113</v>
      </c>
      <c r="I1653" t="s">
        <v>112</v>
      </c>
      <c r="J1653" t="s">
        <v>114</v>
      </c>
      <c r="K1653" t="s">
        <v>116</v>
      </c>
      <c r="L1653" t="s">
        <v>116</v>
      </c>
    </row>
    <row r="1654" spans="1:12" x14ac:dyDescent="0.3">
      <c r="A1654" t="s">
        <v>731</v>
      </c>
      <c r="B1654" t="s">
        <v>1501</v>
      </c>
      <c r="C1654" t="s">
        <v>566</v>
      </c>
      <c r="D1654" t="s">
        <v>337</v>
      </c>
      <c r="E1654" t="s">
        <v>567</v>
      </c>
      <c r="F1654" t="s">
        <v>157</v>
      </c>
      <c r="G1654" t="s">
        <v>111</v>
      </c>
      <c r="H1654" t="s">
        <v>113</v>
      </c>
      <c r="I1654" t="s">
        <v>112</v>
      </c>
      <c r="J1654" t="s">
        <v>114</v>
      </c>
      <c r="K1654" t="s">
        <v>116</v>
      </c>
      <c r="L1654" t="s">
        <v>116</v>
      </c>
    </row>
    <row r="1655" spans="1:12" x14ac:dyDescent="0.3">
      <c r="A1655" t="s">
        <v>731</v>
      </c>
      <c r="B1655" t="s">
        <v>1501</v>
      </c>
      <c r="C1655" t="s">
        <v>566</v>
      </c>
      <c r="D1655" t="s">
        <v>296</v>
      </c>
      <c r="E1655" t="s">
        <v>567</v>
      </c>
      <c r="F1655" t="s">
        <v>198</v>
      </c>
      <c r="G1655" t="s">
        <v>111</v>
      </c>
      <c r="H1655" t="s">
        <v>113</v>
      </c>
      <c r="I1655" t="s">
        <v>112</v>
      </c>
      <c r="J1655" t="s">
        <v>114</v>
      </c>
      <c r="K1655" t="s">
        <v>116</v>
      </c>
      <c r="L1655" t="s">
        <v>116</v>
      </c>
    </row>
    <row r="1656" spans="1:12" x14ac:dyDescent="0.3">
      <c r="A1656" t="s">
        <v>731</v>
      </c>
      <c r="B1656" t="s">
        <v>1501</v>
      </c>
      <c r="C1656" t="s">
        <v>566</v>
      </c>
      <c r="D1656" t="s">
        <v>297</v>
      </c>
      <c r="E1656" t="s">
        <v>567</v>
      </c>
      <c r="F1656" t="s">
        <v>180</v>
      </c>
      <c r="G1656" t="s">
        <v>111</v>
      </c>
      <c r="H1656" t="s">
        <v>113</v>
      </c>
      <c r="I1656" t="s">
        <v>112</v>
      </c>
      <c r="J1656" t="s">
        <v>114</v>
      </c>
      <c r="K1656" t="s">
        <v>116</v>
      </c>
      <c r="L1656" t="s">
        <v>116</v>
      </c>
    </row>
    <row r="1657" spans="1:12" x14ac:dyDescent="0.3">
      <c r="A1657" t="s">
        <v>731</v>
      </c>
      <c r="B1657" t="s">
        <v>1501</v>
      </c>
      <c r="C1657" t="s">
        <v>566</v>
      </c>
      <c r="D1657" t="s">
        <v>298</v>
      </c>
      <c r="E1657" t="s">
        <v>567</v>
      </c>
      <c r="F1657" t="s">
        <v>158</v>
      </c>
      <c r="G1657" t="s">
        <v>111</v>
      </c>
      <c r="H1657" t="s">
        <v>113</v>
      </c>
      <c r="I1657" t="s">
        <v>112</v>
      </c>
      <c r="J1657" t="s">
        <v>114</v>
      </c>
      <c r="K1657" t="s">
        <v>116</v>
      </c>
      <c r="L1657" t="s">
        <v>116</v>
      </c>
    </row>
    <row r="1658" spans="1:12" x14ac:dyDescent="0.3">
      <c r="A1658" t="s">
        <v>731</v>
      </c>
      <c r="B1658" t="s">
        <v>1501</v>
      </c>
      <c r="C1658" t="s">
        <v>566</v>
      </c>
      <c r="D1658" t="s">
        <v>335</v>
      </c>
      <c r="E1658" t="s">
        <v>567</v>
      </c>
      <c r="F1658" t="s">
        <v>199</v>
      </c>
      <c r="G1658" t="s">
        <v>111</v>
      </c>
      <c r="H1658" t="s">
        <v>113</v>
      </c>
      <c r="I1658" t="s">
        <v>112</v>
      </c>
      <c r="J1658" t="s">
        <v>114</v>
      </c>
      <c r="K1658" t="s">
        <v>116</v>
      </c>
      <c r="L1658" t="s">
        <v>116</v>
      </c>
    </row>
    <row r="1659" spans="1:12" x14ac:dyDescent="0.3">
      <c r="A1659" t="s">
        <v>731</v>
      </c>
      <c r="B1659" t="s">
        <v>1501</v>
      </c>
      <c r="C1659" t="s">
        <v>566</v>
      </c>
      <c r="D1659" t="s">
        <v>336</v>
      </c>
      <c r="E1659" t="s">
        <v>567</v>
      </c>
      <c r="F1659" t="s">
        <v>159</v>
      </c>
      <c r="G1659" t="s">
        <v>111</v>
      </c>
      <c r="H1659" t="s">
        <v>113</v>
      </c>
      <c r="I1659" t="s">
        <v>112</v>
      </c>
      <c r="J1659" t="s">
        <v>114</v>
      </c>
      <c r="K1659" t="s">
        <v>116</v>
      </c>
      <c r="L1659" t="s">
        <v>116</v>
      </c>
    </row>
    <row r="1660" spans="1:12" x14ac:dyDescent="0.3">
      <c r="A1660" t="s">
        <v>731</v>
      </c>
      <c r="B1660" t="s">
        <v>1501</v>
      </c>
      <c r="C1660" t="s">
        <v>566</v>
      </c>
      <c r="D1660" t="s">
        <v>299</v>
      </c>
      <c r="E1660" t="s">
        <v>567</v>
      </c>
      <c r="F1660" t="s">
        <v>47</v>
      </c>
      <c r="G1660" t="s">
        <v>111</v>
      </c>
      <c r="H1660" t="s">
        <v>113</v>
      </c>
      <c r="I1660" t="s">
        <v>112</v>
      </c>
      <c r="J1660" t="s">
        <v>114</v>
      </c>
      <c r="K1660" t="s">
        <v>116</v>
      </c>
      <c r="L1660" t="s">
        <v>116</v>
      </c>
    </row>
    <row r="1661" spans="1:12" x14ac:dyDescent="0.3">
      <c r="A1661" t="s">
        <v>731</v>
      </c>
      <c r="B1661" t="s">
        <v>1501</v>
      </c>
      <c r="C1661" t="s">
        <v>566</v>
      </c>
      <c r="D1661" t="s">
        <v>300</v>
      </c>
      <c r="E1661" t="s">
        <v>567</v>
      </c>
      <c r="F1661" t="s">
        <v>181</v>
      </c>
      <c r="G1661" t="s">
        <v>111</v>
      </c>
      <c r="H1661" t="s">
        <v>113</v>
      </c>
      <c r="I1661" t="s">
        <v>112</v>
      </c>
      <c r="J1661" t="s">
        <v>114</v>
      </c>
      <c r="K1661" t="s">
        <v>116</v>
      </c>
      <c r="L1661" t="s">
        <v>116</v>
      </c>
    </row>
    <row r="1662" spans="1:12" x14ac:dyDescent="0.3">
      <c r="A1662" t="s">
        <v>731</v>
      </c>
      <c r="B1662" t="s">
        <v>1501</v>
      </c>
      <c r="C1662" t="s">
        <v>566</v>
      </c>
      <c r="D1662" t="s">
        <v>301</v>
      </c>
      <c r="E1662" t="s">
        <v>567</v>
      </c>
      <c r="F1662" t="s">
        <v>73</v>
      </c>
      <c r="G1662" t="s">
        <v>111</v>
      </c>
      <c r="H1662" t="s">
        <v>113</v>
      </c>
      <c r="I1662" t="s">
        <v>112</v>
      </c>
      <c r="J1662" t="s">
        <v>114</v>
      </c>
      <c r="K1662" t="s">
        <v>116</v>
      </c>
      <c r="L1662" t="s">
        <v>116</v>
      </c>
    </row>
    <row r="1663" spans="1:12" x14ac:dyDescent="0.3">
      <c r="A1663" t="s">
        <v>731</v>
      </c>
      <c r="B1663" t="s">
        <v>1501</v>
      </c>
      <c r="C1663" t="s">
        <v>566</v>
      </c>
      <c r="D1663" t="s">
        <v>208</v>
      </c>
      <c r="E1663" t="s">
        <v>567</v>
      </c>
      <c r="F1663" t="s">
        <v>161</v>
      </c>
      <c r="G1663" t="s">
        <v>111</v>
      </c>
      <c r="H1663" t="s">
        <v>113</v>
      </c>
      <c r="I1663" t="s">
        <v>112</v>
      </c>
      <c r="J1663" t="s">
        <v>114</v>
      </c>
      <c r="K1663" t="s">
        <v>116</v>
      </c>
      <c r="L1663" t="s">
        <v>116</v>
      </c>
    </row>
    <row r="1664" spans="1:12" x14ac:dyDescent="0.3">
      <c r="A1664" t="s">
        <v>731</v>
      </c>
      <c r="B1664" t="s">
        <v>1501</v>
      </c>
      <c r="C1664" t="s">
        <v>566</v>
      </c>
      <c r="D1664" t="s">
        <v>302</v>
      </c>
      <c r="E1664" t="s">
        <v>567</v>
      </c>
      <c r="F1664" t="s">
        <v>162</v>
      </c>
      <c r="G1664" t="s">
        <v>111</v>
      </c>
      <c r="H1664" t="s">
        <v>113</v>
      </c>
      <c r="I1664" t="s">
        <v>112</v>
      </c>
      <c r="J1664" t="s">
        <v>114</v>
      </c>
      <c r="K1664" t="s">
        <v>116</v>
      </c>
      <c r="L1664" t="s">
        <v>116</v>
      </c>
    </row>
    <row r="1665" spans="1:12" x14ac:dyDescent="0.3">
      <c r="A1665" t="s">
        <v>731</v>
      </c>
      <c r="B1665" t="s">
        <v>732</v>
      </c>
      <c r="C1665" t="s">
        <v>733</v>
      </c>
      <c r="D1665" t="s">
        <v>209</v>
      </c>
      <c r="E1665" t="s">
        <v>569</v>
      </c>
      <c r="F1665" t="s">
        <v>115</v>
      </c>
      <c r="G1665" t="s">
        <v>111</v>
      </c>
      <c r="H1665" t="s">
        <v>113</v>
      </c>
      <c r="I1665" t="s">
        <v>112</v>
      </c>
      <c r="J1665" t="s">
        <v>114</v>
      </c>
      <c r="K1665" t="s">
        <v>116</v>
      </c>
      <c r="L1665" t="s">
        <v>116</v>
      </c>
    </row>
    <row r="1666" spans="1:12" x14ac:dyDescent="0.3">
      <c r="A1666" t="s">
        <v>731</v>
      </c>
      <c r="B1666" t="s">
        <v>732</v>
      </c>
      <c r="C1666" t="s">
        <v>733</v>
      </c>
      <c r="D1666" t="s">
        <v>210</v>
      </c>
      <c r="E1666" t="s">
        <v>569</v>
      </c>
      <c r="F1666" t="s">
        <v>59</v>
      </c>
      <c r="G1666" t="s">
        <v>111</v>
      </c>
      <c r="H1666" t="s">
        <v>147</v>
      </c>
      <c r="I1666" t="s">
        <v>112</v>
      </c>
      <c r="J1666" t="s">
        <v>119</v>
      </c>
      <c r="K1666" t="s">
        <v>1527</v>
      </c>
      <c r="L1666" t="s">
        <v>1527</v>
      </c>
    </row>
    <row r="1667" spans="1:12" x14ac:dyDescent="0.3">
      <c r="A1667" t="s">
        <v>731</v>
      </c>
      <c r="B1667" t="s">
        <v>732</v>
      </c>
      <c r="C1667" t="s">
        <v>733</v>
      </c>
      <c r="D1667" t="s">
        <v>304</v>
      </c>
      <c r="E1667" t="s">
        <v>569</v>
      </c>
      <c r="F1667" t="s">
        <v>117</v>
      </c>
      <c r="G1667" t="s">
        <v>111</v>
      </c>
      <c r="H1667" t="s">
        <v>118</v>
      </c>
      <c r="I1667" t="s">
        <v>112</v>
      </c>
      <c r="J1667" t="s">
        <v>119</v>
      </c>
      <c r="K1667" t="s">
        <v>116</v>
      </c>
      <c r="L1667" t="s">
        <v>116</v>
      </c>
    </row>
    <row r="1668" spans="1:12" x14ac:dyDescent="0.3">
      <c r="A1668" t="s">
        <v>731</v>
      </c>
      <c r="B1668" t="s">
        <v>732</v>
      </c>
      <c r="C1668" t="s">
        <v>733</v>
      </c>
      <c r="D1668" t="s">
        <v>211</v>
      </c>
      <c r="E1668" t="s">
        <v>569</v>
      </c>
      <c r="F1668" t="s">
        <v>188</v>
      </c>
      <c r="G1668" t="s">
        <v>111</v>
      </c>
      <c r="H1668" t="s">
        <v>113</v>
      </c>
      <c r="I1668" t="s">
        <v>112</v>
      </c>
      <c r="J1668" t="s">
        <v>114</v>
      </c>
      <c r="K1668" t="s">
        <v>116</v>
      </c>
      <c r="L1668" t="s">
        <v>116</v>
      </c>
    </row>
    <row r="1669" spans="1:12" x14ac:dyDescent="0.3">
      <c r="A1669" t="s">
        <v>731</v>
      </c>
      <c r="B1669" t="s">
        <v>732</v>
      </c>
      <c r="C1669" t="s">
        <v>733</v>
      </c>
      <c r="D1669" t="s">
        <v>212</v>
      </c>
      <c r="E1669" t="s">
        <v>569</v>
      </c>
      <c r="F1669" t="s">
        <v>164</v>
      </c>
      <c r="G1669" t="s">
        <v>111</v>
      </c>
      <c r="H1669" t="s">
        <v>118</v>
      </c>
      <c r="I1669" t="s">
        <v>112</v>
      </c>
      <c r="J1669" t="s">
        <v>119</v>
      </c>
      <c r="K1669" t="s">
        <v>116</v>
      </c>
      <c r="L1669" t="s">
        <v>116</v>
      </c>
    </row>
    <row r="1670" spans="1:12" x14ac:dyDescent="0.3">
      <c r="A1670" t="s">
        <v>731</v>
      </c>
      <c r="B1670" t="s">
        <v>732</v>
      </c>
      <c r="C1670" t="s">
        <v>733</v>
      </c>
      <c r="D1670" t="s">
        <v>213</v>
      </c>
      <c r="E1670" t="s">
        <v>569</v>
      </c>
      <c r="F1670" t="s">
        <v>53</v>
      </c>
      <c r="G1670" t="s">
        <v>111</v>
      </c>
      <c r="H1670" t="s">
        <v>113</v>
      </c>
      <c r="I1670" t="s">
        <v>112</v>
      </c>
      <c r="J1670" t="s">
        <v>114</v>
      </c>
      <c r="K1670" t="s">
        <v>116</v>
      </c>
      <c r="L1670" t="s">
        <v>116</v>
      </c>
    </row>
    <row r="1671" spans="1:12" x14ac:dyDescent="0.3">
      <c r="A1671" t="s">
        <v>731</v>
      </c>
      <c r="B1671" t="s">
        <v>732</v>
      </c>
      <c r="C1671" t="s">
        <v>733</v>
      </c>
      <c r="D1671" t="s">
        <v>215</v>
      </c>
      <c r="E1671" t="s">
        <v>569</v>
      </c>
      <c r="F1671" t="s">
        <v>69</v>
      </c>
      <c r="G1671" t="s">
        <v>111</v>
      </c>
      <c r="H1671" t="s">
        <v>113</v>
      </c>
      <c r="I1671" t="s">
        <v>112</v>
      </c>
      <c r="J1671" t="s">
        <v>114</v>
      </c>
      <c r="K1671" t="s">
        <v>116</v>
      </c>
      <c r="L1671" t="s">
        <v>116</v>
      </c>
    </row>
    <row r="1672" spans="1:12" x14ac:dyDescent="0.3">
      <c r="A1672" t="s">
        <v>731</v>
      </c>
      <c r="B1672" t="s">
        <v>732</v>
      </c>
      <c r="C1672" t="s">
        <v>733</v>
      </c>
      <c r="D1672" t="s">
        <v>216</v>
      </c>
      <c r="E1672" t="s">
        <v>569</v>
      </c>
      <c r="F1672" t="s">
        <v>121</v>
      </c>
      <c r="G1672" t="s">
        <v>111</v>
      </c>
      <c r="H1672" t="s">
        <v>113</v>
      </c>
      <c r="I1672" t="s">
        <v>112</v>
      </c>
      <c r="J1672" t="s">
        <v>114</v>
      </c>
      <c r="K1672" t="s">
        <v>116</v>
      </c>
      <c r="L1672" t="s">
        <v>116</v>
      </c>
    </row>
    <row r="1673" spans="1:12" x14ac:dyDescent="0.3">
      <c r="A1673" t="s">
        <v>731</v>
      </c>
      <c r="B1673" t="s">
        <v>732</v>
      </c>
      <c r="C1673" t="s">
        <v>733</v>
      </c>
      <c r="D1673" t="s">
        <v>217</v>
      </c>
      <c r="E1673" t="s">
        <v>569</v>
      </c>
      <c r="F1673" t="s">
        <v>122</v>
      </c>
      <c r="G1673" t="s">
        <v>111</v>
      </c>
      <c r="H1673" t="s">
        <v>113</v>
      </c>
      <c r="I1673" t="s">
        <v>112</v>
      </c>
      <c r="J1673" t="s">
        <v>114</v>
      </c>
      <c r="K1673" t="s">
        <v>116</v>
      </c>
      <c r="L1673" t="s">
        <v>116</v>
      </c>
    </row>
    <row r="1674" spans="1:12" x14ac:dyDescent="0.3">
      <c r="A1674" t="s">
        <v>731</v>
      </c>
      <c r="B1674" t="s">
        <v>732</v>
      </c>
      <c r="C1674" t="s">
        <v>733</v>
      </c>
      <c r="D1674" t="s">
        <v>306</v>
      </c>
      <c r="E1674" t="s">
        <v>569</v>
      </c>
      <c r="F1674" t="s">
        <v>165</v>
      </c>
      <c r="G1674" t="s">
        <v>111</v>
      </c>
      <c r="H1674" t="s">
        <v>113</v>
      </c>
      <c r="I1674" t="s">
        <v>112</v>
      </c>
      <c r="J1674" t="s">
        <v>114</v>
      </c>
      <c r="K1674" t="s">
        <v>116</v>
      </c>
      <c r="L1674" t="s">
        <v>116</v>
      </c>
    </row>
    <row r="1675" spans="1:12" x14ac:dyDescent="0.3">
      <c r="A1675" t="s">
        <v>731</v>
      </c>
      <c r="B1675" t="s">
        <v>732</v>
      </c>
      <c r="C1675" t="s">
        <v>733</v>
      </c>
      <c r="D1675" t="s">
        <v>218</v>
      </c>
      <c r="E1675" t="s">
        <v>569</v>
      </c>
      <c r="F1675" t="s">
        <v>166</v>
      </c>
      <c r="G1675" t="s">
        <v>111</v>
      </c>
      <c r="H1675" t="s">
        <v>118</v>
      </c>
      <c r="I1675" t="s">
        <v>112</v>
      </c>
      <c r="J1675" t="s">
        <v>119</v>
      </c>
      <c r="K1675" t="s">
        <v>116</v>
      </c>
      <c r="L1675" t="s">
        <v>116</v>
      </c>
    </row>
    <row r="1676" spans="1:12" x14ac:dyDescent="0.3">
      <c r="A1676" t="s">
        <v>731</v>
      </c>
      <c r="B1676" t="s">
        <v>732</v>
      </c>
      <c r="C1676" t="s">
        <v>733</v>
      </c>
      <c r="D1676" t="s">
        <v>307</v>
      </c>
      <c r="E1676" t="s">
        <v>569</v>
      </c>
      <c r="F1676" t="s">
        <v>123</v>
      </c>
      <c r="G1676" t="s">
        <v>111</v>
      </c>
      <c r="H1676" t="s">
        <v>113</v>
      </c>
      <c r="I1676" t="s">
        <v>112</v>
      </c>
      <c r="J1676" t="s">
        <v>114</v>
      </c>
      <c r="K1676" t="s">
        <v>116</v>
      </c>
      <c r="L1676" t="s">
        <v>116</v>
      </c>
    </row>
    <row r="1677" spans="1:12" x14ac:dyDescent="0.3">
      <c r="A1677" t="s">
        <v>731</v>
      </c>
      <c r="B1677" t="s">
        <v>732</v>
      </c>
      <c r="C1677" t="s">
        <v>733</v>
      </c>
      <c r="D1677" t="s">
        <v>219</v>
      </c>
      <c r="E1677" t="s">
        <v>569</v>
      </c>
      <c r="F1677" t="s">
        <v>189</v>
      </c>
      <c r="G1677" t="s">
        <v>111</v>
      </c>
      <c r="H1677" t="s">
        <v>113</v>
      </c>
      <c r="I1677" t="s">
        <v>112</v>
      </c>
      <c r="J1677" t="s">
        <v>114</v>
      </c>
      <c r="K1677" t="s">
        <v>116</v>
      </c>
      <c r="L1677" t="s">
        <v>116</v>
      </c>
    </row>
    <row r="1678" spans="1:12" x14ac:dyDescent="0.3">
      <c r="A1678" t="s">
        <v>731</v>
      </c>
      <c r="B1678" t="s">
        <v>732</v>
      </c>
      <c r="C1678" t="s">
        <v>733</v>
      </c>
      <c r="D1678" t="s">
        <v>220</v>
      </c>
      <c r="E1678" t="s">
        <v>569</v>
      </c>
      <c r="F1678" t="s">
        <v>54</v>
      </c>
      <c r="G1678" t="s">
        <v>111</v>
      </c>
      <c r="H1678" t="s">
        <v>113</v>
      </c>
      <c r="I1678" t="s">
        <v>112</v>
      </c>
      <c r="J1678" t="s">
        <v>114</v>
      </c>
      <c r="K1678" t="s">
        <v>1528</v>
      </c>
      <c r="L1678" t="s">
        <v>1528</v>
      </c>
    </row>
    <row r="1679" spans="1:12" x14ac:dyDescent="0.3">
      <c r="A1679" t="s">
        <v>731</v>
      </c>
      <c r="B1679" t="s">
        <v>732</v>
      </c>
      <c r="C1679" t="s">
        <v>733</v>
      </c>
      <c r="D1679" t="s">
        <v>308</v>
      </c>
      <c r="E1679" t="s">
        <v>569</v>
      </c>
      <c r="F1679" t="s">
        <v>190</v>
      </c>
      <c r="G1679" t="s">
        <v>111</v>
      </c>
      <c r="H1679" t="s">
        <v>113</v>
      </c>
      <c r="I1679" t="s">
        <v>112</v>
      </c>
      <c r="J1679" t="s">
        <v>114</v>
      </c>
      <c r="K1679" t="s">
        <v>116</v>
      </c>
      <c r="L1679" t="s">
        <v>116</v>
      </c>
    </row>
    <row r="1680" spans="1:12" x14ac:dyDescent="0.3">
      <c r="A1680" t="s">
        <v>731</v>
      </c>
      <c r="B1680" t="s">
        <v>732</v>
      </c>
      <c r="C1680" t="s">
        <v>733</v>
      </c>
      <c r="D1680" t="s">
        <v>222</v>
      </c>
      <c r="E1680" t="s">
        <v>569</v>
      </c>
      <c r="F1680" t="s">
        <v>124</v>
      </c>
      <c r="G1680" t="s">
        <v>111</v>
      </c>
      <c r="H1680" t="s">
        <v>113</v>
      </c>
      <c r="I1680" t="s">
        <v>112</v>
      </c>
      <c r="J1680" t="s">
        <v>114</v>
      </c>
      <c r="K1680" t="s">
        <v>116</v>
      </c>
      <c r="L1680" t="s">
        <v>116</v>
      </c>
    </row>
    <row r="1681" spans="1:12" x14ac:dyDescent="0.3">
      <c r="A1681" t="s">
        <v>731</v>
      </c>
      <c r="B1681" t="s">
        <v>732</v>
      </c>
      <c r="C1681" t="s">
        <v>733</v>
      </c>
      <c r="D1681" t="s">
        <v>223</v>
      </c>
      <c r="E1681" t="s">
        <v>569</v>
      </c>
      <c r="F1681" t="s">
        <v>65</v>
      </c>
      <c r="G1681" t="s">
        <v>111</v>
      </c>
      <c r="H1681" t="s">
        <v>113</v>
      </c>
      <c r="I1681" t="s">
        <v>112</v>
      </c>
      <c r="J1681" t="s">
        <v>114</v>
      </c>
      <c r="K1681" t="s">
        <v>116</v>
      </c>
      <c r="L1681" t="s">
        <v>116</v>
      </c>
    </row>
    <row r="1682" spans="1:12" x14ac:dyDescent="0.3">
      <c r="A1682" t="s">
        <v>731</v>
      </c>
      <c r="B1682" t="s">
        <v>732</v>
      </c>
      <c r="C1682" t="s">
        <v>733</v>
      </c>
      <c r="D1682" t="s">
        <v>224</v>
      </c>
      <c r="E1682" t="s">
        <v>569</v>
      </c>
      <c r="F1682" t="s">
        <v>125</v>
      </c>
      <c r="G1682" t="s">
        <v>111</v>
      </c>
      <c r="H1682" t="s">
        <v>113</v>
      </c>
      <c r="I1682" t="s">
        <v>112</v>
      </c>
      <c r="J1682" t="s">
        <v>114</v>
      </c>
      <c r="K1682" t="s">
        <v>116</v>
      </c>
      <c r="L1682" t="s">
        <v>116</v>
      </c>
    </row>
    <row r="1683" spans="1:12" x14ac:dyDescent="0.3">
      <c r="A1683" t="s">
        <v>731</v>
      </c>
      <c r="B1683" t="s">
        <v>732</v>
      </c>
      <c r="C1683" t="s">
        <v>733</v>
      </c>
      <c r="D1683" t="s">
        <v>225</v>
      </c>
      <c r="E1683" t="s">
        <v>569</v>
      </c>
      <c r="F1683" t="s">
        <v>126</v>
      </c>
      <c r="G1683" t="s">
        <v>111</v>
      </c>
      <c r="H1683" t="s">
        <v>113</v>
      </c>
      <c r="I1683" t="s">
        <v>112</v>
      </c>
      <c r="J1683" t="s">
        <v>114</v>
      </c>
      <c r="K1683" t="s">
        <v>116</v>
      </c>
      <c r="L1683" t="s">
        <v>116</v>
      </c>
    </row>
    <row r="1684" spans="1:12" x14ac:dyDescent="0.3">
      <c r="A1684" t="s">
        <v>731</v>
      </c>
      <c r="B1684" t="s">
        <v>732</v>
      </c>
      <c r="C1684" t="s">
        <v>733</v>
      </c>
      <c r="D1684" t="s">
        <v>226</v>
      </c>
      <c r="E1684" t="s">
        <v>569</v>
      </c>
      <c r="F1684" t="s">
        <v>80</v>
      </c>
      <c r="G1684" t="s">
        <v>111</v>
      </c>
      <c r="H1684" t="s">
        <v>113</v>
      </c>
      <c r="I1684" t="s">
        <v>112</v>
      </c>
      <c r="J1684" t="s">
        <v>114</v>
      </c>
      <c r="K1684" t="s">
        <v>116</v>
      </c>
      <c r="L1684" t="s">
        <v>116</v>
      </c>
    </row>
    <row r="1685" spans="1:12" x14ac:dyDescent="0.3">
      <c r="A1685" t="s">
        <v>731</v>
      </c>
      <c r="B1685" t="s">
        <v>732</v>
      </c>
      <c r="C1685" t="s">
        <v>733</v>
      </c>
      <c r="D1685" t="s">
        <v>227</v>
      </c>
      <c r="E1685" t="s">
        <v>569</v>
      </c>
      <c r="F1685" t="s">
        <v>192</v>
      </c>
      <c r="G1685" t="s">
        <v>111</v>
      </c>
      <c r="H1685" t="s">
        <v>113</v>
      </c>
      <c r="I1685" t="s">
        <v>112</v>
      </c>
      <c r="J1685" t="s">
        <v>114</v>
      </c>
      <c r="K1685" t="s">
        <v>116</v>
      </c>
      <c r="L1685" t="s">
        <v>116</v>
      </c>
    </row>
    <row r="1686" spans="1:12" x14ac:dyDescent="0.3">
      <c r="A1686" t="s">
        <v>731</v>
      </c>
      <c r="B1686" t="s">
        <v>732</v>
      </c>
      <c r="C1686" t="s">
        <v>733</v>
      </c>
      <c r="D1686" t="s">
        <v>228</v>
      </c>
      <c r="E1686" t="s">
        <v>569</v>
      </c>
      <c r="F1686" t="s">
        <v>167</v>
      </c>
      <c r="G1686" t="s">
        <v>111</v>
      </c>
      <c r="H1686" t="s">
        <v>113</v>
      </c>
      <c r="I1686" t="s">
        <v>112</v>
      </c>
      <c r="J1686" t="s">
        <v>114</v>
      </c>
      <c r="K1686" t="s">
        <v>116</v>
      </c>
      <c r="L1686" t="s">
        <v>116</v>
      </c>
    </row>
    <row r="1687" spans="1:12" x14ac:dyDescent="0.3">
      <c r="A1687" t="s">
        <v>731</v>
      </c>
      <c r="B1687" t="s">
        <v>732</v>
      </c>
      <c r="C1687" t="s">
        <v>733</v>
      </c>
      <c r="D1687" t="s">
        <v>229</v>
      </c>
      <c r="E1687" t="s">
        <v>569</v>
      </c>
      <c r="F1687" t="s">
        <v>127</v>
      </c>
      <c r="G1687" t="s">
        <v>111</v>
      </c>
      <c r="H1687" t="s">
        <v>113</v>
      </c>
      <c r="I1687" t="s">
        <v>112</v>
      </c>
      <c r="J1687" t="s">
        <v>114</v>
      </c>
      <c r="K1687" t="s">
        <v>116</v>
      </c>
      <c r="L1687" t="s">
        <v>116</v>
      </c>
    </row>
    <row r="1688" spans="1:12" x14ac:dyDescent="0.3">
      <c r="A1688" t="s">
        <v>731</v>
      </c>
      <c r="B1688" t="s">
        <v>732</v>
      </c>
      <c r="C1688" t="s">
        <v>733</v>
      </c>
      <c r="D1688" t="s">
        <v>230</v>
      </c>
      <c r="E1688" t="s">
        <v>569</v>
      </c>
      <c r="F1688" t="s">
        <v>168</v>
      </c>
      <c r="G1688" t="s">
        <v>111</v>
      </c>
      <c r="H1688" t="s">
        <v>113</v>
      </c>
      <c r="I1688" t="s">
        <v>112</v>
      </c>
      <c r="J1688" t="s">
        <v>114</v>
      </c>
      <c r="K1688" t="s">
        <v>116</v>
      </c>
      <c r="L1688" t="s">
        <v>116</v>
      </c>
    </row>
    <row r="1689" spans="1:12" x14ac:dyDescent="0.3">
      <c r="A1689" t="s">
        <v>731</v>
      </c>
      <c r="B1689" t="s">
        <v>732</v>
      </c>
      <c r="C1689" t="s">
        <v>733</v>
      </c>
      <c r="D1689" t="s">
        <v>311</v>
      </c>
      <c r="E1689" t="s">
        <v>569</v>
      </c>
      <c r="F1689" t="s">
        <v>89</v>
      </c>
      <c r="G1689" t="s">
        <v>111</v>
      </c>
      <c r="H1689" t="s">
        <v>113</v>
      </c>
      <c r="I1689" t="s">
        <v>112</v>
      </c>
      <c r="J1689" t="s">
        <v>114</v>
      </c>
      <c r="K1689" t="s">
        <v>116</v>
      </c>
      <c r="L1689" t="s">
        <v>116</v>
      </c>
    </row>
    <row r="1690" spans="1:12" x14ac:dyDescent="0.3">
      <c r="A1690" t="s">
        <v>731</v>
      </c>
      <c r="B1690" t="s">
        <v>732</v>
      </c>
      <c r="C1690" t="s">
        <v>733</v>
      </c>
      <c r="D1690" t="s">
        <v>231</v>
      </c>
      <c r="E1690" t="s">
        <v>569</v>
      </c>
      <c r="F1690" t="s">
        <v>66</v>
      </c>
      <c r="G1690" t="s">
        <v>111</v>
      </c>
      <c r="H1690" t="s">
        <v>113</v>
      </c>
      <c r="I1690" t="s">
        <v>112</v>
      </c>
      <c r="J1690" t="s">
        <v>114</v>
      </c>
      <c r="K1690" t="s">
        <v>116</v>
      </c>
      <c r="L1690" t="s">
        <v>116</v>
      </c>
    </row>
    <row r="1691" spans="1:12" x14ac:dyDescent="0.3">
      <c r="A1691" t="s">
        <v>731</v>
      </c>
      <c r="B1691" t="s">
        <v>732</v>
      </c>
      <c r="C1691" t="s">
        <v>733</v>
      </c>
      <c r="D1691" t="s">
        <v>232</v>
      </c>
      <c r="E1691" t="s">
        <v>569</v>
      </c>
      <c r="F1691" t="s">
        <v>169</v>
      </c>
      <c r="G1691" t="s">
        <v>111</v>
      </c>
      <c r="H1691" t="s">
        <v>113</v>
      </c>
      <c r="I1691" t="s">
        <v>112</v>
      </c>
      <c r="J1691" t="s">
        <v>114</v>
      </c>
      <c r="K1691" t="s">
        <v>116</v>
      </c>
      <c r="L1691" t="s">
        <v>116</v>
      </c>
    </row>
    <row r="1692" spans="1:12" x14ac:dyDescent="0.3">
      <c r="A1692" t="s">
        <v>731</v>
      </c>
      <c r="B1692" t="s">
        <v>732</v>
      </c>
      <c r="C1692" t="s">
        <v>733</v>
      </c>
      <c r="D1692" t="s">
        <v>312</v>
      </c>
      <c r="E1692" t="s">
        <v>569</v>
      </c>
      <c r="F1692" t="s">
        <v>129</v>
      </c>
      <c r="G1692" t="s">
        <v>111</v>
      </c>
      <c r="H1692" t="s">
        <v>113</v>
      </c>
      <c r="I1692" t="s">
        <v>112</v>
      </c>
      <c r="J1692" t="s">
        <v>114</v>
      </c>
      <c r="K1692" t="s">
        <v>116</v>
      </c>
      <c r="L1692" t="s">
        <v>116</v>
      </c>
    </row>
    <row r="1693" spans="1:12" x14ac:dyDescent="0.3">
      <c r="A1693" t="s">
        <v>731</v>
      </c>
      <c r="B1693" t="s">
        <v>732</v>
      </c>
      <c r="C1693" t="s">
        <v>733</v>
      </c>
      <c r="D1693" t="s">
        <v>313</v>
      </c>
      <c r="E1693" t="s">
        <v>569</v>
      </c>
      <c r="F1693" t="s">
        <v>68</v>
      </c>
      <c r="G1693" t="s">
        <v>111</v>
      </c>
      <c r="H1693" t="s">
        <v>113</v>
      </c>
      <c r="I1693" t="s">
        <v>112</v>
      </c>
      <c r="J1693" t="s">
        <v>114</v>
      </c>
      <c r="K1693" t="s">
        <v>116</v>
      </c>
      <c r="L1693" t="s">
        <v>116</v>
      </c>
    </row>
    <row r="1694" spans="1:12" x14ac:dyDescent="0.3">
      <c r="A1694" t="s">
        <v>731</v>
      </c>
      <c r="B1694" t="s">
        <v>732</v>
      </c>
      <c r="C1694" t="s">
        <v>733</v>
      </c>
      <c r="D1694" t="s">
        <v>314</v>
      </c>
      <c r="E1694" t="s">
        <v>569</v>
      </c>
      <c r="F1694" t="s">
        <v>61</v>
      </c>
      <c r="G1694" t="s">
        <v>111</v>
      </c>
      <c r="H1694" t="s">
        <v>113</v>
      </c>
      <c r="I1694" t="s">
        <v>112</v>
      </c>
      <c r="J1694" t="s">
        <v>114</v>
      </c>
      <c r="K1694" t="s">
        <v>116</v>
      </c>
      <c r="L1694" t="s">
        <v>116</v>
      </c>
    </row>
    <row r="1695" spans="1:12" x14ac:dyDescent="0.3">
      <c r="A1695" t="s">
        <v>731</v>
      </c>
      <c r="B1695" t="s">
        <v>732</v>
      </c>
      <c r="C1695" t="s">
        <v>733</v>
      </c>
      <c r="D1695" t="s">
        <v>236</v>
      </c>
      <c r="E1695" t="s">
        <v>569</v>
      </c>
      <c r="F1695" t="s">
        <v>87</v>
      </c>
      <c r="G1695" t="s">
        <v>111</v>
      </c>
      <c r="H1695" t="s">
        <v>113</v>
      </c>
      <c r="I1695" t="s">
        <v>112</v>
      </c>
      <c r="J1695" t="s">
        <v>114</v>
      </c>
      <c r="K1695" t="s">
        <v>116</v>
      </c>
      <c r="L1695" t="s">
        <v>116</v>
      </c>
    </row>
    <row r="1696" spans="1:12" x14ac:dyDescent="0.3">
      <c r="A1696" t="s">
        <v>731</v>
      </c>
      <c r="B1696" t="s">
        <v>732</v>
      </c>
      <c r="C1696" t="s">
        <v>733</v>
      </c>
      <c r="D1696" t="s">
        <v>237</v>
      </c>
      <c r="E1696" t="s">
        <v>569</v>
      </c>
      <c r="F1696" t="s">
        <v>130</v>
      </c>
      <c r="G1696" t="s">
        <v>111</v>
      </c>
      <c r="H1696" t="s">
        <v>118</v>
      </c>
      <c r="I1696" t="s">
        <v>112</v>
      </c>
      <c r="J1696" t="s">
        <v>119</v>
      </c>
      <c r="K1696" t="s">
        <v>116</v>
      </c>
      <c r="L1696" t="s">
        <v>116</v>
      </c>
    </row>
    <row r="1697" spans="1:12" x14ac:dyDescent="0.3">
      <c r="A1697" t="s">
        <v>731</v>
      </c>
      <c r="B1697" t="s">
        <v>732</v>
      </c>
      <c r="C1697" t="s">
        <v>733</v>
      </c>
      <c r="D1697" t="s">
        <v>316</v>
      </c>
      <c r="E1697" t="s">
        <v>568</v>
      </c>
      <c r="F1697" t="s">
        <v>132</v>
      </c>
      <c r="G1697" t="s">
        <v>111</v>
      </c>
      <c r="H1697" t="s">
        <v>113</v>
      </c>
      <c r="I1697" t="s">
        <v>112</v>
      </c>
      <c r="J1697" t="s">
        <v>114</v>
      </c>
      <c r="K1697" t="s">
        <v>116</v>
      </c>
      <c r="L1697" t="s">
        <v>116</v>
      </c>
    </row>
    <row r="1698" spans="1:12" x14ac:dyDescent="0.3">
      <c r="A1698" t="s">
        <v>731</v>
      </c>
      <c r="B1698" t="s">
        <v>732</v>
      </c>
      <c r="C1698" t="s">
        <v>733</v>
      </c>
      <c r="D1698" t="s">
        <v>317</v>
      </c>
      <c r="E1698" t="s">
        <v>568</v>
      </c>
      <c r="F1698" t="s">
        <v>133</v>
      </c>
      <c r="G1698" t="s">
        <v>111</v>
      </c>
      <c r="H1698" t="s">
        <v>113</v>
      </c>
      <c r="I1698" t="s">
        <v>112</v>
      </c>
      <c r="J1698" t="s">
        <v>114</v>
      </c>
      <c r="K1698" t="s">
        <v>116</v>
      </c>
      <c r="L1698" t="s">
        <v>116</v>
      </c>
    </row>
    <row r="1699" spans="1:12" x14ac:dyDescent="0.3">
      <c r="A1699" t="s">
        <v>731</v>
      </c>
      <c r="B1699" t="s">
        <v>732</v>
      </c>
      <c r="C1699" t="s">
        <v>733</v>
      </c>
      <c r="D1699" t="s">
        <v>240</v>
      </c>
      <c r="E1699" t="s">
        <v>568</v>
      </c>
      <c r="F1699" t="s">
        <v>134</v>
      </c>
      <c r="G1699" t="s">
        <v>111</v>
      </c>
      <c r="H1699" t="s">
        <v>113</v>
      </c>
      <c r="I1699" t="s">
        <v>112</v>
      </c>
      <c r="J1699" t="s">
        <v>114</v>
      </c>
      <c r="K1699" t="s">
        <v>116</v>
      </c>
      <c r="L1699" t="s">
        <v>116</v>
      </c>
    </row>
    <row r="1700" spans="1:12" x14ac:dyDescent="0.3">
      <c r="A1700" t="s">
        <v>731</v>
      </c>
      <c r="B1700" t="s">
        <v>732</v>
      </c>
      <c r="C1700" t="s">
        <v>733</v>
      </c>
      <c r="D1700" t="s">
        <v>241</v>
      </c>
      <c r="E1700" t="s">
        <v>568</v>
      </c>
      <c r="F1700" t="s">
        <v>51</v>
      </c>
      <c r="G1700" t="s">
        <v>111</v>
      </c>
      <c r="H1700" t="s">
        <v>113</v>
      </c>
      <c r="I1700" t="s">
        <v>112</v>
      </c>
      <c r="J1700" t="s">
        <v>114</v>
      </c>
      <c r="K1700" t="s">
        <v>116</v>
      </c>
      <c r="L1700" t="s">
        <v>116</v>
      </c>
    </row>
    <row r="1701" spans="1:12" x14ac:dyDescent="0.3">
      <c r="A1701" t="s">
        <v>731</v>
      </c>
      <c r="B1701" t="s">
        <v>732</v>
      </c>
      <c r="C1701" t="s">
        <v>733</v>
      </c>
      <c r="D1701" t="s">
        <v>242</v>
      </c>
      <c r="E1701" t="s">
        <v>568</v>
      </c>
      <c r="F1701" t="s">
        <v>163</v>
      </c>
      <c r="G1701" t="s">
        <v>111</v>
      </c>
      <c r="H1701" t="s">
        <v>113</v>
      </c>
      <c r="I1701" t="s">
        <v>112</v>
      </c>
      <c r="J1701" t="s">
        <v>114</v>
      </c>
      <c r="K1701" t="s">
        <v>116</v>
      </c>
      <c r="L1701" t="s">
        <v>116</v>
      </c>
    </row>
    <row r="1702" spans="1:12" x14ac:dyDescent="0.3">
      <c r="A1702" t="s">
        <v>731</v>
      </c>
      <c r="B1702" t="s">
        <v>732</v>
      </c>
      <c r="C1702" t="s">
        <v>733</v>
      </c>
      <c r="D1702" t="s">
        <v>243</v>
      </c>
      <c r="E1702" t="s">
        <v>568</v>
      </c>
      <c r="F1702" t="s">
        <v>170</v>
      </c>
      <c r="G1702" t="s">
        <v>111</v>
      </c>
      <c r="H1702" t="s">
        <v>113</v>
      </c>
      <c r="I1702" t="s">
        <v>112</v>
      </c>
      <c r="J1702" t="s">
        <v>114</v>
      </c>
      <c r="K1702" t="s">
        <v>116</v>
      </c>
      <c r="L1702" t="s">
        <v>116</v>
      </c>
    </row>
    <row r="1703" spans="1:12" x14ac:dyDescent="0.3">
      <c r="A1703" t="s">
        <v>731</v>
      </c>
      <c r="B1703" t="s">
        <v>732</v>
      </c>
      <c r="C1703" t="s">
        <v>733</v>
      </c>
      <c r="D1703" t="s">
        <v>244</v>
      </c>
      <c r="E1703" t="s">
        <v>568</v>
      </c>
      <c r="F1703" t="s">
        <v>78</v>
      </c>
      <c r="G1703" t="s">
        <v>111</v>
      </c>
      <c r="H1703" t="s">
        <v>113</v>
      </c>
      <c r="I1703" t="s">
        <v>112</v>
      </c>
      <c r="J1703" t="s">
        <v>114</v>
      </c>
      <c r="K1703" t="s">
        <v>116</v>
      </c>
      <c r="L1703" t="s">
        <v>116</v>
      </c>
    </row>
    <row r="1704" spans="1:12" x14ac:dyDescent="0.3">
      <c r="A1704" t="s">
        <v>731</v>
      </c>
      <c r="B1704" t="s">
        <v>732</v>
      </c>
      <c r="C1704" t="s">
        <v>733</v>
      </c>
      <c r="D1704" t="s">
        <v>246</v>
      </c>
      <c r="E1704" t="s">
        <v>568</v>
      </c>
      <c r="F1704" t="s">
        <v>135</v>
      </c>
      <c r="G1704" t="s">
        <v>111</v>
      </c>
      <c r="H1704" t="s">
        <v>113</v>
      </c>
      <c r="I1704" t="s">
        <v>112</v>
      </c>
      <c r="J1704" t="s">
        <v>114</v>
      </c>
      <c r="K1704" t="s">
        <v>116</v>
      </c>
      <c r="L1704" t="s">
        <v>116</v>
      </c>
    </row>
    <row r="1705" spans="1:12" x14ac:dyDescent="0.3">
      <c r="A1705" t="s">
        <v>731</v>
      </c>
      <c r="B1705" t="s">
        <v>732</v>
      </c>
      <c r="C1705" t="s">
        <v>733</v>
      </c>
      <c r="D1705" t="s">
        <v>319</v>
      </c>
      <c r="E1705" t="s">
        <v>568</v>
      </c>
      <c r="F1705" t="s">
        <v>136</v>
      </c>
      <c r="G1705" t="s">
        <v>111</v>
      </c>
      <c r="H1705" t="s">
        <v>113</v>
      </c>
      <c r="I1705" t="s">
        <v>112</v>
      </c>
      <c r="J1705" t="s">
        <v>114</v>
      </c>
      <c r="K1705" t="s">
        <v>116</v>
      </c>
      <c r="L1705" t="s">
        <v>116</v>
      </c>
    </row>
    <row r="1706" spans="1:12" x14ac:dyDescent="0.3">
      <c r="A1706" t="s">
        <v>731</v>
      </c>
      <c r="B1706" t="s">
        <v>732</v>
      </c>
      <c r="C1706" t="s">
        <v>733</v>
      </c>
      <c r="D1706" t="s">
        <v>247</v>
      </c>
      <c r="E1706" t="s">
        <v>568</v>
      </c>
      <c r="F1706" t="s">
        <v>60</v>
      </c>
      <c r="G1706" t="s">
        <v>111</v>
      </c>
      <c r="H1706" t="s">
        <v>113</v>
      </c>
      <c r="I1706" t="s">
        <v>112</v>
      </c>
      <c r="J1706" t="s">
        <v>114</v>
      </c>
      <c r="K1706" t="s">
        <v>116</v>
      </c>
      <c r="L1706" t="s">
        <v>116</v>
      </c>
    </row>
    <row r="1707" spans="1:12" x14ac:dyDescent="0.3">
      <c r="A1707" t="s">
        <v>731</v>
      </c>
      <c r="B1707" t="s">
        <v>732</v>
      </c>
      <c r="C1707" t="s">
        <v>733</v>
      </c>
      <c r="D1707" t="s">
        <v>250</v>
      </c>
      <c r="E1707" t="s">
        <v>568</v>
      </c>
      <c r="F1707" t="s">
        <v>70</v>
      </c>
      <c r="G1707" t="s">
        <v>111</v>
      </c>
      <c r="H1707" t="s">
        <v>113</v>
      </c>
      <c r="I1707" t="s">
        <v>112</v>
      </c>
      <c r="J1707" t="s">
        <v>114</v>
      </c>
      <c r="K1707" t="s">
        <v>116</v>
      </c>
      <c r="L1707" t="s">
        <v>116</v>
      </c>
    </row>
    <row r="1708" spans="1:12" x14ac:dyDescent="0.3">
      <c r="A1708" t="s">
        <v>731</v>
      </c>
      <c r="B1708" t="s">
        <v>732</v>
      </c>
      <c r="C1708" t="s">
        <v>733</v>
      </c>
      <c r="D1708" t="s">
        <v>251</v>
      </c>
      <c r="E1708" t="s">
        <v>568</v>
      </c>
      <c r="F1708" t="s">
        <v>48</v>
      </c>
      <c r="G1708" t="s">
        <v>111</v>
      </c>
      <c r="H1708" t="s">
        <v>113</v>
      </c>
      <c r="I1708" t="s">
        <v>112</v>
      </c>
      <c r="J1708" t="s">
        <v>114</v>
      </c>
      <c r="K1708" t="s">
        <v>116</v>
      </c>
      <c r="L1708" t="s">
        <v>116</v>
      </c>
    </row>
    <row r="1709" spans="1:12" x14ac:dyDescent="0.3">
      <c r="A1709" t="s">
        <v>731</v>
      </c>
      <c r="B1709" t="s">
        <v>732</v>
      </c>
      <c r="C1709" t="s">
        <v>733</v>
      </c>
      <c r="D1709" t="s">
        <v>252</v>
      </c>
      <c r="E1709" t="s">
        <v>568</v>
      </c>
      <c r="F1709" t="s">
        <v>138</v>
      </c>
      <c r="G1709" t="s">
        <v>111</v>
      </c>
      <c r="H1709" t="s">
        <v>113</v>
      </c>
      <c r="I1709" t="s">
        <v>112</v>
      </c>
      <c r="J1709" t="s">
        <v>114</v>
      </c>
      <c r="K1709" t="s">
        <v>116</v>
      </c>
      <c r="L1709" t="s">
        <v>116</v>
      </c>
    </row>
    <row r="1710" spans="1:12" x14ac:dyDescent="0.3">
      <c r="A1710" t="s">
        <v>731</v>
      </c>
      <c r="B1710" t="s">
        <v>732</v>
      </c>
      <c r="C1710" t="s">
        <v>733</v>
      </c>
      <c r="D1710" t="s">
        <v>253</v>
      </c>
      <c r="E1710" t="s">
        <v>568</v>
      </c>
      <c r="F1710" t="s">
        <v>95</v>
      </c>
      <c r="G1710" t="s">
        <v>111</v>
      </c>
      <c r="H1710" t="s">
        <v>113</v>
      </c>
      <c r="I1710" t="s">
        <v>112</v>
      </c>
      <c r="J1710" t="s">
        <v>114</v>
      </c>
      <c r="K1710" t="s">
        <v>116</v>
      </c>
      <c r="L1710" t="s">
        <v>116</v>
      </c>
    </row>
    <row r="1711" spans="1:12" x14ac:dyDescent="0.3">
      <c r="A1711" t="s">
        <v>731</v>
      </c>
      <c r="B1711" t="s">
        <v>732</v>
      </c>
      <c r="C1711" t="s">
        <v>733</v>
      </c>
      <c r="D1711" t="s">
        <v>254</v>
      </c>
      <c r="E1711" t="s">
        <v>568</v>
      </c>
      <c r="F1711" t="s">
        <v>139</v>
      </c>
      <c r="G1711" t="s">
        <v>111</v>
      </c>
      <c r="H1711" t="s">
        <v>118</v>
      </c>
      <c r="I1711" t="s">
        <v>112</v>
      </c>
      <c r="J1711" t="s">
        <v>119</v>
      </c>
      <c r="K1711" t="s">
        <v>116</v>
      </c>
      <c r="L1711" t="s">
        <v>116</v>
      </c>
    </row>
    <row r="1712" spans="1:12" x14ac:dyDescent="0.3">
      <c r="A1712" t="s">
        <v>731</v>
      </c>
      <c r="B1712" t="s">
        <v>732</v>
      </c>
      <c r="C1712" t="s">
        <v>733</v>
      </c>
      <c r="D1712" t="s">
        <v>255</v>
      </c>
      <c r="E1712" t="s">
        <v>568</v>
      </c>
      <c r="F1712" t="s">
        <v>171</v>
      </c>
      <c r="G1712" t="s">
        <v>111</v>
      </c>
      <c r="H1712" t="s">
        <v>118</v>
      </c>
      <c r="I1712" t="s">
        <v>112</v>
      </c>
      <c r="J1712" t="s">
        <v>119</v>
      </c>
      <c r="K1712" t="s">
        <v>116</v>
      </c>
      <c r="L1712" t="s">
        <v>116</v>
      </c>
    </row>
    <row r="1713" spans="1:12" x14ac:dyDescent="0.3">
      <c r="A1713" t="s">
        <v>731</v>
      </c>
      <c r="B1713" t="s">
        <v>732</v>
      </c>
      <c r="C1713" t="s">
        <v>733</v>
      </c>
      <c r="D1713" t="s">
        <v>320</v>
      </c>
      <c r="E1713" t="s">
        <v>568</v>
      </c>
      <c r="F1713" t="s">
        <v>172</v>
      </c>
      <c r="G1713" t="s">
        <v>111</v>
      </c>
      <c r="H1713" t="s">
        <v>113</v>
      </c>
      <c r="I1713" t="s">
        <v>112</v>
      </c>
      <c r="J1713" t="s">
        <v>114</v>
      </c>
      <c r="K1713" t="s">
        <v>116</v>
      </c>
      <c r="L1713" t="s">
        <v>116</v>
      </c>
    </row>
    <row r="1714" spans="1:12" x14ac:dyDescent="0.3">
      <c r="A1714" t="s">
        <v>731</v>
      </c>
      <c r="B1714" t="s">
        <v>732</v>
      </c>
      <c r="C1714" t="s">
        <v>733</v>
      </c>
      <c r="D1714" t="s">
        <v>256</v>
      </c>
      <c r="E1714" t="s">
        <v>568</v>
      </c>
      <c r="F1714" t="s">
        <v>57</v>
      </c>
      <c r="G1714" t="s">
        <v>111</v>
      </c>
      <c r="H1714" t="s">
        <v>113</v>
      </c>
      <c r="I1714" t="s">
        <v>112</v>
      </c>
      <c r="J1714" t="s">
        <v>114</v>
      </c>
      <c r="K1714" t="s">
        <v>116</v>
      </c>
      <c r="L1714" t="s">
        <v>116</v>
      </c>
    </row>
    <row r="1715" spans="1:12" x14ac:dyDescent="0.3">
      <c r="A1715" t="s">
        <v>731</v>
      </c>
      <c r="B1715" t="s">
        <v>732</v>
      </c>
      <c r="C1715" t="s">
        <v>733</v>
      </c>
      <c r="D1715" t="s">
        <v>322</v>
      </c>
      <c r="E1715" t="s">
        <v>568</v>
      </c>
      <c r="F1715" t="s">
        <v>173</v>
      </c>
      <c r="G1715" t="s">
        <v>111</v>
      </c>
      <c r="H1715" t="s">
        <v>113</v>
      </c>
      <c r="I1715" t="s">
        <v>112</v>
      </c>
      <c r="J1715" t="s">
        <v>114</v>
      </c>
      <c r="K1715" t="s">
        <v>116</v>
      </c>
      <c r="L1715" t="s">
        <v>116</v>
      </c>
    </row>
    <row r="1716" spans="1:12" x14ac:dyDescent="0.3">
      <c r="A1716" t="s">
        <v>731</v>
      </c>
      <c r="B1716" t="s">
        <v>732</v>
      </c>
      <c r="C1716" t="s">
        <v>733</v>
      </c>
      <c r="D1716" t="s">
        <v>257</v>
      </c>
      <c r="E1716" t="s">
        <v>568</v>
      </c>
      <c r="F1716" t="s">
        <v>174</v>
      </c>
      <c r="G1716" t="s">
        <v>111</v>
      </c>
      <c r="H1716" t="s">
        <v>113</v>
      </c>
      <c r="I1716" t="s">
        <v>112</v>
      </c>
      <c r="J1716" t="s">
        <v>114</v>
      </c>
      <c r="K1716" t="s">
        <v>116</v>
      </c>
      <c r="L1716" t="s">
        <v>116</v>
      </c>
    </row>
    <row r="1717" spans="1:12" x14ac:dyDescent="0.3">
      <c r="A1717" t="s">
        <v>731</v>
      </c>
      <c r="B1717" t="s">
        <v>732</v>
      </c>
      <c r="C1717" t="s">
        <v>733</v>
      </c>
      <c r="D1717" t="s">
        <v>258</v>
      </c>
      <c r="E1717" t="s">
        <v>568</v>
      </c>
      <c r="F1717" t="s">
        <v>88</v>
      </c>
      <c r="G1717" t="s">
        <v>111</v>
      </c>
      <c r="H1717" t="s">
        <v>113</v>
      </c>
      <c r="I1717" t="s">
        <v>112</v>
      </c>
      <c r="J1717" t="s">
        <v>114</v>
      </c>
      <c r="K1717" t="s">
        <v>116</v>
      </c>
      <c r="L1717" t="s">
        <v>116</v>
      </c>
    </row>
    <row r="1718" spans="1:12" x14ac:dyDescent="0.3">
      <c r="A1718" t="s">
        <v>731</v>
      </c>
      <c r="B1718" t="s">
        <v>732</v>
      </c>
      <c r="C1718" t="s">
        <v>733</v>
      </c>
      <c r="D1718" t="s">
        <v>323</v>
      </c>
      <c r="E1718" t="s">
        <v>568</v>
      </c>
      <c r="F1718" t="s">
        <v>74</v>
      </c>
      <c r="G1718" t="s">
        <v>111</v>
      </c>
      <c r="H1718" t="s">
        <v>113</v>
      </c>
      <c r="I1718" t="s">
        <v>112</v>
      </c>
      <c r="J1718" t="s">
        <v>114</v>
      </c>
      <c r="K1718" t="s">
        <v>116</v>
      </c>
      <c r="L1718" t="s">
        <v>116</v>
      </c>
    </row>
    <row r="1719" spans="1:12" x14ac:dyDescent="0.3">
      <c r="A1719" t="s">
        <v>731</v>
      </c>
      <c r="B1719" t="s">
        <v>732</v>
      </c>
      <c r="C1719" t="s">
        <v>733</v>
      </c>
      <c r="D1719" t="s">
        <v>324</v>
      </c>
      <c r="E1719" t="s">
        <v>568</v>
      </c>
      <c r="F1719" t="s">
        <v>102</v>
      </c>
      <c r="G1719" t="s">
        <v>111</v>
      </c>
      <c r="H1719" t="s">
        <v>113</v>
      </c>
      <c r="I1719" t="s">
        <v>112</v>
      </c>
      <c r="J1719" t="s">
        <v>114</v>
      </c>
      <c r="K1719" t="s">
        <v>116</v>
      </c>
      <c r="L1719" t="s">
        <v>116</v>
      </c>
    </row>
    <row r="1720" spans="1:12" x14ac:dyDescent="0.3">
      <c r="A1720" t="s">
        <v>731</v>
      </c>
      <c r="B1720" t="s">
        <v>732</v>
      </c>
      <c r="C1720" t="s">
        <v>733</v>
      </c>
      <c r="D1720" t="s">
        <v>260</v>
      </c>
      <c r="E1720" t="s">
        <v>568</v>
      </c>
      <c r="F1720" t="s">
        <v>140</v>
      </c>
      <c r="G1720" t="s">
        <v>111</v>
      </c>
      <c r="H1720" t="s">
        <v>113</v>
      </c>
      <c r="I1720" t="s">
        <v>112</v>
      </c>
      <c r="J1720" t="s">
        <v>114</v>
      </c>
      <c r="K1720" t="s">
        <v>116</v>
      </c>
      <c r="L1720" t="s">
        <v>116</v>
      </c>
    </row>
    <row r="1721" spans="1:12" x14ac:dyDescent="0.3">
      <c r="A1721" t="s">
        <v>731</v>
      </c>
      <c r="B1721" t="s">
        <v>732</v>
      </c>
      <c r="C1721" t="s">
        <v>733</v>
      </c>
      <c r="D1721" t="s">
        <v>325</v>
      </c>
      <c r="E1721" t="s">
        <v>568</v>
      </c>
      <c r="F1721" t="s">
        <v>46</v>
      </c>
      <c r="G1721" t="s">
        <v>111</v>
      </c>
      <c r="H1721" t="s">
        <v>113</v>
      </c>
      <c r="I1721" t="s">
        <v>112</v>
      </c>
      <c r="J1721" t="s">
        <v>114</v>
      </c>
      <c r="K1721" t="s">
        <v>116</v>
      </c>
      <c r="L1721" t="s">
        <v>116</v>
      </c>
    </row>
    <row r="1722" spans="1:12" x14ac:dyDescent="0.3">
      <c r="A1722" t="s">
        <v>731</v>
      </c>
      <c r="B1722" t="s">
        <v>732</v>
      </c>
      <c r="C1722" t="s">
        <v>733</v>
      </c>
      <c r="D1722" t="s">
        <v>262</v>
      </c>
      <c r="E1722" t="s">
        <v>568</v>
      </c>
      <c r="F1722" t="s">
        <v>202</v>
      </c>
      <c r="G1722" t="s">
        <v>111</v>
      </c>
      <c r="H1722" t="s">
        <v>113</v>
      </c>
      <c r="I1722" t="s">
        <v>112</v>
      </c>
      <c r="J1722" t="s">
        <v>114</v>
      </c>
      <c r="K1722" t="s">
        <v>116</v>
      </c>
      <c r="L1722" t="s">
        <v>116</v>
      </c>
    </row>
    <row r="1723" spans="1:12" x14ac:dyDescent="0.3">
      <c r="A1723" t="s">
        <v>731</v>
      </c>
      <c r="B1723" t="s">
        <v>732</v>
      </c>
      <c r="C1723" t="s">
        <v>733</v>
      </c>
      <c r="D1723" t="s">
        <v>263</v>
      </c>
      <c r="E1723" t="s">
        <v>568</v>
      </c>
      <c r="F1723" t="s">
        <v>141</v>
      </c>
      <c r="G1723" t="s">
        <v>111</v>
      </c>
      <c r="H1723" t="s">
        <v>113</v>
      </c>
      <c r="I1723" t="s">
        <v>112</v>
      </c>
      <c r="J1723" t="s">
        <v>114</v>
      </c>
      <c r="K1723" t="s">
        <v>116</v>
      </c>
      <c r="L1723" t="s">
        <v>116</v>
      </c>
    </row>
    <row r="1724" spans="1:12" x14ac:dyDescent="0.3">
      <c r="A1724" t="s">
        <v>731</v>
      </c>
      <c r="B1724" t="s">
        <v>732</v>
      </c>
      <c r="C1724" t="s">
        <v>733</v>
      </c>
      <c r="D1724" t="s">
        <v>265</v>
      </c>
      <c r="E1724" t="s">
        <v>568</v>
      </c>
      <c r="F1724" t="s">
        <v>142</v>
      </c>
      <c r="G1724" t="s">
        <v>111</v>
      </c>
      <c r="H1724" t="s">
        <v>113</v>
      </c>
      <c r="I1724" t="s">
        <v>112</v>
      </c>
      <c r="J1724" t="s">
        <v>114</v>
      </c>
      <c r="K1724" t="s">
        <v>116</v>
      </c>
      <c r="L1724" t="s">
        <v>116</v>
      </c>
    </row>
    <row r="1725" spans="1:12" x14ac:dyDescent="0.3">
      <c r="A1725" t="s">
        <v>731</v>
      </c>
      <c r="B1725" t="s">
        <v>732</v>
      </c>
      <c r="C1725" t="s">
        <v>733</v>
      </c>
      <c r="D1725" t="s">
        <v>266</v>
      </c>
      <c r="E1725" t="s">
        <v>568</v>
      </c>
      <c r="F1725" t="s">
        <v>75</v>
      </c>
      <c r="G1725" t="s">
        <v>111</v>
      </c>
      <c r="H1725" t="s">
        <v>113</v>
      </c>
      <c r="I1725" t="s">
        <v>112</v>
      </c>
      <c r="J1725" t="s">
        <v>114</v>
      </c>
      <c r="K1725" t="s">
        <v>116</v>
      </c>
      <c r="L1725" t="s">
        <v>116</v>
      </c>
    </row>
    <row r="1726" spans="1:12" x14ac:dyDescent="0.3">
      <c r="A1726" t="s">
        <v>731</v>
      </c>
      <c r="B1726" t="s">
        <v>732</v>
      </c>
      <c r="C1726" t="s">
        <v>733</v>
      </c>
      <c r="D1726" t="s">
        <v>326</v>
      </c>
      <c r="E1726" t="s">
        <v>568</v>
      </c>
      <c r="F1726" t="s">
        <v>144</v>
      </c>
      <c r="G1726" t="s">
        <v>111</v>
      </c>
      <c r="H1726" t="s">
        <v>113</v>
      </c>
      <c r="I1726" t="s">
        <v>112</v>
      </c>
      <c r="J1726" t="s">
        <v>114</v>
      </c>
      <c r="K1726" t="s">
        <v>116</v>
      </c>
      <c r="L1726" t="s">
        <v>116</v>
      </c>
    </row>
    <row r="1727" spans="1:12" x14ac:dyDescent="0.3">
      <c r="A1727" t="s">
        <v>731</v>
      </c>
      <c r="B1727" t="s">
        <v>732</v>
      </c>
      <c r="C1727" t="s">
        <v>733</v>
      </c>
      <c r="D1727" t="s">
        <v>268</v>
      </c>
      <c r="E1727" t="s">
        <v>568</v>
      </c>
      <c r="F1727" t="s">
        <v>194</v>
      </c>
      <c r="G1727" t="s">
        <v>111</v>
      </c>
      <c r="H1727" t="s">
        <v>113</v>
      </c>
      <c r="I1727" t="s">
        <v>112</v>
      </c>
      <c r="J1727" t="s">
        <v>114</v>
      </c>
      <c r="K1727" t="s">
        <v>116</v>
      </c>
      <c r="L1727" t="s">
        <v>116</v>
      </c>
    </row>
    <row r="1728" spans="1:12" x14ac:dyDescent="0.3">
      <c r="A1728" t="s">
        <v>731</v>
      </c>
      <c r="B1728" t="s">
        <v>732</v>
      </c>
      <c r="C1728" t="s">
        <v>733</v>
      </c>
      <c r="D1728" t="s">
        <v>270</v>
      </c>
      <c r="E1728" t="s">
        <v>568</v>
      </c>
      <c r="F1728" t="s">
        <v>81</v>
      </c>
      <c r="G1728" t="s">
        <v>111</v>
      </c>
      <c r="H1728" t="s">
        <v>113</v>
      </c>
      <c r="I1728" t="s">
        <v>112</v>
      </c>
      <c r="J1728" t="s">
        <v>114</v>
      </c>
      <c r="K1728" t="s">
        <v>116</v>
      </c>
      <c r="L1728" t="s">
        <v>116</v>
      </c>
    </row>
    <row r="1729" spans="1:12" x14ac:dyDescent="0.3">
      <c r="A1729" t="s">
        <v>731</v>
      </c>
      <c r="B1729" t="s">
        <v>732</v>
      </c>
      <c r="C1729" t="s">
        <v>733</v>
      </c>
      <c r="D1729" t="s">
        <v>271</v>
      </c>
      <c r="E1729" t="s">
        <v>567</v>
      </c>
      <c r="F1729" t="s">
        <v>76</v>
      </c>
      <c r="G1729" t="s">
        <v>111</v>
      </c>
      <c r="H1729" t="s">
        <v>113</v>
      </c>
      <c r="I1729" t="s">
        <v>112</v>
      </c>
      <c r="J1729" t="s">
        <v>114</v>
      </c>
      <c r="K1729" t="s">
        <v>116</v>
      </c>
      <c r="L1729" t="s">
        <v>116</v>
      </c>
    </row>
    <row r="1730" spans="1:12" x14ac:dyDescent="0.3">
      <c r="A1730" t="s">
        <v>731</v>
      </c>
      <c r="B1730" t="s">
        <v>732</v>
      </c>
      <c r="C1730" t="s">
        <v>733</v>
      </c>
      <c r="D1730" t="s">
        <v>272</v>
      </c>
      <c r="E1730" t="s">
        <v>567</v>
      </c>
      <c r="F1730" t="s">
        <v>52</v>
      </c>
      <c r="G1730" t="s">
        <v>111</v>
      </c>
      <c r="H1730" t="s">
        <v>113</v>
      </c>
      <c r="I1730" t="s">
        <v>112</v>
      </c>
      <c r="J1730" t="s">
        <v>114</v>
      </c>
      <c r="K1730" t="s">
        <v>116</v>
      </c>
      <c r="L1730" t="s">
        <v>116</v>
      </c>
    </row>
    <row r="1731" spans="1:12" x14ac:dyDescent="0.3">
      <c r="A1731" t="s">
        <v>731</v>
      </c>
      <c r="B1731" t="s">
        <v>732</v>
      </c>
      <c r="C1731" t="s">
        <v>733</v>
      </c>
      <c r="D1731" t="s">
        <v>275</v>
      </c>
      <c r="E1731" t="s">
        <v>567</v>
      </c>
      <c r="F1731" t="s">
        <v>148</v>
      </c>
      <c r="G1731" t="s">
        <v>111</v>
      </c>
      <c r="H1731" t="s">
        <v>118</v>
      </c>
      <c r="I1731" t="s">
        <v>112</v>
      </c>
      <c r="J1731" t="s">
        <v>119</v>
      </c>
      <c r="K1731" t="s">
        <v>116</v>
      </c>
      <c r="L1731" t="s">
        <v>116</v>
      </c>
    </row>
    <row r="1732" spans="1:12" x14ac:dyDescent="0.3">
      <c r="A1732" t="s">
        <v>731</v>
      </c>
      <c r="B1732" t="s">
        <v>732</v>
      </c>
      <c r="C1732" t="s">
        <v>733</v>
      </c>
      <c r="D1732" t="s">
        <v>276</v>
      </c>
      <c r="E1732" t="s">
        <v>567</v>
      </c>
      <c r="F1732" t="s">
        <v>149</v>
      </c>
      <c r="G1732" t="s">
        <v>111</v>
      </c>
      <c r="H1732" t="s">
        <v>113</v>
      </c>
      <c r="I1732" t="s">
        <v>112</v>
      </c>
      <c r="J1732" t="s">
        <v>114</v>
      </c>
      <c r="K1732" t="s">
        <v>116</v>
      </c>
      <c r="L1732" t="s">
        <v>116</v>
      </c>
    </row>
    <row r="1733" spans="1:12" x14ac:dyDescent="0.3">
      <c r="A1733" t="s">
        <v>731</v>
      </c>
      <c r="B1733" t="s">
        <v>732</v>
      </c>
      <c r="C1733" t="s">
        <v>733</v>
      </c>
      <c r="D1733" t="s">
        <v>279</v>
      </c>
      <c r="E1733" t="s">
        <v>567</v>
      </c>
      <c r="F1733" t="s">
        <v>150</v>
      </c>
      <c r="G1733" t="s">
        <v>111</v>
      </c>
      <c r="H1733" t="s">
        <v>113</v>
      </c>
      <c r="I1733" t="s">
        <v>112</v>
      </c>
      <c r="J1733" t="s">
        <v>114</v>
      </c>
      <c r="K1733" t="s">
        <v>116</v>
      </c>
      <c r="L1733" t="s">
        <v>116</v>
      </c>
    </row>
    <row r="1734" spans="1:12" x14ac:dyDescent="0.3">
      <c r="A1734" t="s">
        <v>731</v>
      </c>
      <c r="B1734" t="s">
        <v>732</v>
      </c>
      <c r="C1734" t="s">
        <v>733</v>
      </c>
      <c r="D1734" t="s">
        <v>280</v>
      </c>
      <c r="E1734" t="s">
        <v>567</v>
      </c>
      <c r="F1734" t="s">
        <v>71</v>
      </c>
      <c r="G1734" t="s">
        <v>111</v>
      </c>
      <c r="H1734" t="s">
        <v>113</v>
      </c>
      <c r="I1734" t="s">
        <v>112</v>
      </c>
      <c r="J1734" t="s">
        <v>114</v>
      </c>
      <c r="K1734" t="s">
        <v>116</v>
      </c>
      <c r="L1734" t="s">
        <v>116</v>
      </c>
    </row>
    <row r="1735" spans="1:12" x14ac:dyDescent="0.3">
      <c r="A1735" t="s">
        <v>731</v>
      </c>
      <c r="B1735" t="s">
        <v>732</v>
      </c>
      <c r="C1735" t="s">
        <v>733</v>
      </c>
      <c r="D1735" t="s">
        <v>281</v>
      </c>
      <c r="E1735" t="s">
        <v>567</v>
      </c>
      <c r="F1735" t="s">
        <v>84</v>
      </c>
      <c r="G1735" t="s">
        <v>111</v>
      </c>
      <c r="H1735" t="s">
        <v>113</v>
      </c>
      <c r="I1735" t="s">
        <v>112</v>
      </c>
      <c r="J1735" t="s">
        <v>114</v>
      </c>
      <c r="K1735" t="s">
        <v>116</v>
      </c>
      <c r="L1735" t="s">
        <v>116</v>
      </c>
    </row>
    <row r="1736" spans="1:12" x14ac:dyDescent="0.3">
      <c r="A1736" t="s">
        <v>731</v>
      </c>
      <c r="B1736" t="s">
        <v>732</v>
      </c>
      <c r="C1736" t="s">
        <v>733</v>
      </c>
      <c r="D1736" t="s">
        <v>283</v>
      </c>
      <c r="E1736" t="s">
        <v>567</v>
      </c>
      <c r="F1736" t="s">
        <v>63</v>
      </c>
      <c r="G1736" t="s">
        <v>111</v>
      </c>
      <c r="H1736" t="s">
        <v>113</v>
      </c>
      <c r="I1736" t="s">
        <v>112</v>
      </c>
      <c r="J1736" t="s">
        <v>114</v>
      </c>
      <c r="K1736" t="s">
        <v>116</v>
      </c>
      <c r="L1736" t="s">
        <v>116</v>
      </c>
    </row>
    <row r="1737" spans="1:12" x14ac:dyDescent="0.3">
      <c r="A1737" t="s">
        <v>731</v>
      </c>
      <c r="B1737" t="s">
        <v>732</v>
      </c>
      <c r="C1737" t="s">
        <v>733</v>
      </c>
      <c r="D1737" t="s">
        <v>284</v>
      </c>
      <c r="E1737" t="s">
        <v>567</v>
      </c>
      <c r="F1737" t="s">
        <v>151</v>
      </c>
      <c r="G1737" t="s">
        <v>111</v>
      </c>
      <c r="H1737" t="s">
        <v>113</v>
      </c>
      <c r="I1737" t="s">
        <v>112</v>
      </c>
      <c r="J1737" t="s">
        <v>114</v>
      </c>
      <c r="K1737" t="s">
        <v>116</v>
      </c>
      <c r="L1737" t="s">
        <v>116</v>
      </c>
    </row>
    <row r="1738" spans="1:12" x14ac:dyDescent="0.3">
      <c r="A1738" t="s">
        <v>731</v>
      </c>
      <c r="B1738" t="s">
        <v>732</v>
      </c>
      <c r="C1738" t="s">
        <v>733</v>
      </c>
      <c r="D1738" t="s">
        <v>285</v>
      </c>
      <c r="E1738" t="s">
        <v>567</v>
      </c>
      <c r="F1738" t="s">
        <v>195</v>
      </c>
      <c r="G1738" t="s">
        <v>111</v>
      </c>
      <c r="H1738" t="s">
        <v>113</v>
      </c>
      <c r="I1738" t="s">
        <v>112</v>
      </c>
      <c r="J1738" t="s">
        <v>114</v>
      </c>
      <c r="K1738" t="s">
        <v>116</v>
      </c>
      <c r="L1738" t="s">
        <v>116</v>
      </c>
    </row>
    <row r="1739" spans="1:12" x14ac:dyDescent="0.3">
      <c r="A1739" t="s">
        <v>731</v>
      </c>
      <c r="B1739" t="s">
        <v>732</v>
      </c>
      <c r="C1739" t="s">
        <v>733</v>
      </c>
      <c r="D1739" t="s">
        <v>330</v>
      </c>
      <c r="E1739" t="s">
        <v>567</v>
      </c>
      <c r="F1739" t="s">
        <v>177</v>
      </c>
      <c r="G1739" t="s">
        <v>111</v>
      </c>
      <c r="H1739" t="s">
        <v>113</v>
      </c>
      <c r="I1739" t="s">
        <v>112</v>
      </c>
      <c r="J1739" t="s">
        <v>114</v>
      </c>
      <c r="K1739" t="s">
        <v>116</v>
      </c>
      <c r="L1739" t="s">
        <v>116</v>
      </c>
    </row>
    <row r="1740" spans="1:12" x14ac:dyDescent="0.3">
      <c r="A1740" t="s">
        <v>731</v>
      </c>
      <c r="B1740" t="s">
        <v>732</v>
      </c>
      <c r="C1740" t="s">
        <v>733</v>
      </c>
      <c r="D1740" t="s">
        <v>331</v>
      </c>
      <c r="E1740" t="s">
        <v>567</v>
      </c>
      <c r="F1740" t="s">
        <v>91</v>
      </c>
      <c r="G1740" t="s">
        <v>111</v>
      </c>
      <c r="H1740" t="s">
        <v>113</v>
      </c>
      <c r="I1740" t="s">
        <v>112</v>
      </c>
      <c r="J1740" t="s">
        <v>114</v>
      </c>
      <c r="K1740" t="s">
        <v>116</v>
      </c>
      <c r="L1740" t="s">
        <v>116</v>
      </c>
    </row>
    <row r="1741" spans="1:12" x14ac:dyDescent="0.3">
      <c r="A1741" t="s">
        <v>731</v>
      </c>
      <c r="B1741" t="s">
        <v>732</v>
      </c>
      <c r="C1741" t="s">
        <v>733</v>
      </c>
      <c r="D1741" t="s">
        <v>332</v>
      </c>
      <c r="E1741" t="s">
        <v>567</v>
      </c>
      <c r="F1741" t="s">
        <v>152</v>
      </c>
      <c r="G1741" t="s">
        <v>111</v>
      </c>
      <c r="H1741" t="s">
        <v>113</v>
      </c>
      <c r="I1741" t="s">
        <v>112</v>
      </c>
      <c r="J1741" t="s">
        <v>114</v>
      </c>
      <c r="K1741" t="s">
        <v>116</v>
      </c>
      <c r="L1741" t="s">
        <v>116</v>
      </c>
    </row>
    <row r="1742" spans="1:12" x14ac:dyDescent="0.3">
      <c r="A1742" t="s">
        <v>731</v>
      </c>
      <c r="B1742" t="s">
        <v>732</v>
      </c>
      <c r="C1742" t="s">
        <v>733</v>
      </c>
      <c r="D1742" t="s">
        <v>286</v>
      </c>
      <c r="E1742" t="s">
        <v>567</v>
      </c>
      <c r="F1742" t="s">
        <v>67</v>
      </c>
      <c r="G1742" t="s">
        <v>111</v>
      </c>
      <c r="H1742" t="s">
        <v>118</v>
      </c>
      <c r="I1742" t="s">
        <v>112</v>
      </c>
      <c r="J1742" t="s">
        <v>119</v>
      </c>
      <c r="K1742" t="s">
        <v>116</v>
      </c>
      <c r="L1742" t="s">
        <v>116</v>
      </c>
    </row>
    <row r="1743" spans="1:12" x14ac:dyDescent="0.3">
      <c r="A1743" t="s">
        <v>731</v>
      </c>
      <c r="B1743" t="s">
        <v>732</v>
      </c>
      <c r="C1743" t="s">
        <v>733</v>
      </c>
      <c r="D1743" t="s">
        <v>287</v>
      </c>
      <c r="E1743" t="s">
        <v>567</v>
      </c>
      <c r="F1743" t="s">
        <v>196</v>
      </c>
      <c r="G1743" t="s">
        <v>111</v>
      </c>
      <c r="H1743" t="s">
        <v>113</v>
      </c>
      <c r="I1743" t="s">
        <v>112</v>
      </c>
      <c r="J1743" t="s">
        <v>114</v>
      </c>
      <c r="K1743" t="s">
        <v>116</v>
      </c>
      <c r="L1743" t="s">
        <v>116</v>
      </c>
    </row>
    <row r="1744" spans="1:12" x14ac:dyDescent="0.3">
      <c r="A1744" t="s">
        <v>731</v>
      </c>
      <c r="B1744" t="s">
        <v>732</v>
      </c>
      <c r="C1744" t="s">
        <v>733</v>
      </c>
      <c r="D1744" t="s">
        <v>289</v>
      </c>
      <c r="E1744" t="s">
        <v>567</v>
      </c>
      <c r="F1744" t="s">
        <v>179</v>
      </c>
      <c r="G1744" t="s">
        <v>111</v>
      </c>
      <c r="H1744" t="s">
        <v>113</v>
      </c>
      <c r="I1744" t="s">
        <v>112</v>
      </c>
      <c r="J1744" t="s">
        <v>114</v>
      </c>
      <c r="K1744" t="s">
        <v>116</v>
      </c>
      <c r="L1744" t="s">
        <v>116</v>
      </c>
    </row>
    <row r="1745" spans="1:12" x14ac:dyDescent="0.3">
      <c r="A1745" t="s">
        <v>731</v>
      </c>
      <c r="B1745" t="s">
        <v>732</v>
      </c>
      <c r="C1745" t="s">
        <v>733</v>
      </c>
      <c r="D1745" t="s">
        <v>291</v>
      </c>
      <c r="E1745" t="s">
        <v>567</v>
      </c>
      <c r="F1745" t="s">
        <v>154</v>
      </c>
      <c r="G1745" t="s">
        <v>111</v>
      </c>
      <c r="H1745" t="s">
        <v>113</v>
      </c>
      <c r="I1745" t="s">
        <v>112</v>
      </c>
      <c r="J1745" t="s">
        <v>114</v>
      </c>
      <c r="K1745" t="s">
        <v>116</v>
      </c>
      <c r="L1745" t="s">
        <v>116</v>
      </c>
    </row>
    <row r="1746" spans="1:12" x14ac:dyDescent="0.3">
      <c r="A1746" t="s">
        <v>731</v>
      </c>
      <c r="B1746" t="s">
        <v>732</v>
      </c>
      <c r="C1746" t="s">
        <v>733</v>
      </c>
      <c r="D1746" t="s">
        <v>293</v>
      </c>
      <c r="E1746" t="s">
        <v>567</v>
      </c>
      <c r="F1746" t="s">
        <v>72</v>
      </c>
      <c r="G1746" t="s">
        <v>111</v>
      </c>
      <c r="H1746" t="s">
        <v>113</v>
      </c>
      <c r="I1746" t="s">
        <v>112</v>
      </c>
      <c r="J1746" t="s">
        <v>114</v>
      </c>
      <c r="K1746" t="s">
        <v>116</v>
      </c>
      <c r="L1746" t="s">
        <v>116</v>
      </c>
    </row>
    <row r="1747" spans="1:12" x14ac:dyDescent="0.3">
      <c r="A1747" t="s">
        <v>731</v>
      </c>
      <c r="B1747" t="s">
        <v>732</v>
      </c>
      <c r="C1747" t="s">
        <v>733</v>
      </c>
      <c r="D1747" t="s">
        <v>334</v>
      </c>
      <c r="E1747" t="s">
        <v>567</v>
      </c>
      <c r="F1747" t="s">
        <v>155</v>
      </c>
      <c r="G1747" t="s">
        <v>111</v>
      </c>
      <c r="H1747" t="s">
        <v>113</v>
      </c>
      <c r="I1747" t="s">
        <v>112</v>
      </c>
      <c r="J1747" t="s">
        <v>114</v>
      </c>
      <c r="K1747" t="s">
        <v>116</v>
      </c>
      <c r="L1747" t="s">
        <v>116</v>
      </c>
    </row>
    <row r="1748" spans="1:12" x14ac:dyDescent="0.3">
      <c r="A1748" t="s">
        <v>731</v>
      </c>
      <c r="B1748" t="s">
        <v>732</v>
      </c>
      <c r="C1748" t="s">
        <v>733</v>
      </c>
      <c r="D1748" t="s">
        <v>294</v>
      </c>
      <c r="E1748" t="s">
        <v>567</v>
      </c>
      <c r="F1748" t="s">
        <v>156</v>
      </c>
      <c r="G1748" t="s">
        <v>111</v>
      </c>
      <c r="H1748" t="s">
        <v>113</v>
      </c>
      <c r="I1748" t="s">
        <v>112</v>
      </c>
      <c r="J1748" t="s">
        <v>114</v>
      </c>
      <c r="K1748" t="s">
        <v>116</v>
      </c>
      <c r="L1748" t="s">
        <v>116</v>
      </c>
    </row>
    <row r="1749" spans="1:12" x14ac:dyDescent="0.3">
      <c r="A1749" t="s">
        <v>731</v>
      </c>
      <c r="B1749" t="s">
        <v>732</v>
      </c>
      <c r="C1749" t="s">
        <v>733</v>
      </c>
      <c r="D1749" t="s">
        <v>295</v>
      </c>
      <c r="E1749" t="s">
        <v>567</v>
      </c>
      <c r="F1749" t="s">
        <v>103</v>
      </c>
      <c r="G1749" t="s">
        <v>111</v>
      </c>
      <c r="H1749" t="s">
        <v>113</v>
      </c>
      <c r="I1749" t="s">
        <v>112</v>
      </c>
      <c r="J1749" t="s">
        <v>114</v>
      </c>
      <c r="K1749" t="s">
        <v>116</v>
      </c>
      <c r="L1749" t="s">
        <v>116</v>
      </c>
    </row>
    <row r="1750" spans="1:12" x14ac:dyDescent="0.3">
      <c r="A1750" t="s">
        <v>731</v>
      </c>
      <c r="B1750" t="s">
        <v>732</v>
      </c>
      <c r="C1750" t="s">
        <v>733</v>
      </c>
      <c r="D1750" t="s">
        <v>337</v>
      </c>
      <c r="E1750" t="s">
        <v>567</v>
      </c>
      <c r="F1750" t="s">
        <v>157</v>
      </c>
      <c r="G1750" t="s">
        <v>111</v>
      </c>
      <c r="H1750" t="s">
        <v>113</v>
      </c>
      <c r="I1750" t="s">
        <v>112</v>
      </c>
      <c r="J1750" t="s">
        <v>114</v>
      </c>
      <c r="K1750" t="s">
        <v>116</v>
      </c>
      <c r="L1750" t="s">
        <v>116</v>
      </c>
    </row>
    <row r="1751" spans="1:12" x14ac:dyDescent="0.3">
      <c r="A1751" t="s">
        <v>731</v>
      </c>
      <c r="B1751" t="s">
        <v>732</v>
      </c>
      <c r="C1751" t="s">
        <v>733</v>
      </c>
      <c r="D1751" t="s">
        <v>296</v>
      </c>
      <c r="E1751" t="s">
        <v>567</v>
      </c>
      <c r="F1751" t="s">
        <v>198</v>
      </c>
      <c r="G1751" t="s">
        <v>111</v>
      </c>
      <c r="H1751" t="s">
        <v>118</v>
      </c>
      <c r="I1751" t="s">
        <v>112</v>
      </c>
      <c r="J1751" t="s">
        <v>119</v>
      </c>
      <c r="K1751" t="s">
        <v>116</v>
      </c>
      <c r="L1751" t="s">
        <v>116</v>
      </c>
    </row>
    <row r="1752" spans="1:12" x14ac:dyDescent="0.3">
      <c r="A1752" t="s">
        <v>731</v>
      </c>
      <c r="B1752" t="s">
        <v>732</v>
      </c>
      <c r="C1752" t="s">
        <v>733</v>
      </c>
      <c r="D1752" t="s">
        <v>297</v>
      </c>
      <c r="E1752" t="s">
        <v>567</v>
      </c>
      <c r="F1752" t="s">
        <v>180</v>
      </c>
      <c r="G1752" t="s">
        <v>111</v>
      </c>
      <c r="H1752" t="s">
        <v>113</v>
      </c>
      <c r="I1752" t="s">
        <v>112</v>
      </c>
      <c r="J1752" t="s">
        <v>114</v>
      </c>
      <c r="K1752" t="s">
        <v>116</v>
      </c>
      <c r="L1752" t="s">
        <v>116</v>
      </c>
    </row>
    <row r="1753" spans="1:12" x14ac:dyDescent="0.3">
      <c r="A1753" t="s">
        <v>731</v>
      </c>
      <c r="B1753" t="s">
        <v>732</v>
      </c>
      <c r="C1753" t="s">
        <v>733</v>
      </c>
      <c r="D1753" t="s">
        <v>298</v>
      </c>
      <c r="E1753" t="s">
        <v>567</v>
      </c>
      <c r="F1753" t="s">
        <v>158</v>
      </c>
      <c r="G1753" t="s">
        <v>111</v>
      </c>
      <c r="H1753" t="s">
        <v>113</v>
      </c>
      <c r="I1753" t="s">
        <v>112</v>
      </c>
      <c r="J1753" t="s">
        <v>114</v>
      </c>
      <c r="K1753" t="s">
        <v>116</v>
      </c>
      <c r="L1753" t="s">
        <v>116</v>
      </c>
    </row>
    <row r="1754" spans="1:12" x14ac:dyDescent="0.3">
      <c r="A1754" t="s">
        <v>731</v>
      </c>
      <c r="B1754" t="s">
        <v>732</v>
      </c>
      <c r="C1754" t="s">
        <v>733</v>
      </c>
      <c r="D1754" t="s">
        <v>335</v>
      </c>
      <c r="E1754" t="s">
        <v>567</v>
      </c>
      <c r="F1754" t="s">
        <v>199</v>
      </c>
      <c r="G1754" t="s">
        <v>111</v>
      </c>
      <c r="H1754" t="s">
        <v>113</v>
      </c>
      <c r="I1754" t="s">
        <v>112</v>
      </c>
      <c r="J1754" t="s">
        <v>114</v>
      </c>
      <c r="K1754" t="s">
        <v>116</v>
      </c>
      <c r="L1754" t="s">
        <v>116</v>
      </c>
    </row>
    <row r="1755" spans="1:12" x14ac:dyDescent="0.3">
      <c r="A1755" t="s">
        <v>731</v>
      </c>
      <c r="B1755" t="s">
        <v>732</v>
      </c>
      <c r="C1755" t="s">
        <v>733</v>
      </c>
      <c r="D1755" t="s">
        <v>336</v>
      </c>
      <c r="E1755" t="s">
        <v>567</v>
      </c>
      <c r="F1755" t="s">
        <v>159</v>
      </c>
      <c r="G1755" t="s">
        <v>111</v>
      </c>
      <c r="H1755" t="s">
        <v>118</v>
      </c>
      <c r="I1755" t="s">
        <v>112</v>
      </c>
      <c r="J1755" t="s">
        <v>119</v>
      </c>
      <c r="K1755" t="s">
        <v>116</v>
      </c>
      <c r="L1755" t="s">
        <v>116</v>
      </c>
    </row>
    <row r="1756" spans="1:12" x14ac:dyDescent="0.3">
      <c r="A1756" t="s">
        <v>731</v>
      </c>
      <c r="B1756" t="s">
        <v>732</v>
      </c>
      <c r="C1756" t="s">
        <v>733</v>
      </c>
      <c r="D1756" t="s">
        <v>299</v>
      </c>
      <c r="E1756" t="s">
        <v>567</v>
      </c>
      <c r="F1756" t="s">
        <v>47</v>
      </c>
      <c r="G1756" t="s">
        <v>111</v>
      </c>
      <c r="H1756" t="s">
        <v>113</v>
      </c>
      <c r="I1756" t="s">
        <v>112</v>
      </c>
      <c r="J1756" t="s">
        <v>114</v>
      </c>
      <c r="K1756" t="s">
        <v>116</v>
      </c>
      <c r="L1756" t="s">
        <v>116</v>
      </c>
    </row>
    <row r="1757" spans="1:12" x14ac:dyDescent="0.3">
      <c r="A1757" t="s">
        <v>731</v>
      </c>
      <c r="B1757" t="s">
        <v>732</v>
      </c>
      <c r="C1757" t="s">
        <v>733</v>
      </c>
      <c r="D1757" t="s">
        <v>300</v>
      </c>
      <c r="E1757" t="s">
        <v>567</v>
      </c>
      <c r="F1757" t="s">
        <v>181</v>
      </c>
      <c r="G1757" t="s">
        <v>111</v>
      </c>
      <c r="H1757" t="s">
        <v>113</v>
      </c>
      <c r="I1757" t="s">
        <v>112</v>
      </c>
      <c r="J1757" t="s">
        <v>114</v>
      </c>
      <c r="K1757" t="s">
        <v>116</v>
      </c>
      <c r="L1757" t="s">
        <v>116</v>
      </c>
    </row>
    <row r="1758" spans="1:12" x14ac:dyDescent="0.3">
      <c r="A1758" t="s">
        <v>731</v>
      </c>
      <c r="B1758" t="s">
        <v>732</v>
      </c>
      <c r="C1758" t="s">
        <v>733</v>
      </c>
      <c r="D1758" t="s">
        <v>301</v>
      </c>
      <c r="E1758" t="s">
        <v>567</v>
      </c>
      <c r="F1758" t="s">
        <v>73</v>
      </c>
      <c r="G1758" t="s">
        <v>111</v>
      </c>
      <c r="H1758" t="s">
        <v>113</v>
      </c>
      <c r="I1758" t="s">
        <v>112</v>
      </c>
      <c r="J1758" t="s">
        <v>114</v>
      </c>
      <c r="K1758" t="s">
        <v>116</v>
      </c>
      <c r="L1758" t="s">
        <v>116</v>
      </c>
    </row>
    <row r="1759" spans="1:12" x14ac:dyDescent="0.3">
      <c r="A1759" t="s">
        <v>731</v>
      </c>
      <c r="B1759" t="s">
        <v>732</v>
      </c>
      <c r="C1759" t="s">
        <v>733</v>
      </c>
      <c r="D1759" t="s">
        <v>208</v>
      </c>
      <c r="E1759" t="s">
        <v>567</v>
      </c>
      <c r="F1759" t="s">
        <v>161</v>
      </c>
      <c r="G1759" t="s">
        <v>111</v>
      </c>
      <c r="H1759" t="s">
        <v>113</v>
      </c>
      <c r="I1759" t="s">
        <v>112</v>
      </c>
      <c r="J1759" t="s">
        <v>114</v>
      </c>
      <c r="K1759" t="s">
        <v>116</v>
      </c>
      <c r="L1759" t="s">
        <v>116</v>
      </c>
    </row>
    <row r="1760" spans="1:12" x14ac:dyDescent="0.3">
      <c r="A1760" t="s">
        <v>731</v>
      </c>
      <c r="B1760" t="s">
        <v>732</v>
      </c>
      <c r="C1760" t="s">
        <v>733</v>
      </c>
      <c r="D1760" t="s">
        <v>302</v>
      </c>
      <c r="E1760" t="s">
        <v>567</v>
      </c>
      <c r="F1760" t="s">
        <v>162</v>
      </c>
      <c r="G1760" t="s">
        <v>111</v>
      </c>
      <c r="H1760" t="s">
        <v>113</v>
      </c>
      <c r="I1760" t="s">
        <v>112</v>
      </c>
      <c r="J1760" t="s">
        <v>114</v>
      </c>
      <c r="K1760" t="s">
        <v>116</v>
      </c>
      <c r="L1760" t="s">
        <v>116</v>
      </c>
    </row>
    <row r="1761" spans="1:12" x14ac:dyDescent="0.3">
      <c r="A1761" t="s">
        <v>1475</v>
      </c>
      <c r="B1761" t="s">
        <v>1505</v>
      </c>
      <c r="C1761" t="s">
        <v>566</v>
      </c>
      <c r="D1761" t="s">
        <v>223</v>
      </c>
      <c r="E1761" t="s">
        <v>569</v>
      </c>
      <c r="F1761" t="s">
        <v>65</v>
      </c>
      <c r="G1761" t="s">
        <v>111</v>
      </c>
      <c r="H1761" t="s">
        <v>113</v>
      </c>
      <c r="I1761" t="s">
        <v>112</v>
      </c>
      <c r="J1761" t="s">
        <v>114</v>
      </c>
      <c r="K1761" t="s">
        <v>684</v>
      </c>
      <c r="L1761" t="s">
        <v>684</v>
      </c>
    </row>
    <row r="1762" spans="1:12" x14ac:dyDescent="0.3">
      <c r="A1762" t="s">
        <v>1475</v>
      </c>
      <c r="B1762" t="s">
        <v>1505</v>
      </c>
      <c r="C1762" t="s">
        <v>566</v>
      </c>
      <c r="D1762" t="s">
        <v>229</v>
      </c>
      <c r="E1762" t="s">
        <v>569</v>
      </c>
      <c r="F1762" t="s">
        <v>127</v>
      </c>
      <c r="G1762" t="s">
        <v>111</v>
      </c>
      <c r="H1762" t="s">
        <v>113</v>
      </c>
      <c r="I1762" t="s">
        <v>112</v>
      </c>
      <c r="J1762" t="s">
        <v>114</v>
      </c>
      <c r="K1762" t="s">
        <v>684</v>
      </c>
      <c r="L1762" t="s">
        <v>684</v>
      </c>
    </row>
    <row r="1763" spans="1:12" x14ac:dyDescent="0.3">
      <c r="A1763" t="s">
        <v>1475</v>
      </c>
      <c r="B1763" t="s">
        <v>732</v>
      </c>
      <c r="C1763" t="s">
        <v>733</v>
      </c>
      <c r="D1763" t="s">
        <v>303</v>
      </c>
      <c r="E1763" t="s">
        <v>569</v>
      </c>
      <c r="F1763" t="s">
        <v>49</v>
      </c>
      <c r="G1763" t="s">
        <v>111</v>
      </c>
      <c r="H1763" t="s">
        <v>160</v>
      </c>
      <c r="I1763" t="s">
        <v>112</v>
      </c>
      <c r="J1763" t="s">
        <v>114</v>
      </c>
      <c r="K1763" t="s">
        <v>1529</v>
      </c>
      <c r="L1763" t="s">
        <v>1529</v>
      </c>
    </row>
    <row r="1764" spans="1:12" x14ac:dyDescent="0.3">
      <c r="A1764" t="s">
        <v>1475</v>
      </c>
      <c r="B1764" t="s">
        <v>732</v>
      </c>
      <c r="C1764" t="s">
        <v>733</v>
      </c>
      <c r="D1764" t="s">
        <v>209</v>
      </c>
      <c r="E1764" t="s">
        <v>569</v>
      </c>
      <c r="F1764" t="s">
        <v>115</v>
      </c>
      <c r="G1764" t="s">
        <v>111</v>
      </c>
      <c r="H1764" t="s">
        <v>160</v>
      </c>
      <c r="I1764" t="s">
        <v>112</v>
      </c>
      <c r="J1764" t="s">
        <v>114</v>
      </c>
      <c r="K1764" t="s">
        <v>1529</v>
      </c>
      <c r="L1764" t="s">
        <v>1529</v>
      </c>
    </row>
    <row r="1765" spans="1:12" x14ac:dyDescent="0.3">
      <c r="A1765" t="s">
        <v>1475</v>
      </c>
      <c r="B1765" t="s">
        <v>732</v>
      </c>
      <c r="C1765" t="s">
        <v>733</v>
      </c>
      <c r="D1765" t="s">
        <v>210</v>
      </c>
      <c r="E1765" t="s">
        <v>569</v>
      </c>
      <c r="F1765" t="s">
        <v>59</v>
      </c>
      <c r="G1765" t="s">
        <v>111</v>
      </c>
      <c r="H1765" t="s">
        <v>160</v>
      </c>
      <c r="I1765" t="s">
        <v>112</v>
      </c>
      <c r="J1765" t="s">
        <v>114</v>
      </c>
      <c r="K1765" t="s">
        <v>1529</v>
      </c>
      <c r="L1765" t="s">
        <v>1529</v>
      </c>
    </row>
    <row r="1766" spans="1:12" x14ac:dyDescent="0.3">
      <c r="A1766" t="s">
        <v>1475</v>
      </c>
      <c r="B1766" t="s">
        <v>732</v>
      </c>
      <c r="C1766" t="s">
        <v>733</v>
      </c>
      <c r="D1766" t="s">
        <v>304</v>
      </c>
      <c r="E1766" t="s">
        <v>569</v>
      </c>
      <c r="F1766" t="s">
        <v>117</v>
      </c>
      <c r="G1766" t="s">
        <v>111</v>
      </c>
      <c r="H1766" t="s">
        <v>160</v>
      </c>
      <c r="I1766" t="s">
        <v>112</v>
      </c>
      <c r="J1766" t="s">
        <v>114</v>
      </c>
      <c r="K1766" t="s">
        <v>1529</v>
      </c>
      <c r="L1766" t="s">
        <v>1529</v>
      </c>
    </row>
    <row r="1767" spans="1:12" x14ac:dyDescent="0.3">
      <c r="A1767" t="s">
        <v>1475</v>
      </c>
      <c r="B1767" t="s">
        <v>732</v>
      </c>
      <c r="C1767" t="s">
        <v>733</v>
      </c>
      <c r="D1767" t="s">
        <v>211</v>
      </c>
      <c r="E1767" t="s">
        <v>569</v>
      </c>
      <c r="F1767" t="s">
        <v>188</v>
      </c>
      <c r="G1767" t="s">
        <v>111</v>
      </c>
      <c r="H1767" t="s">
        <v>160</v>
      </c>
      <c r="I1767" t="s">
        <v>112</v>
      </c>
      <c r="J1767" t="s">
        <v>114</v>
      </c>
      <c r="K1767" t="s">
        <v>1529</v>
      </c>
      <c r="L1767" t="s">
        <v>1529</v>
      </c>
    </row>
    <row r="1768" spans="1:12" x14ac:dyDescent="0.3">
      <c r="A1768" t="s">
        <v>1475</v>
      </c>
      <c r="B1768" t="s">
        <v>732</v>
      </c>
      <c r="C1768" t="s">
        <v>733</v>
      </c>
      <c r="D1768" t="s">
        <v>305</v>
      </c>
      <c r="E1768" t="s">
        <v>569</v>
      </c>
      <c r="F1768" t="s">
        <v>120</v>
      </c>
      <c r="G1768" t="s">
        <v>111</v>
      </c>
      <c r="H1768" t="s">
        <v>160</v>
      </c>
      <c r="I1768" t="s">
        <v>112</v>
      </c>
      <c r="J1768" t="s">
        <v>114</v>
      </c>
      <c r="K1768" t="s">
        <v>1529</v>
      </c>
      <c r="L1768" t="s">
        <v>1529</v>
      </c>
    </row>
    <row r="1769" spans="1:12" x14ac:dyDescent="0.3">
      <c r="A1769" t="s">
        <v>1475</v>
      </c>
      <c r="B1769" t="s">
        <v>732</v>
      </c>
      <c r="C1769" t="s">
        <v>733</v>
      </c>
      <c r="D1769" t="s">
        <v>212</v>
      </c>
      <c r="E1769" t="s">
        <v>569</v>
      </c>
      <c r="F1769" t="s">
        <v>164</v>
      </c>
      <c r="G1769" t="s">
        <v>111</v>
      </c>
      <c r="H1769" t="s">
        <v>160</v>
      </c>
      <c r="I1769" t="s">
        <v>112</v>
      </c>
      <c r="J1769" t="s">
        <v>114</v>
      </c>
      <c r="K1769" t="s">
        <v>1529</v>
      </c>
      <c r="L1769" t="s">
        <v>1529</v>
      </c>
    </row>
    <row r="1770" spans="1:12" x14ac:dyDescent="0.3">
      <c r="A1770" t="s">
        <v>1475</v>
      </c>
      <c r="B1770" t="s">
        <v>732</v>
      </c>
      <c r="C1770" t="s">
        <v>733</v>
      </c>
      <c r="D1770" t="s">
        <v>213</v>
      </c>
      <c r="E1770" t="s">
        <v>569</v>
      </c>
      <c r="F1770" t="s">
        <v>53</v>
      </c>
      <c r="G1770" t="s">
        <v>111</v>
      </c>
      <c r="H1770" t="s">
        <v>160</v>
      </c>
      <c r="I1770" t="s">
        <v>112</v>
      </c>
      <c r="J1770" t="s">
        <v>114</v>
      </c>
      <c r="K1770" t="s">
        <v>1529</v>
      </c>
      <c r="L1770" t="s">
        <v>1529</v>
      </c>
    </row>
    <row r="1771" spans="1:12" x14ac:dyDescent="0.3">
      <c r="A1771" t="s">
        <v>1475</v>
      </c>
      <c r="B1771" t="s">
        <v>732</v>
      </c>
      <c r="C1771" t="s">
        <v>733</v>
      </c>
      <c r="D1771" t="s">
        <v>214</v>
      </c>
      <c r="E1771" t="s">
        <v>569</v>
      </c>
      <c r="F1771" t="s">
        <v>56</v>
      </c>
      <c r="G1771" t="s">
        <v>111</v>
      </c>
      <c r="H1771" t="s">
        <v>160</v>
      </c>
      <c r="I1771" t="s">
        <v>112</v>
      </c>
      <c r="J1771" t="s">
        <v>114</v>
      </c>
      <c r="K1771" t="s">
        <v>1529</v>
      </c>
      <c r="L1771" t="s">
        <v>1529</v>
      </c>
    </row>
    <row r="1772" spans="1:12" x14ac:dyDescent="0.3">
      <c r="A1772" t="s">
        <v>1475</v>
      </c>
      <c r="B1772" t="s">
        <v>732</v>
      </c>
      <c r="C1772" t="s">
        <v>733</v>
      </c>
      <c r="D1772" t="s">
        <v>215</v>
      </c>
      <c r="E1772" t="s">
        <v>569</v>
      </c>
      <c r="F1772" t="s">
        <v>69</v>
      </c>
      <c r="G1772" t="s">
        <v>111</v>
      </c>
      <c r="H1772" t="s">
        <v>160</v>
      </c>
      <c r="I1772" t="s">
        <v>112</v>
      </c>
      <c r="J1772" t="s">
        <v>114</v>
      </c>
      <c r="K1772" t="s">
        <v>1529</v>
      </c>
      <c r="L1772" t="s">
        <v>1529</v>
      </c>
    </row>
    <row r="1773" spans="1:12" x14ac:dyDescent="0.3">
      <c r="A1773" t="s">
        <v>1475</v>
      </c>
      <c r="B1773" t="s">
        <v>732</v>
      </c>
      <c r="C1773" t="s">
        <v>733</v>
      </c>
      <c r="D1773" t="s">
        <v>216</v>
      </c>
      <c r="E1773" t="s">
        <v>569</v>
      </c>
      <c r="F1773" t="s">
        <v>121</v>
      </c>
      <c r="G1773" t="s">
        <v>111</v>
      </c>
      <c r="H1773" t="s">
        <v>160</v>
      </c>
      <c r="I1773" t="s">
        <v>112</v>
      </c>
      <c r="J1773" t="s">
        <v>114</v>
      </c>
      <c r="K1773" t="s">
        <v>1529</v>
      </c>
      <c r="L1773" t="s">
        <v>1529</v>
      </c>
    </row>
    <row r="1774" spans="1:12" x14ac:dyDescent="0.3">
      <c r="A1774" t="s">
        <v>1475</v>
      </c>
      <c r="B1774" t="s">
        <v>732</v>
      </c>
      <c r="C1774" t="s">
        <v>733</v>
      </c>
      <c r="D1774" t="s">
        <v>218</v>
      </c>
      <c r="E1774" t="s">
        <v>569</v>
      </c>
      <c r="F1774" t="s">
        <v>166</v>
      </c>
      <c r="G1774" t="s">
        <v>111</v>
      </c>
      <c r="H1774" t="s">
        <v>160</v>
      </c>
      <c r="I1774" t="s">
        <v>112</v>
      </c>
      <c r="J1774" t="s">
        <v>114</v>
      </c>
      <c r="K1774" t="s">
        <v>1529</v>
      </c>
      <c r="L1774" t="s">
        <v>1529</v>
      </c>
    </row>
    <row r="1775" spans="1:12" x14ac:dyDescent="0.3">
      <c r="A1775" t="s">
        <v>1475</v>
      </c>
      <c r="B1775" t="s">
        <v>732</v>
      </c>
      <c r="C1775" t="s">
        <v>733</v>
      </c>
      <c r="D1775" t="s">
        <v>219</v>
      </c>
      <c r="E1775" t="s">
        <v>569</v>
      </c>
      <c r="F1775" t="s">
        <v>189</v>
      </c>
      <c r="G1775" t="s">
        <v>111</v>
      </c>
      <c r="H1775" t="s">
        <v>160</v>
      </c>
      <c r="I1775" t="s">
        <v>112</v>
      </c>
      <c r="J1775" t="s">
        <v>114</v>
      </c>
      <c r="K1775" t="s">
        <v>1529</v>
      </c>
      <c r="L1775" t="s">
        <v>1529</v>
      </c>
    </row>
    <row r="1776" spans="1:12" x14ac:dyDescent="0.3">
      <c r="A1776" t="s">
        <v>1475</v>
      </c>
      <c r="B1776" t="s">
        <v>732</v>
      </c>
      <c r="C1776" t="s">
        <v>733</v>
      </c>
      <c r="D1776" t="s">
        <v>220</v>
      </c>
      <c r="E1776" t="s">
        <v>569</v>
      </c>
      <c r="F1776" t="s">
        <v>54</v>
      </c>
      <c r="G1776" t="s">
        <v>111</v>
      </c>
      <c r="H1776" t="s">
        <v>160</v>
      </c>
      <c r="I1776" t="s">
        <v>112</v>
      </c>
      <c r="J1776" t="s">
        <v>114</v>
      </c>
      <c r="K1776" t="s">
        <v>1529</v>
      </c>
      <c r="L1776" t="s">
        <v>1529</v>
      </c>
    </row>
    <row r="1777" spans="1:12" x14ac:dyDescent="0.3">
      <c r="A1777" t="s">
        <v>1475</v>
      </c>
      <c r="B1777" t="s">
        <v>732</v>
      </c>
      <c r="C1777" t="s">
        <v>733</v>
      </c>
      <c r="D1777" t="s">
        <v>222</v>
      </c>
      <c r="E1777" t="s">
        <v>569</v>
      </c>
      <c r="F1777" t="s">
        <v>124</v>
      </c>
      <c r="G1777" t="s">
        <v>111</v>
      </c>
      <c r="H1777" t="s">
        <v>160</v>
      </c>
      <c r="I1777" t="s">
        <v>112</v>
      </c>
      <c r="J1777" t="s">
        <v>114</v>
      </c>
      <c r="K1777" t="s">
        <v>1529</v>
      </c>
      <c r="L1777" t="s">
        <v>1529</v>
      </c>
    </row>
    <row r="1778" spans="1:12" x14ac:dyDescent="0.3">
      <c r="A1778" t="s">
        <v>1475</v>
      </c>
      <c r="B1778" t="s">
        <v>732</v>
      </c>
      <c r="C1778" t="s">
        <v>733</v>
      </c>
      <c r="D1778" t="s">
        <v>223</v>
      </c>
      <c r="E1778" t="s">
        <v>569</v>
      </c>
      <c r="F1778" t="s">
        <v>65</v>
      </c>
      <c r="G1778" t="s">
        <v>111</v>
      </c>
      <c r="H1778" t="s">
        <v>160</v>
      </c>
      <c r="I1778" t="s">
        <v>112</v>
      </c>
      <c r="J1778" t="s">
        <v>114</v>
      </c>
      <c r="K1778" t="s">
        <v>1529</v>
      </c>
      <c r="L1778" t="s">
        <v>1529</v>
      </c>
    </row>
    <row r="1779" spans="1:12" x14ac:dyDescent="0.3">
      <c r="A1779" t="s">
        <v>1475</v>
      </c>
      <c r="B1779" t="s">
        <v>732</v>
      </c>
      <c r="C1779" t="s">
        <v>733</v>
      </c>
      <c r="D1779" t="s">
        <v>224</v>
      </c>
      <c r="E1779" t="s">
        <v>569</v>
      </c>
      <c r="F1779" t="s">
        <v>125</v>
      </c>
      <c r="G1779" t="s">
        <v>111</v>
      </c>
      <c r="H1779" t="s">
        <v>160</v>
      </c>
      <c r="I1779" t="s">
        <v>112</v>
      </c>
      <c r="J1779" t="s">
        <v>114</v>
      </c>
      <c r="K1779" t="s">
        <v>1529</v>
      </c>
      <c r="L1779" t="s">
        <v>1529</v>
      </c>
    </row>
    <row r="1780" spans="1:12" x14ac:dyDescent="0.3">
      <c r="A1780" t="s">
        <v>1475</v>
      </c>
      <c r="B1780" t="s">
        <v>732</v>
      </c>
      <c r="C1780" t="s">
        <v>733</v>
      </c>
      <c r="D1780" t="s">
        <v>226</v>
      </c>
      <c r="E1780" t="s">
        <v>569</v>
      </c>
      <c r="F1780" t="s">
        <v>80</v>
      </c>
      <c r="G1780" t="s">
        <v>111</v>
      </c>
      <c r="H1780" t="s">
        <v>160</v>
      </c>
      <c r="I1780" t="s">
        <v>112</v>
      </c>
      <c r="J1780" t="s">
        <v>114</v>
      </c>
      <c r="K1780" t="s">
        <v>1529</v>
      </c>
      <c r="L1780" t="s">
        <v>1529</v>
      </c>
    </row>
    <row r="1781" spans="1:12" x14ac:dyDescent="0.3">
      <c r="A1781" t="s">
        <v>1475</v>
      </c>
      <c r="B1781" t="s">
        <v>732</v>
      </c>
      <c r="C1781" t="s">
        <v>733</v>
      </c>
      <c r="D1781" t="s">
        <v>227</v>
      </c>
      <c r="E1781" t="s">
        <v>569</v>
      </c>
      <c r="F1781" t="s">
        <v>192</v>
      </c>
      <c r="G1781" t="s">
        <v>111</v>
      </c>
      <c r="H1781" t="s">
        <v>160</v>
      </c>
      <c r="I1781" t="s">
        <v>112</v>
      </c>
      <c r="J1781" t="s">
        <v>114</v>
      </c>
      <c r="K1781" t="s">
        <v>1529</v>
      </c>
      <c r="L1781" t="s">
        <v>1529</v>
      </c>
    </row>
    <row r="1782" spans="1:12" x14ac:dyDescent="0.3">
      <c r="A1782" t="s">
        <v>1475</v>
      </c>
      <c r="B1782" t="s">
        <v>732</v>
      </c>
      <c r="C1782" t="s">
        <v>733</v>
      </c>
      <c r="D1782" t="s">
        <v>229</v>
      </c>
      <c r="E1782" t="s">
        <v>569</v>
      </c>
      <c r="F1782" t="s">
        <v>127</v>
      </c>
      <c r="G1782" t="s">
        <v>111</v>
      </c>
      <c r="H1782" t="s">
        <v>160</v>
      </c>
      <c r="I1782" t="s">
        <v>112</v>
      </c>
      <c r="J1782" t="s">
        <v>114</v>
      </c>
      <c r="K1782" t="s">
        <v>1529</v>
      </c>
      <c r="L1782" t="s">
        <v>1529</v>
      </c>
    </row>
    <row r="1783" spans="1:12" x14ac:dyDescent="0.3">
      <c r="A1783" t="s">
        <v>1475</v>
      </c>
      <c r="B1783" t="s">
        <v>732</v>
      </c>
      <c r="C1783" t="s">
        <v>733</v>
      </c>
      <c r="D1783" t="s">
        <v>310</v>
      </c>
      <c r="E1783" t="s">
        <v>569</v>
      </c>
      <c r="F1783" t="s">
        <v>128</v>
      </c>
      <c r="G1783" t="s">
        <v>111</v>
      </c>
      <c r="H1783" t="s">
        <v>160</v>
      </c>
      <c r="I1783" t="s">
        <v>112</v>
      </c>
      <c r="J1783" t="s">
        <v>114</v>
      </c>
      <c r="K1783" t="s">
        <v>1529</v>
      </c>
      <c r="L1783" t="s">
        <v>1529</v>
      </c>
    </row>
    <row r="1784" spans="1:12" x14ac:dyDescent="0.3">
      <c r="A1784" t="s">
        <v>1475</v>
      </c>
      <c r="B1784" t="s">
        <v>732</v>
      </c>
      <c r="C1784" t="s">
        <v>733</v>
      </c>
      <c r="D1784" t="s">
        <v>230</v>
      </c>
      <c r="E1784" t="s">
        <v>569</v>
      </c>
      <c r="F1784" t="s">
        <v>168</v>
      </c>
      <c r="G1784" t="s">
        <v>111</v>
      </c>
      <c r="H1784" t="s">
        <v>160</v>
      </c>
      <c r="I1784" t="s">
        <v>112</v>
      </c>
      <c r="J1784" t="s">
        <v>114</v>
      </c>
      <c r="K1784" t="s">
        <v>1529</v>
      </c>
      <c r="L1784" t="s">
        <v>1529</v>
      </c>
    </row>
    <row r="1785" spans="1:12" x14ac:dyDescent="0.3">
      <c r="A1785" t="s">
        <v>1475</v>
      </c>
      <c r="B1785" t="s">
        <v>732</v>
      </c>
      <c r="C1785" t="s">
        <v>733</v>
      </c>
      <c r="D1785" t="s">
        <v>311</v>
      </c>
      <c r="E1785" t="s">
        <v>569</v>
      </c>
      <c r="F1785" t="s">
        <v>89</v>
      </c>
      <c r="G1785" t="s">
        <v>111</v>
      </c>
      <c r="H1785" t="s">
        <v>160</v>
      </c>
      <c r="I1785" t="s">
        <v>112</v>
      </c>
      <c r="J1785" t="s">
        <v>114</v>
      </c>
      <c r="K1785" t="s">
        <v>1529</v>
      </c>
      <c r="L1785" t="s">
        <v>1529</v>
      </c>
    </row>
    <row r="1786" spans="1:12" x14ac:dyDescent="0.3">
      <c r="A1786" t="s">
        <v>1475</v>
      </c>
      <c r="B1786" t="s">
        <v>732</v>
      </c>
      <c r="C1786" t="s">
        <v>733</v>
      </c>
      <c r="D1786" t="s">
        <v>231</v>
      </c>
      <c r="E1786" t="s">
        <v>569</v>
      </c>
      <c r="F1786" t="s">
        <v>66</v>
      </c>
      <c r="G1786" t="s">
        <v>111</v>
      </c>
      <c r="H1786" t="s">
        <v>204</v>
      </c>
      <c r="I1786" t="s">
        <v>112</v>
      </c>
      <c r="J1786" t="s">
        <v>205</v>
      </c>
      <c r="K1786" t="s">
        <v>1530</v>
      </c>
      <c r="L1786" t="s">
        <v>1530</v>
      </c>
    </row>
    <row r="1787" spans="1:12" x14ac:dyDescent="0.3">
      <c r="A1787" t="s">
        <v>1475</v>
      </c>
      <c r="B1787" t="s">
        <v>732</v>
      </c>
      <c r="C1787" t="s">
        <v>733</v>
      </c>
      <c r="D1787" t="s">
        <v>232</v>
      </c>
      <c r="E1787" t="s">
        <v>569</v>
      </c>
      <c r="F1787" t="s">
        <v>169</v>
      </c>
      <c r="G1787" t="s">
        <v>111</v>
      </c>
      <c r="H1787" t="s">
        <v>160</v>
      </c>
      <c r="I1787" t="s">
        <v>112</v>
      </c>
      <c r="J1787" t="s">
        <v>114</v>
      </c>
      <c r="K1787" t="s">
        <v>1529</v>
      </c>
      <c r="L1787" t="s">
        <v>1529</v>
      </c>
    </row>
    <row r="1788" spans="1:12" x14ac:dyDescent="0.3">
      <c r="A1788" t="s">
        <v>1475</v>
      </c>
      <c r="B1788" t="s">
        <v>732</v>
      </c>
      <c r="C1788" t="s">
        <v>733</v>
      </c>
      <c r="D1788" t="s">
        <v>233</v>
      </c>
      <c r="E1788" t="s">
        <v>569</v>
      </c>
      <c r="F1788" t="s">
        <v>110</v>
      </c>
      <c r="G1788" t="s">
        <v>111</v>
      </c>
      <c r="H1788" t="s">
        <v>160</v>
      </c>
      <c r="I1788" t="s">
        <v>112</v>
      </c>
      <c r="J1788" t="s">
        <v>114</v>
      </c>
      <c r="K1788" t="s">
        <v>1529</v>
      </c>
      <c r="L1788" t="s">
        <v>1529</v>
      </c>
    </row>
    <row r="1789" spans="1:12" x14ac:dyDescent="0.3">
      <c r="A1789" t="s">
        <v>1475</v>
      </c>
      <c r="B1789" t="s">
        <v>732</v>
      </c>
      <c r="C1789" t="s">
        <v>733</v>
      </c>
      <c r="D1789" t="s">
        <v>234</v>
      </c>
      <c r="E1789" t="s">
        <v>569</v>
      </c>
      <c r="F1789" t="s">
        <v>93</v>
      </c>
      <c r="G1789" t="s">
        <v>111</v>
      </c>
      <c r="H1789" t="s">
        <v>160</v>
      </c>
      <c r="I1789" t="s">
        <v>112</v>
      </c>
      <c r="J1789" t="s">
        <v>114</v>
      </c>
      <c r="K1789" t="s">
        <v>1529</v>
      </c>
      <c r="L1789" t="s">
        <v>1529</v>
      </c>
    </row>
    <row r="1790" spans="1:12" x14ac:dyDescent="0.3">
      <c r="A1790" t="s">
        <v>1475</v>
      </c>
      <c r="B1790" t="s">
        <v>732</v>
      </c>
      <c r="C1790" t="s">
        <v>733</v>
      </c>
      <c r="D1790" t="s">
        <v>312</v>
      </c>
      <c r="E1790" t="s">
        <v>569</v>
      </c>
      <c r="F1790" t="s">
        <v>129</v>
      </c>
      <c r="G1790" t="s">
        <v>111</v>
      </c>
      <c r="H1790" t="s">
        <v>160</v>
      </c>
      <c r="I1790" t="s">
        <v>112</v>
      </c>
      <c r="J1790" t="s">
        <v>114</v>
      </c>
      <c r="K1790" t="s">
        <v>1529</v>
      </c>
      <c r="L1790" t="s">
        <v>1529</v>
      </c>
    </row>
    <row r="1791" spans="1:12" x14ac:dyDescent="0.3">
      <c r="A1791" t="s">
        <v>1475</v>
      </c>
      <c r="B1791" t="s">
        <v>732</v>
      </c>
      <c r="C1791" t="s">
        <v>733</v>
      </c>
      <c r="D1791" t="s">
        <v>313</v>
      </c>
      <c r="E1791" t="s">
        <v>569</v>
      </c>
      <c r="F1791" t="s">
        <v>68</v>
      </c>
      <c r="G1791" t="s">
        <v>111</v>
      </c>
      <c r="H1791" t="s">
        <v>160</v>
      </c>
      <c r="I1791" t="s">
        <v>112</v>
      </c>
      <c r="J1791" t="s">
        <v>114</v>
      </c>
      <c r="K1791" t="s">
        <v>1529</v>
      </c>
      <c r="L1791" t="s">
        <v>1529</v>
      </c>
    </row>
    <row r="1792" spans="1:12" x14ac:dyDescent="0.3">
      <c r="A1792" t="s">
        <v>1475</v>
      </c>
      <c r="B1792" t="s">
        <v>732</v>
      </c>
      <c r="C1792" t="s">
        <v>733</v>
      </c>
      <c r="D1792" t="s">
        <v>235</v>
      </c>
      <c r="E1792" t="s">
        <v>569</v>
      </c>
      <c r="F1792" t="s">
        <v>85</v>
      </c>
      <c r="G1792" t="s">
        <v>111</v>
      </c>
      <c r="H1792" t="s">
        <v>160</v>
      </c>
      <c r="I1792" t="s">
        <v>112</v>
      </c>
      <c r="J1792" t="s">
        <v>114</v>
      </c>
      <c r="K1792" t="s">
        <v>1529</v>
      </c>
      <c r="L1792" t="s">
        <v>1529</v>
      </c>
    </row>
    <row r="1793" spans="1:12" x14ac:dyDescent="0.3">
      <c r="A1793" t="s">
        <v>1475</v>
      </c>
      <c r="B1793" t="s">
        <v>732</v>
      </c>
      <c r="C1793" t="s">
        <v>733</v>
      </c>
      <c r="D1793" t="s">
        <v>314</v>
      </c>
      <c r="E1793" t="s">
        <v>569</v>
      </c>
      <c r="F1793" t="s">
        <v>61</v>
      </c>
      <c r="G1793" t="s">
        <v>111</v>
      </c>
      <c r="H1793" t="s">
        <v>160</v>
      </c>
      <c r="I1793" t="s">
        <v>112</v>
      </c>
      <c r="J1793" t="s">
        <v>114</v>
      </c>
      <c r="K1793" t="s">
        <v>1529</v>
      </c>
      <c r="L1793" t="s">
        <v>1529</v>
      </c>
    </row>
    <row r="1794" spans="1:12" x14ac:dyDescent="0.3">
      <c r="A1794" t="s">
        <v>1475</v>
      </c>
      <c r="B1794" t="s">
        <v>732</v>
      </c>
      <c r="C1794" t="s">
        <v>733</v>
      </c>
      <c r="D1794" t="s">
        <v>237</v>
      </c>
      <c r="E1794" t="s">
        <v>569</v>
      </c>
      <c r="F1794" t="s">
        <v>130</v>
      </c>
      <c r="G1794" t="s">
        <v>111</v>
      </c>
      <c r="H1794" t="s">
        <v>160</v>
      </c>
      <c r="I1794" t="s">
        <v>112</v>
      </c>
      <c r="J1794" t="s">
        <v>114</v>
      </c>
      <c r="K1794" t="s">
        <v>1529</v>
      </c>
      <c r="L1794" t="s">
        <v>1529</v>
      </c>
    </row>
    <row r="1795" spans="1:12" x14ac:dyDescent="0.3">
      <c r="A1795" t="s">
        <v>1475</v>
      </c>
      <c r="B1795" t="s">
        <v>732</v>
      </c>
      <c r="C1795" t="s">
        <v>733</v>
      </c>
      <c r="D1795" t="s">
        <v>315</v>
      </c>
      <c r="E1795" t="s">
        <v>568</v>
      </c>
      <c r="F1795" t="s">
        <v>79</v>
      </c>
      <c r="G1795" t="s">
        <v>111</v>
      </c>
      <c r="H1795" t="s">
        <v>160</v>
      </c>
      <c r="I1795" t="s">
        <v>112</v>
      </c>
      <c r="J1795" t="s">
        <v>114</v>
      </c>
      <c r="K1795" t="s">
        <v>1529</v>
      </c>
      <c r="L1795" t="s">
        <v>1529</v>
      </c>
    </row>
    <row r="1796" spans="1:12" x14ac:dyDescent="0.3">
      <c r="A1796" t="s">
        <v>1475</v>
      </c>
      <c r="B1796" t="s">
        <v>732</v>
      </c>
      <c r="C1796" t="s">
        <v>733</v>
      </c>
      <c r="D1796" t="s">
        <v>316</v>
      </c>
      <c r="E1796" t="s">
        <v>568</v>
      </c>
      <c r="F1796" t="s">
        <v>132</v>
      </c>
      <c r="G1796" t="s">
        <v>111</v>
      </c>
      <c r="H1796" t="s">
        <v>160</v>
      </c>
      <c r="I1796" t="s">
        <v>112</v>
      </c>
      <c r="J1796" t="s">
        <v>114</v>
      </c>
      <c r="K1796" t="s">
        <v>1529</v>
      </c>
      <c r="L1796" t="s">
        <v>1529</v>
      </c>
    </row>
    <row r="1797" spans="1:12" x14ac:dyDescent="0.3">
      <c r="A1797" t="s">
        <v>1475</v>
      </c>
      <c r="B1797" t="s">
        <v>732</v>
      </c>
      <c r="C1797" t="s">
        <v>733</v>
      </c>
      <c r="D1797" t="s">
        <v>318</v>
      </c>
      <c r="E1797" t="s">
        <v>568</v>
      </c>
      <c r="F1797" t="s">
        <v>193</v>
      </c>
      <c r="G1797" t="s">
        <v>111</v>
      </c>
      <c r="H1797" t="s">
        <v>160</v>
      </c>
      <c r="I1797" t="s">
        <v>112</v>
      </c>
      <c r="J1797" t="s">
        <v>114</v>
      </c>
      <c r="K1797" t="s">
        <v>1529</v>
      </c>
      <c r="L1797" t="s">
        <v>1529</v>
      </c>
    </row>
    <row r="1798" spans="1:12" x14ac:dyDescent="0.3">
      <c r="A1798" t="s">
        <v>1475</v>
      </c>
      <c r="B1798" t="s">
        <v>732</v>
      </c>
      <c r="C1798" t="s">
        <v>733</v>
      </c>
      <c r="D1798" t="s">
        <v>240</v>
      </c>
      <c r="E1798" t="s">
        <v>568</v>
      </c>
      <c r="F1798" t="s">
        <v>134</v>
      </c>
      <c r="G1798" t="s">
        <v>111</v>
      </c>
      <c r="H1798" t="s">
        <v>160</v>
      </c>
      <c r="I1798" t="s">
        <v>112</v>
      </c>
      <c r="J1798" t="s">
        <v>114</v>
      </c>
      <c r="K1798" t="s">
        <v>1529</v>
      </c>
      <c r="L1798" t="s">
        <v>1529</v>
      </c>
    </row>
    <row r="1799" spans="1:12" x14ac:dyDescent="0.3">
      <c r="A1799" t="s">
        <v>1475</v>
      </c>
      <c r="B1799" t="s">
        <v>732</v>
      </c>
      <c r="C1799" t="s">
        <v>733</v>
      </c>
      <c r="D1799" t="s">
        <v>244</v>
      </c>
      <c r="E1799" t="s">
        <v>568</v>
      </c>
      <c r="F1799" t="s">
        <v>78</v>
      </c>
      <c r="G1799" t="s">
        <v>111</v>
      </c>
      <c r="H1799" t="s">
        <v>160</v>
      </c>
      <c r="I1799" t="s">
        <v>112</v>
      </c>
      <c r="J1799" t="s">
        <v>114</v>
      </c>
      <c r="K1799" t="s">
        <v>1529</v>
      </c>
      <c r="L1799" t="s">
        <v>1529</v>
      </c>
    </row>
    <row r="1800" spans="1:12" x14ac:dyDescent="0.3">
      <c r="A1800" t="s">
        <v>1475</v>
      </c>
      <c r="B1800" t="s">
        <v>732</v>
      </c>
      <c r="C1800" t="s">
        <v>733</v>
      </c>
      <c r="D1800" t="s">
        <v>245</v>
      </c>
      <c r="E1800" t="s">
        <v>568</v>
      </c>
      <c r="F1800" t="s">
        <v>82</v>
      </c>
      <c r="G1800" t="s">
        <v>111</v>
      </c>
      <c r="H1800" t="s">
        <v>160</v>
      </c>
      <c r="I1800" t="s">
        <v>112</v>
      </c>
      <c r="J1800" t="s">
        <v>114</v>
      </c>
      <c r="K1800" t="s">
        <v>1529</v>
      </c>
      <c r="L1800" t="s">
        <v>1529</v>
      </c>
    </row>
    <row r="1801" spans="1:12" x14ac:dyDescent="0.3">
      <c r="A1801" t="s">
        <v>1475</v>
      </c>
      <c r="B1801" t="s">
        <v>732</v>
      </c>
      <c r="C1801" t="s">
        <v>733</v>
      </c>
      <c r="D1801" t="s">
        <v>246</v>
      </c>
      <c r="E1801" t="s">
        <v>568</v>
      </c>
      <c r="F1801" t="s">
        <v>135</v>
      </c>
      <c r="G1801" t="s">
        <v>111</v>
      </c>
      <c r="H1801" t="s">
        <v>160</v>
      </c>
      <c r="I1801" t="s">
        <v>112</v>
      </c>
      <c r="J1801" t="s">
        <v>114</v>
      </c>
      <c r="K1801" t="s">
        <v>1529</v>
      </c>
      <c r="L1801" t="s">
        <v>1529</v>
      </c>
    </row>
    <row r="1802" spans="1:12" x14ac:dyDescent="0.3">
      <c r="A1802" t="s">
        <v>1475</v>
      </c>
      <c r="B1802" t="s">
        <v>732</v>
      </c>
      <c r="C1802" t="s">
        <v>733</v>
      </c>
      <c r="D1802" t="s">
        <v>319</v>
      </c>
      <c r="E1802" t="s">
        <v>568</v>
      </c>
      <c r="F1802" t="s">
        <v>136</v>
      </c>
      <c r="G1802" t="s">
        <v>111</v>
      </c>
      <c r="H1802" t="s">
        <v>160</v>
      </c>
      <c r="I1802" t="s">
        <v>112</v>
      </c>
      <c r="J1802" t="s">
        <v>114</v>
      </c>
      <c r="K1802" t="s">
        <v>1529</v>
      </c>
      <c r="L1802" t="s">
        <v>1529</v>
      </c>
    </row>
    <row r="1803" spans="1:12" x14ac:dyDescent="0.3">
      <c r="A1803" t="s">
        <v>1475</v>
      </c>
      <c r="B1803" t="s">
        <v>732</v>
      </c>
      <c r="C1803" t="s">
        <v>733</v>
      </c>
      <c r="D1803" t="s">
        <v>247</v>
      </c>
      <c r="E1803" t="s">
        <v>568</v>
      </c>
      <c r="F1803" t="s">
        <v>60</v>
      </c>
      <c r="G1803" t="s">
        <v>111</v>
      </c>
      <c r="H1803" t="s">
        <v>160</v>
      </c>
      <c r="I1803" t="s">
        <v>112</v>
      </c>
      <c r="J1803" t="s">
        <v>114</v>
      </c>
      <c r="K1803" t="s">
        <v>1529</v>
      </c>
      <c r="L1803" t="s">
        <v>1529</v>
      </c>
    </row>
    <row r="1804" spans="1:12" x14ac:dyDescent="0.3">
      <c r="A1804" t="s">
        <v>1475</v>
      </c>
      <c r="B1804" t="s">
        <v>732</v>
      </c>
      <c r="C1804" t="s">
        <v>733</v>
      </c>
      <c r="D1804" t="s">
        <v>248</v>
      </c>
      <c r="E1804" t="s">
        <v>568</v>
      </c>
      <c r="F1804" t="s">
        <v>137</v>
      </c>
      <c r="G1804" t="s">
        <v>111</v>
      </c>
      <c r="H1804" t="s">
        <v>160</v>
      </c>
      <c r="I1804" t="s">
        <v>112</v>
      </c>
      <c r="J1804" t="s">
        <v>114</v>
      </c>
      <c r="K1804" t="s">
        <v>1529</v>
      </c>
      <c r="L1804" t="s">
        <v>1529</v>
      </c>
    </row>
    <row r="1805" spans="1:12" x14ac:dyDescent="0.3">
      <c r="A1805" t="s">
        <v>1475</v>
      </c>
      <c r="B1805" t="s">
        <v>732</v>
      </c>
      <c r="C1805" t="s">
        <v>733</v>
      </c>
      <c r="D1805" t="s">
        <v>249</v>
      </c>
      <c r="E1805" t="s">
        <v>568</v>
      </c>
      <c r="F1805" t="s">
        <v>86</v>
      </c>
      <c r="G1805" t="s">
        <v>111</v>
      </c>
      <c r="H1805" t="s">
        <v>160</v>
      </c>
      <c r="I1805" t="s">
        <v>112</v>
      </c>
      <c r="J1805" t="s">
        <v>114</v>
      </c>
      <c r="K1805" t="s">
        <v>1529</v>
      </c>
      <c r="L1805" t="s">
        <v>1529</v>
      </c>
    </row>
    <row r="1806" spans="1:12" x14ac:dyDescent="0.3">
      <c r="A1806" t="s">
        <v>1475</v>
      </c>
      <c r="B1806" t="s">
        <v>732</v>
      </c>
      <c r="C1806" t="s">
        <v>733</v>
      </c>
      <c r="D1806" t="s">
        <v>250</v>
      </c>
      <c r="E1806" t="s">
        <v>568</v>
      </c>
      <c r="F1806" t="s">
        <v>70</v>
      </c>
      <c r="G1806" t="s">
        <v>111</v>
      </c>
      <c r="H1806" t="s">
        <v>160</v>
      </c>
      <c r="I1806" t="s">
        <v>112</v>
      </c>
      <c r="J1806" t="s">
        <v>114</v>
      </c>
      <c r="K1806" t="s">
        <v>1529</v>
      </c>
      <c r="L1806" t="s">
        <v>1529</v>
      </c>
    </row>
    <row r="1807" spans="1:12" x14ac:dyDescent="0.3">
      <c r="A1807" t="s">
        <v>1475</v>
      </c>
      <c r="B1807" t="s">
        <v>732</v>
      </c>
      <c r="C1807" t="s">
        <v>733</v>
      </c>
      <c r="D1807" t="s">
        <v>252</v>
      </c>
      <c r="E1807" t="s">
        <v>568</v>
      </c>
      <c r="F1807" t="s">
        <v>138</v>
      </c>
      <c r="G1807" t="s">
        <v>111</v>
      </c>
      <c r="H1807" t="s">
        <v>160</v>
      </c>
      <c r="I1807" t="s">
        <v>112</v>
      </c>
      <c r="J1807" t="s">
        <v>114</v>
      </c>
      <c r="K1807" t="s">
        <v>1529</v>
      </c>
      <c r="L1807" t="s">
        <v>1529</v>
      </c>
    </row>
    <row r="1808" spans="1:12" x14ac:dyDescent="0.3">
      <c r="A1808" t="s">
        <v>1475</v>
      </c>
      <c r="B1808" t="s">
        <v>732</v>
      </c>
      <c r="C1808" t="s">
        <v>733</v>
      </c>
      <c r="D1808" t="s">
        <v>254</v>
      </c>
      <c r="E1808" t="s">
        <v>568</v>
      </c>
      <c r="F1808" t="s">
        <v>139</v>
      </c>
      <c r="G1808" t="s">
        <v>111</v>
      </c>
      <c r="H1808" t="s">
        <v>160</v>
      </c>
      <c r="I1808" t="s">
        <v>112</v>
      </c>
      <c r="J1808" t="s">
        <v>114</v>
      </c>
      <c r="K1808" t="s">
        <v>1529</v>
      </c>
      <c r="L1808" t="s">
        <v>1529</v>
      </c>
    </row>
    <row r="1809" spans="1:12" x14ac:dyDescent="0.3">
      <c r="A1809" t="s">
        <v>1475</v>
      </c>
      <c r="B1809" t="s">
        <v>732</v>
      </c>
      <c r="C1809" t="s">
        <v>733</v>
      </c>
      <c r="D1809" t="s">
        <v>207</v>
      </c>
      <c r="E1809" t="s">
        <v>568</v>
      </c>
      <c r="F1809" t="s">
        <v>62</v>
      </c>
      <c r="G1809" t="s">
        <v>111</v>
      </c>
      <c r="H1809" t="s">
        <v>160</v>
      </c>
      <c r="I1809" t="s">
        <v>112</v>
      </c>
      <c r="J1809" t="s">
        <v>114</v>
      </c>
      <c r="K1809" t="s">
        <v>1529</v>
      </c>
      <c r="L1809" t="s">
        <v>1529</v>
      </c>
    </row>
    <row r="1810" spans="1:12" x14ac:dyDescent="0.3">
      <c r="A1810" t="s">
        <v>1475</v>
      </c>
      <c r="B1810" t="s">
        <v>732</v>
      </c>
      <c r="C1810" t="s">
        <v>733</v>
      </c>
      <c r="D1810" t="s">
        <v>321</v>
      </c>
      <c r="E1810" t="s">
        <v>568</v>
      </c>
      <c r="F1810" t="s">
        <v>94</v>
      </c>
      <c r="G1810" t="s">
        <v>111</v>
      </c>
      <c r="H1810" t="s">
        <v>160</v>
      </c>
      <c r="I1810" t="s">
        <v>112</v>
      </c>
      <c r="J1810" t="s">
        <v>114</v>
      </c>
      <c r="K1810" t="s">
        <v>1529</v>
      </c>
      <c r="L1810" t="s">
        <v>1529</v>
      </c>
    </row>
    <row r="1811" spans="1:12" x14ac:dyDescent="0.3">
      <c r="A1811" t="s">
        <v>1475</v>
      </c>
      <c r="B1811" t="s">
        <v>732</v>
      </c>
      <c r="C1811" t="s">
        <v>733</v>
      </c>
      <c r="D1811" t="s">
        <v>322</v>
      </c>
      <c r="E1811" t="s">
        <v>568</v>
      </c>
      <c r="F1811" t="s">
        <v>173</v>
      </c>
      <c r="G1811" t="s">
        <v>111</v>
      </c>
      <c r="H1811" t="s">
        <v>160</v>
      </c>
      <c r="I1811" t="s">
        <v>112</v>
      </c>
      <c r="J1811" t="s">
        <v>114</v>
      </c>
      <c r="K1811" t="s">
        <v>1529</v>
      </c>
      <c r="L1811" t="s">
        <v>1529</v>
      </c>
    </row>
    <row r="1812" spans="1:12" x14ac:dyDescent="0.3">
      <c r="A1812" t="s">
        <v>1475</v>
      </c>
      <c r="B1812" t="s">
        <v>732</v>
      </c>
      <c r="C1812" t="s">
        <v>733</v>
      </c>
      <c r="D1812" t="s">
        <v>258</v>
      </c>
      <c r="E1812" t="s">
        <v>568</v>
      </c>
      <c r="F1812" t="s">
        <v>88</v>
      </c>
      <c r="G1812" t="s">
        <v>111</v>
      </c>
      <c r="H1812" t="s">
        <v>160</v>
      </c>
      <c r="I1812" t="s">
        <v>112</v>
      </c>
      <c r="J1812" t="s">
        <v>114</v>
      </c>
      <c r="K1812" t="s">
        <v>1529</v>
      </c>
      <c r="L1812" t="s">
        <v>1529</v>
      </c>
    </row>
    <row r="1813" spans="1:12" x14ac:dyDescent="0.3">
      <c r="A1813" t="s">
        <v>1475</v>
      </c>
      <c r="B1813" t="s">
        <v>732</v>
      </c>
      <c r="C1813" t="s">
        <v>733</v>
      </c>
      <c r="D1813" t="s">
        <v>259</v>
      </c>
      <c r="E1813" t="s">
        <v>568</v>
      </c>
      <c r="F1813" t="s">
        <v>77</v>
      </c>
      <c r="G1813" t="s">
        <v>111</v>
      </c>
      <c r="H1813" t="s">
        <v>160</v>
      </c>
      <c r="I1813" t="s">
        <v>112</v>
      </c>
      <c r="J1813" t="s">
        <v>114</v>
      </c>
      <c r="K1813" t="s">
        <v>1529</v>
      </c>
      <c r="L1813" t="s">
        <v>1529</v>
      </c>
    </row>
    <row r="1814" spans="1:12" x14ac:dyDescent="0.3">
      <c r="A1814" t="s">
        <v>1475</v>
      </c>
      <c r="B1814" t="s">
        <v>732</v>
      </c>
      <c r="C1814" t="s">
        <v>733</v>
      </c>
      <c r="D1814" t="s">
        <v>323</v>
      </c>
      <c r="E1814" t="s">
        <v>568</v>
      </c>
      <c r="F1814" t="s">
        <v>74</v>
      </c>
      <c r="G1814" t="s">
        <v>111</v>
      </c>
      <c r="H1814" t="s">
        <v>160</v>
      </c>
      <c r="I1814" t="s">
        <v>112</v>
      </c>
      <c r="J1814" t="s">
        <v>114</v>
      </c>
      <c r="K1814" t="s">
        <v>1529</v>
      </c>
      <c r="L1814" t="s">
        <v>1529</v>
      </c>
    </row>
    <row r="1815" spans="1:12" x14ac:dyDescent="0.3">
      <c r="A1815" t="s">
        <v>1475</v>
      </c>
      <c r="B1815" t="s">
        <v>732</v>
      </c>
      <c r="C1815" t="s">
        <v>733</v>
      </c>
      <c r="D1815" t="s">
        <v>324</v>
      </c>
      <c r="E1815" t="s">
        <v>568</v>
      </c>
      <c r="F1815" t="s">
        <v>102</v>
      </c>
      <c r="G1815" t="s">
        <v>111</v>
      </c>
      <c r="H1815" t="s">
        <v>160</v>
      </c>
      <c r="I1815" t="s">
        <v>112</v>
      </c>
      <c r="J1815" t="s">
        <v>114</v>
      </c>
      <c r="K1815" t="s">
        <v>1529</v>
      </c>
      <c r="L1815" t="s">
        <v>1529</v>
      </c>
    </row>
    <row r="1816" spans="1:12" x14ac:dyDescent="0.3">
      <c r="A1816" t="s">
        <v>1475</v>
      </c>
      <c r="B1816" t="s">
        <v>732</v>
      </c>
      <c r="C1816" t="s">
        <v>733</v>
      </c>
      <c r="D1816" t="s">
        <v>260</v>
      </c>
      <c r="E1816" t="s">
        <v>568</v>
      </c>
      <c r="F1816" t="s">
        <v>140</v>
      </c>
      <c r="G1816" t="s">
        <v>111</v>
      </c>
      <c r="H1816" t="s">
        <v>160</v>
      </c>
      <c r="I1816" t="s">
        <v>112</v>
      </c>
      <c r="J1816" t="s">
        <v>114</v>
      </c>
      <c r="K1816" t="s">
        <v>1529</v>
      </c>
      <c r="L1816" t="s">
        <v>1529</v>
      </c>
    </row>
    <row r="1817" spans="1:12" x14ac:dyDescent="0.3">
      <c r="A1817" t="s">
        <v>1475</v>
      </c>
      <c r="B1817" t="s">
        <v>732</v>
      </c>
      <c r="C1817" t="s">
        <v>733</v>
      </c>
      <c r="D1817" t="s">
        <v>261</v>
      </c>
      <c r="E1817" t="s">
        <v>568</v>
      </c>
      <c r="F1817" t="s">
        <v>175</v>
      </c>
      <c r="G1817" t="s">
        <v>111</v>
      </c>
      <c r="H1817" t="s">
        <v>160</v>
      </c>
      <c r="I1817" t="s">
        <v>112</v>
      </c>
      <c r="J1817" t="s">
        <v>114</v>
      </c>
      <c r="K1817" t="s">
        <v>1529</v>
      </c>
      <c r="L1817" t="s">
        <v>1529</v>
      </c>
    </row>
    <row r="1818" spans="1:12" x14ac:dyDescent="0.3">
      <c r="A1818" t="s">
        <v>1475</v>
      </c>
      <c r="B1818" t="s">
        <v>732</v>
      </c>
      <c r="C1818" t="s">
        <v>733</v>
      </c>
      <c r="D1818" t="s">
        <v>325</v>
      </c>
      <c r="E1818" t="s">
        <v>568</v>
      </c>
      <c r="F1818" t="s">
        <v>46</v>
      </c>
      <c r="G1818" t="s">
        <v>111</v>
      </c>
      <c r="H1818" t="s">
        <v>160</v>
      </c>
      <c r="I1818" t="s">
        <v>112</v>
      </c>
      <c r="J1818" t="s">
        <v>114</v>
      </c>
      <c r="K1818" t="s">
        <v>1529</v>
      </c>
      <c r="L1818" t="s">
        <v>1529</v>
      </c>
    </row>
    <row r="1819" spans="1:12" x14ac:dyDescent="0.3">
      <c r="A1819" t="s">
        <v>1475</v>
      </c>
      <c r="B1819" t="s">
        <v>732</v>
      </c>
      <c r="C1819" t="s">
        <v>733</v>
      </c>
      <c r="D1819" t="s">
        <v>262</v>
      </c>
      <c r="E1819" t="s">
        <v>568</v>
      </c>
      <c r="F1819" t="s">
        <v>202</v>
      </c>
      <c r="G1819" t="s">
        <v>111</v>
      </c>
      <c r="H1819" t="s">
        <v>160</v>
      </c>
      <c r="I1819" t="s">
        <v>112</v>
      </c>
      <c r="J1819" t="s">
        <v>114</v>
      </c>
      <c r="K1819" t="s">
        <v>1529</v>
      </c>
      <c r="L1819" t="s">
        <v>1529</v>
      </c>
    </row>
    <row r="1820" spans="1:12" x14ac:dyDescent="0.3">
      <c r="A1820" t="s">
        <v>1475</v>
      </c>
      <c r="B1820" t="s">
        <v>732</v>
      </c>
      <c r="C1820" t="s">
        <v>733</v>
      </c>
      <c r="D1820" t="s">
        <v>263</v>
      </c>
      <c r="E1820" t="s">
        <v>568</v>
      </c>
      <c r="F1820" t="s">
        <v>141</v>
      </c>
      <c r="G1820" t="s">
        <v>111</v>
      </c>
      <c r="H1820" t="s">
        <v>160</v>
      </c>
      <c r="I1820" t="s">
        <v>112</v>
      </c>
      <c r="J1820" t="s">
        <v>114</v>
      </c>
      <c r="K1820" t="s">
        <v>1529</v>
      </c>
      <c r="L1820" t="s">
        <v>1529</v>
      </c>
    </row>
    <row r="1821" spans="1:12" x14ac:dyDescent="0.3">
      <c r="A1821" t="s">
        <v>1475</v>
      </c>
      <c r="B1821" t="s">
        <v>732</v>
      </c>
      <c r="C1821" t="s">
        <v>733</v>
      </c>
      <c r="D1821" t="s">
        <v>265</v>
      </c>
      <c r="E1821" t="s">
        <v>568</v>
      </c>
      <c r="F1821" t="s">
        <v>142</v>
      </c>
      <c r="G1821" t="s">
        <v>111</v>
      </c>
      <c r="H1821" t="s">
        <v>160</v>
      </c>
      <c r="I1821" t="s">
        <v>112</v>
      </c>
      <c r="J1821" t="s">
        <v>114</v>
      </c>
      <c r="K1821" t="s">
        <v>1529</v>
      </c>
      <c r="L1821" t="s">
        <v>1529</v>
      </c>
    </row>
    <row r="1822" spans="1:12" x14ac:dyDescent="0.3">
      <c r="A1822" t="s">
        <v>1475</v>
      </c>
      <c r="B1822" t="s">
        <v>732</v>
      </c>
      <c r="C1822" t="s">
        <v>733</v>
      </c>
      <c r="D1822" t="s">
        <v>266</v>
      </c>
      <c r="E1822" t="s">
        <v>568</v>
      </c>
      <c r="F1822" t="s">
        <v>75</v>
      </c>
      <c r="G1822" t="s">
        <v>111</v>
      </c>
      <c r="H1822" t="s">
        <v>160</v>
      </c>
      <c r="I1822" t="s">
        <v>112</v>
      </c>
      <c r="J1822" t="s">
        <v>114</v>
      </c>
      <c r="K1822" t="s">
        <v>1529</v>
      </c>
      <c r="L1822" t="s">
        <v>1529</v>
      </c>
    </row>
    <row r="1823" spans="1:12" x14ac:dyDescent="0.3">
      <c r="A1823" t="s">
        <v>1475</v>
      </c>
      <c r="B1823" t="s">
        <v>732</v>
      </c>
      <c r="C1823" t="s">
        <v>733</v>
      </c>
      <c r="D1823" t="s">
        <v>267</v>
      </c>
      <c r="E1823" t="s">
        <v>568</v>
      </c>
      <c r="F1823" t="s">
        <v>143</v>
      </c>
      <c r="G1823" t="s">
        <v>111</v>
      </c>
      <c r="H1823" t="s">
        <v>160</v>
      </c>
      <c r="I1823" t="s">
        <v>112</v>
      </c>
      <c r="J1823" t="s">
        <v>114</v>
      </c>
      <c r="K1823" t="s">
        <v>1529</v>
      </c>
      <c r="L1823" t="s">
        <v>1529</v>
      </c>
    </row>
    <row r="1824" spans="1:12" x14ac:dyDescent="0.3">
      <c r="A1824" t="s">
        <v>1475</v>
      </c>
      <c r="B1824" t="s">
        <v>732</v>
      </c>
      <c r="C1824" t="s">
        <v>733</v>
      </c>
      <c r="D1824" t="s">
        <v>326</v>
      </c>
      <c r="E1824" t="s">
        <v>568</v>
      </c>
      <c r="F1824" t="s">
        <v>144</v>
      </c>
      <c r="G1824" t="s">
        <v>111</v>
      </c>
      <c r="H1824" t="s">
        <v>160</v>
      </c>
      <c r="I1824" t="s">
        <v>112</v>
      </c>
      <c r="J1824" t="s">
        <v>114</v>
      </c>
      <c r="K1824" t="s">
        <v>1529</v>
      </c>
      <c r="L1824" t="s">
        <v>1529</v>
      </c>
    </row>
    <row r="1825" spans="1:12" x14ac:dyDescent="0.3">
      <c r="A1825" t="s">
        <v>1475</v>
      </c>
      <c r="B1825" t="s">
        <v>732</v>
      </c>
      <c r="C1825" t="s">
        <v>733</v>
      </c>
      <c r="D1825" t="s">
        <v>269</v>
      </c>
      <c r="E1825" t="s">
        <v>568</v>
      </c>
      <c r="F1825" t="s">
        <v>145</v>
      </c>
      <c r="G1825" t="s">
        <v>111</v>
      </c>
      <c r="H1825" t="s">
        <v>160</v>
      </c>
      <c r="I1825" t="s">
        <v>112</v>
      </c>
      <c r="J1825" t="s">
        <v>114</v>
      </c>
      <c r="K1825" t="s">
        <v>1529</v>
      </c>
      <c r="L1825" t="s">
        <v>1529</v>
      </c>
    </row>
    <row r="1826" spans="1:12" x14ac:dyDescent="0.3">
      <c r="A1826" t="s">
        <v>1475</v>
      </c>
      <c r="B1826" t="s">
        <v>732</v>
      </c>
      <c r="C1826" t="s">
        <v>733</v>
      </c>
      <c r="D1826" t="s">
        <v>270</v>
      </c>
      <c r="E1826" t="s">
        <v>568</v>
      </c>
      <c r="F1826" t="s">
        <v>81</v>
      </c>
      <c r="G1826" t="s">
        <v>111</v>
      </c>
      <c r="H1826" t="s">
        <v>160</v>
      </c>
      <c r="I1826" t="s">
        <v>112</v>
      </c>
      <c r="J1826" t="s">
        <v>114</v>
      </c>
      <c r="K1826" t="s">
        <v>1529</v>
      </c>
      <c r="L1826" t="s">
        <v>1529</v>
      </c>
    </row>
    <row r="1827" spans="1:12" x14ac:dyDescent="0.3">
      <c r="A1827" t="s">
        <v>1475</v>
      </c>
      <c r="B1827" t="s">
        <v>732</v>
      </c>
      <c r="C1827" t="s">
        <v>733</v>
      </c>
      <c r="D1827" t="s">
        <v>271</v>
      </c>
      <c r="E1827" t="s">
        <v>567</v>
      </c>
      <c r="F1827" t="s">
        <v>76</v>
      </c>
      <c r="G1827" t="s">
        <v>111</v>
      </c>
      <c r="H1827" t="s">
        <v>160</v>
      </c>
      <c r="I1827" t="s">
        <v>112</v>
      </c>
      <c r="J1827" t="s">
        <v>114</v>
      </c>
      <c r="K1827" t="s">
        <v>1529</v>
      </c>
      <c r="L1827" t="s">
        <v>1529</v>
      </c>
    </row>
    <row r="1828" spans="1:12" x14ac:dyDescent="0.3">
      <c r="A1828" t="s">
        <v>1475</v>
      </c>
      <c r="B1828" t="s">
        <v>732</v>
      </c>
      <c r="C1828" t="s">
        <v>733</v>
      </c>
      <c r="D1828" t="s">
        <v>272</v>
      </c>
      <c r="E1828" t="s">
        <v>567</v>
      </c>
      <c r="F1828" t="s">
        <v>52</v>
      </c>
      <c r="G1828" t="s">
        <v>111</v>
      </c>
      <c r="H1828" t="s">
        <v>160</v>
      </c>
      <c r="I1828" t="s">
        <v>112</v>
      </c>
      <c r="J1828" t="s">
        <v>114</v>
      </c>
      <c r="K1828" t="s">
        <v>1529</v>
      </c>
      <c r="L1828" t="s">
        <v>1529</v>
      </c>
    </row>
    <row r="1829" spans="1:12" x14ac:dyDescent="0.3">
      <c r="A1829" t="s">
        <v>1475</v>
      </c>
      <c r="B1829" t="s">
        <v>732</v>
      </c>
      <c r="C1829" t="s">
        <v>733</v>
      </c>
      <c r="D1829" t="s">
        <v>327</v>
      </c>
      <c r="E1829" t="s">
        <v>567</v>
      </c>
      <c r="F1829" t="s">
        <v>104</v>
      </c>
      <c r="G1829" t="s">
        <v>111</v>
      </c>
      <c r="H1829" t="s">
        <v>160</v>
      </c>
      <c r="I1829" t="s">
        <v>112</v>
      </c>
      <c r="J1829" t="s">
        <v>114</v>
      </c>
      <c r="K1829" t="s">
        <v>1529</v>
      </c>
      <c r="L1829" t="s">
        <v>1529</v>
      </c>
    </row>
    <row r="1830" spans="1:12" x14ac:dyDescent="0.3">
      <c r="A1830" t="s">
        <v>1475</v>
      </c>
      <c r="B1830" t="s">
        <v>732</v>
      </c>
      <c r="C1830" t="s">
        <v>733</v>
      </c>
      <c r="D1830" t="s">
        <v>273</v>
      </c>
      <c r="E1830" t="s">
        <v>567</v>
      </c>
      <c r="F1830" t="s">
        <v>176</v>
      </c>
      <c r="G1830" t="s">
        <v>111</v>
      </c>
      <c r="H1830" t="s">
        <v>160</v>
      </c>
      <c r="I1830" t="s">
        <v>112</v>
      </c>
      <c r="J1830" t="s">
        <v>114</v>
      </c>
      <c r="K1830" t="s">
        <v>1529</v>
      </c>
      <c r="L1830" t="s">
        <v>1529</v>
      </c>
    </row>
    <row r="1831" spans="1:12" x14ac:dyDescent="0.3">
      <c r="A1831" t="s">
        <v>1475</v>
      </c>
      <c r="B1831" t="s">
        <v>732</v>
      </c>
      <c r="C1831" t="s">
        <v>733</v>
      </c>
      <c r="D1831" t="s">
        <v>274</v>
      </c>
      <c r="E1831" t="s">
        <v>567</v>
      </c>
      <c r="F1831" t="s">
        <v>146</v>
      </c>
      <c r="G1831" t="s">
        <v>111</v>
      </c>
      <c r="H1831" t="s">
        <v>160</v>
      </c>
      <c r="I1831" t="s">
        <v>112</v>
      </c>
      <c r="J1831" t="s">
        <v>114</v>
      </c>
      <c r="K1831" t="s">
        <v>1529</v>
      </c>
      <c r="L1831" t="s">
        <v>1529</v>
      </c>
    </row>
    <row r="1832" spans="1:12" x14ac:dyDescent="0.3">
      <c r="A1832" t="s">
        <v>1475</v>
      </c>
      <c r="B1832" t="s">
        <v>732</v>
      </c>
      <c r="C1832" t="s">
        <v>733</v>
      </c>
      <c r="D1832" t="s">
        <v>275</v>
      </c>
      <c r="E1832" t="s">
        <v>567</v>
      </c>
      <c r="F1832" t="s">
        <v>148</v>
      </c>
      <c r="G1832" t="s">
        <v>111</v>
      </c>
      <c r="H1832" t="s">
        <v>160</v>
      </c>
      <c r="I1832" t="s">
        <v>112</v>
      </c>
      <c r="J1832" t="s">
        <v>114</v>
      </c>
      <c r="K1832" t="s">
        <v>1529</v>
      </c>
      <c r="L1832" t="s">
        <v>1529</v>
      </c>
    </row>
    <row r="1833" spans="1:12" x14ac:dyDescent="0.3">
      <c r="A1833" t="s">
        <v>1475</v>
      </c>
      <c r="B1833" t="s">
        <v>732</v>
      </c>
      <c r="C1833" t="s">
        <v>733</v>
      </c>
      <c r="D1833" t="s">
        <v>276</v>
      </c>
      <c r="E1833" t="s">
        <v>567</v>
      </c>
      <c r="F1833" t="s">
        <v>149</v>
      </c>
      <c r="G1833" t="s">
        <v>111</v>
      </c>
      <c r="H1833" t="s">
        <v>160</v>
      </c>
      <c r="I1833" t="s">
        <v>112</v>
      </c>
      <c r="J1833" t="s">
        <v>114</v>
      </c>
      <c r="K1833" t="s">
        <v>1529</v>
      </c>
      <c r="L1833" t="s">
        <v>1529</v>
      </c>
    </row>
    <row r="1834" spans="1:12" x14ac:dyDescent="0.3">
      <c r="A1834" t="s">
        <v>1475</v>
      </c>
      <c r="B1834" t="s">
        <v>732</v>
      </c>
      <c r="C1834" t="s">
        <v>733</v>
      </c>
      <c r="D1834" t="s">
        <v>277</v>
      </c>
      <c r="E1834" t="s">
        <v>567</v>
      </c>
      <c r="F1834" t="s">
        <v>83</v>
      </c>
      <c r="G1834" t="s">
        <v>111</v>
      </c>
      <c r="H1834" t="s">
        <v>160</v>
      </c>
      <c r="I1834" t="s">
        <v>112</v>
      </c>
      <c r="J1834" t="s">
        <v>114</v>
      </c>
      <c r="K1834" t="s">
        <v>1529</v>
      </c>
      <c r="L1834" t="s">
        <v>1529</v>
      </c>
    </row>
    <row r="1835" spans="1:12" x14ac:dyDescent="0.3">
      <c r="A1835" t="s">
        <v>1475</v>
      </c>
      <c r="B1835" t="s">
        <v>732</v>
      </c>
      <c r="C1835" t="s">
        <v>733</v>
      </c>
      <c r="D1835" t="s">
        <v>278</v>
      </c>
      <c r="E1835" t="s">
        <v>567</v>
      </c>
      <c r="F1835" t="s">
        <v>203</v>
      </c>
      <c r="G1835" t="s">
        <v>111</v>
      </c>
      <c r="H1835" t="s">
        <v>160</v>
      </c>
      <c r="I1835" t="s">
        <v>112</v>
      </c>
      <c r="J1835" t="s">
        <v>114</v>
      </c>
      <c r="K1835" t="s">
        <v>1529</v>
      </c>
      <c r="L1835" t="s">
        <v>1529</v>
      </c>
    </row>
    <row r="1836" spans="1:12" x14ac:dyDescent="0.3">
      <c r="A1836" t="s">
        <v>1475</v>
      </c>
      <c r="B1836" t="s">
        <v>732</v>
      </c>
      <c r="C1836" t="s">
        <v>733</v>
      </c>
      <c r="D1836" t="s">
        <v>279</v>
      </c>
      <c r="E1836" t="s">
        <v>567</v>
      </c>
      <c r="F1836" t="s">
        <v>150</v>
      </c>
      <c r="G1836" t="s">
        <v>111</v>
      </c>
      <c r="H1836" t="s">
        <v>160</v>
      </c>
      <c r="I1836" t="s">
        <v>112</v>
      </c>
      <c r="J1836" t="s">
        <v>114</v>
      </c>
      <c r="K1836" t="s">
        <v>1529</v>
      </c>
      <c r="L1836" t="s">
        <v>1529</v>
      </c>
    </row>
    <row r="1837" spans="1:12" x14ac:dyDescent="0.3">
      <c r="A1837" t="s">
        <v>1475</v>
      </c>
      <c r="B1837" t="s">
        <v>732</v>
      </c>
      <c r="C1837" t="s">
        <v>733</v>
      </c>
      <c r="D1837" t="s">
        <v>329</v>
      </c>
      <c r="E1837" t="s">
        <v>567</v>
      </c>
      <c r="F1837" t="s">
        <v>92</v>
      </c>
      <c r="G1837" t="s">
        <v>111</v>
      </c>
      <c r="H1837" t="s">
        <v>160</v>
      </c>
      <c r="I1837" t="s">
        <v>112</v>
      </c>
      <c r="J1837" t="s">
        <v>114</v>
      </c>
      <c r="K1837" t="s">
        <v>1529</v>
      </c>
      <c r="L1837" t="s">
        <v>1529</v>
      </c>
    </row>
    <row r="1838" spans="1:12" x14ac:dyDescent="0.3">
      <c r="A1838" t="s">
        <v>1475</v>
      </c>
      <c r="B1838" t="s">
        <v>732</v>
      </c>
      <c r="C1838" t="s">
        <v>733</v>
      </c>
      <c r="D1838" t="s">
        <v>283</v>
      </c>
      <c r="E1838" t="s">
        <v>567</v>
      </c>
      <c r="F1838" t="s">
        <v>63</v>
      </c>
      <c r="G1838" t="s">
        <v>111</v>
      </c>
      <c r="H1838" t="s">
        <v>160</v>
      </c>
      <c r="I1838" t="s">
        <v>112</v>
      </c>
      <c r="J1838" t="s">
        <v>114</v>
      </c>
      <c r="K1838" t="s">
        <v>1529</v>
      </c>
      <c r="L1838" t="s">
        <v>1529</v>
      </c>
    </row>
    <row r="1839" spans="1:12" x14ac:dyDescent="0.3">
      <c r="A1839" t="s">
        <v>1475</v>
      </c>
      <c r="B1839" t="s">
        <v>732</v>
      </c>
      <c r="C1839" t="s">
        <v>733</v>
      </c>
      <c r="D1839" t="s">
        <v>284</v>
      </c>
      <c r="E1839" t="s">
        <v>567</v>
      </c>
      <c r="F1839" t="s">
        <v>151</v>
      </c>
      <c r="G1839" t="s">
        <v>111</v>
      </c>
      <c r="H1839" t="s">
        <v>160</v>
      </c>
      <c r="I1839" t="s">
        <v>112</v>
      </c>
      <c r="J1839" t="s">
        <v>114</v>
      </c>
      <c r="K1839" t="s">
        <v>1529</v>
      </c>
      <c r="L1839" t="s">
        <v>1529</v>
      </c>
    </row>
    <row r="1840" spans="1:12" x14ac:dyDescent="0.3">
      <c r="A1840" t="s">
        <v>1475</v>
      </c>
      <c r="B1840" t="s">
        <v>732</v>
      </c>
      <c r="C1840" t="s">
        <v>733</v>
      </c>
      <c r="D1840" t="s">
        <v>285</v>
      </c>
      <c r="E1840" t="s">
        <v>567</v>
      </c>
      <c r="F1840" t="s">
        <v>195</v>
      </c>
      <c r="G1840" t="s">
        <v>111</v>
      </c>
      <c r="H1840" t="s">
        <v>160</v>
      </c>
      <c r="I1840" t="s">
        <v>112</v>
      </c>
      <c r="J1840" t="s">
        <v>114</v>
      </c>
      <c r="K1840" t="s">
        <v>1529</v>
      </c>
      <c r="L1840" t="s">
        <v>1529</v>
      </c>
    </row>
    <row r="1841" spans="1:12" x14ac:dyDescent="0.3">
      <c r="A1841" t="s">
        <v>1475</v>
      </c>
      <c r="B1841" t="s">
        <v>732</v>
      </c>
      <c r="C1841" t="s">
        <v>733</v>
      </c>
      <c r="D1841" t="s">
        <v>330</v>
      </c>
      <c r="E1841" t="s">
        <v>567</v>
      </c>
      <c r="F1841" t="s">
        <v>177</v>
      </c>
      <c r="G1841" t="s">
        <v>111</v>
      </c>
      <c r="H1841" t="s">
        <v>160</v>
      </c>
      <c r="I1841" t="s">
        <v>112</v>
      </c>
      <c r="J1841" t="s">
        <v>114</v>
      </c>
      <c r="K1841" t="s">
        <v>1529</v>
      </c>
      <c r="L1841" t="s">
        <v>1529</v>
      </c>
    </row>
    <row r="1842" spans="1:12" x14ac:dyDescent="0.3">
      <c r="A1842" t="s">
        <v>1475</v>
      </c>
      <c r="B1842" t="s">
        <v>732</v>
      </c>
      <c r="C1842" t="s">
        <v>733</v>
      </c>
      <c r="D1842" t="s">
        <v>288</v>
      </c>
      <c r="E1842" t="s">
        <v>567</v>
      </c>
      <c r="F1842" t="s">
        <v>178</v>
      </c>
      <c r="G1842" t="s">
        <v>111</v>
      </c>
      <c r="H1842" t="s">
        <v>160</v>
      </c>
      <c r="I1842" t="s">
        <v>112</v>
      </c>
      <c r="J1842" t="s">
        <v>114</v>
      </c>
      <c r="K1842" t="s">
        <v>1529</v>
      </c>
      <c r="L1842" t="s">
        <v>1529</v>
      </c>
    </row>
    <row r="1843" spans="1:12" x14ac:dyDescent="0.3">
      <c r="A1843" t="s">
        <v>1475</v>
      </c>
      <c r="B1843" t="s">
        <v>732</v>
      </c>
      <c r="C1843" t="s">
        <v>733</v>
      </c>
      <c r="D1843" t="s">
        <v>290</v>
      </c>
      <c r="E1843" t="s">
        <v>567</v>
      </c>
      <c r="F1843" t="s">
        <v>153</v>
      </c>
      <c r="G1843" t="s">
        <v>111</v>
      </c>
      <c r="H1843" t="s">
        <v>160</v>
      </c>
      <c r="I1843" t="s">
        <v>112</v>
      </c>
      <c r="J1843" t="s">
        <v>114</v>
      </c>
      <c r="K1843" t="s">
        <v>1529</v>
      </c>
      <c r="L1843" t="s">
        <v>1529</v>
      </c>
    </row>
    <row r="1844" spans="1:12" x14ac:dyDescent="0.3">
      <c r="A1844" t="s">
        <v>1475</v>
      </c>
      <c r="B1844" t="s">
        <v>732</v>
      </c>
      <c r="C1844" t="s">
        <v>733</v>
      </c>
      <c r="D1844" t="s">
        <v>291</v>
      </c>
      <c r="E1844" t="s">
        <v>567</v>
      </c>
      <c r="F1844" t="s">
        <v>154</v>
      </c>
      <c r="G1844" t="s">
        <v>111</v>
      </c>
      <c r="H1844" t="s">
        <v>160</v>
      </c>
      <c r="I1844" t="s">
        <v>112</v>
      </c>
      <c r="J1844" t="s">
        <v>114</v>
      </c>
      <c r="K1844" t="s">
        <v>1529</v>
      </c>
      <c r="L1844" t="s">
        <v>1529</v>
      </c>
    </row>
    <row r="1845" spans="1:12" x14ac:dyDescent="0.3">
      <c r="A1845" t="s">
        <v>1475</v>
      </c>
      <c r="B1845" t="s">
        <v>732</v>
      </c>
      <c r="C1845" t="s">
        <v>733</v>
      </c>
      <c r="D1845" t="s">
        <v>292</v>
      </c>
      <c r="E1845" t="s">
        <v>567</v>
      </c>
      <c r="F1845" t="s">
        <v>55</v>
      </c>
      <c r="G1845" t="s">
        <v>111</v>
      </c>
      <c r="H1845" t="s">
        <v>160</v>
      </c>
      <c r="I1845" t="s">
        <v>112</v>
      </c>
      <c r="J1845" t="s">
        <v>114</v>
      </c>
      <c r="K1845" t="s">
        <v>1529</v>
      </c>
      <c r="L1845" t="s">
        <v>1529</v>
      </c>
    </row>
    <row r="1846" spans="1:12" x14ac:dyDescent="0.3">
      <c r="A1846" t="s">
        <v>1475</v>
      </c>
      <c r="B1846" t="s">
        <v>732</v>
      </c>
      <c r="C1846" t="s">
        <v>733</v>
      </c>
      <c r="D1846" t="s">
        <v>333</v>
      </c>
      <c r="E1846" t="s">
        <v>567</v>
      </c>
      <c r="F1846" t="s">
        <v>197</v>
      </c>
      <c r="G1846" t="s">
        <v>111</v>
      </c>
      <c r="H1846" t="s">
        <v>160</v>
      </c>
      <c r="I1846" t="s">
        <v>112</v>
      </c>
      <c r="J1846" t="s">
        <v>114</v>
      </c>
      <c r="K1846" t="s">
        <v>1529</v>
      </c>
      <c r="L1846" t="s">
        <v>1529</v>
      </c>
    </row>
    <row r="1847" spans="1:12" x14ac:dyDescent="0.3">
      <c r="A1847" t="s">
        <v>1475</v>
      </c>
      <c r="B1847" t="s">
        <v>732</v>
      </c>
      <c r="C1847" t="s">
        <v>733</v>
      </c>
      <c r="D1847" t="s">
        <v>293</v>
      </c>
      <c r="E1847" t="s">
        <v>567</v>
      </c>
      <c r="F1847" t="s">
        <v>72</v>
      </c>
      <c r="G1847" t="s">
        <v>111</v>
      </c>
      <c r="H1847" t="s">
        <v>160</v>
      </c>
      <c r="I1847" t="s">
        <v>112</v>
      </c>
      <c r="J1847" t="s">
        <v>114</v>
      </c>
      <c r="K1847" t="s">
        <v>1529</v>
      </c>
      <c r="L1847" t="s">
        <v>1529</v>
      </c>
    </row>
    <row r="1848" spans="1:12" x14ac:dyDescent="0.3">
      <c r="A1848" t="s">
        <v>1475</v>
      </c>
      <c r="B1848" t="s">
        <v>732</v>
      </c>
      <c r="C1848" t="s">
        <v>733</v>
      </c>
      <c r="D1848" t="s">
        <v>294</v>
      </c>
      <c r="E1848" t="s">
        <v>567</v>
      </c>
      <c r="F1848" t="s">
        <v>156</v>
      </c>
      <c r="G1848" t="s">
        <v>111</v>
      </c>
      <c r="H1848" t="s">
        <v>160</v>
      </c>
      <c r="I1848" t="s">
        <v>112</v>
      </c>
      <c r="J1848" t="s">
        <v>114</v>
      </c>
      <c r="K1848" t="s">
        <v>1529</v>
      </c>
      <c r="L1848" t="s">
        <v>1529</v>
      </c>
    </row>
    <row r="1849" spans="1:12" x14ac:dyDescent="0.3">
      <c r="A1849" t="s">
        <v>1475</v>
      </c>
      <c r="B1849" t="s">
        <v>732</v>
      </c>
      <c r="C1849" t="s">
        <v>733</v>
      </c>
      <c r="D1849" t="s">
        <v>295</v>
      </c>
      <c r="E1849" t="s">
        <v>567</v>
      </c>
      <c r="F1849" t="s">
        <v>103</v>
      </c>
      <c r="G1849" t="s">
        <v>111</v>
      </c>
      <c r="H1849" t="s">
        <v>160</v>
      </c>
      <c r="I1849" t="s">
        <v>112</v>
      </c>
      <c r="J1849" t="s">
        <v>114</v>
      </c>
      <c r="K1849" t="s">
        <v>1529</v>
      </c>
      <c r="L1849" t="s">
        <v>1529</v>
      </c>
    </row>
    <row r="1850" spans="1:12" x14ac:dyDescent="0.3">
      <c r="A1850" t="s">
        <v>1475</v>
      </c>
      <c r="B1850" t="s">
        <v>732</v>
      </c>
      <c r="C1850" t="s">
        <v>733</v>
      </c>
      <c r="D1850" t="s">
        <v>206</v>
      </c>
      <c r="E1850" t="s">
        <v>567</v>
      </c>
      <c r="F1850" t="s">
        <v>105</v>
      </c>
      <c r="G1850" t="s">
        <v>111</v>
      </c>
      <c r="H1850" t="s">
        <v>160</v>
      </c>
      <c r="I1850" t="s">
        <v>112</v>
      </c>
      <c r="J1850" t="s">
        <v>114</v>
      </c>
      <c r="K1850" t="s">
        <v>1529</v>
      </c>
      <c r="L1850" t="s">
        <v>1529</v>
      </c>
    </row>
    <row r="1851" spans="1:12" x14ac:dyDescent="0.3">
      <c r="A1851" t="s">
        <v>1475</v>
      </c>
      <c r="B1851" t="s">
        <v>732</v>
      </c>
      <c r="C1851" t="s">
        <v>733</v>
      </c>
      <c r="D1851" t="s">
        <v>298</v>
      </c>
      <c r="E1851" t="s">
        <v>567</v>
      </c>
      <c r="F1851" t="s">
        <v>158</v>
      </c>
      <c r="G1851" t="s">
        <v>111</v>
      </c>
      <c r="H1851" t="s">
        <v>160</v>
      </c>
      <c r="I1851" t="s">
        <v>112</v>
      </c>
      <c r="J1851" t="s">
        <v>114</v>
      </c>
      <c r="K1851" t="s">
        <v>1529</v>
      </c>
      <c r="L1851" t="s">
        <v>1529</v>
      </c>
    </row>
    <row r="1852" spans="1:12" x14ac:dyDescent="0.3">
      <c r="A1852" t="s">
        <v>1475</v>
      </c>
      <c r="B1852" t="s">
        <v>732</v>
      </c>
      <c r="C1852" t="s">
        <v>733</v>
      </c>
      <c r="D1852" t="s">
        <v>335</v>
      </c>
      <c r="E1852" t="s">
        <v>567</v>
      </c>
      <c r="F1852" t="s">
        <v>199</v>
      </c>
      <c r="G1852" t="s">
        <v>111</v>
      </c>
      <c r="H1852" t="s">
        <v>160</v>
      </c>
      <c r="I1852" t="s">
        <v>112</v>
      </c>
      <c r="J1852" t="s">
        <v>114</v>
      </c>
      <c r="K1852" t="s">
        <v>1529</v>
      </c>
      <c r="L1852" t="s">
        <v>1529</v>
      </c>
    </row>
    <row r="1853" spans="1:12" x14ac:dyDescent="0.3">
      <c r="A1853" t="s">
        <v>1475</v>
      </c>
      <c r="B1853" t="s">
        <v>732</v>
      </c>
      <c r="C1853" t="s">
        <v>733</v>
      </c>
      <c r="D1853" t="s">
        <v>336</v>
      </c>
      <c r="E1853" t="s">
        <v>567</v>
      </c>
      <c r="F1853" t="s">
        <v>159</v>
      </c>
      <c r="G1853" t="s">
        <v>111</v>
      </c>
      <c r="H1853" t="s">
        <v>160</v>
      </c>
      <c r="I1853" t="s">
        <v>112</v>
      </c>
      <c r="J1853" t="s">
        <v>114</v>
      </c>
      <c r="K1853" t="s">
        <v>1529</v>
      </c>
      <c r="L1853" t="s">
        <v>1529</v>
      </c>
    </row>
    <row r="1854" spans="1:12" x14ac:dyDescent="0.3">
      <c r="A1854" t="s">
        <v>1475</v>
      </c>
      <c r="B1854" t="s">
        <v>732</v>
      </c>
      <c r="C1854" t="s">
        <v>733</v>
      </c>
      <c r="D1854" t="s">
        <v>299</v>
      </c>
      <c r="E1854" t="s">
        <v>567</v>
      </c>
      <c r="F1854" t="s">
        <v>47</v>
      </c>
      <c r="G1854" t="s">
        <v>111</v>
      </c>
      <c r="H1854" t="s">
        <v>160</v>
      </c>
      <c r="I1854" t="s">
        <v>112</v>
      </c>
      <c r="J1854" t="s">
        <v>114</v>
      </c>
      <c r="K1854" t="s">
        <v>1529</v>
      </c>
      <c r="L1854" t="s">
        <v>1529</v>
      </c>
    </row>
    <row r="1855" spans="1:12" x14ac:dyDescent="0.3">
      <c r="A1855" t="s">
        <v>1475</v>
      </c>
      <c r="B1855" t="s">
        <v>732</v>
      </c>
      <c r="C1855" t="s">
        <v>733</v>
      </c>
      <c r="D1855" t="s">
        <v>300</v>
      </c>
      <c r="E1855" t="s">
        <v>567</v>
      </c>
      <c r="F1855" t="s">
        <v>181</v>
      </c>
      <c r="G1855" t="s">
        <v>111</v>
      </c>
      <c r="H1855" t="s">
        <v>160</v>
      </c>
      <c r="I1855" t="s">
        <v>112</v>
      </c>
      <c r="J1855" t="s">
        <v>114</v>
      </c>
      <c r="K1855" t="s">
        <v>1529</v>
      </c>
      <c r="L1855" t="s">
        <v>1529</v>
      </c>
    </row>
    <row r="1856" spans="1:12" x14ac:dyDescent="0.3">
      <c r="A1856" t="s">
        <v>1475</v>
      </c>
      <c r="B1856" t="s">
        <v>732</v>
      </c>
      <c r="C1856" t="s">
        <v>733</v>
      </c>
      <c r="D1856" t="s">
        <v>301</v>
      </c>
      <c r="E1856" t="s">
        <v>567</v>
      </c>
      <c r="F1856" t="s">
        <v>73</v>
      </c>
      <c r="G1856" t="s">
        <v>111</v>
      </c>
      <c r="H1856" t="s">
        <v>160</v>
      </c>
      <c r="I1856" t="s">
        <v>112</v>
      </c>
      <c r="J1856" t="s">
        <v>114</v>
      </c>
      <c r="K1856" t="s">
        <v>1529</v>
      </c>
      <c r="L1856" t="s">
        <v>1529</v>
      </c>
    </row>
    <row r="1857" spans="1:12" x14ac:dyDescent="0.3">
      <c r="A1857" t="s">
        <v>1475</v>
      </c>
      <c r="B1857" t="s">
        <v>732</v>
      </c>
      <c r="C1857" t="s">
        <v>733</v>
      </c>
      <c r="D1857" t="s">
        <v>302</v>
      </c>
      <c r="E1857" t="s">
        <v>567</v>
      </c>
      <c r="F1857" t="s">
        <v>162</v>
      </c>
      <c r="G1857" t="s">
        <v>111</v>
      </c>
      <c r="H1857" t="s">
        <v>160</v>
      </c>
      <c r="I1857" t="s">
        <v>112</v>
      </c>
      <c r="J1857" t="s">
        <v>114</v>
      </c>
      <c r="K1857" t="s">
        <v>1529</v>
      </c>
      <c r="L1857" t="s">
        <v>1529</v>
      </c>
    </row>
    <row r="1858" spans="1:12" x14ac:dyDescent="0.3">
      <c r="A1858" t="s">
        <v>1475</v>
      </c>
      <c r="B1858" t="s">
        <v>732</v>
      </c>
      <c r="C1858" t="s">
        <v>733</v>
      </c>
      <c r="D1858" t="s">
        <v>685</v>
      </c>
      <c r="E1858" t="s">
        <v>567</v>
      </c>
      <c r="F1858" t="s">
        <v>198</v>
      </c>
      <c r="G1858" t="s">
        <v>421</v>
      </c>
      <c r="H1858" t="s">
        <v>1531</v>
      </c>
      <c r="I1858">
        <v>51488</v>
      </c>
      <c r="J1858">
        <v>55</v>
      </c>
      <c r="L1858" t="s">
        <v>1532</v>
      </c>
    </row>
    <row r="1859" spans="1:12" x14ac:dyDescent="0.3">
      <c r="A1859" t="s">
        <v>1475</v>
      </c>
      <c r="B1859" t="s">
        <v>732</v>
      </c>
      <c r="C1859" t="s">
        <v>733</v>
      </c>
      <c r="D1859" t="s">
        <v>686</v>
      </c>
      <c r="E1859" t="s">
        <v>567</v>
      </c>
      <c r="F1859" t="s">
        <v>198</v>
      </c>
      <c r="G1859" t="s">
        <v>421</v>
      </c>
      <c r="H1859" t="s">
        <v>1533</v>
      </c>
      <c r="I1859">
        <v>32520</v>
      </c>
      <c r="J1859">
        <v>248</v>
      </c>
      <c r="L1859" t="s">
        <v>1534</v>
      </c>
    </row>
    <row r="1860" spans="1:12" x14ac:dyDescent="0.3">
      <c r="A1860" t="s">
        <v>748</v>
      </c>
      <c r="B1860" t="s">
        <v>749</v>
      </c>
      <c r="C1860" t="s">
        <v>750</v>
      </c>
      <c r="D1860" t="s">
        <v>303</v>
      </c>
      <c r="E1860" t="s">
        <v>569</v>
      </c>
      <c r="F1860" t="s">
        <v>49</v>
      </c>
      <c r="G1860" t="s">
        <v>111</v>
      </c>
      <c r="H1860" t="s">
        <v>703</v>
      </c>
      <c r="I1860" t="s">
        <v>112</v>
      </c>
      <c r="J1860" t="s">
        <v>702</v>
      </c>
      <c r="K1860" t="s">
        <v>1535</v>
      </c>
      <c r="L1860" t="s">
        <v>1535</v>
      </c>
    </row>
    <row r="1861" spans="1:12" x14ac:dyDescent="0.3">
      <c r="A1861" t="s">
        <v>748</v>
      </c>
      <c r="B1861" t="s">
        <v>749</v>
      </c>
      <c r="C1861" t="s">
        <v>750</v>
      </c>
      <c r="D1861" t="s">
        <v>304</v>
      </c>
      <c r="E1861" t="s">
        <v>569</v>
      </c>
      <c r="F1861" t="s">
        <v>117</v>
      </c>
      <c r="G1861" t="s">
        <v>111</v>
      </c>
      <c r="H1861" t="s">
        <v>703</v>
      </c>
      <c r="I1861" t="s">
        <v>112</v>
      </c>
      <c r="J1861" t="s">
        <v>702</v>
      </c>
      <c r="K1861" t="s">
        <v>1536</v>
      </c>
      <c r="L1861" t="s">
        <v>1536</v>
      </c>
    </row>
    <row r="1862" spans="1:12" x14ac:dyDescent="0.3">
      <c r="A1862" t="s">
        <v>748</v>
      </c>
      <c r="B1862" t="s">
        <v>749</v>
      </c>
      <c r="C1862" t="s">
        <v>750</v>
      </c>
      <c r="D1862" t="s">
        <v>305</v>
      </c>
      <c r="E1862" t="s">
        <v>569</v>
      </c>
      <c r="F1862" t="s">
        <v>120</v>
      </c>
      <c r="G1862" t="s">
        <v>111</v>
      </c>
      <c r="H1862" t="s">
        <v>182</v>
      </c>
      <c r="I1862" t="s">
        <v>112</v>
      </c>
      <c r="J1862" t="s">
        <v>183</v>
      </c>
      <c r="K1862" t="s">
        <v>1537</v>
      </c>
      <c r="L1862" t="s">
        <v>1537</v>
      </c>
    </row>
    <row r="1863" spans="1:12" x14ac:dyDescent="0.3">
      <c r="A1863" t="s">
        <v>748</v>
      </c>
      <c r="B1863" t="s">
        <v>749</v>
      </c>
      <c r="C1863" t="s">
        <v>750</v>
      </c>
      <c r="D1863" t="s">
        <v>212</v>
      </c>
      <c r="E1863" t="s">
        <v>569</v>
      </c>
      <c r="F1863" t="s">
        <v>164</v>
      </c>
      <c r="G1863" t="s">
        <v>111</v>
      </c>
      <c r="H1863" t="s">
        <v>703</v>
      </c>
      <c r="I1863" t="s">
        <v>112</v>
      </c>
      <c r="J1863" t="s">
        <v>702</v>
      </c>
      <c r="K1863" t="s">
        <v>1538</v>
      </c>
      <c r="L1863" t="s">
        <v>1538</v>
      </c>
    </row>
    <row r="1864" spans="1:12" x14ac:dyDescent="0.3">
      <c r="A1864" t="s">
        <v>748</v>
      </c>
      <c r="B1864" t="s">
        <v>749</v>
      </c>
      <c r="C1864" t="s">
        <v>750</v>
      </c>
      <c r="D1864" t="s">
        <v>213</v>
      </c>
      <c r="E1864" t="s">
        <v>569</v>
      </c>
      <c r="F1864" t="s">
        <v>53</v>
      </c>
      <c r="G1864" t="s">
        <v>111</v>
      </c>
      <c r="H1864" t="s">
        <v>1539</v>
      </c>
      <c r="I1864" t="s">
        <v>112</v>
      </c>
      <c r="J1864" t="s">
        <v>704</v>
      </c>
    </row>
    <row r="1865" spans="1:12" x14ac:dyDescent="0.3">
      <c r="A1865" t="s">
        <v>748</v>
      </c>
      <c r="B1865" t="s">
        <v>749</v>
      </c>
      <c r="C1865" t="s">
        <v>750</v>
      </c>
      <c r="D1865" t="s">
        <v>214</v>
      </c>
      <c r="E1865" t="s">
        <v>569</v>
      </c>
      <c r="F1865" t="s">
        <v>56</v>
      </c>
      <c r="G1865" t="s">
        <v>111</v>
      </c>
      <c r="H1865" t="s">
        <v>703</v>
      </c>
      <c r="I1865" t="s">
        <v>112</v>
      </c>
      <c r="J1865" t="s">
        <v>702</v>
      </c>
      <c r="K1865" t="s">
        <v>1540</v>
      </c>
      <c r="L1865" t="s">
        <v>1540</v>
      </c>
    </row>
    <row r="1866" spans="1:12" x14ac:dyDescent="0.3">
      <c r="A1866" t="s">
        <v>748</v>
      </c>
      <c r="B1866" t="s">
        <v>749</v>
      </c>
      <c r="C1866" t="s">
        <v>750</v>
      </c>
      <c r="D1866" t="s">
        <v>215</v>
      </c>
      <c r="E1866" t="s">
        <v>569</v>
      </c>
      <c r="F1866" t="s">
        <v>69</v>
      </c>
      <c r="G1866" t="s">
        <v>111</v>
      </c>
      <c r="H1866" t="s">
        <v>703</v>
      </c>
      <c r="I1866" t="s">
        <v>112</v>
      </c>
      <c r="J1866" t="s">
        <v>702</v>
      </c>
      <c r="K1866" t="s">
        <v>1541</v>
      </c>
      <c r="L1866" t="s">
        <v>1541</v>
      </c>
    </row>
    <row r="1867" spans="1:12" x14ac:dyDescent="0.3">
      <c r="A1867" t="s">
        <v>748</v>
      </c>
      <c r="B1867" t="s">
        <v>749</v>
      </c>
      <c r="C1867" t="s">
        <v>750</v>
      </c>
      <c r="D1867" t="s">
        <v>217</v>
      </c>
      <c r="E1867" t="s">
        <v>569</v>
      </c>
      <c r="F1867" t="s">
        <v>122</v>
      </c>
      <c r="G1867" t="s">
        <v>111</v>
      </c>
      <c r="H1867" t="s">
        <v>703</v>
      </c>
      <c r="I1867" t="s">
        <v>112</v>
      </c>
      <c r="J1867" t="s">
        <v>702</v>
      </c>
      <c r="K1867" t="s">
        <v>1542</v>
      </c>
      <c r="L1867" t="s">
        <v>1542</v>
      </c>
    </row>
    <row r="1868" spans="1:12" x14ac:dyDescent="0.3">
      <c r="A1868" t="s">
        <v>748</v>
      </c>
      <c r="B1868" t="s">
        <v>749</v>
      </c>
      <c r="C1868" t="s">
        <v>750</v>
      </c>
      <c r="D1868" t="s">
        <v>306</v>
      </c>
      <c r="E1868" t="s">
        <v>569</v>
      </c>
      <c r="F1868" t="s">
        <v>165</v>
      </c>
      <c r="G1868" t="s">
        <v>111</v>
      </c>
      <c r="H1868" t="s">
        <v>1543</v>
      </c>
      <c r="I1868" t="s">
        <v>112</v>
      </c>
      <c r="J1868" t="s">
        <v>1544</v>
      </c>
      <c r="K1868" t="s">
        <v>1545</v>
      </c>
      <c r="L1868" t="s">
        <v>1545</v>
      </c>
    </row>
    <row r="1869" spans="1:12" x14ac:dyDescent="0.3">
      <c r="A1869" t="s">
        <v>748</v>
      </c>
      <c r="B1869" t="s">
        <v>749</v>
      </c>
      <c r="C1869" t="s">
        <v>750</v>
      </c>
      <c r="D1869" t="s">
        <v>218</v>
      </c>
      <c r="E1869" t="s">
        <v>569</v>
      </c>
      <c r="F1869" t="s">
        <v>166</v>
      </c>
      <c r="G1869" t="s">
        <v>111</v>
      </c>
      <c r="H1869" t="s">
        <v>1543</v>
      </c>
      <c r="I1869" t="s">
        <v>112</v>
      </c>
      <c r="J1869" t="s">
        <v>1544</v>
      </c>
    </row>
    <row r="1870" spans="1:12" x14ac:dyDescent="0.3">
      <c r="A1870" t="s">
        <v>748</v>
      </c>
      <c r="B1870" t="s">
        <v>749</v>
      </c>
      <c r="C1870" t="s">
        <v>750</v>
      </c>
      <c r="D1870" t="s">
        <v>307</v>
      </c>
      <c r="E1870" t="s">
        <v>569</v>
      </c>
      <c r="F1870" t="s">
        <v>123</v>
      </c>
      <c r="G1870" t="s">
        <v>111</v>
      </c>
      <c r="H1870" t="s">
        <v>703</v>
      </c>
      <c r="I1870" t="s">
        <v>112</v>
      </c>
      <c r="J1870" t="s">
        <v>702</v>
      </c>
      <c r="K1870" t="s">
        <v>1546</v>
      </c>
      <c r="L1870" t="s">
        <v>1546</v>
      </c>
    </row>
    <row r="1871" spans="1:12" x14ac:dyDescent="0.3">
      <c r="A1871" t="s">
        <v>748</v>
      </c>
      <c r="B1871" t="s">
        <v>749</v>
      </c>
      <c r="C1871" t="s">
        <v>750</v>
      </c>
      <c r="D1871" t="s">
        <v>220</v>
      </c>
      <c r="E1871" t="s">
        <v>569</v>
      </c>
      <c r="F1871" t="s">
        <v>54</v>
      </c>
      <c r="G1871" t="s">
        <v>111</v>
      </c>
      <c r="H1871" t="s">
        <v>1539</v>
      </c>
      <c r="I1871" t="s">
        <v>112</v>
      </c>
      <c r="J1871" t="s">
        <v>704</v>
      </c>
      <c r="K1871" t="s">
        <v>1547</v>
      </c>
      <c r="L1871" t="s">
        <v>1547</v>
      </c>
    </row>
    <row r="1872" spans="1:12" x14ac:dyDescent="0.3">
      <c r="A1872" t="s">
        <v>748</v>
      </c>
      <c r="B1872" t="s">
        <v>749</v>
      </c>
      <c r="C1872" t="s">
        <v>750</v>
      </c>
      <c r="D1872" t="s">
        <v>221</v>
      </c>
      <c r="E1872" t="s">
        <v>569</v>
      </c>
      <c r="F1872" t="s">
        <v>45</v>
      </c>
      <c r="G1872" t="s">
        <v>111</v>
      </c>
      <c r="H1872" t="s">
        <v>703</v>
      </c>
      <c r="I1872" t="s">
        <v>112</v>
      </c>
      <c r="J1872" t="s">
        <v>702</v>
      </c>
      <c r="K1872" t="s">
        <v>1542</v>
      </c>
      <c r="L1872" t="s">
        <v>1542</v>
      </c>
    </row>
    <row r="1873" spans="1:12" x14ac:dyDescent="0.3">
      <c r="A1873" t="s">
        <v>748</v>
      </c>
      <c r="B1873" t="s">
        <v>749</v>
      </c>
      <c r="C1873" t="s">
        <v>750</v>
      </c>
      <c r="D1873" t="s">
        <v>308</v>
      </c>
      <c r="E1873" t="s">
        <v>569</v>
      </c>
      <c r="F1873" t="s">
        <v>190</v>
      </c>
      <c r="G1873" t="s">
        <v>111</v>
      </c>
      <c r="H1873" t="s">
        <v>703</v>
      </c>
      <c r="I1873" t="s">
        <v>112</v>
      </c>
      <c r="J1873" t="s">
        <v>702</v>
      </c>
      <c r="K1873" t="s">
        <v>1548</v>
      </c>
      <c r="L1873" t="s">
        <v>1548</v>
      </c>
    </row>
    <row r="1874" spans="1:12" x14ac:dyDescent="0.3">
      <c r="A1874" t="s">
        <v>748</v>
      </c>
      <c r="B1874" t="s">
        <v>749</v>
      </c>
      <c r="C1874" t="s">
        <v>750</v>
      </c>
      <c r="D1874" t="s">
        <v>222</v>
      </c>
      <c r="E1874" t="s">
        <v>569</v>
      </c>
      <c r="F1874" t="s">
        <v>124</v>
      </c>
      <c r="G1874" t="s">
        <v>111</v>
      </c>
      <c r="H1874" t="s">
        <v>1549</v>
      </c>
      <c r="I1874" t="s">
        <v>112</v>
      </c>
      <c r="J1874" t="s">
        <v>1544</v>
      </c>
      <c r="K1874" t="s">
        <v>1550</v>
      </c>
      <c r="L1874" t="s">
        <v>1550</v>
      </c>
    </row>
    <row r="1875" spans="1:12" x14ac:dyDescent="0.3">
      <c r="A1875" t="s">
        <v>748</v>
      </c>
      <c r="B1875" t="s">
        <v>749</v>
      </c>
      <c r="C1875" t="s">
        <v>750</v>
      </c>
      <c r="D1875" t="s">
        <v>309</v>
      </c>
      <c r="E1875" t="s">
        <v>569</v>
      </c>
      <c r="F1875" t="s">
        <v>58</v>
      </c>
      <c r="G1875" t="s">
        <v>111</v>
      </c>
      <c r="H1875" t="s">
        <v>703</v>
      </c>
      <c r="I1875" t="s">
        <v>112</v>
      </c>
      <c r="J1875" t="s">
        <v>702</v>
      </c>
      <c r="K1875" t="s">
        <v>1551</v>
      </c>
      <c r="L1875" t="s">
        <v>1551</v>
      </c>
    </row>
    <row r="1876" spans="1:12" x14ac:dyDescent="0.3">
      <c r="A1876" t="s">
        <v>748</v>
      </c>
      <c r="B1876" t="s">
        <v>749</v>
      </c>
      <c r="C1876" t="s">
        <v>750</v>
      </c>
      <c r="D1876" t="s">
        <v>223</v>
      </c>
      <c r="E1876" t="s">
        <v>569</v>
      </c>
      <c r="F1876" t="s">
        <v>65</v>
      </c>
      <c r="G1876" t="s">
        <v>111</v>
      </c>
      <c r="H1876" t="s">
        <v>703</v>
      </c>
      <c r="I1876" t="s">
        <v>112</v>
      </c>
      <c r="J1876" t="s">
        <v>702</v>
      </c>
      <c r="K1876" t="s">
        <v>1552</v>
      </c>
      <c r="L1876" t="s">
        <v>1552</v>
      </c>
    </row>
    <row r="1877" spans="1:12" x14ac:dyDescent="0.3">
      <c r="A1877" t="s">
        <v>748</v>
      </c>
      <c r="B1877" t="s">
        <v>749</v>
      </c>
      <c r="C1877" t="s">
        <v>750</v>
      </c>
      <c r="D1877" t="s">
        <v>224</v>
      </c>
      <c r="E1877" t="s">
        <v>569</v>
      </c>
      <c r="F1877" t="s">
        <v>125</v>
      </c>
      <c r="G1877" t="s">
        <v>111</v>
      </c>
      <c r="H1877" t="s">
        <v>1553</v>
      </c>
      <c r="I1877" t="s">
        <v>112</v>
      </c>
      <c r="J1877" t="s">
        <v>1554</v>
      </c>
      <c r="K1877" t="s">
        <v>1555</v>
      </c>
      <c r="L1877" t="s">
        <v>1555</v>
      </c>
    </row>
    <row r="1878" spans="1:12" x14ac:dyDescent="0.3">
      <c r="A1878" t="s">
        <v>748</v>
      </c>
      <c r="B1878" t="s">
        <v>749</v>
      </c>
      <c r="C1878" t="s">
        <v>750</v>
      </c>
      <c r="D1878" t="s">
        <v>225</v>
      </c>
      <c r="E1878" t="s">
        <v>569</v>
      </c>
      <c r="F1878" t="s">
        <v>126</v>
      </c>
      <c r="G1878" t="s">
        <v>111</v>
      </c>
      <c r="H1878" t="s">
        <v>1556</v>
      </c>
      <c r="I1878" t="s">
        <v>112</v>
      </c>
      <c r="J1878" t="s">
        <v>1557</v>
      </c>
      <c r="K1878" t="s">
        <v>1558</v>
      </c>
      <c r="L1878" t="s">
        <v>1558</v>
      </c>
    </row>
    <row r="1879" spans="1:12" x14ac:dyDescent="0.3">
      <c r="A1879" t="s">
        <v>748</v>
      </c>
      <c r="B1879" t="s">
        <v>749</v>
      </c>
      <c r="C1879" t="s">
        <v>750</v>
      </c>
      <c r="D1879" t="s">
        <v>227</v>
      </c>
      <c r="E1879" t="s">
        <v>569</v>
      </c>
      <c r="F1879" t="s">
        <v>192</v>
      </c>
      <c r="G1879" t="s">
        <v>111</v>
      </c>
      <c r="H1879" t="s">
        <v>703</v>
      </c>
      <c r="I1879" t="s">
        <v>112</v>
      </c>
      <c r="J1879" t="s">
        <v>702</v>
      </c>
      <c r="K1879" t="s">
        <v>1559</v>
      </c>
      <c r="L1879" t="s">
        <v>1559</v>
      </c>
    </row>
    <row r="1880" spans="1:12" x14ac:dyDescent="0.3">
      <c r="A1880" t="s">
        <v>748</v>
      </c>
      <c r="B1880" t="s">
        <v>749</v>
      </c>
      <c r="C1880" t="s">
        <v>750</v>
      </c>
      <c r="D1880" t="s">
        <v>229</v>
      </c>
      <c r="E1880" t="s">
        <v>569</v>
      </c>
      <c r="F1880" t="s">
        <v>127</v>
      </c>
      <c r="G1880" t="s">
        <v>111</v>
      </c>
      <c r="H1880" t="s">
        <v>1553</v>
      </c>
      <c r="I1880" t="s">
        <v>112</v>
      </c>
      <c r="J1880" t="s">
        <v>1554</v>
      </c>
      <c r="K1880" t="s">
        <v>1555</v>
      </c>
      <c r="L1880" t="s">
        <v>1555</v>
      </c>
    </row>
    <row r="1881" spans="1:12" x14ac:dyDescent="0.3">
      <c r="A1881" t="s">
        <v>748</v>
      </c>
      <c r="B1881" t="s">
        <v>749</v>
      </c>
      <c r="C1881" t="s">
        <v>750</v>
      </c>
      <c r="D1881" t="s">
        <v>310</v>
      </c>
      <c r="E1881" t="s">
        <v>569</v>
      </c>
      <c r="F1881" t="s">
        <v>128</v>
      </c>
      <c r="G1881" t="s">
        <v>111</v>
      </c>
      <c r="H1881" t="s">
        <v>701</v>
      </c>
      <c r="I1881" t="s">
        <v>112</v>
      </c>
      <c r="J1881" t="s">
        <v>702</v>
      </c>
      <c r="K1881" t="s">
        <v>1541</v>
      </c>
      <c r="L1881" t="s">
        <v>1541</v>
      </c>
    </row>
    <row r="1882" spans="1:12" x14ac:dyDescent="0.3">
      <c r="A1882" t="s">
        <v>748</v>
      </c>
      <c r="B1882" t="s">
        <v>749</v>
      </c>
      <c r="C1882" t="s">
        <v>750</v>
      </c>
      <c r="D1882" t="s">
        <v>230</v>
      </c>
      <c r="E1882" t="s">
        <v>569</v>
      </c>
      <c r="F1882" t="s">
        <v>168</v>
      </c>
      <c r="G1882" t="s">
        <v>111</v>
      </c>
      <c r="H1882" t="s">
        <v>703</v>
      </c>
      <c r="I1882" t="s">
        <v>112</v>
      </c>
      <c r="J1882" t="s">
        <v>702</v>
      </c>
      <c r="K1882" t="s">
        <v>1560</v>
      </c>
      <c r="L1882" t="s">
        <v>1560</v>
      </c>
    </row>
    <row r="1883" spans="1:12" x14ac:dyDescent="0.3">
      <c r="A1883" t="s">
        <v>748</v>
      </c>
      <c r="B1883" t="s">
        <v>749</v>
      </c>
      <c r="C1883" t="s">
        <v>750</v>
      </c>
      <c r="D1883" t="s">
        <v>232</v>
      </c>
      <c r="E1883" t="s">
        <v>569</v>
      </c>
      <c r="F1883" t="s">
        <v>169</v>
      </c>
      <c r="G1883" t="s">
        <v>111</v>
      </c>
      <c r="H1883" t="s">
        <v>1549</v>
      </c>
      <c r="I1883" t="s">
        <v>112</v>
      </c>
      <c r="J1883" t="s">
        <v>1544</v>
      </c>
      <c r="K1883" t="s">
        <v>1559</v>
      </c>
      <c r="L1883" t="s">
        <v>1559</v>
      </c>
    </row>
    <row r="1884" spans="1:12" x14ac:dyDescent="0.3">
      <c r="A1884" t="s">
        <v>748</v>
      </c>
      <c r="B1884" t="s">
        <v>749</v>
      </c>
      <c r="C1884" t="s">
        <v>750</v>
      </c>
      <c r="D1884" t="s">
        <v>233</v>
      </c>
      <c r="E1884" t="s">
        <v>569</v>
      </c>
      <c r="F1884" t="s">
        <v>110</v>
      </c>
      <c r="G1884" t="s">
        <v>111</v>
      </c>
      <c r="H1884" t="s">
        <v>1561</v>
      </c>
      <c r="I1884" t="s">
        <v>112</v>
      </c>
      <c r="J1884" t="s">
        <v>702</v>
      </c>
      <c r="K1884" t="s">
        <v>1562</v>
      </c>
      <c r="L1884" t="s">
        <v>1562</v>
      </c>
    </row>
    <row r="1885" spans="1:12" x14ac:dyDescent="0.3">
      <c r="A1885" t="s">
        <v>748</v>
      </c>
      <c r="B1885" t="s">
        <v>749</v>
      </c>
      <c r="C1885" t="s">
        <v>750</v>
      </c>
      <c r="D1885" t="s">
        <v>234</v>
      </c>
      <c r="E1885" t="s">
        <v>569</v>
      </c>
      <c r="F1885" t="s">
        <v>93</v>
      </c>
      <c r="G1885" t="s">
        <v>111</v>
      </c>
      <c r="H1885" t="s">
        <v>703</v>
      </c>
      <c r="I1885" t="s">
        <v>112</v>
      </c>
      <c r="J1885" t="s">
        <v>702</v>
      </c>
      <c r="K1885" t="s">
        <v>1548</v>
      </c>
      <c r="L1885" t="s">
        <v>1548</v>
      </c>
    </row>
    <row r="1886" spans="1:12" x14ac:dyDescent="0.3">
      <c r="A1886" t="s">
        <v>748</v>
      </c>
      <c r="B1886" t="s">
        <v>749</v>
      </c>
      <c r="C1886" t="s">
        <v>750</v>
      </c>
      <c r="D1886" t="s">
        <v>312</v>
      </c>
      <c r="E1886" t="s">
        <v>569</v>
      </c>
      <c r="F1886" t="s">
        <v>129</v>
      </c>
      <c r="G1886" t="s">
        <v>111</v>
      </c>
      <c r="H1886" t="s">
        <v>703</v>
      </c>
      <c r="I1886" t="s">
        <v>112</v>
      </c>
      <c r="J1886" t="s">
        <v>702</v>
      </c>
      <c r="K1886" t="s">
        <v>1560</v>
      </c>
      <c r="L1886" t="s">
        <v>1560</v>
      </c>
    </row>
    <row r="1887" spans="1:12" x14ac:dyDescent="0.3">
      <c r="A1887" t="s">
        <v>748</v>
      </c>
      <c r="B1887" t="s">
        <v>749</v>
      </c>
      <c r="C1887" t="s">
        <v>750</v>
      </c>
      <c r="D1887" t="s">
        <v>235</v>
      </c>
      <c r="E1887" t="s">
        <v>569</v>
      </c>
      <c r="F1887" t="s">
        <v>85</v>
      </c>
      <c r="G1887" t="s">
        <v>111</v>
      </c>
      <c r="H1887" t="s">
        <v>703</v>
      </c>
      <c r="I1887" t="s">
        <v>112</v>
      </c>
      <c r="J1887" t="s">
        <v>702</v>
      </c>
      <c r="K1887" t="s">
        <v>1555</v>
      </c>
      <c r="L1887" t="s">
        <v>1555</v>
      </c>
    </row>
    <row r="1888" spans="1:12" x14ac:dyDescent="0.3">
      <c r="A1888" t="s">
        <v>748</v>
      </c>
      <c r="B1888" t="s">
        <v>749</v>
      </c>
      <c r="C1888" t="s">
        <v>750</v>
      </c>
      <c r="D1888" t="s">
        <v>314</v>
      </c>
      <c r="E1888" t="s">
        <v>569</v>
      </c>
      <c r="F1888" t="s">
        <v>61</v>
      </c>
      <c r="G1888" t="s">
        <v>111</v>
      </c>
      <c r="H1888" t="s">
        <v>1553</v>
      </c>
      <c r="I1888" t="s">
        <v>112</v>
      </c>
      <c r="J1888" t="s">
        <v>1554</v>
      </c>
      <c r="K1888" t="s">
        <v>1555</v>
      </c>
      <c r="L1888" t="s">
        <v>1555</v>
      </c>
    </row>
    <row r="1889" spans="1:12" x14ac:dyDescent="0.3">
      <c r="A1889" t="s">
        <v>748</v>
      </c>
      <c r="B1889" t="s">
        <v>749</v>
      </c>
      <c r="C1889" t="s">
        <v>750</v>
      </c>
      <c r="D1889" t="s">
        <v>236</v>
      </c>
      <c r="E1889" t="s">
        <v>569</v>
      </c>
      <c r="F1889" t="s">
        <v>87</v>
      </c>
      <c r="G1889" t="s">
        <v>111</v>
      </c>
      <c r="H1889" t="s">
        <v>703</v>
      </c>
      <c r="I1889" t="s">
        <v>112</v>
      </c>
      <c r="J1889" t="s">
        <v>702</v>
      </c>
      <c r="K1889" t="s">
        <v>1548</v>
      </c>
      <c r="L1889" t="s">
        <v>1548</v>
      </c>
    </row>
    <row r="1890" spans="1:12" x14ac:dyDescent="0.3">
      <c r="A1890" t="s">
        <v>748</v>
      </c>
      <c r="B1890" t="s">
        <v>749</v>
      </c>
      <c r="C1890" t="s">
        <v>750</v>
      </c>
      <c r="D1890" t="s">
        <v>237</v>
      </c>
      <c r="E1890" t="s">
        <v>569</v>
      </c>
      <c r="F1890" t="s">
        <v>130</v>
      </c>
      <c r="G1890" t="s">
        <v>111</v>
      </c>
      <c r="H1890" t="s">
        <v>703</v>
      </c>
      <c r="I1890" t="s">
        <v>112</v>
      </c>
      <c r="J1890" t="s">
        <v>702</v>
      </c>
      <c r="K1890" t="s">
        <v>1563</v>
      </c>
      <c r="L1890" t="s">
        <v>1563</v>
      </c>
    </row>
    <row r="1891" spans="1:12" x14ac:dyDescent="0.3">
      <c r="A1891" t="s">
        <v>748</v>
      </c>
      <c r="B1891" t="s">
        <v>749</v>
      </c>
      <c r="C1891" t="s">
        <v>750</v>
      </c>
      <c r="D1891" t="s">
        <v>239</v>
      </c>
      <c r="E1891" t="s">
        <v>569</v>
      </c>
      <c r="F1891" t="s">
        <v>50</v>
      </c>
      <c r="G1891" t="s">
        <v>111</v>
      </c>
      <c r="H1891" t="s">
        <v>703</v>
      </c>
      <c r="I1891" t="s">
        <v>112</v>
      </c>
      <c r="J1891" t="s">
        <v>702</v>
      </c>
      <c r="K1891" t="s">
        <v>1551</v>
      </c>
      <c r="L1891" t="s">
        <v>1551</v>
      </c>
    </row>
    <row r="1892" spans="1:12" x14ac:dyDescent="0.3">
      <c r="A1892" t="s">
        <v>748</v>
      </c>
      <c r="B1892" t="s">
        <v>749</v>
      </c>
      <c r="C1892" t="s">
        <v>750</v>
      </c>
      <c r="D1892" t="s">
        <v>315</v>
      </c>
      <c r="E1892" t="s">
        <v>568</v>
      </c>
      <c r="F1892" t="s">
        <v>79</v>
      </c>
      <c r="G1892" t="s">
        <v>111</v>
      </c>
      <c r="H1892" t="s">
        <v>1561</v>
      </c>
      <c r="I1892" t="s">
        <v>112</v>
      </c>
      <c r="J1892" t="s">
        <v>702</v>
      </c>
    </row>
    <row r="1893" spans="1:12" x14ac:dyDescent="0.3">
      <c r="A1893" t="s">
        <v>748</v>
      </c>
      <c r="B1893" t="s">
        <v>749</v>
      </c>
      <c r="C1893" t="s">
        <v>750</v>
      </c>
      <c r="D1893" t="s">
        <v>316</v>
      </c>
      <c r="E1893" t="s">
        <v>568</v>
      </c>
      <c r="F1893" t="s">
        <v>132</v>
      </c>
      <c r="G1893" t="s">
        <v>111</v>
      </c>
      <c r="H1893" t="s">
        <v>182</v>
      </c>
      <c r="I1893" t="s">
        <v>112</v>
      </c>
      <c r="J1893" t="s">
        <v>183</v>
      </c>
      <c r="K1893" t="s">
        <v>1535</v>
      </c>
      <c r="L1893" t="s">
        <v>1535</v>
      </c>
    </row>
    <row r="1894" spans="1:12" x14ac:dyDescent="0.3">
      <c r="A1894" t="s">
        <v>748</v>
      </c>
      <c r="B1894" t="s">
        <v>749</v>
      </c>
      <c r="C1894" t="s">
        <v>750</v>
      </c>
      <c r="D1894" t="s">
        <v>318</v>
      </c>
      <c r="E1894" t="s">
        <v>568</v>
      </c>
      <c r="F1894" t="s">
        <v>193</v>
      </c>
      <c r="G1894" t="s">
        <v>111</v>
      </c>
      <c r="H1894" t="s">
        <v>1549</v>
      </c>
      <c r="I1894" t="s">
        <v>112</v>
      </c>
      <c r="J1894" t="s">
        <v>1544</v>
      </c>
      <c r="K1894" t="s">
        <v>1564</v>
      </c>
      <c r="L1894" t="s">
        <v>1564</v>
      </c>
    </row>
    <row r="1895" spans="1:12" x14ac:dyDescent="0.3">
      <c r="A1895" t="s">
        <v>748</v>
      </c>
      <c r="B1895" t="s">
        <v>749</v>
      </c>
      <c r="C1895" t="s">
        <v>750</v>
      </c>
      <c r="D1895" t="s">
        <v>240</v>
      </c>
      <c r="E1895" t="s">
        <v>568</v>
      </c>
      <c r="F1895" t="s">
        <v>134</v>
      </c>
      <c r="G1895" t="s">
        <v>111</v>
      </c>
      <c r="H1895" t="s">
        <v>1565</v>
      </c>
      <c r="I1895" t="s">
        <v>112</v>
      </c>
      <c r="J1895" t="s">
        <v>1566</v>
      </c>
      <c r="K1895" t="s">
        <v>1562</v>
      </c>
      <c r="L1895" t="s">
        <v>1562</v>
      </c>
    </row>
    <row r="1896" spans="1:12" x14ac:dyDescent="0.3">
      <c r="A1896" t="s">
        <v>748</v>
      </c>
      <c r="B1896" t="s">
        <v>749</v>
      </c>
      <c r="C1896" t="s">
        <v>750</v>
      </c>
      <c r="D1896" t="s">
        <v>241</v>
      </c>
      <c r="E1896" t="s">
        <v>568</v>
      </c>
      <c r="F1896" t="s">
        <v>51</v>
      </c>
      <c r="G1896" t="s">
        <v>111</v>
      </c>
      <c r="H1896" t="s">
        <v>1561</v>
      </c>
      <c r="I1896" t="s">
        <v>112</v>
      </c>
      <c r="J1896" t="s">
        <v>702</v>
      </c>
      <c r="K1896" t="s">
        <v>1567</v>
      </c>
      <c r="L1896" t="s">
        <v>1567</v>
      </c>
    </row>
    <row r="1897" spans="1:12" x14ac:dyDescent="0.3">
      <c r="A1897" t="s">
        <v>748</v>
      </c>
      <c r="B1897" t="s">
        <v>749</v>
      </c>
      <c r="C1897" t="s">
        <v>750</v>
      </c>
      <c r="D1897" t="s">
        <v>242</v>
      </c>
      <c r="E1897" t="s">
        <v>568</v>
      </c>
      <c r="F1897" t="s">
        <v>163</v>
      </c>
      <c r="G1897" t="s">
        <v>111</v>
      </c>
      <c r="H1897" t="s">
        <v>703</v>
      </c>
      <c r="I1897" t="s">
        <v>112</v>
      </c>
      <c r="J1897" t="s">
        <v>702</v>
      </c>
      <c r="K1897" t="s">
        <v>1542</v>
      </c>
      <c r="L1897" t="s">
        <v>1542</v>
      </c>
    </row>
    <row r="1898" spans="1:12" x14ac:dyDescent="0.3">
      <c r="A1898" t="s">
        <v>748</v>
      </c>
      <c r="B1898" t="s">
        <v>749</v>
      </c>
      <c r="C1898" t="s">
        <v>750</v>
      </c>
      <c r="D1898" t="s">
        <v>244</v>
      </c>
      <c r="E1898" t="s">
        <v>568</v>
      </c>
      <c r="F1898" t="s">
        <v>78</v>
      </c>
      <c r="G1898" t="s">
        <v>111</v>
      </c>
      <c r="H1898" t="s">
        <v>1539</v>
      </c>
      <c r="I1898" t="s">
        <v>112</v>
      </c>
      <c r="J1898" t="s">
        <v>704</v>
      </c>
    </row>
    <row r="1899" spans="1:12" x14ac:dyDescent="0.3">
      <c r="A1899" t="s">
        <v>748</v>
      </c>
      <c r="B1899" t="s">
        <v>749</v>
      </c>
      <c r="C1899" t="s">
        <v>750</v>
      </c>
      <c r="D1899" t="s">
        <v>245</v>
      </c>
      <c r="E1899" t="s">
        <v>568</v>
      </c>
      <c r="F1899" t="s">
        <v>82</v>
      </c>
      <c r="G1899" t="s">
        <v>111</v>
      </c>
      <c r="H1899" t="s">
        <v>703</v>
      </c>
      <c r="I1899" t="s">
        <v>112</v>
      </c>
      <c r="J1899" t="s">
        <v>702</v>
      </c>
      <c r="K1899" t="s">
        <v>1555</v>
      </c>
      <c r="L1899" t="s">
        <v>1555</v>
      </c>
    </row>
    <row r="1900" spans="1:12" x14ac:dyDescent="0.3">
      <c r="A1900" t="s">
        <v>748</v>
      </c>
      <c r="B1900" t="s">
        <v>749</v>
      </c>
      <c r="C1900" t="s">
        <v>750</v>
      </c>
      <c r="D1900" t="s">
        <v>246</v>
      </c>
      <c r="E1900" t="s">
        <v>568</v>
      </c>
      <c r="F1900" t="s">
        <v>135</v>
      </c>
      <c r="G1900" t="s">
        <v>111</v>
      </c>
      <c r="H1900" t="s">
        <v>703</v>
      </c>
      <c r="I1900" t="s">
        <v>112</v>
      </c>
      <c r="J1900" t="s">
        <v>702</v>
      </c>
      <c r="K1900" t="s">
        <v>1551</v>
      </c>
      <c r="L1900" t="s">
        <v>1551</v>
      </c>
    </row>
    <row r="1901" spans="1:12" x14ac:dyDescent="0.3">
      <c r="A1901" t="s">
        <v>748</v>
      </c>
      <c r="B1901" t="s">
        <v>749</v>
      </c>
      <c r="C1901" t="s">
        <v>750</v>
      </c>
      <c r="D1901" t="s">
        <v>319</v>
      </c>
      <c r="E1901" t="s">
        <v>568</v>
      </c>
      <c r="F1901" t="s">
        <v>136</v>
      </c>
      <c r="G1901" t="s">
        <v>111</v>
      </c>
      <c r="H1901" t="s">
        <v>703</v>
      </c>
      <c r="I1901" t="s">
        <v>112</v>
      </c>
      <c r="J1901" t="s">
        <v>702</v>
      </c>
      <c r="K1901" t="s">
        <v>1548</v>
      </c>
      <c r="L1901" t="s">
        <v>1548</v>
      </c>
    </row>
    <row r="1902" spans="1:12" x14ac:dyDescent="0.3">
      <c r="A1902" t="s">
        <v>748</v>
      </c>
      <c r="B1902" t="s">
        <v>749</v>
      </c>
      <c r="C1902" t="s">
        <v>750</v>
      </c>
      <c r="D1902" t="s">
        <v>247</v>
      </c>
      <c r="E1902" t="s">
        <v>568</v>
      </c>
      <c r="F1902" t="s">
        <v>60</v>
      </c>
      <c r="G1902" t="s">
        <v>111</v>
      </c>
      <c r="H1902" t="s">
        <v>703</v>
      </c>
      <c r="I1902" t="s">
        <v>112</v>
      </c>
      <c r="J1902" t="s">
        <v>702</v>
      </c>
      <c r="K1902" t="s">
        <v>1555</v>
      </c>
      <c r="L1902" t="s">
        <v>1555</v>
      </c>
    </row>
    <row r="1903" spans="1:12" x14ac:dyDescent="0.3">
      <c r="A1903" t="s">
        <v>748</v>
      </c>
      <c r="B1903" t="s">
        <v>749</v>
      </c>
      <c r="C1903" t="s">
        <v>750</v>
      </c>
      <c r="D1903" t="s">
        <v>248</v>
      </c>
      <c r="E1903" t="s">
        <v>568</v>
      </c>
      <c r="F1903" t="s">
        <v>137</v>
      </c>
      <c r="G1903" t="s">
        <v>111</v>
      </c>
      <c r="H1903" t="s">
        <v>703</v>
      </c>
      <c r="I1903" t="s">
        <v>112</v>
      </c>
      <c r="J1903" t="s">
        <v>702</v>
      </c>
      <c r="K1903" t="s">
        <v>1548</v>
      </c>
      <c r="L1903" t="s">
        <v>1548</v>
      </c>
    </row>
    <row r="1904" spans="1:12" x14ac:dyDescent="0.3">
      <c r="A1904" t="s">
        <v>748</v>
      </c>
      <c r="B1904" t="s">
        <v>749</v>
      </c>
      <c r="C1904" t="s">
        <v>750</v>
      </c>
      <c r="D1904" t="s">
        <v>251</v>
      </c>
      <c r="E1904" t="s">
        <v>568</v>
      </c>
      <c r="F1904" t="s">
        <v>48</v>
      </c>
      <c r="G1904" t="s">
        <v>111</v>
      </c>
      <c r="H1904" t="s">
        <v>182</v>
      </c>
      <c r="I1904" t="s">
        <v>112</v>
      </c>
      <c r="J1904" t="s">
        <v>183</v>
      </c>
      <c r="K1904" t="s">
        <v>1537</v>
      </c>
      <c r="L1904" t="s">
        <v>1537</v>
      </c>
    </row>
    <row r="1905" spans="1:12" x14ac:dyDescent="0.3">
      <c r="A1905" t="s">
        <v>748</v>
      </c>
      <c r="B1905" t="s">
        <v>749</v>
      </c>
      <c r="C1905" t="s">
        <v>750</v>
      </c>
      <c r="D1905" t="s">
        <v>252</v>
      </c>
      <c r="E1905" t="s">
        <v>568</v>
      </c>
      <c r="F1905" t="s">
        <v>138</v>
      </c>
      <c r="G1905" t="s">
        <v>111</v>
      </c>
      <c r="H1905" t="s">
        <v>1539</v>
      </c>
      <c r="I1905" t="s">
        <v>112</v>
      </c>
      <c r="J1905" t="s">
        <v>704</v>
      </c>
    </row>
    <row r="1906" spans="1:12" x14ac:dyDescent="0.3">
      <c r="A1906" t="s">
        <v>748</v>
      </c>
      <c r="B1906" t="s">
        <v>749</v>
      </c>
      <c r="C1906" t="s">
        <v>750</v>
      </c>
      <c r="D1906" t="s">
        <v>254</v>
      </c>
      <c r="E1906" t="s">
        <v>568</v>
      </c>
      <c r="F1906" t="s">
        <v>139</v>
      </c>
      <c r="G1906" t="s">
        <v>111</v>
      </c>
      <c r="H1906" t="s">
        <v>703</v>
      </c>
      <c r="I1906" t="s">
        <v>112</v>
      </c>
      <c r="J1906" t="s">
        <v>702</v>
      </c>
      <c r="K1906" t="s">
        <v>1555</v>
      </c>
      <c r="L1906" t="s">
        <v>1555</v>
      </c>
    </row>
    <row r="1907" spans="1:12" x14ac:dyDescent="0.3">
      <c r="A1907" t="s">
        <v>748</v>
      </c>
      <c r="B1907" t="s">
        <v>749</v>
      </c>
      <c r="C1907" t="s">
        <v>750</v>
      </c>
      <c r="D1907" t="s">
        <v>320</v>
      </c>
      <c r="E1907" t="s">
        <v>568</v>
      </c>
      <c r="F1907" t="s">
        <v>172</v>
      </c>
      <c r="G1907" t="s">
        <v>111</v>
      </c>
      <c r="H1907" t="s">
        <v>1561</v>
      </c>
      <c r="I1907" t="s">
        <v>112</v>
      </c>
      <c r="J1907" t="s">
        <v>702</v>
      </c>
      <c r="K1907" t="s">
        <v>1568</v>
      </c>
      <c r="L1907" t="s">
        <v>1568</v>
      </c>
    </row>
    <row r="1908" spans="1:12" x14ac:dyDescent="0.3">
      <c r="A1908" t="s">
        <v>748</v>
      </c>
      <c r="B1908" t="s">
        <v>749</v>
      </c>
      <c r="C1908" t="s">
        <v>750</v>
      </c>
      <c r="D1908" t="s">
        <v>321</v>
      </c>
      <c r="E1908" t="s">
        <v>568</v>
      </c>
      <c r="F1908" t="s">
        <v>94</v>
      </c>
      <c r="G1908" t="s">
        <v>111</v>
      </c>
      <c r="H1908" t="s">
        <v>1561</v>
      </c>
      <c r="I1908" t="s">
        <v>112</v>
      </c>
      <c r="J1908" t="s">
        <v>702</v>
      </c>
    </row>
    <row r="1909" spans="1:12" x14ac:dyDescent="0.3">
      <c r="A1909" t="s">
        <v>748</v>
      </c>
      <c r="B1909" t="s">
        <v>749</v>
      </c>
      <c r="C1909" t="s">
        <v>750</v>
      </c>
      <c r="D1909" t="s">
        <v>256</v>
      </c>
      <c r="E1909" t="s">
        <v>568</v>
      </c>
      <c r="F1909" t="s">
        <v>57</v>
      </c>
      <c r="G1909" t="s">
        <v>111</v>
      </c>
      <c r="H1909" t="s">
        <v>182</v>
      </c>
      <c r="I1909" t="s">
        <v>112</v>
      </c>
      <c r="J1909" t="s">
        <v>183</v>
      </c>
      <c r="K1909" t="s">
        <v>1535</v>
      </c>
      <c r="L1909" t="s">
        <v>1535</v>
      </c>
    </row>
    <row r="1910" spans="1:12" x14ac:dyDescent="0.3">
      <c r="A1910" t="s">
        <v>748</v>
      </c>
      <c r="B1910" t="s">
        <v>749</v>
      </c>
      <c r="C1910" t="s">
        <v>750</v>
      </c>
      <c r="D1910" t="s">
        <v>322</v>
      </c>
      <c r="E1910" t="s">
        <v>568</v>
      </c>
      <c r="F1910" t="s">
        <v>173</v>
      </c>
      <c r="G1910" t="s">
        <v>111</v>
      </c>
      <c r="H1910" t="s">
        <v>703</v>
      </c>
      <c r="I1910" t="s">
        <v>112</v>
      </c>
      <c r="J1910" t="s">
        <v>702</v>
      </c>
      <c r="K1910" t="s">
        <v>1542</v>
      </c>
      <c r="L1910" t="s">
        <v>1542</v>
      </c>
    </row>
    <row r="1911" spans="1:12" x14ac:dyDescent="0.3">
      <c r="A1911" t="s">
        <v>748</v>
      </c>
      <c r="B1911" t="s">
        <v>749</v>
      </c>
      <c r="C1911" t="s">
        <v>750</v>
      </c>
      <c r="D1911" t="s">
        <v>257</v>
      </c>
      <c r="E1911" t="s">
        <v>568</v>
      </c>
      <c r="F1911" t="s">
        <v>174</v>
      </c>
      <c r="G1911" t="s">
        <v>111</v>
      </c>
      <c r="H1911" t="s">
        <v>1539</v>
      </c>
      <c r="I1911" t="s">
        <v>112</v>
      </c>
      <c r="J1911" t="s">
        <v>704</v>
      </c>
    </row>
    <row r="1912" spans="1:12" x14ac:dyDescent="0.3">
      <c r="A1912" t="s">
        <v>748</v>
      </c>
      <c r="B1912" t="s">
        <v>749</v>
      </c>
      <c r="C1912" t="s">
        <v>750</v>
      </c>
      <c r="D1912" t="s">
        <v>324</v>
      </c>
      <c r="E1912" t="s">
        <v>568</v>
      </c>
      <c r="F1912" t="s">
        <v>102</v>
      </c>
      <c r="G1912" t="s">
        <v>111</v>
      </c>
      <c r="H1912" t="s">
        <v>703</v>
      </c>
      <c r="I1912" t="s">
        <v>112</v>
      </c>
      <c r="J1912" t="s">
        <v>702</v>
      </c>
      <c r="K1912" t="s">
        <v>1563</v>
      </c>
      <c r="L1912" t="s">
        <v>1563</v>
      </c>
    </row>
    <row r="1913" spans="1:12" x14ac:dyDescent="0.3">
      <c r="A1913" t="s">
        <v>748</v>
      </c>
      <c r="B1913" t="s">
        <v>749</v>
      </c>
      <c r="C1913" t="s">
        <v>750</v>
      </c>
      <c r="D1913" t="s">
        <v>260</v>
      </c>
      <c r="E1913" t="s">
        <v>568</v>
      </c>
      <c r="F1913" t="s">
        <v>140</v>
      </c>
      <c r="G1913" t="s">
        <v>111</v>
      </c>
      <c r="H1913" t="s">
        <v>1569</v>
      </c>
      <c r="I1913" t="s">
        <v>112</v>
      </c>
      <c r="J1913" t="s">
        <v>1544</v>
      </c>
      <c r="K1913" t="s">
        <v>1541</v>
      </c>
      <c r="L1913" t="s">
        <v>1541</v>
      </c>
    </row>
    <row r="1914" spans="1:12" x14ac:dyDescent="0.3">
      <c r="A1914" t="s">
        <v>748</v>
      </c>
      <c r="B1914" t="s">
        <v>749</v>
      </c>
      <c r="C1914" t="s">
        <v>750</v>
      </c>
      <c r="D1914" t="s">
        <v>261</v>
      </c>
      <c r="E1914" t="s">
        <v>568</v>
      </c>
      <c r="F1914" t="s">
        <v>175</v>
      </c>
      <c r="G1914" t="s">
        <v>111</v>
      </c>
      <c r="H1914" t="s">
        <v>1553</v>
      </c>
      <c r="I1914" t="s">
        <v>112</v>
      </c>
      <c r="J1914" t="s">
        <v>1554</v>
      </c>
      <c r="K1914" t="s">
        <v>1555</v>
      </c>
      <c r="L1914" t="s">
        <v>1555</v>
      </c>
    </row>
    <row r="1915" spans="1:12" x14ac:dyDescent="0.3">
      <c r="A1915" t="s">
        <v>748</v>
      </c>
      <c r="B1915" t="s">
        <v>749</v>
      </c>
      <c r="C1915" t="s">
        <v>750</v>
      </c>
      <c r="D1915" t="s">
        <v>325</v>
      </c>
      <c r="E1915" t="s">
        <v>568</v>
      </c>
      <c r="F1915" t="s">
        <v>46</v>
      </c>
      <c r="G1915" t="s">
        <v>111</v>
      </c>
      <c r="H1915" t="s">
        <v>1539</v>
      </c>
      <c r="I1915" t="s">
        <v>112</v>
      </c>
      <c r="J1915" t="s">
        <v>704</v>
      </c>
    </row>
    <row r="1916" spans="1:12" x14ac:dyDescent="0.3">
      <c r="A1916" t="s">
        <v>748</v>
      </c>
      <c r="B1916" t="s">
        <v>749</v>
      </c>
      <c r="C1916" t="s">
        <v>750</v>
      </c>
      <c r="D1916" t="s">
        <v>262</v>
      </c>
      <c r="E1916" t="s">
        <v>568</v>
      </c>
      <c r="F1916" t="s">
        <v>202</v>
      </c>
      <c r="G1916" t="s">
        <v>111</v>
      </c>
      <c r="H1916" t="s">
        <v>703</v>
      </c>
      <c r="I1916" t="s">
        <v>112</v>
      </c>
      <c r="J1916" t="s">
        <v>702</v>
      </c>
      <c r="K1916" t="s">
        <v>1570</v>
      </c>
      <c r="L1916" t="s">
        <v>1570</v>
      </c>
    </row>
    <row r="1917" spans="1:12" x14ac:dyDescent="0.3">
      <c r="A1917" t="s">
        <v>748</v>
      </c>
      <c r="B1917" t="s">
        <v>749</v>
      </c>
      <c r="C1917" t="s">
        <v>750</v>
      </c>
      <c r="D1917" t="s">
        <v>263</v>
      </c>
      <c r="E1917" t="s">
        <v>568</v>
      </c>
      <c r="F1917" t="s">
        <v>141</v>
      </c>
      <c r="G1917" t="s">
        <v>111</v>
      </c>
      <c r="H1917" t="s">
        <v>703</v>
      </c>
      <c r="I1917" t="s">
        <v>112</v>
      </c>
      <c r="J1917" t="s">
        <v>702</v>
      </c>
      <c r="K1917" t="s">
        <v>1555</v>
      </c>
      <c r="L1917" t="s">
        <v>1555</v>
      </c>
    </row>
    <row r="1918" spans="1:12" x14ac:dyDescent="0.3">
      <c r="A1918" t="s">
        <v>748</v>
      </c>
      <c r="B1918" t="s">
        <v>749</v>
      </c>
      <c r="C1918" t="s">
        <v>750</v>
      </c>
      <c r="D1918" t="s">
        <v>264</v>
      </c>
      <c r="E1918" t="s">
        <v>568</v>
      </c>
      <c r="F1918" t="s">
        <v>64</v>
      </c>
      <c r="G1918" t="s">
        <v>111</v>
      </c>
      <c r="H1918" t="s">
        <v>1561</v>
      </c>
      <c r="I1918" t="s">
        <v>112</v>
      </c>
      <c r="J1918" t="s">
        <v>702</v>
      </c>
    </row>
    <row r="1919" spans="1:12" x14ac:dyDescent="0.3">
      <c r="A1919" t="s">
        <v>748</v>
      </c>
      <c r="B1919" t="s">
        <v>749</v>
      </c>
      <c r="C1919" t="s">
        <v>750</v>
      </c>
      <c r="D1919" t="s">
        <v>265</v>
      </c>
      <c r="E1919" t="s">
        <v>568</v>
      </c>
      <c r="F1919" t="s">
        <v>142</v>
      </c>
      <c r="G1919" t="s">
        <v>111</v>
      </c>
      <c r="H1919" t="s">
        <v>703</v>
      </c>
      <c r="I1919" t="s">
        <v>112</v>
      </c>
      <c r="J1919" t="s">
        <v>702</v>
      </c>
      <c r="K1919" t="s">
        <v>1548</v>
      </c>
      <c r="L1919" t="s">
        <v>1548</v>
      </c>
    </row>
    <row r="1920" spans="1:12" x14ac:dyDescent="0.3">
      <c r="A1920" t="s">
        <v>748</v>
      </c>
      <c r="B1920" t="s">
        <v>749</v>
      </c>
      <c r="C1920" t="s">
        <v>750</v>
      </c>
      <c r="D1920" t="s">
        <v>266</v>
      </c>
      <c r="E1920" t="s">
        <v>568</v>
      </c>
      <c r="F1920" t="s">
        <v>75</v>
      </c>
      <c r="G1920" t="s">
        <v>111</v>
      </c>
      <c r="H1920" t="s">
        <v>703</v>
      </c>
      <c r="I1920" t="s">
        <v>112</v>
      </c>
      <c r="J1920" t="s">
        <v>702</v>
      </c>
      <c r="K1920" t="s">
        <v>1571</v>
      </c>
      <c r="L1920" t="s">
        <v>1571</v>
      </c>
    </row>
    <row r="1921" spans="1:12" x14ac:dyDescent="0.3">
      <c r="A1921" t="s">
        <v>748</v>
      </c>
      <c r="B1921" t="s">
        <v>749</v>
      </c>
      <c r="C1921" t="s">
        <v>750</v>
      </c>
      <c r="D1921" t="s">
        <v>267</v>
      </c>
      <c r="E1921" t="s">
        <v>568</v>
      </c>
      <c r="F1921" t="s">
        <v>143</v>
      </c>
      <c r="G1921" t="s">
        <v>111</v>
      </c>
      <c r="H1921" t="s">
        <v>1553</v>
      </c>
      <c r="I1921" t="s">
        <v>112</v>
      </c>
      <c r="J1921" t="s">
        <v>1554</v>
      </c>
      <c r="K1921" t="s">
        <v>1536</v>
      </c>
      <c r="L1921" t="s">
        <v>1536</v>
      </c>
    </row>
    <row r="1922" spans="1:12" x14ac:dyDescent="0.3">
      <c r="A1922" t="s">
        <v>748</v>
      </c>
      <c r="B1922" t="s">
        <v>749</v>
      </c>
      <c r="C1922" t="s">
        <v>750</v>
      </c>
      <c r="D1922" t="s">
        <v>269</v>
      </c>
      <c r="E1922" t="s">
        <v>568</v>
      </c>
      <c r="F1922" t="s">
        <v>145</v>
      </c>
      <c r="G1922" t="s">
        <v>111</v>
      </c>
      <c r="H1922" t="s">
        <v>703</v>
      </c>
      <c r="I1922" t="s">
        <v>112</v>
      </c>
      <c r="J1922" t="s">
        <v>702</v>
      </c>
      <c r="K1922" t="s">
        <v>1551</v>
      </c>
      <c r="L1922" t="s">
        <v>1551</v>
      </c>
    </row>
    <row r="1923" spans="1:12" x14ac:dyDescent="0.3">
      <c r="A1923" t="s">
        <v>748</v>
      </c>
      <c r="B1923" t="s">
        <v>749</v>
      </c>
      <c r="C1923" t="s">
        <v>750</v>
      </c>
      <c r="D1923" t="s">
        <v>270</v>
      </c>
      <c r="E1923" t="s">
        <v>568</v>
      </c>
      <c r="F1923" t="s">
        <v>81</v>
      </c>
      <c r="G1923" t="s">
        <v>111</v>
      </c>
      <c r="H1923" t="s">
        <v>703</v>
      </c>
      <c r="I1923" t="s">
        <v>112</v>
      </c>
      <c r="J1923" t="s">
        <v>702</v>
      </c>
      <c r="K1923" t="s">
        <v>1572</v>
      </c>
      <c r="L1923" t="s">
        <v>1572</v>
      </c>
    </row>
    <row r="1924" spans="1:12" x14ac:dyDescent="0.3">
      <c r="A1924" t="s">
        <v>748</v>
      </c>
      <c r="B1924" t="s">
        <v>749</v>
      </c>
      <c r="C1924" t="s">
        <v>750</v>
      </c>
      <c r="D1924" t="s">
        <v>272</v>
      </c>
      <c r="E1924" t="s">
        <v>567</v>
      </c>
      <c r="F1924" t="s">
        <v>52</v>
      </c>
      <c r="G1924" t="s">
        <v>111</v>
      </c>
      <c r="H1924" t="s">
        <v>182</v>
      </c>
      <c r="I1924" t="s">
        <v>112</v>
      </c>
      <c r="J1924" t="s">
        <v>183</v>
      </c>
      <c r="K1924" t="s">
        <v>1537</v>
      </c>
      <c r="L1924" t="s">
        <v>1537</v>
      </c>
    </row>
    <row r="1925" spans="1:12" x14ac:dyDescent="0.3">
      <c r="A1925" t="s">
        <v>748</v>
      </c>
      <c r="B1925" t="s">
        <v>749</v>
      </c>
      <c r="C1925" t="s">
        <v>750</v>
      </c>
      <c r="D1925" t="s">
        <v>327</v>
      </c>
      <c r="E1925" t="s">
        <v>567</v>
      </c>
      <c r="F1925" t="s">
        <v>104</v>
      </c>
      <c r="G1925" t="s">
        <v>111</v>
      </c>
      <c r="H1925" t="s">
        <v>1543</v>
      </c>
      <c r="I1925" t="s">
        <v>112</v>
      </c>
      <c r="J1925" t="s">
        <v>1544</v>
      </c>
    </row>
    <row r="1926" spans="1:12" x14ac:dyDescent="0.3">
      <c r="A1926" t="s">
        <v>748</v>
      </c>
      <c r="B1926" t="s">
        <v>749</v>
      </c>
      <c r="C1926" t="s">
        <v>750</v>
      </c>
      <c r="D1926" t="s">
        <v>274</v>
      </c>
      <c r="E1926" t="s">
        <v>567</v>
      </c>
      <c r="F1926" t="s">
        <v>146</v>
      </c>
      <c r="G1926" t="s">
        <v>111</v>
      </c>
      <c r="H1926" t="s">
        <v>1561</v>
      </c>
      <c r="I1926" t="s">
        <v>112</v>
      </c>
      <c r="J1926" t="s">
        <v>702</v>
      </c>
    </row>
    <row r="1927" spans="1:12" x14ac:dyDescent="0.3">
      <c r="A1927" t="s">
        <v>748</v>
      </c>
      <c r="B1927" t="s">
        <v>749</v>
      </c>
      <c r="C1927" t="s">
        <v>750</v>
      </c>
      <c r="D1927" t="s">
        <v>275</v>
      </c>
      <c r="E1927" t="s">
        <v>567</v>
      </c>
      <c r="F1927" t="s">
        <v>148</v>
      </c>
      <c r="G1927" t="s">
        <v>111</v>
      </c>
      <c r="H1927" t="s">
        <v>703</v>
      </c>
      <c r="I1927" t="s">
        <v>112</v>
      </c>
      <c r="J1927" t="s">
        <v>702</v>
      </c>
      <c r="K1927" t="s">
        <v>1563</v>
      </c>
      <c r="L1927" t="s">
        <v>1563</v>
      </c>
    </row>
    <row r="1928" spans="1:12" x14ac:dyDescent="0.3">
      <c r="A1928" t="s">
        <v>748</v>
      </c>
      <c r="B1928" t="s">
        <v>749</v>
      </c>
      <c r="C1928" t="s">
        <v>750</v>
      </c>
      <c r="D1928" t="s">
        <v>276</v>
      </c>
      <c r="E1928" t="s">
        <v>567</v>
      </c>
      <c r="F1928" t="s">
        <v>149</v>
      </c>
      <c r="G1928" t="s">
        <v>111</v>
      </c>
      <c r="H1928" t="s">
        <v>1543</v>
      </c>
      <c r="I1928" t="s">
        <v>112</v>
      </c>
      <c r="J1928" t="s">
        <v>1544</v>
      </c>
      <c r="K1928" t="s">
        <v>1573</v>
      </c>
      <c r="L1928" t="s">
        <v>1573</v>
      </c>
    </row>
    <row r="1929" spans="1:12" x14ac:dyDescent="0.3">
      <c r="A1929" t="s">
        <v>748</v>
      </c>
      <c r="B1929" t="s">
        <v>749</v>
      </c>
      <c r="C1929" t="s">
        <v>750</v>
      </c>
      <c r="D1929" t="s">
        <v>277</v>
      </c>
      <c r="E1929" t="s">
        <v>567</v>
      </c>
      <c r="F1929" t="s">
        <v>83</v>
      </c>
      <c r="G1929" t="s">
        <v>111</v>
      </c>
      <c r="H1929" t="s">
        <v>703</v>
      </c>
      <c r="I1929" t="s">
        <v>112</v>
      </c>
      <c r="J1929" t="s">
        <v>702</v>
      </c>
      <c r="K1929" t="s">
        <v>1574</v>
      </c>
      <c r="L1929" t="s">
        <v>1574</v>
      </c>
    </row>
    <row r="1930" spans="1:12" x14ac:dyDescent="0.3">
      <c r="A1930" t="s">
        <v>748</v>
      </c>
      <c r="B1930" t="s">
        <v>749</v>
      </c>
      <c r="C1930" t="s">
        <v>750</v>
      </c>
      <c r="D1930" t="s">
        <v>278</v>
      </c>
      <c r="E1930" t="s">
        <v>567</v>
      </c>
      <c r="F1930" t="s">
        <v>203</v>
      </c>
      <c r="G1930" t="s">
        <v>111</v>
      </c>
      <c r="H1930" t="s">
        <v>703</v>
      </c>
      <c r="I1930" t="s">
        <v>112</v>
      </c>
      <c r="J1930" t="s">
        <v>702</v>
      </c>
      <c r="K1930" t="s">
        <v>1575</v>
      </c>
      <c r="L1930" t="s">
        <v>1575</v>
      </c>
    </row>
    <row r="1931" spans="1:12" x14ac:dyDescent="0.3">
      <c r="A1931" t="s">
        <v>748</v>
      </c>
      <c r="B1931" t="s">
        <v>749</v>
      </c>
      <c r="C1931" t="s">
        <v>750</v>
      </c>
      <c r="D1931" t="s">
        <v>279</v>
      </c>
      <c r="E1931" t="s">
        <v>567</v>
      </c>
      <c r="F1931" t="s">
        <v>150</v>
      </c>
      <c r="G1931" t="s">
        <v>111</v>
      </c>
      <c r="H1931" t="s">
        <v>1576</v>
      </c>
      <c r="I1931" t="s">
        <v>112</v>
      </c>
      <c r="J1931" t="s">
        <v>1554</v>
      </c>
      <c r="K1931" t="s">
        <v>1547</v>
      </c>
      <c r="L1931" t="s">
        <v>1547</v>
      </c>
    </row>
    <row r="1932" spans="1:12" x14ac:dyDescent="0.3">
      <c r="A1932" t="s">
        <v>748</v>
      </c>
      <c r="B1932" t="s">
        <v>749</v>
      </c>
      <c r="C1932" t="s">
        <v>750</v>
      </c>
      <c r="D1932" t="s">
        <v>280</v>
      </c>
      <c r="E1932" t="s">
        <v>567</v>
      </c>
      <c r="F1932" t="s">
        <v>71</v>
      </c>
      <c r="G1932" t="s">
        <v>111</v>
      </c>
      <c r="H1932" t="s">
        <v>703</v>
      </c>
      <c r="I1932" t="s">
        <v>112</v>
      </c>
      <c r="J1932" t="s">
        <v>702</v>
      </c>
      <c r="K1932" t="s">
        <v>1542</v>
      </c>
      <c r="L1932" t="s">
        <v>1542</v>
      </c>
    </row>
    <row r="1933" spans="1:12" x14ac:dyDescent="0.3">
      <c r="A1933" t="s">
        <v>748</v>
      </c>
      <c r="B1933" t="s">
        <v>749</v>
      </c>
      <c r="C1933" t="s">
        <v>750</v>
      </c>
      <c r="D1933" t="s">
        <v>281</v>
      </c>
      <c r="E1933" t="s">
        <v>567</v>
      </c>
      <c r="F1933" t="s">
        <v>84</v>
      </c>
      <c r="G1933" t="s">
        <v>111</v>
      </c>
      <c r="H1933" t="s">
        <v>1553</v>
      </c>
      <c r="I1933" t="s">
        <v>112</v>
      </c>
      <c r="J1933" t="s">
        <v>1554</v>
      </c>
      <c r="K1933" t="s">
        <v>1555</v>
      </c>
      <c r="L1933" t="s">
        <v>1555</v>
      </c>
    </row>
    <row r="1934" spans="1:12" x14ac:dyDescent="0.3">
      <c r="A1934" t="s">
        <v>748</v>
      </c>
      <c r="B1934" t="s">
        <v>749</v>
      </c>
      <c r="C1934" t="s">
        <v>750</v>
      </c>
      <c r="D1934" t="s">
        <v>282</v>
      </c>
      <c r="E1934" t="s">
        <v>567</v>
      </c>
      <c r="F1934" t="s">
        <v>90</v>
      </c>
      <c r="G1934" t="s">
        <v>111</v>
      </c>
      <c r="H1934" t="s">
        <v>703</v>
      </c>
      <c r="I1934" t="s">
        <v>112</v>
      </c>
      <c r="J1934" t="s">
        <v>702</v>
      </c>
      <c r="K1934" t="s">
        <v>1548</v>
      </c>
      <c r="L1934" t="s">
        <v>1548</v>
      </c>
    </row>
    <row r="1935" spans="1:12" x14ac:dyDescent="0.3">
      <c r="A1935" t="s">
        <v>748</v>
      </c>
      <c r="B1935" t="s">
        <v>749</v>
      </c>
      <c r="C1935" t="s">
        <v>750</v>
      </c>
      <c r="D1935" t="s">
        <v>329</v>
      </c>
      <c r="E1935" t="s">
        <v>567</v>
      </c>
      <c r="F1935" t="s">
        <v>92</v>
      </c>
      <c r="G1935" t="s">
        <v>111</v>
      </c>
      <c r="H1935" t="s">
        <v>1553</v>
      </c>
      <c r="I1935" t="s">
        <v>112</v>
      </c>
      <c r="J1935" t="s">
        <v>1554</v>
      </c>
      <c r="K1935" t="s">
        <v>1555</v>
      </c>
      <c r="L1935" t="s">
        <v>1555</v>
      </c>
    </row>
    <row r="1936" spans="1:12" x14ac:dyDescent="0.3">
      <c r="A1936" t="s">
        <v>748</v>
      </c>
      <c r="B1936" t="s">
        <v>749</v>
      </c>
      <c r="C1936" t="s">
        <v>750</v>
      </c>
      <c r="D1936" t="s">
        <v>283</v>
      </c>
      <c r="E1936" t="s">
        <v>567</v>
      </c>
      <c r="F1936" t="s">
        <v>63</v>
      </c>
      <c r="G1936" t="s">
        <v>111</v>
      </c>
      <c r="H1936" t="s">
        <v>703</v>
      </c>
      <c r="I1936" t="s">
        <v>112</v>
      </c>
      <c r="J1936" t="s">
        <v>702</v>
      </c>
      <c r="K1936" t="s">
        <v>1555</v>
      </c>
      <c r="L1936" t="s">
        <v>1555</v>
      </c>
    </row>
    <row r="1937" spans="1:12" x14ac:dyDescent="0.3">
      <c r="A1937" t="s">
        <v>748</v>
      </c>
      <c r="B1937" t="s">
        <v>749</v>
      </c>
      <c r="C1937" t="s">
        <v>750</v>
      </c>
      <c r="D1937" t="s">
        <v>284</v>
      </c>
      <c r="E1937" t="s">
        <v>567</v>
      </c>
      <c r="F1937" t="s">
        <v>151</v>
      </c>
      <c r="G1937" t="s">
        <v>111</v>
      </c>
      <c r="H1937" t="s">
        <v>182</v>
      </c>
      <c r="I1937" t="s">
        <v>112</v>
      </c>
      <c r="J1937" t="s">
        <v>183</v>
      </c>
      <c r="K1937" t="s">
        <v>1537</v>
      </c>
      <c r="L1937" t="s">
        <v>1537</v>
      </c>
    </row>
    <row r="1938" spans="1:12" x14ac:dyDescent="0.3">
      <c r="A1938" t="s">
        <v>748</v>
      </c>
      <c r="B1938" t="s">
        <v>749</v>
      </c>
      <c r="C1938" t="s">
        <v>750</v>
      </c>
      <c r="D1938" t="s">
        <v>285</v>
      </c>
      <c r="E1938" t="s">
        <v>567</v>
      </c>
      <c r="F1938" t="s">
        <v>195</v>
      </c>
      <c r="G1938" t="s">
        <v>111</v>
      </c>
      <c r="H1938" t="s">
        <v>703</v>
      </c>
      <c r="I1938" t="s">
        <v>112</v>
      </c>
      <c r="J1938" t="s">
        <v>702</v>
      </c>
      <c r="K1938" t="s">
        <v>1559</v>
      </c>
      <c r="L1938" t="s">
        <v>1559</v>
      </c>
    </row>
    <row r="1939" spans="1:12" x14ac:dyDescent="0.3">
      <c r="A1939" t="s">
        <v>748</v>
      </c>
      <c r="B1939" t="s">
        <v>749</v>
      </c>
      <c r="C1939" t="s">
        <v>750</v>
      </c>
      <c r="D1939" t="s">
        <v>330</v>
      </c>
      <c r="E1939" t="s">
        <v>567</v>
      </c>
      <c r="F1939" t="s">
        <v>177</v>
      </c>
      <c r="G1939" t="s">
        <v>111</v>
      </c>
      <c r="H1939" t="s">
        <v>703</v>
      </c>
      <c r="I1939" t="s">
        <v>112</v>
      </c>
      <c r="J1939" t="s">
        <v>702</v>
      </c>
      <c r="K1939" t="s">
        <v>1551</v>
      </c>
      <c r="L1939" t="s">
        <v>1551</v>
      </c>
    </row>
    <row r="1940" spans="1:12" x14ac:dyDescent="0.3">
      <c r="A1940" t="s">
        <v>748</v>
      </c>
      <c r="B1940" t="s">
        <v>749</v>
      </c>
      <c r="C1940" t="s">
        <v>750</v>
      </c>
      <c r="D1940" t="s">
        <v>331</v>
      </c>
      <c r="E1940" t="s">
        <v>567</v>
      </c>
      <c r="F1940" t="s">
        <v>91</v>
      </c>
      <c r="G1940" t="s">
        <v>111</v>
      </c>
      <c r="H1940" t="s">
        <v>1549</v>
      </c>
      <c r="I1940" t="s">
        <v>112</v>
      </c>
      <c r="J1940" t="s">
        <v>1544</v>
      </c>
      <c r="K1940" t="s">
        <v>1559</v>
      </c>
      <c r="L1940" t="s">
        <v>1559</v>
      </c>
    </row>
    <row r="1941" spans="1:12" x14ac:dyDescent="0.3">
      <c r="A1941" t="s">
        <v>748</v>
      </c>
      <c r="B1941" t="s">
        <v>749</v>
      </c>
      <c r="C1941" t="s">
        <v>750</v>
      </c>
      <c r="D1941" t="s">
        <v>288</v>
      </c>
      <c r="E1941" t="s">
        <v>567</v>
      </c>
      <c r="F1941" t="s">
        <v>178</v>
      </c>
      <c r="G1941" t="s">
        <v>111</v>
      </c>
      <c r="H1941" t="s">
        <v>1561</v>
      </c>
      <c r="I1941" t="s">
        <v>112</v>
      </c>
      <c r="J1941" t="s">
        <v>702</v>
      </c>
    </row>
    <row r="1942" spans="1:12" x14ac:dyDescent="0.3">
      <c r="A1942" t="s">
        <v>748</v>
      </c>
      <c r="B1942" t="s">
        <v>749</v>
      </c>
      <c r="C1942" t="s">
        <v>750</v>
      </c>
      <c r="D1942" t="s">
        <v>289</v>
      </c>
      <c r="E1942" t="s">
        <v>567</v>
      </c>
      <c r="F1942" t="s">
        <v>179</v>
      </c>
      <c r="G1942" t="s">
        <v>111</v>
      </c>
      <c r="H1942" t="s">
        <v>1539</v>
      </c>
      <c r="I1942" t="s">
        <v>112</v>
      </c>
      <c r="J1942" t="s">
        <v>704</v>
      </c>
      <c r="K1942" t="s">
        <v>1562</v>
      </c>
      <c r="L1942" t="s">
        <v>1562</v>
      </c>
    </row>
    <row r="1943" spans="1:12" x14ac:dyDescent="0.3">
      <c r="A1943" t="s">
        <v>748</v>
      </c>
      <c r="B1943" t="s">
        <v>749</v>
      </c>
      <c r="C1943" t="s">
        <v>750</v>
      </c>
      <c r="D1943" t="s">
        <v>290</v>
      </c>
      <c r="E1943" t="s">
        <v>567</v>
      </c>
      <c r="F1943" t="s">
        <v>153</v>
      </c>
      <c r="G1943" t="s">
        <v>111</v>
      </c>
      <c r="H1943" t="s">
        <v>1539</v>
      </c>
      <c r="I1943" t="s">
        <v>112</v>
      </c>
      <c r="J1943" t="s">
        <v>704</v>
      </c>
      <c r="K1943" t="s">
        <v>1577</v>
      </c>
      <c r="L1943" t="s">
        <v>1577</v>
      </c>
    </row>
    <row r="1944" spans="1:12" x14ac:dyDescent="0.3">
      <c r="A1944" t="s">
        <v>748</v>
      </c>
      <c r="B1944" t="s">
        <v>749</v>
      </c>
      <c r="C1944" t="s">
        <v>750</v>
      </c>
      <c r="D1944" t="s">
        <v>292</v>
      </c>
      <c r="E1944" t="s">
        <v>567</v>
      </c>
      <c r="F1944" t="s">
        <v>55</v>
      </c>
      <c r="G1944" t="s">
        <v>111</v>
      </c>
      <c r="H1944" t="s">
        <v>1539</v>
      </c>
      <c r="I1944" t="s">
        <v>112</v>
      </c>
      <c r="J1944" t="s">
        <v>704</v>
      </c>
    </row>
    <row r="1945" spans="1:12" x14ac:dyDescent="0.3">
      <c r="A1945" t="s">
        <v>748</v>
      </c>
      <c r="B1945" t="s">
        <v>749</v>
      </c>
      <c r="C1945" t="s">
        <v>750</v>
      </c>
      <c r="D1945" t="s">
        <v>293</v>
      </c>
      <c r="E1945" t="s">
        <v>567</v>
      </c>
      <c r="F1945" t="s">
        <v>72</v>
      </c>
      <c r="G1945" t="s">
        <v>111</v>
      </c>
      <c r="H1945" t="s">
        <v>703</v>
      </c>
      <c r="I1945" t="s">
        <v>112</v>
      </c>
      <c r="J1945" t="s">
        <v>702</v>
      </c>
      <c r="K1945" t="s">
        <v>1548</v>
      </c>
      <c r="L1945" t="s">
        <v>1548</v>
      </c>
    </row>
    <row r="1946" spans="1:12" x14ac:dyDescent="0.3">
      <c r="A1946" t="s">
        <v>748</v>
      </c>
      <c r="B1946" t="s">
        <v>749</v>
      </c>
      <c r="C1946" t="s">
        <v>750</v>
      </c>
      <c r="D1946" t="s">
        <v>334</v>
      </c>
      <c r="E1946" t="s">
        <v>567</v>
      </c>
      <c r="F1946" t="s">
        <v>155</v>
      </c>
      <c r="G1946" t="s">
        <v>111</v>
      </c>
      <c r="H1946" t="s">
        <v>1549</v>
      </c>
      <c r="I1946" t="s">
        <v>112</v>
      </c>
      <c r="J1946" t="s">
        <v>1544</v>
      </c>
      <c r="K1946" t="s">
        <v>1578</v>
      </c>
      <c r="L1946" t="s">
        <v>1578</v>
      </c>
    </row>
    <row r="1947" spans="1:12" x14ac:dyDescent="0.3">
      <c r="A1947" t="s">
        <v>748</v>
      </c>
      <c r="B1947" t="s">
        <v>749</v>
      </c>
      <c r="C1947" t="s">
        <v>750</v>
      </c>
      <c r="D1947" t="s">
        <v>296</v>
      </c>
      <c r="E1947" t="s">
        <v>567</v>
      </c>
      <c r="F1947" t="s">
        <v>198</v>
      </c>
      <c r="G1947" t="s">
        <v>111</v>
      </c>
      <c r="H1947" t="s">
        <v>703</v>
      </c>
      <c r="I1947" t="s">
        <v>112</v>
      </c>
      <c r="J1947" t="s">
        <v>702</v>
      </c>
      <c r="K1947" t="s">
        <v>1572</v>
      </c>
      <c r="L1947" t="s">
        <v>1572</v>
      </c>
    </row>
    <row r="1948" spans="1:12" x14ac:dyDescent="0.3">
      <c r="A1948" t="s">
        <v>748</v>
      </c>
      <c r="B1948" t="s">
        <v>749</v>
      </c>
      <c r="C1948" t="s">
        <v>750</v>
      </c>
      <c r="D1948" t="s">
        <v>298</v>
      </c>
      <c r="E1948" t="s">
        <v>567</v>
      </c>
      <c r="F1948" t="s">
        <v>158</v>
      </c>
      <c r="G1948" t="s">
        <v>111</v>
      </c>
      <c r="H1948" t="s">
        <v>703</v>
      </c>
      <c r="I1948" t="s">
        <v>112</v>
      </c>
      <c r="J1948" t="s">
        <v>702</v>
      </c>
      <c r="K1948" t="s">
        <v>1548</v>
      </c>
      <c r="L1948" t="s">
        <v>1548</v>
      </c>
    </row>
    <row r="1949" spans="1:12" x14ac:dyDescent="0.3">
      <c r="A1949" t="s">
        <v>748</v>
      </c>
      <c r="B1949" t="s">
        <v>749</v>
      </c>
      <c r="C1949" t="s">
        <v>750</v>
      </c>
      <c r="D1949" t="s">
        <v>335</v>
      </c>
      <c r="E1949" t="s">
        <v>567</v>
      </c>
      <c r="F1949" t="s">
        <v>199</v>
      </c>
      <c r="G1949" t="s">
        <v>111</v>
      </c>
      <c r="H1949" t="s">
        <v>1539</v>
      </c>
      <c r="I1949" t="s">
        <v>112</v>
      </c>
      <c r="J1949" t="s">
        <v>704</v>
      </c>
    </row>
    <row r="1950" spans="1:12" x14ac:dyDescent="0.3">
      <c r="A1950" t="s">
        <v>748</v>
      </c>
      <c r="B1950" t="s">
        <v>749</v>
      </c>
      <c r="C1950" t="s">
        <v>750</v>
      </c>
      <c r="D1950" t="s">
        <v>336</v>
      </c>
      <c r="E1950" t="s">
        <v>567</v>
      </c>
      <c r="F1950" t="s">
        <v>159</v>
      </c>
      <c r="G1950" t="s">
        <v>111</v>
      </c>
      <c r="H1950" t="s">
        <v>1553</v>
      </c>
      <c r="I1950" t="s">
        <v>112</v>
      </c>
      <c r="J1950" t="s">
        <v>1554</v>
      </c>
      <c r="K1950" t="s">
        <v>1551</v>
      </c>
      <c r="L1950" t="s">
        <v>1551</v>
      </c>
    </row>
    <row r="1951" spans="1:12" x14ac:dyDescent="0.3">
      <c r="A1951" t="s">
        <v>748</v>
      </c>
      <c r="B1951" t="s">
        <v>749</v>
      </c>
      <c r="C1951" t="s">
        <v>750</v>
      </c>
      <c r="D1951" t="s">
        <v>299</v>
      </c>
      <c r="E1951" t="s">
        <v>567</v>
      </c>
      <c r="F1951" t="s">
        <v>47</v>
      </c>
      <c r="G1951" t="s">
        <v>111</v>
      </c>
      <c r="H1951" t="s">
        <v>703</v>
      </c>
      <c r="I1951" t="s">
        <v>112</v>
      </c>
      <c r="J1951" t="s">
        <v>702</v>
      </c>
      <c r="K1951" t="s">
        <v>1563</v>
      </c>
      <c r="L1951" t="s">
        <v>1563</v>
      </c>
    </row>
    <row r="1952" spans="1:12" x14ac:dyDescent="0.3">
      <c r="A1952" t="s">
        <v>748</v>
      </c>
      <c r="B1952" t="s">
        <v>749</v>
      </c>
      <c r="C1952" t="s">
        <v>750</v>
      </c>
      <c r="D1952" t="s">
        <v>300</v>
      </c>
      <c r="E1952" t="s">
        <v>567</v>
      </c>
      <c r="F1952" t="s">
        <v>181</v>
      </c>
      <c r="G1952" t="s">
        <v>111</v>
      </c>
      <c r="H1952" t="s">
        <v>703</v>
      </c>
      <c r="I1952" t="s">
        <v>112</v>
      </c>
      <c r="J1952" t="s">
        <v>702</v>
      </c>
      <c r="K1952" t="s">
        <v>1541</v>
      </c>
      <c r="L1952" t="s">
        <v>1541</v>
      </c>
    </row>
    <row r="1953" spans="1:12" x14ac:dyDescent="0.3">
      <c r="A1953" t="s">
        <v>748</v>
      </c>
      <c r="B1953" t="s">
        <v>749</v>
      </c>
      <c r="C1953" t="s">
        <v>750</v>
      </c>
      <c r="D1953" t="s">
        <v>301</v>
      </c>
      <c r="E1953" t="s">
        <v>567</v>
      </c>
      <c r="F1953" t="s">
        <v>73</v>
      </c>
      <c r="G1953" t="s">
        <v>111</v>
      </c>
      <c r="H1953" t="s">
        <v>703</v>
      </c>
      <c r="I1953" t="s">
        <v>112</v>
      </c>
      <c r="J1953" t="s">
        <v>702</v>
      </c>
      <c r="K1953" t="s">
        <v>1551</v>
      </c>
      <c r="L1953" t="s">
        <v>1551</v>
      </c>
    </row>
    <row r="1954" spans="1:12" x14ac:dyDescent="0.3">
      <c r="A1954" t="s">
        <v>748</v>
      </c>
      <c r="B1954" t="s">
        <v>749</v>
      </c>
      <c r="C1954" t="s">
        <v>750</v>
      </c>
      <c r="D1954" t="s">
        <v>208</v>
      </c>
      <c r="E1954" t="s">
        <v>567</v>
      </c>
      <c r="F1954" t="s">
        <v>161</v>
      </c>
      <c r="G1954" t="s">
        <v>111</v>
      </c>
      <c r="H1954" t="s">
        <v>703</v>
      </c>
      <c r="I1954" t="s">
        <v>112</v>
      </c>
      <c r="J1954" t="s">
        <v>702</v>
      </c>
      <c r="K1954" t="s">
        <v>1558</v>
      </c>
      <c r="L1954" t="s">
        <v>1558</v>
      </c>
    </row>
    <row r="1955" spans="1:12" x14ac:dyDescent="0.3">
      <c r="A1955" t="s">
        <v>748</v>
      </c>
      <c r="B1955" t="s">
        <v>749</v>
      </c>
      <c r="C1955" t="s">
        <v>750</v>
      </c>
      <c r="D1955" t="s">
        <v>302</v>
      </c>
      <c r="E1955" t="s">
        <v>567</v>
      </c>
      <c r="F1955" t="s">
        <v>162</v>
      </c>
      <c r="G1955" t="s">
        <v>111</v>
      </c>
      <c r="H1955" t="s">
        <v>1561</v>
      </c>
      <c r="I1955" t="s">
        <v>112</v>
      </c>
      <c r="J1955" t="s">
        <v>702</v>
      </c>
      <c r="K1955" t="s">
        <v>1579</v>
      </c>
      <c r="L1955" t="s">
        <v>1579</v>
      </c>
    </row>
    <row r="1956" spans="1:12" x14ac:dyDescent="0.3">
      <c r="A1956" t="s">
        <v>748</v>
      </c>
      <c r="B1956" t="s">
        <v>749</v>
      </c>
      <c r="C1956" t="s">
        <v>750</v>
      </c>
      <c r="D1956" t="s">
        <v>1580</v>
      </c>
      <c r="E1956" t="s">
        <v>569</v>
      </c>
      <c r="F1956" t="s">
        <v>49</v>
      </c>
      <c r="G1956" t="s">
        <v>111</v>
      </c>
      <c r="H1956" t="s">
        <v>182</v>
      </c>
      <c r="I1956" t="s">
        <v>112</v>
      </c>
      <c r="J1956" t="s">
        <v>183</v>
      </c>
      <c r="K1956" t="s">
        <v>1535</v>
      </c>
      <c r="L1956" t="s">
        <v>1535</v>
      </c>
    </row>
    <row r="1957" spans="1:12" x14ac:dyDescent="0.3">
      <c r="A1957" t="s">
        <v>748</v>
      </c>
      <c r="B1957" t="s">
        <v>749</v>
      </c>
      <c r="C1957" t="s">
        <v>750</v>
      </c>
      <c r="D1957" t="s">
        <v>1581</v>
      </c>
      <c r="E1957" t="s">
        <v>569</v>
      </c>
      <c r="F1957" t="s">
        <v>115</v>
      </c>
      <c r="G1957" t="s">
        <v>111</v>
      </c>
      <c r="H1957" t="s">
        <v>703</v>
      </c>
      <c r="I1957" t="s">
        <v>112</v>
      </c>
      <c r="J1957" t="s">
        <v>702</v>
      </c>
      <c r="K1957" t="s">
        <v>1582</v>
      </c>
      <c r="L1957" t="s">
        <v>1582</v>
      </c>
    </row>
    <row r="1958" spans="1:12" x14ac:dyDescent="0.3">
      <c r="A1958" t="s">
        <v>748</v>
      </c>
      <c r="B1958" t="s">
        <v>749</v>
      </c>
      <c r="C1958" t="s">
        <v>750</v>
      </c>
      <c r="D1958" t="s">
        <v>1583</v>
      </c>
      <c r="E1958" t="s">
        <v>569</v>
      </c>
      <c r="F1958" t="s">
        <v>59</v>
      </c>
      <c r="G1958" t="s">
        <v>111</v>
      </c>
      <c r="H1958" t="s">
        <v>187</v>
      </c>
      <c r="I1958" t="s">
        <v>112</v>
      </c>
      <c r="J1958" t="s">
        <v>183</v>
      </c>
    </row>
    <row r="1959" spans="1:12" x14ac:dyDescent="0.3">
      <c r="A1959" t="s">
        <v>748</v>
      </c>
      <c r="B1959" t="s">
        <v>749</v>
      </c>
      <c r="C1959" t="s">
        <v>750</v>
      </c>
      <c r="D1959" t="s">
        <v>1584</v>
      </c>
      <c r="E1959" t="s">
        <v>569</v>
      </c>
      <c r="F1959" t="s">
        <v>117</v>
      </c>
      <c r="G1959" t="s">
        <v>111</v>
      </c>
      <c r="H1959" t="s">
        <v>703</v>
      </c>
      <c r="I1959" t="s">
        <v>112</v>
      </c>
      <c r="J1959" t="s">
        <v>702</v>
      </c>
      <c r="K1959" t="s">
        <v>1536</v>
      </c>
      <c r="L1959" t="s">
        <v>1536</v>
      </c>
    </row>
    <row r="1960" spans="1:12" x14ac:dyDescent="0.3">
      <c r="A1960" t="s">
        <v>748</v>
      </c>
      <c r="B1960" t="s">
        <v>749</v>
      </c>
      <c r="C1960" t="s">
        <v>750</v>
      </c>
      <c r="D1960" t="s">
        <v>1585</v>
      </c>
      <c r="E1960" t="s">
        <v>569</v>
      </c>
      <c r="F1960" t="s">
        <v>188</v>
      </c>
      <c r="G1960" t="s">
        <v>111</v>
      </c>
      <c r="H1960" t="s">
        <v>1539</v>
      </c>
      <c r="I1960" t="s">
        <v>112</v>
      </c>
      <c r="J1960" t="s">
        <v>704</v>
      </c>
    </row>
    <row r="1961" spans="1:12" x14ac:dyDescent="0.3">
      <c r="A1961" t="s">
        <v>748</v>
      </c>
      <c r="B1961" t="s">
        <v>749</v>
      </c>
      <c r="C1961" t="s">
        <v>750</v>
      </c>
      <c r="D1961" t="s">
        <v>1586</v>
      </c>
      <c r="E1961" t="s">
        <v>569</v>
      </c>
      <c r="F1961" t="s">
        <v>120</v>
      </c>
      <c r="G1961" t="s">
        <v>111</v>
      </c>
      <c r="H1961" t="s">
        <v>703</v>
      </c>
      <c r="I1961" t="s">
        <v>112</v>
      </c>
      <c r="J1961" t="s">
        <v>702</v>
      </c>
      <c r="K1961" t="s">
        <v>1537</v>
      </c>
      <c r="L1961" t="s">
        <v>1537</v>
      </c>
    </row>
    <row r="1962" spans="1:12" x14ac:dyDescent="0.3">
      <c r="A1962" t="s">
        <v>748</v>
      </c>
      <c r="B1962" t="s">
        <v>749</v>
      </c>
      <c r="C1962" t="s">
        <v>750</v>
      </c>
      <c r="D1962" t="s">
        <v>1587</v>
      </c>
      <c r="E1962" t="s">
        <v>569</v>
      </c>
      <c r="F1962" t="s">
        <v>164</v>
      </c>
      <c r="G1962" t="s">
        <v>111</v>
      </c>
      <c r="H1962" t="s">
        <v>703</v>
      </c>
      <c r="I1962" t="s">
        <v>112</v>
      </c>
      <c r="J1962" t="s">
        <v>702</v>
      </c>
      <c r="K1962" t="s">
        <v>1538</v>
      </c>
      <c r="L1962" t="s">
        <v>1538</v>
      </c>
    </row>
    <row r="1963" spans="1:12" x14ac:dyDescent="0.3">
      <c r="A1963" t="s">
        <v>748</v>
      </c>
      <c r="B1963" t="s">
        <v>749</v>
      </c>
      <c r="C1963" t="s">
        <v>750</v>
      </c>
      <c r="D1963" t="s">
        <v>1588</v>
      </c>
      <c r="E1963" t="s">
        <v>569</v>
      </c>
      <c r="F1963" t="s">
        <v>53</v>
      </c>
      <c r="G1963" t="s">
        <v>111</v>
      </c>
      <c r="H1963" t="s">
        <v>187</v>
      </c>
      <c r="I1963" t="s">
        <v>112</v>
      </c>
      <c r="J1963" t="s">
        <v>183</v>
      </c>
    </row>
    <row r="1964" spans="1:12" x14ac:dyDescent="0.3">
      <c r="A1964" t="s">
        <v>748</v>
      </c>
      <c r="B1964" t="s">
        <v>749</v>
      </c>
      <c r="C1964" t="s">
        <v>750</v>
      </c>
      <c r="D1964" t="s">
        <v>1589</v>
      </c>
      <c r="E1964" t="s">
        <v>569</v>
      </c>
      <c r="F1964" t="s">
        <v>69</v>
      </c>
      <c r="G1964" t="s">
        <v>111</v>
      </c>
      <c r="H1964" t="s">
        <v>1539</v>
      </c>
      <c r="I1964" t="s">
        <v>112</v>
      </c>
      <c r="J1964" t="s">
        <v>704</v>
      </c>
      <c r="K1964" t="s">
        <v>1541</v>
      </c>
      <c r="L1964" t="s">
        <v>1541</v>
      </c>
    </row>
    <row r="1965" spans="1:12" x14ac:dyDescent="0.3">
      <c r="A1965" t="s">
        <v>748</v>
      </c>
      <c r="B1965" t="s">
        <v>749</v>
      </c>
      <c r="C1965" t="s">
        <v>750</v>
      </c>
      <c r="D1965" t="s">
        <v>1590</v>
      </c>
      <c r="E1965" t="s">
        <v>569</v>
      </c>
      <c r="F1965" t="s">
        <v>122</v>
      </c>
      <c r="G1965" t="s">
        <v>111</v>
      </c>
      <c r="H1965" t="s">
        <v>1553</v>
      </c>
      <c r="I1965" t="s">
        <v>112</v>
      </c>
      <c r="J1965" t="s">
        <v>1554</v>
      </c>
      <c r="K1965" t="s">
        <v>1542</v>
      </c>
      <c r="L1965" t="s">
        <v>1542</v>
      </c>
    </row>
    <row r="1966" spans="1:12" x14ac:dyDescent="0.3">
      <c r="A1966" t="s">
        <v>748</v>
      </c>
      <c r="B1966" t="s">
        <v>749</v>
      </c>
      <c r="C1966" t="s">
        <v>750</v>
      </c>
      <c r="D1966" t="s">
        <v>1591</v>
      </c>
      <c r="E1966" t="s">
        <v>569</v>
      </c>
      <c r="F1966" t="s">
        <v>165</v>
      </c>
      <c r="G1966" t="s">
        <v>111</v>
      </c>
      <c r="H1966" t="s">
        <v>703</v>
      </c>
      <c r="I1966" t="s">
        <v>112</v>
      </c>
      <c r="J1966" t="s">
        <v>702</v>
      </c>
      <c r="K1966" t="s">
        <v>1545</v>
      </c>
      <c r="L1966" t="s">
        <v>1545</v>
      </c>
    </row>
    <row r="1967" spans="1:12" x14ac:dyDescent="0.3">
      <c r="A1967" t="s">
        <v>748</v>
      </c>
      <c r="B1967" t="s">
        <v>749</v>
      </c>
      <c r="C1967" t="s">
        <v>750</v>
      </c>
      <c r="D1967" t="s">
        <v>1592</v>
      </c>
      <c r="E1967" t="s">
        <v>569</v>
      </c>
      <c r="F1967" t="s">
        <v>54</v>
      </c>
      <c r="G1967" t="s">
        <v>111</v>
      </c>
      <c r="H1967" t="s">
        <v>182</v>
      </c>
      <c r="I1967" t="s">
        <v>112</v>
      </c>
      <c r="J1967" t="s">
        <v>183</v>
      </c>
      <c r="K1967" t="s">
        <v>1547</v>
      </c>
      <c r="L1967" t="s">
        <v>1547</v>
      </c>
    </row>
    <row r="1968" spans="1:12" x14ac:dyDescent="0.3">
      <c r="A1968" t="s">
        <v>748</v>
      </c>
      <c r="B1968" t="s">
        <v>749</v>
      </c>
      <c r="C1968" t="s">
        <v>750</v>
      </c>
      <c r="D1968" t="s">
        <v>1593</v>
      </c>
      <c r="E1968" t="s">
        <v>569</v>
      </c>
      <c r="F1968" t="s">
        <v>45</v>
      </c>
      <c r="G1968" t="s">
        <v>111</v>
      </c>
      <c r="H1968" t="s">
        <v>1594</v>
      </c>
      <c r="I1968" t="s">
        <v>112</v>
      </c>
      <c r="J1968" t="s">
        <v>1595</v>
      </c>
      <c r="K1968" t="s">
        <v>1542</v>
      </c>
      <c r="L1968" t="s">
        <v>1542</v>
      </c>
    </row>
    <row r="1969" spans="1:12" x14ac:dyDescent="0.3">
      <c r="A1969" t="s">
        <v>748</v>
      </c>
      <c r="B1969" t="s">
        <v>749</v>
      </c>
      <c r="C1969" t="s">
        <v>750</v>
      </c>
      <c r="D1969" t="s">
        <v>1596</v>
      </c>
      <c r="E1969" t="s">
        <v>569</v>
      </c>
      <c r="F1969" t="s">
        <v>190</v>
      </c>
      <c r="G1969" t="s">
        <v>111</v>
      </c>
      <c r="H1969" t="s">
        <v>1539</v>
      </c>
      <c r="I1969" t="s">
        <v>112</v>
      </c>
      <c r="J1969" t="s">
        <v>704</v>
      </c>
      <c r="K1969" t="s">
        <v>1548</v>
      </c>
      <c r="L1969" t="s">
        <v>1548</v>
      </c>
    </row>
    <row r="1970" spans="1:12" x14ac:dyDescent="0.3">
      <c r="A1970" t="s">
        <v>748</v>
      </c>
      <c r="B1970" t="s">
        <v>749</v>
      </c>
      <c r="C1970" t="s">
        <v>750</v>
      </c>
      <c r="D1970" t="s">
        <v>1597</v>
      </c>
      <c r="E1970" t="s">
        <v>569</v>
      </c>
      <c r="F1970" t="s">
        <v>124</v>
      </c>
      <c r="G1970" t="s">
        <v>111</v>
      </c>
      <c r="H1970" t="s">
        <v>1565</v>
      </c>
      <c r="I1970" t="s">
        <v>112</v>
      </c>
      <c r="J1970" t="s">
        <v>1566</v>
      </c>
      <c r="K1970" t="s">
        <v>1550</v>
      </c>
      <c r="L1970" t="s">
        <v>1550</v>
      </c>
    </row>
    <row r="1971" spans="1:12" x14ac:dyDescent="0.3">
      <c r="A1971" t="s">
        <v>748</v>
      </c>
      <c r="B1971" t="s">
        <v>749</v>
      </c>
      <c r="C1971" t="s">
        <v>750</v>
      </c>
      <c r="D1971" t="s">
        <v>1598</v>
      </c>
      <c r="E1971" t="s">
        <v>569</v>
      </c>
      <c r="F1971" t="s">
        <v>58</v>
      </c>
      <c r="G1971" t="s">
        <v>111</v>
      </c>
      <c r="H1971" t="s">
        <v>703</v>
      </c>
      <c r="I1971" t="s">
        <v>112</v>
      </c>
      <c r="J1971" t="s">
        <v>702</v>
      </c>
      <c r="K1971" t="s">
        <v>1551</v>
      </c>
      <c r="L1971" t="s">
        <v>1551</v>
      </c>
    </row>
    <row r="1972" spans="1:12" x14ac:dyDescent="0.3">
      <c r="A1972" t="s">
        <v>748</v>
      </c>
      <c r="B1972" t="s">
        <v>749</v>
      </c>
      <c r="C1972" t="s">
        <v>750</v>
      </c>
      <c r="D1972" t="s">
        <v>1599</v>
      </c>
      <c r="E1972" t="s">
        <v>569</v>
      </c>
      <c r="F1972" t="s">
        <v>191</v>
      </c>
      <c r="G1972" t="s">
        <v>111</v>
      </c>
      <c r="H1972" t="s">
        <v>703</v>
      </c>
      <c r="I1972" t="s">
        <v>112</v>
      </c>
      <c r="J1972" t="s">
        <v>702</v>
      </c>
      <c r="K1972" t="s">
        <v>1600</v>
      </c>
      <c r="L1972" t="s">
        <v>1600</v>
      </c>
    </row>
    <row r="1973" spans="1:12" x14ac:dyDescent="0.3">
      <c r="A1973" t="s">
        <v>748</v>
      </c>
      <c r="B1973" t="s">
        <v>749</v>
      </c>
      <c r="C1973" t="s">
        <v>750</v>
      </c>
      <c r="D1973" t="s">
        <v>1601</v>
      </c>
      <c r="E1973" t="s">
        <v>569</v>
      </c>
      <c r="F1973" t="s">
        <v>126</v>
      </c>
      <c r="G1973" t="s">
        <v>111</v>
      </c>
      <c r="H1973" t="s">
        <v>703</v>
      </c>
      <c r="I1973" t="s">
        <v>112</v>
      </c>
      <c r="J1973" t="s">
        <v>702</v>
      </c>
      <c r="K1973" t="s">
        <v>1558</v>
      </c>
      <c r="L1973" t="s">
        <v>1558</v>
      </c>
    </row>
    <row r="1974" spans="1:12" x14ac:dyDescent="0.3">
      <c r="A1974" t="s">
        <v>748</v>
      </c>
      <c r="B1974" t="s">
        <v>749</v>
      </c>
      <c r="C1974" t="s">
        <v>750</v>
      </c>
      <c r="D1974" t="s">
        <v>1602</v>
      </c>
      <c r="E1974" t="s">
        <v>569</v>
      </c>
      <c r="F1974" t="s">
        <v>167</v>
      </c>
      <c r="G1974" t="s">
        <v>111</v>
      </c>
      <c r="H1974" t="s">
        <v>1553</v>
      </c>
      <c r="I1974" t="s">
        <v>112</v>
      </c>
      <c r="J1974" t="s">
        <v>1554</v>
      </c>
      <c r="K1974" t="s">
        <v>1603</v>
      </c>
      <c r="L1974" t="s">
        <v>1603</v>
      </c>
    </row>
    <row r="1975" spans="1:12" x14ac:dyDescent="0.3">
      <c r="A1975" t="s">
        <v>748</v>
      </c>
      <c r="B1975" t="s">
        <v>749</v>
      </c>
      <c r="C1975" t="s">
        <v>750</v>
      </c>
      <c r="D1975" t="s">
        <v>1604</v>
      </c>
      <c r="E1975" t="s">
        <v>569</v>
      </c>
      <c r="F1975" t="s">
        <v>127</v>
      </c>
      <c r="G1975" t="s">
        <v>111</v>
      </c>
      <c r="H1975" t="s">
        <v>703</v>
      </c>
      <c r="I1975" t="s">
        <v>112</v>
      </c>
      <c r="J1975" t="s">
        <v>702</v>
      </c>
      <c r="K1975" t="s">
        <v>1555</v>
      </c>
      <c r="L1975" t="s">
        <v>1555</v>
      </c>
    </row>
    <row r="1976" spans="1:12" x14ac:dyDescent="0.3">
      <c r="A1976" t="s">
        <v>748</v>
      </c>
      <c r="B1976" t="s">
        <v>749</v>
      </c>
      <c r="C1976" t="s">
        <v>750</v>
      </c>
      <c r="D1976" t="s">
        <v>1605</v>
      </c>
      <c r="E1976" t="s">
        <v>569</v>
      </c>
      <c r="F1976" t="s">
        <v>128</v>
      </c>
      <c r="G1976" t="s">
        <v>111</v>
      </c>
      <c r="H1976" t="s">
        <v>1594</v>
      </c>
      <c r="I1976" t="s">
        <v>112</v>
      </c>
      <c r="J1976" t="s">
        <v>1595</v>
      </c>
      <c r="K1976" t="s">
        <v>1541</v>
      </c>
      <c r="L1976" t="s">
        <v>1541</v>
      </c>
    </row>
    <row r="1977" spans="1:12" x14ac:dyDescent="0.3">
      <c r="A1977" t="s">
        <v>748</v>
      </c>
      <c r="B1977" t="s">
        <v>749</v>
      </c>
      <c r="C1977" t="s">
        <v>750</v>
      </c>
      <c r="D1977" t="s">
        <v>1606</v>
      </c>
      <c r="E1977" t="s">
        <v>569</v>
      </c>
      <c r="F1977" t="s">
        <v>168</v>
      </c>
      <c r="G1977" t="s">
        <v>111</v>
      </c>
      <c r="H1977" t="s">
        <v>1539</v>
      </c>
      <c r="I1977" t="s">
        <v>112</v>
      </c>
      <c r="J1977" t="s">
        <v>704</v>
      </c>
      <c r="K1977" t="s">
        <v>1560</v>
      </c>
      <c r="L1977" t="s">
        <v>1560</v>
      </c>
    </row>
    <row r="1978" spans="1:12" x14ac:dyDescent="0.3">
      <c r="A1978" t="s">
        <v>748</v>
      </c>
      <c r="B1978" t="s">
        <v>749</v>
      </c>
      <c r="C1978" t="s">
        <v>750</v>
      </c>
      <c r="D1978" t="s">
        <v>1607</v>
      </c>
      <c r="E1978" t="s">
        <v>569</v>
      </c>
      <c r="F1978" t="s">
        <v>89</v>
      </c>
      <c r="G1978" t="s">
        <v>111</v>
      </c>
      <c r="H1978" t="s">
        <v>182</v>
      </c>
      <c r="I1978" t="s">
        <v>112</v>
      </c>
      <c r="J1978" t="s">
        <v>183</v>
      </c>
      <c r="K1978" t="s">
        <v>1608</v>
      </c>
      <c r="L1978" t="s">
        <v>1608</v>
      </c>
    </row>
    <row r="1979" spans="1:12" x14ac:dyDescent="0.3">
      <c r="A1979" t="s">
        <v>748</v>
      </c>
      <c r="B1979" t="s">
        <v>749</v>
      </c>
      <c r="C1979" t="s">
        <v>750</v>
      </c>
      <c r="D1979" t="s">
        <v>1609</v>
      </c>
      <c r="E1979" t="s">
        <v>569</v>
      </c>
      <c r="F1979" t="s">
        <v>66</v>
      </c>
      <c r="G1979" t="s">
        <v>111</v>
      </c>
      <c r="H1979" t="s">
        <v>703</v>
      </c>
      <c r="I1979" t="s">
        <v>112</v>
      </c>
      <c r="J1979" t="s">
        <v>702</v>
      </c>
      <c r="K1979" t="s">
        <v>1610</v>
      </c>
      <c r="L1979" t="s">
        <v>1610</v>
      </c>
    </row>
    <row r="1980" spans="1:12" x14ac:dyDescent="0.3">
      <c r="A1980" t="s">
        <v>748</v>
      </c>
      <c r="B1980" t="s">
        <v>749</v>
      </c>
      <c r="C1980" t="s">
        <v>750</v>
      </c>
      <c r="D1980" t="s">
        <v>1611</v>
      </c>
      <c r="E1980" t="s">
        <v>569</v>
      </c>
      <c r="F1980" t="s">
        <v>169</v>
      </c>
      <c r="G1980" t="s">
        <v>111</v>
      </c>
      <c r="H1980" t="s">
        <v>703</v>
      </c>
      <c r="I1980" t="s">
        <v>112</v>
      </c>
      <c r="J1980" t="s">
        <v>702</v>
      </c>
      <c r="K1980" t="s">
        <v>1559</v>
      </c>
      <c r="L1980" t="s">
        <v>1559</v>
      </c>
    </row>
    <row r="1981" spans="1:12" x14ac:dyDescent="0.3">
      <c r="A1981" t="s">
        <v>748</v>
      </c>
      <c r="B1981" t="s">
        <v>749</v>
      </c>
      <c r="C1981" t="s">
        <v>750</v>
      </c>
      <c r="D1981" t="s">
        <v>1612</v>
      </c>
      <c r="E1981" t="s">
        <v>569</v>
      </c>
      <c r="F1981" t="s">
        <v>110</v>
      </c>
      <c r="G1981" t="s">
        <v>111</v>
      </c>
      <c r="H1981" t="s">
        <v>182</v>
      </c>
      <c r="I1981" t="s">
        <v>112</v>
      </c>
      <c r="J1981" t="s">
        <v>183</v>
      </c>
      <c r="K1981" t="s">
        <v>1562</v>
      </c>
      <c r="L1981" t="s">
        <v>1562</v>
      </c>
    </row>
    <row r="1982" spans="1:12" x14ac:dyDescent="0.3">
      <c r="A1982" t="s">
        <v>748</v>
      </c>
      <c r="B1982" t="s">
        <v>749</v>
      </c>
      <c r="C1982" t="s">
        <v>750</v>
      </c>
      <c r="D1982" t="s">
        <v>1613</v>
      </c>
      <c r="E1982" t="s">
        <v>569</v>
      </c>
      <c r="F1982" t="s">
        <v>93</v>
      </c>
      <c r="G1982" t="s">
        <v>111</v>
      </c>
      <c r="H1982" t="s">
        <v>182</v>
      </c>
      <c r="I1982" t="s">
        <v>112</v>
      </c>
      <c r="J1982" t="s">
        <v>183</v>
      </c>
      <c r="K1982" t="s">
        <v>1548</v>
      </c>
      <c r="L1982" t="s">
        <v>1548</v>
      </c>
    </row>
    <row r="1983" spans="1:12" x14ac:dyDescent="0.3">
      <c r="A1983" t="s">
        <v>748</v>
      </c>
      <c r="B1983" t="s">
        <v>749</v>
      </c>
      <c r="C1983" t="s">
        <v>750</v>
      </c>
      <c r="D1983" t="s">
        <v>1614</v>
      </c>
      <c r="E1983" t="s">
        <v>569</v>
      </c>
      <c r="F1983" t="s">
        <v>129</v>
      </c>
      <c r="G1983" t="s">
        <v>111</v>
      </c>
      <c r="H1983" t="s">
        <v>703</v>
      </c>
      <c r="I1983" t="s">
        <v>112</v>
      </c>
      <c r="J1983" t="s">
        <v>702</v>
      </c>
      <c r="K1983" t="s">
        <v>1560</v>
      </c>
      <c r="L1983" t="s">
        <v>1560</v>
      </c>
    </row>
    <row r="1984" spans="1:12" x14ac:dyDescent="0.3">
      <c r="A1984" t="s">
        <v>748</v>
      </c>
      <c r="B1984" t="s">
        <v>749</v>
      </c>
      <c r="C1984" t="s">
        <v>750</v>
      </c>
      <c r="D1984" t="s">
        <v>1615</v>
      </c>
      <c r="E1984" t="s">
        <v>569</v>
      </c>
      <c r="F1984" t="s">
        <v>87</v>
      </c>
      <c r="G1984" t="s">
        <v>111</v>
      </c>
      <c r="H1984" t="s">
        <v>1565</v>
      </c>
      <c r="I1984" t="s">
        <v>112</v>
      </c>
      <c r="J1984" t="s">
        <v>1566</v>
      </c>
      <c r="K1984" t="s">
        <v>1548</v>
      </c>
      <c r="L1984" t="s">
        <v>1548</v>
      </c>
    </row>
    <row r="1985" spans="1:12" x14ac:dyDescent="0.3">
      <c r="A1985" t="s">
        <v>748</v>
      </c>
      <c r="B1985" t="s">
        <v>749</v>
      </c>
      <c r="C1985" t="s">
        <v>750</v>
      </c>
      <c r="D1985" t="s">
        <v>1616</v>
      </c>
      <c r="E1985" t="s">
        <v>569</v>
      </c>
      <c r="F1985" t="s">
        <v>130</v>
      </c>
      <c r="G1985" t="s">
        <v>111</v>
      </c>
      <c r="H1985" t="s">
        <v>703</v>
      </c>
      <c r="I1985" t="s">
        <v>112</v>
      </c>
      <c r="J1985" t="s">
        <v>702</v>
      </c>
      <c r="K1985" t="s">
        <v>1563</v>
      </c>
      <c r="L1985" t="s">
        <v>1563</v>
      </c>
    </row>
    <row r="1986" spans="1:12" x14ac:dyDescent="0.3">
      <c r="A1986" t="s">
        <v>748</v>
      </c>
      <c r="B1986" t="s">
        <v>749</v>
      </c>
      <c r="C1986" t="s">
        <v>750</v>
      </c>
      <c r="D1986" t="s">
        <v>1617</v>
      </c>
      <c r="E1986" t="s">
        <v>569</v>
      </c>
      <c r="F1986" t="s">
        <v>131</v>
      </c>
      <c r="G1986" t="s">
        <v>111</v>
      </c>
      <c r="H1986" t="s">
        <v>182</v>
      </c>
      <c r="I1986" t="s">
        <v>112</v>
      </c>
      <c r="J1986" t="s">
        <v>183</v>
      </c>
      <c r="K1986" t="s">
        <v>1562</v>
      </c>
      <c r="L1986" t="s">
        <v>1562</v>
      </c>
    </row>
    <row r="1987" spans="1:12" x14ac:dyDescent="0.3">
      <c r="A1987" t="s">
        <v>748</v>
      </c>
      <c r="B1987" t="s">
        <v>749</v>
      </c>
      <c r="C1987" t="s">
        <v>750</v>
      </c>
      <c r="D1987" t="s">
        <v>1618</v>
      </c>
      <c r="E1987" t="s">
        <v>569</v>
      </c>
      <c r="F1987" t="s">
        <v>50</v>
      </c>
      <c r="G1987" t="s">
        <v>111</v>
      </c>
      <c r="H1987" t="s">
        <v>703</v>
      </c>
      <c r="I1987" t="s">
        <v>112</v>
      </c>
      <c r="J1987" t="s">
        <v>702</v>
      </c>
      <c r="K1987" t="s">
        <v>1551</v>
      </c>
      <c r="L1987" t="s">
        <v>1551</v>
      </c>
    </row>
    <row r="1988" spans="1:12" x14ac:dyDescent="0.3">
      <c r="A1988" t="s">
        <v>748</v>
      </c>
      <c r="B1988" t="s">
        <v>749</v>
      </c>
      <c r="C1988" t="s">
        <v>750</v>
      </c>
      <c r="D1988" t="s">
        <v>1619</v>
      </c>
      <c r="E1988" t="s">
        <v>568</v>
      </c>
      <c r="F1988" t="s">
        <v>193</v>
      </c>
      <c r="G1988" t="s">
        <v>111</v>
      </c>
      <c r="H1988" t="s">
        <v>1539</v>
      </c>
      <c r="I1988" t="s">
        <v>112</v>
      </c>
      <c r="J1988" t="s">
        <v>704</v>
      </c>
      <c r="K1988" t="s">
        <v>1564</v>
      </c>
      <c r="L1988" t="s">
        <v>1564</v>
      </c>
    </row>
    <row r="1989" spans="1:12" x14ac:dyDescent="0.3">
      <c r="A1989" t="s">
        <v>748</v>
      </c>
      <c r="B1989" t="s">
        <v>749</v>
      </c>
      <c r="C1989" t="s">
        <v>750</v>
      </c>
      <c r="D1989" t="s">
        <v>1620</v>
      </c>
      <c r="E1989" t="s">
        <v>568</v>
      </c>
      <c r="F1989" t="s">
        <v>134</v>
      </c>
      <c r="G1989" t="s">
        <v>111</v>
      </c>
      <c r="H1989" t="s">
        <v>182</v>
      </c>
      <c r="I1989" t="s">
        <v>112</v>
      </c>
      <c r="J1989" t="s">
        <v>183</v>
      </c>
      <c r="K1989" t="s">
        <v>1562</v>
      </c>
      <c r="L1989" t="s">
        <v>1562</v>
      </c>
    </row>
    <row r="1990" spans="1:12" x14ac:dyDescent="0.3">
      <c r="A1990" t="s">
        <v>748</v>
      </c>
      <c r="B1990" t="s">
        <v>749</v>
      </c>
      <c r="C1990" t="s">
        <v>750</v>
      </c>
      <c r="D1990" t="s">
        <v>1621</v>
      </c>
      <c r="E1990" t="s">
        <v>568</v>
      </c>
      <c r="F1990" t="s">
        <v>51</v>
      </c>
      <c r="G1990" t="s">
        <v>111</v>
      </c>
      <c r="H1990" t="s">
        <v>703</v>
      </c>
      <c r="I1990" t="s">
        <v>112</v>
      </c>
      <c r="J1990" t="s">
        <v>702</v>
      </c>
      <c r="K1990" t="s">
        <v>1567</v>
      </c>
      <c r="L1990" t="s">
        <v>1567</v>
      </c>
    </row>
    <row r="1991" spans="1:12" x14ac:dyDescent="0.3">
      <c r="A1991" t="s">
        <v>748</v>
      </c>
      <c r="B1991" t="s">
        <v>749</v>
      </c>
      <c r="C1991" t="s">
        <v>750</v>
      </c>
      <c r="D1991" t="s">
        <v>1622</v>
      </c>
      <c r="E1991" t="s">
        <v>568</v>
      </c>
      <c r="F1991" t="s">
        <v>163</v>
      </c>
      <c r="G1991" t="s">
        <v>111</v>
      </c>
      <c r="H1991" t="s">
        <v>186</v>
      </c>
      <c r="I1991" t="s">
        <v>112</v>
      </c>
      <c r="J1991" t="s">
        <v>183</v>
      </c>
      <c r="K1991" t="s">
        <v>1542</v>
      </c>
      <c r="L1991" t="s">
        <v>1542</v>
      </c>
    </row>
    <row r="1992" spans="1:12" x14ac:dyDescent="0.3">
      <c r="A1992" t="s">
        <v>748</v>
      </c>
      <c r="B1992" t="s">
        <v>749</v>
      </c>
      <c r="C1992" t="s">
        <v>750</v>
      </c>
      <c r="D1992" t="s">
        <v>1623</v>
      </c>
      <c r="E1992" t="s">
        <v>568</v>
      </c>
      <c r="F1992" t="s">
        <v>170</v>
      </c>
      <c r="G1992" t="s">
        <v>111</v>
      </c>
      <c r="H1992" t="s">
        <v>187</v>
      </c>
      <c r="I1992" t="s">
        <v>112</v>
      </c>
      <c r="J1992" t="s">
        <v>183</v>
      </c>
    </row>
    <row r="1993" spans="1:12" x14ac:dyDescent="0.3">
      <c r="A1993" t="s">
        <v>748</v>
      </c>
      <c r="B1993" t="s">
        <v>749</v>
      </c>
      <c r="C1993" t="s">
        <v>750</v>
      </c>
      <c r="D1993" t="s">
        <v>1624</v>
      </c>
      <c r="E1993" t="s">
        <v>568</v>
      </c>
      <c r="F1993" t="s">
        <v>78</v>
      </c>
      <c r="G1993" t="s">
        <v>111</v>
      </c>
      <c r="H1993" t="s">
        <v>1539</v>
      </c>
      <c r="I1993" t="s">
        <v>112</v>
      </c>
      <c r="J1993" t="s">
        <v>704</v>
      </c>
    </row>
    <row r="1994" spans="1:12" x14ac:dyDescent="0.3">
      <c r="A1994" t="s">
        <v>748</v>
      </c>
      <c r="B1994" t="s">
        <v>749</v>
      </c>
      <c r="C1994" t="s">
        <v>750</v>
      </c>
      <c r="D1994" t="s">
        <v>1625</v>
      </c>
      <c r="E1994" t="s">
        <v>568</v>
      </c>
      <c r="F1994" t="s">
        <v>82</v>
      </c>
      <c r="G1994" t="s">
        <v>111</v>
      </c>
      <c r="H1994" t="s">
        <v>1539</v>
      </c>
      <c r="I1994" t="s">
        <v>112</v>
      </c>
      <c r="J1994" t="s">
        <v>704</v>
      </c>
      <c r="K1994" t="s">
        <v>1555</v>
      </c>
      <c r="L1994" t="s">
        <v>1555</v>
      </c>
    </row>
    <row r="1995" spans="1:12" x14ac:dyDescent="0.3">
      <c r="A1995" t="s">
        <v>748</v>
      </c>
      <c r="B1995" t="s">
        <v>749</v>
      </c>
      <c r="C1995" t="s">
        <v>750</v>
      </c>
      <c r="D1995" t="s">
        <v>1626</v>
      </c>
      <c r="E1995" t="s">
        <v>568</v>
      </c>
      <c r="F1995" t="s">
        <v>135</v>
      </c>
      <c r="G1995" t="s">
        <v>111</v>
      </c>
      <c r="H1995" t="s">
        <v>1539</v>
      </c>
      <c r="I1995" t="s">
        <v>112</v>
      </c>
      <c r="J1995" t="s">
        <v>704</v>
      </c>
      <c r="K1995" t="s">
        <v>1551</v>
      </c>
      <c r="L1995" t="s">
        <v>1551</v>
      </c>
    </row>
    <row r="1996" spans="1:12" x14ac:dyDescent="0.3">
      <c r="A1996" t="s">
        <v>748</v>
      </c>
      <c r="B1996" t="s">
        <v>749</v>
      </c>
      <c r="C1996" t="s">
        <v>750</v>
      </c>
      <c r="D1996" t="s">
        <v>1627</v>
      </c>
      <c r="E1996" t="s">
        <v>568</v>
      </c>
      <c r="F1996" t="s">
        <v>136</v>
      </c>
      <c r="G1996" t="s">
        <v>111</v>
      </c>
      <c r="H1996" t="s">
        <v>703</v>
      </c>
      <c r="I1996" t="s">
        <v>112</v>
      </c>
      <c r="J1996" t="s">
        <v>702</v>
      </c>
      <c r="K1996" t="s">
        <v>1548</v>
      </c>
      <c r="L1996" t="s">
        <v>1548</v>
      </c>
    </row>
    <row r="1997" spans="1:12" x14ac:dyDescent="0.3">
      <c r="A1997" t="s">
        <v>748</v>
      </c>
      <c r="B1997" t="s">
        <v>749</v>
      </c>
      <c r="C1997" t="s">
        <v>750</v>
      </c>
      <c r="D1997" t="s">
        <v>1628</v>
      </c>
      <c r="E1997" t="s">
        <v>568</v>
      </c>
      <c r="F1997" t="s">
        <v>60</v>
      </c>
      <c r="G1997" t="s">
        <v>111</v>
      </c>
      <c r="H1997" t="s">
        <v>182</v>
      </c>
      <c r="I1997" t="s">
        <v>112</v>
      </c>
      <c r="J1997" t="s">
        <v>183</v>
      </c>
      <c r="K1997" t="s">
        <v>1555</v>
      </c>
      <c r="L1997" t="s">
        <v>1555</v>
      </c>
    </row>
    <row r="1998" spans="1:12" x14ac:dyDescent="0.3">
      <c r="A1998" t="s">
        <v>748</v>
      </c>
      <c r="B1998" t="s">
        <v>749</v>
      </c>
      <c r="C1998" t="s">
        <v>750</v>
      </c>
      <c r="D1998" t="s">
        <v>1629</v>
      </c>
      <c r="E1998" t="s">
        <v>568</v>
      </c>
      <c r="F1998" t="s">
        <v>70</v>
      </c>
      <c r="G1998" t="s">
        <v>111</v>
      </c>
      <c r="H1998" t="s">
        <v>182</v>
      </c>
      <c r="I1998" t="s">
        <v>112</v>
      </c>
      <c r="J1998" t="s">
        <v>183</v>
      </c>
      <c r="K1998" t="s">
        <v>1568</v>
      </c>
      <c r="L1998" t="s">
        <v>1568</v>
      </c>
    </row>
    <row r="1999" spans="1:12" x14ac:dyDescent="0.3">
      <c r="A1999" t="s">
        <v>748</v>
      </c>
      <c r="B1999" t="s">
        <v>749</v>
      </c>
      <c r="C1999" t="s">
        <v>750</v>
      </c>
      <c r="D1999" t="s">
        <v>1630</v>
      </c>
      <c r="E1999" t="s">
        <v>568</v>
      </c>
      <c r="F1999" t="s">
        <v>48</v>
      </c>
      <c r="G1999" t="s">
        <v>111</v>
      </c>
      <c r="H1999" t="s">
        <v>182</v>
      </c>
      <c r="I1999" t="s">
        <v>112</v>
      </c>
      <c r="J1999" t="s">
        <v>183</v>
      </c>
      <c r="K1999" t="s">
        <v>1537</v>
      </c>
      <c r="L1999" t="s">
        <v>1537</v>
      </c>
    </row>
    <row r="2000" spans="1:12" x14ac:dyDescent="0.3">
      <c r="A2000" t="s">
        <v>748</v>
      </c>
      <c r="B2000" t="s">
        <v>749</v>
      </c>
      <c r="C2000" t="s">
        <v>750</v>
      </c>
      <c r="D2000" t="s">
        <v>1631</v>
      </c>
      <c r="E2000" t="s">
        <v>568</v>
      </c>
      <c r="F2000" t="s">
        <v>138</v>
      </c>
      <c r="G2000" t="s">
        <v>111</v>
      </c>
      <c r="H2000" t="s">
        <v>1539</v>
      </c>
      <c r="I2000" t="s">
        <v>112</v>
      </c>
      <c r="J2000" t="s">
        <v>704</v>
      </c>
    </row>
    <row r="2001" spans="1:12" x14ac:dyDescent="0.3">
      <c r="A2001" t="s">
        <v>748</v>
      </c>
      <c r="B2001" t="s">
        <v>749</v>
      </c>
      <c r="C2001" t="s">
        <v>750</v>
      </c>
      <c r="D2001" t="s">
        <v>1632</v>
      </c>
      <c r="E2001" t="s">
        <v>568</v>
      </c>
      <c r="F2001" t="s">
        <v>95</v>
      </c>
      <c r="G2001" t="s">
        <v>111</v>
      </c>
      <c r="H2001" t="s">
        <v>1539</v>
      </c>
      <c r="I2001" t="s">
        <v>112</v>
      </c>
      <c r="J2001" t="s">
        <v>704</v>
      </c>
    </row>
    <row r="2002" spans="1:12" x14ac:dyDescent="0.3">
      <c r="A2002" t="s">
        <v>748</v>
      </c>
      <c r="B2002" t="s">
        <v>749</v>
      </c>
      <c r="C2002" t="s">
        <v>750</v>
      </c>
      <c r="D2002" t="s">
        <v>1633</v>
      </c>
      <c r="E2002" t="s">
        <v>568</v>
      </c>
      <c r="F2002" t="s">
        <v>139</v>
      </c>
      <c r="G2002" t="s">
        <v>111</v>
      </c>
      <c r="H2002" t="s">
        <v>703</v>
      </c>
      <c r="I2002" t="s">
        <v>112</v>
      </c>
      <c r="J2002" t="s">
        <v>702</v>
      </c>
      <c r="K2002" t="s">
        <v>1555</v>
      </c>
      <c r="L2002" t="s">
        <v>1555</v>
      </c>
    </row>
    <row r="2003" spans="1:12" x14ac:dyDescent="0.3">
      <c r="A2003" t="s">
        <v>748</v>
      </c>
      <c r="B2003" t="s">
        <v>749</v>
      </c>
      <c r="C2003" t="s">
        <v>750</v>
      </c>
      <c r="D2003" t="s">
        <v>1634</v>
      </c>
      <c r="E2003" t="s">
        <v>568</v>
      </c>
      <c r="F2003" t="s">
        <v>171</v>
      </c>
      <c r="G2003" t="s">
        <v>111</v>
      </c>
      <c r="H2003" t="s">
        <v>703</v>
      </c>
      <c r="I2003" t="s">
        <v>112</v>
      </c>
      <c r="J2003" t="s">
        <v>702</v>
      </c>
      <c r="K2003" t="s">
        <v>1635</v>
      </c>
      <c r="L2003" t="s">
        <v>1635</v>
      </c>
    </row>
    <row r="2004" spans="1:12" x14ac:dyDescent="0.3">
      <c r="A2004" t="s">
        <v>748</v>
      </c>
      <c r="B2004" t="s">
        <v>749</v>
      </c>
      <c r="C2004" t="s">
        <v>750</v>
      </c>
      <c r="D2004" t="s">
        <v>1636</v>
      </c>
      <c r="E2004" t="s">
        <v>568</v>
      </c>
      <c r="F2004" t="s">
        <v>172</v>
      </c>
      <c r="G2004" t="s">
        <v>111</v>
      </c>
      <c r="H2004" t="s">
        <v>182</v>
      </c>
      <c r="I2004" t="s">
        <v>112</v>
      </c>
      <c r="J2004" t="s">
        <v>183</v>
      </c>
      <c r="K2004" t="s">
        <v>1568</v>
      </c>
      <c r="L2004" t="s">
        <v>1568</v>
      </c>
    </row>
    <row r="2005" spans="1:12" x14ac:dyDescent="0.3">
      <c r="A2005" t="s">
        <v>748</v>
      </c>
      <c r="B2005" t="s">
        <v>749</v>
      </c>
      <c r="C2005" t="s">
        <v>750</v>
      </c>
      <c r="D2005" t="s">
        <v>1637</v>
      </c>
      <c r="E2005" t="s">
        <v>568</v>
      </c>
      <c r="F2005" t="s">
        <v>62</v>
      </c>
      <c r="G2005" t="s">
        <v>111</v>
      </c>
      <c r="H2005" t="s">
        <v>1539</v>
      </c>
      <c r="I2005" t="s">
        <v>112</v>
      </c>
      <c r="J2005" t="s">
        <v>704</v>
      </c>
    </row>
    <row r="2006" spans="1:12" x14ac:dyDescent="0.3">
      <c r="A2006" t="s">
        <v>748</v>
      </c>
      <c r="B2006" t="s">
        <v>749</v>
      </c>
      <c r="C2006" t="s">
        <v>750</v>
      </c>
      <c r="D2006" t="s">
        <v>1638</v>
      </c>
      <c r="E2006" t="s">
        <v>568</v>
      </c>
      <c r="F2006" t="s">
        <v>57</v>
      </c>
      <c r="G2006" t="s">
        <v>111</v>
      </c>
      <c r="H2006" t="s">
        <v>182</v>
      </c>
      <c r="I2006" t="s">
        <v>112</v>
      </c>
      <c r="J2006" t="s">
        <v>183</v>
      </c>
      <c r="K2006" t="s">
        <v>1535</v>
      </c>
      <c r="L2006" t="s">
        <v>1535</v>
      </c>
    </row>
    <row r="2007" spans="1:12" x14ac:dyDescent="0.3">
      <c r="A2007" t="s">
        <v>748</v>
      </c>
      <c r="B2007" t="s">
        <v>749</v>
      </c>
      <c r="C2007" t="s">
        <v>750</v>
      </c>
      <c r="D2007" t="s">
        <v>1639</v>
      </c>
      <c r="E2007" t="s">
        <v>568</v>
      </c>
      <c r="F2007" t="s">
        <v>174</v>
      </c>
      <c r="G2007" t="s">
        <v>111</v>
      </c>
      <c r="H2007" t="s">
        <v>1539</v>
      </c>
      <c r="I2007" t="s">
        <v>112</v>
      </c>
      <c r="J2007" t="s">
        <v>704</v>
      </c>
    </row>
    <row r="2008" spans="1:12" x14ac:dyDescent="0.3">
      <c r="A2008" t="s">
        <v>748</v>
      </c>
      <c r="B2008" t="s">
        <v>749</v>
      </c>
      <c r="C2008" t="s">
        <v>750</v>
      </c>
      <c r="D2008" t="s">
        <v>1640</v>
      </c>
      <c r="E2008" t="s">
        <v>568</v>
      </c>
      <c r="F2008" t="s">
        <v>77</v>
      </c>
      <c r="G2008" t="s">
        <v>111</v>
      </c>
      <c r="H2008" t="s">
        <v>1539</v>
      </c>
      <c r="I2008" t="s">
        <v>112</v>
      </c>
      <c r="J2008" t="s">
        <v>704</v>
      </c>
    </row>
    <row r="2009" spans="1:12" x14ac:dyDescent="0.3">
      <c r="A2009" t="s">
        <v>748</v>
      </c>
      <c r="B2009" t="s">
        <v>749</v>
      </c>
      <c r="C2009" t="s">
        <v>750</v>
      </c>
      <c r="D2009" t="s">
        <v>1641</v>
      </c>
      <c r="E2009" t="s">
        <v>568</v>
      </c>
      <c r="F2009" t="s">
        <v>102</v>
      </c>
      <c r="G2009" t="s">
        <v>111</v>
      </c>
      <c r="H2009" t="s">
        <v>1565</v>
      </c>
      <c r="I2009" t="s">
        <v>112</v>
      </c>
      <c r="J2009" t="s">
        <v>1566</v>
      </c>
      <c r="K2009" t="s">
        <v>1563</v>
      </c>
      <c r="L2009" t="s">
        <v>1563</v>
      </c>
    </row>
    <row r="2010" spans="1:12" x14ac:dyDescent="0.3">
      <c r="A2010" t="s">
        <v>748</v>
      </c>
      <c r="B2010" t="s">
        <v>749</v>
      </c>
      <c r="C2010" t="s">
        <v>750</v>
      </c>
      <c r="D2010" t="s">
        <v>1642</v>
      </c>
      <c r="E2010" t="s">
        <v>568</v>
      </c>
      <c r="F2010" t="s">
        <v>175</v>
      </c>
      <c r="G2010" t="s">
        <v>111</v>
      </c>
      <c r="H2010" t="s">
        <v>182</v>
      </c>
      <c r="I2010" t="s">
        <v>112</v>
      </c>
      <c r="J2010" t="s">
        <v>183</v>
      </c>
      <c r="K2010" t="s">
        <v>1555</v>
      </c>
      <c r="L2010" t="s">
        <v>1555</v>
      </c>
    </row>
    <row r="2011" spans="1:12" x14ac:dyDescent="0.3">
      <c r="A2011" t="s">
        <v>748</v>
      </c>
      <c r="B2011" t="s">
        <v>749</v>
      </c>
      <c r="C2011" t="s">
        <v>750</v>
      </c>
      <c r="D2011" t="s">
        <v>1643</v>
      </c>
      <c r="E2011" t="s">
        <v>568</v>
      </c>
      <c r="F2011" t="s">
        <v>46</v>
      </c>
      <c r="G2011" t="s">
        <v>111</v>
      </c>
      <c r="H2011" t="s">
        <v>1539</v>
      </c>
      <c r="I2011" t="s">
        <v>112</v>
      </c>
      <c r="J2011" t="s">
        <v>704</v>
      </c>
    </row>
    <row r="2012" spans="1:12" x14ac:dyDescent="0.3">
      <c r="A2012" t="s">
        <v>748</v>
      </c>
      <c r="B2012" t="s">
        <v>749</v>
      </c>
      <c r="C2012" t="s">
        <v>750</v>
      </c>
      <c r="D2012" t="s">
        <v>1644</v>
      </c>
      <c r="E2012" t="s">
        <v>568</v>
      </c>
      <c r="F2012" t="s">
        <v>202</v>
      </c>
      <c r="G2012" t="s">
        <v>111</v>
      </c>
      <c r="H2012" t="s">
        <v>703</v>
      </c>
      <c r="I2012" t="s">
        <v>112</v>
      </c>
      <c r="J2012" t="s">
        <v>702</v>
      </c>
      <c r="K2012" t="s">
        <v>1570</v>
      </c>
      <c r="L2012" t="s">
        <v>1570</v>
      </c>
    </row>
    <row r="2013" spans="1:12" x14ac:dyDescent="0.3">
      <c r="A2013" t="s">
        <v>748</v>
      </c>
      <c r="B2013" t="s">
        <v>749</v>
      </c>
      <c r="C2013" t="s">
        <v>750</v>
      </c>
      <c r="D2013" t="s">
        <v>1645</v>
      </c>
      <c r="E2013" t="s">
        <v>568</v>
      </c>
      <c r="F2013" t="s">
        <v>141</v>
      </c>
      <c r="G2013" t="s">
        <v>111</v>
      </c>
      <c r="H2013" t="s">
        <v>182</v>
      </c>
      <c r="I2013" t="s">
        <v>112</v>
      </c>
      <c r="J2013" t="s">
        <v>183</v>
      </c>
      <c r="K2013" t="s">
        <v>1555</v>
      </c>
      <c r="L2013" t="s">
        <v>1555</v>
      </c>
    </row>
    <row r="2014" spans="1:12" x14ac:dyDescent="0.3">
      <c r="A2014" t="s">
        <v>748</v>
      </c>
      <c r="B2014" t="s">
        <v>749</v>
      </c>
      <c r="C2014" t="s">
        <v>750</v>
      </c>
      <c r="D2014" t="s">
        <v>1646</v>
      </c>
      <c r="E2014" t="s">
        <v>568</v>
      </c>
      <c r="F2014" t="s">
        <v>142</v>
      </c>
      <c r="G2014" t="s">
        <v>111</v>
      </c>
      <c r="H2014" t="s">
        <v>1539</v>
      </c>
      <c r="I2014" t="s">
        <v>112</v>
      </c>
      <c r="J2014" t="s">
        <v>704</v>
      </c>
      <c r="K2014" t="s">
        <v>1548</v>
      </c>
      <c r="L2014" t="s">
        <v>1548</v>
      </c>
    </row>
    <row r="2015" spans="1:12" x14ac:dyDescent="0.3">
      <c r="A2015" t="s">
        <v>748</v>
      </c>
      <c r="B2015" t="s">
        <v>749</v>
      </c>
      <c r="C2015" t="s">
        <v>750</v>
      </c>
      <c r="D2015" t="s">
        <v>1647</v>
      </c>
      <c r="E2015" t="s">
        <v>568</v>
      </c>
      <c r="F2015" t="s">
        <v>75</v>
      </c>
      <c r="G2015" t="s">
        <v>111</v>
      </c>
      <c r="H2015" t="s">
        <v>182</v>
      </c>
      <c r="I2015" t="s">
        <v>112</v>
      </c>
      <c r="J2015" t="s">
        <v>183</v>
      </c>
      <c r="K2015" t="s">
        <v>1571</v>
      </c>
      <c r="L2015" t="s">
        <v>1571</v>
      </c>
    </row>
    <row r="2016" spans="1:12" x14ac:dyDescent="0.3">
      <c r="A2016" t="s">
        <v>748</v>
      </c>
      <c r="B2016" t="s">
        <v>749</v>
      </c>
      <c r="C2016" t="s">
        <v>750</v>
      </c>
      <c r="D2016" t="s">
        <v>1648</v>
      </c>
      <c r="E2016" t="s">
        <v>568</v>
      </c>
      <c r="F2016" t="s">
        <v>143</v>
      </c>
      <c r="G2016" t="s">
        <v>111</v>
      </c>
      <c r="H2016" t="s">
        <v>184</v>
      </c>
      <c r="I2016" t="s">
        <v>112</v>
      </c>
      <c r="J2016" t="s">
        <v>185</v>
      </c>
      <c r="K2016" t="s">
        <v>1536</v>
      </c>
      <c r="L2016" t="s">
        <v>1536</v>
      </c>
    </row>
    <row r="2017" spans="1:12" x14ac:dyDescent="0.3">
      <c r="A2017" t="s">
        <v>748</v>
      </c>
      <c r="B2017" t="s">
        <v>749</v>
      </c>
      <c r="C2017" t="s">
        <v>750</v>
      </c>
      <c r="D2017" t="s">
        <v>1649</v>
      </c>
      <c r="E2017" t="s">
        <v>568</v>
      </c>
      <c r="F2017" t="s">
        <v>144</v>
      </c>
      <c r="G2017" t="s">
        <v>111</v>
      </c>
      <c r="H2017" t="s">
        <v>1539</v>
      </c>
      <c r="I2017" t="s">
        <v>112</v>
      </c>
      <c r="J2017" t="s">
        <v>704</v>
      </c>
    </row>
    <row r="2018" spans="1:12" x14ac:dyDescent="0.3">
      <c r="A2018" t="s">
        <v>748</v>
      </c>
      <c r="B2018" t="s">
        <v>749</v>
      </c>
      <c r="C2018" t="s">
        <v>750</v>
      </c>
      <c r="D2018" t="s">
        <v>1650</v>
      </c>
      <c r="E2018" t="s">
        <v>568</v>
      </c>
      <c r="F2018" t="s">
        <v>194</v>
      </c>
      <c r="G2018" t="s">
        <v>111</v>
      </c>
      <c r="H2018" t="s">
        <v>1539</v>
      </c>
      <c r="I2018" t="s">
        <v>112</v>
      </c>
      <c r="J2018" t="s">
        <v>704</v>
      </c>
    </row>
    <row r="2019" spans="1:12" x14ac:dyDescent="0.3">
      <c r="A2019" t="s">
        <v>748</v>
      </c>
      <c r="B2019" t="s">
        <v>749</v>
      </c>
      <c r="C2019" t="s">
        <v>750</v>
      </c>
      <c r="D2019" t="s">
        <v>1651</v>
      </c>
      <c r="E2019" t="s">
        <v>568</v>
      </c>
      <c r="F2019" t="s">
        <v>145</v>
      </c>
      <c r="G2019" t="s">
        <v>111</v>
      </c>
      <c r="H2019" t="s">
        <v>182</v>
      </c>
      <c r="I2019" t="s">
        <v>112</v>
      </c>
      <c r="J2019" t="s">
        <v>183</v>
      </c>
      <c r="K2019" t="s">
        <v>1551</v>
      </c>
      <c r="L2019" t="s">
        <v>1551</v>
      </c>
    </row>
    <row r="2020" spans="1:12" x14ac:dyDescent="0.3">
      <c r="A2020" t="s">
        <v>748</v>
      </c>
      <c r="B2020" t="s">
        <v>749</v>
      </c>
      <c r="C2020" t="s">
        <v>750</v>
      </c>
      <c r="D2020" t="s">
        <v>1652</v>
      </c>
      <c r="E2020" t="s">
        <v>567</v>
      </c>
      <c r="F2020" t="s">
        <v>104</v>
      </c>
      <c r="G2020" t="s">
        <v>111</v>
      </c>
      <c r="H2020" t="s">
        <v>1539</v>
      </c>
      <c r="I2020" t="s">
        <v>112</v>
      </c>
      <c r="J2020" t="s">
        <v>704</v>
      </c>
    </row>
    <row r="2021" spans="1:12" x14ac:dyDescent="0.3">
      <c r="A2021" t="s">
        <v>748</v>
      </c>
      <c r="B2021" t="s">
        <v>749</v>
      </c>
      <c r="C2021" t="s">
        <v>750</v>
      </c>
      <c r="D2021" t="s">
        <v>1653</v>
      </c>
      <c r="E2021" t="s">
        <v>567</v>
      </c>
      <c r="F2021" t="s">
        <v>176</v>
      </c>
      <c r="G2021" t="s">
        <v>111</v>
      </c>
      <c r="H2021" t="s">
        <v>1539</v>
      </c>
      <c r="I2021" t="s">
        <v>112</v>
      </c>
      <c r="J2021" t="s">
        <v>704</v>
      </c>
    </row>
    <row r="2022" spans="1:12" x14ac:dyDescent="0.3">
      <c r="A2022" t="s">
        <v>748</v>
      </c>
      <c r="B2022" t="s">
        <v>749</v>
      </c>
      <c r="C2022" t="s">
        <v>750</v>
      </c>
      <c r="D2022" t="s">
        <v>1654</v>
      </c>
      <c r="E2022" t="s">
        <v>567</v>
      </c>
      <c r="F2022" t="s">
        <v>146</v>
      </c>
      <c r="G2022" t="s">
        <v>111</v>
      </c>
      <c r="H2022" t="s">
        <v>1539</v>
      </c>
      <c r="I2022" t="s">
        <v>112</v>
      </c>
      <c r="J2022" t="s">
        <v>704</v>
      </c>
    </row>
    <row r="2023" spans="1:12" x14ac:dyDescent="0.3">
      <c r="A2023" t="s">
        <v>748</v>
      </c>
      <c r="B2023" t="s">
        <v>749</v>
      </c>
      <c r="C2023" t="s">
        <v>750</v>
      </c>
      <c r="D2023" t="s">
        <v>1655</v>
      </c>
      <c r="E2023" t="s">
        <v>567</v>
      </c>
      <c r="F2023" t="s">
        <v>148</v>
      </c>
      <c r="G2023" t="s">
        <v>111</v>
      </c>
      <c r="H2023" t="s">
        <v>182</v>
      </c>
      <c r="I2023" t="s">
        <v>112</v>
      </c>
      <c r="J2023" t="s">
        <v>183</v>
      </c>
      <c r="K2023" t="s">
        <v>1563</v>
      </c>
      <c r="L2023" t="s">
        <v>1563</v>
      </c>
    </row>
    <row r="2024" spans="1:12" x14ac:dyDescent="0.3">
      <c r="A2024" t="s">
        <v>748</v>
      </c>
      <c r="B2024" t="s">
        <v>749</v>
      </c>
      <c r="C2024" t="s">
        <v>750</v>
      </c>
      <c r="D2024" t="s">
        <v>1656</v>
      </c>
      <c r="E2024" t="s">
        <v>567</v>
      </c>
      <c r="F2024" t="s">
        <v>149</v>
      </c>
      <c r="G2024" t="s">
        <v>111</v>
      </c>
      <c r="H2024" t="s">
        <v>703</v>
      </c>
      <c r="I2024" t="s">
        <v>112</v>
      </c>
      <c r="J2024" t="s">
        <v>702</v>
      </c>
      <c r="K2024" t="s">
        <v>1573</v>
      </c>
      <c r="L2024" t="s">
        <v>1573</v>
      </c>
    </row>
    <row r="2025" spans="1:12" x14ac:dyDescent="0.3">
      <c r="A2025" t="s">
        <v>748</v>
      </c>
      <c r="B2025" t="s">
        <v>749</v>
      </c>
      <c r="C2025" t="s">
        <v>750</v>
      </c>
      <c r="D2025" t="s">
        <v>1657</v>
      </c>
      <c r="E2025" t="s">
        <v>567</v>
      </c>
      <c r="F2025" t="s">
        <v>83</v>
      </c>
      <c r="G2025" t="s">
        <v>111</v>
      </c>
      <c r="H2025" t="s">
        <v>182</v>
      </c>
      <c r="I2025" t="s">
        <v>112</v>
      </c>
      <c r="J2025" t="s">
        <v>183</v>
      </c>
      <c r="K2025" t="s">
        <v>1574</v>
      </c>
      <c r="L2025" t="s">
        <v>1574</v>
      </c>
    </row>
    <row r="2026" spans="1:12" x14ac:dyDescent="0.3">
      <c r="A2026" t="s">
        <v>748</v>
      </c>
      <c r="B2026" t="s">
        <v>749</v>
      </c>
      <c r="C2026" t="s">
        <v>750</v>
      </c>
      <c r="D2026" t="s">
        <v>1658</v>
      </c>
      <c r="E2026" t="s">
        <v>567</v>
      </c>
      <c r="F2026" t="s">
        <v>203</v>
      </c>
      <c r="G2026" t="s">
        <v>111</v>
      </c>
      <c r="H2026" t="s">
        <v>182</v>
      </c>
      <c r="I2026" t="s">
        <v>112</v>
      </c>
      <c r="J2026" t="s">
        <v>183</v>
      </c>
      <c r="K2026" t="s">
        <v>1575</v>
      </c>
      <c r="L2026" t="s">
        <v>1575</v>
      </c>
    </row>
    <row r="2027" spans="1:12" x14ac:dyDescent="0.3">
      <c r="A2027" t="s">
        <v>748</v>
      </c>
      <c r="B2027" t="s">
        <v>749</v>
      </c>
      <c r="C2027" t="s">
        <v>750</v>
      </c>
      <c r="D2027" t="s">
        <v>1659</v>
      </c>
      <c r="E2027" t="s">
        <v>567</v>
      </c>
      <c r="F2027" t="s">
        <v>150</v>
      </c>
      <c r="G2027" t="s">
        <v>111</v>
      </c>
      <c r="H2027" t="s">
        <v>182</v>
      </c>
      <c r="I2027" t="s">
        <v>112</v>
      </c>
      <c r="J2027" t="s">
        <v>183</v>
      </c>
      <c r="K2027" t="s">
        <v>1547</v>
      </c>
      <c r="L2027" t="s">
        <v>1547</v>
      </c>
    </row>
    <row r="2028" spans="1:12" x14ac:dyDescent="0.3">
      <c r="A2028" t="s">
        <v>748</v>
      </c>
      <c r="B2028" t="s">
        <v>749</v>
      </c>
      <c r="C2028" t="s">
        <v>750</v>
      </c>
      <c r="D2028" t="s">
        <v>1660</v>
      </c>
      <c r="E2028" t="s">
        <v>567</v>
      </c>
      <c r="F2028" t="s">
        <v>92</v>
      </c>
      <c r="G2028" t="s">
        <v>111</v>
      </c>
      <c r="H2028" t="s">
        <v>703</v>
      </c>
      <c r="I2028" t="s">
        <v>112</v>
      </c>
      <c r="J2028" t="s">
        <v>702</v>
      </c>
      <c r="K2028" t="s">
        <v>1555</v>
      </c>
      <c r="L2028" t="s">
        <v>1555</v>
      </c>
    </row>
    <row r="2029" spans="1:12" x14ac:dyDescent="0.3">
      <c r="A2029" t="s">
        <v>748</v>
      </c>
      <c r="B2029" t="s">
        <v>749</v>
      </c>
      <c r="C2029" t="s">
        <v>750</v>
      </c>
      <c r="D2029" t="s">
        <v>1661</v>
      </c>
      <c r="E2029" t="s">
        <v>567</v>
      </c>
      <c r="F2029" t="s">
        <v>63</v>
      </c>
      <c r="G2029" t="s">
        <v>111</v>
      </c>
      <c r="H2029" t="s">
        <v>703</v>
      </c>
      <c r="I2029" t="s">
        <v>112</v>
      </c>
      <c r="J2029" t="s">
        <v>702</v>
      </c>
      <c r="K2029" t="s">
        <v>1555</v>
      </c>
      <c r="L2029" t="s">
        <v>1555</v>
      </c>
    </row>
    <row r="2030" spans="1:12" x14ac:dyDescent="0.3">
      <c r="A2030" t="s">
        <v>748</v>
      </c>
      <c r="B2030" t="s">
        <v>749</v>
      </c>
      <c r="C2030" t="s">
        <v>750</v>
      </c>
      <c r="D2030" t="s">
        <v>1662</v>
      </c>
      <c r="E2030" t="s">
        <v>567</v>
      </c>
      <c r="F2030" t="s">
        <v>151</v>
      </c>
      <c r="G2030" t="s">
        <v>111</v>
      </c>
      <c r="H2030" t="s">
        <v>703</v>
      </c>
      <c r="I2030" t="s">
        <v>112</v>
      </c>
      <c r="J2030" t="s">
        <v>702</v>
      </c>
      <c r="K2030" t="s">
        <v>1537</v>
      </c>
      <c r="L2030" t="s">
        <v>1537</v>
      </c>
    </row>
    <row r="2031" spans="1:12" x14ac:dyDescent="0.3">
      <c r="A2031" t="s">
        <v>748</v>
      </c>
      <c r="B2031" t="s">
        <v>749</v>
      </c>
      <c r="C2031" t="s">
        <v>750</v>
      </c>
      <c r="D2031" t="s">
        <v>1663</v>
      </c>
      <c r="E2031" t="s">
        <v>567</v>
      </c>
      <c r="F2031" t="s">
        <v>195</v>
      </c>
      <c r="G2031" t="s">
        <v>111</v>
      </c>
      <c r="H2031" t="s">
        <v>1539</v>
      </c>
      <c r="I2031" t="s">
        <v>112</v>
      </c>
      <c r="J2031" t="s">
        <v>704</v>
      </c>
      <c r="K2031" t="s">
        <v>1559</v>
      </c>
      <c r="L2031" t="s">
        <v>1559</v>
      </c>
    </row>
    <row r="2032" spans="1:12" x14ac:dyDescent="0.3">
      <c r="A2032" t="s">
        <v>748</v>
      </c>
      <c r="B2032" t="s">
        <v>749</v>
      </c>
      <c r="C2032" t="s">
        <v>750</v>
      </c>
      <c r="D2032" t="s">
        <v>1664</v>
      </c>
      <c r="E2032" t="s">
        <v>567</v>
      </c>
      <c r="F2032" t="s">
        <v>177</v>
      </c>
      <c r="G2032" t="s">
        <v>111</v>
      </c>
      <c r="H2032" t="s">
        <v>1539</v>
      </c>
      <c r="I2032" t="s">
        <v>112</v>
      </c>
      <c r="J2032" t="s">
        <v>704</v>
      </c>
      <c r="K2032" t="s">
        <v>1551</v>
      </c>
      <c r="L2032" t="s">
        <v>1551</v>
      </c>
    </row>
    <row r="2033" spans="1:12" x14ac:dyDescent="0.3">
      <c r="A2033" t="s">
        <v>748</v>
      </c>
      <c r="B2033" t="s">
        <v>749</v>
      </c>
      <c r="C2033" t="s">
        <v>750</v>
      </c>
      <c r="D2033" t="s">
        <v>1665</v>
      </c>
      <c r="E2033" t="s">
        <v>567</v>
      </c>
      <c r="F2033" t="s">
        <v>91</v>
      </c>
      <c r="G2033" t="s">
        <v>111</v>
      </c>
      <c r="H2033" t="s">
        <v>1539</v>
      </c>
      <c r="I2033" t="s">
        <v>112</v>
      </c>
      <c r="J2033" t="s">
        <v>704</v>
      </c>
      <c r="K2033" t="s">
        <v>1559</v>
      </c>
      <c r="L2033" t="s">
        <v>1559</v>
      </c>
    </row>
    <row r="2034" spans="1:12" x14ac:dyDescent="0.3">
      <c r="A2034" t="s">
        <v>748</v>
      </c>
      <c r="B2034" t="s">
        <v>749</v>
      </c>
      <c r="C2034" t="s">
        <v>750</v>
      </c>
      <c r="D2034" t="s">
        <v>1666</v>
      </c>
      <c r="E2034" t="s">
        <v>567</v>
      </c>
      <c r="F2034" t="s">
        <v>152</v>
      </c>
      <c r="G2034" t="s">
        <v>111</v>
      </c>
      <c r="H2034" t="s">
        <v>1594</v>
      </c>
      <c r="I2034" t="s">
        <v>112</v>
      </c>
      <c r="J2034" t="s">
        <v>1595</v>
      </c>
      <c r="K2034" t="s">
        <v>1667</v>
      </c>
      <c r="L2034" t="s">
        <v>1667</v>
      </c>
    </row>
    <row r="2035" spans="1:12" x14ac:dyDescent="0.3">
      <c r="A2035" t="s">
        <v>748</v>
      </c>
      <c r="B2035" t="s">
        <v>749</v>
      </c>
      <c r="C2035" t="s">
        <v>750</v>
      </c>
      <c r="D2035" t="s">
        <v>1668</v>
      </c>
      <c r="E2035" t="s">
        <v>567</v>
      </c>
      <c r="F2035" t="s">
        <v>67</v>
      </c>
      <c r="G2035" t="s">
        <v>111</v>
      </c>
      <c r="H2035" t="s">
        <v>182</v>
      </c>
      <c r="I2035" t="s">
        <v>112</v>
      </c>
      <c r="J2035" t="s">
        <v>183</v>
      </c>
      <c r="K2035" t="s">
        <v>1669</v>
      </c>
      <c r="L2035" t="s">
        <v>1669</v>
      </c>
    </row>
    <row r="2036" spans="1:12" x14ac:dyDescent="0.3">
      <c r="A2036" t="s">
        <v>748</v>
      </c>
      <c r="B2036" t="s">
        <v>749</v>
      </c>
      <c r="C2036" t="s">
        <v>750</v>
      </c>
      <c r="D2036" t="s">
        <v>1670</v>
      </c>
      <c r="E2036" t="s">
        <v>567</v>
      </c>
      <c r="F2036" t="s">
        <v>196</v>
      </c>
      <c r="G2036" t="s">
        <v>111</v>
      </c>
      <c r="H2036" t="s">
        <v>703</v>
      </c>
      <c r="I2036" t="s">
        <v>112</v>
      </c>
      <c r="J2036" t="s">
        <v>702</v>
      </c>
      <c r="K2036" t="s">
        <v>1671</v>
      </c>
      <c r="L2036" t="s">
        <v>1671</v>
      </c>
    </row>
    <row r="2037" spans="1:12" x14ac:dyDescent="0.3">
      <c r="A2037" t="s">
        <v>748</v>
      </c>
      <c r="B2037" t="s">
        <v>749</v>
      </c>
      <c r="C2037" t="s">
        <v>750</v>
      </c>
      <c r="D2037" t="s">
        <v>1672</v>
      </c>
      <c r="E2037" t="s">
        <v>567</v>
      </c>
      <c r="F2037" t="s">
        <v>179</v>
      </c>
      <c r="G2037" t="s">
        <v>111</v>
      </c>
      <c r="H2037" t="s">
        <v>182</v>
      </c>
      <c r="I2037" t="s">
        <v>112</v>
      </c>
      <c r="J2037" t="s">
        <v>183</v>
      </c>
      <c r="K2037" t="s">
        <v>1562</v>
      </c>
      <c r="L2037" t="s">
        <v>1562</v>
      </c>
    </row>
    <row r="2038" spans="1:12" x14ac:dyDescent="0.3">
      <c r="A2038" t="s">
        <v>748</v>
      </c>
      <c r="B2038" t="s">
        <v>749</v>
      </c>
      <c r="C2038" t="s">
        <v>750</v>
      </c>
      <c r="D2038" t="s">
        <v>1673</v>
      </c>
      <c r="E2038" t="s">
        <v>567</v>
      </c>
      <c r="F2038" t="s">
        <v>153</v>
      </c>
      <c r="G2038" t="s">
        <v>111</v>
      </c>
      <c r="H2038" t="s">
        <v>182</v>
      </c>
      <c r="I2038" t="s">
        <v>112</v>
      </c>
      <c r="J2038" t="s">
        <v>183</v>
      </c>
      <c r="K2038" t="s">
        <v>1577</v>
      </c>
      <c r="L2038" t="s">
        <v>1577</v>
      </c>
    </row>
    <row r="2039" spans="1:12" x14ac:dyDescent="0.3">
      <c r="A2039" t="s">
        <v>748</v>
      </c>
      <c r="B2039" t="s">
        <v>749</v>
      </c>
      <c r="C2039" t="s">
        <v>750</v>
      </c>
      <c r="D2039" t="s">
        <v>1674</v>
      </c>
      <c r="E2039" t="s">
        <v>567</v>
      </c>
      <c r="F2039" t="s">
        <v>55</v>
      </c>
      <c r="G2039" t="s">
        <v>111</v>
      </c>
      <c r="H2039" t="s">
        <v>1539</v>
      </c>
      <c r="I2039" t="s">
        <v>112</v>
      </c>
      <c r="J2039" t="s">
        <v>704</v>
      </c>
    </row>
    <row r="2040" spans="1:12" x14ac:dyDescent="0.3">
      <c r="A2040" t="s">
        <v>748</v>
      </c>
      <c r="B2040" t="s">
        <v>749</v>
      </c>
      <c r="C2040" t="s">
        <v>750</v>
      </c>
      <c r="D2040" t="s">
        <v>1675</v>
      </c>
      <c r="E2040" t="s">
        <v>567</v>
      </c>
      <c r="F2040" t="s">
        <v>197</v>
      </c>
      <c r="G2040" t="s">
        <v>111</v>
      </c>
      <c r="H2040" t="s">
        <v>703</v>
      </c>
      <c r="I2040" t="s">
        <v>112</v>
      </c>
      <c r="J2040" t="s">
        <v>702</v>
      </c>
      <c r="K2040" t="s">
        <v>1676</v>
      </c>
      <c r="L2040" t="s">
        <v>1676</v>
      </c>
    </row>
    <row r="2041" spans="1:12" x14ac:dyDescent="0.3">
      <c r="A2041" t="s">
        <v>748</v>
      </c>
      <c r="B2041" t="s">
        <v>749</v>
      </c>
      <c r="C2041" t="s">
        <v>750</v>
      </c>
      <c r="D2041" t="s">
        <v>1677</v>
      </c>
      <c r="E2041" t="s">
        <v>567</v>
      </c>
      <c r="F2041" t="s">
        <v>156</v>
      </c>
      <c r="G2041" t="s">
        <v>111</v>
      </c>
      <c r="H2041" t="s">
        <v>182</v>
      </c>
      <c r="I2041" t="s">
        <v>112</v>
      </c>
      <c r="J2041" t="s">
        <v>183</v>
      </c>
      <c r="K2041" t="s">
        <v>1577</v>
      </c>
      <c r="L2041" t="s">
        <v>1577</v>
      </c>
    </row>
    <row r="2042" spans="1:12" x14ac:dyDescent="0.3">
      <c r="A2042" t="s">
        <v>748</v>
      </c>
      <c r="B2042" t="s">
        <v>749</v>
      </c>
      <c r="C2042" t="s">
        <v>750</v>
      </c>
      <c r="D2042" t="s">
        <v>1678</v>
      </c>
      <c r="E2042" t="s">
        <v>567</v>
      </c>
      <c r="F2042" t="s">
        <v>103</v>
      </c>
      <c r="G2042" t="s">
        <v>111</v>
      </c>
      <c r="H2042" t="s">
        <v>182</v>
      </c>
      <c r="I2042" t="s">
        <v>112</v>
      </c>
      <c r="J2042" t="s">
        <v>183</v>
      </c>
      <c r="K2042" t="s">
        <v>1610</v>
      </c>
      <c r="L2042" t="s">
        <v>1610</v>
      </c>
    </row>
    <row r="2043" spans="1:12" x14ac:dyDescent="0.3">
      <c r="A2043" t="s">
        <v>748</v>
      </c>
      <c r="B2043" t="s">
        <v>749</v>
      </c>
      <c r="C2043" t="s">
        <v>750</v>
      </c>
      <c r="D2043" t="s">
        <v>1679</v>
      </c>
      <c r="E2043" t="s">
        <v>567</v>
      </c>
      <c r="F2043" t="s">
        <v>198</v>
      </c>
      <c r="G2043" t="s">
        <v>111</v>
      </c>
      <c r="H2043" t="s">
        <v>186</v>
      </c>
      <c r="I2043" t="s">
        <v>112</v>
      </c>
      <c r="J2043" t="s">
        <v>183</v>
      </c>
      <c r="K2043" t="s">
        <v>1572</v>
      </c>
      <c r="L2043" t="s">
        <v>1572</v>
      </c>
    </row>
    <row r="2044" spans="1:12" x14ac:dyDescent="0.3">
      <c r="A2044" t="s">
        <v>748</v>
      </c>
      <c r="B2044" t="s">
        <v>749</v>
      </c>
      <c r="C2044" t="s">
        <v>750</v>
      </c>
      <c r="D2044" t="s">
        <v>1680</v>
      </c>
      <c r="E2044" t="s">
        <v>567</v>
      </c>
      <c r="F2044" t="s">
        <v>180</v>
      </c>
      <c r="G2044" t="s">
        <v>111</v>
      </c>
      <c r="H2044" t="s">
        <v>182</v>
      </c>
      <c r="I2044" t="s">
        <v>112</v>
      </c>
      <c r="J2044" t="s">
        <v>183</v>
      </c>
      <c r="K2044" t="s">
        <v>1562</v>
      </c>
      <c r="L2044" t="s">
        <v>1562</v>
      </c>
    </row>
    <row r="2045" spans="1:12" x14ac:dyDescent="0.3">
      <c r="A2045" t="s">
        <v>748</v>
      </c>
      <c r="B2045" t="s">
        <v>749</v>
      </c>
      <c r="C2045" t="s">
        <v>750</v>
      </c>
      <c r="D2045" t="s">
        <v>1681</v>
      </c>
      <c r="E2045" t="s">
        <v>567</v>
      </c>
      <c r="F2045" t="s">
        <v>158</v>
      </c>
      <c r="G2045" t="s">
        <v>111</v>
      </c>
      <c r="H2045" t="s">
        <v>703</v>
      </c>
      <c r="I2045" t="s">
        <v>112</v>
      </c>
      <c r="J2045" t="s">
        <v>702</v>
      </c>
      <c r="K2045" t="s">
        <v>1548</v>
      </c>
      <c r="L2045" t="s">
        <v>1548</v>
      </c>
    </row>
    <row r="2046" spans="1:12" x14ac:dyDescent="0.3">
      <c r="A2046" t="s">
        <v>748</v>
      </c>
      <c r="B2046" t="s">
        <v>749</v>
      </c>
      <c r="C2046" t="s">
        <v>750</v>
      </c>
      <c r="D2046" t="s">
        <v>1682</v>
      </c>
      <c r="E2046" t="s">
        <v>567</v>
      </c>
      <c r="F2046" t="s">
        <v>199</v>
      </c>
      <c r="G2046" t="s">
        <v>111</v>
      </c>
      <c r="H2046" t="s">
        <v>1539</v>
      </c>
      <c r="I2046" t="s">
        <v>112</v>
      </c>
      <c r="J2046" t="s">
        <v>704</v>
      </c>
    </row>
    <row r="2047" spans="1:12" x14ac:dyDescent="0.3">
      <c r="A2047" t="s">
        <v>748</v>
      </c>
      <c r="B2047" t="s">
        <v>749</v>
      </c>
      <c r="C2047" t="s">
        <v>750</v>
      </c>
      <c r="D2047" t="s">
        <v>1683</v>
      </c>
      <c r="E2047" t="s">
        <v>567</v>
      </c>
      <c r="F2047" t="s">
        <v>159</v>
      </c>
      <c r="G2047" t="s">
        <v>111</v>
      </c>
      <c r="H2047" t="s">
        <v>703</v>
      </c>
      <c r="I2047" t="s">
        <v>112</v>
      </c>
      <c r="J2047" t="s">
        <v>702</v>
      </c>
      <c r="K2047" t="s">
        <v>1551</v>
      </c>
      <c r="L2047" t="s">
        <v>1551</v>
      </c>
    </row>
    <row r="2048" spans="1:12" x14ac:dyDescent="0.3">
      <c r="A2048" t="s">
        <v>748</v>
      </c>
      <c r="B2048" t="s">
        <v>749</v>
      </c>
      <c r="C2048" t="s">
        <v>750</v>
      </c>
      <c r="D2048" t="s">
        <v>1684</v>
      </c>
      <c r="E2048" t="s">
        <v>567</v>
      </c>
      <c r="F2048" t="s">
        <v>47</v>
      </c>
      <c r="G2048" t="s">
        <v>111</v>
      </c>
      <c r="H2048" t="s">
        <v>1685</v>
      </c>
      <c r="I2048" t="s">
        <v>112</v>
      </c>
      <c r="J2048" t="s">
        <v>1686</v>
      </c>
      <c r="K2048" t="s">
        <v>1563</v>
      </c>
      <c r="L2048" t="s">
        <v>1563</v>
      </c>
    </row>
    <row r="2049" spans="1:12" x14ac:dyDescent="0.3">
      <c r="A2049" t="s">
        <v>748</v>
      </c>
      <c r="B2049" t="s">
        <v>749</v>
      </c>
      <c r="C2049" t="s">
        <v>750</v>
      </c>
      <c r="D2049" t="s">
        <v>1687</v>
      </c>
      <c r="E2049" t="s">
        <v>567</v>
      </c>
      <c r="F2049" t="s">
        <v>181</v>
      </c>
      <c r="G2049" t="s">
        <v>111</v>
      </c>
      <c r="H2049" t="s">
        <v>1539</v>
      </c>
      <c r="I2049" t="s">
        <v>112</v>
      </c>
      <c r="J2049" t="s">
        <v>704</v>
      </c>
      <c r="K2049" t="s">
        <v>1541</v>
      </c>
      <c r="L2049" t="s">
        <v>1541</v>
      </c>
    </row>
    <row r="2050" spans="1:12" x14ac:dyDescent="0.3">
      <c r="A2050" t="s">
        <v>748</v>
      </c>
      <c r="B2050" t="s">
        <v>749</v>
      </c>
      <c r="C2050" t="s">
        <v>750</v>
      </c>
      <c r="D2050" t="s">
        <v>1688</v>
      </c>
      <c r="E2050" t="s">
        <v>567</v>
      </c>
      <c r="F2050" t="s">
        <v>73</v>
      </c>
      <c r="G2050" t="s">
        <v>111</v>
      </c>
      <c r="H2050" t="s">
        <v>1539</v>
      </c>
      <c r="I2050" t="s">
        <v>112</v>
      </c>
      <c r="J2050" t="s">
        <v>704</v>
      </c>
      <c r="K2050" t="s">
        <v>1551</v>
      </c>
      <c r="L2050" t="s">
        <v>1551</v>
      </c>
    </row>
    <row r="2051" spans="1:12" x14ac:dyDescent="0.3">
      <c r="A2051" t="s">
        <v>748</v>
      </c>
      <c r="B2051" t="s">
        <v>749</v>
      </c>
      <c r="C2051" t="s">
        <v>750</v>
      </c>
      <c r="D2051" t="s">
        <v>1689</v>
      </c>
      <c r="E2051" t="s">
        <v>567</v>
      </c>
      <c r="F2051" t="s">
        <v>162</v>
      </c>
      <c r="G2051" t="s">
        <v>111</v>
      </c>
      <c r="H2051" t="s">
        <v>703</v>
      </c>
      <c r="I2051" t="s">
        <v>112</v>
      </c>
      <c r="J2051" t="s">
        <v>702</v>
      </c>
      <c r="K2051" t="s">
        <v>1579</v>
      </c>
      <c r="L2051" t="s">
        <v>1579</v>
      </c>
    </row>
    <row r="2052" spans="1:12" x14ac:dyDescent="0.3">
      <c r="A2052" t="s">
        <v>748</v>
      </c>
      <c r="B2052" t="s">
        <v>1501</v>
      </c>
      <c r="C2052" t="s">
        <v>566</v>
      </c>
      <c r="D2052" t="s">
        <v>212</v>
      </c>
      <c r="E2052" t="s">
        <v>569</v>
      </c>
      <c r="F2052" t="s">
        <v>164</v>
      </c>
      <c r="G2052" t="s">
        <v>111</v>
      </c>
      <c r="H2052" t="s">
        <v>1690</v>
      </c>
      <c r="I2052" t="s">
        <v>1691</v>
      </c>
      <c r="J2052" t="s">
        <v>1692</v>
      </c>
    </row>
    <row r="2053" spans="1:12" x14ac:dyDescent="0.3">
      <c r="A2053" t="s">
        <v>748</v>
      </c>
      <c r="B2053" t="s">
        <v>1501</v>
      </c>
      <c r="C2053" t="s">
        <v>566</v>
      </c>
      <c r="D2053" t="s">
        <v>212</v>
      </c>
      <c r="E2053" t="s">
        <v>569</v>
      </c>
      <c r="F2053" t="s">
        <v>164</v>
      </c>
      <c r="G2053" t="s">
        <v>111</v>
      </c>
      <c r="H2053" t="s">
        <v>1690</v>
      </c>
      <c r="I2053" t="s">
        <v>1691</v>
      </c>
      <c r="J2053" t="s">
        <v>1692</v>
      </c>
    </row>
    <row r="2054" spans="1:12" x14ac:dyDescent="0.3">
      <c r="A2054" t="s">
        <v>2600</v>
      </c>
      <c r="B2054" t="s">
        <v>1501</v>
      </c>
      <c r="C2054" t="s">
        <v>750</v>
      </c>
      <c r="D2054" t="s">
        <v>303</v>
      </c>
      <c r="E2054" t="s">
        <v>569</v>
      </c>
      <c r="F2054" t="s">
        <v>49</v>
      </c>
      <c r="G2054" t="s">
        <v>111</v>
      </c>
      <c r="H2054" t="s">
        <v>703</v>
      </c>
      <c r="I2054" t="s">
        <v>112</v>
      </c>
      <c r="J2054" t="s">
        <v>702</v>
      </c>
      <c r="K2054" t="s">
        <v>1541</v>
      </c>
      <c r="L2054" t="s">
        <v>1541</v>
      </c>
    </row>
    <row r="2055" spans="1:12" x14ac:dyDescent="0.3">
      <c r="A2055" t="s">
        <v>2600</v>
      </c>
      <c r="B2055" t="s">
        <v>1501</v>
      </c>
      <c r="C2055" t="s">
        <v>750</v>
      </c>
      <c r="D2055" t="s">
        <v>209</v>
      </c>
      <c r="E2055" t="s">
        <v>569</v>
      </c>
      <c r="F2055" t="s">
        <v>115</v>
      </c>
      <c r="G2055" t="s">
        <v>111</v>
      </c>
      <c r="H2055" t="s">
        <v>703</v>
      </c>
      <c r="I2055" t="s">
        <v>112</v>
      </c>
      <c r="J2055" t="s">
        <v>702</v>
      </c>
      <c r="K2055" t="s">
        <v>1551</v>
      </c>
      <c r="L2055" t="s">
        <v>1551</v>
      </c>
    </row>
    <row r="2056" spans="1:12" x14ac:dyDescent="0.3">
      <c r="A2056" t="s">
        <v>2600</v>
      </c>
      <c r="B2056" t="s">
        <v>1501</v>
      </c>
      <c r="C2056" t="s">
        <v>750</v>
      </c>
      <c r="D2056" t="s">
        <v>210</v>
      </c>
      <c r="E2056" t="s">
        <v>569</v>
      </c>
      <c r="F2056" t="s">
        <v>59</v>
      </c>
      <c r="G2056" t="s">
        <v>111</v>
      </c>
      <c r="H2056" t="s">
        <v>1539</v>
      </c>
      <c r="I2056" t="s">
        <v>112</v>
      </c>
      <c r="J2056" t="s">
        <v>704</v>
      </c>
      <c r="K2056" t="s">
        <v>2800</v>
      </c>
      <c r="L2056" t="s">
        <v>2800</v>
      </c>
    </row>
    <row r="2057" spans="1:12" x14ac:dyDescent="0.3">
      <c r="A2057" t="s">
        <v>2600</v>
      </c>
      <c r="B2057" t="s">
        <v>1501</v>
      </c>
      <c r="C2057" t="s">
        <v>750</v>
      </c>
      <c r="D2057" t="s">
        <v>304</v>
      </c>
      <c r="E2057" t="s">
        <v>569</v>
      </c>
      <c r="F2057" t="s">
        <v>117</v>
      </c>
      <c r="G2057" t="s">
        <v>111</v>
      </c>
      <c r="H2057" t="s">
        <v>1565</v>
      </c>
      <c r="I2057" t="s">
        <v>112</v>
      </c>
      <c r="J2057" t="s">
        <v>1566</v>
      </c>
    </row>
    <row r="2058" spans="1:12" x14ac:dyDescent="0.3">
      <c r="A2058" t="s">
        <v>2600</v>
      </c>
      <c r="B2058" t="s">
        <v>1501</v>
      </c>
      <c r="C2058" t="s">
        <v>750</v>
      </c>
      <c r="D2058" t="s">
        <v>211</v>
      </c>
      <c r="E2058" t="s">
        <v>569</v>
      </c>
      <c r="F2058" t="s">
        <v>188</v>
      </c>
      <c r="G2058" t="s">
        <v>111</v>
      </c>
      <c r="H2058" t="s">
        <v>703</v>
      </c>
      <c r="I2058" t="s">
        <v>112</v>
      </c>
      <c r="J2058" t="s">
        <v>702</v>
      </c>
      <c r="K2058" t="s">
        <v>2801</v>
      </c>
      <c r="L2058" t="s">
        <v>2801</v>
      </c>
    </row>
    <row r="2059" spans="1:12" x14ac:dyDescent="0.3">
      <c r="A2059" t="s">
        <v>2600</v>
      </c>
      <c r="B2059" t="s">
        <v>1501</v>
      </c>
      <c r="C2059" t="s">
        <v>750</v>
      </c>
      <c r="D2059" t="s">
        <v>305</v>
      </c>
      <c r="E2059" t="s">
        <v>569</v>
      </c>
      <c r="F2059" t="s">
        <v>120</v>
      </c>
      <c r="G2059" t="s">
        <v>111</v>
      </c>
      <c r="H2059" t="s">
        <v>1561</v>
      </c>
      <c r="I2059" t="s">
        <v>112</v>
      </c>
      <c r="J2059" t="s">
        <v>702</v>
      </c>
      <c r="K2059" t="s">
        <v>2802</v>
      </c>
      <c r="L2059" t="s">
        <v>2802</v>
      </c>
    </row>
    <row r="2060" spans="1:12" x14ac:dyDescent="0.3">
      <c r="A2060" t="s">
        <v>2600</v>
      </c>
      <c r="B2060" t="s">
        <v>1501</v>
      </c>
      <c r="C2060" t="s">
        <v>750</v>
      </c>
      <c r="D2060" t="s">
        <v>212</v>
      </c>
      <c r="E2060" t="s">
        <v>569</v>
      </c>
      <c r="F2060" t="s">
        <v>164</v>
      </c>
      <c r="G2060" t="s">
        <v>111</v>
      </c>
      <c r="H2060" t="s">
        <v>182</v>
      </c>
      <c r="I2060" t="s">
        <v>112</v>
      </c>
      <c r="J2060" t="s">
        <v>183</v>
      </c>
      <c r="K2060" t="s">
        <v>1537</v>
      </c>
      <c r="L2060" t="s">
        <v>1537</v>
      </c>
    </row>
    <row r="2061" spans="1:12" x14ac:dyDescent="0.3">
      <c r="A2061" t="s">
        <v>2600</v>
      </c>
      <c r="B2061" t="s">
        <v>1501</v>
      </c>
      <c r="C2061" t="s">
        <v>750</v>
      </c>
      <c r="D2061" t="s">
        <v>213</v>
      </c>
      <c r="E2061" t="s">
        <v>569</v>
      </c>
      <c r="F2061" t="s">
        <v>53</v>
      </c>
      <c r="G2061" t="s">
        <v>111</v>
      </c>
      <c r="H2061" t="s">
        <v>703</v>
      </c>
      <c r="I2061" t="s">
        <v>112</v>
      </c>
      <c r="J2061" t="s">
        <v>702</v>
      </c>
      <c r="K2061" t="s">
        <v>2803</v>
      </c>
      <c r="L2061" t="s">
        <v>2803</v>
      </c>
    </row>
    <row r="2062" spans="1:12" x14ac:dyDescent="0.3">
      <c r="A2062" t="s">
        <v>2600</v>
      </c>
      <c r="B2062" t="s">
        <v>1501</v>
      </c>
      <c r="C2062" t="s">
        <v>750</v>
      </c>
      <c r="D2062" t="s">
        <v>214</v>
      </c>
      <c r="E2062" t="s">
        <v>569</v>
      </c>
      <c r="F2062" t="s">
        <v>56</v>
      </c>
      <c r="G2062" t="s">
        <v>111</v>
      </c>
      <c r="H2062" t="s">
        <v>703</v>
      </c>
      <c r="I2062" t="s">
        <v>112</v>
      </c>
      <c r="J2062" t="s">
        <v>702</v>
      </c>
      <c r="K2062" t="s">
        <v>1551</v>
      </c>
      <c r="L2062" t="s">
        <v>1551</v>
      </c>
    </row>
    <row r="2063" spans="1:12" x14ac:dyDescent="0.3">
      <c r="A2063" t="s">
        <v>2600</v>
      </c>
      <c r="B2063" t="s">
        <v>1501</v>
      </c>
      <c r="C2063" t="s">
        <v>750</v>
      </c>
      <c r="D2063" t="s">
        <v>215</v>
      </c>
      <c r="E2063" t="s">
        <v>569</v>
      </c>
      <c r="F2063" t="s">
        <v>69</v>
      </c>
      <c r="G2063" t="s">
        <v>111</v>
      </c>
      <c r="H2063" t="s">
        <v>703</v>
      </c>
      <c r="I2063" t="s">
        <v>112</v>
      </c>
      <c r="J2063" t="s">
        <v>702</v>
      </c>
      <c r="K2063" t="s">
        <v>1555</v>
      </c>
      <c r="L2063" t="s">
        <v>1555</v>
      </c>
    </row>
    <row r="2064" spans="1:12" x14ac:dyDescent="0.3">
      <c r="A2064" t="s">
        <v>2600</v>
      </c>
      <c r="B2064" t="s">
        <v>1501</v>
      </c>
      <c r="C2064" t="s">
        <v>750</v>
      </c>
      <c r="D2064" t="s">
        <v>217</v>
      </c>
      <c r="E2064" t="s">
        <v>569</v>
      </c>
      <c r="F2064" t="s">
        <v>122</v>
      </c>
      <c r="G2064" t="s">
        <v>111</v>
      </c>
      <c r="H2064" t="s">
        <v>703</v>
      </c>
      <c r="I2064" t="s">
        <v>112</v>
      </c>
      <c r="J2064" t="s">
        <v>702</v>
      </c>
      <c r="K2064" t="s">
        <v>2804</v>
      </c>
      <c r="L2064" t="s">
        <v>2804</v>
      </c>
    </row>
    <row r="2065" spans="1:12" x14ac:dyDescent="0.3">
      <c r="A2065" t="s">
        <v>2600</v>
      </c>
      <c r="B2065" t="s">
        <v>1501</v>
      </c>
      <c r="C2065" t="s">
        <v>750</v>
      </c>
      <c r="D2065" t="s">
        <v>306</v>
      </c>
      <c r="E2065" t="s">
        <v>569</v>
      </c>
      <c r="F2065" t="s">
        <v>165</v>
      </c>
      <c r="G2065" t="s">
        <v>111</v>
      </c>
      <c r="H2065" t="s">
        <v>703</v>
      </c>
      <c r="I2065" t="s">
        <v>112</v>
      </c>
      <c r="J2065" t="s">
        <v>702</v>
      </c>
      <c r="K2065" t="s">
        <v>2805</v>
      </c>
      <c r="L2065" t="s">
        <v>2805</v>
      </c>
    </row>
    <row r="2066" spans="1:12" x14ac:dyDescent="0.3">
      <c r="A2066" t="s">
        <v>2600</v>
      </c>
      <c r="B2066" t="s">
        <v>1501</v>
      </c>
      <c r="C2066" t="s">
        <v>750</v>
      </c>
      <c r="D2066" t="s">
        <v>218</v>
      </c>
      <c r="E2066" t="s">
        <v>569</v>
      </c>
      <c r="F2066" t="s">
        <v>166</v>
      </c>
      <c r="G2066" t="s">
        <v>111</v>
      </c>
      <c r="H2066" t="s">
        <v>186</v>
      </c>
      <c r="I2066" t="s">
        <v>112</v>
      </c>
      <c r="J2066" t="s">
        <v>183</v>
      </c>
      <c r="K2066" t="s">
        <v>1537</v>
      </c>
      <c r="L2066" t="s">
        <v>1537</v>
      </c>
    </row>
    <row r="2067" spans="1:12" x14ac:dyDescent="0.3">
      <c r="A2067" t="s">
        <v>2600</v>
      </c>
      <c r="B2067" t="s">
        <v>1501</v>
      </c>
      <c r="C2067" t="s">
        <v>750</v>
      </c>
      <c r="D2067" t="s">
        <v>219</v>
      </c>
      <c r="E2067" t="s">
        <v>569</v>
      </c>
      <c r="F2067" t="s">
        <v>189</v>
      </c>
      <c r="G2067" t="s">
        <v>111</v>
      </c>
      <c r="H2067" t="s">
        <v>703</v>
      </c>
      <c r="I2067" t="s">
        <v>112</v>
      </c>
      <c r="J2067" t="s">
        <v>702</v>
      </c>
      <c r="K2067" t="s">
        <v>2806</v>
      </c>
      <c r="L2067" t="s">
        <v>2806</v>
      </c>
    </row>
    <row r="2068" spans="1:12" x14ac:dyDescent="0.3">
      <c r="A2068" t="s">
        <v>2600</v>
      </c>
      <c r="B2068" t="s">
        <v>1501</v>
      </c>
      <c r="C2068" t="s">
        <v>750</v>
      </c>
      <c r="D2068" t="s">
        <v>221</v>
      </c>
      <c r="E2068" t="s">
        <v>569</v>
      </c>
      <c r="F2068" t="s">
        <v>45</v>
      </c>
      <c r="G2068" t="s">
        <v>111</v>
      </c>
      <c r="H2068" t="s">
        <v>1561</v>
      </c>
      <c r="I2068" t="s">
        <v>112</v>
      </c>
      <c r="J2068" t="s">
        <v>702</v>
      </c>
      <c r="K2068" t="s">
        <v>1603</v>
      </c>
      <c r="L2068" t="s">
        <v>1603</v>
      </c>
    </row>
    <row r="2069" spans="1:12" x14ac:dyDescent="0.3">
      <c r="A2069" t="s">
        <v>2600</v>
      </c>
      <c r="B2069" t="s">
        <v>1501</v>
      </c>
      <c r="C2069" t="s">
        <v>750</v>
      </c>
      <c r="D2069" t="s">
        <v>308</v>
      </c>
      <c r="E2069" t="s">
        <v>569</v>
      </c>
      <c r="F2069" t="s">
        <v>190</v>
      </c>
      <c r="G2069" t="s">
        <v>111</v>
      </c>
      <c r="H2069" t="s">
        <v>703</v>
      </c>
      <c r="I2069" t="s">
        <v>112</v>
      </c>
      <c r="J2069" t="s">
        <v>702</v>
      </c>
      <c r="K2069" t="s">
        <v>1555</v>
      </c>
      <c r="L2069" t="s">
        <v>1555</v>
      </c>
    </row>
    <row r="2070" spans="1:12" x14ac:dyDescent="0.3">
      <c r="A2070" t="s">
        <v>2600</v>
      </c>
      <c r="B2070" t="s">
        <v>1501</v>
      </c>
      <c r="C2070" t="s">
        <v>750</v>
      </c>
      <c r="D2070" t="s">
        <v>222</v>
      </c>
      <c r="E2070" t="s">
        <v>569</v>
      </c>
      <c r="F2070" t="s">
        <v>124</v>
      </c>
      <c r="G2070" t="s">
        <v>111</v>
      </c>
      <c r="H2070" t="s">
        <v>1561</v>
      </c>
      <c r="I2070" t="s">
        <v>112</v>
      </c>
      <c r="J2070" t="s">
        <v>702</v>
      </c>
      <c r="K2070" t="s">
        <v>2807</v>
      </c>
      <c r="L2070" t="s">
        <v>2807</v>
      </c>
    </row>
    <row r="2071" spans="1:12" x14ac:dyDescent="0.3">
      <c r="A2071" t="s">
        <v>2600</v>
      </c>
      <c r="B2071" t="s">
        <v>1501</v>
      </c>
      <c r="C2071" t="s">
        <v>750</v>
      </c>
      <c r="D2071" t="s">
        <v>309</v>
      </c>
      <c r="E2071" t="s">
        <v>569</v>
      </c>
      <c r="F2071" t="s">
        <v>58</v>
      </c>
      <c r="G2071" t="s">
        <v>111</v>
      </c>
      <c r="H2071" t="s">
        <v>182</v>
      </c>
      <c r="I2071" t="s">
        <v>112</v>
      </c>
      <c r="J2071" t="s">
        <v>183</v>
      </c>
      <c r="K2071" t="s">
        <v>1535</v>
      </c>
      <c r="L2071" t="s">
        <v>1535</v>
      </c>
    </row>
    <row r="2072" spans="1:12" x14ac:dyDescent="0.3">
      <c r="A2072" t="s">
        <v>2600</v>
      </c>
      <c r="B2072" t="s">
        <v>1501</v>
      </c>
      <c r="C2072" t="s">
        <v>750</v>
      </c>
      <c r="D2072" t="s">
        <v>2808</v>
      </c>
      <c r="E2072" t="s">
        <v>569</v>
      </c>
      <c r="F2072" t="s">
        <v>191</v>
      </c>
      <c r="G2072" t="s">
        <v>111</v>
      </c>
      <c r="H2072" t="s">
        <v>703</v>
      </c>
      <c r="I2072" t="s">
        <v>112</v>
      </c>
      <c r="J2072" t="s">
        <v>702</v>
      </c>
      <c r="K2072" t="s">
        <v>1551</v>
      </c>
      <c r="L2072" t="s">
        <v>1551</v>
      </c>
    </row>
    <row r="2073" spans="1:12" x14ac:dyDescent="0.3">
      <c r="A2073" t="s">
        <v>2600</v>
      </c>
      <c r="B2073" t="s">
        <v>1501</v>
      </c>
      <c r="C2073" t="s">
        <v>750</v>
      </c>
      <c r="D2073" t="s">
        <v>224</v>
      </c>
      <c r="E2073" t="s">
        <v>569</v>
      </c>
      <c r="F2073" t="s">
        <v>125</v>
      </c>
      <c r="G2073" t="s">
        <v>111</v>
      </c>
      <c r="H2073" t="s">
        <v>703</v>
      </c>
      <c r="I2073" t="s">
        <v>112</v>
      </c>
      <c r="J2073" t="s">
        <v>702</v>
      </c>
      <c r="K2073" t="s">
        <v>2809</v>
      </c>
      <c r="L2073" t="s">
        <v>2809</v>
      </c>
    </row>
    <row r="2074" spans="1:12" x14ac:dyDescent="0.3">
      <c r="A2074" t="s">
        <v>2600</v>
      </c>
      <c r="B2074" t="s">
        <v>1501</v>
      </c>
      <c r="C2074" t="s">
        <v>750</v>
      </c>
      <c r="D2074" t="s">
        <v>225</v>
      </c>
      <c r="E2074" t="s">
        <v>569</v>
      </c>
      <c r="F2074" t="s">
        <v>126</v>
      </c>
      <c r="G2074" t="s">
        <v>111</v>
      </c>
      <c r="H2074" t="s">
        <v>703</v>
      </c>
      <c r="I2074" t="s">
        <v>112</v>
      </c>
      <c r="J2074" t="s">
        <v>702</v>
      </c>
      <c r="K2074" t="s">
        <v>2809</v>
      </c>
      <c r="L2074" t="s">
        <v>2809</v>
      </c>
    </row>
    <row r="2075" spans="1:12" x14ac:dyDescent="0.3">
      <c r="A2075" t="s">
        <v>2600</v>
      </c>
      <c r="B2075" t="s">
        <v>1501</v>
      </c>
      <c r="C2075" t="s">
        <v>750</v>
      </c>
      <c r="D2075" t="s">
        <v>227</v>
      </c>
      <c r="E2075" t="s">
        <v>569</v>
      </c>
      <c r="F2075" t="s">
        <v>192</v>
      </c>
      <c r="G2075" t="s">
        <v>111</v>
      </c>
      <c r="H2075" t="s">
        <v>703</v>
      </c>
      <c r="I2075" t="s">
        <v>112</v>
      </c>
      <c r="J2075" t="s">
        <v>702</v>
      </c>
      <c r="K2075" t="s">
        <v>2810</v>
      </c>
      <c r="L2075" t="s">
        <v>2810</v>
      </c>
    </row>
    <row r="2076" spans="1:12" x14ac:dyDescent="0.3">
      <c r="A2076" t="s">
        <v>2600</v>
      </c>
      <c r="B2076" t="s">
        <v>1501</v>
      </c>
      <c r="C2076" t="s">
        <v>750</v>
      </c>
      <c r="D2076" t="s">
        <v>228</v>
      </c>
      <c r="E2076" t="s">
        <v>569</v>
      </c>
      <c r="F2076" t="s">
        <v>167</v>
      </c>
      <c r="G2076" t="s">
        <v>111</v>
      </c>
      <c r="H2076" t="s">
        <v>182</v>
      </c>
      <c r="I2076" t="s">
        <v>112</v>
      </c>
      <c r="J2076" t="s">
        <v>183</v>
      </c>
      <c r="K2076" t="s">
        <v>1537</v>
      </c>
      <c r="L2076" t="s">
        <v>1537</v>
      </c>
    </row>
    <row r="2077" spans="1:12" x14ac:dyDescent="0.3">
      <c r="A2077" t="s">
        <v>2600</v>
      </c>
      <c r="B2077" t="s">
        <v>1501</v>
      </c>
      <c r="C2077" t="s">
        <v>750</v>
      </c>
      <c r="D2077" t="s">
        <v>229</v>
      </c>
      <c r="E2077" t="s">
        <v>569</v>
      </c>
      <c r="F2077" t="s">
        <v>127</v>
      </c>
      <c r="G2077" t="s">
        <v>111</v>
      </c>
      <c r="H2077" t="s">
        <v>703</v>
      </c>
      <c r="I2077" t="s">
        <v>112</v>
      </c>
      <c r="J2077" t="s">
        <v>702</v>
      </c>
      <c r="K2077" t="s">
        <v>2811</v>
      </c>
      <c r="L2077" t="s">
        <v>2811</v>
      </c>
    </row>
    <row r="2078" spans="1:12" x14ac:dyDescent="0.3">
      <c r="A2078" t="s">
        <v>2600</v>
      </c>
      <c r="B2078" t="s">
        <v>1501</v>
      </c>
      <c r="C2078" t="s">
        <v>750</v>
      </c>
      <c r="D2078" t="s">
        <v>310</v>
      </c>
      <c r="E2078" t="s">
        <v>569</v>
      </c>
      <c r="F2078" t="s">
        <v>128</v>
      </c>
      <c r="G2078" t="s">
        <v>111</v>
      </c>
      <c r="H2078" t="s">
        <v>703</v>
      </c>
      <c r="I2078" t="s">
        <v>112</v>
      </c>
      <c r="J2078" t="s">
        <v>702</v>
      </c>
      <c r="K2078" t="s">
        <v>1555</v>
      </c>
      <c r="L2078" t="s">
        <v>1555</v>
      </c>
    </row>
    <row r="2079" spans="1:12" x14ac:dyDescent="0.3">
      <c r="A2079" t="s">
        <v>2600</v>
      </c>
      <c r="B2079" t="s">
        <v>1501</v>
      </c>
      <c r="C2079" t="s">
        <v>750</v>
      </c>
      <c r="D2079" t="s">
        <v>231</v>
      </c>
      <c r="E2079" t="s">
        <v>569</v>
      </c>
      <c r="F2079" t="s">
        <v>66</v>
      </c>
      <c r="G2079" t="s">
        <v>111</v>
      </c>
      <c r="H2079" t="s">
        <v>1561</v>
      </c>
      <c r="I2079" t="s">
        <v>112</v>
      </c>
      <c r="J2079" t="s">
        <v>702</v>
      </c>
      <c r="K2079" t="s">
        <v>2812</v>
      </c>
      <c r="L2079" t="s">
        <v>2812</v>
      </c>
    </row>
    <row r="2080" spans="1:12" x14ac:dyDescent="0.3">
      <c r="A2080" t="s">
        <v>2600</v>
      </c>
      <c r="B2080" t="s">
        <v>1501</v>
      </c>
      <c r="C2080" t="s">
        <v>750</v>
      </c>
      <c r="D2080" t="s">
        <v>232</v>
      </c>
      <c r="E2080" t="s">
        <v>569</v>
      </c>
      <c r="F2080" t="s">
        <v>169</v>
      </c>
      <c r="G2080" t="s">
        <v>111</v>
      </c>
      <c r="H2080" t="s">
        <v>703</v>
      </c>
      <c r="I2080" t="s">
        <v>112</v>
      </c>
      <c r="J2080" t="s">
        <v>702</v>
      </c>
      <c r="K2080" t="s">
        <v>1555</v>
      </c>
      <c r="L2080" t="s">
        <v>1555</v>
      </c>
    </row>
    <row r="2081" spans="1:12" x14ac:dyDescent="0.3">
      <c r="A2081" t="s">
        <v>2600</v>
      </c>
      <c r="B2081" t="s">
        <v>1501</v>
      </c>
      <c r="C2081" t="s">
        <v>750</v>
      </c>
      <c r="D2081" t="s">
        <v>234</v>
      </c>
      <c r="E2081" t="s">
        <v>569</v>
      </c>
      <c r="F2081" t="s">
        <v>93</v>
      </c>
      <c r="G2081" t="s">
        <v>111</v>
      </c>
      <c r="H2081" t="s">
        <v>703</v>
      </c>
      <c r="I2081" t="s">
        <v>112</v>
      </c>
      <c r="J2081" t="s">
        <v>702</v>
      </c>
      <c r="K2081" t="s">
        <v>1555</v>
      </c>
      <c r="L2081" t="s">
        <v>1555</v>
      </c>
    </row>
    <row r="2082" spans="1:12" x14ac:dyDescent="0.3">
      <c r="A2082" t="s">
        <v>2600</v>
      </c>
      <c r="B2082" t="s">
        <v>1501</v>
      </c>
      <c r="C2082" t="s">
        <v>750</v>
      </c>
      <c r="D2082" t="s">
        <v>312</v>
      </c>
      <c r="E2082" t="s">
        <v>569</v>
      </c>
      <c r="F2082" t="s">
        <v>129</v>
      </c>
      <c r="G2082" t="s">
        <v>111</v>
      </c>
      <c r="H2082" t="s">
        <v>1561</v>
      </c>
      <c r="I2082" t="s">
        <v>112</v>
      </c>
      <c r="J2082" t="s">
        <v>702</v>
      </c>
      <c r="K2082" t="s">
        <v>1568</v>
      </c>
      <c r="L2082" t="s">
        <v>1568</v>
      </c>
    </row>
    <row r="2083" spans="1:12" x14ac:dyDescent="0.3">
      <c r="A2083" t="s">
        <v>2600</v>
      </c>
      <c r="B2083" t="s">
        <v>1501</v>
      </c>
      <c r="C2083" t="s">
        <v>750</v>
      </c>
      <c r="D2083" t="s">
        <v>235</v>
      </c>
      <c r="E2083" t="s">
        <v>569</v>
      </c>
      <c r="F2083" t="s">
        <v>85</v>
      </c>
      <c r="G2083" t="s">
        <v>111</v>
      </c>
      <c r="H2083" t="s">
        <v>703</v>
      </c>
      <c r="I2083" t="s">
        <v>112</v>
      </c>
      <c r="J2083" t="s">
        <v>702</v>
      </c>
      <c r="K2083" t="s">
        <v>2813</v>
      </c>
      <c r="L2083" t="s">
        <v>2813</v>
      </c>
    </row>
    <row r="2084" spans="1:12" x14ac:dyDescent="0.3">
      <c r="A2084" t="s">
        <v>2600</v>
      </c>
      <c r="B2084" t="s">
        <v>1501</v>
      </c>
      <c r="C2084" t="s">
        <v>750</v>
      </c>
      <c r="D2084" t="s">
        <v>314</v>
      </c>
      <c r="E2084" t="s">
        <v>569</v>
      </c>
      <c r="F2084" t="s">
        <v>61</v>
      </c>
      <c r="G2084" t="s">
        <v>111</v>
      </c>
      <c r="H2084" t="s">
        <v>182</v>
      </c>
      <c r="I2084" t="s">
        <v>112</v>
      </c>
      <c r="J2084" t="s">
        <v>183</v>
      </c>
      <c r="K2084" t="s">
        <v>1535</v>
      </c>
      <c r="L2084" t="s">
        <v>1535</v>
      </c>
    </row>
    <row r="2085" spans="1:12" x14ac:dyDescent="0.3">
      <c r="A2085" t="s">
        <v>2600</v>
      </c>
      <c r="B2085" t="s">
        <v>1501</v>
      </c>
      <c r="C2085" t="s">
        <v>750</v>
      </c>
      <c r="D2085" t="s">
        <v>239</v>
      </c>
      <c r="E2085" t="s">
        <v>569</v>
      </c>
      <c r="F2085" t="s">
        <v>50</v>
      </c>
      <c r="G2085" t="s">
        <v>111</v>
      </c>
      <c r="H2085" t="s">
        <v>703</v>
      </c>
      <c r="I2085" t="s">
        <v>112</v>
      </c>
      <c r="J2085" t="s">
        <v>702</v>
      </c>
      <c r="K2085" t="s">
        <v>2809</v>
      </c>
      <c r="L2085" t="s">
        <v>2809</v>
      </c>
    </row>
    <row r="2086" spans="1:12" x14ac:dyDescent="0.3">
      <c r="A2086" t="s">
        <v>2600</v>
      </c>
      <c r="B2086" t="s">
        <v>1501</v>
      </c>
      <c r="C2086" t="s">
        <v>750</v>
      </c>
      <c r="D2086" t="s">
        <v>315</v>
      </c>
      <c r="E2086" t="s">
        <v>568</v>
      </c>
      <c r="F2086" t="s">
        <v>79</v>
      </c>
      <c r="G2086" t="s">
        <v>111</v>
      </c>
      <c r="H2086" t="s">
        <v>703</v>
      </c>
      <c r="I2086" t="s">
        <v>112</v>
      </c>
      <c r="J2086" t="s">
        <v>702</v>
      </c>
      <c r="K2086" t="s">
        <v>2814</v>
      </c>
      <c r="L2086" t="s">
        <v>2814</v>
      </c>
    </row>
    <row r="2087" spans="1:12" x14ac:dyDescent="0.3">
      <c r="A2087" t="s">
        <v>2600</v>
      </c>
      <c r="B2087" t="s">
        <v>1501</v>
      </c>
      <c r="C2087" t="s">
        <v>750</v>
      </c>
      <c r="D2087" t="s">
        <v>316</v>
      </c>
      <c r="E2087" t="s">
        <v>568</v>
      </c>
      <c r="F2087" t="s">
        <v>132</v>
      </c>
      <c r="G2087" t="s">
        <v>111</v>
      </c>
      <c r="H2087" t="s">
        <v>703</v>
      </c>
      <c r="I2087" t="s">
        <v>112</v>
      </c>
      <c r="J2087" t="s">
        <v>702</v>
      </c>
      <c r="K2087" t="s">
        <v>2809</v>
      </c>
      <c r="L2087" t="s">
        <v>2809</v>
      </c>
    </row>
    <row r="2088" spans="1:12" x14ac:dyDescent="0.3">
      <c r="A2088" t="s">
        <v>2600</v>
      </c>
      <c r="B2088" t="s">
        <v>1501</v>
      </c>
      <c r="C2088" t="s">
        <v>750</v>
      </c>
      <c r="D2088" t="s">
        <v>317</v>
      </c>
      <c r="E2088" t="s">
        <v>568</v>
      </c>
      <c r="F2088" t="s">
        <v>133</v>
      </c>
      <c r="G2088" t="s">
        <v>111</v>
      </c>
      <c r="H2088" t="s">
        <v>1539</v>
      </c>
      <c r="I2088" t="s">
        <v>112</v>
      </c>
      <c r="J2088" t="s">
        <v>704</v>
      </c>
    </row>
    <row r="2089" spans="1:12" x14ac:dyDescent="0.3">
      <c r="A2089" t="s">
        <v>2600</v>
      </c>
      <c r="B2089" t="s">
        <v>1501</v>
      </c>
      <c r="C2089" t="s">
        <v>750</v>
      </c>
      <c r="D2089" t="s">
        <v>318</v>
      </c>
      <c r="E2089" t="s">
        <v>568</v>
      </c>
      <c r="F2089" t="s">
        <v>193</v>
      </c>
      <c r="G2089" t="s">
        <v>111</v>
      </c>
      <c r="H2089" t="s">
        <v>703</v>
      </c>
      <c r="I2089" t="s">
        <v>112</v>
      </c>
      <c r="J2089" t="s">
        <v>702</v>
      </c>
      <c r="K2089" t="s">
        <v>2815</v>
      </c>
      <c r="L2089" t="s">
        <v>2815</v>
      </c>
    </row>
    <row r="2090" spans="1:12" x14ac:dyDescent="0.3">
      <c r="A2090" t="s">
        <v>2600</v>
      </c>
      <c r="B2090" t="s">
        <v>1501</v>
      </c>
      <c r="C2090" t="s">
        <v>750</v>
      </c>
      <c r="D2090" t="s">
        <v>240</v>
      </c>
      <c r="E2090" t="s">
        <v>568</v>
      </c>
      <c r="F2090" t="s">
        <v>134</v>
      </c>
      <c r="G2090" t="s">
        <v>111</v>
      </c>
      <c r="H2090" t="s">
        <v>703</v>
      </c>
      <c r="I2090" t="s">
        <v>112</v>
      </c>
      <c r="J2090" t="s">
        <v>702</v>
      </c>
      <c r="K2090" t="s">
        <v>2816</v>
      </c>
      <c r="L2090" t="s">
        <v>2816</v>
      </c>
    </row>
    <row r="2091" spans="1:12" x14ac:dyDescent="0.3">
      <c r="A2091" t="s">
        <v>2600</v>
      </c>
      <c r="B2091" t="s">
        <v>1501</v>
      </c>
      <c r="C2091" t="s">
        <v>750</v>
      </c>
      <c r="D2091" t="s">
        <v>241</v>
      </c>
      <c r="E2091" t="s">
        <v>568</v>
      </c>
      <c r="F2091" t="s">
        <v>51</v>
      </c>
      <c r="G2091" t="s">
        <v>111</v>
      </c>
      <c r="H2091" t="s">
        <v>703</v>
      </c>
      <c r="I2091" t="s">
        <v>112</v>
      </c>
      <c r="J2091" t="s">
        <v>702</v>
      </c>
      <c r="K2091" t="s">
        <v>1555</v>
      </c>
      <c r="L2091" t="s">
        <v>1555</v>
      </c>
    </row>
    <row r="2092" spans="1:12" x14ac:dyDescent="0.3">
      <c r="A2092" t="s">
        <v>2600</v>
      </c>
      <c r="B2092" t="s">
        <v>1501</v>
      </c>
      <c r="C2092" t="s">
        <v>750</v>
      </c>
      <c r="D2092" t="s">
        <v>242</v>
      </c>
      <c r="E2092" t="s">
        <v>568</v>
      </c>
      <c r="F2092" t="s">
        <v>163</v>
      </c>
      <c r="G2092" t="s">
        <v>111</v>
      </c>
      <c r="H2092" t="s">
        <v>703</v>
      </c>
      <c r="I2092" t="s">
        <v>112</v>
      </c>
      <c r="J2092" t="s">
        <v>702</v>
      </c>
      <c r="K2092" t="s">
        <v>1551</v>
      </c>
      <c r="L2092" t="s">
        <v>1551</v>
      </c>
    </row>
    <row r="2093" spans="1:12" x14ac:dyDescent="0.3">
      <c r="A2093" t="s">
        <v>2600</v>
      </c>
      <c r="B2093" t="s">
        <v>1501</v>
      </c>
      <c r="C2093" t="s">
        <v>750</v>
      </c>
      <c r="D2093" t="s">
        <v>243</v>
      </c>
      <c r="E2093" t="s">
        <v>568</v>
      </c>
      <c r="F2093" t="s">
        <v>170</v>
      </c>
      <c r="G2093" t="s">
        <v>111</v>
      </c>
      <c r="H2093" t="s">
        <v>703</v>
      </c>
      <c r="I2093" t="s">
        <v>112</v>
      </c>
      <c r="J2093" t="s">
        <v>702</v>
      </c>
      <c r="K2093" t="s">
        <v>1555</v>
      </c>
      <c r="L2093" t="s">
        <v>1555</v>
      </c>
    </row>
    <row r="2094" spans="1:12" x14ac:dyDescent="0.3">
      <c r="A2094" t="s">
        <v>2600</v>
      </c>
      <c r="B2094" t="s">
        <v>1501</v>
      </c>
      <c r="C2094" t="s">
        <v>750</v>
      </c>
      <c r="D2094" t="s">
        <v>244</v>
      </c>
      <c r="E2094" t="s">
        <v>568</v>
      </c>
      <c r="F2094" t="s">
        <v>78</v>
      </c>
      <c r="G2094" t="s">
        <v>111</v>
      </c>
      <c r="H2094" t="s">
        <v>703</v>
      </c>
      <c r="I2094" t="s">
        <v>112</v>
      </c>
      <c r="J2094" t="s">
        <v>702</v>
      </c>
      <c r="K2094" t="s">
        <v>2817</v>
      </c>
      <c r="L2094" t="s">
        <v>2817</v>
      </c>
    </row>
    <row r="2095" spans="1:12" x14ac:dyDescent="0.3">
      <c r="A2095" t="s">
        <v>2600</v>
      </c>
      <c r="B2095" t="s">
        <v>1501</v>
      </c>
      <c r="C2095" t="s">
        <v>750</v>
      </c>
      <c r="D2095" t="s">
        <v>245</v>
      </c>
      <c r="E2095" t="s">
        <v>568</v>
      </c>
      <c r="F2095" t="s">
        <v>82</v>
      </c>
      <c r="G2095" t="s">
        <v>111</v>
      </c>
      <c r="H2095" t="s">
        <v>1539</v>
      </c>
      <c r="I2095" t="s">
        <v>112</v>
      </c>
      <c r="J2095" t="s">
        <v>704</v>
      </c>
      <c r="K2095" t="s">
        <v>2818</v>
      </c>
      <c r="L2095" t="s">
        <v>2818</v>
      </c>
    </row>
    <row r="2096" spans="1:12" x14ac:dyDescent="0.3">
      <c r="A2096" t="s">
        <v>2600</v>
      </c>
      <c r="B2096" t="s">
        <v>1501</v>
      </c>
      <c r="C2096" t="s">
        <v>750</v>
      </c>
      <c r="D2096" t="s">
        <v>319</v>
      </c>
      <c r="E2096" t="s">
        <v>568</v>
      </c>
      <c r="F2096" t="s">
        <v>136</v>
      </c>
      <c r="G2096" t="s">
        <v>111</v>
      </c>
      <c r="H2096" t="s">
        <v>703</v>
      </c>
      <c r="I2096" t="s">
        <v>112</v>
      </c>
      <c r="J2096" t="s">
        <v>702</v>
      </c>
      <c r="K2096" t="s">
        <v>1541</v>
      </c>
      <c r="L2096" t="s">
        <v>1541</v>
      </c>
    </row>
    <row r="2097" spans="1:12" x14ac:dyDescent="0.3">
      <c r="A2097" t="s">
        <v>2600</v>
      </c>
      <c r="B2097" t="s">
        <v>1501</v>
      </c>
      <c r="C2097" t="s">
        <v>750</v>
      </c>
      <c r="D2097" t="s">
        <v>248</v>
      </c>
      <c r="E2097" t="s">
        <v>568</v>
      </c>
      <c r="F2097" t="s">
        <v>137</v>
      </c>
      <c r="G2097" t="s">
        <v>111</v>
      </c>
      <c r="H2097" t="s">
        <v>1561</v>
      </c>
      <c r="I2097" t="s">
        <v>112</v>
      </c>
      <c r="J2097" t="s">
        <v>702</v>
      </c>
    </row>
    <row r="2098" spans="1:12" x14ac:dyDescent="0.3">
      <c r="A2098" t="s">
        <v>2600</v>
      </c>
      <c r="B2098" t="s">
        <v>1501</v>
      </c>
      <c r="C2098" t="s">
        <v>750</v>
      </c>
      <c r="D2098" t="s">
        <v>250</v>
      </c>
      <c r="E2098" t="s">
        <v>568</v>
      </c>
      <c r="F2098" t="s">
        <v>70</v>
      </c>
      <c r="G2098" t="s">
        <v>111</v>
      </c>
      <c r="H2098" t="s">
        <v>703</v>
      </c>
      <c r="I2098" t="s">
        <v>112</v>
      </c>
      <c r="J2098" t="s">
        <v>702</v>
      </c>
      <c r="K2098" t="s">
        <v>2811</v>
      </c>
      <c r="L2098" t="s">
        <v>2811</v>
      </c>
    </row>
    <row r="2099" spans="1:12" x14ac:dyDescent="0.3">
      <c r="A2099" t="s">
        <v>2600</v>
      </c>
      <c r="B2099" t="s">
        <v>1501</v>
      </c>
      <c r="C2099" t="s">
        <v>750</v>
      </c>
      <c r="D2099" t="s">
        <v>252</v>
      </c>
      <c r="E2099" t="s">
        <v>568</v>
      </c>
      <c r="F2099" t="s">
        <v>138</v>
      </c>
      <c r="G2099" t="s">
        <v>111</v>
      </c>
      <c r="H2099" t="s">
        <v>703</v>
      </c>
      <c r="I2099" t="s">
        <v>112</v>
      </c>
      <c r="J2099" t="s">
        <v>702</v>
      </c>
      <c r="K2099" t="s">
        <v>1555</v>
      </c>
      <c r="L2099" t="s">
        <v>1555</v>
      </c>
    </row>
    <row r="2100" spans="1:12" x14ac:dyDescent="0.3">
      <c r="A2100" t="s">
        <v>2600</v>
      </c>
      <c r="B2100" t="s">
        <v>1501</v>
      </c>
      <c r="C2100" t="s">
        <v>750</v>
      </c>
      <c r="D2100" t="s">
        <v>254</v>
      </c>
      <c r="E2100" t="s">
        <v>568</v>
      </c>
      <c r="F2100" t="s">
        <v>139</v>
      </c>
      <c r="G2100" t="s">
        <v>111</v>
      </c>
      <c r="H2100" t="s">
        <v>1565</v>
      </c>
      <c r="I2100" t="s">
        <v>112</v>
      </c>
      <c r="J2100" t="s">
        <v>1566</v>
      </c>
      <c r="K2100" t="s">
        <v>2819</v>
      </c>
      <c r="L2100" t="s">
        <v>2819</v>
      </c>
    </row>
    <row r="2101" spans="1:12" x14ac:dyDescent="0.3">
      <c r="A2101" t="s">
        <v>2600</v>
      </c>
      <c r="B2101" t="s">
        <v>1501</v>
      </c>
      <c r="C2101" t="s">
        <v>750</v>
      </c>
      <c r="D2101" t="s">
        <v>320</v>
      </c>
      <c r="E2101" t="s">
        <v>568</v>
      </c>
      <c r="F2101" t="s">
        <v>172</v>
      </c>
      <c r="G2101" t="s">
        <v>111</v>
      </c>
      <c r="H2101" t="s">
        <v>182</v>
      </c>
      <c r="I2101" t="s">
        <v>112</v>
      </c>
      <c r="J2101" t="s">
        <v>183</v>
      </c>
      <c r="K2101" t="s">
        <v>1535</v>
      </c>
      <c r="L2101" t="s">
        <v>1535</v>
      </c>
    </row>
    <row r="2102" spans="1:12" x14ac:dyDescent="0.3">
      <c r="A2102" t="s">
        <v>2600</v>
      </c>
      <c r="B2102" t="s">
        <v>1501</v>
      </c>
      <c r="C2102" t="s">
        <v>750</v>
      </c>
      <c r="D2102" t="s">
        <v>207</v>
      </c>
      <c r="E2102" t="s">
        <v>568</v>
      </c>
      <c r="F2102" t="s">
        <v>62</v>
      </c>
      <c r="G2102" t="s">
        <v>111</v>
      </c>
      <c r="H2102" t="s">
        <v>703</v>
      </c>
      <c r="I2102" t="s">
        <v>112</v>
      </c>
      <c r="J2102" t="s">
        <v>702</v>
      </c>
      <c r="K2102" t="s">
        <v>1559</v>
      </c>
      <c r="L2102" t="s">
        <v>1559</v>
      </c>
    </row>
    <row r="2103" spans="1:12" x14ac:dyDescent="0.3">
      <c r="A2103" t="s">
        <v>2600</v>
      </c>
      <c r="B2103" t="s">
        <v>1501</v>
      </c>
      <c r="C2103" t="s">
        <v>750</v>
      </c>
      <c r="D2103" t="s">
        <v>321</v>
      </c>
      <c r="E2103" t="s">
        <v>568</v>
      </c>
      <c r="F2103" t="s">
        <v>94</v>
      </c>
      <c r="G2103" t="s">
        <v>111</v>
      </c>
      <c r="H2103" t="s">
        <v>703</v>
      </c>
      <c r="I2103" t="s">
        <v>112</v>
      </c>
      <c r="J2103" t="s">
        <v>702</v>
      </c>
      <c r="K2103" t="s">
        <v>1555</v>
      </c>
      <c r="L2103" t="s">
        <v>1555</v>
      </c>
    </row>
    <row r="2104" spans="1:12" x14ac:dyDescent="0.3">
      <c r="A2104" t="s">
        <v>2600</v>
      </c>
      <c r="B2104" t="s">
        <v>1501</v>
      </c>
      <c r="C2104" t="s">
        <v>750</v>
      </c>
      <c r="D2104" t="s">
        <v>256</v>
      </c>
      <c r="E2104" t="s">
        <v>568</v>
      </c>
      <c r="F2104" t="s">
        <v>57</v>
      </c>
      <c r="G2104" t="s">
        <v>111</v>
      </c>
      <c r="H2104" t="s">
        <v>1539</v>
      </c>
      <c r="I2104" t="s">
        <v>112</v>
      </c>
      <c r="J2104" t="s">
        <v>704</v>
      </c>
      <c r="K2104" t="s">
        <v>1562</v>
      </c>
      <c r="L2104" t="s">
        <v>1562</v>
      </c>
    </row>
    <row r="2105" spans="1:12" x14ac:dyDescent="0.3">
      <c r="A2105" t="s">
        <v>2600</v>
      </c>
      <c r="B2105" t="s">
        <v>1501</v>
      </c>
      <c r="C2105" t="s">
        <v>750</v>
      </c>
      <c r="D2105" t="s">
        <v>258</v>
      </c>
      <c r="E2105" t="s">
        <v>568</v>
      </c>
      <c r="F2105" t="s">
        <v>88</v>
      </c>
      <c r="G2105" t="s">
        <v>111</v>
      </c>
      <c r="H2105" t="s">
        <v>1565</v>
      </c>
      <c r="I2105" t="s">
        <v>112</v>
      </c>
      <c r="J2105" t="s">
        <v>1566</v>
      </c>
    </row>
    <row r="2106" spans="1:12" x14ac:dyDescent="0.3">
      <c r="A2106" t="s">
        <v>2600</v>
      </c>
      <c r="B2106" t="s">
        <v>1501</v>
      </c>
      <c r="C2106" t="s">
        <v>750</v>
      </c>
      <c r="D2106" t="s">
        <v>259</v>
      </c>
      <c r="E2106" t="s">
        <v>568</v>
      </c>
      <c r="F2106" t="s">
        <v>77</v>
      </c>
      <c r="G2106" t="s">
        <v>111</v>
      </c>
      <c r="H2106" t="s">
        <v>182</v>
      </c>
      <c r="I2106" t="s">
        <v>112</v>
      </c>
      <c r="J2106" t="s">
        <v>183</v>
      </c>
      <c r="K2106" t="s">
        <v>1535</v>
      </c>
      <c r="L2106" t="s">
        <v>1535</v>
      </c>
    </row>
    <row r="2107" spans="1:12" x14ac:dyDescent="0.3">
      <c r="A2107" t="s">
        <v>2600</v>
      </c>
      <c r="B2107" t="s">
        <v>1501</v>
      </c>
      <c r="C2107" t="s">
        <v>750</v>
      </c>
      <c r="D2107" t="s">
        <v>323</v>
      </c>
      <c r="E2107" t="s">
        <v>568</v>
      </c>
      <c r="F2107" t="s">
        <v>74</v>
      </c>
      <c r="G2107" t="s">
        <v>111</v>
      </c>
      <c r="H2107" t="s">
        <v>703</v>
      </c>
      <c r="I2107" t="s">
        <v>112</v>
      </c>
      <c r="J2107" t="s">
        <v>702</v>
      </c>
      <c r="K2107" t="s">
        <v>1555</v>
      </c>
      <c r="L2107" t="s">
        <v>1555</v>
      </c>
    </row>
    <row r="2108" spans="1:12" x14ac:dyDescent="0.3">
      <c r="A2108" t="s">
        <v>2600</v>
      </c>
      <c r="B2108" t="s">
        <v>1501</v>
      </c>
      <c r="C2108" t="s">
        <v>750</v>
      </c>
      <c r="D2108" t="s">
        <v>260</v>
      </c>
      <c r="E2108" t="s">
        <v>568</v>
      </c>
      <c r="F2108" t="s">
        <v>140</v>
      </c>
      <c r="G2108" t="s">
        <v>111</v>
      </c>
      <c r="H2108" t="s">
        <v>1565</v>
      </c>
      <c r="I2108" t="s">
        <v>112</v>
      </c>
      <c r="J2108" t="s">
        <v>1566</v>
      </c>
    </row>
    <row r="2109" spans="1:12" x14ac:dyDescent="0.3">
      <c r="A2109" t="s">
        <v>2600</v>
      </c>
      <c r="B2109" t="s">
        <v>1501</v>
      </c>
      <c r="C2109" t="s">
        <v>750</v>
      </c>
      <c r="D2109" t="s">
        <v>261</v>
      </c>
      <c r="E2109" t="s">
        <v>568</v>
      </c>
      <c r="F2109" t="s">
        <v>175</v>
      </c>
      <c r="G2109" t="s">
        <v>111</v>
      </c>
      <c r="H2109" t="s">
        <v>703</v>
      </c>
      <c r="I2109" t="s">
        <v>112</v>
      </c>
      <c r="J2109" t="s">
        <v>702</v>
      </c>
      <c r="K2109" t="s">
        <v>2811</v>
      </c>
      <c r="L2109" t="s">
        <v>2811</v>
      </c>
    </row>
    <row r="2110" spans="1:12" x14ac:dyDescent="0.3">
      <c r="A2110" t="s">
        <v>2600</v>
      </c>
      <c r="B2110" t="s">
        <v>1501</v>
      </c>
      <c r="C2110" t="s">
        <v>750</v>
      </c>
      <c r="D2110" t="s">
        <v>325</v>
      </c>
      <c r="E2110" t="s">
        <v>568</v>
      </c>
      <c r="F2110" t="s">
        <v>46</v>
      </c>
      <c r="G2110" t="s">
        <v>111</v>
      </c>
      <c r="H2110" t="s">
        <v>703</v>
      </c>
      <c r="I2110" t="s">
        <v>112</v>
      </c>
      <c r="J2110" t="s">
        <v>702</v>
      </c>
      <c r="K2110" t="s">
        <v>1559</v>
      </c>
      <c r="L2110" t="s">
        <v>1559</v>
      </c>
    </row>
    <row r="2111" spans="1:12" x14ac:dyDescent="0.3">
      <c r="A2111" t="s">
        <v>2600</v>
      </c>
      <c r="B2111" t="s">
        <v>1501</v>
      </c>
      <c r="C2111" t="s">
        <v>750</v>
      </c>
      <c r="D2111" t="s">
        <v>262</v>
      </c>
      <c r="E2111" t="s">
        <v>568</v>
      </c>
      <c r="F2111" t="s">
        <v>202</v>
      </c>
      <c r="G2111" t="s">
        <v>111</v>
      </c>
      <c r="H2111" t="s">
        <v>1565</v>
      </c>
      <c r="I2111" t="s">
        <v>112</v>
      </c>
      <c r="J2111" t="s">
        <v>1566</v>
      </c>
      <c r="K2111" t="s">
        <v>2818</v>
      </c>
      <c r="L2111" t="s">
        <v>2818</v>
      </c>
    </row>
    <row r="2112" spans="1:12" x14ac:dyDescent="0.3">
      <c r="A2112" t="s">
        <v>2600</v>
      </c>
      <c r="B2112" t="s">
        <v>1501</v>
      </c>
      <c r="C2112" t="s">
        <v>750</v>
      </c>
      <c r="D2112" t="s">
        <v>263</v>
      </c>
      <c r="E2112" t="s">
        <v>568</v>
      </c>
      <c r="F2112" t="s">
        <v>141</v>
      </c>
      <c r="G2112" t="s">
        <v>111</v>
      </c>
      <c r="H2112" t="s">
        <v>703</v>
      </c>
      <c r="I2112" t="s">
        <v>112</v>
      </c>
      <c r="J2112" t="s">
        <v>702</v>
      </c>
      <c r="K2112" t="s">
        <v>2811</v>
      </c>
      <c r="L2112" t="s">
        <v>2811</v>
      </c>
    </row>
    <row r="2113" spans="1:12" x14ac:dyDescent="0.3">
      <c r="A2113" t="s">
        <v>2600</v>
      </c>
      <c r="B2113" t="s">
        <v>1501</v>
      </c>
      <c r="C2113" t="s">
        <v>750</v>
      </c>
      <c r="D2113" t="s">
        <v>264</v>
      </c>
      <c r="E2113" t="s">
        <v>568</v>
      </c>
      <c r="F2113" t="s">
        <v>64</v>
      </c>
      <c r="G2113" t="s">
        <v>111</v>
      </c>
      <c r="H2113" t="s">
        <v>703</v>
      </c>
      <c r="I2113" t="s">
        <v>112</v>
      </c>
      <c r="J2113" t="s">
        <v>702</v>
      </c>
      <c r="K2113" t="s">
        <v>2809</v>
      </c>
      <c r="L2113" t="s">
        <v>2809</v>
      </c>
    </row>
    <row r="2114" spans="1:12" x14ac:dyDescent="0.3">
      <c r="A2114" t="s">
        <v>2600</v>
      </c>
      <c r="B2114" t="s">
        <v>1501</v>
      </c>
      <c r="C2114" t="s">
        <v>750</v>
      </c>
      <c r="D2114" t="s">
        <v>265</v>
      </c>
      <c r="E2114" t="s">
        <v>568</v>
      </c>
      <c r="F2114" t="s">
        <v>142</v>
      </c>
      <c r="G2114" t="s">
        <v>111</v>
      </c>
      <c r="H2114" t="s">
        <v>703</v>
      </c>
      <c r="I2114" t="s">
        <v>112</v>
      </c>
      <c r="J2114" t="s">
        <v>702</v>
      </c>
      <c r="K2114" t="s">
        <v>2820</v>
      </c>
      <c r="L2114" t="s">
        <v>2820</v>
      </c>
    </row>
    <row r="2115" spans="1:12" x14ac:dyDescent="0.3">
      <c r="A2115" t="s">
        <v>2600</v>
      </c>
      <c r="B2115" t="s">
        <v>1501</v>
      </c>
      <c r="C2115" t="s">
        <v>750</v>
      </c>
      <c r="D2115" t="s">
        <v>267</v>
      </c>
      <c r="E2115" t="s">
        <v>568</v>
      </c>
      <c r="F2115" t="s">
        <v>143</v>
      </c>
      <c r="G2115" t="s">
        <v>111</v>
      </c>
      <c r="H2115" t="s">
        <v>1539</v>
      </c>
      <c r="I2115" t="s">
        <v>112</v>
      </c>
      <c r="J2115" t="s">
        <v>704</v>
      </c>
    </row>
    <row r="2116" spans="1:12" x14ac:dyDescent="0.3">
      <c r="A2116" t="s">
        <v>2600</v>
      </c>
      <c r="B2116" t="s">
        <v>1501</v>
      </c>
      <c r="C2116" t="s">
        <v>750</v>
      </c>
      <c r="D2116" t="s">
        <v>326</v>
      </c>
      <c r="E2116" t="s">
        <v>568</v>
      </c>
      <c r="F2116" t="s">
        <v>144</v>
      </c>
      <c r="G2116" t="s">
        <v>111</v>
      </c>
      <c r="H2116" t="s">
        <v>703</v>
      </c>
      <c r="I2116" t="s">
        <v>112</v>
      </c>
      <c r="J2116" t="s">
        <v>702</v>
      </c>
      <c r="K2116" t="s">
        <v>2821</v>
      </c>
      <c r="L2116" t="s">
        <v>2821</v>
      </c>
    </row>
    <row r="2117" spans="1:12" x14ac:dyDescent="0.3">
      <c r="A2117" t="s">
        <v>2600</v>
      </c>
      <c r="B2117" t="s">
        <v>1501</v>
      </c>
      <c r="C2117" t="s">
        <v>750</v>
      </c>
      <c r="D2117" t="s">
        <v>268</v>
      </c>
      <c r="E2117" t="s">
        <v>568</v>
      </c>
      <c r="F2117" t="s">
        <v>194</v>
      </c>
      <c r="G2117" t="s">
        <v>111</v>
      </c>
      <c r="H2117" t="s">
        <v>1539</v>
      </c>
      <c r="I2117" t="s">
        <v>112</v>
      </c>
      <c r="J2117" t="s">
        <v>704</v>
      </c>
      <c r="K2117" t="s">
        <v>2822</v>
      </c>
      <c r="L2117" t="s">
        <v>2822</v>
      </c>
    </row>
    <row r="2118" spans="1:12" x14ac:dyDescent="0.3">
      <c r="A2118" t="s">
        <v>2600</v>
      </c>
      <c r="B2118" t="s">
        <v>1501</v>
      </c>
      <c r="C2118" t="s">
        <v>750</v>
      </c>
      <c r="D2118" t="s">
        <v>272</v>
      </c>
      <c r="E2118" t="s">
        <v>567</v>
      </c>
      <c r="F2118" t="s">
        <v>52</v>
      </c>
      <c r="G2118" t="s">
        <v>111</v>
      </c>
      <c r="H2118" t="s">
        <v>703</v>
      </c>
      <c r="I2118" t="s">
        <v>112</v>
      </c>
      <c r="J2118" t="s">
        <v>702</v>
      </c>
      <c r="K2118" t="s">
        <v>2823</v>
      </c>
      <c r="L2118" t="s">
        <v>2823</v>
      </c>
    </row>
    <row r="2119" spans="1:12" x14ac:dyDescent="0.3">
      <c r="A2119" t="s">
        <v>2600</v>
      </c>
      <c r="B2119" t="s">
        <v>1501</v>
      </c>
      <c r="C2119" t="s">
        <v>750</v>
      </c>
      <c r="D2119" t="s">
        <v>327</v>
      </c>
      <c r="E2119" t="s">
        <v>567</v>
      </c>
      <c r="F2119" t="s">
        <v>104</v>
      </c>
      <c r="G2119" t="s">
        <v>111</v>
      </c>
      <c r="H2119" t="s">
        <v>703</v>
      </c>
      <c r="I2119" t="s">
        <v>112</v>
      </c>
      <c r="J2119" t="s">
        <v>702</v>
      </c>
      <c r="K2119" t="s">
        <v>1559</v>
      </c>
      <c r="L2119" t="s">
        <v>1559</v>
      </c>
    </row>
    <row r="2120" spans="1:12" x14ac:dyDescent="0.3">
      <c r="A2120" t="s">
        <v>2600</v>
      </c>
      <c r="B2120" t="s">
        <v>1501</v>
      </c>
      <c r="C2120" t="s">
        <v>750</v>
      </c>
      <c r="D2120" t="s">
        <v>273</v>
      </c>
      <c r="E2120" t="s">
        <v>567</v>
      </c>
      <c r="F2120" t="s">
        <v>176</v>
      </c>
      <c r="G2120" t="s">
        <v>111</v>
      </c>
      <c r="H2120" t="s">
        <v>703</v>
      </c>
      <c r="I2120" t="s">
        <v>112</v>
      </c>
      <c r="J2120" t="s">
        <v>702</v>
      </c>
      <c r="K2120" t="s">
        <v>2821</v>
      </c>
      <c r="L2120" t="s">
        <v>2821</v>
      </c>
    </row>
    <row r="2121" spans="1:12" x14ac:dyDescent="0.3">
      <c r="A2121" t="s">
        <v>2600</v>
      </c>
      <c r="B2121" t="s">
        <v>1501</v>
      </c>
      <c r="C2121" t="s">
        <v>750</v>
      </c>
      <c r="D2121" t="s">
        <v>275</v>
      </c>
      <c r="E2121" t="s">
        <v>567</v>
      </c>
      <c r="F2121" t="s">
        <v>148</v>
      </c>
      <c r="G2121" t="s">
        <v>111</v>
      </c>
      <c r="H2121" t="s">
        <v>1561</v>
      </c>
      <c r="I2121" t="s">
        <v>112</v>
      </c>
      <c r="J2121" t="s">
        <v>702</v>
      </c>
      <c r="K2121" t="s">
        <v>1568</v>
      </c>
      <c r="L2121" t="s">
        <v>1568</v>
      </c>
    </row>
    <row r="2122" spans="1:12" x14ac:dyDescent="0.3">
      <c r="A2122" t="s">
        <v>2600</v>
      </c>
      <c r="B2122" t="s">
        <v>1501</v>
      </c>
      <c r="C2122" t="s">
        <v>750</v>
      </c>
      <c r="D2122" t="s">
        <v>276</v>
      </c>
      <c r="E2122" t="s">
        <v>567</v>
      </c>
      <c r="F2122" t="s">
        <v>149</v>
      </c>
      <c r="G2122" t="s">
        <v>111</v>
      </c>
      <c r="H2122" t="s">
        <v>703</v>
      </c>
      <c r="I2122" t="s">
        <v>112</v>
      </c>
      <c r="J2122" t="s">
        <v>702</v>
      </c>
      <c r="K2122" t="s">
        <v>2824</v>
      </c>
      <c r="L2122" t="s">
        <v>2824</v>
      </c>
    </row>
    <row r="2123" spans="1:12" x14ac:dyDescent="0.3">
      <c r="A2123" t="s">
        <v>2600</v>
      </c>
      <c r="B2123" t="s">
        <v>1501</v>
      </c>
      <c r="C2123" t="s">
        <v>750</v>
      </c>
      <c r="D2123" t="s">
        <v>277</v>
      </c>
      <c r="E2123" t="s">
        <v>567</v>
      </c>
      <c r="F2123" t="s">
        <v>83</v>
      </c>
      <c r="G2123" t="s">
        <v>111</v>
      </c>
      <c r="H2123" t="s">
        <v>703</v>
      </c>
      <c r="I2123" t="s">
        <v>112</v>
      </c>
      <c r="J2123" t="s">
        <v>702</v>
      </c>
      <c r="K2123" t="s">
        <v>2825</v>
      </c>
      <c r="L2123" t="s">
        <v>2825</v>
      </c>
    </row>
    <row r="2124" spans="1:12" x14ac:dyDescent="0.3">
      <c r="A2124" t="s">
        <v>2600</v>
      </c>
      <c r="B2124" t="s">
        <v>1501</v>
      </c>
      <c r="C2124" t="s">
        <v>750</v>
      </c>
      <c r="D2124" t="s">
        <v>279</v>
      </c>
      <c r="E2124" t="s">
        <v>567</v>
      </c>
      <c r="F2124" t="s">
        <v>150</v>
      </c>
      <c r="G2124" t="s">
        <v>111</v>
      </c>
      <c r="H2124" t="s">
        <v>703</v>
      </c>
      <c r="I2124" t="s">
        <v>112</v>
      </c>
      <c r="J2124" t="s">
        <v>702</v>
      </c>
      <c r="K2124" t="s">
        <v>2826</v>
      </c>
      <c r="L2124" t="s">
        <v>2826</v>
      </c>
    </row>
    <row r="2125" spans="1:12" x14ac:dyDescent="0.3">
      <c r="A2125" t="s">
        <v>2600</v>
      </c>
      <c r="B2125" t="s">
        <v>1501</v>
      </c>
      <c r="C2125" t="s">
        <v>750</v>
      </c>
      <c r="D2125" t="s">
        <v>281</v>
      </c>
      <c r="E2125" t="s">
        <v>567</v>
      </c>
      <c r="F2125" t="s">
        <v>84</v>
      </c>
      <c r="G2125" t="s">
        <v>111</v>
      </c>
      <c r="H2125" t="s">
        <v>1539</v>
      </c>
      <c r="I2125" t="s">
        <v>112</v>
      </c>
      <c r="J2125" t="s">
        <v>704</v>
      </c>
    </row>
    <row r="2126" spans="1:12" x14ac:dyDescent="0.3">
      <c r="A2126" t="s">
        <v>2600</v>
      </c>
      <c r="B2126" t="s">
        <v>1501</v>
      </c>
      <c r="C2126" t="s">
        <v>750</v>
      </c>
      <c r="D2126" t="s">
        <v>282</v>
      </c>
      <c r="E2126" t="s">
        <v>567</v>
      </c>
      <c r="F2126" t="s">
        <v>90</v>
      </c>
      <c r="G2126" t="s">
        <v>111</v>
      </c>
      <c r="H2126" t="s">
        <v>1539</v>
      </c>
      <c r="I2126" t="s">
        <v>112</v>
      </c>
      <c r="J2126" t="s">
        <v>704</v>
      </c>
    </row>
    <row r="2127" spans="1:12" x14ac:dyDescent="0.3">
      <c r="A2127" t="s">
        <v>2600</v>
      </c>
      <c r="B2127" t="s">
        <v>1501</v>
      </c>
      <c r="C2127" t="s">
        <v>750</v>
      </c>
      <c r="D2127" t="s">
        <v>283</v>
      </c>
      <c r="E2127" t="s">
        <v>567</v>
      </c>
      <c r="F2127" t="s">
        <v>63</v>
      </c>
      <c r="G2127" t="s">
        <v>111</v>
      </c>
      <c r="H2127" t="s">
        <v>703</v>
      </c>
      <c r="I2127" t="s">
        <v>112</v>
      </c>
      <c r="J2127" t="s">
        <v>702</v>
      </c>
      <c r="K2127" t="s">
        <v>2821</v>
      </c>
      <c r="L2127" t="s">
        <v>2821</v>
      </c>
    </row>
    <row r="2128" spans="1:12" x14ac:dyDescent="0.3">
      <c r="A2128" t="s">
        <v>2600</v>
      </c>
      <c r="B2128" t="s">
        <v>1501</v>
      </c>
      <c r="C2128" t="s">
        <v>750</v>
      </c>
      <c r="D2128" t="s">
        <v>284</v>
      </c>
      <c r="E2128" t="s">
        <v>567</v>
      </c>
      <c r="F2128" t="s">
        <v>151</v>
      </c>
      <c r="G2128" t="s">
        <v>111</v>
      </c>
      <c r="H2128" t="s">
        <v>1561</v>
      </c>
      <c r="I2128" t="s">
        <v>112</v>
      </c>
      <c r="J2128" t="s">
        <v>702</v>
      </c>
    </row>
    <row r="2129" spans="1:12" x14ac:dyDescent="0.3">
      <c r="A2129" t="s">
        <v>2600</v>
      </c>
      <c r="B2129" t="s">
        <v>1501</v>
      </c>
      <c r="C2129" t="s">
        <v>750</v>
      </c>
      <c r="D2129" t="s">
        <v>285</v>
      </c>
      <c r="E2129" t="s">
        <v>567</v>
      </c>
      <c r="F2129" t="s">
        <v>195</v>
      </c>
      <c r="G2129" t="s">
        <v>111</v>
      </c>
      <c r="H2129" t="s">
        <v>703</v>
      </c>
      <c r="I2129" t="s">
        <v>112</v>
      </c>
      <c r="J2129" t="s">
        <v>702</v>
      </c>
      <c r="K2129" t="s">
        <v>2827</v>
      </c>
      <c r="L2129" t="s">
        <v>2827</v>
      </c>
    </row>
    <row r="2130" spans="1:12" x14ac:dyDescent="0.3">
      <c r="A2130" t="s">
        <v>2600</v>
      </c>
      <c r="B2130" t="s">
        <v>1501</v>
      </c>
      <c r="C2130" t="s">
        <v>750</v>
      </c>
      <c r="D2130" t="s">
        <v>330</v>
      </c>
      <c r="E2130" t="s">
        <v>567</v>
      </c>
      <c r="F2130" t="s">
        <v>177</v>
      </c>
      <c r="G2130" t="s">
        <v>111</v>
      </c>
      <c r="H2130" t="s">
        <v>703</v>
      </c>
      <c r="I2130" t="s">
        <v>112</v>
      </c>
      <c r="J2130" t="s">
        <v>702</v>
      </c>
      <c r="K2130" t="s">
        <v>1551</v>
      </c>
      <c r="L2130" t="s">
        <v>1551</v>
      </c>
    </row>
    <row r="2131" spans="1:12" x14ac:dyDescent="0.3">
      <c r="A2131" t="s">
        <v>2600</v>
      </c>
      <c r="B2131" t="s">
        <v>1501</v>
      </c>
      <c r="C2131" t="s">
        <v>750</v>
      </c>
      <c r="D2131" t="s">
        <v>331</v>
      </c>
      <c r="E2131" t="s">
        <v>567</v>
      </c>
      <c r="F2131" t="s">
        <v>91</v>
      </c>
      <c r="G2131" t="s">
        <v>111</v>
      </c>
      <c r="H2131" t="s">
        <v>703</v>
      </c>
      <c r="I2131" t="s">
        <v>112</v>
      </c>
      <c r="J2131" t="s">
        <v>702</v>
      </c>
      <c r="K2131" t="s">
        <v>2828</v>
      </c>
      <c r="L2131" t="s">
        <v>2828</v>
      </c>
    </row>
    <row r="2132" spans="1:12" x14ac:dyDescent="0.3">
      <c r="A2132" t="s">
        <v>2600</v>
      </c>
      <c r="B2132" t="s">
        <v>1501</v>
      </c>
      <c r="C2132" t="s">
        <v>750</v>
      </c>
      <c r="D2132" t="s">
        <v>332</v>
      </c>
      <c r="E2132" t="s">
        <v>567</v>
      </c>
      <c r="F2132" t="s">
        <v>152</v>
      </c>
      <c r="G2132" t="s">
        <v>111</v>
      </c>
      <c r="H2132" t="s">
        <v>1539</v>
      </c>
      <c r="I2132" t="s">
        <v>112</v>
      </c>
      <c r="J2132" t="s">
        <v>704</v>
      </c>
      <c r="K2132" t="s">
        <v>2829</v>
      </c>
      <c r="L2132" t="s">
        <v>2829</v>
      </c>
    </row>
    <row r="2133" spans="1:12" x14ac:dyDescent="0.3">
      <c r="A2133" t="s">
        <v>2600</v>
      </c>
      <c r="B2133" t="s">
        <v>1501</v>
      </c>
      <c r="C2133" t="s">
        <v>750</v>
      </c>
      <c r="D2133" t="s">
        <v>286</v>
      </c>
      <c r="E2133" t="s">
        <v>567</v>
      </c>
      <c r="F2133" t="s">
        <v>67</v>
      </c>
      <c r="G2133" t="s">
        <v>111</v>
      </c>
      <c r="H2133" t="s">
        <v>703</v>
      </c>
      <c r="I2133" t="s">
        <v>112</v>
      </c>
      <c r="J2133" t="s">
        <v>702</v>
      </c>
      <c r="K2133" t="s">
        <v>2830</v>
      </c>
      <c r="L2133" t="s">
        <v>2830</v>
      </c>
    </row>
    <row r="2134" spans="1:12" x14ac:dyDescent="0.3">
      <c r="A2134" t="s">
        <v>2600</v>
      </c>
      <c r="B2134" t="s">
        <v>1501</v>
      </c>
      <c r="C2134" t="s">
        <v>750</v>
      </c>
      <c r="D2134" t="s">
        <v>287</v>
      </c>
      <c r="E2134" t="s">
        <v>567</v>
      </c>
      <c r="F2134" t="s">
        <v>196</v>
      </c>
      <c r="G2134" t="s">
        <v>111</v>
      </c>
      <c r="H2134" t="s">
        <v>182</v>
      </c>
      <c r="I2134" t="s">
        <v>112</v>
      </c>
      <c r="J2134" t="s">
        <v>183</v>
      </c>
      <c r="K2134" t="s">
        <v>1537</v>
      </c>
      <c r="L2134" t="s">
        <v>1537</v>
      </c>
    </row>
    <row r="2135" spans="1:12" x14ac:dyDescent="0.3">
      <c r="A2135" t="s">
        <v>2600</v>
      </c>
      <c r="B2135" t="s">
        <v>1501</v>
      </c>
      <c r="C2135" t="s">
        <v>750</v>
      </c>
      <c r="D2135" t="s">
        <v>288</v>
      </c>
      <c r="E2135" t="s">
        <v>567</v>
      </c>
      <c r="F2135" t="s">
        <v>178</v>
      </c>
      <c r="G2135" t="s">
        <v>111</v>
      </c>
      <c r="H2135" t="s">
        <v>1565</v>
      </c>
      <c r="I2135" t="s">
        <v>112</v>
      </c>
      <c r="J2135" t="s">
        <v>1566</v>
      </c>
    </row>
    <row r="2136" spans="1:12" x14ac:dyDescent="0.3">
      <c r="A2136" t="s">
        <v>2600</v>
      </c>
      <c r="B2136" t="s">
        <v>1501</v>
      </c>
      <c r="C2136" t="s">
        <v>750</v>
      </c>
      <c r="D2136" t="s">
        <v>290</v>
      </c>
      <c r="E2136" t="s">
        <v>567</v>
      </c>
      <c r="F2136" t="s">
        <v>153</v>
      </c>
      <c r="G2136" t="s">
        <v>111</v>
      </c>
      <c r="H2136" t="s">
        <v>1539</v>
      </c>
      <c r="I2136" t="s">
        <v>112</v>
      </c>
      <c r="J2136" t="s">
        <v>704</v>
      </c>
      <c r="K2136" t="s">
        <v>1577</v>
      </c>
      <c r="L2136" t="s">
        <v>1577</v>
      </c>
    </row>
    <row r="2137" spans="1:12" x14ac:dyDescent="0.3">
      <c r="A2137" t="s">
        <v>2600</v>
      </c>
      <c r="B2137" t="s">
        <v>1501</v>
      </c>
      <c r="C2137" t="s">
        <v>750</v>
      </c>
      <c r="D2137" t="s">
        <v>291</v>
      </c>
      <c r="E2137" t="s">
        <v>567</v>
      </c>
      <c r="F2137" t="s">
        <v>154</v>
      </c>
      <c r="G2137" t="s">
        <v>111</v>
      </c>
      <c r="H2137" t="s">
        <v>1539</v>
      </c>
      <c r="I2137" t="s">
        <v>112</v>
      </c>
      <c r="J2137" t="s">
        <v>704</v>
      </c>
    </row>
    <row r="2138" spans="1:12" x14ac:dyDescent="0.3">
      <c r="A2138" t="s">
        <v>2600</v>
      </c>
      <c r="B2138" t="s">
        <v>1501</v>
      </c>
      <c r="C2138" t="s">
        <v>750</v>
      </c>
      <c r="D2138" t="s">
        <v>292</v>
      </c>
      <c r="E2138" t="s">
        <v>567</v>
      </c>
      <c r="F2138" t="s">
        <v>55</v>
      </c>
      <c r="G2138" t="s">
        <v>111</v>
      </c>
      <c r="H2138" t="s">
        <v>1539</v>
      </c>
      <c r="I2138" t="s">
        <v>112</v>
      </c>
      <c r="J2138" t="s">
        <v>704</v>
      </c>
      <c r="K2138" t="s">
        <v>2831</v>
      </c>
      <c r="L2138" t="s">
        <v>2831</v>
      </c>
    </row>
    <row r="2139" spans="1:12" x14ac:dyDescent="0.3">
      <c r="A2139" t="s">
        <v>2600</v>
      </c>
      <c r="B2139" t="s">
        <v>1501</v>
      </c>
      <c r="C2139" t="s">
        <v>750</v>
      </c>
      <c r="D2139" t="s">
        <v>333</v>
      </c>
      <c r="E2139" t="s">
        <v>567</v>
      </c>
      <c r="F2139" t="s">
        <v>197</v>
      </c>
      <c r="G2139" t="s">
        <v>111</v>
      </c>
      <c r="H2139" t="s">
        <v>703</v>
      </c>
      <c r="I2139" t="s">
        <v>112</v>
      </c>
      <c r="J2139" t="s">
        <v>702</v>
      </c>
      <c r="K2139" t="s">
        <v>2809</v>
      </c>
      <c r="L2139" t="s">
        <v>2809</v>
      </c>
    </row>
    <row r="2140" spans="1:12" x14ac:dyDescent="0.3">
      <c r="A2140" t="s">
        <v>2600</v>
      </c>
      <c r="B2140" t="s">
        <v>1501</v>
      </c>
      <c r="C2140" t="s">
        <v>750</v>
      </c>
      <c r="D2140" t="s">
        <v>293</v>
      </c>
      <c r="E2140" t="s">
        <v>567</v>
      </c>
      <c r="F2140" t="s">
        <v>72</v>
      </c>
      <c r="G2140" t="s">
        <v>111</v>
      </c>
      <c r="H2140" t="s">
        <v>1539</v>
      </c>
      <c r="I2140" t="s">
        <v>112</v>
      </c>
      <c r="J2140" t="s">
        <v>704</v>
      </c>
    </row>
    <row r="2141" spans="1:12" x14ac:dyDescent="0.3">
      <c r="A2141" t="s">
        <v>2600</v>
      </c>
      <c r="B2141" t="s">
        <v>1501</v>
      </c>
      <c r="C2141" t="s">
        <v>750</v>
      </c>
      <c r="D2141" t="s">
        <v>334</v>
      </c>
      <c r="E2141" t="s">
        <v>567</v>
      </c>
      <c r="F2141" t="s">
        <v>155</v>
      </c>
      <c r="G2141" t="s">
        <v>111</v>
      </c>
      <c r="H2141" t="s">
        <v>1539</v>
      </c>
      <c r="I2141" t="s">
        <v>112</v>
      </c>
      <c r="J2141" t="s">
        <v>704</v>
      </c>
    </row>
    <row r="2142" spans="1:12" x14ac:dyDescent="0.3">
      <c r="A2142" t="s">
        <v>2600</v>
      </c>
      <c r="B2142" t="s">
        <v>1501</v>
      </c>
      <c r="C2142" t="s">
        <v>750</v>
      </c>
      <c r="D2142" t="s">
        <v>294</v>
      </c>
      <c r="E2142" t="s">
        <v>567</v>
      </c>
      <c r="F2142" t="s">
        <v>156</v>
      </c>
      <c r="G2142" t="s">
        <v>111</v>
      </c>
      <c r="H2142" t="s">
        <v>703</v>
      </c>
      <c r="I2142" t="s">
        <v>112</v>
      </c>
      <c r="J2142" t="s">
        <v>702</v>
      </c>
      <c r="K2142" t="s">
        <v>1541</v>
      </c>
      <c r="L2142" t="s">
        <v>1541</v>
      </c>
    </row>
    <row r="2143" spans="1:12" x14ac:dyDescent="0.3">
      <c r="A2143" t="s">
        <v>2600</v>
      </c>
      <c r="B2143" t="s">
        <v>1501</v>
      </c>
      <c r="C2143" t="s">
        <v>750</v>
      </c>
      <c r="D2143" t="s">
        <v>296</v>
      </c>
      <c r="E2143" t="s">
        <v>567</v>
      </c>
      <c r="F2143" t="s">
        <v>198</v>
      </c>
      <c r="G2143" t="s">
        <v>111</v>
      </c>
      <c r="H2143" t="s">
        <v>182</v>
      </c>
      <c r="I2143" t="s">
        <v>112</v>
      </c>
      <c r="J2143" t="s">
        <v>183</v>
      </c>
      <c r="K2143" t="s">
        <v>1535</v>
      </c>
      <c r="L2143" t="s">
        <v>1535</v>
      </c>
    </row>
    <row r="2144" spans="1:12" x14ac:dyDescent="0.3">
      <c r="A2144" t="s">
        <v>2600</v>
      </c>
      <c r="B2144" t="s">
        <v>1501</v>
      </c>
      <c r="C2144" t="s">
        <v>750</v>
      </c>
      <c r="D2144" t="s">
        <v>298</v>
      </c>
      <c r="E2144" t="s">
        <v>567</v>
      </c>
      <c r="F2144" t="s">
        <v>158</v>
      </c>
      <c r="G2144" t="s">
        <v>111</v>
      </c>
      <c r="H2144" t="s">
        <v>1539</v>
      </c>
      <c r="I2144" t="s">
        <v>112</v>
      </c>
      <c r="J2144" t="s">
        <v>704</v>
      </c>
    </row>
    <row r="2145" spans="1:12" x14ac:dyDescent="0.3">
      <c r="A2145" t="s">
        <v>2600</v>
      </c>
      <c r="B2145" t="s">
        <v>1501</v>
      </c>
      <c r="C2145" t="s">
        <v>750</v>
      </c>
      <c r="D2145" t="s">
        <v>335</v>
      </c>
      <c r="E2145" t="s">
        <v>567</v>
      </c>
      <c r="F2145" t="s">
        <v>199</v>
      </c>
      <c r="G2145" t="s">
        <v>111</v>
      </c>
      <c r="H2145" t="s">
        <v>703</v>
      </c>
      <c r="I2145" t="s">
        <v>112</v>
      </c>
      <c r="J2145" t="s">
        <v>702</v>
      </c>
      <c r="K2145" t="s">
        <v>1551</v>
      </c>
      <c r="L2145" t="s">
        <v>1551</v>
      </c>
    </row>
    <row r="2146" spans="1:12" x14ac:dyDescent="0.3">
      <c r="A2146" t="s">
        <v>2600</v>
      </c>
      <c r="B2146" t="s">
        <v>1501</v>
      </c>
      <c r="C2146" t="s">
        <v>750</v>
      </c>
      <c r="D2146" t="s">
        <v>336</v>
      </c>
      <c r="E2146" t="s">
        <v>567</v>
      </c>
      <c r="F2146" t="s">
        <v>159</v>
      </c>
      <c r="G2146" t="s">
        <v>111</v>
      </c>
      <c r="H2146" t="s">
        <v>703</v>
      </c>
      <c r="I2146" t="s">
        <v>112</v>
      </c>
      <c r="J2146" t="s">
        <v>702</v>
      </c>
      <c r="K2146" t="s">
        <v>1551</v>
      </c>
      <c r="L2146" t="s">
        <v>1551</v>
      </c>
    </row>
    <row r="2147" spans="1:12" x14ac:dyDescent="0.3">
      <c r="A2147" t="s">
        <v>2600</v>
      </c>
      <c r="B2147" t="s">
        <v>1501</v>
      </c>
      <c r="C2147" t="s">
        <v>750</v>
      </c>
      <c r="D2147" t="s">
        <v>299</v>
      </c>
      <c r="E2147" t="s">
        <v>567</v>
      </c>
      <c r="F2147" t="s">
        <v>47</v>
      </c>
      <c r="G2147" t="s">
        <v>111</v>
      </c>
      <c r="H2147" t="s">
        <v>1565</v>
      </c>
      <c r="I2147" t="s">
        <v>112</v>
      </c>
      <c r="J2147" t="s">
        <v>1566</v>
      </c>
    </row>
    <row r="2148" spans="1:12" x14ac:dyDescent="0.3">
      <c r="A2148" t="s">
        <v>2600</v>
      </c>
      <c r="B2148" t="s">
        <v>1501</v>
      </c>
      <c r="C2148" t="s">
        <v>750</v>
      </c>
      <c r="D2148" t="s">
        <v>300</v>
      </c>
      <c r="E2148" t="s">
        <v>567</v>
      </c>
      <c r="F2148" t="s">
        <v>181</v>
      </c>
      <c r="G2148" t="s">
        <v>111</v>
      </c>
      <c r="H2148" t="s">
        <v>1539</v>
      </c>
      <c r="I2148" t="s">
        <v>112</v>
      </c>
      <c r="J2148" t="s">
        <v>704</v>
      </c>
      <c r="K2148" t="s">
        <v>1567</v>
      </c>
      <c r="L2148" t="s">
        <v>1567</v>
      </c>
    </row>
    <row r="2149" spans="1:12" x14ac:dyDescent="0.3">
      <c r="A2149" t="s">
        <v>2600</v>
      </c>
      <c r="B2149" t="s">
        <v>1501</v>
      </c>
      <c r="C2149" t="s">
        <v>750</v>
      </c>
      <c r="D2149" t="s">
        <v>208</v>
      </c>
      <c r="E2149" t="s">
        <v>567</v>
      </c>
      <c r="F2149" t="s">
        <v>161</v>
      </c>
      <c r="G2149" t="s">
        <v>111</v>
      </c>
      <c r="H2149" t="s">
        <v>1565</v>
      </c>
      <c r="I2149" t="s">
        <v>112</v>
      </c>
      <c r="J2149" t="s">
        <v>1566</v>
      </c>
    </row>
    <row r="2150" spans="1:12" x14ac:dyDescent="0.3">
      <c r="A2150" t="s">
        <v>2600</v>
      </c>
      <c r="B2150" t="s">
        <v>1501</v>
      </c>
      <c r="C2150" t="s">
        <v>750</v>
      </c>
      <c r="D2150" t="s">
        <v>1580</v>
      </c>
      <c r="E2150" t="s">
        <v>569</v>
      </c>
      <c r="F2150" t="s">
        <v>49</v>
      </c>
      <c r="G2150" t="s">
        <v>111</v>
      </c>
      <c r="H2150" t="s">
        <v>186</v>
      </c>
      <c r="I2150" t="s">
        <v>112</v>
      </c>
      <c r="J2150" t="s">
        <v>183</v>
      </c>
      <c r="K2150" t="s">
        <v>1541</v>
      </c>
      <c r="L2150" t="s">
        <v>1541</v>
      </c>
    </row>
    <row r="2151" spans="1:12" x14ac:dyDescent="0.3">
      <c r="A2151" t="s">
        <v>2600</v>
      </c>
      <c r="B2151" t="s">
        <v>1501</v>
      </c>
      <c r="C2151" t="s">
        <v>750</v>
      </c>
      <c r="D2151" t="s">
        <v>1581</v>
      </c>
      <c r="E2151" t="s">
        <v>569</v>
      </c>
      <c r="F2151" t="s">
        <v>115</v>
      </c>
      <c r="G2151" t="s">
        <v>111</v>
      </c>
      <c r="H2151" t="s">
        <v>703</v>
      </c>
      <c r="I2151" t="s">
        <v>112</v>
      </c>
      <c r="J2151" t="s">
        <v>702</v>
      </c>
      <c r="K2151" t="s">
        <v>1551</v>
      </c>
      <c r="L2151" t="s">
        <v>1551</v>
      </c>
    </row>
    <row r="2152" spans="1:12" x14ac:dyDescent="0.3">
      <c r="A2152" t="s">
        <v>2600</v>
      </c>
      <c r="B2152" t="s">
        <v>1501</v>
      </c>
      <c r="C2152" t="s">
        <v>750</v>
      </c>
      <c r="D2152" t="s">
        <v>1583</v>
      </c>
      <c r="E2152" t="s">
        <v>569</v>
      </c>
      <c r="F2152" t="s">
        <v>59</v>
      </c>
      <c r="G2152" t="s">
        <v>111</v>
      </c>
      <c r="H2152" t="s">
        <v>703</v>
      </c>
      <c r="I2152" t="s">
        <v>112</v>
      </c>
      <c r="J2152" t="s">
        <v>702</v>
      </c>
      <c r="K2152" t="s">
        <v>2800</v>
      </c>
      <c r="L2152" t="s">
        <v>2800</v>
      </c>
    </row>
    <row r="2153" spans="1:12" x14ac:dyDescent="0.3">
      <c r="A2153" t="s">
        <v>2600</v>
      </c>
      <c r="B2153" t="s">
        <v>1501</v>
      </c>
      <c r="C2153" t="s">
        <v>750</v>
      </c>
      <c r="D2153" t="s">
        <v>1584</v>
      </c>
      <c r="E2153" t="s">
        <v>569</v>
      </c>
      <c r="F2153" t="s">
        <v>117</v>
      </c>
      <c r="G2153" t="s">
        <v>111</v>
      </c>
      <c r="H2153" t="s">
        <v>1539</v>
      </c>
      <c r="I2153" t="s">
        <v>112</v>
      </c>
      <c r="J2153" t="s">
        <v>704</v>
      </c>
    </row>
    <row r="2154" spans="1:12" x14ac:dyDescent="0.3">
      <c r="A2154" t="s">
        <v>2600</v>
      </c>
      <c r="B2154" t="s">
        <v>1501</v>
      </c>
      <c r="C2154" t="s">
        <v>750</v>
      </c>
      <c r="D2154" t="s">
        <v>1585</v>
      </c>
      <c r="E2154" t="s">
        <v>569</v>
      </c>
      <c r="F2154" t="s">
        <v>188</v>
      </c>
      <c r="G2154" t="s">
        <v>111</v>
      </c>
      <c r="H2154" t="s">
        <v>703</v>
      </c>
      <c r="I2154" t="s">
        <v>112</v>
      </c>
      <c r="J2154" t="s">
        <v>702</v>
      </c>
      <c r="K2154" t="s">
        <v>2801</v>
      </c>
      <c r="L2154" t="s">
        <v>2801</v>
      </c>
    </row>
    <row r="2155" spans="1:12" x14ac:dyDescent="0.3">
      <c r="A2155" t="s">
        <v>2600</v>
      </c>
      <c r="B2155" t="s">
        <v>1501</v>
      </c>
      <c r="C2155" t="s">
        <v>750</v>
      </c>
      <c r="D2155" t="s">
        <v>1586</v>
      </c>
      <c r="E2155" t="s">
        <v>569</v>
      </c>
      <c r="F2155" t="s">
        <v>120</v>
      </c>
      <c r="G2155" t="s">
        <v>111</v>
      </c>
      <c r="H2155" t="s">
        <v>703</v>
      </c>
      <c r="I2155" t="s">
        <v>112</v>
      </c>
      <c r="J2155" t="s">
        <v>702</v>
      </c>
      <c r="K2155" t="s">
        <v>2802</v>
      </c>
      <c r="L2155" t="s">
        <v>2802</v>
      </c>
    </row>
    <row r="2156" spans="1:12" x14ac:dyDescent="0.3">
      <c r="A2156" t="s">
        <v>2600</v>
      </c>
      <c r="B2156" t="s">
        <v>1501</v>
      </c>
      <c r="C2156" t="s">
        <v>750</v>
      </c>
      <c r="D2156" t="s">
        <v>1587</v>
      </c>
      <c r="E2156" t="s">
        <v>569</v>
      </c>
      <c r="F2156" t="s">
        <v>164</v>
      </c>
      <c r="G2156" t="s">
        <v>111</v>
      </c>
      <c r="H2156" t="s">
        <v>182</v>
      </c>
      <c r="I2156" t="s">
        <v>112</v>
      </c>
      <c r="J2156" t="s">
        <v>183</v>
      </c>
      <c r="K2156" t="s">
        <v>1537</v>
      </c>
      <c r="L2156" t="s">
        <v>1537</v>
      </c>
    </row>
    <row r="2157" spans="1:12" x14ac:dyDescent="0.3">
      <c r="A2157" t="s">
        <v>2600</v>
      </c>
      <c r="B2157" t="s">
        <v>1501</v>
      </c>
      <c r="C2157" t="s">
        <v>750</v>
      </c>
      <c r="D2157" t="s">
        <v>1588</v>
      </c>
      <c r="E2157" t="s">
        <v>569</v>
      </c>
      <c r="F2157" t="s">
        <v>53</v>
      </c>
      <c r="G2157" t="s">
        <v>111</v>
      </c>
      <c r="H2157" t="s">
        <v>182</v>
      </c>
      <c r="I2157" t="s">
        <v>112</v>
      </c>
      <c r="J2157" t="s">
        <v>183</v>
      </c>
      <c r="K2157" t="s">
        <v>2803</v>
      </c>
      <c r="L2157" t="s">
        <v>2803</v>
      </c>
    </row>
    <row r="2158" spans="1:12" x14ac:dyDescent="0.3">
      <c r="A2158" t="s">
        <v>2600</v>
      </c>
      <c r="B2158" t="s">
        <v>1501</v>
      </c>
      <c r="C2158" t="s">
        <v>750</v>
      </c>
      <c r="D2158" t="s">
        <v>1589</v>
      </c>
      <c r="E2158" t="s">
        <v>569</v>
      </c>
      <c r="F2158" t="s">
        <v>69</v>
      </c>
      <c r="G2158" t="s">
        <v>111</v>
      </c>
      <c r="H2158" t="s">
        <v>703</v>
      </c>
      <c r="I2158" t="s">
        <v>112</v>
      </c>
      <c r="J2158" t="s">
        <v>702</v>
      </c>
      <c r="K2158" t="s">
        <v>1555</v>
      </c>
      <c r="L2158" t="s">
        <v>1555</v>
      </c>
    </row>
    <row r="2159" spans="1:12" x14ac:dyDescent="0.3">
      <c r="A2159" t="s">
        <v>2600</v>
      </c>
      <c r="B2159" t="s">
        <v>1501</v>
      </c>
      <c r="C2159" t="s">
        <v>750</v>
      </c>
      <c r="D2159" t="s">
        <v>1590</v>
      </c>
      <c r="E2159" t="s">
        <v>569</v>
      </c>
      <c r="F2159" t="s">
        <v>122</v>
      </c>
      <c r="G2159" t="s">
        <v>111</v>
      </c>
      <c r="H2159" t="s">
        <v>703</v>
      </c>
      <c r="I2159" t="s">
        <v>112</v>
      </c>
      <c r="J2159" t="s">
        <v>702</v>
      </c>
      <c r="K2159" t="s">
        <v>2804</v>
      </c>
      <c r="L2159" t="s">
        <v>2804</v>
      </c>
    </row>
    <row r="2160" spans="1:12" x14ac:dyDescent="0.3">
      <c r="A2160" t="s">
        <v>2600</v>
      </c>
      <c r="B2160" t="s">
        <v>1501</v>
      </c>
      <c r="C2160" t="s">
        <v>750</v>
      </c>
      <c r="D2160" t="s">
        <v>1591</v>
      </c>
      <c r="E2160" t="s">
        <v>569</v>
      </c>
      <c r="F2160" t="s">
        <v>165</v>
      </c>
      <c r="G2160" t="s">
        <v>111</v>
      </c>
      <c r="H2160" t="s">
        <v>1539</v>
      </c>
      <c r="I2160" t="s">
        <v>112</v>
      </c>
      <c r="J2160" t="s">
        <v>704</v>
      </c>
      <c r="K2160" t="s">
        <v>2805</v>
      </c>
      <c r="L2160" t="s">
        <v>2805</v>
      </c>
    </row>
    <row r="2161" spans="1:12" x14ac:dyDescent="0.3">
      <c r="A2161" t="s">
        <v>2600</v>
      </c>
      <c r="B2161" t="s">
        <v>1501</v>
      </c>
      <c r="C2161" t="s">
        <v>750</v>
      </c>
      <c r="D2161" t="s">
        <v>1592</v>
      </c>
      <c r="E2161" t="s">
        <v>569</v>
      </c>
      <c r="F2161" t="s">
        <v>54</v>
      </c>
      <c r="G2161" t="s">
        <v>111</v>
      </c>
      <c r="H2161" t="s">
        <v>703</v>
      </c>
      <c r="I2161" t="s">
        <v>112</v>
      </c>
      <c r="J2161" t="s">
        <v>702</v>
      </c>
      <c r="K2161" t="s">
        <v>1610</v>
      </c>
      <c r="L2161" t="s">
        <v>1610</v>
      </c>
    </row>
    <row r="2162" spans="1:12" x14ac:dyDescent="0.3">
      <c r="A2162" t="s">
        <v>2600</v>
      </c>
      <c r="B2162" t="s">
        <v>1501</v>
      </c>
      <c r="C2162" t="s">
        <v>750</v>
      </c>
      <c r="D2162" t="s">
        <v>1593</v>
      </c>
      <c r="E2162" t="s">
        <v>569</v>
      </c>
      <c r="F2162" t="s">
        <v>45</v>
      </c>
      <c r="G2162" t="s">
        <v>111</v>
      </c>
      <c r="H2162" t="s">
        <v>703</v>
      </c>
      <c r="I2162" t="s">
        <v>112</v>
      </c>
      <c r="J2162" t="s">
        <v>702</v>
      </c>
      <c r="K2162" t="s">
        <v>1603</v>
      </c>
      <c r="L2162" t="s">
        <v>1603</v>
      </c>
    </row>
    <row r="2163" spans="1:12" x14ac:dyDescent="0.3">
      <c r="A2163" t="s">
        <v>2600</v>
      </c>
      <c r="B2163" t="s">
        <v>1501</v>
      </c>
      <c r="C2163" t="s">
        <v>750</v>
      </c>
      <c r="D2163" t="s">
        <v>1596</v>
      </c>
      <c r="E2163" t="s">
        <v>569</v>
      </c>
      <c r="F2163" t="s">
        <v>190</v>
      </c>
      <c r="G2163" t="s">
        <v>111</v>
      </c>
      <c r="H2163" t="s">
        <v>1539</v>
      </c>
      <c r="I2163" t="s">
        <v>112</v>
      </c>
      <c r="J2163" t="s">
        <v>704</v>
      </c>
      <c r="K2163" t="s">
        <v>1555</v>
      </c>
      <c r="L2163" t="s">
        <v>1555</v>
      </c>
    </row>
    <row r="2164" spans="1:12" x14ac:dyDescent="0.3">
      <c r="A2164" t="s">
        <v>2600</v>
      </c>
      <c r="B2164" t="s">
        <v>1501</v>
      </c>
      <c r="C2164" t="s">
        <v>750</v>
      </c>
      <c r="D2164" t="s">
        <v>1597</v>
      </c>
      <c r="E2164" t="s">
        <v>569</v>
      </c>
      <c r="F2164" t="s">
        <v>124</v>
      </c>
      <c r="G2164" t="s">
        <v>111</v>
      </c>
      <c r="H2164" t="s">
        <v>1553</v>
      </c>
      <c r="I2164" t="s">
        <v>112</v>
      </c>
      <c r="J2164" t="s">
        <v>1554</v>
      </c>
      <c r="K2164" t="s">
        <v>2807</v>
      </c>
      <c r="L2164" t="s">
        <v>2807</v>
      </c>
    </row>
    <row r="2165" spans="1:12" x14ac:dyDescent="0.3">
      <c r="A2165" t="s">
        <v>2600</v>
      </c>
      <c r="B2165" t="s">
        <v>1501</v>
      </c>
      <c r="C2165" t="s">
        <v>750</v>
      </c>
      <c r="D2165" t="s">
        <v>1598</v>
      </c>
      <c r="E2165" t="s">
        <v>569</v>
      </c>
      <c r="F2165" t="s">
        <v>58</v>
      </c>
      <c r="G2165" t="s">
        <v>111</v>
      </c>
      <c r="H2165" t="s">
        <v>703</v>
      </c>
      <c r="I2165" t="s">
        <v>112</v>
      </c>
      <c r="J2165" t="s">
        <v>702</v>
      </c>
      <c r="K2165" t="s">
        <v>1535</v>
      </c>
      <c r="L2165" t="s">
        <v>1535</v>
      </c>
    </row>
    <row r="2166" spans="1:12" x14ac:dyDescent="0.3">
      <c r="A2166" t="s">
        <v>2600</v>
      </c>
      <c r="B2166" t="s">
        <v>1501</v>
      </c>
      <c r="C2166" t="s">
        <v>750</v>
      </c>
      <c r="D2166" t="s">
        <v>1599</v>
      </c>
      <c r="E2166" t="s">
        <v>569</v>
      </c>
      <c r="F2166" t="s">
        <v>191</v>
      </c>
      <c r="G2166" t="s">
        <v>111</v>
      </c>
      <c r="H2166" t="s">
        <v>1539</v>
      </c>
      <c r="I2166" t="s">
        <v>112</v>
      </c>
      <c r="J2166" t="s">
        <v>704</v>
      </c>
      <c r="K2166" t="s">
        <v>1551</v>
      </c>
      <c r="L2166" t="s">
        <v>1551</v>
      </c>
    </row>
    <row r="2167" spans="1:12" x14ac:dyDescent="0.3">
      <c r="A2167" t="s">
        <v>2600</v>
      </c>
      <c r="B2167" t="s">
        <v>1501</v>
      </c>
      <c r="C2167" t="s">
        <v>750</v>
      </c>
      <c r="D2167" t="s">
        <v>1601</v>
      </c>
      <c r="E2167" t="s">
        <v>569</v>
      </c>
      <c r="F2167" t="s">
        <v>126</v>
      </c>
      <c r="G2167" t="s">
        <v>111</v>
      </c>
      <c r="H2167" t="s">
        <v>703</v>
      </c>
      <c r="I2167" t="s">
        <v>112</v>
      </c>
      <c r="J2167" t="s">
        <v>702</v>
      </c>
      <c r="K2167" t="s">
        <v>2809</v>
      </c>
      <c r="L2167" t="s">
        <v>2809</v>
      </c>
    </row>
    <row r="2168" spans="1:12" x14ac:dyDescent="0.3">
      <c r="A2168" t="s">
        <v>2600</v>
      </c>
      <c r="B2168" t="s">
        <v>1501</v>
      </c>
      <c r="C2168" t="s">
        <v>750</v>
      </c>
      <c r="D2168" t="s">
        <v>1602</v>
      </c>
      <c r="E2168" t="s">
        <v>569</v>
      </c>
      <c r="F2168" t="s">
        <v>167</v>
      </c>
      <c r="G2168" t="s">
        <v>111</v>
      </c>
      <c r="H2168" t="s">
        <v>703</v>
      </c>
      <c r="I2168" t="s">
        <v>112</v>
      </c>
      <c r="J2168" t="s">
        <v>702</v>
      </c>
      <c r="K2168" t="s">
        <v>1537</v>
      </c>
      <c r="L2168" t="s">
        <v>1537</v>
      </c>
    </row>
    <row r="2169" spans="1:12" x14ac:dyDescent="0.3">
      <c r="A2169" t="s">
        <v>2600</v>
      </c>
      <c r="B2169" t="s">
        <v>1501</v>
      </c>
      <c r="C2169" t="s">
        <v>750</v>
      </c>
      <c r="D2169" t="s">
        <v>1604</v>
      </c>
      <c r="E2169" t="s">
        <v>569</v>
      </c>
      <c r="F2169" t="s">
        <v>127</v>
      </c>
      <c r="G2169" t="s">
        <v>111</v>
      </c>
      <c r="H2169" t="s">
        <v>703</v>
      </c>
      <c r="I2169" t="s">
        <v>112</v>
      </c>
      <c r="J2169" t="s">
        <v>702</v>
      </c>
      <c r="K2169" t="s">
        <v>2811</v>
      </c>
      <c r="L2169" t="s">
        <v>2811</v>
      </c>
    </row>
    <row r="2170" spans="1:12" x14ac:dyDescent="0.3">
      <c r="A2170" t="s">
        <v>2600</v>
      </c>
      <c r="B2170" t="s">
        <v>1501</v>
      </c>
      <c r="C2170" t="s">
        <v>750</v>
      </c>
      <c r="D2170" t="s">
        <v>1605</v>
      </c>
      <c r="E2170" t="s">
        <v>569</v>
      </c>
      <c r="F2170" t="s">
        <v>128</v>
      </c>
      <c r="G2170" t="s">
        <v>111</v>
      </c>
      <c r="H2170" t="s">
        <v>182</v>
      </c>
      <c r="I2170" t="s">
        <v>112</v>
      </c>
      <c r="J2170" t="s">
        <v>183</v>
      </c>
      <c r="K2170" t="s">
        <v>1555</v>
      </c>
      <c r="L2170" t="s">
        <v>1555</v>
      </c>
    </row>
    <row r="2171" spans="1:12" x14ac:dyDescent="0.3">
      <c r="A2171" t="s">
        <v>2600</v>
      </c>
      <c r="B2171" t="s">
        <v>1501</v>
      </c>
      <c r="C2171" t="s">
        <v>750</v>
      </c>
      <c r="D2171" t="s">
        <v>1606</v>
      </c>
      <c r="E2171" t="s">
        <v>569</v>
      </c>
      <c r="F2171" t="s">
        <v>168</v>
      </c>
      <c r="G2171" t="s">
        <v>111</v>
      </c>
      <c r="H2171" t="s">
        <v>1539</v>
      </c>
      <c r="I2171" t="s">
        <v>112</v>
      </c>
      <c r="J2171" t="s">
        <v>704</v>
      </c>
    </row>
    <row r="2172" spans="1:12" x14ac:dyDescent="0.3">
      <c r="A2172" t="s">
        <v>2600</v>
      </c>
      <c r="B2172" t="s">
        <v>1501</v>
      </c>
      <c r="C2172" t="s">
        <v>750</v>
      </c>
      <c r="D2172" t="s">
        <v>1607</v>
      </c>
      <c r="E2172" t="s">
        <v>569</v>
      </c>
      <c r="F2172" t="s">
        <v>89</v>
      </c>
      <c r="G2172" t="s">
        <v>111</v>
      </c>
      <c r="H2172" t="s">
        <v>182</v>
      </c>
      <c r="I2172" t="s">
        <v>112</v>
      </c>
      <c r="J2172" t="s">
        <v>183</v>
      </c>
      <c r="K2172" t="s">
        <v>2832</v>
      </c>
      <c r="L2172" t="s">
        <v>2832</v>
      </c>
    </row>
    <row r="2173" spans="1:12" x14ac:dyDescent="0.3">
      <c r="A2173" t="s">
        <v>2600</v>
      </c>
      <c r="B2173" t="s">
        <v>1501</v>
      </c>
      <c r="C2173" t="s">
        <v>750</v>
      </c>
      <c r="D2173" t="s">
        <v>1609</v>
      </c>
      <c r="E2173" t="s">
        <v>569</v>
      </c>
      <c r="F2173" t="s">
        <v>66</v>
      </c>
      <c r="G2173" t="s">
        <v>111</v>
      </c>
      <c r="H2173" t="s">
        <v>703</v>
      </c>
      <c r="I2173" t="s">
        <v>112</v>
      </c>
      <c r="J2173" t="s">
        <v>702</v>
      </c>
      <c r="K2173" t="s">
        <v>2812</v>
      </c>
      <c r="L2173" t="s">
        <v>2812</v>
      </c>
    </row>
    <row r="2174" spans="1:12" x14ac:dyDescent="0.3">
      <c r="A2174" t="s">
        <v>2600</v>
      </c>
      <c r="B2174" t="s">
        <v>1501</v>
      </c>
      <c r="C2174" t="s">
        <v>750</v>
      </c>
      <c r="D2174" t="s">
        <v>1611</v>
      </c>
      <c r="E2174" t="s">
        <v>569</v>
      </c>
      <c r="F2174" t="s">
        <v>169</v>
      </c>
      <c r="G2174" t="s">
        <v>111</v>
      </c>
      <c r="H2174" t="s">
        <v>1561</v>
      </c>
      <c r="I2174" t="s">
        <v>112</v>
      </c>
      <c r="J2174" t="s">
        <v>702</v>
      </c>
      <c r="K2174" t="s">
        <v>1555</v>
      </c>
      <c r="L2174" t="s">
        <v>1555</v>
      </c>
    </row>
    <row r="2175" spans="1:12" x14ac:dyDescent="0.3">
      <c r="A2175" t="s">
        <v>2600</v>
      </c>
      <c r="B2175" t="s">
        <v>1501</v>
      </c>
      <c r="C2175" t="s">
        <v>750</v>
      </c>
      <c r="D2175" t="s">
        <v>1612</v>
      </c>
      <c r="E2175" t="s">
        <v>569</v>
      </c>
      <c r="F2175" t="s">
        <v>110</v>
      </c>
      <c r="G2175" t="s">
        <v>111</v>
      </c>
      <c r="H2175" t="s">
        <v>703</v>
      </c>
      <c r="I2175" t="s">
        <v>112</v>
      </c>
      <c r="J2175" t="s">
        <v>702</v>
      </c>
      <c r="K2175" t="s">
        <v>2833</v>
      </c>
      <c r="L2175" t="s">
        <v>2833</v>
      </c>
    </row>
    <row r="2176" spans="1:12" x14ac:dyDescent="0.3">
      <c r="A2176" t="s">
        <v>2600</v>
      </c>
      <c r="B2176" t="s">
        <v>1501</v>
      </c>
      <c r="C2176" t="s">
        <v>750</v>
      </c>
      <c r="D2176" t="s">
        <v>1613</v>
      </c>
      <c r="E2176" t="s">
        <v>569</v>
      </c>
      <c r="F2176" t="s">
        <v>93</v>
      </c>
      <c r="G2176" t="s">
        <v>111</v>
      </c>
      <c r="H2176" t="s">
        <v>182</v>
      </c>
      <c r="I2176" t="s">
        <v>112</v>
      </c>
      <c r="J2176" t="s">
        <v>183</v>
      </c>
      <c r="K2176" t="s">
        <v>1555</v>
      </c>
      <c r="L2176" t="s">
        <v>1555</v>
      </c>
    </row>
    <row r="2177" spans="1:12" x14ac:dyDescent="0.3">
      <c r="A2177" t="s">
        <v>2600</v>
      </c>
      <c r="B2177" t="s">
        <v>1501</v>
      </c>
      <c r="C2177" t="s">
        <v>750</v>
      </c>
      <c r="D2177" t="s">
        <v>1614</v>
      </c>
      <c r="E2177" t="s">
        <v>569</v>
      </c>
      <c r="F2177" t="s">
        <v>129</v>
      </c>
      <c r="G2177" t="s">
        <v>111</v>
      </c>
      <c r="H2177" t="s">
        <v>182</v>
      </c>
      <c r="I2177" t="s">
        <v>112</v>
      </c>
      <c r="J2177" t="s">
        <v>183</v>
      </c>
      <c r="K2177" t="s">
        <v>1568</v>
      </c>
      <c r="L2177" t="s">
        <v>1568</v>
      </c>
    </row>
    <row r="2178" spans="1:12" x14ac:dyDescent="0.3">
      <c r="A2178" t="s">
        <v>2600</v>
      </c>
      <c r="B2178" t="s">
        <v>1501</v>
      </c>
      <c r="C2178" t="s">
        <v>750</v>
      </c>
      <c r="D2178" t="s">
        <v>1615</v>
      </c>
      <c r="E2178" t="s">
        <v>569</v>
      </c>
      <c r="F2178" t="s">
        <v>87</v>
      </c>
      <c r="G2178" t="s">
        <v>111</v>
      </c>
      <c r="H2178" t="s">
        <v>703</v>
      </c>
      <c r="I2178" t="s">
        <v>112</v>
      </c>
      <c r="J2178" t="s">
        <v>702</v>
      </c>
      <c r="K2178" t="s">
        <v>2818</v>
      </c>
      <c r="L2178" t="s">
        <v>2818</v>
      </c>
    </row>
    <row r="2179" spans="1:12" x14ac:dyDescent="0.3">
      <c r="A2179" t="s">
        <v>2600</v>
      </c>
      <c r="B2179" t="s">
        <v>1501</v>
      </c>
      <c r="C2179" t="s">
        <v>750</v>
      </c>
      <c r="D2179" t="s">
        <v>1616</v>
      </c>
      <c r="E2179" t="s">
        <v>569</v>
      </c>
      <c r="F2179" t="s">
        <v>130</v>
      </c>
      <c r="G2179" t="s">
        <v>111</v>
      </c>
      <c r="H2179" t="s">
        <v>703</v>
      </c>
      <c r="I2179" t="s">
        <v>112</v>
      </c>
      <c r="J2179" t="s">
        <v>702</v>
      </c>
      <c r="K2179" t="s">
        <v>2834</v>
      </c>
      <c r="L2179" t="s">
        <v>2834</v>
      </c>
    </row>
    <row r="2180" spans="1:12" x14ac:dyDescent="0.3">
      <c r="A2180" t="s">
        <v>2600</v>
      </c>
      <c r="B2180" t="s">
        <v>1501</v>
      </c>
      <c r="C2180" t="s">
        <v>750</v>
      </c>
      <c r="D2180" t="s">
        <v>1617</v>
      </c>
      <c r="E2180" t="s">
        <v>569</v>
      </c>
      <c r="F2180" t="s">
        <v>131</v>
      </c>
      <c r="G2180" t="s">
        <v>111</v>
      </c>
      <c r="H2180" t="s">
        <v>182</v>
      </c>
      <c r="I2180" t="s">
        <v>112</v>
      </c>
      <c r="J2180" t="s">
        <v>183</v>
      </c>
      <c r="K2180" t="s">
        <v>1562</v>
      </c>
      <c r="L2180" t="s">
        <v>1562</v>
      </c>
    </row>
    <row r="2181" spans="1:12" x14ac:dyDescent="0.3">
      <c r="A2181" t="s">
        <v>2600</v>
      </c>
      <c r="B2181" t="s">
        <v>1501</v>
      </c>
      <c r="C2181" t="s">
        <v>750</v>
      </c>
      <c r="D2181" t="s">
        <v>1618</v>
      </c>
      <c r="E2181" t="s">
        <v>569</v>
      </c>
      <c r="F2181" t="s">
        <v>50</v>
      </c>
      <c r="G2181" t="s">
        <v>111</v>
      </c>
      <c r="H2181" t="s">
        <v>182</v>
      </c>
      <c r="I2181" t="s">
        <v>112</v>
      </c>
      <c r="J2181" t="s">
        <v>183</v>
      </c>
      <c r="K2181" t="s">
        <v>2809</v>
      </c>
      <c r="L2181" t="s">
        <v>2809</v>
      </c>
    </row>
    <row r="2182" spans="1:12" x14ac:dyDescent="0.3">
      <c r="A2182" t="s">
        <v>2600</v>
      </c>
      <c r="B2182" t="s">
        <v>1501</v>
      </c>
      <c r="C2182" t="s">
        <v>750</v>
      </c>
      <c r="D2182" t="s">
        <v>1619</v>
      </c>
      <c r="E2182" t="s">
        <v>568</v>
      </c>
      <c r="F2182" t="s">
        <v>193</v>
      </c>
      <c r="G2182" t="s">
        <v>111</v>
      </c>
      <c r="H2182" t="s">
        <v>703</v>
      </c>
      <c r="I2182" t="s">
        <v>112</v>
      </c>
      <c r="J2182" t="s">
        <v>702</v>
      </c>
      <c r="K2182" t="s">
        <v>2815</v>
      </c>
      <c r="L2182" t="s">
        <v>2815</v>
      </c>
    </row>
    <row r="2183" spans="1:12" x14ac:dyDescent="0.3">
      <c r="A2183" t="s">
        <v>2600</v>
      </c>
      <c r="B2183" t="s">
        <v>1501</v>
      </c>
      <c r="C2183" t="s">
        <v>750</v>
      </c>
      <c r="D2183" t="s">
        <v>1620</v>
      </c>
      <c r="E2183" t="s">
        <v>568</v>
      </c>
      <c r="F2183" t="s">
        <v>134</v>
      </c>
      <c r="G2183" t="s">
        <v>111</v>
      </c>
      <c r="H2183" t="s">
        <v>182</v>
      </c>
      <c r="I2183" t="s">
        <v>112</v>
      </c>
      <c r="J2183" t="s">
        <v>183</v>
      </c>
      <c r="K2183" t="s">
        <v>2816</v>
      </c>
      <c r="L2183" t="s">
        <v>2816</v>
      </c>
    </row>
    <row r="2184" spans="1:12" x14ac:dyDescent="0.3">
      <c r="A2184" t="s">
        <v>2600</v>
      </c>
      <c r="B2184" t="s">
        <v>1501</v>
      </c>
      <c r="C2184" t="s">
        <v>750</v>
      </c>
      <c r="D2184" t="s">
        <v>1621</v>
      </c>
      <c r="E2184" t="s">
        <v>568</v>
      </c>
      <c r="F2184" t="s">
        <v>51</v>
      </c>
      <c r="G2184" t="s">
        <v>111</v>
      </c>
      <c r="H2184" t="s">
        <v>1539</v>
      </c>
      <c r="I2184" t="s">
        <v>112</v>
      </c>
      <c r="J2184" t="s">
        <v>704</v>
      </c>
      <c r="K2184" t="s">
        <v>1555</v>
      </c>
      <c r="L2184" t="s">
        <v>1555</v>
      </c>
    </row>
    <row r="2185" spans="1:12" x14ac:dyDescent="0.3">
      <c r="A2185" t="s">
        <v>2600</v>
      </c>
      <c r="B2185" t="s">
        <v>1501</v>
      </c>
      <c r="C2185" t="s">
        <v>750</v>
      </c>
      <c r="D2185" t="s">
        <v>1622</v>
      </c>
      <c r="E2185" t="s">
        <v>568</v>
      </c>
      <c r="F2185" t="s">
        <v>163</v>
      </c>
      <c r="G2185" t="s">
        <v>111</v>
      </c>
      <c r="H2185" t="s">
        <v>182</v>
      </c>
      <c r="I2185" t="s">
        <v>112</v>
      </c>
      <c r="J2185" t="s">
        <v>183</v>
      </c>
      <c r="K2185" t="s">
        <v>1551</v>
      </c>
      <c r="L2185" t="s">
        <v>1551</v>
      </c>
    </row>
    <row r="2186" spans="1:12" x14ac:dyDescent="0.3">
      <c r="A2186" t="s">
        <v>2600</v>
      </c>
      <c r="B2186" t="s">
        <v>1501</v>
      </c>
      <c r="C2186" t="s">
        <v>750</v>
      </c>
      <c r="D2186" t="s">
        <v>1623</v>
      </c>
      <c r="E2186" t="s">
        <v>568</v>
      </c>
      <c r="F2186" t="s">
        <v>170</v>
      </c>
      <c r="G2186" t="s">
        <v>111</v>
      </c>
      <c r="H2186" t="s">
        <v>182</v>
      </c>
      <c r="I2186" t="s">
        <v>112</v>
      </c>
      <c r="J2186" t="s">
        <v>183</v>
      </c>
      <c r="K2186" t="s">
        <v>1555</v>
      </c>
      <c r="L2186" t="s">
        <v>1555</v>
      </c>
    </row>
    <row r="2187" spans="1:12" x14ac:dyDescent="0.3">
      <c r="A2187" t="s">
        <v>2600</v>
      </c>
      <c r="B2187" t="s">
        <v>1501</v>
      </c>
      <c r="C2187" t="s">
        <v>750</v>
      </c>
      <c r="D2187" t="s">
        <v>1624</v>
      </c>
      <c r="E2187" t="s">
        <v>568</v>
      </c>
      <c r="F2187" t="s">
        <v>78</v>
      </c>
      <c r="G2187" t="s">
        <v>111</v>
      </c>
      <c r="H2187" t="s">
        <v>703</v>
      </c>
      <c r="I2187" t="s">
        <v>112</v>
      </c>
      <c r="J2187" t="s">
        <v>702</v>
      </c>
      <c r="K2187" t="s">
        <v>2817</v>
      </c>
      <c r="L2187" t="s">
        <v>2817</v>
      </c>
    </row>
    <row r="2188" spans="1:12" x14ac:dyDescent="0.3">
      <c r="A2188" t="s">
        <v>2600</v>
      </c>
      <c r="B2188" t="s">
        <v>1501</v>
      </c>
      <c r="C2188" t="s">
        <v>750</v>
      </c>
      <c r="D2188" t="s">
        <v>1625</v>
      </c>
      <c r="E2188" t="s">
        <v>568</v>
      </c>
      <c r="F2188" t="s">
        <v>82</v>
      </c>
      <c r="G2188" t="s">
        <v>111</v>
      </c>
      <c r="H2188" t="s">
        <v>703</v>
      </c>
      <c r="I2188" t="s">
        <v>112</v>
      </c>
      <c r="J2188" t="s">
        <v>702</v>
      </c>
      <c r="K2188" t="s">
        <v>2818</v>
      </c>
      <c r="L2188" t="s">
        <v>2818</v>
      </c>
    </row>
    <row r="2189" spans="1:12" x14ac:dyDescent="0.3">
      <c r="A2189" t="s">
        <v>2600</v>
      </c>
      <c r="B2189" t="s">
        <v>1501</v>
      </c>
      <c r="C2189" t="s">
        <v>750</v>
      </c>
      <c r="D2189" t="s">
        <v>1626</v>
      </c>
      <c r="E2189" t="s">
        <v>568</v>
      </c>
      <c r="F2189" t="s">
        <v>135</v>
      </c>
      <c r="G2189" t="s">
        <v>111</v>
      </c>
      <c r="H2189" t="s">
        <v>703</v>
      </c>
      <c r="I2189" t="s">
        <v>112</v>
      </c>
      <c r="J2189" t="s">
        <v>702</v>
      </c>
      <c r="K2189" t="s">
        <v>2818</v>
      </c>
      <c r="L2189" t="s">
        <v>2818</v>
      </c>
    </row>
    <row r="2190" spans="1:12" x14ac:dyDescent="0.3">
      <c r="A2190" t="s">
        <v>2600</v>
      </c>
      <c r="B2190" t="s">
        <v>1501</v>
      </c>
      <c r="C2190" t="s">
        <v>750</v>
      </c>
      <c r="D2190" t="s">
        <v>1627</v>
      </c>
      <c r="E2190" t="s">
        <v>568</v>
      </c>
      <c r="F2190" t="s">
        <v>136</v>
      </c>
      <c r="G2190" t="s">
        <v>111</v>
      </c>
      <c r="H2190" t="s">
        <v>1539</v>
      </c>
      <c r="I2190" t="s">
        <v>112</v>
      </c>
      <c r="J2190" t="s">
        <v>704</v>
      </c>
      <c r="K2190" t="s">
        <v>1541</v>
      </c>
      <c r="L2190" t="s">
        <v>1541</v>
      </c>
    </row>
    <row r="2191" spans="1:12" x14ac:dyDescent="0.3">
      <c r="A2191" t="s">
        <v>2600</v>
      </c>
      <c r="B2191" t="s">
        <v>1501</v>
      </c>
      <c r="C2191" t="s">
        <v>750</v>
      </c>
      <c r="D2191" t="s">
        <v>1628</v>
      </c>
      <c r="E2191" t="s">
        <v>568</v>
      </c>
      <c r="F2191" t="s">
        <v>60</v>
      </c>
      <c r="G2191" t="s">
        <v>111</v>
      </c>
      <c r="H2191" t="s">
        <v>703</v>
      </c>
      <c r="I2191" t="s">
        <v>112</v>
      </c>
      <c r="J2191" t="s">
        <v>702</v>
      </c>
      <c r="K2191" t="s">
        <v>2835</v>
      </c>
      <c r="L2191" t="s">
        <v>2835</v>
      </c>
    </row>
    <row r="2192" spans="1:12" x14ac:dyDescent="0.3">
      <c r="A2192" t="s">
        <v>2600</v>
      </c>
      <c r="B2192" t="s">
        <v>1501</v>
      </c>
      <c r="C2192" t="s">
        <v>750</v>
      </c>
      <c r="D2192" t="s">
        <v>1629</v>
      </c>
      <c r="E2192" t="s">
        <v>568</v>
      </c>
      <c r="F2192" t="s">
        <v>70</v>
      </c>
      <c r="G2192" t="s">
        <v>111</v>
      </c>
      <c r="H2192" t="s">
        <v>182</v>
      </c>
      <c r="I2192" t="s">
        <v>112</v>
      </c>
      <c r="J2192" t="s">
        <v>183</v>
      </c>
      <c r="K2192" t="s">
        <v>2811</v>
      </c>
      <c r="L2192" t="s">
        <v>2811</v>
      </c>
    </row>
    <row r="2193" spans="1:12" x14ac:dyDescent="0.3">
      <c r="A2193" t="s">
        <v>2600</v>
      </c>
      <c r="B2193" t="s">
        <v>1501</v>
      </c>
      <c r="C2193" t="s">
        <v>750</v>
      </c>
      <c r="D2193" t="s">
        <v>1630</v>
      </c>
      <c r="E2193" t="s">
        <v>568</v>
      </c>
      <c r="F2193" t="s">
        <v>48</v>
      </c>
      <c r="G2193" t="s">
        <v>111</v>
      </c>
      <c r="H2193" t="s">
        <v>182</v>
      </c>
      <c r="I2193" t="s">
        <v>112</v>
      </c>
      <c r="J2193" t="s">
        <v>183</v>
      </c>
      <c r="K2193" t="s">
        <v>1568</v>
      </c>
      <c r="L2193" t="s">
        <v>1568</v>
      </c>
    </row>
    <row r="2194" spans="1:12" x14ac:dyDescent="0.3">
      <c r="A2194" t="s">
        <v>2600</v>
      </c>
      <c r="B2194" t="s">
        <v>1501</v>
      </c>
      <c r="C2194" t="s">
        <v>750</v>
      </c>
      <c r="D2194" t="s">
        <v>1631</v>
      </c>
      <c r="E2194" t="s">
        <v>568</v>
      </c>
      <c r="F2194" t="s">
        <v>138</v>
      </c>
      <c r="G2194" t="s">
        <v>111</v>
      </c>
      <c r="H2194" t="s">
        <v>703</v>
      </c>
      <c r="I2194" t="s">
        <v>112</v>
      </c>
      <c r="J2194" t="s">
        <v>702</v>
      </c>
      <c r="K2194" t="s">
        <v>1555</v>
      </c>
      <c r="L2194" t="s">
        <v>1555</v>
      </c>
    </row>
    <row r="2195" spans="1:12" x14ac:dyDescent="0.3">
      <c r="A2195" t="s">
        <v>2600</v>
      </c>
      <c r="B2195" t="s">
        <v>1501</v>
      </c>
      <c r="C2195" t="s">
        <v>750</v>
      </c>
      <c r="D2195" t="s">
        <v>1632</v>
      </c>
      <c r="E2195" t="s">
        <v>568</v>
      </c>
      <c r="F2195" t="s">
        <v>95</v>
      </c>
      <c r="G2195" t="s">
        <v>111</v>
      </c>
      <c r="H2195" t="s">
        <v>1565</v>
      </c>
      <c r="I2195" t="s">
        <v>112</v>
      </c>
      <c r="J2195" t="s">
        <v>1566</v>
      </c>
    </row>
    <row r="2196" spans="1:12" x14ac:dyDescent="0.3">
      <c r="A2196" t="s">
        <v>2600</v>
      </c>
      <c r="B2196" t="s">
        <v>1501</v>
      </c>
      <c r="C2196" t="s">
        <v>750</v>
      </c>
      <c r="D2196" t="s">
        <v>1633</v>
      </c>
      <c r="E2196" t="s">
        <v>568</v>
      </c>
      <c r="F2196" t="s">
        <v>139</v>
      </c>
      <c r="G2196" t="s">
        <v>111</v>
      </c>
      <c r="H2196" t="s">
        <v>182</v>
      </c>
      <c r="I2196" t="s">
        <v>112</v>
      </c>
      <c r="J2196" t="s">
        <v>183</v>
      </c>
      <c r="K2196" t="s">
        <v>2819</v>
      </c>
      <c r="L2196" t="s">
        <v>2819</v>
      </c>
    </row>
    <row r="2197" spans="1:12" x14ac:dyDescent="0.3">
      <c r="A2197" t="s">
        <v>2600</v>
      </c>
      <c r="B2197" t="s">
        <v>1501</v>
      </c>
      <c r="C2197" t="s">
        <v>750</v>
      </c>
      <c r="D2197" t="s">
        <v>1634</v>
      </c>
      <c r="E2197" t="s">
        <v>568</v>
      </c>
      <c r="F2197" t="s">
        <v>171</v>
      </c>
      <c r="G2197" t="s">
        <v>111</v>
      </c>
      <c r="H2197" t="s">
        <v>182</v>
      </c>
      <c r="I2197" t="s">
        <v>112</v>
      </c>
      <c r="J2197" t="s">
        <v>183</v>
      </c>
      <c r="K2197" t="s">
        <v>1562</v>
      </c>
      <c r="L2197" t="s">
        <v>1562</v>
      </c>
    </row>
    <row r="2198" spans="1:12" x14ac:dyDescent="0.3">
      <c r="A2198" t="s">
        <v>2600</v>
      </c>
      <c r="B2198" t="s">
        <v>1501</v>
      </c>
      <c r="C2198" t="s">
        <v>750</v>
      </c>
      <c r="D2198" t="s">
        <v>1636</v>
      </c>
      <c r="E2198" t="s">
        <v>568</v>
      </c>
      <c r="F2198" t="s">
        <v>172</v>
      </c>
      <c r="G2198" t="s">
        <v>111</v>
      </c>
      <c r="H2198" t="s">
        <v>703</v>
      </c>
      <c r="I2198" t="s">
        <v>112</v>
      </c>
      <c r="J2198" t="s">
        <v>702</v>
      </c>
      <c r="K2198" t="s">
        <v>1535</v>
      </c>
      <c r="L2198" t="s">
        <v>1535</v>
      </c>
    </row>
    <row r="2199" spans="1:12" x14ac:dyDescent="0.3">
      <c r="A2199" t="s">
        <v>2600</v>
      </c>
      <c r="B2199" t="s">
        <v>1501</v>
      </c>
      <c r="C2199" t="s">
        <v>750</v>
      </c>
      <c r="D2199" t="s">
        <v>1637</v>
      </c>
      <c r="E2199" t="s">
        <v>568</v>
      </c>
      <c r="F2199" t="s">
        <v>62</v>
      </c>
      <c r="G2199" t="s">
        <v>111</v>
      </c>
      <c r="H2199" t="s">
        <v>703</v>
      </c>
      <c r="I2199" t="s">
        <v>112</v>
      </c>
      <c r="J2199" t="s">
        <v>702</v>
      </c>
      <c r="K2199" t="s">
        <v>1559</v>
      </c>
      <c r="L2199" t="s">
        <v>1559</v>
      </c>
    </row>
    <row r="2200" spans="1:12" x14ac:dyDescent="0.3">
      <c r="A2200" t="s">
        <v>2600</v>
      </c>
      <c r="B2200" t="s">
        <v>1501</v>
      </c>
      <c r="C2200" t="s">
        <v>750</v>
      </c>
      <c r="D2200" t="s">
        <v>1638</v>
      </c>
      <c r="E2200" t="s">
        <v>568</v>
      </c>
      <c r="F2200" t="s">
        <v>57</v>
      </c>
      <c r="G2200" t="s">
        <v>111</v>
      </c>
      <c r="H2200" t="s">
        <v>182</v>
      </c>
      <c r="I2200" t="s">
        <v>112</v>
      </c>
      <c r="J2200" t="s">
        <v>183</v>
      </c>
      <c r="K2200" t="s">
        <v>1562</v>
      </c>
      <c r="L2200" t="s">
        <v>1562</v>
      </c>
    </row>
    <row r="2201" spans="1:12" x14ac:dyDescent="0.3">
      <c r="A2201" t="s">
        <v>2600</v>
      </c>
      <c r="B2201" t="s">
        <v>1501</v>
      </c>
      <c r="C2201" t="s">
        <v>750</v>
      </c>
      <c r="D2201" t="s">
        <v>1639</v>
      </c>
      <c r="E2201" t="s">
        <v>568</v>
      </c>
      <c r="F2201" t="s">
        <v>174</v>
      </c>
      <c r="G2201" t="s">
        <v>111</v>
      </c>
      <c r="H2201" t="s">
        <v>703</v>
      </c>
      <c r="I2201" t="s">
        <v>112</v>
      </c>
      <c r="J2201" t="s">
        <v>702</v>
      </c>
      <c r="K2201" t="s">
        <v>2836</v>
      </c>
      <c r="L2201" t="s">
        <v>2836</v>
      </c>
    </row>
    <row r="2202" spans="1:12" x14ac:dyDescent="0.3">
      <c r="A2202" t="s">
        <v>2600</v>
      </c>
      <c r="B2202" t="s">
        <v>1501</v>
      </c>
      <c r="C2202" t="s">
        <v>750</v>
      </c>
      <c r="D2202" t="s">
        <v>1640</v>
      </c>
      <c r="E2202" t="s">
        <v>568</v>
      </c>
      <c r="F2202" t="s">
        <v>77</v>
      </c>
      <c r="G2202" t="s">
        <v>111</v>
      </c>
      <c r="H2202" t="s">
        <v>703</v>
      </c>
      <c r="I2202" t="s">
        <v>112</v>
      </c>
      <c r="J2202" t="s">
        <v>702</v>
      </c>
      <c r="K2202" t="s">
        <v>1535</v>
      </c>
      <c r="L2202" t="s">
        <v>1535</v>
      </c>
    </row>
    <row r="2203" spans="1:12" x14ac:dyDescent="0.3">
      <c r="A2203" t="s">
        <v>2600</v>
      </c>
      <c r="B2203" t="s">
        <v>1501</v>
      </c>
      <c r="C2203" t="s">
        <v>750</v>
      </c>
      <c r="D2203" t="s">
        <v>1641</v>
      </c>
      <c r="E2203" t="s">
        <v>568</v>
      </c>
      <c r="F2203" t="s">
        <v>102</v>
      </c>
      <c r="G2203" t="s">
        <v>111</v>
      </c>
      <c r="H2203" t="s">
        <v>1539</v>
      </c>
      <c r="I2203" t="s">
        <v>112</v>
      </c>
      <c r="J2203" t="s">
        <v>704</v>
      </c>
    </row>
    <row r="2204" spans="1:12" x14ac:dyDescent="0.3">
      <c r="A2204" t="s">
        <v>2600</v>
      </c>
      <c r="B2204" t="s">
        <v>1501</v>
      </c>
      <c r="C2204" t="s">
        <v>750</v>
      </c>
      <c r="D2204" t="s">
        <v>1642</v>
      </c>
      <c r="E2204" t="s">
        <v>568</v>
      </c>
      <c r="F2204" t="s">
        <v>175</v>
      </c>
      <c r="G2204" t="s">
        <v>111</v>
      </c>
      <c r="H2204" t="s">
        <v>182</v>
      </c>
      <c r="I2204" t="s">
        <v>112</v>
      </c>
      <c r="J2204" t="s">
        <v>183</v>
      </c>
      <c r="K2204" t="s">
        <v>2811</v>
      </c>
      <c r="L2204" t="s">
        <v>2811</v>
      </c>
    </row>
    <row r="2205" spans="1:12" x14ac:dyDescent="0.3">
      <c r="A2205" t="s">
        <v>2600</v>
      </c>
      <c r="B2205" t="s">
        <v>1501</v>
      </c>
      <c r="C2205" t="s">
        <v>750</v>
      </c>
      <c r="D2205" t="s">
        <v>1643</v>
      </c>
      <c r="E2205" t="s">
        <v>568</v>
      </c>
      <c r="F2205" t="s">
        <v>46</v>
      </c>
      <c r="G2205" t="s">
        <v>111</v>
      </c>
      <c r="H2205" t="s">
        <v>1539</v>
      </c>
      <c r="I2205" t="s">
        <v>112</v>
      </c>
      <c r="J2205" t="s">
        <v>704</v>
      </c>
      <c r="K2205" t="s">
        <v>1559</v>
      </c>
      <c r="L2205" t="s">
        <v>1559</v>
      </c>
    </row>
    <row r="2206" spans="1:12" x14ac:dyDescent="0.3">
      <c r="A2206" t="s">
        <v>2600</v>
      </c>
      <c r="B2206" t="s">
        <v>1501</v>
      </c>
      <c r="C2206" t="s">
        <v>750</v>
      </c>
      <c r="D2206" t="s">
        <v>1644</v>
      </c>
      <c r="E2206" t="s">
        <v>568</v>
      </c>
      <c r="F2206" t="s">
        <v>202</v>
      </c>
      <c r="G2206" t="s">
        <v>111</v>
      </c>
      <c r="H2206" t="s">
        <v>703</v>
      </c>
      <c r="I2206" t="s">
        <v>112</v>
      </c>
      <c r="J2206" t="s">
        <v>702</v>
      </c>
      <c r="K2206" t="s">
        <v>2818</v>
      </c>
      <c r="L2206" t="s">
        <v>2818</v>
      </c>
    </row>
    <row r="2207" spans="1:12" x14ac:dyDescent="0.3">
      <c r="A2207" t="s">
        <v>2600</v>
      </c>
      <c r="B2207" t="s">
        <v>1501</v>
      </c>
      <c r="C2207" t="s">
        <v>750</v>
      </c>
      <c r="D2207" t="s">
        <v>1645</v>
      </c>
      <c r="E2207" t="s">
        <v>568</v>
      </c>
      <c r="F2207" t="s">
        <v>141</v>
      </c>
      <c r="G2207" t="s">
        <v>111</v>
      </c>
      <c r="H2207" t="s">
        <v>703</v>
      </c>
      <c r="I2207" t="s">
        <v>112</v>
      </c>
      <c r="J2207" t="s">
        <v>702</v>
      </c>
      <c r="K2207" t="s">
        <v>2811</v>
      </c>
      <c r="L2207" t="s">
        <v>2811</v>
      </c>
    </row>
    <row r="2208" spans="1:12" x14ac:dyDescent="0.3">
      <c r="A2208" t="s">
        <v>2600</v>
      </c>
      <c r="B2208" t="s">
        <v>1501</v>
      </c>
      <c r="C2208" t="s">
        <v>750</v>
      </c>
      <c r="D2208" t="s">
        <v>1646</v>
      </c>
      <c r="E2208" t="s">
        <v>568</v>
      </c>
      <c r="F2208" t="s">
        <v>142</v>
      </c>
      <c r="G2208" t="s">
        <v>111</v>
      </c>
      <c r="H2208" t="s">
        <v>703</v>
      </c>
      <c r="I2208" t="s">
        <v>112</v>
      </c>
      <c r="J2208" t="s">
        <v>702</v>
      </c>
      <c r="K2208" t="s">
        <v>2820</v>
      </c>
      <c r="L2208" t="s">
        <v>2820</v>
      </c>
    </row>
    <row r="2209" spans="1:12" x14ac:dyDescent="0.3">
      <c r="A2209" t="s">
        <v>2600</v>
      </c>
      <c r="B2209" t="s">
        <v>1501</v>
      </c>
      <c r="C2209" t="s">
        <v>750</v>
      </c>
      <c r="D2209" t="s">
        <v>1647</v>
      </c>
      <c r="E2209" t="s">
        <v>568</v>
      </c>
      <c r="F2209" t="s">
        <v>75</v>
      </c>
      <c r="G2209" t="s">
        <v>111</v>
      </c>
      <c r="H2209" t="s">
        <v>187</v>
      </c>
      <c r="I2209" t="s">
        <v>112</v>
      </c>
      <c r="J2209" t="s">
        <v>183</v>
      </c>
    </row>
    <row r="2210" spans="1:12" x14ac:dyDescent="0.3">
      <c r="A2210" t="s">
        <v>2600</v>
      </c>
      <c r="B2210" t="s">
        <v>1501</v>
      </c>
      <c r="C2210" t="s">
        <v>750</v>
      </c>
      <c r="D2210" t="s">
        <v>1648</v>
      </c>
      <c r="E2210" t="s">
        <v>568</v>
      </c>
      <c r="F2210" t="s">
        <v>143</v>
      </c>
      <c r="G2210" t="s">
        <v>111</v>
      </c>
      <c r="H2210" t="s">
        <v>187</v>
      </c>
      <c r="I2210" t="s">
        <v>112</v>
      </c>
      <c r="J2210" t="s">
        <v>183</v>
      </c>
    </row>
    <row r="2211" spans="1:12" x14ac:dyDescent="0.3">
      <c r="A2211" t="s">
        <v>2600</v>
      </c>
      <c r="B2211" t="s">
        <v>1501</v>
      </c>
      <c r="C2211" t="s">
        <v>750</v>
      </c>
      <c r="D2211" t="s">
        <v>1649</v>
      </c>
      <c r="E2211" t="s">
        <v>568</v>
      </c>
      <c r="F2211" t="s">
        <v>144</v>
      </c>
      <c r="G2211" t="s">
        <v>111</v>
      </c>
      <c r="H2211" t="s">
        <v>1539</v>
      </c>
      <c r="I2211" t="s">
        <v>112</v>
      </c>
      <c r="J2211" t="s">
        <v>704</v>
      </c>
      <c r="K2211" t="s">
        <v>2821</v>
      </c>
      <c r="L2211" t="s">
        <v>2821</v>
      </c>
    </row>
    <row r="2212" spans="1:12" x14ac:dyDescent="0.3">
      <c r="A2212" t="s">
        <v>2600</v>
      </c>
      <c r="B2212" t="s">
        <v>1501</v>
      </c>
      <c r="C2212" t="s">
        <v>750</v>
      </c>
      <c r="D2212" t="s">
        <v>1650</v>
      </c>
      <c r="E2212" t="s">
        <v>568</v>
      </c>
      <c r="F2212" t="s">
        <v>194</v>
      </c>
      <c r="G2212" t="s">
        <v>111</v>
      </c>
      <c r="H2212" t="s">
        <v>703</v>
      </c>
      <c r="I2212" t="s">
        <v>112</v>
      </c>
      <c r="J2212" t="s">
        <v>702</v>
      </c>
      <c r="K2212" t="s">
        <v>2822</v>
      </c>
      <c r="L2212" t="s">
        <v>2822</v>
      </c>
    </row>
    <row r="2213" spans="1:12" x14ac:dyDescent="0.3">
      <c r="A2213" t="s">
        <v>2600</v>
      </c>
      <c r="B2213" t="s">
        <v>1501</v>
      </c>
      <c r="C2213" t="s">
        <v>750</v>
      </c>
      <c r="D2213" t="s">
        <v>1651</v>
      </c>
      <c r="E2213" t="s">
        <v>568</v>
      </c>
      <c r="F2213" t="s">
        <v>145</v>
      </c>
      <c r="G2213" t="s">
        <v>111</v>
      </c>
      <c r="H2213" t="s">
        <v>182</v>
      </c>
      <c r="I2213" t="s">
        <v>112</v>
      </c>
      <c r="J2213" t="s">
        <v>183</v>
      </c>
      <c r="K2213" t="s">
        <v>1568</v>
      </c>
      <c r="L2213" t="s">
        <v>1568</v>
      </c>
    </row>
    <row r="2214" spans="1:12" x14ac:dyDescent="0.3">
      <c r="A2214" t="s">
        <v>2600</v>
      </c>
      <c r="B2214" t="s">
        <v>1501</v>
      </c>
      <c r="C2214" t="s">
        <v>750</v>
      </c>
      <c r="D2214" t="s">
        <v>1652</v>
      </c>
      <c r="E2214" t="s">
        <v>567</v>
      </c>
      <c r="F2214" t="s">
        <v>104</v>
      </c>
      <c r="G2214" t="s">
        <v>111</v>
      </c>
      <c r="H2214" t="s">
        <v>703</v>
      </c>
      <c r="I2214" t="s">
        <v>112</v>
      </c>
      <c r="J2214" t="s">
        <v>702</v>
      </c>
      <c r="K2214" t="s">
        <v>1559</v>
      </c>
      <c r="L2214" t="s">
        <v>1559</v>
      </c>
    </row>
    <row r="2215" spans="1:12" x14ac:dyDescent="0.3">
      <c r="A2215" t="s">
        <v>2600</v>
      </c>
      <c r="B2215" t="s">
        <v>1501</v>
      </c>
      <c r="C2215" t="s">
        <v>750</v>
      </c>
      <c r="D2215" t="s">
        <v>1653</v>
      </c>
      <c r="E2215" t="s">
        <v>567</v>
      </c>
      <c r="F2215" t="s">
        <v>176</v>
      </c>
      <c r="G2215" t="s">
        <v>111</v>
      </c>
      <c r="H2215" t="s">
        <v>703</v>
      </c>
      <c r="I2215" t="s">
        <v>112</v>
      </c>
      <c r="J2215" t="s">
        <v>702</v>
      </c>
      <c r="K2215" t="s">
        <v>2821</v>
      </c>
      <c r="L2215" t="s">
        <v>2821</v>
      </c>
    </row>
    <row r="2216" spans="1:12" x14ac:dyDescent="0.3">
      <c r="A2216" t="s">
        <v>2600</v>
      </c>
      <c r="B2216" t="s">
        <v>1501</v>
      </c>
      <c r="C2216" t="s">
        <v>750</v>
      </c>
      <c r="D2216" t="s">
        <v>1654</v>
      </c>
      <c r="E2216" t="s">
        <v>567</v>
      </c>
      <c r="F2216" t="s">
        <v>146</v>
      </c>
      <c r="G2216" t="s">
        <v>111</v>
      </c>
      <c r="H2216" t="s">
        <v>1539</v>
      </c>
      <c r="I2216" t="s">
        <v>112</v>
      </c>
      <c r="J2216" t="s">
        <v>704</v>
      </c>
    </row>
    <row r="2217" spans="1:12" x14ac:dyDescent="0.3">
      <c r="A2217" t="s">
        <v>2600</v>
      </c>
      <c r="B2217" t="s">
        <v>1501</v>
      </c>
      <c r="C2217" t="s">
        <v>750</v>
      </c>
      <c r="D2217" t="s">
        <v>1655</v>
      </c>
      <c r="E2217" t="s">
        <v>567</v>
      </c>
      <c r="F2217" t="s">
        <v>148</v>
      </c>
      <c r="G2217" t="s">
        <v>111</v>
      </c>
      <c r="H2217" t="s">
        <v>182</v>
      </c>
      <c r="I2217" t="s">
        <v>112</v>
      </c>
      <c r="J2217" t="s">
        <v>183</v>
      </c>
      <c r="K2217" t="s">
        <v>1568</v>
      </c>
      <c r="L2217" t="s">
        <v>1568</v>
      </c>
    </row>
    <row r="2218" spans="1:12" x14ac:dyDescent="0.3">
      <c r="A2218" t="s">
        <v>2600</v>
      </c>
      <c r="B2218" t="s">
        <v>1501</v>
      </c>
      <c r="C2218" t="s">
        <v>750</v>
      </c>
      <c r="D2218" t="s">
        <v>1656</v>
      </c>
      <c r="E2218" t="s">
        <v>567</v>
      </c>
      <c r="F2218" t="s">
        <v>149</v>
      </c>
      <c r="G2218" t="s">
        <v>111</v>
      </c>
      <c r="H2218" t="s">
        <v>703</v>
      </c>
      <c r="I2218" t="s">
        <v>112</v>
      </c>
      <c r="J2218" t="s">
        <v>702</v>
      </c>
      <c r="K2218" t="s">
        <v>2824</v>
      </c>
      <c r="L2218" t="s">
        <v>2824</v>
      </c>
    </row>
    <row r="2219" spans="1:12" x14ac:dyDescent="0.3">
      <c r="A2219" t="s">
        <v>2600</v>
      </c>
      <c r="B2219" t="s">
        <v>1501</v>
      </c>
      <c r="C2219" t="s">
        <v>750</v>
      </c>
      <c r="D2219" t="s">
        <v>1657</v>
      </c>
      <c r="E2219" t="s">
        <v>567</v>
      </c>
      <c r="F2219" t="s">
        <v>83</v>
      </c>
      <c r="G2219" t="s">
        <v>111</v>
      </c>
      <c r="H2219" t="s">
        <v>182</v>
      </c>
      <c r="I2219" t="s">
        <v>112</v>
      </c>
      <c r="J2219" t="s">
        <v>183</v>
      </c>
      <c r="K2219" t="s">
        <v>2825</v>
      </c>
      <c r="L2219" t="s">
        <v>2825</v>
      </c>
    </row>
    <row r="2220" spans="1:12" x14ac:dyDescent="0.3">
      <c r="A2220" t="s">
        <v>2600</v>
      </c>
      <c r="B2220" t="s">
        <v>1501</v>
      </c>
      <c r="C2220" t="s">
        <v>750</v>
      </c>
      <c r="D2220" t="s">
        <v>1658</v>
      </c>
      <c r="E2220" t="s">
        <v>567</v>
      </c>
      <c r="F2220" t="s">
        <v>203</v>
      </c>
      <c r="G2220" t="s">
        <v>111</v>
      </c>
      <c r="H2220" t="s">
        <v>1561</v>
      </c>
      <c r="I2220" t="s">
        <v>112</v>
      </c>
      <c r="J2220" t="s">
        <v>702</v>
      </c>
    </row>
    <row r="2221" spans="1:12" x14ac:dyDescent="0.3">
      <c r="A2221" t="s">
        <v>2600</v>
      </c>
      <c r="B2221" t="s">
        <v>1501</v>
      </c>
      <c r="C2221" t="s">
        <v>750</v>
      </c>
      <c r="D2221" t="s">
        <v>1659</v>
      </c>
      <c r="E2221" t="s">
        <v>567</v>
      </c>
      <c r="F2221" t="s">
        <v>150</v>
      </c>
      <c r="G2221" t="s">
        <v>111</v>
      </c>
      <c r="H2221" t="s">
        <v>182</v>
      </c>
      <c r="I2221" t="s">
        <v>112</v>
      </c>
      <c r="J2221" t="s">
        <v>183</v>
      </c>
      <c r="K2221" t="s">
        <v>2826</v>
      </c>
      <c r="L2221" t="s">
        <v>2826</v>
      </c>
    </row>
    <row r="2222" spans="1:12" x14ac:dyDescent="0.3">
      <c r="A2222" t="s">
        <v>2600</v>
      </c>
      <c r="B2222" t="s">
        <v>1501</v>
      </c>
      <c r="C2222" t="s">
        <v>750</v>
      </c>
      <c r="D2222" t="s">
        <v>1660</v>
      </c>
      <c r="E2222" t="s">
        <v>567</v>
      </c>
      <c r="F2222" t="s">
        <v>92</v>
      </c>
      <c r="G2222" t="s">
        <v>111</v>
      </c>
      <c r="H2222" t="s">
        <v>703</v>
      </c>
      <c r="I2222" t="s">
        <v>112</v>
      </c>
      <c r="J2222" t="s">
        <v>702</v>
      </c>
      <c r="K2222" t="s">
        <v>2837</v>
      </c>
      <c r="L2222" t="s">
        <v>2837</v>
      </c>
    </row>
    <row r="2223" spans="1:12" x14ac:dyDescent="0.3">
      <c r="A2223" t="s">
        <v>2600</v>
      </c>
      <c r="B2223" t="s">
        <v>1501</v>
      </c>
      <c r="C2223" t="s">
        <v>750</v>
      </c>
      <c r="D2223" t="s">
        <v>1661</v>
      </c>
      <c r="E2223" t="s">
        <v>567</v>
      </c>
      <c r="F2223" t="s">
        <v>63</v>
      </c>
      <c r="G2223" t="s">
        <v>111</v>
      </c>
      <c r="H2223" t="s">
        <v>182</v>
      </c>
      <c r="I2223" t="s">
        <v>112</v>
      </c>
      <c r="J2223" t="s">
        <v>183</v>
      </c>
      <c r="K2223" t="s">
        <v>2821</v>
      </c>
      <c r="L2223" t="s">
        <v>2821</v>
      </c>
    </row>
    <row r="2224" spans="1:12" x14ac:dyDescent="0.3">
      <c r="A2224" t="s">
        <v>2600</v>
      </c>
      <c r="B2224" t="s">
        <v>1501</v>
      </c>
      <c r="C2224" t="s">
        <v>750</v>
      </c>
      <c r="D2224" t="s">
        <v>1662</v>
      </c>
      <c r="E2224" t="s">
        <v>567</v>
      </c>
      <c r="F2224" t="s">
        <v>151</v>
      </c>
      <c r="G2224" t="s">
        <v>111</v>
      </c>
      <c r="H2224" t="s">
        <v>1539</v>
      </c>
      <c r="I2224" t="s">
        <v>112</v>
      </c>
      <c r="J2224" t="s">
        <v>704</v>
      </c>
    </row>
    <row r="2225" spans="1:12" x14ac:dyDescent="0.3">
      <c r="A2225" t="s">
        <v>2600</v>
      </c>
      <c r="B2225" t="s">
        <v>1501</v>
      </c>
      <c r="C2225" t="s">
        <v>750</v>
      </c>
      <c r="D2225" t="s">
        <v>1663</v>
      </c>
      <c r="E2225" t="s">
        <v>567</v>
      </c>
      <c r="F2225" t="s">
        <v>195</v>
      </c>
      <c r="G2225" t="s">
        <v>111</v>
      </c>
      <c r="H2225" t="s">
        <v>703</v>
      </c>
      <c r="I2225" t="s">
        <v>112</v>
      </c>
      <c r="J2225" t="s">
        <v>702</v>
      </c>
      <c r="K2225" t="s">
        <v>2827</v>
      </c>
      <c r="L2225" t="s">
        <v>2827</v>
      </c>
    </row>
    <row r="2226" spans="1:12" x14ac:dyDescent="0.3">
      <c r="A2226" t="s">
        <v>2600</v>
      </c>
      <c r="B2226" t="s">
        <v>1501</v>
      </c>
      <c r="C2226" t="s">
        <v>750</v>
      </c>
      <c r="D2226" t="s">
        <v>1664</v>
      </c>
      <c r="E2226" t="s">
        <v>567</v>
      </c>
      <c r="F2226" t="s">
        <v>177</v>
      </c>
      <c r="G2226" t="s">
        <v>111</v>
      </c>
      <c r="H2226" t="s">
        <v>703</v>
      </c>
      <c r="I2226" t="s">
        <v>112</v>
      </c>
      <c r="J2226" t="s">
        <v>702</v>
      </c>
      <c r="K2226" t="s">
        <v>1551</v>
      </c>
      <c r="L2226" t="s">
        <v>1551</v>
      </c>
    </row>
    <row r="2227" spans="1:12" x14ac:dyDescent="0.3">
      <c r="A2227" t="s">
        <v>2600</v>
      </c>
      <c r="B2227" t="s">
        <v>1501</v>
      </c>
      <c r="C2227" t="s">
        <v>750</v>
      </c>
      <c r="D2227" t="s">
        <v>1665</v>
      </c>
      <c r="E2227" t="s">
        <v>567</v>
      </c>
      <c r="F2227" t="s">
        <v>91</v>
      </c>
      <c r="G2227" t="s">
        <v>111</v>
      </c>
      <c r="H2227" t="s">
        <v>1539</v>
      </c>
      <c r="I2227" t="s">
        <v>112</v>
      </c>
      <c r="J2227" t="s">
        <v>704</v>
      </c>
      <c r="K2227" t="s">
        <v>2828</v>
      </c>
      <c r="L2227" t="s">
        <v>2828</v>
      </c>
    </row>
    <row r="2228" spans="1:12" x14ac:dyDescent="0.3">
      <c r="A2228" t="s">
        <v>2600</v>
      </c>
      <c r="B2228" t="s">
        <v>1501</v>
      </c>
      <c r="C2228" t="s">
        <v>750</v>
      </c>
      <c r="D2228" t="s">
        <v>1666</v>
      </c>
      <c r="E2228" t="s">
        <v>567</v>
      </c>
      <c r="F2228" t="s">
        <v>152</v>
      </c>
      <c r="G2228" t="s">
        <v>111</v>
      </c>
      <c r="H2228" t="s">
        <v>182</v>
      </c>
      <c r="I2228" t="s">
        <v>112</v>
      </c>
      <c r="J2228" t="s">
        <v>183</v>
      </c>
      <c r="K2228" t="s">
        <v>2829</v>
      </c>
      <c r="L2228" t="s">
        <v>2829</v>
      </c>
    </row>
    <row r="2229" spans="1:12" x14ac:dyDescent="0.3">
      <c r="A2229" t="s">
        <v>2600</v>
      </c>
      <c r="B2229" t="s">
        <v>1501</v>
      </c>
      <c r="C2229" t="s">
        <v>750</v>
      </c>
      <c r="D2229" t="s">
        <v>1668</v>
      </c>
      <c r="E2229" t="s">
        <v>567</v>
      </c>
      <c r="F2229" t="s">
        <v>67</v>
      </c>
      <c r="G2229" t="s">
        <v>111</v>
      </c>
      <c r="H2229" t="s">
        <v>182</v>
      </c>
      <c r="I2229" t="s">
        <v>112</v>
      </c>
      <c r="J2229" t="s">
        <v>183</v>
      </c>
      <c r="K2229" t="s">
        <v>2830</v>
      </c>
      <c r="L2229" t="s">
        <v>2830</v>
      </c>
    </row>
    <row r="2230" spans="1:12" x14ac:dyDescent="0.3">
      <c r="A2230" t="s">
        <v>2600</v>
      </c>
      <c r="B2230" t="s">
        <v>1501</v>
      </c>
      <c r="C2230" t="s">
        <v>750</v>
      </c>
      <c r="D2230" t="s">
        <v>1670</v>
      </c>
      <c r="E2230" t="s">
        <v>567</v>
      </c>
      <c r="F2230" t="s">
        <v>196</v>
      </c>
      <c r="G2230" t="s">
        <v>111</v>
      </c>
      <c r="H2230" t="s">
        <v>187</v>
      </c>
      <c r="I2230" t="s">
        <v>112</v>
      </c>
      <c r="J2230" t="s">
        <v>183</v>
      </c>
      <c r="K2230" t="s">
        <v>1537</v>
      </c>
      <c r="L2230" t="s">
        <v>1537</v>
      </c>
    </row>
    <row r="2231" spans="1:12" x14ac:dyDescent="0.3">
      <c r="A2231" t="s">
        <v>2600</v>
      </c>
      <c r="B2231" t="s">
        <v>1501</v>
      </c>
      <c r="C2231" t="s">
        <v>750</v>
      </c>
      <c r="D2231" t="s">
        <v>1672</v>
      </c>
      <c r="E2231" t="s">
        <v>567</v>
      </c>
      <c r="F2231" t="s">
        <v>179</v>
      </c>
      <c r="G2231" t="s">
        <v>111</v>
      </c>
      <c r="H2231" t="s">
        <v>182</v>
      </c>
      <c r="I2231" t="s">
        <v>112</v>
      </c>
      <c r="J2231" t="s">
        <v>183</v>
      </c>
      <c r="K2231" t="s">
        <v>1562</v>
      </c>
      <c r="L2231" t="s">
        <v>1562</v>
      </c>
    </row>
    <row r="2232" spans="1:12" x14ac:dyDescent="0.3">
      <c r="A2232" t="s">
        <v>2600</v>
      </c>
      <c r="B2232" t="s">
        <v>1501</v>
      </c>
      <c r="C2232" t="s">
        <v>750</v>
      </c>
      <c r="D2232" t="s">
        <v>1673</v>
      </c>
      <c r="E2232" t="s">
        <v>567</v>
      </c>
      <c r="F2232" t="s">
        <v>153</v>
      </c>
      <c r="G2232" t="s">
        <v>111</v>
      </c>
      <c r="H2232" t="s">
        <v>182</v>
      </c>
      <c r="I2232" t="s">
        <v>112</v>
      </c>
      <c r="J2232" t="s">
        <v>183</v>
      </c>
      <c r="K2232" t="s">
        <v>1577</v>
      </c>
      <c r="L2232" t="s">
        <v>1577</v>
      </c>
    </row>
    <row r="2233" spans="1:12" x14ac:dyDescent="0.3">
      <c r="A2233" t="s">
        <v>2600</v>
      </c>
      <c r="B2233" t="s">
        <v>1501</v>
      </c>
      <c r="C2233" t="s">
        <v>750</v>
      </c>
      <c r="D2233" t="s">
        <v>1674</v>
      </c>
      <c r="E2233" t="s">
        <v>567</v>
      </c>
      <c r="F2233" t="s">
        <v>55</v>
      </c>
      <c r="G2233" t="s">
        <v>111</v>
      </c>
      <c r="H2233" t="s">
        <v>703</v>
      </c>
      <c r="I2233" t="s">
        <v>112</v>
      </c>
      <c r="J2233" t="s">
        <v>702</v>
      </c>
      <c r="K2233" t="s">
        <v>2831</v>
      </c>
      <c r="L2233" t="s">
        <v>2831</v>
      </c>
    </row>
    <row r="2234" spans="1:12" x14ac:dyDescent="0.3">
      <c r="A2234" t="s">
        <v>2600</v>
      </c>
      <c r="B2234" t="s">
        <v>1501</v>
      </c>
      <c r="C2234" t="s">
        <v>750</v>
      </c>
      <c r="D2234" t="s">
        <v>1675</v>
      </c>
      <c r="E2234" t="s">
        <v>567</v>
      </c>
      <c r="F2234" t="s">
        <v>197</v>
      </c>
      <c r="G2234" t="s">
        <v>111</v>
      </c>
      <c r="H2234" t="s">
        <v>703</v>
      </c>
      <c r="I2234" t="s">
        <v>112</v>
      </c>
      <c r="J2234" t="s">
        <v>702</v>
      </c>
      <c r="K2234" t="s">
        <v>2809</v>
      </c>
      <c r="L2234" t="s">
        <v>2809</v>
      </c>
    </row>
    <row r="2235" spans="1:12" x14ac:dyDescent="0.3">
      <c r="A2235" t="s">
        <v>2600</v>
      </c>
      <c r="B2235" t="s">
        <v>1501</v>
      </c>
      <c r="C2235" t="s">
        <v>750</v>
      </c>
      <c r="D2235" t="s">
        <v>1677</v>
      </c>
      <c r="E2235" t="s">
        <v>567</v>
      </c>
      <c r="F2235" t="s">
        <v>156</v>
      </c>
      <c r="G2235" t="s">
        <v>111</v>
      </c>
      <c r="H2235" t="s">
        <v>182</v>
      </c>
      <c r="I2235" t="s">
        <v>112</v>
      </c>
      <c r="J2235" t="s">
        <v>183</v>
      </c>
      <c r="K2235" t="s">
        <v>1541</v>
      </c>
      <c r="L2235" t="s">
        <v>1541</v>
      </c>
    </row>
    <row r="2236" spans="1:12" x14ac:dyDescent="0.3">
      <c r="A2236" t="s">
        <v>2600</v>
      </c>
      <c r="B2236" t="s">
        <v>1501</v>
      </c>
      <c r="C2236" t="s">
        <v>750</v>
      </c>
      <c r="D2236" t="s">
        <v>1678</v>
      </c>
      <c r="E2236" t="s">
        <v>567</v>
      </c>
      <c r="F2236" t="s">
        <v>103</v>
      </c>
      <c r="G2236" t="s">
        <v>111</v>
      </c>
      <c r="H2236" t="s">
        <v>703</v>
      </c>
      <c r="I2236" t="s">
        <v>112</v>
      </c>
      <c r="J2236" t="s">
        <v>702</v>
      </c>
      <c r="K2236" t="s">
        <v>2812</v>
      </c>
      <c r="L2236" t="s">
        <v>2812</v>
      </c>
    </row>
    <row r="2237" spans="1:12" x14ac:dyDescent="0.3">
      <c r="A2237" t="s">
        <v>2600</v>
      </c>
      <c r="B2237" t="s">
        <v>1501</v>
      </c>
      <c r="C2237" t="s">
        <v>750</v>
      </c>
      <c r="D2237" t="s">
        <v>1679</v>
      </c>
      <c r="E2237" t="s">
        <v>567</v>
      </c>
      <c r="F2237" t="s">
        <v>198</v>
      </c>
      <c r="G2237" t="s">
        <v>111</v>
      </c>
      <c r="H2237" t="s">
        <v>703</v>
      </c>
      <c r="I2237" t="s">
        <v>112</v>
      </c>
      <c r="J2237" t="s">
        <v>702</v>
      </c>
      <c r="K2237" t="s">
        <v>1535</v>
      </c>
      <c r="L2237" t="s">
        <v>1535</v>
      </c>
    </row>
    <row r="2238" spans="1:12" x14ac:dyDescent="0.3">
      <c r="A2238" t="s">
        <v>2600</v>
      </c>
      <c r="B2238" t="s">
        <v>1501</v>
      </c>
      <c r="C2238" t="s">
        <v>750</v>
      </c>
      <c r="D2238" t="s">
        <v>1680</v>
      </c>
      <c r="E2238" t="s">
        <v>567</v>
      </c>
      <c r="F2238" t="s">
        <v>180</v>
      </c>
      <c r="G2238" t="s">
        <v>111</v>
      </c>
      <c r="H2238" t="s">
        <v>703</v>
      </c>
      <c r="I2238" t="s">
        <v>112</v>
      </c>
      <c r="J2238" t="s">
        <v>702</v>
      </c>
      <c r="K2238" t="s">
        <v>1635</v>
      </c>
      <c r="L2238" t="s">
        <v>1635</v>
      </c>
    </row>
    <row r="2239" spans="1:12" x14ac:dyDescent="0.3">
      <c r="A2239" t="s">
        <v>2600</v>
      </c>
      <c r="B2239" t="s">
        <v>1501</v>
      </c>
      <c r="C2239" t="s">
        <v>750</v>
      </c>
      <c r="D2239" t="s">
        <v>1681</v>
      </c>
      <c r="E2239" t="s">
        <v>567</v>
      </c>
      <c r="F2239" t="s">
        <v>158</v>
      </c>
      <c r="G2239" t="s">
        <v>111</v>
      </c>
      <c r="H2239" t="s">
        <v>1539</v>
      </c>
      <c r="I2239" t="s">
        <v>112</v>
      </c>
      <c r="J2239" t="s">
        <v>704</v>
      </c>
    </row>
    <row r="2240" spans="1:12" x14ac:dyDescent="0.3">
      <c r="A2240" t="s">
        <v>2600</v>
      </c>
      <c r="B2240" t="s">
        <v>1501</v>
      </c>
      <c r="C2240" t="s">
        <v>750</v>
      </c>
      <c r="D2240" t="s">
        <v>1682</v>
      </c>
      <c r="E2240" t="s">
        <v>567</v>
      </c>
      <c r="F2240" t="s">
        <v>199</v>
      </c>
      <c r="G2240" t="s">
        <v>111</v>
      </c>
      <c r="H2240" t="s">
        <v>703</v>
      </c>
      <c r="I2240" t="s">
        <v>112</v>
      </c>
      <c r="J2240" t="s">
        <v>702</v>
      </c>
      <c r="K2240" t="s">
        <v>1551</v>
      </c>
      <c r="L2240" t="s">
        <v>1551</v>
      </c>
    </row>
    <row r="2241" spans="1:12" x14ac:dyDescent="0.3">
      <c r="A2241" t="s">
        <v>2600</v>
      </c>
      <c r="B2241" t="s">
        <v>1501</v>
      </c>
      <c r="C2241" t="s">
        <v>750</v>
      </c>
      <c r="D2241" t="s">
        <v>1683</v>
      </c>
      <c r="E2241" t="s">
        <v>567</v>
      </c>
      <c r="F2241" t="s">
        <v>159</v>
      </c>
      <c r="G2241" t="s">
        <v>111</v>
      </c>
      <c r="H2241" t="s">
        <v>1561</v>
      </c>
      <c r="I2241" t="s">
        <v>112</v>
      </c>
      <c r="J2241" t="s">
        <v>702</v>
      </c>
      <c r="K2241" t="s">
        <v>1551</v>
      </c>
      <c r="L2241" t="s">
        <v>1551</v>
      </c>
    </row>
    <row r="2242" spans="1:12" x14ac:dyDescent="0.3">
      <c r="A2242" t="s">
        <v>2600</v>
      </c>
      <c r="B2242" t="s">
        <v>1501</v>
      </c>
      <c r="C2242" t="s">
        <v>750</v>
      </c>
      <c r="D2242" t="s">
        <v>1684</v>
      </c>
      <c r="E2242" t="s">
        <v>567</v>
      </c>
      <c r="F2242" t="s">
        <v>47</v>
      </c>
      <c r="G2242" t="s">
        <v>111</v>
      </c>
      <c r="H2242" t="s">
        <v>1539</v>
      </c>
      <c r="I2242" t="s">
        <v>112</v>
      </c>
      <c r="J2242" t="s">
        <v>704</v>
      </c>
    </row>
    <row r="2243" spans="1:12" x14ac:dyDescent="0.3">
      <c r="A2243" t="s">
        <v>2600</v>
      </c>
      <c r="B2243" t="s">
        <v>1501</v>
      </c>
      <c r="C2243" t="s">
        <v>750</v>
      </c>
      <c r="D2243" t="s">
        <v>1687</v>
      </c>
      <c r="E2243" t="s">
        <v>567</v>
      </c>
      <c r="F2243" t="s">
        <v>181</v>
      </c>
      <c r="G2243" t="s">
        <v>111</v>
      </c>
      <c r="H2243" t="s">
        <v>703</v>
      </c>
      <c r="I2243" t="s">
        <v>112</v>
      </c>
      <c r="J2243" t="s">
        <v>702</v>
      </c>
      <c r="K2243" t="s">
        <v>1567</v>
      </c>
      <c r="L2243" t="s">
        <v>1567</v>
      </c>
    </row>
    <row r="2244" spans="1:12" x14ac:dyDescent="0.3">
      <c r="A2244" t="s">
        <v>2600</v>
      </c>
      <c r="B2244" t="s">
        <v>1501</v>
      </c>
      <c r="C2244" t="s">
        <v>750</v>
      </c>
      <c r="D2244" t="s">
        <v>1688</v>
      </c>
      <c r="E2244" t="s">
        <v>567</v>
      </c>
      <c r="F2244" t="s">
        <v>73</v>
      </c>
      <c r="G2244" t="s">
        <v>111</v>
      </c>
      <c r="H2244" t="s">
        <v>703</v>
      </c>
      <c r="I2244" t="s">
        <v>112</v>
      </c>
      <c r="J2244" t="s">
        <v>702</v>
      </c>
      <c r="K2244" t="s">
        <v>2818</v>
      </c>
      <c r="L2244" t="s">
        <v>2818</v>
      </c>
    </row>
    <row r="2245" spans="1:12" x14ac:dyDescent="0.3">
      <c r="A2245" t="s">
        <v>2600</v>
      </c>
      <c r="B2245" t="s">
        <v>1501</v>
      </c>
      <c r="C2245" t="s">
        <v>750</v>
      </c>
      <c r="D2245" t="s">
        <v>1689</v>
      </c>
      <c r="E2245" t="s">
        <v>567</v>
      </c>
      <c r="F2245" t="s">
        <v>162</v>
      </c>
      <c r="G2245" t="s">
        <v>111</v>
      </c>
      <c r="H2245" t="s">
        <v>1565</v>
      </c>
      <c r="I2245" t="s">
        <v>112</v>
      </c>
      <c r="J2245" t="s">
        <v>1566</v>
      </c>
    </row>
    <row r="2246" spans="1:12" x14ac:dyDescent="0.3">
      <c r="A2246" t="s">
        <v>2600</v>
      </c>
      <c r="B2246" t="s">
        <v>2699</v>
      </c>
      <c r="C2246" t="s">
        <v>750</v>
      </c>
      <c r="D2246" t="s">
        <v>303</v>
      </c>
      <c r="E2246" t="s">
        <v>569</v>
      </c>
      <c r="F2246" t="s">
        <v>49</v>
      </c>
      <c r="G2246" t="s">
        <v>111</v>
      </c>
      <c r="H2246" t="s">
        <v>703</v>
      </c>
      <c r="I2246" t="s">
        <v>112</v>
      </c>
      <c r="J2246" t="s">
        <v>702</v>
      </c>
      <c r="K2246" t="s">
        <v>2838</v>
      </c>
      <c r="L2246" t="s">
        <v>2838</v>
      </c>
    </row>
    <row r="2247" spans="1:12" x14ac:dyDescent="0.3">
      <c r="A2247" t="s">
        <v>2600</v>
      </c>
      <c r="B2247" t="s">
        <v>2699</v>
      </c>
      <c r="C2247" t="s">
        <v>750</v>
      </c>
      <c r="D2247" t="s">
        <v>209</v>
      </c>
      <c r="E2247" t="s">
        <v>569</v>
      </c>
      <c r="F2247" t="s">
        <v>115</v>
      </c>
      <c r="G2247" t="s">
        <v>111</v>
      </c>
      <c r="H2247" t="s">
        <v>703</v>
      </c>
      <c r="I2247" t="s">
        <v>112</v>
      </c>
      <c r="J2247" t="s">
        <v>702</v>
      </c>
      <c r="K2247" t="s">
        <v>2839</v>
      </c>
      <c r="L2247" t="s">
        <v>2839</v>
      </c>
    </row>
    <row r="2248" spans="1:12" x14ac:dyDescent="0.3">
      <c r="A2248" t="s">
        <v>2600</v>
      </c>
      <c r="B2248" t="s">
        <v>2699</v>
      </c>
      <c r="C2248" t="s">
        <v>750</v>
      </c>
      <c r="D2248" t="s">
        <v>210</v>
      </c>
      <c r="E2248" t="s">
        <v>569</v>
      </c>
      <c r="F2248" t="s">
        <v>59</v>
      </c>
      <c r="G2248" t="s">
        <v>111</v>
      </c>
      <c r="H2248" t="s">
        <v>1539</v>
      </c>
      <c r="I2248" t="s">
        <v>112</v>
      </c>
      <c r="J2248" t="s">
        <v>704</v>
      </c>
    </row>
    <row r="2249" spans="1:12" x14ac:dyDescent="0.3">
      <c r="A2249" t="s">
        <v>2600</v>
      </c>
      <c r="B2249" t="s">
        <v>2699</v>
      </c>
      <c r="C2249" t="s">
        <v>750</v>
      </c>
      <c r="D2249" t="s">
        <v>304</v>
      </c>
      <c r="E2249" t="s">
        <v>569</v>
      </c>
      <c r="F2249" t="s">
        <v>117</v>
      </c>
      <c r="G2249" t="s">
        <v>111</v>
      </c>
      <c r="H2249" t="s">
        <v>703</v>
      </c>
      <c r="I2249" t="s">
        <v>112</v>
      </c>
      <c r="J2249" t="s">
        <v>702</v>
      </c>
      <c r="K2249" t="s">
        <v>2840</v>
      </c>
      <c r="L2249" t="s">
        <v>2840</v>
      </c>
    </row>
    <row r="2250" spans="1:12" x14ac:dyDescent="0.3">
      <c r="A2250" t="s">
        <v>2600</v>
      </c>
      <c r="B2250" t="s">
        <v>2699</v>
      </c>
      <c r="C2250" t="s">
        <v>750</v>
      </c>
      <c r="D2250" t="s">
        <v>211</v>
      </c>
      <c r="E2250" t="s">
        <v>569</v>
      </c>
      <c r="F2250" t="s">
        <v>188</v>
      </c>
      <c r="G2250" t="s">
        <v>111</v>
      </c>
      <c r="H2250" t="s">
        <v>703</v>
      </c>
      <c r="I2250" t="s">
        <v>112</v>
      </c>
      <c r="J2250" t="s">
        <v>702</v>
      </c>
      <c r="K2250" t="s">
        <v>2841</v>
      </c>
      <c r="L2250" t="s">
        <v>2841</v>
      </c>
    </row>
    <row r="2251" spans="1:12" x14ac:dyDescent="0.3">
      <c r="A2251" t="s">
        <v>2600</v>
      </c>
      <c r="B2251" t="s">
        <v>2699</v>
      </c>
      <c r="C2251" t="s">
        <v>750</v>
      </c>
      <c r="D2251" t="s">
        <v>305</v>
      </c>
      <c r="E2251" t="s">
        <v>569</v>
      </c>
      <c r="F2251" t="s">
        <v>120</v>
      </c>
      <c r="G2251" t="s">
        <v>111</v>
      </c>
      <c r="H2251" t="s">
        <v>703</v>
      </c>
      <c r="I2251" t="s">
        <v>112</v>
      </c>
      <c r="J2251" t="s">
        <v>702</v>
      </c>
      <c r="K2251" t="s">
        <v>2841</v>
      </c>
      <c r="L2251" t="s">
        <v>2841</v>
      </c>
    </row>
    <row r="2252" spans="1:12" x14ac:dyDescent="0.3">
      <c r="A2252" t="s">
        <v>2600</v>
      </c>
      <c r="B2252" t="s">
        <v>2699</v>
      </c>
      <c r="C2252" t="s">
        <v>750</v>
      </c>
      <c r="D2252" t="s">
        <v>212</v>
      </c>
      <c r="E2252" t="s">
        <v>569</v>
      </c>
      <c r="F2252" t="s">
        <v>164</v>
      </c>
      <c r="G2252" t="s">
        <v>111</v>
      </c>
      <c r="H2252" t="s">
        <v>703</v>
      </c>
      <c r="I2252" t="s">
        <v>112</v>
      </c>
      <c r="J2252" t="s">
        <v>702</v>
      </c>
      <c r="K2252" t="s">
        <v>2842</v>
      </c>
      <c r="L2252" t="s">
        <v>2842</v>
      </c>
    </row>
    <row r="2253" spans="1:12" x14ac:dyDescent="0.3">
      <c r="A2253" t="s">
        <v>2600</v>
      </c>
      <c r="B2253" t="s">
        <v>2699</v>
      </c>
      <c r="C2253" t="s">
        <v>750</v>
      </c>
      <c r="D2253" t="s">
        <v>213</v>
      </c>
      <c r="E2253" t="s">
        <v>569</v>
      </c>
      <c r="F2253" t="s">
        <v>53</v>
      </c>
      <c r="G2253" t="s">
        <v>111</v>
      </c>
      <c r="H2253" t="s">
        <v>701</v>
      </c>
      <c r="I2253" t="s">
        <v>112</v>
      </c>
      <c r="J2253" t="s">
        <v>702</v>
      </c>
      <c r="K2253" t="s">
        <v>2843</v>
      </c>
      <c r="L2253" t="s">
        <v>2843</v>
      </c>
    </row>
    <row r="2254" spans="1:12" x14ac:dyDescent="0.3">
      <c r="A2254" t="s">
        <v>2600</v>
      </c>
      <c r="B2254" t="s">
        <v>2699</v>
      </c>
      <c r="C2254" t="s">
        <v>750</v>
      </c>
      <c r="D2254" t="s">
        <v>214</v>
      </c>
      <c r="E2254" t="s">
        <v>569</v>
      </c>
      <c r="F2254" t="s">
        <v>56</v>
      </c>
      <c r="G2254" t="s">
        <v>111</v>
      </c>
      <c r="H2254" t="s">
        <v>703</v>
      </c>
      <c r="I2254" t="s">
        <v>112</v>
      </c>
      <c r="J2254" t="s">
        <v>702</v>
      </c>
      <c r="K2254" t="s">
        <v>2841</v>
      </c>
      <c r="L2254" t="s">
        <v>2841</v>
      </c>
    </row>
    <row r="2255" spans="1:12" x14ac:dyDescent="0.3">
      <c r="A2255" t="s">
        <v>2600</v>
      </c>
      <c r="B2255" t="s">
        <v>2699</v>
      </c>
      <c r="C2255" t="s">
        <v>750</v>
      </c>
      <c r="D2255" t="s">
        <v>215</v>
      </c>
      <c r="E2255" t="s">
        <v>569</v>
      </c>
      <c r="F2255" t="s">
        <v>69</v>
      </c>
      <c r="G2255" t="s">
        <v>111</v>
      </c>
      <c r="H2255" t="s">
        <v>703</v>
      </c>
      <c r="I2255" t="s">
        <v>112</v>
      </c>
      <c r="J2255" t="s">
        <v>702</v>
      </c>
      <c r="K2255" t="s">
        <v>2844</v>
      </c>
      <c r="L2255" t="s">
        <v>2844</v>
      </c>
    </row>
    <row r="2256" spans="1:12" x14ac:dyDescent="0.3">
      <c r="A2256" t="s">
        <v>2600</v>
      </c>
      <c r="B2256" t="s">
        <v>2699</v>
      </c>
      <c r="C2256" t="s">
        <v>750</v>
      </c>
      <c r="D2256" t="s">
        <v>217</v>
      </c>
      <c r="E2256" t="s">
        <v>569</v>
      </c>
      <c r="F2256" t="s">
        <v>122</v>
      </c>
      <c r="G2256" t="s">
        <v>111</v>
      </c>
      <c r="H2256" t="s">
        <v>703</v>
      </c>
      <c r="I2256" t="s">
        <v>112</v>
      </c>
      <c r="J2256" t="s">
        <v>702</v>
      </c>
      <c r="K2256" t="s">
        <v>2845</v>
      </c>
      <c r="L2256" t="s">
        <v>2845</v>
      </c>
    </row>
    <row r="2257" spans="1:12" x14ac:dyDescent="0.3">
      <c r="A2257" t="s">
        <v>2600</v>
      </c>
      <c r="B2257" t="s">
        <v>2699</v>
      </c>
      <c r="C2257" t="s">
        <v>750</v>
      </c>
      <c r="D2257" t="s">
        <v>306</v>
      </c>
      <c r="E2257" t="s">
        <v>569</v>
      </c>
      <c r="F2257" t="s">
        <v>165</v>
      </c>
      <c r="G2257" t="s">
        <v>111</v>
      </c>
      <c r="H2257" t="s">
        <v>703</v>
      </c>
      <c r="I2257" t="s">
        <v>112</v>
      </c>
      <c r="J2257" t="s">
        <v>702</v>
      </c>
      <c r="K2257" t="s">
        <v>2846</v>
      </c>
      <c r="L2257" t="s">
        <v>2846</v>
      </c>
    </row>
    <row r="2258" spans="1:12" x14ac:dyDescent="0.3">
      <c r="A2258" t="s">
        <v>2600</v>
      </c>
      <c r="B2258" t="s">
        <v>2699</v>
      </c>
      <c r="C2258" t="s">
        <v>750</v>
      </c>
      <c r="D2258" t="s">
        <v>218</v>
      </c>
      <c r="E2258" t="s">
        <v>569</v>
      </c>
      <c r="F2258" t="s">
        <v>166</v>
      </c>
      <c r="G2258" t="s">
        <v>111</v>
      </c>
      <c r="H2258" t="s">
        <v>703</v>
      </c>
      <c r="I2258" t="s">
        <v>112</v>
      </c>
      <c r="J2258" t="s">
        <v>702</v>
      </c>
      <c r="K2258" t="s">
        <v>2847</v>
      </c>
      <c r="L2258" t="s">
        <v>2847</v>
      </c>
    </row>
    <row r="2259" spans="1:12" x14ac:dyDescent="0.3">
      <c r="A2259" t="s">
        <v>2600</v>
      </c>
      <c r="B2259" t="s">
        <v>2699</v>
      </c>
      <c r="C2259" t="s">
        <v>750</v>
      </c>
      <c r="D2259" t="s">
        <v>219</v>
      </c>
      <c r="E2259" t="s">
        <v>569</v>
      </c>
      <c r="F2259" t="s">
        <v>189</v>
      </c>
      <c r="G2259" t="s">
        <v>111</v>
      </c>
      <c r="H2259" t="s">
        <v>703</v>
      </c>
      <c r="I2259" t="s">
        <v>112</v>
      </c>
      <c r="J2259" t="s">
        <v>702</v>
      </c>
      <c r="K2259" t="s">
        <v>2848</v>
      </c>
      <c r="L2259" t="s">
        <v>2848</v>
      </c>
    </row>
    <row r="2260" spans="1:12" x14ac:dyDescent="0.3">
      <c r="A2260" t="s">
        <v>2600</v>
      </c>
      <c r="B2260" t="s">
        <v>2699</v>
      </c>
      <c r="C2260" t="s">
        <v>750</v>
      </c>
      <c r="D2260" t="s">
        <v>221</v>
      </c>
      <c r="E2260" t="s">
        <v>569</v>
      </c>
      <c r="F2260" t="s">
        <v>45</v>
      </c>
      <c r="G2260" t="s">
        <v>111</v>
      </c>
      <c r="H2260" t="s">
        <v>703</v>
      </c>
      <c r="I2260" t="s">
        <v>112</v>
      </c>
      <c r="J2260" t="s">
        <v>702</v>
      </c>
      <c r="K2260" t="s">
        <v>2846</v>
      </c>
      <c r="L2260" t="s">
        <v>2846</v>
      </c>
    </row>
    <row r="2261" spans="1:12" x14ac:dyDescent="0.3">
      <c r="A2261" t="s">
        <v>2600</v>
      </c>
      <c r="B2261" t="s">
        <v>2699</v>
      </c>
      <c r="C2261" t="s">
        <v>750</v>
      </c>
      <c r="D2261" t="s">
        <v>308</v>
      </c>
      <c r="E2261" t="s">
        <v>569</v>
      </c>
      <c r="F2261" t="s">
        <v>190</v>
      </c>
      <c r="G2261" t="s">
        <v>111</v>
      </c>
      <c r="H2261" t="s">
        <v>703</v>
      </c>
      <c r="I2261" t="s">
        <v>112</v>
      </c>
      <c r="J2261" t="s">
        <v>702</v>
      </c>
      <c r="K2261" t="s">
        <v>2840</v>
      </c>
      <c r="L2261" t="s">
        <v>2840</v>
      </c>
    </row>
    <row r="2262" spans="1:12" x14ac:dyDescent="0.3">
      <c r="A2262" t="s">
        <v>2600</v>
      </c>
      <c r="B2262" t="s">
        <v>2699</v>
      </c>
      <c r="C2262" t="s">
        <v>750</v>
      </c>
      <c r="D2262" t="s">
        <v>222</v>
      </c>
      <c r="E2262" t="s">
        <v>569</v>
      </c>
      <c r="F2262" t="s">
        <v>124</v>
      </c>
      <c r="G2262" t="s">
        <v>111</v>
      </c>
      <c r="H2262" t="s">
        <v>703</v>
      </c>
      <c r="I2262" t="s">
        <v>112</v>
      </c>
      <c r="J2262" t="s">
        <v>702</v>
      </c>
      <c r="K2262" t="s">
        <v>2840</v>
      </c>
      <c r="L2262" t="s">
        <v>2840</v>
      </c>
    </row>
    <row r="2263" spans="1:12" x14ac:dyDescent="0.3">
      <c r="A2263" t="s">
        <v>2600</v>
      </c>
      <c r="B2263" t="s">
        <v>2699</v>
      </c>
      <c r="C2263" t="s">
        <v>750</v>
      </c>
      <c r="D2263" t="s">
        <v>309</v>
      </c>
      <c r="E2263" t="s">
        <v>569</v>
      </c>
      <c r="F2263" t="s">
        <v>58</v>
      </c>
      <c r="G2263" t="s">
        <v>111</v>
      </c>
      <c r="H2263" t="s">
        <v>703</v>
      </c>
      <c r="I2263" t="s">
        <v>112</v>
      </c>
      <c r="J2263" t="s">
        <v>702</v>
      </c>
      <c r="K2263" t="s">
        <v>2849</v>
      </c>
      <c r="L2263" t="s">
        <v>2849</v>
      </c>
    </row>
    <row r="2264" spans="1:12" x14ac:dyDescent="0.3">
      <c r="A2264" t="s">
        <v>2600</v>
      </c>
      <c r="B2264" t="s">
        <v>2699</v>
      </c>
      <c r="C2264" t="s">
        <v>750</v>
      </c>
      <c r="D2264" t="s">
        <v>2808</v>
      </c>
      <c r="E2264" t="s">
        <v>569</v>
      </c>
      <c r="F2264" t="s">
        <v>191</v>
      </c>
      <c r="G2264" t="s">
        <v>111</v>
      </c>
      <c r="H2264" t="s">
        <v>703</v>
      </c>
      <c r="I2264" t="s">
        <v>112</v>
      </c>
      <c r="J2264" t="s">
        <v>702</v>
      </c>
      <c r="K2264" t="s">
        <v>2850</v>
      </c>
      <c r="L2264" t="s">
        <v>2850</v>
      </c>
    </row>
    <row r="2265" spans="1:12" x14ac:dyDescent="0.3">
      <c r="A2265" t="s">
        <v>2600</v>
      </c>
      <c r="B2265" t="s">
        <v>2699</v>
      </c>
      <c r="C2265" t="s">
        <v>750</v>
      </c>
      <c r="D2265" t="s">
        <v>224</v>
      </c>
      <c r="E2265" t="s">
        <v>569</v>
      </c>
      <c r="F2265" t="s">
        <v>125</v>
      </c>
      <c r="G2265" t="s">
        <v>111</v>
      </c>
      <c r="H2265" t="s">
        <v>1565</v>
      </c>
      <c r="I2265" t="s">
        <v>112</v>
      </c>
      <c r="J2265" t="s">
        <v>1566</v>
      </c>
    </row>
    <row r="2266" spans="1:12" x14ac:dyDescent="0.3">
      <c r="A2266" t="s">
        <v>2600</v>
      </c>
      <c r="B2266" t="s">
        <v>2699</v>
      </c>
      <c r="C2266" t="s">
        <v>750</v>
      </c>
      <c r="D2266" t="s">
        <v>225</v>
      </c>
      <c r="E2266" t="s">
        <v>569</v>
      </c>
      <c r="F2266" t="s">
        <v>126</v>
      </c>
      <c r="G2266" t="s">
        <v>111</v>
      </c>
      <c r="H2266" t="s">
        <v>1539</v>
      </c>
      <c r="I2266" t="s">
        <v>112</v>
      </c>
      <c r="J2266" t="s">
        <v>704</v>
      </c>
    </row>
    <row r="2267" spans="1:12" x14ac:dyDescent="0.3">
      <c r="A2267" t="s">
        <v>2600</v>
      </c>
      <c r="B2267" t="s">
        <v>2699</v>
      </c>
      <c r="C2267" t="s">
        <v>750</v>
      </c>
      <c r="D2267" t="s">
        <v>227</v>
      </c>
      <c r="E2267" t="s">
        <v>569</v>
      </c>
      <c r="F2267" t="s">
        <v>192</v>
      </c>
      <c r="G2267" t="s">
        <v>111</v>
      </c>
      <c r="H2267" t="s">
        <v>703</v>
      </c>
      <c r="I2267" t="s">
        <v>112</v>
      </c>
      <c r="J2267" t="s">
        <v>702</v>
      </c>
      <c r="K2267" t="s">
        <v>2842</v>
      </c>
      <c r="L2267" t="s">
        <v>2842</v>
      </c>
    </row>
    <row r="2268" spans="1:12" x14ac:dyDescent="0.3">
      <c r="A2268" t="s">
        <v>2600</v>
      </c>
      <c r="B2268" t="s">
        <v>2699</v>
      </c>
      <c r="C2268" t="s">
        <v>750</v>
      </c>
      <c r="D2268" t="s">
        <v>228</v>
      </c>
      <c r="E2268" t="s">
        <v>569</v>
      </c>
      <c r="F2268" t="s">
        <v>167</v>
      </c>
      <c r="G2268" t="s">
        <v>111</v>
      </c>
      <c r="H2268" t="s">
        <v>1539</v>
      </c>
      <c r="I2268" t="s">
        <v>112</v>
      </c>
      <c r="J2268" t="s">
        <v>704</v>
      </c>
      <c r="K2268" t="s">
        <v>2851</v>
      </c>
      <c r="L2268" t="s">
        <v>2851</v>
      </c>
    </row>
    <row r="2269" spans="1:12" x14ac:dyDescent="0.3">
      <c r="A2269" t="s">
        <v>2600</v>
      </c>
      <c r="B2269" t="s">
        <v>2699</v>
      </c>
      <c r="C2269" t="s">
        <v>750</v>
      </c>
      <c r="D2269" t="s">
        <v>229</v>
      </c>
      <c r="E2269" t="s">
        <v>569</v>
      </c>
      <c r="F2269" t="s">
        <v>127</v>
      </c>
      <c r="G2269" t="s">
        <v>111</v>
      </c>
      <c r="H2269" t="s">
        <v>703</v>
      </c>
      <c r="I2269" t="s">
        <v>112</v>
      </c>
      <c r="J2269" t="s">
        <v>702</v>
      </c>
      <c r="K2269" t="s">
        <v>2852</v>
      </c>
      <c r="L2269" t="s">
        <v>2852</v>
      </c>
    </row>
    <row r="2270" spans="1:12" x14ac:dyDescent="0.3">
      <c r="A2270" t="s">
        <v>2600</v>
      </c>
      <c r="B2270" t="s">
        <v>2699</v>
      </c>
      <c r="C2270" t="s">
        <v>750</v>
      </c>
      <c r="D2270" t="s">
        <v>310</v>
      </c>
      <c r="E2270" t="s">
        <v>569</v>
      </c>
      <c r="F2270" t="s">
        <v>128</v>
      </c>
      <c r="G2270" t="s">
        <v>111</v>
      </c>
      <c r="H2270" t="s">
        <v>703</v>
      </c>
      <c r="I2270" t="s">
        <v>112</v>
      </c>
      <c r="J2270" t="s">
        <v>702</v>
      </c>
      <c r="K2270" t="s">
        <v>2853</v>
      </c>
      <c r="L2270" t="s">
        <v>2853</v>
      </c>
    </row>
    <row r="2271" spans="1:12" x14ac:dyDescent="0.3">
      <c r="A2271" t="s">
        <v>2600</v>
      </c>
      <c r="B2271" t="s">
        <v>2699</v>
      </c>
      <c r="C2271" t="s">
        <v>750</v>
      </c>
      <c r="D2271" t="s">
        <v>231</v>
      </c>
      <c r="E2271" t="s">
        <v>569</v>
      </c>
      <c r="F2271" t="s">
        <v>66</v>
      </c>
      <c r="G2271" t="s">
        <v>111</v>
      </c>
      <c r="H2271" t="s">
        <v>703</v>
      </c>
      <c r="I2271" t="s">
        <v>112</v>
      </c>
      <c r="J2271" t="s">
        <v>702</v>
      </c>
      <c r="K2271" t="s">
        <v>2854</v>
      </c>
      <c r="L2271" t="s">
        <v>2854</v>
      </c>
    </row>
    <row r="2272" spans="1:12" x14ac:dyDescent="0.3">
      <c r="A2272" t="s">
        <v>2600</v>
      </c>
      <c r="B2272" t="s">
        <v>2699</v>
      </c>
      <c r="C2272" t="s">
        <v>750</v>
      </c>
      <c r="D2272" t="s">
        <v>232</v>
      </c>
      <c r="E2272" t="s">
        <v>569</v>
      </c>
      <c r="F2272" t="s">
        <v>169</v>
      </c>
      <c r="G2272" t="s">
        <v>111</v>
      </c>
      <c r="H2272" t="s">
        <v>703</v>
      </c>
      <c r="I2272" t="s">
        <v>112</v>
      </c>
      <c r="J2272" t="s">
        <v>702</v>
      </c>
      <c r="K2272" t="s">
        <v>2849</v>
      </c>
      <c r="L2272" t="s">
        <v>2849</v>
      </c>
    </row>
    <row r="2273" spans="1:12" x14ac:dyDescent="0.3">
      <c r="A2273" t="s">
        <v>2600</v>
      </c>
      <c r="B2273" t="s">
        <v>2699</v>
      </c>
      <c r="C2273" t="s">
        <v>750</v>
      </c>
      <c r="D2273" t="s">
        <v>234</v>
      </c>
      <c r="E2273" t="s">
        <v>569</v>
      </c>
      <c r="F2273" t="s">
        <v>93</v>
      </c>
      <c r="G2273" t="s">
        <v>111</v>
      </c>
      <c r="H2273" t="s">
        <v>1539</v>
      </c>
      <c r="I2273" t="s">
        <v>112</v>
      </c>
      <c r="J2273" t="s">
        <v>704</v>
      </c>
      <c r="K2273" t="s">
        <v>2855</v>
      </c>
      <c r="L2273" t="s">
        <v>2855</v>
      </c>
    </row>
    <row r="2274" spans="1:12" x14ac:dyDescent="0.3">
      <c r="A2274" t="s">
        <v>2600</v>
      </c>
      <c r="B2274" t="s">
        <v>2699</v>
      </c>
      <c r="C2274" t="s">
        <v>750</v>
      </c>
      <c r="D2274" t="s">
        <v>312</v>
      </c>
      <c r="E2274" t="s">
        <v>569</v>
      </c>
      <c r="F2274" t="s">
        <v>129</v>
      </c>
      <c r="G2274" t="s">
        <v>111</v>
      </c>
      <c r="H2274" t="s">
        <v>703</v>
      </c>
      <c r="I2274" t="s">
        <v>112</v>
      </c>
      <c r="J2274" t="s">
        <v>702</v>
      </c>
      <c r="K2274" t="s">
        <v>2856</v>
      </c>
      <c r="L2274" t="s">
        <v>2856</v>
      </c>
    </row>
    <row r="2275" spans="1:12" x14ac:dyDescent="0.3">
      <c r="A2275" t="s">
        <v>2600</v>
      </c>
      <c r="B2275" t="s">
        <v>2699</v>
      </c>
      <c r="C2275" t="s">
        <v>750</v>
      </c>
      <c r="D2275" t="s">
        <v>235</v>
      </c>
      <c r="E2275" t="s">
        <v>569</v>
      </c>
      <c r="F2275" t="s">
        <v>85</v>
      </c>
      <c r="G2275" t="s">
        <v>111</v>
      </c>
      <c r="H2275" t="s">
        <v>703</v>
      </c>
      <c r="I2275" t="s">
        <v>112</v>
      </c>
      <c r="J2275" t="s">
        <v>702</v>
      </c>
      <c r="K2275" t="s">
        <v>2857</v>
      </c>
      <c r="L2275" t="s">
        <v>2857</v>
      </c>
    </row>
    <row r="2276" spans="1:12" x14ac:dyDescent="0.3">
      <c r="A2276" t="s">
        <v>2600</v>
      </c>
      <c r="B2276" t="s">
        <v>2699</v>
      </c>
      <c r="C2276" t="s">
        <v>750</v>
      </c>
      <c r="D2276" t="s">
        <v>314</v>
      </c>
      <c r="E2276" t="s">
        <v>569</v>
      </c>
      <c r="F2276" t="s">
        <v>61</v>
      </c>
      <c r="G2276" t="s">
        <v>111</v>
      </c>
      <c r="H2276" t="s">
        <v>1539</v>
      </c>
      <c r="I2276" t="s">
        <v>112</v>
      </c>
      <c r="J2276" t="s">
        <v>704</v>
      </c>
    </row>
    <row r="2277" spans="1:12" x14ac:dyDescent="0.3">
      <c r="A2277" t="s">
        <v>2600</v>
      </c>
      <c r="B2277" t="s">
        <v>2699</v>
      </c>
      <c r="C2277" t="s">
        <v>750</v>
      </c>
      <c r="D2277" t="s">
        <v>239</v>
      </c>
      <c r="E2277" t="s">
        <v>569</v>
      </c>
      <c r="F2277" t="s">
        <v>50</v>
      </c>
      <c r="G2277" t="s">
        <v>111</v>
      </c>
      <c r="H2277" t="s">
        <v>703</v>
      </c>
      <c r="I2277" t="s">
        <v>112</v>
      </c>
      <c r="J2277" t="s">
        <v>702</v>
      </c>
      <c r="K2277" t="s">
        <v>2858</v>
      </c>
      <c r="L2277" t="s">
        <v>2858</v>
      </c>
    </row>
    <row r="2278" spans="1:12" x14ac:dyDescent="0.3">
      <c r="A2278" t="s">
        <v>2600</v>
      </c>
      <c r="B2278" t="s">
        <v>2699</v>
      </c>
      <c r="C2278" t="s">
        <v>750</v>
      </c>
      <c r="D2278" t="s">
        <v>315</v>
      </c>
      <c r="E2278" t="s">
        <v>568</v>
      </c>
      <c r="F2278" t="s">
        <v>79</v>
      </c>
      <c r="G2278" t="s">
        <v>111</v>
      </c>
      <c r="H2278" t="s">
        <v>1539</v>
      </c>
      <c r="I2278" t="s">
        <v>112</v>
      </c>
      <c r="J2278" t="s">
        <v>704</v>
      </c>
    </row>
    <row r="2279" spans="1:12" x14ac:dyDescent="0.3">
      <c r="A2279" t="s">
        <v>2600</v>
      </c>
      <c r="B2279" t="s">
        <v>2699</v>
      </c>
      <c r="C2279" t="s">
        <v>750</v>
      </c>
      <c r="D2279" t="s">
        <v>316</v>
      </c>
      <c r="E2279" t="s">
        <v>568</v>
      </c>
      <c r="F2279" t="s">
        <v>132</v>
      </c>
      <c r="G2279" t="s">
        <v>111</v>
      </c>
      <c r="H2279" t="s">
        <v>1539</v>
      </c>
      <c r="I2279" t="s">
        <v>112</v>
      </c>
      <c r="J2279" t="s">
        <v>704</v>
      </c>
    </row>
    <row r="2280" spans="1:12" x14ac:dyDescent="0.3">
      <c r="A2280" t="s">
        <v>2600</v>
      </c>
      <c r="B2280" t="s">
        <v>2699</v>
      </c>
      <c r="C2280" t="s">
        <v>750</v>
      </c>
      <c r="D2280" t="s">
        <v>317</v>
      </c>
      <c r="E2280" t="s">
        <v>568</v>
      </c>
      <c r="F2280" t="s">
        <v>133</v>
      </c>
      <c r="G2280" t="s">
        <v>111</v>
      </c>
      <c r="H2280" t="s">
        <v>1561</v>
      </c>
      <c r="I2280" t="s">
        <v>112</v>
      </c>
      <c r="J2280" t="s">
        <v>702</v>
      </c>
    </row>
    <row r="2281" spans="1:12" x14ac:dyDescent="0.3">
      <c r="A2281" t="s">
        <v>2600</v>
      </c>
      <c r="B2281" t="s">
        <v>2699</v>
      </c>
      <c r="C2281" t="s">
        <v>750</v>
      </c>
      <c r="D2281" t="s">
        <v>318</v>
      </c>
      <c r="E2281" t="s">
        <v>568</v>
      </c>
      <c r="F2281" t="s">
        <v>193</v>
      </c>
      <c r="G2281" t="s">
        <v>111</v>
      </c>
      <c r="H2281" t="s">
        <v>1539</v>
      </c>
      <c r="I2281" t="s">
        <v>112</v>
      </c>
      <c r="J2281" t="s">
        <v>704</v>
      </c>
      <c r="K2281" t="s">
        <v>2851</v>
      </c>
      <c r="L2281" t="s">
        <v>2851</v>
      </c>
    </row>
    <row r="2282" spans="1:12" x14ac:dyDescent="0.3">
      <c r="A2282" t="s">
        <v>2600</v>
      </c>
      <c r="B2282" t="s">
        <v>2699</v>
      </c>
      <c r="C2282" t="s">
        <v>750</v>
      </c>
      <c r="D2282" t="s">
        <v>240</v>
      </c>
      <c r="E2282" t="s">
        <v>568</v>
      </c>
      <c r="F2282" t="s">
        <v>134</v>
      </c>
      <c r="G2282" t="s">
        <v>111</v>
      </c>
      <c r="H2282" t="s">
        <v>703</v>
      </c>
      <c r="I2282" t="s">
        <v>112</v>
      </c>
      <c r="J2282" t="s">
        <v>702</v>
      </c>
      <c r="K2282" t="s">
        <v>2846</v>
      </c>
      <c r="L2282" t="s">
        <v>2846</v>
      </c>
    </row>
    <row r="2283" spans="1:12" x14ac:dyDescent="0.3">
      <c r="A2283" t="s">
        <v>2600</v>
      </c>
      <c r="B2283" t="s">
        <v>2699</v>
      </c>
      <c r="C2283" t="s">
        <v>750</v>
      </c>
      <c r="D2283" t="s">
        <v>241</v>
      </c>
      <c r="E2283" t="s">
        <v>568</v>
      </c>
      <c r="F2283" t="s">
        <v>51</v>
      </c>
      <c r="G2283" t="s">
        <v>111</v>
      </c>
      <c r="H2283" t="s">
        <v>1561</v>
      </c>
      <c r="I2283" t="s">
        <v>112</v>
      </c>
      <c r="J2283" t="s">
        <v>702</v>
      </c>
      <c r="K2283" t="s">
        <v>2859</v>
      </c>
      <c r="L2283" t="s">
        <v>2859</v>
      </c>
    </row>
    <row r="2284" spans="1:12" x14ac:dyDescent="0.3">
      <c r="A2284" t="s">
        <v>2600</v>
      </c>
      <c r="B2284" t="s">
        <v>2699</v>
      </c>
      <c r="C2284" t="s">
        <v>750</v>
      </c>
      <c r="D2284" t="s">
        <v>242</v>
      </c>
      <c r="E2284" t="s">
        <v>568</v>
      </c>
      <c r="F2284" t="s">
        <v>163</v>
      </c>
      <c r="G2284" t="s">
        <v>111</v>
      </c>
      <c r="H2284" t="s">
        <v>703</v>
      </c>
      <c r="I2284" t="s">
        <v>112</v>
      </c>
      <c r="J2284" t="s">
        <v>702</v>
      </c>
      <c r="K2284" t="s">
        <v>2842</v>
      </c>
      <c r="L2284" t="s">
        <v>2842</v>
      </c>
    </row>
    <row r="2285" spans="1:12" x14ac:dyDescent="0.3">
      <c r="A2285" t="s">
        <v>2600</v>
      </c>
      <c r="B2285" t="s">
        <v>2699</v>
      </c>
      <c r="C2285" t="s">
        <v>750</v>
      </c>
      <c r="D2285" t="s">
        <v>243</v>
      </c>
      <c r="E2285" t="s">
        <v>568</v>
      </c>
      <c r="F2285" t="s">
        <v>170</v>
      </c>
      <c r="G2285" t="s">
        <v>111</v>
      </c>
      <c r="H2285" t="s">
        <v>1539</v>
      </c>
      <c r="I2285" t="s">
        <v>112</v>
      </c>
      <c r="J2285" t="s">
        <v>704</v>
      </c>
      <c r="K2285" t="s">
        <v>2860</v>
      </c>
      <c r="L2285" t="s">
        <v>2860</v>
      </c>
    </row>
    <row r="2286" spans="1:12" x14ac:dyDescent="0.3">
      <c r="A2286" t="s">
        <v>2600</v>
      </c>
      <c r="B2286" t="s">
        <v>2699</v>
      </c>
      <c r="C2286" t="s">
        <v>750</v>
      </c>
      <c r="D2286" t="s">
        <v>244</v>
      </c>
      <c r="E2286" t="s">
        <v>568</v>
      </c>
      <c r="F2286" t="s">
        <v>78</v>
      </c>
      <c r="G2286" t="s">
        <v>111</v>
      </c>
      <c r="H2286" t="s">
        <v>703</v>
      </c>
      <c r="I2286" t="s">
        <v>112</v>
      </c>
      <c r="J2286" t="s">
        <v>702</v>
      </c>
      <c r="K2286" t="s">
        <v>2839</v>
      </c>
      <c r="L2286" t="s">
        <v>2839</v>
      </c>
    </row>
    <row r="2287" spans="1:12" x14ac:dyDescent="0.3">
      <c r="A2287" t="s">
        <v>2600</v>
      </c>
      <c r="B2287" t="s">
        <v>2699</v>
      </c>
      <c r="C2287" t="s">
        <v>750</v>
      </c>
      <c r="D2287" t="s">
        <v>245</v>
      </c>
      <c r="E2287" t="s">
        <v>568</v>
      </c>
      <c r="F2287" t="s">
        <v>82</v>
      </c>
      <c r="G2287" t="s">
        <v>111</v>
      </c>
      <c r="H2287" t="s">
        <v>703</v>
      </c>
      <c r="I2287" t="s">
        <v>112</v>
      </c>
      <c r="J2287" t="s">
        <v>702</v>
      </c>
      <c r="K2287" t="s">
        <v>2861</v>
      </c>
      <c r="L2287" t="s">
        <v>2861</v>
      </c>
    </row>
    <row r="2288" spans="1:12" x14ac:dyDescent="0.3">
      <c r="A2288" t="s">
        <v>2600</v>
      </c>
      <c r="B2288" t="s">
        <v>2699</v>
      </c>
      <c r="C2288" t="s">
        <v>750</v>
      </c>
      <c r="D2288" t="s">
        <v>319</v>
      </c>
      <c r="E2288" t="s">
        <v>568</v>
      </c>
      <c r="F2288" t="s">
        <v>136</v>
      </c>
      <c r="G2288" t="s">
        <v>111</v>
      </c>
      <c r="H2288" t="s">
        <v>703</v>
      </c>
      <c r="I2288" t="s">
        <v>112</v>
      </c>
      <c r="J2288" t="s">
        <v>702</v>
      </c>
      <c r="K2288" t="s">
        <v>2862</v>
      </c>
      <c r="L2288" t="s">
        <v>2862</v>
      </c>
    </row>
    <row r="2289" spans="1:12" x14ac:dyDescent="0.3">
      <c r="A2289" t="s">
        <v>2600</v>
      </c>
      <c r="B2289" t="s">
        <v>2699</v>
      </c>
      <c r="C2289" t="s">
        <v>750</v>
      </c>
      <c r="D2289" t="s">
        <v>248</v>
      </c>
      <c r="E2289" t="s">
        <v>568</v>
      </c>
      <c r="F2289" t="s">
        <v>137</v>
      </c>
      <c r="G2289" t="s">
        <v>111</v>
      </c>
      <c r="H2289" t="s">
        <v>1539</v>
      </c>
      <c r="I2289" t="s">
        <v>112</v>
      </c>
      <c r="J2289" t="s">
        <v>704</v>
      </c>
    </row>
    <row r="2290" spans="1:12" x14ac:dyDescent="0.3">
      <c r="A2290" t="s">
        <v>2600</v>
      </c>
      <c r="B2290" t="s">
        <v>2699</v>
      </c>
      <c r="C2290" t="s">
        <v>750</v>
      </c>
      <c r="D2290" t="s">
        <v>250</v>
      </c>
      <c r="E2290" t="s">
        <v>568</v>
      </c>
      <c r="F2290" t="s">
        <v>70</v>
      </c>
      <c r="G2290" t="s">
        <v>111</v>
      </c>
      <c r="H2290" t="s">
        <v>703</v>
      </c>
      <c r="I2290" t="s">
        <v>112</v>
      </c>
      <c r="J2290" t="s">
        <v>702</v>
      </c>
      <c r="K2290" t="s">
        <v>2863</v>
      </c>
      <c r="L2290" t="s">
        <v>2863</v>
      </c>
    </row>
    <row r="2291" spans="1:12" x14ac:dyDescent="0.3">
      <c r="A2291" t="s">
        <v>2600</v>
      </c>
      <c r="B2291" t="s">
        <v>2699</v>
      </c>
      <c r="C2291" t="s">
        <v>750</v>
      </c>
      <c r="D2291" t="s">
        <v>252</v>
      </c>
      <c r="E2291" t="s">
        <v>568</v>
      </c>
      <c r="F2291" t="s">
        <v>138</v>
      </c>
      <c r="G2291" t="s">
        <v>111</v>
      </c>
      <c r="H2291" t="s">
        <v>1539</v>
      </c>
      <c r="I2291" t="s">
        <v>112</v>
      </c>
      <c r="J2291" t="s">
        <v>704</v>
      </c>
      <c r="K2291" t="s">
        <v>2864</v>
      </c>
      <c r="L2291" t="s">
        <v>2864</v>
      </c>
    </row>
    <row r="2292" spans="1:12" x14ac:dyDescent="0.3">
      <c r="A2292" t="s">
        <v>2600</v>
      </c>
      <c r="B2292" t="s">
        <v>2699</v>
      </c>
      <c r="C2292" t="s">
        <v>750</v>
      </c>
      <c r="D2292" t="s">
        <v>254</v>
      </c>
      <c r="E2292" t="s">
        <v>568</v>
      </c>
      <c r="F2292" t="s">
        <v>139</v>
      </c>
      <c r="G2292" t="s">
        <v>111</v>
      </c>
      <c r="H2292" t="s">
        <v>703</v>
      </c>
      <c r="I2292" t="s">
        <v>112</v>
      </c>
      <c r="J2292" t="s">
        <v>702</v>
      </c>
      <c r="K2292" t="s">
        <v>2865</v>
      </c>
      <c r="L2292" t="s">
        <v>2865</v>
      </c>
    </row>
    <row r="2293" spans="1:12" x14ac:dyDescent="0.3">
      <c r="A2293" t="s">
        <v>2600</v>
      </c>
      <c r="B2293" t="s">
        <v>2699</v>
      </c>
      <c r="C2293" t="s">
        <v>750</v>
      </c>
      <c r="D2293" t="s">
        <v>320</v>
      </c>
      <c r="E2293" t="s">
        <v>568</v>
      </c>
      <c r="F2293" t="s">
        <v>172</v>
      </c>
      <c r="G2293" t="s">
        <v>111</v>
      </c>
      <c r="H2293" t="s">
        <v>1539</v>
      </c>
      <c r="I2293" t="s">
        <v>112</v>
      </c>
      <c r="J2293" t="s">
        <v>704</v>
      </c>
      <c r="K2293" t="s">
        <v>2851</v>
      </c>
      <c r="L2293" t="s">
        <v>2851</v>
      </c>
    </row>
    <row r="2294" spans="1:12" x14ac:dyDescent="0.3">
      <c r="A2294" t="s">
        <v>2600</v>
      </c>
      <c r="B2294" t="s">
        <v>2699</v>
      </c>
      <c r="C2294" t="s">
        <v>750</v>
      </c>
      <c r="D2294" t="s">
        <v>207</v>
      </c>
      <c r="E2294" t="s">
        <v>568</v>
      </c>
      <c r="F2294" t="s">
        <v>62</v>
      </c>
      <c r="G2294" t="s">
        <v>111</v>
      </c>
      <c r="H2294" t="s">
        <v>703</v>
      </c>
      <c r="I2294" t="s">
        <v>112</v>
      </c>
      <c r="J2294" t="s">
        <v>702</v>
      </c>
      <c r="K2294" t="s">
        <v>2866</v>
      </c>
      <c r="L2294" t="s">
        <v>2866</v>
      </c>
    </row>
    <row r="2295" spans="1:12" x14ac:dyDescent="0.3">
      <c r="A2295" t="s">
        <v>2600</v>
      </c>
      <c r="B2295" t="s">
        <v>2699</v>
      </c>
      <c r="C2295" t="s">
        <v>750</v>
      </c>
      <c r="D2295" t="s">
        <v>321</v>
      </c>
      <c r="E2295" t="s">
        <v>568</v>
      </c>
      <c r="F2295" t="s">
        <v>94</v>
      </c>
      <c r="G2295" t="s">
        <v>111</v>
      </c>
      <c r="H2295" t="s">
        <v>1539</v>
      </c>
      <c r="I2295" t="s">
        <v>112</v>
      </c>
      <c r="J2295" t="s">
        <v>704</v>
      </c>
    </row>
    <row r="2296" spans="1:12" x14ac:dyDescent="0.3">
      <c r="A2296" t="s">
        <v>2600</v>
      </c>
      <c r="B2296" t="s">
        <v>2699</v>
      </c>
      <c r="C2296" t="s">
        <v>750</v>
      </c>
      <c r="D2296" t="s">
        <v>256</v>
      </c>
      <c r="E2296" t="s">
        <v>568</v>
      </c>
      <c r="F2296" t="s">
        <v>57</v>
      </c>
      <c r="G2296" t="s">
        <v>111</v>
      </c>
      <c r="H2296" t="s">
        <v>1539</v>
      </c>
      <c r="I2296" t="s">
        <v>112</v>
      </c>
      <c r="J2296" t="s">
        <v>704</v>
      </c>
      <c r="K2296" t="s">
        <v>2867</v>
      </c>
      <c r="L2296" t="s">
        <v>2867</v>
      </c>
    </row>
    <row r="2297" spans="1:12" x14ac:dyDescent="0.3">
      <c r="A2297" t="s">
        <v>2600</v>
      </c>
      <c r="B2297" t="s">
        <v>2699</v>
      </c>
      <c r="C2297" t="s">
        <v>750</v>
      </c>
      <c r="D2297" t="s">
        <v>258</v>
      </c>
      <c r="E2297" t="s">
        <v>568</v>
      </c>
      <c r="F2297" t="s">
        <v>88</v>
      </c>
      <c r="G2297" t="s">
        <v>111</v>
      </c>
      <c r="H2297" t="s">
        <v>703</v>
      </c>
      <c r="I2297" t="s">
        <v>112</v>
      </c>
      <c r="J2297" t="s">
        <v>702</v>
      </c>
      <c r="K2297" t="s">
        <v>2868</v>
      </c>
      <c r="L2297" t="s">
        <v>2868</v>
      </c>
    </row>
    <row r="2298" spans="1:12" x14ac:dyDescent="0.3">
      <c r="A2298" t="s">
        <v>2600</v>
      </c>
      <c r="B2298" t="s">
        <v>2699</v>
      </c>
      <c r="C2298" t="s">
        <v>750</v>
      </c>
      <c r="D2298" t="s">
        <v>259</v>
      </c>
      <c r="E2298" t="s">
        <v>568</v>
      </c>
      <c r="F2298" t="s">
        <v>77</v>
      </c>
      <c r="G2298" t="s">
        <v>111</v>
      </c>
      <c r="H2298" t="s">
        <v>703</v>
      </c>
      <c r="I2298" t="s">
        <v>112</v>
      </c>
      <c r="J2298" t="s">
        <v>702</v>
      </c>
      <c r="K2298" t="s">
        <v>2841</v>
      </c>
      <c r="L2298" t="s">
        <v>2841</v>
      </c>
    </row>
    <row r="2299" spans="1:12" x14ac:dyDescent="0.3">
      <c r="A2299" t="s">
        <v>2600</v>
      </c>
      <c r="B2299" t="s">
        <v>2699</v>
      </c>
      <c r="C2299" t="s">
        <v>750</v>
      </c>
      <c r="D2299" t="s">
        <v>323</v>
      </c>
      <c r="E2299" t="s">
        <v>568</v>
      </c>
      <c r="F2299" t="s">
        <v>74</v>
      </c>
      <c r="G2299" t="s">
        <v>111</v>
      </c>
      <c r="H2299" t="s">
        <v>1539</v>
      </c>
      <c r="I2299" t="s">
        <v>112</v>
      </c>
      <c r="J2299" t="s">
        <v>704</v>
      </c>
    </row>
    <row r="2300" spans="1:12" x14ac:dyDescent="0.3">
      <c r="A2300" t="s">
        <v>2600</v>
      </c>
      <c r="B2300" t="s">
        <v>2699</v>
      </c>
      <c r="C2300" t="s">
        <v>750</v>
      </c>
      <c r="D2300" t="s">
        <v>260</v>
      </c>
      <c r="E2300" t="s">
        <v>568</v>
      </c>
      <c r="F2300" t="s">
        <v>140</v>
      </c>
      <c r="G2300" t="s">
        <v>111</v>
      </c>
      <c r="H2300" t="s">
        <v>703</v>
      </c>
      <c r="I2300" t="s">
        <v>112</v>
      </c>
      <c r="J2300" t="s">
        <v>702</v>
      </c>
      <c r="K2300" t="s">
        <v>2841</v>
      </c>
      <c r="L2300" t="s">
        <v>2841</v>
      </c>
    </row>
    <row r="2301" spans="1:12" x14ac:dyDescent="0.3">
      <c r="A2301" t="s">
        <v>2600</v>
      </c>
      <c r="B2301" t="s">
        <v>2699</v>
      </c>
      <c r="C2301" t="s">
        <v>750</v>
      </c>
      <c r="D2301" t="s">
        <v>261</v>
      </c>
      <c r="E2301" t="s">
        <v>568</v>
      </c>
      <c r="F2301" t="s">
        <v>175</v>
      </c>
      <c r="G2301" t="s">
        <v>111</v>
      </c>
      <c r="H2301" t="s">
        <v>703</v>
      </c>
      <c r="I2301" t="s">
        <v>112</v>
      </c>
      <c r="J2301" t="s">
        <v>702</v>
      </c>
      <c r="K2301" t="s">
        <v>2869</v>
      </c>
      <c r="L2301" t="s">
        <v>2869</v>
      </c>
    </row>
    <row r="2302" spans="1:12" x14ac:dyDescent="0.3">
      <c r="A2302" t="s">
        <v>2600</v>
      </c>
      <c r="B2302" t="s">
        <v>2699</v>
      </c>
      <c r="C2302" t="s">
        <v>750</v>
      </c>
      <c r="D2302" t="s">
        <v>325</v>
      </c>
      <c r="E2302" t="s">
        <v>568</v>
      </c>
      <c r="F2302" t="s">
        <v>46</v>
      </c>
      <c r="G2302" t="s">
        <v>111</v>
      </c>
      <c r="H2302" t="s">
        <v>1539</v>
      </c>
      <c r="I2302" t="s">
        <v>112</v>
      </c>
      <c r="J2302" t="s">
        <v>704</v>
      </c>
    </row>
    <row r="2303" spans="1:12" x14ac:dyDescent="0.3">
      <c r="A2303" t="s">
        <v>2600</v>
      </c>
      <c r="B2303" t="s">
        <v>2699</v>
      </c>
      <c r="C2303" t="s">
        <v>750</v>
      </c>
      <c r="D2303" t="s">
        <v>262</v>
      </c>
      <c r="E2303" t="s">
        <v>568</v>
      </c>
      <c r="F2303" t="s">
        <v>202</v>
      </c>
      <c r="G2303" t="s">
        <v>111</v>
      </c>
      <c r="H2303" t="s">
        <v>703</v>
      </c>
      <c r="I2303" t="s">
        <v>112</v>
      </c>
      <c r="J2303" t="s">
        <v>702</v>
      </c>
      <c r="K2303" t="s">
        <v>2870</v>
      </c>
      <c r="L2303" t="s">
        <v>2870</v>
      </c>
    </row>
    <row r="2304" spans="1:12" x14ac:dyDescent="0.3">
      <c r="A2304" t="s">
        <v>2600</v>
      </c>
      <c r="B2304" t="s">
        <v>2699</v>
      </c>
      <c r="C2304" t="s">
        <v>750</v>
      </c>
      <c r="D2304" t="s">
        <v>263</v>
      </c>
      <c r="E2304" t="s">
        <v>568</v>
      </c>
      <c r="F2304" t="s">
        <v>141</v>
      </c>
      <c r="G2304" t="s">
        <v>111</v>
      </c>
      <c r="H2304" t="s">
        <v>703</v>
      </c>
      <c r="I2304" t="s">
        <v>112</v>
      </c>
      <c r="J2304" t="s">
        <v>702</v>
      </c>
      <c r="K2304" t="s">
        <v>2865</v>
      </c>
      <c r="L2304" t="s">
        <v>2865</v>
      </c>
    </row>
    <row r="2305" spans="1:12" x14ac:dyDescent="0.3">
      <c r="A2305" t="s">
        <v>2600</v>
      </c>
      <c r="B2305" t="s">
        <v>2699</v>
      </c>
      <c r="C2305" t="s">
        <v>750</v>
      </c>
      <c r="D2305" t="s">
        <v>264</v>
      </c>
      <c r="E2305" t="s">
        <v>568</v>
      </c>
      <c r="F2305" t="s">
        <v>64</v>
      </c>
      <c r="G2305" t="s">
        <v>111</v>
      </c>
      <c r="H2305" t="s">
        <v>1539</v>
      </c>
      <c r="I2305" t="s">
        <v>112</v>
      </c>
      <c r="J2305" t="s">
        <v>704</v>
      </c>
    </row>
    <row r="2306" spans="1:12" x14ac:dyDescent="0.3">
      <c r="A2306" t="s">
        <v>2600</v>
      </c>
      <c r="B2306" t="s">
        <v>2699</v>
      </c>
      <c r="C2306" t="s">
        <v>750</v>
      </c>
      <c r="D2306" t="s">
        <v>265</v>
      </c>
      <c r="E2306" t="s">
        <v>568</v>
      </c>
      <c r="F2306" t="s">
        <v>142</v>
      </c>
      <c r="G2306" t="s">
        <v>111</v>
      </c>
      <c r="H2306" t="s">
        <v>703</v>
      </c>
      <c r="I2306" t="s">
        <v>112</v>
      </c>
      <c r="J2306" t="s">
        <v>702</v>
      </c>
      <c r="K2306" t="s">
        <v>2838</v>
      </c>
      <c r="L2306" t="s">
        <v>2838</v>
      </c>
    </row>
    <row r="2307" spans="1:12" x14ac:dyDescent="0.3">
      <c r="A2307" t="s">
        <v>2600</v>
      </c>
      <c r="B2307" t="s">
        <v>2699</v>
      </c>
      <c r="C2307" t="s">
        <v>750</v>
      </c>
      <c r="D2307" t="s">
        <v>267</v>
      </c>
      <c r="E2307" t="s">
        <v>568</v>
      </c>
      <c r="F2307" t="s">
        <v>143</v>
      </c>
      <c r="G2307" t="s">
        <v>111</v>
      </c>
      <c r="H2307" t="s">
        <v>1539</v>
      </c>
      <c r="I2307" t="s">
        <v>112</v>
      </c>
      <c r="J2307" t="s">
        <v>704</v>
      </c>
    </row>
    <row r="2308" spans="1:12" x14ac:dyDescent="0.3">
      <c r="A2308" t="s">
        <v>2600</v>
      </c>
      <c r="B2308" t="s">
        <v>2699</v>
      </c>
      <c r="C2308" t="s">
        <v>750</v>
      </c>
      <c r="D2308" t="s">
        <v>326</v>
      </c>
      <c r="E2308" t="s">
        <v>568</v>
      </c>
      <c r="F2308" t="s">
        <v>144</v>
      </c>
      <c r="G2308" t="s">
        <v>111</v>
      </c>
      <c r="H2308" t="s">
        <v>1539</v>
      </c>
      <c r="I2308" t="s">
        <v>112</v>
      </c>
      <c r="J2308" t="s">
        <v>704</v>
      </c>
      <c r="K2308" t="s">
        <v>2851</v>
      </c>
      <c r="L2308" t="s">
        <v>2851</v>
      </c>
    </row>
    <row r="2309" spans="1:12" x14ac:dyDescent="0.3">
      <c r="A2309" t="s">
        <v>2600</v>
      </c>
      <c r="B2309" t="s">
        <v>2699</v>
      </c>
      <c r="C2309" t="s">
        <v>750</v>
      </c>
      <c r="D2309" t="s">
        <v>268</v>
      </c>
      <c r="E2309" t="s">
        <v>568</v>
      </c>
      <c r="F2309" t="s">
        <v>194</v>
      </c>
      <c r="G2309" t="s">
        <v>111</v>
      </c>
      <c r="H2309" t="s">
        <v>1565</v>
      </c>
      <c r="I2309" t="s">
        <v>112</v>
      </c>
      <c r="J2309" t="s">
        <v>1566</v>
      </c>
      <c r="K2309" t="s">
        <v>2871</v>
      </c>
      <c r="L2309" t="s">
        <v>2871</v>
      </c>
    </row>
    <row r="2310" spans="1:12" x14ac:dyDescent="0.3">
      <c r="A2310" t="s">
        <v>2600</v>
      </c>
      <c r="B2310" t="s">
        <v>2699</v>
      </c>
      <c r="C2310" t="s">
        <v>750</v>
      </c>
      <c r="D2310" t="s">
        <v>272</v>
      </c>
      <c r="E2310" t="s">
        <v>567</v>
      </c>
      <c r="F2310" t="s">
        <v>52</v>
      </c>
      <c r="G2310" t="s">
        <v>111</v>
      </c>
      <c r="H2310" t="s">
        <v>703</v>
      </c>
      <c r="I2310" t="s">
        <v>112</v>
      </c>
      <c r="J2310" t="s">
        <v>702</v>
      </c>
      <c r="K2310" t="s">
        <v>2872</v>
      </c>
      <c r="L2310" t="s">
        <v>2872</v>
      </c>
    </row>
    <row r="2311" spans="1:12" x14ac:dyDescent="0.3">
      <c r="A2311" t="s">
        <v>2600</v>
      </c>
      <c r="B2311" t="s">
        <v>2699</v>
      </c>
      <c r="C2311" t="s">
        <v>750</v>
      </c>
      <c r="D2311" t="s">
        <v>327</v>
      </c>
      <c r="E2311" t="s">
        <v>567</v>
      </c>
      <c r="F2311" t="s">
        <v>104</v>
      </c>
      <c r="G2311" t="s">
        <v>111</v>
      </c>
      <c r="H2311" t="s">
        <v>703</v>
      </c>
      <c r="I2311" t="s">
        <v>112</v>
      </c>
      <c r="J2311" t="s">
        <v>702</v>
      </c>
      <c r="K2311" t="s">
        <v>2872</v>
      </c>
      <c r="L2311" t="s">
        <v>2872</v>
      </c>
    </row>
    <row r="2312" spans="1:12" x14ac:dyDescent="0.3">
      <c r="A2312" t="s">
        <v>2600</v>
      </c>
      <c r="B2312" t="s">
        <v>2699</v>
      </c>
      <c r="C2312" t="s">
        <v>750</v>
      </c>
      <c r="D2312" t="s">
        <v>273</v>
      </c>
      <c r="E2312" t="s">
        <v>567</v>
      </c>
      <c r="F2312" t="s">
        <v>176</v>
      </c>
      <c r="G2312" t="s">
        <v>111</v>
      </c>
      <c r="H2312" t="s">
        <v>1539</v>
      </c>
      <c r="I2312" t="s">
        <v>112</v>
      </c>
      <c r="J2312" t="s">
        <v>704</v>
      </c>
    </row>
    <row r="2313" spans="1:12" x14ac:dyDescent="0.3">
      <c r="A2313" t="s">
        <v>2600</v>
      </c>
      <c r="B2313" t="s">
        <v>2699</v>
      </c>
      <c r="C2313" t="s">
        <v>750</v>
      </c>
      <c r="D2313" t="s">
        <v>275</v>
      </c>
      <c r="E2313" t="s">
        <v>567</v>
      </c>
      <c r="F2313" t="s">
        <v>148</v>
      </c>
      <c r="G2313" t="s">
        <v>111</v>
      </c>
      <c r="H2313" t="s">
        <v>703</v>
      </c>
      <c r="I2313" t="s">
        <v>112</v>
      </c>
      <c r="J2313" t="s">
        <v>702</v>
      </c>
      <c r="K2313" t="s">
        <v>2841</v>
      </c>
      <c r="L2313" t="s">
        <v>2841</v>
      </c>
    </row>
    <row r="2314" spans="1:12" x14ac:dyDescent="0.3">
      <c r="A2314" t="s">
        <v>2600</v>
      </c>
      <c r="B2314" t="s">
        <v>2699</v>
      </c>
      <c r="C2314" t="s">
        <v>750</v>
      </c>
      <c r="D2314" t="s">
        <v>276</v>
      </c>
      <c r="E2314" t="s">
        <v>567</v>
      </c>
      <c r="F2314" t="s">
        <v>149</v>
      </c>
      <c r="G2314" t="s">
        <v>111</v>
      </c>
      <c r="H2314" t="s">
        <v>1539</v>
      </c>
      <c r="I2314" t="s">
        <v>112</v>
      </c>
      <c r="J2314" t="s">
        <v>704</v>
      </c>
      <c r="K2314" t="s">
        <v>2873</v>
      </c>
      <c r="L2314" t="s">
        <v>2873</v>
      </c>
    </row>
    <row r="2315" spans="1:12" x14ac:dyDescent="0.3">
      <c r="A2315" t="s">
        <v>2600</v>
      </c>
      <c r="B2315" t="s">
        <v>2699</v>
      </c>
      <c r="C2315" t="s">
        <v>750</v>
      </c>
      <c r="D2315" t="s">
        <v>277</v>
      </c>
      <c r="E2315" t="s">
        <v>567</v>
      </c>
      <c r="F2315" t="s">
        <v>83</v>
      </c>
      <c r="G2315" t="s">
        <v>111</v>
      </c>
      <c r="H2315" t="s">
        <v>1539</v>
      </c>
      <c r="I2315" t="s">
        <v>112</v>
      </c>
      <c r="J2315" t="s">
        <v>704</v>
      </c>
    </row>
    <row r="2316" spans="1:12" x14ac:dyDescent="0.3">
      <c r="A2316" t="s">
        <v>2600</v>
      </c>
      <c r="B2316" t="s">
        <v>2699</v>
      </c>
      <c r="C2316" t="s">
        <v>750</v>
      </c>
      <c r="D2316" t="s">
        <v>279</v>
      </c>
      <c r="E2316" t="s">
        <v>567</v>
      </c>
      <c r="F2316" t="s">
        <v>150</v>
      </c>
      <c r="G2316" t="s">
        <v>111</v>
      </c>
      <c r="H2316" t="s">
        <v>1539</v>
      </c>
      <c r="I2316" t="s">
        <v>112</v>
      </c>
      <c r="J2316" t="s">
        <v>704</v>
      </c>
      <c r="K2316" t="s">
        <v>2874</v>
      </c>
      <c r="L2316" t="s">
        <v>2874</v>
      </c>
    </row>
    <row r="2317" spans="1:12" x14ac:dyDescent="0.3">
      <c r="A2317" t="s">
        <v>2600</v>
      </c>
      <c r="B2317" t="s">
        <v>2699</v>
      </c>
      <c r="C2317" t="s">
        <v>750</v>
      </c>
      <c r="D2317" t="s">
        <v>281</v>
      </c>
      <c r="E2317" t="s">
        <v>567</v>
      </c>
      <c r="F2317" t="s">
        <v>84</v>
      </c>
      <c r="G2317" t="s">
        <v>111</v>
      </c>
      <c r="H2317" t="s">
        <v>703</v>
      </c>
      <c r="I2317" t="s">
        <v>112</v>
      </c>
      <c r="J2317" t="s">
        <v>702</v>
      </c>
      <c r="K2317" t="s">
        <v>2841</v>
      </c>
      <c r="L2317" t="s">
        <v>2841</v>
      </c>
    </row>
    <row r="2318" spans="1:12" x14ac:dyDescent="0.3">
      <c r="A2318" t="s">
        <v>2600</v>
      </c>
      <c r="B2318" t="s">
        <v>2699</v>
      </c>
      <c r="C2318" t="s">
        <v>750</v>
      </c>
      <c r="D2318" t="s">
        <v>282</v>
      </c>
      <c r="E2318" t="s">
        <v>567</v>
      </c>
      <c r="F2318" t="s">
        <v>90</v>
      </c>
      <c r="G2318" t="s">
        <v>111</v>
      </c>
      <c r="H2318" t="s">
        <v>703</v>
      </c>
      <c r="I2318" t="s">
        <v>112</v>
      </c>
      <c r="J2318" t="s">
        <v>702</v>
      </c>
      <c r="K2318" t="s">
        <v>2841</v>
      </c>
      <c r="L2318" t="s">
        <v>2841</v>
      </c>
    </row>
    <row r="2319" spans="1:12" x14ac:dyDescent="0.3">
      <c r="A2319" t="s">
        <v>2600</v>
      </c>
      <c r="B2319" t="s">
        <v>2699</v>
      </c>
      <c r="C2319" t="s">
        <v>750</v>
      </c>
      <c r="D2319" t="s">
        <v>283</v>
      </c>
      <c r="E2319" t="s">
        <v>567</v>
      </c>
      <c r="F2319" t="s">
        <v>63</v>
      </c>
      <c r="G2319" t="s">
        <v>111</v>
      </c>
      <c r="H2319" t="s">
        <v>703</v>
      </c>
      <c r="I2319" t="s">
        <v>112</v>
      </c>
      <c r="J2319" t="s">
        <v>702</v>
      </c>
      <c r="K2319" t="s">
        <v>2875</v>
      </c>
      <c r="L2319" t="s">
        <v>2875</v>
      </c>
    </row>
    <row r="2320" spans="1:12" x14ac:dyDescent="0.3">
      <c r="A2320" t="s">
        <v>2600</v>
      </c>
      <c r="B2320" t="s">
        <v>2699</v>
      </c>
      <c r="C2320" t="s">
        <v>750</v>
      </c>
      <c r="D2320" t="s">
        <v>284</v>
      </c>
      <c r="E2320" t="s">
        <v>567</v>
      </c>
      <c r="F2320" t="s">
        <v>151</v>
      </c>
      <c r="G2320" t="s">
        <v>111</v>
      </c>
      <c r="H2320" t="s">
        <v>1539</v>
      </c>
      <c r="I2320" t="s">
        <v>112</v>
      </c>
      <c r="J2320" t="s">
        <v>704</v>
      </c>
      <c r="K2320" t="s">
        <v>2876</v>
      </c>
      <c r="L2320" t="s">
        <v>2876</v>
      </c>
    </row>
    <row r="2321" spans="1:12" x14ac:dyDescent="0.3">
      <c r="A2321" t="s">
        <v>2600</v>
      </c>
      <c r="B2321" t="s">
        <v>2699</v>
      </c>
      <c r="C2321" t="s">
        <v>750</v>
      </c>
      <c r="D2321" t="s">
        <v>285</v>
      </c>
      <c r="E2321" t="s">
        <v>567</v>
      </c>
      <c r="F2321" t="s">
        <v>195</v>
      </c>
      <c r="G2321" t="s">
        <v>111</v>
      </c>
      <c r="H2321" t="s">
        <v>703</v>
      </c>
      <c r="I2321" t="s">
        <v>112</v>
      </c>
      <c r="J2321" t="s">
        <v>702</v>
      </c>
      <c r="K2321" t="s">
        <v>2848</v>
      </c>
      <c r="L2321" t="s">
        <v>2848</v>
      </c>
    </row>
    <row r="2322" spans="1:12" x14ac:dyDescent="0.3">
      <c r="A2322" t="s">
        <v>2600</v>
      </c>
      <c r="B2322" t="s">
        <v>2699</v>
      </c>
      <c r="C2322" t="s">
        <v>750</v>
      </c>
      <c r="D2322" t="s">
        <v>330</v>
      </c>
      <c r="E2322" t="s">
        <v>567</v>
      </c>
      <c r="F2322" t="s">
        <v>177</v>
      </c>
      <c r="G2322" t="s">
        <v>111</v>
      </c>
      <c r="H2322" t="s">
        <v>703</v>
      </c>
      <c r="I2322" t="s">
        <v>112</v>
      </c>
      <c r="J2322" t="s">
        <v>702</v>
      </c>
      <c r="K2322" t="s">
        <v>2877</v>
      </c>
      <c r="L2322" t="s">
        <v>2877</v>
      </c>
    </row>
    <row r="2323" spans="1:12" x14ac:dyDescent="0.3">
      <c r="A2323" t="s">
        <v>2600</v>
      </c>
      <c r="B2323" t="s">
        <v>2699</v>
      </c>
      <c r="C2323" t="s">
        <v>750</v>
      </c>
      <c r="D2323" t="s">
        <v>331</v>
      </c>
      <c r="E2323" t="s">
        <v>567</v>
      </c>
      <c r="F2323" t="s">
        <v>91</v>
      </c>
      <c r="G2323" t="s">
        <v>111</v>
      </c>
      <c r="H2323" t="s">
        <v>1539</v>
      </c>
      <c r="I2323" t="s">
        <v>112</v>
      </c>
      <c r="J2323" t="s">
        <v>704</v>
      </c>
      <c r="K2323" t="s">
        <v>2873</v>
      </c>
      <c r="L2323" t="s">
        <v>2873</v>
      </c>
    </row>
    <row r="2324" spans="1:12" x14ac:dyDescent="0.3">
      <c r="A2324" t="s">
        <v>2600</v>
      </c>
      <c r="B2324" t="s">
        <v>2699</v>
      </c>
      <c r="C2324" t="s">
        <v>750</v>
      </c>
      <c r="D2324" t="s">
        <v>332</v>
      </c>
      <c r="E2324" t="s">
        <v>567</v>
      </c>
      <c r="F2324" t="s">
        <v>152</v>
      </c>
      <c r="G2324" t="s">
        <v>111</v>
      </c>
      <c r="H2324" t="s">
        <v>1539</v>
      </c>
      <c r="I2324" t="s">
        <v>112</v>
      </c>
      <c r="J2324" t="s">
        <v>704</v>
      </c>
    </row>
    <row r="2325" spans="1:12" x14ac:dyDescent="0.3">
      <c r="A2325" t="s">
        <v>2600</v>
      </c>
      <c r="B2325" t="s">
        <v>2699</v>
      </c>
      <c r="C2325" t="s">
        <v>750</v>
      </c>
      <c r="D2325" t="s">
        <v>286</v>
      </c>
      <c r="E2325" t="s">
        <v>567</v>
      </c>
      <c r="F2325" t="s">
        <v>67</v>
      </c>
      <c r="G2325" t="s">
        <v>111</v>
      </c>
      <c r="H2325" t="s">
        <v>703</v>
      </c>
      <c r="I2325" t="s">
        <v>112</v>
      </c>
      <c r="J2325" t="s">
        <v>702</v>
      </c>
      <c r="K2325" t="s">
        <v>2840</v>
      </c>
      <c r="L2325" t="s">
        <v>2840</v>
      </c>
    </row>
    <row r="2326" spans="1:12" x14ac:dyDescent="0.3">
      <c r="A2326" t="s">
        <v>2600</v>
      </c>
      <c r="B2326" t="s">
        <v>2699</v>
      </c>
      <c r="C2326" t="s">
        <v>750</v>
      </c>
      <c r="D2326" t="s">
        <v>287</v>
      </c>
      <c r="E2326" t="s">
        <v>567</v>
      </c>
      <c r="F2326" t="s">
        <v>196</v>
      </c>
      <c r="G2326" t="s">
        <v>111</v>
      </c>
      <c r="H2326" t="s">
        <v>703</v>
      </c>
      <c r="I2326" t="s">
        <v>112</v>
      </c>
      <c r="J2326" t="s">
        <v>702</v>
      </c>
      <c r="K2326" t="s">
        <v>2878</v>
      </c>
      <c r="L2326" t="s">
        <v>2878</v>
      </c>
    </row>
    <row r="2327" spans="1:12" x14ac:dyDescent="0.3">
      <c r="A2327" t="s">
        <v>2600</v>
      </c>
      <c r="B2327" t="s">
        <v>2699</v>
      </c>
      <c r="C2327" t="s">
        <v>750</v>
      </c>
      <c r="D2327" t="s">
        <v>288</v>
      </c>
      <c r="E2327" t="s">
        <v>567</v>
      </c>
      <c r="F2327" t="s">
        <v>178</v>
      </c>
      <c r="G2327" t="s">
        <v>111</v>
      </c>
      <c r="H2327" t="s">
        <v>703</v>
      </c>
      <c r="I2327" t="s">
        <v>112</v>
      </c>
      <c r="J2327" t="s">
        <v>702</v>
      </c>
      <c r="K2327" t="s">
        <v>2879</v>
      </c>
      <c r="L2327" t="s">
        <v>2879</v>
      </c>
    </row>
    <row r="2328" spans="1:12" x14ac:dyDescent="0.3">
      <c r="A2328" t="s">
        <v>2600</v>
      </c>
      <c r="B2328" t="s">
        <v>2699</v>
      </c>
      <c r="C2328" t="s">
        <v>750</v>
      </c>
      <c r="D2328" t="s">
        <v>290</v>
      </c>
      <c r="E2328" t="s">
        <v>567</v>
      </c>
      <c r="F2328" t="s">
        <v>153</v>
      </c>
      <c r="G2328" t="s">
        <v>111</v>
      </c>
      <c r="H2328" t="s">
        <v>703</v>
      </c>
      <c r="I2328" t="s">
        <v>112</v>
      </c>
      <c r="J2328" t="s">
        <v>702</v>
      </c>
      <c r="K2328" t="s">
        <v>2880</v>
      </c>
      <c r="L2328" t="s">
        <v>2880</v>
      </c>
    </row>
    <row r="2329" spans="1:12" x14ac:dyDescent="0.3">
      <c r="A2329" t="s">
        <v>2600</v>
      </c>
      <c r="B2329" t="s">
        <v>2699</v>
      </c>
      <c r="C2329" t="s">
        <v>750</v>
      </c>
      <c r="D2329" t="s">
        <v>291</v>
      </c>
      <c r="E2329" t="s">
        <v>567</v>
      </c>
      <c r="F2329" t="s">
        <v>154</v>
      </c>
      <c r="G2329" t="s">
        <v>111</v>
      </c>
      <c r="H2329" t="s">
        <v>1539</v>
      </c>
      <c r="I2329" t="s">
        <v>112</v>
      </c>
      <c r="J2329" t="s">
        <v>704</v>
      </c>
    </row>
    <row r="2330" spans="1:12" x14ac:dyDescent="0.3">
      <c r="A2330" t="s">
        <v>2600</v>
      </c>
      <c r="B2330" t="s">
        <v>2699</v>
      </c>
      <c r="C2330" t="s">
        <v>750</v>
      </c>
      <c r="D2330" t="s">
        <v>292</v>
      </c>
      <c r="E2330" t="s">
        <v>567</v>
      </c>
      <c r="F2330" t="s">
        <v>55</v>
      </c>
      <c r="G2330" t="s">
        <v>111</v>
      </c>
      <c r="H2330" t="s">
        <v>703</v>
      </c>
      <c r="I2330" t="s">
        <v>112</v>
      </c>
      <c r="J2330" t="s">
        <v>702</v>
      </c>
      <c r="K2330" t="s">
        <v>2841</v>
      </c>
      <c r="L2330" t="s">
        <v>2841</v>
      </c>
    </row>
    <row r="2331" spans="1:12" x14ac:dyDescent="0.3">
      <c r="A2331" t="s">
        <v>2600</v>
      </c>
      <c r="B2331" t="s">
        <v>2699</v>
      </c>
      <c r="C2331" t="s">
        <v>750</v>
      </c>
      <c r="D2331" t="s">
        <v>333</v>
      </c>
      <c r="E2331" t="s">
        <v>567</v>
      </c>
      <c r="F2331" t="s">
        <v>197</v>
      </c>
      <c r="G2331" t="s">
        <v>111</v>
      </c>
      <c r="H2331" t="s">
        <v>703</v>
      </c>
      <c r="I2331" t="s">
        <v>112</v>
      </c>
      <c r="J2331" t="s">
        <v>702</v>
      </c>
      <c r="K2331" t="s">
        <v>2849</v>
      </c>
      <c r="L2331" t="s">
        <v>2849</v>
      </c>
    </row>
    <row r="2332" spans="1:12" x14ac:dyDescent="0.3">
      <c r="A2332" t="s">
        <v>2600</v>
      </c>
      <c r="B2332" t="s">
        <v>2699</v>
      </c>
      <c r="C2332" t="s">
        <v>750</v>
      </c>
      <c r="D2332" t="s">
        <v>293</v>
      </c>
      <c r="E2332" t="s">
        <v>567</v>
      </c>
      <c r="F2332" t="s">
        <v>72</v>
      </c>
      <c r="G2332" t="s">
        <v>111</v>
      </c>
      <c r="H2332" t="s">
        <v>1539</v>
      </c>
      <c r="I2332" t="s">
        <v>112</v>
      </c>
      <c r="J2332" t="s">
        <v>704</v>
      </c>
    </row>
    <row r="2333" spans="1:12" x14ac:dyDescent="0.3">
      <c r="A2333" t="s">
        <v>2600</v>
      </c>
      <c r="B2333" t="s">
        <v>2699</v>
      </c>
      <c r="C2333" t="s">
        <v>750</v>
      </c>
      <c r="D2333" t="s">
        <v>334</v>
      </c>
      <c r="E2333" t="s">
        <v>567</v>
      </c>
      <c r="F2333" t="s">
        <v>155</v>
      </c>
      <c r="G2333" t="s">
        <v>111</v>
      </c>
      <c r="H2333" t="s">
        <v>703</v>
      </c>
      <c r="I2333" t="s">
        <v>112</v>
      </c>
      <c r="J2333" t="s">
        <v>702</v>
      </c>
      <c r="K2333" t="s">
        <v>2865</v>
      </c>
      <c r="L2333" t="s">
        <v>2865</v>
      </c>
    </row>
    <row r="2334" spans="1:12" x14ac:dyDescent="0.3">
      <c r="A2334" t="s">
        <v>2600</v>
      </c>
      <c r="B2334" t="s">
        <v>2699</v>
      </c>
      <c r="C2334" t="s">
        <v>750</v>
      </c>
      <c r="D2334" t="s">
        <v>294</v>
      </c>
      <c r="E2334" t="s">
        <v>567</v>
      </c>
      <c r="F2334" t="s">
        <v>156</v>
      </c>
      <c r="G2334" t="s">
        <v>111</v>
      </c>
      <c r="H2334" t="s">
        <v>703</v>
      </c>
      <c r="I2334" t="s">
        <v>112</v>
      </c>
      <c r="J2334" t="s">
        <v>702</v>
      </c>
      <c r="K2334" t="s">
        <v>2881</v>
      </c>
      <c r="L2334" t="s">
        <v>2881</v>
      </c>
    </row>
    <row r="2335" spans="1:12" x14ac:dyDescent="0.3">
      <c r="A2335" t="s">
        <v>2600</v>
      </c>
      <c r="B2335" t="s">
        <v>2699</v>
      </c>
      <c r="C2335" t="s">
        <v>750</v>
      </c>
      <c r="D2335" t="s">
        <v>296</v>
      </c>
      <c r="E2335" t="s">
        <v>567</v>
      </c>
      <c r="F2335" t="s">
        <v>198</v>
      </c>
      <c r="G2335" t="s">
        <v>111</v>
      </c>
      <c r="H2335" t="s">
        <v>703</v>
      </c>
      <c r="I2335" t="s">
        <v>112</v>
      </c>
      <c r="J2335" t="s">
        <v>702</v>
      </c>
      <c r="K2335" t="s">
        <v>2882</v>
      </c>
      <c r="L2335" t="s">
        <v>2882</v>
      </c>
    </row>
    <row r="2336" spans="1:12" x14ac:dyDescent="0.3">
      <c r="A2336" t="s">
        <v>2600</v>
      </c>
      <c r="B2336" t="s">
        <v>2699</v>
      </c>
      <c r="C2336" t="s">
        <v>750</v>
      </c>
      <c r="D2336" t="s">
        <v>298</v>
      </c>
      <c r="E2336" t="s">
        <v>567</v>
      </c>
      <c r="F2336" t="s">
        <v>158</v>
      </c>
      <c r="G2336" t="s">
        <v>111</v>
      </c>
      <c r="H2336" t="s">
        <v>1539</v>
      </c>
      <c r="I2336" t="s">
        <v>112</v>
      </c>
      <c r="J2336" t="s">
        <v>704</v>
      </c>
      <c r="K2336" t="s">
        <v>2883</v>
      </c>
      <c r="L2336" t="s">
        <v>2883</v>
      </c>
    </row>
    <row r="2337" spans="1:12" x14ac:dyDescent="0.3">
      <c r="A2337" t="s">
        <v>2600</v>
      </c>
      <c r="B2337" t="s">
        <v>2699</v>
      </c>
      <c r="C2337" t="s">
        <v>750</v>
      </c>
      <c r="D2337" t="s">
        <v>335</v>
      </c>
      <c r="E2337" t="s">
        <v>567</v>
      </c>
      <c r="F2337" t="s">
        <v>199</v>
      </c>
      <c r="G2337" t="s">
        <v>111</v>
      </c>
      <c r="H2337" t="s">
        <v>703</v>
      </c>
      <c r="I2337" t="s">
        <v>112</v>
      </c>
      <c r="J2337" t="s">
        <v>702</v>
      </c>
      <c r="K2337" t="s">
        <v>2884</v>
      </c>
      <c r="L2337" t="s">
        <v>2884</v>
      </c>
    </row>
    <row r="2338" spans="1:12" x14ac:dyDescent="0.3">
      <c r="A2338" t="s">
        <v>2600</v>
      </c>
      <c r="B2338" t="s">
        <v>2699</v>
      </c>
      <c r="C2338" t="s">
        <v>750</v>
      </c>
      <c r="D2338" t="s">
        <v>336</v>
      </c>
      <c r="E2338" t="s">
        <v>567</v>
      </c>
      <c r="F2338" t="s">
        <v>159</v>
      </c>
      <c r="G2338" t="s">
        <v>111</v>
      </c>
      <c r="H2338" t="s">
        <v>2885</v>
      </c>
      <c r="I2338" t="s">
        <v>112</v>
      </c>
      <c r="J2338" t="s">
        <v>1595</v>
      </c>
      <c r="K2338" t="s">
        <v>2886</v>
      </c>
      <c r="L2338" t="s">
        <v>2886</v>
      </c>
    </row>
    <row r="2339" spans="1:12" x14ac:dyDescent="0.3">
      <c r="A2339" t="s">
        <v>2600</v>
      </c>
      <c r="B2339" t="s">
        <v>2699</v>
      </c>
      <c r="C2339" t="s">
        <v>750</v>
      </c>
      <c r="D2339" t="s">
        <v>299</v>
      </c>
      <c r="E2339" t="s">
        <v>567</v>
      </c>
      <c r="F2339" t="s">
        <v>47</v>
      </c>
      <c r="G2339" t="s">
        <v>111</v>
      </c>
      <c r="H2339" t="s">
        <v>1539</v>
      </c>
      <c r="I2339" t="s">
        <v>112</v>
      </c>
      <c r="J2339" t="s">
        <v>704</v>
      </c>
      <c r="K2339" t="s">
        <v>2887</v>
      </c>
      <c r="L2339" t="s">
        <v>2887</v>
      </c>
    </row>
    <row r="2340" spans="1:12" x14ac:dyDescent="0.3">
      <c r="A2340" t="s">
        <v>2600</v>
      </c>
      <c r="B2340" t="s">
        <v>2699</v>
      </c>
      <c r="C2340" t="s">
        <v>750</v>
      </c>
      <c r="D2340" t="s">
        <v>300</v>
      </c>
      <c r="E2340" t="s">
        <v>567</v>
      </c>
      <c r="F2340" t="s">
        <v>181</v>
      </c>
      <c r="G2340" t="s">
        <v>111</v>
      </c>
      <c r="H2340" t="s">
        <v>1539</v>
      </c>
      <c r="I2340" t="s">
        <v>112</v>
      </c>
      <c r="J2340" t="s">
        <v>704</v>
      </c>
    </row>
    <row r="2341" spans="1:12" x14ac:dyDescent="0.3">
      <c r="A2341" t="s">
        <v>2600</v>
      </c>
      <c r="B2341" t="s">
        <v>2699</v>
      </c>
      <c r="C2341" t="s">
        <v>750</v>
      </c>
      <c r="D2341" t="s">
        <v>208</v>
      </c>
      <c r="E2341" t="s">
        <v>567</v>
      </c>
      <c r="F2341" t="s">
        <v>161</v>
      </c>
      <c r="G2341" t="s">
        <v>111</v>
      </c>
      <c r="H2341" t="s">
        <v>703</v>
      </c>
      <c r="I2341" t="s">
        <v>112</v>
      </c>
      <c r="J2341" t="s">
        <v>702</v>
      </c>
      <c r="K2341" t="s">
        <v>2888</v>
      </c>
      <c r="L2341" t="s">
        <v>2888</v>
      </c>
    </row>
    <row r="2342" spans="1:12" x14ac:dyDescent="0.3">
      <c r="A2342" t="s">
        <v>2600</v>
      </c>
      <c r="B2342" t="s">
        <v>2699</v>
      </c>
      <c r="C2342" t="s">
        <v>750</v>
      </c>
      <c r="D2342" t="s">
        <v>1580</v>
      </c>
      <c r="E2342" t="s">
        <v>569</v>
      </c>
      <c r="F2342" t="s">
        <v>49</v>
      </c>
      <c r="G2342" t="s">
        <v>111</v>
      </c>
      <c r="H2342" t="s">
        <v>703</v>
      </c>
      <c r="I2342" t="s">
        <v>112</v>
      </c>
      <c r="J2342" t="s">
        <v>702</v>
      </c>
      <c r="K2342" t="s">
        <v>2838</v>
      </c>
      <c r="L2342" t="s">
        <v>2838</v>
      </c>
    </row>
    <row r="2343" spans="1:12" x14ac:dyDescent="0.3">
      <c r="A2343" t="s">
        <v>2600</v>
      </c>
      <c r="B2343" t="s">
        <v>2699</v>
      </c>
      <c r="C2343" t="s">
        <v>750</v>
      </c>
      <c r="D2343" t="s">
        <v>1581</v>
      </c>
      <c r="E2343" t="s">
        <v>569</v>
      </c>
      <c r="F2343" t="s">
        <v>115</v>
      </c>
      <c r="G2343" t="s">
        <v>111</v>
      </c>
      <c r="H2343" t="s">
        <v>1561</v>
      </c>
      <c r="I2343" t="s">
        <v>112</v>
      </c>
      <c r="J2343" t="s">
        <v>702</v>
      </c>
      <c r="K2343" t="s">
        <v>2839</v>
      </c>
      <c r="L2343" t="s">
        <v>2839</v>
      </c>
    </row>
    <row r="2344" spans="1:12" x14ac:dyDescent="0.3">
      <c r="A2344" t="s">
        <v>2600</v>
      </c>
      <c r="B2344" t="s">
        <v>2699</v>
      </c>
      <c r="C2344" t="s">
        <v>750</v>
      </c>
      <c r="D2344" t="s">
        <v>1583</v>
      </c>
      <c r="E2344" t="s">
        <v>569</v>
      </c>
      <c r="F2344" t="s">
        <v>59</v>
      </c>
      <c r="G2344" t="s">
        <v>111</v>
      </c>
      <c r="H2344" t="s">
        <v>1561</v>
      </c>
      <c r="I2344" t="s">
        <v>112</v>
      </c>
      <c r="J2344" t="s">
        <v>702</v>
      </c>
    </row>
    <row r="2345" spans="1:12" x14ac:dyDescent="0.3">
      <c r="A2345" t="s">
        <v>2600</v>
      </c>
      <c r="B2345" t="s">
        <v>2699</v>
      </c>
      <c r="C2345" t="s">
        <v>750</v>
      </c>
      <c r="D2345" t="s">
        <v>1584</v>
      </c>
      <c r="E2345" t="s">
        <v>569</v>
      </c>
      <c r="F2345" t="s">
        <v>117</v>
      </c>
      <c r="G2345" t="s">
        <v>111</v>
      </c>
      <c r="H2345" t="s">
        <v>703</v>
      </c>
      <c r="I2345" t="s">
        <v>112</v>
      </c>
      <c r="J2345" t="s">
        <v>702</v>
      </c>
      <c r="K2345" t="s">
        <v>2840</v>
      </c>
      <c r="L2345" t="s">
        <v>2840</v>
      </c>
    </row>
    <row r="2346" spans="1:12" x14ac:dyDescent="0.3">
      <c r="A2346" t="s">
        <v>2600</v>
      </c>
      <c r="B2346" t="s">
        <v>2699</v>
      </c>
      <c r="C2346" t="s">
        <v>750</v>
      </c>
      <c r="D2346" t="s">
        <v>1585</v>
      </c>
      <c r="E2346" t="s">
        <v>569</v>
      </c>
      <c r="F2346" t="s">
        <v>188</v>
      </c>
      <c r="G2346" t="s">
        <v>111</v>
      </c>
      <c r="H2346" t="s">
        <v>1539</v>
      </c>
      <c r="I2346" t="s">
        <v>112</v>
      </c>
      <c r="J2346" t="s">
        <v>704</v>
      </c>
      <c r="K2346" t="s">
        <v>2841</v>
      </c>
      <c r="L2346" t="s">
        <v>2841</v>
      </c>
    </row>
    <row r="2347" spans="1:12" x14ac:dyDescent="0.3">
      <c r="A2347" t="s">
        <v>2600</v>
      </c>
      <c r="B2347" t="s">
        <v>2699</v>
      </c>
      <c r="C2347" t="s">
        <v>750</v>
      </c>
      <c r="D2347" t="s">
        <v>1586</v>
      </c>
      <c r="E2347" t="s">
        <v>569</v>
      </c>
      <c r="F2347" t="s">
        <v>120</v>
      </c>
      <c r="G2347" t="s">
        <v>111</v>
      </c>
      <c r="H2347" t="s">
        <v>1539</v>
      </c>
      <c r="I2347" t="s">
        <v>112</v>
      </c>
      <c r="J2347" t="s">
        <v>704</v>
      </c>
      <c r="K2347" t="s">
        <v>2841</v>
      </c>
      <c r="L2347" t="s">
        <v>2841</v>
      </c>
    </row>
    <row r="2348" spans="1:12" x14ac:dyDescent="0.3">
      <c r="A2348" t="s">
        <v>2600</v>
      </c>
      <c r="B2348" t="s">
        <v>2699</v>
      </c>
      <c r="C2348" t="s">
        <v>750</v>
      </c>
      <c r="D2348" t="s">
        <v>1587</v>
      </c>
      <c r="E2348" t="s">
        <v>569</v>
      </c>
      <c r="F2348" t="s">
        <v>164</v>
      </c>
      <c r="G2348" t="s">
        <v>111</v>
      </c>
      <c r="H2348" t="s">
        <v>1594</v>
      </c>
      <c r="I2348" t="s">
        <v>112</v>
      </c>
      <c r="J2348" t="s">
        <v>1595</v>
      </c>
      <c r="K2348" t="s">
        <v>2842</v>
      </c>
      <c r="L2348" t="s">
        <v>2842</v>
      </c>
    </row>
    <row r="2349" spans="1:12" x14ac:dyDescent="0.3">
      <c r="A2349" t="s">
        <v>2600</v>
      </c>
      <c r="B2349" t="s">
        <v>2699</v>
      </c>
      <c r="C2349" t="s">
        <v>750</v>
      </c>
      <c r="D2349" t="s">
        <v>1588</v>
      </c>
      <c r="E2349" t="s">
        <v>569</v>
      </c>
      <c r="F2349" t="s">
        <v>53</v>
      </c>
      <c r="G2349" t="s">
        <v>111</v>
      </c>
      <c r="H2349" t="s">
        <v>703</v>
      </c>
      <c r="I2349" t="s">
        <v>112</v>
      </c>
      <c r="J2349" t="s">
        <v>702</v>
      </c>
      <c r="K2349" t="s">
        <v>2843</v>
      </c>
      <c r="L2349" t="s">
        <v>2843</v>
      </c>
    </row>
    <row r="2350" spans="1:12" x14ac:dyDescent="0.3">
      <c r="A2350" t="s">
        <v>2600</v>
      </c>
      <c r="B2350" t="s">
        <v>2699</v>
      </c>
      <c r="C2350" t="s">
        <v>750</v>
      </c>
      <c r="D2350" t="s">
        <v>1589</v>
      </c>
      <c r="E2350" t="s">
        <v>569</v>
      </c>
      <c r="F2350" t="s">
        <v>69</v>
      </c>
      <c r="G2350" t="s">
        <v>111</v>
      </c>
      <c r="H2350" t="s">
        <v>703</v>
      </c>
      <c r="I2350" t="s">
        <v>112</v>
      </c>
      <c r="J2350" t="s">
        <v>702</v>
      </c>
      <c r="K2350" t="s">
        <v>2844</v>
      </c>
      <c r="L2350" t="s">
        <v>2844</v>
      </c>
    </row>
    <row r="2351" spans="1:12" x14ac:dyDescent="0.3">
      <c r="A2351" t="s">
        <v>2600</v>
      </c>
      <c r="B2351" t="s">
        <v>2699</v>
      </c>
      <c r="C2351" t="s">
        <v>750</v>
      </c>
      <c r="D2351" t="s">
        <v>1590</v>
      </c>
      <c r="E2351" t="s">
        <v>569</v>
      </c>
      <c r="F2351" t="s">
        <v>122</v>
      </c>
      <c r="G2351" t="s">
        <v>111</v>
      </c>
      <c r="H2351" t="s">
        <v>1539</v>
      </c>
      <c r="I2351" t="s">
        <v>112</v>
      </c>
      <c r="J2351" t="s">
        <v>704</v>
      </c>
      <c r="K2351" t="s">
        <v>2845</v>
      </c>
      <c r="L2351" t="s">
        <v>2845</v>
      </c>
    </row>
    <row r="2352" spans="1:12" x14ac:dyDescent="0.3">
      <c r="A2352" t="s">
        <v>2600</v>
      </c>
      <c r="B2352" t="s">
        <v>2699</v>
      </c>
      <c r="C2352" t="s">
        <v>750</v>
      </c>
      <c r="D2352" t="s">
        <v>1591</v>
      </c>
      <c r="E2352" t="s">
        <v>569</v>
      </c>
      <c r="F2352" t="s">
        <v>165</v>
      </c>
      <c r="G2352" t="s">
        <v>111</v>
      </c>
      <c r="H2352" t="s">
        <v>703</v>
      </c>
      <c r="I2352" t="s">
        <v>112</v>
      </c>
      <c r="J2352" t="s">
        <v>702</v>
      </c>
      <c r="K2352" t="s">
        <v>2846</v>
      </c>
      <c r="L2352" t="s">
        <v>2846</v>
      </c>
    </row>
    <row r="2353" spans="1:12" x14ac:dyDescent="0.3">
      <c r="A2353" t="s">
        <v>2600</v>
      </c>
      <c r="B2353" t="s">
        <v>2699</v>
      </c>
      <c r="C2353" t="s">
        <v>750</v>
      </c>
      <c r="D2353" t="s">
        <v>1592</v>
      </c>
      <c r="E2353" t="s">
        <v>569</v>
      </c>
      <c r="F2353" t="s">
        <v>54</v>
      </c>
      <c r="G2353" t="s">
        <v>111</v>
      </c>
      <c r="H2353" t="s">
        <v>1561</v>
      </c>
      <c r="I2353" t="s">
        <v>112</v>
      </c>
      <c r="J2353" t="s">
        <v>702</v>
      </c>
    </row>
    <row r="2354" spans="1:12" x14ac:dyDescent="0.3">
      <c r="A2354" t="s">
        <v>2600</v>
      </c>
      <c r="B2354" t="s">
        <v>2699</v>
      </c>
      <c r="C2354" t="s">
        <v>750</v>
      </c>
      <c r="D2354" t="s">
        <v>1593</v>
      </c>
      <c r="E2354" t="s">
        <v>569</v>
      </c>
      <c r="F2354" t="s">
        <v>45</v>
      </c>
      <c r="G2354" t="s">
        <v>111</v>
      </c>
      <c r="H2354" t="s">
        <v>1565</v>
      </c>
      <c r="I2354" t="s">
        <v>112</v>
      </c>
      <c r="J2354" t="s">
        <v>1566</v>
      </c>
      <c r="K2354" t="s">
        <v>2846</v>
      </c>
      <c r="L2354" t="s">
        <v>2846</v>
      </c>
    </row>
    <row r="2355" spans="1:12" x14ac:dyDescent="0.3">
      <c r="A2355" t="s">
        <v>2600</v>
      </c>
      <c r="B2355" t="s">
        <v>2699</v>
      </c>
      <c r="C2355" t="s">
        <v>750</v>
      </c>
      <c r="D2355" t="s">
        <v>1596</v>
      </c>
      <c r="E2355" t="s">
        <v>569</v>
      </c>
      <c r="F2355" t="s">
        <v>190</v>
      </c>
      <c r="G2355" t="s">
        <v>111</v>
      </c>
      <c r="H2355" t="s">
        <v>703</v>
      </c>
      <c r="I2355" t="s">
        <v>112</v>
      </c>
      <c r="J2355" t="s">
        <v>702</v>
      </c>
      <c r="K2355" t="s">
        <v>2840</v>
      </c>
      <c r="L2355" t="s">
        <v>2840</v>
      </c>
    </row>
    <row r="2356" spans="1:12" x14ac:dyDescent="0.3">
      <c r="A2356" t="s">
        <v>2600</v>
      </c>
      <c r="B2356" t="s">
        <v>2699</v>
      </c>
      <c r="C2356" t="s">
        <v>750</v>
      </c>
      <c r="D2356" t="s">
        <v>1597</v>
      </c>
      <c r="E2356" t="s">
        <v>569</v>
      </c>
      <c r="F2356" t="s">
        <v>124</v>
      </c>
      <c r="G2356" t="s">
        <v>111</v>
      </c>
      <c r="H2356" t="s">
        <v>1561</v>
      </c>
      <c r="I2356" t="s">
        <v>112</v>
      </c>
      <c r="J2356" t="s">
        <v>702</v>
      </c>
      <c r="K2356" t="s">
        <v>2840</v>
      </c>
      <c r="L2356" t="s">
        <v>2840</v>
      </c>
    </row>
    <row r="2357" spans="1:12" x14ac:dyDescent="0.3">
      <c r="A2357" t="s">
        <v>2600</v>
      </c>
      <c r="B2357" t="s">
        <v>2699</v>
      </c>
      <c r="C2357" t="s">
        <v>750</v>
      </c>
      <c r="D2357" t="s">
        <v>1598</v>
      </c>
      <c r="E2357" t="s">
        <v>569</v>
      </c>
      <c r="F2357" t="s">
        <v>58</v>
      </c>
      <c r="G2357" t="s">
        <v>111</v>
      </c>
      <c r="H2357" t="s">
        <v>703</v>
      </c>
      <c r="I2357" t="s">
        <v>112</v>
      </c>
      <c r="J2357" t="s">
        <v>702</v>
      </c>
      <c r="K2357" t="s">
        <v>2849</v>
      </c>
      <c r="L2357" t="s">
        <v>2849</v>
      </c>
    </row>
    <row r="2358" spans="1:12" x14ac:dyDescent="0.3">
      <c r="A2358" t="s">
        <v>2600</v>
      </c>
      <c r="B2358" t="s">
        <v>2699</v>
      </c>
      <c r="C2358" t="s">
        <v>750</v>
      </c>
      <c r="D2358" t="s">
        <v>1599</v>
      </c>
      <c r="E2358" t="s">
        <v>569</v>
      </c>
      <c r="F2358" t="s">
        <v>191</v>
      </c>
      <c r="G2358" t="s">
        <v>111</v>
      </c>
      <c r="H2358" t="s">
        <v>1539</v>
      </c>
      <c r="I2358" t="s">
        <v>112</v>
      </c>
      <c r="J2358" t="s">
        <v>704</v>
      </c>
      <c r="K2358" t="s">
        <v>2850</v>
      </c>
      <c r="L2358" t="s">
        <v>2850</v>
      </c>
    </row>
    <row r="2359" spans="1:12" x14ac:dyDescent="0.3">
      <c r="A2359" t="s">
        <v>2600</v>
      </c>
      <c r="B2359" t="s">
        <v>2699</v>
      </c>
      <c r="C2359" t="s">
        <v>750</v>
      </c>
      <c r="D2359" t="s">
        <v>1601</v>
      </c>
      <c r="E2359" t="s">
        <v>569</v>
      </c>
      <c r="F2359" t="s">
        <v>126</v>
      </c>
      <c r="G2359" t="s">
        <v>111</v>
      </c>
      <c r="H2359" t="s">
        <v>1565</v>
      </c>
      <c r="I2359" t="s">
        <v>112</v>
      </c>
      <c r="J2359" t="s">
        <v>1566</v>
      </c>
    </row>
    <row r="2360" spans="1:12" x14ac:dyDescent="0.3">
      <c r="A2360" t="s">
        <v>2600</v>
      </c>
      <c r="B2360" t="s">
        <v>2699</v>
      </c>
      <c r="C2360" t="s">
        <v>750</v>
      </c>
      <c r="D2360" t="s">
        <v>1602</v>
      </c>
      <c r="E2360" t="s">
        <v>569</v>
      </c>
      <c r="F2360" t="s">
        <v>167</v>
      </c>
      <c r="G2360" t="s">
        <v>111</v>
      </c>
      <c r="H2360" t="s">
        <v>703</v>
      </c>
      <c r="I2360" t="s">
        <v>112</v>
      </c>
      <c r="J2360" t="s">
        <v>702</v>
      </c>
      <c r="K2360" t="s">
        <v>2851</v>
      </c>
      <c r="L2360" t="s">
        <v>2851</v>
      </c>
    </row>
    <row r="2361" spans="1:12" x14ac:dyDescent="0.3">
      <c r="A2361" t="s">
        <v>2600</v>
      </c>
      <c r="B2361" t="s">
        <v>2699</v>
      </c>
      <c r="C2361" t="s">
        <v>750</v>
      </c>
      <c r="D2361" t="s">
        <v>1604</v>
      </c>
      <c r="E2361" t="s">
        <v>569</v>
      </c>
      <c r="F2361" t="s">
        <v>127</v>
      </c>
      <c r="G2361" t="s">
        <v>111</v>
      </c>
      <c r="H2361" t="s">
        <v>1539</v>
      </c>
      <c r="I2361" t="s">
        <v>112</v>
      </c>
      <c r="J2361" t="s">
        <v>704</v>
      </c>
      <c r="K2361" t="s">
        <v>2852</v>
      </c>
      <c r="L2361" t="s">
        <v>2852</v>
      </c>
    </row>
    <row r="2362" spans="1:12" x14ac:dyDescent="0.3">
      <c r="A2362" t="s">
        <v>2600</v>
      </c>
      <c r="B2362" t="s">
        <v>2699</v>
      </c>
      <c r="C2362" t="s">
        <v>750</v>
      </c>
      <c r="D2362" t="s">
        <v>1605</v>
      </c>
      <c r="E2362" t="s">
        <v>569</v>
      </c>
      <c r="F2362" t="s">
        <v>128</v>
      </c>
      <c r="G2362" t="s">
        <v>111</v>
      </c>
      <c r="H2362" t="s">
        <v>1539</v>
      </c>
      <c r="I2362" t="s">
        <v>112</v>
      </c>
      <c r="J2362" t="s">
        <v>704</v>
      </c>
      <c r="K2362" t="s">
        <v>2853</v>
      </c>
      <c r="L2362" t="s">
        <v>2853</v>
      </c>
    </row>
    <row r="2363" spans="1:12" x14ac:dyDescent="0.3">
      <c r="A2363" t="s">
        <v>2600</v>
      </c>
      <c r="B2363" t="s">
        <v>2699</v>
      </c>
      <c r="C2363" t="s">
        <v>750</v>
      </c>
      <c r="D2363" t="s">
        <v>1606</v>
      </c>
      <c r="E2363" t="s">
        <v>569</v>
      </c>
      <c r="F2363" t="s">
        <v>168</v>
      </c>
      <c r="G2363" t="s">
        <v>111</v>
      </c>
      <c r="H2363" t="s">
        <v>703</v>
      </c>
      <c r="I2363" t="s">
        <v>112</v>
      </c>
      <c r="J2363" t="s">
        <v>702</v>
      </c>
      <c r="K2363" t="s">
        <v>2859</v>
      </c>
      <c r="L2363" t="s">
        <v>2859</v>
      </c>
    </row>
    <row r="2364" spans="1:12" x14ac:dyDescent="0.3">
      <c r="A2364" t="s">
        <v>2600</v>
      </c>
      <c r="B2364" t="s">
        <v>2699</v>
      </c>
      <c r="C2364" t="s">
        <v>750</v>
      </c>
      <c r="D2364" t="s">
        <v>1607</v>
      </c>
      <c r="E2364" t="s">
        <v>569</v>
      </c>
      <c r="F2364" t="s">
        <v>89</v>
      </c>
      <c r="G2364" t="s">
        <v>111</v>
      </c>
      <c r="H2364" t="s">
        <v>1561</v>
      </c>
      <c r="I2364" t="s">
        <v>112</v>
      </c>
      <c r="J2364" t="s">
        <v>702</v>
      </c>
    </row>
    <row r="2365" spans="1:12" x14ac:dyDescent="0.3">
      <c r="A2365" t="s">
        <v>2600</v>
      </c>
      <c r="B2365" t="s">
        <v>2699</v>
      </c>
      <c r="C2365" t="s">
        <v>750</v>
      </c>
      <c r="D2365" t="s">
        <v>1609</v>
      </c>
      <c r="E2365" t="s">
        <v>569</v>
      </c>
      <c r="F2365" t="s">
        <v>66</v>
      </c>
      <c r="G2365" t="s">
        <v>111</v>
      </c>
      <c r="H2365" t="s">
        <v>1561</v>
      </c>
      <c r="I2365" t="s">
        <v>112</v>
      </c>
      <c r="J2365" t="s">
        <v>702</v>
      </c>
      <c r="K2365" t="s">
        <v>2854</v>
      </c>
      <c r="L2365" t="s">
        <v>2854</v>
      </c>
    </row>
    <row r="2366" spans="1:12" x14ac:dyDescent="0.3">
      <c r="A2366" t="s">
        <v>2600</v>
      </c>
      <c r="B2366" t="s">
        <v>2699</v>
      </c>
      <c r="C2366" t="s">
        <v>750</v>
      </c>
      <c r="D2366" t="s">
        <v>1611</v>
      </c>
      <c r="E2366" t="s">
        <v>569</v>
      </c>
      <c r="F2366" t="s">
        <v>169</v>
      </c>
      <c r="G2366" t="s">
        <v>111</v>
      </c>
      <c r="H2366" t="s">
        <v>1561</v>
      </c>
      <c r="I2366" t="s">
        <v>112</v>
      </c>
      <c r="J2366" t="s">
        <v>702</v>
      </c>
      <c r="K2366" t="s">
        <v>2849</v>
      </c>
      <c r="L2366" t="s">
        <v>2849</v>
      </c>
    </row>
    <row r="2367" spans="1:12" x14ac:dyDescent="0.3">
      <c r="A2367" t="s">
        <v>2600</v>
      </c>
      <c r="B2367" t="s">
        <v>2699</v>
      </c>
      <c r="C2367" t="s">
        <v>750</v>
      </c>
      <c r="D2367" t="s">
        <v>1612</v>
      </c>
      <c r="E2367" t="s">
        <v>569</v>
      </c>
      <c r="F2367" t="s">
        <v>110</v>
      </c>
      <c r="G2367" t="s">
        <v>111</v>
      </c>
      <c r="H2367" t="s">
        <v>703</v>
      </c>
      <c r="I2367" t="s">
        <v>112</v>
      </c>
      <c r="J2367" t="s">
        <v>702</v>
      </c>
      <c r="K2367" t="s">
        <v>2860</v>
      </c>
      <c r="L2367" t="s">
        <v>2860</v>
      </c>
    </row>
    <row r="2368" spans="1:12" x14ac:dyDescent="0.3">
      <c r="A2368" t="s">
        <v>2600</v>
      </c>
      <c r="B2368" t="s">
        <v>2699</v>
      </c>
      <c r="C2368" t="s">
        <v>750</v>
      </c>
      <c r="D2368" t="s">
        <v>1613</v>
      </c>
      <c r="E2368" t="s">
        <v>569</v>
      </c>
      <c r="F2368" t="s">
        <v>93</v>
      </c>
      <c r="G2368" t="s">
        <v>111</v>
      </c>
      <c r="H2368" t="s">
        <v>703</v>
      </c>
      <c r="I2368" t="s">
        <v>112</v>
      </c>
      <c r="J2368" t="s">
        <v>702</v>
      </c>
      <c r="K2368" t="s">
        <v>2855</v>
      </c>
      <c r="L2368" t="s">
        <v>2855</v>
      </c>
    </row>
    <row r="2369" spans="1:12" x14ac:dyDescent="0.3">
      <c r="A2369" t="s">
        <v>2600</v>
      </c>
      <c r="B2369" t="s">
        <v>2699</v>
      </c>
      <c r="C2369" t="s">
        <v>750</v>
      </c>
      <c r="D2369" t="s">
        <v>1614</v>
      </c>
      <c r="E2369" t="s">
        <v>569</v>
      </c>
      <c r="F2369" t="s">
        <v>129</v>
      </c>
      <c r="G2369" t="s">
        <v>111</v>
      </c>
      <c r="H2369" t="s">
        <v>703</v>
      </c>
      <c r="I2369" t="s">
        <v>112</v>
      </c>
      <c r="J2369" t="s">
        <v>702</v>
      </c>
      <c r="K2369" t="s">
        <v>2856</v>
      </c>
      <c r="L2369" t="s">
        <v>2856</v>
      </c>
    </row>
    <row r="2370" spans="1:12" x14ac:dyDescent="0.3">
      <c r="A2370" t="s">
        <v>2600</v>
      </c>
      <c r="B2370" t="s">
        <v>2699</v>
      </c>
      <c r="C2370" t="s">
        <v>750</v>
      </c>
      <c r="D2370" t="s">
        <v>1615</v>
      </c>
      <c r="E2370" t="s">
        <v>569</v>
      </c>
      <c r="F2370" t="s">
        <v>87</v>
      </c>
      <c r="G2370" t="s">
        <v>111</v>
      </c>
      <c r="H2370" t="s">
        <v>703</v>
      </c>
      <c r="I2370" t="s">
        <v>112</v>
      </c>
      <c r="J2370" t="s">
        <v>702</v>
      </c>
      <c r="K2370" t="s">
        <v>2873</v>
      </c>
      <c r="L2370" t="s">
        <v>2873</v>
      </c>
    </row>
    <row r="2371" spans="1:12" x14ac:dyDescent="0.3">
      <c r="A2371" t="s">
        <v>2600</v>
      </c>
      <c r="B2371" t="s">
        <v>2699</v>
      </c>
      <c r="C2371" t="s">
        <v>750</v>
      </c>
      <c r="D2371" t="s">
        <v>1616</v>
      </c>
      <c r="E2371" t="s">
        <v>569</v>
      </c>
      <c r="F2371" t="s">
        <v>130</v>
      </c>
      <c r="G2371" t="s">
        <v>111</v>
      </c>
      <c r="H2371" t="s">
        <v>703</v>
      </c>
      <c r="I2371" t="s">
        <v>112</v>
      </c>
      <c r="J2371" t="s">
        <v>702</v>
      </c>
      <c r="K2371" t="s">
        <v>2889</v>
      </c>
      <c r="L2371" t="s">
        <v>2889</v>
      </c>
    </row>
    <row r="2372" spans="1:12" x14ac:dyDescent="0.3">
      <c r="A2372" t="s">
        <v>2600</v>
      </c>
      <c r="B2372" t="s">
        <v>2699</v>
      </c>
      <c r="C2372" t="s">
        <v>750</v>
      </c>
      <c r="D2372" t="s">
        <v>1617</v>
      </c>
      <c r="E2372" t="s">
        <v>569</v>
      </c>
      <c r="F2372" t="s">
        <v>131</v>
      </c>
      <c r="G2372" t="s">
        <v>111</v>
      </c>
      <c r="H2372" t="s">
        <v>1565</v>
      </c>
      <c r="I2372" t="s">
        <v>112</v>
      </c>
      <c r="J2372" t="s">
        <v>1566</v>
      </c>
    </row>
    <row r="2373" spans="1:12" x14ac:dyDescent="0.3">
      <c r="A2373" t="s">
        <v>2600</v>
      </c>
      <c r="B2373" t="s">
        <v>2699</v>
      </c>
      <c r="C2373" t="s">
        <v>750</v>
      </c>
      <c r="D2373" t="s">
        <v>1618</v>
      </c>
      <c r="E2373" t="s">
        <v>569</v>
      </c>
      <c r="F2373" t="s">
        <v>50</v>
      </c>
      <c r="G2373" t="s">
        <v>111</v>
      </c>
      <c r="H2373" t="s">
        <v>1539</v>
      </c>
      <c r="I2373" t="s">
        <v>112</v>
      </c>
      <c r="J2373" t="s">
        <v>704</v>
      </c>
      <c r="K2373" t="s">
        <v>2858</v>
      </c>
      <c r="L2373" t="s">
        <v>2858</v>
      </c>
    </row>
    <row r="2374" spans="1:12" x14ac:dyDescent="0.3">
      <c r="A2374" t="s">
        <v>2600</v>
      </c>
      <c r="B2374" t="s">
        <v>2699</v>
      </c>
      <c r="C2374" t="s">
        <v>750</v>
      </c>
      <c r="D2374" t="s">
        <v>1619</v>
      </c>
      <c r="E2374" t="s">
        <v>568</v>
      </c>
      <c r="F2374" t="s">
        <v>193</v>
      </c>
      <c r="G2374" t="s">
        <v>111</v>
      </c>
      <c r="H2374" t="s">
        <v>703</v>
      </c>
      <c r="I2374" t="s">
        <v>112</v>
      </c>
      <c r="J2374" t="s">
        <v>702</v>
      </c>
      <c r="K2374" t="s">
        <v>2851</v>
      </c>
      <c r="L2374" t="s">
        <v>2851</v>
      </c>
    </row>
    <row r="2375" spans="1:12" x14ac:dyDescent="0.3">
      <c r="A2375" t="s">
        <v>2600</v>
      </c>
      <c r="B2375" t="s">
        <v>2699</v>
      </c>
      <c r="C2375" t="s">
        <v>750</v>
      </c>
      <c r="D2375" t="s">
        <v>1620</v>
      </c>
      <c r="E2375" t="s">
        <v>568</v>
      </c>
      <c r="F2375" t="s">
        <v>134</v>
      </c>
      <c r="G2375" t="s">
        <v>111</v>
      </c>
      <c r="H2375" t="s">
        <v>703</v>
      </c>
      <c r="I2375" t="s">
        <v>112</v>
      </c>
      <c r="J2375" t="s">
        <v>702</v>
      </c>
      <c r="K2375" t="s">
        <v>2846</v>
      </c>
      <c r="L2375" t="s">
        <v>2846</v>
      </c>
    </row>
    <row r="2376" spans="1:12" x14ac:dyDescent="0.3">
      <c r="A2376" t="s">
        <v>2600</v>
      </c>
      <c r="B2376" t="s">
        <v>2699</v>
      </c>
      <c r="C2376" t="s">
        <v>750</v>
      </c>
      <c r="D2376" t="s">
        <v>1621</v>
      </c>
      <c r="E2376" t="s">
        <v>568</v>
      </c>
      <c r="F2376" t="s">
        <v>51</v>
      </c>
      <c r="G2376" t="s">
        <v>111</v>
      </c>
      <c r="H2376" t="s">
        <v>703</v>
      </c>
      <c r="I2376" t="s">
        <v>112</v>
      </c>
      <c r="J2376" t="s">
        <v>702</v>
      </c>
      <c r="K2376" t="s">
        <v>2859</v>
      </c>
      <c r="L2376" t="s">
        <v>2859</v>
      </c>
    </row>
    <row r="2377" spans="1:12" x14ac:dyDescent="0.3">
      <c r="A2377" t="s">
        <v>2600</v>
      </c>
      <c r="B2377" t="s">
        <v>2699</v>
      </c>
      <c r="C2377" t="s">
        <v>750</v>
      </c>
      <c r="D2377" t="s">
        <v>1622</v>
      </c>
      <c r="E2377" t="s">
        <v>568</v>
      </c>
      <c r="F2377" t="s">
        <v>163</v>
      </c>
      <c r="G2377" t="s">
        <v>111</v>
      </c>
      <c r="H2377" t="s">
        <v>1561</v>
      </c>
      <c r="I2377" t="s">
        <v>112</v>
      </c>
      <c r="J2377" t="s">
        <v>702</v>
      </c>
      <c r="K2377" t="s">
        <v>2842</v>
      </c>
      <c r="L2377" t="s">
        <v>2842</v>
      </c>
    </row>
    <row r="2378" spans="1:12" x14ac:dyDescent="0.3">
      <c r="A2378" t="s">
        <v>2600</v>
      </c>
      <c r="B2378" t="s">
        <v>2699</v>
      </c>
      <c r="C2378" t="s">
        <v>750</v>
      </c>
      <c r="D2378" t="s">
        <v>1623</v>
      </c>
      <c r="E2378" t="s">
        <v>568</v>
      </c>
      <c r="F2378" t="s">
        <v>170</v>
      </c>
      <c r="G2378" t="s">
        <v>111</v>
      </c>
      <c r="H2378" t="s">
        <v>703</v>
      </c>
      <c r="I2378" t="s">
        <v>112</v>
      </c>
      <c r="J2378" t="s">
        <v>702</v>
      </c>
      <c r="K2378" t="s">
        <v>2860</v>
      </c>
      <c r="L2378" t="s">
        <v>2860</v>
      </c>
    </row>
    <row r="2379" spans="1:12" x14ac:dyDescent="0.3">
      <c r="A2379" t="s">
        <v>2600</v>
      </c>
      <c r="B2379" t="s">
        <v>2699</v>
      </c>
      <c r="C2379" t="s">
        <v>750</v>
      </c>
      <c r="D2379" t="s">
        <v>1624</v>
      </c>
      <c r="E2379" t="s">
        <v>568</v>
      </c>
      <c r="F2379" t="s">
        <v>78</v>
      </c>
      <c r="G2379" t="s">
        <v>111</v>
      </c>
      <c r="H2379" t="s">
        <v>1561</v>
      </c>
      <c r="I2379" t="s">
        <v>112</v>
      </c>
      <c r="J2379" t="s">
        <v>702</v>
      </c>
      <c r="K2379" t="s">
        <v>2839</v>
      </c>
      <c r="L2379" t="s">
        <v>2839</v>
      </c>
    </row>
    <row r="2380" spans="1:12" x14ac:dyDescent="0.3">
      <c r="A2380" t="s">
        <v>2600</v>
      </c>
      <c r="B2380" t="s">
        <v>2699</v>
      </c>
      <c r="C2380" t="s">
        <v>750</v>
      </c>
      <c r="D2380" t="s">
        <v>1625</v>
      </c>
      <c r="E2380" t="s">
        <v>568</v>
      </c>
      <c r="F2380" t="s">
        <v>82</v>
      </c>
      <c r="G2380" t="s">
        <v>111</v>
      </c>
      <c r="H2380" t="s">
        <v>703</v>
      </c>
      <c r="I2380" t="s">
        <v>112</v>
      </c>
      <c r="J2380" t="s">
        <v>702</v>
      </c>
      <c r="K2380" t="s">
        <v>2861</v>
      </c>
      <c r="L2380" t="s">
        <v>2861</v>
      </c>
    </row>
    <row r="2381" spans="1:12" x14ac:dyDescent="0.3">
      <c r="A2381" t="s">
        <v>2600</v>
      </c>
      <c r="B2381" t="s">
        <v>2699</v>
      </c>
      <c r="C2381" t="s">
        <v>750</v>
      </c>
      <c r="D2381" t="s">
        <v>1626</v>
      </c>
      <c r="E2381" t="s">
        <v>568</v>
      </c>
      <c r="F2381" t="s">
        <v>135</v>
      </c>
      <c r="G2381" t="s">
        <v>111</v>
      </c>
      <c r="H2381" t="s">
        <v>703</v>
      </c>
      <c r="I2381" t="s">
        <v>112</v>
      </c>
      <c r="J2381" t="s">
        <v>702</v>
      </c>
      <c r="K2381" t="s">
        <v>2890</v>
      </c>
      <c r="L2381" t="s">
        <v>2890</v>
      </c>
    </row>
    <row r="2382" spans="1:12" x14ac:dyDescent="0.3">
      <c r="A2382" t="s">
        <v>2600</v>
      </c>
      <c r="B2382" t="s">
        <v>2699</v>
      </c>
      <c r="C2382" t="s">
        <v>750</v>
      </c>
      <c r="D2382" t="s">
        <v>1627</v>
      </c>
      <c r="E2382" t="s">
        <v>568</v>
      </c>
      <c r="F2382" t="s">
        <v>136</v>
      </c>
      <c r="G2382" t="s">
        <v>111</v>
      </c>
      <c r="H2382" t="s">
        <v>703</v>
      </c>
      <c r="I2382" t="s">
        <v>112</v>
      </c>
      <c r="J2382" t="s">
        <v>702</v>
      </c>
      <c r="K2382" t="s">
        <v>2862</v>
      </c>
      <c r="L2382" t="s">
        <v>2862</v>
      </c>
    </row>
    <row r="2383" spans="1:12" x14ac:dyDescent="0.3">
      <c r="A2383" t="s">
        <v>2600</v>
      </c>
      <c r="B2383" t="s">
        <v>2699</v>
      </c>
      <c r="C2383" t="s">
        <v>750</v>
      </c>
      <c r="D2383" t="s">
        <v>1628</v>
      </c>
      <c r="E2383" t="s">
        <v>568</v>
      </c>
      <c r="F2383" t="s">
        <v>60</v>
      </c>
      <c r="G2383" t="s">
        <v>111</v>
      </c>
      <c r="H2383" t="s">
        <v>703</v>
      </c>
      <c r="I2383" t="s">
        <v>112</v>
      </c>
      <c r="J2383" t="s">
        <v>702</v>
      </c>
      <c r="K2383" t="s">
        <v>2891</v>
      </c>
      <c r="L2383" t="s">
        <v>2891</v>
      </c>
    </row>
    <row r="2384" spans="1:12" x14ac:dyDescent="0.3">
      <c r="A2384" t="s">
        <v>2600</v>
      </c>
      <c r="B2384" t="s">
        <v>2699</v>
      </c>
      <c r="C2384" t="s">
        <v>750</v>
      </c>
      <c r="D2384" t="s">
        <v>1629</v>
      </c>
      <c r="E2384" t="s">
        <v>568</v>
      </c>
      <c r="F2384" t="s">
        <v>70</v>
      </c>
      <c r="G2384" t="s">
        <v>111</v>
      </c>
      <c r="H2384" t="s">
        <v>703</v>
      </c>
      <c r="I2384" t="s">
        <v>112</v>
      </c>
      <c r="J2384" t="s">
        <v>702</v>
      </c>
      <c r="K2384" t="s">
        <v>2863</v>
      </c>
      <c r="L2384" t="s">
        <v>2863</v>
      </c>
    </row>
    <row r="2385" spans="1:12" x14ac:dyDescent="0.3">
      <c r="A2385" t="s">
        <v>2600</v>
      </c>
      <c r="B2385" t="s">
        <v>2699</v>
      </c>
      <c r="C2385" t="s">
        <v>750</v>
      </c>
      <c r="D2385" t="s">
        <v>1630</v>
      </c>
      <c r="E2385" t="s">
        <v>568</v>
      </c>
      <c r="F2385" t="s">
        <v>48</v>
      </c>
      <c r="G2385" t="s">
        <v>111</v>
      </c>
      <c r="H2385" t="s">
        <v>703</v>
      </c>
      <c r="I2385" t="s">
        <v>112</v>
      </c>
      <c r="J2385" t="s">
        <v>702</v>
      </c>
      <c r="K2385" t="s">
        <v>2859</v>
      </c>
      <c r="L2385" t="s">
        <v>2859</v>
      </c>
    </row>
    <row r="2386" spans="1:12" x14ac:dyDescent="0.3">
      <c r="A2386" t="s">
        <v>2600</v>
      </c>
      <c r="B2386" t="s">
        <v>2699</v>
      </c>
      <c r="C2386" t="s">
        <v>750</v>
      </c>
      <c r="D2386" t="s">
        <v>1631</v>
      </c>
      <c r="E2386" t="s">
        <v>568</v>
      </c>
      <c r="F2386" t="s">
        <v>138</v>
      </c>
      <c r="G2386" t="s">
        <v>111</v>
      </c>
      <c r="H2386" t="s">
        <v>703</v>
      </c>
      <c r="I2386" t="s">
        <v>112</v>
      </c>
      <c r="J2386" t="s">
        <v>702</v>
      </c>
      <c r="K2386" t="s">
        <v>2864</v>
      </c>
      <c r="L2386" t="s">
        <v>2864</v>
      </c>
    </row>
    <row r="2387" spans="1:12" x14ac:dyDescent="0.3">
      <c r="A2387" t="s">
        <v>2600</v>
      </c>
      <c r="B2387" t="s">
        <v>2699</v>
      </c>
      <c r="C2387" t="s">
        <v>750</v>
      </c>
      <c r="D2387" t="s">
        <v>1632</v>
      </c>
      <c r="E2387" t="s">
        <v>568</v>
      </c>
      <c r="F2387" t="s">
        <v>95</v>
      </c>
      <c r="G2387" t="s">
        <v>111</v>
      </c>
      <c r="H2387" t="s">
        <v>703</v>
      </c>
      <c r="I2387" t="s">
        <v>112</v>
      </c>
      <c r="J2387" t="s">
        <v>702</v>
      </c>
      <c r="K2387" t="s">
        <v>2892</v>
      </c>
      <c r="L2387" t="s">
        <v>2892</v>
      </c>
    </row>
    <row r="2388" spans="1:12" x14ac:dyDescent="0.3">
      <c r="A2388" t="s">
        <v>2600</v>
      </c>
      <c r="B2388" t="s">
        <v>2699</v>
      </c>
      <c r="C2388" t="s">
        <v>750</v>
      </c>
      <c r="D2388" t="s">
        <v>1633</v>
      </c>
      <c r="E2388" t="s">
        <v>568</v>
      </c>
      <c r="F2388" t="s">
        <v>139</v>
      </c>
      <c r="G2388" t="s">
        <v>111</v>
      </c>
      <c r="H2388" t="s">
        <v>703</v>
      </c>
      <c r="I2388" t="s">
        <v>112</v>
      </c>
      <c r="J2388" t="s">
        <v>702</v>
      </c>
      <c r="K2388" t="s">
        <v>2865</v>
      </c>
      <c r="L2388" t="s">
        <v>2865</v>
      </c>
    </row>
    <row r="2389" spans="1:12" x14ac:dyDescent="0.3">
      <c r="A2389" t="s">
        <v>2600</v>
      </c>
      <c r="B2389" t="s">
        <v>2699</v>
      </c>
      <c r="C2389" t="s">
        <v>750</v>
      </c>
      <c r="D2389" t="s">
        <v>1634</v>
      </c>
      <c r="E2389" t="s">
        <v>568</v>
      </c>
      <c r="F2389" t="s">
        <v>171</v>
      </c>
      <c r="G2389" t="s">
        <v>111</v>
      </c>
      <c r="H2389" t="s">
        <v>1561</v>
      </c>
      <c r="I2389" t="s">
        <v>112</v>
      </c>
      <c r="J2389" t="s">
        <v>702</v>
      </c>
    </row>
    <row r="2390" spans="1:12" x14ac:dyDescent="0.3">
      <c r="A2390" t="s">
        <v>2600</v>
      </c>
      <c r="B2390" t="s">
        <v>2699</v>
      </c>
      <c r="C2390" t="s">
        <v>750</v>
      </c>
      <c r="D2390" t="s">
        <v>1636</v>
      </c>
      <c r="E2390" t="s">
        <v>568</v>
      </c>
      <c r="F2390" t="s">
        <v>172</v>
      </c>
      <c r="G2390" t="s">
        <v>111</v>
      </c>
      <c r="H2390" t="s">
        <v>703</v>
      </c>
      <c r="I2390" t="s">
        <v>112</v>
      </c>
      <c r="J2390" t="s">
        <v>702</v>
      </c>
      <c r="K2390" t="s">
        <v>2851</v>
      </c>
      <c r="L2390" t="s">
        <v>2851</v>
      </c>
    </row>
    <row r="2391" spans="1:12" x14ac:dyDescent="0.3">
      <c r="A2391" t="s">
        <v>2600</v>
      </c>
      <c r="B2391" t="s">
        <v>2699</v>
      </c>
      <c r="C2391" t="s">
        <v>750</v>
      </c>
      <c r="D2391" t="s">
        <v>1637</v>
      </c>
      <c r="E2391" t="s">
        <v>568</v>
      </c>
      <c r="F2391" t="s">
        <v>62</v>
      </c>
      <c r="G2391" t="s">
        <v>111</v>
      </c>
      <c r="H2391" t="s">
        <v>703</v>
      </c>
      <c r="I2391" t="s">
        <v>112</v>
      </c>
      <c r="J2391" t="s">
        <v>702</v>
      </c>
      <c r="K2391" t="s">
        <v>2866</v>
      </c>
      <c r="L2391" t="s">
        <v>2866</v>
      </c>
    </row>
    <row r="2392" spans="1:12" x14ac:dyDescent="0.3">
      <c r="A2392" t="s">
        <v>2600</v>
      </c>
      <c r="B2392" t="s">
        <v>2699</v>
      </c>
      <c r="C2392" t="s">
        <v>750</v>
      </c>
      <c r="D2392" t="s">
        <v>1638</v>
      </c>
      <c r="E2392" t="s">
        <v>568</v>
      </c>
      <c r="F2392" t="s">
        <v>57</v>
      </c>
      <c r="G2392" t="s">
        <v>111</v>
      </c>
      <c r="H2392" t="s">
        <v>703</v>
      </c>
      <c r="I2392" t="s">
        <v>112</v>
      </c>
      <c r="J2392" t="s">
        <v>702</v>
      </c>
      <c r="K2392" t="s">
        <v>2867</v>
      </c>
      <c r="L2392" t="s">
        <v>2867</v>
      </c>
    </row>
    <row r="2393" spans="1:12" x14ac:dyDescent="0.3">
      <c r="A2393" t="s">
        <v>2600</v>
      </c>
      <c r="B2393" t="s">
        <v>2699</v>
      </c>
      <c r="C2393" t="s">
        <v>750</v>
      </c>
      <c r="D2393" t="s">
        <v>1639</v>
      </c>
      <c r="E2393" t="s">
        <v>568</v>
      </c>
      <c r="F2393" t="s">
        <v>174</v>
      </c>
      <c r="G2393" t="s">
        <v>111</v>
      </c>
      <c r="H2393" t="s">
        <v>1561</v>
      </c>
      <c r="I2393" t="s">
        <v>112</v>
      </c>
      <c r="J2393" t="s">
        <v>702</v>
      </c>
    </row>
    <row r="2394" spans="1:12" x14ac:dyDescent="0.3">
      <c r="A2394" t="s">
        <v>2600</v>
      </c>
      <c r="B2394" t="s">
        <v>2699</v>
      </c>
      <c r="C2394" t="s">
        <v>750</v>
      </c>
      <c r="D2394" t="s">
        <v>1640</v>
      </c>
      <c r="E2394" t="s">
        <v>568</v>
      </c>
      <c r="F2394" t="s">
        <v>77</v>
      </c>
      <c r="G2394" t="s">
        <v>111</v>
      </c>
      <c r="H2394" t="s">
        <v>703</v>
      </c>
      <c r="I2394" t="s">
        <v>112</v>
      </c>
      <c r="J2394" t="s">
        <v>702</v>
      </c>
      <c r="K2394" t="s">
        <v>2841</v>
      </c>
      <c r="L2394" t="s">
        <v>2841</v>
      </c>
    </row>
    <row r="2395" spans="1:12" x14ac:dyDescent="0.3">
      <c r="A2395" t="s">
        <v>2600</v>
      </c>
      <c r="B2395" t="s">
        <v>2699</v>
      </c>
      <c r="C2395" t="s">
        <v>750</v>
      </c>
      <c r="D2395" t="s">
        <v>1641</v>
      </c>
      <c r="E2395" t="s">
        <v>568</v>
      </c>
      <c r="F2395" t="s">
        <v>102</v>
      </c>
      <c r="G2395" t="s">
        <v>111</v>
      </c>
      <c r="H2395" t="s">
        <v>703</v>
      </c>
      <c r="I2395" t="s">
        <v>112</v>
      </c>
      <c r="J2395" t="s">
        <v>702</v>
      </c>
      <c r="K2395" t="s">
        <v>2876</v>
      </c>
      <c r="L2395" t="s">
        <v>2876</v>
      </c>
    </row>
    <row r="2396" spans="1:12" x14ac:dyDescent="0.3">
      <c r="A2396" t="s">
        <v>2600</v>
      </c>
      <c r="B2396" t="s">
        <v>2699</v>
      </c>
      <c r="C2396" t="s">
        <v>750</v>
      </c>
      <c r="D2396" t="s">
        <v>1642</v>
      </c>
      <c r="E2396" t="s">
        <v>568</v>
      </c>
      <c r="F2396" t="s">
        <v>175</v>
      </c>
      <c r="G2396" t="s">
        <v>111</v>
      </c>
      <c r="H2396" t="s">
        <v>1561</v>
      </c>
      <c r="I2396" t="s">
        <v>112</v>
      </c>
      <c r="J2396" t="s">
        <v>702</v>
      </c>
      <c r="K2396" t="s">
        <v>2869</v>
      </c>
      <c r="L2396" t="s">
        <v>2869</v>
      </c>
    </row>
    <row r="2397" spans="1:12" x14ac:dyDescent="0.3">
      <c r="A2397" t="s">
        <v>2600</v>
      </c>
      <c r="B2397" t="s">
        <v>2699</v>
      </c>
      <c r="C2397" t="s">
        <v>750</v>
      </c>
      <c r="D2397" t="s">
        <v>1643</v>
      </c>
      <c r="E2397" t="s">
        <v>568</v>
      </c>
      <c r="F2397" t="s">
        <v>46</v>
      </c>
      <c r="G2397" t="s">
        <v>111</v>
      </c>
      <c r="H2397" t="s">
        <v>1561</v>
      </c>
      <c r="I2397" t="s">
        <v>112</v>
      </c>
      <c r="J2397" t="s">
        <v>702</v>
      </c>
    </row>
    <row r="2398" spans="1:12" x14ac:dyDescent="0.3">
      <c r="A2398" t="s">
        <v>2600</v>
      </c>
      <c r="B2398" t="s">
        <v>2699</v>
      </c>
      <c r="C2398" t="s">
        <v>750</v>
      </c>
      <c r="D2398" t="s">
        <v>1644</v>
      </c>
      <c r="E2398" t="s">
        <v>568</v>
      </c>
      <c r="F2398" t="s">
        <v>202</v>
      </c>
      <c r="G2398" t="s">
        <v>111</v>
      </c>
      <c r="H2398" t="s">
        <v>703</v>
      </c>
      <c r="I2398" t="s">
        <v>112</v>
      </c>
      <c r="J2398" t="s">
        <v>702</v>
      </c>
      <c r="K2398" t="s">
        <v>2870</v>
      </c>
      <c r="L2398" t="s">
        <v>2870</v>
      </c>
    </row>
    <row r="2399" spans="1:12" x14ac:dyDescent="0.3">
      <c r="A2399" t="s">
        <v>2600</v>
      </c>
      <c r="B2399" t="s">
        <v>2699</v>
      </c>
      <c r="C2399" t="s">
        <v>750</v>
      </c>
      <c r="D2399" t="s">
        <v>1645</v>
      </c>
      <c r="E2399" t="s">
        <v>568</v>
      </c>
      <c r="F2399" t="s">
        <v>141</v>
      </c>
      <c r="G2399" t="s">
        <v>111</v>
      </c>
      <c r="H2399" t="s">
        <v>703</v>
      </c>
      <c r="I2399" t="s">
        <v>112</v>
      </c>
      <c r="J2399" t="s">
        <v>702</v>
      </c>
      <c r="K2399" t="s">
        <v>2865</v>
      </c>
      <c r="L2399" t="s">
        <v>2865</v>
      </c>
    </row>
    <row r="2400" spans="1:12" x14ac:dyDescent="0.3">
      <c r="A2400" t="s">
        <v>2600</v>
      </c>
      <c r="B2400" t="s">
        <v>2699</v>
      </c>
      <c r="C2400" t="s">
        <v>750</v>
      </c>
      <c r="D2400" t="s">
        <v>1646</v>
      </c>
      <c r="E2400" t="s">
        <v>568</v>
      </c>
      <c r="F2400" t="s">
        <v>142</v>
      </c>
      <c r="G2400" t="s">
        <v>111</v>
      </c>
      <c r="H2400" t="s">
        <v>703</v>
      </c>
      <c r="I2400" t="s">
        <v>112</v>
      </c>
      <c r="J2400" t="s">
        <v>702</v>
      </c>
      <c r="K2400" t="s">
        <v>2838</v>
      </c>
      <c r="L2400" t="s">
        <v>2838</v>
      </c>
    </row>
    <row r="2401" spans="1:12" x14ac:dyDescent="0.3">
      <c r="A2401" t="s">
        <v>2600</v>
      </c>
      <c r="B2401" t="s">
        <v>2699</v>
      </c>
      <c r="C2401" t="s">
        <v>750</v>
      </c>
      <c r="D2401" t="s">
        <v>1647</v>
      </c>
      <c r="E2401" t="s">
        <v>568</v>
      </c>
      <c r="F2401" t="s">
        <v>75</v>
      </c>
      <c r="G2401" t="s">
        <v>111</v>
      </c>
      <c r="H2401" t="s">
        <v>703</v>
      </c>
      <c r="I2401" t="s">
        <v>112</v>
      </c>
      <c r="J2401" t="s">
        <v>702</v>
      </c>
      <c r="K2401" t="s">
        <v>2886</v>
      </c>
      <c r="L2401" t="s">
        <v>2886</v>
      </c>
    </row>
    <row r="2402" spans="1:12" x14ac:dyDescent="0.3">
      <c r="A2402" t="s">
        <v>2600</v>
      </c>
      <c r="B2402" t="s">
        <v>2699</v>
      </c>
      <c r="C2402" t="s">
        <v>750</v>
      </c>
      <c r="D2402" t="s">
        <v>1648</v>
      </c>
      <c r="E2402" t="s">
        <v>568</v>
      </c>
      <c r="F2402" t="s">
        <v>143</v>
      </c>
      <c r="G2402" t="s">
        <v>111</v>
      </c>
      <c r="H2402" t="s">
        <v>1561</v>
      </c>
      <c r="I2402" t="s">
        <v>112</v>
      </c>
      <c r="J2402" t="s">
        <v>702</v>
      </c>
    </row>
    <row r="2403" spans="1:12" x14ac:dyDescent="0.3">
      <c r="A2403" t="s">
        <v>2600</v>
      </c>
      <c r="B2403" t="s">
        <v>2699</v>
      </c>
      <c r="C2403" t="s">
        <v>750</v>
      </c>
      <c r="D2403" t="s">
        <v>1649</v>
      </c>
      <c r="E2403" t="s">
        <v>568</v>
      </c>
      <c r="F2403" t="s">
        <v>144</v>
      </c>
      <c r="G2403" t="s">
        <v>111</v>
      </c>
      <c r="H2403" t="s">
        <v>703</v>
      </c>
      <c r="I2403" t="s">
        <v>112</v>
      </c>
      <c r="J2403" t="s">
        <v>702</v>
      </c>
      <c r="K2403" t="s">
        <v>2851</v>
      </c>
      <c r="L2403" t="s">
        <v>2851</v>
      </c>
    </row>
    <row r="2404" spans="1:12" x14ac:dyDescent="0.3">
      <c r="A2404" t="s">
        <v>2600</v>
      </c>
      <c r="B2404" t="s">
        <v>2699</v>
      </c>
      <c r="C2404" t="s">
        <v>750</v>
      </c>
      <c r="D2404" t="s">
        <v>1650</v>
      </c>
      <c r="E2404" t="s">
        <v>568</v>
      </c>
      <c r="F2404" t="s">
        <v>194</v>
      </c>
      <c r="G2404" t="s">
        <v>111</v>
      </c>
      <c r="H2404" t="s">
        <v>703</v>
      </c>
      <c r="I2404" t="s">
        <v>112</v>
      </c>
      <c r="J2404" t="s">
        <v>702</v>
      </c>
      <c r="K2404" t="s">
        <v>2871</v>
      </c>
      <c r="L2404" t="s">
        <v>2871</v>
      </c>
    </row>
    <row r="2405" spans="1:12" x14ac:dyDescent="0.3">
      <c r="A2405" t="s">
        <v>2600</v>
      </c>
      <c r="B2405" t="s">
        <v>2699</v>
      </c>
      <c r="C2405" t="s">
        <v>750</v>
      </c>
      <c r="D2405" t="s">
        <v>1651</v>
      </c>
      <c r="E2405" t="s">
        <v>568</v>
      </c>
      <c r="F2405" t="s">
        <v>145</v>
      </c>
      <c r="G2405" t="s">
        <v>111</v>
      </c>
      <c r="H2405" t="s">
        <v>1561</v>
      </c>
      <c r="I2405" t="s">
        <v>112</v>
      </c>
      <c r="J2405" t="s">
        <v>702</v>
      </c>
    </row>
    <row r="2406" spans="1:12" x14ac:dyDescent="0.3">
      <c r="A2406" t="s">
        <v>2600</v>
      </c>
      <c r="B2406" t="s">
        <v>2699</v>
      </c>
      <c r="C2406" t="s">
        <v>750</v>
      </c>
      <c r="D2406" t="s">
        <v>1652</v>
      </c>
      <c r="E2406" t="s">
        <v>567</v>
      </c>
      <c r="F2406" t="s">
        <v>104</v>
      </c>
      <c r="G2406" t="s">
        <v>111</v>
      </c>
      <c r="H2406" t="s">
        <v>703</v>
      </c>
      <c r="I2406" t="s">
        <v>112</v>
      </c>
      <c r="J2406" t="s">
        <v>702</v>
      </c>
      <c r="K2406" t="s">
        <v>2872</v>
      </c>
      <c r="L2406" t="s">
        <v>2872</v>
      </c>
    </row>
    <row r="2407" spans="1:12" x14ac:dyDescent="0.3">
      <c r="A2407" t="s">
        <v>2600</v>
      </c>
      <c r="B2407" t="s">
        <v>2699</v>
      </c>
      <c r="C2407" t="s">
        <v>750</v>
      </c>
      <c r="D2407" t="s">
        <v>1653</v>
      </c>
      <c r="E2407" t="s">
        <v>567</v>
      </c>
      <c r="F2407" t="s">
        <v>176</v>
      </c>
      <c r="G2407" t="s">
        <v>111</v>
      </c>
      <c r="H2407" t="s">
        <v>1561</v>
      </c>
      <c r="I2407" t="s">
        <v>112</v>
      </c>
      <c r="J2407" t="s">
        <v>702</v>
      </c>
    </row>
    <row r="2408" spans="1:12" x14ac:dyDescent="0.3">
      <c r="A2408" t="s">
        <v>2600</v>
      </c>
      <c r="B2408" t="s">
        <v>2699</v>
      </c>
      <c r="C2408" t="s">
        <v>750</v>
      </c>
      <c r="D2408" t="s">
        <v>1654</v>
      </c>
      <c r="E2408" t="s">
        <v>567</v>
      </c>
      <c r="F2408" t="s">
        <v>146</v>
      </c>
      <c r="G2408" t="s">
        <v>111</v>
      </c>
      <c r="H2408" t="s">
        <v>1561</v>
      </c>
      <c r="I2408" t="s">
        <v>112</v>
      </c>
      <c r="J2408" t="s">
        <v>702</v>
      </c>
    </row>
    <row r="2409" spans="1:12" x14ac:dyDescent="0.3">
      <c r="A2409" t="s">
        <v>2600</v>
      </c>
      <c r="B2409" t="s">
        <v>2699</v>
      </c>
      <c r="C2409" t="s">
        <v>750</v>
      </c>
      <c r="D2409" t="s">
        <v>1655</v>
      </c>
      <c r="E2409" t="s">
        <v>567</v>
      </c>
      <c r="F2409" t="s">
        <v>148</v>
      </c>
      <c r="G2409" t="s">
        <v>111</v>
      </c>
      <c r="H2409" t="s">
        <v>1561</v>
      </c>
      <c r="I2409" t="s">
        <v>112</v>
      </c>
      <c r="J2409" t="s">
        <v>702</v>
      </c>
      <c r="K2409" t="s">
        <v>2841</v>
      </c>
      <c r="L2409" t="s">
        <v>2841</v>
      </c>
    </row>
    <row r="2410" spans="1:12" x14ac:dyDescent="0.3">
      <c r="A2410" t="s">
        <v>2600</v>
      </c>
      <c r="B2410" t="s">
        <v>2699</v>
      </c>
      <c r="C2410" t="s">
        <v>750</v>
      </c>
      <c r="D2410" t="s">
        <v>1656</v>
      </c>
      <c r="E2410" t="s">
        <v>567</v>
      </c>
      <c r="F2410" t="s">
        <v>149</v>
      </c>
      <c r="G2410" t="s">
        <v>111</v>
      </c>
      <c r="H2410" t="s">
        <v>703</v>
      </c>
      <c r="I2410" t="s">
        <v>112</v>
      </c>
      <c r="J2410" t="s">
        <v>702</v>
      </c>
      <c r="K2410" t="s">
        <v>2873</v>
      </c>
      <c r="L2410" t="s">
        <v>2873</v>
      </c>
    </row>
    <row r="2411" spans="1:12" x14ac:dyDescent="0.3">
      <c r="A2411" t="s">
        <v>2600</v>
      </c>
      <c r="B2411" t="s">
        <v>2699</v>
      </c>
      <c r="C2411" t="s">
        <v>750</v>
      </c>
      <c r="D2411" t="s">
        <v>1657</v>
      </c>
      <c r="E2411" t="s">
        <v>567</v>
      </c>
      <c r="F2411" t="s">
        <v>83</v>
      </c>
      <c r="G2411" t="s">
        <v>111</v>
      </c>
      <c r="H2411" t="s">
        <v>1539</v>
      </c>
      <c r="I2411" t="s">
        <v>112</v>
      </c>
      <c r="J2411" t="s">
        <v>704</v>
      </c>
    </row>
    <row r="2412" spans="1:12" x14ac:dyDescent="0.3">
      <c r="A2412" t="s">
        <v>2600</v>
      </c>
      <c r="B2412" t="s">
        <v>2699</v>
      </c>
      <c r="C2412" t="s">
        <v>750</v>
      </c>
      <c r="D2412" t="s">
        <v>1658</v>
      </c>
      <c r="E2412" t="s">
        <v>567</v>
      </c>
      <c r="F2412" t="s">
        <v>203</v>
      </c>
      <c r="G2412" t="s">
        <v>111</v>
      </c>
      <c r="H2412" t="s">
        <v>1539</v>
      </c>
      <c r="I2412" t="s">
        <v>112</v>
      </c>
      <c r="J2412" t="s">
        <v>704</v>
      </c>
    </row>
    <row r="2413" spans="1:12" x14ac:dyDescent="0.3">
      <c r="A2413" t="s">
        <v>2600</v>
      </c>
      <c r="B2413" t="s">
        <v>2699</v>
      </c>
      <c r="C2413" t="s">
        <v>750</v>
      </c>
      <c r="D2413" t="s">
        <v>1659</v>
      </c>
      <c r="E2413" t="s">
        <v>567</v>
      </c>
      <c r="F2413" t="s">
        <v>150</v>
      </c>
      <c r="G2413" t="s">
        <v>111</v>
      </c>
      <c r="H2413" t="s">
        <v>182</v>
      </c>
      <c r="I2413" t="s">
        <v>112</v>
      </c>
      <c r="J2413" t="s">
        <v>183</v>
      </c>
      <c r="K2413" t="s">
        <v>2874</v>
      </c>
      <c r="L2413" t="s">
        <v>2874</v>
      </c>
    </row>
    <row r="2414" spans="1:12" x14ac:dyDescent="0.3">
      <c r="A2414" t="s">
        <v>2600</v>
      </c>
      <c r="B2414" t="s">
        <v>2699</v>
      </c>
      <c r="C2414" t="s">
        <v>750</v>
      </c>
      <c r="D2414" t="s">
        <v>1660</v>
      </c>
      <c r="E2414" t="s">
        <v>567</v>
      </c>
      <c r="F2414" t="s">
        <v>92</v>
      </c>
      <c r="G2414" t="s">
        <v>111</v>
      </c>
      <c r="H2414" t="s">
        <v>703</v>
      </c>
      <c r="I2414" t="s">
        <v>112</v>
      </c>
      <c r="J2414" t="s">
        <v>702</v>
      </c>
      <c r="K2414" t="s">
        <v>2893</v>
      </c>
      <c r="L2414" t="s">
        <v>2893</v>
      </c>
    </row>
    <row r="2415" spans="1:12" x14ac:dyDescent="0.3">
      <c r="A2415" t="s">
        <v>2600</v>
      </c>
      <c r="B2415" t="s">
        <v>2699</v>
      </c>
      <c r="C2415" t="s">
        <v>750</v>
      </c>
      <c r="D2415" t="s">
        <v>1661</v>
      </c>
      <c r="E2415" t="s">
        <v>567</v>
      </c>
      <c r="F2415" t="s">
        <v>63</v>
      </c>
      <c r="G2415" t="s">
        <v>111</v>
      </c>
      <c r="H2415" t="s">
        <v>703</v>
      </c>
      <c r="I2415" t="s">
        <v>112</v>
      </c>
      <c r="J2415" t="s">
        <v>702</v>
      </c>
      <c r="K2415" t="s">
        <v>2875</v>
      </c>
      <c r="L2415" t="s">
        <v>2875</v>
      </c>
    </row>
    <row r="2416" spans="1:12" x14ac:dyDescent="0.3">
      <c r="A2416" t="s">
        <v>2600</v>
      </c>
      <c r="B2416" t="s">
        <v>2699</v>
      </c>
      <c r="C2416" t="s">
        <v>750</v>
      </c>
      <c r="D2416" t="s">
        <v>1662</v>
      </c>
      <c r="E2416" t="s">
        <v>567</v>
      </c>
      <c r="F2416" t="s">
        <v>151</v>
      </c>
      <c r="G2416" t="s">
        <v>111</v>
      </c>
      <c r="H2416" t="s">
        <v>703</v>
      </c>
      <c r="I2416" t="s">
        <v>112</v>
      </c>
      <c r="J2416" t="s">
        <v>702</v>
      </c>
      <c r="K2416" t="s">
        <v>2876</v>
      </c>
      <c r="L2416" t="s">
        <v>2876</v>
      </c>
    </row>
    <row r="2417" spans="1:12" x14ac:dyDescent="0.3">
      <c r="A2417" t="s">
        <v>2600</v>
      </c>
      <c r="B2417" t="s">
        <v>2699</v>
      </c>
      <c r="C2417" t="s">
        <v>750</v>
      </c>
      <c r="D2417" t="s">
        <v>1663</v>
      </c>
      <c r="E2417" t="s">
        <v>567</v>
      </c>
      <c r="F2417" t="s">
        <v>195</v>
      </c>
      <c r="G2417" t="s">
        <v>111</v>
      </c>
      <c r="H2417" t="s">
        <v>1561</v>
      </c>
      <c r="I2417" t="s">
        <v>112</v>
      </c>
      <c r="J2417" t="s">
        <v>702</v>
      </c>
      <c r="K2417" t="s">
        <v>2848</v>
      </c>
      <c r="L2417" t="s">
        <v>2848</v>
      </c>
    </row>
    <row r="2418" spans="1:12" x14ac:dyDescent="0.3">
      <c r="A2418" t="s">
        <v>2600</v>
      </c>
      <c r="B2418" t="s">
        <v>2699</v>
      </c>
      <c r="C2418" t="s">
        <v>750</v>
      </c>
      <c r="D2418" t="s">
        <v>1664</v>
      </c>
      <c r="E2418" t="s">
        <v>567</v>
      </c>
      <c r="F2418" t="s">
        <v>177</v>
      </c>
      <c r="G2418" t="s">
        <v>111</v>
      </c>
      <c r="H2418" t="s">
        <v>1539</v>
      </c>
      <c r="I2418" t="s">
        <v>112</v>
      </c>
      <c r="J2418" t="s">
        <v>704</v>
      </c>
      <c r="K2418" t="s">
        <v>2877</v>
      </c>
      <c r="L2418" t="s">
        <v>2877</v>
      </c>
    </row>
    <row r="2419" spans="1:12" x14ac:dyDescent="0.3">
      <c r="A2419" t="s">
        <v>2600</v>
      </c>
      <c r="B2419" t="s">
        <v>2699</v>
      </c>
      <c r="C2419" t="s">
        <v>750</v>
      </c>
      <c r="D2419" t="s">
        <v>1665</v>
      </c>
      <c r="E2419" t="s">
        <v>567</v>
      </c>
      <c r="F2419" t="s">
        <v>91</v>
      </c>
      <c r="G2419" t="s">
        <v>111</v>
      </c>
      <c r="H2419" t="s">
        <v>703</v>
      </c>
      <c r="I2419" t="s">
        <v>112</v>
      </c>
      <c r="J2419" t="s">
        <v>702</v>
      </c>
      <c r="K2419" t="s">
        <v>2873</v>
      </c>
      <c r="L2419" t="s">
        <v>2873</v>
      </c>
    </row>
    <row r="2420" spans="1:12" x14ac:dyDescent="0.3">
      <c r="A2420" t="s">
        <v>2600</v>
      </c>
      <c r="B2420" t="s">
        <v>2699</v>
      </c>
      <c r="C2420" t="s">
        <v>750</v>
      </c>
      <c r="D2420" t="s">
        <v>1666</v>
      </c>
      <c r="E2420" t="s">
        <v>567</v>
      </c>
      <c r="F2420" t="s">
        <v>152</v>
      </c>
      <c r="G2420" t="s">
        <v>111</v>
      </c>
      <c r="H2420" t="s">
        <v>1539</v>
      </c>
      <c r="I2420" t="s">
        <v>112</v>
      </c>
      <c r="J2420" t="s">
        <v>704</v>
      </c>
    </row>
    <row r="2421" spans="1:12" x14ac:dyDescent="0.3">
      <c r="A2421" t="s">
        <v>2600</v>
      </c>
      <c r="B2421" t="s">
        <v>2699</v>
      </c>
      <c r="C2421" t="s">
        <v>750</v>
      </c>
      <c r="D2421" t="s">
        <v>1668</v>
      </c>
      <c r="E2421" t="s">
        <v>567</v>
      </c>
      <c r="F2421" t="s">
        <v>67</v>
      </c>
      <c r="G2421" t="s">
        <v>111</v>
      </c>
      <c r="H2421" t="s">
        <v>1549</v>
      </c>
      <c r="I2421" t="s">
        <v>112</v>
      </c>
      <c r="J2421" t="s">
        <v>1544</v>
      </c>
      <c r="K2421" t="s">
        <v>2840</v>
      </c>
      <c r="L2421" t="s">
        <v>2840</v>
      </c>
    </row>
    <row r="2422" spans="1:12" x14ac:dyDescent="0.3">
      <c r="A2422" t="s">
        <v>2600</v>
      </c>
      <c r="B2422" t="s">
        <v>2699</v>
      </c>
      <c r="C2422" t="s">
        <v>750</v>
      </c>
      <c r="D2422" t="s">
        <v>1670</v>
      </c>
      <c r="E2422" t="s">
        <v>567</v>
      </c>
      <c r="F2422" t="s">
        <v>196</v>
      </c>
      <c r="G2422" t="s">
        <v>111</v>
      </c>
      <c r="H2422" t="s">
        <v>182</v>
      </c>
      <c r="I2422" t="s">
        <v>112</v>
      </c>
      <c r="J2422" t="s">
        <v>183</v>
      </c>
      <c r="K2422" t="s">
        <v>2878</v>
      </c>
      <c r="L2422" t="s">
        <v>2878</v>
      </c>
    </row>
    <row r="2423" spans="1:12" x14ac:dyDescent="0.3">
      <c r="A2423" t="s">
        <v>2600</v>
      </c>
      <c r="B2423" t="s">
        <v>2699</v>
      </c>
      <c r="C2423" t="s">
        <v>750</v>
      </c>
      <c r="D2423" t="s">
        <v>1672</v>
      </c>
      <c r="E2423" t="s">
        <v>567</v>
      </c>
      <c r="F2423" t="s">
        <v>179</v>
      </c>
      <c r="G2423" t="s">
        <v>111</v>
      </c>
      <c r="H2423" t="s">
        <v>1561</v>
      </c>
      <c r="I2423" t="s">
        <v>112</v>
      </c>
      <c r="J2423" t="s">
        <v>702</v>
      </c>
    </row>
    <row r="2424" spans="1:12" x14ac:dyDescent="0.3">
      <c r="A2424" t="s">
        <v>2600</v>
      </c>
      <c r="B2424" t="s">
        <v>2699</v>
      </c>
      <c r="C2424" t="s">
        <v>750</v>
      </c>
      <c r="D2424" t="s">
        <v>1673</v>
      </c>
      <c r="E2424" t="s">
        <v>567</v>
      </c>
      <c r="F2424" t="s">
        <v>153</v>
      </c>
      <c r="G2424" t="s">
        <v>111</v>
      </c>
      <c r="H2424" t="s">
        <v>1539</v>
      </c>
      <c r="I2424" t="s">
        <v>112</v>
      </c>
      <c r="J2424" t="s">
        <v>704</v>
      </c>
      <c r="K2424" t="s">
        <v>2880</v>
      </c>
      <c r="L2424" t="s">
        <v>2880</v>
      </c>
    </row>
    <row r="2425" spans="1:12" x14ac:dyDescent="0.3">
      <c r="A2425" t="s">
        <v>2600</v>
      </c>
      <c r="B2425" t="s">
        <v>2699</v>
      </c>
      <c r="C2425" t="s">
        <v>750</v>
      </c>
      <c r="D2425" t="s">
        <v>1674</v>
      </c>
      <c r="E2425" t="s">
        <v>567</v>
      </c>
      <c r="F2425" t="s">
        <v>55</v>
      </c>
      <c r="G2425" t="s">
        <v>111</v>
      </c>
      <c r="H2425" t="s">
        <v>1565</v>
      </c>
      <c r="I2425" t="s">
        <v>112</v>
      </c>
      <c r="J2425" t="s">
        <v>1566</v>
      </c>
      <c r="K2425" t="s">
        <v>2841</v>
      </c>
      <c r="L2425" t="s">
        <v>2841</v>
      </c>
    </row>
    <row r="2426" spans="1:12" x14ac:dyDescent="0.3">
      <c r="A2426" t="s">
        <v>2600</v>
      </c>
      <c r="B2426" t="s">
        <v>2699</v>
      </c>
      <c r="C2426" t="s">
        <v>750</v>
      </c>
      <c r="D2426" t="s">
        <v>1675</v>
      </c>
      <c r="E2426" t="s">
        <v>567</v>
      </c>
      <c r="F2426" t="s">
        <v>197</v>
      </c>
      <c r="G2426" t="s">
        <v>111</v>
      </c>
      <c r="H2426" t="s">
        <v>703</v>
      </c>
      <c r="I2426" t="s">
        <v>112</v>
      </c>
      <c r="J2426" t="s">
        <v>702</v>
      </c>
      <c r="K2426" t="s">
        <v>2849</v>
      </c>
      <c r="L2426" t="s">
        <v>2849</v>
      </c>
    </row>
    <row r="2427" spans="1:12" x14ac:dyDescent="0.3">
      <c r="A2427" t="s">
        <v>2600</v>
      </c>
      <c r="B2427" t="s">
        <v>2699</v>
      </c>
      <c r="C2427" t="s">
        <v>750</v>
      </c>
      <c r="D2427" t="s">
        <v>1677</v>
      </c>
      <c r="E2427" t="s">
        <v>567</v>
      </c>
      <c r="F2427" t="s">
        <v>156</v>
      </c>
      <c r="G2427" t="s">
        <v>111</v>
      </c>
      <c r="H2427" t="s">
        <v>1561</v>
      </c>
      <c r="I2427" t="s">
        <v>112</v>
      </c>
      <c r="J2427" t="s">
        <v>702</v>
      </c>
      <c r="K2427" t="s">
        <v>2881</v>
      </c>
      <c r="L2427" t="s">
        <v>2881</v>
      </c>
    </row>
    <row r="2428" spans="1:12" x14ac:dyDescent="0.3">
      <c r="A2428" t="s">
        <v>2600</v>
      </c>
      <c r="B2428" t="s">
        <v>2699</v>
      </c>
      <c r="C2428" t="s">
        <v>750</v>
      </c>
      <c r="D2428" t="s">
        <v>1678</v>
      </c>
      <c r="E2428" t="s">
        <v>567</v>
      </c>
      <c r="F2428" t="s">
        <v>103</v>
      </c>
      <c r="G2428" t="s">
        <v>111</v>
      </c>
      <c r="H2428" t="s">
        <v>1561</v>
      </c>
      <c r="I2428" t="s">
        <v>112</v>
      </c>
      <c r="J2428" t="s">
        <v>702</v>
      </c>
    </row>
    <row r="2429" spans="1:12" x14ac:dyDescent="0.3">
      <c r="A2429" t="s">
        <v>2600</v>
      </c>
      <c r="B2429" t="s">
        <v>2699</v>
      </c>
      <c r="C2429" t="s">
        <v>750</v>
      </c>
      <c r="D2429" t="s">
        <v>1679</v>
      </c>
      <c r="E2429" t="s">
        <v>567</v>
      </c>
      <c r="F2429" t="s">
        <v>198</v>
      </c>
      <c r="G2429" t="s">
        <v>111</v>
      </c>
      <c r="H2429" t="s">
        <v>1561</v>
      </c>
      <c r="I2429" t="s">
        <v>112</v>
      </c>
      <c r="J2429" t="s">
        <v>702</v>
      </c>
      <c r="K2429" t="s">
        <v>2882</v>
      </c>
      <c r="L2429" t="s">
        <v>2882</v>
      </c>
    </row>
    <row r="2430" spans="1:12" x14ac:dyDescent="0.3">
      <c r="A2430" t="s">
        <v>2600</v>
      </c>
      <c r="B2430" t="s">
        <v>2699</v>
      </c>
      <c r="C2430" t="s">
        <v>750</v>
      </c>
      <c r="D2430" t="s">
        <v>1680</v>
      </c>
      <c r="E2430" t="s">
        <v>567</v>
      </c>
      <c r="F2430" t="s">
        <v>180</v>
      </c>
      <c r="G2430" t="s">
        <v>111</v>
      </c>
      <c r="H2430" t="s">
        <v>1539</v>
      </c>
      <c r="I2430" t="s">
        <v>112</v>
      </c>
      <c r="J2430" t="s">
        <v>704</v>
      </c>
    </row>
    <row r="2431" spans="1:12" x14ac:dyDescent="0.3">
      <c r="A2431" t="s">
        <v>2600</v>
      </c>
      <c r="B2431" t="s">
        <v>2699</v>
      </c>
      <c r="C2431" t="s">
        <v>750</v>
      </c>
      <c r="D2431" t="s">
        <v>1681</v>
      </c>
      <c r="E2431" t="s">
        <v>567</v>
      </c>
      <c r="F2431" t="s">
        <v>158</v>
      </c>
      <c r="G2431" t="s">
        <v>111</v>
      </c>
      <c r="H2431" t="s">
        <v>703</v>
      </c>
      <c r="I2431" t="s">
        <v>112</v>
      </c>
      <c r="J2431" t="s">
        <v>702</v>
      </c>
      <c r="K2431" t="s">
        <v>2883</v>
      </c>
      <c r="L2431" t="s">
        <v>2883</v>
      </c>
    </row>
    <row r="2432" spans="1:12" x14ac:dyDescent="0.3">
      <c r="A2432" t="s">
        <v>2600</v>
      </c>
      <c r="B2432" t="s">
        <v>2699</v>
      </c>
      <c r="C2432" t="s">
        <v>750</v>
      </c>
      <c r="D2432" t="s">
        <v>1682</v>
      </c>
      <c r="E2432" t="s">
        <v>567</v>
      </c>
      <c r="F2432" t="s">
        <v>199</v>
      </c>
      <c r="G2432" t="s">
        <v>111</v>
      </c>
      <c r="H2432" t="s">
        <v>1539</v>
      </c>
      <c r="I2432" t="s">
        <v>112</v>
      </c>
      <c r="J2432" t="s">
        <v>704</v>
      </c>
      <c r="K2432" t="s">
        <v>2884</v>
      </c>
      <c r="L2432" t="s">
        <v>2884</v>
      </c>
    </row>
    <row r="2433" spans="1:12" x14ac:dyDescent="0.3">
      <c r="A2433" t="s">
        <v>2600</v>
      </c>
      <c r="B2433" t="s">
        <v>2699</v>
      </c>
      <c r="C2433" t="s">
        <v>750</v>
      </c>
      <c r="D2433" t="s">
        <v>1683</v>
      </c>
      <c r="E2433" t="s">
        <v>567</v>
      </c>
      <c r="F2433" t="s">
        <v>159</v>
      </c>
      <c r="G2433" t="s">
        <v>111</v>
      </c>
      <c r="H2433" t="s">
        <v>703</v>
      </c>
      <c r="I2433" t="s">
        <v>112</v>
      </c>
      <c r="J2433" t="s">
        <v>702</v>
      </c>
      <c r="K2433" t="s">
        <v>2886</v>
      </c>
      <c r="L2433" t="s">
        <v>2886</v>
      </c>
    </row>
    <row r="2434" spans="1:12" x14ac:dyDescent="0.3">
      <c r="A2434" t="s">
        <v>2600</v>
      </c>
      <c r="B2434" t="s">
        <v>2699</v>
      </c>
      <c r="C2434" t="s">
        <v>750</v>
      </c>
      <c r="D2434" t="s">
        <v>1684</v>
      </c>
      <c r="E2434" t="s">
        <v>567</v>
      </c>
      <c r="F2434" t="s">
        <v>47</v>
      </c>
      <c r="G2434" t="s">
        <v>111</v>
      </c>
      <c r="H2434" t="s">
        <v>703</v>
      </c>
      <c r="I2434" t="s">
        <v>112</v>
      </c>
      <c r="J2434" t="s">
        <v>702</v>
      </c>
      <c r="K2434" t="s">
        <v>2887</v>
      </c>
      <c r="L2434" t="s">
        <v>2887</v>
      </c>
    </row>
    <row r="2435" spans="1:12" x14ac:dyDescent="0.3">
      <c r="A2435" t="s">
        <v>2600</v>
      </c>
      <c r="B2435" t="s">
        <v>2699</v>
      </c>
      <c r="C2435" t="s">
        <v>750</v>
      </c>
      <c r="D2435" t="s">
        <v>1687</v>
      </c>
      <c r="E2435" t="s">
        <v>567</v>
      </c>
      <c r="F2435" t="s">
        <v>181</v>
      </c>
      <c r="G2435" t="s">
        <v>111</v>
      </c>
      <c r="H2435" t="s">
        <v>1561</v>
      </c>
      <c r="I2435" t="s">
        <v>112</v>
      </c>
      <c r="J2435" t="s">
        <v>702</v>
      </c>
    </row>
    <row r="2436" spans="1:12" x14ac:dyDescent="0.3">
      <c r="A2436" t="s">
        <v>2600</v>
      </c>
      <c r="B2436" t="s">
        <v>2699</v>
      </c>
      <c r="C2436" t="s">
        <v>750</v>
      </c>
      <c r="D2436" t="s">
        <v>1688</v>
      </c>
      <c r="E2436" t="s">
        <v>567</v>
      </c>
      <c r="F2436" t="s">
        <v>73</v>
      </c>
      <c r="G2436" t="s">
        <v>111</v>
      </c>
      <c r="H2436" t="s">
        <v>1539</v>
      </c>
      <c r="I2436" t="s">
        <v>112</v>
      </c>
      <c r="J2436" t="s">
        <v>704</v>
      </c>
    </row>
    <row r="2437" spans="1:12" x14ac:dyDescent="0.3">
      <c r="A2437" t="s">
        <v>2600</v>
      </c>
      <c r="B2437" t="s">
        <v>2699</v>
      </c>
      <c r="C2437" t="s">
        <v>750</v>
      </c>
      <c r="D2437" t="s">
        <v>1689</v>
      </c>
      <c r="E2437" t="s">
        <v>567</v>
      </c>
      <c r="F2437" t="s">
        <v>162</v>
      </c>
      <c r="G2437" t="s">
        <v>111</v>
      </c>
      <c r="H2437" t="s">
        <v>703</v>
      </c>
      <c r="I2437" t="s">
        <v>112</v>
      </c>
      <c r="J2437" t="s">
        <v>702</v>
      </c>
      <c r="K2437" t="s">
        <v>2894</v>
      </c>
      <c r="L2437" t="s">
        <v>2894</v>
      </c>
    </row>
    <row r="2438" spans="1:12" x14ac:dyDescent="0.3">
      <c r="A2438" t="s">
        <v>2600</v>
      </c>
      <c r="B2438" t="s">
        <v>1505</v>
      </c>
      <c r="C2438" t="s">
        <v>711</v>
      </c>
      <c r="D2438" t="s">
        <v>303</v>
      </c>
      <c r="E2438" t="s">
        <v>569</v>
      </c>
      <c r="F2438" t="s">
        <v>49</v>
      </c>
      <c r="G2438" t="s">
        <v>111</v>
      </c>
      <c r="H2438" t="s">
        <v>703</v>
      </c>
      <c r="I2438" t="s">
        <v>112</v>
      </c>
      <c r="J2438" t="s">
        <v>702</v>
      </c>
      <c r="K2438" t="s">
        <v>2838</v>
      </c>
      <c r="L2438" t="s">
        <v>2838</v>
      </c>
    </row>
    <row r="2439" spans="1:12" x14ac:dyDescent="0.3">
      <c r="A2439" t="s">
        <v>2600</v>
      </c>
      <c r="B2439" t="s">
        <v>1505</v>
      </c>
      <c r="C2439" t="s">
        <v>711</v>
      </c>
      <c r="D2439" t="s">
        <v>209</v>
      </c>
      <c r="E2439" t="s">
        <v>569</v>
      </c>
      <c r="F2439" t="s">
        <v>115</v>
      </c>
      <c r="G2439" t="s">
        <v>111</v>
      </c>
      <c r="H2439" t="s">
        <v>703</v>
      </c>
      <c r="I2439" t="s">
        <v>112</v>
      </c>
      <c r="J2439" t="s">
        <v>702</v>
      </c>
      <c r="K2439" t="s">
        <v>2841</v>
      </c>
      <c r="L2439" t="s">
        <v>2841</v>
      </c>
    </row>
    <row r="2440" spans="1:12" x14ac:dyDescent="0.3">
      <c r="A2440" t="s">
        <v>2600</v>
      </c>
      <c r="B2440" t="s">
        <v>1505</v>
      </c>
      <c r="C2440" t="s">
        <v>711</v>
      </c>
      <c r="D2440" t="s">
        <v>210</v>
      </c>
      <c r="E2440" t="s">
        <v>569</v>
      </c>
      <c r="F2440" t="s">
        <v>59</v>
      </c>
      <c r="G2440" t="s">
        <v>111</v>
      </c>
      <c r="H2440" t="s">
        <v>1565</v>
      </c>
      <c r="I2440" t="s">
        <v>112</v>
      </c>
      <c r="J2440" t="s">
        <v>1566</v>
      </c>
    </row>
    <row r="2441" spans="1:12" x14ac:dyDescent="0.3">
      <c r="A2441" t="s">
        <v>2600</v>
      </c>
      <c r="B2441" t="s">
        <v>1505</v>
      </c>
      <c r="C2441" t="s">
        <v>711</v>
      </c>
      <c r="D2441" t="s">
        <v>304</v>
      </c>
      <c r="E2441" t="s">
        <v>569</v>
      </c>
      <c r="F2441" t="s">
        <v>117</v>
      </c>
      <c r="G2441" t="s">
        <v>111</v>
      </c>
      <c r="H2441" t="s">
        <v>703</v>
      </c>
      <c r="I2441" t="s">
        <v>112</v>
      </c>
      <c r="J2441" t="s">
        <v>702</v>
      </c>
      <c r="K2441" t="s">
        <v>2862</v>
      </c>
      <c r="L2441" t="s">
        <v>2862</v>
      </c>
    </row>
    <row r="2442" spans="1:12" x14ac:dyDescent="0.3">
      <c r="A2442" t="s">
        <v>2600</v>
      </c>
      <c r="B2442" t="s">
        <v>1505</v>
      </c>
      <c r="C2442" t="s">
        <v>711</v>
      </c>
      <c r="D2442" t="s">
        <v>211</v>
      </c>
      <c r="E2442" t="s">
        <v>569</v>
      </c>
      <c r="F2442" t="s">
        <v>188</v>
      </c>
      <c r="G2442" t="s">
        <v>111</v>
      </c>
      <c r="H2442" t="s">
        <v>703</v>
      </c>
      <c r="I2442" t="s">
        <v>112</v>
      </c>
      <c r="J2442" t="s">
        <v>702</v>
      </c>
      <c r="K2442" t="s">
        <v>2841</v>
      </c>
      <c r="L2442" t="s">
        <v>2841</v>
      </c>
    </row>
    <row r="2443" spans="1:12" x14ac:dyDescent="0.3">
      <c r="A2443" t="s">
        <v>2600</v>
      </c>
      <c r="B2443" t="s">
        <v>1505</v>
      </c>
      <c r="C2443" t="s">
        <v>711</v>
      </c>
      <c r="D2443" t="s">
        <v>305</v>
      </c>
      <c r="E2443" t="s">
        <v>569</v>
      </c>
      <c r="F2443" t="s">
        <v>120</v>
      </c>
      <c r="G2443" t="s">
        <v>111</v>
      </c>
      <c r="H2443" t="s">
        <v>703</v>
      </c>
      <c r="I2443" t="s">
        <v>112</v>
      </c>
      <c r="J2443" t="s">
        <v>702</v>
      </c>
      <c r="K2443" t="s">
        <v>2841</v>
      </c>
      <c r="L2443" t="s">
        <v>2841</v>
      </c>
    </row>
    <row r="2444" spans="1:12" x14ac:dyDescent="0.3">
      <c r="A2444" t="s">
        <v>2600</v>
      </c>
      <c r="B2444" t="s">
        <v>1505</v>
      </c>
      <c r="C2444" t="s">
        <v>711</v>
      </c>
      <c r="D2444" t="s">
        <v>212</v>
      </c>
      <c r="E2444" t="s">
        <v>569</v>
      </c>
      <c r="F2444" t="s">
        <v>164</v>
      </c>
      <c r="G2444" t="s">
        <v>111</v>
      </c>
      <c r="H2444" t="s">
        <v>1539</v>
      </c>
      <c r="I2444" t="s">
        <v>112</v>
      </c>
      <c r="J2444" t="s">
        <v>704</v>
      </c>
      <c r="K2444" t="s">
        <v>2887</v>
      </c>
      <c r="L2444" t="s">
        <v>2887</v>
      </c>
    </row>
    <row r="2445" spans="1:12" x14ac:dyDescent="0.3">
      <c r="A2445" t="s">
        <v>2600</v>
      </c>
      <c r="B2445" t="s">
        <v>1505</v>
      </c>
      <c r="C2445" t="s">
        <v>711</v>
      </c>
      <c r="D2445" t="s">
        <v>213</v>
      </c>
      <c r="E2445" t="s">
        <v>569</v>
      </c>
      <c r="F2445" t="s">
        <v>53</v>
      </c>
      <c r="G2445" t="s">
        <v>111</v>
      </c>
      <c r="H2445" t="s">
        <v>703</v>
      </c>
      <c r="I2445" t="s">
        <v>112</v>
      </c>
      <c r="J2445" t="s">
        <v>702</v>
      </c>
      <c r="K2445" t="s">
        <v>2863</v>
      </c>
      <c r="L2445" t="s">
        <v>2863</v>
      </c>
    </row>
    <row r="2446" spans="1:12" x14ac:dyDescent="0.3">
      <c r="A2446" t="s">
        <v>2600</v>
      </c>
      <c r="B2446" t="s">
        <v>1505</v>
      </c>
      <c r="C2446" t="s">
        <v>711</v>
      </c>
      <c r="D2446" t="s">
        <v>214</v>
      </c>
      <c r="E2446" t="s">
        <v>569</v>
      </c>
      <c r="F2446" t="s">
        <v>56</v>
      </c>
      <c r="G2446" t="s">
        <v>111</v>
      </c>
      <c r="H2446" t="s">
        <v>703</v>
      </c>
      <c r="I2446" t="s">
        <v>112</v>
      </c>
      <c r="J2446" t="s">
        <v>702</v>
      </c>
      <c r="K2446" t="s">
        <v>2841</v>
      </c>
      <c r="L2446" t="s">
        <v>2841</v>
      </c>
    </row>
    <row r="2447" spans="1:12" x14ac:dyDescent="0.3">
      <c r="A2447" t="s">
        <v>2600</v>
      </c>
      <c r="B2447" t="s">
        <v>1505</v>
      </c>
      <c r="C2447" t="s">
        <v>711</v>
      </c>
      <c r="D2447" t="s">
        <v>215</v>
      </c>
      <c r="E2447" t="s">
        <v>569</v>
      </c>
      <c r="F2447" t="s">
        <v>69</v>
      </c>
      <c r="G2447" t="s">
        <v>111</v>
      </c>
      <c r="H2447" t="s">
        <v>1539</v>
      </c>
      <c r="I2447" t="s">
        <v>112</v>
      </c>
      <c r="J2447" t="s">
        <v>704</v>
      </c>
      <c r="K2447" t="s">
        <v>2895</v>
      </c>
      <c r="L2447" t="s">
        <v>2895</v>
      </c>
    </row>
    <row r="2448" spans="1:12" x14ac:dyDescent="0.3">
      <c r="A2448" t="s">
        <v>2600</v>
      </c>
      <c r="B2448" t="s">
        <v>1505</v>
      </c>
      <c r="C2448" t="s">
        <v>711</v>
      </c>
      <c r="D2448" t="s">
        <v>217</v>
      </c>
      <c r="E2448" t="s">
        <v>569</v>
      </c>
      <c r="F2448" t="s">
        <v>122</v>
      </c>
      <c r="G2448" t="s">
        <v>111</v>
      </c>
      <c r="H2448" t="s">
        <v>1539</v>
      </c>
      <c r="I2448" t="s">
        <v>112</v>
      </c>
      <c r="J2448" t="s">
        <v>704</v>
      </c>
      <c r="K2448" t="s">
        <v>2896</v>
      </c>
      <c r="L2448" t="s">
        <v>2896</v>
      </c>
    </row>
    <row r="2449" spans="1:12" x14ac:dyDescent="0.3">
      <c r="A2449" t="s">
        <v>2600</v>
      </c>
      <c r="B2449" t="s">
        <v>1505</v>
      </c>
      <c r="C2449" t="s">
        <v>711</v>
      </c>
      <c r="D2449" t="s">
        <v>306</v>
      </c>
      <c r="E2449" t="s">
        <v>569</v>
      </c>
      <c r="F2449" t="s">
        <v>165</v>
      </c>
      <c r="G2449" t="s">
        <v>111</v>
      </c>
      <c r="H2449" t="s">
        <v>703</v>
      </c>
      <c r="I2449" t="s">
        <v>112</v>
      </c>
      <c r="J2449" t="s">
        <v>702</v>
      </c>
      <c r="K2449" t="s">
        <v>2846</v>
      </c>
      <c r="L2449" t="s">
        <v>2846</v>
      </c>
    </row>
    <row r="2450" spans="1:12" x14ac:dyDescent="0.3">
      <c r="A2450" t="s">
        <v>2600</v>
      </c>
      <c r="B2450" t="s">
        <v>1505</v>
      </c>
      <c r="C2450" t="s">
        <v>711</v>
      </c>
      <c r="D2450" t="s">
        <v>218</v>
      </c>
      <c r="E2450" t="s">
        <v>569</v>
      </c>
      <c r="F2450" t="s">
        <v>166</v>
      </c>
      <c r="G2450" t="s">
        <v>111</v>
      </c>
      <c r="H2450" t="s">
        <v>1539</v>
      </c>
      <c r="I2450" t="s">
        <v>112</v>
      </c>
      <c r="J2450" t="s">
        <v>704</v>
      </c>
    </row>
    <row r="2451" spans="1:12" x14ac:dyDescent="0.3">
      <c r="A2451" t="s">
        <v>2600</v>
      </c>
      <c r="B2451" t="s">
        <v>1505</v>
      </c>
      <c r="C2451" t="s">
        <v>711</v>
      </c>
      <c r="D2451" t="s">
        <v>219</v>
      </c>
      <c r="E2451" t="s">
        <v>569</v>
      </c>
      <c r="F2451" t="s">
        <v>189</v>
      </c>
      <c r="G2451" t="s">
        <v>111</v>
      </c>
      <c r="H2451" t="s">
        <v>703</v>
      </c>
      <c r="I2451" t="s">
        <v>112</v>
      </c>
      <c r="J2451" t="s">
        <v>702</v>
      </c>
      <c r="K2451" t="s">
        <v>2842</v>
      </c>
      <c r="L2451" t="s">
        <v>2842</v>
      </c>
    </row>
    <row r="2452" spans="1:12" x14ac:dyDescent="0.3">
      <c r="A2452" t="s">
        <v>2600</v>
      </c>
      <c r="B2452" t="s">
        <v>1505</v>
      </c>
      <c r="C2452" t="s">
        <v>711</v>
      </c>
      <c r="D2452" t="s">
        <v>221</v>
      </c>
      <c r="E2452" t="s">
        <v>569</v>
      </c>
      <c r="F2452" t="s">
        <v>45</v>
      </c>
      <c r="G2452" t="s">
        <v>111</v>
      </c>
      <c r="H2452" t="s">
        <v>703</v>
      </c>
      <c r="I2452" t="s">
        <v>112</v>
      </c>
      <c r="J2452" t="s">
        <v>702</v>
      </c>
      <c r="K2452" t="s">
        <v>2869</v>
      </c>
      <c r="L2452" t="s">
        <v>2869</v>
      </c>
    </row>
    <row r="2453" spans="1:12" x14ac:dyDescent="0.3">
      <c r="A2453" t="s">
        <v>2600</v>
      </c>
      <c r="B2453" t="s">
        <v>1505</v>
      </c>
      <c r="C2453" t="s">
        <v>711</v>
      </c>
      <c r="D2453" t="s">
        <v>308</v>
      </c>
      <c r="E2453" t="s">
        <v>569</v>
      </c>
      <c r="F2453" t="s">
        <v>190</v>
      </c>
      <c r="G2453" t="s">
        <v>111</v>
      </c>
      <c r="H2453" t="s">
        <v>703</v>
      </c>
      <c r="I2453" t="s">
        <v>112</v>
      </c>
      <c r="J2453" t="s">
        <v>702</v>
      </c>
      <c r="K2453" t="s">
        <v>2862</v>
      </c>
      <c r="L2453" t="s">
        <v>2862</v>
      </c>
    </row>
    <row r="2454" spans="1:12" x14ac:dyDescent="0.3">
      <c r="A2454" t="s">
        <v>2600</v>
      </c>
      <c r="B2454" t="s">
        <v>1505</v>
      </c>
      <c r="C2454" t="s">
        <v>711</v>
      </c>
      <c r="D2454" t="s">
        <v>222</v>
      </c>
      <c r="E2454" t="s">
        <v>569</v>
      </c>
      <c r="F2454" t="s">
        <v>124</v>
      </c>
      <c r="G2454" t="s">
        <v>111</v>
      </c>
      <c r="H2454" t="s">
        <v>703</v>
      </c>
      <c r="I2454" t="s">
        <v>112</v>
      </c>
      <c r="J2454" t="s">
        <v>702</v>
      </c>
      <c r="K2454" t="s">
        <v>2856</v>
      </c>
      <c r="L2454" t="s">
        <v>2856</v>
      </c>
    </row>
    <row r="2455" spans="1:12" x14ac:dyDescent="0.3">
      <c r="A2455" t="s">
        <v>2600</v>
      </c>
      <c r="B2455" t="s">
        <v>1505</v>
      </c>
      <c r="C2455" t="s">
        <v>711</v>
      </c>
      <c r="D2455" t="s">
        <v>309</v>
      </c>
      <c r="E2455" t="s">
        <v>569</v>
      </c>
      <c r="F2455" t="s">
        <v>58</v>
      </c>
      <c r="G2455" t="s">
        <v>111</v>
      </c>
      <c r="H2455" t="s">
        <v>703</v>
      </c>
      <c r="I2455" t="s">
        <v>112</v>
      </c>
      <c r="J2455" t="s">
        <v>702</v>
      </c>
      <c r="K2455" t="s">
        <v>2839</v>
      </c>
      <c r="L2455" t="s">
        <v>2839</v>
      </c>
    </row>
    <row r="2456" spans="1:12" x14ac:dyDescent="0.3">
      <c r="A2456" t="s">
        <v>2600</v>
      </c>
      <c r="B2456" t="s">
        <v>1505</v>
      </c>
      <c r="C2456" t="s">
        <v>711</v>
      </c>
      <c r="D2456" t="s">
        <v>2808</v>
      </c>
      <c r="E2456" t="s">
        <v>569</v>
      </c>
      <c r="F2456" t="s">
        <v>191</v>
      </c>
      <c r="G2456" t="s">
        <v>111</v>
      </c>
      <c r="H2456" t="s">
        <v>1539</v>
      </c>
      <c r="I2456" t="s">
        <v>112</v>
      </c>
      <c r="J2456" t="s">
        <v>704</v>
      </c>
      <c r="K2456" t="s">
        <v>2897</v>
      </c>
      <c r="L2456" t="s">
        <v>2897</v>
      </c>
    </row>
    <row r="2457" spans="1:12" x14ac:dyDescent="0.3">
      <c r="A2457" t="s">
        <v>2600</v>
      </c>
      <c r="B2457" t="s">
        <v>1505</v>
      </c>
      <c r="C2457" t="s">
        <v>711</v>
      </c>
      <c r="D2457" t="s">
        <v>224</v>
      </c>
      <c r="E2457" t="s">
        <v>569</v>
      </c>
      <c r="F2457" t="s">
        <v>125</v>
      </c>
      <c r="G2457" t="s">
        <v>111</v>
      </c>
      <c r="H2457" t="s">
        <v>1539</v>
      </c>
      <c r="I2457" t="s">
        <v>112</v>
      </c>
      <c r="J2457" t="s">
        <v>704</v>
      </c>
    </row>
    <row r="2458" spans="1:12" x14ac:dyDescent="0.3">
      <c r="A2458" t="s">
        <v>2600</v>
      </c>
      <c r="B2458" t="s">
        <v>1505</v>
      </c>
      <c r="C2458" t="s">
        <v>711</v>
      </c>
      <c r="D2458" t="s">
        <v>225</v>
      </c>
      <c r="E2458" t="s">
        <v>569</v>
      </c>
      <c r="F2458" t="s">
        <v>126</v>
      </c>
      <c r="G2458" t="s">
        <v>111</v>
      </c>
      <c r="H2458" t="s">
        <v>703</v>
      </c>
      <c r="I2458" t="s">
        <v>112</v>
      </c>
      <c r="J2458" t="s">
        <v>702</v>
      </c>
      <c r="K2458" t="s">
        <v>2898</v>
      </c>
      <c r="L2458" t="s">
        <v>2898</v>
      </c>
    </row>
    <row r="2459" spans="1:12" x14ac:dyDescent="0.3">
      <c r="A2459" t="s">
        <v>2600</v>
      </c>
      <c r="B2459" t="s">
        <v>1505</v>
      </c>
      <c r="C2459" t="s">
        <v>711</v>
      </c>
      <c r="D2459" t="s">
        <v>227</v>
      </c>
      <c r="E2459" t="s">
        <v>569</v>
      </c>
      <c r="F2459" t="s">
        <v>192</v>
      </c>
      <c r="G2459" t="s">
        <v>111</v>
      </c>
      <c r="H2459" t="s">
        <v>703</v>
      </c>
      <c r="I2459" t="s">
        <v>112</v>
      </c>
      <c r="J2459" t="s">
        <v>702</v>
      </c>
      <c r="K2459" t="s">
        <v>2842</v>
      </c>
      <c r="L2459" t="s">
        <v>2842</v>
      </c>
    </row>
    <row r="2460" spans="1:12" x14ac:dyDescent="0.3">
      <c r="A2460" t="s">
        <v>2600</v>
      </c>
      <c r="B2460" t="s">
        <v>1505</v>
      </c>
      <c r="C2460" t="s">
        <v>711</v>
      </c>
      <c r="D2460" t="s">
        <v>228</v>
      </c>
      <c r="E2460" t="s">
        <v>569</v>
      </c>
      <c r="F2460" t="s">
        <v>167</v>
      </c>
      <c r="G2460" t="s">
        <v>111</v>
      </c>
      <c r="H2460" t="s">
        <v>703</v>
      </c>
      <c r="I2460" t="s">
        <v>112</v>
      </c>
      <c r="J2460" t="s">
        <v>702</v>
      </c>
      <c r="K2460" t="s">
        <v>2841</v>
      </c>
      <c r="L2460" t="s">
        <v>2841</v>
      </c>
    </row>
    <row r="2461" spans="1:12" x14ac:dyDescent="0.3">
      <c r="A2461" t="s">
        <v>2600</v>
      </c>
      <c r="B2461" t="s">
        <v>1505</v>
      </c>
      <c r="C2461" t="s">
        <v>711</v>
      </c>
      <c r="D2461" t="s">
        <v>229</v>
      </c>
      <c r="E2461" t="s">
        <v>569</v>
      </c>
      <c r="F2461" t="s">
        <v>127</v>
      </c>
      <c r="G2461" t="s">
        <v>111</v>
      </c>
      <c r="H2461" t="s">
        <v>1565</v>
      </c>
      <c r="I2461" t="s">
        <v>112</v>
      </c>
      <c r="J2461" t="s">
        <v>1566</v>
      </c>
    </row>
    <row r="2462" spans="1:12" x14ac:dyDescent="0.3">
      <c r="A2462" t="s">
        <v>2600</v>
      </c>
      <c r="B2462" t="s">
        <v>1505</v>
      </c>
      <c r="C2462" t="s">
        <v>711</v>
      </c>
      <c r="D2462" t="s">
        <v>310</v>
      </c>
      <c r="E2462" t="s">
        <v>569</v>
      </c>
      <c r="F2462" t="s">
        <v>128</v>
      </c>
      <c r="G2462" t="s">
        <v>111</v>
      </c>
      <c r="H2462" t="s">
        <v>703</v>
      </c>
      <c r="I2462" t="s">
        <v>112</v>
      </c>
      <c r="J2462" t="s">
        <v>702</v>
      </c>
      <c r="K2462" t="s">
        <v>2841</v>
      </c>
      <c r="L2462" t="s">
        <v>2841</v>
      </c>
    </row>
    <row r="2463" spans="1:12" x14ac:dyDescent="0.3">
      <c r="A2463" t="s">
        <v>2600</v>
      </c>
      <c r="B2463" t="s">
        <v>1505</v>
      </c>
      <c r="C2463" t="s">
        <v>711</v>
      </c>
      <c r="D2463" t="s">
        <v>231</v>
      </c>
      <c r="E2463" t="s">
        <v>569</v>
      </c>
      <c r="F2463" t="s">
        <v>66</v>
      </c>
      <c r="G2463" t="s">
        <v>111</v>
      </c>
      <c r="H2463" t="s">
        <v>1539</v>
      </c>
      <c r="I2463" t="s">
        <v>112</v>
      </c>
      <c r="J2463" t="s">
        <v>704</v>
      </c>
    </row>
    <row r="2464" spans="1:12" x14ac:dyDescent="0.3">
      <c r="A2464" t="s">
        <v>2600</v>
      </c>
      <c r="B2464" t="s">
        <v>1505</v>
      </c>
      <c r="C2464" t="s">
        <v>711</v>
      </c>
      <c r="D2464" t="s">
        <v>232</v>
      </c>
      <c r="E2464" t="s">
        <v>569</v>
      </c>
      <c r="F2464" t="s">
        <v>169</v>
      </c>
      <c r="G2464" t="s">
        <v>111</v>
      </c>
      <c r="H2464" t="s">
        <v>703</v>
      </c>
      <c r="I2464" t="s">
        <v>112</v>
      </c>
      <c r="J2464" t="s">
        <v>702</v>
      </c>
      <c r="K2464" t="s">
        <v>2841</v>
      </c>
      <c r="L2464" t="s">
        <v>2841</v>
      </c>
    </row>
    <row r="2465" spans="1:12" x14ac:dyDescent="0.3">
      <c r="A2465" t="s">
        <v>2600</v>
      </c>
      <c r="B2465" t="s">
        <v>1505</v>
      </c>
      <c r="C2465" t="s">
        <v>711</v>
      </c>
      <c r="D2465" t="s">
        <v>234</v>
      </c>
      <c r="E2465" t="s">
        <v>569</v>
      </c>
      <c r="F2465" t="s">
        <v>93</v>
      </c>
      <c r="G2465" t="s">
        <v>111</v>
      </c>
      <c r="H2465" t="s">
        <v>1539</v>
      </c>
      <c r="I2465" t="s">
        <v>112</v>
      </c>
      <c r="J2465" t="s">
        <v>704</v>
      </c>
      <c r="K2465" t="s">
        <v>2894</v>
      </c>
      <c r="L2465" t="s">
        <v>2894</v>
      </c>
    </row>
    <row r="2466" spans="1:12" x14ac:dyDescent="0.3">
      <c r="A2466" t="s">
        <v>2600</v>
      </c>
      <c r="B2466" t="s">
        <v>1505</v>
      </c>
      <c r="C2466" t="s">
        <v>711</v>
      </c>
      <c r="D2466" t="s">
        <v>312</v>
      </c>
      <c r="E2466" t="s">
        <v>569</v>
      </c>
      <c r="F2466" t="s">
        <v>129</v>
      </c>
      <c r="G2466" t="s">
        <v>111</v>
      </c>
      <c r="H2466" t="s">
        <v>703</v>
      </c>
      <c r="I2466" t="s">
        <v>112</v>
      </c>
      <c r="J2466" t="s">
        <v>702</v>
      </c>
      <c r="K2466" t="s">
        <v>2863</v>
      </c>
      <c r="L2466" t="s">
        <v>2863</v>
      </c>
    </row>
    <row r="2467" spans="1:12" x14ac:dyDescent="0.3">
      <c r="A2467" t="s">
        <v>2600</v>
      </c>
      <c r="B2467" t="s">
        <v>1505</v>
      </c>
      <c r="C2467" t="s">
        <v>711</v>
      </c>
      <c r="D2467" t="s">
        <v>235</v>
      </c>
      <c r="E2467" t="s">
        <v>569</v>
      </c>
      <c r="F2467" t="s">
        <v>85</v>
      </c>
      <c r="G2467" t="s">
        <v>111</v>
      </c>
      <c r="H2467" t="s">
        <v>1539</v>
      </c>
      <c r="I2467" t="s">
        <v>112</v>
      </c>
      <c r="J2467" t="s">
        <v>704</v>
      </c>
    </row>
    <row r="2468" spans="1:12" x14ac:dyDescent="0.3">
      <c r="A2468" t="s">
        <v>2600</v>
      </c>
      <c r="B2468" t="s">
        <v>1505</v>
      </c>
      <c r="C2468" t="s">
        <v>711</v>
      </c>
      <c r="D2468" t="s">
        <v>314</v>
      </c>
      <c r="E2468" t="s">
        <v>569</v>
      </c>
      <c r="F2468" t="s">
        <v>61</v>
      </c>
      <c r="G2468" t="s">
        <v>111</v>
      </c>
      <c r="H2468" t="s">
        <v>703</v>
      </c>
      <c r="I2468" t="s">
        <v>112</v>
      </c>
      <c r="J2468" t="s">
        <v>702</v>
      </c>
      <c r="K2468" t="s">
        <v>2842</v>
      </c>
      <c r="L2468" t="s">
        <v>2842</v>
      </c>
    </row>
    <row r="2469" spans="1:12" x14ac:dyDescent="0.3">
      <c r="A2469" t="s">
        <v>2600</v>
      </c>
      <c r="B2469" t="s">
        <v>1505</v>
      </c>
      <c r="C2469" t="s">
        <v>711</v>
      </c>
      <c r="D2469" t="s">
        <v>239</v>
      </c>
      <c r="E2469" t="s">
        <v>569</v>
      </c>
      <c r="F2469" t="s">
        <v>50</v>
      </c>
      <c r="G2469" t="s">
        <v>111</v>
      </c>
      <c r="H2469" t="s">
        <v>703</v>
      </c>
      <c r="I2469" t="s">
        <v>112</v>
      </c>
      <c r="J2469" t="s">
        <v>702</v>
      </c>
      <c r="K2469" t="s">
        <v>2898</v>
      </c>
      <c r="L2469" t="s">
        <v>2898</v>
      </c>
    </row>
    <row r="2470" spans="1:12" x14ac:dyDescent="0.3">
      <c r="A2470" t="s">
        <v>2600</v>
      </c>
      <c r="B2470" t="s">
        <v>1505</v>
      </c>
      <c r="C2470" t="s">
        <v>711</v>
      </c>
      <c r="D2470" t="s">
        <v>315</v>
      </c>
      <c r="E2470" t="s">
        <v>568</v>
      </c>
      <c r="F2470" t="s">
        <v>79</v>
      </c>
      <c r="G2470" t="s">
        <v>111</v>
      </c>
      <c r="H2470" t="s">
        <v>703</v>
      </c>
      <c r="I2470" t="s">
        <v>112</v>
      </c>
      <c r="J2470" t="s">
        <v>702</v>
      </c>
      <c r="K2470" t="s">
        <v>2899</v>
      </c>
      <c r="L2470" t="s">
        <v>2899</v>
      </c>
    </row>
    <row r="2471" spans="1:12" x14ac:dyDescent="0.3">
      <c r="A2471" t="s">
        <v>2600</v>
      </c>
      <c r="B2471" t="s">
        <v>1505</v>
      </c>
      <c r="C2471" t="s">
        <v>711</v>
      </c>
      <c r="D2471" t="s">
        <v>316</v>
      </c>
      <c r="E2471" t="s">
        <v>568</v>
      </c>
      <c r="F2471" t="s">
        <v>132</v>
      </c>
      <c r="G2471" t="s">
        <v>111</v>
      </c>
      <c r="H2471" t="s">
        <v>1539</v>
      </c>
      <c r="I2471" t="s">
        <v>112</v>
      </c>
      <c r="J2471" t="s">
        <v>704</v>
      </c>
    </row>
    <row r="2472" spans="1:12" x14ac:dyDescent="0.3">
      <c r="A2472" t="s">
        <v>2600</v>
      </c>
      <c r="B2472" t="s">
        <v>1505</v>
      </c>
      <c r="C2472" t="s">
        <v>711</v>
      </c>
      <c r="D2472" t="s">
        <v>317</v>
      </c>
      <c r="E2472" t="s">
        <v>568</v>
      </c>
      <c r="F2472" t="s">
        <v>133</v>
      </c>
      <c r="G2472" t="s">
        <v>111</v>
      </c>
      <c r="H2472" t="s">
        <v>1539</v>
      </c>
      <c r="I2472" t="s">
        <v>112</v>
      </c>
      <c r="J2472" t="s">
        <v>704</v>
      </c>
    </row>
    <row r="2473" spans="1:12" x14ac:dyDescent="0.3">
      <c r="A2473" t="s">
        <v>2600</v>
      </c>
      <c r="B2473" t="s">
        <v>1505</v>
      </c>
      <c r="C2473" t="s">
        <v>711</v>
      </c>
      <c r="D2473" t="s">
        <v>318</v>
      </c>
      <c r="E2473" t="s">
        <v>568</v>
      </c>
      <c r="F2473" t="s">
        <v>193</v>
      </c>
      <c r="G2473" t="s">
        <v>111</v>
      </c>
      <c r="H2473" t="s">
        <v>1539</v>
      </c>
      <c r="I2473" t="s">
        <v>112</v>
      </c>
      <c r="J2473" t="s">
        <v>704</v>
      </c>
    </row>
    <row r="2474" spans="1:12" x14ac:dyDescent="0.3">
      <c r="A2474" t="s">
        <v>2600</v>
      </c>
      <c r="B2474" t="s">
        <v>1505</v>
      </c>
      <c r="C2474" t="s">
        <v>711</v>
      </c>
      <c r="D2474" t="s">
        <v>240</v>
      </c>
      <c r="E2474" t="s">
        <v>568</v>
      </c>
      <c r="F2474" t="s">
        <v>134</v>
      </c>
      <c r="G2474" t="s">
        <v>111</v>
      </c>
      <c r="H2474" t="s">
        <v>703</v>
      </c>
      <c r="I2474" t="s">
        <v>112</v>
      </c>
      <c r="J2474" t="s">
        <v>702</v>
      </c>
      <c r="K2474" t="s">
        <v>2846</v>
      </c>
      <c r="L2474" t="s">
        <v>2846</v>
      </c>
    </row>
    <row r="2475" spans="1:12" x14ac:dyDescent="0.3">
      <c r="A2475" t="s">
        <v>2600</v>
      </c>
      <c r="B2475" t="s">
        <v>1505</v>
      </c>
      <c r="C2475" t="s">
        <v>711</v>
      </c>
      <c r="D2475" t="s">
        <v>241</v>
      </c>
      <c r="E2475" t="s">
        <v>568</v>
      </c>
      <c r="F2475" t="s">
        <v>51</v>
      </c>
      <c r="G2475" t="s">
        <v>111</v>
      </c>
      <c r="H2475" t="s">
        <v>703</v>
      </c>
      <c r="I2475" t="s">
        <v>112</v>
      </c>
      <c r="J2475" t="s">
        <v>702</v>
      </c>
      <c r="K2475" t="s">
        <v>2846</v>
      </c>
      <c r="L2475" t="s">
        <v>2846</v>
      </c>
    </row>
    <row r="2476" spans="1:12" x14ac:dyDescent="0.3">
      <c r="A2476" t="s">
        <v>2600</v>
      </c>
      <c r="B2476" t="s">
        <v>1505</v>
      </c>
      <c r="C2476" t="s">
        <v>711</v>
      </c>
      <c r="D2476" t="s">
        <v>242</v>
      </c>
      <c r="E2476" t="s">
        <v>568</v>
      </c>
      <c r="F2476" t="s">
        <v>163</v>
      </c>
      <c r="G2476" t="s">
        <v>111</v>
      </c>
      <c r="H2476" t="s">
        <v>1539</v>
      </c>
      <c r="I2476" t="s">
        <v>112</v>
      </c>
      <c r="J2476" t="s">
        <v>704</v>
      </c>
    </row>
    <row r="2477" spans="1:12" x14ac:dyDescent="0.3">
      <c r="A2477" t="s">
        <v>2600</v>
      </c>
      <c r="B2477" t="s">
        <v>1505</v>
      </c>
      <c r="C2477" t="s">
        <v>711</v>
      </c>
      <c r="D2477" t="s">
        <v>243</v>
      </c>
      <c r="E2477" t="s">
        <v>568</v>
      </c>
      <c r="F2477" t="s">
        <v>170</v>
      </c>
      <c r="G2477" t="s">
        <v>111</v>
      </c>
      <c r="H2477" t="s">
        <v>703</v>
      </c>
      <c r="I2477" t="s">
        <v>112</v>
      </c>
      <c r="J2477" t="s">
        <v>702</v>
      </c>
      <c r="K2477" t="s">
        <v>2900</v>
      </c>
      <c r="L2477" t="s">
        <v>2900</v>
      </c>
    </row>
    <row r="2478" spans="1:12" x14ac:dyDescent="0.3">
      <c r="A2478" t="s">
        <v>2600</v>
      </c>
      <c r="B2478" t="s">
        <v>1505</v>
      </c>
      <c r="C2478" t="s">
        <v>711</v>
      </c>
      <c r="D2478" t="s">
        <v>244</v>
      </c>
      <c r="E2478" t="s">
        <v>568</v>
      </c>
      <c r="F2478" t="s">
        <v>78</v>
      </c>
      <c r="G2478" t="s">
        <v>111</v>
      </c>
      <c r="H2478" t="s">
        <v>2885</v>
      </c>
      <c r="I2478" t="s">
        <v>112</v>
      </c>
      <c r="J2478" t="s">
        <v>1595</v>
      </c>
    </row>
    <row r="2479" spans="1:12" x14ac:dyDescent="0.3">
      <c r="A2479" t="s">
        <v>2600</v>
      </c>
      <c r="B2479" t="s">
        <v>1505</v>
      </c>
      <c r="C2479" t="s">
        <v>711</v>
      </c>
      <c r="D2479" t="s">
        <v>245</v>
      </c>
      <c r="E2479" t="s">
        <v>568</v>
      </c>
      <c r="F2479" t="s">
        <v>82</v>
      </c>
      <c r="G2479" t="s">
        <v>111</v>
      </c>
      <c r="H2479" t="s">
        <v>1539</v>
      </c>
      <c r="I2479" t="s">
        <v>112</v>
      </c>
      <c r="J2479" t="s">
        <v>704</v>
      </c>
      <c r="K2479" t="s">
        <v>2851</v>
      </c>
      <c r="L2479" t="s">
        <v>2851</v>
      </c>
    </row>
    <row r="2480" spans="1:12" x14ac:dyDescent="0.3">
      <c r="A2480" t="s">
        <v>2600</v>
      </c>
      <c r="B2480" t="s">
        <v>1505</v>
      </c>
      <c r="C2480" t="s">
        <v>711</v>
      </c>
      <c r="D2480" t="s">
        <v>319</v>
      </c>
      <c r="E2480" t="s">
        <v>568</v>
      </c>
      <c r="F2480" t="s">
        <v>136</v>
      </c>
      <c r="G2480" t="s">
        <v>111</v>
      </c>
      <c r="H2480" t="s">
        <v>703</v>
      </c>
      <c r="I2480" t="s">
        <v>112</v>
      </c>
      <c r="J2480" t="s">
        <v>702</v>
      </c>
      <c r="K2480" t="s">
        <v>2856</v>
      </c>
      <c r="L2480" t="s">
        <v>2856</v>
      </c>
    </row>
    <row r="2481" spans="1:12" x14ac:dyDescent="0.3">
      <c r="A2481" t="s">
        <v>2600</v>
      </c>
      <c r="B2481" t="s">
        <v>1505</v>
      </c>
      <c r="C2481" t="s">
        <v>711</v>
      </c>
      <c r="D2481" t="s">
        <v>248</v>
      </c>
      <c r="E2481" t="s">
        <v>568</v>
      </c>
      <c r="F2481" t="s">
        <v>137</v>
      </c>
      <c r="G2481" t="s">
        <v>111</v>
      </c>
      <c r="H2481" t="s">
        <v>1539</v>
      </c>
      <c r="I2481" t="s">
        <v>112</v>
      </c>
      <c r="J2481" t="s">
        <v>704</v>
      </c>
    </row>
    <row r="2482" spans="1:12" x14ac:dyDescent="0.3">
      <c r="A2482" t="s">
        <v>2600</v>
      </c>
      <c r="B2482" t="s">
        <v>1505</v>
      </c>
      <c r="C2482" t="s">
        <v>711</v>
      </c>
      <c r="D2482" t="s">
        <v>250</v>
      </c>
      <c r="E2482" t="s">
        <v>568</v>
      </c>
      <c r="F2482" t="s">
        <v>70</v>
      </c>
      <c r="G2482" t="s">
        <v>111</v>
      </c>
      <c r="H2482" t="s">
        <v>703</v>
      </c>
      <c r="I2482" t="s">
        <v>112</v>
      </c>
      <c r="J2482" t="s">
        <v>702</v>
      </c>
      <c r="K2482" t="s">
        <v>2840</v>
      </c>
      <c r="L2482" t="s">
        <v>2840</v>
      </c>
    </row>
    <row r="2483" spans="1:12" x14ac:dyDescent="0.3">
      <c r="A2483" t="s">
        <v>2600</v>
      </c>
      <c r="B2483" t="s">
        <v>1505</v>
      </c>
      <c r="C2483" t="s">
        <v>711</v>
      </c>
      <c r="D2483" t="s">
        <v>252</v>
      </c>
      <c r="E2483" t="s">
        <v>568</v>
      </c>
      <c r="F2483" t="s">
        <v>138</v>
      </c>
      <c r="G2483" t="s">
        <v>111</v>
      </c>
      <c r="H2483" t="s">
        <v>1539</v>
      </c>
      <c r="I2483" t="s">
        <v>112</v>
      </c>
      <c r="J2483" t="s">
        <v>704</v>
      </c>
      <c r="K2483" t="s">
        <v>2864</v>
      </c>
      <c r="L2483" t="s">
        <v>2864</v>
      </c>
    </row>
    <row r="2484" spans="1:12" x14ac:dyDescent="0.3">
      <c r="A2484" t="s">
        <v>2600</v>
      </c>
      <c r="B2484" t="s">
        <v>1505</v>
      </c>
      <c r="C2484" t="s">
        <v>711</v>
      </c>
      <c r="D2484" t="s">
        <v>254</v>
      </c>
      <c r="E2484" t="s">
        <v>568</v>
      </c>
      <c r="F2484" t="s">
        <v>139</v>
      </c>
      <c r="G2484" t="s">
        <v>111</v>
      </c>
      <c r="H2484" t="s">
        <v>703</v>
      </c>
      <c r="I2484" t="s">
        <v>112</v>
      </c>
      <c r="J2484" t="s">
        <v>702</v>
      </c>
      <c r="K2484" t="s">
        <v>2865</v>
      </c>
      <c r="L2484" t="s">
        <v>2865</v>
      </c>
    </row>
    <row r="2485" spans="1:12" x14ac:dyDescent="0.3">
      <c r="A2485" t="s">
        <v>2600</v>
      </c>
      <c r="B2485" t="s">
        <v>1505</v>
      </c>
      <c r="C2485" t="s">
        <v>711</v>
      </c>
      <c r="D2485" t="s">
        <v>320</v>
      </c>
      <c r="E2485" t="s">
        <v>568</v>
      </c>
      <c r="F2485" t="s">
        <v>172</v>
      </c>
      <c r="G2485" t="s">
        <v>111</v>
      </c>
      <c r="H2485" t="s">
        <v>703</v>
      </c>
      <c r="I2485" t="s">
        <v>112</v>
      </c>
      <c r="J2485" t="s">
        <v>702</v>
      </c>
      <c r="K2485" t="s">
        <v>2901</v>
      </c>
      <c r="L2485" t="s">
        <v>2901</v>
      </c>
    </row>
    <row r="2486" spans="1:12" x14ac:dyDescent="0.3">
      <c r="A2486" t="s">
        <v>2600</v>
      </c>
      <c r="B2486" t="s">
        <v>1505</v>
      </c>
      <c r="C2486" t="s">
        <v>711</v>
      </c>
      <c r="D2486" t="s">
        <v>207</v>
      </c>
      <c r="E2486" t="s">
        <v>568</v>
      </c>
      <c r="F2486" t="s">
        <v>62</v>
      </c>
      <c r="G2486" t="s">
        <v>111</v>
      </c>
      <c r="H2486" t="s">
        <v>703</v>
      </c>
      <c r="I2486" t="s">
        <v>112</v>
      </c>
      <c r="J2486" t="s">
        <v>702</v>
      </c>
      <c r="K2486" t="s">
        <v>2841</v>
      </c>
      <c r="L2486" t="s">
        <v>2841</v>
      </c>
    </row>
    <row r="2487" spans="1:12" x14ac:dyDescent="0.3">
      <c r="A2487" t="s">
        <v>2600</v>
      </c>
      <c r="B2487" t="s">
        <v>1505</v>
      </c>
      <c r="C2487" t="s">
        <v>711</v>
      </c>
      <c r="D2487" t="s">
        <v>321</v>
      </c>
      <c r="E2487" t="s">
        <v>568</v>
      </c>
      <c r="F2487" t="s">
        <v>94</v>
      </c>
      <c r="G2487" t="s">
        <v>111</v>
      </c>
      <c r="H2487" t="s">
        <v>703</v>
      </c>
      <c r="I2487" t="s">
        <v>112</v>
      </c>
      <c r="J2487" t="s">
        <v>702</v>
      </c>
      <c r="K2487" t="s">
        <v>2901</v>
      </c>
      <c r="L2487" t="s">
        <v>2901</v>
      </c>
    </row>
    <row r="2488" spans="1:12" x14ac:dyDescent="0.3">
      <c r="A2488" t="s">
        <v>2600</v>
      </c>
      <c r="B2488" t="s">
        <v>1505</v>
      </c>
      <c r="C2488" t="s">
        <v>711</v>
      </c>
      <c r="D2488" t="s">
        <v>256</v>
      </c>
      <c r="E2488" t="s">
        <v>568</v>
      </c>
      <c r="F2488" t="s">
        <v>57</v>
      </c>
      <c r="G2488" t="s">
        <v>111</v>
      </c>
      <c r="H2488" t="s">
        <v>703</v>
      </c>
      <c r="I2488" t="s">
        <v>112</v>
      </c>
      <c r="J2488" t="s">
        <v>702</v>
      </c>
      <c r="K2488" t="s">
        <v>2852</v>
      </c>
      <c r="L2488" t="s">
        <v>2852</v>
      </c>
    </row>
    <row r="2489" spans="1:12" x14ac:dyDescent="0.3">
      <c r="A2489" t="s">
        <v>2600</v>
      </c>
      <c r="B2489" t="s">
        <v>1505</v>
      </c>
      <c r="C2489" t="s">
        <v>711</v>
      </c>
      <c r="D2489" t="s">
        <v>258</v>
      </c>
      <c r="E2489" t="s">
        <v>568</v>
      </c>
      <c r="F2489" t="s">
        <v>88</v>
      </c>
      <c r="G2489" t="s">
        <v>111</v>
      </c>
      <c r="H2489" t="s">
        <v>703</v>
      </c>
      <c r="I2489" t="s">
        <v>112</v>
      </c>
      <c r="J2489" t="s">
        <v>702</v>
      </c>
      <c r="K2489" t="s">
        <v>2902</v>
      </c>
      <c r="L2489" t="s">
        <v>2902</v>
      </c>
    </row>
    <row r="2490" spans="1:12" x14ac:dyDescent="0.3">
      <c r="A2490" t="s">
        <v>2600</v>
      </c>
      <c r="B2490" t="s">
        <v>1505</v>
      </c>
      <c r="C2490" t="s">
        <v>711</v>
      </c>
      <c r="D2490" t="s">
        <v>259</v>
      </c>
      <c r="E2490" t="s">
        <v>568</v>
      </c>
      <c r="F2490" t="s">
        <v>77</v>
      </c>
      <c r="G2490" t="s">
        <v>111</v>
      </c>
      <c r="H2490" t="s">
        <v>703</v>
      </c>
      <c r="I2490" t="s">
        <v>112</v>
      </c>
      <c r="J2490" t="s">
        <v>702</v>
      </c>
      <c r="K2490" t="s">
        <v>2841</v>
      </c>
      <c r="L2490" t="s">
        <v>2841</v>
      </c>
    </row>
    <row r="2491" spans="1:12" x14ac:dyDescent="0.3">
      <c r="A2491" t="s">
        <v>2600</v>
      </c>
      <c r="B2491" t="s">
        <v>1505</v>
      </c>
      <c r="C2491" t="s">
        <v>711</v>
      </c>
      <c r="D2491" t="s">
        <v>323</v>
      </c>
      <c r="E2491" t="s">
        <v>568</v>
      </c>
      <c r="F2491" t="s">
        <v>74</v>
      </c>
      <c r="G2491" t="s">
        <v>111</v>
      </c>
      <c r="H2491" t="s">
        <v>1565</v>
      </c>
      <c r="I2491" t="s">
        <v>112</v>
      </c>
      <c r="J2491" t="s">
        <v>1566</v>
      </c>
    </row>
    <row r="2492" spans="1:12" x14ac:dyDescent="0.3">
      <c r="A2492" t="s">
        <v>2600</v>
      </c>
      <c r="B2492" t="s">
        <v>1505</v>
      </c>
      <c r="C2492" t="s">
        <v>711</v>
      </c>
      <c r="D2492" t="s">
        <v>260</v>
      </c>
      <c r="E2492" t="s">
        <v>568</v>
      </c>
      <c r="F2492" t="s">
        <v>140</v>
      </c>
      <c r="G2492" t="s">
        <v>111</v>
      </c>
      <c r="H2492" t="s">
        <v>703</v>
      </c>
      <c r="I2492" t="s">
        <v>112</v>
      </c>
      <c r="J2492" t="s">
        <v>702</v>
      </c>
      <c r="K2492" t="s">
        <v>2849</v>
      </c>
      <c r="L2492" t="s">
        <v>2849</v>
      </c>
    </row>
    <row r="2493" spans="1:12" x14ac:dyDescent="0.3">
      <c r="A2493" t="s">
        <v>2600</v>
      </c>
      <c r="B2493" t="s">
        <v>1505</v>
      </c>
      <c r="C2493" t="s">
        <v>711</v>
      </c>
      <c r="D2493" t="s">
        <v>261</v>
      </c>
      <c r="E2493" t="s">
        <v>568</v>
      </c>
      <c r="F2493" t="s">
        <v>175</v>
      </c>
      <c r="G2493" t="s">
        <v>111</v>
      </c>
      <c r="H2493" t="s">
        <v>703</v>
      </c>
      <c r="I2493" t="s">
        <v>112</v>
      </c>
      <c r="J2493" t="s">
        <v>702</v>
      </c>
      <c r="K2493" t="s">
        <v>2838</v>
      </c>
      <c r="L2493" t="s">
        <v>2838</v>
      </c>
    </row>
    <row r="2494" spans="1:12" x14ac:dyDescent="0.3">
      <c r="A2494" t="s">
        <v>2600</v>
      </c>
      <c r="B2494" t="s">
        <v>1505</v>
      </c>
      <c r="C2494" t="s">
        <v>711</v>
      </c>
      <c r="D2494" t="s">
        <v>325</v>
      </c>
      <c r="E2494" t="s">
        <v>568</v>
      </c>
      <c r="F2494" t="s">
        <v>46</v>
      </c>
      <c r="G2494" t="s">
        <v>111</v>
      </c>
      <c r="H2494" t="s">
        <v>703</v>
      </c>
      <c r="I2494" t="s">
        <v>112</v>
      </c>
      <c r="J2494" t="s">
        <v>702</v>
      </c>
      <c r="K2494" t="s">
        <v>2903</v>
      </c>
      <c r="L2494" t="s">
        <v>2903</v>
      </c>
    </row>
    <row r="2495" spans="1:12" x14ac:dyDescent="0.3">
      <c r="A2495" t="s">
        <v>2600</v>
      </c>
      <c r="B2495" t="s">
        <v>1505</v>
      </c>
      <c r="C2495" t="s">
        <v>711</v>
      </c>
      <c r="D2495" t="s">
        <v>262</v>
      </c>
      <c r="E2495" t="s">
        <v>568</v>
      </c>
      <c r="F2495" t="s">
        <v>202</v>
      </c>
      <c r="G2495" t="s">
        <v>111</v>
      </c>
      <c r="H2495" t="s">
        <v>703</v>
      </c>
      <c r="I2495" t="s">
        <v>112</v>
      </c>
      <c r="J2495" t="s">
        <v>702</v>
      </c>
      <c r="K2495" t="s">
        <v>2848</v>
      </c>
      <c r="L2495" t="s">
        <v>2848</v>
      </c>
    </row>
    <row r="2496" spans="1:12" x14ac:dyDescent="0.3">
      <c r="A2496" t="s">
        <v>2600</v>
      </c>
      <c r="B2496" t="s">
        <v>1505</v>
      </c>
      <c r="C2496" t="s">
        <v>711</v>
      </c>
      <c r="D2496" t="s">
        <v>263</v>
      </c>
      <c r="E2496" t="s">
        <v>568</v>
      </c>
      <c r="F2496" t="s">
        <v>141</v>
      </c>
      <c r="G2496" t="s">
        <v>111</v>
      </c>
      <c r="H2496" t="s">
        <v>701</v>
      </c>
      <c r="I2496" t="s">
        <v>112</v>
      </c>
      <c r="J2496" t="s">
        <v>702</v>
      </c>
      <c r="K2496" t="s">
        <v>2881</v>
      </c>
      <c r="L2496" t="s">
        <v>2881</v>
      </c>
    </row>
    <row r="2497" spans="1:12" x14ac:dyDescent="0.3">
      <c r="A2497" t="s">
        <v>2600</v>
      </c>
      <c r="B2497" t="s">
        <v>1505</v>
      </c>
      <c r="C2497" t="s">
        <v>711</v>
      </c>
      <c r="D2497" t="s">
        <v>264</v>
      </c>
      <c r="E2497" t="s">
        <v>568</v>
      </c>
      <c r="F2497" t="s">
        <v>64</v>
      </c>
      <c r="G2497" t="s">
        <v>111</v>
      </c>
      <c r="H2497" t="s">
        <v>1539</v>
      </c>
      <c r="I2497" t="s">
        <v>112</v>
      </c>
      <c r="J2497" t="s">
        <v>704</v>
      </c>
    </row>
    <row r="2498" spans="1:12" x14ac:dyDescent="0.3">
      <c r="A2498" t="s">
        <v>2600</v>
      </c>
      <c r="B2498" t="s">
        <v>1505</v>
      </c>
      <c r="C2498" t="s">
        <v>711</v>
      </c>
      <c r="D2498" t="s">
        <v>265</v>
      </c>
      <c r="E2498" t="s">
        <v>568</v>
      </c>
      <c r="F2498" t="s">
        <v>142</v>
      </c>
      <c r="G2498" t="s">
        <v>111</v>
      </c>
      <c r="H2498" t="s">
        <v>703</v>
      </c>
      <c r="I2498" t="s">
        <v>112</v>
      </c>
      <c r="J2498" t="s">
        <v>702</v>
      </c>
      <c r="K2498" t="s">
        <v>2838</v>
      </c>
      <c r="L2498" t="s">
        <v>2838</v>
      </c>
    </row>
    <row r="2499" spans="1:12" x14ac:dyDescent="0.3">
      <c r="A2499" t="s">
        <v>2600</v>
      </c>
      <c r="B2499" t="s">
        <v>1505</v>
      </c>
      <c r="C2499" t="s">
        <v>711</v>
      </c>
      <c r="D2499" t="s">
        <v>267</v>
      </c>
      <c r="E2499" t="s">
        <v>568</v>
      </c>
      <c r="F2499" t="s">
        <v>143</v>
      </c>
      <c r="G2499" t="s">
        <v>111</v>
      </c>
      <c r="H2499" t="s">
        <v>1539</v>
      </c>
      <c r="I2499" t="s">
        <v>112</v>
      </c>
      <c r="J2499" t="s">
        <v>704</v>
      </c>
    </row>
    <row r="2500" spans="1:12" x14ac:dyDescent="0.3">
      <c r="A2500" t="s">
        <v>2600</v>
      </c>
      <c r="B2500" t="s">
        <v>1505</v>
      </c>
      <c r="C2500" t="s">
        <v>711</v>
      </c>
      <c r="D2500" t="s">
        <v>326</v>
      </c>
      <c r="E2500" t="s">
        <v>568</v>
      </c>
      <c r="F2500" t="s">
        <v>144</v>
      </c>
      <c r="G2500" t="s">
        <v>111</v>
      </c>
      <c r="H2500" t="s">
        <v>1539</v>
      </c>
      <c r="I2500" t="s">
        <v>112</v>
      </c>
      <c r="J2500" t="s">
        <v>704</v>
      </c>
    </row>
    <row r="2501" spans="1:12" x14ac:dyDescent="0.3">
      <c r="A2501" t="s">
        <v>2600</v>
      </c>
      <c r="B2501" t="s">
        <v>1505</v>
      </c>
      <c r="C2501" t="s">
        <v>711</v>
      </c>
      <c r="D2501" t="s">
        <v>268</v>
      </c>
      <c r="E2501" t="s">
        <v>568</v>
      </c>
      <c r="F2501" t="s">
        <v>194</v>
      </c>
      <c r="G2501" t="s">
        <v>111</v>
      </c>
      <c r="H2501" t="s">
        <v>1539</v>
      </c>
      <c r="I2501" t="s">
        <v>112</v>
      </c>
      <c r="J2501" t="s">
        <v>704</v>
      </c>
      <c r="K2501" t="s">
        <v>2871</v>
      </c>
      <c r="L2501" t="s">
        <v>2871</v>
      </c>
    </row>
    <row r="2502" spans="1:12" x14ac:dyDescent="0.3">
      <c r="A2502" t="s">
        <v>2600</v>
      </c>
      <c r="B2502" t="s">
        <v>1505</v>
      </c>
      <c r="C2502" t="s">
        <v>711</v>
      </c>
      <c r="D2502" t="s">
        <v>272</v>
      </c>
      <c r="E2502" t="s">
        <v>567</v>
      </c>
      <c r="F2502" t="s">
        <v>52</v>
      </c>
      <c r="G2502" t="s">
        <v>111</v>
      </c>
      <c r="H2502" t="s">
        <v>703</v>
      </c>
      <c r="I2502" t="s">
        <v>112</v>
      </c>
      <c r="J2502" t="s">
        <v>702</v>
      </c>
      <c r="K2502" t="s">
        <v>2904</v>
      </c>
      <c r="L2502" t="s">
        <v>2904</v>
      </c>
    </row>
    <row r="2503" spans="1:12" x14ac:dyDescent="0.3">
      <c r="A2503" t="s">
        <v>2600</v>
      </c>
      <c r="B2503" t="s">
        <v>1505</v>
      </c>
      <c r="C2503" t="s">
        <v>711</v>
      </c>
      <c r="D2503" t="s">
        <v>327</v>
      </c>
      <c r="E2503" t="s">
        <v>567</v>
      </c>
      <c r="F2503" t="s">
        <v>104</v>
      </c>
      <c r="G2503" t="s">
        <v>111</v>
      </c>
      <c r="H2503" t="s">
        <v>703</v>
      </c>
      <c r="I2503" t="s">
        <v>112</v>
      </c>
      <c r="J2503" t="s">
        <v>702</v>
      </c>
      <c r="K2503" t="s">
        <v>2872</v>
      </c>
      <c r="L2503" t="s">
        <v>2872</v>
      </c>
    </row>
    <row r="2504" spans="1:12" x14ac:dyDescent="0.3">
      <c r="A2504" t="s">
        <v>2600</v>
      </c>
      <c r="B2504" t="s">
        <v>1505</v>
      </c>
      <c r="C2504" t="s">
        <v>711</v>
      </c>
      <c r="D2504" t="s">
        <v>273</v>
      </c>
      <c r="E2504" t="s">
        <v>567</v>
      </c>
      <c r="F2504" t="s">
        <v>176</v>
      </c>
      <c r="G2504" t="s">
        <v>111</v>
      </c>
      <c r="H2504" t="s">
        <v>703</v>
      </c>
      <c r="I2504" t="s">
        <v>112</v>
      </c>
      <c r="J2504" t="s">
        <v>702</v>
      </c>
      <c r="K2504" t="s">
        <v>2905</v>
      </c>
      <c r="L2504" t="s">
        <v>2905</v>
      </c>
    </row>
    <row r="2505" spans="1:12" x14ac:dyDescent="0.3">
      <c r="A2505" t="s">
        <v>2600</v>
      </c>
      <c r="B2505" t="s">
        <v>1505</v>
      </c>
      <c r="C2505" t="s">
        <v>711</v>
      </c>
      <c r="D2505" t="s">
        <v>275</v>
      </c>
      <c r="E2505" t="s">
        <v>567</v>
      </c>
      <c r="F2505" t="s">
        <v>148</v>
      </c>
      <c r="G2505" t="s">
        <v>111</v>
      </c>
      <c r="H2505" t="s">
        <v>703</v>
      </c>
      <c r="I2505" t="s">
        <v>112</v>
      </c>
      <c r="J2505" t="s">
        <v>702</v>
      </c>
      <c r="K2505" t="s">
        <v>2849</v>
      </c>
      <c r="L2505" t="s">
        <v>2849</v>
      </c>
    </row>
    <row r="2506" spans="1:12" x14ac:dyDescent="0.3">
      <c r="A2506" t="s">
        <v>2600</v>
      </c>
      <c r="B2506" t="s">
        <v>1505</v>
      </c>
      <c r="C2506" t="s">
        <v>711</v>
      </c>
      <c r="D2506" t="s">
        <v>276</v>
      </c>
      <c r="E2506" t="s">
        <v>567</v>
      </c>
      <c r="F2506" t="s">
        <v>149</v>
      </c>
      <c r="G2506" t="s">
        <v>111</v>
      </c>
      <c r="H2506" t="s">
        <v>1539</v>
      </c>
      <c r="I2506" t="s">
        <v>112</v>
      </c>
      <c r="J2506" t="s">
        <v>704</v>
      </c>
      <c r="K2506" t="s">
        <v>2873</v>
      </c>
      <c r="L2506" t="s">
        <v>2873</v>
      </c>
    </row>
    <row r="2507" spans="1:12" x14ac:dyDescent="0.3">
      <c r="A2507" t="s">
        <v>2600</v>
      </c>
      <c r="B2507" t="s">
        <v>1505</v>
      </c>
      <c r="C2507" t="s">
        <v>711</v>
      </c>
      <c r="D2507" t="s">
        <v>277</v>
      </c>
      <c r="E2507" t="s">
        <v>567</v>
      </c>
      <c r="F2507" t="s">
        <v>83</v>
      </c>
      <c r="G2507" t="s">
        <v>111</v>
      </c>
      <c r="H2507" t="s">
        <v>703</v>
      </c>
      <c r="I2507" t="s">
        <v>112</v>
      </c>
      <c r="J2507" t="s">
        <v>702</v>
      </c>
      <c r="K2507" t="s">
        <v>2901</v>
      </c>
      <c r="L2507" t="s">
        <v>2901</v>
      </c>
    </row>
    <row r="2508" spans="1:12" x14ac:dyDescent="0.3">
      <c r="A2508" t="s">
        <v>2600</v>
      </c>
      <c r="B2508" t="s">
        <v>1505</v>
      </c>
      <c r="C2508" t="s">
        <v>711</v>
      </c>
      <c r="D2508" t="s">
        <v>279</v>
      </c>
      <c r="E2508" t="s">
        <v>567</v>
      </c>
      <c r="F2508" t="s">
        <v>150</v>
      </c>
      <c r="G2508" t="s">
        <v>111</v>
      </c>
      <c r="H2508" t="s">
        <v>703</v>
      </c>
      <c r="I2508" t="s">
        <v>112</v>
      </c>
      <c r="J2508" t="s">
        <v>702</v>
      </c>
      <c r="K2508" t="s">
        <v>2900</v>
      </c>
      <c r="L2508" t="s">
        <v>2900</v>
      </c>
    </row>
    <row r="2509" spans="1:12" x14ac:dyDescent="0.3">
      <c r="A2509" t="s">
        <v>2600</v>
      </c>
      <c r="B2509" t="s">
        <v>1505</v>
      </c>
      <c r="C2509" t="s">
        <v>711</v>
      </c>
      <c r="D2509" t="s">
        <v>281</v>
      </c>
      <c r="E2509" t="s">
        <v>567</v>
      </c>
      <c r="F2509" t="s">
        <v>84</v>
      </c>
      <c r="G2509" t="s">
        <v>111</v>
      </c>
      <c r="H2509" t="s">
        <v>703</v>
      </c>
      <c r="I2509" t="s">
        <v>112</v>
      </c>
      <c r="J2509" t="s">
        <v>702</v>
      </c>
      <c r="K2509" t="s">
        <v>2841</v>
      </c>
      <c r="L2509" t="s">
        <v>2841</v>
      </c>
    </row>
    <row r="2510" spans="1:12" x14ac:dyDescent="0.3">
      <c r="A2510" t="s">
        <v>2600</v>
      </c>
      <c r="B2510" t="s">
        <v>1505</v>
      </c>
      <c r="C2510" t="s">
        <v>711</v>
      </c>
      <c r="D2510" t="s">
        <v>282</v>
      </c>
      <c r="E2510" t="s">
        <v>567</v>
      </c>
      <c r="F2510" t="s">
        <v>90</v>
      </c>
      <c r="G2510" t="s">
        <v>111</v>
      </c>
      <c r="H2510" t="s">
        <v>703</v>
      </c>
      <c r="I2510" t="s">
        <v>112</v>
      </c>
      <c r="J2510" t="s">
        <v>702</v>
      </c>
      <c r="K2510" t="s">
        <v>2841</v>
      </c>
      <c r="L2510" t="s">
        <v>2841</v>
      </c>
    </row>
    <row r="2511" spans="1:12" x14ac:dyDescent="0.3">
      <c r="A2511" t="s">
        <v>2600</v>
      </c>
      <c r="B2511" t="s">
        <v>1505</v>
      </c>
      <c r="C2511" t="s">
        <v>711</v>
      </c>
      <c r="D2511" t="s">
        <v>283</v>
      </c>
      <c r="E2511" t="s">
        <v>567</v>
      </c>
      <c r="F2511" t="s">
        <v>63</v>
      </c>
      <c r="G2511" t="s">
        <v>111</v>
      </c>
      <c r="H2511" t="s">
        <v>703</v>
      </c>
      <c r="I2511" t="s">
        <v>112</v>
      </c>
      <c r="J2511" t="s">
        <v>702</v>
      </c>
      <c r="K2511" t="s">
        <v>2881</v>
      </c>
      <c r="L2511" t="s">
        <v>2881</v>
      </c>
    </row>
    <row r="2512" spans="1:12" x14ac:dyDescent="0.3">
      <c r="A2512" t="s">
        <v>2600</v>
      </c>
      <c r="B2512" t="s">
        <v>1505</v>
      </c>
      <c r="C2512" t="s">
        <v>711</v>
      </c>
      <c r="D2512" t="s">
        <v>284</v>
      </c>
      <c r="E2512" t="s">
        <v>567</v>
      </c>
      <c r="F2512" t="s">
        <v>151</v>
      </c>
      <c r="G2512" t="s">
        <v>111</v>
      </c>
      <c r="H2512" t="s">
        <v>1594</v>
      </c>
      <c r="I2512" t="s">
        <v>112</v>
      </c>
      <c r="J2512" t="s">
        <v>1595</v>
      </c>
      <c r="K2512" t="s">
        <v>2906</v>
      </c>
      <c r="L2512" t="s">
        <v>2906</v>
      </c>
    </row>
    <row r="2513" spans="1:12" x14ac:dyDescent="0.3">
      <c r="A2513" t="s">
        <v>2600</v>
      </c>
      <c r="B2513" t="s">
        <v>1505</v>
      </c>
      <c r="C2513" t="s">
        <v>711</v>
      </c>
      <c r="D2513" t="s">
        <v>285</v>
      </c>
      <c r="E2513" t="s">
        <v>567</v>
      </c>
      <c r="F2513" t="s">
        <v>195</v>
      </c>
      <c r="G2513" t="s">
        <v>111</v>
      </c>
      <c r="H2513" t="s">
        <v>703</v>
      </c>
      <c r="I2513" t="s">
        <v>112</v>
      </c>
      <c r="J2513" t="s">
        <v>702</v>
      </c>
      <c r="K2513" t="s">
        <v>2907</v>
      </c>
      <c r="L2513" t="s">
        <v>2907</v>
      </c>
    </row>
    <row r="2514" spans="1:12" x14ac:dyDescent="0.3">
      <c r="A2514" t="s">
        <v>2600</v>
      </c>
      <c r="B2514" t="s">
        <v>1505</v>
      </c>
      <c r="C2514" t="s">
        <v>711</v>
      </c>
      <c r="D2514" t="s">
        <v>330</v>
      </c>
      <c r="E2514" t="s">
        <v>567</v>
      </c>
      <c r="F2514" t="s">
        <v>177</v>
      </c>
      <c r="G2514" t="s">
        <v>111</v>
      </c>
      <c r="H2514" t="s">
        <v>703</v>
      </c>
      <c r="I2514" t="s">
        <v>112</v>
      </c>
      <c r="J2514" t="s">
        <v>702</v>
      </c>
      <c r="K2514" t="s">
        <v>2842</v>
      </c>
      <c r="L2514" t="s">
        <v>2842</v>
      </c>
    </row>
    <row r="2515" spans="1:12" x14ac:dyDescent="0.3">
      <c r="A2515" t="s">
        <v>2600</v>
      </c>
      <c r="B2515" t="s">
        <v>1505</v>
      </c>
      <c r="C2515" t="s">
        <v>711</v>
      </c>
      <c r="D2515" t="s">
        <v>331</v>
      </c>
      <c r="E2515" t="s">
        <v>567</v>
      </c>
      <c r="F2515" t="s">
        <v>91</v>
      </c>
      <c r="G2515" t="s">
        <v>111</v>
      </c>
      <c r="H2515" t="s">
        <v>1565</v>
      </c>
      <c r="I2515" t="s">
        <v>112</v>
      </c>
      <c r="J2515" t="s">
        <v>1566</v>
      </c>
      <c r="K2515" t="s">
        <v>2908</v>
      </c>
      <c r="L2515" t="s">
        <v>2908</v>
      </c>
    </row>
    <row r="2516" spans="1:12" x14ac:dyDescent="0.3">
      <c r="A2516" t="s">
        <v>2600</v>
      </c>
      <c r="B2516" t="s">
        <v>1505</v>
      </c>
      <c r="C2516" t="s">
        <v>711</v>
      </c>
      <c r="D2516" t="s">
        <v>332</v>
      </c>
      <c r="E2516" t="s">
        <v>567</v>
      </c>
      <c r="F2516" t="s">
        <v>152</v>
      </c>
      <c r="G2516" t="s">
        <v>111</v>
      </c>
      <c r="H2516" t="s">
        <v>703</v>
      </c>
      <c r="I2516" t="s">
        <v>112</v>
      </c>
      <c r="J2516" t="s">
        <v>702</v>
      </c>
      <c r="K2516" t="s">
        <v>2898</v>
      </c>
      <c r="L2516" t="s">
        <v>2898</v>
      </c>
    </row>
    <row r="2517" spans="1:12" x14ac:dyDescent="0.3">
      <c r="A2517" t="s">
        <v>2600</v>
      </c>
      <c r="B2517" t="s">
        <v>1505</v>
      </c>
      <c r="C2517" t="s">
        <v>711</v>
      </c>
      <c r="D2517" t="s">
        <v>286</v>
      </c>
      <c r="E2517" t="s">
        <v>567</v>
      </c>
      <c r="F2517" t="s">
        <v>67</v>
      </c>
      <c r="G2517" t="s">
        <v>111</v>
      </c>
      <c r="H2517" t="s">
        <v>703</v>
      </c>
      <c r="I2517" t="s">
        <v>112</v>
      </c>
      <c r="J2517" t="s">
        <v>702</v>
      </c>
      <c r="K2517" t="s">
        <v>2862</v>
      </c>
      <c r="L2517" t="s">
        <v>2862</v>
      </c>
    </row>
    <row r="2518" spans="1:12" x14ac:dyDescent="0.3">
      <c r="A2518" t="s">
        <v>2600</v>
      </c>
      <c r="B2518" t="s">
        <v>1505</v>
      </c>
      <c r="C2518" t="s">
        <v>711</v>
      </c>
      <c r="D2518" t="s">
        <v>287</v>
      </c>
      <c r="E2518" t="s">
        <v>567</v>
      </c>
      <c r="F2518" t="s">
        <v>196</v>
      </c>
      <c r="G2518" t="s">
        <v>111</v>
      </c>
      <c r="H2518" t="s">
        <v>1561</v>
      </c>
      <c r="I2518" t="s">
        <v>112</v>
      </c>
      <c r="J2518" t="s">
        <v>702</v>
      </c>
      <c r="K2518" t="s">
        <v>2909</v>
      </c>
      <c r="L2518" t="s">
        <v>2909</v>
      </c>
    </row>
    <row r="2519" spans="1:12" x14ac:dyDescent="0.3">
      <c r="A2519" t="s">
        <v>2600</v>
      </c>
      <c r="B2519" t="s">
        <v>1505</v>
      </c>
      <c r="C2519" t="s">
        <v>711</v>
      </c>
      <c r="D2519" t="s">
        <v>288</v>
      </c>
      <c r="E2519" t="s">
        <v>567</v>
      </c>
      <c r="F2519" t="s">
        <v>178</v>
      </c>
      <c r="G2519" t="s">
        <v>111</v>
      </c>
      <c r="H2519" t="s">
        <v>703</v>
      </c>
      <c r="I2519" t="s">
        <v>112</v>
      </c>
      <c r="J2519" t="s">
        <v>702</v>
      </c>
      <c r="K2519" t="s">
        <v>2844</v>
      </c>
      <c r="L2519" t="s">
        <v>2844</v>
      </c>
    </row>
    <row r="2520" spans="1:12" x14ac:dyDescent="0.3">
      <c r="A2520" t="s">
        <v>2600</v>
      </c>
      <c r="B2520" t="s">
        <v>1505</v>
      </c>
      <c r="C2520" t="s">
        <v>711</v>
      </c>
      <c r="D2520" t="s">
        <v>290</v>
      </c>
      <c r="E2520" t="s">
        <v>567</v>
      </c>
      <c r="F2520" t="s">
        <v>153</v>
      </c>
      <c r="G2520" t="s">
        <v>111</v>
      </c>
      <c r="H2520" t="s">
        <v>703</v>
      </c>
      <c r="I2520" t="s">
        <v>112</v>
      </c>
      <c r="J2520" t="s">
        <v>702</v>
      </c>
      <c r="K2520" t="s">
        <v>2902</v>
      </c>
      <c r="L2520" t="s">
        <v>2902</v>
      </c>
    </row>
    <row r="2521" spans="1:12" x14ac:dyDescent="0.3">
      <c r="A2521" t="s">
        <v>2600</v>
      </c>
      <c r="B2521" t="s">
        <v>1505</v>
      </c>
      <c r="C2521" t="s">
        <v>711</v>
      </c>
      <c r="D2521" t="s">
        <v>291</v>
      </c>
      <c r="E2521" t="s">
        <v>567</v>
      </c>
      <c r="F2521" t="s">
        <v>154</v>
      </c>
      <c r="G2521" t="s">
        <v>111</v>
      </c>
      <c r="H2521" t="s">
        <v>1539</v>
      </c>
      <c r="I2521" t="s">
        <v>112</v>
      </c>
      <c r="J2521" t="s">
        <v>704</v>
      </c>
    </row>
    <row r="2522" spans="1:12" x14ac:dyDescent="0.3">
      <c r="A2522" t="s">
        <v>2600</v>
      </c>
      <c r="B2522" t="s">
        <v>1505</v>
      </c>
      <c r="C2522" t="s">
        <v>711</v>
      </c>
      <c r="D2522" t="s">
        <v>292</v>
      </c>
      <c r="E2522" t="s">
        <v>567</v>
      </c>
      <c r="F2522" t="s">
        <v>55</v>
      </c>
      <c r="G2522" t="s">
        <v>111</v>
      </c>
      <c r="H2522" t="s">
        <v>703</v>
      </c>
      <c r="I2522" t="s">
        <v>112</v>
      </c>
      <c r="J2522" t="s">
        <v>702</v>
      </c>
      <c r="K2522" t="s">
        <v>2841</v>
      </c>
      <c r="L2522" t="s">
        <v>2841</v>
      </c>
    </row>
    <row r="2523" spans="1:12" x14ac:dyDescent="0.3">
      <c r="A2523" t="s">
        <v>2600</v>
      </c>
      <c r="B2523" t="s">
        <v>1505</v>
      </c>
      <c r="C2523" t="s">
        <v>711</v>
      </c>
      <c r="D2523" t="s">
        <v>333</v>
      </c>
      <c r="E2523" t="s">
        <v>567</v>
      </c>
      <c r="F2523" t="s">
        <v>197</v>
      </c>
      <c r="G2523" t="s">
        <v>111</v>
      </c>
      <c r="H2523" t="s">
        <v>703</v>
      </c>
      <c r="I2523" t="s">
        <v>112</v>
      </c>
      <c r="J2523" t="s">
        <v>702</v>
      </c>
      <c r="K2523" t="s">
        <v>2841</v>
      </c>
      <c r="L2523" t="s">
        <v>2841</v>
      </c>
    </row>
    <row r="2524" spans="1:12" x14ac:dyDescent="0.3">
      <c r="A2524" t="s">
        <v>2600</v>
      </c>
      <c r="B2524" t="s">
        <v>1505</v>
      </c>
      <c r="C2524" t="s">
        <v>711</v>
      </c>
      <c r="D2524" t="s">
        <v>293</v>
      </c>
      <c r="E2524" t="s">
        <v>567</v>
      </c>
      <c r="F2524" t="s">
        <v>72</v>
      </c>
      <c r="G2524" t="s">
        <v>111</v>
      </c>
      <c r="H2524" t="s">
        <v>1565</v>
      </c>
      <c r="I2524" t="s">
        <v>112</v>
      </c>
      <c r="J2524" t="s">
        <v>1566</v>
      </c>
    </row>
    <row r="2525" spans="1:12" x14ac:dyDescent="0.3">
      <c r="A2525" t="s">
        <v>2600</v>
      </c>
      <c r="B2525" t="s">
        <v>1505</v>
      </c>
      <c r="C2525" t="s">
        <v>711</v>
      </c>
      <c r="D2525" t="s">
        <v>334</v>
      </c>
      <c r="E2525" t="s">
        <v>567</v>
      </c>
      <c r="F2525" t="s">
        <v>155</v>
      </c>
      <c r="G2525" t="s">
        <v>111</v>
      </c>
      <c r="H2525" t="s">
        <v>703</v>
      </c>
      <c r="I2525" t="s">
        <v>112</v>
      </c>
      <c r="J2525" t="s">
        <v>702</v>
      </c>
      <c r="K2525" t="s">
        <v>2910</v>
      </c>
      <c r="L2525" t="s">
        <v>2910</v>
      </c>
    </row>
    <row r="2526" spans="1:12" x14ac:dyDescent="0.3">
      <c r="A2526" t="s">
        <v>2600</v>
      </c>
      <c r="B2526" t="s">
        <v>1505</v>
      </c>
      <c r="C2526" t="s">
        <v>711</v>
      </c>
      <c r="D2526" t="s">
        <v>294</v>
      </c>
      <c r="E2526" t="s">
        <v>567</v>
      </c>
      <c r="F2526" t="s">
        <v>156</v>
      </c>
      <c r="G2526" t="s">
        <v>111</v>
      </c>
      <c r="H2526" t="s">
        <v>703</v>
      </c>
      <c r="I2526" t="s">
        <v>112</v>
      </c>
      <c r="J2526" t="s">
        <v>702</v>
      </c>
      <c r="K2526" t="s">
        <v>2911</v>
      </c>
      <c r="L2526" t="s">
        <v>2911</v>
      </c>
    </row>
    <row r="2527" spans="1:12" x14ac:dyDescent="0.3">
      <c r="A2527" t="s">
        <v>2600</v>
      </c>
      <c r="B2527" t="s">
        <v>1505</v>
      </c>
      <c r="C2527" t="s">
        <v>711</v>
      </c>
      <c r="D2527" t="s">
        <v>296</v>
      </c>
      <c r="E2527" t="s">
        <v>567</v>
      </c>
      <c r="F2527" t="s">
        <v>198</v>
      </c>
      <c r="G2527" t="s">
        <v>111</v>
      </c>
      <c r="H2527" t="s">
        <v>703</v>
      </c>
      <c r="I2527" t="s">
        <v>112</v>
      </c>
      <c r="J2527" t="s">
        <v>702</v>
      </c>
      <c r="K2527" t="s">
        <v>2912</v>
      </c>
      <c r="L2527" t="s">
        <v>2912</v>
      </c>
    </row>
    <row r="2528" spans="1:12" x14ac:dyDescent="0.3">
      <c r="A2528" t="s">
        <v>2600</v>
      </c>
      <c r="B2528" t="s">
        <v>1505</v>
      </c>
      <c r="C2528" t="s">
        <v>711</v>
      </c>
      <c r="D2528" t="s">
        <v>298</v>
      </c>
      <c r="E2528" t="s">
        <v>567</v>
      </c>
      <c r="F2528" t="s">
        <v>158</v>
      </c>
      <c r="G2528" t="s">
        <v>111</v>
      </c>
      <c r="H2528" t="s">
        <v>703</v>
      </c>
      <c r="I2528" t="s">
        <v>112</v>
      </c>
      <c r="J2528" t="s">
        <v>702</v>
      </c>
      <c r="K2528" t="s">
        <v>2913</v>
      </c>
      <c r="L2528" t="s">
        <v>2913</v>
      </c>
    </row>
    <row r="2529" spans="1:12" x14ac:dyDescent="0.3">
      <c r="A2529" t="s">
        <v>2600</v>
      </c>
      <c r="B2529" t="s">
        <v>1505</v>
      </c>
      <c r="C2529" t="s">
        <v>711</v>
      </c>
      <c r="D2529" t="s">
        <v>335</v>
      </c>
      <c r="E2529" t="s">
        <v>567</v>
      </c>
      <c r="F2529" t="s">
        <v>199</v>
      </c>
      <c r="G2529" t="s">
        <v>111</v>
      </c>
      <c r="H2529" t="s">
        <v>703</v>
      </c>
      <c r="I2529" t="s">
        <v>112</v>
      </c>
      <c r="J2529" t="s">
        <v>702</v>
      </c>
      <c r="K2529" t="s">
        <v>2842</v>
      </c>
      <c r="L2529" t="s">
        <v>2842</v>
      </c>
    </row>
    <row r="2530" spans="1:12" x14ac:dyDescent="0.3">
      <c r="A2530" t="s">
        <v>2600</v>
      </c>
      <c r="B2530" t="s">
        <v>1505</v>
      </c>
      <c r="C2530" t="s">
        <v>711</v>
      </c>
      <c r="D2530" t="s">
        <v>336</v>
      </c>
      <c r="E2530" t="s">
        <v>567</v>
      </c>
      <c r="F2530" t="s">
        <v>159</v>
      </c>
      <c r="G2530" t="s">
        <v>111</v>
      </c>
      <c r="H2530" t="s">
        <v>703</v>
      </c>
      <c r="I2530" t="s">
        <v>112</v>
      </c>
      <c r="J2530" t="s">
        <v>702</v>
      </c>
      <c r="K2530" t="s">
        <v>2914</v>
      </c>
      <c r="L2530" t="s">
        <v>2914</v>
      </c>
    </row>
    <row r="2531" spans="1:12" x14ac:dyDescent="0.3">
      <c r="A2531" t="s">
        <v>2600</v>
      </c>
      <c r="B2531" t="s">
        <v>1505</v>
      </c>
      <c r="C2531" t="s">
        <v>711</v>
      </c>
      <c r="D2531" t="s">
        <v>299</v>
      </c>
      <c r="E2531" t="s">
        <v>567</v>
      </c>
      <c r="F2531" t="s">
        <v>47</v>
      </c>
      <c r="G2531" t="s">
        <v>111</v>
      </c>
      <c r="H2531" t="s">
        <v>1539</v>
      </c>
      <c r="I2531" t="s">
        <v>112</v>
      </c>
      <c r="J2531" t="s">
        <v>704</v>
      </c>
      <c r="K2531" t="s">
        <v>2874</v>
      </c>
      <c r="L2531" t="s">
        <v>2874</v>
      </c>
    </row>
    <row r="2532" spans="1:12" x14ac:dyDescent="0.3">
      <c r="A2532" t="s">
        <v>2600</v>
      </c>
      <c r="B2532" t="s">
        <v>1505</v>
      </c>
      <c r="C2532" t="s">
        <v>711</v>
      </c>
      <c r="D2532" t="s">
        <v>300</v>
      </c>
      <c r="E2532" t="s">
        <v>567</v>
      </c>
      <c r="F2532" t="s">
        <v>181</v>
      </c>
      <c r="G2532" t="s">
        <v>111</v>
      </c>
      <c r="H2532" t="s">
        <v>703</v>
      </c>
      <c r="I2532" t="s">
        <v>112</v>
      </c>
      <c r="J2532" t="s">
        <v>702</v>
      </c>
      <c r="K2532" t="s">
        <v>2898</v>
      </c>
      <c r="L2532" t="s">
        <v>2898</v>
      </c>
    </row>
    <row r="2533" spans="1:12" x14ac:dyDescent="0.3">
      <c r="A2533" t="s">
        <v>2600</v>
      </c>
      <c r="B2533" t="s">
        <v>1505</v>
      </c>
      <c r="C2533" t="s">
        <v>711</v>
      </c>
      <c r="D2533" t="s">
        <v>208</v>
      </c>
      <c r="E2533" t="s">
        <v>567</v>
      </c>
      <c r="F2533" t="s">
        <v>161</v>
      </c>
      <c r="G2533" t="s">
        <v>111</v>
      </c>
      <c r="H2533" t="s">
        <v>703</v>
      </c>
      <c r="I2533" t="s">
        <v>112</v>
      </c>
      <c r="J2533" t="s">
        <v>702</v>
      </c>
      <c r="K2533" t="s">
        <v>2915</v>
      </c>
      <c r="L2533" t="s">
        <v>2915</v>
      </c>
    </row>
    <row r="2534" spans="1:12" x14ac:dyDescent="0.3">
      <c r="A2534" t="s">
        <v>2600</v>
      </c>
      <c r="B2534" t="s">
        <v>1505</v>
      </c>
      <c r="C2534" t="s">
        <v>711</v>
      </c>
      <c r="D2534" t="s">
        <v>1580</v>
      </c>
      <c r="E2534" t="s">
        <v>569</v>
      </c>
      <c r="F2534" t="s">
        <v>49</v>
      </c>
      <c r="G2534" t="s">
        <v>111</v>
      </c>
      <c r="H2534" t="s">
        <v>703</v>
      </c>
      <c r="I2534" t="s">
        <v>112</v>
      </c>
      <c r="J2534" t="s">
        <v>702</v>
      </c>
      <c r="K2534" t="s">
        <v>2838</v>
      </c>
      <c r="L2534" t="s">
        <v>2838</v>
      </c>
    </row>
    <row r="2535" spans="1:12" x14ac:dyDescent="0.3">
      <c r="A2535" t="s">
        <v>2600</v>
      </c>
      <c r="B2535" t="s">
        <v>1505</v>
      </c>
      <c r="C2535" t="s">
        <v>711</v>
      </c>
      <c r="D2535" t="s">
        <v>1581</v>
      </c>
      <c r="E2535" t="s">
        <v>569</v>
      </c>
      <c r="F2535" t="s">
        <v>115</v>
      </c>
      <c r="G2535" t="s">
        <v>111</v>
      </c>
      <c r="H2535" t="s">
        <v>1539</v>
      </c>
      <c r="I2535" t="s">
        <v>112</v>
      </c>
      <c r="J2535" t="s">
        <v>704</v>
      </c>
      <c r="K2535" t="s">
        <v>2841</v>
      </c>
      <c r="L2535" t="s">
        <v>2841</v>
      </c>
    </row>
    <row r="2536" spans="1:12" x14ac:dyDescent="0.3">
      <c r="A2536" t="s">
        <v>2600</v>
      </c>
      <c r="B2536" t="s">
        <v>1505</v>
      </c>
      <c r="C2536" t="s">
        <v>711</v>
      </c>
      <c r="D2536" t="s">
        <v>1583</v>
      </c>
      <c r="E2536" t="s">
        <v>569</v>
      </c>
      <c r="F2536" t="s">
        <v>59</v>
      </c>
      <c r="G2536" t="s">
        <v>111</v>
      </c>
      <c r="H2536" t="s">
        <v>1561</v>
      </c>
      <c r="I2536" t="s">
        <v>112</v>
      </c>
      <c r="J2536" t="s">
        <v>702</v>
      </c>
    </row>
    <row r="2537" spans="1:12" x14ac:dyDescent="0.3">
      <c r="A2537" t="s">
        <v>2600</v>
      </c>
      <c r="B2537" t="s">
        <v>1505</v>
      </c>
      <c r="C2537" t="s">
        <v>711</v>
      </c>
      <c r="D2537" t="s">
        <v>1584</v>
      </c>
      <c r="E2537" t="s">
        <v>569</v>
      </c>
      <c r="F2537" t="s">
        <v>117</v>
      </c>
      <c r="G2537" t="s">
        <v>111</v>
      </c>
      <c r="H2537" t="s">
        <v>703</v>
      </c>
      <c r="I2537" t="s">
        <v>112</v>
      </c>
      <c r="J2537" t="s">
        <v>702</v>
      </c>
      <c r="K2537" t="s">
        <v>2862</v>
      </c>
      <c r="L2537" t="s">
        <v>2862</v>
      </c>
    </row>
    <row r="2538" spans="1:12" x14ac:dyDescent="0.3">
      <c r="A2538" t="s">
        <v>2600</v>
      </c>
      <c r="B2538" t="s">
        <v>1505</v>
      </c>
      <c r="C2538" t="s">
        <v>711</v>
      </c>
      <c r="D2538" t="s">
        <v>1585</v>
      </c>
      <c r="E2538" t="s">
        <v>569</v>
      </c>
      <c r="F2538" t="s">
        <v>188</v>
      </c>
      <c r="G2538" t="s">
        <v>111</v>
      </c>
      <c r="H2538" t="s">
        <v>703</v>
      </c>
      <c r="I2538" t="s">
        <v>112</v>
      </c>
      <c r="J2538" t="s">
        <v>702</v>
      </c>
      <c r="K2538" t="s">
        <v>2841</v>
      </c>
      <c r="L2538" t="s">
        <v>2841</v>
      </c>
    </row>
    <row r="2539" spans="1:12" x14ac:dyDescent="0.3">
      <c r="A2539" t="s">
        <v>2600</v>
      </c>
      <c r="B2539" t="s">
        <v>1505</v>
      </c>
      <c r="C2539" t="s">
        <v>711</v>
      </c>
      <c r="D2539" t="s">
        <v>1586</v>
      </c>
      <c r="E2539" t="s">
        <v>569</v>
      </c>
      <c r="F2539" t="s">
        <v>120</v>
      </c>
      <c r="G2539" t="s">
        <v>111</v>
      </c>
      <c r="H2539" t="s">
        <v>1539</v>
      </c>
      <c r="I2539" t="s">
        <v>112</v>
      </c>
      <c r="J2539" t="s">
        <v>704</v>
      </c>
      <c r="K2539" t="s">
        <v>2841</v>
      </c>
      <c r="L2539" t="s">
        <v>2841</v>
      </c>
    </row>
    <row r="2540" spans="1:12" x14ac:dyDescent="0.3">
      <c r="A2540" t="s">
        <v>2600</v>
      </c>
      <c r="B2540" t="s">
        <v>1505</v>
      </c>
      <c r="C2540" t="s">
        <v>711</v>
      </c>
      <c r="D2540" t="s">
        <v>1587</v>
      </c>
      <c r="E2540" t="s">
        <v>569</v>
      </c>
      <c r="F2540" t="s">
        <v>164</v>
      </c>
      <c r="G2540" t="s">
        <v>111</v>
      </c>
      <c r="H2540" t="s">
        <v>703</v>
      </c>
      <c r="I2540" t="s">
        <v>112</v>
      </c>
      <c r="J2540" t="s">
        <v>702</v>
      </c>
      <c r="K2540" t="s">
        <v>2887</v>
      </c>
      <c r="L2540" t="s">
        <v>2887</v>
      </c>
    </row>
    <row r="2541" spans="1:12" x14ac:dyDescent="0.3">
      <c r="A2541" t="s">
        <v>2600</v>
      </c>
      <c r="B2541" t="s">
        <v>1505</v>
      </c>
      <c r="C2541" t="s">
        <v>711</v>
      </c>
      <c r="D2541" t="s">
        <v>1588</v>
      </c>
      <c r="E2541" t="s">
        <v>569</v>
      </c>
      <c r="F2541" t="s">
        <v>53</v>
      </c>
      <c r="G2541" t="s">
        <v>111</v>
      </c>
      <c r="H2541" t="s">
        <v>1561</v>
      </c>
      <c r="I2541" t="s">
        <v>112</v>
      </c>
      <c r="J2541" t="s">
        <v>702</v>
      </c>
      <c r="K2541" t="s">
        <v>2863</v>
      </c>
      <c r="L2541" t="s">
        <v>2863</v>
      </c>
    </row>
    <row r="2542" spans="1:12" x14ac:dyDescent="0.3">
      <c r="A2542" t="s">
        <v>2600</v>
      </c>
      <c r="B2542" t="s">
        <v>1505</v>
      </c>
      <c r="C2542" t="s">
        <v>711</v>
      </c>
      <c r="D2542" t="s">
        <v>1589</v>
      </c>
      <c r="E2542" t="s">
        <v>569</v>
      </c>
      <c r="F2542" t="s">
        <v>69</v>
      </c>
      <c r="G2542" t="s">
        <v>111</v>
      </c>
      <c r="H2542" t="s">
        <v>1594</v>
      </c>
      <c r="I2542" t="s">
        <v>112</v>
      </c>
      <c r="J2542" t="s">
        <v>1595</v>
      </c>
      <c r="K2542" t="s">
        <v>2895</v>
      </c>
      <c r="L2542" t="s">
        <v>2895</v>
      </c>
    </row>
    <row r="2543" spans="1:12" x14ac:dyDescent="0.3">
      <c r="A2543" t="s">
        <v>2600</v>
      </c>
      <c r="B2543" t="s">
        <v>1505</v>
      </c>
      <c r="C2543" t="s">
        <v>711</v>
      </c>
      <c r="D2543" t="s">
        <v>1590</v>
      </c>
      <c r="E2543" t="s">
        <v>569</v>
      </c>
      <c r="F2543" t="s">
        <v>122</v>
      </c>
      <c r="G2543" t="s">
        <v>111</v>
      </c>
      <c r="H2543" t="s">
        <v>182</v>
      </c>
      <c r="I2543" t="s">
        <v>112</v>
      </c>
      <c r="J2543" t="s">
        <v>183</v>
      </c>
      <c r="K2543" t="s">
        <v>2896</v>
      </c>
      <c r="L2543" t="s">
        <v>2896</v>
      </c>
    </row>
    <row r="2544" spans="1:12" x14ac:dyDescent="0.3">
      <c r="A2544" t="s">
        <v>2600</v>
      </c>
      <c r="B2544" t="s">
        <v>1505</v>
      </c>
      <c r="C2544" t="s">
        <v>711</v>
      </c>
      <c r="D2544" t="s">
        <v>1591</v>
      </c>
      <c r="E2544" t="s">
        <v>569</v>
      </c>
      <c r="F2544" t="s">
        <v>165</v>
      </c>
      <c r="G2544" t="s">
        <v>111</v>
      </c>
      <c r="H2544" t="s">
        <v>703</v>
      </c>
      <c r="I2544" t="s">
        <v>112</v>
      </c>
      <c r="J2544" t="s">
        <v>702</v>
      </c>
      <c r="K2544" t="s">
        <v>2846</v>
      </c>
      <c r="L2544" t="s">
        <v>2846</v>
      </c>
    </row>
    <row r="2545" spans="1:12" x14ac:dyDescent="0.3">
      <c r="A2545" t="s">
        <v>2600</v>
      </c>
      <c r="B2545" t="s">
        <v>1505</v>
      </c>
      <c r="C2545" t="s">
        <v>711</v>
      </c>
      <c r="D2545" t="s">
        <v>1592</v>
      </c>
      <c r="E2545" t="s">
        <v>569</v>
      </c>
      <c r="F2545" t="s">
        <v>54</v>
      </c>
      <c r="G2545" t="s">
        <v>111</v>
      </c>
      <c r="H2545" t="s">
        <v>703</v>
      </c>
      <c r="I2545" t="s">
        <v>112</v>
      </c>
      <c r="J2545" t="s">
        <v>702</v>
      </c>
      <c r="K2545" t="s">
        <v>2916</v>
      </c>
      <c r="L2545" t="s">
        <v>2916</v>
      </c>
    </row>
    <row r="2546" spans="1:12" x14ac:dyDescent="0.3">
      <c r="A2546" t="s">
        <v>2600</v>
      </c>
      <c r="B2546" t="s">
        <v>1505</v>
      </c>
      <c r="C2546" t="s">
        <v>711</v>
      </c>
      <c r="D2546" t="s">
        <v>1593</v>
      </c>
      <c r="E2546" t="s">
        <v>569</v>
      </c>
      <c r="F2546" t="s">
        <v>45</v>
      </c>
      <c r="G2546" t="s">
        <v>111</v>
      </c>
      <c r="H2546" t="s">
        <v>1561</v>
      </c>
      <c r="I2546" t="s">
        <v>112</v>
      </c>
      <c r="J2546" t="s">
        <v>702</v>
      </c>
      <c r="K2546" t="s">
        <v>2869</v>
      </c>
      <c r="L2546" t="s">
        <v>2869</v>
      </c>
    </row>
    <row r="2547" spans="1:12" x14ac:dyDescent="0.3">
      <c r="A2547" t="s">
        <v>2600</v>
      </c>
      <c r="B2547" t="s">
        <v>1505</v>
      </c>
      <c r="C2547" t="s">
        <v>711</v>
      </c>
      <c r="D2547" t="s">
        <v>1596</v>
      </c>
      <c r="E2547" t="s">
        <v>569</v>
      </c>
      <c r="F2547" t="s">
        <v>190</v>
      </c>
      <c r="G2547" t="s">
        <v>111</v>
      </c>
      <c r="H2547" t="s">
        <v>703</v>
      </c>
      <c r="I2547" t="s">
        <v>112</v>
      </c>
      <c r="J2547" t="s">
        <v>702</v>
      </c>
      <c r="K2547" t="s">
        <v>2862</v>
      </c>
      <c r="L2547" t="s">
        <v>2862</v>
      </c>
    </row>
    <row r="2548" spans="1:12" x14ac:dyDescent="0.3">
      <c r="A2548" t="s">
        <v>2600</v>
      </c>
      <c r="B2548" t="s">
        <v>1505</v>
      </c>
      <c r="C2548" t="s">
        <v>711</v>
      </c>
      <c r="D2548" t="s">
        <v>1597</v>
      </c>
      <c r="E2548" t="s">
        <v>569</v>
      </c>
      <c r="F2548" t="s">
        <v>124</v>
      </c>
      <c r="G2548" t="s">
        <v>111</v>
      </c>
      <c r="H2548" t="s">
        <v>1565</v>
      </c>
      <c r="I2548" t="s">
        <v>112</v>
      </c>
      <c r="J2548" t="s">
        <v>1566</v>
      </c>
      <c r="K2548" t="s">
        <v>2856</v>
      </c>
      <c r="L2548" t="s">
        <v>2856</v>
      </c>
    </row>
    <row r="2549" spans="1:12" x14ac:dyDescent="0.3">
      <c r="A2549" t="s">
        <v>2600</v>
      </c>
      <c r="B2549" t="s">
        <v>1505</v>
      </c>
      <c r="C2549" t="s">
        <v>711</v>
      </c>
      <c r="D2549" t="s">
        <v>1598</v>
      </c>
      <c r="E2549" t="s">
        <v>569</v>
      </c>
      <c r="F2549" t="s">
        <v>58</v>
      </c>
      <c r="G2549" t="s">
        <v>111</v>
      </c>
      <c r="H2549" t="s">
        <v>1539</v>
      </c>
      <c r="I2549" t="s">
        <v>112</v>
      </c>
      <c r="J2549" t="s">
        <v>704</v>
      </c>
      <c r="K2549" t="s">
        <v>2839</v>
      </c>
      <c r="L2549" t="s">
        <v>2839</v>
      </c>
    </row>
    <row r="2550" spans="1:12" x14ac:dyDescent="0.3">
      <c r="A2550" t="s">
        <v>2600</v>
      </c>
      <c r="B2550" t="s">
        <v>1505</v>
      </c>
      <c r="C2550" t="s">
        <v>711</v>
      </c>
      <c r="D2550" t="s">
        <v>1599</v>
      </c>
      <c r="E2550" t="s">
        <v>569</v>
      </c>
      <c r="F2550" t="s">
        <v>191</v>
      </c>
      <c r="G2550" t="s">
        <v>111</v>
      </c>
      <c r="H2550" t="s">
        <v>1594</v>
      </c>
      <c r="I2550" t="s">
        <v>112</v>
      </c>
      <c r="J2550" t="s">
        <v>1595</v>
      </c>
      <c r="K2550" t="s">
        <v>2897</v>
      </c>
      <c r="L2550" t="s">
        <v>2897</v>
      </c>
    </row>
    <row r="2551" spans="1:12" x14ac:dyDescent="0.3">
      <c r="A2551" t="s">
        <v>2600</v>
      </c>
      <c r="B2551" t="s">
        <v>1505</v>
      </c>
      <c r="C2551" t="s">
        <v>711</v>
      </c>
      <c r="D2551" t="s">
        <v>1601</v>
      </c>
      <c r="E2551" t="s">
        <v>569</v>
      </c>
      <c r="F2551" t="s">
        <v>126</v>
      </c>
      <c r="G2551" t="s">
        <v>111</v>
      </c>
      <c r="H2551" t="s">
        <v>703</v>
      </c>
      <c r="I2551" t="s">
        <v>112</v>
      </c>
      <c r="J2551" t="s">
        <v>702</v>
      </c>
      <c r="K2551" t="s">
        <v>2898</v>
      </c>
      <c r="L2551" t="s">
        <v>2898</v>
      </c>
    </row>
    <row r="2552" spans="1:12" x14ac:dyDescent="0.3">
      <c r="A2552" t="s">
        <v>2600</v>
      </c>
      <c r="B2552" t="s">
        <v>1505</v>
      </c>
      <c r="C2552" t="s">
        <v>711</v>
      </c>
      <c r="D2552" t="s">
        <v>1602</v>
      </c>
      <c r="E2552" t="s">
        <v>569</v>
      </c>
      <c r="F2552" t="s">
        <v>167</v>
      </c>
      <c r="G2552" t="s">
        <v>111</v>
      </c>
      <c r="H2552" t="s">
        <v>703</v>
      </c>
      <c r="I2552" t="s">
        <v>112</v>
      </c>
      <c r="J2552" t="s">
        <v>702</v>
      </c>
      <c r="K2552" t="s">
        <v>2841</v>
      </c>
      <c r="L2552" t="s">
        <v>2841</v>
      </c>
    </row>
    <row r="2553" spans="1:12" x14ac:dyDescent="0.3">
      <c r="A2553" t="s">
        <v>2600</v>
      </c>
      <c r="B2553" t="s">
        <v>1505</v>
      </c>
      <c r="C2553" t="s">
        <v>711</v>
      </c>
      <c r="D2553" t="s">
        <v>1604</v>
      </c>
      <c r="E2553" t="s">
        <v>569</v>
      </c>
      <c r="F2553" t="s">
        <v>127</v>
      </c>
      <c r="G2553" t="s">
        <v>111</v>
      </c>
      <c r="H2553" t="s">
        <v>1565</v>
      </c>
      <c r="I2553" t="s">
        <v>112</v>
      </c>
      <c r="J2553" t="s">
        <v>1566</v>
      </c>
    </row>
    <row r="2554" spans="1:12" x14ac:dyDescent="0.3">
      <c r="A2554" t="s">
        <v>2600</v>
      </c>
      <c r="B2554" t="s">
        <v>1505</v>
      </c>
      <c r="C2554" t="s">
        <v>711</v>
      </c>
      <c r="D2554" t="s">
        <v>1605</v>
      </c>
      <c r="E2554" t="s">
        <v>569</v>
      </c>
      <c r="F2554" t="s">
        <v>128</v>
      </c>
      <c r="G2554" t="s">
        <v>111</v>
      </c>
      <c r="H2554" t="s">
        <v>703</v>
      </c>
      <c r="I2554" t="s">
        <v>112</v>
      </c>
      <c r="J2554" t="s">
        <v>702</v>
      </c>
      <c r="K2554" t="s">
        <v>2841</v>
      </c>
      <c r="L2554" t="s">
        <v>2841</v>
      </c>
    </row>
    <row r="2555" spans="1:12" x14ac:dyDescent="0.3">
      <c r="A2555" t="s">
        <v>2600</v>
      </c>
      <c r="B2555" t="s">
        <v>1505</v>
      </c>
      <c r="C2555" t="s">
        <v>711</v>
      </c>
      <c r="D2555" t="s">
        <v>1606</v>
      </c>
      <c r="E2555" t="s">
        <v>569</v>
      </c>
      <c r="F2555" t="s">
        <v>168</v>
      </c>
      <c r="G2555" t="s">
        <v>111</v>
      </c>
      <c r="H2555" t="s">
        <v>1539</v>
      </c>
      <c r="I2555" t="s">
        <v>112</v>
      </c>
      <c r="J2555" t="s">
        <v>704</v>
      </c>
    </row>
    <row r="2556" spans="1:12" x14ac:dyDescent="0.3">
      <c r="A2556" t="s">
        <v>2600</v>
      </c>
      <c r="B2556" t="s">
        <v>1505</v>
      </c>
      <c r="C2556" t="s">
        <v>711</v>
      </c>
      <c r="D2556" t="s">
        <v>1607</v>
      </c>
      <c r="E2556" t="s">
        <v>569</v>
      </c>
      <c r="F2556" t="s">
        <v>89</v>
      </c>
      <c r="G2556" t="s">
        <v>111</v>
      </c>
      <c r="H2556" t="s">
        <v>1561</v>
      </c>
      <c r="I2556" t="s">
        <v>112</v>
      </c>
      <c r="J2556" t="s">
        <v>702</v>
      </c>
    </row>
    <row r="2557" spans="1:12" x14ac:dyDescent="0.3">
      <c r="A2557" t="s">
        <v>2600</v>
      </c>
      <c r="B2557" t="s">
        <v>1505</v>
      </c>
      <c r="C2557" t="s">
        <v>711</v>
      </c>
      <c r="D2557" t="s">
        <v>1609</v>
      </c>
      <c r="E2557" t="s">
        <v>569</v>
      </c>
      <c r="F2557" t="s">
        <v>66</v>
      </c>
      <c r="G2557" t="s">
        <v>111</v>
      </c>
      <c r="H2557" t="s">
        <v>1539</v>
      </c>
      <c r="I2557" t="s">
        <v>112</v>
      </c>
      <c r="J2557" t="s">
        <v>704</v>
      </c>
    </row>
    <row r="2558" spans="1:12" x14ac:dyDescent="0.3">
      <c r="A2558" t="s">
        <v>2600</v>
      </c>
      <c r="B2558" t="s">
        <v>1505</v>
      </c>
      <c r="C2558" t="s">
        <v>711</v>
      </c>
      <c r="D2558" t="s">
        <v>1611</v>
      </c>
      <c r="E2558" t="s">
        <v>569</v>
      </c>
      <c r="F2558" t="s">
        <v>169</v>
      </c>
      <c r="G2558" t="s">
        <v>111</v>
      </c>
      <c r="H2558" t="s">
        <v>1561</v>
      </c>
      <c r="I2558" t="s">
        <v>112</v>
      </c>
      <c r="J2558" t="s">
        <v>702</v>
      </c>
      <c r="K2558" t="s">
        <v>2841</v>
      </c>
      <c r="L2558" t="s">
        <v>2841</v>
      </c>
    </row>
    <row r="2559" spans="1:12" x14ac:dyDescent="0.3">
      <c r="A2559" t="s">
        <v>2600</v>
      </c>
      <c r="B2559" t="s">
        <v>1505</v>
      </c>
      <c r="C2559" t="s">
        <v>711</v>
      </c>
      <c r="D2559" t="s">
        <v>1612</v>
      </c>
      <c r="E2559" t="s">
        <v>569</v>
      </c>
      <c r="F2559" t="s">
        <v>110</v>
      </c>
      <c r="G2559" t="s">
        <v>111</v>
      </c>
      <c r="H2559" t="s">
        <v>703</v>
      </c>
      <c r="I2559" t="s">
        <v>112</v>
      </c>
      <c r="J2559" t="s">
        <v>702</v>
      </c>
      <c r="K2559" t="s">
        <v>2860</v>
      </c>
      <c r="L2559" t="s">
        <v>2860</v>
      </c>
    </row>
    <row r="2560" spans="1:12" x14ac:dyDescent="0.3">
      <c r="A2560" t="s">
        <v>2600</v>
      </c>
      <c r="B2560" t="s">
        <v>1505</v>
      </c>
      <c r="C2560" t="s">
        <v>711</v>
      </c>
      <c r="D2560" t="s">
        <v>1613</v>
      </c>
      <c r="E2560" t="s">
        <v>569</v>
      </c>
      <c r="F2560" t="s">
        <v>93</v>
      </c>
      <c r="G2560" t="s">
        <v>111</v>
      </c>
      <c r="H2560" t="s">
        <v>703</v>
      </c>
      <c r="I2560" t="s">
        <v>112</v>
      </c>
      <c r="J2560" t="s">
        <v>702</v>
      </c>
      <c r="K2560" t="s">
        <v>2894</v>
      </c>
      <c r="L2560" t="s">
        <v>2894</v>
      </c>
    </row>
    <row r="2561" spans="1:12" x14ac:dyDescent="0.3">
      <c r="A2561" t="s">
        <v>2600</v>
      </c>
      <c r="B2561" t="s">
        <v>1505</v>
      </c>
      <c r="C2561" t="s">
        <v>711</v>
      </c>
      <c r="D2561" t="s">
        <v>1614</v>
      </c>
      <c r="E2561" t="s">
        <v>569</v>
      </c>
      <c r="F2561" t="s">
        <v>129</v>
      </c>
      <c r="G2561" t="s">
        <v>111</v>
      </c>
      <c r="H2561" t="s">
        <v>1539</v>
      </c>
      <c r="I2561" t="s">
        <v>112</v>
      </c>
      <c r="J2561" t="s">
        <v>704</v>
      </c>
      <c r="K2561" t="s">
        <v>2863</v>
      </c>
      <c r="L2561" t="s">
        <v>2863</v>
      </c>
    </row>
    <row r="2562" spans="1:12" x14ac:dyDescent="0.3">
      <c r="A2562" t="s">
        <v>2600</v>
      </c>
      <c r="B2562" t="s">
        <v>1505</v>
      </c>
      <c r="C2562" t="s">
        <v>711</v>
      </c>
      <c r="D2562" t="s">
        <v>1615</v>
      </c>
      <c r="E2562" t="s">
        <v>569</v>
      </c>
      <c r="F2562" t="s">
        <v>87</v>
      </c>
      <c r="G2562" t="s">
        <v>111</v>
      </c>
      <c r="H2562" t="s">
        <v>703</v>
      </c>
      <c r="I2562" t="s">
        <v>112</v>
      </c>
      <c r="J2562" t="s">
        <v>702</v>
      </c>
      <c r="K2562" t="s">
        <v>2873</v>
      </c>
      <c r="L2562" t="s">
        <v>2873</v>
      </c>
    </row>
    <row r="2563" spans="1:12" x14ac:dyDescent="0.3">
      <c r="A2563" t="s">
        <v>2600</v>
      </c>
      <c r="B2563" t="s">
        <v>1505</v>
      </c>
      <c r="C2563" t="s">
        <v>711</v>
      </c>
      <c r="D2563" t="s">
        <v>1616</v>
      </c>
      <c r="E2563" t="s">
        <v>569</v>
      </c>
      <c r="F2563" t="s">
        <v>130</v>
      </c>
      <c r="G2563" t="s">
        <v>111</v>
      </c>
      <c r="H2563" t="s">
        <v>703</v>
      </c>
      <c r="I2563" t="s">
        <v>112</v>
      </c>
      <c r="J2563" t="s">
        <v>702</v>
      </c>
      <c r="K2563" t="s">
        <v>2859</v>
      </c>
      <c r="L2563" t="s">
        <v>2859</v>
      </c>
    </row>
    <row r="2564" spans="1:12" x14ac:dyDescent="0.3">
      <c r="A2564" t="s">
        <v>2600</v>
      </c>
      <c r="B2564" t="s">
        <v>1505</v>
      </c>
      <c r="C2564" t="s">
        <v>711</v>
      </c>
      <c r="D2564" t="s">
        <v>1617</v>
      </c>
      <c r="E2564" t="s">
        <v>569</v>
      </c>
      <c r="F2564" t="s">
        <v>131</v>
      </c>
      <c r="G2564" t="s">
        <v>111</v>
      </c>
      <c r="H2564" t="s">
        <v>2917</v>
      </c>
      <c r="I2564" t="s">
        <v>112</v>
      </c>
      <c r="J2564" t="s">
        <v>2918</v>
      </c>
    </row>
    <row r="2565" spans="1:12" x14ac:dyDescent="0.3">
      <c r="A2565" t="s">
        <v>2600</v>
      </c>
      <c r="B2565" t="s">
        <v>1505</v>
      </c>
      <c r="C2565" t="s">
        <v>711</v>
      </c>
      <c r="D2565" t="s">
        <v>1618</v>
      </c>
      <c r="E2565" t="s">
        <v>569</v>
      </c>
      <c r="F2565" t="s">
        <v>50</v>
      </c>
      <c r="G2565" t="s">
        <v>111</v>
      </c>
      <c r="H2565" t="s">
        <v>1539</v>
      </c>
      <c r="I2565" t="s">
        <v>112</v>
      </c>
      <c r="J2565" t="s">
        <v>704</v>
      </c>
      <c r="K2565" t="s">
        <v>2898</v>
      </c>
      <c r="L2565" t="s">
        <v>2898</v>
      </c>
    </row>
    <row r="2566" spans="1:12" x14ac:dyDescent="0.3">
      <c r="A2566" t="s">
        <v>2600</v>
      </c>
      <c r="B2566" t="s">
        <v>1505</v>
      </c>
      <c r="C2566" t="s">
        <v>711</v>
      </c>
      <c r="D2566" t="s">
        <v>1619</v>
      </c>
      <c r="E2566" t="s">
        <v>568</v>
      </c>
      <c r="F2566" t="s">
        <v>193</v>
      </c>
      <c r="G2566" t="s">
        <v>111</v>
      </c>
      <c r="H2566" t="s">
        <v>1539</v>
      </c>
      <c r="I2566" t="s">
        <v>112</v>
      </c>
      <c r="J2566" t="s">
        <v>704</v>
      </c>
    </row>
    <row r="2567" spans="1:12" x14ac:dyDescent="0.3">
      <c r="A2567" t="s">
        <v>2600</v>
      </c>
      <c r="B2567" t="s">
        <v>1505</v>
      </c>
      <c r="C2567" t="s">
        <v>711</v>
      </c>
      <c r="D2567" t="s">
        <v>1620</v>
      </c>
      <c r="E2567" t="s">
        <v>568</v>
      </c>
      <c r="F2567" t="s">
        <v>134</v>
      </c>
      <c r="G2567" t="s">
        <v>111</v>
      </c>
      <c r="H2567" t="s">
        <v>1539</v>
      </c>
      <c r="I2567" t="s">
        <v>112</v>
      </c>
      <c r="J2567" t="s">
        <v>704</v>
      </c>
      <c r="K2567" t="s">
        <v>2846</v>
      </c>
      <c r="L2567" t="s">
        <v>2846</v>
      </c>
    </row>
    <row r="2568" spans="1:12" x14ac:dyDescent="0.3">
      <c r="A2568" t="s">
        <v>2600</v>
      </c>
      <c r="B2568" t="s">
        <v>1505</v>
      </c>
      <c r="C2568" t="s">
        <v>711</v>
      </c>
      <c r="D2568" t="s">
        <v>1621</v>
      </c>
      <c r="E2568" t="s">
        <v>568</v>
      </c>
      <c r="F2568" t="s">
        <v>51</v>
      </c>
      <c r="G2568" t="s">
        <v>111</v>
      </c>
      <c r="H2568" t="s">
        <v>703</v>
      </c>
      <c r="I2568" t="s">
        <v>112</v>
      </c>
      <c r="J2568" t="s">
        <v>702</v>
      </c>
      <c r="K2568" t="s">
        <v>2846</v>
      </c>
      <c r="L2568" t="s">
        <v>2846</v>
      </c>
    </row>
    <row r="2569" spans="1:12" x14ac:dyDescent="0.3">
      <c r="A2569" t="s">
        <v>2600</v>
      </c>
      <c r="B2569" t="s">
        <v>1505</v>
      </c>
      <c r="C2569" t="s">
        <v>711</v>
      </c>
      <c r="D2569" t="s">
        <v>1622</v>
      </c>
      <c r="E2569" t="s">
        <v>568</v>
      </c>
      <c r="F2569" t="s">
        <v>163</v>
      </c>
      <c r="G2569" t="s">
        <v>111</v>
      </c>
      <c r="H2569" t="s">
        <v>1565</v>
      </c>
      <c r="I2569" t="s">
        <v>112</v>
      </c>
      <c r="J2569" t="s">
        <v>1566</v>
      </c>
    </row>
    <row r="2570" spans="1:12" x14ac:dyDescent="0.3">
      <c r="A2570" t="s">
        <v>2600</v>
      </c>
      <c r="B2570" t="s">
        <v>1505</v>
      </c>
      <c r="C2570" t="s">
        <v>711</v>
      </c>
      <c r="D2570" t="s">
        <v>1623</v>
      </c>
      <c r="E2570" t="s">
        <v>568</v>
      </c>
      <c r="F2570" t="s">
        <v>170</v>
      </c>
      <c r="G2570" t="s">
        <v>111</v>
      </c>
      <c r="H2570" t="s">
        <v>703</v>
      </c>
      <c r="I2570" t="s">
        <v>112</v>
      </c>
      <c r="J2570" t="s">
        <v>702</v>
      </c>
      <c r="K2570" t="s">
        <v>2900</v>
      </c>
      <c r="L2570" t="s">
        <v>2900</v>
      </c>
    </row>
    <row r="2571" spans="1:12" x14ac:dyDescent="0.3">
      <c r="A2571" t="s">
        <v>2600</v>
      </c>
      <c r="B2571" t="s">
        <v>1505</v>
      </c>
      <c r="C2571" t="s">
        <v>711</v>
      </c>
      <c r="D2571" t="s">
        <v>1624</v>
      </c>
      <c r="E2571" t="s">
        <v>568</v>
      </c>
      <c r="F2571" t="s">
        <v>78</v>
      </c>
      <c r="G2571" t="s">
        <v>111</v>
      </c>
      <c r="H2571" t="s">
        <v>1539</v>
      </c>
      <c r="I2571" t="s">
        <v>112</v>
      </c>
      <c r="J2571" t="s">
        <v>704</v>
      </c>
    </row>
    <row r="2572" spans="1:12" x14ac:dyDescent="0.3">
      <c r="A2572" t="s">
        <v>2600</v>
      </c>
      <c r="B2572" t="s">
        <v>1505</v>
      </c>
      <c r="C2572" t="s">
        <v>711</v>
      </c>
      <c r="D2572" t="s">
        <v>1625</v>
      </c>
      <c r="E2572" t="s">
        <v>568</v>
      </c>
      <c r="F2572" t="s">
        <v>82</v>
      </c>
      <c r="G2572" t="s">
        <v>111</v>
      </c>
      <c r="H2572" t="s">
        <v>703</v>
      </c>
      <c r="I2572" t="s">
        <v>112</v>
      </c>
      <c r="J2572" t="s">
        <v>702</v>
      </c>
      <c r="K2572" t="s">
        <v>2851</v>
      </c>
      <c r="L2572" t="s">
        <v>2851</v>
      </c>
    </row>
    <row r="2573" spans="1:12" x14ac:dyDescent="0.3">
      <c r="A2573" t="s">
        <v>2600</v>
      </c>
      <c r="B2573" t="s">
        <v>1505</v>
      </c>
      <c r="C2573" t="s">
        <v>711</v>
      </c>
      <c r="D2573" t="s">
        <v>1626</v>
      </c>
      <c r="E2573" t="s">
        <v>568</v>
      </c>
      <c r="F2573" t="s">
        <v>135</v>
      </c>
      <c r="G2573" t="s">
        <v>111</v>
      </c>
      <c r="H2573" t="s">
        <v>703</v>
      </c>
      <c r="I2573" t="s">
        <v>112</v>
      </c>
      <c r="J2573" t="s">
        <v>702</v>
      </c>
      <c r="K2573" t="s">
        <v>2894</v>
      </c>
      <c r="L2573" t="s">
        <v>2894</v>
      </c>
    </row>
    <row r="2574" spans="1:12" x14ac:dyDescent="0.3">
      <c r="A2574" t="s">
        <v>2600</v>
      </c>
      <c r="B2574" t="s">
        <v>1505</v>
      </c>
      <c r="C2574" t="s">
        <v>711</v>
      </c>
      <c r="D2574" t="s">
        <v>1627</v>
      </c>
      <c r="E2574" t="s">
        <v>568</v>
      </c>
      <c r="F2574" t="s">
        <v>136</v>
      </c>
      <c r="G2574" t="s">
        <v>111</v>
      </c>
      <c r="H2574" t="s">
        <v>1539</v>
      </c>
      <c r="I2574" t="s">
        <v>112</v>
      </c>
      <c r="J2574" t="s">
        <v>704</v>
      </c>
      <c r="K2574" t="s">
        <v>2856</v>
      </c>
      <c r="L2574" t="s">
        <v>2856</v>
      </c>
    </row>
    <row r="2575" spans="1:12" x14ac:dyDescent="0.3">
      <c r="A2575" t="s">
        <v>2600</v>
      </c>
      <c r="B2575" t="s">
        <v>1505</v>
      </c>
      <c r="C2575" t="s">
        <v>711</v>
      </c>
      <c r="D2575" t="s">
        <v>1628</v>
      </c>
      <c r="E2575" t="s">
        <v>568</v>
      </c>
      <c r="F2575" t="s">
        <v>60</v>
      </c>
      <c r="G2575" t="s">
        <v>111</v>
      </c>
      <c r="H2575" t="s">
        <v>1561</v>
      </c>
      <c r="I2575" t="s">
        <v>112</v>
      </c>
      <c r="J2575" t="s">
        <v>702</v>
      </c>
    </row>
    <row r="2576" spans="1:12" x14ac:dyDescent="0.3">
      <c r="A2576" t="s">
        <v>2600</v>
      </c>
      <c r="B2576" t="s">
        <v>1505</v>
      </c>
      <c r="C2576" t="s">
        <v>711</v>
      </c>
      <c r="D2576" t="s">
        <v>1629</v>
      </c>
      <c r="E2576" t="s">
        <v>568</v>
      </c>
      <c r="F2576" t="s">
        <v>70</v>
      </c>
      <c r="G2576" t="s">
        <v>111</v>
      </c>
      <c r="H2576" t="s">
        <v>703</v>
      </c>
      <c r="I2576" t="s">
        <v>112</v>
      </c>
      <c r="J2576" t="s">
        <v>702</v>
      </c>
      <c r="K2576" t="s">
        <v>2840</v>
      </c>
      <c r="L2576" t="s">
        <v>2840</v>
      </c>
    </row>
    <row r="2577" spans="1:12" x14ac:dyDescent="0.3">
      <c r="A2577" t="s">
        <v>2600</v>
      </c>
      <c r="B2577" t="s">
        <v>1505</v>
      </c>
      <c r="C2577" t="s">
        <v>711</v>
      </c>
      <c r="D2577" t="s">
        <v>1630</v>
      </c>
      <c r="E2577" t="s">
        <v>568</v>
      </c>
      <c r="F2577" t="s">
        <v>48</v>
      </c>
      <c r="G2577" t="s">
        <v>111</v>
      </c>
      <c r="H2577" t="s">
        <v>703</v>
      </c>
      <c r="I2577" t="s">
        <v>112</v>
      </c>
      <c r="J2577" t="s">
        <v>702</v>
      </c>
      <c r="K2577" t="s">
        <v>2919</v>
      </c>
      <c r="L2577" t="s">
        <v>2919</v>
      </c>
    </row>
    <row r="2578" spans="1:12" x14ac:dyDescent="0.3">
      <c r="A2578" t="s">
        <v>2600</v>
      </c>
      <c r="B2578" t="s">
        <v>1505</v>
      </c>
      <c r="C2578" t="s">
        <v>711</v>
      </c>
      <c r="D2578" t="s">
        <v>1631</v>
      </c>
      <c r="E2578" t="s">
        <v>568</v>
      </c>
      <c r="F2578" t="s">
        <v>138</v>
      </c>
      <c r="G2578" t="s">
        <v>111</v>
      </c>
      <c r="H2578" t="s">
        <v>703</v>
      </c>
      <c r="I2578" t="s">
        <v>112</v>
      </c>
      <c r="J2578" t="s">
        <v>702</v>
      </c>
      <c r="K2578" t="s">
        <v>2864</v>
      </c>
      <c r="L2578" t="s">
        <v>2864</v>
      </c>
    </row>
    <row r="2579" spans="1:12" x14ac:dyDescent="0.3">
      <c r="A2579" t="s">
        <v>2600</v>
      </c>
      <c r="B2579" t="s">
        <v>1505</v>
      </c>
      <c r="C2579" t="s">
        <v>711</v>
      </c>
      <c r="D2579" t="s">
        <v>1632</v>
      </c>
      <c r="E2579" t="s">
        <v>568</v>
      </c>
      <c r="F2579" t="s">
        <v>95</v>
      </c>
      <c r="G2579" t="s">
        <v>111</v>
      </c>
      <c r="H2579" t="s">
        <v>703</v>
      </c>
      <c r="I2579" t="s">
        <v>112</v>
      </c>
      <c r="J2579" t="s">
        <v>702</v>
      </c>
      <c r="K2579" t="s">
        <v>2890</v>
      </c>
      <c r="L2579" t="s">
        <v>2890</v>
      </c>
    </row>
    <row r="2580" spans="1:12" x14ac:dyDescent="0.3">
      <c r="A2580" t="s">
        <v>2600</v>
      </c>
      <c r="B2580" t="s">
        <v>1505</v>
      </c>
      <c r="C2580" t="s">
        <v>711</v>
      </c>
      <c r="D2580" t="s">
        <v>1633</v>
      </c>
      <c r="E2580" t="s">
        <v>568</v>
      </c>
      <c r="F2580" t="s">
        <v>139</v>
      </c>
      <c r="G2580" t="s">
        <v>111</v>
      </c>
      <c r="H2580" t="s">
        <v>1565</v>
      </c>
      <c r="I2580" t="s">
        <v>112</v>
      </c>
      <c r="J2580" t="s">
        <v>1566</v>
      </c>
      <c r="K2580" t="s">
        <v>2865</v>
      </c>
      <c r="L2580" t="s">
        <v>2865</v>
      </c>
    </row>
    <row r="2581" spans="1:12" x14ac:dyDescent="0.3">
      <c r="A2581" t="s">
        <v>2600</v>
      </c>
      <c r="B2581" t="s">
        <v>1505</v>
      </c>
      <c r="C2581" t="s">
        <v>711</v>
      </c>
      <c r="D2581" t="s">
        <v>1634</v>
      </c>
      <c r="E2581" t="s">
        <v>568</v>
      </c>
      <c r="F2581" t="s">
        <v>171</v>
      </c>
      <c r="G2581" t="s">
        <v>111</v>
      </c>
      <c r="H2581" t="s">
        <v>1561</v>
      </c>
      <c r="I2581" t="s">
        <v>112</v>
      </c>
      <c r="J2581" t="s">
        <v>702</v>
      </c>
    </row>
    <row r="2582" spans="1:12" x14ac:dyDescent="0.3">
      <c r="A2582" t="s">
        <v>2600</v>
      </c>
      <c r="B2582" t="s">
        <v>1505</v>
      </c>
      <c r="C2582" t="s">
        <v>711</v>
      </c>
      <c r="D2582" t="s">
        <v>1636</v>
      </c>
      <c r="E2582" t="s">
        <v>568</v>
      </c>
      <c r="F2582" t="s">
        <v>172</v>
      </c>
      <c r="G2582" t="s">
        <v>111</v>
      </c>
      <c r="H2582" t="s">
        <v>703</v>
      </c>
      <c r="I2582" t="s">
        <v>112</v>
      </c>
      <c r="J2582" t="s">
        <v>702</v>
      </c>
      <c r="K2582" t="s">
        <v>2901</v>
      </c>
      <c r="L2582" t="s">
        <v>2901</v>
      </c>
    </row>
    <row r="2583" spans="1:12" x14ac:dyDescent="0.3">
      <c r="A2583" t="s">
        <v>2600</v>
      </c>
      <c r="B2583" t="s">
        <v>1505</v>
      </c>
      <c r="C2583" t="s">
        <v>711</v>
      </c>
      <c r="D2583" t="s">
        <v>1637</v>
      </c>
      <c r="E2583" t="s">
        <v>568</v>
      </c>
      <c r="F2583" t="s">
        <v>62</v>
      </c>
      <c r="G2583" t="s">
        <v>111</v>
      </c>
      <c r="H2583" t="s">
        <v>703</v>
      </c>
      <c r="I2583" t="s">
        <v>112</v>
      </c>
      <c r="J2583" t="s">
        <v>702</v>
      </c>
      <c r="K2583" t="s">
        <v>2841</v>
      </c>
      <c r="L2583" t="s">
        <v>2841</v>
      </c>
    </row>
    <row r="2584" spans="1:12" x14ac:dyDescent="0.3">
      <c r="A2584" t="s">
        <v>2600</v>
      </c>
      <c r="B2584" t="s">
        <v>1505</v>
      </c>
      <c r="C2584" t="s">
        <v>711</v>
      </c>
      <c r="D2584" t="s">
        <v>1638</v>
      </c>
      <c r="E2584" t="s">
        <v>568</v>
      </c>
      <c r="F2584" t="s">
        <v>57</v>
      </c>
      <c r="G2584" t="s">
        <v>111</v>
      </c>
      <c r="H2584" t="s">
        <v>1594</v>
      </c>
      <c r="I2584" t="s">
        <v>112</v>
      </c>
      <c r="J2584" t="s">
        <v>1595</v>
      </c>
      <c r="K2584" t="s">
        <v>2852</v>
      </c>
      <c r="L2584" t="s">
        <v>2852</v>
      </c>
    </row>
    <row r="2585" spans="1:12" x14ac:dyDescent="0.3">
      <c r="A2585" t="s">
        <v>2600</v>
      </c>
      <c r="B2585" t="s">
        <v>1505</v>
      </c>
      <c r="C2585" t="s">
        <v>711</v>
      </c>
      <c r="D2585" t="s">
        <v>1639</v>
      </c>
      <c r="E2585" t="s">
        <v>568</v>
      </c>
      <c r="F2585" t="s">
        <v>174</v>
      </c>
      <c r="G2585" t="s">
        <v>111</v>
      </c>
      <c r="H2585" t="s">
        <v>1561</v>
      </c>
      <c r="I2585" t="s">
        <v>112</v>
      </c>
      <c r="J2585" t="s">
        <v>702</v>
      </c>
    </row>
    <row r="2586" spans="1:12" x14ac:dyDescent="0.3">
      <c r="A2586" t="s">
        <v>2600</v>
      </c>
      <c r="B2586" t="s">
        <v>1505</v>
      </c>
      <c r="C2586" t="s">
        <v>711</v>
      </c>
      <c r="D2586" t="s">
        <v>1640</v>
      </c>
      <c r="E2586" t="s">
        <v>568</v>
      </c>
      <c r="F2586" t="s">
        <v>77</v>
      </c>
      <c r="G2586" t="s">
        <v>111</v>
      </c>
      <c r="H2586" t="s">
        <v>1539</v>
      </c>
      <c r="I2586" t="s">
        <v>112</v>
      </c>
      <c r="J2586" t="s">
        <v>704</v>
      </c>
      <c r="K2586" t="s">
        <v>2841</v>
      </c>
      <c r="L2586" t="s">
        <v>2841</v>
      </c>
    </row>
    <row r="2587" spans="1:12" x14ac:dyDescent="0.3">
      <c r="A2587" t="s">
        <v>2600</v>
      </c>
      <c r="B2587" t="s">
        <v>1505</v>
      </c>
      <c r="C2587" t="s">
        <v>711</v>
      </c>
      <c r="D2587" t="s">
        <v>1641</v>
      </c>
      <c r="E2587" t="s">
        <v>568</v>
      </c>
      <c r="F2587" t="s">
        <v>102</v>
      </c>
      <c r="G2587" t="s">
        <v>111</v>
      </c>
      <c r="H2587" t="s">
        <v>703</v>
      </c>
      <c r="I2587" t="s">
        <v>112</v>
      </c>
      <c r="J2587" t="s">
        <v>702</v>
      </c>
      <c r="K2587" t="s">
        <v>2876</v>
      </c>
      <c r="L2587" t="s">
        <v>2876</v>
      </c>
    </row>
    <row r="2588" spans="1:12" x14ac:dyDescent="0.3">
      <c r="A2588" t="s">
        <v>2600</v>
      </c>
      <c r="B2588" t="s">
        <v>1505</v>
      </c>
      <c r="C2588" t="s">
        <v>711</v>
      </c>
      <c r="D2588" t="s">
        <v>1642</v>
      </c>
      <c r="E2588" t="s">
        <v>568</v>
      </c>
      <c r="F2588" t="s">
        <v>175</v>
      </c>
      <c r="G2588" t="s">
        <v>111</v>
      </c>
      <c r="H2588" t="s">
        <v>703</v>
      </c>
      <c r="I2588" t="s">
        <v>112</v>
      </c>
      <c r="J2588" t="s">
        <v>702</v>
      </c>
      <c r="K2588" t="s">
        <v>2838</v>
      </c>
      <c r="L2588" t="s">
        <v>2838</v>
      </c>
    </row>
    <row r="2589" spans="1:12" x14ac:dyDescent="0.3">
      <c r="A2589" t="s">
        <v>2600</v>
      </c>
      <c r="B2589" t="s">
        <v>1505</v>
      </c>
      <c r="C2589" t="s">
        <v>711</v>
      </c>
      <c r="D2589" t="s">
        <v>1643</v>
      </c>
      <c r="E2589" t="s">
        <v>568</v>
      </c>
      <c r="F2589" t="s">
        <v>46</v>
      </c>
      <c r="G2589" t="s">
        <v>111</v>
      </c>
      <c r="H2589" t="s">
        <v>1561</v>
      </c>
      <c r="I2589" t="s">
        <v>112</v>
      </c>
      <c r="J2589" t="s">
        <v>702</v>
      </c>
      <c r="K2589" t="s">
        <v>2903</v>
      </c>
      <c r="L2589" t="s">
        <v>2903</v>
      </c>
    </row>
    <row r="2590" spans="1:12" x14ac:dyDescent="0.3">
      <c r="A2590" t="s">
        <v>2600</v>
      </c>
      <c r="B2590" t="s">
        <v>1505</v>
      </c>
      <c r="C2590" t="s">
        <v>711</v>
      </c>
      <c r="D2590" t="s">
        <v>1644</v>
      </c>
      <c r="E2590" t="s">
        <v>568</v>
      </c>
      <c r="F2590" t="s">
        <v>202</v>
      </c>
      <c r="G2590" t="s">
        <v>111</v>
      </c>
      <c r="H2590" t="s">
        <v>1594</v>
      </c>
      <c r="I2590" t="s">
        <v>112</v>
      </c>
      <c r="J2590" t="s">
        <v>1595</v>
      </c>
      <c r="K2590" t="s">
        <v>2848</v>
      </c>
      <c r="L2590" t="s">
        <v>2848</v>
      </c>
    </row>
    <row r="2591" spans="1:12" x14ac:dyDescent="0.3">
      <c r="A2591" t="s">
        <v>2600</v>
      </c>
      <c r="B2591" t="s">
        <v>1505</v>
      </c>
      <c r="C2591" t="s">
        <v>711</v>
      </c>
      <c r="D2591" t="s">
        <v>1645</v>
      </c>
      <c r="E2591" t="s">
        <v>568</v>
      </c>
      <c r="F2591" t="s">
        <v>141</v>
      </c>
      <c r="G2591" t="s">
        <v>111</v>
      </c>
      <c r="H2591" t="s">
        <v>1561</v>
      </c>
      <c r="I2591" t="s">
        <v>112</v>
      </c>
      <c r="J2591" t="s">
        <v>702</v>
      </c>
      <c r="K2591" t="s">
        <v>2881</v>
      </c>
      <c r="L2591" t="s">
        <v>2881</v>
      </c>
    </row>
    <row r="2592" spans="1:12" x14ac:dyDescent="0.3">
      <c r="A2592" t="s">
        <v>2600</v>
      </c>
      <c r="B2592" t="s">
        <v>1505</v>
      </c>
      <c r="C2592" t="s">
        <v>711</v>
      </c>
      <c r="D2592" t="s">
        <v>1646</v>
      </c>
      <c r="E2592" t="s">
        <v>568</v>
      </c>
      <c r="F2592" t="s">
        <v>142</v>
      </c>
      <c r="G2592" t="s">
        <v>111</v>
      </c>
      <c r="H2592" t="s">
        <v>703</v>
      </c>
      <c r="I2592" t="s">
        <v>112</v>
      </c>
      <c r="J2592" t="s">
        <v>702</v>
      </c>
      <c r="K2592" t="s">
        <v>2838</v>
      </c>
      <c r="L2592" t="s">
        <v>2838</v>
      </c>
    </row>
    <row r="2593" spans="1:12" x14ac:dyDescent="0.3">
      <c r="A2593" t="s">
        <v>2600</v>
      </c>
      <c r="B2593" t="s">
        <v>1505</v>
      </c>
      <c r="C2593" t="s">
        <v>711</v>
      </c>
      <c r="D2593" t="s">
        <v>1647</v>
      </c>
      <c r="E2593" t="s">
        <v>568</v>
      </c>
      <c r="F2593" t="s">
        <v>75</v>
      </c>
      <c r="G2593" t="s">
        <v>111</v>
      </c>
      <c r="H2593" t="s">
        <v>703</v>
      </c>
      <c r="I2593" t="s">
        <v>112</v>
      </c>
      <c r="J2593" t="s">
        <v>702</v>
      </c>
      <c r="K2593" t="s">
        <v>2920</v>
      </c>
      <c r="L2593" t="s">
        <v>2920</v>
      </c>
    </row>
    <row r="2594" spans="1:12" x14ac:dyDescent="0.3">
      <c r="A2594" t="s">
        <v>2600</v>
      </c>
      <c r="B2594" t="s">
        <v>1505</v>
      </c>
      <c r="C2594" t="s">
        <v>711</v>
      </c>
      <c r="D2594" t="s">
        <v>1648</v>
      </c>
      <c r="E2594" t="s">
        <v>568</v>
      </c>
      <c r="F2594" t="s">
        <v>143</v>
      </c>
      <c r="G2594" t="s">
        <v>111</v>
      </c>
      <c r="H2594" t="s">
        <v>1561</v>
      </c>
      <c r="I2594" t="s">
        <v>112</v>
      </c>
      <c r="J2594" t="s">
        <v>702</v>
      </c>
    </row>
    <row r="2595" spans="1:12" x14ac:dyDescent="0.3">
      <c r="A2595" t="s">
        <v>2600</v>
      </c>
      <c r="B2595" t="s">
        <v>1505</v>
      </c>
      <c r="C2595" t="s">
        <v>711</v>
      </c>
      <c r="D2595" t="s">
        <v>1649</v>
      </c>
      <c r="E2595" t="s">
        <v>568</v>
      </c>
      <c r="F2595" t="s">
        <v>144</v>
      </c>
      <c r="G2595" t="s">
        <v>111</v>
      </c>
      <c r="H2595" t="s">
        <v>1539</v>
      </c>
      <c r="I2595" t="s">
        <v>112</v>
      </c>
      <c r="J2595" t="s">
        <v>704</v>
      </c>
    </row>
    <row r="2596" spans="1:12" x14ac:dyDescent="0.3">
      <c r="A2596" t="s">
        <v>2600</v>
      </c>
      <c r="B2596" t="s">
        <v>1505</v>
      </c>
      <c r="C2596" t="s">
        <v>711</v>
      </c>
      <c r="D2596" t="s">
        <v>1650</v>
      </c>
      <c r="E2596" t="s">
        <v>568</v>
      </c>
      <c r="F2596" t="s">
        <v>194</v>
      </c>
      <c r="G2596" t="s">
        <v>111</v>
      </c>
      <c r="H2596" t="s">
        <v>703</v>
      </c>
      <c r="I2596" t="s">
        <v>112</v>
      </c>
      <c r="J2596" t="s">
        <v>702</v>
      </c>
      <c r="K2596" t="s">
        <v>2871</v>
      </c>
      <c r="L2596" t="s">
        <v>2871</v>
      </c>
    </row>
    <row r="2597" spans="1:12" x14ac:dyDescent="0.3">
      <c r="A2597" t="s">
        <v>2600</v>
      </c>
      <c r="B2597" t="s">
        <v>1505</v>
      </c>
      <c r="C2597" t="s">
        <v>711</v>
      </c>
      <c r="D2597" t="s">
        <v>1651</v>
      </c>
      <c r="E2597" t="s">
        <v>568</v>
      </c>
      <c r="F2597" t="s">
        <v>145</v>
      </c>
      <c r="G2597" t="s">
        <v>111</v>
      </c>
      <c r="H2597" t="s">
        <v>703</v>
      </c>
      <c r="I2597" t="s">
        <v>112</v>
      </c>
      <c r="J2597" t="s">
        <v>702</v>
      </c>
      <c r="K2597" t="s">
        <v>2890</v>
      </c>
      <c r="L2597" t="s">
        <v>2890</v>
      </c>
    </row>
    <row r="2598" spans="1:12" x14ac:dyDescent="0.3">
      <c r="A2598" t="s">
        <v>2600</v>
      </c>
      <c r="B2598" t="s">
        <v>1505</v>
      </c>
      <c r="C2598" t="s">
        <v>711</v>
      </c>
      <c r="D2598" t="s">
        <v>1652</v>
      </c>
      <c r="E2598" t="s">
        <v>567</v>
      </c>
      <c r="F2598" t="s">
        <v>104</v>
      </c>
      <c r="G2598" t="s">
        <v>111</v>
      </c>
      <c r="H2598" t="s">
        <v>703</v>
      </c>
      <c r="I2598" t="s">
        <v>112</v>
      </c>
      <c r="J2598" t="s">
        <v>702</v>
      </c>
      <c r="K2598" t="s">
        <v>2872</v>
      </c>
      <c r="L2598" t="s">
        <v>2872</v>
      </c>
    </row>
    <row r="2599" spans="1:12" x14ac:dyDescent="0.3">
      <c r="A2599" t="s">
        <v>2600</v>
      </c>
      <c r="B2599" t="s">
        <v>1505</v>
      </c>
      <c r="C2599" t="s">
        <v>711</v>
      </c>
      <c r="D2599" t="s">
        <v>1653</v>
      </c>
      <c r="E2599" t="s">
        <v>567</v>
      </c>
      <c r="F2599" t="s">
        <v>176</v>
      </c>
      <c r="G2599" t="s">
        <v>111</v>
      </c>
      <c r="H2599" t="s">
        <v>1561</v>
      </c>
      <c r="I2599" t="s">
        <v>112</v>
      </c>
      <c r="J2599" t="s">
        <v>702</v>
      </c>
      <c r="K2599" t="s">
        <v>2905</v>
      </c>
      <c r="L2599" t="s">
        <v>2905</v>
      </c>
    </row>
    <row r="2600" spans="1:12" x14ac:dyDescent="0.3">
      <c r="A2600" t="s">
        <v>2600</v>
      </c>
      <c r="B2600" t="s">
        <v>1505</v>
      </c>
      <c r="C2600" t="s">
        <v>711</v>
      </c>
      <c r="D2600" t="s">
        <v>1654</v>
      </c>
      <c r="E2600" t="s">
        <v>567</v>
      </c>
      <c r="F2600" t="s">
        <v>146</v>
      </c>
      <c r="G2600" t="s">
        <v>111</v>
      </c>
      <c r="H2600" t="s">
        <v>1561</v>
      </c>
      <c r="I2600" t="s">
        <v>112</v>
      </c>
      <c r="J2600" t="s">
        <v>702</v>
      </c>
    </row>
    <row r="2601" spans="1:12" x14ac:dyDescent="0.3">
      <c r="A2601" t="s">
        <v>2600</v>
      </c>
      <c r="B2601" t="s">
        <v>1505</v>
      </c>
      <c r="C2601" t="s">
        <v>711</v>
      </c>
      <c r="D2601" t="s">
        <v>1655</v>
      </c>
      <c r="E2601" t="s">
        <v>567</v>
      </c>
      <c r="F2601" t="s">
        <v>148</v>
      </c>
      <c r="G2601" t="s">
        <v>111</v>
      </c>
      <c r="H2601" t="s">
        <v>1561</v>
      </c>
      <c r="I2601" t="s">
        <v>112</v>
      </c>
      <c r="J2601" t="s">
        <v>702</v>
      </c>
      <c r="K2601" t="s">
        <v>2849</v>
      </c>
      <c r="L2601" t="s">
        <v>2849</v>
      </c>
    </row>
    <row r="2602" spans="1:12" x14ac:dyDescent="0.3">
      <c r="A2602" t="s">
        <v>2600</v>
      </c>
      <c r="B2602" t="s">
        <v>1505</v>
      </c>
      <c r="C2602" t="s">
        <v>711</v>
      </c>
      <c r="D2602" t="s">
        <v>1656</v>
      </c>
      <c r="E2602" t="s">
        <v>567</v>
      </c>
      <c r="F2602" t="s">
        <v>149</v>
      </c>
      <c r="G2602" t="s">
        <v>111</v>
      </c>
      <c r="H2602" t="s">
        <v>703</v>
      </c>
      <c r="I2602" t="s">
        <v>112</v>
      </c>
      <c r="J2602" t="s">
        <v>702</v>
      </c>
      <c r="K2602" t="s">
        <v>2873</v>
      </c>
      <c r="L2602" t="s">
        <v>2873</v>
      </c>
    </row>
    <row r="2603" spans="1:12" x14ac:dyDescent="0.3">
      <c r="A2603" t="s">
        <v>2600</v>
      </c>
      <c r="B2603" t="s">
        <v>1505</v>
      </c>
      <c r="C2603" t="s">
        <v>711</v>
      </c>
      <c r="D2603" t="s">
        <v>1657</v>
      </c>
      <c r="E2603" t="s">
        <v>567</v>
      </c>
      <c r="F2603" t="s">
        <v>83</v>
      </c>
      <c r="G2603" t="s">
        <v>111</v>
      </c>
      <c r="H2603" t="s">
        <v>1561</v>
      </c>
      <c r="I2603" t="s">
        <v>112</v>
      </c>
      <c r="J2603" t="s">
        <v>702</v>
      </c>
      <c r="K2603" t="s">
        <v>2901</v>
      </c>
      <c r="L2603" t="s">
        <v>2901</v>
      </c>
    </row>
    <row r="2604" spans="1:12" x14ac:dyDescent="0.3">
      <c r="A2604" t="s">
        <v>2600</v>
      </c>
      <c r="B2604" t="s">
        <v>1505</v>
      </c>
      <c r="C2604" t="s">
        <v>711</v>
      </c>
      <c r="D2604" t="s">
        <v>1658</v>
      </c>
      <c r="E2604" t="s">
        <v>567</v>
      </c>
      <c r="F2604" t="s">
        <v>203</v>
      </c>
      <c r="G2604" t="s">
        <v>111</v>
      </c>
      <c r="H2604" t="s">
        <v>1565</v>
      </c>
      <c r="I2604" t="s">
        <v>112</v>
      </c>
      <c r="J2604" t="s">
        <v>1566</v>
      </c>
    </row>
    <row r="2605" spans="1:12" x14ac:dyDescent="0.3">
      <c r="A2605" t="s">
        <v>2600</v>
      </c>
      <c r="B2605" t="s">
        <v>1505</v>
      </c>
      <c r="C2605" t="s">
        <v>711</v>
      </c>
      <c r="D2605" t="s">
        <v>1659</v>
      </c>
      <c r="E2605" t="s">
        <v>567</v>
      </c>
      <c r="F2605" t="s">
        <v>150</v>
      </c>
      <c r="G2605" t="s">
        <v>111</v>
      </c>
      <c r="H2605" t="s">
        <v>703</v>
      </c>
      <c r="I2605" t="s">
        <v>112</v>
      </c>
      <c r="J2605" t="s">
        <v>702</v>
      </c>
      <c r="K2605" t="s">
        <v>2900</v>
      </c>
      <c r="L2605" t="s">
        <v>2900</v>
      </c>
    </row>
    <row r="2606" spans="1:12" x14ac:dyDescent="0.3">
      <c r="A2606" t="s">
        <v>2600</v>
      </c>
      <c r="B2606" t="s">
        <v>1505</v>
      </c>
      <c r="C2606" t="s">
        <v>711</v>
      </c>
      <c r="D2606" t="s">
        <v>1660</v>
      </c>
      <c r="E2606" t="s">
        <v>567</v>
      </c>
      <c r="F2606" t="s">
        <v>92</v>
      </c>
      <c r="G2606" t="s">
        <v>111</v>
      </c>
      <c r="H2606" t="s">
        <v>703</v>
      </c>
      <c r="I2606" t="s">
        <v>112</v>
      </c>
      <c r="J2606" t="s">
        <v>702</v>
      </c>
      <c r="K2606" t="s">
        <v>2867</v>
      </c>
      <c r="L2606" t="s">
        <v>2867</v>
      </c>
    </row>
    <row r="2607" spans="1:12" x14ac:dyDescent="0.3">
      <c r="A2607" t="s">
        <v>2600</v>
      </c>
      <c r="B2607" t="s">
        <v>1505</v>
      </c>
      <c r="C2607" t="s">
        <v>711</v>
      </c>
      <c r="D2607" t="s">
        <v>1661</v>
      </c>
      <c r="E2607" t="s">
        <v>567</v>
      </c>
      <c r="F2607" t="s">
        <v>63</v>
      </c>
      <c r="G2607" t="s">
        <v>111</v>
      </c>
      <c r="H2607" t="s">
        <v>1561</v>
      </c>
      <c r="I2607" t="s">
        <v>112</v>
      </c>
      <c r="J2607" t="s">
        <v>702</v>
      </c>
      <c r="K2607" t="s">
        <v>2881</v>
      </c>
      <c r="L2607" t="s">
        <v>2881</v>
      </c>
    </row>
    <row r="2608" spans="1:12" x14ac:dyDescent="0.3">
      <c r="A2608" t="s">
        <v>2600</v>
      </c>
      <c r="B2608" t="s">
        <v>1505</v>
      </c>
      <c r="C2608" t="s">
        <v>711</v>
      </c>
      <c r="D2608" t="s">
        <v>1662</v>
      </c>
      <c r="E2608" t="s">
        <v>567</v>
      </c>
      <c r="F2608" t="s">
        <v>151</v>
      </c>
      <c r="G2608" t="s">
        <v>111</v>
      </c>
      <c r="H2608" t="s">
        <v>703</v>
      </c>
      <c r="I2608" t="s">
        <v>112</v>
      </c>
      <c r="J2608" t="s">
        <v>702</v>
      </c>
      <c r="K2608" t="s">
        <v>2906</v>
      </c>
      <c r="L2608" t="s">
        <v>2906</v>
      </c>
    </row>
    <row r="2609" spans="1:12" x14ac:dyDescent="0.3">
      <c r="A2609" t="s">
        <v>2600</v>
      </c>
      <c r="B2609" t="s">
        <v>1505</v>
      </c>
      <c r="C2609" t="s">
        <v>711</v>
      </c>
      <c r="D2609" t="s">
        <v>1663</v>
      </c>
      <c r="E2609" t="s">
        <v>567</v>
      </c>
      <c r="F2609" t="s">
        <v>195</v>
      </c>
      <c r="G2609" t="s">
        <v>111</v>
      </c>
      <c r="H2609" t="s">
        <v>1561</v>
      </c>
      <c r="I2609" t="s">
        <v>112</v>
      </c>
      <c r="J2609" t="s">
        <v>702</v>
      </c>
      <c r="K2609" t="s">
        <v>2907</v>
      </c>
      <c r="L2609" t="s">
        <v>2907</v>
      </c>
    </row>
    <row r="2610" spans="1:12" x14ac:dyDescent="0.3">
      <c r="A2610" t="s">
        <v>2600</v>
      </c>
      <c r="B2610" t="s">
        <v>1505</v>
      </c>
      <c r="C2610" t="s">
        <v>711</v>
      </c>
      <c r="D2610" t="s">
        <v>1664</v>
      </c>
      <c r="E2610" t="s">
        <v>567</v>
      </c>
      <c r="F2610" t="s">
        <v>177</v>
      </c>
      <c r="G2610" t="s">
        <v>111</v>
      </c>
      <c r="H2610" t="s">
        <v>703</v>
      </c>
      <c r="I2610" t="s">
        <v>112</v>
      </c>
      <c r="J2610" t="s">
        <v>702</v>
      </c>
      <c r="K2610" t="s">
        <v>2842</v>
      </c>
      <c r="L2610" t="s">
        <v>2842</v>
      </c>
    </row>
    <row r="2611" spans="1:12" x14ac:dyDescent="0.3">
      <c r="A2611" t="s">
        <v>2600</v>
      </c>
      <c r="B2611" t="s">
        <v>1505</v>
      </c>
      <c r="C2611" t="s">
        <v>711</v>
      </c>
      <c r="D2611" t="s">
        <v>1665</v>
      </c>
      <c r="E2611" t="s">
        <v>567</v>
      </c>
      <c r="F2611" t="s">
        <v>91</v>
      </c>
      <c r="G2611" t="s">
        <v>111</v>
      </c>
      <c r="H2611" t="s">
        <v>703</v>
      </c>
      <c r="I2611" t="s">
        <v>112</v>
      </c>
      <c r="J2611" t="s">
        <v>702</v>
      </c>
      <c r="K2611" t="s">
        <v>2908</v>
      </c>
      <c r="L2611" t="s">
        <v>2908</v>
      </c>
    </row>
    <row r="2612" spans="1:12" x14ac:dyDescent="0.3">
      <c r="A2612" t="s">
        <v>2600</v>
      </c>
      <c r="B2612" t="s">
        <v>1505</v>
      </c>
      <c r="C2612" t="s">
        <v>711</v>
      </c>
      <c r="D2612" t="s">
        <v>1666</v>
      </c>
      <c r="E2612" t="s">
        <v>567</v>
      </c>
      <c r="F2612" t="s">
        <v>152</v>
      </c>
      <c r="G2612" t="s">
        <v>111</v>
      </c>
      <c r="H2612" t="s">
        <v>1539</v>
      </c>
      <c r="I2612" t="s">
        <v>112</v>
      </c>
      <c r="J2612" t="s">
        <v>704</v>
      </c>
      <c r="K2612" t="s">
        <v>2898</v>
      </c>
      <c r="L2612" t="s">
        <v>2898</v>
      </c>
    </row>
    <row r="2613" spans="1:12" x14ac:dyDescent="0.3">
      <c r="A2613" t="s">
        <v>2600</v>
      </c>
      <c r="B2613" t="s">
        <v>1505</v>
      </c>
      <c r="C2613" t="s">
        <v>711</v>
      </c>
      <c r="D2613" t="s">
        <v>1668</v>
      </c>
      <c r="E2613" t="s">
        <v>567</v>
      </c>
      <c r="F2613" t="s">
        <v>67</v>
      </c>
      <c r="G2613" t="s">
        <v>111</v>
      </c>
      <c r="H2613" t="s">
        <v>703</v>
      </c>
      <c r="I2613" t="s">
        <v>112</v>
      </c>
      <c r="J2613" t="s">
        <v>702</v>
      </c>
      <c r="K2613" t="s">
        <v>2862</v>
      </c>
      <c r="L2613" t="s">
        <v>2862</v>
      </c>
    </row>
    <row r="2614" spans="1:12" x14ac:dyDescent="0.3">
      <c r="A2614" t="s">
        <v>2600</v>
      </c>
      <c r="B2614" t="s">
        <v>1505</v>
      </c>
      <c r="C2614" t="s">
        <v>711</v>
      </c>
      <c r="D2614" t="s">
        <v>1670</v>
      </c>
      <c r="E2614" t="s">
        <v>567</v>
      </c>
      <c r="F2614" t="s">
        <v>196</v>
      </c>
      <c r="G2614" t="s">
        <v>111</v>
      </c>
      <c r="H2614" t="s">
        <v>703</v>
      </c>
      <c r="I2614" t="s">
        <v>112</v>
      </c>
      <c r="J2614" t="s">
        <v>702</v>
      </c>
      <c r="K2614" t="s">
        <v>2909</v>
      </c>
      <c r="L2614" t="s">
        <v>2909</v>
      </c>
    </row>
    <row r="2615" spans="1:12" x14ac:dyDescent="0.3">
      <c r="A2615" t="s">
        <v>2600</v>
      </c>
      <c r="B2615" t="s">
        <v>1505</v>
      </c>
      <c r="C2615" t="s">
        <v>711</v>
      </c>
      <c r="D2615" t="s">
        <v>1672</v>
      </c>
      <c r="E2615" t="s">
        <v>567</v>
      </c>
      <c r="F2615" t="s">
        <v>179</v>
      </c>
      <c r="G2615" t="s">
        <v>111</v>
      </c>
      <c r="H2615" t="s">
        <v>1561</v>
      </c>
      <c r="I2615" t="s">
        <v>112</v>
      </c>
      <c r="J2615" t="s">
        <v>702</v>
      </c>
    </row>
    <row r="2616" spans="1:12" x14ac:dyDescent="0.3">
      <c r="A2616" t="s">
        <v>2600</v>
      </c>
      <c r="B2616" t="s">
        <v>1505</v>
      </c>
      <c r="C2616" t="s">
        <v>711</v>
      </c>
      <c r="D2616" t="s">
        <v>1673</v>
      </c>
      <c r="E2616" t="s">
        <v>567</v>
      </c>
      <c r="F2616" t="s">
        <v>153</v>
      </c>
      <c r="G2616" t="s">
        <v>111</v>
      </c>
      <c r="H2616" t="s">
        <v>1539</v>
      </c>
      <c r="I2616" t="s">
        <v>112</v>
      </c>
      <c r="J2616" t="s">
        <v>704</v>
      </c>
      <c r="K2616" t="s">
        <v>2902</v>
      </c>
      <c r="L2616" t="s">
        <v>2902</v>
      </c>
    </row>
    <row r="2617" spans="1:12" x14ac:dyDescent="0.3">
      <c r="A2617" t="s">
        <v>2600</v>
      </c>
      <c r="B2617" t="s">
        <v>1505</v>
      </c>
      <c r="C2617" t="s">
        <v>711</v>
      </c>
      <c r="D2617" t="s">
        <v>1674</v>
      </c>
      <c r="E2617" t="s">
        <v>567</v>
      </c>
      <c r="F2617" t="s">
        <v>55</v>
      </c>
      <c r="G2617" t="s">
        <v>111</v>
      </c>
      <c r="H2617" t="s">
        <v>1565</v>
      </c>
      <c r="I2617" t="s">
        <v>112</v>
      </c>
      <c r="J2617" t="s">
        <v>1566</v>
      </c>
      <c r="K2617" t="s">
        <v>2841</v>
      </c>
      <c r="L2617" t="s">
        <v>2841</v>
      </c>
    </row>
    <row r="2618" spans="1:12" x14ac:dyDescent="0.3">
      <c r="A2618" t="s">
        <v>2600</v>
      </c>
      <c r="B2618" t="s">
        <v>1505</v>
      </c>
      <c r="C2618" t="s">
        <v>711</v>
      </c>
      <c r="D2618" t="s">
        <v>1675</v>
      </c>
      <c r="E2618" t="s">
        <v>567</v>
      </c>
      <c r="F2618" t="s">
        <v>197</v>
      </c>
      <c r="G2618" t="s">
        <v>111</v>
      </c>
      <c r="H2618" t="s">
        <v>703</v>
      </c>
      <c r="I2618" t="s">
        <v>112</v>
      </c>
      <c r="J2618" t="s">
        <v>702</v>
      </c>
      <c r="K2618" t="s">
        <v>2841</v>
      </c>
      <c r="L2618" t="s">
        <v>2841</v>
      </c>
    </row>
    <row r="2619" spans="1:12" x14ac:dyDescent="0.3">
      <c r="A2619" t="s">
        <v>2600</v>
      </c>
      <c r="B2619" t="s">
        <v>1505</v>
      </c>
      <c r="C2619" t="s">
        <v>711</v>
      </c>
      <c r="D2619" t="s">
        <v>1677</v>
      </c>
      <c r="E2619" t="s">
        <v>567</v>
      </c>
      <c r="F2619" t="s">
        <v>156</v>
      </c>
      <c r="G2619" t="s">
        <v>111</v>
      </c>
      <c r="H2619" t="s">
        <v>1561</v>
      </c>
      <c r="I2619" t="s">
        <v>112</v>
      </c>
      <c r="J2619" t="s">
        <v>702</v>
      </c>
      <c r="K2619" t="s">
        <v>2911</v>
      </c>
      <c r="L2619" t="s">
        <v>2911</v>
      </c>
    </row>
    <row r="2620" spans="1:12" x14ac:dyDescent="0.3">
      <c r="A2620" t="s">
        <v>2600</v>
      </c>
      <c r="B2620" t="s">
        <v>1505</v>
      </c>
      <c r="C2620" t="s">
        <v>711</v>
      </c>
      <c r="D2620" t="s">
        <v>1678</v>
      </c>
      <c r="E2620" t="s">
        <v>567</v>
      </c>
      <c r="F2620" t="s">
        <v>103</v>
      </c>
      <c r="G2620" t="s">
        <v>111</v>
      </c>
      <c r="H2620" t="s">
        <v>703</v>
      </c>
      <c r="I2620" t="s">
        <v>112</v>
      </c>
      <c r="J2620" t="s">
        <v>702</v>
      </c>
      <c r="K2620" t="s">
        <v>2864</v>
      </c>
      <c r="L2620" t="s">
        <v>2864</v>
      </c>
    </row>
    <row r="2621" spans="1:12" x14ac:dyDescent="0.3">
      <c r="A2621" t="s">
        <v>2600</v>
      </c>
      <c r="B2621" t="s">
        <v>1505</v>
      </c>
      <c r="C2621" t="s">
        <v>711</v>
      </c>
      <c r="D2621" t="s">
        <v>1679</v>
      </c>
      <c r="E2621" t="s">
        <v>567</v>
      </c>
      <c r="F2621" t="s">
        <v>198</v>
      </c>
      <c r="G2621" t="s">
        <v>111</v>
      </c>
      <c r="H2621" t="s">
        <v>1561</v>
      </c>
      <c r="I2621" t="s">
        <v>112</v>
      </c>
      <c r="J2621" t="s">
        <v>702</v>
      </c>
      <c r="K2621" t="s">
        <v>2912</v>
      </c>
      <c r="L2621" t="s">
        <v>2912</v>
      </c>
    </row>
    <row r="2622" spans="1:12" x14ac:dyDescent="0.3">
      <c r="A2622" t="s">
        <v>2600</v>
      </c>
      <c r="B2622" t="s">
        <v>1505</v>
      </c>
      <c r="C2622" t="s">
        <v>711</v>
      </c>
      <c r="D2622" t="s">
        <v>1680</v>
      </c>
      <c r="E2622" t="s">
        <v>567</v>
      </c>
      <c r="F2622" t="s">
        <v>180</v>
      </c>
      <c r="G2622" t="s">
        <v>111</v>
      </c>
      <c r="H2622" t="s">
        <v>1539</v>
      </c>
      <c r="I2622" t="s">
        <v>112</v>
      </c>
      <c r="J2622" t="s">
        <v>704</v>
      </c>
    </row>
    <row r="2623" spans="1:12" x14ac:dyDescent="0.3">
      <c r="A2623" t="s">
        <v>2600</v>
      </c>
      <c r="B2623" t="s">
        <v>1505</v>
      </c>
      <c r="C2623" t="s">
        <v>711</v>
      </c>
      <c r="D2623" t="s">
        <v>1681</v>
      </c>
      <c r="E2623" t="s">
        <v>567</v>
      </c>
      <c r="F2623" t="s">
        <v>158</v>
      </c>
      <c r="G2623" t="s">
        <v>111</v>
      </c>
      <c r="H2623" t="s">
        <v>703</v>
      </c>
      <c r="I2623" t="s">
        <v>112</v>
      </c>
      <c r="J2623" t="s">
        <v>702</v>
      </c>
      <c r="K2623" t="s">
        <v>2913</v>
      </c>
      <c r="L2623" t="s">
        <v>2913</v>
      </c>
    </row>
    <row r="2624" spans="1:12" x14ac:dyDescent="0.3">
      <c r="A2624" t="s">
        <v>2600</v>
      </c>
      <c r="B2624" t="s">
        <v>1505</v>
      </c>
      <c r="C2624" t="s">
        <v>711</v>
      </c>
      <c r="D2624" t="s">
        <v>1682</v>
      </c>
      <c r="E2624" t="s">
        <v>567</v>
      </c>
      <c r="F2624" t="s">
        <v>199</v>
      </c>
      <c r="G2624" t="s">
        <v>111</v>
      </c>
      <c r="H2624" t="s">
        <v>1539</v>
      </c>
      <c r="I2624" t="s">
        <v>112</v>
      </c>
      <c r="J2624" t="s">
        <v>704</v>
      </c>
      <c r="K2624" t="s">
        <v>2842</v>
      </c>
      <c r="L2624" t="s">
        <v>2842</v>
      </c>
    </row>
    <row r="2625" spans="1:12" x14ac:dyDescent="0.3">
      <c r="A2625" t="s">
        <v>2600</v>
      </c>
      <c r="B2625" t="s">
        <v>1505</v>
      </c>
      <c r="C2625" t="s">
        <v>711</v>
      </c>
      <c r="D2625" t="s">
        <v>1683</v>
      </c>
      <c r="E2625" t="s">
        <v>567</v>
      </c>
      <c r="F2625" t="s">
        <v>159</v>
      </c>
      <c r="G2625" t="s">
        <v>111</v>
      </c>
      <c r="H2625" t="s">
        <v>703</v>
      </c>
      <c r="I2625" t="s">
        <v>112</v>
      </c>
      <c r="J2625" t="s">
        <v>702</v>
      </c>
      <c r="K2625" t="s">
        <v>2914</v>
      </c>
      <c r="L2625" t="s">
        <v>2914</v>
      </c>
    </row>
    <row r="2626" spans="1:12" x14ac:dyDescent="0.3">
      <c r="A2626" t="s">
        <v>2600</v>
      </c>
      <c r="B2626" t="s">
        <v>1505</v>
      </c>
      <c r="C2626" t="s">
        <v>711</v>
      </c>
      <c r="D2626" t="s">
        <v>1684</v>
      </c>
      <c r="E2626" t="s">
        <v>567</v>
      </c>
      <c r="F2626" t="s">
        <v>47</v>
      </c>
      <c r="G2626" t="s">
        <v>111</v>
      </c>
      <c r="H2626" t="s">
        <v>182</v>
      </c>
      <c r="I2626" t="s">
        <v>112</v>
      </c>
      <c r="J2626" t="s">
        <v>183</v>
      </c>
      <c r="K2626" t="s">
        <v>2874</v>
      </c>
      <c r="L2626" t="s">
        <v>2874</v>
      </c>
    </row>
    <row r="2627" spans="1:12" x14ac:dyDescent="0.3">
      <c r="A2627" t="s">
        <v>2600</v>
      </c>
      <c r="B2627" t="s">
        <v>1505</v>
      </c>
      <c r="C2627" t="s">
        <v>711</v>
      </c>
      <c r="D2627" t="s">
        <v>1687</v>
      </c>
      <c r="E2627" t="s">
        <v>567</v>
      </c>
      <c r="F2627" t="s">
        <v>181</v>
      </c>
      <c r="G2627" t="s">
        <v>111</v>
      </c>
      <c r="H2627" t="s">
        <v>1539</v>
      </c>
      <c r="I2627" t="s">
        <v>112</v>
      </c>
      <c r="J2627" t="s">
        <v>704</v>
      </c>
      <c r="K2627" t="s">
        <v>2898</v>
      </c>
      <c r="L2627" t="s">
        <v>2898</v>
      </c>
    </row>
    <row r="2628" spans="1:12" x14ac:dyDescent="0.3">
      <c r="A2628" t="s">
        <v>2600</v>
      </c>
      <c r="B2628" t="s">
        <v>1505</v>
      </c>
      <c r="C2628" t="s">
        <v>711</v>
      </c>
      <c r="D2628" t="s">
        <v>1688</v>
      </c>
      <c r="E2628" t="s">
        <v>567</v>
      </c>
      <c r="F2628" t="s">
        <v>73</v>
      </c>
      <c r="G2628" t="s">
        <v>111</v>
      </c>
      <c r="H2628" t="s">
        <v>703</v>
      </c>
      <c r="I2628" t="s">
        <v>112</v>
      </c>
      <c r="J2628" t="s">
        <v>702</v>
      </c>
      <c r="K2628" t="s">
        <v>2921</v>
      </c>
      <c r="L2628" t="s">
        <v>2921</v>
      </c>
    </row>
    <row r="2629" spans="1:12" x14ac:dyDescent="0.3">
      <c r="A2629" t="s">
        <v>2600</v>
      </c>
      <c r="B2629" t="s">
        <v>1505</v>
      </c>
      <c r="C2629" t="s">
        <v>711</v>
      </c>
      <c r="D2629" t="s">
        <v>1689</v>
      </c>
      <c r="E2629" t="s">
        <v>567</v>
      </c>
      <c r="F2629" t="s">
        <v>162</v>
      </c>
      <c r="G2629" t="s">
        <v>111</v>
      </c>
      <c r="H2629" t="s">
        <v>1561</v>
      </c>
      <c r="I2629" t="s">
        <v>112</v>
      </c>
      <c r="J2629" t="s">
        <v>702</v>
      </c>
    </row>
    <row r="2630" spans="1:12" x14ac:dyDescent="0.3">
      <c r="A2630" t="s">
        <v>1778</v>
      </c>
      <c r="B2630" t="s">
        <v>1505</v>
      </c>
      <c r="C2630" t="s">
        <v>750</v>
      </c>
      <c r="D2630" t="s">
        <v>303</v>
      </c>
      <c r="E2630" t="s">
        <v>569</v>
      </c>
      <c r="F2630" t="s">
        <v>49</v>
      </c>
      <c r="G2630" t="s">
        <v>111</v>
      </c>
      <c r="H2630" t="s">
        <v>1549</v>
      </c>
      <c r="I2630" t="s">
        <v>112</v>
      </c>
      <c r="J2630" t="s">
        <v>1544</v>
      </c>
      <c r="K2630" t="s">
        <v>2801</v>
      </c>
      <c r="L2630" t="s">
        <v>2801</v>
      </c>
    </row>
    <row r="2631" spans="1:12" x14ac:dyDescent="0.3">
      <c r="A2631" t="s">
        <v>1778</v>
      </c>
      <c r="B2631" t="s">
        <v>1505</v>
      </c>
      <c r="C2631" t="s">
        <v>750</v>
      </c>
      <c r="D2631" t="s">
        <v>209</v>
      </c>
      <c r="E2631" t="s">
        <v>569</v>
      </c>
      <c r="F2631" t="s">
        <v>115</v>
      </c>
      <c r="G2631" t="s">
        <v>111</v>
      </c>
      <c r="H2631" t="s">
        <v>703</v>
      </c>
      <c r="I2631" t="s">
        <v>112</v>
      </c>
      <c r="J2631" t="s">
        <v>702</v>
      </c>
      <c r="K2631" t="s">
        <v>2922</v>
      </c>
      <c r="L2631" t="s">
        <v>2922</v>
      </c>
    </row>
    <row r="2632" spans="1:12" x14ac:dyDescent="0.3">
      <c r="A2632" t="s">
        <v>1778</v>
      </c>
      <c r="B2632" t="s">
        <v>1505</v>
      </c>
      <c r="C2632" t="s">
        <v>750</v>
      </c>
      <c r="D2632" t="s">
        <v>210</v>
      </c>
      <c r="E2632" t="s">
        <v>569</v>
      </c>
      <c r="F2632" t="s">
        <v>59</v>
      </c>
      <c r="G2632" t="s">
        <v>111</v>
      </c>
      <c r="H2632" t="s">
        <v>703</v>
      </c>
      <c r="I2632" t="s">
        <v>112</v>
      </c>
      <c r="J2632" t="s">
        <v>702</v>
      </c>
      <c r="K2632" t="s">
        <v>1558</v>
      </c>
      <c r="L2632" t="s">
        <v>1558</v>
      </c>
    </row>
    <row r="2633" spans="1:12" x14ac:dyDescent="0.3">
      <c r="A2633" t="s">
        <v>1778</v>
      </c>
      <c r="B2633" t="s">
        <v>1505</v>
      </c>
      <c r="C2633" t="s">
        <v>750</v>
      </c>
      <c r="D2633" t="s">
        <v>304</v>
      </c>
      <c r="E2633" t="s">
        <v>569</v>
      </c>
      <c r="F2633" t="s">
        <v>117</v>
      </c>
      <c r="G2633" t="s">
        <v>111</v>
      </c>
      <c r="H2633" t="s">
        <v>1539</v>
      </c>
      <c r="I2633" t="s">
        <v>112</v>
      </c>
      <c r="J2633" t="s">
        <v>704</v>
      </c>
    </row>
    <row r="2634" spans="1:12" x14ac:dyDescent="0.3">
      <c r="A2634" t="s">
        <v>1778</v>
      </c>
      <c r="B2634" t="s">
        <v>1505</v>
      </c>
      <c r="C2634" t="s">
        <v>750</v>
      </c>
      <c r="D2634" t="s">
        <v>305</v>
      </c>
      <c r="E2634" t="s">
        <v>569</v>
      </c>
      <c r="F2634" t="s">
        <v>120</v>
      </c>
      <c r="G2634" t="s">
        <v>111</v>
      </c>
      <c r="H2634" t="s">
        <v>1549</v>
      </c>
      <c r="I2634" t="s">
        <v>112</v>
      </c>
      <c r="J2634" t="s">
        <v>1544</v>
      </c>
      <c r="K2634" t="s">
        <v>1537</v>
      </c>
      <c r="L2634" t="s">
        <v>1537</v>
      </c>
    </row>
    <row r="2635" spans="1:12" x14ac:dyDescent="0.3">
      <c r="A2635" t="s">
        <v>1778</v>
      </c>
      <c r="B2635" t="s">
        <v>1505</v>
      </c>
      <c r="C2635" t="s">
        <v>750</v>
      </c>
      <c r="D2635" t="s">
        <v>212</v>
      </c>
      <c r="E2635" t="s">
        <v>569</v>
      </c>
      <c r="F2635" t="s">
        <v>164</v>
      </c>
      <c r="G2635" t="s">
        <v>111</v>
      </c>
      <c r="H2635" t="s">
        <v>1549</v>
      </c>
      <c r="I2635" t="s">
        <v>112</v>
      </c>
      <c r="J2635" t="s">
        <v>1544</v>
      </c>
      <c r="K2635" t="s">
        <v>2923</v>
      </c>
      <c r="L2635" t="s">
        <v>2923</v>
      </c>
    </row>
    <row r="2636" spans="1:12" x14ac:dyDescent="0.3">
      <c r="A2636" t="s">
        <v>1778</v>
      </c>
      <c r="B2636" t="s">
        <v>1505</v>
      </c>
      <c r="C2636" t="s">
        <v>750</v>
      </c>
      <c r="D2636" t="s">
        <v>213</v>
      </c>
      <c r="E2636" t="s">
        <v>569</v>
      </c>
      <c r="F2636" t="s">
        <v>53</v>
      </c>
      <c r="G2636" t="s">
        <v>111</v>
      </c>
      <c r="H2636" t="s">
        <v>1565</v>
      </c>
      <c r="I2636" t="s">
        <v>112</v>
      </c>
      <c r="J2636" t="s">
        <v>1566</v>
      </c>
      <c r="K2636" t="s">
        <v>2924</v>
      </c>
      <c r="L2636" t="s">
        <v>2924</v>
      </c>
    </row>
    <row r="2637" spans="1:12" x14ac:dyDescent="0.3">
      <c r="A2637" t="s">
        <v>1778</v>
      </c>
      <c r="B2637" t="s">
        <v>1505</v>
      </c>
      <c r="C2637" t="s">
        <v>750</v>
      </c>
      <c r="D2637" t="s">
        <v>214</v>
      </c>
      <c r="E2637" t="s">
        <v>569</v>
      </c>
      <c r="F2637" t="s">
        <v>56</v>
      </c>
      <c r="G2637" t="s">
        <v>111</v>
      </c>
      <c r="H2637" t="s">
        <v>1549</v>
      </c>
      <c r="I2637" t="s">
        <v>112</v>
      </c>
      <c r="J2637" t="s">
        <v>1544</v>
      </c>
      <c r="K2637" t="s">
        <v>2925</v>
      </c>
      <c r="L2637" t="s">
        <v>2925</v>
      </c>
    </row>
    <row r="2638" spans="1:12" x14ac:dyDescent="0.3">
      <c r="A2638" t="s">
        <v>1778</v>
      </c>
      <c r="B2638" t="s">
        <v>1505</v>
      </c>
      <c r="C2638" t="s">
        <v>750</v>
      </c>
      <c r="D2638" t="s">
        <v>215</v>
      </c>
      <c r="E2638" t="s">
        <v>569</v>
      </c>
      <c r="F2638" t="s">
        <v>69</v>
      </c>
      <c r="G2638" t="s">
        <v>111</v>
      </c>
      <c r="H2638" t="s">
        <v>703</v>
      </c>
      <c r="I2638" t="s">
        <v>112</v>
      </c>
      <c r="J2638" t="s">
        <v>702</v>
      </c>
      <c r="K2638" t="s">
        <v>1555</v>
      </c>
      <c r="L2638" t="s">
        <v>1555</v>
      </c>
    </row>
    <row r="2639" spans="1:12" x14ac:dyDescent="0.3">
      <c r="A2639" t="s">
        <v>1778</v>
      </c>
      <c r="B2639" t="s">
        <v>1505</v>
      </c>
      <c r="C2639" t="s">
        <v>750</v>
      </c>
      <c r="D2639" t="s">
        <v>216</v>
      </c>
      <c r="E2639" t="s">
        <v>569</v>
      </c>
      <c r="F2639" t="s">
        <v>121</v>
      </c>
      <c r="G2639" t="s">
        <v>111</v>
      </c>
      <c r="H2639" t="s">
        <v>186</v>
      </c>
      <c r="I2639" t="s">
        <v>112</v>
      </c>
      <c r="J2639" t="s">
        <v>183</v>
      </c>
      <c r="K2639" t="s">
        <v>1537</v>
      </c>
      <c r="L2639" t="s">
        <v>1537</v>
      </c>
    </row>
    <row r="2640" spans="1:12" x14ac:dyDescent="0.3">
      <c r="A2640" t="s">
        <v>1778</v>
      </c>
      <c r="B2640" t="s">
        <v>1505</v>
      </c>
      <c r="C2640" t="s">
        <v>750</v>
      </c>
      <c r="D2640" t="s">
        <v>217</v>
      </c>
      <c r="E2640" t="s">
        <v>569</v>
      </c>
      <c r="F2640" t="s">
        <v>122</v>
      </c>
      <c r="G2640" t="s">
        <v>111</v>
      </c>
      <c r="H2640" t="s">
        <v>1561</v>
      </c>
      <c r="I2640" t="s">
        <v>112</v>
      </c>
      <c r="J2640" t="s">
        <v>702</v>
      </c>
    </row>
    <row r="2641" spans="1:12" x14ac:dyDescent="0.3">
      <c r="A2641" t="s">
        <v>1778</v>
      </c>
      <c r="B2641" t="s">
        <v>1505</v>
      </c>
      <c r="C2641" t="s">
        <v>750</v>
      </c>
      <c r="D2641" t="s">
        <v>306</v>
      </c>
      <c r="E2641" t="s">
        <v>569</v>
      </c>
      <c r="F2641" t="s">
        <v>165</v>
      </c>
      <c r="G2641" t="s">
        <v>111</v>
      </c>
      <c r="H2641" t="s">
        <v>703</v>
      </c>
      <c r="I2641" t="s">
        <v>112</v>
      </c>
      <c r="J2641" t="s">
        <v>702</v>
      </c>
      <c r="K2641" t="s">
        <v>2926</v>
      </c>
      <c r="L2641" t="s">
        <v>2926</v>
      </c>
    </row>
    <row r="2642" spans="1:12" x14ac:dyDescent="0.3">
      <c r="A2642" t="s">
        <v>1778</v>
      </c>
      <c r="B2642" t="s">
        <v>1505</v>
      </c>
      <c r="C2642" t="s">
        <v>750</v>
      </c>
      <c r="D2642" t="s">
        <v>307</v>
      </c>
      <c r="E2642" t="s">
        <v>569</v>
      </c>
      <c r="F2642" t="s">
        <v>123</v>
      </c>
      <c r="G2642" t="s">
        <v>111</v>
      </c>
      <c r="H2642" t="s">
        <v>1549</v>
      </c>
      <c r="I2642" t="s">
        <v>112</v>
      </c>
      <c r="J2642" t="s">
        <v>1544</v>
      </c>
      <c r="K2642" t="s">
        <v>2927</v>
      </c>
      <c r="L2642" t="s">
        <v>2927</v>
      </c>
    </row>
    <row r="2643" spans="1:12" x14ac:dyDescent="0.3">
      <c r="A2643" t="s">
        <v>1778</v>
      </c>
      <c r="B2643" t="s">
        <v>1505</v>
      </c>
      <c r="C2643" t="s">
        <v>750</v>
      </c>
      <c r="D2643" t="s">
        <v>220</v>
      </c>
      <c r="E2643" t="s">
        <v>569</v>
      </c>
      <c r="F2643" t="s">
        <v>54</v>
      </c>
      <c r="G2643" t="s">
        <v>111</v>
      </c>
      <c r="H2643" t="s">
        <v>1553</v>
      </c>
      <c r="I2643" t="s">
        <v>112</v>
      </c>
      <c r="J2643" t="s">
        <v>1554</v>
      </c>
      <c r="K2643" t="s">
        <v>2809</v>
      </c>
      <c r="L2643" t="s">
        <v>2809</v>
      </c>
    </row>
    <row r="2644" spans="1:12" x14ac:dyDescent="0.3">
      <c r="A2644" t="s">
        <v>1778</v>
      </c>
      <c r="B2644" t="s">
        <v>1505</v>
      </c>
      <c r="C2644" t="s">
        <v>750</v>
      </c>
      <c r="D2644" t="s">
        <v>221</v>
      </c>
      <c r="E2644" t="s">
        <v>569</v>
      </c>
      <c r="F2644" t="s">
        <v>45</v>
      </c>
      <c r="G2644" t="s">
        <v>111</v>
      </c>
      <c r="H2644" t="s">
        <v>703</v>
      </c>
      <c r="I2644" t="s">
        <v>112</v>
      </c>
      <c r="J2644" t="s">
        <v>702</v>
      </c>
      <c r="K2644" t="s">
        <v>1542</v>
      </c>
      <c r="L2644" t="s">
        <v>1542</v>
      </c>
    </row>
    <row r="2645" spans="1:12" x14ac:dyDescent="0.3">
      <c r="A2645" t="s">
        <v>1778</v>
      </c>
      <c r="B2645" t="s">
        <v>1505</v>
      </c>
      <c r="C2645" t="s">
        <v>750</v>
      </c>
      <c r="D2645" t="s">
        <v>308</v>
      </c>
      <c r="E2645" t="s">
        <v>569</v>
      </c>
      <c r="F2645" t="s">
        <v>190</v>
      </c>
      <c r="G2645" t="s">
        <v>111</v>
      </c>
      <c r="H2645" t="s">
        <v>182</v>
      </c>
      <c r="I2645" t="s">
        <v>112</v>
      </c>
      <c r="J2645" t="s">
        <v>183</v>
      </c>
      <c r="K2645" t="s">
        <v>1537</v>
      </c>
      <c r="L2645" t="s">
        <v>1537</v>
      </c>
    </row>
    <row r="2646" spans="1:12" x14ac:dyDescent="0.3">
      <c r="A2646" t="s">
        <v>1778</v>
      </c>
      <c r="B2646" t="s">
        <v>1505</v>
      </c>
      <c r="C2646" t="s">
        <v>750</v>
      </c>
      <c r="D2646" t="s">
        <v>222</v>
      </c>
      <c r="E2646" t="s">
        <v>569</v>
      </c>
      <c r="F2646" t="s">
        <v>124</v>
      </c>
      <c r="G2646" t="s">
        <v>111</v>
      </c>
      <c r="H2646" t="s">
        <v>703</v>
      </c>
      <c r="I2646" t="s">
        <v>112</v>
      </c>
      <c r="J2646" t="s">
        <v>702</v>
      </c>
      <c r="K2646" t="s">
        <v>2928</v>
      </c>
      <c r="L2646" t="s">
        <v>2928</v>
      </c>
    </row>
    <row r="2647" spans="1:12" x14ac:dyDescent="0.3">
      <c r="A2647" t="s">
        <v>1778</v>
      </c>
      <c r="B2647" t="s">
        <v>1505</v>
      </c>
      <c r="C2647" t="s">
        <v>750</v>
      </c>
      <c r="D2647" t="s">
        <v>309</v>
      </c>
      <c r="E2647" t="s">
        <v>569</v>
      </c>
      <c r="F2647" t="s">
        <v>58</v>
      </c>
      <c r="G2647" t="s">
        <v>111</v>
      </c>
      <c r="H2647" t="s">
        <v>703</v>
      </c>
      <c r="I2647" t="s">
        <v>112</v>
      </c>
      <c r="J2647" t="s">
        <v>702</v>
      </c>
      <c r="K2647" t="s">
        <v>1536</v>
      </c>
      <c r="L2647" t="s">
        <v>1536</v>
      </c>
    </row>
    <row r="2648" spans="1:12" x14ac:dyDescent="0.3">
      <c r="A2648" t="s">
        <v>1778</v>
      </c>
      <c r="B2648" t="s">
        <v>1505</v>
      </c>
      <c r="C2648" t="s">
        <v>750</v>
      </c>
      <c r="D2648" t="s">
        <v>2808</v>
      </c>
      <c r="E2648" t="s">
        <v>569</v>
      </c>
      <c r="F2648" t="s">
        <v>191</v>
      </c>
      <c r="G2648" t="s">
        <v>111</v>
      </c>
      <c r="H2648" t="s">
        <v>703</v>
      </c>
      <c r="I2648" t="s">
        <v>112</v>
      </c>
      <c r="J2648" t="s">
        <v>702</v>
      </c>
      <c r="K2648" t="s">
        <v>2929</v>
      </c>
      <c r="L2648" t="s">
        <v>2929</v>
      </c>
    </row>
    <row r="2649" spans="1:12" x14ac:dyDescent="0.3">
      <c r="A2649" t="s">
        <v>1778</v>
      </c>
      <c r="B2649" t="s">
        <v>1505</v>
      </c>
      <c r="C2649" t="s">
        <v>750</v>
      </c>
      <c r="D2649" t="s">
        <v>224</v>
      </c>
      <c r="E2649" t="s">
        <v>569</v>
      </c>
      <c r="F2649" t="s">
        <v>125</v>
      </c>
      <c r="G2649" t="s">
        <v>111</v>
      </c>
      <c r="H2649" t="s">
        <v>703</v>
      </c>
      <c r="I2649" t="s">
        <v>112</v>
      </c>
      <c r="J2649" t="s">
        <v>702</v>
      </c>
      <c r="K2649" t="s">
        <v>1555</v>
      </c>
      <c r="L2649" t="s">
        <v>1555</v>
      </c>
    </row>
    <row r="2650" spans="1:12" x14ac:dyDescent="0.3">
      <c r="A2650" t="s">
        <v>1778</v>
      </c>
      <c r="B2650" t="s">
        <v>1505</v>
      </c>
      <c r="C2650" t="s">
        <v>750</v>
      </c>
      <c r="D2650" t="s">
        <v>226</v>
      </c>
      <c r="E2650" t="s">
        <v>569</v>
      </c>
      <c r="F2650" t="s">
        <v>80</v>
      </c>
      <c r="G2650" t="s">
        <v>111</v>
      </c>
      <c r="H2650" t="s">
        <v>703</v>
      </c>
      <c r="I2650" t="s">
        <v>112</v>
      </c>
      <c r="J2650" t="s">
        <v>702</v>
      </c>
      <c r="K2650" t="s">
        <v>2930</v>
      </c>
      <c r="L2650" t="s">
        <v>2930</v>
      </c>
    </row>
    <row r="2651" spans="1:12" x14ac:dyDescent="0.3">
      <c r="A2651" t="s">
        <v>1778</v>
      </c>
      <c r="B2651" t="s">
        <v>1505</v>
      </c>
      <c r="C2651" t="s">
        <v>750</v>
      </c>
      <c r="D2651" t="s">
        <v>227</v>
      </c>
      <c r="E2651" t="s">
        <v>569</v>
      </c>
      <c r="F2651" t="s">
        <v>192</v>
      </c>
      <c r="G2651" t="s">
        <v>111</v>
      </c>
      <c r="H2651" t="s">
        <v>182</v>
      </c>
      <c r="I2651" t="s">
        <v>112</v>
      </c>
      <c r="J2651" t="s">
        <v>183</v>
      </c>
      <c r="K2651" t="s">
        <v>1535</v>
      </c>
      <c r="L2651" t="s">
        <v>1535</v>
      </c>
    </row>
    <row r="2652" spans="1:12" x14ac:dyDescent="0.3">
      <c r="A2652" t="s">
        <v>1778</v>
      </c>
      <c r="B2652" t="s">
        <v>1505</v>
      </c>
      <c r="C2652" t="s">
        <v>750</v>
      </c>
      <c r="D2652" t="s">
        <v>228</v>
      </c>
      <c r="E2652" t="s">
        <v>569</v>
      </c>
      <c r="F2652" t="s">
        <v>167</v>
      </c>
      <c r="G2652" t="s">
        <v>111</v>
      </c>
      <c r="H2652" t="s">
        <v>182</v>
      </c>
      <c r="I2652" t="s">
        <v>112</v>
      </c>
      <c r="J2652" t="s">
        <v>183</v>
      </c>
      <c r="K2652" t="s">
        <v>1537</v>
      </c>
      <c r="L2652" t="s">
        <v>1537</v>
      </c>
    </row>
    <row r="2653" spans="1:12" x14ac:dyDescent="0.3">
      <c r="A2653" t="s">
        <v>1778</v>
      </c>
      <c r="B2653" t="s">
        <v>1505</v>
      </c>
      <c r="C2653" t="s">
        <v>750</v>
      </c>
      <c r="D2653" t="s">
        <v>311</v>
      </c>
      <c r="E2653" t="s">
        <v>569</v>
      </c>
      <c r="F2653" t="s">
        <v>89</v>
      </c>
      <c r="G2653" t="s">
        <v>111</v>
      </c>
      <c r="H2653" t="s">
        <v>703</v>
      </c>
      <c r="I2653" t="s">
        <v>112</v>
      </c>
      <c r="J2653" t="s">
        <v>702</v>
      </c>
      <c r="K2653" t="s">
        <v>1572</v>
      </c>
      <c r="L2653" t="s">
        <v>1572</v>
      </c>
    </row>
    <row r="2654" spans="1:12" x14ac:dyDescent="0.3">
      <c r="A2654" t="s">
        <v>1778</v>
      </c>
      <c r="B2654" t="s">
        <v>1505</v>
      </c>
      <c r="C2654" t="s">
        <v>750</v>
      </c>
      <c r="D2654" t="s">
        <v>232</v>
      </c>
      <c r="E2654" t="s">
        <v>569</v>
      </c>
      <c r="F2654" t="s">
        <v>169</v>
      </c>
      <c r="G2654" t="s">
        <v>111</v>
      </c>
      <c r="H2654" t="s">
        <v>1539</v>
      </c>
      <c r="I2654" t="s">
        <v>112</v>
      </c>
      <c r="J2654" t="s">
        <v>704</v>
      </c>
    </row>
    <row r="2655" spans="1:12" x14ac:dyDescent="0.3">
      <c r="A2655" t="s">
        <v>1778</v>
      </c>
      <c r="B2655" t="s">
        <v>1505</v>
      </c>
      <c r="C2655" t="s">
        <v>750</v>
      </c>
      <c r="D2655" t="s">
        <v>234</v>
      </c>
      <c r="E2655" t="s">
        <v>569</v>
      </c>
      <c r="F2655" t="s">
        <v>93</v>
      </c>
      <c r="G2655" t="s">
        <v>111</v>
      </c>
      <c r="H2655" t="s">
        <v>703</v>
      </c>
      <c r="I2655" t="s">
        <v>112</v>
      </c>
      <c r="J2655" t="s">
        <v>702</v>
      </c>
      <c r="K2655" t="s">
        <v>1542</v>
      </c>
      <c r="L2655" t="s">
        <v>1542</v>
      </c>
    </row>
    <row r="2656" spans="1:12" x14ac:dyDescent="0.3">
      <c r="A2656" t="s">
        <v>1778</v>
      </c>
      <c r="B2656" t="s">
        <v>1505</v>
      </c>
      <c r="C2656" t="s">
        <v>750</v>
      </c>
      <c r="D2656" t="s">
        <v>312</v>
      </c>
      <c r="E2656" t="s">
        <v>569</v>
      </c>
      <c r="F2656" t="s">
        <v>129</v>
      </c>
      <c r="G2656" t="s">
        <v>111</v>
      </c>
      <c r="H2656" t="s">
        <v>1561</v>
      </c>
      <c r="I2656" t="s">
        <v>112</v>
      </c>
      <c r="J2656" t="s">
        <v>702</v>
      </c>
      <c r="K2656" t="s">
        <v>2931</v>
      </c>
      <c r="L2656" t="s">
        <v>2931</v>
      </c>
    </row>
    <row r="2657" spans="1:12" x14ac:dyDescent="0.3">
      <c r="A2657" t="s">
        <v>1778</v>
      </c>
      <c r="B2657" t="s">
        <v>1505</v>
      </c>
      <c r="C2657" t="s">
        <v>750</v>
      </c>
      <c r="D2657" t="s">
        <v>313</v>
      </c>
      <c r="E2657" t="s">
        <v>569</v>
      </c>
      <c r="F2657" t="s">
        <v>68</v>
      </c>
      <c r="G2657" t="s">
        <v>111</v>
      </c>
      <c r="H2657" t="s">
        <v>703</v>
      </c>
      <c r="I2657" t="s">
        <v>112</v>
      </c>
      <c r="J2657" t="s">
        <v>702</v>
      </c>
      <c r="K2657" t="s">
        <v>1560</v>
      </c>
      <c r="L2657" t="s">
        <v>1560</v>
      </c>
    </row>
    <row r="2658" spans="1:12" x14ac:dyDescent="0.3">
      <c r="A2658" t="s">
        <v>1778</v>
      </c>
      <c r="B2658" t="s">
        <v>1505</v>
      </c>
      <c r="C2658" t="s">
        <v>750</v>
      </c>
      <c r="D2658" t="s">
        <v>235</v>
      </c>
      <c r="E2658" t="s">
        <v>569</v>
      </c>
      <c r="F2658" t="s">
        <v>85</v>
      </c>
      <c r="G2658" t="s">
        <v>111</v>
      </c>
      <c r="H2658" t="s">
        <v>703</v>
      </c>
      <c r="I2658" t="s">
        <v>112</v>
      </c>
      <c r="J2658" t="s">
        <v>702</v>
      </c>
      <c r="K2658" t="s">
        <v>1555</v>
      </c>
      <c r="L2658" t="s">
        <v>1555</v>
      </c>
    </row>
    <row r="2659" spans="1:12" x14ac:dyDescent="0.3">
      <c r="A2659" t="s">
        <v>1778</v>
      </c>
      <c r="B2659" t="s">
        <v>1505</v>
      </c>
      <c r="C2659" t="s">
        <v>750</v>
      </c>
      <c r="D2659" t="s">
        <v>314</v>
      </c>
      <c r="E2659" t="s">
        <v>569</v>
      </c>
      <c r="F2659" t="s">
        <v>61</v>
      </c>
      <c r="G2659" t="s">
        <v>111</v>
      </c>
      <c r="H2659" t="s">
        <v>1539</v>
      </c>
      <c r="I2659" t="s">
        <v>112</v>
      </c>
      <c r="J2659" t="s">
        <v>704</v>
      </c>
    </row>
    <row r="2660" spans="1:12" x14ac:dyDescent="0.3">
      <c r="A2660" t="s">
        <v>1778</v>
      </c>
      <c r="B2660" t="s">
        <v>1505</v>
      </c>
      <c r="C2660" t="s">
        <v>750</v>
      </c>
      <c r="D2660" t="s">
        <v>236</v>
      </c>
      <c r="E2660" t="s">
        <v>569</v>
      </c>
      <c r="F2660" t="s">
        <v>87</v>
      </c>
      <c r="G2660" t="s">
        <v>111</v>
      </c>
      <c r="H2660" t="s">
        <v>703</v>
      </c>
      <c r="I2660" t="s">
        <v>112</v>
      </c>
      <c r="J2660" t="s">
        <v>702</v>
      </c>
      <c r="K2660" t="s">
        <v>1548</v>
      </c>
      <c r="L2660" t="s">
        <v>1548</v>
      </c>
    </row>
    <row r="2661" spans="1:12" x14ac:dyDescent="0.3">
      <c r="A2661" t="s">
        <v>1778</v>
      </c>
      <c r="B2661" t="s">
        <v>1505</v>
      </c>
      <c r="C2661" t="s">
        <v>750</v>
      </c>
      <c r="D2661" t="s">
        <v>239</v>
      </c>
      <c r="E2661" t="s">
        <v>569</v>
      </c>
      <c r="F2661" t="s">
        <v>50</v>
      </c>
      <c r="G2661" t="s">
        <v>111</v>
      </c>
      <c r="H2661" t="s">
        <v>1553</v>
      </c>
      <c r="I2661" t="s">
        <v>112</v>
      </c>
      <c r="J2661" t="s">
        <v>1554</v>
      </c>
      <c r="K2661" t="s">
        <v>1551</v>
      </c>
      <c r="L2661" t="s">
        <v>1551</v>
      </c>
    </row>
    <row r="2662" spans="1:12" x14ac:dyDescent="0.3">
      <c r="A2662" t="s">
        <v>1778</v>
      </c>
      <c r="B2662" t="s">
        <v>1505</v>
      </c>
      <c r="C2662" t="s">
        <v>750</v>
      </c>
      <c r="D2662" t="s">
        <v>315</v>
      </c>
      <c r="E2662" t="s">
        <v>568</v>
      </c>
      <c r="F2662" t="s">
        <v>79</v>
      </c>
      <c r="G2662" t="s">
        <v>111</v>
      </c>
      <c r="H2662" t="s">
        <v>1553</v>
      </c>
      <c r="I2662" t="s">
        <v>112</v>
      </c>
      <c r="J2662" t="s">
        <v>1554</v>
      </c>
      <c r="K2662" t="s">
        <v>1555</v>
      </c>
      <c r="L2662" t="s">
        <v>1555</v>
      </c>
    </row>
    <row r="2663" spans="1:12" x14ac:dyDescent="0.3">
      <c r="A2663" t="s">
        <v>1778</v>
      </c>
      <c r="B2663" t="s">
        <v>1505</v>
      </c>
      <c r="C2663" t="s">
        <v>750</v>
      </c>
      <c r="D2663" t="s">
        <v>316</v>
      </c>
      <c r="E2663" t="s">
        <v>568</v>
      </c>
      <c r="F2663" t="s">
        <v>132</v>
      </c>
      <c r="G2663" t="s">
        <v>111</v>
      </c>
      <c r="H2663" t="s">
        <v>703</v>
      </c>
      <c r="I2663" t="s">
        <v>112</v>
      </c>
      <c r="J2663" t="s">
        <v>702</v>
      </c>
      <c r="K2663" t="s">
        <v>1551</v>
      </c>
      <c r="L2663" t="s">
        <v>1551</v>
      </c>
    </row>
    <row r="2664" spans="1:12" x14ac:dyDescent="0.3">
      <c r="A2664" t="s">
        <v>1778</v>
      </c>
      <c r="B2664" t="s">
        <v>1505</v>
      </c>
      <c r="C2664" t="s">
        <v>750</v>
      </c>
      <c r="D2664" t="s">
        <v>317</v>
      </c>
      <c r="E2664" t="s">
        <v>568</v>
      </c>
      <c r="F2664" t="s">
        <v>133</v>
      </c>
      <c r="G2664" t="s">
        <v>111</v>
      </c>
      <c r="H2664" t="s">
        <v>1539</v>
      </c>
      <c r="I2664" t="s">
        <v>112</v>
      </c>
      <c r="J2664" t="s">
        <v>704</v>
      </c>
    </row>
    <row r="2665" spans="1:12" x14ac:dyDescent="0.3">
      <c r="A2665" t="s">
        <v>1778</v>
      </c>
      <c r="B2665" t="s">
        <v>1505</v>
      </c>
      <c r="C2665" t="s">
        <v>750</v>
      </c>
      <c r="D2665" t="s">
        <v>318</v>
      </c>
      <c r="E2665" t="s">
        <v>568</v>
      </c>
      <c r="F2665" t="s">
        <v>193</v>
      </c>
      <c r="G2665" t="s">
        <v>111</v>
      </c>
      <c r="H2665" t="s">
        <v>703</v>
      </c>
      <c r="I2665" t="s">
        <v>112</v>
      </c>
      <c r="J2665" t="s">
        <v>702</v>
      </c>
      <c r="K2665" t="s">
        <v>1551</v>
      </c>
      <c r="L2665" t="s">
        <v>1551</v>
      </c>
    </row>
    <row r="2666" spans="1:12" x14ac:dyDescent="0.3">
      <c r="A2666" t="s">
        <v>1778</v>
      </c>
      <c r="B2666" t="s">
        <v>1505</v>
      </c>
      <c r="C2666" t="s">
        <v>750</v>
      </c>
      <c r="D2666" t="s">
        <v>240</v>
      </c>
      <c r="E2666" t="s">
        <v>568</v>
      </c>
      <c r="F2666" t="s">
        <v>134</v>
      </c>
      <c r="G2666" t="s">
        <v>111</v>
      </c>
      <c r="H2666" t="s">
        <v>703</v>
      </c>
      <c r="I2666" t="s">
        <v>112</v>
      </c>
      <c r="J2666" t="s">
        <v>702</v>
      </c>
      <c r="K2666" t="s">
        <v>1548</v>
      </c>
      <c r="L2666" t="s">
        <v>1548</v>
      </c>
    </row>
    <row r="2667" spans="1:12" x14ac:dyDescent="0.3">
      <c r="A2667" t="s">
        <v>1778</v>
      </c>
      <c r="B2667" t="s">
        <v>1505</v>
      </c>
      <c r="C2667" t="s">
        <v>750</v>
      </c>
      <c r="D2667" t="s">
        <v>241</v>
      </c>
      <c r="E2667" t="s">
        <v>568</v>
      </c>
      <c r="F2667" t="s">
        <v>51</v>
      </c>
      <c r="G2667" t="s">
        <v>111</v>
      </c>
      <c r="H2667" t="s">
        <v>703</v>
      </c>
      <c r="I2667" t="s">
        <v>112</v>
      </c>
      <c r="J2667" t="s">
        <v>702</v>
      </c>
      <c r="K2667" t="s">
        <v>1555</v>
      </c>
      <c r="L2667" t="s">
        <v>1555</v>
      </c>
    </row>
    <row r="2668" spans="1:12" x14ac:dyDescent="0.3">
      <c r="A2668" t="s">
        <v>1778</v>
      </c>
      <c r="B2668" t="s">
        <v>1505</v>
      </c>
      <c r="C2668" t="s">
        <v>750</v>
      </c>
      <c r="D2668" t="s">
        <v>242</v>
      </c>
      <c r="E2668" t="s">
        <v>568</v>
      </c>
      <c r="F2668" t="s">
        <v>163</v>
      </c>
      <c r="G2668" t="s">
        <v>111</v>
      </c>
      <c r="H2668" t="s">
        <v>1549</v>
      </c>
      <c r="I2668" t="s">
        <v>112</v>
      </c>
      <c r="J2668" t="s">
        <v>1544</v>
      </c>
      <c r="K2668" t="s">
        <v>1541</v>
      </c>
      <c r="L2668" t="s">
        <v>1541</v>
      </c>
    </row>
    <row r="2669" spans="1:12" x14ac:dyDescent="0.3">
      <c r="A2669" t="s">
        <v>1778</v>
      </c>
      <c r="B2669" t="s">
        <v>1505</v>
      </c>
      <c r="C2669" t="s">
        <v>750</v>
      </c>
      <c r="D2669" t="s">
        <v>245</v>
      </c>
      <c r="E2669" t="s">
        <v>568</v>
      </c>
      <c r="F2669" t="s">
        <v>82</v>
      </c>
      <c r="G2669" t="s">
        <v>111</v>
      </c>
      <c r="H2669" t="s">
        <v>182</v>
      </c>
      <c r="I2669" t="s">
        <v>112</v>
      </c>
      <c r="J2669" t="s">
        <v>183</v>
      </c>
      <c r="K2669" t="s">
        <v>1535</v>
      </c>
      <c r="L2669" t="s">
        <v>1535</v>
      </c>
    </row>
    <row r="2670" spans="1:12" x14ac:dyDescent="0.3">
      <c r="A2670" t="s">
        <v>1778</v>
      </c>
      <c r="B2670" t="s">
        <v>1505</v>
      </c>
      <c r="C2670" t="s">
        <v>750</v>
      </c>
      <c r="D2670" t="s">
        <v>246</v>
      </c>
      <c r="E2670" t="s">
        <v>568</v>
      </c>
      <c r="F2670" t="s">
        <v>135</v>
      </c>
      <c r="G2670" t="s">
        <v>111</v>
      </c>
      <c r="H2670" t="s">
        <v>703</v>
      </c>
      <c r="I2670" t="s">
        <v>112</v>
      </c>
      <c r="J2670" t="s">
        <v>702</v>
      </c>
      <c r="K2670" t="s">
        <v>2932</v>
      </c>
      <c r="L2670" t="s">
        <v>2932</v>
      </c>
    </row>
    <row r="2671" spans="1:12" x14ac:dyDescent="0.3">
      <c r="A2671" t="s">
        <v>1778</v>
      </c>
      <c r="B2671" t="s">
        <v>1505</v>
      </c>
      <c r="C2671" t="s">
        <v>750</v>
      </c>
      <c r="D2671" t="s">
        <v>319</v>
      </c>
      <c r="E2671" t="s">
        <v>568</v>
      </c>
      <c r="F2671" t="s">
        <v>136</v>
      </c>
      <c r="G2671" t="s">
        <v>111</v>
      </c>
      <c r="H2671" t="s">
        <v>703</v>
      </c>
      <c r="I2671" t="s">
        <v>112</v>
      </c>
      <c r="J2671" t="s">
        <v>702</v>
      </c>
      <c r="K2671" t="s">
        <v>2825</v>
      </c>
      <c r="L2671" t="s">
        <v>2825</v>
      </c>
    </row>
    <row r="2672" spans="1:12" x14ac:dyDescent="0.3">
      <c r="A2672" t="s">
        <v>1778</v>
      </c>
      <c r="B2672" t="s">
        <v>1505</v>
      </c>
      <c r="C2672" t="s">
        <v>750</v>
      </c>
      <c r="D2672" t="s">
        <v>247</v>
      </c>
      <c r="E2672" t="s">
        <v>568</v>
      </c>
      <c r="F2672" t="s">
        <v>60</v>
      </c>
      <c r="G2672" t="s">
        <v>111</v>
      </c>
      <c r="H2672" t="s">
        <v>703</v>
      </c>
      <c r="I2672" t="s">
        <v>112</v>
      </c>
      <c r="J2672" t="s">
        <v>702</v>
      </c>
      <c r="K2672" t="s">
        <v>2933</v>
      </c>
      <c r="L2672" t="s">
        <v>2933</v>
      </c>
    </row>
    <row r="2673" spans="1:12" x14ac:dyDescent="0.3">
      <c r="A2673" t="s">
        <v>1778</v>
      </c>
      <c r="B2673" t="s">
        <v>1505</v>
      </c>
      <c r="C2673" t="s">
        <v>750</v>
      </c>
      <c r="D2673" t="s">
        <v>248</v>
      </c>
      <c r="E2673" t="s">
        <v>568</v>
      </c>
      <c r="F2673" t="s">
        <v>137</v>
      </c>
      <c r="G2673" t="s">
        <v>111</v>
      </c>
      <c r="H2673" t="s">
        <v>701</v>
      </c>
      <c r="I2673" t="s">
        <v>112</v>
      </c>
      <c r="J2673" t="s">
        <v>702</v>
      </c>
      <c r="K2673" t="s">
        <v>1559</v>
      </c>
      <c r="L2673" t="s">
        <v>1559</v>
      </c>
    </row>
    <row r="2674" spans="1:12" x14ac:dyDescent="0.3">
      <c r="A2674" t="s">
        <v>1778</v>
      </c>
      <c r="B2674" t="s">
        <v>1505</v>
      </c>
      <c r="C2674" t="s">
        <v>750</v>
      </c>
      <c r="D2674" t="s">
        <v>249</v>
      </c>
      <c r="E2674" t="s">
        <v>568</v>
      </c>
      <c r="F2674" t="s">
        <v>86</v>
      </c>
      <c r="G2674" t="s">
        <v>111</v>
      </c>
      <c r="H2674" t="s">
        <v>1543</v>
      </c>
      <c r="I2674" t="s">
        <v>112</v>
      </c>
      <c r="J2674" t="s">
        <v>1544</v>
      </c>
    </row>
    <row r="2675" spans="1:12" x14ac:dyDescent="0.3">
      <c r="A2675" t="s">
        <v>1778</v>
      </c>
      <c r="B2675" t="s">
        <v>1505</v>
      </c>
      <c r="C2675" t="s">
        <v>750</v>
      </c>
      <c r="D2675" t="s">
        <v>250</v>
      </c>
      <c r="E2675" t="s">
        <v>568</v>
      </c>
      <c r="F2675" t="s">
        <v>70</v>
      </c>
      <c r="G2675" t="s">
        <v>111</v>
      </c>
      <c r="H2675" t="s">
        <v>703</v>
      </c>
      <c r="I2675" t="s">
        <v>112</v>
      </c>
      <c r="J2675" t="s">
        <v>702</v>
      </c>
      <c r="K2675" t="s">
        <v>2811</v>
      </c>
      <c r="L2675" t="s">
        <v>2811</v>
      </c>
    </row>
    <row r="2676" spans="1:12" x14ac:dyDescent="0.3">
      <c r="A2676" t="s">
        <v>1778</v>
      </c>
      <c r="B2676" t="s">
        <v>1505</v>
      </c>
      <c r="C2676" t="s">
        <v>750</v>
      </c>
      <c r="D2676" t="s">
        <v>251</v>
      </c>
      <c r="E2676" t="s">
        <v>568</v>
      </c>
      <c r="F2676" t="s">
        <v>48</v>
      </c>
      <c r="G2676" t="s">
        <v>111</v>
      </c>
      <c r="H2676" t="s">
        <v>703</v>
      </c>
      <c r="I2676" t="s">
        <v>112</v>
      </c>
      <c r="J2676" t="s">
        <v>702</v>
      </c>
      <c r="K2676" t="s">
        <v>1563</v>
      </c>
      <c r="L2676" t="s">
        <v>1563</v>
      </c>
    </row>
    <row r="2677" spans="1:12" x14ac:dyDescent="0.3">
      <c r="A2677" t="s">
        <v>1778</v>
      </c>
      <c r="B2677" t="s">
        <v>1505</v>
      </c>
      <c r="C2677" t="s">
        <v>750</v>
      </c>
      <c r="D2677" t="s">
        <v>253</v>
      </c>
      <c r="E2677" t="s">
        <v>568</v>
      </c>
      <c r="F2677" t="s">
        <v>95</v>
      </c>
      <c r="G2677" t="s">
        <v>111</v>
      </c>
      <c r="H2677" t="s">
        <v>703</v>
      </c>
      <c r="I2677" t="s">
        <v>112</v>
      </c>
      <c r="J2677" t="s">
        <v>702</v>
      </c>
      <c r="K2677" t="s">
        <v>2928</v>
      </c>
      <c r="L2677" t="s">
        <v>2928</v>
      </c>
    </row>
    <row r="2678" spans="1:12" x14ac:dyDescent="0.3">
      <c r="A2678" t="s">
        <v>1778</v>
      </c>
      <c r="B2678" t="s">
        <v>1505</v>
      </c>
      <c r="C2678" t="s">
        <v>750</v>
      </c>
      <c r="D2678" t="s">
        <v>254</v>
      </c>
      <c r="E2678" t="s">
        <v>568</v>
      </c>
      <c r="F2678" t="s">
        <v>139</v>
      </c>
      <c r="G2678" t="s">
        <v>111</v>
      </c>
      <c r="H2678" t="s">
        <v>1561</v>
      </c>
      <c r="I2678" t="s">
        <v>112</v>
      </c>
      <c r="J2678" t="s">
        <v>702</v>
      </c>
      <c r="K2678" t="s">
        <v>2812</v>
      </c>
      <c r="L2678" t="s">
        <v>2812</v>
      </c>
    </row>
    <row r="2679" spans="1:12" x14ac:dyDescent="0.3">
      <c r="A2679" t="s">
        <v>1778</v>
      </c>
      <c r="B2679" t="s">
        <v>1505</v>
      </c>
      <c r="C2679" t="s">
        <v>750</v>
      </c>
      <c r="D2679" t="s">
        <v>255</v>
      </c>
      <c r="E2679" t="s">
        <v>568</v>
      </c>
      <c r="F2679" t="s">
        <v>171</v>
      </c>
      <c r="G2679" t="s">
        <v>111</v>
      </c>
      <c r="H2679" t="s">
        <v>1553</v>
      </c>
      <c r="I2679" t="s">
        <v>112</v>
      </c>
      <c r="J2679" t="s">
        <v>1554</v>
      </c>
      <c r="K2679" t="s">
        <v>1555</v>
      </c>
      <c r="L2679" t="s">
        <v>1555</v>
      </c>
    </row>
    <row r="2680" spans="1:12" x14ac:dyDescent="0.3">
      <c r="A2680" t="s">
        <v>1778</v>
      </c>
      <c r="B2680" t="s">
        <v>1505</v>
      </c>
      <c r="C2680" t="s">
        <v>750</v>
      </c>
      <c r="D2680" t="s">
        <v>207</v>
      </c>
      <c r="E2680" t="s">
        <v>568</v>
      </c>
      <c r="F2680" t="s">
        <v>62</v>
      </c>
      <c r="G2680" t="s">
        <v>111</v>
      </c>
      <c r="H2680" t="s">
        <v>1553</v>
      </c>
      <c r="I2680" t="s">
        <v>112</v>
      </c>
      <c r="J2680" t="s">
        <v>1554</v>
      </c>
      <c r="K2680" t="s">
        <v>1555</v>
      </c>
      <c r="L2680" t="s">
        <v>1555</v>
      </c>
    </row>
    <row r="2681" spans="1:12" x14ac:dyDescent="0.3">
      <c r="A2681" t="s">
        <v>1778</v>
      </c>
      <c r="B2681" t="s">
        <v>1505</v>
      </c>
      <c r="C2681" t="s">
        <v>750</v>
      </c>
      <c r="D2681" t="s">
        <v>322</v>
      </c>
      <c r="E2681" t="s">
        <v>568</v>
      </c>
      <c r="F2681" t="s">
        <v>173</v>
      </c>
      <c r="G2681" t="s">
        <v>111</v>
      </c>
      <c r="H2681" t="s">
        <v>703</v>
      </c>
      <c r="I2681" t="s">
        <v>112</v>
      </c>
      <c r="J2681" t="s">
        <v>702</v>
      </c>
      <c r="K2681" t="s">
        <v>1572</v>
      </c>
      <c r="L2681" t="s">
        <v>1572</v>
      </c>
    </row>
    <row r="2682" spans="1:12" x14ac:dyDescent="0.3">
      <c r="A2682" t="s">
        <v>1778</v>
      </c>
      <c r="B2682" t="s">
        <v>1505</v>
      </c>
      <c r="C2682" t="s">
        <v>750</v>
      </c>
      <c r="D2682" t="s">
        <v>258</v>
      </c>
      <c r="E2682" t="s">
        <v>568</v>
      </c>
      <c r="F2682" t="s">
        <v>88</v>
      </c>
      <c r="G2682" t="s">
        <v>111</v>
      </c>
      <c r="H2682" t="s">
        <v>1549</v>
      </c>
      <c r="I2682" t="s">
        <v>112</v>
      </c>
      <c r="J2682" t="s">
        <v>1544</v>
      </c>
      <c r="K2682" t="s">
        <v>1559</v>
      </c>
      <c r="L2682" t="s">
        <v>1559</v>
      </c>
    </row>
    <row r="2683" spans="1:12" x14ac:dyDescent="0.3">
      <c r="A2683" t="s">
        <v>1778</v>
      </c>
      <c r="B2683" t="s">
        <v>1505</v>
      </c>
      <c r="C2683" t="s">
        <v>750</v>
      </c>
      <c r="D2683" t="s">
        <v>259</v>
      </c>
      <c r="E2683" t="s">
        <v>568</v>
      </c>
      <c r="F2683" t="s">
        <v>77</v>
      </c>
      <c r="G2683" t="s">
        <v>111</v>
      </c>
      <c r="H2683" t="s">
        <v>1549</v>
      </c>
      <c r="I2683" t="s">
        <v>112</v>
      </c>
      <c r="J2683" t="s">
        <v>1544</v>
      </c>
      <c r="K2683" t="s">
        <v>1541</v>
      </c>
      <c r="L2683" t="s">
        <v>1541</v>
      </c>
    </row>
    <row r="2684" spans="1:12" x14ac:dyDescent="0.3">
      <c r="A2684" t="s">
        <v>1778</v>
      </c>
      <c r="B2684" t="s">
        <v>1505</v>
      </c>
      <c r="C2684" t="s">
        <v>750</v>
      </c>
      <c r="D2684" t="s">
        <v>323</v>
      </c>
      <c r="E2684" t="s">
        <v>568</v>
      </c>
      <c r="F2684" t="s">
        <v>74</v>
      </c>
      <c r="G2684" t="s">
        <v>111</v>
      </c>
      <c r="H2684" t="s">
        <v>1539</v>
      </c>
      <c r="I2684" t="s">
        <v>112</v>
      </c>
      <c r="J2684" t="s">
        <v>704</v>
      </c>
    </row>
    <row r="2685" spans="1:12" x14ac:dyDescent="0.3">
      <c r="A2685" t="s">
        <v>1778</v>
      </c>
      <c r="B2685" t="s">
        <v>1505</v>
      </c>
      <c r="C2685" t="s">
        <v>750</v>
      </c>
      <c r="D2685" t="s">
        <v>324</v>
      </c>
      <c r="E2685" t="s">
        <v>568</v>
      </c>
      <c r="F2685" t="s">
        <v>102</v>
      </c>
      <c r="G2685" t="s">
        <v>111</v>
      </c>
      <c r="H2685" t="s">
        <v>703</v>
      </c>
      <c r="I2685" t="s">
        <v>112</v>
      </c>
      <c r="J2685" t="s">
        <v>702</v>
      </c>
      <c r="K2685" t="s">
        <v>1563</v>
      </c>
      <c r="L2685" t="s">
        <v>1563</v>
      </c>
    </row>
    <row r="2686" spans="1:12" x14ac:dyDescent="0.3">
      <c r="A2686" t="s">
        <v>1778</v>
      </c>
      <c r="B2686" t="s">
        <v>1505</v>
      </c>
      <c r="C2686" t="s">
        <v>750</v>
      </c>
      <c r="D2686" t="s">
        <v>260</v>
      </c>
      <c r="E2686" t="s">
        <v>568</v>
      </c>
      <c r="F2686" t="s">
        <v>140</v>
      </c>
      <c r="G2686" t="s">
        <v>111</v>
      </c>
      <c r="H2686" t="s">
        <v>703</v>
      </c>
      <c r="I2686" t="s">
        <v>112</v>
      </c>
      <c r="J2686" t="s">
        <v>702</v>
      </c>
      <c r="K2686" t="s">
        <v>1560</v>
      </c>
      <c r="L2686" t="s">
        <v>1560</v>
      </c>
    </row>
    <row r="2687" spans="1:12" x14ac:dyDescent="0.3">
      <c r="A2687" t="s">
        <v>1778</v>
      </c>
      <c r="B2687" t="s">
        <v>1505</v>
      </c>
      <c r="C2687" t="s">
        <v>750</v>
      </c>
      <c r="D2687" t="s">
        <v>261</v>
      </c>
      <c r="E2687" t="s">
        <v>568</v>
      </c>
      <c r="F2687" t="s">
        <v>175</v>
      </c>
      <c r="G2687" t="s">
        <v>111</v>
      </c>
      <c r="H2687" t="s">
        <v>1561</v>
      </c>
      <c r="I2687" t="s">
        <v>112</v>
      </c>
      <c r="J2687" t="s">
        <v>702</v>
      </c>
      <c r="K2687" t="s">
        <v>2934</v>
      </c>
      <c r="L2687" t="s">
        <v>2934</v>
      </c>
    </row>
    <row r="2688" spans="1:12" x14ac:dyDescent="0.3">
      <c r="A2688" t="s">
        <v>1778</v>
      </c>
      <c r="B2688" t="s">
        <v>1505</v>
      </c>
      <c r="C2688" t="s">
        <v>750</v>
      </c>
      <c r="D2688" t="s">
        <v>262</v>
      </c>
      <c r="E2688" t="s">
        <v>568</v>
      </c>
      <c r="F2688" t="s">
        <v>202</v>
      </c>
      <c r="G2688" t="s">
        <v>111</v>
      </c>
      <c r="H2688" t="s">
        <v>703</v>
      </c>
      <c r="I2688" t="s">
        <v>112</v>
      </c>
      <c r="J2688" t="s">
        <v>702</v>
      </c>
      <c r="K2688" t="s">
        <v>1563</v>
      </c>
      <c r="L2688" t="s">
        <v>1563</v>
      </c>
    </row>
    <row r="2689" spans="1:12" x14ac:dyDescent="0.3">
      <c r="A2689" t="s">
        <v>1778</v>
      </c>
      <c r="B2689" t="s">
        <v>1505</v>
      </c>
      <c r="C2689" t="s">
        <v>750</v>
      </c>
      <c r="D2689" t="s">
        <v>263</v>
      </c>
      <c r="E2689" t="s">
        <v>568</v>
      </c>
      <c r="F2689" t="s">
        <v>141</v>
      </c>
      <c r="G2689" t="s">
        <v>111</v>
      </c>
      <c r="H2689" t="s">
        <v>182</v>
      </c>
      <c r="I2689" t="s">
        <v>112</v>
      </c>
      <c r="J2689" t="s">
        <v>183</v>
      </c>
      <c r="K2689" t="s">
        <v>1535</v>
      </c>
      <c r="L2689" t="s">
        <v>1535</v>
      </c>
    </row>
    <row r="2690" spans="1:12" x14ac:dyDescent="0.3">
      <c r="A2690" t="s">
        <v>1778</v>
      </c>
      <c r="B2690" t="s">
        <v>1505</v>
      </c>
      <c r="C2690" t="s">
        <v>750</v>
      </c>
      <c r="D2690" t="s">
        <v>266</v>
      </c>
      <c r="E2690" t="s">
        <v>568</v>
      </c>
      <c r="F2690" t="s">
        <v>75</v>
      </c>
      <c r="G2690" t="s">
        <v>111</v>
      </c>
      <c r="H2690" t="s">
        <v>703</v>
      </c>
      <c r="I2690" t="s">
        <v>112</v>
      </c>
      <c r="J2690" t="s">
        <v>702</v>
      </c>
      <c r="K2690" t="s">
        <v>1572</v>
      </c>
      <c r="L2690" t="s">
        <v>1572</v>
      </c>
    </row>
    <row r="2691" spans="1:12" x14ac:dyDescent="0.3">
      <c r="A2691" t="s">
        <v>1778</v>
      </c>
      <c r="B2691" t="s">
        <v>1505</v>
      </c>
      <c r="C2691" t="s">
        <v>750</v>
      </c>
      <c r="D2691" t="s">
        <v>267</v>
      </c>
      <c r="E2691" t="s">
        <v>568</v>
      </c>
      <c r="F2691" t="s">
        <v>143</v>
      </c>
      <c r="G2691" t="s">
        <v>111</v>
      </c>
      <c r="H2691" t="s">
        <v>703</v>
      </c>
      <c r="I2691" t="s">
        <v>112</v>
      </c>
      <c r="J2691" t="s">
        <v>702</v>
      </c>
      <c r="K2691" t="s">
        <v>2935</v>
      </c>
      <c r="L2691" t="s">
        <v>2935</v>
      </c>
    </row>
    <row r="2692" spans="1:12" x14ac:dyDescent="0.3">
      <c r="A2692" t="s">
        <v>1778</v>
      </c>
      <c r="B2692" t="s">
        <v>1505</v>
      </c>
      <c r="C2692" t="s">
        <v>750</v>
      </c>
      <c r="D2692" t="s">
        <v>326</v>
      </c>
      <c r="E2692" t="s">
        <v>568</v>
      </c>
      <c r="F2692" t="s">
        <v>144</v>
      </c>
      <c r="G2692" t="s">
        <v>111</v>
      </c>
      <c r="H2692" t="s">
        <v>703</v>
      </c>
      <c r="I2692" t="s">
        <v>112</v>
      </c>
      <c r="J2692" t="s">
        <v>702</v>
      </c>
      <c r="K2692" t="s">
        <v>1548</v>
      </c>
      <c r="L2692" t="s">
        <v>1548</v>
      </c>
    </row>
    <row r="2693" spans="1:12" x14ac:dyDescent="0.3">
      <c r="A2693" t="s">
        <v>1778</v>
      </c>
      <c r="B2693" t="s">
        <v>1505</v>
      </c>
      <c r="C2693" t="s">
        <v>750</v>
      </c>
      <c r="D2693" t="s">
        <v>269</v>
      </c>
      <c r="E2693" t="s">
        <v>568</v>
      </c>
      <c r="F2693" t="s">
        <v>145</v>
      </c>
      <c r="G2693" t="s">
        <v>111</v>
      </c>
      <c r="H2693" t="s">
        <v>703</v>
      </c>
      <c r="I2693" t="s">
        <v>112</v>
      </c>
      <c r="J2693" t="s">
        <v>702</v>
      </c>
      <c r="K2693" t="s">
        <v>1548</v>
      </c>
      <c r="L2693" t="s">
        <v>1548</v>
      </c>
    </row>
    <row r="2694" spans="1:12" x14ac:dyDescent="0.3">
      <c r="A2694" t="s">
        <v>1778</v>
      </c>
      <c r="B2694" t="s">
        <v>1505</v>
      </c>
      <c r="C2694" t="s">
        <v>750</v>
      </c>
      <c r="D2694" t="s">
        <v>271</v>
      </c>
      <c r="E2694" t="s">
        <v>567</v>
      </c>
      <c r="F2694" t="s">
        <v>76</v>
      </c>
      <c r="G2694" t="s">
        <v>111</v>
      </c>
      <c r="H2694" t="s">
        <v>1549</v>
      </c>
      <c r="I2694" t="s">
        <v>112</v>
      </c>
      <c r="J2694" t="s">
        <v>1544</v>
      </c>
      <c r="K2694" t="s">
        <v>1559</v>
      </c>
      <c r="L2694" t="s">
        <v>1559</v>
      </c>
    </row>
    <row r="2695" spans="1:12" x14ac:dyDescent="0.3">
      <c r="A2695" t="s">
        <v>1778</v>
      </c>
      <c r="B2695" t="s">
        <v>1505</v>
      </c>
      <c r="C2695" t="s">
        <v>750</v>
      </c>
      <c r="D2695" t="s">
        <v>272</v>
      </c>
      <c r="E2695" t="s">
        <v>567</v>
      </c>
      <c r="F2695" t="s">
        <v>52</v>
      </c>
      <c r="G2695" t="s">
        <v>111</v>
      </c>
      <c r="H2695" t="s">
        <v>1549</v>
      </c>
      <c r="I2695" t="s">
        <v>112</v>
      </c>
      <c r="J2695" t="s">
        <v>1544</v>
      </c>
      <c r="K2695" t="s">
        <v>2936</v>
      </c>
      <c r="L2695" t="s">
        <v>2936</v>
      </c>
    </row>
    <row r="2696" spans="1:12" x14ac:dyDescent="0.3">
      <c r="A2696" t="s">
        <v>1778</v>
      </c>
      <c r="B2696" t="s">
        <v>1505</v>
      </c>
      <c r="C2696" t="s">
        <v>750</v>
      </c>
      <c r="D2696" t="s">
        <v>327</v>
      </c>
      <c r="E2696" t="s">
        <v>567</v>
      </c>
      <c r="F2696" t="s">
        <v>104</v>
      </c>
      <c r="G2696" t="s">
        <v>111</v>
      </c>
      <c r="H2696" t="s">
        <v>703</v>
      </c>
      <c r="I2696" t="s">
        <v>112</v>
      </c>
      <c r="J2696" t="s">
        <v>702</v>
      </c>
      <c r="K2696" t="s">
        <v>2932</v>
      </c>
      <c r="L2696" t="s">
        <v>2932</v>
      </c>
    </row>
    <row r="2697" spans="1:12" x14ac:dyDescent="0.3">
      <c r="A2697" t="s">
        <v>1778</v>
      </c>
      <c r="B2697" t="s">
        <v>1505</v>
      </c>
      <c r="C2697" t="s">
        <v>750</v>
      </c>
      <c r="D2697" t="s">
        <v>274</v>
      </c>
      <c r="E2697" t="s">
        <v>567</v>
      </c>
      <c r="F2697" t="s">
        <v>146</v>
      </c>
      <c r="G2697" t="s">
        <v>111</v>
      </c>
      <c r="H2697" t="s">
        <v>703</v>
      </c>
      <c r="I2697" t="s">
        <v>112</v>
      </c>
      <c r="J2697" t="s">
        <v>702</v>
      </c>
      <c r="K2697" t="s">
        <v>2937</v>
      </c>
      <c r="L2697" t="s">
        <v>2937</v>
      </c>
    </row>
    <row r="2698" spans="1:12" x14ac:dyDescent="0.3">
      <c r="A2698" t="s">
        <v>1778</v>
      </c>
      <c r="B2698" t="s">
        <v>1505</v>
      </c>
      <c r="C2698" t="s">
        <v>750</v>
      </c>
      <c r="D2698" t="s">
        <v>275</v>
      </c>
      <c r="E2698" t="s">
        <v>567</v>
      </c>
      <c r="F2698" t="s">
        <v>148</v>
      </c>
      <c r="G2698" t="s">
        <v>111</v>
      </c>
      <c r="H2698" t="s">
        <v>703</v>
      </c>
      <c r="I2698" t="s">
        <v>112</v>
      </c>
      <c r="J2698" t="s">
        <v>702</v>
      </c>
      <c r="K2698" t="s">
        <v>2938</v>
      </c>
      <c r="L2698" t="s">
        <v>2938</v>
      </c>
    </row>
    <row r="2699" spans="1:12" x14ac:dyDescent="0.3">
      <c r="A2699" t="s">
        <v>1778</v>
      </c>
      <c r="B2699" t="s">
        <v>1505</v>
      </c>
      <c r="C2699" t="s">
        <v>750</v>
      </c>
      <c r="D2699" t="s">
        <v>276</v>
      </c>
      <c r="E2699" t="s">
        <v>567</v>
      </c>
      <c r="F2699" t="s">
        <v>149</v>
      </c>
      <c r="G2699" t="s">
        <v>111</v>
      </c>
      <c r="H2699" t="s">
        <v>703</v>
      </c>
      <c r="I2699" t="s">
        <v>112</v>
      </c>
      <c r="J2699" t="s">
        <v>702</v>
      </c>
      <c r="K2699" t="s">
        <v>2932</v>
      </c>
      <c r="L2699" t="s">
        <v>2932</v>
      </c>
    </row>
    <row r="2700" spans="1:12" x14ac:dyDescent="0.3">
      <c r="A2700" t="s">
        <v>1778</v>
      </c>
      <c r="B2700" t="s">
        <v>1505</v>
      </c>
      <c r="C2700" t="s">
        <v>750</v>
      </c>
      <c r="D2700" t="s">
        <v>278</v>
      </c>
      <c r="E2700" t="s">
        <v>567</v>
      </c>
      <c r="F2700" t="s">
        <v>203</v>
      </c>
      <c r="G2700" t="s">
        <v>111</v>
      </c>
      <c r="H2700" t="s">
        <v>703</v>
      </c>
      <c r="I2700" t="s">
        <v>112</v>
      </c>
      <c r="J2700" t="s">
        <v>702</v>
      </c>
      <c r="K2700" t="s">
        <v>1542</v>
      </c>
      <c r="L2700" t="s">
        <v>1542</v>
      </c>
    </row>
    <row r="2701" spans="1:12" x14ac:dyDescent="0.3">
      <c r="A2701" t="s">
        <v>1778</v>
      </c>
      <c r="B2701" t="s">
        <v>1505</v>
      </c>
      <c r="C2701" t="s">
        <v>750</v>
      </c>
      <c r="D2701" t="s">
        <v>280</v>
      </c>
      <c r="E2701" t="s">
        <v>567</v>
      </c>
      <c r="F2701" t="s">
        <v>71</v>
      </c>
      <c r="G2701" t="s">
        <v>111</v>
      </c>
      <c r="H2701" t="s">
        <v>703</v>
      </c>
      <c r="I2701" t="s">
        <v>112</v>
      </c>
      <c r="J2701" t="s">
        <v>702</v>
      </c>
      <c r="K2701" t="s">
        <v>1563</v>
      </c>
      <c r="L2701" t="s">
        <v>1563</v>
      </c>
    </row>
    <row r="2702" spans="1:12" x14ac:dyDescent="0.3">
      <c r="A2702" t="s">
        <v>1778</v>
      </c>
      <c r="B2702" t="s">
        <v>1505</v>
      </c>
      <c r="C2702" t="s">
        <v>750</v>
      </c>
      <c r="D2702" t="s">
        <v>282</v>
      </c>
      <c r="E2702" t="s">
        <v>567</v>
      </c>
      <c r="F2702" t="s">
        <v>90</v>
      </c>
      <c r="G2702" t="s">
        <v>111</v>
      </c>
      <c r="H2702" t="s">
        <v>1539</v>
      </c>
      <c r="I2702" t="s">
        <v>112</v>
      </c>
      <c r="J2702" t="s">
        <v>704</v>
      </c>
    </row>
    <row r="2703" spans="1:12" x14ac:dyDescent="0.3">
      <c r="A2703" t="s">
        <v>1778</v>
      </c>
      <c r="B2703" t="s">
        <v>1505</v>
      </c>
      <c r="C2703" t="s">
        <v>750</v>
      </c>
      <c r="D2703" t="s">
        <v>329</v>
      </c>
      <c r="E2703" t="s">
        <v>567</v>
      </c>
      <c r="F2703" t="s">
        <v>92</v>
      </c>
      <c r="G2703" t="s">
        <v>111</v>
      </c>
      <c r="H2703" t="s">
        <v>703</v>
      </c>
      <c r="I2703" t="s">
        <v>112</v>
      </c>
      <c r="J2703" t="s">
        <v>702</v>
      </c>
      <c r="K2703" t="s">
        <v>2928</v>
      </c>
      <c r="L2703" t="s">
        <v>2928</v>
      </c>
    </row>
    <row r="2704" spans="1:12" x14ac:dyDescent="0.3">
      <c r="A2704" t="s">
        <v>1778</v>
      </c>
      <c r="B2704" t="s">
        <v>1505</v>
      </c>
      <c r="C2704" t="s">
        <v>750</v>
      </c>
      <c r="D2704" t="s">
        <v>283</v>
      </c>
      <c r="E2704" t="s">
        <v>567</v>
      </c>
      <c r="F2704" t="s">
        <v>63</v>
      </c>
      <c r="G2704" t="s">
        <v>111</v>
      </c>
      <c r="H2704" t="s">
        <v>703</v>
      </c>
      <c r="I2704" t="s">
        <v>112</v>
      </c>
      <c r="J2704" t="s">
        <v>702</v>
      </c>
      <c r="K2704" t="s">
        <v>1574</v>
      </c>
      <c r="L2704" t="s">
        <v>1574</v>
      </c>
    </row>
    <row r="2705" spans="1:12" x14ac:dyDescent="0.3">
      <c r="A2705" t="s">
        <v>1778</v>
      </c>
      <c r="B2705" t="s">
        <v>1505</v>
      </c>
      <c r="C2705" t="s">
        <v>750</v>
      </c>
      <c r="D2705" t="s">
        <v>284</v>
      </c>
      <c r="E2705" t="s">
        <v>567</v>
      </c>
      <c r="F2705" t="s">
        <v>151</v>
      </c>
      <c r="G2705" t="s">
        <v>111</v>
      </c>
      <c r="H2705" t="s">
        <v>1561</v>
      </c>
      <c r="I2705" t="s">
        <v>112</v>
      </c>
      <c r="J2705" t="s">
        <v>702</v>
      </c>
    </row>
    <row r="2706" spans="1:12" x14ac:dyDescent="0.3">
      <c r="A2706" t="s">
        <v>1778</v>
      </c>
      <c r="B2706" t="s">
        <v>1505</v>
      </c>
      <c r="C2706" t="s">
        <v>750</v>
      </c>
      <c r="D2706" t="s">
        <v>285</v>
      </c>
      <c r="E2706" t="s">
        <v>567</v>
      </c>
      <c r="F2706" t="s">
        <v>195</v>
      </c>
      <c r="G2706" t="s">
        <v>111</v>
      </c>
      <c r="H2706" t="s">
        <v>703</v>
      </c>
      <c r="I2706" t="s">
        <v>112</v>
      </c>
      <c r="J2706" t="s">
        <v>702</v>
      </c>
      <c r="K2706" t="s">
        <v>2928</v>
      </c>
      <c r="L2706" t="s">
        <v>2928</v>
      </c>
    </row>
    <row r="2707" spans="1:12" x14ac:dyDescent="0.3">
      <c r="A2707" t="s">
        <v>1778</v>
      </c>
      <c r="B2707" t="s">
        <v>1505</v>
      </c>
      <c r="C2707" t="s">
        <v>750</v>
      </c>
      <c r="D2707" t="s">
        <v>330</v>
      </c>
      <c r="E2707" t="s">
        <v>567</v>
      </c>
      <c r="F2707" t="s">
        <v>177</v>
      </c>
      <c r="G2707" t="s">
        <v>111</v>
      </c>
      <c r="H2707" t="s">
        <v>1553</v>
      </c>
      <c r="I2707" t="s">
        <v>112</v>
      </c>
      <c r="J2707" t="s">
        <v>1554</v>
      </c>
      <c r="K2707" t="s">
        <v>1551</v>
      </c>
      <c r="L2707" t="s">
        <v>1551</v>
      </c>
    </row>
    <row r="2708" spans="1:12" x14ac:dyDescent="0.3">
      <c r="A2708" t="s">
        <v>1778</v>
      </c>
      <c r="B2708" t="s">
        <v>1505</v>
      </c>
      <c r="C2708" t="s">
        <v>750</v>
      </c>
      <c r="D2708" t="s">
        <v>332</v>
      </c>
      <c r="E2708" t="s">
        <v>567</v>
      </c>
      <c r="F2708" t="s">
        <v>152</v>
      </c>
      <c r="G2708" t="s">
        <v>111</v>
      </c>
      <c r="H2708" t="s">
        <v>1553</v>
      </c>
      <c r="I2708" t="s">
        <v>112</v>
      </c>
      <c r="J2708" t="s">
        <v>1554</v>
      </c>
      <c r="K2708" t="s">
        <v>2809</v>
      </c>
      <c r="L2708" t="s">
        <v>2809</v>
      </c>
    </row>
    <row r="2709" spans="1:12" x14ac:dyDescent="0.3">
      <c r="A2709" t="s">
        <v>1778</v>
      </c>
      <c r="B2709" t="s">
        <v>1505</v>
      </c>
      <c r="C2709" t="s">
        <v>750</v>
      </c>
      <c r="D2709" t="s">
        <v>286</v>
      </c>
      <c r="E2709" t="s">
        <v>567</v>
      </c>
      <c r="F2709" t="s">
        <v>67</v>
      </c>
      <c r="G2709" t="s">
        <v>111</v>
      </c>
      <c r="H2709" t="s">
        <v>1543</v>
      </c>
      <c r="I2709" t="s">
        <v>112</v>
      </c>
      <c r="J2709" t="s">
        <v>1544</v>
      </c>
      <c r="K2709" t="s">
        <v>2939</v>
      </c>
      <c r="L2709" t="s">
        <v>2939</v>
      </c>
    </row>
    <row r="2710" spans="1:12" x14ac:dyDescent="0.3">
      <c r="A2710" t="s">
        <v>1778</v>
      </c>
      <c r="B2710" t="s">
        <v>1505</v>
      </c>
      <c r="C2710" t="s">
        <v>750</v>
      </c>
      <c r="D2710" t="s">
        <v>287</v>
      </c>
      <c r="E2710" t="s">
        <v>567</v>
      </c>
      <c r="F2710" t="s">
        <v>196</v>
      </c>
      <c r="G2710" t="s">
        <v>111</v>
      </c>
      <c r="H2710" t="s">
        <v>703</v>
      </c>
      <c r="I2710" t="s">
        <v>112</v>
      </c>
      <c r="J2710" t="s">
        <v>702</v>
      </c>
      <c r="K2710" t="s">
        <v>2940</v>
      </c>
      <c r="L2710" t="s">
        <v>2940</v>
      </c>
    </row>
    <row r="2711" spans="1:12" x14ac:dyDescent="0.3">
      <c r="A2711" t="s">
        <v>1778</v>
      </c>
      <c r="B2711" t="s">
        <v>1505</v>
      </c>
      <c r="C2711" t="s">
        <v>750</v>
      </c>
      <c r="D2711" t="s">
        <v>288</v>
      </c>
      <c r="E2711" t="s">
        <v>567</v>
      </c>
      <c r="F2711" t="s">
        <v>178</v>
      </c>
      <c r="G2711" t="s">
        <v>111</v>
      </c>
      <c r="H2711" t="s">
        <v>1561</v>
      </c>
      <c r="I2711" t="s">
        <v>112</v>
      </c>
      <c r="J2711" t="s">
        <v>702</v>
      </c>
    </row>
    <row r="2712" spans="1:12" x14ac:dyDescent="0.3">
      <c r="A2712" t="s">
        <v>1778</v>
      </c>
      <c r="B2712" t="s">
        <v>1505</v>
      </c>
      <c r="C2712" t="s">
        <v>750</v>
      </c>
      <c r="D2712" t="s">
        <v>289</v>
      </c>
      <c r="E2712" t="s">
        <v>567</v>
      </c>
      <c r="F2712" t="s">
        <v>179</v>
      </c>
      <c r="G2712" t="s">
        <v>111</v>
      </c>
      <c r="H2712" t="s">
        <v>703</v>
      </c>
      <c r="I2712" t="s">
        <v>112</v>
      </c>
      <c r="J2712" t="s">
        <v>702</v>
      </c>
      <c r="K2712" t="s">
        <v>1548</v>
      </c>
      <c r="L2712" t="s">
        <v>1548</v>
      </c>
    </row>
    <row r="2713" spans="1:12" x14ac:dyDescent="0.3">
      <c r="A2713" t="s">
        <v>1778</v>
      </c>
      <c r="B2713" t="s">
        <v>1505</v>
      </c>
      <c r="C2713" t="s">
        <v>750</v>
      </c>
      <c r="D2713" t="s">
        <v>290</v>
      </c>
      <c r="E2713" t="s">
        <v>567</v>
      </c>
      <c r="F2713" t="s">
        <v>153</v>
      </c>
      <c r="G2713" t="s">
        <v>111</v>
      </c>
      <c r="H2713" t="s">
        <v>1561</v>
      </c>
      <c r="I2713" t="s">
        <v>112</v>
      </c>
      <c r="J2713" t="s">
        <v>702</v>
      </c>
      <c r="K2713" t="s">
        <v>1610</v>
      </c>
      <c r="L2713" t="s">
        <v>1610</v>
      </c>
    </row>
    <row r="2714" spans="1:12" x14ac:dyDescent="0.3">
      <c r="A2714" t="s">
        <v>1778</v>
      </c>
      <c r="B2714" t="s">
        <v>1505</v>
      </c>
      <c r="C2714" t="s">
        <v>750</v>
      </c>
      <c r="D2714" t="s">
        <v>291</v>
      </c>
      <c r="E2714" t="s">
        <v>567</v>
      </c>
      <c r="F2714" t="s">
        <v>154</v>
      </c>
      <c r="G2714" t="s">
        <v>111</v>
      </c>
      <c r="H2714" t="s">
        <v>1549</v>
      </c>
      <c r="I2714" t="s">
        <v>112</v>
      </c>
      <c r="J2714" t="s">
        <v>1544</v>
      </c>
      <c r="K2714" t="s">
        <v>1541</v>
      </c>
      <c r="L2714" t="s">
        <v>1541</v>
      </c>
    </row>
    <row r="2715" spans="1:12" x14ac:dyDescent="0.3">
      <c r="A2715" t="s">
        <v>1778</v>
      </c>
      <c r="B2715" t="s">
        <v>1505</v>
      </c>
      <c r="C2715" t="s">
        <v>750</v>
      </c>
      <c r="D2715" t="s">
        <v>292</v>
      </c>
      <c r="E2715" t="s">
        <v>567</v>
      </c>
      <c r="F2715" t="s">
        <v>55</v>
      </c>
      <c r="G2715" t="s">
        <v>111</v>
      </c>
      <c r="H2715" t="s">
        <v>1561</v>
      </c>
      <c r="I2715" t="s">
        <v>112</v>
      </c>
      <c r="J2715" t="s">
        <v>702</v>
      </c>
      <c r="K2715" t="s">
        <v>1603</v>
      </c>
      <c r="L2715" t="s">
        <v>1603</v>
      </c>
    </row>
    <row r="2716" spans="1:12" x14ac:dyDescent="0.3">
      <c r="A2716" t="s">
        <v>1778</v>
      </c>
      <c r="B2716" t="s">
        <v>1505</v>
      </c>
      <c r="C2716" t="s">
        <v>750</v>
      </c>
      <c r="D2716" t="s">
        <v>333</v>
      </c>
      <c r="E2716" t="s">
        <v>567</v>
      </c>
      <c r="F2716" t="s">
        <v>197</v>
      </c>
      <c r="G2716" t="s">
        <v>111</v>
      </c>
      <c r="H2716" t="s">
        <v>1539</v>
      </c>
      <c r="I2716" t="s">
        <v>112</v>
      </c>
      <c r="J2716" t="s">
        <v>704</v>
      </c>
      <c r="K2716" t="s">
        <v>1568</v>
      </c>
      <c r="L2716" t="s">
        <v>1568</v>
      </c>
    </row>
    <row r="2717" spans="1:12" x14ac:dyDescent="0.3">
      <c r="A2717" t="s">
        <v>1778</v>
      </c>
      <c r="B2717" t="s">
        <v>1505</v>
      </c>
      <c r="C2717" t="s">
        <v>750</v>
      </c>
      <c r="D2717" t="s">
        <v>293</v>
      </c>
      <c r="E2717" t="s">
        <v>567</v>
      </c>
      <c r="F2717" t="s">
        <v>72</v>
      </c>
      <c r="G2717" t="s">
        <v>111</v>
      </c>
      <c r="H2717" t="s">
        <v>1553</v>
      </c>
      <c r="I2717" t="s">
        <v>112</v>
      </c>
      <c r="J2717" t="s">
        <v>1554</v>
      </c>
      <c r="K2717" t="s">
        <v>1551</v>
      </c>
      <c r="L2717" t="s">
        <v>1551</v>
      </c>
    </row>
    <row r="2718" spans="1:12" x14ac:dyDescent="0.3">
      <c r="A2718" t="s">
        <v>1778</v>
      </c>
      <c r="B2718" t="s">
        <v>1505</v>
      </c>
      <c r="C2718" t="s">
        <v>750</v>
      </c>
      <c r="D2718" t="s">
        <v>334</v>
      </c>
      <c r="E2718" t="s">
        <v>567</v>
      </c>
      <c r="F2718" t="s">
        <v>155</v>
      </c>
      <c r="G2718" t="s">
        <v>111</v>
      </c>
      <c r="H2718" t="s">
        <v>703</v>
      </c>
      <c r="I2718" t="s">
        <v>112</v>
      </c>
      <c r="J2718" t="s">
        <v>702</v>
      </c>
      <c r="K2718" t="s">
        <v>1563</v>
      </c>
      <c r="L2718" t="s">
        <v>1563</v>
      </c>
    </row>
    <row r="2719" spans="1:12" x14ac:dyDescent="0.3">
      <c r="A2719" t="s">
        <v>1778</v>
      </c>
      <c r="B2719" t="s">
        <v>1505</v>
      </c>
      <c r="C2719" t="s">
        <v>750</v>
      </c>
      <c r="D2719" t="s">
        <v>294</v>
      </c>
      <c r="E2719" t="s">
        <v>567</v>
      </c>
      <c r="F2719" t="s">
        <v>156</v>
      </c>
      <c r="G2719" t="s">
        <v>111</v>
      </c>
      <c r="H2719" t="s">
        <v>703</v>
      </c>
      <c r="I2719" t="s">
        <v>112</v>
      </c>
      <c r="J2719" t="s">
        <v>702</v>
      </c>
      <c r="K2719" t="s">
        <v>2941</v>
      </c>
      <c r="L2719" t="s">
        <v>2941</v>
      </c>
    </row>
    <row r="2720" spans="1:12" x14ac:dyDescent="0.3">
      <c r="A2720" t="s">
        <v>1778</v>
      </c>
      <c r="B2720" t="s">
        <v>1505</v>
      </c>
      <c r="C2720" t="s">
        <v>750</v>
      </c>
      <c r="D2720" t="s">
        <v>295</v>
      </c>
      <c r="E2720" t="s">
        <v>567</v>
      </c>
      <c r="F2720" t="s">
        <v>103</v>
      </c>
      <c r="G2720" t="s">
        <v>111</v>
      </c>
      <c r="H2720" t="s">
        <v>1539</v>
      </c>
      <c r="I2720" t="s">
        <v>112</v>
      </c>
      <c r="J2720" t="s">
        <v>704</v>
      </c>
      <c r="K2720" t="s">
        <v>2942</v>
      </c>
      <c r="L2720" t="s">
        <v>2942</v>
      </c>
    </row>
    <row r="2721" spans="1:12" x14ac:dyDescent="0.3">
      <c r="A2721" t="s">
        <v>1778</v>
      </c>
      <c r="B2721" t="s">
        <v>1505</v>
      </c>
      <c r="C2721" t="s">
        <v>750</v>
      </c>
      <c r="D2721" t="s">
        <v>297</v>
      </c>
      <c r="E2721" t="s">
        <v>567</v>
      </c>
      <c r="F2721" t="s">
        <v>180</v>
      </c>
      <c r="G2721" t="s">
        <v>111</v>
      </c>
      <c r="H2721" t="s">
        <v>703</v>
      </c>
      <c r="I2721" t="s">
        <v>112</v>
      </c>
      <c r="J2721" t="s">
        <v>702</v>
      </c>
      <c r="K2721" t="s">
        <v>1563</v>
      </c>
      <c r="L2721" t="s">
        <v>1563</v>
      </c>
    </row>
    <row r="2722" spans="1:12" x14ac:dyDescent="0.3">
      <c r="A2722" t="s">
        <v>1778</v>
      </c>
      <c r="B2722" t="s">
        <v>1505</v>
      </c>
      <c r="C2722" t="s">
        <v>750</v>
      </c>
      <c r="D2722" t="s">
        <v>298</v>
      </c>
      <c r="E2722" t="s">
        <v>567</v>
      </c>
      <c r="F2722" t="s">
        <v>158</v>
      </c>
      <c r="G2722" t="s">
        <v>111</v>
      </c>
      <c r="H2722" t="s">
        <v>1553</v>
      </c>
      <c r="I2722" t="s">
        <v>112</v>
      </c>
      <c r="J2722" t="s">
        <v>1554</v>
      </c>
      <c r="K2722" t="s">
        <v>2820</v>
      </c>
      <c r="L2722" t="s">
        <v>2820</v>
      </c>
    </row>
    <row r="2723" spans="1:12" x14ac:dyDescent="0.3">
      <c r="A2723" t="s">
        <v>1778</v>
      </c>
      <c r="B2723" t="s">
        <v>1505</v>
      </c>
      <c r="C2723" t="s">
        <v>750</v>
      </c>
      <c r="D2723" t="s">
        <v>335</v>
      </c>
      <c r="E2723" t="s">
        <v>567</v>
      </c>
      <c r="F2723" t="s">
        <v>199</v>
      </c>
      <c r="G2723" t="s">
        <v>111</v>
      </c>
      <c r="H2723" t="s">
        <v>703</v>
      </c>
      <c r="I2723" t="s">
        <v>112</v>
      </c>
      <c r="J2723" t="s">
        <v>702</v>
      </c>
      <c r="K2723" t="s">
        <v>2922</v>
      </c>
      <c r="L2723" t="s">
        <v>2922</v>
      </c>
    </row>
    <row r="2724" spans="1:12" x14ac:dyDescent="0.3">
      <c r="A2724" t="s">
        <v>1778</v>
      </c>
      <c r="B2724" t="s">
        <v>1505</v>
      </c>
      <c r="C2724" t="s">
        <v>750</v>
      </c>
      <c r="D2724" t="s">
        <v>300</v>
      </c>
      <c r="E2724" t="s">
        <v>567</v>
      </c>
      <c r="F2724" t="s">
        <v>181</v>
      </c>
      <c r="G2724" t="s">
        <v>111</v>
      </c>
      <c r="H2724" t="s">
        <v>703</v>
      </c>
      <c r="I2724" t="s">
        <v>112</v>
      </c>
      <c r="J2724" t="s">
        <v>702</v>
      </c>
      <c r="K2724" t="s">
        <v>2943</v>
      </c>
      <c r="L2724" t="s">
        <v>2943</v>
      </c>
    </row>
    <row r="2725" spans="1:12" x14ac:dyDescent="0.3">
      <c r="A2725" t="s">
        <v>1778</v>
      </c>
      <c r="B2725" t="s">
        <v>1505</v>
      </c>
      <c r="C2725" t="s">
        <v>750</v>
      </c>
      <c r="D2725" t="s">
        <v>208</v>
      </c>
      <c r="E2725" t="s">
        <v>567</v>
      </c>
      <c r="F2725" t="s">
        <v>161</v>
      </c>
      <c r="G2725" t="s">
        <v>111</v>
      </c>
      <c r="H2725" t="s">
        <v>703</v>
      </c>
      <c r="I2725" t="s">
        <v>112</v>
      </c>
      <c r="J2725" t="s">
        <v>702</v>
      </c>
      <c r="K2725" t="s">
        <v>2944</v>
      </c>
      <c r="L2725" t="s">
        <v>2944</v>
      </c>
    </row>
    <row r="2726" spans="1:12" x14ac:dyDescent="0.3">
      <c r="A2726" t="s">
        <v>1778</v>
      </c>
      <c r="B2726" t="s">
        <v>1505</v>
      </c>
      <c r="C2726" t="s">
        <v>750</v>
      </c>
      <c r="D2726" t="s">
        <v>1580</v>
      </c>
      <c r="E2726" t="s">
        <v>569</v>
      </c>
      <c r="F2726" t="s">
        <v>49</v>
      </c>
      <c r="G2726" t="s">
        <v>111</v>
      </c>
      <c r="H2726" t="s">
        <v>703</v>
      </c>
      <c r="I2726" t="s">
        <v>112</v>
      </c>
      <c r="J2726" t="s">
        <v>702</v>
      </c>
      <c r="K2726" t="s">
        <v>2801</v>
      </c>
      <c r="L2726" t="s">
        <v>2801</v>
      </c>
    </row>
    <row r="2727" spans="1:12" x14ac:dyDescent="0.3">
      <c r="A2727" t="s">
        <v>1778</v>
      </c>
      <c r="B2727" t="s">
        <v>1505</v>
      </c>
      <c r="C2727" t="s">
        <v>750</v>
      </c>
      <c r="D2727" t="s">
        <v>1581</v>
      </c>
      <c r="E2727" t="s">
        <v>569</v>
      </c>
      <c r="F2727" t="s">
        <v>115</v>
      </c>
      <c r="G2727" t="s">
        <v>111</v>
      </c>
      <c r="H2727" t="s">
        <v>1539</v>
      </c>
      <c r="I2727" t="s">
        <v>112</v>
      </c>
      <c r="J2727" t="s">
        <v>704</v>
      </c>
      <c r="K2727" t="s">
        <v>2922</v>
      </c>
      <c r="L2727" t="s">
        <v>2922</v>
      </c>
    </row>
    <row r="2728" spans="1:12" x14ac:dyDescent="0.3">
      <c r="A2728" t="s">
        <v>1778</v>
      </c>
      <c r="B2728" t="s">
        <v>1505</v>
      </c>
      <c r="C2728" t="s">
        <v>750</v>
      </c>
      <c r="D2728" t="s">
        <v>1583</v>
      </c>
      <c r="E2728" t="s">
        <v>569</v>
      </c>
      <c r="F2728" t="s">
        <v>59</v>
      </c>
      <c r="G2728" t="s">
        <v>111</v>
      </c>
      <c r="H2728" t="s">
        <v>703</v>
      </c>
      <c r="I2728" t="s">
        <v>112</v>
      </c>
      <c r="J2728" t="s">
        <v>702</v>
      </c>
      <c r="K2728" t="s">
        <v>1558</v>
      </c>
      <c r="L2728" t="s">
        <v>1558</v>
      </c>
    </row>
    <row r="2729" spans="1:12" x14ac:dyDescent="0.3">
      <c r="A2729" t="s">
        <v>1778</v>
      </c>
      <c r="B2729" t="s">
        <v>1505</v>
      </c>
      <c r="C2729" t="s">
        <v>750</v>
      </c>
      <c r="D2729" t="s">
        <v>1584</v>
      </c>
      <c r="E2729" t="s">
        <v>569</v>
      </c>
      <c r="F2729" t="s">
        <v>117</v>
      </c>
      <c r="G2729" t="s">
        <v>111</v>
      </c>
      <c r="H2729" t="s">
        <v>1539</v>
      </c>
      <c r="I2729" t="s">
        <v>112</v>
      </c>
      <c r="J2729" t="s">
        <v>704</v>
      </c>
    </row>
    <row r="2730" spans="1:12" x14ac:dyDescent="0.3">
      <c r="A2730" t="s">
        <v>1778</v>
      </c>
      <c r="B2730" t="s">
        <v>1505</v>
      </c>
      <c r="C2730" t="s">
        <v>750</v>
      </c>
      <c r="D2730" t="s">
        <v>1585</v>
      </c>
      <c r="E2730" t="s">
        <v>569</v>
      </c>
      <c r="F2730" t="s">
        <v>188</v>
      </c>
      <c r="G2730" t="s">
        <v>111</v>
      </c>
      <c r="H2730" t="s">
        <v>1539</v>
      </c>
      <c r="I2730" t="s">
        <v>112</v>
      </c>
      <c r="J2730" t="s">
        <v>704</v>
      </c>
    </row>
    <row r="2731" spans="1:12" x14ac:dyDescent="0.3">
      <c r="A2731" t="s">
        <v>1778</v>
      </c>
      <c r="B2731" t="s">
        <v>1505</v>
      </c>
      <c r="C2731" t="s">
        <v>750</v>
      </c>
      <c r="D2731" t="s">
        <v>1586</v>
      </c>
      <c r="E2731" t="s">
        <v>569</v>
      </c>
      <c r="F2731" t="s">
        <v>120</v>
      </c>
      <c r="G2731" t="s">
        <v>111</v>
      </c>
      <c r="H2731" t="s">
        <v>1539</v>
      </c>
      <c r="I2731" t="s">
        <v>112</v>
      </c>
      <c r="J2731" t="s">
        <v>704</v>
      </c>
      <c r="K2731" t="s">
        <v>1537</v>
      </c>
      <c r="L2731" t="s">
        <v>1537</v>
      </c>
    </row>
    <row r="2732" spans="1:12" x14ac:dyDescent="0.3">
      <c r="A2732" t="s">
        <v>1778</v>
      </c>
      <c r="B2732" t="s">
        <v>1505</v>
      </c>
      <c r="C2732" t="s">
        <v>750</v>
      </c>
      <c r="D2732" t="s">
        <v>1587</v>
      </c>
      <c r="E2732" t="s">
        <v>569</v>
      </c>
      <c r="F2732" t="s">
        <v>164</v>
      </c>
      <c r="G2732" t="s">
        <v>111</v>
      </c>
      <c r="H2732" t="s">
        <v>703</v>
      </c>
      <c r="I2732" t="s">
        <v>112</v>
      </c>
      <c r="J2732" t="s">
        <v>702</v>
      </c>
      <c r="K2732" t="s">
        <v>2923</v>
      </c>
      <c r="L2732" t="s">
        <v>2923</v>
      </c>
    </row>
    <row r="2733" spans="1:12" x14ac:dyDescent="0.3">
      <c r="A2733" t="s">
        <v>1778</v>
      </c>
      <c r="B2733" t="s">
        <v>1505</v>
      </c>
      <c r="C2733" t="s">
        <v>750</v>
      </c>
      <c r="D2733" t="s">
        <v>1588</v>
      </c>
      <c r="E2733" t="s">
        <v>569</v>
      </c>
      <c r="F2733" t="s">
        <v>53</v>
      </c>
      <c r="G2733" t="s">
        <v>111</v>
      </c>
      <c r="H2733" t="s">
        <v>703</v>
      </c>
      <c r="I2733" t="s">
        <v>112</v>
      </c>
      <c r="J2733" t="s">
        <v>702</v>
      </c>
      <c r="K2733" t="s">
        <v>2924</v>
      </c>
      <c r="L2733" t="s">
        <v>2924</v>
      </c>
    </row>
    <row r="2734" spans="1:12" x14ac:dyDescent="0.3">
      <c r="A2734" t="s">
        <v>1778</v>
      </c>
      <c r="B2734" t="s">
        <v>1505</v>
      </c>
      <c r="C2734" t="s">
        <v>750</v>
      </c>
      <c r="D2734" t="s">
        <v>1589</v>
      </c>
      <c r="E2734" t="s">
        <v>569</v>
      </c>
      <c r="F2734" t="s">
        <v>69</v>
      </c>
      <c r="G2734" t="s">
        <v>111</v>
      </c>
      <c r="H2734" t="s">
        <v>1539</v>
      </c>
      <c r="I2734" t="s">
        <v>112</v>
      </c>
      <c r="J2734" t="s">
        <v>704</v>
      </c>
      <c r="K2734" t="s">
        <v>1555</v>
      </c>
      <c r="L2734" t="s">
        <v>1555</v>
      </c>
    </row>
    <row r="2735" spans="1:12" x14ac:dyDescent="0.3">
      <c r="A2735" t="s">
        <v>1778</v>
      </c>
      <c r="B2735" t="s">
        <v>1505</v>
      </c>
      <c r="C2735" t="s">
        <v>750</v>
      </c>
      <c r="D2735" t="s">
        <v>1590</v>
      </c>
      <c r="E2735" t="s">
        <v>569</v>
      </c>
      <c r="F2735" t="s">
        <v>122</v>
      </c>
      <c r="G2735" t="s">
        <v>111</v>
      </c>
      <c r="H2735" t="s">
        <v>1539</v>
      </c>
      <c r="I2735" t="s">
        <v>112</v>
      </c>
      <c r="J2735" t="s">
        <v>704</v>
      </c>
    </row>
    <row r="2736" spans="1:12" x14ac:dyDescent="0.3">
      <c r="A2736" t="s">
        <v>1778</v>
      </c>
      <c r="B2736" t="s">
        <v>1505</v>
      </c>
      <c r="C2736" t="s">
        <v>750</v>
      </c>
      <c r="D2736" t="s">
        <v>1591</v>
      </c>
      <c r="E2736" t="s">
        <v>569</v>
      </c>
      <c r="F2736" t="s">
        <v>165</v>
      </c>
      <c r="G2736" t="s">
        <v>111</v>
      </c>
      <c r="H2736" t="s">
        <v>1539</v>
      </c>
      <c r="I2736" t="s">
        <v>112</v>
      </c>
      <c r="J2736" t="s">
        <v>704</v>
      </c>
      <c r="K2736" t="s">
        <v>2926</v>
      </c>
      <c r="L2736" t="s">
        <v>2926</v>
      </c>
    </row>
    <row r="2737" spans="1:12" x14ac:dyDescent="0.3">
      <c r="A2737" t="s">
        <v>1778</v>
      </c>
      <c r="B2737" t="s">
        <v>1505</v>
      </c>
      <c r="C2737" t="s">
        <v>750</v>
      </c>
      <c r="D2737" t="s">
        <v>1592</v>
      </c>
      <c r="E2737" t="s">
        <v>569</v>
      </c>
      <c r="F2737" t="s">
        <v>54</v>
      </c>
      <c r="G2737" t="s">
        <v>111</v>
      </c>
      <c r="H2737" t="s">
        <v>182</v>
      </c>
      <c r="I2737" t="s">
        <v>112</v>
      </c>
      <c r="J2737" t="s">
        <v>183</v>
      </c>
      <c r="K2737" t="s">
        <v>2809</v>
      </c>
      <c r="L2737" t="s">
        <v>2809</v>
      </c>
    </row>
    <row r="2738" spans="1:12" x14ac:dyDescent="0.3">
      <c r="A2738" t="s">
        <v>1778</v>
      </c>
      <c r="B2738" t="s">
        <v>1505</v>
      </c>
      <c r="C2738" t="s">
        <v>750</v>
      </c>
      <c r="D2738" t="s">
        <v>1593</v>
      </c>
      <c r="E2738" t="s">
        <v>569</v>
      </c>
      <c r="F2738" t="s">
        <v>45</v>
      </c>
      <c r="G2738" t="s">
        <v>111</v>
      </c>
      <c r="H2738" t="s">
        <v>1539</v>
      </c>
      <c r="I2738" t="s">
        <v>112</v>
      </c>
      <c r="J2738" t="s">
        <v>704</v>
      </c>
      <c r="K2738" t="s">
        <v>1542</v>
      </c>
      <c r="L2738" t="s">
        <v>1542</v>
      </c>
    </row>
    <row r="2739" spans="1:12" x14ac:dyDescent="0.3">
      <c r="A2739" t="s">
        <v>1778</v>
      </c>
      <c r="B2739" t="s">
        <v>1505</v>
      </c>
      <c r="C2739" t="s">
        <v>750</v>
      </c>
      <c r="D2739" t="s">
        <v>1596</v>
      </c>
      <c r="E2739" t="s">
        <v>569</v>
      </c>
      <c r="F2739" t="s">
        <v>190</v>
      </c>
      <c r="G2739" t="s">
        <v>111</v>
      </c>
      <c r="H2739" t="s">
        <v>703</v>
      </c>
      <c r="I2739" t="s">
        <v>112</v>
      </c>
      <c r="J2739" t="s">
        <v>702</v>
      </c>
      <c r="K2739" t="s">
        <v>1537</v>
      </c>
      <c r="L2739" t="s">
        <v>1537</v>
      </c>
    </row>
    <row r="2740" spans="1:12" x14ac:dyDescent="0.3">
      <c r="A2740" t="s">
        <v>1778</v>
      </c>
      <c r="B2740" t="s">
        <v>1505</v>
      </c>
      <c r="C2740" t="s">
        <v>750</v>
      </c>
      <c r="D2740" t="s">
        <v>1597</v>
      </c>
      <c r="E2740" t="s">
        <v>569</v>
      </c>
      <c r="F2740" t="s">
        <v>124</v>
      </c>
      <c r="G2740" t="s">
        <v>111</v>
      </c>
      <c r="H2740" t="s">
        <v>703</v>
      </c>
      <c r="I2740" t="s">
        <v>112</v>
      </c>
      <c r="J2740" t="s">
        <v>702</v>
      </c>
      <c r="K2740" t="s">
        <v>2928</v>
      </c>
      <c r="L2740" t="s">
        <v>2928</v>
      </c>
    </row>
    <row r="2741" spans="1:12" x14ac:dyDescent="0.3">
      <c r="A2741" t="s">
        <v>1778</v>
      </c>
      <c r="B2741" t="s">
        <v>1505</v>
      </c>
      <c r="C2741" t="s">
        <v>750</v>
      </c>
      <c r="D2741" t="s">
        <v>1598</v>
      </c>
      <c r="E2741" t="s">
        <v>569</v>
      </c>
      <c r="F2741" t="s">
        <v>58</v>
      </c>
      <c r="G2741" t="s">
        <v>111</v>
      </c>
      <c r="H2741" t="s">
        <v>703</v>
      </c>
      <c r="I2741" t="s">
        <v>112</v>
      </c>
      <c r="J2741" t="s">
        <v>702</v>
      </c>
      <c r="K2741" t="s">
        <v>1536</v>
      </c>
      <c r="L2741" t="s">
        <v>1536</v>
      </c>
    </row>
    <row r="2742" spans="1:12" x14ac:dyDescent="0.3">
      <c r="A2742" t="s">
        <v>1778</v>
      </c>
      <c r="B2742" t="s">
        <v>1505</v>
      </c>
      <c r="C2742" t="s">
        <v>750</v>
      </c>
      <c r="D2742" t="s">
        <v>1599</v>
      </c>
      <c r="E2742" t="s">
        <v>569</v>
      </c>
      <c r="F2742" t="s">
        <v>191</v>
      </c>
      <c r="G2742" t="s">
        <v>111</v>
      </c>
      <c r="H2742" t="s">
        <v>1539</v>
      </c>
      <c r="I2742" t="s">
        <v>112</v>
      </c>
      <c r="J2742" t="s">
        <v>704</v>
      </c>
      <c r="K2742" t="s">
        <v>2929</v>
      </c>
      <c r="L2742" t="s">
        <v>2929</v>
      </c>
    </row>
    <row r="2743" spans="1:12" x14ac:dyDescent="0.3">
      <c r="A2743" t="s">
        <v>1778</v>
      </c>
      <c r="B2743" t="s">
        <v>1505</v>
      </c>
      <c r="C2743" t="s">
        <v>750</v>
      </c>
      <c r="D2743" t="s">
        <v>1601</v>
      </c>
      <c r="E2743" t="s">
        <v>569</v>
      </c>
      <c r="F2743" t="s">
        <v>126</v>
      </c>
      <c r="G2743" t="s">
        <v>111</v>
      </c>
      <c r="H2743" t="s">
        <v>703</v>
      </c>
      <c r="I2743" t="s">
        <v>112</v>
      </c>
      <c r="J2743" t="s">
        <v>702</v>
      </c>
      <c r="K2743" t="s">
        <v>1676</v>
      </c>
      <c r="L2743" t="s">
        <v>1676</v>
      </c>
    </row>
    <row r="2744" spans="1:12" x14ac:dyDescent="0.3">
      <c r="A2744" t="s">
        <v>1778</v>
      </c>
      <c r="B2744" t="s">
        <v>1505</v>
      </c>
      <c r="C2744" t="s">
        <v>750</v>
      </c>
      <c r="D2744" t="s">
        <v>1602</v>
      </c>
      <c r="E2744" t="s">
        <v>569</v>
      </c>
      <c r="F2744" t="s">
        <v>167</v>
      </c>
      <c r="G2744" t="s">
        <v>111</v>
      </c>
      <c r="H2744" t="s">
        <v>1539</v>
      </c>
      <c r="I2744" t="s">
        <v>112</v>
      </c>
      <c r="J2744" t="s">
        <v>704</v>
      </c>
      <c r="K2744" t="s">
        <v>1537</v>
      </c>
      <c r="L2744" t="s">
        <v>1537</v>
      </c>
    </row>
    <row r="2745" spans="1:12" x14ac:dyDescent="0.3">
      <c r="A2745" t="s">
        <v>1778</v>
      </c>
      <c r="B2745" t="s">
        <v>1505</v>
      </c>
      <c r="C2745" t="s">
        <v>750</v>
      </c>
      <c r="D2745" t="s">
        <v>1604</v>
      </c>
      <c r="E2745" t="s">
        <v>569</v>
      </c>
      <c r="F2745" t="s">
        <v>127</v>
      </c>
      <c r="G2745" t="s">
        <v>111</v>
      </c>
      <c r="H2745" t="s">
        <v>703</v>
      </c>
      <c r="I2745" t="s">
        <v>112</v>
      </c>
      <c r="J2745" t="s">
        <v>702</v>
      </c>
      <c r="K2745" t="s">
        <v>2945</v>
      </c>
      <c r="L2745" t="s">
        <v>2945</v>
      </c>
    </row>
    <row r="2746" spans="1:12" x14ac:dyDescent="0.3">
      <c r="A2746" t="s">
        <v>1778</v>
      </c>
      <c r="B2746" t="s">
        <v>1505</v>
      </c>
      <c r="C2746" t="s">
        <v>750</v>
      </c>
      <c r="D2746" t="s">
        <v>1605</v>
      </c>
      <c r="E2746" t="s">
        <v>569</v>
      </c>
      <c r="F2746" t="s">
        <v>128</v>
      </c>
      <c r="G2746" t="s">
        <v>111</v>
      </c>
      <c r="H2746" t="s">
        <v>182</v>
      </c>
      <c r="I2746" t="s">
        <v>112</v>
      </c>
      <c r="J2746" t="s">
        <v>183</v>
      </c>
      <c r="K2746" t="s">
        <v>1608</v>
      </c>
      <c r="L2746" t="s">
        <v>1608</v>
      </c>
    </row>
    <row r="2747" spans="1:12" x14ac:dyDescent="0.3">
      <c r="A2747" t="s">
        <v>1778</v>
      </c>
      <c r="B2747" t="s">
        <v>1505</v>
      </c>
      <c r="C2747" t="s">
        <v>750</v>
      </c>
      <c r="D2747" t="s">
        <v>1606</v>
      </c>
      <c r="E2747" t="s">
        <v>569</v>
      </c>
      <c r="F2747" t="s">
        <v>168</v>
      </c>
      <c r="G2747" t="s">
        <v>111</v>
      </c>
      <c r="H2747" t="s">
        <v>703</v>
      </c>
      <c r="I2747" t="s">
        <v>112</v>
      </c>
      <c r="J2747" t="s">
        <v>702</v>
      </c>
      <c r="K2747" t="s">
        <v>2946</v>
      </c>
      <c r="L2747" t="s">
        <v>2946</v>
      </c>
    </row>
    <row r="2748" spans="1:12" x14ac:dyDescent="0.3">
      <c r="A2748" t="s">
        <v>1778</v>
      </c>
      <c r="B2748" t="s">
        <v>1505</v>
      </c>
      <c r="C2748" t="s">
        <v>750</v>
      </c>
      <c r="D2748" t="s">
        <v>1607</v>
      </c>
      <c r="E2748" t="s">
        <v>569</v>
      </c>
      <c r="F2748" t="s">
        <v>89</v>
      </c>
      <c r="G2748" t="s">
        <v>111</v>
      </c>
      <c r="H2748" t="s">
        <v>703</v>
      </c>
      <c r="I2748" t="s">
        <v>112</v>
      </c>
      <c r="J2748" t="s">
        <v>702</v>
      </c>
      <c r="K2748" t="s">
        <v>1572</v>
      </c>
      <c r="L2748" t="s">
        <v>1572</v>
      </c>
    </row>
    <row r="2749" spans="1:12" x14ac:dyDescent="0.3">
      <c r="A2749" t="s">
        <v>1778</v>
      </c>
      <c r="B2749" t="s">
        <v>1505</v>
      </c>
      <c r="C2749" t="s">
        <v>750</v>
      </c>
      <c r="D2749" t="s">
        <v>1609</v>
      </c>
      <c r="E2749" t="s">
        <v>569</v>
      </c>
      <c r="F2749" t="s">
        <v>66</v>
      </c>
      <c r="G2749" t="s">
        <v>111</v>
      </c>
      <c r="H2749" t="s">
        <v>1561</v>
      </c>
      <c r="I2749" t="s">
        <v>112</v>
      </c>
      <c r="J2749" t="s">
        <v>702</v>
      </c>
    </row>
    <row r="2750" spans="1:12" x14ac:dyDescent="0.3">
      <c r="A2750" t="s">
        <v>1778</v>
      </c>
      <c r="B2750" t="s">
        <v>1505</v>
      </c>
      <c r="C2750" t="s">
        <v>750</v>
      </c>
      <c r="D2750" t="s">
        <v>1611</v>
      </c>
      <c r="E2750" t="s">
        <v>569</v>
      </c>
      <c r="F2750" t="s">
        <v>169</v>
      </c>
      <c r="G2750" t="s">
        <v>111</v>
      </c>
      <c r="H2750" t="s">
        <v>1565</v>
      </c>
      <c r="I2750" t="s">
        <v>112</v>
      </c>
      <c r="J2750" t="s">
        <v>1566</v>
      </c>
    </row>
    <row r="2751" spans="1:12" x14ac:dyDescent="0.3">
      <c r="A2751" t="s">
        <v>1778</v>
      </c>
      <c r="B2751" t="s">
        <v>1505</v>
      </c>
      <c r="C2751" t="s">
        <v>750</v>
      </c>
      <c r="D2751" t="s">
        <v>1612</v>
      </c>
      <c r="E2751" t="s">
        <v>569</v>
      </c>
      <c r="F2751" t="s">
        <v>110</v>
      </c>
      <c r="G2751" t="s">
        <v>111</v>
      </c>
      <c r="H2751" t="s">
        <v>182</v>
      </c>
      <c r="I2751" t="s">
        <v>112</v>
      </c>
      <c r="J2751" t="s">
        <v>183</v>
      </c>
      <c r="K2751" t="s">
        <v>1562</v>
      </c>
      <c r="L2751" t="s">
        <v>1562</v>
      </c>
    </row>
    <row r="2752" spans="1:12" x14ac:dyDescent="0.3">
      <c r="A2752" t="s">
        <v>1778</v>
      </c>
      <c r="B2752" t="s">
        <v>1505</v>
      </c>
      <c r="C2752" t="s">
        <v>750</v>
      </c>
      <c r="D2752" t="s">
        <v>1613</v>
      </c>
      <c r="E2752" t="s">
        <v>569</v>
      </c>
      <c r="F2752" t="s">
        <v>93</v>
      </c>
      <c r="G2752" t="s">
        <v>111</v>
      </c>
      <c r="H2752" t="s">
        <v>187</v>
      </c>
      <c r="I2752" t="s">
        <v>112</v>
      </c>
      <c r="J2752" t="s">
        <v>183</v>
      </c>
      <c r="K2752" t="s">
        <v>1542</v>
      </c>
      <c r="L2752" t="s">
        <v>1542</v>
      </c>
    </row>
    <row r="2753" spans="1:12" x14ac:dyDescent="0.3">
      <c r="A2753" t="s">
        <v>1778</v>
      </c>
      <c r="B2753" t="s">
        <v>1505</v>
      </c>
      <c r="C2753" t="s">
        <v>750</v>
      </c>
      <c r="D2753" t="s">
        <v>1614</v>
      </c>
      <c r="E2753" t="s">
        <v>569</v>
      </c>
      <c r="F2753" t="s">
        <v>129</v>
      </c>
      <c r="G2753" t="s">
        <v>111</v>
      </c>
      <c r="H2753" t="s">
        <v>703</v>
      </c>
      <c r="I2753" t="s">
        <v>112</v>
      </c>
      <c r="J2753" t="s">
        <v>702</v>
      </c>
      <c r="K2753" t="s">
        <v>2931</v>
      </c>
      <c r="L2753" t="s">
        <v>2931</v>
      </c>
    </row>
    <row r="2754" spans="1:12" x14ac:dyDescent="0.3">
      <c r="A2754" t="s">
        <v>1778</v>
      </c>
      <c r="B2754" t="s">
        <v>1505</v>
      </c>
      <c r="C2754" t="s">
        <v>750</v>
      </c>
      <c r="D2754" t="s">
        <v>1615</v>
      </c>
      <c r="E2754" t="s">
        <v>569</v>
      </c>
      <c r="F2754" t="s">
        <v>87</v>
      </c>
      <c r="G2754" t="s">
        <v>111</v>
      </c>
      <c r="H2754" t="s">
        <v>1539</v>
      </c>
      <c r="I2754" t="s">
        <v>112</v>
      </c>
      <c r="J2754" t="s">
        <v>704</v>
      </c>
      <c r="K2754" t="s">
        <v>1548</v>
      </c>
      <c r="L2754" t="s">
        <v>1548</v>
      </c>
    </row>
    <row r="2755" spans="1:12" x14ac:dyDescent="0.3">
      <c r="A2755" t="s">
        <v>1778</v>
      </c>
      <c r="B2755" t="s">
        <v>1505</v>
      </c>
      <c r="C2755" t="s">
        <v>750</v>
      </c>
      <c r="D2755" t="s">
        <v>1616</v>
      </c>
      <c r="E2755" t="s">
        <v>569</v>
      </c>
      <c r="F2755" t="s">
        <v>130</v>
      </c>
      <c r="G2755" t="s">
        <v>111</v>
      </c>
      <c r="H2755" t="s">
        <v>703</v>
      </c>
      <c r="I2755" t="s">
        <v>112</v>
      </c>
      <c r="J2755" t="s">
        <v>702</v>
      </c>
      <c r="K2755" t="s">
        <v>1635</v>
      </c>
      <c r="L2755" t="s">
        <v>1635</v>
      </c>
    </row>
    <row r="2756" spans="1:12" x14ac:dyDescent="0.3">
      <c r="A2756" t="s">
        <v>1778</v>
      </c>
      <c r="B2756" t="s">
        <v>1505</v>
      </c>
      <c r="C2756" t="s">
        <v>750</v>
      </c>
      <c r="D2756" t="s">
        <v>1617</v>
      </c>
      <c r="E2756" t="s">
        <v>569</v>
      </c>
      <c r="F2756" t="s">
        <v>131</v>
      </c>
      <c r="G2756" t="s">
        <v>111</v>
      </c>
      <c r="H2756" t="s">
        <v>182</v>
      </c>
      <c r="I2756" t="s">
        <v>112</v>
      </c>
      <c r="J2756" t="s">
        <v>183</v>
      </c>
      <c r="K2756" t="s">
        <v>1562</v>
      </c>
      <c r="L2756" t="s">
        <v>1562</v>
      </c>
    </row>
    <row r="2757" spans="1:12" x14ac:dyDescent="0.3">
      <c r="A2757" t="s">
        <v>1778</v>
      </c>
      <c r="B2757" t="s">
        <v>1505</v>
      </c>
      <c r="C2757" t="s">
        <v>750</v>
      </c>
      <c r="D2757" t="s">
        <v>1618</v>
      </c>
      <c r="E2757" t="s">
        <v>569</v>
      </c>
      <c r="F2757" t="s">
        <v>50</v>
      </c>
      <c r="G2757" t="s">
        <v>111</v>
      </c>
      <c r="H2757" t="s">
        <v>182</v>
      </c>
      <c r="I2757" t="s">
        <v>112</v>
      </c>
      <c r="J2757" t="s">
        <v>183</v>
      </c>
      <c r="K2757" t="s">
        <v>1551</v>
      </c>
      <c r="L2757" t="s">
        <v>1551</v>
      </c>
    </row>
    <row r="2758" spans="1:12" x14ac:dyDescent="0.3">
      <c r="A2758" t="s">
        <v>1778</v>
      </c>
      <c r="B2758" t="s">
        <v>1505</v>
      </c>
      <c r="C2758" t="s">
        <v>750</v>
      </c>
      <c r="D2758" t="s">
        <v>1619</v>
      </c>
      <c r="E2758" t="s">
        <v>568</v>
      </c>
      <c r="F2758" t="s">
        <v>193</v>
      </c>
      <c r="G2758" t="s">
        <v>111</v>
      </c>
      <c r="H2758" t="s">
        <v>703</v>
      </c>
      <c r="I2758" t="s">
        <v>112</v>
      </c>
      <c r="J2758" t="s">
        <v>702</v>
      </c>
      <c r="K2758" t="s">
        <v>1551</v>
      </c>
      <c r="L2758" t="s">
        <v>1551</v>
      </c>
    </row>
    <row r="2759" spans="1:12" x14ac:dyDescent="0.3">
      <c r="A2759" t="s">
        <v>1778</v>
      </c>
      <c r="B2759" t="s">
        <v>1505</v>
      </c>
      <c r="C2759" t="s">
        <v>750</v>
      </c>
      <c r="D2759" t="s">
        <v>1620</v>
      </c>
      <c r="E2759" t="s">
        <v>568</v>
      </c>
      <c r="F2759" t="s">
        <v>134</v>
      </c>
      <c r="G2759" t="s">
        <v>111</v>
      </c>
      <c r="H2759" t="s">
        <v>182</v>
      </c>
      <c r="I2759" t="s">
        <v>112</v>
      </c>
      <c r="J2759" t="s">
        <v>183</v>
      </c>
      <c r="K2759" t="s">
        <v>1548</v>
      </c>
      <c r="L2759" t="s">
        <v>1548</v>
      </c>
    </row>
    <row r="2760" spans="1:12" x14ac:dyDescent="0.3">
      <c r="A2760" t="s">
        <v>1778</v>
      </c>
      <c r="B2760" t="s">
        <v>1505</v>
      </c>
      <c r="C2760" t="s">
        <v>750</v>
      </c>
      <c r="D2760" t="s">
        <v>1621</v>
      </c>
      <c r="E2760" t="s">
        <v>568</v>
      </c>
      <c r="F2760" t="s">
        <v>51</v>
      </c>
      <c r="G2760" t="s">
        <v>111</v>
      </c>
      <c r="H2760" t="s">
        <v>1594</v>
      </c>
      <c r="I2760" t="s">
        <v>112</v>
      </c>
      <c r="J2760" t="s">
        <v>1595</v>
      </c>
      <c r="K2760" t="s">
        <v>1555</v>
      </c>
      <c r="L2760" t="s">
        <v>1555</v>
      </c>
    </row>
    <row r="2761" spans="1:12" x14ac:dyDescent="0.3">
      <c r="A2761" t="s">
        <v>1778</v>
      </c>
      <c r="B2761" t="s">
        <v>1505</v>
      </c>
      <c r="C2761" t="s">
        <v>750</v>
      </c>
      <c r="D2761" t="s">
        <v>1622</v>
      </c>
      <c r="E2761" t="s">
        <v>568</v>
      </c>
      <c r="F2761" t="s">
        <v>163</v>
      </c>
      <c r="G2761" t="s">
        <v>111</v>
      </c>
      <c r="H2761" t="s">
        <v>182</v>
      </c>
      <c r="I2761" t="s">
        <v>112</v>
      </c>
      <c r="J2761" t="s">
        <v>183</v>
      </c>
      <c r="K2761" t="s">
        <v>1541</v>
      </c>
      <c r="L2761" t="s">
        <v>1541</v>
      </c>
    </row>
    <row r="2762" spans="1:12" x14ac:dyDescent="0.3">
      <c r="A2762" t="s">
        <v>1778</v>
      </c>
      <c r="B2762" t="s">
        <v>1505</v>
      </c>
      <c r="C2762" t="s">
        <v>750</v>
      </c>
      <c r="D2762" t="s">
        <v>1623</v>
      </c>
      <c r="E2762" t="s">
        <v>568</v>
      </c>
      <c r="F2762" t="s">
        <v>170</v>
      </c>
      <c r="G2762" t="s">
        <v>111</v>
      </c>
      <c r="H2762" t="s">
        <v>2947</v>
      </c>
      <c r="I2762" t="s">
        <v>112</v>
      </c>
      <c r="J2762" t="s">
        <v>185</v>
      </c>
      <c r="K2762" t="s">
        <v>2948</v>
      </c>
      <c r="L2762" t="s">
        <v>2948</v>
      </c>
    </row>
    <row r="2763" spans="1:12" x14ac:dyDescent="0.3">
      <c r="A2763" t="s">
        <v>1778</v>
      </c>
      <c r="B2763" t="s">
        <v>1505</v>
      </c>
      <c r="C2763" t="s">
        <v>750</v>
      </c>
      <c r="D2763" t="s">
        <v>1624</v>
      </c>
      <c r="E2763" t="s">
        <v>568</v>
      </c>
      <c r="F2763" t="s">
        <v>78</v>
      </c>
      <c r="G2763" t="s">
        <v>111</v>
      </c>
      <c r="H2763" t="s">
        <v>1561</v>
      </c>
      <c r="I2763" t="s">
        <v>112</v>
      </c>
      <c r="J2763" t="s">
        <v>702</v>
      </c>
    </row>
    <row r="2764" spans="1:12" x14ac:dyDescent="0.3">
      <c r="A2764" t="s">
        <v>1778</v>
      </c>
      <c r="B2764" t="s">
        <v>1505</v>
      </c>
      <c r="C2764" t="s">
        <v>750</v>
      </c>
      <c r="D2764" t="s">
        <v>1625</v>
      </c>
      <c r="E2764" t="s">
        <v>568</v>
      </c>
      <c r="F2764" t="s">
        <v>82</v>
      </c>
      <c r="G2764" t="s">
        <v>111</v>
      </c>
      <c r="H2764" t="s">
        <v>1539</v>
      </c>
      <c r="I2764" t="s">
        <v>112</v>
      </c>
      <c r="J2764" t="s">
        <v>704</v>
      </c>
      <c r="K2764" t="s">
        <v>1535</v>
      </c>
      <c r="L2764" t="s">
        <v>1535</v>
      </c>
    </row>
    <row r="2765" spans="1:12" x14ac:dyDescent="0.3">
      <c r="A2765" t="s">
        <v>1778</v>
      </c>
      <c r="B2765" t="s">
        <v>1505</v>
      </c>
      <c r="C2765" t="s">
        <v>750</v>
      </c>
      <c r="D2765" t="s">
        <v>1626</v>
      </c>
      <c r="E2765" t="s">
        <v>568</v>
      </c>
      <c r="F2765" t="s">
        <v>135</v>
      </c>
      <c r="G2765" t="s">
        <v>111</v>
      </c>
      <c r="H2765" t="s">
        <v>703</v>
      </c>
      <c r="I2765" t="s">
        <v>112</v>
      </c>
      <c r="J2765" t="s">
        <v>702</v>
      </c>
      <c r="K2765" t="s">
        <v>2932</v>
      </c>
      <c r="L2765" t="s">
        <v>2932</v>
      </c>
    </row>
    <row r="2766" spans="1:12" x14ac:dyDescent="0.3">
      <c r="A2766" t="s">
        <v>1778</v>
      </c>
      <c r="B2766" t="s">
        <v>1505</v>
      </c>
      <c r="C2766" t="s">
        <v>750</v>
      </c>
      <c r="D2766" t="s">
        <v>1627</v>
      </c>
      <c r="E2766" t="s">
        <v>568</v>
      </c>
      <c r="F2766" t="s">
        <v>136</v>
      </c>
      <c r="G2766" t="s">
        <v>111</v>
      </c>
      <c r="H2766" t="s">
        <v>703</v>
      </c>
      <c r="I2766" t="s">
        <v>112</v>
      </c>
      <c r="J2766" t="s">
        <v>702</v>
      </c>
      <c r="K2766" t="s">
        <v>2825</v>
      </c>
      <c r="L2766" t="s">
        <v>2825</v>
      </c>
    </row>
    <row r="2767" spans="1:12" x14ac:dyDescent="0.3">
      <c r="A2767" t="s">
        <v>1778</v>
      </c>
      <c r="B2767" t="s">
        <v>1505</v>
      </c>
      <c r="C2767" t="s">
        <v>750</v>
      </c>
      <c r="D2767" t="s">
        <v>1628</v>
      </c>
      <c r="E2767" t="s">
        <v>568</v>
      </c>
      <c r="F2767" t="s">
        <v>60</v>
      </c>
      <c r="G2767" t="s">
        <v>111</v>
      </c>
      <c r="H2767" t="s">
        <v>703</v>
      </c>
      <c r="I2767" t="s">
        <v>112</v>
      </c>
      <c r="J2767" t="s">
        <v>702</v>
      </c>
      <c r="K2767" t="s">
        <v>2933</v>
      </c>
      <c r="L2767" t="s">
        <v>2933</v>
      </c>
    </row>
    <row r="2768" spans="1:12" x14ac:dyDescent="0.3">
      <c r="A2768" t="s">
        <v>1778</v>
      </c>
      <c r="B2768" t="s">
        <v>1505</v>
      </c>
      <c r="C2768" t="s">
        <v>750</v>
      </c>
      <c r="D2768" t="s">
        <v>1629</v>
      </c>
      <c r="E2768" t="s">
        <v>568</v>
      </c>
      <c r="F2768" t="s">
        <v>70</v>
      </c>
      <c r="G2768" t="s">
        <v>111</v>
      </c>
      <c r="H2768" t="s">
        <v>182</v>
      </c>
      <c r="I2768" t="s">
        <v>112</v>
      </c>
      <c r="J2768" t="s">
        <v>183</v>
      </c>
      <c r="K2768" t="s">
        <v>2811</v>
      </c>
      <c r="L2768" t="s">
        <v>2811</v>
      </c>
    </row>
    <row r="2769" spans="1:12" x14ac:dyDescent="0.3">
      <c r="A2769" t="s">
        <v>1778</v>
      </c>
      <c r="B2769" t="s">
        <v>1505</v>
      </c>
      <c r="C2769" t="s">
        <v>750</v>
      </c>
      <c r="D2769" t="s">
        <v>1630</v>
      </c>
      <c r="E2769" t="s">
        <v>568</v>
      </c>
      <c r="F2769" t="s">
        <v>48</v>
      </c>
      <c r="G2769" t="s">
        <v>111</v>
      </c>
      <c r="H2769" t="s">
        <v>1549</v>
      </c>
      <c r="I2769" t="s">
        <v>112</v>
      </c>
      <c r="J2769" t="s">
        <v>1544</v>
      </c>
      <c r="K2769" t="s">
        <v>1563</v>
      </c>
      <c r="L2769" t="s">
        <v>1563</v>
      </c>
    </row>
    <row r="2770" spans="1:12" x14ac:dyDescent="0.3">
      <c r="A2770" t="s">
        <v>1778</v>
      </c>
      <c r="B2770" t="s">
        <v>1505</v>
      </c>
      <c r="C2770" t="s">
        <v>750</v>
      </c>
      <c r="D2770" t="s">
        <v>1631</v>
      </c>
      <c r="E2770" t="s">
        <v>568</v>
      </c>
      <c r="F2770" t="s">
        <v>138</v>
      </c>
      <c r="G2770" t="s">
        <v>111</v>
      </c>
      <c r="H2770" t="s">
        <v>703</v>
      </c>
      <c r="I2770" t="s">
        <v>112</v>
      </c>
      <c r="J2770" t="s">
        <v>702</v>
      </c>
      <c r="K2770" t="s">
        <v>2949</v>
      </c>
      <c r="L2770" t="s">
        <v>2949</v>
      </c>
    </row>
    <row r="2771" spans="1:12" x14ac:dyDescent="0.3">
      <c r="A2771" t="s">
        <v>1778</v>
      </c>
      <c r="B2771" t="s">
        <v>1505</v>
      </c>
      <c r="C2771" t="s">
        <v>750</v>
      </c>
      <c r="D2771" t="s">
        <v>1632</v>
      </c>
      <c r="E2771" t="s">
        <v>568</v>
      </c>
      <c r="F2771" t="s">
        <v>95</v>
      </c>
      <c r="G2771" t="s">
        <v>111</v>
      </c>
      <c r="H2771" t="s">
        <v>1539</v>
      </c>
      <c r="I2771" t="s">
        <v>112</v>
      </c>
      <c r="J2771" t="s">
        <v>704</v>
      </c>
      <c r="K2771" t="s">
        <v>2928</v>
      </c>
      <c r="L2771" t="s">
        <v>2928</v>
      </c>
    </row>
    <row r="2772" spans="1:12" x14ac:dyDescent="0.3">
      <c r="A2772" t="s">
        <v>1778</v>
      </c>
      <c r="B2772" t="s">
        <v>1505</v>
      </c>
      <c r="C2772" t="s">
        <v>750</v>
      </c>
      <c r="D2772" t="s">
        <v>1633</v>
      </c>
      <c r="E2772" t="s">
        <v>568</v>
      </c>
      <c r="F2772" t="s">
        <v>139</v>
      </c>
      <c r="G2772" t="s">
        <v>111</v>
      </c>
      <c r="H2772" t="s">
        <v>703</v>
      </c>
      <c r="I2772" t="s">
        <v>112</v>
      </c>
      <c r="J2772" t="s">
        <v>702</v>
      </c>
      <c r="K2772" t="s">
        <v>2812</v>
      </c>
      <c r="L2772" t="s">
        <v>2812</v>
      </c>
    </row>
    <row r="2773" spans="1:12" x14ac:dyDescent="0.3">
      <c r="A2773" t="s">
        <v>1778</v>
      </c>
      <c r="B2773" t="s">
        <v>1505</v>
      </c>
      <c r="C2773" t="s">
        <v>750</v>
      </c>
      <c r="D2773" t="s">
        <v>1634</v>
      </c>
      <c r="E2773" t="s">
        <v>568</v>
      </c>
      <c r="F2773" t="s">
        <v>171</v>
      </c>
      <c r="G2773" t="s">
        <v>111</v>
      </c>
      <c r="H2773" t="s">
        <v>1594</v>
      </c>
      <c r="I2773" t="s">
        <v>112</v>
      </c>
      <c r="J2773" t="s">
        <v>1595</v>
      </c>
      <c r="K2773" t="s">
        <v>1555</v>
      </c>
      <c r="L2773" t="s">
        <v>1555</v>
      </c>
    </row>
    <row r="2774" spans="1:12" x14ac:dyDescent="0.3">
      <c r="A2774" t="s">
        <v>1778</v>
      </c>
      <c r="B2774" t="s">
        <v>1505</v>
      </c>
      <c r="C2774" t="s">
        <v>750</v>
      </c>
      <c r="D2774" t="s">
        <v>1636</v>
      </c>
      <c r="E2774" t="s">
        <v>568</v>
      </c>
      <c r="F2774" t="s">
        <v>172</v>
      </c>
      <c r="G2774" t="s">
        <v>111</v>
      </c>
      <c r="H2774" t="s">
        <v>182</v>
      </c>
      <c r="I2774" t="s">
        <v>112</v>
      </c>
      <c r="J2774" t="s">
        <v>183</v>
      </c>
      <c r="K2774" t="s">
        <v>1568</v>
      </c>
      <c r="L2774" t="s">
        <v>1568</v>
      </c>
    </row>
    <row r="2775" spans="1:12" x14ac:dyDescent="0.3">
      <c r="A2775" t="s">
        <v>1778</v>
      </c>
      <c r="B2775" t="s">
        <v>1505</v>
      </c>
      <c r="C2775" t="s">
        <v>750</v>
      </c>
      <c r="D2775" t="s">
        <v>1637</v>
      </c>
      <c r="E2775" t="s">
        <v>568</v>
      </c>
      <c r="F2775" t="s">
        <v>62</v>
      </c>
      <c r="G2775" t="s">
        <v>111</v>
      </c>
      <c r="H2775" t="s">
        <v>703</v>
      </c>
      <c r="I2775" t="s">
        <v>112</v>
      </c>
      <c r="J2775" t="s">
        <v>702</v>
      </c>
      <c r="K2775" t="s">
        <v>1555</v>
      </c>
      <c r="L2775" t="s">
        <v>1555</v>
      </c>
    </row>
    <row r="2776" spans="1:12" x14ac:dyDescent="0.3">
      <c r="A2776" t="s">
        <v>1778</v>
      </c>
      <c r="B2776" t="s">
        <v>1505</v>
      </c>
      <c r="C2776" t="s">
        <v>750</v>
      </c>
      <c r="D2776" t="s">
        <v>1638</v>
      </c>
      <c r="E2776" t="s">
        <v>568</v>
      </c>
      <c r="F2776" t="s">
        <v>57</v>
      </c>
      <c r="G2776" t="s">
        <v>111</v>
      </c>
      <c r="H2776" t="s">
        <v>182</v>
      </c>
      <c r="I2776" t="s">
        <v>112</v>
      </c>
      <c r="J2776" t="s">
        <v>183</v>
      </c>
      <c r="K2776" t="s">
        <v>1562</v>
      </c>
      <c r="L2776" t="s">
        <v>1562</v>
      </c>
    </row>
    <row r="2777" spans="1:12" x14ac:dyDescent="0.3">
      <c r="A2777" t="s">
        <v>1778</v>
      </c>
      <c r="B2777" t="s">
        <v>1505</v>
      </c>
      <c r="C2777" t="s">
        <v>750</v>
      </c>
      <c r="D2777" t="s">
        <v>1639</v>
      </c>
      <c r="E2777" t="s">
        <v>568</v>
      </c>
      <c r="F2777" t="s">
        <v>174</v>
      </c>
      <c r="G2777" t="s">
        <v>111</v>
      </c>
      <c r="H2777" t="s">
        <v>1539</v>
      </c>
      <c r="I2777" t="s">
        <v>112</v>
      </c>
      <c r="J2777" t="s">
        <v>704</v>
      </c>
    </row>
    <row r="2778" spans="1:12" x14ac:dyDescent="0.3">
      <c r="A2778" t="s">
        <v>1778</v>
      </c>
      <c r="B2778" t="s">
        <v>1505</v>
      </c>
      <c r="C2778" t="s">
        <v>750</v>
      </c>
      <c r="D2778" t="s">
        <v>1640</v>
      </c>
      <c r="E2778" t="s">
        <v>568</v>
      </c>
      <c r="F2778" t="s">
        <v>77</v>
      </c>
      <c r="G2778" t="s">
        <v>111</v>
      </c>
      <c r="H2778" t="s">
        <v>1539</v>
      </c>
      <c r="I2778" t="s">
        <v>112</v>
      </c>
      <c r="J2778" t="s">
        <v>704</v>
      </c>
      <c r="K2778" t="s">
        <v>1541</v>
      </c>
      <c r="L2778" t="s">
        <v>1541</v>
      </c>
    </row>
    <row r="2779" spans="1:12" x14ac:dyDescent="0.3">
      <c r="A2779" t="s">
        <v>1778</v>
      </c>
      <c r="B2779" t="s">
        <v>1505</v>
      </c>
      <c r="C2779" t="s">
        <v>750</v>
      </c>
      <c r="D2779" t="s">
        <v>1641</v>
      </c>
      <c r="E2779" t="s">
        <v>568</v>
      </c>
      <c r="F2779" t="s">
        <v>102</v>
      </c>
      <c r="G2779" t="s">
        <v>111</v>
      </c>
      <c r="H2779" t="s">
        <v>703</v>
      </c>
      <c r="I2779" t="s">
        <v>112</v>
      </c>
      <c r="J2779" t="s">
        <v>702</v>
      </c>
      <c r="K2779" t="s">
        <v>1563</v>
      </c>
      <c r="L2779" t="s">
        <v>1563</v>
      </c>
    </row>
    <row r="2780" spans="1:12" x14ac:dyDescent="0.3">
      <c r="A2780" t="s">
        <v>1778</v>
      </c>
      <c r="B2780" t="s">
        <v>1505</v>
      </c>
      <c r="C2780" t="s">
        <v>750</v>
      </c>
      <c r="D2780" t="s">
        <v>1642</v>
      </c>
      <c r="E2780" t="s">
        <v>568</v>
      </c>
      <c r="F2780" t="s">
        <v>175</v>
      </c>
      <c r="G2780" t="s">
        <v>111</v>
      </c>
      <c r="H2780" t="s">
        <v>182</v>
      </c>
      <c r="I2780" t="s">
        <v>112</v>
      </c>
      <c r="J2780" t="s">
        <v>183</v>
      </c>
      <c r="K2780" t="s">
        <v>2934</v>
      </c>
      <c r="L2780" t="s">
        <v>2934</v>
      </c>
    </row>
    <row r="2781" spans="1:12" x14ac:dyDescent="0.3">
      <c r="A2781" t="s">
        <v>1778</v>
      </c>
      <c r="B2781" t="s">
        <v>1505</v>
      </c>
      <c r="C2781" t="s">
        <v>750</v>
      </c>
      <c r="D2781" t="s">
        <v>1643</v>
      </c>
      <c r="E2781" t="s">
        <v>568</v>
      </c>
      <c r="F2781" t="s">
        <v>46</v>
      </c>
      <c r="G2781" t="s">
        <v>111</v>
      </c>
      <c r="H2781" t="s">
        <v>703</v>
      </c>
      <c r="I2781" t="s">
        <v>112</v>
      </c>
      <c r="J2781" t="s">
        <v>702</v>
      </c>
      <c r="K2781" t="s">
        <v>2950</v>
      </c>
      <c r="L2781" t="s">
        <v>2950</v>
      </c>
    </row>
    <row r="2782" spans="1:12" x14ac:dyDescent="0.3">
      <c r="A2782" t="s">
        <v>1778</v>
      </c>
      <c r="B2782" t="s">
        <v>1505</v>
      </c>
      <c r="C2782" t="s">
        <v>750</v>
      </c>
      <c r="D2782" t="s">
        <v>1644</v>
      </c>
      <c r="E2782" t="s">
        <v>568</v>
      </c>
      <c r="F2782" t="s">
        <v>202</v>
      </c>
      <c r="G2782" t="s">
        <v>111</v>
      </c>
      <c r="H2782" t="s">
        <v>1561</v>
      </c>
      <c r="I2782" t="s">
        <v>112</v>
      </c>
      <c r="J2782" t="s">
        <v>702</v>
      </c>
      <c r="K2782" t="s">
        <v>1563</v>
      </c>
      <c r="L2782" t="s">
        <v>1563</v>
      </c>
    </row>
    <row r="2783" spans="1:12" x14ac:dyDescent="0.3">
      <c r="A2783" t="s">
        <v>1778</v>
      </c>
      <c r="B2783" t="s">
        <v>1505</v>
      </c>
      <c r="C2783" t="s">
        <v>750</v>
      </c>
      <c r="D2783" t="s">
        <v>1645</v>
      </c>
      <c r="E2783" t="s">
        <v>568</v>
      </c>
      <c r="F2783" t="s">
        <v>141</v>
      </c>
      <c r="G2783" t="s">
        <v>111</v>
      </c>
      <c r="H2783" t="s">
        <v>182</v>
      </c>
      <c r="I2783" t="s">
        <v>112</v>
      </c>
      <c r="J2783" t="s">
        <v>183</v>
      </c>
      <c r="K2783" t="s">
        <v>1535</v>
      </c>
      <c r="L2783" t="s">
        <v>1535</v>
      </c>
    </row>
    <row r="2784" spans="1:12" x14ac:dyDescent="0.3">
      <c r="A2784" t="s">
        <v>1778</v>
      </c>
      <c r="B2784" t="s">
        <v>1505</v>
      </c>
      <c r="C2784" t="s">
        <v>750</v>
      </c>
      <c r="D2784" t="s">
        <v>1646</v>
      </c>
      <c r="E2784" t="s">
        <v>568</v>
      </c>
      <c r="F2784" t="s">
        <v>142</v>
      </c>
      <c r="G2784" t="s">
        <v>111</v>
      </c>
      <c r="H2784" t="s">
        <v>1539</v>
      </c>
      <c r="I2784" t="s">
        <v>112</v>
      </c>
      <c r="J2784" t="s">
        <v>704</v>
      </c>
    </row>
    <row r="2785" spans="1:12" x14ac:dyDescent="0.3">
      <c r="A2785" t="s">
        <v>1778</v>
      </c>
      <c r="B2785" t="s">
        <v>1505</v>
      </c>
      <c r="C2785" t="s">
        <v>750</v>
      </c>
      <c r="D2785" t="s">
        <v>1647</v>
      </c>
      <c r="E2785" t="s">
        <v>568</v>
      </c>
      <c r="F2785" t="s">
        <v>75</v>
      </c>
      <c r="G2785" t="s">
        <v>111</v>
      </c>
      <c r="H2785" t="s">
        <v>182</v>
      </c>
      <c r="I2785" t="s">
        <v>112</v>
      </c>
      <c r="J2785" t="s">
        <v>183</v>
      </c>
      <c r="K2785" t="s">
        <v>1572</v>
      </c>
      <c r="L2785" t="s">
        <v>1572</v>
      </c>
    </row>
    <row r="2786" spans="1:12" x14ac:dyDescent="0.3">
      <c r="A2786" t="s">
        <v>1778</v>
      </c>
      <c r="B2786" t="s">
        <v>1505</v>
      </c>
      <c r="C2786" t="s">
        <v>750</v>
      </c>
      <c r="D2786" t="s">
        <v>1648</v>
      </c>
      <c r="E2786" t="s">
        <v>568</v>
      </c>
      <c r="F2786" t="s">
        <v>143</v>
      </c>
      <c r="G2786" t="s">
        <v>111</v>
      </c>
      <c r="H2786" t="s">
        <v>182</v>
      </c>
      <c r="I2786" t="s">
        <v>112</v>
      </c>
      <c r="J2786" t="s">
        <v>183</v>
      </c>
      <c r="K2786" t="s">
        <v>2935</v>
      </c>
      <c r="L2786" t="s">
        <v>2935</v>
      </c>
    </row>
    <row r="2787" spans="1:12" x14ac:dyDescent="0.3">
      <c r="A2787" t="s">
        <v>1778</v>
      </c>
      <c r="B2787" t="s">
        <v>1505</v>
      </c>
      <c r="C2787" t="s">
        <v>750</v>
      </c>
      <c r="D2787" t="s">
        <v>1649</v>
      </c>
      <c r="E2787" t="s">
        <v>568</v>
      </c>
      <c r="F2787" t="s">
        <v>144</v>
      </c>
      <c r="G2787" t="s">
        <v>111</v>
      </c>
      <c r="H2787" t="s">
        <v>1539</v>
      </c>
      <c r="I2787" t="s">
        <v>112</v>
      </c>
      <c r="J2787" t="s">
        <v>704</v>
      </c>
      <c r="K2787" t="s">
        <v>1548</v>
      </c>
      <c r="L2787" t="s">
        <v>1548</v>
      </c>
    </row>
    <row r="2788" spans="1:12" x14ac:dyDescent="0.3">
      <c r="A2788" t="s">
        <v>1778</v>
      </c>
      <c r="B2788" t="s">
        <v>1505</v>
      </c>
      <c r="C2788" t="s">
        <v>750</v>
      </c>
      <c r="D2788" t="s">
        <v>1650</v>
      </c>
      <c r="E2788" t="s">
        <v>568</v>
      </c>
      <c r="F2788" t="s">
        <v>194</v>
      </c>
      <c r="G2788" t="s">
        <v>111</v>
      </c>
      <c r="H2788" t="s">
        <v>1539</v>
      </c>
      <c r="I2788" t="s">
        <v>112</v>
      </c>
      <c r="J2788" t="s">
        <v>704</v>
      </c>
    </row>
    <row r="2789" spans="1:12" x14ac:dyDescent="0.3">
      <c r="A2789" t="s">
        <v>1778</v>
      </c>
      <c r="B2789" t="s">
        <v>1505</v>
      </c>
      <c r="C2789" t="s">
        <v>750</v>
      </c>
      <c r="D2789" t="s">
        <v>1651</v>
      </c>
      <c r="E2789" t="s">
        <v>568</v>
      </c>
      <c r="F2789" t="s">
        <v>145</v>
      </c>
      <c r="G2789" t="s">
        <v>111</v>
      </c>
      <c r="H2789" t="s">
        <v>703</v>
      </c>
      <c r="I2789" t="s">
        <v>112</v>
      </c>
      <c r="J2789" t="s">
        <v>702</v>
      </c>
      <c r="K2789" t="s">
        <v>1548</v>
      </c>
      <c r="L2789" t="s">
        <v>1548</v>
      </c>
    </row>
    <row r="2790" spans="1:12" x14ac:dyDescent="0.3">
      <c r="A2790" t="s">
        <v>1778</v>
      </c>
      <c r="B2790" t="s">
        <v>1505</v>
      </c>
      <c r="C2790" t="s">
        <v>750</v>
      </c>
      <c r="D2790" t="s">
        <v>1652</v>
      </c>
      <c r="E2790" t="s">
        <v>567</v>
      </c>
      <c r="F2790" t="s">
        <v>104</v>
      </c>
      <c r="G2790" t="s">
        <v>111</v>
      </c>
      <c r="H2790" t="s">
        <v>703</v>
      </c>
      <c r="I2790" t="s">
        <v>112</v>
      </c>
      <c r="J2790" t="s">
        <v>702</v>
      </c>
      <c r="K2790" t="s">
        <v>2932</v>
      </c>
      <c r="L2790" t="s">
        <v>2932</v>
      </c>
    </row>
    <row r="2791" spans="1:12" x14ac:dyDescent="0.3">
      <c r="A2791" t="s">
        <v>1778</v>
      </c>
      <c r="B2791" t="s">
        <v>1505</v>
      </c>
      <c r="C2791" t="s">
        <v>750</v>
      </c>
      <c r="D2791" t="s">
        <v>1653</v>
      </c>
      <c r="E2791" t="s">
        <v>567</v>
      </c>
      <c r="F2791" t="s">
        <v>176</v>
      </c>
      <c r="G2791" t="s">
        <v>111</v>
      </c>
      <c r="H2791" t="s">
        <v>703</v>
      </c>
      <c r="I2791" t="s">
        <v>112</v>
      </c>
      <c r="J2791" t="s">
        <v>702</v>
      </c>
      <c r="K2791" t="s">
        <v>2822</v>
      </c>
      <c r="L2791" t="s">
        <v>2822</v>
      </c>
    </row>
    <row r="2792" spans="1:12" x14ac:dyDescent="0.3">
      <c r="A2792" t="s">
        <v>1778</v>
      </c>
      <c r="B2792" t="s">
        <v>1505</v>
      </c>
      <c r="C2792" t="s">
        <v>750</v>
      </c>
      <c r="D2792" t="s">
        <v>1654</v>
      </c>
      <c r="E2792" t="s">
        <v>567</v>
      </c>
      <c r="F2792" t="s">
        <v>146</v>
      </c>
      <c r="G2792" t="s">
        <v>111</v>
      </c>
      <c r="H2792" t="s">
        <v>1539</v>
      </c>
      <c r="I2792" t="s">
        <v>112</v>
      </c>
      <c r="J2792" t="s">
        <v>704</v>
      </c>
      <c r="K2792" t="s">
        <v>2937</v>
      </c>
      <c r="L2792" t="s">
        <v>2937</v>
      </c>
    </row>
    <row r="2793" spans="1:12" x14ac:dyDescent="0.3">
      <c r="A2793" t="s">
        <v>1778</v>
      </c>
      <c r="B2793" t="s">
        <v>1505</v>
      </c>
      <c r="C2793" t="s">
        <v>750</v>
      </c>
      <c r="D2793" t="s">
        <v>1655</v>
      </c>
      <c r="E2793" t="s">
        <v>567</v>
      </c>
      <c r="F2793" t="s">
        <v>148</v>
      </c>
      <c r="G2793" t="s">
        <v>111</v>
      </c>
      <c r="H2793" t="s">
        <v>182</v>
      </c>
      <c r="I2793" t="s">
        <v>112</v>
      </c>
      <c r="J2793" t="s">
        <v>183</v>
      </c>
      <c r="K2793" t="s">
        <v>2938</v>
      </c>
      <c r="L2793" t="s">
        <v>2938</v>
      </c>
    </row>
    <row r="2794" spans="1:12" x14ac:dyDescent="0.3">
      <c r="A2794" t="s">
        <v>1778</v>
      </c>
      <c r="B2794" t="s">
        <v>1505</v>
      </c>
      <c r="C2794" t="s">
        <v>750</v>
      </c>
      <c r="D2794" t="s">
        <v>1656</v>
      </c>
      <c r="E2794" t="s">
        <v>567</v>
      </c>
      <c r="F2794" t="s">
        <v>149</v>
      </c>
      <c r="G2794" t="s">
        <v>111</v>
      </c>
      <c r="H2794" t="s">
        <v>703</v>
      </c>
      <c r="I2794" t="s">
        <v>112</v>
      </c>
      <c r="J2794" t="s">
        <v>702</v>
      </c>
      <c r="K2794" t="s">
        <v>2932</v>
      </c>
      <c r="L2794" t="s">
        <v>2932</v>
      </c>
    </row>
    <row r="2795" spans="1:12" x14ac:dyDescent="0.3">
      <c r="A2795" t="s">
        <v>1778</v>
      </c>
      <c r="B2795" t="s">
        <v>1505</v>
      </c>
      <c r="C2795" t="s">
        <v>750</v>
      </c>
      <c r="D2795" t="s">
        <v>1657</v>
      </c>
      <c r="E2795" t="s">
        <v>567</v>
      </c>
      <c r="F2795" t="s">
        <v>83</v>
      </c>
      <c r="G2795" t="s">
        <v>111</v>
      </c>
      <c r="H2795" t="s">
        <v>182</v>
      </c>
      <c r="I2795" t="s">
        <v>112</v>
      </c>
      <c r="J2795" t="s">
        <v>183</v>
      </c>
      <c r="K2795" t="s">
        <v>2951</v>
      </c>
      <c r="L2795" t="s">
        <v>2951</v>
      </c>
    </row>
    <row r="2796" spans="1:12" x14ac:dyDescent="0.3">
      <c r="A2796" t="s">
        <v>1778</v>
      </c>
      <c r="B2796" t="s">
        <v>1505</v>
      </c>
      <c r="C2796" t="s">
        <v>750</v>
      </c>
      <c r="D2796" t="s">
        <v>1658</v>
      </c>
      <c r="E2796" t="s">
        <v>567</v>
      </c>
      <c r="F2796" t="s">
        <v>203</v>
      </c>
      <c r="G2796" t="s">
        <v>111</v>
      </c>
      <c r="H2796" t="s">
        <v>2885</v>
      </c>
      <c r="I2796" t="s">
        <v>112</v>
      </c>
      <c r="J2796" t="s">
        <v>1595</v>
      </c>
      <c r="K2796" t="s">
        <v>1542</v>
      </c>
      <c r="L2796" t="s">
        <v>1542</v>
      </c>
    </row>
    <row r="2797" spans="1:12" x14ac:dyDescent="0.3">
      <c r="A2797" t="s">
        <v>1778</v>
      </c>
      <c r="B2797" t="s">
        <v>1505</v>
      </c>
      <c r="C2797" t="s">
        <v>750</v>
      </c>
      <c r="D2797" t="s">
        <v>1659</v>
      </c>
      <c r="E2797" t="s">
        <v>567</v>
      </c>
      <c r="F2797" t="s">
        <v>150</v>
      </c>
      <c r="G2797" t="s">
        <v>111</v>
      </c>
      <c r="H2797" t="s">
        <v>703</v>
      </c>
      <c r="I2797" t="s">
        <v>112</v>
      </c>
      <c r="J2797" t="s">
        <v>702</v>
      </c>
      <c r="K2797" t="s">
        <v>2952</v>
      </c>
      <c r="L2797" t="s">
        <v>2952</v>
      </c>
    </row>
    <row r="2798" spans="1:12" x14ac:dyDescent="0.3">
      <c r="A2798" t="s">
        <v>1778</v>
      </c>
      <c r="B2798" t="s">
        <v>1505</v>
      </c>
      <c r="C2798" t="s">
        <v>750</v>
      </c>
      <c r="D2798" t="s">
        <v>1660</v>
      </c>
      <c r="E2798" t="s">
        <v>567</v>
      </c>
      <c r="F2798" t="s">
        <v>92</v>
      </c>
      <c r="G2798" t="s">
        <v>111</v>
      </c>
      <c r="H2798" t="s">
        <v>182</v>
      </c>
      <c r="I2798" t="s">
        <v>112</v>
      </c>
      <c r="J2798" t="s">
        <v>183</v>
      </c>
      <c r="K2798" t="s">
        <v>2928</v>
      </c>
      <c r="L2798" t="s">
        <v>2928</v>
      </c>
    </row>
    <row r="2799" spans="1:12" x14ac:dyDescent="0.3">
      <c r="A2799" t="s">
        <v>1778</v>
      </c>
      <c r="B2799" t="s">
        <v>1505</v>
      </c>
      <c r="C2799" t="s">
        <v>750</v>
      </c>
      <c r="D2799" t="s">
        <v>1661</v>
      </c>
      <c r="E2799" t="s">
        <v>567</v>
      </c>
      <c r="F2799" t="s">
        <v>63</v>
      </c>
      <c r="G2799" t="s">
        <v>111</v>
      </c>
      <c r="H2799" t="s">
        <v>703</v>
      </c>
      <c r="I2799" t="s">
        <v>112</v>
      </c>
      <c r="J2799" t="s">
        <v>702</v>
      </c>
      <c r="K2799" t="s">
        <v>1574</v>
      </c>
      <c r="L2799" t="s">
        <v>1574</v>
      </c>
    </row>
    <row r="2800" spans="1:12" x14ac:dyDescent="0.3">
      <c r="A2800" t="s">
        <v>1778</v>
      </c>
      <c r="B2800" t="s">
        <v>1505</v>
      </c>
      <c r="C2800" t="s">
        <v>750</v>
      </c>
      <c r="D2800" t="s">
        <v>1662</v>
      </c>
      <c r="E2800" t="s">
        <v>567</v>
      </c>
      <c r="F2800" t="s">
        <v>151</v>
      </c>
      <c r="G2800" t="s">
        <v>111</v>
      </c>
      <c r="H2800" t="s">
        <v>1539</v>
      </c>
      <c r="I2800" t="s">
        <v>112</v>
      </c>
      <c r="J2800" t="s">
        <v>704</v>
      </c>
    </row>
    <row r="2801" spans="1:12" x14ac:dyDescent="0.3">
      <c r="A2801" t="s">
        <v>1778</v>
      </c>
      <c r="B2801" t="s">
        <v>1505</v>
      </c>
      <c r="C2801" t="s">
        <v>750</v>
      </c>
      <c r="D2801" t="s">
        <v>1663</v>
      </c>
      <c r="E2801" t="s">
        <v>567</v>
      </c>
      <c r="F2801" t="s">
        <v>195</v>
      </c>
      <c r="G2801" t="s">
        <v>111</v>
      </c>
      <c r="H2801" t="s">
        <v>1553</v>
      </c>
      <c r="I2801" t="s">
        <v>112</v>
      </c>
      <c r="J2801" t="s">
        <v>1554</v>
      </c>
      <c r="K2801" t="s">
        <v>2928</v>
      </c>
      <c r="L2801" t="s">
        <v>2928</v>
      </c>
    </row>
    <row r="2802" spans="1:12" x14ac:dyDescent="0.3">
      <c r="A2802" t="s">
        <v>1778</v>
      </c>
      <c r="B2802" t="s">
        <v>1505</v>
      </c>
      <c r="C2802" t="s">
        <v>750</v>
      </c>
      <c r="D2802" t="s">
        <v>1664</v>
      </c>
      <c r="E2802" t="s">
        <v>567</v>
      </c>
      <c r="F2802" t="s">
        <v>177</v>
      </c>
      <c r="G2802" t="s">
        <v>111</v>
      </c>
      <c r="H2802" t="s">
        <v>703</v>
      </c>
      <c r="I2802" t="s">
        <v>112</v>
      </c>
      <c r="J2802" t="s">
        <v>702</v>
      </c>
      <c r="K2802" t="s">
        <v>1551</v>
      </c>
      <c r="L2802" t="s">
        <v>1551</v>
      </c>
    </row>
    <row r="2803" spans="1:12" x14ac:dyDescent="0.3">
      <c r="A2803" t="s">
        <v>1778</v>
      </c>
      <c r="B2803" t="s">
        <v>1505</v>
      </c>
      <c r="C2803" t="s">
        <v>750</v>
      </c>
      <c r="D2803" t="s">
        <v>1665</v>
      </c>
      <c r="E2803" t="s">
        <v>567</v>
      </c>
      <c r="F2803" t="s">
        <v>91</v>
      </c>
      <c r="G2803" t="s">
        <v>111</v>
      </c>
      <c r="H2803" t="s">
        <v>1539</v>
      </c>
      <c r="I2803" t="s">
        <v>112</v>
      </c>
      <c r="J2803" t="s">
        <v>704</v>
      </c>
    </row>
    <row r="2804" spans="1:12" x14ac:dyDescent="0.3">
      <c r="A2804" t="s">
        <v>1778</v>
      </c>
      <c r="B2804" t="s">
        <v>1505</v>
      </c>
      <c r="C2804" t="s">
        <v>750</v>
      </c>
      <c r="D2804" t="s">
        <v>1666</v>
      </c>
      <c r="E2804" t="s">
        <v>567</v>
      </c>
      <c r="F2804" t="s">
        <v>152</v>
      </c>
      <c r="G2804" t="s">
        <v>111</v>
      </c>
      <c r="H2804" t="s">
        <v>182</v>
      </c>
      <c r="I2804" t="s">
        <v>112</v>
      </c>
      <c r="J2804" t="s">
        <v>183</v>
      </c>
      <c r="K2804" t="s">
        <v>2809</v>
      </c>
      <c r="L2804" t="s">
        <v>2809</v>
      </c>
    </row>
    <row r="2805" spans="1:12" x14ac:dyDescent="0.3">
      <c r="A2805" t="s">
        <v>1778</v>
      </c>
      <c r="B2805" t="s">
        <v>1505</v>
      </c>
      <c r="C2805" t="s">
        <v>750</v>
      </c>
      <c r="D2805" t="s">
        <v>1668</v>
      </c>
      <c r="E2805" t="s">
        <v>567</v>
      </c>
      <c r="F2805" t="s">
        <v>67</v>
      </c>
      <c r="G2805" t="s">
        <v>111</v>
      </c>
      <c r="H2805" t="s">
        <v>703</v>
      </c>
      <c r="I2805" t="s">
        <v>112</v>
      </c>
      <c r="J2805" t="s">
        <v>702</v>
      </c>
      <c r="K2805" t="s">
        <v>2939</v>
      </c>
      <c r="L2805" t="s">
        <v>2939</v>
      </c>
    </row>
    <row r="2806" spans="1:12" x14ac:dyDescent="0.3">
      <c r="A2806" t="s">
        <v>1778</v>
      </c>
      <c r="B2806" t="s">
        <v>1505</v>
      </c>
      <c r="C2806" t="s">
        <v>750</v>
      </c>
      <c r="D2806" t="s">
        <v>1670</v>
      </c>
      <c r="E2806" t="s">
        <v>567</v>
      </c>
      <c r="F2806" t="s">
        <v>196</v>
      </c>
      <c r="G2806" t="s">
        <v>111</v>
      </c>
      <c r="H2806" t="s">
        <v>182</v>
      </c>
      <c r="I2806" t="s">
        <v>112</v>
      </c>
      <c r="J2806" t="s">
        <v>183</v>
      </c>
      <c r="K2806" t="s">
        <v>2940</v>
      </c>
      <c r="L2806" t="s">
        <v>2940</v>
      </c>
    </row>
    <row r="2807" spans="1:12" x14ac:dyDescent="0.3">
      <c r="A2807" t="s">
        <v>1778</v>
      </c>
      <c r="B2807" t="s">
        <v>1505</v>
      </c>
      <c r="C2807" t="s">
        <v>750</v>
      </c>
      <c r="D2807" t="s">
        <v>1672</v>
      </c>
      <c r="E2807" t="s">
        <v>567</v>
      </c>
      <c r="F2807" t="s">
        <v>179</v>
      </c>
      <c r="G2807" t="s">
        <v>111</v>
      </c>
      <c r="H2807" t="s">
        <v>182</v>
      </c>
      <c r="I2807" t="s">
        <v>112</v>
      </c>
      <c r="J2807" t="s">
        <v>183</v>
      </c>
      <c r="K2807" t="s">
        <v>1548</v>
      </c>
      <c r="L2807" t="s">
        <v>1548</v>
      </c>
    </row>
    <row r="2808" spans="1:12" x14ac:dyDescent="0.3">
      <c r="A2808" t="s">
        <v>1778</v>
      </c>
      <c r="B2808" t="s">
        <v>1505</v>
      </c>
      <c r="C2808" t="s">
        <v>750</v>
      </c>
      <c r="D2808" t="s">
        <v>1673</v>
      </c>
      <c r="E2808" t="s">
        <v>567</v>
      </c>
      <c r="F2808" t="s">
        <v>153</v>
      </c>
      <c r="G2808" t="s">
        <v>111</v>
      </c>
      <c r="H2808" t="s">
        <v>182</v>
      </c>
      <c r="I2808" t="s">
        <v>112</v>
      </c>
      <c r="J2808" t="s">
        <v>183</v>
      </c>
      <c r="K2808" t="s">
        <v>1610</v>
      </c>
      <c r="L2808" t="s">
        <v>1610</v>
      </c>
    </row>
    <row r="2809" spans="1:12" x14ac:dyDescent="0.3">
      <c r="A2809" t="s">
        <v>1778</v>
      </c>
      <c r="B2809" t="s">
        <v>1505</v>
      </c>
      <c r="C2809" t="s">
        <v>750</v>
      </c>
      <c r="D2809" t="s">
        <v>1674</v>
      </c>
      <c r="E2809" t="s">
        <v>567</v>
      </c>
      <c r="F2809" t="s">
        <v>55</v>
      </c>
      <c r="G2809" t="s">
        <v>111</v>
      </c>
      <c r="H2809" t="s">
        <v>703</v>
      </c>
      <c r="I2809" t="s">
        <v>112</v>
      </c>
      <c r="J2809" t="s">
        <v>702</v>
      </c>
      <c r="K2809" t="s">
        <v>1603</v>
      </c>
      <c r="L2809" t="s">
        <v>1603</v>
      </c>
    </row>
    <row r="2810" spans="1:12" x14ac:dyDescent="0.3">
      <c r="A2810" t="s">
        <v>1778</v>
      </c>
      <c r="B2810" t="s">
        <v>1505</v>
      </c>
      <c r="C2810" t="s">
        <v>750</v>
      </c>
      <c r="D2810" t="s">
        <v>1675</v>
      </c>
      <c r="E2810" t="s">
        <v>567</v>
      </c>
      <c r="F2810" t="s">
        <v>197</v>
      </c>
      <c r="G2810" t="s">
        <v>111</v>
      </c>
      <c r="H2810" t="s">
        <v>186</v>
      </c>
      <c r="I2810" t="s">
        <v>112</v>
      </c>
      <c r="J2810" t="s">
        <v>183</v>
      </c>
      <c r="K2810" t="s">
        <v>1568</v>
      </c>
      <c r="L2810" t="s">
        <v>1568</v>
      </c>
    </row>
    <row r="2811" spans="1:12" x14ac:dyDescent="0.3">
      <c r="A2811" t="s">
        <v>1778</v>
      </c>
      <c r="B2811" t="s">
        <v>1505</v>
      </c>
      <c r="C2811" t="s">
        <v>750</v>
      </c>
      <c r="D2811" t="s">
        <v>1677</v>
      </c>
      <c r="E2811" t="s">
        <v>567</v>
      </c>
      <c r="F2811" t="s">
        <v>156</v>
      </c>
      <c r="G2811" t="s">
        <v>111</v>
      </c>
      <c r="H2811" t="s">
        <v>184</v>
      </c>
      <c r="I2811" t="s">
        <v>112</v>
      </c>
      <c r="J2811" t="s">
        <v>185</v>
      </c>
      <c r="K2811" t="s">
        <v>2941</v>
      </c>
      <c r="L2811" t="s">
        <v>2941</v>
      </c>
    </row>
    <row r="2812" spans="1:12" x14ac:dyDescent="0.3">
      <c r="A2812" t="s">
        <v>1778</v>
      </c>
      <c r="B2812" t="s">
        <v>1505</v>
      </c>
      <c r="C2812" t="s">
        <v>750</v>
      </c>
      <c r="D2812" t="s">
        <v>1678</v>
      </c>
      <c r="E2812" t="s">
        <v>567</v>
      </c>
      <c r="F2812" t="s">
        <v>103</v>
      </c>
      <c r="G2812" t="s">
        <v>111</v>
      </c>
      <c r="H2812" t="s">
        <v>182</v>
      </c>
      <c r="I2812" t="s">
        <v>112</v>
      </c>
      <c r="J2812" t="s">
        <v>183</v>
      </c>
      <c r="K2812" t="s">
        <v>2942</v>
      </c>
      <c r="L2812" t="s">
        <v>2942</v>
      </c>
    </row>
    <row r="2813" spans="1:12" x14ac:dyDescent="0.3">
      <c r="A2813" t="s">
        <v>1778</v>
      </c>
      <c r="B2813" t="s">
        <v>1505</v>
      </c>
      <c r="C2813" t="s">
        <v>750</v>
      </c>
      <c r="D2813" t="s">
        <v>1679</v>
      </c>
      <c r="E2813" t="s">
        <v>567</v>
      </c>
      <c r="F2813" t="s">
        <v>198</v>
      </c>
      <c r="G2813" t="s">
        <v>111</v>
      </c>
      <c r="H2813" t="s">
        <v>703</v>
      </c>
      <c r="I2813" t="s">
        <v>112</v>
      </c>
      <c r="J2813" t="s">
        <v>702</v>
      </c>
      <c r="K2813" t="s">
        <v>2953</v>
      </c>
      <c r="L2813" t="s">
        <v>2953</v>
      </c>
    </row>
    <row r="2814" spans="1:12" x14ac:dyDescent="0.3">
      <c r="A2814" t="s">
        <v>1778</v>
      </c>
      <c r="B2814" t="s">
        <v>1505</v>
      </c>
      <c r="C2814" t="s">
        <v>750</v>
      </c>
      <c r="D2814" t="s">
        <v>1680</v>
      </c>
      <c r="E2814" t="s">
        <v>567</v>
      </c>
      <c r="F2814" t="s">
        <v>180</v>
      </c>
      <c r="G2814" t="s">
        <v>111</v>
      </c>
      <c r="H2814" t="s">
        <v>182</v>
      </c>
      <c r="I2814" t="s">
        <v>112</v>
      </c>
      <c r="J2814" t="s">
        <v>183</v>
      </c>
      <c r="K2814" t="s">
        <v>1563</v>
      </c>
      <c r="L2814" t="s">
        <v>1563</v>
      </c>
    </row>
    <row r="2815" spans="1:12" x14ac:dyDescent="0.3">
      <c r="A2815" t="s">
        <v>1778</v>
      </c>
      <c r="B2815" t="s">
        <v>1505</v>
      </c>
      <c r="C2815" t="s">
        <v>750</v>
      </c>
      <c r="D2815" t="s">
        <v>1681</v>
      </c>
      <c r="E2815" t="s">
        <v>567</v>
      </c>
      <c r="F2815" t="s">
        <v>158</v>
      </c>
      <c r="G2815" t="s">
        <v>111</v>
      </c>
      <c r="H2815" t="s">
        <v>2917</v>
      </c>
      <c r="I2815" t="s">
        <v>112</v>
      </c>
      <c r="J2815" t="s">
        <v>2918</v>
      </c>
      <c r="K2815" t="s">
        <v>2820</v>
      </c>
      <c r="L2815" t="s">
        <v>2820</v>
      </c>
    </row>
    <row r="2816" spans="1:12" x14ac:dyDescent="0.3">
      <c r="A2816" t="s">
        <v>1778</v>
      </c>
      <c r="B2816" t="s">
        <v>1505</v>
      </c>
      <c r="C2816" t="s">
        <v>750</v>
      </c>
      <c r="D2816" t="s">
        <v>1682</v>
      </c>
      <c r="E2816" t="s">
        <v>567</v>
      </c>
      <c r="F2816" t="s">
        <v>199</v>
      </c>
      <c r="G2816" t="s">
        <v>111</v>
      </c>
      <c r="H2816" t="s">
        <v>703</v>
      </c>
      <c r="I2816" t="s">
        <v>112</v>
      </c>
      <c r="J2816" t="s">
        <v>702</v>
      </c>
      <c r="K2816" t="s">
        <v>2922</v>
      </c>
      <c r="L2816" t="s">
        <v>2922</v>
      </c>
    </row>
    <row r="2817" spans="1:12" x14ac:dyDescent="0.3">
      <c r="A2817" t="s">
        <v>1778</v>
      </c>
      <c r="B2817" t="s">
        <v>1505</v>
      </c>
      <c r="C2817" t="s">
        <v>750</v>
      </c>
      <c r="D2817" t="s">
        <v>1683</v>
      </c>
      <c r="E2817" t="s">
        <v>567</v>
      </c>
      <c r="F2817" t="s">
        <v>159</v>
      </c>
      <c r="G2817" t="s">
        <v>111</v>
      </c>
      <c r="H2817" t="s">
        <v>703</v>
      </c>
      <c r="I2817" t="s">
        <v>112</v>
      </c>
      <c r="J2817" t="s">
        <v>702</v>
      </c>
      <c r="K2817" t="s">
        <v>2949</v>
      </c>
      <c r="L2817" t="s">
        <v>2949</v>
      </c>
    </row>
    <row r="2818" spans="1:12" x14ac:dyDescent="0.3">
      <c r="A2818" t="s">
        <v>1778</v>
      </c>
      <c r="B2818" t="s">
        <v>1505</v>
      </c>
      <c r="C2818" t="s">
        <v>750</v>
      </c>
      <c r="D2818" t="s">
        <v>1684</v>
      </c>
      <c r="E2818" t="s">
        <v>567</v>
      </c>
      <c r="F2818" t="s">
        <v>47</v>
      </c>
      <c r="G2818" t="s">
        <v>111</v>
      </c>
      <c r="H2818" t="s">
        <v>703</v>
      </c>
      <c r="I2818" t="s">
        <v>112</v>
      </c>
      <c r="J2818" t="s">
        <v>702</v>
      </c>
      <c r="K2818" t="s">
        <v>2954</v>
      </c>
      <c r="L2818" t="s">
        <v>2954</v>
      </c>
    </row>
    <row r="2819" spans="1:12" x14ac:dyDescent="0.3">
      <c r="A2819" t="s">
        <v>1778</v>
      </c>
      <c r="B2819" t="s">
        <v>1505</v>
      </c>
      <c r="C2819" t="s">
        <v>750</v>
      </c>
      <c r="D2819" t="s">
        <v>1687</v>
      </c>
      <c r="E2819" t="s">
        <v>567</v>
      </c>
      <c r="F2819" t="s">
        <v>181</v>
      </c>
      <c r="G2819" t="s">
        <v>111</v>
      </c>
      <c r="H2819" t="s">
        <v>1539</v>
      </c>
      <c r="I2819" t="s">
        <v>112</v>
      </c>
      <c r="J2819" t="s">
        <v>704</v>
      </c>
      <c r="K2819" t="s">
        <v>2943</v>
      </c>
      <c r="L2819" t="s">
        <v>2943</v>
      </c>
    </row>
    <row r="2820" spans="1:12" x14ac:dyDescent="0.3">
      <c r="A2820" t="s">
        <v>1778</v>
      </c>
      <c r="B2820" t="s">
        <v>1505</v>
      </c>
      <c r="C2820" t="s">
        <v>750</v>
      </c>
      <c r="D2820" t="s">
        <v>1688</v>
      </c>
      <c r="E2820" t="s">
        <v>567</v>
      </c>
      <c r="F2820" t="s">
        <v>73</v>
      </c>
      <c r="G2820" t="s">
        <v>111</v>
      </c>
      <c r="H2820" t="s">
        <v>1539</v>
      </c>
      <c r="I2820" t="s">
        <v>112</v>
      </c>
      <c r="J2820" t="s">
        <v>704</v>
      </c>
    </row>
    <row r="2821" spans="1:12" x14ac:dyDescent="0.3">
      <c r="A2821" t="s">
        <v>1778</v>
      </c>
      <c r="B2821" t="s">
        <v>1505</v>
      </c>
      <c r="C2821" t="s">
        <v>750</v>
      </c>
      <c r="D2821" t="s">
        <v>1689</v>
      </c>
      <c r="E2821" t="s">
        <v>567</v>
      </c>
      <c r="F2821" t="s">
        <v>162</v>
      </c>
      <c r="G2821" t="s">
        <v>111</v>
      </c>
      <c r="H2821" t="s">
        <v>1539</v>
      </c>
      <c r="I2821" t="s">
        <v>112</v>
      </c>
      <c r="J2821" t="s">
        <v>704</v>
      </c>
    </row>
    <row r="2822" spans="1:12" x14ac:dyDescent="0.3">
      <c r="A2822" t="s">
        <v>1778</v>
      </c>
      <c r="B2822" t="s">
        <v>732</v>
      </c>
      <c r="C2822" t="s">
        <v>711</v>
      </c>
      <c r="D2822" t="s">
        <v>303</v>
      </c>
      <c r="E2822" t="s">
        <v>569</v>
      </c>
      <c r="F2822" t="s">
        <v>49</v>
      </c>
      <c r="G2822" t="s">
        <v>111</v>
      </c>
      <c r="H2822" t="s">
        <v>182</v>
      </c>
      <c r="I2822" t="s">
        <v>112</v>
      </c>
      <c r="J2822" t="s">
        <v>183</v>
      </c>
      <c r="K2822" t="s">
        <v>1535</v>
      </c>
      <c r="L2822" t="s">
        <v>1535</v>
      </c>
    </row>
    <row r="2823" spans="1:12" x14ac:dyDescent="0.3">
      <c r="A2823" t="s">
        <v>1778</v>
      </c>
      <c r="B2823" t="s">
        <v>732</v>
      </c>
      <c r="C2823" t="s">
        <v>711</v>
      </c>
      <c r="D2823" t="s">
        <v>209</v>
      </c>
      <c r="E2823" t="s">
        <v>569</v>
      </c>
      <c r="F2823" t="s">
        <v>115</v>
      </c>
      <c r="G2823" t="s">
        <v>111</v>
      </c>
      <c r="H2823" t="s">
        <v>703</v>
      </c>
      <c r="I2823" t="s">
        <v>112</v>
      </c>
      <c r="J2823" t="s">
        <v>702</v>
      </c>
      <c r="K2823" t="s">
        <v>1551</v>
      </c>
      <c r="L2823" t="s">
        <v>1551</v>
      </c>
    </row>
    <row r="2824" spans="1:12" x14ac:dyDescent="0.3">
      <c r="A2824" t="s">
        <v>1778</v>
      </c>
      <c r="B2824" t="s">
        <v>732</v>
      </c>
      <c r="C2824" t="s">
        <v>711</v>
      </c>
      <c r="D2824" t="s">
        <v>210</v>
      </c>
      <c r="E2824" t="s">
        <v>569</v>
      </c>
      <c r="F2824" t="s">
        <v>59</v>
      </c>
      <c r="G2824" t="s">
        <v>111</v>
      </c>
      <c r="H2824" t="s">
        <v>703</v>
      </c>
      <c r="I2824" t="s">
        <v>112</v>
      </c>
      <c r="J2824" t="s">
        <v>702</v>
      </c>
      <c r="K2824" t="s">
        <v>2929</v>
      </c>
      <c r="L2824" t="s">
        <v>2929</v>
      </c>
    </row>
    <row r="2825" spans="1:12" x14ac:dyDescent="0.3">
      <c r="A2825" t="s">
        <v>1778</v>
      </c>
      <c r="B2825" t="s">
        <v>732</v>
      </c>
      <c r="C2825" t="s">
        <v>711</v>
      </c>
      <c r="D2825" t="s">
        <v>304</v>
      </c>
      <c r="E2825" t="s">
        <v>569</v>
      </c>
      <c r="F2825" t="s">
        <v>117</v>
      </c>
      <c r="G2825" t="s">
        <v>111</v>
      </c>
      <c r="H2825" t="s">
        <v>1539</v>
      </c>
      <c r="I2825" t="s">
        <v>112</v>
      </c>
      <c r="J2825" t="s">
        <v>704</v>
      </c>
      <c r="K2825" t="s">
        <v>2955</v>
      </c>
      <c r="L2825" t="s">
        <v>2955</v>
      </c>
    </row>
    <row r="2826" spans="1:12" x14ac:dyDescent="0.3">
      <c r="A2826" t="s">
        <v>1778</v>
      </c>
      <c r="B2826" t="s">
        <v>732</v>
      </c>
      <c r="C2826" t="s">
        <v>711</v>
      </c>
      <c r="D2826" t="s">
        <v>305</v>
      </c>
      <c r="E2826" t="s">
        <v>569</v>
      </c>
      <c r="F2826" t="s">
        <v>120</v>
      </c>
      <c r="G2826" t="s">
        <v>111</v>
      </c>
      <c r="H2826" t="s">
        <v>703</v>
      </c>
      <c r="I2826" t="s">
        <v>112</v>
      </c>
      <c r="J2826" t="s">
        <v>702</v>
      </c>
      <c r="K2826" t="s">
        <v>1559</v>
      </c>
      <c r="L2826" t="s">
        <v>1559</v>
      </c>
    </row>
    <row r="2827" spans="1:12" x14ac:dyDescent="0.3">
      <c r="A2827" t="s">
        <v>1778</v>
      </c>
      <c r="B2827" t="s">
        <v>732</v>
      </c>
      <c r="C2827" t="s">
        <v>711</v>
      </c>
      <c r="D2827" t="s">
        <v>212</v>
      </c>
      <c r="E2827" t="s">
        <v>569</v>
      </c>
      <c r="F2827" t="s">
        <v>164</v>
      </c>
      <c r="G2827" t="s">
        <v>111</v>
      </c>
      <c r="H2827" t="s">
        <v>703</v>
      </c>
      <c r="I2827" t="s">
        <v>112</v>
      </c>
      <c r="J2827" t="s">
        <v>702</v>
      </c>
      <c r="K2827" t="s">
        <v>2956</v>
      </c>
      <c r="L2827" t="s">
        <v>2956</v>
      </c>
    </row>
    <row r="2828" spans="1:12" x14ac:dyDescent="0.3">
      <c r="A2828" t="s">
        <v>1778</v>
      </c>
      <c r="B2828" t="s">
        <v>732</v>
      </c>
      <c r="C2828" t="s">
        <v>711</v>
      </c>
      <c r="D2828" t="s">
        <v>213</v>
      </c>
      <c r="E2828" t="s">
        <v>569</v>
      </c>
      <c r="F2828" t="s">
        <v>53</v>
      </c>
      <c r="G2828" t="s">
        <v>111</v>
      </c>
      <c r="H2828" t="s">
        <v>1539</v>
      </c>
      <c r="I2828" t="s">
        <v>112</v>
      </c>
      <c r="J2828" t="s">
        <v>704</v>
      </c>
      <c r="K2828" t="s">
        <v>2957</v>
      </c>
      <c r="L2828" t="s">
        <v>2957</v>
      </c>
    </row>
    <row r="2829" spans="1:12" x14ac:dyDescent="0.3">
      <c r="A2829" t="s">
        <v>1778</v>
      </c>
      <c r="B2829" t="s">
        <v>732</v>
      </c>
      <c r="C2829" t="s">
        <v>711</v>
      </c>
      <c r="D2829" t="s">
        <v>214</v>
      </c>
      <c r="E2829" t="s">
        <v>569</v>
      </c>
      <c r="F2829" t="s">
        <v>56</v>
      </c>
      <c r="G2829" t="s">
        <v>111</v>
      </c>
      <c r="H2829" t="s">
        <v>701</v>
      </c>
      <c r="I2829" t="s">
        <v>112</v>
      </c>
      <c r="J2829" t="s">
        <v>702</v>
      </c>
      <c r="K2829" t="s">
        <v>1559</v>
      </c>
      <c r="L2829" t="s">
        <v>1559</v>
      </c>
    </row>
    <row r="2830" spans="1:12" x14ac:dyDescent="0.3">
      <c r="A2830" t="s">
        <v>1778</v>
      </c>
      <c r="B2830" t="s">
        <v>732</v>
      </c>
      <c r="C2830" t="s">
        <v>711</v>
      </c>
      <c r="D2830" t="s">
        <v>215</v>
      </c>
      <c r="E2830" t="s">
        <v>569</v>
      </c>
      <c r="F2830" t="s">
        <v>69</v>
      </c>
      <c r="G2830" t="s">
        <v>111</v>
      </c>
      <c r="H2830" t="s">
        <v>703</v>
      </c>
      <c r="I2830" t="s">
        <v>112</v>
      </c>
      <c r="J2830" t="s">
        <v>702</v>
      </c>
      <c r="K2830" t="s">
        <v>1555</v>
      </c>
      <c r="L2830" t="s">
        <v>1555</v>
      </c>
    </row>
    <row r="2831" spans="1:12" x14ac:dyDescent="0.3">
      <c r="A2831" t="s">
        <v>1778</v>
      </c>
      <c r="B2831" t="s">
        <v>732</v>
      </c>
      <c r="C2831" t="s">
        <v>711</v>
      </c>
      <c r="D2831" t="s">
        <v>216</v>
      </c>
      <c r="E2831" t="s">
        <v>569</v>
      </c>
      <c r="F2831" t="s">
        <v>121</v>
      </c>
      <c r="G2831" t="s">
        <v>111</v>
      </c>
      <c r="H2831" t="s">
        <v>182</v>
      </c>
      <c r="I2831" t="s">
        <v>112</v>
      </c>
      <c r="J2831" t="s">
        <v>183</v>
      </c>
      <c r="K2831" t="s">
        <v>1537</v>
      </c>
      <c r="L2831" t="s">
        <v>1537</v>
      </c>
    </row>
    <row r="2832" spans="1:12" x14ac:dyDescent="0.3">
      <c r="A2832" t="s">
        <v>1778</v>
      </c>
      <c r="B2832" t="s">
        <v>732</v>
      </c>
      <c r="C2832" t="s">
        <v>711</v>
      </c>
      <c r="D2832" t="s">
        <v>217</v>
      </c>
      <c r="E2832" t="s">
        <v>569</v>
      </c>
      <c r="F2832" t="s">
        <v>122</v>
      </c>
      <c r="G2832" t="s">
        <v>111</v>
      </c>
      <c r="H2832" t="s">
        <v>1561</v>
      </c>
      <c r="I2832" t="s">
        <v>112</v>
      </c>
      <c r="J2832" t="s">
        <v>702</v>
      </c>
      <c r="K2832" t="s">
        <v>2822</v>
      </c>
      <c r="L2832" t="s">
        <v>2822</v>
      </c>
    </row>
    <row r="2833" spans="1:12" x14ac:dyDescent="0.3">
      <c r="A2833" t="s">
        <v>1778</v>
      </c>
      <c r="B2833" t="s">
        <v>732</v>
      </c>
      <c r="C2833" t="s">
        <v>711</v>
      </c>
      <c r="D2833" t="s">
        <v>306</v>
      </c>
      <c r="E2833" t="s">
        <v>569</v>
      </c>
      <c r="F2833" t="s">
        <v>165</v>
      </c>
      <c r="G2833" t="s">
        <v>111</v>
      </c>
      <c r="H2833" t="s">
        <v>1561</v>
      </c>
      <c r="I2833" t="s">
        <v>112</v>
      </c>
      <c r="J2833" t="s">
        <v>702</v>
      </c>
      <c r="K2833" t="s">
        <v>2958</v>
      </c>
      <c r="L2833" t="s">
        <v>2958</v>
      </c>
    </row>
    <row r="2834" spans="1:12" x14ac:dyDescent="0.3">
      <c r="A2834" t="s">
        <v>1778</v>
      </c>
      <c r="B2834" t="s">
        <v>732</v>
      </c>
      <c r="C2834" t="s">
        <v>711</v>
      </c>
      <c r="D2834" t="s">
        <v>307</v>
      </c>
      <c r="E2834" t="s">
        <v>569</v>
      </c>
      <c r="F2834" t="s">
        <v>123</v>
      </c>
      <c r="G2834" t="s">
        <v>111</v>
      </c>
      <c r="H2834" t="s">
        <v>703</v>
      </c>
      <c r="I2834" t="s">
        <v>112</v>
      </c>
      <c r="J2834" t="s">
        <v>702</v>
      </c>
      <c r="K2834" t="s">
        <v>2959</v>
      </c>
      <c r="L2834" t="s">
        <v>2959</v>
      </c>
    </row>
    <row r="2835" spans="1:12" x14ac:dyDescent="0.3">
      <c r="A2835" t="s">
        <v>1778</v>
      </c>
      <c r="B2835" t="s">
        <v>732</v>
      </c>
      <c r="C2835" t="s">
        <v>711</v>
      </c>
      <c r="D2835" t="s">
        <v>220</v>
      </c>
      <c r="E2835" t="s">
        <v>569</v>
      </c>
      <c r="F2835" t="s">
        <v>54</v>
      </c>
      <c r="G2835" t="s">
        <v>111</v>
      </c>
      <c r="H2835" t="s">
        <v>1565</v>
      </c>
      <c r="I2835" t="s">
        <v>112</v>
      </c>
      <c r="J2835" t="s">
        <v>1566</v>
      </c>
      <c r="K2835" t="s">
        <v>1610</v>
      </c>
      <c r="L2835" t="s">
        <v>1610</v>
      </c>
    </row>
    <row r="2836" spans="1:12" x14ac:dyDescent="0.3">
      <c r="A2836" t="s">
        <v>1778</v>
      </c>
      <c r="B2836" t="s">
        <v>732</v>
      </c>
      <c r="C2836" t="s">
        <v>711</v>
      </c>
      <c r="D2836" t="s">
        <v>221</v>
      </c>
      <c r="E2836" t="s">
        <v>569</v>
      </c>
      <c r="F2836" t="s">
        <v>45</v>
      </c>
      <c r="G2836" t="s">
        <v>111</v>
      </c>
      <c r="H2836" t="s">
        <v>703</v>
      </c>
      <c r="I2836" t="s">
        <v>112</v>
      </c>
      <c r="J2836" t="s">
        <v>702</v>
      </c>
      <c r="K2836" t="s">
        <v>1542</v>
      </c>
      <c r="L2836" t="s">
        <v>1542</v>
      </c>
    </row>
    <row r="2837" spans="1:12" x14ac:dyDescent="0.3">
      <c r="A2837" t="s">
        <v>1778</v>
      </c>
      <c r="B2837" t="s">
        <v>732</v>
      </c>
      <c r="C2837" t="s">
        <v>711</v>
      </c>
      <c r="D2837" t="s">
        <v>308</v>
      </c>
      <c r="E2837" t="s">
        <v>569</v>
      </c>
      <c r="F2837" t="s">
        <v>190</v>
      </c>
      <c r="G2837" t="s">
        <v>111</v>
      </c>
      <c r="H2837" t="s">
        <v>1561</v>
      </c>
      <c r="I2837" t="s">
        <v>112</v>
      </c>
      <c r="J2837" t="s">
        <v>702</v>
      </c>
      <c r="K2837" t="s">
        <v>2900</v>
      </c>
      <c r="L2837" t="s">
        <v>2900</v>
      </c>
    </row>
    <row r="2838" spans="1:12" x14ac:dyDescent="0.3">
      <c r="A2838" t="s">
        <v>1778</v>
      </c>
      <c r="B2838" t="s">
        <v>732</v>
      </c>
      <c r="C2838" t="s">
        <v>711</v>
      </c>
      <c r="D2838" t="s">
        <v>222</v>
      </c>
      <c r="E2838" t="s">
        <v>569</v>
      </c>
      <c r="F2838" t="s">
        <v>124</v>
      </c>
      <c r="G2838" t="s">
        <v>111</v>
      </c>
      <c r="H2838" t="s">
        <v>703</v>
      </c>
      <c r="I2838" t="s">
        <v>112</v>
      </c>
      <c r="J2838" t="s">
        <v>702</v>
      </c>
      <c r="K2838" t="s">
        <v>2928</v>
      </c>
      <c r="L2838" t="s">
        <v>2928</v>
      </c>
    </row>
    <row r="2839" spans="1:12" x14ac:dyDescent="0.3">
      <c r="A2839" t="s">
        <v>1778</v>
      </c>
      <c r="B2839" t="s">
        <v>732</v>
      </c>
      <c r="C2839" t="s">
        <v>711</v>
      </c>
      <c r="D2839" t="s">
        <v>309</v>
      </c>
      <c r="E2839" t="s">
        <v>569</v>
      </c>
      <c r="F2839" t="s">
        <v>58</v>
      </c>
      <c r="G2839" t="s">
        <v>111</v>
      </c>
      <c r="H2839" t="s">
        <v>703</v>
      </c>
      <c r="I2839" t="s">
        <v>112</v>
      </c>
      <c r="J2839" t="s">
        <v>702</v>
      </c>
      <c r="K2839" t="s">
        <v>2960</v>
      </c>
      <c r="L2839" t="s">
        <v>2960</v>
      </c>
    </row>
    <row r="2840" spans="1:12" x14ac:dyDescent="0.3">
      <c r="A2840" t="s">
        <v>1778</v>
      </c>
      <c r="B2840" t="s">
        <v>732</v>
      </c>
      <c r="C2840" t="s">
        <v>711</v>
      </c>
      <c r="D2840" t="s">
        <v>2808</v>
      </c>
      <c r="E2840" t="s">
        <v>569</v>
      </c>
      <c r="F2840" t="s">
        <v>191</v>
      </c>
      <c r="G2840" t="s">
        <v>111</v>
      </c>
      <c r="H2840" t="s">
        <v>703</v>
      </c>
      <c r="I2840" t="s">
        <v>112</v>
      </c>
      <c r="J2840" t="s">
        <v>702</v>
      </c>
      <c r="K2840" t="s">
        <v>2929</v>
      </c>
      <c r="L2840" t="s">
        <v>2929</v>
      </c>
    </row>
    <row r="2841" spans="1:12" x14ac:dyDescent="0.3">
      <c r="A2841" t="s">
        <v>1778</v>
      </c>
      <c r="B2841" t="s">
        <v>732</v>
      </c>
      <c r="C2841" t="s">
        <v>711</v>
      </c>
      <c r="D2841" t="s">
        <v>224</v>
      </c>
      <c r="E2841" t="s">
        <v>569</v>
      </c>
      <c r="F2841" t="s">
        <v>125</v>
      </c>
      <c r="G2841" t="s">
        <v>111</v>
      </c>
      <c r="H2841" t="s">
        <v>703</v>
      </c>
      <c r="I2841" t="s">
        <v>112</v>
      </c>
      <c r="J2841" t="s">
        <v>702</v>
      </c>
      <c r="K2841" t="s">
        <v>1555</v>
      </c>
      <c r="L2841" t="s">
        <v>1555</v>
      </c>
    </row>
    <row r="2842" spans="1:12" x14ac:dyDescent="0.3">
      <c r="A2842" t="s">
        <v>1778</v>
      </c>
      <c r="B2842" t="s">
        <v>732</v>
      </c>
      <c r="C2842" t="s">
        <v>711</v>
      </c>
      <c r="D2842" t="s">
        <v>226</v>
      </c>
      <c r="E2842" t="s">
        <v>569</v>
      </c>
      <c r="F2842" t="s">
        <v>80</v>
      </c>
      <c r="G2842" t="s">
        <v>111</v>
      </c>
      <c r="H2842" t="s">
        <v>703</v>
      </c>
      <c r="I2842" t="s">
        <v>112</v>
      </c>
      <c r="J2842" t="s">
        <v>702</v>
      </c>
      <c r="K2842" t="s">
        <v>1541</v>
      </c>
      <c r="L2842" t="s">
        <v>1541</v>
      </c>
    </row>
    <row r="2843" spans="1:12" x14ac:dyDescent="0.3">
      <c r="A2843" t="s">
        <v>1778</v>
      </c>
      <c r="B2843" t="s">
        <v>732</v>
      </c>
      <c r="C2843" t="s">
        <v>711</v>
      </c>
      <c r="D2843" t="s">
        <v>227</v>
      </c>
      <c r="E2843" t="s">
        <v>569</v>
      </c>
      <c r="F2843" t="s">
        <v>192</v>
      </c>
      <c r="G2843" t="s">
        <v>111</v>
      </c>
      <c r="H2843" t="s">
        <v>182</v>
      </c>
      <c r="I2843" t="s">
        <v>112</v>
      </c>
      <c r="J2843" t="s">
        <v>183</v>
      </c>
      <c r="K2843" t="s">
        <v>1535</v>
      </c>
      <c r="L2843" t="s">
        <v>1535</v>
      </c>
    </row>
    <row r="2844" spans="1:12" x14ac:dyDescent="0.3">
      <c r="A2844" t="s">
        <v>1778</v>
      </c>
      <c r="B2844" t="s">
        <v>732</v>
      </c>
      <c r="C2844" t="s">
        <v>711</v>
      </c>
      <c r="D2844" t="s">
        <v>228</v>
      </c>
      <c r="E2844" t="s">
        <v>569</v>
      </c>
      <c r="F2844" t="s">
        <v>167</v>
      </c>
      <c r="G2844" t="s">
        <v>111</v>
      </c>
      <c r="H2844" t="s">
        <v>1561</v>
      </c>
      <c r="I2844" t="s">
        <v>112</v>
      </c>
      <c r="J2844" t="s">
        <v>702</v>
      </c>
      <c r="K2844" t="s">
        <v>2954</v>
      </c>
      <c r="L2844" t="s">
        <v>2954</v>
      </c>
    </row>
    <row r="2845" spans="1:12" x14ac:dyDescent="0.3">
      <c r="A2845" t="s">
        <v>1778</v>
      </c>
      <c r="B2845" t="s">
        <v>732</v>
      </c>
      <c r="C2845" t="s">
        <v>711</v>
      </c>
      <c r="D2845" t="s">
        <v>311</v>
      </c>
      <c r="E2845" t="s">
        <v>569</v>
      </c>
      <c r="F2845" t="s">
        <v>89</v>
      </c>
      <c r="G2845" t="s">
        <v>111</v>
      </c>
      <c r="H2845" t="s">
        <v>1539</v>
      </c>
      <c r="I2845" t="s">
        <v>112</v>
      </c>
      <c r="J2845" t="s">
        <v>704</v>
      </c>
      <c r="K2845" t="s">
        <v>1608</v>
      </c>
      <c r="L2845" t="s">
        <v>1608</v>
      </c>
    </row>
    <row r="2846" spans="1:12" x14ac:dyDescent="0.3">
      <c r="A2846" t="s">
        <v>1778</v>
      </c>
      <c r="B2846" t="s">
        <v>732</v>
      </c>
      <c r="C2846" t="s">
        <v>711</v>
      </c>
      <c r="D2846" t="s">
        <v>232</v>
      </c>
      <c r="E2846" t="s">
        <v>569</v>
      </c>
      <c r="F2846" t="s">
        <v>169</v>
      </c>
      <c r="G2846" t="s">
        <v>111</v>
      </c>
      <c r="H2846" t="s">
        <v>1539</v>
      </c>
      <c r="I2846" t="s">
        <v>112</v>
      </c>
      <c r="J2846" t="s">
        <v>704</v>
      </c>
      <c r="K2846" t="s">
        <v>2961</v>
      </c>
      <c r="L2846" t="s">
        <v>2961</v>
      </c>
    </row>
    <row r="2847" spans="1:12" x14ac:dyDescent="0.3">
      <c r="A2847" t="s">
        <v>1778</v>
      </c>
      <c r="B2847" t="s">
        <v>732</v>
      </c>
      <c r="C2847" t="s">
        <v>711</v>
      </c>
      <c r="D2847" t="s">
        <v>234</v>
      </c>
      <c r="E2847" t="s">
        <v>569</v>
      </c>
      <c r="F2847" t="s">
        <v>93</v>
      </c>
      <c r="G2847" t="s">
        <v>111</v>
      </c>
      <c r="H2847" t="s">
        <v>703</v>
      </c>
      <c r="I2847" t="s">
        <v>112</v>
      </c>
      <c r="J2847" t="s">
        <v>702</v>
      </c>
      <c r="K2847" t="s">
        <v>1574</v>
      </c>
      <c r="L2847" t="s">
        <v>1574</v>
      </c>
    </row>
    <row r="2848" spans="1:12" x14ac:dyDescent="0.3">
      <c r="A2848" t="s">
        <v>1778</v>
      </c>
      <c r="B2848" t="s">
        <v>732</v>
      </c>
      <c r="C2848" t="s">
        <v>711</v>
      </c>
      <c r="D2848" t="s">
        <v>312</v>
      </c>
      <c r="E2848" t="s">
        <v>569</v>
      </c>
      <c r="F2848" t="s">
        <v>129</v>
      </c>
      <c r="G2848" t="s">
        <v>111</v>
      </c>
      <c r="H2848" t="s">
        <v>1539</v>
      </c>
      <c r="I2848" t="s">
        <v>112</v>
      </c>
      <c r="J2848" t="s">
        <v>704</v>
      </c>
      <c r="K2848" t="s">
        <v>1568</v>
      </c>
      <c r="L2848" t="s">
        <v>1568</v>
      </c>
    </row>
    <row r="2849" spans="1:12" x14ac:dyDescent="0.3">
      <c r="A2849" t="s">
        <v>1778</v>
      </c>
      <c r="B2849" t="s">
        <v>732</v>
      </c>
      <c r="C2849" t="s">
        <v>711</v>
      </c>
      <c r="D2849" t="s">
        <v>313</v>
      </c>
      <c r="E2849" t="s">
        <v>569</v>
      </c>
      <c r="F2849" t="s">
        <v>68</v>
      </c>
      <c r="G2849" t="s">
        <v>111</v>
      </c>
      <c r="H2849" t="s">
        <v>1539</v>
      </c>
      <c r="I2849" t="s">
        <v>112</v>
      </c>
      <c r="J2849" t="s">
        <v>704</v>
      </c>
    </row>
    <row r="2850" spans="1:12" x14ac:dyDescent="0.3">
      <c r="A2850" t="s">
        <v>1778</v>
      </c>
      <c r="B2850" t="s">
        <v>732</v>
      </c>
      <c r="C2850" t="s">
        <v>711</v>
      </c>
      <c r="D2850" t="s">
        <v>235</v>
      </c>
      <c r="E2850" t="s">
        <v>569</v>
      </c>
      <c r="F2850" t="s">
        <v>85</v>
      </c>
      <c r="G2850" t="s">
        <v>111</v>
      </c>
      <c r="H2850" t="s">
        <v>703</v>
      </c>
      <c r="I2850" t="s">
        <v>112</v>
      </c>
      <c r="J2850" t="s">
        <v>702</v>
      </c>
      <c r="K2850" t="s">
        <v>1555</v>
      </c>
      <c r="L2850" t="s">
        <v>1555</v>
      </c>
    </row>
    <row r="2851" spans="1:12" x14ac:dyDescent="0.3">
      <c r="A2851" t="s">
        <v>1778</v>
      </c>
      <c r="B2851" t="s">
        <v>732</v>
      </c>
      <c r="C2851" t="s">
        <v>711</v>
      </c>
      <c r="D2851" t="s">
        <v>314</v>
      </c>
      <c r="E2851" t="s">
        <v>569</v>
      </c>
      <c r="F2851" t="s">
        <v>61</v>
      </c>
      <c r="G2851" t="s">
        <v>111</v>
      </c>
      <c r="H2851" t="s">
        <v>1565</v>
      </c>
      <c r="I2851" t="s">
        <v>112</v>
      </c>
      <c r="J2851" t="s">
        <v>1566</v>
      </c>
      <c r="K2851" t="s">
        <v>2861</v>
      </c>
      <c r="L2851" t="s">
        <v>2861</v>
      </c>
    </row>
    <row r="2852" spans="1:12" x14ac:dyDescent="0.3">
      <c r="A2852" t="s">
        <v>1778</v>
      </c>
      <c r="B2852" t="s">
        <v>732</v>
      </c>
      <c r="C2852" t="s">
        <v>711</v>
      </c>
      <c r="D2852" t="s">
        <v>236</v>
      </c>
      <c r="E2852" t="s">
        <v>569</v>
      </c>
      <c r="F2852" t="s">
        <v>87</v>
      </c>
      <c r="G2852" t="s">
        <v>111</v>
      </c>
      <c r="H2852" t="s">
        <v>703</v>
      </c>
      <c r="I2852" t="s">
        <v>112</v>
      </c>
      <c r="J2852" t="s">
        <v>702</v>
      </c>
      <c r="K2852" t="s">
        <v>1548</v>
      </c>
      <c r="L2852" t="s">
        <v>1548</v>
      </c>
    </row>
    <row r="2853" spans="1:12" x14ac:dyDescent="0.3">
      <c r="A2853" t="s">
        <v>1778</v>
      </c>
      <c r="B2853" t="s">
        <v>732</v>
      </c>
      <c r="C2853" t="s">
        <v>711</v>
      </c>
      <c r="D2853" t="s">
        <v>239</v>
      </c>
      <c r="E2853" t="s">
        <v>569</v>
      </c>
      <c r="F2853" t="s">
        <v>50</v>
      </c>
      <c r="G2853" t="s">
        <v>111</v>
      </c>
      <c r="H2853" t="s">
        <v>703</v>
      </c>
      <c r="I2853" t="s">
        <v>112</v>
      </c>
      <c r="J2853" t="s">
        <v>702</v>
      </c>
      <c r="K2853" t="s">
        <v>1558</v>
      </c>
      <c r="L2853" t="s">
        <v>1558</v>
      </c>
    </row>
    <row r="2854" spans="1:12" x14ac:dyDescent="0.3">
      <c r="A2854" t="s">
        <v>1778</v>
      </c>
      <c r="B2854" t="s">
        <v>732</v>
      </c>
      <c r="C2854" t="s">
        <v>711</v>
      </c>
      <c r="D2854" t="s">
        <v>315</v>
      </c>
      <c r="E2854" t="s">
        <v>568</v>
      </c>
      <c r="F2854" t="s">
        <v>79</v>
      </c>
      <c r="G2854" t="s">
        <v>111</v>
      </c>
      <c r="H2854" t="s">
        <v>703</v>
      </c>
      <c r="I2854" t="s">
        <v>112</v>
      </c>
      <c r="J2854" t="s">
        <v>702</v>
      </c>
      <c r="K2854" t="s">
        <v>1555</v>
      </c>
      <c r="L2854" t="s">
        <v>1555</v>
      </c>
    </row>
    <row r="2855" spans="1:12" x14ac:dyDescent="0.3">
      <c r="A2855" t="s">
        <v>1778</v>
      </c>
      <c r="B2855" t="s">
        <v>732</v>
      </c>
      <c r="C2855" t="s">
        <v>711</v>
      </c>
      <c r="D2855" t="s">
        <v>316</v>
      </c>
      <c r="E2855" t="s">
        <v>568</v>
      </c>
      <c r="F2855" t="s">
        <v>132</v>
      </c>
      <c r="G2855" t="s">
        <v>111</v>
      </c>
      <c r="H2855" t="s">
        <v>703</v>
      </c>
      <c r="I2855" t="s">
        <v>112</v>
      </c>
      <c r="J2855" t="s">
        <v>702</v>
      </c>
      <c r="K2855" t="s">
        <v>1551</v>
      </c>
      <c r="L2855" t="s">
        <v>1551</v>
      </c>
    </row>
    <row r="2856" spans="1:12" x14ac:dyDescent="0.3">
      <c r="A2856" t="s">
        <v>1778</v>
      </c>
      <c r="B2856" t="s">
        <v>732</v>
      </c>
      <c r="C2856" t="s">
        <v>711</v>
      </c>
      <c r="D2856" t="s">
        <v>317</v>
      </c>
      <c r="E2856" t="s">
        <v>568</v>
      </c>
      <c r="F2856" t="s">
        <v>133</v>
      </c>
      <c r="G2856" t="s">
        <v>111</v>
      </c>
      <c r="H2856" t="s">
        <v>1539</v>
      </c>
      <c r="I2856" t="s">
        <v>112</v>
      </c>
      <c r="J2856" t="s">
        <v>704</v>
      </c>
    </row>
    <row r="2857" spans="1:12" x14ac:dyDescent="0.3">
      <c r="A2857" t="s">
        <v>1778</v>
      </c>
      <c r="B2857" t="s">
        <v>732</v>
      </c>
      <c r="C2857" t="s">
        <v>711</v>
      </c>
      <c r="D2857" t="s">
        <v>318</v>
      </c>
      <c r="E2857" t="s">
        <v>568</v>
      </c>
      <c r="F2857" t="s">
        <v>193</v>
      </c>
      <c r="G2857" t="s">
        <v>111</v>
      </c>
      <c r="H2857" t="s">
        <v>703</v>
      </c>
      <c r="I2857" t="s">
        <v>112</v>
      </c>
      <c r="J2857" t="s">
        <v>702</v>
      </c>
      <c r="K2857" t="s">
        <v>1558</v>
      </c>
      <c r="L2857" t="s">
        <v>1558</v>
      </c>
    </row>
    <row r="2858" spans="1:12" x14ac:dyDescent="0.3">
      <c r="A2858" t="s">
        <v>1778</v>
      </c>
      <c r="B2858" t="s">
        <v>732</v>
      </c>
      <c r="C2858" t="s">
        <v>711</v>
      </c>
      <c r="D2858" t="s">
        <v>240</v>
      </c>
      <c r="E2858" t="s">
        <v>568</v>
      </c>
      <c r="F2858" t="s">
        <v>134</v>
      </c>
      <c r="G2858" t="s">
        <v>111</v>
      </c>
      <c r="H2858" t="s">
        <v>703</v>
      </c>
      <c r="I2858" t="s">
        <v>112</v>
      </c>
      <c r="J2858" t="s">
        <v>702</v>
      </c>
      <c r="K2858" t="s">
        <v>2962</v>
      </c>
      <c r="L2858" t="s">
        <v>2962</v>
      </c>
    </row>
    <row r="2859" spans="1:12" x14ac:dyDescent="0.3">
      <c r="A2859" t="s">
        <v>1778</v>
      </c>
      <c r="B2859" t="s">
        <v>732</v>
      </c>
      <c r="C2859" t="s">
        <v>711</v>
      </c>
      <c r="D2859" t="s">
        <v>241</v>
      </c>
      <c r="E2859" t="s">
        <v>568</v>
      </c>
      <c r="F2859" t="s">
        <v>51</v>
      </c>
      <c r="G2859" t="s">
        <v>111</v>
      </c>
      <c r="H2859" t="s">
        <v>703</v>
      </c>
      <c r="I2859" t="s">
        <v>112</v>
      </c>
      <c r="J2859" t="s">
        <v>702</v>
      </c>
      <c r="K2859" t="s">
        <v>1555</v>
      </c>
      <c r="L2859" t="s">
        <v>1555</v>
      </c>
    </row>
    <row r="2860" spans="1:12" x14ac:dyDescent="0.3">
      <c r="A2860" t="s">
        <v>1778</v>
      </c>
      <c r="B2860" t="s">
        <v>732</v>
      </c>
      <c r="C2860" t="s">
        <v>711</v>
      </c>
      <c r="D2860" t="s">
        <v>242</v>
      </c>
      <c r="E2860" t="s">
        <v>568</v>
      </c>
      <c r="F2860" t="s">
        <v>163</v>
      </c>
      <c r="G2860" t="s">
        <v>111</v>
      </c>
      <c r="H2860" t="s">
        <v>703</v>
      </c>
      <c r="I2860" t="s">
        <v>112</v>
      </c>
      <c r="J2860" t="s">
        <v>702</v>
      </c>
      <c r="K2860" t="s">
        <v>2963</v>
      </c>
      <c r="L2860" t="s">
        <v>2963</v>
      </c>
    </row>
    <row r="2861" spans="1:12" x14ac:dyDescent="0.3">
      <c r="A2861" t="s">
        <v>1778</v>
      </c>
      <c r="B2861" t="s">
        <v>732</v>
      </c>
      <c r="C2861" t="s">
        <v>711</v>
      </c>
      <c r="D2861" t="s">
        <v>245</v>
      </c>
      <c r="E2861" t="s">
        <v>568</v>
      </c>
      <c r="F2861" t="s">
        <v>82</v>
      </c>
      <c r="G2861" t="s">
        <v>111</v>
      </c>
      <c r="H2861" t="s">
        <v>1561</v>
      </c>
      <c r="I2861" t="s">
        <v>112</v>
      </c>
      <c r="J2861" t="s">
        <v>702</v>
      </c>
      <c r="K2861" t="s">
        <v>2964</v>
      </c>
      <c r="L2861" t="s">
        <v>2964</v>
      </c>
    </row>
    <row r="2862" spans="1:12" x14ac:dyDescent="0.3">
      <c r="A2862" t="s">
        <v>1778</v>
      </c>
      <c r="B2862" t="s">
        <v>732</v>
      </c>
      <c r="C2862" t="s">
        <v>711</v>
      </c>
      <c r="D2862" t="s">
        <v>246</v>
      </c>
      <c r="E2862" t="s">
        <v>568</v>
      </c>
      <c r="F2862" t="s">
        <v>135</v>
      </c>
      <c r="G2862" t="s">
        <v>111</v>
      </c>
      <c r="H2862" t="s">
        <v>1539</v>
      </c>
      <c r="I2862" t="s">
        <v>112</v>
      </c>
      <c r="J2862" t="s">
        <v>704</v>
      </c>
      <c r="K2862" t="s">
        <v>2957</v>
      </c>
      <c r="L2862" t="s">
        <v>2957</v>
      </c>
    </row>
    <row r="2863" spans="1:12" x14ac:dyDescent="0.3">
      <c r="A2863" t="s">
        <v>1778</v>
      </c>
      <c r="B2863" t="s">
        <v>732</v>
      </c>
      <c r="C2863" t="s">
        <v>711</v>
      </c>
      <c r="D2863" t="s">
        <v>319</v>
      </c>
      <c r="E2863" t="s">
        <v>568</v>
      </c>
      <c r="F2863" t="s">
        <v>136</v>
      </c>
      <c r="G2863" t="s">
        <v>111</v>
      </c>
      <c r="H2863" t="s">
        <v>703</v>
      </c>
      <c r="I2863" t="s">
        <v>112</v>
      </c>
      <c r="J2863" t="s">
        <v>702</v>
      </c>
      <c r="K2863" t="s">
        <v>1542</v>
      </c>
      <c r="L2863" t="s">
        <v>1542</v>
      </c>
    </row>
    <row r="2864" spans="1:12" x14ac:dyDescent="0.3">
      <c r="A2864" t="s">
        <v>1778</v>
      </c>
      <c r="B2864" t="s">
        <v>732</v>
      </c>
      <c r="C2864" t="s">
        <v>711</v>
      </c>
      <c r="D2864" t="s">
        <v>247</v>
      </c>
      <c r="E2864" t="s">
        <v>568</v>
      </c>
      <c r="F2864" t="s">
        <v>60</v>
      </c>
      <c r="G2864" t="s">
        <v>111</v>
      </c>
      <c r="H2864" t="s">
        <v>703</v>
      </c>
      <c r="I2864" t="s">
        <v>112</v>
      </c>
      <c r="J2864" t="s">
        <v>702</v>
      </c>
      <c r="K2864" t="s">
        <v>1555</v>
      </c>
      <c r="L2864" t="s">
        <v>1555</v>
      </c>
    </row>
    <row r="2865" spans="1:12" x14ac:dyDescent="0.3">
      <c r="A2865" t="s">
        <v>1778</v>
      </c>
      <c r="B2865" t="s">
        <v>732</v>
      </c>
      <c r="C2865" t="s">
        <v>711</v>
      </c>
      <c r="D2865" t="s">
        <v>248</v>
      </c>
      <c r="E2865" t="s">
        <v>568</v>
      </c>
      <c r="F2865" t="s">
        <v>137</v>
      </c>
      <c r="G2865" t="s">
        <v>111</v>
      </c>
      <c r="H2865" t="s">
        <v>703</v>
      </c>
      <c r="I2865" t="s">
        <v>112</v>
      </c>
      <c r="J2865" t="s">
        <v>702</v>
      </c>
      <c r="K2865" t="s">
        <v>1570</v>
      </c>
      <c r="L2865" t="s">
        <v>1570</v>
      </c>
    </row>
    <row r="2866" spans="1:12" x14ac:dyDescent="0.3">
      <c r="A2866" t="s">
        <v>1778</v>
      </c>
      <c r="B2866" t="s">
        <v>732</v>
      </c>
      <c r="C2866" t="s">
        <v>711</v>
      </c>
      <c r="D2866" t="s">
        <v>249</v>
      </c>
      <c r="E2866" t="s">
        <v>568</v>
      </c>
      <c r="F2866" t="s">
        <v>86</v>
      </c>
      <c r="G2866" t="s">
        <v>111</v>
      </c>
      <c r="H2866" t="s">
        <v>1539</v>
      </c>
      <c r="I2866" t="s">
        <v>112</v>
      </c>
      <c r="J2866" t="s">
        <v>704</v>
      </c>
      <c r="K2866" t="s">
        <v>2957</v>
      </c>
      <c r="L2866" t="s">
        <v>2957</v>
      </c>
    </row>
    <row r="2867" spans="1:12" x14ac:dyDescent="0.3">
      <c r="A2867" t="s">
        <v>1778</v>
      </c>
      <c r="B2867" t="s">
        <v>732</v>
      </c>
      <c r="C2867" t="s">
        <v>711</v>
      </c>
      <c r="D2867" t="s">
        <v>250</v>
      </c>
      <c r="E2867" t="s">
        <v>568</v>
      </c>
      <c r="F2867" t="s">
        <v>70</v>
      </c>
      <c r="G2867" t="s">
        <v>111</v>
      </c>
      <c r="H2867" t="s">
        <v>1539</v>
      </c>
      <c r="I2867" t="s">
        <v>112</v>
      </c>
      <c r="J2867" t="s">
        <v>704</v>
      </c>
      <c r="K2867" t="s">
        <v>1568</v>
      </c>
      <c r="L2867" t="s">
        <v>1568</v>
      </c>
    </row>
    <row r="2868" spans="1:12" x14ac:dyDescent="0.3">
      <c r="A2868" t="s">
        <v>1778</v>
      </c>
      <c r="B2868" t="s">
        <v>732</v>
      </c>
      <c r="C2868" t="s">
        <v>711</v>
      </c>
      <c r="D2868" t="s">
        <v>251</v>
      </c>
      <c r="E2868" t="s">
        <v>568</v>
      </c>
      <c r="F2868" t="s">
        <v>48</v>
      </c>
      <c r="G2868" t="s">
        <v>111</v>
      </c>
      <c r="H2868" t="s">
        <v>703</v>
      </c>
      <c r="I2868" t="s">
        <v>112</v>
      </c>
      <c r="J2868" t="s">
        <v>702</v>
      </c>
      <c r="K2868" t="s">
        <v>1563</v>
      </c>
      <c r="L2868" t="s">
        <v>1563</v>
      </c>
    </row>
    <row r="2869" spans="1:12" x14ac:dyDescent="0.3">
      <c r="A2869" t="s">
        <v>1778</v>
      </c>
      <c r="B2869" t="s">
        <v>732</v>
      </c>
      <c r="C2869" t="s">
        <v>711</v>
      </c>
      <c r="D2869" t="s">
        <v>253</v>
      </c>
      <c r="E2869" t="s">
        <v>568</v>
      </c>
      <c r="F2869" t="s">
        <v>95</v>
      </c>
      <c r="G2869" t="s">
        <v>111</v>
      </c>
      <c r="H2869" t="s">
        <v>703</v>
      </c>
      <c r="I2869" t="s">
        <v>112</v>
      </c>
      <c r="J2869" t="s">
        <v>702</v>
      </c>
      <c r="K2869" t="s">
        <v>2933</v>
      </c>
      <c r="L2869" t="s">
        <v>2933</v>
      </c>
    </row>
    <row r="2870" spans="1:12" x14ac:dyDescent="0.3">
      <c r="A2870" t="s">
        <v>1778</v>
      </c>
      <c r="B2870" t="s">
        <v>732</v>
      </c>
      <c r="C2870" t="s">
        <v>711</v>
      </c>
      <c r="D2870" t="s">
        <v>254</v>
      </c>
      <c r="E2870" t="s">
        <v>568</v>
      </c>
      <c r="F2870" t="s">
        <v>139</v>
      </c>
      <c r="G2870" t="s">
        <v>111</v>
      </c>
      <c r="H2870" t="s">
        <v>703</v>
      </c>
      <c r="I2870" t="s">
        <v>112</v>
      </c>
      <c r="J2870" t="s">
        <v>702</v>
      </c>
      <c r="K2870" t="s">
        <v>2965</v>
      </c>
      <c r="L2870" t="s">
        <v>2965</v>
      </c>
    </row>
    <row r="2871" spans="1:12" x14ac:dyDescent="0.3">
      <c r="A2871" t="s">
        <v>1778</v>
      </c>
      <c r="B2871" t="s">
        <v>732</v>
      </c>
      <c r="C2871" t="s">
        <v>711</v>
      </c>
      <c r="D2871" t="s">
        <v>255</v>
      </c>
      <c r="E2871" t="s">
        <v>568</v>
      </c>
      <c r="F2871" t="s">
        <v>171</v>
      </c>
      <c r="G2871" t="s">
        <v>111</v>
      </c>
      <c r="H2871" t="s">
        <v>703</v>
      </c>
      <c r="I2871" t="s">
        <v>112</v>
      </c>
      <c r="J2871" t="s">
        <v>702</v>
      </c>
      <c r="K2871" t="s">
        <v>1536</v>
      </c>
      <c r="L2871" t="s">
        <v>1536</v>
      </c>
    </row>
    <row r="2872" spans="1:12" x14ac:dyDescent="0.3">
      <c r="A2872" t="s">
        <v>1778</v>
      </c>
      <c r="B2872" t="s">
        <v>732</v>
      </c>
      <c r="C2872" t="s">
        <v>711</v>
      </c>
      <c r="D2872" t="s">
        <v>207</v>
      </c>
      <c r="E2872" t="s">
        <v>568</v>
      </c>
      <c r="F2872" t="s">
        <v>62</v>
      </c>
      <c r="G2872" t="s">
        <v>111</v>
      </c>
      <c r="H2872" t="s">
        <v>1539</v>
      </c>
      <c r="I2872" t="s">
        <v>112</v>
      </c>
      <c r="J2872" t="s">
        <v>704</v>
      </c>
      <c r="K2872" t="s">
        <v>2946</v>
      </c>
      <c r="L2872" t="s">
        <v>2946</v>
      </c>
    </row>
    <row r="2873" spans="1:12" x14ac:dyDescent="0.3">
      <c r="A2873" t="s">
        <v>1778</v>
      </c>
      <c r="B2873" t="s">
        <v>732</v>
      </c>
      <c r="C2873" t="s">
        <v>711</v>
      </c>
      <c r="D2873" t="s">
        <v>322</v>
      </c>
      <c r="E2873" t="s">
        <v>568</v>
      </c>
      <c r="F2873" t="s">
        <v>173</v>
      </c>
      <c r="G2873" t="s">
        <v>111</v>
      </c>
      <c r="H2873" t="s">
        <v>1561</v>
      </c>
      <c r="I2873" t="s">
        <v>112</v>
      </c>
      <c r="J2873" t="s">
        <v>702</v>
      </c>
      <c r="K2873" t="s">
        <v>2900</v>
      </c>
      <c r="L2873" t="s">
        <v>2900</v>
      </c>
    </row>
    <row r="2874" spans="1:12" x14ac:dyDescent="0.3">
      <c r="A2874" t="s">
        <v>1778</v>
      </c>
      <c r="B2874" t="s">
        <v>732</v>
      </c>
      <c r="C2874" t="s">
        <v>711</v>
      </c>
      <c r="D2874" t="s">
        <v>258</v>
      </c>
      <c r="E2874" t="s">
        <v>568</v>
      </c>
      <c r="F2874" t="s">
        <v>88</v>
      </c>
      <c r="G2874" t="s">
        <v>111</v>
      </c>
      <c r="H2874" t="s">
        <v>703</v>
      </c>
      <c r="I2874" t="s">
        <v>112</v>
      </c>
      <c r="J2874" t="s">
        <v>702</v>
      </c>
      <c r="K2874" t="s">
        <v>2806</v>
      </c>
      <c r="L2874" t="s">
        <v>2806</v>
      </c>
    </row>
    <row r="2875" spans="1:12" x14ac:dyDescent="0.3">
      <c r="A2875" t="s">
        <v>1778</v>
      </c>
      <c r="B2875" t="s">
        <v>732</v>
      </c>
      <c r="C2875" t="s">
        <v>711</v>
      </c>
      <c r="D2875" t="s">
        <v>259</v>
      </c>
      <c r="E2875" t="s">
        <v>568</v>
      </c>
      <c r="F2875" t="s">
        <v>77</v>
      </c>
      <c r="G2875" t="s">
        <v>111</v>
      </c>
      <c r="H2875" t="s">
        <v>703</v>
      </c>
      <c r="I2875" t="s">
        <v>112</v>
      </c>
      <c r="J2875" t="s">
        <v>702</v>
      </c>
      <c r="K2875" t="s">
        <v>1541</v>
      </c>
      <c r="L2875" t="s">
        <v>1541</v>
      </c>
    </row>
    <row r="2876" spans="1:12" x14ac:dyDescent="0.3">
      <c r="A2876" t="s">
        <v>1778</v>
      </c>
      <c r="B2876" t="s">
        <v>732</v>
      </c>
      <c r="C2876" t="s">
        <v>711</v>
      </c>
      <c r="D2876" t="s">
        <v>323</v>
      </c>
      <c r="E2876" t="s">
        <v>568</v>
      </c>
      <c r="F2876" t="s">
        <v>74</v>
      </c>
      <c r="G2876" t="s">
        <v>111</v>
      </c>
      <c r="H2876" t="s">
        <v>703</v>
      </c>
      <c r="I2876" t="s">
        <v>112</v>
      </c>
      <c r="J2876" t="s">
        <v>702</v>
      </c>
      <c r="K2876" t="s">
        <v>2966</v>
      </c>
      <c r="L2876" t="s">
        <v>2966</v>
      </c>
    </row>
    <row r="2877" spans="1:12" x14ac:dyDescent="0.3">
      <c r="A2877" t="s">
        <v>1778</v>
      </c>
      <c r="B2877" t="s">
        <v>732</v>
      </c>
      <c r="C2877" t="s">
        <v>711</v>
      </c>
      <c r="D2877" t="s">
        <v>324</v>
      </c>
      <c r="E2877" t="s">
        <v>568</v>
      </c>
      <c r="F2877" t="s">
        <v>102</v>
      </c>
      <c r="G2877" t="s">
        <v>111</v>
      </c>
      <c r="H2877" t="s">
        <v>703</v>
      </c>
      <c r="I2877" t="s">
        <v>112</v>
      </c>
      <c r="J2877" t="s">
        <v>702</v>
      </c>
      <c r="K2877" t="s">
        <v>1552</v>
      </c>
      <c r="L2877" t="s">
        <v>1552</v>
      </c>
    </row>
    <row r="2878" spans="1:12" x14ac:dyDescent="0.3">
      <c r="A2878" t="s">
        <v>1778</v>
      </c>
      <c r="B2878" t="s">
        <v>732</v>
      </c>
      <c r="C2878" t="s">
        <v>711</v>
      </c>
      <c r="D2878" t="s">
        <v>260</v>
      </c>
      <c r="E2878" t="s">
        <v>568</v>
      </c>
      <c r="F2878" t="s">
        <v>140</v>
      </c>
      <c r="G2878" t="s">
        <v>111</v>
      </c>
      <c r="H2878" t="s">
        <v>703</v>
      </c>
      <c r="I2878" t="s">
        <v>112</v>
      </c>
      <c r="J2878" t="s">
        <v>702</v>
      </c>
      <c r="K2878" t="s">
        <v>2967</v>
      </c>
      <c r="L2878" t="s">
        <v>2967</v>
      </c>
    </row>
    <row r="2879" spans="1:12" x14ac:dyDescent="0.3">
      <c r="A2879" t="s">
        <v>1778</v>
      </c>
      <c r="B2879" t="s">
        <v>732</v>
      </c>
      <c r="C2879" t="s">
        <v>711</v>
      </c>
      <c r="D2879" t="s">
        <v>261</v>
      </c>
      <c r="E2879" t="s">
        <v>568</v>
      </c>
      <c r="F2879" t="s">
        <v>175</v>
      </c>
      <c r="G2879" t="s">
        <v>111</v>
      </c>
      <c r="H2879" t="s">
        <v>1539</v>
      </c>
      <c r="I2879" t="s">
        <v>112</v>
      </c>
      <c r="J2879" t="s">
        <v>704</v>
      </c>
      <c r="K2879" t="s">
        <v>1608</v>
      </c>
      <c r="L2879" t="s">
        <v>1608</v>
      </c>
    </row>
    <row r="2880" spans="1:12" x14ac:dyDescent="0.3">
      <c r="A2880" t="s">
        <v>1778</v>
      </c>
      <c r="B2880" t="s">
        <v>732</v>
      </c>
      <c r="C2880" t="s">
        <v>711</v>
      </c>
      <c r="D2880" t="s">
        <v>262</v>
      </c>
      <c r="E2880" t="s">
        <v>568</v>
      </c>
      <c r="F2880" t="s">
        <v>202</v>
      </c>
      <c r="G2880" t="s">
        <v>111</v>
      </c>
      <c r="H2880" t="s">
        <v>703</v>
      </c>
      <c r="I2880" t="s">
        <v>112</v>
      </c>
      <c r="J2880" t="s">
        <v>702</v>
      </c>
      <c r="K2880" t="s">
        <v>2968</v>
      </c>
      <c r="L2880" t="s">
        <v>2968</v>
      </c>
    </row>
    <row r="2881" spans="1:12" x14ac:dyDescent="0.3">
      <c r="A2881" t="s">
        <v>1778</v>
      </c>
      <c r="B2881" t="s">
        <v>732</v>
      </c>
      <c r="C2881" t="s">
        <v>711</v>
      </c>
      <c r="D2881" t="s">
        <v>263</v>
      </c>
      <c r="E2881" t="s">
        <v>568</v>
      </c>
      <c r="F2881" t="s">
        <v>141</v>
      </c>
      <c r="G2881" t="s">
        <v>111</v>
      </c>
      <c r="H2881" t="s">
        <v>182</v>
      </c>
      <c r="I2881" t="s">
        <v>112</v>
      </c>
      <c r="J2881" t="s">
        <v>183</v>
      </c>
      <c r="K2881" t="s">
        <v>1535</v>
      </c>
      <c r="L2881" t="s">
        <v>1535</v>
      </c>
    </row>
    <row r="2882" spans="1:12" x14ac:dyDescent="0.3">
      <c r="A2882" t="s">
        <v>1778</v>
      </c>
      <c r="B2882" t="s">
        <v>732</v>
      </c>
      <c r="C2882" t="s">
        <v>711</v>
      </c>
      <c r="D2882" t="s">
        <v>266</v>
      </c>
      <c r="E2882" t="s">
        <v>568</v>
      </c>
      <c r="F2882" t="s">
        <v>75</v>
      </c>
      <c r="G2882" t="s">
        <v>111</v>
      </c>
      <c r="H2882" t="s">
        <v>1561</v>
      </c>
      <c r="I2882" t="s">
        <v>112</v>
      </c>
      <c r="J2882" t="s">
        <v>702</v>
      </c>
      <c r="K2882" t="s">
        <v>2829</v>
      </c>
      <c r="L2882" t="s">
        <v>2829</v>
      </c>
    </row>
    <row r="2883" spans="1:12" x14ac:dyDescent="0.3">
      <c r="A2883" t="s">
        <v>1778</v>
      </c>
      <c r="B2883" t="s">
        <v>732</v>
      </c>
      <c r="C2883" t="s">
        <v>711</v>
      </c>
      <c r="D2883" t="s">
        <v>267</v>
      </c>
      <c r="E2883" t="s">
        <v>568</v>
      </c>
      <c r="F2883" t="s">
        <v>143</v>
      </c>
      <c r="G2883" t="s">
        <v>111</v>
      </c>
      <c r="H2883" t="s">
        <v>1565</v>
      </c>
      <c r="I2883" t="s">
        <v>112</v>
      </c>
      <c r="J2883" t="s">
        <v>1566</v>
      </c>
      <c r="K2883" t="s">
        <v>2969</v>
      </c>
      <c r="L2883" t="s">
        <v>2969</v>
      </c>
    </row>
    <row r="2884" spans="1:12" x14ac:dyDescent="0.3">
      <c r="A2884" t="s">
        <v>1778</v>
      </c>
      <c r="B2884" t="s">
        <v>732</v>
      </c>
      <c r="C2884" t="s">
        <v>711</v>
      </c>
      <c r="D2884" t="s">
        <v>326</v>
      </c>
      <c r="E2884" t="s">
        <v>568</v>
      </c>
      <c r="F2884" t="s">
        <v>144</v>
      </c>
      <c r="G2884" t="s">
        <v>111</v>
      </c>
      <c r="H2884" t="s">
        <v>1539</v>
      </c>
      <c r="I2884" t="s">
        <v>112</v>
      </c>
      <c r="J2884" t="s">
        <v>704</v>
      </c>
      <c r="K2884" t="s">
        <v>2970</v>
      </c>
      <c r="L2884" t="s">
        <v>2970</v>
      </c>
    </row>
    <row r="2885" spans="1:12" x14ac:dyDescent="0.3">
      <c r="A2885" t="s">
        <v>1778</v>
      </c>
      <c r="B2885" t="s">
        <v>732</v>
      </c>
      <c r="C2885" t="s">
        <v>711</v>
      </c>
      <c r="D2885" t="s">
        <v>269</v>
      </c>
      <c r="E2885" t="s">
        <v>568</v>
      </c>
      <c r="F2885" t="s">
        <v>145</v>
      </c>
      <c r="G2885" t="s">
        <v>111</v>
      </c>
      <c r="H2885" t="s">
        <v>1561</v>
      </c>
      <c r="I2885" t="s">
        <v>112</v>
      </c>
      <c r="J2885" t="s">
        <v>702</v>
      </c>
      <c r="K2885" t="s">
        <v>1568</v>
      </c>
      <c r="L2885" t="s">
        <v>1568</v>
      </c>
    </row>
    <row r="2886" spans="1:12" x14ac:dyDescent="0.3">
      <c r="A2886" t="s">
        <v>1778</v>
      </c>
      <c r="B2886" t="s">
        <v>732</v>
      </c>
      <c r="C2886" t="s">
        <v>711</v>
      </c>
      <c r="D2886" t="s">
        <v>271</v>
      </c>
      <c r="E2886" t="s">
        <v>567</v>
      </c>
      <c r="F2886" t="s">
        <v>76</v>
      </c>
      <c r="G2886" t="s">
        <v>111</v>
      </c>
      <c r="H2886" t="s">
        <v>703</v>
      </c>
      <c r="I2886" t="s">
        <v>112</v>
      </c>
      <c r="J2886" t="s">
        <v>702</v>
      </c>
      <c r="K2886" t="s">
        <v>2937</v>
      </c>
      <c r="L2886" t="s">
        <v>2937</v>
      </c>
    </row>
    <row r="2887" spans="1:12" x14ac:dyDescent="0.3">
      <c r="A2887" t="s">
        <v>1778</v>
      </c>
      <c r="B2887" t="s">
        <v>732</v>
      </c>
      <c r="C2887" t="s">
        <v>711</v>
      </c>
      <c r="D2887" t="s">
        <v>272</v>
      </c>
      <c r="E2887" t="s">
        <v>567</v>
      </c>
      <c r="F2887" t="s">
        <v>52</v>
      </c>
      <c r="G2887" t="s">
        <v>111</v>
      </c>
      <c r="H2887" t="s">
        <v>703</v>
      </c>
      <c r="I2887" t="s">
        <v>112</v>
      </c>
      <c r="J2887" t="s">
        <v>702</v>
      </c>
      <c r="K2887" t="s">
        <v>2937</v>
      </c>
      <c r="L2887" t="s">
        <v>2937</v>
      </c>
    </row>
    <row r="2888" spans="1:12" x14ac:dyDescent="0.3">
      <c r="A2888" t="s">
        <v>1778</v>
      </c>
      <c r="B2888" t="s">
        <v>732</v>
      </c>
      <c r="C2888" t="s">
        <v>711</v>
      </c>
      <c r="D2888" t="s">
        <v>327</v>
      </c>
      <c r="E2888" t="s">
        <v>567</v>
      </c>
      <c r="F2888" t="s">
        <v>104</v>
      </c>
      <c r="G2888" t="s">
        <v>111</v>
      </c>
      <c r="H2888" t="s">
        <v>703</v>
      </c>
      <c r="I2888" t="s">
        <v>112</v>
      </c>
      <c r="J2888" t="s">
        <v>702</v>
      </c>
      <c r="K2888" t="s">
        <v>2932</v>
      </c>
      <c r="L2888" t="s">
        <v>2932</v>
      </c>
    </row>
    <row r="2889" spans="1:12" x14ac:dyDescent="0.3">
      <c r="A2889" t="s">
        <v>1778</v>
      </c>
      <c r="B2889" t="s">
        <v>732</v>
      </c>
      <c r="C2889" t="s">
        <v>711</v>
      </c>
      <c r="D2889" t="s">
        <v>274</v>
      </c>
      <c r="E2889" t="s">
        <v>567</v>
      </c>
      <c r="F2889" t="s">
        <v>146</v>
      </c>
      <c r="G2889" t="s">
        <v>111</v>
      </c>
      <c r="H2889" t="s">
        <v>1561</v>
      </c>
      <c r="I2889" t="s">
        <v>112</v>
      </c>
      <c r="J2889" t="s">
        <v>702</v>
      </c>
      <c r="K2889" t="s">
        <v>2946</v>
      </c>
      <c r="L2889" t="s">
        <v>2946</v>
      </c>
    </row>
    <row r="2890" spans="1:12" x14ac:dyDescent="0.3">
      <c r="A2890" t="s">
        <v>1778</v>
      </c>
      <c r="B2890" t="s">
        <v>732</v>
      </c>
      <c r="C2890" t="s">
        <v>711</v>
      </c>
      <c r="D2890" t="s">
        <v>275</v>
      </c>
      <c r="E2890" t="s">
        <v>567</v>
      </c>
      <c r="F2890" t="s">
        <v>148</v>
      </c>
      <c r="G2890" t="s">
        <v>111</v>
      </c>
      <c r="H2890" t="s">
        <v>1539</v>
      </c>
      <c r="I2890" t="s">
        <v>112</v>
      </c>
      <c r="J2890" t="s">
        <v>704</v>
      </c>
      <c r="K2890" t="s">
        <v>1676</v>
      </c>
      <c r="L2890" t="s">
        <v>1676</v>
      </c>
    </row>
    <row r="2891" spans="1:12" x14ac:dyDescent="0.3">
      <c r="A2891" t="s">
        <v>1778</v>
      </c>
      <c r="B2891" t="s">
        <v>732</v>
      </c>
      <c r="C2891" t="s">
        <v>711</v>
      </c>
      <c r="D2891" t="s">
        <v>276</v>
      </c>
      <c r="E2891" t="s">
        <v>567</v>
      </c>
      <c r="F2891" t="s">
        <v>149</v>
      </c>
      <c r="G2891" t="s">
        <v>111</v>
      </c>
      <c r="H2891" t="s">
        <v>1539</v>
      </c>
      <c r="I2891" t="s">
        <v>112</v>
      </c>
      <c r="J2891" t="s">
        <v>704</v>
      </c>
      <c r="K2891" t="s">
        <v>1568</v>
      </c>
      <c r="L2891" t="s">
        <v>1568</v>
      </c>
    </row>
    <row r="2892" spans="1:12" x14ac:dyDescent="0.3">
      <c r="A2892" t="s">
        <v>1778</v>
      </c>
      <c r="B2892" t="s">
        <v>732</v>
      </c>
      <c r="C2892" t="s">
        <v>711</v>
      </c>
      <c r="D2892" t="s">
        <v>278</v>
      </c>
      <c r="E2892" t="s">
        <v>567</v>
      </c>
      <c r="F2892" t="s">
        <v>203</v>
      </c>
      <c r="G2892" t="s">
        <v>111</v>
      </c>
      <c r="H2892" t="s">
        <v>1539</v>
      </c>
      <c r="I2892" t="s">
        <v>112</v>
      </c>
      <c r="J2892" t="s">
        <v>704</v>
      </c>
      <c r="K2892" t="s">
        <v>1608</v>
      </c>
      <c r="L2892" t="s">
        <v>1608</v>
      </c>
    </row>
    <row r="2893" spans="1:12" x14ac:dyDescent="0.3">
      <c r="A2893" t="s">
        <v>1778</v>
      </c>
      <c r="B2893" t="s">
        <v>732</v>
      </c>
      <c r="C2893" t="s">
        <v>711</v>
      </c>
      <c r="D2893" t="s">
        <v>280</v>
      </c>
      <c r="E2893" t="s">
        <v>567</v>
      </c>
      <c r="F2893" t="s">
        <v>71</v>
      </c>
      <c r="G2893" t="s">
        <v>111</v>
      </c>
      <c r="H2893" t="s">
        <v>1539</v>
      </c>
      <c r="I2893" t="s">
        <v>112</v>
      </c>
      <c r="J2893" t="s">
        <v>704</v>
      </c>
      <c r="K2893" t="s">
        <v>2903</v>
      </c>
      <c r="L2893" t="s">
        <v>2903</v>
      </c>
    </row>
    <row r="2894" spans="1:12" x14ac:dyDescent="0.3">
      <c r="A2894" t="s">
        <v>1778</v>
      </c>
      <c r="B2894" t="s">
        <v>732</v>
      </c>
      <c r="C2894" t="s">
        <v>711</v>
      </c>
      <c r="D2894" t="s">
        <v>282</v>
      </c>
      <c r="E2894" t="s">
        <v>567</v>
      </c>
      <c r="F2894" t="s">
        <v>90</v>
      </c>
      <c r="G2894" t="s">
        <v>111</v>
      </c>
      <c r="H2894" t="s">
        <v>1539</v>
      </c>
      <c r="I2894" t="s">
        <v>112</v>
      </c>
      <c r="J2894" t="s">
        <v>704</v>
      </c>
      <c r="K2894" t="s">
        <v>2971</v>
      </c>
      <c r="L2894" t="s">
        <v>2971</v>
      </c>
    </row>
    <row r="2895" spans="1:12" x14ac:dyDescent="0.3">
      <c r="A2895" t="s">
        <v>1778</v>
      </c>
      <c r="B2895" t="s">
        <v>732</v>
      </c>
      <c r="C2895" t="s">
        <v>711</v>
      </c>
      <c r="D2895" t="s">
        <v>329</v>
      </c>
      <c r="E2895" t="s">
        <v>567</v>
      </c>
      <c r="F2895" t="s">
        <v>92</v>
      </c>
      <c r="G2895" t="s">
        <v>111</v>
      </c>
      <c r="H2895" t="s">
        <v>703</v>
      </c>
      <c r="I2895" t="s">
        <v>112</v>
      </c>
      <c r="J2895" t="s">
        <v>702</v>
      </c>
      <c r="K2895" t="s">
        <v>2928</v>
      </c>
      <c r="L2895" t="s">
        <v>2928</v>
      </c>
    </row>
    <row r="2896" spans="1:12" x14ac:dyDescent="0.3">
      <c r="A2896" t="s">
        <v>1778</v>
      </c>
      <c r="B2896" t="s">
        <v>732</v>
      </c>
      <c r="C2896" t="s">
        <v>711</v>
      </c>
      <c r="D2896" t="s">
        <v>283</v>
      </c>
      <c r="E2896" t="s">
        <v>567</v>
      </c>
      <c r="F2896" t="s">
        <v>63</v>
      </c>
      <c r="G2896" t="s">
        <v>111</v>
      </c>
      <c r="H2896" t="s">
        <v>703</v>
      </c>
      <c r="I2896" t="s">
        <v>112</v>
      </c>
      <c r="J2896" t="s">
        <v>702</v>
      </c>
      <c r="K2896" t="s">
        <v>1574</v>
      </c>
      <c r="L2896" t="s">
        <v>1574</v>
      </c>
    </row>
    <row r="2897" spans="1:12" x14ac:dyDescent="0.3">
      <c r="A2897" t="s">
        <v>1778</v>
      </c>
      <c r="B2897" t="s">
        <v>732</v>
      </c>
      <c r="C2897" t="s">
        <v>711</v>
      </c>
      <c r="D2897" t="s">
        <v>284</v>
      </c>
      <c r="E2897" t="s">
        <v>567</v>
      </c>
      <c r="F2897" t="s">
        <v>151</v>
      </c>
      <c r="G2897" t="s">
        <v>111</v>
      </c>
      <c r="H2897" t="s">
        <v>1539</v>
      </c>
      <c r="I2897" t="s">
        <v>112</v>
      </c>
      <c r="J2897" t="s">
        <v>704</v>
      </c>
      <c r="K2897" t="s">
        <v>1600</v>
      </c>
      <c r="L2897" t="s">
        <v>1600</v>
      </c>
    </row>
    <row r="2898" spans="1:12" x14ac:dyDescent="0.3">
      <c r="A2898" t="s">
        <v>1778</v>
      </c>
      <c r="B2898" t="s">
        <v>732</v>
      </c>
      <c r="C2898" t="s">
        <v>711</v>
      </c>
      <c r="D2898" t="s">
        <v>285</v>
      </c>
      <c r="E2898" t="s">
        <v>567</v>
      </c>
      <c r="F2898" t="s">
        <v>195</v>
      </c>
      <c r="G2898" t="s">
        <v>111</v>
      </c>
      <c r="H2898" t="s">
        <v>703</v>
      </c>
      <c r="I2898" t="s">
        <v>112</v>
      </c>
      <c r="J2898" t="s">
        <v>702</v>
      </c>
      <c r="K2898" t="s">
        <v>2928</v>
      </c>
      <c r="L2898" t="s">
        <v>2928</v>
      </c>
    </row>
    <row r="2899" spans="1:12" x14ac:dyDescent="0.3">
      <c r="A2899" t="s">
        <v>1778</v>
      </c>
      <c r="B2899" t="s">
        <v>732</v>
      </c>
      <c r="C2899" t="s">
        <v>711</v>
      </c>
      <c r="D2899" t="s">
        <v>330</v>
      </c>
      <c r="E2899" t="s">
        <v>567</v>
      </c>
      <c r="F2899" t="s">
        <v>177</v>
      </c>
      <c r="G2899" t="s">
        <v>111</v>
      </c>
      <c r="H2899" t="s">
        <v>703</v>
      </c>
      <c r="I2899" t="s">
        <v>112</v>
      </c>
      <c r="J2899" t="s">
        <v>702</v>
      </c>
      <c r="K2899" t="s">
        <v>1551</v>
      </c>
      <c r="L2899" t="s">
        <v>1551</v>
      </c>
    </row>
    <row r="2900" spans="1:12" x14ac:dyDescent="0.3">
      <c r="A2900" t="s">
        <v>1778</v>
      </c>
      <c r="B2900" t="s">
        <v>732</v>
      </c>
      <c r="C2900" t="s">
        <v>711</v>
      </c>
      <c r="D2900" t="s">
        <v>332</v>
      </c>
      <c r="E2900" t="s">
        <v>567</v>
      </c>
      <c r="F2900" t="s">
        <v>152</v>
      </c>
      <c r="G2900" t="s">
        <v>111</v>
      </c>
      <c r="H2900" t="s">
        <v>1565</v>
      </c>
      <c r="I2900" t="s">
        <v>112</v>
      </c>
      <c r="J2900" t="s">
        <v>1566</v>
      </c>
      <c r="K2900" t="s">
        <v>2829</v>
      </c>
      <c r="L2900" t="s">
        <v>2829</v>
      </c>
    </row>
    <row r="2901" spans="1:12" x14ac:dyDescent="0.3">
      <c r="A2901" t="s">
        <v>1778</v>
      </c>
      <c r="B2901" t="s">
        <v>732</v>
      </c>
      <c r="C2901" t="s">
        <v>711</v>
      </c>
      <c r="D2901" t="s">
        <v>286</v>
      </c>
      <c r="E2901" t="s">
        <v>567</v>
      </c>
      <c r="F2901" t="s">
        <v>67</v>
      </c>
      <c r="G2901" t="s">
        <v>111</v>
      </c>
      <c r="H2901" t="s">
        <v>703</v>
      </c>
      <c r="I2901" t="s">
        <v>112</v>
      </c>
      <c r="J2901" t="s">
        <v>702</v>
      </c>
      <c r="K2901" t="s">
        <v>1559</v>
      </c>
      <c r="L2901" t="s">
        <v>1559</v>
      </c>
    </row>
    <row r="2902" spans="1:12" x14ac:dyDescent="0.3">
      <c r="A2902" t="s">
        <v>1778</v>
      </c>
      <c r="B2902" t="s">
        <v>732</v>
      </c>
      <c r="C2902" t="s">
        <v>711</v>
      </c>
      <c r="D2902" t="s">
        <v>287</v>
      </c>
      <c r="E2902" t="s">
        <v>567</v>
      </c>
      <c r="F2902" t="s">
        <v>196</v>
      </c>
      <c r="G2902" t="s">
        <v>111</v>
      </c>
      <c r="H2902" t="s">
        <v>703</v>
      </c>
      <c r="I2902" t="s">
        <v>112</v>
      </c>
      <c r="J2902" t="s">
        <v>702</v>
      </c>
      <c r="K2902" t="s">
        <v>2972</v>
      </c>
      <c r="L2902" t="s">
        <v>2972</v>
      </c>
    </row>
    <row r="2903" spans="1:12" x14ac:dyDescent="0.3">
      <c r="A2903" t="s">
        <v>1778</v>
      </c>
      <c r="B2903" t="s">
        <v>732</v>
      </c>
      <c r="C2903" t="s">
        <v>711</v>
      </c>
      <c r="D2903" t="s">
        <v>288</v>
      </c>
      <c r="E2903" t="s">
        <v>567</v>
      </c>
      <c r="F2903" t="s">
        <v>178</v>
      </c>
      <c r="G2903" t="s">
        <v>111</v>
      </c>
      <c r="H2903" t="s">
        <v>1539</v>
      </c>
      <c r="I2903" t="s">
        <v>112</v>
      </c>
      <c r="J2903" t="s">
        <v>704</v>
      </c>
      <c r="K2903" t="s">
        <v>2973</v>
      </c>
      <c r="L2903" t="s">
        <v>2973</v>
      </c>
    </row>
    <row r="2904" spans="1:12" x14ac:dyDescent="0.3">
      <c r="A2904" t="s">
        <v>1778</v>
      </c>
      <c r="B2904" t="s">
        <v>732</v>
      </c>
      <c r="C2904" t="s">
        <v>711</v>
      </c>
      <c r="D2904" t="s">
        <v>289</v>
      </c>
      <c r="E2904" t="s">
        <v>567</v>
      </c>
      <c r="F2904" t="s">
        <v>179</v>
      </c>
      <c r="G2904" t="s">
        <v>111</v>
      </c>
      <c r="H2904" t="s">
        <v>1539</v>
      </c>
      <c r="I2904" t="s">
        <v>112</v>
      </c>
      <c r="J2904" t="s">
        <v>704</v>
      </c>
      <c r="K2904" t="s">
        <v>1635</v>
      </c>
      <c r="L2904" t="s">
        <v>1635</v>
      </c>
    </row>
    <row r="2905" spans="1:12" x14ac:dyDescent="0.3">
      <c r="A2905" t="s">
        <v>1778</v>
      </c>
      <c r="B2905" t="s">
        <v>732</v>
      </c>
      <c r="C2905" t="s">
        <v>711</v>
      </c>
      <c r="D2905" t="s">
        <v>290</v>
      </c>
      <c r="E2905" t="s">
        <v>567</v>
      </c>
      <c r="F2905" t="s">
        <v>153</v>
      </c>
      <c r="G2905" t="s">
        <v>111</v>
      </c>
      <c r="H2905" t="s">
        <v>1539</v>
      </c>
      <c r="I2905" t="s">
        <v>112</v>
      </c>
      <c r="J2905" t="s">
        <v>704</v>
      </c>
      <c r="K2905" t="s">
        <v>2819</v>
      </c>
      <c r="L2905" t="s">
        <v>2819</v>
      </c>
    </row>
    <row r="2906" spans="1:12" x14ac:dyDescent="0.3">
      <c r="A2906" t="s">
        <v>1778</v>
      </c>
      <c r="B2906" t="s">
        <v>732</v>
      </c>
      <c r="C2906" t="s">
        <v>711</v>
      </c>
      <c r="D2906" t="s">
        <v>291</v>
      </c>
      <c r="E2906" t="s">
        <v>567</v>
      </c>
      <c r="F2906" t="s">
        <v>154</v>
      </c>
      <c r="G2906" t="s">
        <v>111</v>
      </c>
      <c r="H2906" t="s">
        <v>703</v>
      </c>
      <c r="I2906" t="s">
        <v>112</v>
      </c>
      <c r="J2906" t="s">
        <v>702</v>
      </c>
      <c r="K2906" t="s">
        <v>2974</v>
      </c>
      <c r="L2906" t="s">
        <v>2974</v>
      </c>
    </row>
    <row r="2907" spans="1:12" x14ac:dyDescent="0.3">
      <c r="A2907" t="s">
        <v>1778</v>
      </c>
      <c r="B2907" t="s">
        <v>732</v>
      </c>
      <c r="C2907" t="s">
        <v>711</v>
      </c>
      <c r="D2907" t="s">
        <v>292</v>
      </c>
      <c r="E2907" t="s">
        <v>567</v>
      </c>
      <c r="F2907" t="s">
        <v>55</v>
      </c>
      <c r="G2907" t="s">
        <v>111</v>
      </c>
      <c r="H2907" t="s">
        <v>1561</v>
      </c>
      <c r="I2907" t="s">
        <v>112</v>
      </c>
      <c r="J2907" t="s">
        <v>702</v>
      </c>
      <c r="K2907" t="s">
        <v>2861</v>
      </c>
      <c r="L2907" t="s">
        <v>2861</v>
      </c>
    </row>
    <row r="2908" spans="1:12" x14ac:dyDescent="0.3">
      <c r="A2908" t="s">
        <v>1778</v>
      </c>
      <c r="B2908" t="s">
        <v>732</v>
      </c>
      <c r="C2908" t="s">
        <v>711</v>
      </c>
      <c r="D2908" t="s">
        <v>333</v>
      </c>
      <c r="E2908" t="s">
        <v>567</v>
      </c>
      <c r="F2908" t="s">
        <v>197</v>
      </c>
      <c r="G2908" t="s">
        <v>111</v>
      </c>
      <c r="H2908" t="s">
        <v>1565</v>
      </c>
      <c r="I2908" t="s">
        <v>112</v>
      </c>
      <c r="J2908" t="s">
        <v>1566</v>
      </c>
      <c r="K2908" t="s">
        <v>1568</v>
      </c>
      <c r="L2908" t="s">
        <v>1568</v>
      </c>
    </row>
    <row r="2909" spans="1:12" x14ac:dyDescent="0.3">
      <c r="A2909" t="s">
        <v>1778</v>
      </c>
      <c r="B2909" t="s">
        <v>732</v>
      </c>
      <c r="C2909" t="s">
        <v>711</v>
      </c>
      <c r="D2909" t="s">
        <v>293</v>
      </c>
      <c r="E2909" t="s">
        <v>567</v>
      </c>
      <c r="F2909" t="s">
        <v>72</v>
      </c>
      <c r="G2909" t="s">
        <v>111</v>
      </c>
      <c r="H2909" t="s">
        <v>1539</v>
      </c>
      <c r="I2909" t="s">
        <v>112</v>
      </c>
      <c r="J2909" t="s">
        <v>704</v>
      </c>
      <c r="K2909" t="s">
        <v>2841</v>
      </c>
      <c r="L2909" t="s">
        <v>2841</v>
      </c>
    </row>
    <row r="2910" spans="1:12" x14ac:dyDescent="0.3">
      <c r="A2910" t="s">
        <v>1778</v>
      </c>
      <c r="B2910" t="s">
        <v>732</v>
      </c>
      <c r="C2910" t="s">
        <v>711</v>
      </c>
      <c r="D2910" t="s">
        <v>334</v>
      </c>
      <c r="E2910" t="s">
        <v>567</v>
      </c>
      <c r="F2910" t="s">
        <v>155</v>
      </c>
      <c r="G2910" t="s">
        <v>111</v>
      </c>
      <c r="H2910" t="s">
        <v>703</v>
      </c>
      <c r="I2910" t="s">
        <v>112</v>
      </c>
      <c r="J2910" t="s">
        <v>702</v>
      </c>
      <c r="K2910" t="s">
        <v>1563</v>
      </c>
      <c r="L2910" t="s">
        <v>1563</v>
      </c>
    </row>
    <row r="2911" spans="1:12" x14ac:dyDescent="0.3">
      <c r="A2911" t="s">
        <v>1778</v>
      </c>
      <c r="B2911" t="s">
        <v>732</v>
      </c>
      <c r="C2911" t="s">
        <v>711</v>
      </c>
      <c r="D2911" t="s">
        <v>294</v>
      </c>
      <c r="E2911" t="s">
        <v>567</v>
      </c>
      <c r="F2911" t="s">
        <v>156</v>
      </c>
      <c r="G2911" t="s">
        <v>111</v>
      </c>
      <c r="H2911" t="s">
        <v>1539</v>
      </c>
      <c r="I2911" t="s">
        <v>112</v>
      </c>
      <c r="J2911" t="s">
        <v>704</v>
      </c>
      <c r="K2911" t="s">
        <v>2975</v>
      </c>
      <c r="L2911" t="s">
        <v>2975</v>
      </c>
    </row>
    <row r="2912" spans="1:12" x14ac:dyDescent="0.3">
      <c r="A2912" t="s">
        <v>1778</v>
      </c>
      <c r="B2912" t="s">
        <v>732</v>
      </c>
      <c r="C2912" t="s">
        <v>711</v>
      </c>
      <c r="D2912" t="s">
        <v>295</v>
      </c>
      <c r="E2912" t="s">
        <v>567</v>
      </c>
      <c r="F2912" t="s">
        <v>103</v>
      </c>
      <c r="G2912" t="s">
        <v>111</v>
      </c>
      <c r="H2912" t="s">
        <v>703</v>
      </c>
      <c r="I2912" t="s">
        <v>112</v>
      </c>
      <c r="J2912" t="s">
        <v>702</v>
      </c>
      <c r="K2912" t="s">
        <v>1548</v>
      </c>
      <c r="L2912" t="s">
        <v>1548</v>
      </c>
    </row>
    <row r="2913" spans="1:12" x14ac:dyDescent="0.3">
      <c r="A2913" t="s">
        <v>1778</v>
      </c>
      <c r="B2913" t="s">
        <v>732</v>
      </c>
      <c r="C2913" t="s">
        <v>711</v>
      </c>
      <c r="D2913" t="s">
        <v>297</v>
      </c>
      <c r="E2913" t="s">
        <v>567</v>
      </c>
      <c r="F2913" t="s">
        <v>180</v>
      </c>
      <c r="G2913" t="s">
        <v>111</v>
      </c>
      <c r="H2913" t="s">
        <v>1565</v>
      </c>
      <c r="I2913" t="s">
        <v>112</v>
      </c>
      <c r="J2913" t="s">
        <v>1566</v>
      </c>
      <c r="K2913" t="s">
        <v>2976</v>
      </c>
      <c r="L2913" t="s">
        <v>2976</v>
      </c>
    </row>
    <row r="2914" spans="1:12" x14ac:dyDescent="0.3">
      <c r="A2914" t="s">
        <v>1778</v>
      </c>
      <c r="B2914" t="s">
        <v>732</v>
      </c>
      <c r="C2914" t="s">
        <v>711</v>
      </c>
      <c r="D2914" t="s">
        <v>298</v>
      </c>
      <c r="E2914" t="s">
        <v>567</v>
      </c>
      <c r="F2914" t="s">
        <v>158</v>
      </c>
      <c r="G2914" t="s">
        <v>111</v>
      </c>
      <c r="H2914" t="s">
        <v>703</v>
      </c>
      <c r="I2914" t="s">
        <v>112</v>
      </c>
      <c r="J2914" t="s">
        <v>702</v>
      </c>
      <c r="K2914" t="s">
        <v>1551</v>
      </c>
      <c r="L2914" t="s">
        <v>1551</v>
      </c>
    </row>
    <row r="2915" spans="1:12" x14ac:dyDescent="0.3">
      <c r="A2915" t="s">
        <v>1778</v>
      </c>
      <c r="B2915" t="s">
        <v>732</v>
      </c>
      <c r="C2915" t="s">
        <v>711</v>
      </c>
      <c r="D2915" t="s">
        <v>335</v>
      </c>
      <c r="E2915" t="s">
        <v>567</v>
      </c>
      <c r="F2915" t="s">
        <v>199</v>
      </c>
      <c r="G2915" t="s">
        <v>111</v>
      </c>
      <c r="H2915" t="s">
        <v>703</v>
      </c>
      <c r="I2915" t="s">
        <v>112</v>
      </c>
      <c r="J2915" t="s">
        <v>702</v>
      </c>
      <c r="K2915" t="s">
        <v>1551</v>
      </c>
      <c r="L2915" t="s">
        <v>1551</v>
      </c>
    </row>
    <row r="2916" spans="1:12" x14ac:dyDescent="0.3">
      <c r="A2916" t="s">
        <v>1778</v>
      </c>
      <c r="B2916" t="s">
        <v>732</v>
      </c>
      <c r="C2916" t="s">
        <v>711</v>
      </c>
      <c r="D2916" t="s">
        <v>300</v>
      </c>
      <c r="E2916" t="s">
        <v>567</v>
      </c>
      <c r="F2916" t="s">
        <v>181</v>
      </c>
      <c r="G2916" t="s">
        <v>111</v>
      </c>
      <c r="H2916" t="s">
        <v>703</v>
      </c>
      <c r="I2916" t="s">
        <v>112</v>
      </c>
      <c r="J2916" t="s">
        <v>702</v>
      </c>
      <c r="K2916" t="s">
        <v>2977</v>
      </c>
      <c r="L2916" t="s">
        <v>2977</v>
      </c>
    </row>
    <row r="2917" spans="1:12" x14ac:dyDescent="0.3">
      <c r="A2917" t="s">
        <v>1778</v>
      </c>
      <c r="B2917" t="s">
        <v>732</v>
      </c>
      <c r="C2917" t="s">
        <v>711</v>
      </c>
      <c r="D2917" t="s">
        <v>208</v>
      </c>
      <c r="E2917" t="s">
        <v>567</v>
      </c>
      <c r="F2917" t="s">
        <v>161</v>
      </c>
      <c r="G2917" t="s">
        <v>111</v>
      </c>
      <c r="H2917" t="s">
        <v>1539</v>
      </c>
      <c r="I2917" t="s">
        <v>112</v>
      </c>
      <c r="J2917" t="s">
        <v>704</v>
      </c>
      <c r="K2917" t="s">
        <v>2904</v>
      </c>
      <c r="L2917" t="s">
        <v>2904</v>
      </c>
    </row>
    <row r="2918" spans="1:12" x14ac:dyDescent="0.3">
      <c r="A2918" t="s">
        <v>1778</v>
      </c>
      <c r="B2918" t="s">
        <v>732</v>
      </c>
      <c r="C2918" t="s">
        <v>711</v>
      </c>
      <c r="D2918" t="s">
        <v>1580</v>
      </c>
      <c r="E2918" t="s">
        <v>569</v>
      </c>
      <c r="F2918" t="s">
        <v>49</v>
      </c>
      <c r="G2918" t="s">
        <v>111</v>
      </c>
      <c r="H2918" t="s">
        <v>182</v>
      </c>
      <c r="I2918" t="s">
        <v>112</v>
      </c>
      <c r="J2918" t="s">
        <v>183</v>
      </c>
      <c r="K2918" t="s">
        <v>1535</v>
      </c>
      <c r="L2918" t="s">
        <v>1535</v>
      </c>
    </row>
    <row r="2919" spans="1:12" x14ac:dyDescent="0.3">
      <c r="A2919" t="s">
        <v>1778</v>
      </c>
      <c r="B2919" t="s">
        <v>732</v>
      </c>
      <c r="C2919" t="s">
        <v>711</v>
      </c>
      <c r="D2919" t="s">
        <v>1581</v>
      </c>
      <c r="E2919" t="s">
        <v>569</v>
      </c>
      <c r="F2919" t="s">
        <v>115</v>
      </c>
      <c r="G2919" t="s">
        <v>111</v>
      </c>
      <c r="H2919" t="s">
        <v>703</v>
      </c>
      <c r="I2919" t="s">
        <v>112</v>
      </c>
      <c r="J2919" t="s">
        <v>702</v>
      </c>
      <c r="K2919" t="s">
        <v>1551</v>
      </c>
      <c r="L2919" t="s">
        <v>1551</v>
      </c>
    </row>
    <row r="2920" spans="1:12" x14ac:dyDescent="0.3">
      <c r="A2920" t="s">
        <v>1778</v>
      </c>
      <c r="B2920" t="s">
        <v>732</v>
      </c>
      <c r="C2920" t="s">
        <v>711</v>
      </c>
      <c r="D2920" t="s">
        <v>1583</v>
      </c>
      <c r="E2920" t="s">
        <v>569</v>
      </c>
      <c r="F2920" t="s">
        <v>59</v>
      </c>
      <c r="G2920" t="s">
        <v>111</v>
      </c>
      <c r="H2920" t="s">
        <v>182</v>
      </c>
      <c r="I2920" t="s">
        <v>112</v>
      </c>
      <c r="J2920" t="s">
        <v>183</v>
      </c>
      <c r="K2920" t="s">
        <v>2929</v>
      </c>
      <c r="L2920" t="s">
        <v>2929</v>
      </c>
    </row>
    <row r="2921" spans="1:12" x14ac:dyDescent="0.3">
      <c r="A2921" t="s">
        <v>1778</v>
      </c>
      <c r="B2921" t="s">
        <v>732</v>
      </c>
      <c r="C2921" t="s">
        <v>711</v>
      </c>
      <c r="D2921" t="s">
        <v>1584</v>
      </c>
      <c r="E2921" t="s">
        <v>569</v>
      </c>
      <c r="F2921" t="s">
        <v>117</v>
      </c>
      <c r="G2921" t="s">
        <v>111</v>
      </c>
      <c r="H2921" t="s">
        <v>1539</v>
      </c>
      <c r="I2921" t="s">
        <v>112</v>
      </c>
      <c r="J2921" t="s">
        <v>704</v>
      </c>
      <c r="K2921" t="s">
        <v>2955</v>
      </c>
      <c r="L2921" t="s">
        <v>2955</v>
      </c>
    </row>
    <row r="2922" spans="1:12" x14ac:dyDescent="0.3">
      <c r="A2922" t="s">
        <v>1778</v>
      </c>
      <c r="B2922" t="s">
        <v>732</v>
      </c>
      <c r="C2922" t="s">
        <v>711</v>
      </c>
      <c r="D2922" t="s">
        <v>1585</v>
      </c>
      <c r="E2922" t="s">
        <v>569</v>
      </c>
      <c r="F2922" t="s">
        <v>188</v>
      </c>
      <c r="G2922" t="s">
        <v>111</v>
      </c>
      <c r="H2922" t="s">
        <v>703</v>
      </c>
      <c r="I2922" t="s">
        <v>112</v>
      </c>
      <c r="J2922" t="s">
        <v>702</v>
      </c>
      <c r="K2922" t="s">
        <v>1567</v>
      </c>
      <c r="L2922" t="s">
        <v>1567</v>
      </c>
    </row>
    <row r="2923" spans="1:12" x14ac:dyDescent="0.3">
      <c r="A2923" t="s">
        <v>1778</v>
      </c>
      <c r="B2923" t="s">
        <v>732</v>
      </c>
      <c r="C2923" t="s">
        <v>711</v>
      </c>
      <c r="D2923" t="s">
        <v>1586</v>
      </c>
      <c r="E2923" t="s">
        <v>569</v>
      </c>
      <c r="F2923" t="s">
        <v>120</v>
      </c>
      <c r="G2923" t="s">
        <v>111</v>
      </c>
      <c r="H2923" t="s">
        <v>1539</v>
      </c>
      <c r="I2923" t="s">
        <v>112</v>
      </c>
      <c r="J2923" t="s">
        <v>704</v>
      </c>
      <c r="K2923" t="s">
        <v>1559</v>
      </c>
      <c r="L2923" t="s">
        <v>1559</v>
      </c>
    </row>
    <row r="2924" spans="1:12" x14ac:dyDescent="0.3">
      <c r="A2924" t="s">
        <v>1778</v>
      </c>
      <c r="B2924" t="s">
        <v>732</v>
      </c>
      <c r="C2924" t="s">
        <v>711</v>
      </c>
      <c r="D2924" t="s">
        <v>1587</v>
      </c>
      <c r="E2924" t="s">
        <v>569</v>
      </c>
      <c r="F2924" t="s">
        <v>164</v>
      </c>
      <c r="G2924" t="s">
        <v>111</v>
      </c>
      <c r="H2924" t="s">
        <v>1561</v>
      </c>
      <c r="I2924" t="s">
        <v>112</v>
      </c>
      <c r="J2924" t="s">
        <v>702</v>
      </c>
      <c r="K2924" t="s">
        <v>2956</v>
      </c>
      <c r="L2924" t="s">
        <v>2956</v>
      </c>
    </row>
    <row r="2925" spans="1:12" x14ac:dyDescent="0.3">
      <c r="A2925" t="s">
        <v>1778</v>
      </c>
      <c r="B2925" t="s">
        <v>732</v>
      </c>
      <c r="C2925" t="s">
        <v>711</v>
      </c>
      <c r="D2925" t="s">
        <v>1588</v>
      </c>
      <c r="E2925" t="s">
        <v>569</v>
      </c>
      <c r="F2925" t="s">
        <v>53</v>
      </c>
      <c r="G2925" t="s">
        <v>111</v>
      </c>
      <c r="H2925" t="s">
        <v>187</v>
      </c>
      <c r="I2925" t="s">
        <v>112</v>
      </c>
      <c r="J2925" t="s">
        <v>183</v>
      </c>
      <c r="K2925" t="s">
        <v>2957</v>
      </c>
      <c r="L2925" t="s">
        <v>2957</v>
      </c>
    </row>
    <row r="2926" spans="1:12" x14ac:dyDescent="0.3">
      <c r="A2926" t="s">
        <v>1778</v>
      </c>
      <c r="B2926" t="s">
        <v>732</v>
      </c>
      <c r="C2926" t="s">
        <v>711</v>
      </c>
      <c r="D2926" t="s">
        <v>1589</v>
      </c>
      <c r="E2926" t="s">
        <v>569</v>
      </c>
      <c r="F2926" t="s">
        <v>69</v>
      </c>
      <c r="G2926" t="s">
        <v>111</v>
      </c>
      <c r="H2926" t="s">
        <v>1565</v>
      </c>
      <c r="I2926" t="s">
        <v>112</v>
      </c>
      <c r="J2926" t="s">
        <v>1566</v>
      </c>
      <c r="K2926" t="s">
        <v>1555</v>
      </c>
      <c r="L2926" t="s">
        <v>1555</v>
      </c>
    </row>
    <row r="2927" spans="1:12" x14ac:dyDescent="0.3">
      <c r="A2927" t="s">
        <v>1778</v>
      </c>
      <c r="B2927" t="s">
        <v>732</v>
      </c>
      <c r="C2927" t="s">
        <v>711</v>
      </c>
      <c r="D2927" t="s">
        <v>1590</v>
      </c>
      <c r="E2927" t="s">
        <v>569</v>
      </c>
      <c r="F2927" t="s">
        <v>122</v>
      </c>
      <c r="G2927" t="s">
        <v>111</v>
      </c>
      <c r="H2927" t="s">
        <v>703</v>
      </c>
      <c r="I2927" t="s">
        <v>112</v>
      </c>
      <c r="J2927" t="s">
        <v>702</v>
      </c>
      <c r="K2927" t="s">
        <v>2822</v>
      </c>
      <c r="L2927" t="s">
        <v>2822</v>
      </c>
    </row>
    <row r="2928" spans="1:12" x14ac:dyDescent="0.3">
      <c r="A2928" t="s">
        <v>1778</v>
      </c>
      <c r="B2928" t="s">
        <v>732</v>
      </c>
      <c r="C2928" t="s">
        <v>711</v>
      </c>
      <c r="D2928" t="s">
        <v>1591</v>
      </c>
      <c r="E2928" t="s">
        <v>569</v>
      </c>
      <c r="F2928" t="s">
        <v>165</v>
      </c>
      <c r="G2928" t="s">
        <v>111</v>
      </c>
      <c r="H2928" t="s">
        <v>1539</v>
      </c>
      <c r="I2928" t="s">
        <v>112</v>
      </c>
      <c r="J2928" t="s">
        <v>704</v>
      </c>
      <c r="K2928" t="s">
        <v>2958</v>
      </c>
      <c r="L2928" t="s">
        <v>2958</v>
      </c>
    </row>
    <row r="2929" spans="1:12" x14ac:dyDescent="0.3">
      <c r="A2929" t="s">
        <v>1778</v>
      </c>
      <c r="B2929" t="s">
        <v>732</v>
      </c>
      <c r="C2929" t="s">
        <v>711</v>
      </c>
      <c r="D2929" t="s">
        <v>1592</v>
      </c>
      <c r="E2929" t="s">
        <v>569</v>
      </c>
      <c r="F2929" t="s">
        <v>54</v>
      </c>
      <c r="G2929" t="s">
        <v>111</v>
      </c>
      <c r="H2929" t="s">
        <v>703</v>
      </c>
      <c r="I2929" t="s">
        <v>112</v>
      </c>
      <c r="J2929" t="s">
        <v>702</v>
      </c>
      <c r="K2929" t="s">
        <v>1610</v>
      </c>
      <c r="L2929" t="s">
        <v>1610</v>
      </c>
    </row>
    <row r="2930" spans="1:12" x14ac:dyDescent="0.3">
      <c r="A2930" t="s">
        <v>1778</v>
      </c>
      <c r="B2930" t="s">
        <v>732</v>
      </c>
      <c r="C2930" t="s">
        <v>711</v>
      </c>
      <c r="D2930" t="s">
        <v>1593</v>
      </c>
      <c r="E2930" t="s">
        <v>569</v>
      </c>
      <c r="F2930" t="s">
        <v>45</v>
      </c>
      <c r="G2930" t="s">
        <v>111</v>
      </c>
      <c r="H2930" t="s">
        <v>1539</v>
      </c>
      <c r="I2930" t="s">
        <v>112</v>
      </c>
      <c r="J2930" t="s">
        <v>704</v>
      </c>
      <c r="K2930" t="s">
        <v>1542</v>
      </c>
      <c r="L2930" t="s">
        <v>1542</v>
      </c>
    </row>
    <row r="2931" spans="1:12" x14ac:dyDescent="0.3">
      <c r="A2931" t="s">
        <v>1778</v>
      </c>
      <c r="B2931" t="s">
        <v>732</v>
      </c>
      <c r="C2931" t="s">
        <v>711</v>
      </c>
      <c r="D2931" t="s">
        <v>1596</v>
      </c>
      <c r="E2931" t="s">
        <v>569</v>
      </c>
      <c r="F2931" t="s">
        <v>190</v>
      </c>
      <c r="G2931" t="s">
        <v>111</v>
      </c>
      <c r="H2931" t="s">
        <v>1539</v>
      </c>
      <c r="I2931" t="s">
        <v>112</v>
      </c>
      <c r="J2931" t="s">
        <v>704</v>
      </c>
      <c r="K2931" t="s">
        <v>2900</v>
      </c>
      <c r="L2931" t="s">
        <v>2900</v>
      </c>
    </row>
    <row r="2932" spans="1:12" x14ac:dyDescent="0.3">
      <c r="A2932" t="s">
        <v>1778</v>
      </c>
      <c r="B2932" t="s">
        <v>732</v>
      </c>
      <c r="C2932" t="s">
        <v>711</v>
      </c>
      <c r="D2932" t="s">
        <v>1597</v>
      </c>
      <c r="E2932" t="s">
        <v>569</v>
      </c>
      <c r="F2932" t="s">
        <v>124</v>
      </c>
      <c r="G2932" t="s">
        <v>111</v>
      </c>
      <c r="H2932" t="s">
        <v>1539</v>
      </c>
      <c r="I2932" t="s">
        <v>112</v>
      </c>
      <c r="J2932" t="s">
        <v>704</v>
      </c>
      <c r="K2932" t="s">
        <v>2928</v>
      </c>
      <c r="L2932" t="s">
        <v>2928</v>
      </c>
    </row>
    <row r="2933" spans="1:12" x14ac:dyDescent="0.3">
      <c r="A2933" t="s">
        <v>1778</v>
      </c>
      <c r="B2933" t="s">
        <v>732</v>
      </c>
      <c r="C2933" t="s">
        <v>711</v>
      </c>
      <c r="D2933" t="s">
        <v>1598</v>
      </c>
      <c r="E2933" t="s">
        <v>569</v>
      </c>
      <c r="F2933" t="s">
        <v>58</v>
      </c>
      <c r="G2933" t="s">
        <v>111</v>
      </c>
      <c r="H2933" t="s">
        <v>703</v>
      </c>
      <c r="I2933" t="s">
        <v>112</v>
      </c>
      <c r="J2933" t="s">
        <v>702</v>
      </c>
      <c r="K2933" t="s">
        <v>2960</v>
      </c>
      <c r="L2933" t="s">
        <v>2960</v>
      </c>
    </row>
    <row r="2934" spans="1:12" x14ac:dyDescent="0.3">
      <c r="A2934" t="s">
        <v>1778</v>
      </c>
      <c r="B2934" t="s">
        <v>732</v>
      </c>
      <c r="C2934" t="s">
        <v>711</v>
      </c>
      <c r="D2934" t="s">
        <v>1599</v>
      </c>
      <c r="E2934" t="s">
        <v>569</v>
      </c>
      <c r="F2934" t="s">
        <v>191</v>
      </c>
      <c r="G2934" t="s">
        <v>111</v>
      </c>
      <c r="H2934" t="s">
        <v>1539</v>
      </c>
      <c r="I2934" t="s">
        <v>112</v>
      </c>
      <c r="J2934" t="s">
        <v>704</v>
      </c>
      <c r="K2934" t="s">
        <v>2929</v>
      </c>
      <c r="L2934" t="s">
        <v>2929</v>
      </c>
    </row>
    <row r="2935" spans="1:12" x14ac:dyDescent="0.3">
      <c r="A2935" t="s">
        <v>1778</v>
      </c>
      <c r="B2935" t="s">
        <v>732</v>
      </c>
      <c r="C2935" t="s">
        <v>711</v>
      </c>
      <c r="D2935" t="s">
        <v>1601</v>
      </c>
      <c r="E2935" t="s">
        <v>569</v>
      </c>
      <c r="F2935" t="s">
        <v>126</v>
      </c>
      <c r="G2935" t="s">
        <v>111</v>
      </c>
      <c r="H2935" t="s">
        <v>182</v>
      </c>
      <c r="I2935" t="s">
        <v>112</v>
      </c>
      <c r="J2935" t="s">
        <v>183</v>
      </c>
      <c r="K2935" t="s">
        <v>1568</v>
      </c>
      <c r="L2935" t="s">
        <v>1568</v>
      </c>
    </row>
    <row r="2936" spans="1:12" x14ac:dyDescent="0.3">
      <c r="A2936" t="s">
        <v>1778</v>
      </c>
      <c r="B2936" t="s">
        <v>732</v>
      </c>
      <c r="C2936" t="s">
        <v>711</v>
      </c>
      <c r="D2936" t="s">
        <v>1602</v>
      </c>
      <c r="E2936" t="s">
        <v>569</v>
      </c>
      <c r="F2936" t="s">
        <v>167</v>
      </c>
      <c r="G2936" t="s">
        <v>111</v>
      </c>
      <c r="H2936" t="s">
        <v>703</v>
      </c>
      <c r="I2936" t="s">
        <v>112</v>
      </c>
      <c r="J2936" t="s">
        <v>702</v>
      </c>
      <c r="K2936" t="s">
        <v>2954</v>
      </c>
      <c r="L2936" t="s">
        <v>2954</v>
      </c>
    </row>
    <row r="2937" spans="1:12" x14ac:dyDescent="0.3">
      <c r="A2937" t="s">
        <v>1778</v>
      </c>
      <c r="B2937" t="s">
        <v>732</v>
      </c>
      <c r="C2937" t="s">
        <v>711</v>
      </c>
      <c r="D2937" t="s">
        <v>1604</v>
      </c>
      <c r="E2937" t="s">
        <v>569</v>
      </c>
      <c r="F2937" t="s">
        <v>127</v>
      </c>
      <c r="G2937" t="s">
        <v>111</v>
      </c>
      <c r="H2937" t="s">
        <v>186</v>
      </c>
      <c r="I2937" t="s">
        <v>112</v>
      </c>
      <c r="J2937" t="s">
        <v>183</v>
      </c>
      <c r="K2937" t="s">
        <v>1562</v>
      </c>
      <c r="L2937" t="s">
        <v>1562</v>
      </c>
    </row>
    <row r="2938" spans="1:12" x14ac:dyDescent="0.3">
      <c r="A2938" t="s">
        <v>1778</v>
      </c>
      <c r="B2938" t="s">
        <v>732</v>
      </c>
      <c r="C2938" t="s">
        <v>711</v>
      </c>
      <c r="D2938" t="s">
        <v>1605</v>
      </c>
      <c r="E2938" t="s">
        <v>569</v>
      </c>
      <c r="F2938" t="s">
        <v>128</v>
      </c>
      <c r="G2938" t="s">
        <v>111</v>
      </c>
      <c r="H2938" t="s">
        <v>703</v>
      </c>
      <c r="I2938" t="s">
        <v>112</v>
      </c>
      <c r="J2938" t="s">
        <v>702</v>
      </c>
      <c r="K2938" t="s">
        <v>2829</v>
      </c>
      <c r="L2938" t="s">
        <v>2829</v>
      </c>
    </row>
    <row r="2939" spans="1:12" x14ac:dyDescent="0.3">
      <c r="A2939" t="s">
        <v>1778</v>
      </c>
      <c r="B2939" t="s">
        <v>732</v>
      </c>
      <c r="C2939" t="s">
        <v>711</v>
      </c>
      <c r="D2939" t="s">
        <v>1606</v>
      </c>
      <c r="E2939" t="s">
        <v>569</v>
      </c>
      <c r="F2939" t="s">
        <v>168</v>
      </c>
      <c r="G2939" t="s">
        <v>111</v>
      </c>
      <c r="H2939" t="s">
        <v>1539</v>
      </c>
      <c r="I2939" t="s">
        <v>112</v>
      </c>
      <c r="J2939" t="s">
        <v>704</v>
      </c>
      <c r="K2939" t="s">
        <v>2886</v>
      </c>
      <c r="L2939" t="s">
        <v>2886</v>
      </c>
    </row>
    <row r="2940" spans="1:12" x14ac:dyDescent="0.3">
      <c r="A2940" t="s">
        <v>1778</v>
      </c>
      <c r="B2940" t="s">
        <v>732</v>
      </c>
      <c r="C2940" t="s">
        <v>711</v>
      </c>
      <c r="D2940" t="s">
        <v>1607</v>
      </c>
      <c r="E2940" t="s">
        <v>569</v>
      </c>
      <c r="F2940" t="s">
        <v>89</v>
      </c>
      <c r="G2940" t="s">
        <v>111</v>
      </c>
      <c r="H2940" t="s">
        <v>182</v>
      </c>
      <c r="I2940" t="s">
        <v>112</v>
      </c>
      <c r="J2940" t="s">
        <v>183</v>
      </c>
      <c r="K2940" t="s">
        <v>1608</v>
      </c>
      <c r="L2940" t="s">
        <v>1608</v>
      </c>
    </row>
    <row r="2941" spans="1:12" x14ac:dyDescent="0.3">
      <c r="A2941" t="s">
        <v>1778</v>
      </c>
      <c r="B2941" t="s">
        <v>732</v>
      </c>
      <c r="C2941" t="s">
        <v>711</v>
      </c>
      <c r="D2941" t="s">
        <v>1609</v>
      </c>
      <c r="E2941" t="s">
        <v>569</v>
      </c>
      <c r="F2941" t="s">
        <v>66</v>
      </c>
      <c r="G2941" t="s">
        <v>111</v>
      </c>
      <c r="H2941" t="s">
        <v>182</v>
      </c>
      <c r="I2941" t="s">
        <v>112</v>
      </c>
      <c r="J2941" t="s">
        <v>183</v>
      </c>
      <c r="K2941" t="s">
        <v>2978</v>
      </c>
      <c r="L2941" t="s">
        <v>2978</v>
      </c>
    </row>
    <row r="2942" spans="1:12" x14ac:dyDescent="0.3">
      <c r="A2942" t="s">
        <v>1778</v>
      </c>
      <c r="B2942" t="s">
        <v>732</v>
      </c>
      <c r="C2942" t="s">
        <v>711</v>
      </c>
      <c r="D2942" t="s">
        <v>1611</v>
      </c>
      <c r="E2942" t="s">
        <v>569</v>
      </c>
      <c r="F2942" t="s">
        <v>169</v>
      </c>
      <c r="G2942" t="s">
        <v>111</v>
      </c>
      <c r="H2942" t="s">
        <v>1539</v>
      </c>
      <c r="I2942" t="s">
        <v>112</v>
      </c>
      <c r="J2942" t="s">
        <v>704</v>
      </c>
      <c r="K2942" t="s">
        <v>2961</v>
      </c>
      <c r="L2942" t="s">
        <v>2961</v>
      </c>
    </row>
    <row r="2943" spans="1:12" x14ac:dyDescent="0.3">
      <c r="A2943" t="s">
        <v>1778</v>
      </c>
      <c r="B2943" t="s">
        <v>732</v>
      </c>
      <c r="C2943" t="s">
        <v>711</v>
      </c>
      <c r="D2943" t="s">
        <v>1612</v>
      </c>
      <c r="E2943" t="s">
        <v>569</v>
      </c>
      <c r="F2943" t="s">
        <v>110</v>
      </c>
      <c r="G2943" t="s">
        <v>111</v>
      </c>
      <c r="H2943" t="s">
        <v>703</v>
      </c>
      <c r="I2943" t="s">
        <v>112</v>
      </c>
      <c r="J2943" t="s">
        <v>702</v>
      </c>
      <c r="K2943" t="s">
        <v>2979</v>
      </c>
      <c r="L2943" t="s">
        <v>2979</v>
      </c>
    </row>
    <row r="2944" spans="1:12" x14ac:dyDescent="0.3">
      <c r="A2944" t="s">
        <v>1778</v>
      </c>
      <c r="B2944" t="s">
        <v>732</v>
      </c>
      <c r="C2944" t="s">
        <v>711</v>
      </c>
      <c r="D2944" t="s">
        <v>1613</v>
      </c>
      <c r="E2944" t="s">
        <v>569</v>
      </c>
      <c r="F2944" t="s">
        <v>93</v>
      </c>
      <c r="G2944" t="s">
        <v>111</v>
      </c>
      <c r="H2944" t="s">
        <v>703</v>
      </c>
      <c r="I2944" t="s">
        <v>112</v>
      </c>
      <c r="J2944" t="s">
        <v>702</v>
      </c>
      <c r="K2944" t="s">
        <v>1574</v>
      </c>
      <c r="L2944" t="s">
        <v>1574</v>
      </c>
    </row>
    <row r="2945" spans="1:12" x14ac:dyDescent="0.3">
      <c r="A2945" t="s">
        <v>1778</v>
      </c>
      <c r="B2945" t="s">
        <v>732</v>
      </c>
      <c r="C2945" t="s">
        <v>711</v>
      </c>
      <c r="D2945" t="s">
        <v>1614</v>
      </c>
      <c r="E2945" t="s">
        <v>569</v>
      </c>
      <c r="F2945" t="s">
        <v>129</v>
      </c>
      <c r="G2945" t="s">
        <v>111</v>
      </c>
      <c r="H2945" t="s">
        <v>182</v>
      </c>
      <c r="I2945" t="s">
        <v>112</v>
      </c>
      <c r="J2945" t="s">
        <v>183</v>
      </c>
      <c r="K2945" t="s">
        <v>1568</v>
      </c>
      <c r="L2945" t="s">
        <v>1568</v>
      </c>
    </row>
    <row r="2946" spans="1:12" x14ac:dyDescent="0.3">
      <c r="A2946" t="s">
        <v>1778</v>
      </c>
      <c r="B2946" t="s">
        <v>732</v>
      </c>
      <c r="C2946" t="s">
        <v>711</v>
      </c>
      <c r="D2946" t="s">
        <v>1615</v>
      </c>
      <c r="E2946" t="s">
        <v>569</v>
      </c>
      <c r="F2946" t="s">
        <v>87</v>
      </c>
      <c r="G2946" t="s">
        <v>111</v>
      </c>
      <c r="H2946" t="s">
        <v>1539</v>
      </c>
      <c r="I2946" t="s">
        <v>112</v>
      </c>
      <c r="J2946" t="s">
        <v>704</v>
      </c>
      <c r="K2946" t="s">
        <v>1548</v>
      </c>
      <c r="L2946" t="s">
        <v>1548</v>
      </c>
    </row>
    <row r="2947" spans="1:12" x14ac:dyDescent="0.3">
      <c r="A2947" t="s">
        <v>1778</v>
      </c>
      <c r="B2947" t="s">
        <v>732</v>
      </c>
      <c r="C2947" t="s">
        <v>711</v>
      </c>
      <c r="D2947" t="s">
        <v>1616</v>
      </c>
      <c r="E2947" t="s">
        <v>569</v>
      </c>
      <c r="F2947" t="s">
        <v>130</v>
      </c>
      <c r="G2947" t="s">
        <v>111</v>
      </c>
      <c r="H2947" t="s">
        <v>182</v>
      </c>
      <c r="I2947" t="s">
        <v>112</v>
      </c>
      <c r="J2947" t="s">
        <v>183</v>
      </c>
      <c r="K2947" t="s">
        <v>1562</v>
      </c>
      <c r="L2947" t="s">
        <v>1562</v>
      </c>
    </row>
    <row r="2948" spans="1:12" x14ac:dyDescent="0.3">
      <c r="A2948" t="s">
        <v>1778</v>
      </c>
      <c r="B2948" t="s">
        <v>732</v>
      </c>
      <c r="C2948" t="s">
        <v>711</v>
      </c>
      <c r="D2948" t="s">
        <v>1617</v>
      </c>
      <c r="E2948" t="s">
        <v>569</v>
      </c>
      <c r="F2948" t="s">
        <v>131</v>
      </c>
      <c r="G2948" t="s">
        <v>111</v>
      </c>
      <c r="H2948" t="s">
        <v>182</v>
      </c>
      <c r="I2948" t="s">
        <v>112</v>
      </c>
      <c r="J2948" t="s">
        <v>183</v>
      </c>
      <c r="K2948" t="s">
        <v>1562</v>
      </c>
      <c r="L2948" t="s">
        <v>1562</v>
      </c>
    </row>
    <row r="2949" spans="1:12" x14ac:dyDescent="0.3">
      <c r="A2949" t="s">
        <v>1778</v>
      </c>
      <c r="B2949" t="s">
        <v>732</v>
      </c>
      <c r="C2949" t="s">
        <v>711</v>
      </c>
      <c r="D2949" t="s">
        <v>1618</v>
      </c>
      <c r="E2949" t="s">
        <v>569</v>
      </c>
      <c r="F2949" t="s">
        <v>50</v>
      </c>
      <c r="G2949" t="s">
        <v>111</v>
      </c>
      <c r="H2949" t="s">
        <v>182</v>
      </c>
      <c r="I2949" t="s">
        <v>112</v>
      </c>
      <c r="J2949" t="s">
        <v>183</v>
      </c>
      <c r="K2949" t="s">
        <v>1558</v>
      </c>
      <c r="L2949" t="s">
        <v>1558</v>
      </c>
    </row>
    <row r="2950" spans="1:12" x14ac:dyDescent="0.3">
      <c r="A2950" t="s">
        <v>1778</v>
      </c>
      <c r="B2950" t="s">
        <v>732</v>
      </c>
      <c r="C2950" t="s">
        <v>711</v>
      </c>
      <c r="D2950" t="s">
        <v>1619</v>
      </c>
      <c r="E2950" t="s">
        <v>568</v>
      </c>
      <c r="F2950" t="s">
        <v>193</v>
      </c>
      <c r="G2950" t="s">
        <v>111</v>
      </c>
      <c r="H2950" t="s">
        <v>1539</v>
      </c>
      <c r="I2950" t="s">
        <v>112</v>
      </c>
      <c r="J2950" t="s">
        <v>704</v>
      </c>
      <c r="K2950" t="s">
        <v>1558</v>
      </c>
      <c r="L2950" t="s">
        <v>1558</v>
      </c>
    </row>
    <row r="2951" spans="1:12" x14ac:dyDescent="0.3">
      <c r="A2951" t="s">
        <v>1778</v>
      </c>
      <c r="B2951" t="s">
        <v>732</v>
      </c>
      <c r="C2951" t="s">
        <v>711</v>
      </c>
      <c r="D2951" t="s">
        <v>1620</v>
      </c>
      <c r="E2951" t="s">
        <v>568</v>
      </c>
      <c r="F2951" t="s">
        <v>134</v>
      </c>
      <c r="G2951" t="s">
        <v>111</v>
      </c>
      <c r="H2951" t="s">
        <v>182</v>
      </c>
      <c r="I2951" t="s">
        <v>112</v>
      </c>
      <c r="J2951" t="s">
        <v>183</v>
      </c>
      <c r="K2951" t="s">
        <v>2962</v>
      </c>
      <c r="L2951" t="s">
        <v>2962</v>
      </c>
    </row>
    <row r="2952" spans="1:12" x14ac:dyDescent="0.3">
      <c r="A2952" t="s">
        <v>1778</v>
      </c>
      <c r="B2952" t="s">
        <v>732</v>
      </c>
      <c r="C2952" t="s">
        <v>711</v>
      </c>
      <c r="D2952" t="s">
        <v>1621</v>
      </c>
      <c r="E2952" t="s">
        <v>568</v>
      </c>
      <c r="F2952" t="s">
        <v>51</v>
      </c>
      <c r="G2952" t="s">
        <v>111</v>
      </c>
      <c r="H2952" t="s">
        <v>1539</v>
      </c>
      <c r="I2952" t="s">
        <v>112</v>
      </c>
      <c r="J2952" t="s">
        <v>704</v>
      </c>
      <c r="K2952" t="s">
        <v>1555</v>
      </c>
      <c r="L2952" t="s">
        <v>1555</v>
      </c>
    </row>
    <row r="2953" spans="1:12" x14ac:dyDescent="0.3">
      <c r="A2953" t="s">
        <v>1778</v>
      </c>
      <c r="B2953" t="s">
        <v>732</v>
      </c>
      <c r="C2953" t="s">
        <v>711</v>
      </c>
      <c r="D2953" t="s">
        <v>1622</v>
      </c>
      <c r="E2953" t="s">
        <v>568</v>
      </c>
      <c r="F2953" t="s">
        <v>163</v>
      </c>
      <c r="G2953" t="s">
        <v>111</v>
      </c>
      <c r="H2953" t="s">
        <v>184</v>
      </c>
      <c r="I2953" t="s">
        <v>112</v>
      </c>
      <c r="J2953" t="s">
        <v>185</v>
      </c>
      <c r="K2953" t="s">
        <v>2963</v>
      </c>
      <c r="L2953" t="s">
        <v>2963</v>
      </c>
    </row>
    <row r="2954" spans="1:12" x14ac:dyDescent="0.3">
      <c r="A2954" t="s">
        <v>1778</v>
      </c>
      <c r="B2954" t="s">
        <v>732</v>
      </c>
      <c r="C2954" t="s">
        <v>711</v>
      </c>
      <c r="D2954" t="s">
        <v>1623</v>
      </c>
      <c r="E2954" t="s">
        <v>568</v>
      </c>
      <c r="F2954" t="s">
        <v>170</v>
      </c>
      <c r="G2954" t="s">
        <v>111</v>
      </c>
      <c r="H2954" t="s">
        <v>1539</v>
      </c>
      <c r="I2954" t="s">
        <v>112</v>
      </c>
      <c r="J2954" t="s">
        <v>704</v>
      </c>
      <c r="K2954" t="s">
        <v>2980</v>
      </c>
      <c r="L2954" t="s">
        <v>2980</v>
      </c>
    </row>
    <row r="2955" spans="1:12" x14ac:dyDescent="0.3">
      <c r="A2955" t="s">
        <v>1778</v>
      </c>
      <c r="B2955" t="s">
        <v>732</v>
      </c>
      <c r="C2955" t="s">
        <v>711</v>
      </c>
      <c r="D2955" t="s">
        <v>1624</v>
      </c>
      <c r="E2955" t="s">
        <v>568</v>
      </c>
      <c r="F2955" t="s">
        <v>78</v>
      </c>
      <c r="G2955" t="s">
        <v>111</v>
      </c>
      <c r="H2955" t="s">
        <v>1539</v>
      </c>
      <c r="I2955" t="s">
        <v>112</v>
      </c>
      <c r="J2955" t="s">
        <v>704</v>
      </c>
      <c r="K2955" t="s">
        <v>2981</v>
      </c>
      <c r="L2955" t="s">
        <v>2981</v>
      </c>
    </row>
    <row r="2956" spans="1:12" x14ac:dyDescent="0.3">
      <c r="A2956" t="s">
        <v>1778</v>
      </c>
      <c r="B2956" t="s">
        <v>732</v>
      </c>
      <c r="C2956" t="s">
        <v>711</v>
      </c>
      <c r="D2956" t="s">
        <v>1625</v>
      </c>
      <c r="E2956" t="s">
        <v>568</v>
      </c>
      <c r="F2956" t="s">
        <v>82</v>
      </c>
      <c r="G2956" t="s">
        <v>111</v>
      </c>
      <c r="H2956" t="s">
        <v>1565</v>
      </c>
      <c r="I2956" t="s">
        <v>112</v>
      </c>
      <c r="J2956" t="s">
        <v>1566</v>
      </c>
      <c r="K2956" t="s">
        <v>2964</v>
      </c>
      <c r="L2956" t="s">
        <v>2964</v>
      </c>
    </row>
    <row r="2957" spans="1:12" x14ac:dyDescent="0.3">
      <c r="A2957" t="s">
        <v>1778</v>
      </c>
      <c r="B2957" t="s">
        <v>732</v>
      </c>
      <c r="C2957" t="s">
        <v>711</v>
      </c>
      <c r="D2957" t="s">
        <v>1626</v>
      </c>
      <c r="E2957" t="s">
        <v>568</v>
      </c>
      <c r="F2957" t="s">
        <v>135</v>
      </c>
      <c r="G2957" t="s">
        <v>111</v>
      </c>
      <c r="H2957" t="s">
        <v>1539</v>
      </c>
      <c r="I2957" t="s">
        <v>112</v>
      </c>
      <c r="J2957" t="s">
        <v>704</v>
      </c>
      <c r="K2957" t="s">
        <v>2957</v>
      </c>
      <c r="L2957" t="s">
        <v>2957</v>
      </c>
    </row>
    <row r="2958" spans="1:12" x14ac:dyDescent="0.3">
      <c r="A2958" t="s">
        <v>1778</v>
      </c>
      <c r="B2958" t="s">
        <v>732</v>
      </c>
      <c r="C2958" t="s">
        <v>711</v>
      </c>
      <c r="D2958" t="s">
        <v>1627</v>
      </c>
      <c r="E2958" t="s">
        <v>568</v>
      </c>
      <c r="F2958" t="s">
        <v>136</v>
      </c>
      <c r="G2958" t="s">
        <v>111</v>
      </c>
      <c r="H2958" t="s">
        <v>703</v>
      </c>
      <c r="I2958" t="s">
        <v>112</v>
      </c>
      <c r="J2958" t="s">
        <v>702</v>
      </c>
      <c r="K2958" t="s">
        <v>1542</v>
      </c>
      <c r="L2958" t="s">
        <v>1542</v>
      </c>
    </row>
    <row r="2959" spans="1:12" x14ac:dyDescent="0.3">
      <c r="A2959" t="s">
        <v>1778</v>
      </c>
      <c r="B2959" t="s">
        <v>732</v>
      </c>
      <c r="C2959" t="s">
        <v>711</v>
      </c>
      <c r="D2959" t="s">
        <v>1628</v>
      </c>
      <c r="E2959" t="s">
        <v>568</v>
      </c>
      <c r="F2959" t="s">
        <v>60</v>
      </c>
      <c r="G2959" t="s">
        <v>111</v>
      </c>
      <c r="H2959" t="s">
        <v>703</v>
      </c>
      <c r="I2959" t="s">
        <v>112</v>
      </c>
      <c r="J2959" t="s">
        <v>702</v>
      </c>
      <c r="K2959" t="s">
        <v>1555</v>
      </c>
      <c r="L2959" t="s">
        <v>1555</v>
      </c>
    </row>
    <row r="2960" spans="1:12" x14ac:dyDescent="0.3">
      <c r="A2960" t="s">
        <v>1778</v>
      </c>
      <c r="B2960" t="s">
        <v>732</v>
      </c>
      <c r="C2960" t="s">
        <v>711</v>
      </c>
      <c r="D2960" t="s">
        <v>1629</v>
      </c>
      <c r="E2960" t="s">
        <v>568</v>
      </c>
      <c r="F2960" t="s">
        <v>70</v>
      </c>
      <c r="G2960" t="s">
        <v>111</v>
      </c>
      <c r="H2960" t="s">
        <v>182</v>
      </c>
      <c r="I2960" t="s">
        <v>112</v>
      </c>
      <c r="J2960" t="s">
        <v>183</v>
      </c>
      <c r="K2960" t="s">
        <v>1568</v>
      </c>
      <c r="L2960" t="s">
        <v>1568</v>
      </c>
    </row>
    <row r="2961" spans="1:12" x14ac:dyDescent="0.3">
      <c r="A2961" t="s">
        <v>1778</v>
      </c>
      <c r="B2961" t="s">
        <v>732</v>
      </c>
      <c r="C2961" t="s">
        <v>711</v>
      </c>
      <c r="D2961" t="s">
        <v>1630</v>
      </c>
      <c r="E2961" t="s">
        <v>568</v>
      </c>
      <c r="F2961" t="s">
        <v>48</v>
      </c>
      <c r="G2961" t="s">
        <v>111</v>
      </c>
      <c r="H2961" t="s">
        <v>182</v>
      </c>
      <c r="I2961" t="s">
        <v>112</v>
      </c>
      <c r="J2961" t="s">
        <v>183</v>
      </c>
      <c r="K2961" t="s">
        <v>1563</v>
      </c>
      <c r="L2961" t="s">
        <v>1563</v>
      </c>
    </row>
    <row r="2962" spans="1:12" x14ac:dyDescent="0.3">
      <c r="A2962" t="s">
        <v>1778</v>
      </c>
      <c r="B2962" t="s">
        <v>732</v>
      </c>
      <c r="C2962" t="s">
        <v>711</v>
      </c>
      <c r="D2962" t="s">
        <v>1631</v>
      </c>
      <c r="E2962" t="s">
        <v>568</v>
      </c>
      <c r="F2962" t="s">
        <v>138</v>
      </c>
      <c r="G2962" t="s">
        <v>111</v>
      </c>
      <c r="H2962" t="s">
        <v>1539</v>
      </c>
      <c r="I2962" t="s">
        <v>112</v>
      </c>
      <c r="J2962" t="s">
        <v>704</v>
      </c>
      <c r="K2962" t="s">
        <v>2982</v>
      </c>
      <c r="L2962" t="s">
        <v>2982</v>
      </c>
    </row>
    <row r="2963" spans="1:12" x14ac:dyDescent="0.3">
      <c r="A2963" t="s">
        <v>1778</v>
      </c>
      <c r="B2963" t="s">
        <v>732</v>
      </c>
      <c r="C2963" t="s">
        <v>711</v>
      </c>
      <c r="D2963" t="s">
        <v>1632</v>
      </c>
      <c r="E2963" t="s">
        <v>568</v>
      </c>
      <c r="F2963" t="s">
        <v>95</v>
      </c>
      <c r="G2963" t="s">
        <v>111</v>
      </c>
      <c r="H2963" t="s">
        <v>703</v>
      </c>
      <c r="I2963" t="s">
        <v>112</v>
      </c>
      <c r="J2963" t="s">
        <v>702</v>
      </c>
      <c r="K2963" t="s">
        <v>2933</v>
      </c>
      <c r="L2963" t="s">
        <v>2933</v>
      </c>
    </row>
    <row r="2964" spans="1:12" x14ac:dyDescent="0.3">
      <c r="A2964" t="s">
        <v>1778</v>
      </c>
      <c r="B2964" t="s">
        <v>732</v>
      </c>
      <c r="C2964" t="s">
        <v>711</v>
      </c>
      <c r="D2964" t="s">
        <v>1633</v>
      </c>
      <c r="E2964" t="s">
        <v>568</v>
      </c>
      <c r="F2964" t="s">
        <v>139</v>
      </c>
      <c r="G2964" t="s">
        <v>111</v>
      </c>
      <c r="H2964" t="s">
        <v>182</v>
      </c>
      <c r="I2964" t="s">
        <v>112</v>
      </c>
      <c r="J2964" t="s">
        <v>183</v>
      </c>
      <c r="K2964" t="s">
        <v>2965</v>
      </c>
      <c r="L2964" t="s">
        <v>2965</v>
      </c>
    </row>
    <row r="2965" spans="1:12" x14ac:dyDescent="0.3">
      <c r="A2965" t="s">
        <v>1778</v>
      </c>
      <c r="B2965" t="s">
        <v>732</v>
      </c>
      <c r="C2965" t="s">
        <v>711</v>
      </c>
      <c r="D2965" t="s">
        <v>1634</v>
      </c>
      <c r="E2965" t="s">
        <v>568</v>
      </c>
      <c r="F2965" t="s">
        <v>171</v>
      </c>
      <c r="G2965" t="s">
        <v>111</v>
      </c>
      <c r="H2965" t="s">
        <v>182</v>
      </c>
      <c r="I2965" t="s">
        <v>112</v>
      </c>
      <c r="J2965" t="s">
        <v>183</v>
      </c>
      <c r="K2965" t="s">
        <v>1536</v>
      </c>
      <c r="L2965" t="s">
        <v>1536</v>
      </c>
    </row>
    <row r="2966" spans="1:12" x14ac:dyDescent="0.3">
      <c r="A2966" t="s">
        <v>1778</v>
      </c>
      <c r="B2966" t="s">
        <v>732</v>
      </c>
      <c r="C2966" t="s">
        <v>711</v>
      </c>
      <c r="D2966" t="s">
        <v>1636</v>
      </c>
      <c r="E2966" t="s">
        <v>568</v>
      </c>
      <c r="F2966" t="s">
        <v>172</v>
      </c>
      <c r="G2966" t="s">
        <v>111</v>
      </c>
      <c r="H2966" t="s">
        <v>703</v>
      </c>
      <c r="I2966" t="s">
        <v>112</v>
      </c>
      <c r="J2966" t="s">
        <v>702</v>
      </c>
      <c r="K2966" t="s">
        <v>2983</v>
      </c>
      <c r="L2966" t="s">
        <v>2983</v>
      </c>
    </row>
    <row r="2967" spans="1:12" x14ac:dyDescent="0.3">
      <c r="A2967" t="s">
        <v>1778</v>
      </c>
      <c r="B2967" t="s">
        <v>732</v>
      </c>
      <c r="C2967" t="s">
        <v>711</v>
      </c>
      <c r="D2967" t="s">
        <v>1637</v>
      </c>
      <c r="E2967" t="s">
        <v>568</v>
      </c>
      <c r="F2967" t="s">
        <v>62</v>
      </c>
      <c r="G2967" t="s">
        <v>111</v>
      </c>
      <c r="H2967" t="s">
        <v>703</v>
      </c>
      <c r="I2967" t="s">
        <v>112</v>
      </c>
      <c r="J2967" t="s">
        <v>702</v>
      </c>
      <c r="K2967" t="s">
        <v>2946</v>
      </c>
      <c r="L2967" t="s">
        <v>2946</v>
      </c>
    </row>
    <row r="2968" spans="1:12" x14ac:dyDescent="0.3">
      <c r="A2968" t="s">
        <v>1778</v>
      </c>
      <c r="B2968" t="s">
        <v>732</v>
      </c>
      <c r="C2968" t="s">
        <v>711</v>
      </c>
      <c r="D2968" t="s">
        <v>1638</v>
      </c>
      <c r="E2968" t="s">
        <v>568</v>
      </c>
      <c r="F2968" t="s">
        <v>57</v>
      </c>
      <c r="G2968" t="s">
        <v>111</v>
      </c>
      <c r="H2968" t="s">
        <v>703</v>
      </c>
      <c r="I2968" t="s">
        <v>112</v>
      </c>
      <c r="J2968" t="s">
        <v>702</v>
      </c>
      <c r="K2968" t="s">
        <v>2984</v>
      </c>
      <c r="L2968" t="s">
        <v>2984</v>
      </c>
    </row>
    <row r="2969" spans="1:12" x14ac:dyDescent="0.3">
      <c r="A2969" t="s">
        <v>1778</v>
      </c>
      <c r="B2969" t="s">
        <v>732</v>
      </c>
      <c r="C2969" t="s">
        <v>711</v>
      </c>
      <c r="D2969" t="s">
        <v>1639</v>
      </c>
      <c r="E2969" t="s">
        <v>568</v>
      </c>
      <c r="F2969" t="s">
        <v>174</v>
      </c>
      <c r="G2969" t="s">
        <v>111</v>
      </c>
      <c r="H2969" t="s">
        <v>1539</v>
      </c>
      <c r="I2969" t="s">
        <v>112</v>
      </c>
      <c r="J2969" t="s">
        <v>704</v>
      </c>
    </row>
    <row r="2970" spans="1:12" x14ac:dyDescent="0.3">
      <c r="A2970" t="s">
        <v>1778</v>
      </c>
      <c r="B2970" t="s">
        <v>732</v>
      </c>
      <c r="C2970" t="s">
        <v>711</v>
      </c>
      <c r="D2970" t="s">
        <v>1640</v>
      </c>
      <c r="E2970" t="s">
        <v>568</v>
      </c>
      <c r="F2970" t="s">
        <v>77</v>
      </c>
      <c r="G2970" t="s">
        <v>111</v>
      </c>
      <c r="H2970" t="s">
        <v>1539</v>
      </c>
      <c r="I2970" t="s">
        <v>112</v>
      </c>
      <c r="J2970" t="s">
        <v>704</v>
      </c>
      <c r="K2970" t="s">
        <v>1541</v>
      </c>
      <c r="L2970" t="s">
        <v>1541</v>
      </c>
    </row>
    <row r="2971" spans="1:12" x14ac:dyDescent="0.3">
      <c r="A2971" t="s">
        <v>1778</v>
      </c>
      <c r="B2971" t="s">
        <v>732</v>
      </c>
      <c r="C2971" t="s">
        <v>711</v>
      </c>
      <c r="D2971" t="s">
        <v>1641</v>
      </c>
      <c r="E2971" t="s">
        <v>568</v>
      </c>
      <c r="F2971" t="s">
        <v>102</v>
      </c>
      <c r="G2971" t="s">
        <v>111</v>
      </c>
      <c r="H2971" t="s">
        <v>1565</v>
      </c>
      <c r="I2971" t="s">
        <v>112</v>
      </c>
      <c r="J2971" t="s">
        <v>1566</v>
      </c>
      <c r="K2971" t="s">
        <v>1552</v>
      </c>
      <c r="L2971" t="s">
        <v>1552</v>
      </c>
    </row>
    <row r="2972" spans="1:12" x14ac:dyDescent="0.3">
      <c r="A2972" t="s">
        <v>1778</v>
      </c>
      <c r="B2972" t="s">
        <v>732</v>
      </c>
      <c r="C2972" t="s">
        <v>711</v>
      </c>
      <c r="D2972" t="s">
        <v>1642</v>
      </c>
      <c r="E2972" t="s">
        <v>568</v>
      </c>
      <c r="F2972" t="s">
        <v>175</v>
      </c>
      <c r="G2972" t="s">
        <v>111</v>
      </c>
      <c r="H2972" t="s">
        <v>182</v>
      </c>
      <c r="I2972" t="s">
        <v>112</v>
      </c>
      <c r="J2972" t="s">
        <v>183</v>
      </c>
      <c r="K2972" t="s">
        <v>1608</v>
      </c>
      <c r="L2972" t="s">
        <v>1608</v>
      </c>
    </row>
    <row r="2973" spans="1:12" x14ac:dyDescent="0.3">
      <c r="A2973" t="s">
        <v>1778</v>
      </c>
      <c r="B2973" t="s">
        <v>732</v>
      </c>
      <c r="C2973" t="s">
        <v>711</v>
      </c>
      <c r="D2973" t="s">
        <v>1643</v>
      </c>
      <c r="E2973" t="s">
        <v>568</v>
      </c>
      <c r="F2973" t="s">
        <v>46</v>
      </c>
      <c r="G2973" t="s">
        <v>111</v>
      </c>
      <c r="H2973" t="s">
        <v>703</v>
      </c>
      <c r="I2973" t="s">
        <v>112</v>
      </c>
      <c r="J2973" t="s">
        <v>702</v>
      </c>
      <c r="K2973" t="s">
        <v>2949</v>
      </c>
      <c r="L2973" t="s">
        <v>2949</v>
      </c>
    </row>
    <row r="2974" spans="1:12" x14ac:dyDescent="0.3">
      <c r="A2974" t="s">
        <v>1778</v>
      </c>
      <c r="B2974" t="s">
        <v>732</v>
      </c>
      <c r="C2974" t="s">
        <v>711</v>
      </c>
      <c r="D2974" t="s">
        <v>1644</v>
      </c>
      <c r="E2974" t="s">
        <v>568</v>
      </c>
      <c r="F2974" t="s">
        <v>202</v>
      </c>
      <c r="G2974" t="s">
        <v>111</v>
      </c>
      <c r="H2974" t="s">
        <v>1539</v>
      </c>
      <c r="I2974" t="s">
        <v>112</v>
      </c>
      <c r="J2974" t="s">
        <v>704</v>
      </c>
      <c r="K2974" t="s">
        <v>2968</v>
      </c>
      <c r="L2974" t="s">
        <v>2968</v>
      </c>
    </row>
    <row r="2975" spans="1:12" x14ac:dyDescent="0.3">
      <c r="A2975" t="s">
        <v>1778</v>
      </c>
      <c r="B2975" t="s">
        <v>732</v>
      </c>
      <c r="C2975" t="s">
        <v>711</v>
      </c>
      <c r="D2975" t="s">
        <v>1645</v>
      </c>
      <c r="E2975" t="s">
        <v>568</v>
      </c>
      <c r="F2975" t="s">
        <v>141</v>
      </c>
      <c r="G2975" t="s">
        <v>111</v>
      </c>
      <c r="H2975" t="s">
        <v>703</v>
      </c>
      <c r="I2975" t="s">
        <v>112</v>
      </c>
      <c r="J2975" t="s">
        <v>702</v>
      </c>
      <c r="K2975" t="s">
        <v>1535</v>
      </c>
      <c r="L2975" t="s">
        <v>1535</v>
      </c>
    </row>
    <row r="2976" spans="1:12" x14ac:dyDescent="0.3">
      <c r="A2976" t="s">
        <v>1778</v>
      </c>
      <c r="B2976" t="s">
        <v>732</v>
      </c>
      <c r="C2976" t="s">
        <v>711</v>
      </c>
      <c r="D2976" t="s">
        <v>1646</v>
      </c>
      <c r="E2976" t="s">
        <v>568</v>
      </c>
      <c r="F2976" t="s">
        <v>142</v>
      </c>
      <c r="G2976" t="s">
        <v>111</v>
      </c>
      <c r="H2976" t="s">
        <v>1565</v>
      </c>
      <c r="I2976" t="s">
        <v>112</v>
      </c>
      <c r="J2976" t="s">
        <v>1566</v>
      </c>
      <c r="K2976" t="s">
        <v>2985</v>
      </c>
      <c r="L2976" t="s">
        <v>2985</v>
      </c>
    </row>
    <row r="2977" spans="1:12" x14ac:dyDescent="0.3">
      <c r="A2977" t="s">
        <v>1778</v>
      </c>
      <c r="B2977" t="s">
        <v>732</v>
      </c>
      <c r="C2977" t="s">
        <v>711</v>
      </c>
      <c r="D2977" t="s">
        <v>1647</v>
      </c>
      <c r="E2977" t="s">
        <v>568</v>
      </c>
      <c r="F2977" t="s">
        <v>75</v>
      </c>
      <c r="G2977" t="s">
        <v>111</v>
      </c>
      <c r="H2977" t="s">
        <v>703</v>
      </c>
      <c r="I2977" t="s">
        <v>112</v>
      </c>
      <c r="J2977" t="s">
        <v>702</v>
      </c>
      <c r="K2977" t="s">
        <v>2829</v>
      </c>
      <c r="L2977" t="s">
        <v>2829</v>
      </c>
    </row>
    <row r="2978" spans="1:12" x14ac:dyDescent="0.3">
      <c r="A2978" t="s">
        <v>1778</v>
      </c>
      <c r="B2978" t="s">
        <v>732</v>
      </c>
      <c r="C2978" t="s">
        <v>711</v>
      </c>
      <c r="D2978" t="s">
        <v>1648</v>
      </c>
      <c r="E2978" t="s">
        <v>568</v>
      </c>
      <c r="F2978" t="s">
        <v>143</v>
      </c>
      <c r="G2978" t="s">
        <v>111</v>
      </c>
      <c r="H2978" t="s">
        <v>182</v>
      </c>
      <c r="I2978" t="s">
        <v>112</v>
      </c>
      <c r="J2978" t="s">
        <v>183</v>
      </c>
      <c r="K2978" t="s">
        <v>2969</v>
      </c>
      <c r="L2978" t="s">
        <v>2969</v>
      </c>
    </row>
    <row r="2979" spans="1:12" x14ac:dyDescent="0.3">
      <c r="A2979" t="s">
        <v>1778</v>
      </c>
      <c r="B2979" t="s">
        <v>732</v>
      </c>
      <c r="C2979" t="s">
        <v>711</v>
      </c>
      <c r="D2979" t="s">
        <v>1649</v>
      </c>
      <c r="E2979" t="s">
        <v>568</v>
      </c>
      <c r="F2979" t="s">
        <v>144</v>
      </c>
      <c r="G2979" t="s">
        <v>111</v>
      </c>
      <c r="H2979" t="s">
        <v>1553</v>
      </c>
      <c r="I2979" t="s">
        <v>112</v>
      </c>
      <c r="J2979" t="s">
        <v>1554</v>
      </c>
      <c r="K2979" t="s">
        <v>2970</v>
      </c>
      <c r="L2979" t="s">
        <v>2970</v>
      </c>
    </row>
    <row r="2980" spans="1:12" x14ac:dyDescent="0.3">
      <c r="A2980" t="s">
        <v>1778</v>
      </c>
      <c r="B2980" t="s">
        <v>732</v>
      </c>
      <c r="C2980" t="s">
        <v>711</v>
      </c>
      <c r="D2980" t="s">
        <v>1650</v>
      </c>
      <c r="E2980" t="s">
        <v>568</v>
      </c>
      <c r="F2980" t="s">
        <v>194</v>
      </c>
      <c r="G2980" t="s">
        <v>111</v>
      </c>
      <c r="H2980" t="s">
        <v>1565</v>
      </c>
      <c r="I2980" t="s">
        <v>112</v>
      </c>
      <c r="J2980" t="s">
        <v>1566</v>
      </c>
      <c r="K2980" t="s">
        <v>2986</v>
      </c>
      <c r="L2980" t="s">
        <v>2986</v>
      </c>
    </row>
    <row r="2981" spans="1:12" x14ac:dyDescent="0.3">
      <c r="A2981" t="s">
        <v>1778</v>
      </c>
      <c r="B2981" t="s">
        <v>732</v>
      </c>
      <c r="C2981" t="s">
        <v>711</v>
      </c>
      <c r="D2981" t="s">
        <v>1651</v>
      </c>
      <c r="E2981" t="s">
        <v>568</v>
      </c>
      <c r="F2981" t="s">
        <v>145</v>
      </c>
      <c r="G2981" t="s">
        <v>111</v>
      </c>
      <c r="H2981" t="s">
        <v>182</v>
      </c>
      <c r="I2981" t="s">
        <v>112</v>
      </c>
      <c r="J2981" t="s">
        <v>183</v>
      </c>
      <c r="K2981" t="s">
        <v>1568</v>
      </c>
      <c r="L2981" t="s">
        <v>1568</v>
      </c>
    </row>
    <row r="2982" spans="1:12" x14ac:dyDescent="0.3">
      <c r="A2982" t="s">
        <v>1778</v>
      </c>
      <c r="B2982" t="s">
        <v>732</v>
      </c>
      <c r="C2982" t="s">
        <v>711</v>
      </c>
      <c r="D2982" t="s">
        <v>1652</v>
      </c>
      <c r="E2982" t="s">
        <v>567</v>
      </c>
      <c r="F2982" t="s">
        <v>104</v>
      </c>
      <c r="G2982" t="s">
        <v>111</v>
      </c>
      <c r="H2982" t="s">
        <v>703</v>
      </c>
      <c r="I2982" t="s">
        <v>112</v>
      </c>
      <c r="J2982" t="s">
        <v>702</v>
      </c>
      <c r="K2982" t="s">
        <v>2932</v>
      </c>
      <c r="L2982" t="s">
        <v>2932</v>
      </c>
    </row>
    <row r="2983" spans="1:12" x14ac:dyDescent="0.3">
      <c r="A2983" t="s">
        <v>1778</v>
      </c>
      <c r="B2983" t="s">
        <v>732</v>
      </c>
      <c r="C2983" t="s">
        <v>711</v>
      </c>
      <c r="D2983" t="s">
        <v>1653</v>
      </c>
      <c r="E2983" t="s">
        <v>567</v>
      </c>
      <c r="F2983" t="s">
        <v>176</v>
      </c>
      <c r="G2983" t="s">
        <v>111</v>
      </c>
      <c r="H2983" t="s">
        <v>703</v>
      </c>
      <c r="I2983" t="s">
        <v>112</v>
      </c>
      <c r="J2983" t="s">
        <v>702</v>
      </c>
      <c r="K2983" t="s">
        <v>2818</v>
      </c>
      <c r="L2983" t="s">
        <v>2818</v>
      </c>
    </row>
    <row r="2984" spans="1:12" x14ac:dyDescent="0.3">
      <c r="A2984" t="s">
        <v>1778</v>
      </c>
      <c r="B2984" t="s">
        <v>732</v>
      </c>
      <c r="C2984" t="s">
        <v>711</v>
      </c>
      <c r="D2984" t="s">
        <v>1654</v>
      </c>
      <c r="E2984" t="s">
        <v>567</v>
      </c>
      <c r="F2984" t="s">
        <v>146</v>
      </c>
      <c r="G2984" t="s">
        <v>111</v>
      </c>
      <c r="H2984" t="s">
        <v>703</v>
      </c>
      <c r="I2984" t="s">
        <v>112</v>
      </c>
      <c r="J2984" t="s">
        <v>702</v>
      </c>
      <c r="K2984" t="s">
        <v>2946</v>
      </c>
      <c r="L2984" t="s">
        <v>2946</v>
      </c>
    </row>
    <row r="2985" spans="1:12" x14ac:dyDescent="0.3">
      <c r="A2985" t="s">
        <v>1778</v>
      </c>
      <c r="B2985" t="s">
        <v>732</v>
      </c>
      <c r="C2985" t="s">
        <v>711</v>
      </c>
      <c r="D2985" t="s">
        <v>1655</v>
      </c>
      <c r="E2985" t="s">
        <v>567</v>
      </c>
      <c r="F2985" t="s">
        <v>148</v>
      </c>
      <c r="G2985" t="s">
        <v>111</v>
      </c>
      <c r="H2985" t="s">
        <v>703</v>
      </c>
      <c r="I2985" t="s">
        <v>112</v>
      </c>
      <c r="J2985" t="s">
        <v>702</v>
      </c>
      <c r="K2985" t="s">
        <v>1676</v>
      </c>
      <c r="L2985" t="s">
        <v>1676</v>
      </c>
    </row>
    <row r="2986" spans="1:12" x14ac:dyDescent="0.3">
      <c r="A2986" t="s">
        <v>1778</v>
      </c>
      <c r="B2986" t="s">
        <v>732</v>
      </c>
      <c r="C2986" t="s">
        <v>711</v>
      </c>
      <c r="D2986" t="s">
        <v>1656</v>
      </c>
      <c r="E2986" t="s">
        <v>567</v>
      </c>
      <c r="F2986" t="s">
        <v>149</v>
      </c>
      <c r="G2986" t="s">
        <v>111</v>
      </c>
      <c r="H2986" t="s">
        <v>182</v>
      </c>
      <c r="I2986" t="s">
        <v>112</v>
      </c>
      <c r="J2986" t="s">
        <v>183</v>
      </c>
      <c r="K2986" t="s">
        <v>1568</v>
      </c>
      <c r="L2986" t="s">
        <v>1568</v>
      </c>
    </row>
    <row r="2987" spans="1:12" x14ac:dyDescent="0.3">
      <c r="A2987" t="s">
        <v>1778</v>
      </c>
      <c r="B2987" t="s">
        <v>732</v>
      </c>
      <c r="C2987" t="s">
        <v>711</v>
      </c>
      <c r="D2987" t="s">
        <v>1657</v>
      </c>
      <c r="E2987" t="s">
        <v>567</v>
      </c>
      <c r="F2987" t="s">
        <v>83</v>
      </c>
      <c r="G2987" t="s">
        <v>111</v>
      </c>
      <c r="H2987" t="s">
        <v>703</v>
      </c>
      <c r="I2987" t="s">
        <v>112</v>
      </c>
      <c r="J2987" t="s">
        <v>702</v>
      </c>
      <c r="K2987" t="s">
        <v>2987</v>
      </c>
      <c r="L2987" t="s">
        <v>2987</v>
      </c>
    </row>
    <row r="2988" spans="1:12" x14ac:dyDescent="0.3">
      <c r="A2988" t="s">
        <v>1778</v>
      </c>
      <c r="B2988" t="s">
        <v>732</v>
      </c>
      <c r="C2988" t="s">
        <v>711</v>
      </c>
      <c r="D2988" t="s">
        <v>1658</v>
      </c>
      <c r="E2988" t="s">
        <v>567</v>
      </c>
      <c r="F2988" t="s">
        <v>203</v>
      </c>
      <c r="G2988" t="s">
        <v>111</v>
      </c>
      <c r="H2988" t="s">
        <v>182</v>
      </c>
      <c r="I2988" t="s">
        <v>112</v>
      </c>
      <c r="J2988" t="s">
        <v>183</v>
      </c>
      <c r="K2988" t="s">
        <v>1608</v>
      </c>
      <c r="L2988" t="s">
        <v>1608</v>
      </c>
    </row>
    <row r="2989" spans="1:12" x14ac:dyDescent="0.3">
      <c r="A2989" t="s">
        <v>1778</v>
      </c>
      <c r="B2989" t="s">
        <v>732</v>
      </c>
      <c r="C2989" t="s">
        <v>711</v>
      </c>
      <c r="D2989" t="s">
        <v>1659</v>
      </c>
      <c r="E2989" t="s">
        <v>567</v>
      </c>
      <c r="F2989" t="s">
        <v>150</v>
      </c>
      <c r="G2989" t="s">
        <v>111</v>
      </c>
      <c r="H2989" t="s">
        <v>182</v>
      </c>
      <c r="I2989" t="s">
        <v>112</v>
      </c>
      <c r="J2989" t="s">
        <v>183</v>
      </c>
      <c r="K2989" t="s">
        <v>2819</v>
      </c>
      <c r="L2989" t="s">
        <v>2819</v>
      </c>
    </row>
    <row r="2990" spans="1:12" x14ac:dyDescent="0.3">
      <c r="A2990" t="s">
        <v>1778</v>
      </c>
      <c r="B2990" t="s">
        <v>732</v>
      </c>
      <c r="C2990" t="s">
        <v>711</v>
      </c>
      <c r="D2990" t="s">
        <v>1660</v>
      </c>
      <c r="E2990" t="s">
        <v>567</v>
      </c>
      <c r="F2990" t="s">
        <v>92</v>
      </c>
      <c r="G2990" t="s">
        <v>111</v>
      </c>
      <c r="H2990" t="s">
        <v>182</v>
      </c>
      <c r="I2990" t="s">
        <v>112</v>
      </c>
      <c r="J2990" t="s">
        <v>183</v>
      </c>
      <c r="K2990" t="s">
        <v>2928</v>
      </c>
      <c r="L2990" t="s">
        <v>2928</v>
      </c>
    </row>
    <row r="2991" spans="1:12" x14ac:dyDescent="0.3">
      <c r="A2991" t="s">
        <v>1778</v>
      </c>
      <c r="B2991" t="s">
        <v>732</v>
      </c>
      <c r="C2991" t="s">
        <v>711</v>
      </c>
      <c r="D2991" t="s">
        <v>1661</v>
      </c>
      <c r="E2991" t="s">
        <v>567</v>
      </c>
      <c r="F2991" t="s">
        <v>63</v>
      </c>
      <c r="G2991" t="s">
        <v>111</v>
      </c>
      <c r="H2991" t="s">
        <v>703</v>
      </c>
      <c r="I2991" t="s">
        <v>112</v>
      </c>
      <c r="J2991" t="s">
        <v>702</v>
      </c>
      <c r="K2991" t="s">
        <v>1574</v>
      </c>
      <c r="L2991" t="s">
        <v>1574</v>
      </c>
    </row>
    <row r="2992" spans="1:12" x14ac:dyDescent="0.3">
      <c r="A2992" t="s">
        <v>1778</v>
      </c>
      <c r="B2992" t="s">
        <v>732</v>
      </c>
      <c r="C2992" t="s">
        <v>711</v>
      </c>
      <c r="D2992" t="s">
        <v>1662</v>
      </c>
      <c r="E2992" t="s">
        <v>567</v>
      </c>
      <c r="F2992" t="s">
        <v>151</v>
      </c>
      <c r="G2992" t="s">
        <v>111</v>
      </c>
      <c r="H2992" t="s">
        <v>703</v>
      </c>
      <c r="I2992" t="s">
        <v>112</v>
      </c>
      <c r="J2992" t="s">
        <v>702</v>
      </c>
      <c r="K2992" t="s">
        <v>1600</v>
      </c>
      <c r="L2992" t="s">
        <v>1600</v>
      </c>
    </row>
    <row r="2993" spans="1:12" x14ac:dyDescent="0.3">
      <c r="A2993" t="s">
        <v>1778</v>
      </c>
      <c r="B2993" t="s">
        <v>732</v>
      </c>
      <c r="C2993" t="s">
        <v>711</v>
      </c>
      <c r="D2993" t="s">
        <v>1663</v>
      </c>
      <c r="E2993" t="s">
        <v>567</v>
      </c>
      <c r="F2993" t="s">
        <v>195</v>
      </c>
      <c r="G2993" t="s">
        <v>111</v>
      </c>
      <c r="H2993" t="s">
        <v>1539</v>
      </c>
      <c r="I2993" t="s">
        <v>112</v>
      </c>
      <c r="J2993" t="s">
        <v>704</v>
      </c>
      <c r="K2993" t="s">
        <v>2928</v>
      </c>
      <c r="L2993" t="s">
        <v>2928</v>
      </c>
    </row>
    <row r="2994" spans="1:12" x14ac:dyDescent="0.3">
      <c r="A2994" t="s">
        <v>1778</v>
      </c>
      <c r="B2994" t="s">
        <v>732</v>
      </c>
      <c r="C2994" t="s">
        <v>711</v>
      </c>
      <c r="D2994" t="s">
        <v>1664</v>
      </c>
      <c r="E2994" t="s">
        <v>567</v>
      </c>
      <c r="F2994" t="s">
        <v>177</v>
      </c>
      <c r="G2994" t="s">
        <v>111</v>
      </c>
      <c r="H2994" t="s">
        <v>1539</v>
      </c>
      <c r="I2994" t="s">
        <v>112</v>
      </c>
      <c r="J2994" t="s">
        <v>704</v>
      </c>
      <c r="K2994" t="s">
        <v>1551</v>
      </c>
      <c r="L2994" t="s">
        <v>1551</v>
      </c>
    </row>
    <row r="2995" spans="1:12" x14ac:dyDescent="0.3">
      <c r="A2995" t="s">
        <v>1778</v>
      </c>
      <c r="B2995" t="s">
        <v>732</v>
      </c>
      <c r="C2995" t="s">
        <v>711</v>
      </c>
      <c r="D2995" t="s">
        <v>1665</v>
      </c>
      <c r="E2995" t="s">
        <v>567</v>
      </c>
      <c r="F2995" t="s">
        <v>91</v>
      </c>
      <c r="G2995" t="s">
        <v>111</v>
      </c>
      <c r="H2995" t="s">
        <v>1565</v>
      </c>
      <c r="I2995" t="s">
        <v>112</v>
      </c>
      <c r="J2995" t="s">
        <v>1566</v>
      </c>
      <c r="K2995" t="s">
        <v>2873</v>
      </c>
      <c r="L2995" t="s">
        <v>2873</v>
      </c>
    </row>
    <row r="2996" spans="1:12" x14ac:dyDescent="0.3">
      <c r="A2996" t="s">
        <v>1778</v>
      </c>
      <c r="B2996" t="s">
        <v>732</v>
      </c>
      <c r="C2996" t="s">
        <v>711</v>
      </c>
      <c r="D2996" t="s">
        <v>1666</v>
      </c>
      <c r="E2996" t="s">
        <v>567</v>
      </c>
      <c r="F2996" t="s">
        <v>152</v>
      </c>
      <c r="G2996" t="s">
        <v>111</v>
      </c>
      <c r="H2996" t="s">
        <v>703</v>
      </c>
      <c r="I2996" t="s">
        <v>112</v>
      </c>
      <c r="J2996" t="s">
        <v>702</v>
      </c>
      <c r="K2996" t="s">
        <v>2829</v>
      </c>
      <c r="L2996" t="s">
        <v>2829</v>
      </c>
    </row>
    <row r="2997" spans="1:12" x14ac:dyDescent="0.3">
      <c r="A2997" t="s">
        <v>1778</v>
      </c>
      <c r="B2997" t="s">
        <v>732</v>
      </c>
      <c r="C2997" t="s">
        <v>711</v>
      </c>
      <c r="D2997" t="s">
        <v>1668</v>
      </c>
      <c r="E2997" t="s">
        <v>567</v>
      </c>
      <c r="F2997" t="s">
        <v>67</v>
      </c>
      <c r="G2997" t="s">
        <v>111</v>
      </c>
      <c r="H2997" t="s">
        <v>703</v>
      </c>
      <c r="I2997" t="s">
        <v>112</v>
      </c>
      <c r="J2997" t="s">
        <v>702</v>
      </c>
      <c r="K2997" t="s">
        <v>1559</v>
      </c>
      <c r="L2997" t="s">
        <v>1559</v>
      </c>
    </row>
    <row r="2998" spans="1:12" x14ac:dyDescent="0.3">
      <c r="A2998" t="s">
        <v>1778</v>
      </c>
      <c r="B2998" t="s">
        <v>732</v>
      </c>
      <c r="C2998" t="s">
        <v>711</v>
      </c>
      <c r="D2998" t="s">
        <v>1670</v>
      </c>
      <c r="E2998" t="s">
        <v>567</v>
      </c>
      <c r="F2998" t="s">
        <v>196</v>
      </c>
      <c r="G2998" t="s">
        <v>111</v>
      </c>
      <c r="H2998" t="s">
        <v>703</v>
      </c>
      <c r="I2998" t="s">
        <v>112</v>
      </c>
      <c r="J2998" t="s">
        <v>702</v>
      </c>
      <c r="K2998" t="s">
        <v>2972</v>
      </c>
      <c r="L2998" t="s">
        <v>2972</v>
      </c>
    </row>
    <row r="2999" spans="1:12" x14ac:dyDescent="0.3">
      <c r="A2999" t="s">
        <v>1778</v>
      </c>
      <c r="B2999" t="s">
        <v>732</v>
      </c>
      <c r="C2999" t="s">
        <v>711</v>
      </c>
      <c r="D2999" t="s">
        <v>1672</v>
      </c>
      <c r="E2999" t="s">
        <v>567</v>
      </c>
      <c r="F2999" t="s">
        <v>179</v>
      </c>
      <c r="G2999" t="s">
        <v>111</v>
      </c>
      <c r="H2999" t="s">
        <v>703</v>
      </c>
      <c r="I2999" t="s">
        <v>112</v>
      </c>
      <c r="J2999" t="s">
        <v>702</v>
      </c>
      <c r="K2999" t="s">
        <v>1635</v>
      </c>
      <c r="L2999" t="s">
        <v>1635</v>
      </c>
    </row>
    <row r="3000" spans="1:12" x14ac:dyDescent="0.3">
      <c r="A3000" t="s">
        <v>1778</v>
      </c>
      <c r="B3000" t="s">
        <v>732</v>
      </c>
      <c r="C3000" t="s">
        <v>711</v>
      </c>
      <c r="D3000" t="s">
        <v>1673</v>
      </c>
      <c r="E3000" t="s">
        <v>567</v>
      </c>
      <c r="F3000" t="s">
        <v>153</v>
      </c>
      <c r="G3000" t="s">
        <v>111</v>
      </c>
      <c r="H3000" t="s">
        <v>182</v>
      </c>
      <c r="I3000" t="s">
        <v>112</v>
      </c>
      <c r="J3000" t="s">
        <v>183</v>
      </c>
      <c r="K3000" t="s">
        <v>2819</v>
      </c>
      <c r="L3000" t="s">
        <v>2819</v>
      </c>
    </row>
    <row r="3001" spans="1:12" x14ac:dyDescent="0.3">
      <c r="A3001" t="s">
        <v>1778</v>
      </c>
      <c r="B3001" t="s">
        <v>732</v>
      </c>
      <c r="C3001" t="s">
        <v>711</v>
      </c>
      <c r="D3001" t="s">
        <v>1674</v>
      </c>
      <c r="E3001" t="s">
        <v>567</v>
      </c>
      <c r="F3001" t="s">
        <v>55</v>
      </c>
      <c r="G3001" t="s">
        <v>111</v>
      </c>
      <c r="H3001" t="s">
        <v>1561</v>
      </c>
      <c r="I3001" t="s">
        <v>112</v>
      </c>
      <c r="J3001" t="s">
        <v>702</v>
      </c>
      <c r="K3001" t="s">
        <v>2861</v>
      </c>
      <c r="L3001" t="s">
        <v>2861</v>
      </c>
    </row>
    <row r="3002" spans="1:12" x14ac:dyDescent="0.3">
      <c r="A3002" t="s">
        <v>1778</v>
      </c>
      <c r="B3002" t="s">
        <v>732</v>
      </c>
      <c r="C3002" t="s">
        <v>711</v>
      </c>
      <c r="D3002" t="s">
        <v>1675</v>
      </c>
      <c r="E3002" t="s">
        <v>567</v>
      </c>
      <c r="F3002" t="s">
        <v>197</v>
      </c>
      <c r="G3002" t="s">
        <v>111</v>
      </c>
      <c r="H3002" t="s">
        <v>182</v>
      </c>
      <c r="I3002" t="s">
        <v>112</v>
      </c>
      <c r="J3002" t="s">
        <v>183</v>
      </c>
      <c r="K3002" t="s">
        <v>1568</v>
      </c>
      <c r="L3002" t="s">
        <v>1568</v>
      </c>
    </row>
    <row r="3003" spans="1:12" x14ac:dyDescent="0.3">
      <c r="A3003" t="s">
        <v>1778</v>
      </c>
      <c r="B3003" t="s">
        <v>732</v>
      </c>
      <c r="C3003" t="s">
        <v>711</v>
      </c>
      <c r="D3003" t="s">
        <v>1677</v>
      </c>
      <c r="E3003" t="s">
        <v>567</v>
      </c>
      <c r="F3003" t="s">
        <v>156</v>
      </c>
      <c r="G3003" t="s">
        <v>111</v>
      </c>
      <c r="H3003" t="s">
        <v>182</v>
      </c>
      <c r="I3003" t="s">
        <v>112</v>
      </c>
      <c r="J3003" t="s">
        <v>183</v>
      </c>
      <c r="K3003" t="s">
        <v>2975</v>
      </c>
      <c r="L3003" t="s">
        <v>2975</v>
      </c>
    </row>
    <row r="3004" spans="1:12" x14ac:dyDescent="0.3">
      <c r="A3004" t="s">
        <v>1778</v>
      </c>
      <c r="B3004" t="s">
        <v>732</v>
      </c>
      <c r="C3004" t="s">
        <v>711</v>
      </c>
      <c r="D3004" t="s">
        <v>1678</v>
      </c>
      <c r="E3004" t="s">
        <v>567</v>
      </c>
      <c r="F3004" t="s">
        <v>103</v>
      </c>
      <c r="G3004" t="s">
        <v>111</v>
      </c>
      <c r="H3004" t="s">
        <v>182</v>
      </c>
      <c r="I3004" t="s">
        <v>112</v>
      </c>
      <c r="J3004" t="s">
        <v>183</v>
      </c>
      <c r="K3004" t="s">
        <v>1548</v>
      </c>
      <c r="L3004" t="s">
        <v>1548</v>
      </c>
    </row>
    <row r="3005" spans="1:12" x14ac:dyDescent="0.3">
      <c r="A3005" t="s">
        <v>1778</v>
      </c>
      <c r="B3005" t="s">
        <v>732</v>
      </c>
      <c r="C3005" t="s">
        <v>711</v>
      </c>
      <c r="D3005" t="s">
        <v>1679</v>
      </c>
      <c r="E3005" t="s">
        <v>567</v>
      </c>
      <c r="F3005" t="s">
        <v>198</v>
      </c>
      <c r="G3005" t="s">
        <v>111</v>
      </c>
      <c r="H3005" t="s">
        <v>186</v>
      </c>
      <c r="I3005" t="s">
        <v>112</v>
      </c>
      <c r="J3005" t="s">
        <v>183</v>
      </c>
      <c r="K3005" t="s">
        <v>1562</v>
      </c>
      <c r="L3005" t="s">
        <v>1562</v>
      </c>
    </row>
    <row r="3006" spans="1:12" x14ac:dyDescent="0.3">
      <c r="A3006" t="s">
        <v>1778</v>
      </c>
      <c r="B3006" t="s">
        <v>732</v>
      </c>
      <c r="C3006" t="s">
        <v>711</v>
      </c>
      <c r="D3006" t="s">
        <v>1680</v>
      </c>
      <c r="E3006" t="s">
        <v>567</v>
      </c>
      <c r="F3006" t="s">
        <v>180</v>
      </c>
      <c r="G3006" t="s">
        <v>111</v>
      </c>
      <c r="H3006" t="s">
        <v>703</v>
      </c>
      <c r="I3006" t="s">
        <v>112</v>
      </c>
      <c r="J3006" t="s">
        <v>702</v>
      </c>
      <c r="K3006" t="s">
        <v>2976</v>
      </c>
      <c r="L3006" t="s">
        <v>2976</v>
      </c>
    </row>
    <row r="3007" spans="1:12" x14ac:dyDescent="0.3">
      <c r="A3007" t="s">
        <v>1778</v>
      </c>
      <c r="B3007" t="s">
        <v>732</v>
      </c>
      <c r="C3007" t="s">
        <v>711</v>
      </c>
      <c r="D3007" t="s">
        <v>1681</v>
      </c>
      <c r="E3007" t="s">
        <v>567</v>
      </c>
      <c r="F3007" t="s">
        <v>158</v>
      </c>
      <c r="G3007" t="s">
        <v>111</v>
      </c>
      <c r="H3007" t="s">
        <v>1539</v>
      </c>
      <c r="I3007" t="s">
        <v>112</v>
      </c>
      <c r="J3007" t="s">
        <v>704</v>
      </c>
      <c r="K3007" t="s">
        <v>1551</v>
      </c>
      <c r="L3007" t="s">
        <v>1551</v>
      </c>
    </row>
    <row r="3008" spans="1:12" x14ac:dyDescent="0.3">
      <c r="A3008" t="s">
        <v>1778</v>
      </c>
      <c r="B3008" t="s">
        <v>732</v>
      </c>
      <c r="C3008" t="s">
        <v>711</v>
      </c>
      <c r="D3008" t="s">
        <v>1682</v>
      </c>
      <c r="E3008" t="s">
        <v>567</v>
      </c>
      <c r="F3008" t="s">
        <v>199</v>
      </c>
      <c r="G3008" t="s">
        <v>111</v>
      </c>
      <c r="H3008" t="s">
        <v>1539</v>
      </c>
      <c r="I3008" t="s">
        <v>112</v>
      </c>
      <c r="J3008" t="s">
        <v>704</v>
      </c>
      <c r="K3008" t="s">
        <v>1551</v>
      </c>
      <c r="L3008" t="s">
        <v>1551</v>
      </c>
    </row>
    <row r="3009" spans="1:12" x14ac:dyDescent="0.3">
      <c r="A3009" t="s">
        <v>1778</v>
      </c>
      <c r="B3009" t="s">
        <v>732</v>
      </c>
      <c r="C3009" t="s">
        <v>711</v>
      </c>
      <c r="D3009" t="s">
        <v>1683</v>
      </c>
      <c r="E3009" t="s">
        <v>567</v>
      </c>
      <c r="F3009" t="s">
        <v>159</v>
      </c>
      <c r="G3009" t="s">
        <v>111</v>
      </c>
      <c r="H3009" t="s">
        <v>703</v>
      </c>
      <c r="I3009" t="s">
        <v>112</v>
      </c>
      <c r="J3009" t="s">
        <v>702</v>
      </c>
      <c r="K3009" t="s">
        <v>2988</v>
      </c>
      <c r="L3009" t="s">
        <v>2988</v>
      </c>
    </row>
    <row r="3010" spans="1:12" x14ac:dyDescent="0.3">
      <c r="A3010" t="s">
        <v>1778</v>
      </c>
      <c r="B3010" t="s">
        <v>732</v>
      </c>
      <c r="C3010" t="s">
        <v>711</v>
      </c>
      <c r="D3010" t="s">
        <v>1684</v>
      </c>
      <c r="E3010" t="s">
        <v>567</v>
      </c>
      <c r="F3010" t="s">
        <v>47</v>
      </c>
      <c r="G3010" t="s">
        <v>111</v>
      </c>
      <c r="H3010" t="s">
        <v>1539</v>
      </c>
      <c r="I3010" t="s">
        <v>112</v>
      </c>
      <c r="J3010" t="s">
        <v>704</v>
      </c>
      <c r="K3010" t="s">
        <v>2886</v>
      </c>
      <c r="L3010" t="s">
        <v>2886</v>
      </c>
    </row>
    <row r="3011" spans="1:12" x14ac:dyDescent="0.3">
      <c r="A3011" t="s">
        <v>1778</v>
      </c>
      <c r="B3011" t="s">
        <v>732</v>
      </c>
      <c r="C3011" t="s">
        <v>711</v>
      </c>
      <c r="D3011" t="s">
        <v>1687</v>
      </c>
      <c r="E3011" t="s">
        <v>567</v>
      </c>
      <c r="F3011" t="s">
        <v>181</v>
      </c>
      <c r="G3011" t="s">
        <v>111</v>
      </c>
      <c r="H3011" t="s">
        <v>1539</v>
      </c>
      <c r="I3011" t="s">
        <v>112</v>
      </c>
      <c r="J3011" t="s">
        <v>704</v>
      </c>
      <c r="K3011" t="s">
        <v>2977</v>
      </c>
      <c r="L3011" t="s">
        <v>2977</v>
      </c>
    </row>
    <row r="3012" spans="1:12" x14ac:dyDescent="0.3">
      <c r="A3012" t="s">
        <v>1778</v>
      </c>
      <c r="B3012" t="s">
        <v>732</v>
      </c>
      <c r="C3012" t="s">
        <v>711</v>
      </c>
      <c r="D3012" t="s">
        <v>1688</v>
      </c>
      <c r="E3012" t="s">
        <v>567</v>
      </c>
      <c r="F3012" t="s">
        <v>73</v>
      </c>
      <c r="G3012" t="s">
        <v>111</v>
      </c>
      <c r="H3012" t="s">
        <v>1539</v>
      </c>
      <c r="I3012" t="s">
        <v>112</v>
      </c>
      <c r="J3012" t="s">
        <v>704</v>
      </c>
      <c r="K3012" t="s">
        <v>2989</v>
      </c>
      <c r="L3012" t="s">
        <v>2989</v>
      </c>
    </row>
    <row r="3013" spans="1:12" x14ac:dyDescent="0.3">
      <c r="A3013" t="s">
        <v>1778</v>
      </c>
      <c r="B3013" t="s">
        <v>732</v>
      </c>
      <c r="C3013" t="s">
        <v>711</v>
      </c>
      <c r="D3013" t="s">
        <v>1689</v>
      </c>
      <c r="E3013" t="s">
        <v>567</v>
      </c>
      <c r="F3013" t="s">
        <v>162</v>
      </c>
      <c r="G3013" t="s">
        <v>111</v>
      </c>
      <c r="H3013" t="s">
        <v>703</v>
      </c>
      <c r="I3013" t="s">
        <v>112</v>
      </c>
      <c r="J3013" t="s">
        <v>702</v>
      </c>
      <c r="K3013" t="s">
        <v>1579</v>
      </c>
      <c r="L3013" t="s">
        <v>1579</v>
      </c>
    </row>
    <row r="3014" spans="1:12" x14ac:dyDescent="0.3">
      <c r="A3014" t="s">
        <v>1778</v>
      </c>
      <c r="B3014" t="s">
        <v>732</v>
      </c>
      <c r="C3014" t="s">
        <v>711</v>
      </c>
      <c r="D3014" t="s">
        <v>303</v>
      </c>
      <c r="E3014" t="s">
        <v>569</v>
      </c>
      <c r="F3014" t="s">
        <v>49</v>
      </c>
      <c r="G3014" t="s">
        <v>111</v>
      </c>
      <c r="H3014" t="s">
        <v>187</v>
      </c>
      <c r="I3014" t="s">
        <v>112</v>
      </c>
      <c r="J3014" t="s">
        <v>183</v>
      </c>
      <c r="K3014" t="s">
        <v>1535</v>
      </c>
      <c r="L3014" t="s">
        <v>1535</v>
      </c>
    </row>
    <row r="3015" spans="1:12" x14ac:dyDescent="0.3">
      <c r="A3015" t="s">
        <v>1778</v>
      </c>
      <c r="B3015" t="s">
        <v>732</v>
      </c>
      <c r="C3015" t="s">
        <v>711</v>
      </c>
      <c r="D3015" t="s">
        <v>209</v>
      </c>
      <c r="E3015" t="s">
        <v>569</v>
      </c>
      <c r="F3015" t="s">
        <v>115</v>
      </c>
      <c r="G3015" t="s">
        <v>111</v>
      </c>
      <c r="H3015" t="s">
        <v>182</v>
      </c>
      <c r="I3015" t="s">
        <v>112</v>
      </c>
      <c r="J3015" t="s">
        <v>183</v>
      </c>
      <c r="K3015" t="s">
        <v>1551</v>
      </c>
      <c r="L3015" t="s">
        <v>1551</v>
      </c>
    </row>
    <row r="3016" spans="1:12" x14ac:dyDescent="0.3">
      <c r="A3016" t="s">
        <v>1778</v>
      </c>
      <c r="B3016" t="s">
        <v>732</v>
      </c>
      <c r="C3016" t="s">
        <v>711</v>
      </c>
      <c r="D3016" t="s">
        <v>210</v>
      </c>
      <c r="E3016" t="s">
        <v>569</v>
      </c>
      <c r="F3016" t="s">
        <v>59</v>
      </c>
      <c r="G3016" t="s">
        <v>111</v>
      </c>
      <c r="H3016" t="s">
        <v>182</v>
      </c>
      <c r="I3016" t="s">
        <v>112</v>
      </c>
      <c r="J3016" t="s">
        <v>183</v>
      </c>
      <c r="K3016" t="s">
        <v>2929</v>
      </c>
      <c r="L3016" t="s">
        <v>2929</v>
      </c>
    </row>
    <row r="3017" spans="1:12" x14ac:dyDescent="0.3">
      <c r="A3017" t="s">
        <v>1778</v>
      </c>
      <c r="B3017" t="s">
        <v>732</v>
      </c>
      <c r="C3017" t="s">
        <v>711</v>
      </c>
      <c r="D3017" t="s">
        <v>304</v>
      </c>
      <c r="E3017" t="s">
        <v>569</v>
      </c>
      <c r="F3017" t="s">
        <v>117</v>
      </c>
      <c r="G3017" t="s">
        <v>111</v>
      </c>
      <c r="H3017" t="s">
        <v>184</v>
      </c>
      <c r="I3017" t="s">
        <v>112</v>
      </c>
      <c r="J3017" t="s">
        <v>185</v>
      </c>
      <c r="K3017" t="s">
        <v>2955</v>
      </c>
      <c r="L3017" t="s">
        <v>2955</v>
      </c>
    </row>
    <row r="3018" spans="1:12" x14ac:dyDescent="0.3">
      <c r="A3018" t="s">
        <v>1778</v>
      </c>
      <c r="B3018" t="s">
        <v>732</v>
      </c>
      <c r="C3018" t="s">
        <v>711</v>
      </c>
      <c r="D3018" t="s">
        <v>305</v>
      </c>
      <c r="E3018" t="s">
        <v>569</v>
      </c>
      <c r="F3018" t="s">
        <v>120</v>
      </c>
      <c r="G3018" t="s">
        <v>111</v>
      </c>
      <c r="H3018" t="s">
        <v>187</v>
      </c>
      <c r="I3018" t="s">
        <v>112</v>
      </c>
      <c r="J3018" t="s">
        <v>183</v>
      </c>
      <c r="K3018" t="s">
        <v>1559</v>
      </c>
      <c r="L3018" t="s">
        <v>1559</v>
      </c>
    </row>
    <row r="3019" spans="1:12" x14ac:dyDescent="0.3">
      <c r="A3019" t="s">
        <v>1778</v>
      </c>
      <c r="B3019" t="s">
        <v>732</v>
      </c>
      <c r="C3019" t="s">
        <v>711</v>
      </c>
      <c r="D3019" t="s">
        <v>212</v>
      </c>
      <c r="E3019" t="s">
        <v>569</v>
      </c>
      <c r="F3019" t="s">
        <v>164</v>
      </c>
      <c r="G3019" t="s">
        <v>111</v>
      </c>
      <c r="H3019" t="s">
        <v>187</v>
      </c>
      <c r="I3019" t="s">
        <v>112</v>
      </c>
      <c r="J3019" t="s">
        <v>183</v>
      </c>
      <c r="K3019" t="s">
        <v>2956</v>
      </c>
      <c r="L3019" t="s">
        <v>2956</v>
      </c>
    </row>
    <row r="3020" spans="1:12" x14ac:dyDescent="0.3">
      <c r="A3020" t="s">
        <v>1778</v>
      </c>
      <c r="B3020" t="s">
        <v>732</v>
      </c>
      <c r="C3020" t="s">
        <v>711</v>
      </c>
      <c r="D3020" t="s">
        <v>213</v>
      </c>
      <c r="E3020" t="s">
        <v>569</v>
      </c>
      <c r="F3020" t="s">
        <v>53</v>
      </c>
      <c r="G3020" t="s">
        <v>111</v>
      </c>
      <c r="H3020" t="s">
        <v>182</v>
      </c>
      <c r="I3020" t="s">
        <v>112</v>
      </c>
      <c r="J3020" t="s">
        <v>183</v>
      </c>
      <c r="K3020" t="s">
        <v>2957</v>
      </c>
      <c r="L3020" t="s">
        <v>2957</v>
      </c>
    </row>
    <row r="3021" spans="1:12" x14ac:dyDescent="0.3">
      <c r="A3021" t="s">
        <v>1778</v>
      </c>
      <c r="B3021" t="s">
        <v>732</v>
      </c>
      <c r="C3021" t="s">
        <v>711</v>
      </c>
      <c r="D3021" t="s">
        <v>214</v>
      </c>
      <c r="E3021" t="s">
        <v>569</v>
      </c>
      <c r="F3021" t="s">
        <v>56</v>
      </c>
      <c r="G3021" t="s">
        <v>111</v>
      </c>
      <c r="H3021" t="s">
        <v>182</v>
      </c>
      <c r="I3021" t="s">
        <v>112</v>
      </c>
      <c r="J3021" t="s">
        <v>183</v>
      </c>
      <c r="K3021" t="s">
        <v>1559</v>
      </c>
      <c r="L3021" t="s">
        <v>1559</v>
      </c>
    </row>
    <row r="3022" spans="1:12" x14ac:dyDescent="0.3">
      <c r="A3022" t="s">
        <v>1778</v>
      </c>
      <c r="B3022" t="s">
        <v>732</v>
      </c>
      <c r="C3022" t="s">
        <v>711</v>
      </c>
      <c r="D3022" t="s">
        <v>215</v>
      </c>
      <c r="E3022" t="s">
        <v>569</v>
      </c>
      <c r="F3022" t="s">
        <v>69</v>
      </c>
      <c r="G3022" t="s">
        <v>111</v>
      </c>
      <c r="H3022" t="s">
        <v>2990</v>
      </c>
      <c r="I3022" t="s">
        <v>112</v>
      </c>
      <c r="J3022" t="s">
        <v>2991</v>
      </c>
      <c r="K3022" t="s">
        <v>1555</v>
      </c>
      <c r="L3022" t="s">
        <v>1555</v>
      </c>
    </row>
    <row r="3023" spans="1:12" x14ac:dyDescent="0.3">
      <c r="A3023" t="s">
        <v>1778</v>
      </c>
      <c r="B3023" t="s">
        <v>732</v>
      </c>
      <c r="C3023" t="s">
        <v>711</v>
      </c>
      <c r="D3023" t="s">
        <v>216</v>
      </c>
      <c r="E3023" t="s">
        <v>569</v>
      </c>
      <c r="F3023" t="s">
        <v>121</v>
      </c>
      <c r="G3023" t="s">
        <v>111</v>
      </c>
      <c r="H3023" t="s">
        <v>187</v>
      </c>
      <c r="I3023" t="s">
        <v>112</v>
      </c>
      <c r="J3023" t="s">
        <v>183</v>
      </c>
      <c r="K3023" t="s">
        <v>1537</v>
      </c>
      <c r="L3023" t="s">
        <v>1537</v>
      </c>
    </row>
    <row r="3024" spans="1:12" x14ac:dyDescent="0.3">
      <c r="A3024" t="s">
        <v>1778</v>
      </c>
      <c r="B3024" t="s">
        <v>732</v>
      </c>
      <c r="C3024" t="s">
        <v>711</v>
      </c>
      <c r="D3024" t="s">
        <v>217</v>
      </c>
      <c r="E3024" t="s">
        <v>569</v>
      </c>
      <c r="F3024" t="s">
        <v>122</v>
      </c>
      <c r="G3024" t="s">
        <v>111</v>
      </c>
      <c r="H3024" t="s">
        <v>182</v>
      </c>
      <c r="I3024" t="s">
        <v>112</v>
      </c>
      <c r="J3024" t="s">
        <v>183</v>
      </c>
      <c r="K3024" t="s">
        <v>2822</v>
      </c>
      <c r="L3024" t="s">
        <v>2822</v>
      </c>
    </row>
    <row r="3025" spans="1:12" x14ac:dyDescent="0.3">
      <c r="A3025" t="s">
        <v>1778</v>
      </c>
      <c r="B3025" t="s">
        <v>732</v>
      </c>
      <c r="C3025" t="s">
        <v>711</v>
      </c>
      <c r="D3025" t="s">
        <v>306</v>
      </c>
      <c r="E3025" t="s">
        <v>569</v>
      </c>
      <c r="F3025" t="s">
        <v>165</v>
      </c>
      <c r="G3025" t="s">
        <v>111</v>
      </c>
      <c r="H3025" t="s">
        <v>182</v>
      </c>
      <c r="I3025" t="s">
        <v>112</v>
      </c>
      <c r="J3025" t="s">
        <v>183</v>
      </c>
      <c r="K3025" t="s">
        <v>2958</v>
      </c>
      <c r="L3025" t="s">
        <v>2958</v>
      </c>
    </row>
    <row r="3026" spans="1:12" x14ac:dyDescent="0.3">
      <c r="A3026" t="s">
        <v>1778</v>
      </c>
      <c r="B3026" t="s">
        <v>732</v>
      </c>
      <c r="C3026" t="s">
        <v>711</v>
      </c>
      <c r="D3026" t="s">
        <v>307</v>
      </c>
      <c r="E3026" t="s">
        <v>569</v>
      </c>
      <c r="F3026" t="s">
        <v>123</v>
      </c>
      <c r="G3026" t="s">
        <v>111</v>
      </c>
      <c r="H3026" t="s">
        <v>182</v>
      </c>
      <c r="I3026" t="s">
        <v>112</v>
      </c>
      <c r="J3026" t="s">
        <v>183</v>
      </c>
      <c r="K3026" t="s">
        <v>2959</v>
      </c>
      <c r="L3026" t="s">
        <v>2959</v>
      </c>
    </row>
    <row r="3027" spans="1:12" x14ac:dyDescent="0.3">
      <c r="A3027" t="s">
        <v>1778</v>
      </c>
      <c r="B3027" t="s">
        <v>732</v>
      </c>
      <c r="C3027" t="s">
        <v>711</v>
      </c>
      <c r="D3027" t="s">
        <v>220</v>
      </c>
      <c r="E3027" t="s">
        <v>569</v>
      </c>
      <c r="F3027" t="s">
        <v>54</v>
      </c>
      <c r="G3027" t="s">
        <v>111</v>
      </c>
      <c r="H3027" t="s">
        <v>182</v>
      </c>
      <c r="I3027" t="s">
        <v>112</v>
      </c>
      <c r="J3027" t="s">
        <v>183</v>
      </c>
      <c r="K3027" t="s">
        <v>1610</v>
      </c>
      <c r="L3027" t="s">
        <v>1610</v>
      </c>
    </row>
    <row r="3028" spans="1:12" x14ac:dyDescent="0.3">
      <c r="A3028" t="s">
        <v>1778</v>
      </c>
      <c r="B3028" t="s">
        <v>732</v>
      </c>
      <c r="C3028" t="s">
        <v>711</v>
      </c>
      <c r="D3028" t="s">
        <v>221</v>
      </c>
      <c r="E3028" t="s">
        <v>569</v>
      </c>
      <c r="F3028" t="s">
        <v>45</v>
      </c>
      <c r="G3028" t="s">
        <v>111</v>
      </c>
      <c r="H3028" t="s">
        <v>2990</v>
      </c>
      <c r="I3028" t="s">
        <v>112</v>
      </c>
      <c r="J3028" t="s">
        <v>2991</v>
      </c>
      <c r="K3028" t="s">
        <v>1542</v>
      </c>
      <c r="L3028" t="s">
        <v>1542</v>
      </c>
    </row>
    <row r="3029" spans="1:12" x14ac:dyDescent="0.3">
      <c r="A3029" t="s">
        <v>1778</v>
      </c>
      <c r="B3029" t="s">
        <v>732</v>
      </c>
      <c r="C3029" t="s">
        <v>711</v>
      </c>
      <c r="D3029" t="s">
        <v>308</v>
      </c>
      <c r="E3029" t="s">
        <v>569</v>
      </c>
      <c r="F3029" t="s">
        <v>190</v>
      </c>
      <c r="G3029" t="s">
        <v>111</v>
      </c>
      <c r="H3029" t="s">
        <v>182</v>
      </c>
      <c r="I3029" t="s">
        <v>112</v>
      </c>
      <c r="J3029" t="s">
        <v>183</v>
      </c>
      <c r="K3029" t="s">
        <v>2900</v>
      </c>
      <c r="L3029" t="s">
        <v>2900</v>
      </c>
    </row>
    <row r="3030" spans="1:12" x14ac:dyDescent="0.3">
      <c r="A3030" t="s">
        <v>1778</v>
      </c>
      <c r="B3030" t="s">
        <v>732</v>
      </c>
      <c r="C3030" t="s">
        <v>711</v>
      </c>
      <c r="D3030" t="s">
        <v>222</v>
      </c>
      <c r="E3030" t="s">
        <v>569</v>
      </c>
      <c r="F3030" t="s">
        <v>124</v>
      </c>
      <c r="G3030" t="s">
        <v>111</v>
      </c>
      <c r="H3030" t="s">
        <v>182</v>
      </c>
      <c r="I3030" t="s">
        <v>112</v>
      </c>
      <c r="J3030" t="s">
        <v>183</v>
      </c>
      <c r="K3030" t="s">
        <v>2928</v>
      </c>
      <c r="L3030" t="s">
        <v>2928</v>
      </c>
    </row>
    <row r="3031" spans="1:12" x14ac:dyDescent="0.3">
      <c r="A3031" t="s">
        <v>1778</v>
      </c>
      <c r="B3031" t="s">
        <v>732</v>
      </c>
      <c r="C3031" t="s">
        <v>711</v>
      </c>
      <c r="D3031" t="s">
        <v>309</v>
      </c>
      <c r="E3031" t="s">
        <v>569</v>
      </c>
      <c r="F3031" t="s">
        <v>58</v>
      </c>
      <c r="G3031" t="s">
        <v>111</v>
      </c>
      <c r="H3031" t="s">
        <v>2990</v>
      </c>
      <c r="I3031" t="s">
        <v>112</v>
      </c>
      <c r="J3031" t="s">
        <v>2991</v>
      </c>
      <c r="K3031" t="s">
        <v>2960</v>
      </c>
      <c r="L3031" t="s">
        <v>2960</v>
      </c>
    </row>
    <row r="3032" spans="1:12" x14ac:dyDescent="0.3">
      <c r="A3032" t="s">
        <v>1778</v>
      </c>
      <c r="B3032" t="s">
        <v>732</v>
      </c>
      <c r="C3032" t="s">
        <v>711</v>
      </c>
      <c r="D3032" t="s">
        <v>2808</v>
      </c>
      <c r="E3032" t="s">
        <v>569</v>
      </c>
      <c r="F3032" t="s">
        <v>191</v>
      </c>
      <c r="G3032" t="s">
        <v>111</v>
      </c>
      <c r="H3032" t="s">
        <v>182</v>
      </c>
      <c r="I3032" t="s">
        <v>112</v>
      </c>
      <c r="J3032" t="s">
        <v>183</v>
      </c>
      <c r="K3032" t="s">
        <v>2929</v>
      </c>
      <c r="L3032" t="s">
        <v>2929</v>
      </c>
    </row>
    <row r="3033" spans="1:12" x14ac:dyDescent="0.3">
      <c r="A3033" t="s">
        <v>1778</v>
      </c>
      <c r="B3033" t="s">
        <v>732</v>
      </c>
      <c r="C3033" t="s">
        <v>711</v>
      </c>
      <c r="D3033" t="s">
        <v>224</v>
      </c>
      <c r="E3033" t="s">
        <v>569</v>
      </c>
      <c r="F3033" t="s">
        <v>125</v>
      </c>
      <c r="G3033" t="s">
        <v>111</v>
      </c>
      <c r="H3033" t="s">
        <v>2992</v>
      </c>
      <c r="I3033" t="s">
        <v>112</v>
      </c>
      <c r="J3033" t="s">
        <v>2991</v>
      </c>
      <c r="K3033" t="s">
        <v>1555</v>
      </c>
      <c r="L3033" t="s">
        <v>1555</v>
      </c>
    </row>
    <row r="3034" spans="1:12" x14ac:dyDescent="0.3">
      <c r="A3034" t="s">
        <v>1778</v>
      </c>
      <c r="B3034" t="s">
        <v>732</v>
      </c>
      <c r="C3034" t="s">
        <v>711</v>
      </c>
      <c r="D3034" t="s">
        <v>226</v>
      </c>
      <c r="E3034" t="s">
        <v>569</v>
      </c>
      <c r="F3034" t="s">
        <v>80</v>
      </c>
      <c r="G3034" t="s">
        <v>111</v>
      </c>
      <c r="H3034" t="s">
        <v>187</v>
      </c>
      <c r="I3034" t="s">
        <v>112</v>
      </c>
      <c r="J3034" t="s">
        <v>183</v>
      </c>
      <c r="K3034" t="s">
        <v>1541</v>
      </c>
      <c r="L3034" t="s">
        <v>1541</v>
      </c>
    </row>
    <row r="3035" spans="1:12" x14ac:dyDescent="0.3">
      <c r="A3035" t="s">
        <v>1778</v>
      </c>
      <c r="B3035" t="s">
        <v>732</v>
      </c>
      <c r="C3035" t="s">
        <v>711</v>
      </c>
      <c r="D3035" t="s">
        <v>227</v>
      </c>
      <c r="E3035" t="s">
        <v>569</v>
      </c>
      <c r="F3035" t="s">
        <v>192</v>
      </c>
      <c r="G3035" t="s">
        <v>111</v>
      </c>
      <c r="H3035" t="s">
        <v>182</v>
      </c>
      <c r="I3035" t="s">
        <v>112</v>
      </c>
      <c r="J3035" t="s">
        <v>183</v>
      </c>
      <c r="K3035" t="s">
        <v>1535</v>
      </c>
      <c r="L3035" t="s">
        <v>1535</v>
      </c>
    </row>
    <row r="3036" spans="1:12" x14ac:dyDescent="0.3">
      <c r="A3036" t="s">
        <v>1778</v>
      </c>
      <c r="B3036" t="s">
        <v>732</v>
      </c>
      <c r="C3036" t="s">
        <v>711</v>
      </c>
      <c r="D3036" t="s">
        <v>228</v>
      </c>
      <c r="E3036" t="s">
        <v>569</v>
      </c>
      <c r="F3036" t="s">
        <v>167</v>
      </c>
      <c r="G3036" t="s">
        <v>111</v>
      </c>
      <c r="H3036" t="s">
        <v>187</v>
      </c>
      <c r="I3036" t="s">
        <v>112</v>
      </c>
      <c r="J3036" t="s">
        <v>183</v>
      </c>
      <c r="K3036" t="s">
        <v>2954</v>
      </c>
      <c r="L3036" t="s">
        <v>2954</v>
      </c>
    </row>
    <row r="3037" spans="1:12" x14ac:dyDescent="0.3">
      <c r="A3037" t="s">
        <v>1778</v>
      </c>
      <c r="B3037" t="s">
        <v>732</v>
      </c>
      <c r="C3037" t="s">
        <v>711</v>
      </c>
      <c r="D3037" t="s">
        <v>311</v>
      </c>
      <c r="E3037" t="s">
        <v>569</v>
      </c>
      <c r="F3037" t="s">
        <v>89</v>
      </c>
      <c r="G3037" t="s">
        <v>111</v>
      </c>
      <c r="H3037" t="s">
        <v>2993</v>
      </c>
      <c r="I3037" t="s">
        <v>112</v>
      </c>
      <c r="J3037" t="s">
        <v>2994</v>
      </c>
      <c r="K3037" t="s">
        <v>1608</v>
      </c>
      <c r="L3037" t="s">
        <v>1608</v>
      </c>
    </row>
    <row r="3038" spans="1:12" x14ac:dyDescent="0.3">
      <c r="A3038" t="s">
        <v>1778</v>
      </c>
      <c r="B3038" t="s">
        <v>732</v>
      </c>
      <c r="C3038" t="s">
        <v>711</v>
      </c>
      <c r="D3038" t="s">
        <v>232</v>
      </c>
      <c r="E3038" t="s">
        <v>569</v>
      </c>
      <c r="F3038" t="s">
        <v>169</v>
      </c>
      <c r="G3038" t="s">
        <v>111</v>
      </c>
      <c r="H3038" t="s">
        <v>184</v>
      </c>
      <c r="I3038" t="s">
        <v>112</v>
      </c>
      <c r="J3038" t="s">
        <v>185</v>
      </c>
      <c r="K3038" t="s">
        <v>2961</v>
      </c>
      <c r="L3038" t="s">
        <v>2961</v>
      </c>
    </row>
    <row r="3039" spans="1:12" x14ac:dyDescent="0.3">
      <c r="A3039" t="s">
        <v>1778</v>
      </c>
      <c r="B3039" t="s">
        <v>732</v>
      </c>
      <c r="C3039" t="s">
        <v>711</v>
      </c>
      <c r="D3039" t="s">
        <v>234</v>
      </c>
      <c r="E3039" t="s">
        <v>569</v>
      </c>
      <c r="F3039" t="s">
        <v>93</v>
      </c>
      <c r="G3039" t="s">
        <v>111</v>
      </c>
      <c r="H3039" t="s">
        <v>2990</v>
      </c>
      <c r="I3039" t="s">
        <v>112</v>
      </c>
      <c r="J3039" t="s">
        <v>2991</v>
      </c>
      <c r="K3039" t="s">
        <v>1574</v>
      </c>
      <c r="L3039" t="s">
        <v>1574</v>
      </c>
    </row>
    <row r="3040" spans="1:12" x14ac:dyDescent="0.3">
      <c r="A3040" t="s">
        <v>1778</v>
      </c>
      <c r="B3040" t="s">
        <v>732</v>
      </c>
      <c r="C3040" t="s">
        <v>711</v>
      </c>
      <c r="D3040" t="s">
        <v>312</v>
      </c>
      <c r="E3040" t="s">
        <v>569</v>
      </c>
      <c r="F3040" t="s">
        <v>129</v>
      </c>
      <c r="G3040" t="s">
        <v>111</v>
      </c>
      <c r="H3040" t="s">
        <v>184</v>
      </c>
      <c r="I3040" t="s">
        <v>112</v>
      </c>
      <c r="J3040" t="s">
        <v>185</v>
      </c>
      <c r="K3040" t="s">
        <v>1568</v>
      </c>
      <c r="L3040" t="s">
        <v>1568</v>
      </c>
    </row>
    <row r="3041" spans="1:12" x14ac:dyDescent="0.3">
      <c r="A3041" t="s">
        <v>1778</v>
      </c>
      <c r="B3041" t="s">
        <v>732</v>
      </c>
      <c r="C3041" t="s">
        <v>711</v>
      </c>
      <c r="D3041" t="s">
        <v>313</v>
      </c>
      <c r="E3041" t="s">
        <v>569</v>
      </c>
      <c r="F3041" t="s">
        <v>68</v>
      </c>
      <c r="G3041" t="s">
        <v>111</v>
      </c>
      <c r="H3041" t="s">
        <v>187</v>
      </c>
      <c r="I3041" t="s">
        <v>112</v>
      </c>
      <c r="J3041" t="s">
        <v>183</v>
      </c>
    </row>
    <row r="3042" spans="1:12" x14ac:dyDescent="0.3">
      <c r="A3042" t="s">
        <v>1778</v>
      </c>
      <c r="B3042" t="s">
        <v>732</v>
      </c>
      <c r="C3042" t="s">
        <v>711</v>
      </c>
      <c r="D3042" t="s">
        <v>235</v>
      </c>
      <c r="E3042" t="s">
        <v>569</v>
      </c>
      <c r="F3042" t="s">
        <v>85</v>
      </c>
      <c r="G3042" t="s">
        <v>111</v>
      </c>
      <c r="H3042" t="s">
        <v>2995</v>
      </c>
      <c r="I3042" t="s">
        <v>112</v>
      </c>
      <c r="J3042" t="s">
        <v>2996</v>
      </c>
      <c r="K3042" t="s">
        <v>1555</v>
      </c>
      <c r="L3042" t="s">
        <v>1555</v>
      </c>
    </row>
    <row r="3043" spans="1:12" x14ac:dyDescent="0.3">
      <c r="A3043" t="s">
        <v>1778</v>
      </c>
      <c r="B3043" t="s">
        <v>732</v>
      </c>
      <c r="C3043" t="s">
        <v>711</v>
      </c>
      <c r="D3043" t="s">
        <v>314</v>
      </c>
      <c r="E3043" t="s">
        <v>569</v>
      </c>
      <c r="F3043" t="s">
        <v>61</v>
      </c>
      <c r="G3043" t="s">
        <v>111</v>
      </c>
      <c r="H3043" t="s">
        <v>2990</v>
      </c>
      <c r="I3043" t="s">
        <v>112</v>
      </c>
      <c r="J3043" t="s">
        <v>2991</v>
      </c>
      <c r="K3043" t="s">
        <v>2861</v>
      </c>
      <c r="L3043" t="s">
        <v>2861</v>
      </c>
    </row>
    <row r="3044" spans="1:12" x14ac:dyDescent="0.3">
      <c r="A3044" t="s">
        <v>1778</v>
      </c>
      <c r="B3044" t="s">
        <v>732</v>
      </c>
      <c r="C3044" t="s">
        <v>711</v>
      </c>
      <c r="D3044" t="s">
        <v>236</v>
      </c>
      <c r="E3044" t="s">
        <v>569</v>
      </c>
      <c r="F3044" t="s">
        <v>87</v>
      </c>
      <c r="G3044" t="s">
        <v>111</v>
      </c>
      <c r="H3044" t="s">
        <v>2990</v>
      </c>
      <c r="I3044" t="s">
        <v>112</v>
      </c>
      <c r="J3044" t="s">
        <v>2991</v>
      </c>
      <c r="K3044" t="s">
        <v>1548</v>
      </c>
      <c r="L3044" t="s">
        <v>1548</v>
      </c>
    </row>
    <row r="3045" spans="1:12" x14ac:dyDescent="0.3">
      <c r="A3045" t="s">
        <v>1778</v>
      </c>
      <c r="B3045" t="s">
        <v>732</v>
      </c>
      <c r="C3045" t="s">
        <v>711</v>
      </c>
      <c r="D3045" t="s">
        <v>239</v>
      </c>
      <c r="E3045" t="s">
        <v>569</v>
      </c>
      <c r="F3045" t="s">
        <v>50</v>
      </c>
      <c r="G3045" t="s">
        <v>111</v>
      </c>
      <c r="H3045" t="s">
        <v>2995</v>
      </c>
      <c r="I3045" t="s">
        <v>112</v>
      </c>
      <c r="J3045" t="s">
        <v>2996</v>
      </c>
      <c r="K3045" t="s">
        <v>1558</v>
      </c>
      <c r="L3045" t="s">
        <v>1558</v>
      </c>
    </row>
    <row r="3046" spans="1:12" x14ac:dyDescent="0.3">
      <c r="A3046" t="s">
        <v>1778</v>
      </c>
      <c r="B3046" t="s">
        <v>732</v>
      </c>
      <c r="C3046" t="s">
        <v>711</v>
      </c>
      <c r="D3046" t="s">
        <v>315</v>
      </c>
      <c r="E3046" t="s">
        <v>568</v>
      </c>
      <c r="F3046" t="s">
        <v>79</v>
      </c>
      <c r="G3046" t="s">
        <v>111</v>
      </c>
      <c r="H3046" t="s">
        <v>187</v>
      </c>
      <c r="I3046" t="s">
        <v>112</v>
      </c>
      <c r="J3046" t="s">
        <v>183</v>
      </c>
      <c r="K3046" t="s">
        <v>1555</v>
      </c>
      <c r="L3046" t="s">
        <v>1555</v>
      </c>
    </row>
    <row r="3047" spans="1:12" x14ac:dyDescent="0.3">
      <c r="A3047" t="s">
        <v>1778</v>
      </c>
      <c r="B3047" t="s">
        <v>732</v>
      </c>
      <c r="C3047" t="s">
        <v>711</v>
      </c>
      <c r="D3047" t="s">
        <v>316</v>
      </c>
      <c r="E3047" t="s">
        <v>568</v>
      </c>
      <c r="F3047" t="s">
        <v>132</v>
      </c>
      <c r="G3047" t="s">
        <v>111</v>
      </c>
      <c r="H3047" t="s">
        <v>187</v>
      </c>
      <c r="I3047" t="s">
        <v>112</v>
      </c>
      <c r="J3047" t="s">
        <v>183</v>
      </c>
      <c r="K3047" t="s">
        <v>1551</v>
      </c>
      <c r="L3047" t="s">
        <v>1551</v>
      </c>
    </row>
    <row r="3048" spans="1:12" x14ac:dyDescent="0.3">
      <c r="A3048" t="s">
        <v>1778</v>
      </c>
      <c r="B3048" t="s">
        <v>732</v>
      </c>
      <c r="C3048" t="s">
        <v>711</v>
      </c>
      <c r="D3048" t="s">
        <v>317</v>
      </c>
      <c r="E3048" t="s">
        <v>568</v>
      </c>
      <c r="F3048" t="s">
        <v>133</v>
      </c>
      <c r="G3048" t="s">
        <v>111</v>
      </c>
      <c r="H3048" t="s">
        <v>2997</v>
      </c>
      <c r="I3048" t="s">
        <v>112</v>
      </c>
      <c r="J3048" t="s">
        <v>2998</v>
      </c>
    </row>
    <row r="3049" spans="1:12" x14ac:dyDescent="0.3">
      <c r="A3049" t="s">
        <v>1778</v>
      </c>
      <c r="B3049" t="s">
        <v>732</v>
      </c>
      <c r="C3049" t="s">
        <v>711</v>
      </c>
      <c r="D3049" t="s">
        <v>318</v>
      </c>
      <c r="E3049" t="s">
        <v>568</v>
      </c>
      <c r="F3049" t="s">
        <v>193</v>
      </c>
      <c r="G3049" t="s">
        <v>111</v>
      </c>
      <c r="H3049" t="s">
        <v>182</v>
      </c>
      <c r="I3049" t="s">
        <v>112</v>
      </c>
      <c r="J3049" t="s">
        <v>183</v>
      </c>
      <c r="K3049" t="s">
        <v>1558</v>
      </c>
      <c r="L3049" t="s">
        <v>1558</v>
      </c>
    </row>
    <row r="3050" spans="1:12" x14ac:dyDescent="0.3">
      <c r="A3050" t="s">
        <v>1778</v>
      </c>
      <c r="B3050" t="s">
        <v>732</v>
      </c>
      <c r="C3050" t="s">
        <v>711</v>
      </c>
      <c r="D3050" t="s">
        <v>240</v>
      </c>
      <c r="E3050" t="s">
        <v>568</v>
      </c>
      <c r="F3050" t="s">
        <v>134</v>
      </c>
      <c r="G3050" t="s">
        <v>111</v>
      </c>
      <c r="H3050" t="s">
        <v>182</v>
      </c>
      <c r="I3050" t="s">
        <v>112</v>
      </c>
      <c r="J3050" t="s">
        <v>183</v>
      </c>
      <c r="K3050" t="s">
        <v>2962</v>
      </c>
      <c r="L3050" t="s">
        <v>2962</v>
      </c>
    </row>
    <row r="3051" spans="1:12" x14ac:dyDescent="0.3">
      <c r="A3051" t="s">
        <v>1778</v>
      </c>
      <c r="B3051" t="s">
        <v>732</v>
      </c>
      <c r="C3051" t="s">
        <v>711</v>
      </c>
      <c r="D3051" t="s">
        <v>241</v>
      </c>
      <c r="E3051" t="s">
        <v>568</v>
      </c>
      <c r="F3051" t="s">
        <v>51</v>
      </c>
      <c r="G3051" t="s">
        <v>111</v>
      </c>
      <c r="H3051" t="s">
        <v>184</v>
      </c>
      <c r="I3051" t="s">
        <v>112</v>
      </c>
      <c r="J3051" t="s">
        <v>185</v>
      </c>
      <c r="K3051" t="s">
        <v>1555</v>
      </c>
      <c r="L3051" t="s">
        <v>1555</v>
      </c>
    </row>
    <row r="3052" spans="1:12" x14ac:dyDescent="0.3">
      <c r="A3052" t="s">
        <v>1778</v>
      </c>
      <c r="B3052" t="s">
        <v>732</v>
      </c>
      <c r="C3052" t="s">
        <v>711</v>
      </c>
      <c r="D3052" t="s">
        <v>242</v>
      </c>
      <c r="E3052" t="s">
        <v>568</v>
      </c>
      <c r="F3052" t="s">
        <v>163</v>
      </c>
      <c r="G3052" t="s">
        <v>111</v>
      </c>
      <c r="H3052" t="s">
        <v>184</v>
      </c>
      <c r="I3052" t="s">
        <v>112</v>
      </c>
      <c r="J3052" t="s">
        <v>185</v>
      </c>
      <c r="K3052" t="s">
        <v>2963</v>
      </c>
      <c r="L3052" t="s">
        <v>2963</v>
      </c>
    </row>
    <row r="3053" spans="1:12" x14ac:dyDescent="0.3">
      <c r="A3053" t="s">
        <v>1778</v>
      </c>
      <c r="B3053" t="s">
        <v>732</v>
      </c>
      <c r="C3053" t="s">
        <v>711</v>
      </c>
      <c r="D3053" t="s">
        <v>245</v>
      </c>
      <c r="E3053" t="s">
        <v>568</v>
      </c>
      <c r="F3053" t="s">
        <v>82</v>
      </c>
      <c r="G3053" t="s">
        <v>111</v>
      </c>
      <c r="H3053" t="s">
        <v>187</v>
      </c>
      <c r="I3053" t="s">
        <v>112</v>
      </c>
      <c r="J3053" t="s">
        <v>183</v>
      </c>
      <c r="K3053" t="s">
        <v>2964</v>
      </c>
      <c r="L3053" t="s">
        <v>2964</v>
      </c>
    </row>
    <row r="3054" spans="1:12" x14ac:dyDescent="0.3">
      <c r="A3054" t="s">
        <v>1778</v>
      </c>
      <c r="B3054" t="s">
        <v>732</v>
      </c>
      <c r="C3054" t="s">
        <v>711</v>
      </c>
      <c r="D3054" t="s">
        <v>246</v>
      </c>
      <c r="E3054" t="s">
        <v>568</v>
      </c>
      <c r="F3054" t="s">
        <v>135</v>
      </c>
      <c r="G3054" t="s">
        <v>111</v>
      </c>
      <c r="H3054" t="s">
        <v>182</v>
      </c>
      <c r="I3054" t="s">
        <v>112</v>
      </c>
      <c r="J3054" t="s">
        <v>183</v>
      </c>
      <c r="K3054" t="s">
        <v>2957</v>
      </c>
      <c r="L3054" t="s">
        <v>2957</v>
      </c>
    </row>
    <row r="3055" spans="1:12" x14ac:dyDescent="0.3">
      <c r="A3055" t="s">
        <v>1778</v>
      </c>
      <c r="B3055" t="s">
        <v>732</v>
      </c>
      <c r="C3055" t="s">
        <v>711</v>
      </c>
      <c r="D3055" t="s">
        <v>319</v>
      </c>
      <c r="E3055" t="s">
        <v>568</v>
      </c>
      <c r="F3055" t="s">
        <v>136</v>
      </c>
      <c r="G3055" t="s">
        <v>111</v>
      </c>
      <c r="H3055" t="s">
        <v>182</v>
      </c>
      <c r="I3055" t="s">
        <v>112</v>
      </c>
      <c r="J3055" t="s">
        <v>183</v>
      </c>
      <c r="K3055" t="s">
        <v>1542</v>
      </c>
      <c r="L3055" t="s">
        <v>1542</v>
      </c>
    </row>
    <row r="3056" spans="1:12" x14ac:dyDescent="0.3">
      <c r="A3056" t="s">
        <v>1778</v>
      </c>
      <c r="B3056" t="s">
        <v>732</v>
      </c>
      <c r="C3056" t="s">
        <v>711</v>
      </c>
      <c r="D3056" t="s">
        <v>247</v>
      </c>
      <c r="E3056" t="s">
        <v>568</v>
      </c>
      <c r="F3056" t="s">
        <v>60</v>
      </c>
      <c r="G3056" t="s">
        <v>111</v>
      </c>
      <c r="H3056" t="s">
        <v>187</v>
      </c>
      <c r="I3056" t="s">
        <v>112</v>
      </c>
      <c r="J3056" t="s">
        <v>183</v>
      </c>
      <c r="K3056" t="s">
        <v>1555</v>
      </c>
      <c r="L3056" t="s">
        <v>1555</v>
      </c>
    </row>
    <row r="3057" spans="1:12" x14ac:dyDescent="0.3">
      <c r="A3057" t="s">
        <v>1778</v>
      </c>
      <c r="B3057" t="s">
        <v>732</v>
      </c>
      <c r="C3057" t="s">
        <v>711</v>
      </c>
      <c r="D3057" t="s">
        <v>248</v>
      </c>
      <c r="E3057" t="s">
        <v>568</v>
      </c>
      <c r="F3057" t="s">
        <v>137</v>
      </c>
      <c r="G3057" t="s">
        <v>111</v>
      </c>
      <c r="H3057" t="s">
        <v>182</v>
      </c>
      <c r="I3057" t="s">
        <v>112</v>
      </c>
      <c r="J3057" t="s">
        <v>183</v>
      </c>
      <c r="K3057" t="s">
        <v>1570</v>
      </c>
      <c r="L3057" t="s">
        <v>1570</v>
      </c>
    </row>
    <row r="3058" spans="1:12" x14ac:dyDescent="0.3">
      <c r="A3058" t="s">
        <v>1778</v>
      </c>
      <c r="B3058" t="s">
        <v>732</v>
      </c>
      <c r="C3058" t="s">
        <v>711</v>
      </c>
      <c r="D3058" t="s">
        <v>249</v>
      </c>
      <c r="E3058" t="s">
        <v>568</v>
      </c>
      <c r="F3058" t="s">
        <v>86</v>
      </c>
      <c r="G3058" t="s">
        <v>111</v>
      </c>
      <c r="H3058" t="s">
        <v>182</v>
      </c>
      <c r="I3058" t="s">
        <v>112</v>
      </c>
      <c r="J3058" t="s">
        <v>183</v>
      </c>
      <c r="K3058" t="s">
        <v>2957</v>
      </c>
      <c r="L3058" t="s">
        <v>2957</v>
      </c>
    </row>
    <row r="3059" spans="1:12" x14ac:dyDescent="0.3">
      <c r="A3059" t="s">
        <v>1778</v>
      </c>
      <c r="B3059" t="s">
        <v>732</v>
      </c>
      <c r="C3059" t="s">
        <v>711</v>
      </c>
      <c r="D3059" t="s">
        <v>250</v>
      </c>
      <c r="E3059" t="s">
        <v>568</v>
      </c>
      <c r="F3059" t="s">
        <v>70</v>
      </c>
      <c r="G3059" t="s">
        <v>111</v>
      </c>
      <c r="H3059" t="s">
        <v>2990</v>
      </c>
      <c r="I3059" t="s">
        <v>112</v>
      </c>
      <c r="J3059" t="s">
        <v>2991</v>
      </c>
      <c r="K3059" t="s">
        <v>1568</v>
      </c>
      <c r="L3059" t="s">
        <v>1568</v>
      </c>
    </row>
    <row r="3060" spans="1:12" x14ac:dyDescent="0.3">
      <c r="A3060" t="s">
        <v>1778</v>
      </c>
      <c r="B3060" t="s">
        <v>732</v>
      </c>
      <c r="C3060" t="s">
        <v>711</v>
      </c>
      <c r="D3060" t="s">
        <v>251</v>
      </c>
      <c r="E3060" t="s">
        <v>568</v>
      </c>
      <c r="F3060" t="s">
        <v>48</v>
      </c>
      <c r="G3060" t="s">
        <v>111</v>
      </c>
      <c r="H3060" t="s">
        <v>2990</v>
      </c>
      <c r="I3060" t="s">
        <v>112</v>
      </c>
      <c r="J3060" t="s">
        <v>2991</v>
      </c>
      <c r="K3060" t="s">
        <v>1563</v>
      </c>
      <c r="L3060" t="s">
        <v>1563</v>
      </c>
    </row>
    <row r="3061" spans="1:12" x14ac:dyDescent="0.3">
      <c r="A3061" t="s">
        <v>1778</v>
      </c>
      <c r="B3061" t="s">
        <v>732</v>
      </c>
      <c r="C3061" t="s">
        <v>711</v>
      </c>
      <c r="D3061" t="s">
        <v>253</v>
      </c>
      <c r="E3061" t="s">
        <v>568</v>
      </c>
      <c r="F3061" t="s">
        <v>95</v>
      </c>
      <c r="G3061" t="s">
        <v>111</v>
      </c>
      <c r="H3061" t="s">
        <v>182</v>
      </c>
      <c r="I3061" t="s">
        <v>112</v>
      </c>
      <c r="J3061" t="s">
        <v>183</v>
      </c>
      <c r="K3061" t="s">
        <v>2933</v>
      </c>
      <c r="L3061" t="s">
        <v>2933</v>
      </c>
    </row>
    <row r="3062" spans="1:12" x14ac:dyDescent="0.3">
      <c r="A3062" t="s">
        <v>1778</v>
      </c>
      <c r="B3062" t="s">
        <v>732</v>
      </c>
      <c r="C3062" t="s">
        <v>711</v>
      </c>
      <c r="D3062" t="s">
        <v>254</v>
      </c>
      <c r="E3062" t="s">
        <v>568</v>
      </c>
      <c r="F3062" t="s">
        <v>139</v>
      </c>
      <c r="G3062" t="s">
        <v>111</v>
      </c>
      <c r="H3062" t="s">
        <v>187</v>
      </c>
      <c r="I3062" t="s">
        <v>112</v>
      </c>
      <c r="J3062" t="s">
        <v>183</v>
      </c>
      <c r="K3062" t="s">
        <v>2965</v>
      </c>
      <c r="L3062" t="s">
        <v>2965</v>
      </c>
    </row>
    <row r="3063" spans="1:12" x14ac:dyDescent="0.3">
      <c r="A3063" t="s">
        <v>1778</v>
      </c>
      <c r="B3063" t="s">
        <v>732</v>
      </c>
      <c r="C3063" t="s">
        <v>711</v>
      </c>
      <c r="D3063" t="s">
        <v>255</v>
      </c>
      <c r="E3063" t="s">
        <v>568</v>
      </c>
      <c r="F3063" t="s">
        <v>171</v>
      </c>
      <c r="G3063" t="s">
        <v>111</v>
      </c>
      <c r="H3063" t="s">
        <v>182</v>
      </c>
      <c r="I3063" t="s">
        <v>112</v>
      </c>
      <c r="J3063" t="s">
        <v>183</v>
      </c>
      <c r="K3063" t="s">
        <v>1536</v>
      </c>
      <c r="L3063" t="s">
        <v>1536</v>
      </c>
    </row>
    <row r="3064" spans="1:12" x14ac:dyDescent="0.3">
      <c r="A3064" t="s">
        <v>1778</v>
      </c>
      <c r="B3064" t="s">
        <v>732</v>
      </c>
      <c r="C3064" t="s">
        <v>711</v>
      </c>
      <c r="D3064" t="s">
        <v>207</v>
      </c>
      <c r="E3064" t="s">
        <v>568</v>
      </c>
      <c r="F3064" t="s">
        <v>62</v>
      </c>
      <c r="G3064" t="s">
        <v>111</v>
      </c>
      <c r="H3064" t="s">
        <v>182</v>
      </c>
      <c r="I3064" t="s">
        <v>112</v>
      </c>
      <c r="J3064" t="s">
        <v>183</v>
      </c>
      <c r="K3064" t="s">
        <v>2946</v>
      </c>
      <c r="L3064" t="s">
        <v>2946</v>
      </c>
    </row>
    <row r="3065" spans="1:12" x14ac:dyDescent="0.3">
      <c r="A3065" t="s">
        <v>1778</v>
      </c>
      <c r="B3065" t="s">
        <v>732</v>
      </c>
      <c r="C3065" t="s">
        <v>711</v>
      </c>
      <c r="D3065" t="s">
        <v>322</v>
      </c>
      <c r="E3065" t="s">
        <v>568</v>
      </c>
      <c r="F3065" t="s">
        <v>173</v>
      </c>
      <c r="G3065" t="s">
        <v>111</v>
      </c>
      <c r="H3065" t="s">
        <v>182</v>
      </c>
      <c r="I3065" t="s">
        <v>112</v>
      </c>
      <c r="J3065" t="s">
        <v>183</v>
      </c>
      <c r="K3065" t="s">
        <v>2900</v>
      </c>
      <c r="L3065" t="s">
        <v>2900</v>
      </c>
    </row>
    <row r="3066" spans="1:12" x14ac:dyDescent="0.3">
      <c r="A3066" t="s">
        <v>1778</v>
      </c>
      <c r="B3066" t="s">
        <v>732</v>
      </c>
      <c r="C3066" t="s">
        <v>711</v>
      </c>
      <c r="D3066" t="s">
        <v>258</v>
      </c>
      <c r="E3066" t="s">
        <v>568</v>
      </c>
      <c r="F3066" t="s">
        <v>88</v>
      </c>
      <c r="G3066" t="s">
        <v>111</v>
      </c>
      <c r="H3066" t="s">
        <v>187</v>
      </c>
      <c r="I3066" t="s">
        <v>112</v>
      </c>
      <c r="J3066" t="s">
        <v>183</v>
      </c>
      <c r="K3066" t="s">
        <v>2806</v>
      </c>
      <c r="L3066" t="s">
        <v>2806</v>
      </c>
    </row>
    <row r="3067" spans="1:12" x14ac:dyDescent="0.3">
      <c r="A3067" t="s">
        <v>1778</v>
      </c>
      <c r="B3067" t="s">
        <v>732</v>
      </c>
      <c r="C3067" t="s">
        <v>711</v>
      </c>
      <c r="D3067" t="s">
        <v>259</v>
      </c>
      <c r="E3067" t="s">
        <v>568</v>
      </c>
      <c r="F3067" t="s">
        <v>77</v>
      </c>
      <c r="G3067" t="s">
        <v>111</v>
      </c>
      <c r="H3067" t="s">
        <v>182</v>
      </c>
      <c r="I3067" t="s">
        <v>112</v>
      </c>
      <c r="J3067" t="s">
        <v>183</v>
      </c>
      <c r="K3067" t="s">
        <v>1541</v>
      </c>
      <c r="L3067" t="s">
        <v>1541</v>
      </c>
    </row>
    <row r="3068" spans="1:12" x14ac:dyDescent="0.3">
      <c r="A3068" t="s">
        <v>1778</v>
      </c>
      <c r="B3068" t="s">
        <v>732</v>
      </c>
      <c r="C3068" t="s">
        <v>711</v>
      </c>
      <c r="D3068" t="s">
        <v>323</v>
      </c>
      <c r="E3068" t="s">
        <v>568</v>
      </c>
      <c r="F3068" t="s">
        <v>74</v>
      </c>
      <c r="G3068" t="s">
        <v>111</v>
      </c>
      <c r="H3068" t="s">
        <v>187</v>
      </c>
      <c r="I3068" t="s">
        <v>112</v>
      </c>
      <c r="J3068" t="s">
        <v>183</v>
      </c>
      <c r="K3068" t="s">
        <v>2966</v>
      </c>
      <c r="L3068" t="s">
        <v>2966</v>
      </c>
    </row>
    <row r="3069" spans="1:12" x14ac:dyDescent="0.3">
      <c r="A3069" t="s">
        <v>1778</v>
      </c>
      <c r="B3069" t="s">
        <v>732</v>
      </c>
      <c r="C3069" t="s">
        <v>711</v>
      </c>
      <c r="D3069" t="s">
        <v>324</v>
      </c>
      <c r="E3069" t="s">
        <v>568</v>
      </c>
      <c r="F3069" t="s">
        <v>102</v>
      </c>
      <c r="G3069" t="s">
        <v>111</v>
      </c>
      <c r="H3069" t="s">
        <v>2990</v>
      </c>
      <c r="I3069" t="s">
        <v>112</v>
      </c>
      <c r="J3069" t="s">
        <v>2991</v>
      </c>
      <c r="K3069" t="s">
        <v>1552</v>
      </c>
      <c r="L3069" t="s">
        <v>1552</v>
      </c>
    </row>
    <row r="3070" spans="1:12" x14ac:dyDescent="0.3">
      <c r="A3070" t="s">
        <v>1778</v>
      </c>
      <c r="B3070" t="s">
        <v>732</v>
      </c>
      <c r="C3070" t="s">
        <v>711</v>
      </c>
      <c r="D3070" t="s">
        <v>260</v>
      </c>
      <c r="E3070" t="s">
        <v>568</v>
      </c>
      <c r="F3070" t="s">
        <v>140</v>
      </c>
      <c r="G3070" t="s">
        <v>111</v>
      </c>
      <c r="H3070" t="s">
        <v>182</v>
      </c>
      <c r="I3070" t="s">
        <v>112</v>
      </c>
      <c r="J3070" t="s">
        <v>183</v>
      </c>
      <c r="K3070" t="s">
        <v>2967</v>
      </c>
      <c r="L3070" t="s">
        <v>2967</v>
      </c>
    </row>
    <row r="3071" spans="1:12" x14ac:dyDescent="0.3">
      <c r="A3071" t="s">
        <v>1778</v>
      </c>
      <c r="B3071" t="s">
        <v>732</v>
      </c>
      <c r="C3071" t="s">
        <v>711</v>
      </c>
      <c r="D3071" t="s">
        <v>261</v>
      </c>
      <c r="E3071" t="s">
        <v>568</v>
      </c>
      <c r="F3071" t="s">
        <v>175</v>
      </c>
      <c r="G3071" t="s">
        <v>111</v>
      </c>
      <c r="H3071" t="s">
        <v>187</v>
      </c>
      <c r="I3071" t="s">
        <v>112</v>
      </c>
      <c r="J3071" t="s">
        <v>183</v>
      </c>
      <c r="K3071" t="s">
        <v>1608</v>
      </c>
      <c r="L3071" t="s">
        <v>1608</v>
      </c>
    </row>
    <row r="3072" spans="1:12" x14ac:dyDescent="0.3">
      <c r="A3072" t="s">
        <v>1778</v>
      </c>
      <c r="B3072" t="s">
        <v>732</v>
      </c>
      <c r="C3072" t="s">
        <v>711</v>
      </c>
      <c r="D3072" t="s">
        <v>262</v>
      </c>
      <c r="E3072" t="s">
        <v>568</v>
      </c>
      <c r="F3072" t="s">
        <v>202</v>
      </c>
      <c r="G3072" t="s">
        <v>111</v>
      </c>
      <c r="H3072" t="s">
        <v>182</v>
      </c>
      <c r="I3072" t="s">
        <v>112</v>
      </c>
      <c r="J3072" t="s">
        <v>183</v>
      </c>
      <c r="K3072" t="s">
        <v>2968</v>
      </c>
      <c r="L3072" t="s">
        <v>2968</v>
      </c>
    </row>
    <row r="3073" spans="1:12" x14ac:dyDescent="0.3">
      <c r="A3073" t="s">
        <v>1778</v>
      </c>
      <c r="B3073" t="s">
        <v>732</v>
      </c>
      <c r="C3073" t="s">
        <v>711</v>
      </c>
      <c r="D3073" t="s">
        <v>263</v>
      </c>
      <c r="E3073" t="s">
        <v>568</v>
      </c>
      <c r="F3073" t="s">
        <v>141</v>
      </c>
      <c r="G3073" t="s">
        <v>111</v>
      </c>
      <c r="H3073" t="s">
        <v>182</v>
      </c>
      <c r="I3073" t="s">
        <v>112</v>
      </c>
      <c r="J3073" t="s">
        <v>183</v>
      </c>
      <c r="K3073" t="s">
        <v>1535</v>
      </c>
      <c r="L3073" t="s">
        <v>1535</v>
      </c>
    </row>
    <row r="3074" spans="1:12" x14ac:dyDescent="0.3">
      <c r="A3074" t="s">
        <v>1778</v>
      </c>
      <c r="B3074" t="s">
        <v>732</v>
      </c>
      <c r="C3074" t="s">
        <v>711</v>
      </c>
      <c r="D3074" t="s">
        <v>266</v>
      </c>
      <c r="E3074" t="s">
        <v>568</v>
      </c>
      <c r="F3074" t="s">
        <v>75</v>
      </c>
      <c r="G3074" t="s">
        <v>111</v>
      </c>
      <c r="H3074" t="s">
        <v>2999</v>
      </c>
      <c r="I3074" t="s">
        <v>112</v>
      </c>
      <c r="J3074" t="s">
        <v>2996</v>
      </c>
      <c r="K3074" t="s">
        <v>2829</v>
      </c>
      <c r="L3074" t="s">
        <v>2829</v>
      </c>
    </row>
    <row r="3075" spans="1:12" x14ac:dyDescent="0.3">
      <c r="A3075" t="s">
        <v>1778</v>
      </c>
      <c r="B3075" t="s">
        <v>732</v>
      </c>
      <c r="C3075" t="s">
        <v>711</v>
      </c>
      <c r="D3075" t="s">
        <v>267</v>
      </c>
      <c r="E3075" t="s">
        <v>568</v>
      </c>
      <c r="F3075" t="s">
        <v>143</v>
      </c>
      <c r="G3075" t="s">
        <v>111</v>
      </c>
      <c r="H3075" t="s">
        <v>2997</v>
      </c>
      <c r="I3075" t="s">
        <v>112</v>
      </c>
      <c r="J3075" t="s">
        <v>2998</v>
      </c>
      <c r="K3075" t="s">
        <v>2969</v>
      </c>
      <c r="L3075" t="s">
        <v>2969</v>
      </c>
    </row>
    <row r="3076" spans="1:12" x14ac:dyDescent="0.3">
      <c r="A3076" t="s">
        <v>1778</v>
      </c>
      <c r="B3076" t="s">
        <v>732</v>
      </c>
      <c r="C3076" t="s">
        <v>711</v>
      </c>
      <c r="D3076" t="s">
        <v>326</v>
      </c>
      <c r="E3076" t="s">
        <v>568</v>
      </c>
      <c r="F3076" t="s">
        <v>144</v>
      </c>
      <c r="G3076" t="s">
        <v>111</v>
      </c>
      <c r="H3076" t="s">
        <v>2997</v>
      </c>
      <c r="I3076" t="s">
        <v>112</v>
      </c>
      <c r="J3076" t="s">
        <v>2998</v>
      </c>
      <c r="K3076" t="s">
        <v>2970</v>
      </c>
      <c r="L3076" t="s">
        <v>2970</v>
      </c>
    </row>
    <row r="3077" spans="1:12" x14ac:dyDescent="0.3">
      <c r="A3077" t="s">
        <v>1778</v>
      </c>
      <c r="B3077" t="s">
        <v>732</v>
      </c>
      <c r="C3077" t="s">
        <v>711</v>
      </c>
      <c r="D3077" t="s">
        <v>269</v>
      </c>
      <c r="E3077" t="s">
        <v>568</v>
      </c>
      <c r="F3077" t="s">
        <v>145</v>
      </c>
      <c r="G3077" t="s">
        <v>111</v>
      </c>
      <c r="H3077" t="s">
        <v>187</v>
      </c>
      <c r="I3077" t="s">
        <v>112</v>
      </c>
      <c r="J3077" t="s">
        <v>183</v>
      </c>
      <c r="K3077" t="s">
        <v>1568</v>
      </c>
      <c r="L3077" t="s">
        <v>1568</v>
      </c>
    </row>
    <row r="3078" spans="1:12" x14ac:dyDescent="0.3">
      <c r="A3078" t="s">
        <v>1778</v>
      </c>
      <c r="B3078" t="s">
        <v>732</v>
      </c>
      <c r="C3078" t="s">
        <v>711</v>
      </c>
      <c r="D3078" t="s">
        <v>271</v>
      </c>
      <c r="E3078" t="s">
        <v>567</v>
      </c>
      <c r="F3078" t="s">
        <v>76</v>
      </c>
      <c r="G3078" t="s">
        <v>111</v>
      </c>
      <c r="H3078" t="s">
        <v>182</v>
      </c>
      <c r="I3078" t="s">
        <v>112</v>
      </c>
      <c r="J3078" t="s">
        <v>183</v>
      </c>
      <c r="K3078" t="s">
        <v>2937</v>
      </c>
      <c r="L3078" t="s">
        <v>2937</v>
      </c>
    </row>
    <row r="3079" spans="1:12" x14ac:dyDescent="0.3">
      <c r="A3079" t="s">
        <v>1778</v>
      </c>
      <c r="B3079" t="s">
        <v>732</v>
      </c>
      <c r="C3079" t="s">
        <v>711</v>
      </c>
      <c r="D3079" t="s">
        <v>272</v>
      </c>
      <c r="E3079" t="s">
        <v>567</v>
      </c>
      <c r="F3079" t="s">
        <v>52</v>
      </c>
      <c r="G3079" t="s">
        <v>111</v>
      </c>
      <c r="H3079" t="s">
        <v>2990</v>
      </c>
      <c r="I3079" t="s">
        <v>112</v>
      </c>
      <c r="J3079" t="s">
        <v>2991</v>
      </c>
      <c r="K3079" t="s">
        <v>2937</v>
      </c>
      <c r="L3079" t="s">
        <v>2937</v>
      </c>
    </row>
    <row r="3080" spans="1:12" x14ac:dyDescent="0.3">
      <c r="A3080" t="s">
        <v>1778</v>
      </c>
      <c r="B3080" t="s">
        <v>732</v>
      </c>
      <c r="C3080" t="s">
        <v>711</v>
      </c>
      <c r="D3080" t="s">
        <v>327</v>
      </c>
      <c r="E3080" t="s">
        <v>567</v>
      </c>
      <c r="F3080" t="s">
        <v>104</v>
      </c>
      <c r="G3080" t="s">
        <v>111</v>
      </c>
      <c r="H3080" t="s">
        <v>182</v>
      </c>
      <c r="I3080" t="s">
        <v>112</v>
      </c>
      <c r="J3080" t="s">
        <v>183</v>
      </c>
      <c r="K3080" t="s">
        <v>2932</v>
      </c>
      <c r="L3080" t="s">
        <v>2932</v>
      </c>
    </row>
    <row r="3081" spans="1:12" x14ac:dyDescent="0.3">
      <c r="A3081" t="s">
        <v>1778</v>
      </c>
      <c r="B3081" t="s">
        <v>732</v>
      </c>
      <c r="C3081" t="s">
        <v>711</v>
      </c>
      <c r="D3081" t="s">
        <v>274</v>
      </c>
      <c r="E3081" t="s">
        <v>567</v>
      </c>
      <c r="F3081" t="s">
        <v>146</v>
      </c>
      <c r="G3081" t="s">
        <v>111</v>
      </c>
      <c r="H3081" t="s">
        <v>187</v>
      </c>
      <c r="I3081" t="s">
        <v>112</v>
      </c>
      <c r="J3081" t="s">
        <v>183</v>
      </c>
      <c r="K3081" t="s">
        <v>2946</v>
      </c>
      <c r="L3081" t="s">
        <v>2946</v>
      </c>
    </row>
    <row r="3082" spans="1:12" x14ac:dyDescent="0.3">
      <c r="A3082" t="s">
        <v>1778</v>
      </c>
      <c r="B3082" t="s">
        <v>732</v>
      </c>
      <c r="C3082" t="s">
        <v>711</v>
      </c>
      <c r="D3082" t="s">
        <v>275</v>
      </c>
      <c r="E3082" t="s">
        <v>567</v>
      </c>
      <c r="F3082" t="s">
        <v>148</v>
      </c>
      <c r="G3082" t="s">
        <v>111</v>
      </c>
      <c r="H3082" t="s">
        <v>182</v>
      </c>
      <c r="I3082" t="s">
        <v>112</v>
      </c>
      <c r="J3082" t="s">
        <v>183</v>
      </c>
      <c r="K3082" t="s">
        <v>1676</v>
      </c>
      <c r="L3082" t="s">
        <v>1676</v>
      </c>
    </row>
    <row r="3083" spans="1:12" x14ac:dyDescent="0.3">
      <c r="A3083" t="s">
        <v>1778</v>
      </c>
      <c r="B3083" t="s">
        <v>732</v>
      </c>
      <c r="C3083" t="s">
        <v>711</v>
      </c>
      <c r="D3083" t="s">
        <v>276</v>
      </c>
      <c r="E3083" t="s">
        <v>567</v>
      </c>
      <c r="F3083" t="s">
        <v>149</v>
      </c>
      <c r="G3083" t="s">
        <v>111</v>
      </c>
      <c r="H3083" t="s">
        <v>182</v>
      </c>
      <c r="I3083" t="s">
        <v>112</v>
      </c>
      <c r="J3083" t="s">
        <v>183</v>
      </c>
      <c r="K3083" t="s">
        <v>1568</v>
      </c>
      <c r="L3083" t="s">
        <v>1568</v>
      </c>
    </row>
    <row r="3084" spans="1:12" x14ac:dyDescent="0.3">
      <c r="A3084" t="s">
        <v>1778</v>
      </c>
      <c r="B3084" t="s">
        <v>732</v>
      </c>
      <c r="C3084" t="s">
        <v>711</v>
      </c>
      <c r="D3084" t="s">
        <v>278</v>
      </c>
      <c r="E3084" t="s">
        <v>567</v>
      </c>
      <c r="F3084" t="s">
        <v>203</v>
      </c>
      <c r="G3084" t="s">
        <v>111</v>
      </c>
      <c r="H3084" t="s">
        <v>182</v>
      </c>
      <c r="I3084" t="s">
        <v>112</v>
      </c>
      <c r="J3084" t="s">
        <v>183</v>
      </c>
      <c r="K3084" t="s">
        <v>1608</v>
      </c>
      <c r="L3084" t="s">
        <v>1608</v>
      </c>
    </row>
    <row r="3085" spans="1:12" x14ac:dyDescent="0.3">
      <c r="A3085" t="s">
        <v>1778</v>
      </c>
      <c r="B3085" t="s">
        <v>732</v>
      </c>
      <c r="C3085" t="s">
        <v>711</v>
      </c>
      <c r="D3085" t="s">
        <v>280</v>
      </c>
      <c r="E3085" t="s">
        <v>567</v>
      </c>
      <c r="F3085" t="s">
        <v>71</v>
      </c>
      <c r="G3085" t="s">
        <v>111</v>
      </c>
      <c r="H3085" t="s">
        <v>182</v>
      </c>
      <c r="I3085" t="s">
        <v>112</v>
      </c>
      <c r="J3085" t="s">
        <v>183</v>
      </c>
      <c r="K3085" t="s">
        <v>2903</v>
      </c>
      <c r="L3085" t="s">
        <v>2903</v>
      </c>
    </row>
    <row r="3086" spans="1:12" x14ac:dyDescent="0.3">
      <c r="A3086" t="s">
        <v>1778</v>
      </c>
      <c r="B3086" t="s">
        <v>732</v>
      </c>
      <c r="C3086" t="s">
        <v>711</v>
      </c>
      <c r="D3086" t="s">
        <v>282</v>
      </c>
      <c r="E3086" t="s">
        <v>567</v>
      </c>
      <c r="F3086" t="s">
        <v>90</v>
      </c>
      <c r="G3086" t="s">
        <v>111</v>
      </c>
      <c r="H3086" t="s">
        <v>182</v>
      </c>
      <c r="I3086" t="s">
        <v>112</v>
      </c>
      <c r="J3086" t="s">
        <v>183</v>
      </c>
      <c r="K3086" t="s">
        <v>2971</v>
      </c>
      <c r="L3086" t="s">
        <v>2971</v>
      </c>
    </row>
    <row r="3087" spans="1:12" x14ac:dyDescent="0.3">
      <c r="A3087" t="s">
        <v>1778</v>
      </c>
      <c r="B3087" t="s">
        <v>732</v>
      </c>
      <c r="C3087" t="s">
        <v>711</v>
      </c>
      <c r="D3087" t="s">
        <v>329</v>
      </c>
      <c r="E3087" t="s">
        <v>567</v>
      </c>
      <c r="F3087" t="s">
        <v>92</v>
      </c>
      <c r="G3087" t="s">
        <v>111</v>
      </c>
      <c r="H3087" t="s">
        <v>182</v>
      </c>
      <c r="I3087" t="s">
        <v>112</v>
      </c>
      <c r="J3087" t="s">
        <v>183</v>
      </c>
      <c r="K3087" t="s">
        <v>2928</v>
      </c>
      <c r="L3087" t="s">
        <v>2928</v>
      </c>
    </row>
    <row r="3088" spans="1:12" x14ac:dyDescent="0.3">
      <c r="A3088" t="s">
        <v>1778</v>
      </c>
      <c r="B3088" t="s">
        <v>732</v>
      </c>
      <c r="C3088" t="s">
        <v>711</v>
      </c>
      <c r="D3088" t="s">
        <v>283</v>
      </c>
      <c r="E3088" t="s">
        <v>567</v>
      </c>
      <c r="F3088" t="s">
        <v>63</v>
      </c>
      <c r="G3088" t="s">
        <v>111</v>
      </c>
      <c r="H3088" t="s">
        <v>187</v>
      </c>
      <c r="I3088" t="s">
        <v>112</v>
      </c>
      <c r="J3088" t="s">
        <v>183</v>
      </c>
      <c r="K3088" t="s">
        <v>1574</v>
      </c>
      <c r="L3088" t="s">
        <v>1574</v>
      </c>
    </row>
    <row r="3089" spans="1:12" x14ac:dyDescent="0.3">
      <c r="A3089" t="s">
        <v>1778</v>
      </c>
      <c r="B3089" t="s">
        <v>732</v>
      </c>
      <c r="C3089" t="s">
        <v>711</v>
      </c>
      <c r="D3089" t="s">
        <v>284</v>
      </c>
      <c r="E3089" t="s">
        <v>567</v>
      </c>
      <c r="F3089" t="s">
        <v>151</v>
      </c>
      <c r="G3089" t="s">
        <v>111</v>
      </c>
      <c r="H3089" t="s">
        <v>184</v>
      </c>
      <c r="I3089" t="s">
        <v>112</v>
      </c>
      <c r="J3089" t="s">
        <v>185</v>
      </c>
      <c r="K3089" t="s">
        <v>1600</v>
      </c>
      <c r="L3089" t="s">
        <v>1600</v>
      </c>
    </row>
    <row r="3090" spans="1:12" x14ac:dyDescent="0.3">
      <c r="A3090" t="s">
        <v>1778</v>
      </c>
      <c r="B3090" t="s">
        <v>732</v>
      </c>
      <c r="C3090" t="s">
        <v>711</v>
      </c>
      <c r="D3090" t="s">
        <v>285</v>
      </c>
      <c r="E3090" t="s">
        <v>567</v>
      </c>
      <c r="F3090" t="s">
        <v>195</v>
      </c>
      <c r="G3090" t="s">
        <v>111</v>
      </c>
      <c r="H3090" t="s">
        <v>182</v>
      </c>
      <c r="I3090" t="s">
        <v>112</v>
      </c>
      <c r="J3090" t="s">
        <v>183</v>
      </c>
      <c r="K3090" t="s">
        <v>2928</v>
      </c>
      <c r="L3090" t="s">
        <v>2928</v>
      </c>
    </row>
    <row r="3091" spans="1:12" x14ac:dyDescent="0.3">
      <c r="A3091" t="s">
        <v>1778</v>
      </c>
      <c r="B3091" t="s">
        <v>732</v>
      </c>
      <c r="C3091" t="s">
        <v>711</v>
      </c>
      <c r="D3091" t="s">
        <v>330</v>
      </c>
      <c r="E3091" t="s">
        <v>567</v>
      </c>
      <c r="F3091" t="s">
        <v>177</v>
      </c>
      <c r="G3091" t="s">
        <v>111</v>
      </c>
      <c r="H3091" t="s">
        <v>187</v>
      </c>
      <c r="I3091" t="s">
        <v>112</v>
      </c>
      <c r="J3091" t="s">
        <v>183</v>
      </c>
      <c r="K3091" t="s">
        <v>1551</v>
      </c>
      <c r="L3091" t="s">
        <v>1551</v>
      </c>
    </row>
    <row r="3092" spans="1:12" x14ac:dyDescent="0.3">
      <c r="A3092" t="s">
        <v>1778</v>
      </c>
      <c r="B3092" t="s">
        <v>732</v>
      </c>
      <c r="C3092" t="s">
        <v>711</v>
      </c>
      <c r="D3092" t="s">
        <v>332</v>
      </c>
      <c r="E3092" t="s">
        <v>567</v>
      </c>
      <c r="F3092" t="s">
        <v>152</v>
      </c>
      <c r="G3092" t="s">
        <v>111</v>
      </c>
      <c r="H3092" t="s">
        <v>182</v>
      </c>
      <c r="I3092" t="s">
        <v>112</v>
      </c>
      <c r="J3092" t="s">
        <v>183</v>
      </c>
      <c r="K3092" t="s">
        <v>2829</v>
      </c>
      <c r="L3092" t="s">
        <v>2829</v>
      </c>
    </row>
    <row r="3093" spans="1:12" x14ac:dyDescent="0.3">
      <c r="A3093" t="s">
        <v>1778</v>
      </c>
      <c r="B3093" t="s">
        <v>732</v>
      </c>
      <c r="C3093" t="s">
        <v>711</v>
      </c>
      <c r="D3093" t="s">
        <v>286</v>
      </c>
      <c r="E3093" t="s">
        <v>567</v>
      </c>
      <c r="F3093" t="s">
        <v>67</v>
      </c>
      <c r="G3093" t="s">
        <v>111</v>
      </c>
      <c r="H3093" t="s">
        <v>182</v>
      </c>
      <c r="I3093" t="s">
        <v>112</v>
      </c>
      <c r="J3093" t="s">
        <v>183</v>
      </c>
      <c r="K3093" t="s">
        <v>1559</v>
      </c>
      <c r="L3093" t="s">
        <v>1559</v>
      </c>
    </row>
    <row r="3094" spans="1:12" x14ac:dyDescent="0.3">
      <c r="A3094" t="s">
        <v>1778</v>
      </c>
      <c r="B3094" t="s">
        <v>732</v>
      </c>
      <c r="C3094" t="s">
        <v>711</v>
      </c>
      <c r="D3094" t="s">
        <v>287</v>
      </c>
      <c r="E3094" t="s">
        <v>567</v>
      </c>
      <c r="F3094" t="s">
        <v>196</v>
      </c>
      <c r="G3094" t="s">
        <v>111</v>
      </c>
      <c r="H3094" t="s">
        <v>182</v>
      </c>
      <c r="I3094" t="s">
        <v>112</v>
      </c>
      <c r="J3094" t="s">
        <v>183</v>
      </c>
      <c r="K3094" t="s">
        <v>2972</v>
      </c>
      <c r="L3094" t="s">
        <v>2972</v>
      </c>
    </row>
    <row r="3095" spans="1:12" x14ac:dyDescent="0.3">
      <c r="A3095" t="s">
        <v>1778</v>
      </c>
      <c r="B3095" t="s">
        <v>732</v>
      </c>
      <c r="C3095" t="s">
        <v>711</v>
      </c>
      <c r="D3095" t="s">
        <v>288</v>
      </c>
      <c r="E3095" t="s">
        <v>567</v>
      </c>
      <c r="F3095" t="s">
        <v>178</v>
      </c>
      <c r="G3095" t="s">
        <v>111</v>
      </c>
      <c r="H3095" t="s">
        <v>2990</v>
      </c>
      <c r="I3095" t="s">
        <v>112</v>
      </c>
      <c r="J3095" t="s">
        <v>2991</v>
      </c>
      <c r="K3095" t="s">
        <v>2973</v>
      </c>
      <c r="L3095" t="s">
        <v>2973</v>
      </c>
    </row>
    <row r="3096" spans="1:12" x14ac:dyDescent="0.3">
      <c r="A3096" t="s">
        <v>1778</v>
      </c>
      <c r="B3096" t="s">
        <v>732</v>
      </c>
      <c r="C3096" t="s">
        <v>711</v>
      </c>
      <c r="D3096" t="s">
        <v>289</v>
      </c>
      <c r="E3096" t="s">
        <v>567</v>
      </c>
      <c r="F3096" t="s">
        <v>179</v>
      </c>
      <c r="G3096" t="s">
        <v>111</v>
      </c>
      <c r="H3096" t="s">
        <v>182</v>
      </c>
      <c r="I3096" t="s">
        <v>112</v>
      </c>
      <c r="J3096" t="s">
        <v>183</v>
      </c>
      <c r="K3096" t="s">
        <v>1635</v>
      </c>
      <c r="L3096" t="s">
        <v>1635</v>
      </c>
    </row>
    <row r="3097" spans="1:12" x14ac:dyDescent="0.3">
      <c r="A3097" t="s">
        <v>1778</v>
      </c>
      <c r="B3097" t="s">
        <v>732</v>
      </c>
      <c r="C3097" t="s">
        <v>711</v>
      </c>
      <c r="D3097" t="s">
        <v>290</v>
      </c>
      <c r="E3097" t="s">
        <v>567</v>
      </c>
      <c r="F3097" t="s">
        <v>153</v>
      </c>
      <c r="G3097" t="s">
        <v>111</v>
      </c>
      <c r="H3097" t="s">
        <v>182</v>
      </c>
      <c r="I3097" t="s">
        <v>112</v>
      </c>
      <c r="J3097" t="s">
        <v>183</v>
      </c>
      <c r="K3097" t="s">
        <v>2819</v>
      </c>
      <c r="L3097" t="s">
        <v>2819</v>
      </c>
    </row>
    <row r="3098" spans="1:12" x14ac:dyDescent="0.3">
      <c r="A3098" t="s">
        <v>1778</v>
      </c>
      <c r="B3098" t="s">
        <v>732</v>
      </c>
      <c r="C3098" t="s">
        <v>711</v>
      </c>
      <c r="D3098" t="s">
        <v>291</v>
      </c>
      <c r="E3098" t="s">
        <v>567</v>
      </c>
      <c r="F3098" t="s">
        <v>154</v>
      </c>
      <c r="G3098" t="s">
        <v>111</v>
      </c>
      <c r="H3098" t="s">
        <v>182</v>
      </c>
      <c r="I3098" t="s">
        <v>112</v>
      </c>
      <c r="J3098" t="s">
        <v>183</v>
      </c>
      <c r="K3098" t="s">
        <v>2974</v>
      </c>
      <c r="L3098" t="s">
        <v>2974</v>
      </c>
    </row>
    <row r="3099" spans="1:12" x14ac:dyDescent="0.3">
      <c r="A3099" t="s">
        <v>1778</v>
      </c>
      <c r="B3099" t="s">
        <v>732</v>
      </c>
      <c r="C3099" t="s">
        <v>711</v>
      </c>
      <c r="D3099" t="s">
        <v>292</v>
      </c>
      <c r="E3099" t="s">
        <v>567</v>
      </c>
      <c r="F3099" t="s">
        <v>55</v>
      </c>
      <c r="G3099" t="s">
        <v>111</v>
      </c>
      <c r="H3099" t="s">
        <v>2990</v>
      </c>
      <c r="I3099" t="s">
        <v>112</v>
      </c>
      <c r="J3099" t="s">
        <v>2991</v>
      </c>
      <c r="K3099" t="s">
        <v>2861</v>
      </c>
      <c r="L3099" t="s">
        <v>2861</v>
      </c>
    </row>
    <row r="3100" spans="1:12" x14ac:dyDescent="0.3">
      <c r="A3100" t="s">
        <v>1778</v>
      </c>
      <c r="B3100" t="s">
        <v>732</v>
      </c>
      <c r="C3100" t="s">
        <v>711</v>
      </c>
      <c r="D3100" t="s">
        <v>333</v>
      </c>
      <c r="E3100" t="s">
        <v>567</v>
      </c>
      <c r="F3100" t="s">
        <v>197</v>
      </c>
      <c r="G3100" t="s">
        <v>111</v>
      </c>
      <c r="H3100" t="s">
        <v>187</v>
      </c>
      <c r="I3100" t="s">
        <v>112</v>
      </c>
      <c r="J3100" t="s">
        <v>183</v>
      </c>
      <c r="K3100" t="s">
        <v>1568</v>
      </c>
      <c r="L3100" t="s">
        <v>1568</v>
      </c>
    </row>
    <row r="3101" spans="1:12" x14ac:dyDescent="0.3">
      <c r="A3101" t="s">
        <v>1778</v>
      </c>
      <c r="B3101" t="s">
        <v>732</v>
      </c>
      <c r="C3101" t="s">
        <v>711</v>
      </c>
      <c r="D3101" t="s">
        <v>293</v>
      </c>
      <c r="E3101" t="s">
        <v>567</v>
      </c>
      <c r="F3101" t="s">
        <v>72</v>
      </c>
      <c r="G3101" t="s">
        <v>111</v>
      </c>
      <c r="H3101" t="s">
        <v>182</v>
      </c>
      <c r="I3101" t="s">
        <v>112</v>
      </c>
      <c r="J3101" t="s">
        <v>183</v>
      </c>
      <c r="K3101" t="s">
        <v>2841</v>
      </c>
      <c r="L3101" t="s">
        <v>2841</v>
      </c>
    </row>
    <row r="3102" spans="1:12" x14ac:dyDescent="0.3">
      <c r="A3102" t="s">
        <v>1778</v>
      </c>
      <c r="B3102" t="s">
        <v>732</v>
      </c>
      <c r="C3102" t="s">
        <v>711</v>
      </c>
      <c r="D3102" t="s">
        <v>334</v>
      </c>
      <c r="E3102" t="s">
        <v>567</v>
      </c>
      <c r="F3102" t="s">
        <v>155</v>
      </c>
      <c r="G3102" t="s">
        <v>111</v>
      </c>
      <c r="H3102" t="s">
        <v>2990</v>
      </c>
      <c r="I3102" t="s">
        <v>112</v>
      </c>
      <c r="J3102" t="s">
        <v>2991</v>
      </c>
      <c r="K3102" t="s">
        <v>1563</v>
      </c>
      <c r="L3102" t="s">
        <v>1563</v>
      </c>
    </row>
    <row r="3103" spans="1:12" x14ac:dyDescent="0.3">
      <c r="A3103" t="s">
        <v>1778</v>
      </c>
      <c r="B3103" t="s">
        <v>732</v>
      </c>
      <c r="C3103" t="s">
        <v>711</v>
      </c>
      <c r="D3103" t="s">
        <v>294</v>
      </c>
      <c r="E3103" t="s">
        <v>567</v>
      </c>
      <c r="F3103" t="s">
        <v>156</v>
      </c>
      <c r="G3103" t="s">
        <v>111</v>
      </c>
      <c r="H3103" t="s">
        <v>2997</v>
      </c>
      <c r="I3103" t="s">
        <v>112</v>
      </c>
      <c r="J3103" t="s">
        <v>2998</v>
      </c>
      <c r="K3103" t="s">
        <v>2975</v>
      </c>
      <c r="L3103" t="s">
        <v>2975</v>
      </c>
    </row>
    <row r="3104" spans="1:12" x14ac:dyDescent="0.3">
      <c r="A3104" t="s">
        <v>1778</v>
      </c>
      <c r="B3104" t="s">
        <v>732</v>
      </c>
      <c r="C3104" t="s">
        <v>711</v>
      </c>
      <c r="D3104" t="s">
        <v>295</v>
      </c>
      <c r="E3104" t="s">
        <v>567</v>
      </c>
      <c r="F3104" t="s">
        <v>103</v>
      </c>
      <c r="G3104" t="s">
        <v>111</v>
      </c>
      <c r="H3104" t="s">
        <v>3000</v>
      </c>
      <c r="I3104" t="s">
        <v>112</v>
      </c>
      <c r="J3104" t="s">
        <v>185</v>
      </c>
      <c r="K3104" t="s">
        <v>1548</v>
      </c>
      <c r="L3104" t="s">
        <v>1548</v>
      </c>
    </row>
    <row r="3105" spans="1:12" x14ac:dyDescent="0.3">
      <c r="A3105" t="s">
        <v>1778</v>
      </c>
      <c r="B3105" t="s">
        <v>732</v>
      </c>
      <c r="C3105" t="s">
        <v>711</v>
      </c>
      <c r="D3105" t="s">
        <v>297</v>
      </c>
      <c r="E3105" t="s">
        <v>567</v>
      </c>
      <c r="F3105" t="s">
        <v>180</v>
      </c>
      <c r="G3105" t="s">
        <v>111</v>
      </c>
      <c r="H3105" t="s">
        <v>187</v>
      </c>
      <c r="I3105" t="s">
        <v>112</v>
      </c>
      <c r="J3105" t="s">
        <v>183</v>
      </c>
      <c r="K3105" t="s">
        <v>2976</v>
      </c>
      <c r="L3105" t="s">
        <v>2976</v>
      </c>
    </row>
    <row r="3106" spans="1:12" x14ac:dyDescent="0.3">
      <c r="A3106" t="s">
        <v>1778</v>
      </c>
      <c r="B3106" t="s">
        <v>732</v>
      </c>
      <c r="C3106" t="s">
        <v>711</v>
      </c>
      <c r="D3106" t="s">
        <v>298</v>
      </c>
      <c r="E3106" t="s">
        <v>567</v>
      </c>
      <c r="F3106" t="s">
        <v>158</v>
      </c>
      <c r="G3106" t="s">
        <v>111</v>
      </c>
      <c r="H3106" t="s">
        <v>187</v>
      </c>
      <c r="I3106" t="s">
        <v>112</v>
      </c>
      <c r="J3106" t="s">
        <v>183</v>
      </c>
      <c r="K3106" t="s">
        <v>1551</v>
      </c>
      <c r="L3106" t="s">
        <v>1551</v>
      </c>
    </row>
    <row r="3107" spans="1:12" x14ac:dyDescent="0.3">
      <c r="A3107" t="s">
        <v>1778</v>
      </c>
      <c r="B3107" t="s">
        <v>732</v>
      </c>
      <c r="C3107" t="s">
        <v>711</v>
      </c>
      <c r="D3107" t="s">
        <v>335</v>
      </c>
      <c r="E3107" t="s">
        <v>567</v>
      </c>
      <c r="F3107" t="s">
        <v>199</v>
      </c>
      <c r="G3107" t="s">
        <v>111</v>
      </c>
      <c r="H3107" t="s">
        <v>182</v>
      </c>
      <c r="I3107" t="s">
        <v>112</v>
      </c>
      <c r="J3107" t="s">
        <v>183</v>
      </c>
      <c r="K3107" t="s">
        <v>1551</v>
      </c>
      <c r="L3107" t="s">
        <v>1551</v>
      </c>
    </row>
    <row r="3108" spans="1:12" x14ac:dyDescent="0.3">
      <c r="A3108" t="s">
        <v>1778</v>
      </c>
      <c r="B3108" t="s">
        <v>732</v>
      </c>
      <c r="C3108" t="s">
        <v>711</v>
      </c>
      <c r="D3108" t="s">
        <v>300</v>
      </c>
      <c r="E3108" t="s">
        <v>567</v>
      </c>
      <c r="F3108" t="s">
        <v>181</v>
      </c>
      <c r="G3108" t="s">
        <v>111</v>
      </c>
      <c r="H3108" t="s">
        <v>184</v>
      </c>
      <c r="I3108" t="s">
        <v>112</v>
      </c>
      <c r="J3108" t="s">
        <v>185</v>
      </c>
      <c r="K3108" t="s">
        <v>2977</v>
      </c>
      <c r="L3108" t="s">
        <v>2977</v>
      </c>
    </row>
    <row r="3109" spans="1:12" x14ac:dyDescent="0.3">
      <c r="A3109" t="s">
        <v>1778</v>
      </c>
      <c r="B3109" t="s">
        <v>732</v>
      </c>
      <c r="C3109" t="s">
        <v>711</v>
      </c>
      <c r="D3109" t="s">
        <v>208</v>
      </c>
      <c r="E3109" t="s">
        <v>567</v>
      </c>
      <c r="F3109" t="s">
        <v>161</v>
      </c>
      <c r="G3109" t="s">
        <v>111</v>
      </c>
      <c r="H3109" t="s">
        <v>2990</v>
      </c>
      <c r="I3109" t="s">
        <v>112</v>
      </c>
      <c r="J3109" t="s">
        <v>2991</v>
      </c>
      <c r="K3109" t="s">
        <v>2904</v>
      </c>
      <c r="L3109" t="s">
        <v>2904</v>
      </c>
    </row>
    <row r="3110" spans="1:12" x14ac:dyDescent="0.3">
      <c r="A3110" t="s">
        <v>1778</v>
      </c>
      <c r="B3110" t="s">
        <v>732</v>
      </c>
      <c r="C3110" t="s">
        <v>711</v>
      </c>
      <c r="D3110" t="s">
        <v>1580</v>
      </c>
      <c r="E3110" t="s">
        <v>569</v>
      </c>
      <c r="F3110" t="s">
        <v>49</v>
      </c>
      <c r="G3110" t="s">
        <v>111</v>
      </c>
      <c r="H3110" t="s">
        <v>182</v>
      </c>
      <c r="I3110" t="s">
        <v>112</v>
      </c>
      <c r="J3110" t="s">
        <v>183</v>
      </c>
      <c r="K3110" t="s">
        <v>1535</v>
      </c>
      <c r="L3110" t="s">
        <v>1535</v>
      </c>
    </row>
    <row r="3111" spans="1:12" x14ac:dyDescent="0.3">
      <c r="A3111" t="s">
        <v>1778</v>
      </c>
      <c r="B3111" t="s">
        <v>732</v>
      </c>
      <c r="C3111" t="s">
        <v>711</v>
      </c>
      <c r="D3111" t="s">
        <v>1581</v>
      </c>
      <c r="E3111" t="s">
        <v>569</v>
      </c>
      <c r="F3111" t="s">
        <v>115</v>
      </c>
      <c r="G3111" t="s">
        <v>111</v>
      </c>
      <c r="H3111" t="s">
        <v>182</v>
      </c>
      <c r="I3111" t="s">
        <v>112</v>
      </c>
      <c r="J3111" t="s">
        <v>183</v>
      </c>
      <c r="K3111" t="s">
        <v>1551</v>
      </c>
      <c r="L3111" t="s">
        <v>1551</v>
      </c>
    </row>
    <row r="3112" spans="1:12" x14ac:dyDescent="0.3">
      <c r="A3112" t="s">
        <v>1778</v>
      </c>
      <c r="B3112" t="s">
        <v>732</v>
      </c>
      <c r="C3112" t="s">
        <v>711</v>
      </c>
      <c r="D3112" t="s">
        <v>1583</v>
      </c>
      <c r="E3112" t="s">
        <v>569</v>
      </c>
      <c r="F3112" t="s">
        <v>59</v>
      </c>
      <c r="G3112" t="s">
        <v>111</v>
      </c>
      <c r="H3112" t="s">
        <v>2999</v>
      </c>
      <c r="I3112" t="s">
        <v>112</v>
      </c>
      <c r="J3112" t="s">
        <v>2996</v>
      </c>
      <c r="K3112" t="s">
        <v>2929</v>
      </c>
      <c r="L3112" t="s">
        <v>2929</v>
      </c>
    </row>
    <row r="3113" spans="1:12" x14ac:dyDescent="0.3">
      <c r="A3113" t="s">
        <v>1778</v>
      </c>
      <c r="B3113" t="s">
        <v>732</v>
      </c>
      <c r="C3113" t="s">
        <v>711</v>
      </c>
      <c r="D3113" t="s">
        <v>1584</v>
      </c>
      <c r="E3113" t="s">
        <v>569</v>
      </c>
      <c r="F3113" t="s">
        <v>117</v>
      </c>
      <c r="G3113" t="s">
        <v>111</v>
      </c>
      <c r="H3113" t="s">
        <v>182</v>
      </c>
      <c r="I3113" t="s">
        <v>112</v>
      </c>
      <c r="J3113" t="s">
        <v>183</v>
      </c>
      <c r="K3113" t="s">
        <v>2955</v>
      </c>
      <c r="L3113" t="s">
        <v>2955</v>
      </c>
    </row>
    <row r="3114" spans="1:12" x14ac:dyDescent="0.3">
      <c r="A3114" t="s">
        <v>1778</v>
      </c>
      <c r="B3114" t="s">
        <v>732</v>
      </c>
      <c r="C3114" t="s">
        <v>711</v>
      </c>
      <c r="D3114" t="s">
        <v>1585</v>
      </c>
      <c r="E3114" t="s">
        <v>569</v>
      </c>
      <c r="F3114" t="s">
        <v>188</v>
      </c>
      <c r="G3114" t="s">
        <v>111</v>
      </c>
      <c r="H3114" t="s">
        <v>184</v>
      </c>
      <c r="I3114" t="s">
        <v>112</v>
      </c>
      <c r="J3114" t="s">
        <v>185</v>
      </c>
      <c r="K3114" t="s">
        <v>1567</v>
      </c>
      <c r="L3114" t="s">
        <v>1567</v>
      </c>
    </row>
    <row r="3115" spans="1:12" x14ac:dyDescent="0.3">
      <c r="A3115" t="s">
        <v>1778</v>
      </c>
      <c r="B3115" t="s">
        <v>732</v>
      </c>
      <c r="C3115" t="s">
        <v>711</v>
      </c>
      <c r="D3115" t="s">
        <v>1586</v>
      </c>
      <c r="E3115" t="s">
        <v>569</v>
      </c>
      <c r="F3115" t="s">
        <v>120</v>
      </c>
      <c r="G3115" t="s">
        <v>111</v>
      </c>
      <c r="H3115" t="s">
        <v>182</v>
      </c>
      <c r="I3115" t="s">
        <v>112</v>
      </c>
      <c r="J3115" t="s">
        <v>183</v>
      </c>
      <c r="K3115" t="s">
        <v>1559</v>
      </c>
      <c r="L3115" t="s">
        <v>1559</v>
      </c>
    </row>
    <row r="3116" spans="1:12" x14ac:dyDescent="0.3">
      <c r="A3116" t="s">
        <v>1778</v>
      </c>
      <c r="B3116" t="s">
        <v>732</v>
      </c>
      <c r="C3116" t="s">
        <v>711</v>
      </c>
      <c r="D3116" t="s">
        <v>1587</v>
      </c>
      <c r="E3116" t="s">
        <v>569</v>
      </c>
      <c r="F3116" t="s">
        <v>164</v>
      </c>
      <c r="G3116" t="s">
        <v>111</v>
      </c>
      <c r="H3116" t="s">
        <v>182</v>
      </c>
      <c r="I3116" t="s">
        <v>112</v>
      </c>
      <c r="J3116" t="s">
        <v>183</v>
      </c>
      <c r="K3116" t="s">
        <v>2956</v>
      </c>
      <c r="L3116" t="s">
        <v>2956</v>
      </c>
    </row>
    <row r="3117" spans="1:12" x14ac:dyDescent="0.3">
      <c r="A3117" t="s">
        <v>1778</v>
      </c>
      <c r="B3117" t="s">
        <v>732</v>
      </c>
      <c r="C3117" t="s">
        <v>711</v>
      </c>
      <c r="D3117" t="s">
        <v>1588</v>
      </c>
      <c r="E3117" t="s">
        <v>569</v>
      </c>
      <c r="F3117" t="s">
        <v>53</v>
      </c>
      <c r="G3117" t="s">
        <v>111</v>
      </c>
      <c r="H3117" t="s">
        <v>182</v>
      </c>
      <c r="I3117" t="s">
        <v>112</v>
      </c>
      <c r="J3117" t="s">
        <v>183</v>
      </c>
      <c r="K3117" t="s">
        <v>2957</v>
      </c>
      <c r="L3117" t="s">
        <v>2957</v>
      </c>
    </row>
    <row r="3118" spans="1:12" x14ac:dyDescent="0.3">
      <c r="A3118" t="s">
        <v>1778</v>
      </c>
      <c r="B3118" t="s">
        <v>732</v>
      </c>
      <c r="C3118" t="s">
        <v>711</v>
      </c>
      <c r="D3118" t="s">
        <v>1589</v>
      </c>
      <c r="E3118" t="s">
        <v>569</v>
      </c>
      <c r="F3118" t="s">
        <v>69</v>
      </c>
      <c r="G3118" t="s">
        <v>111</v>
      </c>
      <c r="H3118" t="s">
        <v>182</v>
      </c>
      <c r="I3118" t="s">
        <v>112</v>
      </c>
      <c r="J3118" t="s">
        <v>183</v>
      </c>
      <c r="K3118" t="s">
        <v>1555</v>
      </c>
      <c r="L3118" t="s">
        <v>1555</v>
      </c>
    </row>
    <row r="3119" spans="1:12" x14ac:dyDescent="0.3">
      <c r="A3119" t="s">
        <v>1778</v>
      </c>
      <c r="B3119" t="s">
        <v>732</v>
      </c>
      <c r="C3119" t="s">
        <v>711</v>
      </c>
      <c r="D3119" t="s">
        <v>1590</v>
      </c>
      <c r="E3119" t="s">
        <v>569</v>
      </c>
      <c r="F3119" t="s">
        <v>122</v>
      </c>
      <c r="G3119" t="s">
        <v>111</v>
      </c>
      <c r="H3119" t="s">
        <v>182</v>
      </c>
      <c r="I3119" t="s">
        <v>112</v>
      </c>
      <c r="J3119" t="s">
        <v>183</v>
      </c>
      <c r="K3119" t="s">
        <v>2822</v>
      </c>
      <c r="L3119" t="s">
        <v>2822</v>
      </c>
    </row>
    <row r="3120" spans="1:12" x14ac:dyDescent="0.3">
      <c r="A3120" t="s">
        <v>1778</v>
      </c>
      <c r="B3120" t="s">
        <v>732</v>
      </c>
      <c r="C3120" t="s">
        <v>711</v>
      </c>
      <c r="D3120" t="s">
        <v>1591</v>
      </c>
      <c r="E3120" t="s">
        <v>569</v>
      </c>
      <c r="F3120" t="s">
        <v>165</v>
      </c>
      <c r="G3120" t="s">
        <v>111</v>
      </c>
      <c r="H3120" t="s">
        <v>2995</v>
      </c>
      <c r="I3120" t="s">
        <v>112</v>
      </c>
      <c r="J3120" t="s">
        <v>2996</v>
      </c>
      <c r="K3120" t="s">
        <v>2958</v>
      </c>
      <c r="L3120" t="s">
        <v>2958</v>
      </c>
    </row>
    <row r="3121" spans="1:12" x14ac:dyDescent="0.3">
      <c r="A3121" t="s">
        <v>1778</v>
      </c>
      <c r="B3121" t="s">
        <v>732</v>
      </c>
      <c r="C3121" t="s">
        <v>711</v>
      </c>
      <c r="D3121" t="s">
        <v>1592</v>
      </c>
      <c r="E3121" t="s">
        <v>569</v>
      </c>
      <c r="F3121" t="s">
        <v>54</v>
      </c>
      <c r="G3121" t="s">
        <v>111</v>
      </c>
      <c r="H3121" t="s">
        <v>2993</v>
      </c>
      <c r="I3121" t="s">
        <v>112</v>
      </c>
      <c r="J3121" t="s">
        <v>2994</v>
      </c>
      <c r="K3121" t="s">
        <v>1610</v>
      </c>
      <c r="L3121" t="s">
        <v>1610</v>
      </c>
    </row>
    <row r="3122" spans="1:12" x14ac:dyDescent="0.3">
      <c r="A3122" t="s">
        <v>1778</v>
      </c>
      <c r="B3122" t="s">
        <v>732</v>
      </c>
      <c r="C3122" t="s">
        <v>711</v>
      </c>
      <c r="D3122" t="s">
        <v>1593</v>
      </c>
      <c r="E3122" t="s">
        <v>569</v>
      </c>
      <c r="F3122" t="s">
        <v>45</v>
      </c>
      <c r="G3122" t="s">
        <v>111</v>
      </c>
      <c r="H3122" t="s">
        <v>182</v>
      </c>
      <c r="I3122" t="s">
        <v>112</v>
      </c>
      <c r="J3122" t="s">
        <v>183</v>
      </c>
      <c r="K3122" t="s">
        <v>1542</v>
      </c>
      <c r="L3122" t="s">
        <v>1542</v>
      </c>
    </row>
    <row r="3123" spans="1:12" x14ac:dyDescent="0.3">
      <c r="A3123" t="s">
        <v>1778</v>
      </c>
      <c r="B3123" t="s">
        <v>732</v>
      </c>
      <c r="C3123" t="s">
        <v>711</v>
      </c>
      <c r="D3123" t="s">
        <v>1596</v>
      </c>
      <c r="E3123" t="s">
        <v>569</v>
      </c>
      <c r="F3123" t="s">
        <v>190</v>
      </c>
      <c r="G3123" t="s">
        <v>111</v>
      </c>
      <c r="H3123" t="s">
        <v>182</v>
      </c>
      <c r="I3123" t="s">
        <v>112</v>
      </c>
      <c r="J3123" t="s">
        <v>183</v>
      </c>
      <c r="K3123" t="s">
        <v>2900</v>
      </c>
      <c r="L3123" t="s">
        <v>2900</v>
      </c>
    </row>
    <row r="3124" spans="1:12" x14ac:dyDescent="0.3">
      <c r="A3124" t="s">
        <v>1778</v>
      </c>
      <c r="B3124" t="s">
        <v>732</v>
      </c>
      <c r="C3124" t="s">
        <v>711</v>
      </c>
      <c r="D3124" t="s">
        <v>1597</v>
      </c>
      <c r="E3124" t="s">
        <v>569</v>
      </c>
      <c r="F3124" t="s">
        <v>124</v>
      </c>
      <c r="G3124" t="s">
        <v>111</v>
      </c>
      <c r="H3124" t="s">
        <v>182</v>
      </c>
      <c r="I3124" t="s">
        <v>112</v>
      </c>
      <c r="J3124" t="s">
        <v>183</v>
      </c>
      <c r="K3124" t="s">
        <v>2928</v>
      </c>
      <c r="L3124" t="s">
        <v>2928</v>
      </c>
    </row>
    <row r="3125" spans="1:12" x14ac:dyDescent="0.3">
      <c r="A3125" t="s">
        <v>1778</v>
      </c>
      <c r="B3125" t="s">
        <v>732</v>
      </c>
      <c r="C3125" t="s">
        <v>711</v>
      </c>
      <c r="D3125" t="s">
        <v>1598</v>
      </c>
      <c r="E3125" t="s">
        <v>569</v>
      </c>
      <c r="F3125" t="s">
        <v>58</v>
      </c>
      <c r="G3125" t="s">
        <v>111</v>
      </c>
      <c r="H3125" t="s">
        <v>182</v>
      </c>
      <c r="I3125" t="s">
        <v>112</v>
      </c>
      <c r="J3125" t="s">
        <v>183</v>
      </c>
      <c r="K3125" t="s">
        <v>2960</v>
      </c>
      <c r="L3125" t="s">
        <v>2960</v>
      </c>
    </row>
    <row r="3126" spans="1:12" x14ac:dyDescent="0.3">
      <c r="A3126" t="s">
        <v>1778</v>
      </c>
      <c r="B3126" t="s">
        <v>732</v>
      </c>
      <c r="C3126" t="s">
        <v>711</v>
      </c>
      <c r="D3126" t="s">
        <v>1599</v>
      </c>
      <c r="E3126" t="s">
        <v>569</v>
      </c>
      <c r="F3126" t="s">
        <v>191</v>
      </c>
      <c r="G3126" t="s">
        <v>111</v>
      </c>
      <c r="H3126" t="s">
        <v>182</v>
      </c>
      <c r="I3126" t="s">
        <v>112</v>
      </c>
      <c r="J3126" t="s">
        <v>183</v>
      </c>
      <c r="K3126" t="s">
        <v>2929</v>
      </c>
      <c r="L3126" t="s">
        <v>2929</v>
      </c>
    </row>
    <row r="3127" spans="1:12" x14ac:dyDescent="0.3">
      <c r="A3127" t="s">
        <v>1778</v>
      </c>
      <c r="B3127" t="s">
        <v>732</v>
      </c>
      <c r="C3127" t="s">
        <v>711</v>
      </c>
      <c r="D3127" t="s">
        <v>1601</v>
      </c>
      <c r="E3127" t="s">
        <v>569</v>
      </c>
      <c r="F3127" t="s">
        <v>126</v>
      </c>
      <c r="G3127" t="s">
        <v>111</v>
      </c>
      <c r="H3127" t="s">
        <v>182</v>
      </c>
      <c r="I3127" t="s">
        <v>112</v>
      </c>
      <c r="J3127" t="s">
        <v>183</v>
      </c>
      <c r="K3127" t="s">
        <v>1568</v>
      </c>
      <c r="L3127" t="s">
        <v>1568</v>
      </c>
    </row>
    <row r="3128" spans="1:12" x14ac:dyDescent="0.3">
      <c r="A3128" t="s">
        <v>1778</v>
      </c>
      <c r="B3128" t="s">
        <v>732</v>
      </c>
      <c r="C3128" t="s">
        <v>711</v>
      </c>
      <c r="D3128" t="s">
        <v>1602</v>
      </c>
      <c r="E3128" t="s">
        <v>569</v>
      </c>
      <c r="F3128" t="s">
        <v>167</v>
      </c>
      <c r="G3128" t="s">
        <v>111</v>
      </c>
      <c r="H3128" t="s">
        <v>182</v>
      </c>
      <c r="I3128" t="s">
        <v>112</v>
      </c>
      <c r="J3128" t="s">
        <v>183</v>
      </c>
      <c r="K3128" t="s">
        <v>2954</v>
      </c>
      <c r="L3128" t="s">
        <v>2954</v>
      </c>
    </row>
    <row r="3129" spans="1:12" x14ac:dyDescent="0.3">
      <c r="A3129" t="s">
        <v>1778</v>
      </c>
      <c r="B3129" t="s">
        <v>732</v>
      </c>
      <c r="C3129" t="s">
        <v>711</v>
      </c>
      <c r="D3129" t="s">
        <v>1604</v>
      </c>
      <c r="E3129" t="s">
        <v>569</v>
      </c>
      <c r="F3129" t="s">
        <v>127</v>
      </c>
      <c r="G3129" t="s">
        <v>111</v>
      </c>
      <c r="H3129" t="s">
        <v>182</v>
      </c>
      <c r="I3129" t="s">
        <v>112</v>
      </c>
      <c r="J3129" t="s">
        <v>183</v>
      </c>
      <c r="K3129" t="s">
        <v>1562</v>
      </c>
      <c r="L3129" t="s">
        <v>1562</v>
      </c>
    </row>
    <row r="3130" spans="1:12" x14ac:dyDescent="0.3">
      <c r="A3130" t="s">
        <v>1778</v>
      </c>
      <c r="B3130" t="s">
        <v>732</v>
      </c>
      <c r="C3130" t="s">
        <v>711</v>
      </c>
      <c r="D3130" t="s">
        <v>1605</v>
      </c>
      <c r="E3130" t="s">
        <v>569</v>
      </c>
      <c r="F3130" t="s">
        <v>128</v>
      </c>
      <c r="G3130" t="s">
        <v>111</v>
      </c>
      <c r="H3130" t="s">
        <v>182</v>
      </c>
      <c r="I3130" t="s">
        <v>112</v>
      </c>
      <c r="J3130" t="s">
        <v>183</v>
      </c>
      <c r="K3130" t="s">
        <v>2829</v>
      </c>
      <c r="L3130" t="s">
        <v>2829</v>
      </c>
    </row>
    <row r="3131" spans="1:12" x14ac:dyDescent="0.3">
      <c r="A3131" t="s">
        <v>1778</v>
      </c>
      <c r="B3131" t="s">
        <v>732</v>
      </c>
      <c r="C3131" t="s">
        <v>711</v>
      </c>
      <c r="D3131" t="s">
        <v>1606</v>
      </c>
      <c r="E3131" t="s">
        <v>569</v>
      </c>
      <c r="F3131" t="s">
        <v>168</v>
      </c>
      <c r="G3131" t="s">
        <v>111</v>
      </c>
      <c r="H3131" t="s">
        <v>182</v>
      </c>
      <c r="I3131" t="s">
        <v>112</v>
      </c>
      <c r="J3131" t="s">
        <v>183</v>
      </c>
      <c r="K3131" t="s">
        <v>2886</v>
      </c>
      <c r="L3131" t="s">
        <v>2886</v>
      </c>
    </row>
    <row r="3132" spans="1:12" x14ac:dyDescent="0.3">
      <c r="A3132" t="s">
        <v>1778</v>
      </c>
      <c r="B3132" t="s">
        <v>732</v>
      </c>
      <c r="C3132" t="s">
        <v>711</v>
      </c>
      <c r="D3132" t="s">
        <v>1607</v>
      </c>
      <c r="E3132" t="s">
        <v>569</v>
      </c>
      <c r="F3132" t="s">
        <v>89</v>
      </c>
      <c r="G3132" t="s">
        <v>111</v>
      </c>
      <c r="H3132" t="s">
        <v>2999</v>
      </c>
      <c r="I3132" t="s">
        <v>112</v>
      </c>
      <c r="J3132" t="s">
        <v>2996</v>
      </c>
      <c r="K3132" t="s">
        <v>1608</v>
      </c>
      <c r="L3132" t="s">
        <v>1608</v>
      </c>
    </row>
    <row r="3133" spans="1:12" x14ac:dyDescent="0.3">
      <c r="A3133" t="s">
        <v>1778</v>
      </c>
      <c r="B3133" t="s">
        <v>732</v>
      </c>
      <c r="C3133" t="s">
        <v>711</v>
      </c>
      <c r="D3133" t="s">
        <v>1609</v>
      </c>
      <c r="E3133" t="s">
        <v>569</v>
      </c>
      <c r="F3133" t="s">
        <v>66</v>
      </c>
      <c r="G3133" t="s">
        <v>111</v>
      </c>
      <c r="H3133" t="s">
        <v>182</v>
      </c>
      <c r="I3133" t="s">
        <v>112</v>
      </c>
      <c r="J3133" t="s">
        <v>183</v>
      </c>
      <c r="K3133" t="s">
        <v>2978</v>
      </c>
      <c r="L3133" t="s">
        <v>2978</v>
      </c>
    </row>
    <row r="3134" spans="1:12" x14ac:dyDescent="0.3">
      <c r="A3134" t="s">
        <v>1778</v>
      </c>
      <c r="B3134" t="s">
        <v>732</v>
      </c>
      <c r="C3134" t="s">
        <v>711</v>
      </c>
      <c r="D3134" t="s">
        <v>1611</v>
      </c>
      <c r="E3134" t="s">
        <v>569</v>
      </c>
      <c r="F3134" t="s">
        <v>169</v>
      </c>
      <c r="G3134" t="s">
        <v>111</v>
      </c>
      <c r="H3134" t="s">
        <v>2999</v>
      </c>
      <c r="I3134" t="s">
        <v>112</v>
      </c>
      <c r="J3134" t="s">
        <v>2996</v>
      </c>
      <c r="K3134" t="s">
        <v>2961</v>
      </c>
      <c r="L3134" t="s">
        <v>2961</v>
      </c>
    </row>
    <row r="3135" spans="1:12" x14ac:dyDescent="0.3">
      <c r="A3135" t="s">
        <v>1778</v>
      </c>
      <c r="B3135" t="s">
        <v>732</v>
      </c>
      <c r="C3135" t="s">
        <v>711</v>
      </c>
      <c r="D3135" t="s">
        <v>1612</v>
      </c>
      <c r="E3135" t="s">
        <v>569</v>
      </c>
      <c r="F3135" t="s">
        <v>110</v>
      </c>
      <c r="G3135" t="s">
        <v>111</v>
      </c>
      <c r="H3135" t="s">
        <v>182</v>
      </c>
      <c r="I3135" t="s">
        <v>112</v>
      </c>
      <c r="J3135" t="s">
        <v>183</v>
      </c>
      <c r="K3135" t="s">
        <v>2979</v>
      </c>
      <c r="L3135" t="s">
        <v>2979</v>
      </c>
    </row>
    <row r="3136" spans="1:12" x14ac:dyDescent="0.3">
      <c r="A3136" t="s">
        <v>1778</v>
      </c>
      <c r="B3136" t="s">
        <v>732</v>
      </c>
      <c r="C3136" t="s">
        <v>711</v>
      </c>
      <c r="D3136" t="s">
        <v>1613</v>
      </c>
      <c r="E3136" t="s">
        <v>569</v>
      </c>
      <c r="F3136" t="s">
        <v>93</v>
      </c>
      <c r="G3136" t="s">
        <v>111</v>
      </c>
      <c r="H3136" t="s">
        <v>182</v>
      </c>
      <c r="I3136" t="s">
        <v>112</v>
      </c>
      <c r="J3136" t="s">
        <v>183</v>
      </c>
      <c r="K3136" t="s">
        <v>1574</v>
      </c>
      <c r="L3136" t="s">
        <v>1574</v>
      </c>
    </row>
    <row r="3137" spans="1:12" x14ac:dyDescent="0.3">
      <c r="A3137" t="s">
        <v>1778</v>
      </c>
      <c r="B3137" t="s">
        <v>732</v>
      </c>
      <c r="C3137" t="s">
        <v>711</v>
      </c>
      <c r="D3137" t="s">
        <v>1614</v>
      </c>
      <c r="E3137" t="s">
        <v>569</v>
      </c>
      <c r="F3137" t="s">
        <v>129</v>
      </c>
      <c r="G3137" t="s">
        <v>111</v>
      </c>
      <c r="H3137" t="s">
        <v>182</v>
      </c>
      <c r="I3137" t="s">
        <v>112</v>
      </c>
      <c r="J3137" t="s">
        <v>183</v>
      </c>
      <c r="K3137" t="s">
        <v>1568</v>
      </c>
      <c r="L3137" t="s">
        <v>1568</v>
      </c>
    </row>
    <row r="3138" spans="1:12" x14ac:dyDescent="0.3">
      <c r="A3138" t="s">
        <v>1778</v>
      </c>
      <c r="B3138" t="s">
        <v>732</v>
      </c>
      <c r="C3138" t="s">
        <v>711</v>
      </c>
      <c r="D3138" t="s">
        <v>1615</v>
      </c>
      <c r="E3138" t="s">
        <v>569</v>
      </c>
      <c r="F3138" t="s">
        <v>87</v>
      </c>
      <c r="G3138" t="s">
        <v>111</v>
      </c>
      <c r="H3138" t="s">
        <v>182</v>
      </c>
      <c r="I3138" t="s">
        <v>112</v>
      </c>
      <c r="J3138" t="s">
        <v>183</v>
      </c>
      <c r="K3138" t="s">
        <v>1548</v>
      </c>
      <c r="L3138" t="s">
        <v>1548</v>
      </c>
    </row>
    <row r="3139" spans="1:12" x14ac:dyDescent="0.3">
      <c r="A3139" t="s">
        <v>1778</v>
      </c>
      <c r="B3139" t="s">
        <v>732</v>
      </c>
      <c r="C3139" t="s">
        <v>711</v>
      </c>
      <c r="D3139" t="s">
        <v>1616</v>
      </c>
      <c r="E3139" t="s">
        <v>569</v>
      </c>
      <c r="F3139" t="s">
        <v>130</v>
      </c>
      <c r="G3139" t="s">
        <v>111</v>
      </c>
      <c r="H3139" t="s">
        <v>3000</v>
      </c>
      <c r="I3139" t="s">
        <v>112</v>
      </c>
      <c r="J3139" t="s">
        <v>185</v>
      </c>
      <c r="K3139" t="s">
        <v>1562</v>
      </c>
      <c r="L3139" t="s">
        <v>1562</v>
      </c>
    </row>
    <row r="3140" spans="1:12" x14ac:dyDescent="0.3">
      <c r="A3140" t="s">
        <v>1778</v>
      </c>
      <c r="B3140" t="s">
        <v>732</v>
      </c>
      <c r="C3140" t="s">
        <v>711</v>
      </c>
      <c r="D3140" t="s">
        <v>1617</v>
      </c>
      <c r="E3140" t="s">
        <v>569</v>
      </c>
      <c r="F3140" t="s">
        <v>131</v>
      </c>
      <c r="G3140" t="s">
        <v>111</v>
      </c>
      <c r="H3140" t="s">
        <v>182</v>
      </c>
      <c r="I3140" t="s">
        <v>112</v>
      </c>
      <c r="J3140" t="s">
        <v>183</v>
      </c>
      <c r="K3140" t="s">
        <v>1562</v>
      </c>
      <c r="L3140" t="s">
        <v>1562</v>
      </c>
    </row>
    <row r="3141" spans="1:12" x14ac:dyDescent="0.3">
      <c r="A3141" t="s">
        <v>1778</v>
      </c>
      <c r="B3141" t="s">
        <v>732</v>
      </c>
      <c r="C3141" t="s">
        <v>711</v>
      </c>
      <c r="D3141" t="s">
        <v>1618</v>
      </c>
      <c r="E3141" t="s">
        <v>569</v>
      </c>
      <c r="F3141" t="s">
        <v>50</v>
      </c>
      <c r="G3141" t="s">
        <v>111</v>
      </c>
      <c r="H3141" t="s">
        <v>182</v>
      </c>
      <c r="I3141" t="s">
        <v>112</v>
      </c>
      <c r="J3141" t="s">
        <v>183</v>
      </c>
      <c r="K3141" t="s">
        <v>1558</v>
      </c>
      <c r="L3141" t="s">
        <v>1558</v>
      </c>
    </row>
    <row r="3142" spans="1:12" x14ac:dyDescent="0.3">
      <c r="A3142" t="s">
        <v>1778</v>
      </c>
      <c r="B3142" t="s">
        <v>732</v>
      </c>
      <c r="C3142" t="s">
        <v>711</v>
      </c>
      <c r="D3142" t="s">
        <v>1619</v>
      </c>
      <c r="E3142" t="s">
        <v>568</v>
      </c>
      <c r="F3142" t="s">
        <v>193</v>
      </c>
      <c r="G3142" t="s">
        <v>111</v>
      </c>
      <c r="H3142" t="s">
        <v>182</v>
      </c>
      <c r="I3142" t="s">
        <v>112</v>
      </c>
      <c r="J3142" t="s">
        <v>183</v>
      </c>
      <c r="K3142" t="s">
        <v>1558</v>
      </c>
      <c r="L3142" t="s">
        <v>1558</v>
      </c>
    </row>
    <row r="3143" spans="1:12" x14ac:dyDescent="0.3">
      <c r="A3143" t="s">
        <v>1778</v>
      </c>
      <c r="B3143" t="s">
        <v>732</v>
      </c>
      <c r="C3143" t="s">
        <v>711</v>
      </c>
      <c r="D3143" t="s">
        <v>1620</v>
      </c>
      <c r="E3143" t="s">
        <v>568</v>
      </c>
      <c r="F3143" t="s">
        <v>134</v>
      </c>
      <c r="G3143" t="s">
        <v>111</v>
      </c>
      <c r="H3143" t="s">
        <v>182</v>
      </c>
      <c r="I3143" t="s">
        <v>112</v>
      </c>
      <c r="J3143" t="s">
        <v>183</v>
      </c>
      <c r="K3143" t="s">
        <v>2962</v>
      </c>
      <c r="L3143" t="s">
        <v>2962</v>
      </c>
    </row>
    <row r="3144" spans="1:12" x14ac:dyDescent="0.3">
      <c r="A3144" t="s">
        <v>1778</v>
      </c>
      <c r="B3144" t="s">
        <v>732</v>
      </c>
      <c r="C3144" t="s">
        <v>711</v>
      </c>
      <c r="D3144" t="s">
        <v>1621</v>
      </c>
      <c r="E3144" t="s">
        <v>568</v>
      </c>
      <c r="F3144" t="s">
        <v>51</v>
      </c>
      <c r="G3144" t="s">
        <v>111</v>
      </c>
      <c r="H3144" t="s">
        <v>184</v>
      </c>
      <c r="I3144" t="s">
        <v>112</v>
      </c>
      <c r="J3144" t="s">
        <v>185</v>
      </c>
      <c r="K3144" t="s">
        <v>1555</v>
      </c>
      <c r="L3144" t="s">
        <v>1555</v>
      </c>
    </row>
    <row r="3145" spans="1:12" x14ac:dyDescent="0.3">
      <c r="A3145" t="s">
        <v>1778</v>
      </c>
      <c r="B3145" t="s">
        <v>732</v>
      </c>
      <c r="C3145" t="s">
        <v>711</v>
      </c>
      <c r="D3145" t="s">
        <v>1622</v>
      </c>
      <c r="E3145" t="s">
        <v>568</v>
      </c>
      <c r="F3145" t="s">
        <v>163</v>
      </c>
      <c r="G3145" t="s">
        <v>111</v>
      </c>
      <c r="H3145" t="s">
        <v>182</v>
      </c>
      <c r="I3145" t="s">
        <v>112</v>
      </c>
      <c r="J3145" t="s">
        <v>183</v>
      </c>
      <c r="K3145" t="s">
        <v>2963</v>
      </c>
      <c r="L3145" t="s">
        <v>2963</v>
      </c>
    </row>
    <row r="3146" spans="1:12" x14ac:dyDescent="0.3">
      <c r="A3146" t="s">
        <v>1778</v>
      </c>
      <c r="B3146" t="s">
        <v>732</v>
      </c>
      <c r="C3146" t="s">
        <v>711</v>
      </c>
      <c r="D3146" t="s">
        <v>1623</v>
      </c>
      <c r="E3146" t="s">
        <v>568</v>
      </c>
      <c r="F3146" t="s">
        <v>170</v>
      </c>
      <c r="G3146" t="s">
        <v>111</v>
      </c>
      <c r="H3146" t="s">
        <v>182</v>
      </c>
      <c r="I3146" t="s">
        <v>112</v>
      </c>
      <c r="J3146" t="s">
        <v>183</v>
      </c>
      <c r="K3146" t="s">
        <v>2980</v>
      </c>
      <c r="L3146" t="s">
        <v>2980</v>
      </c>
    </row>
    <row r="3147" spans="1:12" x14ac:dyDescent="0.3">
      <c r="A3147" t="s">
        <v>1778</v>
      </c>
      <c r="B3147" t="s">
        <v>732</v>
      </c>
      <c r="C3147" t="s">
        <v>711</v>
      </c>
      <c r="D3147" t="s">
        <v>1624</v>
      </c>
      <c r="E3147" t="s">
        <v>568</v>
      </c>
      <c r="F3147" t="s">
        <v>78</v>
      </c>
      <c r="G3147" t="s">
        <v>111</v>
      </c>
      <c r="H3147" t="s">
        <v>182</v>
      </c>
      <c r="I3147" t="s">
        <v>112</v>
      </c>
      <c r="J3147" t="s">
        <v>183</v>
      </c>
      <c r="K3147" t="s">
        <v>2981</v>
      </c>
      <c r="L3147" t="s">
        <v>2981</v>
      </c>
    </row>
    <row r="3148" spans="1:12" x14ac:dyDescent="0.3">
      <c r="A3148" t="s">
        <v>1778</v>
      </c>
      <c r="B3148" t="s">
        <v>732</v>
      </c>
      <c r="C3148" t="s">
        <v>711</v>
      </c>
      <c r="D3148" t="s">
        <v>1625</v>
      </c>
      <c r="E3148" t="s">
        <v>568</v>
      </c>
      <c r="F3148" t="s">
        <v>82</v>
      </c>
      <c r="G3148" t="s">
        <v>111</v>
      </c>
      <c r="H3148" t="s">
        <v>182</v>
      </c>
      <c r="I3148" t="s">
        <v>112</v>
      </c>
      <c r="J3148" t="s">
        <v>183</v>
      </c>
      <c r="K3148" t="s">
        <v>2964</v>
      </c>
      <c r="L3148" t="s">
        <v>2964</v>
      </c>
    </row>
    <row r="3149" spans="1:12" x14ac:dyDescent="0.3">
      <c r="A3149" t="s">
        <v>1778</v>
      </c>
      <c r="B3149" t="s">
        <v>732</v>
      </c>
      <c r="C3149" t="s">
        <v>711</v>
      </c>
      <c r="D3149" t="s">
        <v>1626</v>
      </c>
      <c r="E3149" t="s">
        <v>568</v>
      </c>
      <c r="F3149" t="s">
        <v>135</v>
      </c>
      <c r="G3149" t="s">
        <v>111</v>
      </c>
      <c r="H3149" t="s">
        <v>182</v>
      </c>
      <c r="I3149" t="s">
        <v>112</v>
      </c>
      <c r="J3149" t="s">
        <v>183</v>
      </c>
      <c r="K3149" t="s">
        <v>2957</v>
      </c>
      <c r="L3149" t="s">
        <v>2957</v>
      </c>
    </row>
    <row r="3150" spans="1:12" x14ac:dyDescent="0.3">
      <c r="A3150" t="s">
        <v>1778</v>
      </c>
      <c r="B3150" t="s">
        <v>732</v>
      </c>
      <c r="C3150" t="s">
        <v>711</v>
      </c>
      <c r="D3150" t="s">
        <v>1627</v>
      </c>
      <c r="E3150" t="s">
        <v>568</v>
      </c>
      <c r="F3150" t="s">
        <v>136</v>
      </c>
      <c r="G3150" t="s">
        <v>111</v>
      </c>
      <c r="H3150" t="s">
        <v>182</v>
      </c>
      <c r="I3150" t="s">
        <v>112</v>
      </c>
      <c r="J3150" t="s">
        <v>183</v>
      </c>
      <c r="K3150" t="s">
        <v>1542</v>
      </c>
      <c r="L3150" t="s">
        <v>1542</v>
      </c>
    </row>
    <row r="3151" spans="1:12" x14ac:dyDescent="0.3">
      <c r="A3151" t="s">
        <v>1778</v>
      </c>
      <c r="B3151" t="s">
        <v>732</v>
      </c>
      <c r="C3151" t="s">
        <v>711</v>
      </c>
      <c r="D3151" t="s">
        <v>1628</v>
      </c>
      <c r="E3151" t="s">
        <v>568</v>
      </c>
      <c r="F3151" t="s">
        <v>60</v>
      </c>
      <c r="G3151" t="s">
        <v>111</v>
      </c>
      <c r="H3151" t="s">
        <v>2999</v>
      </c>
      <c r="I3151" t="s">
        <v>112</v>
      </c>
      <c r="J3151" t="s">
        <v>2996</v>
      </c>
      <c r="K3151" t="s">
        <v>1555</v>
      </c>
      <c r="L3151" t="s">
        <v>1555</v>
      </c>
    </row>
    <row r="3152" spans="1:12" x14ac:dyDescent="0.3">
      <c r="A3152" t="s">
        <v>1778</v>
      </c>
      <c r="B3152" t="s">
        <v>732</v>
      </c>
      <c r="C3152" t="s">
        <v>711</v>
      </c>
      <c r="D3152" t="s">
        <v>1629</v>
      </c>
      <c r="E3152" t="s">
        <v>568</v>
      </c>
      <c r="F3152" t="s">
        <v>70</v>
      </c>
      <c r="G3152" t="s">
        <v>111</v>
      </c>
      <c r="H3152" t="s">
        <v>182</v>
      </c>
      <c r="I3152" t="s">
        <v>112</v>
      </c>
      <c r="J3152" t="s">
        <v>183</v>
      </c>
      <c r="K3152" t="s">
        <v>1568</v>
      </c>
      <c r="L3152" t="s">
        <v>1568</v>
      </c>
    </row>
    <row r="3153" spans="1:12" x14ac:dyDescent="0.3">
      <c r="A3153" t="s">
        <v>1778</v>
      </c>
      <c r="B3153" t="s">
        <v>732</v>
      </c>
      <c r="C3153" t="s">
        <v>711</v>
      </c>
      <c r="D3153" t="s">
        <v>1630</v>
      </c>
      <c r="E3153" t="s">
        <v>568</v>
      </c>
      <c r="F3153" t="s">
        <v>48</v>
      </c>
      <c r="G3153" t="s">
        <v>111</v>
      </c>
      <c r="H3153" t="s">
        <v>184</v>
      </c>
      <c r="I3153" t="s">
        <v>112</v>
      </c>
      <c r="J3153" t="s">
        <v>185</v>
      </c>
      <c r="K3153" t="s">
        <v>1563</v>
      </c>
      <c r="L3153" t="s">
        <v>1563</v>
      </c>
    </row>
    <row r="3154" spans="1:12" x14ac:dyDescent="0.3">
      <c r="A3154" t="s">
        <v>1778</v>
      </c>
      <c r="B3154" t="s">
        <v>732</v>
      </c>
      <c r="C3154" t="s">
        <v>711</v>
      </c>
      <c r="D3154" t="s">
        <v>1631</v>
      </c>
      <c r="E3154" t="s">
        <v>568</v>
      </c>
      <c r="F3154" t="s">
        <v>138</v>
      </c>
      <c r="G3154" t="s">
        <v>111</v>
      </c>
      <c r="H3154" t="s">
        <v>182</v>
      </c>
      <c r="I3154" t="s">
        <v>112</v>
      </c>
      <c r="J3154" t="s">
        <v>183</v>
      </c>
      <c r="K3154" t="s">
        <v>2982</v>
      </c>
      <c r="L3154" t="s">
        <v>2982</v>
      </c>
    </row>
    <row r="3155" spans="1:12" x14ac:dyDescent="0.3">
      <c r="A3155" t="s">
        <v>1778</v>
      </c>
      <c r="B3155" t="s">
        <v>732</v>
      </c>
      <c r="C3155" t="s">
        <v>711</v>
      </c>
      <c r="D3155" t="s">
        <v>1632</v>
      </c>
      <c r="E3155" t="s">
        <v>568</v>
      </c>
      <c r="F3155" t="s">
        <v>95</v>
      </c>
      <c r="G3155" t="s">
        <v>111</v>
      </c>
      <c r="H3155" t="s">
        <v>182</v>
      </c>
      <c r="I3155" t="s">
        <v>112</v>
      </c>
      <c r="J3155" t="s">
        <v>183</v>
      </c>
      <c r="K3155" t="s">
        <v>2933</v>
      </c>
      <c r="L3155" t="s">
        <v>2933</v>
      </c>
    </row>
    <row r="3156" spans="1:12" x14ac:dyDescent="0.3">
      <c r="A3156" t="s">
        <v>1778</v>
      </c>
      <c r="B3156" t="s">
        <v>732</v>
      </c>
      <c r="C3156" t="s">
        <v>711</v>
      </c>
      <c r="D3156" t="s">
        <v>1633</v>
      </c>
      <c r="E3156" t="s">
        <v>568</v>
      </c>
      <c r="F3156" t="s">
        <v>139</v>
      </c>
      <c r="G3156" t="s">
        <v>111</v>
      </c>
      <c r="H3156" t="s">
        <v>187</v>
      </c>
      <c r="I3156" t="s">
        <v>112</v>
      </c>
      <c r="J3156" t="s">
        <v>183</v>
      </c>
      <c r="K3156" t="s">
        <v>2965</v>
      </c>
      <c r="L3156" t="s">
        <v>2965</v>
      </c>
    </row>
    <row r="3157" spans="1:12" x14ac:dyDescent="0.3">
      <c r="A3157" t="s">
        <v>1778</v>
      </c>
      <c r="B3157" t="s">
        <v>732</v>
      </c>
      <c r="C3157" t="s">
        <v>711</v>
      </c>
      <c r="D3157" t="s">
        <v>1634</v>
      </c>
      <c r="E3157" t="s">
        <v>568</v>
      </c>
      <c r="F3157" t="s">
        <v>171</v>
      </c>
      <c r="G3157" t="s">
        <v>111</v>
      </c>
      <c r="H3157" t="s">
        <v>2999</v>
      </c>
      <c r="I3157" t="s">
        <v>112</v>
      </c>
      <c r="J3157" t="s">
        <v>2996</v>
      </c>
      <c r="K3157" t="s">
        <v>1536</v>
      </c>
      <c r="L3157" t="s">
        <v>1536</v>
      </c>
    </row>
    <row r="3158" spans="1:12" x14ac:dyDescent="0.3">
      <c r="A3158" t="s">
        <v>1778</v>
      </c>
      <c r="B3158" t="s">
        <v>732</v>
      </c>
      <c r="C3158" t="s">
        <v>711</v>
      </c>
      <c r="D3158" t="s">
        <v>1636</v>
      </c>
      <c r="E3158" t="s">
        <v>568</v>
      </c>
      <c r="F3158" t="s">
        <v>172</v>
      </c>
      <c r="G3158" t="s">
        <v>111</v>
      </c>
      <c r="H3158" t="s">
        <v>182</v>
      </c>
      <c r="I3158" t="s">
        <v>112</v>
      </c>
      <c r="J3158" t="s">
        <v>183</v>
      </c>
      <c r="K3158" t="s">
        <v>2983</v>
      </c>
      <c r="L3158" t="s">
        <v>2983</v>
      </c>
    </row>
    <row r="3159" spans="1:12" x14ac:dyDescent="0.3">
      <c r="A3159" t="s">
        <v>1778</v>
      </c>
      <c r="B3159" t="s">
        <v>732</v>
      </c>
      <c r="C3159" t="s">
        <v>711</v>
      </c>
      <c r="D3159" t="s">
        <v>1637</v>
      </c>
      <c r="E3159" t="s">
        <v>568</v>
      </c>
      <c r="F3159" t="s">
        <v>62</v>
      </c>
      <c r="G3159" t="s">
        <v>111</v>
      </c>
      <c r="H3159" t="s">
        <v>182</v>
      </c>
      <c r="I3159" t="s">
        <v>112</v>
      </c>
      <c r="J3159" t="s">
        <v>183</v>
      </c>
      <c r="K3159" t="s">
        <v>2946</v>
      </c>
      <c r="L3159" t="s">
        <v>2946</v>
      </c>
    </row>
    <row r="3160" spans="1:12" x14ac:dyDescent="0.3">
      <c r="A3160" t="s">
        <v>1778</v>
      </c>
      <c r="B3160" t="s">
        <v>732</v>
      </c>
      <c r="C3160" t="s">
        <v>711</v>
      </c>
      <c r="D3160" t="s">
        <v>1638</v>
      </c>
      <c r="E3160" t="s">
        <v>568</v>
      </c>
      <c r="F3160" t="s">
        <v>57</v>
      </c>
      <c r="G3160" t="s">
        <v>111</v>
      </c>
      <c r="H3160" t="s">
        <v>182</v>
      </c>
      <c r="I3160" t="s">
        <v>112</v>
      </c>
      <c r="J3160" t="s">
        <v>183</v>
      </c>
      <c r="K3160" t="s">
        <v>2984</v>
      </c>
      <c r="L3160" t="s">
        <v>2984</v>
      </c>
    </row>
    <row r="3161" spans="1:12" x14ac:dyDescent="0.3">
      <c r="A3161" t="s">
        <v>1778</v>
      </c>
      <c r="B3161" t="s">
        <v>732</v>
      </c>
      <c r="C3161" t="s">
        <v>711</v>
      </c>
      <c r="D3161" t="s">
        <v>1639</v>
      </c>
      <c r="E3161" t="s">
        <v>568</v>
      </c>
      <c r="F3161" t="s">
        <v>174</v>
      </c>
      <c r="G3161" t="s">
        <v>111</v>
      </c>
      <c r="H3161" t="s">
        <v>2999</v>
      </c>
      <c r="I3161" t="s">
        <v>112</v>
      </c>
      <c r="J3161" t="s">
        <v>2996</v>
      </c>
    </row>
    <row r="3162" spans="1:12" x14ac:dyDescent="0.3">
      <c r="A3162" t="s">
        <v>1778</v>
      </c>
      <c r="B3162" t="s">
        <v>732</v>
      </c>
      <c r="C3162" t="s">
        <v>711</v>
      </c>
      <c r="D3162" t="s">
        <v>1640</v>
      </c>
      <c r="E3162" t="s">
        <v>568</v>
      </c>
      <c r="F3162" t="s">
        <v>77</v>
      </c>
      <c r="G3162" t="s">
        <v>111</v>
      </c>
      <c r="H3162" t="s">
        <v>182</v>
      </c>
      <c r="I3162" t="s">
        <v>112</v>
      </c>
      <c r="J3162" t="s">
        <v>183</v>
      </c>
      <c r="K3162" t="s">
        <v>1541</v>
      </c>
      <c r="L3162" t="s">
        <v>1541</v>
      </c>
    </row>
    <row r="3163" spans="1:12" x14ac:dyDescent="0.3">
      <c r="A3163" t="s">
        <v>1778</v>
      </c>
      <c r="B3163" t="s">
        <v>732</v>
      </c>
      <c r="C3163" t="s">
        <v>711</v>
      </c>
      <c r="D3163" t="s">
        <v>1641</v>
      </c>
      <c r="E3163" t="s">
        <v>568</v>
      </c>
      <c r="F3163" t="s">
        <v>102</v>
      </c>
      <c r="G3163" t="s">
        <v>111</v>
      </c>
      <c r="H3163" t="s">
        <v>182</v>
      </c>
      <c r="I3163" t="s">
        <v>112</v>
      </c>
      <c r="J3163" t="s">
        <v>183</v>
      </c>
      <c r="K3163" t="s">
        <v>1552</v>
      </c>
      <c r="L3163" t="s">
        <v>1552</v>
      </c>
    </row>
    <row r="3164" spans="1:12" x14ac:dyDescent="0.3">
      <c r="A3164" t="s">
        <v>1778</v>
      </c>
      <c r="B3164" t="s">
        <v>732</v>
      </c>
      <c r="C3164" t="s">
        <v>711</v>
      </c>
      <c r="D3164" t="s">
        <v>1642</v>
      </c>
      <c r="E3164" t="s">
        <v>568</v>
      </c>
      <c r="F3164" t="s">
        <v>175</v>
      </c>
      <c r="G3164" t="s">
        <v>111</v>
      </c>
      <c r="H3164" t="s">
        <v>182</v>
      </c>
      <c r="I3164" t="s">
        <v>112</v>
      </c>
      <c r="J3164" t="s">
        <v>183</v>
      </c>
      <c r="K3164" t="s">
        <v>1608</v>
      </c>
      <c r="L3164" t="s">
        <v>1608</v>
      </c>
    </row>
    <row r="3165" spans="1:12" x14ac:dyDescent="0.3">
      <c r="A3165" t="s">
        <v>1778</v>
      </c>
      <c r="B3165" t="s">
        <v>732</v>
      </c>
      <c r="C3165" t="s">
        <v>711</v>
      </c>
      <c r="D3165" t="s">
        <v>1643</v>
      </c>
      <c r="E3165" t="s">
        <v>568</v>
      </c>
      <c r="F3165" t="s">
        <v>46</v>
      </c>
      <c r="G3165" t="s">
        <v>111</v>
      </c>
      <c r="H3165" t="s">
        <v>2999</v>
      </c>
      <c r="I3165" t="s">
        <v>112</v>
      </c>
      <c r="J3165" t="s">
        <v>2996</v>
      </c>
      <c r="K3165" t="s">
        <v>2949</v>
      </c>
      <c r="L3165" t="s">
        <v>2949</v>
      </c>
    </row>
    <row r="3166" spans="1:12" x14ac:dyDescent="0.3">
      <c r="A3166" t="s">
        <v>1778</v>
      </c>
      <c r="B3166" t="s">
        <v>732</v>
      </c>
      <c r="C3166" t="s">
        <v>711</v>
      </c>
      <c r="D3166" t="s">
        <v>1644</v>
      </c>
      <c r="E3166" t="s">
        <v>568</v>
      </c>
      <c r="F3166" t="s">
        <v>202</v>
      </c>
      <c r="G3166" t="s">
        <v>111</v>
      </c>
      <c r="H3166" t="s">
        <v>182</v>
      </c>
      <c r="I3166" t="s">
        <v>112</v>
      </c>
      <c r="J3166" t="s">
        <v>183</v>
      </c>
      <c r="K3166" t="s">
        <v>2968</v>
      </c>
      <c r="L3166" t="s">
        <v>2968</v>
      </c>
    </row>
    <row r="3167" spans="1:12" x14ac:dyDescent="0.3">
      <c r="A3167" t="s">
        <v>1778</v>
      </c>
      <c r="B3167" t="s">
        <v>732</v>
      </c>
      <c r="C3167" t="s">
        <v>711</v>
      </c>
      <c r="D3167" t="s">
        <v>1645</v>
      </c>
      <c r="E3167" t="s">
        <v>568</v>
      </c>
      <c r="F3167" t="s">
        <v>141</v>
      </c>
      <c r="G3167" t="s">
        <v>111</v>
      </c>
      <c r="H3167" t="s">
        <v>182</v>
      </c>
      <c r="I3167" t="s">
        <v>112</v>
      </c>
      <c r="J3167" t="s">
        <v>183</v>
      </c>
      <c r="K3167" t="s">
        <v>1535</v>
      </c>
      <c r="L3167" t="s">
        <v>1535</v>
      </c>
    </row>
    <row r="3168" spans="1:12" x14ac:dyDescent="0.3">
      <c r="A3168" t="s">
        <v>1778</v>
      </c>
      <c r="B3168" t="s">
        <v>732</v>
      </c>
      <c r="C3168" t="s">
        <v>711</v>
      </c>
      <c r="D3168" t="s">
        <v>1646</v>
      </c>
      <c r="E3168" t="s">
        <v>568</v>
      </c>
      <c r="F3168" t="s">
        <v>142</v>
      </c>
      <c r="G3168" t="s">
        <v>111</v>
      </c>
      <c r="H3168" t="s">
        <v>184</v>
      </c>
      <c r="I3168" t="s">
        <v>112</v>
      </c>
      <c r="J3168" t="s">
        <v>185</v>
      </c>
      <c r="K3168" t="s">
        <v>2985</v>
      </c>
      <c r="L3168" t="s">
        <v>2985</v>
      </c>
    </row>
    <row r="3169" spans="1:12" x14ac:dyDescent="0.3">
      <c r="A3169" t="s">
        <v>1778</v>
      </c>
      <c r="B3169" t="s">
        <v>732</v>
      </c>
      <c r="C3169" t="s">
        <v>711</v>
      </c>
      <c r="D3169" t="s">
        <v>1647</v>
      </c>
      <c r="E3169" t="s">
        <v>568</v>
      </c>
      <c r="F3169" t="s">
        <v>75</v>
      </c>
      <c r="G3169" t="s">
        <v>111</v>
      </c>
      <c r="H3169" t="s">
        <v>184</v>
      </c>
      <c r="I3169" t="s">
        <v>112</v>
      </c>
      <c r="J3169" t="s">
        <v>185</v>
      </c>
      <c r="K3169" t="s">
        <v>2829</v>
      </c>
      <c r="L3169" t="s">
        <v>2829</v>
      </c>
    </row>
    <row r="3170" spans="1:12" x14ac:dyDescent="0.3">
      <c r="A3170" t="s">
        <v>1778</v>
      </c>
      <c r="B3170" t="s">
        <v>732</v>
      </c>
      <c r="C3170" t="s">
        <v>711</v>
      </c>
      <c r="D3170" t="s">
        <v>1648</v>
      </c>
      <c r="E3170" t="s">
        <v>568</v>
      </c>
      <c r="F3170" t="s">
        <v>143</v>
      </c>
      <c r="G3170" t="s">
        <v>111</v>
      </c>
      <c r="H3170" t="s">
        <v>2999</v>
      </c>
      <c r="I3170" t="s">
        <v>112</v>
      </c>
      <c r="J3170" t="s">
        <v>2996</v>
      </c>
      <c r="K3170" t="s">
        <v>2969</v>
      </c>
      <c r="L3170" t="s">
        <v>2969</v>
      </c>
    </row>
    <row r="3171" spans="1:12" x14ac:dyDescent="0.3">
      <c r="A3171" t="s">
        <v>1778</v>
      </c>
      <c r="B3171" t="s">
        <v>732</v>
      </c>
      <c r="C3171" t="s">
        <v>711</v>
      </c>
      <c r="D3171" t="s">
        <v>1649</v>
      </c>
      <c r="E3171" t="s">
        <v>568</v>
      </c>
      <c r="F3171" t="s">
        <v>144</v>
      </c>
      <c r="G3171" t="s">
        <v>111</v>
      </c>
      <c r="H3171" t="s">
        <v>182</v>
      </c>
      <c r="I3171" t="s">
        <v>112</v>
      </c>
      <c r="J3171" t="s">
        <v>183</v>
      </c>
      <c r="K3171" t="s">
        <v>2970</v>
      </c>
      <c r="L3171" t="s">
        <v>2970</v>
      </c>
    </row>
    <row r="3172" spans="1:12" x14ac:dyDescent="0.3">
      <c r="A3172" t="s">
        <v>1778</v>
      </c>
      <c r="B3172" t="s">
        <v>732</v>
      </c>
      <c r="C3172" t="s">
        <v>711</v>
      </c>
      <c r="D3172" t="s">
        <v>1650</v>
      </c>
      <c r="E3172" t="s">
        <v>568</v>
      </c>
      <c r="F3172" t="s">
        <v>194</v>
      </c>
      <c r="G3172" t="s">
        <v>111</v>
      </c>
      <c r="H3172" t="s">
        <v>182</v>
      </c>
      <c r="I3172" t="s">
        <v>112</v>
      </c>
      <c r="J3172" t="s">
        <v>183</v>
      </c>
      <c r="K3172" t="s">
        <v>2986</v>
      </c>
      <c r="L3172" t="s">
        <v>2986</v>
      </c>
    </row>
    <row r="3173" spans="1:12" x14ac:dyDescent="0.3">
      <c r="A3173" t="s">
        <v>1778</v>
      </c>
      <c r="B3173" t="s">
        <v>732</v>
      </c>
      <c r="C3173" t="s">
        <v>711</v>
      </c>
      <c r="D3173" t="s">
        <v>1651</v>
      </c>
      <c r="E3173" t="s">
        <v>568</v>
      </c>
      <c r="F3173" t="s">
        <v>145</v>
      </c>
      <c r="G3173" t="s">
        <v>111</v>
      </c>
      <c r="H3173" t="s">
        <v>182</v>
      </c>
      <c r="I3173" t="s">
        <v>112</v>
      </c>
      <c r="J3173" t="s">
        <v>183</v>
      </c>
      <c r="K3173" t="s">
        <v>1568</v>
      </c>
      <c r="L3173" t="s">
        <v>1568</v>
      </c>
    </row>
    <row r="3174" spans="1:12" x14ac:dyDescent="0.3">
      <c r="A3174" t="s">
        <v>1778</v>
      </c>
      <c r="B3174" t="s">
        <v>732</v>
      </c>
      <c r="C3174" t="s">
        <v>711</v>
      </c>
      <c r="D3174" t="s">
        <v>1652</v>
      </c>
      <c r="E3174" t="s">
        <v>567</v>
      </c>
      <c r="F3174" t="s">
        <v>104</v>
      </c>
      <c r="G3174" t="s">
        <v>111</v>
      </c>
      <c r="H3174" t="s">
        <v>187</v>
      </c>
      <c r="I3174" t="s">
        <v>112</v>
      </c>
      <c r="J3174" t="s">
        <v>183</v>
      </c>
      <c r="K3174" t="s">
        <v>2932</v>
      </c>
      <c r="L3174" t="s">
        <v>2932</v>
      </c>
    </row>
    <row r="3175" spans="1:12" x14ac:dyDescent="0.3">
      <c r="A3175" t="s">
        <v>1778</v>
      </c>
      <c r="B3175" t="s">
        <v>732</v>
      </c>
      <c r="C3175" t="s">
        <v>711</v>
      </c>
      <c r="D3175" t="s">
        <v>1653</v>
      </c>
      <c r="E3175" t="s">
        <v>567</v>
      </c>
      <c r="F3175" t="s">
        <v>176</v>
      </c>
      <c r="G3175" t="s">
        <v>111</v>
      </c>
      <c r="H3175" t="s">
        <v>2999</v>
      </c>
      <c r="I3175" t="s">
        <v>112</v>
      </c>
      <c r="J3175" t="s">
        <v>2996</v>
      </c>
      <c r="K3175" t="s">
        <v>2818</v>
      </c>
      <c r="L3175" t="s">
        <v>2818</v>
      </c>
    </row>
    <row r="3176" spans="1:12" x14ac:dyDescent="0.3">
      <c r="A3176" t="s">
        <v>1778</v>
      </c>
      <c r="B3176" t="s">
        <v>732</v>
      </c>
      <c r="C3176" t="s">
        <v>711</v>
      </c>
      <c r="D3176" t="s">
        <v>1654</v>
      </c>
      <c r="E3176" t="s">
        <v>567</v>
      </c>
      <c r="F3176" t="s">
        <v>146</v>
      </c>
      <c r="G3176" t="s">
        <v>111</v>
      </c>
      <c r="H3176" t="s">
        <v>2999</v>
      </c>
      <c r="I3176" t="s">
        <v>112</v>
      </c>
      <c r="J3176" t="s">
        <v>2996</v>
      </c>
      <c r="K3176" t="s">
        <v>2946</v>
      </c>
      <c r="L3176" t="s">
        <v>2946</v>
      </c>
    </row>
    <row r="3177" spans="1:12" x14ac:dyDescent="0.3">
      <c r="A3177" t="s">
        <v>1778</v>
      </c>
      <c r="B3177" t="s">
        <v>732</v>
      </c>
      <c r="C3177" t="s">
        <v>711</v>
      </c>
      <c r="D3177" t="s">
        <v>1655</v>
      </c>
      <c r="E3177" t="s">
        <v>567</v>
      </c>
      <c r="F3177" t="s">
        <v>148</v>
      </c>
      <c r="G3177" t="s">
        <v>111</v>
      </c>
      <c r="H3177" t="s">
        <v>2999</v>
      </c>
      <c r="I3177" t="s">
        <v>112</v>
      </c>
      <c r="J3177" t="s">
        <v>2996</v>
      </c>
      <c r="K3177" t="s">
        <v>1676</v>
      </c>
      <c r="L3177" t="s">
        <v>1676</v>
      </c>
    </row>
    <row r="3178" spans="1:12" x14ac:dyDescent="0.3">
      <c r="A3178" t="s">
        <v>1778</v>
      </c>
      <c r="B3178" t="s">
        <v>732</v>
      </c>
      <c r="C3178" t="s">
        <v>711</v>
      </c>
      <c r="D3178" t="s">
        <v>1656</v>
      </c>
      <c r="E3178" t="s">
        <v>567</v>
      </c>
      <c r="F3178" t="s">
        <v>149</v>
      </c>
      <c r="G3178" t="s">
        <v>111</v>
      </c>
      <c r="H3178" t="s">
        <v>182</v>
      </c>
      <c r="I3178" t="s">
        <v>112</v>
      </c>
      <c r="J3178" t="s">
        <v>183</v>
      </c>
      <c r="K3178" t="s">
        <v>1568</v>
      </c>
      <c r="L3178" t="s">
        <v>1568</v>
      </c>
    </row>
    <row r="3179" spans="1:12" x14ac:dyDescent="0.3">
      <c r="A3179" t="s">
        <v>1778</v>
      </c>
      <c r="B3179" t="s">
        <v>732</v>
      </c>
      <c r="C3179" t="s">
        <v>711</v>
      </c>
      <c r="D3179" t="s">
        <v>1657</v>
      </c>
      <c r="E3179" t="s">
        <v>567</v>
      </c>
      <c r="F3179" t="s">
        <v>83</v>
      </c>
      <c r="G3179" t="s">
        <v>111</v>
      </c>
      <c r="H3179" t="s">
        <v>2995</v>
      </c>
      <c r="I3179" t="s">
        <v>112</v>
      </c>
      <c r="J3179" t="s">
        <v>2996</v>
      </c>
      <c r="K3179" t="s">
        <v>2987</v>
      </c>
      <c r="L3179" t="s">
        <v>2987</v>
      </c>
    </row>
    <row r="3180" spans="1:12" x14ac:dyDescent="0.3">
      <c r="A3180" t="s">
        <v>1778</v>
      </c>
      <c r="B3180" t="s">
        <v>732</v>
      </c>
      <c r="C3180" t="s">
        <v>711</v>
      </c>
      <c r="D3180" t="s">
        <v>1658</v>
      </c>
      <c r="E3180" t="s">
        <v>567</v>
      </c>
      <c r="F3180" t="s">
        <v>203</v>
      </c>
      <c r="G3180" t="s">
        <v>111</v>
      </c>
      <c r="H3180" t="s">
        <v>182</v>
      </c>
      <c r="I3180" t="s">
        <v>112</v>
      </c>
      <c r="J3180" t="s">
        <v>183</v>
      </c>
      <c r="K3180" t="s">
        <v>1608</v>
      </c>
      <c r="L3180" t="s">
        <v>1608</v>
      </c>
    </row>
    <row r="3181" spans="1:12" x14ac:dyDescent="0.3">
      <c r="A3181" t="s">
        <v>1778</v>
      </c>
      <c r="B3181" t="s">
        <v>732</v>
      </c>
      <c r="C3181" t="s">
        <v>711</v>
      </c>
      <c r="D3181" t="s">
        <v>1659</v>
      </c>
      <c r="E3181" t="s">
        <v>567</v>
      </c>
      <c r="F3181" t="s">
        <v>150</v>
      </c>
      <c r="G3181" t="s">
        <v>111</v>
      </c>
      <c r="H3181" t="s">
        <v>187</v>
      </c>
      <c r="I3181" t="s">
        <v>112</v>
      </c>
      <c r="J3181" t="s">
        <v>183</v>
      </c>
      <c r="K3181" t="s">
        <v>2819</v>
      </c>
      <c r="L3181" t="s">
        <v>2819</v>
      </c>
    </row>
    <row r="3182" spans="1:12" x14ac:dyDescent="0.3">
      <c r="A3182" t="s">
        <v>1778</v>
      </c>
      <c r="B3182" t="s">
        <v>732</v>
      </c>
      <c r="C3182" t="s">
        <v>711</v>
      </c>
      <c r="D3182" t="s">
        <v>1660</v>
      </c>
      <c r="E3182" t="s">
        <v>567</v>
      </c>
      <c r="F3182" t="s">
        <v>92</v>
      </c>
      <c r="G3182" t="s">
        <v>111</v>
      </c>
      <c r="H3182" t="s">
        <v>182</v>
      </c>
      <c r="I3182" t="s">
        <v>112</v>
      </c>
      <c r="J3182" t="s">
        <v>183</v>
      </c>
      <c r="K3182" t="s">
        <v>2928</v>
      </c>
      <c r="L3182" t="s">
        <v>2928</v>
      </c>
    </row>
    <row r="3183" spans="1:12" x14ac:dyDescent="0.3">
      <c r="A3183" t="s">
        <v>1778</v>
      </c>
      <c r="B3183" t="s">
        <v>732</v>
      </c>
      <c r="C3183" t="s">
        <v>711</v>
      </c>
      <c r="D3183" t="s">
        <v>1661</v>
      </c>
      <c r="E3183" t="s">
        <v>567</v>
      </c>
      <c r="F3183" t="s">
        <v>63</v>
      </c>
      <c r="G3183" t="s">
        <v>111</v>
      </c>
      <c r="H3183" t="s">
        <v>182</v>
      </c>
      <c r="I3183" t="s">
        <v>112</v>
      </c>
      <c r="J3183" t="s">
        <v>183</v>
      </c>
      <c r="K3183" t="s">
        <v>1574</v>
      </c>
      <c r="L3183" t="s">
        <v>1574</v>
      </c>
    </row>
    <row r="3184" spans="1:12" x14ac:dyDescent="0.3">
      <c r="A3184" t="s">
        <v>1778</v>
      </c>
      <c r="B3184" t="s">
        <v>732</v>
      </c>
      <c r="C3184" t="s">
        <v>711</v>
      </c>
      <c r="D3184" t="s">
        <v>1662</v>
      </c>
      <c r="E3184" t="s">
        <v>567</v>
      </c>
      <c r="F3184" t="s">
        <v>151</v>
      </c>
      <c r="G3184" t="s">
        <v>111</v>
      </c>
      <c r="H3184" t="s">
        <v>182</v>
      </c>
      <c r="I3184" t="s">
        <v>112</v>
      </c>
      <c r="J3184" t="s">
        <v>183</v>
      </c>
      <c r="K3184" t="s">
        <v>1600</v>
      </c>
      <c r="L3184" t="s">
        <v>1600</v>
      </c>
    </row>
    <row r="3185" spans="1:12" x14ac:dyDescent="0.3">
      <c r="A3185" t="s">
        <v>1778</v>
      </c>
      <c r="B3185" t="s">
        <v>732</v>
      </c>
      <c r="C3185" t="s">
        <v>711</v>
      </c>
      <c r="D3185" t="s">
        <v>1663</v>
      </c>
      <c r="E3185" t="s">
        <v>567</v>
      </c>
      <c r="F3185" t="s">
        <v>195</v>
      </c>
      <c r="G3185" t="s">
        <v>111</v>
      </c>
      <c r="H3185" t="s">
        <v>2999</v>
      </c>
      <c r="I3185" t="s">
        <v>112</v>
      </c>
      <c r="J3185" t="s">
        <v>2996</v>
      </c>
      <c r="K3185" t="s">
        <v>2928</v>
      </c>
      <c r="L3185" t="s">
        <v>2928</v>
      </c>
    </row>
    <row r="3186" spans="1:12" x14ac:dyDescent="0.3">
      <c r="A3186" t="s">
        <v>1778</v>
      </c>
      <c r="B3186" t="s">
        <v>732</v>
      </c>
      <c r="C3186" t="s">
        <v>711</v>
      </c>
      <c r="D3186" t="s">
        <v>1664</v>
      </c>
      <c r="E3186" t="s">
        <v>567</v>
      </c>
      <c r="F3186" t="s">
        <v>177</v>
      </c>
      <c r="G3186" t="s">
        <v>111</v>
      </c>
      <c r="H3186" t="s">
        <v>182</v>
      </c>
      <c r="I3186" t="s">
        <v>112</v>
      </c>
      <c r="J3186" t="s">
        <v>183</v>
      </c>
      <c r="K3186" t="s">
        <v>1551</v>
      </c>
      <c r="L3186" t="s">
        <v>1551</v>
      </c>
    </row>
    <row r="3187" spans="1:12" x14ac:dyDescent="0.3">
      <c r="A3187" t="s">
        <v>1778</v>
      </c>
      <c r="B3187" t="s">
        <v>732</v>
      </c>
      <c r="C3187" t="s">
        <v>711</v>
      </c>
      <c r="D3187" t="s">
        <v>1665</v>
      </c>
      <c r="E3187" t="s">
        <v>567</v>
      </c>
      <c r="F3187" t="s">
        <v>91</v>
      </c>
      <c r="G3187" t="s">
        <v>111</v>
      </c>
      <c r="H3187" t="s">
        <v>182</v>
      </c>
      <c r="I3187" t="s">
        <v>112</v>
      </c>
      <c r="J3187" t="s">
        <v>183</v>
      </c>
      <c r="K3187" t="s">
        <v>2873</v>
      </c>
      <c r="L3187" t="s">
        <v>2873</v>
      </c>
    </row>
    <row r="3188" spans="1:12" x14ac:dyDescent="0.3">
      <c r="A3188" t="s">
        <v>1778</v>
      </c>
      <c r="B3188" t="s">
        <v>732</v>
      </c>
      <c r="C3188" t="s">
        <v>711</v>
      </c>
      <c r="D3188" t="s">
        <v>1666</v>
      </c>
      <c r="E3188" t="s">
        <v>567</v>
      </c>
      <c r="F3188" t="s">
        <v>152</v>
      </c>
      <c r="G3188" t="s">
        <v>111</v>
      </c>
      <c r="H3188" t="s">
        <v>182</v>
      </c>
      <c r="I3188" t="s">
        <v>112</v>
      </c>
      <c r="J3188" t="s">
        <v>183</v>
      </c>
      <c r="K3188" t="s">
        <v>2829</v>
      </c>
      <c r="L3188" t="s">
        <v>2829</v>
      </c>
    </row>
    <row r="3189" spans="1:12" x14ac:dyDescent="0.3">
      <c r="A3189" t="s">
        <v>1778</v>
      </c>
      <c r="B3189" t="s">
        <v>732</v>
      </c>
      <c r="C3189" t="s">
        <v>711</v>
      </c>
      <c r="D3189" t="s">
        <v>1668</v>
      </c>
      <c r="E3189" t="s">
        <v>567</v>
      </c>
      <c r="F3189" t="s">
        <v>67</v>
      </c>
      <c r="G3189" t="s">
        <v>111</v>
      </c>
      <c r="H3189" t="s">
        <v>182</v>
      </c>
      <c r="I3189" t="s">
        <v>112</v>
      </c>
      <c r="J3189" t="s">
        <v>183</v>
      </c>
      <c r="K3189" t="s">
        <v>1559</v>
      </c>
      <c r="L3189" t="s">
        <v>1559</v>
      </c>
    </row>
    <row r="3190" spans="1:12" x14ac:dyDescent="0.3">
      <c r="A3190" t="s">
        <v>1778</v>
      </c>
      <c r="B3190" t="s">
        <v>732</v>
      </c>
      <c r="C3190" t="s">
        <v>711</v>
      </c>
      <c r="D3190" t="s">
        <v>1670</v>
      </c>
      <c r="E3190" t="s">
        <v>567</v>
      </c>
      <c r="F3190" t="s">
        <v>196</v>
      </c>
      <c r="G3190" t="s">
        <v>111</v>
      </c>
      <c r="H3190" t="s">
        <v>182</v>
      </c>
      <c r="I3190" t="s">
        <v>112</v>
      </c>
      <c r="J3190" t="s">
        <v>183</v>
      </c>
      <c r="K3190" t="s">
        <v>2972</v>
      </c>
      <c r="L3190" t="s">
        <v>2972</v>
      </c>
    </row>
    <row r="3191" spans="1:12" x14ac:dyDescent="0.3">
      <c r="A3191" t="s">
        <v>1778</v>
      </c>
      <c r="B3191" t="s">
        <v>732</v>
      </c>
      <c r="C3191" t="s">
        <v>711</v>
      </c>
      <c r="D3191" t="s">
        <v>1672</v>
      </c>
      <c r="E3191" t="s">
        <v>567</v>
      </c>
      <c r="F3191" t="s">
        <v>179</v>
      </c>
      <c r="G3191" t="s">
        <v>111</v>
      </c>
      <c r="H3191" t="s">
        <v>182</v>
      </c>
      <c r="I3191" t="s">
        <v>112</v>
      </c>
      <c r="J3191" t="s">
        <v>183</v>
      </c>
      <c r="K3191" t="s">
        <v>1635</v>
      </c>
      <c r="L3191" t="s">
        <v>1635</v>
      </c>
    </row>
    <row r="3192" spans="1:12" x14ac:dyDescent="0.3">
      <c r="A3192" t="s">
        <v>1778</v>
      </c>
      <c r="B3192" t="s">
        <v>732</v>
      </c>
      <c r="C3192" t="s">
        <v>711</v>
      </c>
      <c r="D3192" t="s">
        <v>1673</v>
      </c>
      <c r="E3192" t="s">
        <v>567</v>
      </c>
      <c r="F3192" t="s">
        <v>153</v>
      </c>
      <c r="G3192" t="s">
        <v>111</v>
      </c>
      <c r="H3192" t="s">
        <v>182</v>
      </c>
      <c r="I3192" t="s">
        <v>112</v>
      </c>
      <c r="J3192" t="s">
        <v>183</v>
      </c>
      <c r="K3192" t="s">
        <v>2819</v>
      </c>
      <c r="L3192" t="s">
        <v>2819</v>
      </c>
    </row>
    <row r="3193" spans="1:12" x14ac:dyDescent="0.3">
      <c r="A3193" t="s">
        <v>1778</v>
      </c>
      <c r="B3193" t="s">
        <v>732</v>
      </c>
      <c r="C3193" t="s">
        <v>711</v>
      </c>
      <c r="D3193" t="s">
        <v>1674</v>
      </c>
      <c r="E3193" t="s">
        <v>567</v>
      </c>
      <c r="F3193" t="s">
        <v>55</v>
      </c>
      <c r="G3193" t="s">
        <v>111</v>
      </c>
      <c r="H3193" t="s">
        <v>182</v>
      </c>
      <c r="I3193" t="s">
        <v>112</v>
      </c>
      <c r="J3193" t="s">
        <v>183</v>
      </c>
      <c r="K3193" t="s">
        <v>2861</v>
      </c>
      <c r="L3193" t="s">
        <v>2861</v>
      </c>
    </row>
    <row r="3194" spans="1:12" x14ac:dyDescent="0.3">
      <c r="A3194" t="s">
        <v>1778</v>
      </c>
      <c r="B3194" t="s">
        <v>732</v>
      </c>
      <c r="C3194" t="s">
        <v>711</v>
      </c>
      <c r="D3194" t="s">
        <v>1675</v>
      </c>
      <c r="E3194" t="s">
        <v>567</v>
      </c>
      <c r="F3194" t="s">
        <v>197</v>
      </c>
      <c r="G3194" t="s">
        <v>111</v>
      </c>
      <c r="H3194" t="s">
        <v>182</v>
      </c>
      <c r="I3194" t="s">
        <v>112</v>
      </c>
      <c r="J3194" t="s">
        <v>183</v>
      </c>
      <c r="K3194" t="s">
        <v>1568</v>
      </c>
      <c r="L3194" t="s">
        <v>1568</v>
      </c>
    </row>
    <row r="3195" spans="1:12" x14ac:dyDescent="0.3">
      <c r="A3195" t="s">
        <v>1778</v>
      </c>
      <c r="B3195" t="s">
        <v>732</v>
      </c>
      <c r="C3195" t="s">
        <v>711</v>
      </c>
      <c r="D3195" t="s">
        <v>1677</v>
      </c>
      <c r="E3195" t="s">
        <v>567</v>
      </c>
      <c r="F3195" t="s">
        <v>156</v>
      </c>
      <c r="G3195" t="s">
        <v>111</v>
      </c>
      <c r="H3195" t="s">
        <v>182</v>
      </c>
      <c r="I3195" t="s">
        <v>112</v>
      </c>
      <c r="J3195" t="s">
        <v>183</v>
      </c>
      <c r="K3195" t="s">
        <v>2975</v>
      </c>
      <c r="L3195" t="s">
        <v>2975</v>
      </c>
    </row>
    <row r="3196" spans="1:12" x14ac:dyDescent="0.3">
      <c r="A3196" t="s">
        <v>1778</v>
      </c>
      <c r="B3196" t="s">
        <v>732</v>
      </c>
      <c r="C3196" t="s">
        <v>711</v>
      </c>
      <c r="D3196" t="s">
        <v>1678</v>
      </c>
      <c r="E3196" t="s">
        <v>567</v>
      </c>
      <c r="F3196" t="s">
        <v>103</v>
      </c>
      <c r="G3196" t="s">
        <v>111</v>
      </c>
      <c r="H3196" t="s">
        <v>182</v>
      </c>
      <c r="I3196" t="s">
        <v>112</v>
      </c>
      <c r="J3196" t="s">
        <v>183</v>
      </c>
      <c r="K3196" t="s">
        <v>1548</v>
      </c>
      <c r="L3196" t="s">
        <v>1548</v>
      </c>
    </row>
    <row r="3197" spans="1:12" x14ac:dyDescent="0.3">
      <c r="A3197" t="s">
        <v>1778</v>
      </c>
      <c r="B3197" t="s">
        <v>732</v>
      </c>
      <c r="C3197" t="s">
        <v>711</v>
      </c>
      <c r="D3197" t="s">
        <v>1679</v>
      </c>
      <c r="E3197" t="s">
        <v>567</v>
      </c>
      <c r="F3197" t="s">
        <v>198</v>
      </c>
      <c r="G3197" t="s">
        <v>111</v>
      </c>
      <c r="H3197" t="s">
        <v>2999</v>
      </c>
      <c r="I3197" t="s">
        <v>112</v>
      </c>
      <c r="J3197" t="s">
        <v>2996</v>
      </c>
      <c r="K3197" t="s">
        <v>1562</v>
      </c>
      <c r="L3197" t="s">
        <v>1562</v>
      </c>
    </row>
    <row r="3198" spans="1:12" x14ac:dyDescent="0.3">
      <c r="A3198" t="s">
        <v>1778</v>
      </c>
      <c r="B3198" t="s">
        <v>732</v>
      </c>
      <c r="C3198" t="s">
        <v>711</v>
      </c>
      <c r="D3198" t="s">
        <v>1680</v>
      </c>
      <c r="E3198" t="s">
        <v>567</v>
      </c>
      <c r="F3198" t="s">
        <v>180</v>
      </c>
      <c r="G3198" t="s">
        <v>111</v>
      </c>
      <c r="H3198" t="s">
        <v>182</v>
      </c>
      <c r="I3198" t="s">
        <v>112</v>
      </c>
      <c r="J3198" t="s">
        <v>183</v>
      </c>
      <c r="K3198" t="s">
        <v>2976</v>
      </c>
      <c r="L3198" t="s">
        <v>2976</v>
      </c>
    </row>
    <row r="3199" spans="1:12" x14ac:dyDescent="0.3">
      <c r="A3199" t="s">
        <v>1778</v>
      </c>
      <c r="B3199" t="s">
        <v>732</v>
      </c>
      <c r="C3199" t="s">
        <v>711</v>
      </c>
      <c r="D3199" t="s">
        <v>1681</v>
      </c>
      <c r="E3199" t="s">
        <v>567</v>
      </c>
      <c r="F3199" t="s">
        <v>158</v>
      </c>
      <c r="G3199" t="s">
        <v>111</v>
      </c>
      <c r="H3199" t="s">
        <v>182</v>
      </c>
      <c r="I3199" t="s">
        <v>112</v>
      </c>
      <c r="J3199" t="s">
        <v>183</v>
      </c>
      <c r="K3199" t="s">
        <v>1551</v>
      </c>
      <c r="L3199" t="s">
        <v>1551</v>
      </c>
    </row>
    <row r="3200" spans="1:12" x14ac:dyDescent="0.3">
      <c r="A3200" t="s">
        <v>1778</v>
      </c>
      <c r="B3200" t="s">
        <v>732</v>
      </c>
      <c r="C3200" t="s">
        <v>711</v>
      </c>
      <c r="D3200" t="s">
        <v>1682</v>
      </c>
      <c r="E3200" t="s">
        <v>567</v>
      </c>
      <c r="F3200" t="s">
        <v>199</v>
      </c>
      <c r="G3200" t="s">
        <v>111</v>
      </c>
      <c r="H3200" t="s">
        <v>182</v>
      </c>
      <c r="I3200" t="s">
        <v>112</v>
      </c>
      <c r="J3200" t="s">
        <v>183</v>
      </c>
      <c r="K3200" t="s">
        <v>1551</v>
      </c>
      <c r="L3200" t="s">
        <v>1551</v>
      </c>
    </row>
    <row r="3201" spans="1:12" x14ac:dyDescent="0.3">
      <c r="A3201" t="s">
        <v>1778</v>
      </c>
      <c r="B3201" t="s">
        <v>732</v>
      </c>
      <c r="C3201" t="s">
        <v>711</v>
      </c>
      <c r="D3201" t="s">
        <v>1683</v>
      </c>
      <c r="E3201" t="s">
        <v>567</v>
      </c>
      <c r="F3201" t="s">
        <v>159</v>
      </c>
      <c r="G3201" t="s">
        <v>111</v>
      </c>
      <c r="H3201" t="s">
        <v>182</v>
      </c>
      <c r="I3201" t="s">
        <v>112</v>
      </c>
      <c r="J3201" t="s">
        <v>183</v>
      </c>
      <c r="K3201" t="s">
        <v>2988</v>
      </c>
      <c r="L3201" t="s">
        <v>2988</v>
      </c>
    </row>
    <row r="3202" spans="1:12" x14ac:dyDescent="0.3">
      <c r="A3202" t="s">
        <v>1778</v>
      </c>
      <c r="B3202" t="s">
        <v>732</v>
      </c>
      <c r="C3202" t="s">
        <v>711</v>
      </c>
      <c r="D3202" t="s">
        <v>1684</v>
      </c>
      <c r="E3202" t="s">
        <v>567</v>
      </c>
      <c r="F3202" t="s">
        <v>47</v>
      </c>
      <c r="G3202" t="s">
        <v>111</v>
      </c>
      <c r="H3202" t="s">
        <v>182</v>
      </c>
      <c r="I3202" t="s">
        <v>112</v>
      </c>
      <c r="J3202" t="s">
        <v>183</v>
      </c>
      <c r="K3202" t="s">
        <v>2886</v>
      </c>
      <c r="L3202" t="s">
        <v>2886</v>
      </c>
    </row>
    <row r="3203" spans="1:12" x14ac:dyDescent="0.3">
      <c r="A3203" t="s">
        <v>1778</v>
      </c>
      <c r="B3203" t="s">
        <v>732</v>
      </c>
      <c r="C3203" t="s">
        <v>711</v>
      </c>
      <c r="D3203" t="s">
        <v>1687</v>
      </c>
      <c r="E3203" t="s">
        <v>567</v>
      </c>
      <c r="F3203" t="s">
        <v>181</v>
      </c>
      <c r="G3203" t="s">
        <v>111</v>
      </c>
      <c r="H3203" t="s">
        <v>182</v>
      </c>
      <c r="I3203" t="s">
        <v>112</v>
      </c>
      <c r="J3203" t="s">
        <v>183</v>
      </c>
      <c r="K3203" t="s">
        <v>2977</v>
      </c>
      <c r="L3203" t="s">
        <v>2977</v>
      </c>
    </row>
    <row r="3204" spans="1:12" x14ac:dyDescent="0.3">
      <c r="A3204" t="s">
        <v>1778</v>
      </c>
      <c r="B3204" t="s">
        <v>732</v>
      </c>
      <c r="C3204" t="s">
        <v>711</v>
      </c>
      <c r="D3204" t="s">
        <v>1688</v>
      </c>
      <c r="E3204" t="s">
        <v>567</v>
      </c>
      <c r="F3204" t="s">
        <v>73</v>
      </c>
      <c r="G3204" t="s">
        <v>111</v>
      </c>
      <c r="H3204" t="s">
        <v>182</v>
      </c>
      <c r="I3204" t="s">
        <v>112</v>
      </c>
      <c r="J3204" t="s">
        <v>183</v>
      </c>
      <c r="K3204" t="s">
        <v>2989</v>
      </c>
      <c r="L3204" t="s">
        <v>2989</v>
      </c>
    </row>
    <row r="3205" spans="1:12" x14ac:dyDescent="0.3">
      <c r="A3205" t="s">
        <v>1778</v>
      </c>
      <c r="B3205" t="s">
        <v>732</v>
      </c>
      <c r="C3205" t="s">
        <v>711</v>
      </c>
      <c r="D3205" t="s">
        <v>1689</v>
      </c>
      <c r="E3205" t="s">
        <v>567</v>
      </c>
      <c r="F3205" t="s">
        <v>162</v>
      </c>
      <c r="G3205" t="s">
        <v>111</v>
      </c>
      <c r="H3205" t="s">
        <v>182</v>
      </c>
      <c r="I3205" t="s">
        <v>112</v>
      </c>
      <c r="J3205" t="s">
        <v>183</v>
      </c>
      <c r="K3205" t="s">
        <v>1579</v>
      </c>
      <c r="L3205" t="s">
        <v>1579</v>
      </c>
    </row>
    <row r="3206" spans="1:12" x14ac:dyDescent="0.3">
      <c r="A3206" t="s">
        <v>709</v>
      </c>
      <c r="B3206" t="s">
        <v>1491</v>
      </c>
      <c r="C3206" t="s">
        <v>750</v>
      </c>
      <c r="D3206" t="s">
        <v>209</v>
      </c>
      <c r="E3206" t="s">
        <v>569</v>
      </c>
      <c r="F3206" t="s">
        <v>115</v>
      </c>
      <c r="G3206" t="s">
        <v>111</v>
      </c>
      <c r="H3206" t="s">
        <v>113</v>
      </c>
      <c r="I3206" t="s">
        <v>112</v>
      </c>
      <c r="J3206" t="s">
        <v>114</v>
      </c>
      <c r="K3206" t="s">
        <v>1693</v>
      </c>
      <c r="L3206" t="s">
        <v>1693</v>
      </c>
    </row>
    <row r="3207" spans="1:12" x14ac:dyDescent="0.3">
      <c r="A3207" t="s">
        <v>709</v>
      </c>
      <c r="B3207" t="s">
        <v>1491</v>
      </c>
      <c r="C3207" t="s">
        <v>750</v>
      </c>
      <c r="D3207" t="s">
        <v>304</v>
      </c>
      <c r="E3207" t="s">
        <v>569</v>
      </c>
      <c r="F3207" t="s">
        <v>117</v>
      </c>
      <c r="G3207" t="s">
        <v>111</v>
      </c>
      <c r="H3207" t="s">
        <v>113</v>
      </c>
      <c r="I3207" t="s">
        <v>112</v>
      </c>
      <c r="J3207" t="s">
        <v>114</v>
      </c>
      <c r="K3207" t="s">
        <v>1694</v>
      </c>
      <c r="L3207" t="s">
        <v>1694</v>
      </c>
    </row>
    <row r="3208" spans="1:12" x14ac:dyDescent="0.3">
      <c r="A3208" t="s">
        <v>709</v>
      </c>
      <c r="B3208" t="s">
        <v>1491</v>
      </c>
      <c r="C3208" t="s">
        <v>750</v>
      </c>
      <c r="D3208" t="s">
        <v>211</v>
      </c>
      <c r="E3208" t="s">
        <v>569</v>
      </c>
      <c r="F3208" t="s">
        <v>188</v>
      </c>
      <c r="G3208" t="s">
        <v>111</v>
      </c>
      <c r="H3208" t="s">
        <v>113</v>
      </c>
      <c r="I3208" t="s">
        <v>112</v>
      </c>
      <c r="J3208" t="s">
        <v>114</v>
      </c>
      <c r="K3208" t="s">
        <v>1693</v>
      </c>
      <c r="L3208" t="s">
        <v>1693</v>
      </c>
    </row>
    <row r="3209" spans="1:12" x14ac:dyDescent="0.3">
      <c r="A3209" t="s">
        <v>709</v>
      </c>
      <c r="B3209" t="s">
        <v>1491</v>
      </c>
      <c r="C3209" t="s">
        <v>750</v>
      </c>
      <c r="D3209" t="s">
        <v>305</v>
      </c>
      <c r="E3209" t="s">
        <v>569</v>
      </c>
      <c r="F3209" t="s">
        <v>120</v>
      </c>
      <c r="G3209" t="s">
        <v>111</v>
      </c>
      <c r="H3209" t="s">
        <v>113</v>
      </c>
      <c r="I3209" t="s">
        <v>112</v>
      </c>
      <c r="J3209" t="s">
        <v>114</v>
      </c>
      <c r="K3209" t="s">
        <v>1695</v>
      </c>
      <c r="L3209" t="s">
        <v>1695</v>
      </c>
    </row>
    <row r="3210" spans="1:12" x14ac:dyDescent="0.3">
      <c r="A3210" t="s">
        <v>709</v>
      </c>
      <c r="B3210" t="s">
        <v>1491</v>
      </c>
      <c r="C3210" t="s">
        <v>750</v>
      </c>
      <c r="D3210" t="s">
        <v>213</v>
      </c>
      <c r="E3210" t="s">
        <v>569</v>
      </c>
      <c r="F3210" t="s">
        <v>53</v>
      </c>
      <c r="G3210" t="s">
        <v>111</v>
      </c>
      <c r="H3210" t="s">
        <v>113</v>
      </c>
      <c r="I3210" t="s">
        <v>112</v>
      </c>
      <c r="J3210" t="s">
        <v>114</v>
      </c>
      <c r="K3210" t="s">
        <v>1693</v>
      </c>
      <c r="L3210" t="s">
        <v>1693</v>
      </c>
    </row>
    <row r="3211" spans="1:12" x14ac:dyDescent="0.3">
      <c r="A3211" t="s">
        <v>709</v>
      </c>
      <c r="B3211" t="s">
        <v>1491</v>
      </c>
      <c r="C3211" t="s">
        <v>750</v>
      </c>
      <c r="D3211" t="s">
        <v>214</v>
      </c>
      <c r="E3211" t="s">
        <v>569</v>
      </c>
      <c r="F3211" t="s">
        <v>56</v>
      </c>
      <c r="G3211" t="s">
        <v>111</v>
      </c>
      <c r="H3211" t="s">
        <v>118</v>
      </c>
      <c r="I3211" t="s">
        <v>112</v>
      </c>
      <c r="J3211" t="s">
        <v>119</v>
      </c>
      <c r="K3211" t="s">
        <v>1694</v>
      </c>
      <c r="L3211" t="s">
        <v>1694</v>
      </c>
    </row>
    <row r="3212" spans="1:12" x14ac:dyDescent="0.3">
      <c r="A3212" t="s">
        <v>709</v>
      </c>
      <c r="B3212" t="s">
        <v>1491</v>
      </c>
      <c r="C3212" t="s">
        <v>750</v>
      </c>
      <c r="D3212" t="s">
        <v>215</v>
      </c>
      <c r="E3212" t="s">
        <v>569</v>
      </c>
      <c r="F3212" t="s">
        <v>69</v>
      </c>
      <c r="G3212" t="s">
        <v>111</v>
      </c>
      <c r="H3212" t="s">
        <v>113</v>
      </c>
      <c r="I3212" t="s">
        <v>112</v>
      </c>
      <c r="J3212" t="s">
        <v>114</v>
      </c>
      <c r="K3212" t="s">
        <v>1694</v>
      </c>
      <c r="L3212" t="s">
        <v>1694</v>
      </c>
    </row>
    <row r="3213" spans="1:12" x14ac:dyDescent="0.3">
      <c r="A3213" t="s">
        <v>709</v>
      </c>
      <c r="B3213" t="s">
        <v>1491</v>
      </c>
      <c r="C3213" t="s">
        <v>750</v>
      </c>
      <c r="D3213" t="s">
        <v>306</v>
      </c>
      <c r="E3213" t="s">
        <v>569</v>
      </c>
      <c r="F3213" t="s">
        <v>165</v>
      </c>
      <c r="G3213" t="s">
        <v>111</v>
      </c>
      <c r="H3213" t="s">
        <v>113</v>
      </c>
      <c r="I3213" t="s">
        <v>112</v>
      </c>
      <c r="J3213" t="s">
        <v>114</v>
      </c>
      <c r="K3213" t="s">
        <v>1694</v>
      </c>
      <c r="L3213" t="s">
        <v>1694</v>
      </c>
    </row>
    <row r="3214" spans="1:12" x14ac:dyDescent="0.3">
      <c r="A3214" t="s">
        <v>709</v>
      </c>
      <c r="B3214" t="s">
        <v>1491</v>
      </c>
      <c r="C3214" t="s">
        <v>750</v>
      </c>
      <c r="D3214" t="s">
        <v>218</v>
      </c>
      <c r="E3214" t="s">
        <v>569</v>
      </c>
      <c r="F3214" t="s">
        <v>166</v>
      </c>
      <c r="G3214" t="s">
        <v>111</v>
      </c>
      <c r="H3214" t="s">
        <v>113</v>
      </c>
      <c r="I3214" t="s">
        <v>112</v>
      </c>
      <c r="J3214" t="s">
        <v>114</v>
      </c>
      <c r="K3214" t="s">
        <v>1693</v>
      </c>
      <c r="L3214" t="s">
        <v>1693</v>
      </c>
    </row>
    <row r="3215" spans="1:12" x14ac:dyDescent="0.3">
      <c r="A3215" t="s">
        <v>709</v>
      </c>
      <c r="B3215" t="s">
        <v>1491</v>
      </c>
      <c r="C3215" t="s">
        <v>750</v>
      </c>
      <c r="D3215" t="s">
        <v>307</v>
      </c>
      <c r="E3215" t="s">
        <v>569</v>
      </c>
      <c r="F3215" t="s">
        <v>123</v>
      </c>
      <c r="G3215" t="s">
        <v>111</v>
      </c>
      <c r="H3215" t="s">
        <v>118</v>
      </c>
      <c r="I3215" t="s">
        <v>112</v>
      </c>
      <c r="J3215" t="s">
        <v>119</v>
      </c>
      <c r="K3215" t="s">
        <v>600</v>
      </c>
      <c r="L3215" t="s">
        <v>600</v>
      </c>
    </row>
    <row r="3216" spans="1:12" x14ac:dyDescent="0.3">
      <c r="A3216" t="s">
        <v>709</v>
      </c>
      <c r="B3216" t="s">
        <v>1491</v>
      </c>
      <c r="C3216" t="s">
        <v>750</v>
      </c>
      <c r="D3216" t="s">
        <v>219</v>
      </c>
      <c r="E3216" t="s">
        <v>569</v>
      </c>
      <c r="F3216" t="s">
        <v>189</v>
      </c>
      <c r="G3216" t="s">
        <v>111</v>
      </c>
      <c r="H3216" t="s">
        <v>113</v>
      </c>
      <c r="I3216" t="s">
        <v>112</v>
      </c>
      <c r="J3216" t="s">
        <v>114</v>
      </c>
      <c r="K3216" t="s">
        <v>1693</v>
      </c>
      <c r="L3216" t="s">
        <v>1693</v>
      </c>
    </row>
    <row r="3217" spans="1:12" x14ac:dyDescent="0.3">
      <c r="A3217" t="s">
        <v>709</v>
      </c>
      <c r="B3217" t="s">
        <v>1491</v>
      </c>
      <c r="C3217" t="s">
        <v>750</v>
      </c>
      <c r="D3217" t="s">
        <v>220</v>
      </c>
      <c r="E3217" t="s">
        <v>569</v>
      </c>
      <c r="F3217" t="s">
        <v>54</v>
      </c>
      <c r="G3217" t="s">
        <v>111</v>
      </c>
      <c r="H3217" t="s">
        <v>113</v>
      </c>
      <c r="I3217" t="s">
        <v>112</v>
      </c>
      <c r="J3217" t="s">
        <v>114</v>
      </c>
      <c r="K3217" t="s">
        <v>1693</v>
      </c>
      <c r="L3217" t="s">
        <v>1693</v>
      </c>
    </row>
    <row r="3218" spans="1:12" x14ac:dyDescent="0.3">
      <c r="A3218" t="s">
        <v>709</v>
      </c>
      <c r="B3218" t="s">
        <v>1491</v>
      </c>
      <c r="C3218" t="s">
        <v>750</v>
      </c>
      <c r="D3218" t="s">
        <v>221</v>
      </c>
      <c r="E3218" t="s">
        <v>569</v>
      </c>
      <c r="F3218" t="s">
        <v>45</v>
      </c>
      <c r="G3218" t="s">
        <v>111</v>
      </c>
      <c r="H3218" t="s">
        <v>113</v>
      </c>
      <c r="I3218" t="s">
        <v>112</v>
      </c>
      <c r="J3218" t="s">
        <v>114</v>
      </c>
      <c r="K3218" t="s">
        <v>1693</v>
      </c>
      <c r="L3218" t="s">
        <v>1693</v>
      </c>
    </row>
    <row r="3219" spans="1:12" x14ac:dyDescent="0.3">
      <c r="A3219" t="s">
        <v>709</v>
      </c>
      <c r="B3219" t="s">
        <v>1491</v>
      </c>
      <c r="C3219" t="s">
        <v>750</v>
      </c>
      <c r="D3219" t="s">
        <v>223</v>
      </c>
      <c r="E3219" t="s">
        <v>569</v>
      </c>
      <c r="F3219" t="s">
        <v>65</v>
      </c>
      <c r="G3219" t="s">
        <v>111</v>
      </c>
      <c r="H3219" t="s">
        <v>113</v>
      </c>
      <c r="I3219" t="s">
        <v>112</v>
      </c>
      <c r="J3219" t="s">
        <v>114</v>
      </c>
      <c r="K3219" t="s">
        <v>1693</v>
      </c>
      <c r="L3219" t="s">
        <v>1693</v>
      </c>
    </row>
    <row r="3220" spans="1:12" x14ac:dyDescent="0.3">
      <c r="A3220" t="s">
        <v>709</v>
      </c>
      <c r="B3220" t="s">
        <v>1491</v>
      </c>
      <c r="C3220" t="s">
        <v>750</v>
      </c>
      <c r="D3220" t="s">
        <v>224</v>
      </c>
      <c r="E3220" t="s">
        <v>569</v>
      </c>
      <c r="F3220" t="s">
        <v>125</v>
      </c>
      <c r="G3220" t="s">
        <v>111</v>
      </c>
      <c r="H3220" t="s">
        <v>113</v>
      </c>
      <c r="I3220" t="s">
        <v>112</v>
      </c>
      <c r="J3220" t="s">
        <v>114</v>
      </c>
      <c r="K3220" t="s">
        <v>1693</v>
      </c>
      <c r="L3220" t="s">
        <v>1693</v>
      </c>
    </row>
    <row r="3221" spans="1:12" x14ac:dyDescent="0.3">
      <c r="A3221" t="s">
        <v>709</v>
      </c>
      <c r="B3221" t="s">
        <v>1491</v>
      </c>
      <c r="C3221" t="s">
        <v>750</v>
      </c>
      <c r="D3221" t="s">
        <v>225</v>
      </c>
      <c r="E3221" t="s">
        <v>569</v>
      </c>
      <c r="F3221" t="s">
        <v>126</v>
      </c>
      <c r="G3221" t="s">
        <v>111</v>
      </c>
      <c r="H3221" t="s">
        <v>113</v>
      </c>
      <c r="I3221" t="s">
        <v>112</v>
      </c>
      <c r="J3221" t="s">
        <v>114</v>
      </c>
      <c r="K3221" t="s">
        <v>1693</v>
      </c>
      <c r="L3221" t="s">
        <v>1693</v>
      </c>
    </row>
    <row r="3222" spans="1:12" x14ac:dyDescent="0.3">
      <c r="A3222" t="s">
        <v>709</v>
      </c>
      <c r="B3222" t="s">
        <v>1491</v>
      </c>
      <c r="C3222" t="s">
        <v>750</v>
      </c>
      <c r="D3222" t="s">
        <v>227</v>
      </c>
      <c r="E3222" t="s">
        <v>569</v>
      </c>
      <c r="F3222" t="s">
        <v>192</v>
      </c>
      <c r="G3222" t="s">
        <v>111</v>
      </c>
      <c r="H3222" t="s">
        <v>113</v>
      </c>
      <c r="I3222" t="s">
        <v>112</v>
      </c>
      <c r="J3222" t="s">
        <v>114</v>
      </c>
      <c r="K3222" t="s">
        <v>1693</v>
      </c>
      <c r="L3222" t="s">
        <v>1693</v>
      </c>
    </row>
    <row r="3223" spans="1:12" x14ac:dyDescent="0.3">
      <c r="A3223" t="s">
        <v>709</v>
      </c>
      <c r="B3223" t="s">
        <v>1491</v>
      </c>
      <c r="C3223" t="s">
        <v>750</v>
      </c>
      <c r="D3223" t="s">
        <v>228</v>
      </c>
      <c r="E3223" t="s">
        <v>569</v>
      </c>
      <c r="F3223" t="s">
        <v>167</v>
      </c>
      <c r="G3223" t="s">
        <v>111</v>
      </c>
      <c r="H3223" t="s">
        <v>113</v>
      </c>
      <c r="I3223" t="s">
        <v>112</v>
      </c>
      <c r="J3223" t="s">
        <v>114</v>
      </c>
      <c r="K3223" t="s">
        <v>1693</v>
      </c>
      <c r="L3223" t="s">
        <v>1693</v>
      </c>
    </row>
    <row r="3224" spans="1:12" x14ac:dyDescent="0.3">
      <c r="A3224" t="s">
        <v>709</v>
      </c>
      <c r="B3224" t="s">
        <v>1491</v>
      </c>
      <c r="C3224" t="s">
        <v>750</v>
      </c>
      <c r="D3224" t="s">
        <v>229</v>
      </c>
      <c r="E3224" t="s">
        <v>569</v>
      </c>
      <c r="F3224" t="s">
        <v>127</v>
      </c>
      <c r="G3224" t="s">
        <v>111</v>
      </c>
      <c r="H3224" t="s">
        <v>113</v>
      </c>
      <c r="I3224" t="s">
        <v>112</v>
      </c>
      <c r="J3224" t="s">
        <v>114</v>
      </c>
      <c r="K3224" t="s">
        <v>1694</v>
      </c>
      <c r="L3224" t="s">
        <v>1694</v>
      </c>
    </row>
    <row r="3225" spans="1:12" x14ac:dyDescent="0.3">
      <c r="A3225" t="s">
        <v>709</v>
      </c>
      <c r="B3225" t="s">
        <v>1491</v>
      </c>
      <c r="C3225" t="s">
        <v>750</v>
      </c>
      <c r="D3225" t="s">
        <v>310</v>
      </c>
      <c r="E3225" t="s">
        <v>569</v>
      </c>
      <c r="F3225" t="s">
        <v>128</v>
      </c>
      <c r="G3225" t="s">
        <v>111</v>
      </c>
      <c r="H3225" t="s">
        <v>118</v>
      </c>
      <c r="I3225" t="s">
        <v>112</v>
      </c>
      <c r="J3225" t="s">
        <v>119</v>
      </c>
      <c r="K3225" t="s">
        <v>1695</v>
      </c>
      <c r="L3225" t="s">
        <v>1695</v>
      </c>
    </row>
    <row r="3226" spans="1:12" x14ac:dyDescent="0.3">
      <c r="A3226" t="s">
        <v>709</v>
      </c>
      <c r="B3226" t="s">
        <v>1491</v>
      </c>
      <c r="C3226" t="s">
        <v>750</v>
      </c>
      <c r="D3226" t="s">
        <v>311</v>
      </c>
      <c r="E3226" t="s">
        <v>569</v>
      </c>
      <c r="F3226" t="s">
        <v>89</v>
      </c>
      <c r="G3226" t="s">
        <v>111</v>
      </c>
      <c r="H3226" t="s">
        <v>113</v>
      </c>
      <c r="I3226" t="s">
        <v>112</v>
      </c>
      <c r="J3226" t="s">
        <v>114</v>
      </c>
      <c r="K3226" t="s">
        <v>1696</v>
      </c>
      <c r="L3226" t="s">
        <v>1696</v>
      </c>
    </row>
    <row r="3227" spans="1:12" x14ac:dyDescent="0.3">
      <c r="A3227" t="s">
        <v>709</v>
      </c>
      <c r="B3227" t="s">
        <v>1491</v>
      </c>
      <c r="C3227" t="s">
        <v>750</v>
      </c>
      <c r="D3227" t="s">
        <v>231</v>
      </c>
      <c r="E3227" t="s">
        <v>569</v>
      </c>
      <c r="F3227" t="s">
        <v>66</v>
      </c>
      <c r="G3227" t="s">
        <v>111</v>
      </c>
      <c r="H3227" t="s">
        <v>113</v>
      </c>
      <c r="I3227" t="s">
        <v>112</v>
      </c>
      <c r="J3227" t="s">
        <v>114</v>
      </c>
      <c r="K3227" t="s">
        <v>1693</v>
      </c>
      <c r="L3227" t="s">
        <v>1693</v>
      </c>
    </row>
    <row r="3228" spans="1:12" x14ac:dyDescent="0.3">
      <c r="A3228" t="s">
        <v>709</v>
      </c>
      <c r="B3228" t="s">
        <v>1491</v>
      </c>
      <c r="C3228" t="s">
        <v>750</v>
      </c>
      <c r="D3228" t="s">
        <v>232</v>
      </c>
      <c r="E3228" t="s">
        <v>569</v>
      </c>
      <c r="F3228" t="s">
        <v>169</v>
      </c>
      <c r="G3228" t="s">
        <v>111</v>
      </c>
      <c r="H3228" t="s">
        <v>113</v>
      </c>
      <c r="I3228" t="s">
        <v>112</v>
      </c>
      <c r="J3228" t="s">
        <v>114</v>
      </c>
      <c r="K3228" t="s">
        <v>1693</v>
      </c>
      <c r="L3228" t="s">
        <v>1693</v>
      </c>
    </row>
    <row r="3229" spans="1:12" x14ac:dyDescent="0.3">
      <c r="A3229" t="s">
        <v>709</v>
      </c>
      <c r="B3229" t="s">
        <v>1491</v>
      </c>
      <c r="C3229" t="s">
        <v>750</v>
      </c>
      <c r="D3229" t="s">
        <v>234</v>
      </c>
      <c r="E3229" t="s">
        <v>569</v>
      </c>
      <c r="F3229" t="s">
        <v>93</v>
      </c>
      <c r="G3229" t="s">
        <v>111</v>
      </c>
      <c r="H3229" t="s">
        <v>113</v>
      </c>
      <c r="I3229" t="s">
        <v>112</v>
      </c>
      <c r="J3229" t="s">
        <v>114</v>
      </c>
      <c r="K3229" t="s">
        <v>1693</v>
      </c>
      <c r="L3229" t="s">
        <v>1693</v>
      </c>
    </row>
    <row r="3230" spans="1:12" x14ac:dyDescent="0.3">
      <c r="A3230" t="s">
        <v>709</v>
      </c>
      <c r="B3230" t="s">
        <v>1491</v>
      </c>
      <c r="C3230" t="s">
        <v>750</v>
      </c>
      <c r="D3230" t="s">
        <v>312</v>
      </c>
      <c r="E3230" t="s">
        <v>569</v>
      </c>
      <c r="F3230" t="s">
        <v>129</v>
      </c>
      <c r="G3230" t="s">
        <v>111</v>
      </c>
      <c r="H3230" t="s">
        <v>113</v>
      </c>
      <c r="I3230" t="s">
        <v>112</v>
      </c>
      <c r="J3230" t="s">
        <v>114</v>
      </c>
      <c r="K3230" t="s">
        <v>1693</v>
      </c>
      <c r="L3230" t="s">
        <v>1693</v>
      </c>
    </row>
    <row r="3231" spans="1:12" x14ac:dyDescent="0.3">
      <c r="A3231" t="s">
        <v>709</v>
      </c>
      <c r="B3231" t="s">
        <v>1491</v>
      </c>
      <c r="C3231" t="s">
        <v>750</v>
      </c>
      <c r="D3231" t="s">
        <v>313</v>
      </c>
      <c r="E3231" t="s">
        <v>569</v>
      </c>
      <c r="F3231" t="s">
        <v>68</v>
      </c>
      <c r="G3231" t="s">
        <v>111</v>
      </c>
      <c r="H3231" t="s">
        <v>113</v>
      </c>
      <c r="I3231" t="s">
        <v>112</v>
      </c>
      <c r="J3231" t="s">
        <v>114</v>
      </c>
      <c r="K3231" t="s">
        <v>1694</v>
      </c>
      <c r="L3231" t="s">
        <v>1694</v>
      </c>
    </row>
    <row r="3232" spans="1:12" x14ac:dyDescent="0.3">
      <c r="A3232" t="s">
        <v>709</v>
      </c>
      <c r="B3232" t="s">
        <v>1491</v>
      </c>
      <c r="C3232" t="s">
        <v>750</v>
      </c>
      <c r="D3232" t="s">
        <v>235</v>
      </c>
      <c r="E3232" t="s">
        <v>569</v>
      </c>
      <c r="F3232" t="s">
        <v>85</v>
      </c>
      <c r="G3232" t="s">
        <v>111</v>
      </c>
      <c r="H3232" t="s">
        <v>118</v>
      </c>
      <c r="I3232" t="s">
        <v>112</v>
      </c>
      <c r="J3232" t="s">
        <v>119</v>
      </c>
      <c r="K3232" t="s">
        <v>1697</v>
      </c>
      <c r="L3232" t="s">
        <v>1697</v>
      </c>
    </row>
    <row r="3233" spans="1:12" x14ac:dyDescent="0.3">
      <c r="A3233" t="s">
        <v>709</v>
      </c>
      <c r="B3233" t="s">
        <v>1491</v>
      </c>
      <c r="C3233" t="s">
        <v>750</v>
      </c>
      <c r="D3233" t="s">
        <v>314</v>
      </c>
      <c r="E3233" t="s">
        <v>569</v>
      </c>
      <c r="F3233" t="s">
        <v>61</v>
      </c>
      <c r="G3233" t="s">
        <v>111</v>
      </c>
      <c r="H3233" t="s">
        <v>118</v>
      </c>
      <c r="I3233" t="s">
        <v>112</v>
      </c>
      <c r="J3233" t="s">
        <v>119</v>
      </c>
      <c r="K3233" t="s">
        <v>1698</v>
      </c>
      <c r="L3233" t="s">
        <v>1698</v>
      </c>
    </row>
    <row r="3234" spans="1:12" x14ac:dyDescent="0.3">
      <c r="A3234" t="s">
        <v>709</v>
      </c>
      <c r="B3234" t="s">
        <v>1491</v>
      </c>
      <c r="C3234" t="s">
        <v>750</v>
      </c>
      <c r="D3234" t="s">
        <v>236</v>
      </c>
      <c r="E3234" t="s">
        <v>569</v>
      </c>
      <c r="F3234" t="s">
        <v>87</v>
      </c>
      <c r="G3234" t="s">
        <v>111</v>
      </c>
      <c r="H3234" t="s">
        <v>113</v>
      </c>
      <c r="I3234" t="s">
        <v>112</v>
      </c>
      <c r="J3234" t="s">
        <v>114</v>
      </c>
      <c r="K3234" t="s">
        <v>1693</v>
      </c>
      <c r="L3234" t="s">
        <v>1693</v>
      </c>
    </row>
    <row r="3235" spans="1:12" x14ac:dyDescent="0.3">
      <c r="A3235" t="s">
        <v>709</v>
      </c>
      <c r="B3235" t="s">
        <v>1491</v>
      </c>
      <c r="C3235" t="s">
        <v>750</v>
      </c>
      <c r="D3235" t="s">
        <v>237</v>
      </c>
      <c r="E3235" t="s">
        <v>569</v>
      </c>
      <c r="F3235" t="s">
        <v>130</v>
      </c>
      <c r="G3235" t="s">
        <v>111</v>
      </c>
      <c r="H3235" t="s">
        <v>118</v>
      </c>
      <c r="I3235" t="s">
        <v>112</v>
      </c>
      <c r="J3235" t="s">
        <v>119</v>
      </c>
      <c r="K3235" t="s">
        <v>1693</v>
      </c>
      <c r="L3235" t="s">
        <v>1693</v>
      </c>
    </row>
    <row r="3236" spans="1:12" x14ac:dyDescent="0.3">
      <c r="A3236" t="s">
        <v>709</v>
      </c>
      <c r="B3236" t="s">
        <v>1491</v>
      </c>
      <c r="C3236" t="s">
        <v>750</v>
      </c>
      <c r="D3236" t="s">
        <v>238</v>
      </c>
      <c r="E3236" t="s">
        <v>569</v>
      </c>
      <c r="F3236" t="s">
        <v>131</v>
      </c>
      <c r="G3236" t="s">
        <v>111</v>
      </c>
      <c r="H3236" t="s">
        <v>113</v>
      </c>
      <c r="I3236" t="s">
        <v>112</v>
      </c>
      <c r="J3236" t="s">
        <v>114</v>
      </c>
      <c r="K3236" t="s">
        <v>1693</v>
      </c>
      <c r="L3236" t="s">
        <v>1693</v>
      </c>
    </row>
    <row r="3237" spans="1:12" x14ac:dyDescent="0.3">
      <c r="A3237" t="s">
        <v>709</v>
      </c>
      <c r="B3237" t="s">
        <v>1491</v>
      </c>
      <c r="C3237" t="s">
        <v>750</v>
      </c>
      <c r="D3237" t="s">
        <v>239</v>
      </c>
      <c r="E3237" t="s">
        <v>569</v>
      </c>
      <c r="F3237" t="s">
        <v>50</v>
      </c>
      <c r="G3237" t="s">
        <v>111</v>
      </c>
      <c r="H3237" t="s">
        <v>113</v>
      </c>
      <c r="I3237" t="s">
        <v>112</v>
      </c>
      <c r="J3237" t="s">
        <v>114</v>
      </c>
      <c r="K3237" t="s">
        <v>1699</v>
      </c>
      <c r="L3237" t="s">
        <v>1699</v>
      </c>
    </row>
    <row r="3238" spans="1:12" x14ac:dyDescent="0.3">
      <c r="A3238" t="s">
        <v>709</v>
      </c>
      <c r="B3238" t="s">
        <v>1491</v>
      </c>
      <c r="C3238" t="s">
        <v>750</v>
      </c>
      <c r="D3238" t="s">
        <v>315</v>
      </c>
      <c r="E3238" t="s">
        <v>568</v>
      </c>
      <c r="F3238" t="s">
        <v>79</v>
      </c>
      <c r="G3238" t="s">
        <v>111</v>
      </c>
      <c r="H3238" t="s">
        <v>118</v>
      </c>
      <c r="I3238" t="s">
        <v>112</v>
      </c>
      <c r="J3238" t="s">
        <v>119</v>
      </c>
      <c r="K3238" t="s">
        <v>1693</v>
      </c>
      <c r="L3238" t="s">
        <v>1693</v>
      </c>
    </row>
    <row r="3239" spans="1:12" x14ac:dyDescent="0.3">
      <c r="A3239" t="s">
        <v>709</v>
      </c>
      <c r="B3239" t="s">
        <v>1491</v>
      </c>
      <c r="C3239" t="s">
        <v>750</v>
      </c>
      <c r="D3239" t="s">
        <v>316</v>
      </c>
      <c r="E3239" t="s">
        <v>568</v>
      </c>
      <c r="F3239" t="s">
        <v>132</v>
      </c>
      <c r="G3239" t="s">
        <v>111</v>
      </c>
      <c r="H3239" t="s">
        <v>113</v>
      </c>
      <c r="I3239" t="s">
        <v>112</v>
      </c>
      <c r="J3239" t="s">
        <v>114</v>
      </c>
      <c r="K3239" t="s">
        <v>1693</v>
      </c>
      <c r="L3239" t="s">
        <v>1693</v>
      </c>
    </row>
    <row r="3240" spans="1:12" x14ac:dyDescent="0.3">
      <c r="A3240" t="s">
        <v>709</v>
      </c>
      <c r="B3240" t="s">
        <v>1491</v>
      </c>
      <c r="C3240" t="s">
        <v>750</v>
      </c>
      <c r="D3240" t="s">
        <v>317</v>
      </c>
      <c r="E3240" t="s">
        <v>568</v>
      </c>
      <c r="F3240" t="s">
        <v>133</v>
      </c>
      <c r="G3240" t="s">
        <v>111</v>
      </c>
      <c r="H3240" t="s">
        <v>118</v>
      </c>
      <c r="I3240" t="s">
        <v>112</v>
      </c>
      <c r="J3240" t="s">
        <v>119</v>
      </c>
      <c r="K3240" t="s">
        <v>1695</v>
      </c>
      <c r="L3240" t="s">
        <v>1695</v>
      </c>
    </row>
    <row r="3241" spans="1:12" x14ac:dyDescent="0.3">
      <c r="A3241" t="s">
        <v>709</v>
      </c>
      <c r="B3241" t="s">
        <v>1491</v>
      </c>
      <c r="C3241" t="s">
        <v>750</v>
      </c>
      <c r="D3241" t="s">
        <v>318</v>
      </c>
      <c r="E3241" t="s">
        <v>568</v>
      </c>
      <c r="F3241" t="s">
        <v>193</v>
      </c>
      <c r="G3241" t="s">
        <v>111</v>
      </c>
      <c r="H3241" t="s">
        <v>118</v>
      </c>
      <c r="I3241" t="s">
        <v>112</v>
      </c>
      <c r="J3241" t="s">
        <v>119</v>
      </c>
      <c r="K3241" t="s">
        <v>1698</v>
      </c>
      <c r="L3241" t="s">
        <v>1698</v>
      </c>
    </row>
    <row r="3242" spans="1:12" x14ac:dyDescent="0.3">
      <c r="A3242" t="s">
        <v>709</v>
      </c>
      <c r="B3242" t="s">
        <v>1491</v>
      </c>
      <c r="C3242" t="s">
        <v>750</v>
      </c>
      <c r="D3242" t="s">
        <v>241</v>
      </c>
      <c r="E3242" t="s">
        <v>568</v>
      </c>
      <c r="F3242" t="s">
        <v>51</v>
      </c>
      <c r="G3242" t="s">
        <v>111</v>
      </c>
      <c r="H3242" t="s">
        <v>113</v>
      </c>
      <c r="I3242" t="s">
        <v>112</v>
      </c>
      <c r="J3242" t="s">
        <v>114</v>
      </c>
      <c r="K3242" t="s">
        <v>1693</v>
      </c>
      <c r="L3242" t="s">
        <v>1693</v>
      </c>
    </row>
    <row r="3243" spans="1:12" x14ac:dyDescent="0.3">
      <c r="A3243" t="s">
        <v>709</v>
      </c>
      <c r="B3243" t="s">
        <v>1491</v>
      </c>
      <c r="C3243" t="s">
        <v>750</v>
      </c>
      <c r="D3243" t="s">
        <v>242</v>
      </c>
      <c r="E3243" t="s">
        <v>568</v>
      </c>
      <c r="F3243" t="s">
        <v>163</v>
      </c>
      <c r="G3243" t="s">
        <v>111</v>
      </c>
      <c r="H3243" t="s">
        <v>113</v>
      </c>
      <c r="I3243" t="s">
        <v>112</v>
      </c>
      <c r="J3243" t="s">
        <v>114</v>
      </c>
      <c r="K3243" t="s">
        <v>1700</v>
      </c>
      <c r="L3243" t="s">
        <v>1700</v>
      </c>
    </row>
    <row r="3244" spans="1:12" x14ac:dyDescent="0.3">
      <c r="A3244" t="s">
        <v>709</v>
      </c>
      <c r="B3244" t="s">
        <v>1491</v>
      </c>
      <c r="C3244" t="s">
        <v>750</v>
      </c>
      <c r="D3244" t="s">
        <v>243</v>
      </c>
      <c r="E3244" t="s">
        <v>568</v>
      </c>
      <c r="F3244" t="s">
        <v>170</v>
      </c>
      <c r="G3244" t="s">
        <v>111</v>
      </c>
      <c r="H3244" t="s">
        <v>113</v>
      </c>
      <c r="I3244" t="s">
        <v>112</v>
      </c>
      <c r="J3244" t="s">
        <v>114</v>
      </c>
      <c r="K3244" t="s">
        <v>1693</v>
      </c>
      <c r="L3244" t="s">
        <v>1693</v>
      </c>
    </row>
    <row r="3245" spans="1:12" x14ac:dyDescent="0.3">
      <c r="A3245" t="s">
        <v>709</v>
      </c>
      <c r="B3245" t="s">
        <v>1491</v>
      </c>
      <c r="C3245" t="s">
        <v>750</v>
      </c>
      <c r="D3245" t="s">
        <v>244</v>
      </c>
      <c r="E3245" t="s">
        <v>568</v>
      </c>
      <c r="F3245" t="s">
        <v>78</v>
      </c>
      <c r="G3245" t="s">
        <v>111</v>
      </c>
      <c r="H3245" t="s">
        <v>113</v>
      </c>
      <c r="I3245" t="s">
        <v>112</v>
      </c>
      <c r="J3245" t="s">
        <v>114</v>
      </c>
      <c r="K3245" t="s">
        <v>1693</v>
      </c>
      <c r="L3245" t="s">
        <v>1693</v>
      </c>
    </row>
    <row r="3246" spans="1:12" x14ac:dyDescent="0.3">
      <c r="A3246" t="s">
        <v>709</v>
      </c>
      <c r="B3246" t="s">
        <v>1491</v>
      </c>
      <c r="C3246" t="s">
        <v>750</v>
      </c>
      <c r="D3246" t="s">
        <v>319</v>
      </c>
      <c r="E3246" t="s">
        <v>568</v>
      </c>
      <c r="F3246" t="s">
        <v>136</v>
      </c>
      <c r="G3246" t="s">
        <v>111</v>
      </c>
      <c r="H3246" t="s">
        <v>113</v>
      </c>
      <c r="I3246" t="s">
        <v>112</v>
      </c>
      <c r="J3246" t="s">
        <v>114</v>
      </c>
      <c r="K3246" t="s">
        <v>1693</v>
      </c>
      <c r="L3246" t="s">
        <v>1693</v>
      </c>
    </row>
    <row r="3247" spans="1:12" x14ac:dyDescent="0.3">
      <c r="A3247" t="s">
        <v>709</v>
      </c>
      <c r="B3247" t="s">
        <v>1491</v>
      </c>
      <c r="C3247" t="s">
        <v>750</v>
      </c>
      <c r="D3247" t="s">
        <v>247</v>
      </c>
      <c r="E3247" t="s">
        <v>568</v>
      </c>
      <c r="F3247" t="s">
        <v>60</v>
      </c>
      <c r="G3247" t="s">
        <v>111</v>
      </c>
      <c r="H3247" t="s">
        <v>113</v>
      </c>
      <c r="I3247" t="s">
        <v>112</v>
      </c>
      <c r="J3247" t="s">
        <v>114</v>
      </c>
      <c r="K3247" t="s">
        <v>1693</v>
      </c>
      <c r="L3247" t="s">
        <v>1693</v>
      </c>
    </row>
    <row r="3248" spans="1:12" x14ac:dyDescent="0.3">
      <c r="A3248" t="s">
        <v>709</v>
      </c>
      <c r="B3248" t="s">
        <v>1491</v>
      </c>
      <c r="C3248" t="s">
        <v>750</v>
      </c>
      <c r="D3248" t="s">
        <v>251</v>
      </c>
      <c r="E3248" t="s">
        <v>568</v>
      </c>
      <c r="F3248" t="s">
        <v>48</v>
      </c>
      <c r="G3248" t="s">
        <v>111</v>
      </c>
      <c r="H3248" t="s">
        <v>113</v>
      </c>
      <c r="I3248" t="s">
        <v>112</v>
      </c>
      <c r="J3248" t="s">
        <v>114</v>
      </c>
      <c r="K3248" t="s">
        <v>1694</v>
      </c>
      <c r="L3248" t="s">
        <v>1694</v>
      </c>
    </row>
    <row r="3249" spans="1:12" x14ac:dyDescent="0.3">
      <c r="A3249" t="s">
        <v>709</v>
      </c>
      <c r="B3249" t="s">
        <v>1491</v>
      </c>
      <c r="C3249" t="s">
        <v>750</v>
      </c>
      <c r="D3249" t="s">
        <v>252</v>
      </c>
      <c r="E3249" t="s">
        <v>568</v>
      </c>
      <c r="F3249" t="s">
        <v>138</v>
      </c>
      <c r="G3249" t="s">
        <v>111</v>
      </c>
      <c r="H3249" t="s">
        <v>118</v>
      </c>
      <c r="I3249" t="s">
        <v>112</v>
      </c>
      <c r="J3249" t="s">
        <v>119</v>
      </c>
      <c r="K3249" t="s">
        <v>1698</v>
      </c>
      <c r="L3249" t="s">
        <v>1698</v>
      </c>
    </row>
    <row r="3250" spans="1:12" x14ac:dyDescent="0.3">
      <c r="A3250" t="s">
        <v>709</v>
      </c>
      <c r="B3250" t="s">
        <v>1491</v>
      </c>
      <c r="C3250" t="s">
        <v>750</v>
      </c>
      <c r="D3250" t="s">
        <v>253</v>
      </c>
      <c r="E3250" t="s">
        <v>568</v>
      </c>
      <c r="F3250" t="s">
        <v>95</v>
      </c>
      <c r="G3250" t="s">
        <v>111</v>
      </c>
      <c r="H3250" t="s">
        <v>113</v>
      </c>
      <c r="I3250" t="s">
        <v>112</v>
      </c>
      <c r="J3250" t="s">
        <v>114</v>
      </c>
      <c r="K3250" t="s">
        <v>428</v>
      </c>
      <c r="L3250" t="s">
        <v>428</v>
      </c>
    </row>
    <row r="3251" spans="1:12" x14ac:dyDescent="0.3">
      <c r="A3251" t="s">
        <v>709</v>
      </c>
      <c r="B3251" t="s">
        <v>1491</v>
      </c>
      <c r="C3251" t="s">
        <v>750</v>
      </c>
      <c r="D3251" t="s">
        <v>254</v>
      </c>
      <c r="E3251" t="s">
        <v>568</v>
      </c>
      <c r="F3251" t="s">
        <v>139</v>
      </c>
      <c r="G3251" t="s">
        <v>111</v>
      </c>
      <c r="H3251" t="s">
        <v>118</v>
      </c>
      <c r="I3251" t="s">
        <v>112</v>
      </c>
      <c r="J3251" t="s">
        <v>119</v>
      </c>
      <c r="K3251" t="s">
        <v>1693</v>
      </c>
      <c r="L3251" t="s">
        <v>1693</v>
      </c>
    </row>
    <row r="3252" spans="1:12" x14ac:dyDescent="0.3">
      <c r="A3252" t="s">
        <v>709</v>
      </c>
      <c r="B3252" t="s">
        <v>1491</v>
      </c>
      <c r="C3252" t="s">
        <v>750</v>
      </c>
      <c r="D3252" t="s">
        <v>255</v>
      </c>
      <c r="E3252" t="s">
        <v>568</v>
      </c>
      <c r="F3252" t="s">
        <v>171</v>
      </c>
      <c r="G3252" t="s">
        <v>111</v>
      </c>
      <c r="H3252" t="s">
        <v>113</v>
      </c>
      <c r="I3252" t="s">
        <v>112</v>
      </c>
      <c r="J3252" t="s">
        <v>114</v>
      </c>
      <c r="K3252" t="s">
        <v>1693</v>
      </c>
      <c r="L3252" t="s">
        <v>1693</v>
      </c>
    </row>
    <row r="3253" spans="1:12" x14ac:dyDescent="0.3">
      <c r="A3253" t="s">
        <v>709</v>
      </c>
      <c r="B3253" t="s">
        <v>1491</v>
      </c>
      <c r="C3253" t="s">
        <v>750</v>
      </c>
      <c r="D3253" t="s">
        <v>320</v>
      </c>
      <c r="E3253" t="s">
        <v>568</v>
      </c>
      <c r="F3253" t="s">
        <v>172</v>
      </c>
      <c r="G3253" t="s">
        <v>111</v>
      </c>
      <c r="H3253" t="s">
        <v>113</v>
      </c>
      <c r="I3253" t="s">
        <v>112</v>
      </c>
      <c r="J3253" t="s">
        <v>114</v>
      </c>
      <c r="K3253" t="s">
        <v>1694</v>
      </c>
      <c r="L3253" t="s">
        <v>1694</v>
      </c>
    </row>
    <row r="3254" spans="1:12" x14ac:dyDescent="0.3">
      <c r="A3254" t="s">
        <v>709</v>
      </c>
      <c r="B3254" t="s">
        <v>1491</v>
      </c>
      <c r="C3254" t="s">
        <v>750</v>
      </c>
      <c r="D3254" t="s">
        <v>207</v>
      </c>
      <c r="E3254" t="s">
        <v>568</v>
      </c>
      <c r="F3254" t="s">
        <v>62</v>
      </c>
      <c r="G3254" t="s">
        <v>111</v>
      </c>
      <c r="H3254" t="s">
        <v>113</v>
      </c>
      <c r="I3254" t="s">
        <v>112</v>
      </c>
      <c r="J3254" t="s">
        <v>114</v>
      </c>
      <c r="K3254" t="s">
        <v>1694</v>
      </c>
      <c r="L3254" t="s">
        <v>1694</v>
      </c>
    </row>
    <row r="3255" spans="1:12" x14ac:dyDescent="0.3">
      <c r="A3255" t="s">
        <v>709</v>
      </c>
      <c r="B3255" t="s">
        <v>1491</v>
      </c>
      <c r="C3255" t="s">
        <v>750</v>
      </c>
      <c r="D3255" t="s">
        <v>256</v>
      </c>
      <c r="E3255" t="s">
        <v>568</v>
      </c>
      <c r="F3255" t="s">
        <v>57</v>
      </c>
      <c r="G3255" t="s">
        <v>111</v>
      </c>
      <c r="H3255" t="s">
        <v>113</v>
      </c>
      <c r="I3255" t="s">
        <v>112</v>
      </c>
      <c r="J3255" t="s">
        <v>114</v>
      </c>
      <c r="K3255" t="s">
        <v>1693</v>
      </c>
      <c r="L3255" t="s">
        <v>1693</v>
      </c>
    </row>
    <row r="3256" spans="1:12" x14ac:dyDescent="0.3">
      <c r="A3256" t="s">
        <v>709</v>
      </c>
      <c r="B3256" t="s">
        <v>1491</v>
      </c>
      <c r="C3256" t="s">
        <v>750</v>
      </c>
      <c r="D3256" t="s">
        <v>322</v>
      </c>
      <c r="E3256" t="s">
        <v>568</v>
      </c>
      <c r="F3256" t="s">
        <v>173</v>
      </c>
      <c r="G3256" t="s">
        <v>111</v>
      </c>
      <c r="H3256" t="s">
        <v>118</v>
      </c>
      <c r="I3256" t="s">
        <v>112</v>
      </c>
      <c r="J3256" t="s">
        <v>119</v>
      </c>
      <c r="K3256" t="s">
        <v>1701</v>
      </c>
      <c r="L3256" t="s">
        <v>1701</v>
      </c>
    </row>
    <row r="3257" spans="1:12" x14ac:dyDescent="0.3">
      <c r="A3257" t="s">
        <v>709</v>
      </c>
      <c r="B3257" t="s">
        <v>1491</v>
      </c>
      <c r="C3257" t="s">
        <v>750</v>
      </c>
      <c r="D3257" t="s">
        <v>257</v>
      </c>
      <c r="E3257" t="s">
        <v>568</v>
      </c>
      <c r="F3257" t="s">
        <v>174</v>
      </c>
      <c r="G3257" t="s">
        <v>111</v>
      </c>
      <c r="H3257" t="s">
        <v>113</v>
      </c>
      <c r="I3257" t="s">
        <v>112</v>
      </c>
      <c r="J3257" t="s">
        <v>114</v>
      </c>
      <c r="K3257" t="s">
        <v>1702</v>
      </c>
      <c r="L3257" t="s">
        <v>1702</v>
      </c>
    </row>
    <row r="3258" spans="1:12" x14ac:dyDescent="0.3">
      <c r="A3258" t="s">
        <v>709</v>
      </c>
      <c r="B3258" t="s">
        <v>1491</v>
      </c>
      <c r="C3258" t="s">
        <v>750</v>
      </c>
      <c r="D3258" t="s">
        <v>258</v>
      </c>
      <c r="E3258" t="s">
        <v>568</v>
      </c>
      <c r="F3258" t="s">
        <v>88</v>
      </c>
      <c r="G3258" t="s">
        <v>111</v>
      </c>
      <c r="H3258" t="s">
        <v>113</v>
      </c>
      <c r="I3258" t="s">
        <v>112</v>
      </c>
      <c r="J3258" t="s">
        <v>114</v>
      </c>
      <c r="K3258" t="s">
        <v>1693</v>
      </c>
      <c r="L3258" t="s">
        <v>1693</v>
      </c>
    </row>
    <row r="3259" spans="1:12" x14ac:dyDescent="0.3">
      <c r="A3259" t="s">
        <v>709</v>
      </c>
      <c r="B3259" t="s">
        <v>1491</v>
      </c>
      <c r="C3259" t="s">
        <v>750</v>
      </c>
      <c r="D3259" t="s">
        <v>259</v>
      </c>
      <c r="E3259" t="s">
        <v>568</v>
      </c>
      <c r="F3259" t="s">
        <v>77</v>
      </c>
      <c r="G3259" t="s">
        <v>111</v>
      </c>
      <c r="H3259" t="s">
        <v>113</v>
      </c>
      <c r="I3259" t="s">
        <v>112</v>
      </c>
      <c r="J3259" t="s">
        <v>114</v>
      </c>
      <c r="K3259" t="s">
        <v>1693</v>
      </c>
      <c r="L3259" t="s">
        <v>1693</v>
      </c>
    </row>
    <row r="3260" spans="1:12" x14ac:dyDescent="0.3">
      <c r="A3260" t="s">
        <v>709</v>
      </c>
      <c r="B3260" t="s">
        <v>1491</v>
      </c>
      <c r="C3260" t="s">
        <v>750</v>
      </c>
      <c r="D3260" t="s">
        <v>323</v>
      </c>
      <c r="E3260" t="s">
        <v>568</v>
      </c>
      <c r="F3260" t="s">
        <v>74</v>
      </c>
      <c r="G3260" t="s">
        <v>111</v>
      </c>
      <c r="H3260" t="s">
        <v>113</v>
      </c>
      <c r="I3260" t="s">
        <v>112</v>
      </c>
      <c r="J3260" t="s">
        <v>114</v>
      </c>
      <c r="K3260" t="s">
        <v>1694</v>
      </c>
      <c r="L3260" t="s">
        <v>1694</v>
      </c>
    </row>
    <row r="3261" spans="1:12" x14ac:dyDescent="0.3">
      <c r="A3261" t="s">
        <v>709</v>
      </c>
      <c r="B3261" t="s">
        <v>1491</v>
      </c>
      <c r="C3261" t="s">
        <v>750</v>
      </c>
      <c r="D3261" t="s">
        <v>324</v>
      </c>
      <c r="E3261" t="s">
        <v>568</v>
      </c>
      <c r="F3261" t="s">
        <v>102</v>
      </c>
      <c r="G3261" t="s">
        <v>111</v>
      </c>
      <c r="H3261" t="s">
        <v>118</v>
      </c>
      <c r="I3261" t="s">
        <v>112</v>
      </c>
      <c r="J3261" t="s">
        <v>119</v>
      </c>
      <c r="K3261" t="s">
        <v>1698</v>
      </c>
      <c r="L3261" t="s">
        <v>1698</v>
      </c>
    </row>
    <row r="3262" spans="1:12" x14ac:dyDescent="0.3">
      <c r="A3262" t="s">
        <v>709</v>
      </c>
      <c r="B3262" t="s">
        <v>1491</v>
      </c>
      <c r="C3262" t="s">
        <v>750</v>
      </c>
      <c r="D3262" t="s">
        <v>260</v>
      </c>
      <c r="E3262" t="s">
        <v>568</v>
      </c>
      <c r="F3262" t="s">
        <v>140</v>
      </c>
      <c r="G3262" t="s">
        <v>111</v>
      </c>
      <c r="H3262" t="s">
        <v>113</v>
      </c>
      <c r="I3262" t="s">
        <v>112</v>
      </c>
      <c r="J3262" t="s">
        <v>114</v>
      </c>
      <c r="K3262" t="s">
        <v>1693</v>
      </c>
      <c r="L3262" t="s">
        <v>1693</v>
      </c>
    </row>
    <row r="3263" spans="1:12" x14ac:dyDescent="0.3">
      <c r="A3263" t="s">
        <v>709</v>
      </c>
      <c r="B3263" t="s">
        <v>1491</v>
      </c>
      <c r="C3263" t="s">
        <v>750</v>
      </c>
      <c r="D3263" t="s">
        <v>263</v>
      </c>
      <c r="E3263" t="s">
        <v>568</v>
      </c>
      <c r="F3263" t="s">
        <v>141</v>
      </c>
      <c r="G3263" t="s">
        <v>111</v>
      </c>
      <c r="H3263" t="s">
        <v>118</v>
      </c>
      <c r="I3263" t="s">
        <v>112</v>
      </c>
      <c r="J3263" t="s">
        <v>119</v>
      </c>
      <c r="K3263" t="s">
        <v>1693</v>
      </c>
      <c r="L3263" t="s">
        <v>1693</v>
      </c>
    </row>
    <row r="3264" spans="1:12" x14ac:dyDescent="0.3">
      <c r="A3264" t="s">
        <v>709</v>
      </c>
      <c r="B3264" t="s">
        <v>1491</v>
      </c>
      <c r="C3264" t="s">
        <v>750</v>
      </c>
      <c r="D3264" t="s">
        <v>264</v>
      </c>
      <c r="E3264" t="s">
        <v>568</v>
      </c>
      <c r="F3264" t="s">
        <v>64</v>
      </c>
      <c r="G3264" t="s">
        <v>111</v>
      </c>
      <c r="H3264" t="s">
        <v>113</v>
      </c>
      <c r="I3264" t="s">
        <v>112</v>
      </c>
      <c r="J3264" t="s">
        <v>114</v>
      </c>
      <c r="K3264" t="s">
        <v>1694</v>
      </c>
      <c r="L3264" t="s">
        <v>1694</v>
      </c>
    </row>
    <row r="3265" spans="1:12" x14ac:dyDescent="0.3">
      <c r="A3265" t="s">
        <v>709</v>
      </c>
      <c r="B3265" t="s">
        <v>1491</v>
      </c>
      <c r="C3265" t="s">
        <v>750</v>
      </c>
      <c r="D3265" t="s">
        <v>265</v>
      </c>
      <c r="E3265" t="s">
        <v>568</v>
      </c>
      <c r="F3265" t="s">
        <v>142</v>
      </c>
      <c r="G3265" t="s">
        <v>111</v>
      </c>
      <c r="H3265" t="s">
        <v>113</v>
      </c>
      <c r="I3265" t="s">
        <v>112</v>
      </c>
      <c r="J3265" t="s">
        <v>114</v>
      </c>
      <c r="K3265" t="s">
        <v>1693</v>
      </c>
      <c r="L3265" t="s">
        <v>1693</v>
      </c>
    </row>
    <row r="3266" spans="1:12" x14ac:dyDescent="0.3">
      <c r="A3266" t="s">
        <v>709</v>
      </c>
      <c r="B3266" t="s">
        <v>1491</v>
      </c>
      <c r="C3266" t="s">
        <v>750</v>
      </c>
      <c r="D3266" t="s">
        <v>326</v>
      </c>
      <c r="E3266" t="s">
        <v>568</v>
      </c>
      <c r="F3266" t="s">
        <v>144</v>
      </c>
      <c r="G3266" t="s">
        <v>111</v>
      </c>
      <c r="H3266" t="s">
        <v>113</v>
      </c>
      <c r="I3266" t="s">
        <v>112</v>
      </c>
      <c r="J3266" t="s">
        <v>114</v>
      </c>
      <c r="K3266" t="s">
        <v>1693</v>
      </c>
      <c r="L3266" t="s">
        <v>1693</v>
      </c>
    </row>
    <row r="3267" spans="1:12" x14ac:dyDescent="0.3">
      <c r="A3267" t="s">
        <v>709</v>
      </c>
      <c r="B3267" t="s">
        <v>1491</v>
      </c>
      <c r="C3267" t="s">
        <v>750</v>
      </c>
      <c r="D3267" t="s">
        <v>268</v>
      </c>
      <c r="E3267" t="s">
        <v>568</v>
      </c>
      <c r="F3267" t="s">
        <v>194</v>
      </c>
      <c r="G3267" t="s">
        <v>111</v>
      </c>
      <c r="H3267" t="s">
        <v>113</v>
      </c>
      <c r="I3267" t="s">
        <v>112</v>
      </c>
      <c r="J3267" t="s">
        <v>114</v>
      </c>
      <c r="K3267" t="s">
        <v>1693</v>
      </c>
      <c r="L3267" t="s">
        <v>1693</v>
      </c>
    </row>
    <row r="3268" spans="1:12" x14ac:dyDescent="0.3">
      <c r="A3268" t="s">
        <v>709</v>
      </c>
      <c r="B3268" t="s">
        <v>1491</v>
      </c>
      <c r="C3268" t="s">
        <v>750</v>
      </c>
      <c r="D3268" t="s">
        <v>269</v>
      </c>
      <c r="E3268" t="s">
        <v>568</v>
      </c>
      <c r="F3268" t="s">
        <v>145</v>
      </c>
      <c r="G3268" t="s">
        <v>111</v>
      </c>
      <c r="H3268" t="s">
        <v>118</v>
      </c>
      <c r="I3268" t="s">
        <v>112</v>
      </c>
      <c r="J3268" t="s">
        <v>119</v>
      </c>
      <c r="K3268" t="s">
        <v>1694</v>
      </c>
      <c r="L3268" t="s">
        <v>1694</v>
      </c>
    </row>
    <row r="3269" spans="1:12" x14ac:dyDescent="0.3">
      <c r="A3269" t="s">
        <v>709</v>
      </c>
      <c r="B3269" t="s">
        <v>1491</v>
      </c>
      <c r="C3269" t="s">
        <v>750</v>
      </c>
      <c r="D3269" t="s">
        <v>270</v>
      </c>
      <c r="E3269" t="s">
        <v>568</v>
      </c>
      <c r="F3269" t="s">
        <v>81</v>
      </c>
      <c r="G3269" t="s">
        <v>111</v>
      </c>
      <c r="H3269" t="s">
        <v>118</v>
      </c>
      <c r="I3269" t="s">
        <v>112</v>
      </c>
      <c r="J3269" t="s">
        <v>119</v>
      </c>
      <c r="K3269" t="s">
        <v>1693</v>
      </c>
      <c r="L3269" t="s">
        <v>1693</v>
      </c>
    </row>
    <row r="3270" spans="1:12" x14ac:dyDescent="0.3">
      <c r="A3270" t="s">
        <v>709</v>
      </c>
      <c r="B3270" t="s">
        <v>1491</v>
      </c>
      <c r="C3270" t="s">
        <v>750</v>
      </c>
      <c r="D3270" t="s">
        <v>271</v>
      </c>
      <c r="E3270" t="s">
        <v>567</v>
      </c>
      <c r="F3270" t="s">
        <v>76</v>
      </c>
      <c r="G3270" t="s">
        <v>111</v>
      </c>
      <c r="H3270" t="s">
        <v>113</v>
      </c>
      <c r="I3270" t="s">
        <v>112</v>
      </c>
      <c r="J3270" t="s">
        <v>114</v>
      </c>
      <c r="K3270" t="s">
        <v>1693</v>
      </c>
      <c r="L3270" t="s">
        <v>1693</v>
      </c>
    </row>
    <row r="3271" spans="1:12" x14ac:dyDescent="0.3">
      <c r="A3271" t="s">
        <v>709</v>
      </c>
      <c r="B3271" t="s">
        <v>1491</v>
      </c>
      <c r="C3271" t="s">
        <v>750</v>
      </c>
      <c r="D3271" t="s">
        <v>272</v>
      </c>
      <c r="E3271" t="s">
        <v>567</v>
      </c>
      <c r="F3271" t="s">
        <v>52</v>
      </c>
      <c r="G3271" t="s">
        <v>111</v>
      </c>
      <c r="H3271" t="s">
        <v>113</v>
      </c>
      <c r="I3271" t="s">
        <v>112</v>
      </c>
      <c r="J3271" t="s">
        <v>114</v>
      </c>
      <c r="K3271" t="s">
        <v>1693</v>
      </c>
      <c r="L3271" t="s">
        <v>1693</v>
      </c>
    </row>
    <row r="3272" spans="1:12" x14ac:dyDescent="0.3">
      <c r="A3272" t="s">
        <v>709</v>
      </c>
      <c r="B3272" t="s">
        <v>1491</v>
      </c>
      <c r="C3272" t="s">
        <v>750</v>
      </c>
      <c r="D3272" t="s">
        <v>327</v>
      </c>
      <c r="E3272" t="s">
        <v>567</v>
      </c>
      <c r="F3272" t="s">
        <v>104</v>
      </c>
      <c r="G3272" t="s">
        <v>111</v>
      </c>
      <c r="H3272" t="s">
        <v>113</v>
      </c>
      <c r="I3272" t="s">
        <v>112</v>
      </c>
      <c r="J3272" t="s">
        <v>114</v>
      </c>
      <c r="K3272" t="s">
        <v>1693</v>
      </c>
      <c r="L3272" t="s">
        <v>1693</v>
      </c>
    </row>
    <row r="3273" spans="1:12" x14ac:dyDescent="0.3">
      <c r="A3273" t="s">
        <v>709</v>
      </c>
      <c r="B3273" t="s">
        <v>1491</v>
      </c>
      <c r="C3273" t="s">
        <v>750</v>
      </c>
      <c r="D3273" t="s">
        <v>273</v>
      </c>
      <c r="E3273" t="s">
        <v>567</v>
      </c>
      <c r="F3273" t="s">
        <v>176</v>
      </c>
      <c r="G3273" t="s">
        <v>111</v>
      </c>
      <c r="H3273" t="s">
        <v>113</v>
      </c>
      <c r="I3273" t="s">
        <v>112</v>
      </c>
      <c r="J3273" t="s">
        <v>114</v>
      </c>
      <c r="K3273" t="s">
        <v>1693</v>
      </c>
      <c r="L3273" t="s">
        <v>1693</v>
      </c>
    </row>
    <row r="3274" spans="1:12" x14ac:dyDescent="0.3">
      <c r="A3274" t="s">
        <v>709</v>
      </c>
      <c r="B3274" t="s">
        <v>1491</v>
      </c>
      <c r="C3274" t="s">
        <v>750</v>
      </c>
      <c r="D3274" t="s">
        <v>274</v>
      </c>
      <c r="E3274" t="s">
        <v>567</v>
      </c>
      <c r="F3274" t="s">
        <v>146</v>
      </c>
      <c r="G3274" t="s">
        <v>111</v>
      </c>
      <c r="H3274" t="s">
        <v>113</v>
      </c>
      <c r="I3274" t="s">
        <v>112</v>
      </c>
      <c r="J3274" t="s">
        <v>114</v>
      </c>
      <c r="K3274" t="s">
        <v>1700</v>
      </c>
      <c r="L3274" t="s">
        <v>1700</v>
      </c>
    </row>
    <row r="3275" spans="1:12" x14ac:dyDescent="0.3">
      <c r="A3275" t="s">
        <v>709</v>
      </c>
      <c r="B3275" t="s">
        <v>1491</v>
      </c>
      <c r="C3275" t="s">
        <v>750</v>
      </c>
      <c r="D3275" t="s">
        <v>275</v>
      </c>
      <c r="E3275" t="s">
        <v>567</v>
      </c>
      <c r="F3275" t="s">
        <v>148</v>
      </c>
      <c r="G3275" t="s">
        <v>111</v>
      </c>
      <c r="H3275" t="s">
        <v>113</v>
      </c>
      <c r="I3275" t="s">
        <v>112</v>
      </c>
      <c r="J3275" t="s">
        <v>114</v>
      </c>
      <c r="K3275" t="s">
        <v>1693</v>
      </c>
      <c r="L3275" t="s">
        <v>1693</v>
      </c>
    </row>
    <row r="3276" spans="1:12" x14ac:dyDescent="0.3">
      <c r="A3276" t="s">
        <v>709</v>
      </c>
      <c r="B3276" t="s">
        <v>1491</v>
      </c>
      <c r="C3276" t="s">
        <v>750</v>
      </c>
      <c r="D3276" t="s">
        <v>276</v>
      </c>
      <c r="E3276" t="s">
        <v>567</v>
      </c>
      <c r="F3276" t="s">
        <v>149</v>
      </c>
      <c r="G3276" t="s">
        <v>111</v>
      </c>
      <c r="H3276" t="s">
        <v>113</v>
      </c>
      <c r="I3276" t="s">
        <v>112</v>
      </c>
      <c r="J3276" t="s">
        <v>114</v>
      </c>
      <c r="K3276" t="s">
        <v>1698</v>
      </c>
      <c r="L3276" t="s">
        <v>1698</v>
      </c>
    </row>
    <row r="3277" spans="1:12" x14ac:dyDescent="0.3">
      <c r="A3277" t="s">
        <v>709</v>
      </c>
      <c r="B3277" t="s">
        <v>1491</v>
      </c>
      <c r="C3277" t="s">
        <v>750</v>
      </c>
      <c r="D3277" t="s">
        <v>277</v>
      </c>
      <c r="E3277" t="s">
        <v>567</v>
      </c>
      <c r="F3277" t="s">
        <v>83</v>
      </c>
      <c r="G3277" t="s">
        <v>111</v>
      </c>
      <c r="H3277" t="s">
        <v>113</v>
      </c>
      <c r="I3277" t="s">
        <v>112</v>
      </c>
      <c r="J3277" t="s">
        <v>114</v>
      </c>
      <c r="K3277" t="s">
        <v>1693</v>
      </c>
      <c r="L3277" t="s">
        <v>1693</v>
      </c>
    </row>
    <row r="3278" spans="1:12" x14ac:dyDescent="0.3">
      <c r="A3278" t="s">
        <v>709</v>
      </c>
      <c r="B3278" t="s">
        <v>1491</v>
      </c>
      <c r="C3278" t="s">
        <v>750</v>
      </c>
      <c r="D3278" t="s">
        <v>278</v>
      </c>
      <c r="E3278" t="s">
        <v>567</v>
      </c>
      <c r="F3278" t="s">
        <v>203</v>
      </c>
      <c r="G3278" t="s">
        <v>111</v>
      </c>
      <c r="H3278" t="s">
        <v>113</v>
      </c>
      <c r="I3278" t="s">
        <v>112</v>
      </c>
      <c r="J3278" t="s">
        <v>114</v>
      </c>
      <c r="K3278" t="s">
        <v>1695</v>
      </c>
      <c r="L3278" t="s">
        <v>1695</v>
      </c>
    </row>
    <row r="3279" spans="1:12" x14ac:dyDescent="0.3">
      <c r="A3279" t="s">
        <v>709</v>
      </c>
      <c r="B3279" t="s">
        <v>1491</v>
      </c>
      <c r="C3279" t="s">
        <v>750</v>
      </c>
      <c r="D3279" t="s">
        <v>279</v>
      </c>
      <c r="E3279" t="s">
        <v>567</v>
      </c>
      <c r="F3279" t="s">
        <v>150</v>
      </c>
      <c r="G3279" t="s">
        <v>111</v>
      </c>
      <c r="H3279" t="s">
        <v>113</v>
      </c>
      <c r="I3279" t="s">
        <v>112</v>
      </c>
      <c r="J3279" t="s">
        <v>114</v>
      </c>
      <c r="K3279" t="s">
        <v>1695</v>
      </c>
      <c r="L3279" t="s">
        <v>1695</v>
      </c>
    </row>
    <row r="3280" spans="1:12" x14ac:dyDescent="0.3">
      <c r="A3280" t="s">
        <v>709</v>
      </c>
      <c r="B3280" t="s">
        <v>1491</v>
      </c>
      <c r="C3280" t="s">
        <v>750</v>
      </c>
      <c r="D3280" t="s">
        <v>280</v>
      </c>
      <c r="E3280" t="s">
        <v>567</v>
      </c>
      <c r="F3280" t="s">
        <v>71</v>
      </c>
      <c r="G3280" t="s">
        <v>111</v>
      </c>
      <c r="H3280" t="s">
        <v>118</v>
      </c>
      <c r="I3280" t="s">
        <v>112</v>
      </c>
      <c r="J3280" t="s">
        <v>119</v>
      </c>
      <c r="K3280" t="s">
        <v>1693</v>
      </c>
      <c r="L3280" t="s">
        <v>1693</v>
      </c>
    </row>
    <row r="3281" spans="1:12" x14ac:dyDescent="0.3">
      <c r="A3281" t="s">
        <v>709</v>
      </c>
      <c r="B3281" t="s">
        <v>1491</v>
      </c>
      <c r="C3281" t="s">
        <v>750</v>
      </c>
      <c r="D3281" t="s">
        <v>282</v>
      </c>
      <c r="E3281" t="s">
        <v>567</v>
      </c>
      <c r="F3281" t="s">
        <v>90</v>
      </c>
      <c r="G3281" t="s">
        <v>111</v>
      </c>
      <c r="H3281" t="s">
        <v>113</v>
      </c>
      <c r="I3281" t="s">
        <v>112</v>
      </c>
      <c r="J3281" t="s">
        <v>114</v>
      </c>
      <c r="K3281" t="s">
        <v>1693</v>
      </c>
      <c r="L3281" t="s">
        <v>1693</v>
      </c>
    </row>
    <row r="3282" spans="1:12" x14ac:dyDescent="0.3">
      <c r="A3282" t="s">
        <v>709</v>
      </c>
      <c r="B3282" t="s">
        <v>1491</v>
      </c>
      <c r="C3282" t="s">
        <v>750</v>
      </c>
      <c r="D3282" t="s">
        <v>329</v>
      </c>
      <c r="E3282" t="s">
        <v>567</v>
      </c>
      <c r="F3282" t="s">
        <v>92</v>
      </c>
      <c r="G3282" t="s">
        <v>111</v>
      </c>
      <c r="H3282" t="s">
        <v>113</v>
      </c>
      <c r="I3282" t="s">
        <v>112</v>
      </c>
      <c r="J3282" t="s">
        <v>114</v>
      </c>
      <c r="K3282" t="s">
        <v>1693</v>
      </c>
      <c r="L3282" t="s">
        <v>1693</v>
      </c>
    </row>
    <row r="3283" spans="1:12" x14ac:dyDescent="0.3">
      <c r="A3283" t="s">
        <v>709</v>
      </c>
      <c r="B3283" t="s">
        <v>1491</v>
      </c>
      <c r="C3283" t="s">
        <v>750</v>
      </c>
      <c r="D3283" t="s">
        <v>283</v>
      </c>
      <c r="E3283" t="s">
        <v>567</v>
      </c>
      <c r="F3283" t="s">
        <v>63</v>
      </c>
      <c r="G3283" t="s">
        <v>111</v>
      </c>
      <c r="H3283" t="s">
        <v>113</v>
      </c>
      <c r="I3283" t="s">
        <v>112</v>
      </c>
      <c r="J3283" t="s">
        <v>114</v>
      </c>
      <c r="K3283" t="s">
        <v>1693</v>
      </c>
      <c r="L3283" t="s">
        <v>1693</v>
      </c>
    </row>
    <row r="3284" spans="1:12" x14ac:dyDescent="0.3">
      <c r="A3284" t="s">
        <v>709</v>
      </c>
      <c r="B3284" t="s">
        <v>1491</v>
      </c>
      <c r="C3284" t="s">
        <v>750</v>
      </c>
      <c r="D3284" t="s">
        <v>284</v>
      </c>
      <c r="E3284" t="s">
        <v>567</v>
      </c>
      <c r="F3284" t="s">
        <v>151</v>
      </c>
      <c r="G3284" t="s">
        <v>111</v>
      </c>
      <c r="H3284" t="s">
        <v>113</v>
      </c>
      <c r="I3284" t="s">
        <v>112</v>
      </c>
      <c r="J3284" t="s">
        <v>114</v>
      </c>
      <c r="K3284" t="s">
        <v>1694</v>
      </c>
      <c r="L3284" t="s">
        <v>1694</v>
      </c>
    </row>
    <row r="3285" spans="1:12" x14ac:dyDescent="0.3">
      <c r="A3285" t="s">
        <v>709</v>
      </c>
      <c r="B3285" t="s">
        <v>1491</v>
      </c>
      <c r="C3285" t="s">
        <v>750</v>
      </c>
      <c r="D3285" t="s">
        <v>285</v>
      </c>
      <c r="E3285" t="s">
        <v>567</v>
      </c>
      <c r="F3285" t="s">
        <v>195</v>
      </c>
      <c r="G3285" t="s">
        <v>111</v>
      </c>
      <c r="H3285" t="s">
        <v>113</v>
      </c>
      <c r="I3285" t="s">
        <v>112</v>
      </c>
      <c r="J3285" t="s">
        <v>114</v>
      </c>
      <c r="K3285" t="s">
        <v>1693</v>
      </c>
      <c r="L3285" t="s">
        <v>1693</v>
      </c>
    </row>
    <row r="3286" spans="1:12" x14ac:dyDescent="0.3">
      <c r="A3286" t="s">
        <v>709</v>
      </c>
      <c r="B3286" t="s">
        <v>1491</v>
      </c>
      <c r="C3286" t="s">
        <v>750</v>
      </c>
      <c r="D3286" t="s">
        <v>330</v>
      </c>
      <c r="E3286" t="s">
        <v>567</v>
      </c>
      <c r="F3286" t="s">
        <v>177</v>
      </c>
      <c r="G3286" t="s">
        <v>111</v>
      </c>
      <c r="H3286" t="s">
        <v>147</v>
      </c>
      <c r="I3286" t="s">
        <v>112</v>
      </c>
      <c r="J3286" t="s">
        <v>119</v>
      </c>
      <c r="K3286" t="s">
        <v>1703</v>
      </c>
      <c r="L3286" t="s">
        <v>1703</v>
      </c>
    </row>
    <row r="3287" spans="1:12" x14ac:dyDescent="0.3">
      <c r="A3287" t="s">
        <v>709</v>
      </c>
      <c r="B3287" t="s">
        <v>1491</v>
      </c>
      <c r="C3287" t="s">
        <v>750</v>
      </c>
      <c r="D3287" t="s">
        <v>288</v>
      </c>
      <c r="E3287" t="s">
        <v>567</v>
      </c>
      <c r="F3287" t="s">
        <v>178</v>
      </c>
      <c r="G3287" t="s">
        <v>111</v>
      </c>
      <c r="H3287" t="s">
        <v>113</v>
      </c>
      <c r="I3287" t="s">
        <v>112</v>
      </c>
      <c r="J3287" t="s">
        <v>114</v>
      </c>
      <c r="K3287" t="s">
        <v>1694</v>
      </c>
      <c r="L3287" t="s">
        <v>1694</v>
      </c>
    </row>
    <row r="3288" spans="1:12" x14ac:dyDescent="0.3">
      <c r="A3288" t="s">
        <v>709</v>
      </c>
      <c r="B3288" t="s">
        <v>1491</v>
      </c>
      <c r="C3288" t="s">
        <v>750</v>
      </c>
      <c r="D3288" t="s">
        <v>289</v>
      </c>
      <c r="E3288" t="s">
        <v>567</v>
      </c>
      <c r="F3288" t="s">
        <v>179</v>
      </c>
      <c r="G3288" t="s">
        <v>111</v>
      </c>
      <c r="H3288" t="s">
        <v>113</v>
      </c>
      <c r="I3288" t="s">
        <v>112</v>
      </c>
      <c r="J3288" t="s">
        <v>114</v>
      </c>
      <c r="K3288" t="s">
        <v>1694</v>
      </c>
      <c r="L3288" t="s">
        <v>1694</v>
      </c>
    </row>
    <row r="3289" spans="1:12" x14ac:dyDescent="0.3">
      <c r="A3289" t="s">
        <v>709</v>
      </c>
      <c r="B3289" t="s">
        <v>1491</v>
      </c>
      <c r="C3289" t="s">
        <v>750</v>
      </c>
      <c r="D3289" t="s">
        <v>290</v>
      </c>
      <c r="E3289" t="s">
        <v>567</v>
      </c>
      <c r="F3289" t="s">
        <v>153</v>
      </c>
      <c r="G3289" t="s">
        <v>111</v>
      </c>
      <c r="H3289" t="s">
        <v>113</v>
      </c>
      <c r="I3289" t="s">
        <v>112</v>
      </c>
      <c r="J3289" t="s">
        <v>114</v>
      </c>
      <c r="K3289" t="s">
        <v>1697</v>
      </c>
      <c r="L3289" t="s">
        <v>1697</v>
      </c>
    </row>
    <row r="3290" spans="1:12" x14ac:dyDescent="0.3">
      <c r="A3290" t="s">
        <v>709</v>
      </c>
      <c r="B3290" t="s">
        <v>1491</v>
      </c>
      <c r="C3290" t="s">
        <v>750</v>
      </c>
      <c r="D3290" t="s">
        <v>291</v>
      </c>
      <c r="E3290" t="s">
        <v>567</v>
      </c>
      <c r="F3290" t="s">
        <v>154</v>
      </c>
      <c r="G3290" t="s">
        <v>111</v>
      </c>
      <c r="H3290" t="s">
        <v>113</v>
      </c>
      <c r="I3290" t="s">
        <v>112</v>
      </c>
      <c r="J3290" t="s">
        <v>114</v>
      </c>
      <c r="K3290" t="s">
        <v>1693</v>
      </c>
      <c r="L3290" t="s">
        <v>1693</v>
      </c>
    </row>
    <row r="3291" spans="1:12" x14ac:dyDescent="0.3">
      <c r="A3291" t="s">
        <v>709</v>
      </c>
      <c r="B3291" t="s">
        <v>1491</v>
      </c>
      <c r="C3291" t="s">
        <v>750</v>
      </c>
      <c r="D3291" t="s">
        <v>292</v>
      </c>
      <c r="E3291" t="s">
        <v>567</v>
      </c>
      <c r="F3291" t="s">
        <v>55</v>
      </c>
      <c r="G3291" t="s">
        <v>111</v>
      </c>
      <c r="H3291" t="s">
        <v>118</v>
      </c>
      <c r="I3291" t="s">
        <v>112</v>
      </c>
      <c r="J3291" t="s">
        <v>119</v>
      </c>
      <c r="K3291" t="s">
        <v>1693</v>
      </c>
      <c r="L3291" t="s">
        <v>1693</v>
      </c>
    </row>
    <row r="3292" spans="1:12" x14ac:dyDescent="0.3">
      <c r="A3292" t="s">
        <v>709</v>
      </c>
      <c r="B3292" t="s">
        <v>1491</v>
      </c>
      <c r="C3292" t="s">
        <v>750</v>
      </c>
      <c r="D3292" t="s">
        <v>334</v>
      </c>
      <c r="E3292" t="s">
        <v>567</v>
      </c>
      <c r="F3292" t="s">
        <v>155</v>
      </c>
      <c r="G3292" t="s">
        <v>111</v>
      </c>
      <c r="H3292" t="s">
        <v>113</v>
      </c>
      <c r="I3292" t="s">
        <v>112</v>
      </c>
      <c r="J3292" t="s">
        <v>114</v>
      </c>
      <c r="K3292" t="s">
        <v>1693</v>
      </c>
      <c r="L3292" t="s">
        <v>1693</v>
      </c>
    </row>
    <row r="3293" spans="1:12" x14ac:dyDescent="0.3">
      <c r="A3293" t="s">
        <v>709</v>
      </c>
      <c r="B3293" t="s">
        <v>1491</v>
      </c>
      <c r="C3293" t="s">
        <v>750</v>
      </c>
      <c r="D3293" t="s">
        <v>295</v>
      </c>
      <c r="E3293" t="s">
        <v>567</v>
      </c>
      <c r="F3293" t="s">
        <v>103</v>
      </c>
      <c r="G3293" t="s">
        <v>111</v>
      </c>
      <c r="H3293" t="s">
        <v>113</v>
      </c>
      <c r="I3293" t="s">
        <v>112</v>
      </c>
      <c r="J3293" t="s">
        <v>114</v>
      </c>
      <c r="K3293" t="s">
        <v>1693</v>
      </c>
      <c r="L3293" t="s">
        <v>1693</v>
      </c>
    </row>
    <row r="3294" spans="1:12" x14ac:dyDescent="0.3">
      <c r="A3294" t="s">
        <v>709</v>
      </c>
      <c r="B3294" t="s">
        <v>1491</v>
      </c>
      <c r="C3294" t="s">
        <v>750</v>
      </c>
      <c r="D3294" t="s">
        <v>337</v>
      </c>
      <c r="E3294" t="s">
        <v>567</v>
      </c>
      <c r="F3294" t="s">
        <v>157</v>
      </c>
      <c r="G3294" t="s">
        <v>111</v>
      </c>
      <c r="H3294" t="s">
        <v>118</v>
      </c>
      <c r="I3294" t="s">
        <v>112</v>
      </c>
      <c r="J3294" t="s">
        <v>119</v>
      </c>
      <c r="K3294" t="s">
        <v>600</v>
      </c>
      <c r="L3294" t="s">
        <v>600</v>
      </c>
    </row>
    <row r="3295" spans="1:12" x14ac:dyDescent="0.3">
      <c r="A3295" t="s">
        <v>709</v>
      </c>
      <c r="B3295" t="s">
        <v>1491</v>
      </c>
      <c r="C3295" t="s">
        <v>750</v>
      </c>
      <c r="D3295" t="s">
        <v>296</v>
      </c>
      <c r="E3295" t="s">
        <v>567</v>
      </c>
      <c r="F3295" t="s">
        <v>198</v>
      </c>
      <c r="G3295" t="s">
        <v>111</v>
      </c>
      <c r="H3295" t="s">
        <v>118</v>
      </c>
      <c r="I3295" t="s">
        <v>112</v>
      </c>
      <c r="J3295" t="s">
        <v>119</v>
      </c>
      <c r="K3295" t="s">
        <v>1697</v>
      </c>
      <c r="L3295" t="s">
        <v>1697</v>
      </c>
    </row>
    <row r="3296" spans="1:12" x14ac:dyDescent="0.3">
      <c r="A3296" t="s">
        <v>709</v>
      </c>
      <c r="B3296" t="s">
        <v>1491</v>
      </c>
      <c r="C3296" t="s">
        <v>750</v>
      </c>
      <c r="D3296" t="s">
        <v>297</v>
      </c>
      <c r="E3296" t="s">
        <v>567</v>
      </c>
      <c r="F3296" t="s">
        <v>180</v>
      </c>
      <c r="G3296" t="s">
        <v>111</v>
      </c>
      <c r="H3296" t="s">
        <v>113</v>
      </c>
      <c r="I3296" t="s">
        <v>112</v>
      </c>
      <c r="J3296" t="s">
        <v>114</v>
      </c>
      <c r="K3296" t="s">
        <v>1693</v>
      </c>
      <c r="L3296" t="s">
        <v>1693</v>
      </c>
    </row>
    <row r="3297" spans="1:12" x14ac:dyDescent="0.3">
      <c r="A3297" t="s">
        <v>709</v>
      </c>
      <c r="B3297" t="s">
        <v>1491</v>
      </c>
      <c r="C3297" t="s">
        <v>750</v>
      </c>
      <c r="D3297" t="s">
        <v>298</v>
      </c>
      <c r="E3297" t="s">
        <v>567</v>
      </c>
      <c r="F3297" t="s">
        <v>158</v>
      </c>
      <c r="G3297" t="s">
        <v>111</v>
      </c>
      <c r="H3297" t="s">
        <v>113</v>
      </c>
      <c r="I3297" t="s">
        <v>112</v>
      </c>
      <c r="J3297" t="s">
        <v>114</v>
      </c>
      <c r="K3297" t="s">
        <v>1693</v>
      </c>
      <c r="L3297" t="s">
        <v>1693</v>
      </c>
    </row>
    <row r="3298" spans="1:12" x14ac:dyDescent="0.3">
      <c r="A3298" t="s">
        <v>709</v>
      </c>
      <c r="B3298" t="s">
        <v>1491</v>
      </c>
      <c r="C3298" t="s">
        <v>750</v>
      </c>
      <c r="D3298" t="s">
        <v>336</v>
      </c>
      <c r="E3298" t="s">
        <v>567</v>
      </c>
      <c r="F3298" t="s">
        <v>159</v>
      </c>
      <c r="G3298" t="s">
        <v>111</v>
      </c>
      <c r="H3298" t="s">
        <v>113</v>
      </c>
      <c r="I3298" t="s">
        <v>112</v>
      </c>
      <c r="J3298" t="s">
        <v>114</v>
      </c>
      <c r="K3298" t="s">
        <v>1693</v>
      </c>
      <c r="L3298" t="s">
        <v>1693</v>
      </c>
    </row>
    <row r="3299" spans="1:12" x14ac:dyDescent="0.3">
      <c r="A3299" t="s">
        <v>709</v>
      </c>
      <c r="B3299" t="s">
        <v>1491</v>
      </c>
      <c r="C3299" t="s">
        <v>750</v>
      </c>
      <c r="D3299" t="s">
        <v>299</v>
      </c>
      <c r="E3299" t="s">
        <v>567</v>
      </c>
      <c r="F3299" t="s">
        <v>47</v>
      </c>
      <c r="G3299" t="s">
        <v>111</v>
      </c>
      <c r="H3299" t="s">
        <v>113</v>
      </c>
      <c r="I3299" t="s">
        <v>112</v>
      </c>
      <c r="J3299" t="s">
        <v>114</v>
      </c>
      <c r="K3299" t="s">
        <v>1697</v>
      </c>
      <c r="L3299" t="s">
        <v>1697</v>
      </c>
    </row>
    <row r="3300" spans="1:12" x14ac:dyDescent="0.3">
      <c r="A3300" t="s">
        <v>709</v>
      </c>
      <c r="B3300" t="s">
        <v>1491</v>
      </c>
      <c r="C3300" t="s">
        <v>750</v>
      </c>
      <c r="D3300" t="s">
        <v>300</v>
      </c>
      <c r="E3300" t="s">
        <v>567</v>
      </c>
      <c r="F3300" t="s">
        <v>181</v>
      </c>
      <c r="G3300" t="s">
        <v>111</v>
      </c>
      <c r="H3300" t="s">
        <v>118</v>
      </c>
      <c r="I3300" t="s">
        <v>112</v>
      </c>
      <c r="J3300" t="s">
        <v>119</v>
      </c>
      <c r="K3300" t="s">
        <v>1693</v>
      </c>
      <c r="L3300" t="s">
        <v>1693</v>
      </c>
    </row>
    <row r="3301" spans="1:12" x14ac:dyDescent="0.3">
      <c r="A3301" t="s">
        <v>709</v>
      </c>
      <c r="B3301" t="s">
        <v>1491</v>
      </c>
      <c r="C3301" t="s">
        <v>750</v>
      </c>
      <c r="D3301" t="s">
        <v>208</v>
      </c>
      <c r="E3301" t="s">
        <v>567</v>
      </c>
      <c r="F3301" t="s">
        <v>161</v>
      </c>
      <c r="G3301" t="s">
        <v>111</v>
      </c>
      <c r="H3301" t="s">
        <v>113</v>
      </c>
      <c r="I3301" t="s">
        <v>112</v>
      </c>
      <c r="J3301" t="s">
        <v>114</v>
      </c>
      <c r="K3301" t="s">
        <v>1693</v>
      </c>
      <c r="L3301" t="s">
        <v>1693</v>
      </c>
    </row>
    <row r="3302" spans="1:12" x14ac:dyDescent="0.3">
      <c r="A3302" t="s">
        <v>709</v>
      </c>
      <c r="B3302" t="s">
        <v>1491</v>
      </c>
      <c r="C3302" t="s">
        <v>750</v>
      </c>
      <c r="D3302" t="s">
        <v>1581</v>
      </c>
      <c r="E3302" t="s">
        <v>569</v>
      </c>
      <c r="F3302" t="s">
        <v>115</v>
      </c>
      <c r="G3302" t="s">
        <v>111</v>
      </c>
      <c r="H3302" t="s">
        <v>118</v>
      </c>
      <c r="I3302" t="s">
        <v>112</v>
      </c>
      <c r="J3302" t="s">
        <v>119</v>
      </c>
      <c r="K3302" t="s">
        <v>1693</v>
      </c>
      <c r="L3302" t="s">
        <v>1693</v>
      </c>
    </row>
    <row r="3303" spans="1:12" x14ac:dyDescent="0.3">
      <c r="A3303" t="s">
        <v>709</v>
      </c>
      <c r="B3303" t="s">
        <v>1491</v>
      </c>
      <c r="C3303" t="s">
        <v>750</v>
      </c>
      <c r="D3303" t="s">
        <v>1583</v>
      </c>
      <c r="E3303" t="s">
        <v>569</v>
      </c>
      <c r="F3303" t="s">
        <v>59</v>
      </c>
      <c r="G3303" t="s">
        <v>111</v>
      </c>
      <c r="H3303" t="s">
        <v>118</v>
      </c>
      <c r="I3303" t="s">
        <v>112</v>
      </c>
      <c r="J3303" t="s">
        <v>119</v>
      </c>
      <c r="K3303" t="s">
        <v>1693</v>
      </c>
      <c r="L3303" t="s">
        <v>1693</v>
      </c>
    </row>
    <row r="3304" spans="1:12" x14ac:dyDescent="0.3">
      <c r="A3304" t="s">
        <v>709</v>
      </c>
      <c r="B3304" t="s">
        <v>1491</v>
      </c>
      <c r="C3304" t="s">
        <v>750</v>
      </c>
      <c r="D3304" t="s">
        <v>1584</v>
      </c>
      <c r="E3304" t="s">
        <v>569</v>
      </c>
      <c r="F3304" t="s">
        <v>117</v>
      </c>
      <c r="G3304" t="s">
        <v>111</v>
      </c>
      <c r="H3304" t="s">
        <v>118</v>
      </c>
      <c r="I3304" t="s">
        <v>112</v>
      </c>
      <c r="J3304" t="s">
        <v>119</v>
      </c>
      <c r="K3304" t="s">
        <v>1694</v>
      </c>
      <c r="L3304" t="s">
        <v>1694</v>
      </c>
    </row>
    <row r="3305" spans="1:12" x14ac:dyDescent="0.3">
      <c r="A3305" t="s">
        <v>709</v>
      </c>
      <c r="B3305" t="s">
        <v>1491</v>
      </c>
      <c r="C3305" t="s">
        <v>750</v>
      </c>
      <c r="D3305" t="s">
        <v>1585</v>
      </c>
      <c r="E3305" t="s">
        <v>569</v>
      </c>
      <c r="F3305" t="s">
        <v>188</v>
      </c>
      <c r="G3305" t="s">
        <v>111</v>
      </c>
      <c r="H3305" t="s">
        <v>113</v>
      </c>
      <c r="I3305" t="s">
        <v>112</v>
      </c>
      <c r="J3305" t="s">
        <v>114</v>
      </c>
      <c r="K3305" t="s">
        <v>1693</v>
      </c>
      <c r="L3305" t="s">
        <v>1693</v>
      </c>
    </row>
    <row r="3306" spans="1:12" x14ac:dyDescent="0.3">
      <c r="A3306" t="s">
        <v>709</v>
      </c>
      <c r="B3306" t="s">
        <v>1491</v>
      </c>
      <c r="C3306" t="s">
        <v>750</v>
      </c>
      <c r="D3306" t="s">
        <v>1587</v>
      </c>
      <c r="E3306" t="s">
        <v>569</v>
      </c>
      <c r="F3306" t="s">
        <v>164</v>
      </c>
      <c r="G3306" t="s">
        <v>111</v>
      </c>
      <c r="H3306" t="s">
        <v>113</v>
      </c>
      <c r="I3306" t="s">
        <v>112</v>
      </c>
      <c r="J3306" t="s">
        <v>114</v>
      </c>
      <c r="K3306" t="s">
        <v>1693</v>
      </c>
      <c r="L3306" t="s">
        <v>1693</v>
      </c>
    </row>
    <row r="3307" spans="1:12" x14ac:dyDescent="0.3">
      <c r="A3307" t="s">
        <v>709</v>
      </c>
      <c r="B3307" t="s">
        <v>1491</v>
      </c>
      <c r="C3307" t="s">
        <v>750</v>
      </c>
      <c r="D3307" t="s">
        <v>1588</v>
      </c>
      <c r="E3307" t="s">
        <v>569</v>
      </c>
      <c r="F3307" t="s">
        <v>53</v>
      </c>
      <c r="G3307" t="s">
        <v>111</v>
      </c>
      <c r="H3307" t="s">
        <v>118</v>
      </c>
      <c r="I3307" t="s">
        <v>112</v>
      </c>
      <c r="J3307" t="s">
        <v>119</v>
      </c>
      <c r="K3307" t="s">
        <v>1693</v>
      </c>
      <c r="L3307" t="s">
        <v>1693</v>
      </c>
    </row>
    <row r="3308" spans="1:12" x14ac:dyDescent="0.3">
      <c r="A3308" t="s">
        <v>709</v>
      </c>
      <c r="B3308" t="s">
        <v>1491</v>
      </c>
      <c r="C3308" t="s">
        <v>750</v>
      </c>
      <c r="D3308" t="s">
        <v>1704</v>
      </c>
      <c r="E3308" t="s">
        <v>569</v>
      </c>
      <c r="F3308" t="s">
        <v>121</v>
      </c>
      <c r="G3308" t="s">
        <v>111</v>
      </c>
      <c r="H3308" t="s">
        <v>113</v>
      </c>
      <c r="I3308" t="s">
        <v>112</v>
      </c>
      <c r="J3308" t="s">
        <v>114</v>
      </c>
      <c r="K3308" t="s">
        <v>1693</v>
      </c>
      <c r="L3308" t="s">
        <v>1693</v>
      </c>
    </row>
    <row r="3309" spans="1:12" x14ac:dyDescent="0.3">
      <c r="A3309" t="s">
        <v>709</v>
      </c>
      <c r="B3309" t="s">
        <v>1491</v>
      </c>
      <c r="C3309" t="s">
        <v>750</v>
      </c>
      <c r="D3309" t="s">
        <v>1590</v>
      </c>
      <c r="E3309" t="s">
        <v>569</v>
      </c>
      <c r="F3309" t="s">
        <v>122</v>
      </c>
      <c r="G3309" t="s">
        <v>111</v>
      </c>
      <c r="H3309" t="s">
        <v>118</v>
      </c>
      <c r="I3309" t="s">
        <v>112</v>
      </c>
      <c r="J3309" t="s">
        <v>119</v>
      </c>
      <c r="K3309" t="s">
        <v>1693</v>
      </c>
      <c r="L3309" t="s">
        <v>1693</v>
      </c>
    </row>
    <row r="3310" spans="1:12" x14ac:dyDescent="0.3">
      <c r="A3310" t="s">
        <v>709</v>
      </c>
      <c r="B3310" t="s">
        <v>1491</v>
      </c>
      <c r="C3310" t="s">
        <v>750</v>
      </c>
      <c r="D3310" t="s">
        <v>1591</v>
      </c>
      <c r="E3310" t="s">
        <v>569</v>
      </c>
      <c r="F3310" t="s">
        <v>165</v>
      </c>
      <c r="G3310" t="s">
        <v>111</v>
      </c>
      <c r="H3310" t="s">
        <v>147</v>
      </c>
      <c r="I3310" t="s">
        <v>112</v>
      </c>
      <c r="J3310" t="s">
        <v>119</v>
      </c>
      <c r="K3310" t="s">
        <v>1694</v>
      </c>
      <c r="L3310" t="s">
        <v>1694</v>
      </c>
    </row>
    <row r="3311" spans="1:12" x14ac:dyDescent="0.3">
      <c r="A3311" t="s">
        <v>709</v>
      </c>
      <c r="B3311" t="s">
        <v>1491</v>
      </c>
      <c r="C3311" t="s">
        <v>750</v>
      </c>
      <c r="D3311" t="s">
        <v>1705</v>
      </c>
      <c r="E3311" t="s">
        <v>569</v>
      </c>
      <c r="F3311" t="s">
        <v>166</v>
      </c>
      <c r="G3311" t="s">
        <v>111</v>
      </c>
      <c r="H3311" t="s">
        <v>118</v>
      </c>
      <c r="I3311" t="s">
        <v>112</v>
      </c>
      <c r="J3311" t="s">
        <v>119</v>
      </c>
      <c r="K3311" t="s">
        <v>1693</v>
      </c>
      <c r="L3311" t="s">
        <v>1693</v>
      </c>
    </row>
    <row r="3312" spans="1:12" x14ac:dyDescent="0.3">
      <c r="A3312" t="s">
        <v>709</v>
      </c>
      <c r="B3312" t="s">
        <v>1491</v>
      </c>
      <c r="C3312" t="s">
        <v>750</v>
      </c>
      <c r="D3312" t="s">
        <v>1706</v>
      </c>
      <c r="E3312" t="s">
        <v>569</v>
      </c>
      <c r="F3312" t="s">
        <v>123</v>
      </c>
      <c r="G3312" t="s">
        <v>111</v>
      </c>
      <c r="H3312" t="s">
        <v>113</v>
      </c>
      <c r="I3312" t="s">
        <v>112</v>
      </c>
      <c r="J3312" t="s">
        <v>114</v>
      </c>
      <c r="K3312" t="s">
        <v>600</v>
      </c>
      <c r="L3312" t="s">
        <v>600</v>
      </c>
    </row>
    <row r="3313" spans="1:12" x14ac:dyDescent="0.3">
      <c r="A3313" t="s">
        <v>709</v>
      </c>
      <c r="B3313" t="s">
        <v>1491</v>
      </c>
      <c r="C3313" t="s">
        <v>750</v>
      </c>
      <c r="D3313" t="s">
        <v>1707</v>
      </c>
      <c r="E3313" t="s">
        <v>569</v>
      </c>
      <c r="F3313" t="s">
        <v>189</v>
      </c>
      <c r="G3313" t="s">
        <v>111</v>
      </c>
      <c r="H3313" t="s">
        <v>113</v>
      </c>
      <c r="I3313" t="s">
        <v>112</v>
      </c>
      <c r="J3313" t="s">
        <v>114</v>
      </c>
      <c r="K3313" t="s">
        <v>1693</v>
      </c>
      <c r="L3313" t="s">
        <v>1693</v>
      </c>
    </row>
    <row r="3314" spans="1:12" x14ac:dyDescent="0.3">
      <c r="A3314" t="s">
        <v>709</v>
      </c>
      <c r="B3314" t="s">
        <v>1491</v>
      </c>
      <c r="C3314" t="s">
        <v>750</v>
      </c>
      <c r="D3314" t="s">
        <v>1592</v>
      </c>
      <c r="E3314" t="s">
        <v>569</v>
      </c>
      <c r="F3314" t="s">
        <v>54</v>
      </c>
      <c r="G3314" t="s">
        <v>111</v>
      </c>
      <c r="H3314" t="s">
        <v>118</v>
      </c>
      <c r="I3314" t="s">
        <v>112</v>
      </c>
      <c r="J3314" t="s">
        <v>119</v>
      </c>
      <c r="K3314" t="s">
        <v>1693</v>
      </c>
      <c r="L3314" t="s">
        <v>1693</v>
      </c>
    </row>
    <row r="3315" spans="1:12" x14ac:dyDescent="0.3">
      <c r="A3315" t="s">
        <v>709</v>
      </c>
      <c r="B3315" t="s">
        <v>1491</v>
      </c>
      <c r="C3315" t="s">
        <v>750</v>
      </c>
      <c r="D3315" t="s">
        <v>1593</v>
      </c>
      <c r="E3315" t="s">
        <v>569</v>
      </c>
      <c r="F3315" t="s">
        <v>45</v>
      </c>
      <c r="G3315" t="s">
        <v>111</v>
      </c>
      <c r="H3315" t="s">
        <v>113</v>
      </c>
      <c r="I3315" t="s">
        <v>112</v>
      </c>
      <c r="J3315" t="s">
        <v>114</v>
      </c>
      <c r="K3315" t="s">
        <v>1693</v>
      </c>
      <c r="L3315" t="s">
        <v>1693</v>
      </c>
    </row>
    <row r="3316" spans="1:12" x14ac:dyDescent="0.3">
      <c r="A3316" t="s">
        <v>709</v>
      </c>
      <c r="B3316" t="s">
        <v>1491</v>
      </c>
      <c r="C3316" t="s">
        <v>750</v>
      </c>
      <c r="D3316" t="s">
        <v>1597</v>
      </c>
      <c r="E3316" t="s">
        <v>569</v>
      </c>
      <c r="F3316" t="s">
        <v>124</v>
      </c>
      <c r="G3316" t="s">
        <v>111</v>
      </c>
      <c r="H3316" t="s">
        <v>113</v>
      </c>
      <c r="I3316" t="s">
        <v>112</v>
      </c>
      <c r="J3316" t="s">
        <v>114</v>
      </c>
      <c r="K3316" t="s">
        <v>1693</v>
      </c>
      <c r="L3316" t="s">
        <v>1693</v>
      </c>
    </row>
    <row r="3317" spans="1:12" x14ac:dyDescent="0.3">
      <c r="A3317" t="s">
        <v>709</v>
      </c>
      <c r="B3317" t="s">
        <v>1491</v>
      </c>
      <c r="C3317" t="s">
        <v>750</v>
      </c>
      <c r="D3317" t="s">
        <v>1598</v>
      </c>
      <c r="E3317" t="s">
        <v>569</v>
      </c>
      <c r="F3317" t="s">
        <v>58</v>
      </c>
      <c r="G3317" t="s">
        <v>111</v>
      </c>
      <c r="H3317" t="s">
        <v>113</v>
      </c>
      <c r="I3317" t="s">
        <v>112</v>
      </c>
      <c r="J3317" t="s">
        <v>114</v>
      </c>
      <c r="K3317" t="s">
        <v>1697</v>
      </c>
      <c r="L3317" t="s">
        <v>1697</v>
      </c>
    </row>
    <row r="3318" spans="1:12" x14ac:dyDescent="0.3">
      <c r="A3318" t="s">
        <v>709</v>
      </c>
      <c r="B3318" t="s">
        <v>1491</v>
      </c>
      <c r="C3318" t="s">
        <v>750</v>
      </c>
      <c r="D3318" t="s">
        <v>1708</v>
      </c>
      <c r="E3318" t="s">
        <v>569</v>
      </c>
      <c r="F3318" t="s">
        <v>65</v>
      </c>
      <c r="G3318" t="s">
        <v>111</v>
      </c>
      <c r="H3318" t="s">
        <v>118</v>
      </c>
      <c r="I3318" t="s">
        <v>112</v>
      </c>
      <c r="J3318" t="s">
        <v>119</v>
      </c>
      <c r="K3318" t="s">
        <v>1693</v>
      </c>
      <c r="L3318" t="s">
        <v>1693</v>
      </c>
    </row>
    <row r="3319" spans="1:12" x14ac:dyDescent="0.3">
      <c r="A3319" t="s">
        <v>709</v>
      </c>
      <c r="B3319" t="s">
        <v>1491</v>
      </c>
      <c r="C3319" t="s">
        <v>750</v>
      </c>
      <c r="D3319" t="s">
        <v>1709</v>
      </c>
      <c r="E3319" t="s">
        <v>569</v>
      </c>
      <c r="F3319" t="s">
        <v>125</v>
      </c>
      <c r="G3319" t="s">
        <v>111</v>
      </c>
      <c r="H3319" t="s">
        <v>113</v>
      </c>
      <c r="I3319" t="s">
        <v>112</v>
      </c>
      <c r="J3319" t="s">
        <v>114</v>
      </c>
      <c r="K3319" t="s">
        <v>1693</v>
      </c>
      <c r="L3319" t="s">
        <v>1693</v>
      </c>
    </row>
    <row r="3320" spans="1:12" x14ac:dyDescent="0.3">
      <c r="A3320" t="s">
        <v>709</v>
      </c>
      <c r="B3320" t="s">
        <v>1491</v>
      </c>
      <c r="C3320" t="s">
        <v>750</v>
      </c>
      <c r="D3320" t="s">
        <v>1710</v>
      </c>
      <c r="E3320" t="s">
        <v>569</v>
      </c>
      <c r="F3320" t="s">
        <v>80</v>
      </c>
      <c r="G3320" t="s">
        <v>111</v>
      </c>
      <c r="H3320" t="s">
        <v>118</v>
      </c>
      <c r="I3320" t="s">
        <v>112</v>
      </c>
      <c r="J3320" t="s">
        <v>119</v>
      </c>
      <c r="K3320" t="s">
        <v>1698</v>
      </c>
      <c r="L3320" t="s">
        <v>1698</v>
      </c>
    </row>
    <row r="3321" spans="1:12" x14ac:dyDescent="0.3">
      <c r="A3321" t="s">
        <v>709</v>
      </c>
      <c r="B3321" t="s">
        <v>1491</v>
      </c>
      <c r="C3321" t="s">
        <v>750</v>
      </c>
      <c r="D3321" t="s">
        <v>1602</v>
      </c>
      <c r="E3321" t="s">
        <v>569</v>
      </c>
      <c r="F3321" t="s">
        <v>167</v>
      </c>
      <c r="G3321" t="s">
        <v>111</v>
      </c>
      <c r="H3321" t="s">
        <v>118</v>
      </c>
      <c r="I3321" t="s">
        <v>112</v>
      </c>
      <c r="J3321" t="s">
        <v>119</v>
      </c>
      <c r="K3321" t="s">
        <v>1693</v>
      </c>
      <c r="L3321" t="s">
        <v>1693</v>
      </c>
    </row>
    <row r="3322" spans="1:12" x14ac:dyDescent="0.3">
      <c r="A3322" t="s">
        <v>709</v>
      </c>
      <c r="B3322" t="s">
        <v>1491</v>
      </c>
      <c r="C3322" t="s">
        <v>750</v>
      </c>
      <c r="D3322" t="s">
        <v>1606</v>
      </c>
      <c r="E3322" t="s">
        <v>569</v>
      </c>
      <c r="F3322" t="s">
        <v>168</v>
      </c>
      <c r="G3322" t="s">
        <v>111</v>
      </c>
      <c r="H3322" t="s">
        <v>113</v>
      </c>
      <c r="I3322" t="s">
        <v>112</v>
      </c>
      <c r="J3322" t="s">
        <v>114</v>
      </c>
      <c r="K3322" t="s">
        <v>600</v>
      </c>
      <c r="L3322" t="s">
        <v>600</v>
      </c>
    </row>
    <row r="3323" spans="1:12" x14ac:dyDescent="0.3">
      <c r="A3323" t="s">
        <v>709</v>
      </c>
      <c r="B3323" t="s">
        <v>1491</v>
      </c>
      <c r="C3323" t="s">
        <v>750</v>
      </c>
      <c r="D3323" t="s">
        <v>1607</v>
      </c>
      <c r="E3323" t="s">
        <v>569</v>
      </c>
      <c r="F3323" t="s">
        <v>89</v>
      </c>
      <c r="G3323" t="s">
        <v>111</v>
      </c>
      <c r="H3323" t="s">
        <v>113</v>
      </c>
      <c r="I3323" t="s">
        <v>112</v>
      </c>
      <c r="J3323" t="s">
        <v>114</v>
      </c>
      <c r="K3323" t="s">
        <v>1696</v>
      </c>
      <c r="L3323" t="s">
        <v>1696</v>
      </c>
    </row>
    <row r="3324" spans="1:12" x14ac:dyDescent="0.3">
      <c r="A3324" t="s">
        <v>709</v>
      </c>
      <c r="B3324" t="s">
        <v>1491</v>
      </c>
      <c r="C3324" t="s">
        <v>750</v>
      </c>
      <c r="D3324" t="s">
        <v>1611</v>
      </c>
      <c r="E3324" t="s">
        <v>569</v>
      </c>
      <c r="F3324" t="s">
        <v>169</v>
      </c>
      <c r="G3324" t="s">
        <v>111</v>
      </c>
      <c r="H3324" t="s">
        <v>113</v>
      </c>
      <c r="I3324" t="s">
        <v>112</v>
      </c>
      <c r="J3324" t="s">
        <v>114</v>
      </c>
      <c r="K3324" t="s">
        <v>1693</v>
      </c>
      <c r="L3324" t="s">
        <v>1693</v>
      </c>
    </row>
    <row r="3325" spans="1:12" x14ac:dyDescent="0.3">
      <c r="A3325" t="s">
        <v>709</v>
      </c>
      <c r="B3325" t="s">
        <v>1491</v>
      </c>
      <c r="C3325" t="s">
        <v>750</v>
      </c>
      <c r="D3325" t="s">
        <v>1612</v>
      </c>
      <c r="E3325" t="s">
        <v>569</v>
      </c>
      <c r="F3325" t="s">
        <v>110</v>
      </c>
      <c r="G3325" t="s">
        <v>111</v>
      </c>
      <c r="H3325" t="s">
        <v>118</v>
      </c>
      <c r="I3325" t="s">
        <v>112</v>
      </c>
      <c r="J3325" t="s">
        <v>119</v>
      </c>
      <c r="K3325" t="s">
        <v>1693</v>
      </c>
      <c r="L3325" t="s">
        <v>1693</v>
      </c>
    </row>
    <row r="3326" spans="1:12" x14ac:dyDescent="0.3">
      <c r="A3326" t="s">
        <v>709</v>
      </c>
      <c r="B3326" t="s">
        <v>1491</v>
      </c>
      <c r="C3326" t="s">
        <v>750</v>
      </c>
      <c r="D3326" t="s">
        <v>1613</v>
      </c>
      <c r="E3326" t="s">
        <v>569</v>
      </c>
      <c r="F3326" t="s">
        <v>93</v>
      </c>
      <c r="G3326" t="s">
        <v>111</v>
      </c>
      <c r="H3326" t="s">
        <v>118</v>
      </c>
      <c r="I3326" t="s">
        <v>112</v>
      </c>
      <c r="J3326" t="s">
        <v>119</v>
      </c>
      <c r="K3326" t="s">
        <v>1693</v>
      </c>
      <c r="L3326" t="s">
        <v>1693</v>
      </c>
    </row>
    <row r="3327" spans="1:12" x14ac:dyDescent="0.3">
      <c r="A3327" t="s">
        <v>709</v>
      </c>
      <c r="B3327" t="s">
        <v>1491</v>
      </c>
      <c r="C3327" t="s">
        <v>750</v>
      </c>
      <c r="D3327" t="s">
        <v>1614</v>
      </c>
      <c r="E3327" t="s">
        <v>569</v>
      </c>
      <c r="F3327" t="s">
        <v>129</v>
      </c>
      <c r="G3327" t="s">
        <v>111</v>
      </c>
      <c r="H3327" t="s">
        <v>113</v>
      </c>
      <c r="I3327" t="s">
        <v>112</v>
      </c>
      <c r="J3327" t="s">
        <v>114</v>
      </c>
      <c r="K3327" t="s">
        <v>1693</v>
      </c>
      <c r="L3327" t="s">
        <v>1693</v>
      </c>
    </row>
    <row r="3328" spans="1:12" x14ac:dyDescent="0.3">
      <c r="A3328" t="s">
        <v>709</v>
      </c>
      <c r="B3328" t="s">
        <v>1491</v>
      </c>
      <c r="C3328" t="s">
        <v>750</v>
      </c>
      <c r="D3328" t="s">
        <v>1711</v>
      </c>
      <c r="E3328" t="s">
        <v>569</v>
      </c>
      <c r="F3328" t="s">
        <v>85</v>
      </c>
      <c r="G3328" t="s">
        <v>111</v>
      </c>
      <c r="H3328" t="s">
        <v>113</v>
      </c>
      <c r="I3328" t="s">
        <v>112</v>
      </c>
      <c r="J3328" t="s">
        <v>114</v>
      </c>
      <c r="K3328" t="s">
        <v>1697</v>
      </c>
      <c r="L3328" t="s">
        <v>1697</v>
      </c>
    </row>
    <row r="3329" spans="1:12" x14ac:dyDescent="0.3">
      <c r="A3329" t="s">
        <v>709</v>
      </c>
      <c r="B3329" t="s">
        <v>1491</v>
      </c>
      <c r="C3329" t="s">
        <v>750</v>
      </c>
      <c r="D3329" t="s">
        <v>1712</v>
      </c>
      <c r="E3329" t="s">
        <v>569</v>
      </c>
      <c r="F3329" t="s">
        <v>61</v>
      </c>
      <c r="G3329" t="s">
        <v>111</v>
      </c>
      <c r="H3329" t="s">
        <v>118</v>
      </c>
      <c r="I3329" t="s">
        <v>112</v>
      </c>
      <c r="J3329" t="s">
        <v>119</v>
      </c>
      <c r="K3329" t="s">
        <v>1698</v>
      </c>
      <c r="L3329" t="s">
        <v>1698</v>
      </c>
    </row>
    <row r="3330" spans="1:12" x14ac:dyDescent="0.3">
      <c r="A3330" t="s">
        <v>709</v>
      </c>
      <c r="B3330" t="s">
        <v>1491</v>
      </c>
      <c r="C3330" t="s">
        <v>750</v>
      </c>
      <c r="D3330" t="s">
        <v>1615</v>
      </c>
      <c r="E3330" t="s">
        <v>569</v>
      </c>
      <c r="F3330" t="s">
        <v>87</v>
      </c>
      <c r="G3330" t="s">
        <v>111</v>
      </c>
      <c r="H3330" t="s">
        <v>118</v>
      </c>
      <c r="I3330" t="s">
        <v>112</v>
      </c>
      <c r="J3330" t="s">
        <v>119</v>
      </c>
      <c r="K3330" t="s">
        <v>1693</v>
      </c>
      <c r="L3330" t="s">
        <v>1693</v>
      </c>
    </row>
    <row r="3331" spans="1:12" x14ac:dyDescent="0.3">
      <c r="A3331" t="s">
        <v>709</v>
      </c>
      <c r="B3331" t="s">
        <v>1491</v>
      </c>
      <c r="C3331" t="s">
        <v>750</v>
      </c>
      <c r="D3331" t="s">
        <v>1616</v>
      </c>
      <c r="E3331" t="s">
        <v>569</v>
      </c>
      <c r="F3331" t="s">
        <v>130</v>
      </c>
      <c r="G3331" t="s">
        <v>111</v>
      </c>
      <c r="H3331" t="s">
        <v>113</v>
      </c>
      <c r="I3331" t="s">
        <v>112</v>
      </c>
      <c r="J3331" t="s">
        <v>114</v>
      </c>
      <c r="K3331" t="s">
        <v>1693</v>
      </c>
      <c r="L3331" t="s">
        <v>1693</v>
      </c>
    </row>
    <row r="3332" spans="1:12" x14ac:dyDescent="0.3">
      <c r="A3332" t="s">
        <v>709</v>
      </c>
      <c r="B3332" t="s">
        <v>1491</v>
      </c>
      <c r="C3332" t="s">
        <v>750</v>
      </c>
      <c r="D3332" t="s">
        <v>1617</v>
      </c>
      <c r="E3332" t="s">
        <v>569</v>
      </c>
      <c r="F3332" t="s">
        <v>131</v>
      </c>
      <c r="G3332" t="s">
        <v>111</v>
      </c>
      <c r="H3332" t="s">
        <v>118</v>
      </c>
      <c r="I3332" t="s">
        <v>112</v>
      </c>
      <c r="J3332" t="s">
        <v>119</v>
      </c>
      <c r="K3332" t="s">
        <v>1693</v>
      </c>
      <c r="L3332" t="s">
        <v>1693</v>
      </c>
    </row>
    <row r="3333" spans="1:12" x14ac:dyDescent="0.3">
      <c r="A3333" t="s">
        <v>709</v>
      </c>
      <c r="B3333" t="s">
        <v>1491</v>
      </c>
      <c r="C3333" t="s">
        <v>750</v>
      </c>
      <c r="D3333" t="s">
        <v>1618</v>
      </c>
      <c r="E3333" t="s">
        <v>569</v>
      </c>
      <c r="F3333" t="s">
        <v>50</v>
      </c>
      <c r="G3333" t="s">
        <v>111</v>
      </c>
      <c r="H3333" t="s">
        <v>113</v>
      </c>
      <c r="I3333" t="s">
        <v>112</v>
      </c>
      <c r="J3333" t="s">
        <v>114</v>
      </c>
      <c r="K3333" t="s">
        <v>1699</v>
      </c>
      <c r="L3333" t="s">
        <v>1699</v>
      </c>
    </row>
    <row r="3334" spans="1:12" x14ac:dyDescent="0.3">
      <c r="A3334" t="s">
        <v>709</v>
      </c>
      <c r="B3334" t="s">
        <v>1491</v>
      </c>
      <c r="C3334" t="s">
        <v>750</v>
      </c>
      <c r="D3334" t="s">
        <v>1713</v>
      </c>
      <c r="E3334" t="s">
        <v>568</v>
      </c>
      <c r="F3334" t="s">
        <v>79</v>
      </c>
      <c r="G3334" t="s">
        <v>111</v>
      </c>
      <c r="H3334" t="s">
        <v>113</v>
      </c>
      <c r="I3334" t="s">
        <v>112</v>
      </c>
      <c r="J3334" t="s">
        <v>114</v>
      </c>
      <c r="K3334" t="s">
        <v>1693</v>
      </c>
      <c r="L3334" t="s">
        <v>1693</v>
      </c>
    </row>
    <row r="3335" spans="1:12" x14ac:dyDescent="0.3">
      <c r="A3335" t="s">
        <v>709</v>
      </c>
      <c r="B3335" t="s">
        <v>1491</v>
      </c>
      <c r="C3335" t="s">
        <v>750</v>
      </c>
      <c r="D3335" t="s">
        <v>1620</v>
      </c>
      <c r="E3335" t="s">
        <v>568</v>
      </c>
      <c r="F3335" t="s">
        <v>134</v>
      </c>
      <c r="G3335" t="s">
        <v>111</v>
      </c>
      <c r="H3335" t="s">
        <v>118</v>
      </c>
      <c r="I3335" t="s">
        <v>112</v>
      </c>
      <c r="J3335" t="s">
        <v>119</v>
      </c>
      <c r="K3335" t="s">
        <v>1693</v>
      </c>
      <c r="L3335" t="s">
        <v>1693</v>
      </c>
    </row>
    <row r="3336" spans="1:12" x14ac:dyDescent="0.3">
      <c r="A3336" t="s">
        <v>709</v>
      </c>
      <c r="B3336" t="s">
        <v>1491</v>
      </c>
      <c r="C3336" t="s">
        <v>750</v>
      </c>
      <c r="D3336" t="s">
        <v>1621</v>
      </c>
      <c r="E3336" t="s">
        <v>568</v>
      </c>
      <c r="F3336" t="s">
        <v>51</v>
      </c>
      <c r="G3336" t="s">
        <v>111</v>
      </c>
      <c r="H3336" t="s">
        <v>118</v>
      </c>
      <c r="I3336" t="s">
        <v>112</v>
      </c>
      <c r="J3336" t="s">
        <v>119</v>
      </c>
      <c r="K3336" t="s">
        <v>1693</v>
      </c>
      <c r="L3336" t="s">
        <v>1693</v>
      </c>
    </row>
    <row r="3337" spans="1:12" x14ac:dyDescent="0.3">
      <c r="A3337" t="s">
        <v>709</v>
      </c>
      <c r="B3337" t="s">
        <v>1491</v>
      </c>
      <c r="C3337" t="s">
        <v>750</v>
      </c>
      <c r="D3337" t="s">
        <v>1622</v>
      </c>
      <c r="E3337" t="s">
        <v>568</v>
      </c>
      <c r="F3337" t="s">
        <v>163</v>
      </c>
      <c r="G3337" t="s">
        <v>111</v>
      </c>
      <c r="H3337" t="s">
        <v>113</v>
      </c>
      <c r="I3337" t="s">
        <v>112</v>
      </c>
      <c r="J3337" t="s">
        <v>114</v>
      </c>
      <c r="K3337" t="s">
        <v>1700</v>
      </c>
      <c r="L3337" t="s">
        <v>1700</v>
      </c>
    </row>
    <row r="3338" spans="1:12" x14ac:dyDescent="0.3">
      <c r="A3338" t="s">
        <v>709</v>
      </c>
      <c r="B3338" t="s">
        <v>1491</v>
      </c>
      <c r="C3338" t="s">
        <v>750</v>
      </c>
      <c r="D3338" t="s">
        <v>1624</v>
      </c>
      <c r="E3338" t="s">
        <v>568</v>
      </c>
      <c r="F3338" t="s">
        <v>78</v>
      </c>
      <c r="G3338" t="s">
        <v>111</v>
      </c>
      <c r="H3338" t="s">
        <v>113</v>
      </c>
      <c r="I3338" t="s">
        <v>112</v>
      </c>
      <c r="J3338" t="s">
        <v>114</v>
      </c>
      <c r="K3338" t="s">
        <v>1693</v>
      </c>
      <c r="L3338" t="s">
        <v>1693</v>
      </c>
    </row>
    <row r="3339" spans="1:12" x14ac:dyDescent="0.3">
      <c r="A3339" t="s">
        <v>709</v>
      </c>
      <c r="B3339" t="s">
        <v>1491</v>
      </c>
      <c r="C3339" t="s">
        <v>750</v>
      </c>
      <c r="D3339" t="s">
        <v>1625</v>
      </c>
      <c r="E3339" t="s">
        <v>568</v>
      </c>
      <c r="F3339" t="s">
        <v>82</v>
      </c>
      <c r="G3339" t="s">
        <v>111</v>
      </c>
      <c r="H3339" t="s">
        <v>113</v>
      </c>
      <c r="I3339" t="s">
        <v>112</v>
      </c>
      <c r="J3339" t="s">
        <v>114</v>
      </c>
      <c r="K3339" t="s">
        <v>1693</v>
      </c>
      <c r="L3339" t="s">
        <v>1693</v>
      </c>
    </row>
    <row r="3340" spans="1:12" x14ac:dyDescent="0.3">
      <c r="A3340" t="s">
        <v>709</v>
      </c>
      <c r="B3340" t="s">
        <v>1491</v>
      </c>
      <c r="C3340" t="s">
        <v>750</v>
      </c>
      <c r="D3340" t="s">
        <v>1626</v>
      </c>
      <c r="E3340" t="s">
        <v>568</v>
      </c>
      <c r="F3340" t="s">
        <v>135</v>
      </c>
      <c r="G3340" t="s">
        <v>111</v>
      </c>
      <c r="H3340" t="s">
        <v>118</v>
      </c>
      <c r="I3340" t="s">
        <v>112</v>
      </c>
      <c r="J3340" t="s">
        <v>119</v>
      </c>
      <c r="K3340" t="s">
        <v>1697</v>
      </c>
      <c r="L3340" t="s">
        <v>1697</v>
      </c>
    </row>
    <row r="3341" spans="1:12" x14ac:dyDescent="0.3">
      <c r="A3341" t="s">
        <v>709</v>
      </c>
      <c r="B3341" t="s">
        <v>1491</v>
      </c>
      <c r="C3341" t="s">
        <v>750</v>
      </c>
      <c r="D3341" t="s">
        <v>1628</v>
      </c>
      <c r="E3341" t="s">
        <v>568</v>
      </c>
      <c r="F3341" t="s">
        <v>60</v>
      </c>
      <c r="G3341" t="s">
        <v>111</v>
      </c>
      <c r="H3341" t="s">
        <v>118</v>
      </c>
      <c r="I3341" t="s">
        <v>112</v>
      </c>
      <c r="J3341" t="s">
        <v>119</v>
      </c>
      <c r="K3341" t="s">
        <v>1693</v>
      </c>
      <c r="L3341" t="s">
        <v>1693</v>
      </c>
    </row>
    <row r="3342" spans="1:12" x14ac:dyDescent="0.3">
      <c r="A3342" t="s">
        <v>709</v>
      </c>
      <c r="B3342" t="s">
        <v>1491</v>
      </c>
      <c r="C3342" t="s">
        <v>750</v>
      </c>
      <c r="D3342" t="s">
        <v>1630</v>
      </c>
      <c r="E3342" t="s">
        <v>568</v>
      </c>
      <c r="F3342" t="s">
        <v>48</v>
      </c>
      <c r="G3342" t="s">
        <v>111</v>
      </c>
      <c r="H3342" t="s">
        <v>118</v>
      </c>
      <c r="I3342" t="s">
        <v>112</v>
      </c>
      <c r="J3342" t="s">
        <v>119</v>
      </c>
      <c r="K3342" t="s">
        <v>1694</v>
      </c>
      <c r="L3342" t="s">
        <v>1694</v>
      </c>
    </row>
    <row r="3343" spans="1:12" x14ac:dyDescent="0.3">
      <c r="A3343" t="s">
        <v>709</v>
      </c>
      <c r="B3343" t="s">
        <v>1491</v>
      </c>
      <c r="C3343" t="s">
        <v>750</v>
      </c>
      <c r="D3343" t="s">
        <v>1632</v>
      </c>
      <c r="E3343" t="s">
        <v>568</v>
      </c>
      <c r="F3343" t="s">
        <v>95</v>
      </c>
      <c r="G3343" t="s">
        <v>111</v>
      </c>
      <c r="H3343" t="s">
        <v>118</v>
      </c>
      <c r="I3343" t="s">
        <v>112</v>
      </c>
      <c r="J3343" t="s">
        <v>119</v>
      </c>
      <c r="K3343" t="s">
        <v>428</v>
      </c>
      <c r="L3343" t="s">
        <v>428</v>
      </c>
    </row>
    <row r="3344" spans="1:12" x14ac:dyDescent="0.3">
      <c r="A3344" t="s">
        <v>709</v>
      </c>
      <c r="B3344" t="s">
        <v>1491</v>
      </c>
      <c r="C3344" t="s">
        <v>750</v>
      </c>
      <c r="D3344" t="s">
        <v>1633</v>
      </c>
      <c r="E3344" t="s">
        <v>568</v>
      </c>
      <c r="F3344" t="s">
        <v>139</v>
      </c>
      <c r="G3344" t="s">
        <v>111</v>
      </c>
      <c r="H3344" t="s">
        <v>113</v>
      </c>
      <c r="I3344" t="s">
        <v>112</v>
      </c>
      <c r="J3344" t="s">
        <v>114</v>
      </c>
      <c r="K3344" t="s">
        <v>1693</v>
      </c>
      <c r="L3344" t="s">
        <v>1693</v>
      </c>
    </row>
    <row r="3345" spans="1:12" x14ac:dyDescent="0.3">
      <c r="A3345" t="s">
        <v>709</v>
      </c>
      <c r="B3345" t="s">
        <v>1491</v>
      </c>
      <c r="C3345" t="s">
        <v>750</v>
      </c>
      <c r="D3345" t="s">
        <v>1634</v>
      </c>
      <c r="E3345" t="s">
        <v>568</v>
      </c>
      <c r="F3345" t="s">
        <v>171</v>
      </c>
      <c r="G3345" t="s">
        <v>111</v>
      </c>
      <c r="H3345" t="s">
        <v>118</v>
      </c>
      <c r="I3345" t="s">
        <v>112</v>
      </c>
      <c r="J3345" t="s">
        <v>119</v>
      </c>
      <c r="K3345" t="s">
        <v>1693</v>
      </c>
      <c r="L3345" t="s">
        <v>1693</v>
      </c>
    </row>
    <row r="3346" spans="1:12" x14ac:dyDescent="0.3">
      <c r="A3346" t="s">
        <v>709</v>
      </c>
      <c r="B3346" t="s">
        <v>1491</v>
      </c>
      <c r="C3346" t="s">
        <v>750</v>
      </c>
      <c r="D3346" t="s">
        <v>1636</v>
      </c>
      <c r="E3346" t="s">
        <v>568</v>
      </c>
      <c r="F3346" t="s">
        <v>172</v>
      </c>
      <c r="G3346" t="s">
        <v>111</v>
      </c>
      <c r="H3346" t="s">
        <v>118</v>
      </c>
      <c r="I3346" t="s">
        <v>112</v>
      </c>
      <c r="J3346" t="s">
        <v>119</v>
      </c>
      <c r="K3346" t="s">
        <v>1694</v>
      </c>
      <c r="L3346" t="s">
        <v>1694</v>
      </c>
    </row>
    <row r="3347" spans="1:12" x14ac:dyDescent="0.3">
      <c r="A3347" t="s">
        <v>709</v>
      </c>
      <c r="B3347" t="s">
        <v>1491</v>
      </c>
      <c r="C3347" t="s">
        <v>750</v>
      </c>
      <c r="D3347" t="s">
        <v>1714</v>
      </c>
      <c r="E3347" t="s">
        <v>568</v>
      </c>
      <c r="F3347" t="s">
        <v>94</v>
      </c>
      <c r="G3347" t="s">
        <v>111</v>
      </c>
      <c r="H3347" t="s">
        <v>118</v>
      </c>
      <c r="I3347" t="s">
        <v>112</v>
      </c>
      <c r="J3347" t="s">
        <v>119</v>
      </c>
      <c r="K3347" t="s">
        <v>1693</v>
      </c>
      <c r="L3347" t="s">
        <v>1693</v>
      </c>
    </row>
    <row r="3348" spans="1:12" x14ac:dyDescent="0.3">
      <c r="A3348" t="s">
        <v>709</v>
      </c>
      <c r="B3348" t="s">
        <v>1491</v>
      </c>
      <c r="C3348" t="s">
        <v>750</v>
      </c>
      <c r="D3348" t="s">
        <v>1638</v>
      </c>
      <c r="E3348" t="s">
        <v>568</v>
      </c>
      <c r="F3348" t="s">
        <v>57</v>
      </c>
      <c r="G3348" t="s">
        <v>111</v>
      </c>
      <c r="H3348" t="s">
        <v>118</v>
      </c>
      <c r="I3348" t="s">
        <v>112</v>
      </c>
      <c r="J3348" t="s">
        <v>119</v>
      </c>
      <c r="K3348" t="s">
        <v>1693</v>
      </c>
      <c r="L3348" t="s">
        <v>1693</v>
      </c>
    </row>
    <row r="3349" spans="1:12" x14ac:dyDescent="0.3">
      <c r="A3349" t="s">
        <v>709</v>
      </c>
      <c r="B3349" t="s">
        <v>1491</v>
      </c>
      <c r="C3349" t="s">
        <v>750</v>
      </c>
      <c r="D3349" t="s">
        <v>1715</v>
      </c>
      <c r="E3349" t="s">
        <v>568</v>
      </c>
      <c r="F3349" t="s">
        <v>173</v>
      </c>
      <c r="G3349" t="s">
        <v>111</v>
      </c>
      <c r="H3349" t="s">
        <v>118</v>
      </c>
      <c r="I3349" t="s">
        <v>112</v>
      </c>
      <c r="J3349" t="s">
        <v>119</v>
      </c>
      <c r="K3349" t="s">
        <v>1701</v>
      </c>
      <c r="L3349" t="s">
        <v>1701</v>
      </c>
    </row>
    <row r="3350" spans="1:12" x14ac:dyDescent="0.3">
      <c r="A3350" t="s">
        <v>709</v>
      </c>
      <c r="B3350" t="s">
        <v>1491</v>
      </c>
      <c r="C3350" t="s">
        <v>750</v>
      </c>
      <c r="D3350" t="s">
        <v>1639</v>
      </c>
      <c r="E3350" t="s">
        <v>568</v>
      </c>
      <c r="F3350" t="s">
        <v>174</v>
      </c>
      <c r="G3350" t="s">
        <v>111</v>
      </c>
      <c r="H3350" t="s">
        <v>113</v>
      </c>
      <c r="I3350" t="s">
        <v>112</v>
      </c>
      <c r="J3350" t="s">
        <v>114</v>
      </c>
      <c r="K3350" t="s">
        <v>1702</v>
      </c>
      <c r="L3350" t="s">
        <v>1702</v>
      </c>
    </row>
    <row r="3351" spans="1:12" x14ac:dyDescent="0.3">
      <c r="A3351" t="s">
        <v>709</v>
      </c>
      <c r="B3351" t="s">
        <v>1491</v>
      </c>
      <c r="C3351" t="s">
        <v>750</v>
      </c>
      <c r="D3351" t="s">
        <v>1716</v>
      </c>
      <c r="E3351" t="s">
        <v>568</v>
      </c>
      <c r="F3351" t="s">
        <v>88</v>
      </c>
      <c r="G3351" t="s">
        <v>111</v>
      </c>
      <c r="H3351" t="s">
        <v>118</v>
      </c>
      <c r="I3351" t="s">
        <v>112</v>
      </c>
      <c r="J3351" t="s">
        <v>119</v>
      </c>
      <c r="K3351" t="s">
        <v>1693</v>
      </c>
      <c r="L3351" t="s">
        <v>1693</v>
      </c>
    </row>
    <row r="3352" spans="1:12" x14ac:dyDescent="0.3">
      <c r="A3352" t="s">
        <v>709</v>
      </c>
      <c r="B3352" t="s">
        <v>1491</v>
      </c>
      <c r="C3352" t="s">
        <v>750</v>
      </c>
      <c r="D3352" t="s">
        <v>1640</v>
      </c>
      <c r="E3352" t="s">
        <v>568</v>
      </c>
      <c r="F3352" t="s">
        <v>77</v>
      </c>
      <c r="G3352" t="s">
        <v>111</v>
      </c>
      <c r="H3352" t="s">
        <v>118</v>
      </c>
      <c r="I3352" t="s">
        <v>112</v>
      </c>
      <c r="J3352" t="s">
        <v>119</v>
      </c>
      <c r="K3352" t="s">
        <v>1693</v>
      </c>
      <c r="L3352" t="s">
        <v>1693</v>
      </c>
    </row>
    <row r="3353" spans="1:12" x14ac:dyDescent="0.3">
      <c r="A3353" t="s">
        <v>709</v>
      </c>
      <c r="B3353" t="s">
        <v>1491</v>
      </c>
      <c r="C3353" t="s">
        <v>750</v>
      </c>
      <c r="D3353" t="s">
        <v>1717</v>
      </c>
      <c r="E3353" t="s">
        <v>568</v>
      </c>
      <c r="F3353" t="s">
        <v>74</v>
      </c>
      <c r="G3353" t="s">
        <v>111</v>
      </c>
      <c r="H3353" t="s">
        <v>113</v>
      </c>
      <c r="I3353" t="s">
        <v>112</v>
      </c>
      <c r="J3353" t="s">
        <v>114</v>
      </c>
      <c r="K3353" t="s">
        <v>1694</v>
      </c>
      <c r="L3353" t="s">
        <v>1694</v>
      </c>
    </row>
    <row r="3354" spans="1:12" x14ac:dyDescent="0.3">
      <c r="A3354" t="s">
        <v>709</v>
      </c>
      <c r="B3354" t="s">
        <v>1491</v>
      </c>
      <c r="C3354" t="s">
        <v>750</v>
      </c>
      <c r="D3354" t="s">
        <v>1718</v>
      </c>
      <c r="E3354" t="s">
        <v>568</v>
      </c>
      <c r="F3354" t="s">
        <v>140</v>
      </c>
      <c r="G3354" t="s">
        <v>111</v>
      </c>
      <c r="H3354" t="s">
        <v>113</v>
      </c>
      <c r="I3354" t="s">
        <v>112</v>
      </c>
      <c r="J3354" t="s">
        <v>114</v>
      </c>
      <c r="K3354" t="s">
        <v>1693</v>
      </c>
      <c r="L3354" t="s">
        <v>1693</v>
      </c>
    </row>
    <row r="3355" spans="1:12" x14ac:dyDescent="0.3">
      <c r="A3355" t="s">
        <v>709</v>
      </c>
      <c r="B3355" t="s">
        <v>1491</v>
      </c>
      <c r="C3355" t="s">
        <v>750</v>
      </c>
      <c r="D3355" t="s">
        <v>1642</v>
      </c>
      <c r="E3355" t="s">
        <v>568</v>
      </c>
      <c r="F3355" t="s">
        <v>175</v>
      </c>
      <c r="G3355" t="s">
        <v>111</v>
      </c>
      <c r="H3355" t="s">
        <v>118</v>
      </c>
      <c r="I3355" t="s">
        <v>112</v>
      </c>
      <c r="J3355" t="s">
        <v>119</v>
      </c>
      <c r="K3355" t="s">
        <v>1694</v>
      </c>
      <c r="L3355" t="s">
        <v>1694</v>
      </c>
    </row>
    <row r="3356" spans="1:12" x14ac:dyDescent="0.3">
      <c r="A3356" t="s">
        <v>709</v>
      </c>
      <c r="B3356" t="s">
        <v>1491</v>
      </c>
      <c r="C3356" t="s">
        <v>750</v>
      </c>
      <c r="D3356" t="s">
        <v>1643</v>
      </c>
      <c r="E3356" t="s">
        <v>568</v>
      </c>
      <c r="F3356" t="s">
        <v>46</v>
      </c>
      <c r="G3356" t="s">
        <v>111</v>
      </c>
      <c r="H3356" t="s">
        <v>118</v>
      </c>
      <c r="I3356" t="s">
        <v>112</v>
      </c>
      <c r="J3356" t="s">
        <v>119</v>
      </c>
      <c r="K3356" t="s">
        <v>1693</v>
      </c>
      <c r="L3356" t="s">
        <v>1693</v>
      </c>
    </row>
    <row r="3357" spans="1:12" x14ac:dyDescent="0.3">
      <c r="A3357" t="s">
        <v>709</v>
      </c>
      <c r="B3357" t="s">
        <v>1491</v>
      </c>
      <c r="C3357" t="s">
        <v>750</v>
      </c>
      <c r="D3357" t="s">
        <v>1645</v>
      </c>
      <c r="E3357" t="s">
        <v>568</v>
      </c>
      <c r="F3357" t="s">
        <v>141</v>
      </c>
      <c r="G3357" t="s">
        <v>111</v>
      </c>
      <c r="H3357" t="s">
        <v>118</v>
      </c>
      <c r="I3357" t="s">
        <v>112</v>
      </c>
      <c r="J3357" t="s">
        <v>119</v>
      </c>
      <c r="K3357" t="s">
        <v>1693</v>
      </c>
      <c r="L3357" t="s">
        <v>1693</v>
      </c>
    </row>
    <row r="3358" spans="1:12" x14ac:dyDescent="0.3">
      <c r="A3358" t="s">
        <v>709</v>
      </c>
      <c r="B3358" t="s">
        <v>1491</v>
      </c>
      <c r="C3358" t="s">
        <v>750</v>
      </c>
      <c r="D3358" t="s">
        <v>1719</v>
      </c>
      <c r="E3358" t="s">
        <v>568</v>
      </c>
      <c r="F3358" t="s">
        <v>64</v>
      </c>
      <c r="G3358" t="s">
        <v>111</v>
      </c>
      <c r="H3358" t="s">
        <v>113</v>
      </c>
      <c r="I3358" t="s">
        <v>112</v>
      </c>
      <c r="J3358" t="s">
        <v>114</v>
      </c>
      <c r="K3358" t="s">
        <v>1694</v>
      </c>
      <c r="L3358" t="s">
        <v>1694</v>
      </c>
    </row>
    <row r="3359" spans="1:12" x14ac:dyDescent="0.3">
      <c r="A3359" t="s">
        <v>709</v>
      </c>
      <c r="B3359" t="s">
        <v>1491</v>
      </c>
      <c r="C3359" t="s">
        <v>750</v>
      </c>
      <c r="D3359" t="s">
        <v>1646</v>
      </c>
      <c r="E3359" t="s">
        <v>568</v>
      </c>
      <c r="F3359" t="s">
        <v>142</v>
      </c>
      <c r="G3359" t="s">
        <v>111</v>
      </c>
      <c r="H3359" t="s">
        <v>113</v>
      </c>
      <c r="I3359" t="s">
        <v>112</v>
      </c>
      <c r="J3359" t="s">
        <v>114</v>
      </c>
      <c r="K3359" t="s">
        <v>1693</v>
      </c>
      <c r="L3359" t="s">
        <v>1693</v>
      </c>
    </row>
    <row r="3360" spans="1:12" x14ac:dyDescent="0.3">
      <c r="A3360" t="s">
        <v>709</v>
      </c>
      <c r="B3360" t="s">
        <v>1491</v>
      </c>
      <c r="C3360" t="s">
        <v>750</v>
      </c>
      <c r="D3360" t="s">
        <v>1647</v>
      </c>
      <c r="E3360" t="s">
        <v>568</v>
      </c>
      <c r="F3360" t="s">
        <v>75</v>
      </c>
      <c r="G3360" t="s">
        <v>111</v>
      </c>
      <c r="H3360" t="s">
        <v>113</v>
      </c>
      <c r="I3360" t="s">
        <v>112</v>
      </c>
      <c r="J3360" t="s">
        <v>114</v>
      </c>
      <c r="K3360" t="s">
        <v>1693</v>
      </c>
      <c r="L3360" t="s">
        <v>1693</v>
      </c>
    </row>
    <row r="3361" spans="1:12" x14ac:dyDescent="0.3">
      <c r="A3361" t="s">
        <v>709</v>
      </c>
      <c r="B3361" t="s">
        <v>1491</v>
      </c>
      <c r="C3361" t="s">
        <v>750</v>
      </c>
      <c r="D3361" t="s">
        <v>1648</v>
      </c>
      <c r="E3361" t="s">
        <v>568</v>
      </c>
      <c r="F3361" t="s">
        <v>143</v>
      </c>
      <c r="G3361" t="s">
        <v>111</v>
      </c>
      <c r="H3361" t="s">
        <v>113</v>
      </c>
      <c r="I3361" t="s">
        <v>112</v>
      </c>
      <c r="J3361" t="s">
        <v>114</v>
      </c>
      <c r="K3361" t="s">
        <v>1697</v>
      </c>
      <c r="L3361" t="s">
        <v>1697</v>
      </c>
    </row>
    <row r="3362" spans="1:12" x14ac:dyDescent="0.3">
      <c r="A3362" t="s">
        <v>709</v>
      </c>
      <c r="B3362" t="s">
        <v>1491</v>
      </c>
      <c r="C3362" t="s">
        <v>750</v>
      </c>
      <c r="D3362" t="s">
        <v>1649</v>
      </c>
      <c r="E3362" t="s">
        <v>568</v>
      </c>
      <c r="F3362" t="s">
        <v>144</v>
      </c>
      <c r="G3362" t="s">
        <v>111</v>
      </c>
      <c r="H3362" t="s">
        <v>113</v>
      </c>
      <c r="I3362" t="s">
        <v>112</v>
      </c>
      <c r="J3362" t="s">
        <v>114</v>
      </c>
      <c r="K3362" t="s">
        <v>1693</v>
      </c>
      <c r="L3362" t="s">
        <v>1693</v>
      </c>
    </row>
    <row r="3363" spans="1:12" x14ac:dyDescent="0.3">
      <c r="A3363" t="s">
        <v>709</v>
      </c>
      <c r="B3363" t="s">
        <v>1491</v>
      </c>
      <c r="C3363" t="s">
        <v>750</v>
      </c>
      <c r="D3363" t="s">
        <v>1650</v>
      </c>
      <c r="E3363" t="s">
        <v>568</v>
      </c>
      <c r="F3363" t="s">
        <v>194</v>
      </c>
      <c r="G3363" t="s">
        <v>111</v>
      </c>
      <c r="H3363" t="s">
        <v>113</v>
      </c>
      <c r="I3363" t="s">
        <v>112</v>
      </c>
      <c r="J3363" t="s">
        <v>114</v>
      </c>
      <c r="K3363" t="s">
        <v>1693</v>
      </c>
      <c r="L3363" t="s">
        <v>1693</v>
      </c>
    </row>
    <row r="3364" spans="1:12" x14ac:dyDescent="0.3">
      <c r="A3364" t="s">
        <v>709</v>
      </c>
      <c r="B3364" t="s">
        <v>1491</v>
      </c>
      <c r="C3364" t="s">
        <v>750</v>
      </c>
      <c r="D3364" t="s">
        <v>1651</v>
      </c>
      <c r="E3364" t="s">
        <v>568</v>
      </c>
      <c r="F3364" t="s">
        <v>145</v>
      </c>
      <c r="G3364" t="s">
        <v>111</v>
      </c>
      <c r="H3364" t="s">
        <v>113</v>
      </c>
      <c r="I3364" t="s">
        <v>112</v>
      </c>
      <c r="J3364" t="s">
        <v>114</v>
      </c>
      <c r="K3364" t="s">
        <v>1694</v>
      </c>
      <c r="L3364" t="s">
        <v>1694</v>
      </c>
    </row>
    <row r="3365" spans="1:12" x14ac:dyDescent="0.3">
      <c r="A3365" t="s">
        <v>709</v>
      </c>
      <c r="B3365" t="s">
        <v>1491</v>
      </c>
      <c r="C3365" t="s">
        <v>750</v>
      </c>
      <c r="D3365" t="s">
        <v>1720</v>
      </c>
      <c r="E3365" t="s">
        <v>568</v>
      </c>
      <c r="F3365" t="s">
        <v>81</v>
      </c>
      <c r="G3365" t="s">
        <v>111</v>
      </c>
      <c r="H3365" t="s">
        <v>113</v>
      </c>
      <c r="I3365" t="s">
        <v>112</v>
      </c>
      <c r="J3365" t="s">
        <v>114</v>
      </c>
      <c r="K3365" t="s">
        <v>1693</v>
      </c>
      <c r="L3365" t="s">
        <v>1693</v>
      </c>
    </row>
    <row r="3366" spans="1:12" x14ac:dyDescent="0.3">
      <c r="A3366" t="s">
        <v>709</v>
      </c>
      <c r="B3366" t="s">
        <v>1491</v>
      </c>
      <c r="C3366" t="s">
        <v>750</v>
      </c>
      <c r="D3366" t="s">
        <v>1721</v>
      </c>
      <c r="E3366" t="s">
        <v>567</v>
      </c>
      <c r="F3366" t="s">
        <v>76</v>
      </c>
      <c r="G3366" t="s">
        <v>111</v>
      </c>
      <c r="H3366" t="s">
        <v>118</v>
      </c>
      <c r="I3366" t="s">
        <v>112</v>
      </c>
      <c r="J3366" t="s">
        <v>119</v>
      </c>
      <c r="K3366" t="s">
        <v>1693</v>
      </c>
      <c r="L3366" t="s">
        <v>1693</v>
      </c>
    </row>
    <row r="3367" spans="1:12" x14ac:dyDescent="0.3">
      <c r="A3367" t="s">
        <v>709</v>
      </c>
      <c r="B3367" t="s">
        <v>1491</v>
      </c>
      <c r="C3367" t="s">
        <v>750</v>
      </c>
      <c r="D3367" t="s">
        <v>1722</v>
      </c>
      <c r="E3367" t="s">
        <v>567</v>
      </c>
      <c r="F3367" t="s">
        <v>52</v>
      </c>
      <c r="G3367" t="s">
        <v>111</v>
      </c>
      <c r="H3367" t="s">
        <v>113</v>
      </c>
      <c r="I3367" t="s">
        <v>112</v>
      </c>
      <c r="J3367" t="s">
        <v>114</v>
      </c>
      <c r="K3367" t="s">
        <v>1693</v>
      </c>
      <c r="L3367" t="s">
        <v>1693</v>
      </c>
    </row>
    <row r="3368" spans="1:12" x14ac:dyDescent="0.3">
      <c r="A3368" t="s">
        <v>709</v>
      </c>
      <c r="B3368" t="s">
        <v>1491</v>
      </c>
      <c r="C3368" t="s">
        <v>750</v>
      </c>
      <c r="D3368" t="s">
        <v>1652</v>
      </c>
      <c r="E3368" t="s">
        <v>567</v>
      </c>
      <c r="F3368" t="s">
        <v>104</v>
      </c>
      <c r="G3368" t="s">
        <v>111</v>
      </c>
      <c r="H3368" t="s">
        <v>113</v>
      </c>
      <c r="I3368" t="s">
        <v>112</v>
      </c>
      <c r="J3368" t="s">
        <v>114</v>
      </c>
      <c r="K3368" t="s">
        <v>1693</v>
      </c>
      <c r="L3368" t="s">
        <v>1693</v>
      </c>
    </row>
    <row r="3369" spans="1:12" x14ac:dyDescent="0.3">
      <c r="A3369" t="s">
        <v>709</v>
      </c>
      <c r="B3369" t="s">
        <v>1491</v>
      </c>
      <c r="C3369" t="s">
        <v>750</v>
      </c>
      <c r="D3369" t="s">
        <v>1654</v>
      </c>
      <c r="E3369" t="s">
        <v>567</v>
      </c>
      <c r="F3369" t="s">
        <v>146</v>
      </c>
      <c r="G3369" t="s">
        <v>111</v>
      </c>
      <c r="H3369" t="s">
        <v>113</v>
      </c>
      <c r="I3369" t="s">
        <v>112</v>
      </c>
      <c r="J3369" t="s">
        <v>114</v>
      </c>
      <c r="K3369" t="s">
        <v>1700</v>
      </c>
      <c r="L3369" t="s">
        <v>1700</v>
      </c>
    </row>
    <row r="3370" spans="1:12" x14ac:dyDescent="0.3">
      <c r="A3370" t="s">
        <v>709</v>
      </c>
      <c r="B3370" t="s">
        <v>1491</v>
      </c>
      <c r="C3370" t="s">
        <v>750</v>
      </c>
      <c r="D3370" t="s">
        <v>1655</v>
      </c>
      <c r="E3370" t="s">
        <v>567</v>
      </c>
      <c r="F3370" t="s">
        <v>148</v>
      </c>
      <c r="G3370" t="s">
        <v>111</v>
      </c>
      <c r="H3370" t="s">
        <v>118</v>
      </c>
      <c r="I3370" t="s">
        <v>112</v>
      </c>
      <c r="J3370" t="s">
        <v>119</v>
      </c>
      <c r="K3370" t="s">
        <v>1693</v>
      </c>
      <c r="L3370" t="s">
        <v>1693</v>
      </c>
    </row>
    <row r="3371" spans="1:12" x14ac:dyDescent="0.3">
      <c r="A3371" t="s">
        <v>709</v>
      </c>
      <c r="B3371" t="s">
        <v>1491</v>
      </c>
      <c r="C3371" t="s">
        <v>750</v>
      </c>
      <c r="D3371" t="s">
        <v>1657</v>
      </c>
      <c r="E3371" t="s">
        <v>567</v>
      </c>
      <c r="F3371" t="s">
        <v>83</v>
      </c>
      <c r="G3371" t="s">
        <v>111</v>
      </c>
      <c r="H3371" t="s">
        <v>118</v>
      </c>
      <c r="I3371" t="s">
        <v>112</v>
      </c>
      <c r="J3371" t="s">
        <v>119</v>
      </c>
      <c r="K3371" t="s">
        <v>1693</v>
      </c>
      <c r="L3371" t="s">
        <v>1693</v>
      </c>
    </row>
    <row r="3372" spans="1:12" x14ac:dyDescent="0.3">
      <c r="A3372" t="s">
        <v>709</v>
      </c>
      <c r="B3372" t="s">
        <v>1491</v>
      </c>
      <c r="C3372" t="s">
        <v>750</v>
      </c>
      <c r="D3372" t="s">
        <v>1658</v>
      </c>
      <c r="E3372" t="s">
        <v>567</v>
      </c>
      <c r="F3372" t="s">
        <v>203</v>
      </c>
      <c r="G3372" t="s">
        <v>111</v>
      </c>
      <c r="H3372" t="s">
        <v>118</v>
      </c>
      <c r="I3372" t="s">
        <v>112</v>
      </c>
      <c r="J3372" t="s">
        <v>119</v>
      </c>
      <c r="K3372" t="s">
        <v>1695</v>
      </c>
      <c r="L3372" t="s">
        <v>1695</v>
      </c>
    </row>
    <row r="3373" spans="1:12" x14ac:dyDescent="0.3">
      <c r="A3373" t="s">
        <v>709</v>
      </c>
      <c r="B3373" t="s">
        <v>1491</v>
      </c>
      <c r="C3373" t="s">
        <v>750</v>
      </c>
      <c r="D3373" t="s">
        <v>1723</v>
      </c>
      <c r="E3373" t="s">
        <v>567</v>
      </c>
      <c r="F3373" t="s">
        <v>71</v>
      </c>
      <c r="G3373" t="s">
        <v>111</v>
      </c>
      <c r="H3373" t="s">
        <v>113</v>
      </c>
      <c r="I3373" t="s">
        <v>112</v>
      </c>
      <c r="J3373" t="s">
        <v>114</v>
      </c>
      <c r="K3373" t="s">
        <v>1693</v>
      </c>
      <c r="L3373" t="s">
        <v>1693</v>
      </c>
    </row>
    <row r="3374" spans="1:12" x14ac:dyDescent="0.3">
      <c r="A3374" t="s">
        <v>709</v>
      </c>
      <c r="B3374" t="s">
        <v>1491</v>
      </c>
      <c r="C3374" t="s">
        <v>750</v>
      </c>
      <c r="D3374" t="s">
        <v>1724</v>
      </c>
      <c r="E3374" t="s">
        <v>567</v>
      </c>
      <c r="F3374" t="s">
        <v>90</v>
      </c>
      <c r="G3374" t="s">
        <v>111</v>
      </c>
      <c r="H3374" t="s">
        <v>118</v>
      </c>
      <c r="I3374" t="s">
        <v>112</v>
      </c>
      <c r="J3374" t="s">
        <v>119</v>
      </c>
      <c r="K3374" t="s">
        <v>1693</v>
      </c>
      <c r="L3374" t="s">
        <v>1693</v>
      </c>
    </row>
    <row r="3375" spans="1:12" x14ac:dyDescent="0.3">
      <c r="A3375" t="s">
        <v>709</v>
      </c>
      <c r="B3375" t="s">
        <v>1491</v>
      </c>
      <c r="C3375" t="s">
        <v>750</v>
      </c>
      <c r="D3375" t="s">
        <v>1660</v>
      </c>
      <c r="E3375" t="s">
        <v>567</v>
      </c>
      <c r="F3375" t="s">
        <v>92</v>
      </c>
      <c r="G3375" t="s">
        <v>111</v>
      </c>
      <c r="H3375" t="s">
        <v>118</v>
      </c>
      <c r="I3375" t="s">
        <v>112</v>
      </c>
      <c r="J3375" t="s">
        <v>119</v>
      </c>
      <c r="K3375" t="s">
        <v>1693</v>
      </c>
      <c r="L3375" t="s">
        <v>1693</v>
      </c>
    </row>
    <row r="3376" spans="1:12" x14ac:dyDescent="0.3">
      <c r="A3376" t="s">
        <v>709</v>
      </c>
      <c r="B3376" t="s">
        <v>1491</v>
      </c>
      <c r="C3376" t="s">
        <v>750</v>
      </c>
      <c r="D3376" t="s">
        <v>1664</v>
      </c>
      <c r="E3376" t="s">
        <v>567</v>
      </c>
      <c r="F3376" t="s">
        <v>177</v>
      </c>
      <c r="G3376" t="s">
        <v>111</v>
      </c>
      <c r="H3376" t="s">
        <v>113</v>
      </c>
      <c r="I3376" t="s">
        <v>112</v>
      </c>
      <c r="J3376" t="s">
        <v>114</v>
      </c>
      <c r="K3376" t="s">
        <v>1703</v>
      </c>
      <c r="L3376" t="s">
        <v>1703</v>
      </c>
    </row>
    <row r="3377" spans="1:12" x14ac:dyDescent="0.3">
      <c r="A3377" t="s">
        <v>709</v>
      </c>
      <c r="B3377" t="s">
        <v>1491</v>
      </c>
      <c r="C3377" t="s">
        <v>750</v>
      </c>
      <c r="D3377" t="s">
        <v>1665</v>
      </c>
      <c r="E3377" t="s">
        <v>567</v>
      </c>
      <c r="F3377" t="s">
        <v>91</v>
      </c>
      <c r="G3377" t="s">
        <v>111</v>
      </c>
      <c r="H3377" t="s">
        <v>113</v>
      </c>
      <c r="I3377" t="s">
        <v>112</v>
      </c>
      <c r="J3377" t="s">
        <v>114</v>
      </c>
      <c r="K3377" t="s">
        <v>600</v>
      </c>
      <c r="L3377" t="s">
        <v>600</v>
      </c>
    </row>
    <row r="3378" spans="1:12" x14ac:dyDescent="0.3">
      <c r="A3378" t="s">
        <v>709</v>
      </c>
      <c r="B3378" t="s">
        <v>1491</v>
      </c>
      <c r="C3378" t="s">
        <v>750</v>
      </c>
      <c r="D3378" t="s">
        <v>1666</v>
      </c>
      <c r="E3378" t="s">
        <v>567</v>
      </c>
      <c r="F3378" t="s">
        <v>152</v>
      </c>
      <c r="G3378" t="s">
        <v>111</v>
      </c>
      <c r="H3378" t="s">
        <v>113</v>
      </c>
      <c r="I3378" t="s">
        <v>112</v>
      </c>
      <c r="J3378" t="s">
        <v>114</v>
      </c>
      <c r="K3378" t="s">
        <v>1694</v>
      </c>
      <c r="L3378" t="s">
        <v>1694</v>
      </c>
    </row>
    <row r="3379" spans="1:12" x14ac:dyDescent="0.3">
      <c r="A3379" t="s">
        <v>709</v>
      </c>
      <c r="B3379" t="s">
        <v>1491</v>
      </c>
      <c r="C3379" t="s">
        <v>750</v>
      </c>
      <c r="D3379" t="s">
        <v>1668</v>
      </c>
      <c r="E3379" t="s">
        <v>567</v>
      </c>
      <c r="F3379" t="s">
        <v>67</v>
      </c>
      <c r="G3379" t="s">
        <v>111</v>
      </c>
      <c r="H3379" t="s">
        <v>113</v>
      </c>
      <c r="I3379" t="s">
        <v>112</v>
      </c>
      <c r="J3379" t="s">
        <v>114</v>
      </c>
      <c r="K3379" t="s">
        <v>1697</v>
      </c>
      <c r="L3379" t="s">
        <v>1697</v>
      </c>
    </row>
    <row r="3380" spans="1:12" x14ac:dyDescent="0.3">
      <c r="A3380" t="s">
        <v>709</v>
      </c>
      <c r="B3380" t="s">
        <v>1491</v>
      </c>
      <c r="C3380" t="s">
        <v>750</v>
      </c>
      <c r="D3380" t="s">
        <v>1670</v>
      </c>
      <c r="E3380" t="s">
        <v>567</v>
      </c>
      <c r="F3380" t="s">
        <v>196</v>
      </c>
      <c r="G3380" t="s">
        <v>111</v>
      </c>
      <c r="H3380" t="s">
        <v>118</v>
      </c>
      <c r="I3380" t="s">
        <v>112</v>
      </c>
      <c r="J3380" t="s">
        <v>119</v>
      </c>
      <c r="K3380" t="s">
        <v>1697</v>
      </c>
      <c r="L3380" t="s">
        <v>1697</v>
      </c>
    </row>
    <row r="3381" spans="1:12" x14ac:dyDescent="0.3">
      <c r="A3381" t="s">
        <v>709</v>
      </c>
      <c r="B3381" t="s">
        <v>1491</v>
      </c>
      <c r="C3381" t="s">
        <v>750</v>
      </c>
      <c r="D3381" t="s">
        <v>1725</v>
      </c>
      <c r="E3381" t="s">
        <v>567</v>
      </c>
      <c r="F3381" t="s">
        <v>178</v>
      </c>
      <c r="G3381" t="s">
        <v>111</v>
      </c>
      <c r="H3381" t="s">
        <v>113</v>
      </c>
      <c r="I3381" t="s">
        <v>112</v>
      </c>
      <c r="J3381" t="s">
        <v>114</v>
      </c>
      <c r="K3381" t="s">
        <v>1694</v>
      </c>
      <c r="L3381" t="s">
        <v>1694</v>
      </c>
    </row>
    <row r="3382" spans="1:12" x14ac:dyDescent="0.3">
      <c r="A3382" t="s">
        <v>709</v>
      </c>
      <c r="B3382" t="s">
        <v>1491</v>
      </c>
      <c r="C3382" t="s">
        <v>750</v>
      </c>
      <c r="D3382" t="s">
        <v>1673</v>
      </c>
      <c r="E3382" t="s">
        <v>567</v>
      </c>
      <c r="F3382" t="s">
        <v>153</v>
      </c>
      <c r="G3382" t="s">
        <v>111</v>
      </c>
      <c r="H3382" t="s">
        <v>113</v>
      </c>
      <c r="I3382" t="s">
        <v>112</v>
      </c>
      <c r="J3382" t="s">
        <v>114</v>
      </c>
      <c r="K3382" t="s">
        <v>1697</v>
      </c>
      <c r="L3382" t="s">
        <v>1697</v>
      </c>
    </row>
    <row r="3383" spans="1:12" x14ac:dyDescent="0.3">
      <c r="A3383" t="s">
        <v>709</v>
      </c>
      <c r="B3383" t="s">
        <v>1491</v>
      </c>
      <c r="C3383" t="s">
        <v>750</v>
      </c>
      <c r="D3383" t="s">
        <v>1726</v>
      </c>
      <c r="E3383" t="s">
        <v>567</v>
      </c>
      <c r="F3383" t="s">
        <v>154</v>
      </c>
      <c r="G3383" t="s">
        <v>111</v>
      </c>
      <c r="H3383" t="s">
        <v>118</v>
      </c>
      <c r="I3383" t="s">
        <v>112</v>
      </c>
      <c r="J3383" t="s">
        <v>119</v>
      </c>
      <c r="K3383" t="s">
        <v>1693</v>
      </c>
      <c r="L3383" t="s">
        <v>1693</v>
      </c>
    </row>
    <row r="3384" spans="1:12" x14ac:dyDescent="0.3">
      <c r="A3384" t="s">
        <v>709</v>
      </c>
      <c r="B3384" t="s">
        <v>1491</v>
      </c>
      <c r="C3384" t="s">
        <v>750</v>
      </c>
      <c r="D3384" t="s">
        <v>1674</v>
      </c>
      <c r="E3384" t="s">
        <v>567</v>
      </c>
      <c r="F3384" t="s">
        <v>55</v>
      </c>
      <c r="G3384" t="s">
        <v>111</v>
      </c>
      <c r="H3384" t="s">
        <v>113</v>
      </c>
      <c r="I3384" t="s">
        <v>112</v>
      </c>
      <c r="J3384" t="s">
        <v>114</v>
      </c>
      <c r="K3384" t="s">
        <v>1693</v>
      </c>
      <c r="L3384" t="s">
        <v>1693</v>
      </c>
    </row>
    <row r="3385" spans="1:12" x14ac:dyDescent="0.3">
      <c r="A3385" t="s">
        <v>709</v>
      </c>
      <c r="B3385" t="s">
        <v>1491</v>
      </c>
      <c r="C3385" t="s">
        <v>750</v>
      </c>
      <c r="D3385" t="s">
        <v>1675</v>
      </c>
      <c r="E3385" t="s">
        <v>567</v>
      </c>
      <c r="F3385" t="s">
        <v>197</v>
      </c>
      <c r="G3385" t="s">
        <v>111</v>
      </c>
      <c r="H3385" t="s">
        <v>113</v>
      </c>
      <c r="I3385" t="s">
        <v>112</v>
      </c>
      <c r="J3385" t="s">
        <v>114</v>
      </c>
      <c r="K3385" t="s">
        <v>1693</v>
      </c>
      <c r="L3385" t="s">
        <v>1693</v>
      </c>
    </row>
    <row r="3386" spans="1:12" x14ac:dyDescent="0.3">
      <c r="A3386" t="s">
        <v>709</v>
      </c>
      <c r="B3386" t="s">
        <v>1491</v>
      </c>
      <c r="C3386" t="s">
        <v>750</v>
      </c>
      <c r="D3386" t="s">
        <v>1727</v>
      </c>
      <c r="E3386" t="s">
        <v>567</v>
      </c>
      <c r="F3386" t="s">
        <v>155</v>
      </c>
      <c r="G3386" t="s">
        <v>111</v>
      </c>
      <c r="H3386" t="s">
        <v>113</v>
      </c>
      <c r="I3386" t="s">
        <v>112</v>
      </c>
      <c r="J3386" t="s">
        <v>114</v>
      </c>
      <c r="K3386" t="s">
        <v>1693</v>
      </c>
      <c r="L3386" t="s">
        <v>1693</v>
      </c>
    </row>
    <row r="3387" spans="1:12" x14ac:dyDescent="0.3">
      <c r="A3387" t="s">
        <v>709</v>
      </c>
      <c r="B3387" t="s">
        <v>1491</v>
      </c>
      <c r="C3387" t="s">
        <v>750</v>
      </c>
      <c r="D3387" t="s">
        <v>1677</v>
      </c>
      <c r="E3387" t="s">
        <v>567</v>
      </c>
      <c r="F3387" t="s">
        <v>156</v>
      </c>
      <c r="G3387" t="s">
        <v>111</v>
      </c>
      <c r="H3387" t="s">
        <v>113</v>
      </c>
      <c r="I3387" t="s">
        <v>112</v>
      </c>
      <c r="J3387" t="s">
        <v>114</v>
      </c>
      <c r="K3387" t="s">
        <v>1694</v>
      </c>
      <c r="L3387" t="s">
        <v>1694</v>
      </c>
    </row>
    <row r="3388" spans="1:12" x14ac:dyDescent="0.3">
      <c r="A3388" t="s">
        <v>709</v>
      </c>
      <c r="B3388" t="s">
        <v>1491</v>
      </c>
      <c r="C3388" t="s">
        <v>750</v>
      </c>
      <c r="D3388" t="s">
        <v>1678</v>
      </c>
      <c r="E3388" t="s">
        <v>567</v>
      </c>
      <c r="F3388" t="s">
        <v>103</v>
      </c>
      <c r="G3388" t="s">
        <v>111</v>
      </c>
      <c r="H3388" t="s">
        <v>118</v>
      </c>
      <c r="I3388" t="s">
        <v>112</v>
      </c>
      <c r="J3388" t="s">
        <v>119</v>
      </c>
      <c r="K3388" t="s">
        <v>1693</v>
      </c>
      <c r="L3388" t="s">
        <v>1693</v>
      </c>
    </row>
    <row r="3389" spans="1:12" x14ac:dyDescent="0.3">
      <c r="A3389" t="s">
        <v>709</v>
      </c>
      <c r="B3389" t="s">
        <v>1491</v>
      </c>
      <c r="C3389" t="s">
        <v>750</v>
      </c>
      <c r="D3389" t="s">
        <v>1728</v>
      </c>
      <c r="E3389" t="s">
        <v>567</v>
      </c>
      <c r="F3389" t="s">
        <v>105</v>
      </c>
      <c r="G3389" t="s">
        <v>111</v>
      </c>
      <c r="H3389" t="s">
        <v>113</v>
      </c>
      <c r="I3389" t="s">
        <v>112</v>
      </c>
      <c r="J3389" t="s">
        <v>114</v>
      </c>
      <c r="K3389" t="s">
        <v>600</v>
      </c>
      <c r="L3389" t="s">
        <v>600</v>
      </c>
    </row>
    <row r="3390" spans="1:12" x14ac:dyDescent="0.3">
      <c r="A3390" t="s">
        <v>709</v>
      </c>
      <c r="B3390" t="s">
        <v>1491</v>
      </c>
      <c r="C3390" t="s">
        <v>750</v>
      </c>
      <c r="D3390" t="s">
        <v>1729</v>
      </c>
      <c r="E3390" t="s">
        <v>567</v>
      </c>
      <c r="F3390" t="s">
        <v>157</v>
      </c>
      <c r="G3390" t="s">
        <v>111</v>
      </c>
      <c r="H3390" t="s">
        <v>113</v>
      </c>
      <c r="I3390" t="s">
        <v>112</v>
      </c>
      <c r="J3390" t="s">
        <v>114</v>
      </c>
      <c r="K3390" t="s">
        <v>600</v>
      </c>
      <c r="L3390" t="s">
        <v>600</v>
      </c>
    </row>
    <row r="3391" spans="1:12" x14ac:dyDescent="0.3">
      <c r="A3391" t="s">
        <v>709</v>
      </c>
      <c r="B3391" t="s">
        <v>1491</v>
      </c>
      <c r="C3391" t="s">
        <v>750</v>
      </c>
      <c r="D3391" t="s">
        <v>1680</v>
      </c>
      <c r="E3391" t="s">
        <v>567</v>
      </c>
      <c r="F3391" t="s">
        <v>180</v>
      </c>
      <c r="G3391" t="s">
        <v>111</v>
      </c>
      <c r="H3391" t="s">
        <v>113</v>
      </c>
      <c r="I3391" t="s">
        <v>112</v>
      </c>
      <c r="J3391" t="s">
        <v>114</v>
      </c>
      <c r="K3391" t="s">
        <v>1693</v>
      </c>
      <c r="L3391" t="s">
        <v>1693</v>
      </c>
    </row>
    <row r="3392" spans="1:12" x14ac:dyDescent="0.3">
      <c r="A3392" t="s">
        <v>709</v>
      </c>
      <c r="B3392" t="s">
        <v>1491</v>
      </c>
      <c r="C3392" t="s">
        <v>750</v>
      </c>
      <c r="D3392" t="s">
        <v>1682</v>
      </c>
      <c r="E3392" t="s">
        <v>567</v>
      </c>
      <c r="F3392" t="s">
        <v>199</v>
      </c>
      <c r="G3392" t="s">
        <v>111</v>
      </c>
      <c r="H3392" t="s">
        <v>113</v>
      </c>
      <c r="I3392" t="s">
        <v>112</v>
      </c>
      <c r="J3392" t="s">
        <v>114</v>
      </c>
      <c r="K3392" t="s">
        <v>1693</v>
      </c>
      <c r="L3392" t="s">
        <v>1693</v>
      </c>
    </row>
    <row r="3393" spans="1:12" x14ac:dyDescent="0.3">
      <c r="A3393" t="s">
        <v>709</v>
      </c>
      <c r="B3393" t="s">
        <v>1491</v>
      </c>
      <c r="C3393" t="s">
        <v>750</v>
      </c>
      <c r="D3393" t="s">
        <v>1683</v>
      </c>
      <c r="E3393" t="s">
        <v>567</v>
      </c>
      <c r="F3393" t="s">
        <v>159</v>
      </c>
      <c r="G3393" t="s">
        <v>111</v>
      </c>
      <c r="H3393" t="s">
        <v>113</v>
      </c>
      <c r="I3393" t="s">
        <v>112</v>
      </c>
      <c r="J3393" t="s">
        <v>114</v>
      </c>
      <c r="K3393" t="s">
        <v>1693</v>
      </c>
      <c r="L3393" t="s">
        <v>1693</v>
      </c>
    </row>
    <row r="3394" spans="1:12" x14ac:dyDescent="0.3">
      <c r="A3394" t="s">
        <v>709</v>
      </c>
      <c r="B3394" t="s">
        <v>1491</v>
      </c>
      <c r="C3394" t="s">
        <v>750</v>
      </c>
      <c r="D3394" t="s">
        <v>1684</v>
      </c>
      <c r="E3394" t="s">
        <v>567</v>
      </c>
      <c r="F3394" t="s">
        <v>47</v>
      </c>
      <c r="G3394" t="s">
        <v>111</v>
      </c>
      <c r="H3394" t="s">
        <v>113</v>
      </c>
      <c r="I3394" t="s">
        <v>112</v>
      </c>
      <c r="J3394" t="s">
        <v>114</v>
      </c>
      <c r="K3394" t="s">
        <v>1697</v>
      </c>
      <c r="L3394" t="s">
        <v>1697</v>
      </c>
    </row>
    <row r="3395" spans="1:12" x14ac:dyDescent="0.3">
      <c r="A3395" t="s">
        <v>709</v>
      </c>
      <c r="B3395" t="s">
        <v>1491</v>
      </c>
      <c r="C3395" t="s">
        <v>750</v>
      </c>
      <c r="D3395" t="s">
        <v>1688</v>
      </c>
      <c r="E3395" t="s">
        <v>567</v>
      </c>
      <c r="F3395" t="s">
        <v>73</v>
      </c>
      <c r="G3395" t="s">
        <v>111</v>
      </c>
      <c r="H3395" t="s">
        <v>113</v>
      </c>
      <c r="I3395" t="s">
        <v>112</v>
      </c>
      <c r="J3395" t="s">
        <v>114</v>
      </c>
      <c r="K3395" t="s">
        <v>600</v>
      </c>
      <c r="L3395" t="s">
        <v>600</v>
      </c>
    </row>
    <row r="3396" spans="1:12" x14ac:dyDescent="0.3">
      <c r="A3396" t="s">
        <v>709</v>
      </c>
      <c r="B3396" t="s">
        <v>1491</v>
      </c>
      <c r="C3396" t="s">
        <v>750</v>
      </c>
      <c r="D3396" t="s">
        <v>1730</v>
      </c>
      <c r="E3396" t="s">
        <v>567</v>
      </c>
      <c r="F3396" t="s">
        <v>161</v>
      </c>
      <c r="G3396" t="s">
        <v>111</v>
      </c>
      <c r="H3396" t="s">
        <v>118</v>
      </c>
      <c r="I3396" t="s">
        <v>112</v>
      </c>
      <c r="J3396" t="s">
        <v>119</v>
      </c>
      <c r="K3396" t="s">
        <v>1693</v>
      </c>
      <c r="L3396" t="s">
        <v>1693</v>
      </c>
    </row>
    <row r="3397" spans="1:12" x14ac:dyDescent="0.3">
      <c r="A3397" t="s">
        <v>709</v>
      </c>
      <c r="B3397" t="s">
        <v>1491</v>
      </c>
      <c r="C3397" t="s">
        <v>750</v>
      </c>
      <c r="D3397" t="s">
        <v>1689</v>
      </c>
      <c r="E3397" t="s">
        <v>567</v>
      </c>
      <c r="F3397" t="s">
        <v>162</v>
      </c>
      <c r="G3397" t="s">
        <v>111</v>
      </c>
      <c r="H3397" t="s">
        <v>113</v>
      </c>
      <c r="I3397" t="s">
        <v>112</v>
      </c>
      <c r="J3397" t="s">
        <v>114</v>
      </c>
      <c r="K3397" t="s">
        <v>1697</v>
      </c>
      <c r="L3397" t="s">
        <v>1697</v>
      </c>
    </row>
    <row r="3398" spans="1:12" x14ac:dyDescent="0.3">
      <c r="A3398" t="s">
        <v>709</v>
      </c>
      <c r="B3398" t="s">
        <v>710</v>
      </c>
      <c r="C3398" t="s">
        <v>711</v>
      </c>
      <c r="D3398" t="s">
        <v>209</v>
      </c>
      <c r="E3398" t="s">
        <v>569</v>
      </c>
      <c r="F3398" t="s">
        <v>115</v>
      </c>
      <c r="G3398" t="s">
        <v>111</v>
      </c>
      <c r="H3398" t="s">
        <v>113</v>
      </c>
      <c r="I3398" t="s">
        <v>112</v>
      </c>
      <c r="J3398" t="s">
        <v>114</v>
      </c>
      <c r="K3398" t="s">
        <v>1731</v>
      </c>
      <c r="L3398" t="s">
        <v>1731</v>
      </c>
    </row>
    <row r="3399" spans="1:12" x14ac:dyDescent="0.3">
      <c r="A3399" t="s">
        <v>709</v>
      </c>
      <c r="B3399" t="s">
        <v>710</v>
      </c>
      <c r="C3399" t="s">
        <v>711</v>
      </c>
      <c r="D3399" t="s">
        <v>304</v>
      </c>
      <c r="E3399" t="s">
        <v>569</v>
      </c>
      <c r="F3399" t="s">
        <v>117</v>
      </c>
      <c r="G3399" t="s">
        <v>111</v>
      </c>
      <c r="H3399" t="s">
        <v>113</v>
      </c>
      <c r="I3399" t="s">
        <v>112</v>
      </c>
      <c r="J3399" t="s">
        <v>114</v>
      </c>
      <c r="K3399" t="s">
        <v>1732</v>
      </c>
      <c r="L3399" t="s">
        <v>1732</v>
      </c>
    </row>
    <row r="3400" spans="1:12" x14ac:dyDescent="0.3">
      <c r="A3400" t="s">
        <v>709</v>
      </c>
      <c r="B3400" t="s">
        <v>710</v>
      </c>
      <c r="C3400" t="s">
        <v>711</v>
      </c>
      <c r="D3400" t="s">
        <v>211</v>
      </c>
      <c r="E3400" t="s">
        <v>569</v>
      </c>
      <c r="F3400" t="s">
        <v>188</v>
      </c>
      <c r="G3400" t="s">
        <v>111</v>
      </c>
      <c r="H3400" t="s">
        <v>113</v>
      </c>
      <c r="I3400" t="s">
        <v>112</v>
      </c>
      <c r="J3400" t="s">
        <v>114</v>
      </c>
      <c r="K3400" t="s">
        <v>1731</v>
      </c>
      <c r="L3400" t="s">
        <v>1731</v>
      </c>
    </row>
    <row r="3401" spans="1:12" x14ac:dyDescent="0.3">
      <c r="A3401" t="s">
        <v>709</v>
      </c>
      <c r="B3401" t="s">
        <v>710</v>
      </c>
      <c r="C3401" t="s">
        <v>711</v>
      </c>
      <c r="D3401" t="s">
        <v>305</v>
      </c>
      <c r="E3401" t="s">
        <v>569</v>
      </c>
      <c r="F3401" t="s">
        <v>120</v>
      </c>
      <c r="G3401" t="s">
        <v>111</v>
      </c>
      <c r="H3401" t="s">
        <v>113</v>
      </c>
      <c r="I3401" t="s">
        <v>112</v>
      </c>
      <c r="J3401" t="s">
        <v>114</v>
      </c>
      <c r="K3401" t="s">
        <v>1731</v>
      </c>
      <c r="L3401" t="s">
        <v>1731</v>
      </c>
    </row>
    <row r="3402" spans="1:12" x14ac:dyDescent="0.3">
      <c r="A3402" t="s">
        <v>709</v>
      </c>
      <c r="B3402" t="s">
        <v>710</v>
      </c>
      <c r="C3402" t="s">
        <v>711</v>
      </c>
      <c r="D3402" t="s">
        <v>213</v>
      </c>
      <c r="E3402" t="s">
        <v>569</v>
      </c>
      <c r="F3402" t="s">
        <v>53</v>
      </c>
      <c r="G3402" t="s">
        <v>111</v>
      </c>
      <c r="H3402" t="s">
        <v>113</v>
      </c>
      <c r="I3402" t="s">
        <v>112</v>
      </c>
      <c r="J3402" t="s">
        <v>114</v>
      </c>
      <c r="K3402" t="s">
        <v>1732</v>
      </c>
      <c r="L3402" t="s">
        <v>1732</v>
      </c>
    </row>
    <row r="3403" spans="1:12" x14ac:dyDescent="0.3">
      <c r="A3403" t="s">
        <v>709</v>
      </c>
      <c r="B3403" t="s">
        <v>710</v>
      </c>
      <c r="C3403" t="s">
        <v>711</v>
      </c>
      <c r="D3403" t="s">
        <v>214</v>
      </c>
      <c r="E3403" t="s">
        <v>569</v>
      </c>
      <c r="F3403" t="s">
        <v>56</v>
      </c>
      <c r="G3403" t="s">
        <v>111</v>
      </c>
      <c r="H3403" t="s">
        <v>113</v>
      </c>
      <c r="I3403" t="s">
        <v>112</v>
      </c>
      <c r="J3403" t="s">
        <v>114</v>
      </c>
      <c r="K3403" t="s">
        <v>1733</v>
      </c>
      <c r="L3403" t="s">
        <v>1733</v>
      </c>
    </row>
    <row r="3404" spans="1:12" x14ac:dyDescent="0.3">
      <c r="A3404" t="s">
        <v>709</v>
      </c>
      <c r="B3404" t="s">
        <v>710</v>
      </c>
      <c r="C3404" t="s">
        <v>711</v>
      </c>
      <c r="D3404" t="s">
        <v>215</v>
      </c>
      <c r="E3404" t="s">
        <v>569</v>
      </c>
      <c r="F3404" t="s">
        <v>69</v>
      </c>
      <c r="G3404" t="s">
        <v>111</v>
      </c>
      <c r="H3404" t="s">
        <v>113</v>
      </c>
      <c r="I3404" t="s">
        <v>112</v>
      </c>
      <c r="J3404" t="s">
        <v>114</v>
      </c>
      <c r="K3404" t="s">
        <v>1734</v>
      </c>
      <c r="L3404" t="s">
        <v>1734</v>
      </c>
    </row>
    <row r="3405" spans="1:12" x14ac:dyDescent="0.3">
      <c r="A3405" t="s">
        <v>709</v>
      </c>
      <c r="B3405" t="s">
        <v>710</v>
      </c>
      <c r="C3405" t="s">
        <v>711</v>
      </c>
      <c r="D3405" t="s">
        <v>306</v>
      </c>
      <c r="E3405" t="s">
        <v>569</v>
      </c>
      <c r="F3405" t="s">
        <v>165</v>
      </c>
      <c r="G3405" t="s">
        <v>111</v>
      </c>
      <c r="H3405" t="s">
        <v>113</v>
      </c>
      <c r="I3405" t="s">
        <v>112</v>
      </c>
      <c r="J3405" t="s">
        <v>114</v>
      </c>
      <c r="K3405" t="s">
        <v>1731</v>
      </c>
      <c r="L3405" t="s">
        <v>1731</v>
      </c>
    </row>
    <row r="3406" spans="1:12" x14ac:dyDescent="0.3">
      <c r="A3406" t="s">
        <v>709</v>
      </c>
      <c r="B3406" t="s">
        <v>710</v>
      </c>
      <c r="C3406" t="s">
        <v>711</v>
      </c>
      <c r="D3406" t="s">
        <v>218</v>
      </c>
      <c r="E3406" t="s">
        <v>569</v>
      </c>
      <c r="F3406" t="s">
        <v>166</v>
      </c>
      <c r="G3406" t="s">
        <v>111</v>
      </c>
      <c r="H3406" t="s">
        <v>113</v>
      </c>
      <c r="I3406" t="s">
        <v>112</v>
      </c>
      <c r="J3406" t="s">
        <v>114</v>
      </c>
      <c r="K3406" t="s">
        <v>1735</v>
      </c>
      <c r="L3406" t="s">
        <v>1735</v>
      </c>
    </row>
    <row r="3407" spans="1:12" x14ac:dyDescent="0.3">
      <c r="A3407" t="s">
        <v>709</v>
      </c>
      <c r="B3407" t="s">
        <v>710</v>
      </c>
      <c r="C3407" t="s">
        <v>711</v>
      </c>
      <c r="D3407" t="s">
        <v>307</v>
      </c>
      <c r="E3407" t="s">
        <v>569</v>
      </c>
      <c r="F3407" t="s">
        <v>123</v>
      </c>
      <c r="G3407" t="s">
        <v>111</v>
      </c>
      <c r="H3407" t="s">
        <v>118</v>
      </c>
      <c r="I3407" t="s">
        <v>112</v>
      </c>
      <c r="J3407" t="s">
        <v>119</v>
      </c>
      <c r="K3407" t="s">
        <v>1731</v>
      </c>
      <c r="L3407" t="s">
        <v>1731</v>
      </c>
    </row>
    <row r="3408" spans="1:12" x14ac:dyDescent="0.3">
      <c r="A3408" t="s">
        <v>709</v>
      </c>
      <c r="B3408" t="s">
        <v>710</v>
      </c>
      <c r="C3408" t="s">
        <v>711</v>
      </c>
      <c r="D3408" t="s">
        <v>219</v>
      </c>
      <c r="E3408" t="s">
        <v>569</v>
      </c>
      <c r="F3408" t="s">
        <v>189</v>
      </c>
      <c r="G3408" t="s">
        <v>111</v>
      </c>
      <c r="H3408" t="s">
        <v>118</v>
      </c>
      <c r="I3408" t="s">
        <v>112</v>
      </c>
      <c r="J3408" t="s">
        <v>119</v>
      </c>
      <c r="K3408" t="s">
        <v>1732</v>
      </c>
      <c r="L3408" t="s">
        <v>1732</v>
      </c>
    </row>
    <row r="3409" spans="1:12" x14ac:dyDescent="0.3">
      <c r="A3409" t="s">
        <v>709</v>
      </c>
      <c r="B3409" t="s">
        <v>710</v>
      </c>
      <c r="C3409" t="s">
        <v>711</v>
      </c>
      <c r="D3409" t="s">
        <v>220</v>
      </c>
      <c r="E3409" t="s">
        <v>569</v>
      </c>
      <c r="F3409" t="s">
        <v>54</v>
      </c>
      <c r="G3409" t="s">
        <v>111</v>
      </c>
      <c r="H3409" t="s">
        <v>160</v>
      </c>
      <c r="I3409" t="s">
        <v>112</v>
      </c>
      <c r="J3409" t="s">
        <v>114</v>
      </c>
      <c r="K3409" t="s">
        <v>1731</v>
      </c>
      <c r="L3409" t="s">
        <v>1731</v>
      </c>
    </row>
    <row r="3410" spans="1:12" x14ac:dyDescent="0.3">
      <c r="A3410" t="s">
        <v>709</v>
      </c>
      <c r="B3410" t="s">
        <v>710</v>
      </c>
      <c r="C3410" t="s">
        <v>711</v>
      </c>
      <c r="D3410" t="s">
        <v>221</v>
      </c>
      <c r="E3410" t="s">
        <v>569</v>
      </c>
      <c r="F3410" t="s">
        <v>45</v>
      </c>
      <c r="G3410" t="s">
        <v>111</v>
      </c>
      <c r="H3410" t="s">
        <v>113</v>
      </c>
      <c r="I3410" t="s">
        <v>112</v>
      </c>
      <c r="J3410" t="s">
        <v>114</v>
      </c>
      <c r="K3410" t="s">
        <v>1734</v>
      </c>
      <c r="L3410" t="s">
        <v>1734</v>
      </c>
    </row>
    <row r="3411" spans="1:12" x14ac:dyDescent="0.3">
      <c r="A3411" t="s">
        <v>709</v>
      </c>
      <c r="B3411" t="s">
        <v>710</v>
      </c>
      <c r="C3411" t="s">
        <v>711</v>
      </c>
      <c r="D3411" t="s">
        <v>223</v>
      </c>
      <c r="E3411" t="s">
        <v>569</v>
      </c>
      <c r="F3411" t="s">
        <v>65</v>
      </c>
      <c r="G3411" t="s">
        <v>111</v>
      </c>
      <c r="H3411" t="s">
        <v>160</v>
      </c>
      <c r="I3411" t="s">
        <v>112</v>
      </c>
      <c r="J3411" t="s">
        <v>114</v>
      </c>
      <c r="K3411" t="s">
        <v>1731</v>
      </c>
      <c r="L3411" t="s">
        <v>1731</v>
      </c>
    </row>
    <row r="3412" spans="1:12" x14ac:dyDescent="0.3">
      <c r="A3412" t="s">
        <v>709</v>
      </c>
      <c r="B3412" t="s">
        <v>710</v>
      </c>
      <c r="C3412" t="s">
        <v>711</v>
      </c>
      <c r="D3412" t="s">
        <v>224</v>
      </c>
      <c r="E3412" t="s">
        <v>569</v>
      </c>
      <c r="F3412" t="s">
        <v>125</v>
      </c>
      <c r="G3412" t="s">
        <v>111</v>
      </c>
      <c r="H3412" t="s">
        <v>113</v>
      </c>
      <c r="I3412" t="s">
        <v>112</v>
      </c>
      <c r="J3412" t="s">
        <v>114</v>
      </c>
      <c r="K3412" t="s">
        <v>1731</v>
      </c>
      <c r="L3412" t="s">
        <v>1731</v>
      </c>
    </row>
    <row r="3413" spans="1:12" x14ac:dyDescent="0.3">
      <c r="A3413" t="s">
        <v>709</v>
      </c>
      <c r="B3413" t="s">
        <v>710</v>
      </c>
      <c r="C3413" t="s">
        <v>711</v>
      </c>
      <c r="D3413" t="s">
        <v>225</v>
      </c>
      <c r="E3413" t="s">
        <v>569</v>
      </c>
      <c r="F3413" t="s">
        <v>126</v>
      </c>
      <c r="G3413" t="s">
        <v>111</v>
      </c>
      <c r="H3413" t="s">
        <v>160</v>
      </c>
      <c r="I3413" t="s">
        <v>112</v>
      </c>
      <c r="J3413" t="s">
        <v>114</v>
      </c>
      <c r="K3413" t="s">
        <v>1731</v>
      </c>
      <c r="L3413" t="s">
        <v>1731</v>
      </c>
    </row>
    <row r="3414" spans="1:12" x14ac:dyDescent="0.3">
      <c r="A3414" t="s">
        <v>709</v>
      </c>
      <c r="B3414" t="s">
        <v>710</v>
      </c>
      <c r="C3414" t="s">
        <v>711</v>
      </c>
      <c r="D3414" t="s">
        <v>227</v>
      </c>
      <c r="E3414" t="s">
        <v>569</v>
      </c>
      <c r="F3414" t="s">
        <v>192</v>
      </c>
      <c r="G3414" t="s">
        <v>111</v>
      </c>
      <c r="H3414" t="s">
        <v>118</v>
      </c>
      <c r="I3414" t="s">
        <v>112</v>
      </c>
      <c r="J3414" t="s">
        <v>119</v>
      </c>
      <c r="K3414" t="s">
        <v>1736</v>
      </c>
      <c r="L3414" t="s">
        <v>1736</v>
      </c>
    </row>
    <row r="3415" spans="1:12" x14ac:dyDescent="0.3">
      <c r="A3415" t="s">
        <v>709</v>
      </c>
      <c r="B3415" t="s">
        <v>710</v>
      </c>
      <c r="C3415" t="s">
        <v>711</v>
      </c>
      <c r="D3415" t="s">
        <v>228</v>
      </c>
      <c r="E3415" t="s">
        <v>569</v>
      </c>
      <c r="F3415" t="s">
        <v>167</v>
      </c>
      <c r="G3415" t="s">
        <v>111</v>
      </c>
      <c r="H3415" t="s">
        <v>113</v>
      </c>
      <c r="I3415" t="s">
        <v>112</v>
      </c>
      <c r="J3415" t="s">
        <v>114</v>
      </c>
      <c r="K3415" t="s">
        <v>1734</v>
      </c>
      <c r="L3415" t="s">
        <v>1734</v>
      </c>
    </row>
    <row r="3416" spans="1:12" x14ac:dyDescent="0.3">
      <c r="A3416" t="s">
        <v>709</v>
      </c>
      <c r="B3416" t="s">
        <v>710</v>
      </c>
      <c r="C3416" t="s">
        <v>711</v>
      </c>
      <c r="D3416" t="s">
        <v>229</v>
      </c>
      <c r="E3416" t="s">
        <v>569</v>
      </c>
      <c r="F3416" t="s">
        <v>127</v>
      </c>
      <c r="G3416" t="s">
        <v>111</v>
      </c>
      <c r="H3416" t="s">
        <v>113</v>
      </c>
      <c r="I3416" t="s">
        <v>112</v>
      </c>
      <c r="J3416" t="s">
        <v>114</v>
      </c>
      <c r="K3416" t="s">
        <v>1734</v>
      </c>
      <c r="L3416" t="s">
        <v>1734</v>
      </c>
    </row>
    <row r="3417" spans="1:12" x14ac:dyDescent="0.3">
      <c r="A3417" t="s">
        <v>709</v>
      </c>
      <c r="B3417" t="s">
        <v>710</v>
      </c>
      <c r="C3417" t="s">
        <v>711</v>
      </c>
      <c r="D3417" t="s">
        <v>310</v>
      </c>
      <c r="E3417" t="s">
        <v>569</v>
      </c>
      <c r="F3417" t="s">
        <v>128</v>
      </c>
      <c r="G3417" t="s">
        <v>111</v>
      </c>
      <c r="H3417" t="s">
        <v>160</v>
      </c>
      <c r="I3417" t="s">
        <v>112</v>
      </c>
      <c r="J3417" t="s">
        <v>114</v>
      </c>
      <c r="K3417" t="s">
        <v>1731</v>
      </c>
      <c r="L3417" t="s">
        <v>1731</v>
      </c>
    </row>
    <row r="3418" spans="1:12" x14ac:dyDescent="0.3">
      <c r="A3418" t="s">
        <v>709</v>
      </c>
      <c r="B3418" t="s">
        <v>710</v>
      </c>
      <c r="C3418" t="s">
        <v>711</v>
      </c>
      <c r="D3418" t="s">
        <v>311</v>
      </c>
      <c r="E3418" t="s">
        <v>569</v>
      </c>
      <c r="F3418" t="s">
        <v>89</v>
      </c>
      <c r="G3418" t="s">
        <v>111</v>
      </c>
      <c r="H3418" t="s">
        <v>118</v>
      </c>
      <c r="I3418" t="s">
        <v>112</v>
      </c>
      <c r="J3418" t="s">
        <v>119</v>
      </c>
      <c r="K3418" t="s">
        <v>1732</v>
      </c>
      <c r="L3418" t="s">
        <v>1732</v>
      </c>
    </row>
    <row r="3419" spans="1:12" x14ac:dyDescent="0.3">
      <c r="A3419" t="s">
        <v>709</v>
      </c>
      <c r="B3419" t="s">
        <v>710</v>
      </c>
      <c r="C3419" t="s">
        <v>711</v>
      </c>
      <c r="D3419" t="s">
        <v>231</v>
      </c>
      <c r="E3419" t="s">
        <v>569</v>
      </c>
      <c r="F3419" t="s">
        <v>66</v>
      </c>
      <c r="G3419" t="s">
        <v>111</v>
      </c>
      <c r="H3419" t="s">
        <v>113</v>
      </c>
      <c r="I3419" t="s">
        <v>112</v>
      </c>
      <c r="J3419" t="s">
        <v>114</v>
      </c>
      <c r="K3419" t="s">
        <v>1737</v>
      </c>
      <c r="L3419" t="s">
        <v>1737</v>
      </c>
    </row>
    <row r="3420" spans="1:12" x14ac:dyDescent="0.3">
      <c r="A3420" t="s">
        <v>709</v>
      </c>
      <c r="B3420" t="s">
        <v>710</v>
      </c>
      <c r="C3420" t="s">
        <v>711</v>
      </c>
      <c r="D3420" t="s">
        <v>232</v>
      </c>
      <c r="E3420" t="s">
        <v>569</v>
      </c>
      <c r="F3420" t="s">
        <v>169</v>
      </c>
      <c r="G3420" t="s">
        <v>111</v>
      </c>
      <c r="H3420" t="s">
        <v>160</v>
      </c>
      <c r="I3420" t="s">
        <v>112</v>
      </c>
      <c r="J3420" t="s">
        <v>114</v>
      </c>
      <c r="K3420" t="s">
        <v>1734</v>
      </c>
      <c r="L3420" t="s">
        <v>1734</v>
      </c>
    </row>
    <row r="3421" spans="1:12" x14ac:dyDescent="0.3">
      <c r="A3421" t="s">
        <v>709</v>
      </c>
      <c r="B3421" t="s">
        <v>710</v>
      </c>
      <c r="C3421" t="s">
        <v>711</v>
      </c>
      <c r="D3421" t="s">
        <v>234</v>
      </c>
      <c r="E3421" t="s">
        <v>569</v>
      </c>
      <c r="F3421" t="s">
        <v>93</v>
      </c>
      <c r="G3421" t="s">
        <v>111</v>
      </c>
      <c r="H3421" t="s">
        <v>147</v>
      </c>
      <c r="I3421" t="s">
        <v>112</v>
      </c>
      <c r="J3421" t="s">
        <v>119</v>
      </c>
      <c r="K3421" t="s">
        <v>1731</v>
      </c>
      <c r="L3421" t="s">
        <v>1731</v>
      </c>
    </row>
    <row r="3422" spans="1:12" x14ac:dyDescent="0.3">
      <c r="A3422" t="s">
        <v>709</v>
      </c>
      <c r="B3422" t="s">
        <v>710</v>
      </c>
      <c r="C3422" t="s">
        <v>711</v>
      </c>
      <c r="D3422" t="s">
        <v>312</v>
      </c>
      <c r="E3422" t="s">
        <v>569</v>
      </c>
      <c r="F3422" t="s">
        <v>129</v>
      </c>
      <c r="G3422" t="s">
        <v>111</v>
      </c>
      <c r="H3422" t="s">
        <v>113</v>
      </c>
      <c r="I3422" t="s">
        <v>112</v>
      </c>
      <c r="J3422" t="s">
        <v>114</v>
      </c>
      <c r="K3422" t="s">
        <v>1734</v>
      </c>
      <c r="L3422" t="s">
        <v>1734</v>
      </c>
    </row>
    <row r="3423" spans="1:12" x14ac:dyDescent="0.3">
      <c r="A3423" t="s">
        <v>709</v>
      </c>
      <c r="B3423" t="s">
        <v>710</v>
      </c>
      <c r="C3423" t="s">
        <v>711</v>
      </c>
      <c r="D3423" t="s">
        <v>313</v>
      </c>
      <c r="E3423" t="s">
        <v>569</v>
      </c>
      <c r="F3423" t="s">
        <v>68</v>
      </c>
      <c r="G3423" t="s">
        <v>111</v>
      </c>
      <c r="H3423" t="s">
        <v>113</v>
      </c>
      <c r="I3423" t="s">
        <v>112</v>
      </c>
      <c r="J3423" t="s">
        <v>114</v>
      </c>
      <c r="K3423" t="s">
        <v>1734</v>
      </c>
      <c r="L3423" t="s">
        <v>1734</v>
      </c>
    </row>
    <row r="3424" spans="1:12" x14ac:dyDescent="0.3">
      <c r="A3424" t="s">
        <v>709</v>
      </c>
      <c r="B3424" t="s">
        <v>710</v>
      </c>
      <c r="C3424" t="s">
        <v>711</v>
      </c>
      <c r="D3424" t="s">
        <v>235</v>
      </c>
      <c r="E3424" t="s">
        <v>569</v>
      </c>
      <c r="F3424" t="s">
        <v>85</v>
      </c>
      <c r="G3424" t="s">
        <v>111</v>
      </c>
      <c r="H3424" t="s">
        <v>113</v>
      </c>
      <c r="I3424" t="s">
        <v>112</v>
      </c>
      <c r="J3424" t="s">
        <v>114</v>
      </c>
      <c r="K3424" t="s">
        <v>1734</v>
      </c>
      <c r="L3424" t="s">
        <v>1734</v>
      </c>
    </row>
    <row r="3425" spans="1:12" x14ac:dyDescent="0.3">
      <c r="A3425" t="s">
        <v>709</v>
      </c>
      <c r="B3425" t="s">
        <v>710</v>
      </c>
      <c r="C3425" t="s">
        <v>711</v>
      </c>
      <c r="D3425" t="s">
        <v>314</v>
      </c>
      <c r="E3425" t="s">
        <v>569</v>
      </c>
      <c r="F3425" t="s">
        <v>61</v>
      </c>
      <c r="G3425" t="s">
        <v>111</v>
      </c>
      <c r="H3425" t="s">
        <v>113</v>
      </c>
      <c r="I3425" t="s">
        <v>112</v>
      </c>
      <c r="J3425" t="s">
        <v>114</v>
      </c>
      <c r="K3425" t="s">
        <v>1734</v>
      </c>
      <c r="L3425" t="s">
        <v>1734</v>
      </c>
    </row>
    <row r="3426" spans="1:12" x14ac:dyDescent="0.3">
      <c r="A3426" t="s">
        <v>709</v>
      </c>
      <c r="B3426" t="s">
        <v>710</v>
      </c>
      <c r="C3426" t="s">
        <v>711</v>
      </c>
      <c r="D3426" t="s">
        <v>236</v>
      </c>
      <c r="E3426" t="s">
        <v>569</v>
      </c>
      <c r="F3426" t="s">
        <v>87</v>
      </c>
      <c r="G3426" t="s">
        <v>111</v>
      </c>
      <c r="H3426" t="s">
        <v>113</v>
      </c>
      <c r="I3426" t="s">
        <v>112</v>
      </c>
      <c r="J3426" t="s">
        <v>114</v>
      </c>
      <c r="K3426" t="s">
        <v>1738</v>
      </c>
      <c r="L3426" t="s">
        <v>1738</v>
      </c>
    </row>
    <row r="3427" spans="1:12" x14ac:dyDescent="0.3">
      <c r="A3427" t="s">
        <v>709</v>
      </c>
      <c r="B3427" t="s">
        <v>710</v>
      </c>
      <c r="C3427" t="s">
        <v>711</v>
      </c>
      <c r="D3427" t="s">
        <v>237</v>
      </c>
      <c r="E3427" t="s">
        <v>569</v>
      </c>
      <c r="F3427" t="s">
        <v>130</v>
      </c>
      <c r="G3427" t="s">
        <v>111</v>
      </c>
      <c r="H3427" t="s">
        <v>113</v>
      </c>
      <c r="I3427" t="s">
        <v>112</v>
      </c>
      <c r="J3427" t="s">
        <v>114</v>
      </c>
      <c r="K3427" t="s">
        <v>1732</v>
      </c>
      <c r="L3427" t="s">
        <v>1732</v>
      </c>
    </row>
    <row r="3428" spans="1:12" x14ac:dyDescent="0.3">
      <c r="A3428" t="s">
        <v>709</v>
      </c>
      <c r="B3428" t="s">
        <v>710</v>
      </c>
      <c r="C3428" t="s">
        <v>711</v>
      </c>
      <c r="D3428" t="s">
        <v>238</v>
      </c>
      <c r="E3428" t="s">
        <v>569</v>
      </c>
      <c r="F3428" t="s">
        <v>131</v>
      </c>
      <c r="G3428" t="s">
        <v>111</v>
      </c>
      <c r="H3428" t="s">
        <v>113</v>
      </c>
      <c r="I3428" t="s">
        <v>112</v>
      </c>
      <c r="J3428" t="s">
        <v>114</v>
      </c>
      <c r="K3428" t="s">
        <v>1734</v>
      </c>
      <c r="L3428" t="s">
        <v>1734</v>
      </c>
    </row>
    <row r="3429" spans="1:12" x14ac:dyDescent="0.3">
      <c r="A3429" t="s">
        <v>709</v>
      </c>
      <c r="B3429" t="s">
        <v>710</v>
      </c>
      <c r="C3429" t="s">
        <v>711</v>
      </c>
      <c r="D3429" t="s">
        <v>239</v>
      </c>
      <c r="E3429" t="s">
        <v>569</v>
      </c>
      <c r="F3429" t="s">
        <v>50</v>
      </c>
      <c r="G3429" t="s">
        <v>111</v>
      </c>
      <c r="H3429" t="s">
        <v>113</v>
      </c>
      <c r="I3429" t="s">
        <v>112</v>
      </c>
      <c r="J3429" t="s">
        <v>114</v>
      </c>
      <c r="K3429" t="s">
        <v>1734</v>
      </c>
      <c r="L3429" t="s">
        <v>1734</v>
      </c>
    </row>
    <row r="3430" spans="1:12" x14ac:dyDescent="0.3">
      <c r="A3430" t="s">
        <v>709</v>
      </c>
      <c r="B3430" t="s">
        <v>710</v>
      </c>
      <c r="C3430" t="s">
        <v>711</v>
      </c>
      <c r="D3430" t="s">
        <v>315</v>
      </c>
      <c r="E3430" t="s">
        <v>568</v>
      </c>
      <c r="F3430" t="s">
        <v>79</v>
      </c>
      <c r="G3430" t="s">
        <v>111</v>
      </c>
      <c r="H3430" t="s">
        <v>147</v>
      </c>
      <c r="I3430" t="s">
        <v>112</v>
      </c>
      <c r="J3430" t="s">
        <v>119</v>
      </c>
      <c r="K3430" t="s">
        <v>1732</v>
      </c>
      <c r="L3430" t="s">
        <v>1732</v>
      </c>
    </row>
    <row r="3431" spans="1:12" x14ac:dyDescent="0.3">
      <c r="A3431" t="s">
        <v>709</v>
      </c>
      <c r="B3431" t="s">
        <v>710</v>
      </c>
      <c r="C3431" t="s">
        <v>711</v>
      </c>
      <c r="D3431" t="s">
        <v>316</v>
      </c>
      <c r="E3431" t="s">
        <v>568</v>
      </c>
      <c r="F3431" t="s">
        <v>132</v>
      </c>
      <c r="G3431" t="s">
        <v>111</v>
      </c>
      <c r="H3431" t="s">
        <v>118</v>
      </c>
      <c r="I3431" t="s">
        <v>112</v>
      </c>
      <c r="J3431" t="s">
        <v>119</v>
      </c>
      <c r="K3431" t="s">
        <v>1731</v>
      </c>
      <c r="L3431" t="s">
        <v>1731</v>
      </c>
    </row>
    <row r="3432" spans="1:12" x14ac:dyDescent="0.3">
      <c r="A3432" t="s">
        <v>709</v>
      </c>
      <c r="B3432" t="s">
        <v>710</v>
      </c>
      <c r="C3432" t="s">
        <v>711</v>
      </c>
      <c r="D3432" t="s">
        <v>317</v>
      </c>
      <c r="E3432" t="s">
        <v>568</v>
      </c>
      <c r="F3432" t="s">
        <v>133</v>
      </c>
      <c r="G3432" t="s">
        <v>111</v>
      </c>
      <c r="H3432" t="s">
        <v>113</v>
      </c>
      <c r="I3432" t="s">
        <v>112</v>
      </c>
      <c r="J3432" t="s">
        <v>114</v>
      </c>
      <c r="K3432" t="s">
        <v>1731</v>
      </c>
      <c r="L3432" t="s">
        <v>1731</v>
      </c>
    </row>
    <row r="3433" spans="1:12" x14ac:dyDescent="0.3">
      <c r="A3433" t="s">
        <v>709</v>
      </c>
      <c r="B3433" t="s">
        <v>710</v>
      </c>
      <c r="C3433" t="s">
        <v>711</v>
      </c>
      <c r="D3433" t="s">
        <v>318</v>
      </c>
      <c r="E3433" t="s">
        <v>568</v>
      </c>
      <c r="F3433" t="s">
        <v>193</v>
      </c>
      <c r="G3433" t="s">
        <v>111</v>
      </c>
      <c r="H3433" t="s">
        <v>147</v>
      </c>
      <c r="I3433" t="s">
        <v>112</v>
      </c>
      <c r="J3433" t="s">
        <v>119</v>
      </c>
      <c r="K3433" t="s">
        <v>1731</v>
      </c>
      <c r="L3433" t="s">
        <v>1731</v>
      </c>
    </row>
    <row r="3434" spans="1:12" x14ac:dyDescent="0.3">
      <c r="A3434" t="s">
        <v>709</v>
      </c>
      <c r="B3434" t="s">
        <v>710</v>
      </c>
      <c r="C3434" t="s">
        <v>711</v>
      </c>
      <c r="D3434" t="s">
        <v>241</v>
      </c>
      <c r="E3434" t="s">
        <v>568</v>
      </c>
      <c r="F3434" t="s">
        <v>51</v>
      </c>
      <c r="G3434" t="s">
        <v>111</v>
      </c>
      <c r="H3434" t="s">
        <v>113</v>
      </c>
      <c r="I3434" t="s">
        <v>112</v>
      </c>
      <c r="J3434" t="s">
        <v>114</v>
      </c>
      <c r="K3434" t="s">
        <v>1731</v>
      </c>
      <c r="L3434" t="s">
        <v>1731</v>
      </c>
    </row>
    <row r="3435" spans="1:12" x14ac:dyDescent="0.3">
      <c r="A3435" t="s">
        <v>709</v>
      </c>
      <c r="B3435" t="s">
        <v>710</v>
      </c>
      <c r="C3435" t="s">
        <v>711</v>
      </c>
      <c r="D3435" t="s">
        <v>242</v>
      </c>
      <c r="E3435" t="s">
        <v>568</v>
      </c>
      <c r="F3435" t="s">
        <v>163</v>
      </c>
      <c r="G3435" t="s">
        <v>111</v>
      </c>
      <c r="H3435" t="s">
        <v>118</v>
      </c>
      <c r="I3435" t="s">
        <v>112</v>
      </c>
      <c r="J3435" t="s">
        <v>119</v>
      </c>
      <c r="K3435" t="s">
        <v>1731</v>
      </c>
      <c r="L3435" t="s">
        <v>1731</v>
      </c>
    </row>
    <row r="3436" spans="1:12" x14ac:dyDescent="0.3">
      <c r="A3436" t="s">
        <v>709</v>
      </c>
      <c r="B3436" t="s">
        <v>710</v>
      </c>
      <c r="C3436" t="s">
        <v>711</v>
      </c>
      <c r="D3436" t="s">
        <v>243</v>
      </c>
      <c r="E3436" t="s">
        <v>568</v>
      </c>
      <c r="F3436" t="s">
        <v>170</v>
      </c>
      <c r="G3436" t="s">
        <v>111</v>
      </c>
      <c r="H3436" t="s">
        <v>147</v>
      </c>
      <c r="I3436" t="s">
        <v>112</v>
      </c>
      <c r="J3436" t="s">
        <v>119</v>
      </c>
      <c r="K3436" t="s">
        <v>1734</v>
      </c>
      <c r="L3436" t="s">
        <v>1734</v>
      </c>
    </row>
    <row r="3437" spans="1:12" x14ac:dyDescent="0.3">
      <c r="A3437" t="s">
        <v>709</v>
      </c>
      <c r="B3437" t="s">
        <v>710</v>
      </c>
      <c r="C3437" t="s">
        <v>711</v>
      </c>
      <c r="D3437" t="s">
        <v>244</v>
      </c>
      <c r="E3437" t="s">
        <v>568</v>
      </c>
      <c r="F3437" t="s">
        <v>78</v>
      </c>
      <c r="G3437" t="s">
        <v>111</v>
      </c>
      <c r="H3437" t="s">
        <v>160</v>
      </c>
      <c r="I3437" t="s">
        <v>112</v>
      </c>
      <c r="J3437" t="s">
        <v>114</v>
      </c>
      <c r="K3437" t="s">
        <v>1734</v>
      </c>
      <c r="L3437" t="s">
        <v>1734</v>
      </c>
    </row>
    <row r="3438" spans="1:12" x14ac:dyDescent="0.3">
      <c r="A3438" t="s">
        <v>709</v>
      </c>
      <c r="B3438" t="s">
        <v>710</v>
      </c>
      <c r="C3438" t="s">
        <v>711</v>
      </c>
      <c r="D3438" t="s">
        <v>319</v>
      </c>
      <c r="E3438" t="s">
        <v>568</v>
      </c>
      <c r="F3438" t="s">
        <v>136</v>
      </c>
      <c r="G3438" t="s">
        <v>111</v>
      </c>
      <c r="H3438" t="s">
        <v>113</v>
      </c>
      <c r="I3438" t="s">
        <v>112</v>
      </c>
      <c r="J3438" t="s">
        <v>114</v>
      </c>
      <c r="K3438" t="s">
        <v>1731</v>
      </c>
      <c r="L3438" t="s">
        <v>1731</v>
      </c>
    </row>
    <row r="3439" spans="1:12" x14ac:dyDescent="0.3">
      <c r="A3439" t="s">
        <v>709</v>
      </c>
      <c r="B3439" t="s">
        <v>710</v>
      </c>
      <c r="C3439" t="s">
        <v>711</v>
      </c>
      <c r="D3439" t="s">
        <v>247</v>
      </c>
      <c r="E3439" t="s">
        <v>568</v>
      </c>
      <c r="F3439" t="s">
        <v>60</v>
      </c>
      <c r="G3439" t="s">
        <v>111</v>
      </c>
      <c r="H3439" t="s">
        <v>113</v>
      </c>
      <c r="I3439" t="s">
        <v>112</v>
      </c>
      <c r="J3439" t="s">
        <v>114</v>
      </c>
      <c r="K3439" t="s">
        <v>1732</v>
      </c>
      <c r="L3439" t="s">
        <v>1732</v>
      </c>
    </row>
    <row r="3440" spans="1:12" x14ac:dyDescent="0.3">
      <c r="A3440" t="s">
        <v>709</v>
      </c>
      <c r="B3440" t="s">
        <v>710</v>
      </c>
      <c r="C3440" t="s">
        <v>711</v>
      </c>
      <c r="D3440" t="s">
        <v>251</v>
      </c>
      <c r="E3440" t="s">
        <v>568</v>
      </c>
      <c r="F3440" t="s">
        <v>48</v>
      </c>
      <c r="G3440" t="s">
        <v>111</v>
      </c>
      <c r="H3440" t="s">
        <v>113</v>
      </c>
      <c r="I3440" t="s">
        <v>112</v>
      </c>
      <c r="J3440" t="s">
        <v>114</v>
      </c>
      <c r="K3440" t="s">
        <v>1731</v>
      </c>
      <c r="L3440" t="s">
        <v>1731</v>
      </c>
    </row>
    <row r="3441" spans="1:12" x14ac:dyDescent="0.3">
      <c r="A3441" t="s">
        <v>709</v>
      </c>
      <c r="B3441" t="s">
        <v>710</v>
      </c>
      <c r="C3441" t="s">
        <v>711</v>
      </c>
      <c r="D3441" t="s">
        <v>252</v>
      </c>
      <c r="E3441" t="s">
        <v>568</v>
      </c>
      <c r="F3441" t="s">
        <v>138</v>
      </c>
      <c r="G3441" t="s">
        <v>111</v>
      </c>
      <c r="H3441" t="s">
        <v>113</v>
      </c>
      <c r="I3441" t="s">
        <v>112</v>
      </c>
      <c r="J3441" t="s">
        <v>114</v>
      </c>
      <c r="K3441" t="s">
        <v>1731</v>
      </c>
      <c r="L3441" t="s">
        <v>1731</v>
      </c>
    </row>
    <row r="3442" spans="1:12" x14ac:dyDescent="0.3">
      <c r="A3442" t="s">
        <v>709</v>
      </c>
      <c r="B3442" t="s">
        <v>710</v>
      </c>
      <c r="C3442" t="s">
        <v>711</v>
      </c>
      <c r="D3442" t="s">
        <v>253</v>
      </c>
      <c r="E3442" t="s">
        <v>568</v>
      </c>
      <c r="F3442" t="s">
        <v>95</v>
      </c>
      <c r="G3442" t="s">
        <v>111</v>
      </c>
      <c r="H3442" t="s">
        <v>118</v>
      </c>
      <c r="I3442" t="s">
        <v>112</v>
      </c>
      <c r="J3442" t="s">
        <v>119</v>
      </c>
      <c r="K3442" t="s">
        <v>1731</v>
      </c>
      <c r="L3442" t="s">
        <v>1731</v>
      </c>
    </row>
    <row r="3443" spans="1:12" x14ac:dyDescent="0.3">
      <c r="A3443" t="s">
        <v>709</v>
      </c>
      <c r="B3443" t="s">
        <v>710</v>
      </c>
      <c r="C3443" t="s">
        <v>711</v>
      </c>
      <c r="D3443" t="s">
        <v>254</v>
      </c>
      <c r="E3443" t="s">
        <v>568</v>
      </c>
      <c r="F3443" t="s">
        <v>139</v>
      </c>
      <c r="G3443" t="s">
        <v>111</v>
      </c>
      <c r="H3443" t="s">
        <v>113</v>
      </c>
      <c r="I3443" t="s">
        <v>112</v>
      </c>
      <c r="J3443" t="s">
        <v>114</v>
      </c>
      <c r="K3443" t="s">
        <v>1737</v>
      </c>
      <c r="L3443" t="s">
        <v>1737</v>
      </c>
    </row>
    <row r="3444" spans="1:12" x14ac:dyDescent="0.3">
      <c r="A3444" t="s">
        <v>709</v>
      </c>
      <c r="B3444" t="s">
        <v>710</v>
      </c>
      <c r="C3444" t="s">
        <v>711</v>
      </c>
      <c r="D3444" t="s">
        <v>255</v>
      </c>
      <c r="E3444" t="s">
        <v>568</v>
      </c>
      <c r="F3444" t="s">
        <v>171</v>
      </c>
      <c r="G3444" t="s">
        <v>111</v>
      </c>
      <c r="H3444" t="s">
        <v>160</v>
      </c>
      <c r="I3444" t="s">
        <v>112</v>
      </c>
      <c r="J3444" t="s">
        <v>114</v>
      </c>
      <c r="K3444" t="s">
        <v>1731</v>
      </c>
      <c r="L3444" t="s">
        <v>1731</v>
      </c>
    </row>
    <row r="3445" spans="1:12" x14ac:dyDescent="0.3">
      <c r="A3445" t="s">
        <v>709</v>
      </c>
      <c r="B3445" t="s">
        <v>710</v>
      </c>
      <c r="C3445" t="s">
        <v>711</v>
      </c>
      <c r="D3445" t="s">
        <v>320</v>
      </c>
      <c r="E3445" t="s">
        <v>568</v>
      </c>
      <c r="F3445" t="s">
        <v>172</v>
      </c>
      <c r="G3445" t="s">
        <v>111</v>
      </c>
      <c r="H3445" t="s">
        <v>160</v>
      </c>
      <c r="I3445" t="s">
        <v>112</v>
      </c>
      <c r="J3445" t="s">
        <v>114</v>
      </c>
      <c r="K3445" t="s">
        <v>1739</v>
      </c>
      <c r="L3445" t="s">
        <v>1739</v>
      </c>
    </row>
    <row r="3446" spans="1:12" x14ac:dyDescent="0.3">
      <c r="A3446" t="s">
        <v>709</v>
      </c>
      <c r="B3446" t="s">
        <v>710</v>
      </c>
      <c r="C3446" t="s">
        <v>711</v>
      </c>
      <c r="D3446" t="s">
        <v>207</v>
      </c>
      <c r="E3446" t="s">
        <v>568</v>
      </c>
      <c r="F3446" t="s">
        <v>62</v>
      </c>
      <c r="G3446" t="s">
        <v>111</v>
      </c>
      <c r="H3446" t="s">
        <v>113</v>
      </c>
      <c r="I3446" t="s">
        <v>112</v>
      </c>
      <c r="J3446" t="s">
        <v>114</v>
      </c>
      <c r="K3446" t="s">
        <v>1731</v>
      </c>
      <c r="L3446" t="s">
        <v>1731</v>
      </c>
    </row>
    <row r="3447" spans="1:12" x14ac:dyDescent="0.3">
      <c r="A3447" t="s">
        <v>709</v>
      </c>
      <c r="B3447" t="s">
        <v>710</v>
      </c>
      <c r="C3447" t="s">
        <v>711</v>
      </c>
      <c r="D3447" t="s">
        <v>256</v>
      </c>
      <c r="E3447" t="s">
        <v>568</v>
      </c>
      <c r="F3447" t="s">
        <v>57</v>
      </c>
      <c r="G3447" t="s">
        <v>111</v>
      </c>
      <c r="H3447" t="s">
        <v>113</v>
      </c>
      <c r="I3447" t="s">
        <v>112</v>
      </c>
      <c r="J3447" t="s">
        <v>114</v>
      </c>
      <c r="K3447" t="s">
        <v>1737</v>
      </c>
      <c r="L3447" t="s">
        <v>1737</v>
      </c>
    </row>
    <row r="3448" spans="1:12" x14ac:dyDescent="0.3">
      <c r="A3448" t="s">
        <v>709</v>
      </c>
      <c r="B3448" t="s">
        <v>710</v>
      </c>
      <c r="C3448" t="s">
        <v>711</v>
      </c>
      <c r="D3448" t="s">
        <v>322</v>
      </c>
      <c r="E3448" t="s">
        <v>568</v>
      </c>
      <c r="F3448" t="s">
        <v>173</v>
      </c>
      <c r="G3448" t="s">
        <v>111</v>
      </c>
      <c r="H3448" t="s">
        <v>118</v>
      </c>
      <c r="I3448" t="s">
        <v>112</v>
      </c>
      <c r="J3448" t="s">
        <v>119</v>
      </c>
      <c r="K3448" t="s">
        <v>1731</v>
      </c>
      <c r="L3448" t="s">
        <v>1731</v>
      </c>
    </row>
    <row r="3449" spans="1:12" x14ac:dyDescent="0.3">
      <c r="A3449" t="s">
        <v>709</v>
      </c>
      <c r="B3449" t="s">
        <v>710</v>
      </c>
      <c r="C3449" t="s">
        <v>711</v>
      </c>
      <c r="D3449" t="s">
        <v>257</v>
      </c>
      <c r="E3449" t="s">
        <v>568</v>
      </c>
      <c r="F3449" t="s">
        <v>174</v>
      </c>
      <c r="G3449" t="s">
        <v>111</v>
      </c>
      <c r="H3449" t="s">
        <v>113</v>
      </c>
      <c r="I3449" t="s">
        <v>112</v>
      </c>
      <c r="J3449" t="s">
        <v>114</v>
      </c>
      <c r="K3449" t="s">
        <v>1731</v>
      </c>
      <c r="L3449" t="s">
        <v>1731</v>
      </c>
    </row>
    <row r="3450" spans="1:12" x14ac:dyDescent="0.3">
      <c r="A3450" t="s">
        <v>709</v>
      </c>
      <c r="B3450" t="s">
        <v>710</v>
      </c>
      <c r="C3450" t="s">
        <v>711</v>
      </c>
      <c r="D3450" t="s">
        <v>258</v>
      </c>
      <c r="E3450" t="s">
        <v>568</v>
      </c>
      <c r="F3450" t="s">
        <v>88</v>
      </c>
      <c r="G3450" t="s">
        <v>111</v>
      </c>
      <c r="H3450" t="s">
        <v>113</v>
      </c>
      <c r="I3450" t="s">
        <v>112</v>
      </c>
      <c r="J3450" t="s">
        <v>114</v>
      </c>
      <c r="K3450" t="s">
        <v>1737</v>
      </c>
      <c r="L3450" t="s">
        <v>1737</v>
      </c>
    </row>
    <row r="3451" spans="1:12" x14ac:dyDescent="0.3">
      <c r="A3451" t="s">
        <v>709</v>
      </c>
      <c r="B3451" t="s">
        <v>710</v>
      </c>
      <c r="C3451" t="s">
        <v>711</v>
      </c>
      <c r="D3451" t="s">
        <v>259</v>
      </c>
      <c r="E3451" t="s">
        <v>568</v>
      </c>
      <c r="F3451" t="s">
        <v>77</v>
      </c>
      <c r="G3451" t="s">
        <v>111</v>
      </c>
      <c r="H3451" t="s">
        <v>113</v>
      </c>
      <c r="I3451" t="s">
        <v>112</v>
      </c>
      <c r="J3451" t="s">
        <v>114</v>
      </c>
      <c r="K3451" t="s">
        <v>1737</v>
      </c>
      <c r="L3451" t="s">
        <v>1737</v>
      </c>
    </row>
    <row r="3452" spans="1:12" x14ac:dyDescent="0.3">
      <c r="A3452" t="s">
        <v>709</v>
      </c>
      <c r="B3452" t="s">
        <v>710</v>
      </c>
      <c r="C3452" t="s">
        <v>711</v>
      </c>
      <c r="D3452" t="s">
        <v>323</v>
      </c>
      <c r="E3452" t="s">
        <v>568</v>
      </c>
      <c r="F3452" t="s">
        <v>74</v>
      </c>
      <c r="G3452" t="s">
        <v>111</v>
      </c>
      <c r="H3452" t="s">
        <v>113</v>
      </c>
      <c r="I3452" t="s">
        <v>112</v>
      </c>
      <c r="J3452" t="s">
        <v>114</v>
      </c>
      <c r="K3452" t="s">
        <v>1731</v>
      </c>
      <c r="L3452" t="s">
        <v>1731</v>
      </c>
    </row>
    <row r="3453" spans="1:12" x14ac:dyDescent="0.3">
      <c r="A3453" t="s">
        <v>709</v>
      </c>
      <c r="B3453" t="s">
        <v>710</v>
      </c>
      <c r="C3453" t="s">
        <v>711</v>
      </c>
      <c r="D3453" t="s">
        <v>324</v>
      </c>
      <c r="E3453" t="s">
        <v>568</v>
      </c>
      <c r="F3453" t="s">
        <v>102</v>
      </c>
      <c r="G3453" t="s">
        <v>111</v>
      </c>
      <c r="H3453" t="s">
        <v>113</v>
      </c>
      <c r="I3453" t="s">
        <v>112</v>
      </c>
      <c r="J3453" t="s">
        <v>114</v>
      </c>
      <c r="K3453" t="s">
        <v>1737</v>
      </c>
      <c r="L3453" t="s">
        <v>1737</v>
      </c>
    </row>
    <row r="3454" spans="1:12" x14ac:dyDescent="0.3">
      <c r="A3454" t="s">
        <v>709</v>
      </c>
      <c r="B3454" t="s">
        <v>710</v>
      </c>
      <c r="C3454" t="s">
        <v>711</v>
      </c>
      <c r="D3454" t="s">
        <v>260</v>
      </c>
      <c r="E3454" t="s">
        <v>568</v>
      </c>
      <c r="F3454" t="s">
        <v>140</v>
      </c>
      <c r="G3454" t="s">
        <v>111</v>
      </c>
      <c r="H3454" t="s">
        <v>113</v>
      </c>
      <c r="I3454" t="s">
        <v>112</v>
      </c>
      <c r="J3454" t="s">
        <v>114</v>
      </c>
      <c r="K3454" t="s">
        <v>1740</v>
      </c>
      <c r="L3454" t="s">
        <v>1740</v>
      </c>
    </row>
    <row r="3455" spans="1:12" x14ac:dyDescent="0.3">
      <c r="A3455" t="s">
        <v>709</v>
      </c>
      <c r="B3455" t="s">
        <v>710</v>
      </c>
      <c r="C3455" t="s">
        <v>711</v>
      </c>
      <c r="D3455" t="s">
        <v>263</v>
      </c>
      <c r="E3455" t="s">
        <v>568</v>
      </c>
      <c r="F3455" t="s">
        <v>141</v>
      </c>
      <c r="G3455" t="s">
        <v>111</v>
      </c>
      <c r="H3455" t="s">
        <v>118</v>
      </c>
      <c r="I3455" t="s">
        <v>112</v>
      </c>
      <c r="J3455" t="s">
        <v>119</v>
      </c>
      <c r="K3455" t="s">
        <v>1734</v>
      </c>
      <c r="L3455" t="s">
        <v>1734</v>
      </c>
    </row>
    <row r="3456" spans="1:12" x14ac:dyDescent="0.3">
      <c r="A3456" t="s">
        <v>709</v>
      </c>
      <c r="B3456" t="s">
        <v>710</v>
      </c>
      <c r="C3456" t="s">
        <v>711</v>
      </c>
      <c r="D3456" t="s">
        <v>264</v>
      </c>
      <c r="E3456" t="s">
        <v>568</v>
      </c>
      <c r="F3456" t="s">
        <v>64</v>
      </c>
      <c r="G3456" t="s">
        <v>111</v>
      </c>
      <c r="H3456" t="s">
        <v>113</v>
      </c>
      <c r="I3456" t="s">
        <v>112</v>
      </c>
      <c r="J3456" t="s">
        <v>114</v>
      </c>
      <c r="K3456" t="s">
        <v>1731</v>
      </c>
      <c r="L3456" t="s">
        <v>1731</v>
      </c>
    </row>
    <row r="3457" spans="1:12" x14ac:dyDescent="0.3">
      <c r="A3457" t="s">
        <v>709</v>
      </c>
      <c r="B3457" t="s">
        <v>710</v>
      </c>
      <c r="C3457" t="s">
        <v>711</v>
      </c>
      <c r="D3457" t="s">
        <v>265</v>
      </c>
      <c r="E3457" t="s">
        <v>568</v>
      </c>
      <c r="F3457" t="s">
        <v>142</v>
      </c>
      <c r="G3457" t="s">
        <v>111</v>
      </c>
      <c r="H3457" t="s">
        <v>113</v>
      </c>
      <c r="I3457" t="s">
        <v>112</v>
      </c>
      <c r="J3457" t="s">
        <v>114</v>
      </c>
      <c r="K3457" t="s">
        <v>1731</v>
      </c>
      <c r="L3457" t="s">
        <v>1731</v>
      </c>
    </row>
    <row r="3458" spans="1:12" x14ac:dyDescent="0.3">
      <c r="A3458" t="s">
        <v>709</v>
      </c>
      <c r="B3458" t="s">
        <v>710</v>
      </c>
      <c r="C3458" t="s">
        <v>711</v>
      </c>
      <c r="D3458" t="s">
        <v>326</v>
      </c>
      <c r="E3458" t="s">
        <v>568</v>
      </c>
      <c r="F3458" t="s">
        <v>144</v>
      </c>
      <c r="G3458" t="s">
        <v>111</v>
      </c>
      <c r="H3458" t="s">
        <v>118</v>
      </c>
      <c r="I3458" t="s">
        <v>112</v>
      </c>
      <c r="J3458" t="s">
        <v>119</v>
      </c>
      <c r="K3458" t="s">
        <v>1741</v>
      </c>
      <c r="L3458" t="s">
        <v>1741</v>
      </c>
    </row>
    <row r="3459" spans="1:12" x14ac:dyDescent="0.3">
      <c r="A3459" t="s">
        <v>709</v>
      </c>
      <c r="B3459" t="s">
        <v>710</v>
      </c>
      <c r="C3459" t="s">
        <v>711</v>
      </c>
      <c r="D3459" t="s">
        <v>268</v>
      </c>
      <c r="E3459" t="s">
        <v>568</v>
      </c>
      <c r="F3459" t="s">
        <v>194</v>
      </c>
      <c r="G3459" t="s">
        <v>111</v>
      </c>
      <c r="H3459" t="s">
        <v>118</v>
      </c>
      <c r="I3459" t="s">
        <v>112</v>
      </c>
      <c r="J3459" t="s">
        <v>119</v>
      </c>
      <c r="K3459" t="s">
        <v>1731</v>
      </c>
      <c r="L3459" t="s">
        <v>1731</v>
      </c>
    </row>
    <row r="3460" spans="1:12" x14ac:dyDescent="0.3">
      <c r="A3460" t="s">
        <v>709</v>
      </c>
      <c r="B3460" t="s">
        <v>710</v>
      </c>
      <c r="C3460" t="s">
        <v>711</v>
      </c>
      <c r="D3460" t="s">
        <v>269</v>
      </c>
      <c r="E3460" t="s">
        <v>568</v>
      </c>
      <c r="F3460" t="s">
        <v>145</v>
      </c>
      <c r="G3460" t="s">
        <v>111</v>
      </c>
      <c r="H3460" t="s">
        <v>113</v>
      </c>
      <c r="I3460" t="s">
        <v>112</v>
      </c>
      <c r="J3460" t="s">
        <v>114</v>
      </c>
      <c r="K3460" t="s">
        <v>1731</v>
      </c>
      <c r="L3460" t="s">
        <v>1731</v>
      </c>
    </row>
    <row r="3461" spans="1:12" x14ac:dyDescent="0.3">
      <c r="A3461" t="s">
        <v>709</v>
      </c>
      <c r="B3461" t="s">
        <v>710</v>
      </c>
      <c r="C3461" t="s">
        <v>711</v>
      </c>
      <c r="D3461" t="s">
        <v>270</v>
      </c>
      <c r="E3461" t="s">
        <v>568</v>
      </c>
      <c r="F3461" t="s">
        <v>81</v>
      </c>
      <c r="G3461" t="s">
        <v>111</v>
      </c>
      <c r="H3461" t="s">
        <v>113</v>
      </c>
      <c r="I3461" t="s">
        <v>112</v>
      </c>
      <c r="J3461" t="s">
        <v>114</v>
      </c>
      <c r="K3461" t="s">
        <v>1737</v>
      </c>
      <c r="L3461" t="s">
        <v>1737</v>
      </c>
    </row>
    <row r="3462" spans="1:12" x14ac:dyDescent="0.3">
      <c r="A3462" t="s">
        <v>709</v>
      </c>
      <c r="B3462" t="s">
        <v>710</v>
      </c>
      <c r="C3462" t="s">
        <v>711</v>
      </c>
      <c r="D3462" t="s">
        <v>271</v>
      </c>
      <c r="E3462" t="s">
        <v>567</v>
      </c>
      <c r="F3462" t="s">
        <v>76</v>
      </c>
      <c r="G3462" t="s">
        <v>111</v>
      </c>
      <c r="H3462" t="s">
        <v>113</v>
      </c>
      <c r="I3462" t="s">
        <v>112</v>
      </c>
      <c r="J3462" t="s">
        <v>114</v>
      </c>
      <c r="K3462" t="s">
        <v>1731</v>
      </c>
      <c r="L3462" t="s">
        <v>1731</v>
      </c>
    </row>
    <row r="3463" spans="1:12" x14ac:dyDescent="0.3">
      <c r="A3463" t="s">
        <v>709</v>
      </c>
      <c r="B3463" t="s">
        <v>710</v>
      </c>
      <c r="C3463" t="s">
        <v>711</v>
      </c>
      <c r="D3463" t="s">
        <v>272</v>
      </c>
      <c r="E3463" t="s">
        <v>567</v>
      </c>
      <c r="F3463" t="s">
        <v>52</v>
      </c>
      <c r="G3463" t="s">
        <v>111</v>
      </c>
      <c r="H3463" t="s">
        <v>160</v>
      </c>
      <c r="I3463" t="s">
        <v>112</v>
      </c>
      <c r="J3463" t="s">
        <v>114</v>
      </c>
      <c r="K3463" t="s">
        <v>1733</v>
      </c>
      <c r="L3463" t="s">
        <v>1733</v>
      </c>
    </row>
    <row r="3464" spans="1:12" x14ac:dyDescent="0.3">
      <c r="A3464" t="s">
        <v>709</v>
      </c>
      <c r="B3464" t="s">
        <v>710</v>
      </c>
      <c r="C3464" t="s">
        <v>711</v>
      </c>
      <c r="D3464" t="s">
        <v>327</v>
      </c>
      <c r="E3464" t="s">
        <v>567</v>
      </c>
      <c r="F3464" t="s">
        <v>104</v>
      </c>
      <c r="G3464" t="s">
        <v>111</v>
      </c>
      <c r="H3464" t="s">
        <v>113</v>
      </c>
      <c r="I3464" t="s">
        <v>112</v>
      </c>
      <c r="J3464" t="s">
        <v>114</v>
      </c>
      <c r="K3464" t="s">
        <v>1734</v>
      </c>
      <c r="L3464" t="s">
        <v>1734</v>
      </c>
    </row>
    <row r="3465" spans="1:12" x14ac:dyDescent="0.3">
      <c r="A3465" t="s">
        <v>709</v>
      </c>
      <c r="B3465" t="s">
        <v>710</v>
      </c>
      <c r="C3465" t="s">
        <v>711</v>
      </c>
      <c r="D3465" t="s">
        <v>273</v>
      </c>
      <c r="E3465" t="s">
        <v>567</v>
      </c>
      <c r="F3465" t="s">
        <v>176</v>
      </c>
      <c r="G3465" t="s">
        <v>111</v>
      </c>
      <c r="H3465" t="s">
        <v>160</v>
      </c>
      <c r="I3465" t="s">
        <v>112</v>
      </c>
      <c r="J3465" t="s">
        <v>114</v>
      </c>
      <c r="K3465" t="s">
        <v>1742</v>
      </c>
      <c r="L3465" t="s">
        <v>1742</v>
      </c>
    </row>
    <row r="3466" spans="1:12" x14ac:dyDescent="0.3">
      <c r="A3466" t="s">
        <v>709</v>
      </c>
      <c r="B3466" t="s">
        <v>710</v>
      </c>
      <c r="C3466" t="s">
        <v>711</v>
      </c>
      <c r="D3466" t="s">
        <v>274</v>
      </c>
      <c r="E3466" t="s">
        <v>567</v>
      </c>
      <c r="F3466" t="s">
        <v>146</v>
      </c>
      <c r="G3466" t="s">
        <v>111</v>
      </c>
      <c r="H3466" t="s">
        <v>160</v>
      </c>
      <c r="I3466" t="s">
        <v>112</v>
      </c>
      <c r="J3466" t="s">
        <v>114</v>
      </c>
      <c r="K3466" t="s">
        <v>1731</v>
      </c>
      <c r="L3466" t="s">
        <v>1731</v>
      </c>
    </row>
    <row r="3467" spans="1:12" x14ac:dyDescent="0.3">
      <c r="A3467" t="s">
        <v>709</v>
      </c>
      <c r="B3467" t="s">
        <v>710</v>
      </c>
      <c r="C3467" t="s">
        <v>711</v>
      </c>
      <c r="D3467" t="s">
        <v>275</v>
      </c>
      <c r="E3467" t="s">
        <v>567</v>
      </c>
      <c r="F3467" t="s">
        <v>148</v>
      </c>
      <c r="G3467" t="s">
        <v>111</v>
      </c>
      <c r="H3467" t="s">
        <v>147</v>
      </c>
      <c r="I3467" t="s">
        <v>112</v>
      </c>
      <c r="J3467" t="s">
        <v>119</v>
      </c>
      <c r="K3467" t="s">
        <v>1731</v>
      </c>
      <c r="L3467" t="s">
        <v>1731</v>
      </c>
    </row>
    <row r="3468" spans="1:12" x14ac:dyDescent="0.3">
      <c r="A3468" t="s">
        <v>709</v>
      </c>
      <c r="B3468" t="s">
        <v>710</v>
      </c>
      <c r="C3468" t="s">
        <v>711</v>
      </c>
      <c r="D3468" t="s">
        <v>276</v>
      </c>
      <c r="E3468" t="s">
        <v>567</v>
      </c>
      <c r="F3468" t="s">
        <v>149</v>
      </c>
      <c r="G3468" t="s">
        <v>111</v>
      </c>
      <c r="H3468" t="s">
        <v>113</v>
      </c>
      <c r="I3468" t="s">
        <v>112</v>
      </c>
      <c r="J3468" t="s">
        <v>114</v>
      </c>
      <c r="K3468" t="s">
        <v>1731</v>
      </c>
      <c r="L3468" t="s">
        <v>1731</v>
      </c>
    </row>
    <row r="3469" spans="1:12" x14ac:dyDescent="0.3">
      <c r="A3469" t="s">
        <v>709</v>
      </c>
      <c r="B3469" t="s">
        <v>710</v>
      </c>
      <c r="C3469" t="s">
        <v>711</v>
      </c>
      <c r="D3469" t="s">
        <v>277</v>
      </c>
      <c r="E3469" t="s">
        <v>567</v>
      </c>
      <c r="F3469" t="s">
        <v>83</v>
      </c>
      <c r="G3469" t="s">
        <v>111</v>
      </c>
      <c r="H3469" t="s">
        <v>160</v>
      </c>
      <c r="I3469" t="s">
        <v>112</v>
      </c>
      <c r="J3469" t="s">
        <v>114</v>
      </c>
      <c r="K3469" t="s">
        <v>1731</v>
      </c>
      <c r="L3469" t="s">
        <v>1731</v>
      </c>
    </row>
    <row r="3470" spans="1:12" x14ac:dyDescent="0.3">
      <c r="A3470" t="s">
        <v>709</v>
      </c>
      <c r="B3470" t="s">
        <v>710</v>
      </c>
      <c r="C3470" t="s">
        <v>711</v>
      </c>
      <c r="D3470" t="s">
        <v>278</v>
      </c>
      <c r="E3470" t="s">
        <v>567</v>
      </c>
      <c r="F3470" t="s">
        <v>203</v>
      </c>
      <c r="G3470" t="s">
        <v>111</v>
      </c>
      <c r="H3470" t="s">
        <v>113</v>
      </c>
      <c r="I3470" t="s">
        <v>112</v>
      </c>
      <c r="J3470" t="s">
        <v>114</v>
      </c>
      <c r="K3470" t="s">
        <v>1733</v>
      </c>
      <c r="L3470" t="s">
        <v>1733</v>
      </c>
    </row>
    <row r="3471" spans="1:12" x14ac:dyDescent="0.3">
      <c r="A3471" t="s">
        <v>709</v>
      </c>
      <c r="B3471" t="s">
        <v>710</v>
      </c>
      <c r="C3471" t="s">
        <v>711</v>
      </c>
      <c r="D3471" t="s">
        <v>279</v>
      </c>
      <c r="E3471" t="s">
        <v>567</v>
      </c>
      <c r="F3471" t="s">
        <v>150</v>
      </c>
      <c r="G3471" t="s">
        <v>111</v>
      </c>
      <c r="H3471" t="s">
        <v>160</v>
      </c>
      <c r="I3471" t="s">
        <v>112</v>
      </c>
      <c r="J3471" t="s">
        <v>114</v>
      </c>
      <c r="K3471" t="s">
        <v>1732</v>
      </c>
      <c r="L3471" t="s">
        <v>1732</v>
      </c>
    </row>
    <row r="3472" spans="1:12" x14ac:dyDescent="0.3">
      <c r="A3472" t="s">
        <v>709</v>
      </c>
      <c r="B3472" t="s">
        <v>710</v>
      </c>
      <c r="C3472" t="s">
        <v>711</v>
      </c>
      <c r="D3472" t="s">
        <v>280</v>
      </c>
      <c r="E3472" t="s">
        <v>567</v>
      </c>
      <c r="F3472" t="s">
        <v>71</v>
      </c>
      <c r="G3472" t="s">
        <v>111</v>
      </c>
      <c r="H3472" t="s">
        <v>113</v>
      </c>
      <c r="I3472" t="s">
        <v>112</v>
      </c>
      <c r="J3472" t="s">
        <v>114</v>
      </c>
      <c r="K3472" t="s">
        <v>1737</v>
      </c>
      <c r="L3472" t="s">
        <v>1737</v>
      </c>
    </row>
    <row r="3473" spans="1:12" x14ac:dyDescent="0.3">
      <c r="A3473" t="s">
        <v>709</v>
      </c>
      <c r="B3473" t="s">
        <v>710</v>
      </c>
      <c r="C3473" t="s">
        <v>711</v>
      </c>
      <c r="D3473" t="s">
        <v>282</v>
      </c>
      <c r="E3473" t="s">
        <v>567</v>
      </c>
      <c r="F3473" t="s">
        <v>90</v>
      </c>
      <c r="G3473" t="s">
        <v>111</v>
      </c>
      <c r="H3473" t="s">
        <v>113</v>
      </c>
      <c r="I3473" t="s">
        <v>112</v>
      </c>
      <c r="J3473" t="s">
        <v>114</v>
      </c>
      <c r="K3473" t="s">
        <v>1731</v>
      </c>
      <c r="L3473" t="s">
        <v>1731</v>
      </c>
    </row>
    <row r="3474" spans="1:12" x14ac:dyDescent="0.3">
      <c r="A3474" t="s">
        <v>709</v>
      </c>
      <c r="B3474" t="s">
        <v>710</v>
      </c>
      <c r="C3474" t="s">
        <v>711</v>
      </c>
      <c r="D3474" t="s">
        <v>329</v>
      </c>
      <c r="E3474" t="s">
        <v>567</v>
      </c>
      <c r="F3474" t="s">
        <v>92</v>
      </c>
      <c r="G3474" t="s">
        <v>111</v>
      </c>
      <c r="H3474" t="s">
        <v>113</v>
      </c>
      <c r="I3474" t="s">
        <v>112</v>
      </c>
      <c r="J3474" t="s">
        <v>114</v>
      </c>
      <c r="K3474" t="s">
        <v>1732</v>
      </c>
      <c r="L3474" t="s">
        <v>1732</v>
      </c>
    </row>
    <row r="3475" spans="1:12" x14ac:dyDescent="0.3">
      <c r="A3475" t="s">
        <v>709</v>
      </c>
      <c r="B3475" t="s">
        <v>710</v>
      </c>
      <c r="C3475" t="s">
        <v>711</v>
      </c>
      <c r="D3475" t="s">
        <v>283</v>
      </c>
      <c r="E3475" t="s">
        <v>567</v>
      </c>
      <c r="F3475" t="s">
        <v>63</v>
      </c>
      <c r="G3475" t="s">
        <v>111</v>
      </c>
      <c r="H3475" t="s">
        <v>113</v>
      </c>
      <c r="I3475" t="s">
        <v>112</v>
      </c>
      <c r="J3475" t="s">
        <v>114</v>
      </c>
      <c r="K3475" t="s">
        <v>1731</v>
      </c>
      <c r="L3475" t="s">
        <v>1731</v>
      </c>
    </row>
    <row r="3476" spans="1:12" x14ac:dyDescent="0.3">
      <c r="A3476" t="s">
        <v>709</v>
      </c>
      <c r="B3476" t="s">
        <v>710</v>
      </c>
      <c r="C3476" t="s">
        <v>711</v>
      </c>
      <c r="D3476" t="s">
        <v>284</v>
      </c>
      <c r="E3476" t="s">
        <v>567</v>
      </c>
      <c r="F3476" t="s">
        <v>151</v>
      </c>
      <c r="G3476" t="s">
        <v>111</v>
      </c>
      <c r="H3476" t="s">
        <v>113</v>
      </c>
      <c r="I3476" t="s">
        <v>112</v>
      </c>
      <c r="J3476" t="s">
        <v>114</v>
      </c>
      <c r="K3476" t="s">
        <v>1732</v>
      </c>
      <c r="L3476" t="s">
        <v>1732</v>
      </c>
    </row>
    <row r="3477" spans="1:12" x14ac:dyDescent="0.3">
      <c r="A3477" t="s">
        <v>709</v>
      </c>
      <c r="B3477" t="s">
        <v>710</v>
      </c>
      <c r="C3477" t="s">
        <v>711</v>
      </c>
      <c r="D3477" t="s">
        <v>285</v>
      </c>
      <c r="E3477" t="s">
        <v>567</v>
      </c>
      <c r="F3477" t="s">
        <v>195</v>
      </c>
      <c r="G3477" t="s">
        <v>111</v>
      </c>
      <c r="H3477" t="s">
        <v>113</v>
      </c>
      <c r="I3477" t="s">
        <v>112</v>
      </c>
      <c r="J3477" t="s">
        <v>114</v>
      </c>
      <c r="K3477" t="s">
        <v>1738</v>
      </c>
      <c r="L3477" t="s">
        <v>1738</v>
      </c>
    </row>
    <row r="3478" spans="1:12" x14ac:dyDescent="0.3">
      <c r="A3478" t="s">
        <v>709</v>
      </c>
      <c r="B3478" t="s">
        <v>710</v>
      </c>
      <c r="C3478" t="s">
        <v>711</v>
      </c>
      <c r="D3478" t="s">
        <v>330</v>
      </c>
      <c r="E3478" t="s">
        <v>567</v>
      </c>
      <c r="F3478" t="s">
        <v>177</v>
      </c>
      <c r="G3478" t="s">
        <v>111</v>
      </c>
      <c r="H3478" t="s">
        <v>147</v>
      </c>
      <c r="I3478" t="s">
        <v>112</v>
      </c>
      <c r="J3478" t="s">
        <v>119</v>
      </c>
      <c r="K3478" t="s">
        <v>1743</v>
      </c>
      <c r="L3478" t="s">
        <v>1743</v>
      </c>
    </row>
    <row r="3479" spans="1:12" x14ac:dyDescent="0.3">
      <c r="A3479" t="s">
        <v>709</v>
      </c>
      <c r="B3479" t="s">
        <v>710</v>
      </c>
      <c r="C3479" t="s">
        <v>711</v>
      </c>
      <c r="D3479" t="s">
        <v>288</v>
      </c>
      <c r="E3479" t="s">
        <v>567</v>
      </c>
      <c r="F3479" t="s">
        <v>178</v>
      </c>
      <c r="G3479" t="s">
        <v>111</v>
      </c>
      <c r="H3479" t="s">
        <v>113</v>
      </c>
      <c r="I3479" t="s">
        <v>112</v>
      </c>
      <c r="J3479" t="s">
        <v>114</v>
      </c>
      <c r="K3479" t="s">
        <v>1731</v>
      </c>
      <c r="L3479" t="s">
        <v>1731</v>
      </c>
    </row>
    <row r="3480" spans="1:12" x14ac:dyDescent="0.3">
      <c r="A3480" t="s">
        <v>709</v>
      </c>
      <c r="B3480" t="s">
        <v>710</v>
      </c>
      <c r="C3480" t="s">
        <v>711</v>
      </c>
      <c r="D3480" t="s">
        <v>289</v>
      </c>
      <c r="E3480" t="s">
        <v>567</v>
      </c>
      <c r="F3480" t="s">
        <v>179</v>
      </c>
      <c r="G3480" t="s">
        <v>111</v>
      </c>
      <c r="H3480" t="s">
        <v>118</v>
      </c>
      <c r="I3480" t="s">
        <v>112</v>
      </c>
      <c r="J3480" t="s">
        <v>119</v>
      </c>
      <c r="K3480" t="s">
        <v>1731</v>
      </c>
      <c r="L3480" t="s">
        <v>1731</v>
      </c>
    </row>
    <row r="3481" spans="1:12" x14ac:dyDescent="0.3">
      <c r="A3481" t="s">
        <v>709</v>
      </c>
      <c r="B3481" t="s">
        <v>710</v>
      </c>
      <c r="C3481" t="s">
        <v>711</v>
      </c>
      <c r="D3481" t="s">
        <v>290</v>
      </c>
      <c r="E3481" t="s">
        <v>567</v>
      </c>
      <c r="F3481" t="s">
        <v>153</v>
      </c>
      <c r="G3481" t="s">
        <v>111</v>
      </c>
      <c r="H3481" t="s">
        <v>113</v>
      </c>
      <c r="I3481" t="s">
        <v>112</v>
      </c>
      <c r="J3481" t="s">
        <v>114</v>
      </c>
      <c r="K3481" t="s">
        <v>1734</v>
      </c>
      <c r="L3481" t="s">
        <v>1734</v>
      </c>
    </row>
    <row r="3482" spans="1:12" x14ac:dyDescent="0.3">
      <c r="A3482" t="s">
        <v>709</v>
      </c>
      <c r="B3482" t="s">
        <v>710</v>
      </c>
      <c r="C3482" t="s">
        <v>711</v>
      </c>
      <c r="D3482" t="s">
        <v>291</v>
      </c>
      <c r="E3482" t="s">
        <v>567</v>
      </c>
      <c r="F3482" t="s">
        <v>154</v>
      </c>
      <c r="G3482" t="s">
        <v>111</v>
      </c>
      <c r="H3482" t="s">
        <v>113</v>
      </c>
      <c r="I3482" t="s">
        <v>112</v>
      </c>
      <c r="J3482" t="s">
        <v>114</v>
      </c>
      <c r="K3482" t="s">
        <v>1734</v>
      </c>
      <c r="L3482" t="s">
        <v>1734</v>
      </c>
    </row>
    <row r="3483" spans="1:12" x14ac:dyDescent="0.3">
      <c r="A3483" t="s">
        <v>709</v>
      </c>
      <c r="B3483" t="s">
        <v>710</v>
      </c>
      <c r="C3483" t="s">
        <v>711</v>
      </c>
      <c r="D3483" t="s">
        <v>292</v>
      </c>
      <c r="E3483" t="s">
        <v>567</v>
      </c>
      <c r="F3483" t="s">
        <v>55</v>
      </c>
      <c r="G3483" t="s">
        <v>111</v>
      </c>
      <c r="H3483" t="s">
        <v>113</v>
      </c>
      <c r="I3483" t="s">
        <v>112</v>
      </c>
      <c r="J3483" t="s">
        <v>114</v>
      </c>
      <c r="K3483" t="s">
        <v>1734</v>
      </c>
      <c r="L3483" t="s">
        <v>1734</v>
      </c>
    </row>
    <row r="3484" spans="1:12" x14ac:dyDescent="0.3">
      <c r="A3484" t="s">
        <v>709</v>
      </c>
      <c r="B3484" t="s">
        <v>710</v>
      </c>
      <c r="C3484" t="s">
        <v>711</v>
      </c>
      <c r="D3484" t="s">
        <v>334</v>
      </c>
      <c r="E3484" t="s">
        <v>567</v>
      </c>
      <c r="F3484" t="s">
        <v>155</v>
      </c>
      <c r="G3484" t="s">
        <v>111</v>
      </c>
      <c r="H3484" t="s">
        <v>113</v>
      </c>
      <c r="I3484" t="s">
        <v>112</v>
      </c>
      <c r="J3484" t="s">
        <v>114</v>
      </c>
      <c r="K3484" t="s">
        <v>1734</v>
      </c>
      <c r="L3484" t="s">
        <v>1734</v>
      </c>
    </row>
    <row r="3485" spans="1:12" x14ac:dyDescent="0.3">
      <c r="A3485" t="s">
        <v>709</v>
      </c>
      <c r="B3485" t="s">
        <v>710</v>
      </c>
      <c r="C3485" t="s">
        <v>711</v>
      </c>
      <c r="D3485" t="s">
        <v>295</v>
      </c>
      <c r="E3485" t="s">
        <v>567</v>
      </c>
      <c r="F3485" t="s">
        <v>103</v>
      </c>
      <c r="G3485" t="s">
        <v>111</v>
      </c>
      <c r="H3485" t="s">
        <v>113</v>
      </c>
      <c r="I3485" t="s">
        <v>112</v>
      </c>
      <c r="J3485" t="s">
        <v>114</v>
      </c>
      <c r="K3485" t="s">
        <v>1731</v>
      </c>
      <c r="L3485" t="s">
        <v>1731</v>
      </c>
    </row>
    <row r="3486" spans="1:12" x14ac:dyDescent="0.3">
      <c r="A3486" t="s">
        <v>709</v>
      </c>
      <c r="B3486" t="s">
        <v>710</v>
      </c>
      <c r="C3486" t="s">
        <v>711</v>
      </c>
      <c r="D3486" t="s">
        <v>337</v>
      </c>
      <c r="E3486" t="s">
        <v>567</v>
      </c>
      <c r="F3486" t="s">
        <v>157</v>
      </c>
      <c r="G3486" t="s">
        <v>111</v>
      </c>
      <c r="H3486" t="s">
        <v>118</v>
      </c>
      <c r="I3486" t="s">
        <v>112</v>
      </c>
      <c r="J3486" t="s">
        <v>119</v>
      </c>
      <c r="K3486" t="s">
        <v>1731</v>
      </c>
      <c r="L3486" t="s">
        <v>1731</v>
      </c>
    </row>
    <row r="3487" spans="1:12" x14ac:dyDescent="0.3">
      <c r="A3487" t="s">
        <v>709</v>
      </c>
      <c r="B3487" t="s">
        <v>710</v>
      </c>
      <c r="C3487" t="s">
        <v>711</v>
      </c>
      <c r="D3487" t="s">
        <v>296</v>
      </c>
      <c r="E3487" t="s">
        <v>567</v>
      </c>
      <c r="F3487" t="s">
        <v>198</v>
      </c>
      <c r="G3487" t="s">
        <v>111</v>
      </c>
      <c r="H3487" t="s">
        <v>160</v>
      </c>
      <c r="I3487" t="s">
        <v>112</v>
      </c>
      <c r="J3487" t="s">
        <v>114</v>
      </c>
      <c r="K3487" t="s">
        <v>1734</v>
      </c>
      <c r="L3487" t="s">
        <v>1734</v>
      </c>
    </row>
    <row r="3488" spans="1:12" x14ac:dyDescent="0.3">
      <c r="A3488" t="s">
        <v>709</v>
      </c>
      <c r="B3488" t="s">
        <v>710</v>
      </c>
      <c r="C3488" t="s">
        <v>711</v>
      </c>
      <c r="D3488" t="s">
        <v>297</v>
      </c>
      <c r="E3488" t="s">
        <v>567</v>
      </c>
      <c r="F3488" t="s">
        <v>180</v>
      </c>
      <c r="G3488" t="s">
        <v>111</v>
      </c>
      <c r="H3488" t="s">
        <v>160</v>
      </c>
      <c r="I3488" t="s">
        <v>112</v>
      </c>
      <c r="J3488" t="s">
        <v>114</v>
      </c>
      <c r="K3488" t="s">
        <v>1731</v>
      </c>
      <c r="L3488" t="s">
        <v>1731</v>
      </c>
    </row>
    <row r="3489" spans="1:12" x14ac:dyDescent="0.3">
      <c r="A3489" t="s">
        <v>709</v>
      </c>
      <c r="B3489" t="s">
        <v>710</v>
      </c>
      <c r="C3489" t="s">
        <v>711</v>
      </c>
      <c r="D3489" t="s">
        <v>298</v>
      </c>
      <c r="E3489" t="s">
        <v>567</v>
      </c>
      <c r="F3489" t="s">
        <v>158</v>
      </c>
      <c r="G3489" t="s">
        <v>111</v>
      </c>
      <c r="H3489" t="s">
        <v>118</v>
      </c>
      <c r="I3489" t="s">
        <v>112</v>
      </c>
      <c r="J3489" t="s">
        <v>119</v>
      </c>
      <c r="K3489" t="s">
        <v>1734</v>
      </c>
      <c r="L3489" t="s">
        <v>1734</v>
      </c>
    </row>
    <row r="3490" spans="1:12" x14ac:dyDescent="0.3">
      <c r="A3490" t="s">
        <v>709</v>
      </c>
      <c r="B3490" t="s">
        <v>710</v>
      </c>
      <c r="C3490" t="s">
        <v>711</v>
      </c>
      <c r="D3490" t="s">
        <v>336</v>
      </c>
      <c r="E3490" t="s">
        <v>567</v>
      </c>
      <c r="F3490" t="s">
        <v>159</v>
      </c>
      <c r="G3490" t="s">
        <v>111</v>
      </c>
      <c r="H3490" t="s">
        <v>113</v>
      </c>
      <c r="I3490" t="s">
        <v>112</v>
      </c>
      <c r="J3490" t="s">
        <v>114</v>
      </c>
      <c r="K3490" t="s">
        <v>1734</v>
      </c>
      <c r="L3490" t="s">
        <v>1734</v>
      </c>
    </row>
    <row r="3491" spans="1:12" x14ac:dyDescent="0.3">
      <c r="A3491" t="s">
        <v>709</v>
      </c>
      <c r="B3491" t="s">
        <v>710</v>
      </c>
      <c r="C3491" t="s">
        <v>711</v>
      </c>
      <c r="D3491" t="s">
        <v>299</v>
      </c>
      <c r="E3491" t="s">
        <v>567</v>
      </c>
      <c r="F3491" t="s">
        <v>47</v>
      </c>
      <c r="G3491" t="s">
        <v>111</v>
      </c>
      <c r="H3491" t="s">
        <v>113</v>
      </c>
      <c r="I3491" t="s">
        <v>112</v>
      </c>
      <c r="J3491" t="s">
        <v>114</v>
      </c>
      <c r="K3491" t="s">
        <v>1734</v>
      </c>
      <c r="L3491" t="s">
        <v>1734</v>
      </c>
    </row>
    <row r="3492" spans="1:12" x14ac:dyDescent="0.3">
      <c r="A3492" t="s">
        <v>709</v>
      </c>
      <c r="B3492" t="s">
        <v>710</v>
      </c>
      <c r="C3492" t="s">
        <v>711</v>
      </c>
      <c r="D3492" t="s">
        <v>300</v>
      </c>
      <c r="E3492" t="s">
        <v>567</v>
      </c>
      <c r="F3492" t="s">
        <v>181</v>
      </c>
      <c r="G3492" t="s">
        <v>111</v>
      </c>
      <c r="H3492" t="s">
        <v>113</v>
      </c>
      <c r="I3492" t="s">
        <v>112</v>
      </c>
      <c r="J3492" t="s">
        <v>114</v>
      </c>
      <c r="K3492" t="s">
        <v>1731</v>
      </c>
      <c r="L3492" t="s">
        <v>1731</v>
      </c>
    </row>
    <row r="3493" spans="1:12" x14ac:dyDescent="0.3">
      <c r="A3493" t="s">
        <v>709</v>
      </c>
      <c r="B3493" t="s">
        <v>710</v>
      </c>
      <c r="C3493" t="s">
        <v>711</v>
      </c>
      <c r="D3493" t="s">
        <v>208</v>
      </c>
      <c r="E3493" t="s">
        <v>567</v>
      </c>
      <c r="F3493" t="s">
        <v>161</v>
      </c>
      <c r="G3493" t="s">
        <v>111</v>
      </c>
      <c r="H3493" t="s">
        <v>118</v>
      </c>
      <c r="I3493" t="s">
        <v>112</v>
      </c>
      <c r="J3493" t="s">
        <v>119</v>
      </c>
      <c r="K3493" t="s">
        <v>1731</v>
      </c>
      <c r="L3493" t="s">
        <v>1731</v>
      </c>
    </row>
    <row r="3494" spans="1:12" x14ac:dyDescent="0.3">
      <c r="A3494" t="s">
        <v>709</v>
      </c>
      <c r="B3494" t="s">
        <v>710</v>
      </c>
      <c r="C3494" t="s">
        <v>711</v>
      </c>
      <c r="D3494" t="s">
        <v>1581</v>
      </c>
      <c r="E3494" t="s">
        <v>569</v>
      </c>
      <c r="F3494" t="s">
        <v>115</v>
      </c>
      <c r="G3494" t="s">
        <v>111</v>
      </c>
      <c r="H3494" t="s">
        <v>160</v>
      </c>
      <c r="I3494" t="s">
        <v>112</v>
      </c>
      <c r="J3494" t="s">
        <v>114</v>
      </c>
      <c r="K3494" t="s">
        <v>1731</v>
      </c>
      <c r="L3494" t="s">
        <v>1731</v>
      </c>
    </row>
    <row r="3495" spans="1:12" x14ac:dyDescent="0.3">
      <c r="A3495" t="s">
        <v>709</v>
      </c>
      <c r="B3495" t="s">
        <v>710</v>
      </c>
      <c r="C3495" t="s">
        <v>711</v>
      </c>
      <c r="D3495" t="s">
        <v>1583</v>
      </c>
      <c r="E3495" t="s">
        <v>569</v>
      </c>
      <c r="F3495" t="s">
        <v>59</v>
      </c>
      <c r="G3495" t="s">
        <v>111</v>
      </c>
      <c r="H3495" t="s">
        <v>113</v>
      </c>
      <c r="I3495" t="s">
        <v>112</v>
      </c>
      <c r="J3495" t="s">
        <v>114</v>
      </c>
      <c r="K3495" t="s">
        <v>1744</v>
      </c>
      <c r="L3495" t="s">
        <v>1744</v>
      </c>
    </row>
    <row r="3496" spans="1:12" x14ac:dyDescent="0.3">
      <c r="A3496" t="s">
        <v>709</v>
      </c>
      <c r="B3496" t="s">
        <v>710</v>
      </c>
      <c r="C3496" t="s">
        <v>711</v>
      </c>
      <c r="D3496" t="s">
        <v>1584</v>
      </c>
      <c r="E3496" t="s">
        <v>569</v>
      </c>
      <c r="F3496" t="s">
        <v>117</v>
      </c>
      <c r="G3496" t="s">
        <v>111</v>
      </c>
      <c r="H3496" t="s">
        <v>113</v>
      </c>
      <c r="I3496" t="s">
        <v>112</v>
      </c>
      <c r="J3496" t="s">
        <v>114</v>
      </c>
      <c r="K3496" t="s">
        <v>1732</v>
      </c>
      <c r="L3496" t="s">
        <v>1732</v>
      </c>
    </row>
    <row r="3497" spans="1:12" x14ac:dyDescent="0.3">
      <c r="A3497" t="s">
        <v>709</v>
      </c>
      <c r="B3497" t="s">
        <v>710</v>
      </c>
      <c r="C3497" t="s">
        <v>711</v>
      </c>
      <c r="D3497" t="s">
        <v>1585</v>
      </c>
      <c r="E3497" t="s">
        <v>569</v>
      </c>
      <c r="F3497" t="s">
        <v>188</v>
      </c>
      <c r="G3497" t="s">
        <v>111</v>
      </c>
      <c r="H3497" t="s">
        <v>113</v>
      </c>
      <c r="I3497" t="s">
        <v>112</v>
      </c>
      <c r="J3497" t="s">
        <v>114</v>
      </c>
      <c r="K3497" t="s">
        <v>1731</v>
      </c>
      <c r="L3497" t="s">
        <v>1731</v>
      </c>
    </row>
    <row r="3498" spans="1:12" x14ac:dyDescent="0.3">
      <c r="A3498" t="s">
        <v>709</v>
      </c>
      <c r="B3498" t="s">
        <v>710</v>
      </c>
      <c r="C3498" t="s">
        <v>711</v>
      </c>
      <c r="D3498" t="s">
        <v>1587</v>
      </c>
      <c r="E3498" t="s">
        <v>569</v>
      </c>
      <c r="F3498" t="s">
        <v>164</v>
      </c>
      <c r="G3498" t="s">
        <v>111</v>
      </c>
      <c r="H3498" t="s">
        <v>160</v>
      </c>
      <c r="I3498" t="s">
        <v>112</v>
      </c>
      <c r="J3498" t="s">
        <v>114</v>
      </c>
      <c r="K3498" t="s">
        <v>1744</v>
      </c>
      <c r="L3498" t="s">
        <v>1744</v>
      </c>
    </row>
    <row r="3499" spans="1:12" x14ac:dyDescent="0.3">
      <c r="A3499" t="s">
        <v>709</v>
      </c>
      <c r="B3499" t="s">
        <v>710</v>
      </c>
      <c r="C3499" t="s">
        <v>711</v>
      </c>
      <c r="D3499" t="s">
        <v>1588</v>
      </c>
      <c r="E3499" t="s">
        <v>569</v>
      </c>
      <c r="F3499" t="s">
        <v>53</v>
      </c>
      <c r="G3499" t="s">
        <v>111</v>
      </c>
      <c r="H3499" t="s">
        <v>113</v>
      </c>
      <c r="I3499" t="s">
        <v>112</v>
      </c>
      <c r="J3499" t="s">
        <v>114</v>
      </c>
      <c r="K3499" t="s">
        <v>1732</v>
      </c>
      <c r="L3499" t="s">
        <v>1732</v>
      </c>
    </row>
    <row r="3500" spans="1:12" x14ac:dyDescent="0.3">
      <c r="A3500" t="s">
        <v>709</v>
      </c>
      <c r="B3500" t="s">
        <v>710</v>
      </c>
      <c r="C3500" t="s">
        <v>711</v>
      </c>
      <c r="D3500" t="s">
        <v>1704</v>
      </c>
      <c r="E3500" t="s">
        <v>569</v>
      </c>
      <c r="F3500" t="s">
        <v>121</v>
      </c>
      <c r="G3500" t="s">
        <v>111</v>
      </c>
      <c r="H3500" t="s">
        <v>160</v>
      </c>
      <c r="I3500" t="s">
        <v>112</v>
      </c>
      <c r="J3500" t="s">
        <v>114</v>
      </c>
      <c r="K3500" t="s">
        <v>1744</v>
      </c>
      <c r="L3500" t="s">
        <v>1744</v>
      </c>
    </row>
    <row r="3501" spans="1:12" x14ac:dyDescent="0.3">
      <c r="A3501" t="s">
        <v>709</v>
      </c>
      <c r="B3501" t="s">
        <v>710</v>
      </c>
      <c r="C3501" t="s">
        <v>711</v>
      </c>
      <c r="D3501" t="s">
        <v>1590</v>
      </c>
      <c r="E3501" t="s">
        <v>569</v>
      </c>
      <c r="F3501" t="s">
        <v>122</v>
      </c>
      <c r="G3501" t="s">
        <v>111</v>
      </c>
      <c r="H3501" t="s">
        <v>113</v>
      </c>
      <c r="I3501" t="s">
        <v>112</v>
      </c>
      <c r="J3501" t="s">
        <v>114</v>
      </c>
      <c r="K3501" t="s">
        <v>1744</v>
      </c>
      <c r="L3501" t="s">
        <v>1744</v>
      </c>
    </row>
    <row r="3502" spans="1:12" x14ac:dyDescent="0.3">
      <c r="A3502" t="s">
        <v>709</v>
      </c>
      <c r="B3502" t="s">
        <v>710</v>
      </c>
      <c r="C3502" t="s">
        <v>711</v>
      </c>
      <c r="D3502" t="s">
        <v>1591</v>
      </c>
      <c r="E3502" t="s">
        <v>569</v>
      </c>
      <c r="F3502" t="s">
        <v>165</v>
      </c>
      <c r="G3502" t="s">
        <v>111</v>
      </c>
      <c r="H3502" t="s">
        <v>113</v>
      </c>
      <c r="I3502" t="s">
        <v>112</v>
      </c>
      <c r="J3502" t="s">
        <v>114</v>
      </c>
      <c r="K3502" t="s">
        <v>1731</v>
      </c>
      <c r="L3502" t="s">
        <v>1731</v>
      </c>
    </row>
    <row r="3503" spans="1:12" x14ac:dyDescent="0.3">
      <c r="A3503" t="s">
        <v>709</v>
      </c>
      <c r="B3503" t="s">
        <v>710</v>
      </c>
      <c r="C3503" t="s">
        <v>711</v>
      </c>
      <c r="D3503" t="s">
        <v>1705</v>
      </c>
      <c r="E3503" t="s">
        <v>569</v>
      </c>
      <c r="F3503" t="s">
        <v>166</v>
      </c>
      <c r="G3503" t="s">
        <v>111</v>
      </c>
      <c r="H3503" t="s">
        <v>113</v>
      </c>
      <c r="I3503" t="s">
        <v>112</v>
      </c>
      <c r="J3503" t="s">
        <v>114</v>
      </c>
      <c r="K3503" t="s">
        <v>1735</v>
      </c>
      <c r="L3503" t="s">
        <v>1735</v>
      </c>
    </row>
    <row r="3504" spans="1:12" x14ac:dyDescent="0.3">
      <c r="A3504" t="s">
        <v>709</v>
      </c>
      <c r="B3504" t="s">
        <v>710</v>
      </c>
      <c r="C3504" t="s">
        <v>711</v>
      </c>
      <c r="D3504" t="s">
        <v>1706</v>
      </c>
      <c r="E3504" t="s">
        <v>569</v>
      </c>
      <c r="F3504" t="s">
        <v>123</v>
      </c>
      <c r="G3504" t="s">
        <v>111</v>
      </c>
      <c r="H3504" t="s">
        <v>113</v>
      </c>
      <c r="I3504" t="s">
        <v>112</v>
      </c>
      <c r="J3504" t="s">
        <v>114</v>
      </c>
      <c r="K3504" t="s">
        <v>1731</v>
      </c>
      <c r="L3504" t="s">
        <v>1731</v>
      </c>
    </row>
    <row r="3505" spans="1:12" x14ac:dyDescent="0.3">
      <c r="A3505" t="s">
        <v>709</v>
      </c>
      <c r="B3505" t="s">
        <v>710</v>
      </c>
      <c r="C3505" t="s">
        <v>711</v>
      </c>
      <c r="D3505" t="s">
        <v>1707</v>
      </c>
      <c r="E3505" t="s">
        <v>569</v>
      </c>
      <c r="F3505" t="s">
        <v>189</v>
      </c>
      <c r="G3505" t="s">
        <v>111</v>
      </c>
      <c r="H3505" t="s">
        <v>118</v>
      </c>
      <c r="I3505" t="s">
        <v>112</v>
      </c>
      <c r="J3505" t="s">
        <v>119</v>
      </c>
      <c r="K3505" t="s">
        <v>1732</v>
      </c>
      <c r="L3505" t="s">
        <v>1732</v>
      </c>
    </row>
    <row r="3506" spans="1:12" x14ac:dyDescent="0.3">
      <c r="A3506" t="s">
        <v>709</v>
      </c>
      <c r="B3506" t="s">
        <v>710</v>
      </c>
      <c r="C3506" t="s">
        <v>711</v>
      </c>
      <c r="D3506" t="s">
        <v>1592</v>
      </c>
      <c r="E3506" t="s">
        <v>569</v>
      </c>
      <c r="F3506" t="s">
        <v>54</v>
      </c>
      <c r="G3506" t="s">
        <v>111</v>
      </c>
      <c r="H3506" t="s">
        <v>113</v>
      </c>
      <c r="I3506" t="s">
        <v>112</v>
      </c>
      <c r="J3506" t="s">
        <v>114</v>
      </c>
      <c r="K3506" t="s">
        <v>1731</v>
      </c>
      <c r="L3506" t="s">
        <v>1731</v>
      </c>
    </row>
    <row r="3507" spans="1:12" x14ac:dyDescent="0.3">
      <c r="A3507" t="s">
        <v>709</v>
      </c>
      <c r="B3507" t="s">
        <v>710</v>
      </c>
      <c r="C3507" t="s">
        <v>711</v>
      </c>
      <c r="D3507" t="s">
        <v>1593</v>
      </c>
      <c r="E3507" t="s">
        <v>569</v>
      </c>
      <c r="F3507" t="s">
        <v>45</v>
      </c>
      <c r="G3507" t="s">
        <v>111</v>
      </c>
      <c r="H3507" t="s">
        <v>160</v>
      </c>
      <c r="I3507" t="s">
        <v>112</v>
      </c>
      <c r="J3507" t="s">
        <v>114</v>
      </c>
      <c r="K3507" t="s">
        <v>1734</v>
      </c>
      <c r="L3507" t="s">
        <v>1734</v>
      </c>
    </row>
    <row r="3508" spans="1:12" x14ac:dyDescent="0.3">
      <c r="A3508" t="s">
        <v>709</v>
      </c>
      <c r="B3508" t="s">
        <v>710</v>
      </c>
      <c r="C3508" t="s">
        <v>711</v>
      </c>
      <c r="D3508" t="s">
        <v>1597</v>
      </c>
      <c r="E3508" t="s">
        <v>569</v>
      </c>
      <c r="F3508" t="s">
        <v>124</v>
      </c>
      <c r="G3508" t="s">
        <v>111</v>
      </c>
      <c r="H3508" t="s">
        <v>160</v>
      </c>
      <c r="I3508" t="s">
        <v>112</v>
      </c>
      <c r="J3508" t="s">
        <v>114</v>
      </c>
      <c r="K3508" t="s">
        <v>1744</v>
      </c>
      <c r="L3508" t="s">
        <v>1744</v>
      </c>
    </row>
    <row r="3509" spans="1:12" x14ac:dyDescent="0.3">
      <c r="A3509" t="s">
        <v>709</v>
      </c>
      <c r="B3509" t="s">
        <v>710</v>
      </c>
      <c r="C3509" t="s">
        <v>711</v>
      </c>
      <c r="D3509" t="s">
        <v>1598</v>
      </c>
      <c r="E3509" t="s">
        <v>569</v>
      </c>
      <c r="F3509" t="s">
        <v>58</v>
      </c>
      <c r="G3509" t="s">
        <v>111</v>
      </c>
      <c r="H3509" t="s">
        <v>160</v>
      </c>
      <c r="I3509" t="s">
        <v>112</v>
      </c>
      <c r="J3509" t="s">
        <v>114</v>
      </c>
      <c r="K3509" t="s">
        <v>1744</v>
      </c>
      <c r="L3509" t="s">
        <v>1744</v>
      </c>
    </row>
    <row r="3510" spans="1:12" x14ac:dyDescent="0.3">
      <c r="A3510" t="s">
        <v>709</v>
      </c>
      <c r="B3510" t="s">
        <v>710</v>
      </c>
      <c r="C3510" t="s">
        <v>711</v>
      </c>
      <c r="D3510" t="s">
        <v>1708</v>
      </c>
      <c r="E3510" t="s">
        <v>569</v>
      </c>
      <c r="F3510" t="s">
        <v>65</v>
      </c>
      <c r="G3510" t="s">
        <v>111</v>
      </c>
      <c r="H3510" t="s">
        <v>160</v>
      </c>
      <c r="I3510" t="s">
        <v>112</v>
      </c>
      <c r="J3510" t="s">
        <v>114</v>
      </c>
      <c r="K3510" t="s">
        <v>1731</v>
      </c>
      <c r="L3510" t="s">
        <v>1731</v>
      </c>
    </row>
    <row r="3511" spans="1:12" x14ac:dyDescent="0.3">
      <c r="A3511" t="s">
        <v>709</v>
      </c>
      <c r="B3511" t="s">
        <v>710</v>
      </c>
      <c r="C3511" t="s">
        <v>711</v>
      </c>
      <c r="D3511" t="s">
        <v>1709</v>
      </c>
      <c r="E3511" t="s">
        <v>569</v>
      </c>
      <c r="F3511" t="s">
        <v>125</v>
      </c>
      <c r="G3511" t="s">
        <v>111</v>
      </c>
      <c r="H3511" t="s">
        <v>113</v>
      </c>
      <c r="I3511" t="s">
        <v>112</v>
      </c>
      <c r="J3511" t="s">
        <v>114</v>
      </c>
      <c r="K3511" t="s">
        <v>1731</v>
      </c>
      <c r="L3511" t="s">
        <v>1731</v>
      </c>
    </row>
    <row r="3512" spans="1:12" x14ac:dyDescent="0.3">
      <c r="A3512" t="s">
        <v>709</v>
      </c>
      <c r="B3512" t="s">
        <v>710</v>
      </c>
      <c r="C3512" t="s">
        <v>711</v>
      </c>
      <c r="D3512" t="s">
        <v>1710</v>
      </c>
      <c r="E3512" t="s">
        <v>569</v>
      </c>
      <c r="F3512" t="s">
        <v>80</v>
      </c>
      <c r="G3512" t="s">
        <v>111</v>
      </c>
      <c r="H3512" t="s">
        <v>113</v>
      </c>
      <c r="I3512" t="s">
        <v>112</v>
      </c>
      <c r="J3512" t="s">
        <v>114</v>
      </c>
      <c r="K3512" t="s">
        <v>1744</v>
      </c>
      <c r="L3512" t="s">
        <v>1744</v>
      </c>
    </row>
    <row r="3513" spans="1:12" x14ac:dyDescent="0.3">
      <c r="A3513" t="s">
        <v>709</v>
      </c>
      <c r="B3513" t="s">
        <v>710</v>
      </c>
      <c r="C3513" t="s">
        <v>711</v>
      </c>
      <c r="D3513" t="s">
        <v>1602</v>
      </c>
      <c r="E3513" t="s">
        <v>569</v>
      </c>
      <c r="F3513" t="s">
        <v>167</v>
      </c>
      <c r="G3513" t="s">
        <v>111</v>
      </c>
      <c r="H3513" t="s">
        <v>160</v>
      </c>
      <c r="I3513" t="s">
        <v>112</v>
      </c>
      <c r="J3513" t="s">
        <v>114</v>
      </c>
      <c r="K3513" t="s">
        <v>1734</v>
      </c>
      <c r="L3513" t="s">
        <v>1734</v>
      </c>
    </row>
    <row r="3514" spans="1:12" x14ac:dyDescent="0.3">
      <c r="A3514" t="s">
        <v>709</v>
      </c>
      <c r="B3514" t="s">
        <v>710</v>
      </c>
      <c r="C3514" t="s">
        <v>711</v>
      </c>
      <c r="D3514" t="s">
        <v>1606</v>
      </c>
      <c r="E3514" t="s">
        <v>569</v>
      </c>
      <c r="F3514" t="s">
        <v>168</v>
      </c>
      <c r="G3514" t="s">
        <v>111</v>
      </c>
      <c r="H3514" t="s">
        <v>160</v>
      </c>
      <c r="I3514" t="s">
        <v>112</v>
      </c>
      <c r="J3514" t="s">
        <v>114</v>
      </c>
      <c r="K3514" t="s">
        <v>1744</v>
      </c>
      <c r="L3514" t="s">
        <v>1744</v>
      </c>
    </row>
    <row r="3515" spans="1:12" x14ac:dyDescent="0.3">
      <c r="A3515" t="s">
        <v>709</v>
      </c>
      <c r="B3515" t="s">
        <v>710</v>
      </c>
      <c r="C3515" t="s">
        <v>711</v>
      </c>
      <c r="D3515" t="s">
        <v>1607</v>
      </c>
      <c r="E3515" t="s">
        <v>569</v>
      </c>
      <c r="F3515" t="s">
        <v>89</v>
      </c>
      <c r="G3515" t="s">
        <v>111</v>
      </c>
      <c r="H3515" t="s">
        <v>160</v>
      </c>
      <c r="I3515" t="s">
        <v>112</v>
      </c>
      <c r="J3515" t="s">
        <v>114</v>
      </c>
      <c r="K3515" t="s">
        <v>1732</v>
      </c>
      <c r="L3515" t="s">
        <v>1732</v>
      </c>
    </row>
    <row r="3516" spans="1:12" x14ac:dyDescent="0.3">
      <c r="A3516" t="s">
        <v>709</v>
      </c>
      <c r="B3516" t="s">
        <v>710</v>
      </c>
      <c r="C3516" t="s">
        <v>711</v>
      </c>
      <c r="D3516" t="s">
        <v>1611</v>
      </c>
      <c r="E3516" t="s">
        <v>569</v>
      </c>
      <c r="F3516" t="s">
        <v>169</v>
      </c>
      <c r="G3516" t="s">
        <v>111</v>
      </c>
      <c r="H3516" t="s">
        <v>204</v>
      </c>
      <c r="I3516" t="s">
        <v>112</v>
      </c>
      <c r="J3516" t="s">
        <v>205</v>
      </c>
      <c r="K3516" t="s">
        <v>1734</v>
      </c>
      <c r="L3516" t="s">
        <v>1734</v>
      </c>
    </row>
    <row r="3517" spans="1:12" x14ac:dyDescent="0.3">
      <c r="A3517" t="s">
        <v>709</v>
      </c>
      <c r="B3517" t="s">
        <v>710</v>
      </c>
      <c r="C3517" t="s">
        <v>711</v>
      </c>
      <c r="D3517" t="s">
        <v>1612</v>
      </c>
      <c r="E3517" t="s">
        <v>569</v>
      </c>
      <c r="F3517" t="s">
        <v>110</v>
      </c>
      <c r="G3517" t="s">
        <v>111</v>
      </c>
      <c r="H3517" t="s">
        <v>160</v>
      </c>
      <c r="I3517" t="s">
        <v>112</v>
      </c>
      <c r="J3517" t="s">
        <v>114</v>
      </c>
      <c r="K3517" t="s">
        <v>1744</v>
      </c>
      <c r="L3517" t="s">
        <v>1744</v>
      </c>
    </row>
    <row r="3518" spans="1:12" x14ac:dyDescent="0.3">
      <c r="A3518" t="s">
        <v>709</v>
      </c>
      <c r="B3518" t="s">
        <v>710</v>
      </c>
      <c r="C3518" t="s">
        <v>711</v>
      </c>
      <c r="D3518" t="s">
        <v>1613</v>
      </c>
      <c r="E3518" t="s">
        <v>569</v>
      </c>
      <c r="F3518" t="s">
        <v>93</v>
      </c>
      <c r="G3518" t="s">
        <v>111</v>
      </c>
      <c r="H3518" t="s">
        <v>147</v>
      </c>
      <c r="I3518" t="s">
        <v>112</v>
      </c>
      <c r="J3518" t="s">
        <v>119</v>
      </c>
      <c r="K3518" t="s">
        <v>1731</v>
      </c>
      <c r="L3518" t="s">
        <v>1731</v>
      </c>
    </row>
    <row r="3519" spans="1:12" x14ac:dyDescent="0.3">
      <c r="A3519" t="s">
        <v>709</v>
      </c>
      <c r="B3519" t="s">
        <v>710</v>
      </c>
      <c r="C3519" t="s">
        <v>711</v>
      </c>
      <c r="D3519" t="s">
        <v>1614</v>
      </c>
      <c r="E3519" t="s">
        <v>569</v>
      </c>
      <c r="F3519" t="s">
        <v>129</v>
      </c>
      <c r="G3519" t="s">
        <v>111</v>
      </c>
      <c r="H3519" t="s">
        <v>160</v>
      </c>
      <c r="I3519" t="s">
        <v>112</v>
      </c>
      <c r="J3519" t="s">
        <v>114</v>
      </c>
      <c r="K3519" t="s">
        <v>1734</v>
      </c>
      <c r="L3519" t="s">
        <v>1734</v>
      </c>
    </row>
    <row r="3520" spans="1:12" x14ac:dyDescent="0.3">
      <c r="A3520" t="s">
        <v>709</v>
      </c>
      <c r="B3520" t="s">
        <v>710</v>
      </c>
      <c r="C3520" t="s">
        <v>711</v>
      </c>
      <c r="D3520" t="s">
        <v>1711</v>
      </c>
      <c r="E3520" t="s">
        <v>569</v>
      </c>
      <c r="F3520" t="s">
        <v>85</v>
      </c>
      <c r="G3520" t="s">
        <v>111</v>
      </c>
      <c r="H3520" t="s">
        <v>113</v>
      </c>
      <c r="I3520" t="s">
        <v>112</v>
      </c>
      <c r="J3520" t="s">
        <v>114</v>
      </c>
      <c r="K3520" t="s">
        <v>1734</v>
      </c>
      <c r="L3520" t="s">
        <v>1734</v>
      </c>
    </row>
    <row r="3521" spans="1:12" x14ac:dyDescent="0.3">
      <c r="A3521" t="s">
        <v>709</v>
      </c>
      <c r="B3521" t="s">
        <v>710</v>
      </c>
      <c r="C3521" t="s">
        <v>711</v>
      </c>
      <c r="D3521" t="s">
        <v>1712</v>
      </c>
      <c r="E3521" t="s">
        <v>569</v>
      </c>
      <c r="F3521" t="s">
        <v>61</v>
      </c>
      <c r="G3521" t="s">
        <v>111</v>
      </c>
      <c r="H3521" t="s">
        <v>160</v>
      </c>
      <c r="I3521" t="s">
        <v>112</v>
      </c>
      <c r="J3521" t="s">
        <v>114</v>
      </c>
      <c r="K3521" t="s">
        <v>1734</v>
      </c>
      <c r="L3521" t="s">
        <v>1734</v>
      </c>
    </row>
    <row r="3522" spans="1:12" x14ac:dyDescent="0.3">
      <c r="A3522" t="s">
        <v>709</v>
      </c>
      <c r="B3522" t="s">
        <v>710</v>
      </c>
      <c r="C3522" t="s">
        <v>711</v>
      </c>
      <c r="D3522" t="s">
        <v>1615</v>
      </c>
      <c r="E3522" t="s">
        <v>569</v>
      </c>
      <c r="F3522" t="s">
        <v>87</v>
      </c>
      <c r="G3522" t="s">
        <v>111</v>
      </c>
      <c r="H3522" t="s">
        <v>113</v>
      </c>
      <c r="I3522" t="s">
        <v>112</v>
      </c>
      <c r="J3522" t="s">
        <v>114</v>
      </c>
      <c r="K3522" t="s">
        <v>1738</v>
      </c>
      <c r="L3522" t="s">
        <v>1738</v>
      </c>
    </row>
    <row r="3523" spans="1:12" x14ac:dyDescent="0.3">
      <c r="A3523" t="s">
        <v>709</v>
      </c>
      <c r="B3523" t="s">
        <v>710</v>
      </c>
      <c r="C3523" t="s">
        <v>711</v>
      </c>
      <c r="D3523" t="s">
        <v>1616</v>
      </c>
      <c r="E3523" t="s">
        <v>569</v>
      </c>
      <c r="F3523" t="s">
        <v>130</v>
      </c>
      <c r="G3523" t="s">
        <v>111</v>
      </c>
      <c r="H3523" t="s">
        <v>113</v>
      </c>
      <c r="I3523" t="s">
        <v>112</v>
      </c>
      <c r="J3523" t="s">
        <v>114</v>
      </c>
      <c r="K3523" t="s">
        <v>1732</v>
      </c>
      <c r="L3523" t="s">
        <v>1732</v>
      </c>
    </row>
    <row r="3524" spans="1:12" x14ac:dyDescent="0.3">
      <c r="A3524" t="s">
        <v>709</v>
      </c>
      <c r="B3524" t="s">
        <v>710</v>
      </c>
      <c r="C3524" t="s">
        <v>711</v>
      </c>
      <c r="D3524" t="s">
        <v>1617</v>
      </c>
      <c r="E3524" t="s">
        <v>569</v>
      </c>
      <c r="F3524" t="s">
        <v>131</v>
      </c>
      <c r="G3524" t="s">
        <v>111</v>
      </c>
      <c r="H3524" t="s">
        <v>113</v>
      </c>
      <c r="I3524" t="s">
        <v>112</v>
      </c>
      <c r="J3524" t="s">
        <v>114</v>
      </c>
      <c r="K3524" t="s">
        <v>1734</v>
      </c>
      <c r="L3524" t="s">
        <v>1734</v>
      </c>
    </row>
    <row r="3525" spans="1:12" x14ac:dyDescent="0.3">
      <c r="A3525" t="s">
        <v>709</v>
      </c>
      <c r="B3525" t="s">
        <v>710</v>
      </c>
      <c r="C3525" t="s">
        <v>711</v>
      </c>
      <c r="D3525" t="s">
        <v>1618</v>
      </c>
      <c r="E3525" t="s">
        <v>569</v>
      </c>
      <c r="F3525" t="s">
        <v>50</v>
      </c>
      <c r="G3525" t="s">
        <v>111</v>
      </c>
      <c r="H3525" t="s">
        <v>113</v>
      </c>
      <c r="I3525" t="s">
        <v>112</v>
      </c>
      <c r="J3525" t="s">
        <v>114</v>
      </c>
      <c r="K3525" t="s">
        <v>1734</v>
      </c>
      <c r="L3525" t="s">
        <v>1734</v>
      </c>
    </row>
    <row r="3526" spans="1:12" x14ac:dyDescent="0.3">
      <c r="A3526" t="s">
        <v>709</v>
      </c>
      <c r="B3526" t="s">
        <v>710</v>
      </c>
      <c r="C3526" t="s">
        <v>711</v>
      </c>
      <c r="D3526" t="s">
        <v>1621</v>
      </c>
      <c r="E3526" t="s">
        <v>568</v>
      </c>
      <c r="F3526" t="s">
        <v>51</v>
      </c>
      <c r="G3526" t="s">
        <v>111</v>
      </c>
      <c r="H3526" t="s">
        <v>113</v>
      </c>
      <c r="I3526" t="s">
        <v>112</v>
      </c>
      <c r="J3526" t="s">
        <v>114</v>
      </c>
      <c r="K3526" t="s">
        <v>1731</v>
      </c>
      <c r="L3526" t="s">
        <v>1731</v>
      </c>
    </row>
    <row r="3527" spans="1:12" x14ac:dyDescent="0.3">
      <c r="A3527" t="s">
        <v>709</v>
      </c>
      <c r="B3527" t="s">
        <v>710</v>
      </c>
      <c r="C3527" t="s">
        <v>711</v>
      </c>
      <c r="D3527" t="s">
        <v>1630</v>
      </c>
      <c r="E3527" t="s">
        <v>568</v>
      </c>
      <c r="F3527" t="s">
        <v>48</v>
      </c>
      <c r="G3527" t="s">
        <v>111</v>
      </c>
      <c r="H3527" t="s">
        <v>118</v>
      </c>
      <c r="I3527" t="s">
        <v>112</v>
      </c>
      <c r="J3527" t="s">
        <v>119</v>
      </c>
      <c r="K3527" t="s">
        <v>1731</v>
      </c>
      <c r="L3527" t="s">
        <v>1731</v>
      </c>
    </row>
    <row r="3528" spans="1:12" x14ac:dyDescent="0.3">
      <c r="A3528" t="s">
        <v>709</v>
      </c>
      <c r="B3528" t="s">
        <v>710</v>
      </c>
      <c r="C3528" t="s">
        <v>711</v>
      </c>
      <c r="D3528" t="s">
        <v>1721</v>
      </c>
      <c r="E3528" t="s">
        <v>567</v>
      </c>
      <c r="F3528" t="s">
        <v>76</v>
      </c>
      <c r="G3528" t="s">
        <v>111</v>
      </c>
      <c r="H3528" t="s">
        <v>160</v>
      </c>
      <c r="I3528" t="s">
        <v>112</v>
      </c>
      <c r="J3528" t="s">
        <v>114</v>
      </c>
      <c r="K3528" t="s">
        <v>1731</v>
      </c>
      <c r="L3528" t="s">
        <v>1731</v>
      </c>
    </row>
    <row r="3529" spans="1:12" x14ac:dyDescent="0.3">
      <c r="A3529" t="s">
        <v>709</v>
      </c>
      <c r="B3529" t="s">
        <v>710</v>
      </c>
      <c r="C3529" t="s">
        <v>711</v>
      </c>
      <c r="D3529" t="s">
        <v>1722</v>
      </c>
      <c r="E3529" t="s">
        <v>567</v>
      </c>
      <c r="F3529" t="s">
        <v>52</v>
      </c>
      <c r="G3529" t="s">
        <v>111</v>
      </c>
      <c r="H3529" t="s">
        <v>113</v>
      </c>
      <c r="I3529" t="s">
        <v>112</v>
      </c>
      <c r="J3529" t="s">
        <v>114</v>
      </c>
      <c r="K3529" t="s">
        <v>1733</v>
      </c>
      <c r="L3529" t="s">
        <v>1733</v>
      </c>
    </row>
    <row r="3530" spans="1:12" x14ac:dyDescent="0.3">
      <c r="A3530" t="s">
        <v>709</v>
      </c>
      <c r="B3530" t="s">
        <v>710</v>
      </c>
      <c r="C3530" t="s">
        <v>711</v>
      </c>
      <c r="D3530" t="s">
        <v>1652</v>
      </c>
      <c r="E3530" t="s">
        <v>567</v>
      </c>
      <c r="F3530" t="s">
        <v>104</v>
      </c>
      <c r="G3530" t="s">
        <v>111</v>
      </c>
      <c r="H3530" t="s">
        <v>113</v>
      </c>
      <c r="I3530" t="s">
        <v>112</v>
      </c>
      <c r="J3530" t="s">
        <v>114</v>
      </c>
      <c r="K3530" t="s">
        <v>1734</v>
      </c>
      <c r="L3530" t="s">
        <v>1734</v>
      </c>
    </row>
    <row r="3531" spans="1:12" x14ac:dyDescent="0.3">
      <c r="A3531" t="s">
        <v>709</v>
      </c>
      <c r="B3531" t="s">
        <v>710</v>
      </c>
      <c r="C3531" t="s">
        <v>711</v>
      </c>
      <c r="D3531" t="s">
        <v>1654</v>
      </c>
      <c r="E3531" t="s">
        <v>567</v>
      </c>
      <c r="F3531" t="s">
        <v>146</v>
      </c>
      <c r="G3531" t="s">
        <v>111</v>
      </c>
      <c r="H3531" t="s">
        <v>160</v>
      </c>
      <c r="I3531" t="s">
        <v>112</v>
      </c>
      <c r="J3531" t="s">
        <v>114</v>
      </c>
      <c r="K3531" t="s">
        <v>1731</v>
      </c>
      <c r="L3531" t="s">
        <v>1731</v>
      </c>
    </row>
    <row r="3532" spans="1:12" x14ac:dyDescent="0.3">
      <c r="A3532" t="s">
        <v>709</v>
      </c>
      <c r="B3532" t="s">
        <v>710</v>
      </c>
      <c r="C3532" t="s">
        <v>711</v>
      </c>
      <c r="D3532" t="s">
        <v>1655</v>
      </c>
      <c r="E3532" t="s">
        <v>567</v>
      </c>
      <c r="F3532" t="s">
        <v>148</v>
      </c>
      <c r="G3532" t="s">
        <v>111</v>
      </c>
      <c r="H3532" t="s">
        <v>113</v>
      </c>
      <c r="I3532" t="s">
        <v>112</v>
      </c>
      <c r="J3532" t="s">
        <v>114</v>
      </c>
      <c r="K3532" t="s">
        <v>1731</v>
      </c>
      <c r="L3532" t="s">
        <v>1731</v>
      </c>
    </row>
    <row r="3533" spans="1:12" x14ac:dyDescent="0.3">
      <c r="A3533" t="s">
        <v>709</v>
      </c>
      <c r="B3533" t="s">
        <v>710</v>
      </c>
      <c r="C3533" t="s">
        <v>711</v>
      </c>
      <c r="D3533" t="s">
        <v>1657</v>
      </c>
      <c r="E3533" t="s">
        <v>567</v>
      </c>
      <c r="F3533" t="s">
        <v>83</v>
      </c>
      <c r="G3533" t="s">
        <v>111</v>
      </c>
      <c r="H3533" t="s">
        <v>113</v>
      </c>
      <c r="I3533" t="s">
        <v>112</v>
      </c>
      <c r="J3533" t="s">
        <v>114</v>
      </c>
      <c r="K3533" t="s">
        <v>1731</v>
      </c>
      <c r="L3533" t="s">
        <v>1731</v>
      </c>
    </row>
    <row r="3534" spans="1:12" x14ac:dyDescent="0.3">
      <c r="A3534" t="s">
        <v>709</v>
      </c>
      <c r="B3534" t="s">
        <v>710</v>
      </c>
      <c r="C3534" t="s">
        <v>711</v>
      </c>
      <c r="D3534" t="s">
        <v>1658</v>
      </c>
      <c r="E3534" t="s">
        <v>567</v>
      </c>
      <c r="F3534" t="s">
        <v>203</v>
      </c>
      <c r="G3534" t="s">
        <v>111</v>
      </c>
      <c r="H3534" t="s">
        <v>113</v>
      </c>
      <c r="I3534" t="s">
        <v>112</v>
      </c>
      <c r="J3534" t="s">
        <v>114</v>
      </c>
      <c r="K3534" t="s">
        <v>1733</v>
      </c>
      <c r="L3534" t="s">
        <v>1733</v>
      </c>
    </row>
    <row r="3535" spans="1:12" x14ac:dyDescent="0.3">
      <c r="A3535" t="s">
        <v>709</v>
      </c>
      <c r="B3535" t="s">
        <v>710</v>
      </c>
      <c r="C3535" t="s">
        <v>711</v>
      </c>
      <c r="D3535" t="s">
        <v>1723</v>
      </c>
      <c r="E3535" t="s">
        <v>567</v>
      </c>
      <c r="F3535" t="s">
        <v>71</v>
      </c>
      <c r="G3535" t="s">
        <v>111</v>
      </c>
      <c r="H3535" t="s">
        <v>113</v>
      </c>
      <c r="I3535" t="s">
        <v>112</v>
      </c>
      <c r="J3535" t="s">
        <v>114</v>
      </c>
      <c r="K3535" t="s">
        <v>1737</v>
      </c>
      <c r="L3535" t="s">
        <v>1737</v>
      </c>
    </row>
    <row r="3536" spans="1:12" x14ac:dyDescent="0.3">
      <c r="A3536" t="s">
        <v>709</v>
      </c>
      <c r="B3536" t="s">
        <v>710</v>
      </c>
      <c r="C3536" t="s">
        <v>711</v>
      </c>
      <c r="D3536" t="s">
        <v>1724</v>
      </c>
      <c r="E3536" t="s">
        <v>567</v>
      </c>
      <c r="F3536" t="s">
        <v>90</v>
      </c>
      <c r="G3536" t="s">
        <v>111</v>
      </c>
      <c r="H3536" t="s">
        <v>160</v>
      </c>
      <c r="I3536" t="s">
        <v>112</v>
      </c>
      <c r="J3536" t="s">
        <v>114</v>
      </c>
      <c r="K3536" t="s">
        <v>1731</v>
      </c>
      <c r="L3536" t="s">
        <v>1731</v>
      </c>
    </row>
    <row r="3537" spans="1:12" x14ac:dyDescent="0.3">
      <c r="A3537" t="s">
        <v>709</v>
      </c>
      <c r="B3537" t="s">
        <v>710</v>
      </c>
      <c r="C3537" t="s">
        <v>711</v>
      </c>
      <c r="D3537" t="s">
        <v>1660</v>
      </c>
      <c r="E3537" t="s">
        <v>567</v>
      </c>
      <c r="F3537" t="s">
        <v>92</v>
      </c>
      <c r="G3537" t="s">
        <v>111</v>
      </c>
      <c r="H3537" t="s">
        <v>113</v>
      </c>
      <c r="I3537" t="s">
        <v>112</v>
      </c>
      <c r="J3537" t="s">
        <v>114</v>
      </c>
      <c r="K3537" t="s">
        <v>1732</v>
      </c>
      <c r="L3537" t="s">
        <v>1732</v>
      </c>
    </row>
    <row r="3538" spans="1:12" x14ac:dyDescent="0.3">
      <c r="A3538" t="s">
        <v>709</v>
      </c>
      <c r="B3538" t="s">
        <v>710</v>
      </c>
      <c r="C3538" t="s">
        <v>711</v>
      </c>
      <c r="D3538" t="s">
        <v>1664</v>
      </c>
      <c r="E3538" t="s">
        <v>567</v>
      </c>
      <c r="F3538" t="s">
        <v>177</v>
      </c>
      <c r="G3538" t="s">
        <v>111</v>
      </c>
      <c r="H3538" t="s">
        <v>160</v>
      </c>
      <c r="I3538" t="s">
        <v>112</v>
      </c>
      <c r="J3538" t="s">
        <v>114</v>
      </c>
      <c r="K3538" t="s">
        <v>1743</v>
      </c>
      <c r="L3538" t="s">
        <v>1743</v>
      </c>
    </row>
    <row r="3539" spans="1:12" x14ac:dyDescent="0.3">
      <c r="A3539" t="s">
        <v>709</v>
      </c>
      <c r="B3539" t="s">
        <v>710</v>
      </c>
      <c r="C3539" t="s">
        <v>711</v>
      </c>
      <c r="D3539" t="s">
        <v>1665</v>
      </c>
      <c r="E3539" t="s">
        <v>567</v>
      </c>
      <c r="F3539" t="s">
        <v>91</v>
      </c>
      <c r="G3539" t="s">
        <v>111</v>
      </c>
      <c r="H3539" t="s">
        <v>113</v>
      </c>
      <c r="I3539" t="s">
        <v>112</v>
      </c>
      <c r="J3539" t="s">
        <v>114</v>
      </c>
      <c r="K3539" t="s">
        <v>1744</v>
      </c>
      <c r="L3539" t="s">
        <v>1744</v>
      </c>
    </row>
    <row r="3540" spans="1:12" x14ac:dyDescent="0.3">
      <c r="A3540" t="s">
        <v>709</v>
      </c>
      <c r="B3540" t="s">
        <v>710</v>
      </c>
      <c r="C3540" t="s">
        <v>711</v>
      </c>
      <c r="D3540" t="s">
        <v>1666</v>
      </c>
      <c r="E3540" t="s">
        <v>567</v>
      </c>
      <c r="F3540" t="s">
        <v>152</v>
      </c>
      <c r="G3540" t="s">
        <v>111</v>
      </c>
      <c r="H3540" t="s">
        <v>113</v>
      </c>
      <c r="I3540" t="s">
        <v>112</v>
      </c>
      <c r="J3540" t="s">
        <v>114</v>
      </c>
      <c r="K3540" t="s">
        <v>1744</v>
      </c>
      <c r="L3540" t="s">
        <v>1744</v>
      </c>
    </row>
    <row r="3541" spans="1:12" x14ac:dyDescent="0.3">
      <c r="A3541" t="s">
        <v>709</v>
      </c>
      <c r="B3541" t="s">
        <v>710</v>
      </c>
      <c r="C3541" t="s">
        <v>711</v>
      </c>
      <c r="D3541" t="s">
        <v>1668</v>
      </c>
      <c r="E3541" t="s">
        <v>567</v>
      </c>
      <c r="F3541" t="s">
        <v>67</v>
      </c>
      <c r="G3541" t="s">
        <v>111</v>
      </c>
      <c r="H3541" t="s">
        <v>113</v>
      </c>
      <c r="I3541" t="s">
        <v>112</v>
      </c>
      <c r="J3541" t="s">
        <v>114</v>
      </c>
      <c r="K3541" t="s">
        <v>1744</v>
      </c>
      <c r="L3541" t="s">
        <v>1744</v>
      </c>
    </row>
    <row r="3542" spans="1:12" x14ac:dyDescent="0.3">
      <c r="A3542" t="s">
        <v>709</v>
      </c>
      <c r="B3542" t="s">
        <v>710</v>
      </c>
      <c r="C3542" t="s">
        <v>711</v>
      </c>
      <c r="D3542" t="s">
        <v>1670</v>
      </c>
      <c r="E3542" t="s">
        <v>567</v>
      </c>
      <c r="F3542" t="s">
        <v>196</v>
      </c>
      <c r="G3542" t="s">
        <v>111</v>
      </c>
      <c r="H3542" t="s">
        <v>113</v>
      </c>
      <c r="I3542" t="s">
        <v>112</v>
      </c>
      <c r="J3542" t="s">
        <v>114</v>
      </c>
      <c r="K3542" t="s">
        <v>1744</v>
      </c>
      <c r="L3542" t="s">
        <v>1744</v>
      </c>
    </row>
    <row r="3543" spans="1:12" x14ac:dyDescent="0.3">
      <c r="A3543" t="s">
        <v>709</v>
      </c>
      <c r="B3543" t="s">
        <v>710</v>
      </c>
      <c r="C3543" t="s">
        <v>711</v>
      </c>
      <c r="D3543" t="s">
        <v>1725</v>
      </c>
      <c r="E3543" t="s">
        <v>567</v>
      </c>
      <c r="F3543" t="s">
        <v>178</v>
      </c>
      <c r="G3543" t="s">
        <v>111</v>
      </c>
      <c r="H3543" t="s">
        <v>160</v>
      </c>
      <c r="I3543" t="s">
        <v>112</v>
      </c>
      <c r="J3543" t="s">
        <v>114</v>
      </c>
      <c r="K3543" t="s">
        <v>1731</v>
      </c>
      <c r="L3543" t="s">
        <v>1731</v>
      </c>
    </row>
    <row r="3544" spans="1:12" x14ac:dyDescent="0.3">
      <c r="A3544" t="s">
        <v>709</v>
      </c>
      <c r="B3544" t="s">
        <v>710</v>
      </c>
      <c r="C3544" t="s">
        <v>711</v>
      </c>
      <c r="D3544" t="s">
        <v>1674</v>
      </c>
      <c r="E3544" t="s">
        <v>567</v>
      </c>
      <c r="F3544" t="s">
        <v>55</v>
      </c>
      <c r="G3544" t="s">
        <v>111</v>
      </c>
      <c r="H3544" t="s">
        <v>113</v>
      </c>
      <c r="I3544" t="s">
        <v>112</v>
      </c>
      <c r="J3544" t="s">
        <v>114</v>
      </c>
      <c r="K3544" t="s">
        <v>1734</v>
      </c>
      <c r="L3544" t="s">
        <v>1734</v>
      </c>
    </row>
    <row r="3545" spans="1:12" x14ac:dyDescent="0.3">
      <c r="A3545" t="s">
        <v>709</v>
      </c>
      <c r="B3545" t="s">
        <v>710</v>
      </c>
      <c r="C3545" t="s">
        <v>711</v>
      </c>
      <c r="D3545" t="s">
        <v>1677</v>
      </c>
      <c r="E3545" t="s">
        <v>567</v>
      </c>
      <c r="F3545" t="s">
        <v>156</v>
      </c>
      <c r="G3545" t="s">
        <v>111</v>
      </c>
      <c r="H3545" t="s">
        <v>113</v>
      </c>
      <c r="I3545" t="s">
        <v>112</v>
      </c>
      <c r="J3545" t="s">
        <v>114</v>
      </c>
      <c r="K3545" t="s">
        <v>1744</v>
      </c>
      <c r="L3545" t="s">
        <v>1744</v>
      </c>
    </row>
    <row r="3546" spans="1:12" x14ac:dyDescent="0.3">
      <c r="A3546" t="s">
        <v>709</v>
      </c>
      <c r="B3546" t="s">
        <v>710</v>
      </c>
      <c r="C3546" t="s">
        <v>711</v>
      </c>
      <c r="D3546" t="s">
        <v>1678</v>
      </c>
      <c r="E3546" t="s">
        <v>567</v>
      </c>
      <c r="F3546" t="s">
        <v>103</v>
      </c>
      <c r="G3546" t="s">
        <v>111</v>
      </c>
      <c r="H3546" t="s">
        <v>113</v>
      </c>
      <c r="I3546" t="s">
        <v>112</v>
      </c>
      <c r="J3546" t="s">
        <v>114</v>
      </c>
      <c r="K3546" t="s">
        <v>1731</v>
      </c>
      <c r="L3546" t="s">
        <v>1731</v>
      </c>
    </row>
    <row r="3547" spans="1:12" x14ac:dyDescent="0.3">
      <c r="A3547" t="s">
        <v>709</v>
      </c>
      <c r="B3547" t="s">
        <v>710</v>
      </c>
      <c r="C3547" t="s">
        <v>711</v>
      </c>
      <c r="D3547" t="s">
        <v>1680</v>
      </c>
      <c r="E3547" t="s">
        <v>567</v>
      </c>
      <c r="F3547" t="s">
        <v>180</v>
      </c>
      <c r="G3547" t="s">
        <v>111</v>
      </c>
      <c r="H3547" t="s">
        <v>113</v>
      </c>
      <c r="I3547" t="s">
        <v>112</v>
      </c>
      <c r="J3547" t="s">
        <v>114</v>
      </c>
      <c r="K3547" t="s">
        <v>1731</v>
      </c>
      <c r="L3547" t="s">
        <v>1731</v>
      </c>
    </row>
    <row r="3548" spans="1:12" x14ac:dyDescent="0.3">
      <c r="A3548" t="s">
        <v>709</v>
      </c>
      <c r="B3548" t="s">
        <v>710</v>
      </c>
      <c r="C3548" t="s">
        <v>711</v>
      </c>
      <c r="D3548" t="s">
        <v>1688</v>
      </c>
      <c r="E3548" t="s">
        <v>567</v>
      </c>
      <c r="F3548" t="s">
        <v>73</v>
      </c>
      <c r="G3548" t="s">
        <v>111</v>
      </c>
      <c r="H3548" t="s">
        <v>160</v>
      </c>
      <c r="I3548" t="s">
        <v>112</v>
      </c>
      <c r="J3548" t="s">
        <v>114</v>
      </c>
      <c r="K3548" t="s">
        <v>1744</v>
      </c>
      <c r="L3548" t="s">
        <v>1744</v>
      </c>
    </row>
    <row r="3549" spans="1:12" x14ac:dyDescent="0.3">
      <c r="A3549" t="s">
        <v>709</v>
      </c>
      <c r="B3549" t="s">
        <v>710</v>
      </c>
      <c r="C3549" t="s">
        <v>711</v>
      </c>
      <c r="D3549" t="s">
        <v>1689</v>
      </c>
      <c r="E3549" t="s">
        <v>567</v>
      </c>
      <c r="F3549" t="s">
        <v>162</v>
      </c>
      <c r="G3549" t="s">
        <v>111</v>
      </c>
      <c r="H3549" t="s">
        <v>113</v>
      </c>
      <c r="I3549" t="s">
        <v>112</v>
      </c>
      <c r="J3549" t="s">
        <v>114</v>
      </c>
      <c r="K3549" t="s">
        <v>1744</v>
      </c>
      <c r="L3549" t="s">
        <v>1744</v>
      </c>
    </row>
    <row r="3550" spans="1:12" x14ac:dyDescent="0.3">
      <c r="A3550" t="s">
        <v>709</v>
      </c>
      <c r="B3550" t="s">
        <v>1461</v>
      </c>
      <c r="C3550" t="s">
        <v>750</v>
      </c>
      <c r="D3550" t="s">
        <v>209</v>
      </c>
      <c r="E3550" t="s">
        <v>569</v>
      </c>
      <c r="F3550" t="s">
        <v>115</v>
      </c>
      <c r="G3550" t="s">
        <v>111</v>
      </c>
      <c r="H3550" t="s">
        <v>113</v>
      </c>
      <c r="I3550" t="s">
        <v>112</v>
      </c>
      <c r="J3550" t="s">
        <v>114</v>
      </c>
      <c r="K3550" t="s">
        <v>1745</v>
      </c>
      <c r="L3550" t="s">
        <v>1745</v>
      </c>
    </row>
    <row r="3551" spans="1:12" x14ac:dyDescent="0.3">
      <c r="A3551" t="s">
        <v>709</v>
      </c>
      <c r="B3551" t="s">
        <v>1461</v>
      </c>
      <c r="C3551" t="s">
        <v>750</v>
      </c>
      <c r="D3551" t="s">
        <v>304</v>
      </c>
      <c r="E3551" t="s">
        <v>569</v>
      </c>
      <c r="F3551" t="s">
        <v>117</v>
      </c>
      <c r="G3551" t="s">
        <v>111</v>
      </c>
      <c r="H3551" t="s">
        <v>113</v>
      </c>
      <c r="I3551" t="s">
        <v>112</v>
      </c>
      <c r="J3551" t="s">
        <v>114</v>
      </c>
      <c r="K3551" t="s">
        <v>1745</v>
      </c>
      <c r="L3551" t="s">
        <v>1745</v>
      </c>
    </row>
    <row r="3552" spans="1:12" x14ac:dyDescent="0.3">
      <c r="A3552" t="s">
        <v>709</v>
      </c>
      <c r="B3552" t="s">
        <v>1461</v>
      </c>
      <c r="C3552" t="s">
        <v>750</v>
      </c>
      <c r="D3552" t="s">
        <v>211</v>
      </c>
      <c r="E3552" t="s">
        <v>569</v>
      </c>
      <c r="F3552" t="s">
        <v>188</v>
      </c>
      <c r="G3552" t="s">
        <v>111</v>
      </c>
      <c r="H3552" t="s">
        <v>113</v>
      </c>
      <c r="I3552" t="s">
        <v>112</v>
      </c>
      <c r="J3552" t="s">
        <v>114</v>
      </c>
      <c r="K3552" t="s">
        <v>1745</v>
      </c>
      <c r="L3552" t="s">
        <v>1745</v>
      </c>
    </row>
    <row r="3553" spans="1:12" x14ac:dyDescent="0.3">
      <c r="A3553" t="s">
        <v>709</v>
      </c>
      <c r="B3553" t="s">
        <v>1461</v>
      </c>
      <c r="C3553" t="s">
        <v>750</v>
      </c>
      <c r="D3553" t="s">
        <v>305</v>
      </c>
      <c r="E3553" t="s">
        <v>569</v>
      </c>
      <c r="F3553" t="s">
        <v>120</v>
      </c>
      <c r="G3553" t="s">
        <v>111</v>
      </c>
      <c r="H3553" t="s">
        <v>113</v>
      </c>
      <c r="I3553" t="s">
        <v>112</v>
      </c>
      <c r="J3553" t="s">
        <v>114</v>
      </c>
      <c r="K3553" t="s">
        <v>1745</v>
      </c>
      <c r="L3553" t="s">
        <v>1745</v>
      </c>
    </row>
    <row r="3554" spans="1:12" x14ac:dyDescent="0.3">
      <c r="A3554" t="s">
        <v>709</v>
      </c>
      <c r="B3554" t="s">
        <v>1461</v>
      </c>
      <c r="C3554" t="s">
        <v>750</v>
      </c>
      <c r="D3554" t="s">
        <v>213</v>
      </c>
      <c r="E3554" t="s">
        <v>569</v>
      </c>
      <c r="F3554" t="s">
        <v>53</v>
      </c>
      <c r="G3554" t="s">
        <v>111</v>
      </c>
      <c r="H3554" t="s">
        <v>113</v>
      </c>
      <c r="I3554" t="s">
        <v>112</v>
      </c>
      <c r="J3554" t="s">
        <v>114</v>
      </c>
      <c r="K3554" t="s">
        <v>1745</v>
      </c>
      <c r="L3554" t="s">
        <v>1745</v>
      </c>
    </row>
    <row r="3555" spans="1:12" x14ac:dyDescent="0.3">
      <c r="A3555" t="s">
        <v>709</v>
      </c>
      <c r="B3555" t="s">
        <v>1461</v>
      </c>
      <c r="C3555" t="s">
        <v>750</v>
      </c>
      <c r="D3555" t="s">
        <v>214</v>
      </c>
      <c r="E3555" t="s">
        <v>569</v>
      </c>
      <c r="F3555" t="s">
        <v>56</v>
      </c>
      <c r="G3555" t="s">
        <v>111</v>
      </c>
      <c r="H3555" t="s">
        <v>113</v>
      </c>
      <c r="I3555" t="s">
        <v>112</v>
      </c>
      <c r="J3555" t="s">
        <v>114</v>
      </c>
      <c r="K3555" t="s">
        <v>1745</v>
      </c>
      <c r="L3555" t="s">
        <v>1745</v>
      </c>
    </row>
    <row r="3556" spans="1:12" x14ac:dyDescent="0.3">
      <c r="A3556" t="s">
        <v>709</v>
      </c>
      <c r="B3556" t="s">
        <v>1461</v>
      </c>
      <c r="C3556" t="s">
        <v>750</v>
      </c>
      <c r="D3556" t="s">
        <v>215</v>
      </c>
      <c r="E3556" t="s">
        <v>569</v>
      </c>
      <c r="F3556" t="s">
        <v>69</v>
      </c>
      <c r="G3556" t="s">
        <v>111</v>
      </c>
      <c r="H3556" t="s">
        <v>113</v>
      </c>
      <c r="I3556" t="s">
        <v>112</v>
      </c>
      <c r="J3556" t="s">
        <v>114</v>
      </c>
      <c r="K3556" t="s">
        <v>1745</v>
      </c>
      <c r="L3556" t="s">
        <v>1745</v>
      </c>
    </row>
    <row r="3557" spans="1:12" x14ac:dyDescent="0.3">
      <c r="A3557" t="s">
        <v>709</v>
      </c>
      <c r="B3557" t="s">
        <v>1461</v>
      </c>
      <c r="C3557" t="s">
        <v>750</v>
      </c>
      <c r="D3557" t="s">
        <v>306</v>
      </c>
      <c r="E3557" t="s">
        <v>569</v>
      </c>
      <c r="F3557" t="s">
        <v>165</v>
      </c>
      <c r="G3557" t="s">
        <v>111</v>
      </c>
      <c r="H3557" t="s">
        <v>113</v>
      </c>
      <c r="I3557" t="s">
        <v>112</v>
      </c>
      <c r="J3557" t="s">
        <v>114</v>
      </c>
      <c r="K3557" t="s">
        <v>1745</v>
      </c>
      <c r="L3557" t="s">
        <v>1745</v>
      </c>
    </row>
    <row r="3558" spans="1:12" x14ac:dyDescent="0.3">
      <c r="A3558" t="s">
        <v>709</v>
      </c>
      <c r="B3558" t="s">
        <v>1461</v>
      </c>
      <c r="C3558" t="s">
        <v>750</v>
      </c>
      <c r="D3558" t="s">
        <v>218</v>
      </c>
      <c r="E3558" t="s">
        <v>569</v>
      </c>
      <c r="F3558" t="s">
        <v>166</v>
      </c>
      <c r="G3558" t="s">
        <v>111</v>
      </c>
      <c r="H3558" t="s">
        <v>113</v>
      </c>
      <c r="I3558" t="s">
        <v>112</v>
      </c>
      <c r="J3558" t="s">
        <v>114</v>
      </c>
      <c r="K3558" t="s">
        <v>1745</v>
      </c>
      <c r="L3558" t="s">
        <v>1745</v>
      </c>
    </row>
    <row r="3559" spans="1:12" x14ac:dyDescent="0.3">
      <c r="A3559" t="s">
        <v>709</v>
      </c>
      <c r="B3559" t="s">
        <v>1461</v>
      </c>
      <c r="C3559" t="s">
        <v>750</v>
      </c>
      <c r="D3559" t="s">
        <v>307</v>
      </c>
      <c r="E3559" t="s">
        <v>569</v>
      </c>
      <c r="F3559" t="s">
        <v>123</v>
      </c>
      <c r="G3559" t="s">
        <v>111</v>
      </c>
      <c r="H3559" t="s">
        <v>113</v>
      </c>
      <c r="I3559" t="s">
        <v>112</v>
      </c>
      <c r="J3559" t="s">
        <v>114</v>
      </c>
      <c r="K3559" t="s">
        <v>1745</v>
      </c>
      <c r="L3559" t="s">
        <v>1745</v>
      </c>
    </row>
    <row r="3560" spans="1:12" x14ac:dyDescent="0.3">
      <c r="A3560" t="s">
        <v>709</v>
      </c>
      <c r="B3560" t="s">
        <v>1461</v>
      </c>
      <c r="C3560" t="s">
        <v>750</v>
      </c>
      <c r="D3560" t="s">
        <v>219</v>
      </c>
      <c r="E3560" t="s">
        <v>569</v>
      </c>
      <c r="F3560" t="s">
        <v>189</v>
      </c>
      <c r="G3560" t="s">
        <v>111</v>
      </c>
      <c r="H3560" t="s">
        <v>113</v>
      </c>
      <c r="I3560" t="s">
        <v>112</v>
      </c>
      <c r="J3560" t="s">
        <v>114</v>
      </c>
      <c r="K3560" t="s">
        <v>1745</v>
      </c>
      <c r="L3560" t="s">
        <v>1745</v>
      </c>
    </row>
    <row r="3561" spans="1:12" x14ac:dyDescent="0.3">
      <c r="A3561" t="s">
        <v>709</v>
      </c>
      <c r="B3561" t="s">
        <v>1461</v>
      </c>
      <c r="C3561" t="s">
        <v>750</v>
      </c>
      <c r="D3561" t="s">
        <v>220</v>
      </c>
      <c r="E3561" t="s">
        <v>569</v>
      </c>
      <c r="F3561" t="s">
        <v>54</v>
      </c>
      <c r="G3561" t="s">
        <v>111</v>
      </c>
      <c r="H3561" t="s">
        <v>113</v>
      </c>
      <c r="I3561" t="s">
        <v>112</v>
      </c>
      <c r="J3561" t="s">
        <v>114</v>
      </c>
      <c r="K3561" t="s">
        <v>1745</v>
      </c>
      <c r="L3561" t="s">
        <v>1745</v>
      </c>
    </row>
    <row r="3562" spans="1:12" x14ac:dyDescent="0.3">
      <c r="A3562" t="s">
        <v>709</v>
      </c>
      <c r="B3562" t="s">
        <v>1461</v>
      </c>
      <c r="C3562" t="s">
        <v>750</v>
      </c>
      <c r="D3562" t="s">
        <v>221</v>
      </c>
      <c r="E3562" t="s">
        <v>569</v>
      </c>
      <c r="F3562" t="s">
        <v>45</v>
      </c>
      <c r="G3562" t="s">
        <v>111</v>
      </c>
      <c r="H3562" t="s">
        <v>113</v>
      </c>
      <c r="I3562" t="s">
        <v>112</v>
      </c>
      <c r="J3562" t="s">
        <v>114</v>
      </c>
      <c r="K3562" t="s">
        <v>1745</v>
      </c>
      <c r="L3562" t="s">
        <v>1745</v>
      </c>
    </row>
    <row r="3563" spans="1:12" x14ac:dyDescent="0.3">
      <c r="A3563" t="s">
        <v>709</v>
      </c>
      <c r="B3563" t="s">
        <v>1461</v>
      </c>
      <c r="C3563" t="s">
        <v>750</v>
      </c>
      <c r="D3563" t="s">
        <v>223</v>
      </c>
      <c r="E3563" t="s">
        <v>569</v>
      </c>
      <c r="F3563" t="s">
        <v>65</v>
      </c>
      <c r="G3563" t="s">
        <v>111</v>
      </c>
      <c r="H3563" t="s">
        <v>113</v>
      </c>
      <c r="I3563" t="s">
        <v>112</v>
      </c>
      <c r="J3563" t="s">
        <v>114</v>
      </c>
      <c r="K3563" t="s">
        <v>1745</v>
      </c>
      <c r="L3563" t="s">
        <v>1745</v>
      </c>
    </row>
    <row r="3564" spans="1:12" x14ac:dyDescent="0.3">
      <c r="A3564" t="s">
        <v>709</v>
      </c>
      <c r="B3564" t="s">
        <v>1461</v>
      </c>
      <c r="C3564" t="s">
        <v>750</v>
      </c>
      <c r="D3564" t="s">
        <v>224</v>
      </c>
      <c r="E3564" t="s">
        <v>569</v>
      </c>
      <c r="F3564" t="s">
        <v>125</v>
      </c>
      <c r="G3564" t="s">
        <v>111</v>
      </c>
      <c r="H3564" t="s">
        <v>113</v>
      </c>
      <c r="I3564" t="s">
        <v>112</v>
      </c>
      <c r="J3564" t="s">
        <v>114</v>
      </c>
      <c r="K3564" t="s">
        <v>1745</v>
      </c>
      <c r="L3564" t="s">
        <v>1745</v>
      </c>
    </row>
    <row r="3565" spans="1:12" x14ac:dyDescent="0.3">
      <c r="A3565" t="s">
        <v>709</v>
      </c>
      <c r="B3565" t="s">
        <v>1461</v>
      </c>
      <c r="C3565" t="s">
        <v>750</v>
      </c>
      <c r="D3565" t="s">
        <v>225</v>
      </c>
      <c r="E3565" t="s">
        <v>569</v>
      </c>
      <c r="F3565" t="s">
        <v>126</v>
      </c>
      <c r="G3565" t="s">
        <v>111</v>
      </c>
      <c r="H3565" t="s">
        <v>113</v>
      </c>
      <c r="I3565" t="s">
        <v>112</v>
      </c>
      <c r="J3565" t="s">
        <v>114</v>
      </c>
      <c r="K3565" t="s">
        <v>1745</v>
      </c>
      <c r="L3565" t="s">
        <v>1745</v>
      </c>
    </row>
    <row r="3566" spans="1:12" x14ac:dyDescent="0.3">
      <c r="A3566" t="s">
        <v>709</v>
      </c>
      <c r="B3566" t="s">
        <v>1461</v>
      </c>
      <c r="C3566" t="s">
        <v>750</v>
      </c>
      <c r="D3566" t="s">
        <v>227</v>
      </c>
      <c r="E3566" t="s">
        <v>569</v>
      </c>
      <c r="F3566" t="s">
        <v>192</v>
      </c>
      <c r="G3566" t="s">
        <v>111</v>
      </c>
      <c r="H3566" t="s">
        <v>113</v>
      </c>
      <c r="I3566" t="s">
        <v>112</v>
      </c>
      <c r="J3566" t="s">
        <v>114</v>
      </c>
      <c r="K3566" t="s">
        <v>1745</v>
      </c>
      <c r="L3566" t="s">
        <v>1745</v>
      </c>
    </row>
    <row r="3567" spans="1:12" x14ac:dyDescent="0.3">
      <c r="A3567" t="s">
        <v>709</v>
      </c>
      <c r="B3567" t="s">
        <v>1461</v>
      </c>
      <c r="C3567" t="s">
        <v>750</v>
      </c>
      <c r="D3567" t="s">
        <v>228</v>
      </c>
      <c r="E3567" t="s">
        <v>569</v>
      </c>
      <c r="F3567" t="s">
        <v>167</v>
      </c>
      <c r="G3567" t="s">
        <v>111</v>
      </c>
      <c r="H3567" t="s">
        <v>113</v>
      </c>
      <c r="I3567" t="s">
        <v>112</v>
      </c>
      <c r="J3567" t="s">
        <v>114</v>
      </c>
      <c r="K3567" t="s">
        <v>1745</v>
      </c>
      <c r="L3567" t="s">
        <v>1745</v>
      </c>
    </row>
    <row r="3568" spans="1:12" x14ac:dyDescent="0.3">
      <c r="A3568" t="s">
        <v>709</v>
      </c>
      <c r="B3568" t="s">
        <v>1461</v>
      </c>
      <c r="C3568" t="s">
        <v>750</v>
      </c>
      <c r="D3568" t="s">
        <v>229</v>
      </c>
      <c r="E3568" t="s">
        <v>569</v>
      </c>
      <c r="F3568" t="s">
        <v>127</v>
      </c>
      <c r="G3568" t="s">
        <v>111</v>
      </c>
      <c r="H3568" t="s">
        <v>113</v>
      </c>
      <c r="I3568" t="s">
        <v>112</v>
      </c>
      <c r="J3568" t="s">
        <v>114</v>
      </c>
      <c r="K3568" t="s">
        <v>1745</v>
      </c>
      <c r="L3568" t="s">
        <v>1745</v>
      </c>
    </row>
    <row r="3569" spans="1:12" x14ac:dyDescent="0.3">
      <c r="A3569" t="s">
        <v>709</v>
      </c>
      <c r="B3569" t="s">
        <v>1461</v>
      </c>
      <c r="C3569" t="s">
        <v>750</v>
      </c>
      <c r="D3569" t="s">
        <v>310</v>
      </c>
      <c r="E3569" t="s">
        <v>569</v>
      </c>
      <c r="F3569" t="s">
        <v>128</v>
      </c>
      <c r="G3569" t="s">
        <v>111</v>
      </c>
      <c r="H3569" t="s">
        <v>113</v>
      </c>
      <c r="I3569" t="s">
        <v>112</v>
      </c>
      <c r="J3569" t="s">
        <v>114</v>
      </c>
      <c r="K3569" t="s">
        <v>1745</v>
      </c>
      <c r="L3569" t="s">
        <v>1745</v>
      </c>
    </row>
    <row r="3570" spans="1:12" x14ac:dyDescent="0.3">
      <c r="A3570" t="s">
        <v>709</v>
      </c>
      <c r="B3570" t="s">
        <v>1461</v>
      </c>
      <c r="C3570" t="s">
        <v>750</v>
      </c>
      <c r="D3570" t="s">
        <v>311</v>
      </c>
      <c r="E3570" t="s">
        <v>569</v>
      </c>
      <c r="F3570" t="s">
        <v>89</v>
      </c>
      <c r="G3570" t="s">
        <v>111</v>
      </c>
      <c r="H3570" t="s">
        <v>113</v>
      </c>
      <c r="I3570" t="s">
        <v>112</v>
      </c>
      <c r="J3570" t="s">
        <v>114</v>
      </c>
      <c r="K3570" t="s">
        <v>1745</v>
      </c>
      <c r="L3570" t="s">
        <v>1745</v>
      </c>
    </row>
    <row r="3571" spans="1:12" x14ac:dyDescent="0.3">
      <c r="A3571" t="s">
        <v>709</v>
      </c>
      <c r="B3571" t="s">
        <v>1461</v>
      </c>
      <c r="C3571" t="s">
        <v>750</v>
      </c>
      <c r="D3571" t="s">
        <v>231</v>
      </c>
      <c r="E3571" t="s">
        <v>569</v>
      </c>
      <c r="F3571" t="s">
        <v>66</v>
      </c>
      <c r="G3571" t="s">
        <v>111</v>
      </c>
      <c r="H3571" t="s">
        <v>113</v>
      </c>
      <c r="I3571" t="s">
        <v>112</v>
      </c>
      <c r="J3571" t="s">
        <v>114</v>
      </c>
      <c r="K3571" t="s">
        <v>1745</v>
      </c>
      <c r="L3571" t="s">
        <v>1745</v>
      </c>
    </row>
    <row r="3572" spans="1:12" x14ac:dyDescent="0.3">
      <c r="A3572" t="s">
        <v>709</v>
      </c>
      <c r="B3572" t="s">
        <v>1461</v>
      </c>
      <c r="C3572" t="s">
        <v>750</v>
      </c>
      <c r="D3572" t="s">
        <v>232</v>
      </c>
      <c r="E3572" t="s">
        <v>569</v>
      </c>
      <c r="F3572" t="s">
        <v>169</v>
      </c>
      <c r="G3572" t="s">
        <v>111</v>
      </c>
      <c r="H3572" t="s">
        <v>113</v>
      </c>
      <c r="I3572" t="s">
        <v>112</v>
      </c>
      <c r="J3572" t="s">
        <v>114</v>
      </c>
      <c r="K3572" t="s">
        <v>1745</v>
      </c>
      <c r="L3572" t="s">
        <v>1745</v>
      </c>
    </row>
    <row r="3573" spans="1:12" x14ac:dyDescent="0.3">
      <c r="A3573" t="s">
        <v>709</v>
      </c>
      <c r="B3573" t="s">
        <v>1461</v>
      </c>
      <c r="C3573" t="s">
        <v>750</v>
      </c>
      <c r="D3573" t="s">
        <v>234</v>
      </c>
      <c r="E3573" t="s">
        <v>569</v>
      </c>
      <c r="F3573" t="s">
        <v>93</v>
      </c>
      <c r="G3573" t="s">
        <v>111</v>
      </c>
      <c r="H3573" t="s">
        <v>113</v>
      </c>
      <c r="I3573" t="s">
        <v>112</v>
      </c>
      <c r="J3573" t="s">
        <v>114</v>
      </c>
      <c r="K3573" t="s">
        <v>1745</v>
      </c>
      <c r="L3573" t="s">
        <v>1745</v>
      </c>
    </row>
    <row r="3574" spans="1:12" x14ac:dyDescent="0.3">
      <c r="A3574" t="s">
        <v>709</v>
      </c>
      <c r="B3574" t="s">
        <v>1461</v>
      </c>
      <c r="C3574" t="s">
        <v>750</v>
      </c>
      <c r="D3574" t="s">
        <v>312</v>
      </c>
      <c r="E3574" t="s">
        <v>569</v>
      </c>
      <c r="F3574" t="s">
        <v>129</v>
      </c>
      <c r="G3574" t="s">
        <v>111</v>
      </c>
      <c r="H3574" t="s">
        <v>113</v>
      </c>
      <c r="I3574" t="s">
        <v>112</v>
      </c>
      <c r="J3574" t="s">
        <v>114</v>
      </c>
      <c r="K3574" t="s">
        <v>1745</v>
      </c>
      <c r="L3574" t="s">
        <v>1745</v>
      </c>
    </row>
    <row r="3575" spans="1:12" x14ac:dyDescent="0.3">
      <c r="A3575" t="s">
        <v>709</v>
      </c>
      <c r="B3575" t="s">
        <v>1461</v>
      </c>
      <c r="C3575" t="s">
        <v>750</v>
      </c>
      <c r="D3575" t="s">
        <v>313</v>
      </c>
      <c r="E3575" t="s">
        <v>569</v>
      </c>
      <c r="F3575" t="s">
        <v>68</v>
      </c>
      <c r="G3575" t="s">
        <v>111</v>
      </c>
      <c r="H3575" t="s">
        <v>113</v>
      </c>
      <c r="I3575" t="s">
        <v>112</v>
      </c>
      <c r="J3575" t="s">
        <v>114</v>
      </c>
      <c r="K3575" t="s">
        <v>1745</v>
      </c>
      <c r="L3575" t="s">
        <v>1745</v>
      </c>
    </row>
    <row r="3576" spans="1:12" x14ac:dyDescent="0.3">
      <c r="A3576" t="s">
        <v>709</v>
      </c>
      <c r="B3576" t="s">
        <v>1461</v>
      </c>
      <c r="C3576" t="s">
        <v>750</v>
      </c>
      <c r="D3576" t="s">
        <v>235</v>
      </c>
      <c r="E3576" t="s">
        <v>569</v>
      </c>
      <c r="F3576" t="s">
        <v>85</v>
      </c>
      <c r="G3576" t="s">
        <v>111</v>
      </c>
      <c r="H3576" t="s">
        <v>113</v>
      </c>
      <c r="I3576" t="s">
        <v>112</v>
      </c>
      <c r="J3576" t="s">
        <v>114</v>
      </c>
      <c r="K3576" t="s">
        <v>1745</v>
      </c>
      <c r="L3576" t="s">
        <v>1745</v>
      </c>
    </row>
    <row r="3577" spans="1:12" x14ac:dyDescent="0.3">
      <c r="A3577" t="s">
        <v>709</v>
      </c>
      <c r="B3577" t="s">
        <v>1461</v>
      </c>
      <c r="C3577" t="s">
        <v>750</v>
      </c>
      <c r="D3577" t="s">
        <v>314</v>
      </c>
      <c r="E3577" t="s">
        <v>569</v>
      </c>
      <c r="F3577" t="s">
        <v>61</v>
      </c>
      <c r="G3577" t="s">
        <v>111</v>
      </c>
      <c r="H3577" t="s">
        <v>113</v>
      </c>
      <c r="I3577" t="s">
        <v>112</v>
      </c>
      <c r="J3577" t="s">
        <v>114</v>
      </c>
      <c r="K3577" t="s">
        <v>1745</v>
      </c>
      <c r="L3577" t="s">
        <v>1745</v>
      </c>
    </row>
    <row r="3578" spans="1:12" x14ac:dyDescent="0.3">
      <c r="A3578" t="s">
        <v>709</v>
      </c>
      <c r="B3578" t="s">
        <v>1461</v>
      </c>
      <c r="C3578" t="s">
        <v>750</v>
      </c>
      <c r="D3578" t="s">
        <v>236</v>
      </c>
      <c r="E3578" t="s">
        <v>569</v>
      </c>
      <c r="F3578" t="s">
        <v>87</v>
      </c>
      <c r="G3578" t="s">
        <v>111</v>
      </c>
      <c r="H3578" t="s">
        <v>113</v>
      </c>
      <c r="I3578" t="s">
        <v>112</v>
      </c>
      <c r="J3578" t="s">
        <v>114</v>
      </c>
      <c r="K3578" t="s">
        <v>1745</v>
      </c>
      <c r="L3578" t="s">
        <v>1745</v>
      </c>
    </row>
    <row r="3579" spans="1:12" x14ac:dyDescent="0.3">
      <c r="A3579" t="s">
        <v>709</v>
      </c>
      <c r="B3579" t="s">
        <v>1461</v>
      </c>
      <c r="C3579" t="s">
        <v>750</v>
      </c>
      <c r="D3579" t="s">
        <v>237</v>
      </c>
      <c r="E3579" t="s">
        <v>569</v>
      </c>
      <c r="F3579" t="s">
        <v>130</v>
      </c>
      <c r="G3579" t="s">
        <v>111</v>
      </c>
      <c r="H3579" t="s">
        <v>113</v>
      </c>
      <c r="I3579" t="s">
        <v>112</v>
      </c>
      <c r="J3579" t="s">
        <v>114</v>
      </c>
      <c r="K3579" t="s">
        <v>1745</v>
      </c>
      <c r="L3579" t="s">
        <v>1745</v>
      </c>
    </row>
    <row r="3580" spans="1:12" x14ac:dyDescent="0.3">
      <c r="A3580" t="s">
        <v>709</v>
      </c>
      <c r="B3580" t="s">
        <v>1461</v>
      </c>
      <c r="C3580" t="s">
        <v>750</v>
      </c>
      <c r="D3580" t="s">
        <v>238</v>
      </c>
      <c r="E3580" t="s">
        <v>569</v>
      </c>
      <c r="F3580" t="s">
        <v>131</v>
      </c>
      <c r="G3580" t="s">
        <v>111</v>
      </c>
      <c r="H3580" t="s">
        <v>113</v>
      </c>
      <c r="I3580" t="s">
        <v>112</v>
      </c>
      <c r="J3580" t="s">
        <v>114</v>
      </c>
      <c r="K3580" t="s">
        <v>1745</v>
      </c>
      <c r="L3580" t="s">
        <v>1745</v>
      </c>
    </row>
    <row r="3581" spans="1:12" x14ac:dyDescent="0.3">
      <c r="A3581" t="s">
        <v>709</v>
      </c>
      <c r="B3581" t="s">
        <v>1461</v>
      </c>
      <c r="C3581" t="s">
        <v>750</v>
      </c>
      <c r="D3581" t="s">
        <v>239</v>
      </c>
      <c r="E3581" t="s">
        <v>569</v>
      </c>
      <c r="F3581" t="s">
        <v>50</v>
      </c>
      <c r="G3581" t="s">
        <v>111</v>
      </c>
      <c r="H3581" t="s">
        <v>113</v>
      </c>
      <c r="I3581" t="s">
        <v>112</v>
      </c>
      <c r="J3581" t="s">
        <v>114</v>
      </c>
      <c r="K3581" t="s">
        <v>1745</v>
      </c>
      <c r="L3581" t="s">
        <v>1745</v>
      </c>
    </row>
    <row r="3582" spans="1:12" x14ac:dyDescent="0.3">
      <c r="A3582" t="s">
        <v>709</v>
      </c>
      <c r="B3582" t="s">
        <v>1461</v>
      </c>
      <c r="C3582" t="s">
        <v>750</v>
      </c>
      <c r="D3582" t="s">
        <v>315</v>
      </c>
      <c r="E3582" t="s">
        <v>568</v>
      </c>
      <c r="F3582" t="s">
        <v>79</v>
      </c>
      <c r="G3582" t="s">
        <v>111</v>
      </c>
      <c r="H3582" t="s">
        <v>113</v>
      </c>
      <c r="I3582" t="s">
        <v>112</v>
      </c>
      <c r="J3582" t="s">
        <v>114</v>
      </c>
      <c r="K3582" t="s">
        <v>1746</v>
      </c>
      <c r="L3582" t="s">
        <v>1746</v>
      </c>
    </row>
    <row r="3583" spans="1:12" x14ac:dyDescent="0.3">
      <c r="A3583" t="s">
        <v>709</v>
      </c>
      <c r="B3583" t="s">
        <v>1461</v>
      </c>
      <c r="C3583" t="s">
        <v>750</v>
      </c>
      <c r="D3583" t="s">
        <v>316</v>
      </c>
      <c r="E3583" t="s">
        <v>568</v>
      </c>
      <c r="F3583" t="s">
        <v>132</v>
      </c>
      <c r="G3583" t="s">
        <v>111</v>
      </c>
      <c r="H3583" t="s">
        <v>113</v>
      </c>
      <c r="I3583" t="s">
        <v>112</v>
      </c>
      <c r="J3583" t="s">
        <v>114</v>
      </c>
      <c r="K3583" t="s">
        <v>1746</v>
      </c>
      <c r="L3583" t="s">
        <v>1746</v>
      </c>
    </row>
    <row r="3584" spans="1:12" x14ac:dyDescent="0.3">
      <c r="A3584" t="s">
        <v>709</v>
      </c>
      <c r="B3584" t="s">
        <v>1461</v>
      </c>
      <c r="C3584" t="s">
        <v>750</v>
      </c>
      <c r="D3584" t="s">
        <v>317</v>
      </c>
      <c r="E3584" t="s">
        <v>568</v>
      </c>
      <c r="F3584" t="s">
        <v>133</v>
      </c>
      <c r="G3584" t="s">
        <v>111</v>
      </c>
      <c r="H3584" t="s">
        <v>113</v>
      </c>
      <c r="I3584" t="s">
        <v>112</v>
      </c>
      <c r="J3584" t="s">
        <v>114</v>
      </c>
      <c r="K3584" t="s">
        <v>1747</v>
      </c>
      <c r="L3584" t="s">
        <v>1747</v>
      </c>
    </row>
    <row r="3585" spans="1:12" x14ac:dyDescent="0.3">
      <c r="A3585" t="s">
        <v>709</v>
      </c>
      <c r="B3585" t="s">
        <v>1461</v>
      </c>
      <c r="C3585" t="s">
        <v>750</v>
      </c>
      <c r="D3585" t="s">
        <v>318</v>
      </c>
      <c r="E3585" t="s">
        <v>568</v>
      </c>
      <c r="F3585" t="s">
        <v>193</v>
      </c>
      <c r="G3585" t="s">
        <v>111</v>
      </c>
      <c r="H3585" t="s">
        <v>113</v>
      </c>
      <c r="I3585" t="s">
        <v>112</v>
      </c>
      <c r="J3585" t="s">
        <v>114</v>
      </c>
      <c r="K3585" t="s">
        <v>426</v>
      </c>
      <c r="L3585" t="s">
        <v>426</v>
      </c>
    </row>
    <row r="3586" spans="1:12" x14ac:dyDescent="0.3">
      <c r="A3586" t="s">
        <v>709</v>
      </c>
      <c r="B3586" t="s">
        <v>1461</v>
      </c>
      <c r="C3586" t="s">
        <v>750</v>
      </c>
      <c r="D3586" t="s">
        <v>241</v>
      </c>
      <c r="E3586" t="s">
        <v>568</v>
      </c>
      <c r="F3586" t="s">
        <v>51</v>
      </c>
      <c r="G3586" t="s">
        <v>111</v>
      </c>
      <c r="H3586" t="s">
        <v>113</v>
      </c>
      <c r="I3586" t="s">
        <v>112</v>
      </c>
      <c r="J3586" t="s">
        <v>114</v>
      </c>
      <c r="K3586" t="s">
        <v>1746</v>
      </c>
      <c r="L3586" t="s">
        <v>1746</v>
      </c>
    </row>
    <row r="3587" spans="1:12" x14ac:dyDescent="0.3">
      <c r="A3587" t="s">
        <v>709</v>
      </c>
      <c r="B3587" t="s">
        <v>1461</v>
      </c>
      <c r="C3587" t="s">
        <v>750</v>
      </c>
      <c r="D3587" t="s">
        <v>242</v>
      </c>
      <c r="E3587" t="s">
        <v>568</v>
      </c>
      <c r="F3587" t="s">
        <v>163</v>
      </c>
      <c r="G3587" t="s">
        <v>111</v>
      </c>
      <c r="H3587" t="s">
        <v>113</v>
      </c>
      <c r="I3587" t="s">
        <v>112</v>
      </c>
      <c r="J3587" t="s">
        <v>114</v>
      </c>
      <c r="K3587" t="s">
        <v>1746</v>
      </c>
      <c r="L3587" t="s">
        <v>1746</v>
      </c>
    </row>
    <row r="3588" spans="1:12" x14ac:dyDescent="0.3">
      <c r="A3588" t="s">
        <v>709</v>
      </c>
      <c r="B3588" t="s">
        <v>1461</v>
      </c>
      <c r="C3588" t="s">
        <v>750</v>
      </c>
      <c r="D3588" t="s">
        <v>243</v>
      </c>
      <c r="E3588" t="s">
        <v>568</v>
      </c>
      <c r="F3588" t="s">
        <v>170</v>
      </c>
      <c r="G3588" t="s">
        <v>111</v>
      </c>
      <c r="H3588" t="s">
        <v>113</v>
      </c>
      <c r="I3588" t="s">
        <v>112</v>
      </c>
      <c r="J3588" t="s">
        <v>114</v>
      </c>
      <c r="K3588" t="s">
        <v>1746</v>
      </c>
      <c r="L3588" t="s">
        <v>1746</v>
      </c>
    </row>
    <row r="3589" spans="1:12" x14ac:dyDescent="0.3">
      <c r="A3589" t="s">
        <v>709</v>
      </c>
      <c r="B3589" t="s">
        <v>1461</v>
      </c>
      <c r="C3589" t="s">
        <v>750</v>
      </c>
      <c r="D3589" t="s">
        <v>244</v>
      </c>
      <c r="E3589" t="s">
        <v>568</v>
      </c>
      <c r="F3589" t="s">
        <v>78</v>
      </c>
      <c r="G3589" t="s">
        <v>111</v>
      </c>
      <c r="H3589" t="s">
        <v>113</v>
      </c>
      <c r="I3589" t="s">
        <v>112</v>
      </c>
      <c r="J3589" t="s">
        <v>114</v>
      </c>
      <c r="K3589" t="s">
        <v>1746</v>
      </c>
      <c r="L3589" t="s">
        <v>1746</v>
      </c>
    </row>
    <row r="3590" spans="1:12" x14ac:dyDescent="0.3">
      <c r="A3590" t="s">
        <v>709</v>
      </c>
      <c r="B3590" t="s">
        <v>1461</v>
      </c>
      <c r="C3590" t="s">
        <v>750</v>
      </c>
      <c r="D3590" t="s">
        <v>319</v>
      </c>
      <c r="E3590" t="s">
        <v>568</v>
      </c>
      <c r="F3590" t="s">
        <v>136</v>
      </c>
      <c r="G3590" t="s">
        <v>111</v>
      </c>
      <c r="H3590" t="s">
        <v>118</v>
      </c>
      <c r="I3590" t="s">
        <v>112</v>
      </c>
      <c r="J3590" t="s">
        <v>119</v>
      </c>
      <c r="K3590" t="s">
        <v>1748</v>
      </c>
      <c r="L3590" t="s">
        <v>1748</v>
      </c>
    </row>
    <row r="3591" spans="1:12" x14ac:dyDescent="0.3">
      <c r="A3591" t="s">
        <v>709</v>
      </c>
      <c r="B3591" t="s">
        <v>1461</v>
      </c>
      <c r="C3591" t="s">
        <v>750</v>
      </c>
      <c r="D3591" t="s">
        <v>247</v>
      </c>
      <c r="E3591" t="s">
        <v>568</v>
      </c>
      <c r="F3591" t="s">
        <v>60</v>
      </c>
      <c r="G3591" t="s">
        <v>111</v>
      </c>
      <c r="H3591" t="s">
        <v>118</v>
      </c>
      <c r="I3591" t="s">
        <v>112</v>
      </c>
      <c r="J3591" t="s">
        <v>119</v>
      </c>
      <c r="K3591" t="s">
        <v>1746</v>
      </c>
      <c r="L3591" t="s">
        <v>1746</v>
      </c>
    </row>
    <row r="3592" spans="1:12" x14ac:dyDescent="0.3">
      <c r="A3592" t="s">
        <v>709</v>
      </c>
      <c r="B3592" t="s">
        <v>1461</v>
      </c>
      <c r="C3592" t="s">
        <v>750</v>
      </c>
      <c r="D3592" t="s">
        <v>251</v>
      </c>
      <c r="E3592" t="s">
        <v>568</v>
      </c>
      <c r="F3592" t="s">
        <v>48</v>
      </c>
      <c r="G3592" t="s">
        <v>111</v>
      </c>
      <c r="H3592" t="s">
        <v>113</v>
      </c>
      <c r="I3592" t="s">
        <v>112</v>
      </c>
      <c r="J3592" t="s">
        <v>114</v>
      </c>
      <c r="K3592" t="s">
        <v>1746</v>
      </c>
      <c r="L3592" t="s">
        <v>1746</v>
      </c>
    </row>
    <row r="3593" spans="1:12" x14ac:dyDescent="0.3">
      <c r="A3593" t="s">
        <v>709</v>
      </c>
      <c r="B3593" t="s">
        <v>1461</v>
      </c>
      <c r="C3593" t="s">
        <v>750</v>
      </c>
      <c r="D3593" t="s">
        <v>252</v>
      </c>
      <c r="E3593" t="s">
        <v>568</v>
      </c>
      <c r="F3593" t="s">
        <v>138</v>
      </c>
      <c r="G3593" t="s">
        <v>111</v>
      </c>
      <c r="H3593" t="s">
        <v>113</v>
      </c>
      <c r="I3593" t="s">
        <v>112</v>
      </c>
      <c r="J3593" t="s">
        <v>114</v>
      </c>
      <c r="K3593" t="s">
        <v>1746</v>
      </c>
      <c r="L3593" t="s">
        <v>1746</v>
      </c>
    </row>
    <row r="3594" spans="1:12" x14ac:dyDescent="0.3">
      <c r="A3594" t="s">
        <v>709</v>
      </c>
      <c r="B3594" t="s">
        <v>1461</v>
      </c>
      <c r="C3594" t="s">
        <v>750</v>
      </c>
      <c r="D3594" t="s">
        <v>253</v>
      </c>
      <c r="E3594" t="s">
        <v>568</v>
      </c>
      <c r="F3594" t="s">
        <v>95</v>
      </c>
      <c r="G3594" t="s">
        <v>111</v>
      </c>
      <c r="H3594" t="s">
        <v>113</v>
      </c>
      <c r="I3594" t="s">
        <v>112</v>
      </c>
      <c r="J3594" t="s">
        <v>114</v>
      </c>
      <c r="K3594" t="s">
        <v>1746</v>
      </c>
      <c r="L3594" t="s">
        <v>1746</v>
      </c>
    </row>
    <row r="3595" spans="1:12" x14ac:dyDescent="0.3">
      <c r="A3595" t="s">
        <v>709</v>
      </c>
      <c r="B3595" t="s">
        <v>1461</v>
      </c>
      <c r="C3595" t="s">
        <v>750</v>
      </c>
      <c r="D3595" t="s">
        <v>254</v>
      </c>
      <c r="E3595" t="s">
        <v>568</v>
      </c>
      <c r="F3595" t="s">
        <v>139</v>
      </c>
      <c r="G3595" t="s">
        <v>111</v>
      </c>
      <c r="H3595" t="s">
        <v>113</v>
      </c>
      <c r="I3595" t="s">
        <v>112</v>
      </c>
      <c r="J3595" t="s">
        <v>114</v>
      </c>
      <c r="K3595" t="s">
        <v>1746</v>
      </c>
      <c r="L3595" t="s">
        <v>1746</v>
      </c>
    </row>
    <row r="3596" spans="1:12" x14ac:dyDescent="0.3">
      <c r="A3596" t="s">
        <v>709</v>
      </c>
      <c r="B3596" t="s">
        <v>1461</v>
      </c>
      <c r="C3596" t="s">
        <v>750</v>
      </c>
      <c r="D3596" t="s">
        <v>255</v>
      </c>
      <c r="E3596" t="s">
        <v>568</v>
      </c>
      <c r="F3596" t="s">
        <v>171</v>
      </c>
      <c r="G3596" t="s">
        <v>111</v>
      </c>
      <c r="H3596" t="s">
        <v>113</v>
      </c>
      <c r="I3596" t="s">
        <v>112</v>
      </c>
      <c r="J3596" t="s">
        <v>114</v>
      </c>
      <c r="K3596" t="s">
        <v>1748</v>
      </c>
      <c r="L3596" t="s">
        <v>1748</v>
      </c>
    </row>
    <row r="3597" spans="1:12" x14ac:dyDescent="0.3">
      <c r="A3597" t="s">
        <v>709</v>
      </c>
      <c r="B3597" t="s">
        <v>1461</v>
      </c>
      <c r="C3597" t="s">
        <v>750</v>
      </c>
      <c r="D3597" t="s">
        <v>320</v>
      </c>
      <c r="E3597" t="s">
        <v>568</v>
      </c>
      <c r="F3597" t="s">
        <v>172</v>
      </c>
      <c r="G3597" t="s">
        <v>111</v>
      </c>
      <c r="H3597" t="s">
        <v>118</v>
      </c>
      <c r="I3597" t="s">
        <v>112</v>
      </c>
      <c r="J3597" t="s">
        <v>119</v>
      </c>
      <c r="K3597" t="s">
        <v>1746</v>
      </c>
      <c r="L3597" t="s">
        <v>1746</v>
      </c>
    </row>
    <row r="3598" spans="1:12" x14ac:dyDescent="0.3">
      <c r="A3598" t="s">
        <v>709</v>
      </c>
      <c r="B3598" t="s">
        <v>1461</v>
      </c>
      <c r="C3598" t="s">
        <v>750</v>
      </c>
      <c r="D3598" t="s">
        <v>207</v>
      </c>
      <c r="E3598" t="s">
        <v>568</v>
      </c>
      <c r="F3598" t="s">
        <v>62</v>
      </c>
      <c r="G3598" t="s">
        <v>111</v>
      </c>
      <c r="H3598" t="s">
        <v>113</v>
      </c>
      <c r="I3598" t="s">
        <v>112</v>
      </c>
      <c r="J3598" t="s">
        <v>114</v>
      </c>
      <c r="K3598" t="s">
        <v>424</v>
      </c>
      <c r="L3598" t="s">
        <v>424</v>
      </c>
    </row>
    <row r="3599" spans="1:12" x14ac:dyDescent="0.3">
      <c r="A3599" t="s">
        <v>709</v>
      </c>
      <c r="B3599" t="s">
        <v>1461</v>
      </c>
      <c r="C3599" t="s">
        <v>750</v>
      </c>
      <c r="D3599" t="s">
        <v>256</v>
      </c>
      <c r="E3599" t="s">
        <v>568</v>
      </c>
      <c r="F3599" t="s">
        <v>57</v>
      </c>
      <c r="G3599" t="s">
        <v>111</v>
      </c>
      <c r="H3599" t="s">
        <v>113</v>
      </c>
      <c r="I3599" t="s">
        <v>112</v>
      </c>
      <c r="J3599" t="s">
        <v>114</v>
      </c>
      <c r="K3599" t="s">
        <v>1749</v>
      </c>
      <c r="L3599" t="s">
        <v>1749</v>
      </c>
    </row>
    <row r="3600" spans="1:12" x14ac:dyDescent="0.3">
      <c r="A3600" t="s">
        <v>709</v>
      </c>
      <c r="B3600" t="s">
        <v>1461</v>
      </c>
      <c r="C3600" t="s">
        <v>750</v>
      </c>
      <c r="D3600" t="s">
        <v>322</v>
      </c>
      <c r="E3600" t="s">
        <v>568</v>
      </c>
      <c r="F3600" t="s">
        <v>173</v>
      </c>
      <c r="G3600" t="s">
        <v>111</v>
      </c>
      <c r="H3600" t="s">
        <v>113</v>
      </c>
      <c r="I3600" t="s">
        <v>112</v>
      </c>
      <c r="J3600" t="s">
        <v>114</v>
      </c>
      <c r="K3600" t="s">
        <v>425</v>
      </c>
      <c r="L3600" t="s">
        <v>425</v>
      </c>
    </row>
    <row r="3601" spans="1:12" x14ac:dyDescent="0.3">
      <c r="A3601" t="s">
        <v>709</v>
      </c>
      <c r="B3601" t="s">
        <v>1461</v>
      </c>
      <c r="C3601" t="s">
        <v>750</v>
      </c>
      <c r="D3601" t="s">
        <v>257</v>
      </c>
      <c r="E3601" t="s">
        <v>568</v>
      </c>
      <c r="F3601" t="s">
        <v>174</v>
      </c>
      <c r="G3601" t="s">
        <v>111</v>
      </c>
      <c r="H3601" t="s">
        <v>113</v>
      </c>
      <c r="I3601" t="s">
        <v>112</v>
      </c>
      <c r="J3601" t="s">
        <v>114</v>
      </c>
      <c r="K3601" t="s">
        <v>1746</v>
      </c>
      <c r="L3601" t="s">
        <v>1746</v>
      </c>
    </row>
    <row r="3602" spans="1:12" x14ac:dyDescent="0.3">
      <c r="A3602" t="s">
        <v>709</v>
      </c>
      <c r="B3602" t="s">
        <v>1461</v>
      </c>
      <c r="C3602" t="s">
        <v>750</v>
      </c>
      <c r="D3602" t="s">
        <v>258</v>
      </c>
      <c r="E3602" t="s">
        <v>568</v>
      </c>
      <c r="F3602" t="s">
        <v>88</v>
      </c>
      <c r="G3602" t="s">
        <v>111</v>
      </c>
      <c r="H3602" t="s">
        <v>113</v>
      </c>
      <c r="I3602" t="s">
        <v>112</v>
      </c>
      <c r="J3602" t="s">
        <v>114</v>
      </c>
      <c r="K3602" t="s">
        <v>1746</v>
      </c>
      <c r="L3602" t="s">
        <v>1746</v>
      </c>
    </row>
    <row r="3603" spans="1:12" x14ac:dyDescent="0.3">
      <c r="A3603" t="s">
        <v>709</v>
      </c>
      <c r="B3603" t="s">
        <v>1461</v>
      </c>
      <c r="C3603" t="s">
        <v>750</v>
      </c>
      <c r="D3603" t="s">
        <v>259</v>
      </c>
      <c r="E3603" t="s">
        <v>568</v>
      </c>
      <c r="F3603" t="s">
        <v>77</v>
      </c>
      <c r="G3603" t="s">
        <v>111</v>
      </c>
      <c r="H3603" t="s">
        <v>113</v>
      </c>
      <c r="I3603" t="s">
        <v>112</v>
      </c>
      <c r="J3603" t="s">
        <v>114</v>
      </c>
      <c r="K3603" t="s">
        <v>1748</v>
      </c>
      <c r="L3603" t="s">
        <v>1748</v>
      </c>
    </row>
    <row r="3604" spans="1:12" x14ac:dyDescent="0.3">
      <c r="A3604" t="s">
        <v>709</v>
      </c>
      <c r="B3604" t="s">
        <v>1461</v>
      </c>
      <c r="C3604" t="s">
        <v>750</v>
      </c>
      <c r="D3604" t="s">
        <v>323</v>
      </c>
      <c r="E3604" t="s">
        <v>568</v>
      </c>
      <c r="F3604" t="s">
        <v>74</v>
      </c>
      <c r="G3604" t="s">
        <v>111</v>
      </c>
      <c r="H3604" t="s">
        <v>113</v>
      </c>
      <c r="I3604" t="s">
        <v>112</v>
      </c>
      <c r="J3604" t="s">
        <v>114</v>
      </c>
      <c r="K3604" t="s">
        <v>1750</v>
      </c>
      <c r="L3604" t="s">
        <v>1750</v>
      </c>
    </row>
    <row r="3605" spans="1:12" x14ac:dyDescent="0.3">
      <c r="A3605" t="s">
        <v>709</v>
      </c>
      <c r="B3605" t="s">
        <v>1461</v>
      </c>
      <c r="C3605" t="s">
        <v>750</v>
      </c>
      <c r="D3605" t="s">
        <v>324</v>
      </c>
      <c r="E3605" t="s">
        <v>568</v>
      </c>
      <c r="F3605" t="s">
        <v>102</v>
      </c>
      <c r="G3605" t="s">
        <v>111</v>
      </c>
      <c r="H3605" t="s">
        <v>113</v>
      </c>
      <c r="I3605" t="s">
        <v>112</v>
      </c>
      <c r="J3605" t="s">
        <v>114</v>
      </c>
      <c r="K3605" t="s">
        <v>1746</v>
      </c>
      <c r="L3605" t="s">
        <v>1746</v>
      </c>
    </row>
    <row r="3606" spans="1:12" x14ac:dyDescent="0.3">
      <c r="A3606" t="s">
        <v>709</v>
      </c>
      <c r="B3606" t="s">
        <v>1461</v>
      </c>
      <c r="C3606" t="s">
        <v>750</v>
      </c>
      <c r="D3606" t="s">
        <v>260</v>
      </c>
      <c r="E3606" t="s">
        <v>568</v>
      </c>
      <c r="F3606" t="s">
        <v>140</v>
      </c>
      <c r="G3606" t="s">
        <v>111</v>
      </c>
      <c r="H3606" t="s">
        <v>113</v>
      </c>
      <c r="I3606" t="s">
        <v>112</v>
      </c>
      <c r="J3606" t="s">
        <v>114</v>
      </c>
      <c r="K3606" t="s">
        <v>1746</v>
      </c>
      <c r="L3606" t="s">
        <v>1746</v>
      </c>
    </row>
    <row r="3607" spans="1:12" x14ac:dyDescent="0.3">
      <c r="A3607" t="s">
        <v>709</v>
      </c>
      <c r="B3607" t="s">
        <v>1461</v>
      </c>
      <c r="C3607" t="s">
        <v>750</v>
      </c>
      <c r="D3607" t="s">
        <v>263</v>
      </c>
      <c r="E3607" t="s">
        <v>568</v>
      </c>
      <c r="F3607" t="s">
        <v>141</v>
      </c>
      <c r="G3607" t="s">
        <v>111</v>
      </c>
      <c r="H3607" t="s">
        <v>113</v>
      </c>
      <c r="I3607" t="s">
        <v>112</v>
      </c>
      <c r="J3607" t="s">
        <v>114</v>
      </c>
      <c r="K3607" t="s">
        <v>1746</v>
      </c>
      <c r="L3607" t="s">
        <v>1746</v>
      </c>
    </row>
    <row r="3608" spans="1:12" x14ac:dyDescent="0.3">
      <c r="A3608" t="s">
        <v>709</v>
      </c>
      <c r="B3608" t="s">
        <v>1461</v>
      </c>
      <c r="C3608" t="s">
        <v>750</v>
      </c>
      <c r="D3608" t="s">
        <v>264</v>
      </c>
      <c r="E3608" t="s">
        <v>568</v>
      </c>
      <c r="F3608" t="s">
        <v>64</v>
      </c>
      <c r="G3608" t="s">
        <v>111</v>
      </c>
      <c r="H3608" t="s">
        <v>113</v>
      </c>
      <c r="I3608" t="s">
        <v>112</v>
      </c>
      <c r="J3608" t="s">
        <v>114</v>
      </c>
      <c r="K3608" t="s">
        <v>1746</v>
      </c>
      <c r="L3608" t="s">
        <v>1746</v>
      </c>
    </row>
    <row r="3609" spans="1:12" x14ac:dyDescent="0.3">
      <c r="A3609" t="s">
        <v>709</v>
      </c>
      <c r="B3609" t="s">
        <v>1461</v>
      </c>
      <c r="C3609" t="s">
        <v>750</v>
      </c>
      <c r="D3609" t="s">
        <v>265</v>
      </c>
      <c r="E3609" t="s">
        <v>568</v>
      </c>
      <c r="F3609" t="s">
        <v>142</v>
      </c>
      <c r="G3609" t="s">
        <v>111</v>
      </c>
      <c r="H3609" t="s">
        <v>113</v>
      </c>
      <c r="I3609" t="s">
        <v>112</v>
      </c>
      <c r="J3609" t="s">
        <v>114</v>
      </c>
      <c r="K3609" t="s">
        <v>1746</v>
      </c>
      <c r="L3609" t="s">
        <v>1746</v>
      </c>
    </row>
    <row r="3610" spans="1:12" x14ac:dyDescent="0.3">
      <c r="A3610" t="s">
        <v>709</v>
      </c>
      <c r="B3610" t="s">
        <v>1461</v>
      </c>
      <c r="C3610" t="s">
        <v>750</v>
      </c>
      <c r="D3610" t="s">
        <v>326</v>
      </c>
      <c r="E3610" t="s">
        <v>568</v>
      </c>
      <c r="F3610" t="s">
        <v>144</v>
      </c>
      <c r="G3610" t="s">
        <v>111</v>
      </c>
      <c r="H3610" t="s">
        <v>113</v>
      </c>
      <c r="I3610" t="s">
        <v>112</v>
      </c>
      <c r="J3610" t="s">
        <v>114</v>
      </c>
      <c r="K3610" t="s">
        <v>1746</v>
      </c>
      <c r="L3610" t="s">
        <v>1746</v>
      </c>
    </row>
    <row r="3611" spans="1:12" x14ac:dyDescent="0.3">
      <c r="A3611" t="s">
        <v>709</v>
      </c>
      <c r="B3611" t="s">
        <v>1461</v>
      </c>
      <c r="C3611" t="s">
        <v>750</v>
      </c>
      <c r="D3611" t="s">
        <v>268</v>
      </c>
      <c r="E3611" t="s">
        <v>568</v>
      </c>
      <c r="F3611" t="s">
        <v>194</v>
      </c>
      <c r="G3611" t="s">
        <v>111</v>
      </c>
      <c r="H3611" t="s">
        <v>113</v>
      </c>
      <c r="I3611" t="s">
        <v>112</v>
      </c>
      <c r="J3611" t="s">
        <v>114</v>
      </c>
      <c r="K3611" t="s">
        <v>1748</v>
      </c>
      <c r="L3611" t="s">
        <v>1748</v>
      </c>
    </row>
    <row r="3612" spans="1:12" x14ac:dyDescent="0.3">
      <c r="A3612" t="s">
        <v>709</v>
      </c>
      <c r="B3612" t="s">
        <v>1461</v>
      </c>
      <c r="C3612" t="s">
        <v>750</v>
      </c>
      <c r="D3612" t="s">
        <v>269</v>
      </c>
      <c r="E3612" t="s">
        <v>568</v>
      </c>
      <c r="F3612" t="s">
        <v>145</v>
      </c>
      <c r="G3612" t="s">
        <v>111</v>
      </c>
      <c r="H3612" t="s">
        <v>118</v>
      </c>
      <c r="I3612" t="s">
        <v>112</v>
      </c>
      <c r="J3612" t="s">
        <v>119</v>
      </c>
      <c r="K3612" t="s">
        <v>1746</v>
      </c>
      <c r="L3612" t="s">
        <v>1746</v>
      </c>
    </row>
    <row r="3613" spans="1:12" x14ac:dyDescent="0.3">
      <c r="A3613" t="s">
        <v>709</v>
      </c>
      <c r="B3613" t="s">
        <v>1461</v>
      </c>
      <c r="C3613" t="s">
        <v>750</v>
      </c>
      <c r="D3613" t="s">
        <v>270</v>
      </c>
      <c r="E3613" t="s">
        <v>568</v>
      </c>
      <c r="F3613" t="s">
        <v>81</v>
      </c>
      <c r="G3613" t="s">
        <v>111</v>
      </c>
      <c r="H3613" t="s">
        <v>113</v>
      </c>
      <c r="I3613" t="s">
        <v>112</v>
      </c>
      <c r="J3613" t="s">
        <v>114</v>
      </c>
      <c r="K3613" t="s">
        <v>1746</v>
      </c>
      <c r="L3613" t="s">
        <v>1746</v>
      </c>
    </row>
    <row r="3614" spans="1:12" x14ac:dyDescent="0.3">
      <c r="A3614" t="s">
        <v>709</v>
      </c>
      <c r="B3614" t="s">
        <v>1461</v>
      </c>
      <c r="C3614" t="s">
        <v>750</v>
      </c>
      <c r="D3614" t="s">
        <v>271</v>
      </c>
      <c r="E3614" t="s">
        <v>567</v>
      </c>
      <c r="F3614" t="s">
        <v>76</v>
      </c>
      <c r="G3614" t="s">
        <v>111</v>
      </c>
      <c r="H3614" t="s">
        <v>113</v>
      </c>
      <c r="I3614" t="s">
        <v>112</v>
      </c>
      <c r="J3614" t="s">
        <v>114</v>
      </c>
      <c r="K3614" t="s">
        <v>1746</v>
      </c>
      <c r="L3614" t="s">
        <v>1746</v>
      </c>
    </row>
    <row r="3615" spans="1:12" x14ac:dyDescent="0.3">
      <c r="A3615" t="s">
        <v>709</v>
      </c>
      <c r="B3615" t="s">
        <v>1461</v>
      </c>
      <c r="C3615" t="s">
        <v>750</v>
      </c>
      <c r="D3615" t="s">
        <v>272</v>
      </c>
      <c r="E3615" t="s">
        <v>567</v>
      </c>
      <c r="F3615" t="s">
        <v>52</v>
      </c>
      <c r="G3615" t="s">
        <v>111</v>
      </c>
      <c r="H3615" t="s">
        <v>118</v>
      </c>
      <c r="I3615" t="s">
        <v>112</v>
      </c>
      <c r="J3615" t="s">
        <v>119</v>
      </c>
      <c r="K3615" t="s">
        <v>1746</v>
      </c>
      <c r="L3615" t="s">
        <v>1746</v>
      </c>
    </row>
    <row r="3616" spans="1:12" x14ac:dyDescent="0.3">
      <c r="A3616" t="s">
        <v>709</v>
      </c>
      <c r="B3616" t="s">
        <v>1461</v>
      </c>
      <c r="C3616" t="s">
        <v>750</v>
      </c>
      <c r="D3616" t="s">
        <v>327</v>
      </c>
      <c r="E3616" t="s">
        <v>567</v>
      </c>
      <c r="F3616" t="s">
        <v>104</v>
      </c>
      <c r="G3616" t="s">
        <v>111</v>
      </c>
      <c r="H3616" t="s">
        <v>113</v>
      </c>
      <c r="I3616" t="s">
        <v>112</v>
      </c>
      <c r="J3616" t="s">
        <v>114</v>
      </c>
      <c r="K3616" t="s">
        <v>1746</v>
      </c>
      <c r="L3616" t="s">
        <v>1746</v>
      </c>
    </row>
    <row r="3617" spans="1:12" x14ac:dyDescent="0.3">
      <c r="A3617" t="s">
        <v>709</v>
      </c>
      <c r="B3617" t="s">
        <v>1461</v>
      </c>
      <c r="C3617" t="s">
        <v>750</v>
      </c>
      <c r="D3617" t="s">
        <v>273</v>
      </c>
      <c r="E3617" t="s">
        <v>567</v>
      </c>
      <c r="F3617" t="s">
        <v>176</v>
      </c>
      <c r="G3617" t="s">
        <v>111</v>
      </c>
      <c r="H3617" t="s">
        <v>113</v>
      </c>
      <c r="I3617" t="s">
        <v>112</v>
      </c>
      <c r="J3617" t="s">
        <v>114</v>
      </c>
      <c r="K3617" t="s">
        <v>1746</v>
      </c>
      <c r="L3617" t="s">
        <v>1746</v>
      </c>
    </row>
    <row r="3618" spans="1:12" x14ac:dyDescent="0.3">
      <c r="A3618" t="s">
        <v>709</v>
      </c>
      <c r="B3618" t="s">
        <v>1461</v>
      </c>
      <c r="C3618" t="s">
        <v>750</v>
      </c>
      <c r="D3618" t="s">
        <v>274</v>
      </c>
      <c r="E3618" t="s">
        <v>567</v>
      </c>
      <c r="F3618" t="s">
        <v>146</v>
      </c>
      <c r="G3618" t="s">
        <v>111</v>
      </c>
      <c r="H3618" t="s">
        <v>113</v>
      </c>
      <c r="I3618" t="s">
        <v>112</v>
      </c>
      <c r="J3618" t="s">
        <v>114</v>
      </c>
      <c r="K3618" t="s">
        <v>1746</v>
      </c>
      <c r="L3618" t="s">
        <v>1746</v>
      </c>
    </row>
    <row r="3619" spans="1:12" x14ac:dyDescent="0.3">
      <c r="A3619" t="s">
        <v>709</v>
      </c>
      <c r="B3619" t="s">
        <v>1461</v>
      </c>
      <c r="C3619" t="s">
        <v>750</v>
      </c>
      <c r="D3619" t="s">
        <v>275</v>
      </c>
      <c r="E3619" t="s">
        <v>567</v>
      </c>
      <c r="F3619" t="s">
        <v>148</v>
      </c>
      <c r="G3619" t="s">
        <v>111</v>
      </c>
      <c r="H3619" t="s">
        <v>113</v>
      </c>
      <c r="I3619" t="s">
        <v>112</v>
      </c>
      <c r="J3619" t="s">
        <v>114</v>
      </c>
      <c r="K3619" t="s">
        <v>1748</v>
      </c>
      <c r="L3619" t="s">
        <v>1748</v>
      </c>
    </row>
    <row r="3620" spans="1:12" x14ac:dyDescent="0.3">
      <c r="A3620" t="s">
        <v>709</v>
      </c>
      <c r="B3620" t="s">
        <v>1461</v>
      </c>
      <c r="C3620" t="s">
        <v>750</v>
      </c>
      <c r="D3620" t="s">
        <v>276</v>
      </c>
      <c r="E3620" t="s">
        <v>567</v>
      </c>
      <c r="F3620" t="s">
        <v>149</v>
      </c>
      <c r="G3620" t="s">
        <v>111</v>
      </c>
      <c r="H3620" t="s">
        <v>113</v>
      </c>
      <c r="I3620" t="s">
        <v>112</v>
      </c>
      <c r="J3620" t="s">
        <v>114</v>
      </c>
      <c r="K3620" t="s">
        <v>1746</v>
      </c>
      <c r="L3620" t="s">
        <v>1746</v>
      </c>
    </row>
    <row r="3621" spans="1:12" x14ac:dyDescent="0.3">
      <c r="A3621" t="s">
        <v>709</v>
      </c>
      <c r="B3621" t="s">
        <v>1461</v>
      </c>
      <c r="C3621" t="s">
        <v>750</v>
      </c>
      <c r="D3621" t="s">
        <v>277</v>
      </c>
      <c r="E3621" t="s">
        <v>567</v>
      </c>
      <c r="F3621" t="s">
        <v>83</v>
      </c>
      <c r="G3621" t="s">
        <v>111</v>
      </c>
      <c r="H3621" t="s">
        <v>113</v>
      </c>
      <c r="I3621" t="s">
        <v>112</v>
      </c>
      <c r="J3621" t="s">
        <v>114</v>
      </c>
      <c r="K3621" t="s">
        <v>1748</v>
      </c>
      <c r="L3621" t="s">
        <v>1748</v>
      </c>
    </row>
    <row r="3622" spans="1:12" x14ac:dyDescent="0.3">
      <c r="A3622" t="s">
        <v>709</v>
      </c>
      <c r="B3622" t="s">
        <v>1461</v>
      </c>
      <c r="C3622" t="s">
        <v>750</v>
      </c>
      <c r="D3622" t="s">
        <v>278</v>
      </c>
      <c r="E3622" t="s">
        <v>567</v>
      </c>
      <c r="F3622" t="s">
        <v>203</v>
      </c>
      <c r="G3622" t="s">
        <v>111</v>
      </c>
      <c r="H3622" t="s">
        <v>113</v>
      </c>
      <c r="I3622" t="s">
        <v>112</v>
      </c>
      <c r="J3622" t="s">
        <v>114</v>
      </c>
      <c r="K3622" t="s">
        <v>1746</v>
      </c>
      <c r="L3622" t="s">
        <v>1746</v>
      </c>
    </row>
    <row r="3623" spans="1:12" x14ac:dyDescent="0.3">
      <c r="A3623" t="s">
        <v>709</v>
      </c>
      <c r="B3623" t="s">
        <v>1461</v>
      </c>
      <c r="C3623" t="s">
        <v>750</v>
      </c>
      <c r="D3623" t="s">
        <v>279</v>
      </c>
      <c r="E3623" t="s">
        <v>567</v>
      </c>
      <c r="F3623" t="s">
        <v>150</v>
      </c>
      <c r="G3623" t="s">
        <v>111</v>
      </c>
      <c r="H3623" t="s">
        <v>113</v>
      </c>
      <c r="I3623" t="s">
        <v>112</v>
      </c>
      <c r="J3623" t="s">
        <v>114</v>
      </c>
      <c r="K3623" t="s">
        <v>1750</v>
      </c>
      <c r="L3623" t="s">
        <v>1750</v>
      </c>
    </row>
    <row r="3624" spans="1:12" x14ac:dyDescent="0.3">
      <c r="A3624" t="s">
        <v>709</v>
      </c>
      <c r="B3624" t="s">
        <v>1461</v>
      </c>
      <c r="C3624" t="s">
        <v>750</v>
      </c>
      <c r="D3624" t="s">
        <v>280</v>
      </c>
      <c r="E3624" t="s">
        <v>567</v>
      </c>
      <c r="F3624" t="s">
        <v>71</v>
      </c>
      <c r="G3624" t="s">
        <v>111</v>
      </c>
      <c r="H3624" t="s">
        <v>113</v>
      </c>
      <c r="I3624" t="s">
        <v>112</v>
      </c>
      <c r="J3624" t="s">
        <v>114</v>
      </c>
      <c r="K3624" t="s">
        <v>1746</v>
      </c>
      <c r="L3624" t="s">
        <v>1746</v>
      </c>
    </row>
    <row r="3625" spans="1:12" x14ac:dyDescent="0.3">
      <c r="A3625" t="s">
        <v>709</v>
      </c>
      <c r="B3625" t="s">
        <v>1461</v>
      </c>
      <c r="C3625" t="s">
        <v>750</v>
      </c>
      <c r="D3625" t="s">
        <v>282</v>
      </c>
      <c r="E3625" t="s">
        <v>567</v>
      </c>
      <c r="F3625" t="s">
        <v>90</v>
      </c>
      <c r="G3625" t="s">
        <v>111</v>
      </c>
      <c r="H3625" t="s">
        <v>118</v>
      </c>
      <c r="I3625" t="s">
        <v>112</v>
      </c>
      <c r="J3625" t="s">
        <v>119</v>
      </c>
      <c r="K3625" t="s">
        <v>1746</v>
      </c>
      <c r="L3625" t="s">
        <v>1746</v>
      </c>
    </row>
    <row r="3626" spans="1:12" x14ac:dyDescent="0.3">
      <c r="A3626" t="s">
        <v>709</v>
      </c>
      <c r="B3626" t="s">
        <v>1461</v>
      </c>
      <c r="C3626" t="s">
        <v>750</v>
      </c>
      <c r="D3626" t="s">
        <v>329</v>
      </c>
      <c r="E3626" t="s">
        <v>567</v>
      </c>
      <c r="F3626" t="s">
        <v>92</v>
      </c>
      <c r="G3626" t="s">
        <v>111</v>
      </c>
      <c r="H3626" t="s">
        <v>113</v>
      </c>
      <c r="I3626" t="s">
        <v>112</v>
      </c>
      <c r="J3626" t="s">
        <v>114</v>
      </c>
      <c r="K3626" t="s">
        <v>1746</v>
      </c>
      <c r="L3626" t="s">
        <v>1746</v>
      </c>
    </row>
    <row r="3627" spans="1:12" x14ac:dyDescent="0.3">
      <c r="A3627" t="s">
        <v>709</v>
      </c>
      <c r="B3627" t="s">
        <v>1461</v>
      </c>
      <c r="C3627" t="s">
        <v>750</v>
      </c>
      <c r="D3627" t="s">
        <v>283</v>
      </c>
      <c r="E3627" t="s">
        <v>567</v>
      </c>
      <c r="F3627" t="s">
        <v>63</v>
      </c>
      <c r="G3627" t="s">
        <v>111</v>
      </c>
      <c r="H3627" t="s">
        <v>118</v>
      </c>
      <c r="I3627" t="s">
        <v>112</v>
      </c>
      <c r="J3627" t="s">
        <v>119</v>
      </c>
      <c r="K3627" t="s">
        <v>1746</v>
      </c>
      <c r="L3627" t="s">
        <v>1746</v>
      </c>
    </row>
    <row r="3628" spans="1:12" x14ac:dyDescent="0.3">
      <c r="A3628" t="s">
        <v>709</v>
      </c>
      <c r="B3628" t="s">
        <v>1461</v>
      </c>
      <c r="C3628" t="s">
        <v>750</v>
      </c>
      <c r="D3628" t="s">
        <v>284</v>
      </c>
      <c r="E3628" t="s">
        <v>567</v>
      </c>
      <c r="F3628" t="s">
        <v>151</v>
      </c>
      <c r="G3628" t="s">
        <v>111</v>
      </c>
      <c r="H3628" t="s">
        <v>113</v>
      </c>
      <c r="I3628" t="s">
        <v>112</v>
      </c>
      <c r="J3628" t="s">
        <v>114</v>
      </c>
      <c r="K3628" t="s">
        <v>1748</v>
      </c>
      <c r="L3628" t="s">
        <v>1748</v>
      </c>
    </row>
    <row r="3629" spans="1:12" x14ac:dyDescent="0.3">
      <c r="A3629" t="s">
        <v>709</v>
      </c>
      <c r="B3629" t="s">
        <v>1461</v>
      </c>
      <c r="C3629" t="s">
        <v>750</v>
      </c>
      <c r="D3629" t="s">
        <v>285</v>
      </c>
      <c r="E3629" t="s">
        <v>567</v>
      </c>
      <c r="F3629" t="s">
        <v>195</v>
      </c>
      <c r="G3629" t="s">
        <v>111</v>
      </c>
      <c r="H3629" t="s">
        <v>113</v>
      </c>
      <c r="I3629" t="s">
        <v>112</v>
      </c>
      <c r="J3629" t="s">
        <v>114</v>
      </c>
      <c r="K3629" t="s">
        <v>1750</v>
      </c>
      <c r="L3629" t="s">
        <v>1750</v>
      </c>
    </row>
    <row r="3630" spans="1:12" x14ac:dyDescent="0.3">
      <c r="A3630" t="s">
        <v>709</v>
      </c>
      <c r="B3630" t="s">
        <v>1461</v>
      </c>
      <c r="C3630" t="s">
        <v>750</v>
      </c>
      <c r="D3630" t="s">
        <v>330</v>
      </c>
      <c r="E3630" t="s">
        <v>567</v>
      </c>
      <c r="F3630" t="s">
        <v>177</v>
      </c>
      <c r="G3630" t="s">
        <v>111</v>
      </c>
      <c r="H3630" t="s">
        <v>147</v>
      </c>
      <c r="I3630" t="s">
        <v>112</v>
      </c>
      <c r="J3630" t="s">
        <v>119</v>
      </c>
      <c r="K3630" t="s">
        <v>1751</v>
      </c>
      <c r="L3630" t="s">
        <v>1751</v>
      </c>
    </row>
    <row r="3631" spans="1:12" x14ac:dyDescent="0.3">
      <c r="A3631" t="s">
        <v>709</v>
      </c>
      <c r="B3631" t="s">
        <v>1461</v>
      </c>
      <c r="C3631" t="s">
        <v>750</v>
      </c>
      <c r="D3631" t="s">
        <v>288</v>
      </c>
      <c r="E3631" t="s">
        <v>567</v>
      </c>
      <c r="F3631" t="s">
        <v>178</v>
      </c>
      <c r="G3631" t="s">
        <v>111</v>
      </c>
      <c r="H3631" t="s">
        <v>113</v>
      </c>
      <c r="I3631" t="s">
        <v>112</v>
      </c>
      <c r="J3631" t="s">
        <v>114</v>
      </c>
      <c r="K3631" t="s">
        <v>1746</v>
      </c>
      <c r="L3631" t="s">
        <v>1746</v>
      </c>
    </row>
    <row r="3632" spans="1:12" x14ac:dyDescent="0.3">
      <c r="A3632" t="s">
        <v>709</v>
      </c>
      <c r="B3632" t="s">
        <v>1461</v>
      </c>
      <c r="C3632" t="s">
        <v>750</v>
      </c>
      <c r="D3632" t="s">
        <v>289</v>
      </c>
      <c r="E3632" t="s">
        <v>567</v>
      </c>
      <c r="F3632" t="s">
        <v>179</v>
      </c>
      <c r="G3632" t="s">
        <v>111</v>
      </c>
      <c r="H3632" t="s">
        <v>118</v>
      </c>
      <c r="I3632" t="s">
        <v>112</v>
      </c>
      <c r="J3632" t="s">
        <v>119</v>
      </c>
      <c r="K3632" t="s">
        <v>1746</v>
      </c>
      <c r="L3632" t="s">
        <v>1746</v>
      </c>
    </row>
    <row r="3633" spans="1:12" x14ac:dyDescent="0.3">
      <c r="A3633" t="s">
        <v>709</v>
      </c>
      <c r="B3633" t="s">
        <v>1461</v>
      </c>
      <c r="C3633" t="s">
        <v>750</v>
      </c>
      <c r="D3633" t="s">
        <v>290</v>
      </c>
      <c r="E3633" t="s">
        <v>567</v>
      </c>
      <c r="F3633" t="s">
        <v>153</v>
      </c>
      <c r="G3633" t="s">
        <v>111</v>
      </c>
      <c r="H3633" t="s">
        <v>113</v>
      </c>
      <c r="I3633" t="s">
        <v>112</v>
      </c>
      <c r="J3633" t="s">
        <v>114</v>
      </c>
      <c r="K3633" t="s">
        <v>422</v>
      </c>
      <c r="L3633" t="s">
        <v>422</v>
      </c>
    </row>
    <row r="3634" spans="1:12" x14ac:dyDescent="0.3">
      <c r="A3634" t="s">
        <v>709</v>
      </c>
      <c r="B3634" t="s">
        <v>1461</v>
      </c>
      <c r="C3634" t="s">
        <v>750</v>
      </c>
      <c r="D3634" t="s">
        <v>291</v>
      </c>
      <c r="E3634" t="s">
        <v>567</v>
      </c>
      <c r="F3634" t="s">
        <v>154</v>
      </c>
      <c r="G3634" t="s">
        <v>111</v>
      </c>
      <c r="H3634" t="s">
        <v>113</v>
      </c>
      <c r="I3634" t="s">
        <v>112</v>
      </c>
      <c r="J3634" t="s">
        <v>114</v>
      </c>
      <c r="K3634" t="s">
        <v>1749</v>
      </c>
      <c r="L3634" t="s">
        <v>1749</v>
      </c>
    </row>
    <row r="3635" spans="1:12" x14ac:dyDescent="0.3">
      <c r="A3635" t="s">
        <v>709</v>
      </c>
      <c r="B3635" t="s">
        <v>1461</v>
      </c>
      <c r="C3635" t="s">
        <v>750</v>
      </c>
      <c r="D3635" t="s">
        <v>292</v>
      </c>
      <c r="E3635" t="s">
        <v>567</v>
      </c>
      <c r="F3635" t="s">
        <v>55</v>
      </c>
      <c r="G3635" t="s">
        <v>111</v>
      </c>
      <c r="H3635" t="s">
        <v>118</v>
      </c>
      <c r="I3635" t="s">
        <v>112</v>
      </c>
      <c r="J3635" t="s">
        <v>119</v>
      </c>
      <c r="K3635" t="s">
        <v>1746</v>
      </c>
      <c r="L3635" t="s">
        <v>1746</v>
      </c>
    </row>
    <row r="3636" spans="1:12" x14ac:dyDescent="0.3">
      <c r="A3636" t="s">
        <v>709</v>
      </c>
      <c r="B3636" t="s">
        <v>1461</v>
      </c>
      <c r="C3636" t="s">
        <v>750</v>
      </c>
      <c r="D3636" t="s">
        <v>334</v>
      </c>
      <c r="E3636" t="s">
        <v>567</v>
      </c>
      <c r="F3636" t="s">
        <v>155</v>
      </c>
      <c r="G3636" t="s">
        <v>111</v>
      </c>
      <c r="H3636" t="s">
        <v>113</v>
      </c>
      <c r="I3636" t="s">
        <v>112</v>
      </c>
      <c r="J3636" t="s">
        <v>114</v>
      </c>
      <c r="K3636" t="s">
        <v>1748</v>
      </c>
      <c r="L3636" t="s">
        <v>1748</v>
      </c>
    </row>
    <row r="3637" spans="1:12" x14ac:dyDescent="0.3">
      <c r="A3637" t="s">
        <v>709</v>
      </c>
      <c r="B3637" t="s">
        <v>1461</v>
      </c>
      <c r="C3637" t="s">
        <v>750</v>
      </c>
      <c r="D3637" t="s">
        <v>295</v>
      </c>
      <c r="E3637" t="s">
        <v>567</v>
      </c>
      <c r="F3637" t="s">
        <v>103</v>
      </c>
      <c r="G3637" t="s">
        <v>111</v>
      </c>
      <c r="H3637" t="s">
        <v>113</v>
      </c>
      <c r="I3637" t="s">
        <v>112</v>
      </c>
      <c r="J3637" t="s">
        <v>114</v>
      </c>
      <c r="K3637" t="s">
        <v>1746</v>
      </c>
      <c r="L3637" t="s">
        <v>1746</v>
      </c>
    </row>
    <row r="3638" spans="1:12" x14ac:dyDescent="0.3">
      <c r="A3638" t="s">
        <v>709</v>
      </c>
      <c r="B3638" t="s">
        <v>1461</v>
      </c>
      <c r="C3638" t="s">
        <v>750</v>
      </c>
      <c r="D3638" t="s">
        <v>337</v>
      </c>
      <c r="E3638" t="s">
        <v>567</v>
      </c>
      <c r="F3638" t="s">
        <v>157</v>
      </c>
      <c r="G3638" t="s">
        <v>111</v>
      </c>
      <c r="H3638" t="s">
        <v>113</v>
      </c>
      <c r="I3638" t="s">
        <v>112</v>
      </c>
      <c r="J3638" t="s">
        <v>114</v>
      </c>
      <c r="K3638" t="s">
        <v>1746</v>
      </c>
      <c r="L3638" t="s">
        <v>1746</v>
      </c>
    </row>
    <row r="3639" spans="1:12" x14ac:dyDescent="0.3">
      <c r="A3639" t="s">
        <v>709</v>
      </c>
      <c r="B3639" t="s">
        <v>1461</v>
      </c>
      <c r="C3639" t="s">
        <v>750</v>
      </c>
      <c r="D3639" t="s">
        <v>296</v>
      </c>
      <c r="E3639" t="s">
        <v>567</v>
      </c>
      <c r="F3639" t="s">
        <v>198</v>
      </c>
      <c r="G3639" t="s">
        <v>111</v>
      </c>
      <c r="H3639" t="s">
        <v>113</v>
      </c>
      <c r="I3639" t="s">
        <v>112</v>
      </c>
      <c r="J3639" t="s">
        <v>114</v>
      </c>
      <c r="K3639" t="s">
        <v>1746</v>
      </c>
      <c r="L3639" t="s">
        <v>1746</v>
      </c>
    </row>
    <row r="3640" spans="1:12" x14ac:dyDescent="0.3">
      <c r="A3640" t="s">
        <v>709</v>
      </c>
      <c r="B3640" t="s">
        <v>1461</v>
      </c>
      <c r="C3640" t="s">
        <v>750</v>
      </c>
      <c r="D3640" t="s">
        <v>297</v>
      </c>
      <c r="E3640" t="s">
        <v>567</v>
      </c>
      <c r="F3640" t="s">
        <v>180</v>
      </c>
      <c r="G3640" t="s">
        <v>111</v>
      </c>
      <c r="H3640" t="s">
        <v>118</v>
      </c>
      <c r="I3640" t="s">
        <v>112</v>
      </c>
      <c r="J3640" t="s">
        <v>119</v>
      </c>
      <c r="K3640" t="s">
        <v>1748</v>
      </c>
      <c r="L3640" t="s">
        <v>1748</v>
      </c>
    </row>
    <row r="3641" spans="1:12" x14ac:dyDescent="0.3">
      <c r="A3641" t="s">
        <v>709</v>
      </c>
      <c r="B3641" t="s">
        <v>1461</v>
      </c>
      <c r="C3641" t="s">
        <v>750</v>
      </c>
      <c r="D3641" t="s">
        <v>298</v>
      </c>
      <c r="E3641" t="s">
        <v>567</v>
      </c>
      <c r="F3641" t="s">
        <v>158</v>
      </c>
      <c r="G3641" t="s">
        <v>111</v>
      </c>
      <c r="H3641" t="s">
        <v>113</v>
      </c>
      <c r="I3641" t="s">
        <v>112</v>
      </c>
      <c r="J3641" t="s">
        <v>114</v>
      </c>
      <c r="K3641" t="s">
        <v>1748</v>
      </c>
      <c r="L3641" t="s">
        <v>1748</v>
      </c>
    </row>
    <row r="3642" spans="1:12" x14ac:dyDescent="0.3">
      <c r="A3642" t="s">
        <v>709</v>
      </c>
      <c r="B3642" t="s">
        <v>1461</v>
      </c>
      <c r="C3642" t="s">
        <v>750</v>
      </c>
      <c r="D3642" t="s">
        <v>336</v>
      </c>
      <c r="E3642" t="s">
        <v>567</v>
      </c>
      <c r="F3642" t="s">
        <v>159</v>
      </c>
      <c r="G3642" t="s">
        <v>111</v>
      </c>
      <c r="H3642" t="s">
        <v>113</v>
      </c>
      <c r="I3642" t="s">
        <v>112</v>
      </c>
      <c r="J3642" t="s">
        <v>114</v>
      </c>
      <c r="K3642" t="s">
        <v>1746</v>
      </c>
      <c r="L3642" t="s">
        <v>1746</v>
      </c>
    </row>
    <row r="3643" spans="1:12" x14ac:dyDescent="0.3">
      <c r="A3643" t="s">
        <v>709</v>
      </c>
      <c r="B3643" t="s">
        <v>1461</v>
      </c>
      <c r="C3643" t="s">
        <v>750</v>
      </c>
      <c r="D3643" t="s">
        <v>299</v>
      </c>
      <c r="E3643" t="s">
        <v>567</v>
      </c>
      <c r="F3643" t="s">
        <v>47</v>
      </c>
      <c r="G3643" t="s">
        <v>111</v>
      </c>
      <c r="H3643" t="s">
        <v>113</v>
      </c>
      <c r="I3643" t="s">
        <v>112</v>
      </c>
      <c r="J3643" t="s">
        <v>114</v>
      </c>
      <c r="K3643" t="s">
        <v>1746</v>
      </c>
      <c r="L3643" t="s">
        <v>1746</v>
      </c>
    </row>
    <row r="3644" spans="1:12" x14ac:dyDescent="0.3">
      <c r="A3644" t="s">
        <v>709</v>
      </c>
      <c r="B3644" t="s">
        <v>1461</v>
      </c>
      <c r="C3644" t="s">
        <v>750</v>
      </c>
      <c r="D3644" t="s">
        <v>300</v>
      </c>
      <c r="E3644" t="s">
        <v>567</v>
      </c>
      <c r="F3644" t="s">
        <v>181</v>
      </c>
      <c r="G3644" t="s">
        <v>111</v>
      </c>
      <c r="H3644" t="s">
        <v>118</v>
      </c>
      <c r="I3644" t="s">
        <v>112</v>
      </c>
      <c r="J3644" t="s">
        <v>119</v>
      </c>
      <c r="K3644" t="s">
        <v>1746</v>
      </c>
      <c r="L3644" t="s">
        <v>1746</v>
      </c>
    </row>
    <row r="3645" spans="1:12" x14ac:dyDescent="0.3">
      <c r="A3645" t="s">
        <v>709</v>
      </c>
      <c r="B3645" t="s">
        <v>1461</v>
      </c>
      <c r="C3645" t="s">
        <v>750</v>
      </c>
      <c r="D3645" t="s">
        <v>208</v>
      </c>
      <c r="E3645" t="s">
        <v>567</v>
      </c>
      <c r="F3645" t="s">
        <v>161</v>
      </c>
      <c r="G3645" t="s">
        <v>111</v>
      </c>
      <c r="H3645" t="s">
        <v>113</v>
      </c>
      <c r="I3645" t="s">
        <v>112</v>
      </c>
      <c r="J3645" t="s">
        <v>114</v>
      </c>
      <c r="K3645" t="s">
        <v>1746</v>
      </c>
      <c r="L3645" t="s">
        <v>1746</v>
      </c>
    </row>
    <row r="3646" spans="1:12" x14ac:dyDescent="0.3">
      <c r="A3646" t="s">
        <v>709</v>
      </c>
      <c r="B3646" t="s">
        <v>1461</v>
      </c>
      <c r="C3646" t="s">
        <v>750</v>
      </c>
      <c r="D3646" t="s">
        <v>1581</v>
      </c>
      <c r="E3646" t="s">
        <v>569</v>
      </c>
      <c r="F3646" t="s">
        <v>115</v>
      </c>
      <c r="G3646" t="s">
        <v>111</v>
      </c>
      <c r="H3646" t="s">
        <v>113</v>
      </c>
      <c r="I3646" t="s">
        <v>112</v>
      </c>
      <c r="J3646" t="s">
        <v>114</v>
      </c>
      <c r="K3646" t="s">
        <v>1745</v>
      </c>
      <c r="L3646" t="s">
        <v>1745</v>
      </c>
    </row>
    <row r="3647" spans="1:12" x14ac:dyDescent="0.3">
      <c r="A3647" t="s">
        <v>709</v>
      </c>
      <c r="B3647" t="s">
        <v>1461</v>
      </c>
      <c r="C3647" t="s">
        <v>750</v>
      </c>
      <c r="D3647" t="s">
        <v>1583</v>
      </c>
      <c r="E3647" t="s">
        <v>569</v>
      </c>
      <c r="F3647" t="s">
        <v>59</v>
      </c>
      <c r="G3647" t="s">
        <v>111</v>
      </c>
      <c r="H3647" t="s">
        <v>113</v>
      </c>
      <c r="I3647" t="s">
        <v>112</v>
      </c>
      <c r="J3647" t="s">
        <v>114</v>
      </c>
      <c r="K3647" t="s">
        <v>1746</v>
      </c>
      <c r="L3647" t="s">
        <v>1746</v>
      </c>
    </row>
    <row r="3648" spans="1:12" x14ac:dyDescent="0.3">
      <c r="A3648" t="s">
        <v>709</v>
      </c>
      <c r="B3648" t="s">
        <v>1461</v>
      </c>
      <c r="C3648" t="s">
        <v>750</v>
      </c>
      <c r="D3648" t="s">
        <v>1584</v>
      </c>
      <c r="E3648" t="s">
        <v>569</v>
      </c>
      <c r="F3648" t="s">
        <v>117</v>
      </c>
      <c r="G3648" t="s">
        <v>111</v>
      </c>
      <c r="H3648" t="s">
        <v>113</v>
      </c>
      <c r="I3648" t="s">
        <v>112</v>
      </c>
      <c r="J3648" t="s">
        <v>114</v>
      </c>
      <c r="K3648" t="s">
        <v>1745</v>
      </c>
      <c r="L3648" t="s">
        <v>1745</v>
      </c>
    </row>
    <row r="3649" spans="1:12" x14ac:dyDescent="0.3">
      <c r="A3649" t="s">
        <v>709</v>
      </c>
      <c r="B3649" t="s">
        <v>1461</v>
      </c>
      <c r="C3649" t="s">
        <v>750</v>
      </c>
      <c r="D3649" t="s">
        <v>1585</v>
      </c>
      <c r="E3649" t="s">
        <v>569</v>
      </c>
      <c r="F3649" t="s">
        <v>188</v>
      </c>
      <c r="G3649" t="s">
        <v>111</v>
      </c>
      <c r="H3649" t="s">
        <v>113</v>
      </c>
      <c r="I3649" t="s">
        <v>112</v>
      </c>
      <c r="J3649" t="s">
        <v>114</v>
      </c>
      <c r="K3649" t="s">
        <v>1745</v>
      </c>
      <c r="L3649" t="s">
        <v>1745</v>
      </c>
    </row>
    <row r="3650" spans="1:12" x14ac:dyDescent="0.3">
      <c r="A3650" t="s">
        <v>709</v>
      </c>
      <c r="B3650" t="s">
        <v>1461</v>
      </c>
      <c r="C3650" t="s">
        <v>750</v>
      </c>
      <c r="D3650" t="s">
        <v>1587</v>
      </c>
      <c r="E3650" t="s">
        <v>569</v>
      </c>
      <c r="F3650" t="s">
        <v>164</v>
      </c>
      <c r="G3650" t="s">
        <v>111</v>
      </c>
      <c r="H3650" t="s">
        <v>113</v>
      </c>
      <c r="I3650" t="s">
        <v>112</v>
      </c>
      <c r="J3650" t="s">
        <v>114</v>
      </c>
      <c r="K3650" t="s">
        <v>1746</v>
      </c>
      <c r="L3650" t="s">
        <v>1746</v>
      </c>
    </row>
    <row r="3651" spans="1:12" x14ac:dyDescent="0.3">
      <c r="A3651" t="s">
        <v>709</v>
      </c>
      <c r="B3651" t="s">
        <v>1461</v>
      </c>
      <c r="C3651" t="s">
        <v>750</v>
      </c>
      <c r="D3651" t="s">
        <v>1588</v>
      </c>
      <c r="E3651" t="s">
        <v>569</v>
      </c>
      <c r="F3651" t="s">
        <v>53</v>
      </c>
      <c r="G3651" t="s">
        <v>111</v>
      </c>
      <c r="H3651" t="s">
        <v>113</v>
      </c>
      <c r="I3651" t="s">
        <v>112</v>
      </c>
      <c r="J3651" t="s">
        <v>114</v>
      </c>
      <c r="K3651" t="s">
        <v>1745</v>
      </c>
      <c r="L3651" t="s">
        <v>1745</v>
      </c>
    </row>
    <row r="3652" spans="1:12" x14ac:dyDescent="0.3">
      <c r="A3652" t="s">
        <v>709</v>
      </c>
      <c r="B3652" t="s">
        <v>1461</v>
      </c>
      <c r="C3652" t="s">
        <v>750</v>
      </c>
      <c r="D3652" t="s">
        <v>1704</v>
      </c>
      <c r="E3652" t="s">
        <v>569</v>
      </c>
      <c r="F3652" t="s">
        <v>121</v>
      </c>
      <c r="G3652" t="s">
        <v>111</v>
      </c>
      <c r="H3652" t="s">
        <v>113</v>
      </c>
      <c r="I3652" t="s">
        <v>112</v>
      </c>
      <c r="J3652" t="s">
        <v>114</v>
      </c>
      <c r="K3652" t="s">
        <v>1748</v>
      </c>
      <c r="L3652" t="s">
        <v>1748</v>
      </c>
    </row>
    <row r="3653" spans="1:12" x14ac:dyDescent="0.3">
      <c r="A3653" t="s">
        <v>709</v>
      </c>
      <c r="B3653" t="s">
        <v>1461</v>
      </c>
      <c r="C3653" t="s">
        <v>750</v>
      </c>
      <c r="D3653" t="s">
        <v>1590</v>
      </c>
      <c r="E3653" t="s">
        <v>569</v>
      </c>
      <c r="F3653" t="s">
        <v>122</v>
      </c>
      <c r="G3653" t="s">
        <v>111</v>
      </c>
      <c r="H3653" t="s">
        <v>113</v>
      </c>
      <c r="I3653" t="s">
        <v>112</v>
      </c>
      <c r="J3653" t="s">
        <v>114</v>
      </c>
      <c r="K3653" t="s">
        <v>1746</v>
      </c>
      <c r="L3653" t="s">
        <v>1746</v>
      </c>
    </row>
    <row r="3654" spans="1:12" x14ac:dyDescent="0.3">
      <c r="A3654" t="s">
        <v>709</v>
      </c>
      <c r="B3654" t="s">
        <v>1461</v>
      </c>
      <c r="C3654" t="s">
        <v>750</v>
      </c>
      <c r="D3654" t="s">
        <v>1591</v>
      </c>
      <c r="E3654" t="s">
        <v>569</v>
      </c>
      <c r="F3654" t="s">
        <v>165</v>
      </c>
      <c r="G3654" t="s">
        <v>111</v>
      </c>
      <c r="H3654" t="s">
        <v>113</v>
      </c>
      <c r="I3654" t="s">
        <v>112</v>
      </c>
      <c r="J3654" t="s">
        <v>114</v>
      </c>
      <c r="K3654" t="s">
        <v>1745</v>
      </c>
      <c r="L3654" t="s">
        <v>1745</v>
      </c>
    </row>
    <row r="3655" spans="1:12" x14ac:dyDescent="0.3">
      <c r="A3655" t="s">
        <v>709</v>
      </c>
      <c r="B3655" t="s">
        <v>1461</v>
      </c>
      <c r="C3655" t="s">
        <v>750</v>
      </c>
      <c r="D3655" t="s">
        <v>1705</v>
      </c>
      <c r="E3655" t="s">
        <v>569</v>
      </c>
      <c r="F3655" t="s">
        <v>166</v>
      </c>
      <c r="G3655" t="s">
        <v>111</v>
      </c>
      <c r="H3655" t="s">
        <v>118</v>
      </c>
      <c r="I3655" t="s">
        <v>112</v>
      </c>
      <c r="J3655" t="s">
        <v>119</v>
      </c>
      <c r="K3655" t="s">
        <v>1745</v>
      </c>
      <c r="L3655" t="s">
        <v>1745</v>
      </c>
    </row>
    <row r="3656" spans="1:12" x14ac:dyDescent="0.3">
      <c r="A3656" t="s">
        <v>709</v>
      </c>
      <c r="B3656" t="s">
        <v>1461</v>
      </c>
      <c r="C3656" t="s">
        <v>750</v>
      </c>
      <c r="D3656" t="s">
        <v>1706</v>
      </c>
      <c r="E3656" t="s">
        <v>569</v>
      </c>
      <c r="F3656" t="s">
        <v>123</v>
      </c>
      <c r="G3656" t="s">
        <v>111</v>
      </c>
      <c r="H3656" t="s">
        <v>118</v>
      </c>
      <c r="I3656" t="s">
        <v>112</v>
      </c>
      <c r="J3656" t="s">
        <v>119</v>
      </c>
      <c r="K3656" t="s">
        <v>1745</v>
      </c>
      <c r="L3656" t="s">
        <v>1745</v>
      </c>
    </row>
    <row r="3657" spans="1:12" x14ac:dyDescent="0.3">
      <c r="A3657" t="s">
        <v>709</v>
      </c>
      <c r="B3657" t="s">
        <v>1461</v>
      </c>
      <c r="C3657" t="s">
        <v>750</v>
      </c>
      <c r="D3657" t="s">
        <v>1707</v>
      </c>
      <c r="E3657" t="s">
        <v>569</v>
      </c>
      <c r="F3657" t="s">
        <v>189</v>
      </c>
      <c r="G3657" t="s">
        <v>111</v>
      </c>
      <c r="H3657" t="s">
        <v>113</v>
      </c>
      <c r="I3657" t="s">
        <v>112</v>
      </c>
      <c r="J3657" t="s">
        <v>114</v>
      </c>
      <c r="K3657" t="s">
        <v>1745</v>
      </c>
      <c r="L3657" t="s">
        <v>1745</v>
      </c>
    </row>
    <row r="3658" spans="1:12" x14ac:dyDescent="0.3">
      <c r="A3658" t="s">
        <v>709</v>
      </c>
      <c r="B3658" t="s">
        <v>1461</v>
      </c>
      <c r="C3658" t="s">
        <v>750</v>
      </c>
      <c r="D3658" t="s">
        <v>1592</v>
      </c>
      <c r="E3658" t="s">
        <v>569</v>
      </c>
      <c r="F3658" t="s">
        <v>54</v>
      </c>
      <c r="G3658" t="s">
        <v>111</v>
      </c>
      <c r="H3658" t="s">
        <v>113</v>
      </c>
      <c r="I3658" t="s">
        <v>112</v>
      </c>
      <c r="J3658" t="s">
        <v>114</v>
      </c>
      <c r="K3658" t="s">
        <v>1745</v>
      </c>
      <c r="L3658" t="s">
        <v>1745</v>
      </c>
    </row>
    <row r="3659" spans="1:12" x14ac:dyDescent="0.3">
      <c r="A3659" t="s">
        <v>709</v>
      </c>
      <c r="B3659" t="s">
        <v>1461</v>
      </c>
      <c r="C3659" t="s">
        <v>750</v>
      </c>
      <c r="D3659" t="s">
        <v>1593</v>
      </c>
      <c r="E3659" t="s">
        <v>569</v>
      </c>
      <c r="F3659" t="s">
        <v>45</v>
      </c>
      <c r="G3659" t="s">
        <v>111</v>
      </c>
      <c r="H3659" t="s">
        <v>113</v>
      </c>
      <c r="I3659" t="s">
        <v>112</v>
      </c>
      <c r="J3659" t="s">
        <v>114</v>
      </c>
      <c r="K3659" t="s">
        <v>1745</v>
      </c>
      <c r="L3659" t="s">
        <v>1745</v>
      </c>
    </row>
    <row r="3660" spans="1:12" x14ac:dyDescent="0.3">
      <c r="A3660" t="s">
        <v>709</v>
      </c>
      <c r="B3660" t="s">
        <v>1461</v>
      </c>
      <c r="C3660" t="s">
        <v>750</v>
      </c>
      <c r="D3660" t="s">
        <v>1597</v>
      </c>
      <c r="E3660" t="s">
        <v>569</v>
      </c>
      <c r="F3660" t="s">
        <v>124</v>
      </c>
      <c r="G3660" t="s">
        <v>111</v>
      </c>
      <c r="H3660" t="s">
        <v>113</v>
      </c>
      <c r="I3660" t="s">
        <v>112</v>
      </c>
      <c r="J3660" t="s">
        <v>114</v>
      </c>
      <c r="K3660" t="s">
        <v>1746</v>
      </c>
      <c r="L3660" t="s">
        <v>1746</v>
      </c>
    </row>
    <row r="3661" spans="1:12" x14ac:dyDescent="0.3">
      <c r="A3661" t="s">
        <v>709</v>
      </c>
      <c r="B3661" t="s">
        <v>1461</v>
      </c>
      <c r="C3661" t="s">
        <v>750</v>
      </c>
      <c r="D3661" t="s">
        <v>1598</v>
      </c>
      <c r="E3661" t="s">
        <v>569</v>
      </c>
      <c r="F3661" t="s">
        <v>58</v>
      </c>
      <c r="G3661" t="s">
        <v>111</v>
      </c>
      <c r="H3661" t="s">
        <v>118</v>
      </c>
      <c r="I3661" t="s">
        <v>112</v>
      </c>
      <c r="J3661" t="s">
        <v>119</v>
      </c>
      <c r="K3661" t="s">
        <v>1746</v>
      </c>
      <c r="L3661" t="s">
        <v>1746</v>
      </c>
    </row>
    <row r="3662" spans="1:12" x14ac:dyDescent="0.3">
      <c r="A3662" t="s">
        <v>709</v>
      </c>
      <c r="B3662" t="s">
        <v>1461</v>
      </c>
      <c r="C3662" t="s">
        <v>750</v>
      </c>
      <c r="D3662" t="s">
        <v>1708</v>
      </c>
      <c r="E3662" t="s">
        <v>569</v>
      </c>
      <c r="F3662" t="s">
        <v>65</v>
      </c>
      <c r="G3662" t="s">
        <v>111</v>
      </c>
      <c r="H3662" t="s">
        <v>113</v>
      </c>
      <c r="I3662" t="s">
        <v>112</v>
      </c>
      <c r="J3662" t="s">
        <v>114</v>
      </c>
      <c r="K3662" t="s">
        <v>1745</v>
      </c>
      <c r="L3662" t="s">
        <v>1745</v>
      </c>
    </row>
    <row r="3663" spans="1:12" x14ac:dyDescent="0.3">
      <c r="A3663" t="s">
        <v>709</v>
      </c>
      <c r="B3663" t="s">
        <v>1461</v>
      </c>
      <c r="C3663" t="s">
        <v>750</v>
      </c>
      <c r="D3663" t="s">
        <v>1709</v>
      </c>
      <c r="E3663" t="s">
        <v>569</v>
      </c>
      <c r="F3663" t="s">
        <v>125</v>
      </c>
      <c r="G3663" t="s">
        <v>111</v>
      </c>
      <c r="H3663" t="s">
        <v>113</v>
      </c>
      <c r="I3663" t="s">
        <v>112</v>
      </c>
      <c r="J3663" t="s">
        <v>114</v>
      </c>
      <c r="K3663" t="s">
        <v>1745</v>
      </c>
      <c r="L3663" t="s">
        <v>1745</v>
      </c>
    </row>
    <row r="3664" spans="1:12" x14ac:dyDescent="0.3">
      <c r="A3664" t="s">
        <v>709</v>
      </c>
      <c r="B3664" t="s">
        <v>1461</v>
      </c>
      <c r="C3664" t="s">
        <v>750</v>
      </c>
      <c r="D3664" t="s">
        <v>1710</v>
      </c>
      <c r="E3664" t="s">
        <v>569</v>
      </c>
      <c r="F3664" t="s">
        <v>80</v>
      </c>
      <c r="G3664" t="s">
        <v>111</v>
      </c>
      <c r="H3664" t="s">
        <v>113</v>
      </c>
      <c r="I3664" t="s">
        <v>112</v>
      </c>
      <c r="J3664" t="s">
        <v>114</v>
      </c>
      <c r="K3664" t="s">
        <v>1752</v>
      </c>
      <c r="L3664" t="s">
        <v>1752</v>
      </c>
    </row>
    <row r="3665" spans="1:12" x14ac:dyDescent="0.3">
      <c r="A3665" t="s">
        <v>709</v>
      </c>
      <c r="B3665" t="s">
        <v>1461</v>
      </c>
      <c r="C3665" t="s">
        <v>750</v>
      </c>
      <c r="D3665" t="s">
        <v>1602</v>
      </c>
      <c r="E3665" t="s">
        <v>569</v>
      </c>
      <c r="F3665" t="s">
        <v>167</v>
      </c>
      <c r="G3665" t="s">
        <v>111</v>
      </c>
      <c r="H3665" t="s">
        <v>118</v>
      </c>
      <c r="I3665" t="s">
        <v>112</v>
      </c>
      <c r="J3665" t="s">
        <v>119</v>
      </c>
      <c r="K3665" t="s">
        <v>1745</v>
      </c>
      <c r="L3665" t="s">
        <v>1745</v>
      </c>
    </row>
    <row r="3666" spans="1:12" x14ac:dyDescent="0.3">
      <c r="A3666" t="s">
        <v>709</v>
      </c>
      <c r="B3666" t="s">
        <v>1461</v>
      </c>
      <c r="C3666" t="s">
        <v>750</v>
      </c>
      <c r="D3666" t="s">
        <v>1606</v>
      </c>
      <c r="E3666" t="s">
        <v>569</v>
      </c>
      <c r="F3666" t="s">
        <v>168</v>
      </c>
      <c r="G3666" t="s">
        <v>111</v>
      </c>
      <c r="H3666" t="s">
        <v>118</v>
      </c>
      <c r="I3666" t="s">
        <v>112</v>
      </c>
      <c r="J3666" t="s">
        <v>119</v>
      </c>
      <c r="K3666" t="s">
        <v>1746</v>
      </c>
      <c r="L3666" t="s">
        <v>1746</v>
      </c>
    </row>
    <row r="3667" spans="1:12" x14ac:dyDescent="0.3">
      <c r="A3667" t="s">
        <v>709</v>
      </c>
      <c r="B3667" t="s">
        <v>1461</v>
      </c>
      <c r="C3667" t="s">
        <v>750</v>
      </c>
      <c r="D3667" t="s">
        <v>1607</v>
      </c>
      <c r="E3667" t="s">
        <v>569</v>
      </c>
      <c r="F3667" t="s">
        <v>89</v>
      </c>
      <c r="G3667" t="s">
        <v>111</v>
      </c>
      <c r="H3667" t="s">
        <v>113</v>
      </c>
      <c r="I3667" t="s">
        <v>112</v>
      </c>
      <c r="J3667" t="s">
        <v>114</v>
      </c>
      <c r="K3667" t="s">
        <v>1745</v>
      </c>
      <c r="L3667" t="s">
        <v>1745</v>
      </c>
    </row>
    <row r="3668" spans="1:12" x14ac:dyDescent="0.3">
      <c r="A3668" t="s">
        <v>709</v>
      </c>
      <c r="B3668" t="s">
        <v>1461</v>
      </c>
      <c r="C3668" t="s">
        <v>750</v>
      </c>
      <c r="D3668" t="s">
        <v>1611</v>
      </c>
      <c r="E3668" t="s">
        <v>569</v>
      </c>
      <c r="F3668" t="s">
        <v>169</v>
      </c>
      <c r="G3668" t="s">
        <v>111</v>
      </c>
      <c r="H3668" t="s">
        <v>118</v>
      </c>
      <c r="I3668" t="s">
        <v>112</v>
      </c>
      <c r="J3668" t="s">
        <v>119</v>
      </c>
      <c r="K3668" t="s">
        <v>1745</v>
      </c>
      <c r="L3668" t="s">
        <v>1745</v>
      </c>
    </row>
    <row r="3669" spans="1:12" x14ac:dyDescent="0.3">
      <c r="A3669" t="s">
        <v>709</v>
      </c>
      <c r="B3669" t="s">
        <v>1461</v>
      </c>
      <c r="C3669" t="s">
        <v>750</v>
      </c>
      <c r="D3669" t="s">
        <v>1612</v>
      </c>
      <c r="E3669" t="s">
        <v>569</v>
      </c>
      <c r="F3669" t="s">
        <v>110</v>
      </c>
      <c r="G3669" t="s">
        <v>111</v>
      </c>
      <c r="H3669" t="s">
        <v>113</v>
      </c>
      <c r="I3669" t="s">
        <v>112</v>
      </c>
      <c r="J3669" t="s">
        <v>114</v>
      </c>
      <c r="K3669" t="s">
        <v>1747</v>
      </c>
      <c r="L3669" t="s">
        <v>1747</v>
      </c>
    </row>
    <row r="3670" spans="1:12" x14ac:dyDescent="0.3">
      <c r="A3670" t="s">
        <v>709</v>
      </c>
      <c r="B3670" t="s">
        <v>1461</v>
      </c>
      <c r="C3670" t="s">
        <v>750</v>
      </c>
      <c r="D3670" t="s">
        <v>1613</v>
      </c>
      <c r="E3670" t="s">
        <v>569</v>
      </c>
      <c r="F3670" t="s">
        <v>93</v>
      </c>
      <c r="G3670" t="s">
        <v>111</v>
      </c>
      <c r="H3670" t="s">
        <v>113</v>
      </c>
      <c r="I3670" t="s">
        <v>112</v>
      </c>
      <c r="J3670" t="s">
        <v>114</v>
      </c>
      <c r="K3670" t="s">
        <v>1745</v>
      </c>
      <c r="L3670" t="s">
        <v>1745</v>
      </c>
    </row>
    <row r="3671" spans="1:12" x14ac:dyDescent="0.3">
      <c r="A3671" t="s">
        <v>709</v>
      </c>
      <c r="B3671" t="s">
        <v>1461</v>
      </c>
      <c r="C3671" t="s">
        <v>750</v>
      </c>
      <c r="D3671" t="s">
        <v>1614</v>
      </c>
      <c r="E3671" t="s">
        <v>569</v>
      </c>
      <c r="F3671" t="s">
        <v>129</v>
      </c>
      <c r="G3671" t="s">
        <v>111</v>
      </c>
      <c r="H3671" t="s">
        <v>113</v>
      </c>
      <c r="I3671" t="s">
        <v>112</v>
      </c>
      <c r="J3671" t="s">
        <v>114</v>
      </c>
      <c r="K3671" t="s">
        <v>1745</v>
      </c>
      <c r="L3671" t="s">
        <v>1745</v>
      </c>
    </row>
    <row r="3672" spans="1:12" x14ac:dyDescent="0.3">
      <c r="A3672" t="s">
        <v>709</v>
      </c>
      <c r="B3672" t="s">
        <v>1461</v>
      </c>
      <c r="C3672" t="s">
        <v>750</v>
      </c>
      <c r="D3672" t="s">
        <v>1711</v>
      </c>
      <c r="E3672" t="s">
        <v>569</v>
      </c>
      <c r="F3672" t="s">
        <v>85</v>
      </c>
      <c r="G3672" t="s">
        <v>111</v>
      </c>
      <c r="H3672" t="s">
        <v>113</v>
      </c>
      <c r="I3672" t="s">
        <v>112</v>
      </c>
      <c r="J3672" t="s">
        <v>114</v>
      </c>
      <c r="K3672" t="s">
        <v>1745</v>
      </c>
      <c r="L3672" t="s">
        <v>1745</v>
      </c>
    </row>
    <row r="3673" spans="1:12" x14ac:dyDescent="0.3">
      <c r="A3673" t="s">
        <v>709</v>
      </c>
      <c r="B3673" t="s">
        <v>1461</v>
      </c>
      <c r="C3673" t="s">
        <v>750</v>
      </c>
      <c r="D3673" t="s">
        <v>1712</v>
      </c>
      <c r="E3673" t="s">
        <v>569</v>
      </c>
      <c r="F3673" t="s">
        <v>61</v>
      </c>
      <c r="G3673" t="s">
        <v>111</v>
      </c>
      <c r="H3673" t="s">
        <v>113</v>
      </c>
      <c r="I3673" t="s">
        <v>112</v>
      </c>
      <c r="J3673" t="s">
        <v>114</v>
      </c>
      <c r="K3673" t="s">
        <v>1745</v>
      </c>
      <c r="L3673" t="s">
        <v>1745</v>
      </c>
    </row>
    <row r="3674" spans="1:12" x14ac:dyDescent="0.3">
      <c r="A3674" t="s">
        <v>709</v>
      </c>
      <c r="B3674" t="s">
        <v>1461</v>
      </c>
      <c r="C3674" t="s">
        <v>750</v>
      </c>
      <c r="D3674" t="s">
        <v>1615</v>
      </c>
      <c r="E3674" t="s">
        <v>569</v>
      </c>
      <c r="F3674" t="s">
        <v>87</v>
      </c>
      <c r="G3674" t="s">
        <v>111</v>
      </c>
      <c r="H3674" t="s">
        <v>113</v>
      </c>
      <c r="I3674" t="s">
        <v>112</v>
      </c>
      <c r="J3674" t="s">
        <v>114</v>
      </c>
      <c r="K3674" t="s">
        <v>1745</v>
      </c>
      <c r="L3674" t="s">
        <v>1745</v>
      </c>
    </row>
    <row r="3675" spans="1:12" x14ac:dyDescent="0.3">
      <c r="A3675" t="s">
        <v>709</v>
      </c>
      <c r="B3675" t="s">
        <v>1461</v>
      </c>
      <c r="C3675" t="s">
        <v>750</v>
      </c>
      <c r="D3675" t="s">
        <v>1616</v>
      </c>
      <c r="E3675" t="s">
        <v>569</v>
      </c>
      <c r="F3675" t="s">
        <v>130</v>
      </c>
      <c r="G3675" t="s">
        <v>111</v>
      </c>
      <c r="H3675" t="s">
        <v>113</v>
      </c>
      <c r="I3675" t="s">
        <v>112</v>
      </c>
      <c r="J3675" t="s">
        <v>114</v>
      </c>
      <c r="K3675" t="s">
        <v>1745</v>
      </c>
      <c r="L3675" t="s">
        <v>1745</v>
      </c>
    </row>
    <row r="3676" spans="1:12" x14ac:dyDescent="0.3">
      <c r="A3676" t="s">
        <v>709</v>
      </c>
      <c r="B3676" t="s">
        <v>1461</v>
      </c>
      <c r="C3676" t="s">
        <v>750</v>
      </c>
      <c r="D3676" t="s">
        <v>1617</v>
      </c>
      <c r="E3676" t="s">
        <v>569</v>
      </c>
      <c r="F3676" t="s">
        <v>131</v>
      </c>
      <c r="G3676" t="s">
        <v>111</v>
      </c>
      <c r="H3676" t="s">
        <v>113</v>
      </c>
      <c r="I3676" t="s">
        <v>112</v>
      </c>
      <c r="J3676" t="s">
        <v>114</v>
      </c>
      <c r="K3676" t="s">
        <v>1745</v>
      </c>
      <c r="L3676" t="s">
        <v>1745</v>
      </c>
    </row>
    <row r="3677" spans="1:12" x14ac:dyDescent="0.3">
      <c r="A3677" t="s">
        <v>709</v>
      </c>
      <c r="B3677" t="s">
        <v>1461</v>
      </c>
      <c r="C3677" t="s">
        <v>750</v>
      </c>
      <c r="D3677" t="s">
        <v>1618</v>
      </c>
      <c r="E3677" t="s">
        <v>569</v>
      </c>
      <c r="F3677" t="s">
        <v>50</v>
      </c>
      <c r="G3677" t="s">
        <v>111</v>
      </c>
      <c r="H3677" t="s">
        <v>113</v>
      </c>
      <c r="I3677" t="s">
        <v>112</v>
      </c>
      <c r="J3677" t="s">
        <v>114</v>
      </c>
      <c r="K3677" t="s">
        <v>1745</v>
      </c>
      <c r="L3677" t="s">
        <v>1745</v>
      </c>
    </row>
    <row r="3678" spans="1:12" x14ac:dyDescent="0.3">
      <c r="A3678" t="s">
        <v>709</v>
      </c>
      <c r="B3678" t="s">
        <v>1461</v>
      </c>
      <c r="C3678" t="s">
        <v>750</v>
      </c>
      <c r="D3678" t="s">
        <v>1713</v>
      </c>
      <c r="E3678" t="s">
        <v>568</v>
      </c>
      <c r="F3678" t="s">
        <v>79</v>
      </c>
      <c r="G3678" t="s">
        <v>111</v>
      </c>
      <c r="H3678" t="s">
        <v>113</v>
      </c>
      <c r="I3678" t="s">
        <v>112</v>
      </c>
      <c r="J3678" t="s">
        <v>114</v>
      </c>
      <c r="K3678" t="s">
        <v>1746</v>
      </c>
      <c r="L3678" t="s">
        <v>1746</v>
      </c>
    </row>
    <row r="3679" spans="1:12" x14ac:dyDescent="0.3">
      <c r="A3679" t="s">
        <v>709</v>
      </c>
      <c r="B3679" t="s">
        <v>1461</v>
      </c>
      <c r="C3679" t="s">
        <v>750</v>
      </c>
      <c r="D3679" t="s">
        <v>1620</v>
      </c>
      <c r="E3679" t="s">
        <v>568</v>
      </c>
      <c r="F3679" t="s">
        <v>134</v>
      </c>
      <c r="G3679" t="s">
        <v>111</v>
      </c>
      <c r="H3679" t="s">
        <v>113</v>
      </c>
      <c r="I3679" t="s">
        <v>112</v>
      </c>
      <c r="J3679" t="s">
        <v>114</v>
      </c>
      <c r="K3679" t="s">
        <v>1746</v>
      </c>
      <c r="L3679" t="s">
        <v>1746</v>
      </c>
    </row>
    <row r="3680" spans="1:12" x14ac:dyDescent="0.3">
      <c r="A3680" t="s">
        <v>709</v>
      </c>
      <c r="B3680" t="s">
        <v>1461</v>
      </c>
      <c r="C3680" t="s">
        <v>750</v>
      </c>
      <c r="D3680" t="s">
        <v>1621</v>
      </c>
      <c r="E3680" t="s">
        <v>568</v>
      </c>
      <c r="F3680" t="s">
        <v>51</v>
      </c>
      <c r="G3680" t="s">
        <v>111</v>
      </c>
      <c r="H3680" t="s">
        <v>118</v>
      </c>
      <c r="I3680" t="s">
        <v>112</v>
      </c>
      <c r="J3680" t="s">
        <v>119</v>
      </c>
      <c r="K3680" t="s">
        <v>1746</v>
      </c>
      <c r="L3680" t="s">
        <v>1746</v>
      </c>
    </row>
    <row r="3681" spans="1:12" x14ac:dyDescent="0.3">
      <c r="A3681" t="s">
        <v>709</v>
      </c>
      <c r="B3681" t="s">
        <v>1461</v>
      </c>
      <c r="C3681" t="s">
        <v>750</v>
      </c>
      <c r="D3681" t="s">
        <v>1622</v>
      </c>
      <c r="E3681" t="s">
        <v>568</v>
      </c>
      <c r="F3681" t="s">
        <v>163</v>
      </c>
      <c r="G3681" t="s">
        <v>111</v>
      </c>
      <c r="H3681" t="s">
        <v>118</v>
      </c>
      <c r="I3681" t="s">
        <v>112</v>
      </c>
      <c r="J3681" t="s">
        <v>119</v>
      </c>
      <c r="K3681" t="s">
        <v>1746</v>
      </c>
      <c r="L3681" t="s">
        <v>1746</v>
      </c>
    </row>
    <row r="3682" spans="1:12" x14ac:dyDescent="0.3">
      <c r="A3682" t="s">
        <v>709</v>
      </c>
      <c r="B3682" t="s">
        <v>1461</v>
      </c>
      <c r="C3682" t="s">
        <v>750</v>
      </c>
      <c r="D3682" t="s">
        <v>1624</v>
      </c>
      <c r="E3682" t="s">
        <v>568</v>
      </c>
      <c r="F3682" t="s">
        <v>78</v>
      </c>
      <c r="G3682" t="s">
        <v>111</v>
      </c>
      <c r="H3682" t="s">
        <v>113</v>
      </c>
      <c r="I3682" t="s">
        <v>112</v>
      </c>
      <c r="J3682" t="s">
        <v>114</v>
      </c>
      <c r="K3682" t="s">
        <v>1746</v>
      </c>
      <c r="L3682" t="s">
        <v>1746</v>
      </c>
    </row>
    <row r="3683" spans="1:12" x14ac:dyDescent="0.3">
      <c r="A3683" t="s">
        <v>709</v>
      </c>
      <c r="B3683" t="s">
        <v>1461</v>
      </c>
      <c r="C3683" t="s">
        <v>750</v>
      </c>
      <c r="D3683" t="s">
        <v>1625</v>
      </c>
      <c r="E3683" t="s">
        <v>568</v>
      </c>
      <c r="F3683" t="s">
        <v>82</v>
      </c>
      <c r="G3683" t="s">
        <v>111</v>
      </c>
      <c r="H3683" t="s">
        <v>113</v>
      </c>
      <c r="I3683" t="s">
        <v>112</v>
      </c>
      <c r="J3683" t="s">
        <v>114</v>
      </c>
      <c r="K3683" t="s">
        <v>1746</v>
      </c>
      <c r="L3683" t="s">
        <v>1746</v>
      </c>
    </row>
    <row r="3684" spans="1:12" x14ac:dyDescent="0.3">
      <c r="A3684" t="s">
        <v>709</v>
      </c>
      <c r="B3684" t="s">
        <v>1461</v>
      </c>
      <c r="C3684" t="s">
        <v>750</v>
      </c>
      <c r="D3684" t="s">
        <v>1626</v>
      </c>
      <c r="E3684" t="s">
        <v>568</v>
      </c>
      <c r="F3684" t="s">
        <v>135</v>
      </c>
      <c r="G3684" t="s">
        <v>111</v>
      </c>
      <c r="H3684" t="s">
        <v>118</v>
      </c>
      <c r="I3684" t="s">
        <v>112</v>
      </c>
      <c r="J3684" t="s">
        <v>119</v>
      </c>
      <c r="K3684" t="s">
        <v>1746</v>
      </c>
      <c r="L3684" t="s">
        <v>1746</v>
      </c>
    </row>
    <row r="3685" spans="1:12" x14ac:dyDescent="0.3">
      <c r="A3685" t="s">
        <v>709</v>
      </c>
      <c r="B3685" t="s">
        <v>1461</v>
      </c>
      <c r="C3685" t="s">
        <v>750</v>
      </c>
      <c r="D3685" t="s">
        <v>1628</v>
      </c>
      <c r="E3685" t="s">
        <v>568</v>
      </c>
      <c r="F3685" t="s">
        <v>60</v>
      </c>
      <c r="G3685" t="s">
        <v>111</v>
      </c>
      <c r="H3685" t="s">
        <v>113</v>
      </c>
      <c r="I3685" t="s">
        <v>112</v>
      </c>
      <c r="J3685" t="s">
        <v>114</v>
      </c>
      <c r="K3685" t="s">
        <v>1746</v>
      </c>
      <c r="L3685" t="s">
        <v>1746</v>
      </c>
    </row>
    <row r="3686" spans="1:12" x14ac:dyDescent="0.3">
      <c r="A3686" t="s">
        <v>709</v>
      </c>
      <c r="B3686" t="s">
        <v>1461</v>
      </c>
      <c r="C3686" t="s">
        <v>750</v>
      </c>
      <c r="D3686" t="s">
        <v>1630</v>
      </c>
      <c r="E3686" t="s">
        <v>568</v>
      </c>
      <c r="F3686" t="s">
        <v>48</v>
      </c>
      <c r="G3686" t="s">
        <v>111</v>
      </c>
      <c r="H3686" t="s">
        <v>113</v>
      </c>
      <c r="I3686" t="s">
        <v>112</v>
      </c>
      <c r="J3686" t="s">
        <v>114</v>
      </c>
      <c r="K3686" t="s">
        <v>1746</v>
      </c>
      <c r="L3686" t="s">
        <v>1746</v>
      </c>
    </row>
    <row r="3687" spans="1:12" x14ac:dyDescent="0.3">
      <c r="A3687" t="s">
        <v>709</v>
      </c>
      <c r="B3687" t="s">
        <v>1461</v>
      </c>
      <c r="C3687" t="s">
        <v>750</v>
      </c>
      <c r="D3687" t="s">
        <v>1632</v>
      </c>
      <c r="E3687" t="s">
        <v>568</v>
      </c>
      <c r="F3687" t="s">
        <v>95</v>
      </c>
      <c r="G3687" t="s">
        <v>111</v>
      </c>
      <c r="H3687" t="s">
        <v>113</v>
      </c>
      <c r="I3687" t="s">
        <v>112</v>
      </c>
      <c r="J3687" t="s">
        <v>114</v>
      </c>
      <c r="K3687" t="s">
        <v>1746</v>
      </c>
      <c r="L3687" t="s">
        <v>1746</v>
      </c>
    </row>
    <row r="3688" spans="1:12" x14ac:dyDescent="0.3">
      <c r="A3688" t="s">
        <v>709</v>
      </c>
      <c r="B3688" t="s">
        <v>1461</v>
      </c>
      <c r="C3688" t="s">
        <v>750</v>
      </c>
      <c r="D3688" t="s">
        <v>1633</v>
      </c>
      <c r="E3688" t="s">
        <v>568</v>
      </c>
      <c r="F3688" t="s">
        <v>139</v>
      </c>
      <c r="G3688" t="s">
        <v>111</v>
      </c>
      <c r="H3688" t="s">
        <v>113</v>
      </c>
      <c r="I3688" t="s">
        <v>112</v>
      </c>
      <c r="J3688" t="s">
        <v>114</v>
      </c>
      <c r="K3688" t="s">
        <v>1746</v>
      </c>
      <c r="L3688" t="s">
        <v>1746</v>
      </c>
    </row>
    <row r="3689" spans="1:12" x14ac:dyDescent="0.3">
      <c r="A3689" t="s">
        <v>709</v>
      </c>
      <c r="B3689" t="s">
        <v>1461</v>
      </c>
      <c r="C3689" t="s">
        <v>750</v>
      </c>
      <c r="D3689" t="s">
        <v>1634</v>
      </c>
      <c r="E3689" t="s">
        <v>568</v>
      </c>
      <c r="F3689" t="s">
        <v>171</v>
      </c>
      <c r="G3689" t="s">
        <v>111</v>
      </c>
      <c r="H3689" t="s">
        <v>118</v>
      </c>
      <c r="I3689" t="s">
        <v>112</v>
      </c>
      <c r="J3689" t="s">
        <v>119</v>
      </c>
      <c r="K3689" t="s">
        <v>1748</v>
      </c>
      <c r="L3689" t="s">
        <v>1748</v>
      </c>
    </row>
    <row r="3690" spans="1:12" x14ac:dyDescent="0.3">
      <c r="A3690" t="s">
        <v>709</v>
      </c>
      <c r="B3690" t="s">
        <v>1461</v>
      </c>
      <c r="C3690" t="s">
        <v>750</v>
      </c>
      <c r="D3690" t="s">
        <v>1636</v>
      </c>
      <c r="E3690" t="s">
        <v>568</v>
      </c>
      <c r="F3690" t="s">
        <v>172</v>
      </c>
      <c r="G3690" t="s">
        <v>111</v>
      </c>
      <c r="H3690" t="s">
        <v>113</v>
      </c>
      <c r="I3690" t="s">
        <v>112</v>
      </c>
      <c r="J3690" t="s">
        <v>114</v>
      </c>
      <c r="K3690" t="s">
        <v>1746</v>
      </c>
      <c r="L3690" t="s">
        <v>1746</v>
      </c>
    </row>
    <row r="3691" spans="1:12" x14ac:dyDescent="0.3">
      <c r="A3691" t="s">
        <v>709</v>
      </c>
      <c r="B3691" t="s">
        <v>1461</v>
      </c>
      <c r="C3691" t="s">
        <v>750</v>
      </c>
      <c r="D3691" t="s">
        <v>1714</v>
      </c>
      <c r="E3691" t="s">
        <v>568</v>
      </c>
      <c r="F3691" t="s">
        <v>94</v>
      </c>
      <c r="G3691" t="s">
        <v>111</v>
      </c>
      <c r="H3691" t="s">
        <v>113</v>
      </c>
      <c r="I3691" t="s">
        <v>112</v>
      </c>
      <c r="J3691" t="s">
        <v>114</v>
      </c>
      <c r="K3691" t="s">
        <v>1746</v>
      </c>
      <c r="L3691" t="s">
        <v>1746</v>
      </c>
    </row>
    <row r="3692" spans="1:12" x14ac:dyDescent="0.3">
      <c r="A3692" t="s">
        <v>709</v>
      </c>
      <c r="B3692" t="s">
        <v>1461</v>
      </c>
      <c r="C3692" t="s">
        <v>750</v>
      </c>
      <c r="D3692" t="s">
        <v>1638</v>
      </c>
      <c r="E3692" t="s">
        <v>568</v>
      </c>
      <c r="F3692" t="s">
        <v>57</v>
      </c>
      <c r="G3692" t="s">
        <v>111</v>
      </c>
      <c r="H3692" t="s">
        <v>113</v>
      </c>
      <c r="I3692" t="s">
        <v>112</v>
      </c>
      <c r="J3692" t="s">
        <v>114</v>
      </c>
      <c r="K3692" t="s">
        <v>1749</v>
      </c>
      <c r="L3692" t="s">
        <v>1749</v>
      </c>
    </row>
    <row r="3693" spans="1:12" x14ac:dyDescent="0.3">
      <c r="A3693" t="s">
        <v>709</v>
      </c>
      <c r="B3693" t="s">
        <v>1461</v>
      </c>
      <c r="C3693" t="s">
        <v>750</v>
      </c>
      <c r="D3693" t="s">
        <v>1715</v>
      </c>
      <c r="E3693" t="s">
        <v>568</v>
      </c>
      <c r="F3693" t="s">
        <v>173</v>
      </c>
      <c r="G3693" t="s">
        <v>111</v>
      </c>
      <c r="H3693" t="s">
        <v>118</v>
      </c>
      <c r="I3693" t="s">
        <v>112</v>
      </c>
      <c r="J3693" t="s">
        <v>119</v>
      </c>
      <c r="K3693" t="s">
        <v>425</v>
      </c>
      <c r="L3693" t="s">
        <v>425</v>
      </c>
    </row>
    <row r="3694" spans="1:12" x14ac:dyDescent="0.3">
      <c r="A3694" t="s">
        <v>709</v>
      </c>
      <c r="B3694" t="s">
        <v>1461</v>
      </c>
      <c r="C3694" t="s">
        <v>750</v>
      </c>
      <c r="D3694" t="s">
        <v>1639</v>
      </c>
      <c r="E3694" t="s">
        <v>568</v>
      </c>
      <c r="F3694" t="s">
        <v>174</v>
      </c>
      <c r="G3694" t="s">
        <v>111</v>
      </c>
      <c r="H3694" t="s">
        <v>113</v>
      </c>
      <c r="I3694" t="s">
        <v>112</v>
      </c>
      <c r="J3694" t="s">
        <v>114</v>
      </c>
      <c r="K3694" t="s">
        <v>1746</v>
      </c>
      <c r="L3694" t="s">
        <v>1746</v>
      </c>
    </row>
    <row r="3695" spans="1:12" x14ac:dyDescent="0.3">
      <c r="A3695" t="s">
        <v>709</v>
      </c>
      <c r="B3695" t="s">
        <v>1461</v>
      </c>
      <c r="C3695" t="s">
        <v>750</v>
      </c>
      <c r="D3695" t="s">
        <v>1716</v>
      </c>
      <c r="E3695" t="s">
        <v>568</v>
      </c>
      <c r="F3695" t="s">
        <v>88</v>
      </c>
      <c r="G3695" t="s">
        <v>111</v>
      </c>
      <c r="H3695" t="s">
        <v>113</v>
      </c>
      <c r="I3695" t="s">
        <v>112</v>
      </c>
      <c r="J3695" t="s">
        <v>114</v>
      </c>
      <c r="K3695" t="s">
        <v>1746</v>
      </c>
      <c r="L3695" t="s">
        <v>1746</v>
      </c>
    </row>
    <row r="3696" spans="1:12" x14ac:dyDescent="0.3">
      <c r="A3696" t="s">
        <v>709</v>
      </c>
      <c r="B3696" t="s">
        <v>1461</v>
      </c>
      <c r="C3696" t="s">
        <v>750</v>
      </c>
      <c r="D3696" t="s">
        <v>1640</v>
      </c>
      <c r="E3696" t="s">
        <v>568</v>
      </c>
      <c r="F3696" t="s">
        <v>77</v>
      </c>
      <c r="G3696" t="s">
        <v>111</v>
      </c>
      <c r="H3696" t="s">
        <v>118</v>
      </c>
      <c r="I3696" t="s">
        <v>112</v>
      </c>
      <c r="J3696" t="s">
        <v>119</v>
      </c>
      <c r="K3696" t="s">
        <v>1748</v>
      </c>
      <c r="L3696" t="s">
        <v>1748</v>
      </c>
    </row>
    <row r="3697" spans="1:12" x14ac:dyDescent="0.3">
      <c r="A3697" t="s">
        <v>709</v>
      </c>
      <c r="B3697" t="s">
        <v>1461</v>
      </c>
      <c r="C3697" t="s">
        <v>750</v>
      </c>
      <c r="D3697" t="s">
        <v>1717</v>
      </c>
      <c r="E3697" t="s">
        <v>568</v>
      </c>
      <c r="F3697" t="s">
        <v>74</v>
      </c>
      <c r="G3697" t="s">
        <v>111</v>
      </c>
      <c r="H3697" t="s">
        <v>118</v>
      </c>
      <c r="I3697" t="s">
        <v>112</v>
      </c>
      <c r="J3697" t="s">
        <v>119</v>
      </c>
      <c r="K3697" t="s">
        <v>1750</v>
      </c>
      <c r="L3697" t="s">
        <v>1750</v>
      </c>
    </row>
    <row r="3698" spans="1:12" x14ac:dyDescent="0.3">
      <c r="A3698" t="s">
        <v>709</v>
      </c>
      <c r="B3698" t="s">
        <v>1461</v>
      </c>
      <c r="C3698" t="s">
        <v>750</v>
      </c>
      <c r="D3698" t="s">
        <v>1718</v>
      </c>
      <c r="E3698" t="s">
        <v>568</v>
      </c>
      <c r="F3698" t="s">
        <v>140</v>
      </c>
      <c r="G3698" t="s">
        <v>111</v>
      </c>
      <c r="H3698" t="s">
        <v>113</v>
      </c>
      <c r="I3698" t="s">
        <v>112</v>
      </c>
      <c r="J3698" t="s">
        <v>114</v>
      </c>
      <c r="K3698" t="s">
        <v>1746</v>
      </c>
      <c r="L3698" t="s">
        <v>1746</v>
      </c>
    </row>
    <row r="3699" spans="1:12" x14ac:dyDescent="0.3">
      <c r="A3699" t="s">
        <v>709</v>
      </c>
      <c r="B3699" t="s">
        <v>1461</v>
      </c>
      <c r="C3699" t="s">
        <v>750</v>
      </c>
      <c r="D3699" t="s">
        <v>1642</v>
      </c>
      <c r="E3699" t="s">
        <v>568</v>
      </c>
      <c r="F3699" t="s">
        <v>175</v>
      </c>
      <c r="G3699" t="s">
        <v>111</v>
      </c>
      <c r="H3699" t="s">
        <v>113</v>
      </c>
      <c r="I3699" t="s">
        <v>112</v>
      </c>
      <c r="J3699" t="s">
        <v>114</v>
      </c>
      <c r="K3699" t="s">
        <v>1746</v>
      </c>
      <c r="L3699" t="s">
        <v>1746</v>
      </c>
    </row>
    <row r="3700" spans="1:12" x14ac:dyDescent="0.3">
      <c r="A3700" t="s">
        <v>709</v>
      </c>
      <c r="B3700" t="s">
        <v>1461</v>
      </c>
      <c r="C3700" t="s">
        <v>750</v>
      </c>
      <c r="D3700" t="s">
        <v>1643</v>
      </c>
      <c r="E3700" t="s">
        <v>568</v>
      </c>
      <c r="F3700" t="s">
        <v>46</v>
      </c>
      <c r="G3700" t="s">
        <v>111</v>
      </c>
      <c r="H3700" t="s">
        <v>113</v>
      </c>
      <c r="I3700" t="s">
        <v>112</v>
      </c>
      <c r="J3700" t="s">
        <v>114</v>
      </c>
      <c r="K3700" t="s">
        <v>1746</v>
      </c>
      <c r="L3700" t="s">
        <v>1746</v>
      </c>
    </row>
    <row r="3701" spans="1:12" x14ac:dyDescent="0.3">
      <c r="A3701" t="s">
        <v>709</v>
      </c>
      <c r="B3701" t="s">
        <v>1461</v>
      </c>
      <c r="C3701" t="s">
        <v>750</v>
      </c>
      <c r="D3701" t="s">
        <v>1645</v>
      </c>
      <c r="E3701" t="s">
        <v>568</v>
      </c>
      <c r="F3701" t="s">
        <v>141</v>
      </c>
      <c r="G3701" t="s">
        <v>111</v>
      </c>
      <c r="H3701" t="s">
        <v>113</v>
      </c>
      <c r="I3701" t="s">
        <v>112</v>
      </c>
      <c r="J3701" t="s">
        <v>114</v>
      </c>
      <c r="K3701" t="s">
        <v>1746</v>
      </c>
      <c r="L3701" t="s">
        <v>1746</v>
      </c>
    </row>
    <row r="3702" spans="1:12" x14ac:dyDescent="0.3">
      <c r="A3702" t="s">
        <v>709</v>
      </c>
      <c r="B3702" t="s">
        <v>1461</v>
      </c>
      <c r="C3702" t="s">
        <v>750</v>
      </c>
      <c r="D3702" t="s">
        <v>1719</v>
      </c>
      <c r="E3702" t="s">
        <v>568</v>
      </c>
      <c r="F3702" t="s">
        <v>64</v>
      </c>
      <c r="G3702" t="s">
        <v>111</v>
      </c>
      <c r="H3702" t="s">
        <v>118</v>
      </c>
      <c r="I3702" t="s">
        <v>112</v>
      </c>
      <c r="J3702" t="s">
        <v>119</v>
      </c>
      <c r="K3702" t="s">
        <v>1746</v>
      </c>
      <c r="L3702" t="s">
        <v>1746</v>
      </c>
    </row>
    <row r="3703" spans="1:12" x14ac:dyDescent="0.3">
      <c r="A3703" t="s">
        <v>709</v>
      </c>
      <c r="B3703" t="s">
        <v>1461</v>
      </c>
      <c r="C3703" t="s">
        <v>750</v>
      </c>
      <c r="D3703" t="s">
        <v>1646</v>
      </c>
      <c r="E3703" t="s">
        <v>568</v>
      </c>
      <c r="F3703" t="s">
        <v>142</v>
      </c>
      <c r="G3703" t="s">
        <v>111</v>
      </c>
      <c r="H3703" t="s">
        <v>160</v>
      </c>
      <c r="I3703" t="s">
        <v>112</v>
      </c>
      <c r="J3703" t="s">
        <v>114</v>
      </c>
      <c r="K3703" t="s">
        <v>1746</v>
      </c>
      <c r="L3703" t="s">
        <v>1746</v>
      </c>
    </row>
    <row r="3704" spans="1:12" x14ac:dyDescent="0.3">
      <c r="A3704" t="s">
        <v>709</v>
      </c>
      <c r="B3704" t="s">
        <v>1461</v>
      </c>
      <c r="C3704" t="s">
        <v>750</v>
      </c>
      <c r="D3704" t="s">
        <v>1647</v>
      </c>
      <c r="E3704" t="s">
        <v>568</v>
      </c>
      <c r="F3704" t="s">
        <v>75</v>
      </c>
      <c r="G3704" t="s">
        <v>111</v>
      </c>
      <c r="H3704" t="s">
        <v>113</v>
      </c>
      <c r="I3704" t="s">
        <v>112</v>
      </c>
      <c r="J3704" t="s">
        <v>114</v>
      </c>
      <c r="K3704" t="s">
        <v>1746</v>
      </c>
      <c r="L3704" t="s">
        <v>1746</v>
      </c>
    </row>
    <row r="3705" spans="1:12" x14ac:dyDescent="0.3">
      <c r="A3705" t="s">
        <v>709</v>
      </c>
      <c r="B3705" t="s">
        <v>1461</v>
      </c>
      <c r="C3705" t="s">
        <v>750</v>
      </c>
      <c r="D3705" t="s">
        <v>1648</v>
      </c>
      <c r="E3705" t="s">
        <v>568</v>
      </c>
      <c r="F3705" t="s">
        <v>143</v>
      </c>
      <c r="G3705" t="s">
        <v>111</v>
      </c>
      <c r="H3705" t="s">
        <v>113</v>
      </c>
      <c r="I3705" t="s">
        <v>112</v>
      </c>
      <c r="J3705" t="s">
        <v>114</v>
      </c>
      <c r="K3705" t="s">
        <v>1746</v>
      </c>
      <c r="L3705" t="s">
        <v>1746</v>
      </c>
    </row>
    <row r="3706" spans="1:12" x14ac:dyDescent="0.3">
      <c r="A3706" t="s">
        <v>709</v>
      </c>
      <c r="B3706" t="s">
        <v>1461</v>
      </c>
      <c r="C3706" t="s">
        <v>750</v>
      </c>
      <c r="D3706" t="s">
        <v>1649</v>
      </c>
      <c r="E3706" t="s">
        <v>568</v>
      </c>
      <c r="F3706" t="s">
        <v>144</v>
      </c>
      <c r="G3706" t="s">
        <v>111</v>
      </c>
      <c r="H3706" t="s">
        <v>113</v>
      </c>
      <c r="I3706" t="s">
        <v>112</v>
      </c>
      <c r="J3706" t="s">
        <v>114</v>
      </c>
      <c r="K3706" t="s">
        <v>1746</v>
      </c>
      <c r="L3706" t="s">
        <v>1746</v>
      </c>
    </row>
    <row r="3707" spans="1:12" x14ac:dyDescent="0.3">
      <c r="A3707" t="s">
        <v>709</v>
      </c>
      <c r="B3707" t="s">
        <v>1461</v>
      </c>
      <c r="C3707" t="s">
        <v>750</v>
      </c>
      <c r="D3707" t="s">
        <v>1650</v>
      </c>
      <c r="E3707" t="s">
        <v>568</v>
      </c>
      <c r="F3707" t="s">
        <v>194</v>
      </c>
      <c r="G3707" t="s">
        <v>111</v>
      </c>
      <c r="H3707" t="s">
        <v>113</v>
      </c>
      <c r="I3707" t="s">
        <v>112</v>
      </c>
      <c r="J3707" t="s">
        <v>114</v>
      </c>
      <c r="K3707" t="s">
        <v>1748</v>
      </c>
      <c r="L3707" t="s">
        <v>1748</v>
      </c>
    </row>
    <row r="3708" spans="1:12" x14ac:dyDescent="0.3">
      <c r="A3708" t="s">
        <v>709</v>
      </c>
      <c r="B3708" t="s">
        <v>1461</v>
      </c>
      <c r="C3708" t="s">
        <v>750</v>
      </c>
      <c r="D3708" t="s">
        <v>1651</v>
      </c>
      <c r="E3708" t="s">
        <v>568</v>
      </c>
      <c r="F3708" t="s">
        <v>145</v>
      </c>
      <c r="G3708" t="s">
        <v>111</v>
      </c>
      <c r="H3708" t="s">
        <v>113</v>
      </c>
      <c r="I3708" t="s">
        <v>112</v>
      </c>
      <c r="J3708" t="s">
        <v>114</v>
      </c>
      <c r="K3708" t="s">
        <v>1746</v>
      </c>
      <c r="L3708" t="s">
        <v>1746</v>
      </c>
    </row>
    <row r="3709" spans="1:12" x14ac:dyDescent="0.3">
      <c r="A3709" t="s">
        <v>709</v>
      </c>
      <c r="B3709" t="s">
        <v>1461</v>
      </c>
      <c r="C3709" t="s">
        <v>750</v>
      </c>
      <c r="D3709" t="s">
        <v>1720</v>
      </c>
      <c r="E3709" t="s">
        <v>568</v>
      </c>
      <c r="F3709" t="s">
        <v>81</v>
      </c>
      <c r="G3709" t="s">
        <v>111</v>
      </c>
      <c r="H3709" t="s">
        <v>113</v>
      </c>
      <c r="I3709" t="s">
        <v>112</v>
      </c>
      <c r="J3709" t="s">
        <v>114</v>
      </c>
      <c r="K3709" t="s">
        <v>1746</v>
      </c>
      <c r="L3709" t="s">
        <v>1746</v>
      </c>
    </row>
    <row r="3710" spans="1:12" x14ac:dyDescent="0.3">
      <c r="A3710" t="s">
        <v>709</v>
      </c>
      <c r="B3710" t="s">
        <v>1461</v>
      </c>
      <c r="C3710" t="s">
        <v>750</v>
      </c>
      <c r="D3710" t="s">
        <v>1721</v>
      </c>
      <c r="E3710" t="s">
        <v>567</v>
      </c>
      <c r="F3710" t="s">
        <v>76</v>
      </c>
      <c r="G3710" t="s">
        <v>111</v>
      </c>
      <c r="H3710" t="s">
        <v>113</v>
      </c>
      <c r="I3710" t="s">
        <v>112</v>
      </c>
      <c r="J3710" t="s">
        <v>114</v>
      </c>
      <c r="K3710" t="s">
        <v>1746</v>
      </c>
      <c r="L3710" t="s">
        <v>1746</v>
      </c>
    </row>
    <row r="3711" spans="1:12" x14ac:dyDescent="0.3">
      <c r="A3711" t="s">
        <v>709</v>
      </c>
      <c r="B3711" t="s">
        <v>1461</v>
      </c>
      <c r="C3711" t="s">
        <v>750</v>
      </c>
      <c r="D3711" t="s">
        <v>1722</v>
      </c>
      <c r="E3711" t="s">
        <v>567</v>
      </c>
      <c r="F3711" t="s">
        <v>52</v>
      </c>
      <c r="G3711" t="s">
        <v>111</v>
      </c>
      <c r="H3711" t="s">
        <v>118</v>
      </c>
      <c r="I3711" t="s">
        <v>112</v>
      </c>
      <c r="J3711" t="s">
        <v>119</v>
      </c>
      <c r="K3711" t="s">
        <v>1746</v>
      </c>
      <c r="L3711" t="s">
        <v>1746</v>
      </c>
    </row>
    <row r="3712" spans="1:12" x14ac:dyDescent="0.3">
      <c r="A3712" t="s">
        <v>709</v>
      </c>
      <c r="B3712" t="s">
        <v>1461</v>
      </c>
      <c r="C3712" t="s">
        <v>750</v>
      </c>
      <c r="D3712" t="s">
        <v>1652</v>
      </c>
      <c r="E3712" t="s">
        <v>567</v>
      </c>
      <c r="F3712" t="s">
        <v>104</v>
      </c>
      <c r="G3712" t="s">
        <v>111</v>
      </c>
      <c r="H3712" t="s">
        <v>113</v>
      </c>
      <c r="I3712" t="s">
        <v>112</v>
      </c>
      <c r="J3712" t="s">
        <v>114</v>
      </c>
      <c r="K3712" t="s">
        <v>1746</v>
      </c>
      <c r="L3712" t="s">
        <v>1746</v>
      </c>
    </row>
    <row r="3713" spans="1:12" x14ac:dyDescent="0.3">
      <c r="A3713" t="s">
        <v>709</v>
      </c>
      <c r="B3713" t="s">
        <v>1461</v>
      </c>
      <c r="C3713" t="s">
        <v>750</v>
      </c>
      <c r="D3713" t="s">
        <v>1654</v>
      </c>
      <c r="E3713" t="s">
        <v>567</v>
      </c>
      <c r="F3713" t="s">
        <v>146</v>
      </c>
      <c r="G3713" t="s">
        <v>111</v>
      </c>
      <c r="H3713" t="s">
        <v>113</v>
      </c>
      <c r="I3713" t="s">
        <v>112</v>
      </c>
      <c r="J3713" t="s">
        <v>114</v>
      </c>
      <c r="K3713" t="s">
        <v>1746</v>
      </c>
      <c r="L3713" t="s">
        <v>1746</v>
      </c>
    </row>
    <row r="3714" spans="1:12" x14ac:dyDescent="0.3">
      <c r="A3714" t="s">
        <v>709</v>
      </c>
      <c r="B3714" t="s">
        <v>1461</v>
      </c>
      <c r="C3714" t="s">
        <v>750</v>
      </c>
      <c r="D3714" t="s">
        <v>1655</v>
      </c>
      <c r="E3714" t="s">
        <v>567</v>
      </c>
      <c r="F3714" t="s">
        <v>148</v>
      </c>
      <c r="G3714" t="s">
        <v>111</v>
      </c>
      <c r="H3714" t="s">
        <v>113</v>
      </c>
      <c r="I3714" t="s">
        <v>112</v>
      </c>
      <c r="J3714" t="s">
        <v>114</v>
      </c>
      <c r="K3714" t="s">
        <v>1748</v>
      </c>
      <c r="L3714" t="s">
        <v>1748</v>
      </c>
    </row>
    <row r="3715" spans="1:12" x14ac:dyDescent="0.3">
      <c r="A3715" t="s">
        <v>709</v>
      </c>
      <c r="B3715" t="s">
        <v>1461</v>
      </c>
      <c r="C3715" t="s">
        <v>750</v>
      </c>
      <c r="D3715" t="s">
        <v>1657</v>
      </c>
      <c r="E3715" t="s">
        <v>567</v>
      </c>
      <c r="F3715" t="s">
        <v>83</v>
      </c>
      <c r="G3715" t="s">
        <v>111</v>
      </c>
      <c r="H3715" t="s">
        <v>113</v>
      </c>
      <c r="I3715" t="s">
        <v>112</v>
      </c>
      <c r="J3715" t="s">
        <v>114</v>
      </c>
      <c r="K3715" t="s">
        <v>1748</v>
      </c>
      <c r="L3715" t="s">
        <v>1748</v>
      </c>
    </row>
    <row r="3716" spans="1:12" x14ac:dyDescent="0.3">
      <c r="A3716" t="s">
        <v>709</v>
      </c>
      <c r="B3716" t="s">
        <v>1461</v>
      </c>
      <c r="C3716" t="s">
        <v>750</v>
      </c>
      <c r="D3716" t="s">
        <v>1658</v>
      </c>
      <c r="E3716" t="s">
        <v>567</v>
      </c>
      <c r="F3716" t="s">
        <v>203</v>
      </c>
      <c r="G3716" t="s">
        <v>111</v>
      </c>
      <c r="H3716" t="s">
        <v>113</v>
      </c>
      <c r="I3716" t="s">
        <v>112</v>
      </c>
      <c r="J3716" t="s">
        <v>114</v>
      </c>
      <c r="K3716" t="s">
        <v>1746</v>
      </c>
      <c r="L3716" t="s">
        <v>1746</v>
      </c>
    </row>
    <row r="3717" spans="1:12" x14ac:dyDescent="0.3">
      <c r="A3717" t="s">
        <v>709</v>
      </c>
      <c r="B3717" t="s">
        <v>1461</v>
      </c>
      <c r="C3717" t="s">
        <v>750</v>
      </c>
      <c r="D3717" t="s">
        <v>1723</v>
      </c>
      <c r="E3717" t="s">
        <v>567</v>
      </c>
      <c r="F3717" t="s">
        <v>71</v>
      </c>
      <c r="G3717" t="s">
        <v>111</v>
      </c>
      <c r="H3717" t="s">
        <v>113</v>
      </c>
      <c r="I3717" t="s">
        <v>112</v>
      </c>
      <c r="J3717" t="s">
        <v>114</v>
      </c>
      <c r="K3717" t="s">
        <v>1746</v>
      </c>
      <c r="L3717" t="s">
        <v>1746</v>
      </c>
    </row>
    <row r="3718" spans="1:12" x14ac:dyDescent="0.3">
      <c r="A3718" t="s">
        <v>709</v>
      </c>
      <c r="B3718" t="s">
        <v>1461</v>
      </c>
      <c r="C3718" t="s">
        <v>750</v>
      </c>
      <c r="D3718" t="s">
        <v>1724</v>
      </c>
      <c r="E3718" t="s">
        <v>567</v>
      </c>
      <c r="F3718" t="s">
        <v>90</v>
      </c>
      <c r="G3718" t="s">
        <v>111</v>
      </c>
      <c r="H3718" t="s">
        <v>113</v>
      </c>
      <c r="I3718" t="s">
        <v>112</v>
      </c>
      <c r="J3718" t="s">
        <v>114</v>
      </c>
      <c r="K3718" t="s">
        <v>1746</v>
      </c>
      <c r="L3718" t="s">
        <v>1746</v>
      </c>
    </row>
    <row r="3719" spans="1:12" x14ac:dyDescent="0.3">
      <c r="A3719" t="s">
        <v>709</v>
      </c>
      <c r="B3719" t="s">
        <v>1461</v>
      </c>
      <c r="C3719" t="s">
        <v>750</v>
      </c>
      <c r="D3719" t="s">
        <v>1660</v>
      </c>
      <c r="E3719" t="s">
        <v>567</v>
      </c>
      <c r="F3719" t="s">
        <v>92</v>
      </c>
      <c r="G3719" t="s">
        <v>111</v>
      </c>
      <c r="H3719" t="s">
        <v>113</v>
      </c>
      <c r="I3719" t="s">
        <v>112</v>
      </c>
      <c r="J3719" t="s">
        <v>114</v>
      </c>
      <c r="K3719" t="s">
        <v>1746</v>
      </c>
      <c r="L3719" t="s">
        <v>1746</v>
      </c>
    </row>
    <row r="3720" spans="1:12" x14ac:dyDescent="0.3">
      <c r="A3720" t="s">
        <v>709</v>
      </c>
      <c r="B3720" t="s">
        <v>1461</v>
      </c>
      <c r="C3720" t="s">
        <v>750</v>
      </c>
      <c r="D3720" t="s">
        <v>1664</v>
      </c>
      <c r="E3720" t="s">
        <v>567</v>
      </c>
      <c r="F3720" t="s">
        <v>177</v>
      </c>
      <c r="G3720" t="s">
        <v>111</v>
      </c>
      <c r="H3720" t="s">
        <v>113</v>
      </c>
      <c r="I3720" t="s">
        <v>112</v>
      </c>
      <c r="J3720" t="s">
        <v>114</v>
      </c>
      <c r="K3720" t="s">
        <v>1751</v>
      </c>
      <c r="L3720" t="s">
        <v>1751</v>
      </c>
    </row>
    <row r="3721" spans="1:12" x14ac:dyDescent="0.3">
      <c r="A3721" t="s">
        <v>709</v>
      </c>
      <c r="B3721" t="s">
        <v>1461</v>
      </c>
      <c r="C3721" t="s">
        <v>750</v>
      </c>
      <c r="D3721" t="s">
        <v>1665</v>
      </c>
      <c r="E3721" t="s">
        <v>567</v>
      </c>
      <c r="F3721" t="s">
        <v>91</v>
      </c>
      <c r="G3721" t="s">
        <v>111</v>
      </c>
      <c r="H3721" t="s">
        <v>113</v>
      </c>
      <c r="I3721" t="s">
        <v>112</v>
      </c>
      <c r="J3721" t="s">
        <v>114</v>
      </c>
      <c r="K3721" t="s">
        <v>1746</v>
      </c>
      <c r="L3721" t="s">
        <v>1746</v>
      </c>
    </row>
    <row r="3722" spans="1:12" x14ac:dyDescent="0.3">
      <c r="A3722" t="s">
        <v>709</v>
      </c>
      <c r="B3722" t="s">
        <v>1461</v>
      </c>
      <c r="C3722" t="s">
        <v>750</v>
      </c>
      <c r="D3722" t="s">
        <v>1666</v>
      </c>
      <c r="E3722" t="s">
        <v>567</v>
      </c>
      <c r="F3722" t="s">
        <v>152</v>
      </c>
      <c r="G3722" t="s">
        <v>111</v>
      </c>
      <c r="H3722" t="s">
        <v>113</v>
      </c>
      <c r="I3722" t="s">
        <v>112</v>
      </c>
      <c r="J3722" t="s">
        <v>114</v>
      </c>
      <c r="K3722" t="s">
        <v>1746</v>
      </c>
      <c r="L3722" t="s">
        <v>1746</v>
      </c>
    </row>
    <row r="3723" spans="1:12" x14ac:dyDescent="0.3">
      <c r="A3723" t="s">
        <v>709</v>
      </c>
      <c r="B3723" t="s">
        <v>1461</v>
      </c>
      <c r="C3723" t="s">
        <v>750</v>
      </c>
      <c r="D3723" t="s">
        <v>1668</v>
      </c>
      <c r="E3723" t="s">
        <v>567</v>
      </c>
      <c r="F3723" t="s">
        <v>67</v>
      </c>
      <c r="G3723" t="s">
        <v>111</v>
      </c>
      <c r="H3723" t="s">
        <v>113</v>
      </c>
      <c r="I3723" t="s">
        <v>112</v>
      </c>
      <c r="J3723" t="s">
        <v>114</v>
      </c>
      <c r="K3723" t="s">
        <v>1746</v>
      </c>
      <c r="L3723" t="s">
        <v>1746</v>
      </c>
    </row>
    <row r="3724" spans="1:12" x14ac:dyDescent="0.3">
      <c r="A3724" t="s">
        <v>709</v>
      </c>
      <c r="B3724" t="s">
        <v>1461</v>
      </c>
      <c r="C3724" t="s">
        <v>750</v>
      </c>
      <c r="D3724" t="s">
        <v>1670</v>
      </c>
      <c r="E3724" t="s">
        <v>567</v>
      </c>
      <c r="F3724" t="s">
        <v>196</v>
      </c>
      <c r="G3724" t="s">
        <v>111</v>
      </c>
      <c r="H3724" t="s">
        <v>113</v>
      </c>
      <c r="I3724" t="s">
        <v>112</v>
      </c>
      <c r="J3724" t="s">
        <v>114</v>
      </c>
      <c r="K3724" t="s">
        <v>1748</v>
      </c>
      <c r="L3724" t="s">
        <v>1748</v>
      </c>
    </row>
    <row r="3725" spans="1:12" x14ac:dyDescent="0.3">
      <c r="A3725" t="s">
        <v>709</v>
      </c>
      <c r="B3725" t="s">
        <v>1461</v>
      </c>
      <c r="C3725" t="s">
        <v>750</v>
      </c>
      <c r="D3725" t="s">
        <v>1725</v>
      </c>
      <c r="E3725" t="s">
        <v>567</v>
      </c>
      <c r="F3725" t="s">
        <v>178</v>
      </c>
      <c r="G3725" t="s">
        <v>111</v>
      </c>
      <c r="H3725" t="s">
        <v>113</v>
      </c>
      <c r="I3725" t="s">
        <v>112</v>
      </c>
      <c r="J3725" t="s">
        <v>114</v>
      </c>
      <c r="K3725" t="s">
        <v>1746</v>
      </c>
      <c r="L3725" t="s">
        <v>1746</v>
      </c>
    </row>
    <row r="3726" spans="1:12" x14ac:dyDescent="0.3">
      <c r="A3726" t="s">
        <v>709</v>
      </c>
      <c r="B3726" t="s">
        <v>1461</v>
      </c>
      <c r="C3726" t="s">
        <v>750</v>
      </c>
      <c r="D3726" t="s">
        <v>1673</v>
      </c>
      <c r="E3726" t="s">
        <v>567</v>
      </c>
      <c r="F3726" t="s">
        <v>153</v>
      </c>
      <c r="G3726" t="s">
        <v>111</v>
      </c>
      <c r="H3726" t="s">
        <v>113</v>
      </c>
      <c r="I3726" t="s">
        <v>112</v>
      </c>
      <c r="J3726" t="s">
        <v>114</v>
      </c>
      <c r="K3726" t="s">
        <v>422</v>
      </c>
      <c r="L3726" t="s">
        <v>422</v>
      </c>
    </row>
    <row r="3727" spans="1:12" x14ac:dyDescent="0.3">
      <c r="A3727" t="s">
        <v>709</v>
      </c>
      <c r="B3727" t="s">
        <v>1461</v>
      </c>
      <c r="C3727" t="s">
        <v>750</v>
      </c>
      <c r="D3727" t="s">
        <v>1726</v>
      </c>
      <c r="E3727" t="s">
        <v>567</v>
      </c>
      <c r="F3727" t="s">
        <v>154</v>
      </c>
      <c r="G3727" t="s">
        <v>111</v>
      </c>
      <c r="H3727" t="s">
        <v>118</v>
      </c>
      <c r="I3727" t="s">
        <v>112</v>
      </c>
      <c r="J3727" t="s">
        <v>119</v>
      </c>
      <c r="K3727" t="s">
        <v>1749</v>
      </c>
      <c r="L3727" t="s">
        <v>1749</v>
      </c>
    </row>
    <row r="3728" spans="1:12" x14ac:dyDescent="0.3">
      <c r="A3728" t="s">
        <v>709</v>
      </c>
      <c r="B3728" t="s">
        <v>1461</v>
      </c>
      <c r="C3728" t="s">
        <v>750</v>
      </c>
      <c r="D3728" t="s">
        <v>1674</v>
      </c>
      <c r="E3728" t="s">
        <v>567</v>
      </c>
      <c r="F3728" t="s">
        <v>55</v>
      </c>
      <c r="G3728" t="s">
        <v>111</v>
      </c>
      <c r="H3728" t="s">
        <v>113</v>
      </c>
      <c r="I3728" t="s">
        <v>112</v>
      </c>
      <c r="J3728" t="s">
        <v>114</v>
      </c>
      <c r="K3728" t="s">
        <v>1746</v>
      </c>
      <c r="L3728" t="s">
        <v>1746</v>
      </c>
    </row>
    <row r="3729" spans="1:12" x14ac:dyDescent="0.3">
      <c r="A3729" t="s">
        <v>709</v>
      </c>
      <c r="B3729" t="s">
        <v>1461</v>
      </c>
      <c r="C3729" t="s">
        <v>750</v>
      </c>
      <c r="D3729" t="s">
        <v>1675</v>
      </c>
      <c r="E3729" t="s">
        <v>567</v>
      </c>
      <c r="F3729" t="s">
        <v>197</v>
      </c>
      <c r="G3729" t="s">
        <v>111</v>
      </c>
      <c r="H3729" t="s">
        <v>118</v>
      </c>
      <c r="I3729" t="s">
        <v>112</v>
      </c>
      <c r="J3729" t="s">
        <v>119</v>
      </c>
      <c r="K3729" t="s">
        <v>423</v>
      </c>
      <c r="L3729" t="s">
        <v>423</v>
      </c>
    </row>
    <row r="3730" spans="1:12" x14ac:dyDescent="0.3">
      <c r="A3730" t="s">
        <v>709</v>
      </c>
      <c r="B3730" t="s">
        <v>1461</v>
      </c>
      <c r="C3730" t="s">
        <v>750</v>
      </c>
      <c r="D3730" t="s">
        <v>1727</v>
      </c>
      <c r="E3730" t="s">
        <v>567</v>
      </c>
      <c r="F3730" t="s">
        <v>155</v>
      </c>
      <c r="G3730" t="s">
        <v>111</v>
      </c>
      <c r="H3730" t="s">
        <v>160</v>
      </c>
      <c r="I3730" t="s">
        <v>112</v>
      </c>
      <c r="J3730" t="s">
        <v>114</v>
      </c>
      <c r="K3730" t="s">
        <v>1748</v>
      </c>
      <c r="L3730" t="s">
        <v>1748</v>
      </c>
    </row>
    <row r="3731" spans="1:12" x14ac:dyDescent="0.3">
      <c r="A3731" t="s">
        <v>709</v>
      </c>
      <c r="B3731" t="s">
        <v>1461</v>
      </c>
      <c r="C3731" t="s">
        <v>750</v>
      </c>
      <c r="D3731" t="s">
        <v>1677</v>
      </c>
      <c r="E3731" t="s">
        <v>567</v>
      </c>
      <c r="F3731" t="s">
        <v>156</v>
      </c>
      <c r="G3731" t="s">
        <v>111</v>
      </c>
      <c r="H3731" t="s">
        <v>113</v>
      </c>
      <c r="I3731" t="s">
        <v>112</v>
      </c>
      <c r="J3731" t="s">
        <v>114</v>
      </c>
      <c r="K3731" t="s">
        <v>1746</v>
      </c>
      <c r="L3731" t="s">
        <v>1746</v>
      </c>
    </row>
    <row r="3732" spans="1:12" x14ac:dyDescent="0.3">
      <c r="A3732" t="s">
        <v>709</v>
      </c>
      <c r="B3732" t="s">
        <v>1461</v>
      </c>
      <c r="C3732" t="s">
        <v>750</v>
      </c>
      <c r="D3732" t="s">
        <v>1678</v>
      </c>
      <c r="E3732" t="s">
        <v>567</v>
      </c>
      <c r="F3732" t="s">
        <v>103</v>
      </c>
      <c r="G3732" t="s">
        <v>111</v>
      </c>
      <c r="H3732" t="s">
        <v>113</v>
      </c>
      <c r="I3732" t="s">
        <v>112</v>
      </c>
      <c r="J3732" t="s">
        <v>114</v>
      </c>
      <c r="K3732" t="s">
        <v>1746</v>
      </c>
      <c r="L3732" t="s">
        <v>1746</v>
      </c>
    </row>
    <row r="3733" spans="1:12" x14ac:dyDescent="0.3">
      <c r="A3733" t="s">
        <v>709</v>
      </c>
      <c r="B3733" t="s">
        <v>1461</v>
      </c>
      <c r="C3733" t="s">
        <v>750</v>
      </c>
      <c r="D3733" t="s">
        <v>1728</v>
      </c>
      <c r="E3733" t="s">
        <v>567</v>
      </c>
      <c r="F3733" t="s">
        <v>105</v>
      </c>
      <c r="G3733" t="s">
        <v>111</v>
      </c>
      <c r="H3733" t="s">
        <v>113</v>
      </c>
      <c r="I3733" t="s">
        <v>112</v>
      </c>
      <c r="J3733" t="s">
        <v>114</v>
      </c>
      <c r="K3733" t="s">
        <v>1746</v>
      </c>
      <c r="L3733" t="s">
        <v>1746</v>
      </c>
    </row>
    <row r="3734" spans="1:12" x14ac:dyDescent="0.3">
      <c r="A3734" t="s">
        <v>709</v>
      </c>
      <c r="B3734" t="s">
        <v>1461</v>
      </c>
      <c r="C3734" t="s">
        <v>750</v>
      </c>
      <c r="D3734" t="s">
        <v>1729</v>
      </c>
      <c r="E3734" t="s">
        <v>567</v>
      </c>
      <c r="F3734" t="s">
        <v>157</v>
      </c>
      <c r="G3734" t="s">
        <v>111</v>
      </c>
      <c r="H3734" t="s">
        <v>113</v>
      </c>
      <c r="I3734" t="s">
        <v>112</v>
      </c>
      <c r="J3734" t="s">
        <v>114</v>
      </c>
      <c r="K3734" t="s">
        <v>1746</v>
      </c>
      <c r="L3734" t="s">
        <v>1746</v>
      </c>
    </row>
    <row r="3735" spans="1:12" x14ac:dyDescent="0.3">
      <c r="A3735" t="s">
        <v>709</v>
      </c>
      <c r="B3735" t="s">
        <v>1461</v>
      </c>
      <c r="C3735" t="s">
        <v>750</v>
      </c>
      <c r="D3735" t="s">
        <v>1680</v>
      </c>
      <c r="E3735" t="s">
        <v>567</v>
      </c>
      <c r="F3735" t="s">
        <v>180</v>
      </c>
      <c r="G3735" t="s">
        <v>111</v>
      </c>
      <c r="H3735" t="s">
        <v>118</v>
      </c>
      <c r="I3735" t="s">
        <v>112</v>
      </c>
      <c r="J3735" t="s">
        <v>119</v>
      </c>
      <c r="K3735" t="s">
        <v>1748</v>
      </c>
      <c r="L3735" t="s">
        <v>1748</v>
      </c>
    </row>
    <row r="3736" spans="1:12" x14ac:dyDescent="0.3">
      <c r="A3736" t="s">
        <v>709</v>
      </c>
      <c r="B3736" t="s">
        <v>1461</v>
      </c>
      <c r="C3736" t="s">
        <v>750</v>
      </c>
      <c r="D3736" t="s">
        <v>1682</v>
      </c>
      <c r="E3736" t="s">
        <v>567</v>
      </c>
      <c r="F3736" t="s">
        <v>199</v>
      </c>
      <c r="G3736" t="s">
        <v>111</v>
      </c>
      <c r="H3736" t="s">
        <v>118</v>
      </c>
      <c r="I3736" t="s">
        <v>112</v>
      </c>
      <c r="J3736" t="s">
        <v>119</v>
      </c>
      <c r="K3736" t="s">
        <v>1746</v>
      </c>
      <c r="L3736" t="s">
        <v>1746</v>
      </c>
    </row>
    <row r="3737" spans="1:12" x14ac:dyDescent="0.3">
      <c r="A3737" t="s">
        <v>709</v>
      </c>
      <c r="B3737" t="s">
        <v>1461</v>
      </c>
      <c r="C3737" t="s">
        <v>750</v>
      </c>
      <c r="D3737" t="s">
        <v>1683</v>
      </c>
      <c r="E3737" t="s">
        <v>567</v>
      </c>
      <c r="F3737" t="s">
        <v>159</v>
      </c>
      <c r="G3737" t="s">
        <v>111</v>
      </c>
      <c r="H3737" t="s">
        <v>113</v>
      </c>
      <c r="I3737" t="s">
        <v>112</v>
      </c>
      <c r="J3737" t="s">
        <v>114</v>
      </c>
      <c r="K3737" t="s">
        <v>1746</v>
      </c>
      <c r="L3737" t="s">
        <v>1746</v>
      </c>
    </row>
    <row r="3738" spans="1:12" x14ac:dyDescent="0.3">
      <c r="A3738" t="s">
        <v>709</v>
      </c>
      <c r="B3738" t="s">
        <v>1461</v>
      </c>
      <c r="C3738" t="s">
        <v>750</v>
      </c>
      <c r="D3738" t="s">
        <v>1684</v>
      </c>
      <c r="E3738" t="s">
        <v>567</v>
      </c>
      <c r="F3738" t="s">
        <v>47</v>
      </c>
      <c r="G3738" t="s">
        <v>111</v>
      </c>
      <c r="H3738" t="s">
        <v>113</v>
      </c>
      <c r="I3738" t="s">
        <v>112</v>
      </c>
      <c r="J3738" t="s">
        <v>114</v>
      </c>
      <c r="K3738" t="s">
        <v>1746</v>
      </c>
      <c r="L3738" t="s">
        <v>1746</v>
      </c>
    </row>
    <row r="3739" spans="1:12" x14ac:dyDescent="0.3">
      <c r="A3739" t="s">
        <v>709</v>
      </c>
      <c r="B3739" t="s">
        <v>1461</v>
      </c>
      <c r="C3739" t="s">
        <v>750</v>
      </c>
      <c r="D3739" t="s">
        <v>1688</v>
      </c>
      <c r="E3739" t="s">
        <v>567</v>
      </c>
      <c r="F3739" t="s">
        <v>73</v>
      </c>
      <c r="G3739" t="s">
        <v>111</v>
      </c>
      <c r="H3739" t="s">
        <v>113</v>
      </c>
      <c r="I3739" t="s">
        <v>112</v>
      </c>
      <c r="J3739" t="s">
        <v>114</v>
      </c>
      <c r="K3739" t="s">
        <v>1750</v>
      </c>
      <c r="L3739" t="s">
        <v>1750</v>
      </c>
    </row>
    <row r="3740" spans="1:12" x14ac:dyDescent="0.3">
      <c r="A3740" t="s">
        <v>709</v>
      </c>
      <c r="B3740" t="s">
        <v>1461</v>
      </c>
      <c r="C3740" t="s">
        <v>750</v>
      </c>
      <c r="D3740" t="s">
        <v>1730</v>
      </c>
      <c r="E3740" t="s">
        <v>567</v>
      </c>
      <c r="F3740" t="s">
        <v>161</v>
      </c>
      <c r="G3740" t="s">
        <v>111</v>
      </c>
      <c r="H3740" t="s">
        <v>113</v>
      </c>
      <c r="I3740" t="s">
        <v>112</v>
      </c>
      <c r="J3740" t="s">
        <v>114</v>
      </c>
      <c r="K3740" t="s">
        <v>1746</v>
      </c>
      <c r="L3740" t="s">
        <v>1746</v>
      </c>
    </row>
    <row r="3741" spans="1:12" x14ac:dyDescent="0.3">
      <c r="A3741" t="s">
        <v>709</v>
      </c>
      <c r="B3741" t="s">
        <v>1461</v>
      </c>
      <c r="C3741" t="s">
        <v>750</v>
      </c>
      <c r="D3741" t="s">
        <v>1689</v>
      </c>
      <c r="E3741" t="s">
        <v>567</v>
      </c>
      <c r="F3741" t="s">
        <v>162</v>
      </c>
      <c r="G3741" t="s">
        <v>111</v>
      </c>
      <c r="H3741" t="s">
        <v>118</v>
      </c>
      <c r="I3741" t="s">
        <v>112</v>
      </c>
      <c r="J3741" t="s">
        <v>119</v>
      </c>
      <c r="K3741" t="s">
        <v>1753</v>
      </c>
      <c r="L3741" t="s">
        <v>1753</v>
      </c>
    </row>
    <row r="3742" spans="1:12" x14ac:dyDescent="0.3">
      <c r="A3742" t="s">
        <v>709</v>
      </c>
      <c r="B3742" t="s">
        <v>726</v>
      </c>
      <c r="C3742" t="s">
        <v>711</v>
      </c>
      <c r="D3742" t="s">
        <v>209</v>
      </c>
      <c r="E3742" t="s">
        <v>569</v>
      </c>
      <c r="F3742" t="s">
        <v>115</v>
      </c>
      <c r="G3742" t="s">
        <v>111</v>
      </c>
      <c r="H3742" t="s">
        <v>113</v>
      </c>
      <c r="I3742" t="s">
        <v>112</v>
      </c>
      <c r="J3742" t="s">
        <v>114</v>
      </c>
      <c r="K3742" t="s">
        <v>424</v>
      </c>
      <c r="L3742" t="s">
        <v>424</v>
      </c>
    </row>
    <row r="3743" spans="1:12" x14ac:dyDescent="0.3">
      <c r="A3743" t="s">
        <v>709</v>
      </c>
      <c r="B3743" t="s">
        <v>726</v>
      </c>
      <c r="C3743" t="s">
        <v>711</v>
      </c>
      <c r="D3743" t="s">
        <v>304</v>
      </c>
      <c r="E3743" t="s">
        <v>569</v>
      </c>
      <c r="F3743" t="s">
        <v>117</v>
      </c>
      <c r="G3743" t="s">
        <v>111</v>
      </c>
      <c r="H3743" t="s">
        <v>113</v>
      </c>
      <c r="I3743" t="s">
        <v>112</v>
      </c>
      <c r="J3743" t="s">
        <v>114</v>
      </c>
      <c r="K3743" t="s">
        <v>1754</v>
      </c>
      <c r="L3743" t="s">
        <v>1754</v>
      </c>
    </row>
    <row r="3744" spans="1:12" x14ac:dyDescent="0.3">
      <c r="A3744" t="s">
        <v>709</v>
      </c>
      <c r="B3744" t="s">
        <v>726</v>
      </c>
      <c r="C3744" t="s">
        <v>711</v>
      </c>
      <c r="D3744" t="s">
        <v>211</v>
      </c>
      <c r="E3744" t="s">
        <v>569</v>
      </c>
      <c r="F3744" t="s">
        <v>188</v>
      </c>
      <c r="G3744" t="s">
        <v>111</v>
      </c>
      <c r="H3744" t="s">
        <v>160</v>
      </c>
      <c r="I3744" t="s">
        <v>112</v>
      </c>
      <c r="J3744" t="s">
        <v>114</v>
      </c>
      <c r="K3744" t="s">
        <v>1755</v>
      </c>
      <c r="L3744" t="s">
        <v>1755</v>
      </c>
    </row>
    <row r="3745" spans="1:12" x14ac:dyDescent="0.3">
      <c r="A3745" t="s">
        <v>709</v>
      </c>
      <c r="B3745" t="s">
        <v>726</v>
      </c>
      <c r="C3745" t="s">
        <v>711</v>
      </c>
      <c r="D3745" t="s">
        <v>305</v>
      </c>
      <c r="E3745" t="s">
        <v>569</v>
      </c>
      <c r="F3745" t="s">
        <v>120</v>
      </c>
      <c r="G3745" t="s">
        <v>111</v>
      </c>
      <c r="H3745" t="s">
        <v>113</v>
      </c>
      <c r="I3745" t="s">
        <v>112</v>
      </c>
      <c r="J3745" t="s">
        <v>114</v>
      </c>
      <c r="K3745" t="s">
        <v>1755</v>
      </c>
      <c r="L3745" t="s">
        <v>1755</v>
      </c>
    </row>
    <row r="3746" spans="1:12" x14ac:dyDescent="0.3">
      <c r="A3746" t="s">
        <v>709</v>
      </c>
      <c r="B3746" t="s">
        <v>726</v>
      </c>
      <c r="C3746" t="s">
        <v>711</v>
      </c>
      <c r="D3746" t="s">
        <v>213</v>
      </c>
      <c r="E3746" t="s">
        <v>569</v>
      </c>
      <c r="F3746" t="s">
        <v>53</v>
      </c>
      <c r="G3746" t="s">
        <v>111</v>
      </c>
      <c r="H3746" t="s">
        <v>113</v>
      </c>
      <c r="I3746" t="s">
        <v>112</v>
      </c>
      <c r="J3746" t="s">
        <v>114</v>
      </c>
      <c r="K3746" t="s">
        <v>428</v>
      </c>
      <c r="L3746" t="s">
        <v>428</v>
      </c>
    </row>
    <row r="3747" spans="1:12" x14ac:dyDescent="0.3">
      <c r="A3747" t="s">
        <v>709</v>
      </c>
      <c r="B3747" t="s">
        <v>726</v>
      </c>
      <c r="C3747" t="s">
        <v>711</v>
      </c>
      <c r="D3747" t="s">
        <v>214</v>
      </c>
      <c r="E3747" t="s">
        <v>569</v>
      </c>
      <c r="F3747" t="s">
        <v>56</v>
      </c>
      <c r="G3747" t="s">
        <v>111</v>
      </c>
      <c r="H3747" t="s">
        <v>113</v>
      </c>
      <c r="I3747" t="s">
        <v>112</v>
      </c>
      <c r="J3747" t="s">
        <v>114</v>
      </c>
      <c r="K3747" t="s">
        <v>428</v>
      </c>
      <c r="L3747" t="s">
        <v>428</v>
      </c>
    </row>
    <row r="3748" spans="1:12" x14ac:dyDescent="0.3">
      <c r="A3748" t="s">
        <v>709</v>
      </c>
      <c r="B3748" t="s">
        <v>726</v>
      </c>
      <c r="C3748" t="s">
        <v>711</v>
      </c>
      <c r="D3748" t="s">
        <v>215</v>
      </c>
      <c r="E3748" t="s">
        <v>569</v>
      </c>
      <c r="F3748" t="s">
        <v>69</v>
      </c>
      <c r="G3748" t="s">
        <v>111</v>
      </c>
      <c r="H3748" t="s">
        <v>113</v>
      </c>
      <c r="I3748" t="s">
        <v>112</v>
      </c>
      <c r="J3748" t="s">
        <v>114</v>
      </c>
      <c r="K3748" t="s">
        <v>424</v>
      </c>
      <c r="L3748" t="s">
        <v>424</v>
      </c>
    </row>
    <row r="3749" spans="1:12" x14ac:dyDescent="0.3">
      <c r="A3749" t="s">
        <v>709</v>
      </c>
      <c r="B3749" t="s">
        <v>726</v>
      </c>
      <c r="C3749" t="s">
        <v>711</v>
      </c>
      <c r="D3749" t="s">
        <v>306</v>
      </c>
      <c r="E3749" t="s">
        <v>569</v>
      </c>
      <c r="F3749" t="s">
        <v>165</v>
      </c>
      <c r="G3749" t="s">
        <v>111</v>
      </c>
      <c r="H3749" t="s">
        <v>118</v>
      </c>
      <c r="I3749" t="s">
        <v>112</v>
      </c>
      <c r="J3749" t="s">
        <v>119</v>
      </c>
      <c r="K3749" t="s">
        <v>597</v>
      </c>
      <c r="L3749" t="s">
        <v>597</v>
      </c>
    </row>
    <row r="3750" spans="1:12" x14ac:dyDescent="0.3">
      <c r="A3750" t="s">
        <v>709</v>
      </c>
      <c r="B3750" t="s">
        <v>726</v>
      </c>
      <c r="C3750" t="s">
        <v>711</v>
      </c>
      <c r="D3750" t="s">
        <v>218</v>
      </c>
      <c r="E3750" t="s">
        <v>569</v>
      </c>
      <c r="F3750" t="s">
        <v>166</v>
      </c>
      <c r="G3750" t="s">
        <v>111</v>
      </c>
      <c r="H3750" t="s">
        <v>113</v>
      </c>
      <c r="I3750" t="s">
        <v>112</v>
      </c>
      <c r="J3750" t="s">
        <v>114</v>
      </c>
      <c r="K3750" t="s">
        <v>423</v>
      </c>
      <c r="L3750" t="s">
        <v>423</v>
      </c>
    </row>
    <row r="3751" spans="1:12" x14ac:dyDescent="0.3">
      <c r="A3751" t="s">
        <v>709</v>
      </c>
      <c r="B3751" t="s">
        <v>726</v>
      </c>
      <c r="C3751" t="s">
        <v>711</v>
      </c>
      <c r="D3751" t="s">
        <v>307</v>
      </c>
      <c r="E3751" t="s">
        <v>569</v>
      </c>
      <c r="F3751" t="s">
        <v>123</v>
      </c>
      <c r="G3751" t="s">
        <v>111</v>
      </c>
      <c r="H3751" t="s">
        <v>113</v>
      </c>
      <c r="I3751" t="s">
        <v>112</v>
      </c>
      <c r="J3751" t="s">
        <v>114</v>
      </c>
      <c r="K3751" t="s">
        <v>1756</v>
      </c>
      <c r="L3751" t="s">
        <v>1756</v>
      </c>
    </row>
    <row r="3752" spans="1:12" x14ac:dyDescent="0.3">
      <c r="A3752" t="s">
        <v>709</v>
      </c>
      <c r="B3752" t="s">
        <v>726</v>
      </c>
      <c r="C3752" t="s">
        <v>711</v>
      </c>
      <c r="D3752" t="s">
        <v>219</v>
      </c>
      <c r="E3752" t="s">
        <v>569</v>
      </c>
      <c r="F3752" t="s">
        <v>189</v>
      </c>
      <c r="G3752" t="s">
        <v>111</v>
      </c>
      <c r="H3752" t="s">
        <v>113</v>
      </c>
      <c r="I3752" t="s">
        <v>112</v>
      </c>
      <c r="J3752" t="s">
        <v>114</v>
      </c>
      <c r="K3752" t="s">
        <v>424</v>
      </c>
      <c r="L3752" t="s">
        <v>424</v>
      </c>
    </row>
    <row r="3753" spans="1:12" x14ac:dyDescent="0.3">
      <c r="A3753" t="s">
        <v>709</v>
      </c>
      <c r="B3753" t="s">
        <v>726</v>
      </c>
      <c r="C3753" t="s">
        <v>711</v>
      </c>
      <c r="D3753" t="s">
        <v>220</v>
      </c>
      <c r="E3753" t="s">
        <v>569</v>
      </c>
      <c r="F3753" t="s">
        <v>54</v>
      </c>
      <c r="G3753" t="s">
        <v>111</v>
      </c>
      <c r="H3753" t="s">
        <v>160</v>
      </c>
      <c r="I3753" t="s">
        <v>112</v>
      </c>
      <c r="J3753" t="s">
        <v>114</v>
      </c>
      <c r="K3753" t="s">
        <v>1757</v>
      </c>
      <c r="L3753" t="s">
        <v>1757</v>
      </c>
    </row>
    <row r="3754" spans="1:12" x14ac:dyDescent="0.3">
      <c r="A3754" t="s">
        <v>709</v>
      </c>
      <c r="B3754" t="s">
        <v>726</v>
      </c>
      <c r="C3754" t="s">
        <v>711</v>
      </c>
      <c r="D3754" t="s">
        <v>221</v>
      </c>
      <c r="E3754" t="s">
        <v>569</v>
      </c>
      <c r="F3754" t="s">
        <v>45</v>
      </c>
      <c r="G3754" t="s">
        <v>111</v>
      </c>
      <c r="H3754" t="s">
        <v>113</v>
      </c>
      <c r="I3754" t="s">
        <v>112</v>
      </c>
      <c r="J3754" t="s">
        <v>114</v>
      </c>
      <c r="K3754" t="s">
        <v>428</v>
      </c>
      <c r="L3754" t="s">
        <v>428</v>
      </c>
    </row>
    <row r="3755" spans="1:12" x14ac:dyDescent="0.3">
      <c r="A3755" t="s">
        <v>709</v>
      </c>
      <c r="B3755" t="s">
        <v>726</v>
      </c>
      <c r="C3755" t="s">
        <v>711</v>
      </c>
      <c r="D3755" t="s">
        <v>223</v>
      </c>
      <c r="E3755" t="s">
        <v>569</v>
      </c>
      <c r="F3755" t="s">
        <v>65</v>
      </c>
      <c r="G3755" t="s">
        <v>111</v>
      </c>
      <c r="H3755" t="s">
        <v>113</v>
      </c>
      <c r="I3755" t="s">
        <v>112</v>
      </c>
      <c r="J3755" t="s">
        <v>114</v>
      </c>
      <c r="K3755" t="s">
        <v>1758</v>
      </c>
      <c r="L3755" t="s">
        <v>1758</v>
      </c>
    </row>
    <row r="3756" spans="1:12" x14ac:dyDescent="0.3">
      <c r="A3756" t="s">
        <v>709</v>
      </c>
      <c r="B3756" t="s">
        <v>726</v>
      </c>
      <c r="C3756" t="s">
        <v>711</v>
      </c>
      <c r="D3756" t="s">
        <v>224</v>
      </c>
      <c r="E3756" t="s">
        <v>569</v>
      </c>
      <c r="F3756" t="s">
        <v>125</v>
      </c>
      <c r="G3756" t="s">
        <v>111</v>
      </c>
      <c r="H3756" t="s">
        <v>113</v>
      </c>
      <c r="I3756" t="s">
        <v>112</v>
      </c>
      <c r="J3756" t="s">
        <v>114</v>
      </c>
      <c r="K3756" t="s">
        <v>428</v>
      </c>
      <c r="L3756" t="s">
        <v>428</v>
      </c>
    </row>
    <row r="3757" spans="1:12" x14ac:dyDescent="0.3">
      <c r="A3757" t="s">
        <v>709</v>
      </c>
      <c r="B3757" t="s">
        <v>726</v>
      </c>
      <c r="C3757" t="s">
        <v>711</v>
      </c>
      <c r="D3757" t="s">
        <v>225</v>
      </c>
      <c r="E3757" t="s">
        <v>569</v>
      </c>
      <c r="F3757" t="s">
        <v>126</v>
      </c>
      <c r="G3757" t="s">
        <v>111</v>
      </c>
      <c r="H3757" t="s">
        <v>113</v>
      </c>
      <c r="I3757" t="s">
        <v>112</v>
      </c>
      <c r="J3757" t="s">
        <v>114</v>
      </c>
      <c r="K3757" t="s">
        <v>424</v>
      </c>
      <c r="L3757" t="s">
        <v>424</v>
      </c>
    </row>
    <row r="3758" spans="1:12" x14ac:dyDescent="0.3">
      <c r="A3758" t="s">
        <v>709</v>
      </c>
      <c r="B3758" t="s">
        <v>726</v>
      </c>
      <c r="C3758" t="s">
        <v>711</v>
      </c>
      <c r="D3758" t="s">
        <v>227</v>
      </c>
      <c r="E3758" t="s">
        <v>569</v>
      </c>
      <c r="F3758" t="s">
        <v>192</v>
      </c>
      <c r="G3758" t="s">
        <v>111</v>
      </c>
      <c r="H3758" t="s">
        <v>113</v>
      </c>
      <c r="I3758" t="s">
        <v>112</v>
      </c>
      <c r="J3758" t="s">
        <v>114</v>
      </c>
      <c r="K3758" t="s">
        <v>1758</v>
      </c>
      <c r="L3758" t="s">
        <v>1758</v>
      </c>
    </row>
    <row r="3759" spans="1:12" x14ac:dyDescent="0.3">
      <c r="A3759" t="s">
        <v>709</v>
      </c>
      <c r="B3759" t="s">
        <v>726</v>
      </c>
      <c r="C3759" t="s">
        <v>711</v>
      </c>
      <c r="D3759" t="s">
        <v>228</v>
      </c>
      <c r="E3759" t="s">
        <v>569</v>
      </c>
      <c r="F3759" t="s">
        <v>167</v>
      </c>
      <c r="G3759" t="s">
        <v>111</v>
      </c>
      <c r="H3759" t="s">
        <v>113</v>
      </c>
      <c r="I3759" t="s">
        <v>112</v>
      </c>
      <c r="J3759" t="s">
        <v>114</v>
      </c>
      <c r="K3759" t="s">
        <v>422</v>
      </c>
      <c r="L3759" t="s">
        <v>422</v>
      </c>
    </row>
    <row r="3760" spans="1:12" x14ac:dyDescent="0.3">
      <c r="A3760" t="s">
        <v>709</v>
      </c>
      <c r="B3760" t="s">
        <v>726</v>
      </c>
      <c r="C3760" t="s">
        <v>711</v>
      </c>
      <c r="D3760" t="s">
        <v>229</v>
      </c>
      <c r="E3760" t="s">
        <v>569</v>
      </c>
      <c r="F3760" t="s">
        <v>127</v>
      </c>
      <c r="G3760" t="s">
        <v>111</v>
      </c>
      <c r="H3760" t="s">
        <v>113</v>
      </c>
      <c r="I3760" t="s">
        <v>112</v>
      </c>
      <c r="J3760" t="s">
        <v>114</v>
      </c>
      <c r="K3760" t="s">
        <v>424</v>
      </c>
      <c r="L3760" t="s">
        <v>424</v>
      </c>
    </row>
    <row r="3761" spans="1:12" x14ac:dyDescent="0.3">
      <c r="A3761" t="s">
        <v>709</v>
      </c>
      <c r="B3761" t="s">
        <v>726</v>
      </c>
      <c r="C3761" t="s">
        <v>711</v>
      </c>
      <c r="D3761" t="s">
        <v>310</v>
      </c>
      <c r="E3761" t="s">
        <v>569</v>
      </c>
      <c r="F3761" t="s">
        <v>128</v>
      </c>
      <c r="G3761" t="s">
        <v>111</v>
      </c>
      <c r="H3761" t="s">
        <v>113</v>
      </c>
      <c r="I3761" t="s">
        <v>112</v>
      </c>
      <c r="J3761" t="s">
        <v>114</v>
      </c>
      <c r="K3761" t="s">
        <v>1758</v>
      </c>
      <c r="L3761" t="s">
        <v>1758</v>
      </c>
    </row>
    <row r="3762" spans="1:12" x14ac:dyDescent="0.3">
      <c r="A3762" t="s">
        <v>709</v>
      </c>
      <c r="B3762" t="s">
        <v>726</v>
      </c>
      <c r="C3762" t="s">
        <v>711</v>
      </c>
      <c r="D3762" t="s">
        <v>311</v>
      </c>
      <c r="E3762" t="s">
        <v>569</v>
      </c>
      <c r="F3762" t="s">
        <v>89</v>
      </c>
      <c r="G3762" t="s">
        <v>111</v>
      </c>
      <c r="H3762" t="s">
        <v>113</v>
      </c>
      <c r="I3762" t="s">
        <v>112</v>
      </c>
      <c r="J3762" t="s">
        <v>114</v>
      </c>
      <c r="K3762" t="s">
        <v>424</v>
      </c>
      <c r="L3762" t="s">
        <v>424</v>
      </c>
    </row>
    <row r="3763" spans="1:12" x14ac:dyDescent="0.3">
      <c r="A3763" t="s">
        <v>709</v>
      </c>
      <c r="B3763" t="s">
        <v>726</v>
      </c>
      <c r="C3763" t="s">
        <v>711</v>
      </c>
      <c r="D3763" t="s">
        <v>231</v>
      </c>
      <c r="E3763" t="s">
        <v>569</v>
      </c>
      <c r="F3763" t="s">
        <v>66</v>
      </c>
      <c r="G3763" t="s">
        <v>111</v>
      </c>
      <c r="H3763" t="s">
        <v>113</v>
      </c>
      <c r="I3763" t="s">
        <v>112</v>
      </c>
      <c r="J3763" t="s">
        <v>114</v>
      </c>
      <c r="K3763" t="s">
        <v>1759</v>
      </c>
      <c r="L3763" t="s">
        <v>1759</v>
      </c>
    </row>
    <row r="3764" spans="1:12" x14ac:dyDescent="0.3">
      <c r="A3764" t="s">
        <v>709</v>
      </c>
      <c r="B3764" t="s">
        <v>726</v>
      </c>
      <c r="C3764" t="s">
        <v>711</v>
      </c>
      <c r="D3764" t="s">
        <v>232</v>
      </c>
      <c r="E3764" t="s">
        <v>569</v>
      </c>
      <c r="F3764" t="s">
        <v>169</v>
      </c>
      <c r="G3764" t="s">
        <v>111</v>
      </c>
      <c r="H3764" t="s">
        <v>113</v>
      </c>
      <c r="I3764" t="s">
        <v>112</v>
      </c>
      <c r="J3764" t="s">
        <v>114</v>
      </c>
      <c r="K3764" t="s">
        <v>1759</v>
      </c>
      <c r="L3764" t="s">
        <v>1759</v>
      </c>
    </row>
    <row r="3765" spans="1:12" x14ac:dyDescent="0.3">
      <c r="A3765" t="s">
        <v>709</v>
      </c>
      <c r="B3765" t="s">
        <v>726</v>
      </c>
      <c r="C3765" t="s">
        <v>711</v>
      </c>
      <c r="D3765" t="s">
        <v>234</v>
      </c>
      <c r="E3765" t="s">
        <v>569</v>
      </c>
      <c r="F3765" t="s">
        <v>93</v>
      </c>
      <c r="G3765" t="s">
        <v>111</v>
      </c>
      <c r="H3765" t="s">
        <v>160</v>
      </c>
      <c r="I3765" t="s">
        <v>112</v>
      </c>
      <c r="J3765" t="s">
        <v>114</v>
      </c>
      <c r="K3765" t="s">
        <v>428</v>
      </c>
      <c r="L3765" t="s">
        <v>428</v>
      </c>
    </row>
    <row r="3766" spans="1:12" x14ac:dyDescent="0.3">
      <c r="A3766" t="s">
        <v>709</v>
      </c>
      <c r="B3766" t="s">
        <v>726</v>
      </c>
      <c r="C3766" t="s">
        <v>711</v>
      </c>
      <c r="D3766" t="s">
        <v>312</v>
      </c>
      <c r="E3766" t="s">
        <v>569</v>
      </c>
      <c r="F3766" t="s">
        <v>129</v>
      </c>
      <c r="G3766" t="s">
        <v>111</v>
      </c>
      <c r="H3766" t="s">
        <v>113</v>
      </c>
      <c r="I3766" t="s">
        <v>112</v>
      </c>
      <c r="J3766" t="s">
        <v>114</v>
      </c>
      <c r="K3766" t="s">
        <v>424</v>
      </c>
      <c r="L3766" t="s">
        <v>424</v>
      </c>
    </row>
    <row r="3767" spans="1:12" x14ac:dyDescent="0.3">
      <c r="A3767" t="s">
        <v>709</v>
      </c>
      <c r="B3767" t="s">
        <v>726</v>
      </c>
      <c r="C3767" t="s">
        <v>711</v>
      </c>
      <c r="D3767" t="s">
        <v>313</v>
      </c>
      <c r="E3767" t="s">
        <v>569</v>
      </c>
      <c r="F3767" t="s">
        <v>68</v>
      </c>
      <c r="G3767" t="s">
        <v>111</v>
      </c>
      <c r="H3767" t="s">
        <v>113</v>
      </c>
      <c r="I3767" t="s">
        <v>112</v>
      </c>
      <c r="J3767" t="s">
        <v>114</v>
      </c>
      <c r="K3767" t="s">
        <v>423</v>
      </c>
      <c r="L3767" t="s">
        <v>423</v>
      </c>
    </row>
    <row r="3768" spans="1:12" x14ac:dyDescent="0.3">
      <c r="A3768" t="s">
        <v>709</v>
      </c>
      <c r="B3768" t="s">
        <v>726</v>
      </c>
      <c r="C3768" t="s">
        <v>711</v>
      </c>
      <c r="D3768" t="s">
        <v>235</v>
      </c>
      <c r="E3768" t="s">
        <v>569</v>
      </c>
      <c r="F3768" t="s">
        <v>85</v>
      </c>
      <c r="G3768" t="s">
        <v>111</v>
      </c>
      <c r="H3768" t="s">
        <v>113</v>
      </c>
      <c r="I3768" t="s">
        <v>112</v>
      </c>
      <c r="J3768" t="s">
        <v>114</v>
      </c>
      <c r="K3768" t="s">
        <v>1759</v>
      </c>
      <c r="L3768" t="s">
        <v>1759</v>
      </c>
    </row>
    <row r="3769" spans="1:12" x14ac:dyDescent="0.3">
      <c r="A3769" t="s">
        <v>709</v>
      </c>
      <c r="B3769" t="s">
        <v>726</v>
      </c>
      <c r="C3769" t="s">
        <v>711</v>
      </c>
      <c r="D3769" t="s">
        <v>314</v>
      </c>
      <c r="E3769" t="s">
        <v>569</v>
      </c>
      <c r="F3769" t="s">
        <v>61</v>
      </c>
      <c r="G3769" t="s">
        <v>111</v>
      </c>
      <c r="H3769" t="s">
        <v>160</v>
      </c>
      <c r="I3769" t="s">
        <v>112</v>
      </c>
      <c r="J3769" t="s">
        <v>114</v>
      </c>
      <c r="K3769" t="s">
        <v>1758</v>
      </c>
      <c r="L3769" t="s">
        <v>1758</v>
      </c>
    </row>
    <row r="3770" spans="1:12" x14ac:dyDescent="0.3">
      <c r="A3770" t="s">
        <v>709</v>
      </c>
      <c r="B3770" t="s">
        <v>726</v>
      </c>
      <c r="C3770" t="s">
        <v>711</v>
      </c>
      <c r="D3770" t="s">
        <v>236</v>
      </c>
      <c r="E3770" t="s">
        <v>569</v>
      </c>
      <c r="F3770" t="s">
        <v>87</v>
      </c>
      <c r="G3770" t="s">
        <v>111</v>
      </c>
      <c r="H3770" t="s">
        <v>113</v>
      </c>
      <c r="I3770" t="s">
        <v>112</v>
      </c>
      <c r="J3770" t="s">
        <v>114</v>
      </c>
      <c r="K3770" t="s">
        <v>1755</v>
      </c>
      <c r="L3770" t="s">
        <v>1755</v>
      </c>
    </row>
    <row r="3771" spans="1:12" x14ac:dyDescent="0.3">
      <c r="A3771" t="s">
        <v>709</v>
      </c>
      <c r="B3771" t="s">
        <v>726</v>
      </c>
      <c r="C3771" t="s">
        <v>711</v>
      </c>
      <c r="D3771" t="s">
        <v>237</v>
      </c>
      <c r="E3771" t="s">
        <v>569</v>
      </c>
      <c r="F3771" t="s">
        <v>130</v>
      </c>
      <c r="G3771" t="s">
        <v>111</v>
      </c>
      <c r="H3771" t="s">
        <v>113</v>
      </c>
      <c r="I3771" t="s">
        <v>112</v>
      </c>
      <c r="J3771" t="s">
        <v>114</v>
      </c>
      <c r="K3771" t="s">
        <v>1758</v>
      </c>
      <c r="L3771" t="s">
        <v>1758</v>
      </c>
    </row>
    <row r="3772" spans="1:12" x14ac:dyDescent="0.3">
      <c r="A3772" t="s">
        <v>709</v>
      </c>
      <c r="B3772" t="s">
        <v>726</v>
      </c>
      <c r="C3772" t="s">
        <v>711</v>
      </c>
      <c r="D3772" t="s">
        <v>238</v>
      </c>
      <c r="E3772" t="s">
        <v>569</v>
      </c>
      <c r="F3772" t="s">
        <v>131</v>
      </c>
      <c r="G3772" t="s">
        <v>111</v>
      </c>
      <c r="H3772" t="s">
        <v>118</v>
      </c>
      <c r="I3772" t="s">
        <v>112</v>
      </c>
      <c r="J3772" t="s">
        <v>119</v>
      </c>
      <c r="K3772" t="s">
        <v>1754</v>
      </c>
      <c r="L3772" t="s">
        <v>1754</v>
      </c>
    </row>
    <row r="3773" spans="1:12" x14ac:dyDescent="0.3">
      <c r="A3773" t="s">
        <v>709</v>
      </c>
      <c r="B3773" t="s">
        <v>726</v>
      </c>
      <c r="C3773" t="s">
        <v>711</v>
      </c>
      <c r="D3773" t="s">
        <v>239</v>
      </c>
      <c r="E3773" t="s">
        <v>569</v>
      </c>
      <c r="F3773" t="s">
        <v>50</v>
      </c>
      <c r="G3773" t="s">
        <v>111</v>
      </c>
      <c r="H3773" t="s">
        <v>118</v>
      </c>
      <c r="I3773" t="s">
        <v>112</v>
      </c>
      <c r="J3773" t="s">
        <v>119</v>
      </c>
      <c r="K3773" t="s">
        <v>597</v>
      </c>
      <c r="L3773" t="s">
        <v>597</v>
      </c>
    </row>
    <row r="3774" spans="1:12" x14ac:dyDescent="0.3">
      <c r="A3774" t="s">
        <v>709</v>
      </c>
      <c r="B3774" t="s">
        <v>726</v>
      </c>
      <c r="C3774" t="s">
        <v>711</v>
      </c>
      <c r="D3774" t="s">
        <v>315</v>
      </c>
      <c r="E3774" t="s">
        <v>568</v>
      </c>
      <c r="F3774" t="s">
        <v>79</v>
      </c>
      <c r="G3774" t="s">
        <v>111</v>
      </c>
      <c r="H3774" t="s">
        <v>113</v>
      </c>
      <c r="I3774" t="s">
        <v>112</v>
      </c>
      <c r="J3774" t="s">
        <v>114</v>
      </c>
      <c r="K3774" t="s">
        <v>597</v>
      </c>
      <c r="L3774" t="s">
        <v>597</v>
      </c>
    </row>
    <row r="3775" spans="1:12" x14ac:dyDescent="0.3">
      <c r="A3775" t="s">
        <v>709</v>
      </c>
      <c r="B3775" t="s">
        <v>726</v>
      </c>
      <c r="C3775" t="s">
        <v>711</v>
      </c>
      <c r="D3775" t="s">
        <v>317</v>
      </c>
      <c r="E3775" t="s">
        <v>568</v>
      </c>
      <c r="F3775" t="s">
        <v>133</v>
      </c>
      <c r="G3775" t="s">
        <v>111</v>
      </c>
      <c r="H3775" t="s">
        <v>113</v>
      </c>
      <c r="I3775" t="s">
        <v>112</v>
      </c>
      <c r="J3775" t="s">
        <v>114</v>
      </c>
      <c r="K3775" t="s">
        <v>597</v>
      </c>
      <c r="L3775" t="s">
        <v>597</v>
      </c>
    </row>
    <row r="3776" spans="1:12" x14ac:dyDescent="0.3">
      <c r="A3776" t="s">
        <v>709</v>
      </c>
      <c r="B3776" t="s">
        <v>726</v>
      </c>
      <c r="C3776" t="s">
        <v>711</v>
      </c>
      <c r="D3776" t="s">
        <v>318</v>
      </c>
      <c r="E3776" t="s">
        <v>568</v>
      </c>
      <c r="F3776" t="s">
        <v>193</v>
      </c>
      <c r="G3776" t="s">
        <v>111</v>
      </c>
      <c r="H3776" t="s">
        <v>118</v>
      </c>
      <c r="I3776" t="s">
        <v>112</v>
      </c>
      <c r="J3776" t="s">
        <v>119</v>
      </c>
      <c r="K3776" t="s">
        <v>597</v>
      </c>
      <c r="L3776" t="s">
        <v>597</v>
      </c>
    </row>
    <row r="3777" spans="1:12" x14ac:dyDescent="0.3">
      <c r="A3777" t="s">
        <v>709</v>
      </c>
      <c r="B3777" t="s">
        <v>726</v>
      </c>
      <c r="C3777" t="s">
        <v>711</v>
      </c>
      <c r="D3777" t="s">
        <v>242</v>
      </c>
      <c r="E3777" t="s">
        <v>568</v>
      </c>
      <c r="F3777" t="s">
        <v>163</v>
      </c>
      <c r="G3777" t="s">
        <v>111</v>
      </c>
      <c r="H3777" t="s">
        <v>113</v>
      </c>
      <c r="I3777" t="s">
        <v>112</v>
      </c>
      <c r="J3777" t="s">
        <v>114</v>
      </c>
      <c r="K3777" t="s">
        <v>1758</v>
      </c>
      <c r="L3777" t="s">
        <v>1758</v>
      </c>
    </row>
    <row r="3778" spans="1:12" x14ac:dyDescent="0.3">
      <c r="A3778" t="s">
        <v>709</v>
      </c>
      <c r="B3778" t="s">
        <v>726</v>
      </c>
      <c r="C3778" t="s">
        <v>711</v>
      </c>
      <c r="D3778" t="s">
        <v>243</v>
      </c>
      <c r="E3778" t="s">
        <v>568</v>
      </c>
      <c r="F3778" t="s">
        <v>170</v>
      </c>
      <c r="G3778" t="s">
        <v>111</v>
      </c>
      <c r="H3778" t="s">
        <v>118</v>
      </c>
      <c r="I3778" t="s">
        <v>112</v>
      </c>
      <c r="J3778" t="s">
        <v>119</v>
      </c>
      <c r="K3778" t="s">
        <v>1760</v>
      </c>
      <c r="L3778" t="s">
        <v>1760</v>
      </c>
    </row>
    <row r="3779" spans="1:12" x14ac:dyDescent="0.3">
      <c r="A3779" t="s">
        <v>709</v>
      </c>
      <c r="B3779" t="s">
        <v>726</v>
      </c>
      <c r="C3779" t="s">
        <v>711</v>
      </c>
      <c r="D3779" t="s">
        <v>244</v>
      </c>
      <c r="E3779" t="s">
        <v>568</v>
      </c>
      <c r="F3779" t="s">
        <v>78</v>
      </c>
      <c r="G3779" t="s">
        <v>111</v>
      </c>
      <c r="H3779" t="s">
        <v>118</v>
      </c>
      <c r="I3779" t="s">
        <v>112</v>
      </c>
      <c r="J3779" t="s">
        <v>119</v>
      </c>
      <c r="K3779" t="s">
        <v>1761</v>
      </c>
      <c r="L3779" t="s">
        <v>1761</v>
      </c>
    </row>
    <row r="3780" spans="1:12" x14ac:dyDescent="0.3">
      <c r="A3780" t="s">
        <v>709</v>
      </c>
      <c r="B3780" t="s">
        <v>726</v>
      </c>
      <c r="C3780" t="s">
        <v>711</v>
      </c>
      <c r="D3780" t="s">
        <v>247</v>
      </c>
      <c r="E3780" t="s">
        <v>568</v>
      </c>
      <c r="F3780" t="s">
        <v>60</v>
      </c>
      <c r="G3780" t="s">
        <v>111</v>
      </c>
      <c r="H3780" t="s">
        <v>118</v>
      </c>
      <c r="I3780" t="s">
        <v>112</v>
      </c>
      <c r="J3780" t="s">
        <v>119</v>
      </c>
      <c r="K3780" t="s">
        <v>1760</v>
      </c>
      <c r="L3780" t="s">
        <v>1760</v>
      </c>
    </row>
    <row r="3781" spans="1:12" x14ac:dyDescent="0.3">
      <c r="A3781" t="s">
        <v>709</v>
      </c>
      <c r="B3781" t="s">
        <v>726</v>
      </c>
      <c r="C3781" t="s">
        <v>711</v>
      </c>
      <c r="D3781" t="s">
        <v>251</v>
      </c>
      <c r="E3781" t="s">
        <v>568</v>
      </c>
      <c r="F3781" t="s">
        <v>48</v>
      </c>
      <c r="G3781" t="s">
        <v>111</v>
      </c>
      <c r="H3781" t="s">
        <v>160</v>
      </c>
      <c r="I3781" t="s">
        <v>112</v>
      </c>
      <c r="J3781" t="s">
        <v>114</v>
      </c>
      <c r="K3781" t="s">
        <v>428</v>
      </c>
      <c r="L3781" t="s">
        <v>428</v>
      </c>
    </row>
    <row r="3782" spans="1:12" x14ac:dyDescent="0.3">
      <c r="A3782" t="s">
        <v>709</v>
      </c>
      <c r="B3782" t="s">
        <v>726</v>
      </c>
      <c r="C3782" t="s">
        <v>711</v>
      </c>
      <c r="D3782" t="s">
        <v>252</v>
      </c>
      <c r="E3782" t="s">
        <v>568</v>
      </c>
      <c r="F3782" t="s">
        <v>138</v>
      </c>
      <c r="G3782" t="s">
        <v>111</v>
      </c>
      <c r="H3782" t="s">
        <v>113</v>
      </c>
      <c r="I3782" t="s">
        <v>112</v>
      </c>
      <c r="J3782" t="s">
        <v>114</v>
      </c>
      <c r="K3782" t="s">
        <v>424</v>
      </c>
      <c r="L3782" t="s">
        <v>424</v>
      </c>
    </row>
    <row r="3783" spans="1:12" x14ac:dyDescent="0.3">
      <c r="A3783" t="s">
        <v>709</v>
      </c>
      <c r="B3783" t="s">
        <v>726</v>
      </c>
      <c r="C3783" t="s">
        <v>711</v>
      </c>
      <c r="D3783" t="s">
        <v>253</v>
      </c>
      <c r="E3783" t="s">
        <v>568</v>
      </c>
      <c r="F3783" t="s">
        <v>95</v>
      </c>
      <c r="G3783" t="s">
        <v>111</v>
      </c>
      <c r="H3783" t="s">
        <v>118</v>
      </c>
      <c r="I3783" t="s">
        <v>112</v>
      </c>
      <c r="J3783" t="s">
        <v>119</v>
      </c>
      <c r="K3783" t="s">
        <v>597</v>
      </c>
      <c r="L3783" t="s">
        <v>597</v>
      </c>
    </row>
    <row r="3784" spans="1:12" x14ac:dyDescent="0.3">
      <c r="A3784" t="s">
        <v>709</v>
      </c>
      <c r="B3784" t="s">
        <v>726</v>
      </c>
      <c r="C3784" t="s">
        <v>711</v>
      </c>
      <c r="D3784" t="s">
        <v>254</v>
      </c>
      <c r="E3784" t="s">
        <v>568</v>
      </c>
      <c r="F3784" t="s">
        <v>139</v>
      </c>
      <c r="G3784" t="s">
        <v>111</v>
      </c>
      <c r="H3784" t="s">
        <v>113</v>
      </c>
      <c r="I3784" t="s">
        <v>112</v>
      </c>
      <c r="J3784" t="s">
        <v>114</v>
      </c>
      <c r="K3784" t="s">
        <v>1759</v>
      </c>
      <c r="L3784" t="s">
        <v>1759</v>
      </c>
    </row>
    <row r="3785" spans="1:12" x14ac:dyDescent="0.3">
      <c r="A3785" t="s">
        <v>709</v>
      </c>
      <c r="B3785" t="s">
        <v>726</v>
      </c>
      <c r="C3785" t="s">
        <v>711</v>
      </c>
      <c r="D3785" t="s">
        <v>255</v>
      </c>
      <c r="E3785" t="s">
        <v>568</v>
      </c>
      <c r="F3785" t="s">
        <v>171</v>
      </c>
      <c r="G3785" t="s">
        <v>111</v>
      </c>
      <c r="H3785" t="s">
        <v>113</v>
      </c>
      <c r="I3785" t="s">
        <v>112</v>
      </c>
      <c r="J3785" t="s">
        <v>114</v>
      </c>
      <c r="K3785" t="s">
        <v>427</v>
      </c>
      <c r="L3785" t="s">
        <v>427</v>
      </c>
    </row>
    <row r="3786" spans="1:12" x14ac:dyDescent="0.3">
      <c r="A3786" t="s">
        <v>709</v>
      </c>
      <c r="B3786" t="s">
        <v>726</v>
      </c>
      <c r="C3786" t="s">
        <v>711</v>
      </c>
      <c r="D3786" t="s">
        <v>320</v>
      </c>
      <c r="E3786" t="s">
        <v>568</v>
      </c>
      <c r="F3786" t="s">
        <v>172</v>
      </c>
      <c r="G3786" t="s">
        <v>111</v>
      </c>
      <c r="H3786" t="s">
        <v>113</v>
      </c>
      <c r="I3786" t="s">
        <v>112</v>
      </c>
      <c r="J3786" t="s">
        <v>114</v>
      </c>
      <c r="K3786" t="s">
        <v>428</v>
      </c>
      <c r="L3786" t="s">
        <v>428</v>
      </c>
    </row>
    <row r="3787" spans="1:12" x14ac:dyDescent="0.3">
      <c r="A3787" t="s">
        <v>709</v>
      </c>
      <c r="B3787" t="s">
        <v>726</v>
      </c>
      <c r="C3787" t="s">
        <v>711</v>
      </c>
      <c r="D3787" t="s">
        <v>207</v>
      </c>
      <c r="E3787" t="s">
        <v>568</v>
      </c>
      <c r="F3787" t="s">
        <v>62</v>
      </c>
      <c r="G3787" t="s">
        <v>111</v>
      </c>
      <c r="H3787" t="s">
        <v>113</v>
      </c>
      <c r="I3787" t="s">
        <v>112</v>
      </c>
      <c r="J3787" t="s">
        <v>114</v>
      </c>
      <c r="K3787" t="s">
        <v>424</v>
      </c>
      <c r="L3787" t="s">
        <v>424</v>
      </c>
    </row>
    <row r="3788" spans="1:12" x14ac:dyDescent="0.3">
      <c r="A3788" t="s">
        <v>709</v>
      </c>
      <c r="B3788" t="s">
        <v>726</v>
      </c>
      <c r="C3788" t="s">
        <v>711</v>
      </c>
      <c r="D3788" t="s">
        <v>256</v>
      </c>
      <c r="E3788" t="s">
        <v>568</v>
      </c>
      <c r="F3788" t="s">
        <v>57</v>
      </c>
      <c r="G3788" t="s">
        <v>111</v>
      </c>
      <c r="H3788" t="s">
        <v>113</v>
      </c>
      <c r="I3788" t="s">
        <v>112</v>
      </c>
      <c r="J3788" t="s">
        <v>114</v>
      </c>
      <c r="K3788" t="s">
        <v>1754</v>
      </c>
      <c r="L3788" t="s">
        <v>1754</v>
      </c>
    </row>
    <row r="3789" spans="1:12" x14ac:dyDescent="0.3">
      <c r="A3789" t="s">
        <v>709</v>
      </c>
      <c r="B3789" t="s">
        <v>726</v>
      </c>
      <c r="C3789" t="s">
        <v>711</v>
      </c>
      <c r="D3789" t="s">
        <v>322</v>
      </c>
      <c r="E3789" t="s">
        <v>568</v>
      </c>
      <c r="F3789" t="s">
        <v>173</v>
      </c>
      <c r="G3789" t="s">
        <v>111</v>
      </c>
      <c r="H3789" t="s">
        <v>113</v>
      </c>
      <c r="I3789" t="s">
        <v>112</v>
      </c>
      <c r="J3789" t="s">
        <v>114</v>
      </c>
      <c r="K3789" t="s">
        <v>1757</v>
      </c>
      <c r="L3789" t="s">
        <v>1757</v>
      </c>
    </row>
    <row r="3790" spans="1:12" x14ac:dyDescent="0.3">
      <c r="A3790" t="s">
        <v>709</v>
      </c>
      <c r="B3790" t="s">
        <v>726</v>
      </c>
      <c r="C3790" t="s">
        <v>711</v>
      </c>
      <c r="D3790" t="s">
        <v>257</v>
      </c>
      <c r="E3790" t="s">
        <v>568</v>
      </c>
      <c r="F3790" t="s">
        <v>174</v>
      </c>
      <c r="G3790" t="s">
        <v>111</v>
      </c>
      <c r="H3790" t="s">
        <v>113</v>
      </c>
      <c r="I3790" t="s">
        <v>112</v>
      </c>
      <c r="J3790" t="s">
        <v>114</v>
      </c>
      <c r="K3790" t="s">
        <v>1762</v>
      </c>
      <c r="L3790" t="s">
        <v>1762</v>
      </c>
    </row>
    <row r="3791" spans="1:12" x14ac:dyDescent="0.3">
      <c r="A3791" t="s">
        <v>709</v>
      </c>
      <c r="B3791" t="s">
        <v>726</v>
      </c>
      <c r="C3791" t="s">
        <v>711</v>
      </c>
      <c r="D3791" t="s">
        <v>258</v>
      </c>
      <c r="E3791" t="s">
        <v>568</v>
      </c>
      <c r="F3791" t="s">
        <v>88</v>
      </c>
      <c r="G3791" t="s">
        <v>111</v>
      </c>
      <c r="H3791" t="s">
        <v>113</v>
      </c>
      <c r="I3791" t="s">
        <v>112</v>
      </c>
      <c r="J3791" t="s">
        <v>114</v>
      </c>
      <c r="K3791" t="s">
        <v>1758</v>
      </c>
      <c r="L3791" t="s">
        <v>1758</v>
      </c>
    </row>
    <row r="3792" spans="1:12" x14ac:dyDescent="0.3">
      <c r="A3792" t="s">
        <v>709</v>
      </c>
      <c r="B3792" t="s">
        <v>726</v>
      </c>
      <c r="C3792" t="s">
        <v>711</v>
      </c>
      <c r="D3792" t="s">
        <v>259</v>
      </c>
      <c r="E3792" t="s">
        <v>568</v>
      </c>
      <c r="F3792" t="s">
        <v>77</v>
      </c>
      <c r="G3792" t="s">
        <v>111</v>
      </c>
      <c r="H3792" t="s">
        <v>118</v>
      </c>
      <c r="I3792" t="s">
        <v>112</v>
      </c>
      <c r="J3792" t="s">
        <v>119</v>
      </c>
      <c r="K3792" t="s">
        <v>597</v>
      </c>
      <c r="L3792" t="s">
        <v>597</v>
      </c>
    </row>
    <row r="3793" spans="1:12" x14ac:dyDescent="0.3">
      <c r="A3793" t="s">
        <v>709</v>
      </c>
      <c r="B3793" t="s">
        <v>726</v>
      </c>
      <c r="C3793" t="s">
        <v>711</v>
      </c>
      <c r="D3793" t="s">
        <v>323</v>
      </c>
      <c r="E3793" t="s">
        <v>568</v>
      </c>
      <c r="F3793" t="s">
        <v>74</v>
      </c>
      <c r="G3793" t="s">
        <v>111</v>
      </c>
      <c r="H3793" t="s">
        <v>113</v>
      </c>
      <c r="I3793" t="s">
        <v>112</v>
      </c>
      <c r="J3793" t="s">
        <v>114</v>
      </c>
      <c r="K3793" t="s">
        <v>428</v>
      </c>
      <c r="L3793" t="s">
        <v>428</v>
      </c>
    </row>
    <row r="3794" spans="1:12" x14ac:dyDescent="0.3">
      <c r="A3794" t="s">
        <v>709</v>
      </c>
      <c r="B3794" t="s">
        <v>726</v>
      </c>
      <c r="C3794" t="s">
        <v>711</v>
      </c>
      <c r="D3794" t="s">
        <v>324</v>
      </c>
      <c r="E3794" t="s">
        <v>568</v>
      </c>
      <c r="F3794" t="s">
        <v>102</v>
      </c>
      <c r="G3794" t="s">
        <v>111</v>
      </c>
      <c r="H3794" t="s">
        <v>118</v>
      </c>
      <c r="I3794" t="s">
        <v>112</v>
      </c>
      <c r="J3794" t="s">
        <v>119</v>
      </c>
      <c r="K3794" t="s">
        <v>1760</v>
      </c>
      <c r="L3794" t="s">
        <v>1760</v>
      </c>
    </row>
    <row r="3795" spans="1:12" x14ac:dyDescent="0.3">
      <c r="A3795" t="s">
        <v>709</v>
      </c>
      <c r="B3795" t="s">
        <v>726</v>
      </c>
      <c r="C3795" t="s">
        <v>711</v>
      </c>
      <c r="D3795" t="s">
        <v>260</v>
      </c>
      <c r="E3795" t="s">
        <v>568</v>
      </c>
      <c r="F3795" t="s">
        <v>140</v>
      </c>
      <c r="G3795" t="s">
        <v>111</v>
      </c>
      <c r="H3795" t="s">
        <v>113</v>
      </c>
      <c r="I3795" t="s">
        <v>112</v>
      </c>
      <c r="J3795" t="s">
        <v>114</v>
      </c>
      <c r="K3795" t="s">
        <v>428</v>
      </c>
      <c r="L3795" t="s">
        <v>428</v>
      </c>
    </row>
    <row r="3796" spans="1:12" x14ac:dyDescent="0.3">
      <c r="A3796" t="s">
        <v>709</v>
      </c>
      <c r="B3796" t="s">
        <v>726</v>
      </c>
      <c r="C3796" t="s">
        <v>711</v>
      </c>
      <c r="D3796" t="s">
        <v>263</v>
      </c>
      <c r="E3796" t="s">
        <v>568</v>
      </c>
      <c r="F3796" t="s">
        <v>141</v>
      </c>
      <c r="G3796" t="s">
        <v>111</v>
      </c>
      <c r="H3796" t="s">
        <v>113</v>
      </c>
      <c r="I3796" t="s">
        <v>112</v>
      </c>
      <c r="J3796" t="s">
        <v>114</v>
      </c>
      <c r="K3796" t="s">
        <v>424</v>
      </c>
      <c r="L3796" t="s">
        <v>424</v>
      </c>
    </row>
    <row r="3797" spans="1:12" x14ac:dyDescent="0.3">
      <c r="A3797" t="s">
        <v>709</v>
      </c>
      <c r="B3797" t="s">
        <v>726</v>
      </c>
      <c r="C3797" t="s">
        <v>711</v>
      </c>
      <c r="D3797" t="s">
        <v>264</v>
      </c>
      <c r="E3797" t="s">
        <v>568</v>
      </c>
      <c r="F3797" t="s">
        <v>64</v>
      </c>
      <c r="G3797" t="s">
        <v>111</v>
      </c>
      <c r="H3797" t="s">
        <v>113</v>
      </c>
      <c r="I3797" t="s">
        <v>112</v>
      </c>
      <c r="J3797" t="s">
        <v>114</v>
      </c>
      <c r="K3797" t="s">
        <v>1759</v>
      </c>
      <c r="L3797" t="s">
        <v>1759</v>
      </c>
    </row>
    <row r="3798" spans="1:12" x14ac:dyDescent="0.3">
      <c r="A3798" t="s">
        <v>709</v>
      </c>
      <c r="B3798" t="s">
        <v>726</v>
      </c>
      <c r="C3798" t="s">
        <v>711</v>
      </c>
      <c r="D3798" t="s">
        <v>265</v>
      </c>
      <c r="E3798" t="s">
        <v>568</v>
      </c>
      <c r="F3798" t="s">
        <v>142</v>
      </c>
      <c r="G3798" t="s">
        <v>111</v>
      </c>
      <c r="H3798" t="s">
        <v>118</v>
      </c>
      <c r="I3798" t="s">
        <v>112</v>
      </c>
      <c r="J3798" t="s">
        <v>119</v>
      </c>
      <c r="K3798" t="s">
        <v>597</v>
      </c>
      <c r="L3798" t="s">
        <v>597</v>
      </c>
    </row>
    <row r="3799" spans="1:12" x14ac:dyDescent="0.3">
      <c r="A3799" t="s">
        <v>709</v>
      </c>
      <c r="B3799" t="s">
        <v>726</v>
      </c>
      <c r="C3799" t="s">
        <v>711</v>
      </c>
      <c r="D3799" t="s">
        <v>326</v>
      </c>
      <c r="E3799" t="s">
        <v>568</v>
      </c>
      <c r="F3799" t="s">
        <v>144</v>
      </c>
      <c r="G3799" t="s">
        <v>111</v>
      </c>
      <c r="H3799" t="s">
        <v>113</v>
      </c>
      <c r="I3799" t="s">
        <v>112</v>
      </c>
      <c r="J3799" t="s">
        <v>114</v>
      </c>
      <c r="K3799" t="s">
        <v>1763</v>
      </c>
      <c r="L3799" t="s">
        <v>1763</v>
      </c>
    </row>
    <row r="3800" spans="1:12" x14ac:dyDescent="0.3">
      <c r="A3800" t="s">
        <v>709</v>
      </c>
      <c r="B3800" t="s">
        <v>726</v>
      </c>
      <c r="C3800" t="s">
        <v>711</v>
      </c>
      <c r="D3800" t="s">
        <v>269</v>
      </c>
      <c r="E3800" t="s">
        <v>568</v>
      </c>
      <c r="F3800" t="s">
        <v>145</v>
      </c>
      <c r="G3800" t="s">
        <v>111</v>
      </c>
      <c r="H3800" t="s">
        <v>113</v>
      </c>
      <c r="I3800" t="s">
        <v>112</v>
      </c>
      <c r="J3800" t="s">
        <v>114</v>
      </c>
      <c r="K3800" t="s">
        <v>424</v>
      </c>
      <c r="L3800" t="s">
        <v>424</v>
      </c>
    </row>
    <row r="3801" spans="1:12" x14ac:dyDescent="0.3">
      <c r="A3801" t="s">
        <v>709</v>
      </c>
      <c r="B3801" t="s">
        <v>726</v>
      </c>
      <c r="C3801" t="s">
        <v>711</v>
      </c>
      <c r="D3801" t="s">
        <v>270</v>
      </c>
      <c r="E3801" t="s">
        <v>568</v>
      </c>
      <c r="F3801" t="s">
        <v>81</v>
      </c>
      <c r="G3801" t="s">
        <v>111</v>
      </c>
      <c r="H3801" t="s">
        <v>118</v>
      </c>
      <c r="I3801" t="s">
        <v>112</v>
      </c>
      <c r="J3801" t="s">
        <v>119</v>
      </c>
      <c r="K3801" t="s">
        <v>597</v>
      </c>
      <c r="L3801" t="s">
        <v>597</v>
      </c>
    </row>
    <row r="3802" spans="1:12" x14ac:dyDescent="0.3">
      <c r="A3802" t="s">
        <v>709</v>
      </c>
      <c r="B3802" t="s">
        <v>726</v>
      </c>
      <c r="C3802" t="s">
        <v>711</v>
      </c>
      <c r="D3802" t="s">
        <v>271</v>
      </c>
      <c r="E3802" t="s">
        <v>567</v>
      </c>
      <c r="F3802" t="s">
        <v>76</v>
      </c>
      <c r="G3802" t="s">
        <v>111</v>
      </c>
      <c r="H3802" t="s">
        <v>113</v>
      </c>
      <c r="I3802" t="s">
        <v>112</v>
      </c>
      <c r="J3802" t="s">
        <v>114</v>
      </c>
      <c r="K3802" t="s">
        <v>1761</v>
      </c>
      <c r="L3802" t="s">
        <v>1761</v>
      </c>
    </row>
    <row r="3803" spans="1:12" x14ac:dyDescent="0.3">
      <c r="A3803" t="s">
        <v>709</v>
      </c>
      <c r="B3803" t="s">
        <v>726</v>
      </c>
      <c r="C3803" t="s">
        <v>711</v>
      </c>
      <c r="D3803" t="s">
        <v>272</v>
      </c>
      <c r="E3803" t="s">
        <v>567</v>
      </c>
      <c r="F3803" t="s">
        <v>52</v>
      </c>
      <c r="G3803" t="s">
        <v>111</v>
      </c>
      <c r="H3803" t="s">
        <v>113</v>
      </c>
      <c r="I3803" t="s">
        <v>112</v>
      </c>
      <c r="J3803" t="s">
        <v>114</v>
      </c>
      <c r="K3803" t="s">
        <v>1758</v>
      </c>
      <c r="L3803" t="s">
        <v>1758</v>
      </c>
    </row>
    <row r="3804" spans="1:12" x14ac:dyDescent="0.3">
      <c r="A3804" t="s">
        <v>709</v>
      </c>
      <c r="B3804" t="s">
        <v>726</v>
      </c>
      <c r="C3804" t="s">
        <v>711</v>
      </c>
      <c r="D3804" t="s">
        <v>327</v>
      </c>
      <c r="E3804" t="s">
        <v>567</v>
      </c>
      <c r="F3804" t="s">
        <v>104</v>
      </c>
      <c r="G3804" t="s">
        <v>111</v>
      </c>
      <c r="H3804" t="s">
        <v>113</v>
      </c>
      <c r="I3804" t="s">
        <v>112</v>
      </c>
      <c r="J3804" t="s">
        <v>114</v>
      </c>
      <c r="K3804" t="s">
        <v>1763</v>
      </c>
      <c r="L3804" t="s">
        <v>1763</v>
      </c>
    </row>
    <row r="3805" spans="1:12" x14ac:dyDescent="0.3">
      <c r="A3805" t="s">
        <v>709</v>
      </c>
      <c r="B3805" t="s">
        <v>726</v>
      </c>
      <c r="C3805" t="s">
        <v>711</v>
      </c>
      <c r="D3805" t="s">
        <v>273</v>
      </c>
      <c r="E3805" t="s">
        <v>567</v>
      </c>
      <c r="F3805" t="s">
        <v>176</v>
      </c>
      <c r="G3805" t="s">
        <v>111</v>
      </c>
      <c r="H3805" t="s">
        <v>113</v>
      </c>
      <c r="I3805" t="s">
        <v>112</v>
      </c>
      <c r="J3805" t="s">
        <v>114</v>
      </c>
      <c r="K3805" t="s">
        <v>1755</v>
      </c>
      <c r="L3805" t="s">
        <v>1755</v>
      </c>
    </row>
    <row r="3806" spans="1:12" x14ac:dyDescent="0.3">
      <c r="A3806" t="s">
        <v>709</v>
      </c>
      <c r="B3806" t="s">
        <v>726</v>
      </c>
      <c r="C3806" t="s">
        <v>711</v>
      </c>
      <c r="D3806" t="s">
        <v>274</v>
      </c>
      <c r="E3806" t="s">
        <v>567</v>
      </c>
      <c r="F3806" t="s">
        <v>146</v>
      </c>
      <c r="G3806" t="s">
        <v>111</v>
      </c>
      <c r="H3806" t="s">
        <v>113</v>
      </c>
      <c r="I3806" t="s">
        <v>112</v>
      </c>
      <c r="J3806" t="s">
        <v>114</v>
      </c>
      <c r="K3806" t="s">
        <v>597</v>
      </c>
      <c r="L3806" t="s">
        <v>597</v>
      </c>
    </row>
    <row r="3807" spans="1:12" x14ac:dyDescent="0.3">
      <c r="A3807" t="s">
        <v>709</v>
      </c>
      <c r="B3807" t="s">
        <v>726</v>
      </c>
      <c r="C3807" t="s">
        <v>711</v>
      </c>
      <c r="D3807" t="s">
        <v>276</v>
      </c>
      <c r="E3807" t="s">
        <v>567</v>
      </c>
      <c r="F3807" t="s">
        <v>149</v>
      </c>
      <c r="G3807" t="s">
        <v>111</v>
      </c>
      <c r="H3807" t="s">
        <v>113</v>
      </c>
      <c r="I3807" t="s">
        <v>112</v>
      </c>
      <c r="J3807" t="s">
        <v>114</v>
      </c>
      <c r="K3807" t="s">
        <v>1764</v>
      </c>
      <c r="L3807" t="s">
        <v>1764</v>
      </c>
    </row>
    <row r="3808" spans="1:12" x14ac:dyDescent="0.3">
      <c r="A3808" t="s">
        <v>709</v>
      </c>
      <c r="B3808" t="s">
        <v>726</v>
      </c>
      <c r="C3808" t="s">
        <v>711</v>
      </c>
      <c r="D3808" t="s">
        <v>277</v>
      </c>
      <c r="E3808" t="s">
        <v>567</v>
      </c>
      <c r="F3808" t="s">
        <v>83</v>
      </c>
      <c r="G3808" t="s">
        <v>111</v>
      </c>
      <c r="H3808" t="s">
        <v>113</v>
      </c>
      <c r="I3808" t="s">
        <v>112</v>
      </c>
      <c r="J3808" t="s">
        <v>114</v>
      </c>
      <c r="K3808" t="s">
        <v>597</v>
      </c>
      <c r="L3808" t="s">
        <v>597</v>
      </c>
    </row>
    <row r="3809" spans="1:12" x14ac:dyDescent="0.3">
      <c r="A3809" t="s">
        <v>709</v>
      </c>
      <c r="B3809" t="s">
        <v>726</v>
      </c>
      <c r="C3809" t="s">
        <v>711</v>
      </c>
      <c r="D3809" t="s">
        <v>278</v>
      </c>
      <c r="E3809" t="s">
        <v>567</v>
      </c>
      <c r="F3809" t="s">
        <v>203</v>
      </c>
      <c r="G3809" t="s">
        <v>111</v>
      </c>
      <c r="H3809" t="s">
        <v>113</v>
      </c>
      <c r="I3809" t="s">
        <v>112</v>
      </c>
      <c r="J3809" t="s">
        <v>114</v>
      </c>
      <c r="K3809" t="s">
        <v>597</v>
      </c>
      <c r="L3809" t="s">
        <v>597</v>
      </c>
    </row>
    <row r="3810" spans="1:12" x14ac:dyDescent="0.3">
      <c r="A3810" t="s">
        <v>709</v>
      </c>
      <c r="B3810" t="s">
        <v>726</v>
      </c>
      <c r="C3810" t="s">
        <v>711</v>
      </c>
      <c r="D3810" t="s">
        <v>279</v>
      </c>
      <c r="E3810" t="s">
        <v>567</v>
      </c>
      <c r="F3810" t="s">
        <v>150</v>
      </c>
      <c r="G3810" t="s">
        <v>111</v>
      </c>
      <c r="H3810" t="s">
        <v>160</v>
      </c>
      <c r="I3810" t="s">
        <v>112</v>
      </c>
      <c r="J3810" t="s">
        <v>114</v>
      </c>
      <c r="K3810" t="s">
        <v>1761</v>
      </c>
      <c r="L3810" t="s">
        <v>1761</v>
      </c>
    </row>
    <row r="3811" spans="1:12" x14ac:dyDescent="0.3">
      <c r="A3811" t="s">
        <v>709</v>
      </c>
      <c r="B3811" t="s">
        <v>726</v>
      </c>
      <c r="C3811" t="s">
        <v>711</v>
      </c>
      <c r="D3811" t="s">
        <v>280</v>
      </c>
      <c r="E3811" t="s">
        <v>567</v>
      </c>
      <c r="F3811" t="s">
        <v>71</v>
      </c>
      <c r="G3811" t="s">
        <v>111</v>
      </c>
      <c r="H3811" t="s">
        <v>118</v>
      </c>
      <c r="I3811" t="s">
        <v>112</v>
      </c>
      <c r="J3811" t="s">
        <v>119</v>
      </c>
      <c r="K3811" t="s">
        <v>1761</v>
      </c>
      <c r="L3811" t="s">
        <v>1761</v>
      </c>
    </row>
    <row r="3812" spans="1:12" x14ac:dyDescent="0.3">
      <c r="A3812" t="s">
        <v>709</v>
      </c>
      <c r="B3812" t="s">
        <v>726</v>
      </c>
      <c r="C3812" t="s">
        <v>711</v>
      </c>
      <c r="D3812" t="s">
        <v>282</v>
      </c>
      <c r="E3812" t="s">
        <v>567</v>
      </c>
      <c r="F3812" t="s">
        <v>90</v>
      </c>
      <c r="G3812" t="s">
        <v>111</v>
      </c>
      <c r="H3812" t="s">
        <v>113</v>
      </c>
      <c r="I3812" t="s">
        <v>112</v>
      </c>
      <c r="J3812" t="s">
        <v>114</v>
      </c>
      <c r="K3812" t="s">
        <v>1765</v>
      </c>
      <c r="L3812" t="s">
        <v>1765</v>
      </c>
    </row>
    <row r="3813" spans="1:12" x14ac:dyDescent="0.3">
      <c r="A3813" t="s">
        <v>709</v>
      </c>
      <c r="B3813" t="s">
        <v>726</v>
      </c>
      <c r="C3813" t="s">
        <v>711</v>
      </c>
      <c r="D3813" t="s">
        <v>329</v>
      </c>
      <c r="E3813" t="s">
        <v>567</v>
      </c>
      <c r="F3813" t="s">
        <v>92</v>
      </c>
      <c r="G3813" t="s">
        <v>111</v>
      </c>
      <c r="H3813" t="s">
        <v>113</v>
      </c>
      <c r="I3813" t="s">
        <v>112</v>
      </c>
      <c r="J3813" t="s">
        <v>114</v>
      </c>
      <c r="K3813" t="s">
        <v>1766</v>
      </c>
      <c r="L3813" t="s">
        <v>1766</v>
      </c>
    </row>
    <row r="3814" spans="1:12" x14ac:dyDescent="0.3">
      <c r="A3814" t="s">
        <v>709</v>
      </c>
      <c r="B3814" t="s">
        <v>726</v>
      </c>
      <c r="C3814" t="s">
        <v>711</v>
      </c>
      <c r="D3814" t="s">
        <v>283</v>
      </c>
      <c r="E3814" t="s">
        <v>567</v>
      </c>
      <c r="F3814" t="s">
        <v>63</v>
      </c>
      <c r="G3814" t="s">
        <v>111</v>
      </c>
      <c r="H3814" t="s">
        <v>118</v>
      </c>
      <c r="I3814" t="s">
        <v>112</v>
      </c>
      <c r="J3814" t="s">
        <v>119</v>
      </c>
      <c r="K3814" t="s">
        <v>1761</v>
      </c>
      <c r="L3814" t="s">
        <v>1761</v>
      </c>
    </row>
    <row r="3815" spans="1:12" x14ac:dyDescent="0.3">
      <c r="A3815" t="s">
        <v>709</v>
      </c>
      <c r="B3815" t="s">
        <v>726</v>
      </c>
      <c r="C3815" t="s">
        <v>711</v>
      </c>
      <c r="D3815" t="s">
        <v>285</v>
      </c>
      <c r="E3815" t="s">
        <v>567</v>
      </c>
      <c r="F3815" t="s">
        <v>195</v>
      </c>
      <c r="G3815" t="s">
        <v>111</v>
      </c>
      <c r="H3815" t="s">
        <v>118</v>
      </c>
      <c r="I3815" t="s">
        <v>112</v>
      </c>
      <c r="J3815" t="s">
        <v>119</v>
      </c>
      <c r="K3815" t="s">
        <v>597</v>
      </c>
      <c r="L3815" t="s">
        <v>597</v>
      </c>
    </row>
    <row r="3816" spans="1:12" x14ac:dyDescent="0.3">
      <c r="A3816" t="s">
        <v>709</v>
      </c>
      <c r="B3816" t="s">
        <v>726</v>
      </c>
      <c r="C3816" t="s">
        <v>711</v>
      </c>
      <c r="D3816" t="s">
        <v>330</v>
      </c>
      <c r="E3816" t="s">
        <v>567</v>
      </c>
      <c r="F3816" t="s">
        <v>177</v>
      </c>
      <c r="G3816" t="s">
        <v>111</v>
      </c>
      <c r="H3816" t="s">
        <v>147</v>
      </c>
      <c r="I3816" t="s">
        <v>112</v>
      </c>
      <c r="J3816" t="s">
        <v>119</v>
      </c>
      <c r="K3816" t="s">
        <v>1767</v>
      </c>
      <c r="L3816" t="s">
        <v>1767</v>
      </c>
    </row>
    <row r="3817" spans="1:12" x14ac:dyDescent="0.3">
      <c r="A3817" t="s">
        <v>709</v>
      </c>
      <c r="B3817" t="s">
        <v>726</v>
      </c>
      <c r="C3817" t="s">
        <v>711</v>
      </c>
      <c r="D3817" t="s">
        <v>288</v>
      </c>
      <c r="E3817" t="s">
        <v>567</v>
      </c>
      <c r="F3817" t="s">
        <v>178</v>
      </c>
      <c r="G3817" t="s">
        <v>111</v>
      </c>
      <c r="H3817" t="s">
        <v>113</v>
      </c>
      <c r="I3817" t="s">
        <v>112</v>
      </c>
      <c r="J3817" t="s">
        <v>114</v>
      </c>
      <c r="K3817" t="s">
        <v>597</v>
      </c>
      <c r="L3817" t="s">
        <v>597</v>
      </c>
    </row>
    <row r="3818" spans="1:12" x14ac:dyDescent="0.3">
      <c r="A3818" t="s">
        <v>709</v>
      </c>
      <c r="B3818" t="s">
        <v>726</v>
      </c>
      <c r="C3818" t="s">
        <v>711</v>
      </c>
      <c r="D3818" t="s">
        <v>289</v>
      </c>
      <c r="E3818" t="s">
        <v>567</v>
      </c>
      <c r="F3818" t="s">
        <v>179</v>
      </c>
      <c r="G3818" t="s">
        <v>111</v>
      </c>
      <c r="H3818" t="s">
        <v>113</v>
      </c>
      <c r="I3818" t="s">
        <v>112</v>
      </c>
      <c r="J3818" t="s">
        <v>114</v>
      </c>
      <c r="K3818" t="s">
        <v>1755</v>
      </c>
      <c r="L3818" t="s">
        <v>1755</v>
      </c>
    </row>
    <row r="3819" spans="1:12" x14ac:dyDescent="0.3">
      <c r="A3819" t="s">
        <v>709</v>
      </c>
      <c r="B3819" t="s">
        <v>726</v>
      </c>
      <c r="C3819" t="s">
        <v>711</v>
      </c>
      <c r="D3819" t="s">
        <v>290</v>
      </c>
      <c r="E3819" t="s">
        <v>567</v>
      </c>
      <c r="F3819" t="s">
        <v>153</v>
      </c>
      <c r="G3819" t="s">
        <v>111</v>
      </c>
      <c r="H3819" t="s">
        <v>118</v>
      </c>
      <c r="I3819" t="s">
        <v>112</v>
      </c>
      <c r="J3819" t="s">
        <v>119</v>
      </c>
      <c r="K3819" t="s">
        <v>1761</v>
      </c>
      <c r="L3819" t="s">
        <v>1761</v>
      </c>
    </row>
    <row r="3820" spans="1:12" x14ac:dyDescent="0.3">
      <c r="A3820" t="s">
        <v>709</v>
      </c>
      <c r="B3820" t="s">
        <v>726</v>
      </c>
      <c r="C3820" t="s">
        <v>711</v>
      </c>
      <c r="D3820" t="s">
        <v>291</v>
      </c>
      <c r="E3820" t="s">
        <v>567</v>
      </c>
      <c r="F3820" t="s">
        <v>154</v>
      </c>
      <c r="G3820" t="s">
        <v>111</v>
      </c>
      <c r="H3820" t="s">
        <v>113</v>
      </c>
      <c r="I3820" t="s">
        <v>112</v>
      </c>
      <c r="J3820" t="s">
        <v>114</v>
      </c>
      <c r="K3820" t="s">
        <v>597</v>
      </c>
      <c r="L3820" t="s">
        <v>597</v>
      </c>
    </row>
    <row r="3821" spans="1:12" x14ac:dyDescent="0.3">
      <c r="A3821" t="s">
        <v>709</v>
      </c>
      <c r="B3821" t="s">
        <v>726</v>
      </c>
      <c r="C3821" t="s">
        <v>711</v>
      </c>
      <c r="D3821" t="s">
        <v>292</v>
      </c>
      <c r="E3821" t="s">
        <v>567</v>
      </c>
      <c r="F3821" t="s">
        <v>55</v>
      </c>
      <c r="G3821" t="s">
        <v>111</v>
      </c>
      <c r="H3821" t="s">
        <v>113</v>
      </c>
      <c r="I3821" t="s">
        <v>112</v>
      </c>
      <c r="J3821" t="s">
        <v>114</v>
      </c>
      <c r="K3821" t="s">
        <v>1760</v>
      </c>
      <c r="L3821" t="s">
        <v>1760</v>
      </c>
    </row>
    <row r="3822" spans="1:12" x14ac:dyDescent="0.3">
      <c r="A3822" t="s">
        <v>709</v>
      </c>
      <c r="B3822" t="s">
        <v>726</v>
      </c>
      <c r="C3822" t="s">
        <v>711</v>
      </c>
      <c r="D3822" t="s">
        <v>334</v>
      </c>
      <c r="E3822" t="s">
        <v>567</v>
      </c>
      <c r="F3822" t="s">
        <v>155</v>
      </c>
      <c r="G3822" t="s">
        <v>111</v>
      </c>
      <c r="H3822" t="s">
        <v>118</v>
      </c>
      <c r="I3822" t="s">
        <v>112</v>
      </c>
      <c r="J3822" t="s">
        <v>119</v>
      </c>
      <c r="K3822" t="s">
        <v>1761</v>
      </c>
      <c r="L3822" t="s">
        <v>1761</v>
      </c>
    </row>
    <row r="3823" spans="1:12" x14ac:dyDescent="0.3">
      <c r="A3823" t="s">
        <v>709</v>
      </c>
      <c r="B3823" t="s">
        <v>726</v>
      </c>
      <c r="C3823" t="s">
        <v>711</v>
      </c>
      <c r="D3823" t="s">
        <v>296</v>
      </c>
      <c r="E3823" t="s">
        <v>567</v>
      </c>
      <c r="F3823" t="s">
        <v>198</v>
      </c>
      <c r="G3823" t="s">
        <v>111</v>
      </c>
      <c r="H3823" t="s">
        <v>113</v>
      </c>
      <c r="I3823" t="s">
        <v>112</v>
      </c>
      <c r="J3823" t="s">
        <v>114</v>
      </c>
      <c r="K3823" t="s">
        <v>597</v>
      </c>
      <c r="L3823" t="s">
        <v>597</v>
      </c>
    </row>
    <row r="3824" spans="1:12" x14ac:dyDescent="0.3">
      <c r="A3824" t="s">
        <v>709</v>
      </c>
      <c r="B3824" t="s">
        <v>726</v>
      </c>
      <c r="C3824" t="s">
        <v>711</v>
      </c>
      <c r="D3824" t="s">
        <v>298</v>
      </c>
      <c r="E3824" t="s">
        <v>567</v>
      </c>
      <c r="F3824" t="s">
        <v>158</v>
      </c>
      <c r="G3824" t="s">
        <v>111</v>
      </c>
      <c r="H3824" t="s">
        <v>113</v>
      </c>
      <c r="I3824" t="s">
        <v>112</v>
      </c>
      <c r="J3824" t="s">
        <v>114</v>
      </c>
      <c r="K3824" t="s">
        <v>597</v>
      </c>
      <c r="L3824" t="s">
        <v>597</v>
      </c>
    </row>
    <row r="3825" spans="1:12" x14ac:dyDescent="0.3">
      <c r="A3825" t="s">
        <v>709</v>
      </c>
      <c r="B3825" t="s">
        <v>726</v>
      </c>
      <c r="C3825" t="s">
        <v>711</v>
      </c>
      <c r="D3825" t="s">
        <v>336</v>
      </c>
      <c r="E3825" t="s">
        <v>567</v>
      </c>
      <c r="F3825" t="s">
        <v>159</v>
      </c>
      <c r="G3825" t="s">
        <v>111</v>
      </c>
      <c r="H3825" t="s">
        <v>118</v>
      </c>
      <c r="I3825" t="s">
        <v>112</v>
      </c>
      <c r="J3825" t="s">
        <v>119</v>
      </c>
      <c r="K3825" t="s">
        <v>597</v>
      </c>
      <c r="L3825" t="s">
        <v>597</v>
      </c>
    </row>
    <row r="3826" spans="1:12" x14ac:dyDescent="0.3">
      <c r="A3826" t="s">
        <v>709</v>
      </c>
      <c r="B3826" t="s">
        <v>726</v>
      </c>
      <c r="C3826" t="s">
        <v>711</v>
      </c>
      <c r="D3826" t="s">
        <v>299</v>
      </c>
      <c r="E3826" t="s">
        <v>567</v>
      </c>
      <c r="F3826" t="s">
        <v>47</v>
      </c>
      <c r="G3826" t="s">
        <v>111</v>
      </c>
      <c r="H3826" t="s">
        <v>113</v>
      </c>
      <c r="I3826" t="s">
        <v>112</v>
      </c>
      <c r="J3826" t="s">
        <v>114</v>
      </c>
      <c r="K3826" t="s">
        <v>597</v>
      </c>
      <c r="L3826" t="s">
        <v>597</v>
      </c>
    </row>
    <row r="3827" spans="1:12" x14ac:dyDescent="0.3">
      <c r="A3827" t="s">
        <v>709</v>
      </c>
      <c r="B3827" t="s">
        <v>726</v>
      </c>
      <c r="C3827" t="s">
        <v>711</v>
      </c>
      <c r="D3827" t="s">
        <v>300</v>
      </c>
      <c r="E3827" t="s">
        <v>567</v>
      </c>
      <c r="F3827" t="s">
        <v>181</v>
      </c>
      <c r="G3827" t="s">
        <v>111</v>
      </c>
      <c r="H3827" t="s">
        <v>113</v>
      </c>
      <c r="I3827" t="s">
        <v>112</v>
      </c>
      <c r="J3827" t="s">
        <v>114</v>
      </c>
      <c r="K3827" t="s">
        <v>597</v>
      </c>
      <c r="L3827" t="s">
        <v>597</v>
      </c>
    </row>
    <row r="3828" spans="1:12" x14ac:dyDescent="0.3">
      <c r="A3828" t="s">
        <v>709</v>
      </c>
      <c r="B3828" t="s">
        <v>726</v>
      </c>
      <c r="C3828" t="s">
        <v>711</v>
      </c>
      <c r="D3828" t="s">
        <v>208</v>
      </c>
      <c r="E3828" t="s">
        <v>567</v>
      </c>
      <c r="F3828" t="s">
        <v>161</v>
      </c>
      <c r="G3828" t="s">
        <v>111</v>
      </c>
      <c r="H3828" t="s">
        <v>113</v>
      </c>
      <c r="I3828" t="s">
        <v>112</v>
      </c>
      <c r="J3828" t="s">
        <v>114</v>
      </c>
      <c r="K3828" t="s">
        <v>1755</v>
      </c>
      <c r="L3828" t="s">
        <v>1755</v>
      </c>
    </row>
    <row r="3829" spans="1:12" x14ac:dyDescent="0.3">
      <c r="A3829" t="s">
        <v>709</v>
      </c>
      <c r="B3829" t="s">
        <v>726</v>
      </c>
      <c r="C3829" t="s">
        <v>711</v>
      </c>
      <c r="D3829" t="s">
        <v>1581</v>
      </c>
      <c r="E3829" t="s">
        <v>569</v>
      </c>
      <c r="F3829" t="s">
        <v>115</v>
      </c>
      <c r="G3829" t="s">
        <v>111</v>
      </c>
      <c r="H3829" t="s">
        <v>113</v>
      </c>
      <c r="I3829" t="s">
        <v>112</v>
      </c>
      <c r="J3829" t="s">
        <v>114</v>
      </c>
      <c r="K3829" t="s">
        <v>424</v>
      </c>
      <c r="L3829" t="s">
        <v>424</v>
      </c>
    </row>
    <row r="3830" spans="1:12" x14ac:dyDescent="0.3">
      <c r="A3830" t="s">
        <v>709</v>
      </c>
      <c r="B3830" t="s">
        <v>726</v>
      </c>
      <c r="C3830" t="s">
        <v>711</v>
      </c>
      <c r="D3830" t="s">
        <v>1584</v>
      </c>
      <c r="E3830" t="s">
        <v>569</v>
      </c>
      <c r="F3830" t="s">
        <v>117</v>
      </c>
      <c r="G3830" t="s">
        <v>111</v>
      </c>
      <c r="H3830" t="s">
        <v>113</v>
      </c>
      <c r="I3830" t="s">
        <v>112</v>
      </c>
      <c r="J3830" t="s">
        <v>114</v>
      </c>
      <c r="K3830" t="s">
        <v>1754</v>
      </c>
      <c r="L3830" t="s">
        <v>1754</v>
      </c>
    </row>
    <row r="3831" spans="1:12" x14ac:dyDescent="0.3">
      <c r="A3831" t="s">
        <v>709</v>
      </c>
      <c r="B3831" t="s">
        <v>726</v>
      </c>
      <c r="C3831" t="s">
        <v>711</v>
      </c>
      <c r="D3831" t="s">
        <v>1587</v>
      </c>
      <c r="E3831" t="s">
        <v>569</v>
      </c>
      <c r="F3831" t="s">
        <v>164</v>
      </c>
      <c r="G3831" t="s">
        <v>111</v>
      </c>
      <c r="H3831" t="s">
        <v>118</v>
      </c>
      <c r="I3831" t="s">
        <v>112</v>
      </c>
      <c r="J3831" t="s">
        <v>119</v>
      </c>
      <c r="K3831" t="s">
        <v>597</v>
      </c>
      <c r="L3831" t="s">
        <v>597</v>
      </c>
    </row>
    <row r="3832" spans="1:12" x14ac:dyDescent="0.3">
      <c r="A3832" t="s">
        <v>709</v>
      </c>
      <c r="B3832" t="s">
        <v>726</v>
      </c>
      <c r="C3832" t="s">
        <v>711</v>
      </c>
      <c r="D3832" t="s">
        <v>1588</v>
      </c>
      <c r="E3832" t="s">
        <v>569</v>
      </c>
      <c r="F3832" t="s">
        <v>53</v>
      </c>
      <c r="G3832" t="s">
        <v>111</v>
      </c>
      <c r="H3832" t="s">
        <v>113</v>
      </c>
      <c r="I3832" t="s">
        <v>112</v>
      </c>
      <c r="J3832" t="s">
        <v>114</v>
      </c>
      <c r="K3832" t="s">
        <v>428</v>
      </c>
      <c r="L3832" t="s">
        <v>428</v>
      </c>
    </row>
    <row r="3833" spans="1:12" x14ac:dyDescent="0.3">
      <c r="A3833" t="s">
        <v>709</v>
      </c>
      <c r="B3833" t="s">
        <v>726</v>
      </c>
      <c r="C3833" t="s">
        <v>711</v>
      </c>
      <c r="D3833" t="s">
        <v>1704</v>
      </c>
      <c r="E3833" t="s">
        <v>569</v>
      </c>
      <c r="F3833" t="s">
        <v>121</v>
      </c>
      <c r="G3833" t="s">
        <v>111</v>
      </c>
      <c r="H3833" t="s">
        <v>113</v>
      </c>
      <c r="I3833" t="s">
        <v>112</v>
      </c>
      <c r="J3833" t="s">
        <v>114</v>
      </c>
      <c r="K3833" t="s">
        <v>1761</v>
      </c>
      <c r="L3833" t="s">
        <v>1761</v>
      </c>
    </row>
    <row r="3834" spans="1:12" x14ac:dyDescent="0.3">
      <c r="A3834" t="s">
        <v>709</v>
      </c>
      <c r="B3834" t="s">
        <v>726</v>
      </c>
      <c r="C3834" t="s">
        <v>711</v>
      </c>
      <c r="D3834" t="s">
        <v>1707</v>
      </c>
      <c r="E3834" t="s">
        <v>569</v>
      </c>
      <c r="F3834" t="s">
        <v>189</v>
      </c>
      <c r="G3834" t="s">
        <v>111</v>
      </c>
      <c r="H3834" t="s">
        <v>113</v>
      </c>
      <c r="I3834" t="s">
        <v>112</v>
      </c>
      <c r="J3834" t="s">
        <v>114</v>
      </c>
      <c r="K3834" t="s">
        <v>424</v>
      </c>
      <c r="L3834" t="s">
        <v>424</v>
      </c>
    </row>
    <row r="3835" spans="1:12" x14ac:dyDescent="0.3">
      <c r="A3835" t="s">
        <v>709</v>
      </c>
      <c r="B3835" t="s">
        <v>726</v>
      </c>
      <c r="C3835" t="s">
        <v>711</v>
      </c>
      <c r="D3835" t="s">
        <v>1592</v>
      </c>
      <c r="E3835" t="s">
        <v>569</v>
      </c>
      <c r="F3835" t="s">
        <v>54</v>
      </c>
      <c r="G3835" t="s">
        <v>111</v>
      </c>
      <c r="H3835" t="s">
        <v>118</v>
      </c>
      <c r="I3835" t="s">
        <v>112</v>
      </c>
      <c r="J3835" t="s">
        <v>119</v>
      </c>
      <c r="K3835" t="s">
        <v>1757</v>
      </c>
      <c r="L3835" t="s">
        <v>1757</v>
      </c>
    </row>
    <row r="3836" spans="1:12" x14ac:dyDescent="0.3">
      <c r="A3836" t="s">
        <v>709</v>
      </c>
      <c r="B3836" t="s">
        <v>726</v>
      </c>
      <c r="C3836" t="s">
        <v>711</v>
      </c>
      <c r="D3836" t="s">
        <v>1593</v>
      </c>
      <c r="E3836" t="s">
        <v>569</v>
      </c>
      <c r="F3836" t="s">
        <v>45</v>
      </c>
      <c r="G3836" t="s">
        <v>111</v>
      </c>
      <c r="H3836" t="s">
        <v>113</v>
      </c>
      <c r="I3836" t="s">
        <v>112</v>
      </c>
      <c r="J3836" t="s">
        <v>114</v>
      </c>
      <c r="K3836" t="s">
        <v>428</v>
      </c>
      <c r="L3836" t="s">
        <v>428</v>
      </c>
    </row>
    <row r="3837" spans="1:12" x14ac:dyDescent="0.3">
      <c r="A3837" t="s">
        <v>709</v>
      </c>
      <c r="B3837" t="s">
        <v>726</v>
      </c>
      <c r="C3837" t="s">
        <v>711</v>
      </c>
      <c r="D3837" t="s">
        <v>1597</v>
      </c>
      <c r="E3837" t="s">
        <v>569</v>
      </c>
      <c r="F3837" t="s">
        <v>124</v>
      </c>
      <c r="G3837" t="s">
        <v>111</v>
      </c>
      <c r="H3837" t="s">
        <v>118</v>
      </c>
      <c r="I3837" t="s">
        <v>112</v>
      </c>
      <c r="J3837" t="s">
        <v>119</v>
      </c>
      <c r="K3837" t="s">
        <v>1758</v>
      </c>
      <c r="L3837" t="s">
        <v>1758</v>
      </c>
    </row>
    <row r="3838" spans="1:12" x14ac:dyDescent="0.3">
      <c r="A3838" t="s">
        <v>709</v>
      </c>
      <c r="B3838" t="s">
        <v>726</v>
      </c>
      <c r="C3838" t="s">
        <v>711</v>
      </c>
      <c r="D3838" t="s">
        <v>1708</v>
      </c>
      <c r="E3838" t="s">
        <v>569</v>
      </c>
      <c r="F3838" t="s">
        <v>65</v>
      </c>
      <c r="G3838" t="s">
        <v>111</v>
      </c>
      <c r="H3838" t="s">
        <v>118</v>
      </c>
      <c r="I3838" t="s">
        <v>112</v>
      </c>
      <c r="J3838" t="s">
        <v>119</v>
      </c>
      <c r="K3838" t="s">
        <v>1758</v>
      </c>
      <c r="L3838" t="s">
        <v>1758</v>
      </c>
    </row>
    <row r="3839" spans="1:12" x14ac:dyDescent="0.3">
      <c r="A3839" t="s">
        <v>709</v>
      </c>
      <c r="B3839" t="s">
        <v>726</v>
      </c>
      <c r="C3839" t="s">
        <v>711</v>
      </c>
      <c r="D3839" t="s">
        <v>1709</v>
      </c>
      <c r="E3839" t="s">
        <v>569</v>
      </c>
      <c r="F3839" t="s">
        <v>125</v>
      </c>
      <c r="G3839" t="s">
        <v>111</v>
      </c>
      <c r="H3839" t="s">
        <v>113</v>
      </c>
      <c r="I3839" t="s">
        <v>112</v>
      </c>
      <c r="J3839" t="s">
        <v>114</v>
      </c>
      <c r="K3839" t="s">
        <v>428</v>
      </c>
      <c r="L3839" t="s">
        <v>428</v>
      </c>
    </row>
    <row r="3840" spans="1:12" x14ac:dyDescent="0.3">
      <c r="A3840" t="s">
        <v>709</v>
      </c>
      <c r="B3840" t="s">
        <v>726</v>
      </c>
      <c r="C3840" t="s">
        <v>711</v>
      </c>
      <c r="D3840" t="s">
        <v>1710</v>
      </c>
      <c r="E3840" t="s">
        <v>569</v>
      </c>
      <c r="F3840" t="s">
        <v>80</v>
      </c>
      <c r="G3840" t="s">
        <v>111</v>
      </c>
      <c r="H3840" t="s">
        <v>113</v>
      </c>
      <c r="I3840" t="s">
        <v>112</v>
      </c>
      <c r="J3840" t="s">
        <v>114</v>
      </c>
      <c r="K3840" t="s">
        <v>1755</v>
      </c>
      <c r="L3840" t="s">
        <v>1755</v>
      </c>
    </row>
    <row r="3841" spans="1:12" x14ac:dyDescent="0.3">
      <c r="A3841" t="s">
        <v>709</v>
      </c>
      <c r="B3841" t="s">
        <v>726</v>
      </c>
      <c r="C3841" t="s">
        <v>711</v>
      </c>
      <c r="D3841" t="s">
        <v>1602</v>
      </c>
      <c r="E3841" t="s">
        <v>569</v>
      </c>
      <c r="F3841" t="s">
        <v>167</v>
      </c>
      <c r="G3841" t="s">
        <v>111</v>
      </c>
      <c r="H3841" t="s">
        <v>118</v>
      </c>
      <c r="I3841" t="s">
        <v>112</v>
      </c>
      <c r="J3841" t="s">
        <v>119</v>
      </c>
      <c r="K3841" t="s">
        <v>422</v>
      </c>
      <c r="L3841" t="s">
        <v>422</v>
      </c>
    </row>
    <row r="3842" spans="1:12" x14ac:dyDescent="0.3">
      <c r="A3842" t="s">
        <v>709</v>
      </c>
      <c r="B3842" t="s">
        <v>726</v>
      </c>
      <c r="C3842" t="s">
        <v>711</v>
      </c>
      <c r="D3842" t="s">
        <v>1606</v>
      </c>
      <c r="E3842" t="s">
        <v>569</v>
      </c>
      <c r="F3842" t="s">
        <v>168</v>
      </c>
      <c r="G3842" t="s">
        <v>111</v>
      </c>
      <c r="H3842" t="s">
        <v>118</v>
      </c>
      <c r="I3842" t="s">
        <v>112</v>
      </c>
      <c r="J3842" t="s">
        <v>119</v>
      </c>
      <c r="K3842" t="s">
        <v>597</v>
      </c>
      <c r="L3842" t="s">
        <v>597</v>
      </c>
    </row>
    <row r="3843" spans="1:12" x14ac:dyDescent="0.3">
      <c r="A3843" t="s">
        <v>709</v>
      </c>
      <c r="B3843" t="s">
        <v>726</v>
      </c>
      <c r="C3843" t="s">
        <v>711</v>
      </c>
      <c r="D3843" t="s">
        <v>1607</v>
      </c>
      <c r="E3843" t="s">
        <v>569</v>
      </c>
      <c r="F3843" t="s">
        <v>89</v>
      </c>
      <c r="G3843" t="s">
        <v>111</v>
      </c>
      <c r="H3843" t="s">
        <v>113</v>
      </c>
      <c r="I3843" t="s">
        <v>112</v>
      </c>
      <c r="J3843" t="s">
        <v>114</v>
      </c>
      <c r="K3843" t="s">
        <v>424</v>
      </c>
      <c r="L3843" t="s">
        <v>424</v>
      </c>
    </row>
    <row r="3844" spans="1:12" x14ac:dyDescent="0.3">
      <c r="A3844" t="s">
        <v>709</v>
      </c>
      <c r="B3844" t="s">
        <v>726</v>
      </c>
      <c r="C3844" t="s">
        <v>711</v>
      </c>
      <c r="D3844" t="s">
        <v>1612</v>
      </c>
      <c r="E3844" t="s">
        <v>569</v>
      </c>
      <c r="F3844" t="s">
        <v>110</v>
      </c>
      <c r="G3844" t="s">
        <v>111</v>
      </c>
      <c r="H3844" t="s">
        <v>113</v>
      </c>
      <c r="I3844" t="s">
        <v>112</v>
      </c>
      <c r="J3844" t="s">
        <v>114</v>
      </c>
      <c r="K3844" t="s">
        <v>1761</v>
      </c>
      <c r="L3844" t="s">
        <v>1761</v>
      </c>
    </row>
    <row r="3845" spans="1:12" x14ac:dyDescent="0.3">
      <c r="A3845" t="s">
        <v>709</v>
      </c>
      <c r="B3845" t="s">
        <v>726</v>
      </c>
      <c r="C3845" t="s">
        <v>711</v>
      </c>
      <c r="D3845" t="s">
        <v>1613</v>
      </c>
      <c r="E3845" t="s">
        <v>569</v>
      </c>
      <c r="F3845" t="s">
        <v>93</v>
      </c>
      <c r="G3845" t="s">
        <v>111</v>
      </c>
      <c r="H3845" t="s">
        <v>113</v>
      </c>
      <c r="I3845" t="s">
        <v>112</v>
      </c>
      <c r="J3845" t="s">
        <v>114</v>
      </c>
      <c r="K3845" t="s">
        <v>428</v>
      </c>
      <c r="L3845" t="s">
        <v>428</v>
      </c>
    </row>
    <row r="3846" spans="1:12" x14ac:dyDescent="0.3">
      <c r="A3846" t="s">
        <v>709</v>
      </c>
      <c r="B3846" t="s">
        <v>726</v>
      </c>
      <c r="C3846" t="s">
        <v>711</v>
      </c>
      <c r="D3846" t="s">
        <v>1614</v>
      </c>
      <c r="E3846" t="s">
        <v>569</v>
      </c>
      <c r="F3846" t="s">
        <v>129</v>
      </c>
      <c r="G3846" t="s">
        <v>111</v>
      </c>
      <c r="H3846" t="s">
        <v>113</v>
      </c>
      <c r="I3846" t="s">
        <v>112</v>
      </c>
      <c r="J3846" t="s">
        <v>114</v>
      </c>
      <c r="K3846" t="s">
        <v>424</v>
      </c>
      <c r="L3846" t="s">
        <v>424</v>
      </c>
    </row>
    <row r="3847" spans="1:12" x14ac:dyDescent="0.3">
      <c r="A3847" t="s">
        <v>709</v>
      </c>
      <c r="B3847" t="s">
        <v>726</v>
      </c>
      <c r="C3847" t="s">
        <v>711</v>
      </c>
      <c r="D3847" t="s">
        <v>1711</v>
      </c>
      <c r="E3847" t="s">
        <v>569</v>
      </c>
      <c r="F3847" t="s">
        <v>85</v>
      </c>
      <c r="G3847" t="s">
        <v>111</v>
      </c>
      <c r="H3847" t="s">
        <v>113</v>
      </c>
      <c r="I3847" t="s">
        <v>112</v>
      </c>
      <c r="J3847" t="s">
        <v>114</v>
      </c>
      <c r="K3847" t="s">
        <v>1759</v>
      </c>
      <c r="L3847" t="s">
        <v>1759</v>
      </c>
    </row>
    <row r="3848" spans="1:12" x14ac:dyDescent="0.3">
      <c r="A3848" t="s">
        <v>709</v>
      </c>
      <c r="B3848" t="s">
        <v>726</v>
      </c>
      <c r="C3848" t="s">
        <v>711</v>
      </c>
      <c r="D3848" t="s">
        <v>1616</v>
      </c>
      <c r="E3848" t="s">
        <v>569</v>
      </c>
      <c r="F3848" t="s">
        <v>130</v>
      </c>
      <c r="G3848" t="s">
        <v>111</v>
      </c>
      <c r="H3848" t="s">
        <v>118</v>
      </c>
      <c r="I3848" t="s">
        <v>112</v>
      </c>
      <c r="J3848" t="s">
        <v>119</v>
      </c>
      <c r="K3848" t="s">
        <v>1758</v>
      </c>
      <c r="L3848" t="s">
        <v>1758</v>
      </c>
    </row>
    <row r="3849" spans="1:12" x14ac:dyDescent="0.3">
      <c r="A3849" t="s">
        <v>709</v>
      </c>
      <c r="B3849" t="s">
        <v>726</v>
      </c>
      <c r="C3849" t="s">
        <v>711</v>
      </c>
      <c r="D3849" t="s">
        <v>1618</v>
      </c>
      <c r="E3849" t="s">
        <v>569</v>
      </c>
      <c r="F3849" t="s">
        <v>50</v>
      </c>
      <c r="G3849" t="s">
        <v>111</v>
      </c>
      <c r="H3849" t="s">
        <v>113</v>
      </c>
      <c r="I3849" t="s">
        <v>112</v>
      </c>
      <c r="J3849" t="s">
        <v>114</v>
      </c>
      <c r="K3849" t="s">
        <v>597</v>
      </c>
      <c r="L3849" t="s">
        <v>597</v>
      </c>
    </row>
    <row r="3850" spans="1:12" x14ac:dyDescent="0.3">
      <c r="A3850" t="s">
        <v>709</v>
      </c>
      <c r="B3850" t="s">
        <v>726</v>
      </c>
      <c r="C3850" t="s">
        <v>711</v>
      </c>
      <c r="D3850" t="s">
        <v>1620</v>
      </c>
      <c r="E3850" t="s">
        <v>568</v>
      </c>
      <c r="F3850" t="s">
        <v>134</v>
      </c>
      <c r="G3850" t="s">
        <v>111</v>
      </c>
      <c r="H3850" t="s">
        <v>113</v>
      </c>
      <c r="I3850" t="s">
        <v>112</v>
      </c>
      <c r="J3850" t="s">
        <v>114</v>
      </c>
      <c r="K3850" t="s">
        <v>1768</v>
      </c>
      <c r="L3850" t="s">
        <v>1768</v>
      </c>
    </row>
    <row r="3851" spans="1:12" x14ac:dyDescent="0.3">
      <c r="A3851" t="s">
        <v>709</v>
      </c>
      <c r="B3851" t="s">
        <v>726</v>
      </c>
      <c r="C3851" t="s">
        <v>711</v>
      </c>
      <c r="D3851" t="s">
        <v>1621</v>
      </c>
      <c r="E3851" t="s">
        <v>568</v>
      </c>
      <c r="F3851" t="s">
        <v>51</v>
      </c>
      <c r="G3851" t="s">
        <v>111</v>
      </c>
      <c r="H3851" t="s">
        <v>113</v>
      </c>
      <c r="I3851" t="s">
        <v>112</v>
      </c>
      <c r="J3851" t="s">
        <v>114</v>
      </c>
      <c r="K3851" t="s">
        <v>1768</v>
      </c>
      <c r="L3851" t="s">
        <v>1768</v>
      </c>
    </row>
    <row r="3852" spans="1:12" x14ac:dyDescent="0.3">
      <c r="A3852" t="s">
        <v>709</v>
      </c>
      <c r="B3852" t="s">
        <v>726</v>
      </c>
      <c r="C3852" t="s">
        <v>711</v>
      </c>
      <c r="D3852" t="s">
        <v>1622</v>
      </c>
      <c r="E3852" t="s">
        <v>568</v>
      </c>
      <c r="F3852" t="s">
        <v>163</v>
      </c>
      <c r="G3852" t="s">
        <v>111</v>
      </c>
      <c r="H3852" t="s">
        <v>113</v>
      </c>
      <c r="I3852" t="s">
        <v>112</v>
      </c>
      <c r="J3852" t="s">
        <v>114</v>
      </c>
      <c r="K3852" t="s">
        <v>1758</v>
      </c>
      <c r="L3852" t="s">
        <v>1758</v>
      </c>
    </row>
    <row r="3853" spans="1:12" x14ac:dyDescent="0.3">
      <c r="A3853" t="s">
        <v>709</v>
      </c>
      <c r="B3853" t="s">
        <v>726</v>
      </c>
      <c r="C3853" t="s">
        <v>711</v>
      </c>
      <c r="D3853" t="s">
        <v>1624</v>
      </c>
      <c r="E3853" t="s">
        <v>568</v>
      </c>
      <c r="F3853" t="s">
        <v>78</v>
      </c>
      <c r="G3853" t="s">
        <v>111</v>
      </c>
      <c r="H3853" t="s">
        <v>113</v>
      </c>
      <c r="I3853" t="s">
        <v>112</v>
      </c>
      <c r="J3853" t="s">
        <v>114</v>
      </c>
      <c r="K3853" t="s">
        <v>1761</v>
      </c>
      <c r="L3853" t="s">
        <v>1761</v>
      </c>
    </row>
    <row r="3854" spans="1:12" x14ac:dyDescent="0.3">
      <c r="A3854" t="s">
        <v>709</v>
      </c>
      <c r="B3854" t="s">
        <v>726</v>
      </c>
      <c r="C3854" t="s">
        <v>711</v>
      </c>
      <c r="D3854" t="s">
        <v>1625</v>
      </c>
      <c r="E3854" t="s">
        <v>568</v>
      </c>
      <c r="F3854" t="s">
        <v>82</v>
      </c>
      <c r="G3854" t="s">
        <v>111</v>
      </c>
      <c r="H3854" t="s">
        <v>113</v>
      </c>
      <c r="I3854" t="s">
        <v>112</v>
      </c>
      <c r="J3854" t="s">
        <v>114</v>
      </c>
      <c r="K3854" t="s">
        <v>1768</v>
      </c>
      <c r="L3854" t="s">
        <v>1768</v>
      </c>
    </row>
    <row r="3855" spans="1:12" x14ac:dyDescent="0.3">
      <c r="A3855" t="s">
        <v>709</v>
      </c>
      <c r="B3855" t="s">
        <v>726</v>
      </c>
      <c r="C3855" t="s">
        <v>711</v>
      </c>
      <c r="D3855" t="s">
        <v>1626</v>
      </c>
      <c r="E3855" t="s">
        <v>568</v>
      </c>
      <c r="F3855" t="s">
        <v>135</v>
      </c>
      <c r="G3855" t="s">
        <v>111</v>
      </c>
      <c r="H3855" t="s">
        <v>113</v>
      </c>
      <c r="I3855" t="s">
        <v>112</v>
      </c>
      <c r="J3855" t="s">
        <v>114</v>
      </c>
      <c r="K3855" t="s">
        <v>1768</v>
      </c>
      <c r="L3855" t="s">
        <v>1768</v>
      </c>
    </row>
    <row r="3856" spans="1:12" x14ac:dyDescent="0.3">
      <c r="A3856" t="s">
        <v>709</v>
      </c>
      <c r="B3856" t="s">
        <v>726</v>
      </c>
      <c r="C3856" t="s">
        <v>711</v>
      </c>
      <c r="D3856" t="s">
        <v>1628</v>
      </c>
      <c r="E3856" t="s">
        <v>568</v>
      </c>
      <c r="F3856" t="s">
        <v>60</v>
      </c>
      <c r="G3856" t="s">
        <v>111</v>
      </c>
      <c r="H3856" t="s">
        <v>113</v>
      </c>
      <c r="I3856" t="s">
        <v>112</v>
      </c>
      <c r="J3856" t="s">
        <v>114</v>
      </c>
      <c r="K3856" t="s">
        <v>1760</v>
      </c>
      <c r="L3856" t="s">
        <v>1760</v>
      </c>
    </row>
    <row r="3857" spans="1:12" x14ac:dyDescent="0.3">
      <c r="A3857" t="s">
        <v>709</v>
      </c>
      <c r="B3857" t="s">
        <v>726</v>
      </c>
      <c r="C3857" t="s">
        <v>711</v>
      </c>
      <c r="D3857" t="s">
        <v>1630</v>
      </c>
      <c r="E3857" t="s">
        <v>568</v>
      </c>
      <c r="F3857" t="s">
        <v>48</v>
      </c>
      <c r="G3857" t="s">
        <v>111</v>
      </c>
      <c r="H3857" t="s">
        <v>113</v>
      </c>
      <c r="I3857" t="s">
        <v>112</v>
      </c>
      <c r="J3857" t="s">
        <v>114</v>
      </c>
      <c r="K3857" t="s">
        <v>428</v>
      </c>
      <c r="L3857" t="s">
        <v>428</v>
      </c>
    </row>
    <row r="3858" spans="1:12" x14ac:dyDescent="0.3">
      <c r="A3858" t="s">
        <v>709</v>
      </c>
      <c r="B3858" t="s">
        <v>726</v>
      </c>
      <c r="C3858" t="s">
        <v>711</v>
      </c>
      <c r="D3858" t="s">
        <v>1632</v>
      </c>
      <c r="E3858" t="s">
        <v>568</v>
      </c>
      <c r="F3858" t="s">
        <v>95</v>
      </c>
      <c r="G3858" t="s">
        <v>111</v>
      </c>
      <c r="H3858" t="s">
        <v>113</v>
      </c>
      <c r="I3858" t="s">
        <v>112</v>
      </c>
      <c r="J3858" t="s">
        <v>114</v>
      </c>
      <c r="K3858" t="s">
        <v>597</v>
      </c>
      <c r="L3858" t="s">
        <v>597</v>
      </c>
    </row>
    <row r="3859" spans="1:12" x14ac:dyDescent="0.3">
      <c r="A3859" t="s">
        <v>709</v>
      </c>
      <c r="B3859" t="s">
        <v>726</v>
      </c>
      <c r="C3859" t="s">
        <v>711</v>
      </c>
      <c r="D3859" t="s">
        <v>1633</v>
      </c>
      <c r="E3859" t="s">
        <v>568</v>
      </c>
      <c r="F3859" t="s">
        <v>139</v>
      </c>
      <c r="G3859" t="s">
        <v>111</v>
      </c>
      <c r="H3859" t="s">
        <v>113</v>
      </c>
      <c r="I3859" t="s">
        <v>112</v>
      </c>
      <c r="J3859" t="s">
        <v>114</v>
      </c>
      <c r="K3859" t="s">
        <v>1759</v>
      </c>
      <c r="L3859" t="s">
        <v>1759</v>
      </c>
    </row>
    <row r="3860" spans="1:12" x14ac:dyDescent="0.3">
      <c r="A3860" t="s">
        <v>709</v>
      </c>
      <c r="B3860" t="s">
        <v>726</v>
      </c>
      <c r="C3860" t="s">
        <v>711</v>
      </c>
      <c r="D3860" t="s">
        <v>1634</v>
      </c>
      <c r="E3860" t="s">
        <v>568</v>
      </c>
      <c r="F3860" t="s">
        <v>171</v>
      </c>
      <c r="G3860" t="s">
        <v>111</v>
      </c>
      <c r="H3860" t="s">
        <v>113</v>
      </c>
      <c r="I3860" t="s">
        <v>112</v>
      </c>
      <c r="J3860" t="s">
        <v>114</v>
      </c>
      <c r="K3860" t="s">
        <v>427</v>
      </c>
      <c r="L3860" t="s">
        <v>427</v>
      </c>
    </row>
    <row r="3861" spans="1:12" x14ac:dyDescent="0.3">
      <c r="A3861" t="s">
        <v>709</v>
      </c>
      <c r="B3861" t="s">
        <v>726</v>
      </c>
      <c r="C3861" t="s">
        <v>711</v>
      </c>
      <c r="D3861" t="s">
        <v>1636</v>
      </c>
      <c r="E3861" t="s">
        <v>568</v>
      </c>
      <c r="F3861" t="s">
        <v>172</v>
      </c>
      <c r="G3861" t="s">
        <v>111</v>
      </c>
      <c r="H3861" t="s">
        <v>113</v>
      </c>
      <c r="I3861" t="s">
        <v>112</v>
      </c>
      <c r="J3861" t="s">
        <v>114</v>
      </c>
      <c r="K3861" t="s">
        <v>428</v>
      </c>
      <c r="L3861" t="s">
        <v>428</v>
      </c>
    </row>
    <row r="3862" spans="1:12" x14ac:dyDescent="0.3">
      <c r="A3862" t="s">
        <v>709</v>
      </c>
      <c r="B3862" t="s">
        <v>726</v>
      </c>
      <c r="C3862" t="s">
        <v>711</v>
      </c>
      <c r="D3862" t="s">
        <v>1714</v>
      </c>
      <c r="E3862" t="s">
        <v>568</v>
      </c>
      <c r="F3862" t="s">
        <v>94</v>
      </c>
      <c r="G3862" t="s">
        <v>111</v>
      </c>
      <c r="H3862" t="s">
        <v>113</v>
      </c>
      <c r="I3862" t="s">
        <v>112</v>
      </c>
      <c r="J3862" t="s">
        <v>114</v>
      </c>
      <c r="K3862" t="s">
        <v>1768</v>
      </c>
      <c r="L3862" t="s">
        <v>1768</v>
      </c>
    </row>
    <row r="3863" spans="1:12" x14ac:dyDescent="0.3">
      <c r="A3863" t="s">
        <v>709</v>
      </c>
      <c r="B3863" t="s">
        <v>726</v>
      </c>
      <c r="C3863" t="s">
        <v>711</v>
      </c>
      <c r="D3863" t="s">
        <v>1638</v>
      </c>
      <c r="E3863" t="s">
        <v>568</v>
      </c>
      <c r="F3863" t="s">
        <v>57</v>
      </c>
      <c r="G3863" t="s">
        <v>111</v>
      </c>
      <c r="H3863" t="s">
        <v>113</v>
      </c>
      <c r="I3863" t="s">
        <v>112</v>
      </c>
      <c r="J3863" t="s">
        <v>114</v>
      </c>
      <c r="K3863" t="s">
        <v>1754</v>
      </c>
      <c r="L3863" t="s">
        <v>1754</v>
      </c>
    </row>
    <row r="3864" spans="1:12" x14ac:dyDescent="0.3">
      <c r="A3864" t="s">
        <v>709</v>
      </c>
      <c r="B3864" t="s">
        <v>726</v>
      </c>
      <c r="C3864" t="s">
        <v>711</v>
      </c>
      <c r="D3864" t="s">
        <v>1715</v>
      </c>
      <c r="E3864" t="s">
        <v>568</v>
      </c>
      <c r="F3864" t="s">
        <v>173</v>
      </c>
      <c r="G3864" t="s">
        <v>111</v>
      </c>
      <c r="H3864" t="s">
        <v>113</v>
      </c>
      <c r="I3864" t="s">
        <v>112</v>
      </c>
      <c r="J3864" t="s">
        <v>114</v>
      </c>
      <c r="K3864" t="s">
        <v>1757</v>
      </c>
      <c r="L3864" t="s">
        <v>1757</v>
      </c>
    </row>
    <row r="3865" spans="1:12" x14ac:dyDescent="0.3">
      <c r="A3865" t="s">
        <v>709</v>
      </c>
      <c r="B3865" t="s">
        <v>726</v>
      </c>
      <c r="C3865" t="s">
        <v>711</v>
      </c>
      <c r="D3865" t="s">
        <v>1639</v>
      </c>
      <c r="E3865" t="s">
        <v>568</v>
      </c>
      <c r="F3865" t="s">
        <v>174</v>
      </c>
      <c r="G3865" t="s">
        <v>111</v>
      </c>
      <c r="H3865" t="s">
        <v>113</v>
      </c>
      <c r="I3865" t="s">
        <v>112</v>
      </c>
      <c r="J3865" t="s">
        <v>114</v>
      </c>
      <c r="K3865" t="s">
        <v>1762</v>
      </c>
      <c r="L3865" t="s">
        <v>1762</v>
      </c>
    </row>
    <row r="3866" spans="1:12" x14ac:dyDescent="0.3">
      <c r="A3866" t="s">
        <v>709</v>
      </c>
      <c r="B3866" t="s">
        <v>726</v>
      </c>
      <c r="C3866" t="s">
        <v>711</v>
      </c>
      <c r="D3866" t="s">
        <v>1716</v>
      </c>
      <c r="E3866" t="s">
        <v>568</v>
      </c>
      <c r="F3866" t="s">
        <v>88</v>
      </c>
      <c r="G3866" t="s">
        <v>111</v>
      </c>
      <c r="H3866" t="s">
        <v>113</v>
      </c>
      <c r="I3866" t="s">
        <v>112</v>
      </c>
      <c r="J3866" t="s">
        <v>114</v>
      </c>
      <c r="K3866" t="s">
        <v>1758</v>
      </c>
      <c r="L3866" t="s">
        <v>1758</v>
      </c>
    </row>
    <row r="3867" spans="1:12" x14ac:dyDescent="0.3">
      <c r="A3867" t="s">
        <v>709</v>
      </c>
      <c r="B3867" t="s">
        <v>726</v>
      </c>
      <c r="C3867" t="s">
        <v>711</v>
      </c>
      <c r="D3867" t="s">
        <v>1640</v>
      </c>
      <c r="E3867" t="s">
        <v>568</v>
      </c>
      <c r="F3867" t="s">
        <v>77</v>
      </c>
      <c r="G3867" t="s">
        <v>111</v>
      </c>
      <c r="H3867" t="s">
        <v>113</v>
      </c>
      <c r="I3867" t="s">
        <v>112</v>
      </c>
      <c r="J3867" t="s">
        <v>114</v>
      </c>
      <c r="K3867" t="s">
        <v>597</v>
      </c>
      <c r="L3867" t="s">
        <v>597</v>
      </c>
    </row>
    <row r="3868" spans="1:12" x14ac:dyDescent="0.3">
      <c r="A3868" t="s">
        <v>709</v>
      </c>
      <c r="B3868" t="s">
        <v>726</v>
      </c>
      <c r="C3868" t="s">
        <v>711</v>
      </c>
      <c r="D3868" t="s">
        <v>1717</v>
      </c>
      <c r="E3868" t="s">
        <v>568</v>
      </c>
      <c r="F3868" t="s">
        <v>74</v>
      </c>
      <c r="G3868" t="s">
        <v>111</v>
      </c>
      <c r="H3868" t="s">
        <v>113</v>
      </c>
      <c r="I3868" t="s">
        <v>112</v>
      </c>
      <c r="J3868" t="s">
        <v>114</v>
      </c>
      <c r="K3868" t="s">
        <v>428</v>
      </c>
      <c r="L3868" t="s">
        <v>428</v>
      </c>
    </row>
    <row r="3869" spans="1:12" x14ac:dyDescent="0.3">
      <c r="A3869" t="s">
        <v>709</v>
      </c>
      <c r="B3869" t="s">
        <v>726</v>
      </c>
      <c r="C3869" t="s">
        <v>711</v>
      </c>
      <c r="D3869" t="s">
        <v>1718</v>
      </c>
      <c r="E3869" t="s">
        <v>568</v>
      </c>
      <c r="F3869" t="s">
        <v>140</v>
      </c>
      <c r="G3869" t="s">
        <v>111</v>
      </c>
      <c r="H3869" t="s">
        <v>113</v>
      </c>
      <c r="I3869" t="s">
        <v>112</v>
      </c>
      <c r="J3869" t="s">
        <v>114</v>
      </c>
      <c r="K3869" t="s">
        <v>428</v>
      </c>
      <c r="L3869" t="s">
        <v>428</v>
      </c>
    </row>
    <row r="3870" spans="1:12" x14ac:dyDescent="0.3">
      <c r="A3870" t="s">
        <v>709</v>
      </c>
      <c r="B3870" t="s">
        <v>726</v>
      </c>
      <c r="C3870" t="s">
        <v>711</v>
      </c>
      <c r="D3870" t="s">
        <v>1642</v>
      </c>
      <c r="E3870" t="s">
        <v>568</v>
      </c>
      <c r="F3870" t="s">
        <v>175</v>
      </c>
      <c r="G3870" t="s">
        <v>111</v>
      </c>
      <c r="H3870" t="s">
        <v>200</v>
      </c>
      <c r="I3870" t="s">
        <v>112</v>
      </c>
      <c r="J3870" t="s">
        <v>201</v>
      </c>
      <c r="K3870" t="s">
        <v>1769</v>
      </c>
      <c r="L3870" t="s">
        <v>1769</v>
      </c>
    </row>
    <row r="3871" spans="1:12" x14ac:dyDescent="0.3">
      <c r="A3871" t="s">
        <v>709</v>
      </c>
      <c r="B3871" t="s">
        <v>726</v>
      </c>
      <c r="C3871" t="s">
        <v>711</v>
      </c>
      <c r="D3871" t="s">
        <v>1643</v>
      </c>
      <c r="E3871" t="s">
        <v>568</v>
      </c>
      <c r="F3871" t="s">
        <v>46</v>
      </c>
      <c r="G3871" t="s">
        <v>111</v>
      </c>
      <c r="H3871" t="s">
        <v>113</v>
      </c>
      <c r="I3871" t="s">
        <v>112</v>
      </c>
      <c r="J3871" t="s">
        <v>114</v>
      </c>
      <c r="K3871" t="s">
        <v>1768</v>
      </c>
      <c r="L3871" t="s">
        <v>1768</v>
      </c>
    </row>
    <row r="3872" spans="1:12" x14ac:dyDescent="0.3">
      <c r="A3872" t="s">
        <v>709</v>
      </c>
      <c r="B3872" t="s">
        <v>726</v>
      </c>
      <c r="C3872" t="s">
        <v>711</v>
      </c>
      <c r="D3872" t="s">
        <v>1645</v>
      </c>
      <c r="E3872" t="s">
        <v>568</v>
      </c>
      <c r="F3872" t="s">
        <v>141</v>
      </c>
      <c r="G3872" t="s">
        <v>111</v>
      </c>
      <c r="H3872" t="s">
        <v>113</v>
      </c>
      <c r="I3872" t="s">
        <v>112</v>
      </c>
      <c r="J3872" t="s">
        <v>114</v>
      </c>
      <c r="K3872" t="s">
        <v>424</v>
      </c>
      <c r="L3872" t="s">
        <v>424</v>
      </c>
    </row>
    <row r="3873" spans="1:12" x14ac:dyDescent="0.3">
      <c r="A3873" t="s">
        <v>709</v>
      </c>
      <c r="B3873" t="s">
        <v>726</v>
      </c>
      <c r="C3873" t="s">
        <v>711</v>
      </c>
      <c r="D3873" t="s">
        <v>1719</v>
      </c>
      <c r="E3873" t="s">
        <v>568</v>
      </c>
      <c r="F3873" t="s">
        <v>64</v>
      </c>
      <c r="G3873" t="s">
        <v>111</v>
      </c>
      <c r="H3873" t="s">
        <v>160</v>
      </c>
      <c r="I3873" t="s">
        <v>112</v>
      </c>
      <c r="J3873" t="s">
        <v>114</v>
      </c>
      <c r="K3873" t="s">
        <v>1759</v>
      </c>
      <c r="L3873" t="s">
        <v>1759</v>
      </c>
    </row>
    <row r="3874" spans="1:12" x14ac:dyDescent="0.3">
      <c r="A3874" t="s">
        <v>709</v>
      </c>
      <c r="B3874" t="s">
        <v>726</v>
      </c>
      <c r="C3874" t="s">
        <v>711</v>
      </c>
      <c r="D3874" t="s">
        <v>1646</v>
      </c>
      <c r="E3874" t="s">
        <v>568</v>
      </c>
      <c r="F3874" t="s">
        <v>142</v>
      </c>
      <c r="G3874" t="s">
        <v>111</v>
      </c>
      <c r="H3874" t="s">
        <v>160</v>
      </c>
      <c r="I3874" t="s">
        <v>112</v>
      </c>
      <c r="J3874" t="s">
        <v>114</v>
      </c>
      <c r="K3874" t="s">
        <v>597</v>
      </c>
      <c r="L3874" t="s">
        <v>597</v>
      </c>
    </row>
    <row r="3875" spans="1:12" x14ac:dyDescent="0.3">
      <c r="A3875" t="s">
        <v>709</v>
      </c>
      <c r="B3875" t="s">
        <v>726</v>
      </c>
      <c r="C3875" t="s">
        <v>711</v>
      </c>
      <c r="D3875" t="s">
        <v>1647</v>
      </c>
      <c r="E3875" t="s">
        <v>568</v>
      </c>
      <c r="F3875" t="s">
        <v>75</v>
      </c>
      <c r="G3875" t="s">
        <v>111</v>
      </c>
      <c r="H3875" t="s">
        <v>113</v>
      </c>
      <c r="I3875" t="s">
        <v>112</v>
      </c>
      <c r="J3875" t="s">
        <v>114</v>
      </c>
      <c r="K3875" t="s">
        <v>1768</v>
      </c>
      <c r="L3875" t="s">
        <v>1768</v>
      </c>
    </row>
    <row r="3876" spans="1:12" x14ac:dyDescent="0.3">
      <c r="A3876" t="s">
        <v>709</v>
      </c>
      <c r="B3876" t="s">
        <v>726</v>
      </c>
      <c r="C3876" t="s">
        <v>711</v>
      </c>
      <c r="D3876" t="s">
        <v>1648</v>
      </c>
      <c r="E3876" t="s">
        <v>568</v>
      </c>
      <c r="F3876" t="s">
        <v>143</v>
      </c>
      <c r="G3876" t="s">
        <v>111</v>
      </c>
      <c r="H3876" t="s">
        <v>113</v>
      </c>
      <c r="I3876" t="s">
        <v>112</v>
      </c>
      <c r="J3876" t="s">
        <v>114</v>
      </c>
      <c r="K3876" t="s">
        <v>1768</v>
      </c>
      <c r="L3876" t="s">
        <v>1768</v>
      </c>
    </row>
    <row r="3877" spans="1:12" x14ac:dyDescent="0.3">
      <c r="A3877" t="s">
        <v>709</v>
      </c>
      <c r="B3877" t="s">
        <v>726</v>
      </c>
      <c r="C3877" t="s">
        <v>711</v>
      </c>
      <c r="D3877" t="s">
        <v>1649</v>
      </c>
      <c r="E3877" t="s">
        <v>568</v>
      </c>
      <c r="F3877" t="s">
        <v>144</v>
      </c>
      <c r="G3877" t="s">
        <v>111</v>
      </c>
      <c r="H3877" t="s">
        <v>113</v>
      </c>
      <c r="I3877" t="s">
        <v>112</v>
      </c>
      <c r="J3877" t="s">
        <v>114</v>
      </c>
      <c r="K3877" t="s">
        <v>1763</v>
      </c>
      <c r="L3877" t="s">
        <v>1763</v>
      </c>
    </row>
    <row r="3878" spans="1:12" x14ac:dyDescent="0.3">
      <c r="A3878" t="s">
        <v>709</v>
      </c>
      <c r="B3878" t="s">
        <v>726</v>
      </c>
      <c r="C3878" t="s">
        <v>711</v>
      </c>
      <c r="D3878" t="s">
        <v>1650</v>
      </c>
      <c r="E3878" t="s">
        <v>568</v>
      </c>
      <c r="F3878" t="s">
        <v>194</v>
      </c>
      <c r="G3878" t="s">
        <v>111</v>
      </c>
      <c r="H3878" t="s">
        <v>113</v>
      </c>
      <c r="I3878" t="s">
        <v>112</v>
      </c>
      <c r="J3878" t="s">
        <v>114</v>
      </c>
      <c r="K3878" t="s">
        <v>1768</v>
      </c>
      <c r="L3878" t="s">
        <v>1768</v>
      </c>
    </row>
    <row r="3879" spans="1:12" x14ac:dyDescent="0.3">
      <c r="A3879" t="s">
        <v>709</v>
      </c>
      <c r="B3879" t="s">
        <v>726</v>
      </c>
      <c r="C3879" t="s">
        <v>711</v>
      </c>
      <c r="D3879" t="s">
        <v>1651</v>
      </c>
      <c r="E3879" t="s">
        <v>568</v>
      </c>
      <c r="F3879" t="s">
        <v>145</v>
      </c>
      <c r="G3879" t="s">
        <v>111</v>
      </c>
      <c r="H3879" t="s">
        <v>113</v>
      </c>
      <c r="I3879" t="s">
        <v>112</v>
      </c>
      <c r="J3879" t="s">
        <v>114</v>
      </c>
      <c r="K3879" t="s">
        <v>424</v>
      </c>
      <c r="L3879" t="s">
        <v>424</v>
      </c>
    </row>
    <row r="3880" spans="1:12" x14ac:dyDescent="0.3">
      <c r="A3880" t="s">
        <v>709</v>
      </c>
      <c r="B3880" t="s">
        <v>726</v>
      </c>
      <c r="C3880" t="s">
        <v>711</v>
      </c>
      <c r="D3880" t="s">
        <v>1720</v>
      </c>
      <c r="E3880" t="s">
        <v>568</v>
      </c>
      <c r="F3880" t="s">
        <v>81</v>
      </c>
      <c r="G3880" t="s">
        <v>111</v>
      </c>
      <c r="H3880" t="s">
        <v>113</v>
      </c>
      <c r="I3880" t="s">
        <v>112</v>
      </c>
      <c r="J3880" t="s">
        <v>114</v>
      </c>
      <c r="K3880" t="s">
        <v>597</v>
      </c>
      <c r="L3880" t="s">
        <v>597</v>
      </c>
    </row>
    <row r="3881" spans="1:12" x14ac:dyDescent="0.3">
      <c r="A3881" t="s">
        <v>709</v>
      </c>
      <c r="B3881" t="s">
        <v>726</v>
      </c>
      <c r="C3881" t="s">
        <v>711</v>
      </c>
      <c r="D3881" t="s">
        <v>1721</v>
      </c>
      <c r="E3881" t="s">
        <v>567</v>
      </c>
      <c r="F3881" t="s">
        <v>76</v>
      </c>
      <c r="G3881" t="s">
        <v>111</v>
      </c>
      <c r="H3881" t="s">
        <v>113</v>
      </c>
      <c r="I3881" t="s">
        <v>112</v>
      </c>
      <c r="J3881" t="s">
        <v>114</v>
      </c>
      <c r="K3881" t="s">
        <v>1761</v>
      </c>
      <c r="L3881" t="s">
        <v>1761</v>
      </c>
    </row>
    <row r="3882" spans="1:12" x14ac:dyDescent="0.3">
      <c r="A3882" t="s">
        <v>709</v>
      </c>
      <c r="B3882" t="s">
        <v>726</v>
      </c>
      <c r="C3882" t="s">
        <v>711</v>
      </c>
      <c r="D3882" t="s">
        <v>1722</v>
      </c>
      <c r="E3882" t="s">
        <v>567</v>
      </c>
      <c r="F3882" t="s">
        <v>52</v>
      </c>
      <c r="G3882" t="s">
        <v>111</v>
      </c>
      <c r="H3882" t="s">
        <v>113</v>
      </c>
      <c r="I3882" t="s">
        <v>112</v>
      </c>
      <c r="J3882" t="s">
        <v>114</v>
      </c>
      <c r="K3882" t="s">
        <v>1758</v>
      </c>
      <c r="L3882" t="s">
        <v>1758</v>
      </c>
    </row>
    <row r="3883" spans="1:12" x14ac:dyDescent="0.3">
      <c r="A3883" t="s">
        <v>709</v>
      </c>
      <c r="B3883" t="s">
        <v>726</v>
      </c>
      <c r="C3883" t="s">
        <v>711</v>
      </c>
      <c r="D3883" t="s">
        <v>1652</v>
      </c>
      <c r="E3883" t="s">
        <v>567</v>
      </c>
      <c r="F3883" t="s">
        <v>104</v>
      </c>
      <c r="G3883" t="s">
        <v>111</v>
      </c>
      <c r="H3883" t="s">
        <v>113</v>
      </c>
      <c r="I3883" t="s">
        <v>112</v>
      </c>
      <c r="J3883" t="s">
        <v>114</v>
      </c>
      <c r="K3883" t="s">
        <v>1763</v>
      </c>
      <c r="L3883" t="s">
        <v>1763</v>
      </c>
    </row>
    <row r="3884" spans="1:12" x14ac:dyDescent="0.3">
      <c r="A3884" t="s">
        <v>709</v>
      </c>
      <c r="B3884" t="s">
        <v>726</v>
      </c>
      <c r="C3884" t="s">
        <v>711</v>
      </c>
      <c r="D3884" t="s">
        <v>1657</v>
      </c>
      <c r="E3884" t="s">
        <v>567</v>
      </c>
      <c r="F3884" t="s">
        <v>83</v>
      </c>
      <c r="G3884" t="s">
        <v>111</v>
      </c>
      <c r="H3884" t="s">
        <v>113</v>
      </c>
      <c r="I3884" t="s">
        <v>112</v>
      </c>
      <c r="J3884" t="s">
        <v>114</v>
      </c>
      <c r="K3884" t="s">
        <v>597</v>
      </c>
      <c r="L3884" t="s">
        <v>597</v>
      </c>
    </row>
    <row r="3885" spans="1:12" x14ac:dyDescent="0.3">
      <c r="A3885" t="s">
        <v>709</v>
      </c>
      <c r="B3885" t="s">
        <v>726</v>
      </c>
      <c r="C3885" t="s">
        <v>711</v>
      </c>
      <c r="D3885" t="s">
        <v>1723</v>
      </c>
      <c r="E3885" t="s">
        <v>567</v>
      </c>
      <c r="F3885" t="s">
        <v>71</v>
      </c>
      <c r="G3885" t="s">
        <v>111</v>
      </c>
      <c r="H3885" t="s">
        <v>118</v>
      </c>
      <c r="I3885" t="s">
        <v>112</v>
      </c>
      <c r="J3885" t="s">
        <v>119</v>
      </c>
      <c r="K3885" t="s">
        <v>1761</v>
      </c>
      <c r="L3885" t="s">
        <v>1761</v>
      </c>
    </row>
    <row r="3886" spans="1:12" x14ac:dyDescent="0.3">
      <c r="A3886" t="s">
        <v>709</v>
      </c>
      <c r="B3886" t="s">
        <v>726</v>
      </c>
      <c r="C3886" t="s">
        <v>711</v>
      </c>
      <c r="D3886" t="s">
        <v>1724</v>
      </c>
      <c r="E3886" t="s">
        <v>567</v>
      </c>
      <c r="F3886" t="s">
        <v>90</v>
      </c>
      <c r="G3886" t="s">
        <v>111</v>
      </c>
      <c r="H3886" t="s">
        <v>160</v>
      </c>
      <c r="I3886" t="s">
        <v>112</v>
      </c>
      <c r="J3886" t="s">
        <v>114</v>
      </c>
      <c r="K3886" t="s">
        <v>1765</v>
      </c>
      <c r="L3886" t="s">
        <v>1765</v>
      </c>
    </row>
    <row r="3887" spans="1:12" x14ac:dyDescent="0.3">
      <c r="A3887" t="s">
        <v>709</v>
      </c>
      <c r="B3887" t="s">
        <v>726</v>
      </c>
      <c r="C3887" t="s">
        <v>711</v>
      </c>
      <c r="D3887" t="s">
        <v>1660</v>
      </c>
      <c r="E3887" t="s">
        <v>567</v>
      </c>
      <c r="F3887" t="s">
        <v>92</v>
      </c>
      <c r="G3887" t="s">
        <v>111</v>
      </c>
      <c r="H3887" t="s">
        <v>160</v>
      </c>
      <c r="I3887" t="s">
        <v>112</v>
      </c>
      <c r="J3887" t="s">
        <v>114</v>
      </c>
      <c r="K3887" t="s">
        <v>1766</v>
      </c>
      <c r="L3887" t="s">
        <v>1766</v>
      </c>
    </row>
    <row r="3888" spans="1:12" x14ac:dyDescent="0.3">
      <c r="A3888" t="s">
        <v>709</v>
      </c>
      <c r="B3888" t="s">
        <v>726</v>
      </c>
      <c r="C3888" t="s">
        <v>711</v>
      </c>
      <c r="D3888" t="s">
        <v>1665</v>
      </c>
      <c r="E3888" t="s">
        <v>567</v>
      </c>
      <c r="F3888" t="s">
        <v>91</v>
      </c>
      <c r="G3888" t="s">
        <v>111</v>
      </c>
      <c r="H3888" t="s">
        <v>113</v>
      </c>
      <c r="I3888" t="s">
        <v>112</v>
      </c>
      <c r="J3888" t="s">
        <v>114</v>
      </c>
      <c r="K3888" t="s">
        <v>597</v>
      </c>
      <c r="L3888" t="s">
        <v>597</v>
      </c>
    </row>
    <row r="3889" spans="1:12" x14ac:dyDescent="0.3">
      <c r="A3889" t="s">
        <v>709</v>
      </c>
      <c r="B3889" t="s">
        <v>726</v>
      </c>
      <c r="C3889" t="s">
        <v>711</v>
      </c>
      <c r="D3889" t="s">
        <v>1666</v>
      </c>
      <c r="E3889" t="s">
        <v>567</v>
      </c>
      <c r="F3889" t="s">
        <v>152</v>
      </c>
      <c r="G3889" t="s">
        <v>111</v>
      </c>
      <c r="H3889" t="s">
        <v>118</v>
      </c>
      <c r="I3889" t="s">
        <v>112</v>
      </c>
      <c r="J3889" t="s">
        <v>119</v>
      </c>
      <c r="K3889" t="s">
        <v>1758</v>
      </c>
      <c r="L3889" t="s">
        <v>1758</v>
      </c>
    </row>
    <row r="3890" spans="1:12" x14ac:dyDescent="0.3">
      <c r="A3890" t="s">
        <v>709</v>
      </c>
      <c r="B3890" t="s">
        <v>726</v>
      </c>
      <c r="C3890" t="s">
        <v>711</v>
      </c>
      <c r="D3890" t="s">
        <v>1668</v>
      </c>
      <c r="E3890" t="s">
        <v>567</v>
      </c>
      <c r="F3890" t="s">
        <v>67</v>
      </c>
      <c r="G3890" t="s">
        <v>111</v>
      </c>
      <c r="H3890" t="s">
        <v>113</v>
      </c>
      <c r="I3890" t="s">
        <v>112</v>
      </c>
      <c r="J3890" t="s">
        <v>114</v>
      </c>
      <c r="K3890" t="s">
        <v>1761</v>
      </c>
      <c r="L3890" t="s">
        <v>1761</v>
      </c>
    </row>
    <row r="3891" spans="1:12" x14ac:dyDescent="0.3">
      <c r="A3891" t="s">
        <v>709</v>
      </c>
      <c r="B3891" t="s">
        <v>726</v>
      </c>
      <c r="C3891" t="s">
        <v>711</v>
      </c>
      <c r="D3891" t="s">
        <v>1670</v>
      </c>
      <c r="E3891" t="s">
        <v>567</v>
      </c>
      <c r="F3891" t="s">
        <v>196</v>
      </c>
      <c r="G3891" t="s">
        <v>111</v>
      </c>
      <c r="H3891" t="s">
        <v>118</v>
      </c>
      <c r="I3891" t="s">
        <v>112</v>
      </c>
      <c r="J3891" t="s">
        <v>119</v>
      </c>
      <c r="K3891" t="s">
        <v>1761</v>
      </c>
      <c r="L3891" t="s">
        <v>1761</v>
      </c>
    </row>
    <row r="3892" spans="1:12" x14ac:dyDescent="0.3">
      <c r="A3892" t="s">
        <v>709</v>
      </c>
      <c r="B3892" t="s">
        <v>726</v>
      </c>
      <c r="C3892" t="s">
        <v>711</v>
      </c>
      <c r="D3892" t="s">
        <v>1725</v>
      </c>
      <c r="E3892" t="s">
        <v>567</v>
      </c>
      <c r="F3892" t="s">
        <v>178</v>
      </c>
      <c r="G3892" t="s">
        <v>111</v>
      </c>
      <c r="H3892" t="s">
        <v>113</v>
      </c>
      <c r="I3892" t="s">
        <v>112</v>
      </c>
      <c r="J3892" t="s">
        <v>114</v>
      </c>
      <c r="K3892" t="s">
        <v>597</v>
      </c>
      <c r="L3892" t="s">
        <v>597</v>
      </c>
    </row>
    <row r="3893" spans="1:12" x14ac:dyDescent="0.3">
      <c r="A3893" t="s">
        <v>709</v>
      </c>
      <c r="B3893" t="s">
        <v>726</v>
      </c>
      <c r="C3893" t="s">
        <v>711</v>
      </c>
      <c r="D3893" t="s">
        <v>1673</v>
      </c>
      <c r="E3893" t="s">
        <v>567</v>
      </c>
      <c r="F3893" t="s">
        <v>153</v>
      </c>
      <c r="G3893" t="s">
        <v>111</v>
      </c>
      <c r="H3893" t="s">
        <v>113</v>
      </c>
      <c r="I3893" t="s">
        <v>112</v>
      </c>
      <c r="J3893" t="s">
        <v>114</v>
      </c>
      <c r="K3893" t="s">
        <v>1761</v>
      </c>
      <c r="L3893" t="s">
        <v>1761</v>
      </c>
    </row>
    <row r="3894" spans="1:12" x14ac:dyDescent="0.3">
      <c r="A3894" t="s">
        <v>709</v>
      </c>
      <c r="B3894" t="s">
        <v>726</v>
      </c>
      <c r="C3894" t="s">
        <v>711</v>
      </c>
      <c r="D3894" t="s">
        <v>1675</v>
      </c>
      <c r="E3894" t="s">
        <v>567</v>
      </c>
      <c r="F3894" t="s">
        <v>197</v>
      </c>
      <c r="G3894" t="s">
        <v>111</v>
      </c>
      <c r="H3894" t="s">
        <v>118</v>
      </c>
      <c r="I3894" t="s">
        <v>112</v>
      </c>
      <c r="J3894" t="s">
        <v>119</v>
      </c>
      <c r="K3894" t="s">
        <v>1758</v>
      </c>
      <c r="L3894" t="s">
        <v>1758</v>
      </c>
    </row>
    <row r="3895" spans="1:12" x14ac:dyDescent="0.3">
      <c r="A3895" t="s">
        <v>709</v>
      </c>
      <c r="B3895" t="s">
        <v>726</v>
      </c>
      <c r="C3895" t="s">
        <v>711</v>
      </c>
      <c r="D3895" t="s">
        <v>1727</v>
      </c>
      <c r="E3895" t="s">
        <v>567</v>
      </c>
      <c r="F3895" t="s">
        <v>155</v>
      </c>
      <c r="G3895" t="s">
        <v>111</v>
      </c>
      <c r="H3895" t="s">
        <v>113</v>
      </c>
      <c r="I3895" t="s">
        <v>112</v>
      </c>
      <c r="J3895" t="s">
        <v>114</v>
      </c>
      <c r="K3895" t="s">
        <v>1761</v>
      </c>
      <c r="L3895" t="s">
        <v>1761</v>
      </c>
    </row>
    <row r="3896" spans="1:12" x14ac:dyDescent="0.3">
      <c r="A3896" t="s">
        <v>709</v>
      </c>
      <c r="B3896" t="s">
        <v>726</v>
      </c>
      <c r="C3896" t="s">
        <v>711</v>
      </c>
      <c r="D3896" t="s">
        <v>1677</v>
      </c>
      <c r="E3896" t="s">
        <v>567</v>
      </c>
      <c r="F3896" t="s">
        <v>156</v>
      </c>
      <c r="G3896" t="s">
        <v>111</v>
      </c>
      <c r="H3896" t="s">
        <v>113</v>
      </c>
      <c r="I3896" t="s">
        <v>112</v>
      </c>
      <c r="J3896" t="s">
        <v>114</v>
      </c>
      <c r="K3896" t="s">
        <v>1761</v>
      </c>
      <c r="L3896" t="s">
        <v>1761</v>
      </c>
    </row>
    <row r="3897" spans="1:12" x14ac:dyDescent="0.3">
      <c r="A3897" t="s">
        <v>709</v>
      </c>
      <c r="B3897" t="s">
        <v>726</v>
      </c>
      <c r="C3897" t="s">
        <v>711</v>
      </c>
      <c r="D3897" t="s">
        <v>1678</v>
      </c>
      <c r="E3897" t="s">
        <v>567</v>
      </c>
      <c r="F3897" t="s">
        <v>103</v>
      </c>
      <c r="G3897" t="s">
        <v>111</v>
      </c>
      <c r="H3897" t="s">
        <v>113</v>
      </c>
      <c r="I3897" t="s">
        <v>112</v>
      </c>
      <c r="J3897" t="s">
        <v>114</v>
      </c>
      <c r="K3897" t="s">
        <v>1761</v>
      </c>
      <c r="L3897" t="s">
        <v>1761</v>
      </c>
    </row>
    <row r="3898" spans="1:12" x14ac:dyDescent="0.3">
      <c r="A3898" t="s">
        <v>709</v>
      </c>
      <c r="B3898" t="s">
        <v>726</v>
      </c>
      <c r="C3898" t="s">
        <v>711</v>
      </c>
      <c r="D3898" t="s">
        <v>1729</v>
      </c>
      <c r="E3898" t="s">
        <v>567</v>
      </c>
      <c r="F3898" t="s">
        <v>157</v>
      </c>
      <c r="G3898" t="s">
        <v>111</v>
      </c>
      <c r="H3898" t="s">
        <v>113</v>
      </c>
      <c r="I3898" t="s">
        <v>112</v>
      </c>
      <c r="J3898" t="s">
        <v>114</v>
      </c>
      <c r="K3898" t="s">
        <v>1758</v>
      </c>
      <c r="L3898" t="s">
        <v>1758</v>
      </c>
    </row>
    <row r="3899" spans="1:12" x14ac:dyDescent="0.3">
      <c r="A3899" t="s">
        <v>709</v>
      </c>
      <c r="B3899" t="s">
        <v>726</v>
      </c>
      <c r="C3899" t="s">
        <v>711</v>
      </c>
      <c r="D3899" t="s">
        <v>1680</v>
      </c>
      <c r="E3899" t="s">
        <v>567</v>
      </c>
      <c r="F3899" t="s">
        <v>180</v>
      </c>
      <c r="G3899" t="s">
        <v>111</v>
      </c>
      <c r="H3899" t="s">
        <v>160</v>
      </c>
      <c r="I3899" t="s">
        <v>112</v>
      </c>
      <c r="J3899" t="s">
        <v>114</v>
      </c>
      <c r="K3899" t="s">
        <v>1757</v>
      </c>
      <c r="L3899" t="s">
        <v>1757</v>
      </c>
    </row>
    <row r="3900" spans="1:12" x14ac:dyDescent="0.3">
      <c r="A3900" t="s">
        <v>709</v>
      </c>
      <c r="B3900" t="s">
        <v>726</v>
      </c>
      <c r="C3900" t="s">
        <v>711</v>
      </c>
      <c r="D3900" t="s">
        <v>1682</v>
      </c>
      <c r="E3900" t="s">
        <v>567</v>
      </c>
      <c r="F3900" t="s">
        <v>199</v>
      </c>
      <c r="G3900" t="s">
        <v>111</v>
      </c>
      <c r="H3900" t="s">
        <v>118</v>
      </c>
      <c r="I3900" t="s">
        <v>112</v>
      </c>
      <c r="J3900" t="s">
        <v>119</v>
      </c>
      <c r="K3900" t="s">
        <v>597</v>
      </c>
      <c r="L3900" t="s">
        <v>597</v>
      </c>
    </row>
    <row r="3901" spans="1:12" x14ac:dyDescent="0.3">
      <c r="A3901" t="s">
        <v>709</v>
      </c>
      <c r="B3901" t="s">
        <v>726</v>
      </c>
      <c r="C3901" t="s">
        <v>711</v>
      </c>
      <c r="D3901" t="s">
        <v>1688</v>
      </c>
      <c r="E3901" t="s">
        <v>567</v>
      </c>
      <c r="F3901" t="s">
        <v>73</v>
      </c>
      <c r="G3901" t="s">
        <v>111</v>
      </c>
      <c r="H3901" t="s">
        <v>118</v>
      </c>
      <c r="I3901" t="s">
        <v>112</v>
      </c>
      <c r="J3901" t="s">
        <v>119</v>
      </c>
      <c r="K3901" t="s">
        <v>1761</v>
      </c>
      <c r="L3901" t="s">
        <v>1761</v>
      </c>
    </row>
    <row r="3902" spans="1:12" x14ac:dyDescent="0.3">
      <c r="A3902" t="s">
        <v>709</v>
      </c>
      <c r="B3902" t="s">
        <v>726</v>
      </c>
      <c r="C3902" t="s">
        <v>711</v>
      </c>
      <c r="D3902" t="s">
        <v>1730</v>
      </c>
      <c r="E3902" t="s">
        <v>567</v>
      </c>
      <c r="F3902" t="s">
        <v>161</v>
      </c>
      <c r="G3902" t="s">
        <v>111</v>
      </c>
      <c r="H3902" t="s">
        <v>113</v>
      </c>
      <c r="I3902" t="s">
        <v>112</v>
      </c>
      <c r="J3902" t="s">
        <v>114</v>
      </c>
      <c r="K3902" t="s">
        <v>1755</v>
      </c>
      <c r="L3902" t="s">
        <v>1755</v>
      </c>
    </row>
    <row r="3903" spans="1:12" x14ac:dyDescent="0.3">
      <c r="A3903" t="s">
        <v>709</v>
      </c>
      <c r="B3903" t="s">
        <v>726</v>
      </c>
      <c r="C3903" t="s">
        <v>711</v>
      </c>
      <c r="D3903" t="s">
        <v>1689</v>
      </c>
      <c r="E3903" t="s">
        <v>567</v>
      </c>
      <c r="F3903" t="s">
        <v>162</v>
      </c>
      <c r="G3903" t="s">
        <v>111</v>
      </c>
      <c r="H3903" t="s">
        <v>113</v>
      </c>
      <c r="I3903" t="s">
        <v>112</v>
      </c>
      <c r="J3903" t="s">
        <v>114</v>
      </c>
      <c r="K3903" t="s">
        <v>1761</v>
      </c>
      <c r="L3903" t="s">
        <v>1761</v>
      </c>
    </row>
    <row r="3904" spans="1:12" x14ac:dyDescent="0.3">
      <c r="A3904" t="s">
        <v>709</v>
      </c>
      <c r="B3904" t="s">
        <v>732</v>
      </c>
      <c r="C3904" t="s">
        <v>733</v>
      </c>
      <c r="D3904" t="s">
        <v>209</v>
      </c>
      <c r="E3904" t="s">
        <v>569</v>
      </c>
      <c r="F3904" t="s">
        <v>115</v>
      </c>
      <c r="G3904" t="s">
        <v>111</v>
      </c>
      <c r="H3904" t="s">
        <v>113</v>
      </c>
      <c r="I3904" t="s">
        <v>112</v>
      </c>
      <c r="J3904" t="s">
        <v>114</v>
      </c>
      <c r="K3904" t="s">
        <v>116</v>
      </c>
      <c r="L3904" t="s">
        <v>116</v>
      </c>
    </row>
    <row r="3905" spans="1:12" x14ac:dyDescent="0.3">
      <c r="A3905" t="s">
        <v>709</v>
      </c>
      <c r="B3905" t="s">
        <v>732</v>
      </c>
      <c r="C3905" t="s">
        <v>733</v>
      </c>
      <c r="D3905" t="s">
        <v>304</v>
      </c>
      <c r="E3905" t="s">
        <v>569</v>
      </c>
      <c r="F3905" t="s">
        <v>117</v>
      </c>
      <c r="G3905" t="s">
        <v>111</v>
      </c>
      <c r="H3905" t="s">
        <v>113</v>
      </c>
      <c r="I3905" t="s">
        <v>112</v>
      </c>
      <c r="J3905" t="s">
        <v>114</v>
      </c>
      <c r="K3905" t="s">
        <v>116</v>
      </c>
      <c r="L3905" t="s">
        <v>116</v>
      </c>
    </row>
    <row r="3906" spans="1:12" x14ac:dyDescent="0.3">
      <c r="A3906" t="s">
        <v>709</v>
      </c>
      <c r="B3906" t="s">
        <v>732</v>
      </c>
      <c r="C3906" t="s">
        <v>733</v>
      </c>
      <c r="D3906" t="s">
        <v>211</v>
      </c>
      <c r="E3906" t="s">
        <v>569</v>
      </c>
      <c r="F3906" t="s">
        <v>188</v>
      </c>
      <c r="G3906" t="s">
        <v>111</v>
      </c>
      <c r="H3906" t="s">
        <v>113</v>
      </c>
      <c r="I3906" t="s">
        <v>112</v>
      </c>
      <c r="J3906" t="s">
        <v>114</v>
      </c>
      <c r="K3906" t="s">
        <v>116</v>
      </c>
      <c r="L3906" t="s">
        <v>116</v>
      </c>
    </row>
    <row r="3907" spans="1:12" x14ac:dyDescent="0.3">
      <c r="A3907" t="s">
        <v>709</v>
      </c>
      <c r="B3907" t="s">
        <v>732</v>
      </c>
      <c r="C3907" t="s">
        <v>733</v>
      </c>
      <c r="D3907" t="s">
        <v>305</v>
      </c>
      <c r="E3907" t="s">
        <v>569</v>
      </c>
      <c r="F3907" t="s">
        <v>120</v>
      </c>
      <c r="G3907" t="s">
        <v>111</v>
      </c>
      <c r="H3907" t="s">
        <v>113</v>
      </c>
      <c r="I3907" t="s">
        <v>112</v>
      </c>
      <c r="J3907" t="s">
        <v>114</v>
      </c>
      <c r="K3907" t="s">
        <v>116</v>
      </c>
      <c r="L3907" t="s">
        <v>116</v>
      </c>
    </row>
    <row r="3908" spans="1:12" x14ac:dyDescent="0.3">
      <c r="A3908" t="s">
        <v>709</v>
      </c>
      <c r="B3908" t="s">
        <v>732</v>
      </c>
      <c r="C3908" t="s">
        <v>733</v>
      </c>
      <c r="D3908" t="s">
        <v>213</v>
      </c>
      <c r="E3908" t="s">
        <v>569</v>
      </c>
      <c r="F3908" t="s">
        <v>53</v>
      </c>
      <c r="G3908" t="s">
        <v>111</v>
      </c>
      <c r="H3908" t="s">
        <v>113</v>
      </c>
      <c r="I3908" t="s">
        <v>112</v>
      </c>
      <c r="J3908" t="s">
        <v>114</v>
      </c>
      <c r="K3908" t="s">
        <v>116</v>
      </c>
      <c r="L3908" t="s">
        <v>116</v>
      </c>
    </row>
    <row r="3909" spans="1:12" x14ac:dyDescent="0.3">
      <c r="A3909" t="s">
        <v>709</v>
      </c>
      <c r="B3909" t="s">
        <v>732</v>
      </c>
      <c r="C3909" t="s">
        <v>733</v>
      </c>
      <c r="D3909" t="s">
        <v>214</v>
      </c>
      <c r="E3909" t="s">
        <v>569</v>
      </c>
      <c r="F3909" t="s">
        <v>56</v>
      </c>
      <c r="G3909" t="s">
        <v>111</v>
      </c>
      <c r="H3909" t="s">
        <v>113</v>
      </c>
      <c r="I3909" t="s">
        <v>112</v>
      </c>
      <c r="J3909" t="s">
        <v>114</v>
      </c>
      <c r="K3909" t="s">
        <v>116</v>
      </c>
      <c r="L3909" t="s">
        <v>116</v>
      </c>
    </row>
    <row r="3910" spans="1:12" x14ac:dyDescent="0.3">
      <c r="A3910" t="s">
        <v>709</v>
      </c>
      <c r="B3910" t="s">
        <v>732</v>
      </c>
      <c r="C3910" t="s">
        <v>733</v>
      </c>
      <c r="D3910" t="s">
        <v>215</v>
      </c>
      <c r="E3910" t="s">
        <v>569</v>
      </c>
      <c r="F3910" t="s">
        <v>69</v>
      </c>
      <c r="G3910" t="s">
        <v>111</v>
      </c>
      <c r="H3910" t="s">
        <v>113</v>
      </c>
      <c r="I3910" t="s">
        <v>112</v>
      </c>
      <c r="J3910" t="s">
        <v>114</v>
      </c>
      <c r="K3910" t="s">
        <v>116</v>
      </c>
      <c r="L3910" t="s">
        <v>116</v>
      </c>
    </row>
    <row r="3911" spans="1:12" x14ac:dyDescent="0.3">
      <c r="A3911" t="s">
        <v>709</v>
      </c>
      <c r="B3911" t="s">
        <v>732</v>
      </c>
      <c r="C3911" t="s">
        <v>733</v>
      </c>
      <c r="D3911" t="s">
        <v>306</v>
      </c>
      <c r="E3911" t="s">
        <v>569</v>
      </c>
      <c r="F3911" t="s">
        <v>165</v>
      </c>
      <c r="G3911" t="s">
        <v>111</v>
      </c>
      <c r="H3911" t="s">
        <v>113</v>
      </c>
      <c r="I3911" t="s">
        <v>112</v>
      </c>
      <c r="J3911" t="s">
        <v>114</v>
      </c>
      <c r="K3911" t="s">
        <v>116</v>
      </c>
      <c r="L3911" t="s">
        <v>116</v>
      </c>
    </row>
    <row r="3912" spans="1:12" x14ac:dyDescent="0.3">
      <c r="A3912" t="s">
        <v>709</v>
      </c>
      <c r="B3912" t="s">
        <v>732</v>
      </c>
      <c r="C3912" t="s">
        <v>733</v>
      </c>
      <c r="D3912" t="s">
        <v>218</v>
      </c>
      <c r="E3912" t="s">
        <v>569</v>
      </c>
      <c r="F3912" t="s">
        <v>166</v>
      </c>
      <c r="G3912" t="s">
        <v>111</v>
      </c>
      <c r="H3912" t="s">
        <v>113</v>
      </c>
      <c r="I3912" t="s">
        <v>112</v>
      </c>
      <c r="J3912" t="s">
        <v>114</v>
      </c>
      <c r="K3912" t="s">
        <v>116</v>
      </c>
      <c r="L3912" t="s">
        <v>116</v>
      </c>
    </row>
    <row r="3913" spans="1:12" x14ac:dyDescent="0.3">
      <c r="A3913" t="s">
        <v>709</v>
      </c>
      <c r="B3913" t="s">
        <v>732</v>
      </c>
      <c r="C3913" t="s">
        <v>733</v>
      </c>
      <c r="D3913" t="s">
        <v>307</v>
      </c>
      <c r="E3913" t="s">
        <v>569</v>
      </c>
      <c r="F3913" t="s">
        <v>123</v>
      </c>
      <c r="G3913" t="s">
        <v>111</v>
      </c>
      <c r="H3913" t="s">
        <v>113</v>
      </c>
      <c r="I3913" t="s">
        <v>112</v>
      </c>
      <c r="J3913" t="s">
        <v>114</v>
      </c>
      <c r="K3913" t="s">
        <v>116</v>
      </c>
      <c r="L3913" t="s">
        <v>116</v>
      </c>
    </row>
    <row r="3914" spans="1:12" x14ac:dyDescent="0.3">
      <c r="A3914" t="s">
        <v>709</v>
      </c>
      <c r="B3914" t="s">
        <v>732</v>
      </c>
      <c r="C3914" t="s">
        <v>733</v>
      </c>
      <c r="D3914" t="s">
        <v>219</v>
      </c>
      <c r="E3914" t="s">
        <v>569</v>
      </c>
      <c r="F3914" t="s">
        <v>189</v>
      </c>
      <c r="G3914" t="s">
        <v>111</v>
      </c>
      <c r="H3914" t="s">
        <v>113</v>
      </c>
      <c r="I3914" t="s">
        <v>112</v>
      </c>
      <c r="J3914" t="s">
        <v>114</v>
      </c>
      <c r="K3914" t="s">
        <v>116</v>
      </c>
      <c r="L3914" t="s">
        <v>116</v>
      </c>
    </row>
    <row r="3915" spans="1:12" x14ac:dyDescent="0.3">
      <c r="A3915" t="s">
        <v>709</v>
      </c>
      <c r="B3915" t="s">
        <v>732</v>
      </c>
      <c r="C3915" t="s">
        <v>733</v>
      </c>
      <c r="D3915" t="s">
        <v>220</v>
      </c>
      <c r="E3915" t="s">
        <v>569</v>
      </c>
      <c r="F3915" t="s">
        <v>54</v>
      </c>
      <c r="G3915" t="s">
        <v>111</v>
      </c>
      <c r="H3915" t="s">
        <v>113</v>
      </c>
      <c r="I3915" t="s">
        <v>112</v>
      </c>
      <c r="J3915" t="s">
        <v>114</v>
      </c>
      <c r="K3915" t="s">
        <v>1770</v>
      </c>
      <c r="L3915" t="s">
        <v>1770</v>
      </c>
    </row>
    <row r="3916" spans="1:12" x14ac:dyDescent="0.3">
      <c r="A3916" t="s">
        <v>709</v>
      </c>
      <c r="B3916" t="s">
        <v>732</v>
      </c>
      <c r="C3916" t="s">
        <v>733</v>
      </c>
      <c r="D3916" t="s">
        <v>221</v>
      </c>
      <c r="E3916" t="s">
        <v>569</v>
      </c>
      <c r="F3916" t="s">
        <v>45</v>
      </c>
      <c r="G3916" t="s">
        <v>111</v>
      </c>
      <c r="H3916" t="s">
        <v>113</v>
      </c>
      <c r="I3916" t="s">
        <v>112</v>
      </c>
      <c r="J3916" t="s">
        <v>114</v>
      </c>
      <c r="K3916" t="s">
        <v>116</v>
      </c>
      <c r="L3916" t="s">
        <v>116</v>
      </c>
    </row>
    <row r="3917" spans="1:12" x14ac:dyDescent="0.3">
      <c r="A3917" t="s">
        <v>709</v>
      </c>
      <c r="B3917" t="s">
        <v>732</v>
      </c>
      <c r="C3917" t="s">
        <v>733</v>
      </c>
      <c r="D3917" t="s">
        <v>223</v>
      </c>
      <c r="E3917" t="s">
        <v>569</v>
      </c>
      <c r="F3917" t="s">
        <v>65</v>
      </c>
      <c r="G3917" t="s">
        <v>111</v>
      </c>
      <c r="H3917" t="s">
        <v>113</v>
      </c>
      <c r="I3917" t="s">
        <v>112</v>
      </c>
      <c r="J3917" t="s">
        <v>114</v>
      </c>
      <c r="K3917" t="s">
        <v>116</v>
      </c>
      <c r="L3917" t="s">
        <v>116</v>
      </c>
    </row>
    <row r="3918" spans="1:12" x14ac:dyDescent="0.3">
      <c r="A3918" t="s">
        <v>709</v>
      </c>
      <c r="B3918" t="s">
        <v>732</v>
      </c>
      <c r="C3918" t="s">
        <v>733</v>
      </c>
      <c r="D3918" t="s">
        <v>224</v>
      </c>
      <c r="E3918" t="s">
        <v>569</v>
      </c>
      <c r="F3918" t="s">
        <v>125</v>
      </c>
      <c r="G3918" t="s">
        <v>111</v>
      </c>
      <c r="H3918" t="s">
        <v>113</v>
      </c>
      <c r="I3918" t="s">
        <v>112</v>
      </c>
      <c r="J3918" t="s">
        <v>114</v>
      </c>
      <c r="K3918" t="s">
        <v>116</v>
      </c>
      <c r="L3918" t="s">
        <v>116</v>
      </c>
    </row>
    <row r="3919" spans="1:12" x14ac:dyDescent="0.3">
      <c r="A3919" t="s">
        <v>709</v>
      </c>
      <c r="B3919" t="s">
        <v>732</v>
      </c>
      <c r="C3919" t="s">
        <v>733</v>
      </c>
      <c r="D3919" t="s">
        <v>225</v>
      </c>
      <c r="E3919" t="s">
        <v>569</v>
      </c>
      <c r="F3919" t="s">
        <v>126</v>
      </c>
      <c r="G3919" t="s">
        <v>111</v>
      </c>
      <c r="H3919" t="s">
        <v>113</v>
      </c>
      <c r="I3919" t="s">
        <v>112</v>
      </c>
      <c r="J3919" t="s">
        <v>114</v>
      </c>
      <c r="K3919" t="s">
        <v>116</v>
      </c>
      <c r="L3919" t="s">
        <v>116</v>
      </c>
    </row>
    <row r="3920" spans="1:12" x14ac:dyDescent="0.3">
      <c r="A3920" t="s">
        <v>709</v>
      </c>
      <c r="B3920" t="s">
        <v>732</v>
      </c>
      <c r="C3920" t="s">
        <v>733</v>
      </c>
      <c r="D3920" t="s">
        <v>227</v>
      </c>
      <c r="E3920" t="s">
        <v>569</v>
      </c>
      <c r="F3920" t="s">
        <v>192</v>
      </c>
      <c r="G3920" t="s">
        <v>111</v>
      </c>
      <c r="H3920" t="s">
        <v>113</v>
      </c>
      <c r="I3920" t="s">
        <v>112</v>
      </c>
      <c r="J3920" t="s">
        <v>114</v>
      </c>
      <c r="K3920" t="s">
        <v>116</v>
      </c>
      <c r="L3920" t="s">
        <v>116</v>
      </c>
    </row>
    <row r="3921" spans="1:12" x14ac:dyDescent="0.3">
      <c r="A3921" t="s">
        <v>709</v>
      </c>
      <c r="B3921" t="s">
        <v>732</v>
      </c>
      <c r="C3921" t="s">
        <v>733</v>
      </c>
      <c r="D3921" t="s">
        <v>228</v>
      </c>
      <c r="E3921" t="s">
        <v>569</v>
      </c>
      <c r="F3921" t="s">
        <v>167</v>
      </c>
      <c r="G3921" t="s">
        <v>111</v>
      </c>
      <c r="H3921" t="s">
        <v>113</v>
      </c>
      <c r="I3921" t="s">
        <v>112</v>
      </c>
      <c r="J3921" t="s">
        <v>114</v>
      </c>
      <c r="K3921" t="s">
        <v>116</v>
      </c>
      <c r="L3921" t="s">
        <v>116</v>
      </c>
    </row>
    <row r="3922" spans="1:12" x14ac:dyDescent="0.3">
      <c r="A3922" t="s">
        <v>709</v>
      </c>
      <c r="B3922" t="s">
        <v>732</v>
      </c>
      <c r="C3922" t="s">
        <v>733</v>
      </c>
      <c r="D3922" t="s">
        <v>229</v>
      </c>
      <c r="E3922" t="s">
        <v>569</v>
      </c>
      <c r="F3922" t="s">
        <v>127</v>
      </c>
      <c r="G3922" t="s">
        <v>111</v>
      </c>
      <c r="H3922" t="s">
        <v>113</v>
      </c>
      <c r="I3922" t="s">
        <v>112</v>
      </c>
      <c r="J3922" t="s">
        <v>114</v>
      </c>
      <c r="K3922" t="s">
        <v>116</v>
      </c>
      <c r="L3922" t="s">
        <v>116</v>
      </c>
    </row>
    <row r="3923" spans="1:12" x14ac:dyDescent="0.3">
      <c r="A3923" t="s">
        <v>709</v>
      </c>
      <c r="B3923" t="s">
        <v>732</v>
      </c>
      <c r="C3923" t="s">
        <v>733</v>
      </c>
      <c r="D3923" t="s">
        <v>310</v>
      </c>
      <c r="E3923" t="s">
        <v>569</v>
      </c>
      <c r="F3923" t="s">
        <v>128</v>
      </c>
      <c r="G3923" t="s">
        <v>111</v>
      </c>
      <c r="H3923" t="s">
        <v>113</v>
      </c>
      <c r="I3923" t="s">
        <v>112</v>
      </c>
      <c r="J3923" t="s">
        <v>114</v>
      </c>
      <c r="K3923" t="s">
        <v>116</v>
      </c>
      <c r="L3923" t="s">
        <v>116</v>
      </c>
    </row>
    <row r="3924" spans="1:12" x14ac:dyDescent="0.3">
      <c r="A3924" t="s">
        <v>709</v>
      </c>
      <c r="B3924" t="s">
        <v>732</v>
      </c>
      <c r="C3924" t="s">
        <v>733</v>
      </c>
      <c r="D3924" t="s">
        <v>311</v>
      </c>
      <c r="E3924" t="s">
        <v>569</v>
      </c>
      <c r="F3924" t="s">
        <v>89</v>
      </c>
      <c r="G3924" t="s">
        <v>111</v>
      </c>
      <c r="H3924" t="s">
        <v>113</v>
      </c>
      <c r="I3924" t="s">
        <v>112</v>
      </c>
      <c r="J3924" t="s">
        <v>114</v>
      </c>
      <c r="K3924" t="s">
        <v>116</v>
      </c>
      <c r="L3924" t="s">
        <v>116</v>
      </c>
    </row>
    <row r="3925" spans="1:12" x14ac:dyDescent="0.3">
      <c r="A3925" t="s">
        <v>709</v>
      </c>
      <c r="B3925" t="s">
        <v>732</v>
      </c>
      <c r="C3925" t="s">
        <v>733</v>
      </c>
      <c r="D3925" t="s">
        <v>231</v>
      </c>
      <c r="E3925" t="s">
        <v>569</v>
      </c>
      <c r="F3925" t="s">
        <v>66</v>
      </c>
      <c r="G3925" t="s">
        <v>111</v>
      </c>
      <c r="H3925" t="s">
        <v>113</v>
      </c>
      <c r="I3925" t="s">
        <v>112</v>
      </c>
      <c r="J3925" t="s">
        <v>114</v>
      </c>
      <c r="K3925" t="s">
        <v>116</v>
      </c>
      <c r="L3925" t="s">
        <v>116</v>
      </c>
    </row>
    <row r="3926" spans="1:12" x14ac:dyDescent="0.3">
      <c r="A3926" t="s">
        <v>709</v>
      </c>
      <c r="B3926" t="s">
        <v>732</v>
      </c>
      <c r="C3926" t="s">
        <v>733</v>
      </c>
      <c r="D3926" t="s">
        <v>232</v>
      </c>
      <c r="E3926" t="s">
        <v>569</v>
      </c>
      <c r="F3926" t="s">
        <v>169</v>
      </c>
      <c r="G3926" t="s">
        <v>111</v>
      </c>
      <c r="H3926" t="s">
        <v>113</v>
      </c>
      <c r="I3926" t="s">
        <v>112</v>
      </c>
      <c r="J3926" t="s">
        <v>114</v>
      </c>
      <c r="K3926" t="s">
        <v>116</v>
      </c>
      <c r="L3926" t="s">
        <v>116</v>
      </c>
    </row>
    <row r="3927" spans="1:12" x14ac:dyDescent="0.3">
      <c r="A3927" t="s">
        <v>709</v>
      </c>
      <c r="B3927" t="s">
        <v>732</v>
      </c>
      <c r="C3927" t="s">
        <v>733</v>
      </c>
      <c r="D3927" t="s">
        <v>234</v>
      </c>
      <c r="E3927" t="s">
        <v>569</v>
      </c>
      <c r="F3927" t="s">
        <v>93</v>
      </c>
      <c r="G3927" t="s">
        <v>111</v>
      </c>
      <c r="H3927" t="s">
        <v>113</v>
      </c>
      <c r="I3927" t="s">
        <v>112</v>
      </c>
      <c r="J3927" t="s">
        <v>114</v>
      </c>
      <c r="K3927" t="s">
        <v>116</v>
      </c>
      <c r="L3927" t="s">
        <v>116</v>
      </c>
    </row>
    <row r="3928" spans="1:12" x14ac:dyDescent="0.3">
      <c r="A3928" t="s">
        <v>709</v>
      </c>
      <c r="B3928" t="s">
        <v>732</v>
      </c>
      <c r="C3928" t="s">
        <v>733</v>
      </c>
      <c r="D3928" t="s">
        <v>312</v>
      </c>
      <c r="E3928" t="s">
        <v>569</v>
      </c>
      <c r="F3928" t="s">
        <v>129</v>
      </c>
      <c r="G3928" t="s">
        <v>111</v>
      </c>
      <c r="H3928" t="s">
        <v>113</v>
      </c>
      <c r="I3928" t="s">
        <v>112</v>
      </c>
      <c r="J3928" t="s">
        <v>114</v>
      </c>
      <c r="K3928" t="s">
        <v>116</v>
      </c>
      <c r="L3928" t="s">
        <v>116</v>
      </c>
    </row>
    <row r="3929" spans="1:12" x14ac:dyDescent="0.3">
      <c r="A3929" t="s">
        <v>709</v>
      </c>
      <c r="B3929" t="s">
        <v>732</v>
      </c>
      <c r="C3929" t="s">
        <v>733</v>
      </c>
      <c r="D3929" t="s">
        <v>313</v>
      </c>
      <c r="E3929" t="s">
        <v>569</v>
      </c>
      <c r="F3929" t="s">
        <v>68</v>
      </c>
      <c r="G3929" t="s">
        <v>111</v>
      </c>
      <c r="H3929" t="s">
        <v>113</v>
      </c>
      <c r="I3929" t="s">
        <v>112</v>
      </c>
      <c r="J3929" t="s">
        <v>114</v>
      </c>
      <c r="K3929" t="s">
        <v>116</v>
      </c>
      <c r="L3929" t="s">
        <v>116</v>
      </c>
    </row>
    <row r="3930" spans="1:12" x14ac:dyDescent="0.3">
      <c r="A3930" t="s">
        <v>709</v>
      </c>
      <c r="B3930" t="s">
        <v>732</v>
      </c>
      <c r="C3930" t="s">
        <v>733</v>
      </c>
      <c r="D3930" t="s">
        <v>235</v>
      </c>
      <c r="E3930" t="s">
        <v>569</v>
      </c>
      <c r="F3930" t="s">
        <v>85</v>
      </c>
      <c r="G3930" t="s">
        <v>111</v>
      </c>
      <c r="H3930" t="s">
        <v>113</v>
      </c>
      <c r="I3930" t="s">
        <v>112</v>
      </c>
      <c r="J3930" t="s">
        <v>114</v>
      </c>
      <c r="K3930" t="s">
        <v>116</v>
      </c>
      <c r="L3930" t="s">
        <v>116</v>
      </c>
    </row>
    <row r="3931" spans="1:12" x14ac:dyDescent="0.3">
      <c r="A3931" t="s">
        <v>709</v>
      </c>
      <c r="B3931" t="s">
        <v>732</v>
      </c>
      <c r="C3931" t="s">
        <v>733</v>
      </c>
      <c r="D3931" t="s">
        <v>314</v>
      </c>
      <c r="E3931" t="s">
        <v>569</v>
      </c>
      <c r="F3931" t="s">
        <v>61</v>
      </c>
      <c r="G3931" t="s">
        <v>111</v>
      </c>
      <c r="H3931" t="s">
        <v>113</v>
      </c>
      <c r="I3931" t="s">
        <v>112</v>
      </c>
      <c r="J3931" t="s">
        <v>114</v>
      </c>
      <c r="K3931" t="s">
        <v>116</v>
      </c>
      <c r="L3931" t="s">
        <v>116</v>
      </c>
    </row>
    <row r="3932" spans="1:12" x14ac:dyDescent="0.3">
      <c r="A3932" t="s">
        <v>709</v>
      </c>
      <c r="B3932" t="s">
        <v>732</v>
      </c>
      <c r="C3932" t="s">
        <v>733</v>
      </c>
      <c r="D3932" t="s">
        <v>236</v>
      </c>
      <c r="E3932" t="s">
        <v>569</v>
      </c>
      <c r="F3932" t="s">
        <v>87</v>
      </c>
      <c r="G3932" t="s">
        <v>111</v>
      </c>
      <c r="H3932" t="s">
        <v>113</v>
      </c>
      <c r="I3932" t="s">
        <v>112</v>
      </c>
      <c r="J3932" t="s">
        <v>114</v>
      </c>
      <c r="K3932" t="s">
        <v>116</v>
      </c>
      <c r="L3932" t="s">
        <v>116</v>
      </c>
    </row>
    <row r="3933" spans="1:12" x14ac:dyDescent="0.3">
      <c r="A3933" t="s">
        <v>709</v>
      </c>
      <c r="B3933" t="s">
        <v>732</v>
      </c>
      <c r="C3933" t="s">
        <v>733</v>
      </c>
      <c r="D3933" t="s">
        <v>237</v>
      </c>
      <c r="E3933" t="s">
        <v>569</v>
      </c>
      <c r="F3933" t="s">
        <v>130</v>
      </c>
      <c r="G3933" t="s">
        <v>111</v>
      </c>
      <c r="H3933" t="s">
        <v>113</v>
      </c>
      <c r="I3933" t="s">
        <v>112</v>
      </c>
      <c r="J3933" t="s">
        <v>114</v>
      </c>
      <c r="K3933" t="s">
        <v>116</v>
      </c>
      <c r="L3933" t="s">
        <v>116</v>
      </c>
    </row>
    <row r="3934" spans="1:12" x14ac:dyDescent="0.3">
      <c r="A3934" t="s">
        <v>709</v>
      </c>
      <c r="B3934" t="s">
        <v>732</v>
      </c>
      <c r="C3934" t="s">
        <v>733</v>
      </c>
      <c r="D3934" t="s">
        <v>238</v>
      </c>
      <c r="E3934" t="s">
        <v>569</v>
      </c>
      <c r="F3934" t="s">
        <v>131</v>
      </c>
      <c r="G3934" t="s">
        <v>111</v>
      </c>
      <c r="H3934" t="s">
        <v>113</v>
      </c>
      <c r="I3934" t="s">
        <v>112</v>
      </c>
      <c r="J3934" t="s">
        <v>114</v>
      </c>
      <c r="K3934" t="s">
        <v>116</v>
      </c>
      <c r="L3934" t="s">
        <v>116</v>
      </c>
    </row>
    <row r="3935" spans="1:12" x14ac:dyDescent="0.3">
      <c r="A3935" t="s">
        <v>709</v>
      </c>
      <c r="B3935" t="s">
        <v>732</v>
      </c>
      <c r="C3935" t="s">
        <v>733</v>
      </c>
      <c r="D3935" t="s">
        <v>239</v>
      </c>
      <c r="E3935" t="s">
        <v>569</v>
      </c>
      <c r="F3935" t="s">
        <v>50</v>
      </c>
      <c r="G3935" t="s">
        <v>111</v>
      </c>
      <c r="H3935" t="s">
        <v>113</v>
      </c>
      <c r="I3935" t="s">
        <v>112</v>
      </c>
      <c r="J3935" t="s">
        <v>114</v>
      </c>
      <c r="K3935" t="s">
        <v>116</v>
      </c>
      <c r="L3935" t="s">
        <v>116</v>
      </c>
    </row>
    <row r="3936" spans="1:12" x14ac:dyDescent="0.3">
      <c r="A3936" t="s">
        <v>709</v>
      </c>
      <c r="B3936" t="s">
        <v>732</v>
      </c>
      <c r="C3936" t="s">
        <v>733</v>
      </c>
      <c r="D3936" t="s">
        <v>315</v>
      </c>
      <c r="E3936" t="s">
        <v>568</v>
      </c>
      <c r="F3936" t="s">
        <v>79</v>
      </c>
      <c r="G3936" t="s">
        <v>111</v>
      </c>
      <c r="H3936" t="s">
        <v>113</v>
      </c>
      <c r="I3936" t="s">
        <v>112</v>
      </c>
      <c r="J3936" t="s">
        <v>114</v>
      </c>
      <c r="K3936" t="s">
        <v>116</v>
      </c>
      <c r="L3936" t="s">
        <v>116</v>
      </c>
    </row>
    <row r="3937" spans="1:12" x14ac:dyDescent="0.3">
      <c r="A3937" t="s">
        <v>709</v>
      </c>
      <c r="B3937" t="s">
        <v>732</v>
      </c>
      <c r="C3937" t="s">
        <v>733</v>
      </c>
      <c r="D3937" t="s">
        <v>316</v>
      </c>
      <c r="E3937" t="s">
        <v>568</v>
      </c>
      <c r="F3937" t="s">
        <v>132</v>
      </c>
      <c r="G3937" t="s">
        <v>111</v>
      </c>
      <c r="H3937" t="s">
        <v>113</v>
      </c>
      <c r="I3937" t="s">
        <v>112</v>
      </c>
      <c r="J3937" t="s">
        <v>114</v>
      </c>
      <c r="K3937" t="s">
        <v>116</v>
      </c>
      <c r="L3937" t="s">
        <v>116</v>
      </c>
    </row>
    <row r="3938" spans="1:12" x14ac:dyDescent="0.3">
      <c r="A3938" t="s">
        <v>709</v>
      </c>
      <c r="B3938" t="s">
        <v>732</v>
      </c>
      <c r="C3938" t="s">
        <v>733</v>
      </c>
      <c r="D3938" t="s">
        <v>317</v>
      </c>
      <c r="E3938" t="s">
        <v>568</v>
      </c>
      <c r="F3938" t="s">
        <v>133</v>
      </c>
      <c r="G3938" t="s">
        <v>111</v>
      </c>
      <c r="H3938" t="s">
        <v>113</v>
      </c>
      <c r="I3938" t="s">
        <v>112</v>
      </c>
      <c r="J3938" t="s">
        <v>114</v>
      </c>
      <c r="K3938" t="s">
        <v>116</v>
      </c>
      <c r="L3938" t="s">
        <v>116</v>
      </c>
    </row>
    <row r="3939" spans="1:12" x14ac:dyDescent="0.3">
      <c r="A3939" t="s">
        <v>709</v>
      </c>
      <c r="B3939" t="s">
        <v>732</v>
      </c>
      <c r="C3939" t="s">
        <v>733</v>
      </c>
      <c r="D3939" t="s">
        <v>318</v>
      </c>
      <c r="E3939" t="s">
        <v>568</v>
      </c>
      <c r="F3939" t="s">
        <v>193</v>
      </c>
      <c r="G3939" t="s">
        <v>111</v>
      </c>
      <c r="H3939" t="s">
        <v>113</v>
      </c>
      <c r="I3939" t="s">
        <v>112</v>
      </c>
      <c r="J3939" t="s">
        <v>114</v>
      </c>
      <c r="K3939" t="s">
        <v>116</v>
      </c>
      <c r="L3939" t="s">
        <v>116</v>
      </c>
    </row>
    <row r="3940" spans="1:12" x14ac:dyDescent="0.3">
      <c r="A3940" t="s">
        <v>709</v>
      </c>
      <c r="B3940" t="s">
        <v>732</v>
      </c>
      <c r="C3940" t="s">
        <v>733</v>
      </c>
      <c r="D3940" t="s">
        <v>241</v>
      </c>
      <c r="E3940" t="s">
        <v>568</v>
      </c>
      <c r="F3940" t="s">
        <v>51</v>
      </c>
      <c r="G3940" t="s">
        <v>111</v>
      </c>
      <c r="H3940" t="s">
        <v>113</v>
      </c>
      <c r="I3940" t="s">
        <v>112</v>
      </c>
      <c r="J3940" t="s">
        <v>114</v>
      </c>
      <c r="K3940" t="s">
        <v>116</v>
      </c>
      <c r="L3940" t="s">
        <v>116</v>
      </c>
    </row>
    <row r="3941" spans="1:12" x14ac:dyDescent="0.3">
      <c r="A3941" t="s">
        <v>709</v>
      </c>
      <c r="B3941" t="s">
        <v>732</v>
      </c>
      <c r="C3941" t="s">
        <v>733</v>
      </c>
      <c r="D3941" t="s">
        <v>242</v>
      </c>
      <c r="E3941" t="s">
        <v>568</v>
      </c>
      <c r="F3941" t="s">
        <v>163</v>
      </c>
      <c r="G3941" t="s">
        <v>111</v>
      </c>
      <c r="H3941" t="s">
        <v>113</v>
      </c>
      <c r="I3941" t="s">
        <v>112</v>
      </c>
      <c r="J3941" t="s">
        <v>114</v>
      </c>
      <c r="K3941" t="s">
        <v>116</v>
      </c>
      <c r="L3941" t="s">
        <v>116</v>
      </c>
    </row>
    <row r="3942" spans="1:12" x14ac:dyDescent="0.3">
      <c r="A3942" t="s">
        <v>709</v>
      </c>
      <c r="B3942" t="s">
        <v>732</v>
      </c>
      <c r="C3942" t="s">
        <v>733</v>
      </c>
      <c r="D3942" t="s">
        <v>243</v>
      </c>
      <c r="E3942" t="s">
        <v>568</v>
      </c>
      <c r="F3942" t="s">
        <v>170</v>
      </c>
      <c r="G3942" t="s">
        <v>111</v>
      </c>
      <c r="H3942" t="s">
        <v>113</v>
      </c>
      <c r="I3942" t="s">
        <v>112</v>
      </c>
      <c r="J3942" t="s">
        <v>114</v>
      </c>
      <c r="K3942" t="s">
        <v>116</v>
      </c>
      <c r="L3942" t="s">
        <v>116</v>
      </c>
    </row>
    <row r="3943" spans="1:12" x14ac:dyDescent="0.3">
      <c r="A3943" t="s">
        <v>709</v>
      </c>
      <c r="B3943" t="s">
        <v>732</v>
      </c>
      <c r="C3943" t="s">
        <v>733</v>
      </c>
      <c r="D3943" t="s">
        <v>244</v>
      </c>
      <c r="E3943" t="s">
        <v>568</v>
      </c>
      <c r="F3943" t="s">
        <v>78</v>
      </c>
      <c r="G3943" t="s">
        <v>111</v>
      </c>
      <c r="H3943" t="s">
        <v>113</v>
      </c>
      <c r="I3943" t="s">
        <v>112</v>
      </c>
      <c r="J3943" t="s">
        <v>114</v>
      </c>
      <c r="K3943" t="s">
        <v>116</v>
      </c>
      <c r="L3943" t="s">
        <v>116</v>
      </c>
    </row>
    <row r="3944" spans="1:12" x14ac:dyDescent="0.3">
      <c r="A3944" t="s">
        <v>709</v>
      </c>
      <c r="B3944" t="s">
        <v>732</v>
      </c>
      <c r="C3944" t="s">
        <v>733</v>
      </c>
      <c r="D3944" t="s">
        <v>319</v>
      </c>
      <c r="E3944" t="s">
        <v>568</v>
      </c>
      <c r="F3944" t="s">
        <v>136</v>
      </c>
      <c r="G3944" t="s">
        <v>111</v>
      </c>
      <c r="H3944" t="s">
        <v>113</v>
      </c>
      <c r="I3944" t="s">
        <v>112</v>
      </c>
      <c r="J3944" t="s">
        <v>114</v>
      </c>
      <c r="K3944" t="s">
        <v>116</v>
      </c>
      <c r="L3944" t="s">
        <v>116</v>
      </c>
    </row>
    <row r="3945" spans="1:12" x14ac:dyDescent="0.3">
      <c r="A3945" t="s">
        <v>709</v>
      </c>
      <c r="B3945" t="s">
        <v>732</v>
      </c>
      <c r="C3945" t="s">
        <v>733</v>
      </c>
      <c r="D3945" t="s">
        <v>247</v>
      </c>
      <c r="E3945" t="s">
        <v>568</v>
      </c>
      <c r="F3945" t="s">
        <v>60</v>
      </c>
      <c r="G3945" t="s">
        <v>111</v>
      </c>
      <c r="H3945" t="s">
        <v>113</v>
      </c>
      <c r="I3945" t="s">
        <v>112</v>
      </c>
      <c r="J3945" t="s">
        <v>114</v>
      </c>
      <c r="K3945" t="s">
        <v>116</v>
      </c>
      <c r="L3945" t="s">
        <v>116</v>
      </c>
    </row>
    <row r="3946" spans="1:12" x14ac:dyDescent="0.3">
      <c r="A3946" t="s">
        <v>709</v>
      </c>
      <c r="B3946" t="s">
        <v>732</v>
      </c>
      <c r="C3946" t="s">
        <v>733</v>
      </c>
      <c r="D3946" t="s">
        <v>251</v>
      </c>
      <c r="E3946" t="s">
        <v>568</v>
      </c>
      <c r="F3946" t="s">
        <v>48</v>
      </c>
      <c r="G3946" t="s">
        <v>111</v>
      </c>
      <c r="H3946" t="s">
        <v>113</v>
      </c>
      <c r="I3946" t="s">
        <v>112</v>
      </c>
      <c r="J3946" t="s">
        <v>114</v>
      </c>
      <c r="K3946" t="s">
        <v>116</v>
      </c>
      <c r="L3946" t="s">
        <v>116</v>
      </c>
    </row>
    <row r="3947" spans="1:12" x14ac:dyDescent="0.3">
      <c r="A3947" t="s">
        <v>709</v>
      </c>
      <c r="B3947" t="s">
        <v>732</v>
      </c>
      <c r="C3947" t="s">
        <v>733</v>
      </c>
      <c r="D3947" t="s">
        <v>252</v>
      </c>
      <c r="E3947" t="s">
        <v>568</v>
      </c>
      <c r="F3947" t="s">
        <v>138</v>
      </c>
      <c r="G3947" t="s">
        <v>111</v>
      </c>
      <c r="H3947" t="s">
        <v>113</v>
      </c>
      <c r="I3947" t="s">
        <v>112</v>
      </c>
      <c r="J3947" t="s">
        <v>114</v>
      </c>
      <c r="K3947" t="s">
        <v>116</v>
      </c>
      <c r="L3947" t="s">
        <v>116</v>
      </c>
    </row>
    <row r="3948" spans="1:12" x14ac:dyDescent="0.3">
      <c r="A3948" t="s">
        <v>709</v>
      </c>
      <c r="B3948" t="s">
        <v>732</v>
      </c>
      <c r="C3948" t="s">
        <v>733</v>
      </c>
      <c r="D3948" t="s">
        <v>253</v>
      </c>
      <c r="E3948" t="s">
        <v>568</v>
      </c>
      <c r="F3948" t="s">
        <v>95</v>
      </c>
      <c r="G3948" t="s">
        <v>111</v>
      </c>
      <c r="H3948" t="s">
        <v>113</v>
      </c>
      <c r="I3948" t="s">
        <v>112</v>
      </c>
      <c r="J3948" t="s">
        <v>114</v>
      </c>
      <c r="K3948" t="s">
        <v>116</v>
      </c>
      <c r="L3948" t="s">
        <v>116</v>
      </c>
    </row>
    <row r="3949" spans="1:12" x14ac:dyDescent="0.3">
      <c r="A3949" t="s">
        <v>709</v>
      </c>
      <c r="B3949" t="s">
        <v>732</v>
      </c>
      <c r="C3949" t="s">
        <v>733</v>
      </c>
      <c r="D3949" t="s">
        <v>254</v>
      </c>
      <c r="E3949" t="s">
        <v>568</v>
      </c>
      <c r="F3949" t="s">
        <v>139</v>
      </c>
      <c r="G3949" t="s">
        <v>111</v>
      </c>
      <c r="H3949" t="s">
        <v>113</v>
      </c>
      <c r="I3949" t="s">
        <v>112</v>
      </c>
      <c r="J3949" t="s">
        <v>114</v>
      </c>
      <c r="K3949" t="s">
        <v>116</v>
      </c>
      <c r="L3949" t="s">
        <v>116</v>
      </c>
    </row>
    <row r="3950" spans="1:12" x14ac:dyDescent="0.3">
      <c r="A3950" t="s">
        <v>709</v>
      </c>
      <c r="B3950" t="s">
        <v>732</v>
      </c>
      <c r="C3950" t="s">
        <v>733</v>
      </c>
      <c r="D3950" t="s">
        <v>255</v>
      </c>
      <c r="E3950" t="s">
        <v>568</v>
      </c>
      <c r="F3950" t="s">
        <v>171</v>
      </c>
      <c r="G3950" t="s">
        <v>111</v>
      </c>
      <c r="H3950" t="s">
        <v>113</v>
      </c>
      <c r="I3950" t="s">
        <v>112</v>
      </c>
      <c r="J3950" t="s">
        <v>114</v>
      </c>
      <c r="K3950" t="s">
        <v>116</v>
      </c>
      <c r="L3950" t="s">
        <v>116</v>
      </c>
    </row>
    <row r="3951" spans="1:12" x14ac:dyDescent="0.3">
      <c r="A3951" t="s">
        <v>709</v>
      </c>
      <c r="B3951" t="s">
        <v>732</v>
      </c>
      <c r="C3951" t="s">
        <v>733</v>
      </c>
      <c r="D3951" t="s">
        <v>320</v>
      </c>
      <c r="E3951" t="s">
        <v>568</v>
      </c>
      <c r="F3951" t="s">
        <v>172</v>
      </c>
      <c r="G3951" t="s">
        <v>111</v>
      </c>
      <c r="H3951" t="s">
        <v>113</v>
      </c>
      <c r="I3951" t="s">
        <v>112</v>
      </c>
      <c r="J3951" t="s">
        <v>114</v>
      </c>
      <c r="K3951" t="s">
        <v>116</v>
      </c>
      <c r="L3951" t="s">
        <v>116</v>
      </c>
    </row>
    <row r="3952" spans="1:12" x14ac:dyDescent="0.3">
      <c r="A3952" t="s">
        <v>709</v>
      </c>
      <c r="B3952" t="s">
        <v>732</v>
      </c>
      <c r="C3952" t="s">
        <v>733</v>
      </c>
      <c r="D3952" t="s">
        <v>207</v>
      </c>
      <c r="E3952" t="s">
        <v>568</v>
      </c>
      <c r="F3952" t="s">
        <v>62</v>
      </c>
      <c r="G3952" t="s">
        <v>111</v>
      </c>
      <c r="H3952" t="s">
        <v>113</v>
      </c>
      <c r="I3952" t="s">
        <v>112</v>
      </c>
      <c r="J3952" t="s">
        <v>114</v>
      </c>
      <c r="K3952" t="s">
        <v>116</v>
      </c>
      <c r="L3952" t="s">
        <v>116</v>
      </c>
    </row>
    <row r="3953" spans="1:12" x14ac:dyDescent="0.3">
      <c r="A3953" t="s">
        <v>709</v>
      </c>
      <c r="B3953" t="s">
        <v>732</v>
      </c>
      <c r="C3953" t="s">
        <v>733</v>
      </c>
      <c r="D3953" t="s">
        <v>256</v>
      </c>
      <c r="E3953" t="s">
        <v>568</v>
      </c>
      <c r="F3953" t="s">
        <v>57</v>
      </c>
      <c r="G3953" t="s">
        <v>111</v>
      </c>
      <c r="H3953" t="s">
        <v>113</v>
      </c>
      <c r="I3953" t="s">
        <v>112</v>
      </c>
      <c r="J3953" t="s">
        <v>114</v>
      </c>
      <c r="K3953" t="s">
        <v>116</v>
      </c>
      <c r="L3953" t="s">
        <v>116</v>
      </c>
    </row>
    <row r="3954" spans="1:12" x14ac:dyDescent="0.3">
      <c r="A3954" t="s">
        <v>709</v>
      </c>
      <c r="B3954" t="s">
        <v>732</v>
      </c>
      <c r="C3954" t="s">
        <v>733</v>
      </c>
      <c r="D3954" t="s">
        <v>322</v>
      </c>
      <c r="E3954" t="s">
        <v>568</v>
      </c>
      <c r="F3954" t="s">
        <v>173</v>
      </c>
      <c r="G3954" t="s">
        <v>111</v>
      </c>
      <c r="H3954" t="s">
        <v>113</v>
      </c>
      <c r="I3954" t="s">
        <v>112</v>
      </c>
      <c r="J3954" t="s">
        <v>114</v>
      </c>
      <c r="K3954" t="s">
        <v>116</v>
      </c>
      <c r="L3954" t="s">
        <v>116</v>
      </c>
    </row>
    <row r="3955" spans="1:12" x14ac:dyDescent="0.3">
      <c r="A3955" t="s">
        <v>709</v>
      </c>
      <c r="B3955" t="s">
        <v>732</v>
      </c>
      <c r="C3955" t="s">
        <v>733</v>
      </c>
      <c r="D3955" t="s">
        <v>257</v>
      </c>
      <c r="E3955" t="s">
        <v>568</v>
      </c>
      <c r="F3955" t="s">
        <v>174</v>
      </c>
      <c r="G3955" t="s">
        <v>111</v>
      </c>
      <c r="H3955" t="s">
        <v>113</v>
      </c>
      <c r="I3955" t="s">
        <v>112</v>
      </c>
      <c r="J3955" t="s">
        <v>114</v>
      </c>
      <c r="K3955" t="s">
        <v>116</v>
      </c>
      <c r="L3955" t="s">
        <v>116</v>
      </c>
    </row>
    <row r="3956" spans="1:12" x14ac:dyDescent="0.3">
      <c r="A3956" t="s">
        <v>709</v>
      </c>
      <c r="B3956" t="s">
        <v>732</v>
      </c>
      <c r="C3956" t="s">
        <v>733</v>
      </c>
      <c r="D3956" t="s">
        <v>258</v>
      </c>
      <c r="E3956" t="s">
        <v>568</v>
      </c>
      <c r="F3956" t="s">
        <v>88</v>
      </c>
      <c r="G3956" t="s">
        <v>111</v>
      </c>
      <c r="H3956" t="s">
        <v>113</v>
      </c>
      <c r="I3956" t="s">
        <v>112</v>
      </c>
      <c r="J3956" t="s">
        <v>114</v>
      </c>
      <c r="K3956" t="s">
        <v>116</v>
      </c>
      <c r="L3956" t="s">
        <v>116</v>
      </c>
    </row>
    <row r="3957" spans="1:12" x14ac:dyDescent="0.3">
      <c r="A3957" t="s">
        <v>709</v>
      </c>
      <c r="B3957" t="s">
        <v>732</v>
      </c>
      <c r="C3957" t="s">
        <v>733</v>
      </c>
      <c r="D3957" t="s">
        <v>259</v>
      </c>
      <c r="E3957" t="s">
        <v>568</v>
      </c>
      <c r="F3957" t="s">
        <v>77</v>
      </c>
      <c r="G3957" t="s">
        <v>111</v>
      </c>
      <c r="H3957" t="s">
        <v>113</v>
      </c>
      <c r="I3957" t="s">
        <v>112</v>
      </c>
      <c r="J3957" t="s">
        <v>114</v>
      </c>
      <c r="K3957" t="s">
        <v>116</v>
      </c>
      <c r="L3957" t="s">
        <v>116</v>
      </c>
    </row>
    <row r="3958" spans="1:12" x14ac:dyDescent="0.3">
      <c r="A3958" t="s">
        <v>709</v>
      </c>
      <c r="B3958" t="s">
        <v>732</v>
      </c>
      <c r="C3958" t="s">
        <v>733</v>
      </c>
      <c r="D3958" t="s">
        <v>323</v>
      </c>
      <c r="E3958" t="s">
        <v>568</v>
      </c>
      <c r="F3958" t="s">
        <v>74</v>
      </c>
      <c r="G3958" t="s">
        <v>111</v>
      </c>
      <c r="H3958" t="s">
        <v>113</v>
      </c>
      <c r="I3958" t="s">
        <v>112</v>
      </c>
      <c r="J3958" t="s">
        <v>114</v>
      </c>
      <c r="K3958" t="s">
        <v>116</v>
      </c>
      <c r="L3958" t="s">
        <v>116</v>
      </c>
    </row>
    <row r="3959" spans="1:12" x14ac:dyDescent="0.3">
      <c r="A3959" t="s">
        <v>709</v>
      </c>
      <c r="B3959" t="s">
        <v>732</v>
      </c>
      <c r="C3959" t="s">
        <v>733</v>
      </c>
      <c r="D3959" t="s">
        <v>324</v>
      </c>
      <c r="E3959" t="s">
        <v>568</v>
      </c>
      <c r="F3959" t="s">
        <v>102</v>
      </c>
      <c r="G3959" t="s">
        <v>111</v>
      </c>
      <c r="H3959" t="s">
        <v>113</v>
      </c>
      <c r="I3959" t="s">
        <v>112</v>
      </c>
      <c r="J3959" t="s">
        <v>114</v>
      </c>
      <c r="K3959" t="s">
        <v>116</v>
      </c>
      <c r="L3959" t="s">
        <v>116</v>
      </c>
    </row>
    <row r="3960" spans="1:12" x14ac:dyDescent="0.3">
      <c r="A3960" t="s">
        <v>709</v>
      </c>
      <c r="B3960" t="s">
        <v>732</v>
      </c>
      <c r="C3960" t="s">
        <v>733</v>
      </c>
      <c r="D3960" t="s">
        <v>260</v>
      </c>
      <c r="E3960" t="s">
        <v>568</v>
      </c>
      <c r="F3960" t="s">
        <v>140</v>
      </c>
      <c r="G3960" t="s">
        <v>111</v>
      </c>
      <c r="H3960" t="s">
        <v>113</v>
      </c>
      <c r="I3960" t="s">
        <v>112</v>
      </c>
      <c r="J3960" t="s">
        <v>114</v>
      </c>
      <c r="K3960" t="s">
        <v>116</v>
      </c>
      <c r="L3960" t="s">
        <v>116</v>
      </c>
    </row>
    <row r="3961" spans="1:12" x14ac:dyDescent="0.3">
      <c r="A3961" t="s">
        <v>709</v>
      </c>
      <c r="B3961" t="s">
        <v>732</v>
      </c>
      <c r="C3961" t="s">
        <v>733</v>
      </c>
      <c r="D3961" t="s">
        <v>263</v>
      </c>
      <c r="E3961" t="s">
        <v>568</v>
      </c>
      <c r="F3961" t="s">
        <v>141</v>
      </c>
      <c r="G3961" t="s">
        <v>111</v>
      </c>
      <c r="H3961" t="s">
        <v>113</v>
      </c>
      <c r="I3961" t="s">
        <v>112</v>
      </c>
      <c r="J3961" t="s">
        <v>114</v>
      </c>
      <c r="K3961" t="s">
        <v>116</v>
      </c>
      <c r="L3961" t="s">
        <v>116</v>
      </c>
    </row>
    <row r="3962" spans="1:12" x14ac:dyDescent="0.3">
      <c r="A3962" t="s">
        <v>709</v>
      </c>
      <c r="B3962" t="s">
        <v>732</v>
      </c>
      <c r="C3962" t="s">
        <v>733</v>
      </c>
      <c r="D3962" t="s">
        <v>264</v>
      </c>
      <c r="E3962" t="s">
        <v>568</v>
      </c>
      <c r="F3962" t="s">
        <v>64</v>
      </c>
      <c r="G3962" t="s">
        <v>111</v>
      </c>
      <c r="H3962" t="s">
        <v>113</v>
      </c>
      <c r="I3962" t="s">
        <v>112</v>
      </c>
      <c r="J3962" t="s">
        <v>114</v>
      </c>
      <c r="K3962" t="s">
        <v>116</v>
      </c>
      <c r="L3962" t="s">
        <v>116</v>
      </c>
    </row>
    <row r="3963" spans="1:12" x14ac:dyDescent="0.3">
      <c r="A3963" t="s">
        <v>709</v>
      </c>
      <c r="B3963" t="s">
        <v>732</v>
      </c>
      <c r="C3963" t="s">
        <v>733</v>
      </c>
      <c r="D3963" t="s">
        <v>265</v>
      </c>
      <c r="E3963" t="s">
        <v>568</v>
      </c>
      <c r="F3963" t="s">
        <v>142</v>
      </c>
      <c r="G3963" t="s">
        <v>111</v>
      </c>
      <c r="H3963" t="s">
        <v>113</v>
      </c>
      <c r="I3963" t="s">
        <v>112</v>
      </c>
      <c r="J3963" t="s">
        <v>114</v>
      </c>
      <c r="K3963" t="s">
        <v>116</v>
      </c>
      <c r="L3963" t="s">
        <v>116</v>
      </c>
    </row>
    <row r="3964" spans="1:12" x14ac:dyDescent="0.3">
      <c r="A3964" t="s">
        <v>709</v>
      </c>
      <c r="B3964" t="s">
        <v>732</v>
      </c>
      <c r="C3964" t="s">
        <v>733</v>
      </c>
      <c r="D3964" t="s">
        <v>326</v>
      </c>
      <c r="E3964" t="s">
        <v>568</v>
      </c>
      <c r="F3964" t="s">
        <v>144</v>
      </c>
      <c r="G3964" t="s">
        <v>111</v>
      </c>
      <c r="H3964" t="s">
        <v>113</v>
      </c>
      <c r="I3964" t="s">
        <v>112</v>
      </c>
      <c r="J3964" t="s">
        <v>114</v>
      </c>
      <c r="K3964" t="s">
        <v>116</v>
      </c>
      <c r="L3964" t="s">
        <v>116</v>
      </c>
    </row>
    <row r="3965" spans="1:12" x14ac:dyDescent="0.3">
      <c r="A3965" t="s">
        <v>709</v>
      </c>
      <c r="B3965" t="s">
        <v>732</v>
      </c>
      <c r="C3965" t="s">
        <v>733</v>
      </c>
      <c r="D3965" t="s">
        <v>268</v>
      </c>
      <c r="E3965" t="s">
        <v>568</v>
      </c>
      <c r="F3965" t="s">
        <v>194</v>
      </c>
      <c r="G3965" t="s">
        <v>111</v>
      </c>
      <c r="H3965" t="s">
        <v>113</v>
      </c>
      <c r="I3965" t="s">
        <v>112</v>
      </c>
      <c r="J3965" t="s">
        <v>114</v>
      </c>
      <c r="K3965" t="s">
        <v>116</v>
      </c>
      <c r="L3965" t="s">
        <v>116</v>
      </c>
    </row>
    <row r="3966" spans="1:12" x14ac:dyDescent="0.3">
      <c r="A3966" t="s">
        <v>709</v>
      </c>
      <c r="B3966" t="s">
        <v>732</v>
      </c>
      <c r="C3966" t="s">
        <v>733</v>
      </c>
      <c r="D3966" t="s">
        <v>269</v>
      </c>
      <c r="E3966" t="s">
        <v>568</v>
      </c>
      <c r="F3966" t="s">
        <v>145</v>
      </c>
      <c r="G3966" t="s">
        <v>111</v>
      </c>
      <c r="H3966" t="s">
        <v>113</v>
      </c>
      <c r="I3966" t="s">
        <v>112</v>
      </c>
      <c r="J3966" t="s">
        <v>114</v>
      </c>
      <c r="K3966" t="s">
        <v>116</v>
      </c>
      <c r="L3966" t="s">
        <v>116</v>
      </c>
    </row>
    <row r="3967" spans="1:12" x14ac:dyDescent="0.3">
      <c r="A3967" t="s">
        <v>709</v>
      </c>
      <c r="B3967" t="s">
        <v>732</v>
      </c>
      <c r="C3967" t="s">
        <v>733</v>
      </c>
      <c r="D3967" t="s">
        <v>270</v>
      </c>
      <c r="E3967" t="s">
        <v>568</v>
      </c>
      <c r="F3967" t="s">
        <v>81</v>
      </c>
      <c r="G3967" t="s">
        <v>111</v>
      </c>
      <c r="H3967" t="s">
        <v>113</v>
      </c>
      <c r="I3967" t="s">
        <v>112</v>
      </c>
      <c r="J3967" t="s">
        <v>114</v>
      </c>
      <c r="K3967" t="s">
        <v>116</v>
      </c>
      <c r="L3967" t="s">
        <v>116</v>
      </c>
    </row>
    <row r="3968" spans="1:12" x14ac:dyDescent="0.3">
      <c r="A3968" t="s">
        <v>709</v>
      </c>
      <c r="B3968" t="s">
        <v>732</v>
      </c>
      <c r="C3968" t="s">
        <v>733</v>
      </c>
      <c r="D3968" t="s">
        <v>271</v>
      </c>
      <c r="E3968" t="s">
        <v>567</v>
      </c>
      <c r="F3968" t="s">
        <v>76</v>
      </c>
      <c r="G3968" t="s">
        <v>111</v>
      </c>
      <c r="H3968" t="s">
        <v>113</v>
      </c>
      <c r="I3968" t="s">
        <v>112</v>
      </c>
      <c r="J3968" t="s">
        <v>114</v>
      </c>
      <c r="K3968" t="s">
        <v>116</v>
      </c>
      <c r="L3968" t="s">
        <v>116</v>
      </c>
    </row>
    <row r="3969" spans="1:12" x14ac:dyDescent="0.3">
      <c r="A3969" t="s">
        <v>709</v>
      </c>
      <c r="B3969" t="s">
        <v>732</v>
      </c>
      <c r="C3969" t="s">
        <v>733</v>
      </c>
      <c r="D3969" t="s">
        <v>272</v>
      </c>
      <c r="E3969" t="s">
        <v>567</v>
      </c>
      <c r="F3969" t="s">
        <v>52</v>
      </c>
      <c r="G3969" t="s">
        <v>111</v>
      </c>
      <c r="H3969" t="s">
        <v>113</v>
      </c>
      <c r="I3969" t="s">
        <v>112</v>
      </c>
      <c r="J3969" t="s">
        <v>114</v>
      </c>
      <c r="K3969" t="s">
        <v>116</v>
      </c>
      <c r="L3969" t="s">
        <v>116</v>
      </c>
    </row>
    <row r="3970" spans="1:12" x14ac:dyDescent="0.3">
      <c r="A3970" t="s">
        <v>709</v>
      </c>
      <c r="B3970" t="s">
        <v>732</v>
      </c>
      <c r="C3970" t="s">
        <v>733</v>
      </c>
      <c r="D3970" t="s">
        <v>327</v>
      </c>
      <c r="E3970" t="s">
        <v>567</v>
      </c>
      <c r="F3970" t="s">
        <v>104</v>
      </c>
      <c r="G3970" t="s">
        <v>111</v>
      </c>
      <c r="H3970" t="s">
        <v>113</v>
      </c>
      <c r="I3970" t="s">
        <v>112</v>
      </c>
      <c r="J3970" t="s">
        <v>114</v>
      </c>
      <c r="K3970" t="s">
        <v>116</v>
      </c>
      <c r="L3970" t="s">
        <v>116</v>
      </c>
    </row>
    <row r="3971" spans="1:12" x14ac:dyDescent="0.3">
      <c r="A3971" t="s">
        <v>709</v>
      </c>
      <c r="B3971" t="s">
        <v>732</v>
      </c>
      <c r="C3971" t="s">
        <v>733</v>
      </c>
      <c r="D3971" t="s">
        <v>273</v>
      </c>
      <c r="E3971" t="s">
        <v>567</v>
      </c>
      <c r="F3971" t="s">
        <v>176</v>
      </c>
      <c r="G3971" t="s">
        <v>111</v>
      </c>
      <c r="H3971" t="s">
        <v>113</v>
      </c>
      <c r="I3971" t="s">
        <v>112</v>
      </c>
      <c r="J3971" t="s">
        <v>114</v>
      </c>
      <c r="K3971" t="s">
        <v>116</v>
      </c>
      <c r="L3971" t="s">
        <v>116</v>
      </c>
    </row>
    <row r="3972" spans="1:12" x14ac:dyDescent="0.3">
      <c r="A3972" t="s">
        <v>709</v>
      </c>
      <c r="B3972" t="s">
        <v>732</v>
      </c>
      <c r="C3972" t="s">
        <v>733</v>
      </c>
      <c r="D3972" t="s">
        <v>274</v>
      </c>
      <c r="E3972" t="s">
        <v>567</v>
      </c>
      <c r="F3972" t="s">
        <v>146</v>
      </c>
      <c r="G3972" t="s">
        <v>111</v>
      </c>
      <c r="H3972" t="s">
        <v>113</v>
      </c>
      <c r="I3972" t="s">
        <v>112</v>
      </c>
      <c r="J3972" t="s">
        <v>114</v>
      </c>
      <c r="K3972" t="s">
        <v>116</v>
      </c>
      <c r="L3972" t="s">
        <v>116</v>
      </c>
    </row>
    <row r="3973" spans="1:12" x14ac:dyDescent="0.3">
      <c r="A3973" t="s">
        <v>709</v>
      </c>
      <c r="B3973" t="s">
        <v>732</v>
      </c>
      <c r="C3973" t="s">
        <v>733</v>
      </c>
      <c r="D3973" t="s">
        <v>275</v>
      </c>
      <c r="E3973" t="s">
        <v>567</v>
      </c>
      <c r="F3973" t="s">
        <v>148</v>
      </c>
      <c r="G3973" t="s">
        <v>111</v>
      </c>
      <c r="H3973" t="s">
        <v>113</v>
      </c>
      <c r="I3973" t="s">
        <v>112</v>
      </c>
      <c r="J3973" t="s">
        <v>114</v>
      </c>
      <c r="K3973" t="s">
        <v>116</v>
      </c>
      <c r="L3973" t="s">
        <v>116</v>
      </c>
    </row>
    <row r="3974" spans="1:12" x14ac:dyDescent="0.3">
      <c r="A3974" t="s">
        <v>709</v>
      </c>
      <c r="B3974" t="s">
        <v>732</v>
      </c>
      <c r="C3974" t="s">
        <v>733</v>
      </c>
      <c r="D3974" t="s">
        <v>276</v>
      </c>
      <c r="E3974" t="s">
        <v>567</v>
      </c>
      <c r="F3974" t="s">
        <v>149</v>
      </c>
      <c r="G3974" t="s">
        <v>111</v>
      </c>
      <c r="H3974" t="s">
        <v>113</v>
      </c>
      <c r="I3974" t="s">
        <v>112</v>
      </c>
      <c r="J3974" t="s">
        <v>114</v>
      </c>
      <c r="K3974" t="s">
        <v>116</v>
      </c>
      <c r="L3974" t="s">
        <v>116</v>
      </c>
    </row>
    <row r="3975" spans="1:12" x14ac:dyDescent="0.3">
      <c r="A3975" t="s">
        <v>709</v>
      </c>
      <c r="B3975" t="s">
        <v>732</v>
      </c>
      <c r="C3975" t="s">
        <v>733</v>
      </c>
      <c r="D3975" t="s">
        <v>277</v>
      </c>
      <c r="E3975" t="s">
        <v>567</v>
      </c>
      <c r="F3975" t="s">
        <v>83</v>
      </c>
      <c r="G3975" t="s">
        <v>111</v>
      </c>
      <c r="H3975" t="s">
        <v>113</v>
      </c>
      <c r="I3975" t="s">
        <v>112</v>
      </c>
      <c r="J3975" t="s">
        <v>114</v>
      </c>
      <c r="K3975" t="s">
        <v>116</v>
      </c>
      <c r="L3975" t="s">
        <v>116</v>
      </c>
    </row>
    <row r="3976" spans="1:12" x14ac:dyDescent="0.3">
      <c r="A3976" t="s">
        <v>709</v>
      </c>
      <c r="B3976" t="s">
        <v>732</v>
      </c>
      <c r="C3976" t="s">
        <v>733</v>
      </c>
      <c r="D3976" t="s">
        <v>278</v>
      </c>
      <c r="E3976" t="s">
        <v>567</v>
      </c>
      <c r="F3976" t="s">
        <v>203</v>
      </c>
      <c r="G3976" t="s">
        <v>111</v>
      </c>
      <c r="H3976" t="s">
        <v>113</v>
      </c>
      <c r="I3976" t="s">
        <v>112</v>
      </c>
      <c r="J3976" t="s">
        <v>114</v>
      </c>
      <c r="K3976" t="s">
        <v>116</v>
      </c>
      <c r="L3976" t="s">
        <v>116</v>
      </c>
    </row>
    <row r="3977" spans="1:12" x14ac:dyDescent="0.3">
      <c r="A3977" t="s">
        <v>709</v>
      </c>
      <c r="B3977" t="s">
        <v>732</v>
      </c>
      <c r="C3977" t="s">
        <v>733</v>
      </c>
      <c r="D3977" t="s">
        <v>279</v>
      </c>
      <c r="E3977" t="s">
        <v>567</v>
      </c>
      <c r="F3977" t="s">
        <v>150</v>
      </c>
      <c r="G3977" t="s">
        <v>111</v>
      </c>
      <c r="H3977" t="s">
        <v>113</v>
      </c>
      <c r="I3977" t="s">
        <v>112</v>
      </c>
      <c r="J3977" t="s">
        <v>114</v>
      </c>
      <c r="K3977" t="s">
        <v>116</v>
      </c>
      <c r="L3977" t="s">
        <v>116</v>
      </c>
    </row>
    <row r="3978" spans="1:12" x14ac:dyDescent="0.3">
      <c r="A3978" t="s">
        <v>709</v>
      </c>
      <c r="B3978" t="s">
        <v>732</v>
      </c>
      <c r="C3978" t="s">
        <v>733</v>
      </c>
      <c r="D3978" t="s">
        <v>280</v>
      </c>
      <c r="E3978" t="s">
        <v>567</v>
      </c>
      <c r="F3978" t="s">
        <v>71</v>
      </c>
      <c r="G3978" t="s">
        <v>111</v>
      </c>
      <c r="H3978" t="s">
        <v>113</v>
      </c>
      <c r="I3978" t="s">
        <v>112</v>
      </c>
      <c r="J3978" t="s">
        <v>114</v>
      </c>
      <c r="K3978" t="s">
        <v>116</v>
      </c>
      <c r="L3978" t="s">
        <v>116</v>
      </c>
    </row>
    <row r="3979" spans="1:12" x14ac:dyDescent="0.3">
      <c r="A3979" t="s">
        <v>709</v>
      </c>
      <c r="B3979" t="s">
        <v>732</v>
      </c>
      <c r="C3979" t="s">
        <v>733</v>
      </c>
      <c r="D3979" t="s">
        <v>282</v>
      </c>
      <c r="E3979" t="s">
        <v>567</v>
      </c>
      <c r="F3979" t="s">
        <v>90</v>
      </c>
      <c r="G3979" t="s">
        <v>111</v>
      </c>
      <c r="H3979" t="s">
        <v>113</v>
      </c>
      <c r="I3979" t="s">
        <v>112</v>
      </c>
      <c r="J3979" t="s">
        <v>114</v>
      </c>
      <c r="K3979" t="s">
        <v>116</v>
      </c>
      <c r="L3979" t="s">
        <v>116</v>
      </c>
    </row>
    <row r="3980" spans="1:12" x14ac:dyDescent="0.3">
      <c r="A3980" t="s">
        <v>709</v>
      </c>
      <c r="B3980" t="s">
        <v>732</v>
      </c>
      <c r="C3980" t="s">
        <v>733</v>
      </c>
      <c r="D3980" t="s">
        <v>329</v>
      </c>
      <c r="E3980" t="s">
        <v>567</v>
      </c>
      <c r="F3980" t="s">
        <v>92</v>
      </c>
      <c r="G3980" t="s">
        <v>111</v>
      </c>
      <c r="H3980" t="s">
        <v>113</v>
      </c>
      <c r="I3980" t="s">
        <v>112</v>
      </c>
      <c r="J3980" t="s">
        <v>114</v>
      </c>
      <c r="K3980" t="s">
        <v>116</v>
      </c>
      <c r="L3980" t="s">
        <v>116</v>
      </c>
    </row>
    <row r="3981" spans="1:12" x14ac:dyDescent="0.3">
      <c r="A3981" t="s">
        <v>709</v>
      </c>
      <c r="B3981" t="s">
        <v>732</v>
      </c>
      <c r="C3981" t="s">
        <v>733</v>
      </c>
      <c r="D3981" t="s">
        <v>283</v>
      </c>
      <c r="E3981" t="s">
        <v>567</v>
      </c>
      <c r="F3981" t="s">
        <v>63</v>
      </c>
      <c r="G3981" t="s">
        <v>111</v>
      </c>
      <c r="H3981" t="s">
        <v>113</v>
      </c>
      <c r="I3981" t="s">
        <v>112</v>
      </c>
      <c r="J3981" t="s">
        <v>114</v>
      </c>
      <c r="K3981" t="s">
        <v>116</v>
      </c>
      <c r="L3981" t="s">
        <v>116</v>
      </c>
    </row>
    <row r="3982" spans="1:12" x14ac:dyDescent="0.3">
      <c r="A3982" t="s">
        <v>709</v>
      </c>
      <c r="B3982" t="s">
        <v>732</v>
      </c>
      <c r="C3982" t="s">
        <v>733</v>
      </c>
      <c r="D3982" t="s">
        <v>284</v>
      </c>
      <c r="E3982" t="s">
        <v>567</v>
      </c>
      <c r="F3982" t="s">
        <v>151</v>
      </c>
      <c r="G3982" t="s">
        <v>111</v>
      </c>
      <c r="H3982" t="s">
        <v>113</v>
      </c>
      <c r="I3982" t="s">
        <v>112</v>
      </c>
      <c r="J3982" t="s">
        <v>114</v>
      </c>
      <c r="K3982" t="s">
        <v>116</v>
      </c>
      <c r="L3982" t="s">
        <v>116</v>
      </c>
    </row>
    <row r="3983" spans="1:12" x14ac:dyDescent="0.3">
      <c r="A3983" t="s">
        <v>709</v>
      </c>
      <c r="B3983" t="s">
        <v>732</v>
      </c>
      <c r="C3983" t="s">
        <v>733</v>
      </c>
      <c r="D3983" t="s">
        <v>285</v>
      </c>
      <c r="E3983" t="s">
        <v>567</v>
      </c>
      <c r="F3983" t="s">
        <v>195</v>
      </c>
      <c r="G3983" t="s">
        <v>111</v>
      </c>
      <c r="H3983" t="s">
        <v>113</v>
      </c>
      <c r="I3983" t="s">
        <v>112</v>
      </c>
      <c r="J3983" t="s">
        <v>114</v>
      </c>
      <c r="K3983" t="s">
        <v>116</v>
      </c>
      <c r="L3983" t="s">
        <v>116</v>
      </c>
    </row>
    <row r="3984" spans="1:12" x14ac:dyDescent="0.3">
      <c r="A3984" t="s">
        <v>709</v>
      </c>
      <c r="B3984" t="s">
        <v>732</v>
      </c>
      <c r="C3984" t="s">
        <v>733</v>
      </c>
      <c r="D3984" t="s">
        <v>330</v>
      </c>
      <c r="E3984" t="s">
        <v>567</v>
      </c>
      <c r="F3984" t="s">
        <v>177</v>
      </c>
      <c r="G3984" t="s">
        <v>111</v>
      </c>
      <c r="H3984" t="s">
        <v>147</v>
      </c>
      <c r="I3984" t="s">
        <v>112</v>
      </c>
      <c r="J3984" t="s">
        <v>119</v>
      </c>
      <c r="K3984" t="s">
        <v>1771</v>
      </c>
      <c r="L3984" t="s">
        <v>1771</v>
      </c>
    </row>
    <row r="3985" spans="1:12" x14ac:dyDescent="0.3">
      <c r="A3985" t="s">
        <v>709</v>
      </c>
      <c r="B3985" t="s">
        <v>732</v>
      </c>
      <c r="C3985" t="s">
        <v>733</v>
      </c>
      <c r="D3985" t="s">
        <v>288</v>
      </c>
      <c r="E3985" t="s">
        <v>567</v>
      </c>
      <c r="F3985" t="s">
        <v>178</v>
      </c>
      <c r="G3985" t="s">
        <v>111</v>
      </c>
      <c r="H3985" t="s">
        <v>113</v>
      </c>
      <c r="I3985" t="s">
        <v>112</v>
      </c>
      <c r="J3985" t="s">
        <v>114</v>
      </c>
      <c r="K3985" t="s">
        <v>116</v>
      </c>
      <c r="L3985" t="s">
        <v>116</v>
      </c>
    </row>
    <row r="3986" spans="1:12" x14ac:dyDescent="0.3">
      <c r="A3986" t="s">
        <v>709</v>
      </c>
      <c r="B3986" t="s">
        <v>732</v>
      </c>
      <c r="C3986" t="s">
        <v>733</v>
      </c>
      <c r="D3986" t="s">
        <v>289</v>
      </c>
      <c r="E3986" t="s">
        <v>567</v>
      </c>
      <c r="F3986" t="s">
        <v>179</v>
      </c>
      <c r="G3986" t="s">
        <v>111</v>
      </c>
      <c r="H3986" t="s">
        <v>113</v>
      </c>
      <c r="I3986" t="s">
        <v>112</v>
      </c>
      <c r="J3986" t="s">
        <v>114</v>
      </c>
      <c r="K3986" t="s">
        <v>116</v>
      </c>
      <c r="L3986" t="s">
        <v>116</v>
      </c>
    </row>
    <row r="3987" spans="1:12" x14ac:dyDescent="0.3">
      <c r="A3987" t="s">
        <v>709</v>
      </c>
      <c r="B3987" t="s">
        <v>732</v>
      </c>
      <c r="C3987" t="s">
        <v>733</v>
      </c>
      <c r="D3987" t="s">
        <v>290</v>
      </c>
      <c r="E3987" t="s">
        <v>567</v>
      </c>
      <c r="F3987" t="s">
        <v>153</v>
      </c>
      <c r="G3987" t="s">
        <v>111</v>
      </c>
      <c r="H3987" t="s">
        <v>113</v>
      </c>
      <c r="I3987" t="s">
        <v>112</v>
      </c>
      <c r="J3987" t="s">
        <v>114</v>
      </c>
      <c r="K3987" t="s">
        <v>116</v>
      </c>
      <c r="L3987" t="s">
        <v>116</v>
      </c>
    </row>
    <row r="3988" spans="1:12" x14ac:dyDescent="0.3">
      <c r="A3988" t="s">
        <v>709</v>
      </c>
      <c r="B3988" t="s">
        <v>732</v>
      </c>
      <c r="C3988" t="s">
        <v>733</v>
      </c>
      <c r="D3988" t="s">
        <v>291</v>
      </c>
      <c r="E3988" t="s">
        <v>567</v>
      </c>
      <c r="F3988" t="s">
        <v>154</v>
      </c>
      <c r="G3988" t="s">
        <v>111</v>
      </c>
      <c r="H3988" t="s">
        <v>113</v>
      </c>
      <c r="I3988" t="s">
        <v>112</v>
      </c>
      <c r="J3988" t="s">
        <v>114</v>
      </c>
      <c r="K3988" t="s">
        <v>116</v>
      </c>
      <c r="L3988" t="s">
        <v>116</v>
      </c>
    </row>
    <row r="3989" spans="1:12" x14ac:dyDescent="0.3">
      <c r="A3989" t="s">
        <v>709</v>
      </c>
      <c r="B3989" t="s">
        <v>732</v>
      </c>
      <c r="C3989" t="s">
        <v>733</v>
      </c>
      <c r="D3989" t="s">
        <v>292</v>
      </c>
      <c r="E3989" t="s">
        <v>567</v>
      </c>
      <c r="F3989" t="s">
        <v>55</v>
      </c>
      <c r="G3989" t="s">
        <v>111</v>
      </c>
      <c r="H3989" t="s">
        <v>113</v>
      </c>
      <c r="I3989" t="s">
        <v>112</v>
      </c>
      <c r="J3989" t="s">
        <v>114</v>
      </c>
      <c r="K3989" t="s">
        <v>116</v>
      </c>
      <c r="L3989" t="s">
        <v>116</v>
      </c>
    </row>
    <row r="3990" spans="1:12" x14ac:dyDescent="0.3">
      <c r="A3990" t="s">
        <v>709</v>
      </c>
      <c r="B3990" t="s">
        <v>732</v>
      </c>
      <c r="C3990" t="s">
        <v>733</v>
      </c>
      <c r="D3990" t="s">
        <v>334</v>
      </c>
      <c r="E3990" t="s">
        <v>567</v>
      </c>
      <c r="F3990" t="s">
        <v>155</v>
      </c>
      <c r="G3990" t="s">
        <v>111</v>
      </c>
      <c r="H3990" t="s">
        <v>113</v>
      </c>
      <c r="I3990" t="s">
        <v>112</v>
      </c>
      <c r="J3990" t="s">
        <v>114</v>
      </c>
      <c r="K3990" t="s">
        <v>116</v>
      </c>
      <c r="L3990" t="s">
        <v>116</v>
      </c>
    </row>
    <row r="3991" spans="1:12" x14ac:dyDescent="0.3">
      <c r="A3991" t="s">
        <v>709</v>
      </c>
      <c r="B3991" t="s">
        <v>732</v>
      </c>
      <c r="C3991" t="s">
        <v>733</v>
      </c>
      <c r="D3991" t="s">
        <v>295</v>
      </c>
      <c r="E3991" t="s">
        <v>567</v>
      </c>
      <c r="F3991" t="s">
        <v>103</v>
      </c>
      <c r="G3991" t="s">
        <v>111</v>
      </c>
      <c r="H3991" t="s">
        <v>113</v>
      </c>
      <c r="I3991" t="s">
        <v>112</v>
      </c>
      <c r="J3991" t="s">
        <v>114</v>
      </c>
      <c r="K3991" t="s">
        <v>116</v>
      </c>
      <c r="L3991" t="s">
        <v>116</v>
      </c>
    </row>
    <row r="3992" spans="1:12" x14ac:dyDescent="0.3">
      <c r="A3992" t="s">
        <v>709</v>
      </c>
      <c r="B3992" t="s">
        <v>732</v>
      </c>
      <c r="C3992" t="s">
        <v>733</v>
      </c>
      <c r="D3992" t="s">
        <v>337</v>
      </c>
      <c r="E3992" t="s">
        <v>567</v>
      </c>
      <c r="F3992" t="s">
        <v>157</v>
      </c>
      <c r="G3992" t="s">
        <v>111</v>
      </c>
      <c r="H3992" t="s">
        <v>113</v>
      </c>
      <c r="I3992" t="s">
        <v>112</v>
      </c>
      <c r="J3992" t="s">
        <v>114</v>
      </c>
      <c r="K3992" t="s">
        <v>116</v>
      </c>
      <c r="L3992" t="s">
        <v>116</v>
      </c>
    </row>
    <row r="3993" spans="1:12" x14ac:dyDescent="0.3">
      <c r="A3993" t="s">
        <v>709</v>
      </c>
      <c r="B3993" t="s">
        <v>732</v>
      </c>
      <c r="C3993" t="s">
        <v>733</v>
      </c>
      <c r="D3993" t="s">
        <v>296</v>
      </c>
      <c r="E3993" t="s">
        <v>567</v>
      </c>
      <c r="F3993" t="s">
        <v>198</v>
      </c>
      <c r="G3993" t="s">
        <v>111</v>
      </c>
      <c r="H3993" t="s">
        <v>113</v>
      </c>
      <c r="I3993" t="s">
        <v>112</v>
      </c>
      <c r="J3993" t="s">
        <v>114</v>
      </c>
      <c r="K3993" t="s">
        <v>116</v>
      </c>
      <c r="L3993" t="s">
        <v>116</v>
      </c>
    </row>
    <row r="3994" spans="1:12" x14ac:dyDescent="0.3">
      <c r="A3994" t="s">
        <v>709</v>
      </c>
      <c r="B3994" t="s">
        <v>732</v>
      </c>
      <c r="C3994" t="s">
        <v>733</v>
      </c>
      <c r="D3994" t="s">
        <v>297</v>
      </c>
      <c r="E3994" t="s">
        <v>567</v>
      </c>
      <c r="F3994" t="s">
        <v>180</v>
      </c>
      <c r="G3994" t="s">
        <v>111</v>
      </c>
      <c r="H3994" t="s">
        <v>113</v>
      </c>
      <c r="I3994" t="s">
        <v>112</v>
      </c>
      <c r="J3994" t="s">
        <v>114</v>
      </c>
      <c r="K3994" t="s">
        <v>116</v>
      </c>
      <c r="L3994" t="s">
        <v>116</v>
      </c>
    </row>
    <row r="3995" spans="1:12" x14ac:dyDescent="0.3">
      <c r="A3995" t="s">
        <v>709</v>
      </c>
      <c r="B3995" t="s">
        <v>732</v>
      </c>
      <c r="C3995" t="s">
        <v>733</v>
      </c>
      <c r="D3995" t="s">
        <v>298</v>
      </c>
      <c r="E3995" t="s">
        <v>567</v>
      </c>
      <c r="F3995" t="s">
        <v>158</v>
      </c>
      <c r="G3995" t="s">
        <v>111</v>
      </c>
      <c r="H3995" t="s">
        <v>113</v>
      </c>
      <c r="I3995" t="s">
        <v>112</v>
      </c>
      <c r="J3995" t="s">
        <v>114</v>
      </c>
      <c r="K3995" t="s">
        <v>116</v>
      </c>
      <c r="L3995" t="s">
        <v>116</v>
      </c>
    </row>
    <row r="3996" spans="1:12" x14ac:dyDescent="0.3">
      <c r="A3996" t="s">
        <v>709</v>
      </c>
      <c r="B3996" t="s">
        <v>732</v>
      </c>
      <c r="C3996" t="s">
        <v>733</v>
      </c>
      <c r="D3996" t="s">
        <v>336</v>
      </c>
      <c r="E3996" t="s">
        <v>567</v>
      </c>
      <c r="F3996" t="s">
        <v>159</v>
      </c>
      <c r="G3996" t="s">
        <v>111</v>
      </c>
      <c r="H3996" t="s">
        <v>113</v>
      </c>
      <c r="I3996" t="s">
        <v>112</v>
      </c>
      <c r="J3996" t="s">
        <v>114</v>
      </c>
      <c r="K3996" t="s">
        <v>116</v>
      </c>
      <c r="L3996" t="s">
        <v>116</v>
      </c>
    </row>
    <row r="3997" spans="1:12" x14ac:dyDescent="0.3">
      <c r="A3997" t="s">
        <v>709</v>
      </c>
      <c r="B3997" t="s">
        <v>732</v>
      </c>
      <c r="C3997" t="s">
        <v>733</v>
      </c>
      <c r="D3997" t="s">
        <v>299</v>
      </c>
      <c r="E3997" t="s">
        <v>567</v>
      </c>
      <c r="F3997" t="s">
        <v>47</v>
      </c>
      <c r="G3997" t="s">
        <v>111</v>
      </c>
      <c r="H3997" t="s">
        <v>113</v>
      </c>
      <c r="I3997" t="s">
        <v>112</v>
      </c>
      <c r="J3997" t="s">
        <v>114</v>
      </c>
      <c r="K3997" t="s">
        <v>116</v>
      </c>
      <c r="L3997" t="s">
        <v>116</v>
      </c>
    </row>
    <row r="3998" spans="1:12" x14ac:dyDescent="0.3">
      <c r="A3998" t="s">
        <v>709</v>
      </c>
      <c r="B3998" t="s">
        <v>732</v>
      </c>
      <c r="C3998" t="s">
        <v>733</v>
      </c>
      <c r="D3998" t="s">
        <v>300</v>
      </c>
      <c r="E3998" t="s">
        <v>567</v>
      </c>
      <c r="F3998" t="s">
        <v>181</v>
      </c>
      <c r="G3998" t="s">
        <v>111</v>
      </c>
      <c r="H3998" t="s">
        <v>113</v>
      </c>
      <c r="I3998" t="s">
        <v>112</v>
      </c>
      <c r="J3998" t="s">
        <v>114</v>
      </c>
      <c r="K3998" t="s">
        <v>116</v>
      </c>
      <c r="L3998" t="s">
        <v>116</v>
      </c>
    </row>
    <row r="3999" spans="1:12" x14ac:dyDescent="0.3">
      <c r="A3999" t="s">
        <v>709</v>
      </c>
      <c r="B3999" t="s">
        <v>732</v>
      </c>
      <c r="C3999" t="s">
        <v>733</v>
      </c>
      <c r="D3999" t="s">
        <v>208</v>
      </c>
      <c r="E3999" t="s">
        <v>567</v>
      </c>
      <c r="F3999" t="s">
        <v>161</v>
      </c>
      <c r="G3999" t="s">
        <v>111</v>
      </c>
      <c r="H3999" t="s">
        <v>113</v>
      </c>
      <c r="I3999" t="s">
        <v>112</v>
      </c>
      <c r="J3999" t="s">
        <v>114</v>
      </c>
      <c r="K3999" t="s">
        <v>116</v>
      </c>
      <c r="L3999" t="s">
        <v>116</v>
      </c>
    </row>
    <row r="4000" spans="1:12" x14ac:dyDescent="0.3">
      <c r="A4000" t="s">
        <v>709</v>
      </c>
      <c r="B4000" t="s">
        <v>1501</v>
      </c>
      <c r="C4000" t="s">
        <v>566</v>
      </c>
      <c r="D4000" t="s">
        <v>209</v>
      </c>
      <c r="E4000" t="s">
        <v>569</v>
      </c>
      <c r="F4000" t="s">
        <v>115</v>
      </c>
      <c r="G4000" t="s">
        <v>111</v>
      </c>
      <c r="H4000" t="s">
        <v>118</v>
      </c>
      <c r="I4000" t="s">
        <v>112</v>
      </c>
      <c r="J4000" t="s">
        <v>119</v>
      </c>
      <c r="K4000" t="s">
        <v>116</v>
      </c>
      <c r="L4000" t="s">
        <v>116</v>
      </c>
    </row>
    <row r="4001" spans="1:12" x14ac:dyDescent="0.3">
      <c r="A4001" t="s">
        <v>709</v>
      </c>
      <c r="B4001" t="s">
        <v>1501</v>
      </c>
      <c r="C4001" t="s">
        <v>566</v>
      </c>
      <c r="D4001" t="s">
        <v>304</v>
      </c>
      <c r="E4001" t="s">
        <v>569</v>
      </c>
      <c r="F4001" t="s">
        <v>117</v>
      </c>
      <c r="G4001" t="s">
        <v>111</v>
      </c>
      <c r="H4001" t="s">
        <v>113</v>
      </c>
      <c r="I4001" t="s">
        <v>112</v>
      </c>
      <c r="J4001" t="s">
        <v>114</v>
      </c>
      <c r="K4001" t="s">
        <v>116</v>
      </c>
      <c r="L4001" t="s">
        <v>116</v>
      </c>
    </row>
    <row r="4002" spans="1:12" x14ac:dyDescent="0.3">
      <c r="A4002" t="s">
        <v>709</v>
      </c>
      <c r="B4002" t="s">
        <v>1501</v>
      </c>
      <c r="C4002" t="s">
        <v>566</v>
      </c>
      <c r="D4002" t="s">
        <v>211</v>
      </c>
      <c r="E4002" t="s">
        <v>569</v>
      </c>
      <c r="F4002" t="s">
        <v>188</v>
      </c>
      <c r="G4002" t="s">
        <v>111</v>
      </c>
      <c r="H4002" t="s">
        <v>113</v>
      </c>
      <c r="I4002" t="s">
        <v>112</v>
      </c>
      <c r="J4002" t="s">
        <v>114</v>
      </c>
      <c r="K4002" t="s">
        <v>116</v>
      </c>
      <c r="L4002" t="s">
        <v>116</v>
      </c>
    </row>
    <row r="4003" spans="1:12" x14ac:dyDescent="0.3">
      <c r="A4003" t="s">
        <v>709</v>
      </c>
      <c r="B4003" t="s">
        <v>1501</v>
      </c>
      <c r="C4003" t="s">
        <v>566</v>
      </c>
      <c r="D4003" t="s">
        <v>305</v>
      </c>
      <c r="E4003" t="s">
        <v>569</v>
      </c>
      <c r="F4003" t="s">
        <v>120</v>
      </c>
      <c r="G4003" t="s">
        <v>111</v>
      </c>
      <c r="H4003" t="s">
        <v>113</v>
      </c>
      <c r="I4003" t="s">
        <v>112</v>
      </c>
      <c r="J4003" t="s">
        <v>114</v>
      </c>
      <c r="K4003" t="s">
        <v>116</v>
      </c>
      <c r="L4003" t="s">
        <v>116</v>
      </c>
    </row>
    <row r="4004" spans="1:12" x14ac:dyDescent="0.3">
      <c r="A4004" t="s">
        <v>709</v>
      </c>
      <c r="B4004" t="s">
        <v>1501</v>
      </c>
      <c r="C4004" t="s">
        <v>566</v>
      </c>
      <c r="D4004" t="s">
        <v>213</v>
      </c>
      <c r="E4004" t="s">
        <v>569</v>
      </c>
      <c r="F4004" t="s">
        <v>53</v>
      </c>
      <c r="G4004" t="s">
        <v>111</v>
      </c>
      <c r="H4004" t="s">
        <v>113</v>
      </c>
      <c r="I4004" t="s">
        <v>112</v>
      </c>
      <c r="J4004" t="s">
        <v>114</v>
      </c>
      <c r="K4004" t="s">
        <v>116</v>
      </c>
      <c r="L4004" t="s">
        <v>116</v>
      </c>
    </row>
    <row r="4005" spans="1:12" x14ac:dyDescent="0.3">
      <c r="A4005" t="s">
        <v>709</v>
      </c>
      <c r="B4005" t="s">
        <v>1501</v>
      </c>
      <c r="C4005" t="s">
        <v>566</v>
      </c>
      <c r="D4005" t="s">
        <v>214</v>
      </c>
      <c r="E4005" t="s">
        <v>569</v>
      </c>
      <c r="F4005" t="s">
        <v>56</v>
      </c>
      <c r="G4005" t="s">
        <v>111</v>
      </c>
      <c r="H4005" t="s">
        <v>113</v>
      </c>
      <c r="I4005" t="s">
        <v>112</v>
      </c>
      <c r="J4005" t="s">
        <v>114</v>
      </c>
      <c r="K4005" t="s">
        <v>116</v>
      </c>
      <c r="L4005" t="s">
        <v>116</v>
      </c>
    </row>
    <row r="4006" spans="1:12" x14ac:dyDescent="0.3">
      <c r="A4006" t="s">
        <v>709</v>
      </c>
      <c r="B4006" t="s">
        <v>1501</v>
      </c>
      <c r="C4006" t="s">
        <v>566</v>
      </c>
      <c r="D4006" t="s">
        <v>215</v>
      </c>
      <c r="E4006" t="s">
        <v>569</v>
      </c>
      <c r="F4006" t="s">
        <v>69</v>
      </c>
      <c r="G4006" t="s">
        <v>111</v>
      </c>
      <c r="H4006" t="s">
        <v>113</v>
      </c>
      <c r="I4006" t="s">
        <v>112</v>
      </c>
      <c r="J4006" t="s">
        <v>114</v>
      </c>
      <c r="K4006" t="s">
        <v>116</v>
      </c>
      <c r="L4006" t="s">
        <v>116</v>
      </c>
    </row>
    <row r="4007" spans="1:12" x14ac:dyDescent="0.3">
      <c r="A4007" t="s">
        <v>709</v>
      </c>
      <c r="B4007" t="s">
        <v>1501</v>
      </c>
      <c r="C4007" t="s">
        <v>566</v>
      </c>
      <c r="D4007" t="s">
        <v>306</v>
      </c>
      <c r="E4007" t="s">
        <v>569</v>
      </c>
      <c r="F4007" t="s">
        <v>165</v>
      </c>
      <c r="G4007" t="s">
        <v>111</v>
      </c>
      <c r="H4007" t="s">
        <v>113</v>
      </c>
      <c r="I4007" t="s">
        <v>112</v>
      </c>
      <c r="J4007" t="s">
        <v>114</v>
      </c>
      <c r="K4007" t="s">
        <v>116</v>
      </c>
      <c r="L4007" t="s">
        <v>116</v>
      </c>
    </row>
    <row r="4008" spans="1:12" x14ac:dyDescent="0.3">
      <c r="A4008" t="s">
        <v>709</v>
      </c>
      <c r="B4008" t="s">
        <v>1501</v>
      </c>
      <c r="C4008" t="s">
        <v>566</v>
      </c>
      <c r="D4008" t="s">
        <v>218</v>
      </c>
      <c r="E4008" t="s">
        <v>569</v>
      </c>
      <c r="F4008" t="s">
        <v>166</v>
      </c>
      <c r="G4008" t="s">
        <v>111</v>
      </c>
      <c r="H4008" t="s">
        <v>113</v>
      </c>
      <c r="I4008" t="s">
        <v>112</v>
      </c>
      <c r="J4008" t="s">
        <v>114</v>
      </c>
      <c r="K4008" t="s">
        <v>116</v>
      </c>
      <c r="L4008" t="s">
        <v>116</v>
      </c>
    </row>
    <row r="4009" spans="1:12" x14ac:dyDescent="0.3">
      <c r="A4009" t="s">
        <v>709</v>
      </c>
      <c r="B4009" t="s">
        <v>1501</v>
      </c>
      <c r="C4009" t="s">
        <v>566</v>
      </c>
      <c r="D4009" t="s">
        <v>307</v>
      </c>
      <c r="E4009" t="s">
        <v>569</v>
      </c>
      <c r="F4009" t="s">
        <v>123</v>
      </c>
      <c r="G4009" t="s">
        <v>111</v>
      </c>
      <c r="H4009" t="s">
        <v>113</v>
      </c>
      <c r="I4009" t="s">
        <v>112</v>
      </c>
      <c r="J4009" t="s">
        <v>114</v>
      </c>
      <c r="K4009" t="s">
        <v>116</v>
      </c>
      <c r="L4009" t="s">
        <v>116</v>
      </c>
    </row>
    <row r="4010" spans="1:12" x14ac:dyDescent="0.3">
      <c r="A4010" t="s">
        <v>709</v>
      </c>
      <c r="B4010" t="s">
        <v>1501</v>
      </c>
      <c r="C4010" t="s">
        <v>566</v>
      </c>
      <c r="D4010" t="s">
        <v>219</v>
      </c>
      <c r="E4010" t="s">
        <v>569</v>
      </c>
      <c r="F4010" t="s">
        <v>189</v>
      </c>
      <c r="G4010" t="s">
        <v>111</v>
      </c>
      <c r="H4010" t="s">
        <v>113</v>
      </c>
      <c r="I4010" t="s">
        <v>112</v>
      </c>
      <c r="J4010" t="s">
        <v>114</v>
      </c>
      <c r="K4010" t="s">
        <v>116</v>
      </c>
      <c r="L4010" t="s">
        <v>116</v>
      </c>
    </row>
    <row r="4011" spans="1:12" x14ac:dyDescent="0.3">
      <c r="A4011" t="s">
        <v>709</v>
      </c>
      <c r="B4011" t="s">
        <v>1501</v>
      </c>
      <c r="C4011" t="s">
        <v>566</v>
      </c>
      <c r="D4011" t="s">
        <v>220</v>
      </c>
      <c r="E4011" t="s">
        <v>569</v>
      </c>
      <c r="F4011" t="s">
        <v>54</v>
      </c>
      <c r="G4011" t="s">
        <v>111</v>
      </c>
      <c r="H4011" t="s">
        <v>113</v>
      </c>
      <c r="I4011" t="s">
        <v>112</v>
      </c>
      <c r="J4011" t="s">
        <v>114</v>
      </c>
      <c r="K4011" t="s">
        <v>1772</v>
      </c>
      <c r="L4011" t="s">
        <v>1772</v>
      </c>
    </row>
    <row r="4012" spans="1:12" x14ac:dyDescent="0.3">
      <c r="A4012" t="s">
        <v>709</v>
      </c>
      <c r="B4012" t="s">
        <v>1501</v>
      </c>
      <c r="C4012" t="s">
        <v>566</v>
      </c>
      <c r="D4012" t="s">
        <v>221</v>
      </c>
      <c r="E4012" t="s">
        <v>569</v>
      </c>
      <c r="F4012" t="s">
        <v>45</v>
      </c>
      <c r="G4012" t="s">
        <v>111</v>
      </c>
      <c r="H4012" t="s">
        <v>113</v>
      </c>
      <c r="I4012" t="s">
        <v>112</v>
      </c>
      <c r="J4012" t="s">
        <v>114</v>
      </c>
      <c r="K4012" t="s">
        <v>116</v>
      </c>
      <c r="L4012" t="s">
        <v>116</v>
      </c>
    </row>
    <row r="4013" spans="1:12" x14ac:dyDescent="0.3">
      <c r="A4013" t="s">
        <v>709</v>
      </c>
      <c r="B4013" t="s">
        <v>1501</v>
      </c>
      <c r="C4013" t="s">
        <v>566</v>
      </c>
      <c r="D4013" t="s">
        <v>223</v>
      </c>
      <c r="E4013" t="s">
        <v>569</v>
      </c>
      <c r="F4013" t="s">
        <v>65</v>
      </c>
      <c r="G4013" t="s">
        <v>111</v>
      </c>
      <c r="H4013" t="s">
        <v>113</v>
      </c>
      <c r="I4013" t="s">
        <v>112</v>
      </c>
      <c r="J4013" t="s">
        <v>114</v>
      </c>
      <c r="K4013" t="s">
        <v>116</v>
      </c>
      <c r="L4013" t="s">
        <v>116</v>
      </c>
    </row>
    <row r="4014" spans="1:12" x14ac:dyDescent="0.3">
      <c r="A4014" t="s">
        <v>709</v>
      </c>
      <c r="B4014" t="s">
        <v>1501</v>
      </c>
      <c r="C4014" t="s">
        <v>566</v>
      </c>
      <c r="D4014" t="s">
        <v>224</v>
      </c>
      <c r="E4014" t="s">
        <v>569</v>
      </c>
      <c r="F4014" t="s">
        <v>125</v>
      </c>
      <c r="G4014" t="s">
        <v>111</v>
      </c>
      <c r="H4014" t="s">
        <v>113</v>
      </c>
      <c r="I4014" t="s">
        <v>112</v>
      </c>
      <c r="J4014" t="s">
        <v>114</v>
      </c>
      <c r="K4014" t="s">
        <v>116</v>
      </c>
      <c r="L4014" t="s">
        <v>116</v>
      </c>
    </row>
    <row r="4015" spans="1:12" x14ac:dyDescent="0.3">
      <c r="A4015" t="s">
        <v>709</v>
      </c>
      <c r="B4015" t="s">
        <v>1501</v>
      </c>
      <c r="C4015" t="s">
        <v>566</v>
      </c>
      <c r="D4015" t="s">
        <v>225</v>
      </c>
      <c r="E4015" t="s">
        <v>569</v>
      </c>
      <c r="F4015" t="s">
        <v>126</v>
      </c>
      <c r="G4015" t="s">
        <v>111</v>
      </c>
      <c r="H4015" t="s">
        <v>113</v>
      </c>
      <c r="I4015" t="s">
        <v>112</v>
      </c>
      <c r="J4015" t="s">
        <v>114</v>
      </c>
      <c r="K4015" t="s">
        <v>116</v>
      </c>
      <c r="L4015" t="s">
        <v>116</v>
      </c>
    </row>
    <row r="4016" spans="1:12" x14ac:dyDescent="0.3">
      <c r="A4016" t="s">
        <v>709</v>
      </c>
      <c r="B4016" t="s">
        <v>1501</v>
      </c>
      <c r="C4016" t="s">
        <v>566</v>
      </c>
      <c r="D4016" t="s">
        <v>227</v>
      </c>
      <c r="E4016" t="s">
        <v>569</v>
      </c>
      <c r="F4016" t="s">
        <v>192</v>
      </c>
      <c r="G4016" t="s">
        <v>111</v>
      </c>
      <c r="H4016" t="s">
        <v>113</v>
      </c>
      <c r="I4016" t="s">
        <v>112</v>
      </c>
      <c r="J4016" t="s">
        <v>114</v>
      </c>
      <c r="K4016" t="s">
        <v>116</v>
      </c>
      <c r="L4016" t="s">
        <v>116</v>
      </c>
    </row>
    <row r="4017" spans="1:12" x14ac:dyDescent="0.3">
      <c r="A4017" t="s">
        <v>709</v>
      </c>
      <c r="B4017" t="s">
        <v>1501</v>
      </c>
      <c r="C4017" t="s">
        <v>566</v>
      </c>
      <c r="D4017" t="s">
        <v>228</v>
      </c>
      <c r="E4017" t="s">
        <v>569</v>
      </c>
      <c r="F4017" t="s">
        <v>167</v>
      </c>
      <c r="G4017" t="s">
        <v>111</v>
      </c>
      <c r="H4017" t="s">
        <v>113</v>
      </c>
      <c r="I4017" t="s">
        <v>112</v>
      </c>
      <c r="J4017" t="s">
        <v>114</v>
      </c>
      <c r="K4017" t="s">
        <v>116</v>
      </c>
      <c r="L4017" t="s">
        <v>116</v>
      </c>
    </row>
    <row r="4018" spans="1:12" x14ac:dyDescent="0.3">
      <c r="A4018" t="s">
        <v>709</v>
      </c>
      <c r="B4018" t="s">
        <v>1501</v>
      </c>
      <c r="C4018" t="s">
        <v>566</v>
      </c>
      <c r="D4018" t="s">
        <v>229</v>
      </c>
      <c r="E4018" t="s">
        <v>569</v>
      </c>
      <c r="F4018" t="s">
        <v>127</v>
      </c>
      <c r="G4018" t="s">
        <v>111</v>
      </c>
      <c r="H4018" t="s">
        <v>113</v>
      </c>
      <c r="I4018" t="s">
        <v>112</v>
      </c>
      <c r="J4018" t="s">
        <v>114</v>
      </c>
      <c r="K4018" t="s">
        <v>116</v>
      </c>
      <c r="L4018" t="s">
        <v>116</v>
      </c>
    </row>
    <row r="4019" spans="1:12" x14ac:dyDescent="0.3">
      <c r="A4019" t="s">
        <v>709</v>
      </c>
      <c r="B4019" t="s">
        <v>1501</v>
      </c>
      <c r="C4019" t="s">
        <v>566</v>
      </c>
      <c r="D4019" t="s">
        <v>310</v>
      </c>
      <c r="E4019" t="s">
        <v>569</v>
      </c>
      <c r="F4019" t="s">
        <v>128</v>
      </c>
      <c r="G4019" t="s">
        <v>111</v>
      </c>
      <c r="H4019" t="s">
        <v>113</v>
      </c>
      <c r="I4019" t="s">
        <v>112</v>
      </c>
      <c r="J4019" t="s">
        <v>114</v>
      </c>
      <c r="K4019" t="s">
        <v>116</v>
      </c>
      <c r="L4019" t="s">
        <v>116</v>
      </c>
    </row>
    <row r="4020" spans="1:12" x14ac:dyDescent="0.3">
      <c r="A4020" t="s">
        <v>709</v>
      </c>
      <c r="B4020" t="s">
        <v>1501</v>
      </c>
      <c r="C4020" t="s">
        <v>566</v>
      </c>
      <c r="D4020" t="s">
        <v>311</v>
      </c>
      <c r="E4020" t="s">
        <v>569</v>
      </c>
      <c r="F4020" t="s">
        <v>89</v>
      </c>
      <c r="G4020" t="s">
        <v>111</v>
      </c>
      <c r="H4020" t="s">
        <v>113</v>
      </c>
      <c r="I4020" t="s">
        <v>112</v>
      </c>
      <c r="J4020" t="s">
        <v>114</v>
      </c>
      <c r="K4020" t="s">
        <v>116</v>
      </c>
      <c r="L4020" t="s">
        <v>116</v>
      </c>
    </row>
    <row r="4021" spans="1:12" x14ac:dyDescent="0.3">
      <c r="A4021" t="s">
        <v>709</v>
      </c>
      <c r="B4021" t="s">
        <v>1501</v>
      </c>
      <c r="C4021" t="s">
        <v>566</v>
      </c>
      <c r="D4021" t="s">
        <v>231</v>
      </c>
      <c r="E4021" t="s">
        <v>569</v>
      </c>
      <c r="F4021" t="s">
        <v>66</v>
      </c>
      <c r="G4021" t="s">
        <v>111</v>
      </c>
      <c r="H4021" t="s">
        <v>113</v>
      </c>
      <c r="I4021" t="s">
        <v>112</v>
      </c>
      <c r="J4021" t="s">
        <v>114</v>
      </c>
      <c r="K4021" t="s">
        <v>116</v>
      </c>
      <c r="L4021" t="s">
        <v>116</v>
      </c>
    </row>
    <row r="4022" spans="1:12" x14ac:dyDescent="0.3">
      <c r="A4022" t="s">
        <v>709</v>
      </c>
      <c r="B4022" t="s">
        <v>1501</v>
      </c>
      <c r="C4022" t="s">
        <v>566</v>
      </c>
      <c r="D4022" t="s">
        <v>232</v>
      </c>
      <c r="E4022" t="s">
        <v>569</v>
      </c>
      <c r="F4022" t="s">
        <v>169</v>
      </c>
      <c r="G4022" t="s">
        <v>111</v>
      </c>
      <c r="H4022" t="s">
        <v>113</v>
      </c>
      <c r="I4022" t="s">
        <v>112</v>
      </c>
      <c r="J4022" t="s">
        <v>114</v>
      </c>
      <c r="K4022" t="s">
        <v>116</v>
      </c>
      <c r="L4022" t="s">
        <v>116</v>
      </c>
    </row>
    <row r="4023" spans="1:12" x14ac:dyDescent="0.3">
      <c r="A4023" t="s">
        <v>709</v>
      </c>
      <c r="B4023" t="s">
        <v>1501</v>
      </c>
      <c r="C4023" t="s">
        <v>566</v>
      </c>
      <c r="D4023" t="s">
        <v>234</v>
      </c>
      <c r="E4023" t="s">
        <v>569</v>
      </c>
      <c r="F4023" t="s">
        <v>93</v>
      </c>
      <c r="G4023" t="s">
        <v>111</v>
      </c>
      <c r="H4023" t="s">
        <v>113</v>
      </c>
      <c r="I4023" t="s">
        <v>112</v>
      </c>
      <c r="J4023" t="s">
        <v>114</v>
      </c>
      <c r="K4023" t="s">
        <v>116</v>
      </c>
      <c r="L4023" t="s">
        <v>116</v>
      </c>
    </row>
    <row r="4024" spans="1:12" x14ac:dyDescent="0.3">
      <c r="A4024" t="s">
        <v>709</v>
      </c>
      <c r="B4024" t="s">
        <v>1501</v>
      </c>
      <c r="C4024" t="s">
        <v>566</v>
      </c>
      <c r="D4024" t="s">
        <v>312</v>
      </c>
      <c r="E4024" t="s">
        <v>569</v>
      </c>
      <c r="F4024" t="s">
        <v>129</v>
      </c>
      <c r="G4024" t="s">
        <v>111</v>
      </c>
      <c r="H4024" t="s">
        <v>113</v>
      </c>
      <c r="I4024" t="s">
        <v>112</v>
      </c>
      <c r="J4024" t="s">
        <v>114</v>
      </c>
      <c r="K4024" t="s">
        <v>116</v>
      </c>
      <c r="L4024" t="s">
        <v>116</v>
      </c>
    </row>
    <row r="4025" spans="1:12" x14ac:dyDescent="0.3">
      <c r="A4025" t="s">
        <v>709</v>
      </c>
      <c r="B4025" t="s">
        <v>1501</v>
      </c>
      <c r="C4025" t="s">
        <v>566</v>
      </c>
      <c r="D4025" t="s">
        <v>313</v>
      </c>
      <c r="E4025" t="s">
        <v>569</v>
      </c>
      <c r="F4025" t="s">
        <v>68</v>
      </c>
      <c r="G4025" t="s">
        <v>111</v>
      </c>
      <c r="H4025" t="s">
        <v>113</v>
      </c>
      <c r="I4025" t="s">
        <v>112</v>
      </c>
      <c r="J4025" t="s">
        <v>114</v>
      </c>
      <c r="K4025" t="s">
        <v>116</v>
      </c>
      <c r="L4025" t="s">
        <v>116</v>
      </c>
    </row>
    <row r="4026" spans="1:12" x14ac:dyDescent="0.3">
      <c r="A4026" t="s">
        <v>709</v>
      </c>
      <c r="B4026" t="s">
        <v>1501</v>
      </c>
      <c r="C4026" t="s">
        <v>566</v>
      </c>
      <c r="D4026" t="s">
        <v>235</v>
      </c>
      <c r="E4026" t="s">
        <v>569</v>
      </c>
      <c r="F4026" t="s">
        <v>85</v>
      </c>
      <c r="G4026" t="s">
        <v>111</v>
      </c>
      <c r="H4026" t="s">
        <v>113</v>
      </c>
      <c r="I4026" t="s">
        <v>112</v>
      </c>
      <c r="J4026" t="s">
        <v>114</v>
      </c>
      <c r="K4026" t="s">
        <v>116</v>
      </c>
      <c r="L4026" t="s">
        <v>116</v>
      </c>
    </row>
    <row r="4027" spans="1:12" x14ac:dyDescent="0.3">
      <c r="A4027" t="s">
        <v>709</v>
      </c>
      <c r="B4027" t="s">
        <v>1501</v>
      </c>
      <c r="C4027" t="s">
        <v>566</v>
      </c>
      <c r="D4027" t="s">
        <v>314</v>
      </c>
      <c r="E4027" t="s">
        <v>569</v>
      </c>
      <c r="F4027" t="s">
        <v>61</v>
      </c>
      <c r="G4027" t="s">
        <v>111</v>
      </c>
      <c r="H4027" t="s">
        <v>113</v>
      </c>
      <c r="I4027" t="s">
        <v>112</v>
      </c>
      <c r="J4027" t="s">
        <v>114</v>
      </c>
      <c r="K4027" t="s">
        <v>116</v>
      </c>
      <c r="L4027" t="s">
        <v>116</v>
      </c>
    </row>
    <row r="4028" spans="1:12" x14ac:dyDescent="0.3">
      <c r="A4028" t="s">
        <v>709</v>
      </c>
      <c r="B4028" t="s">
        <v>1501</v>
      </c>
      <c r="C4028" t="s">
        <v>566</v>
      </c>
      <c r="D4028" t="s">
        <v>236</v>
      </c>
      <c r="E4028" t="s">
        <v>569</v>
      </c>
      <c r="F4028" t="s">
        <v>87</v>
      </c>
      <c r="G4028" t="s">
        <v>111</v>
      </c>
      <c r="H4028" t="s">
        <v>113</v>
      </c>
      <c r="I4028" t="s">
        <v>112</v>
      </c>
      <c r="J4028" t="s">
        <v>114</v>
      </c>
      <c r="K4028" t="s">
        <v>116</v>
      </c>
      <c r="L4028" t="s">
        <v>116</v>
      </c>
    </row>
    <row r="4029" spans="1:12" x14ac:dyDescent="0.3">
      <c r="A4029" t="s">
        <v>709</v>
      </c>
      <c r="B4029" t="s">
        <v>1501</v>
      </c>
      <c r="C4029" t="s">
        <v>566</v>
      </c>
      <c r="D4029" t="s">
        <v>237</v>
      </c>
      <c r="E4029" t="s">
        <v>569</v>
      </c>
      <c r="F4029" t="s">
        <v>130</v>
      </c>
      <c r="G4029" t="s">
        <v>111</v>
      </c>
      <c r="H4029" t="s">
        <v>118</v>
      </c>
      <c r="I4029" t="s">
        <v>112</v>
      </c>
      <c r="J4029" t="s">
        <v>119</v>
      </c>
      <c r="K4029" t="s">
        <v>116</v>
      </c>
      <c r="L4029" t="s">
        <v>116</v>
      </c>
    </row>
    <row r="4030" spans="1:12" x14ac:dyDescent="0.3">
      <c r="A4030" t="s">
        <v>709</v>
      </c>
      <c r="B4030" t="s">
        <v>1501</v>
      </c>
      <c r="C4030" t="s">
        <v>566</v>
      </c>
      <c r="D4030" t="s">
        <v>238</v>
      </c>
      <c r="E4030" t="s">
        <v>569</v>
      </c>
      <c r="F4030" t="s">
        <v>131</v>
      </c>
      <c r="G4030" t="s">
        <v>111</v>
      </c>
      <c r="H4030" t="s">
        <v>113</v>
      </c>
      <c r="I4030" t="s">
        <v>112</v>
      </c>
      <c r="J4030" t="s">
        <v>114</v>
      </c>
      <c r="K4030" t="s">
        <v>116</v>
      </c>
      <c r="L4030" t="s">
        <v>116</v>
      </c>
    </row>
    <row r="4031" spans="1:12" x14ac:dyDescent="0.3">
      <c r="A4031" t="s">
        <v>709</v>
      </c>
      <c r="B4031" t="s">
        <v>1501</v>
      </c>
      <c r="C4031" t="s">
        <v>566</v>
      </c>
      <c r="D4031" t="s">
        <v>239</v>
      </c>
      <c r="E4031" t="s">
        <v>569</v>
      </c>
      <c r="F4031" t="s">
        <v>50</v>
      </c>
      <c r="G4031" t="s">
        <v>111</v>
      </c>
      <c r="H4031" t="s">
        <v>113</v>
      </c>
      <c r="I4031" t="s">
        <v>112</v>
      </c>
      <c r="J4031" t="s">
        <v>114</v>
      </c>
      <c r="K4031" t="s">
        <v>116</v>
      </c>
      <c r="L4031" t="s">
        <v>116</v>
      </c>
    </row>
    <row r="4032" spans="1:12" x14ac:dyDescent="0.3">
      <c r="A4032" t="s">
        <v>709</v>
      </c>
      <c r="B4032" t="s">
        <v>1501</v>
      </c>
      <c r="C4032" t="s">
        <v>566</v>
      </c>
      <c r="D4032" t="s">
        <v>315</v>
      </c>
      <c r="E4032" t="s">
        <v>568</v>
      </c>
      <c r="F4032" t="s">
        <v>79</v>
      </c>
      <c r="G4032" t="s">
        <v>111</v>
      </c>
      <c r="H4032" t="s">
        <v>113</v>
      </c>
      <c r="I4032" t="s">
        <v>112</v>
      </c>
      <c r="J4032" t="s">
        <v>114</v>
      </c>
      <c r="K4032" t="s">
        <v>116</v>
      </c>
      <c r="L4032" t="s">
        <v>116</v>
      </c>
    </row>
    <row r="4033" spans="1:12" x14ac:dyDescent="0.3">
      <c r="A4033" t="s">
        <v>709</v>
      </c>
      <c r="B4033" t="s">
        <v>1501</v>
      </c>
      <c r="C4033" t="s">
        <v>566</v>
      </c>
      <c r="D4033" t="s">
        <v>316</v>
      </c>
      <c r="E4033" t="s">
        <v>568</v>
      </c>
      <c r="F4033" t="s">
        <v>132</v>
      </c>
      <c r="G4033" t="s">
        <v>111</v>
      </c>
      <c r="H4033" t="s">
        <v>113</v>
      </c>
      <c r="I4033" t="s">
        <v>112</v>
      </c>
      <c r="J4033" t="s">
        <v>114</v>
      </c>
      <c r="K4033" t="s">
        <v>116</v>
      </c>
      <c r="L4033" t="s">
        <v>116</v>
      </c>
    </row>
    <row r="4034" spans="1:12" x14ac:dyDescent="0.3">
      <c r="A4034" t="s">
        <v>709</v>
      </c>
      <c r="B4034" t="s">
        <v>1501</v>
      </c>
      <c r="C4034" t="s">
        <v>566</v>
      </c>
      <c r="D4034" t="s">
        <v>317</v>
      </c>
      <c r="E4034" t="s">
        <v>568</v>
      </c>
      <c r="F4034" t="s">
        <v>133</v>
      </c>
      <c r="G4034" t="s">
        <v>111</v>
      </c>
      <c r="H4034" t="s">
        <v>113</v>
      </c>
      <c r="I4034" t="s">
        <v>112</v>
      </c>
      <c r="J4034" t="s">
        <v>114</v>
      </c>
      <c r="K4034" t="s">
        <v>116</v>
      </c>
      <c r="L4034" t="s">
        <v>116</v>
      </c>
    </row>
    <row r="4035" spans="1:12" x14ac:dyDescent="0.3">
      <c r="A4035" t="s">
        <v>709</v>
      </c>
      <c r="B4035" t="s">
        <v>1501</v>
      </c>
      <c r="C4035" t="s">
        <v>566</v>
      </c>
      <c r="D4035" t="s">
        <v>318</v>
      </c>
      <c r="E4035" t="s">
        <v>568</v>
      </c>
      <c r="F4035" t="s">
        <v>193</v>
      </c>
      <c r="G4035" t="s">
        <v>111</v>
      </c>
      <c r="H4035" t="s">
        <v>113</v>
      </c>
      <c r="I4035" t="s">
        <v>112</v>
      </c>
      <c r="J4035" t="s">
        <v>114</v>
      </c>
      <c r="K4035" t="s">
        <v>116</v>
      </c>
      <c r="L4035" t="s">
        <v>116</v>
      </c>
    </row>
    <row r="4036" spans="1:12" x14ac:dyDescent="0.3">
      <c r="A4036" t="s">
        <v>709</v>
      </c>
      <c r="B4036" t="s">
        <v>1501</v>
      </c>
      <c r="C4036" t="s">
        <v>566</v>
      </c>
      <c r="D4036" t="s">
        <v>241</v>
      </c>
      <c r="E4036" t="s">
        <v>568</v>
      </c>
      <c r="F4036" t="s">
        <v>51</v>
      </c>
      <c r="G4036" t="s">
        <v>111</v>
      </c>
      <c r="H4036" t="s">
        <v>113</v>
      </c>
      <c r="I4036" t="s">
        <v>112</v>
      </c>
      <c r="J4036" t="s">
        <v>114</v>
      </c>
      <c r="K4036" t="s">
        <v>116</v>
      </c>
      <c r="L4036" t="s">
        <v>116</v>
      </c>
    </row>
    <row r="4037" spans="1:12" x14ac:dyDescent="0.3">
      <c r="A4037" t="s">
        <v>709</v>
      </c>
      <c r="B4037" t="s">
        <v>1501</v>
      </c>
      <c r="C4037" t="s">
        <v>566</v>
      </c>
      <c r="D4037" t="s">
        <v>242</v>
      </c>
      <c r="E4037" t="s">
        <v>568</v>
      </c>
      <c r="F4037" t="s">
        <v>163</v>
      </c>
      <c r="G4037" t="s">
        <v>111</v>
      </c>
      <c r="H4037" t="s">
        <v>113</v>
      </c>
      <c r="I4037" t="s">
        <v>112</v>
      </c>
      <c r="J4037" t="s">
        <v>114</v>
      </c>
      <c r="K4037" t="s">
        <v>116</v>
      </c>
      <c r="L4037" t="s">
        <v>116</v>
      </c>
    </row>
    <row r="4038" spans="1:12" x14ac:dyDescent="0.3">
      <c r="A4038" t="s">
        <v>709</v>
      </c>
      <c r="B4038" t="s">
        <v>1501</v>
      </c>
      <c r="C4038" t="s">
        <v>566</v>
      </c>
      <c r="D4038" t="s">
        <v>243</v>
      </c>
      <c r="E4038" t="s">
        <v>568</v>
      </c>
      <c r="F4038" t="s">
        <v>170</v>
      </c>
      <c r="G4038" t="s">
        <v>111</v>
      </c>
      <c r="H4038" t="s">
        <v>113</v>
      </c>
      <c r="I4038" t="s">
        <v>112</v>
      </c>
      <c r="J4038" t="s">
        <v>114</v>
      </c>
      <c r="K4038" t="s">
        <v>116</v>
      </c>
      <c r="L4038" t="s">
        <v>116</v>
      </c>
    </row>
    <row r="4039" spans="1:12" x14ac:dyDescent="0.3">
      <c r="A4039" t="s">
        <v>709</v>
      </c>
      <c r="B4039" t="s">
        <v>1501</v>
      </c>
      <c r="C4039" t="s">
        <v>566</v>
      </c>
      <c r="D4039" t="s">
        <v>244</v>
      </c>
      <c r="E4039" t="s">
        <v>568</v>
      </c>
      <c r="F4039" t="s">
        <v>78</v>
      </c>
      <c r="G4039" t="s">
        <v>111</v>
      </c>
      <c r="H4039" t="s">
        <v>113</v>
      </c>
      <c r="I4039" t="s">
        <v>112</v>
      </c>
      <c r="J4039" t="s">
        <v>114</v>
      </c>
      <c r="K4039" t="s">
        <v>116</v>
      </c>
      <c r="L4039" t="s">
        <v>116</v>
      </c>
    </row>
    <row r="4040" spans="1:12" x14ac:dyDescent="0.3">
      <c r="A4040" t="s">
        <v>709</v>
      </c>
      <c r="B4040" t="s">
        <v>1501</v>
      </c>
      <c r="C4040" t="s">
        <v>566</v>
      </c>
      <c r="D4040" t="s">
        <v>319</v>
      </c>
      <c r="E4040" t="s">
        <v>568</v>
      </c>
      <c r="F4040" t="s">
        <v>136</v>
      </c>
      <c r="G4040" t="s">
        <v>111</v>
      </c>
      <c r="H4040" t="s">
        <v>113</v>
      </c>
      <c r="I4040" t="s">
        <v>112</v>
      </c>
      <c r="J4040" t="s">
        <v>114</v>
      </c>
      <c r="K4040" t="s">
        <v>116</v>
      </c>
      <c r="L4040" t="s">
        <v>116</v>
      </c>
    </row>
    <row r="4041" spans="1:12" x14ac:dyDescent="0.3">
      <c r="A4041" t="s">
        <v>709</v>
      </c>
      <c r="B4041" t="s">
        <v>1501</v>
      </c>
      <c r="C4041" t="s">
        <v>566</v>
      </c>
      <c r="D4041" t="s">
        <v>247</v>
      </c>
      <c r="E4041" t="s">
        <v>568</v>
      </c>
      <c r="F4041" t="s">
        <v>60</v>
      </c>
      <c r="G4041" t="s">
        <v>111</v>
      </c>
      <c r="H4041" t="s">
        <v>113</v>
      </c>
      <c r="I4041" t="s">
        <v>112</v>
      </c>
      <c r="J4041" t="s">
        <v>114</v>
      </c>
      <c r="K4041" t="s">
        <v>116</v>
      </c>
      <c r="L4041" t="s">
        <v>116</v>
      </c>
    </row>
    <row r="4042" spans="1:12" x14ac:dyDescent="0.3">
      <c r="A4042" t="s">
        <v>709</v>
      </c>
      <c r="B4042" t="s">
        <v>1501</v>
      </c>
      <c r="C4042" t="s">
        <v>566</v>
      </c>
      <c r="D4042" t="s">
        <v>251</v>
      </c>
      <c r="E4042" t="s">
        <v>568</v>
      </c>
      <c r="F4042" t="s">
        <v>48</v>
      </c>
      <c r="G4042" t="s">
        <v>111</v>
      </c>
      <c r="H4042" t="s">
        <v>113</v>
      </c>
      <c r="I4042" t="s">
        <v>112</v>
      </c>
      <c r="J4042" t="s">
        <v>114</v>
      </c>
      <c r="K4042" t="s">
        <v>116</v>
      </c>
      <c r="L4042" t="s">
        <v>116</v>
      </c>
    </row>
    <row r="4043" spans="1:12" x14ac:dyDescent="0.3">
      <c r="A4043" t="s">
        <v>709</v>
      </c>
      <c r="B4043" t="s">
        <v>1501</v>
      </c>
      <c r="C4043" t="s">
        <v>566</v>
      </c>
      <c r="D4043" t="s">
        <v>252</v>
      </c>
      <c r="E4043" t="s">
        <v>568</v>
      </c>
      <c r="F4043" t="s">
        <v>138</v>
      </c>
      <c r="G4043" t="s">
        <v>111</v>
      </c>
      <c r="H4043" t="s">
        <v>113</v>
      </c>
      <c r="I4043" t="s">
        <v>112</v>
      </c>
      <c r="J4043" t="s">
        <v>114</v>
      </c>
      <c r="K4043" t="s">
        <v>116</v>
      </c>
      <c r="L4043" t="s">
        <v>116</v>
      </c>
    </row>
    <row r="4044" spans="1:12" x14ac:dyDescent="0.3">
      <c r="A4044" t="s">
        <v>709</v>
      </c>
      <c r="B4044" t="s">
        <v>1501</v>
      </c>
      <c r="C4044" t="s">
        <v>566</v>
      </c>
      <c r="D4044" t="s">
        <v>253</v>
      </c>
      <c r="E4044" t="s">
        <v>568</v>
      </c>
      <c r="F4044" t="s">
        <v>95</v>
      </c>
      <c r="G4044" t="s">
        <v>111</v>
      </c>
      <c r="H4044" t="s">
        <v>113</v>
      </c>
      <c r="I4044" t="s">
        <v>112</v>
      </c>
      <c r="J4044" t="s">
        <v>114</v>
      </c>
      <c r="K4044" t="s">
        <v>116</v>
      </c>
      <c r="L4044" t="s">
        <v>116</v>
      </c>
    </row>
    <row r="4045" spans="1:12" x14ac:dyDescent="0.3">
      <c r="A4045" t="s">
        <v>709</v>
      </c>
      <c r="B4045" t="s">
        <v>1501</v>
      </c>
      <c r="C4045" t="s">
        <v>566</v>
      </c>
      <c r="D4045" t="s">
        <v>254</v>
      </c>
      <c r="E4045" t="s">
        <v>568</v>
      </c>
      <c r="F4045" t="s">
        <v>139</v>
      </c>
      <c r="G4045" t="s">
        <v>111</v>
      </c>
      <c r="H4045" t="s">
        <v>113</v>
      </c>
      <c r="I4045" t="s">
        <v>112</v>
      </c>
      <c r="J4045" t="s">
        <v>114</v>
      </c>
      <c r="K4045" t="s">
        <v>116</v>
      </c>
      <c r="L4045" t="s">
        <v>116</v>
      </c>
    </row>
    <row r="4046" spans="1:12" x14ac:dyDescent="0.3">
      <c r="A4046" t="s">
        <v>709</v>
      </c>
      <c r="B4046" t="s">
        <v>1501</v>
      </c>
      <c r="C4046" t="s">
        <v>566</v>
      </c>
      <c r="D4046" t="s">
        <v>255</v>
      </c>
      <c r="E4046" t="s">
        <v>568</v>
      </c>
      <c r="F4046" t="s">
        <v>171</v>
      </c>
      <c r="G4046" t="s">
        <v>111</v>
      </c>
      <c r="H4046" t="s">
        <v>113</v>
      </c>
      <c r="I4046" t="s">
        <v>112</v>
      </c>
      <c r="J4046" t="s">
        <v>114</v>
      </c>
      <c r="K4046" t="s">
        <v>116</v>
      </c>
      <c r="L4046" t="s">
        <v>116</v>
      </c>
    </row>
    <row r="4047" spans="1:12" x14ac:dyDescent="0.3">
      <c r="A4047" t="s">
        <v>709</v>
      </c>
      <c r="B4047" t="s">
        <v>1501</v>
      </c>
      <c r="C4047" t="s">
        <v>566</v>
      </c>
      <c r="D4047" t="s">
        <v>320</v>
      </c>
      <c r="E4047" t="s">
        <v>568</v>
      </c>
      <c r="F4047" t="s">
        <v>172</v>
      </c>
      <c r="G4047" t="s">
        <v>111</v>
      </c>
      <c r="H4047" t="s">
        <v>113</v>
      </c>
      <c r="I4047" t="s">
        <v>112</v>
      </c>
      <c r="J4047" t="s">
        <v>114</v>
      </c>
      <c r="K4047" t="s">
        <v>116</v>
      </c>
      <c r="L4047" t="s">
        <v>116</v>
      </c>
    </row>
    <row r="4048" spans="1:12" x14ac:dyDescent="0.3">
      <c r="A4048" t="s">
        <v>709</v>
      </c>
      <c r="B4048" t="s">
        <v>1501</v>
      </c>
      <c r="C4048" t="s">
        <v>566</v>
      </c>
      <c r="D4048" t="s">
        <v>207</v>
      </c>
      <c r="E4048" t="s">
        <v>568</v>
      </c>
      <c r="F4048" t="s">
        <v>62</v>
      </c>
      <c r="G4048" t="s">
        <v>111</v>
      </c>
      <c r="H4048" t="s">
        <v>113</v>
      </c>
      <c r="I4048" t="s">
        <v>112</v>
      </c>
      <c r="J4048" t="s">
        <v>114</v>
      </c>
      <c r="K4048" t="s">
        <v>116</v>
      </c>
      <c r="L4048" t="s">
        <v>116</v>
      </c>
    </row>
    <row r="4049" spans="1:12" x14ac:dyDescent="0.3">
      <c r="A4049" t="s">
        <v>709</v>
      </c>
      <c r="B4049" t="s">
        <v>1501</v>
      </c>
      <c r="C4049" t="s">
        <v>566</v>
      </c>
      <c r="D4049" t="s">
        <v>256</v>
      </c>
      <c r="E4049" t="s">
        <v>568</v>
      </c>
      <c r="F4049" t="s">
        <v>57</v>
      </c>
      <c r="G4049" t="s">
        <v>111</v>
      </c>
      <c r="H4049" t="s">
        <v>113</v>
      </c>
      <c r="I4049" t="s">
        <v>112</v>
      </c>
      <c r="J4049" t="s">
        <v>114</v>
      </c>
      <c r="K4049" t="s">
        <v>116</v>
      </c>
      <c r="L4049" t="s">
        <v>116</v>
      </c>
    </row>
    <row r="4050" spans="1:12" x14ac:dyDescent="0.3">
      <c r="A4050" t="s">
        <v>709</v>
      </c>
      <c r="B4050" t="s">
        <v>1501</v>
      </c>
      <c r="C4050" t="s">
        <v>566</v>
      </c>
      <c r="D4050" t="s">
        <v>322</v>
      </c>
      <c r="E4050" t="s">
        <v>568</v>
      </c>
      <c r="F4050" t="s">
        <v>173</v>
      </c>
      <c r="G4050" t="s">
        <v>111</v>
      </c>
      <c r="H4050" t="s">
        <v>113</v>
      </c>
      <c r="I4050" t="s">
        <v>112</v>
      </c>
      <c r="J4050" t="s">
        <v>114</v>
      </c>
      <c r="K4050" t="s">
        <v>116</v>
      </c>
      <c r="L4050" t="s">
        <v>116</v>
      </c>
    </row>
    <row r="4051" spans="1:12" x14ac:dyDescent="0.3">
      <c r="A4051" t="s">
        <v>709</v>
      </c>
      <c r="B4051" t="s">
        <v>1501</v>
      </c>
      <c r="C4051" t="s">
        <v>566</v>
      </c>
      <c r="D4051" t="s">
        <v>257</v>
      </c>
      <c r="E4051" t="s">
        <v>568</v>
      </c>
      <c r="F4051" t="s">
        <v>174</v>
      </c>
      <c r="G4051" t="s">
        <v>111</v>
      </c>
      <c r="H4051" t="s">
        <v>113</v>
      </c>
      <c r="I4051" t="s">
        <v>112</v>
      </c>
      <c r="J4051" t="s">
        <v>114</v>
      </c>
      <c r="K4051" t="s">
        <v>116</v>
      </c>
      <c r="L4051" t="s">
        <v>116</v>
      </c>
    </row>
    <row r="4052" spans="1:12" x14ac:dyDescent="0.3">
      <c r="A4052" t="s">
        <v>709</v>
      </c>
      <c r="B4052" t="s">
        <v>1501</v>
      </c>
      <c r="C4052" t="s">
        <v>566</v>
      </c>
      <c r="D4052" t="s">
        <v>258</v>
      </c>
      <c r="E4052" t="s">
        <v>568</v>
      </c>
      <c r="F4052" t="s">
        <v>88</v>
      </c>
      <c r="G4052" t="s">
        <v>111</v>
      </c>
      <c r="H4052" t="s">
        <v>113</v>
      </c>
      <c r="I4052" t="s">
        <v>112</v>
      </c>
      <c r="J4052" t="s">
        <v>114</v>
      </c>
      <c r="K4052" t="s">
        <v>116</v>
      </c>
      <c r="L4052" t="s">
        <v>116</v>
      </c>
    </row>
    <row r="4053" spans="1:12" x14ac:dyDescent="0.3">
      <c r="A4053" t="s">
        <v>709</v>
      </c>
      <c r="B4053" t="s">
        <v>1501</v>
      </c>
      <c r="C4053" t="s">
        <v>566</v>
      </c>
      <c r="D4053" t="s">
        <v>259</v>
      </c>
      <c r="E4053" t="s">
        <v>568</v>
      </c>
      <c r="F4053" t="s">
        <v>77</v>
      </c>
      <c r="G4053" t="s">
        <v>111</v>
      </c>
      <c r="H4053" t="s">
        <v>113</v>
      </c>
      <c r="I4053" t="s">
        <v>112</v>
      </c>
      <c r="J4053" t="s">
        <v>114</v>
      </c>
      <c r="K4053" t="s">
        <v>116</v>
      </c>
      <c r="L4053" t="s">
        <v>116</v>
      </c>
    </row>
    <row r="4054" spans="1:12" x14ac:dyDescent="0.3">
      <c r="A4054" t="s">
        <v>709</v>
      </c>
      <c r="B4054" t="s">
        <v>1501</v>
      </c>
      <c r="C4054" t="s">
        <v>566</v>
      </c>
      <c r="D4054" t="s">
        <v>323</v>
      </c>
      <c r="E4054" t="s">
        <v>568</v>
      </c>
      <c r="F4054" t="s">
        <v>74</v>
      </c>
      <c r="G4054" t="s">
        <v>111</v>
      </c>
      <c r="H4054" t="s">
        <v>113</v>
      </c>
      <c r="I4054" t="s">
        <v>112</v>
      </c>
      <c r="J4054" t="s">
        <v>114</v>
      </c>
      <c r="K4054" t="s">
        <v>116</v>
      </c>
      <c r="L4054" t="s">
        <v>116</v>
      </c>
    </row>
    <row r="4055" spans="1:12" x14ac:dyDescent="0.3">
      <c r="A4055" t="s">
        <v>709</v>
      </c>
      <c r="B4055" t="s">
        <v>1501</v>
      </c>
      <c r="C4055" t="s">
        <v>566</v>
      </c>
      <c r="D4055" t="s">
        <v>324</v>
      </c>
      <c r="E4055" t="s">
        <v>568</v>
      </c>
      <c r="F4055" t="s">
        <v>102</v>
      </c>
      <c r="G4055" t="s">
        <v>111</v>
      </c>
      <c r="H4055" t="s">
        <v>113</v>
      </c>
      <c r="I4055" t="s">
        <v>112</v>
      </c>
      <c r="J4055" t="s">
        <v>114</v>
      </c>
      <c r="K4055" t="s">
        <v>116</v>
      </c>
      <c r="L4055" t="s">
        <v>116</v>
      </c>
    </row>
    <row r="4056" spans="1:12" x14ac:dyDescent="0.3">
      <c r="A4056" t="s">
        <v>709</v>
      </c>
      <c r="B4056" t="s">
        <v>1501</v>
      </c>
      <c r="C4056" t="s">
        <v>566</v>
      </c>
      <c r="D4056" t="s">
        <v>260</v>
      </c>
      <c r="E4056" t="s">
        <v>568</v>
      </c>
      <c r="F4056" t="s">
        <v>140</v>
      </c>
      <c r="G4056" t="s">
        <v>111</v>
      </c>
      <c r="H4056" t="s">
        <v>113</v>
      </c>
      <c r="I4056" t="s">
        <v>112</v>
      </c>
      <c r="J4056" t="s">
        <v>114</v>
      </c>
      <c r="K4056" t="s">
        <v>116</v>
      </c>
      <c r="L4056" t="s">
        <v>116</v>
      </c>
    </row>
    <row r="4057" spans="1:12" x14ac:dyDescent="0.3">
      <c r="A4057" t="s">
        <v>709</v>
      </c>
      <c r="B4057" t="s">
        <v>1501</v>
      </c>
      <c r="C4057" t="s">
        <v>566</v>
      </c>
      <c r="D4057" t="s">
        <v>263</v>
      </c>
      <c r="E4057" t="s">
        <v>568</v>
      </c>
      <c r="F4057" t="s">
        <v>141</v>
      </c>
      <c r="G4057" t="s">
        <v>111</v>
      </c>
      <c r="H4057" t="s">
        <v>113</v>
      </c>
      <c r="I4057" t="s">
        <v>112</v>
      </c>
      <c r="J4057" t="s">
        <v>114</v>
      </c>
      <c r="K4057" t="s">
        <v>116</v>
      </c>
      <c r="L4057" t="s">
        <v>116</v>
      </c>
    </row>
    <row r="4058" spans="1:12" x14ac:dyDescent="0.3">
      <c r="A4058" t="s">
        <v>709</v>
      </c>
      <c r="B4058" t="s">
        <v>1501</v>
      </c>
      <c r="C4058" t="s">
        <v>566</v>
      </c>
      <c r="D4058" t="s">
        <v>264</v>
      </c>
      <c r="E4058" t="s">
        <v>568</v>
      </c>
      <c r="F4058" t="s">
        <v>64</v>
      </c>
      <c r="G4058" t="s">
        <v>111</v>
      </c>
      <c r="H4058" t="s">
        <v>113</v>
      </c>
      <c r="I4058" t="s">
        <v>112</v>
      </c>
      <c r="J4058" t="s">
        <v>114</v>
      </c>
      <c r="K4058" t="s">
        <v>116</v>
      </c>
      <c r="L4058" t="s">
        <v>116</v>
      </c>
    </row>
    <row r="4059" spans="1:12" x14ac:dyDescent="0.3">
      <c r="A4059" t="s">
        <v>709</v>
      </c>
      <c r="B4059" t="s">
        <v>1501</v>
      </c>
      <c r="C4059" t="s">
        <v>566</v>
      </c>
      <c r="D4059" t="s">
        <v>265</v>
      </c>
      <c r="E4059" t="s">
        <v>568</v>
      </c>
      <c r="F4059" t="s">
        <v>142</v>
      </c>
      <c r="G4059" t="s">
        <v>111</v>
      </c>
      <c r="H4059" t="s">
        <v>118</v>
      </c>
      <c r="I4059" t="s">
        <v>112</v>
      </c>
      <c r="J4059" t="s">
        <v>119</v>
      </c>
      <c r="K4059" t="s">
        <v>116</v>
      </c>
      <c r="L4059" t="s">
        <v>116</v>
      </c>
    </row>
    <row r="4060" spans="1:12" x14ac:dyDescent="0.3">
      <c r="A4060" t="s">
        <v>709</v>
      </c>
      <c r="B4060" t="s">
        <v>1501</v>
      </c>
      <c r="C4060" t="s">
        <v>566</v>
      </c>
      <c r="D4060" t="s">
        <v>326</v>
      </c>
      <c r="E4060" t="s">
        <v>568</v>
      </c>
      <c r="F4060" t="s">
        <v>144</v>
      </c>
      <c r="G4060" t="s">
        <v>111</v>
      </c>
      <c r="H4060" t="s">
        <v>113</v>
      </c>
      <c r="I4060" t="s">
        <v>112</v>
      </c>
      <c r="J4060" t="s">
        <v>114</v>
      </c>
      <c r="K4060" t="s">
        <v>116</v>
      </c>
      <c r="L4060" t="s">
        <v>116</v>
      </c>
    </row>
    <row r="4061" spans="1:12" x14ac:dyDescent="0.3">
      <c r="A4061" t="s">
        <v>709</v>
      </c>
      <c r="B4061" t="s">
        <v>1501</v>
      </c>
      <c r="C4061" t="s">
        <v>566</v>
      </c>
      <c r="D4061" t="s">
        <v>268</v>
      </c>
      <c r="E4061" t="s">
        <v>568</v>
      </c>
      <c r="F4061" t="s">
        <v>194</v>
      </c>
      <c r="G4061" t="s">
        <v>111</v>
      </c>
      <c r="H4061" t="s">
        <v>113</v>
      </c>
      <c r="I4061" t="s">
        <v>112</v>
      </c>
      <c r="J4061" t="s">
        <v>114</v>
      </c>
      <c r="K4061" t="s">
        <v>116</v>
      </c>
      <c r="L4061" t="s">
        <v>116</v>
      </c>
    </row>
    <row r="4062" spans="1:12" x14ac:dyDescent="0.3">
      <c r="A4062" t="s">
        <v>709</v>
      </c>
      <c r="B4062" t="s">
        <v>1501</v>
      </c>
      <c r="C4062" t="s">
        <v>566</v>
      </c>
      <c r="D4062" t="s">
        <v>269</v>
      </c>
      <c r="E4062" t="s">
        <v>568</v>
      </c>
      <c r="F4062" t="s">
        <v>145</v>
      </c>
      <c r="G4062" t="s">
        <v>111</v>
      </c>
      <c r="H4062" t="s">
        <v>118</v>
      </c>
      <c r="I4062" t="s">
        <v>112</v>
      </c>
      <c r="J4062" t="s">
        <v>119</v>
      </c>
      <c r="K4062" t="s">
        <v>116</v>
      </c>
      <c r="L4062" t="s">
        <v>116</v>
      </c>
    </row>
    <row r="4063" spans="1:12" x14ac:dyDescent="0.3">
      <c r="A4063" t="s">
        <v>709</v>
      </c>
      <c r="B4063" t="s">
        <v>1501</v>
      </c>
      <c r="C4063" t="s">
        <v>566</v>
      </c>
      <c r="D4063" t="s">
        <v>270</v>
      </c>
      <c r="E4063" t="s">
        <v>568</v>
      </c>
      <c r="F4063" t="s">
        <v>81</v>
      </c>
      <c r="G4063" t="s">
        <v>111</v>
      </c>
      <c r="H4063" t="s">
        <v>113</v>
      </c>
      <c r="I4063" t="s">
        <v>112</v>
      </c>
      <c r="J4063" t="s">
        <v>114</v>
      </c>
      <c r="K4063" t="s">
        <v>116</v>
      </c>
      <c r="L4063" t="s">
        <v>116</v>
      </c>
    </row>
    <row r="4064" spans="1:12" x14ac:dyDescent="0.3">
      <c r="A4064" t="s">
        <v>709</v>
      </c>
      <c r="B4064" t="s">
        <v>1501</v>
      </c>
      <c r="C4064" t="s">
        <v>566</v>
      </c>
      <c r="D4064" t="s">
        <v>271</v>
      </c>
      <c r="E4064" t="s">
        <v>567</v>
      </c>
      <c r="F4064" t="s">
        <v>76</v>
      </c>
      <c r="G4064" t="s">
        <v>111</v>
      </c>
      <c r="H4064" t="s">
        <v>113</v>
      </c>
      <c r="I4064" t="s">
        <v>112</v>
      </c>
      <c r="J4064" t="s">
        <v>114</v>
      </c>
      <c r="K4064" t="s">
        <v>116</v>
      </c>
      <c r="L4064" t="s">
        <v>116</v>
      </c>
    </row>
    <row r="4065" spans="1:12" x14ac:dyDescent="0.3">
      <c r="A4065" t="s">
        <v>709</v>
      </c>
      <c r="B4065" t="s">
        <v>1501</v>
      </c>
      <c r="C4065" t="s">
        <v>566</v>
      </c>
      <c r="D4065" t="s">
        <v>272</v>
      </c>
      <c r="E4065" t="s">
        <v>567</v>
      </c>
      <c r="F4065" t="s">
        <v>52</v>
      </c>
      <c r="G4065" t="s">
        <v>111</v>
      </c>
      <c r="H4065" t="s">
        <v>118</v>
      </c>
      <c r="I4065" t="s">
        <v>112</v>
      </c>
      <c r="J4065" t="s">
        <v>119</v>
      </c>
      <c r="K4065" t="s">
        <v>116</v>
      </c>
      <c r="L4065" t="s">
        <v>116</v>
      </c>
    </row>
    <row r="4066" spans="1:12" x14ac:dyDescent="0.3">
      <c r="A4066" t="s">
        <v>709</v>
      </c>
      <c r="B4066" t="s">
        <v>1501</v>
      </c>
      <c r="C4066" t="s">
        <v>566</v>
      </c>
      <c r="D4066" t="s">
        <v>327</v>
      </c>
      <c r="E4066" t="s">
        <v>567</v>
      </c>
      <c r="F4066" t="s">
        <v>104</v>
      </c>
      <c r="G4066" t="s">
        <v>111</v>
      </c>
      <c r="H4066" t="s">
        <v>113</v>
      </c>
      <c r="I4066" t="s">
        <v>112</v>
      </c>
      <c r="J4066" t="s">
        <v>114</v>
      </c>
      <c r="K4066" t="s">
        <v>116</v>
      </c>
      <c r="L4066" t="s">
        <v>116</v>
      </c>
    </row>
    <row r="4067" spans="1:12" x14ac:dyDescent="0.3">
      <c r="A4067" t="s">
        <v>709</v>
      </c>
      <c r="B4067" t="s">
        <v>1501</v>
      </c>
      <c r="C4067" t="s">
        <v>566</v>
      </c>
      <c r="D4067" t="s">
        <v>273</v>
      </c>
      <c r="E4067" t="s">
        <v>567</v>
      </c>
      <c r="F4067" t="s">
        <v>176</v>
      </c>
      <c r="G4067" t="s">
        <v>111</v>
      </c>
      <c r="H4067" t="s">
        <v>113</v>
      </c>
      <c r="I4067" t="s">
        <v>112</v>
      </c>
      <c r="J4067" t="s">
        <v>114</v>
      </c>
      <c r="K4067" t="s">
        <v>116</v>
      </c>
      <c r="L4067" t="s">
        <v>116</v>
      </c>
    </row>
    <row r="4068" spans="1:12" x14ac:dyDescent="0.3">
      <c r="A4068" t="s">
        <v>709</v>
      </c>
      <c r="B4068" t="s">
        <v>1501</v>
      </c>
      <c r="C4068" t="s">
        <v>566</v>
      </c>
      <c r="D4068" t="s">
        <v>274</v>
      </c>
      <c r="E4068" t="s">
        <v>567</v>
      </c>
      <c r="F4068" t="s">
        <v>146</v>
      </c>
      <c r="G4068" t="s">
        <v>111</v>
      </c>
      <c r="H4068" t="s">
        <v>113</v>
      </c>
      <c r="I4068" t="s">
        <v>112</v>
      </c>
      <c r="J4068" t="s">
        <v>114</v>
      </c>
      <c r="K4068" t="s">
        <v>116</v>
      </c>
      <c r="L4068" t="s">
        <v>116</v>
      </c>
    </row>
    <row r="4069" spans="1:12" x14ac:dyDescent="0.3">
      <c r="A4069" t="s">
        <v>709</v>
      </c>
      <c r="B4069" t="s">
        <v>1501</v>
      </c>
      <c r="C4069" t="s">
        <v>566</v>
      </c>
      <c r="D4069" t="s">
        <v>275</v>
      </c>
      <c r="E4069" t="s">
        <v>567</v>
      </c>
      <c r="F4069" t="s">
        <v>148</v>
      </c>
      <c r="G4069" t="s">
        <v>111</v>
      </c>
      <c r="H4069" t="s">
        <v>118</v>
      </c>
      <c r="I4069" t="s">
        <v>112</v>
      </c>
      <c r="J4069" t="s">
        <v>119</v>
      </c>
      <c r="K4069" t="s">
        <v>116</v>
      </c>
      <c r="L4069" t="s">
        <v>116</v>
      </c>
    </row>
    <row r="4070" spans="1:12" x14ac:dyDescent="0.3">
      <c r="A4070" t="s">
        <v>709</v>
      </c>
      <c r="B4070" t="s">
        <v>1501</v>
      </c>
      <c r="C4070" t="s">
        <v>566</v>
      </c>
      <c r="D4070" t="s">
        <v>276</v>
      </c>
      <c r="E4070" t="s">
        <v>567</v>
      </c>
      <c r="F4070" t="s">
        <v>149</v>
      </c>
      <c r="G4070" t="s">
        <v>111</v>
      </c>
      <c r="H4070" t="s">
        <v>113</v>
      </c>
      <c r="I4070" t="s">
        <v>112</v>
      </c>
      <c r="J4070" t="s">
        <v>114</v>
      </c>
      <c r="K4070" t="s">
        <v>116</v>
      </c>
      <c r="L4070" t="s">
        <v>116</v>
      </c>
    </row>
    <row r="4071" spans="1:12" x14ac:dyDescent="0.3">
      <c r="A4071" t="s">
        <v>709</v>
      </c>
      <c r="B4071" t="s">
        <v>1501</v>
      </c>
      <c r="C4071" t="s">
        <v>566</v>
      </c>
      <c r="D4071" t="s">
        <v>277</v>
      </c>
      <c r="E4071" t="s">
        <v>567</v>
      </c>
      <c r="F4071" t="s">
        <v>83</v>
      </c>
      <c r="G4071" t="s">
        <v>111</v>
      </c>
      <c r="H4071" t="s">
        <v>113</v>
      </c>
      <c r="I4071" t="s">
        <v>112</v>
      </c>
      <c r="J4071" t="s">
        <v>114</v>
      </c>
      <c r="K4071" t="s">
        <v>116</v>
      </c>
      <c r="L4071" t="s">
        <v>116</v>
      </c>
    </row>
    <row r="4072" spans="1:12" x14ac:dyDescent="0.3">
      <c r="A4072" t="s">
        <v>709</v>
      </c>
      <c r="B4072" t="s">
        <v>1501</v>
      </c>
      <c r="C4072" t="s">
        <v>566</v>
      </c>
      <c r="D4072" t="s">
        <v>278</v>
      </c>
      <c r="E4072" t="s">
        <v>567</v>
      </c>
      <c r="F4072" t="s">
        <v>203</v>
      </c>
      <c r="G4072" t="s">
        <v>111</v>
      </c>
      <c r="H4072" t="s">
        <v>118</v>
      </c>
      <c r="I4072" t="s">
        <v>112</v>
      </c>
      <c r="J4072" t="s">
        <v>119</v>
      </c>
      <c r="K4072" t="s">
        <v>116</v>
      </c>
      <c r="L4072" t="s">
        <v>116</v>
      </c>
    </row>
    <row r="4073" spans="1:12" x14ac:dyDescent="0.3">
      <c r="A4073" t="s">
        <v>709</v>
      </c>
      <c r="B4073" t="s">
        <v>1501</v>
      </c>
      <c r="C4073" t="s">
        <v>566</v>
      </c>
      <c r="D4073" t="s">
        <v>279</v>
      </c>
      <c r="E4073" t="s">
        <v>567</v>
      </c>
      <c r="F4073" t="s">
        <v>150</v>
      </c>
      <c r="G4073" t="s">
        <v>111</v>
      </c>
      <c r="H4073" t="s">
        <v>113</v>
      </c>
      <c r="I4073" t="s">
        <v>112</v>
      </c>
      <c r="J4073" t="s">
        <v>114</v>
      </c>
      <c r="K4073" t="s">
        <v>116</v>
      </c>
      <c r="L4073" t="s">
        <v>116</v>
      </c>
    </row>
    <row r="4074" spans="1:12" x14ac:dyDescent="0.3">
      <c r="A4074" t="s">
        <v>709</v>
      </c>
      <c r="B4074" t="s">
        <v>1501</v>
      </c>
      <c r="C4074" t="s">
        <v>566</v>
      </c>
      <c r="D4074" t="s">
        <v>280</v>
      </c>
      <c r="E4074" t="s">
        <v>567</v>
      </c>
      <c r="F4074" t="s">
        <v>71</v>
      </c>
      <c r="G4074" t="s">
        <v>111</v>
      </c>
      <c r="H4074" t="s">
        <v>113</v>
      </c>
      <c r="I4074" t="s">
        <v>112</v>
      </c>
      <c r="J4074" t="s">
        <v>114</v>
      </c>
      <c r="K4074" t="s">
        <v>116</v>
      </c>
      <c r="L4074" t="s">
        <v>116</v>
      </c>
    </row>
    <row r="4075" spans="1:12" x14ac:dyDescent="0.3">
      <c r="A4075" t="s">
        <v>709</v>
      </c>
      <c r="B4075" t="s">
        <v>1501</v>
      </c>
      <c r="C4075" t="s">
        <v>566</v>
      </c>
      <c r="D4075" t="s">
        <v>282</v>
      </c>
      <c r="E4075" t="s">
        <v>567</v>
      </c>
      <c r="F4075" t="s">
        <v>90</v>
      </c>
      <c r="G4075" t="s">
        <v>111</v>
      </c>
      <c r="H4075" t="s">
        <v>113</v>
      </c>
      <c r="I4075" t="s">
        <v>112</v>
      </c>
      <c r="J4075" t="s">
        <v>114</v>
      </c>
      <c r="K4075" t="s">
        <v>116</v>
      </c>
      <c r="L4075" t="s">
        <v>116</v>
      </c>
    </row>
    <row r="4076" spans="1:12" x14ac:dyDescent="0.3">
      <c r="A4076" t="s">
        <v>709</v>
      </c>
      <c r="B4076" t="s">
        <v>1501</v>
      </c>
      <c r="C4076" t="s">
        <v>566</v>
      </c>
      <c r="D4076" t="s">
        <v>329</v>
      </c>
      <c r="E4076" t="s">
        <v>567</v>
      </c>
      <c r="F4076" t="s">
        <v>92</v>
      </c>
      <c r="G4076" t="s">
        <v>111</v>
      </c>
      <c r="H4076" t="s">
        <v>113</v>
      </c>
      <c r="I4076" t="s">
        <v>112</v>
      </c>
      <c r="J4076" t="s">
        <v>114</v>
      </c>
      <c r="K4076" t="s">
        <v>116</v>
      </c>
      <c r="L4076" t="s">
        <v>116</v>
      </c>
    </row>
    <row r="4077" spans="1:12" x14ac:dyDescent="0.3">
      <c r="A4077" t="s">
        <v>709</v>
      </c>
      <c r="B4077" t="s">
        <v>1501</v>
      </c>
      <c r="C4077" t="s">
        <v>566</v>
      </c>
      <c r="D4077" t="s">
        <v>283</v>
      </c>
      <c r="E4077" t="s">
        <v>567</v>
      </c>
      <c r="F4077" t="s">
        <v>63</v>
      </c>
      <c r="G4077" t="s">
        <v>111</v>
      </c>
      <c r="H4077" t="s">
        <v>118</v>
      </c>
      <c r="I4077" t="s">
        <v>112</v>
      </c>
      <c r="J4077" t="s">
        <v>119</v>
      </c>
      <c r="K4077" t="s">
        <v>116</v>
      </c>
      <c r="L4077" t="s">
        <v>116</v>
      </c>
    </row>
    <row r="4078" spans="1:12" x14ac:dyDescent="0.3">
      <c r="A4078" t="s">
        <v>709</v>
      </c>
      <c r="B4078" t="s">
        <v>1501</v>
      </c>
      <c r="C4078" t="s">
        <v>566</v>
      </c>
      <c r="D4078" t="s">
        <v>284</v>
      </c>
      <c r="E4078" t="s">
        <v>567</v>
      </c>
      <c r="F4078" t="s">
        <v>151</v>
      </c>
      <c r="G4078" t="s">
        <v>111</v>
      </c>
      <c r="H4078" t="s">
        <v>113</v>
      </c>
      <c r="I4078" t="s">
        <v>112</v>
      </c>
      <c r="J4078" t="s">
        <v>114</v>
      </c>
      <c r="K4078" t="s">
        <v>116</v>
      </c>
      <c r="L4078" t="s">
        <v>116</v>
      </c>
    </row>
    <row r="4079" spans="1:12" x14ac:dyDescent="0.3">
      <c r="A4079" t="s">
        <v>709</v>
      </c>
      <c r="B4079" t="s">
        <v>1501</v>
      </c>
      <c r="C4079" t="s">
        <v>566</v>
      </c>
      <c r="D4079" t="s">
        <v>285</v>
      </c>
      <c r="E4079" t="s">
        <v>567</v>
      </c>
      <c r="F4079" t="s">
        <v>195</v>
      </c>
      <c r="G4079" t="s">
        <v>111</v>
      </c>
      <c r="H4079" t="s">
        <v>113</v>
      </c>
      <c r="I4079" t="s">
        <v>112</v>
      </c>
      <c r="J4079" t="s">
        <v>114</v>
      </c>
      <c r="K4079" t="s">
        <v>116</v>
      </c>
      <c r="L4079" t="s">
        <v>116</v>
      </c>
    </row>
    <row r="4080" spans="1:12" x14ac:dyDescent="0.3">
      <c r="A4080" t="s">
        <v>709</v>
      </c>
      <c r="B4080" t="s">
        <v>1501</v>
      </c>
      <c r="C4080" t="s">
        <v>566</v>
      </c>
      <c r="D4080" t="s">
        <v>330</v>
      </c>
      <c r="E4080" t="s">
        <v>567</v>
      </c>
      <c r="F4080" t="s">
        <v>177</v>
      </c>
      <c r="G4080" t="s">
        <v>111</v>
      </c>
      <c r="H4080" t="s">
        <v>147</v>
      </c>
      <c r="I4080" t="s">
        <v>112</v>
      </c>
      <c r="J4080" t="s">
        <v>119</v>
      </c>
      <c r="K4080" t="s">
        <v>1773</v>
      </c>
      <c r="L4080" t="s">
        <v>1773</v>
      </c>
    </row>
    <row r="4081" spans="1:12" x14ac:dyDescent="0.3">
      <c r="A4081" t="s">
        <v>709</v>
      </c>
      <c r="B4081" t="s">
        <v>1501</v>
      </c>
      <c r="C4081" t="s">
        <v>566</v>
      </c>
      <c r="D4081" t="s">
        <v>288</v>
      </c>
      <c r="E4081" t="s">
        <v>567</v>
      </c>
      <c r="F4081" t="s">
        <v>178</v>
      </c>
      <c r="G4081" t="s">
        <v>111</v>
      </c>
      <c r="H4081" t="s">
        <v>113</v>
      </c>
      <c r="I4081" t="s">
        <v>112</v>
      </c>
      <c r="J4081" t="s">
        <v>114</v>
      </c>
      <c r="K4081" t="s">
        <v>116</v>
      </c>
      <c r="L4081" t="s">
        <v>116</v>
      </c>
    </row>
    <row r="4082" spans="1:12" x14ac:dyDescent="0.3">
      <c r="A4082" t="s">
        <v>709</v>
      </c>
      <c r="B4082" t="s">
        <v>1501</v>
      </c>
      <c r="C4082" t="s">
        <v>566</v>
      </c>
      <c r="D4082" t="s">
        <v>289</v>
      </c>
      <c r="E4082" t="s">
        <v>567</v>
      </c>
      <c r="F4082" t="s">
        <v>179</v>
      </c>
      <c r="G4082" t="s">
        <v>111</v>
      </c>
      <c r="H4082" t="s">
        <v>113</v>
      </c>
      <c r="I4082" t="s">
        <v>112</v>
      </c>
      <c r="J4082" t="s">
        <v>114</v>
      </c>
      <c r="K4082" t="s">
        <v>116</v>
      </c>
      <c r="L4082" t="s">
        <v>116</v>
      </c>
    </row>
    <row r="4083" spans="1:12" x14ac:dyDescent="0.3">
      <c r="A4083" t="s">
        <v>709</v>
      </c>
      <c r="B4083" t="s">
        <v>1501</v>
      </c>
      <c r="C4083" t="s">
        <v>566</v>
      </c>
      <c r="D4083" t="s">
        <v>290</v>
      </c>
      <c r="E4083" t="s">
        <v>567</v>
      </c>
      <c r="F4083" t="s">
        <v>153</v>
      </c>
      <c r="G4083" t="s">
        <v>111</v>
      </c>
      <c r="H4083" t="s">
        <v>113</v>
      </c>
      <c r="I4083" t="s">
        <v>112</v>
      </c>
      <c r="J4083" t="s">
        <v>114</v>
      </c>
      <c r="K4083" t="s">
        <v>116</v>
      </c>
      <c r="L4083" t="s">
        <v>116</v>
      </c>
    </row>
    <row r="4084" spans="1:12" x14ac:dyDescent="0.3">
      <c r="A4084" t="s">
        <v>709</v>
      </c>
      <c r="B4084" t="s">
        <v>1501</v>
      </c>
      <c r="C4084" t="s">
        <v>566</v>
      </c>
      <c r="D4084" t="s">
        <v>291</v>
      </c>
      <c r="E4084" t="s">
        <v>567</v>
      </c>
      <c r="F4084" t="s">
        <v>154</v>
      </c>
      <c r="G4084" t="s">
        <v>111</v>
      </c>
      <c r="H4084" t="s">
        <v>113</v>
      </c>
      <c r="I4084" t="s">
        <v>112</v>
      </c>
      <c r="J4084" t="s">
        <v>114</v>
      </c>
      <c r="K4084" t="s">
        <v>116</v>
      </c>
      <c r="L4084" t="s">
        <v>116</v>
      </c>
    </row>
    <row r="4085" spans="1:12" x14ac:dyDescent="0.3">
      <c r="A4085" t="s">
        <v>709</v>
      </c>
      <c r="B4085" t="s">
        <v>1501</v>
      </c>
      <c r="C4085" t="s">
        <v>566</v>
      </c>
      <c r="D4085" t="s">
        <v>292</v>
      </c>
      <c r="E4085" t="s">
        <v>567</v>
      </c>
      <c r="F4085" t="s">
        <v>55</v>
      </c>
      <c r="G4085" t="s">
        <v>111</v>
      </c>
      <c r="H4085" t="s">
        <v>113</v>
      </c>
      <c r="I4085" t="s">
        <v>112</v>
      </c>
      <c r="J4085" t="s">
        <v>114</v>
      </c>
      <c r="K4085" t="s">
        <v>116</v>
      </c>
      <c r="L4085" t="s">
        <v>116</v>
      </c>
    </row>
    <row r="4086" spans="1:12" x14ac:dyDescent="0.3">
      <c r="A4086" t="s">
        <v>709</v>
      </c>
      <c r="B4086" t="s">
        <v>1501</v>
      </c>
      <c r="C4086" t="s">
        <v>566</v>
      </c>
      <c r="D4086" t="s">
        <v>334</v>
      </c>
      <c r="E4086" t="s">
        <v>567</v>
      </c>
      <c r="F4086" t="s">
        <v>155</v>
      </c>
      <c r="G4086" t="s">
        <v>111</v>
      </c>
      <c r="H4086" t="s">
        <v>113</v>
      </c>
      <c r="I4086" t="s">
        <v>112</v>
      </c>
      <c r="J4086" t="s">
        <v>114</v>
      </c>
      <c r="K4086" t="s">
        <v>116</v>
      </c>
      <c r="L4086" t="s">
        <v>116</v>
      </c>
    </row>
    <row r="4087" spans="1:12" x14ac:dyDescent="0.3">
      <c r="A4087" t="s">
        <v>709</v>
      </c>
      <c r="B4087" t="s">
        <v>1501</v>
      </c>
      <c r="C4087" t="s">
        <v>566</v>
      </c>
      <c r="D4087" t="s">
        <v>295</v>
      </c>
      <c r="E4087" t="s">
        <v>567</v>
      </c>
      <c r="F4087" t="s">
        <v>103</v>
      </c>
      <c r="G4087" t="s">
        <v>111</v>
      </c>
      <c r="H4087" t="s">
        <v>113</v>
      </c>
      <c r="I4087" t="s">
        <v>112</v>
      </c>
      <c r="J4087" t="s">
        <v>114</v>
      </c>
      <c r="K4087" t="s">
        <v>116</v>
      </c>
      <c r="L4087" t="s">
        <v>116</v>
      </c>
    </row>
    <row r="4088" spans="1:12" x14ac:dyDescent="0.3">
      <c r="A4088" t="s">
        <v>709</v>
      </c>
      <c r="B4088" t="s">
        <v>1501</v>
      </c>
      <c r="C4088" t="s">
        <v>566</v>
      </c>
      <c r="D4088" t="s">
        <v>337</v>
      </c>
      <c r="E4088" t="s">
        <v>567</v>
      </c>
      <c r="F4088" t="s">
        <v>157</v>
      </c>
      <c r="G4088" t="s">
        <v>111</v>
      </c>
      <c r="H4088" t="s">
        <v>113</v>
      </c>
      <c r="I4088" t="s">
        <v>112</v>
      </c>
      <c r="J4088" t="s">
        <v>114</v>
      </c>
      <c r="K4088" t="s">
        <v>116</v>
      </c>
      <c r="L4088" t="s">
        <v>116</v>
      </c>
    </row>
    <row r="4089" spans="1:12" x14ac:dyDescent="0.3">
      <c r="A4089" t="s">
        <v>709</v>
      </c>
      <c r="B4089" t="s">
        <v>1501</v>
      </c>
      <c r="C4089" t="s">
        <v>566</v>
      </c>
      <c r="D4089" t="s">
        <v>296</v>
      </c>
      <c r="E4089" t="s">
        <v>567</v>
      </c>
      <c r="F4089" t="s">
        <v>198</v>
      </c>
      <c r="G4089" t="s">
        <v>111</v>
      </c>
      <c r="H4089" t="s">
        <v>113</v>
      </c>
      <c r="I4089" t="s">
        <v>112</v>
      </c>
      <c r="J4089" t="s">
        <v>114</v>
      </c>
      <c r="K4089" t="s">
        <v>116</v>
      </c>
      <c r="L4089" t="s">
        <v>116</v>
      </c>
    </row>
    <row r="4090" spans="1:12" x14ac:dyDescent="0.3">
      <c r="A4090" t="s">
        <v>709</v>
      </c>
      <c r="B4090" t="s">
        <v>1501</v>
      </c>
      <c r="C4090" t="s">
        <v>566</v>
      </c>
      <c r="D4090" t="s">
        <v>297</v>
      </c>
      <c r="E4090" t="s">
        <v>567</v>
      </c>
      <c r="F4090" t="s">
        <v>180</v>
      </c>
      <c r="G4090" t="s">
        <v>111</v>
      </c>
      <c r="H4090" t="s">
        <v>113</v>
      </c>
      <c r="I4090" t="s">
        <v>112</v>
      </c>
      <c r="J4090" t="s">
        <v>114</v>
      </c>
      <c r="K4090" t="s">
        <v>116</v>
      </c>
      <c r="L4090" t="s">
        <v>116</v>
      </c>
    </row>
    <row r="4091" spans="1:12" x14ac:dyDescent="0.3">
      <c r="A4091" t="s">
        <v>709</v>
      </c>
      <c r="B4091" t="s">
        <v>1501</v>
      </c>
      <c r="C4091" t="s">
        <v>566</v>
      </c>
      <c r="D4091" t="s">
        <v>298</v>
      </c>
      <c r="E4091" t="s">
        <v>567</v>
      </c>
      <c r="F4091" t="s">
        <v>158</v>
      </c>
      <c r="G4091" t="s">
        <v>111</v>
      </c>
      <c r="H4091" t="s">
        <v>113</v>
      </c>
      <c r="I4091" t="s">
        <v>112</v>
      </c>
      <c r="J4091" t="s">
        <v>114</v>
      </c>
      <c r="K4091" t="s">
        <v>116</v>
      </c>
      <c r="L4091" t="s">
        <v>116</v>
      </c>
    </row>
    <row r="4092" spans="1:12" x14ac:dyDescent="0.3">
      <c r="A4092" t="s">
        <v>709</v>
      </c>
      <c r="B4092" t="s">
        <v>1501</v>
      </c>
      <c r="C4092" t="s">
        <v>566</v>
      </c>
      <c r="D4092" t="s">
        <v>336</v>
      </c>
      <c r="E4092" t="s">
        <v>567</v>
      </c>
      <c r="F4092" t="s">
        <v>159</v>
      </c>
      <c r="G4092" t="s">
        <v>111</v>
      </c>
      <c r="H4092" t="s">
        <v>113</v>
      </c>
      <c r="I4092" t="s">
        <v>112</v>
      </c>
      <c r="J4092" t="s">
        <v>114</v>
      </c>
      <c r="K4092" t="s">
        <v>116</v>
      </c>
      <c r="L4092" t="s">
        <v>116</v>
      </c>
    </row>
    <row r="4093" spans="1:12" x14ac:dyDescent="0.3">
      <c r="A4093" t="s">
        <v>709</v>
      </c>
      <c r="B4093" t="s">
        <v>1501</v>
      </c>
      <c r="C4093" t="s">
        <v>566</v>
      </c>
      <c r="D4093" t="s">
        <v>299</v>
      </c>
      <c r="E4093" t="s">
        <v>567</v>
      </c>
      <c r="F4093" t="s">
        <v>47</v>
      </c>
      <c r="G4093" t="s">
        <v>111</v>
      </c>
      <c r="H4093" t="s">
        <v>113</v>
      </c>
      <c r="I4093" t="s">
        <v>112</v>
      </c>
      <c r="J4093" t="s">
        <v>114</v>
      </c>
      <c r="K4093" t="s">
        <v>116</v>
      </c>
      <c r="L4093" t="s">
        <v>116</v>
      </c>
    </row>
    <row r="4094" spans="1:12" x14ac:dyDescent="0.3">
      <c r="A4094" t="s">
        <v>709</v>
      </c>
      <c r="B4094" t="s">
        <v>1501</v>
      </c>
      <c r="C4094" t="s">
        <v>566</v>
      </c>
      <c r="D4094" t="s">
        <v>300</v>
      </c>
      <c r="E4094" t="s">
        <v>567</v>
      </c>
      <c r="F4094" t="s">
        <v>181</v>
      </c>
      <c r="G4094" t="s">
        <v>111</v>
      </c>
      <c r="H4094" t="s">
        <v>113</v>
      </c>
      <c r="I4094" t="s">
        <v>112</v>
      </c>
      <c r="J4094" t="s">
        <v>114</v>
      </c>
      <c r="K4094" t="s">
        <v>116</v>
      </c>
      <c r="L4094" t="s">
        <v>116</v>
      </c>
    </row>
    <row r="4095" spans="1:12" x14ac:dyDescent="0.3">
      <c r="A4095" t="s">
        <v>709</v>
      </c>
      <c r="B4095" t="s">
        <v>1501</v>
      </c>
      <c r="C4095" t="s">
        <v>566</v>
      </c>
      <c r="D4095" t="s">
        <v>208</v>
      </c>
      <c r="E4095" t="s">
        <v>567</v>
      </c>
      <c r="F4095" t="s">
        <v>161</v>
      </c>
      <c r="G4095" t="s">
        <v>111</v>
      </c>
      <c r="H4095" t="s">
        <v>113</v>
      </c>
      <c r="I4095" t="s">
        <v>112</v>
      </c>
      <c r="J4095" t="s">
        <v>114</v>
      </c>
      <c r="K4095" t="s">
        <v>116</v>
      </c>
      <c r="L4095" t="s">
        <v>116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D8FF-F6CC-4B77-B8A7-EE3E12F4486C}">
  <dimension ref="A1:T126"/>
  <sheetViews>
    <sheetView workbookViewId="0">
      <selection activeCell="A32" sqref="A32"/>
    </sheetView>
  </sheetViews>
  <sheetFormatPr defaultRowHeight="14.4" x14ac:dyDescent="0.3"/>
  <cols>
    <col min="1" max="1" width="14.88671875" bestFit="1" customWidth="1"/>
    <col min="2" max="2" width="8.6640625" bestFit="1" customWidth="1"/>
    <col min="3" max="3" width="14.109375" bestFit="1" customWidth="1"/>
    <col min="4" max="4" width="70.44140625" bestFit="1" customWidth="1"/>
    <col min="5" max="5" width="16.6640625" bestFit="1" customWidth="1"/>
    <col min="6" max="6" width="19.5546875" bestFit="1" customWidth="1"/>
    <col min="7" max="7" width="20.44140625" bestFit="1" customWidth="1"/>
    <col min="8" max="8" width="29.21875" bestFit="1" customWidth="1"/>
    <col min="9" max="9" width="23.5546875" bestFit="1" customWidth="1"/>
    <col min="10" max="10" width="22.33203125" bestFit="1" customWidth="1"/>
    <col min="11" max="11" width="23" bestFit="1" customWidth="1"/>
    <col min="12" max="12" width="25.6640625" bestFit="1" customWidth="1"/>
    <col min="13" max="13" width="26.33203125" bestFit="1" customWidth="1"/>
    <col min="14" max="14" width="18.5546875" bestFit="1" customWidth="1"/>
    <col min="15" max="15" width="21.109375" bestFit="1" customWidth="1"/>
    <col min="16" max="16" width="19.33203125" bestFit="1" customWidth="1"/>
    <col min="17" max="17" width="26.33203125" bestFit="1" customWidth="1"/>
    <col min="18" max="18" width="24" bestFit="1" customWidth="1"/>
    <col min="19" max="20" width="16.5546875" bestFit="1" customWidth="1"/>
  </cols>
  <sheetData>
    <row r="1" spans="1:20" x14ac:dyDescent="0.3">
      <c r="A1" s="14" t="s">
        <v>44</v>
      </c>
      <c r="B1" s="14" t="s">
        <v>9</v>
      </c>
      <c r="C1" s="14" t="s">
        <v>10</v>
      </c>
      <c r="D1" s="14" t="s">
        <v>402</v>
      </c>
      <c r="E1" s="14" t="s">
        <v>403</v>
      </c>
      <c r="F1" s="14" t="s">
        <v>404</v>
      </c>
      <c r="G1" s="14" t="s">
        <v>405</v>
      </c>
      <c r="H1" s="14" t="s">
        <v>406</v>
      </c>
      <c r="I1" s="14" t="s">
        <v>407</v>
      </c>
      <c r="J1" s="14" t="s">
        <v>408</v>
      </c>
      <c r="K1" s="14" t="s">
        <v>409</v>
      </c>
      <c r="L1" s="14" t="s">
        <v>410</v>
      </c>
      <c r="M1" s="14" t="s">
        <v>411</v>
      </c>
      <c r="N1" t="s">
        <v>454</v>
      </c>
      <c r="O1" t="s">
        <v>467</v>
      </c>
      <c r="P1" t="s">
        <v>455</v>
      </c>
      <c r="Q1" t="s">
        <v>458</v>
      </c>
      <c r="R1" t="s">
        <v>449</v>
      </c>
      <c r="S1" t="s">
        <v>447</v>
      </c>
      <c r="T1" t="s">
        <v>448</v>
      </c>
    </row>
    <row r="2" spans="1:20" hidden="1" x14ac:dyDescent="0.3">
      <c r="A2" t="s">
        <v>709</v>
      </c>
      <c r="B2" t="s">
        <v>1491</v>
      </c>
      <c r="C2" t="s">
        <v>750</v>
      </c>
      <c r="D2" t="s">
        <v>429</v>
      </c>
      <c r="E2" t="s">
        <v>1492</v>
      </c>
      <c r="F2">
        <v>11</v>
      </c>
      <c r="G2">
        <v>23</v>
      </c>
      <c r="H2" t="s">
        <v>420</v>
      </c>
      <c r="I2">
        <v>1</v>
      </c>
      <c r="J2">
        <v>9</v>
      </c>
      <c r="K2">
        <v>2</v>
      </c>
      <c r="L2" t="s">
        <v>417</v>
      </c>
      <c r="M2">
        <v>1</v>
      </c>
      <c r="N2" t="str">
        <f>INDEX(_xlfn.TEXTSPLIT(ubox[[#This Row],[FirstError - Location]],"."),1,1)</f>
        <v>core_coregp</v>
      </c>
      <c r="O2" t="str">
        <f>_xlfn.XLOOKUP(ubox[[#This Row],[FirstError - IP]],Computes!$S$2:$S$22,Computes!$T$2:$T$22)</f>
        <v>CORE</v>
      </c>
      <c r="P2" t="str">
        <f>INDEX(_xlfn.TEXTSPLIT(ubox[[#This Row],[FirstError - Location]],"."),1,3)</f>
        <v>cpucore</v>
      </c>
      <c r="Q2" t="str">
        <f>_xlfn.XLOOKUP(ubox[[#This Row],[FirstError - Device]],Computes!$AB$2:$AB$22,Computes!$AC$2:$AC$22)</f>
        <v>CORE</v>
      </c>
      <c r="R2">
        <f>_xlfn.XLOOKUP(ubox[[#This Row],[FirstError - Device]],Computes!$AB$1:$AB$22,Computes!$AD$1:$AD$22)</f>
        <v>4</v>
      </c>
      <c r="S2">
        <f>INDEX(_xlfn.TEXTSPLIT(ubox[[#This Row],[FirstError - Location]],"."),1,4)-(ubox[[#This Row],[offset]]*(ubox[[#This Row],[FirstError - DIEID]]-9))</f>
        <v>143</v>
      </c>
      <c r="T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3" spans="1:20" hidden="1" x14ac:dyDescent="0.3">
      <c r="A3" t="s">
        <v>709</v>
      </c>
      <c r="B3" t="s">
        <v>1491</v>
      </c>
      <c r="C3" t="s">
        <v>750</v>
      </c>
      <c r="D3" t="s">
        <v>1493</v>
      </c>
      <c r="E3" t="s">
        <v>1494</v>
      </c>
      <c r="F3">
        <v>9</v>
      </c>
      <c r="G3">
        <v>22</v>
      </c>
      <c r="H3" t="s">
        <v>418</v>
      </c>
      <c r="I3">
        <v>1</v>
      </c>
      <c r="J3">
        <v>11</v>
      </c>
      <c r="K3">
        <v>37</v>
      </c>
      <c r="L3" t="s">
        <v>582</v>
      </c>
      <c r="M3">
        <v>1</v>
      </c>
      <c r="N3" t="str">
        <f>INDEX(_xlfn.TEXTSPLIT(ubox[[#This Row],[FirstError - Location]],"."),1,1)</f>
        <v>core_coregp</v>
      </c>
      <c r="O3" t="str">
        <f>_xlfn.XLOOKUP(ubox[[#This Row],[FirstError - IP]],Computes!$S$2:$S$22,Computes!$T$2:$T$22)</f>
        <v>CORE</v>
      </c>
      <c r="P3" t="str">
        <f>INDEX(_xlfn.TEXTSPLIT(ubox[[#This Row],[FirstError - Location]],"."),1,3)</f>
        <v>cpucore</v>
      </c>
      <c r="Q3" t="str">
        <f>_xlfn.XLOOKUP(ubox[[#This Row],[FirstError - Device]],Computes!$AB$2:$AB$22,Computes!$AC$2:$AC$22)</f>
        <v>CORE</v>
      </c>
      <c r="R3">
        <f>_xlfn.XLOOKUP(ubox[[#This Row],[FirstError - Device]],Computes!$AB$1:$AB$22,Computes!$AD$1:$AD$22)</f>
        <v>4</v>
      </c>
      <c r="S3">
        <f>INDEX(_xlfn.TEXTSPLIT(ubox[[#This Row],[FirstError - Location]],"."),1,4)-(ubox[[#This Row],[offset]]*(ubox[[#This Row],[FirstError - DIEID]]-9))</f>
        <v>22</v>
      </c>
      <c r="T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CORE22</v>
      </c>
    </row>
    <row r="4" spans="1:20" hidden="1" x14ac:dyDescent="0.3">
      <c r="A4" t="s">
        <v>709</v>
      </c>
      <c r="B4" t="s">
        <v>710</v>
      </c>
      <c r="C4" t="s">
        <v>711</v>
      </c>
      <c r="D4" t="s">
        <v>429</v>
      </c>
      <c r="E4" t="s">
        <v>1495</v>
      </c>
      <c r="F4">
        <v>11</v>
      </c>
      <c r="G4">
        <v>23</v>
      </c>
      <c r="H4" t="s">
        <v>420</v>
      </c>
      <c r="I4">
        <v>1</v>
      </c>
      <c r="J4">
        <v>9</v>
      </c>
      <c r="K4">
        <v>29</v>
      </c>
      <c r="L4" t="s">
        <v>412</v>
      </c>
      <c r="M4">
        <v>1</v>
      </c>
      <c r="N4" t="str">
        <f>INDEX(_xlfn.TEXTSPLIT(ubox[[#This Row],[FirstError - Location]],"."),1,1)</f>
        <v>core_coregp</v>
      </c>
      <c r="O4" t="str">
        <f>_xlfn.XLOOKUP(ubox[[#This Row],[FirstError - IP]],Computes!$S$2:$S$22,Computes!$T$2:$T$22)</f>
        <v>CORE</v>
      </c>
      <c r="P4" t="str">
        <f>INDEX(_xlfn.TEXTSPLIT(ubox[[#This Row],[FirstError - Location]],"."),1,3)</f>
        <v>cpucore</v>
      </c>
      <c r="Q4" t="str">
        <f>_xlfn.XLOOKUP(ubox[[#This Row],[FirstError - Device]],Computes!$AB$2:$AB$22,Computes!$AC$2:$AC$22)</f>
        <v>CORE</v>
      </c>
      <c r="R4">
        <f>_xlfn.XLOOKUP(ubox[[#This Row],[FirstError - Device]],Computes!$AB$1:$AB$22,Computes!$AD$1:$AD$22)</f>
        <v>4</v>
      </c>
      <c r="S4">
        <f>INDEX(_xlfn.TEXTSPLIT(ubox[[#This Row],[FirstError - Location]],"."),1,4)-(ubox[[#This Row],[offset]]*(ubox[[#This Row],[FirstError - DIEID]]-9))</f>
        <v>143</v>
      </c>
      <c r="T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5" spans="1:20" hidden="1" x14ac:dyDescent="0.3">
      <c r="A5" t="s">
        <v>709</v>
      </c>
      <c r="B5" t="s">
        <v>710</v>
      </c>
      <c r="C5" t="s">
        <v>711</v>
      </c>
      <c r="D5" t="s">
        <v>1493</v>
      </c>
      <c r="E5" t="s">
        <v>1496</v>
      </c>
      <c r="F5">
        <v>10</v>
      </c>
      <c r="G5">
        <v>48</v>
      </c>
      <c r="H5" t="s">
        <v>438</v>
      </c>
      <c r="I5">
        <v>1</v>
      </c>
      <c r="J5">
        <v>10</v>
      </c>
      <c r="K5">
        <v>1</v>
      </c>
      <c r="L5" t="s">
        <v>523</v>
      </c>
      <c r="M5">
        <v>1</v>
      </c>
      <c r="N5" t="str">
        <f>INDEX(_xlfn.TEXTSPLIT(ubox[[#This Row],[FirstError - Location]],"."),1,1)</f>
        <v>core_coregp</v>
      </c>
      <c r="O5" t="str">
        <f>_xlfn.XLOOKUP(ubox[[#This Row],[FirstError - IP]],Computes!$S$2:$S$22,Computes!$T$2:$T$22)</f>
        <v>CORE</v>
      </c>
      <c r="P5" t="str">
        <f>INDEX(_xlfn.TEXTSPLIT(ubox[[#This Row],[FirstError - Location]],"."),1,3)</f>
        <v>cpucore</v>
      </c>
      <c r="Q5" t="str">
        <f>_xlfn.XLOOKUP(ubox[[#This Row],[FirstError - Device]],Computes!$AB$2:$AB$22,Computes!$AC$2:$AC$22)</f>
        <v>CORE</v>
      </c>
      <c r="R5">
        <f>_xlfn.XLOOKUP(ubox[[#This Row],[FirstError - Device]],Computes!$AB$1:$AB$22,Computes!$AD$1:$AD$22)</f>
        <v>4</v>
      </c>
      <c r="S5">
        <f>INDEX(_xlfn.TEXTSPLIT(ubox[[#This Row],[FirstError - Location]],"."),1,4)-(ubox[[#This Row],[offset]]*(ubox[[#This Row],[FirstError - DIEID]]-9))</f>
        <v>108</v>
      </c>
      <c r="T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CORE108</v>
      </c>
    </row>
    <row r="6" spans="1:20" hidden="1" x14ac:dyDescent="0.3">
      <c r="A6" t="s">
        <v>709</v>
      </c>
      <c r="B6" t="s">
        <v>1461</v>
      </c>
      <c r="C6" t="s">
        <v>750</v>
      </c>
      <c r="D6" t="s">
        <v>429</v>
      </c>
      <c r="E6" t="s">
        <v>1497</v>
      </c>
      <c r="F6">
        <v>11</v>
      </c>
      <c r="G6">
        <v>23</v>
      </c>
      <c r="H6" t="s">
        <v>420</v>
      </c>
      <c r="I6">
        <v>1</v>
      </c>
      <c r="J6">
        <v>10</v>
      </c>
      <c r="K6">
        <v>48</v>
      </c>
      <c r="L6" t="s">
        <v>438</v>
      </c>
      <c r="M6">
        <v>1</v>
      </c>
      <c r="N6" t="str">
        <f>INDEX(_xlfn.TEXTSPLIT(ubox[[#This Row],[FirstError - Location]],"."),1,1)</f>
        <v>core_coregp</v>
      </c>
      <c r="O6" t="str">
        <f>_xlfn.XLOOKUP(ubox[[#This Row],[FirstError - IP]],Computes!$S$2:$S$22,Computes!$T$2:$T$22)</f>
        <v>CORE</v>
      </c>
      <c r="P6" t="str">
        <f>INDEX(_xlfn.TEXTSPLIT(ubox[[#This Row],[FirstError - Location]],"."),1,3)</f>
        <v>cpucore</v>
      </c>
      <c r="Q6" t="str">
        <f>_xlfn.XLOOKUP(ubox[[#This Row],[FirstError - Device]],Computes!$AB$2:$AB$22,Computes!$AC$2:$AC$22)</f>
        <v>CORE</v>
      </c>
      <c r="R6">
        <f>_xlfn.XLOOKUP(ubox[[#This Row],[FirstError - Device]],Computes!$AB$1:$AB$22,Computes!$AD$1:$AD$22)</f>
        <v>4</v>
      </c>
      <c r="S6">
        <f>INDEX(_xlfn.TEXTSPLIT(ubox[[#This Row],[FirstError - Location]],"."),1,4)-(ubox[[#This Row],[offset]]*(ubox[[#This Row],[FirstError - DIEID]]-9))</f>
        <v>143</v>
      </c>
      <c r="T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7" spans="1:20" hidden="1" x14ac:dyDescent="0.3">
      <c r="A7" t="s">
        <v>709</v>
      </c>
      <c r="B7" t="s">
        <v>1461</v>
      </c>
      <c r="C7" t="s">
        <v>750</v>
      </c>
      <c r="D7" t="s">
        <v>1493</v>
      </c>
      <c r="E7" t="s">
        <v>1498</v>
      </c>
      <c r="F7">
        <v>10</v>
      </c>
      <c r="G7">
        <v>24</v>
      </c>
      <c r="H7" t="s">
        <v>413</v>
      </c>
      <c r="I7">
        <v>1</v>
      </c>
      <c r="J7">
        <v>10</v>
      </c>
      <c r="K7">
        <v>6</v>
      </c>
      <c r="L7" t="s">
        <v>434</v>
      </c>
      <c r="M7">
        <v>1</v>
      </c>
      <c r="N7" t="str">
        <f>INDEX(_xlfn.TEXTSPLIT(ubox[[#This Row],[FirstError - Location]],"."),1,1)</f>
        <v>core_coregp</v>
      </c>
      <c r="O7" t="str">
        <f>_xlfn.XLOOKUP(ubox[[#This Row],[FirstError - IP]],Computes!$S$2:$S$22,Computes!$T$2:$T$22)</f>
        <v>CORE</v>
      </c>
      <c r="P7" t="str">
        <f>INDEX(_xlfn.TEXTSPLIT(ubox[[#This Row],[FirstError - Location]],"."),1,3)</f>
        <v>cpucore</v>
      </c>
      <c r="Q7" t="str">
        <f>_xlfn.XLOOKUP(ubox[[#This Row],[FirstError - Device]],Computes!$AB$2:$AB$22,Computes!$AC$2:$AC$22)</f>
        <v>CORE</v>
      </c>
      <c r="R7">
        <f>_xlfn.XLOOKUP(ubox[[#This Row],[FirstError - Device]],Computes!$AB$1:$AB$22,Computes!$AD$1:$AD$22)</f>
        <v>4</v>
      </c>
      <c r="S7">
        <f>INDEX(_xlfn.TEXTSPLIT(ubox[[#This Row],[FirstError - Location]],"."),1,4)-(ubox[[#This Row],[offset]]*(ubox[[#This Row],[FirstError - DIEID]]-9))</f>
        <v>84</v>
      </c>
      <c r="T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CORE84</v>
      </c>
    </row>
    <row r="8" spans="1:20" hidden="1" x14ac:dyDescent="0.3">
      <c r="A8" t="s">
        <v>709</v>
      </c>
      <c r="B8" t="s">
        <v>726</v>
      </c>
      <c r="C8" t="s">
        <v>711</v>
      </c>
      <c r="D8" t="s">
        <v>429</v>
      </c>
      <c r="E8" t="s">
        <v>1499</v>
      </c>
      <c r="F8">
        <v>11</v>
      </c>
      <c r="G8">
        <v>23</v>
      </c>
      <c r="H8" t="s">
        <v>420</v>
      </c>
      <c r="I8">
        <v>1</v>
      </c>
      <c r="J8">
        <v>11</v>
      </c>
      <c r="K8">
        <v>10</v>
      </c>
      <c r="L8" t="s">
        <v>415</v>
      </c>
      <c r="M8">
        <v>1</v>
      </c>
      <c r="N8" t="str">
        <f>INDEX(_xlfn.TEXTSPLIT(ubox[[#This Row],[FirstError - Location]],"."),1,1)</f>
        <v>core_coregp</v>
      </c>
      <c r="O8" t="str">
        <f>_xlfn.XLOOKUP(ubox[[#This Row],[FirstError - IP]],Computes!$S$2:$S$22,Computes!$T$2:$T$22)</f>
        <v>CORE</v>
      </c>
      <c r="P8" t="str">
        <f>INDEX(_xlfn.TEXTSPLIT(ubox[[#This Row],[FirstError - Location]],"."),1,3)</f>
        <v>cpucore</v>
      </c>
      <c r="Q8" t="str">
        <f>_xlfn.XLOOKUP(ubox[[#This Row],[FirstError - Device]],Computes!$AB$2:$AB$22,Computes!$AC$2:$AC$22)</f>
        <v>CORE</v>
      </c>
      <c r="R8">
        <f>_xlfn.XLOOKUP(ubox[[#This Row],[FirstError - Device]],Computes!$AB$1:$AB$22,Computes!$AD$1:$AD$22)</f>
        <v>4</v>
      </c>
      <c r="S8">
        <f>INDEX(_xlfn.TEXTSPLIT(ubox[[#This Row],[FirstError - Location]],"."),1,4)-(ubox[[#This Row],[offset]]*(ubox[[#This Row],[FirstError - DIEID]]-9))</f>
        <v>143</v>
      </c>
      <c r="T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9" spans="1:20" hidden="1" x14ac:dyDescent="0.3">
      <c r="A9" t="s">
        <v>709</v>
      </c>
      <c r="B9" t="s">
        <v>726</v>
      </c>
      <c r="C9" t="s">
        <v>711</v>
      </c>
      <c r="D9" t="s">
        <v>1493</v>
      </c>
      <c r="E9" t="s">
        <v>1500</v>
      </c>
      <c r="F9">
        <v>11</v>
      </c>
      <c r="G9">
        <v>9</v>
      </c>
      <c r="H9" t="s">
        <v>414</v>
      </c>
      <c r="I9">
        <v>1</v>
      </c>
      <c r="J9">
        <v>11</v>
      </c>
      <c r="K9">
        <v>14</v>
      </c>
      <c r="L9" t="s">
        <v>419</v>
      </c>
      <c r="M9">
        <v>1</v>
      </c>
      <c r="N9" t="str">
        <f>INDEX(_xlfn.TEXTSPLIT(ubox[[#This Row],[FirstError - Location]],"."),1,1)</f>
        <v>core_coregp</v>
      </c>
      <c r="O9" t="str">
        <f>_xlfn.XLOOKUP(ubox[[#This Row],[FirstError - IP]],Computes!$S$2:$S$22,Computes!$T$2:$T$22)</f>
        <v>CORE</v>
      </c>
      <c r="P9" t="str">
        <f>INDEX(_xlfn.TEXTSPLIT(ubox[[#This Row],[FirstError - Location]],"."),1,3)</f>
        <v>cpucore</v>
      </c>
      <c r="Q9" t="str">
        <f>_xlfn.XLOOKUP(ubox[[#This Row],[FirstError - Device]],Computes!$AB$2:$AB$22,Computes!$AC$2:$AC$22)</f>
        <v>CORE</v>
      </c>
      <c r="R9">
        <f>_xlfn.XLOOKUP(ubox[[#This Row],[FirstError - Device]],Computes!$AB$1:$AB$22,Computes!$AD$1:$AD$22)</f>
        <v>4</v>
      </c>
      <c r="S9">
        <f>INDEX(_xlfn.TEXTSPLIT(ubox[[#This Row],[FirstError - Location]],"."),1,4)-(ubox[[#This Row],[offset]]*(ubox[[#This Row],[FirstError - DIEID]]-9))</f>
        <v>129</v>
      </c>
      <c r="T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CORE129</v>
      </c>
    </row>
    <row r="10" spans="1:20" hidden="1" x14ac:dyDescent="0.3">
      <c r="A10" t="s">
        <v>709</v>
      </c>
      <c r="B10" t="s">
        <v>732</v>
      </c>
      <c r="C10" t="s">
        <v>733</v>
      </c>
      <c r="D10" t="s">
        <v>429</v>
      </c>
      <c r="E10" t="s">
        <v>1492</v>
      </c>
      <c r="F10">
        <v>11</v>
      </c>
      <c r="G10">
        <v>23</v>
      </c>
      <c r="H10" t="s">
        <v>420</v>
      </c>
      <c r="I10">
        <v>1</v>
      </c>
      <c r="J10">
        <v>9</v>
      </c>
      <c r="K10">
        <v>2</v>
      </c>
      <c r="L10" t="s">
        <v>417</v>
      </c>
      <c r="M10">
        <v>1</v>
      </c>
      <c r="N10" t="str">
        <f>INDEX(_xlfn.TEXTSPLIT(ubox[[#This Row],[FirstError - Location]],"."),1,1)</f>
        <v>core_coregp</v>
      </c>
      <c r="O10" t="str">
        <f>_xlfn.XLOOKUP(ubox[[#This Row],[FirstError - IP]],Computes!$S$2:$S$22,Computes!$T$2:$T$22)</f>
        <v>CORE</v>
      </c>
      <c r="P10" t="str">
        <f>INDEX(_xlfn.TEXTSPLIT(ubox[[#This Row],[FirstError - Location]],"."),1,3)</f>
        <v>cpucore</v>
      </c>
      <c r="Q10" t="str">
        <f>_xlfn.XLOOKUP(ubox[[#This Row],[FirstError - Device]],Computes!$AB$2:$AB$22,Computes!$AC$2:$AC$22)</f>
        <v>CORE</v>
      </c>
      <c r="R10">
        <f>_xlfn.XLOOKUP(ubox[[#This Row],[FirstError - Device]],Computes!$AB$1:$AB$22,Computes!$AD$1:$AD$22)</f>
        <v>4</v>
      </c>
      <c r="S10">
        <f>INDEX(_xlfn.TEXTSPLIT(ubox[[#This Row],[FirstError - Location]],"."),1,4)-(ubox[[#This Row],[offset]]*(ubox[[#This Row],[FirstError - DIEID]]-9))</f>
        <v>143</v>
      </c>
      <c r="T1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11" spans="1:20" x14ac:dyDescent="0.3">
      <c r="A11" t="s">
        <v>709</v>
      </c>
      <c r="B11" t="s">
        <v>1501</v>
      </c>
      <c r="C11" t="s">
        <v>566</v>
      </c>
      <c r="D11" t="s">
        <v>429</v>
      </c>
      <c r="E11" t="s">
        <v>1502</v>
      </c>
      <c r="F11">
        <v>11</v>
      </c>
      <c r="G11">
        <v>23</v>
      </c>
      <c r="H11" t="s">
        <v>420</v>
      </c>
      <c r="I11">
        <v>1</v>
      </c>
      <c r="J11">
        <v>9</v>
      </c>
      <c r="K11">
        <v>30</v>
      </c>
      <c r="L11" t="s">
        <v>433</v>
      </c>
      <c r="M11">
        <v>1</v>
      </c>
      <c r="N11" t="str">
        <f>INDEX(_xlfn.TEXTSPLIT(ubox[[#This Row],[FirstError - Location]],"."),1,1)</f>
        <v>core_coregp</v>
      </c>
      <c r="O11" t="str">
        <f>_xlfn.XLOOKUP(ubox[[#This Row],[FirstError - IP]],Computes!$S$2:$S$22,Computes!$T$2:$T$22)</f>
        <v>CORE</v>
      </c>
      <c r="P11" t="str">
        <f>INDEX(_xlfn.TEXTSPLIT(ubox[[#This Row],[FirstError - Location]],"."),1,3)</f>
        <v>cpucore</v>
      </c>
      <c r="Q11" t="str">
        <f>_xlfn.XLOOKUP(ubox[[#This Row],[FirstError - Device]],Computes!$AB$2:$AB$22,Computes!$AC$2:$AC$22)</f>
        <v>CORE</v>
      </c>
      <c r="R11">
        <f>_xlfn.XLOOKUP(ubox[[#This Row],[FirstError - Device]],Computes!$AB$1:$AB$22,Computes!$AD$1:$AD$22)</f>
        <v>4</v>
      </c>
      <c r="S11">
        <f>INDEX(_xlfn.TEXTSPLIT(ubox[[#This Row],[FirstError - Location]],"."),1,4)-(ubox[[#This Row],[offset]]*(ubox[[#This Row],[FirstError - DIEID]]-9))</f>
        <v>143</v>
      </c>
      <c r="T1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12" spans="1:20" hidden="1" x14ac:dyDescent="0.3">
      <c r="A12" t="s">
        <v>709</v>
      </c>
      <c r="B12" t="s">
        <v>710</v>
      </c>
      <c r="C12" t="s">
        <v>750</v>
      </c>
      <c r="D12" t="s">
        <v>1503</v>
      </c>
      <c r="E12" t="s">
        <v>1504</v>
      </c>
      <c r="F12">
        <v>9</v>
      </c>
      <c r="G12">
        <v>1777</v>
      </c>
      <c r="H12" t="s">
        <v>436</v>
      </c>
      <c r="I12">
        <v>0</v>
      </c>
      <c r="J12">
        <v>10</v>
      </c>
      <c r="K12">
        <v>1777</v>
      </c>
      <c r="L12" t="s">
        <v>437</v>
      </c>
      <c r="M12">
        <v>0</v>
      </c>
      <c r="N12" t="str">
        <f>INDEX(_xlfn.TEXTSPLIT(ubox[[#This Row],[FirstError - Location]],"."),1,1)</f>
        <v>punit_ptpcioregs_0</v>
      </c>
      <c r="O12" t="str">
        <f>_xlfn.XLOOKUP(ubox[[#This Row],[FirstError - IP]],Computes!$S$2:$S$22,Computes!$T$2:$T$22)</f>
        <v>PUNIT</v>
      </c>
      <c r="P12" t="str">
        <f>INDEX(_xlfn.TEXTSPLIT(ubox[[#This Row],[FirstError - Location]],"."),1,3)</f>
        <v>eprpunit</v>
      </c>
      <c r="Q12" t="str">
        <f>_xlfn.XLOOKUP(ubox[[#This Row],[FirstError - Device]],Computes!$AB$2:$AB$22,Computes!$AC$2:$AC$22)</f>
        <v>EPRPUNIT</v>
      </c>
      <c r="R12">
        <f>_xlfn.XLOOKUP(ubox[[#This Row],[FirstError - Device]],Computes!$AB$1:$AB$22,Computes!$AD$1:$AD$22)</f>
        <v>0</v>
      </c>
      <c r="S12">
        <f>INDEX(_xlfn.TEXTSPLIT(ubox[[#This Row],[FirstError - Location]],"."),1,4)-(ubox[[#This Row],[offset]]*(ubox[[#This Row],[FirstError - DIEID]]-9))</f>
        <v>0</v>
      </c>
      <c r="T1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PUNIT:EPRPUNIT0</v>
      </c>
    </row>
    <row r="13" spans="1:20" hidden="1" x14ac:dyDescent="0.3">
      <c r="A13" t="s">
        <v>709</v>
      </c>
      <c r="B13" t="s">
        <v>1491</v>
      </c>
      <c r="C13" t="s">
        <v>750</v>
      </c>
      <c r="D13" t="s">
        <v>430</v>
      </c>
      <c r="E13" t="s">
        <v>1492</v>
      </c>
      <c r="F13">
        <v>11</v>
      </c>
      <c r="G13">
        <v>23</v>
      </c>
      <c r="H13" t="s">
        <v>420</v>
      </c>
      <c r="I13">
        <v>1</v>
      </c>
      <c r="J13">
        <v>9</v>
      </c>
      <c r="K13">
        <v>2</v>
      </c>
      <c r="L13" t="s">
        <v>417</v>
      </c>
      <c r="M13">
        <v>1</v>
      </c>
      <c r="N13" t="str">
        <f>INDEX(_xlfn.TEXTSPLIT(ubox[[#This Row],[FirstError - Location]],"."),1,1)</f>
        <v>core_coregp</v>
      </c>
      <c r="O13" t="str">
        <f>_xlfn.XLOOKUP(ubox[[#This Row],[FirstError - IP]],Computes!$S$2:$S$22,Computes!$T$2:$T$22)</f>
        <v>CORE</v>
      </c>
      <c r="P13" t="str">
        <f>INDEX(_xlfn.TEXTSPLIT(ubox[[#This Row],[FirstError - Location]],"."),1,3)</f>
        <v>cpucore</v>
      </c>
      <c r="Q13" t="str">
        <f>_xlfn.XLOOKUP(ubox[[#This Row],[FirstError - Device]],Computes!$AB$2:$AB$22,Computes!$AC$2:$AC$22)</f>
        <v>CORE</v>
      </c>
      <c r="R13">
        <f>_xlfn.XLOOKUP(ubox[[#This Row],[FirstError - Device]],Computes!$AB$1:$AB$22,Computes!$AD$1:$AD$22)</f>
        <v>4</v>
      </c>
      <c r="S13">
        <f>INDEX(_xlfn.TEXTSPLIT(ubox[[#This Row],[FirstError - Location]],"."),1,4)-(ubox[[#This Row],[offset]]*(ubox[[#This Row],[FirstError - DIEID]]-9))</f>
        <v>143</v>
      </c>
      <c r="T1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14" spans="1:20" hidden="1" x14ac:dyDescent="0.3">
      <c r="A14" t="s">
        <v>709</v>
      </c>
      <c r="B14" t="s">
        <v>1491</v>
      </c>
      <c r="C14" t="s">
        <v>750</v>
      </c>
      <c r="D14" t="s">
        <v>1503</v>
      </c>
      <c r="E14" t="s">
        <v>1494</v>
      </c>
      <c r="F14">
        <v>9</v>
      </c>
      <c r="G14">
        <v>22</v>
      </c>
      <c r="H14" t="s">
        <v>418</v>
      </c>
      <c r="I14">
        <v>1</v>
      </c>
      <c r="J14">
        <v>11</v>
      </c>
      <c r="K14">
        <v>37</v>
      </c>
      <c r="L14" t="s">
        <v>582</v>
      </c>
      <c r="M14">
        <v>1</v>
      </c>
      <c r="N14" t="str">
        <f>INDEX(_xlfn.TEXTSPLIT(ubox[[#This Row],[FirstError - Location]],"."),1,1)</f>
        <v>core_coregp</v>
      </c>
      <c r="O14" t="str">
        <f>_xlfn.XLOOKUP(ubox[[#This Row],[FirstError - IP]],Computes!$S$2:$S$22,Computes!$T$2:$T$22)</f>
        <v>CORE</v>
      </c>
      <c r="P14" t="str">
        <f>INDEX(_xlfn.TEXTSPLIT(ubox[[#This Row],[FirstError - Location]],"."),1,3)</f>
        <v>cpucore</v>
      </c>
      <c r="Q14" t="str">
        <f>_xlfn.XLOOKUP(ubox[[#This Row],[FirstError - Device]],Computes!$AB$2:$AB$22,Computes!$AC$2:$AC$22)</f>
        <v>CORE</v>
      </c>
      <c r="R14">
        <f>_xlfn.XLOOKUP(ubox[[#This Row],[FirstError - Device]],Computes!$AB$1:$AB$22,Computes!$AD$1:$AD$22)</f>
        <v>4</v>
      </c>
      <c r="S14">
        <f>INDEX(_xlfn.TEXTSPLIT(ubox[[#This Row],[FirstError - Location]],"."),1,4)-(ubox[[#This Row],[offset]]*(ubox[[#This Row],[FirstError - DIEID]]-9))</f>
        <v>22</v>
      </c>
      <c r="T1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CORE22</v>
      </c>
    </row>
    <row r="15" spans="1:20" hidden="1" x14ac:dyDescent="0.3">
      <c r="A15" t="s">
        <v>709</v>
      </c>
      <c r="B15" t="s">
        <v>710</v>
      </c>
      <c r="C15" t="s">
        <v>711</v>
      </c>
      <c r="D15" t="s">
        <v>430</v>
      </c>
      <c r="E15" t="s">
        <v>1495</v>
      </c>
      <c r="F15">
        <v>11</v>
      </c>
      <c r="G15">
        <v>23</v>
      </c>
      <c r="H15" t="s">
        <v>420</v>
      </c>
      <c r="I15">
        <v>1</v>
      </c>
      <c r="J15">
        <v>9</v>
      </c>
      <c r="K15">
        <v>29</v>
      </c>
      <c r="L15" t="s">
        <v>412</v>
      </c>
      <c r="M15">
        <v>1</v>
      </c>
      <c r="N15" t="str">
        <f>INDEX(_xlfn.TEXTSPLIT(ubox[[#This Row],[FirstError - Location]],"."),1,1)</f>
        <v>core_coregp</v>
      </c>
      <c r="O15" t="str">
        <f>_xlfn.XLOOKUP(ubox[[#This Row],[FirstError - IP]],Computes!$S$2:$S$22,Computes!$T$2:$T$22)</f>
        <v>CORE</v>
      </c>
      <c r="P15" t="str">
        <f>INDEX(_xlfn.TEXTSPLIT(ubox[[#This Row],[FirstError - Location]],"."),1,3)</f>
        <v>cpucore</v>
      </c>
      <c r="Q15" t="str">
        <f>_xlfn.XLOOKUP(ubox[[#This Row],[FirstError - Device]],Computes!$AB$2:$AB$22,Computes!$AC$2:$AC$22)</f>
        <v>CORE</v>
      </c>
      <c r="R15">
        <f>_xlfn.XLOOKUP(ubox[[#This Row],[FirstError - Device]],Computes!$AB$1:$AB$22,Computes!$AD$1:$AD$22)</f>
        <v>4</v>
      </c>
      <c r="S15">
        <f>INDEX(_xlfn.TEXTSPLIT(ubox[[#This Row],[FirstError - Location]],"."),1,4)-(ubox[[#This Row],[offset]]*(ubox[[#This Row],[FirstError - DIEID]]-9))</f>
        <v>143</v>
      </c>
      <c r="T1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16" spans="1:20" hidden="1" x14ac:dyDescent="0.3">
      <c r="A16" t="s">
        <v>709</v>
      </c>
      <c r="B16" t="s">
        <v>710</v>
      </c>
      <c r="C16" t="s">
        <v>711</v>
      </c>
      <c r="D16" t="s">
        <v>1503</v>
      </c>
      <c r="E16" t="s">
        <v>1496</v>
      </c>
      <c r="F16">
        <v>10</v>
      </c>
      <c r="G16">
        <v>48</v>
      </c>
      <c r="H16" t="s">
        <v>438</v>
      </c>
      <c r="I16">
        <v>1</v>
      </c>
      <c r="J16">
        <v>10</v>
      </c>
      <c r="K16">
        <v>1</v>
      </c>
      <c r="L16" t="s">
        <v>523</v>
      </c>
      <c r="M16">
        <v>1</v>
      </c>
      <c r="N16" t="str">
        <f>INDEX(_xlfn.TEXTSPLIT(ubox[[#This Row],[FirstError - Location]],"."),1,1)</f>
        <v>core_coregp</v>
      </c>
      <c r="O16" t="str">
        <f>_xlfn.XLOOKUP(ubox[[#This Row],[FirstError - IP]],Computes!$S$2:$S$22,Computes!$T$2:$T$22)</f>
        <v>CORE</v>
      </c>
      <c r="P16" t="str">
        <f>INDEX(_xlfn.TEXTSPLIT(ubox[[#This Row],[FirstError - Location]],"."),1,3)</f>
        <v>cpucore</v>
      </c>
      <c r="Q16" t="str">
        <f>_xlfn.XLOOKUP(ubox[[#This Row],[FirstError - Device]],Computes!$AB$2:$AB$22,Computes!$AC$2:$AC$22)</f>
        <v>CORE</v>
      </c>
      <c r="R16">
        <f>_xlfn.XLOOKUP(ubox[[#This Row],[FirstError - Device]],Computes!$AB$1:$AB$22,Computes!$AD$1:$AD$22)</f>
        <v>4</v>
      </c>
      <c r="S16">
        <f>INDEX(_xlfn.TEXTSPLIT(ubox[[#This Row],[FirstError - Location]],"."),1,4)-(ubox[[#This Row],[offset]]*(ubox[[#This Row],[FirstError - DIEID]]-9))</f>
        <v>108</v>
      </c>
      <c r="T1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CORE108</v>
      </c>
    </row>
    <row r="17" spans="1:20" hidden="1" x14ac:dyDescent="0.3">
      <c r="A17" t="s">
        <v>709</v>
      </c>
      <c r="B17" t="s">
        <v>1461</v>
      </c>
      <c r="C17" t="s">
        <v>750</v>
      </c>
      <c r="D17" t="s">
        <v>430</v>
      </c>
      <c r="E17" t="s">
        <v>1497</v>
      </c>
      <c r="F17">
        <v>11</v>
      </c>
      <c r="G17">
        <v>23</v>
      </c>
      <c r="H17" t="s">
        <v>420</v>
      </c>
      <c r="I17">
        <v>1</v>
      </c>
      <c r="J17">
        <v>10</v>
      </c>
      <c r="K17">
        <v>48</v>
      </c>
      <c r="L17" t="s">
        <v>438</v>
      </c>
      <c r="M17">
        <v>1</v>
      </c>
      <c r="N17" t="str">
        <f>INDEX(_xlfn.TEXTSPLIT(ubox[[#This Row],[FirstError - Location]],"."),1,1)</f>
        <v>core_coregp</v>
      </c>
      <c r="O17" t="str">
        <f>_xlfn.XLOOKUP(ubox[[#This Row],[FirstError - IP]],Computes!$S$2:$S$22,Computes!$T$2:$T$22)</f>
        <v>CORE</v>
      </c>
      <c r="P17" t="str">
        <f>INDEX(_xlfn.TEXTSPLIT(ubox[[#This Row],[FirstError - Location]],"."),1,3)</f>
        <v>cpucore</v>
      </c>
      <c r="Q17" t="str">
        <f>_xlfn.XLOOKUP(ubox[[#This Row],[FirstError - Device]],Computes!$AB$2:$AB$22,Computes!$AC$2:$AC$22)</f>
        <v>CORE</v>
      </c>
      <c r="R17">
        <f>_xlfn.XLOOKUP(ubox[[#This Row],[FirstError - Device]],Computes!$AB$1:$AB$22,Computes!$AD$1:$AD$22)</f>
        <v>4</v>
      </c>
      <c r="S17">
        <f>INDEX(_xlfn.TEXTSPLIT(ubox[[#This Row],[FirstError - Location]],"."),1,4)-(ubox[[#This Row],[offset]]*(ubox[[#This Row],[FirstError - DIEID]]-9))</f>
        <v>143</v>
      </c>
      <c r="T1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18" spans="1:20" hidden="1" x14ac:dyDescent="0.3">
      <c r="A18" t="s">
        <v>709</v>
      </c>
      <c r="B18" t="s">
        <v>1461</v>
      </c>
      <c r="C18" t="s">
        <v>750</v>
      </c>
      <c r="D18" t="s">
        <v>1503</v>
      </c>
      <c r="E18" t="s">
        <v>1498</v>
      </c>
      <c r="F18">
        <v>10</v>
      </c>
      <c r="G18">
        <v>24</v>
      </c>
      <c r="H18" t="s">
        <v>413</v>
      </c>
      <c r="I18">
        <v>1</v>
      </c>
      <c r="J18">
        <v>10</v>
      </c>
      <c r="K18">
        <v>6</v>
      </c>
      <c r="L18" t="s">
        <v>434</v>
      </c>
      <c r="M18">
        <v>1</v>
      </c>
      <c r="N18" t="str">
        <f>INDEX(_xlfn.TEXTSPLIT(ubox[[#This Row],[FirstError - Location]],"."),1,1)</f>
        <v>core_coregp</v>
      </c>
      <c r="O18" t="str">
        <f>_xlfn.XLOOKUP(ubox[[#This Row],[FirstError - IP]],Computes!$S$2:$S$22,Computes!$T$2:$T$22)</f>
        <v>CORE</v>
      </c>
      <c r="P18" t="str">
        <f>INDEX(_xlfn.TEXTSPLIT(ubox[[#This Row],[FirstError - Location]],"."),1,3)</f>
        <v>cpucore</v>
      </c>
      <c r="Q18" t="str">
        <f>_xlfn.XLOOKUP(ubox[[#This Row],[FirstError - Device]],Computes!$AB$2:$AB$22,Computes!$AC$2:$AC$22)</f>
        <v>CORE</v>
      </c>
      <c r="R18">
        <f>_xlfn.XLOOKUP(ubox[[#This Row],[FirstError - Device]],Computes!$AB$1:$AB$22,Computes!$AD$1:$AD$22)</f>
        <v>4</v>
      </c>
      <c r="S18">
        <f>INDEX(_xlfn.TEXTSPLIT(ubox[[#This Row],[FirstError - Location]],"."),1,4)-(ubox[[#This Row],[offset]]*(ubox[[#This Row],[FirstError - DIEID]]-9))</f>
        <v>84</v>
      </c>
      <c r="T1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CORE84</v>
      </c>
    </row>
    <row r="19" spans="1:20" hidden="1" x14ac:dyDescent="0.3">
      <c r="A19" t="s">
        <v>709</v>
      </c>
      <c r="B19" t="s">
        <v>726</v>
      </c>
      <c r="C19" t="s">
        <v>711</v>
      </c>
      <c r="D19" t="s">
        <v>430</v>
      </c>
      <c r="E19" t="s">
        <v>1499</v>
      </c>
      <c r="F19">
        <v>11</v>
      </c>
      <c r="G19">
        <v>23</v>
      </c>
      <c r="H19" t="s">
        <v>420</v>
      </c>
      <c r="I19">
        <v>1</v>
      </c>
      <c r="J19">
        <v>11</v>
      </c>
      <c r="K19">
        <v>10</v>
      </c>
      <c r="L19" t="s">
        <v>415</v>
      </c>
      <c r="M19">
        <v>1</v>
      </c>
      <c r="N19" t="str">
        <f>INDEX(_xlfn.TEXTSPLIT(ubox[[#This Row],[FirstError - Location]],"."),1,1)</f>
        <v>core_coregp</v>
      </c>
      <c r="O19" t="str">
        <f>_xlfn.XLOOKUP(ubox[[#This Row],[FirstError - IP]],Computes!$S$2:$S$22,Computes!$T$2:$T$22)</f>
        <v>CORE</v>
      </c>
      <c r="P19" t="str">
        <f>INDEX(_xlfn.TEXTSPLIT(ubox[[#This Row],[FirstError - Location]],"."),1,3)</f>
        <v>cpucore</v>
      </c>
      <c r="Q19" t="str">
        <f>_xlfn.XLOOKUP(ubox[[#This Row],[FirstError - Device]],Computes!$AB$2:$AB$22,Computes!$AC$2:$AC$22)</f>
        <v>CORE</v>
      </c>
      <c r="R19">
        <f>_xlfn.XLOOKUP(ubox[[#This Row],[FirstError - Device]],Computes!$AB$1:$AB$22,Computes!$AD$1:$AD$22)</f>
        <v>4</v>
      </c>
      <c r="S19">
        <f>INDEX(_xlfn.TEXTSPLIT(ubox[[#This Row],[FirstError - Location]],"."),1,4)-(ubox[[#This Row],[offset]]*(ubox[[#This Row],[FirstError - DIEID]]-9))</f>
        <v>143</v>
      </c>
      <c r="T1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20" spans="1:20" hidden="1" x14ac:dyDescent="0.3">
      <c r="A20" t="s">
        <v>709</v>
      </c>
      <c r="B20" t="s">
        <v>726</v>
      </c>
      <c r="C20" t="s">
        <v>711</v>
      </c>
      <c r="D20" t="s">
        <v>1503</v>
      </c>
      <c r="E20" t="s">
        <v>1500</v>
      </c>
      <c r="F20">
        <v>11</v>
      </c>
      <c r="G20">
        <v>9</v>
      </c>
      <c r="H20" t="s">
        <v>414</v>
      </c>
      <c r="I20">
        <v>1</v>
      </c>
      <c r="J20">
        <v>11</v>
      </c>
      <c r="K20">
        <v>14</v>
      </c>
      <c r="L20" t="s">
        <v>419</v>
      </c>
      <c r="M20">
        <v>1</v>
      </c>
      <c r="N20" t="str">
        <f>INDEX(_xlfn.TEXTSPLIT(ubox[[#This Row],[FirstError - Location]],"."),1,1)</f>
        <v>core_coregp</v>
      </c>
      <c r="O20" t="str">
        <f>_xlfn.XLOOKUP(ubox[[#This Row],[FirstError - IP]],Computes!$S$2:$S$22,Computes!$T$2:$T$22)</f>
        <v>CORE</v>
      </c>
      <c r="P20" t="str">
        <f>INDEX(_xlfn.TEXTSPLIT(ubox[[#This Row],[FirstError - Location]],"."),1,3)</f>
        <v>cpucore</v>
      </c>
      <c r="Q20" t="str">
        <f>_xlfn.XLOOKUP(ubox[[#This Row],[FirstError - Device]],Computes!$AB$2:$AB$22,Computes!$AC$2:$AC$22)</f>
        <v>CORE</v>
      </c>
      <c r="R20">
        <f>_xlfn.XLOOKUP(ubox[[#This Row],[FirstError - Device]],Computes!$AB$1:$AB$22,Computes!$AD$1:$AD$22)</f>
        <v>4</v>
      </c>
      <c r="S20">
        <f>INDEX(_xlfn.TEXTSPLIT(ubox[[#This Row],[FirstError - Location]],"."),1,4)-(ubox[[#This Row],[offset]]*(ubox[[#This Row],[FirstError - DIEID]]-9))</f>
        <v>129</v>
      </c>
      <c r="T2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CORE129</v>
      </c>
    </row>
    <row r="21" spans="1:20" hidden="1" x14ac:dyDescent="0.3">
      <c r="A21" t="s">
        <v>709</v>
      </c>
      <c r="B21" t="s">
        <v>732</v>
      </c>
      <c r="C21" t="s">
        <v>733</v>
      </c>
      <c r="D21" t="s">
        <v>430</v>
      </c>
      <c r="E21" t="s">
        <v>1492</v>
      </c>
      <c r="F21">
        <v>11</v>
      </c>
      <c r="G21">
        <v>23</v>
      </c>
      <c r="H21" t="s">
        <v>420</v>
      </c>
      <c r="I21">
        <v>1</v>
      </c>
      <c r="J21">
        <v>9</v>
      </c>
      <c r="K21">
        <v>2</v>
      </c>
      <c r="L21" t="s">
        <v>417</v>
      </c>
      <c r="M21">
        <v>1</v>
      </c>
      <c r="N21" t="str">
        <f>INDEX(_xlfn.TEXTSPLIT(ubox[[#This Row],[FirstError - Location]],"."),1,1)</f>
        <v>core_coregp</v>
      </c>
      <c r="O21" t="str">
        <f>_xlfn.XLOOKUP(ubox[[#This Row],[FirstError - IP]],Computes!$S$2:$S$22,Computes!$T$2:$T$22)</f>
        <v>CORE</v>
      </c>
      <c r="P21" t="str">
        <f>INDEX(_xlfn.TEXTSPLIT(ubox[[#This Row],[FirstError - Location]],"."),1,3)</f>
        <v>cpucore</v>
      </c>
      <c r="Q21" t="str">
        <f>_xlfn.XLOOKUP(ubox[[#This Row],[FirstError - Device]],Computes!$AB$2:$AB$22,Computes!$AC$2:$AC$22)</f>
        <v>CORE</v>
      </c>
      <c r="R21">
        <f>_xlfn.XLOOKUP(ubox[[#This Row],[FirstError - Device]],Computes!$AB$1:$AB$22,Computes!$AD$1:$AD$22)</f>
        <v>4</v>
      </c>
      <c r="S21">
        <f>INDEX(_xlfn.TEXTSPLIT(ubox[[#This Row],[FirstError - Location]],"."),1,4)-(ubox[[#This Row],[offset]]*(ubox[[#This Row],[FirstError - DIEID]]-9))</f>
        <v>143</v>
      </c>
      <c r="T2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22" spans="1:20" x14ac:dyDescent="0.3">
      <c r="A22" t="s">
        <v>709</v>
      </c>
      <c r="B22" t="s">
        <v>1501</v>
      </c>
      <c r="C22" t="s">
        <v>566</v>
      </c>
      <c r="D22" t="s">
        <v>430</v>
      </c>
      <c r="E22" t="s">
        <v>1502</v>
      </c>
      <c r="F22">
        <v>11</v>
      </c>
      <c r="G22">
        <v>23</v>
      </c>
      <c r="H22" t="s">
        <v>420</v>
      </c>
      <c r="I22">
        <v>1</v>
      </c>
      <c r="J22">
        <v>9</v>
      </c>
      <c r="K22">
        <v>30</v>
      </c>
      <c r="L22" t="s">
        <v>433</v>
      </c>
      <c r="M22">
        <v>1</v>
      </c>
      <c r="N22" t="str">
        <f>INDEX(_xlfn.TEXTSPLIT(ubox[[#This Row],[FirstError - Location]],"."),1,1)</f>
        <v>core_coregp</v>
      </c>
      <c r="O22" t="str">
        <f>_xlfn.XLOOKUP(ubox[[#This Row],[FirstError - IP]],Computes!$S$2:$S$22,Computes!$T$2:$T$22)</f>
        <v>CORE</v>
      </c>
      <c r="P22" t="str">
        <f>INDEX(_xlfn.TEXTSPLIT(ubox[[#This Row],[FirstError - Location]],"."),1,3)</f>
        <v>cpucore</v>
      </c>
      <c r="Q22" t="str">
        <f>_xlfn.XLOOKUP(ubox[[#This Row],[FirstError - Device]],Computes!$AB$2:$AB$22,Computes!$AC$2:$AC$22)</f>
        <v>CORE</v>
      </c>
      <c r="R22">
        <f>_xlfn.XLOOKUP(ubox[[#This Row],[FirstError - Device]],Computes!$AB$1:$AB$22,Computes!$AD$1:$AD$22)</f>
        <v>4</v>
      </c>
      <c r="S22">
        <f>INDEX(_xlfn.TEXTSPLIT(ubox[[#This Row],[FirstError - Location]],"."),1,4)-(ubox[[#This Row],[offset]]*(ubox[[#This Row],[FirstError - DIEID]]-9))</f>
        <v>143</v>
      </c>
      <c r="T2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23" spans="1:20" hidden="1" x14ac:dyDescent="0.3">
      <c r="A23" t="s">
        <v>731</v>
      </c>
      <c r="B23" t="s">
        <v>1505</v>
      </c>
      <c r="C23" t="s">
        <v>566</v>
      </c>
      <c r="D23" t="s">
        <v>429</v>
      </c>
      <c r="E23" t="s">
        <v>589</v>
      </c>
      <c r="F23">
        <v>9</v>
      </c>
      <c r="G23">
        <v>13</v>
      </c>
      <c r="H23" t="s">
        <v>588</v>
      </c>
      <c r="I23">
        <v>1</v>
      </c>
      <c r="J23">
        <v>9</v>
      </c>
      <c r="K23">
        <v>2</v>
      </c>
      <c r="L23" t="s">
        <v>417</v>
      </c>
      <c r="M23">
        <v>1</v>
      </c>
      <c r="N23" t="str">
        <f>INDEX(_xlfn.TEXTSPLIT(ubox[[#This Row],[FirstError - Location]],"."),1,1)</f>
        <v>core_coregp</v>
      </c>
      <c r="O23" t="str">
        <f>_xlfn.XLOOKUP(ubox[[#This Row],[FirstError - IP]],Computes!$S$2:$S$22,Computes!$T$2:$T$22)</f>
        <v>CORE</v>
      </c>
      <c r="P23" t="str">
        <f>INDEX(_xlfn.TEXTSPLIT(ubox[[#This Row],[FirstError - Location]],"."),1,3)</f>
        <v>cpucore</v>
      </c>
      <c r="Q23" t="str">
        <f>_xlfn.XLOOKUP(ubox[[#This Row],[FirstError - Device]],Computes!$AB$2:$AB$22,Computes!$AC$2:$AC$22)</f>
        <v>CORE</v>
      </c>
      <c r="R23">
        <f>_xlfn.XLOOKUP(ubox[[#This Row],[FirstError - Device]],Computes!$AB$1:$AB$22,Computes!$AD$1:$AD$22)</f>
        <v>4</v>
      </c>
      <c r="S23">
        <f>INDEX(_xlfn.TEXTSPLIT(ubox[[#This Row],[FirstError - Location]],"."),1,4)-(ubox[[#This Row],[offset]]*(ubox[[#This Row],[FirstError - DIEID]]-9))</f>
        <v>13</v>
      </c>
      <c r="T2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24" spans="1:20" hidden="1" x14ac:dyDescent="0.3">
      <c r="A24" t="s">
        <v>731</v>
      </c>
      <c r="B24" t="s">
        <v>1501</v>
      </c>
      <c r="C24" t="s">
        <v>566</v>
      </c>
      <c r="D24" t="s">
        <v>429</v>
      </c>
      <c r="E24" t="s">
        <v>705</v>
      </c>
      <c r="F24">
        <v>9</v>
      </c>
      <c r="G24">
        <v>13</v>
      </c>
      <c r="H24" t="s">
        <v>588</v>
      </c>
      <c r="I24">
        <v>1</v>
      </c>
      <c r="J24">
        <v>9</v>
      </c>
      <c r="K24">
        <v>13</v>
      </c>
      <c r="L24" t="s">
        <v>588</v>
      </c>
      <c r="M24">
        <v>1</v>
      </c>
      <c r="N24" t="str">
        <f>INDEX(_xlfn.TEXTSPLIT(ubox[[#This Row],[FirstError - Location]],"."),1,1)</f>
        <v>core_coregp</v>
      </c>
      <c r="O24" t="str">
        <f>_xlfn.XLOOKUP(ubox[[#This Row],[FirstError - IP]],Computes!$S$2:$S$22,Computes!$T$2:$T$22)</f>
        <v>CORE</v>
      </c>
      <c r="P24" t="str">
        <f>INDEX(_xlfn.TEXTSPLIT(ubox[[#This Row],[FirstError - Location]],"."),1,3)</f>
        <v>cpucore</v>
      </c>
      <c r="Q24" t="str">
        <f>_xlfn.XLOOKUP(ubox[[#This Row],[FirstError - Device]],Computes!$AB$2:$AB$22,Computes!$AC$2:$AC$22)</f>
        <v>CORE</v>
      </c>
      <c r="R24">
        <f>_xlfn.XLOOKUP(ubox[[#This Row],[FirstError - Device]],Computes!$AB$1:$AB$22,Computes!$AD$1:$AD$22)</f>
        <v>4</v>
      </c>
      <c r="S24">
        <f>INDEX(_xlfn.TEXTSPLIT(ubox[[#This Row],[FirstError - Location]],"."),1,4)-(ubox[[#This Row],[offset]]*(ubox[[#This Row],[FirstError - DIEID]]-9))</f>
        <v>13</v>
      </c>
      <c r="T2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25" spans="1:20" hidden="1" x14ac:dyDescent="0.3">
      <c r="A25" t="s">
        <v>731</v>
      </c>
      <c r="B25" t="s">
        <v>732</v>
      </c>
      <c r="C25" t="s">
        <v>733</v>
      </c>
      <c r="D25" t="s">
        <v>429</v>
      </c>
      <c r="E25" t="s">
        <v>1506</v>
      </c>
      <c r="F25">
        <v>11</v>
      </c>
      <c r="G25">
        <v>1432</v>
      </c>
      <c r="H25" t="s">
        <v>1507</v>
      </c>
      <c r="I25">
        <v>0</v>
      </c>
      <c r="N25" t="str">
        <f>INDEX(_xlfn.TEXTSPLIT(ubox[[#This Row],[FirstError - Location]],"."),1,1)</f>
        <v>scf_cha</v>
      </c>
      <c r="O25" t="str">
        <f>_xlfn.XLOOKUP(ubox[[#This Row],[FirstError - IP]],Computes!$S$2:$S$22,Computes!$T$2:$T$22)</f>
        <v>CHA</v>
      </c>
      <c r="P25" t="str">
        <f>INDEX(_xlfn.TEXTSPLIT(ubox[[#This Row],[FirstError - Location]],"."),1,3)</f>
        <v>cpuscf</v>
      </c>
      <c r="Q25" t="str">
        <f>_xlfn.XLOOKUP(ubox[[#This Row],[FirstError - Device]],Computes!$AB$2:$AB$22,Computes!$AC$2:$AC$22)</f>
        <v>SCF</v>
      </c>
      <c r="R25">
        <f>_xlfn.XLOOKUP(ubox[[#This Row],[FirstError - Device]],Computes!$AB$1:$AB$22,Computes!$AD$1:$AD$22)</f>
        <v>4</v>
      </c>
      <c r="S25">
        <f>INDEX(_xlfn.TEXTSPLIT(ubox[[#This Row],[FirstError - Location]],"."),1,4)-(ubox[[#This Row],[offset]]*(ubox[[#This Row],[FirstError - DIEID]]-9))</f>
        <v>134</v>
      </c>
      <c r="T2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CHA134</v>
      </c>
    </row>
    <row r="26" spans="1:20" hidden="1" x14ac:dyDescent="0.3">
      <c r="A26" t="s">
        <v>731</v>
      </c>
      <c r="B26" t="s">
        <v>732</v>
      </c>
      <c r="C26" t="s">
        <v>733</v>
      </c>
      <c r="D26" t="s">
        <v>429</v>
      </c>
      <c r="E26" t="s">
        <v>1508</v>
      </c>
      <c r="F26">
        <v>9</v>
      </c>
      <c r="G26">
        <v>13</v>
      </c>
      <c r="H26" t="s">
        <v>588</v>
      </c>
      <c r="I26">
        <v>1</v>
      </c>
      <c r="J26">
        <v>9</v>
      </c>
      <c r="K26">
        <v>37</v>
      </c>
      <c r="L26" t="s">
        <v>432</v>
      </c>
      <c r="M26">
        <v>1</v>
      </c>
      <c r="N26" t="str">
        <f>INDEX(_xlfn.TEXTSPLIT(ubox[[#This Row],[FirstError - Location]],"."),1,1)</f>
        <v>core_coregp</v>
      </c>
      <c r="O26" t="str">
        <f>_xlfn.XLOOKUP(ubox[[#This Row],[FirstError - IP]],Computes!$S$2:$S$22,Computes!$T$2:$T$22)</f>
        <v>CORE</v>
      </c>
      <c r="P26" t="str">
        <f>INDEX(_xlfn.TEXTSPLIT(ubox[[#This Row],[FirstError - Location]],"."),1,3)</f>
        <v>cpucore</v>
      </c>
      <c r="Q26" t="str">
        <f>_xlfn.XLOOKUP(ubox[[#This Row],[FirstError - Device]],Computes!$AB$2:$AB$22,Computes!$AC$2:$AC$22)</f>
        <v>CORE</v>
      </c>
      <c r="R26">
        <f>_xlfn.XLOOKUP(ubox[[#This Row],[FirstError - Device]],Computes!$AB$1:$AB$22,Computes!$AD$1:$AD$22)</f>
        <v>4</v>
      </c>
      <c r="S26">
        <f>INDEX(_xlfn.TEXTSPLIT(ubox[[#This Row],[FirstError - Location]],"."),1,4)-(ubox[[#This Row],[offset]]*(ubox[[#This Row],[FirstError - DIEID]]-9))</f>
        <v>13</v>
      </c>
      <c r="T2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27" spans="1:20" hidden="1" x14ac:dyDescent="0.3">
      <c r="A27" t="s">
        <v>731</v>
      </c>
      <c r="B27" t="s">
        <v>1505</v>
      </c>
      <c r="C27" t="s">
        <v>566</v>
      </c>
      <c r="D27" t="s">
        <v>430</v>
      </c>
      <c r="E27" t="s">
        <v>589</v>
      </c>
      <c r="F27">
        <v>9</v>
      </c>
      <c r="G27">
        <v>13</v>
      </c>
      <c r="H27" t="s">
        <v>588</v>
      </c>
      <c r="I27">
        <v>1</v>
      </c>
      <c r="J27">
        <v>9</v>
      </c>
      <c r="K27">
        <v>2</v>
      </c>
      <c r="L27" t="s">
        <v>417</v>
      </c>
      <c r="M27">
        <v>1</v>
      </c>
      <c r="N27" t="str">
        <f>INDEX(_xlfn.TEXTSPLIT(ubox[[#This Row],[FirstError - Location]],"."),1,1)</f>
        <v>core_coregp</v>
      </c>
      <c r="O27" t="str">
        <f>_xlfn.XLOOKUP(ubox[[#This Row],[FirstError - IP]],Computes!$S$2:$S$22,Computes!$T$2:$T$22)</f>
        <v>CORE</v>
      </c>
      <c r="P27" t="str">
        <f>INDEX(_xlfn.TEXTSPLIT(ubox[[#This Row],[FirstError - Location]],"."),1,3)</f>
        <v>cpucore</v>
      </c>
      <c r="Q27" t="str">
        <f>_xlfn.XLOOKUP(ubox[[#This Row],[FirstError - Device]],Computes!$AB$2:$AB$22,Computes!$AC$2:$AC$22)</f>
        <v>CORE</v>
      </c>
      <c r="R27">
        <f>_xlfn.XLOOKUP(ubox[[#This Row],[FirstError - Device]],Computes!$AB$1:$AB$22,Computes!$AD$1:$AD$22)</f>
        <v>4</v>
      </c>
      <c r="S27">
        <f>INDEX(_xlfn.TEXTSPLIT(ubox[[#This Row],[FirstError - Location]],"."),1,4)-(ubox[[#This Row],[offset]]*(ubox[[#This Row],[FirstError - DIEID]]-9))</f>
        <v>13</v>
      </c>
      <c r="T2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28" spans="1:20" hidden="1" x14ac:dyDescent="0.3">
      <c r="A28" t="s">
        <v>731</v>
      </c>
      <c r="B28" t="s">
        <v>1501</v>
      </c>
      <c r="C28" t="s">
        <v>566</v>
      </c>
      <c r="D28" t="s">
        <v>430</v>
      </c>
      <c r="E28" t="s">
        <v>705</v>
      </c>
      <c r="F28">
        <v>9</v>
      </c>
      <c r="G28">
        <v>13</v>
      </c>
      <c r="H28" t="s">
        <v>588</v>
      </c>
      <c r="I28">
        <v>1</v>
      </c>
      <c r="J28">
        <v>9</v>
      </c>
      <c r="K28">
        <v>13</v>
      </c>
      <c r="L28" t="s">
        <v>588</v>
      </c>
      <c r="M28">
        <v>1</v>
      </c>
      <c r="N28" t="str">
        <f>INDEX(_xlfn.TEXTSPLIT(ubox[[#This Row],[FirstError - Location]],"."),1,1)</f>
        <v>core_coregp</v>
      </c>
      <c r="O28" t="str">
        <f>_xlfn.XLOOKUP(ubox[[#This Row],[FirstError - IP]],Computes!$S$2:$S$22,Computes!$T$2:$T$22)</f>
        <v>CORE</v>
      </c>
      <c r="P28" t="str">
        <f>INDEX(_xlfn.TEXTSPLIT(ubox[[#This Row],[FirstError - Location]],"."),1,3)</f>
        <v>cpucore</v>
      </c>
      <c r="Q28" t="str">
        <f>_xlfn.XLOOKUP(ubox[[#This Row],[FirstError - Device]],Computes!$AB$2:$AB$22,Computes!$AC$2:$AC$22)</f>
        <v>CORE</v>
      </c>
      <c r="R28">
        <f>_xlfn.XLOOKUP(ubox[[#This Row],[FirstError - Device]],Computes!$AB$1:$AB$22,Computes!$AD$1:$AD$22)</f>
        <v>4</v>
      </c>
      <c r="S28">
        <f>INDEX(_xlfn.TEXTSPLIT(ubox[[#This Row],[FirstError - Location]],"."),1,4)-(ubox[[#This Row],[offset]]*(ubox[[#This Row],[FirstError - DIEID]]-9))</f>
        <v>13</v>
      </c>
      <c r="T2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29" spans="1:20" hidden="1" x14ac:dyDescent="0.3">
      <c r="A29" t="s">
        <v>731</v>
      </c>
      <c r="B29" t="s">
        <v>732</v>
      </c>
      <c r="C29" t="s">
        <v>733</v>
      </c>
      <c r="D29" t="s">
        <v>430</v>
      </c>
      <c r="E29" t="s">
        <v>1508</v>
      </c>
      <c r="F29">
        <v>9</v>
      </c>
      <c r="G29">
        <v>13</v>
      </c>
      <c r="H29" t="s">
        <v>588</v>
      </c>
      <c r="I29">
        <v>1</v>
      </c>
      <c r="J29">
        <v>9</v>
      </c>
      <c r="K29">
        <v>37</v>
      </c>
      <c r="L29" t="s">
        <v>432</v>
      </c>
      <c r="M29">
        <v>1</v>
      </c>
      <c r="N29" t="str">
        <f>INDEX(_xlfn.TEXTSPLIT(ubox[[#This Row],[FirstError - Location]],"."),1,1)</f>
        <v>core_coregp</v>
      </c>
      <c r="O29" t="str">
        <f>_xlfn.XLOOKUP(ubox[[#This Row],[FirstError - IP]],Computes!$S$2:$S$22,Computes!$T$2:$T$22)</f>
        <v>CORE</v>
      </c>
      <c r="P29" t="str">
        <f>INDEX(_xlfn.TEXTSPLIT(ubox[[#This Row],[FirstError - Location]],"."),1,3)</f>
        <v>cpucore</v>
      </c>
      <c r="Q29" t="str">
        <f>_xlfn.XLOOKUP(ubox[[#This Row],[FirstError - Device]],Computes!$AB$2:$AB$22,Computes!$AC$2:$AC$22)</f>
        <v>CORE</v>
      </c>
      <c r="R29">
        <f>_xlfn.XLOOKUP(ubox[[#This Row],[FirstError - Device]],Computes!$AB$1:$AB$22,Computes!$AD$1:$AD$22)</f>
        <v>4</v>
      </c>
      <c r="S29">
        <f>INDEX(_xlfn.TEXTSPLIT(ubox[[#This Row],[FirstError - Location]],"."),1,4)-(ubox[[#This Row],[offset]]*(ubox[[#This Row],[FirstError - DIEID]]-9))</f>
        <v>13</v>
      </c>
      <c r="T2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30" spans="1:20" hidden="1" x14ac:dyDescent="0.3">
      <c r="A30" t="s">
        <v>748</v>
      </c>
      <c r="B30" t="s">
        <v>749</v>
      </c>
      <c r="C30" t="s">
        <v>750</v>
      </c>
      <c r="D30" t="s">
        <v>429</v>
      </c>
      <c r="E30" t="s">
        <v>1509</v>
      </c>
      <c r="F30">
        <v>4</v>
      </c>
      <c r="G30">
        <v>1303</v>
      </c>
      <c r="H30" t="s">
        <v>1510</v>
      </c>
      <c r="I30">
        <v>0</v>
      </c>
      <c r="J30">
        <v>4</v>
      </c>
      <c r="K30">
        <v>1303</v>
      </c>
      <c r="L30" t="s">
        <v>1510</v>
      </c>
      <c r="M30">
        <v>0</v>
      </c>
      <c r="N30" t="str">
        <f>INDEX(_xlfn.TEXTSPLIT(ubox[[#This Row],[FirstError - Location]],"."),1,1)</f>
        <v>upiagent:lnmacmisc</v>
      </c>
      <c r="O30" t="str">
        <f>_xlfn.XLOOKUP(ubox[[#This Row],[FirstError - IP]],Computes!$S$2:$S$22,Computes!$T$2:$T$22)</f>
        <v>UPI</v>
      </c>
      <c r="P30" t="str">
        <f>INDEX(_xlfn.TEXTSPLIT(ubox[[#This Row],[FirstError - Location]],"."),1,3)</f>
        <v>pc5_5u2</v>
      </c>
      <c r="Q30" t="str">
        <f>_xlfn.XLOOKUP(ubox[[#This Row],[FirstError - Device]],Computes!$AB$2:$AB$22,Computes!$AC$2:$AC$22)</f>
        <v>pcie</v>
      </c>
      <c r="R30">
        <f>_xlfn.XLOOKUP(ubox[[#This Row],[FirstError - Device]],Computes!$AB$1:$AB$22,Computes!$AD$1:$AD$22)</f>
        <v>0</v>
      </c>
      <c r="S30">
        <f>INDEX(_xlfn.TEXTSPLIT(ubox[[#This Row],[FirstError - Location]],"."),1,4)-(ubox[[#This Row],[offset]]*(ubox[[#This Row],[FirstError - DIEID]]-9))</f>
        <v>6</v>
      </c>
      <c r="T3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UPI:pcie6</v>
      </c>
    </row>
    <row r="31" spans="1:20" hidden="1" x14ac:dyDescent="0.3">
      <c r="A31" t="s">
        <v>748</v>
      </c>
      <c r="B31" t="s">
        <v>749</v>
      </c>
      <c r="C31" t="s">
        <v>750</v>
      </c>
      <c r="D31" t="s">
        <v>1493</v>
      </c>
      <c r="E31" t="s">
        <v>1511</v>
      </c>
      <c r="F31">
        <v>9</v>
      </c>
      <c r="G31">
        <v>1722</v>
      </c>
      <c r="H31" t="s">
        <v>1512</v>
      </c>
      <c r="I31">
        <v>0</v>
      </c>
      <c r="J31">
        <v>10</v>
      </c>
      <c r="K31">
        <v>1792</v>
      </c>
      <c r="L31" t="s">
        <v>1513</v>
      </c>
      <c r="M31">
        <v>0</v>
      </c>
      <c r="N31" t="str">
        <f>INDEX(_xlfn.TEXTSPLIT(ubox[[#This Row],[FirstError - Location]],"."),1,1)</f>
        <v>scf_cha</v>
      </c>
      <c r="O31" t="str">
        <f>_xlfn.XLOOKUP(ubox[[#This Row],[FirstError - IP]],Computes!$S$2:$S$22,Computes!$T$2:$T$22)</f>
        <v>CHA</v>
      </c>
      <c r="P31" t="str">
        <f>INDEX(_xlfn.TEXTSPLIT(ubox[[#This Row],[FirstError - Location]],"."),1,3)</f>
        <v>cpuscf</v>
      </c>
      <c r="Q31" t="str">
        <f>_xlfn.XLOOKUP(ubox[[#This Row],[FirstError - Device]],Computes!$AB$2:$AB$22,Computes!$AC$2:$AC$22)</f>
        <v>SCF</v>
      </c>
      <c r="R31">
        <f>_xlfn.XLOOKUP(ubox[[#This Row],[FirstError - Device]],Computes!$AB$1:$AB$22,Computes!$AD$1:$AD$22)</f>
        <v>4</v>
      </c>
      <c r="S31">
        <f>INDEX(_xlfn.TEXTSPLIT(ubox[[#This Row],[FirstError - Location]],"."),1,4)-(ubox[[#This Row],[offset]]*(ubox[[#This Row],[FirstError - DIEID]]-9))</f>
        <v>43</v>
      </c>
      <c r="T3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CHA43</v>
      </c>
    </row>
    <row r="32" spans="1:20" hidden="1" x14ac:dyDescent="0.3">
      <c r="A32" t="s">
        <v>748</v>
      </c>
      <c r="B32" t="s">
        <v>1501</v>
      </c>
      <c r="C32" t="s">
        <v>566</v>
      </c>
      <c r="D32" t="s">
        <v>429</v>
      </c>
      <c r="E32" t="s">
        <v>1514</v>
      </c>
      <c r="F32">
        <v>9</v>
      </c>
      <c r="G32">
        <v>17</v>
      </c>
      <c r="H32" t="s">
        <v>1515</v>
      </c>
      <c r="I32">
        <v>1</v>
      </c>
      <c r="N32" t="str">
        <f>INDEX(_xlfn.TEXTSPLIT(ubox[[#This Row],[FirstError - Location]],"."),1,1)</f>
        <v>core_coregp</v>
      </c>
      <c r="O32" t="str">
        <f>_xlfn.XLOOKUP(ubox[[#This Row],[FirstError - IP]],Computes!$S$2:$S$22,Computes!$T$2:$T$22)</f>
        <v>CORE</v>
      </c>
      <c r="P32" t="str">
        <f>INDEX(_xlfn.TEXTSPLIT(ubox[[#This Row],[FirstError - Location]],"."),1,3)</f>
        <v>cpucore</v>
      </c>
      <c r="Q32" t="str">
        <f>_xlfn.XLOOKUP(ubox[[#This Row],[FirstError - Device]],Computes!$AB$2:$AB$22,Computes!$AC$2:$AC$22)</f>
        <v>CORE</v>
      </c>
      <c r="R32">
        <f>_xlfn.XLOOKUP(ubox[[#This Row],[FirstError - Device]],Computes!$AB$1:$AB$22,Computes!$AD$1:$AD$22)</f>
        <v>4</v>
      </c>
      <c r="S32">
        <f>INDEX(_xlfn.TEXTSPLIT(ubox[[#This Row],[FirstError - Location]],"."),1,4)-(ubox[[#This Row],[offset]]*(ubox[[#This Row],[FirstError - DIEID]]-9))</f>
        <v>17</v>
      </c>
      <c r="T3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CORE17</v>
      </c>
    </row>
    <row r="33" spans="1:20" hidden="1" x14ac:dyDescent="0.3">
      <c r="A33" t="s">
        <v>748</v>
      </c>
      <c r="B33" t="s">
        <v>1461</v>
      </c>
      <c r="C33" t="s">
        <v>711</v>
      </c>
      <c r="D33" t="s">
        <v>1493</v>
      </c>
      <c r="E33" t="s">
        <v>1516</v>
      </c>
      <c r="F33">
        <v>10</v>
      </c>
      <c r="G33">
        <v>1382</v>
      </c>
      <c r="H33" t="s">
        <v>1517</v>
      </c>
      <c r="I33">
        <v>0</v>
      </c>
      <c r="N33" t="str">
        <f>INDEX(_xlfn.TEXTSPLIT(ubox[[#This Row],[FirstError - Location]],"."),1,1)</f>
        <v>scf_cha</v>
      </c>
      <c r="O33" t="str">
        <f>_xlfn.XLOOKUP(ubox[[#This Row],[FirstError - IP]],Computes!$S$2:$S$22,Computes!$T$2:$T$22)</f>
        <v>CHA</v>
      </c>
      <c r="P33" t="str">
        <f>INDEX(_xlfn.TEXTSPLIT(ubox[[#This Row],[FirstError - Location]],"."),1,3)</f>
        <v>cpuscf</v>
      </c>
      <c r="Q33" t="str">
        <f>_xlfn.XLOOKUP(ubox[[#This Row],[FirstError - Device]],Computes!$AB$2:$AB$22,Computes!$AC$2:$AC$22)</f>
        <v>SCF</v>
      </c>
      <c r="R33">
        <f>_xlfn.XLOOKUP(ubox[[#This Row],[FirstError - Device]],Computes!$AB$1:$AB$22,Computes!$AD$1:$AD$22)</f>
        <v>4</v>
      </c>
      <c r="S33">
        <f>INDEX(_xlfn.TEXTSPLIT(ubox[[#This Row],[FirstError - Location]],"."),1,4)-(ubox[[#This Row],[offset]]*(ubox[[#This Row],[FirstError - DIEID]]-9))</f>
        <v>69</v>
      </c>
      <c r="T3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CHA69</v>
      </c>
    </row>
    <row r="34" spans="1:20" hidden="1" x14ac:dyDescent="0.3">
      <c r="A34" t="s">
        <v>748</v>
      </c>
      <c r="B34" t="s">
        <v>1461</v>
      </c>
      <c r="C34" t="s">
        <v>750</v>
      </c>
      <c r="D34" t="s">
        <v>429</v>
      </c>
      <c r="E34" t="s">
        <v>1518</v>
      </c>
      <c r="F34">
        <v>9</v>
      </c>
      <c r="G34">
        <v>1382</v>
      </c>
      <c r="H34" t="s">
        <v>1519</v>
      </c>
      <c r="I34">
        <v>0</v>
      </c>
      <c r="N34" t="str">
        <f>INDEX(_xlfn.TEXTSPLIT(ubox[[#This Row],[FirstError - Location]],"."),1,1)</f>
        <v>scf_cha</v>
      </c>
      <c r="O34" t="str">
        <f>_xlfn.XLOOKUP(ubox[[#This Row],[FirstError - IP]],Computes!$S$2:$S$22,Computes!$T$2:$T$22)</f>
        <v>CHA</v>
      </c>
      <c r="P34" t="str">
        <f>INDEX(_xlfn.TEXTSPLIT(ubox[[#This Row],[FirstError - Location]],"."),1,3)</f>
        <v>cpuscf</v>
      </c>
      <c r="Q34" t="str">
        <f>_xlfn.XLOOKUP(ubox[[#This Row],[FirstError - Device]],Computes!$AB$2:$AB$22,Computes!$AC$2:$AC$22)</f>
        <v>SCF</v>
      </c>
      <c r="R34">
        <f>_xlfn.XLOOKUP(ubox[[#This Row],[FirstError - Device]],Computes!$AB$1:$AB$22,Computes!$AD$1:$AD$22)</f>
        <v>4</v>
      </c>
      <c r="S34">
        <f>INDEX(_xlfn.TEXTSPLIT(ubox[[#This Row],[FirstError - Location]],"."),1,4)-(ubox[[#This Row],[offset]]*(ubox[[#This Row],[FirstError - DIEID]]-9))</f>
        <v>9</v>
      </c>
      <c r="T3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CHA9</v>
      </c>
    </row>
    <row r="35" spans="1:20" hidden="1" x14ac:dyDescent="0.3">
      <c r="A35" t="s">
        <v>748</v>
      </c>
      <c r="B35" t="s">
        <v>1461</v>
      </c>
      <c r="C35" t="s">
        <v>750</v>
      </c>
      <c r="D35" t="s">
        <v>1493</v>
      </c>
      <c r="E35" t="s">
        <v>1518</v>
      </c>
      <c r="F35">
        <v>9</v>
      </c>
      <c r="G35">
        <v>1382</v>
      </c>
      <c r="H35" t="s">
        <v>1519</v>
      </c>
      <c r="I35">
        <v>0</v>
      </c>
      <c r="N35" t="str">
        <f>INDEX(_xlfn.TEXTSPLIT(ubox[[#This Row],[FirstError - Location]],"."),1,1)</f>
        <v>scf_cha</v>
      </c>
      <c r="O35" t="str">
        <f>_xlfn.XLOOKUP(ubox[[#This Row],[FirstError - IP]],Computes!$S$2:$S$22,Computes!$T$2:$T$22)</f>
        <v>CHA</v>
      </c>
      <c r="P35" t="str">
        <f>INDEX(_xlfn.TEXTSPLIT(ubox[[#This Row],[FirstError - Location]],"."),1,3)</f>
        <v>cpuscf</v>
      </c>
      <c r="Q35" t="str">
        <f>_xlfn.XLOOKUP(ubox[[#This Row],[FirstError - Device]],Computes!$AB$2:$AB$22,Computes!$AC$2:$AC$22)</f>
        <v>SCF</v>
      </c>
      <c r="R35">
        <f>_xlfn.XLOOKUP(ubox[[#This Row],[FirstError - Device]],Computes!$AB$1:$AB$22,Computes!$AD$1:$AD$22)</f>
        <v>4</v>
      </c>
      <c r="S35">
        <f>INDEX(_xlfn.TEXTSPLIT(ubox[[#This Row],[FirstError - Location]],"."),1,4)-(ubox[[#This Row],[offset]]*(ubox[[#This Row],[FirstError - DIEID]]-9))</f>
        <v>9</v>
      </c>
      <c r="T3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CHA9</v>
      </c>
    </row>
    <row r="36" spans="1:20" hidden="1" x14ac:dyDescent="0.3">
      <c r="A36" t="s">
        <v>748</v>
      </c>
      <c r="B36" t="s">
        <v>1501</v>
      </c>
      <c r="C36" t="s">
        <v>566</v>
      </c>
      <c r="D36" t="s">
        <v>429</v>
      </c>
      <c r="E36" t="s">
        <v>1514</v>
      </c>
      <c r="F36">
        <v>9</v>
      </c>
      <c r="G36">
        <v>17</v>
      </c>
      <c r="H36" t="s">
        <v>1515</v>
      </c>
      <c r="I36">
        <v>1</v>
      </c>
      <c r="N36" t="str">
        <f>INDEX(_xlfn.TEXTSPLIT(ubox[[#This Row],[FirstError - Location]],"."),1,1)</f>
        <v>core_coregp</v>
      </c>
      <c r="O36" t="str">
        <f>_xlfn.XLOOKUP(ubox[[#This Row],[FirstError - IP]],Computes!$S$2:$S$22,Computes!$T$2:$T$22)</f>
        <v>CORE</v>
      </c>
      <c r="P36" t="str">
        <f>INDEX(_xlfn.TEXTSPLIT(ubox[[#This Row],[FirstError - Location]],"."),1,3)</f>
        <v>cpucore</v>
      </c>
      <c r="Q36" t="str">
        <f>_xlfn.XLOOKUP(ubox[[#This Row],[FirstError - Device]],Computes!$AB$2:$AB$22,Computes!$AC$2:$AC$22)</f>
        <v>CORE</v>
      </c>
      <c r="R36">
        <f>_xlfn.XLOOKUP(ubox[[#This Row],[FirstError - Device]],Computes!$AB$1:$AB$22,Computes!$AD$1:$AD$22)</f>
        <v>4</v>
      </c>
      <c r="S36">
        <f>INDEX(_xlfn.TEXTSPLIT(ubox[[#This Row],[FirstError - Location]],"."),1,4)-(ubox[[#This Row],[offset]]*(ubox[[#This Row],[FirstError - DIEID]]-9))</f>
        <v>17</v>
      </c>
      <c r="T3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CORE17</v>
      </c>
    </row>
    <row r="37" spans="1:20" hidden="1" x14ac:dyDescent="0.3">
      <c r="A37" t="s">
        <v>748</v>
      </c>
      <c r="B37" t="s">
        <v>710</v>
      </c>
      <c r="C37" t="s">
        <v>711</v>
      </c>
      <c r="D37" t="s">
        <v>1493</v>
      </c>
      <c r="E37" t="s">
        <v>1516</v>
      </c>
      <c r="F37">
        <v>10</v>
      </c>
      <c r="G37">
        <v>1382</v>
      </c>
      <c r="H37" t="s">
        <v>1517</v>
      </c>
      <c r="I37">
        <v>0</v>
      </c>
      <c r="N37" t="str">
        <f>INDEX(_xlfn.TEXTSPLIT(ubox[[#This Row],[FirstError - Location]],"."),1,1)</f>
        <v>scf_cha</v>
      </c>
      <c r="O37" t="str">
        <f>_xlfn.XLOOKUP(ubox[[#This Row],[FirstError - IP]],Computes!$S$2:$S$22,Computes!$T$2:$T$22)</f>
        <v>CHA</v>
      </c>
      <c r="P37" t="str">
        <f>INDEX(_xlfn.TEXTSPLIT(ubox[[#This Row],[FirstError - Location]],"."),1,3)</f>
        <v>cpuscf</v>
      </c>
      <c r="Q37" t="str">
        <f>_xlfn.XLOOKUP(ubox[[#This Row],[FirstError - Device]],Computes!$AB$2:$AB$22,Computes!$AC$2:$AC$22)</f>
        <v>SCF</v>
      </c>
      <c r="R37">
        <f>_xlfn.XLOOKUP(ubox[[#This Row],[FirstError - Device]],Computes!$AB$1:$AB$22,Computes!$AD$1:$AD$22)</f>
        <v>4</v>
      </c>
      <c r="S37">
        <f>INDEX(_xlfn.TEXTSPLIT(ubox[[#This Row],[FirstError - Location]],"."),1,4)-(ubox[[#This Row],[offset]]*(ubox[[#This Row],[FirstError - DIEID]]-9))</f>
        <v>69</v>
      </c>
      <c r="T3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CHA69</v>
      </c>
    </row>
    <row r="38" spans="1:20" hidden="1" x14ac:dyDescent="0.3">
      <c r="A38" t="s">
        <v>748</v>
      </c>
      <c r="B38" t="s">
        <v>749</v>
      </c>
      <c r="C38" t="s">
        <v>750</v>
      </c>
      <c r="D38" t="s">
        <v>430</v>
      </c>
      <c r="E38" t="s">
        <v>1520</v>
      </c>
      <c r="F38">
        <v>9</v>
      </c>
      <c r="G38">
        <v>45</v>
      </c>
      <c r="H38" t="s">
        <v>605</v>
      </c>
      <c r="I38">
        <v>1</v>
      </c>
      <c r="J38">
        <v>10</v>
      </c>
      <c r="K38">
        <v>22</v>
      </c>
      <c r="L38" t="s">
        <v>431</v>
      </c>
      <c r="M38">
        <v>1</v>
      </c>
      <c r="N38" t="str">
        <f>INDEX(_xlfn.TEXTSPLIT(ubox[[#This Row],[FirstError - Location]],"."),1,1)</f>
        <v>core_coregp</v>
      </c>
      <c r="O38" t="str">
        <f>_xlfn.XLOOKUP(ubox[[#This Row],[FirstError - IP]],Computes!$S$2:$S$22,Computes!$T$2:$T$22)</f>
        <v>CORE</v>
      </c>
      <c r="P38" t="str">
        <f>INDEX(_xlfn.TEXTSPLIT(ubox[[#This Row],[FirstError - Location]],"."),1,3)</f>
        <v>cpucore</v>
      </c>
      <c r="Q38" t="str">
        <f>_xlfn.XLOOKUP(ubox[[#This Row],[FirstError - Device]],Computes!$AB$2:$AB$22,Computes!$AC$2:$AC$22)</f>
        <v>CORE</v>
      </c>
      <c r="R38">
        <f>_xlfn.XLOOKUP(ubox[[#This Row],[FirstError - Device]],Computes!$AB$1:$AB$22,Computes!$AD$1:$AD$22)</f>
        <v>4</v>
      </c>
      <c r="S38">
        <f>INDEX(_xlfn.TEXTSPLIT(ubox[[#This Row],[FirstError - Location]],"."),1,4)-(ubox[[#This Row],[offset]]*(ubox[[#This Row],[FirstError - DIEID]]-9))</f>
        <v>45</v>
      </c>
      <c r="T3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CORE45</v>
      </c>
    </row>
    <row r="39" spans="1:20" hidden="1" x14ac:dyDescent="0.3">
      <c r="A39" t="s">
        <v>748</v>
      </c>
      <c r="B39" t="s">
        <v>749</v>
      </c>
      <c r="C39" t="s">
        <v>750</v>
      </c>
      <c r="D39" t="s">
        <v>1503</v>
      </c>
      <c r="E39" t="s">
        <v>1521</v>
      </c>
      <c r="F39">
        <v>11</v>
      </c>
      <c r="G39">
        <v>48</v>
      </c>
      <c r="H39" t="s">
        <v>416</v>
      </c>
      <c r="I39">
        <v>1</v>
      </c>
      <c r="J39">
        <v>10</v>
      </c>
      <c r="K39">
        <v>49</v>
      </c>
      <c r="L39" t="s">
        <v>435</v>
      </c>
      <c r="M39">
        <v>1</v>
      </c>
      <c r="N39" t="str">
        <f>INDEX(_xlfn.TEXTSPLIT(ubox[[#This Row],[FirstError - Location]],"."),1,1)</f>
        <v>core_coregp</v>
      </c>
      <c r="O39" t="str">
        <f>_xlfn.XLOOKUP(ubox[[#This Row],[FirstError - IP]],Computes!$S$2:$S$22,Computes!$T$2:$T$22)</f>
        <v>CORE</v>
      </c>
      <c r="P39" t="str">
        <f>INDEX(_xlfn.TEXTSPLIT(ubox[[#This Row],[FirstError - Location]],"."),1,3)</f>
        <v>cpucore</v>
      </c>
      <c r="Q39" t="str">
        <f>_xlfn.XLOOKUP(ubox[[#This Row],[FirstError - Device]],Computes!$AB$2:$AB$22,Computes!$AC$2:$AC$22)</f>
        <v>CORE</v>
      </c>
      <c r="R39">
        <f>_xlfn.XLOOKUP(ubox[[#This Row],[FirstError - Device]],Computes!$AB$1:$AB$22,Computes!$AD$1:$AD$22)</f>
        <v>4</v>
      </c>
      <c r="S39">
        <f>INDEX(_xlfn.TEXTSPLIT(ubox[[#This Row],[FirstError - Location]],"."),1,4)-(ubox[[#This Row],[offset]]*(ubox[[#This Row],[FirstError - DIEID]]-9))</f>
        <v>168</v>
      </c>
      <c r="T3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0" spans="1:20" hidden="1" x14ac:dyDescent="0.3">
      <c r="A40" t="s">
        <v>1475</v>
      </c>
      <c r="B40" t="s">
        <v>1505</v>
      </c>
      <c r="C40" t="s">
        <v>566</v>
      </c>
      <c r="D40" t="s">
        <v>429</v>
      </c>
      <c r="E40" t="s">
        <v>529</v>
      </c>
      <c r="F40">
        <v>11</v>
      </c>
      <c r="G40">
        <v>48</v>
      </c>
      <c r="H40" t="s">
        <v>416</v>
      </c>
      <c r="I40">
        <v>1</v>
      </c>
      <c r="J40">
        <v>11</v>
      </c>
      <c r="K40">
        <v>48</v>
      </c>
      <c r="L40" t="s">
        <v>416</v>
      </c>
      <c r="M40">
        <v>1</v>
      </c>
      <c r="N40" t="str">
        <f>INDEX(_xlfn.TEXTSPLIT(ubox[[#This Row],[FirstError - Location]],"."),1,1)</f>
        <v>core_coregp</v>
      </c>
      <c r="O40" t="str">
        <f>_xlfn.XLOOKUP(ubox[[#This Row],[FirstError - IP]],Computes!$S$2:$S$22,Computes!$T$2:$T$22)</f>
        <v>CORE</v>
      </c>
      <c r="P40" t="str">
        <f>INDEX(_xlfn.TEXTSPLIT(ubox[[#This Row],[FirstError - Location]],"."),1,3)</f>
        <v>cpucore</v>
      </c>
      <c r="Q40" t="str">
        <f>_xlfn.XLOOKUP(ubox[[#This Row],[FirstError - Device]],Computes!$AB$2:$AB$22,Computes!$AC$2:$AC$22)</f>
        <v>CORE</v>
      </c>
      <c r="R40">
        <f>_xlfn.XLOOKUP(ubox[[#This Row],[FirstError - Device]],Computes!$AB$1:$AB$22,Computes!$AD$1:$AD$22)</f>
        <v>4</v>
      </c>
      <c r="S40">
        <f>INDEX(_xlfn.TEXTSPLIT(ubox[[#This Row],[FirstError - Location]],"."),1,4)-(ubox[[#This Row],[offset]]*(ubox[[#This Row],[FirstError - DIEID]]-9))</f>
        <v>168</v>
      </c>
      <c r="T4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1" spans="1:20" hidden="1" x14ac:dyDescent="0.3">
      <c r="A41" t="s">
        <v>1475</v>
      </c>
      <c r="B41" t="s">
        <v>1505</v>
      </c>
      <c r="C41" t="s">
        <v>566</v>
      </c>
      <c r="D41" t="s">
        <v>429</v>
      </c>
      <c r="E41" t="s">
        <v>529</v>
      </c>
      <c r="F41">
        <v>11</v>
      </c>
      <c r="G41">
        <v>48</v>
      </c>
      <c r="H41" t="s">
        <v>416</v>
      </c>
      <c r="I41">
        <v>1</v>
      </c>
      <c r="J41">
        <v>11</v>
      </c>
      <c r="K41">
        <v>48</v>
      </c>
      <c r="L41" t="s">
        <v>416</v>
      </c>
      <c r="M41">
        <v>1</v>
      </c>
      <c r="N41" t="str">
        <f>INDEX(_xlfn.TEXTSPLIT(ubox[[#This Row],[FirstError - Location]],"."),1,1)</f>
        <v>core_coregp</v>
      </c>
      <c r="O41" t="str">
        <f>_xlfn.XLOOKUP(ubox[[#This Row],[FirstError - IP]],Computes!$S$2:$S$22,Computes!$T$2:$T$22)</f>
        <v>CORE</v>
      </c>
      <c r="P41" t="str">
        <f>INDEX(_xlfn.TEXTSPLIT(ubox[[#This Row],[FirstError - Location]],"."),1,3)</f>
        <v>cpucore</v>
      </c>
      <c r="Q41" t="str">
        <f>_xlfn.XLOOKUP(ubox[[#This Row],[FirstError - Device]],Computes!$AB$2:$AB$22,Computes!$AC$2:$AC$22)</f>
        <v>CORE</v>
      </c>
      <c r="R41">
        <f>_xlfn.XLOOKUP(ubox[[#This Row],[FirstError - Device]],Computes!$AB$1:$AB$22,Computes!$AD$1:$AD$22)</f>
        <v>4</v>
      </c>
      <c r="S41">
        <f>INDEX(_xlfn.TEXTSPLIT(ubox[[#This Row],[FirstError - Location]],"."),1,4)-(ubox[[#This Row],[offset]]*(ubox[[#This Row],[FirstError - DIEID]]-9))</f>
        <v>168</v>
      </c>
      <c r="T4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2" spans="1:20" hidden="1" x14ac:dyDescent="0.3">
      <c r="A42" t="s">
        <v>1475</v>
      </c>
      <c r="B42" t="s">
        <v>732</v>
      </c>
      <c r="C42" t="s">
        <v>733</v>
      </c>
      <c r="D42" t="s">
        <v>429</v>
      </c>
      <c r="E42" t="s">
        <v>1522</v>
      </c>
      <c r="F42">
        <v>10</v>
      </c>
      <c r="G42">
        <v>1522</v>
      </c>
      <c r="H42" t="s">
        <v>1523</v>
      </c>
      <c r="I42">
        <v>0</v>
      </c>
      <c r="J42">
        <v>9</v>
      </c>
      <c r="K42">
        <v>1792</v>
      </c>
      <c r="L42" t="s">
        <v>1524</v>
      </c>
      <c r="M42">
        <v>0</v>
      </c>
      <c r="N42" t="str">
        <f>INDEX(_xlfn.TEXTSPLIT(ubox[[#This Row],[FirstError - Location]],"."),1,1)</f>
        <v>scf_cha</v>
      </c>
      <c r="O42" t="str">
        <f>_xlfn.XLOOKUP(ubox[[#This Row],[FirstError - IP]],Computes!$S$2:$S$22,Computes!$T$2:$T$22)</f>
        <v>CHA</v>
      </c>
      <c r="P42" t="str">
        <f>INDEX(_xlfn.TEXTSPLIT(ubox[[#This Row],[FirstError - Location]],"."),1,3)</f>
        <v>cpuscf</v>
      </c>
      <c r="Q42" t="str">
        <f>_xlfn.XLOOKUP(ubox[[#This Row],[FirstError - Device]],Computes!$AB$2:$AB$22,Computes!$AC$2:$AC$22)</f>
        <v>SCF</v>
      </c>
      <c r="R42">
        <f>_xlfn.XLOOKUP(ubox[[#This Row],[FirstError - Device]],Computes!$AB$1:$AB$22,Computes!$AD$1:$AD$22)</f>
        <v>4</v>
      </c>
      <c r="S42">
        <f>INDEX(_xlfn.TEXTSPLIT(ubox[[#This Row],[FirstError - Location]],"."),1,4)-(ubox[[#This Row],[offset]]*(ubox[[#This Row],[FirstError - DIEID]]-9))</f>
        <v>83</v>
      </c>
      <c r="T4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CHA83</v>
      </c>
    </row>
    <row r="43" spans="1:20" hidden="1" x14ac:dyDescent="0.3">
      <c r="A43" t="s">
        <v>1475</v>
      </c>
      <c r="B43" t="s">
        <v>1501</v>
      </c>
      <c r="C43" t="s">
        <v>566</v>
      </c>
      <c r="D43" t="s">
        <v>429</v>
      </c>
      <c r="E43" t="s">
        <v>529</v>
      </c>
      <c r="F43">
        <v>11</v>
      </c>
      <c r="G43">
        <v>48</v>
      </c>
      <c r="H43" t="s">
        <v>416</v>
      </c>
      <c r="I43">
        <v>1</v>
      </c>
      <c r="J43">
        <v>11</v>
      </c>
      <c r="K43">
        <v>48</v>
      </c>
      <c r="L43" t="s">
        <v>416</v>
      </c>
      <c r="M43">
        <v>1</v>
      </c>
      <c r="N43" t="str">
        <f>INDEX(_xlfn.TEXTSPLIT(ubox[[#This Row],[FirstError - Location]],"."),1,1)</f>
        <v>core_coregp</v>
      </c>
      <c r="O43" t="str">
        <f>_xlfn.XLOOKUP(ubox[[#This Row],[FirstError - IP]],Computes!$S$2:$S$22,Computes!$T$2:$T$22)</f>
        <v>CORE</v>
      </c>
      <c r="P43" t="str">
        <f>INDEX(_xlfn.TEXTSPLIT(ubox[[#This Row],[FirstError - Location]],"."),1,3)</f>
        <v>cpucore</v>
      </c>
      <c r="Q43" t="str">
        <f>_xlfn.XLOOKUP(ubox[[#This Row],[FirstError - Device]],Computes!$AB$2:$AB$22,Computes!$AC$2:$AC$22)</f>
        <v>CORE</v>
      </c>
      <c r="R43">
        <f>_xlfn.XLOOKUP(ubox[[#This Row],[FirstError - Device]],Computes!$AB$1:$AB$22,Computes!$AD$1:$AD$22)</f>
        <v>4</v>
      </c>
      <c r="S43">
        <f>INDEX(_xlfn.TEXTSPLIT(ubox[[#This Row],[FirstError - Location]],"."),1,4)-(ubox[[#This Row],[offset]]*(ubox[[#This Row],[FirstError - DIEID]]-9))</f>
        <v>168</v>
      </c>
      <c r="T4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4" spans="1:20" hidden="1" x14ac:dyDescent="0.3">
      <c r="A44" t="s">
        <v>1475</v>
      </c>
      <c r="B44" t="s">
        <v>1505</v>
      </c>
      <c r="C44" t="s">
        <v>566</v>
      </c>
      <c r="D44" t="s">
        <v>430</v>
      </c>
      <c r="E44" t="s">
        <v>529</v>
      </c>
      <c r="F44">
        <v>11</v>
      </c>
      <c r="G44">
        <v>48</v>
      </c>
      <c r="H44" t="s">
        <v>416</v>
      </c>
      <c r="I44">
        <v>1</v>
      </c>
      <c r="J44">
        <v>11</v>
      </c>
      <c r="K44">
        <v>48</v>
      </c>
      <c r="L44" t="s">
        <v>416</v>
      </c>
      <c r="M44">
        <v>1</v>
      </c>
      <c r="N44" t="str">
        <f>INDEX(_xlfn.TEXTSPLIT(ubox[[#This Row],[FirstError - Location]],"."),1,1)</f>
        <v>core_coregp</v>
      </c>
      <c r="O44" t="str">
        <f>_xlfn.XLOOKUP(ubox[[#This Row],[FirstError - IP]],Computes!$S$2:$S$22,Computes!$T$2:$T$22)</f>
        <v>CORE</v>
      </c>
      <c r="P44" t="str">
        <f>INDEX(_xlfn.TEXTSPLIT(ubox[[#This Row],[FirstError - Location]],"."),1,3)</f>
        <v>cpucore</v>
      </c>
      <c r="Q44" t="str">
        <f>_xlfn.XLOOKUP(ubox[[#This Row],[FirstError - Device]],Computes!$AB$2:$AB$22,Computes!$AC$2:$AC$22)</f>
        <v>CORE</v>
      </c>
      <c r="R44">
        <f>_xlfn.XLOOKUP(ubox[[#This Row],[FirstError - Device]],Computes!$AB$1:$AB$22,Computes!$AD$1:$AD$22)</f>
        <v>4</v>
      </c>
      <c r="S44">
        <f>INDEX(_xlfn.TEXTSPLIT(ubox[[#This Row],[FirstError - Location]],"."),1,4)-(ubox[[#This Row],[offset]]*(ubox[[#This Row],[FirstError - DIEID]]-9))</f>
        <v>168</v>
      </c>
      <c r="T4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5" spans="1:20" hidden="1" x14ac:dyDescent="0.3">
      <c r="A45" t="s">
        <v>1475</v>
      </c>
      <c r="B45" t="s">
        <v>1505</v>
      </c>
      <c r="C45" t="s">
        <v>566</v>
      </c>
      <c r="D45" t="s">
        <v>430</v>
      </c>
      <c r="E45" t="s">
        <v>529</v>
      </c>
      <c r="F45">
        <v>11</v>
      </c>
      <c r="G45">
        <v>48</v>
      </c>
      <c r="H45" t="s">
        <v>416</v>
      </c>
      <c r="I45">
        <v>1</v>
      </c>
      <c r="J45">
        <v>11</v>
      </c>
      <c r="K45">
        <v>48</v>
      </c>
      <c r="L45" t="s">
        <v>416</v>
      </c>
      <c r="M45">
        <v>1</v>
      </c>
      <c r="N45" t="str">
        <f>INDEX(_xlfn.TEXTSPLIT(ubox[[#This Row],[FirstError - Location]],"."),1,1)</f>
        <v>core_coregp</v>
      </c>
      <c r="O45" t="str">
        <f>_xlfn.XLOOKUP(ubox[[#This Row],[FirstError - IP]],Computes!$S$2:$S$22,Computes!$T$2:$T$22)</f>
        <v>CORE</v>
      </c>
      <c r="P45" t="str">
        <f>INDEX(_xlfn.TEXTSPLIT(ubox[[#This Row],[FirstError - Location]],"."),1,3)</f>
        <v>cpucore</v>
      </c>
      <c r="Q45" t="str">
        <f>_xlfn.XLOOKUP(ubox[[#This Row],[FirstError - Device]],Computes!$AB$2:$AB$22,Computes!$AC$2:$AC$22)</f>
        <v>CORE</v>
      </c>
      <c r="R45">
        <f>_xlfn.XLOOKUP(ubox[[#This Row],[FirstError - Device]],Computes!$AB$1:$AB$22,Computes!$AD$1:$AD$22)</f>
        <v>4</v>
      </c>
      <c r="S45">
        <f>INDEX(_xlfn.TEXTSPLIT(ubox[[#This Row],[FirstError - Location]],"."),1,4)-(ubox[[#This Row],[offset]]*(ubox[[#This Row],[FirstError - DIEID]]-9))</f>
        <v>168</v>
      </c>
      <c r="T4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6" spans="1:20" hidden="1" x14ac:dyDescent="0.3">
      <c r="A46" t="s">
        <v>1475</v>
      </c>
      <c r="B46" t="s">
        <v>732</v>
      </c>
      <c r="C46" t="s">
        <v>733</v>
      </c>
      <c r="D46" t="s">
        <v>430</v>
      </c>
      <c r="E46" t="s">
        <v>529</v>
      </c>
      <c r="F46">
        <v>11</v>
      </c>
      <c r="G46">
        <v>48</v>
      </c>
      <c r="H46" t="s">
        <v>416</v>
      </c>
      <c r="I46">
        <v>1</v>
      </c>
      <c r="J46">
        <v>11</v>
      </c>
      <c r="K46">
        <v>48</v>
      </c>
      <c r="L46" t="s">
        <v>416</v>
      </c>
      <c r="M46">
        <v>1</v>
      </c>
      <c r="N46" t="str">
        <f>INDEX(_xlfn.TEXTSPLIT(ubox[[#This Row],[FirstError - Location]],"."),1,1)</f>
        <v>core_coregp</v>
      </c>
      <c r="O46" t="str">
        <f>_xlfn.XLOOKUP(ubox[[#This Row],[FirstError - IP]],Computes!$S$2:$S$22,Computes!$T$2:$T$22)</f>
        <v>CORE</v>
      </c>
      <c r="P46" t="str">
        <f>INDEX(_xlfn.TEXTSPLIT(ubox[[#This Row],[FirstError - Location]],"."),1,3)</f>
        <v>cpucore</v>
      </c>
      <c r="Q46" t="str">
        <f>_xlfn.XLOOKUP(ubox[[#This Row],[FirstError - Device]],Computes!$AB$2:$AB$22,Computes!$AC$2:$AC$22)</f>
        <v>CORE</v>
      </c>
      <c r="R46">
        <f>_xlfn.XLOOKUP(ubox[[#This Row],[FirstError - Device]],Computes!$AB$1:$AB$22,Computes!$AD$1:$AD$22)</f>
        <v>4</v>
      </c>
      <c r="S46">
        <f>INDEX(_xlfn.TEXTSPLIT(ubox[[#This Row],[FirstError - Location]],"."),1,4)-(ubox[[#This Row],[offset]]*(ubox[[#This Row],[FirstError - DIEID]]-9))</f>
        <v>168</v>
      </c>
      <c r="T4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7" spans="1:20" hidden="1" x14ac:dyDescent="0.3">
      <c r="A47" t="s">
        <v>1475</v>
      </c>
      <c r="B47" t="s">
        <v>1501</v>
      </c>
      <c r="C47" t="s">
        <v>566</v>
      </c>
      <c r="D47" t="s">
        <v>430</v>
      </c>
      <c r="E47" t="s">
        <v>529</v>
      </c>
      <c r="F47">
        <v>11</v>
      </c>
      <c r="G47">
        <v>48</v>
      </c>
      <c r="H47" t="s">
        <v>416</v>
      </c>
      <c r="I47">
        <v>1</v>
      </c>
      <c r="J47">
        <v>11</v>
      </c>
      <c r="K47">
        <v>48</v>
      </c>
      <c r="L47" t="s">
        <v>416</v>
      </c>
      <c r="M47">
        <v>1</v>
      </c>
      <c r="N47" t="str">
        <f>INDEX(_xlfn.TEXTSPLIT(ubox[[#This Row],[FirstError - Location]],"."),1,1)</f>
        <v>core_coregp</v>
      </c>
      <c r="O47" t="str">
        <f>_xlfn.XLOOKUP(ubox[[#This Row],[FirstError - IP]],Computes!$S$2:$S$22,Computes!$T$2:$T$22)</f>
        <v>CORE</v>
      </c>
      <c r="P47" t="str">
        <f>INDEX(_xlfn.TEXTSPLIT(ubox[[#This Row],[FirstError - Location]],"."),1,3)</f>
        <v>cpucore</v>
      </c>
      <c r="Q47" t="str">
        <f>_xlfn.XLOOKUP(ubox[[#This Row],[FirstError - Device]],Computes!$AB$2:$AB$22,Computes!$AC$2:$AC$22)</f>
        <v>CORE</v>
      </c>
      <c r="R47">
        <f>_xlfn.XLOOKUP(ubox[[#This Row],[FirstError - Device]],Computes!$AB$1:$AB$22,Computes!$AD$1:$AD$22)</f>
        <v>4</v>
      </c>
      <c r="S47">
        <f>INDEX(_xlfn.TEXTSPLIT(ubox[[#This Row],[FirstError - Location]],"."),1,4)-(ubox[[#This Row],[offset]]*(ubox[[#This Row],[FirstError - DIEID]]-9))</f>
        <v>168</v>
      </c>
      <c r="T4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48" spans="1:20" hidden="1" x14ac:dyDescent="0.3">
      <c r="A48" t="s">
        <v>709</v>
      </c>
      <c r="B48" t="s">
        <v>1491</v>
      </c>
      <c r="C48" t="s">
        <v>750</v>
      </c>
      <c r="D48" t="s">
        <v>429</v>
      </c>
      <c r="E48" t="s">
        <v>1492</v>
      </c>
      <c r="F48">
        <v>11</v>
      </c>
      <c r="G48">
        <v>23</v>
      </c>
      <c r="H48" t="s">
        <v>420</v>
      </c>
      <c r="I48">
        <v>1</v>
      </c>
      <c r="J48">
        <v>9</v>
      </c>
      <c r="K48">
        <v>2</v>
      </c>
      <c r="L48" t="s">
        <v>417</v>
      </c>
      <c r="M48">
        <v>1</v>
      </c>
      <c r="N48" t="str">
        <f>INDEX(_xlfn.TEXTSPLIT(ubox[[#This Row],[FirstError - Location]],"."),1,1)</f>
        <v>core_coregp</v>
      </c>
      <c r="O48" t="str">
        <f>_xlfn.XLOOKUP(ubox[[#This Row],[FirstError - IP]],Computes!$S$2:$S$22,Computes!$T$2:$T$22)</f>
        <v>CORE</v>
      </c>
      <c r="P48" t="str">
        <f>INDEX(_xlfn.TEXTSPLIT(ubox[[#This Row],[FirstError - Location]],"."),1,3)</f>
        <v>cpucore</v>
      </c>
      <c r="Q48" t="str">
        <f>_xlfn.XLOOKUP(ubox[[#This Row],[FirstError - Device]],Computes!$AB$2:$AB$22,Computes!$AC$2:$AC$22)</f>
        <v>CORE</v>
      </c>
      <c r="R48">
        <f>_xlfn.XLOOKUP(ubox[[#This Row],[FirstError - Device]],Computes!$AB$1:$AB$22,Computes!$AD$1:$AD$22)</f>
        <v>4</v>
      </c>
      <c r="S48">
        <f>INDEX(_xlfn.TEXTSPLIT(ubox[[#This Row],[FirstError - Location]],"."),1,4)-(ubox[[#This Row],[offset]]*(ubox[[#This Row],[FirstError - DIEID]]-9))</f>
        <v>143</v>
      </c>
      <c r="T4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49" spans="1:20" hidden="1" x14ac:dyDescent="0.3">
      <c r="A49" t="s">
        <v>709</v>
      </c>
      <c r="B49" t="s">
        <v>1491</v>
      </c>
      <c r="C49" t="s">
        <v>750</v>
      </c>
      <c r="D49" t="s">
        <v>1493</v>
      </c>
      <c r="E49" t="s">
        <v>1494</v>
      </c>
      <c r="F49">
        <v>9</v>
      </c>
      <c r="G49">
        <v>22</v>
      </c>
      <c r="H49" t="s">
        <v>418</v>
      </c>
      <c r="I49">
        <v>1</v>
      </c>
      <c r="J49">
        <v>11</v>
      </c>
      <c r="K49">
        <v>37</v>
      </c>
      <c r="L49" t="s">
        <v>582</v>
      </c>
      <c r="M49">
        <v>1</v>
      </c>
      <c r="N49" t="str">
        <f>INDEX(_xlfn.TEXTSPLIT(ubox[[#This Row],[FirstError - Location]],"."),1,1)</f>
        <v>core_coregp</v>
      </c>
      <c r="O49" t="str">
        <f>_xlfn.XLOOKUP(ubox[[#This Row],[FirstError - IP]],Computes!$S$2:$S$22,Computes!$T$2:$T$22)</f>
        <v>CORE</v>
      </c>
      <c r="P49" t="str">
        <f>INDEX(_xlfn.TEXTSPLIT(ubox[[#This Row],[FirstError - Location]],"."),1,3)</f>
        <v>cpucore</v>
      </c>
      <c r="Q49" t="str">
        <f>_xlfn.XLOOKUP(ubox[[#This Row],[FirstError - Device]],Computes!$AB$2:$AB$22,Computes!$AC$2:$AC$22)</f>
        <v>CORE</v>
      </c>
      <c r="R49">
        <f>_xlfn.XLOOKUP(ubox[[#This Row],[FirstError - Device]],Computes!$AB$1:$AB$22,Computes!$AD$1:$AD$22)</f>
        <v>4</v>
      </c>
      <c r="S49">
        <f>INDEX(_xlfn.TEXTSPLIT(ubox[[#This Row],[FirstError - Location]],"."),1,4)-(ubox[[#This Row],[offset]]*(ubox[[#This Row],[FirstError - DIEID]]-9))</f>
        <v>22</v>
      </c>
      <c r="T4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CORE22</v>
      </c>
    </row>
    <row r="50" spans="1:20" hidden="1" x14ac:dyDescent="0.3">
      <c r="A50" t="s">
        <v>709</v>
      </c>
      <c r="B50" t="s">
        <v>710</v>
      </c>
      <c r="C50" t="s">
        <v>711</v>
      </c>
      <c r="D50" t="s">
        <v>429</v>
      </c>
      <c r="E50" t="s">
        <v>1495</v>
      </c>
      <c r="F50">
        <v>11</v>
      </c>
      <c r="G50">
        <v>23</v>
      </c>
      <c r="H50" t="s">
        <v>420</v>
      </c>
      <c r="I50">
        <v>1</v>
      </c>
      <c r="J50">
        <v>9</v>
      </c>
      <c r="K50">
        <v>29</v>
      </c>
      <c r="L50" t="s">
        <v>412</v>
      </c>
      <c r="M50">
        <v>1</v>
      </c>
      <c r="N50" t="str">
        <f>INDEX(_xlfn.TEXTSPLIT(ubox[[#This Row],[FirstError - Location]],"."),1,1)</f>
        <v>core_coregp</v>
      </c>
      <c r="O50" t="str">
        <f>_xlfn.XLOOKUP(ubox[[#This Row],[FirstError - IP]],Computes!$S$2:$S$22,Computes!$T$2:$T$22)</f>
        <v>CORE</v>
      </c>
      <c r="P50" t="str">
        <f>INDEX(_xlfn.TEXTSPLIT(ubox[[#This Row],[FirstError - Location]],"."),1,3)</f>
        <v>cpucore</v>
      </c>
      <c r="Q50" t="str">
        <f>_xlfn.XLOOKUP(ubox[[#This Row],[FirstError - Device]],Computes!$AB$2:$AB$22,Computes!$AC$2:$AC$22)</f>
        <v>CORE</v>
      </c>
      <c r="R50">
        <f>_xlfn.XLOOKUP(ubox[[#This Row],[FirstError - Device]],Computes!$AB$1:$AB$22,Computes!$AD$1:$AD$22)</f>
        <v>4</v>
      </c>
      <c r="S50">
        <f>INDEX(_xlfn.TEXTSPLIT(ubox[[#This Row],[FirstError - Location]],"."),1,4)-(ubox[[#This Row],[offset]]*(ubox[[#This Row],[FirstError - DIEID]]-9))</f>
        <v>143</v>
      </c>
      <c r="T5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51" spans="1:20" hidden="1" x14ac:dyDescent="0.3">
      <c r="A51" t="s">
        <v>709</v>
      </c>
      <c r="B51" t="s">
        <v>710</v>
      </c>
      <c r="C51" t="s">
        <v>711</v>
      </c>
      <c r="D51" t="s">
        <v>1493</v>
      </c>
      <c r="E51" t="s">
        <v>1496</v>
      </c>
      <c r="F51">
        <v>10</v>
      </c>
      <c r="G51">
        <v>48</v>
      </c>
      <c r="H51" t="s">
        <v>438</v>
      </c>
      <c r="I51">
        <v>1</v>
      </c>
      <c r="J51">
        <v>10</v>
      </c>
      <c r="K51">
        <v>1</v>
      </c>
      <c r="L51" t="s">
        <v>523</v>
      </c>
      <c r="M51">
        <v>1</v>
      </c>
      <c r="N51" t="str">
        <f>INDEX(_xlfn.TEXTSPLIT(ubox[[#This Row],[FirstError - Location]],"."),1,1)</f>
        <v>core_coregp</v>
      </c>
      <c r="O51" t="str">
        <f>_xlfn.XLOOKUP(ubox[[#This Row],[FirstError - IP]],Computes!$S$2:$S$22,Computes!$T$2:$T$22)</f>
        <v>CORE</v>
      </c>
      <c r="P51" t="str">
        <f>INDEX(_xlfn.TEXTSPLIT(ubox[[#This Row],[FirstError - Location]],"."),1,3)</f>
        <v>cpucore</v>
      </c>
      <c r="Q51" t="str">
        <f>_xlfn.XLOOKUP(ubox[[#This Row],[FirstError - Device]],Computes!$AB$2:$AB$22,Computes!$AC$2:$AC$22)</f>
        <v>CORE</v>
      </c>
      <c r="R51">
        <f>_xlfn.XLOOKUP(ubox[[#This Row],[FirstError - Device]],Computes!$AB$1:$AB$22,Computes!$AD$1:$AD$22)</f>
        <v>4</v>
      </c>
      <c r="S51">
        <f>INDEX(_xlfn.TEXTSPLIT(ubox[[#This Row],[FirstError - Location]],"."),1,4)-(ubox[[#This Row],[offset]]*(ubox[[#This Row],[FirstError - DIEID]]-9))</f>
        <v>108</v>
      </c>
      <c r="T5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CORE108</v>
      </c>
    </row>
    <row r="52" spans="1:20" hidden="1" x14ac:dyDescent="0.3">
      <c r="A52" t="s">
        <v>709</v>
      </c>
      <c r="B52" t="s">
        <v>1461</v>
      </c>
      <c r="C52" t="s">
        <v>750</v>
      </c>
      <c r="D52" t="s">
        <v>429</v>
      </c>
      <c r="E52" t="s">
        <v>1497</v>
      </c>
      <c r="F52">
        <v>11</v>
      </c>
      <c r="G52">
        <v>23</v>
      </c>
      <c r="H52" t="s">
        <v>420</v>
      </c>
      <c r="I52">
        <v>1</v>
      </c>
      <c r="J52">
        <v>10</v>
      </c>
      <c r="K52">
        <v>48</v>
      </c>
      <c r="L52" t="s">
        <v>438</v>
      </c>
      <c r="M52">
        <v>1</v>
      </c>
      <c r="N52" t="str">
        <f>INDEX(_xlfn.TEXTSPLIT(ubox[[#This Row],[FirstError - Location]],"."),1,1)</f>
        <v>core_coregp</v>
      </c>
      <c r="O52" t="str">
        <f>_xlfn.XLOOKUP(ubox[[#This Row],[FirstError - IP]],Computes!$S$2:$S$22,Computes!$T$2:$T$22)</f>
        <v>CORE</v>
      </c>
      <c r="P52" t="str">
        <f>INDEX(_xlfn.TEXTSPLIT(ubox[[#This Row],[FirstError - Location]],"."),1,3)</f>
        <v>cpucore</v>
      </c>
      <c r="Q52" t="str">
        <f>_xlfn.XLOOKUP(ubox[[#This Row],[FirstError - Device]],Computes!$AB$2:$AB$22,Computes!$AC$2:$AC$22)</f>
        <v>CORE</v>
      </c>
      <c r="R52">
        <f>_xlfn.XLOOKUP(ubox[[#This Row],[FirstError - Device]],Computes!$AB$1:$AB$22,Computes!$AD$1:$AD$22)</f>
        <v>4</v>
      </c>
      <c r="S52">
        <f>INDEX(_xlfn.TEXTSPLIT(ubox[[#This Row],[FirstError - Location]],"."),1,4)-(ubox[[#This Row],[offset]]*(ubox[[#This Row],[FirstError - DIEID]]-9))</f>
        <v>143</v>
      </c>
      <c r="T5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53" spans="1:20" hidden="1" x14ac:dyDescent="0.3">
      <c r="A53" t="s">
        <v>709</v>
      </c>
      <c r="B53" t="s">
        <v>1461</v>
      </c>
      <c r="C53" t="s">
        <v>750</v>
      </c>
      <c r="D53" t="s">
        <v>1493</v>
      </c>
      <c r="E53" t="s">
        <v>1498</v>
      </c>
      <c r="F53">
        <v>10</v>
      </c>
      <c r="G53">
        <v>24</v>
      </c>
      <c r="H53" t="s">
        <v>413</v>
      </c>
      <c r="I53">
        <v>1</v>
      </c>
      <c r="J53">
        <v>10</v>
      </c>
      <c r="K53">
        <v>6</v>
      </c>
      <c r="L53" t="s">
        <v>434</v>
      </c>
      <c r="M53">
        <v>1</v>
      </c>
      <c r="N53" t="str">
        <f>INDEX(_xlfn.TEXTSPLIT(ubox[[#This Row],[FirstError - Location]],"."),1,1)</f>
        <v>core_coregp</v>
      </c>
      <c r="O53" t="str">
        <f>_xlfn.XLOOKUP(ubox[[#This Row],[FirstError - IP]],Computes!$S$2:$S$22,Computes!$T$2:$T$22)</f>
        <v>CORE</v>
      </c>
      <c r="P53" t="str">
        <f>INDEX(_xlfn.TEXTSPLIT(ubox[[#This Row],[FirstError - Location]],"."),1,3)</f>
        <v>cpucore</v>
      </c>
      <c r="Q53" t="str">
        <f>_xlfn.XLOOKUP(ubox[[#This Row],[FirstError - Device]],Computes!$AB$2:$AB$22,Computes!$AC$2:$AC$22)</f>
        <v>CORE</v>
      </c>
      <c r="R53">
        <f>_xlfn.XLOOKUP(ubox[[#This Row],[FirstError - Device]],Computes!$AB$1:$AB$22,Computes!$AD$1:$AD$22)</f>
        <v>4</v>
      </c>
      <c r="S53">
        <f>INDEX(_xlfn.TEXTSPLIT(ubox[[#This Row],[FirstError - Location]],"."),1,4)-(ubox[[#This Row],[offset]]*(ubox[[#This Row],[FirstError - DIEID]]-9))</f>
        <v>84</v>
      </c>
      <c r="T5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CORE84</v>
      </c>
    </row>
    <row r="54" spans="1:20" hidden="1" x14ac:dyDescent="0.3">
      <c r="A54" t="s">
        <v>709</v>
      </c>
      <c r="B54" t="s">
        <v>726</v>
      </c>
      <c r="C54" t="s">
        <v>711</v>
      </c>
      <c r="D54" t="s">
        <v>429</v>
      </c>
      <c r="E54" t="s">
        <v>1499</v>
      </c>
      <c r="F54">
        <v>11</v>
      </c>
      <c r="G54">
        <v>23</v>
      </c>
      <c r="H54" t="s">
        <v>420</v>
      </c>
      <c r="I54">
        <v>1</v>
      </c>
      <c r="J54">
        <v>11</v>
      </c>
      <c r="K54">
        <v>10</v>
      </c>
      <c r="L54" t="s">
        <v>415</v>
      </c>
      <c r="M54">
        <v>1</v>
      </c>
      <c r="N54" t="str">
        <f>INDEX(_xlfn.TEXTSPLIT(ubox[[#This Row],[FirstError - Location]],"."),1,1)</f>
        <v>core_coregp</v>
      </c>
      <c r="O54" t="str">
        <f>_xlfn.XLOOKUP(ubox[[#This Row],[FirstError - IP]],Computes!$S$2:$S$22,Computes!$T$2:$T$22)</f>
        <v>CORE</v>
      </c>
      <c r="P54" t="str">
        <f>INDEX(_xlfn.TEXTSPLIT(ubox[[#This Row],[FirstError - Location]],"."),1,3)</f>
        <v>cpucore</v>
      </c>
      <c r="Q54" t="str">
        <f>_xlfn.XLOOKUP(ubox[[#This Row],[FirstError - Device]],Computes!$AB$2:$AB$22,Computes!$AC$2:$AC$22)</f>
        <v>CORE</v>
      </c>
      <c r="R54">
        <f>_xlfn.XLOOKUP(ubox[[#This Row],[FirstError - Device]],Computes!$AB$1:$AB$22,Computes!$AD$1:$AD$22)</f>
        <v>4</v>
      </c>
      <c r="S54">
        <f>INDEX(_xlfn.TEXTSPLIT(ubox[[#This Row],[FirstError - Location]],"."),1,4)-(ubox[[#This Row],[offset]]*(ubox[[#This Row],[FirstError - DIEID]]-9))</f>
        <v>143</v>
      </c>
      <c r="T5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55" spans="1:20" hidden="1" x14ac:dyDescent="0.3">
      <c r="A55" t="s">
        <v>709</v>
      </c>
      <c r="B55" t="s">
        <v>726</v>
      </c>
      <c r="C55" t="s">
        <v>711</v>
      </c>
      <c r="D55" t="s">
        <v>1493</v>
      </c>
      <c r="E55" t="s">
        <v>1500</v>
      </c>
      <c r="F55">
        <v>11</v>
      </c>
      <c r="G55">
        <v>9</v>
      </c>
      <c r="H55" t="s">
        <v>414</v>
      </c>
      <c r="I55">
        <v>1</v>
      </c>
      <c r="J55">
        <v>11</v>
      </c>
      <c r="K55">
        <v>14</v>
      </c>
      <c r="L55" t="s">
        <v>419</v>
      </c>
      <c r="M55">
        <v>1</v>
      </c>
      <c r="N55" t="str">
        <f>INDEX(_xlfn.TEXTSPLIT(ubox[[#This Row],[FirstError - Location]],"."),1,1)</f>
        <v>core_coregp</v>
      </c>
      <c r="O55" t="str">
        <f>_xlfn.XLOOKUP(ubox[[#This Row],[FirstError - IP]],Computes!$S$2:$S$22,Computes!$T$2:$T$22)</f>
        <v>CORE</v>
      </c>
      <c r="P55" t="str">
        <f>INDEX(_xlfn.TEXTSPLIT(ubox[[#This Row],[FirstError - Location]],"."),1,3)</f>
        <v>cpucore</v>
      </c>
      <c r="Q55" t="str">
        <f>_xlfn.XLOOKUP(ubox[[#This Row],[FirstError - Device]],Computes!$AB$2:$AB$22,Computes!$AC$2:$AC$22)</f>
        <v>CORE</v>
      </c>
      <c r="R55">
        <f>_xlfn.XLOOKUP(ubox[[#This Row],[FirstError - Device]],Computes!$AB$1:$AB$22,Computes!$AD$1:$AD$22)</f>
        <v>4</v>
      </c>
      <c r="S55">
        <f>INDEX(_xlfn.TEXTSPLIT(ubox[[#This Row],[FirstError - Location]],"."),1,4)-(ubox[[#This Row],[offset]]*(ubox[[#This Row],[FirstError - DIEID]]-9))</f>
        <v>129</v>
      </c>
      <c r="T5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CORE129</v>
      </c>
    </row>
    <row r="56" spans="1:20" hidden="1" x14ac:dyDescent="0.3">
      <c r="A56" t="s">
        <v>709</v>
      </c>
      <c r="B56" t="s">
        <v>732</v>
      </c>
      <c r="C56" t="s">
        <v>733</v>
      </c>
      <c r="D56" t="s">
        <v>429</v>
      </c>
      <c r="E56" t="s">
        <v>1492</v>
      </c>
      <c r="F56">
        <v>11</v>
      </c>
      <c r="G56">
        <v>23</v>
      </c>
      <c r="H56" t="s">
        <v>420</v>
      </c>
      <c r="I56">
        <v>1</v>
      </c>
      <c r="J56">
        <v>9</v>
      </c>
      <c r="K56">
        <v>2</v>
      </c>
      <c r="L56" t="s">
        <v>417</v>
      </c>
      <c r="M56">
        <v>1</v>
      </c>
      <c r="N56" t="str">
        <f>INDEX(_xlfn.TEXTSPLIT(ubox[[#This Row],[FirstError - Location]],"."),1,1)</f>
        <v>core_coregp</v>
      </c>
      <c r="O56" t="str">
        <f>_xlfn.XLOOKUP(ubox[[#This Row],[FirstError - IP]],Computes!$S$2:$S$22,Computes!$T$2:$T$22)</f>
        <v>CORE</v>
      </c>
      <c r="P56" t="str">
        <f>INDEX(_xlfn.TEXTSPLIT(ubox[[#This Row],[FirstError - Location]],"."),1,3)</f>
        <v>cpucore</v>
      </c>
      <c r="Q56" t="str">
        <f>_xlfn.XLOOKUP(ubox[[#This Row],[FirstError - Device]],Computes!$AB$2:$AB$22,Computes!$AC$2:$AC$22)</f>
        <v>CORE</v>
      </c>
      <c r="R56">
        <f>_xlfn.XLOOKUP(ubox[[#This Row],[FirstError - Device]],Computes!$AB$1:$AB$22,Computes!$AD$1:$AD$22)</f>
        <v>4</v>
      </c>
      <c r="S56">
        <f>INDEX(_xlfn.TEXTSPLIT(ubox[[#This Row],[FirstError - Location]],"."),1,4)-(ubox[[#This Row],[offset]]*(ubox[[#This Row],[FirstError - DIEID]]-9))</f>
        <v>143</v>
      </c>
      <c r="T5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57" spans="1:20" x14ac:dyDescent="0.3">
      <c r="A57" t="s">
        <v>709</v>
      </c>
      <c r="B57" t="s">
        <v>1501</v>
      </c>
      <c r="C57" t="s">
        <v>566</v>
      </c>
      <c r="D57" t="s">
        <v>429</v>
      </c>
      <c r="E57" t="s">
        <v>1502</v>
      </c>
      <c r="F57">
        <v>11</v>
      </c>
      <c r="G57">
        <v>23</v>
      </c>
      <c r="H57" t="s">
        <v>420</v>
      </c>
      <c r="I57">
        <v>1</v>
      </c>
      <c r="J57">
        <v>9</v>
      </c>
      <c r="K57">
        <v>30</v>
      </c>
      <c r="L57" t="s">
        <v>433</v>
      </c>
      <c r="M57">
        <v>1</v>
      </c>
      <c r="N57" t="str">
        <f>INDEX(_xlfn.TEXTSPLIT(ubox[[#This Row],[FirstError - Location]],"."),1,1)</f>
        <v>core_coregp</v>
      </c>
      <c r="O57" t="str">
        <f>_xlfn.XLOOKUP(ubox[[#This Row],[FirstError - IP]],Computes!$S$2:$S$22,Computes!$T$2:$T$22)</f>
        <v>CORE</v>
      </c>
      <c r="P57" t="str">
        <f>INDEX(_xlfn.TEXTSPLIT(ubox[[#This Row],[FirstError - Location]],"."),1,3)</f>
        <v>cpucore</v>
      </c>
      <c r="Q57" t="str">
        <f>_xlfn.XLOOKUP(ubox[[#This Row],[FirstError - Device]],Computes!$AB$2:$AB$22,Computes!$AC$2:$AC$22)</f>
        <v>CORE</v>
      </c>
      <c r="R57">
        <f>_xlfn.XLOOKUP(ubox[[#This Row],[FirstError - Device]],Computes!$AB$1:$AB$22,Computes!$AD$1:$AD$22)</f>
        <v>4</v>
      </c>
      <c r="S57">
        <f>INDEX(_xlfn.TEXTSPLIT(ubox[[#This Row],[FirstError - Location]],"."),1,4)-(ubox[[#This Row],[offset]]*(ubox[[#This Row],[FirstError - DIEID]]-9))</f>
        <v>143</v>
      </c>
      <c r="T5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58" spans="1:20" hidden="1" x14ac:dyDescent="0.3">
      <c r="A58" t="s">
        <v>709</v>
      </c>
      <c r="B58" t="s">
        <v>710</v>
      </c>
      <c r="C58" t="s">
        <v>750</v>
      </c>
      <c r="D58" t="s">
        <v>1503</v>
      </c>
      <c r="E58" t="s">
        <v>1504</v>
      </c>
      <c r="F58">
        <v>9</v>
      </c>
      <c r="G58">
        <v>1777</v>
      </c>
      <c r="H58" t="s">
        <v>436</v>
      </c>
      <c r="I58">
        <v>0</v>
      </c>
      <c r="J58">
        <v>10</v>
      </c>
      <c r="K58">
        <v>1777</v>
      </c>
      <c r="L58" t="s">
        <v>437</v>
      </c>
      <c r="M58">
        <v>0</v>
      </c>
      <c r="N58" t="str">
        <f>INDEX(_xlfn.TEXTSPLIT(ubox[[#This Row],[FirstError - Location]],"."),1,1)</f>
        <v>punit_ptpcioregs_0</v>
      </c>
      <c r="O58" t="str">
        <f>_xlfn.XLOOKUP(ubox[[#This Row],[FirstError - IP]],Computes!$S$2:$S$22,Computes!$T$2:$T$22)</f>
        <v>PUNIT</v>
      </c>
      <c r="P58" t="str">
        <f>INDEX(_xlfn.TEXTSPLIT(ubox[[#This Row],[FirstError - Location]],"."),1,3)</f>
        <v>eprpunit</v>
      </c>
      <c r="Q58" t="str">
        <f>_xlfn.XLOOKUP(ubox[[#This Row],[FirstError - Device]],Computes!$AB$2:$AB$22,Computes!$AC$2:$AC$22)</f>
        <v>EPRPUNIT</v>
      </c>
      <c r="R58">
        <f>_xlfn.XLOOKUP(ubox[[#This Row],[FirstError - Device]],Computes!$AB$1:$AB$22,Computes!$AD$1:$AD$22)</f>
        <v>0</v>
      </c>
      <c r="S58">
        <f>INDEX(_xlfn.TEXTSPLIT(ubox[[#This Row],[FirstError - Location]],"."),1,4)-(ubox[[#This Row],[offset]]*(ubox[[#This Row],[FirstError - DIEID]]-9))</f>
        <v>0</v>
      </c>
      <c r="T5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PUNIT:EPRPUNIT0</v>
      </c>
    </row>
    <row r="59" spans="1:20" hidden="1" x14ac:dyDescent="0.3">
      <c r="A59" t="s">
        <v>709</v>
      </c>
      <c r="B59" t="s">
        <v>1491</v>
      </c>
      <c r="C59" t="s">
        <v>750</v>
      </c>
      <c r="D59" t="s">
        <v>430</v>
      </c>
      <c r="E59" t="s">
        <v>1492</v>
      </c>
      <c r="F59">
        <v>11</v>
      </c>
      <c r="G59">
        <v>23</v>
      </c>
      <c r="H59" t="s">
        <v>420</v>
      </c>
      <c r="I59">
        <v>1</v>
      </c>
      <c r="J59">
        <v>9</v>
      </c>
      <c r="K59">
        <v>2</v>
      </c>
      <c r="L59" t="s">
        <v>417</v>
      </c>
      <c r="M59">
        <v>1</v>
      </c>
      <c r="N59" t="str">
        <f>INDEX(_xlfn.TEXTSPLIT(ubox[[#This Row],[FirstError - Location]],"."),1,1)</f>
        <v>core_coregp</v>
      </c>
      <c r="O59" t="str">
        <f>_xlfn.XLOOKUP(ubox[[#This Row],[FirstError - IP]],Computes!$S$2:$S$22,Computes!$T$2:$T$22)</f>
        <v>CORE</v>
      </c>
      <c r="P59" t="str">
        <f>INDEX(_xlfn.TEXTSPLIT(ubox[[#This Row],[FirstError - Location]],"."),1,3)</f>
        <v>cpucore</v>
      </c>
      <c r="Q59" t="str">
        <f>_xlfn.XLOOKUP(ubox[[#This Row],[FirstError - Device]],Computes!$AB$2:$AB$22,Computes!$AC$2:$AC$22)</f>
        <v>CORE</v>
      </c>
      <c r="R59">
        <f>_xlfn.XLOOKUP(ubox[[#This Row],[FirstError - Device]],Computes!$AB$1:$AB$22,Computes!$AD$1:$AD$22)</f>
        <v>4</v>
      </c>
      <c r="S59">
        <f>INDEX(_xlfn.TEXTSPLIT(ubox[[#This Row],[FirstError - Location]],"."),1,4)-(ubox[[#This Row],[offset]]*(ubox[[#This Row],[FirstError - DIEID]]-9))</f>
        <v>143</v>
      </c>
      <c r="T5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60" spans="1:20" hidden="1" x14ac:dyDescent="0.3">
      <c r="A60" t="s">
        <v>709</v>
      </c>
      <c r="B60" t="s">
        <v>1491</v>
      </c>
      <c r="C60" t="s">
        <v>750</v>
      </c>
      <c r="D60" t="s">
        <v>1503</v>
      </c>
      <c r="E60" t="s">
        <v>1494</v>
      </c>
      <c r="F60">
        <v>9</v>
      </c>
      <c r="G60">
        <v>22</v>
      </c>
      <c r="H60" t="s">
        <v>418</v>
      </c>
      <c r="I60">
        <v>1</v>
      </c>
      <c r="J60">
        <v>11</v>
      </c>
      <c r="K60">
        <v>37</v>
      </c>
      <c r="L60" t="s">
        <v>582</v>
      </c>
      <c r="M60">
        <v>1</v>
      </c>
      <c r="N60" t="str">
        <f>INDEX(_xlfn.TEXTSPLIT(ubox[[#This Row],[FirstError - Location]],"."),1,1)</f>
        <v>core_coregp</v>
      </c>
      <c r="O60" t="str">
        <f>_xlfn.XLOOKUP(ubox[[#This Row],[FirstError - IP]],Computes!$S$2:$S$22,Computes!$T$2:$T$22)</f>
        <v>CORE</v>
      </c>
      <c r="P60" t="str">
        <f>INDEX(_xlfn.TEXTSPLIT(ubox[[#This Row],[FirstError - Location]],"."),1,3)</f>
        <v>cpucore</v>
      </c>
      <c r="Q60" t="str">
        <f>_xlfn.XLOOKUP(ubox[[#This Row],[FirstError - Device]],Computes!$AB$2:$AB$22,Computes!$AC$2:$AC$22)</f>
        <v>CORE</v>
      </c>
      <c r="R60">
        <f>_xlfn.XLOOKUP(ubox[[#This Row],[FirstError - Device]],Computes!$AB$1:$AB$22,Computes!$AD$1:$AD$22)</f>
        <v>4</v>
      </c>
      <c r="S60">
        <f>INDEX(_xlfn.TEXTSPLIT(ubox[[#This Row],[FirstError - Location]],"."),1,4)-(ubox[[#This Row],[offset]]*(ubox[[#This Row],[FirstError - DIEID]]-9))</f>
        <v>22</v>
      </c>
      <c r="T6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CORE22</v>
      </c>
    </row>
    <row r="61" spans="1:20" hidden="1" x14ac:dyDescent="0.3">
      <c r="A61" t="s">
        <v>709</v>
      </c>
      <c r="B61" t="s">
        <v>710</v>
      </c>
      <c r="C61" t="s">
        <v>711</v>
      </c>
      <c r="D61" t="s">
        <v>430</v>
      </c>
      <c r="E61" t="s">
        <v>1495</v>
      </c>
      <c r="F61">
        <v>11</v>
      </c>
      <c r="G61">
        <v>23</v>
      </c>
      <c r="H61" t="s">
        <v>420</v>
      </c>
      <c r="I61">
        <v>1</v>
      </c>
      <c r="J61">
        <v>9</v>
      </c>
      <c r="K61">
        <v>29</v>
      </c>
      <c r="L61" t="s">
        <v>412</v>
      </c>
      <c r="M61">
        <v>1</v>
      </c>
      <c r="N61" t="str">
        <f>INDEX(_xlfn.TEXTSPLIT(ubox[[#This Row],[FirstError - Location]],"."),1,1)</f>
        <v>core_coregp</v>
      </c>
      <c r="O61" t="str">
        <f>_xlfn.XLOOKUP(ubox[[#This Row],[FirstError - IP]],Computes!$S$2:$S$22,Computes!$T$2:$T$22)</f>
        <v>CORE</v>
      </c>
      <c r="P61" t="str">
        <f>INDEX(_xlfn.TEXTSPLIT(ubox[[#This Row],[FirstError - Location]],"."),1,3)</f>
        <v>cpucore</v>
      </c>
      <c r="Q61" t="str">
        <f>_xlfn.XLOOKUP(ubox[[#This Row],[FirstError - Device]],Computes!$AB$2:$AB$22,Computes!$AC$2:$AC$22)</f>
        <v>CORE</v>
      </c>
      <c r="R61">
        <f>_xlfn.XLOOKUP(ubox[[#This Row],[FirstError - Device]],Computes!$AB$1:$AB$22,Computes!$AD$1:$AD$22)</f>
        <v>4</v>
      </c>
      <c r="S61">
        <f>INDEX(_xlfn.TEXTSPLIT(ubox[[#This Row],[FirstError - Location]],"."),1,4)-(ubox[[#This Row],[offset]]*(ubox[[#This Row],[FirstError - DIEID]]-9))</f>
        <v>143</v>
      </c>
      <c r="T6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62" spans="1:20" hidden="1" x14ac:dyDescent="0.3">
      <c r="A62" t="s">
        <v>709</v>
      </c>
      <c r="B62" t="s">
        <v>710</v>
      </c>
      <c r="C62" t="s">
        <v>711</v>
      </c>
      <c r="D62" t="s">
        <v>1503</v>
      </c>
      <c r="E62" t="s">
        <v>1496</v>
      </c>
      <c r="F62">
        <v>10</v>
      </c>
      <c r="G62">
        <v>48</v>
      </c>
      <c r="H62" t="s">
        <v>438</v>
      </c>
      <c r="I62">
        <v>1</v>
      </c>
      <c r="J62">
        <v>10</v>
      </c>
      <c r="K62">
        <v>1</v>
      </c>
      <c r="L62" t="s">
        <v>523</v>
      </c>
      <c r="M62">
        <v>1</v>
      </c>
      <c r="N62" t="str">
        <f>INDEX(_xlfn.TEXTSPLIT(ubox[[#This Row],[FirstError - Location]],"."),1,1)</f>
        <v>core_coregp</v>
      </c>
      <c r="O62" t="str">
        <f>_xlfn.XLOOKUP(ubox[[#This Row],[FirstError - IP]],Computes!$S$2:$S$22,Computes!$T$2:$T$22)</f>
        <v>CORE</v>
      </c>
      <c r="P62" t="str">
        <f>INDEX(_xlfn.TEXTSPLIT(ubox[[#This Row],[FirstError - Location]],"."),1,3)</f>
        <v>cpucore</v>
      </c>
      <c r="Q62" t="str">
        <f>_xlfn.XLOOKUP(ubox[[#This Row],[FirstError - Device]],Computes!$AB$2:$AB$22,Computes!$AC$2:$AC$22)</f>
        <v>CORE</v>
      </c>
      <c r="R62">
        <f>_xlfn.XLOOKUP(ubox[[#This Row],[FirstError - Device]],Computes!$AB$1:$AB$22,Computes!$AD$1:$AD$22)</f>
        <v>4</v>
      </c>
      <c r="S62">
        <f>INDEX(_xlfn.TEXTSPLIT(ubox[[#This Row],[FirstError - Location]],"."),1,4)-(ubox[[#This Row],[offset]]*(ubox[[#This Row],[FirstError - DIEID]]-9))</f>
        <v>108</v>
      </c>
      <c r="T6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CORE108</v>
      </c>
    </row>
    <row r="63" spans="1:20" hidden="1" x14ac:dyDescent="0.3">
      <c r="A63" t="s">
        <v>709</v>
      </c>
      <c r="B63" t="s">
        <v>1461</v>
      </c>
      <c r="C63" t="s">
        <v>750</v>
      </c>
      <c r="D63" t="s">
        <v>430</v>
      </c>
      <c r="E63" t="s">
        <v>1497</v>
      </c>
      <c r="F63">
        <v>11</v>
      </c>
      <c r="G63">
        <v>23</v>
      </c>
      <c r="H63" t="s">
        <v>420</v>
      </c>
      <c r="I63">
        <v>1</v>
      </c>
      <c r="J63">
        <v>10</v>
      </c>
      <c r="K63">
        <v>48</v>
      </c>
      <c r="L63" t="s">
        <v>438</v>
      </c>
      <c r="M63">
        <v>1</v>
      </c>
      <c r="N63" t="str">
        <f>INDEX(_xlfn.TEXTSPLIT(ubox[[#This Row],[FirstError - Location]],"."),1,1)</f>
        <v>core_coregp</v>
      </c>
      <c r="O63" t="str">
        <f>_xlfn.XLOOKUP(ubox[[#This Row],[FirstError - IP]],Computes!$S$2:$S$22,Computes!$T$2:$T$22)</f>
        <v>CORE</v>
      </c>
      <c r="P63" t="str">
        <f>INDEX(_xlfn.TEXTSPLIT(ubox[[#This Row],[FirstError - Location]],"."),1,3)</f>
        <v>cpucore</v>
      </c>
      <c r="Q63" t="str">
        <f>_xlfn.XLOOKUP(ubox[[#This Row],[FirstError - Device]],Computes!$AB$2:$AB$22,Computes!$AC$2:$AC$22)</f>
        <v>CORE</v>
      </c>
      <c r="R63">
        <f>_xlfn.XLOOKUP(ubox[[#This Row],[FirstError - Device]],Computes!$AB$1:$AB$22,Computes!$AD$1:$AD$22)</f>
        <v>4</v>
      </c>
      <c r="S63">
        <f>INDEX(_xlfn.TEXTSPLIT(ubox[[#This Row],[FirstError - Location]],"."),1,4)-(ubox[[#This Row],[offset]]*(ubox[[#This Row],[FirstError - DIEID]]-9))</f>
        <v>143</v>
      </c>
      <c r="T6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64" spans="1:20" hidden="1" x14ac:dyDescent="0.3">
      <c r="A64" t="s">
        <v>709</v>
      </c>
      <c r="B64" t="s">
        <v>1461</v>
      </c>
      <c r="C64" t="s">
        <v>750</v>
      </c>
      <c r="D64" t="s">
        <v>1503</v>
      </c>
      <c r="E64" t="s">
        <v>1498</v>
      </c>
      <c r="F64">
        <v>10</v>
      </c>
      <c r="G64">
        <v>24</v>
      </c>
      <c r="H64" t="s">
        <v>413</v>
      </c>
      <c r="I64">
        <v>1</v>
      </c>
      <c r="J64">
        <v>10</v>
      </c>
      <c r="K64">
        <v>6</v>
      </c>
      <c r="L64" t="s">
        <v>434</v>
      </c>
      <c r="M64">
        <v>1</v>
      </c>
      <c r="N64" t="str">
        <f>INDEX(_xlfn.TEXTSPLIT(ubox[[#This Row],[FirstError - Location]],"."),1,1)</f>
        <v>core_coregp</v>
      </c>
      <c r="O64" t="str">
        <f>_xlfn.XLOOKUP(ubox[[#This Row],[FirstError - IP]],Computes!$S$2:$S$22,Computes!$T$2:$T$22)</f>
        <v>CORE</v>
      </c>
      <c r="P64" t="str">
        <f>INDEX(_xlfn.TEXTSPLIT(ubox[[#This Row],[FirstError - Location]],"."),1,3)</f>
        <v>cpucore</v>
      </c>
      <c r="Q64" t="str">
        <f>_xlfn.XLOOKUP(ubox[[#This Row],[FirstError - Device]],Computes!$AB$2:$AB$22,Computes!$AC$2:$AC$22)</f>
        <v>CORE</v>
      </c>
      <c r="R64">
        <f>_xlfn.XLOOKUP(ubox[[#This Row],[FirstError - Device]],Computes!$AB$1:$AB$22,Computes!$AD$1:$AD$22)</f>
        <v>4</v>
      </c>
      <c r="S64">
        <f>INDEX(_xlfn.TEXTSPLIT(ubox[[#This Row],[FirstError - Location]],"."),1,4)-(ubox[[#This Row],[offset]]*(ubox[[#This Row],[FirstError - DIEID]]-9))</f>
        <v>84</v>
      </c>
      <c r="T6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CORE84</v>
      </c>
    </row>
    <row r="65" spans="1:20" hidden="1" x14ac:dyDescent="0.3">
      <c r="A65" t="s">
        <v>709</v>
      </c>
      <c r="B65" t="s">
        <v>726</v>
      </c>
      <c r="C65" t="s">
        <v>711</v>
      </c>
      <c r="D65" t="s">
        <v>430</v>
      </c>
      <c r="E65" t="s">
        <v>1499</v>
      </c>
      <c r="F65">
        <v>11</v>
      </c>
      <c r="G65">
        <v>23</v>
      </c>
      <c r="H65" t="s">
        <v>420</v>
      </c>
      <c r="I65">
        <v>1</v>
      </c>
      <c r="J65">
        <v>11</v>
      </c>
      <c r="K65">
        <v>10</v>
      </c>
      <c r="L65" t="s">
        <v>415</v>
      </c>
      <c r="M65">
        <v>1</v>
      </c>
      <c r="N65" t="str">
        <f>INDEX(_xlfn.TEXTSPLIT(ubox[[#This Row],[FirstError - Location]],"."),1,1)</f>
        <v>core_coregp</v>
      </c>
      <c r="O65" t="str">
        <f>_xlfn.XLOOKUP(ubox[[#This Row],[FirstError - IP]],Computes!$S$2:$S$22,Computes!$T$2:$T$22)</f>
        <v>CORE</v>
      </c>
      <c r="P65" t="str">
        <f>INDEX(_xlfn.TEXTSPLIT(ubox[[#This Row],[FirstError - Location]],"."),1,3)</f>
        <v>cpucore</v>
      </c>
      <c r="Q65" t="str">
        <f>_xlfn.XLOOKUP(ubox[[#This Row],[FirstError - Device]],Computes!$AB$2:$AB$22,Computes!$AC$2:$AC$22)</f>
        <v>CORE</v>
      </c>
      <c r="R65">
        <f>_xlfn.XLOOKUP(ubox[[#This Row],[FirstError - Device]],Computes!$AB$1:$AB$22,Computes!$AD$1:$AD$22)</f>
        <v>4</v>
      </c>
      <c r="S65">
        <f>INDEX(_xlfn.TEXTSPLIT(ubox[[#This Row],[FirstError - Location]],"."),1,4)-(ubox[[#This Row],[offset]]*(ubox[[#This Row],[FirstError - DIEID]]-9))</f>
        <v>143</v>
      </c>
      <c r="T6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66" spans="1:20" hidden="1" x14ac:dyDescent="0.3">
      <c r="A66" t="s">
        <v>709</v>
      </c>
      <c r="B66" t="s">
        <v>726</v>
      </c>
      <c r="C66" t="s">
        <v>711</v>
      </c>
      <c r="D66" t="s">
        <v>1503</v>
      </c>
      <c r="E66" t="s">
        <v>1500</v>
      </c>
      <c r="F66">
        <v>11</v>
      </c>
      <c r="G66">
        <v>9</v>
      </c>
      <c r="H66" t="s">
        <v>414</v>
      </c>
      <c r="I66">
        <v>1</v>
      </c>
      <c r="J66">
        <v>11</v>
      </c>
      <c r="K66">
        <v>14</v>
      </c>
      <c r="L66" t="s">
        <v>419</v>
      </c>
      <c r="M66">
        <v>1</v>
      </c>
      <c r="N66" t="str">
        <f>INDEX(_xlfn.TEXTSPLIT(ubox[[#This Row],[FirstError - Location]],"."),1,1)</f>
        <v>core_coregp</v>
      </c>
      <c r="O66" t="str">
        <f>_xlfn.XLOOKUP(ubox[[#This Row],[FirstError - IP]],Computes!$S$2:$S$22,Computes!$T$2:$T$22)</f>
        <v>CORE</v>
      </c>
      <c r="P66" t="str">
        <f>INDEX(_xlfn.TEXTSPLIT(ubox[[#This Row],[FirstError - Location]],"."),1,3)</f>
        <v>cpucore</v>
      </c>
      <c r="Q66" t="str">
        <f>_xlfn.XLOOKUP(ubox[[#This Row],[FirstError - Device]],Computes!$AB$2:$AB$22,Computes!$AC$2:$AC$22)</f>
        <v>CORE</v>
      </c>
      <c r="R66">
        <f>_xlfn.XLOOKUP(ubox[[#This Row],[FirstError - Device]],Computes!$AB$1:$AB$22,Computes!$AD$1:$AD$22)</f>
        <v>4</v>
      </c>
      <c r="S66">
        <f>INDEX(_xlfn.TEXTSPLIT(ubox[[#This Row],[FirstError - Location]],"."),1,4)-(ubox[[#This Row],[offset]]*(ubox[[#This Row],[FirstError - DIEID]]-9))</f>
        <v>129</v>
      </c>
      <c r="T6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CORE129</v>
      </c>
    </row>
    <row r="67" spans="1:20" hidden="1" x14ac:dyDescent="0.3">
      <c r="A67" t="s">
        <v>709</v>
      </c>
      <c r="B67" t="s">
        <v>732</v>
      </c>
      <c r="C67" t="s">
        <v>733</v>
      </c>
      <c r="D67" t="s">
        <v>430</v>
      </c>
      <c r="E67" t="s">
        <v>1492</v>
      </c>
      <c r="F67">
        <v>11</v>
      </c>
      <c r="G67">
        <v>23</v>
      </c>
      <c r="H67" t="s">
        <v>420</v>
      </c>
      <c r="I67">
        <v>1</v>
      </c>
      <c r="J67">
        <v>9</v>
      </c>
      <c r="K67">
        <v>2</v>
      </c>
      <c r="L67" t="s">
        <v>417</v>
      </c>
      <c r="M67">
        <v>1</v>
      </c>
      <c r="N67" t="str">
        <f>INDEX(_xlfn.TEXTSPLIT(ubox[[#This Row],[FirstError - Location]],"."),1,1)</f>
        <v>core_coregp</v>
      </c>
      <c r="O67" t="str">
        <f>_xlfn.XLOOKUP(ubox[[#This Row],[FirstError - IP]],Computes!$S$2:$S$22,Computes!$T$2:$T$22)</f>
        <v>CORE</v>
      </c>
      <c r="P67" t="str">
        <f>INDEX(_xlfn.TEXTSPLIT(ubox[[#This Row],[FirstError - Location]],"."),1,3)</f>
        <v>cpucore</v>
      </c>
      <c r="Q67" t="str">
        <f>_xlfn.XLOOKUP(ubox[[#This Row],[FirstError - Device]],Computes!$AB$2:$AB$22,Computes!$AC$2:$AC$22)</f>
        <v>CORE</v>
      </c>
      <c r="R67">
        <f>_xlfn.XLOOKUP(ubox[[#This Row],[FirstError - Device]],Computes!$AB$1:$AB$22,Computes!$AD$1:$AD$22)</f>
        <v>4</v>
      </c>
      <c r="S67">
        <f>INDEX(_xlfn.TEXTSPLIT(ubox[[#This Row],[FirstError - Location]],"."),1,4)-(ubox[[#This Row],[offset]]*(ubox[[#This Row],[FirstError - DIEID]]-9))</f>
        <v>143</v>
      </c>
      <c r="T6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68" spans="1:20" x14ac:dyDescent="0.3">
      <c r="A68" t="s">
        <v>709</v>
      </c>
      <c r="B68" t="s">
        <v>1501</v>
      </c>
      <c r="C68" t="s">
        <v>566</v>
      </c>
      <c r="D68" t="s">
        <v>430</v>
      </c>
      <c r="E68" t="s">
        <v>1502</v>
      </c>
      <c r="F68">
        <v>11</v>
      </c>
      <c r="G68">
        <v>23</v>
      </c>
      <c r="H68" t="s">
        <v>420</v>
      </c>
      <c r="I68">
        <v>1</v>
      </c>
      <c r="J68">
        <v>9</v>
      </c>
      <c r="K68">
        <v>30</v>
      </c>
      <c r="L68" t="s">
        <v>433</v>
      </c>
      <c r="M68">
        <v>1</v>
      </c>
      <c r="N68" t="str">
        <f>INDEX(_xlfn.TEXTSPLIT(ubox[[#This Row],[FirstError - Location]],"."),1,1)</f>
        <v>core_coregp</v>
      </c>
      <c r="O68" t="str">
        <f>_xlfn.XLOOKUP(ubox[[#This Row],[FirstError - IP]],Computes!$S$2:$S$22,Computes!$T$2:$T$22)</f>
        <v>CORE</v>
      </c>
      <c r="P68" t="str">
        <f>INDEX(_xlfn.TEXTSPLIT(ubox[[#This Row],[FirstError - Location]],"."),1,3)</f>
        <v>cpucore</v>
      </c>
      <c r="Q68" t="str">
        <f>_xlfn.XLOOKUP(ubox[[#This Row],[FirstError - Device]],Computes!$AB$2:$AB$22,Computes!$AC$2:$AC$22)</f>
        <v>CORE</v>
      </c>
      <c r="R68">
        <f>_xlfn.XLOOKUP(ubox[[#This Row],[FirstError - Device]],Computes!$AB$1:$AB$22,Computes!$AD$1:$AD$22)</f>
        <v>4</v>
      </c>
      <c r="S68">
        <f>INDEX(_xlfn.TEXTSPLIT(ubox[[#This Row],[FirstError - Location]],"."),1,4)-(ubox[[#This Row],[offset]]*(ubox[[#This Row],[FirstError - DIEID]]-9))</f>
        <v>143</v>
      </c>
      <c r="T6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CORE143</v>
      </c>
    </row>
    <row r="69" spans="1:20" hidden="1" x14ac:dyDescent="0.3">
      <c r="A69" t="s">
        <v>1778</v>
      </c>
      <c r="B69" t="s">
        <v>749</v>
      </c>
      <c r="C69" t="s">
        <v>750</v>
      </c>
      <c r="D69" t="s">
        <v>429</v>
      </c>
      <c r="E69" t="s">
        <v>2736</v>
      </c>
      <c r="F69">
        <v>9</v>
      </c>
      <c r="G69">
        <v>1512</v>
      </c>
      <c r="H69" t="s">
        <v>2737</v>
      </c>
      <c r="I69">
        <v>0</v>
      </c>
      <c r="N69" t="str">
        <f>INDEX(_xlfn.TEXTSPLIT(ubox[[#This Row],[FirstError - Location]],"."),1,1)</f>
        <v>scf_cha</v>
      </c>
      <c r="O69" t="str">
        <f>_xlfn.XLOOKUP(ubox[[#This Row],[FirstError - IP]],Computes!$S$2:$S$22,Computes!$T$2:$T$22)</f>
        <v>CHA</v>
      </c>
      <c r="P69" t="str">
        <f>INDEX(_xlfn.TEXTSPLIT(ubox[[#This Row],[FirstError - Location]],"."),1,3)</f>
        <v>cpuscf</v>
      </c>
      <c r="Q69" t="str">
        <f>_xlfn.XLOOKUP(ubox[[#This Row],[FirstError - Device]],Computes!$AB$2:$AB$22,Computes!$AC$2:$AC$22)</f>
        <v>SCF</v>
      </c>
      <c r="R69">
        <f>_xlfn.XLOOKUP(ubox[[#This Row],[FirstError - Device]],Computes!$AB$1:$AB$22,Computes!$AD$1:$AD$22)</f>
        <v>4</v>
      </c>
      <c r="S69">
        <f>INDEX(_xlfn.TEXTSPLIT(ubox[[#This Row],[FirstError - Location]],"."),1,4)-(ubox[[#This Row],[offset]]*(ubox[[#This Row],[FirstError - DIEID]]-9))</f>
        <v>22</v>
      </c>
      <c r="T6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CHA22</v>
      </c>
    </row>
    <row r="70" spans="1:20" hidden="1" x14ac:dyDescent="0.3">
      <c r="A70" t="s">
        <v>1778</v>
      </c>
      <c r="B70" t="s">
        <v>749</v>
      </c>
      <c r="C70" t="s">
        <v>750</v>
      </c>
      <c r="D70" t="s">
        <v>1493</v>
      </c>
      <c r="E70" t="s">
        <v>2738</v>
      </c>
      <c r="F70">
        <v>9</v>
      </c>
      <c r="G70">
        <v>1442</v>
      </c>
      <c r="H70" t="s">
        <v>2739</v>
      </c>
      <c r="I70">
        <v>0</v>
      </c>
      <c r="N70" t="str">
        <f>INDEX(_xlfn.TEXTSPLIT(ubox[[#This Row],[FirstError - Location]],"."),1,1)</f>
        <v>scf_cha</v>
      </c>
      <c r="O70" t="str">
        <f>_xlfn.XLOOKUP(ubox[[#This Row],[FirstError - IP]],Computes!$S$2:$S$22,Computes!$T$2:$T$22)</f>
        <v>CHA</v>
      </c>
      <c r="P70" t="str">
        <f>INDEX(_xlfn.TEXTSPLIT(ubox[[#This Row],[FirstError - Location]],"."),1,3)</f>
        <v>cpuscf</v>
      </c>
      <c r="Q70" t="str">
        <f>_xlfn.XLOOKUP(ubox[[#This Row],[FirstError - Device]],Computes!$AB$2:$AB$22,Computes!$AC$2:$AC$22)</f>
        <v>SCF</v>
      </c>
      <c r="R70">
        <f>_xlfn.XLOOKUP(ubox[[#This Row],[FirstError - Device]],Computes!$AB$1:$AB$22,Computes!$AD$1:$AD$22)</f>
        <v>4</v>
      </c>
      <c r="S70">
        <f>INDEX(_xlfn.TEXTSPLIT(ubox[[#This Row],[FirstError - Location]],"."),1,4)-(ubox[[#This Row],[offset]]*(ubox[[#This Row],[FirstError - DIEID]]-9))</f>
        <v>15</v>
      </c>
      <c r="T7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CHA15</v>
      </c>
    </row>
    <row r="71" spans="1:20" hidden="1" x14ac:dyDescent="0.3">
      <c r="A71" t="s">
        <v>1778</v>
      </c>
      <c r="B71" t="s">
        <v>1505</v>
      </c>
      <c r="C71" t="s">
        <v>750</v>
      </c>
      <c r="D71" t="s">
        <v>429</v>
      </c>
      <c r="E71" t="s">
        <v>2740</v>
      </c>
      <c r="F71">
        <v>4</v>
      </c>
      <c r="G71">
        <v>1559</v>
      </c>
      <c r="H71" t="s">
        <v>2741</v>
      </c>
      <c r="I71">
        <v>0</v>
      </c>
      <c r="J71">
        <v>4</v>
      </c>
      <c r="K71">
        <v>1559</v>
      </c>
      <c r="L71" t="s">
        <v>2741</v>
      </c>
      <c r="M71">
        <v>0</v>
      </c>
      <c r="N71" t="str">
        <f>INDEX(_xlfn.TEXTSPLIT(ubox[[#This Row],[FirstError - Location]],"."),1,1)</f>
        <v>upiagent:lnmacmisc</v>
      </c>
      <c r="O71" t="str">
        <f>_xlfn.XLOOKUP(ubox[[#This Row],[FirstError - IP]],Computes!$S$2:$S$22,Computes!$T$2:$T$22)</f>
        <v>UPI</v>
      </c>
      <c r="P71" t="str">
        <f>INDEX(_xlfn.TEXTSPLIT(ubox[[#This Row],[FirstError - Location]],"."),1,3)</f>
        <v>pc5_5u2</v>
      </c>
      <c r="Q71" t="str">
        <f>_xlfn.XLOOKUP(ubox[[#This Row],[FirstError - Device]],Computes!$AB$2:$AB$22,Computes!$AC$2:$AC$22)</f>
        <v>pcie</v>
      </c>
      <c r="R71">
        <f>_xlfn.XLOOKUP(ubox[[#This Row],[FirstError - Device]],Computes!$AB$1:$AB$22,Computes!$AD$1:$AD$22)</f>
        <v>0</v>
      </c>
      <c r="S71">
        <f>INDEX(_xlfn.TEXTSPLIT(ubox[[#This Row],[FirstError - Location]],"."),1,4)-(ubox[[#This Row],[offset]]*(ubox[[#This Row],[FirstError - DIEID]]-9))</f>
        <v>7</v>
      </c>
      <c r="T7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UPI:pcie7</v>
      </c>
    </row>
    <row r="72" spans="1:20" hidden="1" x14ac:dyDescent="0.3">
      <c r="A72" t="s">
        <v>1778</v>
      </c>
      <c r="B72" t="s">
        <v>1505</v>
      </c>
      <c r="C72" t="s">
        <v>750</v>
      </c>
      <c r="D72" t="s">
        <v>1493</v>
      </c>
      <c r="E72" t="s">
        <v>2742</v>
      </c>
      <c r="F72">
        <v>10</v>
      </c>
      <c r="G72">
        <v>1632</v>
      </c>
      <c r="H72" t="s">
        <v>2743</v>
      </c>
      <c r="I72">
        <v>0</v>
      </c>
      <c r="J72">
        <v>11</v>
      </c>
      <c r="K72">
        <v>1582</v>
      </c>
      <c r="L72" t="s">
        <v>2744</v>
      </c>
      <c r="M72">
        <v>0</v>
      </c>
      <c r="N72" t="str">
        <f>INDEX(_xlfn.TEXTSPLIT(ubox[[#This Row],[FirstError - Location]],"."),1,1)</f>
        <v>scf_cha</v>
      </c>
      <c r="O72" t="str">
        <f>_xlfn.XLOOKUP(ubox[[#This Row],[FirstError - IP]],Computes!$S$2:$S$22,Computes!$T$2:$T$22)</f>
        <v>CHA</v>
      </c>
      <c r="P72" t="str">
        <f>INDEX(_xlfn.TEXTSPLIT(ubox[[#This Row],[FirstError - Location]],"."),1,3)</f>
        <v>cpuscf</v>
      </c>
      <c r="Q72" t="str">
        <f>_xlfn.XLOOKUP(ubox[[#This Row],[FirstError - Device]],Computes!$AB$2:$AB$22,Computes!$AC$2:$AC$22)</f>
        <v>SCF</v>
      </c>
      <c r="R72">
        <f>_xlfn.XLOOKUP(ubox[[#This Row],[FirstError - Device]],Computes!$AB$1:$AB$22,Computes!$AD$1:$AD$22)</f>
        <v>4</v>
      </c>
      <c r="S72">
        <f>INDEX(_xlfn.TEXTSPLIT(ubox[[#This Row],[FirstError - Location]],"."),1,4)-(ubox[[#This Row],[offset]]*(ubox[[#This Row],[FirstError - DIEID]]-9))</f>
        <v>94</v>
      </c>
      <c r="T7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CHA94</v>
      </c>
    </row>
    <row r="73" spans="1:20" hidden="1" x14ac:dyDescent="0.3">
      <c r="A73" t="s">
        <v>1778</v>
      </c>
      <c r="B73" t="s">
        <v>732</v>
      </c>
      <c r="C73" t="s">
        <v>711</v>
      </c>
      <c r="D73" t="s">
        <v>429</v>
      </c>
      <c r="E73" t="s">
        <v>2745</v>
      </c>
      <c r="F73">
        <v>4</v>
      </c>
      <c r="G73">
        <v>279</v>
      </c>
      <c r="H73" t="s">
        <v>2746</v>
      </c>
      <c r="I73">
        <v>0</v>
      </c>
      <c r="J73">
        <v>10</v>
      </c>
      <c r="K73">
        <v>1452</v>
      </c>
      <c r="L73" t="s">
        <v>2747</v>
      </c>
      <c r="M73">
        <v>0</v>
      </c>
      <c r="N73" t="str">
        <f>INDEX(_xlfn.TEXTSPLIT(ubox[[#This Row],[FirstError - Location]],"."),1,1)</f>
        <v>upiagent:lnmacmisc</v>
      </c>
      <c r="O73" t="str">
        <f>_xlfn.XLOOKUP(ubox[[#This Row],[FirstError - IP]],Computes!$S$2:$S$22,Computes!$T$2:$T$22)</f>
        <v>UPI</v>
      </c>
      <c r="P73" t="str">
        <f>INDEX(_xlfn.TEXTSPLIT(ubox[[#This Row],[FirstError - Location]],"."),1,3)</f>
        <v>pc5_5u2</v>
      </c>
      <c r="Q73" t="str">
        <f>_xlfn.XLOOKUP(ubox[[#This Row],[FirstError - Device]],Computes!$AB$2:$AB$22,Computes!$AC$2:$AC$22)</f>
        <v>pcie</v>
      </c>
      <c r="R73">
        <f>_xlfn.XLOOKUP(ubox[[#This Row],[FirstError - Device]],Computes!$AB$1:$AB$22,Computes!$AD$1:$AD$22)</f>
        <v>0</v>
      </c>
      <c r="S73">
        <f>INDEX(_xlfn.TEXTSPLIT(ubox[[#This Row],[FirstError - Location]],"."),1,4)-(ubox[[#This Row],[offset]]*(ubox[[#This Row],[FirstError - DIEID]]-9))</f>
        <v>4</v>
      </c>
      <c r="T7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UPI:pcie4</v>
      </c>
    </row>
    <row r="74" spans="1:20" hidden="1" x14ac:dyDescent="0.3">
      <c r="A74" t="s">
        <v>1778</v>
      </c>
      <c r="B74" t="s">
        <v>732</v>
      </c>
      <c r="C74" t="s">
        <v>711</v>
      </c>
      <c r="D74" t="s">
        <v>1493</v>
      </c>
      <c r="E74" t="s">
        <v>2748</v>
      </c>
      <c r="F74">
        <v>11</v>
      </c>
      <c r="G74">
        <v>1392</v>
      </c>
      <c r="H74" t="s">
        <v>2749</v>
      </c>
      <c r="I74">
        <v>0</v>
      </c>
      <c r="J74">
        <v>11</v>
      </c>
      <c r="K74">
        <v>1372</v>
      </c>
      <c r="L74" t="s">
        <v>2750</v>
      </c>
      <c r="M74">
        <v>0</v>
      </c>
      <c r="N74" t="str">
        <f>INDEX(_xlfn.TEXTSPLIT(ubox[[#This Row],[FirstError - Location]],"."),1,1)</f>
        <v>scf_cha</v>
      </c>
      <c r="O74" t="str">
        <f>_xlfn.XLOOKUP(ubox[[#This Row],[FirstError - IP]],Computes!$S$2:$S$22,Computes!$T$2:$T$22)</f>
        <v>CHA</v>
      </c>
      <c r="P74" t="str">
        <f>INDEX(_xlfn.TEXTSPLIT(ubox[[#This Row],[FirstError - Location]],"."),1,3)</f>
        <v>cpuscf</v>
      </c>
      <c r="Q74" t="str">
        <f>_xlfn.XLOOKUP(ubox[[#This Row],[FirstError - Device]],Computes!$AB$2:$AB$22,Computes!$AC$2:$AC$22)</f>
        <v>SCF</v>
      </c>
      <c r="R74">
        <f>_xlfn.XLOOKUP(ubox[[#This Row],[FirstError - Device]],Computes!$AB$1:$AB$22,Computes!$AD$1:$AD$22)</f>
        <v>4</v>
      </c>
      <c r="S74">
        <f>INDEX(_xlfn.TEXTSPLIT(ubox[[#This Row],[FirstError - Location]],"."),1,4)-(ubox[[#This Row],[offset]]*(ubox[[#This Row],[FirstError - DIEID]]-9))</f>
        <v>130</v>
      </c>
      <c r="T7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CHA130</v>
      </c>
    </row>
    <row r="75" spans="1:20" hidden="1" x14ac:dyDescent="0.3">
      <c r="A75" t="s">
        <v>1778</v>
      </c>
      <c r="B75" t="s">
        <v>732</v>
      </c>
      <c r="C75" t="s">
        <v>711</v>
      </c>
      <c r="D75" t="s">
        <v>429</v>
      </c>
      <c r="E75" t="s">
        <v>2740</v>
      </c>
      <c r="F75">
        <v>4</v>
      </c>
      <c r="G75">
        <v>1559</v>
      </c>
      <c r="H75" t="s">
        <v>2741</v>
      </c>
      <c r="I75">
        <v>0</v>
      </c>
      <c r="J75">
        <v>4</v>
      </c>
      <c r="K75">
        <v>1559</v>
      </c>
      <c r="L75" t="s">
        <v>2741</v>
      </c>
      <c r="M75">
        <v>0</v>
      </c>
      <c r="N75" t="str">
        <f>INDEX(_xlfn.TEXTSPLIT(ubox[[#This Row],[FirstError - Location]],"."),1,1)</f>
        <v>upiagent:lnmacmisc</v>
      </c>
      <c r="O75" t="str">
        <f>_xlfn.XLOOKUP(ubox[[#This Row],[FirstError - IP]],Computes!$S$2:$S$22,Computes!$T$2:$T$22)</f>
        <v>UPI</v>
      </c>
      <c r="P75" t="str">
        <f>INDEX(_xlfn.TEXTSPLIT(ubox[[#This Row],[FirstError - Location]],"."),1,3)</f>
        <v>pc5_5u2</v>
      </c>
      <c r="Q75" t="str">
        <f>_xlfn.XLOOKUP(ubox[[#This Row],[FirstError - Device]],Computes!$AB$2:$AB$22,Computes!$AC$2:$AC$22)</f>
        <v>pcie</v>
      </c>
      <c r="R75">
        <f>_xlfn.XLOOKUP(ubox[[#This Row],[FirstError - Device]],Computes!$AB$1:$AB$22,Computes!$AD$1:$AD$22)</f>
        <v>0</v>
      </c>
      <c r="S75">
        <f>INDEX(_xlfn.TEXTSPLIT(ubox[[#This Row],[FirstError - Location]],"."),1,4)-(ubox[[#This Row],[offset]]*(ubox[[#This Row],[FirstError - DIEID]]-9))</f>
        <v>7</v>
      </c>
      <c r="T7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UPI:pcie7</v>
      </c>
    </row>
    <row r="76" spans="1:20" hidden="1" x14ac:dyDescent="0.3">
      <c r="A76" t="s">
        <v>1778</v>
      </c>
      <c r="B76" t="s">
        <v>732</v>
      </c>
      <c r="C76" t="s">
        <v>711</v>
      </c>
      <c r="D76" t="s">
        <v>1493</v>
      </c>
      <c r="E76" t="s">
        <v>2751</v>
      </c>
      <c r="F76">
        <v>10</v>
      </c>
      <c r="G76">
        <v>1852</v>
      </c>
      <c r="H76" t="s">
        <v>2752</v>
      </c>
      <c r="I76">
        <v>0</v>
      </c>
      <c r="J76">
        <v>11</v>
      </c>
      <c r="K76">
        <v>1312</v>
      </c>
      <c r="L76" t="s">
        <v>2753</v>
      </c>
      <c r="M76">
        <v>0</v>
      </c>
      <c r="N76" t="str">
        <f>INDEX(_xlfn.TEXTSPLIT(ubox[[#This Row],[FirstError - Location]],"."),1,1)</f>
        <v>scf_cha</v>
      </c>
      <c r="O76" t="str">
        <f>_xlfn.XLOOKUP(ubox[[#This Row],[FirstError - IP]],Computes!$S$2:$S$22,Computes!$T$2:$T$22)</f>
        <v>CHA</v>
      </c>
      <c r="P76" t="str">
        <f>INDEX(_xlfn.TEXTSPLIT(ubox[[#This Row],[FirstError - Location]],"."),1,3)</f>
        <v>cpuscf</v>
      </c>
      <c r="Q76" t="str">
        <f>_xlfn.XLOOKUP(ubox[[#This Row],[FirstError - Device]],Computes!$AB$2:$AB$22,Computes!$AC$2:$AC$22)</f>
        <v>SCF</v>
      </c>
      <c r="R76">
        <f>_xlfn.XLOOKUP(ubox[[#This Row],[FirstError - Device]],Computes!$AB$1:$AB$22,Computes!$AD$1:$AD$22)</f>
        <v>4</v>
      </c>
      <c r="S76">
        <f>INDEX(_xlfn.TEXTSPLIT(ubox[[#This Row],[FirstError - Location]],"."),1,4)-(ubox[[#This Row],[offset]]*(ubox[[#This Row],[FirstError - DIEID]]-9))</f>
        <v>116</v>
      </c>
      <c r="T7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CHA116</v>
      </c>
    </row>
    <row r="77" spans="1:20" hidden="1" x14ac:dyDescent="0.3">
      <c r="A77" t="s">
        <v>1778</v>
      </c>
      <c r="B77" t="s">
        <v>1505</v>
      </c>
      <c r="C77" t="s">
        <v>750</v>
      </c>
      <c r="D77" t="s">
        <v>430</v>
      </c>
      <c r="E77" t="s">
        <v>2754</v>
      </c>
      <c r="F77">
        <v>10</v>
      </c>
      <c r="G77">
        <v>58</v>
      </c>
      <c r="H77" t="s">
        <v>2755</v>
      </c>
      <c r="I77">
        <v>1</v>
      </c>
      <c r="J77">
        <v>9</v>
      </c>
      <c r="K77">
        <v>22</v>
      </c>
      <c r="L77" t="s">
        <v>418</v>
      </c>
      <c r="M77">
        <v>1</v>
      </c>
      <c r="N77" t="str">
        <f>INDEX(_xlfn.TEXTSPLIT(ubox[[#This Row],[FirstError - Location]],"."),1,1)</f>
        <v>core_coregp</v>
      </c>
      <c r="O77" t="str">
        <f>_xlfn.XLOOKUP(ubox[[#This Row],[FirstError - IP]],Computes!$S$2:$S$22,Computes!$T$2:$T$22)</f>
        <v>CORE</v>
      </c>
      <c r="P77" t="str">
        <f>INDEX(_xlfn.TEXTSPLIT(ubox[[#This Row],[FirstError - Location]],"."),1,3)</f>
        <v>cpucore</v>
      </c>
      <c r="Q77" t="str">
        <f>_xlfn.XLOOKUP(ubox[[#This Row],[FirstError - Device]],Computes!$AB$2:$AB$22,Computes!$AC$2:$AC$22)</f>
        <v>CORE</v>
      </c>
      <c r="R77">
        <f>_xlfn.XLOOKUP(ubox[[#This Row],[FirstError - Device]],Computes!$AB$1:$AB$22,Computes!$AD$1:$AD$22)</f>
        <v>4</v>
      </c>
      <c r="S77">
        <f>INDEX(_xlfn.TEXTSPLIT(ubox[[#This Row],[FirstError - Location]],"."),1,4)-(ubox[[#This Row],[offset]]*(ubox[[#This Row],[FirstError - DIEID]]-9))</f>
        <v>118</v>
      </c>
      <c r="T7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CORE118</v>
      </c>
    </row>
    <row r="78" spans="1:20" hidden="1" x14ac:dyDescent="0.3">
      <c r="A78" t="s">
        <v>1778</v>
      </c>
      <c r="B78" t="s">
        <v>1505</v>
      </c>
      <c r="C78" t="s">
        <v>750</v>
      </c>
      <c r="D78" t="s">
        <v>1503</v>
      </c>
      <c r="E78" t="s">
        <v>2756</v>
      </c>
      <c r="F78">
        <v>10</v>
      </c>
      <c r="G78">
        <v>50</v>
      </c>
      <c r="H78" t="s">
        <v>2757</v>
      </c>
      <c r="I78">
        <v>1</v>
      </c>
      <c r="J78">
        <v>11</v>
      </c>
      <c r="K78">
        <v>37</v>
      </c>
      <c r="L78" t="s">
        <v>582</v>
      </c>
      <c r="M78">
        <v>1</v>
      </c>
      <c r="N78" t="str">
        <f>INDEX(_xlfn.TEXTSPLIT(ubox[[#This Row],[FirstError - Location]],"."),1,1)</f>
        <v>core_coregp</v>
      </c>
      <c r="O78" t="str">
        <f>_xlfn.XLOOKUP(ubox[[#This Row],[FirstError - IP]],Computes!$S$2:$S$22,Computes!$T$2:$T$22)</f>
        <v>CORE</v>
      </c>
      <c r="P78" t="str">
        <f>INDEX(_xlfn.TEXTSPLIT(ubox[[#This Row],[FirstError - Location]],"."),1,3)</f>
        <v>cpucore</v>
      </c>
      <c r="Q78" t="str">
        <f>_xlfn.XLOOKUP(ubox[[#This Row],[FirstError - Device]],Computes!$AB$2:$AB$22,Computes!$AC$2:$AC$22)</f>
        <v>CORE</v>
      </c>
      <c r="R78">
        <f>_xlfn.XLOOKUP(ubox[[#This Row],[FirstError - Device]],Computes!$AB$1:$AB$22,Computes!$AD$1:$AD$22)</f>
        <v>4</v>
      </c>
      <c r="S78">
        <f>INDEX(_xlfn.TEXTSPLIT(ubox[[#This Row],[FirstError - Location]],"."),1,4)-(ubox[[#This Row],[offset]]*(ubox[[#This Row],[FirstError - DIEID]]-9))</f>
        <v>110</v>
      </c>
      <c r="T7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CORE110</v>
      </c>
    </row>
    <row r="79" spans="1:20" hidden="1" x14ac:dyDescent="0.3">
      <c r="A79" t="s">
        <v>1778</v>
      </c>
      <c r="B79" t="s">
        <v>732</v>
      </c>
      <c r="C79" t="s">
        <v>711</v>
      </c>
      <c r="D79" t="s">
        <v>430</v>
      </c>
      <c r="E79" t="s">
        <v>2758</v>
      </c>
      <c r="F79">
        <v>9</v>
      </c>
      <c r="G79">
        <v>20</v>
      </c>
      <c r="H79" t="s">
        <v>2759</v>
      </c>
      <c r="I79">
        <v>1</v>
      </c>
      <c r="J79">
        <v>9</v>
      </c>
      <c r="K79">
        <v>16</v>
      </c>
      <c r="L79" t="s">
        <v>2760</v>
      </c>
      <c r="M79">
        <v>1</v>
      </c>
      <c r="N79" t="str">
        <f>INDEX(_xlfn.TEXTSPLIT(ubox[[#This Row],[FirstError - Location]],"."),1,1)</f>
        <v>core_coregp</v>
      </c>
      <c r="O79" t="str">
        <f>_xlfn.XLOOKUP(ubox[[#This Row],[FirstError - IP]],Computes!$S$2:$S$22,Computes!$T$2:$T$22)</f>
        <v>CORE</v>
      </c>
      <c r="P79" t="str">
        <f>INDEX(_xlfn.TEXTSPLIT(ubox[[#This Row],[FirstError - Location]],"."),1,3)</f>
        <v>cpucore</v>
      </c>
      <c r="Q79" t="str">
        <f>_xlfn.XLOOKUP(ubox[[#This Row],[FirstError - Device]],Computes!$AB$2:$AB$22,Computes!$AC$2:$AC$22)</f>
        <v>CORE</v>
      </c>
      <c r="R79">
        <f>_xlfn.XLOOKUP(ubox[[#This Row],[FirstError - Device]],Computes!$AB$1:$AB$22,Computes!$AD$1:$AD$22)</f>
        <v>4</v>
      </c>
      <c r="S79">
        <f>INDEX(_xlfn.TEXTSPLIT(ubox[[#This Row],[FirstError - Location]],"."),1,4)-(ubox[[#This Row],[offset]]*(ubox[[#This Row],[FirstError - DIEID]]-9))</f>
        <v>20</v>
      </c>
      <c r="T7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CORE20</v>
      </c>
    </row>
    <row r="80" spans="1:20" hidden="1" x14ac:dyDescent="0.3">
      <c r="A80" t="s">
        <v>1778</v>
      </c>
      <c r="B80" t="s">
        <v>732</v>
      </c>
      <c r="C80" t="s">
        <v>711</v>
      </c>
      <c r="D80" t="s">
        <v>1503</v>
      </c>
      <c r="E80" t="s">
        <v>2761</v>
      </c>
      <c r="F80">
        <v>9</v>
      </c>
      <c r="G80">
        <v>44</v>
      </c>
      <c r="H80" t="s">
        <v>2762</v>
      </c>
      <c r="I80">
        <v>1</v>
      </c>
      <c r="J80">
        <v>11</v>
      </c>
      <c r="K80">
        <v>48</v>
      </c>
      <c r="L80" t="s">
        <v>416</v>
      </c>
      <c r="M80">
        <v>1</v>
      </c>
      <c r="N80" t="str">
        <f>INDEX(_xlfn.TEXTSPLIT(ubox[[#This Row],[FirstError - Location]],"."),1,1)</f>
        <v>core_coregp</v>
      </c>
      <c r="O80" t="str">
        <f>_xlfn.XLOOKUP(ubox[[#This Row],[FirstError - IP]],Computes!$S$2:$S$22,Computes!$T$2:$T$22)</f>
        <v>CORE</v>
      </c>
      <c r="P80" t="str">
        <f>INDEX(_xlfn.TEXTSPLIT(ubox[[#This Row],[FirstError - Location]],"."),1,3)</f>
        <v>cpucore</v>
      </c>
      <c r="Q80" t="str">
        <f>_xlfn.XLOOKUP(ubox[[#This Row],[FirstError - Device]],Computes!$AB$2:$AB$22,Computes!$AC$2:$AC$22)</f>
        <v>CORE</v>
      </c>
      <c r="R80">
        <f>_xlfn.XLOOKUP(ubox[[#This Row],[FirstError - Device]],Computes!$AB$1:$AB$22,Computes!$AD$1:$AD$22)</f>
        <v>4</v>
      </c>
      <c r="S80">
        <f>INDEX(_xlfn.TEXTSPLIT(ubox[[#This Row],[FirstError - Location]],"."),1,4)-(ubox[[#This Row],[offset]]*(ubox[[#This Row],[FirstError - DIEID]]-9))</f>
        <v>44</v>
      </c>
      <c r="T8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CORE44</v>
      </c>
    </row>
    <row r="81" spans="1:20" hidden="1" x14ac:dyDescent="0.3">
      <c r="A81" t="s">
        <v>1778</v>
      </c>
      <c r="B81" t="s">
        <v>732</v>
      </c>
      <c r="C81" t="s">
        <v>711</v>
      </c>
      <c r="D81" t="s">
        <v>430</v>
      </c>
      <c r="E81" t="s">
        <v>2763</v>
      </c>
      <c r="F81">
        <v>10</v>
      </c>
      <c r="G81">
        <v>37</v>
      </c>
      <c r="H81" t="s">
        <v>2764</v>
      </c>
      <c r="I81">
        <v>1</v>
      </c>
      <c r="J81">
        <v>10</v>
      </c>
      <c r="K81">
        <v>57</v>
      </c>
      <c r="L81" t="s">
        <v>2765</v>
      </c>
      <c r="M81">
        <v>1</v>
      </c>
      <c r="N81" t="str">
        <f>INDEX(_xlfn.TEXTSPLIT(ubox[[#This Row],[FirstError - Location]],"."),1,1)</f>
        <v>core_coregp</v>
      </c>
      <c r="O81" t="str">
        <f>_xlfn.XLOOKUP(ubox[[#This Row],[FirstError - IP]],Computes!$S$2:$S$22,Computes!$T$2:$T$22)</f>
        <v>CORE</v>
      </c>
      <c r="P81" t="str">
        <f>INDEX(_xlfn.TEXTSPLIT(ubox[[#This Row],[FirstError - Location]],"."),1,3)</f>
        <v>cpucore</v>
      </c>
      <c r="Q81" t="str">
        <f>_xlfn.XLOOKUP(ubox[[#This Row],[FirstError - Device]],Computes!$AB$2:$AB$22,Computes!$AC$2:$AC$22)</f>
        <v>CORE</v>
      </c>
      <c r="R81">
        <f>_xlfn.XLOOKUP(ubox[[#This Row],[FirstError - Device]],Computes!$AB$1:$AB$22,Computes!$AD$1:$AD$22)</f>
        <v>4</v>
      </c>
      <c r="S81">
        <f>INDEX(_xlfn.TEXTSPLIT(ubox[[#This Row],[FirstError - Location]],"."),1,4)-(ubox[[#This Row],[offset]]*(ubox[[#This Row],[FirstError - DIEID]]-9))</f>
        <v>97</v>
      </c>
      <c r="T8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CORE97</v>
      </c>
    </row>
    <row r="82" spans="1:20" hidden="1" x14ac:dyDescent="0.3">
      <c r="A82" t="s">
        <v>1778</v>
      </c>
      <c r="B82" t="s">
        <v>732</v>
      </c>
      <c r="C82" t="s">
        <v>711</v>
      </c>
      <c r="D82" t="s">
        <v>1503</v>
      </c>
      <c r="E82" t="s">
        <v>2766</v>
      </c>
      <c r="F82">
        <v>10</v>
      </c>
      <c r="G82">
        <v>57</v>
      </c>
      <c r="H82" t="s">
        <v>2765</v>
      </c>
      <c r="I82">
        <v>1</v>
      </c>
      <c r="J82">
        <v>10</v>
      </c>
      <c r="K82">
        <v>24</v>
      </c>
      <c r="L82" t="s">
        <v>413</v>
      </c>
      <c r="M82">
        <v>1</v>
      </c>
      <c r="N82" t="str">
        <f>INDEX(_xlfn.TEXTSPLIT(ubox[[#This Row],[FirstError - Location]],"."),1,1)</f>
        <v>core_coregp</v>
      </c>
      <c r="O82" t="str">
        <f>_xlfn.XLOOKUP(ubox[[#This Row],[FirstError - IP]],Computes!$S$2:$S$22,Computes!$T$2:$T$22)</f>
        <v>CORE</v>
      </c>
      <c r="P82" t="str">
        <f>INDEX(_xlfn.TEXTSPLIT(ubox[[#This Row],[FirstError - Location]],"."),1,3)</f>
        <v>cpucore</v>
      </c>
      <c r="Q82" t="str">
        <f>_xlfn.XLOOKUP(ubox[[#This Row],[FirstError - Device]],Computes!$AB$2:$AB$22,Computes!$AC$2:$AC$22)</f>
        <v>CORE</v>
      </c>
      <c r="R82">
        <f>_xlfn.XLOOKUP(ubox[[#This Row],[FirstError - Device]],Computes!$AB$1:$AB$22,Computes!$AD$1:$AD$22)</f>
        <v>4</v>
      </c>
      <c r="S82">
        <f>INDEX(_xlfn.TEXTSPLIT(ubox[[#This Row],[FirstError - Location]],"."),1,4)-(ubox[[#This Row],[offset]]*(ubox[[#This Row],[FirstError - DIEID]]-9))</f>
        <v>117</v>
      </c>
      <c r="T8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CORE117</v>
      </c>
    </row>
    <row r="83" spans="1:20" hidden="1" x14ac:dyDescent="0.3">
      <c r="A83" t="s">
        <v>731</v>
      </c>
      <c r="B83" t="s">
        <v>1505</v>
      </c>
      <c r="C83" t="s">
        <v>566</v>
      </c>
      <c r="D83" t="s">
        <v>429</v>
      </c>
      <c r="E83" t="s">
        <v>589</v>
      </c>
      <c r="F83">
        <v>9</v>
      </c>
      <c r="G83">
        <v>13</v>
      </c>
      <c r="H83" t="s">
        <v>588</v>
      </c>
      <c r="I83">
        <v>1</v>
      </c>
      <c r="J83">
        <v>9</v>
      </c>
      <c r="K83">
        <v>2</v>
      </c>
      <c r="L83" t="s">
        <v>417</v>
      </c>
      <c r="M83">
        <v>1</v>
      </c>
      <c r="N83" t="str">
        <f>INDEX(_xlfn.TEXTSPLIT(ubox[[#This Row],[FirstError - Location]],"."),1,1)</f>
        <v>core_coregp</v>
      </c>
      <c r="O83" t="str">
        <f>_xlfn.XLOOKUP(ubox[[#This Row],[FirstError - IP]],Computes!$S$2:$S$22,Computes!$T$2:$T$22)</f>
        <v>CORE</v>
      </c>
      <c r="P83" t="str">
        <f>INDEX(_xlfn.TEXTSPLIT(ubox[[#This Row],[FirstError - Location]],"."),1,3)</f>
        <v>cpucore</v>
      </c>
      <c r="Q83" t="str">
        <f>_xlfn.XLOOKUP(ubox[[#This Row],[FirstError - Device]],Computes!$AB$2:$AB$22,Computes!$AC$2:$AC$22)</f>
        <v>CORE</v>
      </c>
      <c r="R83">
        <f>_xlfn.XLOOKUP(ubox[[#This Row],[FirstError - Device]],Computes!$AB$1:$AB$22,Computes!$AD$1:$AD$22)</f>
        <v>4</v>
      </c>
      <c r="S83">
        <f>INDEX(_xlfn.TEXTSPLIT(ubox[[#This Row],[FirstError - Location]],"."),1,4)-(ubox[[#This Row],[offset]]*(ubox[[#This Row],[FirstError - DIEID]]-9))</f>
        <v>13</v>
      </c>
      <c r="T8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84" spans="1:20" hidden="1" x14ac:dyDescent="0.3">
      <c r="A84" t="s">
        <v>731</v>
      </c>
      <c r="B84" t="s">
        <v>1501</v>
      </c>
      <c r="C84" t="s">
        <v>566</v>
      </c>
      <c r="D84" t="s">
        <v>429</v>
      </c>
      <c r="E84" t="s">
        <v>705</v>
      </c>
      <c r="F84">
        <v>9</v>
      </c>
      <c r="G84">
        <v>13</v>
      </c>
      <c r="H84" t="s">
        <v>588</v>
      </c>
      <c r="I84">
        <v>1</v>
      </c>
      <c r="J84">
        <v>9</v>
      </c>
      <c r="K84">
        <v>13</v>
      </c>
      <c r="L84" t="s">
        <v>588</v>
      </c>
      <c r="M84">
        <v>1</v>
      </c>
      <c r="N84" t="str">
        <f>INDEX(_xlfn.TEXTSPLIT(ubox[[#This Row],[FirstError - Location]],"."),1,1)</f>
        <v>core_coregp</v>
      </c>
      <c r="O84" t="str">
        <f>_xlfn.XLOOKUP(ubox[[#This Row],[FirstError - IP]],Computes!$S$2:$S$22,Computes!$T$2:$T$22)</f>
        <v>CORE</v>
      </c>
      <c r="P84" t="str">
        <f>INDEX(_xlfn.TEXTSPLIT(ubox[[#This Row],[FirstError - Location]],"."),1,3)</f>
        <v>cpucore</v>
      </c>
      <c r="Q84" t="str">
        <f>_xlfn.XLOOKUP(ubox[[#This Row],[FirstError - Device]],Computes!$AB$2:$AB$22,Computes!$AC$2:$AC$22)</f>
        <v>CORE</v>
      </c>
      <c r="R84">
        <f>_xlfn.XLOOKUP(ubox[[#This Row],[FirstError - Device]],Computes!$AB$1:$AB$22,Computes!$AD$1:$AD$22)</f>
        <v>4</v>
      </c>
      <c r="S84">
        <f>INDEX(_xlfn.TEXTSPLIT(ubox[[#This Row],[FirstError - Location]],"."),1,4)-(ubox[[#This Row],[offset]]*(ubox[[#This Row],[FirstError - DIEID]]-9))</f>
        <v>13</v>
      </c>
      <c r="T8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85" spans="1:20" hidden="1" x14ac:dyDescent="0.3">
      <c r="A85" t="s">
        <v>731</v>
      </c>
      <c r="B85" t="s">
        <v>732</v>
      </c>
      <c r="C85" t="s">
        <v>733</v>
      </c>
      <c r="D85" t="s">
        <v>429</v>
      </c>
      <c r="E85" t="s">
        <v>1506</v>
      </c>
      <c r="F85">
        <v>11</v>
      </c>
      <c r="G85">
        <v>1432</v>
      </c>
      <c r="H85" t="s">
        <v>1507</v>
      </c>
      <c r="I85">
        <v>0</v>
      </c>
      <c r="N85" t="str">
        <f>INDEX(_xlfn.TEXTSPLIT(ubox[[#This Row],[FirstError - Location]],"."),1,1)</f>
        <v>scf_cha</v>
      </c>
      <c r="O85" t="str">
        <f>_xlfn.XLOOKUP(ubox[[#This Row],[FirstError - IP]],Computes!$S$2:$S$22,Computes!$T$2:$T$22)</f>
        <v>CHA</v>
      </c>
      <c r="P85" t="str">
        <f>INDEX(_xlfn.TEXTSPLIT(ubox[[#This Row],[FirstError - Location]],"."),1,3)</f>
        <v>cpuscf</v>
      </c>
      <c r="Q85" t="str">
        <f>_xlfn.XLOOKUP(ubox[[#This Row],[FirstError - Device]],Computes!$AB$2:$AB$22,Computes!$AC$2:$AC$22)</f>
        <v>SCF</v>
      </c>
      <c r="R85">
        <f>_xlfn.XLOOKUP(ubox[[#This Row],[FirstError - Device]],Computes!$AB$1:$AB$22,Computes!$AD$1:$AD$22)</f>
        <v>4</v>
      </c>
      <c r="S85">
        <f>INDEX(_xlfn.TEXTSPLIT(ubox[[#This Row],[FirstError - Location]],"."),1,4)-(ubox[[#This Row],[offset]]*(ubox[[#This Row],[FirstError - DIEID]]-9))</f>
        <v>134</v>
      </c>
      <c r="T8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CHA134</v>
      </c>
    </row>
    <row r="86" spans="1:20" hidden="1" x14ac:dyDescent="0.3">
      <c r="A86" t="s">
        <v>731</v>
      </c>
      <c r="B86" t="s">
        <v>732</v>
      </c>
      <c r="C86" t="s">
        <v>733</v>
      </c>
      <c r="D86" t="s">
        <v>429</v>
      </c>
      <c r="E86" t="s">
        <v>1508</v>
      </c>
      <c r="F86">
        <v>9</v>
      </c>
      <c r="G86">
        <v>13</v>
      </c>
      <c r="H86" t="s">
        <v>588</v>
      </c>
      <c r="I86">
        <v>1</v>
      </c>
      <c r="J86">
        <v>9</v>
      </c>
      <c r="K86">
        <v>37</v>
      </c>
      <c r="L86" t="s">
        <v>432</v>
      </c>
      <c r="M86">
        <v>1</v>
      </c>
      <c r="N86" t="str">
        <f>INDEX(_xlfn.TEXTSPLIT(ubox[[#This Row],[FirstError - Location]],"."),1,1)</f>
        <v>core_coregp</v>
      </c>
      <c r="O86" t="str">
        <f>_xlfn.XLOOKUP(ubox[[#This Row],[FirstError - IP]],Computes!$S$2:$S$22,Computes!$T$2:$T$22)</f>
        <v>CORE</v>
      </c>
      <c r="P86" t="str">
        <f>INDEX(_xlfn.TEXTSPLIT(ubox[[#This Row],[FirstError - Location]],"."),1,3)</f>
        <v>cpucore</v>
      </c>
      <c r="Q86" t="str">
        <f>_xlfn.XLOOKUP(ubox[[#This Row],[FirstError - Device]],Computes!$AB$2:$AB$22,Computes!$AC$2:$AC$22)</f>
        <v>CORE</v>
      </c>
      <c r="R86">
        <f>_xlfn.XLOOKUP(ubox[[#This Row],[FirstError - Device]],Computes!$AB$1:$AB$22,Computes!$AD$1:$AD$22)</f>
        <v>4</v>
      </c>
      <c r="S86">
        <f>INDEX(_xlfn.TEXTSPLIT(ubox[[#This Row],[FirstError - Location]],"."),1,4)-(ubox[[#This Row],[offset]]*(ubox[[#This Row],[FirstError - DIEID]]-9))</f>
        <v>13</v>
      </c>
      <c r="T8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87" spans="1:20" hidden="1" x14ac:dyDescent="0.3">
      <c r="A87" t="s">
        <v>731</v>
      </c>
      <c r="B87" t="s">
        <v>1505</v>
      </c>
      <c r="C87" t="s">
        <v>566</v>
      </c>
      <c r="D87" t="s">
        <v>430</v>
      </c>
      <c r="E87" t="s">
        <v>589</v>
      </c>
      <c r="F87">
        <v>9</v>
      </c>
      <c r="G87">
        <v>13</v>
      </c>
      <c r="H87" t="s">
        <v>588</v>
      </c>
      <c r="I87">
        <v>1</v>
      </c>
      <c r="J87">
        <v>9</v>
      </c>
      <c r="K87">
        <v>2</v>
      </c>
      <c r="L87" t="s">
        <v>417</v>
      </c>
      <c r="M87">
        <v>1</v>
      </c>
      <c r="N87" t="str">
        <f>INDEX(_xlfn.TEXTSPLIT(ubox[[#This Row],[FirstError - Location]],"."),1,1)</f>
        <v>core_coregp</v>
      </c>
      <c r="O87" t="str">
        <f>_xlfn.XLOOKUP(ubox[[#This Row],[FirstError - IP]],Computes!$S$2:$S$22,Computes!$T$2:$T$22)</f>
        <v>CORE</v>
      </c>
      <c r="P87" t="str">
        <f>INDEX(_xlfn.TEXTSPLIT(ubox[[#This Row],[FirstError - Location]],"."),1,3)</f>
        <v>cpucore</v>
      </c>
      <c r="Q87" t="str">
        <f>_xlfn.XLOOKUP(ubox[[#This Row],[FirstError - Device]],Computes!$AB$2:$AB$22,Computes!$AC$2:$AC$22)</f>
        <v>CORE</v>
      </c>
      <c r="R87">
        <f>_xlfn.XLOOKUP(ubox[[#This Row],[FirstError - Device]],Computes!$AB$1:$AB$22,Computes!$AD$1:$AD$22)</f>
        <v>4</v>
      </c>
      <c r="S87">
        <f>INDEX(_xlfn.TEXTSPLIT(ubox[[#This Row],[FirstError - Location]],"."),1,4)-(ubox[[#This Row],[offset]]*(ubox[[#This Row],[FirstError - DIEID]]-9))</f>
        <v>13</v>
      </c>
      <c r="T8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88" spans="1:20" hidden="1" x14ac:dyDescent="0.3">
      <c r="A88" t="s">
        <v>731</v>
      </c>
      <c r="B88" t="s">
        <v>1501</v>
      </c>
      <c r="C88" t="s">
        <v>566</v>
      </c>
      <c r="D88" t="s">
        <v>430</v>
      </c>
      <c r="E88" t="s">
        <v>705</v>
      </c>
      <c r="F88">
        <v>9</v>
      </c>
      <c r="G88">
        <v>13</v>
      </c>
      <c r="H88" t="s">
        <v>588</v>
      </c>
      <c r="I88">
        <v>1</v>
      </c>
      <c r="J88">
        <v>9</v>
      </c>
      <c r="K88">
        <v>13</v>
      </c>
      <c r="L88" t="s">
        <v>588</v>
      </c>
      <c r="M88">
        <v>1</v>
      </c>
      <c r="N88" t="str">
        <f>INDEX(_xlfn.TEXTSPLIT(ubox[[#This Row],[FirstError - Location]],"."),1,1)</f>
        <v>core_coregp</v>
      </c>
      <c r="O88" t="str">
        <f>_xlfn.XLOOKUP(ubox[[#This Row],[FirstError - IP]],Computes!$S$2:$S$22,Computes!$T$2:$T$22)</f>
        <v>CORE</v>
      </c>
      <c r="P88" t="str">
        <f>INDEX(_xlfn.TEXTSPLIT(ubox[[#This Row],[FirstError - Location]],"."),1,3)</f>
        <v>cpucore</v>
      </c>
      <c r="Q88" t="str">
        <f>_xlfn.XLOOKUP(ubox[[#This Row],[FirstError - Device]],Computes!$AB$2:$AB$22,Computes!$AC$2:$AC$22)</f>
        <v>CORE</v>
      </c>
      <c r="R88">
        <f>_xlfn.XLOOKUP(ubox[[#This Row],[FirstError - Device]],Computes!$AB$1:$AB$22,Computes!$AD$1:$AD$22)</f>
        <v>4</v>
      </c>
      <c r="S88">
        <f>INDEX(_xlfn.TEXTSPLIT(ubox[[#This Row],[FirstError - Location]],"."),1,4)-(ubox[[#This Row],[offset]]*(ubox[[#This Row],[FirstError - DIEID]]-9))</f>
        <v>13</v>
      </c>
      <c r="T8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89" spans="1:20" hidden="1" x14ac:dyDescent="0.3">
      <c r="A89" t="s">
        <v>731</v>
      </c>
      <c r="B89" t="s">
        <v>732</v>
      </c>
      <c r="C89" t="s">
        <v>733</v>
      </c>
      <c r="D89" t="s">
        <v>430</v>
      </c>
      <c r="E89" t="s">
        <v>1508</v>
      </c>
      <c r="F89">
        <v>9</v>
      </c>
      <c r="G89">
        <v>13</v>
      </c>
      <c r="H89" t="s">
        <v>588</v>
      </c>
      <c r="I89">
        <v>1</v>
      </c>
      <c r="J89">
        <v>9</v>
      </c>
      <c r="K89">
        <v>37</v>
      </c>
      <c r="L89" t="s">
        <v>432</v>
      </c>
      <c r="M89">
        <v>1</v>
      </c>
      <c r="N89" t="str">
        <f>INDEX(_xlfn.TEXTSPLIT(ubox[[#This Row],[FirstError - Location]],"."),1,1)</f>
        <v>core_coregp</v>
      </c>
      <c r="O89" t="str">
        <f>_xlfn.XLOOKUP(ubox[[#This Row],[FirstError - IP]],Computes!$S$2:$S$22,Computes!$T$2:$T$22)</f>
        <v>CORE</v>
      </c>
      <c r="P89" t="str">
        <f>INDEX(_xlfn.TEXTSPLIT(ubox[[#This Row],[FirstError - Location]],"."),1,3)</f>
        <v>cpucore</v>
      </c>
      <c r="Q89" t="str">
        <f>_xlfn.XLOOKUP(ubox[[#This Row],[FirstError - Device]],Computes!$AB$2:$AB$22,Computes!$AC$2:$AC$22)</f>
        <v>CORE</v>
      </c>
      <c r="R89">
        <f>_xlfn.XLOOKUP(ubox[[#This Row],[FirstError - Device]],Computes!$AB$1:$AB$22,Computes!$AD$1:$AD$22)</f>
        <v>4</v>
      </c>
      <c r="S89">
        <f>INDEX(_xlfn.TEXTSPLIT(ubox[[#This Row],[FirstError - Location]],"."),1,4)-(ubox[[#This Row],[offset]]*(ubox[[#This Row],[FirstError - DIEID]]-9))</f>
        <v>13</v>
      </c>
      <c r="T8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CORE13</v>
      </c>
    </row>
    <row r="90" spans="1:20" hidden="1" x14ac:dyDescent="0.3">
      <c r="A90" t="s">
        <v>748</v>
      </c>
      <c r="B90" t="s">
        <v>749</v>
      </c>
      <c r="C90" t="s">
        <v>750</v>
      </c>
      <c r="D90" t="s">
        <v>429</v>
      </c>
      <c r="E90" t="s">
        <v>1509</v>
      </c>
      <c r="F90">
        <v>4</v>
      </c>
      <c r="G90">
        <v>1303</v>
      </c>
      <c r="H90" t="s">
        <v>1510</v>
      </c>
      <c r="I90">
        <v>0</v>
      </c>
      <c r="J90">
        <v>4</v>
      </c>
      <c r="K90">
        <v>1303</v>
      </c>
      <c r="L90" t="s">
        <v>1510</v>
      </c>
      <c r="M90">
        <v>0</v>
      </c>
      <c r="N90" t="str">
        <f>INDEX(_xlfn.TEXTSPLIT(ubox[[#This Row],[FirstError - Location]],"."),1,1)</f>
        <v>upiagent:lnmacmisc</v>
      </c>
      <c r="O90" t="str">
        <f>_xlfn.XLOOKUP(ubox[[#This Row],[FirstError - IP]],Computes!$S$2:$S$22,Computes!$T$2:$T$22)</f>
        <v>UPI</v>
      </c>
      <c r="P90" t="str">
        <f>INDEX(_xlfn.TEXTSPLIT(ubox[[#This Row],[FirstError - Location]],"."),1,3)</f>
        <v>pc5_5u2</v>
      </c>
      <c r="Q90" t="str">
        <f>_xlfn.XLOOKUP(ubox[[#This Row],[FirstError - Device]],Computes!$AB$2:$AB$22,Computes!$AC$2:$AC$22)</f>
        <v>pcie</v>
      </c>
      <c r="R90">
        <f>_xlfn.XLOOKUP(ubox[[#This Row],[FirstError - Device]],Computes!$AB$1:$AB$22,Computes!$AD$1:$AD$22)</f>
        <v>0</v>
      </c>
      <c r="S90">
        <f>INDEX(_xlfn.TEXTSPLIT(ubox[[#This Row],[FirstError - Location]],"."),1,4)-(ubox[[#This Row],[offset]]*(ubox[[#This Row],[FirstError - DIEID]]-9))</f>
        <v>6</v>
      </c>
      <c r="T9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UPI:pcie6</v>
      </c>
    </row>
    <row r="91" spans="1:20" hidden="1" x14ac:dyDescent="0.3">
      <c r="A91" t="s">
        <v>748</v>
      </c>
      <c r="B91" t="s">
        <v>749</v>
      </c>
      <c r="C91" t="s">
        <v>750</v>
      </c>
      <c r="D91" t="s">
        <v>1493</v>
      </c>
      <c r="E91" t="s">
        <v>1511</v>
      </c>
      <c r="F91">
        <v>9</v>
      </c>
      <c r="G91">
        <v>1722</v>
      </c>
      <c r="H91" t="s">
        <v>1512</v>
      </c>
      <c r="I91">
        <v>0</v>
      </c>
      <c r="J91">
        <v>10</v>
      </c>
      <c r="K91">
        <v>1792</v>
      </c>
      <c r="L91" t="s">
        <v>1513</v>
      </c>
      <c r="M91">
        <v>0</v>
      </c>
      <c r="N91" t="str">
        <f>INDEX(_xlfn.TEXTSPLIT(ubox[[#This Row],[FirstError - Location]],"."),1,1)</f>
        <v>scf_cha</v>
      </c>
      <c r="O91" t="str">
        <f>_xlfn.XLOOKUP(ubox[[#This Row],[FirstError - IP]],Computes!$S$2:$S$22,Computes!$T$2:$T$22)</f>
        <v>CHA</v>
      </c>
      <c r="P91" t="str">
        <f>INDEX(_xlfn.TEXTSPLIT(ubox[[#This Row],[FirstError - Location]],"."),1,3)</f>
        <v>cpuscf</v>
      </c>
      <c r="Q91" t="str">
        <f>_xlfn.XLOOKUP(ubox[[#This Row],[FirstError - Device]],Computes!$AB$2:$AB$22,Computes!$AC$2:$AC$22)</f>
        <v>SCF</v>
      </c>
      <c r="R91">
        <f>_xlfn.XLOOKUP(ubox[[#This Row],[FirstError - Device]],Computes!$AB$1:$AB$22,Computes!$AD$1:$AD$22)</f>
        <v>4</v>
      </c>
      <c r="S91">
        <f>INDEX(_xlfn.TEXTSPLIT(ubox[[#This Row],[FirstError - Location]],"."),1,4)-(ubox[[#This Row],[offset]]*(ubox[[#This Row],[FirstError - DIEID]]-9))</f>
        <v>43</v>
      </c>
      <c r="T9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CHA43</v>
      </c>
    </row>
    <row r="92" spans="1:20" hidden="1" x14ac:dyDescent="0.3">
      <c r="A92" t="s">
        <v>748</v>
      </c>
      <c r="B92" t="s">
        <v>1501</v>
      </c>
      <c r="C92" t="s">
        <v>566</v>
      </c>
      <c r="D92" t="s">
        <v>429</v>
      </c>
      <c r="E92" t="s">
        <v>1514</v>
      </c>
      <c r="F92">
        <v>9</v>
      </c>
      <c r="G92">
        <v>17</v>
      </c>
      <c r="H92" t="s">
        <v>1515</v>
      </c>
      <c r="I92">
        <v>1</v>
      </c>
      <c r="N92" t="str">
        <f>INDEX(_xlfn.TEXTSPLIT(ubox[[#This Row],[FirstError - Location]],"."),1,1)</f>
        <v>core_coregp</v>
      </c>
      <c r="O92" t="str">
        <f>_xlfn.XLOOKUP(ubox[[#This Row],[FirstError - IP]],Computes!$S$2:$S$22,Computes!$T$2:$T$22)</f>
        <v>CORE</v>
      </c>
      <c r="P92" t="str">
        <f>INDEX(_xlfn.TEXTSPLIT(ubox[[#This Row],[FirstError - Location]],"."),1,3)</f>
        <v>cpucore</v>
      </c>
      <c r="Q92" t="str">
        <f>_xlfn.XLOOKUP(ubox[[#This Row],[FirstError - Device]],Computes!$AB$2:$AB$22,Computes!$AC$2:$AC$22)</f>
        <v>CORE</v>
      </c>
      <c r="R92">
        <f>_xlfn.XLOOKUP(ubox[[#This Row],[FirstError - Device]],Computes!$AB$1:$AB$22,Computes!$AD$1:$AD$22)</f>
        <v>4</v>
      </c>
      <c r="S92">
        <f>INDEX(_xlfn.TEXTSPLIT(ubox[[#This Row],[FirstError - Location]],"."),1,4)-(ubox[[#This Row],[offset]]*(ubox[[#This Row],[FirstError - DIEID]]-9))</f>
        <v>17</v>
      </c>
      <c r="T9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CORE17</v>
      </c>
    </row>
    <row r="93" spans="1:20" hidden="1" x14ac:dyDescent="0.3">
      <c r="A93" t="s">
        <v>748</v>
      </c>
      <c r="B93" t="s">
        <v>1461</v>
      </c>
      <c r="C93" t="s">
        <v>711</v>
      </c>
      <c r="D93" t="s">
        <v>1493</v>
      </c>
      <c r="E93" t="s">
        <v>1516</v>
      </c>
      <c r="F93">
        <v>10</v>
      </c>
      <c r="G93">
        <v>1382</v>
      </c>
      <c r="H93" t="s">
        <v>1517</v>
      </c>
      <c r="I93">
        <v>0</v>
      </c>
      <c r="N93" t="str">
        <f>INDEX(_xlfn.TEXTSPLIT(ubox[[#This Row],[FirstError - Location]],"."),1,1)</f>
        <v>scf_cha</v>
      </c>
      <c r="O93" t="str">
        <f>_xlfn.XLOOKUP(ubox[[#This Row],[FirstError - IP]],Computes!$S$2:$S$22,Computes!$T$2:$T$22)</f>
        <v>CHA</v>
      </c>
      <c r="P93" t="str">
        <f>INDEX(_xlfn.TEXTSPLIT(ubox[[#This Row],[FirstError - Location]],"."),1,3)</f>
        <v>cpuscf</v>
      </c>
      <c r="Q93" t="str">
        <f>_xlfn.XLOOKUP(ubox[[#This Row],[FirstError - Device]],Computes!$AB$2:$AB$22,Computes!$AC$2:$AC$22)</f>
        <v>SCF</v>
      </c>
      <c r="R93">
        <f>_xlfn.XLOOKUP(ubox[[#This Row],[FirstError - Device]],Computes!$AB$1:$AB$22,Computes!$AD$1:$AD$22)</f>
        <v>4</v>
      </c>
      <c r="S93">
        <f>INDEX(_xlfn.TEXTSPLIT(ubox[[#This Row],[FirstError - Location]],"."),1,4)-(ubox[[#This Row],[offset]]*(ubox[[#This Row],[FirstError - DIEID]]-9))</f>
        <v>69</v>
      </c>
      <c r="T9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CHA69</v>
      </c>
    </row>
    <row r="94" spans="1:20" hidden="1" x14ac:dyDescent="0.3">
      <c r="A94" t="s">
        <v>748</v>
      </c>
      <c r="B94" t="s">
        <v>1461</v>
      </c>
      <c r="C94" t="s">
        <v>750</v>
      </c>
      <c r="D94" t="s">
        <v>429</v>
      </c>
      <c r="E94" t="s">
        <v>1518</v>
      </c>
      <c r="F94">
        <v>9</v>
      </c>
      <c r="G94">
        <v>1382</v>
      </c>
      <c r="H94" t="s">
        <v>1519</v>
      </c>
      <c r="I94">
        <v>0</v>
      </c>
      <c r="N94" t="str">
        <f>INDEX(_xlfn.TEXTSPLIT(ubox[[#This Row],[FirstError - Location]],"."),1,1)</f>
        <v>scf_cha</v>
      </c>
      <c r="O94" t="str">
        <f>_xlfn.XLOOKUP(ubox[[#This Row],[FirstError - IP]],Computes!$S$2:$S$22,Computes!$T$2:$T$22)</f>
        <v>CHA</v>
      </c>
      <c r="P94" t="str">
        <f>INDEX(_xlfn.TEXTSPLIT(ubox[[#This Row],[FirstError - Location]],"."),1,3)</f>
        <v>cpuscf</v>
      </c>
      <c r="Q94" t="str">
        <f>_xlfn.XLOOKUP(ubox[[#This Row],[FirstError - Device]],Computes!$AB$2:$AB$22,Computes!$AC$2:$AC$22)</f>
        <v>SCF</v>
      </c>
      <c r="R94">
        <f>_xlfn.XLOOKUP(ubox[[#This Row],[FirstError - Device]],Computes!$AB$1:$AB$22,Computes!$AD$1:$AD$22)</f>
        <v>4</v>
      </c>
      <c r="S94">
        <f>INDEX(_xlfn.TEXTSPLIT(ubox[[#This Row],[FirstError - Location]],"."),1,4)-(ubox[[#This Row],[offset]]*(ubox[[#This Row],[FirstError - DIEID]]-9))</f>
        <v>9</v>
      </c>
      <c r="T9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CHA9</v>
      </c>
    </row>
    <row r="95" spans="1:20" hidden="1" x14ac:dyDescent="0.3">
      <c r="A95" t="s">
        <v>748</v>
      </c>
      <c r="B95" t="s">
        <v>1461</v>
      </c>
      <c r="C95" t="s">
        <v>750</v>
      </c>
      <c r="D95" t="s">
        <v>1493</v>
      </c>
      <c r="E95" t="s">
        <v>1518</v>
      </c>
      <c r="F95">
        <v>9</v>
      </c>
      <c r="G95">
        <v>1382</v>
      </c>
      <c r="H95" t="s">
        <v>1519</v>
      </c>
      <c r="I95">
        <v>0</v>
      </c>
      <c r="N95" t="str">
        <f>INDEX(_xlfn.TEXTSPLIT(ubox[[#This Row],[FirstError - Location]],"."),1,1)</f>
        <v>scf_cha</v>
      </c>
      <c r="O95" t="str">
        <f>_xlfn.XLOOKUP(ubox[[#This Row],[FirstError - IP]],Computes!$S$2:$S$22,Computes!$T$2:$T$22)</f>
        <v>CHA</v>
      </c>
      <c r="P95" t="str">
        <f>INDEX(_xlfn.TEXTSPLIT(ubox[[#This Row],[FirstError - Location]],"."),1,3)</f>
        <v>cpuscf</v>
      </c>
      <c r="Q95" t="str">
        <f>_xlfn.XLOOKUP(ubox[[#This Row],[FirstError - Device]],Computes!$AB$2:$AB$22,Computes!$AC$2:$AC$22)</f>
        <v>SCF</v>
      </c>
      <c r="R95">
        <f>_xlfn.XLOOKUP(ubox[[#This Row],[FirstError - Device]],Computes!$AB$1:$AB$22,Computes!$AD$1:$AD$22)</f>
        <v>4</v>
      </c>
      <c r="S95">
        <f>INDEX(_xlfn.TEXTSPLIT(ubox[[#This Row],[FirstError - Location]],"."),1,4)-(ubox[[#This Row],[offset]]*(ubox[[#This Row],[FirstError - DIEID]]-9))</f>
        <v>9</v>
      </c>
      <c r="T9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CHA9</v>
      </c>
    </row>
    <row r="96" spans="1:20" hidden="1" x14ac:dyDescent="0.3">
      <c r="A96" t="s">
        <v>748</v>
      </c>
      <c r="B96" t="s">
        <v>1501</v>
      </c>
      <c r="C96" t="s">
        <v>566</v>
      </c>
      <c r="D96" t="s">
        <v>429</v>
      </c>
      <c r="E96" t="s">
        <v>1514</v>
      </c>
      <c r="F96">
        <v>9</v>
      </c>
      <c r="G96">
        <v>17</v>
      </c>
      <c r="H96" t="s">
        <v>1515</v>
      </c>
      <c r="I96">
        <v>1</v>
      </c>
      <c r="N96" t="str">
        <f>INDEX(_xlfn.TEXTSPLIT(ubox[[#This Row],[FirstError - Location]],"."),1,1)</f>
        <v>core_coregp</v>
      </c>
      <c r="O96" t="str">
        <f>_xlfn.XLOOKUP(ubox[[#This Row],[FirstError - IP]],Computes!$S$2:$S$22,Computes!$T$2:$T$22)</f>
        <v>CORE</v>
      </c>
      <c r="P96" t="str">
        <f>INDEX(_xlfn.TEXTSPLIT(ubox[[#This Row],[FirstError - Location]],"."),1,3)</f>
        <v>cpucore</v>
      </c>
      <c r="Q96" t="str">
        <f>_xlfn.XLOOKUP(ubox[[#This Row],[FirstError - Device]],Computes!$AB$2:$AB$22,Computes!$AC$2:$AC$22)</f>
        <v>CORE</v>
      </c>
      <c r="R96">
        <f>_xlfn.XLOOKUP(ubox[[#This Row],[FirstError - Device]],Computes!$AB$1:$AB$22,Computes!$AD$1:$AD$22)</f>
        <v>4</v>
      </c>
      <c r="S96">
        <f>INDEX(_xlfn.TEXTSPLIT(ubox[[#This Row],[FirstError - Location]],"."),1,4)-(ubox[[#This Row],[offset]]*(ubox[[#This Row],[FirstError - DIEID]]-9))</f>
        <v>17</v>
      </c>
      <c r="T9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CORE17</v>
      </c>
    </row>
    <row r="97" spans="1:20" hidden="1" x14ac:dyDescent="0.3">
      <c r="A97" t="s">
        <v>748</v>
      </c>
      <c r="B97" t="s">
        <v>710</v>
      </c>
      <c r="C97" t="s">
        <v>711</v>
      </c>
      <c r="D97" t="s">
        <v>1493</v>
      </c>
      <c r="E97" t="s">
        <v>1516</v>
      </c>
      <c r="F97">
        <v>10</v>
      </c>
      <c r="G97">
        <v>1382</v>
      </c>
      <c r="H97" t="s">
        <v>1517</v>
      </c>
      <c r="I97">
        <v>0</v>
      </c>
      <c r="N97" t="str">
        <f>INDEX(_xlfn.TEXTSPLIT(ubox[[#This Row],[FirstError - Location]],"."),1,1)</f>
        <v>scf_cha</v>
      </c>
      <c r="O97" t="str">
        <f>_xlfn.XLOOKUP(ubox[[#This Row],[FirstError - IP]],Computes!$S$2:$S$22,Computes!$T$2:$T$22)</f>
        <v>CHA</v>
      </c>
      <c r="P97" t="str">
        <f>INDEX(_xlfn.TEXTSPLIT(ubox[[#This Row],[FirstError - Location]],"."),1,3)</f>
        <v>cpuscf</v>
      </c>
      <c r="Q97" t="str">
        <f>_xlfn.XLOOKUP(ubox[[#This Row],[FirstError - Device]],Computes!$AB$2:$AB$22,Computes!$AC$2:$AC$22)</f>
        <v>SCF</v>
      </c>
      <c r="R97">
        <f>_xlfn.XLOOKUP(ubox[[#This Row],[FirstError - Device]],Computes!$AB$1:$AB$22,Computes!$AD$1:$AD$22)</f>
        <v>4</v>
      </c>
      <c r="S97">
        <f>INDEX(_xlfn.TEXTSPLIT(ubox[[#This Row],[FirstError - Location]],"."),1,4)-(ubox[[#This Row],[offset]]*(ubox[[#This Row],[FirstError - DIEID]]-9))</f>
        <v>69</v>
      </c>
      <c r="T9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CHA69</v>
      </c>
    </row>
    <row r="98" spans="1:20" hidden="1" x14ac:dyDescent="0.3">
      <c r="A98" t="s">
        <v>748</v>
      </c>
      <c r="B98" t="s">
        <v>749</v>
      </c>
      <c r="C98" t="s">
        <v>750</v>
      </c>
      <c r="D98" t="s">
        <v>430</v>
      </c>
      <c r="E98" t="s">
        <v>1520</v>
      </c>
      <c r="F98">
        <v>9</v>
      </c>
      <c r="G98">
        <v>45</v>
      </c>
      <c r="H98" t="s">
        <v>605</v>
      </c>
      <c r="I98">
        <v>1</v>
      </c>
      <c r="J98">
        <v>10</v>
      </c>
      <c r="K98">
        <v>22</v>
      </c>
      <c r="L98" t="s">
        <v>431</v>
      </c>
      <c r="M98">
        <v>1</v>
      </c>
      <c r="N98" t="str">
        <f>INDEX(_xlfn.TEXTSPLIT(ubox[[#This Row],[FirstError - Location]],"."),1,1)</f>
        <v>core_coregp</v>
      </c>
      <c r="O98" t="str">
        <f>_xlfn.XLOOKUP(ubox[[#This Row],[FirstError - IP]],Computes!$S$2:$S$22,Computes!$T$2:$T$22)</f>
        <v>CORE</v>
      </c>
      <c r="P98" t="str">
        <f>INDEX(_xlfn.TEXTSPLIT(ubox[[#This Row],[FirstError - Location]],"."),1,3)</f>
        <v>cpucore</v>
      </c>
      <c r="Q98" t="str">
        <f>_xlfn.XLOOKUP(ubox[[#This Row],[FirstError - Device]],Computes!$AB$2:$AB$22,Computes!$AC$2:$AC$22)</f>
        <v>CORE</v>
      </c>
      <c r="R98">
        <f>_xlfn.XLOOKUP(ubox[[#This Row],[FirstError - Device]],Computes!$AB$1:$AB$22,Computes!$AD$1:$AD$22)</f>
        <v>4</v>
      </c>
      <c r="S98">
        <f>INDEX(_xlfn.TEXTSPLIT(ubox[[#This Row],[FirstError - Location]],"."),1,4)-(ubox[[#This Row],[offset]]*(ubox[[#This Row],[FirstError - DIEID]]-9))</f>
        <v>45</v>
      </c>
      <c r="T9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CORE45</v>
      </c>
    </row>
    <row r="99" spans="1:20" hidden="1" x14ac:dyDescent="0.3">
      <c r="A99" t="s">
        <v>748</v>
      </c>
      <c r="B99" t="s">
        <v>749</v>
      </c>
      <c r="C99" t="s">
        <v>750</v>
      </c>
      <c r="D99" t="s">
        <v>1503</v>
      </c>
      <c r="E99" t="s">
        <v>1521</v>
      </c>
      <c r="F99">
        <v>11</v>
      </c>
      <c r="G99">
        <v>48</v>
      </c>
      <c r="H99" t="s">
        <v>416</v>
      </c>
      <c r="I99">
        <v>1</v>
      </c>
      <c r="J99">
        <v>10</v>
      </c>
      <c r="K99">
        <v>49</v>
      </c>
      <c r="L99" t="s">
        <v>435</v>
      </c>
      <c r="M99">
        <v>1</v>
      </c>
      <c r="N99" t="str">
        <f>INDEX(_xlfn.TEXTSPLIT(ubox[[#This Row],[FirstError - Location]],"."),1,1)</f>
        <v>core_coregp</v>
      </c>
      <c r="O99" t="str">
        <f>_xlfn.XLOOKUP(ubox[[#This Row],[FirstError - IP]],Computes!$S$2:$S$22,Computes!$T$2:$T$22)</f>
        <v>CORE</v>
      </c>
      <c r="P99" t="str">
        <f>INDEX(_xlfn.TEXTSPLIT(ubox[[#This Row],[FirstError - Location]],"."),1,3)</f>
        <v>cpucore</v>
      </c>
      <c r="Q99" t="str">
        <f>_xlfn.XLOOKUP(ubox[[#This Row],[FirstError - Device]],Computes!$AB$2:$AB$22,Computes!$AC$2:$AC$22)</f>
        <v>CORE</v>
      </c>
      <c r="R99">
        <f>_xlfn.XLOOKUP(ubox[[#This Row],[FirstError - Device]],Computes!$AB$1:$AB$22,Computes!$AD$1:$AD$22)</f>
        <v>4</v>
      </c>
      <c r="S99">
        <f>INDEX(_xlfn.TEXTSPLIT(ubox[[#This Row],[FirstError - Location]],"."),1,4)-(ubox[[#This Row],[offset]]*(ubox[[#This Row],[FirstError - DIEID]]-9))</f>
        <v>168</v>
      </c>
      <c r="T9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100" spans="1:20" hidden="1" x14ac:dyDescent="0.3">
      <c r="A100" t="s">
        <v>2600</v>
      </c>
      <c r="B100" t="s">
        <v>1505</v>
      </c>
      <c r="C100" t="s">
        <v>711</v>
      </c>
      <c r="D100" t="s">
        <v>1493</v>
      </c>
      <c r="E100" t="s">
        <v>2767</v>
      </c>
      <c r="F100">
        <v>9</v>
      </c>
      <c r="G100">
        <v>1422</v>
      </c>
      <c r="H100" t="s">
        <v>2768</v>
      </c>
      <c r="I100">
        <v>0</v>
      </c>
      <c r="N100" t="str">
        <f>INDEX(_xlfn.TEXTSPLIT(ubox[[#This Row],[FirstError - Location]],"."),1,1)</f>
        <v>scf_cha</v>
      </c>
      <c r="O100" t="str">
        <f>_xlfn.XLOOKUP(ubox[[#This Row],[FirstError - IP]],Computes!$S$2:$S$22,Computes!$T$2:$T$22)</f>
        <v>CHA</v>
      </c>
      <c r="P100" t="str">
        <f>INDEX(_xlfn.TEXTSPLIT(ubox[[#This Row],[FirstError - Location]],"."),1,3)</f>
        <v>cpuscf</v>
      </c>
      <c r="Q100" t="str">
        <f>_xlfn.XLOOKUP(ubox[[#This Row],[FirstError - Device]],Computes!$AB$2:$AB$22,Computes!$AC$2:$AC$22)</f>
        <v>SCF</v>
      </c>
      <c r="R100">
        <f>_xlfn.XLOOKUP(ubox[[#This Row],[FirstError - Device]],Computes!$AB$1:$AB$22,Computes!$AD$1:$AD$22)</f>
        <v>4</v>
      </c>
      <c r="S100">
        <f>INDEX(_xlfn.TEXTSPLIT(ubox[[#This Row],[FirstError - Location]],"."),1,4)-(ubox[[#This Row],[offset]]*(ubox[[#This Row],[FirstError - DIEID]]-9))</f>
        <v>13</v>
      </c>
      <c r="T10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CHA13</v>
      </c>
    </row>
    <row r="101" spans="1:20" hidden="1" x14ac:dyDescent="0.3">
      <c r="A101" t="s">
        <v>2600</v>
      </c>
      <c r="B101" t="s">
        <v>1501</v>
      </c>
      <c r="C101" t="s">
        <v>750</v>
      </c>
      <c r="D101" t="s">
        <v>429</v>
      </c>
      <c r="E101" t="s">
        <v>2769</v>
      </c>
      <c r="F101">
        <v>4</v>
      </c>
      <c r="G101">
        <v>1303</v>
      </c>
      <c r="H101" t="s">
        <v>1510</v>
      </c>
      <c r="I101">
        <v>0</v>
      </c>
      <c r="J101">
        <v>9</v>
      </c>
      <c r="K101">
        <v>1452</v>
      </c>
      <c r="L101" t="s">
        <v>2770</v>
      </c>
      <c r="M101">
        <v>0</v>
      </c>
      <c r="N101" t="str">
        <f>INDEX(_xlfn.TEXTSPLIT(ubox[[#This Row],[FirstError - Location]],"."),1,1)</f>
        <v>upiagent:lnmacmisc</v>
      </c>
      <c r="O101" t="str">
        <f>_xlfn.XLOOKUP(ubox[[#This Row],[FirstError - IP]],Computes!$S$2:$S$22,Computes!$T$2:$T$22)</f>
        <v>UPI</v>
      </c>
      <c r="P101" t="str">
        <f>INDEX(_xlfn.TEXTSPLIT(ubox[[#This Row],[FirstError - Location]],"."),1,3)</f>
        <v>pc5_5u2</v>
      </c>
      <c r="Q101" t="str">
        <f>_xlfn.XLOOKUP(ubox[[#This Row],[FirstError - Device]],Computes!$AB$2:$AB$22,Computes!$AC$2:$AC$22)</f>
        <v>pcie</v>
      </c>
      <c r="R101">
        <f>_xlfn.XLOOKUP(ubox[[#This Row],[FirstError - Device]],Computes!$AB$1:$AB$22,Computes!$AD$1:$AD$22)</f>
        <v>0</v>
      </c>
      <c r="S101">
        <f>INDEX(_xlfn.TEXTSPLIT(ubox[[#This Row],[FirstError - Location]],"."),1,4)-(ubox[[#This Row],[offset]]*(ubox[[#This Row],[FirstError - DIEID]]-9))</f>
        <v>6</v>
      </c>
      <c r="T10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UPI:pcie6</v>
      </c>
    </row>
    <row r="102" spans="1:20" hidden="1" x14ac:dyDescent="0.3">
      <c r="A102" t="s">
        <v>2600</v>
      </c>
      <c r="B102" t="s">
        <v>1501</v>
      </c>
      <c r="C102" t="s">
        <v>750</v>
      </c>
      <c r="D102" t="s">
        <v>1493</v>
      </c>
      <c r="E102" t="s">
        <v>2771</v>
      </c>
      <c r="F102">
        <v>10</v>
      </c>
      <c r="G102">
        <v>1792</v>
      </c>
      <c r="H102" t="s">
        <v>1513</v>
      </c>
      <c r="I102">
        <v>0</v>
      </c>
      <c r="J102">
        <v>9</v>
      </c>
      <c r="K102">
        <v>1382</v>
      </c>
      <c r="L102" t="s">
        <v>1519</v>
      </c>
      <c r="M102">
        <v>0</v>
      </c>
      <c r="N102" t="str">
        <f>INDEX(_xlfn.TEXTSPLIT(ubox[[#This Row],[FirstError - Location]],"."),1,1)</f>
        <v>scf_cha</v>
      </c>
      <c r="O102" t="str">
        <f>_xlfn.XLOOKUP(ubox[[#This Row],[FirstError - IP]],Computes!$S$2:$S$22,Computes!$T$2:$T$22)</f>
        <v>CHA</v>
      </c>
      <c r="P102" t="str">
        <f>INDEX(_xlfn.TEXTSPLIT(ubox[[#This Row],[FirstError - Location]],"."),1,3)</f>
        <v>cpuscf</v>
      </c>
      <c r="Q102" t="str">
        <f>_xlfn.XLOOKUP(ubox[[#This Row],[FirstError - Device]],Computes!$AB$2:$AB$22,Computes!$AC$2:$AC$22)</f>
        <v>SCF</v>
      </c>
      <c r="R102">
        <f>_xlfn.XLOOKUP(ubox[[#This Row],[FirstError - Device]],Computes!$AB$1:$AB$22,Computes!$AD$1:$AD$22)</f>
        <v>4</v>
      </c>
      <c r="S102">
        <f>INDEX(_xlfn.TEXTSPLIT(ubox[[#This Row],[FirstError - Location]],"."),1,4)-(ubox[[#This Row],[offset]]*(ubox[[#This Row],[FirstError - DIEID]]-9))</f>
        <v>110</v>
      </c>
      <c r="T10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CHA110</v>
      </c>
    </row>
    <row r="103" spans="1:20" hidden="1" x14ac:dyDescent="0.3">
      <c r="A103" t="s">
        <v>2600</v>
      </c>
      <c r="B103" t="s">
        <v>2699</v>
      </c>
      <c r="C103" t="s">
        <v>750</v>
      </c>
      <c r="D103" t="s">
        <v>429</v>
      </c>
      <c r="E103" t="s">
        <v>2772</v>
      </c>
      <c r="F103">
        <v>4</v>
      </c>
      <c r="G103">
        <v>535</v>
      </c>
      <c r="H103" t="s">
        <v>2773</v>
      </c>
      <c r="I103">
        <v>0</v>
      </c>
      <c r="J103">
        <v>9</v>
      </c>
      <c r="K103">
        <v>1452</v>
      </c>
      <c r="L103" t="s">
        <v>2770</v>
      </c>
      <c r="M103">
        <v>0</v>
      </c>
      <c r="N103" t="str">
        <f>INDEX(_xlfn.TEXTSPLIT(ubox[[#This Row],[FirstError - Location]],"."),1,1)</f>
        <v>upiagent:lnmacmisc</v>
      </c>
      <c r="O103" t="str">
        <f>_xlfn.XLOOKUP(ubox[[#This Row],[FirstError - IP]],Computes!$S$2:$S$22,Computes!$T$2:$T$22)</f>
        <v>UPI</v>
      </c>
      <c r="P103" t="str">
        <f>INDEX(_xlfn.TEXTSPLIT(ubox[[#This Row],[FirstError - Location]],"."),1,3)</f>
        <v>pc5_5u2</v>
      </c>
      <c r="Q103" t="str">
        <f>_xlfn.XLOOKUP(ubox[[#This Row],[FirstError - Device]],Computes!$AB$2:$AB$22,Computes!$AC$2:$AC$22)</f>
        <v>pcie</v>
      </c>
      <c r="R103">
        <f>_xlfn.XLOOKUP(ubox[[#This Row],[FirstError - Device]],Computes!$AB$1:$AB$22,Computes!$AD$1:$AD$22)</f>
        <v>0</v>
      </c>
      <c r="S103">
        <f>INDEX(_xlfn.TEXTSPLIT(ubox[[#This Row],[FirstError - Location]],"."),1,4)-(ubox[[#This Row],[offset]]*(ubox[[#This Row],[FirstError - DIEID]]-9))</f>
        <v>5</v>
      </c>
      <c r="T10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UPI:pcie5</v>
      </c>
    </row>
    <row r="104" spans="1:20" hidden="1" x14ac:dyDescent="0.3">
      <c r="A104" t="s">
        <v>2600</v>
      </c>
      <c r="B104" t="s">
        <v>2699</v>
      </c>
      <c r="C104" t="s">
        <v>750</v>
      </c>
      <c r="D104" t="s">
        <v>1493</v>
      </c>
      <c r="E104" t="s">
        <v>2774</v>
      </c>
      <c r="F104">
        <v>11</v>
      </c>
      <c r="G104">
        <v>1582</v>
      </c>
      <c r="H104" t="s">
        <v>2744</v>
      </c>
      <c r="I104">
        <v>0</v>
      </c>
      <c r="J104">
        <v>9</v>
      </c>
      <c r="K104">
        <v>1382</v>
      </c>
      <c r="L104" t="s">
        <v>1519</v>
      </c>
      <c r="M104">
        <v>0</v>
      </c>
      <c r="N104" t="str">
        <f>INDEX(_xlfn.TEXTSPLIT(ubox[[#This Row],[FirstError - Location]],"."),1,1)</f>
        <v>scf_cha</v>
      </c>
      <c r="O104" t="str">
        <f>_xlfn.XLOOKUP(ubox[[#This Row],[FirstError - IP]],Computes!$S$2:$S$22,Computes!$T$2:$T$22)</f>
        <v>CHA</v>
      </c>
      <c r="P104" t="str">
        <f>INDEX(_xlfn.TEXTSPLIT(ubox[[#This Row],[FirstError - Location]],"."),1,3)</f>
        <v>cpuscf</v>
      </c>
      <c r="Q104" t="str">
        <f>_xlfn.XLOOKUP(ubox[[#This Row],[FirstError - Device]],Computes!$AB$2:$AB$22,Computes!$AC$2:$AC$22)</f>
        <v>SCF</v>
      </c>
      <c r="R104">
        <f>_xlfn.XLOOKUP(ubox[[#This Row],[FirstError - Device]],Computes!$AB$1:$AB$22,Computes!$AD$1:$AD$22)</f>
        <v>4</v>
      </c>
      <c r="S104">
        <f>INDEX(_xlfn.TEXTSPLIT(ubox[[#This Row],[FirstError - Location]],"."),1,4)-(ubox[[#This Row],[offset]]*(ubox[[#This Row],[FirstError - DIEID]]-9))</f>
        <v>149</v>
      </c>
      <c r="T10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CHA149</v>
      </c>
    </row>
    <row r="105" spans="1:20" hidden="1" x14ac:dyDescent="0.3">
      <c r="A105" t="s">
        <v>2600</v>
      </c>
      <c r="B105" t="s">
        <v>1505</v>
      </c>
      <c r="C105" t="s">
        <v>711</v>
      </c>
      <c r="D105" t="s">
        <v>429</v>
      </c>
      <c r="E105" t="s">
        <v>2775</v>
      </c>
      <c r="F105">
        <v>4</v>
      </c>
      <c r="G105">
        <v>535</v>
      </c>
      <c r="H105" t="s">
        <v>2773</v>
      </c>
      <c r="I105">
        <v>0</v>
      </c>
      <c r="J105">
        <v>9</v>
      </c>
      <c r="K105">
        <v>1562</v>
      </c>
      <c r="L105" t="s">
        <v>2776</v>
      </c>
      <c r="M105">
        <v>0</v>
      </c>
      <c r="N105" t="str">
        <f>INDEX(_xlfn.TEXTSPLIT(ubox[[#This Row],[FirstError - Location]],"."),1,1)</f>
        <v>upiagent:lnmacmisc</v>
      </c>
      <c r="O105" t="str">
        <f>_xlfn.XLOOKUP(ubox[[#This Row],[FirstError - IP]],Computes!$S$2:$S$22,Computes!$T$2:$T$22)</f>
        <v>UPI</v>
      </c>
      <c r="P105" t="str">
        <f>INDEX(_xlfn.TEXTSPLIT(ubox[[#This Row],[FirstError - Location]],"."),1,3)</f>
        <v>pc5_5u2</v>
      </c>
      <c r="Q105" t="str">
        <f>_xlfn.XLOOKUP(ubox[[#This Row],[FirstError - Device]],Computes!$AB$2:$AB$22,Computes!$AC$2:$AC$22)</f>
        <v>pcie</v>
      </c>
      <c r="R105">
        <f>_xlfn.XLOOKUP(ubox[[#This Row],[FirstError - Device]],Computes!$AB$1:$AB$22,Computes!$AD$1:$AD$22)</f>
        <v>0</v>
      </c>
      <c r="S105">
        <f>INDEX(_xlfn.TEXTSPLIT(ubox[[#This Row],[FirstError - Location]],"."),1,4)-(ubox[[#This Row],[offset]]*(ubox[[#This Row],[FirstError - DIEID]]-9))</f>
        <v>5</v>
      </c>
      <c r="T10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UPI:pcie5</v>
      </c>
    </row>
    <row r="106" spans="1:20" hidden="1" x14ac:dyDescent="0.3">
      <c r="A106" t="s">
        <v>2600</v>
      </c>
      <c r="B106" t="s">
        <v>1505</v>
      </c>
      <c r="C106" t="s">
        <v>711</v>
      </c>
      <c r="D106" t="s">
        <v>1493</v>
      </c>
      <c r="E106" t="s">
        <v>2777</v>
      </c>
      <c r="F106">
        <v>9</v>
      </c>
      <c r="G106">
        <v>1522</v>
      </c>
      <c r="H106" t="s">
        <v>2778</v>
      </c>
      <c r="I106">
        <v>0</v>
      </c>
      <c r="J106">
        <v>11</v>
      </c>
      <c r="K106">
        <v>1842</v>
      </c>
      <c r="L106" t="s">
        <v>2779</v>
      </c>
      <c r="M106">
        <v>0</v>
      </c>
      <c r="N106" t="str">
        <f>INDEX(_xlfn.TEXTSPLIT(ubox[[#This Row],[FirstError - Location]],"."),1,1)</f>
        <v>scf_cha</v>
      </c>
      <c r="O106" t="str">
        <f>_xlfn.XLOOKUP(ubox[[#This Row],[FirstError - IP]],Computes!$S$2:$S$22,Computes!$T$2:$T$22)</f>
        <v>CHA</v>
      </c>
      <c r="P106" t="str">
        <f>INDEX(_xlfn.TEXTSPLIT(ubox[[#This Row],[FirstError - Location]],"."),1,3)</f>
        <v>cpuscf</v>
      </c>
      <c r="Q106" t="str">
        <f>_xlfn.XLOOKUP(ubox[[#This Row],[FirstError - Device]],Computes!$AB$2:$AB$22,Computes!$AC$2:$AC$22)</f>
        <v>SCF</v>
      </c>
      <c r="R106">
        <f>_xlfn.XLOOKUP(ubox[[#This Row],[FirstError - Device]],Computes!$AB$1:$AB$22,Computes!$AD$1:$AD$22)</f>
        <v>4</v>
      </c>
      <c r="S106">
        <f>INDEX(_xlfn.TEXTSPLIT(ubox[[#This Row],[FirstError - Location]],"."),1,4)-(ubox[[#This Row],[offset]]*(ubox[[#This Row],[FirstError - DIEID]]-9))</f>
        <v>23</v>
      </c>
      <c r="T10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CHA23</v>
      </c>
    </row>
    <row r="107" spans="1:20" hidden="1" x14ac:dyDescent="0.3">
      <c r="A107" t="s">
        <v>2600</v>
      </c>
      <c r="B107" t="s">
        <v>1501</v>
      </c>
      <c r="C107" t="s">
        <v>750</v>
      </c>
      <c r="D107" t="s">
        <v>429</v>
      </c>
      <c r="E107" t="s">
        <v>1516</v>
      </c>
      <c r="F107">
        <v>10</v>
      </c>
      <c r="G107">
        <v>1382</v>
      </c>
      <c r="H107" t="s">
        <v>1517</v>
      </c>
      <c r="I107">
        <v>0</v>
      </c>
      <c r="N107" t="str">
        <f>INDEX(_xlfn.TEXTSPLIT(ubox[[#This Row],[FirstError - Location]],"."),1,1)</f>
        <v>scf_cha</v>
      </c>
      <c r="O107" t="str">
        <f>_xlfn.XLOOKUP(ubox[[#This Row],[FirstError - IP]],Computes!$S$2:$S$22,Computes!$T$2:$T$22)</f>
        <v>CHA</v>
      </c>
      <c r="P107" t="str">
        <f>INDEX(_xlfn.TEXTSPLIT(ubox[[#This Row],[FirstError - Location]],"."),1,3)</f>
        <v>cpuscf</v>
      </c>
      <c r="Q107" t="str">
        <f>_xlfn.XLOOKUP(ubox[[#This Row],[FirstError - Device]],Computes!$AB$2:$AB$22,Computes!$AC$2:$AC$22)</f>
        <v>SCF</v>
      </c>
      <c r="R107">
        <f>_xlfn.XLOOKUP(ubox[[#This Row],[FirstError - Device]],Computes!$AB$1:$AB$22,Computes!$AD$1:$AD$22)</f>
        <v>4</v>
      </c>
      <c r="S107">
        <f>INDEX(_xlfn.TEXTSPLIT(ubox[[#This Row],[FirstError - Location]],"."),1,4)-(ubox[[#This Row],[offset]]*(ubox[[#This Row],[FirstError - DIEID]]-9))</f>
        <v>69</v>
      </c>
      <c r="T10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CHA69</v>
      </c>
    </row>
    <row r="108" spans="1:20" hidden="1" x14ac:dyDescent="0.3">
      <c r="A108" t="s">
        <v>2600</v>
      </c>
      <c r="B108" t="s">
        <v>1501</v>
      </c>
      <c r="C108" t="s">
        <v>750</v>
      </c>
      <c r="D108" t="s">
        <v>1493</v>
      </c>
      <c r="E108" t="s">
        <v>1516</v>
      </c>
      <c r="F108">
        <v>10</v>
      </c>
      <c r="G108">
        <v>1382</v>
      </c>
      <c r="H108" t="s">
        <v>1517</v>
      </c>
      <c r="I108">
        <v>0</v>
      </c>
      <c r="N108" t="str">
        <f>INDEX(_xlfn.TEXTSPLIT(ubox[[#This Row],[FirstError - Location]],"."),1,1)</f>
        <v>scf_cha</v>
      </c>
      <c r="O108" t="str">
        <f>_xlfn.XLOOKUP(ubox[[#This Row],[FirstError - IP]],Computes!$S$2:$S$22,Computes!$T$2:$T$22)</f>
        <v>CHA</v>
      </c>
      <c r="P108" t="str">
        <f>INDEX(_xlfn.TEXTSPLIT(ubox[[#This Row],[FirstError - Location]],"."),1,3)</f>
        <v>cpuscf</v>
      </c>
      <c r="Q108" t="str">
        <f>_xlfn.XLOOKUP(ubox[[#This Row],[FirstError - Device]],Computes!$AB$2:$AB$22,Computes!$AC$2:$AC$22)</f>
        <v>SCF</v>
      </c>
      <c r="R108">
        <f>_xlfn.XLOOKUP(ubox[[#This Row],[FirstError - Device]],Computes!$AB$1:$AB$22,Computes!$AD$1:$AD$22)</f>
        <v>4</v>
      </c>
      <c r="S108">
        <f>INDEX(_xlfn.TEXTSPLIT(ubox[[#This Row],[FirstError - Location]],"."),1,4)-(ubox[[#This Row],[offset]]*(ubox[[#This Row],[FirstError - DIEID]]-9))</f>
        <v>69</v>
      </c>
      <c r="T10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CHA69</v>
      </c>
    </row>
    <row r="109" spans="1:20" hidden="1" x14ac:dyDescent="0.3">
      <c r="A109" t="s">
        <v>2600</v>
      </c>
      <c r="B109" t="s">
        <v>1501</v>
      </c>
      <c r="C109" t="s">
        <v>750</v>
      </c>
      <c r="D109" t="s">
        <v>430</v>
      </c>
      <c r="E109" t="s">
        <v>2780</v>
      </c>
      <c r="F109">
        <v>11</v>
      </c>
      <c r="G109">
        <v>29</v>
      </c>
      <c r="H109" t="s">
        <v>2781</v>
      </c>
      <c r="I109">
        <v>1</v>
      </c>
      <c r="J109">
        <v>9</v>
      </c>
      <c r="K109">
        <v>27</v>
      </c>
      <c r="L109" t="s">
        <v>2782</v>
      </c>
      <c r="M109">
        <v>1</v>
      </c>
      <c r="N109" t="str">
        <f>INDEX(_xlfn.TEXTSPLIT(ubox[[#This Row],[FirstError - Location]],"."),1,1)</f>
        <v>core_coregp</v>
      </c>
      <c r="O109" t="str">
        <f>_xlfn.XLOOKUP(ubox[[#This Row],[FirstError - IP]],Computes!$S$2:$S$22,Computes!$T$2:$T$22)</f>
        <v>CORE</v>
      </c>
      <c r="P109" t="str">
        <f>INDEX(_xlfn.TEXTSPLIT(ubox[[#This Row],[FirstError - Location]],"."),1,3)</f>
        <v>cpucore</v>
      </c>
      <c r="Q109" t="str">
        <f>_xlfn.XLOOKUP(ubox[[#This Row],[FirstError - Device]],Computes!$AB$2:$AB$22,Computes!$AC$2:$AC$22)</f>
        <v>CORE</v>
      </c>
      <c r="R109">
        <f>_xlfn.XLOOKUP(ubox[[#This Row],[FirstError - Device]],Computes!$AB$1:$AB$22,Computes!$AD$1:$AD$22)</f>
        <v>4</v>
      </c>
      <c r="S109">
        <f>INDEX(_xlfn.TEXTSPLIT(ubox[[#This Row],[FirstError - Location]],"."),1,4)-(ubox[[#This Row],[offset]]*(ubox[[#This Row],[FirstError - DIEID]]-9))</f>
        <v>149</v>
      </c>
      <c r="T10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CORE149</v>
      </c>
    </row>
    <row r="110" spans="1:20" hidden="1" x14ac:dyDescent="0.3">
      <c r="A110" t="s">
        <v>2600</v>
      </c>
      <c r="B110" t="s">
        <v>1501</v>
      </c>
      <c r="C110" t="s">
        <v>750</v>
      </c>
      <c r="D110" t="s">
        <v>1503</v>
      </c>
      <c r="E110" t="s">
        <v>2783</v>
      </c>
      <c r="F110">
        <v>10</v>
      </c>
      <c r="G110">
        <v>34</v>
      </c>
      <c r="H110" t="s">
        <v>2784</v>
      </c>
      <c r="I110">
        <v>1</v>
      </c>
      <c r="J110">
        <v>9</v>
      </c>
      <c r="K110">
        <v>0</v>
      </c>
      <c r="L110" t="s">
        <v>2785</v>
      </c>
      <c r="M110">
        <v>1</v>
      </c>
      <c r="N110" t="str">
        <f>INDEX(_xlfn.TEXTSPLIT(ubox[[#This Row],[FirstError - Location]],"."),1,1)</f>
        <v>core_coregp</v>
      </c>
      <c r="O110" t="str">
        <f>_xlfn.XLOOKUP(ubox[[#This Row],[FirstError - IP]],Computes!$S$2:$S$22,Computes!$T$2:$T$22)</f>
        <v>CORE</v>
      </c>
      <c r="P110" t="str">
        <f>INDEX(_xlfn.TEXTSPLIT(ubox[[#This Row],[FirstError - Location]],"."),1,3)</f>
        <v>cpucore</v>
      </c>
      <c r="Q110" t="str">
        <f>_xlfn.XLOOKUP(ubox[[#This Row],[FirstError - Device]],Computes!$AB$2:$AB$22,Computes!$AC$2:$AC$22)</f>
        <v>CORE</v>
      </c>
      <c r="R110">
        <f>_xlfn.XLOOKUP(ubox[[#This Row],[FirstError - Device]],Computes!$AB$1:$AB$22,Computes!$AD$1:$AD$22)</f>
        <v>4</v>
      </c>
      <c r="S110">
        <f>INDEX(_xlfn.TEXTSPLIT(ubox[[#This Row],[FirstError - Location]],"."),1,4)-(ubox[[#This Row],[offset]]*(ubox[[#This Row],[FirstError - DIEID]]-9))</f>
        <v>94</v>
      </c>
      <c r="T11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CORE94</v>
      </c>
    </row>
    <row r="111" spans="1:20" hidden="1" x14ac:dyDescent="0.3">
      <c r="A111" t="s">
        <v>2600</v>
      </c>
      <c r="B111" t="s">
        <v>2699</v>
      </c>
      <c r="C111" t="s">
        <v>750</v>
      </c>
      <c r="D111" t="s">
        <v>430</v>
      </c>
      <c r="E111" t="s">
        <v>2786</v>
      </c>
      <c r="F111">
        <v>9</v>
      </c>
      <c r="G111">
        <v>1</v>
      </c>
      <c r="H111" t="s">
        <v>2787</v>
      </c>
      <c r="I111">
        <v>1</v>
      </c>
      <c r="J111">
        <v>9</v>
      </c>
      <c r="K111">
        <v>30</v>
      </c>
      <c r="L111" t="s">
        <v>433</v>
      </c>
      <c r="M111">
        <v>1</v>
      </c>
      <c r="N111" t="str">
        <f>INDEX(_xlfn.TEXTSPLIT(ubox[[#This Row],[FirstError - Location]],"."),1,1)</f>
        <v>core_coregp</v>
      </c>
      <c r="O111" t="str">
        <f>_xlfn.XLOOKUP(ubox[[#This Row],[FirstError - IP]],Computes!$S$2:$S$22,Computes!$T$2:$T$22)</f>
        <v>CORE</v>
      </c>
      <c r="P111" t="str">
        <f>INDEX(_xlfn.TEXTSPLIT(ubox[[#This Row],[FirstError - Location]],"."),1,3)</f>
        <v>cpucore</v>
      </c>
      <c r="Q111" t="str">
        <f>_xlfn.XLOOKUP(ubox[[#This Row],[FirstError - Device]],Computes!$AB$2:$AB$22,Computes!$AC$2:$AC$22)</f>
        <v>CORE</v>
      </c>
      <c r="R111">
        <f>_xlfn.XLOOKUP(ubox[[#This Row],[FirstError - Device]],Computes!$AB$1:$AB$22,Computes!$AD$1:$AD$22)</f>
        <v>4</v>
      </c>
      <c r="S111">
        <f>INDEX(_xlfn.TEXTSPLIT(ubox[[#This Row],[FirstError - Location]],"."),1,4)-(ubox[[#This Row],[offset]]*(ubox[[#This Row],[FirstError - DIEID]]-9))</f>
        <v>1</v>
      </c>
      <c r="T11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</v>
      </c>
    </row>
    <row r="112" spans="1:20" hidden="1" x14ac:dyDescent="0.3">
      <c r="A112" t="s">
        <v>2600</v>
      </c>
      <c r="B112" t="s">
        <v>2699</v>
      </c>
      <c r="C112" t="s">
        <v>750</v>
      </c>
      <c r="D112" t="s">
        <v>1503</v>
      </c>
      <c r="E112" t="s">
        <v>2788</v>
      </c>
      <c r="F112">
        <v>11</v>
      </c>
      <c r="G112">
        <v>6</v>
      </c>
      <c r="H112" t="s">
        <v>2789</v>
      </c>
      <c r="I112">
        <v>1</v>
      </c>
      <c r="J112">
        <v>10</v>
      </c>
      <c r="K112">
        <v>34</v>
      </c>
      <c r="L112" t="s">
        <v>2784</v>
      </c>
      <c r="M112">
        <v>1</v>
      </c>
      <c r="N112" t="str">
        <f>INDEX(_xlfn.TEXTSPLIT(ubox[[#This Row],[FirstError - Location]],"."),1,1)</f>
        <v>core_coregp</v>
      </c>
      <c r="O112" t="str">
        <f>_xlfn.XLOOKUP(ubox[[#This Row],[FirstError - IP]],Computes!$S$2:$S$22,Computes!$T$2:$T$22)</f>
        <v>CORE</v>
      </c>
      <c r="P112" t="str">
        <f>INDEX(_xlfn.TEXTSPLIT(ubox[[#This Row],[FirstError - Location]],"."),1,3)</f>
        <v>cpucore</v>
      </c>
      <c r="Q112" t="str">
        <f>_xlfn.XLOOKUP(ubox[[#This Row],[FirstError - Device]],Computes!$AB$2:$AB$22,Computes!$AC$2:$AC$22)</f>
        <v>CORE</v>
      </c>
      <c r="R112">
        <f>_xlfn.XLOOKUP(ubox[[#This Row],[FirstError - Device]],Computes!$AB$1:$AB$22,Computes!$AD$1:$AD$22)</f>
        <v>4</v>
      </c>
      <c r="S112">
        <f>INDEX(_xlfn.TEXTSPLIT(ubox[[#This Row],[FirstError - Location]],"."),1,4)-(ubox[[#This Row],[offset]]*(ubox[[#This Row],[FirstError - DIEID]]-9))</f>
        <v>126</v>
      </c>
      <c r="T11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CORE126</v>
      </c>
    </row>
    <row r="113" spans="1:20" hidden="1" x14ac:dyDescent="0.3">
      <c r="A113" t="s">
        <v>2600</v>
      </c>
      <c r="B113" t="s">
        <v>1505</v>
      </c>
      <c r="C113" t="s">
        <v>711</v>
      </c>
      <c r="D113" t="s">
        <v>430</v>
      </c>
      <c r="E113" t="s">
        <v>2790</v>
      </c>
      <c r="F113">
        <v>11</v>
      </c>
      <c r="G113">
        <v>29</v>
      </c>
      <c r="H113" t="s">
        <v>2781</v>
      </c>
      <c r="I113">
        <v>1</v>
      </c>
      <c r="J113">
        <v>10</v>
      </c>
      <c r="K113">
        <v>28</v>
      </c>
      <c r="L113" t="s">
        <v>2791</v>
      </c>
      <c r="M113">
        <v>1</v>
      </c>
      <c r="N113" t="str">
        <f>INDEX(_xlfn.TEXTSPLIT(ubox[[#This Row],[FirstError - Location]],"."),1,1)</f>
        <v>core_coregp</v>
      </c>
      <c r="O113" t="str">
        <f>_xlfn.XLOOKUP(ubox[[#This Row],[FirstError - IP]],Computes!$S$2:$S$22,Computes!$T$2:$T$22)</f>
        <v>CORE</v>
      </c>
      <c r="P113" t="str">
        <f>INDEX(_xlfn.TEXTSPLIT(ubox[[#This Row],[FirstError - Location]],"."),1,3)</f>
        <v>cpucore</v>
      </c>
      <c r="Q113" t="str">
        <f>_xlfn.XLOOKUP(ubox[[#This Row],[FirstError - Device]],Computes!$AB$2:$AB$22,Computes!$AC$2:$AC$22)</f>
        <v>CORE</v>
      </c>
      <c r="R113">
        <f>_xlfn.XLOOKUP(ubox[[#This Row],[FirstError - Device]],Computes!$AB$1:$AB$22,Computes!$AD$1:$AD$22)</f>
        <v>4</v>
      </c>
      <c r="S113">
        <f>INDEX(_xlfn.TEXTSPLIT(ubox[[#This Row],[FirstError - Location]],"."),1,4)-(ubox[[#This Row],[offset]]*(ubox[[#This Row],[FirstError - DIEID]]-9))</f>
        <v>149</v>
      </c>
      <c r="T11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CORE149</v>
      </c>
    </row>
    <row r="114" spans="1:20" hidden="1" x14ac:dyDescent="0.3">
      <c r="A114" t="s">
        <v>2600</v>
      </c>
      <c r="B114" t="s">
        <v>1505</v>
      </c>
      <c r="C114" t="s">
        <v>711</v>
      </c>
      <c r="D114" t="s">
        <v>1503</v>
      </c>
      <c r="E114" t="s">
        <v>2792</v>
      </c>
      <c r="F114">
        <v>10</v>
      </c>
      <c r="G114">
        <v>24</v>
      </c>
      <c r="H114" t="s">
        <v>413</v>
      </c>
      <c r="I114">
        <v>1</v>
      </c>
      <c r="J114">
        <v>11</v>
      </c>
      <c r="K114">
        <v>6</v>
      </c>
      <c r="L114" t="s">
        <v>2789</v>
      </c>
      <c r="M114">
        <v>1</v>
      </c>
      <c r="N114" t="str">
        <f>INDEX(_xlfn.TEXTSPLIT(ubox[[#This Row],[FirstError - Location]],"."),1,1)</f>
        <v>core_coregp</v>
      </c>
      <c r="O114" t="str">
        <f>_xlfn.XLOOKUP(ubox[[#This Row],[FirstError - IP]],Computes!$S$2:$S$22,Computes!$T$2:$T$22)</f>
        <v>CORE</v>
      </c>
      <c r="P114" t="str">
        <f>INDEX(_xlfn.TEXTSPLIT(ubox[[#This Row],[FirstError - Location]],"."),1,3)</f>
        <v>cpucore</v>
      </c>
      <c r="Q114" t="str">
        <f>_xlfn.XLOOKUP(ubox[[#This Row],[FirstError - Device]],Computes!$AB$2:$AB$22,Computes!$AC$2:$AC$22)</f>
        <v>CORE</v>
      </c>
      <c r="R114">
        <f>_xlfn.XLOOKUP(ubox[[#This Row],[FirstError - Device]],Computes!$AB$1:$AB$22,Computes!$AD$1:$AD$22)</f>
        <v>4</v>
      </c>
      <c r="S114">
        <f>INDEX(_xlfn.TEXTSPLIT(ubox[[#This Row],[FirstError - Location]],"."),1,4)-(ubox[[#This Row],[offset]]*(ubox[[#This Row],[FirstError - DIEID]]-9))</f>
        <v>84</v>
      </c>
      <c r="T11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CORE84</v>
      </c>
    </row>
    <row r="115" spans="1:20" hidden="1" x14ac:dyDescent="0.3">
      <c r="A115" t="s">
        <v>2722</v>
      </c>
      <c r="B115" t="s">
        <v>1501</v>
      </c>
      <c r="C115" t="s">
        <v>750</v>
      </c>
      <c r="D115" t="s">
        <v>429</v>
      </c>
      <c r="E115" t="s">
        <v>2793</v>
      </c>
      <c r="F115">
        <v>9</v>
      </c>
      <c r="G115">
        <v>1452</v>
      </c>
      <c r="H115" t="s">
        <v>2770</v>
      </c>
      <c r="I115">
        <v>0</v>
      </c>
      <c r="N115" t="str">
        <f>INDEX(_xlfn.TEXTSPLIT(ubox[[#This Row],[FirstError - Location]],"."),1,1)</f>
        <v>scf_cha</v>
      </c>
      <c r="O115" t="str">
        <f>_xlfn.XLOOKUP(ubox[[#This Row],[FirstError - IP]],Computes!$S$2:$S$22,Computes!$T$2:$T$22)</f>
        <v>CHA</v>
      </c>
      <c r="P115" t="str">
        <f>INDEX(_xlfn.TEXTSPLIT(ubox[[#This Row],[FirstError - Location]],"."),1,3)</f>
        <v>cpuscf</v>
      </c>
      <c r="Q115" t="str">
        <f>_xlfn.XLOOKUP(ubox[[#This Row],[FirstError - Device]],Computes!$AB$2:$AB$22,Computes!$AC$2:$AC$22)</f>
        <v>SCF</v>
      </c>
      <c r="R115">
        <f>_xlfn.XLOOKUP(ubox[[#This Row],[FirstError - Device]],Computes!$AB$1:$AB$22,Computes!$AD$1:$AD$22)</f>
        <v>4</v>
      </c>
      <c r="S115">
        <f>INDEX(_xlfn.TEXTSPLIT(ubox[[#This Row],[FirstError - Location]],"."),1,4)-(ubox[[#This Row],[offset]]*(ubox[[#This Row],[FirstError - DIEID]]-9))</f>
        <v>16</v>
      </c>
      <c r="T11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CHA16</v>
      </c>
    </row>
    <row r="116" spans="1:20" hidden="1" x14ac:dyDescent="0.3">
      <c r="A116" t="s">
        <v>2722</v>
      </c>
      <c r="B116" t="s">
        <v>732</v>
      </c>
      <c r="C116" t="s">
        <v>566</v>
      </c>
      <c r="D116" t="s">
        <v>429</v>
      </c>
      <c r="E116" t="s">
        <v>2794</v>
      </c>
      <c r="F116">
        <v>11</v>
      </c>
      <c r="G116">
        <v>1872</v>
      </c>
      <c r="H116" t="s">
        <v>2795</v>
      </c>
      <c r="I116">
        <v>0</v>
      </c>
      <c r="N116" t="str">
        <f>INDEX(_xlfn.TEXTSPLIT(ubox[[#This Row],[FirstError - Location]],"."),1,1)</f>
        <v>scf_cha</v>
      </c>
      <c r="O116" t="str">
        <f>_xlfn.XLOOKUP(ubox[[#This Row],[FirstError - IP]],Computes!$S$2:$S$22,Computes!$T$2:$T$22)</f>
        <v>CHA</v>
      </c>
      <c r="P116" t="str">
        <f>INDEX(_xlfn.TEXTSPLIT(ubox[[#This Row],[FirstError - Location]],"."),1,3)</f>
        <v>cpuscf</v>
      </c>
      <c r="Q116" t="str">
        <f>_xlfn.XLOOKUP(ubox[[#This Row],[FirstError - Device]],Computes!$AB$2:$AB$22,Computes!$AC$2:$AC$22)</f>
        <v>SCF</v>
      </c>
      <c r="R116">
        <f>_xlfn.XLOOKUP(ubox[[#This Row],[FirstError - Device]],Computes!$AB$1:$AB$22,Computes!$AD$1:$AD$22)</f>
        <v>4</v>
      </c>
      <c r="S116">
        <f>INDEX(_xlfn.TEXTSPLIT(ubox[[#This Row],[FirstError - Location]],"."),1,4)-(ubox[[#This Row],[offset]]*(ubox[[#This Row],[FirstError - DIEID]]-9))</f>
        <v>178</v>
      </c>
      <c r="T11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CHA178</v>
      </c>
    </row>
    <row r="117" spans="1:20" hidden="1" x14ac:dyDescent="0.3">
      <c r="A117" t="s">
        <v>2722</v>
      </c>
      <c r="B117" t="s">
        <v>749</v>
      </c>
      <c r="C117" t="s">
        <v>566</v>
      </c>
      <c r="D117" t="s">
        <v>429</v>
      </c>
      <c r="E117" t="s">
        <v>2796</v>
      </c>
      <c r="F117">
        <v>11</v>
      </c>
      <c r="G117">
        <v>1442</v>
      </c>
      <c r="H117" t="s">
        <v>2797</v>
      </c>
      <c r="I117">
        <v>0</v>
      </c>
      <c r="N117" t="str">
        <f>INDEX(_xlfn.TEXTSPLIT(ubox[[#This Row],[FirstError - Location]],"."),1,1)</f>
        <v>scf_cha</v>
      </c>
      <c r="O117" t="str">
        <f>_xlfn.XLOOKUP(ubox[[#This Row],[FirstError - IP]],Computes!$S$2:$S$22,Computes!$T$2:$T$22)</f>
        <v>CHA</v>
      </c>
      <c r="P117" t="str">
        <f>INDEX(_xlfn.TEXTSPLIT(ubox[[#This Row],[FirstError - Location]],"."),1,3)</f>
        <v>cpuscf</v>
      </c>
      <c r="Q117" t="str">
        <f>_xlfn.XLOOKUP(ubox[[#This Row],[FirstError - Device]],Computes!$AB$2:$AB$22,Computes!$AC$2:$AC$22)</f>
        <v>SCF</v>
      </c>
      <c r="R117">
        <f>_xlfn.XLOOKUP(ubox[[#This Row],[FirstError - Device]],Computes!$AB$1:$AB$22,Computes!$AD$1:$AD$22)</f>
        <v>4</v>
      </c>
      <c r="S117">
        <f>INDEX(_xlfn.TEXTSPLIT(ubox[[#This Row],[FirstError - Location]],"."),1,4)-(ubox[[#This Row],[offset]]*(ubox[[#This Row],[FirstError - DIEID]]-9))</f>
        <v>135</v>
      </c>
      <c r="T117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CHA135</v>
      </c>
    </row>
    <row r="118" spans="1:20" hidden="1" x14ac:dyDescent="0.3">
      <c r="A118" t="s">
        <v>2722</v>
      </c>
      <c r="B118" t="s">
        <v>1505</v>
      </c>
      <c r="C118" t="s">
        <v>711</v>
      </c>
      <c r="D118" t="s">
        <v>429</v>
      </c>
      <c r="E118" t="s">
        <v>2798</v>
      </c>
      <c r="F118">
        <v>9</v>
      </c>
      <c r="G118">
        <v>1352</v>
      </c>
      <c r="H118" t="s">
        <v>2799</v>
      </c>
      <c r="I118">
        <v>0</v>
      </c>
      <c r="N118" t="str">
        <f>INDEX(_xlfn.TEXTSPLIT(ubox[[#This Row],[FirstError - Location]],"."),1,1)</f>
        <v>scf_cha</v>
      </c>
      <c r="O118" t="str">
        <f>_xlfn.XLOOKUP(ubox[[#This Row],[FirstError - IP]],Computes!$S$2:$S$22,Computes!$T$2:$T$22)</f>
        <v>CHA</v>
      </c>
      <c r="P118" t="str">
        <f>INDEX(_xlfn.TEXTSPLIT(ubox[[#This Row],[FirstError - Location]],"."),1,3)</f>
        <v>cpuscf</v>
      </c>
      <c r="Q118" t="str">
        <f>_xlfn.XLOOKUP(ubox[[#This Row],[FirstError - Device]],Computes!$AB$2:$AB$22,Computes!$AC$2:$AC$22)</f>
        <v>SCF</v>
      </c>
      <c r="R118">
        <f>_xlfn.XLOOKUP(ubox[[#This Row],[FirstError - Device]],Computes!$AB$1:$AB$22,Computes!$AD$1:$AD$22)</f>
        <v>4</v>
      </c>
      <c r="S118">
        <f>INDEX(_xlfn.TEXTSPLIT(ubox[[#This Row],[FirstError - Location]],"."),1,4)-(ubox[[#This Row],[offset]]*(ubox[[#This Row],[FirstError - DIEID]]-9))</f>
        <v>6</v>
      </c>
      <c r="T118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CHA6</v>
      </c>
    </row>
    <row r="119" spans="1:20" hidden="1" x14ac:dyDescent="0.3">
      <c r="A119" t="s">
        <v>1475</v>
      </c>
      <c r="B119" t="s">
        <v>1505</v>
      </c>
      <c r="C119" t="s">
        <v>566</v>
      </c>
      <c r="D119" t="s">
        <v>429</v>
      </c>
      <c r="E119" t="s">
        <v>529</v>
      </c>
      <c r="F119">
        <v>11</v>
      </c>
      <c r="G119">
        <v>48</v>
      </c>
      <c r="H119" t="s">
        <v>416</v>
      </c>
      <c r="I119">
        <v>1</v>
      </c>
      <c r="J119">
        <v>11</v>
      </c>
      <c r="K119">
        <v>48</v>
      </c>
      <c r="L119" t="s">
        <v>416</v>
      </c>
      <c r="M119">
        <v>1</v>
      </c>
      <c r="N119" t="str">
        <f>INDEX(_xlfn.TEXTSPLIT(ubox[[#This Row],[FirstError - Location]],"."),1,1)</f>
        <v>core_coregp</v>
      </c>
      <c r="O119" t="str">
        <f>_xlfn.XLOOKUP(ubox[[#This Row],[FirstError - IP]],Computes!$S$2:$S$22,Computes!$T$2:$T$22)</f>
        <v>CORE</v>
      </c>
      <c r="P119" t="str">
        <f>INDEX(_xlfn.TEXTSPLIT(ubox[[#This Row],[FirstError - Location]],"."),1,3)</f>
        <v>cpucore</v>
      </c>
      <c r="Q119" t="str">
        <f>_xlfn.XLOOKUP(ubox[[#This Row],[FirstError - Device]],Computes!$AB$2:$AB$22,Computes!$AC$2:$AC$22)</f>
        <v>CORE</v>
      </c>
      <c r="R119">
        <f>_xlfn.XLOOKUP(ubox[[#This Row],[FirstError - Device]],Computes!$AB$1:$AB$22,Computes!$AD$1:$AD$22)</f>
        <v>4</v>
      </c>
      <c r="S119">
        <f>INDEX(_xlfn.TEXTSPLIT(ubox[[#This Row],[FirstError - Location]],"."),1,4)-(ubox[[#This Row],[offset]]*(ubox[[#This Row],[FirstError - DIEID]]-9))</f>
        <v>168</v>
      </c>
      <c r="T119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120" spans="1:20" hidden="1" x14ac:dyDescent="0.3">
      <c r="A120" t="s">
        <v>1475</v>
      </c>
      <c r="B120" t="s">
        <v>1505</v>
      </c>
      <c r="C120" t="s">
        <v>566</v>
      </c>
      <c r="D120" t="s">
        <v>429</v>
      </c>
      <c r="E120" t="s">
        <v>529</v>
      </c>
      <c r="F120">
        <v>11</v>
      </c>
      <c r="G120">
        <v>48</v>
      </c>
      <c r="H120" t="s">
        <v>416</v>
      </c>
      <c r="I120">
        <v>1</v>
      </c>
      <c r="J120">
        <v>11</v>
      </c>
      <c r="K120">
        <v>48</v>
      </c>
      <c r="L120" t="s">
        <v>416</v>
      </c>
      <c r="M120">
        <v>1</v>
      </c>
      <c r="N120" t="str">
        <f>INDEX(_xlfn.TEXTSPLIT(ubox[[#This Row],[FirstError - Location]],"."),1,1)</f>
        <v>core_coregp</v>
      </c>
      <c r="O120" t="str">
        <f>_xlfn.XLOOKUP(ubox[[#This Row],[FirstError - IP]],Computes!$S$2:$S$22,Computes!$T$2:$T$22)</f>
        <v>CORE</v>
      </c>
      <c r="P120" t="str">
        <f>INDEX(_xlfn.TEXTSPLIT(ubox[[#This Row],[FirstError - Location]],"."),1,3)</f>
        <v>cpucore</v>
      </c>
      <c r="Q120" t="str">
        <f>_xlfn.XLOOKUP(ubox[[#This Row],[FirstError - Device]],Computes!$AB$2:$AB$22,Computes!$AC$2:$AC$22)</f>
        <v>CORE</v>
      </c>
      <c r="R120">
        <f>_xlfn.XLOOKUP(ubox[[#This Row],[FirstError - Device]],Computes!$AB$1:$AB$22,Computes!$AD$1:$AD$22)</f>
        <v>4</v>
      </c>
      <c r="S120">
        <f>INDEX(_xlfn.TEXTSPLIT(ubox[[#This Row],[FirstError - Location]],"."),1,4)-(ubox[[#This Row],[offset]]*(ubox[[#This Row],[FirstError - DIEID]]-9))</f>
        <v>168</v>
      </c>
      <c r="T120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121" spans="1:20" hidden="1" x14ac:dyDescent="0.3">
      <c r="A121" t="s">
        <v>1475</v>
      </c>
      <c r="B121" t="s">
        <v>732</v>
      </c>
      <c r="C121" t="s">
        <v>733</v>
      </c>
      <c r="D121" t="s">
        <v>429</v>
      </c>
      <c r="E121" t="s">
        <v>1522</v>
      </c>
      <c r="F121">
        <v>10</v>
      </c>
      <c r="G121">
        <v>1522</v>
      </c>
      <c r="H121" t="s">
        <v>1523</v>
      </c>
      <c r="I121">
        <v>0</v>
      </c>
      <c r="J121">
        <v>9</v>
      </c>
      <c r="K121">
        <v>1792</v>
      </c>
      <c r="L121" t="s">
        <v>1524</v>
      </c>
      <c r="M121">
        <v>0</v>
      </c>
      <c r="N121" t="str">
        <f>INDEX(_xlfn.TEXTSPLIT(ubox[[#This Row],[FirstError - Location]],"."),1,1)</f>
        <v>scf_cha</v>
      </c>
      <c r="O121" t="str">
        <f>_xlfn.XLOOKUP(ubox[[#This Row],[FirstError - IP]],Computes!$S$2:$S$22,Computes!$T$2:$T$22)</f>
        <v>CHA</v>
      </c>
      <c r="P121" t="str">
        <f>INDEX(_xlfn.TEXTSPLIT(ubox[[#This Row],[FirstError - Location]],"."),1,3)</f>
        <v>cpuscf</v>
      </c>
      <c r="Q121" t="str">
        <f>_xlfn.XLOOKUP(ubox[[#This Row],[FirstError - Device]],Computes!$AB$2:$AB$22,Computes!$AC$2:$AC$22)</f>
        <v>SCF</v>
      </c>
      <c r="R121">
        <f>_xlfn.XLOOKUP(ubox[[#This Row],[FirstError - Device]],Computes!$AB$1:$AB$22,Computes!$AD$1:$AD$22)</f>
        <v>4</v>
      </c>
      <c r="S121">
        <f>INDEX(_xlfn.TEXTSPLIT(ubox[[#This Row],[FirstError - Location]],"."),1,4)-(ubox[[#This Row],[offset]]*(ubox[[#This Row],[FirstError - DIEID]]-9))</f>
        <v>83</v>
      </c>
      <c r="T121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CHA83</v>
      </c>
    </row>
    <row r="122" spans="1:20" hidden="1" x14ac:dyDescent="0.3">
      <c r="A122" t="s">
        <v>1475</v>
      </c>
      <c r="B122" t="s">
        <v>1501</v>
      </c>
      <c r="C122" t="s">
        <v>566</v>
      </c>
      <c r="D122" t="s">
        <v>429</v>
      </c>
      <c r="E122" t="s">
        <v>529</v>
      </c>
      <c r="F122">
        <v>11</v>
      </c>
      <c r="G122">
        <v>48</v>
      </c>
      <c r="H122" t="s">
        <v>416</v>
      </c>
      <c r="I122">
        <v>1</v>
      </c>
      <c r="J122">
        <v>11</v>
      </c>
      <c r="K122">
        <v>48</v>
      </c>
      <c r="L122" t="s">
        <v>416</v>
      </c>
      <c r="M122">
        <v>1</v>
      </c>
      <c r="N122" t="str">
        <f>INDEX(_xlfn.TEXTSPLIT(ubox[[#This Row],[FirstError - Location]],"."),1,1)</f>
        <v>core_coregp</v>
      </c>
      <c r="O122" t="str">
        <f>_xlfn.XLOOKUP(ubox[[#This Row],[FirstError - IP]],Computes!$S$2:$S$22,Computes!$T$2:$T$22)</f>
        <v>CORE</v>
      </c>
      <c r="P122" t="str">
        <f>INDEX(_xlfn.TEXTSPLIT(ubox[[#This Row],[FirstError - Location]],"."),1,3)</f>
        <v>cpucore</v>
      </c>
      <c r="Q122" t="str">
        <f>_xlfn.XLOOKUP(ubox[[#This Row],[FirstError - Device]],Computes!$AB$2:$AB$22,Computes!$AC$2:$AC$22)</f>
        <v>CORE</v>
      </c>
      <c r="R122">
        <f>_xlfn.XLOOKUP(ubox[[#This Row],[FirstError - Device]],Computes!$AB$1:$AB$22,Computes!$AD$1:$AD$22)</f>
        <v>4</v>
      </c>
      <c r="S122">
        <f>INDEX(_xlfn.TEXTSPLIT(ubox[[#This Row],[FirstError - Location]],"."),1,4)-(ubox[[#This Row],[offset]]*(ubox[[#This Row],[FirstError - DIEID]]-9))</f>
        <v>168</v>
      </c>
      <c r="T122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123" spans="1:20" hidden="1" x14ac:dyDescent="0.3">
      <c r="A123" t="s">
        <v>1475</v>
      </c>
      <c r="B123" t="s">
        <v>1505</v>
      </c>
      <c r="C123" t="s">
        <v>566</v>
      </c>
      <c r="D123" t="s">
        <v>430</v>
      </c>
      <c r="E123" t="s">
        <v>529</v>
      </c>
      <c r="F123">
        <v>11</v>
      </c>
      <c r="G123">
        <v>48</v>
      </c>
      <c r="H123" t="s">
        <v>416</v>
      </c>
      <c r="I123">
        <v>1</v>
      </c>
      <c r="J123">
        <v>11</v>
      </c>
      <c r="K123">
        <v>48</v>
      </c>
      <c r="L123" t="s">
        <v>416</v>
      </c>
      <c r="M123">
        <v>1</v>
      </c>
      <c r="N123" t="str">
        <f>INDEX(_xlfn.TEXTSPLIT(ubox[[#This Row],[FirstError - Location]],"."),1,1)</f>
        <v>core_coregp</v>
      </c>
      <c r="O123" t="str">
        <f>_xlfn.XLOOKUP(ubox[[#This Row],[FirstError - IP]],Computes!$S$2:$S$22,Computes!$T$2:$T$22)</f>
        <v>CORE</v>
      </c>
      <c r="P123" t="str">
        <f>INDEX(_xlfn.TEXTSPLIT(ubox[[#This Row],[FirstError - Location]],"."),1,3)</f>
        <v>cpucore</v>
      </c>
      <c r="Q123" t="str">
        <f>_xlfn.XLOOKUP(ubox[[#This Row],[FirstError - Device]],Computes!$AB$2:$AB$22,Computes!$AC$2:$AC$22)</f>
        <v>CORE</v>
      </c>
      <c r="R123">
        <f>_xlfn.XLOOKUP(ubox[[#This Row],[FirstError - Device]],Computes!$AB$1:$AB$22,Computes!$AD$1:$AD$22)</f>
        <v>4</v>
      </c>
      <c r="S123">
        <f>INDEX(_xlfn.TEXTSPLIT(ubox[[#This Row],[FirstError - Location]],"."),1,4)-(ubox[[#This Row],[offset]]*(ubox[[#This Row],[FirstError - DIEID]]-9))</f>
        <v>168</v>
      </c>
      <c r="T123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124" spans="1:20" hidden="1" x14ac:dyDescent="0.3">
      <c r="A124" t="s">
        <v>1475</v>
      </c>
      <c r="B124" t="s">
        <v>1505</v>
      </c>
      <c r="C124" t="s">
        <v>566</v>
      </c>
      <c r="D124" t="s">
        <v>430</v>
      </c>
      <c r="E124" t="s">
        <v>529</v>
      </c>
      <c r="F124">
        <v>11</v>
      </c>
      <c r="G124">
        <v>48</v>
      </c>
      <c r="H124" t="s">
        <v>416</v>
      </c>
      <c r="I124">
        <v>1</v>
      </c>
      <c r="J124">
        <v>11</v>
      </c>
      <c r="K124">
        <v>48</v>
      </c>
      <c r="L124" t="s">
        <v>416</v>
      </c>
      <c r="M124">
        <v>1</v>
      </c>
      <c r="N124" t="str">
        <f>INDEX(_xlfn.TEXTSPLIT(ubox[[#This Row],[FirstError - Location]],"."),1,1)</f>
        <v>core_coregp</v>
      </c>
      <c r="O124" t="str">
        <f>_xlfn.XLOOKUP(ubox[[#This Row],[FirstError - IP]],Computes!$S$2:$S$22,Computes!$T$2:$T$22)</f>
        <v>CORE</v>
      </c>
      <c r="P124" t="str">
        <f>INDEX(_xlfn.TEXTSPLIT(ubox[[#This Row],[FirstError - Location]],"."),1,3)</f>
        <v>cpucore</v>
      </c>
      <c r="Q124" t="str">
        <f>_xlfn.XLOOKUP(ubox[[#This Row],[FirstError - Device]],Computes!$AB$2:$AB$22,Computes!$AC$2:$AC$22)</f>
        <v>CORE</v>
      </c>
      <c r="R124">
        <f>_xlfn.XLOOKUP(ubox[[#This Row],[FirstError - Device]],Computes!$AB$1:$AB$22,Computes!$AD$1:$AD$22)</f>
        <v>4</v>
      </c>
      <c r="S124">
        <f>INDEX(_xlfn.TEXTSPLIT(ubox[[#This Row],[FirstError - Location]],"."),1,4)-(ubox[[#This Row],[offset]]*(ubox[[#This Row],[FirstError - DIEID]]-9))</f>
        <v>168</v>
      </c>
      <c r="T124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125" spans="1:20" hidden="1" x14ac:dyDescent="0.3">
      <c r="A125" t="s">
        <v>1475</v>
      </c>
      <c r="B125" t="s">
        <v>732</v>
      </c>
      <c r="C125" t="s">
        <v>733</v>
      </c>
      <c r="D125" t="s">
        <v>430</v>
      </c>
      <c r="E125" t="s">
        <v>529</v>
      </c>
      <c r="F125">
        <v>11</v>
      </c>
      <c r="G125">
        <v>48</v>
      </c>
      <c r="H125" t="s">
        <v>416</v>
      </c>
      <c r="I125">
        <v>1</v>
      </c>
      <c r="J125">
        <v>11</v>
      </c>
      <c r="K125">
        <v>48</v>
      </c>
      <c r="L125" t="s">
        <v>416</v>
      </c>
      <c r="M125">
        <v>1</v>
      </c>
      <c r="N125" t="str">
        <f>INDEX(_xlfn.TEXTSPLIT(ubox[[#This Row],[FirstError - Location]],"."),1,1)</f>
        <v>core_coregp</v>
      </c>
      <c r="O125" t="str">
        <f>_xlfn.XLOOKUP(ubox[[#This Row],[FirstError - IP]],Computes!$S$2:$S$22,Computes!$T$2:$T$22)</f>
        <v>CORE</v>
      </c>
      <c r="P125" t="str">
        <f>INDEX(_xlfn.TEXTSPLIT(ubox[[#This Row],[FirstError - Location]],"."),1,3)</f>
        <v>cpucore</v>
      </c>
      <c r="Q125" t="str">
        <f>_xlfn.XLOOKUP(ubox[[#This Row],[FirstError - Device]],Computes!$AB$2:$AB$22,Computes!$AC$2:$AC$22)</f>
        <v>CORE</v>
      </c>
      <c r="R125">
        <f>_xlfn.XLOOKUP(ubox[[#This Row],[FirstError - Device]],Computes!$AB$1:$AB$22,Computes!$AD$1:$AD$22)</f>
        <v>4</v>
      </c>
      <c r="S125">
        <f>INDEX(_xlfn.TEXTSPLIT(ubox[[#This Row],[FirstError - Location]],"."),1,4)-(ubox[[#This Row],[offset]]*(ubox[[#This Row],[FirstError - DIEID]]-9))</f>
        <v>168</v>
      </c>
      <c r="T125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  <row r="126" spans="1:20" hidden="1" x14ac:dyDescent="0.3">
      <c r="A126" t="s">
        <v>1475</v>
      </c>
      <c r="B126" t="s">
        <v>1501</v>
      </c>
      <c r="C126" t="s">
        <v>566</v>
      </c>
      <c r="D126" t="s">
        <v>430</v>
      </c>
      <c r="E126" t="s">
        <v>529</v>
      </c>
      <c r="F126">
        <v>11</v>
      </c>
      <c r="G126">
        <v>48</v>
      </c>
      <c r="H126" t="s">
        <v>416</v>
      </c>
      <c r="I126">
        <v>1</v>
      </c>
      <c r="J126">
        <v>11</v>
      </c>
      <c r="K126">
        <v>48</v>
      </c>
      <c r="L126" t="s">
        <v>416</v>
      </c>
      <c r="M126">
        <v>1</v>
      </c>
      <c r="N126" t="str">
        <f>INDEX(_xlfn.TEXTSPLIT(ubox[[#This Row],[FirstError - Location]],"."),1,1)</f>
        <v>core_coregp</v>
      </c>
      <c r="O126" t="str">
        <f>_xlfn.XLOOKUP(ubox[[#This Row],[FirstError - IP]],Computes!$S$2:$S$22,Computes!$T$2:$T$22)</f>
        <v>CORE</v>
      </c>
      <c r="P126" t="str">
        <f>INDEX(_xlfn.TEXTSPLIT(ubox[[#This Row],[FirstError - Location]],"."),1,3)</f>
        <v>cpucore</v>
      </c>
      <c r="Q126" t="str">
        <f>_xlfn.XLOOKUP(ubox[[#This Row],[FirstError - Device]],Computes!$AB$2:$AB$22,Computes!$AC$2:$AC$22)</f>
        <v>CORE</v>
      </c>
      <c r="R126">
        <f>_xlfn.XLOOKUP(ubox[[#This Row],[FirstError - Device]],Computes!$AB$1:$AB$22,Computes!$AD$1:$AD$22)</f>
        <v>4</v>
      </c>
      <c r="S126">
        <f>INDEX(_xlfn.TEXTSPLIT(ubox[[#This Row],[FirstError - Location]],"."),1,4)-(ubox[[#This Row],[offset]]*(ubox[[#This Row],[FirstError - DIEID]]-9))</f>
        <v>168</v>
      </c>
      <c r="T126" t="str">
        <f>IF(OR(ubox[[#This Row],[FirstError - Device (Name)]]="CORE",ubox[[#This Row],[FirstError - Device (Name)]]="SCF"),ubox[[#This Row],[FirstError - IP (name)]],ubox[[#This Row],[FirstError - IP (name)]]&amp;":"&amp;ubox[[#This Row],[FirstError - Device (Name)]])&amp;ubox[[#This Row],[FirstError - Physical Loc]]</f>
        <v>CORE168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4F0D-6209-4D66-B47C-BDA3DE38F09E}">
  <sheetPr codeName="Sheet7">
    <tabColor rgb="FFFFFF00"/>
  </sheetPr>
  <dimension ref="A2:ES358"/>
  <sheetViews>
    <sheetView workbookViewId="0">
      <selection activeCell="A4" sqref="A4:A10"/>
    </sheetView>
  </sheetViews>
  <sheetFormatPr defaultRowHeight="14.4" outlineLevelCol="1" x14ac:dyDescent="0.3"/>
  <cols>
    <col min="1" max="1" width="15.109375" bestFit="1" customWidth="1"/>
    <col min="2" max="2" width="29.5546875" bestFit="1" customWidth="1"/>
    <col min="3" max="3" width="10.5546875" bestFit="1" customWidth="1"/>
    <col min="4" max="4" width="12.109375" bestFit="1" customWidth="1"/>
    <col min="5" max="5" width="30.109375" bestFit="1" customWidth="1"/>
    <col min="6" max="6" width="8.88671875" bestFit="1" customWidth="1"/>
    <col min="7" max="7" width="17.88671875" customWidth="1"/>
    <col min="8" max="8" width="22" customWidth="1"/>
    <col min="9" max="9" width="11.6640625" bestFit="1" customWidth="1"/>
    <col min="10" max="10" width="21.109375" bestFit="1" customWidth="1"/>
    <col min="11" max="11" width="9.88671875" bestFit="1" customWidth="1"/>
    <col min="12" max="12" width="21.109375" customWidth="1"/>
    <col min="13" max="13" width="12.6640625" bestFit="1" customWidth="1"/>
    <col min="14" max="14" width="21.109375" bestFit="1" customWidth="1"/>
    <col min="15" max="16" width="13.5546875" bestFit="1" customWidth="1"/>
    <col min="17" max="17" width="12.88671875" bestFit="1" customWidth="1"/>
    <col min="18" max="18" width="10.109375" bestFit="1" customWidth="1"/>
    <col min="19" max="19" width="19" bestFit="1" customWidth="1"/>
    <col min="20" max="20" width="75.6640625" bestFit="1" customWidth="1"/>
    <col min="21" max="21" width="99.33203125" bestFit="1" customWidth="1"/>
    <col min="22" max="22" width="4.109375" customWidth="1"/>
    <col min="23" max="23" width="4.109375" bestFit="1" customWidth="1"/>
    <col min="24" max="24" width="4.33203125" customWidth="1" outlineLevel="1"/>
    <col min="25" max="25" width="7.44140625" customWidth="1" outlineLevel="1"/>
    <col min="26" max="26" width="6.33203125" customWidth="1" outlineLevel="1"/>
    <col min="27" max="27" width="4.44140625" customWidth="1" outlineLevel="1"/>
    <col min="28" max="28" width="4.88671875" customWidth="1" outlineLevel="1"/>
    <col min="29" max="29" width="4.44140625" customWidth="1" outlineLevel="1"/>
    <col min="30" max="31" width="9.109375" customWidth="1" outlineLevel="1"/>
    <col min="32" max="32" width="8.33203125" customWidth="1" outlineLevel="1"/>
    <col min="33" max="35" width="7.88671875" customWidth="1" outlineLevel="1"/>
    <col min="36" max="36" width="9.6640625" customWidth="1" outlineLevel="1"/>
    <col min="37" max="37" width="7.33203125" customWidth="1" outlineLevel="1"/>
    <col min="38" max="38" width="4.33203125" customWidth="1" outlineLevel="1"/>
    <col min="39" max="39" width="6.6640625" customWidth="1" outlineLevel="1"/>
    <col min="40" max="40" width="4.6640625" customWidth="1" outlineLevel="1"/>
    <col min="41" max="41" width="8.33203125" customWidth="1" outlineLevel="1"/>
    <col min="42" max="42" width="5.88671875" customWidth="1" outlineLevel="1"/>
    <col min="43" max="43" width="5.33203125" customWidth="1" outlineLevel="1"/>
    <col min="44" max="47" width="9.44140625" customWidth="1" outlineLevel="1"/>
    <col min="48" max="48" width="11.5546875" customWidth="1" outlineLevel="1"/>
    <col min="49" max="52" width="7.44140625" customWidth="1" outlineLevel="1"/>
    <col min="53" max="55" width="6.109375" customWidth="1" outlineLevel="1"/>
    <col min="56" max="56" width="13.6640625" customWidth="1" outlineLevel="1"/>
    <col min="57" max="58" width="4.88671875" customWidth="1" outlineLevel="1"/>
    <col min="59" max="59" width="8.6640625" customWidth="1" outlineLevel="1"/>
    <col min="60" max="60" width="4.109375" customWidth="1" outlineLevel="1"/>
    <col min="61" max="61" width="4.109375" bestFit="1" customWidth="1"/>
    <col min="62" max="62" width="4.6640625" customWidth="1" outlineLevel="1"/>
    <col min="63" max="63" width="6.109375" customWidth="1" outlineLevel="1"/>
    <col min="64" max="64" width="15" customWidth="1" outlineLevel="1"/>
    <col min="65" max="65" width="5.109375" customWidth="1" outlineLevel="1"/>
    <col min="66" max="67" width="9.6640625" customWidth="1" outlineLevel="1"/>
    <col min="68" max="68" width="4.109375" customWidth="1" outlineLevel="1"/>
    <col min="69" max="69" width="10.6640625" customWidth="1" outlineLevel="1"/>
    <col min="70" max="70" width="13.33203125" customWidth="1" outlineLevel="1"/>
    <col min="71" max="71" width="7.44140625" customWidth="1" outlineLevel="1"/>
    <col min="72" max="72" width="15.6640625" customWidth="1" outlineLevel="1"/>
    <col min="73" max="73" width="4.88671875" customWidth="1" outlineLevel="1"/>
    <col min="74" max="79" width="9.44140625" customWidth="1" outlineLevel="1"/>
    <col min="80" max="80" width="8.33203125" customWidth="1" outlineLevel="1"/>
    <col min="81" max="81" width="6.33203125" customWidth="1" outlineLevel="1"/>
    <col min="82" max="82" width="10.109375" customWidth="1" outlineLevel="1"/>
    <col min="83" max="83" width="13.5546875" customWidth="1" outlineLevel="1"/>
    <col min="84" max="84" width="7.44140625" customWidth="1" outlineLevel="1"/>
    <col min="85" max="85" width="13.6640625" customWidth="1" outlineLevel="1"/>
    <col min="86" max="86" width="9.44140625" customWidth="1" outlineLevel="1"/>
    <col min="87" max="88" width="12.88671875" customWidth="1" outlineLevel="1"/>
    <col min="89" max="89" width="4.44140625" customWidth="1" outlineLevel="1"/>
    <col min="90" max="90" width="8.6640625" customWidth="1" outlineLevel="1"/>
    <col min="91" max="91" width="8.5546875" customWidth="1" outlineLevel="1"/>
    <col min="92" max="92" width="10.5546875" customWidth="1" outlineLevel="1"/>
    <col min="93" max="93" width="8.6640625" customWidth="1" outlineLevel="1"/>
    <col min="94" max="94" width="4.109375" bestFit="1" customWidth="1"/>
    <col min="95" max="97" width="9.6640625" customWidth="1" outlineLevel="1"/>
    <col min="98" max="100" width="5.109375" customWidth="1" outlineLevel="1"/>
    <col min="101" max="101" width="7.6640625" customWidth="1" outlineLevel="1"/>
    <col min="102" max="102" width="6" customWidth="1" outlineLevel="1"/>
    <col min="103" max="103" width="4.109375" bestFit="1" customWidth="1"/>
    <col min="104" max="104" width="12.88671875" customWidth="1" outlineLevel="1"/>
    <col min="105" max="105" width="6.33203125" customWidth="1" outlineLevel="1"/>
    <col min="106" max="106" width="9.33203125" customWidth="1" outlineLevel="1"/>
    <col min="107" max="107" width="9.109375" customWidth="1" outlineLevel="1"/>
    <col min="108" max="108" width="6.6640625" customWidth="1" outlineLevel="1"/>
    <col min="109" max="109" width="7.88671875" customWidth="1" outlineLevel="1"/>
    <col min="110" max="110" width="6.5546875" customWidth="1" outlineLevel="1"/>
    <col min="111" max="111" width="4.109375" customWidth="1" outlineLevel="1"/>
    <col min="112" max="113" width="14.5546875" customWidth="1" outlineLevel="1"/>
    <col min="114" max="114" width="3.33203125" customWidth="1"/>
    <col min="115" max="115" width="5.6640625" customWidth="1" outlineLevel="1"/>
    <col min="116" max="117" width="6" customWidth="1" outlineLevel="1"/>
    <col min="118" max="118" width="5.6640625" customWidth="1" outlineLevel="1"/>
    <col min="119" max="136" width="6" customWidth="1" outlineLevel="1"/>
    <col min="137" max="138" width="6.88671875" customWidth="1" outlineLevel="1"/>
    <col min="139" max="139" width="5.6640625" customWidth="1" outlineLevel="1"/>
    <col min="140" max="141" width="9.109375" customWidth="1" outlineLevel="1"/>
    <col min="142" max="142" width="3.33203125" customWidth="1"/>
    <col min="143" max="143" width="19" customWidth="1" outlineLevel="1"/>
    <col min="144" max="144" width="35.44140625" customWidth="1" outlineLevel="1"/>
    <col min="145" max="145" width="27.6640625" customWidth="1" outlineLevel="1"/>
    <col min="146" max="146" width="35.6640625" customWidth="1" outlineLevel="1"/>
    <col min="147" max="147" width="27.6640625" customWidth="1" outlineLevel="1"/>
    <col min="148" max="148" width="17.6640625" customWidth="1" outlineLevel="1"/>
    <col min="149" max="149" width="6.33203125" customWidth="1" outlineLevel="1"/>
    <col min="150" max="150" width="5" bestFit="1" customWidth="1"/>
    <col min="151" max="151" width="6.33203125" bestFit="1" customWidth="1"/>
    <col min="152" max="152" width="4" bestFit="1" customWidth="1"/>
  </cols>
  <sheetData>
    <row r="2" spans="1:149" x14ac:dyDescent="0.3">
      <c r="W2" s="31" t="s">
        <v>27</v>
      </c>
      <c r="X2" s="26" t="s">
        <v>27</v>
      </c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8"/>
      <c r="BI2" s="33" t="s">
        <v>28</v>
      </c>
      <c r="BJ2" s="35" t="s">
        <v>28</v>
      </c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6" t="s">
        <v>29</v>
      </c>
      <c r="CQ2" s="38" t="s">
        <v>30</v>
      </c>
      <c r="CR2" s="38"/>
      <c r="CS2" s="38"/>
      <c r="CT2" s="38"/>
      <c r="CU2" s="38"/>
      <c r="CV2" s="38"/>
      <c r="CW2" s="38"/>
      <c r="CX2" s="38"/>
      <c r="CY2" s="23" t="s">
        <v>31</v>
      </c>
      <c r="CZ2" s="25" t="s">
        <v>1</v>
      </c>
      <c r="DA2" s="25"/>
      <c r="DB2" s="25"/>
      <c r="DC2" s="25"/>
      <c r="DD2" s="25"/>
      <c r="DE2" s="25"/>
      <c r="DF2" s="25"/>
      <c r="DG2" s="25"/>
      <c r="DH2" s="25"/>
      <c r="DI2" s="25"/>
      <c r="DJ2" s="29" t="s">
        <v>32</v>
      </c>
      <c r="DK2" s="22" t="s">
        <v>32</v>
      </c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L2" s="20" t="s">
        <v>344</v>
      </c>
    </row>
    <row r="3" spans="1:149" x14ac:dyDescent="0.3">
      <c r="A3" s="10" t="s">
        <v>33</v>
      </c>
      <c r="B3" s="6" t="s">
        <v>34</v>
      </c>
      <c r="C3" s="6" t="s">
        <v>35</v>
      </c>
      <c r="D3" s="6" t="s">
        <v>0</v>
      </c>
      <c r="E3" s="6" t="s">
        <v>36</v>
      </c>
      <c r="F3" s="6" t="s">
        <v>346</v>
      </c>
      <c r="G3" s="6" t="s">
        <v>465</v>
      </c>
      <c r="H3" s="6" t="s">
        <v>487</v>
      </c>
      <c r="I3" s="6" t="s">
        <v>466</v>
      </c>
      <c r="J3" s="6" t="s">
        <v>486</v>
      </c>
      <c r="K3" s="6" t="s">
        <v>500</v>
      </c>
      <c r="L3" s="6" t="s">
        <v>501</v>
      </c>
      <c r="M3" s="6" t="s">
        <v>345</v>
      </c>
      <c r="N3" s="6" t="s">
        <v>473</v>
      </c>
      <c r="O3" s="6" t="s">
        <v>37</v>
      </c>
      <c r="P3" s="6" t="s">
        <v>38</v>
      </c>
      <c r="Q3" s="6" t="s">
        <v>39</v>
      </c>
      <c r="R3" s="6" t="s">
        <v>40</v>
      </c>
      <c r="S3" s="6" t="s">
        <v>41</v>
      </c>
      <c r="T3" s="6" t="s">
        <v>43</v>
      </c>
      <c r="U3" s="6" t="s">
        <v>343</v>
      </c>
      <c r="V3" s="3"/>
      <c r="W3" s="32"/>
      <c r="X3" s="4" t="str" cm="1">
        <f t="array" ref="X3:AL3">TRANSPOSE(_xlfn.UNIQUE(chamca[Orig Req]))</f>
        <v>PortIn</v>
      </c>
      <c r="Y3" s="4" t="str">
        <v>WbMtoI</v>
      </c>
      <c r="Z3" s="4" t="str">
        <v>RFO</v>
      </c>
      <c r="AA3" s="4" t="str">
        <v>DRd</v>
      </c>
      <c r="AB3" s="4" t="str">
        <v>WbEFtoI</v>
      </c>
      <c r="AC3" s="4" t="str">
        <v>WCiL</v>
      </c>
      <c r="AD3" s="4" t="str">
        <v>WCiLF</v>
      </c>
      <c r="AE3" s="4" t="str">
        <v>LLCVictim</v>
      </c>
      <c r="AF3" s="4" t="str">
        <v>SplitLock</v>
      </c>
      <c r="AG3" s="4" t="str">
        <v>KWbIDataPtl</v>
      </c>
      <c r="AH3" s="4" t="str">
        <v>KWbIData</v>
      </c>
      <c r="AI3" s="4" t="str">
        <v>CLDemote</v>
      </c>
      <c r="AJ3" s="4" t="str">
        <v>KRdData</v>
      </c>
      <c r="AK3" s="4" t="str">
        <v>N/A</v>
      </c>
      <c r="AL3" s="4" t="str">
        <v>WbMtoE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34"/>
      <c r="BJ3" s="5" t="str" cm="1">
        <f t="array" ref="BJ3:BO3">TRANSPOSE(_xlfn.UNIQUE(chamca[Opcode]))</f>
        <v>RspI</v>
      </c>
      <c r="BK3" s="5" t="str">
        <v>PullData</v>
      </c>
      <c r="BL3" s="5" t="str">
        <v>KWbIDataPtl</v>
      </c>
      <c r="BM3" s="5" t="str">
        <v>KWbIData</v>
      </c>
      <c r="BN3" s="5" t="str">
        <v>CLDemote</v>
      </c>
      <c r="BO3" s="5" t="str">
        <v>N/A</v>
      </c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37"/>
      <c r="CQ3" s="7" t="str" cm="1">
        <f t="array" ref="CQ3:CU3">TRANSPOSE(_xlfn.UNIQUE(chamca[Result]))</f>
        <v>IO</v>
      </c>
      <c r="CR3" s="7" t="str">
        <v>HOM</v>
      </c>
      <c r="CS3" s="7" t="str">
        <v>SPECIAL</v>
      </c>
      <c r="CT3" s="7" t="str">
        <v>ABORT</v>
      </c>
      <c r="CU3" s="7" t="str">
        <v>MMIO</v>
      </c>
      <c r="CV3" s="7"/>
      <c r="CW3" s="7"/>
      <c r="CX3" s="7"/>
      <c r="CY3" s="24"/>
      <c r="CZ3" s="1" t="str" cm="1">
        <f t="array" ref="CZ3:DD3">TRANSPOSE(_xlfn.UNIQUE(chamca[ISMQ]))</f>
        <v>Wdata_Wcmp</v>
      </c>
      <c r="DA3" s="1" t="str">
        <v>Ismq_Idle</v>
      </c>
      <c r="DB3" s="1" t="str">
        <v>Wdata_Wcmp_Split</v>
      </c>
      <c r="DC3" s="1" t="str">
        <v>Wcmp</v>
      </c>
      <c r="DD3" s="1" t="str">
        <v>Wdata</v>
      </c>
      <c r="DE3" s="1"/>
      <c r="DF3" s="1"/>
      <c r="DG3" s="1"/>
      <c r="DH3" s="1"/>
      <c r="DI3" s="1"/>
      <c r="DJ3" s="30"/>
      <c r="DK3" s="2" t="str" cm="1">
        <f t="array" ref="DK3:DY3">TRANSPOSE(_xlfn.UNIQUE(chamca[Local Port]))</f>
        <v>PCIE0</v>
      </c>
      <c r="DL3" s="2" t="str">
        <v>MEM4</v>
      </c>
      <c r="DM3" s="2" t="str">
        <v>MEM0</v>
      </c>
      <c r="DN3" s="2" t="str">
        <v>MEM2</v>
      </c>
      <c r="DO3" s="2" t="str">
        <v>MEM3</v>
      </c>
      <c r="DP3" s="2" t="str">
        <v>MEM8</v>
      </c>
      <c r="DQ3" s="2" t="str">
        <v>MEM9</v>
      </c>
      <c r="DR3" s="2" t="str">
        <v>MEM7</v>
      </c>
      <c r="DS3" s="2" t="str">
        <v>UBOX</v>
      </c>
      <c r="DT3" s="2" t="str">
        <v>MEM5</v>
      </c>
      <c r="DU3" s="2" t="str">
        <v>MEM10</v>
      </c>
      <c r="DV3" s="2" t="str">
        <v>MEM6</v>
      </c>
      <c r="DW3" s="2" t="str">
        <v>MEM1</v>
      </c>
      <c r="DX3" s="2" t="str">
        <v>MEM44</v>
      </c>
      <c r="DY3" s="2" t="str">
        <v>MEM11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L3" s="21"/>
      <c r="EM3" s="2" t="str" cm="1">
        <f t="array" ref="EM3:EP3">TRANSPOSE(_xlfn.UNIQUE(coremca[MCACOD (ErrDecode)]))</f>
        <v>WDTimeout (3 strike)</v>
      </c>
      <c r="EN3" s="2">
        <v>51488</v>
      </c>
      <c r="EO3" s="2">
        <v>32520</v>
      </c>
      <c r="EP3" s="2" t="str">
        <v>SQDB or IDI (addr / data) parity</v>
      </c>
      <c r="EQ3" s="2"/>
      <c r="ER3" s="2"/>
      <c r="ES3" s="2"/>
    </row>
    <row r="4" spans="1:149" x14ac:dyDescent="0.3">
      <c r="A4" s="2" t="str" cm="1">
        <f t="array" ref="A4:A11">_xlfn.UNIQUE(_xlfn.VSTACK(chamca[Visual ID],llcmca[VisualID],coremca[VisualID],ubox[VisualID]))</f>
        <v>74JU522300112</v>
      </c>
      <c r="B4" s="2" t="str" cm="1">
        <f t="array" ref="B4:B11">_xlfn.XLOOKUP(_xlfn.ANCHORARRAY(A4),ppv[Data.Visual_ID],ppv[Data.DPM_Bucket],"")</f>
        <v/>
      </c>
      <c r="C4" s="2" t="str" cm="1">
        <f t="array" ref="C4:C11">_xlfn.XLOOKUP(_xlfn.ANCHORARRAY(A4),ppv[Data.Visual_ID],ppv[Data.Step],"")</f>
        <v/>
      </c>
      <c r="D4" s="2" t="str" cm="1">
        <f t="array" ref="D4:D11">_xlfn.XLOOKUP(_xlfn.ANCHORARRAY(A4),ppv[Data.Visual_ID],ppv[Data.SubBucket],"")</f>
        <v/>
      </c>
      <c r="E4" s="2"/>
      <c r="F4" s="2" cm="1">
        <f t="array" ref="F4">COUNTA(_xlfn.UNIQUE(_xlfn._xlws.FILTER(chamca[Run],(chamca[Visual ID]=A4))))</f>
        <v>2</v>
      </c>
      <c r="G4" s="2" t="str">
        <f>_xlfn.XLOOKUP(A4,RevCoreCount!A:A,RevCoreCount!B:B,)</f>
        <v>CORE143</v>
      </c>
      <c r="H4" s="2" t="str">
        <f>_xlfn.XLOOKUP(A4,RevCoreCount!A:A,RevCoreCount!E:E,)</f>
        <v/>
      </c>
      <c r="I4" s="2" t="str">
        <f>_xlfn.XLOOKUP(A4,RevCHACount!A:A,RevCHACount!B:B)</f>
        <v>NotFound</v>
      </c>
      <c r="J4" s="2" t="str">
        <f>_xlfn.XLOOKUP(A4,RevCHACount!A:A,RevCHACount!E:E)</f>
        <v/>
      </c>
      <c r="K4" s="2" t="str">
        <f>_xlfn.XLOOKUP(A4,RevLLCCount!A:A,RevLLCCount!B:B,)</f>
        <v>NotFound</v>
      </c>
      <c r="L4" s="2" t="str">
        <f>_xlfn.XLOOKUP(A4,RevLLCCount!A:A,RevLLCCount!E:E)</f>
        <v/>
      </c>
      <c r="M4" s="1" t="str">
        <f>_xlfn.XLOOKUP(A4,RevCHACount!A:A,RevCHACount!F:F)</f>
        <v>NotFound</v>
      </c>
      <c r="N4" s="1" t="str">
        <f>_xlfn.XLOOKUP(A4,'Other Errors'!A:A,'Other Errors'!B:B,"")</f>
        <v>PUNIT:EPRPUNIT0</v>
      </c>
      <c r="O4" s="2" t="str">
        <f>_xlfn.XLOOKUP(MAX(X4:BH4),X4:BH4,X$3:BH$3)</f>
        <v>PortIn</v>
      </c>
      <c r="P4" s="2" t="str">
        <f>_xlfn.XLOOKUP(MAX(BJ4:CO4),BJ4:CO4,BJ$3:CO$3)</f>
        <v>RspI</v>
      </c>
      <c r="Q4" s="2" t="str">
        <f>_xlfn.XLOOKUP(MAX(CZ4:DI4),CZ4:DI4,CZ$3:DI$3)</f>
        <v>Wdata_Wcmp</v>
      </c>
      <c r="R4" s="2" t="str">
        <f>_xlfn.XLOOKUP(MAX(CQ4:CX4),CQ4:CX4,CQ$3:CX$3)</f>
        <v>IO</v>
      </c>
      <c r="S4" s="2" t="str">
        <f>_xlfn.XLOOKUP(MAX(DK4:EI4),DK4:EI4,DK$3:EI$3,"")</f>
        <v>PCIE0</v>
      </c>
      <c r="T4" s="2" t="str">
        <f>_xlfn.TEXTJOIN(", ",,_xlfn.UNIQUE(_xlfn._xlws.FILTER(_xlfn.ANCHORARRAY(DK$3),DK4&gt;0,"")))</f>
        <v>PCIE0, MEM4, MEM0, MEM2, MEM3, MEM8, MEM9, MEM7, UBOX, MEM5, MEM10, MEM6, MEM1, MEM44, MEM11</v>
      </c>
      <c r="U4" s="8" t="str" cm="1">
        <f t="array" ref="U4">_xlfn.TEXTJOIN(", ",,_xlfn.UNIQUE(_xlfn._xlws.FILTER(EM$3:FK$3,EM4:FK4&gt;0,"")))</f>
        <v>WDTimeout (3 strike)</v>
      </c>
      <c r="V4" s="9"/>
      <c r="W4" s="32"/>
      <c r="X4" s="4" cm="1">
        <f t="array" ref="X4:AL11">COUNTIFS(chamca[Visual ID],_xlfn.ANCHORARRAY($A4),chamca[Orig Req],_xlfn.ANCHORARRAY(X3))</f>
        <v>4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34"/>
      <c r="BJ4" s="5" cm="1">
        <f t="array" ref="BJ4:BO11">COUNTIFS(chamca[Visual ID],_xlfn.ANCHORARRAY($A4),chamca[Opcode],_xlfn.ANCHORARRAY(BJ3))</f>
        <v>4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37"/>
      <c r="CQ4" s="7" cm="1">
        <f t="array" ref="CQ4:CU11">COUNTIFS(chamca[Visual ID],_xlfn.ANCHORARRAY($A4),chamca[Result],_xlfn.ANCHORARRAY(CQ3))</f>
        <v>4</v>
      </c>
      <c r="CR4" s="7">
        <v>0</v>
      </c>
      <c r="CS4" s="7">
        <v>0</v>
      </c>
      <c r="CT4" s="7">
        <v>0</v>
      </c>
      <c r="CU4" s="7">
        <v>0</v>
      </c>
      <c r="CV4" s="7"/>
      <c r="CW4" s="7"/>
      <c r="CX4" s="7"/>
      <c r="CY4" s="24"/>
      <c r="CZ4" s="1" cm="1">
        <f t="array" ref="CZ4:DD11">COUNTIFS(chamca[Visual ID],_xlfn.ANCHORARRAY($A4),chamca[ISMQ],_xlfn.ANCHORARRAY(CZ3))</f>
        <v>4</v>
      </c>
      <c r="DA4" s="1">
        <v>0</v>
      </c>
      <c r="DB4" s="1">
        <v>0</v>
      </c>
      <c r="DC4" s="1">
        <v>0</v>
      </c>
      <c r="DD4" s="1">
        <v>0</v>
      </c>
      <c r="DE4" s="1"/>
      <c r="DF4" s="1"/>
      <c r="DG4" s="1"/>
      <c r="DH4" s="1"/>
      <c r="DI4" s="1"/>
      <c r="DJ4" s="30"/>
      <c r="DK4" s="2" cm="1">
        <f t="array" ref="DK4:DY11">COUNTIFS(chamca[Visual ID],_xlfn.ANCHORARRAY($A4),chamca[Local Port],_xlfn.ANCHORARRAY(DK3))</f>
        <v>4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/>
      <c r="EA4" s="2"/>
      <c r="EB4" s="2"/>
      <c r="EC4" s="2"/>
      <c r="ED4" s="2"/>
      <c r="EE4" s="2"/>
      <c r="EF4" s="2"/>
      <c r="EG4" s="2"/>
      <c r="EH4" s="2"/>
      <c r="EI4" s="2"/>
      <c r="EL4" s="21"/>
      <c r="EM4" s="2" cm="1">
        <f t="array" ref="EM4:EP11">COUNTIFS(coremca[VisualID],_xlfn.ANCHORARRAY($A4),coremca[MCACOD (ErrDecode)],_xlfn.ANCHORARRAY(EM3))</f>
        <v>1780</v>
      </c>
      <c r="EN4" s="2">
        <v>0</v>
      </c>
      <c r="EO4" s="2">
        <v>0</v>
      </c>
      <c r="EP4" s="2">
        <v>0</v>
      </c>
      <c r="EQ4" s="2"/>
      <c r="ER4" s="2"/>
      <c r="ES4" s="2"/>
    </row>
    <row r="5" spans="1:149" x14ac:dyDescent="0.3">
      <c r="A5" s="1" t="str">
        <v>759Y5U8800863</v>
      </c>
      <c r="B5" s="1" t="str">
        <v/>
      </c>
      <c r="C5" s="2" t="str">
        <v/>
      </c>
      <c r="D5" s="1" t="str">
        <v/>
      </c>
      <c r="E5" s="1"/>
      <c r="F5" s="2" cm="1">
        <f t="array" ref="F5">COUNTA(_xlfn.UNIQUE(_xlfn._xlws.FILTER(chamca[Run],(chamca[Visual ID]=A5))))</f>
        <v>1</v>
      </c>
      <c r="G5" s="2" t="str">
        <f>_xlfn.XLOOKUP(A5,RevCoreCount!A:A,RevCoreCount!B:B,)</f>
        <v>CORE13</v>
      </c>
      <c r="H5" s="2" t="str">
        <f>_xlfn.XLOOKUP(A5,RevCoreCount!A:A,RevCoreCount!E:E,)</f>
        <v/>
      </c>
      <c r="I5" s="2" t="str">
        <f>_xlfn.XLOOKUP(A5,RevCHACount!A:A,RevCHACount!B:B)</f>
        <v>CHA134</v>
      </c>
      <c r="J5" s="2" t="str">
        <f>_xlfn.XLOOKUP(A5,RevCHACount!A:A,RevCHACount!E:E)</f>
        <v>Compute2 : Row6 : Col2</v>
      </c>
      <c r="K5" s="2" t="str">
        <f>_xlfn.XLOOKUP(A5,RevLLCCount!A:A,RevLLCCount!B:B,)</f>
        <v>NotFound</v>
      </c>
      <c r="L5" s="2" t="str">
        <f>_xlfn.XLOOKUP(A5,RevLLCCount!A:A,RevLLCCount!E:E)</f>
        <v/>
      </c>
      <c r="M5" s="1">
        <f>_xlfn.XLOOKUP(A5,RevCHACount!A:A,RevCHACount!F:F)</f>
        <v>10</v>
      </c>
      <c r="N5" s="1" t="str">
        <f>_xlfn.XLOOKUP(A5,'Other Errors'!A:A,'Other Errors'!B:B,"")</f>
        <v/>
      </c>
      <c r="O5" s="2" t="str">
        <f t="shared" ref="O5:O68" si="0">_xlfn.XLOOKUP(MAX(X5:BH5),X5:BH5,X$3:BH$3)</f>
        <v>WbMtoI</v>
      </c>
      <c r="P5" s="2" t="str">
        <f t="shared" ref="P5:P68" si="1">_xlfn.XLOOKUP(MAX(BJ5:CO5),BJ5:CO5,BJ$3:CO$3)</f>
        <v>PullData</v>
      </c>
      <c r="Q5" s="2" t="str">
        <f t="shared" ref="Q5:Q68" si="2">_xlfn.XLOOKUP(MAX(CZ5:DI5),CZ5:DI5,CZ$3:DI$3)</f>
        <v>Ismq_Idle</v>
      </c>
      <c r="R5" s="2" t="str">
        <f t="shared" ref="R5:R68" si="3">_xlfn.XLOOKUP(MAX(CQ5:CX5),CQ5:CX5,CQ$3:CX$3)</f>
        <v>HOM</v>
      </c>
      <c r="S5" s="2" t="str">
        <f t="shared" ref="S5:S68" si="4">_xlfn.XLOOKUP(MAX(DK5:EI5),DK5:EI5,DK$3:EI$3,"")</f>
        <v>MEM4</v>
      </c>
      <c r="T5" s="2" t="str">
        <f t="shared" ref="T5:T68" si="5">_xlfn.TEXTJOIN(", ",,_xlfn.UNIQUE(_xlfn._xlws.FILTER(_xlfn.ANCHORARRAY(DK$3),DK5&gt;0,"")))</f>
        <v/>
      </c>
      <c r="U5" s="8" t="str" cm="1">
        <f t="array" ref="U5">_xlfn.TEXTJOIN(", ",,_xlfn.UNIQUE(_xlfn._xlws.FILTER(EM$3:FK$3,EM5:FK5&gt;0,"")))</f>
        <v>WDTimeout (3 strike)</v>
      </c>
      <c r="V5" s="9"/>
      <c r="W5" s="32"/>
      <c r="X5" s="4">
        <v>0</v>
      </c>
      <c r="Y5" s="4">
        <v>2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34"/>
      <c r="BJ5" s="5">
        <v>0</v>
      </c>
      <c r="BK5" s="5">
        <v>2</v>
      </c>
      <c r="BL5" s="5">
        <v>0</v>
      </c>
      <c r="BM5" s="5">
        <v>0</v>
      </c>
      <c r="BN5" s="5">
        <v>0</v>
      </c>
      <c r="BO5" s="5">
        <v>0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37"/>
      <c r="CQ5" s="7">
        <v>0</v>
      </c>
      <c r="CR5" s="7">
        <v>2</v>
      </c>
      <c r="CS5" s="7">
        <v>0</v>
      </c>
      <c r="CT5" s="7">
        <v>0</v>
      </c>
      <c r="CU5" s="7">
        <v>0</v>
      </c>
      <c r="CV5" s="7"/>
      <c r="CW5" s="7"/>
      <c r="CX5" s="7"/>
      <c r="CY5" s="24"/>
      <c r="CZ5" s="1">
        <v>0</v>
      </c>
      <c r="DA5" s="1">
        <v>2</v>
      </c>
      <c r="DB5" s="1">
        <v>0</v>
      </c>
      <c r="DC5" s="1">
        <v>0</v>
      </c>
      <c r="DD5" s="1">
        <v>0</v>
      </c>
      <c r="DE5" s="1"/>
      <c r="DF5" s="1"/>
      <c r="DG5" s="1"/>
      <c r="DH5" s="1"/>
      <c r="DI5" s="1"/>
      <c r="DJ5" s="30"/>
      <c r="DK5" s="2">
        <v>0</v>
      </c>
      <c r="DL5" s="2">
        <v>2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/>
      <c r="EA5" s="2"/>
      <c r="EB5" s="2"/>
      <c r="EC5" s="2"/>
      <c r="ED5" s="2"/>
      <c r="EE5" s="2"/>
      <c r="EF5" s="2"/>
      <c r="EG5" s="2"/>
      <c r="EH5" s="2"/>
      <c r="EI5" s="2"/>
      <c r="EL5" s="21"/>
      <c r="EM5" s="2">
        <v>576</v>
      </c>
      <c r="EN5" s="2">
        <v>0</v>
      </c>
      <c r="EO5" s="2">
        <v>0</v>
      </c>
      <c r="EP5" s="2">
        <v>0</v>
      </c>
      <c r="EQ5" s="2"/>
      <c r="ER5" s="2"/>
      <c r="ES5" s="2"/>
    </row>
    <row r="6" spans="1:149" x14ac:dyDescent="0.3">
      <c r="A6" s="1" t="str">
        <v>74N24C5300241</v>
      </c>
      <c r="B6" s="1" t="str">
        <v/>
      </c>
      <c r="C6" s="2" t="str">
        <v/>
      </c>
      <c r="D6" s="1" t="str">
        <v/>
      </c>
      <c r="E6" s="1"/>
      <c r="F6" s="2" cm="1">
        <f t="array" ref="F6">COUNTA(_xlfn.UNIQUE(_xlfn._xlws.FILTER(chamca[Run],(chamca[Visual ID]=A6))))</f>
        <v>3</v>
      </c>
      <c r="G6" s="2" t="str">
        <f>_xlfn.XLOOKUP(A6,RevCoreCount!A:A,RevCoreCount!B:B,)</f>
        <v>CORE17</v>
      </c>
      <c r="H6" s="2" t="str">
        <f>_xlfn.XLOOKUP(A6,RevCoreCount!A:A,RevCoreCount!E:E,)</f>
        <v/>
      </c>
      <c r="I6" s="2" t="str">
        <f>_xlfn.XLOOKUP(A6,RevCHACount!A:A,RevCHACount!B:B)</f>
        <v>CHA9</v>
      </c>
      <c r="J6" s="2" t="str">
        <f>_xlfn.XLOOKUP(A6,RevCHACount!A:A,RevCHACount!E:E)</f>
        <v/>
      </c>
      <c r="K6" s="2" t="str">
        <f>_xlfn.XLOOKUP(A6,RevLLCCount!A:A,RevLLCCount!B:B,)</f>
        <v>NotFound</v>
      </c>
      <c r="L6" s="2" t="str">
        <f>_xlfn.XLOOKUP(A6,RevLLCCount!A:A,RevLLCCount!E:E)</f>
        <v/>
      </c>
      <c r="M6" s="1" t="str">
        <f>_xlfn.XLOOKUP(A6,RevCHACount!A:A,RevCHACount!F:F)</f>
        <v>NotFound</v>
      </c>
      <c r="N6" s="1" t="str">
        <f>_xlfn.XLOOKUP(A6,'Other Errors'!A:A,'Other Errors'!B:B,"")</f>
        <v>UPI:pcie6</v>
      </c>
      <c r="O6" s="2" t="str">
        <f t="shared" si="0"/>
        <v>DRd</v>
      </c>
      <c r="P6" s="2" t="str">
        <f t="shared" si="1"/>
        <v>RspI</v>
      </c>
      <c r="Q6" s="2" t="str">
        <f t="shared" si="2"/>
        <v>Wdata_Wcmp_Split</v>
      </c>
      <c r="R6" s="2" t="str">
        <f t="shared" si="3"/>
        <v>HOM</v>
      </c>
      <c r="S6" s="2" t="str">
        <f t="shared" si="4"/>
        <v>MEM0</v>
      </c>
      <c r="T6" s="2" t="str">
        <f t="shared" si="5"/>
        <v/>
      </c>
      <c r="U6" s="8" t="str" cm="1">
        <f t="array" ref="U6">_xlfn.TEXTJOIN(", ",,_xlfn.UNIQUE(_xlfn._xlws.FILTER(EM$3:FK$3,EM6:FK6&gt;0,"")))</f>
        <v>WDTimeout (3 strike), SQDB or IDI (addr / data) parity</v>
      </c>
      <c r="V6" s="9"/>
      <c r="W6" s="32"/>
      <c r="X6" s="4">
        <v>0</v>
      </c>
      <c r="Y6" s="4">
        <v>34</v>
      </c>
      <c r="Z6" s="4">
        <v>38</v>
      </c>
      <c r="AA6" s="4">
        <v>204</v>
      </c>
      <c r="AB6" s="4">
        <v>20</v>
      </c>
      <c r="AC6" s="4">
        <v>52</v>
      </c>
      <c r="AD6" s="4">
        <v>4</v>
      </c>
      <c r="AE6" s="4">
        <v>14</v>
      </c>
      <c r="AF6" s="4">
        <v>14</v>
      </c>
      <c r="AG6" s="4">
        <v>4</v>
      </c>
      <c r="AH6" s="4">
        <v>6</v>
      </c>
      <c r="AI6" s="4">
        <v>0</v>
      </c>
      <c r="AJ6" s="4">
        <v>0</v>
      </c>
      <c r="AK6" s="4">
        <v>0</v>
      </c>
      <c r="AL6" s="4">
        <v>0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34"/>
      <c r="BJ6" s="5">
        <v>378</v>
      </c>
      <c r="BK6" s="5">
        <v>2</v>
      </c>
      <c r="BL6" s="5">
        <v>4</v>
      </c>
      <c r="BM6" s="5">
        <v>6</v>
      </c>
      <c r="BN6" s="5">
        <v>0</v>
      </c>
      <c r="BO6" s="5">
        <v>0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37"/>
      <c r="CQ6" s="7">
        <v>0</v>
      </c>
      <c r="CR6" s="7">
        <v>376</v>
      </c>
      <c r="CS6" s="7">
        <v>14</v>
      </c>
      <c r="CT6" s="7">
        <v>0</v>
      </c>
      <c r="CU6" s="7">
        <v>0</v>
      </c>
      <c r="CV6" s="7"/>
      <c r="CW6" s="7"/>
      <c r="CX6" s="7"/>
      <c r="CY6" s="24"/>
      <c r="CZ6" s="1">
        <v>20</v>
      </c>
      <c r="DA6" s="1">
        <v>2</v>
      </c>
      <c r="DB6" s="1">
        <v>252</v>
      </c>
      <c r="DC6" s="1">
        <v>116</v>
      </c>
      <c r="DD6" s="1">
        <v>0</v>
      </c>
      <c r="DE6" s="1"/>
      <c r="DF6" s="1"/>
      <c r="DG6" s="1"/>
      <c r="DH6" s="1"/>
      <c r="DI6" s="1"/>
      <c r="DJ6" s="30"/>
      <c r="DK6" s="2">
        <v>0</v>
      </c>
      <c r="DL6" s="2">
        <v>10</v>
      </c>
      <c r="DM6" s="2">
        <v>324</v>
      </c>
      <c r="DN6" s="2">
        <v>8</v>
      </c>
      <c r="DO6" s="2">
        <v>6</v>
      </c>
      <c r="DP6" s="2">
        <v>8</v>
      </c>
      <c r="DQ6" s="2">
        <v>4</v>
      </c>
      <c r="DR6" s="2">
        <v>2</v>
      </c>
      <c r="DS6" s="2">
        <v>14</v>
      </c>
      <c r="DT6" s="2">
        <v>2</v>
      </c>
      <c r="DU6" s="2">
        <v>6</v>
      </c>
      <c r="DV6" s="2">
        <v>2</v>
      </c>
      <c r="DW6" s="2">
        <v>4</v>
      </c>
      <c r="DX6" s="2">
        <v>0</v>
      </c>
      <c r="DY6" s="2">
        <v>0</v>
      </c>
      <c r="DZ6" s="2"/>
      <c r="EA6" s="2"/>
      <c r="EB6" s="2"/>
      <c r="EC6" s="2"/>
      <c r="ED6" s="2"/>
      <c r="EE6" s="2"/>
      <c r="EF6" s="2"/>
      <c r="EG6" s="2"/>
      <c r="EH6" s="2"/>
      <c r="EI6" s="2"/>
      <c r="EL6" s="21"/>
      <c r="EM6" s="2">
        <v>384</v>
      </c>
      <c r="EN6" s="2">
        <v>0</v>
      </c>
      <c r="EO6" s="2">
        <v>0</v>
      </c>
      <c r="EP6" s="2">
        <v>4</v>
      </c>
      <c r="EQ6" s="2"/>
      <c r="ER6" s="2"/>
      <c r="ES6" s="2"/>
    </row>
    <row r="7" spans="1:149" x14ac:dyDescent="0.3">
      <c r="A7" s="1" t="str">
        <v>75W67Q6100508</v>
      </c>
      <c r="B7" s="1" t="str">
        <v/>
      </c>
      <c r="C7" s="2" t="str">
        <v/>
      </c>
      <c r="D7" s="1" t="str">
        <v/>
      </c>
      <c r="E7" s="1"/>
      <c r="F7" s="2" cm="1">
        <f t="array" ref="F7">COUNTA(_xlfn.UNIQUE(_xlfn._xlws.FILTER(chamca[Run],(chamca[Visual ID]=A7))))</f>
        <v>1</v>
      </c>
      <c r="G7" s="2" t="str">
        <f>_xlfn.XLOOKUP(A7,RevCoreCount!A:A,RevCoreCount!B:B,)</f>
        <v>CORE168</v>
      </c>
      <c r="H7" s="2" t="str">
        <f>_xlfn.XLOOKUP(A7,RevCoreCount!A:A,RevCoreCount!E:E,)</f>
        <v/>
      </c>
      <c r="I7" s="2" t="str">
        <f>_xlfn.XLOOKUP(A7,RevCHACount!A:A,RevCHACount!B:B)</f>
        <v>CHA83</v>
      </c>
      <c r="J7" s="2" t="str">
        <f>_xlfn.XLOOKUP(A7,RevCHACount!A:A,RevCHACount!E:E)</f>
        <v/>
      </c>
      <c r="K7" s="2" t="str">
        <f>_xlfn.XLOOKUP(A7,RevLLCCount!A:A,RevLLCCount!B:B,)</f>
        <v>NotFound</v>
      </c>
      <c r="L7" s="2" t="str">
        <f>_xlfn.XLOOKUP(A7,RevLLCCount!A:A,RevLLCCount!E:E)</f>
        <v/>
      </c>
      <c r="M7" s="1">
        <f>_xlfn.XLOOKUP(A7,RevCHACount!A:A,RevCHACount!F:F)</f>
        <v>110</v>
      </c>
      <c r="N7" s="1" t="str">
        <f>_xlfn.XLOOKUP(A7,'Other Errors'!A:A,'Other Errors'!B:B,"")</f>
        <v/>
      </c>
      <c r="O7" s="2" t="str">
        <f t="shared" si="0"/>
        <v>CLDemote</v>
      </c>
      <c r="P7" s="2" t="str">
        <f t="shared" si="1"/>
        <v>CLDemote</v>
      </c>
      <c r="Q7" s="2" t="str">
        <f t="shared" si="2"/>
        <v>Ismq_Idle</v>
      </c>
      <c r="R7" s="2" t="str">
        <f t="shared" si="3"/>
        <v>HOM</v>
      </c>
      <c r="S7" s="2" t="str">
        <f t="shared" si="4"/>
        <v>MEM44</v>
      </c>
      <c r="T7" s="2" t="str">
        <f t="shared" si="5"/>
        <v>PCIE0, MEM4, MEM0, MEM2, MEM3, MEM8, MEM9, MEM7, UBOX, MEM5, MEM10, MEM6, MEM1, MEM44, MEM11</v>
      </c>
      <c r="U7" s="8" t="str" cm="1">
        <f t="array" ref="U7">_xlfn.TEXTJOIN(", ",,_xlfn.UNIQUE(_xlfn._xlws.FILTER(EM$3:FK$3,EM7:FK7&gt;0,"")))</f>
        <v>WDTimeout (3 strike), 51488, 32520</v>
      </c>
      <c r="V7" s="9"/>
      <c r="W7" s="32"/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6</v>
      </c>
      <c r="AJ7" s="4">
        <v>0</v>
      </c>
      <c r="AK7" s="4">
        <v>0</v>
      </c>
      <c r="AL7" s="4">
        <v>0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34"/>
      <c r="BJ7" s="5">
        <v>0</v>
      </c>
      <c r="BK7" s="5">
        <v>0</v>
      </c>
      <c r="BL7" s="5">
        <v>0</v>
      </c>
      <c r="BM7" s="5">
        <v>0</v>
      </c>
      <c r="BN7" s="5">
        <v>6</v>
      </c>
      <c r="BO7" s="5">
        <v>0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37"/>
      <c r="CQ7" s="7">
        <v>0</v>
      </c>
      <c r="CR7" s="7">
        <v>4</v>
      </c>
      <c r="CS7" s="7">
        <v>0</v>
      </c>
      <c r="CT7" s="7">
        <v>2</v>
      </c>
      <c r="CU7" s="7">
        <v>0</v>
      </c>
      <c r="CV7" s="7"/>
      <c r="CW7" s="7"/>
      <c r="CX7" s="7"/>
      <c r="CY7" s="24"/>
      <c r="CZ7" s="1">
        <v>0</v>
      </c>
      <c r="DA7" s="1">
        <v>6</v>
      </c>
      <c r="DB7" s="1">
        <v>0</v>
      </c>
      <c r="DC7" s="1">
        <v>0</v>
      </c>
      <c r="DD7" s="1">
        <v>0</v>
      </c>
      <c r="DE7" s="1"/>
      <c r="DF7" s="1"/>
      <c r="DG7" s="1"/>
      <c r="DH7" s="1"/>
      <c r="DI7" s="1"/>
      <c r="DJ7" s="30"/>
      <c r="DK7" s="2">
        <v>2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4</v>
      </c>
      <c r="DY7" s="2">
        <v>0</v>
      </c>
      <c r="DZ7" s="2"/>
      <c r="EA7" s="2"/>
      <c r="EB7" s="2"/>
      <c r="EC7" s="2"/>
      <c r="ED7" s="2"/>
      <c r="EE7" s="2"/>
      <c r="EF7" s="2"/>
      <c r="EG7" s="2"/>
      <c r="EH7" s="2"/>
      <c r="EI7" s="2"/>
      <c r="EL7" s="21"/>
      <c r="EM7" s="2">
        <v>194</v>
      </c>
      <c r="EN7" s="2">
        <v>2</v>
      </c>
      <c r="EO7" s="2">
        <v>2</v>
      </c>
      <c r="EP7" s="2">
        <v>0</v>
      </c>
      <c r="EQ7" s="2"/>
      <c r="ER7" s="2"/>
      <c r="ES7" s="2"/>
    </row>
    <row r="8" spans="1:149" x14ac:dyDescent="0.3">
      <c r="A8" s="2" t="str">
        <v>75DE357100108</v>
      </c>
      <c r="B8" s="2" t="str">
        <v/>
      </c>
      <c r="C8" s="2" t="str">
        <v/>
      </c>
      <c r="D8" s="2" t="str">
        <v/>
      </c>
      <c r="E8" s="2"/>
      <c r="F8" s="2" cm="1">
        <f t="array" ref="F8">COUNTA(_xlfn.UNIQUE(_xlfn._xlws.FILTER(chamca[Run],(chamca[Visual ID]=A8))))</f>
        <v>3</v>
      </c>
      <c r="G8" s="2" t="str">
        <f>_xlfn.XLOOKUP(A8,RevCoreCount!A:A,RevCoreCount!B:B,)</f>
        <v>NotFound</v>
      </c>
      <c r="H8" s="2" t="str">
        <f>_xlfn.XLOOKUP(A8,RevCoreCount!A:A,RevCoreCount!E:E,)</f>
        <v/>
      </c>
      <c r="I8" s="2" t="str">
        <f>_xlfn.XLOOKUP(A8,RevCHACount!A:A,RevCHACount!B:B)</f>
        <v>NotFound</v>
      </c>
      <c r="J8" s="2" t="str">
        <f>_xlfn.XLOOKUP(A8,RevCHACount!A:A,RevCHACount!E:E)</f>
        <v/>
      </c>
      <c r="K8" s="2" t="str">
        <f>_xlfn.XLOOKUP(A8,RevLLCCount!A:A,RevLLCCount!B:B,)</f>
        <v>NotFound</v>
      </c>
      <c r="L8" s="2" t="str">
        <f>_xlfn.XLOOKUP(A8,RevLLCCount!A:A,RevLLCCount!E:E)</f>
        <v/>
      </c>
      <c r="M8" s="1">
        <f>_xlfn.XLOOKUP(A8,RevCHACount!A:A,RevCHACount!F:F)</f>
        <v>24</v>
      </c>
      <c r="N8" s="1" t="str">
        <f>_xlfn.XLOOKUP(A8,'Other Errors'!A:A,'Other Errors'!B:B,"")</f>
        <v>UPI:pcie7, UPI:pcie4</v>
      </c>
      <c r="O8" s="2" t="str">
        <f t="shared" si="0"/>
        <v>DRd</v>
      </c>
      <c r="P8" s="2" t="str">
        <f t="shared" si="1"/>
        <v>RspI</v>
      </c>
      <c r="Q8" s="2" t="str">
        <f t="shared" si="2"/>
        <v>Wdata_Wcmp_Split</v>
      </c>
      <c r="R8" s="2" t="str">
        <f t="shared" si="3"/>
        <v>HOM</v>
      </c>
      <c r="S8" s="2" t="str">
        <f t="shared" si="4"/>
        <v>MEM0</v>
      </c>
      <c r="T8" s="2" t="str">
        <f t="shared" si="5"/>
        <v>PCIE0, MEM4, MEM0, MEM2, MEM3, MEM8, MEM9, MEM7, UBOX, MEM5, MEM10, MEM6, MEM1, MEM44, MEM11</v>
      </c>
      <c r="U8" s="8" t="str" cm="1">
        <f t="array" ref="U8">_xlfn.TEXTJOIN(", ",,_xlfn.UNIQUE(_xlfn._xlws.FILTER(EM$3:FK$3,EM8:FK8&gt;0,"")))</f>
        <v>WDTimeout (3 strike)</v>
      </c>
      <c r="V8" s="9"/>
      <c r="W8" s="32"/>
      <c r="X8" s="4">
        <v>0</v>
      </c>
      <c r="Y8" s="4">
        <v>15</v>
      </c>
      <c r="Z8" s="4">
        <v>40</v>
      </c>
      <c r="AA8" s="4">
        <v>173</v>
      </c>
      <c r="AB8" s="4">
        <v>7</v>
      </c>
      <c r="AC8" s="4">
        <v>107</v>
      </c>
      <c r="AD8" s="4">
        <v>0</v>
      </c>
      <c r="AE8" s="4">
        <v>10</v>
      </c>
      <c r="AF8" s="4">
        <v>99</v>
      </c>
      <c r="AG8" s="4">
        <v>0</v>
      </c>
      <c r="AH8" s="4">
        <v>5</v>
      </c>
      <c r="AI8" s="4">
        <v>0</v>
      </c>
      <c r="AJ8" s="4">
        <v>2</v>
      </c>
      <c r="AK8" s="4">
        <v>3</v>
      </c>
      <c r="AL8" s="4">
        <v>0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34"/>
      <c r="BJ8" s="5">
        <v>452</v>
      </c>
      <c r="BK8" s="5">
        <v>1</v>
      </c>
      <c r="BL8" s="5">
        <v>0</v>
      </c>
      <c r="BM8" s="5">
        <v>5</v>
      </c>
      <c r="BN8" s="5">
        <v>0</v>
      </c>
      <c r="BO8" s="5">
        <v>3</v>
      </c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37"/>
      <c r="CQ8" s="7">
        <v>0</v>
      </c>
      <c r="CR8" s="7">
        <v>359</v>
      </c>
      <c r="CS8" s="7">
        <v>99</v>
      </c>
      <c r="CT8" s="7">
        <v>0</v>
      </c>
      <c r="CU8" s="7">
        <v>3</v>
      </c>
      <c r="CV8" s="7"/>
      <c r="CW8" s="7"/>
      <c r="CX8" s="7"/>
      <c r="CY8" s="24"/>
      <c r="CZ8" s="1">
        <v>26</v>
      </c>
      <c r="DA8" s="1">
        <v>1</v>
      </c>
      <c r="DB8" s="1">
        <v>220</v>
      </c>
      <c r="DC8" s="1">
        <v>212</v>
      </c>
      <c r="DD8" s="1">
        <v>2</v>
      </c>
      <c r="DE8" s="1"/>
      <c r="DF8" s="1"/>
      <c r="DG8" s="1"/>
      <c r="DH8" s="1"/>
      <c r="DI8" s="1"/>
      <c r="DJ8" s="30"/>
      <c r="DK8" s="2">
        <v>3</v>
      </c>
      <c r="DL8" s="2">
        <v>3</v>
      </c>
      <c r="DM8" s="2">
        <v>283</v>
      </c>
      <c r="DN8" s="2">
        <v>7</v>
      </c>
      <c r="DO8" s="2">
        <v>8</v>
      </c>
      <c r="DP8" s="2">
        <v>8</v>
      </c>
      <c r="DQ8" s="2">
        <v>10</v>
      </c>
      <c r="DR8" s="2">
        <v>11</v>
      </c>
      <c r="DS8" s="2">
        <v>99</v>
      </c>
      <c r="DT8" s="2">
        <v>9</v>
      </c>
      <c r="DU8" s="2">
        <v>9</v>
      </c>
      <c r="DV8" s="2">
        <v>1</v>
      </c>
      <c r="DW8" s="2">
        <v>5</v>
      </c>
      <c r="DX8" s="2">
        <v>0</v>
      </c>
      <c r="DY8" s="2">
        <v>5</v>
      </c>
      <c r="DZ8" s="2"/>
      <c r="EA8" s="2"/>
      <c r="EB8" s="2"/>
      <c r="EC8" s="2"/>
      <c r="ED8" s="2"/>
      <c r="EE8" s="2"/>
      <c r="EF8" s="2"/>
      <c r="EG8" s="2"/>
      <c r="EH8" s="2"/>
      <c r="EI8" s="2"/>
      <c r="EL8" s="21"/>
      <c r="EM8" s="2">
        <v>576</v>
      </c>
      <c r="EN8" s="2">
        <v>0</v>
      </c>
      <c r="EO8" s="2">
        <v>0</v>
      </c>
      <c r="EP8" s="2">
        <v>0</v>
      </c>
      <c r="EQ8" s="2"/>
      <c r="ER8" s="2"/>
      <c r="ES8" s="2"/>
    </row>
    <row r="9" spans="1:149" x14ac:dyDescent="0.3">
      <c r="A9" s="2" t="str">
        <v>759B5H7700068</v>
      </c>
      <c r="B9" s="2" t="str">
        <v/>
      </c>
      <c r="C9" s="2" t="str">
        <v/>
      </c>
      <c r="D9" s="2" t="str">
        <v/>
      </c>
      <c r="E9" s="2"/>
      <c r="F9" s="2" cm="1">
        <f t="array" ref="F9">COUNTA(_xlfn.UNIQUE(_xlfn._xlws.FILTER(chamca[Run],(chamca[Visual ID]=A9))))</f>
        <v>3</v>
      </c>
      <c r="G9" s="2" t="str">
        <f>_xlfn.XLOOKUP(A9,RevCoreCount!A:A,RevCoreCount!B:B,)</f>
        <v>CORE149</v>
      </c>
      <c r="H9" s="2" t="str">
        <f>_xlfn.XLOOKUP(A9,RevCoreCount!A:A,RevCoreCount!E:E,)</f>
        <v/>
      </c>
      <c r="I9" s="2" t="str">
        <f>_xlfn.XLOOKUP(A9,RevCHACount!A:A,RevCHACount!B:B)</f>
        <v>CHA149</v>
      </c>
      <c r="J9" s="2" t="str">
        <f>_xlfn.XLOOKUP(A9,RevCHACount!A:A,RevCHACount!E:E)</f>
        <v/>
      </c>
      <c r="K9" s="2" t="str">
        <f>_xlfn.XLOOKUP(A9,RevLLCCount!A:A,RevLLCCount!B:B,)</f>
        <v>NotFound</v>
      </c>
      <c r="L9" s="2" t="str">
        <f>_xlfn.XLOOKUP(A9,RevLLCCount!A:A,RevLLCCount!E:E)</f>
        <v/>
      </c>
      <c r="M9" s="1">
        <f>_xlfn.XLOOKUP(A9,RevCHACount!A:A,RevCHACount!F:F)</f>
        <v>99</v>
      </c>
      <c r="N9" s="1" t="str">
        <f>_xlfn.XLOOKUP(A9,'Other Errors'!A:A,'Other Errors'!B:B,"")</f>
        <v>UPI:pcie6, UPI:pcie5</v>
      </c>
      <c r="O9" s="2" t="str">
        <f t="shared" si="0"/>
        <v>SplitLock</v>
      </c>
      <c r="P9" s="2" t="str">
        <f t="shared" si="1"/>
        <v>RspI</v>
      </c>
      <c r="Q9" s="2" t="str">
        <f t="shared" si="2"/>
        <v>Wcmp</v>
      </c>
      <c r="R9" s="2" t="str">
        <f t="shared" si="3"/>
        <v>SPECIAL</v>
      </c>
      <c r="S9" s="2" t="str">
        <f t="shared" si="4"/>
        <v>UBOX</v>
      </c>
      <c r="T9" s="2" t="str">
        <f t="shared" si="5"/>
        <v>PCIE0, MEM4, MEM0, MEM2, MEM3, MEM8, MEM9, MEM7, UBOX, MEM5, MEM10, MEM6, MEM1, MEM44, MEM11</v>
      </c>
      <c r="U9" s="8" t="str" cm="1">
        <f t="array" ref="U9">_xlfn.TEXTJOIN(", ",,_xlfn.UNIQUE(_xlfn._xlws.FILTER(EM$3:FK$3,EM9:FK9&gt;0,"")))</f>
        <v>WDTimeout (3 strike)</v>
      </c>
      <c r="V9" s="9"/>
      <c r="W9" s="32"/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2</v>
      </c>
      <c r="AD9" s="4">
        <v>0</v>
      </c>
      <c r="AE9" s="4">
        <v>0</v>
      </c>
      <c r="AF9" s="4">
        <v>43</v>
      </c>
      <c r="AG9" s="4">
        <v>0</v>
      </c>
      <c r="AH9" s="4">
        <v>4</v>
      </c>
      <c r="AI9" s="4">
        <v>0</v>
      </c>
      <c r="AJ9" s="4">
        <v>0</v>
      </c>
      <c r="AK9" s="4">
        <v>3</v>
      </c>
      <c r="AL9" s="4">
        <v>0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34"/>
      <c r="BJ9" s="5">
        <v>45</v>
      </c>
      <c r="BK9" s="5">
        <v>0</v>
      </c>
      <c r="BL9" s="5">
        <v>0</v>
      </c>
      <c r="BM9" s="5">
        <v>4</v>
      </c>
      <c r="BN9" s="5">
        <v>0</v>
      </c>
      <c r="BO9" s="5">
        <v>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37"/>
      <c r="CQ9" s="7">
        <v>0</v>
      </c>
      <c r="CR9" s="7">
        <v>6</v>
      </c>
      <c r="CS9" s="7">
        <v>43</v>
      </c>
      <c r="CT9" s="7">
        <v>0</v>
      </c>
      <c r="CU9" s="7">
        <v>3</v>
      </c>
      <c r="CV9" s="7"/>
      <c r="CW9" s="7"/>
      <c r="CX9" s="7"/>
      <c r="CY9" s="24"/>
      <c r="CZ9" s="1">
        <v>2</v>
      </c>
      <c r="DA9" s="1">
        <v>6</v>
      </c>
      <c r="DB9" s="1">
        <v>0</v>
      </c>
      <c r="DC9" s="1">
        <v>43</v>
      </c>
      <c r="DD9" s="1">
        <v>1</v>
      </c>
      <c r="DE9" s="1"/>
      <c r="DF9" s="1"/>
      <c r="DG9" s="1"/>
      <c r="DH9" s="1"/>
      <c r="DI9" s="1"/>
      <c r="DJ9" s="30"/>
      <c r="DK9" s="2">
        <v>3</v>
      </c>
      <c r="DL9" s="2">
        <v>0</v>
      </c>
      <c r="DM9" s="2">
        <v>2</v>
      </c>
      <c r="DN9" s="2">
        <v>2</v>
      </c>
      <c r="DO9" s="2">
        <v>2</v>
      </c>
      <c r="DP9" s="2">
        <v>0</v>
      </c>
      <c r="DQ9" s="2">
        <v>0</v>
      </c>
      <c r="DR9" s="2">
        <v>0</v>
      </c>
      <c r="DS9" s="2">
        <v>43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/>
      <c r="EA9" s="2"/>
      <c r="EB9" s="2"/>
      <c r="EC9" s="2"/>
      <c r="ED9" s="2"/>
      <c r="EE9" s="2"/>
      <c r="EF9" s="2"/>
      <c r="EG9" s="2"/>
      <c r="EH9" s="2"/>
      <c r="EI9" s="2"/>
      <c r="EL9" s="21"/>
      <c r="EM9" s="2">
        <v>576</v>
      </c>
      <c r="EN9" s="2">
        <v>0</v>
      </c>
      <c r="EO9" s="2">
        <v>0</v>
      </c>
      <c r="EP9" s="2">
        <v>0</v>
      </c>
      <c r="EQ9" s="2"/>
      <c r="ER9" s="2"/>
      <c r="ES9" s="2"/>
    </row>
    <row r="10" spans="1:149" x14ac:dyDescent="0.3">
      <c r="A10" s="2" t="str">
        <v>74SC153000062</v>
      </c>
      <c r="B10" s="2" t="str">
        <v/>
      </c>
      <c r="C10" s="2" t="str">
        <v/>
      </c>
      <c r="D10" s="2" t="str">
        <v/>
      </c>
      <c r="E10" s="2"/>
      <c r="F10" s="2" cm="1">
        <f t="array" ref="F10">COUNTA(_xlfn.UNIQUE(_xlfn._xlws.FILTER(chamca[Run],(chamca[Visual ID]=A10))))</f>
        <v>4</v>
      </c>
      <c r="G10" s="2" t="str">
        <f>_xlfn.XLOOKUP(A10,RevCoreCount!A:A,RevCoreCount!B:B,)</f>
        <v>NotFound</v>
      </c>
      <c r="H10" s="2" t="str">
        <f>_xlfn.XLOOKUP(A10,RevCoreCount!A:A,RevCoreCount!E:E,)</f>
        <v/>
      </c>
      <c r="I10" s="2" t="str">
        <f>_xlfn.XLOOKUP(A10,RevCHACount!A:A,RevCHACount!B:B)</f>
        <v>NotFound</v>
      </c>
      <c r="J10" s="2" t="str">
        <f>_xlfn.XLOOKUP(A10,RevCHACount!A:A,RevCHACount!E:E)</f>
        <v/>
      </c>
      <c r="K10" s="2" t="str">
        <f>_xlfn.XLOOKUP(A10,RevLLCCount!A:A,RevLLCCount!B:B,)</f>
        <v>NotFound</v>
      </c>
      <c r="L10" s="2" t="str">
        <f>_xlfn.XLOOKUP(A10,RevLLCCount!A:A,RevLLCCount!E:E)</f>
        <v/>
      </c>
      <c r="M10" s="1">
        <f>_xlfn.XLOOKUP(A10,RevCHACount!A:A,RevCHACount!F:F)</f>
        <v>47</v>
      </c>
      <c r="N10" s="1" t="str">
        <f>_xlfn.XLOOKUP(A10,'Other Errors'!A:A,'Other Errors'!B:B,"")</f>
        <v/>
      </c>
      <c r="O10" s="2" t="str">
        <f t="shared" si="0"/>
        <v>WbMtoE</v>
      </c>
      <c r="P10" s="2" t="str">
        <f t="shared" si="1"/>
        <v>PullData</v>
      </c>
      <c r="Q10" s="2" t="str">
        <f t="shared" si="2"/>
        <v>Ismq_Idle</v>
      </c>
      <c r="R10" s="2" t="str">
        <f t="shared" si="3"/>
        <v>HOM</v>
      </c>
      <c r="S10" s="2" t="str">
        <f t="shared" si="4"/>
        <v>MEM2</v>
      </c>
      <c r="T10" s="2" t="str">
        <f t="shared" si="5"/>
        <v/>
      </c>
      <c r="U10" s="8" t="str" cm="1">
        <f t="array" ref="U10">_xlfn.TEXTJOIN(", ",,_xlfn.UNIQUE(_xlfn._xlws.FILTER(EM$3:FK$3,EM10:FK10&gt;0,"")))</f>
        <v/>
      </c>
      <c r="V10" s="9"/>
      <c r="W10" s="32"/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4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34"/>
      <c r="BJ10" s="5">
        <v>0</v>
      </c>
      <c r="BK10" s="5">
        <v>4</v>
      </c>
      <c r="BL10" s="5">
        <v>0</v>
      </c>
      <c r="BM10" s="5">
        <v>0</v>
      </c>
      <c r="BN10" s="5">
        <v>0</v>
      </c>
      <c r="BO10" s="5">
        <v>0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37"/>
      <c r="CQ10" s="7">
        <v>0</v>
      </c>
      <c r="CR10" s="7">
        <v>4</v>
      </c>
      <c r="CS10" s="7">
        <v>0</v>
      </c>
      <c r="CT10" s="7">
        <v>0</v>
      </c>
      <c r="CU10" s="7">
        <v>0</v>
      </c>
      <c r="CV10" s="7"/>
      <c r="CW10" s="7"/>
      <c r="CX10" s="7"/>
      <c r="CY10" s="24"/>
      <c r="CZ10" s="1">
        <v>0</v>
      </c>
      <c r="DA10" s="1">
        <v>4</v>
      </c>
      <c r="DB10" s="1">
        <v>0</v>
      </c>
      <c r="DC10" s="1">
        <v>0</v>
      </c>
      <c r="DD10" s="1">
        <v>0</v>
      </c>
      <c r="DE10" s="1"/>
      <c r="DF10" s="1"/>
      <c r="DG10" s="1"/>
      <c r="DH10" s="1"/>
      <c r="DI10" s="1"/>
      <c r="DJ10" s="30"/>
      <c r="DK10" s="2">
        <v>0</v>
      </c>
      <c r="DL10" s="2">
        <v>0</v>
      </c>
      <c r="DM10" s="2">
        <v>0</v>
      </c>
      <c r="DN10" s="2">
        <v>1</v>
      </c>
      <c r="DO10" s="2">
        <v>1</v>
      </c>
      <c r="DP10" s="2">
        <v>0</v>
      </c>
      <c r="DQ10" s="2">
        <v>0</v>
      </c>
      <c r="DR10" s="2">
        <v>0</v>
      </c>
      <c r="DS10" s="2">
        <v>0</v>
      </c>
      <c r="DT10" s="2">
        <v>1</v>
      </c>
      <c r="DU10" s="2">
        <v>1</v>
      </c>
      <c r="DV10" s="2">
        <v>0</v>
      </c>
      <c r="DW10" s="2">
        <v>0</v>
      </c>
      <c r="DX10" s="2">
        <v>0</v>
      </c>
      <c r="DY10" s="2">
        <v>0</v>
      </c>
      <c r="DZ10" s="2"/>
      <c r="EA10" s="2"/>
      <c r="EB10" s="2"/>
      <c r="EC10" s="2"/>
      <c r="ED10" s="2"/>
      <c r="EE10" s="2"/>
      <c r="EF10" s="2"/>
      <c r="EG10" s="2"/>
      <c r="EH10" s="2"/>
      <c r="EI10" s="2"/>
      <c r="EL10" s="21"/>
      <c r="EM10" s="2">
        <v>0</v>
      </c>
      <c r="EN10" s="2">
        <v>0</v>
      </c>
      <c r="EO10" s="2">
        <v>0</v>
      </c>
      <c r="EP10" s="2">
        <v>0</v>
      </c>
      <c r="EQ10" s="2"/>
      <c r="ER10" s="2"/>
      <c r="ES10" s="2"/>
    </row>
    <row r="11" spans="1:149" x14ac:dyDescent="0.3">
      <c r="A11" s="2">
        <v>0</v>
      </c>
      <c r="B11" s="2" t="str">
        <v/>
      </c>
      <c r="C11" s="2" t="str">
        <v/>
      </c>
      <c r="D11" s="2" t="str">
        <v/>
      </c>
      <c r="E11" s="2"/>
      <c r="F11" s="2" cm="1">
        <f t="array" ref="F11">COUNTA(_xlfn.UNIQUE(_xlfn._xlws.FILTER(chamca[Run],(chamca[Visual ID]=A11))))</f>
        <v>1</v>
      </c>
      <c r="G11" s="2" t="e">
        <f>_xlfn.XLOOKUP(A11,RevCoreCount!A:A,RevCoreCount!B:B,)</f>
        <v>#N/A</v>
      </c>
      <c r="H11" s="2" t="e">
        <f>_xlfn.XLOOKUP(A11,RevCoreCount!A:A,RevCoreCount!E:E,)</f>
        <v>#N/A</v>
      </c>
      <c r="I11" s="2" t="e">
        <f>_xlfn.XLOOKUP(A11,RevCHACount!A:A,RevCHACount!B:B)</f>
        <v>#N/A</v>
      </c>
      <c r="J11" s="2" t="e">
        <f>_xlfn.XLOOKUP(A11,RevCHACount!A:A,RevCHACount!E:E)</f>
        <v>#N/A</v>
      </c>
      <c r="K11" s="2" t="e">
        <f>_xlfn.XLOOKUP(A11,RevLLCCount!A:A,RevLLCCount!B:B,)</f>
        <v>#N/A</v>
      </c>
      <c r="L11" s="2" t="e">
        <f>_xlfn.XLOOKUP(A11,RevLLCCount!A:A,RevLLCCount!E:E)</f>
        <v>#N/A</v>
      </c>
      <c r="M11" s="1" t="e">
        <f>_xlfn.XLOOKUP(A11,RevCHACount!A:A,RevCHACount!F:F)</f>
        <v>#N/A</v>
      </c>
      <c r="N11" s="1" t="str">
        <f>_xlfn.XLOOKUP(A11,'Other Errors'!A:A,'Other Errors'!B:B,"")</f>
        <v/>
      </c>
      <c r="O11" s="2" t="str">
        <f t="shared" si="0"/>
        <v>PortIn</v>
      </c>
      <c r="P11" s="2" t="str">
        <f t="shared" si="1"/>
        <v>RspI</v>
      </c>
      <c r="Q11" s="2" t="str">
        <f t="shared" si="2"/>
        <v>Wdata_Wcmp</v>
      </c>
      <c r="R11" s="2" t="str">
        <f t="shared" si="3"/>
        <v>IO</v>
      </c>
      <c r="S11" s="2" t="str">
        <f t="shared" si="4"/>
        <v>PCIE0</v>
      </c>
      <c r="T11" s="2" t="str">
        <f t="shared" si="5"/>
        <v/>
      </c>
      <c r="U11" s="8" t="str" cm="1">
        <f t="array" ref="U11">_xlfn.TEXTJOIN(", ",,_xlfn.UNIQUE(_xlfn._xlws.FILTER(EM$3:FK$3,EM11:FK11&gt;0,"")))</f>
        <v/>
      </c>
      <c r="V11" s="9"/>
      <c r="W11" s="32"/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34"/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37"/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/>
      <c r="CW11" s="7"/>
      <c r="CX11" s="7"/>
      <c r="CY11" s="24"/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/>
      <c r="DF11" s="1"/>
      <c r="DG11" s="1"/>
      <c r="DH11" s="1"/>
      <c r="DI11" s="1"/>
      <c r="DJ11" s="30"/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/>
      <c r="EA11" s="2"/>
      <c r="EB11" s="2"/>
      <c r="EC11" s="2"/>
      <c r="ED11" s="2"/>
      <c r="EE11" s="2"/>
      <c r="EF11" s="2"/>
      <c r="EG11" s="2"/>
      <c r="EH11" s="2"/>
      <c r="EI11" s="2"/>
      <c r="EL11" s="21"/>
      <c r="EM11" s="2">
        <v>0</v>
      </c>
      <c r="EN11" s="2">
        <v>0</v>
      </c>
      <c r="EO11" s="2">
        <v>0</v>
      </c>
      <c r="EP11" s="2">
        <v>0</v>
      </c>
      <c r="EQ11" s="2"/>
      <c r="ER11" s="2"/>
      <c r="ES11" s="2"/>
    </row>
    <row r="12" spans="1:149" x14ac:dyDescent="0.3">
      <c r="A12" s="4"/>
      <c r="B12" s="2"/>
      <c r="C12" s="2"/>
      <c r="D12" s="2"/>
      <c r="E12" s="2"/>
      <c r="F12" s="2" cm="1">
        <f t="array" ref="F12">COUNTA(_xlfn.UNIQUE(_xlfn._xlws.FILTER(chamca[Run],(chamca[Visual ID]=A12))))</f>
        <v>1</v>
      </c>
      <c r="G12" s="2">
        <f>_xlfn.XLOOKUP(A12,RevCoreCount!A:A,RevCoreCount!B:B,)</f>
        <v>0</v>
      </c>
      <c r="H12" s="2">
        <f>_xlfn.XLOOKUP(A12,RevCoreCount!A:A,RevCoreCount!E:E,)</f>
        <v>0</v>
      </c>
      <c r="I12" s="2">
        <f>_xlfn.XLOOKUP(A12,RevCHACount!A:A,RevCHACount!B:B)</f>
        <v>0</v>
      </c>
      <c r="J12" s="2">
        <f>_xlfn.XLOOKUP(A12,RevCHACount!A:A,RevCHACount!E:E)</f>
        <v>0</v>
      </c>
      <c r="K12" s="2">
        <f>_xlfn.XLOOKUP(A12,RevLLCCount!A:A,RevLLCCount!B:B,)</f>
        <v>0</v>
      </c>
      <c r="L12" s="2">
        <f>_xlfn.XLOOKUP(A12,RevLLCCount!A:A,RevLLCCount!E:E)</f>
        <v>0</v>
      </c>
      <c r="M12" s="1">
        <f>_xlfn.XLOOKUP(A12,RevCHACount!A:A,RevCHACount!F:F)</f>
        <v>0</v>
      </c>
      <c r="N12" s="1" t="str">
        <f>_xlfn.XLOOKUP(A12,'Other Errors'!A:A,'Other Errors'!B:B,"")</f>
        <v/>
      </c>
      <c r="O12" s="2" t="e">
        <f t="shared" si="0"/>
        <v>#N/A</v>
      </c>
      <c r="P12" s="2" t="e">
        <f t="shared" si="1"/>
        <v>#N/A</v>
      </c>
      <c r="Q12" s="2" t="e">
        <f t="shared" si="2"/>
        <v>#N/A</v>
      </c>
      <c r="R12" s="2" t="e">
        <f t="shared" si="3"/>
        <v>#N/A</v>
      </c>
      <c r="S12" s="2" t="str">
        <f t="shared" si="4"/>
        <v/>
      </c>
      <c r="T12" s="2" t="str">
        <f t="shared" si="5"/>
        <v/>
      </c>
      <c r="U12" s="8" t="str" cm="1">
        <f t="array" ref="U12">_xlfn.TEXTJOIN(", ",,_xlfn.UNIQUE(_xlfn._xlws.FILTER(EM$3:FK$3,EM12:FK12&gt;0,"")))</f>
        <v/>
      </c>
      <c r="V12" s="9"/>
      <c r="W12" s="32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34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37"/>
      <c r="CQ12" s="7"/>
      <c r="CR12" s="7"/>
      <c r="CS12" s="7"/>
      <c r="CT12" s="7"/>
      <c r="CU12" s="7"/>
      <c r="CV12" s="7"/>
      <c r="CW12" s="7"/>
      <c r="CX12" s="7"/>
      <c r="CY12" s="24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30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L12" s="21"/>
      <c r="EM12" s="2"/>
      <c r="EN12" s="2"/>
      <c r="EO12" s="2"/>
      <c r="EP12" s="2"/>
      <c r="EQ12" s="2"/>
      <c r="ER12" s="2"/>
      <c r="ES12" s="2"/>
    </row>
    <row r="13" spans="1:149" x14ac:dyDescent="0.3">
      <c r="A13" s="2"/>
      <c r="B13" s="2"/>
      <c r="C13" s="2"/>
      <c r="D13" s="2"/>
      <c r="E13" s="2"/>
      <c r="F13" s="2" cm="1">
        <f t="array" ref="F13">COUNTA(_xlfn.UNIQUE(_xlfn._xlws.FILTER(chamca[Run],(chamca[Visual ID]=A13))))</f>
        <v>1</v>
      </c>
      <c r="G13" s="2">
        <f>_xlfn.XLOOKUP(A13,RevCoreCount!A:A,RevCoreCount!B:B,)</f>
        <v>0</v>
      </c>
      <c r="H13" s="2">
        <f>_xlfn.XLOOKUP(A13,RevCoreCount!A:A,RevCoreCount!E:E,)</f>
        <v>0</v>
      </c>
      <c r="I13" s="2">
        <f>_xlfn.XLOOKUP(A13,RevCHACount!A:A,RevCHACount!B:B)</f>
        <v>0</v>
      </c>
      <c r="J13" s="2">
        <f>_xlfn.XLOOKUP(A13,RevCHACount!A:A,RevCHACount!E:E)</f>
        <v>0</v>
      </c>
      <c r="K13" s="2">
        <f>_xlfn.XLOOKUP(A13,RevLLCCount!A:A,RevLLCCount!B:B,)</f>
        <v>0</v>
      </c>
      <c r="L13" s="2">
        <f>_xlfn.XLOOKUP(A13,RevLLCCount!A:A,RevLLCCount!E:E)</f>
        <v>0</v>
      </c>
      <c r="M13" s="1">
        <f>_xlfn.XLOOKUP(A13,RevCHACount!A:A,RevCHACount!F:F)</f>
        <v>0</v>
      </c>
      <c r="N13" s="1" t="str">
        <f>_xlfn.XLOOKUP(A13,'Other Errors'!A:A,'Other Errors'!B:B,"")</f>
        <v/>
      </c>
      <c r="O13" s="2" t="e">
        <f t="shared" si="0"/>
        <v>#N/A</v>
      </c>
      <c r="P13" s="2" t="e">
        <f t="shared" si="1"/>
        <v>#N/A</v>
      </c>
      <c r="Q13" s="2" t="e">
        <f t="shared" si="2"/>
        <v>#N/A</v>
      </c>
      <c r="R13" s="2" t="e">
        <f t="shared" si="3"/>
        <v>#N/A</v>
      </c>
      <c r="S13" s="2" t="str">
        <f t="shared" si="4"/>
        <v/>
      </c>
      <c r="T13" s="2" t="str">
        <f t="shared" si="5"/>
        <v/>
      </c>
      <c r="U13" s="8" t="str" cm="1">
        <f t="array" ref="U13">_xlfn.TEXTJOIN(", ",,_xlfn.UNIQUE(_xlfn._xlws.FILTER(EM$3:FK$3,EM13:FK13&gt;0,"")))</f>
        <v/>
      </c>
      <c r="V13" s="9"/>
      <c r="W13" s="32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34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37"/>
      <c r="CQ13" s="7"/>
      <c r="CR13" s="7"/>
      <c r="CS13" s="7"/>
      <c r="CT13" s="7"/>
      <c r="CU13" s="7"/>
      <c r="CV13" s="7"/>
      <c r="CW13" s="7"/>
      <c r="CX13" s="7"/>
      <c r="CY13" s="24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30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L13" s="21"/>
      <c r="EM13" s="2"/>
      <c r="EN13" s="2"/>
      <c r="EO13" s="2"/>
      <c r="EP13" s="2"/>
      <c r="EQ13" s="2"/>
      <c r="ER13" s="2"/>
      <c r="ES13" s="2"/>
    </row>
    <row r="14" spans="1:149" x14ac:dyDescent="0.3">
      <c r="A14" s="2"/>
      <c r="B14" s="2"/>
      <c r="C14" s="2"/>
      <c r="D14" s="2"/>
      <c r="E14" s="2"/>
      <c r="F14" s="2" cm="1">
        <f t="array" ref="F14">COUNTA(_xlfn.UNIQUE(_xlfn._xlws.FILTER(chamca[Run],(chamca[Visual ID]=A14))))</f>
        <v>1</v>
      </c>
      <c r="G14" s="2">
        <f>_xlfn.XLOOKUP(A14,RevCoreCount!A:A,RevCoreCount!B:B,)</f>
        <v>0</v>
      </c>
      <c r="H14" s="2">
        <f>_xlfn.XLOOKUP(A14,RevCoreCount!A:A,RevCoreCount!E:E,)</f>
        <v>0</v>
      </c>
      <c r="I14" s="2">
        <f>_xlfn.XLOOKUP(A14,RevCHACount!A:A,RevCHACount!B:B)</f>
        <v>0</v>
      </c>
      <c r="J14" s="2">
        <f>_xlfn.XLOOKUP(A14,RevCHACount!A:A,RevCHACount!E:E)</f>
        <v>0</v>
      </c>
      <c r="K14" s="2">
        <f>_xlfn.XLOOKUP(A14,RevLLCCount!A:A,RevLLCCount!B:B,)</f>
        <v>0</v>
      </c>
      <c r="L14" s="2">
        <f>_xlfn.XLOOKUP(A14,RevLLCCount!A:A,RevLLCCount!E:E)</f>
        <v>0</v>
      </c>
      <c r="M14" s="1">
        <f>_xlfn.XLOOKUP(A14,RevCHACount!A:A,RevCHACount!F:F)</f>
        <v>0</v>
      </c>
      <c r="N14" s="1" t="str">
        <f>_xlfn.XLOOKUP(A14,'Other Errors'!A:A,'Other Errors'!B:B,"")</f>
        <v/>
      </c>
      <c r="O14" s="2" t="e">
        <f t="shared" si="0"/>
        <v>#N/A</v>
      </c>
      <c r="P14" s="2" t="e">
        <f t="shared" si="1"/>
        <v>#N/A</v>
      </c>
      <c r="Q14" s="2" t="e">
        <f t="shared" si="2"/>
        <v>#N/A</v>
      </c>
      <c r="R14" s="2" t="e">
        <f t="shared" si="3"/>
        <v>#N/A</v>
      </c>
      <c r="S14" s="2" t="str">
        <f t="shared" si="4"/>
        <v/>
      </c>
      <c r="T14" s="2" t="str">
        <f t="shared" si="5"/>
        <v/>
      </c>
      <c r="U14" s="8" t="str" cm="1">
        <f t="array" ref="U14">_xlfn.TEXTJOIN(", ",,_xlfn.UNIQUE(_xlfn._xlws.FILTER(EM$3:FK$3,EM14:FK14&gt;0,"")))</f>
        <v/>
      </c>
      <c r="V14" s="9"/>
      <c r="W14" s="32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34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37"/>
      <c r="CQ14" s="7"/>
      <c r="CR14" s="7"/>
      <c r="CS14" s="7"/>
      <c r="CT14" s="7"/>
      <c r="CU14" s="7"/>
      <c r="CV14" s="7"/>
      <c r="CW14" s="7"/>
      <c r="CX14" s="7"/>
      <c r="CY14" s="24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30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L14" s="21"/>
      <c r="EM14" s="2"/>
      <c r="EN14" s="2"/>
      <c r="EO14" s="2"/>
      <c r="EP14" s="2"/>
      <c r="EQ14" s="2"/>
      <c r="ER14" s="2"/>
      <c r="ES14" s="2"/>
    </row>
    <row r="15" spans="1:149" x14ac:dyDescent="0.3">
      <c r="A15" s="2"/>
      <c r="B15" s="2"/>
      <c r="C15" s="2"/>
      <c r="D15" s="2"/>
      <c r="E15" s="2"/>
      <c r="F15" s="2" cm="1">
        <f t="array" ref="F15">COUNTA(_xlfn.UNIQUE(_xlfn._xlws.FILTER(chamca[Run],(chamca[Visual ID]=A15))))</f>
        <v>1</v>
      </c>
      <c r="G15" s="2">
        <f>_xlfn.XLOOKUP(A15,RevCoreCount!A:A,RevCoreCount!B:B,)</f>
        <v>0</v>
      </c>
      <c r="H15" s="2">
        <f>_xlfn.XLOOKUP(A15,RevCoreCount!A:A,RevCoreCount!E:E,)</f>
        <v>0</v>
      </c>
      <c r="I15" s="2">
        <f>_xlfn.XLOOKUP(A15,RevCHACount!A:A,RevCHACount!B:B)</f>
        <v>0</v>
      </c>
      <c r="J15" s="2">
        <f>_xlfn.XLOOKUP(A15,RevCHACount!A:A,RevCHACount!E:E)</f>
        <v>0</v>
      </c>
      <c r="K15" s="2">
        <f>_xlfn.XLOOKUP(A15,RevLLCCount!A:A,RevLLCCount!B:B,)</f>
        <v>0</v>
      </c>
      <c r="L15" s="2">
        <f>_xlfn.XLOOKUP(A15,RevLLCCount!A:A,RevLLCCount!E:E)</f>
        <v>0</v>
      </c>
      <c r="M15" s="1">
        <f>_xlfn.XLOOKUP(A15,RevCHACount!A:A,RevCHACount!F:F)</f>
        <v>0</v>
      </c>
      <c r="N15" s="1" t="str">
        <f>_xlfn.XLOOKUP(A15,'Other Errors'!A:A,'Other Errors'!B:B,"")</f>
        <v/>
      </c>
      <c r="O15" s="2" t="e">
        <f t="shared" si="0"/>
        <v>#N/A</v>
      </c>
      <c r="P15" s="2" t="e">
        <f t="shared" si="1"/>
        <v>#N/A</v>
      </c>
      <c r="Q15" s="2" t="e">
        <f t="shared" si="2"/>
        <v>#N/A</v>
      </c>
      <c r="R15" s="2" t="e">
        <f t="shared" si="3"/>
        <v>#N/A</v>
      </c>
      <c r="S15" s="2" t="str">
        <f t="shared" si="4"/>
        <v/>
      </c>
      <c r="T15" s="2" t="str">
        <f t="shared" si="5"/>
        <v/>
      </c>
      <c r="U15" s="8" t="str" cm="1">
        <f t="array" ref="U15">_xlfn.TEXTJOIN(", ",,_xlfn.UNIQUE(_xlfn._xlws.FILTER(EM$3:FK$3,EM15:FK15&gt;0,"")))</f>
        <v/>
      </c>
      <c r="V15" s="9"/>
      <c r="W15" s="32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34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37"/>
      <c r="CQ15" s="7"/>
      <c r="CR15" s="7"/>
      <c r="CS15" s="7"/>
      <c r="CT15" s="7"/>
      <c r="CU15" s="7"/>
      <c r="CV15" s="7"/>
      <c r="CW15" s="7"/>
      <c r="CX15" s="7"/>
      <c r="CY15" s="24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30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L15" s="21"/>
      <c r="EM15" s="2"/>
      <c r="EN15" s="2"/>
      <c r="EO15" s="2"/>
      <c r="EP15" s="2"/>
      <c r="EQ15" s="2"/>
      <c r="ER15" s="2"/>
      <c r="ES15" s="2"/>
    </row>
    <row r="16" spans="1:149" x14ac:dyDescent="0.3">
      <c r="A16" s="2"/>
      <c r="B16" s="2"/>
      <c r="C16" s="2"/>
      <c r="D16" s="2"/>
      <c r="E16" s="2"/>
      <c r="F16" s="2" cm="1">
        <f t="array" ref="F16">COUNTA(_xlfn.UNIQUE(_xlfn._xlws.FILTER(chamca[Run],(chamca[Visual ID]=A16))))</f>
        <v>1</v>
      </c>
      <c r="G16" s="2">
        <f>_xlfn.XLOOKUP(A16,RevCoreCount!A:A,RevCoreCount!B:B,)</f>
        <v>0</v>
      </c>
      <c r="H16" s="2">
        <f>_xlfn.XLOOKUP(A16,RevCoreCount!A:A,RevCoreCount!E:E,)</f>
        <v>0</v>
      </c>
      <c r="I16" s="2">
        <f>_xlfn.XLOOKUP(A16,RevCHACount!A:A,RevCHACount!B:B)</f>
        <v>0</v>
      </c>
      <c r="J16" s="2">
        <f>_xlfn.XLOOKUP(A16,RevCHACount!A:A,RevCHACount!E:E)</f>
        <v>0</v>
      </c>
      <c r="K16" s="2">
        <f>_xlfn.XLOOKUP(A16,RevLLCCount!A:A,RevLLCCount!B:B,)</f>
        <v>0</v>
      </c>
      <c r="L16" s="2">
        <f>_xlfn.XLOOKUP(A16,RevLLCCount!A:A,RevLLCCount!E:E)</f>
        <v>0</v>
      </c>
      <c r="M16" s="1">
        <f>_xlfn.XLOOKUP(A16,RevCHACount!A:A,RevCHACount!F:F)</f>
        <v>0</v>
      </c>
      <c r="N16" s="1" t="str">
        <f>_xlfn.XLOOKUP(A16,'Other Errors'!A:A,'Other Errors'!B:B,"")</f>
        <v/>
      </c>
      <c r="O16" s="2" t="e">
        <f t="shared" si="0"/>
        <v>#N/A</v>
      </c>
      <c r="P16" s="2" t="e">
        <f t="shared" si="1"/>
        <v>#N/A</v>
      </c>
      <c r="Q16" s="2" t="e">
        <f t="shared" si="2"/>
        <v>#N/A</v>
      </c>
      <c r="R16" s="2" t="e">
        <f t="shared" si="3"/>
        <v>#N/A</v>
      </c>
      <c r="S16" s="2" t="str">
        <f t="shared" si="4"/>
        <v/>
      </c>
      <c r="T16" s="2" t="str">
        <f t="shared" si="5"/>
        <v/>
      </c>
      <c r="U16" s="8" t="str" cm="1">
        <f t="array" ref="U16">_xlfn.TEXTJOIN(", ",,_xlfn.UNIQUE(_xlfn._xlws.FILTER(EM$3:FK$3,EM16:FK16&gt;0,"")))</f>
        <v/>
      </c>
      <c r="V16" s="9"/>
      <c r="W16" s="32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34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37"/>
      <c r="CQ16" s="7"/>
      <c r="CR16" s="7"/>
      <c r="CS16" s="7"/>
      <c r="CT16" s="7"/>
      <c r="CU16" s="7"/>
      <c r="CV16" s="7"/>
      <c r="CW16" s="7"/>
      <c r="CX16" s="7"/>
      <c r="CY16" s="24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30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L16" s="21"/>
      <c r="EM16" s="2"/>
      <c r="EN16" s="2"/>
      <c r="EO16" s="2"/>
      <c r="EP16" s="2"/>
      <c r="EQ16" s="2"/>
      <c r="ER16" s="2"/>
      <c r="ES16" s="2"/>
    </row>
    <row r="17" spans="1:149" x14ac:dyDescent="0.3">
      <c r="A17" s="2"/>
      <c r="B17" s="2"/>
      <c r="C17" s="2"/>
      <c r="D17" s="2"/>
      <c r="E17" s="2"/>
      <c r="F17" s="2" cm="1">
        <f t="array" ref="F17">COUNTA(_xlfn.UNIQUE(_xlfn._xlws.FILTER(chamca[Run],(chamca[Visual ID]=A17))))</f>
        <v>1</v>
      </c>
      <c r="G17" s="2">
        <f>_xlfn.XLOOKUP(A17,RevCoreCount!A:A,RevCoreCount!B:B,)</f>
        <v>0</v>
      </c>
      <c r="H17" s="2">
        <f>_xlfn.XLOOKUP(A17,RevCoreCount!A:A,RevCoreCount!E:E,)</f>
        <v>0</v>
      </c>
      <c r="I17" s="2">
        <f>_xlfn.XLOOKUP(A17,RevCHACount!A:A,RevCHACount!B:B)</f>
        <v>0</v>
      </c>
      <c r="J17" s="2">
        <f>_xlfn.XLOOKUP(A17,RevCHACount!A:A,RevCHACount!E:E)</f>
        <v>0</v>
      </c>
      <c r="K17" s="2">
        <f>_xlfn.XLOOKUP(A17,RevLLCCount!A:A,RevLLCCount!B:B,)</f>
        <v>0</v>
      </c>
      <c r="L17" s="2">
        <f>_xlfn.XLOOKUP(A17,RevLLCCount!A:A,RevLLCCount!E:E)</f>
        <v>0</v>
      </c>
      <c r="M17" s="1">
        <f>_xlfn.XLOOKUP(A17,RevCHACount!A:A,RevCHACount!F:F)</f>
        <v>0</v>
      </c>
      <c r="N17" s="1" t="str">
        <f>_xlfn.XLOOKUP(A17,'Other Errors'!A:A,'Other Errors'!B:B,"")</f>
        <v/>
      </c>
      <c r="O17" s="2" t="e">
        <f t="shared" si="0"/>
        <v>#N/A</v>
      </c>
      <c r="P17" s="2" t="e">
        <f t="shared" si="1"/>
        <v>#N/A</v>
      </c>
      <c r="Q17" s="2" t="e">
        <f t="shared" si="2"/>
        <v>#N/A</v>
      </c>
      <c r="R17" s="2" t="e">
        <f t="shared" si="3"/>
        <v>#N/A</v>
      </c>
      <c r="S17" s="2" t="str">
        <f t="shared" si="4"/>
        <v/>
      </c>
      <c r="T17" s="2" t="str">
        <f t="shared" si="5"/>
        <v/>
      </c>
      <c r="U17" s="8" t="str" cm="1">
        <f t="array" ref="U17">_xlfn.TEXTJOIN(", ",,_xlfn.UNIQUE(_xlfn._xlws.FILTER(EM$3:FK$3,EM17:FK17&gt;0,"")))</f>
        <v/>
      </c>
      <c r="V17" s="9"/>
      <c r="W17" s="32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34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37"/>
      <c r="CQ17" s="7"/>
      <c r="CR17" s="7"/>
      <c r="CS17" s="7"/>
      <c r="CT17" s="7"/>
      <c r="CU17" s="7"/>
      <c r="CV17" s="7"/>
      <c r="CW17" s="7"/>
      <c r="CX17" s="7"/>
      <c r="CY17" s="24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30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L17" s="21"/>
      <c r="EM17" s="2"/>
      <c r="EN17" s="2"/>
      <c r="EO17" s="2"/>
      <c r="EP17" s="2"/>
      <c r="EQ17" s="2"/>
      <c r="ER17" s="2"/>
      <c r="ES17" s="2"/>
    </row>
    <row r="18" spans="1:149" x14ac:dyDescent="0.3">
      <c r="A18" s="2"/>
      <c r="B18" s="2"/>
      <c r="C18" s="2"/>
      <c r="D18" s="2"/>
      <c r="E18" s="2"/>
      <c r="F18" s="2" cm="1">
        <f t="array" ref="F18">COUNTA(_xlfn.UNIQUE(_xlfn._xlws.FILTER(chamca[Run],(chamca[Visual ID]=A18))))</f>
        <v>1</v>
      </c>
      <c r="G18" s="2">
        <f>_xlfn.XLOOKUP(A18,RevCoreCount!A:A,RevCoreCount!B:B,)</f>
        <v>0</v>
      </c>
      <c r="H18" s="2">
        <f>_xlfn.XLOOKUP(A18,RevCoreCount!A:A,RevCoreCount!E:E,)</f>
        <v>0</v>
      </c>
      <c r="I18" s="2">
        <f>_xlfn.XLOOKUP(A18,RevCHACount!A:A,RevCHACount!B:B)</f>
        <v>0</v>
      </c>
      <c r="J18" s="2">
        <f>_xlfn.XLOOKUP(A18,RevCHACount!A:A,RevCHACount!E:E)</f>
        <v>0</v>
      </c>
      <c r="K18" s="2">
        <f>_xlfn.XLOOKUP(A18,RevLLCCount!A:A,RevLLCCount!B:B,)</f>
        <v>0</v>
      </c>
      <c r="L18" s="2">
        <f>_xlfn.XLOOKUP(A18,RevLLCCount!A:A,RevLLCCount!E:E)</f>
        <v>0</v>
      </c>
      <c r="M18" s="1">
        <f>_xlfn.XLOOKUP(A18,RevCHACount!A:A,RevCHACount!F:F)</f>
        <v>0</v>
      </c>
      <c r="N18" s="1" t="str">
        <f>_xlfn.XLOOKUP(A18,'Other Errors'!A:A,'Other Errors'!B:B,"")</f>
        <v/>
      </c>
      <c r="O18" s="2" t="e">
        <f t="shared" si="0"/>
        <v>#N/A</v>
      </c>
      <c r="P18" s="2" t="e">
        <f t="shared" si="1"/>
        <v>#N/A</v>
      </c>
      <c r="Q18" s="2" t="e">
        <f t="shared" si="2"/>
        <v>#N/A</v>
      </c>
      <c r="R18" s="2" t="e">
        <f t="shared" si="3"/>
        <v>#N/A</v>
      </c>
      <c r="S18" s="2" t="str">
        <f t="shared" si="4"/>
        <v/>
      </c>
      <c r="T18" s="2" t="str">
        <f t="shared" si="5"/>
        <v/>
      </c>
      <c r="U18" s="8" t="str" cm="1">
        <f t="array" ref="U18">_xlfn.TEXTJOIN(", ",,_xlfn.UNIQUE(_xlfn._xlws.FILTER(EM$3:FK$3,EM18:FK18&gt;0,"")))</f>
        <v/>
      </c>
      <c r="V18" s="9"/>
      <c r="W18" s="32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34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37"/>
      <c r="CQ18" s="7"/>
      <c r="CR18" s="7"/>
      <c r="CS18" s="7"/>
      <c r="CT18" s="7"/>
      <c r="CU18" s="7"/>
      <c r="CV18" s="7"/>
      <c r="CW18" s="7"/>
      <c r="CX18" s="7"/>
      <c r="CY18" s="24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30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L18" s="21"/>
      <c r="EM18" s="2"/>
      <c r="EN18" s="2"/>
      <c r="EO18" s="2"/>
      <c r="EP18" s="2"/>
      <c r="EQ18" s="2"/>
      <c r="ER18" s="2"/>
      <c r="ES18" s="2"/>
    </row>
    <row r="19" spans="1:149" x14ac:dyDescent="0.3">
      <c r="A19" s="2"/>
      <c r="B19" s="2"/>
      <c r="C19" s="2"/>
      <c r="D19" s="2"/>
      <c r="E19" s="2"/>
      <c r="F19" s="2" cm="1">
        <f t="array" ref="F19">COUNTA(_xlfn.UNIQUE(_xlfn._xlws.FILTER(chamca[Run],(chamca[Visual ID]=A19))))</f>
        <v>1</v>
      </c>
      <c r="G19" s="2">
        <f>_xlfn.XLOOKUP(A19,RevCoreCount!A:A,RevCoreCount!B:B,)</f>
        <v>0</v>
      </c>
      <c r="H19" s="2">
        <f>_xlfn.XLOOKUP(A19,RevCoreCount!A:A,RevCoreCount!E:E,)</f>
        <v>0</v>
      </c>
      <c r="I19" s="2">
        <f>_xlfn.XLOOKUP(A19,RevCHACount!A:A,RevCHACount!B:B)</f>
        <v>0</v>
      </c>
      <c r="J19" s="2">
        <f>_xlfn.XLOOKUP(A19,RevCHACount!A:A,RevCHACount!E:E)</f>
        <v>0</v>
      </c>
      <c r="K19" s="2">
        <f>_xlfn.XLOOKUP(A19,RevLLCCount!A:A,RevLLCCount!B:B,)</f>
        <v>0</v>
      </c>
      <c r="L19" s="2">
        <f>_xlfn.XLOOKUP(A19,RevLLCCount!A:A,RevLLCCount!E:E)</f>
        <v>0</v>
      </c>
      <c r="M19" s="1">
        <f>_xlfn.XLOOKUP(A19,RevCHACount!A:A,RevCHACount!F:F)</f>
        <v>0</v>
      </c>
      <c r="N19" s="1" t="str">
        <f>_xlfn.XLOOKUP(A19,'Other Errors'!A:A,'Other Errors'!B:B,"")</f>
        <v/>
      </c>
      <c r="O19" s="2" t="e">
        <f t="shared" si="0"/>
        <v>#N/A</v>
      </c>
      <c r="P19" s="2" t="e">
        <f t="shared" si="1"/>
        <v>#N/A</v>
      </c>
      <c r="Q19" s="2" t="e">
        <f t="shared" si="2"/>
        <v>#N/A</v>
      </c>
      <c r="R19" s="2" t="e">
        <f t="shared" si="3"/>
        <v>#N/A</v>
      </c>
      <c r="S19" s="2" t="str">
        <f t="shared" si="4"/>
        <v/>
      </c>
      <c r="T19" s="2" t="str">
        <f t="shared" si="5"/>
        <v/>
      </c>
      <c r="U19" s="8" t="str" cm="1">
        <f t="array" ref="U19">_xlfn.TEXTJOIN(", ",,_xlfn.UNIQUE(_xlfn._xlws.FILTER(EM$3:FK$3,EM19:FK19&gt;0,"")))</f>
        <v/>
      </c>
      <c r="V19" s="9"/>
      <c r="W19" s="32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34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37"/>
      <c r="CQ19" s="7"/>
      <c r="CR19" s="7"/>
      <c r="CS19" s="7"/>
      <c r="CT19" s="7"/>
      <c r="CU19" s="7"/>
      <c r="CV19" s="7"/>
      <c r="CW19" s="7"/>
      <c r="CX19" s="7"/>
      <c r="CY19" s="24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30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L19" s="21"/>
      <c r="EM19" s="2"/>
      <c r="EN19" s="2"/>
      <c r="EO19" s="2"/>
      <c r="EP19" s="2"/>
      <c r="EQ19" s="2"/>
      <c r="ER19" s="2"/>
      <c r="ES19" s="2"/>
    </row>
    <row r="20" spans="1:149" x14ac:dyDescent="0.3">
      <c r="A20" s="2"/>
      <c r="B20" s="2"/>
      <c r="C20" s="2"/>
      <c r="D20" s="2"/>
      <c r="E20" s="2"/>
      <c r="F20" s="2" cm="1">
        <f t="array" ref="F20">COUNTA(_xlfn.UNIQUE(_xlfn._xlws.FILTER(chamca[Run],(chamca[Visual ID]=A20))))</f>
        <v>1</v>
      </c>
      <c r="G20" s="2">
        <f>_xlfn.XLOOKUP(A20,RevCoreCount!A:A,RevCoreCount!B:B,)</f>
        <v>0</v>
      </c>
      <c r="H20" s="2">
        <f>_xlfn.XLOOKUP(A20,RevCoreCount!A:A,RevCoreCount!E:E,)</f>
        <v>0</v>
      </c>
      <c r="I20" s="2">
        <f>_xlfn.XLOOKUP(A20,RevCHACount!A:A,RevCHACount!B:B)</f>
        <v>0</v>
      </c>
      <c r="J20" s="2">
        <f>_xlfn.XLOOKUP(A20,RevCHACount!A:A,RevCHACount!E:E)</f>
        <v>0</v>
      </c>
      <c r="K20" s="2">
        <f>_xlfn.XLOOKUP(A20,RevLLCCount!A:A,RevLLCCount!B:B,)</f>
        <v>0</v>
      </c>
      <c r="L20" s="2">
        <f>_xlfn.XLOOKUP(A20,RevLLCCount!A:A,RevLLCCount!E:E)</f>
        <v>0</v>
      </c>
      <c r="M20" s="1">
        <f>_xlfn.XLOOKUP(A20,RevCHACount!A:A,RevCHACount!F:F)</f>
        <v>0</v>
      </c>
      <c r="N20" s="1" t="str">
        <f>_xlfn.XLOOKUP(A20,'Other Errors'!A:A,'Other Errors'!B:B,"")</f>
        <v/>
      </c>
      <c r="O20" s="2" t="e">
        <f t="shared" si="0"/>
        <v>#N/A</v>
      </c>
      <c r="P20" s="2" t="e">
        <f t="shared" si="1"/>
        <v>#N/A</v>
      </c>
      <c r="Q20" s="2" t="e">
        <f t="shared" si="2"/>
        <v>#N/A</v>
      </c>
      <c r="R20" s="2" t="e">
        <f t="shared" si="3"/>
        <v>#N/A</v>
      </c>
      <c r="S20" s="2" t="str">
        <f t="shared" si="4"/>
        <v/>
      </c>
      <c r="T20" s="2" t="str">
        <f t="shared" si="5"/>
        <v/>
      </c>
      <c r="U20" s="8" t="str" cm="1">
        <f t="array" ref="U20">_xlfn.TEXTJOIN(", ",,_xlfn.UNIQUE(_xlfn._xlws.FILTER(EM$3:FK$3,EM20:FK20&gt;0,"")))</f>
        <v/>
      </c>
      <c r="V20" s="9"/>
      <c r="W20" s="32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34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37"/>
      <c r="CQ20" s="7"/>
      <c r="CR20" s="7"/>
      <c r="CS20" s="7"/>
      <c r="CT20" s="7"/>
      <c r="CU20" s="7"/>
      <c r="CV20" s="7"/>
      <c r="CW20" s="7"/>
      <c r="CX20" s="7"/>
      <c r="CY20" s="24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30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L20" s="21"/>
      <c r="EM20" s="2"/>
      <c r="EN20" s="2"/>
      <c r="EO20" s="2"/>
      <c r="EP20" s="2"/>
      <c r="EQ20" s="2"/>
      <c r="ER20" s="2"/>
      <c r="ES20" s="2"/>
    </row>
    <row r="21" spans="1:149" x14ac:dyDescent="0.3">
      <c r="A21" s="2"/>
      <c r="B21" s="2"/>
      <c r="C21" s="2"/>
      <c r="D21" s="2"/>
      <c r="E21" s="2"/>
      <c r="F21" s="2" cm="1">
        <f t="array" ref="F21">COUNTA(_xlfn.UNIQUE(_xlfn._xlws.FILTER(chamca[Run],(chamca[Visual ID]=A21))))</f>
        <v>1</v>
      </c>
      <c r="G21" s="2">
        <f>_xlfn.XLOOKUP(A21,RevCoreCount!A:A,RevCoreCount!B:B,)</f>
        <v>0</v>
      </c>
      <c r="H21" s="2">
        <f>_xlfn.XLOOKUP(A21,RevCoreCount!A:A,RevCoreCount!E:E,)</f>
        <v>0</v>
      </c>
      <c r="I21" s="2">
        <f>_xlfn.XLOOKUP(A21,RevCHACount!A:A,RevCHACount!B:B)</f>
        <v>0</v>
      </c>
      <c r="J21" s="2">
        <f>_xlfn.XLOOKUP(A21,RevCHACount!A:A,RevCHACount!E:E)</f>
        <v>0</v>
      </c>
      <c r="K21" s="2">
        <f>_xlfn.XLOOKUP(A21,RevLLCCount!A:A,RevLLCCount!B:B,)</f>
        <v>0</v>
      </c>
      <c r="L21" s="2">
        <f>_xlfn.XLOOKUP(A21,RevLLCCount!A:A,RevLLCCount!E:E)</f>
        <v>0</v>
      </c>
      <c r="M21" s="1">
        <f>_xlfn.XLOOKUP(A21,RevCHACount!A:A,RevCHACount!F:F)</f>
        <v>0</v>
      </c>
      <c r="N21" s="1" t="str">
        <f>_xlfn.XLOOKUP(A21,'Other Errors'!A:A,'Other Errors'!B:B,"")</f>
        <v/>
      </c>
      <c r="O21" s="2" t="e">
        <f t="shared" si="0"/>
        <v>#N/A</v>
      </c>
      <c r="P21" s="2" t="e">
        <f t="shared" si="1"/>
        <v>#N/A</v>
      </c>
      <c r="Q21" s="2" t="e">
        <f t="shared" si="2"/>
        <v>#N/A</v>
      </c>
      <c r="R21" s="2" t="e">
        <f t="shared" si="3"/>
        <v>#N/A</v>
      </c>
      <c r="S21" s="2" t="str">
        <f t="shared" si="4"/>
        <v/>
      </c>
      <c r="T21" s="2" t="str">
        <f t="shared" si="5"/>
        <v/>
      </c>
      <c r="U21" s="8" t="str" cm="1">
        <f t="array" ref="U21">_xlfn.TEXTJOIN(", ",,_xlfn.UNIQUE(_xlfn._xlws.FILTER(EM$3:FK$3,EM21:FK21&gt;0,"")))</f>
        <v/>
      </c>
      <c r="V21" s="9"/>
      <c r="W21" s="32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34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37"/>
      <c r="CQ21" s="7"/>
      <c r="CR21" s="7"/>
      <c r="CS21" s="7"/>
      <c r="CT21" s="7"/>
      <c r="CU21" s="7"/>
      <c r="CV21" s="7"/>
      <c r="CW21" s="7"/>
      <c r="CX21" s="7"/>
      <c r="CY21" s="24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30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L21" s="21"/>
      <c r="EM21" s="2"/>
      <c r="EN21" s="2"/>
      <c r="EO21" s="2"/>
      <c r="EP21" s="2"/>
      <c r="EQ21" s="2"/>
      <c r="ER21" s="2"/>
      <c r="ES21" s="2"/>
    </row>
    <row r="22" spans="1:149" x14ac:dyDescent="0.3">
      <c r="A22" s="2"/>
      <c r="B22" s="2"/>
      <c r="C22" s="2"/>
      <c r="D22" s="2"/>
      <c r="E22" s="2"/>
      <c r="F22" s="2" cm="1">
        <f t="array" ref="F22">COUNTA(_xlfn.UNIQUE(_xlfn._xlws.FILTER(chamca[Run],(chamca[Visual ID]=A22))))</f>
        <v>1</v>
      </c>
      <c r="G22" s="2">
        <f>_xlfn.XLOOKUP(A22,RevCoreCount!A:A,RevCoreCount!B:B,)</f>
        <v>0</v>
      </c>
      <c r="H22" s="2">
        <f>_xlfn.XLOOKUP(A22,RevCoreCount!A:A,RevCoreCount!E:E,)</f>
        <v>0</v>
      </c>
      <c r="I22" s="2">
        <f>_xlfn.XLOOKUP(A22,RevCHACount!A:A,RevCHACount!B:B)</f>
        <v>0</v>
      </c>
      <c r="J22" s="2">
        <f>_xlfn.XLOOKUP(A22,RevCHACount!A:A,RevCHACount!E:E)</f>
        <v>0</v>
      </c>
      <c r="K22" s="2">
        <f>_xlfn.XLOOKUP(A22,RevLLCCount!A:A,RevLLCCount!B:B,)</f>
        <v>0</v>
      </c>
      <c r="L22" s="2">
        <f>_xlfn.XLOOKUP(A22,RevLLCCount!A:A,RevLLCCount!E:E)</f>
        <v>0</v>
      </c>
      <c r="M22" s="1">
        <f>_xlfn.XLOOKUP(A22,RevCHACount!A:A,RevCHACount!F:F)</f>
        <v>0</v>
      </c>
      <c r="N22" s="1" t="str">
        <f>_xlfn.XLOOKUP(A22,'Other Errors'!A:A,'Other Errors'!B:B,"")</f>
        <v/>
      </c>
      <c r="O22" s="2" t="e">
        <f t="shared" si="0"/>
        <v>#N/A</v>
      </c>
      <c r="P22" s="2" t="e">
        <f t="shared" si="1"/>
        <v>#N/A</v>
      </c>
      <c r="Q22" s="2" t="e">
        <f t="shared" si="2"/>
        <v>#N/A</v>
      </c>
      <c r="R22" s="2" t="e">
        <f t="shared" si="3"/>
        <v>#N/A</v>
      </c>
      <c r="S22" s="2" t="str">
        <f t="shared" si="4"/>
        <v/>
      </c>
      <c r="T22" s="2" t="str">
        <f t="shared" si="5"/>
        <v/>
      </c>
      <c r="U22" s="8" t="str" cm="1">
        <f t="array" ref="U22">_xlfn.TEXTJOIN(", ",,_xlfn.UNIQUE(_xlfn._xlws.FILTER(EM$3:FK$3,EM22:FK22&gt;0,"")))</f>
        <v/>
      </c>
      <c r="V22" s="9"/>
      <c r="W22" s="32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34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37"/>
      <c r="CQ22" s="7"/>
      <c r="CR22" s="7"/>
      <c r="CS22" s="7"/>
      <c r="CT22" s="7"/>
      <c r="CU22" s="7"/>
      <c r="CV22" s="7"/>
      <c r="CW22" s="7"/>
      <c r="CX22" s="7"/>
      <c r="CY22" s="24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30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L22" s="21"/>
      <c r="EM22" s="2"/>
      <c r="EN22" s="2"/>
      <c r="EO22" s="2"/>
      <c r="EP22" s="2"/>
      <c r="EQ22" s="2"/>
      <c r="ER22" s="2"/>
      <c r="ES22" s="2"/>
    </row>
    <row r="23" spans="1:149" x14ac:dyDescent="0.3">
      <c r="A23" s="2"/>
      <c r="B23" s="2"/>
      <c r="C23" s="2"/>
      <c r="D23" s="2"/>
      <c r="E23" s="2"/>
      <c r="F23" s="2" cm="1">
        <f t="array" ref="F23">COUNTA(_xlfn.UNIQUE(_xlfn._xlws.FILTER(chamca[Run],(chamca[Visual ID]=A23))))</f>
        <v>1</v>
      </c>
      <c r="G23" s="2">
        <f>_xlfn.XLOOKUP(A23,RevCoreCount!A:A,RevCoreCount!B:B,)</f>
        <v>0</v>
      </c>
      <c r="H23" s="2">
        <f>_xlfn.XLOOKUP(A23,RevCoreCount!A:A,RevCoreCount!E:E,)</f>
        <v>0</v>
      </c>
      <c r="I23" s="2">
        <f>_xlfn.XLOOKUP(A23,RevCHACount!A:A,RevCHACount!B:B)</f>
        <v>0</v>
      </c>
      <c r="J23" s="2">
        <f>_xlfn.XLOOKUP(A23,RevCHACount!A:A,RevCHACount!E:E)</f>
        <v>0</v>
      </c>
      <c r="K23" s="2">
        <f>_xlfn.XLOOKUP(A23,RevLLCCount!A:A,RevLLCCount!B:B,)</f>
        <v>0</v>
      </c>
      <c r="L23" s="2">
        <f>_xlfn.XLOOKUP(A23,RevLLCCount!A:A,RevLLCCount!E:E)</f>
        <v>0</v>
      </c>
      <c r="M23" s="1">
        <f>_xlfn.XLOOKUP(A23,RevCHACount!A:A,RevCHACount!F:F)</f>
        <v>0</v>
      </c>
      <c r="N23" s="1" t="str">
        <f>_xlfn.XLOOKUP(A23,'Other Errors'!A:A,'Other Errors'!B:B,"")</f>
        <v/>
      </c>
      <c r="O23" s="2" t="e">
        <f t="shared" si="0"/>
        <v>#N/A</v>
      </c>
      <c r="P23" s="2" t="e">
        <f t="shared" si="1"/>
        <v>#N/A</v>
      </c>
      <c r="Q23" s="2" t="e">
        <f t="shared" si="2"/>
        <v>#N/A</v>
      </c>
      <c r="R23" s="2" t="e">
        <f t="shared" si="3"/>
        <v>#N/A</v>
      </c>
      <c r="S23" s="2" t="str">
        <f t="shared" si="4"/>
        <v/>
      </c>
      <c r="T23" s="2" t="str">
        <f t="shared" si="5"/>
        <v/>
      </c>
      <c r="U23" s="8" t="str" cm="1">
        <f t="array" ref="U23">_xlfn.TEXTJOIN(", ",,_xlfn.UNIQUE(_xlfn._xlws.FILTER(EM$3:FK$3,EM23:FK23&gt;0,"")))</f>
        <v/>
      </c>
      <c r="V23" s="9"/>
      <c r="W23" s="32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34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37"/>
      <c r="CQ23" s="7"/>
      <c r="CR23" s="7"/>
      <c r="CS23" s="7"/>
      <c r="CT23" s="7"/>
      <c r="CU23" s="7"/>
      <c r="CV23" s="7"/>
      <c r="CW23" s="7"/>
      <c r="CX23" s="7"/>
      <c r="CY23" s="24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30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L23" s="21"/>
      <c r="EM23" s="2"/>
      <c r="EN23" s="2"/>
      <c r="EO23" s="2"/>
      <c r="EP23" s="2"/>
      <c r="EQ23" s="2"/>
      <c r="ER23" s="2"/>
      <c r="ES23" s="2"/>
    </row>
    <row r="24" spans="1:149" x14ac:dyDescent="0.3">
      <c r="A24" s="2"/>
      <c r="B24" s="2"/>
      <c r="C24" s="2"/>
      <c r="D24" s="2"/>
      <c r="E24" s="2"/>
      <c r="F24" s="2" cm="1">
        <f t="array" ref="F24">COUNTA(_xlfn.UNIQUE(_xlfn._xlws.FILTER(chamca[Run],(chamca[Visual ID]=A24))))</f>
        <v>1</v>
      </c>
      <c r="G24" s="2">
        <f>_xlfn.XLOOKUP(A24,RevCoreCount!A:A,RevCoreCount!B:B,)</f>
        <v>0</v>
      </c>
      <c r="H24" s="2">
        <f>_xlfn.XLOOKUP(A24,RevCoreCount!A:A,RevCoreCount!E:E,)</f>
        <v>0</v>
      </c>
      <c r="I24" s="2">
        <f>_xlfn.XLOOKUP(A24,RevCHACount!A:A,RevCHACount!B:B)</f>
        <v>0</v>
      </c>
      <c r="J24" s="2">
        <f>_xlfn.XLOOKUP(A24,RevCHACount!A:A,RevCHACount!E:E)</f>
        <v>0</v>
      </c>
      <c r="K24" s="2">
        <f>_xlfn.XLOOKUP(A24,RevLLCCount!A:A,RevLLCCount!B:B,)</f>
        <v>0</v>
      </c>
      <c r="L24" s="2">
        <f>_xlfn.XLOOKUP(A24,RevLLCCount!A:A,RevLLCCount!E:E)</f>
        <v>0</v>
      </c>
      <c r="M24" s="1">
        <f>_xlfn.XLOOKUP(A24,RevCHACount!A:A,RevCHACount!F:F)</f>
        <v>0</v>
      </c>
      <c r="N24" s="1" t="str">
        <f>_xlfn.XLOOKUP(A24,'Other Errors'!A:A,'Other Errors'!B:B,"")</f>
        <v/>
      </c>
      <c r="O24" s="2" t="e">
        <f t="shared" si="0"/>
        <v>#N/A</v>
      </c>
      <c r="P24" s="2" t="e">
        <f t="shared" si="1"/>
        <v>#N/A</v>
      </c>
      <c r="Q24" s="2" t="e">
        <f t="shared" si="2"/>
        <v>#N/A</v>
      </c>
      <c r="R24" s="2" t="e">
        <f t="shared" si="3"/>
        <v>#N/A</v>
      </c>
      <c r="S24" s="2" t="str">
        <f t="shared" si="4"/>
        <v/>
      </c>
      <c r="T24" s="2" t="str">
        <f t="shared" si="5"/>
        <v/>
      </c>
      <c r="U24" s="8" t="str" cm="1">
        <f t="array" ref="U24">_xlfn.TEXTJOIN(", ",,_xlfn.UNIQUE(_xlfn._xlws.FILTER(EM$3:FK$3,EM24:FK24&gt;0,"")))</f>
        <v/>
      </c>
      <c r="V24" s="9"/>
      <c r="W24" s="32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34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37"/>
      <c r="CQ24" s="7"/>
      <c r="CR24" s="7"/>
      <c r="CS24" s="7"/>
      <c r="CT24" s="7"/>
      <c r="CU24" s="7"/>
      <c r="CV24" s="7"/>
      <c r="CW24" s="7"/>
      <c r="CX24" s="7"/>
      <c r="CY24" s="24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30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L24" s="21"/>
      <c r="EM24" s="2"/>
      <c r="EN24" s="2"/>
      <c r="EO24" s="2"/>
      <c r="EP24" s="2"/>
      <c r="EQ24" s="2"/>
      <c r="ER24" s="2"/>
      <c r="ES24" s="2"/>
    </row>
    <row r="25" spans="1:149" x14ac:dyDescent="0.3">
      <c r="A25" s="2"/>
      <c r="B25" s="2"/>
      <c r="C25" s="2"/>
      <c r="D25" s="2"/>
      <c r="E25" s="2"/>
      <c r="F25" s="2" cm="1">
        <f t="array" ref="F25">COUNTA(_xlfn.UNIQUE(_xlfn._xlws.FILTER(chamca[Run],(chamca[Visual ID]=A25))))</f>
        <v>1</v>
      </c>
      <c r="G25" s="2">
        <f>_xlfn.XLOOKUP(A25,RevCoreCount!A:A,RevCoreCount!B:B,)</f>
        <v>0</v>
      </c>
      <c r="H25" s="2">
        <f>_xlfn.XLOOKUP(A25,RevCoreCount!A:A,RevCoreCount!E:E,)</f>
        <v>0</v>
      </c>
      <c r="I25" s="2">
        <f>_xlfn.XLOOKUP(A25,RevCHACount!A:A,RevCHACount!B:B)</f>
        <v>0</v>
      </c>
      <c r="J25" s="2">
        <f>_xlfn.XLOOKUP(A25,RevCHACount!A:A,RevCHACount!E:E)</f>
        <v>0</v>
      </c>
      <c r="K25" s="2">
        <f>_xlfn.XLOOKUP(A25,RevLLCCount!A:A,RevLLCCount!B:B,)</f>
        <v>0</v>
      </c>
      <c r="L25" s="2">
        <f>_xlfn.XLOOKUP(A25,RevLLCCount!A:A,RevLLCCount!E:E)</f>
        <v>0</v>
      </c>
      <c r="M25" s="1">
        <f>_xlfn.XLOOKUP(A25,RevCHACount!A:A,RevCHACount!F:F)</f>
        <v>0</v>
      </c>
      <c r="N25" s="1" t="str">
        <f>_xlfn.XLOOKUP(A25,'Other Errors'!A:A,'Other Errors'!B:B,"")</f>
        <v/>
      </c>
      <c r="O25" s="2" t="e">
        <f t="shared" si="0"/>
        <v>#N/A</v>
      </c>
      <c r="P25" s="2" t="e">
        <f t="shared" si="1"/>
        <v>#N/A</v>
      </c>
      <c r="Q25" s="2" t="e">
        <f t="shared" si="2"/>
        <v>#N/A</v>
      </c>
      <c r="R25" s="2" t="e">
        <f t="shared" si="3"/>
        <v>#N/A</v>
      </c>
      <c r="S25" s="2" t="str">
        <f t="shared" si="4"/>
        <v/>
      </c>
      <c r="T25" s="2" t="str">
        <f t="shared" si="5"/>
        <v/>
      </c>
      <c r="U25" s="8" t="str" cm="1">
        <f t="array" ref="U25">_xlfn.TEXTJOIN(", ",,_xlfn.UNIQUE(_xlfn._xlws.FILTER(EM$3:FK$3,EM25:FK25&gt;0,"")))</f>
        <v/>
      </c>
      <c r="V25" s="9"/>
      <c r="W25" s="32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34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37"/>
      <c r="CQ25" s="7"/>
      <c r="CR25" s="7"/>
      <c r="CS25" s="7"/>
      <c r="CT25" s="7"/>
      <c r="CU25" s="7"/>
      <c r="CV25" s="7"/>
      <c r="CW25" s="7"/>
      <c r="CX25" s="7"/>
      <c r="CY25" s="24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30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L25" s="21"/>
      <c r="EM25" s="2"/>
      <c r="EN25" s="2"/>
      <c r="EO25" s="2"/>
      <c r="EP25" s="2"/>
      <c r="EQ25" s="2"/>
      <c r="ER25" s="2"/>
      <c r="ES25" s="2"/>
    </row>
    <row r="26" spans="1:149" x14ac:dyDescent="0.3">
      <c r="A26" s="2"/>
      <c r="B26" s="2"/>
      <c r="C26" s="2"/>
      <c r="D26" s="2"/>
      <c r="E26" s="2"/>
      <c r="F26" s="2" cm="1">
        <f t="array" ref="F26">COUNTA(_xlfn.UNIQUE(_xlfn._xlws.FILTER(chamca[Run],(chamca[Visual ID]=A26))))</f>
        <v>1</v>
      </c>
      <c r="G26" s="2">
        <f>_xlfn.XLOOKUP(A26,RevCoreCount!A:A,RevCoreCount!B:B,)</f>
        <v>0</v>
      </c>
      <c r="H26" s="2">
        <f>_xlfn.XLOOKUP(A26,RevCoreCount!A:A,RevCoreCount!E:E,)</f>
        <v>0</v>
      </c>
      <c r="I26" s="2">
        <f>_xlfn.XLOOKUP(A26,RevCHACount!A:A,RevCHACount!B:B)</f>
        <v>0</v>
      </c>
      <c r="J26" s="2">
        <f>_xlfn.XLOOKUP(A26,RevCHACount!A:A,RevCHACount!E:E)</f>
        <v>0</v>
      </c>
      <c r="K26" s="2">
        <f>_xlfn.XLOOKUP(A26,RevLLCCount!A:A,RevLLCCount!B:B,)</f>
        <v>0</v>
      </c>
      <c r="L26" s="2">
        <f>_xlfn.XLOOKUP(A26,RevLLCCount!A:A,RevLLCCount!E:E)</f>
        <v>0</v>
      </c>
      <c r="M26" s="1">
        <f>_xlfn.XLOOKUP(A26,RevCHACount!A:A,RevCHACount!F:F)</f>
        <v>0</v>
      </c>
      <c r="N26" s="1" t="str">
        <f>_xlfn.XLOOKUP(A26,'Other Errors'!A:A,'Other Errors'!B:B,"")</f>
        <v/>
      </c>
      <c r="O26" s="2" t="e">
        <f t="shared" si="0"/>
        <v>#N/A</v>
      </c>
      <c r="P26" s="2" t="e">
        <f t="shared" si="1"/>
        <v>#N/A</v>
      </c>
      <c r="Q26" s="2" t="e">
        <f t="shared" si="2"/>
        <v>#N/A</v>
      </c>
      <c r="R26" s="2" t="e">
        <f t="shared" si="3"/>
        <v>#N/A</v>
      </c>
      <c r="S26" s="2" t="str">
        <f t="shared" si="4"/>
        <v/>
      </c>
      <c r="T26" s="2" t="str">
        <f t="shared" si="5"/>
        <v/>
      </c>
      <c r="U26" s="8" t="str" cm="1">
        <f t="array" ref="U26">_xlfn.TEXTJOIN(", ",,_xlfn.UNIQUE(_xlfn._xlws.FILTER(EM$3:FK$3,EM26:FK26&gt;0,"")))</f>
        <v/>
      </c>
      <c r="V26" s="9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7"/>
      <c r="CQ26" s="7"/>
      <c r="CR26" s="7"/>
      <c r="CS26" s="7"/>
      <c r="CT26" s="7"/>
      <c r="CU26" s="7"/>
      <c r="CV26" s="7"/>
      <c r="CW26" s="7"/>
      <c r="CX26" s="7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L26" s="12"/>
      <c r="EM26" s="2"/>
      <c r="EN26" s="2"/>
      <c r="EO26" s="2"/>
      <c r="EP26" s="2"/>
      <c r="EQ26" s="2"/>
      <c r="ER26" s="2"/>
      <c r="ES26" s="2"/>
    </row>
    <row r="27" spans="1:149" x14ac:dyDescent="0.3">
      <c r="A27" s="2"/>
      <c r="B27" s="2"/>
      <c r="C27" s="2"/>
      <c r="D27" s="2"/>
      <c r="E27" s="2"/>
      <c r="F27" s="2" cm="1">
        <f t="array" ref="F27">COUNTA(_xlfn.UNIQUE(_xlfn._xlws.FILTER(chamca[Run],(chamca[Visual ID]=A27))))</f>
        <v>1</v>
      </c>
      <c r="G27" s="2">
        <f>_xlfn.XLOOKUP(A27,RevCoreCount!A:A,RevCoreCount!B:B,)</f>
        <v>0</v>
      </c>
      <c r="H27" s="2">
        <f>_xlfn.XLOOKUP(A27,RevCoreCount!A:A,RevCoreCount!E:E,)</f>
        <v>0</v>
      </c>
      <c r="I27" s="2">
        <f>_xlfn.XLOOKUP(A27,RevCHACount!A:A,RevCHACount!B:B)</f>
        <v>0</v>
      </c>
      <c r="J27" s="2">
        <f>_xlfn.XLOOKUP(A27,RevCHACount!A:A,RevCHACount!E:E)</f>
        <v>0</v>
      </c>
      <c r="K27" s="2">
        <f>_xlfn.XLOOKUP(A27,RevLLCCount!A:A,RevLLCCount!B:B,)</f>
        <v>0</v>
      </c>
      <c r="L27" s="2">
        <f>_xlfn.XLOOKUP(A27,RevLLCCount!A:A,RevLLCCount!E:E)</f>
        <v>0</v>
      </c>
      <c r="M27" s="1">
        <f>_xlfn.XLOOKUP(A27,RevCHACount!A:A,RevCHACount!F:F)</f>
        <v>0</v>
      </c>
      <c r="N27" s="1" t="str">
        <f>_xlfn.XLOOKUP(A27,'Other Errors'!A:A,'Other Errors'!B:B,"")</f>
        <v/>
      </c>
      <c r="O27" s="2" t="e">
        <f t="shared" si="0"/>
        <v>#N/A</v>
      </c>
      <c r="P27" s="2" t="e">
        <f t="shared" si="1"/>
        <v>#N/A</v>
      </c>
      <c r="Q27" s="2" t="e">
        <f t="shared" si="2"/>
        <v>#N/A</v>
      </c>
      <c r="R27" s="2" t="e">
        <f t="shared" si="3"/>
        <v>#N/A</v>
      </c>
      <c r="S27" s="2" t="str">
        <f t="shared" si="4"/>
        <v/>
      </c>
      <c r="T27" s="2" t="str">
        <f t="shared" si="5"/>
        <v/>
      </c>
      <c r="U27" s="8" t="str" cm="1">
        <f t="array" ref="U27">_xlfn.TEXTJOIN(", ",,_xlfn.UNIQUE(_xlfn._xlws.FILTER(EM$3:FK$3,EM27:FK27&gt;0,"")))</f>
        <v/>
      </c>
      <c r="V27" s="9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7"/>
      <c r="CQ27" s="7"/>
      <c r="CR27" s="7"/>
      <c r="CS27" s="7"/>
      <c r="CT27" s="7"/>
      <c r="CU27" s="7"/>
      <c r="CV27" s="7"/>
      <c r="CW27" s="7"/>
      <c r="CX27" s="7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L27" s="12"/>
      <c r="EM27" s="2"/>
      <c r="EN27" s="2"/>
      <c r="EO27" s="2"/>
      <c r="EP27" s="2"/>
      <c r="EQ27" s="2"/>
      <c r="ER27" s="2"/>
      <c r="ES27" s="2"/>
    </row>
    <row r="28" spans="1:149" x14ac:dyDescent="0.3">
      <c r="A28" s="2"/>
      <c r="B28" s="2"/>
      <c r="C28" s="2"/>
      <c r="D28" s="2"/>
      <c r="E28" s="2"/>
      <c r="F28" s="2" cm="1">
        <f t="array" ref="F28">COUNTA(_xlfn.UNIQUE(_xlfn._xlws.FILTER(chamca[Run],(chamca[Visual ID]=A28))))</f>
        <v>1</v>
      </c>
      <c r="G28" s="2">
        <f>_xlfn.XLOOKUP(A28,RevCoreCount!A:A,RevCoreCount!B:B,)</f>
        <v>0</v>
      </c>
      <c r="H28" s="2">
        <f>_xlfn.XLOOKUP(A28,RevCoreCount!A:A,RevCoreCount!E:E,)</f>
        <v>0</v>
      </c>
      <c r="I28" s="2">
        <f>_xlfn.XLOOKUP(A28,RevCHACount!A:A,RevCHACount!B:B)</f>
        <v>0</v>
      </c>
      <c r="J28" s="2">
        <f>_xlfn.XLOOKUP(A28,RevCHACount!A:A,RevCHACount!E:E)</f>
        <v>0</v>
      </c>
      <c r="K28" s="2">
        <f>_xlfn.XLOOKUP(A28,RevLLCCount!A:A,RevLLCCount!B:B,)</f>
        <v>0</v>
      </c>
      <c r="L28" s="2">
        <f>_xlfn.XLOOKUP(A28,RevLLCCount!A:A,RevLLCCount!E:E)</f>
        <v>0</v>
      </c>
      <c r="M28" s="1">
        <f>_xlfn.XLOOKUP(A28,RevCHACount!A:A,RevCHACount!F:F)</f>
        <v>0</v>
      </c>
      <c r="N28" s="1" t="str">
        <f>_xlfn.XLOOKUP(A28,'Other Errors'!A:A,'Other Errors'!B:B,"")</f>
        <v/>
      </c>
      <c r="O28" s="2" t="e">
        <f t="shared" si="0"/>
        <v>#N/A</v>
      </c>
      <c r="P28" s="2" t="e">
        <f t="shared" si="1"/>
        <v>#N/A</v>
      </c>
      <c r="Q28" s="2" t="e">
        <f t="shared" si="2"/>
        <v>#N/A</v>
      </c>
      <c r="R28" s="2" t="e">
        <f t="shared" si="3"/>
        <v>#N/A</v>
      </c>
      <c r="S28" s="2" t="str">
        <f t="shared" si="4"/>
        <v/>
      </c>
      <c r="T28" s="2" t="str">
        <f t="shared" si="5"/>
        <v/>
      </c>
      <c r="U28" s="8" t="str" cm="1">
        <f t="array" ref="U28">_xlfn.TEXTJOIN(", ",,_xlfn.UNIQUE(_xlfn._xlws.FILTER(EM$3:FK$3,EM28:FK28&gt;0,"")))</f>
        <v/>
      </c>
      <c r="V28" s="9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7"/>
      <c r="CQ28" s="7"/>
      <c r="CR28" s="7"/>
      <c r="CS28" s="7"/>
      <c r="CT28" s="7"/>
      <c r="CU28" s="7"/>
      <c r="CV28" s="7"/>
      <c r="CW28" s="7"/>
      <c r="CX28" s="7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L28" s="12"/>
      <c r="EM28" s="2"/>
      <c r="EN28" s="2"/>
      <c r="EO28" s="2"/>
      <c r="EP28" s="2"/>
      <c r="EQ28" s="2"/>
      <c r="ER28" s="2"/>
      <c r="ES28" s="2"/>
    </row>
    <row r="29" spans="1:149" x14ac:dyDescent="0.3">
      <c r="A29" s="2"/>
      <c r="B29" s="2"/>
      <c r="C29" s="2"/>
      <c r="D29" s="2"/>
      <c r="E29" s="2"/>
      <c r="F29" s="2" cm="1">
        <f t="array" ref="F29">COUNTA(_xlfn.UNIQUE(_xlfn._xlws.FILTER(chamca[Run],(chamca[Visual ID]=A29))))</f>
        <v>1</v>
      </c>
      <c r="G29" s="2">
        <f>_xlfn.XLOOKUP(A29,RevCoreCount!A:A,RevCoreCount!B:B,)</f>
        <v>0</v>
      </c>
      <c r="H29" s="2">
        <f>_xlfn.XLOOKUP(A29,RevCoreCount!A:A,RevCoreCount!E:E,)</f>
        <v>0</v>
      </c>
      <c r="I29" s="2">
        <f>_xlfn.XLOOKUP(A29,RevCHACount!A:A,RevCHACount!B:B)</f>
        <v>0</v>
      </c>
      <c r="J29" s="2">
        <f>_xlfn.XLOOKUP(A29,RevCHACount!A:A,RevCHACount!E:E)</f>
        <v>0</v>
      </c>
      <c r="K29" s="2">
        <f>_xlfn.XLOOKUP(A29,RevLLCCount!A:A,RevLLCCount!B:B,)</f>
        <v>0</v>
      </c>
      <c r="L29" s="2">
        <f>_xlfn.XLOOKUP(A29,RevLLCCount!A:A,RevLLCCount!E:E)</f>
        <v>0</v>
      </c>
      <c r="M29" s="1">
        <f>_xlfn.XLOOKUP(A29,RevCHACount!A:A,RevCHACount!F:F)</f>
        <v>0</v>
      </c>
      <c r="N29" s="1" t="str">
        <f>_xlfn.XLOOKUP(A29,'Other Errors'!A:A,'Other Errors'!B:B,"")</f>
        <v/>
      </c>
      <c r="O29" s="2" t="e">
        <f t="shared" si="0"/>
        <v>#N/A</v>
      </c>
      <c r="P29" s="2" t="e">
        <f t="shared" si="1"/>
        <v>#N/A</v>
      </c>
      <c r="Q29" s="2" t="e">
        <f t="shared" si="2"/>
        <v>#N/A</v>
      </c>
      <c r="R29" s="2" t="e">
        <f t="shared" si="3"/>
        <v>#N/A</v>
      </c>
      <c r="S29" s="2" t="str">
        <f t="shared" si="4"/>
        <v/>
      </c>
      <c r="T29" s="2" t="str">
        <f t="shared" si="5"/>
        <v/>
      </c>
      <c r="U29" s="8" t="str" cm="1">
        <f t="array" ref="U29">_xlfn.TEXTJOIN(", ",,_xlfn.UNIQUE(_xlfn._xlws.FILTER(EM$3:FK$3,EM29:FK29&gt;0,"")))</f>
        <v/>
      </c>
      <c r="V29" s="9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7"/>
      <c r="CQ29" s="7"/>
      <c r="CR29" s="7"/>
      <c r="CS29" s="7"/>
      <c r="CT29" s="7"/>
      <c r="CU29" s="7"/>
      <c r="CV29" s="7"/>
      <c r="CW29" s="7"/>
      <c r="CX29" s="7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L29" s="12"/>
      <c r="EM29" s="2"/>
      <c r="EN29" s="2"/>
      <c r="EO29" s="2"/>
      <c r="EP29" s="2"/>
      <c r="EQ29" s="2"/>
      <c r="ER29" s="2"/>
      <c r="ES29" s="2"/>
    </row>
    <row r="30" spans="1:149" x14ac:dyDescent="0.3">
      <c r="A30" s="2"/>
      <c r="B30" s="2"/>
      <c r="C30" s="2"/>
      <c r="D30" s="2"/>
      <c r="E30" s="2"/>
      <c r="F30" s="2" cm="1">
        <f t="array" ref="F30">COUNTA(_xlfn.UNIQUE(_xlfn._xlws.FILTER(chamca[Run],(chamca[Visual ID]=A30))))</f>
        <v>1</v>
      </c>
      <c r="G30" s="2">
        <f>_xlfn.XLOOKUP(A30,RevCoreCount!A:A,RevCoreCount!B:B,)</f>
        <v>0</v>
      </c>
      <c r="H30" s="2">
        <f>_xlfn.XLOOKUP(A30,RevCoreCount!A:A,RevCoreCount!E:E,)</f>
        <v>0</v>
      </c>
      <c r="I30" s="2">
        <f>_xlfn.XLOOKUP(A30,RevCHACount!A:A,RevCHACount!B:B)</f>
        <v>0</v>
      </c>
      <c r="J30" s="2">
        <f>_xlfn.XLOOKUP(A30,RevCHACount!A:A,RevCHACount!E:E)</f>
        <v>0</v>
      </c>
      <c r="K30" s="2">
        <f>_xlfn.XLOOKUP(A30,RevLLCCount!A:A,RevLLCCount!B:B,)</f>
        <v>0</v>
      </c>
      <c r="L30" s="2">
        <f>_xlfn.XLOOKUP(A30,RevLLCCount!A:A,RevLLCCount!E:E)</f>
        <v>0</v>
      </c>
      <c r="M30" s="1">
        <f>_xlfn.XLOOKUP(A30,RevCHACount!A:A,RevCHACount!F:F)</f>
        <v>0</v>
      </c>
      <c r="N30" s="1" t="str">
        <f>_xlfn.XLOOKUP(A30,'Other Errors'!A:A,'Other Errors'!B:B,"")</f>
        <v/>
      </c>
      <c r="O30" s="2" t="e">
        <f t="shared" si="0"/>
        <v>#N/A</v>
      </c>
      <c r="P30" s="2" t="e">
        <f t="shared" si="1"/>
        <v>#N/A</v>
      </c>
      <c r="Q30" s="2" t="e">
        <f t="shared" si="2"/>
        <v>#N/A</v>
      </c>
      <c r="R30" s="2" t="e">
        <f t="shared" si="3"/>
        <v>#N/A</v>
      </c>
      <c r="S30" s="2" t="str">
        <f t="shared" si="4"/>
        <v/>
      </c>
      <c r="T30" s="2" t="str">
        <f t="shared" si="5"/>
        <v/>
      </c>
      <c r="U30" s="8" t="str" cm="1">
        <f t="array" ref="U30">_xlfn.TEXTJOIN(", ",,_xlfn.UNIQUE(_xlfn._xlws.FILTER(EM$3:FK$3,EM30:FK30&gt;0,"")))</f>
        <v/>
      </c>
      <c r="V30" s="9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7"/>
      <c r="CQ30" s="7"/>
      <c r="CR30" s="7"/>
      <c r="CS30" s="7"/>
      <c r="CT30" s="7"/>
      <c r="CU30" s="7"/>
      <c r="CV30" s="7"/>
      <c r="CW30" s="7"/>
      <c r="CX30" s="7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L30" s="12"/>
      <c r="EM30" s="2"/>
      <c r="EN30" s="2"/>
      <c r="EO30" s="2"/>
      <c r="EP30" s="2"/>
      <c r="EQ30" s="2"/>
      <c r="ER30" s="2"/>
      <c r="ES30" s="2"/>
    </row>
    <row r="31" spans="1:149" x14ac:dyDescent="0.3">
      <c r="A31" s="2"/>
      <c r="B31" s="2"/>
      <c r="C31" s="2"/>
      <c r="D31" s="2"/>
      <c r="E31" s="2"/>
      <c r="F31" s="2" cm="1">
        <f t="array" ref="F31">COUNTA(_xlfn.UNIQUE(_xlfn._xlws.FILTER(chamca[Run],(chamca[Visual ID]=A31))))</f>
        <v>1</v>
      </c>
      <c r="G31" s="2">
        <f>_xlfn.XLOOKUP(A31,RevCoreCount!A:A,RevCoreCount!B:B,)</f>
        <v>0</v>
      </c>
      <c r="H31" s="2">
        <f>_xlfn.XLOOKUP(A31,RevCoreCount!A:A,RevCoreCount!E:E,)</f>
        <v>0</v>
      </c>
      <c r="I31" s="2">
        <f>_xlfn.XLOOKUP(A31,RevCHACount!A:A,RevCHACount!B:B)</f>
        <v>0</v>
      </c>
      <c r="J31" s="2">
        <f>_xlfn.XLOOKUP(A31,RevCHACount!A:A,RevCHACount!E:E)</f>
        <v>0</v>
      </c>
      <c r="K31" s="2">
        <f>_xlfn.XLOOKUP(A31,RevLLCCount!A:A,RevLLCCount!B:B,)</f>
        <v>0</v>
      </c>
      <c r="L31" s="2">
        <f>_xlfn.XLOOKUP(A31,RevLLCCount!A:A,RevLLCCount!E:E)</f>
        <v>0</v>
      </c>
      <c r="M31" s="1">
        <f>_xlfn.XLOOKUP(A31,RevCHACount!A:A,RevCHACount!F:F)</f>
        <v>0</v>
      </c>
      <c r="N31" s="1" t="str">
        <f>_xlfn.XLOOKUP(A31,'Other Errors'!A:A,'Other Errors'!B:B,"")</f>
        <v/>
      </c>
      <c r="O31" s="2" t="e">
        <f t="shared" si="0"/>
        <v>#N/A</v>
      </c>
      <c r="P31" s="2" t="e">
        <f t="shared" si="1"/>
        <v>#N/A</v>
      </c>
      <c r="Q31" s="2" t="e">
        <f t="shared" si="2"/>
        <v>#N/A</v>
      </c>
      <c r="R31" s="2" t="e">
        <f t="shared" si="3"/>
        <v>#N/A</v>
      </c>
      <c r="S31" s="2" t="str">
        <f t="shared" si="4"/>
        <v/>
      </c>
      <c r="T31" s="2" t="str">
        <f t="shared" si="5"/>
        <v/>
      </c>
      <c r="U31" s="8" t="str" cm="1">
        <f t="array" ref="U31">_xlfn.TEXTJOIN(", ",,_xlfn.UNIQUE(_xlfn._xlws.FILTER(EM$3:FK$3,EM31:FK31&gt;0,"")))</f>
        <v/>
      </c>
      <c r="V31" s="9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7"/>
      <c r="CQ31" s="7"/>
      <c r="CR31" s="7"/>
      <c r="CS31" s="7"/>
      <c r="CT31" s="7"/>
      <c r="CU31" s="7"/>
      <c r="CV31" s="7"/>
      <c r="CW31" s="7"/>
      <c r="CX31" s="7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L31" s="12"/>
      <c r="EM31" s="2"/>
      <c r="EN31" s="2"/>
      <c r="EO31" s="2"/>
      <c r="EP31" s="2"/>
      <c r="EQ31" s="2"/>
      <c r="ER31" s="2"/>
      <c r="ES31" s="2"/>
    </row>
    <row r="32" spans="1:149" x14ac:dyDescent="0.3">
      <c r="A32" s="2"/>
      <c r="B32" s="2"/>
      <c r="C32" s="2"/>
      <c r="D32" s="2"/>
      <c r="E32" s="2"/>
      <c r="F32" s="2" cm="1">
        <f t="array" ref="F32">COUNTA(_xlfn.UNIQUE(_xlfn._xlws.FILTER(chamca[Run],(chamca[Visual ID]=A32))))</f>
        <v>1</v>
      </c>
      <c r="G32" s="2">
        <f>_xlfn.XLOOKUP(A32,RevCoreCount!A:A,RevCoreCount!B:B,)</f>
        <v>0</v>
      </c>
      <c r="H32" s="2">
        <f>_xlfn.XLOOKUP(A32,RevCoreCount!A:A,RevCoreCount!E:E,)</f>
        <v>0</v>
      </c>
      <c r="I32" s="2">
        <f>_xlfn.XLOOKUP(A32,RevCHACount!A:A,RevCHACount!B:B)</f>
        <v>0</v>
      </c>
      <c r="J32" s="2">
        <f>_xlfn.XLOOKUP(A32,RevCHACount!A:A,RevCHACount!E:E)</f>
        <v>0</v>
      </c>
      <c r="K32" s="2">
        <f>_xlfn.XLOOKUP(A32,RevLLCCount!A:A,RevLLCCount!B:B,)</f>
        <v>0</v>
      </c>
      <c r="L32" s="2">
        <f>_xlfn.XLOOKUP(A32,RevLLCCount!A:A,RevLLCCount!E:E)</f>
        <v>0</v>
      </c>
      <c r="M32" s="1">
        <f>_xlfn.XLOOKUP(A32,RevCHACount!A:A,RevCHACount!F:F)</f>
        <v>0</v>
      </c>
      <c r="N32" s="1" t="str">
        <f>_xlfn.XLOOKUP(A32,'Other Errors'!A:A,'Other Errors'!B:B,"")</f>
        <v/>
      </c>
      <c r="O32" s="2" t="e">
        <f t="shared" si="0"/>
        <v>#N/A</v>
      </c>
      <c r="P32" s="2" t="e">
        <f t="shared" si="1"/>
        <v>#N/A</v>
      </c>
      <c r="Q32" s="2" t="e">
        <f t="shared" si="2"/>
        <v>#N/A</v>
      </c>
      <c r="R32" s="2" t="e">
        <f t="shared" si="3"/>
        <v>#N/A</v>
      </c>
      <c r="S32" s="2" t="str">
        <f t="shared" si="4"/>
        <v/>
      </c>
      <c r="T32" s="2" t="str">
        <f t="shared" si="5"/>
        <v/>
      </c>
      <c r="U32" s="8" t="str" cm="1">
        <f t="array" ref="U32">_xlfn.TEXTJOIN(", ",,_xlfn.UNIQUE(_xlfn._xlws.FILTER(EM$3:FK$3,EM32:FK32&gt;0,"")))</f>
        <v/>
      </c>
      <c r="V32" s="9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7"/>
      <c r="CQ32" s="7"/>
      <c r="CR32" s="7"/>
      <c r="CS32" s="7"/>
      <c r="CT32" s="7"/>
      <c r="CU32" s="7"/>
      <c r="CV32" s="7"/>
      <c r="CW32" s="7"/>
      <c r="CX32" s="7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L32" s="12"/>
      <c r="EM32" s="2"/>
      <c r="EN32" s="2"/>
      <c r="EO32" s="2"/>
      <c r="EP32" s="2"/>
      <c r="EQ32" s="2"/>
      <c r="ER32" s="2"/>
      <c r="ES32" s="2"/>
    </row>
    <row r="33" spans="1:149" x14ac:dyDescent="0.3">
      <c r="A33" s="2"/>
      <c r="B33" s="2"/>
      <c r="C33" s="2"/>
      <c r="D33" s="2"/>
      <c r="E33" s="2"/>
      <c r="F33" s="2" cm="1">
        <f t="array" ref="F33">COUNTA(_xlfn.UNIQUE(_xlfn._xlws.FILTER(chamca[Run],(chamca[Visual ID]=A33))))</f>
        <v>1</v>
      </c>
      <c r="G33" s="2">
        <f>_xlfn.XLOOKUP(A33,RevCoreCount!A:A,RevCoreCount!B:B,)</f>
        <v>0</v>
      </c>
      <c r="H33" s="2">
        <f>_xlfn.XLOOKUP(A33,RevCoreCount!A:A,RevCoreCount!E:E,)</f>
        <v>0</v>
      </c>
      <c r="I33" s="2">
        <f>_xlfn.XLOOKUP(A33,RevCHACount!A:A,RevCHACount!B:B)</f>
        <v>0</v>
      </c>
      <c r="J33" s="2">
        <f>_xlfn.XLOOKUP(A33,RevCHACount!A:A,RevCHACount!E:E)</f>
        <v>0</v>
      </c>
      <c r="K33" s="2">
        <f>_xlfn.XLOOKUP(A33,RevLLCCount!A:A,RevLLCCount!B:B,)</f>
        <v>0</v>
      </c>
      <c r="L33" s="2">
        <f>_xlfn.XLOOKUP(A33,RevLLCCount!A:A,RevLLCCount!E:E)</f>
        <v>0</v>
      </c>
      <c r="M33" s="1">
        <f>_xlfn.XLOOKUP(A33,RevCHACount!A:A,RevCHACount!F:F)</f>
        <v>0</v>
      </c>
      <c r="N33" s="1" t="str">
        <f>_xlfn.XLOOKUP(A33,'Other Errors'!A:A,'Other Errors'!B:B,"")</f>
        <v/>
      </c>
      <c r="O33" s="2" t="e">
        <f t="shared" si="0"/>
        <v>#N/A</v>
      </c>
      <c r="P33" s="2" t="e">
        <f t="shared" si="1"/>
        <v>#N/A</v>
      </c>
      <c r="Q33" s="2" t="e">
        <f t="shared" si="2"/>
        <v>#N/A</v>
      </c>
      <c r="R33" s="2" t="e">
        <f t="shared" si="3"/>
        <v>#N/A</v>
      </c>
      <c r="S33" s="2" t="str">
        <f t="shared" si="4"/>
        <v/>
      </c>
      <c r="T33" s="2" t="str">
        <f t="shared" si="5"/>
        <v/>
      </c>
      <c r="U33" s="8" t="str" cm="1">
        <f t="array" ref="U33">_xlfn.TEXTJOIN(", ",,_xlfn.UNIQUE(_xlfn._xlws.FILTER(EM$3:FK$3,EM33:FK33&gt;0,"")))</f>
        <v/>
      </c>
      <c r="V33" s="9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7"/>
      <c r="CQ33" s="7"/>
      <c r="CR33" s="7"/>
      <c r="CS33" s="7"/>
      <c r="CT33" s="7"/>
      <c r="CU33" s="7"/>
      <c r="CV33" s="7"/>
      <c r="CW33" s="7"/>
      <c r="CX33" s="7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L33" s="12"/>
      <c r="EM33" s="2"/>
      <c r="EN33" s="2"/>
      <c r="EO33" s="2"/>
      <c r="EP33" s="2"/>
      <c r="EQ33" s="2"/>
      <c r="ER33" s="2"/>
      <c r="ES33" s="2"/>
    </row>
    <row r="34" spans="1:149" x14ac:dyDescent="0.3">
      <c r="A34" s="2"/>
      <c r="B34" s="2"/>
      <c r="C34" s="2"/>
      <c r="D34" s="2"/>
      <c r="E34" s="2"/>
      <c r="F34" s="2" cm="1">
        <f t="array" ref="F34">COUNTA(_xlfn.UNIQUE(_xlfn._xlws.FILTER(chamca[Run],(chamca[Visual ID]=A34))))</f>
        <v>1</v>
      </c>
      <c r="G34" s="2">
        <f>_xlfn.XLOOKUP(A34,RevCoreCount!A:A,RevCoreCount!B:B,)</f>
        <v>0</v>
      </c>
      <c r="H34" s="2">
        <f>_xlfn.XLOOKUP(A34,RevCoreCount!A:A,RevCoreCount!E:E,)</f>
        <v>0</v>
      </c>
      <c r="I34" s="2">
        <f>_xlfn.XLOOKUP(A34,RevCHACount!A:A,RevCHACount!B:B)</f>
        <v>0</v>
      </c>
      <c r="J34" s="2">
        <f>_xlfn.XLOOKUP(A34,RevCHACount!A:A,RevCHACount!E:E)</f>
        <v>0</v>
      </c>
      <c r="K34" s="2">
        <f>_xlfn.XLOOKUP(A34,RevLLCCount!A:A,RevLLCCount!B:B,)</f>
        <v>0</v>
      </c>
      <c r="L34" s="2">
        <f>_xlfn.XLOOKUP(A34,RevLLCCount!A:A,RevLLCCount!E:E)</f>
        <v>0</v>
      </c>
      <c r="M34" s="1">
        <f>_xlfn.XLOOKUP(A34,RevCHACount!A:A,RevCHACount!F:F)</f>
        <v>0</v>
      </c>
      <c r="N34" s="1" t="str">
        <f>_xlfn.XLOOKUP(A34,'Other Errors'!A:A,'Other Errors'!B:B,"")</f>
        <v/>
      </c>
      <c r="O34" s="2" t="e">
        <f t="shared" si="0"/>
        <v>#N/A</v>
      </c>
      <c r="P34" s="2" t="e">
        <f t="shared" si="1"/>
        <v>#N/A</v>
      </c>
      <c r="Q34" s="2" t="e">
        <f t="shared" si="2"/>
        <v>#N/A</v>
      </c>
      <c r="R34" s="2" t="e">
        <f t="shared" si="3"/>
        <v>#N/A</v>
      </c>
      <c r="S34" s="2" t="str">
        <f t="shared" si="4"/>
        <v/>
      </c>
      <c r="T34" s="2" t="str">
        <f t="shared" si="5"/>
        <v/>
      </c>
      <c r="U34" s="8" t="str" cm="1">
        <f t="array" ref="U34">_xlfn.TEXTJOIN(", ",,_xlfn.UNIQUE(_xlfn._xlws.FILTER(EM$3:FK$3,EM34:FK34&gt;0,"")))</f>
        <v/>
      </c>
      <c r="V34" s="9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7"/>
      <c r="CQ34" s="7"/>
      <c r="CR34" s="7"/>
      <c r="CS34" s="7"/>
      <c r="CT34" s="7"/>
      <c r="CU34" s="7"/>
      <c r="CV34" s="7"/>
      <c r="CW34" s="7"/>
      <c r="CX34" s="7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L34" s="12"/>
      <c r="EM34" s="2"/>
      <c r="EN34" s="2"/>
      <c r="EO34" s="2"/>
      <c r="EP34" s="2"/>
      <c r="EQ34" s="2"/>
      <c r="ER34" s="2"/>
      <c r="ES34" s="2"/>
    </row>
    <row r="35" spans="1:149" x14ac:dyDescent="0.3">
      <c r="A35" s="2"/>
      <c r="B35" s="2"/>
      <c r="C35" s="2"/>
      <c r="D35" s="2"/>
      <c r="E35" s="2"/>
      <c r="F35" s="2" cm="1">
        <f t="array" ref="F35">COUNTA(_xlfn.UNIQUE(_xlfn._xlws.FILTER(chamca[Run],(chamca[Visual ID]=A35))))</f>
        <v>1</v>
      </c>
      <c r="G35" s="2">
        <f>_xlfn.XLOOKUP(A35,RevCoreCount!A:A,RevCoreCount!B:B,)</f>
        <v>0</v>
      </c>
      <c r="H35" s="2">
        <f>_xlfn.XLOOKUP(A35,RevCoreCount!A:A,RevCoreCount!E:E,)</f>
        <v>0</v>
      </c>
      <c r="I35" s="2">
        <f>_xlfn.XLOOKUP(A35,RevCHACount!A:A,RevCHACount!B:B)</f>
        <v>0</v>
      </c>
      <c r="J35" s="2">
        <f>_xlfn.XLOOKUP(A35,RevCHACount!A:A,RevCHACount!E:E)</f>
        <v>0</v>
      </c>
      <c r="K35" s="2">
        <f>_xlfn.XLOOKUP(A35,RevLLCCount!A:A,RevLLCCount!B:B,)</f>
        <v>0</v>
      </c>
      <c r="L35" s="2">
        <f>_xlfn.XLOOKUP(A35,RevLLCCount!A:A,RevLLCCount!E:E)</f>
        <v>0</v>
      </c>
      <c r="M35" s="1">
        <f>_xlfn.XLOOKUP(A35,RevCHACount!A:A,RevCHACount!F:F)</f>
        <v>0</v>
      </c>
      <c r="N35" s="1" t="str">
        <f>_xlfn.XLOOKUP(A35,'Other Errors'!A:A,'Other Errors'!B:B,"")</f>
        <v/>
      </c>
      <c r="O35" s="2" t="e">
        <f t="shared" si="0"/>
        <v>#N/A</v>
      </c>
      <c r="P35" s="2" t="e">
        <f t="shared" si="1"/>
        <v>#N/A</v>
      </c>
      <c r="Q35" s="2" t="e">
        <f t="shared" si="2"/>
        <v>#N/A</v>
      </c>
      <c r="R35" s="2" t="e">
        <f t="shared" si="3"/>
        <v>#N/A</v>
      </c>
      <c r="S35" s="2" t="str">
        <f t="shared" si="4"/>
        <v/>
      </c>
      <c r="T35" s="2" t="str">
        <f t="shared" si="5"/>
        <v/>
      </c>
      <c r="U35" s="8" t="str" cm="1">
        <f t="array" ref="U35">_xlfn.TEXTJOIN(", ",,_xlfn.UNIQUE(_xlfn._xlws.FILTER(EM$3:FK$3,EM35:FK35&gt;0,"")))</f>
        <v/>
      </c>
      <c r="V35" s="9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7"/>
      <c r="CQ35" s="7"/>
      <c r="CR35" s="7"/>
      <c r="CS35" s="7"/>
      <c r="CT35" s="7"/>
      <c r="CU35" s="7"/>
      <c r="CV35" s="7"/>
      <c r="CW35" s="7"/>
      <c r="CX35" s="7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L35" s="12"/>
      <c r="EM35" s="2"/>
      <c r="EN35" s="2"/>
      <c r="EO35" s="2"/>
      <c r="EP35" s="2"/>
      <c r="EQ35" s="2"/>
      <c r="ER35" s="2"/>
      <c r="ES35" s="2"/>
    </row>
    <row r="36" spans="1:149" x14ac:dyDescent="0.3">
      <c r="A36" s="2"/>
      <c r="B36" s="2"/>
      <c r="C36" s="2"/>
      <c r="D36" s="2"/>
      <c r="E36" s="2"/>
      <c r="F36" s="2" cm="1">
        <f t="array" ref="F36">COUNTA(_xlfn.UNIQUE(_xlfn._xlws.FILTER(chamca[Run],(chamca[Visual ID]=A36))))</f>
        <v>1</v>
      </c>
      <c r="G36" s="2">
        <f>_xlfn.XLOOKUP(A36,RevCoreCount!A:A,RevCoreCount!B:B,)</f>
        <v>0</v>
      </c>
      <c r="H36" s="2">
        <f>_xlfn.XLOOKUP(A36,RevCoreCount!A:A,RevCoreCount!E:E,)</f>
        <v>0</v>
      </c>
      <c r="I36" s="2">
        <f>_xlfn.XLOOKUP(A36,RevCHACount!A:A,RevCHACount!B:B)</f>
        <v>0</v>
      </c>
      <c r="J36" s="2">
        <f>_xlfn.XLOOKUP(A36,RevCHACount!A:A,RevCHACount!E:E)</f>
        <v>0</v>
      </c>
      <c r="K36" s="2">
        <f>_xlfn.XLOOKUP(A36,RevLLCCount!A:A,RevLLCCount!B:B,)</f>
        <v>0</v>
      </c>
      <c r="L36" s="2">
        <f>_xlfn.XLOOKUP(A36,RevLLCCount!A:A,RevLLCCount!E:E)</f>
        <v>0</v>
      </c>
      <c r="M36" s="1">
        <f>_xlfn.XLOOKUP(A36,RevCHACount!A:A,RevCHACount!F:F)</f>
        <v>0</v>
      </c>
      <c r="N36" s="1" t="str">
        <f>_xlfn.XLOOKUP(A36,'Other Errors'!A:A,'Other Errors'!B:B,"")</f>
        <v/>
      </c>
      <c r="O36" s="2" t="e">
        <f t="shared" si="0"/>
        <v>#N/A</v>
      </c>
      <c r="P36" s="2" t="e">
        <f t="shared" si="1"/>
        <v>#N/A</v>
      </c>
      <c r="Q36" s="2" t="e">
        <f t="shared" si="2"/>
        <v>#N/A</v>
      </c>
      <c r="R36" s="2" t="e">
        <f t="shared" si="3"/>
        <v>#N/A</v>
      </c>
      <c r="S36" s="2" t="str">
        <f t="shared" si="4"/>
        <v/>
      </c>
      <c r="T36" s="2" t="str">
        <f t="shared" si="5"/>
        <v/>
      </c>
      <c r="U36" s="8" t="str" cm="1">
        <f t="array" ref="U36">_xlfn.TEXTJOIN(", ",,_xlfn.UNIQUE(_xlfn._xlws.FILTER(EM$3:FK$3,EM36:FK36&gt;0,"")))</f>
        <v/>
      </c>
      <c r="V36" s="9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7"/>
      <c r="CQ36" s="7"/>
      <c r="CR36" s="7"/>
      <c r="CS36" s="7"/>
      <c r="CT36" s="7"/>
      <c r="CU36" s="7"/>
      <c r="CV36" s="7"/>
      <c r="CW36" s="7"/>
      <c r="CX36" s="7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L36" s="12"/>
      <c r="EM36" s="2"/>
      <c r="EN36" s="2"/>
      <c r="EO36" s="2"/>
      <c r="EP36" s="2"/>
      <c r="EQ36" s="2"/>
      <c r="ER36" s="2"/>
      <c r="ES36" s="2"/>
    </row>
    <row r="37" spans="1:149" x14ac:dyDescent="0.3">
      <c r="A37" s="2"/>
      <c r="B37" s="2"/>
      <c r="C37" s="2"/>
      <c r="D37" s="2"/>
      <c r="E37" s="2"/>
      <c r="F37" s="2" cm="1">
        <f t="array" ref="F37">COUNTA(_xlfn.UNIQUE(_xlfn._xlws.FILTER(chamca[Run],(chamca[Visual ID]=A37))))</f>
        <v>1</v>
      </c>
      <c r="G37" s="2">
        <f>_xlfn.XLOOKUP(A37,RevCoreCount!A:A,RevCoreCount!B:B,)</f>
        <v>0</v>
      </c>
      <c r="H37" s="2">
        <f>_xlfn.XLOOKUP(A37,RevCoreCount!A:A,RevCoreCount!E:E,)</f>
        <v>0</v>
      </c>
      <c r="I37" s="2">
        <f>_xlfn.XLOOKUP(A37,RevCHACount!A:A,RevCHACount!B:B)</f>
        <v>0</v>
      </c>
      <c r="J37" s="2">
        <f>_xlfn.XLOOKUP(A37,RevCHACount!A:A,RevCHACount!E:E)</f>
        <v>0</v>
      </c>
      <c r="K37" s="2">
        <f>_xlfn.XLOOKUP(A37,RevLLCCount!A:A,RevLLCCount!B:B,)</f>
        <v>0</v>
      </c>
      <c r="L37" s="2">
        <f>_xlfn.XLOOKUP(A37,RevLLCCount!A:A,RevLLCCount!E:E)</f>
        <v>0</v>
      </c>
      <c r="M37" s="1">
        <f>_xlfn.XLOOKUP(A37,RevCHACount!A:A,RevCHACount!F:F)</f>
        <v>0</v>
      </c>
      <c r="N37" s="1" t="str">
        <f>_xlfn.XLOOKUP(A37,'Other Errors'!A:A,'Other Errors'!B:B,"")</f>
        <v/>
      </c>
      <c r="O37" s="2" t="e">
        <f t="shared" si="0"/>
        <v>#N/A</v>
      </c>
      <c r="P37" s="2" t="e">
        <f t="shared" si="1"/>
        <v>#N/A</v>
      </c>
      <c r="Q37" s="2" t="e">
        <f t="shared" si="2"/>
        <v>#N/A</v>
      </c>
      <c r="R37" s="2" t="e">
        <f t="shared" si="3"/>
        <v>#N/A</v>
      </c>
      <c r="S37" s="2" t="str">
        <f t="shared" si="4"/>
        <v/>
      </c>
      <c r="T37" s="2" t="str">
        <f t="shared" si="5"/>
        <v/>
      </c>
      <c r="U37" s="8" t="str" cm="1">
        <f t="array" ref="U37">_xlfn.TEXTJOIN(", ",,_xlfn.UNIQUE(_xlfn._xlws.FILTER(EM$3:FK$3,EM37:FK37&gt;0,"")))</f>
        <v/>
      </c>
      <c r="V37" s="9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7"/>
      <c r="CQ37" s="7"/>
      <c r="CR37" s="7"/>
      <c r="CS37" s="7"/>
      <c r="CT37" s="7"/>
      <c r="CU37" s="7"/>
      <c r="CV37" s="7"/>
      <c r="CW37" s="7"/>
      <c r="CX37" s="7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L37" s="12"/>
      <c r="EM37" s="2"/>
      <c r="EN37" s="2"/>
      <c r="EO37" s="2"/>
      <c r="EP37" s="2"/>
      <c r="EQ37" s="2"/>
      <c r="ER37" s="2"/>
      <c r="ES37" s="2"/>
    </row>
    <row r="38" spans="1:149" x14ac:dyDescent="0.3">
      <c r="A38" s="2"/>
      <c r="B38" s="2"/>
      <c r="C38" s="2"/>
      <c r="D38" s="2"/>
      <c r="E38" s="2"/>
      <c r="F38" s="2" cm="1">
        <f t="array" ref="F38">COUNTA(_xlfn.UNIQUE(_xlfn._xlws.FILTER(chamca[Run],(chamca[Visual ID]=A38))))</f>
        <v>1</v>
      </c>
      <c r="G38" s="2">
        <f>_xlfn.XLOOKUP(A38,RevCoreCount!A:A,RevCoreCount!B:B,)</f>
        <v>0</v>
      </c>
      <c r="H38" s="2">
        <f>_xlfn.XLOOKUP(A38,RevCoreCount!A:A,RevCoreCount!E:E,)</f>
        <v>0</v>
      </c>
      <c r="I38" s="2">
        <f>_xlfn.XLOOKUP(A38,RevCHACount!A:A,RevCHACount!B:B)</f>
        <v>0</v>
      </c>
      <c r="J38" s="2">
        <f>_xlfn.XLOOKUP(A38,RevCHACount!A:A,RevCHACount!E:E)</f>
        <v>0</v>
      </c>
      <c r="K38" s="2">
        <f>_xlfn.XLOOKUP(A38,RevLLCCount!A:A,RevLLCCount!B:B,)</f>
        <v>0</v>
      </c>
      <c r="L38" s="2">
        <f>_xlfn.XLOOKUP(A38,RevLLCCount!A:A,RevLLCCount!E:E)</f>
        <v>0</v>
      </c>
      <c r="M38" s="1">
        <f>_xlfn.XLOOKUP(A38,RevCHACount!A:A,RevCHACount!F:F)</f>
        <v>0</v>
      </c>
      <c r="N38" s="1" t="str">
        <f>_xlfn.XLOOKUP(A38,'Other Errors'!A:A,'Other Errors'!B:B,"")</f>
        <v/>
      </c>
      <c r="O38" s="2" t="e">
        <f t="shared" si="0"/>
        <v>#N/A</v>
      </c>
      <c r="P38" s="2" t="e">
        <f t="shared" si="1"/>
        <v>#N/A</v>
      </c>
      <c r="Q38" s="2" t="e">
        <f t="shared" si="2"/>
        <v>#N/A</v>
      </c>
      <c r="R38" s="2" t="e">
        <f t="shared" si="3"/>
        <v>#N/A</v>
      </c>
      <c r="S38" s="2" t="str">
        <f t="shared" si="4"/>
        <v/>
      </c>
      <c r="T38" s="2" t="str">
        <f t="shared" si="5"/>
        <v/>
      </c>
      <c r="U38" s="8" t="str" cm="1">
        <f t="array" ref="U38">_xlfn.TEXTJOIN(", ",,_xlfn.UNIQUE(_xlfn._xlws.FILTER(EM$3:FK$3,EM38:FK38&gt;0,"")))</f>
        <v/>
      </c>
      <c r="V38" s="9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7"/>
      <c r="CQ38" s="7"/>
      <c r="CR38" s="7"/>
      <c r="CS38" s="7"/>
      <c r="CT38" s="7"/>
      <c r="CU38" s="7"/>
      <c r="CV38" s="7"/>
      <c r="CW38" s="7"/>
      <c r="CX38" s="7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L38" s="12"/>
      <c r="EM38" s="2"/>
      <c r="EN38" s="2"/>
      <c r="EO38" s="2"/>
      <c r="EP38" s="2"/>
      <c r="EQ38" s="2"/>
      <c r="ER38" s="2"/>
      <c r="ES38" s="2"/>
    </row>
    <row r="39" spans="1:149" x14ac:dyDescent="0.3">
      <c r="A39" s="2"/>
      <c r="B39" s="2"/>
      <c r="C39" s="2"/>
      <c r="D39" s="2"/>
      <c r="E39" s="2"/>
      <c r="F39" s="2" cm="1">
        <f t="array" ref="F39">COUNTA(_xlfn.UNIQUE(_xlfn._xlws.FILTER(chamca[Run],(chamca[Visual ID]=A39))))</f>
        <v>1</v>
      </c>
      <c r="G39" s="2">
        <f>_xlfn.XLOOKUP(A39,RevCoreCount!A:A,RevCoreCount!B:B,)</f>
        <v>0</v>
      </c>
      <c r="H39" s="2">
        <f>_xlfn.XLOOKUP(A39,RevCoreCount!A:A,RevCoreCount!E:E,)</f>
        <v>0</v>
      </c>
      <c r="I39" s="2">
        <f>_xlfn.XLOOKUP(A39,RevCHACount!A:A,RevCHACount!B:B)</f>
        <v>0</v>
      </c>
      <c r="J39" s="2">
        <f>_xlfn.XLOOKUP(A39,RevCHACount!A:A,RevCHACount!E:E)</f>
        <v>0</v>
      </c>
      <c r="K39" s="2">
        <f>_xlfn.XLOOKUP(A39,RevLLCCount!A:A,RevLLCCount!B:B,)</f>
        <v>0</v>
      </c>
      <c r="L39" s="2">
        <f>_xlfn.XLOOKUP(A39,RevLLCCount!A:A,RevLLCCount!E:E)</f>
        <v>0</v>
      </c>
      <c r="M39" s="1">
        <f>_xlfn.XLOOKUP(A39,RevCHACount!A:A,RevCHACount!F:F)</f>
        <v>0</v>
      </c>
      <c r="N39" s="1" t="str">
        <f>_xlfn.XLOOKUP(A39,'Other Errors'!A:A,'Other Errors'!B:B,"")</f>
        <v/>
      </c>
      <c r="O39" s="2" t="e">
        <f t="shared" si="0"/>
        <v>#N/A</v>
      </c>
      <c r="P39" s="2" t="e">
        <f t="shared" si="1"/>
        <v>#N/A</v>
      </c>
      <c r="Q39" s="2" t="e">
        <f t="shared" si="2"/>
        <v>#N/A</v>
      </c>
      <c r="R39" s="2" t="e">
        <f t="shared" si="3"/>
        <v>#N/A</v>
      </c>
      <c r="S39" s="2" t="str">
        <f t="shared" si="4"/>
        <v/>
      </c>
      <c r="T39" s="2" t="str">
        <f t="shared" si="5"/>
        <v/>
      </c>
      <c r="U39" s="8" t="str" cm="1">
        <f t="array" ref="U39">_xlfn.TEXTJOIN(", ",,_xlfn.UNIQUE(_xlfn._xlws.FILTER(EM$3:FK$3,EM39:FK39&gt;0,"")))</f>
        <v/>
      </c>
      <c r="V39" s="9"/>
      <c r="EM39" s="2"/>
      <c r="EN39" s="2"/>
      <c r="EO39" s="2"/>
      <c r="EP39" s="2"/>
      <c r="EQ39" s="2"/>
      <c r="ER39" s="2"/>
      <c r="ES39" s="2"/>
    </row>
    <row r="40" spans="1:149" x14ac:dyDescent="0.3">
      <c r="A40" s="2"/>
      <c r="B40" s="2"/>
      <c r="C40" s="2"/>
      <c r="D40" s="2"/>
      <c r="E40" s="2"/>
      <c r="F40" s="2" cm="1">
        <f t="array" ref="F40">COUNTA(_xlfn.UNIQUE(_xlfn._xlws.FILTER(chamca[Run],(chamca[Visual ID]=A40))))</f>
        <v>1</v>
      </c>
      <c r="G40" s="2">
        <f>_xlfn.XLOOKUP(A40,RevCoreCount!A:A,RevCoreCount!B:B,)</f>
        <v>0</v>
      </c>
      <c r="H40" s="2">
        <f>_xlfn.XLOOKUP(A40,RevCoreCount!A:A,RevCoreCount!E:E,)</f>
        <v>0</v>
      </c>
      <c r="I40" s="2">
        <f>_xlfn.XLOOKUP(A40,RevCHACount!A:A,RevCHACount!B:B)</f>
        <v>0</v>
      </c>
      <c r="J40" s="2">
        <f>_xlfn.XLOOKUP(A40,RevCHACount!A:A,RevCHACount!E:E)</f>
        <v>0</v>
      </c>
      <c r="K40" s="2">
        <f>_xlfn.XLOOKUP(A40,RevLLCCount!A:A,RevLLCCount!B:B,)</f>
        <v>0</v>
      </c>
      <c r="L40" s="2">
        <f>_xlfn.XLOOKUP(A40,RevLLCCount!A:A,RevLLCCount!E:E)</f>
        <v>0</v>
      </c>
      <c r="M40" s="1">
        <f>_xlfn.XLOOKUP(A40,RevCHACount!A:A,RevCHACount!F:F)</f>
        <v>0</v>
      </c>
      <c r="N40" s="1" t="str">
        <f>_xlfn.XLOOKUP(A40,'Other Errors'!A:A,'Other Errors'!B:B,"")</f>
        <v/>
      </c>
      <c r="O40" s="2" t="e">
        <f t="shared" si="0"/>
        <v>#N/A</v>
      </c>
      <c r="P40" s="2" t="e">
        <f t="shared" si="1"/>
        <v>#N/A</v>
      </c>
      <c r="Q40" s="2" t="e">
        <f t="shared" si="2"/>
        <v>#N/A</v>
      </c>
      <c r="R40" s="2" t="e">
        <f t="shared" si="3"/>
        <v>#N/A</v>
      </c>
      <c r="S40" s="2" t="str">
        <f t="shared" si="4"/>
        <v/>
      </c>
      <c r="T40" s="2" t="str">
        <f t="shared" si="5"/>
        <v/>
      </c>
      <c r="U40" s="8" t="str" cm="1">
        <f t="array" ref="U40">_xlfn.TEXTJOIN(", ",,_xlfn.UNIQUE(_xlfn._xlws.FILTER(EM$3:FK$3,EM40:FK40&gt;0,"")))</f>
        <v/>
      </c>
      <c r="V40" s="9"/>
      <c r="EM40" s="2"/>
      <c r="EN40" s="2"/>
      <c r="EO40" s="2"/>
      <c r="EP40" s="2"/>
      <c r="EQ40" s="2"/>
      <c r="ER40" s="2"/>
      <c r="ES40" s="2"/>
    </row>
    <row r="41" spans="1:149" x14ac:dyDescent="0.3">
      <c r="A41" s="2"/>
      <c r="B41" s="2"/>
      <c r="C41" s="2"/>
      <c r="D41" s="2"/>
      <c r="E41" s="2"/>
      <c r="F41" s="2" cm="1">
        <f t="array" ref="F41">COUNTA(_xlfn.UNIQUE(_xlfn._xlws.FILTER(chamca[Run],(chamca[Visual ID]=A41))))</f>
        <v>1</v>
      </c>
      <c r="G41" s="2">
        <f>_xlfn.XLOOKUP(A41,RevCoreCount!A:A,RevCoreCount!B:B,)</f>
        <v>0</v>
      </c>
      <c r="H41" s="2">
        <f>_xlfn.XLOOKUP(A41,RevCoreCount!A:A,RevCoreCount!E:E,)</f>
        <v>0</v>
      </c>
      <c r="I41" s="2">
        <f>_xlfn.XLOOKUP(A41,RevCHACount!A:A,RevCHACount!B:B)</f>
        <v>0</v>
      </c>
      <c r="J41" s="2">
        <f>_xlfn.XLOOKUP(A41,RevCHACount!A:A,RevCHACount!E:E)</f>
        <v>0</v>
      </c>
      <c r="K41" s="2">
        <f>_xlfn.XLOOKUP(A41,RevLLCCount!A:A,RevLLCCount!B:B,)</f>
        <v>0</v>
      </c>
      <c r="L41" s="2">
        <f>_xlfn.XLOOKUP(A41,RevLLCCount!A:A,RevLLCCount!E:E)</f>
        <v>0</v>
      </c>
      <c r="M41" s="1">
        <f>_xlfn.XLOOKUP(A41,RevCHACount!A:A,RevCHACount!F:F)</f>
        <v>0</v>
      </c>
      <c r="N41" s="1" t="str">
        <f>_xlfn.XLOOKUP(A41,'Other Errors'!A:A,'Other Errors'!B:B,"")</f>
        <v/>
      </c>
      <c r="O41" s="2" t="e">
        <f t="shared" si="0"/>
        <v>#N/A</v>
      </c>
      <c r="P41" s="2" t="e">
        <f t="shared" si="1"/>
        <v>#N/A</v>
      </c>
      <c r="Q41" s="2" t="e">
        <f t="shared" si="2"/>
        <v>#N/A</v>
      </c>
      <c r="R41" s="2" t="e">
        <f t="shared" si="3"/>
        <v>#N/A</v>
      </c>
      <c r="S41" s="2" t="str">
        <f t="shared" si="4"/>
        <v/>
      </c>
      <c r="T41" s="2" t="str">
        <f t="shared" si="5"/>
        <v/>
      </c>
      <c r="U41" s="8" t="str" cm="1">
        <f t="array" ref="U41">_xlfn.TEXTJOIN(", ",,_xlfn.UNIQUE(_xlfn._xlws.FILTER(EM$3:FK$3,EM41:FK41&gt;0,"")))</f>
        <v/>
      </c>
      <c r="V41" s="9"/>
      <c r="EM41" s="2"/>
      <c r="EN41" s="2"/>
      <c r="EO41" s="2"/>
      <c r="EP41" s="2"/>
      <c r="EQ41" s="2"/>
      <c r="ER41" s="2"/>
      <c r="ES41" s="2"/>
    </row>
    <row r="42" spans="1:149" x14ac:dyDescent="0.3">
      <c r="A42" s="2"/>
      <c r="B42" s="2"/>
      <c r="C42" s="2"/>
      <c r="D42" s="2"/>
      <c r="E42" s="2"/>
      <c r="F42" s="2" cm="1">
        <f t="array" ref="F42">COUNTA(_xlfn.UNIQUE(_xlfn._xlws.FILTER(chamca[Run],(chamca[Visual ID]=A42))))</f>
        <v>1</v>
      </c>
      <c r="G42" s="2">
        <f>_xlfn.XLOOKUP(A42,RevCoreCount!A:A,RevCoreCount!B:B,)</f>
        <v>0</v>
      </c>
      <c r="H42" s="2">
        <f>_xlfn.XLOOKUP(A42,RevCoreCount!A:A,RevCoreCount!E:E,)</f>
        <v>0</v>
      </c>
      <c r="I42" s="2">
        <f>_xlfn.XLOOKUP(A42,RevCHACount!A:A,RevCHACount!B:B)</f>
        <v>0</v>
      </c>
      <c r="J42" s="2">
        <f>_xlfn.XLOOKUP(A42,RevCHACount!A:A,RevCHACount!E:E)</f>
        <v>0</v>
      </c>
      <c r="K42" s="2">
        <f>_xlfn.XLOOKUP(A42,RevLLCCount!A:A,RevLLCCount!B:B,)</f>
        <v>0</v>
      </c>
      <c r="L42" s="2">
        <f>_xlfn.XLOOKUP(A42,RevLLCCount!A:A,RevLLCCount!E:E)</f>
        <v>0</v>
      </c>
      <c r="M42" s="1">
        <f>_xlfn.XLOOKUP(A42,RevCHACount!A:A,RevCHACount!F:F)</f>
        <v>0</v>
      </c>
      <c r="N42" s="1" t="str">
        <f>_xlfn.XLOOKUP(A42,'Other Errors'!A:A,'Other Errors'!B:B,"")</f>
        <v/>
      </c>
      <c r="O42" s="2" t="e">
        <f t="shared" si="0"/>
        <v>#N/A</v>
      </c>
      <c r="P42" s="2" t="e">
        <f t="shared" si="1"/>
        <v>#N/A</v>
      </c>
      <c r="Q42" s="2" t="e">
        <f t="shared" si="2"/>
        <v>#N/A</v>
      </c>
      <c r="R42" s="2" t="e">
        <f t="shared" si="3"/>
        <v>#N/A</v>
      </c>
      <c r="S42" s="2" t="str">
        <f t="shared" si="4"/>
        <v/>
      </c>
      <c r="T42" s="2" t="str">
        <f t="shared" si="5"/>
        <v/>
      </c>
      <c r="U42" s="8" t="str" cm="1">
        <f t="array" ref="U42">_xlfn.TEXTJOIN(", ",,_xlfn.UNIQUE(_xlfn._xlws.FILTER(EM$3:FK$3,EM42:FK42&gt;0,"")))</f>
        <v/>
      </c>
      <c r="V42" s="9"/>
      <c r="EM42" s="2"/>
      <c r="EN42" s="2"/>
      <c r="EO42" s="2"/>
      <c r="EP42" s="2"/>
      <c r="EQ42" s="2"/>
      <c r="ER42" s="2"/>
      <c r="ES42" s="2"/>
    </row>
    <row r="43" spans="1:149" x14ac:dyDescent="0.3">
      <c r="A43" s="2"/>
      <c r="B43" s="2"/>
      <c r="C43" s="2"/>
      <c r="D43" s="2"/>
      <c r="E43" s="2"/>
      <c r="F43" s="2" cm="1">
        <f t="array" ref="F43">COUNTA(_xlfn.UNIQUE(_xlfn._xlws.FILTER(chamca[Run],(chamca[Visual ID]=A43))))</f>
        <v>1</v>
      </c>
      <c r="G43" s="2">
        <f>_xlfn.XLOOKUP(A43,RevCoreCount!A:A,RevCoreCount!B:B,)</f>
        <v>0</v>
      </c>
      <c r="H43" s="2">
        <f>_xlfn.XLOOKUP(A43,RevCoreCount!A:A,RevCoreCount!E:E,)</f>
        <v>0</v>
      </c>
      <c r="I43" s="2">
        <f>_xlfn.XLOOKUP(A43,RevCHACount!A:A,RevCHACount!B:B)</f>
        <v>0</v>
      </c>
      <c r="J43" s="2">
        <f>_xlfn.XLOOKUP(A43,RevCHACount!A:A,RevCHACount!E:E)</f>
        <v>0</v>
      </c>
      <c r="K43" s="2">
        <f>_xlfn.XLOOKUP(A43,RevLLCCount!A:A,RevLLCCount!B:B,)</f>
        <v>0</v>
      </c>
      <c r="L43" s="2">
        <f>_xlfn.XLOOKUP(A43,RevLLCCount!A:A,RevLLCCount!E:E)</f>
        <v>0</v>
      </c>
      <c r="M43" s="1">
        <f>_xlfn.XLOOKUP(A43,RevCHACount!A:A,RevCHACount!F:F)</f>
        <v>0</v>
      </c>
      <c r="N43" s="1" t="str">
        <f>_xlfn.XLOOKUP(A43,'Other Errors'!A:A,'Other Errors'!B:B,"")</f>
        <v/>
      </c>
      <c r="O43" s="2" t="e">
        <f t="shared" si="0"/>
        <v>#N/A</v>
      </c>
      <c r="P43" s="2" t="e">
        <f t="shared" si="1"/>
        <v>#N/A</v>
      </c>
      <c r="Q43" s="2" t="e">
        <f t="shared" si="2"/>
        <v>#N/A</v>
      </c>
      <c r="R43" s="2" t="e">
        <f t="shared" si="3"/>
        <v>#N/A</v>
      </c>
      <c r="S43" s="2" t="str">
        <f t="shared" si="4"/>
        <v/>
      </c>
      <c r="T43" s="2" t="str">
        <f t="shared" si="5"/>
        <v/>
      </c>
      <c r="U43" s="8" t="str" cm="1">
        <f t="array" ref="U43">_xlfn.TEXTJOIN(", ",,_xlfn.UNIQUE(_xlfn._xlws.FILTER(EM$3:FK$3,EM43:FK43&gt;0,"")))</f>
        <v/>
      </c>
      <c r="V43" s="9"/>
      <c r="EM43" s="2"/>
      <c r="EN43" s="2"/>
      <c r="EO43" s="2"/>
      <c r="EP43" s="2"/>
      <c r="EQ43" s="2"/>
      <c r="ER43" s="2"/>
      <c r="ES43" s="2"/>
    </row>
    <row r="44" spans="1:149" x14ac:dyDescent="0.3">
      <c r="A44" s="2"/>
      <c r="B44" s="2"/>
      <c r="C44" s="2"/>
      <c r="D44" s="2"/>
      <c r="E44" s="2"/>
      <c r="F44" s="2" cm="1">
        <f t="array" ref="F44">COUNTA(_xlfn.UNIQUE(_xlfn._xlws.FILTER(chamca[Run],(chamca[Visual ID]=A44))))</f>
        <v>1</v>
      </c>
      <c r="G44" s="2">
        <f>_xlfn.XLOOKUP(A44,RevCoreCount!A:A,RevCoreCount!B:B,)</f>
        <v>0</v>
      </c>
      <c r="H44" s="2">
        <f>_xlfn.XLOOKUP(A44,RevCoreCount!A:A,RevCoreCount!E:E,)</f>
        <v>0</v>
      </c>
      <c r="I44" s="2">
        <f>_xlfn.XLOOKUP(A44,RevCHACount!A:A,RevCHACount!B:B)</f>
        <v>0</v>
      </c>
      <c r="J44" s="2">
        <f>_xlfn.XLOOKUP(A44,RevCHACount!A:A,RevCHACount!E:E)</f>
        <v>0</v>
      </c>
      <c r="K44" s="2">
        <f>_xlfn.XLOOKUP(A44,RevLLCCount!A:A,RevLLCCount!B:B,)</f>
        <v>0</v>
      </c>
      <c r="L44" s="2">
        <f>_xlfn.XLOOKUP(A44,RevLLCCount!A:A,RevLLCCount!E:E)</f>
        <v>0</v>
      </c>
      <c r="M44" s="1">
        <f>_xlfn.XLOOKUP(A44,RevCHACount!A:A,RevCHACount!F:F)</f>
        <v>0</v>
      </c>
      <c r="N44" s="1" t="str">
        <f>_xlfn.XLOOKUP(A44,'Other Errors'!A:A,'Other Errors'!B:B,"")</f>
        <v/>
      </c>
      <c r="O44" s="2" t="e">
        <f t="shared" si="0"/>
        <v>#N/A</v>
      </c>
      <c r="P44" s="2" t="e">
        <f t="shared" si="1"/>
        <v>#N/A</v>
      </c>
      <c r="Q44" s="2" t="e">
        <f t="shared" si="2"/>
        <v>#N/A</v>
      </c>
      <c r="R44" s="2" t="e">
        <f t="shared" si="3"/>
        <v>#N/A</v>
      </c>
      <c r="S44" s="2" t="str">
        <f t="shared" si="4"/>
        <v/>
      </c>
      <c r="T44" s="2" t="str">
        <f t="shared" si="5"/>
        <v/>
      </c>
      <c r="U44" s="8" t="str" cm="1">
        <f t="array" ref="U44">_xlfn.TEXTJOIN(", ",,_xlfn.UNIQUE(_xlfn._xlws.FILTER(EM$3:FK$3,EM44:FK44&gt;0,"")))</f>
        <v/>
      </c>
      <c r="V44" s="9"/>
      <c r="EM44" s="2"/>
      <c r="EN44" s="2"/>
      <c r="EO44" s="2"/>
      <c r="EP44" s="2"/>
      <c r="EQ44" s="2"/>
      <c r="ER44" s="2"/>
      <c r="ES44" s="2"/>
    </row>
    <row r="45" spans="1:149" x14ac:dyDescent="0.3">
      <c r="A45" s="2"/>
      <c r="B45" s="2"/>
      <c r="C45" s="2"/>
      <c r="D45" s="2"/>
      <c r="E45" s="2"/>
      <c r="F45" s="2" cm="1">
        <f t="array" ref="F45">COUNTA(_xlfn.UNIQUE(_xlfn._xlws.FILTER(chamca[Run],(chamca[Visual ID]=A45))))</f>
        <v>1</v>
      </c>
      <c r="G45" s="2">
        <f>_xlfn.XLOOKUP(A45,RevCoreCount!A:A,RevCoreCount!B:B,)</f>
        <v>0</v>
      </c>
      <c r="H45" s="2">
        <f>_xlfn.XLOOKUP(A45,RevCoreCount!A:A,RevCoreCount!E:E,)</f>
        <v>0</v>
      </c>
      <c r="I45" s="2">
        <f>_xlfn.XLOOKUP(A45,RevCHACount!A:A,RevCHACount!B:B)</f>
        <v>0</v>
      </c>
      <c r="J45" s="2">
        <f>_xlfn.XLOOKUP(A45,RevCHACount!A:A,RevCHACount!E:E)</f>
        <v>0</v>
      </c>
      <c r="K45" s="2">
        <f>_xlfn.XLOOKUP(A45,RevLLCCount!A:A,RevLLCCount!B:B,)</f>
        <v>0</v>
      </c>
      <c r="L45" s="2">
        <f>_xlfn.XLOOKUP(A45,RevLLCCount!A:A,RevLLCCount!E:E)</f>
        <v>0</v>
      </c>
      <c r="M45" s="1">
        <f>_xlfn.XLOOKUP(A45,RevCHACount!A:A,RevCHACount!F:F)</f>
        <v>0</v>
      </c>
      <c r="N45" s="1" t="str">
        <f>_xlfn.XLOOKUP(A45,'Other Errors'!A:A,'Other Errors'!B:B,"")</f>
        <v/>
      </c>
      <c r="O45" s="2" t="e">
        <f t="shared" si="0"/>
        <v>#N/A</v>
      </c>
      <c r="P45" s="2" t="e">
        <f t="shared" si="1"/>
        <v>#N/A</v>
      </c>
      <c r="Q45" s="2" t="e">
        <f t="shared" si="2"/>
        <v>#N/A</v>
      </c>
      <c r="R45" s="2" t="e">
        <f t="shared" si="3"/>
        <v>#N/A</v>
      </c>
      <c r="S45" s="2" t="str">
        <f t="shared" si="4"/>
        <v/>
      </c>
      <c r="T45" s="2" t="str">
        <f t="shared" si="5"/>
        <v/>
      </c>
      <c r="U45" s="8" t="str" cm="1">
        <f t="array" ref="U45">_xlfn.TEXTJOIN(", ",,_xlfn.UNIQUE(_xlfn._xlws.FILTER(EM$3:FK$3,EM45:FK45&gt;0,"")))</f>
        <v/>
      </c>
      <c r="V45" s="9"/>
      <c r="EM45" s="2"/>
      <c r="EN45" s="2"/>
      <c r="EO45" s="2"/>
      <c r="EP45" s="2"/>
      <c r="EQ45" s="2"/>
      <c r="ER45" s="2"/>
      <c r="ES45" s="2"/>
    </row>
    <row r="46" spans="1:149" x14ac:dyDescent="0.3">
      <c r="A46" s="2"/>
      <c r="B46" s="2"/>
      <c r="C46" s="2"/>
      <c r="D46" s="2"/>
      <c r="E46" s="2"/>
      <c r="F46" s="2" cm="1">
        <f t="array" ref="F46">COUNTA(_xlfn.UNIQUE(_xlfn._xlws.FILTER(chamca[Run],(chamca[Visual ID]=A46))))</f>
        <v>1</v>
      </c>
      <c r="G46" s="2">
        <f>_xlfn.XLOOKUP(A46,RevCoreCount!A:A,RevCoreCount!B:B,)</f>
        <v>0</v>
      </c>
      <c r="H46" s="2">
        <f>_xlfn.XLOOKUP(A46,RevCoreCount!A:A,RevCoreCount!E:E,)</f>
        <v>0</v>
      </c>
      <c r="I46" s="2">
        <f>_xlfn.XLOOKUP(A46,RevCHACount!A:A,RevCHACount!B:B)</f>
        <v>0</v>
      </c>
      <c r="J46" s="2">
        <f>_xlfn.XLOOKUP(A46,RevCHACount!A:A,RevCHACount!E:E)</f>
        <v>0</v>
      </c>
      <c r="K46" s="2">
        <f>_xlfn.XLOOKUP(A46,RevLLCCount!A:A,RevLLCCount!B:B,)</f>
        <v>0</v>
      </c>
      <c r="L46" s="2">
        <f>_xlfn.XLOOKUP(A46,RevLLCCount!A:A,RevLLCCount!E:E)</f>
        <v>0</v>
      </c>
      <c r="M46" s="1">
        <f>_xlfn.XLOOKUP(A46,RevCHACount!A:A,RevCHACount!F:F)</f>
        <v>0</v>
      </c>
      <c r="N46" s="1" t="str">
        <f>_xlfn.XLOOKUP(A46,'Other Errors'!A:A,'Other Errors'!B:B,"")</f>
        <v/>
      </c>
      <c r="O46" s="2" t="e">
        <f t="shared" si="0"/>
        <v>#N/A</v>
      </c>
      <c r="P46" s="2" t="e">
        <f t="shared" si="1"/>
        <v>#N/A</v>
      </c>
      <c r="Q46" s="2" t="e">
        <f t="shared" si="2"/>
        <v>#N/A</v>
      </c>
      <c r="R46" s="2" t="e">
        <f t="shared" si="3"/>
        <v>#N/A</v>
      </c>
      <c r="S46" s="2" t="str">
        <f t="shared" si="4"/>
        <v/>
      </c>
      <c r="T46" s="2" t="str">
        <f t="shared" si="5"/>
        <v/>
      </c>
      <c r="U46" s="8" t="str" cm="1">
        <f t="array" ref="U46">_xlfn.TEXTJOIN(", ",,_xlfn.UNIQUE(_xlfn._xlws.FILTER(EM$3:FK$3,EM46:FK46&gt;0,"")))</f>
        <v/>
      </c>
      <c r="V46" s="9"/>
      <c r="EM46" s="2"/>
      <c r="EN46" s="2"/>
      <c r="EO46" s="2"/>
      <c r="EP46" s="2"/>
      <c r="EQ46" s="2"/>
      <c r="ER46" s="2"/>
      <c r="ES46" s="2"/>
    </row>
    <row r="47" spans="1:149" x14ac:dyDescent="0.3">
      <c r="A47" s="2"/>
      <c r="B47" s="2"/>
      <c r="C47" s="2"/>
      <c r="D47" s="2"/>
      <c r="E47" s="2"/>
      <c r="F47" s="2" cm="1">
        <f t="array" ref="F47">COUNTA(_xlfn.UNIQUE(_xlfn._xlws.FILTER(chamca[Run],(chamca[Visual ID]=A47))))</f>
        <v>1</v>
      </c>
      <c r="G47" s="2">
        <f>_xlfn.XLOOKUP(A47,RevCoreCount!A:A,RevCoreCount!B:B,)</f>
        <v>0</v>
      </c>
      <c r="H47" s="2">
        <f>_xlfn.XLOOKUP(A47,RevCoreCount!A:A,RevCoreCount!E:E,)</f>
        <v>0</v>
      </c>
      <c r="I47" s="2">
        <f>_xlfn.XLOOKUP(A47,RevCHACount!A:A,RevCHACount!B:B)</f>
        <v>0</v>
      </c>
      <c r="J47" s="2">
        <f>_xlfn.XLOOKUP(A47,RevCHACount!A:A,RevCHACount!E:E)</f>
        <v>0</v>
      </c>
      <c r="K47" s="2">
        <f>_xlfn.XLOOKUP(A47,RevLLCCount!A:A,RevLLCCount!B:B,)</f>
        <v>0</v>
      </c>
      <c r="L47" s="2">
        <f>_xlfn.XLOOKUP(A47,RevLLCCount!A:A,RevLLCCount!E:E)</f>
        <v>0</v>
      </c>
      <c r="M47" s="1">
        <f>_xlfn.XLOOKUP(A47,RevCHACount!A:A,RevCHACount!F:F)</f>
        <v>0</v>
      </c>
      <c r="N47" s="1" t="str">
        <f>_xlfn.XLOOKUP(A47,'Other Errors'!A:A,'Other Errors'!B:B,"")</f>
        <v/>
      </c>
      <c r="O47" s="2" t="e">
        <f t="shared" si="0"/>
        <v>#N/A</v>
      </c>
      <c r="P47" s="2" t="e">
        <f t="shared" si="1"/>
        <v>#N/A</v>
      </c>
      <c r="Q47" s="2" t="e">
        <f t="shared" si="2"/>
        <v>#N/A</v>
      </c>
      <c r="R47" s="2" t="e">
        <f t="shared" si="3"/>
        <v>#N/A</v>
      </c>
      <c r="S47" s="2" t="str">
        <f t="shared" si="4"/>
        <v/>
      </c>
      <c r="T47" s="2" t="str">
        <f t="shared" si="5"/>
        <v/>
      </c>
      <c r="U47" s="8" t="str" cm="1">
        <f t="array" ref="U47">_xlfn.TEXTJOIN(", ",,_xlfn.UNIQUE(_xlfn._xlws.FILTER(EM$3:FK$3,EM47:FK47&gt;0,"")))</f>
        <v/>
      </c>
      <c r="V47" s="9"/>
      <c r="EM47" s="2"/>
      <c r="EN47" s="2"/>
      <c r="EO47" s="2"/>
      <c r="EP47" s="2"/>
      <c r="EQ47" s="2"/>
      <c r="ER47" s="2"/>
      <c r="ES47" s="2"/>
    </row>
    <row r="48" spans="1:149" x14ac:dyDescent="0.3">
      <c r="A48" s="2"/>
      <c r="B48" s="2"/>
      <c r="C48" s="2"/>
      <c r="D48" s="2"/>
      <c r="E48" s="2"/>
      <c r="F48" s="2" cm="1">
        <f t="array" ref="F48">COUNTA(_xlfn.UNIQUE(_xlfn._xlws.FILTER(chamca[Run],(chamca[Visual ID]=A48))))</f>
        <v>1</v>
      </c>
      <c r="G48" s="2">
        <f>_xlfn.XLOOKUP(A48,RevCoreCount!A:A,RevCoreCount!B:B,)</f>
        <v>0</v>
      </c>
      <c r="H48" s="2">
        <f>_xlfn.XLOOKUP(A48,RevCoreCount!A:A,RevCoreCount!E:E,)</f>
        <v>0</v>
      </c>
      <c r="I48" s="2">
        <f>_xlfn.XLOOKUP(A48,RevCHACount!A:A,RevCHACount!B:B)</f>
        <v>0</v>
      </c>
      <c r="J48" s="2">
        <f>_xlfn.XLOOKUP(A48,RevCHACount!A:A,RevCHACount!E:E)</f>
        <v>0</v>
      </c>
      <c r="K48" s="2">
        <f>_xlfn.XLOOKUP(A48,RevLLCCount!A:A,RevLLCCount!B:B,)</f>
        <v>0</v>
      </c>
      <c r="L48" s="2">
        <f>_xlfn.XLOOKUP(A48,RevLLCCount!A:A,RevLLCCount!E:E)</f>
        <v>0</v>
      </c>
      <c r="M48" s="1">
        <f>_xlfn.XLOOKUP(A48,RevCHACount!A:A,RevCHACount!F:F)</f>
        <v>0</v>
      </c>
      <c r="N48" s="1" t="str">
        <f>_xlfn.XLOOKUP(A48,'Other Errors'!A:A,'Other Errors'!B:B,"")</f>
        <v/>
      </c>
      <c r="O48" s="2" t="e">
        <f t="shared" si="0"/>
        <v>#N/A</v>
      </c>
      <c r="P48" s="2" t="e">
        <f t="shared" si="1"/>
        <v>#N/A</v>
      </c>
      <c r="Q48" s="2" t="e">
        <f t="shared" si="2"/>
        <v>#N/A</v>
      </c>
      <c r="R48" s="2" t="e">
        <f t="shared" si="3"/>
        <v>#N/A</v>
      </c>
      <c r="S48" s="2" t="str">
        <f t="shared" si="4"/>
        <v/>
      </c>
      <c r="T48" s="2" t="str">
        <f t="shared" si="5"/>
        <v/>
      </c>
      <c r="U48" s="8" t="str" cm="1">
        <f t="array" ref="U48">_xlfn.TEXTJOIN(", ",,_xlfn.UNIQUE(_xlfn._xlws.FILTER(EM$3:FK$3,EM48:FK48&gt;0,"")))</f>
        <v/>
      </c>
      <c r="V48" s="9"/>
      <c r="EM48" s="2"/>
      <c r="EN48" s="2"/>
      <c r="EO48" s="2"/>
      <c r="EP48" s="2"/>
      <c r="EQ48" s="2"/>
      <c r="ER48" s="2"/>
      <c r="ES48" s="2"/>
    </row>
    <row r="49" spans="1:149" x14ac:dyDescent="0.3">
      <c r="A49" s="2"/>
      <c r="B49" s="2"/>
      <c r="C49" s="2"/>
      <c r="D49" s="2"/>
      <c r="E49" s="2"/>
      <c r="F49" s="2" cm="1">
        <f t="array" ref="F49">COUNTA(_xlfn.UNIQUE(_xlfn._xlws.FILTER(chamca[Run],(chamca[Visual ID]=A49))))</f>
        <v>1</v>
      </c>
      <c r="G49" s="2">
        <f>_xlfn.XLOOKUP(A49,RevCoreCount!A:A,RevCoreCount!B:B,)</f>
        <v>0</v>
      </c>
      <c r="H49" s="2">
        <f>_xlfn.XLOOKUP(A49,RevCoreCount!A:A,RevCoreCount!E:E,)</f>
        <v>0</v>
      </c>
      <c r="I49" s="2">
        <f>_xlfn.XLOOKUP(A49,RevCHACount!A:A,RevCHACount!B:B)</f>
        <v>0</v>
      </c>
      <c r="J49" s="2">
        <f>_xlfn.XLOOKUP(A49,RevCHACount!A:A,RevCHACount!E:E)</f>
        <v>0</v>
      </c>
      <c r="K49" s="2">
        <f>_xlfn.XLOOKUP(A49,RevLLCCount!A:A,RevLLCCount!B:B,)</f>
        <v>0</v>
      </c>
      <c r="L49" s="2">
        <f>_xlfn.XLOOKUP(A49,RevLLCCount!A:A,RevLLCCount!E:E)</f>
        <v>0</v>
      </c>
      <c r="M49" s="1">
        <f>_xlfn.XLOOKUP(A49,RevCHACount!A:A,RevCHACount!F:F)</f>
        <v>0</v>
      </c>
      <c r="N49" s="1" t="str">
        <f>_xlfn.XLOOKUP(A49,'Other Errors'!A:A,'Other Errors'!B:B,"")</f>
        <v/>
      </c>
      <c r="O49" s="2" t="e">
        <f t="shared" si="0"/>
        <v>#N/A</v>
      </c>
      <c r="P49" s="2" t="e">
        <f t="shared" si="1"/>
        <v>#N/A</v>
      </c>
      <c r="Q49" s="2" t="e">
        <f t="shared" si="2"/>
        <v>#N/A</v>
      </c>
      <c r="R49" s="2" t="e">
        <f t="shared" si="3"/>
        <v>#N/A</v>
      </c>
      <c r="S49" s="2" t="str">
        <f t="shared" si="4"/>
        <v/>
      </c>
      <c r="T49" s="2" t="str">
        <f t="shared" si="5"/>
        <v/>
      </c>
      <c r="U49" s="8" t="str" cm="1">
        <f t="array" ref="U49">_xlfn.TEXTJOIN(", ",,_xlfn.UNIQUE(_xlfn._xlws.FILTER(EM$3:FK$3,EM49:FK49&gt;0,"")))</f>
        <v/>
      </c>
      <c r="V49" s="9"/>
      <c r="EM49" s="2"/>
      <c r="EN49" s="2"/>
      <c r="EO49" s="2"/>
      <c r="EP49" s="2"/>
      <c r="EQ49" s="2"/>
      <c r="ER49" s="2"/>
      <c r="ES49" s="2"/>
    </row>
    <row r="50" spans="1:149" x14ac:dyDescent="0.3">
      <c r="A50" s="2"/>
      <c r="B50" s="2"/>
      <c r="C50" s="2"/>
      <c r="D50" s="2"/>
      <c r="E50" s="2"/>
      <c r="F50" s="2" cm="1">
        <f t="array" ref="F50">COUNTA(_xlfn.UNIQUE(_xlfn._xlws.FILTER(chamca[Run],(chamca[Visual ID]=A50))))</f>
        <v>1</v>
      </c>
      <c r="G50" s="2">
        <f>_xlfn.XLOOKUP(A50,RevCoreCount!A:A,RevCoreCount!B:B,)</f>
        <v>0</v>
      </c>
      <c r="H50" s="2">
        <f>_xlfn.XLOOKUP(A50,RevCoreCount!A:A,RevCoreCount!E:E,)</f>
        <v>0</v>
      </c>
      <c r="I50" s="2">
        <f>_xlfn.XLOOKUP(A50,RevCHACount!A:A,RevCHACount!B:B)</f>
        <v>0</v>
      </c>
      <c r="J50" s="2">
        <f>_xlfn.XLOOKUP(A50,RevCHACount!A:A,RevCHACount!E:E)</f>
        <v>0</v>
      </c>
      <c r="K50" s="2">
        <f>_xlfn.XLOOKUP(A50,RevLLCCount!A:A,RevLLCCount!B:B,)</f>
        <v>0</v>
      </c>
      <c r="L50" s="2">
        <f>_xlfn.XLOOKUP(A50,RevLLCCount!A:A,RevLLCCount!E:E)</f>
        <v>0</v>
      </c>
      <c r="M50" s="1">
        <f>_xlfn.XLOOKUP(A50,RevCHACount!A:A,RevCHACount!F:F)</f>
        <v>0</v>
      </c>
      <c r="N50" s="1" t="str">
        <f>_xlfn.XLOOKUP(A50,'Other Errors'!A:A,'Other Errors'!B:B,"")</f>
        <v/>
      </c>
      <c r="O50" s="2" t="e">
        <f t="shared" si="0"/>
        <v>#N/A</v>
      </c>
      <c r="P50" s="2" t="e">
        <f t="shared" si="1"/>
        <v>#N/A</v>
      </c>
      <c r="Q50" s="2" t="e">
        <f t="shared" si="2"/>
        <v>#N/A</v>
      </c>
      <c r="R50" s="2" t="e">
        <f t="shared" si="3"/>
        <v>#N/A</v>
      </c>
      <c r="S50" s="2" t="str">
        <f t="shared" si="4"/>
        <v/>
      </c>
      <c r="T50" s="2" t="str">
        <f t="shared" si="5"/>
        <v/>
      </c>
      <c r="U50" s="8" t="str" cm="1">
        <f t="array" ref="U50">_xlfn.TEXTJOIN(", ",,_xlfn.UNIQUE(_xlfn._xlws.FILTER(EM$3:FK$3,EM50:FK50&gt;0,"")))</f>
        <v/>
      </c>
      <c r="V50" s="9"/>
      <c r="EM50" s="2"/>
      <c r="EN50" s="2"/>
      <c r="EO50" s="2"/>
      <c r="EP50" s="2"/>
      <c r="EQ50" s="2"/>
      <c r="ER50" s="2"/>
      <c r="ES50" s="2"/>
    </row>
    <row r="51" spans="1:149" x14ac:dyDescent="0.3">
      <c r="A51" s="2"/>
      <c r="B51" s="2"/>
      <c r="C51" s="2"/>
      <c r="D51" s="2"/>
      <c r="E51" s="2"/>
      <c r="F51" s="2" cm="1">
        <f t="array" ref="F51">COUNTA(_xlfn.UNIQUE(_xlfn._xlws.FILTER(chamca[Run],(chamca[Visual ID]=A51))))</f>
        <v>1</v>
      </c>
      <c r="G51" s="2">
        <f>_xlfn.XLOOKUP(A51,RevCoreCount!A:A,RevCoreCount!B:B,)</f>
        <v>0</v>
      </c>
      <c r="H51" s="2">
        <f>_xlfn.XLOOKUP(A51,RevCoreCount!A:A,RevCoreCount!E:E,)</f>
        <v>0</v>
      </c>
      <c r="I51" s="2">
        <f>_xlfn.XLOOKUP(A51,RevCHACount!A:A,RevCHACount!B:B)</f>
        <v>0</v>
      </c>
      <c r="J51" s="2">
        <f>_xlfn.XLOOKUP(A51,RevCHACount!A:A,RevCHACount!E:E)</f>
        <v>0</v>
      </c>
      <c r="K51" s="2">
        <f>_xlfn.XLOOKUP(A51,RevLLCCount!A:A,RevLLCCount!B:B,)</f>
        <v>0</v>
      </c>
      <c r="L51" s="2">
        <f>_xlfn.XLOOKUP(A51,RevLLCCount!A:A,RevLLCCount!E:E)</f>
        <v>0</v>
      </c>
      <c r="M51" s="1">
        <f>_xlfn.XLOOKUP(A51,RevCHACount!A:A,RevCHACount!F:F)</f>
        <v>0</v>
      </c>
      <c r="N51" s="1" t="str">
        <f>_xlfn.XLOOKUP(A51,'Other Errors'!A:A,'Other Errors'!B:B,"")</f>
        <v/>
      </c>
      <c r="O51" s="2" t="e">
        <f t="shared" si="0"/>
        <v>#N/A</v>
      </c>
      <c r="P51" s="2" t="e">
        <f t="shared" si="1"/>
        <v>#N/A</v>
      </c>
      <c r="Q51" s="2" t="e">
        <f t="shared" si="2"/>
        <v>#N/A</v>
      </c>
      <c r="R51" s="2" t="e">
        <f t="shared" si="3"/>
        <v>#N/A</v>
      </c>
      <c r="S51" s="2" t="str">
        <f t="shared" si="4"/>
        <v/>
      </c>
      <c r="T51" s="2" t="str">
        <f t="shared" si="5"/>
        <v/>
      </c>
      <c r="U51" s="8" t="str" cm="1">
        <f t="array" ref="U51">_xlfn.TEXTJOIN(", ",,_xlfn.UNIQUE(_xlfn._xlws.FILTER(EM$3:FK$3,EM51:FK51&gt;0,"")))</f>
        <v/>
      </c>
      <c r="V51" s="9"/>
      <c r="EM51" s="2"/>
      <c r="EN51" s="2"/>
      <c r="EO51" s="2"/>
      <c r="EP51" s="2"/>
      <c r="EQ51" s="2"/>
      <c r="ER51" s="2"/>
      <c r="ES51" s="2"/>
    </row>
    <row r="52" spans="1:149" x14ac:dyDescent="0.3">
      <c r="A52" s="2"/>
      <c r="B52" s="2"/>
      <c r="C52" s="2"/>
      <c r="D52" s="2"/>
      <c r="E52" s="2"/>
      <c r="F52" s="2" cm="1">
        <f t="array" ref="F52">COUNTA(_xlfn.UNIQUE(_xlfn._xlws.FILTER(chamca[Run],(chamca[Visual ID]=A52))))</f>
        <v>1</v>
      </c>
      <c r="G52" s="2">
        <f>_xlfn.XLOOKUP(A52,RevCoreCount!A:A,RevCoreCount!B:B,)</f>
        <v>0</v>
      </c>
      <c r="H52" s="2">
        <f>_xlfn.XLOOKUP(A52,RevCoreCount!A:A,RevCoreCount!E:E,)</f>
        <v>0</v>
      </c>
      <c r="I52" s="2">
        <f>_xlfn.XLOOKUP(A52,RevCHACount!A:A,RevCHACount!B:B)</f>
        <v>0</v>
      </c>
      <c r="J52" s="2">
        <f>_xlfn.XLOOKUP(A52,RevCHACount!A:A,RevCHACount!E:E)</f>
        <v>0</v>
      </c>
      <c r="K52" s="2">
        <f>_xlfn.XLOOKUP(A52,RevLLCCount!A:A,RevLLCCount!B:B,)</f>
        <v>0</v>
      </c>
      <c r="L52" s="2">
        <f>_xlfn.XLOOKUP(A52,RevLLCCount!A:A,RevLLCCount!E:E)</f>
        <v>0</v>
      </c>
      <c r="M52" s="1">
        <f>_xlfn.XLOOKUP(A52,RevCHACount!A:A,RevCHACount!F:F)</f>
        <v>0</v>
      </c>
      <c r="N52" s="1" t="str">
        <f>_xlfn.XLOOKUP(A52,'Other Errors'!A:A,'Other Errors'!B:B,"")</f>
        <v/>
      </c>
      <c r="O52" s="2" t="e">
        <f t="shared" si="0"/>
        <v>#N/A</v>
      </c>
      <c r="P52" s="2" t="e">
        <f t="shared" si="1"/>
        <v>#N/A</v>
      </c>
      <c r="Q52" s="2" t="e">
        <f t="shared" si="2"/>
        <v>#N/A</v>
      </c>
      <c r="R52" s="2" t="e">
        <f t="shared" si="3"/>
        <v>#N/A</v>
      </c>
      <c r="S52" s="2" t="str">
        <f t="shared" si="4"/>
        <v/>
      </c>
      <c r="T52" s="2" t="str">
        <f t="shared" si="5"/>
        <v/>
      </c>
      <c r="U52" s="8" t="str" cm="1">
        <f t="array" ref="U52">_xlfn.TEXTJOIN(", ",,_xlfn.UNIQUE(_xlfn._xlws.FILTER(EM$3:FK$3,EM52:FK52&gt;0,"")))</f>
        <v/>
      </c>
      <c r="V52" s="9"/>
      <c r="EM52" s="2"/>
      <c r="EN52" s="2"/>
      <c r="EO52" s="2"/>
      <c r="EP52" s="2"/>
      <c r="EQ52" s="2"/>
      <c r="ER52" s="2"/>
      <c r="ES52" s="2"/>
    </row>
    <row r="53" spans="1:149" x14ac:dyDescent="0.3">
      <c r="A53" s="2"/>
      <c r="B53" s="2"/>
      <c r="C53" s="2"/>
      <c r="D53" s="2"/>
      <c r="E53" s="2"/>
      <c r="F53" s="2" cm="1">
        <f t="array" ref="F53">COUNTA(_xlfn.UNIQUE(_xlfn._xlws.FILTER(chamca[Run],(chamca[Visual ID]=A53))))</f>
        <v>1</v>
      </c>
      <c r="G53" s="2">
        <f>_xlfn.XLOOKUP(A53,RevCoreCount!A:A,RevCoreCount!B:B,)</f>
        <v>0</v>
      </c>
      <c r="H53" s="2">
        <f>_xlfn.XLOOKUP(A53,RevCoreCount!A:A,RevCoreCount!E:E,)</f>
        <v>0</v>
      </c>
      <c r="I53" s="2">
        <f>_xlfn.XLOOKUP(A53,RevCHACount!A:A,RevCHACount!B:B)</f>
        <v>0</v>
      </c>
      <c r="J53" s="2">
        <f>_xlfn.XLOOKUP(A53,RevCHACount!A:A,RevCHACount!E:E)</f>
        <v>0</v>
      </c>
      <c r="K53" s="2">
        <f>_xlfn.XLOOKUP(A53,RevLLCCount!A:A,RevLLCCount!B:B,)</f>
        <v>0</v>
      </c>
      <c r="L53" s="2">
        <f>_xlfn.XLOOKUP(A53,RevLLCCount!A:A,RevLLCCount!E:E)</f>
        <v>0</v>
      </c>
      <c r="M53" s="1">
        <f>_xlfn.XLOOKUP(A53,RevCHACount!A:A,RevCHACount!F:F)</f>
        <v>0</v>
      </c>
      <c r="N53" s="1" t="str">
        <f>_xlfn.XLOOKUP(A53,'Other Errors'!A:A,'Other Errors'!B:B,"")</f>
        <v/>
      </c>
      <c r="O53" s="2" t="e">
        <f t="shared" si="0"/>
        <v>#N/A</v>
      </c>
      <c r="P53" s="2" t="e">
        <f t="shared" si="1"/>
        <v>#N/A</v>
      </c>
      <c r="Q53" s="2" t="e">
        <f t="shared" si="2"/>
        <v>#N/A</v>
      </c>
      <c r="R53" s="2" t="e">
        <f t="shared" si="3"/>
        <v>#N/A</v>
      </c>
      <c r="S53" s="2" t="str">
        <f t="shared" si="4"/>
        <v/>
      </c>
      <c r="T53" s="2" t="str">
        <f t="shared" si="5"/>
        <v/>
      </c>
      <c r="U53" s="8" t="str" cm="1">
        <f t="array" ref="U53">_xlfn.TEXTJOIN(", ",,_xlfn.UNIQUE(_xlfn._xlws.FILTER(EM$3:FK$3,EM53:FK53&gt;0,"")))</f>
        <v/>
      </c>
      <c r="V53" s="9"/>
      <c r="EM53" s="2"/>
      <c r="EN53" s="2"/>
      <c r="EO53" s="2"/>
      <c r="EP53" s="2"/>
      <c r="EQ53" s="2"/>
      <c r="ER53" s="2"/>
      <c r="ES53" s="2"/>
    </row>
    <row r="54" spans="1:149" x14ac:dyDescent="0.3">
      <c r="A54" s="2"/>
      <c r="B54" s="2"/>
      <c r="C54" s="2"/>
      <c r="D54" s="2"/>
      <c r="E54" s="2"/>
      <c r="F54" s="2" cm="1">
        <f t="array" ref="F54">COUNTA(_xlfn.UNIQUE(_xlfn._xlws.FILTER(chamca[Run],(chamca[Visual ID]=A54))))</f>
        <v>1</v>
      </c>
      <c r="G54" s="2">
        <f>_xlfn.XLOOKUP(A54,RevCoreCount!A:A,RevCoreCount!B:B,)</f>
        <v>0</v>
      </c>
      <c r="H54" s="2">
        <f>_xlfn.XLOOKUP(A54,RevCoreCount!A:A,RevCoreCount!E:E,)</f>
        <v>0</v>
      </c>
      <c r="I54" s="2">
        <f>_xlfn.XLOOKUP(A54,RevCHACount!A:A,RevCHACount!B:B)</f>
        <v>0</v>
      </c>
      <c r="J54" s="2">
        <f>_xlfn.XLOOKUP(A54,RevCHACount!A:A,RevCHACount!E:E)</f>
        <v>0</v>
      </c>
      <c r="K54" s="2">
        <f>_xlfn.XLOOKUP(A54,RevLLCCount!A:A,RevLLCCount!B:B,)</f>
        <v>0</v>
      </c>
      <c r="L54" s="2">
        <f>_xlfn.XLOOKUP(A54,RevLLCCount!A:A,RevLLCCount!E:E)</f>
        <v>0</v>
      </c>
      <c r="M54" s="1">
        <f>_xlfn.XLOOKUP(A54,RevCHACount!A:A,RevCHACount!F:F)</f>
        <v>0</v>
      </c>
      <c r="N54" s="1" t="str">
        <f>_xlfn.XLOOKUP(A54,'Other Errors'!A:A,'Other Errors'!B:B,"")</f>
        <v/>
      </c>
      <c r="O54" s="2" t="e">
        <f t="shared" si="0"/>
        <v>#N/A</v>
      </c>
      <c r="P54" s="2" t="e">
        <f t="shared" si="1"/>
        <v>#N/A</v>
      </c>
      <c r="Q54" s="2" t="e">
        <f t="shared" si="2"/>
        <v>#N/A</v>
      </c>
      <c r="R54" s="2" t="e">
        <f t="shared" si="3"/>
        <v>#N/A</v>
      </c>
      <c r="S54" s="2" t="str">
        <f t="shared" si="4"/>
        <v/>
      </c>
      <c r="T54" s="2" t="str">
        <f t="shared" si="5"/>
        <v/>
      </c>
      <c r="U54" s="8" t="str" cm="1">
        <f t="array" ref="U54">_xlfn.TEXTJOIN(", ",,_xlfn.UNIQUE(_xlfn._xlws.FILTER(EM$3:FK$3,EM54:FK54&gt;0,"")))</f>
        <v/>
      </c>
      <c r="V54" s="9"/>
      <c r="EM54" s="2"/>
      <c r="EN54" s="2"/>
      <c r="EO54" s="2"/>
      <c r="EP54" s="2"/>
      <c r="EQ54" s="2"/>
      <c r="ER54" s="2"/>
      <c r="ES54" s="2"/>
    </row>
    <row r="55" spans="1:149" x14ac:dyDescent="0.3">
      <c r="A55" s="2"/>
      <c r="B55" s="2"/>
      <c r="C55" s="2"/>
      <c r="D55" s="2"/>
      <c r="E55" s="2"/>
      <c r="F55" s="2" cm="1">
        <f t="array" ref="F55">COUNTA(_xlfn.UNIQUE(_xlfn._xlws.FILTER(chamca[Run],(chamca[Visual ID]=A55))))</f>
        <v>1</v>
      </c>
      <c r="G55" s="2">
        <f>_xlfn.XLOOKUP(A55,RevCoreCount!A:A,RevCoreCount!B:B,)</f>
        <v>0</v>
      </c>
      <c r="H55" s="2">
        <f>_xlfn.XLOOKUP(A55,RevCoreCount!A:A,RevCoreCount!E:E,)</f>
        <v>0</v>
      </c>
      <c r="I55" s="2">
        <f>_xlfn.XLOOKUP(A55,RevCHACount!A:A,RevCHACount!B:B)</f>
        <v>0</v>
      </c>
      <c r="J55" s="2">
        <f>_xlfn.XLOOKUP(A55,RevCHACount!A:A,RevCHACount!E:E)</f>
        <v>0</v>
      </c>
      <c r="K55" s="2">
        <f>_xlfn.XLOOKUP(A55,RevLLCCount!A:A,RevLLCCount!B:B,)</f>
        <v>0</v>
      </c>
      <c r="L55" s="2">
        <f>_xlfn.XLOOKUP(A55,RevLLCCount!A:A,RevLLCCount!E:E)</f>
        <v>0</v>
      </c>
      <c r="M55" s="1">
        <f>_xlfn.XLOOKUP(A55,RevCHACount!A:A,RevCHACount!F:F)</f>
        <v>0</v>
      </c>
      <c r="N55" s="1" t="str">
        <f>_xlfn.XLOOKUP(A55,'Other Errors'!A:A,'Other Errors'!B:B,"")</f>
        <v/>
      </c>
      <c r="O55" s="2" t="e">
        <f t="shared" si="0"/>
        <v>#N/A</v>
      </c>
      <c r="P55" s="2" t="e">
        <f t="shared" si="1"/>
        <v>#N/A</v>
      </c>
      <c r="Q55" s="2" t="e">
        <f t="shared" si="2"/>
        <v>#N/A</v>
      </c>
      <c r="R55" s="2" t="e">
        <f t="shared" si="3"/>
        <v>#N/A</v>
      </c>
      <c r="S55" s="2" t="str">
        <f t="shared" si="4"/>
        <v/>
      </c>
      <c r="T55" s="2" t="str">
        <f t="shared" si="5"/>
        <v/>
      </c>
      <c r="U55" s="8" t="str" cm="1">
        <f t="array" ref="U55">_xlfn.TEXTJOIN(", ",,_xlfn.UNIQUE(_xlfn._xlws.FILTER(EM$3:FK$3,EM55:FK55&gt;0,"")))</f>
        <v/>
      </c>
      <c r="V55" s="9"/>
      <c r="EM55" s="2"/>
      <c r="EN55" s="2"/>
      <c r="EO55" s="2"/>
      <c r="EP55" s="2"/>
      <c r="EQ55" s="2"/>
      <c r="ER55" s="2"/>
      <c r="ES55" s="2"/>
    </row>
    <row r="56" spans="1:149" x14ac:dyDescent="0.3">
      <c r="A56" s="2"/>
      <c r="B56" s="2"/>
      <c r="C56" s="2"/>
      <c r="D56" s="2"/>
      <c r="E56" s="2"/>
      <c r="F56" s="2" cm="1">
        <f t="array" ref="F56">COUNTA(_xlfn.UNIQUE(_xlfn._xlws.FILTER(chamca[Run],(chamca[Visual ID]=A56))))</f>
        <v>1</v>
      </c>
      <c r="G56" s="2">
        <f>_xlfn.XLOOKUP(A56,RevCoreCount!A:A,RevCoreCount!B:B,)</f>
        <v>0</v>
      </c>
      <c r="H56" s="2">
        <f>_xlfn.XLOOKUP(A56,RevCoreCount!A:A,RevCoreCount!E:E,)</f>
        <v>0</v>
      </c>
      <c r="I56" s="2">
        <f>_xlfn.XLOOKUP(A56,RevCHACount!A:A,RevCHACount!B:B)</f>
        <v>0</v>
      </c>
      <c r="J56" s="2">
        <f>_xlfn.XLOOKUP(A56,RevCHACount!A:A,RevCHACount!E:E)</f>
        <v>0</v>
      </c>
      <c r="K56" s="2">
        <f>_xlfn.XLOOKUP(A56,RevLLCCount!A:A,RevLLCCount!B:B,)</f>
        <v>0</v>
      </c>
      <c r="L56" s="2">
        <f>_xlfn.XLOOKUP(A56,RevLLCCount!A:A,RevLLCCount!E:E)</f>
        <v>0</v>
      </c>
      <c r="M56" s="1">
        <f>_xlfn.XLOOKUP(A56,RevCHACount!A:A,RevCHACount!F:F)</f>
        <v>0</v>
      </c>
      <c r="N56" s="1" t="str">
        <f>_xlfn.XLOOKUP(A56,'Other Errors'!A:A,'Other Errors'!B:B,"")</f>
        <v/>
      </c>
      <c r="O56" s="2" t="e">
        <f t="shared" si="0"/>
        <v>#N/A</v>
      </c>
      <c r="P56" s="2" t="e">
        <f t="shared" si="1"/>
        <v>#N/A</v>
      </c>
      <c r="Q56" s="2" t="e">
        <f t="shared" si="2"/>
        <v>#N/A</v>
      </c>
      <c r="R56" s="2" t="e">
        <f t="shared" si="3"/>
        <v>#N/A</v>
      </c>
      <c r="S56" s="2" t="str">
        <f t="shared" si="4"/>
        <v/>
      </c>
      <c r="T56" s="2" t="str">
        <f t="shared" si="5"/>
        <v/>
      </c>
      <c r="U56" s="8" t="str" cm="1">
        <f t="array" ref="U56">_xlfn.TEXTJOIN(", ",,_xlfn.UNIQUE(_xlfn._xlws.FILTER(EM$3:FK$3,EM56:FK56&gt;0,"")))</f>
        <v/>
      </c>
      <c r="V56" s="9"/>
      <c r="EM56" s="2"/>
      <c r="EN56" s="2"/>
      <c r="EO56" s="2"/>
      <c r="EP56" s="2"/>
      <c r="EQ56" s="2"/>
      <c r="ER56" s="2"/>
      <c r="ES56" s="2"/>
    </row>
    <row r="57" spans="1:149" x14ac:dyDescent="0.3">
      <c r="A57" s="2"/>
      <c r="B57" s="2"/>
      <c r="C57" s="2"/>
      <c r="D57" s="2"/>
      <c r="E57" s="2"/>
      <c r="F57" s="2" cm="1">
        <f t="array" ref="F57">COUNTA(_xlfn.UNIQUE(_xlfn._xlws.FILTER(chamca[Run],(chamca[Visual ID]=A57))))</f>
        <v>1</v>
      </c>
      <c r="G57" s="2">
        <f>_xlfn.XLOOKUP(A57,RevCoreCount!A:A,RevCoreCount!B:B,)</f>
        <v>0</v>
      </c>
      <c r="H57" s="2">
        <f>_xlfn.XLOOKUP(A57,RevCoreCount!A:A,RevCoreCount!E:E,)</f>
        <v>0</v>
      </c>
      <c r="I57" s="2">
        <f>_xlfn.XLOOKUP(A57,RevCHACount!A:A,RevCHACount!B:B)</f>
        <v>0</v>
      </c>
      <c r="J57" s="2">
        <f>_xlfn.XLOOKUP(A57,RevCHACount!A:A,RevCHACount!E:E)</f>
        <v>0</v>
      </c>
      <c r="K57" s="2">
        <f>_xlfn.XLOOKUP(A57,RevLLCCount!A:A,RevLLCCount!B:B,)</f>
        <v>0</v>
      </c>
      <c r="L57" s="2">
        <f>_xlfn.XLOOKUP(A57,RevLLCCount!A:A,RevLLCCount!E:E)</f>
        <v>0</v>
      </c>
      <c r="M57" s="1">
        <f>_xlfn.XLOOKUP(A57,RevCHACount!A:A,RevCHACount!F:F)</f>
        <v>0</v>
      </c>
      <c r="N57" s="1" t="str">
        <f>_xlfn.XLOOKUP(A57,'Other Errors'!A:A,'Other Errors'!B:B,"")</f>
        <v/>
      </c>
      <c r="O57" s="2" t="e">
        <f t="shared" si="0"/>
        <v>#N/A</v>
      </c>
      <c r="P57" s="2" t="e">
        <f t="shared" si="1"/>
        <v>#N/A</v>
      </c>
      <c r="Q57" s="2" t="e">
        <f t="shared" si="2"/>
        <v>#N/A</v>
      </c>
      <c r="R57" s="2" t="e">
        <f t="shared" si="3"/>
        <v>#N/A</v>
      </c>
      <c r="S57" s="2" t="str">
        <f t="shared" si="4"/>
        <v/>
      </c>
      <c r="T57" s="2" t="str">
        <f t="shared" si="5"/>
        <v/>
      </c>
      <c r="U57" s="8" t="str" cm="1">
        <f t="array" ref="U57">_xlfn.TEXTJOIN(", ",,_xlfn.UNIQUE(_xlfn._xlws.FILTER(EM$3:FK$3,EM57:FK57&gt;0,"")))</f>
        <v/>
      </c>
      <c r="V57" s="9"/>
      <c r="EM57" s="2"/>
      <c r="EN57" s="2"/>
      <c r="EO57" s="2"/>
      <c r="EP57" s="2"/>
      <c r="EQ57" s="2"/>
      <c r="ER57" s="2"/>
      <c r="ES57" s="2"/>
    </row>
    <row r="58" spans="1:149" x14ac:dyDescent="0.3">
      <c r="A58" s="2"/>
      <c r="B58" s="2"/>
      <c r="C58" s="2"/>
      <c r="D58" s="2"/>
      <c r="E58" s="2"/>
      <c r="F58" s="2" cm="1">
        <f t="array" ref="F58">COUNTA(_xlfn.UNIQUE(_xlfn._xlws.FILTER(chamca[Run],(chamca[Visual ID]=A58))))</f>
        <v>1</v>
      </c>
      <c r="G58" s="2">
        <f>_xlfn.XLOOKUP(A58,RevCoreCount!A:A,RevCoreCount!B:B,)</f>
        <v>0</v>
      </c>
      <c r="H58" s="2">
        <f>_xlfn.XLOOKUP(A58,RevCoreCount!A:A,RevCoreCount!E:E,)</f>
        <v>0</v>
      </c>
      <c r="I58" s="2">
        <f>_xlfn.XLOOKUP(A58,RevCHACount!A:A,RevCHACount!B:B)</f>
        <v>0</v>
      </c>
      <c r="J58" s="2">
        <f>_xlfn.XLOOKUP(A58,RevCHACount!A:A,RevCHACount!E:E)</f>
        <v>0</v>
      </c>
      <c r="K58" s="2">
        <f>_xlfn.XLOOKUP(A58,RevLLCCount!A:A,RevLLCCount!B:B,)</f>
        <v>0</v>
      </c>
      <c r="L58" s="2">
        <f>_xlfn.XLOOKUP(A58,RevLLCCount!A:A,RevLLCCount!E:E)</f>
        <v>0</v>
      </c>
      <c r="M58" s="1">
        <f>_xlfn.XLOOKUP(A58,RevCHACount!A:A,RevCHACount!F:F)</f>
        <v>0</v>
      </c>
      <c r="N58" s="1" t="str">
        <f>_xlfn.XLOOKUP(A58,'Other Errors'!A:A,'Other Errors'!B:B,"")</f>
        <v/>
      </c>
      <c r="O58" s="2" t="e">
        <f t="shared" si="0"/>
        <v>#N/A</v>
      </c>
      <c r="P58" s="2" t="e">
        <f t="shared" si="1"/>
        <v>#N/A</v>
      </c>
      <c r="Q58" s="2" t="e">
        <f t="shared" si="2"/>
        <v>#N/A</v>
      </c>
      <c r="R58" s="2" t="e">
        <f t="shared" si="3"/>
        <v>#N/A</v>
      </c>
      <c r="S58" s="2" t="str">
        <f t="shared" si="4"/>
        <v/>
      </c>
      <c r="T58" s="2" t="str">
        <f t="shared" si="5"/>
        <v/>
      </c>
      <c r="U58" s="8" t="str" cm="1">
        <f t="array" ref="U58">_xlfn.TEXTJOIN(", ",,_xlfn.UNIQUE(_xlfn._xlws.FILTER(EM$3:FK$3,EM58:FK58&gt;0,"")))</f>
        <v/>
      </c>
      <c r="V58" s="9"/>
      <c r="EM58" s="2"/>
      <c r="EN58" s="2"/>
      <c r="EO58" s="2"/>
      <c r="EP58" s="2"/>
      <c r="EQ58" s="2"/>
      <c r="ER58" s="2"/>
      <c r="ES58" s="2"/>
    </row>
    <row r="59" spans="1:149" x14ac:dyDescent="0.3">
      <c r="A59" s="2"/>
      <c r="B59" s="2"/>
      <c r="C59" s="2"/>
      <c r="D59" s="2"/>
      <c r="E59" s="2"/>
      <c r="F59" s="2" cm="1">
        <f t="array" ref="F59">COUNTA(_xlfn.UNIQUE(_xlfn._xlws.FILTER(chamca[Run],(chamca[Visual ID]=A59))))</f>
        <v>1</v>
      </c>
      <c r="G59" s="2">
        <f>_xlfn.XLOOKUP(A59,RevCoreCount!A:A,RevCoreCount!B:B,)</f>
        <v>0</v>
      </c>
      <c r="H59" s="2">
        <f>_xlfn.XLOOKUP(A59,RevCoreCount!A:A,RevCoreCount!E:E,)</f>
        <v>0</v>
      </c>
      <c r="I59" s="2">
        <f>_xlfn.XLOOKUP(A59,RevCHACount!A:A,RevCHACount!B:B)</f>
        <v>0</v>
      </c>
      <c r="J59" s="2">
        <f>_xlfn.XLOOKUP(A59,RevCHACount!A:A,RevCHACount!E:E)</f>
        <v>0</v>
      </c>
      <c r="K59" s="2">
        <f>_xlfn.XLOOKUP(A59,RevLLCCount!A:A,RevLLCCount!B:B,)</f>
        <v>0</v>
      </c>
      <c r="L59" s="2">
        <f>_xlfn.XLOOKUP(A59,RevLLCCount!A:A,RevLLCCount!E:E)</f>
        <v>0</v>
      </c>
      <c r="M59" s="1">
        <f>_xlfn.XLOOKUP(A59,RevCHACount!A:A,RevCHACount!F:F)</f>
        <v>0</v>
      </c>
      <c r="N59" s="1" t="str">
        <f>_xlfn.XLOOKUP(A59,'Other Errors'!A:A,'Other Errors'!B:B,"")</f>
        <v/>
      </c>
      <c r="O59" s="2" t="e">
        <f t="shared" si="0"/>
        <v>#N/A</v>
      </c>
      <c r="P59" s="2" t="e">
        <f t="shared" si="1"/>
        <v>#N/A</v>
      </c>
      <c r="Q59" s="2" t="e">
        <f t="shared" si="2"/>
        <v>#N/A</v>
      </c>
      <c r="R59" s="2" t="e">
        <f t="shared" si="3"/>
        <v>#N/A</v>
      </c>
      <c r="S59" s="2" t="str">
        <f t="shared" si="4"/>
        <v/>
      </c>
      <c r="T59" s="2" t="str">
        <f t="shared" si="5"/>
        <v/>
      </c>
      <c r="U59" s="8" t="str" cm="1">
        <f t="array" ref="U59">_xlfn.TEXTJOIN(", ",,_xlfn.UNIQUE(_xlfn._xlws.FILTER(EM$3:FK$3,EM59:FK59&gt;0,"")))</f>
        <v/>
      </c>
      <c r="V59" s="9"/>
      <c r="EM59" s="2"/>
      <c r="EN59" s="2"/>
      <c r="EO59" s="2"/>
      <c r="EP59" s="2"/>
      <c r="EQ59" s="2"/>
      <c r="ER59" s="2"/>
      <c r="ES59" s="2"/>
    </row>
    <row r="60" spans="1:149" x14ac:dyDescent="0.3">
      <c r="A60" s="2"/>
      <c r="B60" s="2"/>
      <c r="C60" s="2"/>
      <c r="D60" s="2"/>
      <c r="E60" s="2"/>
      <c r="F60" s="2" cm="1">
        <f t="array" ref="F60">COUNTA(_xlfn.UNIQUE(_xlfn._xlws.FILTER(chamca[Run],(chamca[Visual ID]=A60))))</f>
        <v>1</v>
      </c>
      <c r="G60" s="2">
        <f>_xlfn.XLOOKUP(A60,RevCoreCount!A:A,RevCoreCount!B:B,)</f>
        <v>0</v>
      </c>
      <c r="H60" s="2">
        <f>_xlfn.XLOOKUP(A60,RevCoreCount!A:A,RevCoreCount!E:E,)</f>
        <v>0</v>
      </c>
      <c r="I60" s="2">
        <f>_xlfn.XLOOKUP(A60,RevCHACount!A:A,RevCHACount!B:B)</f>
        <v>0</v>
      </c>
      <c r="J60" s="2">
        <f>_xlfn.XLOOKUP(A60,RevCHACount!A:A,RevCHACount!E:E)</f>
        <v>0</v>
      </c>
      <c r="K60" s="2">
        <f>_xlfn.XLOOKUP(A60,RevLLCCount!A:A,RevLLCCount!B:B,)</f>
        <v>0</v>
      </c>
      <c r="L60" s="2">
        <f>_xlfn.XLOOKUP(A60,RevLLCCount!A:A,RevLLCCount!E:E)</f>
        <v>0</v>
      </c>
      <c r="M60" s="1">
        <f>_xlfn.XLOOKUP(A60,RevCHACount!A:A,RevCHACount!F:F)</f>
        <v>0</v>
      </c>
      <c r="N60" s="1" t="str">
        <f>_xlfn.XLOOKUP(A60,'Other Errors'!A:A,'Other Errors'!B:B,"")</f>
        <v/>
      </c>
      <c r="O60" s="2" t="e">
        <f t="shared" si="0"/>
        <v>#N/A</v>
      </c>
      <c r="P60" s="2" t="e">
        <f t="shared" si="1"/>
        <v>#N/A</v>
      </c>
      <c r="Q60" s="2" t="e">
        <f t="shared" si="2"/>
        <v>#N/A</v>
      </c>
      <c r="R60" s="2" t="e">
        <f t="shared" si="3"/>
        <v>#N/A</v>
      </c>
      <c r="S60" s="2" t="str">
        <f t="shared" si="4"/>
        <v/>
      </c>
      <c r="T60" s="2" t="str">
        <f t="shared" si="5"/>
        <v/>
      </c>
      <c r="U60" s="8" t="str" cm="1">
        <f t="array" ref="U60">_xlfn.TEXTJOIN(", ",,_xlfn.UNIQUE(_xlfn._xlws.FILTER(EM$3:FK$3,EM60:FK60&gt;0,"")))</f>
        <v/>
      </c>
      <c r="V60" s="9"/>
      <c r="EM60" s="2"/>
      <c r="EN60" s="2"/>
      <c r="EO60" s="2"/>
      <c r="EP60" s="2"/>
      <c r="EQ60" s="2"/>
      <c r="ER60" s="2"/>
      <c r="ES60" s="2"/>
    </row>
    <row r="61" spans="1:149" x14ac:dyDescent="0.3">
      <c r="A61" s="2"/>
      <c r="B61" s="2"/>
      <c r="C61" s="2"/>
      <c r="D61" s="2"/>
      <c r="E61" s="2"/>
      <c r="F61" s="2" cm="1">
        <f t="array" ref="F61">COUNTA(_xlfn.UNIQUE(_xlfn._xlws.FILTER(chamca[Run],(chamca[Visual ID]=A61))))</f>
        <v>1</v>
      </c>
      <c r="G61" s="2">
        <f>_xlfn.XLOOKUP(A61,RevCoreCount!A:A,RevCoreCount!B:B,)</f>
        <v>0</v>
      </c>
      <c r="H61" s="2">
        <f>_xlfn.XLOOKUP(A61,RevCoreCount!A:A,RevCoreCount!E:E,)</f>
        <v>0</v>
      </c>
      <c r="I61" s="2">
        <f>_xlfn.XLOOKUP(A61,RevCHACount!A:A,RevCHACount!B:B)</f>
        <v>0</v>
      </c>
      <c r="J61" s="2">
        <f>_xlfn.XLOOKUP(A61,RevCHACount!A:A,RevCHACount!E:E)</f>
        <v>0</v>
      </c>
      <c r="K61" s="2">
        <f>_xlfn.XLOOKUP(A61,RevLLCCount!A:A,RevLLCCount!B:B,)</f>
        <v>0</v>
      </c>
      <c r="L61" s="2">
        <f>_xlfn.XLOOKUP(A61,RevLLCCount!A:A,RevLLCCount!E:E)</f>
        <v>0</v>
      </c>
      <c r="M61" s="1">
        <f>_xlfn.XLOOKUP(A61,RevCHACount!A:A,RevCHACount!F:F)</f>
        <v>0</v>
      </c>
      <c r="N61" s="1" t="str">
        <f>_xlfn.XLOOKUP(A61,'Other Errors'!A:A,'Other Errors'!B:B,"")</f>
        <v/>
      </c>
      <c r="O61" s="2" t="e">
        <f t="shared" si="0"/>
        <v>#N/A</v>
      </c>
      <c r="P61" s="2" t="e">
        <f t="shared" si="1"/>
        <v>#N/A</v>
      </c>
      <c r="Q61" s="2" t="e">
        <f t="shared" si="2"/>
        <v>#N/A</v>
      </c>
      <c r="R61" s="2" t="e">
        <f t="shared" si="3"/>
        <v>#N/A</v>
      </c>
      <c r="S61" s="2" t="str">
        <f t="shared" si="4"/>
        <v/>
      </c>
      <c r="T61" s="2" t="str">
        <f t="shared" si="5"/>
        <v/>
      </c>
      <c r="U61" s="8" t="str" cm="1">
        <f t="array" ref="U61">_xlfn.TEXTJOIN(", ",,_xlfn.UNIQUE(_xlfn._xlws.FILTER(EM$3:FK$3,EM61:FK61&gt;0,"")))</f>
        <v/>
      </c>
      <c r="V61" s="9"/>
      <c r="EM61" s="2"/>
      <c r="EN61" s="2"/>
      <c r="EO61" s="2"/>
      <c r="EP61" s="2"/>
      <c r="EQ61" s="2"/>
      <c r="ER61" s="2"/>
      <c r="ES61" s="2"/>
    </row>
    <row r="62" spans="1:149" x14ac:dyDescent="0.3">
      <c r="A62" s="2"/>
      <c r="B62" s="2"/>
      <c r="C62" s="2"/>
      <c r="D62" s="2"/>
      <c r="E62" s="2"/>
      <c r="F62" s="2" cm="1">
        <f t="array" ref="F62">COUNTA(_xlfn.UNIQUE(_xlfn._xlws.FILTER(chamca[Run],(chamca[Visual ID]=A62))))</f>
        <v>1</v>
      </c>
      <c r="G62" s="2">
        <f>_xlfn.XLOOKUP(A62,RevCoreCount!A:A,RevCoreCount!B:B,)</f>
        <v>0</v>
      </c>
      <c r="H62" s="2">
        <f>_xlfn.XLOOKUP(A62,RevCoreCount!A:A,RevCoreCount!E:E,)</f>
        <v>0</v>
      </c>
      <c r="I62" s="2">
        <f>_xlfn.XLOOKUP(A62,RevCHACount!A:A,RevCHACount!B:B)</f>
        <v>0</v>
      </c>
      <c r="J62" s="2">
        <f>_xlfn.XLOOKUP(A62,RevCHACount!A:A,RevCHACount!E:E)</f>
        <v>0</v>
      </c>
      <c r="K62" s="2">
        <f>_xlfn.XLOOKUP(A62,RevLLCCount!A:A,RevLLCCount!B:B,)</f>
        <v>0</v>
      </c>
      <c r="L62" s="2">
        <f>_xlfn.XLOOKUP(A62,RevLLCCount!A:A,RevLLCCount!E:E)</f>
        <v>0</v>
      </c>
      <c r="M62" s="1">
        <f>_xlfn.XLOOKUP(A62,RevCHACount!A:A,RevCHACount!F:F)</f>
        <v>0</v>
      </c>
      <c r="N62" s="1" t="str">
        <f>_xlfn.XLOOKUP(A62,'Other Errors'!A:A,'Other Errors'!B:B,"")</f>
        <v/>
      </c>
      <c r="O62" s="2" t="e">
        <f t="shared" si="0"/>
        <v>#N/A</v>
      </c>
      <c r="P62" s="2" t="e">
        <f t="shared" si="1"/>
        <v>#N/A</v>
      </c>
      <c r="Q62" s="2" t="e">
        <f t="shared" si="2"/>
        <v>#N/A</v>
      </c>
      <c r="R62" s="2" t="e">
        <f t="shared" si="3"/>
        <v>#N/A</v>
      </c>
      <c r="S62" s="2" t="str">
        <f t="shared" si="4"/>
        <v/>
      </c>
      <c r="T62" s="2" t="str">
        <f t="shared" si="5"/>
        <v/>
      </c>
      <c r="U62" s="8" t="str" cm="1">
        <f t="array" ref="U62">_xlfn.TEXTJOIN(", ",,_xlfn.UNIQUE(_xlfn._xlws.FILTER(EM$3:FK$3,EM62:FK62&gt;0,"")))</f>
        <v/>
      </c>
      <c r="V62" s="9"/>
      <c r="EM62" s="2"/>
      <c r="EN62" s="2"/>
      <c r="EO62" s="2"/>
      <c r="EP62" s="2"/>
      <c r="EQ62" s="2"/>
      <c r="ER62" s="2"/>
      <c r="ES62" s="2"/>
    </row>
    <row r="63" spans="1:149" x14ac:dyDescent="0.3">
      <c r="A63" s="2"/>
      <c r="B63" s="2"/>
      <c r="C63" s="2"/>
      <c r="D63" s="2"/>
      <c r="E63" s="2"/>
      <c r="F63" s="2" cm="1">
        <f t="array" ref="F63">COUNTA(_xlfn.UNIQUE(_xlfn._xlws.FILTER(chamca[Run],(chamca[Visual ID]=A63))))</f>
        <v>1</v>
      </c>
      <c r="G63" s="2">
        <f>_xlfn.XLOOKUP(A63,RevCoreCount!A:A,RevCoreCount!B:B,)</f>
        <v>0</v>
      </c>
      <c r="H63" s="2">
        <f>_xlfn.XLOOKUP(A63,RevCoreCount!A:A,RevCoreCount!E:E,)</f>
        <v>0</v>
      </c>
      <c r="I63" s="2">
        <f>_xlfn.XLOOKUP(A63,RevCHACount!A:A,RevCHACount!B:B)</f>
        <v>0</v>
      </c>
      <c r="J63" s="2">
        <f>_xlfn.XLOOKUP(A63,RevCHACount!A:A,RevCHACount!E:E)</f>
        <v>0</v>
      </c>
      <c r="K63" s="2">
        <f>_xlfn.XLOOKUP(A63,RevLLCCount!A:A,RevLLCCount!B:B,)</f>
        <v>0</v>
      </c>
      <c r="L63" s="2">
        <f>_xlfn.XLOOKUP(A63,RevLLCCount!A:A,RevLLCCount!E:E)</f>
        <v>0</v>
      </c>
      <c r="M63" s="1">
        <f>_xlfn.XLOOKUP(A63,RevCHACount!A:A,RevCHACount!F:F)</f>
        <v>0</v>
      </c>
      <c r="N63" s="1" t="str">
        <f>_xlfn.XLOOKUP(A63,'Other Errors'!A:A,'Other Errors'!B:B,"")</f>
        <v/>
      </c>
      <c r="O63" s="2" t="e">
        <f t="shared" si="0"/>
        <v>#N/A</v>
      </c>
      <c r="P63" s="2" t="e">
        <f t="shared" si="1"/>
        <v>#N/A</v>
      </c>
      <c r="Q63" s="2" t="e">
        <f t="shared" si="2"/>
        <v>#N/A</v>
      </c>
      <c r="R63" s="2" t="e">
        <f t="shared" si="3"/>
        <v>#N/A</v>
      </c>
      <c r="S63" s="2" t="str">
        <f t="shared" si="4"/>
        <v/>
      </c>
      <c r="T63" s="2" t="str">
        <f t="shared" si="5"/>
        <v/>
      </c>
      <c r="U63" s="8" t="str" cm="1">
        <f t="array" ref="U63">_xlfn.TEXTJOIN(", ",,_xlfn.UNIQUE(_xlfn._xlws.FILTER(EM$3:FK$3,EM63:FK63&gt;0,"")))</f>
        <v/>
      </c>
      <c r="V63" s="9"/>
      <c r="EM63" s="2"/>
      <c r="EN63" s="2"/>
      <c r="EO63" s="2"/>
      <c r="EP63" s="2"/>
      <c r="EQ63" s="2"/>
      <c r="ER63" s="2"/>
      <c r="ES63" s="2"/>
    </row>
    <row r="64" spans="1:149" x14ac:dyDescent="0.3">
      <c r="A64" s="2"/>
      <c r="B64" s="2"/>
      <c r="C64" s="2"/>
      <c r="D64" s="2"/>
      <c r="E64" s="2"/>
      <c r="F64" s="2" cm="1">
        <f t="array" ref="F64">COUNTA(_xlfn.UNIQUE(_xlfn._xlws.FILTER(chamca[Run],(chamca[Visual ID]=A64))))</f>
        <v>1</v>
      </c>
      <c r="G64" s="2">
        <f>_xlfn.XLOOKUP(A64,RevCoreCount!A:A,RevCoreCount!B:B,)</f>
        <v>0</v>
      </c>
      <c r="H64" s="2">
        <f>_xlfn.XLOOKUP(A64,RevCoreCount!A:A,RevCoreCount!E:E,)</f>
        <v>0</v>
      </c>
      <c r="I64" s="2">
        <f>_xlfn.XLOOKUP(A64,RevCHACount!A:A,RevCHACount!B:B)</f>
        <v>0</v>
      </c>
      <c r="J64" s="2">
        <f>_xlfn.XLOOKUP(A64,RevCHACount!A:A,RevCHACount!E:E)</f>
        <v>0</v>
      </c>
      <c r="K64" s="2">
        <f>_xlfn.XLOOKUP(A64,RevLLCCount!A:A,RevLLCCount!B:B,)</f>
        <v>0</v>
      </c>
      <c r="L64" s="2">
        <f>_xlfn.XLOOKUP(A64,RevLLCCount!A:A,RevLLCCount!E:E)</f>
        <v>0</v>
      </c>
      <c r="M64" s="1">
        <f>_xlfn.XLOOKUP(A64,RevCHACount!A:A,RevCHACount!F:F)</f>
        <v>0</v>
      </c>
      <c r="N64" s="1" t="str">
        <f>_xlfn.XLOOKUP(A64,'Other Errors'!A:A,'Other Errors'!B:B,"")</f>
        <v/>
      </c>
      <c r="O64" s="2" t="e">
        <f t="shared" si="0"/>
        <v>#N/A</v>
      </c>
      <c r="P64" s="2" t="e">
        <f t="shared" si="1"/>
        <v>#N/A</v>
      </c>
      <c r="Q64" s="2" t="e">
        <f t="shared" si="2"/>
        <v>#N/A</v>
      </c>
      <c r="R64" s="2" t="e">
        <f t="shared" si="3"/>
        <v>#N/A</v>
      </c>
      <c r="S64" s="2" t="str">
        <f t="shared" si="4"/>
        <v/>
      </c>
      <c r="T64" s="2" t="str">
        <f t="shared" si="5"/>
        <v/>
      </c>
      <c r="U64" s="8" t="str" cm="1">
        <f t="array" ref="U64">_xlfn.TEXTJOIN(", ",,_xlfn.UNIQUE(_xlfn._xlws.FILTER(EM$3:FK$3,EM64:FK64&gt;0,"")))</f>
        <v/>
      </c>
      <c r="V64" s="9"/>
      <c r="EM64" s="2"/>
      <c r="EN64" s="2"/>
      <c r="EO64" s="2"/>
      <c r="EP64" s="2"/>
      <c r="EQ64" s="2"/>
      <c r="ER64" s="2"/>
      <c r="ES64" s="2"/>
    </row>
    <row r="65" spans="1:149" x14ac:dyDescent="0.3">
      <c r="A65" s="2"/>
      <c r="B65" s="2"/>
      <c r="C65" s="2"/>
      <c r="D65" s="2"/>
      <c r="E65" s="2"/>
      <c r="F65" s="2" cm="1">
        <f t="array" ref="F65">COUNTA(_xlfn.UNIQUE(_xlfn._xlws.FILTER(chamca[Run],(chamca[Visual ID]=A65))))</f>
        <v>1</v>
      </c>
      <c r="G65" s="2">
        <f>_xlfn.XLOOKUP(A65,RevCoreCount!A:A,RevCoreCount!B:B,)</f>
        <v>0</v>
      </c>
      <c r="H65" s="2">
        <f>_xlfn.XLOOKUP(A65,RevCoreCount!A:A,RevCoreCount!E:E,)</f>
        <v>0</v>
      </c>
      <c r="I65" s="2">
        <f>_xlfn.XLOOKUP(A65,RevCHACount!A:A,RevCHACount!B:B)</f>
        <v>0</v>
      </c>
      <c r="J65" s="2">
        <f>_xlfn.XLOOKUP(A65,RevCHACount!A:A,RevCHACount!E:E)</f>
        <v>0</v>
      </c>
      <c r="K65" s="2">
        <f>_xlfn.XLOOKUP(A65,RevLLCCount!A:A,RevLLCCount!B:B,)</f>
        <v>0</v>
      </c>
      <c r="L65" s="2">
        <f>_xlfn.XLOOKUP(A65,RevLLCCount!A:A,RevLLCCount!E:E)</f>
        <v>0</v>
      </c>
      <c r="M65" s="1">
        <f>_xlfn.XLOOKUP(A65,RevCHACount!A:A,RevCHACount!F:F)</f>
        <v>0</v>
      </c>
      <c r="N65" s="1" t="str">
        <f>_xlfn.XLOOKUP(A65,'Other Errors'!A:A,'Other Errors'!B:B,"")</f>
        <v/>
      </c>
      <c r="O65" s="2" t="e">
        <f t="shared" si="0"/>
        <v>#N/A</v>
      </c>
      <c r="P65" s="2" t="e">
        <f t="shared" si="1"/>
        <v>#N/A</v>
      </c>
      <c r="Q65" s="2" t="e">
        <f t="shared" si="2"/>
        <v>#N/A</v>
      </c>
      <c r="R65" s="2" t="e">
        <f t="shared" si="3"/>
        <v>#N/A</v>
      </c>
      <c r="S65" s="2" t="str">
        <f t="shared" si="4"/>
        <v/>
      </c>
      <c r="T65" s="2" t="str">
        <f t="shared" si="5"/>
        <v/>
      </c>
      <c r="U65" s="8" t="str" cm="1">
        <f t="array" ref="U65">_xlfn.TEXTJOIN(", ",,_xlfn.UNIQUE(_xlfn._xlws.FILTER(EM$3:FK$3,EM65:FK65&gt;0,"")))</f>
        <v/>
      </c>
      <c r="V65" s="9"/>
      <c r="EM65" s="2"/>
      <c r="EN65" s="2"/>
      <c r="EO65" s="2"/>
      <c r="EP65" s="2"/>
      <c r="EQ65" s="2"/>
      <c r="ER65" s="2"/>
      <c r="ES65" s="2"/>
    </row>
    <row r="66" spans="1:149" x14ac:dyDescent="0.3">
      <c r="A66" s="2"/>
      <c r="B66" s="2"/>
      <c r="C66" s="2"/>
      <c r="D66" s="2"/>
      <c r="E66" s="2"/>
      <c r="F66" s="2" cm="1">
        <f t="array" ref="F66">COUNTA(_xlfn.UNIQUE(_xlfn._xlws.FILTER(chamca[Run],(chamca[Visual ID]=A66))))</f>
        <v>1</v>
      </c>
      <c r="G66" s="2">
        <f>_xlfn.XLOOKUP(A66,RevCoreCount!A:A,RevCoreCount!B:B,)</f>
        <v>0</v>
      </c>
      <c r="H66" s="2">
        <f>_xlfn.XLOOKUP(A66,RevCoreCount!A:A,RevCoreCount!E:E,)</f>
        <v>0</v>
      </c>
      <c r="I66" s="2">
        <f>_xlfn.XLOOKUP(A66,RevCHACount!A:A,RevCHACount!B:B)</f>
        <v>0</v>
      </c>
      <c r="J66" s="2">
        <f>_xlfn.XLOOKUP(A66,RevCHACount!A:A,RevCHACount!E:E)</f>
        <v>0</v>
      </c>
      <c r="K66" s="2">
        <f>_xlfn.XLOOKUP(A66,RevLLCCount!A:A,RevLLCCount!B:B,)</f>
        <v>0</v>
      </c>
      <c r="L66" s="2">
        <f>_xlfn.XLOOKUP(A66,RevLLCCount!A:A,RevLLCCount!E:E)</f>
        <v>0</v>
      </c>
      <c r="M66" s="1">
        <f>_xlfn.XLOOKUP(A66,RevCHACount!A:A,RevCHACount!F:F)</f>
        <v>0</v>
      </c>
      <c r="N66" s="1" t="str">
        <f>_xlfn.XLOOKUP(A66,'Other Errors'!A:A,'Other Errors'!B:B,"")</f>
        <v/>
      </c>
      <c r="O66" s="2" t="e">
        <f t="shared" si="0"/>
        <v>#N/A</v>
      </c>
      <c r="P66" s="2" t="e">
        <f t="shared" si="1"/>
        <v>#N/A</v>
      </c>
      <c r="Q66" s="2" t="e">
        <f t="shared" si="2"/>
        <v>#N/A</v>
      </c>
      <c r="R66" s="2" t="e">
        <f t="shared" si="3"/>
        <v>#N/A</v>
      </c>
      <c r="S66" s="2" t="str">
        <f t="shared" si="4"/>
        <v/>
      </c>
      <c r="T66" s="2" t="str">
        <f t="shared" si="5"/>
        <v/>
      </c>
      <c r="U66" s="8" t="str" cm="1">
        <f t="array" ref="U66">_xlfn.TEXTJOIN(", ",,_xlfn.UNIQUE(_xlfn._xlws.FILTER(EM$3:FK$3,EM66:FK66&gt;0,"")))</f>
        <v/>
      </c>
      <c r="V66" s="9"/>
      <c r="EM66" s="2"/>
      <c r="EN66" s="2"/>
      <c r="EO66" s="2"/>
      <c r="EP66" s="2"/>
      <c r="EQ66" s="2"/>
      <c r="ER66" s="2"/>
      <c r="ES66" s="2"/>
    </row>
    <row r="67" spans="1:149" x14ac:dyDescent="0.3">
      <c r="A67" s="2"/>
      <c r="B67" s="2"/>
      <c r="C67" s="2"/>
      <c r="D67" s="2"/>
      <c r="E67" s="2"/>
      <c r="F67" s="2" cm="1">
        <f t="array" ref="F67">COUNTA(_xlfn.UNIQUE(_xlfn._xlws.FILTER(chamca[Run],(chamca[Visual ID]=A67))))</f>
        <v>1</v>
      </c>
      <c r="G67" s="2">
        <f>_xlfn.XLOOKUP(A67,RevCoreCount!A:A,RevCoreCount!B:B,)</f>
        <v>0</v>
      </c>
      <c r="H67" s="2">
        <f>_xlfn.XLOOKUP(A67,RevCoreCount!A:A,RevCoreCount!E:E,)</f>
        <v>0</v>
      </c>
      <c r="I67" s="2">
        <f>_xlfn.XLOOKUP(A67,RevCHACount!A:A,RevCHACount!B:B)</f>
        <v>0</v>
      </c>
      <c r="J67" s="2">
        <f>_xlfn.XLOOKUP(A67,RevCHACount!A:A,RevCHACount!E:E)</f>
        <v>0</v>
      </c>
      <c r="K67" s="2">
        <f>_xlfn.XLOOKUP(A67,RevLLCCount!A:A,RevLLCCount!B:B,)</f>
        <v>0</v>
      </c>
      <c r="L67" s="2">
        <f>_xlfn.XLOOKUP(A67,RevLLCCount!A:A,RevLLCCount!E:E)</f>
        <v>0</v>
      </c>
      <c r="M67" s="1">
        <f>_xlfn.XLOOKUP(A67,RevCHACount!A:A,RevCHACount!F:F)</f>
        <v>0</v>
      </c>
      <c r="N67" s="1" t="str">
        <f>_xlfn.XLOOKUP(A67,'Other Errors'!A:A,'Other Errors'!B:B,"")</f>
        <v/>
      </c>
      <c r="O67" s="2" t="e">
        <f t="shared" si="0"/>
        <v>#N/A</v>
      </c>
      <c r="P67" s="2" t="e">
        <f t="shared" si="1"/>
        <v>#N/A</v>
      </c>
      <c r="Q67" s="2" t="e">
        <f t="shared" si="2"/>
        <v>#N/A</v>
      </c>
      <c r="R67" s="2" t="e">
        <f t="shared" si="3"/>
        <v>#N/A</v>
      </c>
      <c r="S67" s="2" t="str">
        <f t="shared" si="4"/>
        <v/>
      </c>
      <c r="T67" s="2" t="str">
        <f t="shared" si="5"/>
        <v/>
      </c>
      <c r="U67" s="8" t="str" cm="1">
        <f t="array" ref="U67">_xlfn.TEXTJOIN(", ",,_xlfn.UNIQUE(_xlfn._xlws.FILTER(EM$3:FK$3,EM67:FK67&gt;0,"")))</f>
        <v/>
      </c>
      <c r="V67" s="9"/>
      <c r="EM67" s="2"/>
      <c r="EN67" s="2"/>
      <c r="EO67" s="2"/>
      <c r="EP67" s="2"/>
      <c r="EQ67" s="2"/>
      <c r="ER67" s="2"/>
      <c r="ES67" s="2"/>
    </row>
    <row r="68" spans="1:149" x14ac:dyDescent="0.3">
      <c r="A68" s="2"/>
      <c r="B68" s="2"/>
      <c r="C68" s="2"/>
      <c r="D68" s="2"/>
      <c r="E68" s="2"/>
      <c r="F68" s="2" cm="1">
        <f t="array" ref="F68">COUNTA(_xlfn.UNIQUE(_xlfn._xlws.FILTER(chamca[Run],(chamca[Visual ID]=A68))))</f>
        <v>1</v>
      </c>
      <c r="G68" s="2">
        <f>_xlfn.XLOOKUP(A68,RevCoreCount!A:A,RevCoreCount!B:B,)</f>
        <v>0</v>
      </c>
      <c r="H68" s="2">
        <f>_xlfn.XLOOKUP(A68,RevCoreCount!A:A,RevCoreCount!E:E,)</f>
        <v>0</v>
      </c>
      <c r="I68" s="2">
        <f>_xlfn.XLOOKUP(A68,RevCHACount!A:A,RevCHACount!B:B)</f>
        <v>0</v>
      </c>
      <c r="J68" s="2">
        <f>_xlfn.XLOOKUP(A68,RevCHACount!A:A,RevCHACount!E:E)</f>
        <v>0</v>
      </c>
      <c r="K68" s="2">
        <f>_xlfn.XLOOKUP(A68,RevLLCCount!A:A,RevLLCCount!B:B,)</f>
        <v>0</v>
      </c>
      <c r="L68" s="2">
        <f>_xlfn.XLOOKUP(A68,RevLLCCount!A:A,RevLLCCount!E:E)</f>
        <v>0</v>
      </c>
      <c r="M68" s="1">
        <f>_xlfn.XLOOKUP(A68,RevCHACount!A:A,RevCHACount!F:F)</f>
        <v>0</v>
      </c>
      <c r="N68" s="1" t="str">
        <f>_xlfn.XLOOKUP(A68,'Other Errors'!A:A,'Other Errors'!B:B,"")</f>
        <v/>
      </c>
      <c r="O68" s="2" t="e">
        <f t="shared" si="0"/>
        <v>#N/A</v>
      </c>
      <c r="P68" s="2" t="e">
        <f t="shared" si="1"/>
        <v>#N/A</v>
      </c>
      <c r="Q68" s="2" t="e">
        <f t="shared" si="2"/>
        <v>#N/A</v>
      </c>
      <c r="R68" s="2" t="e">
        <f t="shared" si="3"/>
        <v>#N/A</v>
      </c>
      <c r="S68" s="2" t="str">
        <f t="shared" si="4"/>
        <v/>
      </c>
      <c r="T68" s="2" t="str">
        <f t="shared" si="5"/>
        <v/>
      </c>
      <c r="U68" s="8" t="str" cm="1">
        <f t="array" ref="U68">_xlfn.TEXTJOIN(", ",,_xlfn.UNIQUE(_xlfn._xlws.FILTER(EM$3:FK$3,EM68:FK68&gt;0,"")))</f>
        <v/>
      </c>
      <c r="V68" s="9"/>
      <c r="EM68" s="2"/>
      <c r="EN68" s="2"/>
      <c r="EO68" s="2"/>
      <c r="EP68" s="2"/>
      <c r="EQ68" s="2"/>
      <c r="ER68" s="2"/>
      <c r="ES68" s="2"/>
    </row>
    <row r="69" spans="1:149" x14ac:dyDescent="0.3">
      <c r="A69" s="2"/>
      <c r="B69" s="2"/>
      <c r="C69" s="2"/>
      <c r="D69" s="2"/>
      <c r="E69" s="2"/>
      <c r="F69" s="2" cm="1">
        <f t="array" ref="F69">COUNTA(_xlfn.UNIQUE(_xlfn._xlws.FILTER(chamca[Run],(chamca[Visual ID]=A69))))</f>
        <v>1</v>
      </c>
      <c r="G69" s="2">
        <f>_xlfn.XLOOKUP(A69,RevCoreCount!A:A,RevCoreCount!B:B,)</f>
        <v>0</v>
      </c>
      <c r="H69" s="2">
        <f>_xlfn.XLOOKUP(A69,RevCoreCount!A:A,RevCoreCount!E:E,)</f>
        <v>0</v>
      </c>
      <c r="I69" s="2">
        <f>_xlfn.XLOOKUP(A69,RevCHACount!A:A,RevCHACount!B:B)</f>
        <v>0</v>
      </c>
      <c r="J69" s="2">
        <f>_xlfn.XLOOKUP(A69,RevCHACount!A:A,RevCHACount!E:E)</f>
        <v>0</v>
      </c>
      <c r="K69" s="2">
        <f>_xlfn.XLOOKUP(A69,RevLLCCount!A:A,RevLLCCount!B:B,)</f>
        <v>0</v>
      </c>
      <c r="L69" s="2">
        <f>_xlfn.XLOOKUP(A69,RevLLCCount!A:A,RevLLCCount!E:E)</f>
        <v>0</v>
      </c>
      <c r="M69" s="1">
        <f>_xlfn.XLOOKUP(A69,RevCHACount!A:A,RevCHACount!F:F)</f>
        <v>0</v>
      </c>
      <c r="N69" s="1" t="str">
        <f>_xlfn.XLOOKUP(A69,'Other Errors'!A:A,'Other Errors'!B:B,"")</f>
        <v/>
      </c>
      <c r="O69" s="2" t="e">
        <f t="shared" ref="O69:O132" si="6">_xlfn.XLOOKUP(MAX(X69:BH69),X69:BH69,X$3:BH$3)</f>
        <v>#N/A</v>
      </c>
      <c r="P69" s="2" t="e">
        <f t="shared" ref="P69:P132" si="7">_xlfn.XLOOKUP(MAX(BJ69:CO69),BJ69:CO69,BJ$3:CO$3)</f>
        <v>#N/A</v>
      </c>
      <c r="Q69" s="2" t="e">
        <f t="shared" ref="Q69:Q132" si="8">_xlfn.XLOOKUP(MAX(CZ69:DI69),CZ69:DI69,CZ$3:DI$3)</f>
        <v>#N/A</v>
      </c>
      <c r="R69" s="2" t="e">
        <f t="shared" ref="R69:R132" si="9">_xlfn.XLOOKUP(MAX(CQ69:CX69),CQ69:CX69,CQ$3:CX$3)</f>
        <v>#N/A</v>
      </c>
      <c r="S69" s="2" t="str">
        <f t="shared" ref="S69:S132" si="10">_xlfn.XLOOKUP(MAX(DK69:EI69),DK69:EI69,DK$3:EI$3,"")</f>
        <v/>
      </c>
      <c r="T69" s="2" t="str">
        <f t="shared" ref="T69:T132" si="11">_xlfn.TEXTJOIN(", ",,_xlfn.UNIQUE(_xlfn._xlws.FILTER(_xlfn.ANCHORARRAY(DK$3),DK69&gt;0,"")))</f>
        <v/>
      </c>
      <c r="U69" s="8" t="str" cm="1">
        <f t="array" ref="U69">_xlfn.TEXTJOIN(", ",,_xlfn.UNIQUE(_xlfn._xlws.FILTER(EM$3:FK$3,EM69:FK69&gt;0,"")))</f>
        <v/>
      </c>
      <c r="V69" s="9"/>
      <c r="EM69" s="2"/>
      <c r="EN69" s="2"/>
      <c r="EO69" s="2"/>
      <c r="EP69" s="2"/>
      <c r="EQ69" s="2"/>
      <c r="ER69" s="2"/>
      <c r="ES69" s="2"/>
    </row>
    <row r="70" spans="1:149" x14ac:dyDescent="0.3">
      <c r="A70" s="2"/>
      <c r="B70" s="2"/>
      <c r="C70" s="2"/>
      <c r="D70" s="2"/>
      <c r="E70" s="2"/>
      <c r="F70" s="2" cm="1">
        <f t="array" ref="F70">COUNTA(_xlfn.UNIQUE(_xlfn._xlws.FILTER(chamca[Run],(chamca[Visual ID]=A70))))</f>
        <v>1</v>
      </c>
      <c r="G70" s="2">
        <f>_xlfn.XLOOKUP(A70,RevCoreCount!A:A,RevCoreCount!B:B,)</f>
        <v>0</v>
      </c>
      <c r="H70" s="2">
        <f>_xlfn.XLOOKUP(A70,RevCoreCount!A:A,RevCoreCount!E:E,)</f>
        <v>0</v>
      </c>
      <c r="I70" s="2">
        <f>_xlfn.XLOOKUP(A70,RevCHACount!A:A,RevCHACount!B:B)</f>
        <v>0</v>
      </c>
      <c r="J70" s="2">
        <f>_xlfn.XLOOKUP(A70,RevCHACount!A:A,RevCHACount!E:E)</f>
        <v>0</v>
      </c>
      <c r="K70" s="2">
        <f>_xlfn.XLOOKUP(A70,RevLLCCount!A:A,RevLLCCount!B:B,)</f>
        <v>0</v>
      </c>
      <c r="L70" s="2">
        <f>_xlfn.XLOOKUP(A70,RevLLCCount!A:A,RevLLCCount!E:E)</f>
        <v>0</v>
      </c>
      <c r="M70" s="1">
        <f>_xlfn.XLOOKUP(A70,RevCHACount!A:A,RevCHACount!F:F)</f>
        <v>0</v>
      </c>
      <c r="N70" s="1" t="str">
        <f>_xlfn.XLOOKUP(A70,'Other Errors'!A:A,'Other Errors'!B:B,"")</f>
        <v/>
      </c>
      <c r="O70" s="2" t="e">
        <f t="shared" si="6"/>
        <v>#N/A</v>
      </c>
      <c r="P70" s="2" t="e">
        <f t="shared" si="7"/>
        <v>#N/A</v>
      </c>
      <c r="Q70" s="2" t="e">
        <f t="shared" si="8"/>
        <v>#N/A</v>
      </c>
      <c r="R70" s="2" t="e">
        <f t="shared" si="9"/>
        <v>#N/A</v>
      </c>
      <c r="S70" s="2" t="str">
        <f t="shared" si="10"/>
        <v/>
      </c>
      <c r="T70" s="2" t="str">
        <f t="shared" si="11"/>
        <v/>
      </c>
      <c r="U70" s="8" t="str" cm="1">
        <f t="array" ref="U70">_xlfn.TEXTJOIN(", ",,_xlfn.UNIQUE(_xlfn._xlws.FILTER(EM$3:FK$3,EM70:FK70&gt;0,"")))</f>
        <v/>
      </c>
      <c r="V70" s="9"/>
      <c r="EM70" s="2"/>
      <c r="EN70" s="2"/>
      <c r="EO70" s="2"/>
      <c r="EP70" s="2"/>
      <c r="EQ70" s="2"/>
      <c r="ER70" s="2"/>
      <c r="ES70" s="2"/>
    </row>
    <row r="71" spans="1:149" x14ac:dyDescent="0.3">
      <c r="A71" s="2"/>
      <c r="B71" s="2"/>
      <c r="C71" s="2"/>
      <c r="D71" s="2"/>
      <c r="E71" s="2"/>
      <c r="F71" s="2" cm="1">
        <f t="array" ref="F71">COUNTA(_xlfn.UNIQUE(_xlfn._xlws.FILTER(chamca[Run],(chamca[Visual ID]=A71))))</f>
        <v>1</v>
      </c>
      <c r="G71" s="2">
        <f>_xlfn.XLOOKUP(A71,RevCoreCount!A:A,RevCoreCount!B:B,)</f>
        <v>0</v>
      </c>
      <c r="H71" s="2">
        <f>_xlfn.XLOOKUP(A71,RevCoreCount!A:A,RevCoreCount!E:E,)</f>
        <v>0</v>
      </c>
      <c r="I71" s="2">
        <f>_xlfn.XLOOKUP(A71,RevCHACount!A:A,RevCHACount!B:B)</f>
        <v>0</v>
      </c>
      <c r="J71" s="2">
        <f>_xlfn.XLOOKUP(A71,RevCHACount!A:A,RevCHACount!E:E)</f>
        <v>0</v>
      </c>
      <c r="K71" s="2">
        <f>_xlfn.XLOOKUP(A71,RevLLCCount!A:A,RevLLCCount!B:B,)</f>
        <v>0</v>
      </c>
      <c r="L71" s="2">
        <f>_xlfn.XLOOKUP(A71,RevLLCCount!A:A,RevLLCCount!E:E)</f>
        <v>0</v>
      </c>
      <c r="M71" s="1">
        <f>_xlfn.XLOOKUP(A71,RevCHACount!A:A,RevCHACount!F:F)</f>
        <v>0</v>
      </c>
      <c r="N71" s="1" t="str">
        <f>_xlfn.XLOOKUP(A71,'Other Errors'!A:A,'Other Errors'!B:B,"")</f>
        <v/>
      </c>
      <c r="O71" s="2" t="e">
        <f t="shared" si="6"/>
        <v>#N/A</v>
      </c>
      <c r="P71" s="2" t="e">
        <f t="shared" si="7"/>
        <v>#N/A</v>
      </c>
      <c r="Q71" s="2" t="e">
        <f t="shared" si="8"/>
        <v>#N/A</v>
      </c>
      <c r="R71" s="2" t="e">
        <f t="shared" si="9"/>
        <v>#N/A</v>
      </c>
      <c r="S71" s="2" t="str">
        <f t="shared" si="10"/>
        <v/>
      </c>
      <c r="T71" s="2" t="str">
        <f t="shared" si="11"/>
        <v/>
      </c>
      <c r="U71" s="8" t="str" cm="1">
        <f t="array" ref="U71">_xlfn.TEXTJOIN(", ",,_xlfn.UNIQUE(_xlfn._xlws.FILTER(EM$3:FK$3,EM71:FK71&gt;0,"")))</f>
        <v/>
      </c>
      <c r="V71" s="9"/>
      <c r="EM71" s="2"/>
      <c r="EN71" s="2"/>
      <c r="EO71" s="2"/>
      <c r="EP71" s="2"/>
      <c r="EQ71" s="2"/>
      <c r="ER71" s="2"/>
      <c r="ES71" s="2"/>
    </row>
    <row r="72" spans="1:149" x14ac:dyDescent="0.3">
      <c r="A72" s="2"/>
      <c r="B72" s="2"/>
      <c r="C72" s="2"/>
      <c r="D72" s="2"/>
      <c r="E72" s="2"/>
      <c r="F72" s="2" cm="1">
        <f t="array" ref="F72">COUNTA(_xlfn.UNIQUE(_xlfn._xlws.FILTER(chamca[Run],(chamca[Visual ID]=A72))))</f>
        <v>1</v>
      </c>
      <c r="G72" s="2">
        <f>_xlfn.XLOOKUP(A72,RevCoreCount!A:A,RevCoreCount!B:B,)</f>
        <v>0</v>
      </c>
      <c r="H72" s="2">
        <f>_xlfn.XLOOKUP(A72,RevCoreCount!A:A,RevCoreCount!E:E,)</f>
        <v>0</v>
      </c>
      <c r="I72" s="2">
        <f>_xlfn.XLOOKUP(A72,RevCHACount!A:A,RevCHACount!B:B)</f>
        <v>0</v>
      </c>
      <c r="J72" s="2">
        <f>_xlfn.XLOOKUP(A72,RevCHACount!A:A,RevCHACount!E:E)</f>
        <v>0</v>
      </c>
      <c r="K72" s="2">
        <f>_xlfn.XLOOKUP(A72,RevLLCCount!A:A,RevLLCCount!B:B,)</f>
        <v>0</v>
      </c>
      <c r="L72" s="2">
        <f>_xlfn.XLOOKUP(A72,RevLLCCount!A:A,RevLLCCount!E:E)</f>
        <v>0</v>
      </c>
      <c r="M72" s="1">
        <f>_xlfn.XLOOKUP(A72,RevCHACount!A:A,RevCHACount!F:F)</f>
        <v>0</v>
      </c>
      <c r="N72" s="1" t="str">
        <f>_xlfn.XLOOKUP(A72,'Other Errors'!A:A,'Other Errors'!B:B,"")</f>
        <v/>
      </c>
      <c r="O72" s="2" t="e">
        <f t="shared" si="6"/>
        <v>#N/A</v>
      </c>
      <c r="P72" s="2" t="e">
        <f t="shared" si="7"/>
        <v>#N/A</v>
      </c>
      <c r="Q72" s="2" t="e">
        <f t="shared" si="8"/>
        <v>#N/A</v>
      </c>
      <c r="R72" s="2" t="e">
        <f t="shared" si="9"/>
        <v>#N/A</v>
      </c>
      <c r="S72" s="2" t="str">
        <f t="shared" si="10"/>
        <v/>
      </c>
      <c r="T72" s="2" t="str">
        <f t="shared" si="11"/>
        <v/>
      </c>
      <c r="U72" s="8" t="str" cm="1">
        <f t="array" ref="U72">_xlfn.TEXTJOIN(", ",,_xlfn.UNIQUE(_xlfn._xlws.FILTER(EM$3:FK$3,EM72:FK72&gt;0,"")))</f>
        <v/>
      </c>
      <c r="V72" s="9"/>
      <c r="EM72" s="2"/>
      <c r="EN72" s="2"/>
      <c r="EO72" s="2"/>
      <c r="EP72" s="2"/>
      <c r="EQ72" s="2"/>
      <c r="ER72" s="2"/>
      <c r="ES72" s="2"/>
    </row>
    <row r="73" spans="1:149" x14ac:dyDescent="0.3">
      <c r="A73" s="2"/>
      <c r="B73" s="2"/>
      <c r="C73" s="2"/>
      <c r="D73" s="2"/>
      <c r="E73" s="2"/>
      <c r="F73" s="2" cm="1">
        <f t="array" ref="F73">COUNTA(_xlfn.UNIQUE(_xlfn._xlws.FILTER(chamca[Run],(chamca[Visual ID]=A73))))</f>
        <v>1</v>
      </c>
      <c r="G73" s="2">
        <f>_xlfn.XLOOKUP(A73,RevCoreCount!A:A,RevCoreCount!B:B,)</f>
        <v>0</v>
      </c>
      <c r="H73" s="2">
        <f>_xlfn.XLOOKUP(A73,RevCoreCount!A:A,RevCoreCount!E:E,)</f>
        <v>0</v>
      </c>
      <c r="I73" s="2">
        <f>_xlfn.XLOOKUP(A73,RevCHACount!A:A,RevCHACount!B:B)</f>
        <v>0</v>
      </c>
      <c r="J73" s="2">
        <f>_xlfn.XLOOKUP(A73,RevCHACount!A:A,RevCHACount!E:E)</f>
        <v>0</v>
      </c>
      <c r="K73" s="2">
        <f>_xlfn.XLOOKUP(A73,RevLLCCount!A:A,RevLLCCount!B:B,)</f>
        <v>0</v>
      </c>
      <c r="L73" s="2">
        <f>_xlfn.XLOOKUP(A73,RevLLCCount!A:A,RevLLCCount!E:E)</f>
        <v>0</v>
      </c>
      <c r="M73" s="1">
        <f>_xlfn.XLOOKUP(A73,RevCHACount!A:A,RevCHACount!F:F)</f>
        <v>0</v>
      </c>
      <c r="N73" s="1" t="str">
        <f>_xlfn.XLOOKUP(A73,'Other Errors'!A:A,'Other Errors'!B:B,"")</f>
        <v/>
      </c>
      <c r="O73" s="2" t="e">
        <f t="shared" si="6"/>
        <v>#N/A</v>
      </c>
      <c r="P73" s="2" t="e">
        <f t="shared" si="7"/>
        <v>#N/A</v>
      </c>
      <c r="Q73" s="2" t="e">
        <f t="shared" si="8"/>
        <v>#N/A</v>
      </c>
      <c r="R73" s="2" t="e">
        <f t="shared" si="9"/>
        <v>#N/A</v>
      </c>
      <c r="S73" s="2" t="str">
        <f t="shared" si="10"/>
        <v/>
      </c>
      <c r="T73" s="2" t="str">
        <f t="shared" si="11"/>
        <v/>
      </c>
      <c r="U73" s="8" t="str" cm="1">
        <f t="array" ref="U73">_xlfn.TEXTJOIN(", ",,_xlfn.UNIQUE(_xlfn._xlws.FILTER(EM$3:FK$3,EM73:FK73&gt;0,"")))</f>
        <v/>
      </c>
      <c r="V73" s="9"/>
      <c r="EM73" s="2"/>
      <c r="EN73" s="2"/>
      <c r="EO73" s="2"/>
      <c r="EP73" s="2"/>
      <c r="EQ73" s="2"/>
      <c r="ER73" s="2"/>
      <c r="ES73" s="2"/>
    </row>
    <row r="74" spans="1:149" x14ac:dyDescent="0.3">
      <c r="A74" s="2"/>
      <c r="B74" s="2"/>
      <c r="C74" s="2"/>
      <c r="D74" s="2"/>
      <c r="E74" s="2"/>
      <c r="F74" s="2" cm="1">
        <f t="array" ref="F74">COUNTA(_xlfn.UNIQUE(_xlfn._xlws.FILTER(chamca[Run],(chamca[Visual ID]=A74))))</f>
        <v>1</v>
      </c>
      <c r="G74" s="2">
        <f>_xlfn.XLOOKUP(A74,RevCoreCount!A:A,RevCoreCount!B:B,)</f>
        <v>0</v>
      </c>
      <c r="H74" s="2">
        <f>_xlfn.XLOOKUP(A74,RevCoreCount!A:A,RevCoreCount!E:E,)</f>
        <v>0</v>
      </c>
      <c r="I74" s="2">
        <f>_xlfn.XLOOKUP(A74,RevCHACount!A:A,RevCHACount!B:B)</f>
        <v>0</v>
      </c>
      <c r="J74" s="2">
        <f>_xlfn.XLOOKUP(A74,RevCHACount!A:A,RevCHACount!E:E)</f>
        <v>0</v>
      </c>
      <c r="K74" s="2">
        <f>_xlfn.XLOOKUP(A74,RevLLCCount!A:A,RevLLCCount!B:B,)</f>
        <v>0</v>
      </c>
      <c r="L74" s="2">
        <f>_xlfn.XLOOKUP(A74,RevLLCCount!A:A,RevLLCCount!E:E)</f>
        <v>0</v>
      </c>
      <c r="M74" s="1">
        <f>_xlfn.XLOOKUP(A74,RevCHACount!A:A,RevCHACount!F:F)</f>
        <v>0</v>
      </c>
      <c r="N74" s="1" t="str">
        <f>_xlfn.XLOOKUP(A74,'Other Errors'!A:A,'Other Errors'!B:B,"")</f>
        <v/>
      </c>
      <c r="O74" s="2" t="e">
        <f t="shared" si="6"/>
        <v>#N/A</v>
      </c>
      <c r="P74" s="2" t="e">
        <f t="shared" si="7"/>
        <v>#N/A</v>
      </c>
      <c r="Q74" s="2" t="e">
        <f t="shared" si="8"/>
        <v>#N/A</v>
      </c>
      <c r="R74" s="2" t="e">
        <f t="shared" si="9"/>
        <v>#N/A</v>
      </c>
      <c r="S74" s="2" t="str">
        <f t="shared" si="10"/>
        <v/>
      </c>
      <c r="T74" s="2" t="str">
        <f t="shared" si="11"/>
        <v/>
      </c>
      <c r="U74" s="8" t="str" cm="1">
        <f t="array" ref="U74">_xlfn.TEXTJOIN(", ",,_xlfn.UNIQUE(_xlfn._xlws.FILTER(EM$3:FK$3,EM74:FK74&gt;0,"")))</f>
        <v/>
      </c>
      <c r="V74" s="9"/>
      <c r="EM74" s="2"/>
      <c r="EN74" s="2"/>
      <c r="EO74" s="2"/>
      <c r="EP74" s="2"/>
      <c r="EQ74" s="2"/>
      <c r="ER74" s="2"/>
      <c r="ES74" s="2"/>
    </row>
    <row r="75" spans="1:149" x14ac:dyDescent="0.3">
      <c r="A75" s="2"/>
      <c r="B75" s="2"/>
      <c r="C75" s="2"/>
      <c r="D75" s="2"/>
      <c r="E75" s="2"/>
      <c r="F75" s="2" cm="1">
        <f t="array" ref="F75">COUNTA(_xlfn.UNIQUE(_xlfn._xlws.FILTER(chamca[Run],(chamca[Visual ID]=A75))))</f>
        <v>1</v>
      </c>
      <c r="G75" s="2">
        <f>_xlfn.XLOOKUP(A75,RevCoreCount!A:A,RevCoreCount!B:B,)</f>
        <v>0</v>
      </c>
      <c r="H75" s="2">
        <f>_xlfn.XLOOKUP(A75,RevCoreCount!A:A,RevCoreCount!E:E,)</f>
        <v>0</v>
      </c>
      <c r="I75" s="2">
        <f>_xlfn.XLOOKUP(A75,RevCHACount!A:A,RevCHACount!B:B)</f>
        <v>0</v>
      </c>
      <c r="J75" s="2">
        <f>_xlfn.XLOOKUP(A75,RevCHACount!A:A,RevCHACount!E:E)</f>
        <v>0</v>
      </c>
      <c r="K75" s="2">
        <f>_xlfn.XLOOKUP(A75,RevLLCCount!A:A,RevLLCCount!B:B,)</f>
        <v>0</v>
      </c>
      <c r="L75" s="2">
        <f>_xlfn.XLOOKUP(A75,RevLLCCount!A:A,RevLLCCount!E:E)</f>
        <v>0</v>
      </c>
      <c r="M75" s="1">
        <f>_xlfn.XLOOKUP(A75,RevCHACount!A:A,RevCHACount!F:F)</f>
        <v>0</v>
      </c>
      <c r="N75" s="1" t="str">
        <f>_xlfn.XLOOKUP(A75,'Other Errors'!A:A,'Other Errors'!B:B,"")</f>
        <v/>
      </c>
      <c r="O75" s="2" t="e">
        <f t="shared" si="6"/>
        <v>#N/A</v>
      </c>
      <c r="P75" s="2" t="e">
        <f t="shared" si="7"/>
        <v>#N/A</v>
      </c>
      <c r="Q75" s="2" t="e">
        <f t="shared" si="8"/>
        <v>#N/A</v>
      </c>
      <c r="R75" s="2" t="e">
        <f t="shared" si="9"/>
        <v>#N/A</v>
      </c>
      <c r="S75" s="2" t="str">
        <f t="shared" si="10"/>
        <v/>
      </c>
      <c r="T75" s="2" t="str">
        <f t="shared" si="11"/>
        <v/>
      </c>
      <c r="U75" s="8" t="str" cm="1">
        <f t="array" ref="U75">_xlfn.TEXTJOIN(", ",,_xlfn.UNIQUE(_xlfn._xlws.FILTER(EM$3:FK$3,EM75:FK75&gt;0,"")))</f>
        <v/>
      </c>
      <c r="V75" s="9"/>
      <c r="EM75" s="2"/>
      <c r="EN75" s="2"/>
      <c r="EO75" s="2"/>
      <c r="EP75" s="2"/>
      <c r="EQ75" s="2"/>
      <c r="ER75" s="2"/>
      <c r="ES75" s="2"/>
    </row>
    <row r="76" spans="1:149" x14ac:dyDescent="0.3">
      <c r="A76" s="2"/>
      <c r="B76" s="2"/>
      <c r="C76" s="2"/>
      <c r="D76" s="2"/>
      <c r="E76" s="2"/>
      <c r="F76" s="2" cm="1">
        <f t="array" ref="F76">COUNTA(_xlfn.UNIQUE(_xlfn._xlws.FILTER(chamca[Run],(chamca[Visual ID]=A76))))</f>
        <v>1</v>
      </c>
      <c r="G76" s="2">
        <f>_xlfn.XLOOKUP(A76,RevCoreCount!A:A,RevCoreCount!B:B,)</f>
        <v>0</v>
      </c>
      <c r="H76" s="2">
        <f>_xlfn.XLOOKUP(A76,RevCoreCount!A:A,RevCoreCount!E:E,)</f>
        <v>0</v>
      </c>
      <c r="I76" s="2">
        <f>_xlfn.XLOOKUP(A76,RevCHACount!A:A,RevCHACount!B:B)</f>
        <v>0</v>
      </c>
      <c r="J76" s="2">
        <f>_xlfn.XLOOKUP(A76,RevCHACount!A:A,RevCHACount!E:E)</f>
        <v>0</v>
      </c>
      <c r="K76" s="2">
        <f>_xlfn.XLOOKUP(A76,RevLLCCount!A:A,RevLLCCount!B:B,)</f>
        <v>0</v>
      </c>
      <c r="L76" s="2">
        <f>_xlfn.XLOOKUP(A76,RevLLCCount!A:A,RevLLCCount!E:E)</f>
        <v>0</v>
      </c>
      <c r="M76" s="1">
        <f>_xlfn.XLOOKUP(A76,RevCHACount!A:A,RevCHACount!F:F)</f>
        <v>0</v>
      </c>
      <c r="N76" s="1" t="str">
        <f>_xlfn.XLOOKUP(A76,'Other Errors'!A:A,'Other Errors'!B:B,"")</f>
        <v/>
      </c>
      <c r="O76" s="2" t="e">
        <f t="shared" si="6"/>
        <v>#N/A</v>
      </c>
      <c r="P76" s="2" t="e">
        <f t="shared" si="7"/>
        <v>#N/A</v>
      </c>
      <c r="Q76" s="2" t="e">
        <f t="shared" si="8"/>
        <v>#N/A</v>
      </c>
      <c r="R76" s="2" t="e">
        <f t="shared" si="9"/>
        <v>#N/A</v>
      </c>
      <c r="S76" s="2" t="str">
        <f t="shared" si="10"/>
        <v/>
      </c>
      <c r="T76" s="2" t="str">
        <f t="shared" si="11"/>
        <v/>
      </c>
      <c r="U76" s="8" t="str" cm="1">
        <f t="array" ref="U76">_xlfn.TEXTJOIN(", ",,_xlfn.UNIQUE(_xlfn._xlws.FILTER(EM$3:FK$3,EM76:FK76&gt;0,"")))</f>
        <v/>
      </c>
      <c r="V76" s="9"/>
      <c r="EM76" s="2"/>
      <c r="EN76" s="2"/>
      <c r="EO76" s="2"/>
      <c r="EP76" s="2"/>
      <c r="EQ76" s="2"/>
      <c r="ER76" s="2"/>
      <c r="ES76" s="2"/>
    </row>
    <row r="77" spans="1:149" x14ac:dyDescent="0.3">
      <c r="A77" s="2"/>
      <c r="B77" s="2"/>
      <c r="C77" s="2"/>
      <c r="D77" s="2"/>
      <c r="E77" s="2"/>
      <c r="F77" s="2" cm="1">
        <f t="array" ref="F77">COUNTA(_xlfn.UNIQUE(_xlfn._xlws.FILTER(chamca[Run],(chamca[Visual ID]=A77))))</f>
        <v>1</v>
      </c>
      <c r="G77" s="2">
        <f>_xlfn.XLOOKUP(A77,RevCoreCount!A:A,RevCoreCount!B:B,)</f>
        <v>0</v>
      </c>
      <c r="H77" s="2">
        <f>_xlfn.XLOOKUP(A77,RevCoreCount!A:A,RevCoreCount!E:E,)</f>
        <v>0</v>
      </c>
      <c r="I77" s="2">
        <f>_xlfn.XLOOKUP(A77,RevCHACount!A:A,RevCHACount!B:B)</f>
        <v>0</v>
      </c>
      <c r="J77" s="2">
        <f>_xlfn.XLOOKUP(A77,RevCHACount!A:A,RevCHACount!E:E)</f>
        <v>0</v>
      </c>
      <c r="K77" s="2">
        <f>_xlfn.XLOOKUP(A77,RevLLCCount!A:A,RevLLCCount!B:B,)</f>
        <v>0</v>
      </c>
      <c r="L77" s="2">
        <f>_xlfn.XLOOKUP(A77,RevLLCCount!A:A,RevLLCCount!E:E)</f>
        <v>0</v>
      </c>
      <c r="M77" s="1">
        <f>_xlfn.XLOOKUP(A77,RevCHACount!A:A,RevCHACount!F:F)</f>
        <v>0</v>
      </c>
      <c r="N77" s="1" t="str">
        <f>_xlfn.XLOOKUP(A77,'Other Errors'!A:A,'Other Errors'!B:B,"")</f>
        <v/>
      </c>
      <c r="O77" s="2" t="e">
        <f t="shared" si="6"/>
        <v>#N/A</v>
      </c>
      <c r="P77" s="2" t="e">
        <f t="shared" si="7"/>
        <v>#N/A</v>
      </c>
      <c r="Q77" s="2" t="e">
        <f t="shared" si="8"/>
        <v>#N/A</v>
      </c>
      <c r="R77" s="2" t="e">
        <f t="shared" si="9"/>
        <v>#N/A</v>
      </c>
      <c r="S77" s="2" t="str">
        <f t="shared" si="10"/>
        <v/>
      </c>
      <c r="T77" s="2" t="str">
        <f t="shared" si="11"/>
        <v/>
      </c>
      <c r="U77" s="8" t="str" cm="1">
        <f t="array" ref="U77">_xlfn.TEXTJOIN(", ",,_xlfn.UNIQUE(_xlfn._xlws.FILTER(EM$3:FK$3,EM77:FK77&gt;0,"")))</f>
        <v/>
      </c>
      <c r="V77" s="9"/>
      <c r="EM77" s="2"/>
      <c r="EN77" s="2"/>
      <c r="EO77" s="2"/>
      <c r="EP77" s="2"/>
      <c r="EQ77" s="2"/>
      <c r="ER77" s="2"/>
      <c r="ES77" s="2"/>
    </row>
    <row r="78" spans="1:149" x14ac:dyDescent="0.3">
      <c r="A78" s="2"/>
      <c r="B78" s="2"/>
      <c r="C78" s="2"/>
      <c r="D78" s="2"/>
      <c r="E78" s="2"/>
      <c r="F78" s="2" cm="1">
        <f t="array" ref="F78">COUNTA(_xlfn.UNIQUE(_xlfn._xlws.FILTER(chamca[Run],(chamca[Visual ID]=A78))))</f>
        <v>1</v>
      </c>
      <c r="G78" s="2">
        <f>_xlfn.XLOOKUP(A78,RevCoreCount!A:A,RevCoreCount!B:B,)</f>
        <v>0</v>
      </c>
      <c r="H78" s="2">
        <f>_xlfn.XLOOKUP(A78,RevCoreCount!A:A,RevCoreCount!E:E,)</f>
        <v>0</v>
      </c>
      <c r="I78" s="2">
        <f>_xlfn.XLOOKUP(A78,RevCHACount!A:A,RevCHACount!B:B)</f>
        <v>0</v>
      </c>
      <c r="J78" s="2">
        <f>_xlfn.XLOOKUP(A78,RevCHACount!A:A,RevCHACount!E:E)</f>
        <v>0</v>
      </c>
      <c r="K78" s="2">
        <f>_xlfn.XLOOKUP(A78,RevLLCCount!A:A,RevLLCCount!B:B,)</f>
        <v>0</v>
      </c>
      <c r="L78" s="2">
        <f>_xlfn.XLOOKUP(A78,RevLLCCount!A:A,RevLLCCount!E:E)</f>
        <v>0</v>
      </c>
      <c r="M78" s="1">
        <f>_xlfn.XLOOKUP(A78,RevCHACount!A:A,RevCHACount!F:F)</f>
        <v>0</v>
      </c>
      <c r="N78" s="1" t="str">
        <f>_xlfn.XLOOKUP(A78,'Other Errors'!A:A,'Other Errors'!B:B,"")</f>
        <v/>
      </c>
      <c r="O78" s="2" t="e">
        <f t="shared" si="6"/>
        <v>#N/A</v>
      </c>
      <c r="P78" s="2" t="e">
        <f t="shared" si="7"/>
        <v>#N/A</v>
      </c>
      <c r="Q78" s="2" t="e">
        <f t="shared" si="8"/>
        <v>#N/A</v>
      </c>
      <c r="R78" s="2" t="e">
        <f t="shared" si="9"/>
        <v>#N/A</v>
      </c>
      <c r="S78" s="2" t="str">
        <f t="shared" si="10"/>
        <v/>
      </c>
      <c r="T78" s="2" t="str">
        <f t="shared" si="11"/>
        <v/>
      </c>
      <c r="U78" s="8" t="str" cm="1">
        <f t="array" ref="U78">_xlfn.TEXTJOIN(", ",,_xlfn.UNIQUE(_xlfn._xlws.FILTER(EM$3:FK$3,EM78:FK78&gt;0,"")))</f>
        <v/>
      </c>
      <c r="V78" s="9"/>
      <c r="EM78" s="2"/>
      <c r="EN78" s="2"/>
      <c r="EO78" s="2"/>
      <c r="EP78" s="2"/>
      <c r="EQ78" s="2"/>
      <c r="ER78" s="2"/>
      <c r="ES78" s="2"/>
    </row>
    <row r="79" spans="1:149" x14ac:dyDescent="0.3">
      <c r="A79" s="2"/>
      <c r="B79" s="2"/>
      <c r="C79" s="2"/>
      <c r="D79" s="2"/>
      <c r="E79" s="2"/>
      <c r="F79" s="2" cm="1">
        <f t="array" ref="F79">COUNTA(_xlfn.UNIQUE(_xlfn._xlws.FILTER(chamca[Run],(chamca[Visual ID]=A79))))</f>
        <v>1</v>
      </c>
      <c r="G79" s="2">
        <f>_xlfn.XLOOKUP(A79,RevCoreCount!A:A,RevCoreCount!B:B,)</f>
        <v>0</v>
      </c>
      <c r="H79" s="2">
        <f>_xlfn.XLOOKUP(A79,RevCoreCount!A:A,RevCoreCount!E:E,)</f>
        <v>0</v>
      </c>
      <c r="I79" s="2">
        <f>_xlfn.XLOOKUP(A79,RevCHACount!A:A,RevCHACount!B:B)</f>
        <v>0</v>
      </c>
      <c r="J79" s="2">
        <f>_xlfn.XLOOKUP(A79,RevCHACount!A:A,RevCHACount!E:E)</f>
        <v>0</v>
      </c>
      <c r="K79" s="2">
        <f>_xlfn.XLOOKUP(A79,RevLLCCount!A:A,RevLLCCount!B:B,)</f>
        <v>0</v>
      </c>
      <c r="L79" s="2">
        <f>_xlfn.XLOOKUP(A79,RevLLCCount!A:A,RevLLCCount!E:E)</f>
        <v>0</v>
      </c>
      <c r="M79" s="1">
        <f>_xlfn.XLOOKUP(A79,RevCHACount!A:A,RevCHACount!F:F)</f>
        <v>0</v>
      </c>
      <c r="N79" s="1" t="str">
        <f>_xlfn.XLOOKUP(A79,'Other Errors'!A:A,'Other Errors'!B:B,"")</f>
        <v/>
      </c>
      <c r="O79" s="2" t="e">
        <f t="shared" si="6"/>
        <v>#N/A</v>
      </c>
      <c r="P79" s="2" t="e">
        <f t="shared" si="7"/>
        <v>#N/A</v>
      </c>
      <c r="Q79" s="2" t="e">
        <f t="shared" si="8"/>
        <v>#N/A</v>
      </c>
      <c r="R79" s="2" t="e">
        <f t="shared" si="9"/>
        <v>#N/A</v>
      </c>
      <c r="S79" s="2" t="str">
        <f t="shared" si="10"/>
        <v/>
      </c>
      <c r="T79" s="2" t="str">
        <f t="shared" si="11"/>
        <v/>
      </c>
      <c r="U79" s="8" t="str" cm="1">
        <f t="array" ref="U79">_xlfn.TEXTJOIN(", ",,_xlfn.UNIQUE(_xlfn._xlws.FILTER(EM$3:FK$3,EM79:FK79&gt;0,"")))</f>
        <v/>
      </c>
      <c r="V79" s="9"/>
      <c r="EM79" s="2"/>
      <c r="EN79" s="2"/>
      <c r="EO79" s="2"/>
      <c r="EP79" s="2"/>
      <c r="EQ79" s="2"/>
      <c r="ER79" s="2"/>
      <c r="ES79" s="2"/>
    </row>
    <row r="80" spans="1:149" x14ac:dyDescent="0.3">
      <c r="A80" s="2"/>
      <c r="B80" s="2"/>
      <c r="C80" s="2"/>
      <c r="D80" s="2"/>
      <c r="E80" s="2"/>
      <c r="F80" s="2" cm="1">
        <f t="array" ref="F80">COUNTA(_xlfn.UNIQUE(_xlfn._xlws.FILTER(chamca[Run],(chamca[Visual ID]=A80))))</f>
        <v>1</v>
      </c>
      <c r="G80" s="2">
        <f>_xlfn.XLOOKUP(A80,RevCoreCount!A:A,RevCoreCount!B:B,)</f>
        <v>0</v>
      </c>
      <c r="H80" s="2">
        <f>_xlfn.XLOOKUP(A80,RevCoreCount!A:A,RevCoreCount!E:E,)</f>
        <v>0</v>
      </c>
      <c r="I80" s="2">
        <f>_xlfn.XLOOKUP(A80,RevCHACount!A:A,RevCHACount!B:B)</f>
        <v>0</v>
      </c>
      <c r="J80" s="2">
        <f>_xlfn.XLOOKUP(A80,RevCHACount!A:A,RevCHACount!E:E)</f>
        <v>0</v>
      </c>
      <c r="K80" s="2">
        <f>_xlfn.XLOOKUP(A80,RevLLCCount!A:A,RevLLCCount!B:B,)</f>
        <v>0</v>
      </c>
      <c r="L80" s="2">
        <f>_xlfn.XLOOKUP(A80,RevLLCCount!A:A,RevLLCCount!E:E)</f>
        <v>0</v>
      </c>
      <c r="M80" s="1">
        <f>_xlfn.XLOOKUP(A80,RevCHACount!A:A,RevCHACount!F:F)</f>
        <v>0</v>
      </c>
      <c r="N80" s="1" t="str">
        <f>_xlfn.XLOOKUP(A80,'Other Errors'!A:A,'Other Errors'!B:B,"")</f>
        <v/>
      </c>
      <c r="O80" s="2" t="e">
        <f t="shared" si="6"/>
        <v>#N/A</v>
      </c>
      <c r="P80" s="2" t="e">
        <f t="shared" si="7"/>
        <v>#N/A</v>
      </c>
      <c r="Q80" s="2" t="e">
        <f t="shared" si="8"/>
        <v>#N/A</v>
      </c>
      <c r="R80" s="2" t="e">
        <f t="shared" si="9"/>
        <v>#N/A</v>
      </c>
      <c r="S80" s="2" t="str">
        <f t="shared" si="10"/>
        <v/>
      </c>
      <c r="T80" s="2" t="str">
        <f t="shared" si="11"/>
        <v/>
      </c>
      <c r="U80" s="8" t="str" cm="1">
        <f t="array" ref="U80">_xlfn.TEXTJOIN(", ",,_xlfn.UNIQUE(_xlfn._xlws.FILTER(EM$3:FK$3,EM80:FK80&gt;0,"")))</f>
        <v/>
      </c>
      <c r="V80" s="9"/>
      <c r="EM80" s="2"/>
      <c r="EN80" s="2"/>
      <c r="EO80" s="2"/>
      <c r="EP80" s="2"/>
      <c r="EQ80" s="2"/>
      <c r="ER80" s="2"/>
      <c r="ES80" s="2"/>
    </row>
    <row r="81" spans="1:149" x14ac:dyDescent="0.3">
      <c r="A81" s="2"/>
      <c r="B81" s="2"/>
      <c r="C81" s="2"/>
      <c r="D81" s="2"/>
      <c r="E81" s="2"/>
      <c r="F81" s="2" cm="1">
        <f t="array" ref="F81">COUNTA(_xlfn.UNIQUE(_xlfn._xlws.FILTER(chamca[Run],(chamca[Visual ID]=A81))))</f>
        <v>1</v>
      </c>
      <c r="G81" s="2">
        <f>_xlfn.XLOOKUP(A81,RevCoreCount!A:A,RevCoreCount!B:B,)</f>
        <v>0</v>
      </c>
      <c r="H81" s="2">
        <f>_xlfn.XLOOKUP(A81,RevCoreCount!A:A,RevCoreCount!E:E,)</f>
        <v>0</v>
      </c>
      <c r="I81" s="2">
        <f>_xlfn.XLOOKUP(A81,RevCHACount!A:A,RevCHACount!B:B)</f>
        <v>0</v>
      </c>
      <c r="J81" s="2">
        <f>_xlfn.XLOOKUP(A81,RevCHACount!A:A,RevCHACount!E:E)</f>
        <v>0</v>
      </c>
      <c r="K81" s="2">
        <f>_xlfn.XLOOKUP(A81,RevLLCCount!A:A,RevLLCCount!B:B,)</f>
        <v>0</v>
      </c>
      <c r="L81" s="2">
        <f>_xlfn.XLOOKUP(A81,RevLLCCount!A:A,RevLLCCount!E:E)</f>
        <v>0</v>
      </c>
      <c r="M81" s="1">
        <f>_xlfn.XLOOKUP(A81,RevCHACount!A:A,RevCHACount!F:F)</f>
        <v>0</v>
      </c>
      <c r="N81" s="1" t="str">
        <f>_xlfn.XLOOKUP(A81,'Other Errors'!A:A,'Other Errors'!B:B,"")</f>
        <v/>
      </c>
      <c r="O81" s="2" t="e">
        <f t="shared" si="6"/>
        <v>#N/A</v>
      </c>
      <c r="P81" s="2" t="e">
        <f t="shared" si="7"/>
        <v>#N/A</v>
      </c>
      <c r="Q81" s="2" t="e">
        <f t="shared" si="8"/>
        <v>#N/A</v>
      </c>
      <c r="R81" s="2" t="e">
        <f t="shared" si="9"/>
        <v>#N/A</v>
      </c>
      <c r="S81" s="2" t="str">
        <f t="shared" si="10"/>
        <v/>
      </c>
      <c r="T81" s="2" t="str">
        <f t="shared" si="11"/>
        <v/>
      </c>
      <c r="U81" s="8" t="str" cm="1">
        <f t="array" ref="U81">_xlfn.TEXTJOIN(", ",,_xlfn.UNIQUE(_xlfn._xlws.FILTER(EM$3:FK$3,EM81:FK81&gt;0,"")))</f>
        <v/>
      </c>
      <c r="V81" s="9"/>
      <c r="EM81" s="2"/>
      <c r="EN81" s="2"/>
      <c r="EO81" s="2"/>
      <c r="EP81" s="2"/>
      <c r="EQ81" s="2"/>
      <c r="ER81" s="2"/>
      <c r="ES81" s="2"/>
    </row>
    <row r="82" spans="1:149" x14ac:dyDescent="0.3">
      <c r="A82" s="2"/>
      <c r="B82" s="2"/>
      <c r="C82" s="2"/>
      <c r="D82" s="2"/>
      <c r="E82" s="2"/>
      <c r="F82" s="2" cm="1">
        <f t="array" ref="F82">COUNTA(_xlfn.UNIQUE(_xlfn._xlws.FILTER(chamca[Run],(chamca[Visual ID]=A82))))</f>
        <v>1</v>
      </c>
      <c r="G82" s="2">
        <f>_xlfn.XLOOKUP(A82,RevCoreCount!A:A,RevCoreCount!B:B,)</f>
        <v>0</v>
      </c>
      <c r="H82" s="2">
        <f>_xlfn.XLOOKUP(A82,RevCoreCount!A:A,RevCoreCount!E:E,)</f>
        <v>0</v>
      </c>
      <c r="I82" s="2">
        <f>_xlfn.XLOOKUP(A82,RevCHACount!A:A,RevCHACount!B:B)</f>
        <v>0</v>
      </c>
      <c r="J82" s="2">
        <f>_xlfn.XLOOKUP(A82,RevCHACount!A:A,RevCHACount!E:E)</f>
        <v>0</v>
      </c>
      <c r="K82" s="2">
        <f>_xlfn.XLOOKUP(A82,RevLLCCount!A:A,RevLLCCount!B:B,)</f>
        <v>0</v>
      </c>
      <c r="L82" s="2">
        <f>_xlfn.XLOOKUP(A82,RevLLCCount!A:A,RevLLCCount!E:E)</f>
        <v>0</v>
      </c>
      <c r="M82" s="1">
        <f>_xlfn.XLOOKUP(A82,RevCHACount!A:A,RevCHACount!F:F)</f>
        <v>0</v>
      </c>
      <c r="N82" s="1" t="str">
        <f>_xlfn.XLOOKUP(A82,'Other Errors'!A:A,'Other Errors'!B:B,"")</f>
        <v/>
      </c>
      <c r="O82" s="2" t="e">
        <f t="shared" si="6"/>
        <v>#N/A</v>
      </c>
      <c r="P82" s="2" t="e">
        <f t="shared" si="7"/>
        <v>#N/A</v>
      </c>
      <c r="Q82" s="2" t="e">
        <f t="shared" si="8"/>
        <v>#N/A</v>
      </c>
      <c r="R82" s="2" t="e">
        <f t="shared" si="9"/>
        <v>#N/A</v>
      </c>
      <c r="S82" s="2" t="str">
        <f t="shared" si="10"/>
        <v/>
      </c>
      <c r="T82" s="2" t="str">
        <f t="shared" si="11"/>
        <v/>
      </c>
      <c r="U82" s="8" t="str" cm="1">
        <f t="array" ref="U82">_xlfn.TEXTJOIN(", ",,_xlfn.UNIQUE(_xlfn._xlws.FILTER(EM$3:FK$3,EM82:FK82&gt;0,"")))</f>
        <v/>
      </c>
      <c r="V82" s="9"/>
      <c r="EM82" s="2"/>
      <c r="EN82" s="2"/>
      <c r="EO82" s="2"/>
      <c r="EP82" s="2"/>
      <c r="EQ82" s="2"/>
      <c r="ER82" s="2"/>
      <c r="ES82" s="2"/>
    </row>
    <row r="83" spans="1:149" x14ac:dyDescent="0.3">
      <c r="A83" s="2"/>
      <c r="B83" s="2"/>
      <c r="C83" s="2"/>
      <c r="D83" s="2"/>
      <c r="E83" s="2"/>
      <c r="F83" s="2" cm="1">
        <f t="array" ref="F83">COUNTA(_xlfn.UNIQUE(_xlfn._xlws.FILTER(chamca[Run],(chamca[Visual ID]=A83))))</f>
        <v>1</v>
      </c>
      <c r="G83" s="2">
        <f>_xlfn.XLOOKUP(A83,RevCoreCount!A:A,RevCoreCount!B:B,)</f>
        <v>0</v>
      </c>
      <c r="H83" s="2">
        <f>_xlfn.XLOOKUP(A83,RevCoreCount!A:A,RevCoreCount!E:E,)</f>
        <v>0</v>
      </c>
      <c r="I83" s="2">
        <f>_xlfn.XLOOKUP(A83,RevCHACount!A:A,RevCHACount!B:B)</f>
        <v>0</v>
      </c>
      <c r="J83" s="2">
        <f>_xlfn.XLOOKUP(A83,RevCHACount!A:A,RevCHACount!E:E)</f>
        <v>0</v>
      </c>
      <c r="K83" s="2">
        <f>_xlfn.XLOOKUP(A83,RevLLCCount!A:A,RevLLCCount!B:B,)</f>
        <v>0</v>
      </c>
      <c r="L83" s="2">
        <f>_xlfn.XLOOKUP(A83,RevLLCCount!A:A,RevLLCCount!E:E)</f>
        <v>0</v>
      </c>
      <c r="M83" s="1">
        <f>_xlfn.XLOOKUP(A83,RevCHACount!A:A,RevCHACount!F:F)</f>
        <v>0</v>
      </c>
      <c r="N83" s="1" t="str">
        <f>_xlfn.XLOOKUP(A83,'Other Errors'!A:A,'Other Errors'!B:B,"")</f>
        <v/>
      </c>
      <c r="O83" s="2" t="e">
        <f t="shared" si="6"/>
        <v>#N/A</v>
      </c>
      <c r="P83" s="2" t="e">
        <f t="shared" si="7"/>
        <v>#N/A</v>
      </c>
      <c r="Q83" s="2" t="e">
        <f t="shared" si="8"/>
        <v>#N/A</v>
      </c>
      <c r="R83" s="2" t="e">
        <f t="shared" si="9"/>
        <v>#N/A</v>
      </c>
      <c r="S83" s="2" t="str">
        <f t="shared" si="10"/>
        <v/>
      </c>
      <c r="T83" s="2" t="str">
        <f t="shared" si="11"/>
        <v/>
      </c>
      <c r="U83" s="8" t="str" cm="1">
        <f t="array" ref="U83">_xlfn.TEXTJOIN(", ",,_xlfn.UNIQUE(_xlfn._xlws.FILTER(EM$3:FK$3,EM83:FK83&gt;0,"")))</f>
        <v/>
      </c>
      <c r="V83" s="9"/>
      <c r="EM83" s="2"/>
      <c r="EN83" s="2"/>
      <c r="EO83" s="2"/>
      <c r="EP83" s="2"/>
      <c r="EQ83" s="2"/>
      <c r="ER83" s="2"/>
      <c r="ES83" s="2"/>
    </row>
    <row r="84" spans="1:149" x14ac:dyDescent="0.3">
      <c r="C84" s="2"/>
      <c r="F84" s="2" cm="1">
        <f t="array" ref="F84">COUNTA(_xlfn.UNIQUE(_xlfn._xlws.FILTER(chamca[Run],(chamca[Visual ID]=A84))))</f>
        <v>1</v>
      </c>
      <c r="G84" s="2">
        <f>_xlfn.XLOOKUP(A84,RevCoreCount!A:A,RevCoreCount!B:B,)</f>
        <v>0</v>
      </c>
      <c r="H84" s="2">
        <f>_xlfn.XLOOKUP(A84,RevCoreCount!A:A,RevCoreCount!E:E,)</f>
        <v>0</v>
      </c>
      <c r="I84" s="2">
        <f>_xlfn.XLOOKUP(A84,RevCHACount!A:A,RevCHACount!B:B)</f>
        <v>0</v>
      </c>
      <c r="J84" s="2">
        <f>_xlfn.XLOOKUP(A84,RevCHACount!A:A,RevCHACount!E:E)</f>
        <v>0</v>
      </c>
      <c r="K84" s="2">
        <f>_xlfn.XLOOKUP(A84,RevLLCCount!A:A,RevLLCCount!B:B,)</f>
        <v>0</v>
      </c>
      <c r="L84" s="2">
        <f>_xlfn.XLOOKUP(A84,RevLLCCount!A:A,RevLLCCount!E:E)</f>
        <v>0</v>
      </c>
      <c r="M84" s="1">
        <f>_xlfn.XLOOKUP(A84,RevCHACount!A:A,RevCHACount!F:F)</f>
        <v>0</v>
      </c>
      <c r="N84" s="1" t="str">
        <f>_xlfn.XLOOKUP(A84,'Other Errors'!A:A,'Other Errors'!B:B,"")</f>
        <v/>
      </c>
      <c r="O84" s="2" t="e">
        <f t="shared" si="6"/>
        <v>#N/A</v>
      </c>
      <c r="P84" s="2" t="e">
        <f t="shared" si="7"/>
        <v>#N/A</v>
      </c>
      <c r="Q84" s="2" t="e">
        <f t="shared" si="8"/>
        <v>#N/A</v>
      </c>
      <c r="R84" s="2" t="e">
        <f t="shared" si="9"/>
        <v>#N/A</v>
      </c>
      <c r="S84" s="2" t="str">
        <f t="shared" si="10"/>
        <v/>
      </c>
      <c r="T84" s="2" t="str">
        <f t="shared" si="11"/>
        <v/>
      </c>
      <c r="U84" s="8" t="str" cm="1">
        <f t="array" ref="U84">_xlfn.TEXTJOIN(", ",,_xlfn.UNIQUE(_xlfn._xlws.FILTER(EM$3:FK$3,EM84:FK84&gt;0,"")))</f>
        <v/>
      </c>
      <c r="V84" s="9"/>
      <c r="EM84" s="2"/>
      <c r="EN84" s="2"/>
      <c r="EO84" s="2"/>
      <c r="EP84" s="2"/>
      <c r="EQ84" s="2"/>
      <c r="ER84" s="2"/>
      <c r="ES84" s="2"/>
    </row>
    <row r="85" spans="1:149" x14ac:dyDescent="0.3">
      <c r="C85" s="2"/>
      <c r="F85" s="2" cm="1">
        <f t="array" ref="F85">COUNTA(_xlfn.UNIQUE(_xlfn._xlws.FILTER(chamca[Run],(chamca[Visual ID]=A85))))</f>
        <v>1</v>
      </c>
      <c r="G85" s="2">
        <f>_xlfn.XLOOKUP(A85,RevCoreCount!A:A,RevCoreCount!B:B,)</f>
        <v>0</v>
      </c>
      <c r="H85" s="2">
        <f>_xlfn.XLOOKUP(A85,RevCoreCount!A:A,RevCoreCount!E:E,)</f>
        <v>0</v>
      </c>
      <c r="I85" s="2">
        <f>_xlfn.XLOOKUP(A85,RevCHACount!A:A,RevCHACount!B:B)</f>
        <v>0</v>
      </c>
      <c r="J85" s="2">
        <f>_xlfn.XLOOKUP(A85,RevCHACount!A:A,RevCHACount!E:E)</f>
        <v>0</v>
      </c>
      <c r="K85" s="2">
        <f>_xlfn.XLOOKUP(A85,RevLLCCount!A:A,RevLLCCount!B:B,)</f>
        <v>0</v>
      </c>
      <c r="L85" s="2">
        <f>_xlfn.XLOOKUP(A85,RevLLCCount!A:A,RevLLCCount!E:E)</f>
        <v>0</v>
      </c>
      <c r="M85" s="1">
        <f>_xlfn.XLOOKUP(A85,RevCHACount!A:A,RevCHACount!F:F)</f>
        <v>0</v>
      </c>
      <c r="N85" s="1" t="str">
        <f>_xlfn.XLOOKUP(A85,'Other Errors'!A:A,'Other Errors'!B:B,"")</f>
        <v/>
      </c>
      <c r="O85" s="2" t="e">
        <f t="shared" si="6"/>
        <v>#N/A</v>
      </c>
      <c r="P85" s="2" t="e">
        <f t="shared" si="7"/>
        <v>#N/A</v>
      </c>
      <c r="Q85" s="2" t="e">
        <f t="shared" si="8"/>
        <v>#N/A</v>
      </c>
      <c r="R85" s="2" t="e">
        <f t="shared" si="9"/>
        <v>#N/A</v>
      </c>
      <c r="S85" s="2" t="str">
        <f t="shared" si="10"/>
        <v/>
      </c>
      <c r="T85" s="2" t="str">
        <f t="shared" si="11"/>
        <v/>
      </c>
      <c r="U85" s="8" t="str" cm="1">
        <f t="array" ref="U85">_xlfn.TEXTJOIN(", ",,_xlfn.UNIQUE(_xlfn._xlws.FILTER(EM$3:FK$3,EM85:FK85&gt;0,"")))</f>
        <v/>
      </c>
      <c r="V85" s="9"/>
      <c r="EM85" s="2"/>
      <c r="EN85" s="2"/>
      <c r="EO85" s="2"/>
      <c r="EP85" s="2"/>
      <c r="EQ85" s="2"/>
      <c r="ER85" s="2"/>
      <c r="ES85" s="2"/>
    </row>
    <row r="86" spans="1:149" x14ac:dyDescent="0.3">
      <c r="C86" s="2"/>
      <c r="F86" s="2" cm="1">
        <f t="array" ref="F86">COUNTA(_xlfn.UNIQUE(_xlfn._xlws.FILTER(chamca[Run],(chamca[Visual ID]=A86))))</f>
        <v>1</v>
      </c>
      <c r="G86" s="2">
        <f>_xlfn.XLOOKUP(A86,RevCoreCount!A:A,RevCoreCount!B:B,)</f>
        <v>0</v>
      </c>
      <c r="H86" s="2">
        <f>_xlfn.XLOOKUP(A86,RevCoreCount!A:A,RevCoreCount!E:E,)</f>
        <v>0</v>
      </c>
      <c r="I86" s="2">
        <f>_xlfn.XLOOKUP(A86,RevCHACount!A:A,RevCHACount!B:B)</f>
        <v>0</v>
      </c>
      <c r="J86" s="2">
        <f>_xlfn.XLOOKUP(A86,RevCHACount!A:A,RevCHACount!E:E)</f>
        <v>0</v>
      </c>
      <c r="K86" s="2">
        <f>_xlfn.XLOOKUP(A86,RevLLCCount!A:A,RevLLCCount!B:B,)</f>
        <v>0</v>
      </c>
      <c r="L86" s="2">
        <f>_xlfn.XLOOKUP(A86,RevLLCCount!A:A,RevLLCCount!E:E)</f>
        <v>0</v>
      </c>
      <c r="M86" s="1">
        <f>_xlfn.XLOOKUP(A86,RevCHACount!A:A,RevCHACount!F:F)</f>
        <v>0</v>
      </c>
      <c r="N86" s="1" t="str">
        <f>_xlfn.XLOOKUP(A86,'Other Errors'!A:A,'Other Errors'!B:B,"")</f>
        <v/>
      </c>
      <c r="O86" s="2" t="e">
        <f t="shared" si="6"/>
        <v>#N/A</v>
      </c>
      <c r="P86" s="2" t="e">
        <f t="shared" si="7"/>
        <v>#N/A</v>
      </c>
      <c r="Q86" s="2" t="e">
        <f t="shared" si="8"/>
        <v>#N/A</v>
      </c>
      <c r="R86" s="2" t="e">
        <f t="shared" si="9"/>
        <v>#N/A</v>
      </c>
      <c r="S86" s="2" t="str">
        <f t="shared" si="10"/>
        <v/>
      </c>
      <c r="T86" s="2" t="str">
        <f t="shared" si="11"/>
        <v/>
      </c>
      <c r="U86" s="8" t="str" cm="1">
        <f t="array" ref="U86">_xlfn.TEXTJOIN(", ",,_xlfn.UNIQUE(_xlfn._xlws.FILTER(EM$3:FK$3,EM86:FK86&gt;0,"")))</f>
        <v/>
      </c>
      <c r="V86" s="9"/>
      <c r="EM86" s="2"/>
      <c r="EN86" s="2"/>
      <c r="EO86" s="2"/>
      <c r="EP86" s="2"/>
      <c r="EQ86" s="2"/>
      <c r="ER86" s="2"/>
      <c r="ES86" s="2"/>
    </row>
    <row r="87" spans="1:149" x14ac:dyDescent="0.3">
      <c r="C87" s="2"/>
      <c r="F87" s="2" cm="1">
        <f t="array" ref="F87">COUNTA(_xlfn.UNIQUE(_xlfn._xlws.FILTER(chamca[Run],(chamca[Visual ID]=A87))))</f>
        <v>1</v>
      </c>
      <c r="G87" s="2">
        <f>_xlfn.XLOOKUP(A87,RevCoreCount!A:A,RevCoreCount!B:B,)</f>
        <v>0</v>
      </c>
      <c r="H87" s="2">
        <f>_xlfn.XLOOKUP(A87,RevCoreCount!A:A,RevCoreCount!E:E,)</f>
        <v>0</v>
      </c>
      <c r="I87" s="2">
        <f>_xlfn.XLOOKUP(A87,RevCHACount!A:A,RevCHACount!B:B)</f>
        <v>0</v>
      </c>
      <c r="J87" s="2">
        <f>_xlfn.XLOOKUP(A87,RevCHACount!A:A,RevCHACount!E:E)</f>
        <v>0</v>
      </c>
      <c r="K87" s="2">
        <f>_xlfn.XLOOKUP(A87,RevLLCCount!A:A,RevLLCCount!B:B,)</f>
        <v>0</v>
      </c>
      <c r="L87" s="2">
        <f>_xlfn.XLOOKUP(A87,RevLLCCount!A:A,RevLLCCount!E:E)</f>
        <v>0</v>
      </c>
      <c r="M87" s="1">
        <f>_xlfn.XLOOKUP(A87,RevCHACount!A:A,RevCHACount!F:F)</f>
        <v>0</v>
      </c>
      <c r="N87" s="1" t="str">
        <f>_xlfn.XLOOKUP(A87,'Other Errors'!A:A,'Other Errors'!B:B,"")</f>
        <v/>
      </c>
      <c r="O87" s="2" t="e">
        <f t="shared" si="6"/>
        <v>#N/A</v>
      </c>
      <c r="P87" s="2" t="e">
        <f t="shared" si="7"/>
        <v>#N/A</v>
      </c>
      <c r="Q87" s="2" t="e">
        <f t="shared" si="8"/>
        <v>#N/A</v>
      </c>
      <c r="R87" s="2" t="e">
        <f t="shared" si="9"/>
        <v>#N/A</v>
      </c>
      <c r="S87" s="2" t="str">
        <f t="shared" si="10"/>
        <v/>
      </c>
      <c r="T87" s="2" t="str">
        <f t="shared" si="11"/>
        <v/>
      </c>
      <c r="U87" s="8" t="str" cm="1">
        <f t="array" ref="U87">_xlfn.TEXTJOIN(", ",,_xlfn.UNIQUE(_xlfn._xlws.FILTER(EM$3:FK$3,EM87:FK87&gt;0,"")))</f>
        <v/>
      </c>
      <c r="V87" s="9"/>
      <c r="EM87" s="2"/>
      <c r="EN87" s="2"/>
      <c r="EO87" s="2"/>
      <c r="EP87" s="2"/>
      <c r="EQ87" s="2"/>
      <c r="ER87" s="2"/>
      <c r="ES87" s="2"/>
    </row>
    <row r="88" spans="1:149" x14ac:dyDescent="0.3">
      <c r="C88" s="2"/>
      <c r="F88" s="2" cm="1">
        <f t="array" ref="F88">COUNTA(_xlfn.UNIQUE(_xlfn._xlws.FILTER(chamca[Run],(chamca[Visual ID]=A88))))</f>
        <v>1</v>
      </c>
      <c r="G88" s="2">
        <f>_xlfn.XLOOKUP(A88,RevCoreCount!A:A,RevCoreCount!B:B,)</f>
        <v>0</v>
      </c>
      <c r="H88" s="2">
        <f>_xlfn.XLOOKUP(A88,RevCoreCount!A:A,RevCoreCount!E:E,)</f>
        <v>0</v>
      </c>
      <c r="I88" s="2">
        <f>_xlfn.XLOOKUP(A88,RevCHACount!A:A,RevCHACount!B:B)</f>
        <v>0</v>
      </c>
      <c r="J88" s="2">
        <f>_xlfn.XLOOKUP(A88,RevCHACount!A:A,RevCHACount!E:E)</f>
        <v>0</v>
      </c>
      <c r="K88" s="2">
        <f>_xlfn.XLOOKUP(A88,RevLLCCount!A:A,RevLLCCount!B:B,)</f>
        <v>0</v>
      </c>
      <c r="L88" s="2">
        <f>_xlfn.XLOOKUP(A88,RevLLCCount!A:A,RevLLCCount!E:E)</f>
        <v>0</v>
      </c>
      <c r="M88" s="1">
        <f>_xlfn.XLOOKUP(A88,RevCHACount!A:A,RevCHACount!F:F)</f>
        <v>0</v>
      </c>
      <c r="N88" s="1" t="str">
        <f>_xlfn.XLOOKUP(A88,'Other Errors'!A:A,'Other Errors'!B:B,"")</f>
        <v/>
      </c>
      <c r="O88" s="2" t="e">
        <f t="shared" si="6"/>
        <v>#N/A</v>
      </c>
      <c r="P88" s="2" t="e">
        <f t="shared" si="7"/>
        <v>#N/A</v>
      </c>
      <c r="Q88" s="2" t="e">
        <f t="shared" si="8"/>
        <v>#N/A</v>
      </c>
      <c r="R88" s="2" t="e">
        <f t="shared" si="9"/>
        <v>#N/A</v>
      </c>
      <c r="S88" s="2" t="str">
        <f t="shared" si="10"/>
        <v/>
      </c>
      <c r="T88" s="2" t="str">
        <f t="shared" si="11"/>
        <v/>
      </c>
      <c r="U88" s="8" t="str" cm="1">
        <f t="array" ref="U88">_xlfn.TEXTJOIN(", ",,_xlfn.UNIQUE(_xlfn._xlws.FILTER(EM$3:FK$3,EM88:FK88&gt;0,"")))</f>
        <v/>
      </c>
      <c r="V88" s="9"/>
      <c r="EM88" s="2"/>
      <c r="EN88" s="2"/>
      <c r="EO88" s="2"/>
      <c r="EP88" s="2"/>
      <c r="EQ88" s="2"/>
      <c r="ER88" s="2"/>
      <c r="ES88" s="2"/>
    </row>
    <row r="89" spans="1:149" x14ac:dyDescent="0.3">
      <c r="C89" s="2"/>
      <c r="F89" s="2" cm="1">
        <f t="array" ref="F89">COUNTA(_xlfn.UNIQUE(_xlfn._xlws.FILTER(chamca[Run],(chamca[Visual ID]=A89))))</f>
        <v>1</v>
      </c>
      <c r="G89" s="2">
        <f>_xlfn.XLOOKUP(A89,RevCoreCount!A:A,RevCoreCount!B:B,)</f>
        <v>0</v>
      </c>
      <c r="H89" s="2">
        <f>_xlfn.XLOOKUP(A89,RevCoreCount!A:A,RevCoreCount!E:E,)</f>
        <v>0</v>
      </c>
      <c r="I89" s="2">
        <f>_xlfn.XLOOKUP(A89,RevCHACount!A:A,RevCHACount!B:B)</f>
        <v>0</v>
      </c>
      <c r="J89" s="2">
        <f>_xlfn.XLOOKUP(A89,RevCHACount!A:A,RevCHACount!E:E)</f>
        <v>0</v>
      </c>
      <c r="K89" s="2">
        <f>_xlfn.XLOOKUP(A89,RevLLCCount!A:A,RevLLCCount!B:B,)</f>
        <v>0</v>
      </c>
      <c r="L89" s="2">
        <f>_xlfn.XLOOKUP(A89,RevLLCCount!A:A,RevLLCCount!E:E)</f>
        <v>0</v>
      </c>
      <c r="M89" s="1">
        <f>_xlfn.XLOOKUP(A89,RevCHACount!A:A,RevCHACount!F:F)</f>
        <v>0</v>
      </c>
      <c r="N89" s="1" t="str">
        <f>_xlfn.XLOOKUP(A89,'Other Errors'!A:A,'Other Errors'!B:B,"")</f>
        <v/>
      </c>
      <c r="O89" s="2" t="e">
        <f t="shared" si="6"/>
        <v>#N/A</v>
      </c>
      <c r="P89" s="2" t="e">
        <f t="shared" si="7"/>
        <v>#N/A</v>
      </c>
      <c r="Q89" s="2" t="e">
        <f t="shared" si="8"/>
        <v>#N/A</v>
      </c>
      <c r="R89" s="2" t="e">
        <f t="shared" si="9"/>
        <v>#N/A</v>
      </c>
      <c r="S89" s="2" t="str">
        <f t="shared" si="10"/>
        <v/>
      </c>
      <c r="T89" s="2" t="str">
        <f t="shared" si="11"/>
        <v/>
      </c>
      <c r="U89" s="8" t="str" cm="1">
        <f t="array" ref="U89">_xlfn.TEXTJOIN(", ",,_xlfn.UNIQUE(_xlfn._xlws.FILTER(EM$3:FK$3,EM89:FK89&gt;0,"")))</f>
        <v/>
      </c>
      <c r="V89" s="9"/>
      <c r="EM89" s="2"/>
      <c r="EN89" s="2"/>
      <c r="EO89" s="2"/>
      <c r="EP89" s="2"/>
      <c r="EQ89" s="2"/>
      <c r="ER89" s="2"/>
      <c r="ES89" s="2"/>
    </row>
    <row r="90" spans="1:149" x14ac:dyDescent="0.3">
      <c r="C90" s="2"/>
      <c r="F90" s="2" cm="1">
        <f t="array" ref="F90">COUNTA(_xlfn.UNIQUE(_xlfn._xlws.FILTER(chamca[Run],(chamca[Visual ID]=A90))))</f>
        <v>1</v>
      </c>
      <c r="G90" s="2">
        <f>_xlfn.XLOOKUP(A90,RevCoreCount!A:A,RevCoreCount!B:B,)</f>
        <v>0</v>
      </c>
      <c r="H90" s="2">
        <f>_xlfn.XLOOKUP(A90,RevCoreCount!A:A,RevCoreCount!E:E,)</f>
        <v>0</v>
      </c>
      <c r="I90" s="2">
        <f>_xlfn.XLOOKUP(A90,RevCHACount!A:A,RevCHACount!B:B)</f>
        <v>0</v>
      </c>
      <c r="J90" s="2">
        <f>_xlfn.XLOOKUP(A90,RevCHACount!A:A,RevCHACount!E:E)</f>
        <v>0</v>
      </c>
      <c r="K90" s="2">
        <f>_xlfn.XLOOKUP(A90,RevLLCCount!A:A,RevLLCCount!B:B,)</f>
        <v>0</v>
      </c>
      <c r="L90" s="2">
        <f>_xlfn.XLOOKUP(A90,RevLLCCount!A:A,RevLLCCount!E:E)</f>
        <v>0</v>
      </c>
      <c r="M90" s="1">
        <f>_xlfn.XLOOKUP(A90,RevCHACount!A:A,RevCHACount!F:F)</f>
        <v>0</v>
      </c>
      <c r="N90" s="1" t="str">
        <f>_xlfn.XLOOKUP(A90,'Other Errors'!A:A,'Other Errors'!B:B,"")</f>
        <v/>
      </c>
      <c r="O90" s="2" t="e">
        <f t="shared" si="6"/>
        <v>#N/A</v>
      </c>
      <c r="P90" s="2" t="e">
        <f t="shared" si="7"/>
        <v>#N/A</v>
      </c>
      <c r="Q90" s="2" t="e">
        <f t="shared" si="8"/>
        <v>#N/A</v>
      </c>
      <c r="R90" s="2" t="e">
        <f t="shared" si="9"/>
        <v>#N/A</v>
      </c>
      <c r="S90" s="2" t="str">
        <f t="shared" si="10"/>
        <v/>
      </c>
      <c r="T90" s="2" t="str">
        <f t="shared" si="11"/>
        <v/>
      </c>
      <c r="U90" s="8" t="str" cm="1">
        <f t="array" ref="U90">_xlfn.TEXTJOIN(", ",,_xlfn.UNIQUE(_xlfn._xlws.FILTER(EM$3:FK$3,EM90:FK90&gt;0,"")))</f>
        <v/>
      </c>
      <c r="V90" s="9"/>
      <c r="EM90" s="2"/>
      <c r="EN90" s="2"/>
      <c r="EO90" s="2"/>
      <c r="EP90" s="2"/>
      <c r="EQ90" s="2"/>
      <c r="ER90" s="2"/>
      <c r="ES90" s="2"/>
    </row>
    <row r="91" spans="1:149" x14ac:dyDescent="0.3">
      <c r="C91" s="2"/>
      <c r="F91" s="2" cm="1">
        <f t="array" ref="F91">COUNTA(_xlfn.UNIQUE(_xlfn._xlws.FILTER(chamca[Run],(chamca[Visual ID]=A91))))</f>
        <v>1</v>
      </c>
      <c r="G91" s="2">
        <f>_xlfn.XLOOKUP(A91,RevCoreCount!A:A,RevCoreCount!B:B,)</f>
        <v>0</v>
      </c>
      <c r="H91" s="2">
        <f>_xlfn.XLOOKUP(A91,RevCoreCount!A:A,RevCoreCount!E:E,)</f>
        <v>0</v>
      </c>
      <c r="I91" s="2">
        <f>_xlfn.XLOOKUP(A91,RevCHACount!A:A,RevCHACount!B:B)</f>
        <v>0</v>
      </c>
      <c r="J91" s="2">
        <f>_xlfn.XLOOKUP(A91,RevCHACount!A:A,RevCHACount!E:E)</f>
        <v>0</v>
      </c>
      <c r="K91" s="2">
        <f>_xlfn.XLOOKUP(A91,RevLLCCount!A:A,RevLLCCount!B:B,)</f>
        <v>0</v>
      </c>
      <c r="L91" s="2">
        <f>_xlfn.XLOOKUP(A91,RevLLCCount!A:A,RevLLCCount!E:E)</f>
        <v>0</v>
      </c>
      <c r="M91" s="1">
        <f>_xlfn.XLOOKUP(A91,RevCHACount!A:A,RevCHACount!F:F)</f>
        <v>0</v>
      </c>
      <c r="N91" s="1" t="str">
        <f>_xlfn.XLOOKUP(A91,'Other Errors'!A:A,'Other Errors'!B:B,"")</f>
        <v/>
      </c>
      <c r="O91" s="2" t="e">
        <f t="shared" si="6"/>
        <v>#N/A</v>
      </c>
      <c r="P91" s="2" t="e">
        <f t="shared" si="7"/>
        <v>#N/A</v>
      </c>
      <c r="Q91" s="2" t="e">
        <f t="shared" si="8"/>
        <v>#N/A</v>
      </c>
      <c r="R91" s="2" t="e">
        <f t="shared" si="9"/>
        <v>#N/A</v>
      </c>
      <c r="S91" s="2" t="str">
        <f t="shared" si="10"/>
        <v/>
      </c>
      <c r="T91" s="2" t="str">
        <f t="shared" si="11"/>
        <v/>
      </c>
      <c r="U91" s="8" t="str" cm="1">
        <f t="array" ref="U91">_xlfn.TEXTJOIN(", ",,_xlfn.UNIQUE(_xlfn._xlws.FILTER(EM$3:FK$3,EM91:FK91&gt;0,"")))</f>
        <v/>
      </c>
      <c r="V91" s="9"/>
      <c r="EM91" s="2"/>
      <c r="EN91" s="2"/>
      <c r="EO91" s="2"/>
      <c r="EP91" s="2"/>
      <c r="EQ91" s="2"/>
      <c r="ER91" s="2"/>
      <c r="ES91" s="2"/>
    </row>
    <row r="92" spans="1:149" x14ac:dyDescent="0.3">
      <c r="C92" s="2"/>
      <c r="F92" s="2" cm="1">
        <f t="array" ref="F92">COUNTA(_xlfn.UNIQUE(_xlfn._xlws.FILTER(chamca[Run],(chamca[Visual ID]=A92))))</f>
        <v>1</v>
      </c>
      <c r="G92" s="2">
        <f>_xlfn.XLOOKUP(A92,RevCoreCount!A:A,RevCoreCount!B:B,)</f>
        <v>0</v>
      </c>
      <c r="H92" s="2">
        <f>_xlfn.XLOOKUP(A92,RevCoreCount!A:A,RevCoreCount!E:E,)</f>
        <v>0</v>
      </c>
      <c r="I92" s="2">
        <f>_xlfn.XLOOKUP(A92,RevCHACount!A:A,RevCHACount!B:B)</f>
        <v>0</v>
      </c>
      <c r="J92" s="2">
        <f>_xlfn.XLOOKUP(A92,RevCHACount!A:A,RevCHACount!E:E)</f>
        <v>0</v>
      </c>
      <c r="K92" s="2">
        <f>_xlfn.XLOOKUP(A92,RevLLCCount!A:A,RevLLCCount!B:B,)</f>
        <v>0</v>
      </c>
      <c r="L92" s="2">
        <f>_xlfn.XLOOKUP(A92,RevLLCCount!A:A,RevLLCCount!E:E)</f>
        <v>0</v>
      </c>
      <c r="M92" s="1">
        <f>_xlfn.XLOOKUP(A92,RevCHACount!A:A,RevCHACount!F:F)</f>
        <v>0</v>
      </c>
      <c r="N92" s="1" t="str">
        <f>_xlfn.XLOOKUP(A92,'Other Errors'!A:A,'Other Errors'!B:B,"")</f>
        <v/>
      </c>
      <c r="O92" s="2" t="e">
        <f t="shared" si="6"/>
        <v>#N/A</v>
      </c>
      <c r="P92" s="2" t="e">
        <f t="shared" si="7"/>
        <v>#N/A</v>
      </c>
      <c r="Q92" s="2" t="e">
        <f t="shared" si="8"/>
        <v>#N/A</v>
      </c>
      <c r="R92" s="2" t="e">
        <f t="shared" si="9"/>
        <v>#N/A</v>
      </c>
      <c r="S92" s="2" t="str">
        <f t="shared" si="10"/>
        <v/>
      </c>
      <c r="T92" s="2" t="str">
        <f t="shared" si="11"/>
        <v/>
      </c>
      <c r="U92" s="8" t="str" cm="1">
        <f t="array" ref="U92">_xlfn.TEXTJOIN(", ",,_xlfn.UNIQUE(_xlfn._xlws.FILTER(EM$3:FK$3,EM92:FK92&gt;0,"")))</f>
        <v/>
      </c>
      <c r="V92" s="9"/>
      <c r="EM92" s="2"/>
      <c r="EN92" s="2"/>
      <c r="EO92" s="2"/>
      <c r="EP92" s="2"/>
      <c r="EQ92" s="2"/>
      <c r="ER92" s="2"/>
      <c r="ES92" s="2"/>
    </row>
    <row r="93" spans="1:149" x14ac:dyDescent="0.3">
      <c r="C93" s="2"/>
      <c r="F93" s="2" cm="1">
        <f t="array" ref="F93">COUNTA(_xlfn.UNIQUE(_xlfn._xlws.FILTER(chamca[Run],(chamca[Visual ID]=A93))))</f>
        <v>1</v>
      </c>
      <c r="G93" s="2">
        <f>_xlfn.XLOOKUP(A93,RevCoreCount!A:A,RevCoreCount!B:B,)</f>
        <v>0</v>
      </c>
      <c r="H93" s="2">
        <f>_xlfn.XLOOKUP(A93,RevCoreCount!A:A,RevCoreCount!E:E,)</f>
        <v>0</v>
      </c>
      <c r="I93" s="2">
        <f>_xlfn.XLOOKUP(A93,RevCHACount!A:A,RevCHACount!B:B)</f>
        <v>0</v>
      </c>
      <c r="J93" s="2">
        <f>_xlfn.XLOOKUP(A93,RevCHACount!A:A,RevCHACount!E:E)</f>
        <v>0</v>
      </c>
      <c r="K93" s="2">
        <f>_xlfn.XLOOKUP(A93,RevLLCCount!A:A,RevLLCCount!B:B,)</f>
        <v>0</v>
      </c>
      <c r="L93" s="2">
        <f>_xlfn.XLOOKUP(A93,RevLLCCount!A:A,RevLLCCount!E:E)</f>
        <v>0</v>
      </c>
      <c r="M93" s="1">
        <f>_xlfn.XLOOKUP(A93,RevCHACount!A:A,RevCHACount!F:F)</f>
        <v>0</v>
      </c>
      <c r="N93" s="1" t="str">
        <f>_xlfn.XLOOKUP(A93,'Other Errors'!A:A,'Other Errors'!B:B,"")</f>
        <v/>
      </c>
      <c r="O93" s="2" t="e">
        <f t="shared" si="6"/>
        <v>#N/A</v>
      </c>
      <c r="P93" s="2" t="e">
        <f t="shared" si="7"/>
        <v>#N/A</v>
      </c>
      <c r="Q93" s="2" t="e">
        <f t="shared" si="8"/>
        <v>#N/A</v>
      </c>
      <c r="R93" s="2" t="e">
        <f t="shared" si="9"/>
        <v>#N/A</v>
      </c>
      <c r="S93" s="2" t="str">
        <f t="shared" si="10"/>
        <v/>
      </c>
      <c r="T93" s="2" t="str">
        <f t="shared" si="11"/>
        <v/>
      </c>
      <c r="U93" s="8" t="str" cm="1">
        <f t="array" ref="U93">_xlfn.TEXTJOIN(", ",,_xlfn.UNIQUE(_xlfn._xlws.FILTER(EM$3:FK$3,EM93:FK93&gt;0,"")))</f>
        <v/>
      </c>
      <c r="V93" s="9"/>
      <c r="EM93" s="2"/>
      <c r="EN93" s="2"/>
      <c r="EO93" s="2"/>
      <c r="EP93" s="2"/>
      <c r="EQ93" s="2"/>
      <c r="ER93" s="2"/>
      <c r="ES93" s="2"/>
    </row>
    <row r="94" spans="1:149" x14ac:dyDescent="0.3">
      <c r="C94" s="2"/>
      <c r="F94" s="2" cm="1">
        <f t="array" ref="F94">COUNTA(_xlfn.UNIQUE(_xlfn._xlws.FILTER(chamca[Run],(chamca[Visual ID]=A94))))</f>
        <v>1</v>
      </c>
      <c r="G94" s="2">
        <f>_xlfn.XLOOKUP(A94,RevCoreCount!A:A,RevCoreCount!B:B,)</f>
        <v>0</v>
      </c>
      <c r="H94" s="2">
        <f>_xlfn.XLOOKUP(A94,RevCoreCount!A:A,RevCoreCount!E:E,)</f>
        <v>0</v>
      </c>
      <c r="I94" s="2">
        <f>_xlfn.XLOOKUP(A94,RevCHACount!A:A,RevCHACount!B:B)</f>
        <v>0</v>
      </c>
      <c r="J94" s="2">
        <f>_xlfn.XLOOKUP(A94,RevCHACount!A:A,RevCHACount!E:E)</f>
        <v>0</v>
      </c>
      <c r="K94" s="2">
        <f>_xlfn.XLOOKUP(A94,RevLLCCount!A:A,RevLLCCount!B:B,)</f>
        <v>0</v>
      </c>
      <c r="L94" s="2">
        <f>_xlfn.XLOOKUP(A94,RevLLCCount!A:A,RevLLCCount!E:E)</f>
        <v>0</v>
      </c>
      <c r="M94" s="1">
        <f>_xlfn.XLOOKUP(A94,RevCHACount!A:A,RevCHACount!F:F)</f>
        <v>0</v>
      </c>
      <c r="N94" s="1" t="str">
        <f>_xlfn.XLOOKUP(A94,'Other Errors'!A:A,'Other Errors'!B:B,"")</f>
        <v/>
      </c>
      <c r="O94" s="2" t="e">
        <f t="shared" si="6"/>
        <v>#N/A</v>
      </c>
      <c r="P94" s="2" t="e">
        <f t="shared" si="7"/>
        <v>#N/A</v>
      </c>
      <c r="Q94" s="2" t="e">
        <f t="shared" si="8"/>
        <v>#N/A</v>
      </c>
      <c r="R94" s="2" t="e">
        <f t="shared" si="9"/>
        <v>#N/A</v>
      </c>
      <c r="S94" s="2" t="str">
        <f t="shared" si="10"/>
        <v/>
      </c>
      <c r="T94" s="2" t="str">
        <f t="shared" si="11"/>
        <v/>
      </c>
      <c r="U94" s="8" t="str" cm="1">
        <f t="array" ref="U94">_xlfn.TEXTJOIN(", ",,_xlfn.UNIQUE(_xlfn._xlws.FILTER(EM$3:FK$3,EM94:FK94&gt;0,"")))</f>
        <v/>
      </c>
      <c r="V94" s="9"/>
      <c r="EM94" s="2"/>
      <c r="EN94" s="2"/>
      <c r="EO94" s="2"/>
      <c r="EP94" s="2"/>
      <c r="EQ94" s="2"/>
      <c r="ER94" s="2"/>
      <c r="ES94" s="2"/>
    </row>
    <row r="95" spans="1:149" x14ac:dyDescent="0.3">
      <c r="C95" s="2"/>
      <c r="F95" s="2" cm="1">
        <f t="array" ref="F95">COUNTA(_xlfn.UNIQUE(_xlfn._xlws.FILTER(chamca[Run],(chamca[Visual ID]=A95))))</f>
        <v>1</v>
      </c>
      <c r="G95" s="2">
        <f>_xlfn.XLOOKUP(A95,RevCoreCount!A:A,RevCoreCount!B:B,)</f>
        <v>0</v>
      </c>
      <c r="H95" s="2">
        <f>_xlfn.XLOOKUP(A95,RevCoreCount!A:A,RevCoreCount!E:E,)</f>
        <v>0</v>
      </c>
      <c r="I95" s="2">
        <f>_xlfn.XLOOKUP(A95,RevCHACount!A:A,RevCHACount!B:B)</f>
        <v>0</v>
      </c>
      <c r="J95" s="2">
        <f>_xlfn.XLOOKUP(A95,RevCHACount!A:A,RevCHACount!E:E)</f>
        <v>0</v>
      </c>
      <c r="K95" s="2">
        <f>_xlfn.XLOOKUP(A95,RevLLCCount!A:A,RevLLCCount!B:B,)</f>
        <v>0</v>
      </c>
      <c r="L95" s="2">
        <f>_xlfn.XLOOKUP(A95,RevLLCCount!A:A,RevLLCCount!E:E)</f>
        <v>0</v>
      </c>
      <c r="M95" s="1">
        <f>_xlfn.XLOOKUP(A95,RevCHACount!A:A,RevCHACount!F:F)</f>
        <v>0</v>
      </c>
      <c r="N95" s="1" t="str">
        <f>_xlfn.XLOOKUP(A95,'Other Errors'!A:A,'Other Errors'!B:B,"")</f>
        <v/>
      </c>
      <c r="O95" s="2" t="e">
        <f t="shared" si="6"/>
        <v>#N/A</v>
      </c>
      <c r="P95" s="2" t="e">
        <f t="shared" si="7"/>
        <v>#N/A</v>
      </c>
      <c r="Q95" s="2" t="e">
        <f t="shared" si="8"/>
        <v>#N/A</v>
      </c>
      <c r="R95" s="2" t="e">
        <f t="shared" si="9"/>
        <v>#N/A</v>
      </c>
      <c r="S95" s="2" t="str">
        <f t="shared" si="10"/>
        <v/>
      </c>
      <c r="T95" s="2" t="str">
        <f t="shared" si="11"/>
        <v/>
      </c>
      <c r="U95" s="8" t="str" cm="1">
        <f t="array" ref="U95">_xlfn.TEXTJOIN(", ",,_xlfn.UNIQUE(_xlfn._xlws.FILTER(EM$3:FK$3,EM95:FK95&gt;0,"")))</f>
        <v/>
      </c>
      <c r="V95" s="9"/>
      <c r="EM95" s="2"/>
      <c r="EN95" s="2"/>
      <c r="EO95" s="2"/>
      <c r="EP95" s="2"/>
      <c r="EQ95" s="2"/>
      <c r="ER95" s="2"/>
      <c r="ES95" s="2"/>
    </row>
    <row r="96" spans="1:149" x14ac:dyDescent="0.3">
      <c r="C96" s="2"/>
      <c r="F96" s="2" cm="1">
        <f t="array" ref="F96">COUNTA(_xlfn.UNIQUE(_xlfn._xlws.FILTER(chamca[Run],(chamca[Visual ID]=A96))))</f>
        <v>1</v>
      </c>
      <c r="G96" s="2">
        <f>_xlfn.XLOOKUP(A96,RevCoreCount!A:A,RevCoreCount!B:B,)</f>
        <v>0</v>
      </c>
      <c r="H96" s="2">
        <f>_xlfn.XLOOKUP(A96,RevCoreCount!A:A,RevCoreCount!E:E,)</f>
        <v>0</v>
      </c>
      <c r="I96" s="2">
        <f>_xlfn.XLOOKUP(A96,RevCHACount!A:A,RevCHACount!B:B)</f>
        <v>0</v>
      </c>
      <c r="J96" s="2">
        <f>_xlfn.XLOOKUP(A96,RevCHACount!A:A,RevCHACount!E:E)</f>
        <v>0</v>
      </c>
      <c r="K96" s="2">
        <f>_xlfn.XLOOKUP(A96,RevLLCCount!A:A,RevLLCCount!B:B,)</f>
        <v>0</v>
      </c>
      <c r="L96" s="2">
        <f>_xlfn.XLOOKUP(A96,RevLLCCount!A:A,RevLLCCount!E:E)</f>
        <v>0</v>
      </c>
      <c r="M96" s="1">
        <f>_xlfn.XLOOKUP(A96,RevCHACount!A:A,RevCHACount!F:F)</f>
        <v>0</v>
      </c>
      <c r="N96" s="1" t="str">
        <f>_xlfn.XLOOKUP(A96,'Other Errors'!A:A,'Other Errors'!B:B,"")</f>
        <v/>
      </c>
      <c r="O96" s="2" t="e">
        <f t="shared" si="6"/>
        <v>#N/A</v>
      </c>
      <c r="P96" s="2" t="e">
        <f t="shared" si="7"/>
        <v>#N/A</v>
      </c>
      <c r="Q96" s="2" t="e">
        <f t="shared" si="8"/>
        <v>#N/A</v>
      </c>
      <c r="R96" s="2" t="e">
        <f t="shared" si="9"/>
        <v>#N/A</v>
      </c>
      <c r="S96" s="2" t="str">
        <f t="shared" si="10"/>
        <v/>
      </c>
      <c r="T96" s="2" t="str">
        <f t="shared" si="11"/>
        <v/>
      </c>
      <c r="U96" s="8" t="str" cm="1">
        <f t="array" ref="U96">_xlfn.TEXTJOIN(", ",,_xlfn.UNIQUE(_xlfn._xlws.FILTER(EM$3:FK$3,EM96:FK96&gt;0,"")))</f>
        <v/>
      </c>
      <c r="V96" s="9"/>
      <c r="EM96" s="2"/>
      <c r="EN96" s="2"/>
      <c r="EO96" s="2"/>
      <c r="EP96" s="2"/>
      <c r="EQ96" s="2"/>
      <c r="ER96" s="2"/>
      <c r="ES96" s="2"/>
    </row>
    <row r="97" spans="3:149" x14ac:dyDescent="0.3">
      <c r="C97" s="2"/>
      <c r="F97" s="2" cm="1">
        <f t="array" ref="F97">COUNTA(_xlfn.UNIQUE(_xlfn._xlws.FILTER(chamca[Run],(chamca[Visual ID]=A97))))</f>
        <v>1</v>
      </c>
      <c r="G97" s="2">
        <f>_xlfn.XLOOKUP(A97,RevCoreCount!A:A,RevCoreCount!B:B,)</f>
        <v>0</v>
      </c>
      <c r="H97" s="2">
        <f>_xlfn.XLOOKUP(A97,RevCoreCount!A:A,RevCoreCount!E:E,)</f>
        <v>0</v>
      </c>
      <c r="I97" s="2">
        <f>_xlfn.XLOOKUP(A97,RevCHACount!A:A,RevCHACount!B:B)</f>
        <v>0</v>
      </c>
      <c r="J97" s="2">
        <f>_xlfn.XLOOKUP(A97,RevCHACount!A:A,RevCHACount!E:E)</f>
        <v>0</v>
      </c>
      <c r="K97" s="2">
        <f>_xlfn.XLOOKUP(A97,RevLLCCount!A:A,RevLLCCount!B:B,)</f>
        <v>0</v>
      </c>
      <c r="L97" s="2">
        <f>_xlfn.XLOOKUP(A97,RevLLCCount!A:A,RevLLCCount!E:E)</f>
        <v>0</v>
      </c>
      <c r="M97" s="1">
        <f>_xlfn.XLOOKUP(A97,RevCHACount!A:A,RevCHACount!F:F)</f>
        <v>0</v>
      </c>
      <c r="N97" s="1" t="str">
        <f>_xlfn.XLOOKUP(A97,'Other Errors'!A:A,'Other Errors'!B:B,"")</f>
        <v/>
      </c>
      <c r="O97" s="2" t="e">
        <f t="shared" si="6"/>
        <v>#N/A</v>
      </c>
      <c r="P97" s="2" t="e">
        <f t="shared" si="7"/>
        <v>#N/A</v>
      </c>
      <c r="Q97" s="2" t="e">
        <f t="shared" si="8"/>
        <v>#N/A</v>
      </c>
      <c r="R97" s="2" t="e">
        <f t="shared" si="9"/>
        <v>#N/A</v>
      </c>
      <c r="S97" s="2" t="str">
        <f t="shared" si="10"/>
        <v/>
      </c>
      <c r="T97" s="2" t="str">
        <f t="shared" si="11"/>
        <v/>
      </c>
      <c r="U97" s="8" t="str" cm="1">
        <f t="array" ref="U97">_xlfn.TEXTJOIN(", ",,_xlfn.UNIQUE(_xlfn._xlws.FILTER(EM$3:FK$3,EM97:FK97&gt;0,"")))</f>
        <v/>
      </c>
      <c r="V97" s="9"/>
      <c r="EM97" s="2"/>
      <c r="EN97" s="2"/>
      <c r="EO97" s="2"/>
      <c r="EP97" s="2"/>
      <c r="EQ97" s="2"/>
      <c r="ER97" s="2"/>
      <c r="ES97" s="2"/>
    </row>
    <row r="98" spans="3:149" x14ac:dyDescent="0.3">
      <c r="C98" s="2"/>
      <c r="F98" s="2" cm="1">
        <f t="array" ref="F98">COUNTA(_xlfn.UNIQUE(_xlfn._xlws.FILTER(chamca[Run],(chamca[Visual ID]=A98))))</f>
        <v>1</v>
      </c>
      <c r="G98" s="2">
        <f>_xlfn.XLOOKUP(A98,RevCoreCount!A:A,RevCoreCount!B:B,)</f>
        <v>0</v>
      </c>
      <c r="H98" s="2">
        <f>_xlfn.XLOOKUP(A98,RevCoreCount!A:A,RevCoreCount!E:E,)</f>
        <v>0</v>
      </c>
      <c r="I98" s="2">
        <f>_xlfn.XLOOKUP(A98,RevCHACount!A:A,RevCHACount!B:B)</f>
        <v>0</v>
      </c>
      <c r="J98" s="2">
        <f>_xlfn.XLOOKUP(A98,RevCHACount!A:A,RevCHACount!E:E)</f>
        <v>0</v>
      </c>
      <c r="K98" s="2">
        <f>_xlfn.XLOOKUP(A98,RevLLCCount!A:A,RevLLCCount!B:B,)</f>
        <v>0</v>
      </c>
      <c r="L98" s="2">
        <f>_xlfn.XLOOKUP(A98,RevLLCCount!A:A,RevLLCCount!E:E)</f>
        <v>0</v>
      </c>
      <c r="M98" s="1">
        <f>_xlfn.XLOOKUP(A98,RevCHACount!A:A,RevCHACount!F:F)</f>
        <v>0</v>
      </c>
      <c r="N98" s="1" t="str">
        <f>_xlfn.XLOOKUP(A98,'Other Errors'!A:A,'Other Errors'!B:B,"")</f>
        <v/>
      </c>
      <c r="O98" s="2" t="e">
        <f t="shared" si="6"/>
        <v>#N/A</v>
      </c>
      <c r="P98" s="2" t="e">
        <f t="shared" si="7"/>
        <v>#N/A</v>
      </c>
      <c r="Q98" s="2" t="e">
        <f t="shared" si="8"/>
        <v>#N/A</v>
      </c>
      <c r="R98" s="2" t="e">
        <f t="shared" si="9"/>
        <v>#N/A</v>
      </c>
      <c r="S98" s="2" t="str">
        <f t="shared" si="10"/>
        <v/>
      </c>
      <c r="T98" s="2" t="str">
        <f t="shared" si="11"/>
        <v/>
      </c>
      <c r="U98" s="8" t="str" cm="1">
        <f t="array" ref="U98">_xlfn.TEXTJOIN(", ",,_xlfn.UNIQUE(_xlfn._xlws.FILTER(EM$3:FK$3,EM98:FK98&gt;0,"")))</f>
        <v/>
      </c>
      <c r="V98" s="9"/>
      <c r="EM98" s="2"/>
      <c r="EN98" s="2"/>
      <c r="EO98" s="2"/>
      <c r="EP98" s="2"/>
      <c r="EQ98" s="2"/>
      <c r="ER98" s="2"/>
      <c r="ES98" s="2"/>
    </row>
    <row r="99" spans="3:149" x14ac:dyDescent="0.3">
      <c r="C99" s="2"/>
      <c r="F99" s="2" cm="1">
        <f t="array" ref="F99">COUNTA(_xlfn.UNIQUE(_xlfn._xlws.FILTER(chamca[Run],(chamca[Visual ID]=A99))))</f>
        <v>1</v>
      </c>
      <c r="G99" s="2">
        <f>_xlfn.XLOOKUP(A99,RevCoreCount!A:A,RevCoreCount!B:B,)</f>
        <v>0</v>
      </c>
      <c r="H99" s="2">
        <f>_xlfn.XLOOKUP(A99,RevCoreCount!A:A,RevCoreCount!E:E,)</f>
        <v>0</v>
      </c>
      <c r="I99" s="2">
        <f>_xlfn.XLOOKUP(A99,RevCHACount!A:A,RevCHACount!B:B)</f>
        <v>0</v>
      </c>
      <c r="J99" s="2">
        <f>_xlfn.XLOOKUP(A99,RevCHACount!A:A,RevCHACount!E:E)</f>
        <v>0</v>
      </c>
      <c r="K99" s="2">
        <f>_xlfn.XLOOKUP(A99,RevLLCCount!A:A,RevLLCCount!B:B,)</f>
        <v>0</v>
      </c>
      <c r="L99" s="2">
        <f>_xlfn.XLOOKUP(A99,RevLLCCount!A:A,RevLLCCount!E:E)</f>
        <v>0</v>
      </c>
      <c r="M99" s="1">
        <f>_xlfn.XLOOKUP(A99,RevCHACount!A:A,RevCHACount!F:F)</f>
        <v>0</v>
      </c>
      <c r="N99" s="1" t="str">
        <f>_xlfn.XLOOKUP(A99,'Other Errors'!A:A,'Other Errors'!B:B,"")</f>
        <v/>
      </c>
      <c r="O99" s="2" t="e">
        <f t="shared" si="6"/>
        <v>#N/A</v>
      </c>
      <c r="P99" s="2" t="e">
        <f t="shared" si="7"/>
        <v>#N/A</v>
      </c>
      <c r="Q99" s="2" t="e">
        <f t="shared" si="8"/>
        <v>#N/A</v>
      </c>
      <c r="R99" s="2" t="e">
        <f t="shared" si="9"/>
        <v>#N/A</v>
      </c>
      <c r="S99" s="2" t="str">
        <f t="shared" si="10"/>
        <v/>
      </c>
      <c r="T99" s="2" t="str">
        <f t="shared" si="11"/>
        <v/>
      </c>
      <c r="U99" s="8" t="str" cm="1">
        <f t="array" ref="U99">_xlfn.TEXTJOIN(", ",,_xlfn.UNIQUE(_xlfn._xlws.FILTER(EM$3:FK$3,EM99:FK99&gt;0,"")))</f>
        <v/>
      </c>
      <c r="V99" s="9"/>
      <c r="EM99" s="2"/>
      <c r="EN99" s="2"/>
      <c r="EO99" s="2"/>
      <c r="EP99" s="2"/>
      <c r="EQ99" s="2"/>
      <c r="ER99" s="2"/>
      <c r="ES99" s="2"/>
    </row>
    <row r="100" spans="3:149" x14ac:dyDescent="0.3">
      <c r="C100" s="2"/>
      <c r="F100" s="2" cm="1">
        <f t="array" ref="F100">COUNTA(_xlfn.UNIQUE(_xlfn._xlws.FILTER(chamca[Run],(chamca[Visual ID]=A100))))</f>
        <v>1</v>
      </c>
      <c r="G100" s="2">
        <f>_xlfn.XLOOKUP(A100,RevCoreCount!A:A,RevCoreCount!B:B,)</f>
        <v>0</v>
      </c>
      <c r="H100" s="2">
        <f>_xlfn.XLOOKUP(A100,RevCoreCount!A:A,RevCoreCount!E:E,)</f>
        <v>0</v>
      </c>
      <c r="I100" s="2">
        <f>_xlfn.XLOOKUP(A100,RevCHACount!A:A,RevCHACount!B:B)</f>
        <v>0</v>
      </c>
      <c r="J100" s="2">
        <f>_xlfn.XLOOKUP(A100,RevCHACount!A:A,RevCHACount!E:E)</f>
        <v>0</v>
      </c>
      <c r="K100" s="2">
        <f>_xlfn.XLOOKUP(A100,RevLLCCount!A:A,RevLLCCount!B:B,)</f>
        <v>0</v>
      </c>
      <c r="L100" s="2">
        <f>_xlfn.XLOOKUP(A100,RevLLCCount!A:A,RevLLCCount!E:E)</f>
        <v>0</v>
      </c>
      <c r="M100" s="1">
        <f>_xlfn.XLOOKUP(A100,RevCHACount!A:A,RevCHACount!F:F)</f>
        <v>0</v>
      </c>
      <c r="N100" s="1" t="str">
        <f>_xlfn.XLOOKUP(A100,'Other Errors'!A:A,'Other Errors'!B:B,"")</f>
        <v/>
      </c>
      <c r="O100" s="2" t="e">
        <f t="shared" si="6"/>
        <v>#N/A</v>
      </c>
      <c r="P100" s="2" t="e">
        <f t="shared" si="7"/>
        <v>#N/A</v>
      </c>
      <c r="Q100" s="2" t="e">
        <f t="shared" si="8"/>
        <v>#N/A</v>
      </c>
      <c r="R100" s="2" t="e">
        <f t="shared" si="9"/>
        <v>#N/A</v>
      </c>
      <c r="S100" s="2" t="str">
        <f t="shared" si="10"/>
        <v/>
      </c>
      <c r="T100" s="2" t="str">
        <f t="shared" si="11"/>
        <v/>
      </c>
      <c r="U100" s="8" t="str" cm="1">
        <f t="array" ref="U100">_xlfn.TEXTJOIN(", ",,_xlfn.UNIQUE(_xlfn._xlws.FILTER(EM$3:FK$3,EM100:FK100&gt;0,"")))</f>
        <v/>
      </c>
      <c r="V100" s="9"/>
      <c r="EM100" s="2"/>
      <c r="EN100" s="2"/>
      <c r="EO100" s="2"/>
      <c r="EP100" s="2"/>
      <c r="EQ100" s="2"/>
      <c r="ER100" s="2"/>
      <c r="ES100" s="2"/>
    </row>
    <row r="101" spans="3:149" x14ac:dyDescent="0.3">
      <c r="C101" s="2"/>
      <c r="F101" s="2" cm="1">
        <f t="array" ref="F101">COUNTA(_xlfn.UNIQUE(_xlfn._xlws.FILTER(chamca[Run],(chamca[Visual ID]=A101))))</f>
        <v>1</v>
      </c>
      <c r="G101" s="2">
        <f>_xlfn.XLOOKUP(A101,RevCoreCount!A:A,RevCoreCount!B:B,)</f>
        <v>0</v>
      </c>
      <c r="H101" s="2">
        <f>_xlfn.XLOOKUP(A101,RevCoreCount!A:A,RevCoreCount!E:E,)</f>
        <v>0</v>
      </c>
      <c r="I101" s="2">
        <f>_xlfn.XLOOKUP(A101,RevCHACount!A:A,RevCHACount!B:B)</f>
        <v>0</v>
      </c>
      <c r="J101" s="2">
        <f>_xlfn.XLOOKUP(A101,RevCHACount!A:A,RevCHACount!E:E)</f>
        <v>0</v>
      </c>
      <c r="K101" s="2">
        <f>_xlfn.XLOOKUP(A101,RevLLCCount!A:A,RevLLCCount!B:B,)</f>
        <v>0</v>
      </c>
      <c r="L101" s="2">
        <f>_xlfn.XLOOKUP(A101,RevLLCCount!A:A,RevLLCCount!E:E)</f>
        <v>0</v>
      </c>
      <c r="M101" s="1">
        <f>_xlfn.XLOOKUP(A101,RevCHACount!A:A,RevCHACount!F:F)</f>
        <v>0</v>
      </c>
      <c r="N101" s="1" t="str">
        <f>_xlfn.XLOOKUP(A101,'Other Errors'!A:A,'Other Errors'!B:B,"")</f>
        <v/>
      </c>
      <c r="O101" s="2" t="e">
        <f t="shared" si="6"/>
        <v>#N/A</v>
      </c>
      <c r="P101" s="2" t="e">
        <f t="shared" si="7"/>
        <v>#N/A</v>
      </c>
      <c r="Q101" s="2" t="e">
        <f t="shared" si="8"/>
        <v>#N/A</v>
      </c>
      <c r="R101" s="2" t="e">
        <f t="shared" si="9"/>
        <v>#N/A</v>
      </c>
      <c r="S101" s="2" t="str">
        <f t="shared" si="10"/>
        <v/>
      </c>
      <c r="T101" s="2" t="str">
        <f t="shared" si="11"/>
        <v/>
      </c>
      <c r="U101" s="8" t="str" cm="1">
        <f t="array" ref="U101">_xlfn.TEXTJOIN(", ",,_xlfn.UNIQUE(_xlfn._xlws.FILTER(EM$3:FK$3,EM101:FK101&gt;0,"")))</f>
        <v/>
      </c>
      <c r="V101" s="9"/>
      <c r="EM101" s="2"/>
      <c r="EN101" s="2"/>
      <c r="EO101" s="2"/>
      <c r="EP101" s="2"/>
      <c r="EQ101" s="2"/>
      <c r="ER101" s="2"/>
      <c r="ES101" s="2"/>
    </row>
    <row r="102" spans="3:149" x14ac:dyDescent="0.3">
      <c r="C102" s="2"/>
      <c r="F102" s="2" cm="1">
        <f t="array" ref="F102">COUNTA(_xlfn.UNIQUE(_xlfn._xlws.FILTER(chamca[Run],(chamca[Visual ID]=A102))))</f>
        <v>1</v>
      </c>
      <c r="G102" s="2">
        <f>_xlfn.XLOOKUP(A102,RevCoreCount!A:A,RevCoreCount!B:B,)</f>
        <v>0</v>
      </c>
      <c r="H102" s="2">
        <f>_xlfn.XLOOKUP(A102,RevCoreCount!A:A,RevCoreCount!E:E,)</f>
        <v>0</v>
      </c>
      <c r="I102" s="2">
        <f>_xlfn.XLOOKUP(A102,RevCHACount!A:A,RevCHACount!B:B)</f>
        <v>0</v>
      </c>
      <c r="J102" s="2">
        <f>_xlfn.XLOOKUP(A102,RevCHACount!A:A,RevCHACount!E:E)</f>
        <v>0</v>
      </c>
      <c r="K102" s="2">
        <f>_xlfn.XLOOKUP(A102,RevLLCCount!A:A,RevLLCCount!B:B,)</f>
        <v>0</v>
      </c>
      <c r="L102" s="2">
        <f>_xlfn.XLOOKUP(A102,RevLLCCount!A:A,RevLLCCount!E:E)</f>
        <v>0</v>
      </c>
      <c r="M102" s="1">
        <f>_xlfn.XLOOKUP(A102,RevCHACount!A:A,RevCHACount!F:F)</f>
        <v>0</v>
      </c>
      <c r="N102" s="1" t="str">
        <f>_xlfn.XLOOKUP(A102,'Other Errors'!A:A,'Other Errors'!B:B,"")</f>
        <v/>
      </c>
      <c r="O102" s="2" t="e">
        <f t="shared" si="6"/>
        <v>#N/A</v>
      </c>
      <c r="P102" s="2" t="e">
        <f t="shared" si="7"/>
        <v>#N/A</v>
      </c>
      <c r="Q102" s="2" t="e">
        <f t="shared" si="8"/>
        <v>#N/A</v>
      </c>
      <c r="R102" s="2" t="e">
        <f t="shared" si="9"/>
        <v>#N/A</v>
      </c>
      <c r="S102" s="2" t="str">
        <f t="shared" si="10"/>
        <v/>
      </c>
      <c r="T102" s="2" t="str">
        <f t="shared" si="11"/>
        <v/>
      </c>
      <c r="U102" s="8" t="str" cm="1">
        <f t="array" ref="U102">_xlfn.TEXTJOIN(", ",,_xlfn.UNIQUE(_xlfn._xlws.FILTER(EM$3:FK$3,EM102:FK102&gt;0,"")))</f>
        <v/>
      </c>
      <c r="V102" s="9"/>
      <c r="EM102" s="2"/>
      <c r="EN102" s="2"/>
      <c r="EO102" s="2"/>
      <c r="EP102" s="2"/>
      <c r="EQ102" s="2"/>
      <c r="ER102" s="2"/>
      <c r="ES102" s="2"/>
    </row>
    <row r="103" spans="3:149" x14ac:dyDescent="0.3">
      <c r="C103" s="2"/>
      <c r="F103" s="2" cm="1">
        <f t="array" ref="F103">COUNTA(_xlfn.UNIQUE(_xlfn._xlws.FILTER(chamca[Run],(chamca[Visual ID]=A103))))</f>
        <v>1</v>
      </c>
      <c r="G103" s="2">
        <f>_xlfn.XLOOKUP(A103,RevCoreCount!A:A,RevCoreCount!B:B,)</f>
        <v>0</v>
      </c>
      <c r="H103" s="2">
        <f>_xlfn.XLOOKUP(A103,RevCoreCount!A:A,RevCoreCount!E:E,)</f>
        <v>0</v>
      </c>
      <c r="I103" s="2">
        <f>_xlfn.XLOOKUP(A103,RevCHACount!A:A,RevCHACount!B:B)</f>
        <v>0</v>
      </c>
      <c r="J103" s="2">
        <f>_xlfn.XLOOKUP(A103,RevCHACount!A:A,RevCHACount!E:E)</f>
        <v>0</v>
      </c>
      <c r="K103" s="2">
        <f>_xlfn.XLOOKUP(A103,RevLLCCount!A:A,RevLLCCount!B:B,)</f>
        <v>0</v>
      </c>
      <c r="L103" s="2">
        <f>_xlfn.XLOOKUP(A103,RevLLCCount!A:A,RevLLCCount!E:E)</f>
        <v>0</v>
      </c>
      <c r="M103" s="1">
        <f>_xlfn.XLOOKUP(A103,RevCHACount!A:A,RevCHACount!F:F)</f>
        <v>0</v>
      </c>
      <c r="N103" s="1" t="str">
        <f>_xlfn.XLOOKUP(A103,'Other Errors'!A:A,'Other Errors'!B:B,"")</f>
        <v/>
      </c>
      <c r="O103" s="2" t="e">
        <f t="shared" si="6"/>
        <v>#N/A</v>
      </c>
      <c r="P103" s="2" t="e">
        <f t="shared" si="7"/>
        <v>#N/A</v>
      </c>
      <c r="Q103" s="2" t="e">
        <f t="shared" si="8"/>
        <v>#N/A</v>
      </c>
      <c r="R103" s="2" t="e">
        <f t="shared" si="9"/>
        <v>#N/A</v>
      </c>
      <c r="S103" s="2" t="str">
        <f t="shared" si="10"/>
        <v/>
      </c>
      <c r="T103" s="2" t="str">
        <f t="shared" si="11"/>
        <v/>
      </c>
      <c r="U103" s="8" t="str" cm="1">
        <f t="array" ref="U103">_xlfn.TEXTJOIN(", ",,_xlfn.UNIQUE(_xlfn._xlws.FILTER(EM$3:FK$3,EM103:FK103&gt;0,"")))</f>
        <v/>
      </c>
      <c r="V103" s="9"/>
      <c r="EM103" s="2"/>
      <c r="EN103" s="2"/>
      <c r="EO103" s="2"/>
      <c r="EP103" s="2"/>
      <c r="EQ103" s="2"/>
      <c r="ER103" s="2"/>
      <c r="ES103" s="2"/>
    </row>
    <row r="104" spans="3:149" x14ac:dyDescent="0.3">
      <c r="C104" s="2"/>
      <c r="F104" s="2" cm="1">
        <f t="array" ref="F104">COUNTA(_xlfn.UNIQUE(_xlfn._xlws.FILTER(chamca[Run],(chamca[Visual ID]=A104))))</f>
        <v>1</v>
      </c>
      <c r="G104" s="2">
        <f>_xlfn.XLOOKUP(A104,RevCoreCount!A:A,RevCoreCount!B:B,)</f>
        <v>0</v>
      </c>
      <c r="H104" s="2">
        <f>_xlfn.XLOOKUP(A104,RevCoreCount!A:A,RevCoreCount!E:E,)</f>
        <v>0</v>
      </c>
      <c r="I104" s="2">
        <f>_xlfn.XLOOKUP(A104,RevCHACount!A:A,RevCHACount!B:B)</f>
        <v>0</v>
      </c>
      <c r="J104" s="2">
        <f>_xlfn.XLOOKUP(A104,RevCHACount!A:A,RevCHACount!E:E)</f>
        <v>0</v>
      </c>
      <c r="K104" s="2">
        <f>_xlfn.XLOOKUP(A104,RevLLCCount!A:A,RevLLCCount!B:B,)</f>
        <v>0</v>
      </c>
      <c r="L104" s="2">
        <f>_xlfn.XLOOKUP(A104,RevLLCCount!A:A,RevLLCCount!E:E)</f>
        <v>0</v>
      </c>
      <c r="M104" s="1">
        <f>_xlfn.XLOOKUP(A104,RevCHACount!A:A,RevCHACount!F:F)</f>
        <v>0</v>
      </c>
      <c r="N104" s="1" t="str">
        <f>_xlfn.XLOOKUP(A104,'Other Errors'!A:A,'Other Errors'!B:B,"")</f>
        <v/>
      </c>
      <c r="O104" s="2" t="e">
        <f t="shared" si="6"/>
        <v>#N/A</v>
      </c>
      <c r="P104" s="2" t="e">
        <f t="shared" si="7"/>
        <v>#N/A</v>
      </c>
      <c r="Q104" s="2" t="e">
        <f t="shared" si="8"/>
        <v>#N/A</v>
      </c>
      <c r="R104" s="2" t="e">
        <f t="shared" si="9"/>
        <v>#N/A</v>
      </c>
      <c r="S104" s="2" t="str">
        <f t="shared" si="10"/>
        <v/>
      </c>
      <c r="T104" s="2" t="str">
        <f t="shared" si="11"/>
        <v/>
      </c>
      <c r="U104" s="8" t="str" cm="1">
        <f t="array" ref="U104">_xlfn.TEXTJOIN(", ",,_xlfn.UNIQUE(_xlfn._xlws.FILTER(EM$3:FK$3,EM104:FK104&gt;0,"")))</f>
        <v/>
      </c>
      <c r="V104" s="9"/>
      <c r="EM104" s="2"/>
      <c r="EN104" s="2"/>
      <c r="EO104" s="2"/>
      <c r="EP104" s="2"/>
      <c r="EQ104" s="2"/>
      <c r="ER104" s="2"/>
      <c r="ES104" s="2"/>
    </row>
    <row r="105" spans="3:149" x14ac:dyDescent="0.3">
      <c r="C105" s="2"/>
      <c r="F105" s="2" cm="1">
        <f t="array" ref="F105">COUNTA(_xlfn.UNIQUE(_xlfn._xlws.FILTER(chamca[Run],(chamca[Visual ID]=A105))))</f>
        <v>1</v>
      </c>
      <c r="G105" s="2">
        <f>_xlfn.XLOOKUP(A105,RevCoreCount!A:A,RevCoreCount!B:B,)</f>
        <v>0</v>
      </c>
      <c r="H105" s="2">
        <f>_xlfn.XLOOKUP(A105,RevCoreCount!A:A,RevCoreCount!E:E,)</f>
        <v>0</v>
      </c>
      <c r="I105" s="2">
        <f>_xlfn.XLOOKUP(A105,RevCHACount!A:A,RevCHACount!B:B)</f>
        <v>0</v>
      </c>
      <c r="J105" s="2">
        <f>_xlfn.XLOOKUP(A105,RevCHACount!A:A,RevCHACount!E:E)</f>
        <v>0</v>
      </c>
      <c r="K105" s="2">
        <f>_xlfn.XLOOKUP(A105,RevLLCCount!A:A,RevLLCCount!B:B,)</f>
        <v>0</v>
      </c>
      <c r="L105" s="2">
        <f>_xlfn.XLOOKUP(A105,RevLLCCount!A:A,RevLLCCount!E:E)</f>
        <v>0</v>
      </c>
      <c r="M105" s="1">
        <f>_xlfn.XLOOKUP(A105,RevCHACount!A:A,RevCHACount!F:F)</f>
        <v>0</v>
      </c>
      <c r="N105" s="1" t="str">
        <f>_xlfn.XLOOKUP(A105,'Other Errors'!A:A,'Other Errors'!B:B,"")</f>
        <v/>
      </c>
      <c r="O105" s="2" t="e">
        <f t="shared" si="6"/>
        <v>#N/A</v>
      </c>
      <c r="P105" s="2" t="e">
        <f t="shared" si="7"/>
        <v>#N/A</v>
      </c>
      <c r="Q105" s="2" t="e">
        <f t="shared" si="8"/>
        <v>#N/A</v>
      </c>
      <c r="R105" s="2" t="e">
        <f t="shared" si="9"/>
        <v>#N/A</v>
      </c>
      <c r="S105" s="2" t="str">
        <f t="shared" si="10"/>
        <v/>
      </c>
      <c r="T105" s="2" t="str">
        <f t="shared" si="11"/>
        <v/>
      </c>
      <c r="U105" s="8" t="str" cm="1">
        <f t="array" ref="U105">_xlfn.TEXTJOIN(", ",,_xlfn.UNIQUE(_xlfn._xlws.FILTER(EM$3:FK$3,EM105:FK105&gt;0,"")))</f>
        <v/>
      </c>
      <c r="V105" s="9"/>
      <c r="EM105" s="2"/>
      <c r="EN105" s="2"/>
      <c r="EO105" s="2"/>
      <c r="EP105" s="2"/>
      <c r="EQ105" s="2"/>
      <c r="ER105" s="2"/>
      <c r="ES105" s="2"/>
    </row>
    <row r="106" spans="3:149" x14ac:dyDescent="0.3">
      <c r="C106" s="2"/>
      <c r="F106" s="2" cm="1">
        <f t="array" ref="F106">COUNTA(_xlfn.UNIQUE(_xlfn._xlws.FILTER(chamca[Run],(chamca[Visual ID]=A106))))</f>
        <v>1</v>
      </c>
      <c r="G106" s="2">
        <f>_xlfn.XLOOKUP(A106,RevCoreCount!A:A,RevCoreCount!B:B,)</f>
        <v>0</v>
      </c>
      <c r="H106" s="2">
        <f>_xlfn.XLOOKUP(A106,RevCoreCount!A:A,RevCoreCount!E:E,)</f>
        <v>0</v>
      </c>
      <c r="I106" s="2">
        <f>_xlfn.XLOOKUP(A106,RevCHACount!A:A,RevCHACount!B:B)</f>
        <v>0</v>
      </c>
      <c r="J106" s="2">
        <f>_xlfn.XLOOKUP(A106,RevCHACount!A:A,RevCHACount!E:E)</f>
        <v>0</v>
      </c>
      <c r="K106" s="2">
        <f>_xlfn.XLOOKUP(A106,RevLLCCount!A:A,RevLLCCount!B:B,)</f>
        <v>0</v>
      </c>
      <c r="L106" s="2">
        <f>_xlfn.XLOOKUP(A106,RevLLCCount!A:A,RevLLCCount!E:E)</f>
        <v>0</v>
      </c>
      <c r="M106" s="1">
        <f>_xlfn.XLOOKUP(A106,RevCHACount!A:A,RevCHACount!F:F)</f>
        <v>0</v>
      </c>
      <c r="N106" s="1" t="str">
        <f>_xlfn.XLOOKUP(A106,'Other Errors'!A:A,'Other Errors'!B:B,"")</f>
        <v/>
      </c>
      <c r="O106" s="2" t="e">
        <f t="shared" si="6"/>
        <v>#N/A</v>
      </c>
      <c r="P106" s="2" t="e">
        <f t="shared" si="7"/>
        <v>#N/A</v>
      </c>
      <c r="Q106" s="2" t="e">
        <f t="shared" si="8"/>
        <v>#N/A</v>
      </c>
      <c r="R106" s="2" t="e">
        <f t="shared" si="9"/>
        <v>#N/A</v>
      </c>
      <c r="S106" s="2" t="str">
        <f t="shared" si="10"/>
        <v/>
      </c>
      <c r="T106" s="2" t="str">
        <f t="shared" si="11"/>
        <v/>
      </c>
      <c r="U106" s="8" t="str" cm="1">
        <f t="array" ref="U106">_xlfn.TEXTJOIN(", ",,_xlfn.UNIQUE(_xlfn._xlws.FILTER(EM$3:FK$3,EM106:FK106&gt;0,"")))</f>
        <v/>
      </c>
      <c r="V106" s="9"/>
      <c r="EM106" s="2"/>
      <c r="EN106" s="2"/>
      <c r="EO106" s="2"/>
      <c r="EP106" s="2"/>
      <c r="EQ106" s="2"/>
      <c r="ER106" s="2"/>
      <c r="ES106" s="2"/>
    </row>
    <row r="107" spans="3:149" x14ac:dyDescent="0.3">
      <c r="C107" s="2"/>
      <c r="F107" s="2" cm="1">
        <f t="array" ref="F107">COUNTA(_xlfn.UNIQUE(_xlfn._xlws.FILTER(chamca[Run],(chamca[Visual ID]=A107))))</f>
        <v>1</v>
      </c>
      <c r="G107" s="2">
        <f>_xlfn.XLOOKUP(A107,RevCoreCount!A:A,RevCoreCount!B:B,)</f>
        <v>0</v>
      </c>
      <c r="H107" s="2">
        <f>_xlfn.XLOOKUP(A107,RevCoreCount!A:A,RevCoreCount!E:E,)</f>
        <v>0</v>
      </c>
      <c r="I107" s="2">
        <f>_xlfn.XLOOKUP(A107,RevCHACount!A:A,RevCHACount!B:B)</f>
        <v>0</v>
      </c>
      <c r="J107" s="2">
        <f>_xlfn.XLOOKUP(A107,RevCHACount!A:A,RevCHACount!E:E)</f>
        <v>0</v>
      </c>
      <c r="K107" s="2">
        <f>_xlfn.XLOOKUP(A107,RevLLCCount!A:A,RevLLCCount!B:B,)</f>
        <v>0</v>
      </c>
      <c r="L107" s="2">
        <f>_xlfn.XLOOKUP(A107,RevLLCCount!A:A,RevLLCCount!E:E)</f>
        <v>0</v>
      </c>
      <c r="M107" s="1">
        <f>_xlfn.XLOOKUP(A107,RevCHACount!A:A,RevCHACount!F:F)</f>
        <v>0</v>
      </c>
      <c r="N107" s="1" t="str">
        <f>_xlfn.XLOOKUP(A107,'Other Errors'!A:A,'Other Errors'!B:B,"")</f>
        <v/>
      </c>
      <c r="O107" s="2" t="e">
        <f t="shared" si="6"/>
        <v>#N/A</v>
      </c>
      <c r="P107" s="2" t="e">
        <f t="shared" si="7"/>
        <v>#N/A</v>
      </c>
      <c r="Q107" s="2" t="e">
        <f t="shared" si="8"/>
        <v>#N/A</v>
      </c>
      <c r="R107" s="2" t="e">
        <f t="shared" si="9"/>
        <v>#N/A</v>
      </c>
      <c r="S107" s="2" t="str">
        <f t="shared" si="10"/>
        <v/>
      </c>
      <c r="T107" s="2" t="str">
        <f t="shared" si="11"/>
        <v/>
      </c>
      <c r="U107" s="8" t="str" cm="1">
        <f t="array" ref="U107">_xlfn.TEXTJOIN(", ",,_xlfn.UNIQUE(_xlfn._xlws.FILTER(EM$3:FK$3,EM107:FK107&gt;0,"")))</f>
        <v/>
      </c>
      <c r="V107" s="9"/>
      <c r="EM107" s="2"/>
      <c r="EN107" s="2"/>
      <c r="EO107" s="2"/>
      <c r="EP107" s="2"/>
      <c r="EQ107" s="2"/>
      <c r="ER107" s="2"/>
      <c r="ES107" s="2"/>
    </row>
    <row r="108" spans="3:149" x14ac:dyDescent="0.3">
      <c r="C108" s="2"/>
      <c r="F108" s="2" cm="1">
        <f t="array" ref="F108">COUNTA(_xlfn.UNIQUE(_xlfn._xlws.FILTER(chamca[Run],(chamca[Visual ID]=A108))))</f>
        <v>1</v>
      </c>
      <c r="G108" s="2">
        <f>_xlfn.XLOOKUP(A108,RevCoreCount!A:A,RevCoreCount!B:B,)</f>
        <v>0</v>
      </c>
      <c r="H108" s="2">
        <f>_xlfn.XLOOKUP(A108,RevCoreCount!A:A,RevCoreCount!E:E,)</f>
        <v>0</v>
      </c>
      <c r="I108" s="2">
        <f>_xlfn.XLOOKUP(A108,RevCHACount!A:A,RevCHACount!B:B)</f>
        <v>0</v>
      </c>
      <c r="J108" s="2">
        <f>_xlfn.XLOOKUP(A108,RevCHACount!A:A,RevCHACount!E:E)</f>
        <v>0</v>
      </c>
      <c r="K108" s="2">
        <f>_xlfn.XLOOKUP(A108,RevLLCCount!A:A,RevLLCCount!B:B,)</f>
        <v>0</v>
      </c>
      <c r="L108" s="2">
        <f>_xlfn.XLOOKUP(A108,RevLLCCount!A:A,RevLLCCount!E:E)</f>
        <v>0</v>
      </c>
      <c r="M108" s="1">
        <f>_xlfn.XLOOKUP(A108,RevCHACount!A:A,RevCHACount!F:F)</f>
        <v>0</v>
      </c>
      <c r="N108" s="1" t="str">
        <f>_xlfn.XLOOKUP(A108,'Other Errors'!A:A,'Other Errors'!B:B,"")</f>
        <v/>
      </c>
      <c r="O108" s="2" t="e">
        <f t="shared" si="6"/>
        <v>#N/A</v>
      </c>
      <c r="P108" s="2" t="e">
        <f t="shared" si="7"/>
        <v>#N/A</v>
      </c>
      <c r="Q108" s="2" t="e">
        <f t="shared" si="8"/>
        <v>#N/A</v>
      </c>
      <c r="R108" s="2" t="e">
        <f t="shared" si="9"/>
        <v>#N/A</v>
      </c>
      <c r="S108" s="2" t="str">
        <f t="shared" si="10"/>
        <v/>
      </c>
      <c r="T108" s="2" t="str">
        <f t="shared" si="11"/>
        <v/>
      </c>
      <c r="U108" s="8" t="str" cm="1">
        <f t="array" ref="U108">_xlfn.TEXTJOIN(", ",,_xlfn.UNIQUE(_xlfn._xlws.FILTER(EM$3:FK$3,EM108:FK108&gt;0,"")))</f>
        <v/>
      </c>
      <c r="V108" s="9"/>
      <c r="EM108" s="2"/>
      <c r="EN108" s="2"/>
      <c r="EO108" s="2"/>
      <c r="EP108" s="2"/>
      <c r="EQ108" s="2"/>
      <c r="ER108" s="2"/>
      <c r="ES108" s="2"/>
    </row>
    <row r="109" spans="3:149" x14ac:dyDescent="0.3">
      <c r="C109" s="11"/>
      <c r="F109" s="2" cm="1">
        <f t="array" ref="F109">COUNTA(_xlfn.UNIQUE(_xlfn._xlws.FILTER(chamca[Run],(chamca[Visual ID]=A109))))</f>
        <v>1</v>
      </c>
      <c r="G109" s="2">
        <f>_xlfn.XLOOKUP(A109,RevCoreCount!A:A,RevCoreCount!B:B,)</f>
        <v>0</v>
      </c>
      <c r="H109" s="2">
        <f>_xlfn.XLOOKUP(A109,RevCoreCount!A:A,RevCoreCount!E:E,)</f>
        <v>0</v>
      </c>
      <c r="I109" s="2">
        <f>_xlfn.XLOOKUP(A109,RevCHACount!A:A,RevCHACount!B:B)</f>
        <v>0</v>
      </c>
      <c r="J109" s="2">
        <f>_xlfn.XLOOKUP(A109,RevCHACount!A:A,RevCHACount!E:E)</f>
        <v>0</v>
      </c>
      <c r="K109" s="2">
        <f>_xlfn.XLOOKUP(A109,RevLLCCount!A:A,RevLLCCount!B:B,)</f>
        <v>0</v>
      </c>
      <c r="L109" s="2">
        <f>_xlfn.XLOOKUP(A109,RevLLCCount!A:A,RevLLCCount!E:E)</f>
        <v>0</v>
      </c>
      <c r="M109" s="1">
        <f>_xlfn.XLOOKUP(A109,RevCHACount!A:A,RevCHACount!F:F)</f>
        <v>0</v>
      </c>
      <c r="N109" s="1" t="str">
        <f>_xlfn.XLOOKUP(A109,'Other Errors'!A:A,'Other Errors'!B:B,"")</f>
        <v/>
      </c>
      <c r="O109" s="2" t="e">
        <f t="shared" si="6"/>
        <v>#N/A</v>
      </c>
      <c r="P109" s="2" t="e">
        <f t="shared" si="7"/>
        <v>#N/A</v>
      </c>
      <c r="Q109" s="2" t="e">
        <f t="shared" si="8"/>
        <v>#N/A</v>
      </c>
      <c r="R109" s="2" t="e">
        <f t="shared" si="9"/>
        <v>#N/A</v>
      </c>
      <c r="S109" s="2" t="str">
        <f t="shared" si="10"/>
        <v/>
      </c>
      <c r="T109" s="2" t="str">
        <f t="shared" si="11"/>
        <v/>
      </c>
      <c r="U109" s="8" t="str" cm="1">
        <f t="array" ref="U109">_xlfn.TEXTJOIN(", ",,_xlfn.UNIQUE(_xlfn._xlws.FILTER(EM$3:FK$3,EM109:FK109&gt;0,"")))</f>
        <v/>
      </c>
      <c r="V109" s="9"/>
      <c r="EM109" s="2"/>
      <c r="EN109" s="2"/>
      <c r="EO109" s="2"/>
      <c r="EP109" s="2"/>
      <c r="EQ109" s="2"/>
      <c r="ER109" s="2"/>
      <c r="ES109" s="2"/>
    </row>
    <row r="110" spans="3:149" x14ac:dyDescent="0.3">
      <c r="C110" s="11"/>
      <c r="F110" s="2" cm="1">
        <f t="array" ref="F110">COUNTA(_xlfn.UNIQUE(_xlfn._xlws.FILTER(chamca[Run],(chamca[Visual ID]=A110))))</f>
        <v>1</v>
      </c>
      <c r="G110" s="2">
        <f>_xlfn.XLOOKUP(A110,RevCoreCount!A:A,RevCoreCount!B:B,)</f>
        <v>0</v>
      </c>
      <c r="H110" s="2">
        <f>_xlfn.XLOOKUP(A110,RevCoreCount!A:A,RevCoreCount!E:E,)</f>
        <v>0</v>
      </c>
      <c r="I110" s="2">
        <f>_xlfn.XLOOKUP(A110,RevCHACount!A:A,RevCHACount!B:B)</f>
        <v>0</v>
      </c>
      <c r="J110" s="2">
        <f>_xlfn.XLOOKUP(A110,RevCHACount!A:A,RevCHACount!E:E)</f>
        <v>0</v>
      </c>
      <c r="K110" s="2">
        <f>_xlfn.XLOOKUP(A110,RevLLCCount!A:A,RevLLCCount!B:B,)</f>
        <v>0</v>
      </c>
      <c r="L110" s="2">
        <f>_xlfn.XLOOKUP(A110,RevLLCCount!A:A,RevLLCCount!E:E)</f>
        <v>0</v>
      </c>
      <c r="M110" s="1">
        <f>_xlfn.XLOOKUP(A110,RevCHACount!A:A,RevCHACount!F:F)</f>
        <v>0</v>
      </c>
      <c r="N110" s="1" t="str">
        <f>_xlfn.XLOOKUP(A110,'Other Errors'!A:A,'Other Errors'!B:B,"")</f>
        <v/>
      </c>
      <c r="O110" s="2" t="e">
        <f t="shared" si="6"/>
        <v>#N/A</v>
      </c>
      <c r="P110" s="2" t="e">
        <f t="shared" si="7"/>
        <v>#N/A</v>
      </c>
      <c r="Q110" s="2" t="e">
        <f t="shared" si="8"/>
        <v>#N/A</v>
      </c>
      <c r="R110" s="2" t="e">
        <f t="shared" si="9"/>
        <v>#N/A</v>
      </c>
      <c r="S110" s="2" t="str">
        <f t="shared" si="10"/>
        <v/>
      </c>
      <c r="T110" s="2" t="str">
        <f t="shared" si="11"/>
        <v/>
      </c>
      <c r="U110" s="8" t="str" cm="1">
        <f t="array" ref="U110">_xlfn.TEXTJOIN(", ",,_xlfn.UNIQUE(_xlfn._xlws.FILTER(EM$3:FK$3,EM110:FK110&gt;0,"")))</f>
        <v/>
      </c>
      <c r="V110" s="9"/>
      <c r="EM110" s="2"/>
      <c r="EN110" s="2"/>
      <c r="EO110" s="2"/>
      <c r="EP110" s="2"/>
      <c r="EQ110" s="2"/>
      <c r="ER110" s="2"/>
      <c r="ES110" s="2"/>
    </row>
    <row r="111" spans="3:149" x14ac:dyDescent="0.3">
      <c r="C111" s="11"/>
      <c r="F111" s="2" cm="1">
        <f t="array" ref="F111">COUNTA(_xlfn.UNIQUE(_xlfn._xlws.FILTER(chamca[Run],(chamca[Visual ID]=A111))))</f>
        <v>1</v>
      </c>
      <c r="G111" s="2">
        <f>_xlfn.XLOOKUP(A111,RevCoreCount!A:A,RevCoreCount!B:B,)</f>
        <v>0</v>
      </c>
      <c r="H111" s="2">
        <f>_xlfn.XLOOKUP(A111,RevCoreCount!A:A,RevCoreCount!E:E,)</f>
        <v>0</v>
      </c>
      <c r="I111" s="2">
        <f>_xlfn.XLOOKUP(A111,RevCHACount!A:A,RevCHACount!B:B)</f>
        <v>0</v>
      </c>
      <c r="J111" s="2">
        <f>_xlfn.XLOOKUP(A111,RevCHACount!A:A,RevCHACount!E:E)</f>
        <v>0</v>
      </c>
      <c r="K111" s="2">
        <f>_xlfn.XLOOKUP(A111,RevLLCCount!A:A,RevLLCCount!B:B,)</f>
        <v>0</v>
      </c>
      <c r="L111" s="2">
        <f>_xlfn.XLOOKUP(A111,RevLLCCount!A:A,RevLLCCount!E:E)</f>
        <v>0</v>
      </c>
      <c r="M111" s="1">
        <f>_xlfn.XLOOKUP(A111,RevCHACount!A:A,RevCHACount!F:F)</f>
        <v>0</v>
      </c>
      <c r="N111" s="1" t="str">
        <f>_xlfn.XLOOKUP(A111,'Other Errors'!A:A,'Other Errors'!B:B,"")</f>
        <v/>
      </c>
      <c r="O111" s="2" t="e">
        <f t="shared" si="6"/>
        <v>#N/A</v>
      </c>
      <c r="P111" s="2" t="e">
        <f t="shared" si="7"/>
        <v>#N/A</v>
      </c>
      <c r="Q111" s="2" t="e">
        <f t="shared" si="8"/>
        <v>#N/A</v>
      </c>
      <c r="R111" s="2" t="e">
        <f t="shared" si="9"/>
        <v>#N/A</v>
      </c>
      <c r="S111" s="2" t="str">
        <f t="shared" si="10"/>
        <v/>
      </c>
      <c r="T111" s="2" t="str">
        <f t="shared" si="11"/>
        <v/>
      </c>
      <c r="U111" s="8" t="str" cm="1">
        <f t="array" ref="U111">_xlfn.TEXTJOIN(", ",,_xlfn.UNIQUE(_xlfn._xlws.FILTER(EM$3:FK$3,EM111:FK111&gt;0,"")))</f>
        <v/>
      </c>
      <c r="V111" s="9"/>
      <c r="EM111" s="2"/>
      <c r="EN111" s="2"/>
      <c r="EO111" s="2"/>
      <c r="EP111" s="2"/>
      <c r="EQ111" s="2"/>
      <c r="ER111" s="2"/>
      <c r="ES111" s="2"/>
    </row>
    <row r="112" spans="3:149" x14ac:dyDescent="0.3">
      <c r="C112" s="11"/>
      <c r="F112" s="2" cm="1">
        <f t="array" ref="F112">COUNTA(_xlfn.UNIQUE(_xlfn._xlws.FILTER(chamca[Run],(chamca[Visual ID]=A112))))</f>
        <v>1</v>
      </c>
      <c r="G112" s="2">
        <f>_xlfn.XLOOKUP(A112,RevCoreCount!A:A,RevCoreCount!B:B,)</f>
        <v>0</v>
      </c>
      <c r="H112" s="2">
        <f>_xlfn.XLOOKUP(A112,RevCoreCount!A:A,RevCoreCount!E:E,)</f>
        <v>0</v>
      </c>
      <c r="I112" s="2">
        <f>_xlfn.XLOOKUP(A112,RevCHACount!A:A,RevCHACount!B:B)</f>
        <v>0</v>
      </c>
      <c r="J112" s="2">
        <f>_xlfn.XLOOKUP(A112,RevCHACount!A:A,RevCHACount!E:E)</f>
        <v>0</v>
      </c>
      <c r="K112" s="2">
        <f>_xlfn.XLOOKUP(A112,RevLLCCount!A:A,RevLLCCount!B:B,)</f>
        <v>0</v>
      </c>
      <c r="L112" s="2">
        <f>_xlfn.XLOOKUP(A112,RevLLCCount!A:A,RevLLCCount!E:E)</f>
        <v>0</v>
      </c>
      <c r="M112" s="1">
        <f>_xlfn.XLOOKUP(A112,RevCHACount!A:A,RevCHACount!F:F)</f>
        <v>0</v>
      </c>
      <c r="N112" s="1" t="str">
        <f>_xlfn.XLOOKUP(A112,'Other Errors'!A:A,'Other Errors'!B:B,"")</f>
        <v/>
      </c>
      <c r="O112" s="2" t="e">
        <f t="shared" si="6"/>
        <v>#N/A</v>
      </c>
      <c r="P112" s="2" t="e">
        <f t="shared" si="7"/>
        <v>#N/A</v>
      </c>
      <c r="Q112" s="2" t="e">
        <f t="shared" si="8"/>
        <v>#N/A</v>
      </c>
      <c r="R112" s="2" t="e">
        <f t="shared" si="9"/>
        <v>#N/A</v>
      </c>
      <c r="S112" s="2" t="str">
        <f t="shared" si="10"/>
        <v/>
      </c>
      <c r="T112" s="2" t="str">
        <f t="shared" si="11"/>
        <v/>
      </c>
      <c r="U112" s="8" t="str" cm="1">
        <f t="array" ref="U112">_xlfn.TEXTJOIN(", ",,_xlfn.UNIQUE(_xlfn._xlws.FILTER(EM$3:FK$3,EM112:FK112&gt;0,"")))</f>
        <v/>
      </c>
      <c r="V112" s="9"/>
      <c r="EM112" s="2"/>
      <c r="EN112" s="2"/>
      <c r="EO112" s="2"/>
      <c r="EP112" s="2"/>
      <c r="EQ112" s="2"/>
      <c r="ER112" s="2"/>
      <c r="ES112" s="2"/>
    </row>
    <row r="113" spans="3:149" x14ac:dyDescent="0.3">
      <c r="C113" s="11"/>
      <c r="F113" s="2" cm="1">
        <f t="array" ref="F113">COUNTA(_xlfn.UNIQUE(_xlfn._xlws.FILTER(chamca[Run],(chamca[Visual ID]=A113))))</f>
        <v>1</v>
      </c>
      <c r="G113" s="2">
        <f>_xlfn.XLOOKUP(A113,RevCoreCount!A:A,RevCoreCount!B:B,)</f>
        <v>0</v>
      </c>
      <c r="H113" s="2">
        <f>_xlfn.XLOOKUP(A113,RevCoreCount!A:A,RevCoreCount!E:E,)</f>
        <v>0</v>
      </c>
      <c r="I113" s="2">
        <f>_xlfn.XLOOKUP(A113,RevCHACount!A:A,RevCHACount!B:B)</f>
        <v>0</v>
      </c>
      <c r="J113" s="2">
        <f>_xlfn.XLOOKUP(A113,RevCHACount!A:A,RevCHACount!E:E)</f>
        <v>0</v>
      </c>
      <c r="K113" s="2">
        <f>_xlfn.XLOOKUP(A113,RevLLCCount!A:A,RevLLCCount!B:B,)</f>
        <v>0</v>
      </c>
      <c r="L113" s="2">
        <f>_xlfn.XLOOKUP(A113,RevLLCCount!A:A,RevLLCCount!E:E)</f>
        <v>0</v>
      </c>
      <c r="M113" s="1">
        <f>_xlfn.XLOOKUP(A113,RevCHACount!A:A,RevCHACount!F:F)</f>
        <v>0</v>
      </c>
      <c r="N113" s="1" t="str">
        <f>_xlfn.XLOOKUP(A113,'Other Errors'!A:A,'Other Errors'!B:B,"")</f>
        <v/>
      </c>
      <c r="O113" s="2" t="e">
        <f t="shared" si="6"/>
        <v>#N/A</v>
      </c>
      <c r="P113" s="2" t="e">
        <f t="shared" si="7"/>
        <v>#N/A</v>
      </c>
      <c r="Q113" s="2" t="e">
        <f t="shared" si="8"/>
        <v>#N/A</v>
      </c>
      <c r="R113" s="2" t="e">
        <f t="shared" si="9"/>
        <v>#N/A</v>
      </c>
      <c r="S113" s="2" t="str">
        <f t="shared" si="10"/>
        <v/>
      </c>
      <c r="T113" s="2" t="str">
        <f t="shared" si="11"/>
        <v/>
      </c>
      <c r="U113" s="8" t="str" cm="1">
        <f t="array" ref="U113">_xlfn.TEXTJOIN(", ",,_xlfn.UNIQUE(_xlfn._xlws.FILTER(EM$3:FK$3,EM113:FK113&gt;0,"")))</f>
        <v/>
      </c>
      <c r="V113" s="9"/>
      <c r="EM113" s="2"/>
      <c r="EN113" s="2"/>
      <c r="EO113" s="2"/>
      <c r="EP113" s="2"/>
      <c r="EQ113" s="2"/>
      <c r="ER113" s="2"/>
      <c r="ES113" s="2"/>
    </row>
    <row r="114" spans="3:149" x14ac:dyDescent="0.3">
      <c r="C114" s="11"/>
      <c r="F114" s="2" cm="1">
        <f t="array" ref="F114">COUNTA(_xlfn.UNIQUE(_xlfn._xlws.FILTER(chamca[Run],(chamca[Visual ID]=A114))))</f>
        <v>1</v>
      </c>
      <c r="G114" s="2">
        <f>_xlfn.XLOOKUP(A114,RevCoreCount!A:A,RevCoreCount!B:B,)</f>
        <v>0</v>
      </c>
      <c r="H114" s="2">
        <f>_xlfn.XLOOKUP(A114,RevCoreCount!A:A,RevCoreCount!E:E,)</f>
        <v>0</v>
      </c>
      <c r="I114" s="2">
        <f>_xlfn.XLOOKUP(A114,RevCHACount!A:A,RevCHACount!B:B)</f>
        <v>0</v>
      </c>
      <c r="J114" s="2">
        <f>_xlfn.XLOOKUP(A114,RevCHACount!A:A,RevCHACount!E:E)</f>
        <v>0</v>
      </c>
      <c r="K114" s="2">
        <f>_xlfn.XLOOKUP(A114,RevLLCCount!A:A,RevLLCCount!B:B,)</f>
        <v>0</v>
      </c>
      <c r="L114" s="2">
        <f>_xlfn.XLOOKUP(A114,RevLLCCount!A:A,RevLLCCount!E:E)</f>
        <v>0</v>
      </c>
      <c r="M114" s="1">
        <f>_xlfn.XLOOKUP(A114,RevCHACount!A:A,RevCHACount!F:F)</f>
        <v>0</v>
      </c>
      <c r="N114" s="1" t="str">
        <f>_xlfn.XLOOKUP(A114,'Other Errors'!A:A,'Other Errors'!B:B,"")</f>
        <v/>
      </c>
      <c r="O114" s="2" t="e">
        <f t="shared" si="6"/>
        <v>#N/A</v>
      </c>
      <c r="P114" s="2" t="e">
        <f t="shared" si="7"/>
        <v>#N/A</v>
      </c>
      <c r="Q114" s="2" t="e">
        <f t="shared" si="8"/>
        <v>#N/A</v>
      </c>
      <c r="R114" s="2" t="e">
        <f t="shared" si="9"/>
        <v>#N/A</v>
      </c>
      <c r="S114" s="2" t="str">
        <f t="shared" si="10"/>
        <v/>
      </c>
      <c r="T114" s="2" t="str">
        <f t="shared" si="11"/>
        <v/>
      </c>
      <c r="U114" s="8" t="str" cm="1">
        <f t="array" ref="U114">_xlfn.TEXTJOIN(", ",,_xlfn.UNIQUE(_xlfn._xlws.FILTER(EM$3:FK$3,EM114:FK114&gt;0,"")))</f>
        <v/>
      </c>
      <c r="V114" s="9"/>
      <c r="EM114" s="2"/>
      <c r="EN114" s="2"/>
      <c r="EO114" s="2"/>
      <c r="EP114" s="2"/>
      <c r="EQ114" s="2"/>
      <c r="ER114" s="2"/>
      <c r="ES114" s="2"/>
    </row>
    <row r="115" spans="3:149" x14ac:dyDescent="0.3">
      <c r="C115" s="11"/>
      <c r="F115" s="2" cm="1">
        <f t="array" ref="F115">COUNTA(_xlfn.UNIQUE(_xlfn._xlws.FILTER(chamca[Run],(chamca[Visual ID]=A115))))</f>
        <v>1</v>
      </c>
      <c r="G115" s="2">
        <f>_xlfn.XLOOKUP(A115,RevCoreCount!A:A,RevCoreCount!B:B,)</f>
        <v>0</v>
      </c>
      <c r="H115" s="2">
        <f>_xlfn.XLOOKUP(A115,RevCoreCount!A:A,RevCoreCount!E:E,)</f>
        <v>0</v>
      </c>
      <c r="I115" s="2">
        <f>_xlfn.XLOOKUP(A115,RevCHACount!A:A,RevCHACount!B:B)</f>
        <v>0</v>
      </c>
      <c r="J115" s="2">
        <f>_xlfn.XLOOKUP(A115,RevCHACount!A:A,RevCHACount!E:E)</f>
        <v>0</v>
      </c>
      <c r="K115" s="2">
        <f>_xlfn.XLOOKUP(A115,RevLLCCount!A:A,RevLLCCount!B:B,)</f>
        <v>0</v>
      </c>
      <c r="L115" s="2">
        <f>_xlfn.XLOOKUP(A115,RevLLCCount!A:A,RevLLCCount!E:E)</f>
        <v>0</v>
      </c>
      <c r="M115" s="1">
        <f>_xlfn.XLOOKUP(A115,RevCHACount!A:A,RevCHACount!F:F)</f>
        <v>0</v>
      </c>
      <c r="N115" s="1" t="str">
        <f>_xlfn.XLOOKUP(A115,'Other Errors'!A:A,'Other Errors'!B:B,"")</f>
        <v/>
      </c>
      <c r="O115" s="2" t="e">
        <f t="shared" si="6"/>
        <v>#N/A</v>
      </c>
      <c r="P115" s="2" t="e">
        <f t="shared" si="7"/>
        <v>#N/A</v>
      </c>
      <c r="Q115" s="2" t="e">
        <f t="shared" si="8"/>
        <v>#N/A</v>
      </c>
      <c r="R115" s="2" t="e">
        <f t="shared" si="9"/>
        <v>#N/A</v>
      </c>
      <c r="S115" s="2" t="str">
        <f t="shared" si="10"/>
        <v/>
      </c>
      <c r="T115" s="2" t="str">
        <f t="shared" si="11"/>
        <v/>
      </c>
      <c r="U115" s="8" t="str" cm="1">
        <f t="array" ref="U115">_xlfn.TEXTJOIN(", ",,_xlfn.UNIQUE(_xlfn._xlws.FILTER(EM$3:FK$3,EM115:FK115&gt;0,"")))</f>
        <v/>
      </c>
      <c r="V115" s="9"/>
      <c r="EM115" s="2"/>
      <c r="EN115" s="2"/>
      <c r="EO115" s="2"/>
      <c r="EP115" s="2"/>
      <c r="EQ115" s="2"/>
      <c r="ER115" s="2"/>
      <c r="ES115" s="2"/>
    </row>
    <row r="116" spans="3:149" x14ac:dyDescent="0.3">
      <c r="C116" s="11"/>
      <c r="F116" s="2" cm="1">
        <f t="array" ref="F116">COUNTA(_xlfn.UNIQUE(_xlfn._xlws.FILTER(chamca[Run],(chamca[Visual ID]=A116))))</f>
        <v>1</v>
      </c>
      <c r="G116" s="2">
        <f>_xlfn.XLOOKUP(A116,RevCoreCount!A:A,RevCoreCount!B:B,)</f>
        <v>0</v>
      </c>
      <c r="H116" s="2">
        <f>_xlfn.XLOOKUP(A116,RevCoreCount!A:A,RevCoreCount!E:E,)</f>
        <v>0</v>
      </c>
      <c r="I116" s="2">
        <f>_xlfn.XLOOKUP(A116,RevCHACount!A:A,RevCHACount!B:B)</f>
        <v>0</v>
      </c>
      <c r="J116" s="2">
        <f>_xlfn.XLOOKUP(A116,RevCHACount!A:A,RevCHACount!E:E)</f>
        <v>0</v>
      </c>
      <c r="K116" s="2">
        <f>_xlfn.XLOOKUP(A116,RevLLCCount!A:A,RevLLCCount!B:B,)</f>
        <v>0</v>
      </c>
      <c r="L116" s="2">
        <f>_xlfn.XLOOKUP(A116,RevLLCCount!A:A,RevLLCCount!E:E)</f>
        <v>0</v>
      </c>
      <c r="M116" s="1">
        <f>_xlfn.XLOOKUP(A116,RevCHACount!A:A,RevCHACount!F:F)</f>
        <v>0</v>
      </c>
      <c r="N116" s="1" t="str">
        <f>_xlfn.XLOOKUP(A116,'Other Errors'!A:A,'Other Errors'!B:B,"")</f>
        <v/>
      </c>
      <c r="O116" s="2" t="e">
        <f t="shared" si="6"/>
        <v>#N/A</v>
      </c>
      <c r="P116" s="2" t="e">
        <f t="shared" si="7"/>
        <v>#N/A</v>
      </c>
      <c r="Q116" s="2" t="e">
        <f t="shared" si="8"/>
        <v>#N/A</v>
      </c>
      <c r="R116" s="2" t="e">
        <f t="shared" si="9"/>
        <v>#N/A</v>
      </c>
      <c r="S116" s="2" t="str">
        <f t="shared" si="10"/>
        <v/>
      </c>
      <c r="T116" s="2" t="str">
        <f t="shared" si="11"/>
        <v/>
      </c>
      <c r="U116" s="8" t="str" cm="1">
        <f t="array" ref="U116">_xlfn.TEXTJOIN(", ",,_xlfn.UNIQUE(_xlfn._xlws.FILTER(EM$3:FK$3,EM116:FK116&gt;0,"")))</f>
        <v/>
      </c>
      <c r="V116" s="9"/>
      <c r="EM116" s="2"/>
      <c r="EN116" s="2"/>
      <c r="EO116" s="2"/>
      <c r="EP116" s="2"/>
      <c r="EQ116" s="2"/>
      <c r="ER116" s="2"/>
      <c r="ES116" s="2"/>
    </row>
    <row r="117" spans="3:149" x14ac:dyDescent="0.3">
      <c r="C117" s="11"/>
      <c r="F117" s="2" cm="1">
        <f t="array" ref="F117">COUNTA(_xlfn.UNIQUE(_xlfn._xlws.FILTER(chamca[Run],(chamca[Visual ID]=A117))))</f>
        <v>1</v>
      </c>
      <c r="G117" s="2">
        <f>_xlfn.XLOOKUP(A117,RevCoreCount!A:A,RevCoreCount!B:B,)</f>
        <v>0</v>
      </c>
      <c r="H117" s="2">
        <f>_xlfn.XLOOKUP(A117,RevCoreCount!A:A,RevCoreCount!E:E,)</f>
        <v>0</v>
      </c>
      <c r="I117" s="2">
        <f>_xlfn.XLOOKUP(A117,RevCHACount!A:A,RevCHACount!B:B)</f>
        <v>0</v>
      </c>
      <c r="J117" s="2">
        <f>_xlfn.XLOOKUP(A117,RevCHACount!A:A,RevCHACount!E:E)</f>
        <v>0</v>
      </c>
      <c r="K117" s="2">
        <f>_xlfn.XLOOKUP(A117,RevLLCCount!A:A,RevLLCCount!B:B,)</f>
        <v>0</v>
      </c>
      <c r="L117" s="2">
        <f>_xlfn.XLOOKUP(A117,RevLLCCount!A:A,RevLLCCount!E:E)</f>
        <v>0</v>
      </c>
      <c r="M117" s="1">
        <f>_xlfn.XLOOKUP(A117,RevCHACount!A:A,RevCHACount!F:F)</f>
        <v>0</v>
      </c>
      <c r="N117" s="1" t="str">
        <f>_xlfn.XLOOKUP(A117,'Other Errors'!A:A,'Other Errors'!B:B,"")</f>
        <v/>
      </c>
      <c r="O117" s="2" t="e">
        <f t="shared" si="6"/>
        <v>#N/A</v>
      </c>
      <c r="P117" s="2" t="e">
        <f t="shared" si="7"/>
        <v>#N/A</v>
      </c>
      <c r="Q117" s="2" t="e">
        <f t="shared" si="8"/>
        <v>#N/A</v>
      </c>
      <c r="R117" s="2" t="e">
        <f t="shared" si="9"/>
        <v>#N/A</v>
      </c>
      <c r="S117" s="2" t="str">
        <f t="shared" si="10"/>
        <v/>
      </c>
      <c r="T117" s="2" t="str">
        <f t="shared" si="11"/>
        <v/>
      </c>
      <c r="U117" s="8" t="str" cm="1">
        <f t="array" ref="U117">_xlfn.TEXTJOIN(", ",,_xlfn.UNIQUE(_xlfn._xlws.FILTER(EM$3:FK$3,EM117:FK117&gt;0,"")))</f>
        <v/>
      </c>
      <c r="V117" s="9"/>
      <c r="EM117" s="2"/>
      <c r="EN117" s="2"/>
      <c r="EO117" s="2"/>
      <c r="EP117" s="2"/>
      <c r="EQ117" s="2"/>
      <c r="ER117" s="2"/>
      <c r="ES117" s="2"/>
    </row>
    <row r="118" spans="3:149" x14ac:dyDescent="0.3">
      <c r="C118" s="11"/>
      <c r="F118" s="2" cm="1">
        <f t="array" ref="F118">COUNTA(_xlfn.UNIQUE(_xlfn._xlws.FILTER(chamca[Run],(chamca[Visual ID]=A118))))</f>
        <v>1</v>
      </c>
      <c r="G118" s="2">
        <f>_xlfn.XLOOKUP(A118,RevCoreCount!A:A,RevCoreCount!B:B,)</f>
        <v>0</v>
      </c>
      <c r="H118" s="2">
        <f>_xlfn.XLOOKUP(A118,RevCoreCount!A:A,RevCoreCount!E:E,)</f>
        <v>0</v>
      </c>
      <c r="I118" s="2">
        <f>_xlfn.XLOOKUP(A118,RevCHACount!A:A,RevCHACount!B:B)</f>
        <v>0</v>
      </c>
      <c r="J118" s="2">
        <f>_xlfn.XLOOKUP(A118,RevCHACount!A:A,RevCHACount!E:E)</f>
        <v>0</v>
      </c>
      <c r="K118" s="2">
        <f>_xlfn.XLOOKUP(A118,RevLLCCount!A:A,RevLLCCount!B:B,)</f>
        <v>0</v>
      </c>
      <c r="L118" s="2">
        <f>_xlfn.XLOOKUP(A118,RevLLCCount!A:A,RevLLCCount!E:E)</f>
        <v>0</v>
      </c>
      <c r="M118" s="1">
        <f>_xlfn.XLOOKUP(A118,RevCHACount!A:A,RevCHACount!F:F)</f>
        <v>0</v>
      </c>
      <c r="N118" s="1" t="str">
        <f>_xlfn.XLOOKUP(A118,'Other Errors'!A:A,'Other Errors'!B:B,"")</f>
        <v/>
      </c>
      <c r="O118" s="2" t="e">
        <f t="shared" si="6"/>
        <v>#N/A</v>
      </c>
      <c r="P118" s="2" t="e">
        <f t="shared" si="7"/>
        <v>#N/A</v>
      </c>
      <c r="Q118" s="2" t="e">
        <f t="shared" si="8"/>
        <v>#N/A</v>
      </c>
      <c r="R118" s="2" t="e">
        <f t="shared" si="9"/>
        <v>#N/A</v>
      </c>
      <c r="S118" s="2" t="str">
        <f t="shared" si="10"/>
        <v/>
      </c>
      <c r="T118" s="2" t="str">
        <f t="shared" si="11"/>
        <v/>
      </c>
      <c r="U118" s="8" t="str" cm="1">
        <f t="array" ref="U118">_xlfn.TEXTJOIN(", ",,_xlfn.UNIQUE(_xlfn._xlws.FILTER(EM$3:FK$3,EM118:FK118&gt;0,"")))</f>
        <v/>
      </c>
      <c r="V118" s="9"/>
      <c r="EM118" s="2"/>
      <c r="EN118" s="2"/>
      <c r="EO118" s="2"/>
      <c r="EP118" s="2"/>
      <c r="EQ118" s="2"/>
      <c r="ER118" s="2"/>
      <c r="ES118" s="2"/>
    </row>
    <row r="119" spans="3:149" x14ac:dyDescent="0.3">
      <c r="C119" s="11"/>
      <c r="F119" s="2" cm="1">
        <f t="array" ref="F119">COUNTA(_xlfn.UNIQUE(_xlfn._xlws.FILTER(chamca[Run],(chamca[Visual ID]=A119))))</f>
        <v>1</v>
      </c>
      <c r="G119" s="2">
        <f>_xlfn.XLOOKUP(A119,RevCoreCount!A:A,RevCoreCount!B:B,)</f>
        <v>0</v>
      </c>
      <c r="H119" s="2">
        <f>_xlfn.XLOOKUP(A119,RevCoreCount!A:A,RevCoreCount!E:E,)</f>
        <v>0</v>
      </c>
      <c r="I119" s="2">
        <f>_xlfn.XLOOKUP(A119,RevCHACount!A:A,RevCHACount!B:B)</f>
        <v>0</v>
      </c>
      <c r="J119" s="2">
        <f>_xlfn.XLOOKUP(A119,RevCHACount!A:A,RevCHACount!E:E)</f>
        <v>0</v>
      </c>
      <c r="K119" s="2">
        <f>_xlfn.XLOOKUP(A119,RevLLCCount!A:A,RevLLCCount!B:B,)</f>
        <v>0</v>
      </c>
      <c r="L119" s="2">
        <f>_xlfn.XLOOKUP(A119,RevLLCCount!A:A,RevLLCCount!E:E)</f>
        <v>0</v>
      </c>
      <c r="M119" s="1">
        <f>_xlfn.XLOOKUP(A119,RevCHACount!A:A,RevCHACount!F:F)</f>
        <v>0</v>
      </c>
      <c r="N119" s="1" t="str">
        <f>_xlfn.XLOOKUP(A119,'Other Errors'!A:A,'Other Errors'!B:B,"")</f>
        <v/>
      </c>
      <c r="O119" s="2" t="e">
        <f t="shared" si="6"/>
        <v>#N/A</v>
      </c>
      <c r="P119" s="2" t="e">
        <f t="shared" si="7"/>
        <v>#N/A</v>
      </c>
      <c r="Q119" s="2" t="e">
        <f t="shared" si="8"/>
        <v>#N/A</v>
      </c>
      <c r="R119" s="2" t="e">
        <f t="shared" si="9"/>
        <v>#N/A</v>
      </c>
      <c r="S119" s="2" t="str">
        <f t="shared" si="10"/>
        <v/>
      </c>
      <c r="T119" s="2" t="str">
        <f t="shared" si="11"/>
        <v/>
      </c>
      <c r="U119" s="8" t="str" cm="1">
        <f t="array" ref="U119">_xlfn.TEXTJOIN(", ",,_xlfn.UNIQUE(_xlfn._xlws.FILTER(EM$3:FK$3,EM119:FK119&gt;0,"")))</f>
        <v/>
      </c>
      <c r="V119" s="9"/>
      <c r="EM119" s="2"/>
      <c r="EN119" s="2"/>
      <c r="EO119" s="2"/>
      <c r="EP119" s="2"/>
      <c r="EQ119" s="2"/>
      <c r="ER119" s="2"/>
      <c r="ES119" s="2"/>
    </row>
    <row r="120" spans="3:149" x14ac:dyDescent="0.3">
      <c r="C120" s="11"/>
      <c r="F120" s="2" cm="1">
        <f t="array" ref="F120">COUNTA(_xlfn.UNIQUE(_xlfn._xlws.FILTER(chamca[Run],(chamca[Visual ID]=A120))))</f>
        <v>1</v>
      </c>
      <c r="G120" s="2">
        <f>_xlfn.XLOOKUP(A120,RevCoreCount!A:A,RevCoreCount!B:B,)</f>
        <v>0</v>
      </c>
      <c r="H120" s="2">
        <f>_xlfn.XLOOKUP(A120,RevCoreCount!A:A,RevCoreCount!E:E,)</f>
        <v>0</v>
      </c>
      <c r="I120" s="2">
        <f>_xlfn.XLOOKUP(A120,RevCHACount!A:A,RevCHACount!B:B)</f>
        <v>0</v>
      </c>
      <c r="J120" s="2">
        <f>_xlfn.XLOOKUP(A120,RevCHACount!A:A,RevCHACount!E:E)</f>
        <v>0</v>
      </c>
      <c r="K120" s="2">
        <f>_xlfn.XLOOKUP(A120,RevLLCCount!A:A,RevLLCCount!B:B,)</f>
        <v>0</v>
      </c>
      <c r="L120" s="2">
        <f>_xlfn.XLOOKUP(A120,RevLLCCount!A:A,RevLLCCount!E:E)</f>
        <v>0</v>
      </c>
      <c r="M120" s="1">
        <f>_xlfn.XLOOKUP(A120,RevCHACount!A:A,RevCHACount!F:F)</f>
        <v>0</v>
      </c>
      <c r="N120" s="1" t="str">
        <f>_xlfn.XLOOKUP(A120,'Other Errors'!A:A,'Other Errors'!B:B,"")</f>
        <v/>
      </c>
      <c r="O120" s="2" t="e">
        <f t="shared" si="6"/>
        <v>#N/A</v>
      </c>
      <c r="P120" s="2" t="e">
        <f t="shared" si="7"/>
        <v>#N/A</v>
      </c>
      <c r="Q120" s="2" t="e">
        <f t="shared" si="8"/>
        <v>#N/A</v>
      </c>
      <c r="R120" s="2" t="e">
        <f t="shared" si="9"/>
        <v>#N/A</v>
      </c>
      <c r="S120" s="2" t="str">
        <f t="shared" si="10"/>
        <v/>
      </c>
      <c r="T120" s="2" t="str">
        <f t="shared" si="11"/>
        <v/>
      </c>
      <c r="U120" s="8" t="str" cm="1">
        <f t="array" ref="U120">_xlfn.TEXTJOIN(", ",,_xlfn.UNIQUE(_xlfn._xlws.FILTER(EM$3:FK$3,EM120:FK120&gt;0,"")))</f>
        <v/>
      </c>
      <c r="V120" s="9"/>
      <c r="EM120" s="2"/>
      <c r="EN120" s="2"/>
      <c r="EO120" s="2"/>
      <c r="EP120" s="2"/>
      <c r="EQ120" s="2"/>
      <c r="ER120" s="2"/>
      <c r="ES120" s="2"/>
    </row>
    <row r="121" spans="3:149" x14ac:dyDescent="0.3">
      <c r="C121" s="11"/>
      <c r="F121" s="2" cm="1">
        <f t="array" ref="F121">COUNTA(_xlfn.UNIQUE(_xlfn._xlws.FILTER(chamca[Run],(chamca[Visual ID]=A121))))</f>
        <v>1</v>
      </c>
      <c r="G121" s="2">
        <f>_xlfn.XLOOKUP(A121,RevCoreCount!A:A,RevCoreCount!B:B,)</f>
        <v>0</v>
      </c>
      <c r="H121" s="2">
        <f>_xlfn.XLOOKUP(A121,RevCoreCount!A:A,RevCoreCount!E:E,)</f>
        <v>0</v>
      </c>
      <c r="I121" s="2">
        <f>_xlfn.XLOOKUP(A121,RevCHACount!A:A,RevCHACount!B:B)</f>
        <v>0</v>
      </c>
      <c r="J121" s="2">
        <f>_xlfn.XLOOKUP(A121,RevCHACount!A:A,RevCHACount!E:E)</f>
        <v>0</v>
      </c>
      <c r="K121" s="2">
        <f>_xlfn.XLOOKUP(A121,RevLLCCount!A:A,RevLLCCount!B:B,)</f>
        <v>0</v>
      </c>
      <c r="L121" s="2">
        <f>_xlfn.XLOOKUP(A121,RevLLCCount!A:A,RevLLCCount!E:E)</f>
        <v>0</v>
      </c>
      <c r="M121" s="1">
        <f>_xlfn.XLOOKUP(A121,RevCHACount!A:A,RevCHACount!F:F)</f>
        <v>0</v>
      </c>
      <c r="N121" s="1" t="str">
        <f>_xlfn.XLOOKUP(A121,'Other Errors'!A:A,'Other Errors'!B:B,"")</f>
        <v/>
      </c>
      <c r="O121" s="2" t="e">
        <f t="shared" si="6"/>
        <v>#N/A</v>
      </c>
      <c r="P121" s="2" t="e">
        <f t="shared" si="7"/>
        <v>#N/A</v>
      </c>
      <c r="Q121" s="2" t="e">
        <f t="shared" si="8"/>
        <v>#N/A</v>
      </c>
      <c r="R121" s="2" t="e">
        <f t="shared" si="9"/>
        <v>#N/A</v>
      </c>
      <c r="S121" s="2" t="str">
        <f t="shared" si="10"/>
        <v/>
      </c>
      <c r="T121" s="2" t="str">
        <f t="shared" si="11"/>
        <v/>
      </c>
      <c r="U121" s="8" t="str" cm="1">
        <f t="array" ref="U121">_xlfn.TEXTJOIN(", ",,_xlfn.UNIQUE(_xlfn._xlws.FILTER(EM$3:FK$3,EM121:FK121&gt;0,"")))</f>
        <v/>
      </c>
      <c r="V121" s="9"/>
      <c r="EM121" s="2"/>
      <c r="EN121" s="2"/>
      <c r="EO121" s="2"/>
      <c r="EP121" s="2"/>
      <c r="EQ121" s="2"/>
      <c r="ER121" s="2"/>
      <c r="ES121" s="2"/>
    </row>
    <row r="122" spans="3:149" x14ac:dyDescent="0.3">
      <c r="C122" s="11"/>
      <c r="F122" s="2" cm="1">
        <f t="array" ref="F122">COUNTA(_xlfn.UNIQUE(_xlfn._xlws.FILTER(chamca[Run],(chamca[Visual ID]=A122))))</f>
        <v>1</v>
      </c>
      <c r="G122" s="2">
        <f>_xlfn.XLOOKUP(A122,RevCoreCount!A:A,RevCoreCount!B:B,)</f>
        <v>0</v>
      </c>
      <c r="H122" s="2">
        <f>_xlfn.XLOOKUP(A122,RevCoreCount!A:A,RevCoreCount!E:E,)</f>
        <v>0</v>
      </c>
      <c r="I122" s="2">
        <f>_xlfn.XLOOKUP(A122,RevCHACount!A:A,RevCHACount!B:B)</f>
        <v>0</v>
      </c>
      <c r="J122" s="2">
        <f>_xlfn.XLOOKUP(A122,RevCHACount!A:A,RevCHACount!E:E)</f>
        <v>0</v>
      </c>
      <c r="K122" s="2">
        <f>_xlfn.XLOOKUP(A122,RevLLCCount!A:A,RevLLCCount!B:B,)</f>
        <v>0</v>
      </c>
      <c r="L122" s="2">
        <f>_xlfn.XLOOKUP(A122,RevLLCCount!A:A,RevLLCCount!E:E)</f>
        <v>0</v>
      </c>
      <c r="M122" s="1">
        <f>_xlfn.XLOOKUP(A122,RevCHACount!A:A,RevCHACount!F:F)</f>
        <v>0</v>
      </c>
      <c r="N122" s="1" t="str">
        <f>_xlfn.XLOOKUP(A122,'Other Errors'!A:A,'Other Errors'!B:B,"")</f>
        <v/>
      </c>
      <c r="O122" s="2" t="e">
        <f t="shared" si="6"/>
        <v>#N/A</v>
      </c>
      <c r="P122" s="2" t="e">
        <f t="shared" si="7"/>
        <v>#N/A</v>
      </c>
      <c r="Q122" s="2" t="e">
        <f t="shared" si="8"/>
        <v>#N/A</v>
      </c>
      <c r="R122" s="2" t="e">
        <f t="shared" si="9"/>
        <v>#N/A</v>
      </c>
      <c r="S122" s="2" t="str">
        <f t="shared" si="10"/>
        <v/>
      </c>
      <c r="T122" s="2" t="str">
        <f t="shared" si="11"/>
        <v/>
      </c>
      <c r="U122" s="8" t="str" cm="1">
        <f t="array" ref="U122">_xlfn.TEXTJOIN(", ",,_xlfn.UNIQUE(_xlfn._xlws.FILTER(EM$3:FK$3,EM122:FK122&gt;0,"")))</f>
        <v/>
      </c>
      <c r="EM122" s="2"/>
      <c r="EN122" s="2"/>
      <c r="EO122" s="2"/>
      <c r="EP122" s="2"/>
      <c r="EQ122" s="2"/>
      <c r="ER122" s="2"/>
      <c r="ES122" s="2"/>
    </row>
    <row r="123" spans="3:149" x14ac:dyDescent="0.3">
      <c r="C123" s="11"/>
      <c r="F123" s="2" cm="1">
        <f t="array" ref="F123">COUNTA(_xlfn.UNIQUE(_xlfn._xlws.FILTER(chamca[Run],(chamca[Visual ID]=A123))))</f>
        <v>1</v>
      </c>
      <c r="G123" s="2">
        <f>_xlfn.XLOOKUP(A123,RevCoreCount!A:A,RevCoreCount!B:B,)</f>
        <v>0</v>
      </c>
      <c r="H123" s="2">
        <f>_xlfn.XLOOKUP(A123,RevCoreCount!A:A,RevCoreCount!E:E,)</f>
        <v>0</v>
      </c>
      <c r="I123" s="2">
        <f>_xlfn.XLOOKUP(A123,RevCHACount!A:A,RevCHACount!B:B)</f>
        <v>0</v>
      </c>
      <c r="J123" s="2">
        <f>_xlfn.XLOOKUP(A123,RevCHACount!A:A,RevCHACount!E:E)</f>
        <v>0</v>
      </c>
      <c r="K123" s="2">
        <f>_xlfn.XLOOKUP(A123,RevLLCCount!A:A,RevLLCCount!B:B,)</f>
        <v>0</v>
      </c>
      <c r="L123" s="2">
        <f>_xlfn.XLOOKUP(A123,RevLLCCount!A:A,RevLLCCount!E:E)</f>
        <v>0</v>
      </c>
      <c r="M123" s="1">
        <f>_xlfn.XLOOKUP(A123,RevCHACount!A:A,RevCHACount!F:F)</f>
        <v>0</v>
      </c>
      <c r="N123" s="1" t="str">
        <f>_xlfn.XLOOKUP(A123,'Other Errors'!A:A,'Other Errors'!B:B,"")</f>
        <v/>
      </c>
      <c r="O123" s="2" t="e">
        <f t="shared" si="6"/>
        <v>#N/A</v>
      </c>
      <c r="P123" s="2" t="e">
        <f t="shared" si="7"/>
        <v>#N/A</v>
      </c>
      <c r="Q123" s="2" t="e">
        <f t="shared" si="8"/>
        <v>#N/A</v>
      </c>
      <c r="R123" s="2" t="e">
        <f t="shared" si="9"/>
        <v>#N/A</v>
      </c>
      <c r="S123" s="2" t="str">
        <f t="shared" si="10"/>
        <v/>
      </c>
      <c r="T123" s="2" t="str">
        <f t="shared" si="11"/>
        <v/>
      </c>
      <c r="U123" s="8" t="str" cm="1">
        <f t="array" ref="U123">_xlfn.TEXTJOIN(", ",,_xlfn.UNIQUE(_xlfn._xlws.FILTER(EM$3:FK$3,EM123:FK123&gt;0,"")))</f>
        <v/>
      </c>
    </row>
    <row r="124" spans="3:149" x14ac:dyDescent="0.3">
      <c r="C124" s="11"/>
      <c r="F124" s="2" cm="1">
        <f t="array" ref="F124">COUNTA(_xlfn.UNIQUE(_xlfn._xlws.FILTER(chamca[Run],(chamca[Visual ID]=A124))))</f>
        <v>1</v>
      </c>
      <c r="G124" s="2">
        <f>_xlfn.XLOOKUP(A124,RevCoreCount!A:A,RevCoreCount!B:B,)</f>
        <v>0</v>
      </c>
      <c r="H124" s="2">
        <f>_xlfn.XLOOKUP(A124,RevCoreCount!A:A,RevCoreCount!E:E,)</f>
        <v>0</v>
      </c>
      <c r="I124" s="2">
        <f>_xlfn.XLOOKUP(A124,RevCHACount!A:A,RevCHACount!B:B)</f>
        <v>0</v>
      </c>
      <c r="J124" s="2">
        <f>_xlfn.XLOOKUP(A124,RevCHACount!A:A,RevCHACount!E:E)</f>
        <v>0</v>
      </c>
      <c r="K124" s="2">
        <f>_xlfn.XLOOKUP(A124,RevLLCCount!A:A,RevLLCCount!B:B,)</f>
        <v>0</v>
      </c>
      <c r="L124" s="2">
        <f>_xlfn.XLOOKUP(A124,RevLLCCount!A:A,RevLLCCount!E:E)</f>
        <v>0</v>
      </c>
      <c r="M124" s="1">
        <f>_xlfn.XLOOKUP(A124,RevCHACount!A:A,RevCHACount!F:F)</f>
        <v>0</v>
      </c>
      <c r="N124" s="1" t="str">
        <f>_xlfn.XLOOKUP(A124,'Other Errors'!A:A,'Other Errors'!B:B,"")</f>
        <v/>
      </c>
      <c r="O124" s="2" t="e">
        <f t="shared" si="6"/>
        <v>#N/A</v>
      </c>
      <c r="P124" s="2" t="e">
        <f t="shared" si="7"/>
        <v>#N/A</v>
      </c>
      <c r="Q124" s="2" t="e">
        <f t="shared" si="8"/>
        <v>#N/A</v>
      </c>
      <c r="R124" s="2" t="e">
        <f t="shared" si="9"/>
        <v>#N/A</v>
      </c>
      <c r="S124" s="2" t="str">
        <f t="shared" si="10"/>
        <v/>
      </c>
      <c r="T124" s="2" t="str">
        <f t="shared" si="11"/>
        <v/>
      </c>
      <c r="U124" s="8" t="str" cm="1">
        <f t="array" ref="U124">_xlfn.TEXTJOIN(", ",,_xlfn.UNIQUE(_xlfn._xlws.FILTER(EM$3:FK$3,EM124:FK124&gt;0,"")))</f>
        <v/>
      </c>
    </row>
    <row r="125" spans="3:149" x14ac:dyDescent="0.3">
      <c r="C125" s="11"/>
      <c r="F125" s="2" cm="1">
        <f t="array" ref="F125">COUNTA(_xlfn.UNIQUE(_xlfn._xlws.FILTER(chamca[Run],(chamca[Visual ID]=A125))))</f>
        <v>1</v>
      </c>
      <c r="G125" s="2">
        <f>_xlfn.XLOOKUP(A125,RevCoreCount!A:A,RevCoreCount!B:B,)</f>
        <v>0</v>
      </c>
      <c r="H125" s="2">
        <f>_xlfn.XLOOKUP(A125,RevCoreCount!A:A,RevCoreCount!E:E,)</f>
        <v>0</v>
      </c>
      <c r="I125" s="2">
        <f>_xlfn.XLOOKUP(A125,RevCHACount!A:A,RevCHACount!B:B)</f>
        <v>0</v>
      </c>
      <c r="J125" s="2">
        <f>_xlfn.XLOOKUP(A125,RevCHACount!A:A,RevCHACount!E:E)</f>
        <v>0</v>
      </c>
      <c r="K125" s="2">
        <f>_xlfn.XLOOKUP(A125,RevLLCCount!A:A,RevLLCCount!B:B,)</f>
        <v>0</v>
      </c>
      <c r="L125" s="2">
        <f>_xlfn.XLOOKUP(A125,RevLLCCount!A:A,RevLLCCount!E:E)</f>
        <v>0</v>
      </c>
      <c r="M125" s="1">
        <f>_xlfn.XLOOKUP(A125,RevCHACount!A:A,RevCHACount!F:F)</f>
        <v>0</v>
      </c>
      <c r="N125" s="1" t="str">
        <f>_xlfn.XLOOKUP(A125,'Other Errors'!A:A,'Other Errors'!B:B,"")</f>
        <v/>
      </c>
      <c r="O125" s="2" t="e">
        <f t="shared" si="6"/>
        <v>#N/A</v>
      </c>
      <c r="P125" s="2" t="e">
        <f t="shared" si="7"/>
        <v>#N/A</v>
      </c>
      <c r="Q125" s="2" t="e">
        <f t="shared" si="8"/>
        <v>#N/A</v>
      </c>
      <c r="R125" s="2" t="e">
        <f t="shared" si="9"/>
        <v>#N/A</v>
      </c>
      <c r="S125" s="2" t="str">
        <f t="shared" si="10"/>
        <v/>
      </c>
      <c r="T125" s="2" t="str">
        <f t="shared" si="11"/>
        <v/>
      </c>
      <c r="U125" s="8" t="str" cm="1">
        <f t="array" ref="U125">_xlfn.TEXTJOIN(", ",,_xlfn.UNIQUE(_xlfn._xlws.FILTER(EM$3:FK$3,EM125:FK125&gt;0,"")))</f>
        <v/>
      </c>
    </row>
    <row r="126" spans="3:149" x14ac:dyDescent="0.3">
      <c r="C126" s="11"/>
      <c r="F126" s="2" cm="1">
        <f t="array" ref="F126">COUNTA(_xlfn.UNIQUE(_xlfn._xlws.FILTER(chamca[Run],(chamca[Visual ID]=A126))))</f>
        <v>1</v>
      </c>
      <c r="G126" s="2">
        <f>_xlfn.XLOOKUP(A126,RevCoreCount!A:A,RevCoreCount!B:B,)</f>
        <v>0</v>
      </c>
      <c r="H126" s="2">
        <f>_xlfn.XLOOKUP(A126,RevCoreCount!A:A,RevCoreCount!E:E,)</f>
        <v>0</v>
      </c>
      <c r="I126" s="2">
        <f>_xlfn.XLOOKUP(A126,RevCHACount!A:A,RevCHACount!B:B)</f>
        <v>0</v>
      </c>
      <c r="J126" s="2">
        <f>_xlfn.XLOOKUP(A126,RevCHACount!A:A,RevCHACount!E:E)</f>
        <v>0</v>
      </c>
      <c r="K126" s="2">
        <f>_xlfn.XLOOKUP(A126,RevLLCCount!A:A,RevLLCCount!B:B,)</f>
        <v>0</v>
      </c>
      <c r="L126" s="2">
        <f>_xlfn.XLOOKUP(A126,RevLLCCount!A:A,RevLLCCount!E:E)</f>
        <v>0</v>
      </c>
      <c r="M126" s="1">
        <f>_xlfn.XLOOKUP(A126,RevCHACount!A:A,RevCHACount!F:F)</f>
        <v>0</v>
      </c>
      <c r="N126" s="1" t="str">
        <f>_xlfn.XLOOKUP(A126,'Other Errors'!A:A,'Other Errors'!B:B,"")</f>
        <v/>
      </c>
      <c r="O126" s="2" t="e">
        <f t="shared" si="6"/>
        <v>#N/A</v>
      </c>
      <c r="P126" s="2" t="e">
        <f t="shared" si="7"/>
        <v>#N/A</v>
      </c>
      <c r="Q126" s="2" t="e">
        <f t="shared" si="8"/>
        <v>#N/A</v>
      </c>
      <c r="R126" s="2" t="e">
        <f t="shared" si="9"/>
        <v>#N/A</v>
      </c>
      <c r="S126" s="2" t="str">
        <f t="shared" si="10"/>
        <v/>
      </c>
      <c r="T126" s="2" t="str">
        <f t="shared" si="11"/>
        <v/>
      </c>
      <c r="U126" s="8" t="str" cm="1">
        <f t="array" ref="U126">_xlfn.TEXTJOIN(", ",,_xlfn.UNIQUE(_xlfn._xlws.FILTER(EM$3:FK$3,EM126:FK126&gt;0,"")))</f>
        <v/>
      </c>
    </row>
    <row r="127" spans="3:149" x14ac:dyDescent="0.3">
      <c r="C127" s="11"/>
      <c r="F127" s="2" cm="1">
        <f t="array" ref="F127">COUNTA(_xlfn.UNIQUE(_xlfn._xlws.FILTER(chamca[Run],(chamca[Visual ID]=A127))))</f>
        <v>1</v>
      </c>
      <c r="G127" s="2">
        <f>_xlfn.XLOOKUP(A127,RevCoreCount!A:A,RevCoreCount!B:B,)</f>
        <v>0</v>
      </c>
      <c r="H127" s="2">
        <f>_xlfn.XLOOKUP(A127,RevCoreCount!A:A,RevCoreCount!E:E,)</f>
        <v>0</v>
      </c>
      <c r="I127" s="2">
        <f>_xlfn.XLOOKUP(A127,RevCHACount!A:A,RevCHACount!B:B)</f>
        <v>0</v>
      </c>
      <c r="J127" s="2">
        <f>_xlfn.XLOOKUP(A127,RevCHACount!A:A,RevCHACount!E:E)</f>
        <v>0</v>
      </c>
      <c r="K127" s="2">
        <f>_xlfn.XLOOKUP(A127,RevLLCCount!A:A,RevLLCCount!B:B,)</f>
        <v>0</v>
      </c>
      <c r="L127" s="2">
        <f>_xlfn.XLOOKUP(A127,RevLLCCount!A:A,RevLLCCount!E:E)</f>
        <v>0</v>
      </c>
      <c r="M127" s="1">
        <f>_xlfn.XLOOKUP(A127,RevCHACount!A:A,RevCHACount!F:F)</f>
        <v>0</v>
      </c>
      <c r="N127" s="1" t="str">
        <f>_xlfn.XLOOKUP(A127,'Other Errors'!A:A,'Other Errors'!B:B,"")</f>
        <v/>
      </c>
      <c r="O127" s="2" t="e">
        <f t="shared" si="6"/>
        <v>#N/A</v>
      </c>
      <c r="P127" s="2" t="e">
        <f t="shared" si="7"/>
        <v>#N/A</v>
      </c>
      <c r="Q127" s="2" t="e">
        <f t="shared" si="8"/>
        <v>#N/A</v>
      </c>
      <c r="R127" s="2" t="e">
        <f t="shared" si="9"/>
        <v>#N/A</v>
      </c>
      <c r="S127" s="2" t="str">
        <f t="shared" si="10"/>
        <v/>
      </c>
      <c r="T127" s="2" t="str">
        <f t="shared" si="11"/>
        <v/>
      </c>
      <c r="U127" s="8" t="str" cm="1">
        <f t="array" ref="U127">_xlfn.TEXTJOIN(", ",,_xlfn.UNIQUE(_xlfn._xlws.FILTER(EM$3:FK$3,EM127:FK127&gt;0,"")))</f>
        <v/>
      </c>
    </row>
    <row r="128" spans="3:149" x14ac:dyDescent="0.3">
      <c r="C128" s="11"/>
      <c r="F128" s="2" cm="1">
        <f t="array" ref="F128">COUNTA(_xlfn.UNIQUE(_xlfn._xlws.FILTER(chamca[Run],(chamca[Visual ID]=A128))))</f>
        <v>1</v>
      </c>
      <c r="G128" s="2">
        <f>_xlfn.XLOOKUP(A128,RevCoreCount!A:A,RevCoreCount!B:B,)</f>
        <v>0</v>
      </c>
      <c r="H128" s="2">
        <f>_xlfn.XLOOKUP(A128,RevCoreCount!A:A,RevCoreCount!E:E,)</f>
        <v>0</v>
      </c>
      <c r="I128" s="2">
        <f>_xlfn.XLOOKUP(A128,RevCHACount!A:A,RevCHACount!B:B)</f>
        <v>0</v>
      </c>
      <c r="J128" s="2">
        <f>_xlfn.XLOOKUP(A128,RevCHACount!A:A,RevCHACount!E:E)</f>
        <v>0</v>
      </c>
      <c r="K128" s="2">
        <f>_xlfn.XLOOKUP(A128,RevLLCCount!A:A,RevLLCCount!B:B,)</f>
        <v>0</v>
      </c>
      <c r="L128" s="2">
        <f>_xlfn.XLOOKUP(A128,RevLLCCount!A:A,RevLLCCount!E:E)</f>
        <v>0</v>
      </c>
      <c r="M128" s="1">
        <f>_xlfn.XLOOKUP(A128,RevCHACount!A:A,RevCHACount!F:F)</f>
        <v>0</v>
      </c>
      <c r="N128" s="1" t="str">
        <f>_xlfn.XLOOKUP(A128,'Other Errors'!A:A,'Other Errors'!B:B,"")</f>
        <v/>
      </c>
      <c r="O128" s="2" t="e">
        <f t="shared" si="6"/>
        <v>#N/A</v>
      </c>
      <c r="P128" s="2" t="e">
        <f t="shared" si="7"/>
        <v>#N/A</v>
      </c>
      <c r="Q128" s="2" t="e">
        <f t="shared" si="8"/>
        <v>#N/A</v>
      </c>
      <c r="R128" s="2" t="e">
        <f t="shared" si="9"/>
        <v>#N/A</v>
      </c>
      <c r="S128" s="2" t="str">
        <f t="shared" si="10"/>
        <v/>
      </c>
      <c r="T128" s="2" t="str">
        <f t="shared" si="11"/>
        <v/>
      </c>
      <c r="U128" s="8" t="str" cm="1">
        <f t="array" ref="U128">_xlfn.TEXTJOIN(", ",,_xlfn.UNIQUE(_xlfn._xlws.FILTER(EM$3:FK$3,EM128:FK128&gt;0,"")))</f>
        <v/>
      </c>
    </row>
    <row r="129" spans="3:21" x14ac:dyDescent="0.3">
      <c r="C129" s="11"/>
      <c r="F129" s="2" cm="1">
        <f t="array" ref="F129">COUNTA(_xlfn.UNIQUE(_xlfn._xlws.FILTER(chamca[Run],(chamca[Visual ID]=A129))))</f>
        <v>1</v>
      </c>
      <c r="G129" s="2">
        <f>_xlfn.XLOOKUP(A129,RevCoreCount!A:A,RevCoreCount!B:B,)</f>
        <v>0</v>
      </c>
      <c r="H129" s="2">
        <f>_xlfn.XLOOKUP(A129,RevCoreCount!A:A,RevCoreCount!E:E,)</f>
        <v>0</v>
      </c>
      <c r="I129" s="2">
        <f>_xlfn.XLOOKUP(A129,RevCHACount!A:A,RevCHACount!B:B)</f>
        <v>0</v>
      </c>
      <c r="J129" s="2">
        <f>_xlfn.XLOOKUP(A129,RevCHACount!A:A,RevCHACount!E:E)</f>
        <v>0</v>
      </c>
      <c r="K129" s="2">
        <f>_xlfn.XLOOKUP(A129,RevLLCCount!A:A,RevLLCCount!B:B,)</f>
        <v>0</v>
      </c>
      <c r="L129" s="2">
        <f>_xlfn.XLOOKUP(A129,RevLLCCount!A:A,RevLLCCount!E:E)</f>
        <v>0</v>
      </c>
      <c r="M129" s="1">
        <f>_xlfn.XLOOKUP(A129,RevCHACount!A:A,RevCHACount!F:F)</f>
        <v>0</v>
      </c>
      <c r="N129" s="1" t="str">
        <f>_xlfn.XLOOKUP(A129,'Other Errors'!A:A,'Other Errors'!B:B,"")</f>
        <v/>
      </c>
      <c r="O129" s="2" t="e">
        <f t="shared" si="6"/>
        <v>#N/A</v>
      </c>
      <c r="P129" s="2" t="e">
        <f t="shared" si="7"/>
        <v>#N/A</v>
      </c>
      <c r="Q129" s="2" t="e">
        <f t="shared" si="8"/>
        <v>#N/A</v>
      </c>
      <c r="R129" s="2" t="e">
        <f t="shared" si="9"/>
        <v>#N/A</v>
      </c>
      <c r="S129" s="2" t="str">
        <f t="shared" si="10"/>
        <v/>
      </c>
      <c r="T129" s="2" t="str">
        <f t="shared" si="11"/>
        <v/>
      </c>
      <c r="U129" s="8" t="str" cm="1">
        <f t="array" ref="U129">_xlfn.TEXTJOIN(", ",,_xlfn.UNIQUE(_xlfn._xlws.FILTER(EM$3:FK$3,EM129:FK129&gt;0,"")))</f>
        <v/>
      </c>
    </row>
    <row r="130" spans="3:21" x14ac:dyDescent="0.3">
      <c r="C130" s="11"/>
      <c r="F130" s="2" cm="1">
        <f t="array" ref="F130">COUNTA(_xlfn.UNIQUE(_xlfn._xlws.FILTER(chamca[Run],(chamca[Visual ID]=A130))))</f>
        <v>1</v>
      </c>
      <c r="G130" s="2">
        <f>_xlfn.XLOOKUP(A130,RevCoreCount!A:A,RevCoreCount!B:B,)</f>
        <v>0</v>
      </c>
      <c r="H130" s="2">
        <f>_xlfn.XLOOKUP(A130,RevCoreCount!A:A,RevCoreCount!E:E,)</f>
        <v>0</v>
      </c>
      <c r="I130" s="2">
        <f>_xlfn.XLOOKUP(A130,RevCHACount!A:A,RevCHACount!B:B)</f>
        <v>0</v>
      </c>
      <c r="J130" s="2">
        <f>_xlfn.XLOOKUP(A130,RevCHACount!A:A,RevCHACount!E:E)</f>
        <v>0</v>
      </c>
      <c r="K130" s="2">
        <f>_xlfn.XLOOKUP(A130,RevLLCCount!A:A,RevLLCCount!B:B,)</f>
        <v>0</v>
      </c>
      <c r="L130" s="2">
        <f>_xlfn.XLOOKUP(A130,RevLLCCount!A:A,RevLLCCount!E:E)</f>
        <v>0</v>
      </c>
      <c r="M130" s="1">
        <f>_xlfn.XLOOKUP(A130,RevCHACount!A:A,RevCHACount!F:F)</f>
        <v>0</v>
      </c>
      <c r="N130" s="1" t="str">
        <f>_xlfn.XLOOKUP(A130,'Other Errors'!A:A,'Other Errors'!B:B,"")</f>
        <v/>
      </c>
      <c r="O130" s="2" t="e">
        <f t="shared" si="6"/>
        <v>#N/A</v>
      </c>
      <c r="P130" s="2" t="e">
        <f t="shared" si="7"/>
        <v>#N/A</v>
      </c>
      <c r="Q130" s="2" t="e">
        <f t="shared" si="8"/>
        <v>#N/A</v>
      </c>
      <c r="R130" s="2" t="e">
        <f t="shared" si="9"/>
        <v>#N/A</v>
      </c>
      <c r="S130" s="2" t="str">
        <f t="shared" si="10"/>
        <v/>
      </c>
      <c r="T130" s="2" t="str">
        <f t="shared" si="11"/>
        <v/>
      </c>
      <c r="U130" s="8" t="str" cm="1">
        <f t="array" ref="U130">_xlfn.TEXTJOIN(", ",,_xlfn.UNIQUE(_xlfn._xlws.FILTER(EM$3:FK$3,EM130:FK130&gt;0,"")))</f>
        <v/>
      </c>
    </row>
    <row r="131" spans="3:21" x14ac:dyDescent="0.3">
      <c r="C131" s="11"/>
      <c r="F131" s="2" cm="1">
        <f t="array" ref="F131">COUNTA(_xlfn.UNIQUE(_xlfn._xlws.FILTER(chamca[Run],(chamca[Visual ID]=A131))))</f>
        <v>1</v>
      </c>
      <c r="G131" s="2">
        <f>_xlfn.XLOOKUP(A131,RevCoreCount!A:A,RevCoreCount!B:B,)</f>
        <v>0</v>
      </c>
      <c r="H131" s="2">
        <f>_xlfn.XLOOKUP(A131,RevCoreCount!A:A,RevCoreCount!E:E,)</f>
        <v>0</v>
      </c>
      <c r="I131" s="2">
        <f>_xlfn.XLOOKUP(A131,RevCHACount!A:A,RevCHACount!B:B)</f>
        <v>0</v>
      </c>
      <c r="J131" s="2">
        <f>_xlfn.XLOOKUP(A131,RevCHACount!A:A,RevCHACount!E:E)</f>
        <v>0</v>
      </c>
      <c r="K131" s="2">
        <f>_xlfn.XLOOKUP(A131,RevLLCCount!A:A,RevLLCCount!B:B,)</f>
        <v>0</v>
      </c>
      <c r="L131" s="2">
        <f>_xlfn.XLOOKUP(A131,RevLLCCount!A:A,RevLLCCount!E:E)</f>
        <v>0</v>
      </c>
      <c r="M131" s="1">
        <f>_xlfn.XLOOKUP(A131,RevCHACount!A:A,RevCHACount!F:F)</f>
        <v>0</v>
      </c>
      <c r="N131" s="1" t="str">
        <f>_xlfn.XLOOKUP(A131,'Other Errors'!A:A,'Other Errors'!B:B,"")</f>
        <v/>
      </c>
      <c r="O131" s="2" t="e">
        <f t="shared" si="6"/>
        <v>#N/A</v>
      </c>
      <c r="P131" s="2" t="e">
        <f t="shared" si="7"/>
        <v>#N/A</v>
      </c>
      <c r="Q131" s="2" t="e">
        <f t="shared" si="8"/>
        <v>#N/A</v>
      </c>
      <c r="R131" s="2" t="e">
        <f t="shared" si="9"/>
        <v>#N/A</v>
      </c>
      <c r="S131" s="2" t="str">
        <f t="shared" si="10"/>
        <v/>
      </c>
      <c r="T131" s="2" t="str">
        <f t="shared" si="11"/>
        <v/>
      </c>
      <c r="U131" s="8" t="str" cm="1">
        <f t="array" ref="U131">_xlfn.TEXTJOIN(", ",,_xlfn.UNIQUE(_xlfn._xlws.FILTER(EM$3:FK$3,EM131:FK131&gt;0,"")))</f>
        <v/>
      </c>
    </row>
    <row r="132" spans="3:21" x14ac:dyDescent="0.3">
      <c r="C132" s="11"/>
      <c r="F132" s="2" cm="1">
        <f t="array" ref="F132">COUNTA(_xlfn.UNIQUE(_xlfn._xlws.FILTER(chamca[Run],(chamca[Visual ID]=A132))))</f>
        <v>1</v>
      </c>
      <c r="G132" s="2">
        <f>_xlfn.XLOOKUP(A132,RevCoreCount!A:A,RevCoreCount!B:B,)</f>
        <v>0</v>
      </c>
      <c r="H132" s="2">
        <f>_xlfn.XLOOKUP(A132,RevCoreCount!A:A,RevCoreCount!E:E,)</f>
        <v>0</v>
      </c>
      <c r="I132" s="2">
        <f>_xlfn.XLOOKUP(A132,RevCHACount!A:A,RevCHACount!B:B)</f>
        <v>0</v>
      </c>
      <c r="J132" s="2">
        <f>_xlfn.XLOOKUP(A132,RevCHACount!A:A,RevCHACount!E:E)</f>
        <v>0</v>
      </c>
      <c r="K132" s="2">
        <f>_xlfn.XLOOKUP(A132,RevLLCCount!A:A,RevLLCCount!B:B,)</f>
        <v>0</v>
      </c>
      <c r="L132" s="2">
        <f>_xlfn.XLOOKUP(A132,RevLLCCount!A:A,RevLLCCount!E:E)</f>
        <v>0</v>
      </c>
      <c r="M132" s="1">
        <f>_xlfn.XLOOKUP(A132,RevCHACount!A:A,RevCHACount!F:F)</f>
        <v>0</v>
      </c>
      <c r="N132" s="1" t="str">
        <f>_xlfn.XLOOKUP(A132,'Other Errors'!A:A,'Other Errors'!B:B,"")</f>
        <v/>
      </c>
      <c r="O132" s="2" t="e">
        <f t="shared" si="6"/>
        <v>#N/A</v>
      </c>
      <c r="P132" s="2" t="e">
        <f t="shared" si="7"/>
        <v>#N/A</v>
      </c>
      <c r="Q132" s="2" t="e">
        <f t="shared" si="8"/>
        <v>#N/A</v>
      </c>
      <c r="R132" s="2" t="e">
        <f t="shared" si="9"/>
        <v>#N/A</v>
      </c>
      <c r="S132" s="2" t="str">
        <f t="shared" si="10"/>
        <v/>
      </c>
      <c r="T132" s="2" t="str">
        <f t="shared" si="11"/>
        <v/>
      </c>
      <c r="U132" s="8" t="str" cm="1">
        <f t="array" ref="U132">_xlfn.TEXTJOIN(", ",,_xlfn.UNIQUE(_xlfn._xlws.FILTER(EM$3:FK$3,EM132:FK132&gt;0,"")))</f>
        <v/>
      </c>
    </row>
    <row r="133" spans="3:21" x14ac:dyDescent="0.3">
      <c r="C133" s="11"/>
      <c r="F133" s="2" cm="1">
        <f t="array" ref="F133">COUNTA(_xlfn.UNIQUE(_xlfn._xlws.FILTER(chamca[Run],(chamca[Visual ID]=A133))))</f>
        <v>1</v>
      </c>
      <c r="G133" s="2">
        <f>_xlfn.XLOOKUP(A133,RevCoreCount!A:A,RevCoreCount!B:B,)</f>
        <v>0</v>
      </c>
      <c r="H133" s="2">
        <f>_xlfn.XLOOKUP(A133,RevCoreCount!A:A,RevCoreCount!E:E,)</f>
        <v>0</v>
      </c>
      <c r="I133" s="2">
        <f>_xlfn.XLOOKUP(A133,RevCHACount!A:A,RevCHACount!B:B)</f>
        <v>0</v>
      </c>
      <c r="J133" s="2">
        <f>_xlfn.XLOOKUP(A133,RevCHACount!A:A,RevCHACount!E:E)</f>
        <v>0</v>
      </c>
      <c r="K133" s="2">
        <f>_xlfn.XLOOKUP(A133,RevLLCCount!A:A,RevLLCCount!B:B,)</f>
        <v>0</v>
      </c>
      <c r="L133" s="2">
        <f>_xlfn.XLOOKUP(A133,RevLLCCount!A:A,RevLLCCount!E:E)</f>
        <v>0</v>
      </c>
      <c r="M133" s="1">
        <f>_xlfn.XLOOKUP(A133,RevCHACount!A:A,RevCHACount!F:F)</f>
        <v>0</v>
      </c>
      <c r="N133" s="1" t="str">
        <f>_xlfn.XLOOKUP(A133,'Other Errors'!A:A,'Other Errors'!B:B,"")</f>
        <v/>
      </c>
      <c r="O133" s="2" t="e">
        <f t="shared" ref="O133:O158" si="12">_xlfn.XLOOKUP(MAX(X133:BH133),X133:BH133,X$3:BH$3)</f>
        <v>#N/A</v>
      </c>
      <c r="P133" s="2" t="e">
        <f t="shared" ref="P133:P158" si="13">_xlfn.XLOOKUP(MAX(BJ133:CO133),BJ133:CO133,BJ$3:CO$3)</f>
        <v>#N/A</v>
      </c>
      <c r="Q133" s="2" t="e">
        <f t="shared" ref="Q133:Q158" si="14">_xlfn.XLOOKUP(MAX(CZ133:DI133),CZ133:DI133,CZ$3:DI$3)</f>
        <v>#N/A</v>
      </c>
      <c r="R133" s="2" t="e">
        <f t="shared" ref="R133:R158" si="15">_xlfn.XLOOKUP(MAX(CQ133:CX133),CQ133:CX133,CQ$3:CX$3)</f>
        <v>#N/A</v>
      </c>
      <c r="S133" s="2" t="str">
        <f t="shared" ref="S133:S161" si="16">_xlfn.XLOOKUP(MAX(DK133:EI133),DK133:EI133,DK$3:EI$3,"")</f>
        <v/>
      </c>
      <c r="T133" s="2" t="str">
        <f t="shared" ref="T133:T196" si="17">_xlfn.TEXTJOIN(", ",,_xlfn.UNIQUE(_xlfn._xlws.FILTER(_xlfn.ANCHORARRAY(DK$3),DK133&gt;0,"")))</f>
        <v/>
      </c>
      <c r="U133" s="8" t="str" cm="1">
        <f t="array" ref="U133">_xlfn.TEXTJOIN(", ",,_xlfn.UNIQUE(_xlfn._xlws.FILTER(EM$3:FK$3,EM133:FK133&gt;0,"")))</f>
        <v/>
      </c>
    </row>
    <row r="134" spans="3:21" x14ac:dyDescent="0.3">
      <c r="C134" s="11"/>
      <c r="F134" s="2" cm="1">
        <f t="array" ref="F134">COUNTA(_xlfn.UNIQUE(_xlfn._xlws.FILTER(chamca[Run],(chamca[Visual ID]=A134))))</f>
        <v>1</v>
      </c>
      <c r="G134" s="2">
        <f>_xlfn.XLOOKUP(A134,RevCoreCount!A:A,RevCoreCount!B:B,)</f>
        <v>0</v>
      </c>
      <c r="H134" s="2">
        <f>_xlfn.XLOOKUP(A134,RevCoreCount!A:A,RevCoreCount!E:E,)</f>
        <v>0</v>
      </c>
      <c r="I134" s="2">
        <f>_xlfn.XLOOKUP(A134,RevCHACount!A:A,RevCHACount!B:B)</f>
        <v>0</v>
      </c>
      <c r="J134" s="2">
        <f>_xlfn.XLOOKUP(A134,RevCHACount!A:A,RevCHACount!E:E)</f>
        <v>0</v>
      </c>
      <c r="K134" s="2">
        <f>_xlfn.XLOOKUP(A134,RevLLCCount!A:A,RevLLCCount!B:B,)</f>
        <v>0</v>
      </c>
      <c r="L134" s="2">
        <f>_xlfn.XLOOKUP(A134,RevLLCCount!A:A,RevLLCCount!E:E)</f>
        <v>0</v>
      </c>
      <c r="M134" s="1">
        <f>_xlfn.XLOOKUP(A134,RevCHACount!A:A,RevCHACount!F:F)</f>
        <v>0</v>
      </c>
      <c r="N134" s="1" t="str">
        <f>_xlfn.XLOOKUP(A134,'Other Errors'!A:A,'Other Errors'!B:B,"")</f>
        <v/>
      </c>
      <c r="O134" s="2" t="e">
        <f t="shared" si="12"/>
        <v>#N/A</v>
      </c>
      <c r="P134" s="2" t="e">
        <f t="shared" si="13"/>
        <v>#N/A</v>
      </c>
      <c r="Q134" s="2" t="e">
        <f t="shared" si="14"/>
        <v>#N/A</v>
      </c>
      <c r="R134" s="2" t="e">
        <f t="shared" si="15"/>
        <v>#N/A</v>
      </c>
      <c r="S134" s="2" t="str">
        <f t="shared" si="16"/>
        <v/>
      </c>
      <c r="T134" s="2" t="str">
        <f t="shared" si="17"/>
        <v/>
      </c>
      <c r="U134" s="8" t="str" cm="1">
        <f t="array" ref="U134">_xlfn.TEXTJOIN(", ",,_xlfn.UNIQUE(_xlfn._xlws.FILTER(EM$3:FK$3,EM134:FK134&gt;0,"")))</f>
        <v/>
      </c>
    </row>
    <row r="135" spans="3:21" x14ac:dyDescent="0.3">
      <c r="C135" s="11"/>
      <c r="F135" s="2" cm="1">
        <f t="array" ref="F135">COUNTA(_xlfn.UNIQUE(_xlfn._xlws.FILTER(chamca[Run],(chamca[Visual ID]=A135))))</f>
        <v>1</v>
      </c>
      <c r="G135" s="2">
        <f>_xlfn.XLOOKUP(A135,RevCoreCount!A:A,RevCoreCount!B:B,)</f>
        <v>0</v>
      </c>
      <c r="H135" s="2">
        <f>_xlfn.XLOOKUP(A135,RevCoreCount!A:A,RevCoreCount!E:E,)</f>
        <v>0</v>
      </c>
      <c r="I135" s="2">
        <f>_xlfn.XLOOKUP(A135,RevCHACount!A:A,RevCHACount!B:B)</f>
        <v>0</v>
      </c>
      <c r="J135" s="2">
        <f>_xlfn.XLOOKUP(A135,RevCHACount!A:A,RevCHACount!E:E)</f>
        <v>0</v>
      </c>
      <c r="K135" s="2">
        <f>_xlfn.XLOOKUP(A135,RevLLCCount!A:A,RevLLCCount!B:B,)</f>
        <v>0</v>
      </c>
      <c r="L135" s="2">
        <f>_xlfn.XLOOKUP(A135,RevLLCCount!A:A,RevLLCCount!E:E)</f>
        <v>0</v>
      </c>
      <c r="M135" s="1">
        <f>_xlfn.XLOOKUP(A135,RevCHACount!A:A,RevCHACount!F:F)</f>
        <v>0</v>
      </c>
      <c r="N135" s="1" t="str">
        <f>_xlfn.XLOOKUP(A135,'Other Errors'!A:A,'Other Errors'!B:B,"")</f>
        <v/>
      </c>
      <c r="O135" s="2" t="e">
        <f t="shared" si="12"/>
        <v>#N/A</v>
      </c>
      <c r="P135" s="2" t="e">
        <f t="shared" si="13"/>
        <v>#N/A</v>
      </c>
      <c r="Q135" s="2" t="e">
        <f t="shared" si="14"/>
        <v>#N/A</v>
      </c>
      <c r="R135" s="2" t="e">
        <f t="shared" si="15"/>
        <v>#N/A</v>
      </c>
      <c r="S135" s="2" t="str">
        <f t="shared" si="16"/>
        <v/>
      </c>
      <c r="T135" s="2" t="str">
        <f t="shared" si="17"/>
        <v/>
      </c>
      <c r="U135" s="8" t="str" cm="1">
        <f t="array" ref="U135">_xlfn.TEXTJOIN(", ",,_xlfn.UNIQUE(_xlfn._xlws.FILTER(EM$3:FK$3,EM135:FK135&gt;0,"")))</f>
        <v/>
      </c>
    </row>
    <row r="136" spans="3:21" x14ac:dyDescent="0.3">
      <c r="C136" s="11"/>
      <c r="F136" s="2" cm="1">
        <f t="array" ref="F136">COUNTA(_xlfn.UNIQUE(_xlfn._xlws.FILTER(chamca[Run],(chamca[Visual ID]=A136))))</f>
        <v>1</v>
      </c>
      <c r="G136" s="2">
        <f>_xlfn.XLOOKUP(A136,RevCoreCount!A:A,RevCoreCount!B:B,)</f>
        <v>0</v>
      </c>
      <c r="H136" s="2">
        <f>_xlfn.XLOOKUP(A136,RevCoreCount!A:A,RevCoreCount!E:E,)</f>
        <v>0</v>
      </c>
      <c r="I136" s="2">
        <f>_xlfn.XLOOKUP(A136,RevCHACount!A:A,RevCHACount!B:B)</f>
        <v>0</v>
      </c>
      <c r="J136" s="2">
        <f>_xlfn.XLOOKUP(A136,RevCHACount!A:A,RevCHACount!E:E)</f>
        <v>0</v>
      </c>
      <c r="K136" s="2">
        <f>_xlfn.XLOOKUP(A136,RevLLCCount!A:A,RevLLCCount!B:B,)</f>
        <v>0</v>
      </c>
      <c r="L136" s="2">
        <f>_xlfn.XLOOKUP(A136,RevLLCCount!A:A,RevLLCCount!E:E)</f>
        <v>0</v>
      </c>
      <c r="M136" s="1">
        <f>_xlfn.XLOOKUP(A136,RevCHACount!A:A,RevCHACount!F:F)</f>
        <v>0</v>
      </c>
      <c r="N136" s="1" t="str">
        <f>_xlfn.XLOOKUP(A136,'Other Errors'!A:A,'Other Errors'!B:B,"")</f>
        <v/>
      </c>
      <c r="O136" s="2" t="e">
        <f t="shared" si="12"/>
        <v>#N/A</v>
      </c>
      <c r="P136" s="2" t="e">
        <f t="shared" si="13"/>
        <v>#N/A</v>
      </c>
      <c r="Q136" s="2" t="e">
        <f t="shared" si="14"/>
        <v>#N/A</v>
      </c>
      <c r="R136" s="2" t="e">
        <f t="shared" si="15"/>
        <v>#N/A</v>
      </c>
      <c r="S136" s="2" t="str">
        <f t="shared" si="16"/>
        <v/>
      </c>
      <c r="T136" s="2" t="str">
        <f t="shared" si="17"/>
        <v/>
      </c>
      <c r="U136" s="8" t="str" cm="1">
        <f t="array" ref="U136">_xlfn.TEXTJOIN(", ",,_xlfn.UNIQUE(_xlfn._xlws.FILTER(EM$3:FK$3,EM136:FK136&gt;0,"")))</f>
        <v/>
      </c>
    </row>
    <row r="137" spans="3:21" x14ac:dyDescent="0.3">
      <c r="C137" s="11"/>
      <c r="F137" s="2" cm="1">
        <f t="array" ref="F137">COUNTA(_xlfn.UNIQUE(_xlfn._xlws.FILTER(chamca[Run],(chamca[Visual ID]=A137))))</f>
        <v>1</v>
      </c>
      <c r="G137" s="2">
        <f>_xlfn.XLOOKUP(A137,RevCoreCount!A:A,RevCoreCount!B:B,)</f>
        <v>0</v>
      </c>
      <c r="H137" s="2">
        <f>_xlfn.XLOOKUP(A137,RevCoreCount!A:A,RevCoreCount!E:E,)</f>
        <v>0</v>
      </c>
      <c r="I137" s="2">
        <f>_xlfn.XLOOKUP(A137,RevCHACount!A:A,RevCHACount!B:B)</f>
        <v>0</v>
      </c>
      <c r="J137" s="2">
        <f>_xlfn.XLOOKUP(A137,RevCHACount!A:A,RevCHACount!E:E)</f>
        <v>0</v>
      </c>
      <c r="K137" s="2">
        <f>_xlfn.XLOOKUP(A137,RevLLCCount!A:A,RevLLCCount!B:B,)</f>
        <v>0</v>
      </c>
      <c r="L137" s="2">
        <f>_xlfn.XLOOKUP(A137,RevLLCCount!A:A,RevLLCCount!E:E)</f>
        <v>0</v>
      </c>
      <c r="M137" s="1">
        <f>_xlfn.XLOOKUP(A137,RevCHACount!A:A,RevCHACount!F:F)</f>
        <v>0</v>
      </c>
      <c r="N137" s="1" t="str">
        <f>_xlfn.XLOOKUP(A137,'Other Errors'!A:A,'Other Errors'!B:B,"")</f>
        <v/>
      </c>
      <c r="O137" s="2" t="e">
        <f t="shared" si="12"/>
        <v>#N/A</v>
      </c>
      <c r="P137" s="2" t="e">
        <f t="shared" si="13"/>
        <v>#N/A</v>
      </c>
      <c r="Q137" s="2" t="e">
        <f t="shared" si="14"/>
        <v>#N/A</v>
      </c>
      <c r="R137" s="2" t="e">
        <f t="shared" si="15"/>
        <v>#N/A</v>
      </c>
      <c r="S137" s="2" t="str">
        <f t="shared" si="16"/>
        <v/>
      </c>
      <c r="T137" s="2" t="str">
        <f t="shared" si="17"/>
        <v/>
      </c>
      <c r="U137" s="8" t="str" cm="1">
        <f t="array" ref="U137">_xlfn.TEXTJOIN(", ",,_xlfn.UNIQUE(_xlfn._xlws.FILTER(EM$3:FK$3,EM137:FK137&gt;0,"")))</f>
        <v/>
      </c>
    </row>
    <row r="138" spans="3:21" x14ac:dyDescent="0.3">
      <c r="C138" s="11"/>
      <c r="F138" s="2" cm="1">
        <f t="array" ref="F138">COUNTA(_xlfn.UNIQUE(_xlfn._xlws.FILTER(chamca[Run],(chamca[Visual ID]=A138))))</f>
        <v>1</v>
      </c>
      <c r="G138" s="2">
        <f>_xlfn.XLOOKUP(A138,RevCoreCount!A:A,RevCoreCount!B:B,)</f>
        <v>0</v>
      </c>
      <c r="H138" s="2">
        <f>_xlfn.XLOOKUP(A138,RevCoreCount!A:A,RevCoreCount!E:E,)</f>
        <v>0</v>
      </c>
      <c r="I138" s="2">
        <f>_xlfn.XLOOKUP(A138,RevCHACount!A:A,RevCHACount!B:B)</f>
        <v>0</v>
      </c>
      <c r="J138" s="2">
        <f>_xlfn.XLOOKUP(A138,RevCHACount!A:A,RevCHACount!E:E)</f>
        <v>0</v>
      </c>
      <c r="K138" s="2">
        <f>_xlfn.XLOOKUP(A138,RevLLCCount!A:A,RevLLCCount!B:B,)</f>
        <v>0</v>
      </c>
      <c r="L138" s="2">
        <f>_xlfn.XLOOKUP(A138,RevLLCCount!A:A,RevLLCCount!E:E)</f>
        <v>0</v>
      </c>
      <c r="M138" s="1">
        <f>_xlfn.XLOOKUP(A138,RevCHACount!A:A,RevCHACount!F:F)</f>
        <v>0</v>
      </c>
      <c r="N138" s="1" t="str">
        <f>_xlfn.XLOOKUP(A138,'Other Errors'!A:A,'Other Errors'!B:B,"")</f>
        <v/>
      </c>
      <c r="O138" s="2" t="e">
        <f t="shared" si="12"/>
        <v>#N/A</v>
      </c>
      <c r="P138" s="2" t="e">
        <f t="shared" si="13"/>
        <v>#N/A</v>
      </c>
      <c r="Q138" s="2" t="e">
        <f t="shared" si="14"/>
        <v>#N/A</v>
      </c>
      <c r="R138" s="2" t="e">
        <f t="shared" si="15"/>
        <v>#N/A</v>
      </c>
      <c r="S138" s="2" t="str">
        <f t="shared" si="16"/>
        <v/>
      </c>
      <c r="T138" s="2" t="str">
        <f t="shared" si="17"/>
        <v/>
      </c>
      <c r="U138" s="8" t="str" cm="1">
        <f t="array" ref="U138">_xlfn.TEXTJOIN(", ",,_xlfn.UNIQUE(_xlfn._xlws.FILTER(EM$3:FK$3,EM138:FK138&gt;0,"")))</f>
        <v/>
      </c>
    </row>
    <row r="139" spans="3:21" x14ac:dyDescent="0.3">
      <c r="C139" s="11"/>
      <c r="F139" s="2" cm="1">
        <f t="array" ref="F139">COUNTA(_xlfn.UNIQUE(_xlfn._xlws.FILTER(chamca[Run],(chamca[Visual ID]=A139))))</f>
        <v>1</v>
      </c>
      <c r="G139" s="2">
        <f>_xlfn.XLOOKUP(A139,RevCoreCount!A:A,RevCoreCount!B:B,)</f>
        <v>0</v>
      </c>
      <c r="H139" s="2">
        <f>_xlfn.XLOOKUP(A139,RevCoreCount!A:A,RevCoreCount!E:E,)</f>
        <v>0</v>
      </c>
      <c r="I139" s="2">
        <f>_xlfn.XLOOKUP(A139,RevCHACount!A:A,RevCHACount!B:B)</f>
        <v>0</v>
      </c>
      <c r="J139" s="2">
        <f>_xlfn.XLOOKUP(A139,RevCHACount!A:A,RevCHACount!E:E)</f>
        <v>0</v>
      </c>
      <c r="K139" s="2">
        <f>_xlfn.XLOOKUP(A139,RevLLCCount!A:A,RevLLCCount!B:B,)</f>
        <v>0</v>
      </c>
      <c r="L139" s="2">
        <f>_xlfn.XLOOKUP(A139,RevLLCCount!A:A,RevLLCCount!E:E)</f>
        <v>0</v>
      </c>
      <c r="M139" s="1">
        <f>_xlfn.XLOOKUP(A139,RevCHACount!A:A,RevCHACount!F:F)</f>
        <v>0</v>
      </c>
      <c r="N139" s="1" t="str">
        <f>_xlfn.XLOOKUP(A139,'Other Errors'!A:A,'Other Errors'!B:B,"")</f>
        <v/>
      </c>
      <c r="O139" s="2" t="e">
        <f t="shared" si="12"/>
        <v>#N/A</v>
      </c>
      <c r="P139" s="2" t="e">
        <f t="shared" si="13"/>
        <v>#N/A</v>
      </c>
      <c r="Q139" s="2" t="e">
        <f t="shared" si="14"/>
        <v>#N/A</v>
      </c>
      <c r="R139" s="2" t="e">
        <f t="shared" si="15"/>
        <v>#N/A</v>
      </c>
      <c r="S139" s="2" t="str">
        <f t="shared" si="16"/>
        <v/>
      </c>
      <c r="T139" s="2" t="str">
        <f t="shared" si="17"/>
        <v/>
      </c>
      <c r="U139" s="8" t="str" cm="1">
        <f t="array" ref="U139">_xlfn.TEXTJOIN(", ",,_xlfn.UNIQUE(_xlfn._xlws.FILTER(EM$3:FK$3,EM139:FK139&gt;0,"")))</f>
        <v/>
      </c>
    </row>
    <row r="140" spans="3:21" x14ac:dyDescent="0.3">
      <c r="C140" s="11"/>
      <c r="F140" s="2" cm="1">
        <f t="array" ref="F140">COUNTA(_xlfn.UNIQUE(_xlfn._xlws.FILTER(chamca[Run],(chamca[Visual ID]=A140))))</f>
        <v>1</v>
      </c>
      <c r="G140" s="2">
        <f>_xlfn.XLOOKUP(A140,RevCoreCount!A:A,RevCoreCount!B:B,)</f>
        <v>0</v>
      </c>
      <c r="H140" s="2">
        <f>_xlfn.XLOOKUP(A140,RevCoreCount!A:A,RevCoreCount!E:E,)</f>
        <v>0</v>
      </c>
      <c r="I140" s="2">
        <f>_xlfn.XLOOKUP(A140,RevCHACount!A:A,RevCHACount!B:B)</f>
        <v>0</v>
      </c>
      <c r="J140" s="2">
        <f>_xlfn.XLOOKUP(A140,RevCHACount!A:A,RevCHACount!E:E)</f>
        <v>0</v>
      </c>
      <c r="K140" s="2">
        <f>_xlfn.XLOOKUP(A140,RevLLCCount!A:A,RevLLCCount!B:B,)</f>
        <v>0</v>
      </c>
      <c r="L140" s="2">
        <f>_xlfn.XLOOKUP(A140,RevLLCCount!A:A,RevLLCCount!E:E)</f>
        <v>0</v>
      </c>
      <c r="M140" s="1">
        <f>_xlfn.XLOOKUP(A140,RevCHACount!A:A,RevCHACount!F:F)</f>
        <v>0</v>
      </c>
      <c r="N140" s="1" t="str">
        <f>_xlfn.XLOOKUP(A140,'Other Errors'!A:A,'Other Errors'!B:B,"")</f>
        <v/>
      </c>
      <c r="O140" s="2" t="e">
        <f t="shared" si="12"/>
        <v>#N/A</v>
      </c>
      <c r="P140" s="2" t="e">
        <f t="shared" si="13"/>
        <v>#N/A</v>
      </c>
      <c r="Q140" s="2" t="e">
        <f t="shared" si="14"/>
        <v>#N/A</v>
      </c>
      <c r="R140" s="2" t="e">
        <f t="shared" si="15"/>
        <v>#N/A</v>
      </c>
      <c r="S140" s="2" t="str">
        <f t="shared" si="16"/>
        <v/>
      </c>
      <c r="T140" s="2" t="str">
        <f t="shared" si="17"/>
        <v/>
      </c>
      <c r="U140" s="8" t="str" cm="1">
        <f t="array" ref="U140">_xlfn.TEXTJOIN(", ",,_xlfn.UNIQUE(_xlfn._xlws.FILTER(EM$3:FK$3,EM140:FK140&gt;0,"")))</f>
        <v/>
      </c>
    </row>
    <row r="141" spans="3:21" x14ac:dyDescent="0.3">
      <c r="C141" s="11"/>
      <c r="F141" s="2" cm="1">
        <f t="array" ref="F141">COUNTA(_xlfn.UNIQUE(_xlfn._xlws.FILTER(chamca[Run],(chamca[Visual ID]=A141))))</f>
        <v>1</v>
      </c>
      <c r="G141" s="2">
        <f>_xlfn.XLOOKUP(A141,RevCoreCount!A:A,RevCoreCount!B:B,)</f>
        <v>0</v>
      </c>
      <c r="H141" s="2">
        <f>_xlfn.XLOOKUP(A141,RevCoreCount!A:A,RevCoreCount!E:E,)</f>
        <v>0</v>
      </c>
      <c r="I141" s="2">
        <f>_xlfn.XLOOKUP(A141,RevCHACount!A:A,RevCHACount!B:B)</f>
        <v>0</v>
      </c>
      <c r="J141" s="2">
        <f>_xlfn.XLOOKUP(A141,RevCHACount!A:A,RevCHACount!E:E)</f>
        <v>0</v>
      </c>
      <c r="K141" s="2">
        <f>_xlfn.XLOOKUP(A141,RevLLCCount!A:A,RevLLCCount!B:B,)</f>
        <v>0</v>
      </c>
      <c r="L141" s="2">
        <f>_xlfn.XLOOKUP(A141,RevLLCCount!A:A,RevLLCCount!E:E)</f>
        <v>0</v>
      </c>
      <c r="M141" s="1">
        <f>_xlfn.XLOOKUP(A141,RevCHACount!A:A,RevCHACount!F:F)</f>
        <v>0</v>
      </c>
      <c r="N141" s="1" t="str">
        <f>_xlfn.XLOOKUP(A141,'Other Errors'!A:A,'Other Errors'!B:B,"")</f>
        <v/>
      </c>
      <c r="O141" s="2" t="e">
        <f t="shared" si="12"/>
        <v>#N/A</v>
      </c>
      <c r="P141" s="2" t="e">
        <f t="shared" si="13"/>
        <v>#N/A</v>
      </c>
      <c r="Q141" s="2" t="e">
        <f t="shared" si="14"/>
        <v>#N/A</v>
      </c>
      <c r="R141" s="2" t="e">
        <f t="shared" si="15"/>
        <v>#N/A</v>
      </c>
      <c r="S141" s="2" t="str">
        <f t="shared" si="16"/>
        <v/>
      </c>
      <c r="T141" s="2" t="str">
        <f t="shared" si="17"/>
        <v/>
      </c>
      <c r="U141" s="8" t="str" cm="1">
        <f t="array" ref="U141">_xlfn.TEXTJOIN(", ",,_xlfn.UNIQUE(_xlfn._xlws.FILTER(EM$3:FK$3,EM141:FK141&gt;0,"")))</f>
        <v/>
      </c>
    </row>
    <row r="142" spans="3:21" x14ac:dyDescent="0.3">
      <c r="C142" s="11"/>
      <c r="F142" s="2" cm="1">
        <f t="array" ref="F142">COUNTA(_xlfn.UNIQUE(_xlfn._xlws.FILTER(chamca[Run],(chamca[Visual ID]=A142))))</f>
        <v>1</v>
      </c>
      <c r="G142" s="2">
        <f>_xlfn.XLOOKUP(A142,RevCoreCount!A:A,RevCoreCount!B:B,)</f>
        <v>0</v>
      </c>
      <c r="H142" s="2">
        <f>_xlfn.XLOOKUP(A142,RevCoreCount!A:A,RevCoreCount!E:E,)</f>
        <v>0</v>
      </c>
      <c r="I142" s="2">
        <f>_xlfn.XLOOKUP(A142,RevCHACount!A:A,RevCHACount!B:B)</f>
        <v>0</v>
      </c>
      <c r="J142" s="2">
        <f>_xlfn.XLOOKUP(A142,RevCHACount!A:A,RevCHACount!E:E)</f>
        <v>0</v>
      </c>
      <c r="K142" s="2">
        <f>_xlfn.XLOOKUP(A142,RevLLCCount!A:A,RevLLCCount!B:B,)</f>
        <v>0</v>
      </c>
      <c r="L142" s="2">
        <f>_xlfn.XLOOKUP(A142,RevLLCCount!A:A,RevLLCCount!E:E)</f>
        <v>0</v>
      </c>
      <c r="M142" s="1">
        <f>_xlfn.XLOOKUP(A142,RevCHACount!A:A,RevCHACount!F:F)</f>
        <v>0</v>
      </c>
      <c r="N142" s="1" t="str">
        <f>_xlfn.XLOOKUP(A142,'Other Errors'!A:A,'Other Errors'!B:B,"")</f>
        <v/>
      </c>
      <c r="O142" s="2" t="e">
        <f t="shared" si="12"/>
        <v>#N/A</v>
      </c>
      <c r="P142" s="2" t="e">
        <f t="shared" si="13"/>
        <v>#N/A</v>
      </c>
      <c r="Q142" s="2" t="e">
        <f t="shared" si="14"/>
        <v>#N/A</v>
      </c>
      <c r="R142" s="2" t="e">
        <f t="shared" si="15"/>
        <v>#N/A</v>
      </c>
      <c r="S142" s="2" t="str">
        <f t="shared" si="16"/>
        <v/>
      </c>
      <c r="T142" s="2" t="str">
        <f t="shared" si="17"/>
        <v/>
      </c>
      <c r="U142" s="8" t="str" cm="1">
        <f t="array" ref="U142">_xlfn.TEXTJOIN(", ",,_xlfn.UNIQUE(_xlfn._xlws.FILTER(EM$3:FK$3,EM142:FK142&gt;0,"")))</f>
        <v/>
      </c>
    </row>
    <row r="143" spans="3:21" x14ac:dyDescent="0.3">
      <c r="C143" s="11"/>
      <c r="F143" s="2" cm="1">
        <f t="array" ref="F143">COUNTA(_xlfn.UNIQUE(_xlfn._xlws.FILTER(chamca[Run],(chamca[Visual ID]=A143))))</f>
        <v>1</v>
      </c>
      <c r="G143" s="2">
        <f>_xlfn.XLOOKUP(A143,RevCoreCount!A:A,RevCoreCount!B:B,)</f>
        <v>0</v>
      </c>
      <c r="H143" s="2">
        <f>_xlfn.XLOOKUP(A143,RevCoreCount!A:A,RevCoreCount!E:E,)</f>
        <v>0</v>
      </c>
      <c r="I143" s="2">
        <f>_xlfn.XLOOKUP(A143,RevCHACount!A:A,RevCHACount!B:B)</f>
        <v>0</v>
      </c>
      <c r="J143" s="2">
        <f>_xlfn.XLOOKUP(A143,RevCHACount!A:A,RevCHACount!E:E)</f>
        <v>0</v>
      </c>
      <c r="K143" s="2">
        <f>_xlfn.XLOOKUP(A143,RevLLCCount!A:A,RevLLCCount!B:B,)</f>
        <v>0</v>
      </c>
      <c r="L143" s="2">
        <f>_xlfn.XLOOKUP(A143,RevLLCCount!A:A,RevLLCCount!E:E)</f>
        <v>0</v>
      </c>
      <c r="M143" s="1">
        <f>_xlfn.XLOOKUP(A143,RevCHACount!A:A,RevCHACount!F:F)</f>
        <v>0</v>
      </c>
      <c r="N143" s="1" t="str">
        <f>_xlfn.XLOOKUP(A143,'Other Errors'!A:A,'Other Errors'!B:B,"")</f>
        <v/>
      </c>
      <c r="O143" s="2" t="e">
        <f t="shared" si="12"/>
        <v>#N/A</v>
      </c>
      <c r="P143" s="2" t="e">
        <f t="shared" si="13"/>
        <v>#N/A</v>
      </c>
      <c r="Q143" s="2" t="e">
        <f t="shared" si="14"/>
        <v>#N/A</v>
      </c>
      <c r="R143" s="2" t="e">
        <f t="shared" si="15"/>
        <v>#N/A</v>
      </c>
      <c r="S143" s="2" t="str">
        <f t="shared" si="16"/>
        <v/>
      </c>
      <c r="T143" s="2" t="str">
        <f t="shared" si="17"/>
        <v/>
      </c>
      <c r="U143" s="8" t="str" cm="1">
        <f t="array" ref="U143">_xlfn.TEXTJOIN(", ",,_xlfn.UNIQUE(_xlfn._xlws.FILTER(EM$3:FK$3,EM143:FK143&gt;0,"")))</f>
        <v/>
      </c>
    </row>
    <row r="144" spans="3:21" x14ac:dyDescent="0.3">
      <c r="C144" s="11"/>
      <c r="F144" s="2" cm="1">
        <f t="array" ref="F144">COUNTA(_xlfn.UNIQUE(_xlfn._xlws.FILTER(chamca[Run],(chamca[Visual ID]=A144))))</f>
        <v>1</v>
      </c>
      <c r="G144" s="2">
        <f>_xlfn.XLOOKUP(A144,RevCoreCount!A:A,RevCoreCount!B:B,)</f>
        <v>0</v>
      </c>
      <c r="H144" s="2">
        <f>_xlfn.XLOOKUP(A144,RevCoreCount!A:A,RevCoreCount!E:E,)</f>
        <v>0</v>
      </c>
      <c r="I144" s="2">
        <f>_xlfn.XLOOKUP(A144,RevCHACount!A:A,RevCHACount!B:B)</f>
        <v>0</v>
      </c>
      <c r="J144" s="2">
        <f>_xlfn.XLOOKUP(A144,RevCHACount!A:A,RevCHACount!E:E)</f>
        <v>0</v>
      </c>
      <c r="K144" s="2">
        <f>_xlfn.XLOOKUP(A144,RevLLCCount!A:A,RevLLCCount!B:B,)</f>
        <v>0</v>
      </c>
      <c r="L144" s="2">
        <f>_xlfn.XLOOKUP(A144,RevLLCCount!A:A,RevLLCCount!E:E)</f>
        <v>0</v>
      </c>
      <c r="M144" s="1">
        <f>_xlfn.XLOOKUP(A144,RevCHACount!A:A,RevCHACount!F:F)</f>
        <v>0</v>
      </c>
      <c r="N144" s="1" t="str">
        <f>_xlfn.XLOOKUP(A144,'Other Errors'!A:A,'Other Errors'!B:B,"")</f>
        <v/>
      </c>
      <c r="O144" s="2" t="e">
        <f t="shared" si="12"/>
        <v>#N/A</v>
      </c>
      <c r="P144" s="2" t="e">
        <f t="shared" si="13"/>
        <v>#N/A</v>
      </c>
      <c r="Q144" s="2" t="e">
        <f t="shared" si="14"/>
        <v>#N/A</v>
      </c>
      <c r="R144" s="2" t="e">
        <f t="shared" si="15"/>
        <v>#N/A</v>
      </c>
      <c r="S144" s="2" t="str">
        <f t="shared" si="16"/>
        <v/>
      </c>
      <c r="T144" s="2" t="str">
        <f t="shared" si="17"/>
        <v/>
      </c>
      <c r="U144" s="8" t="str" cm="1">
        <f t="array" ref="U144">_xlfn.TEXTJOIN(", ",,_xlfn.UNIQUE(_xlfn._xlws.FILTER(EM$3:FK$3,EM144:FK144&gt;0,"")))</f>
        <v/>
      </c>
    </row>
    <row r="145" spans="3:21" x14ac:dyDescent="0.3">
      <c r="C145" s="11"/>
      <c r="F145" s="2" cm="1">
        <f t="array" ref="F145">COUNTA(_xlfn.UNIQUE(_xlfn._xlws.FILTER(chamca[Run],(chamca[Visual ID]=A145))))</f>
        <v>1</v>
      </c>
      <c r="G145" s="2">
        <f>_xlfn.XLOOKUP(A145,RevCoreCount!A:A,RevCoreCount!B:B,)</f>
        <v>0</v>
      </c>
      <c r="H145" s="2">
        <f>_xlfn.XLOOKUP(A145,RevCoreCount!A:A,RevCoreCount!E:E,)</f>
        <v>0</v>
      </c>
      <c r="I145" s="2">
        <f>_xlfn.XLOOKUP(A145,RevCHACount!A:A,RevCHACount!B:B)</f>
        <v>0</v>
      </c>
      <c r="J145" s="2">
        <f>_xlfn.XLOOKUP(A145,RevCHACount!A:A,RevCHACount!E:E)</f>
        <v>0</v>
      </c>
      <c r="K145" s="2">
        <f>_xlfn.XLOOKUP(A145,RevLLCCount!A:A,RevLLCCount!B:B,)</f>
        <v>0</v>
      </c>
      <c r="L145" s="2">
        <f>_xlfn.XLOOKUP(A145,RevLLCCount!A:A,RevLLCCount!E:E)</f>
        <v>0</v>
      </c>
      <c r="M145" s="1">
        <f>_xlfn.XLOOKUP(A145,RevCHACount!A:A,RevCHACount!F:F)</f>
        <v>0</v>
      </c>
      <c r="N145" s="1" t="str">
        <f>_xlfn.XLOOKUP(A145,'Other Errors'!A:A,'Other Errors'!B:B,"")</f>
        <v/>
      </c>
      <c r="O145" s="2" t="e">
        <f t="shared" si="12"/>
        <v>#N/A</v>
      </c>
      <c r="P145" s="2" t="e">
        <f t="shared" si="13"/>
        <v>#N/A</v>
      </c>
      <c r="Q145" s="2" t="e">
        <f t="shared" si="14"/>
        <v>#N/A</v>
      </c>
      <c r="R145" s="2" t="e">
        <f t="shared" si="15"/>
        <v>#N/A</v>
      </c>
      <c r="S145" s="2" t="str">
        <f t="shared" si="16"/>
        <v/>
      </c>
      <c r="T145" s="2" t="str">
        <f t="shared" si="17"/>
        <v/>
      </c>
      <c r="U145" s="8" t="str" cm="1">
        <f t="array" ref="U145">_xlfn.TEXTJOIN(", ",,_xlfn.UNIQUE(_xlfn._xlws.FILTER(EM$3:FK$3,EM145:FK145&gt;0,"")))</f>
        <v/>
      </c>
    </row>
    <row r="146" spans="3:21" x14ac:dyDescent="0.3">
      <c r="C146" s="11"/>
      <c r="F146" s="2" cm="1">
        <f t="array" ref="F146">COUNTA(_xlfn.UNIQUE(_xlfn._xlws.FILTER(chamca[Run],(chamca[Visual ID]=A146))))</f>
        <v>1</v>
      </c>
      <c r="G146" s="2">
        <f>_xlfn.XLOOKUP(A146,RevCoreCount!A:A,RevCoreCount!B:B,)</f>
        <v>0</v>
      </c>
      <c r="H146" s="2">
        <f>_xlfn.XLOOKUP(A146,RevCoreCount!A:A,RevCoreCount!E:E,)</f>
        <v>0</v>
      </c>
      <c r="I146" s="2">
        <f>_xlfn.XLOOKUP(A146,RevCHACount!A:A,RevCHACount!B:B)</f>
        <v>0</v>
      </c>
      <c r="J146" s="2">
        <f>_xlfn.XLOOKUP(A146,RevCHACount!A:A,RevCHACount!E:E)</f>
        <v>0</v>
      </c>
      <c r="K146" s="2">
        <f>_xlfn.XLOOKUP(A146,RevLLCCount!A:A,RevLLCCount!B:B,)</f>
        <v>0</v>
      </c>
      <c r="L146" s="2">
        <f>_xlfn.XLOOKUP(A146,RevLLCCount!A:A,RevLLCCount!E:E)</f>
        <v>0</v>
      </c>
      <c r="M146" s="1">
        <f>_xlfn.XLOOKUP(A146,RevCHACount!A:A,RevCHACount!F:F)</f>
        <v>0</v>
      </c>
      <c r="N146" s="1" t="str">
        <f>_xlfn.XLOOKUP(A146,'Other Errors'!A:A,'Other Errors'!B:B,"")</f>
        <v/>
      </c>
      <c r="O146" s="2" t="e">
        <f t="shared" si="12"/>
        <v>#N/A</v>
      </c>
      <c r="P146" s="2" t="e">
        <f t="shared" si="13"/>
        <v>#N/A</v>
      </c>
      <c r="Q146" s="2" t="e">
        <f t="shared" si="14"/>
        <v>#N/A</v>
      </c>
      <c r="R146" s="2" t="e">
        <f t="shared" si="15"/>
        <v>#N/A</v>
      </c>
      <c r="S146" s="2" t="str">
        <f t="shared" si="16"/>
        <v/>
      </c>
      <c r="T146" s="2" t="str">
        <f t="shared" si="17"/>
        <v/>
      </c>
      <c r="U146" s="8" t="str" cm="1">
        <f t="array" ref="U146">_xlfn.TEXTJOIN(", ",,_xlfn.UNIQUE(_xlfn._xlws.FILTER(EM$3:FK$3,EM146:FK146&gt;0,"")))</f>
        <v/>
      </c>
    </row>
    <row r="147" spans="3:21" x14ac:dyDescent="0.3">
      <c r="C147" s="11"/>
      <c r="F147" s="2" cm="1">
        <f t="array" ref="F147">COUNTA(_xlfn.UNIQUE(_xlfn._xlws.FILTER(chamca[Run],(chamca[Visual ID]=A147))))</f>
        <v>1</v>
      </c>
      <c r="G147" s="2">
        <f>_xlfn.XLOOKUP(A147,RevCoreCount!A:A,RevCoreCount!B:B,)</f>
        <v>0</v>
      </c>
      <c r="H147" s="2">
        <f>_xlfn.XLOOKUP(A147,RevCoreCount!A:A,RevCoreCount!E:E,)</f>
        <v>0</v>
      </c>
      <c r="I147" s="2">
        <f>_xlfn.XLOOKUP(A147,RevCHACount!A:A,RevCHACount!B:B)</f>
        <v>0</v>
      </c>
      <c r="J147" s="2">
        <f>_xlfn.XLOOKUP(A147,RevCHACount!A:A,RevCHACount!E:E)</f>
        <v>0</v>
      </c>
      <c r="K147" s="2">
        <f>_xlfn.XLOOKUP(A147,RevLLCCount!A:A,RevLLCCount!B:B,)</f>
        <v>0</v>
      </c>
      <c r="L147" s="2">
        <f>_xlfn.XLOOKUP(A147,RevLLCCount!A:A,RevLLCCount!E:E)</f>
        <v>0</v>
      </c>
      <c r="M147" s="1">
        <f>_xlfn.XLOOKUP(A147,RevCHACount!A:A,RevCHACount!F:F)</f>
        <v>0</v>
      </c>
      <c r="N147" s="1" t="str">
        <f>_xlfn.XLOOKUP(A147,'Other Errors'!A:A,'Other Errors'!B:B,"")</f>
        <v/>
      </c>
      <c r="O147" s="2" t="e">
        <f t="shared" si="12"/>
        <v>#N/A</v>
      </c>
      <c r="P147" s="2" t="e">
        <f t="shared" si="13"/>
        <v>#N/A</v>
      </c>
      <c r="Q147" s="2" t="e">
        <f t="shared" si="14"/>
        <v>#N/A</v>
      </c>
      <c r="R147" s="2" t="e">
        <f t="shared" si="15"/>
        <v>#N/A</v>
      </c>
      <c r="S147" s="2" t="str">
        <f t="shared" si="16"/>
        <v/>
      </c>
      <c r="T147" s="2" t="str">
        <f t="shared" si="17"/>
        <v/>
      </c>
      <c r="U147" s="8" t="str" cm="1">
        <f t="array" ref="U147">_xlfn.TEXTJOIN(", ",,_xlfn.UNIQUE(_xlfn._xlws.FILTER(EM$3:FK$3,EM147:FK147&gt;0,"")))</f>
        <v/>
      </c>
    </row>
    <row r="148" spans="3:21" x14ac:dyDescent="0.3">
      <c r="C148" s="11"/>
      <c r="F148" s="2" cm="1">
        <f t="array" ref="F148">COUNTA(_xlfn.UNIQUE(_xlfn._xlws.FILTER(chamca[Run],(chamca[Visual ID]=A148))))</f>
        <v>1</v>
      </c>
      <c r="G148" s="2">
        <f>_xlfn.XLOOKUP(A148,RevCoreCount!A:A,RevCoreCount!B:B,)</f>
        <v>0</v>
      </c>
      <c r="H148" s="2">
        <f>_xlfn.XLOOKUP(A148,RevCoreCount!A:A,RevCoreCount!E:E,)</f>
        <v>0</v>
      </c>
      <c r="I148" s="2">
        <f>_xlfn.XLOOKUP(A148,RevCHACount!A:A,RevCHACount!B:B)</f>
        <v>0</v>
      </c>
      <c r="J148" s="2">
        <f>_xlfn.XLOOKUP(A148,RevCHACount!A:A,RevCHACount!E:E)</f>
        <v>0</v>
      </c>
      <c r="K148" s="2">
        <f>_xlfn.XLOOKUP(A148,RevLLCCount!A:A,RevLLCCount!B:B,)</f>
        <v>0</v>
      </c>
      <c r="L148" s="2">
        <f>_xlfn.XLOOKUP(A148,RevLLCCount!A:A,RevLLCCount!E:E)</f>
        <v>0</v>
      </c>
      <c r="M148" s="1">
        <f>_xlfn.XLOOKUP(A148,RevCHACount!A:A,RevCHACount!F:F)</f>
        <v>0</v>
      </c>
      <c r="N148" s="1" t="str">
        <f>_xlfn.XLOOKUP(A148,'Other Errors'!A:A,'Other Errors'!B:B,"")</f>
        <v/>
      </c>
      <c r="O148" s="2" t="e">
        <f t="shared" si="12"/>
        <v>#N/A</v>
      </c>
      <c r="P148" s="2" t="e">
        <f t="shared" si="13"/>
        <v>#N/A</v>
      </c>
      <c r="Q148" s="2" t="e">
        <f t="shared" si="14"/>
        <v>#N/A</v>
      </c>
      <c r="R148" s="2" t="e">
        <f t="shared" si="15"/>
        <v>#N/A</v>
      </c>
      <c r="S148" s="2" t="str">
        <f t="shared" si="16"/>
        <v/>
      </c>
      <c r="T148" s="2" t="str">
        <f t="shared" si="17"/>
        <v/>
      </c>
      <c r="U148" s="8" t="str" cm="1">
        <f t="array" ref="U148">_xlfn.TEXTJOIN(", ",,_xlfn.UNIQUE(_xlfn._xlws.FILTER(EM$3:FK$3,EM148:FK148&gt;0,"")))</f>
        <v/>
      </c>
    </row>
    <row r="149" spans="3:21" x14ac:dyDescent="0.3">
      <c r="C149" s="11"/>
      <c r="F149" s="2" cm="1">
        <f t="array" ref="F149">COUNTA(_xlfn.UNIQUE(_xlfn._xlws.FILTER(chamca[Run],(chamca[Visual ID]=A149))))</f>
        <v>1</v>
      </c>
      <c r="G149" s="2">
        <f>_xlfn.XLOOKUP(A149,RevCoreCount!A:A,RevCoreCount!B:B,)</f>
        <v>0</v>
      </c>
      <c r="H149" s="2">
        <f>_xlfn.XLOOKUP(A149,RevCoreCount!A:A,RevCoreCount!E:E,)</f>
        <v>0</v>
      </c>
      <c r="I149" s="2">
        <f>_xlfn.XLOOKUP(A149,RevCHACount!A:A,RevCHACount!B:B)</f>
        <v>0</v>
      </c>
      <c r="J149" s="2">
        <f>_xlfn.XLOOKUP(A149,RevCHACount!A:A,RevCHACount!E:E)</f>
        <v>0</v>
      </c>
      <c r="K149" s="2">
        <f>_xlfn.XLOOKUP(A149,RevLLCCount!A:A,RevLLCCount!B:B,)</f>
        <v>0</v>
      </c>
      <c r="L149" s="2">
        <f>_xlfn.XLOOKUP(A149,RevLLCCount!A:A,RevLLCCount!E:E)</f>
        <v>0</v>
      </c>
      <c r="M149" s="1">
        <f>_xlfn.XLOOKUP(A149,RevCHACount!A:A,RevCHACount!F:F)</f>
        <v>0</v>
      </c>
      <c r="N149" s="1" t="str">
        <f>_xlfn.XLOOKUP(A149,'Other Errors'!A:A,'Other Errors'!B:B,"")</f>
        <v/>
      </c>
      <c r="O149" s="2" t="e">
        <f t="shared" si="12"/>
        <v>#N/A</v>
      </c>
      <c r="P149" s="2" t="e">
        <f t="shared" si="13"/>
        <v>#N/A</v>
      </c>
      <c r="Q149" s="2" t="e">
        <f t="shared" si="14"/>
        <v>#N/A</v>
      </c>
      <c r="R149" s="2" t="e">
        <f t="shared" si="15"/>
        <v>#N/A</v>
      </c>
      <c r="S149" s="2" t="str">
        <f t="shared" si="16"/>
        <v/>
      </c>
      <c r="T149" s="2" t="str">
        <f t="shared" si="17"/>
        <v/>
      </c>
      <c r="U149" s="8" t="str" cm="1">
        <f t="array" ref="U149">_xlfn.TEXTJOIN(", ",,_xlfn.UNIQUE(_xlfn._xlws.FILTER(EM$3:FK$3,EM149:FK149&gt;0,"")))</f>
        <v/>
      </c>
    </row>
    <row r="150" spans="3:21" x14ac:dyDescent="0.3">
      <c r="C150" s="11"/>
      <c r="F150" s="2" cm="1">
        <f t="array" ref="F150">COUNTA(_xlfn.UNIQUE(_xlfn._xlws.FILTER(chamca[Run],(chamca[Visual ID]=A150))))</f>
        <v>1</v>
      </c>
      <c r="G150" s="2">
        <f>_xlfn.XLOOKUP(A150,RevCoreCount!A:A,RevCoreCount!B:B,)</f>
        <v>0</v>
      </c>
      <c r="H150" s="2">
        <f>_xlfn.XLOOKUP(A150,RevCoreCount!A:A,RevCoreCount!E:E,)</f>
        <v>0</v>
      </c>
      <c r="I150" s="2">
        <f>_xlfn.XLOOKUP(A150,RevCHACount!A:A,RevCHACount!B:B)</f>
        <v>0</v>
      </c>
      <c r="J150" s="2">
        <f>_xlfn.XLOOKUP(A150,RevCHACount!A:A,RevCHACount!E:E)</f>
        <v>0</v>
      </c>
      <c r="K150" s="2">
        <f>_xlfn.XLOOKUP(A150,RevLLCCount!A:A,RevLLCCount!B:B,)</f>
        <v>0</v>
      </c>
      <c r="L150" s="2">
        <f>_xlfn.XLOOKUP(A150,RevLLCCount!A:A,RevLLCCount!E:E)</f>
        <v>0</v>
      </c>
      <c r="M150" s="1">
        <f>_xlfn.XLOOKUP(A150,RevCHACount!A:A,RevCHACount!F:F)</f>
        <v>0</v>
      </c>
      <c r="N150" s="1" t="str">
        <f>_xlfn.XLOOKUP(A150,'Other Errors'!A:A,'Other Errors'!B:B,"")</f>
        <v/>
      </c>
      <c r="O150" s="2" t="e">
        <f t="shared" si="12"/>
        <v>#N/A</v>
      </c>
      <c r="P150" s="2" t="e">
        <f t="shared" si="13"/>
        <v>#N/A</v>
      </c>
      <c r="Q150" s="2" t="e">
        <f t="shared" si="14"/>
        <v>#N/A</v>
      </c>
      <c r="R150" s="2" t="e">
        <f t="shared" si="15"/>
        <v>#N/A</v>
      </c>
      <c r="S150" s="2" t="str">
        <f t="shared" si="16"/>
        <v/>
      </c>
      <c r="T150" s="2" t="str">
        <f t="shared" si="17"/>
        <v/>
      </c>
      <c r="U150" s="8" t="str" cm="1">
        <f t="array" ref="U150">_xlfn.TEXTJOIN(", ",,_xlfn.UNIQUE(_xlfn._xlws.FILTER(EM$3:FK$3,EM150:FK150&gt;0,"")))</f>
        <v/>
      </c>
    </row>
    <row r="151" spans="3:21" x14ac:dyDescent="0.3">
      <c r="C151" s="11"/>
      <c r="F151" s="2" cm="1">
        <f t="array" ref="F151">COUNTA(_xlfn.UNIQUE(_xlfn._xlws.FILTER(chamca[Run],(chamca[Visual ID]=A151))))</f>
        <v>1</v>
      </c>
      <c r="G151" s="2">
        <f>_xlfn.XLOOKUP(A151,RevCoreCount!A:A,RevCoreCount!B:B,)</f>
        <v>0</v>
      </c>
      <c r="H151" s="2">
        <f>_xlfn.XLOOKUP(A151,RevCoreCount!A:A,RevCoreCount!E:E,)</f>
        <v>0</v>
      </c>
      <c r="I151" s="2">
        <f>_xlfn.XLOOKUP(A151,RevCHACount!A:A,RevCHACount!B:B)</f>
        <v>0</v>
      </c>
      <c r="J151" s="2">
        <f>_xlfn.XLOOKUP(A151,RevCHACount!A:A,RevCHACount!E:E)</f>
        <v>0</v>
      </c>
      <c r="K151" s="2">
        <f>_xlfn.XLOOKUP(A151,RevLLCCount!A:A,RevLLCCount!B:B,)</f>
        <v>0</v>
      </c>
      <c r="L151" s="2">
        <f>_xlfn.XLOOKUP(A151,RevLLCCount!A:A,RevLLCCount!E:E)</f>
        <v>0</v>
      </c>
      <c r="M151" s="1">
        <f>_xlfn.XLOOKUP(A151,RevCHACount!A:A,RevCHACount!F:F)</f>
        <v>0</v>
      </c>
      <c r="N151" s="1" t="str">
        <f>_xlfn.XLOOKUP(A151,'Other Errors'!A:A,'Other Errors'!B:B,"")</f>
        <v/>
      </c>
      <c r="O151" s="2" t="e">
        <f t="shared" si="12"/>
        <v>#N/A</v>
      </c>
      <c r="P151" s="2" t="e">
        <f t="shared" si="13"/>
        <v>#N/A</v>
      </c>
      <c r="Q151" s="2" t="e">
        <f t="shared" si="14"/>
        <v>#N/A</v>
      </c>
      <c r="R151" s="2" t="e">
        <f t="shared" si="15"/>
        <v>#N/A</v>
      </c>
      <c r="S151" s="2" t="str">
        <f t="shared" si="16"/>
        <v/>
      </c>
      <c r="T151" s="2" t="str">
        <f t="shared" si="17"/>
        <v/>
      </c>
      <c r="U151" s="8" t="str" cm="1">
        <f t="array" ref="U151">_xlfn.TEXTJOIN(", ",,_xlfn.UNIQUE(_xlfn._xlws.FILTER(EM$3:FK$3,EM151:FK151&gt;0,"")))</f>
        <v/>
      </c>
    </row>
    <row r="152" spans="3:21" x14ac:dyDescent="0.3">
      <c r="C152" s="11"/>
      <c r="F152" s="2" cm="1">
        <f t="array" ref="F152">COUNTA(_xlfn.UNIQUE(_xlfn._xlws.FILTER(chamca[Run],(chamca[Visual ID]=A152))))</f>
        <v>1</v>
      </c>
      <c r="G152" s="2">
        <f>_xlfn.XLOOKUP(A152,RevCoreCount!A:A,RevCoreCount!B:B,)</f>
        <v>0</v>
      </c>
      <c r="H152" s="2">
        <f>_xlfn.XLOOKUP(A152,RevCoreCount!A:A,RevCoreCount!E:E,)</f>
        <v>0</v>
      </c>
      <c r="I152" s="2">
        <f>_xlfn.XLOOKUP(A152,RevCHACount!A:A,RevCHACount!B:B)</f>
        <v>0</v>
      </c>
      <c r="J152" s="2">
        <f>_xlfn.XLOOKUP(A152,RevCHACount!A:A,RevCHACount!E:E)</f>
        <v>0</v>
      </c>
      <c r="K152" s="2">
        <f>_xlfn.XLOOKUP(A152,RevLLCCount!A:A,RevLLCCount!B:B,)</f>
        <v>0</v>
      </c>
      <c r="L152" s="2">
        <f>_xlfn.XLOOKUP(A152,RevLLCCount!A:A,RevLLCCount!E:E)</f>
        <v>0</v>
      </c>
      <c r="M152" s="1">
        <f>_xlfn.XLOOKUP(A152,RevCHACount!A:A,RevCHACount!F:F)</f>
        <v>0</v>
      </c>
      <c r="N152" s="1" t="str">
        <f>_xlfn.XLOOKUP(A152,'Other Errors'!A:A,'Other Errors'!B:B,"")</f>
        <v/>
      </c>
      <c r="O152" s="2" t="e">
        <f t="shared" si="12"/>
        <v>#N/A</v>
      </c>
      <c r="P152" s="2" t="e">
        <f t="shared" si="13"/>
        <v>#N/A</v>
      </c>
      <c r="Q152" s="2" t="e">
        <f t="shared" si="14"/>
        <v>#N/A</v>
      </c>
      <c r="R152" s="2" t="e">
        <f t="shared" si="15"/>
        <v>#N/A</v>
      </c>
      <c r="S152" s="2" t="str">
        <f t="shared" si="16"/>
        <v/>
      </c>
      <c r="T152" s="2" t="str">
        <f t="shared" si="17"/>
        <v/>
      </c>
      <c r="U152" s="8" t="str" cm="1">
        <f t="array" ref="U152">_xlfn.TEXTJOIN(", ",,_xlfn.UNIQUE(_xlfn._xlws.FILTER(EM$3:FK$3,EM152:FK152&gt;0,"")))</f>
        <v/>
      </c>
    </row>
    <row r="153" spans="3:21" x14ac:dyDescent="0.3">
      <c r="C153" s="11"/>
      <c r="F153" s="2" cm="1">
        <f t="array" ref="F153">COUNTA(_xlfn.UNIQUE(_xlfn._xlws.FILTER(chamca[Run],(chamca[Visual ID]=A153))))</f>
        <v>1</v>
      </c>
      <c r="G153" s="2">
        <f>_xlfn.XLOOKUP(A153,RevCoreCount!A:A,RevCoreCount!B:B,)</f>
        <v>0</v>
      </c>
      <c r="H153" s="2">
        <f>_xlfn.XLOOKUP(A153,RevCoreCount!A:A,RevCoreCount!E:E,)</f>
        <v>0</v>
      </c>
      <c r="I153" s="2">
        <f>_xlfn.XLOOKUP(A153,RevCHACount!A:A,RevCHACount!B:B)</f>
        <v>0</v>
      </c>
      <c r="J153" s="2">
        <f>_xlfn.XLOOKUP(A153,RevCHACount!A:A,RevCHACount!E:E)</f>
        <v>0</v>
      </c>
      <c r="K153" s="2">
        <f>_xlfn.XLOOKUP(A153,RevLLCCount!A:A,RevLLCCount!B:B,)</f>
        <v>0</v>
      </c>
      <c r="L153" s="2">
        <f>_xlfn.XLOOKUP(A153,RevLLCCount!A:A,RevLLCCount!E:E)</f>
        <v>0</v>
      </c>
      <c r="M153" s="1">
        <f>_xlfn.XLOOKUP(A153,RevCHACount!A:A,RevCHACount!F:F)</f>
        <v>0</v>
      </c>
      <c r="N153" s="1" t="str">
        <f>_xlfn.XLOOKUP(A153,'Other Errors'!A:A,'Other Errors'!B:B,"")</f>
        <v/>
      </c>
      <c r="O153" s="2" t="e">
        <f t="shared" si="12"/>
        <v>#N/A</v>
      </c>
      <c r="P153" s="2" t="e">
        <f t="shared" si="13"/>
        <v>#N/A</v>
      </c>
      <c r="Q153" s="2" t="e">
        <f t="shared" si="14"/>
        <v>#N/A</v>
      </c>
      <c r="R153" s="2" t="e">
        <f t="shared" si="15"/>
        <v>#N/A</v>
      </c>
      <c r="S153" s="2" t="str">
        <f t="shared" si="16"/>
        <v/>
      </c>
      <c r="T153" s="2" t="str">
        <f t="shared" si="17"/>
        <v/>
      </c>
      <c r="U153" s="8" t="str" cm="1">
        <f t="array" ref="U153">_xlfn.TEXTJOIN(", ",,_xlfn.UNIQUE(_xlfn._xlws.FILTER(EM$3:FK$3,EM153:FK153&gt;0,"")))</f>
        <v/>
      </c>
    </row>
    <row r="154" spans="3:21" x14ac:dyDescent="0.3">
      <c r="C154" s="11"/>
      <c r="F154" s="2" cm="1">
        <f t="array" ref="F154">COUNTA(_xlfn.UNIQUE(_xlfn._xlws.FILTER(chamca[Run],(chamca[Visual ID]=A154))))</f>
        <v>1</v>
      </c>
      <c r="G154" s="2">
        <f>_xlfn.XLOOKUP(A154,RevCoreCount!A:A,RevCoreCount!B:B,)</f>
        <v>0</v>
      </c>
      <c r="H154" s="2">
        <f>_xlfn.XLOOKUP(A154,RevCoreCount!A:A,RevCoreCount!E:E,)</f>
        <v>0</v>
      </c>
      <c r="I154" s="2">
        <f>_xlfn.XLOOKUP(A154,RevCHACount!A:A,RevCHACount!B:B)</f>
        <v>0</v>
      </c>
      <c r="J154" s="2">
        <f>_xlfn.XLOOKUP(A154,RevCHACount!A:A,RevCHACount!E:E)</f>
        <v>0</v>
      </c>
      <c r="K154" s="2">
        <f>_xlfn.XLOOKUP(A154,RevLLCCount!A:A,RevLLCCount!B:B,)</f>
        <v>0</v>
      </c>
      <c r="L154" s="2">
        <f>_xlfn.XLOOKUP(A154,RevLLCCount!A:A,RevLLCCount!E:E)</f>
        <v>0</v>
      </c>
      <c r="M154" s="1">
        <f>_xlfn.XLOOKUP(A154,RevCHACount!A:A,RevCHACount!F:F)</f>
        <v>0</v>
      </c>
      <c r="N154" s="1" t="str">
        <f>_xlfn.XLOOKUP(A154,'Other Errors'!A:A,'Other Errors'!B:B,"")</f>
        <v/>
      </c>
      <c r="O154" s="2" t="e">
        <f t="shared" si="12"/>
        <v>#N/A</v>
      </c>
      <c r="P154" s="2" t="e">
        <f t="shared" si="13"/>
        <v>#N/A</v>
      </c>
      <c r="Q154" s="2" t="e">
        <f t="shared" si="14"/>
        <v>#N/A</v>
      </c>
      <c r="R154" s="2" t="e">
        <f t="shared" si="15"/>
        <v>#N/A</v>
      </c>
      <c r="S154" s="2" t="str">
        <f t="shared" si="16"/>
        <v/>
      </c>
      <c r="T154" s="2" t="str">
        <f t="shared" si="17"/>
        <v/>
      </c>
      <c r="U154" s="8" t="str" cm="1">
        <f t="array" ref="U154">_xlfn.TEXTJOIN(", ",,_xlfn.UNIQUE(_xlfn._xlws.FILTER(EM$3:FK$3,EM154:FK154&gt;0,"")))</f>
        <v/>
      </c>
    </row>
    <row r="155" spans="3:21" x14ac:dyDescent="0.3">
      <c r="C155" s="11"/>
      <c r="F155" s="2" cm="1">
        <f t="array" ref="F155">COUNTA(_xlfn.UNIQUE(_xlfn._xlws.FILTER(chamca[Run],(chamca[Visual ID]=A155))))</f>
        <v>1</v>
      </c>
      <c r="G155" s="2">
        <f>_xlfn.XLOOKUP(A155,RevCoreCount!A:A,RevCoreCount!B:B,)</f>
        <v>0</v>
      </c>
      <c r="H155" s="2">
        <f>_xlfn.XLOOKUP(A155,RevCoreCount!A:A,RevCoreCount!E:E,)</f>
        <v>0</v>
      </c>
      <c r="I155" s="2">
        <f>_xlfn.XLOOKUP(A155,RevCHACount!A:A,RevCHACount!B:B)</f>
        <v>0</v>
      </c>
      <c r="J155" s="2">
        <f>_xlfn.XLOOKUP(A155,RevCHACount!A:A,RevCHACount!E:E)</f>
        <v>0</v>
      </c>
      <c r="K155" s="2">
        <f>_xlfn.XLOOKUP(A155,RevLLCCount!A:A,RevLLCCount!B:B,)</f>
        <v>0</v>
      </c>
      <c r="L155" s="2">
        <f>_xlfn.XLOOKUP(A155,RevLLCCount!A:A,RevLLCCount!E:E)</f>
        <v>0</v>
      </c>
      <c r="M155" s="1">
        <f>_xlfn.XLOOKUP(A155,RevCHACount!A:A,RevCHACount!F:F)</f>
        <v>0</v>
      </c>
      <c r="N155" s="1" t="str">
        <f>_xlfn.XLOOKUP(A155,'Other Errors'!A:A,'Other Errors'!B:B,"")</f>
        <v/>
      </c>
      <c r="O155" s="2" t="e">
        <f t="shared" si="12"/>
        <v>#N/A</v>
      </c>
      <c r="P155" s="2" t="e">
        <f t="shared" si="13"/>
        <v>#N/A</v>
      </c>
      <c r="Q155" s="2" t="e">
        <f t="shared" si="14"/>
        <v>#N/A</v>
      </c>
      <c r="R155" s="2" t="e">
        <f t="shared" si="15"/>
        <v>#N/A</v>
      </c>
      <c r="S155" s="2" t="str">
        <f t="shared" si="16"/>
        <v/>
      </c>
      <c r="T155" s="2" t="str">
        <f t="shared" si="17"/>
        <v/>
      </c>
      <c r="U155" s="8" t="str" cm="1">
        <f t="array" ref="U155">_xlfn.TEXTJOIN(", ",,_xlfn.UNIQUE(_xlfn._xlws.FILTER(EM$3:FK$3,EM155:FK155&gt;0,"")))</f>
        <v/>
      </c>
    </row>
    <row r="156" spans="3:21" x14ac:dyDescent="0.3">
      <c r="C156" s="11"/>
      <c r="F156" s="2" cm="1">
        <f t="array" ref="F156">COUNTA(_xlfn.UNIQUE(_xlfn._xlws.FILTER(chamca[Run],(chamca[Visual ID]=A156))))</f>
        <v>1</v>
      </c>
      <c r="G156" s="2">
        <f>_xlfn.XLOOKUP(A156,RevCoreCount!A:A,RevCoreCount!B:B,)</f>
        <v>0</v>
      </c>
      <c r="H156" s="2">
        <f>_xlfn.XLOOKUP(A156,RevCoreCount!A:A,RevCoreCount!E:E,)</f>
        <v>0</v>
      </c>
      <c r="I156" s="2">
        <f>_xlfn.XLOOKUP(A156,RevCHACount!A:A,RevCHACount!B:B)</f>
        <v>0</v>
      </c>
      <c r="J156" s="2">
        <f>_xlfn.XLOOKUP(A156,RevCHACount!A:A,RevCHACount!E:E)</f>
        <v>0</v>
      </c>
      <c r="K156" s="2">
        <f>_xlfn.XLOOKUP(A156,RevLLCCount!A:A,RevLLCCount!B:B,)</f>
        <v>0</v>
      </c>
      <c r="L156" s="2">
        <f>_xlfn.XLOOKUP(A156,RevLLCCount!A:A,RevLLCCount!E:E)</f>
        <v>0</v>
      </c>
      <c r="M156" s="1">
        <f>_xlfn.XLOOKUP(A156,RevCHACount!A:A,RevCHACount!F:F)</f>
        <v>0</v>
      </c>
      <c r="N156" s="1" t="str">
        <f>_xlfn.XLOOKUP(A156,'Other Errors'!A:A,'Other Errors'!B:B,"")</f>
        <v/>
      </c>
      <c r="O156" s="2" t="e">
        <f t="shared" si="12"/>
        <v>#N/A</v>
      </c>
      <c r="P156" s="2" t="e">
        <f t="shared" si="13"/>
        <v>#N/A</v>
      </c>
      <c r="Q156" s="2" t="e">
        <f t="shared" si="14"/>
        <v>#N/A</v>
      </c>
      <c r="R156" s="2" t="e">
        <f t="shared" si="15"/>
        <v>#N/A</v>
      </c>
      <c r="S156" s="2" t="str">
        <f t="shared" si="16"/>
        <v/>
      </c>
      <c r="T156" s="2" t="str">
        <f t="shared" si="17"/>
        <v/>
      </c>
      <c r="U156" s="8" t="str" cm="1">
        <f t="array" ref="U156">_xlfn.TEXTJOIN(", ",,_xlfn.UNIQUE(_xlfn._xlws.FILTER(EM$3:FK$3,EM156:FK156&gt;0,"")))</f>
        <v/>
      </c>
    </row>
    <row r="157" spans="3:21" x14ac:dyDescent="0.3">
      <c r="C157" s="11"/>
      <c r="F157" s="2" cm="1">
        <f t="array" ref="F157">COUNTA(_xlfn.UNIQUE(_xlfn._xlws.FILTER(chamca[Run],(chamca[Visual ID]=A157))))</f>
        <v>1</v>
      </c>
      <c r="G157" s="2">
        <f>_xlfn.XLOOKUP(A157,RevCoreCount!A:A,RevCoreCount!B:B,)</f>
        <v>0</v>
      </c>
      <c r="H157" s="2">
        <f>_xlfn.XLOOKUP(A157,RevCoreCount!A:A,RevCoreCount!E:E,)</f>
        <v>0</v>
      </c>
      <c r="I157" s="2">
        <f>_xlfn.XLOOKUP(A157,RevCHACount!A:A,RevCHACount!B:B)</f>
        <v>0</v>
      </c>
      <c r="J157" s="2">
        <f>_xlfn.XLOOKUP(A157,RevCHACount!A:A,RevCHACount!E:E)</f>
        <v>0</v>
      </c>
      <c r="K157" s="2">
        <f>_xlfn.XLOOKUP(A157,RevLLCCount!A:A,RevLLCCount!B:B,)</f>
        <v>0</v>
      </c>
      <c r="L157" s="2">
        <f>_xlfn.XLOOKUP(A157,RevLLCCount!A:A,RevLLCCount!E:E)</f>
        <v>0</v>
      </c>
      <c r="M157" s="1">
        <f>_xlfn.XLOOKUP(A157,RevCHACount!A:A,RevCHACount!F:F)</f>
        <v>0</v>
      </c>
      <c r="N157" s="1" t="str">
        <f>_xlfn.XLOOKUP(A157,'Other Errors'!A:A,'Other Errors'!B:B,"")</f>
        <v/>
      </c>
      <c r="O157" s="2" t="e">
        <f t="shared" si="12"/>
        <v>#N/A</v>
      </c>
      <c r="P157" s="2" t="e">
        <f t="shared" si="13"/>
        <v>#N/A</v>
      </c>
      <c r="Q157" s="2" t="e">
        <f t="shared" si="14"/>
        <v>#N/A</v>
      </c>
      <c r="R157" s="2" t="e">
        <f t="shared" si="15"/>
        <v>#N/A</v>
      </c>
      <c r="S157" s="2" t="str">
        <f t="shared" si="16"/>
        <v/>
      </c>
      <c r="T157" s="2" t="str">
        <f t="shared" si="17"/>
        <v/>
      </c>
      <c r="U157" s="8" t="str" cm="1">
        <f t="array" ref="U157">_xlfn.TEXTJOIN(", ",,_xlfn.UNIQUE(_xlfn._xlws.FILTER(EM$3:FK$3,EM157:FK157&gt;0,"")))</f>
        <v/>
      </c>
    </row>
    <row r="158" spans="3:21" x14ac:dyDescent="0.3">
      <c r="C158" s="11"/>
      <c r="F158" s="2" cm="1">
        <f t="array" ref="F158">COUNTA(_xlfn.UNIQUE(_xlfn._xlws.FILTER(chamca[Run],(chamca[Visual ID]=A158))))</f>
        <v>1</v>
      </c>
      <c r="G158" s="2">
        <f>_xlfn.XLOOKUP(A158,RevCoreCount!A:A,RevCoreCount!B:B,)</f>
        <v>0</v>
      </c>
      <c r="H158" s="2">
        <f>_xlfn.XLOOKUP(A158,RevCoreCount!A:A,RevCoreCount!E:E,)</f>
        <v>0</v>
      </c>
      <c r="I158" s="2">
        <f>_xlfn.XLOOKUP(A158,RevCHACount!A:A,RevCHACount!B:B)</f>
        <v>0</v>
      </c>
      <c r="J158" s="2">
        <f>_xlfn.XLOOKUP(A158,RevCHACount!A:A,RevCHACount!E:E)</f>
        <v>0</v>
      </c>
      <c r="K158" s="2">
        <f>_xlfn.XLOOKUP(A158,RevLLCCount!A:A,RevLLCCount!B:B,)</f>
        <v>0</v>
      </c>
      <c r="L158" s="2">
        <f>_xlfn.XLOOKUP(A158,RevLLCCount!A:A,RevLLCCount!E:E)</f>
        <v>0</v>
      </c>
      <c r="M158" s="1">
        <f>_xlfn.XLOOKUP(A158,RevCHACount!A:A,RevCHACount!F:F)</f>
        <v>0</v>
      </c>
      <c r="N158" s="1" t="str">
        <f>_xlfn.XLOOKUP(A158,'Other Errors'!A:A,'Other Errors'!B:B,"")</f>
        <v/>
      </c>
      <c r="O158" s="2" t="e">
        <f t="shared" si="12"/>
        <v>#N/A</v>
      </c>
      <c r="P158" s="2" t="e">
        <f t="shared" si="13"/>
        <v>#N/A</v>
      </c>
      <c r="Q158" s="2" t="e">
        <f t="shared" si="14"/>
        <v>#N/A</v>
      </c>
      <c r="R158" s="2" t="e">
        <f t="shared" si="15"/>
        <v>#N/A</v>
      </c>
      <c r="S158" s="2" t="str">
        <f t="shared" si="16"/>
        <v/>
      </c>
      <c r="T158" s="2" t="str">
        <f t="shared" si="17"/>
        <v/>
      </c>
      <c r="U158" s="8" t="str" cm="1">
        <f t="array" ref="U158">_xlfn.TEXTJOIN(", ",,_xlfn.UNIQUE(_xlfn._xlws.FILTER(EM$3:FK$3,EM158:FK158&gt;0,"")))</f>
        <v/>
      </c>
    </row>
    <row r="159" spans="3:21" x14ac:dyDescent="0.3">
      <c r="F159" s="2" cm="1">
        <f t="array" ref="F159">COUNTA(_xlfn.UNIQUE(_xlfn._xlws.FILTER(chamca[Run],(chamca[Visual ID]=A159))))</f>
        <v>1</v>
      </c>
      <c r="G159" s="2">
        <f>_xlfn.XLOOKUP(A159,RevCoreCount!A:A,RevCoreCount!B:B,)</f>
        <v>0</v>
      </c>
      <c r="H159" s="2">
        <f>_xlfn.XLOOKUP(A159,RevCoreCount!A:A,RevCoreCount!E:E,)</f>
        <v>0</v>
      </c>
      <c r="I159" s="2">
        <f>_xlfn.XLOOKUP(A159,RevCHACount!A:A,RevCHACount!B:B)</f>
        <v>0</v>
      </c>
      <c r="J159" s="2">
        <f>_xlfn.XLOOKUP(A159,RevCHACount!A:A,RevCHACount!E:E)</f>
        <v>0</v>
      </c>
      <c r="K159" s="2">
        <f>_xlfn.XLOOKUP(A159,RevLLCCount!A:A,RevLLCCount!B:B,)</f>
        <v>0</v>
      </c>
      <c r="L159" s="2">
        <f>_xlfn.XLOOKUP(A159,RevLLCCount!A:A,RevLLCCount!E:E)</f>
        <v>0</v>
      </c>
      <c r="M159" s="1">
        <f>_xlfn.XLOOKUP(A159,RevCHACount!A:A,RevCHACount!F:F)</f>
        <v>0</v>
      </c>
      <c r="N159" s="1" t="str">
        <f>_xlfn.XLOOKUP(A159,'Other Errors'!A:A,'Other Errors'!B:B,"")</f>
        <v/>
      </c>
      <c r="O159" s="2" t="e">
        <f t="shared" ref="O159:O161" si="18">_xlfn.XLOOKUP(MAX(X159:BH159),X159:BH159,X$3:BH$3)</f>
        <v>#N/A</v>
      </c>
      <c r="P159" s="2" t="e">
        <f t="shared" ref="P159:P161" si="19">_xlfn.XLOOKUP(MAX(BJ159:CO159),BJ159:CO159,BJ$3:CO$3)</f>
        <v>#N/A</v>
      </c>
      <c r="Q159" s="2" t="e">
        <f t="shared" ref="Q159:Q161" si="20">_xlfn.XLOOKUP(MAX(CZ159:DI159),CZ159:DI159,CZ$3:DI$3)</f>
        <v>#N/A</v>
      </c>
      <c r="R159" s="2" t="e">
        <f t="shared" ref="R159:R161" si="21">_xlfn.XLOOKUP(MAX(CQ159:CX159),CQ159:CX159,CQ$3:CX$3)</f>
        <v>#N/A</v>
      </c>
      <c r="S159" s="2" t="str">
        <f t="shared" si="16"/>
        <v/>
      </c>
      <c r="T159" s="2" t="str">
        <f t="shared" si="17"/>
        <v/>
      </c>
      <c r="U159" s="8" t="str" cm="1">
        <f t="array" ref="U159">_xlfn.TEXTJOIN(", ",,_xlfn.UNIQUE(_xlfn._xlws.FILTER(EM$3:FK$3,EM159:FK159&gt;0,"")))</f>
        <v/>
      </c>
    </row>
    <row r="160" spans="3:21" x14ac:dyDescent="0.3">
      <c r="F160" s="2" cm="1">
        <f t="array" ref="F160">COUNTA(_xlfn.UNIQUE(_xlfn._xlws.FILTER(chamca[Run],(chamca[Visual ID]=A160))))</f>
        <v>1</v>
      </c>
      <c r="G160" s="2">
        <f>_xlfn.XLOOKUP(A160,RevCoreCount!A:A,RevCoreCount!B:B,)</f>
        <v>0</v>
      </c>
      <c r="H160" s="2">
        <f>_xlfn.XLOOKUP(A160,RevCoreCount!A:A,RevCoreCount!E:E,)</f>
        <v>0</v>
      </c>
      <c r="I160" s="2">
        <f>_xlfn.XLOOKUP(A160,RevCHACount!A:A,RevCHACount!B:B)</f>
        <v>0</v>
      </c>
      <c r="J160" s="2">
        <f>_xlfn.XLOOKUP(A160,RevCHACount!A:A,RevCHACount!E:E)</f>
        <v>0</v>
      </c>
      <c r="K160" s="2">
        <f>_xlfn.XLOOKUP(A160,RevLLCCount!A:A,RevLLCCount!B:B,)</f>
        <v>0</v>
      </c>
      <c r="L160" s="2">
        <f>_xlfn.XLOOKUP(A160,RevLLCCount!A:A,RevLLCCount!E:E)</f>
        <v>0</v>
      </c>
      <c r="M160" s="1">
        <f>_xlfn.XLOOKUP(A160,RevCHACount!A:A,RevCHACount!F:F)</f>
        <v>0</v>
      </c>
      <c r="N160" s="1" t="str">
        <f>_xlfn.XLOOKUP(A160,'Other Errors'!A:A,'Other Errors'!B:B,"")</f>
        <v/>
      </c>
      <c r="O160" s="2" t="e">
        <f t="shared" si="18"/>
        <v>#N/A</v>
      </c>
      <c r="P160" s="2" t="e">
        <f t="shared" si="19"/>
        <v>#N/A</v>
      </c>
      <c r="Q160" s="2" t="e">
        <f t="shared" si="20"/>
        <v>#N/A</v>
      </c>
      <c r="R160" s="2" t="e">
        <f t="shared" si="21"/>
        <v>#N/A</v>
      </c>
      <c r="S160" s="2" t="str">
        <f t="shared" si="16"/>
        <v/>
      </c>
      <c r="T160" s="2" t="str">
        <f t="shared" si="17"/>
        <v/>
      </c>
      <c r="U160" s="8" t="str" cm="1">
        <f t="array" ref="U160">_xlfn.TEXTJOIN(", ",,_xlfn.UNIQUE(_xlfn._xlws.FILTER(EM$3:FK$3,EM160:FK160&gt;0,"")))</f>
        <v/>
      </c>
    </row>
    <row r="161" spans="6:21" x14ac:dyDescent="0.3">
      <c r="F161" s="2" cm="1">
        <f t="array" ref="F161">COUNTA(_xlfn.UNIQUE(_xlfn._xlws.FILTER(chamca[Run],(chamca[Visual ID]=A161))))</f>
        <v>1</v>
      </c>
      <c r="G161" s="2">
        <f>_xlfn.XLOOKUP(A161,RevCoreCount!A:A,RevCoreCount!B:B,)</f>
        <v>0</v>
      </c>
      <c r="H161" s="2">
        <f>_xlfn.XLOOKUP(A161,RevCoreCount!A:A,RevCoreCount!E:E,)</f>
        <v>0</v>
      </c>
      <c r="I161" s="2">
        <f>_xlfn.XLOOKUP(A161,RevCHACount!A:A,RevCHACount!B:B)</f>
        <v>0</v>
      </c>
      <c r="J161" s="2">
        <f>_xlfn.XLOOKUP(A161,RevCHACount!A:A,RevCHACount!E:E)</f>
        <v>0</v>
      </c>
      <c r="K161" s="2">
        <f>_xlfn.XLOOKUP(A161,RevLLCCount!A:A,RevLLCCount!B:B,)</f>
        <v>0</v>
      </c>
      <c r="L161" s="2">
        <f>_xlfn.XLOOKUP(A161,RevLLCCount!A:A,RevLLCCount!E:E)</f>
        <v>0</v>
      </c>
      <c r="M161" s="1">
        <f>_xlfn.XLOOKUP(A161,RevCHACount!A:A,RevCHACount!F:F)</f>
        <v>0</v>
      </c>
      <c r="N161" s="1" t="str">
        <f>_xlfn.XLOOKUP(A161,'Other Errors'!A:A,'Other Errors'!B:B,"")</f>
        <v/>
      </c>
      <c r="O161" s="2" t="e">
        <f t="shared" si="18"/>
        <v>#N/A</v>
      </c>
      <c r="P161" s="2" t="e">
        <f t="shared" si="19"/>
        <v>#N/A</v>
      </c>
      <c r="Q161" s="2" t="e">
        <f t="shared" si="20"/>
        <v>#N/A</v>
      </c>
      <c r="R161" s="2" t="e">
        <f t="shared" si="21"/>
        <v>#N/A</v>
      </c>
      <c r="S161" s="2" t="str">
        <f t="shared" si="16"/>
        <v/>
      </c>
      <c r="T161" s="2" t="str">
        <f t="shared" si="17"/>
        <v/>
      </c>
      <c r="U161" s="8" t="str" cm="1">
        <f t="array" ref="U161">_xlfn.TEXTJOIN(", ",,_xlfn.UNIQUE(_xlfn._xlws.FILTER(EM$3:FK$3,EM161:FK161&gt;0,"")))</f>
        <v/>
      </c>
    </row>
    <row r="162" spans="6:21" x14ac:dyDescent="0.3">
      <c r="F162" s="2" cm="1">
        <f t="array" ref="F162">COUNTA(_xlfn.UNIQUE(_xlfn._xlws.FILTER(chamca[Run],(chamca[Visual ID]=A162))))</f>
        <v>1</v>
      </c>
      <c r="G162" s="2">
        <f>_xlfn.XLOOKUP(A162,RevCoreCount!A:A,RevCoreCount!B:B,)</f>
        <v>0</v>
      </c>
      <c r="H162" s="2">
        <f>_xlfn.XLOOKUP(A162,RevCoreCount!A:A,RevCoreCount!E:E,)</f>
        <v>0</v>
      </c>
      <c r="I162" s="2">
        <f>_xlfn.XLOOKUP(A162,RevCHACount!A:A,RevCHACount!B:B)</f>
        <v>0</v>
      </c>
      <c r="J162" s="2">
        <f>_xlfn.XLOOKUP(A162,RevCHACount!A:A,RevCHACount!E:E)</f>
        <v>0</v>
      </c>
      <c r="K162" s="2">
        <f>_xlfn.XLOOKUP(A162,RevLLCCount!A:A,RevLLCCount!B:B,)</f>
        <v>0</v>
      </c>
      <c r="L162" s="2">
        <f>_xlfn.XLOOKUP(A162,RevLLCCount!A:A,RevLLCCount!E:E)</f>
        <v>0</v>
      </c>
      <c r="M162" s="1">
        <f>_xlfn.XLOOKUP(A162,RevCHACount!A:A,RevCHACount!F:F)</f>
        <v>0</v>
      </c>
      <c r="N162" s="1" t="str">
        <f>_xlfn.XLOOKUP(A162,'Other Errors'!A:A,'Other Errors'!B:B,"")</f>
        <v/>
      </c>
      <c r="O162" s="2" t="e">
        <f t="shared" ref="O162:O176" si="22">_xlfn.XLOOKUP(MAX(X162:BH162),X162:BH162,X$3:BH$3)</f>
        <v>#N/A</v>
      </c>
      <c r="P162" s="2" t="e">
        <f t="shared" ref="P162:P176" si="23">_xlfn.XLOOKUP(MAX(BJ162:CO162),BJ162:CO162,BJ$3:CO$3)</f>
        <v>#N/A</v>
      </c>
      <c r="Q162" s="2" t="e">
        <f t="shared" ref="Q162:Q176" si="24">_xlfn.XLOOKUP(MAX(CZ162:DI162),CZ162:DI162,CZ$3:DI$3)</f>
        <v>#N/A</v>
      </c>
      <c r="R162" s="2" t="e">
        <f t="shared" ref="R162:R176" si="25">_xlfn.XLOOKUP(MAX(CQ162:CX162),CQ162:CX162,CQ$3:CX$3)</f>
        <v>#N/A</v>
      </c>
      <c r="S162" s="2" t="str">
        <f t="shared" ref="S162:S176" si="26">_xlfn.XLOOKUP(MAX(DK162:EI162),DK162:EI162,DK$3:EI$3,"")</f>
        <v/>
      </c>
      <c r="T162" s="2" t="str">
        <f t="shared" si="17"/>
        <v/>
      </c>
      <c r="U162" s="8" t="str" cm="1">
        <f t="array" ref="U162">_xlfn.TEXTJOIN(", ",,_xlfn.UNIQUE(_xlfn._xlws.FILTER(EM$3:FK$3,EM162:FK162&gt;0,"")))</f>
        <v/>
      </c>
    </row>
    <row r="163" spans="6:21" x14ac:dyDescent="0.3">
      <c r="F163" s="2" cm="1">
        <f t="array" ref="F163">COUNTA(_xlfn.UNIQUE(_xlfn._xlws.FILTER(chamca[Run],(chamca[Visual ID]=A163))))</f>
        <v>1</v>
      </c>
      <c r="G163" s="2">
        <f>_xlfn.XLOOKUP(A163,RevCoreCount!A:A,RevCoreCount!B:B,)</f>
        <v>0</v>
      </c>
      <c r="H163" s="2">
        <f>_xlfn.XLOOKUP(A163,RevCoreCount!A:A,RevCoreCount!E:E,)</f>
        <v>0</v>
      </c>
      <c r="I163" s="2">
        <f>_xlfn.XLOOKUP(A163,RevCHACount!A:A,RevCHACount!B:B)</f>
        <v>0</v>
      </c>
      <c r="J163" s="2">
        <f>_xlfn.XLOOKUP(A163,RevCHACount!A:A,RevCHACount!E:E)</f>
        <v>0</v>
      </c>
      <c r="K163" s="2">
        <f>_xlfn.XLOOKUP(A163,RevLLCCount!A:A,RevLLCCount!B:B,)</f>
        <v>0</v>
      </c>
      <c r="L163" s="2">
        <f>_xlfn.XLOOKUP(A163,RevLLCCount!A:A,RevLLCCount!E:E)</f>
        <v>0</v>
      </c>
      <c r="M163" s="1">
        <f>_xlfn.XLOOKUP(A163,RevCHACount!A:A,RevCHACount!F:F)</f>
        <v>0</v>
      </c>
      <c r="N163" s="1" t="str">
        <f>_xlfn.XLOOKUP(A163,'Other Errors'!A:A,'Other Errors'!B:B,"")</f>
        <v/>
      </c>
      <c r="O163" s="2" t="e">
        <f t="shared" si="22"/>
        <v>#N/A</v>
      </c>
      <c r="P163" s="2" t="e">
        <f t="shared" si="23"/>
        <v>#N/A</v>
      </c>
      <c r="Q163" s="2" t="e">
        <f t="shared" si="24"/>
        <v>#N/A</v>
      </c>
      <c r="R163" s="2" t="e">
        <f t="shared" si="25"/>
        <v>#N/A</v>
      </c>
      <c r="S163" s="2" t="str">
        <f t="shared" si="26"/>
        <v/>
      </c>
      <c r="T163" s="2" t="str">
        <f t="shared" si="17"/>
        <v/>
      </c>
      <c r="U163" s="8" t="str" cm="1">
        <f t="array" ref="U163">_xlfn.TEXTJOIN(", ",,_xlfn.UNIQUE(_xlfn._xlws.FILTER(EM$3:FK$3,EM163:FK163&gt;0,"")))</f>
        <v/>
      </c>
    </row>
    <row r="164" spans="6:21" x14ac:dyDescent="0.3">
      <c r="F164" s="2" cm="1">
        <f t="array" ref="F164">COUNTA(_xlfn.UNIQUE(_xlfn._xlws.FILTER(chamca[Run],(chamca[Visual ID]=A164))))</f>
        <v>1</v>
      </c>
      <c r="G164" s="2">
        <f>_xlfn.XLOOKUP(A164,RevCoreCount!A:A,RevCoreCount!B:B,)</f>
        <v>0</v>
      </c>
      <c r="H164" s="2">
        <f>_xlfn.XLOOKUP(A164,RevCoreCount!A:A,RevCoreCount!E:E,)</f>
        <v>0</v>
      </c>
      <c r="I164" s="2">
        <f>_xlfn.XLOOKUP(A164,RevCHACount!A:A,RevCHACount!B:B)</f>
        <v>0</v>
      </c>
      <c r="J164" s="2">
        <f>_xlfn.XLOOKUP(A164,RevCHACount!A:A,RevCHACount!E:E)</f>
        <v>0</v>
      </c>
      <c r="K164" s="2">
        <f>_xlfn.XLOOKUP(A164,RevLLCCount!A:A,RevLLCCount!B:B,)</f>
        <v>0</v>
      </c>
      <c r="L164" s="2">
        <f>_xlfn.XLOOKUP(A164,RevLLCCount!A:A,RevLLCCount!E:E)</f>
        <v>0</v>
      </c>
      <c r="M164" s="1">
        <f>_xlfn.XLOOKUP(A164,RevCHACount!A:A,RevCHACount!F:F)</f>
        <v>0</v>
      </c>
      <c r="N164" s="1" t="str">
        <f>_xlfn.XLOOKUP(A164,'Other Errors'!A:A,'Other Errors'!B:B,"")</f>
        <v/>
      </c>
      <c r="O164" s="2" t="e">
        <f t="shared" si="22"/>
        <v>#N/A</v>
      </c>
      <c r="P164" s="2" t="e">
        <f t="shared" si="23"/>
        <v>#N/A</v>
      </c>
      <c r="Q164" s="2" t="e">
        <f t="shared" si="24"/>
        <v>#N/A</v>
      </c>
      <c r="R164" s="2" t="e">
        <f t="shared" si="25"/>
        <v>#N/A</v>
      </c>
      <c r="S164" s="2" t="str">
        <f t="shared" si="26"/>
        <v/>
      </c>
      <c r="T164" s="2" t="str">
        <f t="shared" si="17"/>
        <v/>
      </c>
      <c r="U164" s="8" t="str" cm="1">
        <f t="array" ref="U164">_xlfn.TEXTJOIN(", ",,_xlfn.UNIQUE(_xlfn._xlws.FILTER(EM$3:FK$3,EM164:FK164&gt;0,"")))</f>
        <v/>
      </c>
    </row>
    <row r="165" spans="6:21" x14ac:dyDescent="0.3">
      <c r="F165" s="2" cm="1">
        <f t="array" ref="F165">COUNTA(_xlfn.UNIQUE(_xlfn._xlws.FILTER(chamca[Run],(chamca[Visual ID]=A165))))</f>
        <v>1</v>
      </c>
      <c r="G165" s="2">
        <f>_xlfn.XLOOKUP(A165,RevCoreCount!A:A,RevCoreCount!B:B,)</f>
        <v>0</v>
      </c>
      <c r="H165" s="2">
        <f>_xlfn.XLOOKUP(A165,RevCoreCount!A:A,RevCoreCount!E:E,)</f>
        <v>0</v>
      </c>
      <c r="I165" s="2">
        <f>_xlfn.XLOOKUP(A165,RevCHACount!A:A,RevCHACount!B:B)</f>
        <v>0</v>
      </c>
      <c r="J165" s="2">
        <f>_xlfn.XLOOKUP(A165,RevCHACount!A:A,RevCHACount!E:E)</f>
        <v>0</v>
      </c>
      <c r="K165" s="2">
        <f>_xlfn.XLOOKUP(A165,RevLLCCount!A:A,RevLLCCount!B:B,)</f>
        <v>0</v>
      </c>
      <c r="L165" s="2">
        <f>_xlfn.XLOOKUP(A165,RevLLCCount!A:A,RevLLCCount!E:E)</f>
        <v>0</v>
      </c>
      <c r="M165" s="1">
        <f>_xlfn.XLOOKUP(A165,RevCHACount!A:A,RevCHACount!F:F)</f>
        <v>0</v>
      </c>
      <c r="N165" s="1" t="str">
        <f>_xlfn.XLOOKUP(A165,'Other Errors'!A:A,'Other Errors'!B:B,"")</f>
        <v/>
      </c>
      <c r="O165" s="2" t="e">
        <f t="shared" si="22"/>
        <v>#N/A</v>
      </c>
      <c r="P165" s="2" t="e">
        <f t="shared" si="23"/>
        <v>#N/A</v>
      </c>
      <c r="Q165" s="2" t="e">
        <f t="shared" si="24"/>
        <v>#N/A</v>
      </c>
      <c r="R165" s="2" t="e">
        <f t="shared" si="25"/>
        <v>#N/A</v>
      </c>
      <c r="S165" s="2" t="str">
        <f t="shared" si="26"/>
        <v/>
      </c>
      <c r="T165" s="2" t="str">
        <f t="shared" si="17"/>
        <v/>
      </c>
      <c r="U165" s="8" t="str" cm="1">
        <f t="array" ref="U165">_xlfn.TEXTJOIN(", ",,_xlfn.UNIQUE(_xlfn._xlws.FILTER(EM$3:FK$3,EM165:FK165&gt;0,"")))</f>
        <v/>
      </c>
    </row>
    <row r="166" spans="6:21" x14ac:dyDescent="0.3">
      <c r="F166" s="2" cm="1">
        <f t="array" ref="F166">COUNTA(_xlfn.UNIQUE(_xlfn._xlws.FILTER(chamca[Run],(chamca[Visual ID]=A166))))</f>
        <v>1</v>
      </c>
      <c r="G166" s="2">
        <f>_xlfn.XLOOKUP(A166,RevCoreCount!A:A,RevCoreCount!B:B,)</f>
        <v>0</v>
      </c>
      <c r="H166" s="2">
        <f>_xlfn.XLOOKUP(A166,RevCoreCount!A:A,RevCoreCount!E:E,)</f>
        <v>0</v>
      </c>
      <c r="I166" s="2">
        <f>_xlfn.XLOOKUP(A166,RevCHACount!A:A,RevCHACount!B:B)</f>
        <v>0</v>
      </c>
      <c r="J166" s="2">
        <f>_xlfn.XLOOKUP(A166,RevCHACount!A:A,RevCHACount!E:E)</f>
        <v>0</v>
      </c>
      <c r="K166" s="2">
        <f>_xlfn.XLOOKUP(A166,RevLLCCount!A:A,RevLLCCount!B:B,)</f>
        <v>0</v>
      </c>
      <c r="L166" s="2">
        <f>_xlfn.XLOOKUP(A166,RevLLCCount!A:A,RevLLCCount!E:E)</f>
        <v>0</v>
      </c>
      <c r="M166" s="1">
        <f>_xlfn.XLOOKUP(A166,RevCHACount!A:A,RevCHACount!F:F)</f>
        <v>0</v>
      </c>
      <c r="N166" s="1" t="str">
        <f>_xlfn.XLOOKUP(A166,'Other Errors'!A:A,'Other Errors'!B:B,"")</f>
        <v/>
      </c>
      <c r="O166" s="2" t="e">
        <f t="shared" si="22"/>
        <v>#N/A</v>
      </c>
      <c r="P166" s="2" t="e">
        <f t="shared" si="23"/>
        <v>#N/A</v>
      </c>
      <c r="Q166" s="2" t="e">
        <f t="shared" si="24"/>
        <v>#N/A</v>
      </c>
      <c r="R166" s="2" t="e">
        <f t="shared" si="25"/>
        <v>#N/A</v>
      </c>
      <c r="S166" s="2" t="str">
        <f t="shared" si="26"/>
        <v/>
      </c>
      <c r="T166" s="2" t="str">
        <f t="shared" si="17"/>
        <v/>
      </c>
      <c r="U166" s="8" t="str" cm="1">
        <f t="array" ref="U166">_xlfn.TEXTJOIN(", ",,_xlfn.UNIQUE(_xlfn._xlws.FILTER(EM$3:FK$3,EM166:FK166&gt;0,"")))</f>
        <v/>
      </c>
    </row>
    <row r="167" spans="6:21" x14ac:dyDescent="0.3">
      <c r="F167" s="2" cm="1">
        <f t="array" ref="F167">COUNTA(_xlfn.UNIQUE(_xlfn._xlws.FILTER(chamca[Run],(chamca[Visual ID]=A167))))</f>
        <v>1</v>
      </c>
      <c r="G167" s="2">
        <f>_xlfn.XLOOKUP(A167,RevCoreCount!A:A,RevCoreCount!B:B,)</f>
        <v>0</v>
      </c>
      <c r="H167" s="2">
        <f>_xlfn.XLOOKUP(A167,RevCoreCount!A:A,RevCoreCount!E:E,)</f>
        <v>0</v>
      </c>
      <c r="I167" s="2">
        <f>_xlfn.XLOOKUP(A167,RevCHACount!A:A,RevCHACount!B:B)</f>
        <v>0</v>
      </c>
      <c r="J167" s="2">
        <f>_xlfn.XLOOKUP(A167,RevCHACount!A:A,RevCHACount!E:E)</f>
        <v>0</v>
      </c>
      <c r="K167" s="2">
        <f>_xlfn.XLOOKUP(A167,RevLLCCount!A:A,RevLLCCount!B:B,)</f>
        <v>0</v>
      </c>
      <c r="L167" s="2">
        <f>_xlfn.XLOOKUP(A167,RevLLCCount!A:A,RevLLCCount!E:E)</f>
        <v>0</v>
      </c>
      <c r="M167" s="1">
        <f>_xlfn.XLOOKUP(A167,RevCHACount!A:A,RevCHACount!F:F)</f>
        <v>0</v>
      </c>
      <c r="N167" s="1" t="str">
        <f>_xlfn.XLOOKUP(A167,'Other Errors'!A:A,'Other Errors'!B:B,"")</f>
        <v/>
      </c>
      <c r="O167" s="2" t="e">
        <f t="shared" si="22"/>
        <v>#N/A</v>
      </c>
      <c r="P167" s="2" t="e">
        <f t="shared" si="23"/>
        <v>#N/A</v>
      </c>
      <c r="Q167" s="2" t="e">
        <f t="shared" si="24"/>
        <v>#N/A</v>
      </c>
      <c r="R167" s="2" t="e">
        <f t="shared" si="25"/>
        <v>#N/A</v>
      </c>
      <c r="S167" s="2" t="str">
        <f t="shared" si="26"/>
        <v/>
      </c>
      <c r="T167" s="2" t="str">
        <f t="shared" si="17"/>
        <v/>
      </c>
      <c r="U167" s="8" t="str" cm="1">
        <f t="array" ref="U167">_xlfn.TEXTJOIN(", ",,_xlfn.UNIQUE(_xlfn._xlws.FILTER(EM$3:FK$3,EM167:FK167&gt;0,"")))</f>
        <v/>
      </c>
    </row>
    <row r="168" spans="6:21" x14ac:dyDescent="0.3">
      <c r="F168" s="2" cm="1">
        <f t="array" ref="F168">COUNTA(_xlfn.UNIQUE(_xlfn._xlws.FILTER(chamca[Run],(chamca[Visual ID]=A168))))</f>
        <v>1</v>
      </c>
      <c r="G168" s="2">
        <f>_xlfn.XLOOKUP(A168,RevCoreCount!A:A,RevCoreCount!B:B,)</f>
        <v>0</v>
      </c>
      <c r="H168" s="2">
        <f>_xlfn.XLOOKUP(A168,RevCoreCount!A:A,RevCoreCount!E:E,)</f>
        <v>0</v>
      </c>
      <c r="I168" s="2">
        <f>_xlfn.XLOOKUP(A168,RevCHACount!A:A,RevCHACount!B:B)</f>
        <v>0</v>
      </c>
      <c r="J168" s="2">
        <f>_xlfn.XLOOKUP(A168,RevCHACount!A:A,RevCHACount!E:E)</f>
        <v>0</v>
      </c>
      <c r="K168" s="2">
        <f>_xlfn.XLOOKUP(A168,RevLLCCount!A:A,RevLLCCount!B:B,)</f>
        <v>0</v>
      </c>
      <c r="L168" s="2">
        <f>_xlfn.XLOOKUP(A168,RevLLCCount!A:A,RevLLCCount!E:E)</f>
        <v>0</v>
      </c>
      <c r="M168" s="1">
        <f>_xlfn.XLOOKUP(A168,RevCHACount!A:A,RevCHACount!F:F)</f>
        <v>0</v>
      </c>
      <c r="N168" s="1" t="str">
        <f>_xlfn.XLOOKUP(A168,'Other Errors'!A:A,'Other Errors'!B:B,"")</f>
        <v/>
      </c>
      <c r="O168" s="2" t="e">
        <f t="shared" si="22"/>
        <v>#N/A</v>
      </c>
      <c r="P168" s="2" t="e">
        <f t="shared" si="23"/>
        <v>#N/A</v>
      </c>
      <c r="Q168" s="2" t="e">
        <f t="shared" si="24"/>
        <v>#N/A</v>
      </c>
      <c r="R168" s="2" t="e">
        <f t="shared" si="25"/>
        <v>#N/A</v>
      </c>
      <c r="S168" s="2" t="str">
        <f t="shared" si="26"/>
        <v/>
      </c>
      <c r="T168" s="2" t="str">
        <f t="shared" si="17"/>
        <v/>
      </c>
      <c r="U168" s="8" t="str" cm="1">
        <f t="array" ref="U168">_xlfn.TEXTJOIN(", ",,_xlfn.UNIQUE(_xlfn._xlws.FILTER(EM$3:FK$3,EM168:FK168&gt;0,"")))</f>
        <v/>
      </c>
    </row>
    <row r="169" spans="6:21" x14ac:dyDescent="0.3">
      <c r="F169" s="2" cm="1">
        <f t="array" ref="F169">COUNTA(_xlfn.UNIQUE(_xlfn._xlws.FILTER(chamca[Run],(chamca[Visual ID]=A169))))</f>
        <v>1</v>
      </c>
      <c r="G169" s="2">
        <f>_xlfn.XLOOKUP(A169,RevCoreCount!A:A,RevCoreCount!B:B,)</f>
        <v>0</v>
      </c>
      <c r="H169" s="2">
        <f>_xlfn.XLOOKUP(A169,RevCoreCount!A:A,RevCoreCount!E:E,)</f>
        <v>0</v>
      </c>
      <c r="I169" s="2">
        <f>_xlfn.XLOOKUP(A169,RevCHACount!A:A,RevCHACount!B:B)</f>
        <v>0</v>
      </c>
      <c r="J169" s="2">
        <f>_xlfn.XLOOKUP(A169,RevCHACount!A:A,RevCHACount!E:E)</f>
        <v>0</v>
      </c>
      <c r="K169" s="2">
        <f>_xlfn.XLOOKUP(A169,RevLLCCount!A:A,RevLLCCount!B:B,)</f>
        <v>0</v>
      </c>
      <c r="L169" s="2">
        <f>_xlfn.XLOOKUP(A169,RevLLCCount!A:A,RevLLCCount!E:E)</f>
        <v>0</v>
      </c>
      <c r="M169" s="1">
        <f>_xlfn.XLOOKUP(A169,RevCHACount!A:A,RevCHACount!F:F)</f>
        <v>0</v>
      </c>
      <c r="N169" s="1" t="str">
        <f>_xlfn.XLOOKUP(A169,'Other Errors'!A:A,'Other Errors'!B:B,"")</f>
        <v/>
      </c>
      <c r="O169" s="2" t="e">
        <f t="shared" si="22"/>
        <v>#N/A</v>
      </c>
      <c r="P169" s="2" t="e">
        <f t="shared" si="23"/>
        <v>#N/A</v>
      </c>
      <c r="Q169" s="2" t="e">
        <f t="shared" si="24"/>
        <v>#N/A</v>
      </c>
      <c r="R169" s="2" t="e">
        <f t="shared" si="25"/>
        <v>#N/A</v>
      </c>
      <c r="S169" s="2" t="str">
        <f t="shared" si="26"/>
        <v/>
      </c>
      <c r="T169" s="2" t="str">
        <f t="shared" si="17"/>
        <v/>
      </c>
      <c r="U169" s="8" t="str" cm="1">
        <f t="array" ref="U169">_xlfn.TEXTJOIN(", ",,_xlfn.UNIQUE(_xlfn._xlws.FILTER(EM$3:FK$3,EM169:FK169&gt;0,"")))</f>
        <v/>
      </c>
    </row>
    <row r="170" spans="6:21" x14ac:dyDescent="0.3">
      <c r="F170" s="2" cm="1">
        <f t="array" ref="F170">COUNTA(_xlfn.UNIQUE(_xlfn._xlws.FILTER(chamca[Run],(chamca[Visual ID]=A170))))</f>
        <v>1</v>
      </c>
      <c r="G170" s="2">
        <f>_xlfn.XLOOKUP(A170,RevCoreCount!A:A,RevCoreCount!B:B,)</f>
        <v>0</v>
      </c>
      <c r="H170" s="2">
        <f>_xlfn.XLOOKUP(A170,RevCoreCount!A:A,RevCoreCount!E:E,)</f>
        <v>0</v>
      </c>
      <c r="I170" s="2">
        <f>_xlfn.XLOOKUP(A170,RevCHACount!A:A,RevCHACount!B:B)</f>
        <v>0</v>
      </c>
      <c r="J170" s="2">
        <f>_xlfn.XLOOKUP(A170,RevCHACount!A:A,RevCHACount!E:E)</f>
        <v>0</v>
      </c>
      <c r="K170" s="2">
        <f>_xlfn.XLOOKUP(A170,RevLLCCount!A:A,RevLLCCount!B:B,)</f>
        <v>0</v>
      </c>
      <c r="L170" s="2">
        <f>_xlfn.XLOOKUP(A170,RevLLCCount!A:A,RevLLCCount!E:E)</f>
        <v>0</v>
      </c>
      <c r="M170" s="1">
        <f>_xlfn.XLOOKUP(A170,RevCHACount!A:A,RevCHACount!F:F)</f>
        <v>0</v>
      </c>
      <c r="N170" s="1" t="str">
        <f>_xlfn.XLOOKUP(A170,'Other Errors'!A:A,'Other Errors'!B:B,"")</f>
        <v/>
      </c>
      <c r="O170" s="2" t="e">
        <f t="shared" si="22"/>
        <v>#N/A</v>
      </c>
      <c r="P170" s="2" t="e">
        <f t="shared" si="23"/>
        <v>#N/A</v>
      </c>
      <c r="Q170" s="2" t="e">
        <f t="shared" si="24"/>
        <v>#N/A</v>
      </c>
      <c r="R170" s="2" t="e">
        <f t="shared" si="25"/>
        <v>#N/A</v>
      </c>
      <c r="S170" s="2" t="str">
        <f t="shared" si="26"/>
        <v/>
      </c>
      <c r="T170" s="2" t="str">
        <f t="shared" si="17"/>
        <v/>
      </c>
      <c r="U170" s="8" t="str" cm="1">
        <f t="array" ref="U170">_xlfn.TEXTJOIN(", ",,_xlfn.UNIQUE(_xlfn._xlws.FILTER(EM$3:FK$3,EM170:FK170&gt;0,"")))</f>
        <v/>
      </c>
    </row>
    <row r="171" spans="6:21" x14ac:dyDescent="0.3">
      <c r="F171" s="2" cm="1">
        <f t="array" ref="F171">COUNTA(_xlfn.UNIQUE(_xlfn._xlws.FILTER(chamca[Run],(chamca[Visual ID]=A171))))</f>
        <v>1</v>
      </c>
      <c r="G171" s="2">
        <f>_xlfn.XLOOKUP(A171,RevCoreCount!A:A,RevCoreCount!B:B,)</f>
        <v>0</v>
      </c>
      <c r="H171" s="2">
        <f>_xlfn.XLOOKUP(A171,RevCoreCount!A:A,RevCoreCount!E:E,)</f>
        <v>0</v>
      </c>
      <c r="I171" s="2">
        <f>_xlfn.XLOOKUP(A171,RevCHACount!A:A,RevCHACount!B:B)</f>
        <v>0</v>
      </c>
      <c r="J171" s="2">
        <f>_xlfn.XLOOKUP(A171,RevCHACount!A:A,RevCHACount!E:E)</f>
        <v>0</v>
      </c>
      <c r="K171" s="2">
        <f>_xlfn.XLOOKUP(A171,RevLLCCount!A:A,RevLLCCount!B:B,)</f>
        <v>0</v>
      </c>
      <c r="L171" s="2">
        <f>_xlfn.XLOOKUP(A171,RevLLCCount!A:A,RevLLCCount!E:E)</f>
        <v>0</v>
      </c>
      <c r="M171" s="1">
        <f>_xlfn.XLOOKUP(A171,RevCHACount!A:A,RevCHACount!F:F)</f>
        <v>0</v>
      </c>
      <c r="N171" s="1" t="str">
        <f>_xlfn.XLOOKUP(A171,'Other Errors'!A:A,'Other Errors'!B:B,"")</f>
        <v/>
      </c>
      <c r="O171" s="2" t="e">
        <f t="shared" si="22"/>
        <v>#N/A</v>
      </c>
      <c r="P171" s="2" t="e">
        <f t="shared" si="23"/>
        <v>#N/A</v>
      </c>
      <c r="Q171" s="2" t="e">
        <f t="shared" si="24"/>
        <v>#N/A</v>
      </c>
      <c r="R171" s="2" t="e">
        <f t="shared" si="25"/>
        <v>#N/A</v>
      </c>
      <c r="S171" s="2" t="str">
        <f t="shared" si="26"/>
        <v/>
      </c>
      <c r="T171" s="2" t="str">
        <f t="shared" si="17"/>
        <v/>
      </c>
      <c r="U171" s="8" t="str" cm="1">
        <f t="array" ref="U171">_xlfn.TEXTJOIN(", ",,_xlfn.UNIQUE(_xlfn._xlws.FILTER(EM$3:FK$3,EM171:FK171&gt;0,"")))</f>
        <v/>
      </c>
    </row>
    <row r="172" spans="6:21" x14ac:dyDescent="0.3">
      <c r="F172" s="2" cm="1">
        <f t="array" ref="F172">COUNTA(_xlfn.UNIQUE(_xlfn._xlws.FILTER(chamca[Run],(chamca[Visual ID]=A172))))</f>
        <v>1</v>
      </c>
      <c r="G172" s="2">
        <f>_xlfn.XLOOKUP(A172,RevCoreCount!A:A,RevCoreCount!B:B,)</f>
        <v>0</v>
      </c>
      <c r="H172" s="2">
        <f>_xlfn.XLOOKUP(A172,RevCoreCount!A:A,RevCoreCount!E:E,)</f>
        <v>0</v>
      </c>
      <c r="I172" s="2">
        <f>_xlfn.XLOOKUP(A172,RevCHACount!A:A,RevCHACount!B:B)</f>
        <v>0</v>
      </c>
      <c r="J172" s="2">
        <f>_xlfn.XLOOKUP(A172,RevCHACount!A:A,RevCHACount!E:E)</f>
        <v>0</v>
      </c>
      <c r="K172" s="2">
        <f>_xlfn.XLOOKUP(A172,RevLLCCount!A:A,RevLLCCount!B:B,)</f>
        <v>0</v>
      </c>
      <c r="L172" s="2">
        <f>_xlfn.XLOOKUP(A172,RevLLCCount!A:A,RevLLCCount!E:E)</f>
        <v>0</v>
      </c>
      <c r="M172" s="1">
        <f>_xlfn.XLOOKUP(A172,RevCHACount!A:A,RevCHACount!F:F)</f>
        <v>0</v>
      </c>
      <c r="N172" s="1" t="str">
        <f>_xlfn.XLOOKUP(A172,'Other Errors'!A:A,'Other Errors'!B:B,"")</f>
        <v/>
      </c>
      <c r="O172" s="2" t="e">
        <f t="shared" si="22"/>
        <v>#N/A</v>
      </c>
      <c r="P172" s="2" t="e">
        <f t="shared" si="23"/>
        <v>#N/A</v>
      </c>
      <c r="Q172" s="2" t="e">
        <f t="shared" si="24"/>
        <v>#N/A</v>
      </c>
      <c r="R172" s="2" t="e">
        <f t="shared" si="25"/>
        <v>#N/A</v>
      </c>
      <c r="S172" s="2" t="str">
        <f t="shared" si="26"/>
        <v/>
      </c>
      <c r="T172" s="2" t="str">
        <f t="shared" si="17"/>
        <v/>
      </c>
      <c r="U172" s="8" t="str" cm="1">
        <f t="array" ref="U172">_xlfn.TEXTJOIN(", ",,_xlfn.UNIQUE(_xlfn._xlws.FILTER(EM$3:FK$3,EM172:FK172&gt;0,"")))</f>
        <v/>
      </c>
    </row>
    <row r="173" spans="6:21" x14ac:dyDescent="0.3">
      <c r="F173" s="2" cm="1">
        <f t="array" ref="F173">COUNTA(_xlfn.UNIQUE(_xlfn._xlws.FILTER(chamca[Run],(chamca[Visual ID]=A173))))</f>
        <v>1</v>
      </c>
      <c r="G173" s="2">
        <f>_xlfn.XLOOKUP(A173,RevCoreCount!A:A,RevCoreCount!B:B,)</f>
        <v>0</v>
      </c>
      <c r="H173" s="2">
        <f>_xlfn.XLOOKUP(A173,RevCoreCount!A:A,RevCoreCount!E:E,)</f>
        <v>0</v>
      </c>
      <c r="I173" s="2">
        <f>_xlfn.XLOOKUP(A173,RevCHACount!A:A,RevCHACount!B:B)</f>
        <v>0</v>
      </c>
      <c r="J173" s="2">
        <f>_xlfn.XLOOKUP(A173,RevCHACount!A:A,RevCHACount!E:E)</f>
        <v>0</v>
      </c>
      <c r="K173" s="2">
        <f>_xlfn.XLOOKUP(A173,RevLLCCount!A:A,RevLLCCount!B:B,)</f>
        <v>0</v>
      </c>
      <c r="L173" s="2">
        <f>_xlfn.XLOOKUP(A173,RevLLCCount!A:A,RevLLCCount!E:E)</f>
        <v>0</v>
      </c>
      <c r="M173" s="1">
        <f>_xlfn.XLOOKUP(A173,RevCHACount!A:A,RevCHACount!F:F)</f>
        <v>0</v>
      </c>
      <c r="N173" s="1" t="str">
        <f>_xlfn.XLOOKUP(A173,'Other Errors'!A:A,'Other Errors'!B:B,"")</f>
        <v/>
      </c>
      <c r="O173" s="2" t="e">
        <f t="shared" si="22"/>
        <v>#N/A</v>
      </c>
      <c r="P173" s="2" t="e">
        <f t="shared" si="23"/>
        <v>#N/A</v>
      </c>
      <c r="Q173" s="2" t="e">
        <f t="shared" si="24"/>
        <v>#N/A</v>
      </c>
      <c r="R173" s="2" t="e">
        <f t="shared" si="25"/>
        <v>#N/A</v>
      </c>
      <c r="S173" s="2" t="str">
        <f t="shared" si="26"/>
        <v/>
      </c>
      <c r="T173" s="2" t="str">
        <f t="shared" si="17"/>
        <v/>
      </c>
      <c r="U173" s="8" t="str" cm="1">
        <f t="array" ref="U173">_xlfn.TEXTJOIN(", ",,_xlfn.UNIQUE(_xlfn._xlws.FILTER(EM$3:FK$3,EM173:FK173&gt;0,"")))</f>
        <v/>
      </c>
    </row>
    <row r="174" spans="6:21" x14ac:dyDescent="0.3">
      <c r="F174" s="2" cm="1">
        <f t="array" ref="F174">COUNTA(_xlfn.UNIQUE(_xlfn._xlws.FILTER(chamca[Run],(chamca[Visual ID]=A174))))</f>
        <v>1</v>
      </c>
      <c r="G174" s="2">
        <f>_xlfn.XLOOKUP(A174,RevCoreCount!A:A,RevCoreCount!B:B,)</f>
        <v>0</v>
      </c>
      <c r="H174" s="2">
        <f>_xlfn.XLOOKUP(A174,RevCoreCount!A:A,RevCoreCount!E:E,)</f>
        <v>0</v>
      </c>
      <c r="I174" s="2">
        <f>_xlfn.XLOOKUP(A174,RevCHACount!A:A,RevCHACount!B:B)</f>
        <v>0</v>
      </c>
      <c r="J174" s="2">
        <f>_xlfn.XLOOKUP(A174,RevCHACount!A:A,RevCHACount!E:E)</f>
        <v>0</v>
      </c>
      <c r="K174" s="2">
        <f>_xlfn.XLOOKUP(A174,RevLLCCount!A:A,RevLLCCount!B:B,)</f>
        <v>0</v>
      </c>
      <c r="L174" s="2">
        <f>_xlfn.XLOOKUP(A174,RevLLCCount!A:A,RevLLCCount!E:E)</f>
        <v>0</v>
      </c>
      <c r="M174" s="1">
        <f>_xlfn.XLOOKUP(A174,RevCHACount!A:A,RevCHACount!F:F)</f>
        <v>0</v>
      </c>
      <c r="N174" s="1" t="str">
        <f>_xlfn.XLOOKUP(A174,'Other Errors'!A:A,'Other Errors'!B:B,"")</f>
        <v/>
      </c>
      <c r="O174" s="2" t="e">
        <f t="shared" si="22"/>
        <v>#N/A</v>
      </c>
      <c r="P174" s="2" t="e">
        <f t="shared" si="23"/>
        <v>#N/A</v>
      </c>
      <c r="Q174" s="2" t="e">
        <f t="shared" si="24"/>
        <v>#N/A</v>
      </c>
      <c r="R174" s="2" t="e">
        <f t="shared" si="25"/>
        <v>#N/A</v>
      </c>
      <c r="S174" s="2" t="str">
        <f t="shared" si="26"/>
        <v/>
      </c>
      <c r="T174" s="2" t="str">
        <f t="shared" si="17"/>
        <v/>
      </c>
      <c r="U174" s="8" t="str" cm="1">
        <f t="array" ref="U174">_xlfn.TEXTJOIN(", ",,_xlfn.UNIQUE(_xlfn._xlws.FILTER(EM$3:FK$3,EM174:FK174&gt;0,"")))</f>
        <v/>
      </c>
    </row>
    <row r="175" spans="6:21" x14ac:dyDescent="0.3">
      <c r="F175" s="2" cm="1">
        <f t="array" ref="F175">COUNTA(_xlfn.UNIQUE(_xlfn._xlws.FILTER(chamca[Run],(chamca[Visual ID]=A175))))</f>
        <v>1</v>
      </c>
      <c r="G175" s="2">
        <f>_xlfn.XLOOKUP(A175,RevCoreCount!A:A,RevCoreCount!B:B,)</f>
        <v>0</v>
      </c>
      <c r="H175" s="2">
        <f>_xlfn.XLOOKUP(A175,RevCoreCount!A:A,RevCoreCount!E:E,)</f>
        <v>0</v>
      </c>
      <c r="I175" s="2">
        <f>_xlfn.XLOOKUP(A175,RevCHACount!A:A,RevCHACount!B:B)</f>
        <v>0</v>
      </c>
      <c r="J175" s="2">
        <f>_xlfn.XLOOKUP(A175,RevCHACount!A:A,RevCHACount!E:E)</f>
        <v>0</v>
      </c>
      <c r="K175" s="2">
        <f>_xlfn.XLOOKUP(A175,RevLLCCount!A:A,RevLLCCount!B:B,)</f>
        <v>0</v>
      </c>
      <c r="L175" s="2">
        <f>_xlfn.XLOOKUP(A175,RevLLCCount!A:A,RevLLCCount!E:E)</f>
        <v>0</v>
      </c>
      <c r="M175" s="1">
        <f>_xlfn.XLOOKUP(A175,RevCHACount!A:A,RevCHACount!F:F)</f>
        <v>0</v>
      </c>
      <c r="N175" s="1" t="str">
        <f>_xlfn.XLOOKUP(A175,'Other Errors'!A:A,'Other Errors'!B:B,"")</f>
        <v/>
      </c>
      <c r="O175" s="2" t="e">
        <f t="shared" si="22"/>
        <v>#N/A</v>
      </c>
      <c r="P175" s="2" t="e">
        <f t="shared" si="23"/>
        <v>#N/A</v>
      </c>
      <c r="Q175" s="2" t="e">
        <f t="shared" si="24"/>
        <v>#N/A</v>
      </c>
      <c r="R175" s="2" t="e">
        <f t="shared" si="25"/>
        <v>#N/A</v>
      </c>
      <c r="S175" s="2" t="str">
        <f t="shared" si="26"/>
        <v/>
      </c>
      <c r="T175" s="2" t="str">
        <f t="shared" si="17"/>
        <v/>
      </c>
      <c r="U175" s="8" t="str" cm="1">
        <f t="array" ref="U175">_xlfn.TEXTJOIN(", ",,_xlfn.UNIQUE(_xlfn._xlws.FILTER(EM$3:FK$3,EM175:FK175&gt;0,"")))</f>
        <v/>
      </c>
    </row>
    <row r="176" spans="6:21" x14ac:dyDescent="0.3">
      <c r="F176" s="2" cm="1">
        <f t="array" ref="F176">COUNTA(_xlfn.UNIQUE(_xlfn._xlws.FILTER(chamca[Run],(chamca[Visual ID]=A176))))</f>
        <v>1</v>
      </c>
      <c r="G176" s="2">
        <f>_xlfn.XLOOKUP(A176,RevCoreCount!A:A,RevCoreCount!B:B,)</f>
        <v>0</v>
      </c>
      <c r="H176" s="2">
        <f>_xlfn.XLOOKUP(A176,RevCoreCount!A:A,RevCoreCount!E:E,)</f>
        <v>0</v>
      </c>
      <c r="I176" s="2">
        <f>_xlfn.XLOOKUP(A176,RevCHACount!A:A,RevCHACount!B:B)</f>
        <v>0</v>
      </c>
      <c r="J176" s="2">
        <f>_xlfn.XLOOKUP(A176,RevCHACount!A:A,RevCHACount!E:E)</f>
        <v>0</v>
      </c>
      <c r="K176" s="2">
        <f>_xlfn.XLOOKUP(A176,RevLLCCount!A:A,RevLLCCount!B:B,)</f>
        <v>0</v>
      </c>
      <c r="L176" s="2">
        <f>_xlfn.XLOOKUP(A176,RevLLCCount!A:A,RevLLCCount!E:E)</f>
        <v>0</v>
      </c>
      <c r="M176" s="1">
        <f>_xlfn.XLOOKUP(A176,RevCHACount!A:A,RevCHACount!F:F)</f>
        <v>0</v>
      </c>
      <c r="N176" s="1" t="str">
        <f>_xlfn.XLOOKUP(A176,'Other Errors'!A:A,'Other Errors'!B:B,"")</f>
        <v/>
      </c>
      <c r="O176" s="2" t="e">
        <f t="shared" si="22"/>
        <v>#N/A</v>
      </c>
      <c r="P176" s="2" t="e">
        <f t="shared" si="23"/>
        <v>#N/A</v>
      </c>
      <c r="Q176" s="2" t="e">
        <f t="shared" si="24"/>
        <v>#N/A</v>
      </c>
      <c r="R176" s="2" t="e">
        <f t="shared" si="25"/>
        <v>#N/A</v>
      </c>
      <c r="S176" s="2" t="str">
        <f t="shared" si="26"/>
        <v/>
      </c>
      <c r="T176" s="2" t="str">
        <f t="shared" si="17"/>
        <v/>
      </c>
      <c r="U176" s="8" t="str" cm="1">
        <f t="array" ref="U176">_xlfn.TEXTJOIN(", ",,_xlfn.UNIQUE(_xlfn._xlws.FILTER(EM$3:FK$3,EM176:FK176&gt;0,"")))</f>
        <v/>
      </c>
    </row>
    <row r="177" spans="6:21" x14ac:dyDescent="0.3">
      <c r="F177" s="2" cm="1">
        <f t="array" ref="F177">COUNTA(_xlfn.UNIQUE(_xlfn._xlws.FILTER(chamca[Run],(chamca[Visual ID]=A177))))</f>
        <v>1</v>
      </c>
      <c r="G177" s="2">
        <f>_xlfn.XLOOKUP(A177,RevCoreCount!A:A,RevCoreCount!B:B,)</f>
        <v>0</v>
      </c>
      <c r="H177" s="2">
        <f>_xlfn.XLOOKUP(A177,RevCoreCount!A:A,RevCoreCount!E:E,)</f>
        <v>0</v>
      </c>
      <c r="I177" s="2">
        <f>_xlfn.XLOOKUP(A177,RevCHACount!A:A,RevCHACount!B:B)</f>
        <v>0</v>
      </c>
      <c r="J177" s="2">
        <f>_xlfn.XLOOKUP(A177,RevCHACount!A:A,RevCHACount!E:E)</f>
        <v>0</v>
      </c>
      <c r="K177" s="2">
        <f>_xlfn.XLOOKUP(A177,RevLLCCount!A:A,RevLLCCount!B:B,)</f>
        <v>0</v>
      </c>
      <c r="L177" s="2">
        <f>_xlfn.XLOOKUP(A177,RevLLCCount!A:A,RevLLCCount!E:E)</f>
        <v>0</v>
      </c>
      <c r="M177" s="1">
        <f>_xlfn.XLOOKUP(A177,RevCHACount!A:A,RevCHACount!F:F)</f>
        <v>0</v>
      </c>
      <c r="N177" s="1" t="str">
        <f>_xlfn.XLOOKUP(A177,'Other Errors'!A:A,'Other Errors'!B:B,"")</f>
        <v/>
      </c>
      <c r="O177" s="2" t="e">
        <f t="shared" ref="O177:O187" si="27">_xlfn.XLOOKUP(MAX(X177:BH177),X177:BH177,X$3:BH$3)</f>
        <v>#N/A</v>
      </c>
      <c r="P177" s="2" t="e">
        <f t="shared" ref="P177:P187" si="28">_xlfn.XLOOKUP(MAX(BJ177:CO177),BJ177:CO177,BJ$3:CO$3)</f>
        <v>#N/A</v>
      </c>
      <c r="Q177" s="2" t="e">
        <f t="shared" ref="Q177:Q187" si="29">_xlfn.XLOOKUP(MAX(CZ177:DI177),CZ177:DI177,CZ$3:DI$3)</f>
        <v>#N/A</v>
      </c>
      <c r="R177" s="2" t="e">
        <f t="shared" ref="R177:R187" si="30">_xlfn.XLOOKUP(MAX(CQ177:CX177),CQ177:CX177,CQ$3:CX$3)</f>
        <v>#N/A</v>
      </c>
      <c r="S177" s="2" t="str">
        <f t="shared" ref="S177:S187" si="31">_xlfn.XLOOKUP(MAX(DK177:EI177),DK177:EI177,DK$3:EI$3,"")</f>
        <v/>
      </c>
      <c r="T177" s="2" t="str">
        <f t="shared" si="17"/>
        <v/>
      </c>
      <c r="U177" s="8" t="str" cm="1">
        <f t="array" ref="U177">_xlfn.TEXTJOIN(", ",,_xlfn.UNIQUE(_xlfn._xlws.FILTER(EM$3:FK$3,EM177:FK177&gt;0,"")))</f>
        <v/>
      </c>
    </row>
    <row r="178" spans="6:21" x14ac:dyDescent="0.3">
      <c r="F178" s="2" cm="1">
        <f t="array" ref="F178">COUNTA(_xlfn.UNIQUE(_xlfn._xlws.FILTER(chamca[Run],(chamca[Visual ID]=A178))))</f>
        <v>1</v>
      </c>
      <c r="G178" s="2">
        <f>_xlfn.XLOOKUP(A178,RevCoreCount!A:A,RevCoreCount!B:B,)</f>
        <v>0</v>
      </c>
      <c r="H178" s="2">
        <f>_xlfn.XLOOKUP(A178,RevCoreCount!A:A,RevCoreCount!E:E,)</f>
        <v>0</v>
      </c>
      <c r="I178" s="2">
        <f>_xlfn.XLOOKUP(A178,RevCHACount!A:A,RevCHACount!B:B)</f>
        <v>0</v>
      </c>
      <c r="J178" s="2">
        <f>_xlfn.XLOOKUP(A178,RevCHACount!A:A,RevCHACount!E:E)</f>
        <v>0</v>
      </c>
      <c r="K178" s="2">
        <f>_xlfn.XLOOKUP(A178,RevLLCCount!A:A,RevLLCCount!B:B,)</f>
        <v>0</v>
      </c>
      <c r="L178" s="2">
        <f>_xlfn.XLOOKUP(A178,RevLLCCount!A:A,RevLLCCount!E:E)</f>
        <v>0</v>
      </c>
      <c r="M178" s="1">
        <f>_xlfn.XLOOKUP(A178,RevCHACount!A:A,RevCHACount!F:F)</f>
        <v>0</v>
      </c>
      <c r="N178" s="1" t="str">
        <f>_xlfn.XLOOKUP(A178,'Other Errors'!A:A,'Other Errors'!B:B,"")</f>
        <v/>
      </c>
      <c r="O178" s="2" t="e">
        <f t="shared" si="27"/>
        <v>#N/A</v>
      </c>
      <c r="P178" s="2" t="e">
        <f t="shared" si="28"/>
        <v>#N/A</v>
      </c>
      <c r="Q178" s="2" t="e">
        <f t="shared" si="29"/>
        <v>#N/A</v>
      </c>
      <c r="R178" s="2" t="e">
        <f t="shared" si="30"/>
        <v>#N/A</v>
      </c>
      <c r="S178" s="2" t="str">
        <f t="shared" si="31"/>
        <v/>
      </c>
      <c r="T178" s="2" t="str">
        <f t="shared" si="17"/>
        <v/>
      </c>
      <c r="U178" s="8" t="str" cm="1">
        <f t="array" ref="U178">_xlfn.TEXTJOIN(", ",,_xlfn.UNIQUE(_xlfn._xlws.FILTER(EM$3:FK$3,EM178:FK178&gt;0,"")))</f>
        <v/>
      </c>
    </row>
    <row r="179" spans="6:21" x14ac:dyDescent="0.3">
      <c r="F179" s="2" cm="1">
        <f t="array" ref="F179">COUNTA(_xlfn.UNIQUE(_xlfn._xlws.FILTER(chamca[Run],(chamca[Visual ID]=A179))))</f>
        <v>1</v>
      </c>
      <c r="G179" s="2">
        <f>_xlfn.XLOOKUP(A179,RevCoreCount!A:A,RevCoreCount!B:B,)</f>
        <v>0</v>
      </c>
      <c r="H179" s="2">
        <f>_xlfn.XLOOKUP(A179,RevCoreCount!A:A,RevCoreCount!E:E,)</f>
        <v>0</v>
      </c>
      <c r="I179" s="2">
        <f>_xlfn.XLOOKUP(A179,RevCHACount!A:A,RevCHACount!B:B)</f>
        <v>0</v>
      </c>
      <c r="J179" s="2">
        <f>_xlfn.XLOOKUP(A179,RevCHACount!A:A,RevCHACount!E:E)</f>
        <v>0</v>
      </c>
      <c r="K179" s="2">
        <f>_xlfn.XLOOKUP(A179,RevLLCCount!A:A,RevLLCCount!B:B,)</f>
        <v>0</v>
      </c>
      <c r="L179" s="2">
        <f>_xlfn.XLOOKUP(A179,RevLLCCount!A:A,RevLLCCount!E:E)</f>
        <v>0</v>
      </c>
      <c r="M179" s="1">
        <f>_xlfn.XLOOKUP(A179,RevCHACount!A:A,RevCHACount!F:F)</f>
        <v>0</v>
      </c>
      <c r="N179" s="1" t="str">
        <f>_xlfn.XLOOKUP(A179,'Other Errors'!A:A,'Other Errors'!B:B,"")</f>
        <v/>
      </c>
      <c r="O179" s="2" t="e">
        <f t="shared" si="27"/>
        <v>#N/A</v>
      </c>
      <c r="P179" s="2" t="e">
        <f t="shared" si="28"/>
        <v>#N/A</v>
      </c>
      <c r="Q179" s="2" t="e">
        <f t="shared" si="29"/>
        <v>#N/A</v>
      </c>
      <c r="R179" s="2" t="e">
        <f t="shared" si="30"/>
        <v>#N/A</v>
      </c>
      <c r="S179" s="2" t="str">
        <f t="shared" si="31"/>
        <v/>
      </c>
      <c r="T179" s="2" t="str">
        <f t="shared" si="17"/>
        <v/>
      </c>
      <c r="U179" s="8" t="str" cm="1">
        <f t="array" ref="U179">_xlfn.TEXTJOIN(", ",,_xlfn.UNIQUE(_xlfn._xlws.FILTER(EM$3:FK$3,EM179:FK179&gt;0,"")))</f>
        <v/>
      </c>
    </row>
    <row r="180" spans="6:21" x14ac:dyDescent="0.3">
      <c r="F180" s="2" cm="1">
        <f t="array" ref="F180">COUNTA(_xlfn.UNIQUE(_xlfn._xlws.FILTER(chamca[Run],(chamca[Visual ID]=A180))))</f>
        <v>1</v>
      </c>
      <c r="G180" s="2">
        <f>_xlfn.XLOOKUP(A180,RevCoreCount!A:A,RevCoreCount!B:B,)</f>
        <v>0</v>
      </c>
      <c r="H180" s="2">
        <f>_xlfn.XLOOKUP(A180,RevCoreCount!A:A,RevCoreCount!E:E,)</f>
        <v>0</v>
      </c>
      <c r="I180" s="2">
        <f>_xlfn.XLOOKUP(A180,RevCHACount!A:A,RevCHACount!B:B)</f>
        <v>0</v>
      </c>
      <c r="J180" s="2">
        <f>_xlfn.XLOOKUP(A180,RevCHACount!A:A,RevCHACount!E:E)</f>
        <v>0</v>
      </c>
      <c r="K180" s="2">
        <f>_xlfn.XLOOKUP(A180,RevLLCCount!A:A,RevLLCCount!B:B,)</f>
        <v>0</v>
      </c>
      <c r="L180" s="2">
        <f>_xlfn.XLOOKUP(A180,RevLLCCount!A:A,RevLLCCount!E:E)</f>
        <v>0</v>
      </c>
      <c r="M180" s="1">
        <f>_xlfn.XLOOKUP(A180,RevCHACount!A:A,RevCHACount!F:F)</f>
        <v>0</v>
      </c>
      <c r="N180" s="1" t="str">
        <f>_xlfn.XLOOKUP(A180,'Other Errors'!A:A,'Other Errors'!B:B,"")</f>
        <v/>
      </c>
      <c r="O180" s="2" t="e">
        <f t="shared" si="27"/>
        <v>#N/A</v>
      </c>
      <c r="P180" s="2" t="e">
        <f t="shared" si="28"/>
        <v>#N/A</v>
      </c>
      <c r="Q180" s="2" t="e">
        <f t="shared" si="29"/>
        <v>#N/A</v>
      </c>
      <c r="R180" s="2" t="e">
        <f t="shared" si="30"/>
        <v>#N/A</v>
      </c>
      <c r="S180" s="2" t="str">
        <f t="shared" si="31"/>
        <v/>
      </c>
      <c r="T180" s="2" t="str">
        <f t="shared" si="17"/>
        <v/>
      </c>
      <c r="U180" s="8" t="str" cm="1">
        <f t="array" ref="U180">_xlfn.TEXTJOIN(", ",,_xlfn.UNIQUE(_xlfn._xlws.FILTER(EM$3:FK$3,EM180:FK180&gt;0,"")))</f>
        <v/>
      </c>
    </row>
    <row r="181" spans="6:21" x14ac:dyDescent="0.3">
      <c r="F181" s="2" cm="1">
        <f t="array" ref="F181">COUNTA(_xlfn.UNIQUE(_xlfn._xlws.FILTER(chamca[Run],(chamca[Visual ID]=A181))))</f>
        <v>1</v>
      </c>
      <c r="G181" s="2">
        <f>_xlfn.XLOOKUP(A181,RevCoreCount!A:A,RevCoreCount!B:B,)</f>
        <v>0</v>
      </c>
      <c r="H181" s="2">
        <f>_xlfn.XLOOKUP(A181,RevCoreCount!A:A,RevCoreCount!E:E,)</f>
        <v>0</v>
      </c>
      <c r="I181" s="2">
        <f>_xlfn.XLOOKUP(A181,RevCHACount!A:A,RevCHACount!B:B)</f>
        <v>0</v>
      </c>
      <c r="J181" s="2">
        <f>_xlfn.XLOOKUP(A181,RevCHACount!A:A,RevCHACount!E:E)</f>
        <v>0</v>
      </c>
      <c r="K181" s="2">
        <f>_xlfn.XLOOKUP(A181,RevLLCCount!A:A,RevLLCCount!B:B,)</f>
        <v>0</v>
      </c>
      <c r="L181" s="2">
        <f>_xlfn.XLOOKUP(A181,RevLLCCount!A:A,RevLLCCount!E:E)</f>
        <v>0</v>
      </c>
      <c r="M181" s="1">
        <f>_xlfn.XLOOKUP(A181,RevCHACount!A:A,RevCHACount!F:F)</f>
        <v>0</v>
      </c>
      <c r="N181" s="1" t="str">
        <f>_xlfn.XLOOKUP(A181,'Other Errors'!A:A,'Other Errors'!B:B,"")</f>
        <v/>
      </c>
      <c r="O181" s="2" t="e">
        <f t="shared" si="27"/>
        <v>#N/A</v>
      </c>
      <c r="P181" s="2" t="e">
        <f t="shared" si="28"/>
        <v>#N/A</v>
      </c>
      <c r="Q181" s="2" t="e">
        <f t="shared" si="29"/>
        <v>#N/A</v>
      </c>
      <c r="R181" s="2" t="e">
        <f t="shared" si="30"/>
        <v>#N/A</v>
      </c>
      <c r="S181" s="2" t="str">
        <f t="shared" si="31"/>
        <v/>
      </c>
      <c r="T181" s="2" t="str">
        <f t="shared" si="17"/>
        <v/>
      </c>
      <c r="U181" s="8" t="str" cm="1">
        <f t="array" ref="U181">_xlfn.TEXTJOIN(", ",,_xlfn.UNIQUE(_xlfn._xlws.FILTER(EM$3:FK$3,EM181:FK181&gt;0,"")))</f>
        <v/>
      </c>
    </row>
    <row r="182" spans="6:21" x14ac:dyDescent="0.3">
      <c r="F182" s="2" cm="1">
        <f t="array" ref="F182">COUNTA(_xlfn.UNIQUE(_xlfn._xlws.FILTER(chamca[Run],(chamca[Visual ID]=A182))))</f>
        <v>1</v>
      </c>
      <c r="G182" s="2">
        <f>_xlfn.XLOOKUP(A182,RevCoreCount!A:A,RevCoreCount!B:B,)</f>
        <v>0</v>
      </c>
      <c r="H182" s="2">
        <f>_xlfn.XLOOKUP(A182,RevCoreCount!A:A,RevCoreCount!E:E,)</f>
        <v>0</v>
      </c>
      <c r="I182" s="2">
        <f>_xlfn.XLOOKUP(A182,RevCHACount!A:A,RevCHACount!B:B)</f>
        <v>0</v>
      </c>
      <c r="J182" s="2">
        <f>_xlfn.XLOOKUP(A182,RevCHACount!A:A,RevCHACount!E:E)</f>
        <v>0</v>
      </c>
      <c r="K182" s="2">
        <f>_xlfn.XLOOKUP(A182,RevLLCCount!A:A,RevLLCCount!B:B,)</f>
        <v>0</v>
      </c>
      <c r="L182" s="2">
        <f>_xlfn.XLOOKUP(A182,RevLLCCount!A:A,RevLLCCount!E:E)</f>
        <v>0</v>
      </c>
      <c r="M182" s="1">
        <f>_xlfn.XLOOKUP(A182,RevCHACount!A:A,RevCHACount!F:F)</f>
        <v>0</v>
      </c>
      <c r="N182" s="1" t="str">
        <f>_xlfn.XLOOKUP(A182,'Other Errors'!A:A,'Other Errors'!B:B,"")</f>
        <v/>
      </c>
      <c r="O182" s="2" t="e">
        <f t="shared" si="27"/>
        <v>#N/A</v>
      </c>
      <c r="P182" s="2" t="e">
        <f t="shared" si="28"/>
        <v>#N/A</v>
      </c>
      <c r="Q182" s="2" t="e">
        <f t="shared" si="29"/>
        <v>#N/A</v>
      </c>
      <c r="R182" s="2" t="e">
        <f t="shared" si="30"/>
        <v>#N/A</v>
      </c>
      <c r="S182" s="2" t="str">
        <f t="shared" si="31"/>
        <v/>
      </c>
      <c r="T182" s="2" t="str">
        <f t="shared" si="17"/>
        <v/>
      </c>
      <c r="U182" s="8" t="str" cm="1">
        <f t="array" ref="U182">_xlfn.TEXTJOIN(", ",,_xlfn.UNIQUE(_xlfn._xlws.FILTER(EM$3:FK$3,EM182:FK182&gt;0,"")))</f>
        <v/>
      </c>
    </row>
    <row r="183" spans="6:21" x14ac:dyDescent="0.3">
      <c r="F183" s="2" cm="1">
        <f t="array" ref="F183">COUNTA(_xlfn.UNIQUE(_xlfn._xlws.FILTER(chamca[Run],(chamca[Visual ID]=A183))))</f>
        <v>1</v>
      </c>
      <c r="G183" s="2">
        <f>_xlfn.XLOOKUP(A183,RevCoreCount!A:A,RevCoreCount!B:B,)</f>
        <v>0</v>
      </c>
      <c r="H183" s="2">
        <f>_xlfn.XLOOKUP(A183,RevCoreCount!A:A,RevCoreCount!E:E,)</f>
        <v>0</v>
      </c>
      <c r="I183" s="2">
        <f>_xlfn.XLOOKUP(A183,RevCHACount!A:A,RevCHACount!B:B)</f>
        <v>0</v>
      </c>
      <c r="J183" s="2">
        <f>_xlfn.XLOOKUP(A183,RevCHACount!A:A,RevCHACount!E:E)</f>
        <v>0</v>
      </c>
      <c r="K183" s="2">
        <f>_xlfn.XLOOKUP(A183,RevLLCCount!A:A,RevLLCCount!B:B,)</f>
        <v>0</v>
      </c>
      <c r="L183" s="2">
        <f>_xlfn.XLOOKUP(A183,RevLLCCount!A:A,RevLLCCount!E:E)</f>
        <v>0</v>
      </c>
      <c r="M183" s="1">
        <f>_xlfn.XLOOKUP(A183,RevCHACount!A:A,RevCHACount!F:F)</f>
        <v>0</v>
      </c>
      <c r="N183" s="1" t="str">
        <f>_xlfn.XLOOKUP(A183,'Other Errors'!A:A,'Other Errors'!B:B,"")</f>
        <v/>
      </c>
      <c r="O183" s="2" t="e">
        <f t="shared" si="27"/>
        <v>#N/A</v>
      </c>
      <c r="P183" s="2" t="e">
        <f t="shared" si="28"/>
        <v>#N/A</v>
      </c>
      <c r="Q183" s="2" t="e">
        <f t="shared" si="29"/>
        <v>#N/A</v>
      </c>
      <c r="R183" s="2" t="e">
        <f t="shared" si="30"/>
        <v>#N/A</v>
      </c>
      <c r="S183" s="2" t="str">
        <f t="shared" si="31"/>
        <v/>
      </c>
      <c r="T183" s="2" t="str">
        <f t="shared" si="17"/>
        <v/>
      </c>
      <c r="U183" s="8" t="str" cm="1">
        <f t="array" ref="U183">_xlfn.TEXTJOIN(", ",,_xlfn.UNIQUE(_xlfn._xlws.FILTER(EM$3:FK$3,EM183:FK183&gt;0,"")))</f>
        <v/>
      </c>
    </row>
    <row r="184" spans="6:21" x14ac:dyDescent="0.3">
      <c r="F184" s="2" cm="1">
        <f t="array" ref="F184">COUNTA(_xlfn.UNIQUE(_xlfn._xlws.FILTER(chamca[Run],(chamca[Visual ID]=A184))))</f>
        <v>1</v>
      </c>
      <c r="G184" s="2">
        <f>_xlfn.XLOOKUP(A184,RevCoreCount!A:A,RevCoreCount!B:B,)</f>
        <v>0</v>
      </c>
      <c r="H184" s="2">
        <f>_xlfn.XLOOKUP(A184,RevCoreCount!A:A,RevCoreCount!E:E,)</f>
        <v>0</v>
      </c>
      <c r="I184" s="2">
        <f>_xlfn.XLOOKUP(A184,RevCHACount!A:A,RevCHACount!B:B)</f>
        <v>0</v>
      </c>
      <c r="J184" s="2">
        <f>_xlfn.XLOOKUP(A184,RevCHACount!A:A,RevCHACount!E:E)</f>
        <v>0</v>
      </c>
      <c r="K184" s="2">
        <f>_xlfn.XLOOKUP(A184,RevLLCCount!A:A,RevLLCCount!B:B,)</f>
        <v>0</v>
      </c>
      <c r="L184" s="2">
        <f>_xlfn.XLOOKUP(A184,RevLLCCount!A:A,RevLLCCount!E:E)</f>
        <v>0</v>
      </c>
      <c r="M184" s="1">
        <f>_xlfn.XLOOKUP(A184,RevCHACount!A:A,RevCHACount!F:F)</f>
        <v>0</v>
      </c>
      <c r="N184" s="1" t="str">
        <f>_xlfn.XLOOKUP(A184,'Other Errors'!A:A,'Other Errors'!B:B,"")</f>
        <v/>
      </c>
      <c r="O184" s="2" t="e">
        <f t="shared" si="27"/>
        <v>#N/A</v>
      </c>
      <c r="P184" s="2" t="e">
        <f t="shared" si="28"/>
        <v>#N/A</v>
      </c>
      <c r="Q184" s="2" t="e">
        <f t="shared" si="29"/>
        <v>#N/A</v>
      </c>
      <c r="R184" s="2" t="e">
        <f t="shared" si="30"/>
        <v>#N/A</v>
      </c>
      <c r="S184" s="2" t="str">
        <f t="shared" si="31"/>
        <v/>
      </c>
      <c r="T184" s="2" t="str">
        <f t="shared" si="17"/>
        <v/>
      </c>
      <c r="U184" s="8" t="str" cm="1">
        <f t="array" ref="U184">_xlfn.TEXTJOIN(", ",,_xlfn.UNIQUE(_xlfn._xlws.FILTER(EM$3:FK$3,EM184:FK184&gt;0,"")))</f>
        <v/>
      </c>
    </row>
    <row r="185" spans="6:21" x14ac:dyDescent="0.3">
      <c r="F185" s="2" cm="1">
        <f t="array" ref="F185">COUNTA(_xlfn.UNIQUE(_xlfn._xlws.FILTER(chamca[Run],(chamca[Visual ID]=A185))))</f>
        <v>1</v>
      </c>
      <c r="G185" s="2">
        <f>_xlfn.XLOOKUP(A185,RevCoreCount!A:A,RevCoreCount!B:B,)</f>
        <v>0</v>
      </c>
      <c r="H185" s="2">
        <f>_xlfn.XLOOKUP(A185,RevCoreCount!A:A,RevCoreCount!E:E,)</f>
        <v>0</v>
      </c>
      <c r="I185" s="2">
        <f>_xlfn.XLOOKUP(A185,RevCHACount!A:A,RevCHACount!B:B)</f>
        <v>0</v>
      </c>
      <c r="J185" s="2">
        <f>_xlfn.XLOOKUP(A185,RevCHACount!A:A,RevCHACount!E:E)</f>
        <v>0</v>
      </c>
      <c r="K185" s="2">
        <f>_xlfn.XLOOKUP(A185,RevLLCCount!A:A,RevLLCCount!B:B,)</f>
        <v>0</v>
      </c>
      <c r="L185" s="2">
        <f>_xlfn.XLOOKUP(A185,RevLLCCount!A:A,RevLLCCount!E:E)</f>
        <v>0</v>
      </c>
      <c r="M185" s="1">
        <f>_xlfn.XLOOKUP(A185,RevCHACount!A:A,RevCHACount!F:F)</f>
        <v>0</v>
      </c>
      <c r="N185" s="1" t="str">
        <f>_xlfn.XLOOKUP(A185,'Other Errors'!A:A,'Other Errors'!B:B,"")</f>
        <v/>
      </c>
      <c r="O185" s="2" t="e">
        <f t="shared" si="27"/>
        <v>#N/A</v>
      </c>
      <c r="P185" s="2" t="e">
        <f t="shared" si="28"/>
        <v>#N/A</v>
      </c>
      <c r="Q185" s="2" t="e">
        <f t="shared" si="29"/>
        <v>#N/A</v>
      </c>
      <c r="R185" s="2" t="e">
        <f t="shared" si="30"/>
        <v>#N/A</v>
      </c>
      <c r="S185" s="2" t="str">
        <f t="shared" si="31"/>
        <v/>
      </c>
      <c r="T185" s="2" t="str">
        <f t="shared" si="17"/>
        <v/>
      </c>
      <c r="U185" s="8" t="str" cm="1">
        <f t="array" ref="U185">_xlfn.TEXTJOIN(", ",,_xlfn.UNIQUE(_xlfn._xlws.FILTER(EM$3:FK$3,EM185:FK185&gt;0,"")))</f>
        <v/>
      </c>
    </row>
    <row r="186" spans="6:21" x14ac:dyDescent="0.3">
      <c r="F186" s="2" cm="1">
        <f t="array" ref="F186">COUNTA(_xlfn.UNIQUE(_xlfn._xlws.FILTER(chamca[Run],(chamca[Visual ID]=A186))))</f>
        <v>1</v>
      </c>
      <c r="G186" s="2">
        <f>_xlfn.XLOOKUP(A186,RevCoreCount!A:A,RevCoreCount!B:B,)</f>
        <v>0</v>
      </c>
      <c r="H186" s="2">
        <f>_xlfn.XLOOKUP(A186,RevCoreCount!A:A,RevCoreCount!E:E,)</f>
        <v>0</v>
      </c>
      <c r="I186" s="2">
        <f>_xlfn.XLOOKUP(A186,RevCHACount!A:A,RevCHACount!B:B)</f>
        <v>0</v>
      </c>
      <c r="J186" s="2">
        <f>_xlfn.XLOOKUP(A186,RevCHACount!A:A,RevCHACount!E:E)</f>
        <v>0</v>
      </c>
      <c r="K186" s="2">
        <f>_xlfn.XLOOKUP(A186,RevLLCCount!A:A,RevLLCCount!B:B,)</f>
        <v>0</v>
      </c>
      <c r="L186" s="2">
        <f>_xlfn.XLOOKUP(A186,RevLLCCount!A:A,RevLLCCount!E:E)</f>
        <v>0</v>
      </c>
      <c r="M186" s="1">
        <f>_xlfn.XLOOKUP(A186,RevCHACount!A:A,RevCHACount!F:F)</f>
        <v>0</v>
      </c>
      <c r="N186" s="1" t="str">
        <f>_xlfn.XLOOKUP(A186,'Other Errors'!A:A,'Other Errors'!B:B,"")</f>
        <v/>
      </c>
      <c r="O186" s="2" t="e">
        <f t="shared" si="27"/>
        <v>#N/A</v>
      </c>
      <c r="P186" s="2" t="e">
        <f t="shared" si="28"/>
        <v>#N/A</v>
      </c>
      <c r="Q186" s="2" t="e">
        <f t="shared" si="29"/>
        <v>#N/A</v>
      </c>
      <c r="R186" s="2" t="e">
        <f t="shared" si="30"/>
        <v>#N/A</v>
      </c>
      <c r="S186" s="2" t="str">
        <f t="shared" si="31"/>
        <v/>
      </c>
      <c r="T186" s="2" t="str">
        <f t="shared" si="17"/>
        <v/>
      </c>
      <c r="U186" s="8" t="str" cm="1">
        <f t="array" ref="U186">_xlfn.TEXTJOIN(", ",,_xlfn.UNIQUE(_xlfn._xlws.FILTER(EM$3:FK$3,EM186:FK186&gt;0,"")))</f>
        <v/>
      </c>
    </row>
    <row r="187" spans="6:21" x14ac:dyDescent="0.3">
      <c r="F187" s="2" cm="1">
        <f t="array" ref="F187">COUNTA(_xlfn.UNIQUE(_xlfn._xlws.FILTER(chamca[Run],(chamca[Visual ID]=A187))))</f>
        <v>1</v>
      </c>
      <c r="G187" s="2">
        <f>_xlfn.XLOOKUP(A187,RevCoreCount!A:A,RevCoreCount!B:B,)</f>
        <v>0</v>
      </c>
      <c r="H187" s="2">
        <f>_xlfn.XLOOKUP(A187,RevCoreCount!A:A,RevCoreCount!E:E,)</f>
        <v>0</v>
      </c>
      <c r="I187" s="2">
        <f>_xlfn.XLOOKUP(A187,RevCHACount!A:A,RevCHACount!B:B)</f>
        <v>0</v>
      </c>
      <c r="J187" s="2">
        <f>_xlfn.XLOOKUP(A187,RevCHACount!A:A,RevCHACount!E:E)</f>
        <v>0</v>
      </c>
      <c r="K187" s="2">
        <f>_xlfn.XLOOKUP(A187,RevLLCCount!A:A,RevLLCCount!B:B,)</f>
        <v>0</v>
      </c>
      <c r="L187" s="2">
        <f>_xlfn.XLOOKUP(A187,RevLLCCount!A:A,RevLLCCount!E:E)</f>
        <v>0</v>
      </c>
      <c r="M187" s="1">
        <f>_xlfn.XLOOKUP(A187,RevCHACount!A:A,RevCHACount!F:F)</f>
        <v>0</v>
      </c>
      <c r="N187" s="1" t="str">
        <f>_xlfn.XLOOKUP(A187,'Other Errors'!A:A,'Other Errors'!B:B,"")</f>
        <v/>
      </c>
      <c r="O187" s="2" t="e">
        <f t="shared" si="27"/>
        <v>#N/A</v>
      </c>
      <c r="P187" s="2" t="e">
        <f t="shared" si="28"/>
        <v>#N/A</v>
      </c>
      <c r="Q187" s="2" t="e">
        <f t="shared" si="29"/>
        <v>#N/A</v>
      </c>
      <c r="R187" s="2" t="e">
        <f t="shared" si="30"/>
        <v>#N/A</v>
      </c>
      <c r="S187" s="2" t="str">
        <f t="shared" si="31"/>
        <v/>
      </c>
      <c r="T187" s="2" t="str">
        <f t="shared" si="17"/>
        <v/>
      </c>
      <c r="U187" s="8" t="str" cm="1">
        <f t="array" ref="U187">_xlfn.TEXTJOIN(", ",,_xlfn.UNIQUE(_xlfn._xlws.FILTER(EM$3:FK$3,EM187:FK187&gt;0,"")))</f>
        <v/>
      </c>
    </row>
    <row r="188" spans="6:21" x14ac:dyDescent="0.3">
      <c r="F188" s="2" cm="1">
        <f t="array" ref="F188">COUNTA(_xlfn.UNIQUE(_xlfn._xlws.FILTER(chamca[Run],(chamca[Visual ID]=A188))))</f>
        <v>1</v>
      </c>
      <c r="G188" s="2">
        <f>_xlfn.XLOOKUP(A188,RevCoreCount!A:A,RevCoreCount!B:B,)</f>
        <v>0</v>
      </c>
      <c r="H188" s="2">
        <f>_xlfn.XLOOKUP(A188,RevCoreCount!A:A,RevCoreCount!E:E,)</f>
        <v>0</v>
      </c>
      <c r="I188" s="2">
        <f>_xlfn.XLOOKUP(A188,RevCHACount!A:A,RevCHACount!B:B)</f>
        <v>0</v>
      </c>
      <c r="J188" s="2">
        <f>_xlfn.XLOOKUP(A188,RevCHACount!A:A,RevCHACount!E:E)</f>
        <v>0</v>
      </c>
      <c r="K188" s="2">
        <f>_xlfn.XLOOKUP(A188,RevLLCCount!A:A,RevLLCCount!B:B,)</f>
        <v>0</v>
      </c>
      <c r="L188" s="2">
        <f>_xlfn.XLOOKUP(A188,RevLLCCount!A:A,RevLLCCount!E:E)</f>
        <v>0</v>
      </c>
      <c r="M188" s="1">
        <f>_xlfn.XLOOKUP(A188,RevCHACount!A:A,RevCHACount!F:F)</f>
        <v>0</v>
      </c>
      <c r="N188" s="1" t="str">
        <f>_xlfn.XLOOKUP(A188,'Other Errors'!A:A,'Other Errors'!B:B,"")</f>
        <v/>
      </c>
      <c r="O188" s="2" t="e">
        <f t="shared" ref="O188:O205" si="32">_xlfn.XLOOKUP(MAX(X188:BH188),X188:BH188,X$3:BH$3)</f>
        <v>#N/A</v>
      </c>
      <c r="P188" s="2" t="e">
        <f t="shared" ref="P188:P205" si="33">_xlfn.XLOOKUP(MAX(BJ188:CO188),BJ188:CO188,BJ$3:CO$3)</f>
        <v>#N/A</v>
      </c>
      <c r="Q188" s="2" t="e">
        <f t="shared" ref="Q188:Q205" si="34">_xlfn.XLOOKUP(MAX(CZ188:DI188),CZ188:DI188,CZ$3:DI$3)</f>
        <v>#N/A</v>
      </c>
      <c r="R188" s="2" t="e">
        <f t="shared" ref="R188:R205" si="35">_xlfn.XLOOKUP(MAX(CQ188:CX188),CQ188:CX188,CQ$3:CX$3)</f>
        <v>#N/A</v>
      </c>
      <c r="S188" s="2" t="str">
        <f t="shared" ref="S188:S205" si="36">_xlfn.XLOOKUP(MAX(DK188:EI188),DK188:EI188,DK$3:EI$3,"")</f>
        <v/>
      </c>
      <c r="T188" s="2" t="str">
        <f t="shared" si="17"/>
        <v/>
      </c>
      <c r="U188" s="8" t="str" cm="1">
        <f t="array" ref="U188">_xlfn.TEXTJOIN(", ",,_xlfn.UNIQUE(_xlfn._xlws.FILTER(EM$3:FK$3,EM188:FK188&gt;0,"")))</f>
        <v/>
      </c>
    </row>
    <row r="189" spans="6:21" x14ac:dyDescent="0.3">
      <c r="F189" s="2" cm="1">
        <f t="array" ref="F189">COUNTA(_xlfn.UNIQUE(_xlfn._xlws.FILTER(chamca[Run],(chamca[Visual ID]=A189))))</f>
        <v>1</v>
      </c>
      <c r="G189" s="2">
        <f>_xlfn.XLOOKUP(A189,RevCoreCount!A:A,RevCoreCount!B:B,)</f>
        <v>0</v>
      </c>
      <c r="H189" s="2">
        <f>_xlfn.XLOOKUP(A189,RevCoreCount!A:A,RevCoreCount!E:E,)</f>
        <v>0</v>
      </c>
      <c r="I189" s="2">
        <f>_xlfn.XLOOKUP(A189,RevCHACount!A:A,RevCHACount!B:B)</f>
        <v>0</v>
      </c>
      <c r="J189" s="2">
        <f>_xlfn.XLOOKUP(A189,RevCHACount!A:A,RevCHACount!E:E)</f>
        <v>0</v>
      </c>
      <c r="K189" s="2">
        <f>_xlfn.XLOOKUP(A189,RevLLCCount!A:A,RevLLCCount!B:B,)</f>
        <v>0</v>
      </c>
      <c r="L189" s="2">
        <f>_xlfn.XLOOKUP(A189,RevLLCCount!A:A,RevLLCCount!E:E)</f>
        <v>0</v>
      </c>
      <c r="M189" s="1">
        <f>_xlfn.XLOOKUP(A189,RevCHACount!A:A,RevCHACount!F:F)</f>
        <v>0</v>
      </c>
      <c r="N189" s="1" t="str">
        <f>_xlfn.XLOOKUP(A189,'Other Errors'!A:A,'Other Errors'!B:B,"")</f>
        <v/>
      </c>
      <c r="O189" s="2" t="e">
        <f t="shared" si="32"/>
        <v>#N/A</v>
      </c>
      <c r="P189" s="2" t="e">
        <f t="shared" si="33"/>
        <v>#N/A</v>
      </c>
      <c r="Q189" s="2" t="e">
        <f t="shared" si="34"/>
        <v>#N/A</v>
      </c>
      <c r="R189" s="2" t="e">
        <f t="shared" si="35"/>
        <v>#N/A</v>
      </c>
      <c r="S189" s="2" t="str">
        <f t="shared" si="36"/>
        <v/>
      </c>
      <c r="T189" s="2" t="str">
        <f t="shared" si="17"/>
        <v/>
      </c>
      <c r="U189" s="8" t="str" cm="1">
        <f t="array" ref="U189">_xlfn.TEXTJOIN(", ",,_xlfn.UNIQUE(_xlfn._xlws.FILTER(EM$3:FK$3,EM189:FK189&gt;0,"")))</f>
        <v/>
      </c>
    </row>
    <row r="190" spans="6:21" x14ac:dyDescent="0.3">
      <c r="F190" s="2" cm="1">
        <f t="array" ref="F190">COUNTA(_xlfn.UNIQUE(_xlfn._xlws.FILTER(chamca[Run],(chamca[Visual ID]=A190))))</f>
        <v>1</v>
      </c>
      <c r="G190" s="2">
        <f>_xlfn.XLOOKUP(A190,RevCoreCount!A:A,RevCoreCount!B:B,)</f>
        <v>0</v>
      </c>
      <c r="H190" s="2">
        <f>_xlfn.XLOOKUP(A190,RevCoreCount!A:A,RevCoreCount!E:E,)</f>
        <v>0</v>
      </c>
      <c r="I190" s="2">
        <f>_xlfn.XLOOKUP(A190,RevCHACount!A:A,RevCHACount!B:B)</f>
        <v>0</v>
      </c>
      <c r="J190" s="2">
        <f>_xlfn.XLOOKUP(A190,RevCHACount!A:A,RevCHACount!E:E)</f>
        <v>0</v>
      </c>
      <c r="K190" s="2">
        <f>_xlfn.XLOOKUP(A190,RevLLCCount!A:A,RevLLCCount!B:B,)</f>
        <v>0</v>
      </c>
      <c r="L190" s="2">
        <f>_xlfn.XLOOKUP(A190,RevLLCCount!A:A,RevLLCCount!E:E)</f>
        <v>0</v>
      </c>
      <c r="M190" s="1">
        <f>_xlfn.XLOOKUP(A190,RevCHACount!A:A,RevCHACount!F:F)</f>
        <v>0</v>
      </c>
      <c r="N190" s="1" t="str">
        <f>_xlfn.XLOOKUP(A190,'Other Errors'!A:A,'Other Errors'!B:B,"")</f>
        <v/>
      </c>
      <c r="O190" s="2" t="e">
        <f t="shared" si="32"/>
        <v>#N/A</v>
      </c>
      <c r="P190" s="2" t="e">
        <f t="shared" si="33"/>
        <v>#N/A</v>
      </c>
      <c r="Q190" s="2" t="e">
        <f t="shared" si="34"/>
        <v>#N/A</v>
      </c>
      <c r="R190" s="2" t="e">
        <f t="shared" si="35"/>
        <v>#N/A</v>
      </c>
      <c r="S190" s="2" t="str">
        <f t="shared" si="36"/>
        <v/>
      </c>
      <c r="T190" s="2" t="str">
        <f t="shared" si="17"/>
        <v/>
      </c>
      <c r="U190" s="8" t="str" cm="1">
        <f t="array" ref="U190">_xlfn.TEXTJOIN(", ",,_xlfn.UNIQUE(_xlfn._xlws.FILTER(EM$3:FK$3,EM190:FK190&gt;0,"")))</f>
        <v/>
      </c>
    </row>
    <row r="191" spans="6:21" x14ac:dyDescent="0.3">
      <c r="F191" s="2" cm="1">
        <f t="array" ref="F191">COUNTA(_xlfn.UNIQUE(_xlfn._xlws.FILTER(chamca[Run],(chamca[Visual ID]=A191))))</f>
        <v>1</v>
      </c>
      <c r="G191" s="2">
        <f>_xlfn.XLOOKUP(A191,RevCoreCount!A:A,RevCoreCount!B:B,)</f>
        <v>0</v>
      </c>
      <c r="H191" s="2">
        <f>_xlfn.XLOOKUP(A191,RevCoreCount!A:A,RevCoreCount!E:E,)</f>
        <v>0</v>
      </c>
      <c r="I191" s="2">
        <f>_xlfn.XLOOKUP(A191,RevCHACount!A:A,RevCHACount!B:B)</f>
        <v>0</v>
      </c>
      <c r="J191" s="2">
        <f>_xlfn.XLOOKUP(A191,RevCHACount!A:A,RevCHACount!E:E)</f>
        <v>0</v>
      </c>
      <c r="K191" s="2">
        <f>_xlfn.XLOOKUP(A191,RevLLCCount!A:A,RevLLCCount!B:B,)</f>
        <v>0</v>
      </c>
      <c r="L191" s="2">
        <f>_xlfn.XLOOKUP(A191,RevLLCCount!A:A,RevLLCCount!E:E)</f>
        <v>0</v>
      </c>
      <c r="M191" s="1">
        <f>_xlfn.XLOOKUP(A191,RevCHACount!A:A,RevCHACount!F:F)</f>
        <v>0</v>
      </c>
      <c r="N191" s="1" t="str">
        <f>_xlfn.XLOOKUP(A191,'Other Errors'!A:A,'Other Errors'!B:B,"")</f>
        <v/>
      </c>
      <c r="O191" s="2" t="e">
        <f t="shared" si="32"/>
        <v>#N/A</v>
      </c>
      <c r="P191" s="2" t="e">
        <f t="shared" si="33"/>
        <v>#N/A</v>
      </c>
      <c r="Q191" s="2" t="e">
        <f t="shared" si="34"/>
        <v>#N/A</v>
      </c>
      <c r="R191" s="2" t="e">
        <f t="shared" si="35"/>
        <v>#N/A</v>
      </c>
      <c r="S191" s="2" t="str">
        <f t="shared" si="36"/>
        <v/>
      </c>
      <c r="T191" s="2" t="str">
        <f t="shared" si="17"/>
        <v/>
      </c>
      <c r="U191" s="8" t="str" cm="1">
        <f t="array" ref="U191">_xlfn.TEXTJOIN(", ",,_xlfn.UNIQUE(_xlfn._xlws.FILTER(EM$3:FK$3,EM191:FK191&gt;0,"")))</f>
        <v/>
      </c>
    </row>
    <row r="192" spans="6:21" x14ac:dyDescent="0.3">
      <c r="F192" s="2" cm="1">
        <f t="array" ref="F192">COUNTA(_xlfn.UNIQUE(_xlfn._xlws.FILTER(chamca[Run],(chamca[Visual ID]=A192))))</f>
        <v>1</v>
      </c>
      <c r="G192" s="2">
        <f>_xlfn.XLOOKUP(A192,RevCoreCount!A:A,RevCoreCount!B:B,)</f>
        <v>0</v>
      </c>
      <c r="H192" s="2">
        <f>_xlfn.XLOOKUP(A192,RevCoreCount!A:A,RevCoreCount!E:E,)</f>
        <v>0</v>
      </c>
      <c r="I192" s="2">
        <f>_xlfn.XLOOKUP(A192,RevCHACount!A:A,RevCHACount!B:B)</f>
        <v>0</v>
      </c>
      <c r="J192" s="2">
        <f>_xlfn.XLOOKUP(A192,RevCHACount!A:A,RevCHACount!E:E)</f>
        <v>0</v>
      </c>
      <c r="K192" s="2">
        <f>_xlfn.XLOOKUP(A192,RevLLCCount!A:A,RevLLCCount!B:B,)</f>
        <v>0</v>
      </c>
      <c r="L192" s="2">
        <f>_xlfn.XLOOKUP(A192,RevLLCCount!A:A,RevLLCCount!E:E)</f>
        <v>0</v>
      </c>
      <c r="M192" s="1">
        <f>_xlfn.XLOOKUP(A192,RevCHACount!A:A,RevCHACount!F:F)</f>
        <v>0</v>
      </c>
      <c r="N192" s="1" t="str">
        <f>_xlfn.XLOOKUP(A192,'Other Errors'!A:A,'Other Errors'!B:B,"")</f>
        <v/>
      </c>
      <c r="O192" s="2" t="e">
        <f t="shared" si="32"/>
        <v>#N/A</v>
      </c>
      <c r="P192" s="2" t="e">
        <f t="shared" si="33"/>
        <v>#N/A</v>
      </c>
      <c r="Q192" s="2" t="e">
        <f t="shared" si="34"/>
        <v>#N/A</v>
      </c>
      <c r="R192" s="2" t="e">
        <f t="shared" si="35"/>
        <v>#N/A</v>
      </c>
      <c r="S192" s="2" t="str">
        <f t="shared" si="36"/>
        <v/>
      </c>
      <c r="T192" s="2" t="str">
        <f t="shared" si="17"/>
        <v/>
      </c>
      <c r="U192" s="8" t="str" cm="1">
        <f t="array" ref="U192">_xlfn.TEXTJOIN(", ",,_xlfn.UNIQUE(_xlfn._xlws.FILTER(EM$3:FK$3,EM192:FK192&gt;0,"")))</f>
        <v/>
      </c>
    </row>
    <row r="193" spans="6:21" x14ac:dyDescent="0.3">
      <c r="F193" s="2" cm="1">
        <f t="array" ref="F193">COUNTA(_xlfn.UNIQUE(_xlfn._xlws.FILTER(chamca[Run],(chamca[Visual ID]=A193))))</f>
        <v>1</v>
      </c>
      <c r="G193" s="2">
        <f>_xlfn.XLOOKUP(A193,RevCoreCount!A:A,RevCoreCount!B:B,)</f>
        <v>0</v>
      </c>
      <c r="H193" s="2">
        <f>_xlfn.XLOOKUP(A193,RevCoreCount!A:A,RevCoreCount!E:E,)</f>
        <v>0</v>
      </c>
      <c r="I193" s="2">
        <f>_xlfn.XLOOKUP(A193,RevCHACount!A:A,RevCHACount!B:B)</f>
        <v>0</v>
      </c>
      <c r="J193" s="2">
        <f>_xlfn.XLOOKUP(A193,RevCHACount!A:A,RevCHACount!E:E)</f>
        <v>0</v>
      </c>
      <c r="K193" s="2">
        <f>_xlfn.XLOOKUP(A193,RevLLCCount!A:A,RevLLCCount!B:B,)</f>
        <v>0</v>
      </c>
      <c r="L193" s="2">
        <f>_xlfn.XLOOKUP(A193,RevLLCCount!A:A,RevLLCCount!E:E)</f>
        <v>0</v>
      </c>
      <c r="M193" s="1">
        <f>_xlfn.XLOOKUP(A193,RevCHACount!A:A,RevCHACount!F:F)</f>
        <v>0</v>
      </c>
      <c r="N193" s="1" t="str">
        <f>_xlfn.XLOOKUP(A193,'Other Errors'!A:A,'Other Errors'!B:B,"")</f>
        <v/>
      </c>
      <c r="O193" s="2" t="e">
        <f t="shared" si="32"/>
        <v>#N/A</v>
      </c>
      <c r="P193" s="2" t="e">
        <f t="shared" si="33"/>
        <v>#N/A</v>
      </c>
      <c r="Q193" s="2" t="e">
        <f t="shared" si="34"/>
        <v>#N/A</v>
      </c>
      <c r="R193" s="2" t="e">
        <f t="shared" si="35"/>
        <v>#N/A</v>
      </c>
      <c r="S193" s="2" t="str">
        <f t="shared" si="36"/>
        <v/>
      </c>
      <c r="T193" s="2" t="str">
        <f t="shared" si="17"/>
        <v/>
      </c>
      <c r="U193" s="8" t="str" cm="1">
        <f t="array" ref="U193">_xlfn.TEXTJOIN(", ",,_xlfn.UNIQUE(_xlfn._xlws.FILTER(EM$3:FK$3,EM193:FK193&gt;0,"")))</f>
        <v/>
      </c>
    </row>
    <row r="194" spans="6:21" x14ac:dyDescent="0.3">
      <c r="F194" s="2" cm="1">
        <f t="array" ref="F194">COUNTA(_xlfn.UNIQUE(_xlfn._xlws.FILTER(chamca[Run],(chamca[Visual ID]=A194))))</f>
        <v>1</v>
      </c>
      <c r="G194" s="2">
        <f>_xlfn.XLOOKUP(A194,RevCoreCount!A:A,RevCoreCount!B:B,)</f>
        <v>0</v>
      </c>
      <c r="H194" s="2">
        <f>_xlfn.XLOOKUP(A194,RevCoreCount!A:A,RevCoreCount!E:E,)</f>
        <v>0</v>
      </c>
      <c r="I194" s="2">
        <f>_xlfn.XLOOKUP(A194,RevCHACount!A:A,RevCHACount!B:B)</f>
        <v>0</v>
      </c>
      <c r="J194" s="2">
        <f>_xlfn.XLOOKUP(A194,RevCHACount!A:A,RevCHACount!E:E)</f>
        <v>0</v>
      </c>
      <c r="K194" s="2">
        <f>_xlfn.XLOOKUP(A194,RevLLCCount!A:A,RevLLCCount!B:B,)</f>
        <v>0</v>
      </c>
      <c r="L194" s="2">
        <f>_xlfn.XLOOKUP(A194,RevLLCCount!A:A,RevLLCCount!E:E)</f>
        <v>0</v>
      </c>
      <c r="M194" s="1">
        <f>_xlfn.XLOOKUP(A194,RevCHACount!A:A,RevCHACount!F:F)</f>
        <v>0</v>
      </c>
      <c r="N194" s="1" t="str">
        <f>_xlfn.XLOOKUP(A194,'Other Errors'!A:A,'Other Errors'!B:B,"")</f>
        <v/>
      </c>
      <c r="O194" s="2" t="e">
        <f t="shared" si="32"/>
        <v>#N/A</v>
      </c>
      <c r="P194" s="2" t="e">
        <f t="shared" si="33"/>
        <v>#N/A</v>
      </c>
      <c r="Q194" s="2" t="e">
        <f t="shared" si="34"/>
        <v>#N/A</v>
      </c>
      <c r="R194" s="2" t="e">
        <f t="shared" si="35"/>
        <v>#N/A</v>
      </c>
      <c r="S194" s="2" t="str">
        <f t="shared" si="36"/>
        <v/>
      </c>
      <c r="T194" s="2" t="str">
        <f t="shared" si="17"/>
        <v/>
      </c>
      <c r="U194" s="8" t="str" cm="1">
        <f t="array" ref="U194">_xlfn.TEXTJOIN(", ",,_xlfn.UNIQUE(_xlfn._xlws.FILTER(EM$3:FK$3,EM194:FK194&gt;0,"")))</f>
        <v/>
      </c>
    </row>
    <row r="195" spans="6:21" x14ac:dyDescent="0.3">
      <c r="F195" s="2" cm="1">
        <f t="array" ref="F195">COUNTA(_xlfn.UNIQUE(_xlfn._xlws.FILTER(chamca[Run],(chamca[Visual ID]=A195))))</f>
        <v>1</v>
      </c>
      <c r="G195" s="2">
        <f>_xlfn.XLOOKUP(A195,RevCoreCount!A:A,RevCoreCount!B:B,)</f>
        <v>0</v>
      </c>
      <c r="H195" s="2">
        <f>_xlfn.XLOOKUP(A195,RevCoreCount!A:A,RevCoreCount!E:E,)</f>
        <v>0</v>
      </c>
      <c r="I195" s="2">
        <f>_xlfn.XLOOKUP(A195,RevCHACount!A:A,RevCHACount!B:B)</f>
        <v>0</v>
      </c>
      <c r="J195" s="2">
        <f>_xlfn.XLOOKUP(A195,RevCHACount!A:A,RevCHACount!E:E)</f>
        <v>0</v>
      </c>
      <c r="K195" s="2">
        <f>_xlfn.XLOOKUP(A195,RevLLCCount!A:A,RevLLCCount!B:B,)</f>
        <v>0</v>
      </c>
      <c r="L195" s="2">
        <f>_xlfn.XLOOKUP(A195,RevLLCCount!A:A,RevLLCCount!E:E)</f>
        <v>0</v>
      </c>
      <c r="M195" s="1">
        <f>_xlfn.XLOOKUP(A195,RevCHACount!A:A,RevCHACount!F:F)</f>
        <v>0</v>
      </c>
      <c r="N195" s="1" t="str">
        <f>_xlfn.XLOOKUP(A195,'Other Errors'!A:A,'Other Errors'!B:B,"")</f>
        <v/>
      </c>
      <c r="O195" s="2" t="e">
        <f t="shared" si="32"/>
        <v>#N/A</v>
      </c>
      <c r="P195" s="2" t="e">
        <f t="shared" si="33"/>
        <v>#N/A</v>
      </c>
      <c r="Q195" s="2" t="e">
        <f t="shared" si="34"/>
        <v>#N/A</v>
      </c>
      <c r="R195" s="2" t="e">
        <f t="shared" si="35"/>
        <v>#N/A</v>
      </c>
      <c r="S195" s="2" t="str">
        <f t="shared" si="36"/>
        <v/>
      </c>
      <c r="T195" s="2" t="str">
        <f t="shared" si="17"/>
        <v/>
      </c>
      <c r="U195" s="8" t="str" cm="1">
        <f t="array" ref="U195">_xlfn.TEXTJOIN(", ",,_xlfn.UNIQUE(_xlfn._xlws.FILTER(EM$3:FK$3,EM195:FK195&gt;0,"")))</f>
        <v/>
      </c>
    </row>
    <row r="196" spans="6:21" x14ac:dyDescent="0.3">
      <c r="F196" s="2" cm="1">
        <f t="array" ref="F196">COUNTA(_xlfn.UNIQUE(_xlfn._xlws.FILTER(chamca[Run],(chamca[Visual ID]=A196))))</f>
        <v>1</v>
      </c>
      <c r="G196" s="2">
        <f>_xlfn.XLOOKUP(A196,RevCoreCount!A:A,RevCoreCount!B:B,)</f>
        <v>0</v>
      </c>
      <c r="H196" s="2">
        <f>_xlfn.XLOOKUP(A196,RevCoreCount!A:A,RevCoreCount!E:E,)</f>
        <v>0</v>
      </c>
      <c r="I196" s="2">
        <f>_xlfn.XLOOKUP(A196,RevCHACount!A:A,RevCHACount!B:B)</f>
        <v>0</v>
      </c>
      <c r="J196" s="2">
        <f>_xlfn.XLOOKUP(A196,RevCHACount!A:A,RevCHACount!E:E)</f>
        <v>0</v>
      </c>
      <c r="K196" s="2">
        <f>_xlfn.XLOOKUP(A196,RevLLCCount!A:A,RevLLCCount!B:B,)</f>
        <v>0</v>
      </c>
      <c r="L196" s="2">
        <f>_xlfn.XLOOKUP(A196,RevLLCCount!A:A,RevLLCCount!E:E)</f>
        <v>0</v>
      </c>
      <c r="M196" s="1">
        <f>_xlfn.XLOOKUP(A196,RevCHACount!A:A,RevCHACount!F:F)</f>
        <v>0</v>
      </c>
      <c r="N196" s="1" t="str">
        <f>_xlfn.XLOOKUP(A196,'Other Errors'!A:A,'Other Errors'!B:B,"")</f>
        <v/>
      </c>
      <c r="O196" s="2" t="e">
        <f t="shared" si="32"/>
        <v>#N/A</v>
      </c>
      <c r="P196" s="2" t="e">
        <f t="shared" si="33"/>
        <v>#N/A</v>
      </c>
      <c r="Q196" s="2" t="e">
        <f t="shared" si="34"/>
        <v>#N/A</v>
      </c>
      <c r="R196" s="2" t="e">
        <f t="shared" si="35"/>
        <v>#N/A</v>
      </c>
      <c r="S196" s="2" t="str">
        <f t="shared" si="36"/>
        <v/>
      </c>
      <c r="T196" s="2" t="str">
        <f t="shared" si="17"/>
        <v/>
      </c>
      <c r="U196" s="8" t="str" cm="1">
        <f t="array" ref="U196">_xlfn.TEXTJOIN(", ",,_xlfn.UNIQUE(_xlfn._xlws.FILTER(EM$3:FK$3,EM196:FK196&gt;0,"")))</f>
        <v/>
      </c>
    </row>
    <row r="197" spans="6:21" x14ac:dyDescent="0.3">
      <c r="F197" s="2" cm="1">
        <f t="array" ref="F197">COUNTA(_xlfn.UNIQUE(_xlfn._xlws.FILTER(chamca[Run],(chamca[Visual ID]=A197))))</f>
        <v>1</v>
      </c>
      <c r="G197" s="2">
        <f>_xlfn.XLOOKUP(A197,RevCoreCount!A:A,RevCoreCount!B:B,)</f>
        <v>0</v>
      </c>
      <c r="H197" s="2">
        <f>_xlfn.XLOOKUP(A197,RevCoreCount!A:A,RevCoreCount!E:E,)</f>
        <v>0</v>
      </c>
      <c r="I197" s="2">
        <f>_xlfn.XLOOKUP(A197,RevCHACount!A:A,RevCHACount!B:B)</f>
        <v>0</v>
      </c>
      <c r="J197" s="2">
        <f>_xlfn.XLOOKUP(A197,RevCHACount!A:A,RevCHACount!E:E)</f>
        <v>0</v>
      </c>
      <c r="K197" s="2">
        <f>_xlfn.XLOOKUP(A197,RevLLCCount!A:A,RevLLCCount!B:B,)</f>
        <v>0</v>
      </c>
      <c r="L197" s="2">
        <f>_xlfn.XLOOKUP(A197,RevLLCCount!A:A,RevLLCCount!E:E)</f>
        <v>0</v>
      </c>
      <c r="M197" s="1">
        <f>_xlfn.XLOOKUP(A197,RevCHACount!A:A,RevCHACount!F:F)</f>
        <v>0</v>
      </c>
      <c r="N197" s="1" t="str">
        <f>_xlfn.XLOOKUP(A197,'Other Errors'!A:A,'Other Errors'!B:B,"")</f>
        <v/>
      </c>
      <c r="O197" s="2" t="e">
        <f t="shared" si="32"/>
        <v>#N/A</v>
      </c>
      <c r="P197" s="2" t="e">
        <f t="shared" si="33"/>
        <v>#N/A</v>
      </c>
      <c r="Q197" s="2" t="e">
        <f t="shared" si="34"/>
        <v>#N/A</v>
      </c>
      <c r="R197" s="2" t="e">
        <f t="shared" si="35"/>
        <v>#N/A</v>
      </c>
      <c r="S197" s="2" t="str">
        <f t="shared" si="36"/>
        <v/>
      </c>
      <c r="T197" s="2" t="str">
        <f t="shared" ref="T197:T260" si="37">_xlfn.TEXTJOIN(", ",,_xlfn.UNIQUE(_xlfn._xlws.FILTER(_xlfn.ANCHORARRAY(DK$3),DK197&gt;0,"")))</f>
        <v/>
      </c>
      <c r="U197" s="8" t="str" cm="1">
        <f t="array" ref="U197">_xlfn.TEXTJOIN(", ",,_xlfn.UNIQUE(_xlfn._xlws.FILTER(EM$3:FK$3,EM197:FK197&gt;0,"")))</f>
        <v/>
      </c>
    </row>
    <row r="198" spans="6:21" x14ac:dyDescent="0.3">
      <c r="F198" s="2" cm="1">
        <f t="array" ref="F198">COUNTA(_xlfn.UNIQUE(_xlfn._xlws.FILTER(chamca[Run],(chamca[Visual ID]=A198))))</f>
        <v>1</v>
      </c>
      <c r="G198" s="2">
        <f>_xlfn.XLOOKUP(A198,RevCoreCount!A:A,RevCoreCount!B:B,)</f>
        <v>0</v>
      </c>
      <c r="H198" s="2">
        <f>_xlfn.XLOOKUP(A198,RevCoreCount!A:A,RevCoreCount!E:E,)</f>
        <v>0</v>
      </c>
      <c r="I198" s="2">
        <f>_xlfn.XLOOKUP(A198,RevCHACount!A:A,RevCHACount!B:B)</f>
        <v>0</v>
      </c>
      <c r="J198" s="2">
        <f>_xlfn.XLOOKUP(A198,RevCHACount!A:A,RevCHACount!E:E)</f>
        <v>0</v>
      </c>
      <c r="K198" s="2">
        <f>_xlfn.XLOOKUP(A198,RevLLCCount!A:A,RevLLCCount!B:B,)</f>
        <v>0</v>
      </c>
      <c r="L198" s="2">
        <f>_xlfn.XLOOKUP(A198,RevLLCCount!A:A,RevLLCCount!E:E)</f>
        <v>0</v>
      </c>
      <c r="M198" s="1">
        <f>_xlfn.XLOOKUP(A198,RevCHACount!A:A,RevCHACount!F:F)</f>
        <v>0</v>
      </c>
      <c r="N198" s="1" t="str">
        <f>_xlfn.XLOOKUP(A198,'Other Errors'!A:A,'Other Errors'!B:B,"")</f>
        <v/>
      </c>
      <c r="O198" s="2" t="e">
        <f t="shared" si="32"/>
        <v>#N/A</v>
      </c>
      <c r="P198" s="2" t="e">
        <f t="shared" si="33"/>
        <v>#N/A</v>
      </c>
      <c r="Q198" s="2" t="e">
        <f t="shared" si="34"/>
        <v>#N/A</v>
      </c>
      <c r="R198" s="2" t="e">
        <f t="shared" si="35"/>
        <v>#N/A</v>
      </c>
      <c r="S198" s="2" t="str">
        <f t="shared" si="36"/>
        <v/>
      </c>
      <c r="T198" s="2" t="str">
        <f t="shared" si="37"/>
        <v/>
      </c>
      <c r="U198" s="8" t="str" cm="1">
        <f t="array" ref="U198">_xlfn.TEXTJOIN(", ",,_xlfn.UNIQUE(_xlfn._xlws.FILTER(EM$3:FK$3,EM198:FK198&gt;0,"")))</f>
        <v/>
      </c>
    </row>
    <row r="199" spans="6:21" x14ac:dyDescent="0.3">
      <c r="F199" s="2" cm="1">
        <f t="array" ref="F199">COUNTA(_xlfn.UNIQUE(_xlfn._xlws.FILTER(chamca[Run],(chamca[Visual ID]=A199))))</f>
        <v>1</v>
      </c>
      <c r="G199" s="2">
        <f>_xlfn.XLOOKUP(A199,RevCoreCount!A:A,RevCoreCount!B:B,)</f>
        <v>0</v>
      </c>
      <c r="H199" s="2">
        <f>_xlfn.XLOOKUP(A199,RevCoreCount!A:A,RevCoreCount!E:E,)</f>
        <v>0</v>
      </c>
      <c r="I199" s="2">
        <f>_xlfn.XLOOKUP(A199,RevCHACount!A:A,RevCHACount!B:B)</f>
        <v>0</v>
      </c>
      <c r="J199" s="2">
        <f>_xlfn.XLOOKUP(A199,RevCHACount!A:A,RevCHACount!E:E)</f>
        <v>0</v>
      </c>
      <c r="K199" s="2">
        <f>_xlfn.XLOOKUP(A199,RevLLCCount!A:A,RevLLCCount!B:B,)</f>
        <v>0</v>
      </c>
      <c r="L199" s="2">
        <f>_xlfn.XLOOKUP(A199,RevLLCCount!A:A,RevLLCCount!E:E)</f>
        <v>0</v>
      </c>
      <c r="M199" s="1">
        <f>_xlfn.XLOOKUP(A199,RevCHACount!A:A,RevCHACount!F:F)</f>
        <v>0</v>
      </c>
      <c r="N199" s="1" t="str">
        <f>_xlfn.XLOOKUP(A199,'Other Errors'!A:A,'Other Errors'!B:B,"")</f>
        <v/>
      </c>
      <c r="O199" s="2" t="e">
        <f t="shared" si="32"/>
        <v>#N/A</v>
      </c>
      <c r="P199" s="2" t="e">
        <f t="shared" si="33"/>
        <v>#N/A</v>
      </c>
      <c r="Q199" s="2" t="e">
        <f t="shared" si="34"/>
        <v>#N/A</v>
      </c>
      <c r="R199" s="2" t="e">
        <f t="shared" si="35"/>
        <v>#N/A</v>
      </c>
      <c r="S199" s="2" t="str">
        <f t="shared" si="36"/>
        <v/>
      </c>
      <c r="T199" s="2" t="str">
        <f t="shared" si="37"/>
        <v/>
      </c>
      <c r="U199" s="8" t="str" cm="1">
        <f t="array" ref="U199">_xlfn.TEXTJOIN(", ",,_xlfn.UNIQUE(_xlfn._xlws.FILTER(EM$3:FK$3,EM199:FK199&gt;0,"")))</f>
        <v/>
      </c>
    </row>
    <row r="200" spans="6:21" x14ac:dyDescent="0.3">
      <c r="F200" s="2" cm="1">
        <f t="array" ref="F200">COUNTA(_xlfn.UNIQUE(_xlfn._xlws.FILTER(chamca[Run],(chamca[Visual ID]=A200))))</f>
        <v>1</v>
      </c>
      <c r="G200" s="2">
        <f>_xlfn.XLOOKUP(A200,RevCoreCount!A:A,RevCoreCount!B:B,)</f>
        <v>0</v>
      </c>
      <c r="H200" s="2">
        <f>_xlfn.XLOOKUP(A200,RevCoreCount!A:A,RevCoreCount!E:E,)</f>
        <v>0</v>
      </c>
      <c r="I200" s="2">
        <f>_xlfn.XLOOKUP(A200,RevCHACount!A:A,RevCHACount!B:B)</f>
        <v>0</v>
      </c>
      <c r="J200" s="2">
        <f>_xlfn.XLOOKUP(A200,RevCHACount!A:A,RevCHACount!E:E)</f>
        <v>0</v>
      </c>
      <c r="K200" s="2">
        <f>_xlfn.XLOOKUP(A200,RevLLCCount!A:A,RevLLCCount!B:B,)</f>
        <v>0</v>
      </c>
      <c r="L200" s="2">
        <f>_xlfn.XLOOKUP(A200,RevLLCCount!A:A,RevLLCCount!E:E)</f>
        <v>0</v>
      </c>
      <c r="M200" s="1">
        <f>_xlfn.XLOOKUP(A200,RevCHACount!A:A,RevCHACount!F:F)</f>
        <v>0</v>
      </c>
      <c r="N200" s="1" t="str">
        <f>_xlfn.XLOOKUP(A200,'Other Errors'!A:A,'Other Errors'!B:B,"")</f>
        <v/>
      </c>
      <c r="O200" s="2" t="e">
        <f t="shared" si="32"/>
        <v>#N/A</v>
      </c>
      <c r="P200" s="2" t="e">
        <f t="shared" si="33"/>
        <v>#N/A</v>
      </c>
      <c r="Q200" s="2" t="e">
        <f t="shared" si="34"/>
        <v>#N/A</v>
      </c>
      <c r="R200" s="2" t="e">
        <f t="shared" si="35"/>
        <v>#N/A</v>
      </c>
      <c r="S200" s="2" t="str">
        <f t="shared" si="36"/>
        <v/>
      </c>
      <c r="T200" s="2" t="str">
        <f t="shared" si="37"/>
        <v/>
      </c>
      <c r="U200" s="8" t="str" cm="1">
        <f t="array" ref="U200">_xlfn.TEXTJOIN(", ",,_xlfn.UNIQUE(_xlfn._xlws.FILTER(EM$3:FK$3,EM200:FK200&gt;0,"")))</f>
        <v/>
      </c>
    </row>
    <row r="201" spans="6:21" x14ac:dyDescent="0.3">
      <c r="F201" s="2" cm="1">
        <f t="array" ref="F201">COUNTA(_xlfn.UNIQUE(_xlfn._xlws.FILTER(chamca[Run],(chamca[Visual ID]=A201))))</f>
        <v>1</v>
      </c>
      <c r="G201" s="2">
        <f>_xlfn.XLOOKUP(A201,RevCoreCount!A:A,RevCoreCount!B:B,)</f>
        <v>0</v>
      </c>
      <c r="H201" s="2">
        <f>_xlfn.XLOOKUP(A201,RevCoreCount!A:A,RevCoreCount!E:E,)</f>
        <v>0</v>
      </c>
      <c r="I201" s="2">
        <f>_xlfn.XLOOKUP(A201,RevCHACount!A:A,RevCHACount!B:B)</f>
        <v>0</v>
      </c>
      <c r="J201" s="2">
        <f>_xlfn.XLOOKUP(A201,RevCHACount!A:A,RevCHACount!E:E)</f>
        <v>0</v>
      </c>
      <c r="K201" s="2">
        <f>_xlfn.XLOOKUP(A201,RevLLCCount!A:A,RevLLCCount!B:B,)</f>
        <v>0</v>
      </c>
      <c r="L201" s="2">
        <f>_xlfn.XLOOKUP(A201,RevLLCCount!A:A,RevLLCCount!E:E)</f>
        <v>0</v>
      </c>
      <c r="M201" s="1">
        <f>_xlfn.XLOOKUP(A201,RevCHACount!A:A,RevCHACount!F:F)</f>
        <v>0</v>
      </c>
      <c r="N201" s="1" t="str">
        <f>_xlfn.XLOOKUP(A201,'Other Errors'!A:A,'Other Errors'!B:B,"")</f>
        <v/>
      </c>
      <c r="O201" s="2" t="e">
        <f t="shared" si="32"/>
        <v>#N/A</v>
      </c>
      <c r="P201" s="2" t="e">
        <f t="shared" si="33"/>
        <v>#N/A</v>
      </c>
      <c r="Q201" s="2" t="e">
        <f t="shared" si="34"/>
        <v>#N/A</v>
      </c>
      <c r="R201" s="2" t="e">
        <f t="shared" si="35"/>
        <v>#N/A</v>
      </c>
      <c r="S201" s="2" t="str">
        <f t="shared" si="36"/>
        <v/>
      </c>
      <c r="T201" s="2" t="str">
        <f t="shared" si="37"/>
        <v/>
      </c>
      <c r="U201" s="8" t="str" cm="1">
        <f t="array" ref="U201">_xlfn.TEXTJOIN(", ",,_xlfn.UNIQUE(_xlfn._xlws.FILTER(EM$3:FK$3,EM201:FK201&gt;0,"")))</f>
        <v/>
      </c>
    </row>
    <row r="202" spans="6:21" x14ac:dyDescent="0.3">
      <c r="F202" s="2" cm="1">
        <f t="array" ref="F202">COUNTA(_xlfn.UNIQUE(_xlfn._xlws.FILTER(chamca[Run],(chamca[Visual ID]=A202))))</f>
        <v>1</v>
      </c>
      <c r="G202" s="2">
        <f>_xlfn.XLOOKUP(A202,RevCoreCount!A:A,RevCoreCount!B:B,)</f>
        <v>0</v>
      </c>
      <c r="H202" s="2">
        <f>_xlfn.XLOOKUP(A202,RevCoreCount!A:A,RevCoreCount!E:E,)</f>
        <v>0</v>
      </c>
      <c r="I202" s="2">
        <f>_xlfn.XLOOKUP(A202,RevCHACount!A:A,RevCHACount!B:B)</f>
        <v>0</v>
      </c>
      <c r="J202" s="2">
        <f>_xlfn.XLOOKUP(A202,RevCHACount!A:A,RevCHACount!E:E)</f>
        <v>0</v>
      </c>
      <c r="K202" s="2">
        <f>_xlfn.XLOOKUP(A202,RevLLCCount!A:A,RevLLCCount!B:B,)</f>
        <v>0</v>
      </c>
      <c r="L202" s="2">
        <f>_xlfn.XLOOKUP(A202,RevLLCCount!A:A,RevLLCCount!E:E)</f>
        <v>0</v>
      </c>
      <c r="M202" s="1">
        <f>_xlfn.XLOOKUP(A202,RevCHACount!A:A,RevCHACount!F:F)</f>
        <v>0</v>
      </c>
      <c r="N202" s="1" t="str">
        <f>_xlfn.XLOOKUP(A202,'Other Errors'!A:A,'Other Errors'!B:B,"")</f>
        <v/>
      </c>
      <c r="O202" s="2" t="e">
        <f t="shared" si="32"/>
        <v>#N/A</v>
      </c>
      <c r="P202" s="2" t="e">
        <f t="shared" si="33"/>
        <v>#N/A</v>
      </c>
      <c r="Q202" s="2" t="e">
        <f t="shared" si="34"/>
        <v>#N/A</v>
      </c>
      <c r="R202" s="2" t="e">
        <f t="shared" si="35"/>
        <v>#N/A</v>
      </c>
      <c r="S202" s="2" t="str">
        <f t="shared" si="36"/>
        <v/>
      </c>
      <c r="T202" s="2" t="str">
        <f t="shared" si="37"/>
        <v/>
      </c>
      <c r="U202" s="8" t="str" cm="1">
        <f t="array" ref="U202">_xlfn.TEXTJOIN(", ",,_xlfn.UNIQUE(_xlfn._xlws.FILTER(EM$3:FK$3,EM202:FK202&gt;0,"")))</f>
        <v/>
      </c>
    </row>
    <row r="203" spans="6:21" x14ac:dyDescent="0.3">
      <c r="F203" s="2" cm="1">
        <f t="array" ref="F203">COUNTA(_xlfn.UNIQUE(_xlfn._xlws.FILTER(chamca[Run],(chamca[Visual ID]=A203))))</f>
        <v>1</v>
      </c>
      <c r="G203" s="2">
        <f>_xlfn.XLOOKUP(A203,RevCoreCount!A:A,RevCoreCount!B:B,)</f>
        <v>0</v>
      </c>
      <c r="H203" s="2">
        <f>_xlfn.XLOOKUP(A203,RevCoreCount!A:A,RevCoreCount!E:E,)</f>
        <v>0</v>
      </c>
      <c r="I203" s="2">
        <f>_xlfn.XLOOKUP(A203,RevCHACount!A:A,RevCHACount!B:B)</f>
        <v>0</v>
      </c>
      <c r="J203" s="2">
        <f>_xlfn.XLOOKUP(A203,RevCHACount!A:A,RevCHACount!E:E)</f>
        <v>0</v>
      </c>
      <c r="K203" s="2">
        <f>_xlfn.XLOOKUP(A203,RevLLCCount!A:A,RevLLCCount!B:B,)</f>
        <v>0</v>
      </c>
      <c r="L203" s="2">
        <f>_xlfn.XLOOKUP(A203,RevLLCCount!A:A,RevLLCCount!E:E)</f>
        <v>0</v>
      </c>
      <c r="M203" s="1">
        <f>_xlfn.XLOOKUP(A203,RevCHACount!A:A,RevCHACount!F:F)</f>
        <v>0</v>
      </c>
      <c r="N203" s="1" t="str">
        <f>_xlfn.XLOOKUP(A203,'Other Errors'!A:A,'Other Errors'!B:B,"")</f>
        <v/>
      </c>
      <c r="O203" s="2" t="e">
        <f t="shared" si="32"/>
        <v>#N/A</v>
      </c>
      <c r="P203" s="2" t="e">
        <f t="shared" si="33"/>
        <v>#N/A</v>
      </c>
      <c r="Q203" s="2" t="e">
        <f t="shared" si="34"/>
        <v>#N/A</v>
      </c>
      <c r="R203" s="2" t="e">
        <f t="shared" si="35"/>
        <v>#N/A</v>
      </c>
      <c r="S203" s="2" t="str">
        <f t="shared" si="36"/>
        <v/>
      </c>
      <c r="T203" s="2" t="str">
        <f t="shared" si="37"/>
        <v/>
      </c>
      <c r="U203" s="8" t="str" cm="1">
        <f t="array" ref="U203">_xlfn.TEXTJOIN(", ",,_xlfn.UNIQUE(_xlfn._xlws.FILTER(EM$3:FK$3,EM203:FK203&gt;0,"")))</f>
        <v/>
      </c>
    </row>
    <row r="204" spans="6:21" x14ac:dyDescent="0.3">
      <c r="F204" s="2" cm="1">
        <f t="array" ref="F204">COUNTA(_xlfn.UNIQUE(_xlfn._xlws.FILTER(chamca[Run],(chamca[Visual ID]=A204))))</f>
        <v>1</v>
      </c>
      <c r="G204" s="2">
        <f>_xlfn.XLOOKUP(A204,RevCoreCount!A:A,RevCoreCount!B:B,)</f>
        <v>0</v>
      </c>
      <c r="H204" s="2">
        <f>_xlfn.XLOOKUP(A204,RevCoreCount!A:A,RevCoreCount!E:E,)</f>
        <v>0</v>
      </c>
      <c r="I204" s="2">
        <f>_xlfn.XLOOKUP(A204,RevCHACount!A:A,RevCHACount!B:B)</f>
        <v>0</v>
      </c>
      <c r="J204" s="2">
        <f>_xlfn.XLOOKUP(A204,RevCHACount!A:A,RevCHACount!E:E)</f>
        <v>0</v>
      </c>
      <c r="K204" s="2">
        <f>_xlfn.XLOOKUP(A204,RevLLCCount!A:A,RevLLCCount!B:B,)</f>
        <v>0</v>
      </c>
      <c r="L204" s="2">
        <f>_xlfn.XLOOKUP(A204,RevLLCCount!A:A,RevLLCCount!E:E)</f>
        <v>0</v>
      </c>
      <c r="M204" s="1">
        <f>_xlfn.XLOOKUP(A204,RevCHACount!A:A,RevCHACount!F:F)</f>
        <v>0</v>
      </c>
      <c r="N204" s="1" t="str">
        <f>_xlfn.XLOOKUP(A204,'Other Errors'!A:A,'Other Errors'!B:B,"")</f>
        <v/>
      </c>
      <c r="O204" s="2" t="e">
        <f t="shared" si="32"/>
        <v>#N/A</v>
      </c>
      <c r="P204" s="2" t="e">
        <f t="shared" si="33"/>
        <v>#N/A</v>
      </c>
      <c r="Q204" s="2" t="e">
        <f t="shared" si="34"/>
        <v>#N/A</v>
      </c>
      <c r="R204" s="2" t="e">
        <f t="shared" si="35"/>
        <v>#N/A</v>
      </c>
      <c r="S204" s="2" t="str">
        <f t="shared" si="36"/>
        <v/>
      </c>
      <c r="T204" s="2" t="str">
        <f t="shared" si="37"/>
        <v/>
      </c>
      <c r="U204" s="8" t="str" cm="1">
        <f t="array" ref="U204">_xlfn.TEXTJOIN(", ",,_xlfn.UNIQUE(_xlfn._xlws.FILTER(EM$3:FK$3,EM204:FK204&gt;0,"")))</f>
        <v/>
      </c>
    </row>
    <row r="205" spans="6:21" x14ac:dyDescent="0.3">
      <c r="F205" s="2" cm="1">
        <f t="array" ref="F205">COUNTA(_xlfn.UNIQUE(_xlfn._xlws.FILTER(chamca[Run],(chamca[Visual ID]=A205))))</f>
        <v>1</v>
      </c>
      <c r="G205" s="2">
        <f>_xlfn.XLOOKUP(A205,RevCoreCount!A:A,RevCoreCount!B:B,)</f>
        <v>0</v>
      </c>
      <c r="H205" s="2">
        <f>_xlfn.XLOOKUP(A205,RevCoreCount!A:A,RevCoreCount!E:E,)</f>
        <v>0</v>
      </c>
      <c r="I205" s="2">
        <f>_xlfn.XLOOKUP(A205,RevCHACount!A:A,RevCHACount!B:B)</f>
        <v>0</v>
      </c>
      <c r="J205" s="2">
        <f>_xlfn.XLOOKUP(A205,RevCHACount!A:A,RevCHACount!E:E)</f>
        <v>0</v>
      </c>
      <c r="K205" s="2">
        <f>_xlfn.XLOOKUP(A205,RevLLCCount!A:A,RevLLCCount!B:B,)</f>
        <v>0</v>
      </c>
      <c r="L205" s="2">
        <f>_xlfn.XLOOKUP(A205,RevLLCCount!A:A,RevLLCCount!E:E)</f>
        <v>0</v>
      </c>
      <c r="M205" s="1">
        <f>_xlfn.XLOOKUP(A205,RevCHACount!A:A,RevCHACount!F:F)</f>
        <v>0</v>
      </c>
      <c r="N205" s="1" t="str">
        <f>_xlfn.XLOOKUP(A205,'Other Errors'!A:A,'Other Errors'!B:B,"")</f>
        <v/>
      </c>
      <c r="O205" s="2" t="e">
        <f t="shared" si="32"/>
        <v>#N/A</v>
      </c>
      <c r="P205" s="2" t="e">
        <f t="shared" si="33"/>
        <v>#N/A</v>
      </c>
      <c r="Q205" s="2" t="e">
        <f t="shared" si="34"/>
        <v>#N/A</v>
      </c>
      <c r="R205" s="2" t="e">
        <f t="shared" si="35"/>
        <v>#N/A</v>
      </c>
      <c r="S205" s="2" t="str">
        <f t="shared" si="36"/>
        <v/>
      </c>
      <c r="T205" s="2" t="str">
        <f t="shared" si="37"/>
        <v/>
      </c>
      <c r="U205" s="8" t="str" cm="1">
        <f t="array" ref="U205">_xlfn.TEXTJOIN(", ",,_xlfn.UNIQUE(_xlfn._xlws.FILTER(EM$3:FK$3,EM205:FK205&gt;0,"")))</f>
        <v/>
      </c>
    </row>
    <row r="206" spans="6:21" x14ac:dyDescent="0.3">
      <c r="F206" s="2" cm="1">
        <f t="array" ref="F206">COUNTA(_xlfn.UNIQUE(_xlfn._xlws.FILTER(chamca[Run],(chamca[Visual ID]=A206))))</f>
        <v>1</v>
      </c>
      <c r="G206" s="2">
        <f>_xlfn.XLOOKUP(A206,RevCoreCount!A:A,RevCoreCount!B:B,)</f>
        <v>0</v>
      </c>
      <c r="H206" s="2">
        <f>_xlfn.XLOOKUP(A206,RevCoreCount!A:A,RevCoreCount!E:E,)</f>
        <v>0</v>
      </c>
      <c r="I206" s="2">
        <f>_xlfn.XLOOKUP(A206,RevCHACount!A:A,RevCHACount!B:B)</f>
        <v>0</v>
      </c>
      <c r="J206" s="2">
        <f>_xlfn.XLOOKUP(A206,RevCHACount!A:A,RevCHACount!E:E)</f>
        <v>0</v>
      </c>
      <c r="K206" s="2">
        <f>_xlfn.XLOOKUP(A206,RevLLCCount!A:A,RevLLCCount!B:B,)</f>
        <v>0</v>
      </c>
      <c r="L206" s="2">
        <f>_xlfn.XLOOKUP(A206,RevLLCCount!A:A,RevLLCCount!E:E)</f>
        <v>0</v>
      </c>
      <c r="M206" s="1">
        <f>_xlfn.XLOOKUP(A206,RevCHACount!A:A,RevCHACount!F:F)</f>
        <v>0</v>
      </c>
      <c r="N206" s="1" t="str">
        <f>_xlfn.XLOOKUP(A206,'Other Errors'!A:A,'Other Errors'!B:B,"")</f>
        <v/>
      </c>
      <c r="O206" s="2" t="e">
        <f t="shared" ref="O206:O207" si="38">_xlfn.XLOOKUP(MAX(X206:BH206),X206:BH206,X$3:BH$3)</f>
        <v>#N/A</v>
      </c>
      <c r="P206" s="2" t="e">
        <f t="shared" ref="P206:P207" si="39">_xlfn.XLOOKUP(MAX(BJ206:CO206),BJ206:CO206,BJ$3:CO$3)</f>
        <v>#N/A</v>
      </c>
      <c r="Q206" s="2" t="e">
        <f t="shared" ref="Q206:Q207" si="40">_xlfn.XLOOKUP(MAX(CZ206:DI206),CZ206:DI206,CZ$3:DI$3)</f>
        <v>#N/A</v>
      </c>
      <c r="R206" s="2" t="e">
        <f t="shared" ref="R206:R207" si="41">_xlfn.XLOOKUP(MAX(CQ206:CX206),CQ206:CX206,CQ$3:CX$3)</f>
        <v>#N/A</v>
      </c>
      <c r="S206" s="2" t="str">
        <f t="shared" ref="S206:S207" si="42">_xlfn.XLOOKUP(MAX(DK206:EI206),DK206:EI206,DK$3:EI$3,"")</f>
        <v/>
      </c>
      <c r="T206" s="2" t="str">
        <f t="shared" si="37"/>
        <v/>
      </c>
      <c r="U206" s="8" t="str" cm="1">
        <f t="array" ref="U206">_xlfn.TEXTJOIN(", ",,_xlfn.UNIQUE(_xlfn._xlws.FILTER(EM$3:FK$3,EM206:FK206&gt;0,"")))</f>
        <v/>
      </c>
    </row>
    <row r="207" spans="6:21" x14ac:dyDescent="0.3">
      <c r="F207" s="2" cm="1">
        <f t="array" ref="F207">COUNTA(_xlfn.UNIQUE(_xlfn._xlws.FILTER(chamca[Run],(chamca[Visual ID]=A207))))</f>
        <v>1</v>
      </c>
      <c r="G207" s="2">
        <f>_xlfn.XLOOKUP(A207,RevCoreCount!A:A,RevCoreCount!B:B,)</f>
        <v>0</v>
      </c>
      <c r="H207" s="2">
        <f>_xlfn.XLOOKUP(A207,RevCoreCount!A:A,RevCoreCount!E:E,)</f>
        <v>0</v>
      </c>
      <c r="I207" s="2">
        <f>_xlfn.XLOOKUP(A207,RevCHACount!A:A,RevCHACount!B:B)</f>
        <v>0</v>
      </c>
      <c r="J207" s="2">
        <f>_xlfn.XLOOKUP(A207,RevCHACount!A:A,RevCHACount!E:E)</f>
        <v>0</v>
      </c>
      <c r="K207" s="2">
        <f>_xlfn.XLOOKUP(A207,RevLLCCount!A:A,RevLLCCount!B:B,)</f>
        <v>0</v>
      </c>
      <c r="L207" s="2">
        <f>_xlfn.XLOOKUP(A207,RevLLCCount!A:A,RevLLCCount!E:E)</f>
        <v>0</v>
      </c>
      <c r="M207" s="1">
        <f>_xlfn.XLOOKUP(A207,RevCHACount!A:A,RevCHACount!F:F)</f>
        <v>0</v>
      </c>
      <c r="N207" s="1" t="str">
        <f>_xlfn.XLOOKUP(A207,'Other Errors'!A:A,'Other Errors'!B:B,"")</f>
        <v/>
      </c>
      <c r="O207" s="2" t="e">
        <f t="shared" si="38"/>
        <v>#N/A</v>
      </c>
      <c r="P207" s="2" t="e">
        <f t="shared" si="39"/>
        <v>#N/A</v>
      </c>
      <c r="Q207" s="2" t="e">
        <f t="shared" si="40"/>
        <v>#N/A</v>
      </c>
      <c r="R207" s="2" t="e">
        <f t="shared" si="41"/>
        <v>#N/A</v>
      </c>
      <c r="S207" s="2" t="str">
        <f t="shared" si="42"/>
        <v/>
      </c>
      <c r="T207" s="2" t="str">
        <f t="shared" si="37"/>
        <v/>
      </c>
      <c r="U207" s="8" t="str" cm="1">
        <f t="array" ref="U207">_xlfn.TEXTJOIN(", ",,_xlfn.UNIQUE(_xlfn._xlws.FILTER(EM$3:FK$3,EM207:FK207&gt;0,"")))</f>
        <v/>
      </c>
    </row>
    <row r="208" spans="6:21" x14ac:dyDescent="0.3">
      <c r="F208" s="2" cm="1">
        <f t="array" ref="F208">COUNTA(_xlfn.UNIQUE(_xlfn._xlws.FILTER(chamca[Run],(chamca[Visual ID]=A208))))</f>
        <v>1</v>
      </c>
      <c r="G208" s="2">
        <f>_xlfn.XLOOKUP(A208,RevCoreCount!A:A,RevCoreCount!B:B,)</f>
        <v>0</v>
      </c>
      <c r="H208" s="2">
        <f>_xlfn.XLOOKUP(A208,RevCoreCount!A:A,RevCoreCount!E:E,)</f>
        <v>0</v>
      </c>
      <c r="I208" s="2">
        <f>_xlfn.XLOOKUP(A208,RevCHACount!A:A,RevCHACount!B:B)</f>
        <v>0</v>
      </c>
      <c r="J208" s="2">
        <f>_xlfn.XLOOKUP(A208,RevCHACount!A:A,RevCHACount!E:E)</f>
        <v>0</v>
      </c>
      <c r="K208" s="2">
        <f>_xlfn.XLOOKUP(A208,RevLLCCount!A:A,RevLLCCount!B:B,)</f>
        <v>0</v>
      </c>
      <c r="L208" s="2">
        <f>_xlfn.XLOOKUP(A208,RevLLCCount!A:A,RevLLCCount!E:E)</f>
        <v>0</v>
      </c>
      <c r="M208" s="1">
        <f>_xlfn.XLOOKUP(A208,RevCHACount!A:A,RevCHACount!F:F)</f>
        <v>0</v>
      </c>
      <c r="N208" s="1" t="str">
        <f>_xlfn.XLOOKUP(A208,'Other Errors'!A:A,'Other Errors'!B:B,"")</f>
        <v/>
      </c>
      <c r="O208" s="2" t="e">
        <f t="shared" ref="O208:O214" si="43">_xlfn.XLOOKUP(MAX(X208:BH208),X208:BH208,X$3:BH$3)</f>
        <v>#N/A</v>
      </c>
      <c r="P208" s="2" t="e">
        <f t="shared" ref="P208:P214" si="44">_xlfn.XLOOKUP(MAX(BJ208:CO208),BJ208:CO208,BJ$3:CO$3)</f>
        <v>#N/A</v>
      </c>
      <c r="Q208" s="2" t="e">
        <f t="shared" ref="Q208:Q214" si="45">_xlfn.XLOOKUP(MAX(CZ208:DI208),CZ208:DI208,CZ$3:DI$3)</f>
        <v>#N/A</v>
      </c>
      <c r="R208" s="2" t="e">
        <f t="shared" ref="R208:R214" si="46">_xlfn.XLOOKUP(MAX(CQ208:CX208),CQ208:CX208,CQ$3:CX$3)</f>
        <v>#N/A</v>
      </c>
      <c r="S208" s="2" t="str">
        <f t="shared" ref="S208:S214" si="47">_xlfn.XLOOKUP(MAX(DK208:EI208),DK208:EI208,DK$3:EI$3,"")</f>
        <v/>
      </c>
      <c r="T208" s="2" t="str">
        <f t="shared" si="37"/>
        <v/>
      </c>
      <c r="U208" s="8" t="str" cm="1">
        <f t="array" ref="U208">_xlfn.TEXTJOIN(", ",,_xlfn.UNIQUE(_xlfn._xlws.FILTER(EM$3:FK$3,EM208:FK208&gt;0,"")))</f>
        <v/>
      </c>
    </row>
    <row r="209" spans="6:21" x14ac:dyDescent="0.3">
      <c r="F209" s="2" cm="1">
        <f t="array" ref="F209">COUNTA(_xlfn.UNIQUE(_xlfn._xlws.FILTER(chamca[Run],(chamca[Visual ID]=A209))))</f>
        <v>1</v>
      </c>
      <c r="G209" s="2">
        <f>_xlfn.XLOOKUP(A209,RevCoreCount!A:A,RevCoreCount!B:B,)</f>
        <v>0</v>
      </c>
      <c r="H209" s="2">
        <f>_xlfn.XLOOKUP(A209,RevCoreCount!A:A,RevCoreCount!E:E,)</f>
        <v>0</v>
      </c>
      <c r="I209" s="2">
        <f>_xlfn.XLOOKUP(A209,RevCHACount!A:A,RevCHACount!B:B)</f>
        <v>0</v>
      </c>
      <c r="J209" s="2">
        <f>_xlfn.XLOOKUP(A209,RevCHACount!A:A,RevCHACount!E:E)</f>
        <v>0</v>
      </c>
      <c r="K209" s="2">
        <f>_xlfn.XLOOKUP(A209,RevLLCCount!A:A,RevLLCCount!B:B,)</f>
        <v>0</v>
      </c>
      <c r="L209" s="2">
        <f>_xlfn.XLOOKUP(A209,RevLLCCount!A:A,RevLLCCount!E:E)</f>
        <v>0</v>
      </c>
      <c r="M209" s="1">
        <f>_xlfn.XLOOKUP(A209,RevCHACount!A:A,RevCHACount!F:F)</f>
        <v>0</v>
      </c>
      <c r="N209" s="1" t="str">
        <f>_xlfn.XLOOKUP(A209,'Other Errors'!A:A,'Other Errors'!B:B,"")</f>
        <v/>
      </c>
      <c r="O209" s="2" t="e">
        <f t="shared" si="43"/>
        <v>#N/A</v>
      </c>
      <c r="P209" s="2" t="e">
        <f t="shared" si="44"/>
        <v>#N/A</v>
      </c>
      <c r="Q209" s="2" t="e">
        <f t="shared" si="45"/>
        <v>#N/A</v>
      </c>
      <c r="R209" s="2" t="e">
        <f t="shared" si="46"/>
        <v>#N/A</v>
      </c>
      <c r="S209" s="2" t="str">
        <f t="shared" si="47"/>
        <v/>
      </c>
      <c r="T209" s="2" t="str">
        <f t="shared" si="37"/>
        <v/>
      </c>
      <c r="U209" s="8" t="str" cm="1">
        <f t="array" ref="U209">_xlfn.TEXTJOIN(", ",,_xlfn.UNIQUE(_xlfn._xlws.FILTER(EM$3:FK$3,EM209:FK209&gt;0,"")))</f>
        <v/>
      </c>
    </row>
    <row r="210" spans="6:21" x14ac:dyDescent="0.3">
      <c r="F210" s="2" cm="1">
        <f t="array" ref="F210">COUNTA(_xlfn.UNIQUE(_xlfn._xlws.FILTER(chamca[Run],(chamca[Visual ID]=A210))))</f>
        <v>1</v>
      </c>
      <c r="G210" s="2">
        <f>_xlfn.XLOOKUP(A210,RevCoreCount!A:A,RevCoreCount!B:B,)</f>
        <v>0</v>
      </c>
      <c r="H210" s="2">
        <f>_xlfn.XLOOKUP(A210,RevCoreCount!A:A,RevCoreCount!E:E,)</f>
        <v>0</v>
      </c>
      <c r="I210" s="2">
        <f>_xlfn.XLOOKUP(A210,RevCHACount!A:A,RevCHACount!B:B)</f>
        <v>0</v>
      </c>
      <c r="J210" s="2">
        <f>_xlfn.XLOOKUP(A210,RevCHACount!A:A,RevCHACount!E:E)</f>
        <v>0</v>
      </c>
      <c r="K210" s="2">
        <f>_xlfn.XLOOKUP(A210,RevLLCCount!A:A,RevLLCCount!B:B,)</f>
        <v>0</v>
      </c>
      <c r="L210" s="2">
        <f>_xlfn.XLOOKUP(A210,RevLLCCount!A:A,RevLLCCount!E:E)</f>
        <v>0</v>
      </c>
      <c r="M210" s="1">
        <f>_xlfn.XLOOKUP(A210,RevCHACount!A:A,RevCHACount!F:F)</f>
        <v>0</v>
      </c>
      <c r="N210" s="1" t="str">
        <f>_xlfn.XLOOKUP(A210,'Other Errors'!A:A,'Other Errors'!B:B,"")</f>
        <v/>
      </c>
      <c r="O210" s="2" t="e">
        <f t="shared" si="43"/>
        <v>#N/A</v>
      </c>
      <c r="P210" s="2" t="e">
        <f t="shared" si="44"/>
        <v>#N/A</v>
      </c>
      <c r="Q210" s="2" t="e">
        <f t="shared" si="45"/>
        <v>#N/A</v>
      </c>
      <c r="R210" s="2" t="e">
        <f t="shared" si="46"/>
        <v>#N/A</v>
      </c>
      <c r="S210" s="2" t="str">
        <f t="shared" si="47"/>
        <v/>
      </c>
      <c r="T210" s="2" t="str">
        <f t="shared" si="37"/>
        <v/>
      </c>
      <c r="U210" s="8" t="str" cm="1">
        <f t="array" ref="U210">_xlfn.TEXTJOIN(", ",,_xlfn.UNIQUE(_xlfn._xlws.FILTER(EM$3:FK$3,EM210:FK210&gt;0,"")))</f>
        <v/>
      </c>
    </row>
    <row r="211" spans="6:21" x14ac:dyDescent="0.3">
      <c r="F211" s="2" cm="1">
        <f t="array" ref="F211">COUNTA(_xlfn.UNIQUE(_xlfn._xlws.FILTER(chamca[Run],(chamca[Visual ID]=A211))))</f>
        <v>1</v>
      </c>
      <c r="G211" s="2">
        <f>_xlfn.XLOOKUP(A211,RevCoreCount!A:A,RevCoreCount!B:B,)</f>
        <v>0</v>
      </c>
      <c r="H211" s="2">
        <f>_xlfn.XLOOKUP(A211,RevCoreCount!A:A,RevCoreCount!E:E,)</f>
        <v>0</v>
      </c>
      <c r="I211" s="2">
        <f>_xlfn.XLOOKUP(A211,RevCHACount!A:A,RevCHACount!B:B)</f>
        <v>0</v>
      </c>
      <c r="J211" s="2">
        <f>_xlfn.XLOOKUP(A211,RevCHACount!A:A,RevCHACount!E:E)</f>
        <v>0</v>
      </c>
      <c r="K211" s="2">
        <f>_xlfn.XLOOKUP(A211,RevLLCCount!A:A,RevLLCCount!B:B,)</f>
        <v>0</v>
      </c>
      <c r="L211" s="2">
        <f>_xlfn.XLOOKUP(A211,RevLLCCount!A:A,RevLLCCount!E:E)</f>
        <v>0</v>
      </c>
      <c r="M211" s="1">
        <f>_xlfn.XLOOKUP(A211,RevCHACount!A:A,RevCHACount!F:F)</f>
        <v>0</v>
      </c>
      <c r="N211" s="1" t="str">
        <f>_xlfn.XLOOKUP(A211,'Other Errors'!A:A,'Other Errors'!B:B,"")</f>
        <v/>
      </c>
      <c r="O211" s="2" t="e">
        <f t="shared" si="43"/>
        <v>#N/A</v>
      </c>
      <c r="P211" s="2" t="e">
        <f t="shared" si="44"/>
        <v>#N/A</v>
      </c>
      <c r="Q211" s="2" t="e">
        <f t="shared" si="45"/>
        <v>#N/A</v>
      </c>
      <c r="R211" s="2" t="e">
        <f t="shared" si="46"/>
        <v>#N/A</v>
      </c>
      <c r="S211" s="2" t="str">
        <f t="shared" si="47"/>
        <v/>
      </c>
      <c r="T211" s="2" t="str">
        <f t="shared" si="37"/>
        <v/>
      </c>
      <c r="U211" s="8" t="str" cm="1">
        <f t="array" ref="U211">_xlfn.TEXTJOIN(", ",,_xlfn.UNIQUE(_xlfn._xlws.FILTER(EM$3:FK$3,EM211:FK211&gt;0,"")))</f>
        <v/>
      </c>
    </row>
    <row r="212" spans="6:21" x14ac:dyDescent="0.3">
      <c r="F212" s="2" cm="1">
        <f t="array" ref="F212">COUNTA(_xlfn.UNIQUE(_xlfn._xlws.FILTER(chamca[Run],(chamca[Visual ID]=A212))))</f>
        <v>1</v>
      </c>
      <c r="G212" s="2">
        <f>_xlfn.XLOOKUP(A212,RevCoreCount!A:A,RevCoreCount!B:B,)</f>
        <v>0</v>
      </c>
      <c r="H212" s="2">
        <f>_xlfn.XLOOKUP(A212,RevCoreCount!A:A,RevCoreCount!E:E,)</f>
        <v>0</v>
      </c>
      <c r="I212" s="2">
        <f>_xlfn.XLOOKUP(A212,RevCHACount!A:A,RevCHACount!B:B)</f>
        <v>0</v>
      </c>
      <c r="J212" s="2">
        <f>_xlfn.XLOOKUP(A212,RevCHACount!A:A,RevCHACount!E:E)</f>
        <v>0</v>
      </c>
      <c r="K212" s="2">
        <f>_xlfn.XLOOKUP(A212,RevLLCCount!A:A,RevLLCCount!B:B,)</f>
        <v>0</v>
      </c>
      <c r="L212" s="2">
        <f>_xlfn.XLOOKUP(A212,RevLLCCount!A:A,RevLLCCount!E:E)</f>
        <v>0</v>
      </c>
      <c r="M212" s="1">
        <f>_xlfn.XLOOKUP(A212,RevCHACount!A:A,RevCHACount!F:F)</f>
        <v>0</v>
      </c>
      <c r="N212" s="1" t="str">
        <f>_xlfn.XLOOKUP(A212,'Other Errors'!A:A,'Other Errors'!B:B,"")</f>
        <v/>
      </c>
      <c r="O212" s="2" t="e">
        <f t="shared" si="43"/>
        <v>#N/A</v>
      </c>
      <c r="P212" s="2" t="e">
        <f t="shared" si="44"/>
        <v>#N/A</v>
      </c>
      <c r="Q212" s="2" t="e">
        <f t="shared" si="45"/>
        <v>#N/A</v>
      </c>
      <c r="R212" s="2" t="e">
        <f t="shared" si="46"/>
        <v>#N/A</v>
      </c>
      <c r="S212" s="2" t="str">
        <f t="shared" si="47"/>
        <v/>
      </c>
      <c r="T212" s="2" t="str">
        <f t="shared" si="37"/>
        <v/>
      </c>
      <c r="U212" s="8" t="str" cm="1">
        <f t="array" ref="U212">_xlfn.TEXTJOIN(", ",,_xlfn.UNIQUE(_xlfn._xlws.FILTER(EM$3:FK$3,EM212:FK212&gt;0,"")))</f>
        <v/>
      </c>
    </row>
    <row r="213" spans="6:21" x14ac:dyDescent="0.3">
      <c r="F213" s="2" cm="1">
        <f t="array" ref="F213">COUNTA(_xlfn.UNIQUE(_xlfn._xlws.FILTER(chamca[Run],(chamca[Visual ID]=A213))))</f>
        <v>1</v>
      </c>
      <c r="G213" s="2">
        <f>_xlfn.XLOOKUP(A213,RevCoreCount!A:A,RevCoreCount!B:B,)</f>
        <v>0</v>
      </c>
      <c r="H213" s="2">
        <f>_xlfn.XLOOKUP(A213,RevCoreCount!A:A,RevCoreCount!E:E,)</f>
        <v>0</v>
      </c>
      <c r="I213" s="2">
        <f>_xlfn.XLOOKUP(A213,RevCHACount!A:A,RevCHACount!B:B)</f>
        <v>0</v>
      </c>
      <c r="J213" s="2">
        <f>_xlfn.XLOOKUP(A213,RevCHACount!A:A,RevCHACount!E:E)</f>
        <v>0</v>
      </c>
      <c r="K213" s="2">
        <f>_xlfn.XLOOKUP(A213,RevLLCCount!A:A,RevLLCCount!B:B,)</f>
        <v>0</v>
      </c>
      <c r="L213" s="2">
        <f>_xlfn.XLOOKUP(A213,RevLLCCount!A:A,RevLLCCount!E:E)</f>
        <v>0</v>
      </c>
      <c r="M213" s="1">
        <f>_xlfn.XLOOKUP(A213,RevCHACount!A:A,RevCHACount!F:F)</f>
        <v>0</v>
      </c>
      <c r="N213" s="1" t="str">
        <f>_xlfn.XLOOKUP(A213,'Other Errors'!A:A,'Other Errors'!B:B,"")</f>
        <v/>
      </c>
      <c r="O213" s="2" t="e">
        <f t="shared" si="43"/>
        <v>#N/A</v>
      </c>
      <c r="P213" s="2" t="e">
        <f t="shared" si="44"/>
        <v>#N/A</v>
      </c>
      <c r="Q213" s="2" t="e">
        <f t="shared" si="45"/>
        <v>#N/A</v>
      </c>
      <c r="R213" s="2" t="e">
        <f t="shared" si="46"/>
        <v>#N/A</v>
      </c>
      <c r="S213" s="2" t="str">
        <f t="shared" si="47"/>
        <v/>
      </c>
      <c r="T213" s="2" t="str">
        <f t="shared" si="37"/>
        <v/>
      </c>
      <c r="U213" s="8" t="str" cm="1">
        <f t="array" ref="U213">_xlfn.TEXTJOIN(", ",,_xlfn.UNIQUE(_xlfn._xlws.FILTER(EM$3:FK$3,EM213:FK213&gt;0,"")))</f>
        <v/>
      </c>
    </row>
    <row r="214" spans="6:21" x14ac:dyDescent="0.3">
      <c r="F214" s="2" cm="1">
        <f t="array" ref="F214">COUNTA(_xlfn.UNIQUE(_xlfn._xlws.FILTER(chamca[Run],(chamca[Visual ID]=A214))))</f>
        <v>1</v>
      </c>
      <c r="G214" s="2">
        <f>_xlfn.XLOOKUP(A214,RevCoreCount!A:A,RevCoreCount!B:B,)</f>
        <v>0</v>
      </c>
      <c r="H214" s="2">
        <f>_xlfn.XLOOKUP(A214,RevCoreCount!A:A,RevCoreCount!E:E,)</f>
        <v>0</v>
      </c>
      <c r="I214" s="2">
        <f>_xlfn.XLOOKUP(A214,RevCHACount!A:A,RevCHACount!B:B)</f>
        <v>0</v>
      </c>
      <c r="J214" s="2">
        <f>_xlfn.XLOOKUP(A214,RevCHACount!A:A,RevCHACount!E:E)</f>
        <v>0</v>
      </c>
      <c r="K214" s="2">
        <f>_xlfn.XLOOKUP(A214,RevLLCCount!A:A,RevLLCCount!B:B,)</f>
        <v>0</v>
      </c>
      <c r="L214" s="2">
        <f>_xlfn.XLOOKUP(A214,RevLLCCount!A:A,RevLLCCount!E:E)</f>
        <v>0</v>
      </c>
      <c r="M214" s="1">
        <f>_xlfn.XLOOKUP(A214,RevCHACount!A:A,RevCHACount!F:F)</f>
        <v>0</v>
      </c>
      <c r="N214" s="1" t="str">
        <f>_xlfn.XLOOKUP(A214,'Other Errors'!A:A,'Other Errors'!B:B,"")</f>
        <v/>
      </c>
      <c r="O214" s="2" t="e">
        <f t="shared" si="43"/>
        <v>#N/A</v>
      </c>
      <c r="P214" s="2" t="e">
        <f t="shared" si="44"/>
        <v>#N/A</v>
      </c>
      <c r="Q214" s="2" t="e">
        <f t="shared" si="45"/>
        <v>#N/A</v>
      </c>
      <c r="R214" s="2" t="e">
        <f t="shared" si="46"/>
        <v>#N/A</v>
      </c>
      <c r="S214" s="2" t="str">
        <f t="shared" si="47"/>
        <v/>
      </c>
      <c r="T214" s="2" t="str">
        <f t="shared" si="37"/>
        <v/>
      </c>
      <c r="U214" s="8" t="str" cm="1">
        <f t="array" ref="U214">_xlfn.TEXTJOIN(", ",,_xlfn.UNIQUE(_xlfn._xlws.FILTER(EM$3:FK$3,EM214:FK214&gt;0,"")))</f>
        <v/>
      </c>
    </row>
    <row r="215" spans="6:21" x14ac:dyDescent="0.3">
      <c r="F215" s="2" cm="1">
        <f t="array" ref="F215">COUNTA(_xlfn.UNIQUE(_xlfn._xlws.FILTER(chamca[Run],(chamca[Visual ID]=A215))))</f>
        <v>1</v>
      </c>
      <c r="G215" s="2">
        <f>_xlfn.XLOOKUP(A215,RevCoreCount!A:A,RevCoreCount!B:B,)</f>
        <v>0</v>
      </c>
      <c r="H215" s="2">
        <f>_xlfn.XLOOKUP(A215,RevCoreCount!A:A,RevCoreCount!E:E,)</f>
        <v>0</v>
      </c>
      <c r="I215" s="2">
        <f>_xlfn.XLOOKUP(A215,RevCHACount!A:A,RevCHACount!B:B)</f>
        <v>0</v>
      </c>
      <c r="J215" s="2">
        <f>_xlfn.XLOOKUP(A215,RevCHACount!A:A,RevCHACount!E:E)</f>
        <v>0</v>
      </c>
      <c r="K215" s="2">
        <f>_xlfn.XLOOKUP(A215,RevLLCCount!A:A,RevLLCCount!B:B,)</f>
        <v>0</v>
      </c>
      <c r="L215" s="2">
        <f>_xlfn.XLOOKUP(A215,RevLLCCount!A:A,RevLLCCount!E:E)</f>
        <v>0</v>
      </c>
      <c r="M215" s="1">
        <f>_xlfn.XLOOKUP(A215,RevCHACount!A:A,RevCHACount!F:F)</f>
        <v>0</v>
      </c>
      <c r="N215" s="1" t="str">
        <f>_xlfn.XLOOKUP(A215,'Other Errors'!A:A,'Other Errors'!B:B,"")</f>
        <v/>
      </c>
      <c r="O215" s="2" t="e">
        <f t="shared" ref="O215:O233" si="48">_xlfn.XLOOKUP(MAX(X215:BH215),X215:BH215,X$3:BH$3)</f>
        <v>#N/A</v>
      </c>
      <c r="P215" s="2" t="e">
        <f t="shared" ref="P215:P233" si="49">_xlfn.XLOOKUP(MAX(BJ215:CO215),BJ215:CO215,BJ$3:CO$3)</f>
        <v>#N/A</v>
      </c>
      <c r="Q215" s="2" t="e">
        <f t="shared" ref="Q215:Q233" si="50">_xlfn.XLOOKUP(MAX(CZ215:DI215),CZ215:DI215,CZ$3:DI$3)</f>
        <v>#N/A</v>
      </c>
      <c r="R215" s="2" t="e">
        <f t="shared" ref="R215:R233" si="51">_xlfn.XLOOKUP(MAX(CQ215:CX215),CQ215:CX215,CQ$3:CX$3)</f>
        <v>#N/A</v>
      </c>
      <c r="S215" s="2" t="str">
        <f t="shared" ref="S215:S233" si="52">_xlfn.XLOOKUP(MAX(DK215:EI215),DK215:EI215,DK$3:EI$3,"")</f>
        <v/>
      </c>
      <c r="T215" s="2" t="str">
        <f t="shared" si="37"/>
        <v/>
      </c>
      <c r="U215" s="8" t="str" cm="1">
        <f t="array" ref="U215">_xlfn.TEXTJOIN(", ",,_xlfn.UNIQUE(_xlfn._xlws.FILTER(EM$3:FK$3,EM215:FK215&gt;0,"")))</f>
        <v/>
      </c>
    </row>
    <row r="216" spans="6:21" x14ac:dyDescent="0.3">
      <c r="F216" s="2" cm="1">
        <f t="array" ref="F216">COUNTA(_xlfn.UNIQUE(_xlfn._xlws.FILTER(chamca[Run],(chamca[Visual ID]=A216))))</f>
        <v>1</v>
      </c>
      <c r="G216" s="2">
        <f>_xlfn.XLOOKUP(A216,RevCoreCount!A:A,RevCoreCount!B:B,)</f>
        <v>0</v>
      </c>
      <c r="H216" s="2">
        <f>_xlfn.XLOOKUP(A216,RevCoreCount!A:A,RevCoreCount!E:E,)</f>
        <v>0</v>
      </c>
      <c r="I216" s="2">
        <f>_xlfn.XLOOKUP(A216,RevCHACount!A:A,RevCHACount!B:B)</f>
        <v>0</v>
      </c>
      <c r="J216" s="2">
        <f>_xlfn.XLOOKUP(A216,RevCHACount!A:A,RevCHACount!E:E)</f>
        <v>0</v>
      </c>
      <c r="K216" s="2">
        <f>_xlfn.XLOOKUP(A216,RevLLCCount!A:A,RevLLCCount!B:B,)</f>
        <v>0</v>
      </c>
      <c r="L216" s="2">
        <f>_xlfn.XLOOKUP(A216,RevLLCCount!A:A,RevLLCCount!E:E)</f>
        <v>0</v>
      </c>
      <c r="M216" s="1">
        <f>_xlfn.XLOOKUP(A216,RevCHACount!A:A,RevCHACount!F:F)</f>
        <v>0</v>
      </c>
      <c r="N216" s="1" t="str">
        <f>_xlfn.XLOOKUP(A216,'Other Errors'!A:A,'Other Errors'!B:B,"")</f>
        <v/>
      </c>
      <c r="O216" s="2" t="e">
        <f t="shared" si="48"/>
        <v>#N/A</v>
      </c>
      <c r="P216" s="2" t="e">
        <f t="shared" si="49"/>
        <v>#N/A</v>
      </c>
      <c r="Q216" s="2" t="e">
        <f t="shared" si="50"/>
        <v>#N/A</v>
      </c>
      <c r="R216" s="2" t="e">
        <f t="shared" si="51"/>
        <v>#N/A</v>
      </c>
      <c r="S216" s="2" t="str">
        <f t="shared" si="52"/>
        <v/>
      </c>
      <c r="T216" s="2" t="str">
        <f t="shared" si="37"/>
        <v/>
      </c>
      <c r="U216" s="8" t="str" cm="1">
        <f t="array" ref="U216">_xlfn.TEXTJOIN(", ",,_xlfn.UNIQUE(_xlfn._xlws.FILTER(EM$3:FK$3,EM216:FK216&gt;0,"")))</f>
        <v/>
      </c>
    </row>
    <row r="217" spans="6:21" x14ac:dyDescent="0.3">
      <c r="F217" s="2" cm="1">
        <f t="array" ref="F217">COUNTA(_xlfn.UNIQUE(_xlfn._xlws.FILTER(chamca[Run],(chamca[Visual ID]=A217))))</f>
        <v>1</v>
      </c>
      <c r="G217" s="2">
        <f>_xlfn.XLOOKUP(A217,RevCoreCount!A:A,RevCoreCount!B:B,)</f>
        <v>0</v>
      </c>
      <c r="H217" s="2">
        <f>_xlfn.XLOOKUP(A217,RevCoreCount!A:A,RevCoreCount!E:E,)</f>
        <v>0</v>
      </c>
      <c r="I217" s="2">
        <f>_xlfn.XLOOKUP(A217,RevCHACount!A:A,RevCHACount!B:B)</f>
        <v>0</v>
      </c>
      <c r="J217" s="2">
        <f>_xlfn.XLOOKUP(A217,RevCHACount!A:A,RevCHACount!E:E)</f>
        <v>0</v>
      </c>
      <c r="K217" s="2">
        <f>_xlfn.XLOOKUP(A217,RevLLCCount!A:A,RevLLCCount!B:B,)</f>
        <v>0</v>
      </c>
      <c r="L217" s="2">
        <f>_xlfn.XLOOKUP(A217,RevLLCCount!A:A,RevLLCCount!E:E)</f>
        <v>0</v>
      </c>
      <c r="M217" s="1">
        <f>_xlfn.XLOOKUP(A217,RevCHACount!A:A,RevCHACount!F:F)</f>
        <v>0</v>
      </c>
      <c r="N217" s="1" t="str">
        <f>_xlfn.XLOOKUP(A217,'Other Errors'!A:A,'Other Errors'!B:B,"")</f>
        <v/>
      </c>
      <c r="O217" s="2" t="e">
        <f t="shared" si="48"/>
        <v>#N/A</v>
      </c>
      <c r="P217" s="2" t="e">
        <f t="shared" si="49"/>
        <v>#N/A</v>
      </c>
      <c r="Q217" s="2" t="e">
        <f t="shared" si="50"/>
        <v>#N/A</v>
      </c>
      <c r="R217" s="2" t="e">
        <f t="shared" si="51"/>
        <v>#N/A</v>
      </c>
      <c r="S217" s="2" t="str">
        <f t="shared" si="52"/>
        <v/>
      </c>
      <c r="T217" s="2" t="str">
        <f t="shared" si="37"/>
        <v/>
      </c>
      <c r="U217" s="8" t="str" cm="1">
        <f t="array" ref="U217">_xlfn.TEXTJOIN(", ",,_xlfn.UNIQUE(_xlfn._xlws.FILTER(EM$3:FK$3,EM217:FK217&gt;0,"")))</f>
        <v/>
      </c>
    </row>
    <row r="218" spans="6:21" x14ac:dyDescent="0.3">
      <c r="F218" s="2" cm="1">
        <f t="array" ref="F218">COUNTA(_xlfn.UNIQUE(_xlfn._xlws.FILTER(chamca[Run],(chamca[Visual ID]=A218))))</f>
        <v>1</v>
      </c>
      <c r="G218" s="2">
        <f>_xlfn.XLOOKUP(A218,RevCoreCount!A:A,RevCoreCount!B:B,)</f>
        <v>0</v>
      </c>
      <c r="H218" s="2">
        <f>_xlfn.XLOOKUP(A218,RevCoreCount!A:A,RevCoreCount!E:E,)</f>
        <v>0</v>
      </c>
      <c r="I218" s="2">
        <f>_xlfn.XLOOKUP(A218,RevCHACount!A:A,RevCHACount!B:B)</f>
        <v>0</v>
      </c>
      <c r="J218" s="2">
        <f>_xlfn.XLOOKUP(A218,RevCHACount!A:A,RevCHACount!E:E)</f>
        <v>0</v>
      </c>
      <c r="K218" s="2">
        <f>_xlfn.XLOOKUP(A218,RevLLCCount!A:A,RevLLCCount!B:B,)</f>
        <v>0</v>
      </c>
      <c r="L218" s="2">
        <f>_xlfn.XLOOKUP(A218,RevLLCCount!A:A,RevLLCCount!E:E)</f>
        <v>0</v>
      </c>
      <c r="M218" s="1">
        <f>_xlfn.XLOOKUP(A218,RevCHACount!A:A,RevCHACount!F:F)</f>
        <v>0</v>
      </c>
      <c r="N218" s="1" t="str">
        <f>_xlfn.XLOOKUP(A218,'Other Errors'!A:A,'Other Errors'!B:B,"")</f>
        <v/>
      </c>
      <c r="O218" s="2" t="e">
        <f t="shared" si="48"/>
        <v>#N/A</v>
      </c>
      <c r="P218" s="2" t="e">
        <f t="shared" si="49"/>
        <v>#N/A</v>
      </c>
      <c r="Q218" s="2" t="e">
        <f t="shared" si="50"/>
        <v>#N/A</v>
      </c>
      <c r="R218" s="2" t="e">
        <f t="shared" si="51"/>
        <v>#N/A</v>
      </c>
      <c r="S218" s="2" t="str">
        <f t="shared" si="52"/>
        <v/>
      </c>
      <c r="T218" s="2" t="str">
        <f t="shared" si="37"/>
        <v/>
      </c>
      <c r="U218" s="8" t="str" cm="1">
        <f t="array" ref="U218">_xlfn.TEXTJOIN(", ",,_xlfn.UNIQUE(_xlfn._xlws.FILTER(EM$3:FK$3,EM218:FK218&gt;0,"")))</f>
        <v/>
      </c>
    </row>
    <row r="219" spans="6:21" x14ac:dyDescent="0.3">
      <c r="F219" s="2" cm="1">
        <f t="array" ref="F219">COUNTA(_xlfn.UNIQUE(_xlfn._xlws.FILTER(chamca[Run],(chamca[Visual ID]=A219))))</f>
        <v>1</v>
      </c>
      <c r="G219" s="2">
        <f>_xlfn.XLOOKUP(A219,RevCoreCount!A:A,RevCoreCount!B:B,)</f>
        <v>0</v>
      </c>
      <c r="H219" s="2">
        <f>_xlfn.XLOOKUP(A219,RevCoreCount!A:A,RevCoreCount!E:E,)</f>
        <v>0</v>
      </c>
      <c r="I219" s="2">
        <f>_xlfn.XLOOKUP(A219,RevCHACount!A:A,RevCHACount!B:B)</f>
        <v>0</v>
      </c>
      <c r="J219" s="2">
        <f>_xlfn.XLOOKUP(A219,RevCHACount!A:A,RevCHACount!E:E)</f>
        <v>0</v>
      </c>
      <c r="K219" s="2">
        <f>_xlfn.XLOOKUP(A219,RevLLCCount!A:A,RevLLCCount!B:B,)</f>
        <v>0</v>
      </c>
      <c r="L219" s="2">
        <f>_xlfn.XLOOKUP(A219,RevLLCCount!A:A,RevLLCCount!E:E)</f>
        <v>0</v>
      </c>
      <c r="M219" s="1">
        <f>_xlfn.XLOOKUP(A219,RevCHACount!A:A,RevCHACount!F:F)</f>
        <v>0</v>
      </c>
      <c r="N219" s="1" t="str">
        <f>_xlfn.XLOOKUP(A219,'Other Errors'!A:A,'Other Errors'!B:B,"")</f>
        <v/>
      </c>
      <c r="O219" s="2" t="e">
        <f t="shared" si="48"/>
        <v>#N/A</v>
      </c>
      <c r="P219" s="2" t="e">
        <f t="shared" si="49"/>
        <v>#N/A</v>
      </c>
      <c r="Q219" s="2" t="e">
        <f t="shared" si="50"/>
        <v>#N/A</v>
      </c>
      <c r="R219" s="2" t="e">
        <f t="shared" si="51"/>
        <v>#N/A</v>
      </c>
      <c r="S219" s="2" t="str">
        <f t="shared" si="52"/>
        <v/>
      </c>
      <c r="T219" s="2" t="str">
        <f t="shared" si="37"/>
        <v/>
      </c>
      <c r="U219" s="8" t="str" cm="1">
        <f t="array" ref="U219">_xlfn.TEXTJOIN(", ",,_xlfn.UNIQUE(_xlfn._xlws.FILTER(EM$3:FK$3,EM219:FK219&gt;0,"")))</f>
        <v/>
      </c>
    </row>
    <row r="220" spans="6:21" x14ac:dyDescent="0.3">
      <c r="F220" s="2" cm="1">
        <f t="array" ref="F220">COUNTA(_xlfn.UNIQUE(_xlfn._xlws.FILTER(chamca[Run],(chamca[Visual ID]=A220))))</f>
        <v>1</v>
      </c>
      <c r="G220" s="2">
        <f>_xlfn.XLOOKUP(A220,RevCoreCount!A:A,RevCoreCount!B:B,)</f>
        <v>0</v>
      </c>
      <c r="H220" s="2">
        <f>_xlfn.XLOOKUP(A220,RevCoreCount!A:A,RevCoreCount!E:E,)</f>
        <v>0</v>
      </c>
      <c r="I220" s="2">
        <f>_xlfn.XLOOKUP(A220,RevCHACount!A:A,RevCHACount!B:B)</f>
        <v>0</v>
      </c>
      <c r="J220" s="2">
        <f>_xlfn.XLOOKUP(A220,RevCHACount!A:A,RevCHACount!E:E)</f>
        <v>0</v>
      </c>
      <c r="K220" s="2">
        <f>_xlfn.XLOOKUP(A220,RevLLCCount!A:A,RevLLCCount!B:B,)</f>
        <v>0</v>
      </c>
      <c r="L220" s="2">
        <f>_xlfn.XLOOKUP(A220,RevLLCCount!A:A,RevLLCCount!E:E)</f>
        <v>0</v>
      </c>
      <c r="M220" s="1">
        <f>_xlfn.XLOOKUP(A220,RevCHACount!A:A,RevCHACount!F:F)</f>
        <v>0</v>
      </c>
      <c r="N220" s="1" t="str">
        <f>_xlfn.XLOOKUP(A220,'Other Errors'!A:A,'Other Errors'!B:B,"")</f>
        <v/>
      </c>
      <c r="O220" s="2" t="e">
        <f t="shared" si="48"/>
        <v>#N/A</v>
      </c>
      <c r="P220" s="2" t="e">
        <f t="shared" si="49"/>
        <v>#N/A</v>
      </c>
      <c r="Q220" s="2" t="e">
        <f t="shared" si="50"/>
        <v>#N/A</v>
      </c>
      <c r="R220" s="2" t="e">
        <f t="shared" si="51"/>
        <v>#N/A</v>
      </c>
      <c r="S220" s="2" t="str">
        <f t="shared" si="52"/>
        <v/>
      </c>
      <c r="T220" s="2" t="str">
        <f t="shared" si="37"/>
        <v/>
      </c>
      <c r="U220" s="8" t="str" cm="1">
        <f t="array" ref="U220">_xlfn.TEXTJOIN(", ",,_xlfn.UNIQUE(_xlfn._xlws.FILTER(EM$3:FK$3,EM220:FK220&gt;0,"")))</f>
        <v/>
      </c>
    </row>
    <row r="221" spans="6:21" x14ac:dyDescent="0.3">
      <c r="F221" s="2" cm="1">
        <f t="array" ref="F221">COUNTA(_xlfn.UNIQUE(_xlfn._xlws.FILTER(chamca[Run],(chamca[Visual ID]=A221))))</f>
        <v>1</v>
      </c>
      <c r="G221" s="2">
        <f>_xlfn.XLOOKUP(A221,RevCoreCount!A:A,RevCoreCount!B:B,)</f>
        <v>0</v>
      </c>
      <c r="H221" s="2">
        <f>_xlfn.XLOOKUP(A221,RevCoreCount!A:A,RevCoreCount!E:E,)</f>
        <v>0</v>
      </c>
      <c r="I221" s="2">
        <f>_xlfn.XLOOKUP(A221,RevCHACount!A:A,RevCHACount!B:B)</f>
        <v>0</v>
      </c>
      <c r="J221" s="2">
        <f>_xlfn.XLOOKUP(A221,RevCHACount!A:A,RevCHACount!E:E)</f>
        <v>0</v>
      </c>
      <c r="K221" s="2">
        <f>_xlfn.XLOOKUP(A221,RevLLCCount!A:A,RevLLCCount!B:B,)</f>
        <v>0</v>
      </c>
      <c r="L221" s="2">
        <f>_xlfn.XLOOKUP(A221,RevLLCCount!A:A,RevLLCCount!E:E)</f>
        <v>0</v>
      </c>
      <c r="M221" s="1">
        <f>_xlfn.XLOOKUP(A221,RevCHACount!A:A,RevCHACount!F:F)</f>
        <v>0</v>
      </c>
      <c r="N221" s="1" t="str">
        <f>_xlfn.XLOOKUP(A221,'Other Errors'!A:A,'Other Errors'!B:B,"")</f>
        <v/>
      </c>
      <c r="O221" s="2" t="e">
        <f t="shared" si="48"/>
        <v>#N/A</v>
      </c>
      <c r="P221" s="2" t="e">
        <f t="shared" si="49"/>
        <v>#N/A</v>
      </c>
      <c r="Q221" s="2" t="e">
        <f t="shared" si="50"/>
        <v>#N/A</v>
      </c>
      <c r="R221" s="2" t="e">
        <f t="shared" si="51"/>
        <v>#N/A</v>
      </c>
      <c r="S221" s="2" t="str">
        <f t="shared" si="52"/>
        <v/>
      </c>
      <c r="T221" s="2" t="str">
        <f t="shared" si="37"/>
        <v/>
      </c>
      <c r="U221" s="8" t="str" cm="1">
        <f t="array" ref="U221">_xlfn.TEXTJOIN(", ",,_xlfn.UNIQUE(_xlfn._xlws.FILTER(EM$3:FK$3,EM221:FK221&gt;0,"")))</f>
        <v/>
      </c>
    </row>
    <row r="222" spans="6:21" x14ac:dyDescent="0.3">
      <c r="F222" s="2" cm="1">
        <f t="array" ref="F222">COUNTA(_xlfn.UNIQUE(_xlfn._xlws.FILTER(chamca[Run],(chamca[Visual ID]=A222))))</f>
        <v>1</v>
      </c>
      <c r="G222" s="2">
        <f>_xlfn.XLOOKUP(A222,RevCoreCount!A:A,RevCoreCount!B:B,)</f>
        <v>0</v>
      </c>
      <c r="H222" s="2">
        <f>_xlfn.XLOOKUP(A222,RevCoreCount!A:A,RevCoreCount!E:E,)</f>
        <v>0</v>
      </c>
      <c r="I222" s="2">
        <f>_xlfn.XLOOKUP(A222,RevCHACount!A:A,RevCHACount!B:B)</f>
        <v>0</v>
      </c>
      <c r="J222" s="2">
        <f>_xlfn.XLOOKUP(A222,RevCHACount!A:A,RevCHACount!E:E)</f>
        <v>0</v>
      </c>
      <c r="K222" s="2">
        <f>_xlfn.XLOOKUP(A222,RevLLCCount!A:A,RevLLCCount!B:B,)</f>
        <v>0</v>
      </c>
      <c r="L222" s="2">
        <f>_xlfn.XLOOKUP(A222,RevLLCCount!A:A,RevLLCCount!E:E)</f>
        <v>0</v>
      </c>
      <c r="M222" s="1">
        <f>_xlfn.XLOOKUP(A222,RevCHACount!A:A,RevCHACount!F:F)</f>
        <v>0</v>
      </c>
      <c r="N222" s="1" t="str">
        <f>_xlfn.XLOOKUP(A222,'Other Errors'!A:A,'Other Errors'!B:B,"")</f>
        <v/>
      </c>
      <c r="O222" s="2" t="e">
        <f t="shared" si="48"/>
        <v>#N/A</v>
      </c>
      <c r="P222" s="2" t="e">
        <f t="shared" si="49"/>
        <v>#N/A</v>
      </c>
      <c r="Q222" s="2" t="e">
        <f t="shared" si="50"/>
        <v>#N/A</v>
      </c>
      <c r="R222" s="2" t="e">
        <f t="shared" si="51"/>
        <v>#N/A</v>
      </c>
      <c r="S222" s="2" t="str">
        <f t="shared" si="52"/>
        <v/>
      </c>
      <c r="T222" s="2" t="str">
        <f t="shared" si="37"/>
        <v/>
      </c>
      <c r="U222" s="8" t="str" cm="1">
        <f t="array" ref="U222">_xlfn.TEXTJOIN(", ",,_xlfn.UNIQUE(_xlfn._xlws.FILTER(EM$3:FK$3,EM222:FK222&gt;0,"")))</f>
        <v/>
      </c>
    </row>
    <row r="223" spans="6:21" x14ac:dyDescent="0.3">
      <c r="F223" s="2" cm="1">
        <f t="array" ref="F223">COUNTA(_xlfn.UNIQUE(_xlfn._xlws.FILTER(chamca[Run],(chamca[Visual ID]=A223))))</f>
        <v>1</v>
      </c>
      <c r="G223" s="2">
        <f>_xlfn.XLOOKUP(A223,RevCoreCount!A:A,RevCoreCount!B:B,)</f>
        <v>0</v>
      </c>
      <c r="H223" s="2">
        <f>_xlfn.XLOOKUP(A223,RevCoreCount!A:A,RevCoreCount!E:E,)</f>
        <v>0</v>
      </c>
      <c r="I223" s="2">
        <f>_xlfn.XLOOKUP(A223,RevCHACount!A:A,RevCHACount!B:B)</f>
        <v>0</v>
      </c>
      <c r="J223" s="2">
        <f>_xlfn.XLOOKUP(A223,RevCHACount!A:A,RevCHACount!E:E)</f>
        <v>0</v>
      </c>
      <c r="K223" s="2">
        <f>_xlfn.XLOOKUP(A223,RevLLCCount!A:A,RevLLCCount!B:B,)</f>
        <v>0</v>
      </c>
      <c r="L223" s="2">
        <f>_xlfn.XLOOKUP(A223,RevLLCCount!A:A,RevLLCCount!E:E)</f>
        <v>0</v>
      </c>
      <c r="M223" s="1">
        <f>_xlfn.XLOOKUP(A223,RevCHACount!A:A,RevCHACount!F:F)</f>
        <v>0</v>
      </c>
      <c r="N223" s="1" t="str">
        <f>_xlfn.XLOOKUP(A223,'Other Errors'!A:A,'Other Errors'!B:B,"")</f>
        <v/>
      </c>
      <c r="O223" s="2" t="e">
        <f t="shared" si="48"/>
        <v>#N/A</v>
      </c>
      <c r="P223" s="2" t="e">
        <f t="shared" si="49"/>
        <v>#N/A</v>
      </c>
      <c r="Q223" s="2" t="e">
        <f t="shared" si="50"/>
        <v>#N/A</v>
      </c>
      <c r="R223" s="2" t="e">
        <f t="shared" si="51"/>
        <v>#N/A</v>
      </c>
      <c r="S223" s="2" t="str">
        <f t="shared" si="52"/>
        <v/>
      </c>
      <c r="T223" s="2" t="str">
        <f t="shared" si="37"/>
        <v/>
      </c>
      <c r="U223" s="8" t="str" cm="1">
        <f t="array" ref="U223">_xlfn.TEXTJOIN(", ",,_xlfn.UNIQUE(_xlfn._xlws.FILTER(EM$3:FK$3,EM223:FK223&gt;0,"")))</f>
        <v/>
      </c>
    </row>
    <row r="224" spans="6:21" x14ac:dyDescent="0.3">
      <c r="F224" s="2" cm="1">
        <f t="array" ref="F224">COUNTA(_xlfn.UNIQUE(_xlfn._xlws.FILTER(chamca[Run],(chamca[Visual ID]=A224))))</f>
        <v>1</v>
      </c>
      <c r="G224" s="2">
        <f>_xlfn.XLOOKUP(A224,RevCoreCount!A:A,RevCoreCount!B:B,)</f>
        <v>0</v>
      </c>
      <c r="H224" s="2">
        <f>_xlfn.XLOOKUP(A224,RevCoreCount!A:A,RevCoreCount!E:E,)</f>
        <v>0</v>
      </c>
      <c r="I224" s="2">
        <f>_xlfn.XLOOKUP(A224,RevCHACount!A:A,RevCHACount!B:B)</f>
        <v>0</v>
      </c>
      <c r="J224" s="2">
        <f>_xlfn.XLOOKUP(A224,RevCHACount!A:A,RevCHACount!E:E)</f>
        <v>0</v>
      </c>
      <c r="K224" s="2">
        <f>_xlfn.XLOOKUP(A224,RevLLCCount!A:A,RevLLCCount!B:B,)</f>
        <v>0</v>
      </c>
      <c r="L224" s="2">
        <f>_xlfn.XLOOKUP(A224,RevLLCCount!A:A,RevLLCCount!E:E)</f>
        <v>0</v>
      </c>
      <c r="M224" s="1">
        <f>_xlfn.XLOOKUP(A224,RevCHACount!A:A,RevCHACount!F:F)</f>
        <v>0</v>
      </c>
      <c r="N224" s="1" t="str">
        <f>_xlfn.XLOOKUP(A224,'Other Errors'!A:A,'Other Errors'!B:B,"")</f>
        <v/>
      </c>
      <c r="O224" s="2" t="e">
        <f t="shared" si="48"/>
        <v>#N/A</v>
      </c>
      <c r="P224" s="2" t="e">
        <f t="shared" si="49"/>
        <v>#N/A</v>
      </c>
      <c r="Q224" s="2" t="e">
        <f t="shared" si="50"/>
        <v>#N/A</v>
      </c>
      <c r="R224" s="2" t="e">
        <f t="shared" si="51"/>
        <v>#N/A</v>
      </c>
      <c r="S224" s="2" t="str">
        <f t="shared" si="52"/>
        <v/>
      </c>
      <c r="T224" s="2" t="str">
        <f t="shared" si="37"/>
        <v/>
      </c>
      <c r="U224" s="8" t="str" cm="1">
        <f t="array" ref="U224">_xlfn.TEXTJOIN(", ",,_xlfn.UNIQUE(_xlfn._xlws.FILTER(EM$3:FK$3,EM224:FK224&gt;0,"")))</f>
        <v/>
      </c>
    </row>
    <row r="225" spans="6:21" x14ac:dyDescent="0.3">
      <c r="F225" s="2" cm="1">
        <f t="array" ref="F225">COUNTA(_xlfn.UNIQUE(_xlfn._xlws.FILTER(chamca[Run],(chamca[Visual ID]=A225))))</f>
        <v>1</v>
      </c>
      <c r="G225" s="2">
        <f>_xlfn.XLOOKUP(A225,RevCoreCount!A:A,RevCoreCount!B:B,)</f>
        <v>0</v>
      </c>
      <c r="H225" s="2">
        <f>_xlfn.XLOOKUP(A225,RevCoreCount!A:A,RevCoreCount!E:E,)</f>
        <v>0</v>
      </c>
      <c r="I225" s="2">
        <f>_xlfn.XLOOKUP(A225,RevCHACount!A:A,RevCHACount!B:B)</f>
        <v>0</v>
      </c>
      <c r="J225" s="2">
        <f>_xlfn.XLOOKUP(A225,RevCHACount!A:A,RevCHACount!E:E)</f>
        <v>0</v>
      </c>
      <c r="K225" s="2">
        <f>_xlfn.XLOOKUP(A225,RevLLCCount!A:A,RevLLCCount!B:B,)</f>
        <v>0</v>
      </c>
      <c r="L225" s="2">
        <f>_xlfn.XLOOKUP(A225,RevLLCCount!A:A,RevLLCCount!E:E)</f>
        <v>0</v>
      </c>
      <c r="M225" s="1">
        <f>_xlfn.XLOOKUP(A225,RevCHACount!A:A,RevCHACount!F:F)</f>
        <v>0</v>
      </c>
      <c r="N225" s="1" t="str">
        <f>_xlfn.XLOOKUP(A225,'Other Errors'!A:A,'Other Errors'!B:B,"")</f>
        <v/>
      </c>
      <c r="O225" s="2" t="e">
        <f t="shared" si="48"/>
        <v>#N/A</v>
      </c>
      <c r="P225" s="2" t="e">
        <f t="shared" si="49"/>
        <v>#N/A</v>
      </c>
      <c r="Q225" s="2" t="e">
        <f t="shared" si="50"/>
        <v>#N/A</v>
      </c>
      <c r="R225" s="2" t="e">
        <f t="shared" si="51"/>
        <v>#N/A</v>
      </c>
      <c r="S225" s="2" t="str">
        <f t="shared" si="52"/>
        <v/>
      </c>
      <c r="T225" s="2" t="str">
        <f t="shared" si="37"/>
        <v/>
      </c>
      <c r="U225" s="8" t="str" cm="1">
        <f t="array" ref="U225">_xlfn.TEXTJOIN(", ",,_xlfn.UNIQUE(_xlfn._xlws.FILTER(EM$3:FK$3,EM225:FK225&gt;0,"")))</f>
        <v/>
      </c>
    </row>
    <row r="226" spans="6:21" x14ac:dyDescent="0.3">
      <c r="F226" s="2" cm="1">
        <f t="array" ref="F226">COUNTA(_xlfn.UNIQUE(_xlfn._xlws.FILTER(chamca[Run],(chamca[Visual ID]=A226))))</f>
        <v>1</v>
      </c>
      <c r="G226" s="2">
        <f>_xlfn.XLOOKUP(A226,RevCoreCount!A:A,RevCoreCount!B:B,)</f>
        <v>0</v>
      </c>
      <c r="H226" s="2">
        <f>_xlfn.XLOOKUP(A226,RevCoreCount!A:A,RevCoreCount!E:E,)</f>
        <v>0</v>
      </c>
      <c r="I226" s="2">
        <f>_xlfn.XLOOKUP(A226,RevCHACount!A:A,RevCHACount!B:B)</f>
        <v>0</v>
      </c>
      <c r="J226" s="2">
        <f>_xlfn.XLOOKUP(A226,RevCHACount!A:A,RevCHACount!E:E)</f>
        <v>0</v>
      </c>
      <c r="K226" s="2">
        <f>_xlfn.XLOOKUP(A226,RevLLCCount!A:A,RevLLCCount!B:B,)</f>
        <v>0</v>
      </c>
      <c r="L226" s="2">
        <f>_xlfn.XLOOKUP(A226,RevLLCCount!A:A,RevLLCCount!E:E)</f>
        <v>0</v>
      </c>
      <c r="M226" s="1">
        <f>_xlfn.XLOOKUP(A226,RevCHACount!A:A,RevCHACount!F:F)</f>
        <v>0</v>
      </c>
      <c r="N226" s="1" t="str">
        <f>_xlfn.XLOOKUP(A226,'Other Errors'!A:A,'Other Errors'!B:B,"")</f>
        <v/>
      </c>
      <c r="O226" s="2" t="e">
        <f t="shared" si="48"/>
        <v>#N/A</v>
      </c>
      <c r="P226" s="2" t="e">
        <f t="shared" si="49"/>
        <v>#N/A</v>
      </c>
      <c r="Q226" s="2" t="e">
        <f t="shared" si="50"/>
        <v>#N/A</v>
      </c>
      <c r="R226" s="2" t="e">
        <f t="shared" si="51"/>
        <v>#N/A</v>
      </c>
      <c r="S226" s="2" t="str">
        <f t="shared" si="52"/>
        <v/>
      </c>
      <c r="T226" s="2" t="str">
        <f t="shared" si="37"/>
        <v/>
      </c>
      <c r="U226" s="8" t="str" cm="1">
        <f t="array" ref="U226">_xlfn.TEXTJOIN(", ",,_xlfn.UNIQUE(_xlfn._xlws.FILTER(EM$3:FK$3,EM226:FK226&gt;0,"")))</f>
        <v/>
      </c>
    </row>
    <row r="227" spans="6:21" x14ac:dyDescent="0.3">
      <c r="F227" s="2" cm="1">
        <f t="array" ref="F227">COUNTA(_xlfn.UNIQUE(_xlfn._xlws.FILTER(chamca[Run],(chamca[Visual ID]=A227))))</f>
        <v>1</v>
      </c>
      <c r="G227" s="2">
        <f>_xlfn.XLOOKUP(A227,RevCoreCount!A:A,RevCoreCount!B:B,)</f>
        <v>0</v>
      </c>
      <c r="H227" s="2">
        <f>_xlfn.XLOOKUP(A227,RevCoreCount!A:A,RevCoreCount!E:E,)</f>
        <v>0</v>
      </c>
      <c r="I227" s="2">
        <f>_xlfn.XLOOKUP(A227,RevCHACount!A:A,RevCHACount!B:B)</f>
        <v>0</v>
      </c>
      <c r="J227" s="2">
        <f>_xlfn.XLOOKUP(A227,RevCHACount!A:A,RevCHACount!E:E)</f>
        <v>0</v>
      </c>
      <c r="K227" s="2">
        <f>_xlfn.XLOOKUP(A227,RevLLCCount!A:A,RevLLCCount!B:B,)</f>
        <v>0</v>
      </c>
      <c r="L227" s="2">
        <f>_xlfn.XLOOKUP(A227,RevLLCCount!A:A,RevLLCCount!E:E)</f>
        <v>0</v>
      </c>
      <c r="M227" s="1">
        <f>_xlfn.XLOOKUP(A227,RevCHACount!A:A,RevCHACount!F:F)</f>
        <v>0</v>
      </c>
      <c r="N227" s="1" t="str">
        <f>_xlfn.XLOOKUP(A227,'Other Errors'!A:A,'Other Errors'!B:B,"")</f>
        <v/>
      </c>
      <c r="O227" s="2" t="e">
        <f t="shared" si="48"/>
        <v>#N/A</v>
      </c>
      <c r="P227" s="2" t="e">
        <f t="shared" si="49"/>
        <v>#N/A</v>
      </c>
      <c r="Q227" s="2" t="e">
        <f t="shared" si="50"/>
        <v>#N/A</v>
      </c>
      <c r="R227" s="2" t="e">
        <f t="shared" si="51"/>
        <v>#N/A</v>
      </c>
      <c r="S227" s="2" t="str">
        <f t="shared" si="52"/>
        <v/>
      </c>
      <c r="T227" s="2" t="str">
        <f t="shared" si="37"/>
        <v/>
      </c>
      <c r="U227" s="8" t="str" cm="1">
        <f t="array" ref="U227">_xlfn.TEXTJOIN(", ",,_xlfn.UNIQUE(_xlfn._xlws.FILTER(EM$3:FK$3,EM227:FK227&gt;0,"")))</f>
        <v/>
      </c>
    </row>
    <row r="228" spans="6:21" x14ac:dyDescent="0.3">
      <c r="F228" s="2" cm="1">
        <f t="array" ref="F228">COUNTA(_xlfn.UNIQUE(_xlfn._xlws.FILTER(chamca[Run],(chamca[Visual ID]=A228))))</f>
        <v>1</v>
      </c>
      <c r="G228" s="2">
        <f>_xlfn.XLOOKUP(A228,RevCoreCount!A:A,RevCoreCount!B:B,)</f>
        <v>0</v>
      </c>
      <c r="H228" s="2">
        <f>_xlfn.XLOOKUP(A228,RevCoreCount!A:A,RevCoreCount!E:E,)</f>
        <v>0</v>
      </c>
      <c r="I228" s="2">
        <f>_xlfn.XLOOKUP(A228,RevCHACount!A:A,RevCHACount!B:B)</f>
        <v>0</v>
      </c>
      <c r="J228" s="2">
        <f>_xlfn.XLOOKUP(A228,RevCHACount!A:A,RevCHACount!E:E)</f>
        <v>0</v>
      </c>
      <c r="K228" s="2">
        <f>_xlfn.XLOOKUP(A228,RevLLCCount!A:A,RevLLCCount!B:B,)</f>
        <v>0</v>
      </c>
      <c r="L228" s="2">
        <f>_xlfn.XLOOKUP(A228,RevLLCCount!A:A,RevLLCCount!E:E)</f>
        <v>0</v>
      </c>
      <c r="M228" s="1">
        <f>_xlfn.XLOOKUP(A228,RevCHACount!A:A,RevCHACount!F:F)</f>
        <v>0</v>
      </c>
      <c r="N228" s="1" t="str">
        <f>_xlfn.XLOOKUP(A228,'Other Errors'!A:A,'Other Errors'!B:B,"")</f>
        <v/>
      </c>
      <c r="O228" s="2" t="e">
        <f t="shared" si="48"/>
        <v>#N/A</v>
      </c>
      <c r="P228" s="2" t="e">
        <f t="shared" si="49"/>
        <v>#N/A</v>
      </c>
      <c r="Q228" s="2" t="e">
        <f t="shared" si="50"/>
        <v>#N/A</v>
      </c>
      <c r="R228" s="2" t="e">
        <f t="shared" si="51"/>
        <v>#N/A</v>
      </c>
      <c r="S228" s="2" t="str">
        <f t="shared" si="52"/>
        <v/>
      </c>
      <c r="T228" s="2" t="str">
        <f t="shared" si="37"/>
        <v/>
      </c>
      <c r="U228" s="8" t="str" cm="1">
        <f t="array" ref="U228">_xlfn.TEXTJOIN(", ",,_xlfn.UNIQUE(_xlfn._xlws.FILTER(EM$3:FK$3,EM228:FK228&gt;0,"")))</f>
        <v/>
      </c>
    </row>
    <row r="229" spans="6:21" x14ac:dyDescent="0.3">
      <c r="F229" s="2" cm="1">
        <f t="array" ref="F229">COUNTA(_xlfn.UNIQUE(_xlfn._xlws.FILTER(chamca[Run],(chamca[Visual ID]=A229))))</f>
        <v>1</v>
      </c>
      <c r="G229" s="2">
        <f>_xlfn.XLOOKUP(A229,RevCoreCount!A:A,RevCoreCount!B:B,)</f>
        <v>0</v>
      </c>
      <c r="H229" s="2">
        <f>_xlfn.XLOOKUP(A229,RevCoreCount!A:A,RevCoreCount!E:E,)</f>
        <v>0</v>
      </c>
      <c r="I229" s="2">
        <f>_xlfn.XLOOKUP(A229,RevCHACount!A:A,RevCHACount!B:B)</f>
        <v>0</v>
      </c>
      <c r="J229" s="2">
        <f>_xlfn.XLOOKUP(A229,RevCHACount!A:A,RevCHACount!E:E)</f>
        <v>0</v>
      </c>
      <c r="K229" s="2">
        <f>_xlfn.XLOOKUP(A229,RevLLCCount!A:A,RevLLCCount!B:B,)</f>
        <v>0</v>
      </c>
      <c r="L229" s="2">
        <f>_xlfn.XLOOKUP(A229,RevLLCCount!A:A,RevLLCCount!E:E)</f>
        <v>0</v>
      </c>
      <c r="M229" s="1">
        <f>_xlfn.XLOOKUP(A229,RevCHACount!A:A,RevCHACount!F:F)</f>
        <v>0</v>
      </c>
      <c r="N229" s="1" t="str">
        <f>_xlfn.XLOOKUP(A229,'Other Errors'!A:A,'Other Errors'!B:B,"")</f>
        <v/>
      </c>
      <c r="O229" s="2" t="e">
        <f t="shared" si="48"/>
        <v>#N/A</v>
      </c>
      <c r="P229" s="2" t="e">
        <f t="shared" si="49"/>
        <v>#N/A</v>
      </c>
      <c r="Q229" s="2" t="e">
        <f t="shared" si="50"/>
        <v>#N/A</v>
      </c>
      <c r="R229" s="2" t="e">
        <f t="shared" si="51"/>
        <v>#N/A</v>
      </c>
      <c r="S229" s="2" t="str">
        <f t="shared" si="52"/>
        <v/>
      </c>
      <c r="T229" s="2" t="str">
        <f t="shared" si="37"/>
        <v/>
      </c>
      <c r="U229" s="8" t="str" cm="1">
        <f t="array" ref="U229">_xlfn.TEXTJOIN(", ",,_xlfn.UNIQUE(_xlfn._xlws.FILTER(EM$3:FK$3,EM229:FK229&gt;0,"")))</f>
        <v/>
      </c>
    </row>
    <row r="230" spans="6:21" x14ac:dyDescent="0.3">
      <c r="F230" s="2" cm="1">
        <f t="array" ref="F230">COUNTA(_xlfn.UNIQUE(_xlfn._xlws.FILTER(chamca[Run],(chamca[Visual ID]=A230))))</f>
        <v>1</v>
      </c>
      <c r="G230" s="2">
        <f>_xlfn.XLOOKUP(A230,RevCoreCount!A:A,RevCoreCount!B:B,)</f>
        <v>0</v>
      </c>
      <c r="H230" s="2">
        <f>_xlfn.XLOOKUP(A230,RevCoreCount!A:A,RevCoreCount!E:E,)</f>
        <v>0</v>
      </c>
      <c r="I230" s="2">
        <f>_xlfn.XLOOKUP(A230,RevCHACount!A:A,RevCHACount!B:B)</f>
        <v>0</v>
      </c>
      <c r="J230" s="2">
        <f>_xlfn.XLOOKUP(A230,RevCHACount!A:A,RevCHACount!E:E)</f>
        <v>0</v>
      </c>
      <c r="K230" s="2">
        <f>_xlfn.XLOOKUP(A230,RevLLCCount!A:A,RevLLCCount!B:B,)</f>
        <v>0</v>
      </c>
      <c r="L230" s="2">
        <f>_xlfn.XLOOKUP(A230,RevLLCCount!A:A,RevLLCCount!E:E)</f>
        <v>0</v>
      </c>
      <c r="M230" s="1">
        <f>_xlfn.XLOOKUP(A230,RevCHACount!A:A,RevCHACount!F:F)</f>
        <v>0</v>
      </c>
      <c r="N230" s="1" t="str">
        <f>_xlfn.XLOOKUP(A230,'Other Errors'!A:A,'Other Errors'!B:B,"")</f>
        <v/>
      </c>
      <c r="O230" s="2" t="e">
        <f t="shared" si="48"/>
        <v>#N/A</v>
      </c>
      <c r="P230" s="2" t="e">
        <f t="shared" si="49"/>
        <v>#N/A</v>
      </c>
      <c r="Q230" s="2" t="e">
        <f t="shared" si="50"/>
        <v>#N/A</v>
      </c>
      <c r="R230" s="2" t="e">
        <f t="shared" si="51"/>
        <v>#N/A</v>
      </c>
      <c r="S230" s="2" t="str">
        <f t="shared" si="52"/>
        <v/>
      </c>
      <c r="T230" s="2" t="str">
        <f t="shared" si="37"/>
        <v/>
      </c>
      <c r="U230" s="8" t="str" cm="1">
        <f t="array" ref="U230">_xlfn.TEXTJOIN(", ",,_xlfn.UNIQUE(_xlfn._xlws.FILTER(EM$3:FK$3,EM230:FK230&gt;0,"")))</f>
        <v/>
      </c>
    </row>
    <row r="231" spans="6:21" x14ac:dyDescent="0.3">
      <c r="F231" s="2" cm="1">
        <f t="array" ref="F231">COUNTA(_xlfn.UNIQUE(_xlfn._xlws.FILTER(chamca[Run],(chamca[Visual ID]=A231))))</f>
        <v>1</v>
      </c>
      <c r="G231" s="2">
        <f>_xlfn.XLOOKUP(A231,RevCoreCount!A:A,RevCoreCount!B:B,)</f>
        <v>0</v>
      </c>
      <c r="H231" s="2">
        <f>_xlfn.XLOOKUP(A231,RevCoreCount!A:A,RevCoreCount!E:E,)</f>
        <v>0</v>
      </c>
      <c r="I231" s="2">
        <f>_xlfn.XLOOKUP(A231,RevCHACount!A:A,RevCHACount!B:B)</f>
        <v>0</v>
      </c>
      <c r="J231" s="2">
        <f>_xlfn.XLOOKUP(A231,RevCHACount!A:A,RevCHACount!E:E)</f>
        <v>0</v>
      </c>
      <c r="K231" s="2">
        <f>_xlfn.XLOOKUP(A231,RevLLCCount!A:A,RevLLCCount!B:B,)</f>
        <v>0</v>
      </c>
      <c r="L231" s="2">
        <f>_xlfn.XLOOKUP(A231,RevLLCCount!A:A,RevLLCCount!E:E)</f>
        <v>0</v>
      </c>
      <c r="M231" s="1">
        <f>_xlfn.XLOOKUP(A231,RevCHACount!A:A,RevCHACount!F:F)</f>
        <v>0</v>
      </c>
      <c r="N231" s="1" t="str">
        <f>_xlfn.XLOOKUP(A231,'Other Errors'!A:A,'Other Errors'!B:B,"")</f>
        <v/>
      </c>
      <c r="O231" s="2" t="e">
        <f t="shared" si="48"/>
        <v>#N/A</v>
      </c>
      <c r="P231" s="2" t="e">
        <f t="shared" si="49"/>
        <v>#N/A</v>
      </c>
      <c r="Q231" s="2" t="e">
        <f t="shared" si="50"/>
        <v>#N/A</v>
      </c>
      <c r="R231" s="2" t="e">
        <f t="shared" si="51"/>
        <v>#N/A</v>
      </c>
      <c r="S231" s="2" t="str">
        <f t="shared" si="52"/>
        <v/>
      </c>
      <c r="T231" s="2" t="str">
        <f t="shared" si="37"/>
        <v/>
      </c>
      <c r="U231" s="8" t="str" cm="1">
        <f t="array" ref="U231">_xlfn.TEXTJOIN(", ",,_xlfn.UNIQUE(_xlfn._xlws.FILTER(EM$3:FK$3,EM231:FK231&gt;0,"")))</f>
        <v/>
      </c>
    </row>
    <row r="232" spans="6:21" x14ac:dyDescent="0.3">
      <c r="F232" s="2" cm="1">
        <f t="array" ref="F232">COUNTA(_xlfn.UNIQUE(_xlfn._xlws.FILTER(chamca[Run],(chamca[Visual ID]=A232))))</f>
        <v>1</v>
      </c>
      <c r="G232" s="2">
        <f>_xlfn.XLOOKUP(A232,RevCoreCount!A:A,RevCoreCount!B:B,)</f>
        <v>0</v>
      </c>
      <c r="H232" s="2">
        <f>_xlfn.XLOOKUP(A232,RevCoreCount!A:A,RevCoreCount!E:E,)</f>
        <v>0</v>
      </c>
      <c r="I232" s="2">
        <f>_xlfn.XLOOKUP(A232,RevCHACount!A:A,RevCHACount!B:B)</f>
        <v>0</v>
      </c>
      <c r="J232" s="2">
        <f>_xlfn.XLOOKUP(A232,RevCHACount!A:A,RevCHACount!E:E)</f>
        <v>0</v>
      </c>
      <c r="K232" s="2">
        <f>_xlfn.XLOOKUP(A232,RevLLCCount!A:A,RevLLCCount!B:B,)</f>
        <v>0</v>
      </c>
      <c r="L232" s="2">
        <f>_xlfn.XLOOKUP(A232,RevLLCCount!A:A,RevLLCCount!E:E)</f>
        <v>0</v>
      </c>
      <c r="M232" s="1">
        <f>_xlfn.XLOOKUP(A232,RevCHACount!A:A,RevCHACount!F:F)</f>
        <v>0</v>
      </c>
      <c r="N232" s="1" t="str">
        <f>_xlfn.XLOOKUP(A232,'Other Errors'!A:A,'Other Errors'!B:B,"")</f>
        <v/>
      </c>
      <c r="O232" s="2" t="e">
        <f t="shared" si="48"/>
        <v>#N/A</v>
      </c>
      <c r="P232" s="2" t="e">
        <f t="shared" si="49"/>
        <v>#N/A</v>
      </c>
      <c r="Q232" s="2" t="e">
        <f t="shared" si="50"/>
        <v>#N/A</v>
      </c>
      <c r="R232" s="2" t="e">
        <f t="shared" si="51"/>
        <v>#N/A</v>
      </c>
      <c r="S232" s="2" t="str">
        <f t="shared" si="52"/>
        <v/>
      </c>
      <c r="T232" s="2" t="str">
        <f t="shared" si="37"/>
        <v/>
      </c>
      <c r="U232" s="8" t="str" cm="1">
        <f t="array" ref="U232">_xlfn.TEXTJOIN(", ",,_xlfn.UNIQUE(_xlfn._xlws.FILTER(EM$3:FK$3,EM232:FK232&gt;0,"")))</f>
        <v/>
      </c>
    </row>
    <row r="233" spans="6:21" x14ac:dyDescent="0.3">
      <c r="F233" s="2" cm="1">
        <f t="array" ref="F233">COUNTA(_xlfn.UNIQUE(_xlfn._xlws.FILTER(chamca[Run],(chamca[Visual ID]=A233))))</f>
        <v>1</v>
      </c>
      <c r="G233" s="2">
        <f>_xlfn.XLOOKUP(A233,RevCoreCount!A:A,RevCoreCount!B:B,)</f>
        <v>0</v>
      </c>
      <c r="H233" s="2">
        <f>_xlfn.XLOOKUP(A233,RevCoreCount!A:A,RevCoreCount!E:E,)</f>
        <v>0</v>
      </c>
      <c r="I233" s="2">
        <f>_xlfn.XLOOKUP(A233,RevCHACount!A:A,RevCHACount!B:B)</f>
        <v>0</v>
      </c>
      <c r="J233" s="2">
        <f>_xlfn.XLOOKUP(A233,RevCHACount!A:A,RevCHACount!E:E)</f>
        <v>0</v>
      </c>
      <c r="K233" s="2">
        <f>_xlfn.XLOOKUP(A233,RevLLCCount!A:A,RevLLCCount!B:B,)</f>
        <v>0</v>
      </c>
      <c r="L233" s="2">
        <f>_xlfn.XLOOKUP(A233,RevLLCCount!A:A,RevLLCCount!E:E)</f>
        <v>0</v>
      </c>
      <c r="M233" s="1">
        <f>_xlfn.XLOOKUP(A233,RevCHACount!A:A,RevCHACount!F:F)</f>
        <v>0</v>
      </c>
      <c r="N233" s="1" t="str">
        <f>_xlfn.XLOOKUP(A233,'Other Errors'!A:A,'Other Errors'!B:B,"")</f>
        <v/>
      </c>
      <c r="O233" s="2" t="e">
        <f t="shared" si="48"/>
        <v>#N/A</v>
      </c>
      <c r="P233" s="2" t="e">
        <f t="shared" si="49"/>
        <v>#N/A</v>
      </c>
      <c r="Q233" s="2" t="e">
        <f t="shared" si="50"/>
        <v>#N/A</v>
      </c>
      <c r="R233" s="2" t="e">
        <f t="shared" si="51"/>
        <v>#N/A</v>
      </c>
      <c r="S233" s="2" t="str">
        <f t="shared" si="52"/>
        <v/>
      </c>
      <c r="T233" s="2" t="str">
        <f t="shared" si="37"/>
        <v/>
      </c>
      <c r="U233" s="8" t="str" cm="1">
        <f t="array" ref="U233">_xlfn.TEXTJOIN(", ",,_xlfn.UNIQUE(_xlfn._xlws.FILTER(EM$3:FK$3,EM233:FK233&gt;0,"")))</f>
        <v/>
      </c>
    </row>
    <row r="234" spans="6:21" x14ac:dyDescent="0.3">
      <c r="F234" s="2" cm="1">
        <f t="array" ref="F234">COUNTA(_xlfn.UNIQUE(_xlfn._xlws.FILTER(chamca[Run],(chamca[Visual ID]=A234))))</f>
        <v>1</v>
      </c>
      <c r="G234" s="2">
        <f>_xlfn.XLOOKUP(A234,RevCoreCount!A:A,RevCoreCount!B:B,)</f>
        <v>0</v>
      </c>
      <c r="H234" s="2">
        <f>_xlfn.XLOOKUP(A234,RevCoreCount!A:A,RevCoreCount!E:E,)</f>
        <v>0</v>
      </c>
      <c r="I234" s="2">
        <f>_xlfn.XLOOKUP(A234,RevCHACount!A:A,RevCHACount!B:B)</f>
        <v>0</v>
      </c>
      <c r="J234" s="2">
        <f>_xlfn.XLOOKUP(A234,RevCHACount!A:A,RevCHACount!E:E)</f>
        <v>0</v>
      </c>
      <c r="K234" s="2">
        <f>_xlfn.XLOOKUP(A234,RevLLCCount!A:A,RevLLCCount!B:B,)</f>
        <v>0</v>
      </c>
      <c r="L234" s="2">
        <f>_xlfn.XLOOKUP(A234,RevLLCCount!A:A,RevLLCCount!E:E)</f>
        <v>0</v>
      </c>
      <c r="M234" s="1">
        <f>_xlfn.XLOOKUP(A234,RevCHACount!A:A,RevCHACount!F:F)</f>
        <v>0</v>
      </c>
      <c r="N234" s="1" t="str">
        <f>_xlfn.XLOOKUP(A234,'Other Errors'!A:A,'Other Errors'!B:B,"")</f>
        <v/>
      </c>
      <c r="O234" s="2" t="e">
        <f t="shared" ref="O234:O249" si="53">_xlfn.XLOOKUP(MAX(X234:BH234),X234:BH234,X$3:BH$3)</f>
        <v>#N/A</v>
      </c>
      <c r="P234" s="2" t="e">
        <f t="shared" ref="P234:P249" si="54">_xlfn.XLOOKUP(MAX(BJ234:CO234),BJ234:CO234,BJ$3:CO$3)</f>
        <v>#N/A</v>
      </c>
      <c r="Q234" s="2" t="e">
        <f t="shared" ref="Q234:Q249" si="55">_xlfn.XLOOKUP(MAX(CZ234:DI234),CZ234:DI234,CZ$3:DI$3)</f>
        <v>#N/A</v>
      </c>
      <c r="R234" s="2" t="e">
        <f t="shared" ref="R234:R249" si="56">_xlfn.XLOOKUP(MAX(CQ234:CX234),CQ234:CX234,CQ$3:CX$3)</f>
        <v>#N/A</v>
      </c>
      <c r="S234" s="2" t="str">
        <f t="shared" ref="S234:S249" si="57">_xlfn.XLOOKUP(MAX(DK234:EI234),DK234:EI234,DK$3:EI$3,"")</f>
        <v/>
      </c>
      <c r="T234" s="2" t="str">
        <f t="shared" si="37"/>
        <v/>
      </c>
      <c r="U234" s="8" t="str" cm="1">
        <f t="array" ref="U234">_xlfn.TEXTJOIN(", ",,_xlfn.UNIQUE(_xlfn._xlws.FILTER(EM$3:FK$3,EM234:FK234&gt;0,"")))</f>
        <v/>
      </c>
    </row>
    <row r="235" spans="6:21" x14ac:dyDescent="0.3">
      <c r="F235" s="2" cm="1">
        <f t="array" ref="F235">COUNTA(_xlfn.UNIQUE(_xlfn._xlws.FILTER(chamca[Run],(chamca[Visual ID]=A235))))</f>
        <v>1</v>
      </c>
      <c r="G235" s="2">
        <f>_xlfn.XLOOKUP(A235,RevCoreCount!A:A,RevCoreCount!B:B,)</f>
        <v>0</v>
      </c>
      <c r="H235" s="2">
        <f>_xlfn.XLOOKUP(A235,RevCoreCount!A:A,RevCoreCount!E:E,)</f>
        <v>0</v>
      </c>
      <c r="I235" s="2">
        <f>_xlfn.XLOOKUP(A235,RevCHACount!A:A,RevCHACount!B:B)</f>
        <v>0</v>
      </c>
      <c r="J235" s="2">
        <f>_xlfn.XLOOKUP(A235,RevCHACount!A:A,RevCHACount!E:E)</f>
        <v>0</v>
      </c>
      <c r="K235" s="2">
        <f>_xlfn.XLOOKUP(A235,RevLLCCount!A:A,RevLLCCount!B:B,)</f>
        <v>0</v>
      </c>
      <c r="L235" s="2">
        <f>_xlfn.XLOOKUP(A235,RevLLCCount!A:A,RevLLCCount!E:E)</f>
        <v>0</v>
      </c>
      <c r="M235" s="1">
        <f>_xlfn.XLOOKUP(A235,RevCHACount!A:A,RevCHACount!F:F)</f>
        <v>0</v>
      </c>
      <c r="N235" s="1" t="str">
        <f>_xlfn.XLOOKUP(A235,'Other Errors'!A:A,'Other Errors'!B:B,"")</f>
        <v/>
      </c>
      <c r="O235" s="2" t="e">
        <f t="shared" si="53"/>
        <v>#N/A</v>
      </c>
      <c r="P235" s="2" t="e">
        <f t="shared" si="54"/>
        <v>#N/A</v>
      </c>
      <c r="Q235" s="2" t="e">
        <f t="shared" si="55"/>
        <v>#N/A</v>
      </c>
      <c r="R235" s="2" t="e">
        <f t="shared" si="56"/>
        <v>#N/A</v>
      </c>
      <c r="S235" s="2" t="str">
        <f t="shared" si="57"/>
        <v/>
      </c>
      <c r="T235" s="2" t="str">
        <f t="shared" si="37"/>
        <v/>
      </c>
      <c r="U235" s="8" t="str" cm="1">
        <f t="array" ref="U235">_xlfn.TEXTJOIN(", ",,_xlfn.UNIQUE(_xlfn._xlws.FILTER(EM$3:FK$3,EM235:FK235&gt;0,"")))</f>
        <v/>
      </c>
    </row>
    <row r="236" spans="6:21" x14ac:dyDescent="0.3">
      <c r="F236" s="2" cm="1">
        <f t="array" ref="F236">COUNTA(_xlfn.UNIQUE(_xlfn._xlws.FILTER(chamca[Run],(chamca[Visual ID]=A236))))</f>
        <v>1</v>
      </c>
      <c r="G236" s="2">
        <f>_xlfn.XLOOKUP(A236,RevCoreCount!A:A,RevCoreCount!B:B,)</f>
        <v>0</v>
      </c>
      <c r="H236" s="2">
        <f>_xlfn.XLOOKUP(A236,RevCoreCount!A:A,RevCoreCount!E:E,)</f>
        <v>0</v>
      </c>
      <c r="I236" s="2">
        <f>_xlfn.XLOOKUP(A236,RevCHACount!A:A,RevCHACount!B:B)</f>
        <v>0</v>
      </c>
      <c r="J236" s="2">
        <f>_xlfn.XLOOKUP(A236,RevCHACount!A:A,RevCHACount!E:E)</f>
        <v>0</v>
      </c>
      <c r="K236" s="2">
        <f>_xlfn.XLOOKUP(A236,RevLLCCount!A:A,RevLLCCount!B:B,)</f>
        <v>0</v>
      </c>
      <c r="L236" s="2">
        <f>_xlfn.XLOOKUP(A236,RevLLCCount!A:A,RevLLCCount!E:E)</f>
        <v>0</v>
      </c>
      <c r="M236" s="1">
        <f>_xlfn.XLOOKUP(A236,RevCHACount!A:A,RevCHACount!F:F)</f>
        <v>0</v>
      </c>
      <c r="N236" s="1" t="str">
        <f>_xlfn.XLOOKUP(A236,'Other Errors'!A:A,'Other Errors'!B:B,"")</f>
        <v/>
      </c>
      <c r="O236" s="2" t="e">
        <f t="shared" si="53"/>
        <v>#N/A</v>
      </c>
      <c r="P236" s="2" t="e">
        <f t="shared" si="54"/>
        <v>#N/A</v>
      </c>
      <c r="Q236" s="2" t="e">
        <f t="shared" si="55"/>
        <v>#N/A</v>
      </c>
      <c r="R236" s="2" t="e">
        <f t="shared" si="56"/>
        <v>#N/A</v>
      </c>
      <c r="S236" s="2" t="str">
        <f t="shared" si="57"/>
        <v/>
      </c>
      <c r="T236" s="2" t="str">
        <f t="shared" si="37"/>
        <v/>
      </c>
      <c r="U236" s="8" t="str" cm="1">
        <f t="array" ref="U236">_xlfn.TEXTJOIN(", ",,_xlfn.UNIQUE(_xlfn._xlws.FILTER(EM$3:FK$3,EM236:FK236&gt;0,"")))</f>
        <v/>
      </c>
    </row>
    <row r="237" spans="6:21" x14ac:dyDescent="0.3">
      <c r="F237" s="2" cm="1">
        <f t="array" ref="F237">COUNTA(_xlfn.UNIQUE(_xlfn._xlws.FILTER(chamca[Run],(chamca[Visual ID]=A237))))</f>
        <v>1</v>
      </c>
      <c r="G237" s="2">
        <f>_xlfn.XLOOKUP(A237,RevCoreCount!A:A,RevCoreCount!B:B,)</f>
        <v>0</v>
      </c>
      <c r="H237" s="2">
        <f>_xlfn.XLOOKUP(A237,RevCoreCount!A:A,RevCoreCount!E:E,)</f>
        <v>0</v>
      </c>
      <c r="I237" s="2">
        <f>_xlfn.XLOOKUP(A237,RevCHACount!A:A,RevCHACount!B:B)</f>
        <v>0</v>
      </c>
      <c r="J237" s="2">
        <f>_xlfn.XLOOKUP(A237,RevCHACount!A:A,RevCHACount!E:E)</f>
        <v>0</v>
      </c>
      <c r="K237" s="2">
        <f>_xlfn.XLOOKUP(A237,RevLLCCount!A:A,RevLLCCount!B:B,)</f>
        <v>0</v>
      </c>
      <c r="L237" s="2">
        <f>_xlfn.XLOOKUP(A237,RevLLCCount!A:A,RevLLCCount!E:E)</f>
        <v>0</v>
      </c>
      <c r="M237" s="1">
        <f>_xlfn.XLOOKUP(A237,RevCHACount!A:A,RevCHACount!F:F)</f>
        <v>0</v>
      </c>
      <c r="N237" s="1" t="str">
        <f>_xlfn.XLOOKUP(A237,'Other Errors'!A:A,'Other Errors'!B:B,"")</f>
        <v/>
      </c>
      <c r="O237" s="2" t="e">
        <f t="shared" si="53"/>
        <v>#N/A</v>
      </c>
      <c r="P237" s="2" t="e">
        <f t="shared" si="54"/>
        <v>#N/A</v>
      </c>
      <c r="Q237" s="2" t="e">
        <f t="shared" si="55"/>
        <v>#N/A</v>
      </c>
      <c r="R237" s="2" t="e">
        <f t="shared" si="56"/>
        <v>#N/A</v>
      </c>
      <c r="S237" s="2" t="str">
        <f t="shared" si="57"/>
        <v/>
      </c>
      <c r="T237" s="2" t="str">
        <f t="shared" si="37"/>
        <v/>
      </c>
      <c r="U237" s="8" t="str" cm="1">
        <f t="array" ref="U237">_xlfn.TEXTJOIN(", ",,_xlfn.UNIQUE(_xlfn._xlws.FILTER(EM$3:FK$3,EM237:FK237&gt;0,"")))</f>
        <v/>
      </c>
    </row>
    <row r="238" spans="6:21" x14ac:dyDescent="0.3">
      <c r="F238" s="2" cm="1">
        <f t="array" ref="F238">COUNTA(_xlfn.UNIQUE(_xlfn._xlws.FILTER(chamca[Run],(chamca[Visual ID]=A238))))</f>
        <v>1</v>
      </c>
      <c r="G238" s="2">
        <f>_xlfn.XLOOKUP(A238,RevCoreCount!A:A,RevCoreCount!B:B,)</f>
        <v>0</v>
      </c>
      <c r="H238" s="2">
        <f>_xlfn.XLOOKUP(A238,RevCoreCount!A:A,RevCoreCount!E:E,)</f>
        <v>0</v>
      </c>
      <c r="I238" s="2">
        <f>_xlfn.XLOOKUP(A238,RevCHACount!A:A,RevCHACount!B:B)</f>
        <v>0</v>
      </c>
      <c r="J238" s="2">
        <f>_xlfn.XLOOKUP(A238,RevCHACount!A:A,RevCHACount!E:E)</f>
        <v>0</v>
      </c>
      <c r="K238" s="2">
        <f>_xlfn.XLOOKUP(A238,RevLLCCount!A:A,RevLLCCount!B:B,)</f>
        <v>0</v>
      </c>
      <c r="L238" s="2">
        <f>_xlfn.XLOOKUP(A238,RevLLCCount!A:A,RevLLCCount!E:E)</f>
        <v>0</v>
      </c>
      <c r="M238" s="1">
        <f>_xlfn.XLOOKUP(A238,RevCHACount!A:A,RevCHACount!F:F)</f>
        <v>0</v>
      </c>
      <c r="N238" s="1" t="str">
        <f>_xlfn.XLOOKUP(A238,'Other Errors'!A:A,'Other Errors'!B:B,"")</f>
        <v/>
      </c>
      <c r="O238" s="2" t="e">
        <f t="shared" si="53"/>
        <v>#N/A</v>
      </c>
      <c r="P238" s="2" t="e">
        <f t="shared" si="54"/>
        <v>#N/A</v>
      </c>
      <c r="Q238" s="2" t="e">
        <f t="shared" si="55"/>
        <v>#N/A</v>
      </c>
      <c r="R238" s="2" t="e">
        <f t="shared" si="56"/>
        <v>#N/A</v>
      </c>
      <c r="S238" s="2" t="str">
        <f t="shared" si="57"/>
        <v/>
      </c>
      <c r="T238" s="2" t="str">
        <f t="shared" si="37"/>
        <v/>
      </c>
      <c r="U238" s="8" t="str" cm="1">
        <f t="array" ref="U238">_xlfn.TEXTJOIN(", ",,_xlfn.UNIQUE(_xlfn._xlws.FILTER(EM$3:FK$3,EM238:FK238&gt;0,"")))</f>
        <v/>
      </c>
    </row>
    <row r="239" spans="6:21" x14ac:dyDescent="0.3">
      <c r="F239" s="2" cm="1">
        <f t="array" ref="F239">COUNTA(_xlfn.UNIQUE(_xlfn._xlws.FILTER(chamca[Run],(chamca[Visual ID]=A239))))</f>
        <v>1</v>
      </c>
      <c r="G239" s="2">
        <f>_xlfn.XLOOKUP(A239,RevCoreCount!A:A,RevCoreCount!B:B,)</f>
        <v>0</v>
      </c>
      <c r="H239" s="2">
        <f>_xlfn.XLOOKUP(A239,RevCoreCount!A:A,RevCoreCount!E:E,)</f>
        <v>0</v>
      </c>
      <c r="I239" s="2">
        <f>_xlfn.XLOOKUP(A239,RevCHACount!A:A,RevCHACount!B:B)</f>
        <v>0</v>
      </c>
      <c r="J239" s="2">
        <f>_xlfn.XLOOKUP(A239,RevCHACount!A:A,RevCHACount!E:E)</f>
        <v>0</v>
      </c>
      <c r="K239" s="2">
        <f>_xlfn.XLOOKUP(A239,RevLLCCount!A:A,RevLLCCount!B:B,)</f>
        <v>0</v>
      </c>
      <c r="L239" s="2">
        <f>_xlfn.XLOOKUP(A239,RevLLCCount!A:A,RevLLCCount!E:E)</f>
        <v>0</v>
      </c>
      <c r="M239" s="1">
        <f>_xlfn.XLOOKUP(A239,RevCHACount!A:A,RevCHACount!F:F)</f>
        <v>0</v>
      </c>
      <c r="N239" s="1" t="str">
        <f>_xlfn.XLOOKUP(A239,'Other Errors'!A:A,'Other Errors'!B:B,"")</f>
        <v/>
      </c>
      <c r="O239" s="2" t="e">
        <f t="shared" si="53"/>
        <v>#N/A</v>
      </c>
      <c r="P239" s="2" t="e">
        <f t="shared" si="54"/>
        <v>#N/A</v>
      </c>
      <c r="Q239" s="2" t="e">
        <f t="shared" si="55"/>
        <v>#N/A</v>
      </c>
      <c r="R239" s="2" t="e">
        <f t="shared" si="56"/>
        <v>#N/A</v>
      </c>
      <c r="S239" s="2" t="str">
        <f t="shared" si="57"/>
        <v/>
      </c>
      <c r="T239" s="2" t="str">
        <f t="shared" si="37"/>
        <v/>
      </c>
      <c r="U239" s="8" t="str" cm="1">
        <f t="array" ref="U239">_xlfn.TEXTJOIN(", ",,_xlfn.UNIQUE(_xlfn._xlws.FILTER(EM$3:FK$3,EM239:FK239&gt;0,"")))</f>
        <v/>
      </c>
    </row>
    <row r="240" spans="6:21" x14ac:dyDescent="0.3">
      <c r="F240" s="2" cm="1">
        <f t="array" ref="F240">COUNTA(_xlfn.UNIQUE(_xlfn._xlws.FILTER(chamca[Run],(chamca[Visual ID]=A240))))</f>
        <v>1</v>
      </c>
      <c r="G240" s="2">
        <f>_xlfn.XLOOKUP(A240,RevCoreCount!A:A,RevCoreCount!B:B,)</f>
        <v>0</v>
      </c>
      <c r="H240" s="2">
        <f>_xlfn.XLOOKUP(A240,RevCoreCount!A:A,RevCoreCount!E:E,)</f>
        <v>0</v>
      </c>
      <c r="I240" s="2">
        <f>_xlfn.XLOOKUP(A240,RevCHACount!A:A,RevCHACount!B:B)</f>
        <v>0</v>
      </c>
      <c r="J240" s="2">
        <f>_xlfn.XLOOKUP(A240,RevCHACount!A:A,RevCHACount!E:E)</f>
        <v>0</v>
      </c>
      <c r="K240" s="2">
        <f>_xlfn.XLOOKUP(A240,RevLLCCount!A:A,RevLLCCount!B:B,)</f>
        <v>0</v>
      </c>
      <c r="L240" s="2">
        <f>_xlfn.XLOOKUP(A240,RevLLCCount!A:A,RevLLCCount!E:E)</f>
        <v>0</v>
      </c>
      <c r="M240" s="1">
        <f>_xlfn.XLOOKUP(A240,RevCHACount!A:A,RevCHACount!F:F)</f>
        <v>0</v>
      </c>
      <c r="N240" s="1" t="str">
        <f>_xlfn.XLOOKUP(A240,'Other Errors'!A:A,'Other Errors'!B:B,"")</f>
        <v/>
      </c>
      <c r="O240" s="2" t="e">
        <f t="shared" si="53"/>
        <v>#N/A</v>
      </c>
      <c r="P240" s="2" t="e">
        <f t="shared" si="54"/>
        <v>#N/A</v>
      </c>
      <c r="Q240" s="2" t="e">
        <f t="shared" si="55"/>
        <v>#N/A</v>
      </c>
      <c r="R240" s="2" t="e">
        <f t="shared" si="56"/>
        <v>#N/A</v>
      </c>
      <c r="S240" s="2" t="str">
        <f t="shared" si="57"/>
        <v/>
      </c>
      <c r="T240" s="2" t="str">
        <f t="shared" si="37"/>
        <v/>
      </c>
      <c r="U240" s="8" t="str" cm="1">
        <f t="array" ref="U240">_xlfn.TEXTJOIN(", ",,_xlfn.UNIQUE(_xlfn._xlws.FILTER(EM$3:FK$3,EM240:FK240&gt;0,"")))</f>
        <v/>
      </c>
    </row>
    <row r="241" spans="6:21" x14ac:dyDescent="0.3">
      <c r="F241" s="2" cm="1">
        <f t="array" ref="F241">COUNTA(_xlfn.UNIQUE(_xlfn._xlws.FILTER(chamca[Run],(chamca[Visual ID]=A241))))</f>
        <v>1</v>
      </c>
      <c r="G241" s="2">
        <f>_xlfn.XLOOKUP(A241,RevCoreCount!A:A,RevCoreCount!B:B,)</f>
        <v>0</v>
      </c>
      <c r="H241" s="2">
        <f>_xlfn.XLOOKUP(A241,RevCoreCount!A:A,RevCoreCount!E:E,)</f>
        <v>0</v>
      </c>
      <c r="I241" s="2">
        <f>_xlfn.XLOOKUP(A241,RevCHACount!A:A,RevCHACount!B:B)</f>
        <v>0</v>
      </c>
      <c r="J241" s="2">
        <f>_xlfn.XLOOKUP(A241,RevCHACount!A:A,RevCHACount!E:E)</f>
        <v>0</v>
      </c>
      <c r="K241" s="2">
        <f>_xlfn.XLOOKUP(A241,RevLLCCount!A:A,RevLLCCount!B:B,)</f>
        <v>0</v>
      </c>
      <c r="L241" s="2">
        <f>_xlfn.XLOOKUP(A241,RevLLCCount!A:A,RevLLCCount!E:E)</f>
        <v>0</v>
      </c>
      <c r="M241" s="1">
        <f>_xlfn.XLOOKUP(A241,RevCHACount!A:A,RevCHACount!F:F)</f>
        <v>0</v>
      </c>
      <c r="N241" s="1" t="str">
        <f>_xlfn.XLOOKUP(A241,'Other Errors'!A:A,'Other Errors'!B:B,"")</f>
        <v/>
      </c>
      <c r="O241" s="2" t="e">
        <f t="shared" si="53"/>
        <v>#N/A</v>
      </c>
      <c r="P241" s="2" t="e">
        <f t="shared" si="54"/>
        <v>#N/A</v>
      </c>
      <c r="Q241" s="2" t="e">
        <f t="shared" si="55"/>
        <v>#N/A</v>
      </c>
      <c r="R241" s="2" t="e">
        <f t="shared" si="56"/>
        <v>#N/A</v>
      </c>
      <c r="S241" s="2" t="str">
        <f t="shared" si="57"/>
        <v/>
      </c>
      <c r="T241" s="2" t="str">
        <f t="shared" si="37"/>
        <v/>
      </c>
      <c r="U241" s="8" t="str" cm="1">
        <f t="array" ref="U241">_xlfn.TEXTJOIN(", ",,_xlfn.UNIQUE(_xlfn._xlws.FILTER(EM$3:FK$3,EM241:FK241&gt;0,"")))</f>
        <v/>
      </c>
    </row>
    <row r="242" spans="6:21" x14ac:dyDescent="0.3">
      <c r="F242" s="2" cm="1">
        <f t="array" ref="F242">COUNTA(_xlfn.UNIQUE(_xlfn._xlws.FILTER(chamca[Run],(chamca[Visual ID]=A242))))</f>
        <v>1</v>
      </c>
      <c r="G242" s="2">
        <f>_xlfn.XLOOKUP(A242,RevCoreCount!A:A,RevCoreCount!B:B,)</f>
        <v>0</v>
      </c>
      <c r="H242" s="2">
        <f>_xlfn.XLOOKUP(A242,RevCoreCount!A:A,RevCoreCount!E:E,)</f>
        <v>0</v>
      </c>
      <c r="I242" s="2">
        <f>_xlfn.XLOOKUP(A242,RevCHACount!A:A,RevCHACount!B:B)</f>
        <v>0</v>
      </c>
      <c r="J242" s="2">
        <f>_xlfn.XLOOKUP(A242,RevCHACount!A:A,RevCHACount!E:E)</f>
        <v>0</v>
      </c>
      <c r="K242" s="2">
        <f>_xlfn.XLOOKUP(A242,RevLLCCount!A:A,RevLLCCount!B:B,)</f>
        <v>0</v>
      </c>
      <c r="L242" s="2">
        <f>_xlfn.XLOOKUP(A242,RevLLCCount!A:A,RevLLCCount!E:E)</f>
        <v>0</v>
      </c>
      <c r="M242" s="1">
        <f>_xlfn.XLOOKUP(A242,RevCHACount!A:A,RevCHACount!F:F)</f>
        <v>0</v>
      </c>
      <c r="N242" s="1" t="str">
        <f>_xlfn.XLOOKUP(A242,'Other Errors'!A:A,'Other Errors'!B:B,"")</f>
        <v/>
      </c>
      <c r="O242" s="2" t="e">
        <f t="shared" si="53"/>
        <v>#N/A</v>
      </c>
      <c r="P242" s="2" t="e">
        <f t="shared" si="54"/>
        <v>#N/A</v>
      </c>
      <c r="Q242" s="2" t="e">
        <f t="shared" si="55"/>
        <v>#N/A</v>
      </c>
      <c r="R242" s="2" t="e">
        <f t="shared" si="56"/>
        <v>#N/A</v>
      </c>
      <c r="S242" s="2" t="str">
        <f t="shared" si="57"/>
        <v/>
      </c>
      <c r="T242" s="2" t="str">
        <f t="shared" si="37"/>
        <v/>
      </c>
      <c r="U242" s="8" t="str" cm="1">
        <f t="array" ref="U242">_xlfn.TEXTJOIN(", ",,_xlfn.UNIQUE(_xlfn._xlws.FILTER(EM$3:FK$3,EM242:FK242&gt;0,"")))</f>
        <v/>
      </c>
    </row>
    <row r="243" spans="6:21" x14ac:dyDescent="0.3">
      <c r="F243" s="2" cm="1">
        <f t="array" ref="F243">COUNTA(_xlfn.UNIQUE(_xlfn._xlws.FILTER(chamca[Run],(chamca[Visual ID]=A243))))</f>
        <v>1</v>
      </c>
      <c r="G243" s="2">
        <f>_xlfn.XLOOKUP(A243,RevCoreCount!A:A,RevCoreCount!B:B,)</f>
        <v>0</v>
      </c>
      <c r="H243" s="2">
        <f>_xlfn.XLOOKUP(A243,RevCoreCount!A:A,RevCoreCount!E:E,)</f>
        <v>0</v>
      </c>
      <c r="I243" s="2">
        <f>_xlfn.XLOOKUP(A243,RevCHACount!A:A,RevCHACount!B:B)</f>
        <v>0</v>
      </c>
      <c r="J243" s="2">
        <f>_xlfn.XLOOKUP(A243,RevCHACount!A:A,RevCHACount!E:E)</f>
        <v>0</v>
      </c>
      <c r="K243" s="2">
        <f>_xlfn.XLOOKUP(A243,RevLLCCount!A:A,RevLLCCount!B:B,)</f>
        <v>0</v>
      </c>
      <c r="L243" s="2">
        <f>_xlfn.XLOOKUP(A243,RevLLCCount!A:A,RevLLCCount!E:E)</f>
        <v>0</v>
      </c>
      <c r="M243" s="1">
        <f>_xlfn.XLOOKUP(A243,RevCHACount!A:A,RevCHACount!F:F)</f>
        <v>0</v>
      </c>
      <c r="N243" s="1" t="str">
        <f>_xlfn.XLOOKUP(A243,'Other Errors'!A:A,'Other Errors'!B:B,"")</f>
        <v/>
      </c>
      <c r="O243" s="2" t="e">
        <f t="shared" si="53"/>
        <v>#N/A</v>
      </c>
      <c r="P243" s="2" t="e">
        <f t="shared" si="54"/>
        <v>#N/A</v>
      </c>
      <c r="Q243" s="2" t="e">
        <f t="shared" si="55"/>
        <v>#N/A</v>
      </c>
      <c r="R243" s="2" t="e">
        <f t="shared" si="56"/>
        <v>#N/A</v>
      </c>
      <c r="S243" s="2" t="str">
        <f t="shared" si="57"/>
        <v/>
      </c>
      <c r="T243" s="2" t="str">
        <f t="shared" si="37"/>
        <v/>
      </c>
      <c r="U243" s="8" t="str" cm="1">
        <f t="array" ref="U243">_xlfn.TEXTJOIN(", ",,_xlfn.UNIQUE(_xlfn._xlws.FILTER(EM$3:FK$3,EM243:FK243&gt;0,"")))</f>
        <v/>
      </c>
    </row>
    <row r="244" spans="6:21" x14ac:dyDescent="0.3">
      <c r="F244" s="2" cm="1">
        <f t="array" ref="F244">COUNTA(_xlfn.UNIQUE(_xlfn._xlws.FILTER(chamca[Run],(chamca[Visual ID]=A244))))</f>
        <v>1</v>
      </c>
      <c r="G244" s="2">
        <f>_xlfn.XLOOKUP(A244,RevCoreCount!A:A,RevCoreCount!B:B,)</f>
        <v>0</v>
      </c>
      <c r="H244" s="2">
        <f>_xlfn.XLOOKUP(A244,RevCoreCount!A:A,RevCoreCount!E:E,)</f>
        <v>0</v>
      </c>
      <c r="I244" s="2">
        <f>_xlfn.XLOOKUP(A244,RevCHACount!A:A,RevCHACount!B:B)</f>
        <v>0</v>
      </c>
      <c r="J244" s="2">
        <f>_xlfn.XLOOKUP(A244,RevCHACount!A:A,RevCHACount!E:E)</f>
        <v>0</v>
      </c>
      <c r="K244" s="2">
        <f>_xlfn.XLOOKUP(A244,RevLLCCount!A:A,RevLLCCount!B:B,)</f>
        <v>0</v>
      </c>
      <c r="L244" s="2">
        <f>_xlfn.XLOOKUP(A244,RevLLCCount!A:A,RevLLCCount!E:E)</f>
        <v>0</v>
      </c>
      <c r="M244" s="1">
        <f>_xlfn.XLOOKUP(A244,RevCHACount!A:A,RevCHACount!F:F)</f>
        <v>0</v>
      </c>
      <c r="N244" s="1" t="str">
        <f>_xlfn.XLOOKUP(A244,'Other Errors'!A:A,'Other Errors'!B:B,"")</f>
        <v/>
      </c>
      <c r="O244" s="2" t="e">
        <f t="shared" si="53"/>
        <v>#N/A</v>
      </c>
      <c r="P244" s="2" t="e">
        <f t="shared" si="54"/>
        <v>#N/A</v>
      </c>
      <c r="Q244" s="2" t="e">
        <f t="shared" si="55"/>
        <v>#N/A</v>
      </c>
      <c r="R244" s="2" t="e">
        <f t="shared" si="56"/>
        <v>#N/A</v>
      </c>
      <c r="S244" s="2" t="str">
        <f t="shared" si="57"/>
        <v/>
      </c>
      <c r="T244" s="2" t="str">
        <f t="shared" si="37"/>
        <v/>
      </c>
      <c r="U244" s="8" t="str" cm="1">
        <f t="array" ref="U244">_xlfn.TEXTJOIN(", ",,_xlfn.UNIQUE(_xlfn._xlws.FILTER(EM$3:FK$3,EM244:FK244&gt;0,"")))</f>
        <v/>
      </c>
    </row>
    <row r="245" spans="6:21" x14ac:dyDescent="0.3">
      <c r="F245" s="2" cm="1">
        <f t="array" ref="F245">COUNTA(_xlfn.UNIQUE(_xlfn._xlws.FILTER(chamca[Run],(chamca[Visual ID]=A245))))</f>
        <v>1</v>
      </c>
      <c r="G245" s="2">
        <f>_xlfn.XLOOKUP(A245,RevCoreCount!A:A,RevCoreCount!B:B,)</f>
        <v>0</v>
      </c>
      <c r="H245" s="2">
        <f>_xlfn.XLOOKUP(A245,RevCoreCount!A:A,RevCoreCount!E:E,)</f>
        <v>0</v>
      </c>
      <c r="I245" s="2">
        <f>_xlfn.XLOOKUP(A245,RevCHACount!A:A,RevCHACount!B:B)</f>
        <v>0</v>
      </c>
      <c r="J245" s="2">
        <f>_xlfn.XLOOKUP(A245,RevCHACount!A:A,RevCHACount!E:E)</f>
        <v>0</v>
      </c>
      <c r="K245" s="2">
        <f>_xlfn.XLOOKUP(A245,RevLLCCount!A:A,RevLLCCount!B:B,)</f>
        <v>0</v>
      </c>
      <c r="L245" s="2">
        <f>_xlfn.XLOOKUP(A245,RevLLCCount!A:A,RevLLCCount!E:E)</f>
        <v>0</v>
      </c>
      <c r="M245" s="1">
        <f>_xlfn.XLOOKUP(A245,RevCHACount!A:A,RevCHACount!F:F)</f>
        <v>0</v>
      </c>
      <c r="N245" s="1" t="str">
        <f>_xlfn.XLOOKUP(A245,'Other Errors'!A:A,'Other Errors'!B:B,"")</f>
        <v/>
      </c>
      <c r="O245" s="2" t="e">
        <f t="shared" si="53"/>
        <v>#N/A</v>
      </c>
      <c r="P245" s="2" t="e">
        <f t="shared" si="54"/>
        <v>#N/A</v>
      </c>
      <c r="Q245" s="2" t="e">
        <f t="shared" si="55"/>
        <v>#N/A</v>
      </c>
      <c r="R245" s="2" t="e">
        <f t="shared" si="56"/>
        <v>#N/A</v>
      </c>
      <c r="S245" s="2" t="str">
        <f t="shared" si="57"/>
        <v/>
      </c>
      <c r="T245" s="2" t="str">
        <f t="shared" si="37"/>
        <v/>
      </c>
      <c r="U245" s="8" t="str" cm="1">
        <f t="array" ref="U245">_xlfn.TEXTJOIN(", ",,_xlfn.UNIQUE(_xlfn._xlws.FILTER(EM$3:FK$3,EM245:FK245&gt;0,"")))</f>
        <v/>
      </c>
    </row>
    <row r="246" spans="6:21" x14ac:dyDescent="0.3">
      <c r="F246" s="2" cm="1">
        <f t="array" ref="F246">COUNTA(_xlfn.UNIQUE(_xlfn._xlws.FILTER(chamca[Run],(chamca[Visual ID]=A246))))</f>
        <v>1</v>
      </c>
      <c r="G246" s="2">
        <f>_xlfn.XLOOKUP(A246,RevCoreCount!A:A,RevCoreCount!B:B,)</f>
        <v>0</v>
      </c>
      <c r="H246" s="2">
        <f>_xlfn.XLOOKUP(A246,RevCoreCount!A:A,RevCoreCount!E:E,)</f>
        <v>0</v>
      </c>
      <c r="I246" s="2">
        <f>_xlfn.XLOOKUP(A246,RevCHACount!A:A,RevCHACount!B:B)</f>
        <v>0</v>
      </c>
      <c r="J246" s="2">
        <f>_xlfn.XLOOKUP(A246,RevCHACount!A:A,RevCHACount!E:E)</f>
        <v>0</v>
      </c>
      <c r="K246" s="2">
        <f>_xlfn.XLOOKUP(A246,RevLLCCount!A:A,RevLLCCount!B:B,)</f>
        <v>0</v>
      </c>
      <c r="L246" s="2">
        <f>_xlfn.XLOOKUP(A246,RevLLCCount!A:A,RevLLCCount!E:E)</f>
        <v>0</v>
      </c>
      <c r="M246" s="1">
        <f>_xlfn.XLOOKUP(A246,RevCHACount!A:A,RevCHACount!F:F)</f>
        <v>0</v>
      </c>
      <c r="N246" s="1" t="str">
        <f>_xlfn.XLOOKUP(A246,'Other Errors'!A:A,'Other Errors'!B:B,"")</f>
        <v/>
      </c>
      <c r="O246" s="2" t="e">
        <f t="shared" si="53"/>
        <v>#N/A</v>
      </c>
      <c r="P246" s="2" t="e">
        <f t="shared" si="54"/>
        <v>#N/A</v>
      </c>
      <c r="Q246" s="2" t="e">
        <f t="shared" si="55"/>
        <v>#N/A</v>
      </c>
      <c r="R246" s="2" t="e">
        <f t="shared" si="56"/>
        <v>#N/A</v>
      </c>
      <c r="S246" s="2" t="str">
        <f t="shared" si="57"/>
        <v/>
      </c>
      <c r="T246" s="2" t="str">
        <f t="shared" si="37"/>
        <v/>
      </c>
      <c r="U246" s="8" t="str" cm="1">
        <f t="array" ref="U246">_xlfn.TEXTJOIN(", ",,_xlfn.UNIQUE(_xlfn._xlws.FILTER(EM$3:FK$3,EM246:FK246&gt;0,"")))</f>
        <v/>
      </c>
    </row>
    <row r="247" spans="6:21" x14ac:dyDescent="0.3">
      <c r="F247" s="2" cm="1">
        <f t="array" ref="F247">COUNTA(_xlfn.UNIQUE(_xlfn._xlws.FILTER(chamca[Run],(chamca[Visual ID]=A247))))</f>
        <v>1</v>
      </c>
      <c r="G247" s="2">
        <f>_xlfn.XLOOKUP(A247,RevCoreCount!A:A,RevCoreCount!B:B,)</f>
        <v>0</v>
      </c>
      <c r="H247" s="2">
        <f>_xlfn.XLOOKUP(A247,RevCoreCount!A:A,RevCoreCount!E:E,)</f>
        <v>0</v>
      </c>
      <c r="I247" s="2">
        <f>_xlfn.XLOOKUP(A247,RevCHACount!A:A,RevCHACount!B:B)</f>
        <v>0</v>
      </c>
      <c r="J247" s="2">
        <f>_xlfn.XLOOKUP(A247,RevCHACount!A:A,RevCHACount!E:E)</f>
        <v>0</v>
      </c>
      <c r="K247" s="2">
        <f>_xlfn.XLOOKUP(A247,RevLLCCount!A:A,RevLLCCount!B:B,)</f>
        <v>0</v>
      </c>
      <c r="L247" s="2">
        <f>_xlfn.XLOOKUP(A247,RevLLCCount!A:A,RevLLCCount!E:E)</f>
        <v>0</v>
      </c>
      <c r="M247" s="1">
        <f>_xlfn.XLOOKUP(A247,RevCHACount!A:A,RevCHACount!F:F)</f>
        <v>0</v>
      </c>
      <c r="N247" s="1" t="str">
        <f>_xlfn.XLOOKUP(A247,'Other Errors'!A:A,'Other Errors'!B:B,"")</f>
        <v/>
      </c>
      <c r="O247" s="2" t="e">
        <f t="shared" si="53"/>
        <v>#N/A</v>
      </c>
      <c r="P247" s="2" t="e">
        <f t="shared" si="54"/>
        <v>#N/A</v>
      </c>
      <c r="Q247" s="2" t="e">
        <f t="shared" si="55"/>
        <v>#N/A</v>
      </c>
      <c r="R247" s="2" t="e">
        <f t="shared" si="56"/>
        <v>#N/A</v>
      </c>
      <c r="S247" s="2" t="str">
        <f t="shared" si="57"/>
        <v/>
      </c>
      <c r="T247" s="2" t="str">
        <f t="shared" si="37"/>
        <v/>
      </c>
      <c r="U247" s="8" t="str" cm="1">
        <f t="array" ref="U247">_xlfn.TEXTJOIN(", ",,_xlfn.UNIQUE(_xlfn._xlws.FILTER(EM$3:FK$3,EM247:FK247&gt;0,"")))</f>
        <v/>
      </c>
    </row>
    <row r="248" spans="6:21" x14ac:dyDescent="0.3">
      <c r="F248" s="2" cm="1">
        <f t="array" ref="F248">COUNTA(_xlfn.UNIQUE(_xlfn._xlws.FILTER(chamca[Run],(chamca[Visual ID]=A248))))</f>
        <v>1</v>
      </c>
      <c r="G248" s="2">
        <f>_xlfn.XLOOKUP(A248,RevCoreCount!A:A,RevCoreCount!B:B,)</f>
        <v>0</v>
      </c>
      <c r="H248" s="2">
        <f>_xlfn.XLOOKUP(A248,RevCoreCount!A:A,RevCoreCount!E:E,)</f>
        <v>0</v>
      </c>
      <c r="I248" s="2">
        <f>_xlfn.XLOOKUP(A248,RevCHACount!A:A,RevCHACount!B:B)</f>
        <v>0</v>
      </c>
      <c r="J248" s="2">
        <f>_xlfn.XLOOKUP(A248,RevCHACount!A:A,RevCHACount!E:E)</f>
        <v>0</v>
      </c>
      <c r="K248" s="2">
        <f>_xlfn.XLOOKUP(A248,RevLLCCount!A:A,RevLLCCount!B:B,)</f>
        <v>0</v>
      </c>
      <c r="L248" s="2">
        <f>_xlfn.XLOOKUP(A248,RevLLCCount!A:A,RevLLCCount!E:E)</f>
        <v>0</v>
      </c>
      <c r="M248" s="1">
        <f>_xlfn.XLOOKUP(A248,RevCHACount!A:A,RevCHACount!F:F)</f>
        <v>0</v>
      </c>
      <c r="N248" s="1" t="str">
        <f>_xlfn.XLOOKUP(A248,'Other Errors'!A:A,'Other Errors'!B:B,"")</f>
        <v/>
      </c>
      <c r="O248" s="2" t="e">
        <f t="shared" si="53"/>
        <v>#N/A</v>
      </c>
      <c r="P248" s="2" t="e">
        <f t="shared" si="54"/>
        <v>#N/A</v>
      </c>
      <c r="Q248" s="2" t="e">
        <f t="shared" si="55"/>
        <v>#N/A</v>
      </c>
      <c r="R248" s="2" t="e">
        <f t="shared" si="56"/>
        <v>#N/A</v>
      </c>
      <c r="S248" s="2" t="str">
        <f t="shared" si="57"/>
        <v/>
      </c>
      <c r="T248" s="2" t="str">
        <f t="shared" si="37"/>
        <v/>
      </c>
      <c r="U248" s="8" t="str" cm="1">
        <f t="array" ref="U248">_xlfn.TEXTJOIN(", ",,_xlfn.UNIQUE(_xlfn._xlws.FILTER(EM$3:FK$3,EM248:FK248&gt;0,"")))</f>
        <v/>
      </c>
    </row>
    <row r="249" spans="6:21" x14ac:dyDescent="0.3">
      <c r="F249" s="2" cm="1">
        <f t="array" ref="F249">COUNTA(_xlfn.UNIQUE(_xlfn._xlws.FILTER(chamca[Run],(chamca[Visual ID]=A249))))</f>
        <v>1</v>
      </c>
      <c r="G249" s="2">
        <f>_xlfn.XLOOKUP(A249,RevCoreCount!A:A,RevCoreCount!B:B,)</f>
        <v>0</v>
      </c>
      <c r="H249" s="2">
        <f>_xlfn.XLOOKUP(A249,RevCoreCount!A:A,RevCoreCount!E:E,)</f>
        <v>0</v>
      </c>
      <c r="I249" s="2">
        <f>_xlfn.XLOOKUP(A249,RevCHACount!A:A,RevCHACount!B:B)</f>
        <v>0</v>
      </c>
      <c r="J249" s="2">
        <f>_xlfn.XLOOKUP(A249,RevCHACount!A:A,RevCHACount!E:E)</f>
        <v>0</v>
      </c>
      <c r="K249" s="2">
        <f>_xlfn.XLOOKUP(A249,RevLLCCount!A:A,RevLLCCount!B:B,)</f>
        <v>0</v>
      </c>
      <c r="L249" s="2">
        <f>_xlfn.XLOOKUP(A249,RevLLCCount!A:A,RevLLCCount!E:E)</f>
        <v>0</v>
      </c>
      <c r="M249" s="1">
        <f>_xlfn.XLOOKUP(A249,RevCHACount!A:A,RevCHACount!F:F)</f>
        <v>0</v>
      </c>
      <c r="N249" s="1" t="str">
        <f>_xlfn.XLOOKUP(A249,'Other Errors'!A:A,'Other Errors'!B:B,"")</f>
        <v/>
      </c>
      <c r="O249" s="2" t="e">
        <f t="shared" si="53"/>
        <v>#N/A</v>
      </c>
      <c r="P249" s="2" t="e">
        <f t="shared" si="54"/>
        <v>#N/A</v>
      </c>
      <c r="Q249" s="2" t="e">
        <f t="shared" si="55"/>
        <v>#N/A</v>
      </c>
      <c r="R249" s="2" t="e">
        <f t="shared" si="56"/>
        <v>#N/A</v>
      </c>
      <c r="S249" s="2" t="str">
        <f t="shared" si="57"/>
        <v/>
      </c>
      <c r="T249" s="2" t="str">
        <f t="shared" si="37"/>
        <v/>
      </c>
      <c r="U249" s="8" t="str" cm="1">
        <f t="array" ref="U249">_xlfn.TEXTJOIN(", ",,_xlfn.UNIQUE(_xlfn._xlws.FILTER(EM$3:FK$3,EM249:FK249&gt;0,"")))</f>
        <v/>
      </c>
    </row>
    <row r="250" spans="6:21" x14ac:dyDescent="0.3">
      <c r="F250" s="2" cm="1">
        <f t="array" ref="F250">COUNTA(_xlfn.UNIQUE(_xlfn._xlws.FILTER(chamca[Run],(chamca[Visual ID]=A250))))</f>
        <v>1</v>
      </c>
      <c r="G250" s="2">
        <f>_xlfn.XLOOKUP(A250,RevCoreCount!A:A,RevCoreCount!B:B,)</f>
        <v>0</v>
      </c>
      <c r="H250" s="2">
        <f>_xlfn.XLOOKUP(A250,RevCoreCount!A:A,RevCoreCount!E:E,)</f>
        <v>0</v>
      </c>
      <c r="I250" s="2">
        <f>_xlfn.XLOOKUP(A250,RevCHACount!A:A,RevCHACount!B:B)</f>
        <v>0</v>
      </c>
      <c r="J250" s="2">
        <f>_xlfn.XLOOKUP(A250,RevCHACount!A:A,RevCHACount!E:E)</f>
        <v>0</v>
      </c>
      <c r="K250" s="2">
        <f>_xlfn.XLOOKUP(A250,RevLLCCount!A:A,RevLLCCount!B:B,)</f>
        <v>0</v>
      </c>
      <c r="L250" s="2">
        <f>_xlfn.XLOOKUP(A250,RevLLCCount!A:A,RevLLCCount!E:E)</f>
        <v>0</v>
      </c>
      <c r="M250" s="1">
        <f>_xlfn.XLOOKUP(A250,RevCHACount!A:A,RevCHACount!F:F)</f>
        <v>0</v>
      </c>
      <c r="N250" s="1" t="str">
        <f>_xlfn.XLOOKUP(A250,'Other Errors'!A:A,'Other Errors'!B:B,"")</f>
        <v/>
      </c>
      <c r="O250" s="2" t="e">
        <f t="shared" ref="O250:O259" si="58">_xlfn.XLOOKUP(MAX(X250:BH250),X250:BH250,X$3:BH$3)</f>
        <v>#N/A</v>
      </c>
      <c r="P250" s="2" t="e">
        <f t="shared" ref="P250:P259" si="59">_xlfn.XLOOKUP(MAX(BJ250:CO250),BJ250:CO250,BJ$3:CO$3)</f>
        <v>#N/A</v>
      </c>
      <c r="Q250" s="2" t="e">
        <f t="shared" ref="Q250:Q259" si="60">_xlfn.XLOOKUP(MAX(CZ250:DI250),CZ250:DI250,CZ$3:DI$3)</f>
        <v>#N/A</v>
      </c>
      <c r="R250" s="2" t="e">
        <f t="shared" ref="R250:R259" si="61">_xlfn.XLOOKUP(MAX(CQ250:CX250),CQ250:CX250,CQ$3:CX$3)</f>
        <v>#N/A</v>
      </c>
      <c r="S250" s="2" t="str">
        <f t="shared" ref="S250:S259" si="62">_xlfn.XLOOKUP(MAX(DK250:EI250),DK250:EI250,DK$3:EI$3,"")</f>
        <v/>
      </c>
      <c r="T250" s="2" t="str">
        <f t="shared" si="37"/>
        <v/>
      </c>
      <c r="U250" s="8" t="str" cm="1">
        <f t="array" ref="U250">_xlfn.TEXTJOIN(", ",,_xlfn.UNIQUE(_xlfn._xlws.FILTER(EM$3:FK$3,EM250:FK250&gt;0,"")))</f>
        <v/>
      </c>
    </row>
    <row r="251" spans="6:21" x14ac:dyDescent="0.3">
      <c r="F251" s="2" cm="1">
        <f t="array" ref="F251">COUNTA(_xlfn.UNIQUE(_xlfn._xlws.FILTER(chamca[Run],(chamca[Visual ID]=A251))))</f>
        <v>1</v>
      </c>
      <c r="G251" s="2">
        <f>_xlfn.XLOOKUP(A251,RevCoreCount!A:A,RevCoreCount!B:B,)</f>
        <v>0</v>
      </c>
      <c r="H251" s="2">
        <f>_xlfn.XLOOKUP(A251,RevCoreCount!A:A,RevCoreCount!E:E,)</f>
        <v>0</v>
      </c>
      <c r="I251" s="2">
        <f>_xlfn.XLOOKUP(A251,RevCHACount!A:A,RevCHACount!B:B)</f>
        <v>0</v>
      </c>
      <c r="J251" s="2">
        <f>_xlfn.XLOOKUP(A251,RevCHACount!A:A,RevCHACount!E:E)</f>
        <v>0</v>
      </c>
      <c r="K251" s="2">
        <f>_xlfn.XLOOKUP(A251,RevLLCCount!A:A,RevLLCCount!B:B,)</f>
        <v>0</v>
      </c>
      <c r="L251" s="2">
        <f>_xlfn.XLOOKUP(A251,RevLLCCount!A:A,RevLLCCount!E:E)</f>
        <v>0</v>
      </c>
      <c r="M251" s="1">
        <f>_xlfn.XLOOKUP(A251,RevCHACount!A:A,RevCHACount!F:F)</f>
        <v>0</v>
      </c>
      <c r="N251" s="1" t="str">
        <f>_xlfn.XLOOKUP(A251,'Other Errors'!A:A,'Other Errors'!B:B,"")</f>
        <v/>
      </c>
      <c r="O251" s="2" t="e">
        <f t="shared" si="58"/>
        <v>#N/A</v>
      </c>
      <c r="P251" s="2" t="e">
        <f t="shared" si="59"/>
        <v>#N/A</v>
      </c>
      <c r="Q251" s="2" t="e">
        <f t="shared" si="60"/>
        <v>#N/A</v>
      </c>
      <c r="R251" s="2" t="e">
        <f t="shared" si="61"/>
        <v>#N/A</v>
      </c>
      <c r="S251" s="2" t="str">
        <f t="shared" si="62"/>
        <v/>
      </c>
      <c r="T251" s="2" t="str">
        <f t="shared" si="37"/>
        <v/>
      </c>
      <c r="U251" s="8" t="str" cm="1">
        <f t="array" ref="U251">_xlfn.TEXTJOIN(", ",,_xlfn.UNIQUE(_xlfn._xlws.FILTER(EM$3:FK$3,EM251:FK251&gt;0,"")))</f>
        <v/>
      </c>
    </row>
    <row r="252" spans="6:21" x14ac:dyDescent="0.3">
      <c r="F252" s="2" cm="1">
        <f t="array" ref="F252">COUNTA(_xlfn.UNIQUE(_xlfn._xlws.FILTER(chamca[Run],(chamca[Visual ID]=A252))))</f>
        <v>1</v>
      </c>
      <c r="G252" s="2">
        <f>_xlfn.XLOOKUP(A252,RevCoreCount!A:A,RevCoreCount!B:B,)</f>
        <v>0</v>
      </c>
      <c r="H252" s="2">
        <f>_xlfn.XLOOKUP(A252,RevCoreCount!A:A,RevCoreCount!E:E,)</f>
        <v>0</v>
      </c>
      <c r="I252" s="2">
        <f>_xlfn.XLOOKUP(A252,RevCHACount!A:A,RevCHACount!B:B)</f>
        <v>0</v>
      </c>
      <c r="J252" s="2">
        <f>_xlfn.XLOOKUP(A252,RevCHACount!A:A,RevCHACount!E:E)</f>
        <v>0</v>
      </c>
      <c r="K252" s="2">
        <f>_xlfn.XLOOKUP(A252,RevLLCCount!A:A,RevLLCCount!B:B,)</f>
        <v>0</v>
      </c>
      <c r="L252" s="2">
        <f>_xlfn.XLOOKUP(A252,RevLLCCount!A:A,RevLLCCount!E:E)</f>
        <v>0</v>
      </c>
      <c r="M252" s="1">
        <f>_xlfn.XLOOKUP(A252,RevCHACount!A:A,RevCHACount!F:F)</f>
        <v>0</v>
      </c>
      <c r="N252" s="1" t="str">
        <f>_xlfn.XLOOKUP(A252,'Other Errors'!A:A,'Other Errors'!B:B,"")</f>
        <v/>
      </c>
      <c r="O252" s="2" t="e">
        <f t="shared" si="58"/>
        <v>#N/A</v>
      </c>
      <c r="P252" s="2" t="e">
        <f t="shared" si="59"/>
        <v>#N/A</v>
      </c>
      <c r="Q252" s="2" t="e">
        <f t="shared" si="60"/>
        <v>#N/A</v>
      </c>
      <c r="R252" s="2" t="e">
        <f t="shared" si="61"/>
        <v>#N/A</v>
      </c>
      <c r="S252" s="2" t="str">
        <f t="shared" si="62"/>
        <v/>
      </c>
      <c r="T252" s="2" t="str">
        <f t="shared" si="37"/>
        <v/>
      </c>
      <c r="U252" s="8" t="str" cm="1">
        <f t="array" ref="U252">_xlfn.TEXTJOIN(", ",,_xlfn.UNIQUE(_xlfn._xlws.FILTER(EM$3:FK$3,EM252:FK252&gt;0,"")))</f>
        <v/>
      </c>
    </row>
    <row r="253" spans="6:21" x14ac:dyDescent="0.3">
      <c r="F253" s="2" cm="1">
        <f t="array" ref="F253">COUNTA(_xlfn.UNIQUE(_xlfn._xlws.FILTER(chamca[Run],(chamca[Visual ID]=A253))))</f>
        <v>1</v>
      </c>
      <c r="G253" s="2">
        <f>_xlfn.XLOOKUP(A253,RevCoreCount!A:A,RevCoreCount!B:B,)</f>
        <v>0</v>
      </c>
      <c r="H253" s="2">
        <f>_xlfn.XLOOKUP(A253,RevCoreCount!A:A,RevCoreCount!E:E,)</f>
        <v>0</v>
      </c>
      <c r="I253" s="2">
        <f>_xlfn.XLOOKUP(A253,RevCHACount!A:A,RevCHACount!B:B)</f>
        <v>0</v>
      </c>
      <c r="J253" s="2">
        <f>_xlfn.XLOOKUP(A253,RevCHACount!A:A,RevCHACount!E:E)</f>
        <v>0</v>
      </c>
      <c r="K253" s="2">
        <f>_xlfn.XLOOKUP(A253,RevLLCCount!A:A,RevLLCCount!B:B,)</f>
        <v>0</v>
      </c>
      <c r="L253" s="2">
        <f>_xlfn.XLOOKUP(A253,RevLLCCount!A:A,RevLLCCount!E:E)</f>
        <v>0</v>
      </c>
      <c r="M253" s="1">
        <f>_xlfn.XLOOKUP(A253,RevCHACount!A:A,RevCHACount!F:F)</f>
        <v>0</v>
      </c>
      <c r="N253" s="1" t="str">
        <f>_xlfn.XLOOKUP(A253,'Other Errors'!A:A,'Other Errors'!B:B,"")</f>
        <v/>
      </c>
      <c r="O253" s="2" t="e">
        <f t="shared" si="58"/>
        <v>#N/A</v>
      </c>
      <c r="P253" s="2" t="e">
        <f t="shared" si="59"/>
        <v>#N/A</v>
      </c>
      <c r="Q253" s="2" t="e">
        <f t="shared" si="60"/>
        <v>#N/A</v>
      </c>
      <c r="R253" s="2" t="e">
        <f t="shared" si="61"/>
        <v>#N/A</v>
      </c>
      <c r="S253" s="2" t="str">
        <f t="shared" si="62"/>
        <v/>
      </c>
      <c r="T253" s="2" t="str">
        <f t="shared" si="37"/>
        <v/>
      </c>
      <c r="U253" s="8" t="str" cm="1">
        <f t="array" ref="U253">_xlfn.TEXTJOIN(", ",,_xlfn.UNIQUE(_xlfn._xlws.FILTER(EM$3:FK$3,EM253:FK253&gt;0,"")))</f>
        <v/>
      </c>
    </row>
    <row r="254" spans="6:21" x14ac:dyDescent="0.3">
      <c r="F254" s="2" cm="1">
        <f t="array" ref="F254">COUNTA(_xlfn.UNIQUE(_xlfn._xlws.FILTER(chamca[Run],(chamca[Visual ID]=A254))))</f>
        <v>1</v>
      </c>
      <c r="G254" s="2">
        <f>_xlfn.XLOOKUP(A254,RevCoreCount!A:A,RevCoreCount!B:B,)</f>
        <v>0</v>
      </c>
      <c r="H254" s="2">
        <f>_xlfn.XLOOKUP(A254,RevCoreCount!A:A,RevCoreCount!E:E,)</f>
        <v>0</v>
      </c>
      <c r="I254" s="2">
        <f>_xlfn.XLOOKUP(A254,RevCHACount!A:A,RevCHACount!B:B)</f>
        <v>0</v>
      </c>
      <c r="J254" s="2">
        <f>_xlfn.XLOOKUP(A254,RevCHACount!A:A,RevCHACount!E:E)</f>
        <v>0</v>
      </c>
      <c r="K254" s="2">
        <f>_xlfn.XLOOKUP(A254,RevLLCCount!A:A,RevLLCCount!B:B,)</f>
        <v>0</v>
      </c>
      <c r="L254" s="2">
        <f>_xlfn.XLOOKUP(A254,RevLLCCount!A:A,RevLLCCount!E:E)</f>
        <v>0</v>
      </c>
      <c r="M254" s="1">
        <f>_xlfn.XLOOKUP(A254,RevCHACount!A:A,RevCHACount!F:F)</f>
        <v>0</v>
      </c>
      <c r="N254" s="1" t="str">
        <f>_xlfn.XLOOKUP(A254,'Other Errors'!A:A,'Other Errors'!B:B,"")</f>
        <v/>
      </c>
      <c r="O254" s="2" t="e">
        <f t="shared" si="58"/>
        <v>#N/A</v>
      </c>
      <c r="P254" s="2" t="e">
        <f t="shared" si="59"/>
        <v>#N/A</v>
      </c>
      <c r="Q254" s="2" t="e">
        <f t="shared" si="60"/>
        <v>#N/A</v>
      </c>
      <c r="R254" s="2" t="e">
        <f t="shared" si="61"/>
        <v>#N/A</v>
      </c>
      <c r="S254" s="2" t="str">
        <f t="shared" si="62"/>
        <v/>
      </c>
      <c r="T254" s="2" t="str">
        <f t="shared" si="37"/>
        <v/>
      </c>
      <c r="U254" s="8" t="str" cm="1">
        <f t="array" ref="U254">_xlfn.TEXTJOIN(", ",,_xlfn.UNIQUE(_xlfn._xlws.FILTER(EM$3:FK$3,EM254:FK254&gt;0,"")))</f>
        <v/>
      </c>
    </row>
    <row r="255" spans="6:21" x14ac:dyDescent="0.3">
      <c r="F255" s="2" cm="1">
        <f t="array" ref="F255">COUNTA(_xlfn.UNIQUE(_xlfn._xlws.FILTER(chamca[Run],(chamca[Visual ID]=A255))))</f>
        <v>1</v>
      </c>
      <c r="G255" s="2">
        <f>_xlfn.XLOOKUP(A255,RevCoreCount!A:A,RevCoreCount!B:B,)</f>
        <v>0</v>
      </c>
      <c r="H255" s="2">
        <f>_xlfn.XLOOKUP(A255,RevCoreCount!A:A,RevCoreCount!E:E,)</f>
        <v>0</v>
      </c>
      <c r="I255" s="2">
        <f>_xlfn.XLOOKUP(A255,RevCHACount!A:A,RevCHACount!B:B)</f>
        <v>0</v>
      </c>
      <c r="J255" s="2">
        <f>_xlfn.XLOOKUP(A255,RevCHACount!A:A,RevCHACount!E:E)</f>
        <v>0</v>
      </c>
      <c r="K255" s="2">
        <f>_xlfn.XLOOKUP(A255,RevLLCCount!A:A,RevLLCCount!B:B,)</f>
        <v>0</v>
      </c>
      <c r="L255" s="2">
        <f>_xlfn.XLOOKUP(A255,RevLLCCount!A:A,RevLLCCount!E:E)</f>
        <v>0</v>
      </c>
      <c r="M255" s="1">
        <f>_xlfn.XLOOKUP(A255,RevCHACount!A:A,RevCHACount!F:F)</f>
        <v>0</v>
      </c>
      <c r="N255" s="1" t="str">
        <f>_xlfn.XLOOKUP(A255,'Other Errors'!A:A,'Other Errors'!B:B,"")</f>
        <v/>
      </c>
      <c r="O255" s="2" t="e">
        <f t="shared" si="58"/>
        <v>#N/A</v>
      </c>
      <c r="P255" s="2" t="e">
        <f t="shared" si="59"/>
        <v>#N/A</v>
      </c>
      <c r="Q255" s="2" t="e">
        <f t="shared" si="60"/>
        <v>#N/A</v>
      </c>
      <c r="R255" s="2" t="e">
        <f t="shared" si="61"/>
        <v>#N/A</v>
      </c>
      <c r="S255" s="2" t="str">
        <f t="shared" si="62"/>
        <v/>
      </c>
      <c r="T255" s="2" t="str">
        <f t="shared" si="37"/>
        <v/>
      </c>
      <c r="U255" s="8" t="str" cm="1">
        <f t="array" ref="U255">_xlfn.TEXTJOIN(", ",,_xlfn.UNIQUE(_xlfn._xlws.FILTER(EM$3:FK$3,EM255:FK255&gt;0,"")))</f>
        <v/>
      </c>
    </row>
    <row r="256" spans="6:21" x14ac:dyDescent="0.3">
      <c r="F256" s="2" cm="1">
        <f t="array" ref="F256">COUNTA(_xlfn.UNIQUE(_xlfn._xlws.FILTER(chamca[Run],(chamca[Visual ID]=A256))))</f>
        <v>1</v>
      </c>
      <c r="G256" s="2">
        <f>_xlfn.XLOOKUP(A256,RevCoreCount!A:A,RevCoreCount!B:B,)</f>
        <v>0</v>
      </c>
      <c r="H256" s="2">
        <f>_xlfn.XLOOKUP(A256,RevCoreCount!A:A,RevCoreCount!E:E,)</f>
        <v>0</v>
      </c>
      <c r="I256" s="2">
        <f>_xlfn.XLOOKUP(A256,RevCHACount!A:A,RevCHACount!B:B)</f>
        <v>0</v>
      </c>
      <c r="J256" s="2">
        <f>_xlfn.XLOOKUP(A256,RevCHACount!A:A,RevCHACount!E:E)</f>
        <v>0</v>
      </c>
      <c r="K256" s="2">
        <f>_xlfn.XLOOKUP(A256,RevLLCCount!A:A,RevLLCCount!B:B,)</f>
        <v>0</v>
      </c>
      <c r="L256" s="2">
        <f>_xlfn.XLOOKUP(A256,RevLLCCount!A:A,RevLLCCount!E:E)</f>
        <v>0</v>
      </c>
      <c r="M256" s="1">
        <f>_xlfn.XLOOKUP(A256,RevCHACount!A:A,RevCHACount!F:F)</f>
        <v>0</v>
      </c>
      <c r="N256" s="1" t="str">
        <f>_xlfn.XLOOKUP(A256,'Other Errors'!A:A,'Other Errors'!B:B,"")</f>
        <v/>
      </c>
      <c r="O256" s="2" t="e">
        <f t="shared" si="58"/>
        <v>#N/A</v>
      </c>
      <c r="P256" s="2" t="e">
        <f t="shared" si="59"/>
        <v>#N/A</v>
      </c>
      <c r="Q256" s="2" t="e">
        <f t="shared" si="60"/>
        <v>#N/A</v>
      </c>
      <c r="R256" s="2" t="e">
        <f t="shared" si="61"/>
        <v>#N/A</v>
      </c>
      <c r="S256" s="2" t="str">
        <f t="shared" si="62"/>
        <v/>
      </c>
      <c r="T256" s="2" t="str">
        <f t="shared" si="37"/>
        <v/>
      </c>
      <c r="U256" s="8" t="str" cm="1">
        <f t="array" ref="U256">_xlfn.TEXTJOIN(", ",,_xlfn.UNIQUE(_xlfn._xlws.FILTER(EM$3:FK$3,EM256:FK256&gt;0,"")))</f>
        <v/>
      </c>
    </row>
    <row r="257" spans="6:21" x14ac:dyDescent="0.3">
      <c r="F257" s="2" cm="1">
        <f t="array" ref="F257">COUNTA(_xlfn.UNIQUE(_xlfn._xlws.FILTER(chamca[Run],(chamca[Visual ID]=A257))))</f>
        <v>1</v>
      </c>
      <c r="G257" s="2">
        <f>_xlfn.XLOOKUP(A257,RevCoreCount!A:A,RevCoreCount!B:B,)</f>
        <v>0</v>
      </c>
      <c r="H257" s="2">
        <f>_xlfn.XLOOKUP(A257,RevCoreCount!A:A,RevCoreCount!E:E,)</f>
        <v>0</v>
      </c>
      <c r="I257" s="2">
        <f>_xlfn.XLOOKUP(A257,RevCHACount!A:A,RevCHACount!B:B)</f>
        <v>0</v>
      </c>
      <c r="J257" s="2">
        <f>_xlfn.XLOOKUP(A257,RevCHACount!A:A,RevCHACount!E:E)</f>
        <v>0</v>
      </c>
      <c r="K257" s="2">
        <f>_xlfn.XLOOKUP(A257,RevLLCCount!A:A,RevLLCCount!B:B,)</f>
        <v>0</v>
      </c>
      <c r="L257" s="2">
        <f>_xlfn.XLOOKUP(A257,RevLLCCount!A:A,RevLLCCount!E:E)</f>
        <v>0</v>
      </c>
      <c r="M257" s="1">
        <f>_xlfn.XLOOKUP(A257,RevCHACount!A:A,RevCHACount!F:F)</f>
        <v>0</v>
      </c>
      <c r="N257" s="1" t="str">
        <f>_xlfn.XLOOKUP(A257,'Other Errors'!A:A,'Other Errors'!B:B,"")</f>
        <v/>
      </c>
      <c r="O257" s="2" t="e">
        <f t="shared" si="58"/>
        <v>#N/A</v>
      </c>
      <c r="P257" s="2" t="e">
        <f t="shared" si="59"/>
        <v>#N/A</v>
      </c>
      <c r="Q257" s="2" t="e">
        <f t="shared" si="60"/>
        <v>#N/A</v>
      </c>
      <c r="R257" s="2" t="e">
        <f t="shared" si="61"/>
        <v>#N/A</v>
      </c>
      <c r="S257" s="2" t="str">
        <f t="shared" si="62"/>
        <v/>
      </c>
      <c r="T257" s="2" t="str">
        <f t="shared" si="37"/>
        <v/>
      </c>
      <c r="U257" s="8" t="str" cm="1">
        <f t="array" ref="U257">_xlfn.TEXTJOIN(", ",,_xlfn.UNIQUE(_xlfn._xlws.FILTER(EM$3:FK$3,EM257:FK257&gt;0,"")))</f>
        <v/>
      </c>
    </row>
    <row r="258" spans="6:21" x14ac:dyDescent="0.3">
      <c r="F258" s="2" cm="1">
        <f t="array" ref="F258">COUNTA(_xlfn.UNIQUE(_xlfn._xlws.FILTER(chamca[Run],(chamca[Visual ID]=A258))))</f>
        <v>1</v>
      </c>
      <c r="G258" s="2">
        <f>_xlfn.XLOOKUP(A258,RevCoreCount!A:A,RevCoreCount!B:B,)</f>
        <v>0</v>
      </c>
      <c r="H258" s="2">
        <f>_xlfn.XLOOKUP(A258,RevCoreCount!A:A,RevCoreCount!E:E,)</f>
        <v>0</v>
      </c>
      <c r="I258" s="2">
        <f>_xlfn.XLOOKUP(A258,RevCHACount!A:A,RevCHACount!B:B)</f>
        <v>0</v>
      </c>
      <c r="J258" s="2">
        <f>_xlfn.XLOOKUP(A258,RevCHACount!A:A,RevCHACount!E:E)</f>
        <v>0</v>
      </c>
      <c r="K258" s="2">
        <f>_xlfn.XLOOKUP(A258,RevLLCCount!A:A,RevLLCCount!B:B,)</f>
        <v>0</v>
      </c>
      <c r="L258" s="2">
        <f>_xlfn.XLOOKUP(A258,RevLLCCount!A:A,RevLLCCount!E:E)</f>
        <v>0</v>
      </c>
      <c r="M258" s="1">
        <f>_xlfn.XLOOKUP(A258,RevCHACount!A:A,RevCHACount!F:F)</f>
        <v>0</v>
      </c>
      <c r="N258" s="1" t="str">
        <f>_xlfn.XLOOKUP(A258,'Other Errors'!A:A,'Other Errors'!B:B,"")</f>
        <v/>
      </c>
      <c r="O258" s="2" t="e">
        <f t="shared" si="58"/>
        <v>#N/A</v>
      </c>
      <c r="P258" s="2" t="e">
        <f t="shared" si="59"/>
        <v>#N/A</v>
      </c>
      <c r="Q258" s="2" t="e">
        <f t="shared" si="60"/>
        <v>#N/A</v>
      </c>
      <c r="R258" s="2" t="e">
        <f t="shared" si="61"/>
        <v>#N/A</v>
      </c>
      <c r="S258" s="2" t="str">
        <f t="shared" si="62"/>
        <v/>
      </c>
      <c r="T258" s="2" t="str">
        <f t="shared" si="37"/>
        <v/>
      </c>
      <c r="U258" s="8" t="str" cm="1">
        <f t="array" ref="U258">_xlfn.TEXTJOIN(", ",,_xlfn.UNIQUE(_xlfn._xlws.FILTER(EM$3:FK$3,EM258:FK258&gt;0,"")))</f>
        <v/>
      </c>
    </row>
    <row r="259" spans="6:21" x14ac:dyDescent="0.3">
      <c r="F259" s="2" cm="1">
        <f t="array" ref="F259">COUNTA(_xlfn.UNIQUE(_xlfn._xlws.FILTER(chamca[Run],(chamca[Visual ID]=A259))))</f>
        <v>1</v>
      </c>
      <c r="G259" s="2">
        <f>_xlfn.XLOOKUP(A259,RevCoreCount!A:A,RevCoreCount!B:B,)</f>
        <v>0</v>
      </c>
      <c r="H259" s="2">
        <f>_xlfn.XLOOKUP(A259,RevCoreCount!A:A,RevCoreCount!E:E,)</f>
        <v>0</v>
      </c>
      <c r="I259" s="2">
        <f>_xlfn.XLOOKUP(A259,RevCHACount!A:A,RevCHACount!B:B)</f>
        <v>0</v>
      </c>
      <c r="J259" s="2">
        <f>_xlfn.XLOOKUP(A259,RevCHACount!A:A,RevCHACount!E:E)</f>
        <v>0</v>
      </c>
      <c r="K259" s="2">
        <f>_xlfn.XLOOKUP(A259,RevLLCCount!A:A,RevLLCCount!B:B,)</f>
        <v>0</v>
      </c>
      <c r="L259" s="2">
        <f>_xlfn.XLOOKUP(A259,RevLLCCount!A:A,RevLLCCount!E:E)</f>
        <v>0</v>
      </c>
      <c r="M259" s="1">
        <f>_xlfn.XLOOKUP(A259,RevCHACount!A:A,RevCHACount!F:F)</f>
        <v>0</v>
      </c>
      <c r="N259" s="1" t="str">
        <f>_xlfn.XLOOKUP(A259,'Other Errors'!A:A,'Other Errors'!B:B,"")</f>
        <v/>
      </c>
      <c r="O259" s="2" t="e">
        <f t="shared" si="58"/>
        <v>#N/A</v>
      </c>
      <c r="P259" s="2" t="e">
        <f t="shared" si="59"/>
        <v>#N/A</v>
      </c>
      <c r="Q259" s="2" t="e">
        <f t="shared" si="60"/>
        <v>#N/A</v>
      </c>
      <c r="R259" s="2" t="e">
        <f t="shared" si="61"/>
        <v>#N/A</v>
      </c>
      <c r="S259" s="2" t="str">
        <f t="shared" si="62"/>
        <v/>
      </c>
      <c r="T259" s="2" t="str">
        <f t="shared" si="37"/>
        <v/>
      </c>
      <c r="U259" s="8" t="str" cm="1">
        <f t="array" ref="U259">_xlfn.TEXTJOIN(", ",,_xlfn.UNIQUE(_xlfn._xlws.FILTER(EM$3:FK$3,EM259:FK259&gt;0,"")))</f>
        <v/>
      </c>
    </row>
    <row r="260" spans="6:21" x14ac:dyDescent="0.3">
      <c r="F260" s="2" cm="1">
        <f t="array" ref="F260">COUNTA(_xlfn.UNIQUE(_xlfn._xlws.FILTER(chamca[Run],(chamca[Visual ID]=A260))))</f>
        <v>1</v>
      </c>
      <c r="G260" s="2">
        <f>_xlfn.XLOOKUP(A260,RevCoreCount!A:A,RevCoreCount!B:B,)</f>
        <v>0</v>
      </c>
      <c r="H260" s="2">
        <f>_xlfn.XLOOKUP(A260,RevCoreCount!A:A,RevCoreCount!E:E,)</f>
        <v>0</v>
      </c>
      <c r="I260" s="2">
        <f>_xlfn.XLOOKUP(A260,RevCHACount!A:A,RevCHACount!B:B)</f>
        <v>0</v>
      </c>
      <c r="J260" s="2">
        <f>_xlfn.XLOOKUP(A260,RevCHACount!A:A,RevCHACount!E:E)</f>
        <v>0</v>
      </c>
      <c r="K260" s="2">
        <f>_xlfn.XLOOKUP(A260,RevLLCCount!A:A,RevLLCCount!B:B,)</f>
        <v>0</v>
      </c>
      <c r="L260" s="2">
        <f>_xlfn.XLOOKUP(A260,RevLLCCount!A:A,RevLLCCount!E:E)</f>
        <v>0</v>
      </c>
      <c r="M260" s="1">
        <f>_xlfn.XLOOKUP(A260,RevCHACount!A:A,RevCHACount!F:F)</f>
        <v>0</v>
      </c>
      <c r="N260" s="1" t="str">
        <f>_xlfn.XLOOKUP(A260,'Other Errors'!A:A,'Other Errors'!B:B,"")</f>
        <v/>
      </c>
      <c r="O260" s="2" t="e">
        <f t="shared" ref="O260:O280" si="63">_xlfn.XLOOKUP(MAX(X260:BH260),X260:BH260,X$3:BH$3)</f>
        <v>#N/A</v>
      </c>
      <c r="P260" s="2" t="e">
        <f t="shared" ref="P260:P280" si="64">_xlfn.XLOOKUP(MAX(BJ260:CO260),BJ260:CO260,BJ$3:CO$3)</f>
        <v>#N/A</v>
      </c>
      <c r="Q260" s="2" t="e">
        <f t="shared" ref="Q260:Q280" si="65">_xlfn.XLOOKUP(MAX(CZ260:DI260),CZ260:DI260,CZ$3:DI$3)</f>
        <v>#N/A</v>
      </c>
      <c r="R260" s="2" t="e">
        <f t="shared" ref="R260:R280" si="66">_xlfn.XLOOKUP(MAX(CQ260:CX260),CQ260:CX260,CQ$3:CX$3)</f>
        <v>#N/A</v>
      </c>
      <c r="S260" s="2" t="str">
        <f t="shared" ref="S260:S280" si="67">_xlfn.XLOOKUP(MAX(DK260:EI260),DK260:EI260,DK$3:EI$3,"")</f>
        <v/>
      </c>
      <c r="T260" s="2" t="str">
        <f t="shared" si="37"/>
        <v/>
      </c>
      <c r="U260" s="8" t="str" cm="1">
        <f t="array" ref="U260">_xlfn.TEXTJOIN(", ",,_xlfn.UNIQUE(_xlfn._xlws.FILTER(EM$3:FK$3,EM260:FK260&gt;0,"")))</f>
        <v/>
      </c>
    </row>
    <row r="261" spans="6:21" x14ac:dyDescent="0.3">
      <c r="F261" s="2" cm="1">
        <f t="array" ref="F261">COUNTA(_xlfn.UNIQUE(_xlfn._xlws.FILTER(chamca[Run],(chamca[Visual ID]=A261))))</f>
        <v>1</v>
      </c>
      <c r="G261" s="2">
        <f>_xlfn.XLOOKUP(A261,RevCoreCount!A:A,RevCoreCount!B:B,)</f>
        <v>0</v>
      </c>
      <c r="H261" s="2">
        <f>_xlfn.XLOOKUP(A261,RevCoreCount!A:A,RevCoreCount!E:E,)</f>
        <v>0</v>
      </c>
      <c r="I261" s="2">
        <f>_xlfn.XLOOKUP(A261,RevCHACount!A:A,RevCHACount!B:B)</f>
        <v>0</v>
      </c>
      <c r="J261" s="2">
        <f>_xlfn.XLOOKUP(A261,RevCHACount!A:A,RevCHACount!E:E)</f>
        <v>0</v>
      </c>
      <c r="K261" s="2">
        <f>_xlfn.XLOOKUP(A261,RevLLCCount!A:A,RevLLCCount!B:B,)</f>
        <v>0</v>
      </c>
      <c r="L261" s="2">
        <f>_xlfn.XLOOKUP(A261,RevLLCCount!A:A,RevLLCCount!E:E)</f>
        <v>0</v>
      </c>
      <c r="M261" s="1">
        <f>_xlfn.XLOOKUP(A261,RevCHACount!A:A,RevCHACount!F:F)</f>
        <v>0</v>
      </c>
      <c r="N261" s="1" t="str">
        <f>_xlfn.XLOOKUP(A261,'Other Errors'!A:A,'Other Errors'!B:B,"")</f>
        <v/>
      </c>
      <c r="O261" s="2" t="e">
        <f t="shared" si="63"/>
        <v>#N/A</v>
      </c>
      <c r="P261" s="2" t="e">
        <f t="shared" si="64"/>
        <v>#N/A</v>
      </c>
      <c r="Q261" s="2" t="e">
        <f t="shared" si="65"/>
        <v>#N/A</v>
      </c>
      <c r="R261" s="2" t="e">
        <f t="shared" si="66"/>
        <v>#N/A</v>
      </c>
      <c r="S261" s="2" t="str">
        <f t="shared" si="67"/>
        <v/>
      </c>
      <c r="T261" s="2" t="str">
        <f t="shared" ref="T261:T324" si="68">_xlfn.TEXTJOIN(", ",,_xlfn.UNIQUE(_xlfn._xlws.FILTER(_xlfn.ANCHORARRAY(DK$3),DK261&gt;0,"")))</f>
        <v/>
      </c>
      <c r="U261" s="8" t="str" cm="1">
        <f t="array" ref="U261">_xlfn.TEXTJOIN(", ",,_xlfn.UNIQUE(_xlfn._xlws.FILTER(EM$3:FK$3,EM261:FK261&gt;0,"")))</f>
        <v/>
      </c>
    </row>
    <row r="262" spans="6:21" x14ac:dyDescent="0.3">
      <c r="F262" s="2" cm="1">
        <f t="array" ref="F262">COUNTA(_xlfn.UNIQUE(_xlfn._xlws.FILTER(chamca[Run],(chamca[Visual ID]=A262))))</f>
        <v>1</v>
      </c>
      <c r="G262" s="2">
        <f>_xlfn.XLOOKUP(A262,RevCoreCount!A:A,RevCoreCount!B:B,)</f>
        <v>0</v>
      </c>
      <c r="H262" s="2">
        <f>_xlfn.XLOOKUP(A262,RevCoreCount!A:A,RevCoreCount!E:E,)</f>
        <v>0</v>
      </c>
      <c r="I262" s="2">
        <f>_xlfn.XLOOKUP(A262,RevCHACount!A:A,RevCHACount!B:B)</f>
        <v>0</v>
      </c>
      <c r="J262" s="2">
        <f>_xlfn.XLOOKUP(A262,RevCHACount!A:A,RevCHACount!E:E)</f>
        <v>0</v>
      </c>
      <c r="K262" s="2">
        <f>_xlfn.XLOOKUP(A262,RevLLCCount!A:A,RevLLCCount!B:B,)</f>
        <v>0</v>
      </c>
      <c r="L262" s="2">
        <f>_xlfn.XLOOKUP(A262,RevLLCCount!A:A,RevLLCCount!E:E)</f>
        <v>0</v>
      </c>
      <c r="M262" s="1">
        <f>_xlfn.XLOOKUP(A262,RevCHACount!A:A,RevCHACount!F:F)</f>
        <v>0</v>
      </c>
      <c r="N262" s="1" t="str">
        <f>_xlfn.XLOOKUP(A262,'Other Errors'!A:A,'Other Errors'!B:B,"")</f>
        <v/>
      </c>
      <c r="O262" s="2" t="e">
        <f t="shared" si="63"/>
        <v>#N/A</v>
      </c>
      <c r="P262" s="2" t="e">
        <f t="shared" si="64"/>
        <v>#N/A</v>
      </c>
      <c r="Q262" s="2" t="e">
        <f t="shared" si="65"/>
        <v>#N/A</v>
      </c>
      <c r="R262" s="2" t="e">
        <f t="shared" si="66"/>
        <v>#N/A</v>
      </c>
      <c r="S262" s="2" t="str">
        <f t="shared" si="67"/>
        <v/>
      </c>
      <c r="T262" s="2" t="str">
        <f t="shared" si="68"/>
        <v/>
      </c>
      <c r="U262" s="8" t="str" cm="1">
        <f t="array" ref="U262">_xlfn.TEXTJOIN(", ",,_xlfn.UNIQUE(_xlfn._xlws.FILTER(EM$3:FK$3,EM262:FK262&gt;0,"")))</f>
        <v/>
      </c>
    </row>
    <row r="263" spans="6:21" x14ac:dyDescent="0.3">
      <c r="F263" s="2" cm="1">
        <f t="array" ref="F263">COUNTA(_xlfn.UNIQUE(_xlfn._xlws.FILTER(chamca[Run],(chamca[Visual ID]=A263))))</f>
        <v>1</v>
      </c>
      <c r="G263" s="2">
        <f>_xlfn.XLOOKUP(A263,RevCoreCount!A:A,RevCoreCount!B:B,)</f>
        <v>0</v>
      </c>
      <c r="H263" s="2">
        <f>_xlfn.XLOOKUP(A263,RevCoreCount!A:A,RevCoreCount!E:E,)</f>
        <v>0</v>
      </c>
      <c r="I263" s="2">
        <f>_xlfn.XLOOKUP(A263,RevCHACount!A:A,RevCHACount!B:B)</f>
        <v>0</v>
      </c>
      <c r="J263" s="2">
        <f>_xlfn.XLOOKUP(A263,RevCHACount!A:A,RevCHACount!E:E)</f>
        <v>0</v>
      </c>
      <c r="K263" s="2">
        <f>_xlfn.XLOOKUP(A263,RevLLCCount!A:A,RevLLCCount!B:B,)</f>
        <v>0</v>
      </c>
      <c r="L263" s="2">
        <f>_xlfn.XLOOKUP(A263,RevLLCCount!A:A,RevLLCCount!E:E)</f>
        <v>0</v>
      </c>
      <c r="M263" s="1">
        <f>_xlfn.XLOOKUP(A263,RevCHACount!A:A,RevCHACount!F:F)</f>
        <v>0</v>
      </c>
      <c r="N263" s="1" t="str">
        <f>_xlfn.XLOOKUP(A263,'Other Errors'!A:A,'Other Errors'!B:B,"")</f>
        <v/>
      </c>
      <c r="O263" s="2" t="e">
        <f t="shared" si="63"/>
        <v>#N/A</v>
      </c>
      <c r="P263" s="2" t="e">
        <f t="shared" si="64"/>
        <v>#N/A</v>
      </c>
      <c r="Q263" s="2" t="e">
        <f t="shared" si="65"/>
        <v>#N/A</v>
      </c>
      <c r="R263" s="2" t="e">
        <f t="shared" si="66"/>
        <v>#N/A</v>
      </c>
      <c r="S263" s="2" t="str">
        <f t="shared" si="67"/>
        <v/>
      </c>
      <c r="T263" s="2" t="str">
        <f t="shared" si="68"/>
        <v/>
      </c>
      <c r="U263" s="8" t="str" cm="1">
        <f t="array" ref="U263">_xlfn.TEXTJOIN(", ",,_xlfn.UNIQUE(_xlfn._xlws.FILTER(EM$3:FK$3,EM263:FK263&gt;0,"")))</f>
        <v/>
      </c>
    </row>
    <row r="264" spans="6:21" x14ac:dyDescent="0.3">
      <c r="F264" s="2" cm="1">
        <f t="array" ref="F264">COUNTA(_xlfn.UNIQUE(_xlfn._xlws.FILTER(chamca[Run],(chamca[Visual ID]=A264))))</f>
        <v>1</v>
      </c>
      <c r="G264" s="2">
        <f>_xlfn.XLOOKUP(A264,RevCoreCount!A:A,RevCoreCount!B:B,)</f>
        <v>0</v>
      </c>
      <c r="H264" s="2">
        <f>_xlfn.XLOOKUP(A264,RevCoreCount!A:A,RevCoreCount!E:E,)</f>
        <v>0</v>
      </c>
      <c r="I264" s="2">
        <f>_xlfn.XLOOKUP(A264,RevCHACount!A:A,RevCHACount!B:B)</f>
        <v>0</v>
      </c>
      <c r="J264" s="2">
        <f>_xlfn.XLOOKUP(A264,RevCHACount!A:A,RevCHACount!E:E)</f>
        <v>0</v>
      </c>
      <c r="K264" s="2">
        <f>_xlfn.XLOOKUP(A264,RevLLCCount!A:A,RevLLCCount!B:B,)</f>
        <v>0</v>
      </c>
      <c r="L264" s="2">
        <f>_xlfn.XLOOKUP(A264,RevLLCCount!A:A,RevLLCCount!E:E)</f>
        <v>0</v>
      </c>
      <c r="M264" s="1">
        <f>_xlfn.XLOOKUP(A264,RevCHACount!A:A,RevCHACount!F:F)</f>
        <v>0</v>
      </c>
      <c r="N264" s="1" t="str">
        <f>_xlfn.XLOOKUP(A264,'Other Errors'!A:A,'Other Errors'!B:B,"")</f>
        <v/>
      </c>
      <c r="O264" s="2" t="e">
        <f t="shared" si="63"/>
        <v>#N/A</v>
      </c>
      <c r="P264" s="2" t="e">
        <f t="shared" si="64"/>
        <v>#N/A</v>
      </c>
      <c r="Q264" s="2" t="e">
        <f t="shared" si="65"/>
        <v>#N/A</v>
      </c>
      <c r="R264" s="2" t="e">
        <f t="shared" si="66"/>
        <v>#N/A</v>
      </c>
      <c r="S264" s="2" t="str">
        <f t="shared" si="67"/>
        <v/>
      </c>
      <c r="T264" s="2" t="str">
        <f t="shared" si="68"/>
        <v/>
      </c>
      <c r="U264" s="8" t="str" cm="1">
        <f t="array" ref="U264">_xlfn.TEXTJOIN(", ",,_xlfn.UNIQUE(_xlfn._xlws.FILTER(EM$3:FK$3,EM264:FK264&gt;0,"")))</f>
        <v/>
      </c>
    </row>
    <row r="265" spans="6:21" x14ac:dyDescent="0.3">
      <c r="F265" s="2" cm="1">
        <f t="array" ref="F265">COUNTA(_xlfn.UNIQUE(_xlfn._xlws.FILTER(chamca[Run],(chamca[Visual ID]=A265))))</f>
        <v>1</v>
      </c>
      <c r="G265" s="2">
        <f>_xlfn.XLOOKUP(A265,RevCoreCount!A:A,RevCoreCount!B:B,)</f>
        <v>0</v>
      </c>
      <c r="H265" s="2">
        <f>_xlfn.XLOOKUP(A265,RevCoreCount!A:A,RevCoreCount!E:E,)</f>
        <v>0</v>
      </c>
      <c r="I265" s="2">
        <f>_xlfn.XLOOKUP(A265,RevCHACount!A:A,RevCHACount!B:B)</f>
        <v>0</v>
      </c>
      <c r="J265" s="2">
        <f>_xlfn.XLOOKUP(A265,RevCHACount!A:A,RevCHACount!E:E)</f>
        <v>0</v>
      </c>
      <c r="K265" s="2">
        <f>_xlfn.XLOOKUP(A265,RevLLCCount!A:A,RevLLCCount!B:B,)</f>
        <v>0</v>
      </c>
      <c r="L265" s="2">
        <f>_xlfn.XLOOKUP(A265,RevLLCCount!A:A,RevLLCCount!E:E)</f>
        <v>0</v>
      </c>
      <c r="M265" s="1">
        <f>_xlfn.XLOOKUP(A265,RevCHACount!A:A,RevCHACount!F:F)</f>
        <v>0</v>
      </c>
      <c r="N265" s="1" t="str">
        <f>_xlfn.XLOOKUP(A265,'Other Errors'!A:A,'Other Errors'!B:B,"")</f>
        <v/>
      </c>
      <c r="O265" s="2" t="e">
        <f t="shared" si="63"/>
        <v>#N/A</v>
      </c>
      <c r="P265" s="2" t="e">
        <f t="shared" si="64"/>
        <v>#N/A</v>
      </c>
      <c r="Q265" s="2" t="e">
        <f t="shared" si="65"/>
        <v>#N/A</v>
      </c>
      <c r="R265" s="2" t="e">
        <f t="shared" si="66"/>
        <v>#N/A</v>
      </c>
      <c r="S265" s="2" t="str">
        <f t="shared" si="67"/>
        <v/>
      </c>
      <c r="T265" s="2" t="str">
        <f t="shared" si="68"/>
        <v/>
      </c>
      <c r="U265" s="8" t="str" cm="1">
        <f t="array" ref="U265">_xlfn.TEXTJOIN(", ",,_xlfn.UNIQUE(_xlfn._xlws.FILTER(EM$3:FK$3,EM265:FK265&gt;0,"")))</f>
        <v/>
      </c>
    </row>
    <row r="266" spans="6:21" x14ac:dyDescent="0.3">
      <c r="F266" s="2" cm="1">
        <f t="array" ref="F266">COUNTA(_xlfn.UNIQUE(_xlfn._xlws.FILTER(chamca[Run],(chamca[Visual ID]=A266))))</f>
        <v>1</v>
      </c>
      <c r="G266" s="2">
        <f>_xlfn.XLOOKUP(A266,RevCoreCount!A:A,RevCoreCount!B:B,)</f>
        <v>0</v>
      </c>
      <c r="H266" s="2">
        <f>_xlfn.XLOOKUP(A266,RevCoreCount!A:A,RevCoreCount!E:E,)</f>
        <v>0</v>
      </c>
      <c r="I266" s="2">
        <f>_xlfn.XLOOKUP(A266,RevCHACount!A:A,RevCHACount!B:B)</f>
        <v>0</v>
      </c>
      <c r="J266" s="2">
        <f>_xlfn.XLOOKUP(A266,RevCHACount!A:A,RevCHACount!E:E)</f>
        <v>0</v>
      </c>
      <c r="K266" s="2">
        <f>_xlfn.XLOOKUP(A266,RevLLCCount!A:A,RevLLCCount!B:B,)</f>
        <v>0</v>
      </c>
      <c r="L266" s="2">
        <f>_xlfn.XLOOKUP(A266,RevLLCCount!A:A,RevLLCCount!E:E)</f>
        <v>0</v>
      </c>
      <c r="M266" s="1">
        <f>_xlfn.XLOOKUP(A266,RevCHACount!A:A,RevCHACount!F:F)</f>
        <v>0</v>
      </c>
      <c r="N266" s="1" t="str">
        <f>_xlfn.XLOOKUP(A266,'Other Errors'!A:A,'Other Errors'!B:B,"")</f>
        <v/>
      </c>
      <c r="O266" s="2" t="e">
        <f t="shared" si="63"/>
        <v>#N/A</v>
      </c>
      <c r="P266" s="2" t="e">
        <f t="shared" si="64"/>
        <v>#N/A</v>
      </c>
      <c r="Q266" s="2" t="e">
        <f t="shared" si="65"/>
        <v>#N/A</v>
      </c>
      <c r="R266" s="2" t="e">
        <f t="shared" si="66"/>
        <v>#N/A</v>
      </c>
      <c r="S266" s="2" t="str">
        <f t="shared" si="67"/>
        <v/>
      </c>
      <c r="T266" s="2" t="str">
        <f t="shared" si="68"/>
        <v/>
      </c>
      <c r="U266" s="8" t="str" cm="1">
        <f t="array" ref="U266">_xlfn.TEXTJOIN(", ",,_xlfn.UNIQUE(_xlfn._xlws.FILTER(EM$3:FK$3,EM266:FK266&gt;0,"")))</f>
        <v/>
      </c>
    </row>
    <row r="267" spans="6:21" x14ac:dyDescent="0.3">
      <c r="F267" s="2" cm="1">
        <f t="array" ref="F267">COUNTA(_xlfn.UNIQUE(_xlfn._xlws.FILTER(chamca[Run],(chamca[Visual ID]=A267))))</f>
        <v>1</v>
      </c>
      <c r="G267" s="2">
        <f>_xlfn.XLOOKUP(A267,RevCoreCount!A:A,RevCoreCount!B:B,)</f>
        <v>0</v>
      </c>
      <c r="H267" s="2">
        <f>_xlfn.XLOOKUP(A267,RevCoreCount!A:A,RevCoreCount!E:E,)</f>
        <v>0</v>
      </c>
      <c r="I267" s="2">
        <f>_xlfn.XLOOKUP(A267,RevCHACount!A:A,RevCHACount!B:B)</f>
        <v>0</v>
      </c>
      <c r="J267" s="2">
        <f>_xlfn.XLOOKUP(A267,RevCHACount!A:A,RevCHACount!E:E)</f>
        <v>0</v>
      </c>
      <c r="K267" s="2">
        <f>_xlfn.XLOOKUP(A267,RevLLCCount!A:A,RevLLCCount!B:B,)</f>
        <v>0</v>
      </c>
      <c r="L267" s="2">
        <f>_xlfn.XLOOKUP(A267,RevLLCCount!A:A,RevLLCCount!E:E)</f>
        <v>0</v>
      </c>
      <c r="M267" s="1">
        <f>_xlfn.XLOOKUP(A267,RevCHACount!A:A,RevCHACount!F:F)</f>
        <v>0</v>
      </c>
      <c r="N267" s="1" t="str">
        <f>_xlfn.XLOOKUP(A267,'Other Errors'!A:A,'Other Errors'!B:B,"")</f>
        <v/>
      </c>
      <c r="O267" s="2" t="e">
        <f t="shared" si="63"/>
        <v>#N/A</v>
      </c>
      <c r="P267" s="2" t="e">
        <f t="shared" si="64"/>
        <v>#N/A</v>
      </c>
      <c r="Q267" s="2" t="e">
        <f t="shared" si="65"/>
        <v>#N/A</v>
      </c>
      <c r="R267" s="2" t="e">
        <f t="shared" si="66"/>
        <v>#N/A</v>
      </c>
      <c r="S267" s="2" t="str">
        <f t="shared" si="67"/>
        <v/>
      </c>
      <c r="T267" s="2" t="str">
        <f t="shared" si="68"/>
        <v/>
      </c>
      <c r="U267" s="8" t="str" cm="1">
        <f t="array" ref="U267">_xlfn.TEXTJOIN(", ",,_xlfn.UNIQUE(_xlfn._xlws.FILTER(EM$3:FK$3,EM267:FK267&gt;0,"")))</f>
        <v/>
      </c>
    </row>
    <row r="268" spans="6:21" x14ac:dyDescent="0.3">
      <c r="F268" s="2" cm="1">
        <f t="array" ref="F268">COUNTA(_xlfn.UNIQUE(_xlfn._xlws.FILTER(chamca[Run],(chamca[Visual ID]=A268))))</f>
        <v>1</v>
      </c>
      <c r="G268" s="2">
        <f>_xlfn.XLOOKUP(A268,RevCoreCount!A:A,RevCoreCount!B:B,)</f>
        <v>0</v>
      </c>
      <c r="H268" s="2">
        <f>_xlfn.XLOOKUP(A268,RevCoreCount!A:A,RevCoreCount!E:E,)</f>
        <v>0</v>
      </c>
      <c r="I268" s="2">
        <f>_xlfn.XLOOKUP(A268,RevCHACount!A:A,RevCHACount!B:B)</f>
        <v>0</v>
      </c>
      <c r="J268" s="2">
        <f>_xlfn.XLOOKUP(A268,RevCHACount!A:A,RevCHACount!E:E)</f>
        <v>0</v>
      </c>
      <c r="K268" s="2">
        <f>_xlfn.XLOOKUP(A268,RevLLCCount!A:A,RevLLCCount!B:B,)</f>
        <v>0</v>
      </c>
      <c r="L268" s="2">
        <f>_xlfn.XLOOKUP(A268,RevLLCCount!A:A,RevLLCCount!E:E)</f>
        <v>0</v>
      </c>
      <c r="M268" s="1">
        <f>_xlfn.XLOOKUP(A268,RevCHACount!A:A,RevCHACount!F:F)</f>
        <v>0</v>
      </c>
      <c r="N268" s="1" t="str">
        <f>_xlfn.XLOOKUP(A268,'Other Errors'!A:A,'Other Errors'!B:B,"")</f>
        <v/>
      </c>
      <c r="O268" s="2" t="e">
        <f t="shared" si="63"/>
        <v>#N/A</v>
      </c>
      <c r="P268" s="2" t="e">
        <f t="shared" si="64"/>
        <v>#N/A</v>
      </c>
      <c r="Q268" s="2" t="e">
        <f t="shared" si="65"/>
        <v>#N/A</v>
      </c>
      <c r="R268" s="2" t="e">
        <f t="shared" si="66"/>
        <v>#N/A</v>
      </c>
      <c r="S268" s="2" t="str">
        <f t="shared" si="67"/>
        <v/>
      </c>
      <c r="T268" s="2" t="str">
        <f t="shared" si="68"/>
        <v/>
      </c>
      <c r="U268" s="8" t="str" cm="1">
        <f t="array" ref="U268">_xlfn.TEXTJOIN(", ",,_xlfn.UNIQUE(_xlfn._xlws.FILTER(EM$3:FK$3,EM268:FK268&gt;0,"")))</f>
        <v/>
      </c>
    </row>
    <row r="269" spans="6:21" x14ac:dyDescent="0.3">
      <c r="F269" s="2" cm="1">
        <f t="array" ref="F269">COUNTA(_xlfn.UNIQUE(_xlfn._xlws.FILTER(chamca[Run],(chamca[Visual ID]=A269))))</f>
        <v>1</v>
      </c>
      <c r="G269" s="2">
        <f>_xlfn.XLOOKUP(A269,RevCoreCount!A:A,RevCoreCount!B:B,)</f>
        <v>0</v>
      </c>
      <c r="H269" s="2">
        <f>_xlfn.XLOOKUP(A269,RevCoreCount!A:A,RevCoreCount!E:E,)</f>
        <v>0</v>
      </c>
      <c r="I269" s="2">
        <f>_xlfn.XLOOKUP(A269,RevCHACount!A:A,RevCHACount!B:B)</f>
        <v>0</v>
      </c>
      <c r="J269" s="2">
        <f>_xlfn.XLOOKUP(A269,RevCHACount!A:A,RevCHACount!E:E)</f>
        <v>0</v>
      </c>
      <c r="K269" s="2">
        <f>_xlfn.XLOOKUP(A269,RevLLCCount!A:A,RevLLCCount!B:B,)</f>
        <v>0</v>
      </c>
      <c r="L269" s="2">
        <f>_xlfn.XLOOKUP(A269,RevLLCCount!A:A,RevLLCCount!E:E)</f>
        <v>0</v>
      </c>
      <c r="M269" s="1">
        <f>_xlfn.XLOOKUP(A269,RevCHACount!A:A,RevCHACount!F:F)</f>
        <v>0</v>
      </c>
      <c r="N269" s="1" t="str">
        <f>_xlfn.XLOOKUP(A269,'Other Errors'!A:A,'Other Errors'!B:B,"")</f>
        <v/>
      </c>
      <c r="O269" s="2" t="e">
        <f t="shared" si="63"/>
        <v>#N/A</v>
      </c>
      <c r="P269" s="2" t="e">
        <f t="shared" si="64"/>
        <v>#N/A</v>
      </c>
      <c r="Q269" s="2" t="e">
        <f t="shared" si="65"/>
        <v>#N/A</v>
      </c>
      <c r="R269" s="2" t="e">
        <f t="shared" si="66"/>
        <v>#N/A</v>
      </c>
      <c r="S269" s="2" t="str">
        <f t="shared" si="67"/>
        <v/>
      </c>
      <c r="T269" s="2" t="str">
        <f t="shared" si="68"/>
        <v/>
      </c>
      <c r="U269" s="8" t="str" cm="1">
        <f t="array" ref="U269">_xlfn.TEXTJOIN(", ",,_xlfn.UNIQUE(_xlfn._xlws.FILTER(EM$3:FK$3,EM269:FK269&gt;0,"")))</f>
        <v/>
      </c>
    </row>
    <row r="270" spans="6:21" x14ac:dyDescent="0.3">
      <c r="F270" s="2" cm="1">
        <f t="array" ref="F270">COUNTA(_xlfn.UNIQUE(_xlfn._xlws.FILTER(chamca[Run],(chamca[Visual ID]=A270))))</f>
        <v>1</v>
      </c>
      <c r="G270" s="2">
        <f>_xlfn.XLOOKUP(A270,RevCoreCount!A:A,RevCoreCount!B:B,)</f>
        <v>0</v>
      </c>
      <c r="H270" s="2">
        <f>_xlfn.XLOOKUP(A270,RevCoreCount!A:A,RevCoreCount!E:E,)</f>
        <v>0</v>
      </c>
      <c r="I270" s="2">
        <f>_xlfn.XLOOKUP(A270,RevCHACount!A:A,RevCHACount!B:B)</f>
        <v>0</v>
      </c>
      <c r="J270" s="2">
        <f>_xlfn.XLOOKUP(A270,RevCHACount!A:A,RevCHACount!E:E)</f>
        <v>0</v>
      </c>
      <c r="K270" s="2">
        <f>_xlfn.XLOOKUP(A270,RevLLCCount!A:A,RevLLCCount!B:B,)</f>
        <v>0</v>
      </c>
      <c r="L270" s="2">
        <f>_xlfn.XLOOKUP(A270,RevLLCCount!A:A,RevLLCCount!E:E)</f>
        <v>0</v>
      </c>
      <c r="M270" s="1">
        <f>_xlfn.XLOOKUP(A270,RevCHACount!A:A,RevCHACount!F:F)</f>
        <v>0</v>
      </c>
      <c r="N270" s="1" t="str">
        <f>_xlfn.XLOOKUP(A270,'Other Errors'!A:A,'Other Errors'!B:B,"")</f>
        <v/>
      </c>
      <c r="O270" s="2" t="e">
        <f t="shared" si="63"/>
        <v>#N/A</v>
      </c>
      <c r="P270" s="2" t="e">
        <f t="shared" si="64"/>
        <v>#N/A</v>
      </c>
      <c r="Q270" s="2" t="e">
        <f t="shared" si="65"/>
        <v>#N/A</v>
      </c>
      <c r="R270" s="2" t="e">
        <f t="shared" si="66"/>
        <v>#N/A</v>
      </c>
      <c r="S270" s="2" t="str">
        <f t="shared" si="67"/>
        <v/>
      </c>
      <c r="T270" s="2" t="str">
        <f t="shared" si="68"/>
        <v/>
      </c>
      <c r="U270" s="8" t="str" cm="1">
        <f t="array" ref="U270">_xlfn.TEXTJOIN(", ",,_xlfn.UNIQUE(_xlfn._xlws.FILTER(EM$3:FK$3,EM270:FK270&gt;0,"")))</f>
        <v/>
      </c>
    </row>
    <row r="271" spans="6:21" x14ac:dyDescent="0.3">
      <c r="F271" s="2" cm="1">
        <f t="array" ref="F271">COUNTA(_xlfn.UNIQUE(_xlfn._xlws.FILTER(chamca[Run],(chamca[Visual ID]=A271))))</f>
        <v>1</v>
      </c>
      <c r="G271" s="2">
        <f>_xlfn.XLOOKUP(A271,RevCoreCount!A:A,RevCoreCount!B:B,)</f>
        <v>0</v>
      </c>
      <c r="H271" s="2">
        <f>_xlfn.XLOOKUP(A271,RevCoreCount!A:A,RevCoreCount!E:E,)</f>
        <v>0</v>
      </c>
      <c r="I271" s="2">
        <f>_xlfn.XLOOKUP(A271,RevCHACount!A:A,RevCHACount!B:B)</f>
        <v>0</v>
      </c>
      <c r="J271" s="2">
        <f>_xlfn.XLOOKUP(A271,RevCHACount!A:A,RevCHACount!E:E)</f>
        <v>0</v>
      </c>
      <c r="K271" s="2">
        <f>_xlfn.XLOOKUP(A271,RevLLCCount!A:A,RevLLCCount!B:B,)</f>
        <v>0</v>
      </c>
      <c r="L271" s="2">
        <f>_xlfn.XLOOKUP(A271,RevLLCCount!A:A,RevLLCCount!E:E)</f>
        <v>0</v>
      </c>
      <c r="M271" s="1">
        <f>_xlfn.XLOOKUP(A271,RevCHACount!A:A,RevCHACount!F:F)</f>
        <v>0</v>
      </c>
      <c r="N271" s="1" t="str">
        <f>_xlfn.XLOOKUP(A271,'Other Errors'!A:A,'Other Errors'!B:B,"")</f>
        <v/>
      </c>
      <c r="O271" s="2" t="e">
        <f t="shared" si="63"/>
        <v>#N/A</v>
      </c>
      <c r="P271" s="2" t="e">
        <f t="shared" si="64"/>
        <v>#N/A</v>
      </c>
      <c r="Q271" s="2" t="e">
        <f t="shared" si="65"/>
        <v>#N/A</v>
      </c>
      <c r="R271" s="2" t="e">
        <f t="shared" si="66"/>
        <v>#N/A</v>
      </c>
      <c r="S271" s="2" t="str">
        <f t="shared" si="67"/>
        <v/>
      </c>
      <c r="T271" s="2" t="str">
        <f t="shared" si="68"/>
        <v/>
      </c>
      <c r="U271" s="8" t="str" cm="1">
        <f t="array" ref="U271">_xlfn.TEXTJOIN(", ",,_xlfn.UNIQUE(_xlfn._xlws.FILTER(EM$3:FK$3,EM271:FK271&gt;0,"")))</f>
        <v/>
      </c>
    </row>
    <row r="272" spans="6:21" x14ac:dyDescent="0.3">
      <c r="F272" s="2" cm="1">
        <f t="array" ref="F272">COUNTA(_xlfn.UNIQUE(_xlfn._xlws.FILTER(chamca[Run],(chamca[Visual ID]=A272))))</f>
        <v>1</v>
      </c>
      <c r="G272" s="2">
        <f>_xlfn.XLOOKUP(A272,RevCoreCount!A:A,RevCoreCount!B:B,)</f>
        <v>0</v>
      </c>
      <c r="H272" s="2">
        <f>_xlfn.XLOOKUP(A272,RevCoreCount!A:A,RevCoreCount!E:E,)</f>
        <v>0</v>
      </c>
      <c r="I272" s="2">
        <f>_xlfn.XLOOKUP(A272,RevCHACount!A:A,RevCHACount!B:B)</f>
        <v>0</v>
      </c>
      <c r="J272" s="2">
        <f>_xlfn.XLOOKUP(A272,RevCHACount!A:A,RevCHACount!E:E)</f>
        <v>0</v>
      </c>
      <c r="K272" s="2">
        <f>_xlfn.XLOOKUP(A272,RevLLCCount!A:A,RevLLCCount!B:B,)</f>
        <v>0</v>
      </c>
      <c r="L272" s="2">
        <f>_xlfn.XLOOKUP(A272,RevLLCCount!A:A,RevLLCCount!E:E)</f>
        <v>0</v>
      </c>
      <c r="M272" s="1">
        <f>_xlfn.XLOOKUP(A272,RevCHACount!A:A,RevCHACount!F:F)</f>
        <v>0</v>
      </c>
      <c r="N272" s="1" t="str">
        <f>_xlfn.XLOOKUP(A272,'Other Errors'!A:A,'Other Errors'!B:B,"")</f>
        <v/>
      </c>
      <c r="O272" s="2" t="e">
        <f t="shared" si="63"/>
        <v>#N/A</v>
      </c>
      <c r="P272" s="2" t="e">
        <f t="shared" si="64"/>
        <v>#N/A</v>
      </c>
      <c r="Q272" s="2" t="e">
        <f t="shared" si="65"/>
        <v>#N/A</v>
      </c>
      <c r="R272" s="2" t="e">
        <f t="shared" si="66"/>
        <v>#N/A</v>
      </c>
      <c r="S272" s="2" t="str">
        <f t="shared" si="67"/>
        <v/>
      </c>
      <c r="T272" s="2" t="str">
        <f t="shared" si="68"/>
        <v/>
      </c>
      <c r="U272" s="8" t="str" cm="1">
        <f t="array" ref="U272">_xlfn.TEXTJOIN(", ",,_xlfn.UNIQUE(_xlfn._xlws.FILTER(EM$3:FK$3,EM272:FK272&gt;0,"")))</f>
        <v/>
      </c>
    </row>
    <row r="273" spans="6:21" x14ac:dyDescent="0.3">
      <c r="F273" s="2" cm="1">
        <f t="array" ref="F273">COUNTA(_xlfn.UNIQUE(_xlfn._xlws.FILTER(chamca[Run],(chamca[Visual ID]=A273))))</f>
        <v>1</v>
      </c>
      <c r="G273" s="2">
        <f>_xlfn.XLOOKUP(A273,RevCoreCount!A:A,RevCoreCount!B:B,)</f>
        <v>0</v>
      </c>
      <c r="H273" s="2">
        <f>_xlfn.XLOOKUP(A273,RevCoreCount!A:A,RevCoreCount!E:E,)</f>
        <v>0</v>
      </c>
      <c r="I273" s="2">
        <f>_xlfn.XLOOKUP(A273,RevCHACount!A:A,RevCHACount!B:B)</f>
        <v>0</v>
      </c>
      <c r="J273" s="2">
        <f>_xlfn.XLOOKUP(A273,RevCHACount!A:A,RevCHACount!E:E)</f>
        <v>0</v>
      </c>
      <c r="K273" s="2">
        <f>_xlfn.XLOOKUP(A273,RevLLCCount!A:A,RevLLCCount!B:B,)</f>
        <v>0</v>
      </c>
      <c r="L273" s="2">
        <f>_xlfn.XLOOKUP(A273,RevLLCCount!A:A,RevLLCCount!E:E)</f>
        <v>0</v>
      </c>
      <c r="M273" s="1">
        <f>_xlfn.XLOOKUP(A273,RevCHACount!A:A,RevCHACount!F:F)</f>
        <v>0</v>
      </c>
      <c r="N273" s="1" t="str">
        <f>_xlfn.XLOOKUP(A273,'Other Errors'!A:A,'Other Errors'!B:B,"")</f>
        <v/>
      </c>
      <c r="O273" s="2" t="e">
        <f t="shared" si="63"/>
        <v>#N/A</v>
      </c>
      <c r="P273" s="2" t="e">
        <f t="shared" si="64"/>
        <v>#N/A</v>
      </c>
      <c r="Q273" s="2" t="e">
        <f t="shared" si="65"/>
        <v>#N/A</v>
      </c>
      <c r="R273" s="2" t="e">
        <f t="shared" si="66"/>
        <v>#N/A</v>
      </c>
      <c r="S273" s="2" t="str">
        <f t="shared" si="67"/>
        <v/>
      </c>
      <c r="T273" s="2" t="str">
        <f t="shared" si="68"/>
        <v/>
      </c>
      <c r="U273" s="8" t="str" cm="1">
        <f t="array" ref="U273">_xlfn.TEXTJOIN(", ",,_xlfn.UNIQUE(_xlfn._xlws.FILTER(EM$3:FK$3,EM273:FK273&gt;0,"")))</f>
        <v/>
      </c>
    </row>
    <row r="274" spans="6:21" x14ac:dyDescent="0.3">
      <c r="F274" s="2" cm="1">
        <f t="array" ref="F274">COUNTA(_xlfn.UNIQUE(_xlfn._xlws.FILTER(chamca[Run],(chamca[Visual ID]=A274))))</f>
        <v>1</v>
      </c>
      <c r="G274" s="2">
        <f>_xlfn.XLOOKUP(A274,RevCoreCount!A:A,RevCoreCount!B:B,)</f>
        <v>0</v>
      </c>
      <c r="H274" s="2">
        <f>_xlfn.XLOOKUP(A274,RevCoreCount!A:A,RevCoreCount!E:E,)</f>
        <v>0</v>
      </c>
      <c r="I274" s="2">
        <f>_xlfn.XLOOKUP(A274,RevCHACount!A:A,RevCHACount!B:B)</f>
        <v>0</v>
      </c>
      <c r="J274" s="2">
        <f>_xlfn.XLOOKUP(A274,RevCHACount!A:A,RevCHACount!E:E)</f>
        <v>0</v>
      </c>
      <c r="K274" s="2">
        <f>_xlfn.XLOOKUP(A274,RevLLCCount!A:A,RevLLCCount!B:B,)</f>
        <v>0</v>
      </c>
      <c r="L274" s="2">
        <f>_xlfn.XLOOKUP(A274,RevLLCCount!A:A,RevLLCCount!E:E)</f>
        <v>0</v>
      </c>
      <c r="M274" s="1">
        <f>_xlfn.XLOOKUP(A274,RevCHACount!A:A,RevCHACount!F:F)</f>
        <v>0</v>
      </c>
      <c r="N274" s="1" t="str">
        <f>_xlfn.XLOOKUP(A274,'Other Errors'!A:A,'Other Errors'!B:B,"")</f>
        <v/>
      </c>
      <c r="O274" s="2" t="e">
        <f t="shared" si="63"/>
        <v>#N/A</v>
      </c>
      <c r="P274" s="2" t="e">
        <f t="shared" si="64"/>
        <v>#N/A</v>
      </c>
      <c r="Q274" s="2" t="e">
        <f t="shared" si="65"/>
        <v>#N/A</v>
      </c>
      <c r="R274" s="2" t="e">
        <f t="shared" si="66"/>
        <v>#N/A</v>
      </c>
      <c r="S274" s="2" t="str">
        <f t="shared" si="67"/>
        <v/>
      </c>
      <c r="T274" s="2" t="str">
        <f t="shared" si="68"/>
        <v/>
      </c>
      <c r="U274" s="8" t="str" cm="1">
        <f t="array" ref="U274">_xlfn.TEXTJOIN(", ",,_xlfn.UNIQUE(_xlfn._xlws.FILTER(EM$3:FK$3,EM274:FK274&gt;0,"")))</f>
        <v/>
      </c>
    </row>
    <row r="275" spans="6:21" x14ac:dyDescent="0.3">
      <c r="F275" s="2" cm="1">
        <f t="array" ref="F275">COUNTA(_xlfn.UNIQUE(_xlfn._xlws.FILTER(chamca[Run],(chamca[Visual ID]=A275))))</f>
        <v>1</v>
      </c>
      <c r="G275" s="2">
        <f>_xlfn.XLOOKUP(A275,RevCoreCount!A:A,RevCoreCount!B:B,)</f>
        <v>0</v>
      </c>
      <c r="H275" s="2">
        <f>_xlfn.XLOOKUP(A275,RevCoreCount!A:A,RevCoreCount!E:E,)</f>
        <v>0</v>
      </c>
      <c r="I275" s="2">
        <f>_xlfn.XLOOKUP(A275,RevCHACount!A:A,RevCHACount!B:B)</f>
        <v>0</v>
      </c>
      <c r="J275" s="2">
        <f>_xlfn.XLOOKUP(A275,RevCHACount!A:A,RevCHACount!E:E)</f>
        <v>0</v>
      </c>
      <c r="K275" s="2">
        <f>_xlfn.XLOOKUP(A275,RevLLCCount!A:A,RevLLCCount!B:B,)</f>
        <v>0</v>
      </c>
      <c r="L275" s="2">
        <f>_xlfn.XLOOKUP(A275,RevLLCCount!A:A,RevLLCCount!E:E)</f>
        <v>0</v>
      </c>
      <c r="M275" s="1">
        <f>_xlfn.XLOOKUP(A275,RevCHACount!A:A,RevCHACount!F:F)</f>
        <v>0</v>
      </c>
      <c r="N275" s="1" t="str">
        <f>_xlfn.XLOOKUP(A275,'Other Errors'!A:A,'Other Errors'!B:B,"")</f>
        <v/>
      </c>
      <c r="O275" s="2" t="e">
        <f t="shared" si="63"/>
        <v>#N/A</v>
      </c>
      <c r="P275" s="2" t="e">
        <f t="shared" si="64"/>
        <v>#N/A</v>
      </c>
      <c r="Q275" s="2" t="e">
        <f t="shared" si="65"/>
        <v>#N/A</v>
      </c>
      <c r="R275" s="2" t="e">
        <f t="shared" si="66"/>
        <v>#N/A</v>
      </c>
      <c r="S275" s="2" t="str">
        <f t="shared" si="67"/>
        <v/>
      </c>
      <c r="T275" s="2" t="str">
        <f t="shared" si="68"/>
        <v/>
      </c>
      <c r="U275" s="8" t="str" cm="1">
        <f t="array" ref="U275">_xlfn.TEXTJOIN(", ",,_xlfn.UNIQUE(_xlfn._xlws.FILTER(EM$3:FK$3,EM275:FK275&gt;0,"")))</f>
        <v/>
      </c>
    </row>
    <row r="276" spans="6:21" x14ac:dyDescent="0.3">
      <c r="F276" s="2" cm="1">
        <f t="array" ref="F276">COUNTA(_xlfn.UNIQUE(_xlfn._xlws.FILTER(chamca[Run],(chamca[Visual ID]=A276))))</f>
        <v>1</v>
      </c>
      <c r="G276" s="2">
        <f>_xlfn.XLOOKUP(A276,RevCoreCount!A:A,RevCoreCount!B:B,)</f>
        <v>0</v>
      </c>
      <c r="H276" s="2">
        <f>_xlfn.XLOOKUP(A276,RevCoreCount!A:A,RevCoreCount!E:E,)</f>
        <v>0</v>
      </c>
      <c r="I276" s="2">
        <f>_xlfn.XLOOKUP(A276,RevCHACount!A:A,RevCHACount!B:B)</f>
        <v>0</v>
      </c>
      <c r="J276" s="2">
        <f>_xlfn.XLOOKUP(A276,RevCHACount!A:A,RevCHACount!E:E)</f>
        <v>0</v>
      </c>
      <c r="K276" s="2">
        <f>_xlfn.XLOOKUP(A276,RevLLCCount!A:A,RevLLCCount!B:B,)</f>
        <v>0</v>
      </c>
      <c r="L276" s="2">
        <f>_xlfn.XLOOKUP(A276,RevLLCCount!A:A,RevLLCCount!E:E)</f>
        <v>0</v>
      </c>
      <c r="M276" s="1">
        <f>_xlfn.XLOOKUP(A276,RevCHACount!A:A,RevCHACount!F:F)</f>
        <v>0</v>
      </c>
      <c r="N276" s="1" t="str">
        <f>_xlfn.XLOOKUP(A276,'Other Errors'!A:A,'Other Errors'!B:B,"")</f>
        <v/>
      </c>
      <c r="O276" s="2" t="e">
        <f t="shared" si="63"/>
        <v>#N/A</v>
      </c>
      <c r="P276" s="2" t="e">
        <f t="shared" si="64"/>
        <v>#N/A</v>
      </c>
      <c r="Q276" s="2" t="e">
        <f t="shared" si="65"/>
        <v>#N/A</v>
      </c>
      <c r="R276" s="2" t="e">
        <f t="shared" si="66"/>
        <v>#N/A</v>
      </c>
      <c r="S276" s="2" t="str">
        <f t="shared" si="67"/>
        <v/>
      </c>
      <c r="T276" s="2" t="str">
        <f t="shared" si="68"/>
        <v/>
      </c>
      <c r="U276" s="8" t="str" cm="1">
        <f t="array" ref="U276">_xlfn.TEXTJOIN(", ",,_xlfn.UNIQUE(_xlfn._xlws.FILTER(EM$3:FK$3,EM276:FK276&gt;0,"")))</f>
        <v/>
      </c>
    </row>
    <row r="277" spans="6:21" x14ac:dyDescent="0.3">
      <c r="F277" s="2" cm="1">
        <f t="array" ref="F277">COUNTA(_xlfn.UNIQUE(_xlfn._xlws.FILTER(chamca[Run],(chamca[Visual ID]=A277))))</f>
        <v>1</v>
      </c>
      <c r="G277" s="2">
        <f>_xlfn.XLOOKUP(A277,RevCoreCount!A:A,RevCoreCount!B:B,)</f>
        <v>0</v>
      </c>
      <c r="H277" s="2">
        <f>_xlfn.XLOOKUP(A277,RevCoreCount!A:A,RevCoreCount!E:E,)</f>
        <v>0</v>
      </c>
      <c r="I277" s="2">
        <f>_xlfn.XLOOKUP(A277,RevCHACount!A:A,RevCHACount!B:B)</f>
        <v>0</v>
      </c>
      <c r="J277" s="2">
        <f>_xlfn.XLOOKUP(A277,RevCHACount!A:A,RevCHACount!E:E)</f>
        <v>0</v>
      </c>
      <c r="K277" s="2">
        <f>_xlfn.XLOOKUP(A277,RevLLCCount!A:A,RevLLCCount!B:B,)</f>
        <v>0</v>
      </c>
      <c r="L277" s="2">
        <f>_xlfn.XLOOKUP(A277,RevLLCCount!A:A,RevLLCCount!E:E)</f>
        <v>0</v>
      </c>
      <c r="M277" s="1">
        <f>_xlfn.XLOOKUP(A277,RevCHACount!A:A,RevCHACount!F:F)</f>
        <v>0</v>
      </c>
      <c r="N277" s="1" t="str">
        <f>_xlfn.XLOOKUP(A277,'Other Errors'!A:A,'Other Errors'!B:B,"")</f>
        <v/>
      </c>
      <c r="O277" s="2" t="e">
        <f t="shared" si="63"/>
        <v>#N/A</v>
      </c>
      <c r="P277" s="2" t="e">
        <f t="shared" si="64"/>
        <v>#N/A</v>
      </c>
      <c r="Q277" s="2" t="e">
        <f t="shared" si="65"/>
        <v>#N/A</v>
      </c>
      <c r="R277" s="2" t="e">
        <f t="shared" si="66"/>
        <v>#N/A</v>
      </c>
      <c r="S277" s="2" t="str">
        <f t="shared" si="67"/>
        <v/>
      </c>
      <c r="T277" s="2" t="str">
        <f t="shared" si="68"/>
        <v/>
      </c>
      <c r="U277" s="8" t="str" cm="1">
        <f t="array" ref="U277">_xlfn.TEXTJOIN(", ",,_xlfn.UNIQUE(_xlfn._xlws.FILTER(EM$3:FK$3,EM277:FK277&gt;0,"")))</f>
        <v/>
      </c>
    </row>
    <row r="278" spans="6:21" x14ac:dyDescent="0.3">
      <c r="F278" s="2" cm="1">
        <f t="array" ref="F278">COUNTA(_xlfn.UNIQUE(_xlfn._xlws.FILTER(chamca[Run],(chamca[Visual ID]=A278))))</f>
        <v>1</v>
      </c>
      <c r="G278" s="2">
        <f>_xlfn.XLOOKUP(A278,RevCoreCount!A:A,RevCoreCount!B:B,)</f>
        <v>0</v>
      </c>
      <c r="H278" s="2">
        <f>_xlfn.XLOOKUP(A278,RevCoreCount!A:A,RevCoreCount!E:E,)</f>
        <v>0</v>
      </c>
      <c r="I278" s="2">
        <f>_xlfn.XLOOKUP(A278,RevCHACount!A:A,RevCHACount!B:B)</f>
        <v>0</v>
      </c>
      <c r="J278" s="2">
        <f>_xlfn.XLOOKUP(A278,RevCHACount!A:A,RevCHACount!E:E)</f>
        <v>0</v>
      </c>
      <c r="K278" s="2">
        <f>_xlfn.XLOOKUP(A278,RevLLCCount!A:A,RevLLCCount!B:B,)</f>
        <v>0</v>
      </c>
      <c r="L278" s="2">
        <f>_xlfn.XLOOKUP(A278,RevLLCCount!A:A,RevLLCCount!E:E)</f>
        <v>0</v>
      </c>
      <c r="M278" s="1">
        <f>_xlfn.XLOOKUP(A278,RevCHACount!A:A,RevCHACount!F:F)</f>
        <v>0</v>
      </c>
      <c r="N278" s="1" t="str">
        <f>_xlfn.XLOOKUP(A278,'Other Errors'!A:A,'Other Errors'!B:B,"")</f>
        <v/>
      </c>
      <c r="O278" s="2" t="e">
        <f t="shared" si="63"/>
        <v>#N/A</v>
      </c>
      <c r="P278" s="2" t="e">
        <f t="shared" si="64"/>
        <v>#N/A</v>
      </c>
      <c r="Q278" s="2" t="e">
        <f t="shared" si="65"/>
        <v>#N/A</v>
      </c>
      <c r="R278" s="2" t="e">
        <f t="shared" si="66"/>
        <v>#N/A</v>
      </c>
      <c r="S278" s="2" t="str">
        <f t="shared" si="67"/>
        <v/>
      </c>
      <c r="T278" s="2" t="str">
        <f t="shared" si="68"/>
        <v/>
      </c>
      <c r="U278" s="8" t="str" cm="1">
        <f t="array" ref="U278">_xlfn.TEXTJOIN(", ",,_xlfn.UNIQUE(_xlfn._xlws.FILTER(EM$3:FK$3,EM278:FK278&gt;0,"")))</f>
        <v/>
      </c>
    </row>
    <row r="279" spans="6:21" x14ac:dyDescent="0.3">
      <c r="F279" s="2" cm="1">
        <f t="array" ref="F279">COUNTA(_xlfn.UNIQUE(_xlfn._xlws.FILTER(chamca[Run],(chamca[Visual ID]=A279))))</f>
        <v>1</v>
      </c>
      <c r="G279" s="2">
        <f>_xlfn.XLOOKUP(A279,RevCoreCount!A:A,RevCoreCount!B:B,)</f>
        <v>0</v>
      </c>
      <c r="H279" s="2">
        <f>_xlfn.XLOOKUP(A279,RevCoreCount!A:A,RevCoreCount!E:E,)</f>
        <v>0</v>
      </c>
      <c r="I279" s="2">
        <f>_xlfn.XLOOKUP(A279,RevCHACount!A:A,RevCHACount!B:B)</f>
        <v>0</v>
      </c>
      <c r="J279" s="2">
        <f>_xlfn.XLOOKUP(A279,RevCHACount!A:A,RevCHACount!E:E)</f>
        <v>0</v>
      </c>
      <c r="K279" s="2">
        <f>_xlfn.XLOOKUP(A279,RevLLCCount!A:A,RevLLCCount!B:B,)</f>
        <v>0</v>
      </c>
      <c r="L279" s="2">
        <f>_xlfn.XLOOKUP(A279,RevLLCCount!A:A,RevLLCCount!E:E)</f>
        <v>0</v>
      </c>
      <c r="M279" s="1">
        <f>_xlfn.XLOOKUP(A279,RevCHACount!A:A,RevCHACount!F:F)</f>
        <v>0</v>
      </c>
      <c r="N279" s="1" t="str">
        <f>_xlfn.XLOOKUP(A279,'Other Errors'!A:A,'Other Errors'!B:B,"")</f>
        <v/>
      </c>
      <c r="O279" s="2" t="e">
        <f t="shared" si="63"/>
        <v>#N/A</v>
      </c>
      <c r="P279" s="2" t="e">
        <f t="shared" si="64"/>
        <v>#N/A</v>
      </c>
      <c r="Q279" s="2" t="e">
        <f t="shared" si="65"/>
        <v>#N/A</v>
      </c>
      <c r="R279" s="2" t="e">
        <f t="shared" si="66"/>
        <v>#N/A</v>
      </c>
      <c r="S279" s="2" t="str">
        <f t="shared" si="67"/>
        <v/>
      </c>
      <c r="T279" s="2" t="str">
        <f t="shared" si="68"/>
        <v/>
      </c>
      <c r="U279" s="8" t="str" cm="1">
        <f t="array" ref="U279">_xlfn.TEXTJOIN(", ",,_xlfn.UNIQUE(_xlfn._xlws.FILTER(EM$3:FK$3,EM279:FK279&gt;0,"")))</f>
        <v/>
      </c>
    </row>
    <row r="280" spans="6:21" x14ac:dyDescent="0.3">
      <c r="F280" s="2" cm="1">
        <f t="array" ref="F280">COUNTA(_xlfn.UNIQUE(_xlfn._xlws.FILTER(chamca[Run],(chamca[Visual ID]=A280))))</f>
        <v>1</v>
      </c>
      <c r="G280" s="2">
        <f>_xlfn.XLOOKUP(A280,RevCoreCount!A:A,RevCoreCount!B:B,)</f>
        <v>0</v>
      </c>
      <c r="H280" s="2">
        <f>_xlfn.XLOOKUP(A280,RevCoreCount!A:A,RevCoreCount!E:E,)</f>
        <v>0</v>
      </c>
      <c r="I280" s="2">
        <f>_xlfn.XLOOKUP(A280,RevCHACount!A:A,RevCHACount!B:B)</f>
        <v>0</v>
      </c>
      <c r="J280" s="2">
        <f>_xlfn.XLOOKUP(A280,RevCHACount!A:A,RevCHACount!E:E)</f>
        <v>0</v>
      </c>
      <c r="K280" s="2">
        <f>_xlfn.XLOOKUP(A280,RevLLCCount!A:A,RevLLCCount!B:B,)</f>
        <v>0</v>
      </c>
      <c r="L280" s="2">
        <f>_xlfn.XLOOKUP(A280,RevLLCCount!A:A,RevLLCCount!E:E)</f>
        <v>0</v>
      </c>
      <c r="M280" s="1">
        <f>_xlfn.XLOOKUP(A280,RevCHACount!A:A,RevCHACount!F:F)</f>
        <v>0</v>
      </c>
      <c r="N280" s="1" t="str">
        <f>_xlfn.XLOOKUP(A280,'Other Errors'!A:A,'Other Errors'!B:B,"")</f>
        <v/>
      </c>
      <c r="O280" s="2" t="e">
        <f t="shared" si="63"/>
        <v>#N/A</v>
      </c>
      <c r="P280" s="2" t="e">
        <f t="shared" si="64"/>
        <v>#N/A</v>
      </c>
      <c r="Q280" s="2" t="e">
        <f t="shared" si="65"/>
        <v>#N/A</v>
      </c>
      <c r="R280" s="2" t="e">
        <f t="shared" si="66"/>
        <v>#N/A</v>
      </c>
      <c r="S280" s="2" t="str">
        <f t="shared" si="67"/>
        <v/>
      </c>
      <c r="T280" s="2" t="str">
        <f t="shared" si="68"/>
        <v/>
      </c>
      <c r="U280" s="8" t="str" cm="1">
        <f t="array" ref="U280">_xlfn.TEXTJOIN(", ",,_xlfn.UNIQUE(_xlfn._xlws.FILTER(EM$3:FK$3,EM280:FK280&gt;0,"")))</f>
        <v/>
      </c>
    </row>
    <row r="281" spans="6:21" x14ac:dyDescent="0.3">
      <c r="F281" s="2" cm="1">
        <f t="array" ref="F281">COUNTA(_xlfn.UNIQUE(_xlfn._xlws.FILTER(chamca[Run],(chamca[Visual ID]=A281))))</f>
        <v>1</v>
      </c>
      <c r="G281" s="2">
        <f>_xlfn.XLOOKUP(A281,RevCoreCount!A:A,RevCoreCount!B:B,)</f>
        <v>0</v>
      </c>
      <c r="H281" s="2">
        <f>_xlfn.XLOOKUP(A281,RevCoreCount!A:A,RevCoreCount!E:E,)</f>
        <v>0</v>
      </c>
      <c r="I281" s="2">
        <f>_xlfn.XLOOKUP(A281,RevCHACount!A:A,RevCHACount!B:B)</f>
        <v>0</v>
      </c>
      <c r="J281" s="2">
        <f>_xlfn.XLOOKUP(A281,RevCHACount!A:A,RevCHACount!E:E)</f>
        <v>0</v>
      </c>
      <c r="K281" s="2">
        <f>_xlfn.XLOOKUP(A281,RevLLCCount!A:A,RevLLCCount!B:B,)</f>
        <v>0</v>
      </c>
      <c r="L281" s="2">
        <f>_xlfn.XLOOKUP(A281,RevLLCCount!A:A,RevLLCCount!E:E)</f>
        <v>0</v>
      </c>
      <c r="M281" s="1">
        <f>_xlfn.XLOOKUP(A281,RevCHACount!A:A,RevCHACount!F:F)</f>
        <v>0</v>
      </c>
      <c r="N281" s="1" t="str">
        <f>_xlfn.XLOOKUP(A281,'Other Errors'!A:A,'Other Errors'!B:B,"")</f>
        <v/>
      </c>
      <c r="O281" s="2" t="e">
        <f t="shared" ref="O281:O344" si="69">_xlfn.XLOOKUP(MAX(X281:BH281),X281:BH281,X$3:BH$3)</f>
        <v>#N/A</v>
      </c>
      <c r="P281" s="2" t="e">
        <f t="shared" ref="P281:P344" si="70">_xlfn.XLOOKUP(MAX(BJ281:CO281),BJ281:CO281,BJ$3:CO$3)</f>
        <v>#N/A</v>
      </c>
      <c r="Q281" s="2" t="e">
        <f t="shared" ref="Q281:Q344" si="71">_xlfn.XLOOKUP(MAX(CZ281:DI281),CZ281:DI281,CZ$3:DI$3)</f>
        <v>#N/A</v>
      </c>
      <c r="R281" s="2" t="e">
        <f t="shared" ref="R281:R344" si="72">_xlfn.XLOOKUP(MAX(CQ281:CX281),CQ281:CX281,CQ$3:CX$3)</f>
        <v>#N/A</v>
      </c>
      <c r="S281" s="2" t="str">
        <f t="shared" ref="S281:S344" si="73">_xlfn.XLOOKUP(MAX(DK281:EI281),DK281:EI281,DK$3:EI$3,"")</f>
        <v/>
      </c>
      <c r="T281" s="2" t="str">
        <f t="shared" si="68"/>
        <v/>
      </c>
      <c r="U281" s="8" t="str" cm="1">
        <f t="array" ref="U281">_xlfn.TEXTJOIN(", ",,_xlfn.UNIQUE(_xlfn._xlws.FILTER(EM$3:FK$3,EM281:FK281&gt;0,"")))</f>
        <v/>
      </c>
    </row>
    <row r="282" spans="6:21" x14ac:dyDescent="0.3">
      <c r="F282" s="2" cm="1">
        <f t="array" ref="F282">COUNTA(_xlfn.UNIQUE(_xlfn._xlws.FILTER(chamca[Run],(chamca[Visual ID]=A282))))</f>
        <v>1</v>
      </c>
      <c r="G282" s="2">
        <f>_xlfn.XLOOKUP(A282,RevCoreCount!A:A,RevCoreCount!B:B,)</f>
        <v>0</v>
      </c>
      <c r="H282" s="2">
        <f>_xlfn.XLOOKUP(A282,RevCoreCount!A:A,RevCoreCount!E:E,)</f>
        <v>0</v>
      </c>
      <c r="I282" s="2">
        <f>_xlfn.XLOOKUP(A282,RevCHACount!A:A,RevCHACount!B:B)</f>
        <v>0</v>
      </c>
      <c r="J282" s="2">
        <f>_xlfn.XLOOKUP(A282,RevCHACount!A:A,RevCHACount!E:E)</f>
        <v>0</v>
      </c>
      <c r="K282" s="2">
        <f>_xlfn.XLOOKUP(A282,RevLLCCount!A:A,RevLLCCount!B:B,)</f>
        <v>0</v>
      </c>
      <c r="L282" s="2">
        <f>_xlfn.XLOOKUP(A282,RevLLCCount!A:A,RevLLCCount!E:E)</f>
        <v>0</v>
      </c>
      <c r="M282" s="1">
        <f>_xlfn.XLOOKUP(A282,RevCHACount!A:A,RevCHACount!F:F)</f>
        <v>0</v>
      </c>
      <c r="N282" s="1" t="str">
        <f>_xlfn.XLOOKUP(A282,'Other Errors'!A:A,'Other Errors'!B:B,"")</f>
        <v/>
      </c>
      <c r="O282" s="2" t="e">
        <f t="shared" si="69"/>
        <v>#N/A</v>
      </c>
      <c r="P282" s="2" t="e">
        <f t="shared" si="70"/>
        <v>#N/A</v>
      </c>
      <c r="Q282" s="2" t="e">
        <f t="shared" si="71"/>
        <v>#N/A</v>
      </c>
      <c r="R282" s="2" t="e">
        <f t="shared" si="72"/>
        <v>#N/A</v>
      </c>
      <c r="S282" s="2" t="str">
        <f t="shared" si="73"/>
        <v/>
      </c>
      <c r="T282" s="2" t="str">
        <f t="shared" si="68"/>
        <v/>
      </c>
      <c r="U282" s="8" t="str" cm="1">
        <f t="array" ref="U282">_xlfn.TEXTJOIN(", ",,_xlfn.UNIQUE(_xlfn._xlws.FILTER(EM$3:FK$3,EM282:FK282&gt;0,"")))</f>
        <v/>
      </c>
    </row>
    <row r="283" spans="6:21" x14ac:dyDescent="0.3">
      <c r="F283" s="2" cm="1">
        <f t="array" ref="F283">COUNTA(_xlfn.UNIQUE(_xlfn._xlws.FILTER(chamca[Run],(chamca[Visual ID]=A283))))</f>
        <v>1</v>
      </c>
      <c r="G283" s="2">
        <f>_xlfn.XLOOKUP(A283,RevCoreCount!A:A,RevCoreCount!B:B,)</f>
        <v>0</v>
      </c>
      <c r="H283" s="2">
        <f>_xlfn.XLOOKUP(A283,RevCoreCount!A:A,RevCoreCount!E:E,)</f>
        <v>0</v>
      </c>
      <c r="I283" s="2">
        <f>_xlfn.XLOOKUP(A283,RevCHACount!A:A,RevCHACount!B:B)</f>
        <v>0</v>
      </c>
      <c r="J283" s="2">
        <f>_xlfn.XLOOKUP(A283,RevCHACount!A:A,RevCHACount!E:E)</f>
        <v>0</v>
      </c>
      <c r="K283" s="2">
        <f>_xlfn.XLOOKUP(A283,RevLLCCount!A:A,RevLLCCount!B:B,)</f>
        <v>0</v>
      </c>
      <c r="L283" s="2">
        <f>_xlfn.XLOOKUP(A283,RevLLCCount!A:A,RevLLCCount!E:E)</f>
        <v>0</v>
      </c>
      <c r="M283" s="1">
        <f>_xlfn.XLOOKUP(A283,RevCHACount!A:A,RevCHACount!F:F)</f>
        <v>0</v>
      </c>
      <c r="N283" s="1" t="str">
        <f>_xlfn.XLOOKUP(A283,'Other Errors'!A:A,'Other Errors'!B:B,"")</f>
        <v/>
      </c>
      <c r="O283" s="2" t="e">
        <f t="shared" si="69"/>
        <v>#N/A</v>
      </c>
      <c r="P283" s="2" t="e">
        <f t="shared" si="70"/>
        <v>#N/A</v>
      </c>
      <c r="Q283" s="2" t="e">
        <f t="shared" si="71"/>
        <v>#N/A</v>
      </c>
      <c r="R283" s="2" t="e">
        <f t="shared" si="72"/>
        <v>#N/A</v>
      </c>
      <c r="S283" s="2" t="str">
        <f t="shared" si="73"/>
        <v/>
      </c>
      <c r="T283" s="2" t="str">
        <f t="shared" si="68"/>
        <v/>
      </c>
      <c r="U283" s="8" t="str" cm="1">
        <f t="array" ref="U283">_xlfn.TEXTJOIN(", ",,_xlfn.UNIQUE(_xlfn._xlws.FILTER(EM$3:FK$3,EM283:FK283&gt;0,"")))</f>
        <v/>
      </c>
    </row>
    <row r="284" spans="6:21" x14ac:dyDescent="0.3">
      <c r="F284" s="2" cm="1">
        <f t="array" ref="F284">COUNTA(_xlfn.UNIQUE(_xlfn._xlws.FILTER(chamca[Run],(chamca[Visual ID]=A284))))</f>
        <v>1</v>
      </c>
      <c r="G284" s="2">
        <f>_xlfn.XLOOKUP(A284,RevCoreCount!A:A,RevCoreCount!B:B,)</f>
        <v>0</v>
      </c>
      <c r="H284" s="2">
        <f>_xlfn.XLOOKUP(A284,RevCoreCount!A:A,RevCoreCount!E:E,)</f>
        <v>0</v>
      </c>
      <c r="I284" s="2">
        <f>_xlfn.XLOOKUP(A284,RevCHACount!A:A,RevCHACount!B:B)</f>
        <v>0</v>
      </c>
      <c r="J284" s="2">
        <f>_xlfn.XLOOKUP(A284,RevCHACount!A:A,RevCHACount!E:E)</f>
        <v>0</v>
      </c>
      <c r="K284" s="2">
        <f>_xlfn.XLOOKUP(A284,RevLLCCount!A:A,RevLLCCount!B:B,)</f>
        <v>0</v>
      </c>
      <c r="L284" s="2">
        <f>_xlfn.XLOOKUP(A284,RevLLCCount!A:A,RevLLCCount!E:E)</f>
        <v>0</v>
      </c>
      <c r="M284" s="1">
        <f>_xlfn.XLOOKUP(A284,RevCHACount!A:A,RevCHACount!F:F)</f>
        <v>0</v>
      </c>
      <c r="N284" s="1" t="str">
        <f>_xlfn.XLOOKUP(A284,'Other Errors'!A:A,'Other Errors'!B:B,"")</f>
        <v/>
      </c>
      <c r="O284" s="2" t="e">
        <f t="shared" si="69"/>
        <v>#N/A</v>
      </c>
      <c r="P284" s="2" t="e">
        <f t="shared" si="70"/>
        <v>#N/A</v>
      </c>
      <c r="Q284" s="2" t="e">
        <f t="shared" si="71"/>
        <v>#N/A</v>
      </c>
      <c r="R284" s="2" t="e">
        <f t="shared" si="72"/>
        <v>#N/A</v>
      </c>
      <c r="S284" s="2" t="str">
        <f t="shared" si="73"/>
        <v/>
      </c>
      <c r="T284" s="2" t="str">
        <f t="shared" si="68"/>
        <v/>
      </c>
      <c r="U284" s="8" t="str" cm="1">
        <f t="array" ref="U284">_xlfn.TEXTJOIN(", ",,_xlfn.UNIQUE(_xlfn._xlws.FILTER(EM$3:FK$3,EM284:FK284&gt;0,"")))</f>
        <v/>
      </c>
    </row>
    <row r="285" spans="6:21" x14ac:dyDescent="0.3">
      <c r="F285" s="2" cm="1">
        <f t="array" ref="F285">COUNTA(_xlfn.UNIQUE(_xlfn._xlws.FILTER(chamca[Run],(chamca[Visual ID]=A285))))</f>
        <v>1</v>
      </c>
      <c r="G285" s="2">
        <f>_xlfn.XLOOKUP(A285,RevCoreCount!A:A,RevCoreCount!B:B,)</f>
        <v>0</v>
      </c>
      <c r="H285" s="2">
        <f>_xlfn.XLOOKUP(A285,RevCoreCount!A:A,RevCoreCount!E:E,)</f>
        <v>0</v>
      </c>
      <c r="I285" s="2">
        <f>_xlfn.XLOOKUP(A285,RevCHACount!A:A,RevCHACount!B:B)</f>
        <v>0</v>
      </c>
      <c r="J285" s="2">
        <f>_xlfn.XLOOKUP(A285,RevCHACount!A:A,RevCHACount!E:E)</f>
        <v>0</v>
      </c>
      <c r="K285" s="2">
        <f>_xlfn.XLOOKUP(A285,RevLLCCount!A:A,RevLLCCount!B:B,)</f>
        <v>0</v>
      </c>
      <c r="L285" s="2">
        <f>_xlfn.XLOOKUP(A285,RevLLCCount!A:A,RevLLCCount!E:E)</f>
        <v>0</v>
      </c>
      <c r="M285" s="1">
        <f>_xlfn.XLOOKUP(A285,RevCHACount!A:A,RevCHACount!F:F)</f>
        <v>0</v>
      </c>
      <c r="N285" s="1" t="str">
        <f>_xlfn.XLOOKUP(A285,'Other Errors'!A:A,'Other Errors'!B:B,"")</f>
        <v/>
      </c>
      <c r="O285" s="2" t="e">
        <f t="shared" si="69"/>
        <v>#N/A</v>
      </c>
      <c r="P285" s="2" t="e">
        <f t="shared" si="70"/>
        <v>#N/A</v>
      </c>
      <c r="Q285" s="2" t="e">
        <f t="shared" si="71"/>
        <v>#N/A</v>
      </c>
      <c r="R285" s="2" t="e">
        <f t="shared" si="72"/>
        <v>#N/A</v>
      </c>
      <c r="S285" s="2" t="str">
        <f t="shared" si="73"/>
        <v/>
      </c>
      <c r="T285" s="2" t="str">
        <f t="shared" si="68"/>
        <v/>
      </c>
      <c r="U285" s="8" t="str" cm="1">
        <f t="array" ref="U285">_xlfn.TEXTJOIN(", ",,_xlfn.UNIQUE(_xlfn._xlws.FILTER(EM$3:FK$3,EM285:FK285&gt;0,"")))</f>
        <v/>
      </c>
    </row>
    <row r="286" spans="6:21" x14ac:dyDescent="0.3">
      <c r="F286" s="2" cm="1">
        <f t="array" ref="F286">COUNTA(_xlfn.UNIQUE(_xlfn._xlws.FILTER(chamca[Run],(chamca[Visual ID]=A286))))</f>
        <v>1</v>
      </c>
      <c r="G286" s="2">
        <f>_xlfn.XLOOKUP(A286,RevCoreCount!A:A,RevCoreCount!B:B,)</f>
        <v>0</v>
      </c>
      <c r="H286" s="2">
        <f>_xlfn.XLOOKUP(A286,RevCoreCount!A:A,RevCoreCount!E:E,)</f>
        <v>0</v>
      </c>
      <c r="I286" s="2">
        <f>_xlfn.XLOOKUP(A286,RevCHACount!A:A,RevCHACount!B:B)</f>
        <v>0</v>
      </c>
      <c r="J286" s="2">
        <f>_xlfn.XLOOKUP(A286,RevCHACount!A:A,RevCHACount!E:E)</f>
        <v>0</v>
      </c>
      <c r="K286" s="2">
        <f>_xlfn.XLOOKUP(A286,RevLLCCount!A:A,RevLLCCount!B:B,)</f>
        <v>0</v>
      </c>
      <c r="L286" s="2">
        <f>_xlfn.XLOOKUP(A286,RevLLCCount!A:A,RevLLCCount!E:E)</f>
        <v>0</v>
      </c>
      <c r="M286" s="1">
        <f>_xlfn.XLOOKUP(A286,RevCHACount!A:A,RevCHACount!F:F)</f>
        <v>0</v>
      </c>
      <c r="N286" s="1" t="str">
        <f>_xlfn.XLOOKUP(A286,'Other Errors'!A:A,'Other Errors'!B:B,"")</f>
        <v/>
      </c>
      <c r="O286" s="2" t="e">
        <f t="shared" si="69"/>
        <v>#N/A</v>
      </c>
      <c r="P286" s="2" t="e">
        <f t="shared" si="70"/>
        <v>#N/A</v>
      </c>
      <c r="Q286" s="2" t="e">
        <f t="shared" si="71"/>
        <v>#N/A</v>
      </c>
      <c r="R286" s="2" t="e">
        <f t="shared" si="72"/>
        <v>#N/A</v>
      </c>
      <c r="S286" s="2" t="str">
        <f t="shared" si="73"/>
        <v/>
      </c>
      <c r="T286" s="2" t="str">
        <f t="shared" si="68"/>
        <v/>
      </c>
      <c r="U286" s="8" t="str" cm="1">
        <f t="array" ref="U286">_xlfn.TEXTJOIN(", ",,_xlfn.UNIQUE(_xlfn._xlws.FILTER(EM$3:FK$3,EM286:FK286&gt;0,"")))</f>
        <v/>
      </c>
    </row>
    <row r="287" spans="6:21" x14ac:dyDescent="0.3">
      <c r="F287" s="2" cm="1">
        <f t="array" ref="F287">COUNTA(_xlfn.UNIQUE(_xlfn._xlws.FILTER(chamca[Run],(chamca[Visual ID]=A287))))</f>
        <v>1</v>
      </c>
      <c r="G287" s="2">
        <f>_xlfn.XLOOKUP(A287,RevCoreCount!A:A,RevCoreCount!B:B,)</f>
        <v>0</v>
      </c>
      <c r="H287" s="2">
        <f>_xlfn.XLOOKUP(A287,RevCoreCount!A:A,RevCoreCount!E:E,)</f>
        <v>0</v>
      </c>
      <c r="I287" s="2">
        <f>_xlfn.XLOOKUP(A287,RevCHACount!A:A,RevCHACount!B:B)</f>
        <v>0</v>
      </c>
      <c r="J287" s="2">
        <f>_xlfn.XLOOKUP(A287,RevCHACount!A:A,RevCHACount!E:E)</f>
        <v>0</v>
      </c>
      <c r="K287" s="2">
        <f>_xlfn.XLOOKUP(A287,RevLLCCount!A:A,RevLLCCount!B:B,)</f>
        <v>0</v>
      </c>
      <c r="L287" s="2">
        <f>_xlfn.XLOOKUP(A287,RevLLCCount!A:A,RevLLCCount!E:E)</f>
        <v>0</v>
      </c>
      <c r="M287" s="1">
        <f>_xlfn.XLOOKUP(A287,RevCHACount!A:A,RevCHACount!F:F)</f>
        <v>0</v>
      </c>
      <c r="N287" s="1" t="str">
        <f>_xlfn.XLOOKUP(A287,'Other Errors'!A:A,'Other Errors'!B:B,"")</f>
        <v/>
      </c>
      <c r="O287" s="2" t="e">
        <f t="shared" si="69"/>
        <v>#N/A</v>
      </c>
      <c r="P287" s="2" t="e">
        <f t="shared" si="70"/>
        <v>#N/A</v>
      </c>
      <c r="Q287" s="2" t="e">
        <f t="shared" si="71"/>
        <v>#N/A</v>
      </c>
      <c r="R287" s="2" t="e">
        <f t="shared" si="72"/>
        <v>#N/A</v>
      </c>
      <c r="S287" s="2" t="str">
        <f t="shared" si="73"/>
        <v/>
      </c>
      <c r="T287" s="2" t="str">
        <f t="shared" si="68"/>
        <v/>
      </c>
      <c r="U287" s="8" t="str" cm="1">
        <f t="array" ref="U287">_xlfn.TEXTJOIN(", ",,_xlfn.UNIQUE(_xlfn._xlws.FILTER(EM$3:FK$3,EM287:FK287&gt;0,"")))</f>
        <v/>
      </c>
    </row>
    <row r="288" spans="6:21" x14ac:dyDescent="0.3">
      <c r="F288" s="2" cm="1">
        <f t="array" ref="F288">COUNTA(_xlfn.UNIQUE(_xlfn._xlws.FILTER(chamca[Run],(chamca[Visual ID]=A288))))</f>
        <v>1</v>
      </c>
      <c r="G288" s="2">
        <f>_xlfn.XLOOKUP(A288,RevCoreCount!A:A,RevCoreCount!B:B,)</f>
        <v>0</v>
      </c>
      <c r="H288" s="2">
        <f>_xlfn.XLOOKUP(A288,RevCoreCount!A:A,RevCoreCount!E:E,)</f>
        <v>0</v>
      </c>
      <c r="I288" s="2">
        <f>_xlfn.XLOOKUP(A288,RevCHACount!A:A,RevCHACount!B:B)</f>
        <v>0</v>
      </c>
      <c r="J288" s="2">
        <f>_xlfn.XLOOKUP(A288,RevCHACount!A:A,RevCHACount!E:E)</f>
        <v>0</v>
      </c>
      <c r="K288" s="2">
        <f>_xlfn.XLOOKUP(A288,RevLLCCount!A:A,RevLLCCount!B:B,)</f>
        <v>0</v>
      </c>
      <c r="L288" s="2">
        <f>_xlfn.XLOOKUP(A288,RevLLCCount!A:A,RevLLCCount!E:E)</f>
        <v>0</v>
      </c>
      <c r="M288" s="1">
        <f>_xlfn.XLOOKUP(A288,RevCHACount!A:A,RevCHACount!F:F)</f>
        <v>0</v>
      </c>
      <c r="N288" s="1" t="str">
        <f>_xlfn.XLOOKUP(A288,'Other Errors'!A:A,'Other Errors'!B:B,"")</f>
        <v/>
      </c>
      <c r="O288" s="2" t="e">
        <f t="shared" si="69"/>
        <v>#N/A</v>
      </c>
      <c r="P288" s="2" t="e">
        <f t="shared" si="70"/>
        <v>#N/A</v>
      </c>
      <c r="Q288" s="2" t="e">
        <f t="shared" si="71"/>
        <v>#N/A</v>
      </c>
      <c r="R288" s="2" t="e">
        <f t="shared" si="72"/>
        <v>#N/A</v>
      </c>
      <c r="S288" s="2" t="str">
        <f t="shared" si="73"/>
        <v/>
      </c>
      <c r="T288" s="2" t="str">
        <f t="shared" si="68"/>
        <v/>
      </c>
      <c r="U288" s="8" t="str" cm="1">
        <f t="array" ref="U288">_xlfn.TEXTJOIN(", ",,_xlfn.UNIQUE(_xlfn._xlws.FILTER(EM$3:FK$3,EM288:FK288&gt;0,"")))</f>
        <v/>
      </c>
    </row>
    <row r="289" spans="6:21" x14ac:dyDescent="0.3">
      <c r="F289" s="2" cm="1">
        <f t="array" ref="F289">COUNTA(_xlfn.UNIQUE(_xlfn._xlws.FILTER(chamca[Run],(chamca[Visual ID]=A289))))</f>
        <v>1</v>
      </c>
      <c r="G289" s="2">
        <f>_xlfn.XLOOKUP(A289,RevCoreCount!A:A,RevCoreCount!B:B,)</f>
        <v>0</v>
      </c>
      <c r="H289" s="2">
        <f>_xlfn.XLOOKUP(A289,RevCoreCount!A:A,RevCoreCount!E:E,)</f>
        <v>0</v>
      </c>
      <c r="I289" s="2">
        <f>_xlfn.XLOOKUP(A289,RevCHACount!A:A,RevCHACount!B:B)</f>
        <v>0</v>
      </c>
      <c r="J289" s="2">
        <f>_xlfn.XLOOKUP(A289,RevCHACount!A:A,RevCHACount!E:E)</f>
        <v>0</v>
      </c>
      <c r="K289" s="2">
        <f>_xlfn.XLOOKUP(A289,RevLLCCount!A:A,RevLLCCount!B:B,)</f>
        <v>0</v>
      </c>
      <c r="L289" s="2">
        <f>_xlfn.XLOOKUP(A289,RevLLCCount!A:A,RevLLCCount!E:E)</f>
        <v>0</v>
      </c>
      <c r="M289" s="1">
        <f>_xlfn.XLOOKUP(A289,RevCHACount!A:A,RevCHACount!F:F)</f>
        <v>0</v>
      </c>
      <c r="N289" s="1" t="str">
        <f>_xlfn.XLOOKUP(A289,'Other Errors'!A:A,'Other Errors'!B:B,"")</f>
        <v/>
      </c>
      <c r="O289" s="2" t="e">
        <f t="shared" si="69"/>
        <v>#N/A</v>
      </c>
      <c r="P289" s="2" t="e">
        <f t="shared" si="70"/>
        <v>#N/A</v>
      </c>
      <c r="Q289" s="2" t="e">
        <f t="shared" si="71"/>
        <v>#N/A</v>
      </c>
      <c r="R289" s="2" t="e">
        <f t="shared" si="72"/>
        <v>#N/A</v>
      </c>
      <c r="S289" s="2" t="str">
        <f t="shared" si="73"/>
        <v/>
      </c>
      <c r="T289" s="2" t="str">
        <f t="shared" si="68"/>
        <v/>
      </c>
      <c r="U289" s="8" t="str" cm="1">
        <f t="array" ref="U289">_xlfn.TEXTJOIN(", ",,_xlfn.UNIQUE(_xlfn._xlws.FILTER(EM$3:FK$3,EM289:FK289&gt;0,"")))</f>
        <v/>
      </c>
    </row>
    <row r="290" spans="6:21" x14ac:dyDescent="0.3">
      <c r="F290" s="2" cm="1">
        <f t="array" ref="F290">COUNTA(_xlfn.UNIQUE(_xlfn._xlws.FILTER(chamca[Run],(chamca[Visual ID]=A290))))</f>
        <v>1</v>
      </c>
      <c r="G290" s="2">
        <f>_xlfn.XLOOKUP(A290,RevCoreCount!A:A,RevCoreCount!B:B,)</f>
        <v>0</v>
      </c>
      <c r="H290" s="2">
        <f>_xlfn.XLOOKUP(A290,RevCoreCount!A:A,RevCoreCount!E:E,)</f>
        <v>0</v>
      </c>
      <c r="I290" s="2">
        <f>_xlfn.XLOOKUP(A290,RevCHACount!A:A,RevCHACount!B:B)</f>
        <v>0</v>
      </c>
      <c r="J290" s="2">
        <f>_xlfn.XLOOKUP(A290,RevCHACount!A:A,RevCHACount!E:E)</f>
        <v>0</v>
      </c>
      <c r="K290" s="2">
        <f>_xlfn.XLOOKUP(A290,RevLLCCount!A:A,RevLLCCount!B:B,)</f>
        <v>0</v>
      </c>
      <c r="L290" s="2">
        <f>_xlfn.XLOOKUP(A290,RevLLCCount!A:A,RevLLCCount!E:E)</f>
        <v>0</v>
      </c>
      <c r="M290" s="1">
        <f>_xlfn.XLOOKUP(A290,RevCHACount!A:A,RevCHACount!F:F)</f>
        <v>0</v>
      </c>
      <c r="N290" s="1" t="str">
        <f>_xlfn.XLOOKUP(A290,'Other Errors'!A:A,'Other Errors'!B:B,"")</f>
        <v/>
      </c>
      <c r="O290" s="2" t="e">
        <f t="shared" si="69"/>
        <v>#N/A</v>
      </c>
      <c r="P290" s="2" t="e">
        <f t="shared" si="70"/>
        <v>#N/A</v>
      </c>
      <c r="Q290" s="2" t="e">
        <f t="shared" si="71"/>
        <v>#N/A</v>
      </c>
      <c r="R290" s="2" t="e">
        <f t="shared" si="72"/>
        <v>#N/A</v>
      </c>
      <c r="S290" s="2" t="str">
        <f t="shared" si="73"/>
        <v/>
      </c>
      <c r="T290" s="2" t="str">
        <f t="shared" si="68"/>
        <v/>
      </c>
      <c r="U290" s="8" t="str" cm="1">
        <f t="array" ref="U290">_xlfn.TEXTJOIN(", ",,_xlfn.UNIQUE(_xlfn._xlws.FILTER(EM$3:FK$3,EM290:FK290&gt;0,"")))</f>
        <v/>
      </c>
    </row>
    <row r="291" spans="6:21" x14ac:dyDescent="0.3">
      <c r="F291" s="2" cm="1">
        <f t="array" ref="F291">COUNTA(_xlfn.UNIQUE(_xlfn._xlws.FILTER(chamca[Run],(chamca[Visual ID]=A291))))</f>
        <v>1</v>
      </c>
      <c r="G291" s="2">
        <f>_xlfn.XLOOKUP(A291,RevCoreCount!A:A,RevCoreCount!B:B,)</f>
        <v>0</v>
      </c>
      <c r="H291" s="2">
        <f>_xlfn.XLOOKUP(A291,RevCoreCount!A:A,RevCoreCount!E:E,)</f>
        <v>0</v>
      </c>
      <c r="I291" s="2">
        <f>_xlfn.XLOOKUP(A291,RevCHACount!A:A,RevCHACount!B:B)</f>
        <v>0</v>
      </c>
      <c r="J291" s="2">
        <f>_xlfn.XLOOKUP(A291,RevCHACount!A:A,RevCHACount!E:E)</f>
        <v>0</v>
      </c>
      <c r="K291" s="2">
        <f>_xlfn.XLOOKUP(A291,RevLLCCount!A:A,RevLLCCount!B:B,)</f>
        <v>0</v>
      </c>
      <c r="L291" s="2">
        <f>_xlfn.XLOOKUP(A291,RevLLCCount!A:A,RevLLCCount!E:E)</f>
        <v>0</v>
      </c>
      <c r="M291" s="1">
        <f>_xlfn.XLOOKUP(A291,RevCHACount!A:A,RevCHACount!F:F)</f>
        <v>0</v>
      </c>
      <c r="N291" s="1" t="str">
        <f>_xlfn.XLOOKUP(A291,'Other Errors'!A:A,'Other Errors'!B:B,"")</f>
        <v/>
      </c>
      <c r="O291" s="2" t="e">
        <f t="shared" si="69"/>
        <v>#N/A</v>
      </c>
      <c r="P291" s="2" t="e">
        <f t="shared" si="70"/>
        <v>#N/A</v>
      </c>
      <c r="Q291" s="2" t="e">
        <f t="shared" si="71"/>
        <v>#N/A</v>
      </c>
      <c r="R291" s="2" t="e">
        <f t="shared" si="72"/>
        <v>#N/A</v>
      </c>
      <c r="S291" s="2" t="str">
        <f t="shared" si="73"/>
        <v/>
      </c>
      <c r="T291" s="2" t="str">
        <f t="shared" si="68"/>
        <v/>
      </c>
      <c r="U291" s="8" t="str" cm="1">
        <f t="array" ref="U291">_xlfn.TEXTJOIN(", ",,_xlfn.UNIQUE(_xlfn._xlws.FILTER(EM$3:FK$3,EM291:FK291&gt;0,"")))</f>
        <v/>
      </c>
    </row>
    <row r="292" spans="6:21" x14ac:dyDescent="0.3">
      <c r="F292" s="2" cm="1">
        <f t="array" ref="F292">COUNTA(_xlfn.UNIQUE(_xlfn._xlws.FILTER(chamca[Run],(chamca[Visual ID]=A292))))</f>
        <v>1</v>
      </c>
      <c r="G292" s="2">
        <f>_xlfn.XLOOKUP(A292,RevCoreCount!A:A,RevCoreCount!B:B,)</f>
        <v>0</v>
      </c>
      <c r="H292" s="2">
        <f>_xlfn.XLOOKUP(A292,RevCoreCount!A:A,RevCoreCount!E:E,)</f>
        <v>0</v>
      </c>
      <c r="I292" s="2">
        <f>_xlfn.XLOOKUP(A292,RevCHACount!A:A,RevCHACount!B:B)</f>
        <v>0</v>
      </c>
      <c r="J292" s="2">
        <f>_xlfn.XLOOKUP(A292,RevCHACount!A:A,RevCHACount!E:E)</f>
        <v>0</v>
      </c>
      <c r="K292" s="2">
        <f>_xlfn.XLOOKUP(A292,RevLLCCount!A:A,RevLLCCount!B:B,)</f>
        <v>0</v>
      </c>
      <c r="L292" s="2">
        <f>_xlfn.XLOOKUP(A292,RevLLCCount!A:A,RevLLCCount!E:E)</f>
        <v>0</v>
      </c>
      <c r="M292" s="1">
        <f>_xlfn.XLOOKUP(A292,RevCHACount!A:A,RevCHACount!F:F)</f>
        <v>0</v>
      </c>
      <c r="N292" s="1" t="str">
        <f>_xlfn.XLOOKUP(A292,'Other Errors'!A:A,'Other Errors'!B:B,"")</f>
        <v/>
      </c>
      <c r="O292" s="2" t="e">
        <f t="shared" si="69"/>
        <v>#N/A</v>
      </c>
      <c r="P292" s="2" t="e">
        <f t="shared" si="70"/>
        <v>#N/A</v>
      </c>
      <c r="Q292" s="2" t="e">
        <f t="shared" si="71"/>
        <v>#N/A</v>
      </c>
      <c r="R292" s="2" t="e">
        <f t="shared" si="72"/>
        <v>#N/A</v>
      </c>
      <c r="S292" s="2" t="str">
        <f t="shared" si="73"/>
        <v/>
      </c>
      <c r="T292" s="2" t="str">
        <f t="shared" si="68"/>
        <v/>
      </c>
      <c r="U292" s="8" t="str" cm="1">
        <f t="array" ref="U292">_xlfn.TEXTJOIN(", ",,_xlfn.UNIQUE(_xlfn._xlws.FILTER(EM$3:FK$3,EM292:FK292&gt;0,"")))</f>
        <v/>
      </c>
    </row>
    <row r="293" spans="6:21" x14ac:dyDescent="0.3">
      <c r="F293" s="2" cm="1">
        <f t="array" ref="F293">COUNTA(_xlfn.UNIQUE(_xlfn._xlws.FILTER(chamca[Run],(chamca[Visual ID]=A293))))</f>
        <v>1</v>
      </c>
      <c r="G293" s="2">
        <f>_xlfn.XLOOKUP(A293,RevCoreCount!A:A,RevCoreCount!B:B,)</f>
        <v>0</v>
      </c>
      <c r="H293" s="2">
        <f>_xlfn.XLOOKUP(A293,RevCoreCount!A:A,RevCoreCount!E:E,)</f>
        <v>0</v>
      </c>
      <c r="I293" s="2">
        <f>_xlfn.XLOOKUP(A293,RevCHACount!A:A,RevCHACount!B:B)</f>
        <v>0</v>
      </c>
      <c r="J293" s="2">
        <f>_xlfn.XLOOKUP(A293,RevCHACount!A:A,RevCHACount!E:E)</f>
        <v>0</v>
      </c>
      <c r="K293" s="2">
        <f>_xlfn.XLOOKUP(A293,RevLLCCount!A:A,RevLLCCount!B:B,)</f>
        <v>0</v>
      </c>
      <c r="L293" s="2">
        <f>_xlfn.XLOOKUP(A293,RevLLCCount!A:A,RevLLCCount!E:E)</f>
        <v>0</v>
      </c>
      <c r="M293" s="1">
        <f>_xlfn.XLOOKUP(A293,RevCHACount!A:A,RevCHACount!F:F)</f>
        <v>0</v>
      </c>
      <c r="N293" s="1" t="str">
        <f>_xlfn.XLOOKUP(A293,'Other Errors'!A:A,'Other Errors'!B:B,"")</f>
        <v/>
      </c>
      <c r="O293" s="2" t="e">
        <f t="shared" si="69"/>
        <v>#N/A</v>
      </c>
      <c r="P293" s="2" t="e">
        <f t="shared" si="70"/>
        <v>#N/A</v>
      </c>
      <c r="Q293" s="2" t="e">
        <f t="shared" si="71"/>
        <v>#N/A</v>
      </c>
      <c r="R293" s="2" t="e">
        <f t="shared" si="72"/>
        <v>#N/A</v>
      </c>
      <c r="S293" s="2" t="str">
        <f t="shared" si="73"/>
        <v/>
      </c>
      <c r="T293" s="2" t="str">
        <f t="shared" si="68"/>
        <v/>
      </c>
      <c r="U293" s="8" t="str" cm="1">
        <f t="array" ref="U293">_xlfn.TEXTJOIN(", ",,_xlfn.UNIQUE(_xlfn._xlws.FILTER(EM$3:FK$3,EM293:FK293&gt;0,"")))</f>
        <v/>
      </c>
    </row>
    <row r="294" spans="6:21" x14ac:dyDescent="0.3">
      <c r="F294" s="2" cm="1">
        <f t="array" ref="F294">COUNTA(_xlfn.UNIQUE(_xlfn._xlws.FILTER(chamca[Run],(chamca[Visual ID]=A294))))</f>
        <v>1</v>
      </c>
      <c r="G294" s="2">
        <f>_xlfn.XLOOKUP(A294,RevCoreCount!A:A,RevCoreCount!B:B,)</f>
        <v>0</v>
      </c>
      <c r="H294" s="2">
        <f>_xlfn.XLOOKUP(A294,RevCoreCount!A:A,RevCoreCount!E:E,)</f>
        <v>0</v>
      </c>
      <c r="I294" s="2">
        <f>_xlfn.XLOOKUP(A294,RevCHACount!A:A,RevCHACount!B:B)</f>
        <v>0</v>
      </c>
      <c r="J294" s="2">
        <f>_xlfn.XLOOKUP(A294,RevCHACount!A:A,RevCHACount!E:E)</f>
        <v>0</v>
      </c>
      <c r="K294" s="2">
        <f>_xlfn.XLOOKUP(A294,RevLLCCount!A:A,RevLLCCount!B:B,)</f>
        <v>0</v>
      </c>
      <c r="L294" s="2">
        <f>_xlfn.XLOOKUP(A294,RevLLCCount!A:A,RevLLCCount!E:E)</f>
        <v>0</v>
      </c>
      <c r="M294" s="1">
        <f>_xlfn.XLOOKUP(A294,RevCHACount!A:A,RevCHACount!F:F)</f>
        <v>0</v>
      </c>
      <c r="N294" s="1" t="str">
        <f>_xlfn.XLOOKUP(A294,'Other Errors'!A:A,'Other Errors'!B:B,"")</f>
        <v/>
      </c>
      <c r="O294" s="2" t="e">
        <f t="shared" si="69"/>
        <v>#N/A</v>
      </c>
      <c r="P294" s="2" t="e">
        <f t="shared" si="70"/>
        <v>#N/A</v>
      </c>
      <c r="Q294" s="2" t="e">
        <f t="shared" si="71"/>
        <v>#N/A</v>
      </c>
      <c r="R294" s="2" t="e">
        <f t="shared" si="72"/>
        <v>#N/A</v>
      </c>
      <c r="S294" s="2" t="str">
        <f t="shared" si="73"/>
        <v/>
      </c>
      <c r="T294" s="2" t="str">
        <f t="shared" si="68"/>
        <v/>
      </c>
      <c r="U294" s="8" t="str" cm="1">
        <f t="array" ref="U294">_xlfn.TEXTJOIN(", ",,_xlfn.UNIQUE(_xlfn._xlws.FILTER(EM$3:FK$3,EM294:FK294&gt;0,"")))</f>
        <v/>
      </c>
    </row>
    <row r="295" spans="6:21" x14ac:dyDescent="0.3">
      <c r="F295" s="2" cm="1">
        <f t="array" ref="F295">COUNTA(_xlfn.UNIQUE(_xlfn._xlws.FILTER(chamca[Run],(chamca[Visual ID]=A295))))</f>
        <v>1</v>
      </c>
      <c r="G295" s="2">
        <f>_xlfn.XLOOKUP(A295,RevCoreCount!A:A,RevCoreCount!B:B,)</f>
        <v>0</v>
      </c>
      <c r="H295" s="2">
        <f>_xlfn.XLOOKUP(A295,RevCoreCount!A:A,RevCoreCount!E:E,)</f>
        <v>0</v>
      </c>
      <c r="I295" s="2">
        <f>_xlfn.XLOOKUP(A295,RevCHACount!A:A,RevCHACount!B:B)</f>
        <v>0</v>
      </c>
      <c r="J295" s="2">
        <f>_xlfn.XLOOKUP(A295,RevCHACount!A:A,RevCHACount!E:E)</f>
        <v>0</v>
      </c>
      <c r="K295" s="2">
        <f>_xlfn.XLOOKUP(A295,RevLLCCount!A:A,RevLLCCount!B:B,)</f>
        <v>0</v>
      </c>
      <c r="L295" s="2">
        <f>_xlfn.XLOOKUP(A295,RevLLCCount!A:A,RevLLCCount!E:E)</f>
        <v>0</v>
      </c>
      <c r="M295" s="1">
        <f>_xlfn.XLOOKUP(A295,RevCHACount!A:A,RevCHACount!F:F)</f>
        <v>0</v>
      </c>
      <c r="N295" s="1" t="str">
        <f>_xlfn.XLOOKUP(A295,'Other Errors'!A:A,'Other Errors'!B:B,"")</f>
        <v/>
      </c>
      <c r="O295" s="2" t="e">
        <f t="shared" si="69"/>
        <v>#N/A</v>
      </c>
      <c r="P295" s="2" t="e">
        <f t="shared" si="70"/>
        <v>#N/A</v>
      </c>
      <c r="Q295" s="2" t="e">
        <f t="shared" si="71"/>
        <v>#N/A</v>
      </c>
      <c r="R295" s="2" t="e">
        <f t="shared" si="72"/>
        <v>#N/A</v>
      </c>
      <c r="S295" s="2" t="str">
        <f t="shared" si="73"/>
        <v/>
      </c>
      <c r="T295" s="2" t="str">
        <f t="shared" si="68"/>
        <v/>
      </c>
      <c r="U295" s="8" t="str" cm="1">
        <f t="array" ref="U295">_xlfn.TEXTJOIN(", ",,_xlfn.UNIQUE(_xlfn._xlws.FILTER(EM$3:FK$3,EM295:FK295&gt;0,"")))</f>
        <v/>
      </c>
    </row>
    <row r="296" spans="6:21" x14ac:dyDescent="0.3">
      <c r="F296" s="2" cm="1">
        <f t="array" ref="F296">COUNTA(_xlfn.UNIQUE(_xlfn._xlws.FILTER(chamca[Run],(chamca[Visual ID]=A296))))</f>
        <v>1</v>
      </c>
      <c r="G296" s="2">
        <f>_xlfn.XLOOKUP(A296,RevCoreCount!A:A,RevCoreCount!B:B,)</f>
        <v>0</v>
      </c>
      <c r="H296" s="2">
        <f>_xlfn.XLOOKUP(A296,RevCoreCount!A:A,RevCoreCount!E:E,)</f>
        <v>0</v>
      </c>
      <c r="I296" s="2">
        <f>_xlfn.XLOOKUP(A296,RevCHACount!A:A,RevCHACount!B:B)</f>
        <v>0</v>
      </c>
      <c r="J296" s="2">
        <f>_xlfn.XLOOKUP(A296,RevCHACount!A:A,RevCHACount!E:E)</f>
        <v>0</v>
      </c>
      <c r="K296" s="2">
        <f>_xlfn.XLOOKUP(A296,RevLLCCount!A:A,RevLLCCount!B:B,)</f>
        <v>0</v>
      </c>
      <c r="L296" s="2">
        <f>_xlfn.XLOOKUP(A296,RevLLCCount!A:A,RevLLCCount!E:E)</f>
        <v>0</v>
      </c>
      <c r="M296" s="1">
        <f>_xlfn.XLOOKUP(A296,RevCHACount!A:A,RevCHACount!F:F)</f>
        <v>0</v>
      </c>
      <c r="N296" s="1" t="str">
        <f>_xlfn.XLOOKUP(A296,'Other Errors'!A:A,'Other Errors'!B:B,"")</f>
        <v/>
      </c>
      <c r="O296" s="2" t="e">
        <f t="shared" si="69"/>
        <v>#N/A</v>
      </c>
      <c r="P296" s="2" t="e">
        <f t="shared" si="70"/>
        <v>#N/A</v>
      </c>
      <c r="Q296" s="2" t="e">
        <f t="shared" si="71"/>
        <v>#N/A</v>
      </c>
      <c r="R296" s="2" t="e">
        <f t="shared" si="72"/>
        <v>#N/A</v>
      </c>
      <c r="S296" s="2" t="str">
        <f t="shared" si="73"/>
        <v/>
      </c>
      <c r="T296" s="2" t="str">
        <f t="shared" si="68"/>
        <v/>
      </c>
      <c r="U296" s="8" t="str" cm="1">
        <f t="array" ref="U296">_xlfn.TEXTJOIN(", ",,_xlfn.UNIQUE(_xlfn._xlws.FILTER(EM$3:FK$3,EM296:FK296&gt;0,"")))</f>
        <v/>
      </c>
    </row>
    <row r="297" spans="6:21" x14ac:dyDescent="0.3">
      <c r="F297" s="2" cm="1">
        <f t="array" ref="F297">COUNTA(_xlfn.UNIQUE(_xlfn._xlws.FILTER(chamca[Run],(chamca[Visual ID]=A297))))</f>
        <v>1</v>
      </c>
      <c r="G297" s="2">
        <f>_xlfn.XLOOKUP(A297,RevCoreCount!A:A,RevCoreCount!B:B,)</f>
        <v>0</v>
      </c>
      <c r="H297" s="2">
        <f>_xlfn.XLOOKUP(A297,RevCoreCount!A:A,RevCoreCount!E:E,)</f>
        <v>0</v>
      </c>
      <c r="I297" s="2">
        <f>_xlfn.XLOOKUP(A297,RevCHACount!A:A,RevCHACount!B:B)</f>
        <v>0</v>
      </c>
      <c r="J297" s="2">
        <f>_xlfn.XLOOKUP(A297,RevCHACount!A:A,RevCHACount!E:E)</f>
        <v>0</v>
      </c>
      <c r="K297" s="2">
        <f>_xlfn.XLOOKUP(A297,RevLLCCount!A:A,RevLLCCount!B:B,)</f>
        <v>0</v>
      </c>
      <c r="L297" s="2">
        <f>_xlfn.XLOOKUP(A297,RevLLCCount!A:A,RevLLCCount!E:E)</f>
        <v>0</v>
      </c>
      <c r="M297" s="1">
        <f>_xlfn.XLOOKUP(A297,RevCHACount!A:A,RevCHACount!F:F)</f>
        <v>0</v>
      </c>
      <c r="N297" s="1" t="str">
        <f>_xlfn.XLOOKUP(A297,'Other Errors'!A:A,'Other Errors'!B:B,"")</f>
        <v/>
      </c>
      <c r="O297" s="2" t="e">
        <f t="shared" si="69"/>
        <v>#N/A</v>
      </c>
      <c r="P297" s="2" t="e">
        <f t="shared" si="70"/>
        <v>#N/A</v>
      </c>
      <c r="Q297" s="2" t="e">
        <f t="shared" si="71"/>
        <v>#N/A</v>
      </c>
      <c r="R297" s="2" t="e">
        <f t="shared" si="72"/>
        <v>#N/A</v>
      </c>
      <c r="S297" s="2" t="str">
        <f t="shared" si="73"/>
        <v/>
      </c>
      <c r="T297" s="2" t="str">
        <f t="shared" si="68"/>
        <v/>
      </c>
      <c r="U297" s="8" t="str" cm="1">
        <f t="array" ref="U297">_xlfn.TEXTJOIN(", ",,_xlfn.UNIQUE(_xlfn._xlws.FILTER(EM$3:FK$3,EM297:FK297&gt;0,"")))</f>
        <v/>
      </c>
    </row>
    <row r="298" spans="6:21" x14ac:dyDescent="0.3">
      <c r="F298" s="2" cm="1">
        <f t="array" ref="F298">COUNTA(_xlfn.UNIQUE(_xlfn._xlws.FILTER(chamca[Run],(chamca[Visual ID]=A298))))</f>
        <v>1</v>
      </c>
      <c r="G298" s="2">
        <f>_xlfn.XLOOKUP(A298,RevCoreCount!A:A,RevCoreCount!B:B,)</f>
        <v>0</v>
      </c>
      <c r="H298" s="2">
        <f>_xlfn.XLOOKUP(A298,RevCoreCount!A:A,RevCoreCount!E:E,)</f>
        <v>0</v>
      </c>
      <c r="I298" s="2">
        <f>_xlfn.XLOOKUP(A298,RevCHACount!A:A,RevCHACount!B:B)</f>
        <v>0</v>
      </c>
      <c r="J298" s="2">
        <f>_xlfn.XLOOKUP(A298,RevCHACount!A:A,RevCHACount!E:E)</f>
        <v>0</v>
      </c>
      <c r="K298" s="2">
        <f>_xlfn.XLOOKUP(A298,RevLLCCount!A:A,RevLLCCount!B:B,)</f>
        <v>0</v>
      </c>
      <c r="L298" s="2">
        <f>_xlfn.XLOOKUP(A298,RevLLCCount!A:A,RevLLCCount!E:E)</f>
        <v>0</v>
      </c>
      <c r="M298" s="1">
        <f>_xlfn.XLOOKUP(A298,RevCHACount!A:A,RevCHACount!F:F)</f>
        <v>0</v>
      </c>
      <c r="N298" s="1" t="str">
        <f>_xlfn.XLOOKUP(A298,'Other Errors'!A:A,'Other Errors'!B:B,"")</f>
        <v/>
      </c>
      <c r="O298" s="2" t="e">
        <f t="shared" si="69"/>
        <v>#N/A</v>
      </c>
      <c r="P298" s="2" t="e">
        <f t="shared" si="70"/>
        <v>#N/A</v>
      </c>
      <c r="Q298" s="2" t="e">
        <f t="shared" si="71"/>
        <v>#N/A</v>
      </c>
      <c r="R298" s="2" t="e">
        <f t="shared" si="72"/>
        <v>#N/A</v>
      </c>
      <c r="S298" s="2" t="str">
        <f t="shared" si="73"/>
        <v/>
      </c>
      <c r="T298" s="2" t="str">
        <f t="shared" si="68"/>
        <v/>
      </c>
      <c r="U298" s="8" t="str" cm="1">
        <f t="array" ref="U298">_xlfn.TEXTJOIN(", ",,_xlfn.UNIQUE(_xlfn._xlws.FILTER(EM$3:FK$3,EM298:FK298&gt;0,"")))</f>
        <v/>
      </c>
    </row>
    <row r="299" spans="6:21" x14ac:dyDescent="0.3">
      <c r="F299" s="2" cm="1">
        <f t="array" ref="F299">COUNTA(_xlfn.UNIQUE(_xlfn._xlws.FILTER(chamca[Run],(chamca[Visual ID]=A299))))</f>
        <v>1</v>
      </c>
      <c r="G299" s="2">
        <f>_xlfn.XLOOKUP(A299,RevCoreCount!A:A,RevCoreCount!B:B,)</f>
        <v>0</v>
      </c>
      <c r="H299" s="2">
        <f>_xlfn.XLOOKUP(A299,RevCoreCount!A:A,RevCoreCount!E:E,)</f>
        <v>0</v>
      </c>
      <c r="I299" s="2">
        <f>_xlfn.XLOOKUP(A299,RevCHACount!A:A,RevCHACount!B:B)</f>
        <v>0</v>
      </c>
      <c r="J299" s="2">
        <f>_xlfn.XLOOKUP(A299,RevCHACount!A:A,RevCHACount!E:E)</f>
        <v>0</v>
      </c>
      <c r="K299" s="2">
        <f>_xlfn.XLOOKUP(A299,RevLLCCount!A:A,RevLLCCount!B:B,)</f>
        <v>0</v>
      </c>
      <c r="L299" s="2">
        <f>_xlfn.XLOOKUP(A299,RevLLCCount!A:A,RevLLCCount!E:E)</f>
        <v>0</v>
      </c>
      <c r="M299" s="1">
        <f>_xlfn.XLOOKUP(A299,RevCHACount!A:A,RevCHACount!F:F)</f>
        <v>0</v>
      </c>
      <c r="N299" s="1" t="str">
        <f>_xlfn.XLOOKUP(A299,'Other Errors'!A:A,'Other Errors'!B:B,"")</f>
        <v/>
      </c>
      <c r="O299" s="2" t="e">
        <f t="shared" si="69"/>
        <v>#N/A</v>
      </c>
      <c r="P299" s="2" t="e">
        <f t="shared" si="70"/>
        <v>#N/A</v>
      </c>
      <c r="Q299" s="2" t="e">
        <f t="shared" si="71"/>
        <v>#N/A</v>
      </c>
      <c r="R299" s="2" t="e">
        <f t="shared" si="72"/>
        <v>#N/A</v>
      </c>
      <c r="S299" s="2" t="str">
        <f t="shared" si="73"/>
        <v/>
      </c>
      <c r="T299" s="2" t="str">
        <f t="shared" si="68"/>
        <v/>
      </c>
      <c r="U299" s="8" t="str" cm="1">
        <f t="array" ref="U299">_xlfn.TEXTJOIN(", ",,_xlfn.UNIQUE(_xlfn._xlws.FILTER(EM$3:FK$3,EM299:FK299&gt;0,"")))</f>
        <v/>
      </c>
    </row>
    <row r="300" spans="6:21" x14ac:dyDescent="0.3">
      <c r="F300" s="2" cm="1">
        <f t="array" ref="F300">COUNTA(_xlfn.UNIQUE(_xlfn._xlws.FILTER(chamca[Run],(chamca[Visual ID]=A300))))</f>
        <v>1</v>
      </c>
      <c r="G300" s="2">
        <f>_xlfn.XLOOKUP(A300,RevCoreCount!A:A,RevCoreCount!B:B,)</f>
        <v>0</v>
      </c>
      <c r="H300" s="2">
        <f>_xlfn.XLOOKUP(A300,RevCoreCount!A:A,RevCoreCount!E:E,)</f>
        <v>0</v>
      </c>
      <c r="I300" s="2">
        <f>_xlfn.XLOOKUP(A300,RevCHACount!A:A,RevCHACount!B:B)</f>
        <v>0</v>
      </c>
      <c r="J300" s="2">
        <f>_xlfn.XLOOKUP(A300,RevCHACount!A:A,RevCHACount!E:E)</f>
        <v>0</v>
      </c>
      <c r="K300" s="2">
        <f>_xlfn.XLOOKUP(A300,RevLLCCount!A:A,RevLLCCount!B:B,)</f>
        <v>0</v>
      </c>
      <c r="L300" s="2">
        <f>_xlfn.XLOOKUP(A300,RevLLCCount!A:A,RevLLCCount!E:E)</f>
        <v>0</v>
      </c>
      <c r="M300" s="1">
        <f>_xlfn.XLOOKUP(A300,RevCHACount!A:A,RevCHACount!F:F)</f>
        <v>0</v>
      </c>
      <c r="N300" s="1" t="str">
        <f>_xlfn.XLOOKUP(A300,'Other Errors'!A:A,'Other Errors'!B:B,"")</f>
        <v/>
      </c>
      <c r="O300" s="2" t="e">
        <f t="shared" si="69"/>
        <v>#N/A</v>
      </c>
      <c r="P300" s="2" t="e">
        <f t="shared" si="70"/>
        <v>#N/A</v>
      </c>
      <c r="Q300" s="2" t="e">
        <f t="shared" si="71"/>
        <v>#N/A</v>
      </c>
      <c r="R300" s="2" t="e">
        <f t="shared" si="72"/>
        <v>#N/A</v>
      </c>
      <c r="S300" s="2" t="str">
        <f t="shared" si="73"/>
        <v/>
      </c>
      <c r="T300" s="2" t="str">
        <f t="shared" si="68"/>
        <v/>
      </c>
      <c r="U300" s="8" t="str" cm="1">
        <f t="array" ref="U300">_xlfn.TEXTJOIN(", ",,_xlfn.UNIQUE(_xlfn._xlws.FILTER(EM$3:FK$3,EM300:FK300&gt;0,"")))</f>
        <v/>
      </c>
    </row>
    <row r="301" spans="6:21" x14ac:dyDescent="0.3">
      <c r="F301" s="2" cm="1">
        <f t="array" ref="F301">COUNTA(_xlfn.UNIQUE(_xlfn._xlws.FILTER(chamca[Run],(chamca[Visual ID]=A301))))</f>
        <v>1</v>
      </c>
      <c r="G301" s="2">
        <f>_xlfn.XLOOKUP(A301,RevCoreCount!A:A,RevCoreCount!B:B,)</f>
        <v>0</v>
      </c>
      <c r="H301" s="2">
        <f>_xlfn.XLOOKUP(A301,RevCoreCount!A:A,RevCoreCount!E:E,)</f>
        <v>0</v>
      </c>
      <c r="I301" s="2">
        <f>_xlfn.XLOOKUP(A301,RevCHACount!A:A,RevCHACount!B:B)</f>
        <v>0</v>
      </c>
      <c r="J301" s="2">
        <f>_xlfn.XLOOKUP(A301,RevCHACount!A:A,RevCHACount!E:E)</f>
        <v>0</v>
      </c>
      <c r="K301" s="2">
        <f>_xlfn.XLOOKUP(A301,RevLLCCount!A:A,RevLLCCount!B:B,)</f>
        <v>0</v>
      </c>
      <c r="L301" s="2">
        <f>_xlfn.XLOOKUP(A301,RevLLCCount!A:A,RevLLCCount!E:E)</f>
        <v>0</v>
      </c>
      <c r="M301" s="1">
        <f>_xlfn.XLOOKUP(A301,RevCHACount!A:A,RevCHACount!F:F)</f>
        <v>0</v>
      </c>
      <c r="N301" s="1" t="str">
        <f>_xlfn.XLOOKUP(A301,'Other Errors'!A:A,'Other Errors'!B:B,"")</f>
        <v/>
      </c>
      <c r="O301" s="2" t="e">
        <f t="shared" si="69"/>
        <v>#N/A</v>
      </c>
      <c r="P301" s="2" t="e">
        <f t="shared" si="70"/>
        <v>#N/A</v>
      </c>
      <c r="Q301" s="2" t="e">
        <f t="shared" si="71"/>
        <v>#N/A</v>
      </c>
      <c r="R301" s="2" t="e">
        <f t="shared" si="72"/>
        <v>#N/A</v>
      </c>
      <c r="S301" s="2" t="str">
        <f t="shared" si="73"/>
        <v/>
      </c>
      <c r="T301" s="2" t="str">
        <f t="shared" si="68"/>
        <v/>
      </c>
      <c r="U301" s="8" t="str" cm="1">
        <f t="array" ref="U301">_xlfn.TEXTJOIN(", ",,_xlfn.UNIQUE(_xlfn._xlws.FILTER(EM$3:FK$3,EM301:FK301&gt;0,"")))</f>
        <v/>
      </c>
    </row>
    <row r="302" spans="6:21" x14ac:dyDescent="0.3">
      <c r="F302" s="2" cm="1">
        <f t="array" ref="F302">COUNTA(_xlfn.UNIQUE(_xlfn._xlws.FILTER(chamca[Run],(chamca[Visual ID]=A302))))</f>
        <v>1</v>
      </c>
      <c r="G302" s="2">
        <f>_xlfn.XLOOKUP(A302,RevCoreCount!A:A,RevCoreCount!B:B,)</f>
        <v>0</v>
      </c>
      <c r="H302" s="2">
        <f>_xlfn.XLOOKUP(A302,RevCoreCount!A:A,RevCoreCount!E:E,)</f>
        <v>0</v>
      </c>
      <c r="I302" s="2">
        <f>_xlfn.XLOOKUP(A302,RevCHACount!A:A,RevCHACount!B:B)</f>
        <v>0</v>
      </c>
      <c r="J302" s="2">
        <f>_xlfn.XLOOKUP(A302,RevCHACount!A:A,RevCHACount!E:E)</f>
        <v>0</v>
      </c>
      <c r="K302" s="2">
        <f>_xlfn.XLOOKUP(A302,RevLLCCount!A:A,RevLLCCount!B:B,)</f>
        <v>0</v>
      </c>
      <c r="L302" s="2">
        <f>_xlfn.XLOOKUP(A302,RevLLCCount!A:A,RevLLCCount!E:E)</f>
        <v>0</v>
      </c>
      <c r="M302" s="1">
        <f>_xlfn.XLOOKUP(A302,RevCHACount!A:A,RevCHACount!F:F)</f>
        <v>0</v>
      </c>
      <c r="N302" s="1" t="str">
        <f>_xlfn.XLOOKUP(A302,'Other Errors'!A:A,'Other Errors'!B:B,"")</f>
        <v/>
      </c>
      <c r="O302" s="2" t="e">
        <f t="shared" si="69"/>
        <v>#N/A</v>
      </c>
      <c r="P302" s="2" t="e">
        <f t="shared" si="70"/>
        <v>#N/A</v>
      </c>
      <c r="Q302" s="2" t="e">
        <f t="shared" si="71"/>
        <v>#N/A</v>
      </c>
      <c r="R302" s="2" t="e">
        <f t="shared" si="72"/>
        <v>#N/A</v>
      </c>
      <c r="S302" s="2" t="str">
        <f t="shared" si="73"/>
        <v/>
      </c>
      <c r="T302" s="2" t="str">
        <f t="shared" si="68"/>
        <v/>
      </c>
      <c r="U302" s="8" t="str" cm="1">
        <f t="array" ref="U302">_xlfn.TEXTJOIN(", ",,_xlfn.UNIQUE(_xlfn._xlws.FILTER(EM$3:FK$3,EM302:FK302&gt;0,"")))</f>
        <v/>
      </c>
    </row>
    <row r="303" spans="6:21" x14ac:dyDescent="0.3">
      <c r="F303" s="2" cm="1">
        <f t="array" ref="F303">COUNTA(_xlfn.UNIQUE(_xlfn._xlws.FILTER(chamca[Run],(chamca[Visual ID]=A303))))</f>
        <v>1</v>
      </c>
      <c r="G303" s="2">
        <f>_xlfn.XLOOKUP(A303,RevCoreCount!A:A,RevCoreCount!B:B,)</f>
        <v>0</v>
      </c>
      <c r="H303" s="2">
        <f>_xlfn.XLOOKUP(A303,RevCoreCount!A:A,RevCoreCount!E:E,)</f>
        <v>0</v>
      </c>
      <c r="I303" s="2">
        <f>_xlfn.XLOOKUP(A303,RevCHACount!A:A,RevCHACount!B:B)</f>
        <v>0</v>
      </c>
      <c r="J303" s="2">
        <f>_xlfn.XLOOKUP(A303,RevCHACount!A:A,RevCHACount!E:E)</f>
        <v>0</v>
      </c>
      <c r="K303" s="2">
        <f>_xlfn.XLOOKUP(A303,RevLLCCount!A:A,RevLLCCount!B:B,)</f>
        <v>0</v>
      </c>
      <c r="L303" s="2">
        <f>_xlfn.XLOOKUP(A303,RevLLCCount!A:A,RevLLCCount!E:E)</f>
        <v>0</v>
      </c>
      <c r="M303" s="1">
        <f>_xlfn.XLOOKUP(A303,RevCHACount!A:A,RevCHACount!F:F)</f>
        <v>0</v>
      </c>
      <c r="N303" s="1" t="str">
        <f>_xlfn.XLOOKUP(A303,'Other Errors'!A:A,'Other Errors'!B:B,"")</f>
        <v/>
      </c>
      <c r="O303" s="2" t="e">
        <f t="shared" si="69"/>
        <v>#N/A</v>
      </c>
      <c r="P303" s="2" t="e">
        <f t="shared" si="70"/>
        <v>#N/A</v>
      </c>
      <c r="Q303" s="2" t="e">
        <f t="shared" si="71"/>
        <v>#N/A</v>
      </c>
      <c r="R303" s="2" t="e">
        <f t="shared" si="72"/>
        <v>#N/A</v>
      </c>
      <c r="S303" s="2" t="str">
        <f t="shared" si="73"/>
        <v/>
      </c>
      <c r="T303" s="2" t="str">
        <f t="shared" si="68"/>
        <v/>
      </c>
      <c r="U303" s="8" t="str" cm="1">
        <f t="array" ref="U303">_xlfn.TEXTJOIN(", ",,_xlfn.UNIQUE(_xlfn._xlws.FILTER(EM$3:FK$3,EM303:FK303&gt;0,"")))</f>
        <v/>
      </c>
    </row>
    <row r="304" spans="6:21" x14ac:dyDescent="0.3">
      <c r="F304" s="2" cm="1">
        <f t="array" ref="F304">COUNTA(_xlfn.UNIQUE(_xlfn._xlws.FILTER(chamca[Run],(chamca[Visual ID]=A304))))</f>
        <v>1</v>
      </c>
      <c r="G304" s="2">
        <f>_xlfn.XLOOKUP(A304,RevCoreCount!A:A,RevCoreCount!B:B,)</f>
        <v>0</v>
      </c>
      <c r="H304" s="2">
        <f>_xlfn.XLOOKUP(A304,RevCoreCount!A:A,RevCoreCount!E:E,)</f>
        <v>0</v>
      </c>
      <c r="I304" s="2">
        <f>_xlfn.XLOOKUP(A304,RevCHACount!A:A,RevCHACount!B:B)</f>
        <v>0</v>
      </c>
      <c r="J304" s="2">
        <f>_xlfn.XLOOKUP(A304,RevCHACount!A:A,RevCHACount!E:E)</f>
        <v>0</v>
      </c>
      <c r="K304" s="2">
        <f>_xlfn.XLOOKUP(A304,RevLLCCount!A:A,RevLLCCount!B:B,)</f>
        <v>0</v>
      </c>
      <c r="L304" s="2">
        <f>_xlfn.XLOOKUP(A304,RevLLCCount!A:A,RevLLCCount!E:E)</f>
        <v>0</v>
      </c>
      <c r="M304" s="1">
        <f>_xlfn.XLOOKUP(A304,RevCHACount!A:A,RevCHACount!F:F)</f>
        <v>0</v>
      </c>
      <c r="N304" s="1" t="str">
        <f>_xlfn.XLOOKUP(A304,'Other Errors'!A:A,'Other Errors'!B:B,"")</f>
        <v/>
      </c>
      <c r="O304" s="2" t="e">
        <f t="shared" si="69"/>
        <v>#N/A</v>
      </c>
      <c r="P304" s="2" t="e">
        <f t="shared" si="70"/>
        <v>#N/A</v>
      </c>
      <c r="Q304" s="2" t="e">
        <f t="shared" si="71"/>
        <v>#N/A</v>
      </c>
      <c r="R304" s="2" t="e">
        <f t="shared" si="72"/>
        <v>#N/A</v>
      </c>
      <c r="S304" s="2" t="str">
        <f t="shared" si="73"/>
        <v/>
      </c>
      <c r="T304" s="2" t="str">
        <f t="shared" si="68"/>
        <v/>
      </c>
      <c r="U304" s="8" t="str" cm="1">
        <f t="array" ref="U304">_xlfn.TEXTJOIN(", ",,_xlfn.UNIQUE(_xlfn._xlws.FILTER(EM$3:FK$3,EM304:FK304&gt;0,"")))</f>
        <v/>
      </c>
    </row>
    <row r="305" spans="6:21" x14ac:dyDescent="0.3">
      <c r="F305" s="2" cm="1">
        <f t="array" ref="F305">COUNTA(_xlfn.UNIQUE(_xlfn._xlws.FILTER(chamca[Run],(chamca[Visual ID]=A305))))</f>
        <v>1</v>
      </c>
      <c r="G305" s="2">
        <f>_xlfn.XLOOKUP(A305,RevCoreCount!A:A,RevCoreCount!B:B,)</f>
        <v>0</v>
      </c>
      <c r="H305" s="2">
        <f>_xlfn.XLOOKUP(A305,RevCoreCount!A:A,RevCoreCount!E:E,)</f>
        <v>0</v>
      </c>
      <c r="I305" s="2">
        <f>_xlfn.XLOOKUP(A305,RevCHACount!A:A,RevCHACount!B:B)</f>
        <v>0</v>
      </c>
      <c r="J305" s="2">
        <f>_xlfn.XLOOKUP(A305,RevCHACount!A:A,RevCHACount!E:E)</f>
        <v>0</v>
      </c>
      <c r="K305" s="2">
        <f>_xlfn.XLOOKUP(A305,RevLLCCount!A:A,RevLLCCount!B:B,)</f>
        <v>0</v>
      </c>
      <c r="L305" s="2">
        <f>_xlfn.XLOOKUP(A305,RevLLCCount!A:A,RevLLCCount!E:E)</f>
        <v>0</v>
      </c>
      <c r="M305" s="1">
        <f>_xlfn.XLOOKUP(A305,RevCHACount!A:A,RevCHACount!F:F)</f>
        <v>0</v>
      </c>
      <c r="N305" s="1" t="str">
        <f>_xlfn.XLOOKUP(A305,'Other Errors'!A:A,'Other Errors'!B:B,"")</f>
        <v/>
      </c>
      <c r="O305" s="2" t="e">
        <f t="shared" si="69"/>
        <v>#N/A</v>
      </c>
      <c r="P305" s="2" t="e">
        <f t="shared" si="70"/>
        <v>#N/A</v>
      </c>
      <c r="Q305" s="2" t="e">
        <f t="shared" si="71"/>
        <v>#N/A</v>
      </c>
      <c r="R305" s="2" t="e">
        <f t="shared" si="72"/>
        <v>#N/A</v>
      </c>
      <c r="S305" s="2" t="str">
        <f t="shared" si="73"/>
        <v/>
      </c>
      <c r="T305" s="2" t="str">
        <f t="shared" si="68"/>
        <v/>
      </c>
      <c r="U305" s="8" t="str" cm="1">
        <f t="array" ref="U305">_xlfn.TEXTJOIN(", ",,_xlfn.UNIQUE(_xlfn._xlws.FILTER(EM$3:FK$3,EM305:FK305&gt;0,"")))</f>
        <v/>
      </c>
    </row>
    <row r="306" spans="6:21" x14ac:dyDescent="0.3">
      <c r="F306" s="2" cm="1">
        <f t="array" ref="F306">COUNTA(_xlfn.UNIQUE(_xlfn._xlws.FILTER(chamca[Run],(chamca[Visual ID]=A306))))</f>
        <v>1</v>
      </c>
      <c r="G306" s="2">
        <f>_xlfn.XLOOKUP(A306,RevCoreCount!A:A,RevCoreCount!B:B,)</f>
        <v>0</v>
      </c>
      <c r="H306" s="2">
        <f>_xlfn.XLOOKUP(A306,RevCoreCount!A:A,RevCoreCount!E:E,)</f>
        <v>0</v>
      </c>
      <c r="I306" s="2">
        <f>_xlfn.XLOOKUP(A306,RevCHACount!A:A,RevCHACount!B:B)</f>
        <v>0</v>
      </c>
      <c r="J306" s="2">
        <f>_xlfn.XLOOKUP(A306,RevCHACount!A:A,RevCHACount!E:E)</f>
        <v>0</v>
      </c>
      <c r="K306" s="2">
        <f>_xlfn.XLOOKUP(A306,RevLLCCount!A:A,RevLLCCount!B:B,)</f>
        <v>0</v>
      </c>
      <c r="L306" s="2">
        <f>_xlfn.XLOOKUP(A306,RevLLCCount!A:A,RevLLCCount!E:E)</f>
        <v>0</v>
      </c>
      <c r="M306" s="1">
        <f>_xlfn.XLOOKUP(A306,RevCHACount!A:A,RevCHACount!F:F)</f>
        <v>0</v>
      </c>
      <c r="N306" s="1" t="str">
        <f>_xlfn.XLOOKUP(A306,'Other Errors'!A:A,'Other Errors'!B:B,"")</f>
        <v/>
      </c>
      <c r="O306" s="2" t="e">
        <f t="shared" si="69"/>
        <v>#N/A</v>
      </c>
      <c r="P306" s="2" t="e">
        <f t="shared" si="70"/>
        <v>#N/A</v>
      </c>
      <c r="Q306" s="2" t="e">
        <f t="shared" si="71"/>
        <v>#N/A</v>
      </c>
      <c r="R306" s="2" t="e">
        <f t="shared" si="72"/>
        <v>#N/A</v>
      </c>
      <c r="S306" s="2" t="str">
        <f t="shared" si="73"/>
        <v/>
      </c>
      <c r="T306" s="2" t="str">
        <f t="shared" si="68"/>
        <v/>
      </c>
      <c r="U306" s="8" t="str" cm="1">
        <f t="array" ref="U306">_xlfn.TEXTJOIN(", ",,_xlfn.UNIQUE(_xlfn._xlws.FILTER(EM$3:FK$3,EM306:FK306&gt;0,"")))</f>
        <v/>
      </c>
    </row>
    <row r="307" spans="6:21" x14ac:dyDescent="0.3">
      <c r="F307" s="2" cm="1">
        <f t="array" ref="F307">COUNTA(_xlfn.UNIQUE(_xlfn._xlws.FILTER(chamca[Run],(chamca[Visual ID]=A307))))</f>
        <v>1</v>
      </c>
      <c r="G307" s="2">
        <f>_xlfn.XLOOKUP(A307,RevCoreCount!A:A,RevCoreCount!B:B,)</f>
        <v>0</v>
      </c>
      <c r="H307" s="2">
        <f>_xlfn.XLOOKUP(A307,RevCoreCount!A:A,RevCoreCount!E:E,)</f>
        <v>0</v>
      </c>
      <c r="I307" s="2">
        <f>_xlfn.XLOOKUP(A307,RevCHACount!A:A,RevCHACount!B:B)</f>
        <v>0</v>
      </c>
      <c r="J307" s="2">
        <f>_xlfn.XLOOKUP(A307,RevCHACount!A:A,RevCHACount!E:E)</f>
        <v>0</v>
      </c>
      <c r="K307" s="2">
        <f>_xlfn.XLOOKUP(A307,RevLLCCount!A:A,RevLLCCount!B:B,)</f>
        <v>0</v>
      </c>
      <c r="L307" s="2">
        <f>_xlfn.XLOOKUP(A307,RevLLCCount!A:A,RevLLCCount!E:E)</f>
        <v>0</v>
      </c>
      <c r="M307" s="1">
        <f>_xlfn.XLOOKUP(A307,RevCHACount!A:A,RevCHACount!F:F)</f>
        <v>0</v>
      </c>
      <c r="N307" s="1" t="str">
        <f>_xlfn.XLOOKUP(A307,'Other Errors'!A:A,'Other Errors'!B:B,"")</f>
        <v/>
      </c>
      <c r="O307" s="2" t="e">
        <f t="shared" si="69"/>
        <v>#N/A</v>
      </c>
      <c r="P307" s="2" t="e">
        <f t="shared" si="70"/>
        <v>#N/A</v>
      </c>
      <c r="Q307" s="2" t="e">
        <f t="shared" si="71"/>
        <v>#N/A</v>
      </c>
      <c r="R307" s="2" t="e">
        <f t="shared" si="72"/>
        <v>#N/A</v>
      </c>
      <c r="S307" s="2" t="str">
        <f t="shared" si="73"/>
        <v/>
      </c>
      <c r="T307" s="2" t="str">
        <f t="shared" si="68"/>
        <v/>
      </c>
      <c r="U307" s="8" t="str" cm="1">
        <f t="array" ref="U307">_xlfn.TEXTJOIN(", ",,_xlfn.UNIQUE(_xlfn._xlws.FILTER(EM$3:FK$3,EM307:FK307&gt;0,"")))</f>
        <v/>
      </c>
    </row>
    <row r="308" spans="6:21" x14ac:dyDescent="0.3">
      <c r="F308" s="2" cm="1">
        <f t="array" ref="F308">COUNTA(_xlfn.UNIQUE(_xlfn._xlws.FILTER(chamca[Run],(chamca[Visual ID]=A308))))</f>
        <v>1</v>
      </c>
      <c r="G308" s="2">
        <f>_xlfn.XLOOKUP(A308,RevCoreCount!A:A,RevCoreCount!B:B,)</f>
        <v>0</v>
      </c>
      <c r="H308" s="2">
        <f>_xlfn.XLOOKUP(A308,RevCoreCount!A:A,RevCoreCount!E:E,)</f>
        <v>0</v>
      </c>
      <c r="I308" s="2">
        <f>_xlfn.XLOOKUP(A308,RevCHACount!A:A,RevCHACount!B:B)</f>
        <v>0</v>
      </c>
      <c r="J308" s="2">
        <f>_xlfn.XLOOKUP(A308,RevCHACount!A:A,RevCHACount!E:E)</f>
        <v>0</v>
      </c>
      <c r="K308" s="2">
        <f>_xlfn.XLOOKUP(A308,RevLLCCount!A:A,RevLLCCount!B:B,)</f>
        <v>0</v>
      </c>
      <c r="L308" s="2">
        <f>_xlfn.XLOOKUP(A308,RevLLCCount!A:A,RevLLCCount!E:E)</f>
        <v>0</v>
      </c>
      <c r="M308" s="1">
        <f>_xlfn.XLOOKUP(A308,RevCHACount!A:A,RevCHACount!F:F)</f>
        <v>0</v>
      </c>
      <c r="N308" s="1" t="str">
        <f>_xlfn.XLOOKUP(A308,'Other Errors'!A:A,'Other Errors'!B:B,"")</f>
        <v/>
      </c>
      <c r="O308" s="2" t="e">
        <f t="shared" si="69"/>
        <v>#N/A</v>
      </c>
      <c r="P308" s="2" t="e">
        <f t="shared" si="70"/>
        <v>#N/A</v>
      </c>
      <c r="Q308" s="2" t="e">
        <f t="shared" si="71"/>
        <v>#N/A</v>
      </c>
      <c r="R308" s="2" t="e">
        <f t="shared" si="72"/>
        <v>#N/A</v>
      </c>
      <c r="S308" s="2" t="str">
        <f t="shared" si="73"/>
        <v/>
      </c>
      <c r="T308" s="2" t="str">
        <f t="shared" si="68"/>
        <v/>
      </c>
      <c r="U308" s="8" t="str" cm="1">
        <f t="array" ref="U308">_xlfn.TEXTJOIN(", ",,_xlfn.UNIQUE(_xlfn._xlws.FILTER(EM$3:FK$3,EM308:FK308&gt;0,"")))</f>
        <v/>
      </c>
    </row>
    <row r="309" spans="6:21" x14ac:dyDescent="0.3">
      <c r="F309" s="2" cm="1">
        <f t="array" ref="F309">COUNTA(_xlfn.UNIQUE(_xlfn._xlws.FILTER(chamca[Run],(chamca[Visual ID]=A309))))</f>
        <v>1</v>
      </c>
      <c r="G309" s="2">
        <f>_xlfn.XLOOKUP(A309,RevCoreCount!A:A,RevCoreCount!B:B,)</f>
        <v>0</v>
      </c>
      <c r="H309" s="2">
        <f>_xlfn.XLOOKUP(A309,RevCoreCount!A:A,RevCoreCount!E:E,)</f>
        <v>0</v>
      </c>
      <c r="I309" s="2">
        <f>_xlfn.XLOOKUP(A309,RevCHACount!A:A,RevCHACount!B:B)</f>
        <v>0</v>
      </c>
      <c r="J309" s="2">
        <f>_xlfn.XLOOKUP(A309,RevCHACount!A:A,RevCHACount!E:E)</f>
        <v>0</v>
      </c>
      <c r="K309" s="2">
        <f>_xlfn.XLOOKUP(A309,RevLLCCount!A:A,RevLLCCount!B:B,)</f>
        <v>0</v>
      </c>
      <c r="L309" s="2">
        <f>_xlfn.XLOOKUP(A309,RevLLCCount!A:A,RevLLCCount!E:E)</f>
        <v>0</v>
      </c>
      <c r="M309" s="1">
        <f>_xlfn.XLOOKUP(A309,RevCHACount!A:A,RevCHACount!F:F)</f>
        <v>0</v>
      </c>
      <c r="N309" s="1" t="str">
        <f>_xlfn.XLOOKUP(A309,'Other Errors'!A:A,'Other Errors'!B:B,"")</f>
        <v/>
      </c>
      <c r="O309" s="2" t="e">
        <f t="shared" si="69"/>
        <v>#N/A</v>
      </c>
      <c r="P309" s="2" t="e">
        <f t="shared" si="70"/>
        <v>#N/A</v>
      </c>
      <c r="Q309" s="2" t="e">
        <f t="shared" si="71"/>
        <v>#N/A</v>
      </c>
      <c r="R309" s="2" t="e">
        <f t="shared" si="72"/>
        <v>#N/A</v>
      </c>
      <c r="S309" s="2" t="str">
        <f t="shared" si="73"/>
        <v/>
      </c>
      <c r="T309" s="2" t="str">
        <f t="shared" si="68"/>
        <v/>
      </c>
      <c r="U309" s="8" t="str" cm="1">
        <f t="array" ref="U309">_xlfn.TEXTJOIN(", ",,_xlfn.UNIQUE(_xlfn._xlws.FILTER(EM$3:FK$3,EM309:FK309&gt;0,"")))</f>
        <v/>
      </c>
    </row>
    <row r="310" spans="6:21" x14ac:dyDescent="0.3">
      <c r="F310" s="2" cm="1">
        <f t="array" ref="F310">COUNTA(_xlfn.UNIQUE(_xlfn._xlws.FILTER(chamca[Run],(chamca[Visual ID]=A310))))</f>
        <v>1</v>
      </c>
      <c r="G310" s="2">
        <f>_xlfn.XLOOKUP(A310,RevCoreCount!A:A,RevCoreCount!B:B,)</f>
        <v>0</v>
      </c>
      <c r="H310" s="2">
        <f>_xlfn.XLOOKUP(A310,RevCoreCount!A:A,RevCoreCount!E:E,)</f>
        <v>0</v>
      </c>
      <c r="I310" s="2">
        <f>_xlfn.XLOOKUP(A310,RevCHACount!A:A,RevCHACount!B:B)</f>
        <v>0</v>
      </c>
      <c r="J310" s="2">
        <f>_xlfn.XLOOKUP(A310,RevCHACount!A:A,RevCHACount!E:E)</f>
        <v>0</v>
      </c>
      <c r="K310" s="2">
        <f>_xlfn.XLOOKUP(A310,RevLLCCount!A:A,RevLLCCount!B:B,)</f>
        <v>0</v>
      </c>
      <c r="L310" s="2">
        <f>_xlfn.XLOOKUP(A310,RevLLCCount!A:A,RevLLCCount!E:E)</f>
        <v>0</v>
      </c>
      <c r="M310" s="1">
        <f>_xlfn.XLOOKUP(A310,RevCHACount!A:A,RevCHACount!F:F)</f>
        <v>0</v>
      </c>
      <c r="N310" s="1" t="str">
        <f>_xlfn.XLOOKUP(A310,'Other Errors'!A:A,'Other Errors'!B:B,"")</f>
        <v/>
      </c>
      <c r="O310" s="2" t="e">
        <f t="shared" si="69"/>
        <v>#N/A</v>
      </c>
      <c r="P310" s="2" t="e">
        <f t="shared" si="70"/>
        <v>#N/A</v>
      </c>
      <c r="Q310" s="2" t="e">
        <f t="shared" si="71"/>
        <v>#N/A</v>
      </c>
      <c r="R310" s="2" t="e">
        <f t="shared" si="72"/>
        <v>#N/A</v>
      </c>
      <c r="S310" s="2" t="str">
        <f t="shared" si="73"/>
        <v/>
      </c>
      <c r="T310" s="2" t="str">
        <f t="shared" si="68"/>
        <v/>
      </c>
      <c r="U310" s="8" t="str" cm="1">
        <f t="array" ref="U310">_xlfn.TEXTJOIN(", ",,_xlfn.UNIQUE(_xlfn._xlws.FILTER(EM$3:FK$3,EM310:FK310&gt;0,"")))</f>
        <v/>
      </c>
    </row>
    <row r="311" spans="6:21" x14ac:dyDescent="0.3">
      <c r="F311" s="2" cm="1">
        <f t="array" ref="F311">COUNTA(_xlfn.UNIQUE(_xlfn._xlws.FILTER(chamca[Run],(chamca[Visual ID]=A311))))</f>
        <v>1</v>
      </c>
      <c r="G311" s="2">
        <f>_xlfn.XLOOKUP(A311,RevCoreCount!A:A,RevCoreCount!B:B,)</f>
        <v>0</v>
      </c>
      <c r="H311" s="2">
        <f>_xlfn.XLOOKUP(A311,RevCoreCount!A:A,RevCoreCount!E:E,)</f>
        <v>0</v>
      </c>
      <c r="I311" s="2">
        <f>_xlfn.XLOOKUP(A311,RevCHACount!A:A,RevCHACount!B:B)</f>
        <v>0</v>
      </c>
      <c r="J311" s="2">
        <f>_xlfn.XLOOKUP(A311,RevCHACount!A:A,RevCHACount!E:E)</f>
        <v>0</v>
      </c>
      <c r="K311" s="2">
        <f>_xlfn.XLOOKUP(A311,RevLLCCount!A:A,RevLLCCount!B:B,)</f>
        <v>0</v>
      </c>
      <c r="L311" s="2">
        <f>_xlfn.XLOOKUP(A311,RevLLCCount!A:A,RevLLCCount!E:E)</f>
        <v>0</v>
      </c>
      <c r="M311" s="1">
        <f>_xlfn.XLOOKUP(A311,RevCHACount!A:A,RevCHACount!F:F)</f>
        <v>0</v>
      </c>
      <c r="N311" s="1" t="str">
        <f>_xlfn.XLOOKUP(A311,'Other Errors'!A:A,'Other Errors'!B:B,"")</f>
        <v/>
      </c>
      <c r="O311" s="2" t="e">
        <f t="shared" si="69"/>
        <v>#N/A</v>
      </c>
      <c r="P311" s="2" t="e">
        <f t="shared" si="70"/>
        <v>#N/A</v>
      </c>
      <c r="Q311" s="2" t="e">
        <f t="shared" si="71"/>
        <v>#N/A</v>
      </c>
      <c r="R311" s="2" t="e">
        <f t="shared" si="72"/>
        <v>#N/A</v>
      </c>
      <c r="S311" s="2" t="str">
        <f t="shared" si="73"/>
        <v/>
      </c>
      <c r="T311" s="2" t="str">
        <f t="shared" si="68"/>
        <v/>
      </c>
      <c r="U311" s="8" t="str" cm="1">
        <f t="array" ref="U311">_xlfn.TEXTJOIN(", ",,_xlfn.UNIQUE(_xlfn._xlws.FILTER(EM$3:FK$3,EM311:FK311&gt;0,"")))</f>
        <v/>
      </c>
    </row>
    <row r="312" spans="6:21" x14ac:dyDescent="0.3">
      <c r="F312" s="2" cm="1">
        <f t="array" ref="F312">COUNTA(_xlfn.UNIQUE(_xlfn._xlws.FILTER(chamca[Run],(chamca[Visual ID]=A312))))</f>
        <v>1</v>
      </c>
      <c r="G312" s="2">
        <f>_xlfn.XLOOKUP(A312,RevCoreCount!A:A,RevCoreCount!B:B,)</f>
        <v>0</v>
      </c>
      <c r="H312" s="2">
        <f>_xlfn.XLOOKUP(A312,RevCoreCount!A:A,RevCoreCount!E:E,)</f>
        <v>0</v>
      </c>
      <c r="I312" s="2">
        <f>_xlfn.XLOOKUP(A312,RevCHACount!A:A,RevCHACount!B:B)</f>
        <v>0</v>
      </c>
      <c r="J312" s="2">
        <f>_xlfn.XLOOKUP(A312,RevCHACount!A:A,RevCHACount!E:E)</f>
        <v>0</v>
      </c>
      <c r="K312" s="2">
        <f>_xlfn.XLOOKUP(A312,RevLLCCount!A:A,RevLLCCount!B:B,)</f>
        <v>0</v>
      </c>
      <c r="L312" s="2">
        <f>_xlfn.XLOOKUP(A312,RevLLCCount!A:A,RevLLCCount!E:E)</f>
        <v>0</v>
      </c>
      <c r="M312" s="1">
        <f>_xlfn.XLOOKUP(A312,RevCHACount!A:A,RevCHACount!F:F)</f>
        <v>0</v>
      </c>
      <c r="N312" s="1" t="str">
        <f>_xlfn.XLOOKUP(A312,'Other Errors'!A:A,'Other Errors'!B:B,"")</f>
        <v/>
      </c>
      <c r="O312" s="2" t="e">
        <f t="shared" si="69"/>
        <v>#N/A</v>
      </c>
      <c r="P312" s="2" t="e">
        <f t="shared" si="70"/>
        <v>#N/A</v>
      </c>
      <c r="Q312" s="2" t="e">
        <f t="shared" si="71"/>
        <v>#N/A</v>
      </c>
      <c r="R312" s="2" t="e">
        <f t="shared" si="72"/>
        <v>#N/A</v>
      </c>
      <c r="S312" s="2" t="str">
        <f t="shared" si="73"/>
        <v/>
      </c>
      <c r="T312" s="2" t="str">
        <f t="shared" si="68"/>
        <v/>
      </c>
      <c r="U312" s="8" t="str" cm="1">
        <f t="array" ref="U312">_xlfn.TEXTJOIN(", ",,_xlfn.UNIQUE(_xlfn._xlws.FILTER(EM$3:FK$3,EM312:FK312&gt;0,"")))</f>
        <v/>
      </c>
    </row>
    <row r="313" spans="6:21" x14ac:dyDescent="0.3">
      <c r="F313" s="2" cm="1">
        <f t="array" ref="F313">COUNTA(_xlfn.UNIQUE(_xlfn._xlws.FILTER(chamca[Run],(chamca[Visual ID]=A313))))</f>
        <v>1</v>
      </c>
      <c r="G313" s="2">
        <f>_xlfn.XLOOKUP(A313,RevCoreCount!A:A,RevCoreCount!B:B,)</f>
        <v>0</v>
      </c>
      <c r="H313" s="2">
        <f>_xlfn.XLOOKUP(A313,RevCoreCount!A:A,RevCoreCount!E:E,)</f>
        <v>0</v>
      </c>
      <c r="I313" s="2">
        <f>_xlfn.XLOOKUP(A313,RevCHACount!A:A,RevCHACount!B:B)</f>
        <v>0</v>
      </c>
      <c r="J313" s="2">
        <f>_xlfn.XLOOKUP(A313,RevCHACount!A:A,RevCHACount!E:E)</f>
        <v>0</v>
      </c>
      <c r="K313" s="2">
        <f>_xlfn.XLOOKUP(A313,RevLLCCount!A:A,RevLLCCount!B:B,)</f>
        <v>0</v>
      </c>
      <c r="L313" s="2">
        <f>_xlfn.XLOOKUP(A313,RevLLCCount!A:A,RevLLCCount!E:E)</f>
        <v>0</v>
      </c>
      <c r="M313" s="1">
        <f>_xlfn.XLOOKUP(A313,RevCHACount!A:A,RevCHACount!F:F)</f>
        <v>0</v>
      </c>
      <c r="N313" s="1" t="str">
        <f>_xlfn.XLOOKUP(A313,'Other Errors'!A:A,'Other Errors'!B:B,"")</f>
        <v/>
      </c>
      <c r="O313" s="2" t="e">
        <f t="shared" si="69"/>
        <v>#N/A</v>
      </c>
      <c r="P313" s="2" t="e">
        <f t="shared" si="70"/>
        <v>#N/A</v>
      </c>
      <c r="Q313" s="2" t="e">
        <f t="shared" si="71"/>
        <v>#N/A</v>
      </c>
      <c r="R313" s="2" t="e">
        <f t="shared" si="72"/>
        <v>#N/A</v>
      </c>
      <c r="S313" s="2" t="str">
        <f t="shared" si="73"/>
        <v/>
      </c>
      <c r="T313" s="2" t="str">
        <f t="shared" si="68"/>
        <v/>
      </c>
      <c r="U313" s="8" t="str" cm="1">
        <f t="array" ref="U313">_xlfn.TEXTJOIN(", ",,_xlfn.UNIQUE(_xlfn._xlws.FILTER(EM$3:FK$3,EM313:FK313&gt;0,"")))</f>
        <v/>
      </c>
    </row>
    <row r="314" spans="6:21" x14ac:dyDescent="0.3">
      <c r="F314" s="2" cm="1">
        <f t="array" ref="F314">COUNTA(_xlfn.UNIQUE(_xlfn._xlws.FILTER(chamca[Run],(chamca[Visual ID]=A314))))</f>
        <v>1</v>
      </c>
      <c r="G314" s="2">
        <f>_xlfn.XLOOKUP(A314,RevCoreCount!A:A,RevCoreCount!B:B,)</f>
        <v>0</v>
      </c>
      <c r="H314" s="2">
        <f>_xlfn.XLOOKUP(A314,RevCoreCount!A:A,RevCoreCount!E:E,)</f>
        <v>0</v>
      </c>
      <c r="I314" s="2">
        <f>_xlfn.XLOOKUP(A314,RevCHACount!A:A,RevCHACount!B:B)</f>
        <v>0</v>
      </c>
      <c r="J314" s="2">
        <f>_xlfn.XLOOKUP(A314,RevCHACount!A:A,RevCHACount!E:E)</f>
        <v>0</v>
      </c>
      <c r="K314" s="2">
        <f>_xlfn.XLOOKUP(A314,RevLLCCount!A:A,RevLLCCount!B:B,)</f>
        <v>0</v>
      </c>
      <c r="L314" s="2">
        <f>_xlfn.XLOOKUP(A314,RevLLCCount!A:A,RevLLCCount!E:E)</f>
        <v>0</v>
      </c>
      <c r="M314" s="1">
        <f>_xlfn.XLOOKUP(A314,RevCHACount!A:A,RevCHACount!F:F)</f>
        <v>0</v>
      </c>
      <c r="N314" s="1" t="str">
        <f>_xlfn.XLOOKUP(A314,'Other Errors'!A:A,'Other Errors'!B:B,"")</f>
        <v/>
      </c>
      <c r="O314" s="2" t="e">
        <f t="shared" si="69"/>
        <v>#N/A</v>
      </c>
      <c r="P314" s="2" t="e">
        <f t="shared" si="70"/>
        <v>#N/A</v>
      </c>
      <c r="Q314" s="2" t="e">
        <f t="shared" si="71"/>
        <v>#N/A</v>
      </c>
      <c r="R314" s="2" t="e">
        <f t="shared" si="72"/>
        <v>#N/A</v>
      </c>
      <c r="S314" s="2" t="str">
        <f t="shared" si="73"/>
        <v/>
      </c>
      <c r="T314" s="2" t="str">
        <f t="shared" si="68"/>
        <v/>
      </c>
      <c r="U314" s="8" t="str" cm="1">
        <f t="array" ref="U314">_xlfn.TEXTJOIN(", ",,_xlfn.UNIQUE(_xlfn._xlws.FILTER(EM$3:FK$3,EM314:FK314&gt;0,"")))</f>
        <v/>
      </c>
    </row>
    <row r="315" spans="6:21" x14ac:dyDescent="0.3">
      <c r="F315" s="2" cm="1">
        <f t="array" ref="F315">COUNTA(_xlfn.UNIQUE(_xlfn._xlws.FILTER(chamca[Run],(chamca[Visual ID]=A315))))</f>
        <v>1</v>
      </c>
      <c r="G315" s="2">
        <f>_xlfn.XLOOKUP(A315,RevCoreCount!A:A,RevCoreCount!B:B,)</f>
        <v>0</v>
      </c>
      <c r="H315" s="2">
        <f>_xlfn.XLOOKUP(A315,RevCoreCount!A:A,RevCoreCount!E:E,)</f>
        <v>0</v>
      </c>
      <c r="I315" s="2">
        <f>_xlfn.XLOOKUP(A315,RevCHACount!A:A,RevCHACount!B:B)</f>
        <v>0</v>
      </c>
      <c r="J315" s="2">
        <f>_xlfn.XLOOKUP(A315,RevCHACount!A:A,RevCHACount!E:E)</f>
        <v>0</v>
      </c>
      <c r="K315" s="2">
        <f>_xlfn.XLOOKUP(A315,RevLLCCount!A:A,RevLLCCount!B:B,)</f>
        <v>0</v>
      </c>
      <c r="L315" s="2">
        <f>_xlfn.XLOOKUP(A315,RevLLCCount!A:A,RevLLCCount!E:E)</f>
        <v>0</v>
      </c>
      <c r="M315" s="1">
        <f>_xlfn.XLOOKUP(A315,RevCHACount!A:A,RevCHACount!F:F)</f>
        <v>0</v>
      </c>
      <c r="N315" s="1" t="str">
        <f>_xlfn.XLOOKUP(A315,'Other Errors'!A:A,'Other Errors'!B:B,"")</f>
        <v/>
      </c>
      <c r="O315" s="2" t="e">
        <f t="shared" si="69"/>
        <v>#N/A</v>
      </c>
      <c r="P315" s="2" t="e">
        <f t="shared" si="70"/>
        <v>#N/A</v>
      </c>
      <c r="Q315" s="2" t="e">
        <f t="shared" si="71"/>
        <v>#N/A</v>
      </c>
      <c r="R315" s="2" t="e">
        <f t="shared" si="72"/>
        <v>#N/A</v>
      </c>
      <c r="S315" s="2" t="str">
        <f t="shared" si="73"/>
        <v/>
      </c>
      <c r="T315" s="2" t="str">
        <f t="shared" si="68"/>
        <v/>
      </c>
      <c r="U315" s="8" t="str" cm="1">
        <f t="array" ref="U315">_xlfn.TEXTJOIN(", ",,_xlfn.UNIQUE(_xlfn._xlws.FILTER(EM$3:FK$3,EM315:FK315&gt;0,"")))</f>
        <v/>
      </c>
    </row>
    <row r="316" spans="6:21" x14ac:dyDescent="0.3">
      <c r="F316" s="2" cm="1">
        <f t="array" ref="F316">COUNTA(_xlfn.UNIQUE(_xlfn._xlws.FILTER(chamca[Run],(chamca[Visual ID]=A316))))</f>
        <v>1</v>
      </c>
      <c r="G316" s="2">
        <f>_xlfn.XLOOKUP(A316,RevCoreCount!A:A,RevCoreCount!B:B,)</f>
        <v>0</v>
      </c>
      <c r="H316" s="2">
        <f>_xlfn.XLOOKUP(A316,RevCoreCount!A:A,RevCoreCount!E:E,)</f>
        <v>0</v>
      </c>
      <c r="I316" s="2">
        <f>_xlfn.XLOOKUP(A316,RevCHACount!A:A,RevCHACount!B:B)</f>
        <v>0</v>
      </c>
      <c r="J316" s="2">
        <f>_xlfn.XLOOKUP(A316,RevCHACount!A:A,RevCHACount!E:E)</f>
        <v>0</v>
      </c>
      <c r="K316" s="2">
        <f>_xlfn.XLOOKUP(A316,RevLLCCount!A:A,RevLLCCount!B:B,)</f>
        <v>0</v>
      </c>
      <c r="L316" s="2">
        <f>_xlfn.XLOOKUP(A316,RevLLCCount!A:A,RevLLCCount!E:E)</f>
        <v>0</v>
      </c>
      <c r="M316" s="1">
        <f>_xlfn.XLOOKUP(A316,RevCHACount!A:A,RevCHACount!F:F)</f>
        <v>0</v>
      </c>
      <c r="N316" s="1" t="str">
        <f>_xlfn.XLOOKUP(A316,'Other Errors'!A:A,'Other Errors'!B:B,"")</f>
        <v/>
      </c>
      <c r="O316" s="2" t="e">
        <f t="shared" si="69"/>
        <v>#N/A</v>
      </c>
      <c r="P316" s="2" t="e">
        <f t="shared" si="70"/>
        <v>#N/A</v>
      </c>
      <c r="Q316" s="2" t="e">
        <f t="shared" si="71"/>
        <v>#N/A</v>
      </c>
      <c r="R316" s="2" t="e">
        <f t="shared" si="72"/>
        <v>#N/A</v>
      </c>
      <c r="S316" s="2" t="str">
        <f t="shared" si="73"/>
        <v/>
      </c>
      <c r="T316" s="2" t="str">
        <f t="shared" si="68"/>
        <v/>
      </c>
      <c r="U316" s="8" t="str" cm="1">
        <f t="array" ref="U316">_xlfn.TEXTJOIN(", ",,_xlfn.UNIQUE(_xlfn._xlws.FILTER(EM$3:FK$3,EM316:FK316&gt;0,"")))</f>
        <v/>
      </c>
    </row>
    <row r="317" spans="6:21" x14ac:dyDescent="0.3">
      <c r="F317" s="2" cm="1">
        <f t="array" ref="F317">COUNTA(_xlfn.UNIQUE(_xlfn._xlws.FILTER(chamca[Run],(chamca[Visual ID]=A317))))</f>
        <v>1</v>
      </c>
      <c r="G317" s="2">
        <f>_xlfn.XLOOKUP(A317,RevCoreCount!A:A,RevCoreCount!B:B,)</f>
        <v>0</v>
      </c>
      <c r="H317" s="2">
        <f>_xlfn.XLOOKUP(A317,RevCoreCount!A:A,RevCoreCount!E:E,)</f>
        <v>0</v>
      </c>
      <c r="I317" s="2">
        <f>_xlfn.XLOOKUP(A317,RevCHACount!A:A,RevCHACount!B:B)</f>
        <v>0</v>
      </c>
      <c r="J317" s="2">
        <f>_xlfn.XLOOKUP(A317,RevCHACount!A:A,RevCHACount!E:E)</f>
        <v>0</v>
      </c>
      <c r="K317" s="2">
        <f>_xlfn.XLOOKUP(A317,RevLLCCount!A:A,RevLLCCount!B:B,)</f>
        <v>0</v>
      </c>
      <c r="L317" s="2">
        <f>_xlfn.XLOOKUP(A317,RevLLCCount!A:A,RevLLCCount!E:E)</f>
        <v>0</v>
      </c>
      <c r="M317" s="1">
        <f>_xlfn.XLOOKUP(A317,RevCHACount!A:A,RevCHACount!F:F)</f>
        <v>0</v>
      </c>
      <c r="N317" s="1" t="str">
        <f>_xlfn.XLOOKUP(A317,'Other Errors'!A:A,'Other Errors'!B:B,"")</f>
        <v/>
      </c>
      <c r="O317" s="2" t="e">
        <f t="shared" si="69"/>
        <v>#N/A</v>
      </c>
      <c r="P317" s="2" t="e">
        <f t="shared" si="70"/>
        <v>#N/A</v>
      </c>
      <c r="Q317" s="2" t="e">
        <f t="shared" si="71"/>
        <v>#N/A</v>
      </c>
      <c r="R317" s="2" t="e">
        <f t="shared" si="72"/>
        <v>#N/A</v>
      </c>
      <c r="S317" s="2" t="str">
        <f t="shared" si="73"/>
        <v/>
      </c>
      <c r="T317" s="2" t="str">
        <f t="shared" si="68"/>
        <v/>
      </c>
      <c r="U317" s="8" t="str" cm="1">
        <f t="array" ref="U317">_xlfn.TEXTJOIN(", ",,_xlfn.UNIQUE(_xlfn._xlws.FILTER(EM$3:FK$3,EM317:FK317&gt;0,"")))</f>
        <v/>
      </c>
    </row>
    <row r="318" spans="6:21" x14ac:dyDescent="0.3">
      <c r="F318" s="2" cm="1">
        <f t="array" ref="F318">COUNTA(_xlfn.UNIQUE(_xlfn._xlws.FILTER(chamca[Run],(chamca[Visual ID]=A318))))</f>
        <v>1</v>
      </c>
      <c r="G318" s="2">
        <f>_xlfn.XLOOKUP(A318,RevCoreCount!A:A,RevCoreCount!B:B,)</f>
        <v>0</v>
      </c>
      <c r="H318" s="2">
        <f>_xlfn.XLOOKUP(A318,RevCoreCount!A:A,RevCoreCount!E:E,)</f>
        <v>0</v>
      </c>
      <c r="I318" s="2">
        <f>_xlfn.XLOOKUP(A318,RevCHACount!A:A,RevCHACount!B:B)</f>
        <v>0</v>
      </c>
      <c r="J318" s="2">
        <f>_xlfn.XLOOKUP(A318,RevCHACount!A:A,RevCHACount!E:E)</f>
        <v>0</v>
      </c>
      <c r="K318" s="2">
        <f>_xlfn.XLOOKUP(A318,RevLLCCount!A:A,RevLLCCount!B:B,)</f>
        <v>0</v>
      </c>
      <c r="L318" s="2">
        <f>_xlfn.XLOOKUP(A318,RevLLCCount!A:A,RevLLCCount!E:E)</f>
        <v>0</v>
      </c>
      <c r="M318" s="1">
        <f>_xlfn.XLOOKUP(A318,RevCHACount!A:A,RevCHACount!F:F)</f>
        <v>0</v>
      </c>
      <c r="N318" s="1" t="str">
        <f>_xlfn.XLOOKUP(A318,'Other Errors'!A:A,'Other Errors'!B:B,"")</f>
        <v/>
      </c>
      <c r="O318" s="2" t="e">
        <f t="shared" si="69"/>
        <v>#N/A</v>
      </c>
      <c r="P318" s="2" t="e">
        <f t="shared" si="70"/>
        <v>#N/A</v>
      </c>
      <c r="Q318" s="2" t="e">
        <f t="shared" si="71"/>
        <v>#N/A</v>
      </c>
      <c r="R318" s="2" t="e">
        <f t="shared" si="72"/>
        <v>#N/A</v>
      </c>
      <c r="S318" s="2" t="str">
        <f t="shared" si="73"/>
        <v/>
      </c>
      <c r="T318" s="2" t="str">
        <f t="shared" si="68"/>
        <v/>
      </c>
      <c r="U318" s="8" t="str" cm="1">
        <f t="array" ref="U318">_xlfn.TEXTJOIN(", ",,_xlfn.UNIQUE(_xlfn._xlws.FILTER(EM$3:FK$3,EM318:FK318&gt;0,"")))</f>
        <v/>
      </c>
    </row>
    <row r="319" spans="6:21" x14ac:dyDescent="0.3">
      <c r="F319" s="2" cm="1">
        <f t="array" ref="F319">COUNTA(_xlfn.UNIQUE(_xlfn._xlws.FILTER(chamca[Run],(chamca[Visual ID]=A319))))</f>
        <v>1</v>
      </c>
      <c r="G319" s="2">
        <f>_xlfn.XLOOKUP(A319,RevCoreCount!A:A,RevCoreCount!B:B,)</f>
        <v>0</v>
      </c>
      <c r="H319" s="2">
        <f>_xlfn.XLOOKUP(A319,RevCoreCount!A:A,RevCoreCount!E:E,)</f>
        <v>0</v>
      </c>
      <c r="I319" s="2">
        <f>_xlfn.XLOOKUP(A319,RevCHACount!A:A,RevCHACount!B:B)</f>
        <v>0</v>
      </c>
      <c r="J319" s="2">
        <f>_xlfn.XLOOKUP(A319,RevCHACount!A:A,RevCHACount!E:E)</f>
        <v>0</v>
      </c>
      <c r="K319" s="2">
        <f>_xlfn.XLOOKUP(A319,RevLLCCount!A:A,RevLLCCount!B:B,)</f>
        <v>0</v>
      </c>
      <c r="L319" s="2">
        <f>_xlfn.XLOOKUP(A319,RevLLCCount!A:A,RevLLCCount!E:E)</f>
        <v>0</v>
      </c>
      <c r="M319" s="1">
        <f>_xlfn.XLOOKUP(A319,RevCHACount!A:A,RevCHACount!F:F)</f>
        <v>0</v>
      </c>
      <c r="N319" s="1" t="str">
        <f>_xlfn.XLOOKUP(A319,'Other Errors'!A:A,'Other Errors'!B:B,"")</f>
        <v/>
      </c>
      <c r="O319" s="2" t="e">
        <f t="shared" si="69"/>
        <v>#N/A</v>
      </c>
      <c r="P319" s="2" t="e">
        <f t="shared" si="70"/>
        <v>#N/A</v>
      </c>
      <c r="Q319" s="2" t="e">
        <f t="shared" si="71"/>
        <v>#N/A</v>
      </c>
      <c r="R319" s="2" t="e">
        <f t="shared" si="72"/>
        <v>#N/A</v>
      </c>
      <c r="S319" s="2" t="str">
        <f t="shared" si="73"/>
        <v/>
      </c>
      <c r="T319" s="2" t="str">
        <f t="shared" si="68"/>
        <v/>
      </c>
      <c r="U319" s="8" t="str" cm="1">
        <f t="array" ref="U319">_xlfn.TEXTJOIN(", ",,_xlfn.UNIQUE(_xlfn._xlws.FILTER(EM$3:FK$3,EM319:FK319&gt;0,"")))</f>
        <v/>
      </c>
    </row>
    <row r="320" spans="6:21" x14ac:dyDescent="0.3">
      <c r="F320" s="2" cm="1">
        <f t="array" ref="F320">COUNTA(_xlfn.UNIQUE(_xlfn._xlws.FILTER(chamca[Run],(chamca[Visual ID]=A320))))</f>
        <v>1</v>
      </c>
      <c r="G320" s="2">
        <f>_xlfn.XLOOKUP(A320,RevCoreCount!A:A,RevCoreCount!B:B,)</f>
        <v>0</v>
      </c>
      <c r="H320" s="2">
        <f>_xlfn.XLOOKUP(A320,RevCoreCount!A:A,RevCoreCount!E:E,)</f>
        <v>0</v>
      </c>
      <c r="I320" s="2">
        <f>_xlfn.XLOOKUP(A320,RevCHACount!A:A,RevCHACount!B:B)</f>
        <v>0</v>
      </c>
      <c r="J320" s="2">
        <f>_xlfn.XLOOKUP(A320,RevCHACount!A:A,RevCHACount!E:E)</f>
        <v>0</v>
      </c>
      <c r="K320" s="2">
        <f>_xlfn.XLOOKUP(A320,RevLLCCount!A:A,RevLLCCount!B:B,)</f>
        <v>0</v>
      </c>
      <c r="L320" s="2">
        <f>_xlfn.XLOOKUP(A320,RevLLCCount!A:A,RevLLCCount!E:E)</f>
        <v>0</v>
      </c>
      <c r="M320" s="1">
        <f>_xlfn.XLOOKUP(A320,RevCHACount!A:A,RevCHACount!F:F)</f>
        <v>0</v>
      </c>
      <c r="N320" s="1" t="str">
        <f>_xlfn.XLOOKUP(A320,'Other Errors'!A:A,'Other Errors'!B:B,"")</f>
        <v/>
      </c>
      <c r="O320" s="2" t="e">
        <f t="shared" si="69"/>
        <v>#N/A</v>
      </c>
      <c r="P320" s="2" t="e">
        <f t="shared" si="70"/>
        <v>#N/A</v>
      </c>
      <c r="Q320" s="2" t="e">
        <f t="shared" si="71"/>
        <v>#N/A</v>
      </c>
      <c r="R320" s="2" t="e">
        <f t="shared" si="72"/>
        <v>#N/A</v>
      </c>
      <c r="S320" s="2" t="str">
        <f t="shared" si="73"/>
        <v/>
      </c>
      <c r="T320" s="2" t="str">
        <f t="shared" si="68"/>
        <v/>
      </c>
      <c r="U320" s="8" t="str" cm="1">
        <f t="array" ref="U320">_xlfn.TEXTJOIN(", ",,_xlfn.UNIQUE(_xlfn._xlws.FILTER(EM$3:FK$3,EM320:FK320&gt;0,"")))</f>
        <v/>
      </c>
    </row>
    <row r="321" spans="6:21" x14ac:dyDescent="0.3">
      <c r="F321" s="2" cm="1">
        <f t="array" ref="F321">COUNTA(_xlfn.UNIQUE(_xlfn._xlws.FILTER(chamca[Run],(chamca[Visual ID]=A321))))</f>
        <v>1</v>
      </c>
      <c r="G321" s="2">
        <f>_xlfn.XLOOKUP(A321,RevCoreCount!A:A,RevCoreCount!B:B,)</f>
        <v>0</v>
      </c>
      <c r="H321" s="2">
        <f>_xlfn.XLOOKUP(A321,RevCoreCount!A:A,RevCoreCount!E:E,)</f>
        <v>0</v>
      </c>
      <c r="I321" s="2">
        <f>_xlfn.XLOOKUP(A321,RevCHACount!A:A,RevCHACount!B:B)</f>
        <v>0</v>
      </c>
      <c r="J321" s="2">
        <f>_xlfn.XLOOKUP(A321,RevCHACount!A:A,RevCHACount!E:E)</f>
        <v>0</v>
      </c>
      <c r="K321" s="2">
        <f>_xlfn.XLOOKUP(A321,RevLLCCount!A:A,RevLLCCount!B:B,)</f>
        <v>0</v>
      </c>
      <c r="L321" s="2">
        <f>_xlfn.XLOOKUP(A321,RevLLCCount!A:A,RevLLCCount!E:E)</f>
        <v>0</v>
      </c>
      <c r="M321" s="1">
        <f>_xlfn.XLOOKUP(A321,RevCHACount!A:A,RevCHACount!F:F)</f>
        <v>0</v>
      </c>
      <c r="N321" s="1" t="str">
        <f>_xlfn.XLOOKUP(A321,'Other Errors'!A:A,'Other Errors'!B:B,"")</f>
        <v/>
      </c>
      <c r="O321" s="2" t="e">
        <f t="shared" si="69"/>
        <v>#N/A</v>
      </c>
      <c r="P321" s="2" t="e">
        <f t="shared" si="70"/>
        <v>#N/A</v>
      </c>
      <c r="Q321" s="2" t="e">
        <f t="shared" si="71"/>
        <v>#N/A</v>
      </c>
      <c r="R321" s="2" t="e">
        <f t="shared" si="72"/>
        <v>#N/A</v>
      </c>
      <c r="S321" s="2" t="str">
        <f t="shared" si="73"/>
        <v/>
      </c>
      <c r="T321" s="2" t="str">
        <f t="shared" si="68"/>
        <v/>
      </c>
      <c r="U321" s="8" t="str" cm="1">
        <f t="array" ref="U321">_xlfn.TEXTJOIN(", ",,_xlfn.UNIQUE(_xlfn._xlws.FILTER(EM$3:FK$3,EM321:FK321&gt;0,"")))</f>
        <v/>
      </c>
    </row>
    <row r="322" spans="6:21" x14ac:dyDescent="0.3">
      <c r="F322" s="2" cm="1">
        <f t="array" ref="F322">COUNTA(_xlfn.UNIQUE(_xlfn._xlws.FILTER(chamca[Run],(chamca[Visual ID]=A322))))</f>
        <v>1</v>
      </c>
      <c r="G322" s="2">
        <f>_xlfn.XLOOKUP(A322,RevCoreCount!A:A,RevCoreCount!B:B,)</f>
        <v>0</v>
      </c>
      <c r="H322" s="2">
        <f>_xlfn.XLOOKUP(A322,RevCoreCount!A:A,RevCoreCount!E:E,)</f>
        <v>0</v>
      </c>
      <c r="I322" s="2">
        <f>_xlfn.XLOOKUP(A322,RevCHACount!A:A,RevCHACount!B:B)</f>
        <v>0</v>
      </c>
      <c r="J322" s="2">
        <f>_xlfn.XLOOKUP(A322,RevCHACount!A:A,RevCHACount!E:E)</f>
        <v>0</v>
      </c>
      <c r="K322" s="2">
        <f>_xlfn.XLOOKUP(A322,RevLLCCount!A:A,RevLLCCount!B:B,)</f>
        <v>0</v>
      </c>
      <c r="L322" s="2">
        <f>_xlfn.XLOOKUP(A322,RevLLCCount!A:A,RevLLCCount!E:E)</f>
        <v>0</v>
      </c>
      <c r="M322" s="1">
        <f>_xlfn.XLOOKUP(A322,RevCHACount!A:A,RevCHACount!F:F)</f>
        <v>0</v>
      </c>
      <c r="N322" s="1" t="str">
        <f>_xlfn.XLOOKUP(A322,'Other Errors'!A:A,'Other Errors'!B:B,"")</f>
        <v/>
      </c>
      <c r="O322" s="2" t="e">
        <f t="shared" si="69"/>
        <v>#N/A</v>
      </c>
      <c r="P322" s="2" t="e">
        <f t="shared" si="70"/>
        <v>#N/A</v>
      </c>
      <c r="Q322" s="2" t="e">
        <f t="shared" si="71"/>
        <v>#N/A</v>
      </c>
      <c r="R322" s="2" t="e">
        <f t="shared" si="72"/>
        <v>#N/A</v>
      </c>
      <c r="S322" s="2" t="str">
        <f t="shared" si="73"/>
        <v/>
      </c>
      <c r="T322" s="2" t="str">
        <f t="shared" si="68"/>
        <v/>
      </c>
      <c r="U322" s="8" t="str" cm="1">
        <f t="array" ref="U322">_xlfn.TEXTJOIN(", ",,_xlfn.UNIQUE(_xlfn._xlws.FILTER(EM$3:FK$3,EM322:FK322&gt;0,"")))</f>
        <v/>
      </c>
    </row>
    <row r="323" spans="6:21" x14ac:dyDescent="0.3">
      <c r="F323" s="2" cm="1">
        <f t="array" ref="F323">COUNTA(_xlfn.UNIQUE(_xlfn._xlws.FILTER(chamca[Run],(chamca[Visual ID]=A323))))</f>
        <v>1</v>
      </c>
      <c r="G323" s="2">
        <f>_xlfn.XLOOKUP(A323,RevCoreCount!A:A,RevCoreCount!B:B,)</f>
        <v>0</v>
      </c>
      <c r="H323" s="2">
        <f>_xlfn.XLOOKUP(A323,RevCoreCount!A:A,RevCoreCount!E:E,)</f>
        <v>0</v>
      </c>
      <c r="I323" s="2">
        <f>_xlfn.XLOOKUP(A323,RevCHACount!A:A,RevCHACount!B:B)</f>
        <v>0</v>
      </c>
      <c r="J323" s="2">
        <f>_xlfn.XLOOKUP(A323,RevCHACount!A:A,RevCHACount!E:E)</f>
        <v>0</v>
      </c>
      <c r="K323" s="2">
        <f>_xlfn.XLOOKUP(A323,RevLLCCount!A:A,RevLLCCount!B:B,)</f>
        <v>0</v>
      </c>
      <c r="L323" s="2">
        <f>_xlfn.XLOOKUP(A323,RevLLCCount!A:A,RevLLCCount!E:E)</f>
        <v>0</v>
      </c>
      <c r="M323" s="1">
        <f>_xlfn.XLOOKUP(A323,RevCHACount!A:A,RevCHACount!F:F)</f>
        <v>0</v>
      </c>
      <c r="N323" s="1" t="str">
        <f>_xlfn.XLOOKUP(A323,'Other Errors'!A:A,'Other Errors'!B:B,"")</f>
        <v/>
      </c>
      <c r="O323" s="2" t="e">
        <f t="shared" si="69"/>
        <v>#N/A</v>
      </c>
      <c r="P323" s="2" t="e">
        <f t="shared" si="70"/>
        <v>#N/A</v>
      </c>
      <c r="Q323" s="2" t="e">
        <f t="shared" si="71"/>
        <v>#N/A</v>
      </c>
      <c r="R323" s="2" t="e">
        <f t="shared" si="72"/>
        <v>#N/A</v>
      </c>
      <c r="S323" s="2" t="str">
        <f t="shared" si="73"/>
        <v/>
      </c>
      <c r="T323" s="2" t="str">
        <f t="shared" si="68"/>
        <v/>
      </c>
      <c r="U323" s="8" t="str" cm="1">
        <f t="array" ref="U323">_xlfn.TEXTJOIN(", ",,_xlfn.UNIQUE(_xlfn._xlws.FILTER(EM$3:FK$3,EM323:FK323&gt;0,"")))</f>
        <v/>
      </c>
    </row>
    <row r="324" spans="6:21" x14ac:dyDescent="0.3">
      <c r="F324" s="2" cm="1">
        <f t="array" ref="F324">COUNTA(_xlfn.UNIQUE(_xlfn._xlws.FILTER(chamca[Run],(chamca[Visual ID]=A324))))</f>
        <v>1</v>
      </c>
      <c r="G324" s="2">
        <f>_xlfn.XLOOKUP(A324,RevCoreCount!A:A,RevCoreCount!B:B,)</f>
        <v>0</v>
      </c>
      <c r="H324" s="2">
        <f>_xlfn.XLOOKUP(A324,RevCoreCount!A:A,RevCoreCount!E:E,)</f>
        <v>0</v>
      </c>
      <c r="I324" s="2">
        <f>_xlfn.XLOOKUP(A324,RevCHACount!A:A,RevCHACount!B:B)</f>
        <v>0</v>
      </c>
      <c r="J324" s="2">
        <f>_xlfn.XLOOKUP(A324,RevCHACount!A:A,RevCHACount!E:E)</f>
        <v>0</v>
      </c>
      <c r="K324" s="2">
        <f>_xlfn.XLOOKUP(A324,RevLLCCount!A:A,RevLLCCount!B:B,)</f>
        <v>0</v>
      </c>
      <c r="L324" s="2">
        <f>_xlfn.XLOOKUP(A324,RevLLCCount!A:A,RevLLCCount!E:E)</f>
        <v>0</v>
      </c>
      <c r="M324" s="1">
        <f>_xlfn.XLOOKUP(A324,RevCHACount!A:A,RevCHACount!F:F)</f>
        <v>0</v>
      </c>
      <c r="N324" s="1" t="str">
        <f>_xlfn.XLOOKUP(A324,'Other Errors'!A:A,'Other Errors'!B:B,"")</f>
        <v/>
      </c>
      <c r="O324" s="2" t="e">
        <f t="shared" si="69"/>
        <v>#N/A</v>
      </c>
      <c r="P324" s="2" t="e">
        <f t="shared" si="70"/>
        <v>#N/A</v>
      </c>
      <c r="Q324" s="2" t="e">
        <f t="shared" si="71"/>
        <v>#N/A</v>
      </c>
      <c r="R324" s="2" t="e">
        <f t="shared" si="72"/>
        <v>#N/A</v>
      </c>
      <c r="S324" s="2" t="str">
        <f t="shared" si="73"/>
        <v/>
      </c>
      <c r="T324" s="2" t="str">
        <f t="shared" si="68"/>
        <v/>
      </c>
      <c r="U324" s="8" t="str" cm="1">
        <f t="array" ref="U324">_xlfn.TEXTJOIN(", ",,_xlfn.UNIQUE(_xlfn._xlws.FILTER(EM$3:FK$3,EM324:FK324&gt;0,"")))</f>
        <v/>
      </c>
    </row>
    <row r="325" spans="6:21" x14ac:dyDescent="0.3">
      <c r="F325" s="2" cm="1">
        <f t="array" ref="F325">COUNTA(_xlfn.UNIQUE(_xlfn._xlws.FILTER(chamca[Run],(chamca[Visual ID]=A325))))</f>
        <v>1</v>
      </c>
      <c r="G325" s="2">
        <f>_xlfn.XLOOKUP(A325,RevCoreCount!A:A,RevCoreCount!B:B,)</f>
        <v>0</v>
      </c>
      <c r="H325" s="2">
        <f>_xlfn.XLOOKUP(A325,RevCoreCount!A:A,RevCoreCount!E:E,)</f>
        <v>0</v>
      </c>
      <c r="I325" s="2">
        <f>_xlfn.XLOOKUP(A325,RevCHACount!A:A,RevCHACount!B:B)</f>
        <v>0</v>
      </c>
      <c r="J325" s="2">
        <f>_xlfn.XLOOKUP(A325,RevCHACount!A:A,RevCHACount!E:E)</f>
        <v>0</v>
      </c>
      <c r="K325" s="2">
        <f>_xlfn.XLOOKUP(A325,RevLLCCount!A:A,RevLLCCount!B:B,)</f>
        <v>0</v>
      </c>
      <c r="L325" s="2">
        <f>_xlfn.XLOOKUP(A325,RevLLCCount!A:A,RevLLCCount!E:E)</f>
        <v>0</v>
      </c>
      <c r="M325" s="1">
        <f>_xlfn.XLOOKUP(A325,RevCHACount!A:A,RevCHACount!F:F)</f>
        <v>0</v>
      </c>
      <c r="N325" s="1" t="str">
        <f>_xlfn.XLOOKUP(A325,'Other Errors'!A:A,'Other Errors'!B:B,"")</f>
        <v/>
      </c>
      <c r="O325" s="2" t="e">
        <f t="shared" si="69"/>
        <v>#N/A</v>
      </c>
      <c r="P325" s="2" t="e">
        <f t="shared" si="70"/>
        <v>#N/A</v>
      </c>
      <c r="Q325" s="2" t="e">
        <f t="shared" si="71"/>
        <v>#N/A</v>
      </c>
      <c r="R325" s="2" t="e">
        <f t="shared" si="72"/>
        <v>#N/A</v>
      </c>
      <c r="S325" s="2" t="str">
        <f t="shared" si="73"/>
        <v/>
      </c>
      <c r="T325" s="2" t="str">
        <f t="shared" ref="T325:T358" si="74">_xlfn.TEXTJOIN(", ",,_xlfn.UNIQUE(_xlfn._xlws.FILTER(_xlfn.ANCHORARRAY(DK$3),DK325&gt;0,"")))</f>
        <v/>
      </c>
      <c r="U325" s="8" t="str" cm="1">
        <f t="array" ref="U325">_xlfn.TEXTJOIN(", ",,_xlfn.UNIQUE(_xlfn._xlws.FILTER(EM$3:FK$3,EM325:FK325&gt;0,"")))</f>
        <v/>
      </c>
    </row>
    <row r="326" spans="6:21" x14ac:dyDescent="0.3">
      <c r="F326" s="2" cm="1">
        <f t="array" ref="F326">COUNTA(_xlfn.UNIQUE(_xlfn._xlws.FILTER(chamca[Run],(chamca[Visual ID]=A326))))</f>
        <v>1</v>
      </c>
      <c r="G326" s="2">
        <f>_xlfn.XLOOKUP(A326,RevCoreCount!A:A,RevCoreCount!B:B,)</f>
        <v>0</v>
      </c>
      <c r="H326" s="2">
        <f>_xlfn.XLOOKUP(A326,RevCoreCount!A:A,RevCoreCount!E:E,)</f>
        <v>0</v>
      </c>
      <c r="I326" s="2">
        <f>_xlfn.XLOOKUP(A326,RevCHACount!A:A,RevCHACount!B:B)</f>
        <v>0</v>
      </c>
      <c r="J326" s="2">
        <f>_xlfn.XLOOKUP(A326,RevCHACount!A:A,RevCHACount!E:E)</f>
        <v>0</v>
      </c>
      <c r="K326" s="2">
        <f>_xlfn.XLOOKUP(A326,RevLLCCount!A:A,RevLLCCount!B:B,)</f>
        <v>0</v>
      </c>
      <c r="L326" s="2">
        <f>_xlfn.XLOOKUP(A326,RevLLCCount!A:A,RevLLCCount!E:E)</f>
        <v>0</v>
      </c>
      <c r="M326" s="1">
        <f>_xlfn.XLOOKUP(A326,RevCHACount!A:A,RevCHACount!F:F)</f>
        <v>0</v>
      </c>
      <c r="N326" s="1" t="str">
        <f>_xlfn.XLOOKUP(A326,'Other Errors'!A:A,'Other Errors'!B:B,"")</f>
        <v/>
      </c>
      <c r="O326" s="2" t="e">
        <f t="shared" si="69"/>
        <v>#N/A</v>
      </c>
      <c r="P326" s="2" t="e">
        <f t="shared" si="70"/>
        <v>#N/A</v>
      </c>
      <c r="Q326" s="2" t="e">
        <f t="shared" si="71"/>
        <v>#N/A</v>
      </c>
      <c r="R326" s="2" t="e">
        <f t="shared" si="72"/>
        <v>#N/A</v>
      </c>
      <c r="S326" s="2" t="str">
        <f t="shared" si="73"/>
        <v/>
      </c>
      <c r="T326" s="2" t="str">
        <f t="shared" si="74"/>
        <v/>
      </c>
      <c r="U326" s="8" t="str" cm="1">
        <f t="array" ref="U326">_xlfn.TEXTJOIN(", ",,_xlfn.UNIQUE(_xlfn._xlws.FILTER(EM$3:FK$3,EM326:FK326&gt;0,"")))</f>
        <v/>
      </c>
    </row>
    <row r="327" spans="6:21" x14ac:dyDescent="0.3">
      <c r="F327" s="2" cm="1">
        <f t="array" ref="F327">COUNTA(_xlfn.UNIQUE(_xlfn._xlws.FILTER(chamca[Run],(chamca[Visual ID]=A327))))</f>
        <v>1</v>
      </c>
      <c r="G327" s="2">
        <f>_xlfn.XLOOKUP(A327,RevCoreCount!A:A,RevCoreCount!B:B,)</f>
        <v>0</v>
      </c>
      <c r="H327" s="2">
        <f>_xlfn.XLOOKUP(A327,RevCoreCount!A:A,RevCoreCount!E:E,)</f>
        <v>0</v>
      </c>
      <c r="I327" s="2">
        <f>_xlfn.XLOOKUP(A327,RevCHACount!A:A,RevCHACount!B:B)</f>
        <v>0</v>
      </c>
      <c r="J327" s="2">
        <f>_xlfn.XLOOKUP(A327,RevCHACount!A:A,RevCHACount!E:E)</f>
        <v>0</v>
      </c>
      <c r="K327" s="2">
        <f>_xlfn.XLOOKUP(A327,RevLLCCount!A:A,RevLLCCount!B:B,)</f>
        <v>0</v>
      </c>
      <c r="L327" s="2">
        <f>_xlfn.XLOOKUP(A327,RevLLCCount!A:A,RevLLCCount!E:E)</f>
        <v>0</v>
      </c>
      <c r="M327" s="1">
        <f>_xlfn.XLOOKUP(A327,RevCHACount!A:A,RevCHACount!F:F)</f>
        <v>0</v>
      </c>
      <c r="N327" s="1" t="str">
        <f>_xlfn.XLOOKUP(A327,'Other Errors'!A:A,'Other Errors'!B:B,"")</f>
        <v/>
      </c>
      <c r="O327" s="2" t="e">
        <f t="shared" si="69"/>
        <v>#N/A</v>
      </c>
      <c r="P327" s="2" t="e">
        <f t="shared" si="70"/>
        <v>#N/A</v>
      </c>
      <c r="Q327" s="2" t="e">
        <f t="shared" si="71"/>
        <v>#N/A</v>
      </c>
      <c r="R327" s="2" t="e">
        <f t="shared" si="72"/>
        <v>#N/A</v>
      </c>
      <c r="S327" s="2" t="str">
        <f t="shared" si="73"/>
        <v/>
      </c>
      <c r="T327" s="2" t="str">
        <f t="shared" si="74"/>
        <v/>
      </c>
      <c r="U327" s="8" t="str" cm="1">
        <f t="array" ref="U327">_xlfn.TEXTJOIN(", ",,_xlfn.UNIQUE(_xlfn._xlws.FILTER(EM$3:FK$3,EM327:FK327&gt;0,"")))</f>
        <v/>
      </c>
    </row>
    <row r="328" spans="6:21" x14ac:dyDescent="0.3">
      <c r="F328" s="2" cm="1">
        <f t="array" ref="F328">COUNTA(_xlfn.UNIQUE(_xlfn._xlws.FILTER(chamca[Run],(chamca[Visual ID]=A328))))</f>
        <v>1</v>
      </c>
      <c r="G328" s="2">
        <f>_xlfn.XLOOKUP(A328,RevCoreCount!A:A,RevCoreCount!B:B,)</f>
        <v>0</v>
      </c>
      <c r="H328" s="2">
        <f>_xlfn.XLOOKUP(A328,RevCoreCount!A:A,RevCoreCount!E:E,)</f>
        <v>0</v>
      </c>
      <c r="I328" s="2">
        <f>_xlfn.XLOOKUP(A328,RevCHACount!A:A,RevCHACount!B:B)</f>
        <v>0</v>
      </c>
      <c r="J328" s="2">
        <f>_xlfn.XLOOKUP(A328,RevCHACount!A:A,RevCHACount!E:E)</f>
        <v>0</v>
      </c>
      <c r="K328" s="2">
        <f>_xlfn.XLOOKUP(A328,RevLLCCount!A:A,RevLLCCount!B:B,)</f>
        <v>0</v>
      </c>
      <c r="L328" s="2">
        <f>_xlfn.XLOOKUP(A328,RevLLCCount!A:A,RevLLCCount!E:E)</f>
        <v>0</v>
      </c>
      <c r="M328" s="1">
        <f>_xlfn.XLOOKUP(A328,RevCHACount!A:A,RevCHACount!F:F)</f>
        <v>0</v>
      </c>
      <c r="N328" s="1" t="str">
        <f>_xlfn.XLOOKUP(A328,'Other Errors'!A:A,'Other Errors'!B:B,"")</f>
        <v/>
      </c>
      <c r="O328" s="2" t="e">
        <f t="shared" si="69"/>
        <v>#N/A</v>
      </c>
      <c r="P328" s="2" t="e">
        <f t="shared" si="70"/>
        <v>#N/A</v>
      </c>
      <c r="Q328" s="2" t="e">
        <f t="shared" si="71"/>
        <v>#N/A</v>
      </c>
      <c r="R328" s="2" t="e">
        <f t="shared" si="72"/>
        <v>#N/A</v>
      </c>
      <c r="S328" s="2" t="str">
        <f t="shared" si="73"/>
        <v/>
      </c>
      <c r="T328" s="2" t="str">
        <f t="shared" si="74"/>
        <v/>
      </c>
      <c r="U328" s="8" t="str" cm="1">
        <f t="array" ref="U328">_xlfn.TEXTJOIN(", ",,_xlfn.UNIQUE(_xlfn._xlws.FILTER(EM$3:FK$3,EM328:FK328&gt;0,"")))</f>
        <v/>
      </c>
    </row>
    <row r="329" spans="6:21" x14ac:dyDescent="0.3">
      <c r="F329" s="2" cm="1">
        <f t="array" ref="F329">COUNTA(_xlfn.UNIQUE(_xlfn._xlws.FILTER(chamca[Run],(chamca[Visual ID]=A329))))</f>
        <v>1</v>
      </c>
      <c r="G329" s="2">
        <f>_xlfn.XLOOKUP(A329,RevCoreCount!A:A,RevCoreCount!B:B,)</f>
        <v>0</v>
      </c>
      <c r="H329" s="2">
        <f>_xlfn.XLOOKUP(A329,RevCoreCount!A:A,RevCoreCount!E:E,)</f>
        <v>0</v>
      </c>
      <c r="I329" s="2">
        <f>_xlfn.XLOOKUP(A329,RevCHACount!A:A,RevCHACount!B:B)</f>
        <v>0</v>
      </c>
      <c r="J329" s="2">
        <f>_xlfn.XLOOKUP(A329,RevCHACount!A:A,RevCHACount!E:E)</f>
        <v>0</v>
      </c>
      <c r="K329" s="2">
        <f>_xlfn.XLOOKUP(A329,RevLLCCount!A:A,RevLLCCount!B:B,)</f>
        <v>0</v>
      </c>
      <c r="L329" s="2">
        <f>_xlfn.XLOOKUP(A329,RevLLCCount!A:A,RevLLCCount!E:E)</f>
        <v>0</v>
      </c>
      <c r="M329" s="1">
        <f>_xlfn.XLOOKUP(A329,RevCHACount!A:A,RevCHACount!F:F)</f>
        <v>0</v>
      </c>
      <c r="N329" s="1" t="str">
        <f>_xlfn.XLOOKUP(A329,'Other Errors'!A:A,'Other Errors'!B:B,"")</f>
        <v/>
      </c>
      <c r="O329" s="2" t="e">
        <f t="shared" si="69"/>
        <v>#N/A</v>
      </c>
      <c r="P329" s="2" t="e">
        <f t="shared" si="70"/>
        <v>#N/A</v>
      </c>
      <c r="Q329" s="2" t="e">
        <f t="shared" si="71"/>
        <v>#N/A</v>
      </c>
      <c r="R329" s="2" t="e">
        <f t="shared" si="72"/>
        <v>#N/A</v>
      </c>
      <c r="S329" s="2" t="str">
        <f t="shared" si="73"/>
        <v/>
      </c>
      <c r="T329" s="2" t="str">
        <f t="shared" si="74"/>
        <v/>
      </c>
      <c r="U329" s="8" t="str" cm="1">
        <f t="array" ref="U329">_xlfn.TEXTJOIN(", ",,_xlfn.UNIQUE(_xlfn._xlws.FILTER(EM$3:FK$3,EM329:FK329&gt;0,"")))</f>
        <v/>
      </c>
    </row>
    <row r="330" spans="6:21" x14ac:dyDescent="0.3">
      <c r="F330" s="2" cm="1">
        <f t="array" ref="F330">COUNTA(_xlfn.UNIQUE(_xlfn._xlws.FILTER(chamca[Run],(chamca[Visual ID]=A330))))</f>
        <v>1</v>
      </c>
      <c r="G330" s="2">
        <f>_xlfn.XLOOKUP(A330,RevCoreCount!A:A,RevCoreCount!B:B,)</f>
        <v>0</v>
      </c>
      <c r="H330" s="2">
        <f>_xlfn.XLOOKUP(A330,RevCoreCount!A:A,RevCoreCount!E:E,)</f>
        <v>0</v>
      </c>
      <c r="I330" s="2">
        <f>_xlfn.XLOOKUP(A330,RevCHACount!A:A,RevCHACount!B:B)</f>
        <v>0</v>
      </c>
      <c r="J330" s="2">
        <f>_xlfn.XLOOKUP(A330,RevCHACount!A:A,RevCHACount!E:E)</f>
        <v>0</v>
      </c>
      <c r="K330" s="2">
        <f>_xlfn.XLOOKUP(A330,RevLLCCount!A:A,RevLLCCount!B:B,)</f>
        <v>0</v>
      </c>
      <c r="L330" s="2">
        <f>_xlfn.XLOOKUP(A330,RevLLCCount!A:A,RevLLCCount!E:E)</f>
        <v>0</v>
      </c>
      <c r="M330" s="1">
        <f>_xlfn.XLOOKUP(A330,RevCHACount!A:A,RevCHACount!F:F)</f>
        <v>0</v>
      </c>
      <c r="N330" s="1" t="str">
        <f>_xlfn.XLOOKUP(A330,'Other Errors'!A:A,'Other Errors'!B:B,"")</f>
        <v/>
      </c>
      <c r="O330" s="2" t="e">
        <f t="shared" si="69"/>
        <v>#N/A</v>
      </c>
      <c r="P330" s="2" t="e">
        <f t="shared" si="70"/>
        <v>#N/A</v>
      </c>
      <c r="Q330" s="2" t="e">
        <f t="shared" si="71"/>
        <v>#N/A</v>
      </c>
      <c r="R330" s="2" t="e">
        <f t="shared" si="72"/>
        <v>#N/A</v>
      </c>
      <c r="S330" s="2" t="str">
        <f t="shared" si="73"/>
        <v/>
      </c>
      <c r="T330" s="2" t="str">
        <f t="shared" si="74"/>
        <v/>
      </c>
      <c r="U330" s="8" t="str" cm="1">
        <f t="array" ref="U330">_xlfn.TEXTJOIN(", ",,_xlfn.UNIQUE(_xlfn._xlws.FILTER(EM$3:FK$3,EM330:FK330&gt;0,"")))</f>
        <v/>
      </c>
    </row>
    <row r="331" spans="6:21" x14ac:dyDescent="0.3">
      <c r="F331" s="2" cm="1">
        <f t="array" ref="F331">COUNTA(_xlfn.UNIQUE(_xlfn._xlws.FILTER(chamca[Run],(chamca[Visual ID]=A331))))</f>
        <v>1</v>
      </c>
      <c r="G331" s="2">
        <f>_xlfn.XLOOKUP(A331,RevCoreCount!A:A,RevCoreCount!B:B,)</f>
        <v>0</v>
      </c>
      <c r="H331" s="2">
        <f>_xlfn.XLOOKUP(A331,RevCoreCount!A:A,RevCoreCount!E:E,)</f>
        <v>0</v>
      </c>
      <c r="I331" s="2">
        <f>_xlfn.XLOOKUP(A331,RevCHACount!A:A,RevCHACount!B:B)</f>
        <v>0</v>
      </c>
      <c r="J331" s="2">
        <f>_xlfn.XLOOKUP(A331,RevCHACount!A:A,RevCHACount!E:E)</f>
        <v>0</v>
      </c>
      <c r="K331" s="2">
        <f>_xlfn.XLOOKUP(A331,RevLLCCount!A:A,RevLLCCount!B:B,)</f>
        <v>0</v>
      </c>
      <c r="L331" s="2">
        <f>_xlfn.XLOOKUP(A331,RevLLCCount!A:A,RevLLCCount!E:E)</f>
        <v>0</v>
      </c>
      <c r="M331" s="1">
        <f>_xlfn.XLOOKUP(A331,RevCHACount!A:A,RevCHACount!F:F)</f>
        <v>0</v>
      </c>
      <c r="N331" s="1" t="str">
        <f>_xlfn.XLOOKUP(A331,'Other Errors'!A:A,'Other Errors'!B:B,"")</f>
        <v/>
      </c>
      <c r="O331" s="2" t="e">
        <f t="shared" si="69"/>
        <v>#N/A</v>
      </c>
      <c r="P331" s="2" t="e">
        <f t="shared" si="70"/>
        <v>#N/A</v>
      </c>
      <c r="Q331" s="2" t="e">
        <f t="shared" si="71"/>
        <v>#N/A</v>
      </c>
      <c r="R331" s="2" t="e">
        <f t="shared" si="72"/>
        <v>#N/A</v>
      </c>
      <c r="S331" s="2" t="str">
        <f t="shared" si="73"/>
        <v/>
      </c>
      <c r="T331" s="2" t="str">
        <f t="shared" si="74"/>
        <v/>
      </c>
      <c r="U331" s="8" t="str" cm="1">
        <f t="array" ref="U331">_xlfn.TEXTJOIN(", ",,_xlfn.UNIQUE(_xlfn._xlws.FILTER(EM$3:FK$3,EM331:FK331&gt;0,"")))</f>
        <v/>
      </c>
    </row>
    <row r="332" spans="6:21" x14ac:dyDescent="0.3">
      <c r="F332" s="2" cm="1">
        <f t="array" ref="F332">COUNTA(_xlfn.UNIQUE(_xlfn._xlws.FILTER(chamca[Run],(chamca[Visual ID]=A332))))</f>
        <v>1</v>
      </c>
      <c r="G332" s="2">
        <f>_xlfn.XLOOKUP(A332,RevCoreCount!A:A,RevCoreCount!B:B,)</f>
        <v>0</v>
      </c>
      <c r="H332" s="2">
        <f>_xlfn.XLOOKUP(A332,RevCoreCount!A:A,RevCoreCount!E:E,)</f>
        <v>0</v>
      </c>
      <c r="I332" s="2">
        <f>_xlfn.XLOOKUP(A332,RevCHACount!A:A,RevCHACount!B:B)</f>
        <v>0</v>
      </c>
      <c r="J332" s="2">
        <f>_xlfn.XLOOKUP(A332,RevCHACount!A:A,RevCHACount!E:E)</f>
        <v>0</v>
      </c>
      <c r="K332" s="2">
        <f>_xlfn.XLOOKUP(A332,RevLLCCount!A:A,RevLLCCount!B:B,)</f>
        <v>0</v>
      </c>
      <c r="L332" s="2">
        <f>_xlfn.XLOOKUP(A332,RevLLCCount!A:A,RevLLCCount!E:E)</f>
        <v>0</v>
      </c>
      <c r="M332" s="1">
        <f>_xlfn.XLOOKUP(A332,RevCHACount!A:A,RevCHACount!F:F)</f>
        <v>0</v>
      </c>
      <c r="N332" s="1" t="str">
        <f>_xlfn.XLOOKUP(A332,'Other Errors'!A:A,'Other Errors'!B:B,"")</f>
        <v/>
      </c>
      <c r="O332" s="2" t="e">
        <f t="shared" si="69"/>
        <v>#N/A</v>
      </c>
      <c r="P332" s="2" t="e">
        <f t="shared" si="70"/>
        <v>#N/A</v>
      </c>
      <c r="Q332" s="2" t="e">
        <f t="shared" si="71"/>
        <v>#N/A</v>
      </c>
      <c r="R332" s="2" t="e">
        <f t="shared" si="72"/>
        <v>#N/A</v>
      </c>
      <c r="S332" s="2" t="str">
        <f t="shared" si="73"/>
        <v/>
      </c>
      <c r="T332" s="2" t="str">
        <f t="shared" si="74"/>
        <v/>
      </c>
      <c r="U332" s="8" t="str" cm="1">
        <f t="array" ref="U332">_xlfn.TEXTJOIN(", ",,_xlfn.UNIQUE(_xlfn._xlws.FILTER(EM$3:FK$3,EM332:FK332&gt;0,"")))</f>
        <v/>
      </c>
    </row>
    <row r="333" spans="6:21" x14ac:dyDescent="0.3">
      <c r="F333" s="2" cm="1">
        <f t="array" ref="F333">COUNTA(_xlfn.UNIQUE(_xlfn._xlws.FILTER(chamca[Run],(chamca[Visual ID]=A333))))</f>
        <v>1</v>
      </c>
      <c r="G333" s="2">
        <f>_xlfn.XLOOKUP(A333,RevCoreCount!A:A,RevCoreCount!B:B,)</f>
        <v>0</v>
      </c>
      <c r="H333" s="2">
        <f>_xlfn.XLOOKUP(A333,RevCoreCount!A:A,RevCoreCount!E:E,)</f>
        <v>0</v>
      </c>
      <c r="I333" s="2">
        <f>_xlfn.XLOOKUP(A333,RevCHACount!A:A,RevCHACount!B:B)</f>
        <v>0</v>
      </c>
      <c r="J333" s="2">
        <f>_xlfn.XLOOKUP(A333,RevCHACount!A:A,RevCHACount!E:E)</f>
        <v>0</v>
      </c>
      <c r="K333" s="2">
        <f>_xlfn.XLOOKUP(A333,RevLLCCount!A:A,RevLLCCount!B:B,)</f>
        <v>0</v>
      </c>
      <c r="L333" s="2">
        <f>_xlfn.XLOOKUP(A333,RevLLCCount!A:A,RevLLCCount!E:E)</f>
        <v>0</v>
      </c>
      <c r="M333" s="1">
        <f>_xlfn.XLOOKUP(A333,RevCHACount!A:A,RevCHACount!F:F)</f>
        <v>0</v>
      </c>
      <c r="N333" s="1" t="str">
        <f>_xlfn.XLOOKUP(A333,'Other Errors'!A:A,'Other Errors'!B:B,"")</f>
        <v/>
      </c>
      <c r="O333" s="2" t="e">
        <f t="shared" si="69"/>
        <v>#N/A</v>
      </c>
      <c r="P333" s="2" t="e">
        <f t="shared" si="70"/>
        <v>#N/A</v>
      </c>
      <c r="Q333" s="2" t="e">
        <f t="shared" si="71"/>
        <v>#N/A</v>
      </c>
      <c r="R333" s="2" t="e">
        <f t="shared" si="72"/>
        <v>#N/A</v>
      </c>
      <c r="S333" s="2" t="str">
        <f t="shared" si="73"/>
        <v/>
      </c>
      <c r="T333" s="2" t="str">
        <f t="shared" si="74"/>
        <v/>
      </c>
      <c r="U333" s="8" t="str" cm="1">
        <f t="array" ref="U333">_xlfn.TEXTJOIN(", ",,_xlfn.UNIQUE(_xlfn._xlws.FILTER(EM$3:FK$3,EM333:FK333&gt;0,"")))</f>
        <v/>
      </c>
    </row>
    <row r="334" spans="6:21" x14ac:dyDescent="0.3">
      <c r="F334" s="2" cm="1">
        <f t="array" ref="F334">COUNTA(_xlfn.UNIQUE(_xlfn._xlws.FILTER(chamca[Run],(chamca[Visual ID]=A334))))</f>
        <v>1</v>
      </c>
      <c r="G334" s="2">
        <f>_xlfn.XLOOKUP(A334,RevCoreCount!A:A,RevCoreCount!B:B,)</f>
        <v>0</v>
      </c>
      <c r="H334" s="2">
        <f>_xlfn.XLOOKUP(A334,RevCoreCount!A:A,RevCoreCount!E:E,)</f>
        <v>0</v>
      </c>
      <c r="I334" s="2">
        <f>_xlfn.XLOOKUP(A334,RevCHACount!A:A,RevCHACount!B:B)</f>
        <v>0</v>
      </c>
      <c r="J334" s="2">
        <f>_xlfn.XLOOKUP(A334,RevCHACount!A:A,RevCHACount!E:E)</f>
        <v>0</v>
      </c>
      <c r="K334" s="2">
        <f>_xlfn.XLOOKUP(A334,RevLLCCount!A:A,RevLLCCount!B:B,)</f>
        <v>0</v>
      </c>
      <c r="L334" s="2">
        <f>_xlfn.XLOOKUP(A334,RevLLCCount!A:A,RevLLCCount!E:E)</f>
        <v>0</v>
      </c>
      <c r="M334" s="1">
        <f>_xlfn.XLOOKUP(A334,RevCHACount!A:A,RevCHACount!F:F)</f>
        <v>0</v>
      </c>
      <c r="N334" s="1" t="str">
        <f>_xlfn.XLOOKUP(A334,'Other Errors'!A:A,'Other Errors'!B:B,"")</f>
        <v/>
      </c>
      <c r="O334" s="2" t="e">
        <f t="shared" si="69"/>
        <v>#N/A</v>
      </c>
      <c r="P334" s="2" t="e">
        <f t="shared" si="70"/>
        <v>#N/A</v>
      </c>
      <c r="Q334" s="2" t="e">
        <f t="shared" si="71"/>
        <v>#N/A</v>
      </c>
      <c r="R334" s="2" t="e">
        <f t="shared" si="72"/>
        <v>#N/A</v>
      </c>
      <c r="S334" s="2" t="str">
        <f t="shared" si="73"/>
        <v/>
      </c>
      <c r="T334" s="2" t="str">
        <f t="shared" si="74"/>
        <v/>
      </c>
      <c r="U334" s="8" t="str" cm="1">
        <f t="array" ref="U334">_xlfn.TEXTJOIN(", ",,_xlfn.UNIQUE(_xlfn._xlws.FILTER(EM$3:FK$3,EM334:FK334&gt;0,"")))</f>
        <v/>
      </c>
    </row>
    <row r="335" spans="6:21" x14ac:dyDescent="0.3">
      <c r="F335" s="2" cm="1">
        <f t="array" ref="F335">COUNTA(_xlfn.UNIQUE(_xlfn._xlws.FILTER(chamca[Run],(chamca[Visual ID]=A335))))</f>
        <v>1</v>
      </c>
      <c r="G335" s="2">
        <f>_xlfn.XLOOKUP(A335,RevCoreCount!A:A,RevCoreCount!B:B,)</f>
        <v>0</v>
      </c>
      <c r="H335" s="2">
        <f>_xlfn.XLOOKUP(A335,RevCoreCount!A:A,RevCoreCount!E:E,)</f>
        <v>0</v>
      </c>
      <c r="I335" s="2">
        <f>_xlfn.XLOOKUP(A335,RevCHACount!A:A,RevCHACount!B:B)</f>
        <v>0</v>
      </c>
      <c r="J335" s="2">
        <f>_xlfn.XLOOKUP(A335,RevCHACount!A:A,RevCHACount!E:E)</f>
        <v>0</v>
      </c>
      <c r="K335" s="2">
        <f>_xlfn.XLOOKUP(A335,RevLLCCount!A:A,RevLLCCount!B:B,)</f>
        <v>0</v>
      </c>
      <c r="L335" s="2">
        <f>_xlfn.XLOOKUP(A335,RevLLCCount!A:A,RevLLCCount!E:E)</f>
        <v>0</v>
      </c>
      <c r="M335" s="1">
        <f>_xlfn.XLOOKUP(A335,RevCHACount!A:A,RevCHACount!F:F)</f>
        <v>0</v>
      </c>
      <c r="N335" s="1" t="str">
        <f>_xlfn.XLOOKUP(A335,'Other Errors'!A:A,'Other Errors'!B:B,"")</f>
        <v/>
      </c>
      <c r="O335" s="2" t="e">
        <f t="shared" si="69"/>
        <v>#N/A</v>
      </c>
      <c r="P335" s="2" t="e">
        <f t="shared" si="70"/>
        <v>#N/A</v>
      </c>
      <c r="Q335" s="2" t="e">
        <f t="shared" si="71"/>
        <v>#N/A</v>
      </c>
      <c r="R335" s="2" t="e">
        <f t="shared" si="72"/>
        <v>#N/A</v>
      </c>
      <c r="S335" s="2" t="str">
        <f t="shared" si="73"/>
        <v/>
      </c>
      <c r="T335" s="2" t="str">
        <f t="shared" si="74"/>
        <v/>
      </c>
      <c r="U335" s="8" t="str" cm="1">
        <f t="array" ref="U335">_xlfn.TEXTJOIN(", ",,_xlfn.UNIQUE(_xlfn._xlws.FILTER(EM$3:FK$3,EM335:FK335&gt;0,"")))</f>
        <v/>
      </c>
    </row>
    <row r="336" spans="6:21" x14ac:dyDescent="0.3">
      <c r="F336" s="2" cm="1">
        <f t="array" ref="F336">COUNTA(_xlfn.UNIQUE(_xlfn._xlws.FILTER(chamca[Run],(chamca[Visual ID]=A336))))</f>
        <v>1</v>
      </c>
      <c r="G336" s="2">
        <f>_xlfn.XLOOKUP(A336,RevCoreCount!A:A,RevCoreCount!B:B,)</f>
        <v>0</v>
      </c>
      <c r="H336" s="2">
        <f>_xlfn.XLOOKUP(A336,RevCoreCount!A:A,RevCoreCount!E:E,)</f>
        <v>0</v>
      </c>
      <c r="I336" s="2">
        <f>_xlfn.XLOOKUP(A336,RevCHACount!A:A,RevCHACount!B:B)</f>
        <v>0</v>
      </c>
      <c r="J336" s="2">
        <f>_xlfn.XLOOKUP(A336,RevCHACount!A:A,RevCHACount!E:E)</f>
        <v>0</v>
      </c>
      <c r="K336" s="2">
        <f>_xlfn.XLOOKUP(A336,RevLLCCount!A:A,RevLLCCount!B:B,)</f>
        <v>0</v>
      </c>
      <c r="L336" s="2">
        <f>_xlfn.XLOOKUP(A336,RevLLCCount!A:A,RevLLCCount!E:E)</f>
        <v>0</v>
      </c>
      <c r="M336" s="1">
        <f>_xlfn.XLOOKUP(A336,RevCHACount!A:A,RevCHACount!F:F)</f>
        <v>0</v>
      </c>
      <c r="N336" s="1" t="str">
        <f>_xlfn.XLOOKUP(A336,'Other Errors'!A:A,'Other Errors'!B:B,"")</f>
        <v/>
      </c>
      <c r="O336" s="2" t="e">
        <f t="shared" si="69"/>
        <v>#N/A</v>
      </c>
      <c r="P336" s="2" t="e">
        <f t="shared" si="70"/>
        <v>#N/A</v>
      </c>
      <c r="Q336" s="2" t="e">
        <f t="shared" si="71"/>
        <v>#N/A</v>
      </c>
      <c r="R336" s="2" t="e">
        <f t="shared" si="72"/>
        <v>#N/A</v>
      </c>
      <c r="S336" s="2" t="str">
        <f t="shared" si="73"/>
        <v/>
      </c>
      <c r="T336" s="2" t="str">
        <f t="shared" si="74"/>
        <v/>
      </c>
      <c r="U336" s="8" t="str" cm="1">
        <f t="array" ref="U336">_xlfn.TEXTJOIN(", ",,_xlfn.UNIQUE(_xlfn._xlws.FILTER(EM$3:FK$3,EM336:FK336&gt;0,"")))</f>
        <v/>
      </c>
    </row>
    <row r="337" spans="6:21" x14ac:dyDescent="0.3">
      <c r="F337" s="2" cm="1">
        <f t="array" ref="F337">COUNTA(_xlfn.UNIQUE(_xlfn._xlws.FILTER(chamca[Run],(chamca[Visual ID]=A337))))</f>
        <v>1</v>
      </c>
      <c r="G337" s="2">
        <f>_xlfn.XLOOKUP(A337,RevCoreCount!A:A,RevCoreCount!B:B,)</f>
        <v>0</v>
      </c>
      <c r="H337" s="2">
        <f>_xlfn.XLOOKUP(A337,RevCoreCount!A:A,RevCoreCount!E:E,)</f>
        <v>0</v>
      </c>
      <c r="I337" s="2">
        <f>_xlfn.XLOOKUP(A337,RevCHACount!A:A,RevCHACount!B:B)</f>
        <v>0</v>
      </c>
      <c r="J337" s="2">
        <f>_xlfn.XLOOKUP(A337,RevCHACount!A:A,RevCHACount!E:E)</f>
        <v>0</v>
      </c>
      <c r="K337" s="2">
        <f>_xlfn.XLOOKUP(A337,RevLLCCount!A:A,RevLLCCount!B:B,)</f>
        <v>0</v>
      </c>
      <c r="L337" s="2">
        <f>_xlfn.XLOOKUP(A337,RevLLCCount!A:A,RevLLCCount!E:E)</f>
        <v>0</v>
      </c>
      <c r="M337" s="1">
        <f>_xlfn.XLOOKUP(A337,RevCHACount!A:A,RevCHACount!F:F)</f>
        <v>0</v>
      </c>
      <c r="N337" s="1" t="str">
        <f>_xlfn.XLOOKUP(A337,'Other Errors'!A:A,'Other Errors'!B:B,"")</f>
        <v/>
      </c>
      <c r="O337" s="2" t="e">
        <f t="shared" si="69"/>
        <v>#N/A</v>
      </c>
      <c r="P337" s="2" t="e">
        <f t="shared" si="70"/>
        <v>#N/A</v>
      </c>
      <c r="Q337" s="2" t="e">
        <f t="shared" si="71"/>
        <v>#N/A</v>
      </c>
      <c r="R337" s="2" t="e">
        <f t="shared" si="72"/>
        <v>#N/A</v>
      </c>
      <c r="S337" s="2" t="str">
        <f t="shared" si="73"/>
        <v/>
      </c>
      <c r="T337" s="2" t="str">
        <f t="shared" si="74"/>
        <v/>
      </c>
      <c r="U337" s="8" t="str" cm="1">
        <f t="array" ref="U337">_xlfn.TEXTJOIN(", ",,_xlfn.UNIQUE(_xlfn._xlws.FILTER(EM$3:FK$3,EM337:FK337&gt;0,"")))</f>
        <v/>
      </c>
    </row>
    <row r="338" spans="6:21" x14ac:dyDescent="0.3">
      <c r="F338" s="2" cm="1">
        <f t="array" ref="F338">COUNTA(_xlfn.UNIQUE(_xlfn._xlws.FILTER(chamca[Run],(chamca[Visual ID]=A338))))</f>
        <v>1</v>
      </c>
      <c r="G338" s="2">
        <f>_xlfn.XLOOKUP(A338,RevCoreCount!A:A,RevCoreCount!B:B,)</f>
        <v>0</v>
      </c>
      <c r="H338" s="2">
        <f>_xlfn.XLOOKUP(A338,RevCoreCount!A:A,RevCoreCount!E:E,)</f>
        <v>0</v>
      </c>
      <c r="I338" s="2">
        <f>_xlfn.XLOOKUP(A338,RevCHACount!A:A,RevCHACount!B:B)</f>
        <v>0</v>
      </c>
      <c r="J338" s="2">
        <f>_xlfn.XLOOKUP(A338,RevCHACount!A:A,RevCHACount!E:E)</f>
        <v>0</v>
      </c>
      <c r="K338" s="2">
        <f>_xlfn.XLOOKUP(A338,RevLLCCount!A:A,RevLLCCount!B:B,)</f>
        <v>0</v>
      </c>
      <c r="L338" s="2">
        <f>_xlfn.XLOOKUP(A338,RevLLCCount!A:A,RevLLCCount!E:E)</f>
        <v>0</v>
      </c>
      <c r="M338" s="1">
        <f>_xlfn.XLOOKUP(A338,RevCHACount!A:A,RevCHACount!F:F)</f>
        <v>0</v>
      </c>
      <c r="N338" s="1" t="str">
        <f>_xlfn.XLOOKUP(A338,'Other Errors'!A:A,'Other Errors'!B:B,"")</f>
        <v/>
      </c>
      <c r="O338" s="2" t="e">
        <f t="shared" si="69"/>
        <v>#N/A</v>
      </c>
      <c r="P338" s="2" t="e">
        <f t="shared" si="70"/>
        <v>#N/A</v>
      </c>
      <c r="Q338" s="2" t="e">
        <f t="shared" si="71"/>
        <v>#N/A</v>
      </c>
      <c r="R338" s="2" t="e">
        <f t="shared" si="72"/>
        <v>#N/A</v>
      </c>
      <c r="S338" s="2" t="str">
        <f t="shared" si="73"/>
        <v/>
      </c>
      <c r="T338" s="2" t="str">
        <f t="shared" si="74"/>
        <v/>
      </c>
      <c r="U338" s="8" t="str" cm="1">
        <f t="array" ref="U338">_xlfn.TEXTJOIN(", ",,_xlfn.UNIQUE(_xlfn._xlws.FILTER(EM$3:FK$3,EM338:FK338&gt;0,"")))</f>
        <v/>
      </c>
    </row>
    <row r="339" spans="6:21" x14ac:dyDescent="0.3">
      <c r="F339" s="2" cm="1">
        <f t="array" ref="F339">COUNTA(_xlfn.UNIQUE(_xlfn._xlws.FILTER(chamca[Run],(chamca[Visual ID]=A339))))</f>
        <v>1</v>
      </c>
      <c r="G339" s="2">
        <f>_xlfn.XLOOKUP(A339,RevCoreCount!A:A,RevCoreCount!B:B,)</f>
        <v>0</v>
      </c>
      <c r="H339" s="2">
        <f>_xlfn.XLOOKUP(A339,RevCoreCount!A:A,RevCoreCount!E:E,)</f>
        <v>0</v>
      </c>
      <c r="I339" s="2">
        <f>_xlfn.XLOOKUP(A339,RevCHACount!A:A,RevCHACount!B:B)</f>
        <v>0</v>
      </c>
      <c r="J339" s="2">
        <f>_xlfn.XLOOKUP(A339,RevCHACount!A:A,RevCHACount!E:E)</f>
        <v>0</v>
      </c>
      <c r="K339" s="2">
        <f>_xlfn.XLOOKUP(A339,RevLLCCount!A:A,RevLLCCount!B:B,)</f>
        <v>0</v>
      </c>
      <c r="L339" s="2">
        <f>_xlfn.XLOOKUP(A339,RevLLCCount!A:A,RevLLCCount!E:E)</f>
        <v>0</v>
      </c>
      <c r="M339" s="1">
        <f>_xlfn.XLOOKUP(A339,RevCHACount!A:A,RevCHACount!F:F)</f>
        <v>0</v>
      </c>
      <c r="N339" s="1" t="str">
        <f>_xlfn.XLOOKUP(A339,'Other Errors'!A:A,'Other Errors'!B:B,"")</f>
        <v/>
      </c>
      <c r="O339" s="2" t="e">
        <f t="shared" si="69"/>
        <v>#N/A</v>
      </c>
      <c r="P339" s="2" t="e">
        <f t="shared" si="70"/>
        <v>#N/A</v>
      </c>
      <c r="Q339" s="2" t="e">
        <f t="shared" si="71"/>
        <v>#N/A</v>
      </c>
      <c r="R339" s="2" t="e">
        <f t="shared" si="72"/>
        <v>#N/A</v>
      </c>
      <c r="S339" s="2" t="str">
        <f t="shared" si="73"/>
        <v/>
      </c>
      <c r="T339" s="2" t="str">
        <f t="shared" si="74"/>
        <v/>
      </c>
      <c r="U339" s="8" t="str" cm="1">
        <f t="array" ref="U339">_xlfn.TEXTJOIN(", ",,_xlfn.UNIQUE(_xlfn._xlws.FILTER(EM$3:FK$3,EM339:FK339&gt;0,"")))</f>
        <v/>
      </c>
    </row>
    <row r="340" spans="6:21" x14ac:dyDescent="0.3">
      <c r="F340" s="2" cm="1">
        <f t="array" ref="F340">COUNTA(_xlfn.UNIQUE(_xlfn._xlws.FILTER(chamca[Run],(chamca[Visual ID]=A340))))</f>
        <v>1</v>
      </c>
      <c r="G340" s="2">
        <f>_xlfn.XLOOKUP(A340,RevCoreCount!A:A,RevCoreCount!B:B,)</f>
        <v>0</v>
      </c>
      <c r="H340" s="2">
        <f>_xlfn.XLOOKUP(A340,RevCoreCount!A:A,RevCoreCount!E:E,)</f>
        <v>0</v>
      </c>
      <c r="I340" s="2">
        <f>_xlfn.XLOOKUP(A340,RevCHACount!A:A,RevCHACount!B:B)</f>
        <v>0</v>
      </c>
      <c r="J340" s="2">
        <f>_xlfn.XLOOKUP(A340,RevCHACount!A:A,RevCHACount!E:E)</f>
        <v>0</v>
      </c>
      <c r="K340" s="2">
        <f>_xlfn.XLOOKUP(A340,RevLLCCount!A:A,RevLLCCount!B:B,)</f>
        <v>0</v>
      </c>
      <c r="L340" s="2">
        <f>_xlfn.XLOOKUP(A340,RevLLCCount!A:A,RevLLCCount!E:E)</f>
        <v>0</v>
      </c>
      <c r="M340" s="1">
        <f>_xlfn.XLOOKUP(A340,RevCHACount!A:A,RevCHACount!F:F)</f>
        <v>0</v>
      </c>
      <c r="N340" s="1" t="str">
        <f>_xlfn.XLOOKUP(A340,'Other Errors'!A:A,'Other Errors'!B:B,"")</f>
        <v/>
      </c>
      <c r="O340" s="2" t="e">
        <f t="shared" si="69"/>
        <v>#N/A</v>
      </c>
      <c r="P340" s="2" t="e">
        <f t="shared" si="70"/>
        <v>#N/A</v>
      </c>
      <c r="Q340" s="2" t="e">
        <f t="shared" si="71"/>
        <v>#N/A</v>
      </c>
      <c r="R340" s="2" t="e">
        <f t="shared" si="72"/>
        <v>#N/A</v>
      </c>
      <c r="S340" s="2" t="str">
        <f t="shared" si="73"/>
        <v/>
      </c>
      <c r="T340" s="2" t="str">
        <f t="shared" si="74"/>
        <v/>
      </c>
      <c r="U340" s="8" t="str" cm="1">
        <f t="array" ref="U340">_xlfn.TEXTJOIN(", ",,_xlfn.UNIQUE(_xlfn._xlws.FILTER(EM$3:FK$3,EM340:FK340&gt;0,"")))</f>
        <v/>
      </c>
    </row>
    <row r="341" spans="6:21" x14ac:dyDescent="0.3">
      <c r="F341" s="2" cm="1">
        <f t="array" ref="F341">COUNTA(_xlfn.UNIQUE(_xlfn._xlws.FILTER(chamca[Run],(chamca[Visual ID]=A341))))</f>
        <v>1</v>
      </c>
      <c r="G341" s="2">
        <f>_xlfn.XLOOKUP(A341,RevCoreCount!A:A,RevCoreCount!B:B,)</f>
        <v>0</v>
      </c>
      <c r="H341" s="2">
        <f>_xlfn.XLOOKUP(A341,RevCoreCount!A:A,RevCoreCount!E:E,)</f>
        <v>0</v>
      </c>
      <c r="I341" s="2">
        <f>_xlfn.XLOOKUP(A341,RevCHACount!A:A,RevCHACount!B:B)</f>
        <v>0</v>
      </c>
      <c r="J341" s="2">
        <f>_xlfn.XLOOKUP(A341,RevCHACount!A:A,RevCHACount!E:E)</f>
        <v>0</v>
      </c>
      <c r="K341" s="2">
        <f>_xlfn.XLOOKUP(A341,RevLLCCount!A:A,RevLLCCount!B:B,)</f>
        <v>0</v>
      </c>
      <c r="L341" s="2">
        <f>_xlfn.XLOOKUP(A341,RevLLCCount!A:A,RevLLCCount!E:E)</f>
        <v>0</v>
      </c>
      <c r="M341" s="1">
        <f>_xlfn.XLOOKUP(A341,RevCHACount!A:A,RevCHACount!F:F)</f>
        <v>0</v>
      </c>
      <c r="N341" s="1" t="str">
        <f>_xlfn.XLOOKUP(A341,'Other Errors'!A:A,'Other Errors'!B:B,"")</f>
        <v/>
      </c>
      <c r="O341" s="2" t="e">
        <f t="shared" si="69"/>
        <v>#N/A</v>
      </c>
      <c r="P341" s="2" t="e">
        <f t="shared" si="70"/>
        <v>#N/A</v>
      </c>
      <c r="Q341" s="2" t="e">
        <f t="shared" si="71"/>
        <v>#N/A</v>
      </c>
      <c r="R341" s="2" t="e">
        <f t="shared" si="72"/>
        <v>#N/A</v>
      </c>
      <c r="S341" s="2" t="str">
        <f t="shared" si="73"/>
        <v/>
      </c>
      <c r="T341" s="2" t="str">
        <f t="shared" si="74"/>
        <v/>
      </c>
      <c r="U341" s="8" t="str" cm="1">
        <f t="array" ref="U341">_xlfn.TEXTJOIN(", ",,_xlfn.UNIQUE(_xlfn._xlws.FILTER(EM$3:FK$3,EM341:FK341&gt;0,"")))</f>
        <v/>
      </c>
    </row>
    <row r="342" spans="6:21" x14ac:dyDescent="0.3">
      <c r="F342" s="2" cm="1">
        <f t="array" ref="F342">COUNTA(_xlfn.UNIQUE(_xlfn._xlws.FILTER(chamca[Run],(chamca[Visual ID]=A342))))</f>
        <v>1</v>
      </c>
      <c r="G342" s="2">
        <f>_xlfn.XLOOKUP(A342,RevCoreCount!A:A,RevCoreCount!B:B,)</f>
        <v>0</v>
      </c>
      <c r="H342" s="2">
        <f>_xlfn.XLOOKUP(A342,RevCoreCount!A:A,RevCoreCount!E:E,)</f>
        <v>0</v>
      </c>
      <c r="I342" s="2">
        <f>_xlfn.XLOOKUP(A342,RevCHACount!A:A,RevCHACount!B:B)</f>
        <v>0</v>
      </c>
      <c r="J342" s="2">
        <f>_xlfn.XLOOKUP(A342,RevCHACount!A:A,RevCHACount!E:E)</f>
        <v>0</v>
      </c>
      <c r="K342" s="2">
        <f>_xlfn.XLOOKUP(A342,RevLLCCount!A:A,RevLLCCount!B:B,)</f>
        <v>0</v>
      </c>
      <c r="L342" s="2">
        <f>_xlfn.XLOOKUP(A342,RevLLCCount!A:A,RevLLCCount!E:E)</f>
        <v>0</v>
      </c>
      <c r="M342" s="1">
        <f>_xlfn.XLOOKUP(A342,RevCHACount!A:A,RevCHACount!F:F)</f>
        <v>0</v>
      </c>
      <c r="N342" s="1" t="str">
        <f>_xlfn.XLOOKUP(A342,'Other Errors'!A:A,'Other Errors'!B:B,"")</f>
        <v/>
      </c>
      <c r="O342" s="2" t="e">
        <f t="shared" si="69"/>
        <v>#N/A</v>
      </c>
      <c r="P342" s="2" t="e">
        <f t="shared" si="70"/>
        <v>#N/A</v>
      </c>
      <c r="Q342" s="2" t="e">
        <f t="shared" si="71"/>
        <v>#N/A</v>
      </c>
      <c r="R342" s="2" t="e">
        <f t="shared" si="72"/>
        <v>#N/A</v>
      </c>
      <c r="S342" s="2" t="str">
        <f t="shared" si="73"/>
        <v/>
      </c>
      <c r="T342" s="2" t="str">
        <f t="shared" si="74"/>
        <v/>
      </c>
      <c r="U342" s="8" t="str" cm="1">
        <f t="array" ref="U342">_xlfn.TEXTJOIN(", ",,_xlfn.UNIQUE(_xlfn._xlws.FILTER(EM$3:FK$3,EM342:FK342&gt;0,"")))</f>
        <v/>
      </c>
    </row>
    <row r="343" spans="6:21" x14ac:dyDescent="0.3">
      <c r="F343" s="2" cm="1">
        <f t="array" ref="F343">COUNTA(_xlfn.UNIQUE(_xlfn._xlws.FILTER(chamca[Run],(chamca[Visual ID]=A343))))</f>
        <v>1</v>
      </c>
      <c r="G343" s="2">
        <f>_xlfn.XLOOKUP(A343,RevCoreCount!A:A,RevCoreCount!B:B,)</f>
        <v>0</v>
      </c>
      <c r="H343" s="2">
        <f>_xlfn.XLOOKUP(A343,RevCoreCount!A:A,RevCoreCount!E:E,)</f>
        <v>0</v>
      </c>
      <c r="I343" s="2">
        <f>_xlfn.XLOOKUP(A343,RevCHACount!A:A,RevCHACount!B:B)</f>
        <v>0</v>
      </c>
      <c r="J343" s="2">
        <f>_xlfn.XLOOKUP(A343,RevCHACount!A:A,RevCHACount!E:E)</f>
        <v>0</v>
      </c>
      <c r="K343" s="2">
        <f>_xlfn.XLOOKUP(A343,RevLLCCount!A:A,RevLLCCount!B:B,)</f>
        <v>0</v>
      </c>
      <c r="L343" s="2">
        <f>_xlfn.XLOOKUP(A343,RevLLCCount!A:A,RevLLCCount!E:E)</f>
        <v>0</v>
      </c>
      <c r="M343" s="1">
        <f>_xlfn.XLOOKUP(A343,RevCHACount!A:A,RevCHACount!F:F)</f>
        <v>0</v>
      </c>
      <c r="N343" s="1" t="str">
        <f>_xlfn.XLOOKUP(A343,'Other Errors'!A:A,'Other Errors'!B:B,"")</f>
        <v/>
      </c>
      <c r="O343" s="2" t="e">
        <f t="shared" si="69"/>
        <v>#N/A</v>
      </c>
      <c r="P343" s="2" t="e">
        <f t="shared" si="70"/>
        <v>#N/A</v>
      </c>
      <c r="Q343" s="2" t="e">
        <f t="shared" si="71"/>
        <v>#N/A</v>
      </c>
      <c r="R343" s="2" t="e">
        <f t="shared" si="72"/>
        <v>#N/A</v>
      </c>
      <c r="S343" s="2" t="str">
        <f t="shared" si="73"/>
        <v/>
      </c>
      <c r="T343" s="2" t="str">
        <f t="shared" si="74"/>
        <v/>
      </c>
      <c r="U343" s="8" t="str" cm="1">
        <f t="array" ref="U343">_xlfn.TEXTJOIN(", ",,_xlfn.UNIQUE(_xlfn._xlws.FILTER(EM$3:FK$3,EM343:FK343&gt;0,"")))</f>
        <v/>
      </c>
    </row>
    <row r="344" spans="6:21" x14ac:dyDescent="0.3">
      <c r="F344" s="2" cm="1">
        <f t="array" ref="F344">COUNTA(_xlfn.UNIQUE(_xlfn._xlws.FILTER(chamca[Run],(chamca[Visual ID]=A344))))</f>
        <v>1</v>
      </c>
      <c r="G344" s="2">
        <f>_xlfn.XLOOKUP(A344,RevCoreCount!A:A,RevCoreCount!B:B,)</f>
        <v>0</v>
      </c>
      <c r="H344" s="2">
        <f>_xlfn.XLOOKUP(A344,RevCoreCount!A:A,RevCoreCount!E:E,)</f>
        <v>0</v>
      </c>
      <c r="I344" s="2">
        <f>_xlfn.XLOOKUP(A344,RevCHACount!A:A,RevCHACount!B:B)</f>
        <v>0</v>
      </c>
      <c r="J344" s="2">
        <f>_xlfn.XLOOKUP(A344,RevCHACount!A:A,RevCHACount!E:E)</f>
        <v>0</v>
      </c>
      <c r="K344" s="2">
        <f>_xlfn.XLOOKUP(A344,RevLLCCount!A:A,RevLLCCount!B:B,)</f>
        <v>0</v>
      </c>
      <c r="L344" s="2">
        <f>_xlfn.XLOOKUP(A344,RevLLCCount!A:A,RevLLCCount!E:E)</f>
        <v>0</v>
      </c>
      <c r="M344" s="1">
        <f>_xlfn.XLOOKUP(A344,RevCHACount!A:A,RevCHACount!F:F)</f>
        <v>0</v>
      </c>
      <c r="N344" s="1" t="str">
        <f>_xlfn.XLOOKUP(A344,'Other Errors'!A:A,'Other Errors'!B:B,"")</f>
        <v/>
      </c>
      <c r="O344" s="2" t="e">
        <f t="shared" si="69"/>
        <v>#N/A</v>
      </c>
      <c r="P344" s="2" t="e">
        <f t="shared" si="70"/>
        <v>#N/A</v>
      </c>
      <c r="Q344" s="2" t="e">
        <f t="shared" si="71"/>
        <v>#N/A</v>
      </c>
      <c r="R344" s="2" t="e">
        <f t="shared" si="72"/>
        <v>#N/A</v>
      </c>
      <c r="S344" s="2" t="str">
        <f t="shared" si="73"/>
        <v/>
      </c>
      <c r="T344" s="2" t="str">
        <f t="shared" si="74"/>
        <v/>
      </c>
      <c r="U344" s="8" t="str" cm="1">
        <f t="array" ref="U344">_xlfn.TEXTJOIN(", ",,_xlfn.UNIQUE(_xlfn._xlws.FILTER(EM$3:FK$3,EM344:FK344&gt;0,"")))</f>
        <v/>
      </c>
    </row>
    <row r="345" spans="6:21" x14ac:dyDescent="0.3">
      <c r="F345" s="2" cm="1">
        <f t="array" ref="F345">COUNTA(_xlfn.UNIQUE(_xlfn._xlws.FILTER(chamca[Run],(chamca[Visual ID]=A345))))</f>
        <v>1</v>
      </c>
      <c r="G345" s="2">
        <f>_xlfn.XLOOKUP(A345,RevCoreCount!A:A,RevCoreCount!B:B,)</f>
        <v>0</v>
      </c>
      <c r="H345" s="2">
        <f>_xlfn.XLOOKUP(A345,RevCoreCount!A:A,RevCoreCount!E:E,)</f>
        <v>0</v>
      </c>
      <c r="I345" s="2">
        <f>_xlfn.XLOOKUP(A345,RevCHACount!A:A,RevCHACount!B:B)</f>
        <v>0</v>
      </c>
      <c r="J345" s="2">
        <f>_xlfn.XLOOKUP(A345,RevCHACount!A:A,RevCHACount!E:E)</f>
        <v>0</v>
      </c>
      <c r="K345" s="2">
        <f>_xlfn.XLOOKUP(A345,RevLLCCount!A:A,RevLLCCount!B:B,)</f>
        <v>0</v>
      </c>
      <c r="L345" s="2">
        <f>_xlfn.XLOOKUP(A345,RevLLCCount!A:A,RevLLCCount!E:E)</f>
        <v>0</v>
      </c>
      <c r="M345" s="1">
        <f>_xlfn.XLOOKUP(A345,RevCHACount!A:A,RevCHACount!F:F)</f>
        <v>0</v>
      </c>
      <c r="N345" s="1" t="str">
        <f>_xlfn.XLOOKUP(A345,'Other Errors'!A:A,'Other Errors'!B:B,"")</f>
        <v/>
      </c>
      <c r="O345" s="2" t="e">
        <f t="shared" ref="O345:O358" si="75">_xlfn.XLOOKUP(MAX(X345:BH345),X345:BH345,X$3:BH$3)</f>
        <v>#N/A</v>
      </c>
      <c r="P345" s="2" t="e">
        <f t="shared" ref="P345:P358" si="76">_xlfn.XLOOKUP(MAX(BJ345:CO345),BJ345:CO345,BJ$3:CO$3)</f>
        <v>#N/A</v>
      </c>
      <c r="Q345" s="2" t="e">
        <f t="shared" ref="Q345:Q358" si="77">_xlfn.XLOOKUP(MAX(CZ345:DI345),CZ345:DI345,CZ$3:DI$3)</f>
        <v>#N/A</v>
      </c>
      <c r="R345" s="2" t="e">
        <f t="shared" ref="R345:R358" si="78">_xlfn.XLOOKUP(MAX(CQ345:CX345),CQ345:CX345,CQ$3:CX$3)</f>
        <v>#N/A</v>
      </c>
      <c r="S345" s="2" t="str">
        <f t="shared" ref="S345:S358" si="79">_xlfn.XLOOKUP(MAX(DK345:EI345),DK345:EI345,DK$3:EI$3,"")</f>
        <v/>
      </c>
      <c r="T345" s="2" t="str">
        <f t="shared" si="74"/>
        <v/>
      </c>
      <c r="U345" s="8" t="str" cm="1">
        <f t="array" ref="U345">_xlfn.TEXTJOIN(", ",,_xlfn.UNIQUE(_xlfn._xlws.FILTER(EM$3:FK$3,EM345:FK345&gt;0,"")))</f>
        <v/>
      </c>
    </row>
    <row r="346" spans="6:21" x14ac:dyDescent="0.3">
      <c r="F346" s="2" cm="1">
        <f t="array" ref="F346">COUNTA(_xlfn.UNIQUE(_xlfn._xlws.FILTER(chamca[Run],(chamca[Visual ID]=A346))))</f>
        <v>1</v>
      </c>
      <c r="G346" s="2">
        <f>_xlfn.XLOOKUP(A346,RevCoreCount!A:A,RevCoreCount!B:B,)</f>
        <v>0</v>
      </c>
      <c r="H346" s="2">
        <f>_xlfn.XLOOKUP(A346,RevCoreCount!A:A,RevCoreCount!E:E,)</f>
        <v>0</v>
      </c>
      <c r="I346" s="2">
        <f>_xlfn.XLOOKUP(A346,RevCHACount!A:A,RevCHACount!B:B)</f>
        <v>0</v>
      </c>
      <c r="J346" s="2">
        <f>_xlfn.XLOOKUP(A346,RevCHACount!A:A,RevCHACount!E:E)</f>
        <v>0</v>
      </c>
      <c r="K346" s="2">
        <f>_xlfn.XLOOKUP(A346,RevLLCCount!A:A,RevLLCCount!B:B,)</f>
        <v>0</v>
      </c>
      <c r="L346" s="2">
        <f>_xlfn.XLOOKUP(A346,RevLLCCount!A:A,RevLLCCount!E:E)</f>
        <v>0</v>
      </c>
      <c r="M346" s="1">
        <f>_xlfn.XLOOKUP(A346,RevCHACount!A:A,RevCHACount!F:F)</f>
        <v>0</v>
      </c>
      <c r="N346" s="1" t="str">
        <f>_xlfn.XLOOKUP(A346,'Other Errors'!A:A,'Other Errors'!B:B,"")</f>
        <v/>
      </c>
      <c r="O346" s="2" t="e">
        <f t="shared" si="75"/>
        <v>#N/A</v>
      </c>
      <c r="P346" s="2" t="e">
        <f t="shared" si="76"/>
        <v>#N/A</v>
      </c>
      <c r="Q346" s="2" t="e">
        <f t="shared" si="77"/>
        <v>#N/A</v>
      </c>
      <c r="R346" s="2" t="e">
        <f t="shared" si="78"/>
        <v>#N/A</v>
      </c>
      <c r="S346" s="2" t="str">
        <f t="shared" si="79"/>
        <v/>
      </c>
      <c r="T346" s="2" t="str">
        <f t="shared" si="74"/>
        <v/>
      </c>
      <c r="U346" s="8" t="str" cm="1">
        <f t="array" ref="U346">_xlfn.TEXTJOIN(", ",,_xlfn.UNIQUE(_xlfn._xlws.FILTER(EM$3:FK$3,EM346:FK346&gt;0,"")))</f>
        <v/>
      </c>
    </row>
    <row r="347" spans="6:21" x14ac:dyDescent="0.3">
      <c r="F347" s="2" cm="1">
        <f t="array" ref="F347">COUNTA(_xlfn.UNIQUE(_xlfn._xlws.FILTER(chamca[Run],(chamca[Visual ID]=A347))))</f>
        <v>1</v>
      </c>
      <c r="G347" s="2">
        <f>_xlfn.XLOOKUP(A347,RevCoreCount!A:A,RevCoreCount!B:B,)</f>
        <v>0</v>
      </c>
      <c r="H347" s="2">
        <f>_xlfn.XLOOKUP(A347,RevCoreCount!A:A,RevCoreCount!E:E,)</f>
        <v>0</v>
      </c>
      <c r="I347" s="2">
        <f>_xlfn.XLOOKUP(A347,RevCHACount!A:A,RevCHACount!B:B)</f>
        <v>0</v>
      </c>
      <c r="J347" s="2">
        <f>_xlfn.XLOOKUP(A347,RevCHACount!A:A,RevCHACount!E:E)</f>
        <v>0</v>
      </c>
      <c r="K347" s="2">
        <f>_xlfn.XLOOKUP(A347,RevLLCCount!A:A,RevLLCCount!B:B,)</f>
        <v>0</v>
      </c>
      <c r="L347" s="2">
        <f>_xlfn.XLOOKUP(A347,RevLLCCount!A:A,RevLLCCount!E:E)</f>
        <v>0</v>
      </c>
      <c r="M347" s="1">
        <f>_xlfn.XLOOKUP(A347,RevCHACount!A:A,RevCHACount!F:F)</f>
        <v>0</v>
      </c>
      <c r="N347" s="1" t="str">
        <f>_xlfn.XLOOKUP(A347,'Other Errors'!A:A,'Other Errors'!B:B,"")</f>
        <v/>
      </c>
      <c r="O347" s="2" t="e">
        <f t="shared" si="75"/>
        <v>#N/A</v>
      </c>
      <c r="P347" s="2" t="e">
        <f t="shared" si="76"/>
        <v>#N/A</v>
      </c>
      <c r="Q347" s="2" t="e">
        <f t="shared" si="77"/>
        <v>#N/A</v>
      </c>
      <c r="R347" s="2" t="e">
        <f t="shared" si="78"/>
        <v>#N/A</v>
      </c>
      <c r="S347" s="2" t="str">
        <f t="shared" si="79"/>
        <v/>
      </c>
      <c r="T347" s="2" t="str">
        <f t="shared" si="74"/>
        <v/>
      </c>
      <c r="U347" s="8" t="str" cm="1">
        <f t="array" ref="U347">_xlfn.TEXTJOIN(", ",,_xlfn.UNIQUE(_xlfn._xlws.FILTER(EM$3:FK$3,EM347:FK347&gt;0,"")))</f>
        <v/>
      </c>
    </row>
    <row r="348" spans="6:21" x14ac:dyDescent="0.3">
      <c r="F348" s="2" cm="1">
        <f t="array" ref="F348">COUNTA(_xlfn.UNIQUE(_xlfn._xlws.FILTER(chamca[Run],(chamca[Visual ID]=A348))))</f>
        <v>1</v>
      </c>
      <c r="G348" s="2">
        <f>_xlfn.XLOOKUP(A348,RevCoreCount!A:A,RevCoreCount!B:B,)</f>
        <v>0</v>
      </c>
      <c r="H348" s="2">
        <f>_xlfn.XLOOKUP(A348,RevCoreCount!A:A,RevCoreCount!E:E,)</f>
        <v>0</v>
      </c>
      <c r="I348" s="2">
        <f>_xlfn.XLOOKUP(A348,RevCHACount!A:A,RevCHACount!B:B)</f>
        <v>0</v>
      </c>
      <c r="J348" s="2">
        <f>_xlfn.XLOOKUP(A348,RevCHACount!A:A,RevCHACount!E:E)</f>
        <v>0</v>
      </c>
      <c r="K348" s="2">
        <f>_xlfn.XLOOKUP(A348,RevLLCCount!A:A,RevLLCCount!B:B,)</f>
        <v>0</v>
      </c>
      <c r="L348" s="2">
        <f>_xlfn.XLOOKUP(A348,RevLLCCount!A:A,RevLLCCount!E:E)</f>
        <v>0</v>
      </c>
      <c r="M348" s="1">
        <f>_xlfn.XLOOKUP(A348,RevCHACount!A:A,RevCHACount!F:F)</f>
        <v>0</v>
      </c>
      <c r="N348" s="1" t="str">
        <f>_xlfn.XLOOKUP(A348,'Other Errors'!A:A,'Other Errors'!B:B,"")</f>
        <v/>
      </c>
      <c r="O348" s="2" t="e">
        <f t="shared" si="75"/>
        <v>#N/A</v>
      </c>
      <c r="P348" s="2" t="e">
        <f t="shared" si="76"/>
        <v>#N/A</v>
      </c>
      <c r="Q348" s="2" t="e">
        <f t="shared" si="77"/>
        <v>#N/A</v>
      </c>
      <c r="R348" s="2" t="e">
        <f t="shared" si="78"/>
        <v>#N/A</v>
      </c>
      <c r="S348" s="2" t="str">
        <f t="shared" si="79"/>
        <v/>
      </c>
      <c r="T348" s="2" t="str">
        <f t="shared" si="74"/>
        <v/>
      </c>
      <c r="U348" s="8" t="str" cm="1">
        <f t="array" ref="U348">_xlfn.TEXTJOIN(", ",,_xlfn.UNIQUE(_xlfn._xlws.FILTER(EM$3:FK$3,EM348:FK348&gt;0,"")))</f>
        <v/>
      </c>
    </row>
    <row r="349" spans="6:21" x14ac:dyDescent="0.3">
      <c r="F349" s="2" cm="1">
        <f t="array" ref="F349">COUNTA(_xlfn.UNIQUE(_xlfn._xlws.FILTER(chamca[Run],(chamca[Visual ID]=A349))))</f>
        <v>1</v>
      </c>
      <c r="G349" s="2">
        <f>_xlfn.XLOOKUP(A349,RevCoreCount!A:A,RevCoreCount!B:B,)</f>
        <v>0</v>
      </c>
      <c r="H349" s="2">
        <f>_xlfn.XLOOKUP(A349,RevCoreCount!A:A,RevCoreCount!E:E,)</f>
        <v>0</v>
      </c>
      <c r="I349" s="2">
        <f>_xlfn.XLOOKUP(A349,RevCHACount!A:A,RevCHACount!B:B)</f>
        <v>0</v>
      </c>
      <c r="J349" s="2">
        <f>_xlfn.XLOOKUP(A349,RevCHACount!A:A,RevCHACount!E:E)</f>
        <v>0</v>
      </c>
      <c r="K349" s="2">
        <f>_xlfn.XLOOKUP(A349,RevLLCCount!A:A,RevLLCCount!B:B,)</f>
        <v>0</v>
      </c>
      <c r="L349" s="2">
        <f>_xlfn.XLOOKUP(A349,RevLLCCount!A:A,RevLLCCount!E:E)</f>
        <v>0</v>
      </c>
      <c r="M349" s="1">
        <f>_xlfn.XLOOKUP(A349,RevCHACount!A:A,RevCHACount!F:F)</f>
        <v>0</v>
      </c>
      <c r="N349" s="1" t="str">
        <f>_xlfn.XLOOKUP(A349,'Other Errors'!A:A,'Other Errors'!B:B,"")</f>
        <v/>
      </c>
      <c r="O349" s="2" t="e">
        <f t="shared" si="75"/>
        <v>#N/A</v>
      </c>
      <c r="P349" s="2" t="e">
        <f t="shared" si="76"/>
        <v>#N/A</v>
      </c>
      <c r="Q349" s="2" t="e">
        <f t="shared" si="77"/>
        <v>#N/A</v>
      </c>
      <c r="R349" s="2" t="e">
        <f t="shared" si="78"/>
        <v>#N/A</v>
      </c>
      <c r="S349" s="2" t="str">
        <f t="shared" si="79"/>
        <v/>
      </c>
      <c r="T349" s="2" t="str">
        <f t="shared" si="74"/>
        <v/>
      </c>
      <c r="U349" s="8" t="str" cm="1">
        <f t="array" ref="U349">_xlfn.TEXTJOIN(", ",,_xlfn.UNIQUE(_xlfn._xlws.FILTER(EM$3:FK$3,EM349:FK349&gt;0,"")))</f>
        <v/>
      </c>
    </row>
    <row r="350" spans="6:21" x14ac:dyDescent="0.3">
      <c r="F350" s="2" cm="1">
        <f t="array" ref="F350">COUNTA(_xlfn.UNIQUE(_xlfn._xlws.FILTER(chamca[Run],(chamca[Visual ID]=A350))))</f>
        <v>1</v>
      </c>
      <c r="G350" s="2">
        <f>_xlfn.XLOOKUP(A350,RevCoreCount!A:A,RevCoreCount!B:B,)</f>
        <v>0</v>
      </c>
      <c r="H350" s="2">
        <f>_xlfn.XLOOKUP(A350,RevCoreCount!A:A,RevCoreCount!E:E,)</f>
        <v>0</v>
      </c>
      <c r="I350" s="2">
        <f>_xlfn.XLOOKUP(A350,RevCHACount!A:A,RevCHACount!B:B)</f>
        <v>0</v>
      </c>
      <c r="J350" s="2">
        <f>_xlfn.XLOOKUP(A350,RevCHACount!A:A,RevCHACount!E:E)</f>
        <v>0</v>
      </c>
      <c r="K350" s="2">
        <f>_xlfn.XLOOKUP(A350,RevLLCCount!A:A,RevLLCCount!B:B,)</f>
        <v>0</v>
      </c>
      <c r="L350" s="2">
        <f>_xlfn.XLOOKUP(A350,RevLLCCount!A:A,RevLLCCount!E:E)</f>
        <v>0</v>
      </c>
      <c r="M350" s="1">
        <f>_xlfn.XLOOKUP(A350,RevCHACount!A:A,RevCHACount!F:F)</f>
        <v>0</v>
      </c>
      <c r="N350" s="1" t="str">
        <f>_xlfn.XLOOKUP(A350,'Other Errors'!A:A,'Other Errors'!B:B,"")</f>
        <v/>
      </c>
      <c r="O350" s="2" t="e">
        <f t="shared" si="75"/>
        <v>#N/A</v>
      </c>
      <c r="P350" s="2" t="e">
        <f t="shared" si="76"/>
        <v>#N/A</v>
      </c>
      <c r="Q350" s="2" t="e">
        <f t="shared" si="77"/>
        <v>#N/A</v>
      </c>
      <c r="R350" s="2" t="e">
        <f t="shared" si="78"/>
        <v>#N/A</v>
      </c>
      <c r="S350" s="2" t="str">
        <f t="shared" si="79"/>
        <v/>
      </c>
      <c r="T350" s="2" t="str">
        <f t="shared" si="74"/>
        <v/>
      </c>
      <c r="U350" s="8" t="str" cm="1">
        <f t="array" ref="U350">_xlfn.TEXTJOIN(", ",,_xlfn.UNIQUE(_xlfn._xlws.FILTER(EM$3:FK$3,EM350:FK350&gt;0,"")))</f>
        <v/>
      </c>
    </row>
    <row r="351" spans="6:21" x14ac:dyDescent="0.3">
      <c r="F351" s="2" cm="1">
        <f t="array" ref="F351">COUNTA(_xlfn.UNIQUE(_xlfn._xlws.FILTER(chamca[Run],(chamca[Visual ID]=A351))))</f>
        <v>1</v>
      </c>
      <c r="G351" s="2">
        <f>_xlfn.XLOOKUP(A351,RevCoreCount!A:A,RevCoreCount!B:B,)</f>
        <v>0</v>
      </c>
      <c r="H351" s="2">
        <f>_xlfn.XLOOKUP(A351,RevCoreCount!A:A,RevCoreCount!E:E,)</f>
        <v>0</v>
      </c>
      <c r="I351" s="2">
        <f>_xlfn.XLOOKUP(A351,RevCHACount!A:A,RevCHACount!B:B)</f>
        <v>0</v>
      </c>
      <c r="J351" s="2">
        <f>_xlfn.XLOOKUP(A351,RevCHACount!A:A,RevCHACount!E:E)</f>
        <v>0</v>
      </c>
      <c r="K351" s="2">
        <f>_xlfn.XLOOKUP(A351,RevLLCCount!A:A,RevLLCCount!B:B,)</f>
        <v>0</v>
      </c>
      <c r="L351" s="2">
        <f>_xlfn.XLOOKUP(A351,RevLLCCount!A:A,RevLLCCount!E:E)</f>
        <v>0</v>
      </c>
      <c r="M351" s="1">
        <f>_xlfn.XLOOKUP(A351,RevCHACount!A:A,RevCHACount!F:F)</f>
        <v>0</v>
      </c>
      <c r="N351" s="1" t="str">
        <f>_xlfn.XLOOKUP(A351,'Other Errors'!A:A,'Other Errors'!B:B,"")</f>
        <v/>
      </c>
      <c r="O351" s="2" t="e">
        <f t="shared" si="75"/>
        <v>#N/A</v>
      </c>
      <c r="P351" s="2" t="e">
        <f t="shared" si="76"/>
        <v>#N/A</v>
      </c>
      <c r="Q351" s="2" t="e">
        <f t="shared" si="77"/>
        <v>#N/A</v>
      </c>
      <c r="R351" s="2" t="e">
        <f t="shared" si="78"/>
        <v>#N/A</v>
      </c>
      <c r="S351" s="2" t="str">
        <f t="shared" si="79"/>
        <v/>
      </c>
      <c r="T351" s="2" t="str">
        <f t="shared" si="74"/>
        <v/>
      </c>
      <c r="U351" s="8" t="str" cm="1">
        <f t="array" ref="U351">_xlfn.TEXTJOIN(", ",,_xlfn.UNIQUE(_xlfn._xlws.FILTER(EM$3:FK$3,EM351:FK351&gt;0,"")))</f>
        <v/>
      </c>
    </row>
    <row r="352" spans="6:21" x14ac:dyDescent="0.3">
      <c r="F352" s="2" cm="1">
        <f t="array" ref="F352">COUNTA(_xlfn.UNIQUE(_xlfn._xlws.FILTER(chamca[Run],(chamca[Visual ID]=A352))))</f>
        <v>1</v>
      </c>
      <c r="G352" s="2">
        <f>_xlfn.XLOOKUP(A352,RevCoreCount!A:A,RevCoreCount!B:B,)</f>
        <v>0</v>
      </c>
      <c r="H352" s="2">
        <f>_xlfn.XLOOKUP(A352,RevCoreCount!A:A,RevCoreCount!E:E,)</f>
        <v>0</v>
      </c>
      <c r="I352" s="2">
        <f>_xlfn.XLOOKUP(A352,RevCHACount!A:A,RevCHACount!B:B)</f>
        <v>0</v>
      </c>
      <c r="J352" s="2">
        <f>_xlfn.XLOOKUP(A352,RevCHACount!A:A,RevCHACount!E:E)</f>
        <v>0</v>
      </c>
      <c r="K352" s="2">
        <f>_xlfn.XLOOKUP(A352,RevLLCCount!A:A,RevLLCCount!B:B,)</f>
        <v>0</v>
      </c>
      <c r="L352" s="2">
        <f>_xlfn.XLOOKUP(A352,RevLLCCount!A:A,RevLLCCount!E:E)</f>
        <v>0</v>
      </c>
      <c r="M352" s="1">
        <f>_xlfn.XLOOKUP(A352,RevCHACount!A:A,RevCHACount!F:F)</f>
        <v>0</v>
      </c>
      <c r="N352" s="1" t="str">
        <f>_xlfn.XLOOKUP(A352,'Other Errors'!A:A,'Other Errors'!B:B,"")</f>
        <v/>
      </c>
      <c r="O352" s="2" t="e">
        <f t="shared" si="75"/>
        <v>#N/A</v>
      </c>
      <c r="P352" s="2" t="e">
        <f t="shared" si="76"/>
        <v>#N/A</v>
      </c>
      <c r="Q352" s="2" t="e">
        <f t="shared" si="77"/>
        <v>#N/A</v>
      </c>
      <c r="R352" s="2" t="e">
        <f t="shared" si="78"/>
        <v>#N/A</v>
      </c>
      <c r="S352" s="2" t="str">
        <f t="shared" si="79"/>
        <v/>
      </c>
      <c r="T352" s="2" t="str">
        <f t="shared" si="74"/>
        <v/>
      </c>
      <c r="U352" s="8" t="str" cm="1">
        <f t="array" ref="U352">_xlfn.TEXTJOIN(", ",,_xlfn.UNIQUE(_xlfn._xlws.FILTER(EM$3:FK$3,EM352:FK352&gt;0,"")))</f>
        <v/>
      </c>
    </row>
    <row r="353" spans="6:21" x14ac:dyDescent="0.3">
      <c r="F353" s="2" cm="1">
        <f t="array" ref="F353">COUNTA(_xlfn.UNIQUE(_xlfn._xlws.FILTER(chamca[Run],(chamca[Visual ID]=A353))))</f>
        <v>1</v>
      </c>
      <c r="G353" s="2">
        <f>_xlfn.XLOOKUP(A353,RevCoreCount!A:A,RevCoreCount!B:B,)</f>
        <v>0</v>
      </c>
      <c r="H353" s="2">
        <f>_xlfn.XLOOKUP(A353,RevCoreCount!A:A,RevCoreCount!E:E,)</f>
        <v>0</v>
      </c>
      <c r="I353" s="2">
        <f>_xlfn.XLOOKUP(A353,RevCHACount!A:A,RevCHACount!B:B)</f>
        <v>0</v>
      </c>
      <c r="J353" s="2">
        <f>_xlfn.XLOOKUP(A353,RevCHACount!A:A,RevCHACount!E:E)</f>
        <v>0</v>
      </c>
      <c r="K353" s="2">
        <f>_xlfn.XLOOKUP(A353,RevLLCCount!A:A,RevLLCCount!B:B,)</f>
        <v>0</v>
      </c>
      <c r="L353" s="2">
        <f>_xlfn.XLOOKUP(A353,RevLLCCount!A:A,RevLLCCount!E:E)</f>
        <v>0</v>
      </c>
      <c r="M353" s="1">
        <f>_xlfn.XLOOKUP(A353,RevCHACount!A:A,RevCHACount!F:F)</f>
        <v>0</v>
      </c>
      <c r="N353" s="1" t="str">
        <f>_xlfn.XLOOKUP(A353,'Other Errors'!A:A,'Other Errors'!B:B,"")</f>
        <v/>
      </c>
      <c r="O353" s="2" t="e">
        <f t="shared" si="75"/>
        <v>#N/A</v>
      </c>
      <c r="P353" s="2" t="e">
        <f t="shared" si="76"/>
        <v>#N/A</v>
      </c>
      <c r="Q353" s="2" t="e">
        <f t="shared" si="77"/>
        <v>#N/A</v>
      </c>
      <c r="R353" s="2" t="e">
        <f t="shared" si="78"/>
        <v>#N/A</v>
      </c>
      <c r="S353" s="2" t="str">
        <f t="shared" si="79"/>
        <v/>
      </c>
      <c r="T353" s="2" t="str">
        <f t="shared" si="74"/>
        <v/>
      </c>
      <c r="U353" s="8" t="str" cm="1">
        <f t="array" ref="U353">_xlfn.TEXTJOIN(", ",,_xlfn.UNIQUE(_xlfn._xlws.FILTER(EM$3:FK$3,EM353:FK353&gt;0,"")))</f>
        <v/>
      </c>
    </row>
    <row r="354" spans="6:21" x14ac:dyDescent="0.3">
      <c r="F354" s="2" cm="1">
        <f t="array" ref="F354">COUNTA(_xlfn.UNIQUE(_xlfn._xlws.FILTER(chamca[Run],(chamca[Visual ID]=A354))))</f>
        <v>1</v>
      </c>
      <c r="G354" s="2">
        <f>_xlfn.XLOOKUP(A354,RevCoreCount!A:A,RevCoreCount!B:B,)</f>
        <v>0</v>
      </c>
      <c r="H354" s="2">
        <f>_xlfn.XLOOKUP(A354,RevCoreCount!A:A,RevCoreCount!E:E,)</f>
        <v>0</v>
      </c>
      <c r="I354" s="2">
        <f>_xlfn.XLOOKUP(A354,RevCHACount!A:A,RevCHACount!B:B)</f>
        <v>0</v>
      </c>
      <c r="J354" s="2">
        <f>_xlfn.XLOOKUP(A354,RevCHACount!A:A,RevCHACount!E:E)</f>
        <v>0</v>
      </c>
      <c r="K354" s="2">
        <f>_xlfn.XLOOKUP(A354,RevLLCCount!A:A,RevLLCCount!B:B,)</f>
        <v>0</v>
      </c>
      <c r="L354" s="2">
        <f>_xlfn.XLOOKUP(A354,RevLLCCount!A:A,RevLLCCount!E:E)</f>
        <v>0</v>
      </c>
      <c r="M354" s="1">
        <f>_xlfn.XLOOKUP(A354,RevCHACount!A:A,RevCHACount!F:F)</f>
        <v>0</v>
      </c>
      <c r="N354" s="1" t="str">
        <f>_xlfn.XLOOKUP(A354,'Other Errors'!A:A,'Other Errors'!B:B,"")</f>
        <v/>
      </c>
      <c r="O354" s="2" t="e">
        <f t="shared" si="75"/>
        <v>#N/A</v>
      </c>
      <c r="P354" s="2" t="e">
        <f t="shared" si="76"/>
        <v>#N/A</v>
      </c>
      <c r="Q354" s="2" t="e">
        <f t="shared" si="77"/>
        <v>#N/A</v>
      </c>
      <c r="R354" s="2" t="e">
        <f t="shared" si="78"/>
        <v>#N/A</v>
      </c>
      <c r="S354" s="2" t="str">
        <f t="shared" si="79"/>
        <v/>
      </c>
      <c r="T354" s="2" t="str">
        <f t="shared" si="74"/>
        <v/>
      </c>
      <c r="U354" s="8" t="str" cm="1">
        <f t="array" ref="U354">_xlfn.TEXTJOIN(", ",,_xlfn.UNIQUE(_xlfn._xlws.FILTER(EM$3:FK$3,EM354:FK354&gt;0,"")))</f>
        <v/>
      </c>
    </row>
    <row r="355" spans="6:21" x14ac:dyDescent="0.3">
      <c r="F355" s="2" cm="1">
        <f t="array" ref="F355">COUNTA(_xlfn.UNIQUE(_xlfn._xlws.FILTER(chamca[Run],(chamca[Visual ID]=A355))))</f>
        <v>1</v>
      </c>
      <c r="G355" s="2">
        <f>_xlfn.XLOOKUP(A355,RevCoreCount!A:A,RevCoreCount!B:B,)</f>
        <v>0</v>
      </c>
      <c r="H355" s="2">
        <f>_xlfn.XLOOKUP(A355,RevCoreCount!A:A,RevCoreCount!E:E,)</f>
        <v>0</v>
      </c>
      <c r="I355" s="2">
        <f>_xlfn.XLOOKUP(A355,RevCHACount!A:A,RevCHACount!B:B)</f>
        <v>0</v>
      </c>
      <c r="J355" s="2">
        <f>_xlfn.XLOOKUP(A355,RevCHACount!A:A,RevCHACount!E:E)</f>
        <v>0</v>
      </c>
      <c r="K355" s="2">
        <f>_xlfn.XLOOKUP(A355,RevLLCCount!A:A,RevLLCCount!B:B,)</f>
        <v>0</v>
      </c>
      <c r="L355" s="2">
        <f>_xlfn.XLOOKUP(A355,RevLLCCount!A:A,RevLLCCount!E:E)</f>
        <v>0</v>
      </c>
      <c r="M355" s="1">
        <f>_xlfn.XLOOKUP(A355,RevCHACount!A:A,RevCHACount!F:F)</f>
        <v>0</v>
      </c>
      <c r="N355" s="1" t="str">
        <f>_xlfn.XLOOKUP(A355,'Other Errors'!A:A,'Other Errors'!B:B,"")</f>
        <v/>
      </c>
      <c r="O355" s="2" t="e">
        <f t="shared" si="75"/>
        <v>#N/A</v>
      </c>
      <c r="P355" s="2" t="e">
        <f t="shared" si="76"/>
        <v>#N/A</v>
      </c>
      <c r="Q355" s="2" t="e">
        <f t="shared" si="77"/>
        <v>#N/A</v>
      </c>
      <c r="R355" s="2" t="e">
        <f t="shared" si="78"/>
        <v>#N/A</v>
      </c>
      <c r="S355" s="2" t="str">
        <f t="shared" si="79"/>
        <v/>
      </c>
      <c r="T355" s="2" t="str">
        <f t="shared" si="74"/>
        <v/>
      </c>
      <c r="U355" s="8" t="str" cm="1">
        <f t="array" ref="U355">_xlfn.TEXTJOIN(", ",,_xlfn.UNIQUE(_xlfn._xlws.FILTER(EM$3:FK$3,EM355:FK355&gt;0,"")))</f>
        <v/>
      </c>
    </row>
    <row r="356" spans="6:21" x14ac:dyDescent="0.3">
      <c r="F356" s="2" cm="1">
        <f t="array" ref="F356">COUNTA(_xlfn.UNIQUE(_xlfn._xlws.FILTER(chamca[Run],(chamca[Visual ID]=A356))))</f>
        <v>1</v>
      </c>
      <c r="G356" s="2">
        <f>_xlfn.XLOOKUP(A356,RevCoreCount!A:A,RevCoreCount!B:B,)</f>
        <v>0</v>
      </c>
      <c r="H356" s="2">
        <f>_xlfn.XLOOKUP(A356,RevCoreCount!A:A,RevCoreCount!E:E,)</f>
        <v>0</v>
      </c>
      <c r="I356" s="2">
        <f>_xlfn.XLOOKUP(A356,RevCHACount!A:A,RevCHACount!B:B)</f>
        <v>0</v>
      </c>
      <c r="J356" s="2">
        <f>_xlfn.XLOOKUP(A356,RevCHACount!A:A,RevCHACount!E:E)</f>
        <v>0</v>
      </c>
      <c r="K356" s="2">
        <f>_xlfn.XLOOKUP(A356,RevLLCCount!A:A,RevLLCCount!B:B,)</f>
        <v>0</v>
      </c>
      <c r="L356" s="2">
        <f>_xlfn.XLOOKUP(A356,RevLLCCount!A:A,RevLLCCount!E:E)</f>
        <v>0</v>
      </c>
      <c r="M356" s="1">
        <f>_xlfn.XLOOKUP(A356,RevCHACount!A:A,RevCHACount!F:F)</f>
        <v>0</v>
      </c>
      <c r="N356" s="1" t="str">
        <f>_xlfn.XLOOKUP(A356,'Other Errors'!A:A,'Other Errors'!B:B,"")</f>
        <v/>
      </c>
      <c r="O356" s="2" t="e">
        <f t="shared" si="75"/>
        <v>#N/A</v>
      </c>
      <c r="P356" s="2" t="e">
        <f t="shared" si="76"/>
        <v>#N/A</v>
      </c>
      <c r="Q356" s="2" t="e">
        <f t="shared" si="77"/>
        <v>#N/A</v>
      </c>
      <c r="R356" s="2" t="e">
        <f t="shared" si="78"/>
        <v>#N/A</v>
      </c>
      <c r="S356" s="2" t="str">
        <f t="shared" si="79"/>
        <v/>
      </c>
      <c r="T356" s="2" t="str">
        <f t="shared" si="74"/>
        <v/>
      </c>
      <c r="U356" s="8" t="str" cm="1">
        <f t="array" ref="U356">_xlfn.TEXTJOIN(", ",,_xlfn.UNIQUE(_xlfn._xlws.FILTER(EM$3:FK$3,EM356:FK356&gt;0,"")))</f>
        <v/>
      </c>
    </row>
    <row r="357" spans="6:21" x14ac:dyDescent="0.3">
      <c r="F357" s="2" cm="1">
        <f t="array" ref="F357">COUNTA(_xlfn.UNIQUE(_xlfn._xlws.FILTER(chamca[Run],(chamca[Visual ID]=A357))))</f>
        <v>1</v>
      </c>
      <c r="G357" s="2">
        <f>_xlfn.XLOOKUP(A357,RevCoreCount!A:A,RevCoreCount!B:B,)</f>
        <v>0</v>
      </c>
      <c r="H357" s="2">
        <f>_xlfn.XLOOKUP(A357,RevCoreCount!A:A,RevCoreCount!E:E,)</f>
        <v>0</v>
      </c>
      <c r="I357" s="2">
        <f>_xlfn.XLOOKUP(A357,RevCHACount!A:A,RevCHACount!B:B)</f>
        <v>0</v>
      </c>
      <c r="J357" s="2">
        <f>_xlfn.XLOOKUP(A357,RevCHACount!A:A,RevCHACount!E:E)</f>
        <v>0</v>
      </c>
      <c r="K357" s="2">
        <f>_xlfn.XLOOKUP(A357,RevLLCCount!A:A,RevLLCCount!B:B,)</f>
        <v>0</v>
      </c>
      <c r="L357" s="2">
        <f>_xlfn.XLOOKUP(A357,RevLLCCount!A:A,RevLLCCount!E:E)</f>
        <v>0</v>
      </c>
      <c r="M357" s="1">
        <f>_xlfn.XLOOKUP(A357,RevCHACount!A:A,RevCHACount!F:F)</f>
        <v>0</v>
      </c>
      <c r="N357" s="1" t="str">
        <f>_xlfn.XLOOKUP(A357,'Other Errors'!A:A,'Other Errors'!B:B,"")</f>
        <v/>
      </c>
      <c r="O357" s="2" t="e">
        <f t="shared" si="75"/>
        <v>#N/A</v>
      </c>
      <c r="P357" s="2" t="e">
        <f t="shared" si="76"/>
        <v>#N/A</v>
      </c>
      <c r="Q357" s="2" t="e">
        <f t="shared" si="77"/>
        <v>#N/A</v>
      </c>
      <c r="R357" s="2" t="e">
        <f t="shared" si="78"/>
        <v>#N/A</v>
      </c>
      <c r="S357" s="2" t="str">
        <f t="shared" si="79"/>
        <v/>
      </c>
      <c r="T357" s="2" t="str">
        <f t="shared" si="74"/>
        <v/>
      </c>
      <c r="U357" s="8" t="str" cm="1">
        <f t="array" ref="U357">_xlfn.TEXTJOIN(", ",,_xlfn.UNIQUE(_xlfn._xlws.FILTER(EM$3:FK$3,EM357:FK357&gt;0,"")))</f>
        <v/>
      </c>
    </row>
    <row r="358" spans="6:21" x14ac:dyDescent="0.3">
      <c r="F358" s="2" cm="1">
        <f t="array" ref="F358">COUNTA(_xlfn.UNIQUE(_xlfn._xlws.FILTER(chamca[Run],(chamca[Visual ID]=A358))))</f>
        <v>1</v>
      </c>
      <c r="G358" s="2">
        <f>_xlfn.XLOOKUP(A358,RevCoreCount!A:A,RevCoreCount!B:B,)</f>
        <v>0</v>
      </c>
      <c r="H358" s="2">
        <f>_xlfn.XLOOKUP(A358,RevCoreCount!A:A,RevCoreCount!E:E,)</f>
        <v>0</v>
      </c>
      <c r="I358" s="2">
        <f>_xlfn.XLOOKUP(A358,RevCHACount!A:A,RevCHACount!B:B)</f>
        <v>0</v>
      </c>
      <c r="J358" s="2">
        <f>_xlfn.XLOOKUP(A358,RevCHACount!A:A,RevCHACount!E:E)</f>
        <v>0</v>
      </c>
      <c r="K358" s="2">
        <f>_xlfn.XLOOKUP(A358,RevLLCCount!A:A,RevLLCCount!B:B,)</f>
        <v>0</v>
      </c>
      <c r="L358" s="2">
        <f>_xlfn.XLOOKUP(A358,RevLLCCount!A:A,RevLLCCount!E:E)</f>
        <v>0</v>
      </c>
      <c r="M358" s="1">
        <f>_xlfn.XLOOKUP(A358,RevCHACount!A:A,RevCHACount!F:F)</f>
        <v>0</v>
      </c>
      <c r="N358" s="1" t="str">
        <f>_xlfn.XLOOKUP(A358,'Other Errors'!A:A,'Other Errors'!B:B,"")</f>
        <v/>
      </c>
      <c r="O358" s="2" t="e">
        <f t="shared" si="75"/>
        <v>#N/A</v>
      </c>
      <c r="P358" s="2" t="e">
        <f t="shared" si="76"/>
        <v>#N/A</v>
      </c>
      <c r="Q358" s="2" t="e">
        <f t="shared" si="77"/>
        <v>#N/A</v>
      </c>
      <c r="R358" s="2" t="e">
        <f t="shared" si="78"/>
        <v>#N/A</v>
      </c>
      <c r="S358" s="2" t="str">
        <f t="shared" si="79"/>
        <v/>
      </c>
      <c r="T358" s="2" t="str">
        <f t="shared" si="74"/>
        <v/>
      </c>
      <c r="U358" s="8" t="str" cm="1">
        <f t="array" ref="U358">_xlfn.TEXTJOIN(", ",,_xlfn.UNIQUE(_xlfn._xlws.FILTER(EM$3:FK$3,EM358:FK358&gt;0,"")))</f>
        <v/>
      </c>
    </row>
  </sheetData>
  <autoFilter ref="A3:U161" xr:uid="{A6CE4F0D-6209-4D66-B47C-BDA3DE38F09E}"/>
  <mergeCells count="11">
    <mergeCell ref="W2:W25"/>
    <mergeCell ref="BI2:BI25"/>
    <mergeCell ref="BJ2:CO2"/>
    <mergeCell ref="CP2:CP25"/>
    <mergeCell ref="CQ2:CX2"/>
    <mergeCell ref="EL2:EL25"/>
    <mergeCell ref="DK2:EF2"/>
    <mergeCell ref="CY2:CY25"/>
    <mergeCell ref="CZ2:DI2"/>
    <mergeCell ref="X2:BH2"/>
    <mergeCell ref="DJ2:DJ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8544-F6A4-4A11-ADAA-FAA3EE74A8FE}">
  <sheetPr>
    <tabColor rgb="FF00B0F0"/>
  </sheetPr>
  <dimension ref="A1:YK359"/>
  <sheetViews>
    <sheetView tabSelected="1" workbookViewId="0">
      <selection activeCell="C6" sqref="C6"/>
    </sheetView>
  </sheetViews>
  <sheetFormatPr defaultRowHeight="14.4" outlineLevelCol="1" x14ac:dyDescent="0.3"/>
  <cols>
    <col min="1" max="2" width="15.33203125" customWidth="1"/>
    <col min="3" max="3" width="9.5546875" bestFit="1" customWidth="1"/>
    <col min="4" max="4" width="10.44140625" customWidth="1"/>
    <col min="5" max="5" width="21.109375" bestFit="1" customWidth="1"/>
    <col min="6" max="6" width="10.44140625" bestFit="1" customWidth="1"/>
    <col min="7" max="7" width="17.44140625" bestFit="1" customWidth="1"/>
    <col min="8" max="8" width="13.6640625" bestFit="1" customWidth="1"/>
    <col min="9" max="9" width="17.44140625" bestFit="1" customWidth="1"/>
    <col min="10" max="10" width="13.6640625" bestFit="1" customWidth="1"/>
    <col min="11" max="11" width="20.109375" bestFit="1" customWidth="1"/>
    <col min="12" max="12" width="15.33203125" customWidth="1"/>
    <col min="13" max="22" width="2" customWidth="1" outlineLevel="1"/>
    <col min="23" max="112" width="3" customWidth="1" outlineLevel="1"/>
    <col min="113" max="192" width="4" customWidth="1" outlineLevel="1"/>
    <col min="194" max="203" width="2" customWidth="1" outlineLevel="1"/>
    <col min="204" max="293" width="3" customWidth="1" outlineLevel="1"/>
    <col min="294" max="373" width="4" customWidth="1" outlineLevel="1"/>
    <col min="375" max="631" width="3.109375" customWidth="1" outlineLevel="1"/>
    <col min="634" max="634" width="10.33203125" bestFit="1" customWidth="1"/>
    <col min="635" max="636" width="9.5546875" bestFit="1" customWidth="1"/>
    <col min="637" max="638" width="9.5546875" customWidth="1"/>
    <col min="640" max="640" width="7" bestFit="1" customWidth="1"/>
    <col min="641" max="644" width="5.5546875" bestFit="1" customWidth="1"/>
    <col min="645" max="645" width="12" bestFit="1" customWidth="1"/>
    <col min="646" max="646" width="4.109375" customWidth="1"/>
    <col min="648" max="648" width="7" bestFit="1" customWidth="1"/>
    <col min="649" max="657" width="4.6640625" bestFit="1" customWidth="1"/>
    <col min="658" max="658" width="12" bestFit="1" customWidth="1"/>
    <col min="659" max="659" width="6" bestFit="1" customWidth="1"/>
    <col min="661" max="661" width="21.109375" bestFit="1" customWidth="1"/>
  </cols>
  <sheetData>
    <row r="1" spans="1:661" x14ac:dyDescent="0.3">
      <c r="L1" t="s">
        <v>375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2</v>
      </c>
      <c r="ED1">
        <v>2</v>
      </c>
      <c r="EE1">
        <v>2</v>
      </c>
      <c r="EF1">
        <v>2</v>
      </c>
      <c r="EG1">
        <v>2</v>
      </c>
      <c r="EH1">
        <v>2</v>
      </c>
      <c r="EI1">
        <v>2</v>
      </c>
      <c r="EJ1">
        <v>2</v>
      </c>
      <c r="EK1">
        <v>2</v>
      </c>
      <c r="EL1">
        <v>2</v>
      </c>
      <c r="EM1">
        <v>2</v>
      </c>
      <c r="EN1">
        <v>2</v>
      </c>
      <c r="EO1">
        <v>2</v>
      </c>
      <c r="EP1">
        <v>2</v>
      </c>
      <c r="EQ1">
        <v>2</v>
      </c>
      <c r="ER1">
        <v>2</v>
      </c>
      <c r="ES1">
        <v>2</v>
      </c>
      <c r="ET1">
        <v>2</v>
      </c>
      <c r="EU1">
        <v>2</v>
      </c>
      <c r="EV1">
        <v>2</v>
      </c>
      <c r="EW1">
        <v>2</v>
      </c>
      <c r="EX1">
        <v>2</v>
      </c>
      <c r="EY1">
        <v>2</v>
      </c>
      <c r="EZ1">
        <v>2</v>
      </c>
      <c r="FA1">
        <v>2</v>
      </c>
      <c r="FB1">
        <v>2</v>
      </c>
      <c r="FC1">
        <v>2</v>
      </c>
      <c r="FD1">
        <v>2</v>
      </c>
      <c r="FE1">
        <v>2</v>
      </c>
      <c r="FF1">
        <v>2</v>
      </c>
      <c r="FG1">
        <v>2</v>
      </c>
      <c r="FH1">
        <v>2</v>
      </c>
      <c r="FI1">
        <v>2</v>
      </c>
      <c r="FJ1">
        <v>2</v>
      </c>
      <c r="FK1">
        <v>2</v>
      </c>
      <c r="FL1">
        <v>2</v>
      </c>
      <c r="FM1">
        <v>2</v>
      </c>
      <c r="FN1">
        <v>2</v>
      </c>
      <c r="FO1">
        <v>2</v>
      </c>
      <c r="FP1">
        <v>2</v>
      </c>
      <c r="FQ1">
        <v>2</v>
      </c>
      <c r="FR1">
        <v>2</v>
      </c>
      <c r="FS1">
        <v>2</v>
      </c>
      <c r="FT1">
        <v>2</v>
      </c>
      <c r="FU1">
        <v>2</v>
      </c>
      <c r="FV1">
        <v>2</v>
      </c>
      <c r="FW1">
        <v>2</v>
      </c>
      <c r="FX1">
        <v>2</v>
      </c>
      <c r="FY1">
        <v>2</v>
      </c>
      <c r="FZ1">
        <v>2</v>
      </c>
      <c r="GA1">
        <v>2</v>
      </c>
      <c r="GB1">
        <v>2</v>
      </c>
      <c r="GC1">
        <v>2</v>
      </c>
      <c r="GD1">
        <v>2</v>
      </c>
      <c r="GE1">
        <v>2</v>
      </c>
      <c r="GF1">
        <v>2</v>
      </c>
      <c r="GG1">
        <v>2</v>
      </c>
      <c r="GH1">
        <v>2</v>
      </c>
      <c r="GI1">
        <v>2</v>
      </c>
      <c r="GJ1">
        <v>2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1</v>
      </c>
      <c r="KK1">
        <v>1</v>
      </c>
      <c r="KL1">
        <v>1</v>
      </c>
      <c r="KM1">
        <v>1</v>
      </c>
      <c r="KN1">
        <v>1</v>
      </c>
      <c r="KO1">
        <v>1</v>
      </c>
      <c r="KP1">
        <v>1</v>
      </c>
      <c r="KQ1">
        <v>1</v>
      </c>
      <c r="KR1">
        <v>1</v>
      </c>
      <c r="KS1">
        <v>1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2</v>
      </c>
      <c r="LC1">
        <v>2</v>
      </c>
      <c r="LD1">
        <v>2</v>
      </c>
      <c r="LE1">
        <v>2</v>
      </c>
      <c r="LF1">
        <v>2</v>
      </c>
      <c r="LG1">
        <v>2</v>
      </c>
      <c r="LH1">
        <v>2</v>
      </c>
      <c r="LI1">
        <v>2</v>
      </c>
      <c r="LJ1">
        <v>2</v>
      </c>
      <c r="LK1">
        <v>2</v>
      </c>
      <c r="LL1">
        <v>2</v>
      </c>
      <c r="LM1">
        <v>2</v>
      </c>
      <c r="LN1">
        <v>2</v>
      </c>
      <c r="LO1">
        <v>2</v>
      </c>
      <c r="LP1">
        <v>2</v>
      </c>
      <c r="LQ1">
        <v>2</v>
      </c>
      <c r="LR1">
        <v>2</v>
      </c>
      <c r="LS1">
        <v>2</v>
      </c>
      <c r="LT1">
        <v>2</v>
      </c>
      <c r="LU1">
        <v>2</v>
      </c>
      <c r="LV1">
        <v>2</v>
      </c>
      <c r="LW1">
        <v>2</v>
      </c>
      <c r="LX1">
        <v>2</v>
      </c>
      <c r="LY1">
        <v>2</v>
      </c>
      <c r="LZ1">
        <v>2</v>
      </c>
      <c r="MA1">
        <v>2</v>
      </c>
      <c r="MB1">
        <v>2</v>
      </c>
      <c r="MC1">
        <v>2</v>
      </c>
      <c r="MD1">
        <v>2</v>
      </c>
      <c r="ME1">
        <v>2</v>
      </c>
      <c r="MF1">
        <v>2</v>
      </c>
      <c r="MG1">
        <v>2</v>
      </c>
      <c r="MH1">
        <v>2</v>
      </c>
      <c r="MI1">
        <v>2</v>
      </c>
      <c r="MJ1">
        <v>2</v>
      </c>
      <c r="MK1">
        <v>2</v>
      </c>
      <c r="ML1">
        <v>2</v>
      </c>
      <c r="MM1">
        <v>2</v>
      </c>
      <c r="MN1">
        <v>2</v>
      </c>
      <c r="MO1">
        <v>2</v>
      </c>
      <c r="MP1">
        <v>2</v>
      </c>
      <c r="MQ1">
        <v>2</v>
      </c>
      <c r="MR1">
        <v>2</v>
      </c>
      <c r="MS1">
        <v>2</v>
      </c>
      <c r="MT1">
        <v>2</v>
      </c>
      <c r="MU1">
        <v>2</v>
      </c>
      <c r="MV1">
        <v>2</v>
      </c>
      <c r="MW1">
        <v>2</v>
      </c>
      <c r="MX1">
        <v>2</v>
      </c>
      <c r="MY1">
        <v>2</v>
      </c>
      <c r="MZ1">
        <v>2</v>
      </c>
      <c r="NA1">
        <v>2</v>
      </c>
      <c r="NB1">
        <v>2</v>
      </c>
      <c r="NC1">
        <v>2</v>
      </c>
      <c r="ND1">
        <v>2</v>
      </c>
      <c r="NE1">
        <v>2</v>
      </c>
      <c r="NF1">
        <v>2</v>
      </c>
      <c r="NG1">
        <v>2</v>
      </c>
      <c r="NH1">
        <v>2</v>
      </c>
      <c r="NI1">
        <v>2</v>
      </c>
      <c r="XM1" t="s">
        <v>482</v>
      </c>
      <c r="XN1">
        <v>1</v>
      </c>
      <c r="XU1" t="s">
        <v>482</v>
      </c>
      <c r="XV1">
        <v>2</v>
      </c>
      <c r="YH1" t="s">
        <v>482</v>
      </c>
      <c r="YI1">
        <v>4</v>
      </c>
    </row>
    <row r="2" spans="1:661" x14ac:dyDescent="0.3">
      <c r="L2" t="s">
        <v>376</v>
      </c>
      <c r="M2">
        <f>_xlfn.XLOOKUP(M4,Computes!$C$2:$C$181,Computes!$E$2:$E$181)</f>
        <v>0</v>
      </c>
      <c r="N2">
        <f>_xlfn.XLOOKUP(N4,Computes!$C$2:$C$181,Computes!$E$2:$E$181)</f>
        <v>0</v>
      </c>
      <c r="O2">
        <f>_xlfn.XLOOKUP(O4,Computes!$C$2:$C$181,Computes!$E$2:$E$181)</f>
        <v>1</v>
      </c>
      <c r="P2">
        <f>_xlfn.XLOOKUP(P4,Computes!$C$2:$C$181,Computes!$E$2:$E$181)</f>
        <v>1</v>
      </c>
      <c r="Q2">
        <f>_xlfn.XLOOKUP(Q4,Computes!$C$2:$C$181,Computes!$E$2:$E$181)</f>
        <v>1</v>
      </c>
      <c r="R2">
        <f>_xlfn.XLOOKUP(R4,Computes!$C$2:$C$181,Computes!$E$2:$E$181)</f>
        <v>1</v>
      </c>
      <c r="S2">
        <f>_xlfn.XLOOKUP(S4,Computes!$C$2:$C$181,Computes!$E$2:$E$181)</f>
        <v>1</v>
      </c>
      <c r="T2">
        <f>_xlfn.XLOOKUP(T4,Computes!$C$2:$C$181,Computes!$E$2:$E$181)</f>
        <v>1</v>
      </c>
      <c r="U2">
        <f>_xlfn.XLOOKUP(U4,Computes!$C$2:$C$181,Computes!$E$2:$E$181)</f>
        <v>1</v>
      </c>
      <c r="V2">
        <f>_xlfn.XLOOKUP(V4,Computes!$C$2:$C$181,Computes!$E$2:$E$181)</f>
        <v>1</v>
      </c>
      <c r="W2">
        <f>_xlfn.XLOOKUP(W4,Computes!$C$2:$C$181,Computes!$E$2:$E$181)</f>
        <v>2</v>
      </c>
      <c r="X2">
        <f>_xlfn.XLOOKUP(X4,Computes!$C$2:$C$181,Computes!$E$2:$E$181)</f>
        <v>2</v>
      </c>
      <c r="Y2">
        <f>_xlfn.XLOOKUP(Y4,Computes!$C$2:$C$181,Computes!$E$2:$E$181)</f>
        <v>2</v>
      </c>
      <c r="Z2">
        <f>_xlfn.XLOOKUP(Z4,Computes!$C$2:$C$181,Computes!$E$2:$E$181)</f>
        <v>2</v>
      </c>
      <c r="AA2">
        <f>_xlfn.XLOOKUP(AA4,Computes!$C$2:$C$181,Computes!$E$2:$E$181)</f>
        <v>2</v>
      </c>
      <c r="AB2">
        <f>_xlfn.XLOOKUP(AB4,Computes!$C$2:$C$181,Computes!$E$2:$E$181)</f>
        <v>2</v>
      </c>
      <c r="AC2">
        <f>_xlfn.XLOOKUP(AC4,Computes!$C$2:$C$181,Computes!$E$2:$E$181)</f>
        <v>2</v>
      </c>
      <c r="AD2">
        <f>_xlfn.XLOOKUP(AD4,Computes!$C$2:$C$181,Computes!$E$2:$E$181)</f>
        <v>3</v>
      </c>
      <c r="AE2">
        <f>_xlfn.XLOOKUP(AE4,Computes!$C$2:$C$181,Computes!$E$2:$E$181)</f>
        <v>3</v>
      </c>
      <c r="AF2">
        <f>_xlfn.XLOOKUP(AF4,Computes!$C$2:$C$181,Computes!$E$2:$E$181)</f>
        <v>3</v>
      </c>
      <c r="AG2">
        <f>_xlfn.XLOOKUP(AG4,Computes!$C$2:$C$181,Computes!$E$2:$E$181)</f>
        <v>3</v>
      </c>
      <c r="AH2">
        <f>_xlfn.XLOOKUP(AH4,Computes!$C$2:$C$181,Computes!$E$2:$E$181)</f>
        <v>3</v>
      </c>
      <c r="AI2">
        <f>_xlfn.XLOOKUP(AI4,Computes!$C$2:$C$181,Computes!$E$2:$E$181)</f>
        <v>3</v>
      </c>
      <c r="AJ2">
        <f>_xlfn.XLOOKUP(AJ4,Computes!$C$2:$C$181,Computes!$E$2:$E$181)</f>
        <v>3</v>
      </c>
      <c r="AK2">
        <f>_xlfn.XLOOKUP(AK4,Computes!$C$2:$C$181,Computes!$E$2:$E$181)</f>
        <v>4</v>
      </c>
      <c r="AL2">
        <f>_xlfn.XLOOKUP(AL4,Computes!$C$2:$C$181,Computes!$E$2:$E$181)</f>
        <v>4</v>
      </c>
      <c r="AM2">
        <f>_xlfn.XLOOKUP(AM4,Computes!$C$2:$C$181,Computes!$E$2:$E$181)</f>
        <v>4</v>
      </c>
      <c r="AN2">
        <f>_xlfn.XLOOKUP(AN4,Computes!$C$2:$C$181,Computes!$E$2:$E$181)</f>
        <v>4</v>
      </c>
      <c r="AO2">
        <f>_xlfn.XLOOKUP(AO4,Computes!$C$2:$C$181,Computes!$E$2:$E$181)</f>
        <v>4</v>
      </c>
      <c r="AP2">
        <f>_xlfn.XLOOKUP(AP4,Computes!$C$2:$C$181,Computes!$E$2:$E$181)</f>
        <v>4</v>
      </c>
      <c r="AQ2">
        <f>_xlfn.XLOOKUP(AQ4,Computes!$C$2:$C$181,Computes!$E$2:$E$181)</f>
        <v>4</v>
      </c>
      <c r="AR2">
        <f>_xlfn.XLOOKUP(AR4,Computes!$C$2:$C$181,Computes!$E$2:$E$181)</f>
        <v>5</v>
      </c>
      <c r="AS2">
        <f>_xlfn.XLOOKUP(AS4,Computes!$C$2:$C$181,Computes!$E$2:$E$181)</f>
        <v>5</v>
      </c>
      <c r="AT2">
        <f>_xlfn.XLOOKUP(AT4,Computes!$C$2:$C$181,Computes!$E$2:$E$181)</f>
        <v>5</v>
      </c>
      <c r="AU2">
        <f>_xlfn.XLOOKUP(AU4,Computes!$C$2:$C$181,Computes!$E$2:$E$181)</f>
        <v>5</v>
      </c>
      <c r="AV2">
        <f>_xlfn.XLOOKUP(AV4,Computes!$C$2:$C$181,Computes!$E$2:$E$181)</f>
        <v>5</v>
      </c>
      <c r="AW2">
        <f>_xlfn.XLOOKUP(AW4,Computes!$C$2:$C$181,Computes!$E$2:$E$181)</f>
        <v>5</v>
      </c>
      <c r="AX2">
        <f>_xlfn.XLOOKUP(AX4,Computes!$C$2:$C$181,Computes!$E$2:$E$181)</f>
        <v>5</v>
      </c>
      <c r="AY2">
        <f>_xlfn.XLOOKUP(AY4,Computes!$C$2:$C$181,Computes!$E$2:$E$181)</f>
        <v>6</v>
      </c>
      <c r="AZ2">
        <f>_xlfn.XLOOKUP(AZ4,Computes!$C$2:$C$181,Computes!$E$2:$E$181)</f>
        <v>6</v>
      </c>
      <c r="BA2">
        <f>_xlfn.XLOOKUP(BA4,Computes!$C$2:$C$181,Computes!$E$2:$E$181)</f>
        <v>6</v>
      </c>
      <c r="BB2">
        <f>_xlfn.XLOOKUP(BB4,Computes!$C$2:$C$181,Computes!$E$2:$E$181)</f>
        <v>6</v>
      </c>
      <c r="BC2">
        <f>_xlfn.XLOOKUP(BC4,Computes!$C$2:$C$181,Computes!$E$2:$E$181)</f>
        <v>6</v>
      </c>
      <c r="BD2">
        <f>_xlfn.XLOOKUP(BD4,Computes!$C$2:$C$181,Computes!$E$2:$E$181)</f>
        <v>6</v>
      </c>
      <c r="BE2">
        <f>_xlfn.XLOOKUP(BE4,Computes!$C$2:$C$181,Computes!$E$2:$E$181)</f>
        <v>6</v>
      </c>
      <c r="BF2">
        <f>_xlfn.XLOOKUP(BF4,Computes!$C$2:$C$181,Computes!$E$2:$E$181)</f>
        <v>7</v>
      </c>
      <c r="BG2">
        <f>_xlfn.XLOOKUP(BG4,Computes!$C$2:$C$181,Computes!$E$2:$E$181)</f>
        <v>7</v>
      </c>
      <c r="BH2">
        <f>_xlfn.XLOOKUP(BH4,Computes!$C$2:$C$181,Computes!$E$2:$E$181)</f>
        <v>7</v>
      </c>
      <c r="BI2">
        <f>_xlfn.XLOOKUP(BI4,Computes!$C$2:$C$181,Computes!$E$2:$E$181)</f>
        <v>7</v>
      </c>
      <c r="BJ2">
        <f>_xlfn.XLOOKUP(BJ4,Computes!$C$2:$C$181,Computes!$E$2:$E$181)</f>
        <v>7</v>
      </c>
      <c r="BK2">
        <f>_xlfn.XLOOKUP(BK4,Computes!$C$2:$C$181,Computes!$E$2:$E$181)</f>
        <v>7</v>
      </c>
      <c r="BL2">
        <f>_xlfn.XLOOKUP(BL4,Computes!$C$2:$C$181,Computes!$E$2:$E$181)</f>
        <v>7</v>
      </c>
      <c r="BM2">
        <f>_xlfn.XLOOKUP(BM4,Computes!$C$2:$C$181,Computes!$E$2:$E$181)</f>
        <v>8</v>
      </c>
      <c r="BN2">
        <f>_xlfn.XLOOKUP(BN4,Computes!$C$2:$C$181,Computes!$E$2:$E$181)</f>
        <v>8</v>
      </c>
      <c r="BO2">
        <f>_xlfn.XLOOKUP(BO4,Computes!$C$2:$C$181,Computes!$E$2:$E$181)</f>
        <v>8</v>
      </c>
      <c r="BP2">
        <f>_xlfn.XLOOKUP(BP4,Computes!$C$2:$C$181,Computes!$E$2:$E$181)</f>
        <v>8</v>
      </c>
      <c r="BQ2">
        <f>_xlfn.XLOOKUP(BQ4,Computes!$C$2:$C$181,Computes!$E$2:$E$181)</f>
        <v>8</v>
      </c>
      <c r="BR2">
        <f>_xlfn.XLOOKUP(BR4,Computes!$C$2:$C$181,Computes!$E$2:$E$181)</f>
        <v>8</v>
      </c>
      <c r="BS2">
        <f>_xlfn.XLOOKUP(BS4,Computes!$C$2:$C$181,Computes!$E$2:$E$181)</f>
        <v>9</v>
      </c>
      <c r="BT2">
        <f>_xlfn.XLOOKUP(BT4,Computes!$C$2:$C$181,Computes!$E$2:$E$181)</f>
        <v>9</v>
      </c>
      <c r="BU2">
        <f>_xlfn.XLOOKUP(BU4,Computes!$C$2:$C$181,Computes!$E$2:$E$181)</f>
        <v>0</v>
      </c>
      <c r="BV2">
        <f>_xlfn.XLOOKUP(BV4,Computes!$C$2:$C$181,Computes!$E$2:$E$181)</f>
        <v>0</v>
      </c>
      <c r="BW2">
        <f>_xlfn.XLOOKUP(BW4,Computes!$C$2:$C$181,Computes!$E$2:$E$181)</f>
        <v>1</v>
      </c>
      <c r="BX2">
        <f>_xlfn.XLOOKUP(BX4,Computes!$C$2:$C$181,Computes!$E$2:$E$181)</f>
        <v>1</v>
      </c>
      <c r="BY2">
        <f>_xlfn.XLOOKUP(BY4,Computes!$C$2:$C$181,Computes!$E$2:$E$181)</f>
        <v>1</v>
      </c>
      <c r="BZ2">
        <f>_xlfn.XLOOKUP(BZ4,Computes!$C$2:$C$181,Computes!$E$2:$E$181)</f>
        <v>1</v>
      </c>
      <c r="CA2">
        <f>_xlfn.XLOOKUP(CA4,Computes!$C$2:$C$181,Computes!$E$2:$E$181)</f>
        <v>1</v>
      </c>
      <c r="CB2">
        <f>_xlfn.XLOOKUP(CB4,Computes!$C$2:$C$181,Computes!$E$2:$E$181)</f>
        <v>1</v>
      </c>
      <c r="CC2">
        <f>_xlfn.XLOOKUP(CC4,Computes!$C$2:$C$181,Computes!$E$2:$E$181)</f>
        <v>1</v>
      </c>
      <c r="CD2">
        <f>_xlfn.XLOOKUP(CD4,Computes!$C$2:$C$181,Computes!$E$2:$E$181)</f>
        <v>1</v>
      </c>
      <c r="CE2">
        <f>_xlfn.XLOOKUP(CE4,Computes!$C$2:$C$181,Computes!$E$2:$E$181)</f>
        <v>2</v>
      </c>
      <c r="CF2">
        <f>_xlfn.XLOOKUP(CF4,Computes!$C$2:$C$181,Computes!$E$2:$E$181)</f>
        <v>2</v>
      </c>
      <c r="CG2">
        <f>_xlfn.XLOOKUP(CG4,Computes!$C$2:$C$181,Computes!$E$2:$E$181)</f>
        <v>2</v>
      </c>
      <c r="CH2">
        <f>_xlfn.XLOOKUP(CH4,Computes!$C$2:$C$181,Computes!$E$2:$E$181)</f>
        <v>2</v>
      </c>
      <c r="CI2">
        <f>_xlfn.XLOOKUP(CI4,Computes!$C$2:$C$181,Computes!$E$2:$E$181)</f>
        <v>2</v>
      </c>
      <c r="CJ2">
        <f>_xlfn.XLOOKUP(CJ4,Computes!$C$2:$C$181,Computes!$E$2:$E$181)</f>
        <v>2</v>
      </c>
      <c r="CK2">
        <f>_xlfn.XLOOKUP(CK4,Computes!$C$2:$C$181,Computes!$E$2:$E$181)</f>
        <v>2</v>
      </c>
      <c r="CL2">
        <f>_xlfn.XLOOKUP(CL4,Computes!$C$2:$C$181,Computes!$E$2:$E$181)</f>
        <v>3</v>
      </c>
      <c r="CM2">
        <f>_xlfn.XLOOKUP(CM4,Computes!$C$2:$C$181,Computes!$E$2:$E$181)</f>
        <v>3</v>
      </c>
      <c r="CN2">
        <f>_xlfn.XLOOKUP(CN4,Computes!$C$2:$C$181,Computes!$E$2:$E$181)</f>
        <v>3</v>
      </c>
      <c r="CO2">
        <f>_xlfn.XLOOKUP(CO4,Computes!$C$2:$C$181,Computes!$E$2:$E$181)</f>
        <v>3</v>
      </c>
      <c r="CP2">
        <f>_xlfn.XLOOKUP(CP4,Computes!$C$2:$C$181,Computes!$E$2:$E$181)</f>
        <v>3</v>
      </c>
      <c r="CQ2">
        <f>_xlfn.XLOOKUP(CQ4,Computes!$C$2:$C$181,Computes!$E$2:$E$181)</f>
        <v>3</v>
      </c>
      <c r="CR2">
        <f>_xlfn.XLOOKUP(CR4,Computes!$C$2:$C$181,Computes!$E$2:$E$181)</f>
        <v>3</v>
      </c>
      <c r="CS2">
        <f>_xlfn.XLOOKUP(CS4,Computes!$C$2:$C$181,Computes!$E$2:$E$181)</f>
        <v>4</v>
      </c>
      <c r="CT2">
        <f>_xlfn.XLOOKUP(CT4,Computes!$C$2:$C$181,Computes!$E$2:$E$181)</f>
        <v>4</v>
      </c>
      <c r="CU2">
        <f>_xlfn.XLOOKUP(CU4,Computes!$C$2:$C$181,Computes!$E$2:$E$181)</f>
        <v>4</v>
      </c>
      <c r="CV2">
        <f>_xlfn.XLOOKUP(CV4,Computes!$C$2:$C$181,Computes!$E$2:$E$181)</f>
        <v>4</v>
      </c>
      <c r="CW2">
        <f>_xlfn.XLOOKUP(CW4,Computes!$C$2:$C$181,Computes!$E$2:$E$181)</f>
        <v>4</v>
      </c>
      <c r="CX2">
        <f>_xlfn.XLOOKUP(CX4,Computes!$C$2:$C$181,Computes!$E$2:$E$181)</f>
        <v>4</v>
      </c>
      <c r="CY2">
        <f>_xlfn.XLOOKUP(CY4,Computes!$C$2:$C$181,Computes!$E$2:$E$181)</f>
        <v>4</v>
      </c>
      <c r="CZ2">
        <f>_xlfn.XLOOKUP(CZ4,Computes!$C$2:$C$181,Computes!$E$2:$E$181)</f>
        <v>5</v>
      </c>
      <c r="DA2">
        <f>_xlfn.XLOOKUP(DA4,Computes!$C$2:$C$181,Computes!$E$2:$E$181)</f>
        <v>5</v>
      </c>
      <c r="DB2">
        <f>_xlfn.XLOOKUP(DB4,Computes!$C$2:$C$181,Computes!$E$2:$E$181)</f>
        <v>5</v>
      </c>
      <c r="DC2">
        <f>_xlfn.XLOOKUP(DC4,Computes!$C$2:$C$181,Computes!$E$2:$E$181)</f>
        <v>5</v>
      </c>
      <c r="DD2">
        <f>_xlfn.XLOOKUP(DD4,Computes!$C$2:$C$181,Computes!$E$2:$E$181)</f>
        <v>5</v>
      </c>
      <c r="DE2">
        <f>_xlfn.XLOOKUP(DE4,Computes!$C$2:$C$181,Computes!$E$2:$E$181)</f>
        <v>5</v>
      </c>
      <c r="DF2">
        <f>_xlfn.XLOOKUP(DF4,Computes!$C$2:$C$181,Computes!$E$2:$E$181)</f>
        <v>5</v>
      </c>
      <c r="DG2">
        <f>_xlfn.XLOOKUP(DG4,Computes!$C$2:$C$181,Computes!$E$2:$E$181)</f>
        <v>6</v>
      </c>
      <c r="DH2">
        <f>_xlfn.XLOOKUP(DH4,Computes!$C$2:$C$181,Computes!$E$2:$E$181)</f>
        <v>6</v>
      </c>
      <c r="DI2">
        <f>_xlfn.XLOOKUP(DI4,Computes!$C$2:$C$181,Computes!$E$2:$E$181)</f>
        <v>6</v>
      </c>
      <c r="DJ2">
        <f>_xlfn.XLOOKUP(DJ4,Computes!$C$2:$C$181,Computes!$E$2:$E$181)</f>
        <v>6</v>
      </c>
      <c r="DK2">
        <f>_xlfn.XLOOKUP(DK4,Computes!$C$2:$C$181,Computes!$E$2:$E$181)</f>
        <v>6</v>
      </c>
      <c r="DL2">
        <f>_xlfn.XLOOKUP(DL4,Computes!$C$2:$C$181,Computes!$E$2:$E$181)</f>
        <v>6</v>
      </c>
      <c r="DM2">
        <f>_xlfn.XLOOKUP(DM4,Computes!$C$2:$C$181,Computes!$E$2:$E$181)</f>
        <v>6</v>
      </c>
      <c r="DN2">
        <f>_xlfn.XLOOKUP(DN4,Computes!$C$2:$C$181,Computes!$E$2:$E$181)</f>
        <v>7</v>
      </c>
      <c r="DO2">
        <f>_xlfn.XLOOKUP(DO4,Computes!$C$2:$C$181,Computes!$E$2:$E$181)</f>
        <v>7</v>
      </c>
      <c r="DP2">
        <f>_xlfn.XLOOKUP(DP4,Computes!$C$2:$C$181,Computes!$E$2:$E$181)</f>
        <v>7</v>
      </c>
      <c r="DQ2">
        <f>_xlfn.XLOOKUP(DQ4,Computes!$C$2:$C$181,Computes!$E$2:$E$181)</f>
        <v>7</v>
      </c>
      <c r="DR2">
        <f>_xlfn.XLOOKUP(DR4,Computes!$C$2:$C$181,Computes!$E$2:$E$181)</f>
        <v>7</v>
      </c>
      <c r="DS2">
        <f>_xlfn.XLOOKUP(DS4,Computes!$C$2:$C$181,Computes!$E$2:$E$181)</f>
        <v>7</v>
      </c>
      <c r="DT2">
        <f>_xlfn.XLOOKUP(DT4,Computes!$C$2:$C$181,Computes!$E$2:$E$181)</f>
        <v>7</v>
      </c>
      <c r="DU2">
        <f>_xlfn.XLOOKUP(DU4,Computes!$C$2:$C$181,Computes!$E$2:$E$181)</f>
        <v>8</v>
      </c>
      <c r="DV2">
        <f>_xlfn.XLOOKUP(DV4,Computes!$C$2:$C$181,Computes!$E$2:$E$181)</f>
        <v>8</v>
      </c>
      <c r="DW2">
        <f>_xlfn.XLOOKUP(DW4,Computes!$C$2:$C$181,Computes!$E$2:$E$181)</f>
        <v>8</v>
      </c>
      <c r="DX2">
        <f>_xlfn.XLOOKUP(DX4,Computes!$C$2:$C$181,Computes!$E$2:$E$181)</f>
        <v>8</v>
      </c>
      <c r="DY2">
        <f>_xlfn.XLOOKUP(DY4,Computes!$C$2:$C$181,Computes!$E$2:$E$181)</f>
        <v>8</v>
      </c>
      <c r="DZ2">
        <f>_xlfn.XLOOKUP(DZ4,Computes!$C$2:$C$181,Computes!$E$2:$E$181)</f>
        <v>8</v>
      </c>
      <c r="EA2">
        <f>_xlfn.XLOOKUP(EA4,Computes!$C$2:$C$181,Computes!$E$2:$E$181)</f>
        <v>9</v>
      </c>
      <c r="EB2">
        <f>_xlfn.XLOOKUP(EB4,Computes!$C$2:$C$181,Computes!$E$2:$E$181)</f>
        <v>9</v>
      </c>
      <c r="EC2">
        <f>_xlfn.XLOOKUP(EC4,Computes!$C$2:$C$181,Computes!$E$2:$E$181)</f>
        <v>0</v>
      </c>
      <c r="ED2">
        <f>_xlfn.XLOOKUP(ED4,Computes!$C$2:$C$181,Computes!$E$2:$E$181)</f>
        <v>0</v>
      </c>
      <c r="EE2">
        <f>_xlfn.XLOOKUP(EE4,Computes!$C$2:$C$181,Computes!$E$2:$E$181)</f>
        <v>1</v>
      </c>
      <c r="EF2">
        <f>_xlfn.XLOOKUP(EF4,Computes!$C$2:$C$181,Computes!$E$2:$E$181)</f>
        <v>1</v>
      </c>
      <c r="EG2">
        <f>_xlfn.XLOOKUP(EG4,Computes!$C$2:$C$181,Computes!$E$2:$E$181)</f>
        <v>1</v>
      </c>
      <c r="EH2">
        <f>_xlfn.XLOOKUP(EH4,Computes!$C$2:$C$181,Computes!$E$2:$E$181)</f>
        <v>1</v>
      </c>
      <c r="EI2">
        <f>_xlfn.XLOOKUP(EI4,Computes!$C$2:$C$181,Computes!$E$2:$E$181)</f>
        <v>1</v>
      </c>
      <c r="EJ2">
        <f>_xlfn.XLOOKUP(EJ4,Computes!$C$2:$C$181,Computes!$E$2:$E$181)</f>
        <v>1</v>
      </c>
      <c r="EK2">
        <f>_xlfn.XLOOKUP(EK4,Computes!$C$2:$C$181,Computes!$E$2:$E$181)</f>
        <v>1</v>
      </c>
      <c r="EL2">
        <f>_xlfn.XLOOKUP(EL4,Computes!$C$2:$C$181,Computes!$E$2:$E$181)</f>
        <v>1</v>
      </c>
      <c r="EM2">
        <f>_xlfn.XLOOKUP(EM4,Computes!$C$2:$C$181,Computes!$E$2:$E$181)</f>
        <v>2</v>
      </c>
      <c r="EN2">
        <f>_xlfn.XLOOKUP(EN4,Computes!$C$2:$C$181,Computes!$E$2:$E$181)</f>
        <v>2</v>
      </c>
      <c r="EO2">
        <f>_xlfn.XLOOKUP(EO4,Computes!$C$2:$C$181,Computes!$E$2:$E$181)</f>
        <v>2</v>
      </c>
      <c r="EP2">
        <f>_xlfn.XLOOKUP(EP4,Computes!$C$2:$C$181,Computes!$E$2:$E$181)</f>
        <v>2</v>
      </c>
      <c r="EQ2">
        <f>_xlfn.XLOOKUP(EQ4,Computes!$C$2:$C$181,Computes!$E$2:$E$181)</f>
        <v>2</v>
      </c>
      <c r="ER2">
        <f>_xlfn.XLOOKUP(ER4,Computes!$C$2:$C$181,Computes!$E$2:$E$181)</f>
        <v>2</v>
      </c>
      <c r="ES2">
        <f>_xlfn.XLOOKUP(ES4,Computes!$C$2:$C$181,Computes!$E$2:$E$181)</f>
        <v>2</v>
      </c>
      <c r="ET2">
        <f>_xlfn.XLOOKUP(ET4,Computes!$C$2:$C$181,Computes!$E$2:$E$181)</f>
        <v>3</v>
      </c>
      <c r="EU2">
        <f>_xlfn.XLOOKUP(EU4,Computes!$C$2:$C$181,Computes!$E$2:$E$181)</f>
        <v>3</v>
      </c>
      <c r="EV2">
        <f>_xlfn.XLOOKUP(EV4,Computes!$C$2:$C$181,Computes!$E$2:$E$181)</f>
        <v>3</v>
      </c>
      <c r="EW2">
        <f>_xlfn.XLOOKUP(EW4,Computes!$C$2:$C$181,Computes!$E$2:$E$181)</f>
        <v>3</v>
      </c>
      <c r="EX2">
        <f>_xlfn.XLOOKUP(EX4,Computes!$C$2:$C$181,Computes!$E$2:$E$181)</f>
        <v>3</v>
      </c>
      <c r="EY2">
        <f>_xlfn.XLOOKUP(EY4,Computes!$C$2:$C$181,Computes!$E$2:$E$181)</f>
        <v>3</v>
      </c>
      <c r="EZ2">
        <f>_xlfn.XLOOKUP(EZ4,Computes!$C$2:$C$181,Computes!$E$2:$E$181)</f>
        <v>3</v>
      </c>
      <c r="FA2">
        <f>_xlfn.XLOOKUP(FA4,Computes!$C$2:$C$181,Computes!$E$2:$E$181)</f>
        <v>4</v>
      </c>
      <c r="FB2">
        <f>_xlfn.XLOOKUP(FB4,Computes!$C$2:$C$181,Computes!$E$2:$E$181)</f>
        <v>4</v>
      </c>
      <c r="FC2">
        <f>_xlfn.XLOOKUP(FC4,Computes!$C$2:$C$181,Computes!$E$2:$E$181)</f>
        <v>4</v>
      </c>
      <c r="FD2">
        <f>_xlfn.XLOOKUP(FD4,Computes!$C$2:$C$181,Computes!$E$2:$E$181)</f>
        <v>4</v>
      </c>
      <c r="FE2">
        <f>_xlfn.XLOOKUP(FE4,Computes!$C$2:$C$181,Computes!$E$2:$E$181)</f>
        <v>4</v>
      </c>
      <c r="FF2">
        <f>_xlfn.XLOOKUP(FF4,Computes!$C$2:$C$181,Computes!$E$2:$E$181)</f>
        <v>4</v>
      </c>
      <c r="FG2">
        <f>_xlfn.XLOOKUP(FG4,Computes!$C$2:$C$181,Computes!$E$2:$E$181)</f>
        <v>4</v>
      </c>
      <c r="FH2">
        <f>_xlfn.XLOOKUP(FH4,Computes!$C$2:$C$181,Computes!$E$2:$E$181)</f>
        <v>5</v>
      </c>
      <c r="FI2">
        <f>_xlfn.XLOOKUP(FI4,Computes!$C$2:$C$181,Computes!$E$2:$E$181)</f>
        <v>5</v>
      </c>
      <c r="FJ2">
        <f>_xlfn.XLOOKUP(FJ4,Computes!$C$2:$C$181,Computes!$E$2:$E$181)</f>
        <v>5</v>
      </c>
      <c r="FK2">
        <f>_xlfn.XLOOKUP(FK4,Computes!$C$2:$C$181,Computes!$E$2:$E$181)</f>
        <v>5</v>
      </c>
      <c r="FL2">
        <f>_xlfn.XLOOKUP(FL4,Computes!$C$2:$C$181,Computes!$E$2:$E$181)</f>
        <v>5</v>
      </c>
      <c r="FM2">
        <f>_xlfn.XLOOKUP(FM4,Computes!$C$2:$C$181,Computes!$E$2:$E$181)</f>
        <v>5</v>
      </c>
      <c r="FN2">
        <f>_xlfn.XLOOKUP(FN4,Computes!$C$2:$C$181,Computes!$E$2:$E$181)</f>
        <v>5</v>
      </c>
      <c r="FO2">
        <f>_xlfn.XLOOKUP(FO4,Computes!$C$2:$C$181,Computes!$E$2:$E$181)</f>
        <v>6</v>
      </c>
      <c r="FP2">
        <f>_xlfn.XLOOKUP(FP4,Computes!$C$2:$C$181,Computes!$E$2:$E$181)</f>
        <v>6</v>
      </c>
      <c r="FQ2">
        <f>_xlfn.XLOOKUP(FQ4,Computes!$C$2:$C$181,Computes!$E$2:$E$181)</f>
        <v>6</v>
      </c>
      <c r="FR2">
        <f>_xlfn.XLOOKUP(FR4,Computes!$C$2:$C$181,Computes!$E$2:$E$181)</f>
        <v>6</v>
      </c>
      <c r="FS2">
        <f>_xlfn.XLOOKUP(FS4,Computes!$C$2:$C$181,Computes!$E$2:$E$181)</f>
        <v>6</v>
      </c>
      <c r="FT2">
        <f>_xlfn.XLOOKUP(FT4,Computes!$C$2:$C$181,Computes!$E$2:$E$181)</f>
        <v>6</v>
      </c>
      <c r="FU2">
        <f>_xlfn.XLOOKUP(FU4,Computes!$C$2:$C$181,Computes!$E$2:$E$181)</f>
        <v>6</v>
      </c>
      <c r="FV2">
        <f>_xlfn.XLOOKUP(FV4,Computes!$C$2:$C$181,Computes!$E$2:$E$181)</f>
        <v>7</v>
      </c>
      <c r="FW2">
        <f>_xlfn.XLOOKUP(FW4,Computes!$C$2:$C$181,Computes!$E$2:$E$181)</f>
        <v>7</v>
      </c>
      <c r="FX2">
        <f>_xlfn.XLOOKUP(FX4,Computes!$C$2:$C$181,Computes!$E$2:$E$181)</f>
        <v>7</v>
      </c>
      <c r="FY2">
        <f>_xlfn.XLOOKUP(FY4,Computes!$C$2:$C$181,Computes!$E$2:$E$181)</f>
        <v>7</v>
      </c>
      <c r="FZ2">
        <f>_xlfn.XLOOKUP(FZ4,Computes!$C$2:$C$181,Computes!$E$2:$E$181)</f>
        <v>7</v>
      </c>
      <c r="GA2">
        <f>_xlfn.XLOOKUP(GA4,Computes!$C$2:$C$181,Computes!$E$2:$E$181)</f>
        <v>7</v>
      </c>
      <c r="GB2">
        <f>_xlfn.XLOOKUP(GB4,Computes!$C$2:$C$181,Computes!$E$2:$E$181)</f>
        <v>7</v>
      </c>
      <c r="GC2">
        <f>_xlfn.XLOOKUP(GC4,Computes!$C$2:$C$181,Computes!$E$2:$E$181)</f>
        <v>8</v>
      </c>
      <c r="GD2">
        <f>_xlfn.XLOOKUP(GD4,Computes!$C$2:$C$181,Computes!$E$2:$E$181)</f>
        <v>8</v>
      </c>
      <c r="GE2">
        <f>_xlfn.XLOOKUP(GE4,Computes!$C$2:$C$181,Computes!$E$2:$E$181)</f>
        <v>8</v>
      </c>
      <c r="GF2">
        <f>_xlfn.XLOOKUP(GF4,Computes!$C$2:$C$181,Computes!$E$2:$E$181)</f>
        <v>8</v>
      </c>
      <c r="GG2">
        <f>_xlfn.XLOOKUP(GG4,Computes!$C$2:$C$181,Computes!$E$2:$E$181)</f>
        <v>8</v>
      </c>
      <c r="GH2">
        <f>_xlfn.XLOOKUP(GH4,Computes!$C$2:$C$181,Computes!$E$2:$E$181)</f>
        <v>8</v>
      </c>
      <c r="GI2">
        <f>_xlfn.XLOOKUP(GI4,Computes!$C$2:$C$181,Computes!$E$2:$E$181)</f>
        <v>9</v>
      </c>
      <c r="GJ2">
        <f>_xlfn.XLOOKUP(GJ4,Computes!$C$2:$C$181,Computes!$E$2:$E$181)</f>
        <v>9</v>
      </c>
      <c r="GL2">
        <f>_xlfn.XLOOKUP(GL4,Computes!$C$2:$C$181,Computes!$E$2:$E$181)</f>
        <v>0</v>
      </c>
      <c r="GM2">
        <f>_xlfn.XLOOKUP(GM4,Computes!$C$2:$C$181,Computes!$E$2:$E$181)</f>
        <v>0</v>
      </c>
      <c r="GN2">
        <f>_xlfn.XLOOKUP(GN4,Computes!$C$2:$C$181,Computes!$E$2:$E$181)</f>
        <v>1</v>
      </c>
      <c r="GO2">
        <f>_xlfn.XLOOKUP(GO4,Computes!$C$2:$C$181,Computes!$E$2:$E$181)</f>
        <v>1</v>
      </c>
      <c r="GP2">
        <f>_xlfn.XLOOKUP(GP4,Computes!$C$2:$C$181,Computes!$E$2:$E$181)</f>
        <v>1</v>
      </c>
      <c r="GQ2">
        <f>_xlfn.XLOOKUP(GQ4,Computes!$C$2:$C$181,Computes!$E$2:$E$181)</f>
        <v>1</v>
      </c>
      <c r="GR2">
        <f>_xlfn.XLOOKUP(GR4,Computes!$C$2:$C$181,Computes!$E$2:$E$181)</f>
        <v>1</v>
      </c>
      <c r="GS2">
        <f>_xlfn.XLOOKUP(GS4,Computes!$C$2:$C$181,Computes!$E$2:$E$181)</f>
        <v>1</v>
      </c>
      <c r="GT2">
        <f>_xlfn.XLOOKUP(GT4,Computes!$C$2:$C$181,Computes!$E$2:$E$181)</f>
        <v>1</v>
      </c>
      <c r="GU2">
        <f>_xlfn.XLOOKUP(GU4,Computes!$C$2:$C$181,Computes!$E$2:$E$181)</f>
        <v>1</v>
      </c>
      <c r="GV2">
        <f>_xlfn.XLOOKUP(GV4,Computes!$C$2:$C$181,Computes!$E$2:$E$181)</f>
        <v>2</v>
      </c>
      <c r="GW2">
        <f>_xlfn.XLOOKUP(GW4,Computes!$C$2:$C$181,Computes!$E$2:$E$181)</f>
        <v>2</v>
      </c>
      <c r="GX2">
        <f>_xlfn.XLOOKUP(GX4,Computes!$C$2:$C$181,Computes!$E$2:$E$181)</f>
        <v>2</v>
      </c>
      <c r="GY2">
        <f>_xlfn.XLOOKUP(GY4,Computes!$C$2:$C$181,Computes!$E$2:$E$181)</f>
        <v>2</v>
      </c>
      <c r="GZ2">
        <f>_xlfn.XLOOKUP(GZ4,Computes!$C$2:$C$181,Computes!$E$2:$E$181)</f>
        <v>2</v>
      </c>
      <c r="HA2">
        <f>_xlfn.XLOOKUP(HA4,Computes!$C$2:$C$181,Computes!$E$2:$E$181)</f>
        <v>2</v>
      </c>
      <c r="HB2">
        <f>_xlfn.XLOOKUP(HB4,Computes!$C$2:$C$181,Computes!$E$2:$E$181)</f>
        <v>2</v>
      </c>
      <c r="HC2">
        <f>_xlfn.XLOOKUP(HC4,Computes!$C$2:$C$181,Computes!$E$2:$E$181)</f>
        <v>3</v>
      </c>
      <c r="HD2">
        <f>_xlfn.XLOOKUP(HD4,Computes!$C$2:$C$181,Computes!$E$2:$E$181)</f>
        <v>3</v>
      </c>
      <c r="HE2">
        <f>_xlfn.XLOOKUP(HE4,Computes!$C$2:$C$181,Computes!$E$2:$E$181)</f>
        <v>3</v>
      </c>
      <c r="HF2">
        <f>_xlfn.XLOOKUP(HF4,Computes!$C$2:$C$181,Computes!$E$2:$E$181)</f>
        <v>3</v>
      </c>
      <c r="HG2">
        <f>_xlfn.XLOOKUP(HG4,Computes!$C$2:$C$181,Computes!$E$2:$E$181)</f>
        <v>3</v>
      </c>
      <c r="HH2">
        <f>_xlfn.XLOOKUP(HH4,Computes!$C$2:$C$181,Computes!$E$2:$E$181)</f>
        <v>3</v>
      </c>
      <c r="HI2">
        <f>_xlfn.XLOOKUP(HI4,Computes!$C$2:$C$181,Computes!$E$2:$E$181)</f>
        <v>3</v>
      </c>
      <c r="HJ2">
        <f>_xlfn.XLOOKUP(HJ4,Computes!$C$2:$C$181,Computes!$E$2:$E$181)</f>
        <v>4</v>
      </c>
      <c r="HK2">
        <f>_xlfn.XLOOKUP(HK4,Computes!$C$2:$C$181,Computes!$E$2:$E$181)</f>
        <v>4</v>
      </c>
      <c r="HL2">
        <f>_xlfn.XLOOKUP(HL4,Computes!$C$2:$C$181,Computes!$E$2:$E$181)</f>
        <v>4</v>
      </c>
      <c r="HM2">
        <f>_xlfn.XLOOKUP(HM4,Computes!$C$2:$C$181,Computes!$E$2:$E$181)</f>
        <v>4</v>
      </c>
      <c r="HN2">
        <f>_xlfn.XLOOKUP(HN4,Computes!$C$2:$C$181,Computes!$E$2:$E$181)</f>
        <v>4</v>
      </c>
      <c r="HO2">
        <f>_xlfn.XLOOKUP(HO4,Computes!$C$2:$C$181,Computes!$E$2:$E$181)</f>
        <v>4</v>
      </c>
      <c r="HP2">
        <f>_xlfn.XLOOKUP(HP4,Computes!$C$2:$C$181,Computes!$E$2:$E$181)</f>
        <v>4</v>
      </c>
      <c r="HQ2">
        <f>_xlfn.XLOOKUP(HQ4,Computes!$C$2:$C$181,Computes!$E$2:$E$181)</f>
        <v>5</v>
      </c>
      <c r="HR2">
        <f>_xlfn.XLOOKUP(HR4,Computes!$C$2:$C$181,Computes!$E$2:$E$181)</f>
        <v>5</v>
      </c>
      <c r="HS2">
        <f>_xlfn.XLOOKUP(HS4,Computes!$C$2:$C$181,Computes!$E$2:$E$181)</f>
        <v>5</v>
      </c>
      <c r="HT2">
        <f>_xlfn.XLOOKUP(HT4,Computes!$C$2:$C$181,Computes!$E$2:$E$181)</f>
        <v>5</v>
      </c>
      <c r="HU2">
        <f>_xlfn.XLOOKUP(HU4,Computes!$C$2:$C$181,Computes!$E$2:$E$181)</f>
        <v>5</v>
      </c>
      <c r="HV2">
        <f>_xlfn.XLOOKUP(HV4,Computes!$C$2:$C$181,Computes!$E$2:$E$181)</f>
        <v>5</v>
      </c>
      <c r="HW2">
        <f>_xlfn.XLOOKUP(HW4,Computes!$C$2:$C$181,Computes!$E$2:$E$181)</f>
        <v>5</v>
      </c>
      <c r="HX2">
        <f>_xlfn.XLOOKUP(HX4,Computes!$C$2:$C$181,Computes!$E$2:$E$181)</f>
        <v>6</v>
      </c>
      <c r="HY2">
        <f>_xlfn.XLOOKUP(HY4,Computes!$C$2:$C$181,Computes!$E$2:$E$181)</f>
        <v>6</v>
      </c>
      <c r="HZ2">
        <f>_xlfn.XLOOKUP(HZ4,Computes!$C$2:$C$181,Computes!$E$2:$E$181)</f>
        <v>6</v>
      </c>
      <c r="IA2">
        <f>_xlfn.XLOOKUP(IA4,Computes!$C$2:$C$181,Computes!$E$2:$E$181)</f>
        <v>6</v>
      </c>
      <c r="IB2">
        <f>_xlfn.XLOOKUP(IB4,Computes!$C$2:$C$181,Computes!$E$2:$E$181)</f>
        <v>6</v>
      </c>
      <c r="IC2">
        <f>_xlfn.XLOOKUP(IC4,Computes!$C$2:$C$181,Computes!$E$2:$E$181)</f>
        <v>6</v>
      </c>
      <c r="ID2">
        <f>_xlfn.XLOOKUP(ID4,Computes!$C$2:$C$181,Computes!$E$2:$E$181)</f>
        <v>6</v>
      </c>
      <c r="IE2">
        <f>_xlfn.XLOOKUP(IE4,Computes!$C$2:$C$181,Computes!$E$2:$E$181)</f>
        <v>7</v>
      </c>
      <c r="IF2">
        <f>_xlfn.XLOOKUP(IF4,Computes!$C$2:$C$181,Computes!$E$2:$E$181)</f>
        <v>7</v>
      </c>
      <c r="IG2">
        <f>_xlfn.XLOOKUP(IG4,Computes!$C$2:$C$181,Computes!$E$2:$E$181)</f>
        <v>7</v>
      </c>
      <c r="IH2">
        <f>_xlfn.XLOOKUP(IH4,Computes!$C$2:$C$181,Computes!$E$2:$E$181)</f>
        <v>7</v>
      </c>
      <c r="II2">
        <f>_xlfn.XLOOKUP(II4,Computes!$C$2:$C$181,Computes!$E$2:$E$181)</f>
        <v>7</v>
      </c>
      <c r="IJ2">
        <f>_xlfn.XLOOKUP(IJ4,Computes!$C$2:$C$181,Computes!$E$2:$E$181)</f>
        <v>7</v>
      </c>
      <c r="IK2">
        <f>_xlfn.XLOOKUP(IK4,Computes!$C$2:$C$181,Computes!$E$2:$E$181)</f>
        <v>7</v>
      </c>
      <c r="IL2">
        <f>_xlfn.XLOOKUP(IL4,Computes!$C$2:$C$181,Computes!$E$2:$E$181)</f>
        <v>8</v>
      </c>
      <c r="IM2">
        <f>_xlfn.XLOOKUP(IM4,Computes!$C$2:$C$181,Computes!$E$2:$E$181)</f>
        <v>8</v>
      </c>
      <c r="IN2">
        <f>_xlfn.XLOOKUP(IN4,Computes!$C$2:$C$181,Computes!$E$2:$E$181)</f>
        <v>8</v>
      </c>
      <c r="IO2">
        <f>_xlfn.XLOOKUP(IO4,Computes!$C$2:$C$181,Computes!$E$2:$E$181)</f>
        <v>8</v>
      </c>
      <c r="IP2">
        <f>_xlfn.XLOOKUP(IP4,Computes!$C$2:$C$181,Computes!$E$2:$E$181)</f>
        <v>8</v>
      </c>
      <c r="IQ2">
        <f>_xlfn.XLOOKUP(IQ4,Computes!$C$2:$C$181,Computes!$E$2:$E$181)</f>
        <v>8</v>
      </c>
      <c r="IR2">
        <f>_xlfn.XLOOKUP(IR4,Computes!$C$2:$C$181,Computes!$E$2:$E$181)</f>
        <v>9</v>
      </c>
      <c r="IS2">
        <f>_xlfn.XLOOKUP(IS4,Computes!$C$2:$C$181,Computes!$E$2:$E$181)</f>
        <v>9</v>
      </c>
      <c r="IT2">
        <f>_xlfn.XLOOKUP(IT4,Computes!$C$2:$C$181,Computes!$E$2:$E$181)</f>
        <v>0</v>
      </c>
      <c r="IU2">
        <f>_xlfn.XLOOKUP(IU4,Computes!$C$2:$C$181,Computes!$E$2:$E$181)</f>
        <v>0</v>
      </c>
      <c r="IV2">
        <f>_xlfn.XLOOKUP(IV4,Computes!$C$2:$C$181,Computes!$E$2:$E$181)</f>
        <v>1</v>
      </c>
      <c r="IW2">
        <f>_xlfn.XLOOKUP(IW4,Computes!$C$2:$C$181,Computes!$E$2:$E$181)</f>
        <v>1</v>
      </c>
      <c r="IX2">
        <f>_xlfn.XLOOKUP(IX4,Computes!$C$2:$C$181,Computes!$E$2:$E$181)</f>
        <v>1</v>
      </c>
      <c r="IY2">
        <f>_xlfn.XLOOKUP(IY4,Computes!$C$2:$C$181,Computes!$E$2:$E$181)</f>
        <v>1</v>
      </c>
      <c r="IZ2">
        <f>_xlfn.XLOOKUP(IZ4,Computes!$C$2:$C$181,Computes!$E$2:$E$181)</f>
        <v>1</v>
      </c>
      <c r="JA2">
        <f>_xlfn.XLOOKUP(JA4,Computes!$C$2:$C$181,Computes!$E$2:$E$181)</f>
        <v>1</v>
      </c>
      <c r="JB2">
        <f>_xlfn.XLOOKUP(JB4,Computes!$C$2:$C$181,Computes!$E$2:$E$181)</f>
        <v>1</v>
      </c>
      <c r="JC2">
        <f>_xlfn.XLOOKUP(JC4,Computes!$C$2:$C$181,Computes!$E$2:$E$181)</f>
        <v>1</v>
      </c>
      <c r="JD2">
        <f>_xlfn.XLOOKUP(JD4,Computes!$C$2:$C$181,Computes!$E$2:$E$181)</f>
        <v>2</v>
      </c>
      <c r="JE2">
        <f>_xlfn.XLOOKUP(JE4,Computes!$C$2:$C$181,Computes!$E$2:$E$181)</f>
        <v>2</v>
      </c>
      <c r="JF2">
        <f>_xlfn.XLOOKUP(JF4,Computes!$C$2:$C$181,Computes!$E$2:$E$181)</f>
        <v>2</v>
      </c>
      <c r="JG2">
        <f>_xlfn.XLOOKUP(JG4,Computes!$C$2:$C$181,Computes!$E$2:$E$181)</f>
        <v>2</v>
      </c>
      <c r="JH2">
        <f>_xlfn.XLOOKUP(JH4,Computes!$C$2:$C$181,Computes!$E$2:$E$181)</f>
        <v>2</v>
      </c>
      <c r="JI2">
        <f>_xlfn.XLOOKUP(JI4,Computes!$C$2:$C$181,Computes!$E$2:$E$181)</f>
        <v>2</v>
      </c>
      <c r="JJ2">
        <f>_xlfn.XLOOKUP(JJ4,Computes!$C$2:$C$181,Computes!$E$2:$E$181)</f>
        <v>2</v>
      </c>
      <c r="JK2">
        <f>_xlfn.XLOOKUP(JK4,Computes!$C$2:$C$181,Computes!$E$2:$E$181)</f>
        <v>3</v>
      </c>
      <c r="JL2">
        <f>_xlfn.XLOOKUP(JL4,Computes!$C$2:$C$181,Computes!$E$2:$E$181)</f>
        <v>3</v>
      </c>
      <c r="JM2">
        <f>_xlfn.XLOOKUP(JM4,Computes!$C$2:$C$181,Computes!$E$2:$E$181)</f>
        <v>3</v>
      </c>
      <c r="JN2">
        <f>_xlfn.XLOOKUP(JN4,Computes!$C$2:$C$181,Computes!$E$2:$E$181)</f>
        <v>3</v>
      </c>
      <c r="JO2">
        <f>_xlfn.XLOOKUP(JO4,Computes!$C$2:$C$181,Computes!$E$2:$E$181)</f>
        <v>3</v>
      </c>
      <c r="JP2">
        <f>_xlfn.XLOOKUP(JP4,Computes!$C$2:$C$181,Computes!$E$2:$E$181)</f>
        <v>3</v>
      </c>
      <c r="JQ2">
        <f>_xlfn.XLOOKUP(JQ4,Computes!$C$2:$C$181,Computes!$E$2:$E$181)</f>
        <v>3</v>
      </c>
      <c r="JR2">
        <f>_xlfn.XLOOKUP(JR4,Computes!$C$2:$C$181,Computes!$E$2:$E$181)</f>
        <v>4</v>
      </c>
      <c r="JS2">
        <f>_xlfn.XLOOKUP(JS4,Computes!$C$2:$C$181,Computes!$E$2:$E$181)</f>
        <v>4</v>
      </c>
      <c r="JT2">
        <f>_xlfn.XLOOKUP(JT4,Computes!$C$2:$C$181,Computes!$E$2:$E$181)</f>
        <v>4</v>
      </c>
      <c r="JU2">
        <f>_xlfn.XLOOKUP(JU4,Computes!$C$2:$C$181,Computes!$E$2:$E$181)</f>
        <v>4</v>
      </c>
      <c r="JV2">
        <f>_xlfn.XLOOKUP(JV4,Computes!$C$2:$C$181,Computes!$E$2:$E$181)</f>
        <v>4</v>
      </c>
      <c r="JW2">
        <f>_xlfn.XLOOKUP(JW4,Computes!$C$2:$C$181,Computes!$E$2:$E$181)</f>
        <v>4</v>
      </c>
      <c r="JX2">
        <f>_xlfn.XLOOKUP(JX4,Computes!$C$2:$C$181,Computes!$E$2:$E$181)</f>
        <v>4</v>
      </c>
      <c r="JY2">
        <f>_xlfn.XLOOKUP(JY4,Computes!$C$2:$C$181,Computes!$E$2:$E$181)</f>
        <v>5</v>
      </c>
      <c r="JZ2">
        <f>_xlfn.XLOOKUP(JZ4,Computes!$C$2:$C$181,Computes!$E$2:$E$181)</f>
        <v>5</v>
      </c>
      <c r="KA2">
        <f>_xlfn.XLOOKUP(KA4,Computes!$C$2:$C$181,Computes!$E$2:$E$181)</f>
        <v>5</v>
      </c>
      <c r="KB2">
        <f>_xlfn.XLOOKUP(KB4,Computes!$C$2:$C$181,Computes!$E$2:$E$181)</f>
        <v>5</v>
      </c>
      <c r="KC2">
        <f>_xlfn.XLOOKUP(KC4,Computes!$C$2:$C$181,Computes!$E$2:$E$181)</f>
        <v>5</v>
      </c>
      <c r="KD2">
        <f>_xlfn.XLOOKUP(KD4,Computes!$C$2:$C$181,Computes!$E$2:$E$181)</f>
        <v>5</v>
      </c>
      <c r="KE2">
        <f>_xlfn.XLOOKUP(KE4,Computes!$C$2:$C$181,Computes!$E$2:$E$181)</f>
        <v>5</v>
      </c>
      <c r="KF2">
        <f>_xlfn.XLOOKUP(KF4,Computes!$C$2:$C$181,Computes!$E$2:$E$181)</f>
        <v>6</v>
      </c>
      <c r="KG2">
        <f>_xlfn.XLOOKUP(KG4,Computes!$C$2:$C$181,Computes!$E$2:$E$181)</f>
        <v>6</v>
      </c>
      <c r="KH2">
        <f>_xlfn.XLOOKUP(KH4,Computes!$C$2:$C$181,Computes!$E$2:$E$181)</f>
        <v>6</v>
      </c>
      <c r="KI2">
        <f>_xlfn.XLOOKUP(KI4,Computes!$C$2:$C$181,Computes!$E$2:$E$181)</f>
        <v>6</v>
      </c>
      <c r="KJ2">
        <f>_xlfn.XLOOKUP(KJ4,Computes!$C$2:$C$181,Computes!$E$2:$E$181)</f>
        <v>6</v>
      </c>
      <c r="KK2">
        <f>_xlfn.XLOOKUP(KK4,Computes!$C$2:$C$181,Computes!$E$2:$E$181)</f>
        <v>6</v>
      </c>
      <c r="KL2">
        <f>_xlfn.XLOOKUP(KL4,Computes!$C$2:$C$181,Computes!$E$2:$E$181)</f>
        <v>6</v>
      </c>
      <c r="KM2">
        <f>_xlfn.XLOOKUP(KM4,Computes!$C$2:$C$181,Computes!$E$2:$E$181)</f>
        <v>7</v>
      </c>
      <c r="KN2">
        <f>_xlfn.XLOOKUP(KN4,Computes!$C$2:$C$181,Computes!$E$2:$E$181)</f>
        <v>7</v>
      </c>
      <c r="KO2">
        <f>_xlfn.XLOOKUP(KO4,Computes!$C$2:$C$181,Computes!$E$2:$E$181)</f>
        <v>7</v>
      </c>
      <c r="KP2">
        <f>_xlfn.XLOOKUP(KP4,Computes!$C$2:$C$181,Computes!$E$2:$E$181)</f>
        <v>7</v>
      </c>
      <c r="KQ2">
        <f>_xlfn.XLOOKUP(KQ4,Computes!$C$2:$C$181,Computes!$E$2:$E$181)</f>
        <v>7</v>
      </c>
      <c r="KR2">
        <f>_xlfn.XLOOKUP(KR4,Computes!$C$2:$C$181,Computes!$E$2:$E$181)</f>
        <v>7</v>
      </c>
      <c r="KS2">
        <f>_xlfn.XLOOKUP(KS4,Computes!$C$2:$C$181,Computes!$E$2:$E$181)</f>
        <v>7</v>
      </c>
      <c r="KT2">
        <f>_xlfn.XLOOKUP(KT4,Computes!$C$2:$C$181,Computes!$E$2:$E$181)</f>
        <v>8</v>
      </c>
      <c r="KU2">
        <f>_xlfn.XLOOKUP(KU4,Computes!$C$2:$C$181,Computes!$E$2:$E$181)</f>
        <v>8</v>
      </c>
      <c r="KV2">
        <f>_xlfn.XLOOKUP(KV4,Computes!$C$2:$C$181,Computes!$E$2:$E$181)</f>
        <v>8</v>
      </c>
      <c r="KW2">
        <f>_xlfn.XLOOKUP(KW4,Computes!$C$2:$C$181,Computes!$E$2:$E$181)</f>
        <v>8</v>
      </c>
      <c r="KX2">
        <f>_xlfn.XLOOKUP(KX4,Computes!$C$2:$C$181,Computes!$E$2:$E$181)</f>
        <v>8</v>
      </c>
      <c r="KY2">
        <f>_xlfn.XLOOKUP(KY4,Computes!$C$2:$C$181,Computes!$E$2:$E$181)</f>
        <v>8</v>
      </c>
      <c r="KZ2">
        <f>_xlfn.XLOOKUP(KZ4,Computes!$C$2:$C$181,Computes!$E$2:$E$181)</f>
        <v>9</v>
      </c>
      <c r="LA2">
        <f>_xlfn.XLOOKUP(LA4,Computes!$C$2:$C$181,Computes!$E$2:$E$181)</f>
        <v>9</v>
      </c>
      <c r="LB2">
        <f>_xlfn.XLOOKUP(LB4,Computes!$C$2:$C$181,Computes!$E$2:$E$181)</f>
        <v>0</v>
      </c>
      <c r="LC2">
        <f>_xlfn.XLOOKUP(LC4,Computes!$C$2:$C$181,Computes!$E$2:$E$181)</f>
        <v>0</v>
      </c>
      <c r="LD2">
        <f>_xlfn.XLOOKUP(LD4,Computes!$C$2:$C$181,Computes!$E$2:$E$181)</f>
        <v>1</v>
      </c>
      <c r="LE2">
        <f>_xlfn.XLOOKUP(LE4,Computes!$C$2:$C$181,Computes!$E$2:$E$181)</f>
        <v>1</v>
      </c>
      <c r="LF2">
        <f>_xlfn.XLOOKUP(LF4,Computes!$C$2:$C$181,Computes!$E$2:$E$181)</f>
        <v>1</v>
      </c>
      <c r="LG2">
        <f>_xlfn.XLOOKUP(LG4,Computes!$C$2:$C$181,Computes!$E$2:$E$181)</f>
        <v>1</v>
      </c>
      <c r="LH2">
        <f>_xlfn.XLOOKUP(LH4,Computes!$C$2:$C$181,Computes!$E$2:$E$181)</f>
        <v>1</v>
      </c>
      <c r="LI2">
        <f>_xlfn.XLOOKUP(LI4,Computes!$C$2:$C$181,Computes!$E$2:$E$181)</f>
        <v>1</v>
      </c>
      <c r="LJ2">
        <f>_xlfn.XLOOKUP(LJ4,Computes!$C$2:$C$181,Computes!$E$2:$E$181)</f>
        <v>1</v>
      </c>
      <c r="LK2">
        <f>_xlfn.XLOOKUP(LK4,Computes!$C$2:$C$181,Computes!$E$2:$E$181)</f>
        <v>1</v>
      </c>
      <c r="LL2">
        <f>_xlfn.XLOOKUP(LL4,Computes!$C$2:$C$181,Computes!$E$2:$E$181)</f>
        <v>2</v>
      </c>
      <c r="LM2">
        <f>_xlfn.XLOOKUP(LM4,Computes!$C$2:$C$181,Computes!$E$2:$E$181)</f>
        <v>2</v>
      </c>
      <c r="LN2">
        <f>_xlfn.XLOOKUP(LN4,Computes!$C$2:$C$181,Computes!$E$2:$E$181)</f>
        <v>2</v>
      </c>
      <c r="LO2">
        <f>_xlfn.XLOOKUP(LO4,Computes!$C$2:$C$181,Computes!$E$2:$E$181)</f>
        <v>2</v>
      </c>
      <c r="LP2">
        <f>_xlfn.XLOOKUP(LP4,Computes!$C$2:$C$181,Computes!$E$2:$E$181)</f>
        <v>2</v>
      </c>
      <c r="LQ2">
        <f>_xlfn.XLOOKUP(LQ4,Computes!$C$2:$C$181,Computes!$E$2:$E$181)</f>
        <v>2</v>
      </c>
      <c r="LR2">
        <f>_xlfn.XLOOKUP(LR4,Computes!$C$2:$C$181,Computes!$E$2:$E$181)</f>
        <v>2</v>
      </c>
      <c r="LS2">
        <f>_xlfn.XLOOKUP(LS4,Computes!$C$2:$C$181,Computes!$E$2:$E$181)</f>
        <v>3</v>
      </c>
      <c r="LT2">
        <f>_xlfn.XLOOKUP(LT4,Computes!$C$2:$C$181,Computes!$E$2:$E$181)</f>
        <v>3</v>
      </c>
      <c r="LU2">
        <f>_xlfn.XLOOKUP(LU4,Computes!$C$2:$C$181,Computes!$E$2:$E$181)</f>
        <v>3</v>
      </c>
      <c r="LV2">
        <f>_xlfn.XLOOKUP(LV4,Computes!$C$2:$C$181,Computes!$E$2:$E$181)</f>
        <v>3</v>
      </c>
      <c r="LW2">
        <f>_xlfn.XLOOKUP(LW4,Computes!$C$2:$C$181,Computes!$E$2:$E$181)</f>
        <v>3</v>
      </c>
      <c r="LX2">
        <f>_xlfn.XLOOKUP(LX4,Computes!$C$2:$C$181,Computes!$E$2:$E$181)</f>
        <v>3</v>
      </c>
      <c r="LY2">
        <f>_xlfn.XLOOKUP(LY4,Computes!$C$2:$C$181,Computes!$E$2:$E$181)</f>
        <v>3</v>
      </c>
      <c r="LZ2">
        <f>_xlfn.XLOOKUP(LZ4,Computes!$C$2:$C$181,Computes!$E$2:$E$181)</f>
        <v>4</v>
      </c>
      <c r="MA2">
        <f>_xlfn.XLOOKUP(MA4,Computes!$C$2:$C$181,Computes!$E$2:$E$181)</f>
        <v>4</v>
      </c>
      <c r="MB2">
        <f>_xlfn.XLOOKUP(MB4,Computes!$C$2:$C$181,Computes!$E$2:$E$181)</f>
        <v>4</v>
      </c>
      <c r="MC2">
        <f>_xlfn.XLOOKUP(MC4,Computes!$C$2:$C$181,Computes!$E$2:$E$181)</f>
        <v>4</v>
      </c>
      <c r="MD2">
        <f>_xlfn.XLOOKUP(MD4,Computes!$C$2:$C$181,Computes!$E$2:$E$181)</f>
        <v>4</v>
      </c>
      <c r="ME2">
        <f>_xlfn.XLOOKUP(ME4,Computes!$C$2:$C$181,Computes!$E$2:$E$181)</f>
        <v>4</v>
      </c>
      <c r="MF2">
        <f>_xlfn.XLOOKUP(MF4,Computes!$C$2:$C$181,Computes!$E$2:$E$181)</f>
        <v>4</v>
      </c>
      <c r="MG2">
        <f>_xlfn.XLOOKUP(MG4,Computes!$C$2:$C$181,Computes!$E$2:$E$181)</f>
        <v>5</v>
      </c>
      <c r="MH2">
        <f>_xlfn.XLOOKUP(MH4,Computes!$C$2:$C$181,Computes!$E$2:$E$181)</f>
        <v>5</v>
      </c>
      <c r="MI2">
        <f>_xlfn.XLOOKUP(MI4,Computes!$C$2:$C$181,Computes!$E$2:$E$181)</f>
        <v>5</v>
      </c>
      <c r="MJ2">
        <f>_xlfn.XLOOKUP(MJ4,Computes!$C$2:$C$181,Computes!$E$2:$E$181)</f>
        <v>5</v>
      </c>
      <c r="MK2">
        <f>_xlfn.XLOOKUP(MK4,Computes!$C$2:$C$181,Computes!$E$2:$E$181)</f>
        <v>5</v>
      </c>
      <c r="ML2">
        <f>_xlfn.XLOOKUP(ML4,Computes!$C$2:$C$181,Computes!$E$2:$E$181)</f>
        <v>5</v>
      </c>
      <c r="MM2">
        <f>_xlfn.XLOOKUP(MM4,Computes!$C$2:$C$181,Computes!$E$2:$E$181)</f>
        <v>5</v>
      </c>
      <c r="MN2">
        <f>_xlfn.XLOOKUP(MN4,Computes!$C$2:$C$181,Computes!$E$2:$E$181)</f>
        <v>6</v>
      </c>
      <c r="MO2">
        <f>_xlfn.XLOOKUP(MO4,Computes!$C$2:$C$181,Computes!$E$2:$E$181)</f>
        <v>6</v>
      </c>
      <c r="MP2">
        <f>_xlfn.XLOOKUP(MP4,Computes!$C$2:$C$181,Computes!$E$2:$E$181)</f>
        <v>6</v>
      </c>
      <c r="MQ2">
        <f>_xlfn.XLOOKUP(MQ4,Computes!$C$2:$C$181,Computes!$E$2:$E$181)</f>
        <v>6</v>
      </c>
      <c r="MR2">
        <f>_xlfn.XLOOKUP(MR4,Computes!$C$2:$C$181,Computes!$E$2:$E$181)</f>
        <v>6</v>
      </c>
      <c r="MS2">
        <f>_xlfn.XLOOKUP(MS4,Computes!$C$2:$C$181,Computes!$E$2:$E$181)</f>
        <v>6</v>
      </c>
      <c r="MT2">
        <f>_xlfn.XLOOKUP(MT4,Computes!$C$2:$C$181,Computes!$E$2:$E$181)</f>
        <v>6</v>
      </c>
      <c r="MU2">
        <f>_xlfn.XLOOKUP(MU4,Computes!$C$2:$C$181,Computes!$E$2:$E$181)</f>
        <v>7</v>
      </c>
      <c r="MV2">
        <f>_xlfn.XLOOKUP(MV4,Computes!$C$2:$C$181,Computes!$E$2:$E$181)</f>
        <v>7</v>
      </c>
      <c r="MW2">
        <f>_xlfn.XLOOKUP(MW4,Computes!$C$2:$C$181,Computes!$E$2:$E$181)</f>
        <v>7</v>
      </c>
      <c r="MX2">
        <f>_xlfn.XLOOKUP(MX4,Computes!$C$2:$C$181,Computes!$E$2:$E$181)</f>
        <v>7</v>
      </c>
      <c r="MY2">
        <f>_xlfn.XLOOKUP(MY4,Computes!$C$2:$C$181,Computes!$E$2:$E$181)</f>
        <v>7</v>
      </c>
      <c r="MZ2">
        <f>_xlfn.XLOOKUP(MZ4,Computes!$C$2:$C$181,Computes!$E$2:$E$181)</f>
        <v>7</v>
      </c>
      <c r="NA2">
        <f>_xlfn.XLOOKUP(NA4,Computes!$C$2:$C$181,Computes!$E$2:$E$181)</f>
        <v>7</v>
      </c>
      <c r="NB2">
        <f>_xlfn.XLOOKUP(NB4,Computes!$C$2:$C$181,Computes!$E$2:$E$181)</f>
        <v>8</v>
      </c>
      <c r="NC2">
        <f>_xlfn.XLOOKUP(NC4,Computes!$C$2:$C$181,Computes!$E$2:$E$181)</f>
        <v>8</v>
      </c>
      <c r="ND2">
        <f>_xlfn.XLOOKUP(ND4,Computes!$C$2:$C$181,Computes!$E$2:$E$181)</f>
        <v>8</v>
      </c>
      <c r="NE2">
        <f>_xlfn.XLOOKUP(NE4,Computes!$C$2:$C$181,Computes!$E$2:$E$181)</f>
        <v>8</v>
      </c>
      <c r="NF2">
        <f>_xlfn.XLOOKUP(NF4,Computes!$C$2:$C$181,Computes!$E$2:$E$181)</f>
        <v>8</v>
      </c>
      <c r="NG2">
        <f>_xlfn.XLOOKUP(NG4,Computes!$C$2:$C$181,Computes!$E$2:$E$181)</f>
        <v>8</v>
      </c>
      <c r="NH2">
        <f>_xlfn.XLOOKUP(NH4,Computes!$C$2:$C$181,Computes!$E$2:$E$181)</f>
        <v>9</v>
      </c>
      <c r="NI2">
        <f>_xlfn.XLOOKUP(NI4,Computes!$C$2:$C$181,Computes!$E$2:$E$181)</f>
        <v>9</v>
      </c>
    </row>
    <row r="3" spans="1:661" x14ac:dyDescent="0.3">
      <c r="L3" t="s">
        <v>377</v>
      </c>
      <c r="M3">
        <f>_xlfn.XLOOKUP(M4,Computes!$C$2:$C$181,Computes!$D$2:$D$181)</f>
        <v>1</v>
      </c>
      <c r="N3">
        <f>_xlfn.XLOOKUP(N4,Computes!$C$2:$C$181,Computes!$D$2:$D$181)</f>
        <v>2</v>
      </c>
      <c r="O3">
        <f>_xlfn.XLOOKUP(O4,Computes!$C$2:$C$181,Computes!$D$2:$D$181)</f>
        <v>1</v>
      </c>
      <c r="P3">
        <f>_xlfn.XLOOKUP(P4,Computes!$C$2:$C$181,Computes!$D$2:$D$181)</f>
        <v>2</v>
      </c>
      <c r="Q3">
        <f>_xlfn.XLOOKUP(Q4,Computes!$C$2:$C$181,Computes!$D$2:$D$181)</f>
        <v>3</v>
      </c>
      <c r="R3">
        <f>_xlfn.XLOOKUP(R4,Computes!$C$2:$C$181,Computes!$D$2:$D$181)</f>
        <v>4</v>
      </c>
      <c r="S3">
        <f>_xlfn.XLOOKUP(S4,Computes!$C$2:$C$181,Computes!$D$2:$D$181)</f>
        <v>5</v>
      </c>
      <c r="T3">
        <f>_xlfn.XLOOKUP(T4,Computes!$C$2:$C$181,Computes!$D$2:$D$181)</f>
        <v>6</v>
      </c>
      <c r="U3">
        <f>_xlfn.XLOOKUP(U4,Computes!$C$2:$C$181,Computes!$D$2:$D$181)</f>
        <v>7</v>
      </c>
      <c r="V3">
        <f>_xlfn.XLOOKUP(V4,Computes!$C$2:$C$181,Computes!$D$2:$D$181)</f>
        <v>1</v>
      </c>
      <c r="W3">
        <f>_xlfn.XLOOKUP(W4,Computes!$C$2:$C$181,Computes!$D$2:$D$181)</f>
        <v>2</v>
      </c>
      <c r="X3">
        <f>_xlfn.XLOOKUP(X4,Computes!$C$2:$C$181,Computes!$D$2:$D$181)</f>
        <v>3</v>
      </c>
      <c r="Y3">
        <f>_xlfn.XLOOKUP(Y4,Computes!$C$2:$C$181,Computes!$D$2:$D$181)</f>
        <v>4</v>
      </c>
      <c r="Z3">
        <f>_xlfn.XLOOKUP(Z4,Computes!$C$2:$C$181,Computes!$D$2:$D$181)</f>
        <v>5</v>
      </c>
      <c r="AA3">
        <f>_xlfn.XLOOKUP(AA4,Computes!$C$2:$C$181,Computes!$D$2:$D$181)</f>
        <v>6</v>
      </c>
      <c r="AB3">
        <f>_xlfn.XLOOKUP(AB4,Computes!$C$2:$C$181,Computes!$D$2:$D$181)</f>
        <v>7</v>
      </c>
      <c r="AC3">
        <f>_xlfn.XLOOKUP(AC4,Computes!$C$2:$C$181,Computes!$D$2:$D$181)</f>
        <v>1</v>
      </c>
      <c r="AD3">
        <f>_xlfn.XLOOKUP(AD4,Computes!$C$2:$C$181,Computes!$D$2:$D$181)</f>
        <v>2</v>
      </c>
      <c r="AE3">
        <f>_xlfn.XLOOKUP(AE4,Computes!$C$2:$C$181,Computes!$D$2:$D$181)</f>
        <v>3</v>
      </c>
      <c r="AF3">
        <f>_xlfn.XLOOKUP(AF4,Computes!$C$2:$C$181,Computes!$D$2:$D$181)</f>
        <v>4</v>
      </c>
      <c r="AG3">
        <f>_xlfn.XLOOKUP(AG4,Computes!$C$2:$C$181,Computes!$D$2:$D$181)</f>
        <v>5</v>
      </c>
      <c r="AH3">
        <f>_xlfn.XLOOKUP(AH4,Computes!$C$2:$C$181,Computes!$D$2:$D$181)</f>
        <v>6</v>
      </c>
      <c r="AI3">
        <f>_xlfn.XLOOKUP(AI4,Computes!$C$2:$C$181,Computes!$D$2:$D$181)</f>
        <v>7</v>
      </c>
      <c r="AJ3">
        <f>_xlfn.XLOOKUP(AJ4,Computes!$C$2:$C$181,Computes!$D$2:$D$181)</f>
        <v>1</v>
      </c>
      <c r="AK3">
        <f>_xlfn.XLOOKUP(AK4,Computes!$C$2:$C$181,Computes!$D$2:$D$181)</f>
        <v>2</v>
      </c>
      <c r="AL3">
        <f>_xlfn.XLOOKUP(AL4,Computes!$C$2:$C$181,Computes!$D$2:$D$181)</f>
        <v>3</v>
      </c>
      <c r="AM3">
        <f>_xlfn.XLOOKUP(AM4,Computes!$C$2:$C$181,Computes!$D$2:$D$181)</f>
        <v>4</v>
      </c>
      <c r="AN3">
        <f>_xlfn.XLOOKUP(AN4,Computes!$C$2:$C$181,Computes!$D$2:$D$181)</f>
        <v>5</v>
      </c>
      <c r="AO3">
        <f>_xlfn.XLOOKUP(AO4,Computes!$C$2:$C$181,Computes!$D$2:$D$181)</f>
        <v>6</v>
      </c>
      <c r="AP3">
        <f>_xlfn.XLOOKUP(AP4,Computes!$C$2:$C$181,Computes!$D$2:$D$181)</f>
        <v>7</v>
      </c>
      <c r="AQ3">
        <f>_xlfn.XLOOKUP(AQ4,Computes!$C$2:$C$181,Computes!$D$2:$D$181)</f>
        <v>1</v>
      </c>
      <c r="AR3">
        <f>_xlfn.XLOOKUP(AR4,Computes!$C$2:$C$181,Computes!$D$2:$D$181)</f>
        <v>2</v>
      </c>
      <c r="AS3">
        <f>_xlfn.XLOOKUP(AS4,Computes!$C$2:$C$181,Computes!$D$2:$D$181)</f>
        <v>3</v>
      </c>
      <c r="AT3">
        <f>_xlfn.XLOOKUP(AT4,Computes!$C$2:$C$181,Computes!$D$2:$D$181)</f>
        <v>4</v>
      </c>
      <c r="AU3">
        <f>_xlfn.XLOOKUP(AU4,Computes!$C$2:$C$181,Computes!$D$2:$D$181)</f>
        <v>5</v>
      </c>
      <c r="AV3">
        <f>_xlfn.XLOOKUP(AV4,Computes!$C$2:$C$181,Computes!$D$2:$D$181)</f>
        <v>6</v>
      </c>
      <c r="AW3">
        <f>_xlfn.XLOOKUP(AW4,Computes!$C$2:$C$181,Computes!$D$2:$D$181)</f>
        <v>7</v>
      </c>
      <c r="AX3">
        <f>_xlfn.XLOOKUP(AX4,Computes!$C$2:$C$181,Computes!$D$2:$D$181)</f>
        <v>1</v>
      </c>
      <c r="AY3">
        <f>_xlfn.XLOOKUP(AY4,Computes!$C$2:$C$181,Computes!$D$2:$D$181)</f>
        <v>2</v>
      </c>
      <c r="AZ3">
        <f>_xlfn.XLOOKUP(AZ4,Computes!$C$2:$C$181,Computes!$D$2:$D$181)</f>
        <v>3</v>
      </c>
      <c r="BA3">
        <f>_xlfn.XLOOKUP(BA4,Computes!$C$2:$C$181,Computes!$D$2:$D$181)</f>
        <v>4</v>
      </c>
      <c r="BB3">
        <f>_xlfn.XLOOKUP(BB4,Computes!$C$2:$C$181,Computes!$D$2:$D$181)</f>
        <v>5</v>
      </c>
      <c r="BC3">
        <f>_xlfn.XLOOKUP(BC4,Computes!$C$2:$C$181,Computes!$D$2:$D$181)</f>
        <v>6</v>
      </c>
      <c r="BD3">
        <f>_xlfn.XLOOKUP(BD4,Computes!$C$2:$C$181,Computes!$D$2:$D$181)</f>
        <v>7</v>
      </c>
      <c r="BE3">
        <f>_xlfn.XLOOKUP(BE4,Computes!$C$2:$C$181,Computes!$D$2:$D$181)</f>
        <v>1</v>
      </c>
      <c r="BF3">
        <f>_xlfn.XLOOKUP(BF4,Computes!$C$2:$C$181,Computes!$D$2:$D$181)</f>
        <v>2</v>
      </c>
      <c r="BG3">
        <f>_xlfn.XLOOKUP(BG4,Computes!$C$2:$C$181,Computes!$D$2:$D$181)</f>
        <v>3</v>
      </c>
      <c r="BH3">
        <f>_xlfn.XLOOKUP(BH4,Computes!$C$2:$C$181,Computes!$D$2:$D$181)</f>
        <v>4</v>
      </c>
      <c r="BI3">
        <f>_xlfn.XLOOKUP(BI4,Computes!$C$2:$C$181,Computes!$D$2:$D$181)</f>
        <v>5</v>
      </c>
      <c r="BJ3">
        <f>_xlfn.XLOOKUP(BJ4,Computes!$C$2:$C$181,Computes!$D$2:$D$181)</f>
        <v>6</v>
      </c>
      <c r="BK3">
        <f>_xlfn.XLOOKUP(BK4,Computes!$C$2:$C$181,Computes!$D$2:$D$181)</f>
        <v>7</v>
      </c>
      <c r="BL3">
        <f>_xlfn.XLOOKUP(BL4,Computes!$C$2:$C$181,Computes!$D$2:$D$181)</f>
        <v>1</v>
      </c>
      <c r="BM3">
        <f>_xlfn.XLOOKUP(BM4,Computes!$C$2:$C$181,Computes!$D$2:$D$181)</f>
        <v>2</v>
      </c>
      <c r="BN3">
        <f>_xlfn.XLOOKUP(BN4,Computes!$C$2:$C$181,Computes!$D$2:$D$181)</f>
        <v>3</v>
      </c>
      <c r="BO3">
        <f>_xlfn.XLOOKUP(BO4,Computes!$C$2:$C$181,Computes!$D$2:$D$181)</f>
        <v>4</v>
      </c>
      <c r="BP3">
        <f>_xlfn.XLOOKUP(BP4,Computes!$C$2:$C$181,Computes!$D$2:$D$181)</f>
        <v>5</v>
      </c>
      <c r="BQ3">
        <f>_xlfn.XLOOKUP(BQ4,Computes!$C$2:$C$181,Computes!$D$2:$D$181)</f>
        <v>6</v>
      </c>
      <c r="BR3">
        <f>_xlfn.XLOOKUP(BR4,Computes!$C$2:$C$181,Computes!$D$2:$D$181)</f>
        <v>7</v>
      </c>
      <c r="BS3">
        <f>_xlfn.XLOOKUP(BS4,Computes!$C$2:$C$181,Computes!$D$2:$D$181)</f>
        <v>1</v>
      </c>
      <c r="BT3">
        <f>_xlfn.XLOOKUP(BT4,Computes!$C$2:$C$181,Computes!$D$2:$D$181)</f>
        <v>2</v>
      </c>
      <c r="BU3">
        <f>_xlfn.XLOOKUP(BU4,Computes!$C$2:$C$181,Computes!$D$2:$D$181)</f>
        <v>1</v>
      </c>
      <c r="BV3">
        <f>_xlfn.XLOOKUP(BV4,Computes!$C$2:$C$181,Computes!$D$2:$D$181)</f>
        <v>2</v>
      </c>
      <c r="BW3">
        <f>_xlfn.XLOOKUP(BW4,Computes!$C$2:$C$181,Computes!$D$2:$D$181)</f>
        <v>1</v>
      </c>
      <c r="BX3">
        <f>_xlfn.XLOOKUP(BX4,Computes!$C$2:$C$181,Computes!$D$2:$D$181)</f>
        <v>2</v>
      </c>
      <c r="BY3">
        <f>_xlfn.XLOOKUP(BY4,Computes!$C$2:$C$181,Computes!$D$2:$D$181)</f>
        <v>3</v>
      </c>
      <c r="BZ3">
        <f>_xlfn.XLOOKUP(BZ4,Computes!$C$2:$C$181,Computes!$D$2:$D$181)</f>
        <v>4</v>
      </c>
      <c r="CA3">
        <f>_xlfn.XLOOKUP(CA4,Computes!$C$2:$C$181,Computes!$D$2:$D$181)</f>
        <v>5</v>
      </c>
      <c r="CB3">
        <f>_xlfn.XLOOKUP(CB4,Computes!$C$2:$C$181,Computes!$D$2:$D$181)</f>
        <v>6</v>
      </c>
      <c r="CC3">
        <f>_xlfn.XLOOKUP(CC4,Computes!$C$2:$C$181,Computes!$D$2:$D$181)</f>
        <v>7</v>
      </c>
      <c r="CD3">
        <f>_xlfn.XLOOKUP(CD4,Computes!$C$2:$C$181,Computes!$D$2:$D$181)</f>
        <v>1</v>
      </c>
      <c r="CE3">
        <f>_xlfn.XLOOKUP(CE4,Computes!$C$2:$C$181,Computes!$D$2:$D$181)</f>
        <v>2</v>
      </c>
      <c r="CF3">
        <f>_xlfn.XLOOKUP(CF4,Computes!$C$2:$C$181,Computes!$D$2:$D$181)</f>
        <v>3</v>
      </c>
      <c r="CG3">
        <f>_xlfn.XLOOKUP(CG4,Computes!$C$2:$C$181,Computes!$D$2:$D$181)</f>
        <v>4</v>
      </c>
      <c r="CH3">
        <f>_xlfn.XLOOKUP(CH4,Computes!$C$2:$C$181,Computes!$D$2:$D$181)</f>
        <v>5</v>
      </c>
      <c r="CI3">
        <f>_xlfn.XLOOKUP(CI4,Computes!$C$2:$C$181,Computes!$D$2:$D$181)</f>
        <v>6</v>
      </c>
      <c r="CJ3">
        <f>_xlfn.XLOOKUP(CJ4,Computes!$C$2:$C$181,Computes!$D$2:$D$181)</f>
        <v>7</v>
      </c>
      <c r="CK3">
        <f>_xlfn.XLOOKUP(CK4,Computes!$C$2:$C$181,Computes!$D$2:$D$181)</f>
        <v>1</v>
      </c>
      <c r="CL3">
        <f>_xlfn.XLOOKUP(CL4,Computes!$C$2:$C$181,Computes!$D$2:$D$181)</f>
        <v>2</v>
      </c>
      <c r="CM3">
        <f>_xlfn.XLOOKUP(CM4,Computes!$C$2:$C$181,Computes!$D$2:$D$181)</f>
        <v>3</v>
      </c>
      <c r="CN3">
        <f>_xlfn.XLOOKUP(CN4,Computes!$C$2:$C$181,Computes!$D$2:$D$181)</f>
        <v>4</v>
      </c>
      <c r="CO3">
        <f>_xlfn.XLOOKUP(CO4,Computes!$C$2:$C$181,Computes!$D$2:$D$181)</f>
        <v>5</v>
      </c>
      <c r="CP3">
        <f>_xlfn.XLOOKUP(CP4,Computes!$C$2:$C$181,Computes!$D$2:$D$181)</f>
        <v>6</v>
      </c>
      <c r="CQ3">
        <f>_xlfn.XLOOKUP(CQ4,Computes!$C$2:$C$181,Computes!$D$2:$D$181)</f>
        <v>7</v>
      </c>
      <c r="CR3">
        <f>_xlfn.XLOOKUP(CR4,Computes!$C$2:$C$181,Computes!$D$2:$D$181)</f>
        <v>1</v>
      </c>
      <c r="CS3">
        <f>_xlfn.XLOOKUP(CS4,Computes!$C$2:$C$181,Computes!$D$2:$D$181)</f>
        <v>2</v>
      </c>
      <c r="CT3">
        <f>_xlfn.XLOOKUP(CT4,Computes!$C$2:$C$181,Computes!$D$2:$D$181)</f>
        <v>3</v>
      </c>
      <c r="CU3">
        <f>_xlfn.XLOOKUP(CU4,Computes!$C$2:$C$181,Computes!$D$2:$D$181)</f>
        <v>4</v>
      </c>
      <c r="CV3">
        <f>_xlfn.XLOOKUP(CV4,Computes!$C$2:$C$181,Computes!$D$2:$D$181)</f>
        <v>5</v>
      </c>
      <c r="CW3">
        <f>_xlfn.XLOOKUP(CW4,Computes!$C$2:$C$181,Computes!$D$2:$D$181)</f>
        <v>6</v>
      </c>
      <c r="CX3">
        <f>_xlfn.XLOOKUP(CX4,Computes!$C$2:$C$181,Computes!$D$2:$D$181)</f>
        <v>7</v>
      </c>
      <c r="CY3">
        <f>_xlfn.XLOOKUP(CY4,Computes!$C$2:$C$181,Computes!$D$2:$D$181)</f>
        <v>1</v>
      </c>
      <c r="CZ3">
        <f>_xlfn.XLOOKUP(CZ4,Computes!$C$2:$C$181,Computes!$D$2:$D$181)</f>
        <v>2</v>
      </c>
      <c r="DA3">
        <f>_xlfn.XLOOKUP(DA4,Computes!$C$2:$C$181,Computes!$D$2:$D$181)</f>
        <v>3</v>
      </c>
      <c r="DB3">
        <f>_xlfn.XLOOKUP(DB4,Computes!$C$2:$C$181,Computes!$D$2:$D$181)</f>
        <v>4</v>
      </c>
      <c r="DC3">
        <f>_xlfn.XLOOKUP(DC4,Computes!$C$2:$C$181,Computes!$D$2:$D$181)</f>
        <v>5</v>
      </c>
      <c r="DD3">
        <f>_xlfn.XLOOKUP(DD4,Computes!$C$2:$C$181,Computes!$D$2:$D$181)</f>
        <v>6</v>
      </c>
      <c r="DE3">
        <f>_xlfn.XLOOKUP(DE4,Computes!$C$2:$C$181,Computes!$D$2:$D$181)</f>
        <v>7</v>
      </c>
      <c r="DF3">
        <f>_xlfn.XLOOKUP(DF4,Computes!$C$2:$C$181,Computes!$D$2:$D$181)</f>
        <v>1</v>
      </c>
      <c r="DG3">
        <f>_xlfn.XLOOKUP(DG4,Computes!$C$2:$C$181,Computes!$D$2:$D$181)</f>
        <v>2</v>
      </c>
      <c r="DH3">
        <f>_xlfn.XLOOKUP(DH4,Computes!$C$2:$C$181,Computes!$D$2:$D$181)</f>
        <v>3</v>
      </c>
      <c r="DI3">
        <f>_xlfn.XLOOKUP(DI4,Computes!$C$2:$C$181,Computes!$D$2:$D$181)</f>
        <v>4</v>
      </c>
      <c r="DJ3">
        <f>_xlfn.XLOOKUP(DJ4,Computes!$C$2:$C$181,Computes!$D$2:$D$181)</f>
        <v>5</v>
      </c>
      <c r="DK3">
        <f>_xlfn.XLOOKUP(DK4,Computes!$C$2:$C$181,Computes!$D$2:$D$181)</f>
        <v>6</v>
      </c>
      <c r="DL3">
        <f>_xlfn.XLOOKUP(DL4,Computes!$C$2:$C$181,Computes!$D$2:$D$181)</f>
        <v>7</v>
      </c>
      <c r="DM3">
        <f>_xlfn.XLOOKUP(DM4,Computes!$C$2:$C$181,Computes!$D$2:$D$181)</f>
        <v>1</v>
      </c>
      <c r="DN3">
        <f>_xlfn.XLOOKUP(DN4,Computes!$C$2:$C$181,Computes!$D$2:$D$181)</f>
        <v>2</v>
      </c>
      <c r="DO3">
        <f>_xlfn.XLOOKUP(DO4,Computes!$C$2:$C$181,Computes!$D$2:$D$181)</f>
        <v>3</v>
      </c>
      <c r="DP3">
        <f>_xlfn.XLOOKUP(DP4,Computes!$C$2:$C$181,Computes!$D$2:$D$181)</f>
        <v>4</v>
      </c>
      <c r="DQ3">
        <f>_xlfn.XLOOKUP(DQ4,Computes!$C$2:$C$181,Computes!$D$2:$D$181)</f>
        <v>5</v>
      </c>
      <c r="DR3">
        <f>_xlfn.XLOOKUP(DR4,Computes!$C$2:$C$181,Computes!$D$2:$D$181)</f>
        <v>6</v>
      </c>
      <c r="DS3">
        <f>_xlfn.XLOOKUP(DS4,Computes!$C$2:$C$181,Computes!$D$2:$D$181)</f>
        <v>7</v>
      </c>
      <c r="DT3">
        <f>_xlfn.XLOOKUP(DT4,Computes!$C$2:$C$181,Computes!$D$2:$D$181)</f>
        <v>1</v>
      </c>
      <c r="DU3">
        <f>_xlfn.XLOOKUP(DU4,Computes!$C$2:$C$181,Computes!$D$2:$D$181)</f>
        <v>2</v>
      </c>
      <c r="DV3">
        <f>_xlfn.XLOOKUP(DV4,Computes!$C$2:$C$181,Computes!$D$2:$D$181)</f>
        <v>3</v>
      </c>
      <c r="DW3">
        <f>_xlfn.XLOOKUP(DW4,Computes!$C$2:$C$181,Computes!$D$2:$D$181)</f>
        <v>4</v>
      </c>
      <c r="DX3">
        <f>_xlfn.XLOOKUP(DX4,Computes!$C$2:$C$181,Computes!$D$2:$D$181)</f>
        <v>5</v>
      </c>
      <c r="DY3">
        <f>_xlfn.XLOOKUP(DY4,Computes!$C$2:$C$181,Computes!$D$2:$D$181)</f>
        <v>6</v>
      </c>
      <c r="DZ3">
        <f>_xlfn.XLOOKUP(DZ4,Computes!$C$2:$C$181,Computes!$D$2:$D$181)</f>
        <v>7</v>
      </c>
      <c r="EA3">
        <f>_xlfn.XLOOKUP(EA4,Computes!$C$2:$C$181,Computes!$D$2:$D$181)</f>
        <v>1</v>
      </c>
      <c r="EB3">
        <f>_xlfn.XLOOKUP(EB4,Computes!$C$2:$C$181,Computes!$D$2:$D$181)</f>
        <v>2</v>
      </c>
      <c r="EC3">
        <f>_xlfn.XLOOKUP(EC4,Computes!$C$2:$C$181,Computes!$D$2:$D$181)</f>
        <v>1</v>
      </c>
      <c r="ED3">
        <f>_xlfn.XLOOKUP(ED4,Computes!$C$2:$C$181,Computes!$D$2:$D$181)</f>
        <v>2</v>
      </c>
      <c r="EE3">
        <f>_xlfn.XLOOKUP(EE4,Computes!$C$2:$C$181,Computes!$D$2:$D$181)</f>
        <v>1</v>
      </c>
      <c r="EF3">
        <f>_xlfn.XLOOKUP(EF4,Computes!$C$2:$C$181,Computes!$D$2:$D$181)</f>
        <v>2</v>
      </c>
      <c r="EG3">
        <f>_xlfn.XLOOKUP(EG4,Computes!$C$2:$C$181,Computes!$D$2:$D$181)</f>
        <v>3</v>
      </c>
      <c r="EH3">
        <f>_xlfn.XLOOKUP(EH4,Computes!$C$2:$C$181,Computes!$D$2:$D$181)</f>
        <v>4</v>
      </c>
      <c r="EI3">
        <f>_xlfn.XLOOKUP(EI4,Computes!$C$2:$C$181,Computes!$D$2:$D$181)</f>
        <v>5</v>
      </c>
      <c r="EJ3">
        <f>_xlfn.XLOOKUP(EJ4,Computes!$C$2:$C$181,Computes!$D$2:$D$181)</f>
        <v>6</v>
      </c>
      <c r="EK3">
        <f>_xlfn.XLOOKUP(EK4,Computes!$C$2:$C$181,Computes!$D$2:$D$181)</f>
        <v>7</v>
      </c>
      <c r="EL3">
        <f>_xlfn.XLOOKUP(EL4,Computes!$C$2:$C$181,Computes!$D$2:$D$181)</f>
        <v>1</v>
      </c>
      <c r="EM3">
        <f>_xlfn.XLOOKUP(EM4,Computes!$C$2:$C$181,Computes!$D$2:$D$181)</f>
        <v>2</v>
      </c>
      <c r="EN3">
        <f>_xlfn.XLOOKUP(EN4,Computes!$C$2:$C$181,Computes!$D$2:$D$181)</f>
        <v>3</v>
      </c>
      <c r="EO3">
        <f>_xlfn.XLOOKUP(EO4,Computes!$C$2:$C$181,Computes!$D$2:$D$181)</f>
        <v>4</v>
      </c>
      <c r="EP3">
        <f>_xlfn.XLOOKUP(EP4,Computes!$C$2:$C$181,Computes!$D$2:$D$181)</f>
        <v>5</v>
      </c>
      <c r="EQ3">
        <f>_xlfn.XLOOKUP(EQ4,Computes!$C$2:$C$181,Computes!$D$2:$D$181)</f>
        <v>6</v>
      </c>
      <c r="ER3">
        <f>_xlfn.XLOOKUP(ER4,Computes!$C$2:$C$181,Computes!$D$2:$D$181)</f>
        <v>7</v>
      </c>
      <c r="ES3">
        <f>_xlfn.XLOOKUP(ES4,Computes!$C$2:$C$181,Computes!$D$2:$D$181)</f>
        <v>1</v>
      </c>
      <c r="ET3">
        <f>_xlfn.XLOOKUP(ET4,Computes!$C$2:$C$181,Computes!$D$2:$D$181)</f>
        <v>2</v>
      </c>
      <c r="EU3">
        <f>_xlfn.XLOOKUP(EU4,Computes!$C$2:$C$181,Computes!$D$2:$D$181)</f>
        <v>3</v>
      </c>
      <c r="EV3">
        <f>_xlfn.XLOOKUP(EV4,Computes!$C$2:$C$181,Computes!$D$2:$D$181)</f>
        <v>4</v>
      </c>
      <c r="EW3">
        <f>_xlfn.XLOOKUP(EW4,Computes!$C$2:$C$181,Computes!$D$2:$D$181)</f>
        <v>5</v>
      </c>
      <c r="EX3">
        <f>_xlfn.XLOOKUP(EX4,Computes!$C$2:$C$181,Computes!$D$2:$D$181)</f>
        <v>6</v>
      </c>
      <c r="EY3">
        <f>_xlfn.XLOOKUP(EY4,Computes!$C$2:$C$181,Computes!$D$2:$D$181)</f>
        <v>7</v>
      </c>
      <c r="EZ3">
        <f>_xlfn.XLOOKUP(EZ4,Computes!$C$2:$C$181,Computes!$D$2:$D$181)</f>
        <v>1</v>
      </c>
      <c r="FA3">
        <f>_xlfn.XLOOKUP(FA4,Computes!$C$2:$C$181,Computes!$D$2:$D$181)</f>
        <v>2</v>
      </c>
      <c r="FB3">
        <f>_xlfn.XLOOKUP(FB4,Computes!$C$2:$C$181,Computes!$D$2:$D$181)</f>
        <v>3</v>
      </c>
      <c r="FC3">
        <f>_xlfn.XLOOKUP(FC4,Computes!$C$2:$C$181,Computes!$D$2:$D$181)</f>
        <v>4</v>
      </c>
      <c r="FD3">
        <f>_xlfn.XLOOKUP(FD4,Computes!$C$2:$C$181,Computes!$D$2:$D$181)</f>
        <v>5</v>
      </c>
      <c r="FE3">
        <f>_xlfn.XLOOKUP(FE4,Computes!$C$2:$C$181,Computes!$D$2:$D$181)</f>
        <v>6</v>
      </c>
      <c r="FF3">
        <f>_xlfn.XLOOKUP(FF4,Computes!$C$2:$C$181,Computes!$D$2:$D$181)</f>
        <v>7</v>
      </c>
      <c r="FG3">
        <f>_xlfn.XLOOKUP(FG4,Computes!$C$2:$C$181,Computes!$D$2:$D$181)</f>
        <v>1</v>
      </c>
      <c r="FH3">
        <f>_xlfn.XLOOKUP(FH4,Computes!$C$2:$C$181,Computes!$D$2:$D$181)</f>
        <v>2</v>
      </c>
      <c r="FI3">
        <f>_xlfn.XLOOKUP(FI4,Computes!$C$2:$C$181,Computes!$D$2:$D$181)</f>
        <v>3</v>
      </c>
      <c r="FJ3">
        <f>_xlfn.XLOOKUP(FJ4,Computes!$C$2:$C$181,Computes!$D$2:$D$181)</f>
        <v>4</v>
      </c>
      <c r="FK3">
        <f>_xlfn.XLOOKUP(FK4,Computes!$C$2:$C$181,Computes!$D$2:$D$181)</f>
        <v>5</v>
      </c>
      <c r="FL3">
        <f>_xlfn.XLOOKUP(FL4,Computes!$C$2:$C$181,Computes!$D$2:$D$181)</f>
        <v>6</v>
      </c>
      <c r="FM3">
        <f>_xlfn.XLOOKUP(FM4,Computes!$C$2:$C$181,Computes!$D$2:$D$181)</f>
        <v>7</v>
      </c>
      <c r="FN3">
        <f>_xlfn.XLOOKUP(FN4,Computes!$C$2:$C$181,Computes!$D$2:$D$181)</f>
        <v>1</v>
      </c>
      <c r="FO3">
        <f>_xlfn.XLOOKUP(FO4,Computes!$C$2:$C$181,Computes!$D$2:$D$181)</f>
        <v>2</v>
      </c>
      <c r="FP3">
        <f>_xlfn.XLOOKUP(FP4,Computes!$C$2:$C$181,Computes!$D$2:$D$181)</f>
        <v>3</v>
      </c>
      <c r="FQ3">
        <f>_xlfn.XLOOKUP(FQ4,Computes!$C$2:$C$181,Computes!$D$2:$D$181)</f>
        <v>4</v>
      </c>
      <c r="FR3">
        <f>_xlfn.XLOOKUP(FR4,Computes!$C$2:$C$181,Computes!$D$2:$D$181)</f>
        <v>5</v>
      </c>
      <c r="FS3">
        <f>_xlfn.XLOOKUP(FS4,Computes!$C$2:$C$181,Computes!$D$2:$D$181)</f>
        <v>6</v>
      </c>
      <c r="FT3">
        <f>_xlfn.XLOOKUP(FT4,Computes!$C$2:$C$181,Computes!$D$2:$D$181)</f>
        <v>7</v>
      </c>
      <c r="FU3">
        <f>_xlfn.XLOOKUP(FU4,Computes!$C$2:$C$181,Computes!$D$2:$D$181)</f>
        <v>1</v>
      </c>
      <c r="FV3">
        <f>_xlfn.XLOOKUP(FV4,Computes!$C$2:$C$181,Computes!$D$2:$D$181)</f>
        <v>2</v>
      </c>
      <c r="FW3">
        <f>_xlfn.XLOOKUP(FW4,Computes!$C$2:$C$181,Computes!$D$2:$D$181)</f>
        <v>3</v>
      </c>
      <c r="FX3">
        <f>_xlfn.XLOOKUP(FX4,Computes!$C$2:$C$181,Computes!$D$2:$D$181)</f>
        <v>4</v>
      </c>
      <c r="FY3">
        <f>_xlfn.XLOOKUP(FY4,Computes!$C$2:$C$181,Computes!$D$2:$D$181)</f>
        <v>5</v>
      </c>
      <c r="FZ3">
        <f>_xlfn.XLOOKUP(FZ4,Computes!$C$2:$C$181,Computes!$D$2:$D$181)</f>
        <v>6</v>
      </c>
      <c r="GA3">
        <f>_xlfn.XLOOKUP(GA4,Computes!$C$2:$C$181,Computes!$D$2:$D$181)</f>
        <v>7</v>
      </c>
      <c r="GB3">
        <f>_xlfn.XLOOKUP(GB4,Computes!$C$2:$C$181,Computes!$D$2:$D$181)</f>
        <v>1</v>
      </c>
      <c r="GC3">
        <f>_xlfn.XLOOKUP(GC4,Computes!$C$2:$C$181,Computes!$D$2:$D$181)</f>
        <v>2</v>
      </c>
      <c r="GD3">
        <f>_xlfn.XLOOKUP(GD4,Computes!$C$2:$C$181,Computes!$D$2:$D$181)</f>
        <v>3</v>
      </c>
      <c r="GE3">
        <f>_xlfn.XLOOKUP(GE4,Computes!$C$2:$C$181,Computes!$D$2:$D$181)</f>
        <v>4</v>
      </c>
      <c r="GF3">
        <f>_xlfn.XLOOKUP(GF4,Computes!$C$2:$C$181,Computes!$D$2:$D$181)</f>
        <v>5</v>
      </c>
      <c r="GG3">
        <f>_xlfn.XLOOKUP(GG4,Computes!$C$2:$C$181,Computes!$D$2:$D$181)</f>
        <v>6</v>
      </c>
      <c r="GH3">
        <f>_xlfn.XLOOKUP(GH4,Computes!$C$2:$C$181,Computes!$D$2:$D$181)</f>
        <v>7</v>
      </c>
      <c r="GI3">
        <f>_xlfn.XLOOKUP(GI4,Computes!$C$2:$C$181,Computes!$D$2:$D$181)</f>
        <v>1</v>
      </c>
      <c r="GJ3">
        <f>_xlfn.XLOOKUP(GJ4,Computes!$C$2:$C$181,Computes!$D$2:$D$181)</f>
        <v>2</v>
      </c>
      <c r="GL3">
        <f>_xlfn.XLOOKUP(GL4,Computes!$C$2:$C$181,Computes!$D$2:$D$181)</f>
        <v>1</v>
      </c>
      <c r="GM3">
        <f>_xlfn.XLOOKUP(GM4,Computes!$C$2:$C$181,Computes!$D$2:$D$181)</f>
        <v>2</v>
      </c>
      <c r="GN3">
        <f>_xlfn.XLOOKUP(GN4,Computes!$C$2:$C$181,Computes!$D$2:$D$181)</f>
        <v>1</v>
      </c>
      <c r="GO3">
        <f>_xlfn.XLOOKUP(GO4,Computes!$C$2:$C$181,Computes!$D$2:$D$181)</f>
        <v>2</v>
      </c>
      <c r="GP3">
        <f>_xlfn.XLOOKUP(GP4,Computes!$C$2:$C$181,Computes!$D$2:$D$181)</f>
        <v>3</v>
      </c>
      <c r="GQ3">
        <f>_xlfn.XLOOKUP(GQ4,Computes!$C$2:$C$181,Computes!$D$2:$D$181)</f>
        <v>4</v>
      </c>
      <c r="GR3">
        <f>_xlfn.XLOOKUP(GR4,Computes!$C$2:$C$181,Computes!$D$2:$D$181)</f>
        <v>5</v>
      </c>
      <c r="GS3">
        <f>_xlfn.XLOOKUP(GS4,Computes!$C$2:$C$181,Computes!$D$2:$D$181)</f>
        <v>6</v>
      </c>
      <c r="GT3">
        <f>_xlfn.XLOOKUP(GT4,Computes!$C$2:$C$181,Computes!$D$2:$D$181)</f>
        <v>7</v>
      </c>
      <c r="GU3">
        <f>_xlfn.XLOOKUP(GU4,Computes!$C$2:$C$181,Computes!$D$2:$D$181)</f>
        <v>1</v>
      </c>
      <c r="GV3">
        <f>_xlfn.XLOOKUP(GV4,Computes!$C$2:$C$181,Computes!$D$2:$D$181)</f>
        <v>2</v>
      </c>
      <c r="GW3">
        <f>_xlfn.XLOOKUP(GW4,Computes!$C$2:$C$181,Computes!$D$2:$D$181)</f>
        <v>3</v>
      </c>
      <c r="GX3">
        <f>_xlfn.XLOOKUP(GX4,Computes!$C$2:$C$181,Computes!$D$2:$D$181)</f>
        <v>4</v>
      </c>
      <c r="GY3">
        <f>_xlfn.XLOOKUP(GY4,Computes!$C$2:$C$181,Computes!$D$2:$D$181)</f>
        <v>5</v>
      </c>
      <c r="GZ3">
        <f>_xlfn.XLOOKUP(GZ4,Computes!$C$2:$C$181,Computes!$D$2:$D$181)</f>
        <v>6</v>
      </c>
      <c r="HA3">
        <f>_xlfn.XLOOKUP(HA4,Computes!$C$2:$C$181,Computes!$D$2:$D$181)</f>
        <v>7</v>
      </c>
      <c r="HB3">
        <f>_xlfn.XLOOKUP(HB4,Computes!$C$2:$C$181,Computes!$D$2:$D$181)</f>
        <v>1</v>
      </c>
      <c r="HC3">
        <f>_xlfn.XLOOKUP(HC4,Computes!$C$2:$C$181,Computes!$D$2:$D$181)</f>
        <v>2</v>
      </c>
      <c r="HD3">
        <f>_xlfn.XLOOKUP(HD4,Computes!$C$2:$C$181,Computes!$D$2:$D$181)</f>
        <v>3</v>
      </c>
      <c r="HE3">
        <f>_xlfn.XLOOKUP(HE4,Computes!$C$2:$C$181,Computes!$D$2:$D$181)</f>
        <v>4</v>
      </c>
      <c r="HF3">
        <f>_xlfn.XLOOKUP(HF4,Computes!$C$2:$C$181,Computes!$D$2:$D$181)</f>
        <v>5</v>
      </c>
      <c r="HG3">
        <f>_xlfn.XLOOKUP(HG4,Computes!$C$2:$C$181,Computes!$D$2:$D$181)</f>
        <v>6</v>
      </c>
      <c r="HH3">
        <f>_xlfn.XLOOKUP(HH4,Computes!$C$2:$C$181,Computes!$D$2:$D$181)</f>
        <v>7</v>
      </c>
      <c r="HI3">
        <f>_xlfn.XLOOKUP(HI4,Computes!$C$2:$C$181,Computes!$D$2:$D$181)</f>
        <v>1</v>
      </c>
      <c r="HJ3">
        <f>_xlfn.XLOOKUP(HJ4,Computes!$C$2:$C$181,Computes!$D$2:$D$181)</f>
        <v>2</v>
      </c>
      <c r="HK3">
        <f>_xlfn.XLOOKUP(HK4,Computes!$C$2:$C$181,Computes!$D$2:$D$181)</f>
        <v>3</v>
      </c>
      <c r="HL3">
        <f>_xlfn.XLOOKUP(HL4,Computes!$C$2:$C$181,Computes!$D$2:$D$181)</f>
        <v>4</v>
      </c>
      <c r="HM3">
        <f>_xlfn.XLOOKUP(HM4,Computes!$C$2:$C$181,Computes!$D$2:$D$181)</f>
        <v>5</v>
      </c>
      <c r="HN3">
        <f>_xlfn.XLOOKUP(HN4,Computes!$C$2:$C$181,Computes!$D$2:$D$181)</f>
        <v>6</v>
      </c>
      <c r="HO3">
        <f>_xlfn.XLOOKUP(HO4,Computes!$C$2:$C$181,Computes!$D$2:$D$181)</f>
        <v>7</v>
      </c>
      <c r="HP3">
        <f>_xlfn.XLOOKUP(HP4,Computes!$C$2:$C$181,Computes!$D$2:$D$181)</f>
        <v>1</v>
      </c>
      <c r="HQ3">
        <f>_xlfn.XLOOKUP(HQ4,Computes!$C$2:$C$181,Computes!$D$2:$D$181)</f>
        <v>2</v>
      </c>
      <c r="HR3">
        <f>_xlfn.XLOOKUP(HR4,Computes!$C$2:$C$181,Computes!$D$2:$D$181)</f>
        <v>3</v>
      </c>
      <c r="HS3">
        <f>_xlfn.XLOOKUP(HS4,Computes!$C$2:$C$181,Computes!$D$2:$D$181)</f>
        <v>4</v>
      </c>
      <c r="HT3">
        <f>_xlfn.XLOOKUP(HT4,Computes!$C$2:$C$181,Computes!$D$2:$D$181)</f>
        <v>5</v>
      </c>
      <c r="HU3">
        <f>_xlfn.XLOOKUP(HU4,Computes!$C$2:$C$181,Computes!$D$2:$D$181)</f>
        <v>6</v>
      </c>
      <c r="HV3">
        <f>_xlfn.XLOOKUP(HV4,Computes!$C$2:$C$181,Computes!$D$2:$D$181)</f>
        <v>7</v>
      </c>
      <c r="HW3">
        <f>_xlfn.XLOOKUP(HW4,Computes!$C$2:$C$181,Computes!$D$2:$D$181)</f>
        <v>1</v>
      </c>
      <c r="HX3">
        <f>_xlfn.XLOOKUP(HX4,Computes!$C$2:$C$181,Computes!$D$2:$D$181)</f>
        <v>2</v>
      </c>
      <c r="HY3">
        <f>_xlfn.XLOOKUP(HY4,Computes!$C$2:$C$181,Computes!$D$2:$D$181)</f>
        <v>3</v>
      </c>
      <c r="HZ3">
        <f>_xlfn.XLOOKUP(HZ4,Computes!$C$2:$C$181,Computes!$D$2:$D$181)</f>
        <v>4</v>
      </c>
      <c r="IA3">
        <f>_xlfn.XLOOKUP(IA4,Computes!$C$2:$C$181,Computes!$D$2:$D$181)</f>
        <v>5</v>
      </c>
      <c r="IB3">
        <f>_xlfn.XLOOKUP(IB4,Computes!$C$2:$C$181,Computes!$D$2:$D$181)</f>
        <v>6</v>
      </c>
      <c r="IC3">
        <f>_xlfn.XLOOKUP(IC4,Computes!$C$2:$C$181,Computes!$D$2:$D$181)</f>
        <v>7</v>
      </c>
      <c r="ID3">
        <f>_xlfn.XLOOKUP(ID4,Computes!$C$2:$C$181,Computes!$D$2:$D$181)</f>
        <v>1</v>
      </c>
      <c r="IE3">
        <f>_xlfn.XLOOKUP(IE4,Computes!$C$2:$C$181,Computes!$D$2:$D$181)</f>
        <v>2</v>
      </c>
      <c r="IF3">
        <f>_xlfn.XLOOKUP(IF4,Computes!$C$2:$C$181,Computes!$D$2:$D$181)</f>
        <v>3</v>
      </c>
      <c r="IG3">
        <f>_xlfn.XLOOKUP(IG4,Computes!$C$2:$C$181,Computes!$D$2:$D$181)</f>
        <v>4</v>
      </c>
      <c r="IH3">
        <f>_xlfn.XLOOKUP(IH4,Computes!$C$2:$C$181,Computes!$D$2:$D$181)</f>
        <v>5</v>
      </c>
      <c r="II3">
        <f>_xlfn.XLOOKUP(II4,Computes!$C$2:$C$181,Computes!$D$2:$D$181)</f>
        <v>6</v>
      </c>
      <c r="IJ3">
        <f>_xlfn.XLOOKUP(IJ4,Computes!$C$2:$C$181,Computes!$D$2:$D$181)</f>
        <v>7</v>
      </c>
      <c r="IK3">
        <f>_xlfn.XLOOKUP(IK4,Computes!$C$2:$C$181,Computes!$D$2:$D$181)</f>
        <v>1</v>
      </c>
      <c r="IL3">
        <f>_xlfn.XLOOKUP(IL4,Computes!$C$2:$C$181,Computes!$D$2:$D$181)</f>
        <v>2</v>
      </c>
      <c r="IM3">
        <f>_xlfn.XLOOKUP(IM4,Computes!$C$2:$C$181,Computes!$D$2:$D$181)</f>
        <v>3</v>
      </c>
      <c r="IN3">
        <f>_xlfn.XLOOKUP(IN4,Computes!$C$2:$C$181,Computes!$D$2:$D$181)</f>
        <v>4</v>
      </c>
      <c r="IO3">
        <f>_xlfn.XLOOKUP(IO4,Computes!$C$2:$C$181,Computes!$D$2:$D$181)</f>
        <v>5</v>
      </c>
      <c r="IP3">
        <f>_xlfn.XLOOKUP(IP4,Computes!$C$2:$C$181,Computes!$D$2:$D$181)</f>
        <v>6</v>
      </c>
      <c r="IQ3">
        <f>_xlfn.XLOOKUP(IQ4,Computes!$C$2:$C$181,Computes!$D$2:$D$181)</f>
        <v>7</v>
      </c>
      <c r="IR3">
        <f>_xlfn.XLOOKUP(IR4,Computes!$C$2:$C$181,Computes!$D$2:$D$181)</f>
        <v>1</v>
      </c>
      <c r="IS3">
        <f>_xlfn.XLOOKUP(IS4,Computes!$C$2:$C$181,Computes!$D$2:$D$181)</f>
        <v>2</v>
      </c>
      <c r="IT3">
        <f>_xlfn.XLOOKUP(IT4,Computes!$C$2:$C$181,Computes!$D$2:$D$181)</f>
        <v>1</v>
      </c>
      <c r="IU3">
        <f>_xlfn.XLOOKUP(IU4,Computes!$C$2:$C$181,Computes!$D$2:$D$181)</f>
        <v>2</v>
      </c>
      <c r="IV3">
        <f>_xlfn.XLOOKUP(IV4,Computes!$C$2:$C$181,Computes!$D$2:$D$181)</f>
        <v>1</v>
      </c>
      <c r="IW3">
        <f>_xlfn.XLOOKUP(IW4,Computes!$C$2:$C$181,Computes!$D$2:$D$181)</f>
        <v>2</v>
      </c>
      <c r="IX3">
        <f>_xlfn.XLOOKUP(IX4,Computes!$C$2:$C$181,Computes!$D$2:$D$181)</f>
        <v>3</v>
      </c>
      <c r="IY3">
        <f>_xlfn.XLOOKUP(IY4,Computes!$C$2:$C$181,Computes!$D$2:$D$181)</f>
        <v>4</v>
      </c>
      <c r="IZ3">
        <f>_xlfn.XLOOKUP(IZ4,Computes!$C$2:$C$181,Computes!$D$2:$D$181)</f>
        <v>5</v>
      </c>
      <c r="JA3">
        <f>_xlfn.XLOOKUP(JA4,Computes!$C$2:$C$181,Computes!$D$2:$D$181)</f>
        <v>6</v>
      </c>
      <c r="JB3">
        <f>_xlfn.XLOOKUP(JB4,Computes!$C$2:$C$181,Computes!$D$2:$D$181)</f>
        <v>7</v>
      </c>
      <c r="JC3">
        <f>_xlfn.XLOOKUP(JC4,Computes!$C$2:$C$181,Computes!$D$2:$D$181)</f>
        <v>1</v>
      </c>
      <c r="JD3">
        <f>_xlfn.XLOOKUP(JD4,Computes!$C$2:$C$181,Computes!$D$2:$D$181)</f>
        <v>2</v>
      </c>
      <c r="JE3">
        <f>_xlfn.XLOOKUP(JE4,Computes!$C$2:$C$181,Computes!$D$2:$D$181)</f>
        <v>3</v>
      </c>
      <c r="JF3">
        <f>_xlfn.XLOOKUP(JF4,Computes!$C$2:$C$181,Computes!$D$2:$D$181)</f>
        <v>4</v>
      </c>
      <c r="JG3">
        <f>_xlfn.XLOOKUP(JG4,Computes!$C$2:$C$181,Computes!$D$2:$D$181)</f>
        <v>5</v>
      </c>
      <c r="JH3">
        <f>_xlfn.XLOOKUP(JH4,Computes!$C$2:$C$181,Computes!$D$2:$D$181)</f>
        <v>6</v>
      </c>
      <c r="JI3">
        <f>_xlfn.XLOOKUP(JI4,Computes!$C$2:$C$181,Computes!$D$2:$D$181)</f>
        <v>7</v>
      </c>
      <c r="JJ3">
        <f>_xlfn.XLOOKUP(JJ4,Computes!$C$2:$C$181,Computes!$D$2:$D$181)</f>
        <v>1</v>
      </c>
      <c r="JK3">
        <f>_xlfn.XLOOKUP(JK4,Computes!$C$2:$C$181,Computes!$D$2:$D$181)</f>
        <v>2</v>
      </c>
      <c r="JL3">
        <f>_xlfn.XLOOKUP(JL4,Computes!$C$2:$C$181,Computes!$D$2:$D$181)</f>
        <v>3</v>
      </c>
      <c r="JM3">
        <f>_xlfn.XLOOKUP(JM4,Computes!$C$2:$C$181,Computes!$D$2:$D$181)</f>
        <v>4</v>
      </c>
      <c r="JN3">
        <f>_xlfn.XLOOKUP(JN4,Computes!$C$2:$C$181,Computes!$D$2:$D$181)</f>
        <v>5</v>
      </c>
      <c r="JO3">
        <f>_xlfn.XLOOKUP(JO4,Computes!$C$2:$C$181,Computes!$D$2:$D$181)</f>
        <v>6</v>
      </c>
      <c r="JP3">
        <f>_xlfn.XLOOKUP(JP4,Computes!$C$2:$C$181,Computes!$D$2:$D$181)</f>
        <v>7</v>
      </c>
      <c r="JQ3">
        <f>_xlfn.XLOOKUP(JQ4,Computes!$C$2:$C$181,Computes!$D$2:$D$181)</f>
        <v>1</v>
      </c>
      <c r="JR3">
        <f>_xlfn.XLOOKUP(JR4,Computes!$C$2:$C$181,Computes!$D$2:$D$181)</f>
        <v>2</v>
      </c>
      <c r="JS3">
        <f>_xlfn.XLOOKUP(JS4,Computes!$C$2:$C$181,Computes!$D$2:$D$181)</f>
        <v>3</v>
      </c>
      <c r="JT3">
        <f>_xlfn.XLOOKUP(JT4,Computes!$C$2:$C$181,Computes!$D$2:$D$181)</f>
        <v>4</v>
      </c>
      <c r="JU3">
        <f>_xlfn.XLOOKUP(JU4,Computes!$C$2:$C$181,Computes!$D$2:$D$181)</f>
        <v>5</v>
      </c>
      <c r="JV3">
        <f>_xlfn.XLOOKUP(JV4,Computes!$C$2:$C$181,Computes!$D$2:$D$181)</f>
        <v>6</v>
      </c>
      <c r="JW3">
        <f>_xlfn.XLOOKUP(JW4,Computes!$C$2:$C$181,Computes!$D$2:$D$181)</f>
        <v>7</v>
      </c>
      <c r="JX3">
        <f>_xlfn.XLOOKUP(JX4,Computes!$C$2:$C$181,Computes!$D$2:$D$181)</f>
        <v>1</v>
      </c>
      <c r="JY3">
        <f>_xlfn.XLOOKUP(JY4,Computes!$C$2:$C$181,Computes!$D$2:$D$181)</f>
        <v>2</v>
      </c>
      <c r="JZ3">
        <f>_xlfn.XLOOKUP(JZ4,Computes!$C$2:$C$181,Computes!$D$2:$D$181)</f>
        <v>3</v>
      </c>
      <c r="KA3">
        <f>_xlfn.XLOOKUP(KA4,Computes!$C$2:$C$181,Computes!$D$2:$D$181)</f>
        <v>4</v>
      </c>
      <c r="KB3">
        <f>_xlfn.XLOOKUP(KB4,Computes!$C$2:$C$181,Computes!$D$2:$D$181)</f>
        <v>5</v>
      </c>
      <c r="KC3">
        <f>_xlfn.XLOOKUP(KC4,Computes!$C$2:$C$181,Computes!$D$2:$D$181)</f>
        <v>6</v>
      </c>
      <c r="KD3">
        <f>_xlfn.XLOOKUP(KD4,Computes!$C$2:$C$181,Computes!$D$2:$D$181)</f>
        <v>7</v>
      </c>
      <c r="KE3">
        <f>_xlfn.XLOOKUP(KE4,Computes!$C$2:$C$181,Computes!$D$2:$D$181)</f>
        <v>1</v>
      </c>
      <c r="KF3">
        <f>_xlfn.XLOOKUP(KF4,Computes!$C$2:$C$181,Computes!$D$2:$D$181)</f>
        <v>2</v>
      </c>
      <c r="KG3">
        <f>_xlfn.XLOOKUP(KG4,Computes!$C$2:$C$181,Computes!$D$2:$D$181)</f>
        <v>3</v>
      </c>
      <c r="KH3">
        <f>_xlfn.XLOOKUP(KH4,Computes!$C$2:$C$181,Computes!$D$2:$D$181)</f>
        <v>4</v>
      </c>
      <c r="KI3">
        <f>_xlfn.XLOOKUP(KI4,Computes!$C$2:$C$181,Computes!$D$2:$D$181)</f>
        <v>5</v>
      </c>
      <c r="KJ3">
        <f>_xlfn.XLOOKUP(KJ4,Computes!$C$2:$C$181,Computes!$D$2:$D$181)</f>
        <v>6</v>
      </c>
      <c r="KK3">
        <f>_xlfn.XLOOKUP(KK4,Computes!$C$2:$C$181,Computes!$D$2:$D$181)</f>
        <v>7</v>
      </c>
      <c r="KL3">
        <f>_xlfn.XLOOKUP(KL4,Computes!$C$2:$C$181,Computes!$D$2:$D$181)</f>
        <v>1</v>
      </c>
      <c r="KM3">
        <f>_xlfn.XLOOKUP(KM4,Computes!$C$2:$C$181,Computes!$D$2:$D$181)</f>
        <v>2</v>
      </c>
      <c r="KN3">
        <f>_xlfn.XLOOKUP(KN4,Computes!$C$2:$C$181,Computes!$D$2:$D$181)</f>
        <v>3</v>
      </c>
      <c r="KO3">
        <f>_xlfn.XLOOKUP(KO4,Computes!$C$2:$C$181,Computes!$D$2:$D$181)</f>
        <v>4</v>
      </c>
      <c r="KP3">
        <f>_xlfn.XLOOKUP(KP4,Computes!$C$2:$C$181,Computes!$D$2:$D$181)</f>
        <v>5</v>
      </c>
      <c r="KQ3">
        <f>_xlfn.XLOOKUP(KQ4,Computes!$C$2:$C$181,Computes!$D$2:$D$181)</f>
        <v>6</v>
      </c>
      <c r="KR3">
        <f>_xlfn.XLOOKUP(KR4,Computes!$C$2:$C$181,Computes!$D$2:$D$181)</f>
        <v>7</v>
      </c>
      <c r="KS3">
        <f>_xlfn.XLOOKUP(KS4,Computes!$C$2:$C$181,Computes!$D$2:$D$181)</f>
        <v>1</v>
      </c>
      <c r="KT3">
        <f>_xlfn.XLOOKUP(KT4,Computes!$C$2:$C$181,Computes!$D$2:$D$181)</f>
        <v>2</v>
      </c>
      <c r="KU3">
        <f>_xlfn.XLOOKUP(KU4,Computes!$C$2:$C$181,Computes!$D$2:$D$181)</f>
        <v>3</v>
      </c>
      <c r="KV3">
        <f>_xlfn.XLOOKUP(KV4,Computes!$C$2:$C$181,Computes!$D$2:$D$181)</f>
        <v>4</v>
      </c>
      <c r="KW3">
        <f>_xlfn.XLOOKUP(KW4,Computes!$C$2:$C$181,Computes!$D$2:$D$181)</f>
        <v>5</v>
      </c>
      <c r="KX3">
        <f>_xlfn.XLOOKUP(KX4,Computes!$C$2:$C$181,Computes!$D$2:$D$181)</f>
        <v>6</v>
      </c>
      <c r="KY3">
        <f>_xlfn.XLOOKUP(KY4,Computes!$C$2:$C$181,Computes!$D$2:$D$181)</f>
        <v>7</v>
      </c>
      <c r="KZ3">
        <f>_xlfn.XLOOKUP(KZ4,Computes!$C$2:$C$181,Computes!$D$2:$D$181)</f>
        <v>1</v>
      </c>
      <c r="LA3">
        <f>_xlfn.XLOOKUP(LA4,Computes!$C$2:$C$181,Computes!$D$2:$D$181)</f>
        <v>2</v>
      </c>
      <c r="LB3">
        <f>_xlfn.XLOOKUP(LB4,Computes!$C$2:$C$181,Computes!$D$2:$D$181)</f>
        <v>1</v>
      </c>
      <c r="LC3">
        <f>_xlfn.XLOOKUP(LC4,Computes!$C$2:$C$181,Computes!$D$2:$D$181)</f>
        <v>2</v>
      </c>
      <c r="LD3">
        <f>_xlfn.XLOOKUP(LD4,Computes!$C$2:$C$181,Computes!$D$2:$D$181)</f>
        <v>1</v>
      </c>
      <c r="LE3">
        <f>_xlfn.XLOOKUP(LE4,Computes!$C$2:$C$181,Computes!$D$2:$D$181)</f>
        <v>2</v>
      </c>
      <c r="LF3">
        <f>_xlfn.XLOOKUP(LF4,Computes!$C$2:$C$181,Computes!$D$2:$D$181)</f>
        <v>3</v>
      </c>
      <c r="LG3">
        <f>_xlfn.XLOOKUP(LG4,Computes!$C$2:$C$181,Computes!$D$2:$D$181)</f>
        <v>4</v>
      </c>
      <c r="LH3">
        <f>_xlfn.XLOOKUP(LH4,Computes!$C$2:$C$181,Computes!$D$2:$D$181)</f>
        <v>5</v>
      </c>
      <c r="LI3">
        <f>_xlfn.XLOOKUP(LI4,Computes!$C$2:$C$181,Computes!$D$2:$D$181)</f>
        <v>6</v>
      </c>
      <c r="LJ3">
        <f>_xlfn.XLOOKUP(LJ4,Computes!$C$2:$C$181,Computes!$D$2:$D$181)</f>
        <v>7</v>
      </c>
      <c r="LK3">
        <f>_xlfn.XLOOKUP(LK4,Computes!$C$2:$C$181,Computes!$D$2:$D$181)</f>
        <v>1</v>
      </c>
      <c r="LL3">
        <f>_xlfn.XLOOKUP(LL4,Computes!$C$2:$C$181,Computes!$D$2:$D$181)</f>
        <v>2</v>
      </c>
      <c r="LM3">
        <f>_xlfn.XLOOKUP(LM4,Computes!$C$2:$C$181,Computes!$D$2:$D$181)</f>
        <v>3</v>
      </c>
      <c r="LN3">
        <f>_xlfn.XLOOKUP(LN4,Computes!$C$2:$C$181,Computes!$D$2:$D$181)</f>
        <v>4</v>
      </c>
      <c r="LO3">
        <f>_xlfn.XLOOKUP(LO4,Computes!$C$2:$C$181,Computes!$D$2:$D$181)</f>
        <v>5</v>
      </c>
      <c r="LP3">
        <f>_xlfn.XLOOKUP(LP4,Computes!$C$2:$C$181,Computes!$D$2:$D$181)</f>
        <v>6</v>
      </c>
      <c r="LQ3">
        <f>_xlfn.XLOOKUP(LQ4,Computes!$C$2:$C$181,Computes!$D$2:$D$181)</f>
        <v>7</v>
      </c>
      <c r="LR3">
        <f>_xlfn.XLOOKUP(LR4,Computes!$C$2:$C$181,Computes!$D$2:$D$181)</f>
        <v>1</v>
      </c>
      <c r="LS3">
        <f>_xlfn.XLOOKUP(LS4,Computes!$C$2:$C$181,Computes!$D$2:$D$181)</f>
        <v>2</v>
      </c>
      <c r="LT3">
        <f>_xlfn.XLOOKUP(LT4,Computes!$C$2:$C$181,Computes!$D$2:$D$181)</f>
        <v>3</v>
      </c>
      <c r="LU3">
        <f>_xlfn.XLOOKUP(LU4,Computes!$C$2:$C$181,Computes!$D$2:$D$181)</f>
        <v>4</v>
      </c>
      <c r="LV3">
        <f>_xlfn.XLOOKUP(LV4,Computes!$C$2:$C$181,Computes!$D$2:$D$181)</f>
        <v>5</v>
      </c>
      <c r="LW3">
        <f>_xlfn.XLOOKUP(LW4,Computes!$C$2:$C$181,Computes!$D$2:$D$181)</f>
        <v>6</v>
      </c>
      <c r="LX3">
        <f>_xlfn.XLOOKUP(LX4,Computes!$C$2:$C$181,Computes!$D$2:$D$181)</f>
        <v>7</v>
      </c>
      <c r="LY3">
        <f>_xlfn.XLOOKUP(LY4,Computes!$C$2:$C$181,Computes!$D$2:$D$181)</f>
        <v>1</v>
      </c>
      <c r="LZ3">
        <f>_xlfn.XLOOKUP(LZ4,Computes!$C$2:$C$181,Computes!$D$2:$D$181)</f>
        <v>2</v>
      </c>
      <c r="MA3">
        <f>_xlfn.XLOOKUP(MA4,Computes!$C$2:$C$181,Computes!$D$2:$D$181)</f>
        <v>3</v>
      </c>
      <c r="MB3">
        <f>_xlfn.XLOOKUP(MB4,Computes!$C$2:$C$181,Computes!$D$2:$D$181)</f>
        <v>4</v>
      </c>
      <c r="MC3">
        <f>_xlfn.XLOOKUP(MC4,Computes!$C$2:$C$181,Computes!$D$2:$D$181)</f>
        <v>5</v>
      </c>
      <c r="MD3">
        <f>_xlfn.XLOOKUP(MD4,Computes!$C$2:$C$181,Computes!$D$2:$D$181)</f>
        <v>6</v>
      </c>
      <c r="ME3">
        <f>_xlfn.XLOOKUP(ME4,Computes!$C$2:$C$181,Computes!$D$2:$D$181)</f>
        <v>7</v>
      </c>
      <c r="MF3">
        <f>_xlfn.XLOOKUP(MF4,Computes!$C$2:$C$181,Computes!$D$2:$D$181)</f>
        <v>1</v>
      </c>
      <c r="MG3">
        <f>_xlfn.XLOOKUP(MG4,Computes!$C$2:$C$181,Computes!$D$2:$D$181)</f>
        <v>2</v>
      </c>
      <c r="MH3">
        <f>_xlfn.XLOOKUP(MH4,Computes!$C$2:$C$181,Computes!$D$2:$D$181)</f>
        <v>3</v>
      </c>
      <c r="MI3">
        <f>_xlfn.XLOOKUP(MI4,Computes!$C$2:$C$181,Computes!$D$2:$D$181)</f>
        <v>4</v>
      </c>
      <c r="MJ3">
        <f>_xlfn.XLOOKUP(MJ4,Computes!$C$2:$C$181,Computes!$D$2:$D$181)</f>
        <v>5</v>
      </c>
      <c r="MK3">
        <f>_xlfn.XLOOKUP(MK4,Computes!$C$2:$C$181,Computes!$D$2:$D$181)</f>
        <v>6</v>
      </c>
      <c r="ML3">
        <f>_xlfn.XLOOKUP(ML4,Computes!$C$2:$C$181,Computes!$D$2:$D$181)</f>
        <v>7</v>
      </c>
      <c r="MM3">
        <f>_xlfn.XLOOKUP(MM4,Computes!$C$2:$C$181,Computes!$D$2:$D$181)</f>
        <v>1</v>
      </c>
      <c r="MN3">
        <f>_xlfn.XLOOKUP(MN4,Computes!$C$2:$C$181,Computes!$D$2:$D$181)</f>
        <v>2</v>
      </c>
      <c r="MO3">
        <f>_xlfn.XLOOKUP(MO4,Computes!$C$2:$C$181,Computes!$D$2:$D$181)</f>
        <v>3</v>
      </c>
      <c r="MP3">
        <f>_xlfn.XLOOKUP(MP4,Computes!$C$2:$C$181,Computes!$D$2:$D$181)</f>
        <v>4</v>
      </c>
      <c r="MQ3">
        <f>_xlfn.XLOOKUP(MQ4,Computes!$C$2:$C$181,Computes!$D$2:$D$181)</f>
        <v>5</v>
      </c>
      <c r="MR3">
        <f>_xlfn.XLOOKUP(MR4,Computes!$C$2:$C$181,Computes!$D$2:$D$181)</f>
        <v>6</v>
      </c>
      <c r="MS3">
        <f>_xlfn.XLOOKUP(MS4,Computes!$C$2:$C$181,Computes!$D$2:$D$181)</f>
        <v>7</v>
      </c>
      <c r="MT3">
        <f>_xlfn.XLOOKUP(MT4,Computes!$C$2:$C$181,Computes!$D$2:$D$181)</f>
        <v>1</v>
      </c>
      <c r="MU3">
        <f>_xlfn.XLOOKUP(MU4,Computes!$C$2:$C$181,Computes!$D$2:$D$181)</f>
        <v>2</v>
      </c>
      <c r="MV3">
        <f>_xlfn.XLOOKUP(MV4,Computes!$C$2:$C$181,Computes!$D$2:$D$181)</f>
        <v>3</v>
      </c>
      <c r="MW3">
        <f>_xlfn.XLOOKUP(MW4,Computes!$C$2:$C$181,Computes!$D$2:$D$181)</f>
        <v>4</v>
      </c>
      <c r="MX3">
        <f>_xlfn.XLOOKUP(MX4,Computes!$C$2:$C$181,Computes!$D$2:$D$181)</f>
        <v>5</v>
      </c>
      <c r="MY3">
        <f>_xlfn.XLOOKUP(MY4,Computes!$C$2:$C$181,Computes!$D$2:$D$181)</f>
        <v>6</v>
      </c>
      <c r="MZ3">
        <f>_xlfn.XLOOKUP(MZ4,Computes!$C$2:$C$181,Computes!$D$2:$D$181)</f>
        <v>7</v>
      </c>
      <c r="NA3">
        <f>_xlfn.XLOOKUP(NA4,Computes!$C$2:$C$181,Computes!$D$2:$D$181)</f>
        <v>1</v>
      </c>
      <c r="NB3">
        <f>_xlfn.XLOOKUP(NB4,Computes!$C$2:$C$181,Computes!$D$2:$D$181)</f>
        <v>2</v>
      </c>
      <c r="NC3">
        <f>_xlfn.XLOOKUP(NC4,Computes!$C$2:$C$181,Computes!$D$2:$D$181)</f>
        <v>3</v>
      </c>
      <c r="ND3">
        <f>_xlfn.XLOOKUP(ND4,Computes!$C$2:$C$181,Computes!$D$2:$D$181)</f>
        <v>4</v>
      </c>
      <c r="NE3">
        <f>_xlfn.XLOOKUP(NE4,Computes!$C$2:$C$181,Computes!$D$2:$D$181)</f>
        <v>5</v>
      </c>
      <c r="NF3">
        <f>_xlfn.XLOOKUP(NF4,Computes!$C$2:$C$181,Computes!$D$2:$D$181)</f>
        <v>6</v>
      </c>
      <c r="NG3">
        <f>_xlfn.XLOOKUP(NG4,Computes!$C$2:$C$181,Computes!$D$2:$D$181)</f>
        <v>7</v>
      </c>
      <c r="NH3">
        <f>_xlfn.XLOOKUP(NH4,Computes!$C$2:$C$181,Computes!$D$2:$D$181)</f>
        <v>1</v>
      </c>
      <c r="NI3">
        <f>_xlfn.XLOOKUP(NI4,Computes!$C$2:$C$181,Computes!$D$2:$D$181)</f>
        <v>2</v>
      </c>
      <c r="XJ3">
        <v>0</v>
      </c>
      <c r="XK3">
        <v>1</v>
      </c>
      <c r="XL3">
        <v>2</v>
      </c>
      <c r="XP3">
        <v>1</v>
      </c>
      <c r="XQ3">
        <v>2</v>
      </c>
      <c r="XR3">
        <v>5</v>
      </c>
      <c r="XS3">
        <v>6</v>
      </c>
      <c r="XT3">
        <v>7</v>
      </c>
      <c r="XX3">
        <v>0</v>
      </c>
      <c r="XY3">
        <v>1</v>
      </c>
      <c r="XZ3">
        <v>2</v>
      </c>
      <c r="YA3">
        <v>3</v>
      </c>
      <c r="YB3">
        <v>4</v>
      </c>
      <c r="YC3">
        <v>5</v>
      </c>
      <c r="YD3">
        <v>6</v>
      </c>
      <c r="YE3">
        <v>7</v>
      </c>
      <c r="YF3">
        <v>8</v>
      </c>
      <c r="YG3">
        <v>9</v>
      </c>
    </row>
    <row r="4" spans="1:661" x14ac:dyDescent="0.3">
      <c r="A4" s="3" t="s">
        <v>44</v>
      </c>
      <c r="B4" s="3" t="s">
        <v>466</v>
      </c>
      <c r="C4" s="3" t="s">
        <v>349</v>
      </c>
      <c r="D4" s="3" t="s">
        <v>439</v>
      </c>
      <c r="E4" s="3" t="s">
        <v>485</v>
      </c>
      <c r="F4" s="3" t="s">
        <v>350</v>
      </c>
      <c r="G4" s="3" t="s">
        <v>459</v>
      </c>
      <c r="H4" s="3" t="s">
        <v>460</v>
      </c>
      <c r="I4" s="3" t="s">
        <v>351</v>
      </c>
      <c r="J4" s="3" t="s">
        <v>352</v>
      </c>
      <c r="K4" s="3" t="s">
        <v>348</v>
      </c>
      <c r="L4" s="3" t="s">
        <v>347</v>
      </c>
      <c r="M4">
        <v>0</v>
      </c>
      <c r="N4">
        <v>1</v>
      </c>
      <c r="O4">
        <v>2</v>
      </c>
      <c r="P4">
        <v>3</v>
      </c>
      <c r="Q4">
        <v>4</v>
      </c>
      <c r="R4">
        <v>5</v>
      </c>
      <c r="S4">
        <v>6</v>
      </c>
      <c r="T4">
        <v>7</v>
      </c>
      <c r="U4">
        <v>8</v>
      </c>
      <c r="V4">
        <v>9</v>
      </c>
      <c r="W4">
        <v>10</v>
      </c>
      <c r="X4">
        <v>11</v>
      </c>
      <c r="Y4">
        <v>12</v>
      </c>
      <c r="Z4">
        <v>13</v>
      </c>
      <c r="AA4">
        <v>14</v>
      </c>
      <c r="AB4">
        <v>15</v>
      </c>
      <c r="AC4">
        <v>16</v>
      </c>
      <c r="AD4">
        <v>17</v>
      </c>
      <c r="AE4">
        <v>18</v>
      </c>
      <c r="AF4">
        <v>19</v>
      </c>
      <c r="AG4">
        <v>20</v>
      </c>
      <c r="AH4">
        <v>21</v>
      </c>
      <c r="AI4">
        <v>22</v>
      </c>
      <c r="AJ4">
        <v>23</v>
      </c>
      <c r="AK4">
        <v>24</v>
      </c>
      <c r="AL4">
        <v>25</v>
      </c>
      <c r="AM4">
        <v>26</v>
      </c>
      <c r="AN4">
        <v>27</v>
      </c>
      <c r="AO4">
        <v>28</v>
      </c>
      <c r="AP4">
        <v>29</v>
      </c>
      <c r="AQ4">
        <v>30</v>
      </c>
      <c r="AR4">
        <v>31</v>
      </c>
      <c r="AS4">
        <v>32</v>
      </c>
      <c r="AT4">
        <v>33</v>
      </c>
      <c r="AU4">
        <v>34</v>
      </c>
      <c r="AV4">
        <v>35</v>
      </c>
      <c r="AW4">
        <v>36</v>
      </c>
      <c r="AX4">
        <v>37</v>
      </c>
      <c r="AY4">
        <v>38</v>
      </c>
      <c r="AZ4">
        <v>39</v>
      </c>
      <c r="BA4">
        <v>40</v>
      </c>
      <c r="BB4">
        <v>41</v>
      </c>
      <c r="BC4">
        <v>42</v>
      </c>
      <c r="BD4">
        <v>43</v>
      </c>
      <c r="BE4">
        <v>44</v>
      </c>
      <c r="BF4">
        <v>45</v>
      </c>
      <c r="BG4">
        <v>46</v>
      </c>
      <c r="BH4">
        <v>47</v>
      </c>
      <c r="BI4">
        <v>48</v>
      </c>
      <c r="BJ4">
        <v>49</v>
      </c>
      <c r="BK4">
        <v>50</v>
      </c>
      <c r="BL4">
        <v>51</v>
      </c>
      <c r="BM4">
        <v>52</v>
      </c>
      <c r="BN4">
        <v>53</v>
      </c>
      <c r="BO4">
        <v>54</v>
      </c>
      <c r="BP4">
        <v>55</v>
      </c>
      <c r="BQ4">
        <v>56</v>
      </c>
      <c r="BR4">
        <v>57</v>
      </c>
      <c r="BS4">
        <v>58</v>
      </c>
      <c r="BT4">
        <v>59</v>
      </c>
      <c r="BU4">
        <v>60</v>
      </c>
      <c r="BV4">
        <v>61</v>
      </c>
      <c r="BW4">
        <v>62</v>
      </c>
      <c r="BX4">
        <v>63</v>
      </c>
      <c r="BY4">
        <v>64</v>
      </c>
      <c r="BZ4">
        <v>65</v>
      </c>
      <c r="CA4">
        <v>66</v>
      </c>
      <c r="CB4">
        <v>67</v>
      </c>
      <c r="CC4">
        <v>68</v>
      </c>
      <c r="CD4">
        <v>69</v>
      </c>
      <c r="CE4">
        <v>70</v>
      </c>
      <c r="CF4">
        <v>71</v>
      </c>
      <c r="CG4">
        <v>72</v>
      </c>
      <c r="CH4">
        <v>73</v>
      </c>
      <c r="CI4">
        <v>74</v>
      </c>
      <c r="CJ4">
        <v>75</v>
      </c>
      <c r="CK4">
        <v>76</v>
      </c>
      <c r="CL4">
        <v>77</v>
      </c>
      <c r="CM4">
        <v>78</v>
      </c>
      <c r="CN4">
        <v>79</v>
      </c>
      <c r="CO4">
        <v>80</v>
      </c>
      <c r="CP4">
        <v>81</v>
      </c>
      <c r="CQ4">
        <v>82</v>
      </c>
      <c r="CR4">
        <v>83</v>
      </c>
      <c r="CS4">
        <v>84</v>
      </c>
      <c r="CT4">
        <v>85</v>
      </c>
      <c r="CU4">
        <v>86</v>
      </c>
      <c r="CV4">
        <v>87</v>
      </c>
      <c r="CW4">
        <v>88</v>
      </c>
      <c r="CX4">
        <v>89</v>
      </c>
      <c r="CY4">
        <v>90</v>
      </c>
      <c r="CZ4">
        <v>91</v>
      </c>
      <c r="DA4">
        <v>92</v>
      </c>
      <c r="DB4">
        <v>93</v>
      </c>
      <c r="DC4">
        <v>94</v>
      </c>
      <c r="DD4">
        <v>95</v>
      </c>
      <c r="DE4">
        <v>96</v>
      </c>
      <c r="DF4">
        <v>97</v>
      </c>
      <c r="DG4">
        <v>98</v>
      </c>
      <c r="DH4">
        <v>99</v>
      </c>
      <c r="DI4">
        <v>100</v>
      </c>
      <c r="DJ4">
        <v>101</v>
      </c>
      <c r="DK4">
        <v>102</v>
      </c>
      <c r="DL4">
        <v>103</v>
      </c>
      <c r="DM4">
        <v>104</v>
      </c>
      <c r="DN4">
        <v>105</v>
      </c>
      <c r="DO4">
        <v>106</v>
      </c>
      <c r="DP4">
        <v>107</v>
      </c>
      <c r="DQ4">
        <v>108</v>
      </c>
      <c r="DR4">
        <v>109</v>
      </c>
      <c r="DS4">
        <v>110</v>
      </c>
      <c r="DT4">
        <v>111</v>
      </c>
      <c r="DU4">
        <v>112</v>
      </c>
      <c r="DV4">
        <v>113</v>
      </c>
      <c r="DW4">
        <v>114</v>
      </c>
      <c r="DX4">
        <v>115</v>
      </c>
      <c r="DY4">
        <v>116</v>
      </c>
      <c r="DZ4">
        <v>117</v>
      </c>
      <c r="EA4">
        <v>118</v>
      </c>
      <c r="EB4">
        <v>119</v>
      </c>
      <c r="EC4">
        <v>120</v>
      </c>
      <c r="ED4">
        <v>121</v>
      </c>
      <c r="EE4">
        <v>122</v>
      </c>
      <c r="EF4">
        <v>123</v>
      </c>
      <c r="EG4">
        <v>124</v>
      </c>
      <c r="EH4">
        <v>125</v>
      </c>
      <c r="EI4">
        <v>126</v>
      </c>
      <c r="EJ4">
        <v>127</v>
      </c>
      <c r="EK4">
        <v>128</v>
      </c>
      <c r="EL4">
        <v>129</v>
      </c>
      <c r="EM4">
        <v>130</v>
      </c>
      <c r="EN4">
        <v>131</v>
      </c>
      <c r="EO4">
        <v>132</v>
      </c>
      <c r="EP4">
        <v>133</v>
      </c>
      <c r="EQ4">
        <v>134</v>
      </c>
      <c r="ER4">
        <v>135</v>
      </c>
      <c r="ES4">
        <v>136</v>
      </c>
      <c r="ET4">
        <v>137</v>
      </c>
      <c r="EU4">
        <v>138</v>
      </c>
      <c r="EV4">
        <v>139</v>
      </c>
      <c r="EW4">
        <v>140</v>
      </c>
      <c r="EX4">
        <v>141</v>
      </c>
      <c r="EY4">
        <v>142</v>
      </c>
      <c r="EZ4">
        <v>143</v>
      </c>
      <c r="FA4">
        <v>144</v>
      </c>
      <c r="FB4">
        <v>145</v>
      </c>
      <c r="FC4">
        <v>146</v>
      </c>
      <c r="FD4">
        <v>147</v>
      </c>
      <c r="FE4">
        <v>148</v>
      </c>
      <c r="FF4">
        <v>149</v>
      </c>
      <c r="FG4">
        <v>150</v>
      </c>
      <c r="FH4">
        <v>151</v>
      </c>
      <c r="FI4">
        <v>152</v>
      </c>
      <c r="FJ4">
        <v>153</v>
      </c>
      <c r="FK4">
        <v>154</v>
      </c>
      <c r="FL4">
        <v>155</v>
      </c>
      <c r="FM4">
        <v>156</v>
      </c>
      <c r="FN4">
        <v>157</v>
      </c>
      <c r="FO4">
        <v>158</v>
      </c>
      <c r="FP4">
        <v>159</v>
      </c>
      <c r="FQ4">
        <v>160</v>
      </c>
      <c r="FR4">
        <v>161</v>
      </c>
      <c r="FS4">
        <v>162</v>
      </c>
      <c r="FT4">
        <v>163</v>
      </c>
      <c r="FU4">
        <v>164</v>
      </c>
      <c r="FV4">
        <v>165</v>
      </c>
      <c r="FW4">
        <v>166</v>
      </c>
      <c r="FX4">
        <v>167</v>
      </c>
      <c r="FY4">
        <v>168</v>
      </c>
      <c r="FZ4">
        <v>169</v>
      </c>
      <c r="GA4">
        <v>170</v>
      </c>
      <c r="GB4">
        <v>171</v>
      </c>
      <c r="GC4">
        <v>172</v>
      </c>
      <c r="GD4">
        <v>173</v>
      </c>
      <c r="GE4">
        <v>174</v>
      </c>
      <c r="GF4">
        <v>175</v>
      </c>
      <c r="GG4">
        <v>176</v>
      </c>
      <c r="GH4">
        <v>177</v>
      </c>
      <c r="GI4">
        <v>178</v>
      </c>
      <c r="GJ4">
        <v>179</v>
      </c>
      <c r="GK4" s="13"/>
      <c r="GL4">
        <v>0</v>
      </c>
      <c r="GM4">
        <v>1</v>
      </c>
      <c r="GN4">
        <v>2</v>
      </c>
      <c r="GO4">
        <v>3</v>
      </c>
      <c r="GP4">
        <v>4</v>
      </c>
      <c r="GQ4">
        <v>5</v>
      </c>
      <c r="GR4">
        <v>6</v>
      </c>
      <c r="GS4">
        <v>7</v>
      </c>
      <c r="GT4">
        <v>8</v>
      </c>
      <c r="GU4">
        <v>9</v>
      </c>
      <c r="GV4">
        <v>10</v>
      </c>
      <c r="GW4">
        <v>11</v>
      </c>
      <c r="GX4">
        <v>12</v>
      </c>
      <c r="GY4">
        <v>13</v>
      </c>
      <c r="GZ4">
        <v>14</v>
      </c>
      <c r="HA4">
        <v>15</v>
      </c>
      <c r="HB4">
        <v>16</v>
      </c>
      <c r="HC4">
        <v>17</v>
      </c>
      <c r="HD4">
        <v>18</v>
      </c>
      <c r="HE4">
        <v>19</v>
      </c>
      <c r="HF4">
        <v>20</v>
      </c>
      <c r="HG4">
        <v>21</v>
      </c>
      <c r="HH4">
        <v>22</v>
      </c>
      <c r="HI4">
        <v>23</v>
      </c>
      <c r="HJ4">
        <v>24</v>
      </c>
      <c r="HK4">
        <v>25</v>
      </c>
      <c r="HL4">
        <v>26</v>
      </c>
      <c r="HM4">
        <v>27</v>
      </c>
      <c r="HN4">
        <v>28</v>
      </c>
      <c r="HO4">
        <v>29</v>
      </c>
      <c r="HP4">
        <v>30</v>
      </c>
      <c r="HQ4">
        <v>31</v>
      </c>
      <c r="HR4">
        <v>32</v>
      </c>
      <c r="HS4">
        <v>33</v>
      </c>
      <c r="HT4">
        <v>34</v>
      </c>
      <c r="HU4">
        <v>35</v>
      </c>
      <c r="HV4">
        <v>36</v>
      </c>
      <c r="HW4">
        <v>37</v>
      </c>
      <c r="HX4">
        <v>38</v>
      </c>
      <c r="HY4">
        <v>39</v>
      </c>
      <c r="HZ4">
        <v>40</v>
      </c>
      <c r="IA4">
        <v>41</v>
      </c>
      <c r="IB4">
        <v>42</v>
      </c>
      <c r="IC4">
        <v>43</v>
      </c>
      <c r="ID4">
        <v>44</v>
      </c>
      <c r="IE4">
        <v>45</v>
      </c>
      <c r="IF4">
        <v>46</v>
      </c>
      <c r="IG4">
        <v>47</v>
      </c>
      <c r="IH4">
        <v>48</v>
      </c>
      <c r="II4">
        <v>49</v>
      </c>
      <c r="IJ4">
        <v>50</v>
      </c>
      <c r="IK4">
        <v>51</v>
      </c>
      <c r="IL4">
        <v>52</v>
      </c>
      <c r="IM4">
        <v>53</v>
      </c>
      <c r="IN4">
        <v>54</v>
      </c>
      <c r="IO4">
        <v>55</v>
      </c>
      <c r="IP4">
        <v>56</v>
      </c>
      <c r="IQ4">
        <v>57</v>
      </c>
      <c r="IR4">
        <v>58</v>
      </c>
      <c r="IS4">
        <v>59</v>
      </c>
      <c r="IT4">
        <v>60</v>
      </c>
      <c r="IU4">
        <v>61</v>
      </c>
      <c r="IV4">
        <v>62</v>
      </c>
      <c r="IW4">
        <v>63</v>
      </c>
      <c r="IX4">
        <v>64</v>
      </c>
      <c r="IY4">
        <v>65</v>
      </c>
      <c r="IZ4">
        <v>66</v>
      </c>
      <c r="JA4">
        <v>67</v>
      </c>
      <c r="JB4">
        <v>68</v>
      </c>
      <c r="JC4">
        <v>69</v>
      </c>
      <c r="JD4">
        <v>70</v>
      </c>
      <c r="JE4">
        <v>71</v>
      </c>
      <c r="JF4">
        <v>72</v>
      </c>
      <c r="JG4">
        <v>73</v>
      </c>
      <c r="JH4">
        <v>74</v>
      </c>
      <c r="JI4">
        <v>75</v>
      </c>
      <c r="JJ4">
        <v>76</v>
      </c>
      <c r="JK4">
        <v>77</v>
      </c>
      <c r="JL4">
        <v>78</v>
      </c>
      <c r="JM4">
        <v>79</v>
      </c>
      <c r="JN4">
        <v>80</v>
      </c>
      <c r="JO4">
        <v>81</v>
      </c>
      <c r="JP4">
        <v>82</v>
      </c>
      <c r="JQ4">
        <v>83</v>
      </c>
      <c r="JR4">
        <v>84</v>
      </c>
      <c r="JS4">
        <v>85</v>
      </c>
      <c r="JT4">
        <v>86</v>
      </c>
      <c r="JU4">
        <v>87</v>
      </c>
      <c r="JV4">
        <v>88</v>
      </c>
      <c r="JW4">
        <v>89</v>
      </c>
      <c r="JX4">
        <v>90</v>
      </c>
      <c r="JY4">
        <v>91</v>
      </c>
      <c r="JZ4">
        <v>92</v>
      </c>
      <c r="KA4">
        <v>93</v>
      </c>
      <c r="KB4">
        <v>94</v>
      </c>
      <c r="KC4">
        <v>95</v>
      </c>
      <c r="KD4">
        <v>96</v>
      </c>
      <c r="KE4">
        <v>97</v>
      </c>
      <c r="KF4">
        <v>98</v>
      </c>
      <c r="KG4">
        <v>99</v>
      </c>
      <c r="KH4">
        <v>100</v>
      </c>
      <c r="KI4">
        <v>101</v>
      </c>
      <c r="KJ4">
        <v>102</v>
      </c>
      <c r="KK4">
        <v>103</v>
      </c>
      <c r="KL4">
        <v>104</v>
      </c>
      <c r="KM4">
        <v>105</v>
      </c>
      <c r="KN4">
        <v>106</v>
      </c>
      <c r="KO4">
        <v>107</v>
      </c>
      <c r="KP4">
        <v>108</v>
      </c>
      <c r="KQ4">
        <v>109</v>
      </c>
      <c r="KR4">
        <v>110</v>
      </c>
      <c r="KS4">
        <v>111</v>
      </c>
      <c r="KT4">
        <v>112</v>
      </c>
      <c r="KU4">
        <v>113</v>
      </c>
      <c r="KV4">
        <v>114</v>
      </c>
      <c r="KW4">
        <v>115</v>
      </c>
      <c r="KX4">
        <v>116</v>
      </c>
      <c r="KY4">
        <v>117</v>
      </c>
      <c r="KZ4">
        <v>118</v>
      </c>
      <c r="LA4">
        <v>119</v>
      </c>
      <c r="LB4">
        <v>120</v>
      </c>
      <c r="LC4">
        <v>121</v>
      </c>
      <c r="LD4">
        <v>122</v>
      </c>
      <c r="LE4">
        <v>123</v>
      </c>
      <c r="LF4">
        <v>124</v>
      </c>
      <c r="LG4">
        <v>125</v>
      </c>
      <c r="LH4">
        <v>126</v>
      </c>
      <c r="LI4">
        <v>127</v>
      </c>
      <c r="LJ4">
        <v>128</v>
      </c>
      <c r="LK4">
        <v>129</v>
      </c>
      <c r="LL4">
        <v>130</v>
      </c>
      <c r="LM4">
        <v>131</v>
      </c>
      <c r="LN4">
        <v>132</v>
      </c>
      <c r="LO4">
        <v>133</v>
      </c>
      <c r="LP4">
        <v>134</v>
      </c>
      <c r="LQ4">
        <v>135</v>
      </c>
      <c r="LR4">
        <v>136</v>
      </c>
      <c r="LS4">
        <v>137</v>
      </c>
      <c r="LT4">
        <v>138</v>
      </c>
      <c r="LU4">
        <v>139</v>
      </c>
      <c r="LV4">
        <v>140</v>
      </c>
      <c r="LW4">
        <v>141</v>
      </c>
      <c r="LX4">
        <v>142</v>
      </c>
      <c r="LY4">
        <v>143</v>
      </c>
      <c r="LZ4">
        <v>144</v>
      </c>
      <c r="MA4">
        <v>145</v>
      </c>
      <c r="MB4">
        <v>146</v>
      </c>
      <c r="MC4">
        <v>147</v>
      </c>
      <c r="MD4">
        <v>148</v>
      </c>
      <c r="ME4">
        <v>149</v>
      </c>
      <c r="MF4">
        <v>150</v>
      </c>
      <c r="MG4">
        <v>151</v>
      </c>
      <c r="MH4">
        <v>152</v>
      </c>
      <c r="MI4">
        <v>153</v>
      </c>
      <c r="MJ4">
        <v>154</v>
      </c>
      <c r="MK4">
        <v>155</v>
      </c>
      <c r="ML4">
        <v>156</v>
      </c>
      <c r="MM4">
        <v>157</v>
      </c>
      <c r="MN4">
        <v>158</v>
      </c>
      <c r="MO4">
        <v>159</v>
      </c>
      <c r="MP4">
        <v>160</v>
      </c>
      <c r="MQ4">
        <v>161</v>
      </c>
      <c r="MR4">
        <v>162</v>
      </c>
      <c r="MS4">
        <v>163</v>
      </c>
      <c r="MT4">
        <v>164</v>
      </c>
      <c r="MU4">
        <v>165</v>
      </c>
      <c r="MV4">
        <v>166</v>
      </c>
      <c r="MW4">
        <v>167</v>
      </c>
      <c r="MX4">
        <v>168</v>
      </c>
      <c r="MY4">
        <v>169</v>
      </c>
      <c r="MZ4">
        <v>170</v>
      </c>
      <c r="NA4">
        <v>171</v>
      </c>
      <c r="NB4">
        <v>172</v>
      </c>
      <c r="NC4">
        <v>173</v>
      </c>
      <c r="ND4">
        <v>174</v>
      </c>
      <c r="NE4">
        <v>175</v>
      </c>
      <c r="NF4">
        <v>176</v>
      </c>
      <c r="NG4">
        <v>177</v>
      </c>
      <c r="NH4">
        <v>178</v>
      </c>
      <c r="NI4">
        <v>179</v>
      </c>
      <c r="NJ4" s="13"/>
      <c r="NK4">
        <v>0</v>
      </c>
      <c r="NL4">
        <v>1</v>
      </c>
      <c r="NM4">
        <v>2</v>
      </c>
      <c r="NN4">
        <v>3</v>
      </c>
      <c r="NO4">
        <v>4</v>
      </c>
      <c r="NP4">
        <v>5</v>
      </c>
      <c r="NQ4">
        <v>6</v>
      </c>
      <c r="NR4">
        <v>7</v>
      </c>
      <c r="NS4">
        <v>8</v>
      </c>
      <c r="NT4">
        <v>9</v>
      </c>
      <c r="NU4">
        <v>10</v>
      </c>
      <c r="NV4">
        <v>11</v>
      </c>
      <c r="NW4">
        <v>12</v>
      </c>
      <c r="NX4">
        <v>13</v>
      </c>
      <c r="NY4">
        <v>14</v>
      </c>
      <c r="NZ4">
        <v>15</v>
      </c>
      <c r="OA4">
        <v>16</v>
      </c>
      <c r="OB4">
        <v>17</v>
      </c>
      <c r="OC4">
        <v>18</v>
      </c>
      <c r="OD4">
        <v>19</v>
      </c>
      <c r="OE4">
        <v>20</v>
      </c>
      <c r="OF4">
        <v>21</v>
      </c>
      <c r="OG4">
        <v>22</v>
      </c>
      <c r="OH4">
        <v>23</v>
      </c>
      <c r="OI4">
        <v>24</v>
      </c>
      <c r="OJ4">
        <v>25</v>
      </c>
      <c r="OK4">
        <v>26</v>
      </c>
      <c r="OL4">
        <v>27</v>
      </c>
      <c r="OM4">
        <v>28</v>
      </c>
      <c r="ON4">
        <v>29</v>
      </c>
      <c r="OO4">
        <v>30</v>
      </c>
      <c r="OP4">
        <v>31</v>
      </c>
      <c r="OQ4">
        <v>32</v>
      </c>
      <c r="OR4">
        <v>33</v>
      </c>
      <c r="OS4">
        <v>34</v>
      </c>
      <c r="OT4">
        <v>35</v>
      </c>
      <c r="OU4">
        <v>36</v>
      </c>
      <c r="OV4">
        <v>37</v>
      </c>
      <c r="OW4">
        <v>38</v>
      </c>
      <c r="OX4">
        <v>39</v>
      </c>
      <c r="OY4">
        <v>40</v>
      </c>
      <c r="OZ4">
        <v>41</v>
      </c>
      <c r="PA4">
        <v>42</v>
      </c>
      <c r="PB4">
        <v>43</v>
      </c>
      <c r="PC4">
        <v>44</v>
      </c>
      <c r="PD4">
        <v>45</v>
      </c>
      <c r="PE4">
        <v>46</v>
      </c>
      <c r="PF4">
        <v>47</v>
      </c>
      <c r="PG4">
        <v>48</v>
      </c>
      <c r="PH4">
        <v>49</v>
      </c>
      <c r="PI4">
        <v>50</v>
      </c>
      <c r="PJ4">
        <v>51</v>
      </c>
      <c r="PK4">
        <v>52</v>
      </c>
      <c r="PL4">
        <v>53</v>
      </c>
      <c r="PM4">
        <v>54</v>
      </c>
      <c r="PN4">
        <v>55</v>
      </c>
      <c r="PO4">
        <v>56</v>
      </c>
      <c r="PP4">
        <v>57</v>
      </c>
      <c r="PQ4">
        <v>58</v>
      </c>
      <c r="PR4">
        <v>59</v>
      </c>
      <c r="PS4">
        <v>60</v>
      </c>
      <c r="PT4">
        <v>61</v>
      </c>
      <c r="PU4">
        <v>62</v>
      </c>
      <c r="PV4">
        <v>63</v>
      </c>
      <c r="PW4">
        <v>64</v>
      </c>
      <c r="PX4">
        <v>65</v>
      </c>
      <c r="PY4">
        <v>66</v>
      </c>
      <c r="PZ4">
        <v>67</v>
      </c>
      <c r="QA4">
        <v>68</v>
      </c>
      <c r="QB4">
        <v>69</v>
      </c>
      <c r="QC4">
        <v>70</v>
      </c>
      <c r="QD4">
        <v>71</v>
      </c>
      <c r="QE4">
        <v>72</v>
      </c>
      <c r="QF4">
        <v>73</v>
      </c>
      <c r="QG4">
        <v>74</v>
      </c>
      <c r="QH4">
        <v>75</v>
      </c>
      <c r="QI4">
        <v>76</v>
      </c>
      <c r="QJ4">
        <v>77</v>
      </c>
      <c r="QK4">
        <v>78</v>
      </c>
      <c r="QL4">
        <v>79</v>
      </c>
      <c r="QM4">
        <v>80</v>
      </c>
      <c r="QN4">
        <v>81</v>
      </c>
      <c r="QO4">
        <v>82</v>
      </c>
      <c r="QP4">
        <v>83</v>
      </c>
      <c r="QQ4">
        <v>84</v>
      </c>
      <c r="QR4">
        <v>85</v>
      </c>
      <c r="QS4">
        <v>86</v>
      </c>
      <c r="QT4">
        <v>87</v>
      </c>
      <c r="QU4">
        <v>88</v>
      </c>
      <c r="QV4">
        <v>89</v>
      </c>
      <c r="QW4">
        <v>90</v>
      </c>
      <c r="QX4">
        <v>91</v>
      </c>
      <c r="QY4">
        <v>92</v>
      </c>
      <c r="QZ4">
        <v>93</v>
      </c>
      <c r="RA4">
        <v>94</v>
      </c>
      <c r="RB4">
        <v>95</v>
      </c>
      <c r="RC4">
        <v>96</v>
      </c>
      <c r="RD4">
        <v>97</v>
      </c>
      <c r="RE4">
        <v>98</v>
      </c>
      <c r="RF4">
        <v>99</v>
      </c>
      <c r="RG4">
        <v>100</v>
      </c>
      <c r="RH4">
        <v>101</v>
      </c>
      <c r="RI4">
        <v>102</v>
      </c>
      <c r="RJ4">
        <v>103</v>
      </c>
      <c r="RK4">
        <v>104</v>
      </c>
      <c r="RL4">
        <v>105</v>
      </c>
      <c r="RM4">
        <v>106</v>
      </c>
      <c r="RN4">
        <v>107</v>
      </c>
      <c r="RO4">
        <v>108</v>
      </c>
      <c r="RP4">
        <v>109</v>
      </c>
      <c r="RQ4">
        <v>110</v>
      </c>
      <c r="RR4">
        <v>111</v>
      </c>
      <c r="RS4">
        <v>112</v>
      </c>
      <c r="RT4">
        <v>113</v>
      </c>
      <c r="RU4">
        <v>114</v>
      </c>
      <c r="RV4">
        <v>115</v>
      </c>
      <c r="RW4">
        <v>116</v>
      </c>
      <c r="RX4">
        <v>117</v>
      </c>
      <c r="RY4">
        <v>118</v>
      </c>
      <c r="RZ4">
        <v>119</v>
      </c>
      <c r="SA4">
        <v>120</v>
      </c>
      <c r="SB4">
        <v>121</v>
      </c>
      <c r="SC4">
        <v>122</v>
      </c>
      <c r="SD4">
        <v>123</v>
      </c>
      <c r="SE4">
        <v>124</v>
      </c>
      <c r="SF4">
        <v>125</v>
      </c>
      <c r="SG4">
        <v>126</v>
      </c>
      <c r="SH4">
        <v>127</v>
      </c>
      <c r="SI4">
        <v>128</v>
      </c>
      <c r="SJ4">
        <v>129</v>
      </c>
      <c r="SK4">
        <v>130</v>
      </c>
      <c r="SL4">
        <v>131</v>
      </c>
      <c r="SM4">
        <v>132</v>
      </c>
      <c r="SN4">
        <v>133</v>
      </c>
      <c r="SO4">
        <v>134</v>
      </c>
      <c r="SP4">
        <v>135</v>
      </c>
      <c r="SQ4">
        <v>136</v>
      </c>
      <c r="SR4">
        <v>137</v>
      </c>
      <c r="SS4">
        <v>138</v>
      </c>
      <c r="ST4">
        <v>139</v>
      </c>
      <c r="SU4">
        <v>140</v>
      </c>
      <c r="SV4">
        <v>141</v>
      </c>
      <c r="SW4">
        <v>142</v>
      </c>
      <c r="SX4">
        <v>143</v>
      </c>
      <c r="SY4">
        <v>144</v>
      </c>
      <c r="SZ4">
        <v>145</v>
      </c>
      <c r="TA4">
        <v>146</v>
      </c>
      <c r="TB4">
        <v>147</v>
      </c>
      <c r="TC4">
        <v>148</v>
      </c>
      <c r="TD4">
        <v>149</v>
      </c>
      <c r="TE4">
        <v>150</v>
      </c>
      <c r="TF4">
        <v>151</v>
      </c>
      <c r="TG4">
        <v>152</v>
      </c>
      <c r="TH4">
        <v>153</v>
      </c>
      <c r="TI4">
        <v>154</v>
      </c>
      <c r="TJ4">
        <v>155</v>
      </c>
      <c r="TK4">
        <v>156</v>
      </c>
      <c r="TL4">
        <v>157</v>
      </c>
      <c r="TM4">
        <v>158</v>
      </c>
      <c r="TN4">
        <v>159</v>
      </c>
      <c r="TO4">
        <v>160</v>
      </c>
      <c r="TP4">
        <v>161</v>
      </c>
      <c r="TQ4">
        <v>162</v>
      </c>
      <c r="TR4">
        <v>163</v>
      </c>
      <c r="TS4">
        <v>164</v>
      </c>
      <c r="TT4">
        <v>165</v>
      </c>
      <c r="TU4">
        <v>166</v>
      </c>
      <c r="TV4">
        <v>167</v>
      </c>
      <c r="TW4">
        <v>168</v>
      </c>
      <c r="TX4">
        <v>169</v>
      </c>
      <c r="TY4">
        <v>170</v>
      </c>
      <c r="TZ4">
        <v>171</v>
      </c>
      <c r="UA4">
        <v>172</v>
      </c>
      <c r="UB4">
        <v>173</v>
      </c>
      <c r="UC4">
        <v>174</v>
      </c>
      <c r="UD4">
        <v>175</v>
      </c>
      <c r="UE4">
        <v>176</v>
      </c>
      <c r="UF4">
        <v>177</v>
      </c>
      <c r="UG4">
        <v>178</v>
      </c>
      <c r="UH4">
        <v>179</v>
      </c>
      <c r="UI4">
        <v>180</v>
      </c>
      <c r="UJ4">
        <v>181</v>
      </c>
      <c r="UK4">
        <v>182</v>
      </c>
      <c r="UL4">
        <v>183</v>
      </c>
      <c r="UM4">
        <v>184</v>
      </c>
      <c r="UN4">
        <v>185</v>
      </c>
      <c r="UO4">
        <v>186</v>
      </c>
      <c r="UP4">
        <v>187</v>
      </c>
      <c r="UQ4">
        <v>188</v>
      </c>
      <c r="UR4">
        <v>189</v>
      </c>
      <c r="US4">
        <v>190</v>
      </c>
      <c r="UT4">
        <v>191</v>
      </c>
      <c r="UU4">
        <v>192</v>
      </c>
      <c r="UV4">
        <v>193</v>
      </c>
      <c r="UW4">
        <v>194</v>
      </c>
      <c r="UX4">
        <v>195</v>
      </c>
      <c r="UY4">
        <v>196</v>
      </c>
      <c r="UZ4">
        <v>197</v>
      </c>
      <c r="VA4">
        <v>198</v>
      </c>
      <c r="VB4">
        <v>199</v>
      </c>
      <c r="VC4">
        <v>200</v>
      </c>
      <c r="VD4">
        <v>201</v>
      </c>
      <c r="VE4">
        <v>202</v>
      </c>
      <c r="VF4">
        <v>203</v>
      </c>
      <c r="VG4">
        <v>204</v>
      </c>
      <c r="VH4">
        <v>205</v>
      </c>
      <c r="VI4">
        <v>206</v>
      </c>
      <c r="VJ4">
        <v>207</v>
      </c>
      <c r="VK4">
        <v>208</v>
      </c>
      <c r="VL4">
        <v>209</v>
      </c>
      <c r="VM4">
        <v>210</v>
      </c>
      <c r="VN4">
        <v>211</v>
      </c>
      <c r="VO4">
        <v>212</v>
      </c>
      <c r="VP4">
        <v>213</v>
      </c>
      <c r="VQ4">
        <v>214</v>
      </c>
      <c r="VR4">
        <v>215</v>
      </c>
      <c r="VS4">
        <v>216</v>
      </c>
      <c r="VT4">
        <v>217</v>
      </c>
      <c r="VU4">
        <v>218</v>
      </c>
      <c r="VV4">
        <v>219</v>
      </c>
      <c r="VW4">
        <v>220</v>
      </c>
      <c r="VX4">
        <v>221</v>
      </c>
      <c r="VY4">
        <v>222</v>
      </c>
      <c r="VZ4">
        <v>223</v>
      </c>
      <c r="WA4">
        <v>224</v>
      </c>
      <c r="WB4">
        <v>225</v>
      </c>
      <c r="WC4">
        <v>226</v>
      </c>
      <c r="WD4">
        <v>227</v>
      </c>
      <c r="WE4">
        <v>228</v>
      </c>
      <c r="WF4">
        <v>229</v>
      </c>
      <c r="WG4">
        <v>230</v>
      </c>
      <c r="WH4">
        <v>231</v>
      </c>
      <c r="WI4">
        <v>232</v>
      </c>
      <c r="WJ4">
        <v>233</v>
      </c>
      <c r="WK4">
        <v>234</v>
      </c>
      <c r="WL4">
        <v>235</v>
      </c>
      <c r="WM4">
        <v>236</v>
      </c>
      <c r="WN4">
        <v>237</v>
      </c>
      <c r="WO4">
        <v>238</v>
      </c>
      <c r="WP4">
        <v>239</v>
      </c>
      <c r="WQ4">
        <v>240</v>
      </c>
      <c r="WR4">
        <v>241</v>
      </c>
      <c r="WS4">
        <v>242</v>
      </c>
      <c r="WT4">
        <v>243</v>
      </c>
      <c r="WU4">
        <v>244</v>
      </c>
      <c r="WV4">
        <v>245</v>
      </c>
      <c r="WW4">
        <v>246</v>
      </c>
      <c r="WX4">
        <v>247</v>
      </c>
      <c r="WY4">
        <v>248</v>
      </c>
      <c r="WZ4">
        <v>249</v>
      </c>
      <c r="XA4">
        <v>250</v>
      </c>
      <c r="XB4">
        <v>251</v>
      </c>
      <c r="XC4">
        <v>252</v>
      </c>
      <c r="XD4">
        <v>253</v>
      </c>
      <c r="XE4">
        <v>254</v>
      </c>
      <c r="XF4">
        <v>255</v>
      </c>
      <c r="XG4">
        <v>256</v>
      </c>
      <c r="XJ4" t="s">
        <v>357</v>
      </c>
      <c r="XK4" t="s">
        <v>358</v>
      </c>
      <c r="XL4" t="s">
        <v>359</v>
      </c>
      <c r="XM4" t="s">
        <v>482</v>
      </c>
      <c r="XN4" t="s">
        <v>483</v>
      </c>
      <c r="XP4" t="s">
        <v>360</v>
      </c>
      <c r="XQ4" t="s">
        <v>361</v>
      </c>
      <c r="XR4" t="s">
        <v>362</v>
      </c>
      <c r="XS4" t="s">
        <v>363</v>
      </c>
      <c r="XT4" t="s">
        <v>364</v>
      </c>
      <c r="XU4" t="s">
        <v>482</v>
      </c>
      <c r="XV4" t="s">
        <v>483</v>
      </c>
      <c r="XX4" t="s">
        <v>365</v>
      </c>
      <c r="XY4" t="s">
        <v>366</v>
      </c>
      <c r="XZ4" t="s">
        <v>367</v>
      </c>
      <c r="YA4" t="s">
        <v>368</v>
      </c>
      <c r="YB4" t="s">
        <v>369</v>
      </c>
      <c r="YC4" t="s">
        <v>370</v>
      </c>
      <c r="YD4" t="s">
        <v>371</v>
      </c>
      <c r="YE4" t="s">
        <v>372</v>
      </c>
      <c r="YF4" t="s">
        <v>373</v>
      </c>
      <c r="YG4" t="s">
        <v>374</v>
      </c>
      <c r="YH4" t="s">
        <v>482</v>
      </c>
      <c r="YI4" t="s">
        <v>483</v>
      </c>
      <c r="YK4" t="s">
        <v>484</v>
      </c>
    </row>
    <row r="5" spans="1:661" x14ac:dyDescent="0.3">
      <c r="A5" s="2" t="str" cm="1">
        <f t="array" ref="A5:A11">_xlfn.UNIQUE(summ[VisualIDs])</f>
        <v>74JU522300112</v>
      </c>
      <c r="B5" s="2" t="str">
        <f t="shared" ref="B5:B36" si="0">IF(C5="NotFound",D5,C5)</f>
        <v>NotFound</v>
      </c>
      <c r="C5" s="2" t="str">
        <f>IF(K5&gt;1,"NotFound","CHA"&amp;_xlfn.XLOOKUP(MAX(M5:GJ5,1),M5:GJ5,$M$4:$GJ$4,""))</f>
        <v>NotFound</v>
      </c>
      <c r="D5" s="2" t="str">
        <f t="shared" ref="D5:D36" si="1">IF(G5&gt;1,"NotFound","CHA"&amp;_xlfn.XLOOKUP(MAX(GL5:NI5,1),GL5:NI5,$GL$4:$NI$4,""))</f>
        <v>NotFound</v>
      </c>
      <c r="E5" s="2" t="str">
        <f>YK5</f>
        <v/>
      </c>
      <c r="F5" s="2" t="str">
        <f>IF(I5&gt;1,"NotFound",_xlfn.XLOOKUP(MAX(NK5:XG5,1),NK5:XG5,$NK$4:$XG$4,""))</f>
        <v>NotFound</v>
      </c>
      <c r="G5" s="2">
        <f>COUNTIF(GL5:NI5,H5)</f>
        <v>180</v>
      </c>
      <c r="H5" s="2">
        <f>MAX(GL5:NI5)</f>
        <v>0</v>
      </c>
      <c r="I5" s="2">
        <f>COUNTIF(NK5:XG5,J5)</f>
        <v>2</v>
      </c>
      <c r="J5" s="2">
        <f>MAX(NK5:XG5)</f>
        <v>2</v>
      </c>
      <c r="K5" s="2">
        <f>COUNTIF(M5:GJ5,L5)</f>
        <v>2</v>
      </c>
      <c r="L5" s="2">
        <f>MAX(M5:GJ5)</f>
        <v>2</v>
      </c>
      <c r="M5" cm="1">
        <f t="array" ref="M5:GJ11">COUNTIFS(chamca[Visual ID],_xlfn.ANCHORARRAY(A5),chamca[CHA],"CHA"&amp;M4:GJ4)</f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2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 s="13"/>
      <c r="GL5" cm="1">
        <f t="array" ref="GL5:NI11">COUNTIFS(ubox[VisualID],_xlfn.ANCHORARRAY(A5),ubox[Failed Instance],"CHA"&amp;GL4:NI4,ubox[NCEVENT],"*MCERRLOGGINGREG*")</f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 s="13"/>
      <c r="NK5" cm="1">
        <f t="array" ref="NK5:XG11">COUNTIFS(chamca[Visual ID],_xlfn.ANCHORARRAY(A5),chamca[SrcID],NK4:XG4)</f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2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2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J5" cm="1">
        <f t="array" ref="XJ5:XL5">SUMIFS($M5:$GJ5,$M$1:$GJ$1,XJ$3:XL$3)</f>
        <v>2</v>
      </c>
      <c r="XK5">
        <v>2</v>
      </c>
      <c r="XL5">
        <v>0</v>
      </c>
      <c r="XM5" cm="1">
        <f t="array" ref="XM5">IFERROR(MAX((_xlfn.ANCHORARRAY(XJ5)-AVERAGE(_xlfn.ANCHORARRAY(XJ5)))/ AVERAGE(_xlfn.ANCHORARRAY(XJ5))),0)</f>
        <v>0.50000000000000011</v>
      </c>
      <c r="XN5" t="str" cm="1">
        <f t="array" ref="XN5">IF(XM5&gt;$XN$1,_xlfn.XLOOKUP(MAX(_xlfn.ANCHORARRAY(XJ5)),_xlfn.ANCHORARRAY(XJ5),XJ$4:XL$4,""),"")</f>
        <v/>
      </c>
      <c r="XP5" cm="1">
        <f t="array" ref="XP5:XT5">SUMIFS($M5:$GJ5,$M$3:$GJ$3,XP$3:XT$3)</f>
        <v>4</v>
      </c>
      <c r="XQ5">
        <v>0</v>
      </c>
      <c r="XR5">
        <v>0</v>
      </c>
      <c r="XS5">
        <v>0</v>
      </c>
      <c r="XT5">
        <v>0</v>
      </c>
      <c r="XU5" cm="1">
        <f t="array" ref="XU5">IFERROR(MAX((_xlfn.ANCHORARRAY(XP5)-AVERAGE(_xlfn.ANCHORARRAY(XP5)))/ AVERAGE(_xlfn.ANCHORARRAY(XP5))),0)</f>
        <v>4</v>
      </c>
      <c r="XV5" t="str" cm="1">
        <f t="array" ref="XV5">IF(AND(XU5&gt;$XV$1,XN5&lt;&gt;""),_xlfn.XLOOKUP(MAX(_xlfn.ANCHORARRAY(XP5)),_xlfn.ANCHORARRAY(XP5),XP$4:XT$4,""),"")</f>
        <v/>
      </c>
      <c r="XX5" cm="1">
        <f t="array" ref="XX5:YG5">SUMIFS($M5:$GJ5,$M$2:$GJ$2,XX$3:YG$3)</f>
        <v>0</v>
      </c>
      <c r="XY5">
        <v>0</v>
      </c>
      <c r="XZ5">
        <v>0</v>
      </c>
      <c r="YA5">
        <v>2</v>
      </c>
      <c r="YB5">
        <v>0</v>
      </c>
      <c r="YC5">
        <v>0</v>
      </c>
      <c r="YD5">
        <v>0</v>
      </c>
      <c r="YE5">
        <v>2</v>
      </c>
      <c r="YF5">
        <v>0</v>
      </c>
      <c r="YG5">
        <v>0</v>
      </c>
      <c r="YH5" cm="1">
        <f t="array" ref="YH5">IFERROR(MAX((_xlfn.ANCHORARRAY(XX5)-AVERAGE(_xlfn.ANCHORARRAY(XX5)))/ AVERAGE(_xlfn.ANCHORARRAY(XX5))),0)</f>
        <v>4</v>
      </c>
      <c r="YI5" t="str" cm="1">
        <f t="array" ref="YI5">IF(YH5&gt;$YI$1,_xlfn.XLOOKUP(MAX(_xlfn.ANCHORARRAY(XX5)),_xlfn.ANCHORARRAY(XX5),XX$4:YG$4,""),"")</f>
        <v/>
      </c>
      <c r="YK5" t="str">
        <f>_xlfn.TEXTJOIN(" : ",,XN5,XV5,YI5)</f>
        <v/>
      </c>
    </row>
    <row r="6" spans="1:661" x14ac:dyDescent="0.3">
      <c r="A6" s="2" t="str">
        <v>759Y5U8800863</v>
      </c>
      <c r="B6" s="2" t="str">
        <f t="shared" si="0"/>
        <v>CHA134</v>
      </c>
      <c r="C6" s="2" t="str">
        <f t="shared" ref="C6:C69" si="2">IF(K6&gt;1,"NotFound","CHA"&amp;_xlfn.XLOOKUP(MAX(M6:GJ6,1),M6:GJ6,$M$4:$GJ$4,""))</f>
        <v>CHA134</v>
      </c>
      <c r="D6" s="2" t="str">
        <f t="shared" si="1"/>
        <v>CHA134</v>
      </c>
      <c r="E6" s="2" t="str">
        <f t="shared" ref="E6:E69" si="3">YK6</f>
        <v>Compute2 : Row6 : Col2</v>
      </c>
      <c r="F6" s="2">
        <f t="shared" ref="F6:F69" si="4">IF(I6&gt;1,"NotFound",_xlfn.XLOOKUP(MAX(NK6:XG6,1),NK6:XG6,$NK$4:$XG$4,""))</f>
        <v>10</v>
      </c>
      <c r="G6" s="2">
        <f t="shared" ref="G6:G69" si="5">COUNTIF(GL6:NI6,H6)</f>
        <v>1</v>
      </c>
      <c r="H6" s="2">
        <f t="shared" ref="H6:H69" si="6">MAX(GL6:NI6)</f>
        <v>2</v>
      </c>
      <c r="I6" s="2">
        <f t="shared" ref="I6:I69" si="7">COUNTIF(NK6:XG6,J6)</f>
        <v>1</v>
      </c>
      <c r="J6" s="2">
        <f t="shared" ref="J6:J69" si="8">MAX(NK6:XG6)</f>
        <v>2</v>
      </c>
      <c r="K6" s="2">
        <f t="shared" ref="K6:K69" si="9">COUNTIF(M6:GJ6,L6)</f>
        <v>1</v>
      </c>
      <c r="L6" s="2">
        <f t="shared" ref="L6:L69" si="10">MAX(M6:GJ6)</f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2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 s="13"/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2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 s="13"/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2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J6" cm="1">
        <f t="array" ref="XJ6:XL6">SUMIFS($M6:$GJ6,$M$1:$GJ$1,XJ$3:XL$3)</f>
        <v>0</v>
      </c>
      <c r="XK6">
        <v>0</v>
      </c>
      <c r="XL6">
        <v>2</v>
      </c>
      <c r="XM6" cm="1">
        <f t="array" ref="XM6">IFERROR(MAX((_xlfn.ANCHORARRAY(XJ6)-AVERAGE(_xlfn.ANCHORARRAY(XJ6)))/ AVERAGE(_xlfn.ANCHORARRAY(XJ6))),0)</f>
        <v>2.0000000000000004</v>
      </c>
      <c r="XN6" t="str" cm="1">
        <f t="array" ref="XN6">IF(XM6&gt;$XN$1,_xlfn.XLOOKUP(MAX(_xlfn.ANCHORARRAY(XJ6)),_xlfn.ANCHORARRAY(XJ6),XJ$4:XL$4,""),"")</f>
        <v>Compute2</v>
      </c>
      <c r="XP6" cm="1">
        <f t="array" ref="XP6:XT6">SUMIFS($M6:$GJ6,$M$3:$GJ$3,XP$3:XT$3)</f>
        <v>0</v>
      </c>
      <c r="XQ6">
        <v>0</v>
      </c>
      <c r="XR6">
        <v>0</v>
      </c>
      <c r="XS6">
        <v>2</v>
      </c>
      <c r="XT6">
        <v>0</v>
      </c>
      <c r="XU6" cm="1">
        <f t="array" ref="XU6">IFERROR(MAX((_xlfn.ANCHORARRAY(XP6)-AVERAGE(_xlfn.ANCHORARRAY(XP6)))/ AVERAGE(_xlfn.ANCHORARRAY(XP6))),0)</f>
        <v>4</v>
      </c>
      <c r="XV6" t="str" cm="1">
        <f t="array" ref="XV6">IF(AND(XU6&gt;$XV$1,XN6&lt;&gt;""),_xlfn.XLOOKUP(MAX(_xlfn.ANCHORARRAY(XP6)),_xlfn.ANCHORARRAY(XP6),XP$4:XT$4,""),"")</f>
        <v>Row6</v>
      </c>
      <c r="XX6" cm="1">
        <f t="array" ref="XX6:YG6">SUMIFS($M6:$GJ6,$M$2:$GJ$2,XX$3:YG$3)</f>
        <v>0</v>
      </c>
      <c r="XY6">
        <v>0</v>
      </c>
      <c r="XZ6">
        <v>2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 cm="1">
        <f t="array" ref="YH6">IFERROR(MAX((_xlfn.ANCHORARRAY(XX6)-AVERAGE(_xlfn.ANCHORARRAY(XX6)))/ AVERAGE(_xlfn.ANCHORARRAY(XX6))),0)</f>
        <v>9</v>
      </c>
      <c r="YI6" t="str" cm="1">
        <f t="array" ref="YI6">IF(YH6&gt;$YI$1,_xlfn.XLOOKUP(MAX(_xlfn.ANCHORARRAY(XX6)),_xlfn.ANCHORARRAY(XX6),XX$4:YG$4,""),"")</f>
        <v>Col2</v>
      </c>
      <c r="YK6" t="str">
        <f t="shared" ref="YK6:YK69" si="11">_xlfn.TEXTJOIN(" : ",,XN6,XV6,YI6)</f>
        <v>Compute2 : Row6 : Col2</v>
      </c>
    </row>
    <row r="7" spans="1:661" x14ac:dyDescent="0.3">
      <c r="A7" s="2" t="str">
        <v>74N24C5300241</v>
      </c>
      <c r="B7" s="2" t="str">
        <f t="shared" si="0"/>
        <v>CHA9</v>
      </c>
      <c r="C7" s="2" t="str">
        <f t="shared" si="2"/>
        <v>CHA9</v>
      </c>
      <c r="D7" s="2" t="str">
        <f t="shared" si="1"/>
        <v>NotFound</v>
      </c>
      <c r="E7" s="2" t="str">
        <f t="shared" si="3"/>
        <v/>
      </c>
      <c r="F7" s="2" t="str">
        <f t="shared" si="4"/>
        <v>NotFound</v>
      </c>
      <c r="G7" s="2">
        <f t="shared" si="5"/>
        <v>2</v>
      </c>
      <c r="H7" s="2">
        <f t="shared" si="6"/>
        <v>4</v>
      </c>
      <c r="I7" s="2">
        <f t="shared" si="7"/>
        <v>2</v>
      </c>
      <c r="J7" s="2">
        <f t="shared" si="8"/>
        <v>16</v>
      </c>
      <c r="K7" s="2">
        <f t="shared" si="9"/>
        <v>1</v>
      </c>
      <c r="L7" s="2">
        <f t="shared" si="10"/>
        <v>8</v>
      </c>
      <c r="M7">
        <v>4</v>
      </c>
      <c r="N7">
        <v>4</v>
      </c>
      <c r="O7">
        <v>4</v>
      </c>
      <c r="P7">
        <v>2</v>
      </c>
      <c r="Q7">
        <v>0</v>
      </c>
      <c r="R7">
        <v>0</v>
      </c>
      <c r="S7">
        <v>2</v>
      </c>
      <c r="T7">
        <v>2</v>
      </c>
      <c r="U7">
        <v>2</v>
      </c>
      <c r="V7">
        <v>8</v>
      </c>
      <c r="W7">
        <v>2</v>
      </c>
      <c r="X7">
        <v>0</v>
      </c>
      <c r="Y7">
        <v>0</v>
      </c>
      <c r="Z7">
        <v>4</v>
      </c>
      <c r="AA7">
        <v>4</v>
      </c>
      <c r="AB7">
        <v>2</v>
      </c>
      <c r="AC7">
        <v>2</v>
      </c>
      <c r="AD7">
        <v>4</v>
      </c>
      <c r="AE7">
        <v>0</v>
      </c>
      <c r="AF7">
        <v>0</v>
      </c>
      <c r="AG7">
        <v>2</v>
      </c>
      <c r="AH7">
        <v>2</v>
      </c>
      <c r="AI7">
        <v>2</v>
      </c>
      <c r="AJ7">
        <v>4</v>
      </c>
      <c r="AK7">
        <v>4</v>
      </c>
      <c r="AL7">
        <v>0</v>
      </c>
      <c r="AM7">
        <v>0</v>
      </c>
      <c r="AN7">
        <v>2</v>
      </c>
      <c r="AO7">
        <v>4</v>
      </c>
      <c r="AP7">
        <v>4</v>
      </c>
      <c r="AQ7">
        <v>4</v>
      </c>
      <c r="AR7">
        <v>2</v>
      </c>
      <c r="AS7">
        <v>0</v>
      </c>
      <c r="AT7">
        <v>0</v>
      </c>
      <c r="AU7">
        <v>4</v>
      </c>
      <c r="AV7">
        <v>2</v>
      </c>
      <c r="AW7">
        <v>0</v>
      </c>
      <c r="AX7">
        <v>2</v>
      </c>
      <c r="AY7">
        <v>2</v>
      </c>
      <c r="AZ7">
        <v>0</v>
      </c>
      <c r="BA7">
        <v>0</v>
      </c>
      <c r="BB7">
        <v>2</v>
      </c>
      <c r="BC7">
        <v>4</v>
      </c>
      <c r="BD7">
        <v>4</v>
      </c>
      <c r="BE7">
        <v>4</v>
      </c>
      <c r="BF7">
        <v>4</v>
      </c>
      <c r="BG7">
        <v>0</v>
      </c>
      <c r="BH7">
        <v>0</v>
      </c>
      <c r="BI7">
        <v>4</v>
      </c>
      <c r="BJ7">
        <v>4</v>
      </c>
      <c r="BK7">
        <v>2</v>
      </c>
      <c r="BL7">
        <v>2</v>
      </c>
      <c r="BM7">
        <v>4</v>
      </c>
      <c r="BN7">
        <v>0</v>
      </c>
      <c r="BO7">
        <v>0</v>
      </c>
      <c r="BP7">
        <v>4</v>
      </c>
      <c r="BQ7">
        <v>4</v>
      </c>
      <c r="BR7">
        <v>2</v>
      </c>
      <c r="BS7">
        <v>2</v>
      </c>
      <c r="BT7">
        <v>4</v>
      </c>
      <c r="BU7">
        <v>2</v>
      </c>
      <c r="BV7">
        <v>4</v>
      </c>
      <c r="BW7">
        <v>4</v>
      </c>
      <c r="BX7">
        <v>2</v>
      </c>
      <c r="BY7">
        <v>0</v>
      </c>
      <c r="BZ7">
        <v>0</v>
      </c>
      <c r="CA7">
        <v>4</v>
      </c>
      <c r="CB7">
        <v>2</v>
      </c>
      <c r="CC7">
        <v>4</v>
      </c>
      <c r="CD7">
        <v>6</v>
      </c>
      <c r="CE7">
        <v>2</v>
      </c>
      <c r="CF7">
        <v>0</v>
      </c>
      <c r="CG7">
        <v>0</v>
      </c>
      <c r="CH7">
        <v>4</v>
      </c>
      <c r="CI7">
        <v>2</v>
      </c>
      <c r="CJ7">
        <v>2</v>
      </c>
      <c r="CK7">
        <v>2</v>
      </c>
      <c r="CL7">
        <v>4</v>
      </c>
      <c r="CM7">
        <v>0</v>
      </c>
      <c r="CN7">
        <v>0</v>
      </c>
      <c r="CO7">
        <v>2</v>
      </c>
      <c r="CP7">
        <v>2</v>
      </c>
      <c r="CQ7">
        <v>4</v>
      </c>
      <c r="CR7">
        <v>4</v>
      </c>
      <c r="CS7">
        <v>2</v>
      </c>
      <c r="CT7">
        <v>0</v>
      </c>
      <c r="CU7">
        <v>0</v>
      </c>
      <c r="CV7">
        <v>4</v>
      </c>
      <c r="CW7">
        <v>4</v>
      </c>
      <c r="CX7">
        <v>2</v>
      </c>
      <c r="CY7">
        <v>4</v>
      </c>
      <c r="CZ7">
        <v>4</v>
      </c>
      <c r="DA7">
        <v>0</v>
      </c>
      <c r="DB7">
        <v>0</v>
      </c>
      <c r="DC7">
        <v>4</v>
      </c>
      <c r="DD7">
        <v>2</v>
      </c>
      <c r="DE7">
        <v>0</v>
      </c>
      <c r="DF7">
        <v>4</v>
      </c>
      <c r="DG7">
        <v>2</v>
      </c>
      <c r="DH7">
        <v>0</v>
      </c>
      <c r="DI7">
        <v>0</v>
      </c>
      <c r="DJ7">
        <v>2</v>
      </c>
      <c r="DK7">
        <v>2</v>
      </c>
      <c r="DL7">
        <v>2</v>
      </c>
      <c r="DM7">
        <v>4</v>
      </c>
      <c r="DN7">
        <v>4</v>
      </c>
      <c r="DO7">
        <v>0</v>
      </c>
      <c r="DP7">
        <v>0</v>
      </c>
      <c r="DQ7">
        <v>4</v>
      </c>
      <c r="DR7">
        <v>4</v>
      </c>
      <c r="DS7">
        <v>4</v>
      </c>
      <c r="DT7">
        <v>2</v>
      </c>
      <c r="DU7">
        <v>2</v>
      </c>
      <c r="DV7">
        <v>0</v>
      </c>
      <c r="DW7">
        <v>0</v>
      </c>
      <c r="DX7">
        <v>4</v>
      </c>
      <c r="DY7">
        <v>2</v>
      </c>
      <c r="DZ7">
        <v>4</v>
      </c>
      <c r="EA7">
        <v>2</v>
      </c>
      <c r="EB7">
        <v>2</v>
      </c>
      <c r="EC7">
        <v>0</v>
      </c>
      <c r="ED7">
        <v>2</v>
      </c>
      <c r="EE7">
        <v>2</v>
      </c>
      <c r="EF7">
        <v>0</v>
      </c>
      <c r="EG7">
        <v>0</v>
      </c>
      <c r="EH7">
        <v>0</v>
      </c>
      <c r="EI7">
        <v>4</v>
      </c>
      <c r="EJ7">
        <v>4</v>
      </c>
      <c r="EK7">
        <v>2</v>
      </c>
      <c r="EL7">
        <v>4</v>
      </c>
      <c r="EM7">
        <v>4</v>
      </c>
      <c r="EN7">
        <v>0</v>
      </c>
      <c r="EO7">
        <v>0</v>
      </c>
      <c r="EP7">
        <v>4</v>
      </c>
      <c r="EQ7">
        <v>2</v>
      </c>
      <c r="ER7">
        <v>0</v>
      </c>
      <c r="ES7">
        <v>2</v>
      </c>
      <c r="ET7">
        <v>4</v>
      </c>
      <c r="EU7">
        <v>0</v>
      </c>
      <c r="EV7">
        <v>0</v>
      </c>
      <c r="EW7">
        <v>4</v>
      </c>
      <c r="EX7">
        <v>4</v>
      </c>
      <c r="EY7">
        <v>2</v>
      </c>
      <c r="EZ7">
        <v>4</v>
      </c>
      <c r="FA7">
        <v>4</v>
      </c>
      <c r="FB7">
        <v>0</v>
      </c>
      <c r="FC7">
        <v>0</v>
      </c>
      <c r="FD7">
        <v>4</v>
      </c>
      <c r="FE7">
        <v>4</v>
      </c>
      <c r="FF7">
        <v>4</v>
      </c>
      <c r="FG7">
        <v>2</v>
      </c>
      <c r="FH7">
        <v>4</v>
      </c>
      <c r="FI7">
        <v>0</v>
      </c>
      <c r="FJ7">
        <v>0</v>
      </c>
      <c r="FK7">
        <v>4</v>
      </c>
      <c r="FL7">
        <v>0</v>
      </c>
      <c r="FM7">
        <v>2</v>
      </c>
      <c r="FN7">
        <v>0</v>
      </c>
      <c r="FO7">
        <v>2</v>
      </c>
      <c r="FP7">
        <v>0</v>
      </c>
      <c r="FQ7">
        <v>0</v>
      </c>
      <c r="FR7">
        <v>2</v>
      </c>
      <c r="FS7">
        <v>2</v>
      </c>
      <c r="FT7">
        <v>4</v>
      </c>
      <c r="FU7">
        <v>4</v>
      </c>
      <c r="FV7">
        <v>2</v>
      </c>
      <c r="FW7">
        <v>0</v>
      </c>
      <c r="FX7">
        <v>0</v>
      </c>
      <c r="FY7">
        <v>4</v>
      </c>
      <c r="FZ7">
        <v>4</v>
      </c>
      <c r="GA7">
        <v>2</v>
      </c>
      <c r="GB7">
        <v>2</v>
      </c>
      <c r="GC7">
        <v>2</v>
      </c>
      <c r="GD7">
        <v>0</v>
      </c>
      <c r="GE7">
        <v>0</v>
      </c>
      <c r="GF7">
        <v>4</v>
      </c>
      <c r="GG7">
        <v>2</v>
      </c>
      <c r="GH7">
        <v>2</v>
      </c>
      <c r="GI7">
        <v>4</v>
      </c>
      <c r="GJ7">
        <v>4</v>
      </c>
      <c r="GK7" s="13"/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4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2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4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 s="13"/>
      <c r="NK7">
        <v>0</v>
      </c>
      <c r="NL7">
        <v>4</v>
      </c>
      <c r="NM7">
        <v>0</v>
      </c>
      <c r="NN7">
        <v>2</v>
      </c>
      <c r="NO7">
        <v>2</v>
      </c>
      <c r="NP7">
        <v>6</v>
      </c>
      <c r="NQ7">
        <v>2</v>
      </c>
      <c r="NR7">
        <v>2</v>
      </c>
      <c r="NS7">
        <v>2</v>
      </c>
      <c r="NT7">
        <v>4</v>
      </c>
      <c r="NU7">
        <v>0</v>
      </c>
      <c r="NV7">
        <v>2</v>
      </c>
      <c r="NW7">
        <v>4</v>
      </c>
      <c r="NX7">
        <v>8</v>
      </c>
      <c r="NY7">
        <v>4</v>
      </c>
      <c r="NZ7">
        <v>2</v>
      </c>
      <c r="OA7">
        <v>6</v>
      </c>
      <c r="OB7">
        <v>2</v>
      </c>
      <c r="OC7">
        <v>0</v>
      </c>
      <c r="OD7">
        <v>0</v>
      </c>
      <c r="OE7">
        <v>0</v>
      </c>
      <c r="OF7">
        <v>6</v>
      </c>
      <c r="OG7">
        <v>6</v>
      </c>
      <c r="OH7">
        <v>2</v>
      </c>
      <c r="OI7">
        <v>0</v>
      </c>
      <c r="OJ7">
        <v>2</v>
      </c>
      <c r="OK7">
        <v>8</v>
      </c>
      <c r="OL7">
        <v>2</v>
      </c>
      <c r="OM7">
        <v>0</v>
      </c>
      <c r="ON7">
        <v>6</v>
      </c>
      <c r="OO7">
        <v>6</v>
      </c>
      <c r="OP7">
        <v>0</v>
      </c>
      <c r="OQ7">
        <v>2</v>
      </c>
      <c r="OR7">
        <v>6</v>
      </c>
      <c r="OS7">
        <v>0</v>
      </c>
      <c r="OT7">
        <v>0</v>
      </c>
      <c r="OU7">
        <v>4</v>
      </c>
      <c r="OV7">
        <v>0</v>
      </c>
      <c r="OW7">
        <v>0</v>
      </c>
      <c r="OX7">
        <v>0</v>
      </c>
      <c r="OY7">
        <v>6</v>
      </c>
      <c r="OZ7">
        <v>2</v>
      </c>
      <c r="PA7">
        <v>2</v>
      </c>
      <c r="PB7">
        <v>14</v>
      </c>
      <c r="PC7">
        <v>0</v>
      </c>
      <c r="PD7">
        <v>6</v>
      </c>
      <c r="PE7">
        <v>0</v>
      </c>
      <c r="PF7">
        <v>0</v>
      </c>
      <c r="PG7">
        <v>6</v>
      </c>
      <c r="PH7">
        <v>4</v>
      </c>
      <c r="PI7">
        <v>0</v>
      </c>
      <c r="PJ7">
        <v>0</v>
      </c>
      <c r="PK7">
        <v>0</v>
      </c>
      <c r="PL7">
        <v>0</v>
      </c>
      <c r="PM7">
        <v>0</v>
      </c>
      <c r="PN7">
        <v>2</v>
      </c>
      <c r="PO7">
        <v>4</v>
      </c>
      <c r="PP7">
        <v>0</v>
      </c>
      <c r="PQ7">
        <v>16</v>
      </c>
      <c r="PR7">
        <v>2</v>
      </c>
      <c r="PS7">
        <v>4</v>
      </c>
      <c r="PT7">
        <v>0</v>
      </c>
      <c r="PU7">
        <v>12</v>
      </c>
      <c r="PV7">
        <v>0</v>
      </c>
      <c r="PW7">
        <v>2</v>
      </c>
      <c r="PX7">
        <v>0</v>
      </c>
      <c r="PY7">
        <v>10</v>
      </c>
      <c r="PZ7">
        <v>2</v>
      </c>
      <c r="QA7">
        <v>8</v>
      </c>
      <c r="QB7">
        <v>0</v>
      </c>
      <c r="QC7">
        <v>0</v>
      </c>
      <c r="QD7">
        <v>2</v>
      </c>
      <c r="QE7">
        <v>16</v>
      </c>
      <c r="QF7">
        <v>8</v>
      </c>
      <c r="QG7">
        <v>0</v>
      </c>
      <c r="QH7">
        <v>0</v>
      </c>
      <c r="QI7">
        <v>4</v>
      </c>
      <c r="QJ7">
        <v>0</v>
      </c>
      <c r="QK7">
        <v>0</v>
      </c>
      <c r="QL7">
        <v>2</v>
      </c>
      <c r="QM7">
        <v>0</v>
      </c>
      <c r="QN7">
        <v>0</v>
      </c>
      <c r="QO7">
        <v>4</v>
      </c>
      <c r="QP7">
        <v>8</v>
      </c>
      <c r="QQ7">
        <v>0</v>
      </c>
      <c r="QR7">
        <v>0</v>
      </c>
      <c r="QS7">
        <v>14</v>
      </c>
      <c r="QT7">
        <v>4</v>
      </c>
      <c r="QU7">
        <v>4</v>
      </c>
      <c r="QV7">
        <v>4</v>
      </c>
      <c r="QW7">
        <v>2</v>
      </c>
      <c r="QX7">
        <v>0</v>
      </c>
      <c r="QY7">
        <v>10</v>
      </c>
      <c r="QZ7">
        <v>8</v>
      </c>
      <c r="RA7">
        <v>4</v>
      </c>
      <c r="RB7">
        <v>0</v>
      </c>
      <c r="RC7">
        <v>4</v>
      </c>
      <c r="RD7">
        <v>6</v>
      </c>
      <c r="RE7">
        <v>2</v>
      </c>
      <c r="RF7">
        <v>0</v>
      </c>
      <c r="RG7">
        <v>0</v>
      </c>
      <c r="RH7">
        <v>0</v>
      </c>
      <c r="RI7">
        <v>4</v>
      </c>
      <c r="RJ7">
        <v>0</v>
      </c>
      <c r="RK7">
        <v>12</v>
      </c>
      <c r="RL7">
        <v>0</v>
      </c>
      <c r="RM7">
        <v>0</v>
      </c>
      <c r="RN7">
        <v>0</v>
      </c>
      <c r="RO7">
        <v>4</v>
      </c>
      <c r="RP7">
        <v>4</v>
      </c>
      <c r="RQ7">
        <v>2</v>
      </c>
      <c r="RR7">
        <v>6</v>
      </c>
      <c r="RS7">
        <v>6</v>
      </c>
      <c r="RT7">
        <v>2</v>
      </c>
      <c r="RU7">
        <v>0</v>
      </c>
      <c r="RV7">
        <v>4</v>
      </c>
      <c r="RW7">
        <v>0</v>
      </c>
      <c r="RX7">
        <v>0</v>
      </c>
      <c r="RY7">
        <v>4</v>
      </c>
      <c r="RZ7">
        <v>8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14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8</v>
      </c>
      <c r="WG7">
        <v>2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J7" cm="1">
        <f t="array" ref="XJ7:XL7">SUMIFS($M7:$GJ7,$M$1:$GJ$1,XJ$3:XL$3)</f>
        <v>136</v>
      </c>
      <c r="XK7">
        <v>132</v>
      </c>
      <c r="XL7">
        <v>122</v>
      </c>
      <c r="XM7" cm="1">
        <f t="array" ref="XM7">IFERROR(MAX((_xlfn.ANCHORARRAY(XJ7)-AVERAGE(_xlfn.ANCHORARRAY(XJ7)))/ AVERAGE(_xlfn.ANCHORARRAY(XJ7))),0)</f>
        <v>4.6153846153846156E-2</v>
      </c>
      <c r="XN7" t="str" cm="1">
        <f t="array" ref="XN7">IF(XM7&gt;$XN$1,_xlfn.XLOOKUP(MAX(_xlfn.ANCHORARRAY(XJ7)),_xlfn.ANCHORARRAY(XJ7),XJ$4:XL$4,""),"")</f>
        <v/>
      </c>
      <c r="XP7" cm="1">
        <f t="array" ref="XP7:XT7">SUMIFS($M7:$GJ7,$M$3:$GJ$3,XP$3:XT$3)</f>
        <v>94</v>
      </c>
      <c r="XQ7">
        <v>88</v>
      </c>
      <c r="XR7">
        <v>82</v>
      </c>
      <c r="XS7">
        <v>68</v>
      </c>
      <c r="XT7">
        <v>58</v>
      </c>
      <c r="XU7" cm="1">
        <f t="array" ref="XU7">IFERROR(MAX((_xlfn.ANCHORARRAY(XP7)-AVERAGE(_xlfn.ANCHORARRAY(XP7)))/ AVERAGE(_xlfn.ANCHORARRAY(XP7))),0)</f>
        <v>0.20512820512820512</v>
      </c>
      <c r="XV7" t="str" cm="1">
        <f t="array" ref="XV7">IF(AND(XU7&gt;$XV$1,XN7&lt;&gt;""),_xlfn.XLOOKUP(MAX(_xlfn.ANCHORARRAY(XP7)),_xlfn.ANCHORARRAY(XP7),XP$4:XT$4,""),"")</f>
        <v/>
      </c>
      <c r="XX7" cm="1">
        <f t="array" ref="XX7:YG7">SUMIFS($M7:$GJ7,$M$2:$GJ$2,XX$3:YG$3)</f>
        <v>16</v>
      </c>
      <c r="XY7">
        <v>58</v>
      </c>
      <c r="XZ7">
        <v>38</v>
      </c>
      <c r="YA7">
        <v>48</v>
      </c>
      <c r="YB7">
        <v>52</v>
      </c>
      <c r="YC7">
        <v>34</v>
      </c>
      <c r="YD7">
        <v>42</v>
      </c>
      <c r="YE7">
        <v>48</v>
      </c>
      <c r="YF7">
        <v>36</v>
      </c>
      <c r="YG7">
        <v>18</v>
      </c>
      <c r="YH7" cm="1">
        <f t="array" ref="YH7">IFERROR(MAX((_xlfn.ANCHORARRAY(XX7)-AVERAGE(_xlfn.ANCHORARRAY(XX7)))/ AVERAGE(_xlfn.ANCHORARRAY(XX7))),0)</f>
        <v>0.48717948717948717</v>
      </c>
      <c r="YI7" t="str" cm="1">
        <f t="array" ref="YI7">IF(YH7&gt;$YI$1,_xlfn.XLOOKUP(MAX(_xlfn.ANCHORARRAY(XX7)),_xlfn.ANCHORARRAY(XX7),XX$4:YG$4,""),"")</f>
        <v/>
      </c>
      <c r="YK7" t="str">
        <f t="shared" si="11"/>
        <v/>
      </c>
    </row>
    <row r="8" spans="1:661" x14ac:dyDescent="0.3">
      <c r="A8" s="2" t="str">
        <v>75W67Q6100508</v>
      </c>
      <c r="B8" s="2" t="str">
        <f t="shared" si="0"/>
        <v>CHA83</v>
      </c>
      <c r="C8" s="2" t="str">
        <f t="shared" si="2"/>
        <v>NotFound</v>
      </c>
      <c r="D8" s="2" t="str">
        <f t="shared" si="1"/>
        <v>CHA83</v>
      </c>
      <c r="E8" s="2" t="str">
        <f t="shared" si="3"/>
        <v/>
      </c>
      <c r="F8" s="2">
        <f t="shared" si="4"/>
        <v>110</v>
      </c>
      <c r="G8" s="2">
        <f t="shared" si="5"/>
        <v>1</v>
      </c>
      <c r="H8" s="2">
        <f t="shared" si="6"/>
        <v>2</v>
      </c>
      <c r="I8" s="2">
        <f t="shared" si="7"/>
        <v>1</v>
      </c>
      <c r="J8" s="2">
        <f t="shared" si="8"/>
        <v>6</v>
      </c>
      <c r="K8" s="2">
        <f t="shared" si="9"/>
        <v>3</v>
      </c>
      <c r="L8" s="2">
        <f t="shared" si="10"/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 s="13"/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2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 s="13"/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6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J8" cm="1">
        <f t="array" ref="XJ8:XL8">SUMIFS($M8:$GJ8,$M$1:$GJ$1,XJ$3:XL$3)</f>
        <v>4</v>
      </c>
      <c r="XK8">
        <v>2</v>
      </c>
      <c r="XL8">
        <v>0</v>
      </c>
      <c r="XM8" cm="1">
        <f t="array" ref="XM8">IFERROR(MAX((_xlfn.ANCHORARRAY(XJ8)-AVERAGE(_xlfn.ANCHORARRAY(XJ8)))/ AVERAGE(_xlfn.ANCHORARRAY(XJ8))),0)</f>
        <v>1</v>
      </c>
      <c r="XN8" t="str" cm="1">
        <f t="array" ref="XN8">IF(XM8&gt;$XN$1,_xlfn.XLOOKUP(MAX(_xlfn.ANCHORARRAY(XJ8)),_xlfn.ANCHORARRAY(XJ8),XJ$4:XL$4,""),"")</f>
        <v/>
      </c>
      <c r="XP8" cm="1">
        <f t="array" ref="XP8:XT8">SUMIFS($M8:$GJ8,$M$3:$GJ$3,XP$3:XT$3)</f>
        <v>2</v>
      </c>
      <c r="XQ8">
        <v>0</v>
      </c>
      <c r="XR8">
        <v>0</v>
      </c>
      <c r="XS8">
        <v>2</v>
      </c>
      <c r="XT8">
        <v>2</v>
      </c>
      <c r="XU8" cm="1">
        <f t="array" ref="XU8">IFERROR(MAX((_xlfn.ANCHORARRAY(XP8)-AVERAGE(_xlfn.ANCHORARRAY(XP8)))/ AVERAGE(_xlfn.ANCHORARRAY(XP8))),0)</f>
        <v>0.66666666666666674</v>
      </c>
      <c r="XV8" t="str" cm="1">
        <f t="array" ref="XV8">IF(AND(XU8&gt;$XV$1,XN8&lt;&gt;""),_xlfn.XLOOKUP(MAX(_xlfn.ANCHORARRAY(XP8)),_xlfn.ANCHORARRAY(XP8),XP$4:XT$4,""),"")</f>
        <v/>
      </c>
      <c r="XX8" cm="1">
        <f t="array" ref="XX8:YG8">SUMIFS($M8:$GJ8,$M$2:$GJ$2,XX$3:YG$3)</f>
        <v>0</v>
      </c>
      <c r="XY8">
        <v>0</v>
      </c>
      <c r="XZ8">
        <v>0</v>
      </c>
      <c r="YA8">
        <v>2</v>
      </c>
      <c r="YB8">
        <v>0</v>
      </c>
      <c r="YC8">
        <v>2</v>
      </c>
      <c r="YD8">
        <v>0</v>
      </c>
      <c r="YE8">
        <v>2</v>
      </c>
      <c r="YF8">
        <v>0</v>
      </c>
      <c r="YG8">
        <v>0</v>
      </c>
      <c r="YH8" cm="1">
        <f t="array" ref="YH8">IFERROR(MAX((_xlfn.ANCHORARRAY(XX8)-AVERAGE(_xlfn.ANCHORARRAY(XX8)))/ AVERAGE(_xlfn.ANCHORARRAY(XX8))),0)</f>
        <v>2.3333333333333335</v>
      </c>
      <c r="YI8" t="str" cm="1">
        <f t="array" ref="YI8">IF(YH8&gt;$YI$1,_xlfn.XLOOKUP(MAX(_xlfn.ANCHORARRAY(XX8)),_xlfn.ANCHORARRAY(XX8),XX$4:YG$4,""),"")</f>
        <v/>
      </c>
      <c r="YK8" t="str">
        <f t="shared" si="11"/>
        <v/>
      </c>
    </row>
    <row r="9" spans="1:661" x14ac:dyDescent="0.3">
      <c r="A9" s="2" t="str">
        <v>75DE357100108</v>
      </c>
      <c r="B9" s="2" t="str">
        <f t="shared" si="0"/>
        <v>NotFound</v>
      </c>
      <c r="C9" s="2" t="str">
        <f t="shared" si="2"/>
        <v>NotFound</v>
      </c>
      <c r="D9" s="2" t="str">
        <f t="shared" si="1"/>
        <v>NotFound</v>
      </c>
      <c r="E9" s="2" t="str">
        <f t="shared" si="3"/>
        <v/>
      </c>
      <c r="F9" s="2">
        <f t="shared" si="4"/>
        <v>24</v>
      </c>
      <c r="G9" s="2">
        <f t="shared" si="5"/>
        <v>5</v>
      </c>
      <c r="H9" s="2">
        <f t="shared" si="6"/>
        <v>1</v>
      </c>
      <c r="I9" s="2">
        <f t="shared" si="7"/>
        <v>1</v>
      </c>
      <c r="J9" s="2">
        <f t="shared" si="8"/>
        <v>15</v>
      </c>
      <c r="K9" s="2">
        <f t="shared" si="9"/>
        <v>23</v>
      </c>
      <c r="L9" s="2">
        <f t="shared" si="10"/>
        <v>5</v>
      </c>
      <c r="M9">
        <v>5</v>
      </c>
      <c r="N9">
        <v>5</v>
      </c>
      <c r="O9">
        <v>3</v>
      </c>
      <c r="P9">
        <v>2</v>
      </c>
      <c r="Q9">
        <v>0</v>
      </c>
      <c r="R9">
        <v>0</v>
      </c>
      <c r="S9">
        <v>3</v>
      </c>
      <c r="T9">
        <v>2</v>
      </c>
      <c r="U9">
        <v>5</v>
      </c>
      <c r="V9">
        <v>5</v>
      </c>
      <c r="W9">
        <v>4</v>
      </c>
      <c r="X9">
        <v>0</v>
      </c>
      <c r="Y9">
        <v>0</v>
      </c>
      <c r="Z9">
        <v>5</v>
      </c>
      <c r="AA9">
        <v>3</v>
      </c>
      <c r="AB9">
        <v>5</v>
      </c>
      <c r="AC9">
        <v>3</v>
      </c>
      <c r="AD9">
        <v>3</v>
      </c>
      <c r="AE9">
        <v>0</v>
      </c>
      <c r="AF9">
        <v>0</v>
      </c>
      <c r="AG9">
        <v>2</v>
      </c>
      <c r="AH9">
        <v>3</v>
      </c>
      <c r="AI9">
        <v>4</v>
      </c>
      <c r="AJ9">
        <v>4</v>
      </c>
      <c r="AK9">
        <v>3</v>
      </c>
      <c r="AL9">
        <v>0</v>
      </c>
      <c r="AM9">
        <v>0</v>
      </c>
      <c r="AN9">
        <v>4</v>
      </c>
      <c r="AO9">
        <v>3</v>
      </c>
      <c r="AP9">
        <v>3</v>
      </c>
      <c r="AQ9">
        <v>4</v>
      </c>
      <c r="AR9">
        <v>4</v>
      </c>
      <c r="AS9">
        <v>0</v>
      </c>
      <c r="AT9">
        <v>0</v>
      </c>
      <c r="AU9">
        <v>4</v>
      </c>
      <c r="AV9">
        <v>4</v>
      </c>
      <c r="AW9">
        <v>3</v>
      </c>
      <c r="AX9">
        <v>0</v>
      </c>
      <c r="AY9">
        <v>2</v>
      </c>
      <c r="AZ9">
        <v>0</v>
      </c>
      <c r="BA9">
        <v>0</v>
      </c>
      <c r="BB9">
        <v>4</v>
      </c>
      <c r="BC9">
        <v>4</v>
      </c>
      <c r="BD9">
        <v>4</v>
      </c>
      <c r="BE9">
        <v>3</v>
      </c>
      <c r="BF9">
        <v>3</v>
      </c>
      <c r="BG9">
        <v>0</v>
      </c>
      <c r="BH9">
        <v>0</v>
      </c>
      <c r="BI9">
        <v>3</v>
      </c>
      <c r="BJ9">
        <v>5</v>
      </c>
      <c r="BK9">
        <v>5</v>
      </c>
      <c r="BL9">
        <v>3</v>
      </c>
      <c r="BM9">
        <v>4</v>
      </c>
      <c r="BN9">
        <v>0</v>
      </c>
      <c r="BO9">
        <v>0</v>
      </c>
      <c r="BP9">
        <v>4</v>
      </c>
      <c r="BQ9">
        <v>4</v>
      </c>
      <c r="BR9">
        <v>4</v>
      </c>
      <c r="BS9">
        <v>3</v>
      </c>
      <c r="BT9">
        <v>4</v>
      </c>
      <c r="BU9">
        <v>5</v>
      </c>
      <c r="BV9">
        <v>5</v>
      </c>
      <c r="BW9">
        <v>2</v>
      </c>
      <c r="BX9">
        <v>3</v>
      </c>
      <c r="BY9">
        <v>0</v>
      </c>
      <c r="BZ9">
        <v>0</v>
      </c>
      <c r="CA9">
        <v>4</v>
      </c>
      <c r="CB9">
        <v>5</v>
      </c>
      <c r="CC9">
        <v>1</v>
      </c>
      <c r="CD9">
        <v>4</v>
      </c>
      <c r="CE9">
        <v>2</v>
      </c>
      <c r="CF9">
        <v>0</v>
      </c>
      <c r="CG9">
        <v>0</v>
      </c>
      <c r="CH9">
        <v>3</v>
      </c>
      <c r="CI9">
        <v>2</v>
      </c>
      <c r="CJ9">
        <v>2</v>
      </c>
      <c r="CK9">
        <v>4</v>
      </c>
      <c r="CL9">
        <v>4</v>
      </c>
      <c r="CM9">
        <v>0</v>
      </c>
      <c r="CN9">
        <v>0</v>
      </c>
      <c r="CO9">
        <v>4</v>
      </c>
      <c r="CP9">
        <v>4</v>
      </c>
      <c r="CQ9">
        <v>3</v>
      </c>
      <c r="CR9">
        <v>5</v>
      </c>
      <c r="CS9">
        <v>4</v>
      </c>
      <c r="CT9">
        <v>0</v>
      </c>
      <c r="CU9">
        <v>0</v>
      </c>
      <c r="CV9">
        <v>4</v>
      </c>
      <c r="CW9">
        <v>5</v>
      </c>
      <c r="CX9">
        <v>4</v>
      </c>
      <c r="CY9">
        <v>1</v>
      </c>
      <c r="CZ9">
        <v>4</v>
      </c>
      <c r="DA9">
        <v>0</v>
      </c>
      <c r="DB9">
        <v>0</v>
      </c>
      <c r="DC9">
        <v>5</v>
      </c>
      <c r="DD9">
        <v>3</v>
      </c>
      <c r="DE9">
        <v>2</v>
      </c>
      <c r="DF9">
        <v>4</v>
      </c>
      <c r="DG9">
        <v>2</v>
      </c>
      <c r="DH9">
        <v>0</v>
      </c>
      <c r="DI9">
        <v>0</v>
      </c>
      <c r="DJ9">
        <v>2</v>
      </c>
      <c r="DK9">
        <v>2</v>
      </c>
      <c r="DL9">
        <v>3</v>
      </c>
      <c r="DM9">
        <v>3</v>
      </c>
      <c r="DN9">
        <v>5</v>
      </c>
      <c r="DO9">
        <v>0</v>
      </c>
      <c r="DP9">
        <v>0</v>
      </c>
      <c r="DQ9">
        <v>4</v>
      </c>
      <c r="DR9">
        <v>5</v>
      </c>
      <c r="DS9">
        <v>3</v>
      </c>
      <c r="DT9">
        <v>3</v>
      </c>
      <c r="DU9">
        <v>3</v>
      </c>
      <c r="DV9">
        <v>0</v>
      </c>
      <c r="DW9">
        <v>0</v>
      </c>
      <c r="DX9">
        <v>4</v>
      </c>
      <c r="DY9">
        <v>4</v>
      </c>
      <c r="DZ9">
        <v>3</v>
      </c>
      <c r="EA9">
        <v>3</v>
      </c>
      <c r="EB9">
        <v>3</v>
      </c>
      <c r="EC9">
        <v>2</v>
      </c>
      <c r="ED9">
        <v>2</v>
      </c>
      <c r="EE9">
        <v>4</v>
      </c>
      <c r="EF9">
        <v>1</v>
      </c>
      <c r="EG9">
        <v>0</v>
      </c>
      <c r="EH9">
        <v>0</v>
      </c>
      <c r="EI9">
        <v>4</v>
      </c>
      <c r="EJ9">
        <v>4</v>
      </c>
      <c r="EK9">
        <v>5</v>
      </c>
      <c r="EL9">
        <v>2</v>
      </c>
      <c r="EM9">
        <v>5</v>
      </c>
      <c r="EN9">
        <v>0</v>
      </c>
      <c r="EO9">
        <v>0</v>
      </c>
      <c r="EP9">
        <v>5</v>
      </c>
      <c r="EQ9">
        <v>4</v>
      </c>
      <c r="ER9">
        <v>4</v>
      </c>
      <c r="ES9">
        <v>3</v>
      </c>
      <c r="ET9">
        <v>5</v>
      </c>
      <c r="EU9">
        <v>0</v>
      </c>
      <c r="EV9">
        <v>0</v>
      </c>
      <c r="EW9">
        <v>3</v>
      </c>
      <c r="EX9">
        <v>4</v>
      </c>
      <c r="EY9">
        <v>3</v>
      </c>
      <c r="EZ9">
        <v>4</v>
      </c>
      <c r="FA9">
        <v>4</v>
      </c>
      <c r="FB9">
        <v>0</v>
      </c>
      <c r="FC9">
        <v>0</v>
      </c>
      <c r="FD9">
        <v>4</v>
      </c>
      <c r="FE9">
        <v>4</v>
      </c>
      <c r="FF9">
        <v>3</v>
      </c>
      <c r="FG9">
        <v>2</v>
      </c>
      <c r="FH9">
        <v>4</v>
      </c>
      <c r="FI9">
        <v>0</v>
      </c>
      <c r="FJ9">
        <v>0</v>
      </c>
      <c r="FK9">
        <v>5</v>
      </c>
      <c r="FL9">
        <v>2</v>
      </c>
      <c r="FM9">
        <v>3</v>
      </c>
      <c r="FN9">
        <v>4</v>
      </c>
      <c r="FO9">
        <v>2</v>
      </c>
      <c r="FP9">
        <v>0</v>
      </c>
      <c r="FQ9">
        <v>0</v>
      </c>
      <c r="FR9">
        <v>2</v>
      </c>
      <c r="FS9">
        <v>5</v>
      </c>
      <c r="FT9">
        <v>4</v>
      </c>
      <c r="FU9">
        <v>1</v>
      </c>
      <c r="FV9">
        <v>1</v>
      </c>
      <c r="FW9">
        <v>0</v>
      </c>
      <c r="FX9">
        <v>0</v>
      </c>
      <c r="FY9">
        <v>5</v>
      </c>
      <c r="FZ9">
        <v>4</v>
      </c>
      <c r="GA9">
        <v>3</v>
      </c>
      <c r="GB9">
        <v>4</v>
      </c>
      <c r="GC9">
        <v>4</v>
      </c>
      <c r="GD9">
        <v>0</v>
      </c>
      <c r="GE9">
        <v>0</v>
      </c>
      <c r="GF9">
        <v>4</v>
      </c>
      <c r="GG9">
        <v>4</v>
      </c>
      <c r="GH9">
        <v>4</v>
      </c>
      <c r="GI9">
        <v>4</v>
      </c>
      <c r="GJ9">
        <v>4</v>
      </c>
      <c r="GK9" s="13"/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1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1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 s="13"/>
      <c r="NK9">
        <v>14</v>
      </c>
      <c r="NL9">
        <v>4</v>
      </c>
      <c r="NM9">
        <v>5</v>
      </c>
      <c r="NN9">
        <v>0</v>
      </c>
      <c r="NO9">
        <v>5</v>
      </c>
      <c r="NP9">
        <v>4</v>
      </c>
      <c r="NQ9">
        <v>4</v>
      </c>
      <c r="NR9">
        <v>5</v>
      </c>
      <c r="NS9">
        <v>0</v>
      </c>
      <c r="NT9">
        <v>2</v>
      </c>
      <c r="NU9">
        <v>2</v>
      </c>
      <c r="NV9">
        <v>10</v>
      </c>
      <c r="NW9">
        <v>0</v>
      </c>
      <c r="NX9">
        <v>3</v>
      </c>
      <c r="NY9">
        <v>9</v>
      </c>
      <c r="NZ9">
        <v>2</v>
      </c>
      <c r="OA9">
        <v>0</v>
      </c>
      <c r="OB9">
        <v>3</v>
      </c>
      <c r="OC9">
        <v>4</v>
      </c>
      <c r="OD9">
        <v>0</v>
      </c>
      <c r="OE9">
        <v>8</v>
      </c>
      <c r="OF9">
        <v>3</v>
      </c>
      <c r="OG9">
        <v>2</v>
      </c>
      <c r="OH9">
        <v>1</v>
      </c>
      <c r="OI9">
        <v>15</v>
      </c>
      <c r="OJ9">
        <v>1</v>
      </c>
      <c r="OK9">
        <v>0</v>
      </c>
      <c r="OL9">
        <v>12</v>
      </c>
      <c r="OM9">
        <v>0</v>
      </c>
      <c r="ON9">
        <v>2</v>
      </c>
      <c r="OO9">
        <v>0</v>
      </c>
      <c r="OP9">
        <v>8</v>
      </c>
      <c r="OQ9">
        <v>4</v>
      </c>
      <c r="OR9">
        <v>7</v>
      </c>
      <c r="OS9">
        <v>10</v>
      </c>
      <c r="OT9">
        <v>3</v>
      </c>
      <c r="OU9">
        <v>0</v>
      </c>
      <c r="OV9">
        <v>2</v>
      </c>
      <c r="OW9">
        <v>3</v>
      </c>
      <c r="OX9">
        <v>3</v>
      </c>
      <c r="OY9">
        <v>9</v>
      </c>
      <c r="OZ9">
        <v>4</v>
      </c>
      <c r="PA9">
        <v>4</v>
      </c>
      <c r="PB9">
        <v>0</v>
      </c>
      <c r="PC9">
        <v>9</v>
      </c>
      <c r="PD9">
        <v>4</v>
      </c>
      <c r="PE9">
        <v>1</v>
      </c>
      <c r="PF9">
        <v>0</v>
      </c>
      <c r="PG9">
        <v>1</v>
      </c>
      <c r="PH9">
        <v>3</v>
      </c>
      <c r="PI9">
        <v>0</v>
      </c>
      <c r="PJ9">
        <v>2</v>
      </c>
      <c r="PK9">
        <v>5</v>
      </c>
      <c r="PL9">
        <v>9</v>
      </c>
      <c r="PM9">
        <v>0</v>
      </c>
      <c r="PN9">
        <v>8</v>
      </c>
      <c r="PO9">
        <v>5</v>
      </c>
      <c r="PP9">
        <v>0</v>
      </c>
      <c r="PQ9">
        <v>1</v>
      </c>
      <c r="PR9">
        <v>0</v>
      </c>
      <c r="PS9">
        <v>3</v>
      </c>
      <c r="PT9">
        <v>8</v>
      </c>
      <c r="PU9">
        <v>0</v>
      </c>
      <c r="PV9">
        <v>2</v>
      </c>
      <c r="PW9">
        <v>2</v>
      </c>
      <c r="PX9">
        <v>0</v>
      </c>
      <c r="PY9">
        <v>3</v>
      </c>
      <c r="PZ9">
        <v>0</v>
      </c>
      <c r="QA9">
        <v>4</v>
      </c>
      <c r="QB9">
        <v>6</v>
      </c>
      <c r="QC9">
        <v>9</v>
      </c>
      <c r="QD9">
        <v>2</v>
      </c>
      <c r="QE9">
        <v>9</v>
      </c>
      <c r="QF9">
        <v>0</v>
      </c>
      <c r="QG9">
        <v>11</v>
      </c>
      <c r="QH9">
        <v>4</v>
      </c>
      <c r="QI9">
        <v>4</v>
      </c>
      <c r="QJ9">
        <v>0</v>
      </c>
      <c r="QK9">
        <v>1</v>
      </c>
      <c r="QL9">
        <v>0</v>
      </c>
      <c r="QM9">
        <v>1</v>
      </c>
      <c r="QN9">
        <v>2</v>
      </c>
      <c r="QO9">
        <v>4</v>
      </c>
      <c r="QP9">
        <v>9</v>
      </c>
      <c r="QQ9">
        <v>14</v>
      </c>
      <c r="QR9">
        <v>4</v>
      </c>
      <c r="QS9">
        <v>3</v>
      </c>
      <c r="QT9">
        <v>0</v>
      </c>
      <c r="QU9">
        <v>2</v>
      </c>
      <c r="QV9">
        <v>3</v>
      </c>
      <c r="QW9">
        <v>7</v>
      </c>
      <c r="QX9">
        <v>8</v>
      </c>
      <c r="QY9">
        <v>2</v>
      </c>
      <c r="QZ9">
        <v>6</v>
      </c>
      <c r="RA9">
        <v>0</v>
      </c>
      <c r="RB9">
        <v>0</v>
      </c>
      <c r="RC9">
        <v>5</v>
      </c>
      <c r="RD9">
        <v>0</v>
      </c>
      <c r="RE9">
        <v>0</v>
      </c>
      <c r="RF9">
        <v>5</v>
      </c>
      <c r="RG9">
        <v>11</v>
      </c>
      <c r="RH9">
        <v>0</v>
      </c>
      <c r="RI9">
        <v>4</v>
      </c>
      <c r="RJ9">
        <v>10</v>
      </c>
      <c r="RK9">
        <v>2</v>
      </c>
      <c r="RL9">
        <v>4</v>
      </c>
      <c r="RM9">
        <v>0</v>
      </c>
      <c r="RN9">
        <v>0</v>
      </c>
      <c r="RO9">
        <v>0</v>
      </c>
      <c r="RP9">
        <v>11</v>
      </c>
      <c r="RQ9">
        <v>0</v>
      </c>
      <c r="RR9">
        <v>3</v>
      </c>
      <c r="RS9">
        <v>8</v>
      </c>
      <c r="RT9">
        <v>3</v>
      </c>
      <c r="RU9">
        <v>1</v>
      </c>
      <c r="RV9">
        <v>0</v>
      </c>
      <c r="RW9">
        <v>6</v>
      </c>
      <c r="RX9">
        <v>5</v>
      </c>
      <c r="RY9">
        <v>5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10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5</v>
      </c>
      <c r="WF9">
        <v>0</v>
      </c>
      <c r="WG9">
        <v>0</v>
      </c>
      <c r="WH9">
        <v>5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J9" cm="1">
        <f t="array" ref="XJ9:XL9">SUMIFS($M9:$GJ9,$M$1:$GJ$1,XJ$3:XL$3)</f>
        <v>157</v>
      </c>
      <c r="XK9">
        <v>150</v>
      </c>
      <c r="XL9">
        <v>154</v>
      </c>
      <c r="XM9" cm="1">
        <f t="array" ref="XM9">IFERROR(MAX((_xlfn.ANCHORARRAY(XJ9)-AVERAGE(_xlfn.ANCHORARRAY(XJ9)))/ AVERAGE(_xlfn.ANCHORARRAY(XJ9))),0)</f>
        <v>2.1691973969631299E-2</v>
      </c>
      <c r="XN9" t="str" cm="1">
        <f t="array" ref="XN9">IF(XM9&gt;$XN$1,_xlfn.XLOOKUP(MAX(_xlfn.ANCHORARRAY(XJ9)),_xlfn.ANCHORARRAY(XJ9),XJ$4:XL$4,""),"")</f>
        <v/>
      </c>
      <c r="XP9" cm="1">
        <f t="array" ref="XP9:XT9">SUMIFS($M9:$GJ9,$M$3:$GJ$3,XP$3:XT$3)</f>
        <v>97</v>
      </c>
      <c r="XQ9">
        <v>101</v>
      </c>
      <c r="XR9">
        <v>91</v>
      </c>
      <c r="XS9">
        <v>89</v>
      </c>
      <c r="XT9">
        <v>83</v>
      </c>
      <c r="XU9" cm="1">
        <f t="array" ref="XU9">IFERROR(MAX((_xlfn.ANCHORARRAY(XP9)-AVERAGE(_xlfn.ANCHORARRAY(XP9)))/ AVERAGE(_xlfn.ANCHORARRAY(XP9))),0)</f>
        <v>9.544468546637741E-2</v>
      </c>
      <c r="XV9" t="str" cm="1">
        <f t="array" ref="XV9">IF(AND(XU9&gt;$XV$1,XN9&lt;&gt;""),_xlfn.XLOOKUP(MAX(_xlfn.ANCHORARRAY(XP9)),_xlfn.ANCHORARRAY(XP9),XP$4:XT$4,""),"")</f>
        <v/>
      </c>
      <c r="XX9" cm="1">
        <f t="array" ref="XX9:YG9">SUMIFS($M9:$GJ9,$M$2:$GJ$2,XX$3:YG$3)</f>
        <v>24</v>
      </c>
      <c r="XY9">
        <v>59</v>
      </c>
      <c r="XZ9">
        <v>54</v>
      </c>
      <c r="YA9">
        <v>55</v>
      </c>
      <c r="YB9">
        <v>52</v>
      </c>
      <c r="YC9">
        <v>51</v>
      </c>
      <c r="YD9">
        <v>43</v>
      </c>
      <c r="YE9">
        <v>56</v>
      </c>
      <c r="YF9">
        <v>46</v>
      </c>
      <c r="YG9">
        <v>21</v>
      </c>
      <c r="YH9" cm="1">
        <f t="array" ref="YH9">IFERROR(MAX((_xlfn.ANCHORARRAY(XX9)-AVERAGE(_xlfn.ANCHORARRAY(XX9)))/ AVERAGE(_xlfn.ANCHORARRAY(XX9))),0)</f>
        <v>0.27982646420824292</v>
      </c>
      <c r="YI9" t="str" cm="1">
        <f t="array" ref="YI9">IF(YH9&gt;$YI$1,_xlfn.XLOOKUP(MAX(_xlfn.ANCHORARRAY(XX9)),_xlfn.ANCHORARRAY(XX9),XX$4:YG$4,""),"")</f>
        <v/>
      </c>
      <c r="YK9" t="str">
        <f t="shared" si="11"/>
        <v/>
      </c>
    </row>
    <row r="10" spans="1:661" x14ac:dyDescent="0.3">
      <c r="A10" s="2" t="str">
        <v>759B5H7700068</v>
      </c>
      <c r="B10" s="2" t="str">
        <f t="shared" si="0"/>
        <v>CHA149</v>
      </c>
      <c r="C10" s="2" t="str">
        <f t="shared" si="2"/>
        <v>CHA149</v>
      </c>
      <c r="D10" s="2" t="str">
        <f t="shared" si="1"/>
        <v>CHA69</v>
      </c>
      <c r="E10" s="2" t="str">
        <f t="shared" si="3"/>
        <v/>
      </c>
      <c r="F10" s="2">
        <f t="shared" si="4"/>
        <v>99</v>
      </c>
      <c r="G10" s="2">
        <f t="shared" si="5"/>
        <v>1</v>
      </c>
      <c r="H10" s="2">
        <f t="shared" si="6"/>
        <v>2</v>
      </c>
      <c r="I10" s="2">
        <f t="shared" si="7"/>
        <v>1</v>
      </c>
      <c r="J10" s="2">
        <f t="shared" si="8"/>
        <v>3</v>
      </c>
      <c r="K10" s="2">
        <f t="shared" si="9"/>
        <v>1</v>
      </c>
      <c r="L10" s="2">
        <f t="shared" si="10"/>
        <v>3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2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2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1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1</v>
      </c>
      <c r="FF10">
        <v>3</v>
      </c>
      <c r="FG10">
        <v>0</v>
      </c>
      <c r="FH10">
        <v>1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 s="13"/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2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1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 s="13"/>
      <c r="NK10">
        <v>1</v>
      </c>
      <c r="NL10">
        <v>0</v>
      </c>
      <c r="NM10">
        <v>0</v>
      </c>
      <c r="NN10">
        <v>0</v>
      </c>
      <c r="NO10">
        <v>1</v>
      </c>
      <c r="NP10">
        <v>1</v>
      </c>
      <c r="NQ10">
        <v>0</v>
      </c>
      <c r="NR10">
        <v>2</v>
      </c>
      <c r="NS10">
        <v>0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1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1</v>
      </c>
      <c r="OK10">
        <v>0</v>
      </c>
      <c r="OL10">
        <v>0</v>
      </c>
      <c r="OM10">
        <v>2</v>
      </c>
      <c r="ON10">
        <v>0</v>
      </c>
      <c r="OO10">
        <v>0</v>
      </c>
      <c r="OP10">
        <v>1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0</v>
      </c>
      <c r="OX10">
        <v>0</v>
      </c>
      <c r="OY10">
        <v>1</v>
      </c>
      <c r="OZ10">
        <v>0</v>
      </c>
      <c r="PA10">
        <v>0</v>
      </c>
      <c r="PB10">
        <v>0</v>
      </c>
      <c r="PC10">
        <v>1</v>
      </c>
      <c r="PD10">
        <v>1</v>
      </c>
      <c r="PE10">
        <v>1</v>
      </c>
      <c r="PF10">
        <v>0</v>
      </c>
      <c r="PG10">
        <v>0</v>
      </c>
      <c r="PH10">
        <v>1</v>
      </c>
      <c r="PI10">
        <v>1</v>
      </c>
      <c r="PJ10">
        <v>0</v>
      </c>
      <c r="PK10">
        <v>0</v>
      </c>
      <c r="PL10">
        <v>1</v>
      </c>
      <c r="PM10">
        <v>0</v>
      </c>
      <c r="PN10">
        <v>0</v>
      </c>
      <c r="PO10">
        <v>1</v>
      </c>
      <c r="PP10">
        <v>0</v>
      </c>
      <c r="PQ10">
        <v>0</v>
      </c>
      <c r="PR10">
        <v>0</v>
      </c>
      <c r="PS10">
        <v>0</v>
      </c>
      <c r="PT10">
        <v>1</v>
      </c>
      <c r="PU10">
        <v>0</v>
      </c>
      <c r="PV10">
        <v>0</v>
      </c>
      <c r="PW10">
        <v>0</v>
      </c>
      <c r="PX10">
        <v>1</v>
      </c>
      <c r="PY10">
        <v>1</v>
      </c>
      <c r="PZ10">
        <v>0</v>
      </c>
      <c r="QA10">
        <v>0</v>
      </c>
      <c r="QB10">
        <v>1</v>
      </c>
      <c r="QC10">
        <v>0</v>
      </c>
      <c r="QD10">
        <v>0</v>
      </c>
      <c r="QE10">
        <v>0</v>
      </c>
      <c r="QF10">
        <v>0</v>
      </c>
      <c r="QG10">
        <v>1</v>
      </c>
      <c r="QH10">
        <v>0</v>
      </c>
      <c r="QI10">
        <v>0</v>
      </c>
      <c r="QJ10">
        <v>0</v>
      </c>
      <c r="QK10">
        <v>1</v>
      </c>
      <c r="QL10">
        <v>0</v>
      </c>
      <c r="QM10">
        <v>0</v>
      </c>
      <c r="QN10">
        <v>1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2</v>
      </c>
      <c r="QW10">
        <v>1</v>
      </c>
      <c r="QX10">
        <v>1</v>
      </c>
      <c r="QY10">
        <v>1</v>
      </c>
      <c r="QZ10">
        <v>0</v>
      </c>
      <c r="RA10">
        <v>0</v>
      </c>
      <c r="RB10">
        <v>2</v>
      </c>
      <c r="RC10">
        <v>0</v>
      </c>
      <c r="RD10">
        <v>0</v>
      </c>
      <c r="RE10">
        <v>0</v>
      </c>
      <c r="RF10">
        <v>3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1</v>
      </c>
      <c r="RS10">
        <v>1</v>
      </c>
      <c r="RT10">
        <v>1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2</v>
      </c>
      <c r="WF10">
        <v>1</v>
      </c>
      <c r="WG10">
        <v>2</v>
      </c>
      <c r="WH10">
        <v>2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J10" cm="1">
        <f t="array" ref="XJ10:XL10">SUMIFS($M10:$GJ10,$M$1:$GJ$1,XJ$3:XL$3)</f>
        <v>21</v>
      </c>
      <c r="XK10">
        <v>16</v>
      </c>
      <c r="XL10">
        <v>15</v>
      </c>
      <c r="XM10" cm="1">
        <f t="array" ref="XM10">IFERROR(MAX((_xlfn.ANCHORARRAY(XJ10)-AVERAGE(_xlfn.ANCHORARRAY(XJ10)))/ AVERAGE(_xlfn.ANCHORARRAY(XJ10))),0)</f>
        <v>0.21153846153846162</v>
      </c>
      <c r="XN10" t="str" cm="1">
        <f t="array" ref="XN10">IF(XM10&gt;$XN$1,_xlfn.XLOOKUP(MAX(_xlfn.ANCHORARRAY(XJ10)),_xlfn.ANCHORARRAY(XJ10),XJ$4:XL$4,""),"")</f>
        <v/>
      </c>
      <c r="XP10" cm="1">
        <f t="array" ref="XP10:XT10">SUMIFS($M10:$GJ10,$M$3:$GJ$3,XP$3:XT$3)</f>
        <v>12</v>
      </c>
      <c r="XQ10">
        <v>10</v>
      </c>
      <c r="XR10">
        <v>15</v>
      </c>
      <c r="XS10">
        <v>8</v>
      </c>
      <c r="XT10">
        <v>7</v>
      </c>
      <c r="XU10" cm="1">
        <f t="array" ref="XU10">IFERROR(MAX((_xlfn.ANCHORARRAY(XP10)-AVERAGE(_xlfn.ANCHORARRAY(XP10)))/ AVERAGE(_xlfn.ANCHORARRAY(XP10))),0)</f>
        <v>0.44230769230769224</v>
      </c>
      <c r="XV10" t="str" cm="1">
        <f t="array" ref="XV10">IF(AND(XU10&gt;$XV$1,XN10&lt;&gt;""),_xlfn.XLOOKUP(MAX(_xlfn.ANCHORARRAY(XP10)),_xlfn.ANCHORARRAY(XP10),XP$4:XT$4,""),"")</f>
        <v/>
      </c>
      <c r="XX10" cm="1">
        <f t="array" ref="XX10:YG10">SUMIFS($M10:$GJ10,$M$2:$GJ$2,XX$3:YG$3)</f>
        <v>4</v>
      </c>
      <c r="XY10">
        <v>10</v>
      </c>
      <c r="XZ10">
        <v>7</v>
      </c>
      <c r="YA10">
        <v>6</v>
      </c>
      <c r="YB10">
        <v>7</v>
      </c>
      <c r="YC10">
        <v>6</v>
      </c>
      <c r="YD10">
        <v>2</v>
      </c>
      <c r="YE10">
        <v>6</v>
      </c>
      <c r="YF10">
        <v>3</v>
      </c>
      <c r="YG10">
        <v>1</v>
      </c>
      <c r="YH10" cm="1">
        <f t="array" ref="YH10">IFERROR(MAX((_xlfn.ANCHORARRAY(XX10)-AVERAGE(_xlfn.ANCHORARRAY(XX10)))/ AVERAGE(_xlfn.ANCHORARRAY(XX10))),0)</f>
        <v>0.92307692307692302</v>
      </c>
      <c r="YI10" t="str" cm="1">
        <f t="array" ref="YI10">IF(YH10&gt;$YI$1,_xlfn.XLOOKUP(MAX(_xlfn.ANCHORARRAY(XX10)),_xlfn.ANCHORARRAY(XX10),XX$4:YG$4,""),"")</f>
        <v/>
      </c>
      <c r="YK10" t="str">
        <f t="shared" si="11"/>
        <v/>
      </c>
    </row>
    <row r="11" spans="1:661" x14ac:dyDescent="0.3">
      <c r="A11" s="2" t="str">
        <v>74SC153000062</v>
      </c>
      <c r="B11" s="2" t="str">
        <f t="shared" si="0"/>
        <v>NotFound</v>
      </c>
      <c r="C11" s="2" t="str">
        <f t="shared" si="2"/>
        <v>NotFound</v>
      </c>
      <c r="D11" s="2" t="str">
        <f t="shared" si="1"/>
        <v>NotFound</v>
      </c>
      <c r="E11" s="2" t="str">
        <f t="shared" si="3"/>
        <v/>
      </c>
      <c r="F11" s="2">
        <f t="shared" si="4"/>
        <v>47</v>
      </c>
      <c r="G11" s="2">
        <f t="shared" si="5"/>
        <v>4</v>
      </c>
      <c r="H11" s="2">
        <f t="shared" si="6"/>
        <v>1</v>
      </c>
      <c r="I11" s="2">
        <f t="shared" si="7"/>
        <v>1</v>
      </c>
      <c r="J11" s="2">
        <f t="shared" si="8"/>
        <v>4</v>
      </c>
      <c r="K11" s="2">
        <f t="shared" si="9"/>
        <v>4</v>
      </c>
      <c r="L11" s="2">
        <f t="shared" si="10"/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0</v>
      </c>
      <c r="GK11" s="13"/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1</v>
      </c>
      <c r="NI11">
        <v>0</v>
      </c>
      <c r="NJ11" s="13"/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4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J11" cm="1">
        <f t="array" ref="XJ11:XL11">SUMIFS($M11:$GJ11,$M$1:$GJ$1,XJ$3:XL$3)</f>
        <v>2</v>
      </c>
      <c r="XK11">
        <v>0</v>
      </c>
      <c r="XL11">
        <v>2</v>
      </c>
      <c r="XM11" cm="1">
        <f t="array" ref="XM11">IFERROR(MAX((_xlfn.ANCHORARRAY(XJ11)-AVERAGE(_xlfn.ANCHORARRAY(XJ11)))/ AVERAGE(_xlfn.ANCHORARRAY(XJ11))),0)</f>
        <v>0.50000000000000011</v>
      </c>
      <c r="XN11" t="str" cm="1">
        <f t="array" ref="XN11">IF(XM11&gt;$XN$1,_xlfn.XLOOKUP(MAX(_xlfn.ANCHORARRAY(XJ11)),_xlfn.ANCHORARRAY(XJ11),XJ$4:XL$4,""),"")</f>
        <v/>
      </c>
      <c r="XP11" cm="1">
        <f t="array" ref="XP11:XT11">SUMIFS($M11:$GJ11,$M$3:$GJ$3,XP$3:XT$3)</f>
        <v>2</v>
      </c>
      <c r="XQ11">
        <v>0</v>
      </c>
      <c r="XR11">
        <v>1</v>
      </c>
      <c r="XS11">
        <v>0</v>
      </c>
      <c r="XT11">
        <v>1</v>
      </c>
      <c r="XU11" cm="1">
        <f t="array" ref="XU11">IFERROR(MAX((_xlfn.ANCHORARRAY(XP11)-AVERAGE(_xlfn.ANCHORARRAY(XP11)))/ AVERAGE(_xlfn.ANCHORARRAY(XP11))),0)</f>
        <v>1.4999999999999998</v>
      </c>
      <c r="XV11" t="str" cm="1">
        <f t="array" ref="XV11">IF(AND(XU11&gt;$XV$1,XN11&lt;&gt;""),_xlfn.XLOOKUP(MAX(_xlfn.ANCHORARRAY(XP11)),_xlfn.ANCHORARRAY(XP11),XP$4:XT$4,""),"")</f>
        <v/>
      </c>
      <c r="XX11" cm="1">
        <f t="array" ref="XX11:YG11">SUMIFS($M11:$GJ11,$M$2:$GJ$2,XX$3:YG$3)</f>
        <v>0</v>
      </c>
      <c r="XY11">
        <v>1</v>
      </c>
      <c r="XZ11">
        <v>2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1</v>
      </c>
      <c r="YH11" cm="1">
        <f t="array" ref="YH11">IFERROR(MAX((_xlfn.ANCHORARRAY(XX11)-AVERAGE(_xlfn.ANCHORARRAY(XX11)))/ AVERAGE(_xlfn.ANCHORARRAY(XX11))),0)</f>
        <v>4</v>
      </c>
      <c r="YI11" t="str" cm="1">
        <f t="array" ref="YI11">IF(YH11&gt;$YI$1,_xlfn.XLOOKUP(MAX(_xlfn.ANCHORARRAY(XX11)),_xlfn.ANCHORARRAY(XX11),XX$4:YG$4,""),"")</f>
        <v/>
      </c>
      <c r="YK11" t="str">
        <f t="shared" si="11"/>
        <v/>
      </c>
    </row>
    <row r="12" spans="1:661" x14ac:dyDescent="0.3">
      <c r="A12" s="2"/>
      <c r="B12" s="2" t="str">
        <f t="shared" si="0"/>
        <v>CHA</v>
      </c>
      <c r="C12" s="2" t="str">
        <f t="shared" si="2"/>
        <v>CHA</v>
      </c>
      <c r="D12" s="2" t="str">
        <f t="shared" si="1"/>
        <v>CHA</v>
      </c>
      <c r="E12" s="2" t="str">
        <f t="shared" si="3"/>
        <v/>
      </c>
      <c r="F12" s="2" t="str">
        <f t="shared" si="4"/>
        <v/>
      </c>
      <c r="G12" s="2">
        <f t="shared" si="5"/>
        <v>0</v>
      </c>
      <c r="H12" s="2">
        <f t="shared" si="6"/>
        <v>0</v>
      </c>
      <c r="I12" s="2">
        <f t="shared" si="7"/>
        <v>0</v>
      </c>
      <c r="J12" s="2">
        <f t="shared" si="8"/>
        <v>0</v>
      </c>
      <c r="K12" s="2">
        <f t="shared" si="9"/>
        <v>0</v>
      </c>
      <c r="L12" s="2">
        <f t="shared" si="10"/>
        <v>0</v>
      </c>
      <c r="GK12" s="13"/>
      <c r="NJ12" s="13"/>
      <c r="XJ12" cm="1">
        <f t="array" ref="XJ12:XL12">SUMIFS($M12:$GJ12,$M$1:$GJ$1,XJ$3:XL$3)</f>
        <v>0</v>
      </c>
      <c r="XK12">
        <v>0</v>
      </c>
      <c r="XL12">
        <v>0</v>
      </c>
      <c r="XM12" cm="1">
        <f t="array" ref="XM12">IFERROR(MAX((_xlfn.ANCHORARRAY(XJ12)-AVERAGE(_xlfn.ANCHORARRAY(XJ12)))/ AVERAGE(_xlfn.ANCHORARRAY(XJ12))),0)</f>
        <v>0</v>
      </c>
      <c r="XN12" t="str" cm="1">
        <f t="array" ref="XN12">IF(XM12&gt;$XN$1,_xlfn.XLOOKUP(MAX(_xlfn.ANCHORARRAY(XJ12)),_xlfn.ANCHORARRAY(XJ12),XJ$4:XL$4,""),"")</f>
        <v/>
      </c>
      <c r="XP12" cm="1">
        <f t="array" ref="XP12:XT12">SUMIFS($M12:$GJ12,$M$3:$GJ$3,XP$3:XT$3)</f>
        <v>0</v>
      </c>
      <c r="XQ12">
        <v>0</v>
      </c>
      <c r="XR12">
        <v>0</v>
      </c>
      <c r="XS12">
        <v>0</v>
      </c>
      <c r="XT12">
        <v>0</v>
      </c>
      <c r="XU12" cm="1">
        <f t="array" ref="XU12">IFERROR(MAX((_xlfn.ANCHORARRAY(XP12)-AVERAGE(_xlfn.ANCHORARRAY(XP12)))/ AVERAGE(_xlfn.ANCHORARRAY(XP12))),0)</f>
        <v>0</v>
      </c>
      <c r="XV12" t="str" cm="1">
        <f t="array" ref="XV12">IF(AND(XU12&gt;$XV$1,XN12&lt;&gt;""),_xlfn.XLOOKUP(MAX(_xlfn.ANCHORARRAY(XP12)),_xlfn.ANCHORARRAY(XP12),XP$4:XT$4,""),"")</f>
        <v/>
      </c>
      <c r="XX12" cm="1">
        <f t="array" ref="XX12:YG12">SUMIFS($M12:$GJ12,$M$2:$GJ$2,XX$3:YG$3)</f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 cm="1">
        <f t="array" ref="YH12">IFERROR(MAX((_xlfn.ANCHORARRAY(XX12)-AVERAGE(_xlfn.ANCHORARRAY(XX12)))/ AVERAGE(_xlfn.ANCHORARRAY(XX12))),0)</f>
        <v>0</v>
      </c>
      <c r="YI12" t="str" cm="1">
        <f t="array" ref="YI12">IF(YH12&gt;$YI$1,_xlfn.XLOOKUP(MAX(_xlfn.ANCHORARRAY(XX12)),_xlfn.ANCHORARRAY(XX12),XX$4:YG$4,""),"")</f>
        <v/>
      </c>
      <c r="YK12" t="str">
        <f t="shared" si="11"/>
        <v/>
      </c>
    </row>
    <row r="13" spans="1:661" x14ac:dyDescent="0.3">
      <c r="A13" s="2"/>
      <c r="B13" s="2" t="str">
        <f t="shared" si="0"/>
        <v>CHA</v>
      </c>
      <c r="C13" s="2" t="str">
        <f t="shared" si="2"/>
        <v>CHA</v>
      </c>
      <c r="D13" s="2" t="str">
        <f t="shared" si="1"/>
        <v>CHA</v>
      </c>
      <c r="E13" s="2" t="str">
        <f t="shared" si="3"/>
        <v/>
      </c>
      <c r="F13" s="2" t="str">
        <f t="shared" si="4"/>
        <v/>
      </c>
      <c r="G13" s="2">
        <f t="shared" si="5"/>
        <v>0</v>
      </c>
      <c r="H13" s="2">
        <f t="shared" si="6"/>
        <v>0</v>
      </c>
      <c r="I13" s="2">
        <f t="shared" si="7"/>
        <v>0</v>
      </c>
      <c r="J13" s="2">
        <f t="shared" si="8"/>
        <v>0</v>
      </c>
      <c r="K13" s="2">
        <f t="shared" si="9"/>
        <v>0</v>
      </c>
      <c r="L13" s="2">
        <f t="shared" si="10"/>
        <v>0</v>
      </c>
      <c r="GK13" s="13"/>
      <c r="NJ13" s="13"/>
      <c r="XJ13" cm="1">
        <f t="array" ref="XJ13:XL13">SUMIFS($M13:$GJ13,$M$1:$GJ$1,XJ$3:XL$3)</f>
        <v>0</v>
      </c>
      <c r="XK13">
        <v>0</v>
      </c>
      <c r="XL13">
        <v>0</v>
      </c>
      <c r="XM13" cm="1">
        <f t="array" ref="XM13">IFERROR(MAX((_xlfn.ANCHORARRAY(XJ13)-AVERAGE(_xlfn.ANCHORARRAY(XJ13)))/ AVERAGE(_xlfn.ANCHORARRAY(XJ13))),0)</f>
        <v>0</v>
      </c>
      <c r="XN13" t="str" cm="1">
        <f t="array" ref="XN13">IF(XM13&gt;$XN$1,_xlfn.XLOOKUP(MAX(_xlfn.ANCHORARRAY(XJ13)),_xlfn.ANCHORARRAY(XJ13),XJ$4:XL$4,""),"")</f>
        <v/>
      </c>
      <c r="XP13" cm="1">
        <f t="array" ref="XP13:XT13">SUMIFS($M13:$GJ13,$M$3:$GJ$3,XP$3:XT$3)</f>
        <v>0</v>
      </c>
      <c r="XQ13">
        <v>0</v>
      </c>
      <c r="XR13">
        <v>0</v>
      </c>
      <c r="XS13">
        <v>0</v>
      </c>
      <c r="XT13">
        <v>0</v>
      </c>
      <c r="XU13" cm="1">
        <f t="array" ref="XU13">IFERROR(MAX((_xlfn.ANCHORARRAY(XP13)-AVERAGE(_xlfn.ANCHORARRAY(XP13)))/ AVERAGE(_xlfn.ANCHORARRAY(XP13))),0)</f>
        <v>0</v>
      </c>
      <c r="XV13" t="str" cm="1">
        <f t="array" ref="XV13">IF(AND(XU13&gt;$XV$1,XN13&lt;&gt;""),_xlfn.XLOOKUP(MAX(_xlfn.ANCHORARRAY(XP13)),_xlfn.ANCHORARRAY(XP13),XP$4:XT$4,""),"")</f>
        <v/>
      </c>
      <c r="XX13" cm="1">
        <f t="array" ref="XX13:YG13">SUMIFS($M13:$GJ13,$M$2:$GJ$2,XX$3:YG$3)</f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 cm="1">
        <f t="array" ref="YH13">IFERROR(MAX((_xlfn.ANCHORARRAY(XX13)-AVERAGE(_xlfn.ANCHORARRAY(XX13)))/ AVERAGE(_xlfn.ANCHORARRAY(XX13))),0)</f>
        <v>0</v>
      </c>
      <c r="YI13" t="str" cm="1">
        <f t="array" ref="YI13">IF(YH13&gt;$YI$1,_xlfn.XLOOKUP(MAX(_xlfn.ANCHORARRAY(XX13)),_xlfn.ANCHORARRAY(XX13),XX$4:YG$4,""),"")</f>
        <v/>
      </c>
      <c r="YK13" t="str">
        <f t="shared" si="11"/>
        <v/>
      </c>
    </row>
    <row r="14" spans="1:661" x14ac:dyDescent="0.3">
      <c r="A14" s="2"/>
      <c r="B14" s="2" t="str">
        <f t="shared" si="0"/>
        <v>CHA</v>
      </c>
      <c r="C14" s="2" t="str">
        <f t="shared" si="2"/>
        <v>CHA</v>
      </c>
      <c r="D14" s="2" t="str">
        <f t="shared" si="1"/>
        <v>CHA</v>
      </c>
      <c r="E14" s="2" t="str">
        <f t="shared" si="3"/>
        <v/>
      </c>
      <c r="F14" s="2" t="str">
        <f t="shared" si="4"/>
        <v/>
      </c>
      <c r="G14" s="2">
        <f t="shared" si="5"/>
        <v>0</v>
      </c>
      <c r="H14" s="2">
        <f t="shared" si="6"/>
        <v>0</v>
      </c>
      <c r="I14" s="2">
        <f t="shared" si="7"/>
        <v>0</v>
      </c>
      <c r="J14" s="2">
        <f t="shared" si="8"/>
        <v>0</v>
      </c>
      <c r="K14" s="2">
        <f t="shared" si="9"/>
        <v>0</v>
      </c>
      <c r="L14" s="2">
        <f t="shared" si="10"/>
        <v>0</v>
      </c>
      <c r="GK14" s="13"/>
      <c r="NJ14" s="13"/>
      <c r="XJ14" cm="1">
        <f t="array" ref="XJ14:XL14">SUMIFS($M14:$GJ14,$M$1:$GJ$1,XJ$3:XL$3)</f>
        <v>0</v>
      </c>
      <c r="XK14">
        <v>0</v>
      </c>
      <c r="XL14">
        <v>0</v>
      </c>
      <c r="XM14" cm="1">
        <f t="array" ref="XM14">IFERROR(MAX((_xlfn.ANCHORARRAY(XJ14)-AVERAGE(_xlfn.ANCHORARRAY(XJ14)))/ AVERAGE(_xlfn.ANCHORARRAY(XJ14))),0)</f>
        <v>0</v>
      </c>
      <c r="XN14" t="str" cm="1">
        <f t="array" ref="XN14">IF(XM14&gt;$XN$1,_xlfn.XLOOKUP(MAX(_xlfn.ANCHORARRAY(XJ14)),_xlfn.ANCHORARRAY(XJ14),XJ$4:XL$4,""),"")</f>
        <v/>
      </c>
      <c r="XP14" cm="1">
        <f t="array" ref="XP14:XT14">SUMIFS($M14:$GJ14,$M$3:$GJ$3,XP$3:XT$3)</f>
        <v>0</v>
      </c>
      <c r="XQ14">
        <v>0</v>
      </c>
      <c r="XR14">
        <v>0</v>
      </c>
      <c r="XS14">
        <v>0</v>
      </c>
      <c r="XT14">
        <v>0</v>
      </c>
      <c r="XU14" cm="1">
        <f t="array" ref="XU14">IFERROR(MAX((_xlfn.ANCHORARRAY(XP14)-AVERAGE(_xlfn.ANCHORARRAY(XP14)))/ AVERAGE(_xlfn.ANCHORARRAY(XP14))),0)</f>
        <v>0</v>
      </c>
      <c r="XV14" t="str" cm="1">
        <f t="array" ref="XV14">IF(AND(XU14&gt;$XV$1,XN14&lt;&gt;""),_xlfn.XLOOKUP(MAX(_xlfn.ANCHORARRAY(XP14)),_xlfn.ANCHORARRAY(XP14),XP$4:XT$4,""),"")</f>
        <v/>
      </c>
      <c r="XX14" cm="1">
        <f t="array" ref="XX14:YG14">SUMIFS($M14:$GJ14,$M$2:$GJ$2,XX$3:YG$3)</f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 cm="1">
        <f t="array" ref="YH14">IFERROR(MAX((_xlfn.ANCHORARRAY(XX14)-AVERAGE(_xlfn.ANCHORARRAY(XX14)))/ AVERAGE(_xlfn.ANCHORARRAY(XX14))),0)</f>
        <v>0</v>
      </c>
      <c r="YI14" t="str" cm="1">
        <f t="array" ref="YI14">IF(YH14&gt;$YI$1,_xlfn.XLOOKUP(MAX(_xlfn.ANCHORARRAY(XX14)),_xlfn.ANCHORARRAY(XX14),XX$4:YG$4,""),"")</f>
        <v/>
      </c>
      <c r="YK14" t="str">
        <f t="shared" si="11"/>
        <v/>
      </c>
    </row>
    <row r="15" spans="1:661" x14ac:dyDescent="0.3">
      <c r="A15" s="2"/>
      <c r="B15" s="2" t="str">
        <f t="shared" si="0"/>
        <v>CHA</v>
      </c>
      <c r="C15" s="2" t="str">
        <f t="shared" si="2"/>
        <v>CHA</v>
      </c>
      <c r="D15" s="2" t="str">
        <f t="shared" si="1"/>
        <v>CHA</v>
      </c>
      <c r="E15" s="2" t="str">
        <f t="shared" si="3"/>
        <v/>
      </c>
      <c r="F15" s="2" t="str">
        <f t="shared" si="4"/>
        <v/>
      </c>
      <c r="G15" s="2">
        <f t="shared" si="5"/>
        <v>0</v>
      </c>
      <c r="H15" s="2">
        <f t="shared" si="6"/>
        <v>0</v>
      </c>
      <c r="I15" s="2">
        <f t="shared" si="7"/>
        <v>0</v>
      </c>
      <c r="J15" s="2">
        <f t="shared" si="8"/>
        <v>0</v>
      </c>
      <c r="K15" s="2">
        <f t="shared" si="9"/>
        <v>0</v>
      </c>
      <c r="L15" s="2">
        <f t="shared" si="10"/>
        <v>0</v>
      </c>
      <c r="GK15" s="13"/>
      <c r="NJ15" s="13"/>
      <c r="XJ15" cm="1">
        <f t="array" ref="XJ15:XL15">SUMIFS($M15:$GJ15,$M$1:$GJ$1,XJ$3:XL$3)</f>
        <v>0</v>
      </c>
      <c r="XK15">
        <v>0</v>
      </c>
      <c r="XL15">
        <v>0</v>
      </c>
      <c r="XM15" cm="1">
        <f t="array" ref="XM15">IFERROR(MAX((_xlfn.ANCHORARRAY(XJ15)-AVERAGE(_xlfn.ANCHORARRAY(XJ15)))/ AVERAGE(_xlfn.ANCHORARRAY(XJ15))),0)</f>
        <v>0</v>
      </c>
      <c r="XN15" t="str" cm="1">
        <f t="array" ref="XN15">IF(XM15&gt;$XN$1,_xlfn.XLOOKUP(MAX(_xlfn.ANCHORARRAY(XJ15)),_xlfn.ANCHORARRAY(XJ15),XJ$4:XL$4,""),"")</f>
        <v/>
      </c>
      <c r="XP15" cm="1">
        <f t="array" ref="XP15:XT15">SUMIFS($M15:$GJ15,$M$3:$GJ$3,XP$3:XT$3)</f>
        <v>0</v>
      </c>
      <c r="XQ15">
        <v>0</v>
      </c>
      <c r="XR15">
        <v>0</v>
      </c>
      <c r="XS15">
        <v>0</v>
      </c>
      <c r="XT15">
        <v>0</v>
      </c>
      <c r="XU15" cm="1">
        <f t="array" ref="XU15">IFERROR(MAX((_xlfn.ANCHORARRAY(XP15)-AVERAGE(_xlfn.ANCHORARRAY(XP15)))/ AVERAGE(_xlfn.ANCHORARRAY(XP15))),0)</f>
        <v>0</v>
      </c>
      <c r="XV15" t="str" cm="1">
        <f t="array" ref="XV15">IF(AND(XU15&gt;$XV$1,XN15&lt;&gt;""),_xlfn.XLOOKUP(MAX(_xlfn.ANCHORARRAY(XP15)),_xlfn.ANCHORARRAY(XP15),XP$4:XT$4,""),"")</f>
        <v/>
      </c>
      <c r="XX15" cm="1">
        <f t="array" ref="XX15:YG15">SUMIFS($M15:$GJ15,$M$2:$GJ$2,XX$3:YG$3)</f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 cm="1">
        <f t="array" ref="YH15">IFERROR(MAX((_xlfn.ANCHORARRAY(XX15)-AVERAGE(_xlfn.ANCHORARRAY(XX15)))/ AVERAGE(_xlfn.ANCHORARRAY(XX15))),0)</f>
        <v>0</v>
      </c>
      <c r="YI15" t="str" cm="1">
        <f t="array" ref="YI15">IF(YH15&gt;$YI$1,_xlfn.XLOOKUP(MAX(_xlfn.ANCHORARRAY(XX15)),_xlfn.ANCHORARRAY(XX15),XX$4:YG$4,""),"")</f>
        <v/>
      </c>
      <c r="YK15" t="str">
        <f t="shared" si="11"/>
        <v/>
      </c>
    </row>
    <row r="16" spans="1:661" x14ac:dyDescent="0.3">
      <c r="A16" s="2"/>
      <c r="B16" s="2" t="str">
        <f t="shared" si="0"/>
        <v>CHA</v>
      </c>
      <c r="C16" s="2" t="str">
        <f t="shared" si="2"/>
        <v>CHA</v>
      </c>
      <c r="D16" s="2" t="str">
        <f t="shared" si="1"/>
        <v>CHA</v>
      </c>
      <c r="E16" s="2" t="str">
        <f t="shared" si="3"/>
        <v/>
      </c>
      <c r="F16" s="2" t="str">
        <f t="shared" si="4"/>
        <v/>
      </c>
      <c r="G16" s="2">
        <f t="shared" si="5"/>
        <v>0</v>
      </c>
      <c r="H16" s="2">
        <f t="shared" si="6"/>
        <v>0</v>
      </c>
      <c r="I16" s="2">
        <f t="shared" si="7"/>
        <v>0</v>
      </c>
      <c r="J16" s="2">
        <f t="shared" si="8"/>
        <v>0</v>
      </c>
      <c r="K16" s="2">
        <f t="shared" si="9"/>
        <v>0</v>
      </c>
      <c r="L16" s="2">
        <f t="shared" si="10"/>
        <v>0</v>
      </c>
      <c r="GK16" s="13"/>
      <c r="NJ16" s="13"/>
      <c r="XJ16" cm="1">
        <f t="array" ref="XJ16:XL16">SUMIFS($M16:$GJ16,$M$1:$GJ$1,XJ$3:XL$3)</f>
        <v>0</v>
      </c>
      <c r="XK16">
        <v>0</v>
      </c>
      <c r="XL16">
        <v>0</v>
      </c>
      <c r="XM16" cm="1">
        <f t="array" ref="XM16">IFERROR(MAX((_xlfn.ANCHORARRAY(XJ16)-AVERAGE(_xlfn.ANCHORARRAY(XJ16)))/ AVERAGE(_xlfn.ANCHORARRAY(XJ16))),0)</f>
        <v>0</v>
      </c>
      <c r="XN16" t="str" cm="1">
        <f t="array" ref="XN16">IF(XM16&gt;$XN$1,_xlfn.XLOOKUP(MAX(_xlfn.ANCHORARRAY(XJ16)),_xlfn.ANCHORARRAY(XJ16),XJ$4:XL$4,""),"")</f>
        <v/>
      </c>
      <c r="XP16" cm="1">
        <f t="array" ref="XP16:XT16">SUMIFS($M16:$GJ16,$M$3:$GJ$3,XP$3:XT$3)</f>
        <v>0</v>
      </c>
      <c r="XQ16">
        <v>0</v>
      </c>
      <c r="XR16">
        <v>0</v>
      </c>
      <c r="XS16">
        <v>0</v>
      </c>
      <c r="XT16">
        <v>0</v>
      </c>
      <c r="XU16" cm="1">
        <f t="array" ref="XU16">IFERROR(MAX((_xlfn.ANCHORARRAY(XP16)-AVERAGE(_xlfn.ANCHORARRAY(XP16)))/ AVERAGE(_xlfn.ANCHORARRAY(XP16))),0)</f>
        <v>0</v>
      </c>
      <c r="XV16" t="str" cm="1">
        <f t="array" ref="XV16">IF(AND(XU16&gt;$XV$1,XN16&lt;&gt;""),_xlfn.XLOOKUP(MAX(_xlfn.ANCHORARRAY(XP16)),_xlfn.ANCHORARRAY(XP16),XP$4:XT$4,""),"")</f>
        <v/>
      </c>
      <c r="XX16" cm="1">
        <f t="array" ref="XX16:YG16">SUMIFS($M16:$GJ16,$M$2:$GJ$2,XX$3:YG$3)</f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 cm="1">
        <f t="array" ref="YH16">IFERROR(MAX((_xlfn.ANCHORARRAY(XX16)-AVERAGE(_xlfn.ANCHORARRAY(XX16)))/ AVERAGE(_xlfn.ANCHORARRAY(XX16))),0)</f>
        <v>0</v>
      </c>
      <c r="YI16" t="str" cm="1">
        <f t="array" ref="YI16">IF(YH16&gt;$YI$1,_xlfn.XLOOKUP(MAX(_xlfn.ANCHORARRAY(XX16)),_xlfn.ANCHORARRAY(XX16),XX$4:YG$4,""),"")</f>
        <v/>
      </c>
      <c r="YK16" t="str">
        <f t="shared" si="11"/>
        <v/>
      </c>
    </row>
    <row r="17" spans="1:661" x14ac:dyDescent="0.3">
      <c r="A17" s="2"/>
      <c r="B17" s="2" t="str">
        <f t="shared" si="0"/>
        <v>CHA</v>
      </c>
      <c r="C17" s="2" t="str">
        <f t="shared" si="2"/>
        <v>CHA</v>
      </c>
      <c r="D17" s="2" t="str">
        <f t="shared" si="1"/>
        <v>CHA</v>
      </c>
      <c r="E17" s="2" t="str">
        <f t="shared" si="3"/>
        <v/>
      </c>
      <c r="F17" s="2" t="str">
        <f t="shared" si="4"/>
        <v/>
      </c>
      <c r="G17" s="2">
        <f t="shared" si="5"/>
        <v>0</v>
      </c>
      <c r="H17" s="2">
        <f t="shared" si="6"/>
        <v>0</v>
      </c>
      <c r="I17" s="2">
        <f t="shared" si="7"/>
        <v>0</v>
      </c>
      <c r="J17" s="2">
        <f t="shared" si="8"/>
        <v>0</v>
      </c>
      <c r="K17" s="2">
        <f t="shared" si="9"/>
        <v>0</v>
      </c>
      <c r="L17" s="2">
        <f t="shared" si="10"/>
        <v>0</v>
      </c>
      <c r="GK17" s="13"/>
      <c r="NJ17" s="13"/>
      <c r="XJ17" cm="1">
        <f t="array" ref="XJ17:XL17">SUMIFS($M17:$GJ17,$M$1:$GJ$1,XJ$3:XL$3)</f>
        <v>0</v>
      </c>
      <c r="XK17">
        <v>0</v>
      </c>
      <c r="XL17">
        <v>0</v>
      </c>
      <c r="XM17" cm="1">
        <f t="array" ref="XM17">IFERROR(MAX((_xlfn.ANCHORARRAY(XJ17)-AVERAGE(_xlfn.ANCHORARRAY(XJ17)))/ AVERAGE(_xlfn.ANCHORARRAY(XJ17))),0)</f>
        <v>0</v>
      </c>
      <c r="XN17" t="str" cm="1">
        <f t="array" ref="XN17">IF(XM17&gt;$XN$1,_xlfn.XLOOKUP(MAX(_xlfn.ANCHORARRAY(XJ17)),_xlfn.ANCHORARRAY(XJ17),XJ$4:XL$4,""),"")</f>
        <v/>
      </c>
      <c r="XP17" cm="1">
        <f t="array" ref="XP17:XT17">SUMIFS($M17:$GJ17,$M$3:$GJ$3,XP$3:XT$3)</f>
        <v>0</v>
      </c>
      <c r="XQ17">
        <v>0</v>
      </c>
      <c r="XR17">
        <v>0</v>
      </c>
      <c r="XS17">
        <v>0</v>
      </c>
      <c r="XT17">
        <v>0</v>
      </c>
      <c r="XU17" cm="1">
        <f t="array" ref="XU17">IFERROR(MAX((_xlfn.ANCHORARRAY(XP17)-AVERAGE(_xlfn.ANCHORARRAY(XP17)))/ AVERAGE(_xlfn.ANCHORARRAY(XP17))),0)</f>
        <v>0</v>
      </c>
      <c r="XV17" t="str" cm="1">
        <f t="array" ref="XV17">IF(AND(XU17&gt;$XV$1,XN17&lt;&gt;""),_xlfn.XLOOKUP(MAX(_xlfn.ANCHORARRAY(XP17)),_xlfn.ANCHORARRAY(XP17),XP$4:XT$4,""),"")</f>
        <v/>
      </c>
      <c r="XX17" cm="1">
        <f t="array" ref="XX17:YG17">SUMIFS($M17:$GJ17,$M$2:$GJ$2,XX$3:YG$3)</f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 cm="1">
        <f t="array" ref="YH17">IFERROR(MAX((_xlfn.ANCHORARRAY(XX17)-AVERAGE(_xlfn.ANCHORARRAY(XX17)))/ AVERAGE(_xlfn.ANCHORARRAY(XX17))),0)</f>
        <v>0</v>
      </c>
      <c r="YI17" t="str" cm="1">
        <f t="array" ref="YI17">IF(YH17&gt;$YI$1,_xlfn.XLOOKUP(MAX(_xlfn.ANCHORARRAY(XX17)),_xlfn.ANCHORARRAY(XX17),XX$4:YG$4,""),"")</f>
        <v/>
      </c>
      <c r="YK17" t="str">
        <f t="shared" si="11"/>
        <v/>
      </c>
    </row>
    <row r="18" spans="1:661" x14ac:dyDescent="0.3">
      <c r="A18" s="2"/>
      <c r="B18" s="2" t="str">
        <f t="shared" si="0"/>
        <v>CHA</v>
      </c>
      <c r="C18" s="2" t="str">
        <f t="shared" si="2"/>
        <v>CHA</v>
      </c>
      <c r="D18" s="2" t="str">
        <f t="shared" si="1"/>
        <v>CHA</v>
      </c>
      <c r="E18" s="2" t="str">
        <f t="shared" si="3"/>
        <v/>
      </c>
      <c r="F18" s="2" t="str">
        <f t="shared" si="4"/>
        <v/>
      </c>
      <c r="G18" s="2">
        <f t="shared" si="5"/>
        <v>0</v>
      </c>
      <c r="H18" s="2">
        <f t="shared" si="6"/>
        <v>0</v>
      </c>
      <c r="I18" s="2">
        <f t="shared" si="7"/>
        <v>0</v>
      </c>
      <c r="J18" s="2">
        <f t="shared" si="8"/>
        <v>0</v>
      </c>
      <c r="K18" s="2">
        <f t="shared" si="9"/>
        <v>0</v>
      </c>
      <c r="L18" s="2">
        <f t="shared" si="10"/>
        <v>0</v>
      </c>
      <c r="GK18" s="13"/>
      <c r="NJ18" s="13"/>
      <c r="XJ18" cm="1">
        <f t="array" ref="XJ18:XL18">SUMIFS($M18:$GJ18,$M$1:$GJ$1,XJ$3:XL$3)</f>
        <v>0</v>
      </c>
      <c r="XK18">
        <v>0</v>
      </c>
      <c r="XL18">
        <v>0</v>
      </c>
      <c r="XM18" cm="1">
        <f t="array" ref="XM18">IFERROR(MAX((_xlfn.ANCHORARRAY(XJ18)-AVERAGE(_xlfn.ANCHORARRAY(XJ18)))/ AVERAGE(_xlfn.ANCHORARRAY(XJ18))),0)</f>
        <v>0</v>
      </c>
      <c r="XN18" t="str" cm="1">
        <f t="array" ref="XN18">IF(XM18&gt;$XN$1,_xlfn.XLOOKUP(MAX(_xlfn.ANCHORARRAY(XJ18)),_xlfn.ANCHORARRAY(XJ18),XJ$4:XL$4,""),"")</f>
        <v/>
      </c>
      <c r="XP18" cm="1">
        <f t="array" ref="XP18:XT18">SUMIFS($M18:$GJ18,$M$3:$GJ$3,XP$3:XT$3)</f>
        <v>0</v>
      </c>
      <c r="XQ18">
        <v>0</v>
      </c>
      <c r="XR18">
        <v>0</v>
      </c>
      <c r="XS18">
        <v>0</v>
      </c>
      <c r="XT18">
        <v>0</v>
      </c>
      <c r="XU18" cm="1">
        <f t="array" ref="XU18">IFERROR(MAX((_xlfn.ANCHORARRAY(XP18)-AVERAGE(_xlfn.ANCHORARRAY(XP18)))/ AVERAGE(_xlfn.ANCHORARRAY(XP18))),0)</f>
        <v>0</v>
      </c>
      <c r="XV18" t="str" cm="1">
        <f t="array" ref="XV18">IF(AND(XU18&gt;$XV$1,XN18&lt;&gt;""),_xlfn.XLOOKUP(MAX(_xlfn.ANCHORARRAY(XP18)),_xlfn.ANCHORARRAY(XP18),XP$4:XT$4,""),"")</f>
        <v/>
      </c>
      <c r="XX18" cm="1">
        <f t="array" ref="XX18:YG18">SUMIFS($M18:$GJ18,$M$2:$GJ$2,XX$3:YG$3)</f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 cm="1">
        <f t="array" ref="YH18">IFERROR(MAX((_xlfn.ANCHORARRAY(XX18)-AVERAGE(_xlfn.ANCHORARRAY(XX18)))/ AVERAGE(_xlfn.ANCHORARRAY(XX18))),0)</f>
        <v>0</v>
      </c>
      <c r="YI18" t="str" cm="1">
        <f t="array" ref="YI18">IF(YH18&gt;$YI$1,_xlfn.XLOOKUP(MAX(_xlfn.ANCHORARRAY(XX18)),_xlfn.ANCHORARRAY(XX18),XX$4:YG$4,""),"")</f>
        <v/>
      </c>
      <c r="YK18" t="str">
        <f t="shared" si="11"/>
        <v/>
      </c>
    </row>
    <row r="19" spans="1:661" x14ac:dyDescent="0.3">
      <c r="A19" s="2"/>
      <c r="B19" s="2" t="str">
        <f t="shared" si="0"/>
        <v>CHA</v>
      </c>
      <c r="C19" s="2" t="str">
        <f t="shared" si="2"/>
        <v>CHA</v>
      </c>
      <c r="D19" s="2" t="str">
        <f t="shared" si="1"/>
        <v>CHA</v>
      </c>
      <c r="E19" s="2" t="str">
        <f t="shared" si="3"/>
        <v/>
      </c>
      <c r="F19" s="2" t="str">
        <f t="shared" si="4"/>
        <v/>
      </c>
      <c r="G19" s="2">
        <f t="shared" si="5"/>
        <v>0</v>
      </c>
      <c r="H19" s="2">
        <f t="shared" si="6"/>
        <v>0</v>
      </c>
      <c r="I19" s="2">
        <f t="shared" si="7"/>
        <v>0</v>
      </c>
      <c r="J19" s="2">
        <f t="shared" si="8"/>
        <v>0</v>
      </c>
      <c r="K19" s="2">
        <f t="shared" si="9"/>
        <v>0</v>
      </c>
      <c r="L19" s="2">
        <f t="shared" si="10"/>
        <v>0</v>
      </c>
      <c r="GK19" s="13"/>
      <c r="NJ19" s="13"/>
      <c r="XJ19" cm="1">
        <f t="array" ref="XJ19:XL19">SUMIFS($M19:$GJ19,$M$1:$GJ$1,XJ$3:XL$3)</f>
        <v>0</v>
      </c>
      <c r="XK19">
        <v>0</v>
      </c>
      <c r="XL19">
        <v>0</v>
      </c>
      <c r="XM19" cm="1">
        <f t="array" ref="XM19">IFERROR(MAX((_xlfn.ANCHORARRAY(XJ19)-AVERAGE(_xlfn.ANCHORARRAY(XJ19)))/ AVERAGE(_xlfn.ANCHORARRAY(XJ19))),0)</f>
        <v>0</v>
      </c>
      <c r="XN19" t="str" cm="1">
        <f t="array" ref="XN19">IF(XM19&gt;$XN$1,_xlfn.XLOOKUP(MAX(_xlfn.ANCHORARRAY(XJ19)),_xlfn.ANCHORARRAY(XJ19),XJ$4:XL$4,""),"")</f>
        <v/>
      </c>
      <c r="XP19" cm="1">
        <f t="array" ref="XP19:XT19">SUMIFS($M19:$GJ19,$M$3:$GJ$3,XP$3:XT$3)</f>
        <v>0</v>
      </c>
      <c r="XQ19">
        <v>0</v>
      </c>
      <c r="XR19">
        <v>0</v>
      </c>
      <c r="XS19">
        <v>0</v>
      </c>
      <c r="XT19">
        <v>0</v>
      </c>
      <c r="XU19" cm="1">
        <f t="array" ref="XU19">IFERROR(MAX((_xlfn.ANCHORARRAY(XP19)-AVERAGE(_xlfn.ANCHORARRAY(XP19)))/ AVERAGE(_xlfn.ANCHORARRAY(XP19))),0)</f>
        <v>0</v>
      </c>
      <c r="XV19" t="str" cm="1">
        <f t="array" ref="XV19">IF(AND(XU19&gt;$XV$1,XN19&lt;&gt;""),_xlfn.XLOOKUP(MAX(_xlfn.ANCHORARRAY(XP19)),_xlfn.ANCHORARRAY(XP19),XP$4:XT$4,""),"")</f>
        <v/>
      </c>
      <c r="XX19" cm="1">
        <f t="array" ref="XX19:YG19">SUMIFS($M19:$GJ19,$M$2:$GJ$2,XX$3:YG$3)</f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 cm="1">
        <f t="array" ref="YH19">IFERROR(MAX((_xlfn.ANCHORARRAY(XX19)-AVERAGE(_xlfn.ANCHORARRAY(XX19)))/ AVERAGE(_xlfn.ANCHORARRAY(XX19))),0)</f>
        <v>0</v>
      </c>
      <c r="YI19" t="str" cm="1">
        <f t="array" ref="YI19">IF(YH19&gt;$YI$1,_xlfn.XLOOKUP(MAX(_xlfn.ANCHORARRAY(XX19)),_xlfn.ANCHORARRAY(XX19),XX$4:YG$4,""),"")</f>
        <v/>
      </c>
      <c r="YK19" t="str">
        <f t="shared" si="11"/>
        <v/>
      </c>
    </row>
    <row r="20" spans="1:661" x14ac:dyDescent="0.3">
      <c r="A20" s="2"/>
      <c r="B20" s="2" t="str">
        <f t="shared" si="0"/>
        <v>CHA</v>
      </c>
      <c r="C20" s="2" t="str">
        <f t="shared" si="2"/>
        <v>CHA</v>
      </c>
      <c r="D20" s="2" t="str">
        <f t="shared" si="1"/>
        <v>CHA</v>
      </c>
      <c r="E20" s="2" t="str">
        <f t="shared" si="3"/>
        <v/>
      </c>
      <c r="F20" s="2" t="str">
        <f t="shared" si="4"/>
        <v/>
      </c>
      <c r="G20" s="2">
        <f t="shared" si="5"/>
        <v>0</v>
      </c>
      <c r="H20" s="2">
        <f t="shared" si="6"/>
        <v>0</v>
      </c>
      <c r="I20" s="2">
        <f t="shared" si="7"/>
        <v>0</v>
      </c>
      <c r="J20" s="2">
        <f t="shared" si="8"/>
        <v>0</v>
      </c>
      <c r="K20" s="2">
        <f t="shared" si="9"/>
        <v>0</v>
      </c>
      <c r="L20" s="2">
        <f t="shared" si="10"/>
        <v>0</v>
      </c>
      <c r="GK20" s="13"/>
      <c r="NJ20" s="13"/>
      <c r="XJ20" cm="1">
        <f t="array" ref="XJ20:XL20">SUMIFS($M20:$GJ20,$M$1:$GJ$1,XJ$3:XL$3)</f>
        <v>0</v>
      </c>
      <c r="XK20">
        <v>0</v>
      </c>
      <c r="XL20">
        <v>0</v>
      </c>
      <c r="XM20" cm="1">
        <f t="array" ref="XM20">IFERROR(MAX((_xlfn.ANCHORARRAY(XJ20)-AVERAGE(_xlfn.ANCHORARRAY(XJ20)))/ AVERAGE(_xlfn.ANCHORARRAY(XJ20))),0)</f>
        <v>0</v>
      </c>
      <c r="XN20" t="str" cm="1">
        <f t="array" ref="XN20">IF(XM20&gt;$XN$1,_xlfn.XLOOKUP(MAX(_xlfn.ANCHORARRAY(XJ20)),_xlfn.ANCHORARRAY(XJ20),XJ$4:XL$4,""),"")</f>
        <v/>
      </c>
      <c r="XP20" cm="1">
        <f t="array" ref="XP20:XT20">SUMIFS($M20:$GJ20,$M$3:$GJ$3,XP$3:XT$3)</f>
        <v>0</v>
      </c>
      <c r="XQ20">
        <v>0</v>
      </c>
      <c r="XR20">
        <v>0</v>
      </c>
      <c r="XS20">
        <v>0</v>
      </c>
      <c r="XT20">
        <v>0</v>
      </c>
      <c r="XU20" cm="1">
        <f t="array" ref="XU20">IFERROR(MAX((_xlfn.ANCHORARRAY(XP20)-AVERAGE(_xlfn.ANCHORARRAY(XP20)))/ AVERAGE(_xlfn.ANCHORARRAY(XP20))),0)</f>
        <v>0</v>
      </c>
      <c r="XV20" t="str" cm="1">
        <f t="array" ref="XV20">IF(AND(XU20&gt;$XV$1,XN20&lt;&gt;""),_xlfn.XLOOKUP(MAX(_xlfn.ANCHORARRAY(XP20)),_xlfn.ANCHORARRAY(XP20),XP$4:XT$4,""),"")</f>
        <v/>
      </c>
      <c r="XX20" cm="1">
        <f t="array" ref="XX20:YG20">SUMIFS($M20:$GJ20,$M$2:$GJ$2,XX$3:YG$3)</f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 cm="1">
        <f t="array" ref="YH20">IFERROR(MAX((_xlfn.ANCHORARRAY(XX20)-AVERAGE(_xlfn.ANCHORARRAY(XX20)))/ AVERAGE(_xlfn.ANCHORARRAY(XX20))),0)</f>
        <v>0</v>
      </c>
      <c r="YI20" t="str" cm="1">
        <f t="array" ref="YI20">IF(YH20&gt;$YI$1,_xlfn.XLOOKUP(MAX(_xlfn.ANCHORARRAY(XX20)),_xlfn.ANCHORARRAY(XX20),XX$4:YG$4,""),"")</f>
        <v/>
      </c>
      <c r="YK20" t="str">
        <f t="shared" si="11"/>
        <v/>
      </c>
    </row>
    <row r="21" spans="1:661" x14ac:dyDescent="0.3">
      <c r="A21" s="2"/>
      <c r="B21" s="2" t="str">
        <f t="shared" si="0"/>
        <v>CHA</v>
      </c>
      <c r="C21" s="2" t="str">
        <f t="shared" si="2"/>
        <v>CHA</v>
      </c>
      <c r="D21" s="2" t="str">
        <f t="shared" si="1"/>
        <v>CHA</v>
      </c>
      <c r="E21" s="2" t="str">
        <f t="shared" si="3"/>
        <v/>
      </c>
      <c r="F21" s="2" t="str">
        <f t="shared" si="4"/>
        <v/>
      </c>
      <c r="G21" s="2">
        <f t="shared" si="5"/>
        <v>0</v>
      </c>
      <c r="H21" s="2">
        <f t="shared" si="6"/>
        <v>0</v>
      </c>
      <c r="I21" s="2">
        <f t="shared" si="7"/>
        <v>0</v>
      </c>
      <c r="J21" s="2">
        <f t="shared" si="8"/>
        <v>0</v>
      </c>
      <c r="K21" s="2">
        <f t="shared" si="9"/>
        <v>0</v>
      </c>
      <c r="L21" s="2">
        <f t="shared" si="10"/>
        <v>0</v>
      </c>
      <c r="GK21" s="13"/>
      <c r="NJ21" s="13"/>
      <c r="XJ21" cm="1">
        <f t="array" ref="XJ21:XL21">SUMIFS($M21:$GJ21,$M$1:$GJ$1,XJ$3:XL$3)</f>
        <v>0</v>
      </c>
      <c r="XK21">
        <v>0</v>
      </c>
      <c r="XL21">
        <v>0</v>
      </c>
      <c r="XM21" cm="1">
        <f t="array" ref="XM21">IFERROR(MAX((_xlfn.ANCHORARRAY(XJ21)-AVERAGE(_xlfn.ANCHORARRAY(XJ21)))/ AVERAGE(_xlfn.ANCHORARRAY(XJ21))),0)</f>
        <v>0</v>
      </c>
      <c r="XN21" t="str" cm="1">
        <f t="array" ref="XN21">IF(XM21&gt;$XN$1,_xlfn.XLOOKUP(MAX(_xlfn.ANCHORARRAY(XJ21)),_xlfn.ANCHORARRAY(XJ21),XJ$4:XL$4,""),"")</f>
        <v/>
      </c>
      <c r="XP21" cm="1">
        <f t="array" ref="XP21:XT21">SUMIFS($M21:$GJ21,$M$3:$GJ$3,XP$3:XT$3)</f>
        <v>0</v>
      </c>
      <c r="XQ21">
        <v>0</v>
      </c>
      <c r="XR21">
        <v>0</v>
      </c>
      <c r="XS21">
        <v>0</v>
      </c>
      <c r="XT21">
        <v>0</v>
      </c>
      <c r="XU21" cm="1">
        <f t="array" ref="XU21">IFERROR(MAX((_xlfn.ANCHORARRAY(XP21)-AVERAGE(_xlfn.ANCHORARRAY(XP21)))/ AVERAGE(_xlfn.ANCHORARRAY(XP21))),0)</f>
        <v>0</v>
      </c>
      <c r="XV21" t="str" cm="1">
        <f t="array" ref="XV21">IF(AND(XU21&gt;$XV$1,XN21&lt;&gt;""),_xlfn.XLOOKUP(MAX(_xlfn.ANCHORARRAY(XP21)),_xlfn.ANCHORARRAY(XP21),XP$4:XT$4,""),"")</f>
        <v/>
      </c>
      <c r="XX21" cm="1">
        <f t="array" ref="XX21:YG21">SUMIFS($M21:$GJ21,$M$2:$GJ$2,XX$3:YG$3)</f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 cm="1">
        <f t="array" ref="YH21">IFERROR(MAX((_xlfn.ANCHORARRAY(XX21)-AVERAGE(_xlfn.ANCHORARRAY(XX21)))/ AVERAGE(_xlfn.ANCHORARRAY(XX21))),0)</f>
        <v>0</v>
      </c>
      <c r="YI21" t="str" cm="1">
        <f t="array" ref="YI21">IF(YH21&gt;$YI$1,_xlfn.XLOOKUP(MAX(_xlfn.ANCHORARRAY(XX21)),_xlfn.ANCHORARRAY(XX21),XX$4:YG$4,""),"")</f>
        <v/>
      </c>
      <c r="YK21" t="str">
        <f t="shared" si="11"/>
        <v/>
      </c>
    </row>
    <row r="22" spans="1:661" x14ac:dyDescent="0.3">
      <c r="A22" s="2"/>
      <c r="B22" s="2" t="str">
        <f t="shared" si="0"/>
        <v>CHA</v>
      </c>
      <c r="C22" s="2" t="str">
        <f t="shared" si="2"/>
        <v>CHA</v>
      </c>
      <c r="D22" s="2" t="str">
        <f t="shared" si="1"/>
        <v>CHA</v>
      </c>
      <c r="E22" s="2" t="str">
        <f t="shared" si="3"/>
        <v/>
      </c>
      <c r="F22" s="2" t="str">
        <f t="shared" si="4"/>
        <v/>
      </c>
      <c r="G22" s="2">
        <f t="shared" si="5"/>
        <v>0</v>
      </c>
      <c r="H22" s="2">
        <f t="shared" si="6"/>
        <v>0</v>
      </c>
      <c r="I22" s="2">
        <f t="shared" si="7"/>
        <v>0</v>
      </c>
      <c r="J22" s="2">
        <f t="shared" si="8"/>
        <v>0</v>
      </c>
      <c r="K22" s="2">
        <f t="shared" si="9"/>
        <v>0</v>
      </c>
      <c r="L22" s="2">
        <f t="shared" si="10"/>
        <v>0</v>
      </c>
      <c r="GK22" s="13"/>
      <c r="NJ22" s="13"/>
      <c r="XJ22" cm="1">
        <f t="array" ref="XJ22:XL22">SUMIFS($M22:$GJ22,$M$1:$GJ$1,XJ$3:XL$3)</f>
        <v>0</v>
      </c>
      <c r="XK22">
        <v>0</v>
      </c>
      <c r="XL22">
        <v>0</v>
      </c>
      <c r="XM22" cm="1">
        <f t="array" ref="XM22">IFERROR(MAX((_xlfn.ANCHORARRAY(XJ22)-AVERAGE(_xlfn.ANCHORARRAY(XJ22)))/ AVERAGE(_xlfn.ANCHORARRAY(XJ22))),0)</f>
        <v>0</v>
      </c>
      <c r="XN22" t="str" cm="1">
        <f t="array" ref="XN22">IF(XM22&gt;$XN$1,_xlfn.XLOOKUP(MAX(_xlfn.ANCHORARRAY(XJ22)),_xlfn.ANCHORARRAY(XJ22),XJ$4:XL$4,""),"")</f>
        <v/>
      </c>
      <c r="XP22" cm="1">
        <f t="array" ref="XP22:XT22">SUMIFS($M22:$GJ22,$M$3:$GJ$3,XP$3:XT$3)</f>
        <v>0</v>
      </c>
      <c r="XQ22">
        <v>0</v>
      </c>
      <c r="XR22">
        <v>0</v>
      </c>
      <c r="XS22">
        <v>0</v>
      </c>
      <c r="XT22">
        <v>0</v>
      </c>
      <c r="XU22" cm="1">
        <f t="array" ref="XU22">IFERROR(MAX((_xlfn.ANCHORARRAY(XP22)-AVERAGE(_xlfn.ANCHORARRAY(XP22)))/ AVERAGE(_xlfn.ANCHORARRAY(XP22))),0)</f>
        <v>0</v>
      </c>
      <c r="XV22" t="str" cm="1">
        <f t="array" ref="XV22">IF(AND(XU22&gt;$XV$1,XN22&lt;&gt;""),_xlfn.XLOOKUP(MAX(_xlfn.ANCHORARRAY(XP22)),_xlfn.ANCHORARRAY(XP22),XP$4:XT$4,""),"")</f>
        <v/>
      </c>
      <c r="XX22" cm="1">
        <f t="array" ref="XX22:YG22">SUMIFS($M22:$GJ22,$M$2:$GJ$2,XX$3:YG$3)</f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 cm="1">
        <f t="array" ref="YH22">IFERROR(MAX((_xlfn.ANCHORARRAY(XX22)-AVERAGE(_xlfn.ANCHORARRAY(XX22)))/ AVERAGE(_xlfn.ANCHORARRAY(XX22))),0)</f>
        <v>0</v>
      </c>
      <c r="YI22" t="str" cm="1">
        <f t="array" ref="YI22">IF(YH22&gt;$YI$1,_xlfn.XLOOKUP(MAX(_xlfn.ANCHORARRAY(XX22)),_xlfn.ANCHORARRAY(XX22),XX$4:YG$4,""),"")</f>
        <v/>
      </c>
      <c r="YK22" t="str">
        <f t="shared" si="11"/>
        <v/>
      </c>
    </row>
    <row r="23" spans="1:661" x14ac:dyDescent="0.3">
      <c r="A23" s="2"/>
      <c r="B23" s="2" t="str">
        <f t="shared" si="0"/>
        <v>CHA</v>
      </c>
      <c r="C23" s="2" t="str">
        <f t="shared" si="2"/>
        <v>CHA</v>
      </c>
      <c r="D23" s="2" t="str">
        <f t="shared" si="1"/>
        <v>CHA</v>
      </c>
      <c r="E23" s="2" t="str">
        <f t="shared" si="3"/>
        <v/>
      </c>
      <c r="F23" s="2" t="str">
        <f t="shared" si="4"/>
        <v/>
      </c>
      <c r="G23" s="2">
        <f t="shared" si="5"/>
        <v>0</v>
      </c>
      <c r="H23" s="2">
        <f t="shared" si="6"/>
        <v>0</v>
      </c>
      <c r="I23" s="2">
        <f t="shared" si="7"/>
        <v>0</v>
      </c>
      <c r="J23" s="2">
        <f t="shared" si="8"/>
        <v>0</v>
      </c>
      <c r="K23" s="2">
        <f t="shared" si="9"/>
        <v>0</v>
      </c>
      <c r="L23" s="2">
        <f t="shared" si="10"/>
        <v>0</v>
      </c>
      <c r="GK23" s="13"/>
      <c r="NJ23" s="13"/>
      <c r="XJ23" cm="1">
        <f t="array" ref="XJ23:XL23">SUMIFS($M23:$GJ23,$M$1:$GJ$1,XJ$3:XL$3)</f>
        <v>0</v>
      </c>
      <c r="XK23">
        <v>0</v>
      </c>
      <c r="XL23">
        <v>0</v>
      </c>
      <c r="XM23" cm="1">
        <f t="array" ref="XM23">IFERROR(MAX((_xlfn.ANCHORARRAY(XJ23)-AVERAGE(_xlfn.ANCHORARRAY(XJ23)))/ AVERAGE(_xlfn.ANCHORARRAY(XJ23))),0)</f>
        <v>0</v>
      </c>
      <c r="XN23" t="str" cm="1">
        <f t="array" ref="XN23">IF(XM23&gt;$XN$1,_xlfn.XLOOKUP(MAX(_xlfn.ANCHORARRAY(XJ23)),_xlfn.ANCHORARRAY(XJ23),XJ$4:XL$4,""),"")</f>
        <v/>
      </c>
      <c r="XP23" cm="1">
        <f t="array" ref="XP23:XT23">SUMIFS($M23:$GJ23,$M$3:$GJ$3,XP$3:XT$3)</f>
        <v>0</v>
      </c>
      <c r="XQ23">
        <v>0</v>
      </c>
      <c r="XR23">
        <v>0</v>
      </c>
      <c r="XS23">
        <v>0</v>
      </c>
      <c r="XT23">
        <v>0</v>
      </c>
      <c r="XU23" cm="1">
        <f t="array" ref="XU23">IFERROR(MAX((_xlfn.ANCHORARRAY(XP23)-AVERAGE(_xlfn.ANCHORARRAY(XP23)))/ AVERAGE(_xlfn.ANCHORARRAY(XP23))),0)</f>
        <v>0</v>
      </c>
      <c r="XV23" t="str" cm="1">
        <f t="array" ref="XV23">IF(AND(XU23&gt;$XV$1,XN23&lt;&gt;""),_xlfn.XLOOKUP(MAX(_xlfn.ANCHORARRAY(XP23)),_xlfn.ANCHORARRAY(XP23),XP$4:XT$4,""),"")</f>
        <v/>
      </c>
      <c r="XX23" cm="1">
        <f t="array" ref="XX23:YG23">SUMIFS($M23:$GJ23,$M$2:$GJ$2,XX$3:YG$3)</f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 cm="1">
        <f t="array" ref="YH23">IFERROR(MAX((_xlfn.ANCHORARRAY(XX23)-AVERAGE(_xlfn.ANCHORARRAY(XX23)))/ AVERAGE(_xlfn.ANCHORARRAY(XX23))),0)</f>
        <v>0</v>
      </c>
      <c r="YI23" t="str" cm="1">
        <f t="array" ref="YI23">IF(YH23&gt;$YI$1,_xlfn.XLOOKUP(MAX(_xlfn.ANCHORARRAY(XX23)),_xlfn.ANCHORARRAY(XX23),XX$4:YG$4,""),"")</f>
        <v/>
      </c>
      <c r="YK23" t="str">
        <f t="shared" si="11"/>
        <v/>
      </c>
    </row>
    <row r="24" spans="1:661" x14ac:dyDescent="0.3">
      <c r="A24" s="2"/>
      <c r="B24" s="2" t="str">
        <f t="shared" si="0"/>
        <v>CHA</v>
      </c>
      <c r="C24" s="2" t="str">
        <f t="shared" si="2"/>
        <v>CHA</v>
      </c>
      <c r="D24" s="2" t="str">
        <f t="shared" si="1"/>
        <v>CHA</v>
      </c>
      <c r="E24" s="2" t="str">
        <f t="shared" si="3"/>
        <v/>
      </c>
      <c r="F24" s="2" t="str">
        <f t="shared" si="4"/>
        <v/>
      </c>
      <c r="G24" s="2">
        <f t="shared" si="5"/>
        <v>0</v>
      </c>
      <c r="H24" s="2">
        <f t="shared" si="6"/>
        <v>0</v>
      </c>
      <c r="I24" s="2">
        <f t="shared" si="7"/>
        <v>0</v>
      </c>
      <c r="J24" s="2">
        <f t="shared" si="8"/>
        <v>0</v>
      </c>
      <c r="K24" s="2">
        <f t="shared" si="9"/>
        <v>0</v>
      </c>
      <c r="L24" s="2">
        <f t="shared" si="10"/>
        <v>0</v>
      </c>
      <c r="GK24" s="13"/>
      <c r="NJ24" s="13"/>
      <c r="XJ24" cm="1">
        <f t="array" ref="XJ24:XL24">SUMIFS($M24:$GJ24,$M$1:$GJ$1,XJ$3:XL$3)</f>
        <v>0</v>
      </c>
      <c r="XK24">
        <v>0</v>
      </c>
      <c r="XL24">
        <v>0</v>
      </c>
      <c r="XM24" cm="1">
        <f t="array" ref="XM24">IFERROR(MAX((_xlfn.ANCHORARRAY(XJ24)-AVERAGE(_xlfn.ANCHORARRAY(XJ24)))/ AVERAGE(_xlfn.ANCHORARRAY(XJ24))),0)</f>
        <v>0</v>
      </c>
      <c r="XN24" t="str" cm="1">
        <f t="array" ref="XN24">IF(XM24&gt;$XN$1,_xlfn.XLOOKUP(MAX(_xlfn.ANCHORARRAY(XJ24)),_xlfn.ANCHORARRAY(XJ24),XJ$4:XL$4,""),"")</f>
        <v/>
      </c>
      <c r="XP24" cm="1">
        <f t="array" ref="XP24:XT24">SUMIFS($M24:$GJ24,$M$3:$GJ$3,XP$3:XT$3)</f>
        <v>0</v>
      </c>
      <c r="XQ24">
        <v>0</v>
      </c>
      <c r="XR24">
        <v>0</v>
      </c>
      <c r="XS24">
        <v>0</v>
      </c>
      <c r="XT24">
        <v>0</v>
      </c>
      <c r="XU24" cm="1">
        <f t="array" ref="XU24">IFERROR(MAX((_xlfn.ANCHORARRAY(XP24)-AVERAGE(_xlfn.ANCHORARRAY(XP24)))/ AVERAGE(_xlfn.ANCHORARRAY(XP24))),0)</f>
        <v>0</v>
      </c>
      <c r="XV24" t="str" cm="1">
        <f t="array" ref="XV24">IF(AND(XU24&gt;$XV$1,XN24&lt;&gt;""),_xlfn.XLOOKUP(MAX(_xlfn.ANCHORARRAY(XP24)),_xlfn.ANCHORARRAY(XP24),XP$4:XT$4,""),"")</f>
        <v/>
      </c>
      <c r="XX24" cm="1">
        <f t="array" ref="XX24:YG24">SUMIFS($M24:$GJ24,$M$2:$GJ$2,XX$3:YG$3)</f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 cm="1">
        <f t="array" ref="YH24">IFERROR(MAX((_xlfn.ANCHORARRAY(XX24)-AVERAGE(_xlfn.ANCHORARRAY(XX24)))/ AVERAGE(_xlfn.ANCHORARRAY(XX24))),0)</f>
        <v>0</v>
      </c>
      <c r="YI24" t="str" cm="1">
        <f t="array" ref="YI24">IF(YH24&gt;$YI$1,_xlfn.XLOOKUP(MAX(_xlfn.ANCHORARRAY(XX24)),_xlfn.ANCHORARRAY(XX24),XX$4:YG$4,""),"")</f>
        <v/>
      </c>
      <c r="YK24" t="str">
        <f t="shared" si="11"/>
        <v/>
      </c>
    </row>
    <row r="25" spans="1:661" x14ac:dyDescent="0.3">
      <c r="A25" s="2"/>
      <c r="B25" s="2" t="str">
        <f t="shared" si="0"/>
        <v>CHA</v>
      </c>
      <c r="C25" s="2" t="str">
        <f t="shared" si="2"/>
        <v>CHA</v>
      </c>
      <c r="D25" s="2" t="str">
        <f t="shared" si="1"/>
        <v>CHA</v>
      </c>
      <c r="E25" s="2" t="str">
        <f t="shared" si="3"/>
        <v/>
      </c>
      <c r="F25" s="2" t="str">
        <f t="shared" si="4"/>
        <v/>
      </c>
      <c r="G25" s="2">
        <f t="shared" si="5"/>
        <v>0</v>
      </c>
      <c r="H25" s="2">
        <f t="shared" si="6"/>
        <v>0</v>
      </c>
      <c r="I25" s="2">
        <f t="shared" si="7"/>
        <v>0</v>
      </c>
      <c r="J25" s="2">
        <f t="shared" si="8"/>
        <v>0</v>
      </c>
      <c r="K25" s="2">
        <f t="shared" si="9"/>
        <v>0</v>
      </c>
      <c r="L25" s="2">
        <f t="shared" si="10"/>
        <v>0</v>
      </c>
      <c r="GK25" s="13"/>
      <c r="NJ25" s="13"/>
      <c r="XJ25" cm="1">
        <f t="array" ref="XJ25:XL25">SUMIFS($M25:$GJ25,$M$1:$GJ$1,XJ$3:XL$3)</f>
        <v>0</v>
      </c>
      <c r="XK25">
        <v>0</v>
      </c>
      <c r="XL25">
        <v>0</v>
      </c>
      <c r="XM25" cm="1">
        <f t="array" ref="XM25">IFERROR(MAX((_xlfn.ANCHORARRAY(XJ25)-AVERAGE(_xlfn.ANCHORARRAY(XJ25)))/ AVERAGE(_xlfn.ANCHORARRAY(XJ25))),0)</f>
        <v>0</v>
      </c>
      <c r="XN25" t="str" cm="1">
        <f t="array" ref="XN25">IF(XM25&gt;$XN$1,_xlfn.XLOOKUP(MAX(_xlfn.ANCHORARRAY(XJ25)),_xlfn.ANCHORARRAY(XJ25),XJ$4:XL$4,""),"")</f>
        <v/>
      </c>
      <c r="XP25" cm="1">
        <f t="array" ref="XP25:XT25">SUMIFS($M25:$GJ25,$M$3:$GJ$3,XP$3:XT$3)</f>
        <v>0</v>
      </c>
      <c r="XQ25">
        <v>0</v>
      </c>
      <c r="XR25">
        <v>0</v>
      </c>
      <c r="XS25">
        <v>0</v>
      </c>
      <c r="XT25">
        <v>0</v>
      </c>
      <c r="XU25" cm="1">
        <f t="array" ref="XU25">IFERROR(MAX((_xlfn.ANCHORARRAY(XP25)-AVERAGE(_xlfn.ANCHORARRAY(XP25)))/ AVERAGE(_xlfn.ANCHORARRAY(XP25))),0)</f>
        <v>0</v>
      </c>
      <c r="XV25" t="str" cm="1">
        <f t="array" ref="XV25">IF(AND(XU25&gt;$XV$1,XN25&lt;&gt;""),_xlfn.XLOOKUP(MAX(_xlfn.ANCHORARRAY(XP25)),_xlfn.ANCHORARRAY(XP25),XP$4:XT$4,""),"")</f>
        <v/>
      </c>
      <c r="XX25" cm="1">
        <f t="array" ref="XX25:YG25">SUMIFS($M25:$GJ25,$M$2:$GJ$2,XX$3:YG$3)</f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 cm="1">
        <f t="array" ref="YH25">IFERROR(MAX((_xlfn.ANCHORARRAY(XX25)-AVERAGE(_xlfn.ANCHORARRAY(XX25)))/ AVERAGE(_xlfn.ANCHORARRAY(XX25))),0)</f>
        <v>0</v>
      </c>
      <c r="YI25" t="str" cm="1">
        <f t="array" ref="YI25">IF(YH25&gt;$YI$1,_xlfn.XLOOKUP(MAX(_xlfn.ANCHORARRAY(XX25)),_xlfn.ANCHORARRAY(XX25),XX$4:YG$4,""),"")</f>
        <v/>
      </c>
      <c r="YK25" t="str">
        <f t="shared" si="11"/>
        <v/>
      </c>
    </row>
    <row r="26" spans="1:661" x14ac:dyDescent="0.3">
      <c r="A26" s="2"/>
      <c r="B26" s="2" t="str">
        <f t="shared" si="0"/>
        <v>CHA</v>
      </c>
      <c r="C26" s="2" t="str">
        <f t="shared" si="2"/>
        <v>CHA</v>
      </c>
      <c r="D26" s="2" t="str">
        <f t="shared" si="1"/>
        <v>CHA</v>
      </c>
      <c r="E26" s="2" t="str">
        <f t="shared" si="3"/>
        <v/>
      </c>
      <c r="F26" s="2" t="str">
        <f t="shared" si="4"/>
        <v/>
      </c>
      <c r="G26" s="2">
        <f t="shared" si="5"/>
        <v>0</v>
      </c>
      <c r="H26" s="2">
        <f t="shared" si="6"/>
        <v>0</v>
      </c>
      <c r="I26" s="2">
        <f t="shared" si="7"/>
        <v>0</v>
      </c>
      <c r="J26" s="2">
        <f t="shared" si="8"/>
        <v>0</v>
      </c>
      <c r="K26" s="2">
        <f t="shared" si="9"/>
        <v>0</v>
      </c>
      <c r="L26" s="2">
        <f t="shared" si="10"/>
        <v>0</v>
      </c>
      <c r="GK26" s="13"/>
      <c r="NJ26" s="13"/>
      <c r="XJ26" cm="1">
        <f t="array" ref="XJ26:XL26">SUMIFS($M26:$GJ26,$M$1:$GJ$1,XJ$3:XL$3)</f>
        <v>0</v>
      </c>
      <c r="XK26">
        <v>0</v>
      </c>
      <c r="XL26">
        <v>0</v>
      </c>
      <c r="XM26" cm="1">
        <f t="array" ref="XM26">IFERROR(MAX((_xlfn.ANCHORARRAY(XJ26)-AVERAGE(_xlfn.ANCHORARRAY(XJ26)))/ AVERAGE(_xlfn.ANCHORARRAY(XJ26))),0)</f>
        <v>0</v>
      </c>
      <c r="XN26" t="str" cm="1">
        <f t="array" ref="XN26">IF(XM26&gt;$XN$1,_xlfn.XLOOKUP(MAX(_xlfn.ANCHORARRAY(XJ26)),_xlfn.ANCHORARRAY(XJ26),XJ$4:XL$4,""),"")</f>
        <v/>
      </c>
      <c r="XP26" cm="1">
        <f t="array" ref="XP26:XT26">SUMIFS($M26:$GJ26,$M$3:$GJ$3,XP$3:XT$3)</f>
        <v>0</v>
      </c>
      <c r="XQ26">
        <v>0</v>
      </c>
      <c r="XR26">
        <v>0</v>
      </c>
      <c r="XS26">
        <v>0</v>
      </c>
      <c r="XT26">
        <v>0</v>
      </c>
      <c r="XU26" cm="1">
        <f t="array" ref="XU26">IFERROR(MAX((_xlfn.ANCHORARRAY(XP26)-AVERAGE(_xlfn.ANCHORARRAY(XP26)))/ AVERAGE(_xlfn.ANCHORARRAY(XP26))),0)</f>
        <v>0</v>
      </c>
      <c r="XV26" t="str" cm="1">
        <f t="array" ref="XV26">IF(AND(XU26&gt;$XV$1,XN26&lt;&gt;""),_xlfn.XLOOKUP(MAX(_xlfn.ANCHORARRAY(XP26)),_xlfn.ANCHORARRAY(XP26),XP$4:XT$4,""),"")</f>
        <v/>
      </c>
      <c r="XX26" cm="1">
        <f t="array" ref="XX26:YG26">SUMIFS($M26:$GJ26,$M$2:$GJ$2,XX$3:YG$3)</f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 cm="1">
        <f t="array" ref="YH26">IFERROR(MAX((_xlfn.ANCHORARRAY(XX26)-AVERAGE(_xlfn.ANCHORARRAY(XX26)))/ AVERAGE(_xlfn.ANCHORARRAY(XX26))),0)</f>
        <v>0</v>
      </c>
      <c r="YI26" t="str" cm="1">
        <f t="array" ref="YI26">IF(YH26&gt;$YI$1,_xlfn.XLOOKUP(MAX(_xlfn.ANCHORARRAY(XX26)),_xlfn.ANCHORARRAY(XX26),XX$4:YG$4,""),"")</f>
        <v/>
      </c>
      <c r="YK26" t="str">
        <f t="shared" si="11"/>
        <v/>
      </c>
    </row>
    <row r="27" spans="1:661" x14ac:dyDescent="0.3">
      <c r="A27" s="2"/>
      <c r="B27" s="2" t="str">
        <f t="shared" si="0"/>
        <v>CHA</v>
      </c>
      <c r="C27" s="2" t="str">
        <f t="shared" si="2"/>
        <v>CHA</v>
      </c>
      <c r="D27" s="2" t="str">
        <f t="shared" si="1"/>
        <v>CHA</v>
      </c>
      <c r="E27" s="2" t="str">
        <f t="shared" si="3"/>
        <v/>
      </c>
      <c r="F27" s="2" t="str">
        <f t="shared" si="4"/>
        <v/>
      </c>
      <c r="G27" s="2">
        <f t="shared" si="5"/>
        <v>0</v>
      </c>
      <c r="H27" s="2">
        <f t="shared" si="6"/>
        <v>0</v>
      </c>
      <c r="I27" s="2">
        <f t="shared" si="7"/>
        <v>0</v>
      </c>
      <c r="J27" s="2">
        <f t="shared" si="8"/>
        <v>0</v>
      </c>
      <c r="K27" s="2">
        <f t="shared" si="9"/>
        <v>0</v>
      </c>
      <c r="L27" s="2">
        <f t="shared" si="10"/>
        <v>0</v>
      </c>
      <c r="GK27" s="13"/>
      <c r="NJ27" s="13"/>
      <c r="XJ27" cm="1">
        <f t="array" ref="XJ27:XL27">SUMIFS($M27:$GJ27,$M$1:$GJ$1,XJ$3:XL$3)</f>
        <v>0</v>
      </c>
      <c r="XK27">
        <v>0</v>
      </c>
      <c r="XL27">
        <v>0</v>
      </c>
      <c r="XM27" cm="1">
        <f t="array" ref="XM27">IFERROR(MAX((_xlfn.ANCHORARRAY(XJ27)-AVERAGE(_xlfn.ANCHORARRAY(XJ27)))/ AVERAGE(_xlfn.ANCHORARRAY(XJ27))),0)</f>
        <v>0</v>
      </c>
      <c r="XN27" t="str" cm="1">
        <f t="array" ref="XN27">IF(XM27&gt;$XN$1,_xlfn.XLOOKUP(MAX(_xlfn.ANCHORARRAY(XJ27)),_xlfn.ANCHORARRAY(XJ27),XJ$4:XL$4,""),"")</f>
        <v/>
      </c>
      <c r="XP27" cm="1">
        <f t="array" ref="XP27:XT27">SUMIFS($M27:$GJ27,$M$3:$GJ$3,XP$3:XT$3)</f>
        <v>0</v>
      </c>
      <c r="XQ27">
        <v>0</v>
      </c>
      <c r="XR27">
        <v>0</v>
      </c>
      <c r="XS27">
        <v>0</v>
      </c>
      <c r="XT27">
        <v>0</v>
      </c>
      <c r="XU27" cm="1">
        <f t="array" ref="XU27">IFERROR(MAX((_xlfn.ANCHORARRAY(XP27)-AVERAGE(_xlfn.ANCHORARRAY(XP27)))/ AVERAGE(_xlfn.ANCHORARRAY(XP27))),0)</f>
        <v>0</v>
      </c>
      <c r="XV27" t="str" cm="1">
        <f t="array" ref="XV27">IF(AND(XU27&gt;$XV$1,XN27&lt;&gt;""),_xlfn.XLOOKUP(MAX(_xlfn.ANCHORARRAY(XP27)),_xlfn.ANCHORARRAY(XP27),XP$4:XT$4,""),"")</f>
        <v/>
      </c>
      <c r="XX27" cm="1">
        <f t="array" ref="XX27:YG27">SUMIFS($M27:$GJ27,$M$2:$GJ$2,XX$3:YG$3)</f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 cm="1">
        <f t="array" ref="YH27">IFERROR(MAX((_xlfn.ANCHORARRAY(XX27)-AVERAGE(_xlfn.ANCHORARRAY(XX27)))/ AVERAGE(_xlfn.ANCHORARRAY(XX27))),0)</f>
        <v>0</v>
      </c>
      <c r="YI27" t="str" cm="1">
        <f t="array" ref="YI27">IF(YH27&gt;$YI$1,_xlfn.XLOOKUP(MAX(_xlfn.ANCHORARRAY(XX27)),_xlfn.ANCHORARRAY(XX27),XX$4:YG$4,""),"")</f>
        <v/>
      </c>
      <c r="YK27" t="str">
        <f t="shared" si="11"/>
        <v/>
      </c>
    </row>
    <row r="28" spans="1:661" x14ac:dyDescent="0.3">
      <c r="A28" s="2"/>
      <c r="B28" s="2" t="str">
        <f t="shared" si="0"/>
        <v>CHA</v>
      </c>
      <c r="C28" s="2" t="str">
        <f t="shared" si="2"/>
        <v>CHA</v>
      </c>
      <c r="D28" s="2" t="str">
        <f t="shared" si="1"/>
        <v>CHA</v>
      </c>
      <c r="E28" s="2" t="str">
        <f t="shared" si="3"/>
        <v/>
      </c>
      <c r="F28" s="2" t="str">
        <f t="shared" si="4"/>
        <v/>
      </c>
      <c r="G28" s="2">
        <f t="shared" si="5"/>
        <v>0</v>
      </c>
      <c r="H28" s="2">
        <f t="shared" si="6"/>
        <v>0</v>
      </c>
      <c r="I28" s="2">
        <f t="shared" si="7"/>
        <v>0</v>
      </c>
      <c r="J28" s="2">
        <f t="shared" si="8"/>
        <v>0</v>
      </c>
      <c r="K28" s="2">
        <f t="shared" si="9"/>
        <v>0</v>
      </c>
      <c r="L28" s="2">
        <f t="shared" si="10"/>
        <v>0</v>
      </c>
      <c r="GK28" s="13"/>
      <c r="NJ28" s="13"/>
      <c r="XJ28" cm="1">
        <f t="array" ref="XJ28:XL28">SUMIFS($M28:$GJ28,$M$1:$GJ$1,XJ$3:XL$3)</f>
        <v>0</v>
      </c>
      <c r="XK28">
        <v>0</v>
      </c>
      <c r="XL28">
        <v>0</v>
      </c>
      <c r="XM28" cm="1">
        <f t="array" ref="XM28">IFERROR(MAX((_xlfn.ANCHORARRAY(XJ28)-AVERAGE(_xlfn.ANCHORARRAY(XJ28)))/ AVERAGE(_xlfn.ANCHORARRAY(XJ28))),0)</f>
        <v>0</v>
      </c>
      <c r="XN28" t="str" cm="1">
        <f t="array" ref="XN28">IF(XM28&gt;$XN$1,_xlfn.XLOOKUP(MAX(_xlfn.ANCHORARRAY(XJ28)),_xlfn.ANCHORARRAY(XJ28),XJ$4:XL$4,""),"")</f>
        <v/>
      </c>
      <c r="XP28" cm="1">
        <f t="array" ref="XP28:XT28">SUMIFS($M28:$GJ28,$M$3:$GJ$3,XP$3:XT$3)</f>
        <v>0</v>
      </c>
      <c r="XQ28">
        <v>0</v>
      </c>
      <c r="XR28">
        <v>0</v>
      </c>
      <c r="XS28">
        <v>0</v>
      </c>
      <c r="XT28">
        <v>0</v>
      </c>
      <c r="XU28" cm="1">
        <f t="array" ref="XU28">IFERROR(MAX((_xlfn.ANCHORARRAY(XP28)-AVERAGE(_xlfn.ANCHORARRAY(XP28)))/ AVERAGE(_xlfn.ANCHORARRAY(XP28))),0)</f>
        <v>0</v>
      </c>
      <c r="XV28" t="str" cm="1">
        <f t="array" ref="XV28">IF(AND(XU28&gt;$XV$1,XN28&lt;&gt;""),_xlfn.XLOOKUP(MAX(_xlfn.ANCHORARRAY(XP28)),_xlfn.ANCHORARRAY(XP28),XP$4:XT$4,""),"")</f>
        <v/>
      </c>
      <c r="XX28" cm="1">
        <f t="array" ref="XX28:YG28">SUMIFS($M28:$GJ28,$M$2:$GJ$2,XX$3:YG$3)</f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 cm="1">
        <f t="array" ref="YH28">IFERROR(MAX((_xlfn.ANCHORARRAY(XX28)-AVERAGE(_xlfn.ANCHORARRAY(XX28)))/ AVERAGE(_xlfn.ANCHORARRAY(XX28))),0)</f>
        <v>0</v>
      </c>
      <c r="YI28" t="str" cm="1">
        <f t="array" ref="YI28">IF(YH28&gt;$YI$1,_xlfn.XLOOKUP(MAX(_xlfn.ANCHORARRAY(XX28)),_xlfn.ANCHORARRAY(XX28),XX$4:YG$4,""),"")</f>
        <v/>
      </c>
      <c r="YK28" t="str">
        <f t="shared" si="11"/>
        <v/>
      </c>
    </row>
    <row r="29" spans="1:661" x14ac:dyDescent="0.3">
      <c r="A29" s="2"/>
      <c r="B29" s="2" t="str">
        <f t="shared" si="0"/>
        <v>CHA</v>
      </c>
      <c r="C29" s="2" t="str">
        <f t="shared" si="2"/>
        <v>CHA</v>
      </c>
      <c r="D29" s="2" t="str">
        <f t="shared" si="1"/>
        <v>CHA</v>
      </c>
      <c r="E29" s="2" t="str">
        <f t="shared" si="3"/>
        <v/>
      </c>
      <c r="F29" s="2" t="str">
        <f t="shared" si="4"/>
        <v/>
      </c>
      <c r="G29" s="2">
        <f t="shared" si="5"/>
        <v>0</v>
      </c>
      <c r="H29" s="2">
        <f t="shared" si="6"/>
        <v>0</v>
      </c>
      <c r="I29" s="2">
        <f t="shared" si="7"/>
        <v>0</v>
      </c>
      <c r="J29" s="2">
        <f t="shared" si="8"/>
        <v>0</v>
      </c>
      <c r="K29" s="2">
        <f t="shared" si="9"/>
        <v>0</v>
      </c>
      <c r="L29" s="2">
        <f t="shared" si="10"/>
        <v>0</v>
      </c>
      <c r="GK29" s="13"/>
      <c r="NJ29" s="13"/>
      <c r="XJ29" cm="1">
        <f t="array" ref="XJ29:XL29">SUMIFS($M29:$GJ29,$M$1:$GJ$1,XJ$3:XL$3)</f>
        <v>0</v>
      </c>
      <c r="XK29">
        <v>0</v>
      </c>
      <c r="XL29">
        <v>0</v>
      </c>
      <c r="XM29" cm="1">
        <f t="array" ref="XM29">IFERROR(MAX((_xlfn.ANCHORARRAY(XJ29)-AVERAGE(_xlfn.ANCHORARRAY(XJ29)))/ AVERAGE(_xlfn.ANCHORARRAY(XJ29))),0)</f>
        <v>0</v>
      </c>
      <c r="XN29" t="str" cm="1">
        <f t="array" ref="XN29">IF(XM29&gt;$XN$1,_xlfn.XLOOKUP(MAX(_xlfn.ANCHORARRAY(XJ29)),_xlfn.ANCHORARRAY(XJ29),XJ$4:XL$4,""),"")</f>
        <v/>
      </c>
      <c r="XP29" cm="1">
        <f t="array" ref="XP29:XT29">SUMIFS($M29:$GJ29,$M$3:$GJ$3,XP$3:XT$3)</f>
        <v>0</v>
      </c>
      <c r="XQ29">
        <v>0</v>
      </c>
      <c r="XR29">
        <v>0</v>
      </c>
      <c r="XS29">
        <v>0</v>
      </c>
      <c r="XT29">
        <v>0</v>
      </c>
      <c r="XU29" cm="1">
        <f t="array" ref="XU29">IFERROR(MAX((_xlfn.ANCHORARRAY(XP29)-AVERAGE(_xlfn.ANCHORARRAY(XP29)))/ AVERAGE(_xlfn.ANCHORARRAY(XP29))),0)</f>
        <v>0</v>
      </c>
      <c r="XV29" t="str" cm="1">
        <f t="array" ref="XV29">IF(AND(XU29&gt;$XV$1,XN29&lt;&gt;""),_xlfn.XLOOKUP(MAX(_xlfn.ANCHORARRAY(XP29)),_xlfn.ANCHORARRAY(XP29),XP$4:XT$4,""),"")</f>
        <v/>
      </c>
      <c r="XX29" cm="1">
        <f t="array" ref="XX29:YG29">SUMIFS($M29:$GJ29,$M$2:$GJ$2,XX$3:YG$3)</f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 cm="1">
        <f t="array" ref="YH29">IFERROR(MAX((_xlfn.ANCHORARRAY(XX29)-AVERAGE(_xlfn.ANCHORARRAY(XX29)))/ AVERAGE(_xlfn.ANCHORARRAY(XX29))),0)</f>
        <v>0</v>
      </c>
      <c r="YI29" t="str" cm="1">
        <f t="array" ref="YI29">IF(YH29&gt;$YI$1,_xlfn.XLOOKUP(MAX(_xlfn.ANCHORARRAY(XX29)),_xlfn.ANCHORARRAY(XX29),XX$4:YG$4,""),"")</f>
        <v/>
      </c>
      <c r="YK29" t="str">
        <f t="shared" si="11"/>
        <v/>
      </c>
    </row>
    <row r="30" spans="1:661" x14ac:dyDescent="0.3">
      <c r="A30" s="2"/>
      <c r="B30" s="2" t="str">
        <f t="shared" si="0"/>
        <v>CHA</v>
      </c>
      <c r="C30" s="2" t="str">
        <f t="shared" si="2"/>
        <v>CHA</v>
      </c>
      <c r="D30" s="2" t="str">
        <f t="shared" si="1"/>
        <v>CHA</v>
      </c>
      <c r="E30" s="2" t="str">
        <f t="shared" si="3"/>
        <v/>
      </c>
      <c r="F30" s="2" t="str">
        <f t="shared" si="4"/>
        <v/>
      </c>
      <c r="G30" s="2">
        <f t="shared" si="5"/>
        <v>0</v>
      </c>
      <c r="H30" s="2">
        <f t="shared" si="6"/>
        <v>0</v>
      </c>
      <c r="I30" s="2">
        <f t="shared" si="7"/>
        <v>0</v>
      </c>
      <c r="J30" s="2">
        <f t="shared" si="8"/>
        <v>0</v>
      </c>
      <c r="K30" s="2">
        <f t="shared" si="9"/>
        <v>0</v>
      </c>
      <c r="L30" s="2">
        <f t="shared" si="10"/>
        <v>0</v>
      </c>
      <c r="GK30" s="13"/>
      <c r="NJ30" s="13"/>
      <c r="XJ30" cm="1">
        <f t="array" ref="XJ30:XL30">SUMIFS($M30:$GJ30,$M$1:$GJ$1,XJ$3:XL$3)</f>
        <v>0</v>
      </c>
      <c r="XK30">
        <v>0</v>
      </c>
      <c r="XL30">
        <v>0</v>
      </c>
      <c r="XM30" cm="1">
        <f t="array" ref="XM30">IFERROR(MAX((_xlfn.ANCHORARRAY(XJ30)-AVERAGE(_xlfn.ANCHORARRAY(XJ30)))/ AVERAGE(_xlfn.ANCHORARRAY(XJ30))),0)</f>
        <v>0</v>
      </c>
      <c r="XN30" t="str" cm="1">
        <f t="array" ref="XN30">IF(XM30&gt;$XN$1,_xlfn.XLOOKUP(MAX(_xlfn.ANCHORARRAY(XJ30)),_xlfn.ANCHORARRAY(XJ30),XJ$4:XL$4,""),"")</f>
        <v/>
      </c>
      <c r="XP30" cm="1">
        <f t="array" ref="XP30:XT30">SUMIFS($M30:$GJ30,$M$3:$GJ$3,XP$3:XT$3)</f>
        <v>0</v>
      </c>
      <c r="XQ30">
        <v>0</v>
      </c>
      <c r="XR30">
        <v>0</v>
      </c>
      <c r="XS30">
        <v>0</v>
      </c>
      <c r="XT30">
        <v>0</v>
      </c>
      <c r="XU30" cm="1">
        <f t="array" ref="XU30">IFERROR(MAX((_xlfn.ANCHORARRAY(XP30)-AVERAGE(_xlfn.ANCHORARRAY(XP30)))/ AVERAGE(_xlfn.ANCHORARRAY(XP30))),0)</f>
        <v>0</v>
      </c>
      <c r="XV30" t="str" cm="1">
        <f t="array" ref="XV30">IF(AND(XU30&gt;$XV$1,XN30&lt;&gt;""),_xlfn.XLOOKUP(MAX(_xlfn.ANCHORARRAY(XP30)),_xlfn.ANCHORARRAY(XP30),XP$4:XT$4,""),"")</f>
        <v/>
      </c>
      <c r="XX30" cm="1">
        <f t="array" ref="XX30:YG30">SUMIFS($M30:$GJ30,$M$2:$GJ$2,XX$3:YG$3)</f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 cm="1">
        <f t="array" ref="YH30">IFERROR(MAX((_xlfn.ANCHORARRAY(XX30)-AVERAGE(_xlfn.ANCHORARRAY(XX30)))/ AVERAGE(_xlfn.ANCHORARRAY(XX30))),0)</f>
        <v>0</v>
      </c>
      <c r="YI30" t="str" cm="1">
        <f t="array" ref="YI30">IF(YH30&gt;$YI$1,_xlfn.XLOOKUP(MAX(_xlfn.ANCHORARRAY(XX30)),_xlfn.ANCHORARRAY(XX30),XX$4:YG$4,""),"")</f>
        <v/>
      </c>
      <c r="YK30" t="str">
        <f t="shared" si="11"/>
        <v/>
      </c>
    </row>
    <row r="31" spans="1:661" x14ac:dyDescent="0.3">
      <c r="A31" s="2"/>
      <c r="B31" s="2" t="str">
        <f t="shared" si="0"/>
        <v>CHA</v>
      </c>
      <c r="C31" s="2" t="str">
        <f t="shared" si="2"/>
        <v>CHA</v>
      </c>
      <c r="D31" s="2" t="str">
        <f t="shared" si="1"/>
        <v>CHA</v>
      </c>
      <c r="E31" s="2" t="str">
        <f t="shared" si="3"/>
        <v/>
      </c>
      <c r="F31" s="2" t="str">
        <f t="shared" si="4"/>
        <v/>
      </c>
      <c r="G31" s="2">
        <f t="shared" si="5"/>
        <v>0</v>
      </c>
      <c r="H31" s="2">
        <f t="shared" si="6"/>
        <v>0</v>
      </c>
      <c r="I31" s="2">
        <f t="shared" si="7"/>
        <v>0</v>
      </c>
      <c r="J31" s="2">
        <f t="shared" si="8"/>
        <v>0</v>
      </c>
      <c r="K31" s="2">
        <f t="shared" si="9"/>
        <v>0</v>
      </c>
      <c r="L31" s="2">
        <f t="shared" si="10"/>
        <v>0</v>
      </c>
      <c r="GK31" s="13"/>
      <c r="NJ31" s="13"/>
      <c r="XJ31" cm="1">
        <f t="array" ref="XJ31:XL31">SUMIFS($M31:$GJ31,$M$1:$GJ$1,XJ$3:XL$3)</f>
        <v>0</v>
      </c>
      <c r="XK31">
        <v>0</v>
      </c>
      <c r="XL31">
        <v>0</v>
      </c>
      <c r="XM31" cm="1">
        <f t="array" ref="XM31">IFERROR(MAX((_xlfn.ANCHORARRAY(XJ31)-AVERAGE(_xlfn.ANCHORARRAY(XJ31)))/ AVERAGE(_xlfn.ANCHORARRAY(XJ31))),0)</f>
        <v>0</v>
      </c>
      <c r="XN31" t="str" cm="1">
        <f t="array" ref="XN31">IF(XM31&gt;$XN$1,_xlfn.XLOOKUP(MAX(_xlfn.ANCHORARRAY(XJ31)),_xlfn.ANCHORARRAY(XJ31),XJ$4:XL$4,""),"")</f>
        <v/>
      </c>
      <c r="XP31" cm="1">
        <f t="array" ref="XP31:XT31">SUMIFS($M31:$GJ31,$M$3:$GJ$3,XP$3:XT$3)</f>
        <v>0</v>
      </c>
      <c r="XQ31">
        <v>0</v>
      </c>
      <c r="XR31">
        <v>0</v>
      </c>
      <c r="XS31">
        <v>0</v>
      </c>
      <c r="XT31">
        <v>0</v>
      </c>
      <c r="XU31" cm="1">
        <f t="array" ref="XU31">IFERROR(MAX((_xlfn.ANCHORARRAY(XP31)-AVERAGE(_xlfn.ANCHORARRAY(XP31)))/ AVERAGE(_xlfn.ANCHORARRAY(XP31))),0)</f>
        <v>0</v>
      </c>
      <c r="XV31" t="str" cm="1">
        <f t="array" ref="XV31">IF(AND(XU31&gt;$XV$1,XN31&lt;&gt;""),_xlfn.XLOOKUP(MAX(_xlfn.ANCHORARRAY(XP31)),_xlfn.ANCHORARRAY(XP31),XP$4:XT$4,""),"")</f>
        <v/>
      </c>
      <c r="XX31" cm="1">
        <f t="array" ref="XX31:YG31">SUMIFS($M31:$GJ31,$M$2:$GJ$2,XX$3:YG$3)</f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 cm="1">
        <f t="array" ref="YH31">IFERROR(MAX((_xlfn.ANCHORARRAY(XX31)-AVERAGE(_xlfn.ANCHORARRAY(XX31)))/ AVERAGE(_xlfn.ANCHORARRAY(XX31))),0)</f>
        <v>0</v>
      </c>
      <c r="YI31" t="str" cm="1">
        <f t="array" ref="YI31">IF(YH31&gt;$YI$1,_xlfn.XLOOKUP(MAX(_xlfn.ANCHORARRAY(XX31)),_xlfn.ANCHORARRAY(XX31),XX$4:YG$4,""),"")</f>
        <v/>
      </c>
      <c r="YK31" t="str">
        <f t="shared" si="11"/>
        <v/>
      </c>
    </row>
    <row r="32" spans="1:661" x14ac:dyDescent="0.3">
      <c r="A32" s="2"/>
      <c r="B32" s="2" t="str">
        <f t="shared" si="0"/>
        <v>CHA</v>
      </c>
      <c r="C32" s="2" t="str">
        <f t="shared" si="2"/>
        <v>CHA</v>
      </c>
      <c r="D32" s="2" t="str">
        <f t="shared" si="1"/>
        <v>CHA</v>
      </c>
      <c r="E32" s="2" t="str">
        <f t="shared" si="3"/>
        <v/>
      </c>
      <c r="F32" s="2" t="str">
        <f t="shared" si="4"/>
        <v/>
      </c>
      <c r="G32" s="2">
        <f t="shared" si="5"/>
        <v>0</v>
      </c>
      <c r="H32" s="2">
        <f t="shared" si="6"/>
        <v>0</v>
      </c>
      <c r="I32" s="2">
        <f t="shared" si="7"/>
        <v>0</v>
      </c>
      <c r="J32" s="2">
        <f t="shared" si="8"/>
        <v>0</v>
      </c>
      <c r="K32" s="2">
        <f t="shared" si="9"/>
        <v>0</v>
      </c>
      <c r="L32" s="2">
        <f t="shared" si="10"/>
        <v>0</v>
      </c>
      <c r="GK32" s="13"/>
      <c r="NJ32" s="13"/>
      <c r="XJ32" cm="1">
        <f t="array" ref="XJ32:XL32">SUMIFS($M32:$GJ32,$M$1:$GJ$1,XJ$3:XL$3)</f>
        <v>0</v>
      </c>
      <c r="XK32">
        <v>0</v>
      </c>
      <c r="XL32">
        <v>0</v>
      </c>
      <c r="XM32" cm="1">
        <f t="array" ref="XM32">IFERROR(MAX((_xlfn.ANCHORARRAY(XJ32)-AVERAGE(_xlfn.ANCHORARRAY(XJ32)))/ AVERAGE(_xlfn.ANCHORARRAY(XJ32))),0)</f>
        <v>0</v>
      </c>
      <c r="XN32" t="str" cm="1">
        <f t="array" ref="XN32">IF(XM32&gt;$XN$1,_xlfn.XLOOKUP(MAX(_xlfn.ANCHORARRAY(XJ32)),_xlfn.ANCHORARRAY(XJ32),XJ$4:XL$4,""),"")</f>
        <v/>
      </c>
      <c r="XP32" cm="1">
        <f t="array" ref="XP32:XT32">SUMIFS($M32:$GJ32,$M$3:$GJ$3,XP$3:XT$3)</f>
        <v>0</v>
      </c>
      <c r="XQ32">
        <v>0</v>
      </c>
      <c r="XR32">
        <v>0</v>
      </c>
      <c r="XS32">
        <v>0</v>
      </c>
      <c r="XT32">
        <v>0</v>
      </c>
      <c r="XU32" cm="1">
        <f t="array" ref="XU32">IFERROR(MAX((_xlfn.ANCHORARRAY(XP32)-AVERAGE(_xlfn.ANCHORARRAY(XP32)))/ AVERAGE(_xlfn.ANCHORARRAY(XP32))),0)</f>
        <v>0</v>
      </c>
      <c r="XV32" t="str" cm="1">
        <f t="array" ref="XV32">IF(AND(XU32&gt;$XV$1,XN32&lt;&gt;""),_xlfn.XLOOKUP(MAX(_xlfn.ANCHORARRAY(XP32)),_xlfn.ANCHORARRAY(XP32),XP$4:XT$4,""),"")</f>
        <v/>
      </c>
      <c r="XX32" cm="1">
        <f t="array" ref="XX32:YG32">SUMIFS($M32:$GJ32,$M$2:$GJ$2,XX$3:YG$3)</f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 cm="1">
        <f t="array" ref="YH32">IFERROR(MAX((_xlfn.ANCHORARRAY(XX32)-AVERAGE(_xlfn.ANCHORARRAY(XX32)))/ AVERAGE(_xlfn.ANCHORARRAY(XX32))),0)</f>
        <v>0</v>
      </c>
      <c r="YI32" t="str" cm="1">
        <f t="array" ref="YI32">IF(YH32&gt;$YI$1,_xlfn.XLOOKUP(MAX(_xlfn.ANCHORARRAY(XX32)),_xlfn.ANCHORARRAY(XX32),XX$4:YG$4,""),"")</f>
        <v/>
      </c>
      <c r="YK32" t="str">
        <f t="shared" si="11"/>
        <v/>
      </c>
    </row>
    <row r="33" spans="1:661" x14ac:dyDescent="0.3">
      <c r="A33" s="2"/>
      <c r="B33" s="2" t="str">
        <f t="shared" si="0"/>
        <v>CHA</v>
      </c>
      <c r="C33" s="2" t="str">
        <f t="shared" si="2"/>
        <v>CHA</v>
      </c>
      <c r="D33" s="2" t="str">
        <f t="shared" si="1"/>
        <v>CHA</v>
      </c>
      <c r="E33" s="2" t="str">
        <f t="shared" si="3"/>
        <v/>
      </c>
      <c r="F33" s="2" t="str">
        <f t="shared" si="4"/>
        <v/>
      </c>
      <c r="G33" s="2">
        <f t="shared" si="5"/>
        <v>0</v>
      </c>
      <c r="H33" s="2">
        <f t="shared" si="6"/>
        <v>0</v>
      </c>
      <c r="I33" s="2">
        <f t="shared" si="7"/>
        <v>0</v>
      </c>
      <c r="J33" s="2">
        <f t="shared" si="8"/>
        <v>0</v>
      </c>
      <c r="K33" s="2">
        <f t="shared" si="9"/>
        <v>0</v>
      </c>
      <c r="L33" s="2">
        <f t="shared" si="10"/>
        <v>0</v>
      </c>
      <c r="GK33" s="13"/>
      <c r="NJ33" s="13"/>
      <c r="XJ33" cm="1">
        <f t="array" ref="XJ33:XL33">SUMIFS($M33:$GJ33,$M$1:$GJ$1,XJ$3:XL$3)</f>
        <v>0</v>
      </c>
      <c r="XK33">
        <v>0</v>
      </c>
      <c r="XL33">
        <v>0</v>
      </c>
      <c r="XM33" cm="1">
        <f t="array" ref="XM33">IFERROR(MAX((_xlfn.ANCHORARRAY(XJ33)-AVERAGE(_xlfn.ANCHORARRAY(XJ33)))/ AVERAGE(_xlfn.ANCHORARRAY(XJ33))),0)</f>
        <v>0</v>
      </c>
      <c r="XN33" t="str" cm="1">
        <f t="array" ref="XN33">IF(XM33&gt;$XN$1,_xlfn.XLOOKUP(MAX(_xlfn.ANCHORARRAY(XJ33)),_xlfn.ANCHORARRAY(XJ33),XJ$4:XL$4,""),"")</f>
        <v/>
      </c>
      <c r="XP33" cm="1">
        <f t="array" ref="XP33:XT33">SUMIFS($M33:$GJ33,$M$3:$GJ$3,XP$3:XT$3)</f>
        <v>0</v>
      </c>
      <c r="XQ33">
        <v>0</v>
      </c>
      <c r="XR33">
        <v>0</v>
      </c>
      <c r="XS33">
        <v>0</v>
      </c>
      <c r="XT33">
        <v>0</v>
      </c>
      <c r="XU33" cm="1">
        <f t="array" ref="XU33">IFERROR(MAX((_xlfn.ANCHORARRAY(XP33)-AVERAGE(_xlfn.ANCHORARRAY(XP33)))/ AVERAGE(_xlfn.ANCHORARRAY(XP33))),0)</f>
        <v>0</v>
      </c>
      <c r="XV33" t="str" cm="1">
        <f t="array" ref="XV33">IF(AND(XU33&gt;$XV$1,XN33&lt;&gt;""),_xlfn.XLOOKUP(MAX(_xlfn.ANCHORARRAY(XP33)),_xlfn.ANCHORARRAY(XP33),XP$4:XT$4,""),"")</f>
        <v/>
      </c>
      <c r="XX33" cm="1">
        <f t="array" ref="XX33:YG33">SUMIFS($M33:$GJ33,$M$2:$GJ$2,XX$3:YG$3)</f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 cm="1">
        <f t="array" ref="YH33">IFERROR(MAX((_xlfn.ANCHORARRAY(XX33)-AVERAGE(_xlfn.ANCHORARRAY(XX33)))/ AVERAGE(_xlfn.ANCHORARRAY(XX33))),0)</f>
        <v>0</v>
      </c>
      <c r="YI33" t="str" cm="1">
        <f t="array" ref="YI33">IF(YH33&gt;$YI$1,_xlfn.XLOOKUP(MAX(_xlfn.ANCHORARRAY(XX33)),_xlfn.ANCHORARRAY(XX33),XX$4:YG$4,""),"")</f>
        <v/>
      </c>
      <c r="YK33" t="str">
        <f t="shared" si="11"/>
        <v/>
      </c>
    </row>
    <row r="34" spans="1:661" x14ac:dyDescent="0.3">
      <c r="A34" s="2"/>
      <c r="B34" s="2" t="str">
        <f t="shared" si="0"/>
        <v>CHA</v>
      </c>
      <c r="C34" s="2" t="str">
        <f t="shared" si="2"/>
        <v>CHA</v>
      </c>
      <c r="D34" s="2" t="str">
        <f t="shared" si="1"/>
        <v>CHA</v>
      </c>
      <c r="E34" s="2" t="str">
        <f t="shared" si="3"/>
        <v/>
      </c>
      <c r="F34" s="2" t="str">
        <f t="shared" si="4"/>
        <v/>
      </c>
      <c r="G34" s="2">
        <f t="shared" si="5"/>
        <v>0</v>
      </c>
      <c r="H34" s="2">
        <f t="shared" si="6"/>
        <v>0</v>
      </c>
      <c r="I34" s="2">
        <f t="shared" si="7"/>
        <v>0</v>
      </c>
      <c r="J34" s="2">
        <f t="shared" si="8"/>
        <v>0</v>
      </c>
      <c r="K34" s="2">
        <f t="shared" si="9"/>
        <v>0</v>
      </c>
      <c r="L34" s="2">
        <f t="shared" si="10"/>
        <v>0</v>
      </c>
      <c r="GK34" s="13"/>
      <c r="NJ34" s="13"/>
      <c r="XJ34" cm="1">
        <f t="array" ref="XJ34:XL34">SUMIFS($M34:$GJ34,$M$1:$GJ$1,XJ$3:XL$3)</f>
        <v>0</v>
      </c>
      <c r="XK34">
        <v>0</v>
      </c>
      <c r="XL34">
        <v>0</v>
      </c>
      <c r="XM34" cm="1">
        <f t="array" ref="XM34">IFERROR(MAX((_xlfn.ANCHORARRAY(XJ34)-AVERAGE(_xlfn.ANCHORARRAY(XJ34)))/ AVERAGE(_xlfn.ANCHORARRAY(XJ34))),0)</f>
        <v>0</v>
      </c>
      <c r="XN34" t="str" cm="1">
        <f t="array" ref="XN34">IF(XM34&gt;$XN$1,_xlfn.XLOOKUP(MAX(_xlfn.ANCHORARRAY(XJ34)),_xlfn.ANCHORARRAY(XJ34),XJ$4:XL$4,""),"")</f>
        <v/>
      </c>
      <c r="XP34" cm="1">
        <f t="array" ref="XP34:XT34">SUMIFS($M34:$GJ34,$M$3:$GJ$3,XP$3:XT$3)</f>
        <v>0</v>
      </c>
      <c r="XQ34">
        <v>0</v>
      </c>
      <c r="XR34">
        <v>0</v>
      </c>
      <c r="XS34">
        <v>0</v>
      </c>
      <c r="XT34">
        <v>0</v>
      </c>
      <c r="XU34" cm="1">
        <f t="array" ref="XU34">IFERROR(MAX((_xlfn.ANCHORARRAY(XP34)-AVERAGE(_xlfn.ANCHORARRAY(XP34)))/ AVERAGE(_xlfn.ANCHORARRAY(XP34))),0)</f>
        <v>0</v>
      </c>
      <c r="XV34" t="str" cm="1">
        <f t="array" ref="XV34">IF(AND(XU34&gt;$XV$1,XN34&lt;&gt;""),_xlfn.XLOOKUP(MAX(_xlfn.ANCHORARRAY(XP34)),_xlfn.ANCHORARRAY(XP34),XP$4:XT$4,""),"")</f>
        <v/>
      </c>
      <c r="XX34" cm="1">
        <f t="array" ref="XX34:YG34">SUMIFS($M34:$GJ34,$M$2:$GJ$2,XX$3:YG$3)</f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 cm="1">
        <f t="array" ref="YH34">IFERROR(MAX((_xlfn.ANCHORARRAY(XX34)-AVERAGE(_xlfn.ANCHORARRAY(XX34)))/ AVERAGE(_xlfn.ANCHORARRAY(XX34))),0)</f>
        <v>0</v>
      </c>
      <c r="YI34" t="str" cm="1">
        <f t="array" ref="YI34">IF(YH34&gt;$YI$1,_xlfn.XLOOKUP(MAX(_xlfn.ANCHORARRAY(XX34)),_xlfn.ANCHORARRAY(XX34),XX$4:YG$4,""),"")</f>
        <v/>
      </c>
      <c r="YK34" t="str">
        <f t="shared" si="11"/>
        <v/>
      </c>
    </row>
    <row r="35" spans="1:661" x14ac:dyDescent="0.3">
      <c r="A35" s="2"/>
      <c r="B35" s="2" t="str">
        <f t="shared" si="0"/>
        <v>CHA</v>
      </c>
      <c r="C35" s="2" t="str">
        <f t="shared" si="2"/>
        <v>CHA</v>
      </c>
      <c r="D35" s="2" t="str">
        <f t="shared" si="1"/>
        <v>CHA</v>
      </c>
      <c r="E35" s="2" t="str">
        <f t="shared" si="3"/>
        <v/>
      </c>
      <c r="F35" s="2" t="str">
        <f t="shared" si="4"/>
        <v/>
      </c>
      <c r="G35" s="2">
        <f t="shared" si="5"/>
        <v>0</v>
      </c>
      <c r="H35" s="2">
        <f t="shared" si="6"/>
        <v>0</v>
      </c>
      <c r="I35" s="2">
        <f t="shared" si="7"/>
        <v>0</v>
      </c>
      <c r="J35" s="2">
        <f t="shared" si="8"/>
        <v>0</v>
      </c>
      <c r="K35" s="2">
        <f t="shared" si="9"/>
        <v>0</v>
      </c>
      <c r="L35" s="2">
        <f t="shared" si="10"/>
        <v>0</v>
      </c>
      <c r="GK35" s="13"/>
      <c r="NJ35" s="13"/>
      <c r="XJ35" cm="1">
        <f t="array" ref="XJ35:XL35">SUMIFS($M35:$GJ35,$M$1:$GJ$1,XJ$3:XL$3)</f>
        <v>0</v>
      </c>
      <c r="XK35">
        <v>0</v>
      </c>
      <c r="XL35">
        <v>0</v>
      </c>
      <c r="XM35" cm="1">
        <f t="array" ref="XM35">IFERROR(MAX((_xlfn.ANCHORARRAY(XJ35)-AVERAGE(_xlfn.ANCHORARRAY(XJ35)))/ AVERAGE(_xlfn.ANCHORARRAY(XJ35))),0)</f>
        <v>0</v>
      </c>
      <c r="XN35" t="str" cm="1">
        <f t="array" ref="XN35">IF(XM35&gt;$XN$1,_xlfn.XLOOKUP(MAX(_xlfn.ANCHORARRAY(XJ35)),_xlfn.ANCHORARRAY(XJ35),XJ$4:XL$4,""),"")</f>
        <v/>
      </c>
      <c r="XP35" cm="1">
        <f t="array" ref="XP35:XT35">SUMIFS($M35:$GJ35,$M$3:$GJ$3,XP$3:XT$3)</f>
        <v>0</v>
      </c>
      <c r="XQ35">
        <v>0</v>
      </c>
      <c r="XR35">
        <v>0</v>
      </c>
      <c r="XS35">
        <v>0</v>
      </c>
      <c r="XT35">
        <v>0</v>
      </c>
      <c r="XU35" cm="1">
        <f t="array" ref="XU35">IFERROR(MAX((_xlfn.ANCHORARRAY(XP35)-AVERAGE(_xlfn.ANCHORARRAY(XP35)))/ AVERAGE(_xlfn.ANCHORARRAY(XP35))),0)</f>
        <v>0</v>
      </c>
      <c r="XV35" t="str" cm="1">
        <f t="array" ref="XV35">IF(AND(XU35&gt;$XV$1,XN35&lt;&gt;""),_xlfn.XLOOKUP(MAX(_xlfn.ANCHORARRAY(XP35)),_xlfn.ANCHORARRAY(XP35),XP$4:XT$4,""),"")</f>
        <v/>
      </c>
      <c r="XX35" cm="1">
        <f t="array" ref="XX35:YG35">SUMIFS($M35:$GJ35,$M$2:$GJ$2,XX$3:YG$3)</f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 cm="1">
        <f t="array" ref="YH35">IFERROR(MAX((_xlfn.ANCHORARRAY(XX35)-AVERAGE(_xlfn.ANCHORARRAY(XX35)))/ AVERAGE(_xlfn.ANCHORARRAY(XX35))),0)</f>
        <v>0</v>
      </c>
      <c r="YI35" t="str" cm="1">
        <f t="array" ref="YI35">IF(YH35&gt;$YI$1,_xlfn.XLOOKUP(MAX(_xlfn.ANCHORARRAY(XX35)),_xlfn.ANCHORARRAY(XX35),XX$4:YG$4,""),"")</f>
        <v/>
      </c>
      <c r="YK35" t="str">
        <f t="shared" si="11"/>
        <v/>
      </c>
    </row>
    <row r="36" spans="1:661" x14ac:dyDescent="0.3">
      <c r="A36" s="2"/>
      <c r="B36" s="2" t="str">
        <f t="shared" si="0"/>
        <v>CHA</v>
      </c>
      <c r="C36" s="2" t="str">
        <f t="shared" si="2"/>
        <v>CHA</v>
      </c>
      <c r="D36" s="2" t="str">
        <f t="shared" si="1"/>
        <v>CHA</v>
      </c>
      <c r="E36" s="2" t="str">
        <f t="shared" si="3"/>
        <v/>
      </c>
      <c r="F36" s="2" t="str">
        <f t="shared" si="4"/>
        <v/>
      </c>
      <c r="G36" s="2">
        <f t="shared" si="5"/>
        <v>0</v>
      </c>
      <c r="H36" s="2">
        <f t="shared" si="6"/>
        <v>0</v>
      </c>
      <c r="I36" s="2">
        <f t="shared" si="7"/>
        <v>0</v>
      </c>
      <c r="J36" s="2">
        <f t="shared" si="8"/>
        <v>0</v>
      </c>
      <c r="K36" s="2">
        <f t="shared" si="9"/>
        <v>0</v>
      </c>
      <c r="L36" s="2">
        <f t="shared" si="10"/>
        <v>0</v>
      </c>
      <c r="GK36" s="13"/>
      <c r="NJ36" s="13"/>
      <c r="XJ36" cm="1">
        <f t="array" ref="XJ36:XL36">SUMIFS($M36:$GJ36,$M$1:$GJ$1,XJ$3:XL$3)</f>
        <v>0</v>
      </c>
      <c r="XK36">
        <v>0</v>
      </c>
      <c r="XL36">
        <v>0</v>
      </c>
      <c r="XM36" cm="1">
        <f t="array" ref="XM36">IFERROR(MAX((_xlfn.ANCHORARRAY(XJ36)-AVERAGE(_xlfn.ANCHORARRAY(XJ36)))/ AVERAGE(_xlfn.ANCHORARRAY(XJ36))),0)</f>
        <v>0</v>
      </c>
      <c r="XN36" t="str" cm="1">
        <f t="array" ref="XN36">IF(XM36&gt;$XN$1,_xlfn.XLOOKUP(MAX(_xlfn.ANCHORARRAY(XJ36)),_xlfn.ANCHORARRAY(XJ36),XJ$4:XL$4,""),"")</f>
        <v/>
      </c>
      <c r="XP36" cm="1">
        <f t="array" ref="XP36:XT36">SUMIFS($M36:$GJ36,$M$3:$GJ$3,XP$3:XT$3)</f>
        <v>0</v>
      </c>
      <c r="XQ36">
        <v>0</v>
      </c>
      <c r="XR36">
        <v>0</v>
      </c>
      <c r="XS36">
        <v>0</v>
      </c>
      <c r="XT36">
        <v>0</v>
      </c>
      <c r="XU36" cm="1">
        <f t="array" ref="XU36">IFERROR(MAX((_xlfn.ANCHORARRAY(XP36)-AVERAGE(_xlfn.ANCHORARRAY(XP36)))/ AVERAGE(_xlfn.ANCHORARRAY(XP36))),0)</f>
        <v>0</v>
      </c>
      <c r="XV36" t="str" cm="1">
        <f t="array" ref="XV36">IF(AND(XU36&gt;$XV$1,XN36&lt;&gt;""),_xlfn.XLOOKUP(MAX(_xlfn.ANCHORARRAY(XP36)),_xlfn.ANCHORARRAY(XP36),XP$4:XT$4,""),"")</f>
        <v/>
      </c>
      <c r="XX36" cm="1">
        <f t="array" ref="XX36:YG36">SUMIFS($M36:$GJ36,$M$2:$GJ$2,XX$3:YG$3)</f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 cm="1">
        <f t="array" ref="YH36">IFERROR(MAX((_xlfn.ANCHORARRAY(XX36)-AVERAGE(_xlfn.ANCHORARRAY(XX36)))/ AVERAGE(_xlfn.ANCHORARRAY(XX36))),0)</f>
        <v>0</v>
      </c>
      <c r="YI36" t="str" cm="1">
        <f t="array" ref="YI36">IF(YH36&gt;$YI$1,_xlfn.XLOOKUP(MAX(_xlfn.ANCHORARRAY(XX36)),_xlfn.ANCHORARRAY(XX36),XX$4:YG$4,""),"")</f>
        <v/>
      </c>
      <c r="YK36" t="str">
        <f t="shared" si="11"/>
        <v/>
      </c>
    </row>
    <row r="37" spans="1:661" x14ac:dyDescent="0.3">
      <c r="A37" s="2"/>
      <c r="B37" s="2" t="str">
        <f t="shared" ref="B37:B68" si="12">IF(C37="NotFound",D37,C37)</f>
        <v>CHA</v>
      </c>
      <c r="C37" s="2" t="str">
        <f t="shared" si="2"/>
        <v>CHA</v>
      </c>
      <c r="D37" s="2" t="str">
        <f t="shared" ref="D37:D68" si="13">IF(G37&gt;1,"NotFound","CHA"&amp;_xlfn.XLOOKUP(MAX(GL37:NI37,1),GL37:NI37,$GL$4:$NI$4,""))</f>
        <v>CHA</v>
      </c>
      <c r="E37" s="2" t="str">
        <f t="shared" si="3"/>
        <v/>
      </c>
      <c r="F37" s="2" t="str">
        <f t="shared" si="4"/>
        <v/>
      </c>
      <c r="G37" s="2">
        <f t="shared" si="5"/>
        <v>0</v>
      </c>
      <c r="H37" s="2">
        <f t="shared" si="6"/>
        <v>0</v>
      </c>
      <c r="I37" s="2">
        <f t="shared" si="7"/>
        <v>0</v>
      </c>
      <c r="J37" s="2">
        <f t="shared" si="8"/>
        <v>0</v>
      </c>
      <c r="K37" s="2">
        <f t="shared" si="9"/>
        <v>0</v>
      </c>
      <c r="L37" s="2">
        <f t="shared" si="10"/>
        <v>0</v>
      </c>
      <c r="GK37" s="13"/>
      <c r="NJ37" s="13"/>
      <c r="XJ37" cm="1">
        <f t="array" ref="XJ37:XL37">SUMIFS($M37:$GJ37,$M$1:$GJ$1,XJ$3:XL$3)</f>
        <v>0</v>
      </c>
      <c r="XK37">
        <v>0</v>
      </c>
      <c r="XL37">
        <v>0</v>
      </c>
      <c r="XM37" cm="1">
        <f t="array" ref="XM37">IFERROR(MAX((_xlfn.ANCHORARRAY(XJ37)-AVERAGE(_xlfn.ANCHORARRAY(XJ37)))/ AVERAGE(_xlfn.ANCHORARRAY(XJ37))),0)</f>
        <v>0</v>
      </c>
      <c r="XN37" t="str" cm="1">
        <f t="array" ref="XN37">IF(XM37&gt;$XN$1,_xlfn.XLOOKUP(MAX(_xlfn.ANCHORARRAY(XJ37)),_xlfn.ANCHORARRAY(XJ37),XJ$4:XL$4,""),"")</f>
        <v/>
      </c>
      <c r="XP37" cm="1">
        <f t="array" ref="XP37:XT37">SUMIFS($M37:$GJ37,$M$3:$GJ$3,XP$3:XT$3)</f>
        <v>0</v>
      </c>
      <c r="XQ37">
        <v>0</v>
      </c>
      <c r="XR37">
        <v>0</v>
      </c>
      <c r="XS37">
        <v>0</v>
      </c>
      <c r="XT37">
        <v>0</v>
      </c>
      <c r="XU37" cm="1">
        <f t="array" ref="XU37">IFERROR(MAX((_xlfn.ANCHORARRAY(XP37)-AVERAGE(_xlfn.ANCHORARRAY(XP37)))/ AVERAGE(_xlfn.ANCHORARRAY(XP37))),0)</f>
        <v>0</v>
      </c>
      <c r="XV37" t="str" cm="1">
        <f t="array" ref="XV37">IF(AND(XU37&gt;$XV$1,XN37&lt;&gt;""),_xlfn.XLOOKUP(MAX(_xlfn.ANCHORARRAY(XP37)),_xlfn.ANCHORARRAY(XP37),XP$4:XT$4,""),"")</f>
        <v/>
      </c>
      <c r="XX37" cm="1">
        <f t="array" ref="XX37:YG37">SUMIFS($M37:$GJ37,$M$2:$GJ$2,XX$3:YG$3)</f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 cm="1">
        <f t="array" ref="YH37">IFERROR(MAX((_xlfn.ANCHORARRAY(XX37)-AVERAGE(_xlfn.ANCHORARRAY(XX37)))/ AVERAGE(_xlfn.ANCHORARRAY(XX37))),0)</f>
        <v>0</v>
      </c>
      <c r="YI37" t="str" cm="1">
        <f t="array" ref="YI37">IF(YH37&gt;$YI$1,_xlfn.XLOOKUP(MAX(_xlfn.ANCHORARRAY(XX37)),_xlfn.ANCHORARRAY(XX37),XX$4:YG$4,""),"")</f>
        <v/>
      </c>
      <c r="YK37" t="str">
        <f t="shared" si="11"/>
        <v/>
      </c>
    </row>
    <row r="38" spans="1:661" x14ac:dyDescent="0.3">
      <c r="A38" s="2"/>
      <c r="B38" s="2" t="str">
        <f t="shared" si="12"/>
        <v>CHA</v>
      </c>
      <c r="C38" s="2" t="str">
        <f t="shared" si="2"/>
        <v>CHA</v>
      </c>
      <c r="D38" s="2" t="str">
        <f t="shared" si="13"/>
        <v>CHA</v>
      </c>
      <c r="E38" s="2" t="str">
        <f t="shared" si="3"/>
        <v/>
      </c>
      <c r="F38" s="2" t="str">
        <f t="shared" si="4"/>
        <v/>
      </c>
      <c r="G38" s="2">
        <f t="shared" si="5"/>
        <v>0</v>
      </c>
      <c r="H38" s="2">
        <f t="shared" si="6"/>
        <v>0</v>
      </c>
      <c r="I38" s="2">
        <f t="shared" si="7"/>
        <v>0</v>
      </c>
      <c r="J38" s="2">
        <f t="shared" si="8"/>
        <v>0</v>
      </c>
      <c r="K38" s="2">
        <f t="shared" si="9"/>
        <v>0</v>
      </c>
      <c r="L38" s="2">
        <f t="shared" si="10"/>
        <v>0</v>
      </c>
      <c r="GK38" s="13"/>
      <c r="NJ38" s="13"/>
      <c r="XJ38" cm="1">
        <f t="array" ref="XJ38:XL38">SUMIFS($M38:$GJ38,$M$1:$GJ$1,XJ$3:XL$3)</f>
        <v>0</v>
      </c>
      <c r="XK38">
        <v>0</v>
      </c>
      <c r="XL38">
        <v>0</v>
      </c>
      <c r="XM38" cm="1">
        <f t="array" ref="XM38">IFERROR(MAX((_xlfn.ANCHORARRAY(XJ38)-AVERAGE(_xlfn.ANCHORARRAY(XJ38)))/ AVERAGE(_xlfn.ANCHORARRAY(XJ38))),0)</f>
        <v>0</v>
      </c>
      <c r="XN38" t="str" cm="1">
        <f t="array" ref="XN38">IF(XM38&gt;$XN$1,_xlfn.XLOOKUP(MAX(_xlfn.ANCHORARRAY(XJ38)),_xlfn.ANCHORARRAY(XJ38),XJ$4:XL$4,""),"")</f>
        <v/>
      </c>
      <c r="XP38" cm="1">
        <f t="array" ref="XP38:XT38">SUMIFS($M38:$GJ38,$M$3:$GJ$3,XP$3:XT$3)</f>
        <v>0</v>
      </c>
      <c r="XQ38">
        <v>0</v>
      </c>
      <c r="XR38">
        <v>0</v>
      </c>
      <c r="XS38">
        <v>0</v>
      </c>
      <c r="XT38">
        <v>0</v>
      </c>
      <c r="XU38" cm="1">
        <f t="array" ref="XU38">IFERROR(MAX((_xlfn.ANCHORARRAY(XP38)-AVERAGE(_xlfn.ANCHORARRAY(XP38)))/ AVERAGE(_xlfn.ANCHORARRAY(XP38))),0)</f>
        <v>0</v>
      </c>
      <c r="XV38" t="str" cm="1">
        <f t="array" ref="XV38">IF(AND(XU38&gt;$XV$1,XN38&lt;&gt;""),_xlfn.XLOOKUP(MAX(_xlfn.ANCHORARRAY(XP38)),_xlfn.ANCHORARRAY(XP38),XP$4:XT$4,""),"")</f>
        <v/>
      </c>
      <c r="XX38" cm="1">
        <f t="array" ref="XX38:YG38">SUMIFS($M38:$GJ38,$M$2:$GJ$2,XX$3:YG$3)</f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 cm="1">
        <f t="array" ref="YH38">IFERROR(MAX((_xlfn.ANCHORARRAY(XX38)-AVERAGE(_xlfn.ANCHORARRAY(XX38)))/ AVERAGE(_xlfn.ANCHORARRAY(XX38))),0)</f>
        <v>0</v>
      </c>
      <c r="YI38" t="str" cm="1">
        <f t="array" ref="YI38">IF(YH38&gt;$YI$1,_xlfn.XLOOKUP(MAX(_xlfn.ANCHORARRAY(XX38)),_xlfn.ANCHORARRAY(XX38),XX$4:YG$4,""),"")</f>
        <v/>
      </c>
      <c r="YK38" t="str">
        <f t="shared" si="11"/>
        <v/>
      </c>
    </row>
    <row r="39" spans="1:661" x14ac:dyDescent="0.3">
      <c r="A39" s="2"/>
      <c r="B39" s="2" t="str">
        <f t="shared" si="12"/>
        <v>CHA</v>
      </c>
      <c r="C39" s="2" t="str">
        <f t="shared" si="2"/>
        <v>CHA</v>
      </c>
      <c r="D39" s="2" t="str">
        <f t="shared" si="13"/>
        <v>CHA</v>
      </c>
      <c r="E39" s="2" t="str">
        <f t="shared" si="3"/>
        <v/>
      </c>
      <c r="F39" s="2" t="str">
        <f t="shared" si="4"/>
        <v/>
      </c>
      <c r="G39" s="2">
        <f t="shared" si="5"/>
        <v>0</v>
      </c>
      <c r="H39" s="2">
        <f t="shared" si="6"/>
        <v>0</v>
      </c>
      <c r="I39" s="2">
        <f t="shared" si="7"/>
        <v>0</v>
      </c>
      <c r="J39" s="2">
        <f t="shared" si="8"/>
        <v>0</v>
      </c>
      <c r="K39" s="2">
        <f t="shared" si="9"/>
        <v>0</v>
      </c>
      <c r="L39" s="2">
        <f t="shared" si="10"/>
        <v>0</v>
      </c>
      <c r="GK39" s="13"/>
      <c r="NJ39" s="13"/>
      <c r="XJ39" cm="1">
        <f t="array" ref="XJ39:XL39">SUMIFS($M39:$GJ39,$M$1:$GJ$1,XJ$3:XL$3)</f>
        <v>0</v>
      </c>
      <c r="XK39">
        <v>0</v>
      </c>
      <c r="XL39">
        <v>0</v>
      </c>
      <c r="XM39" cm="1">
        <f t="array" ref="XM39">IFERROR(MAX((_xlfn.ANCHORARRAY(XJ39)-AVERAGE(_xlfn.ANCHORARRAY(XJ39)))/ AVERAGE(_xlfn.ANCHORARRAY(XJ39))),0)</f>
        <v>0</v>
      </c>
      <c r="XN39" t="str" cm="1">
        <f t="array" ref="XN39">IF(XM39&gt;$XN$1,_xlfn.XLOOKUP(MAX(_xlfn.ANCHORARRAY(XJ39)),_xlfn.ANCHORARRAY(XJ39),XJ$4:XL$4,""),"")</f>
        <v/>
      </c>
      <c r="XP39" cm="1">
        <f t="array" ref="XP39:XT39">SUMIFS($M39:$GJ39,$M$3:$GJ$3,XP$3:XT$3)</f>
        <v>0</v>
      </c>
      <c r="XQ39">
        <v>0</v>
      </c>
      <c r="XR39">
        <v>0</v>
      </c>
      <c r="XS39">
        <v>0</v>
      </c>
      <c r="XT39">
        <v>0</v>
      </c>
      <c r="XU39" cm="1">
        <f t="array" ref="XU39">IFERROR(MAX((_xlfn.ANCHORARRAY(XP39)-AVERAGE(_xlfn.ANCHORARRAY(XP39)))/ AVERAGE(_xlfn.ANCHORARRAY(XP39))),0)</f>
        <v>0</v>
      </c>
      <c r="XV39" t="str" cm="1">
        <f t="array" ref="XV39">IF(AND(XU39&gt;$XV$1,XN39&lt;&gt;""),_xlfn.XLOOKUP(MAX(_xlfn.ANCHORARRAY(XP39)),_xlfn.ANCHORARRAY(XP39),XP$4:XT$4,""),"")</f>
        <v/>
      </c>
      <c r="XX39" cm="1">
        <f t="array" ref="XX39:YG39">SUMIFS($M39:$GJ39,$M$2:$GJ$2,XX$3:YG$3)</f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 cm="1">
        <f t="array" ref="YH39">IFERROR(MAX((_xlfn.ANCHORARRAY(XX39)-AVERAGE(_xlfn.ANCHORARRAY(XX39)))/ AVERAGE(_xlfn.ANCHORARRAY(XX39))),0)</f>
        <v>0</v>
      </c>
      <c r="YI39" t="str" cm="1">
        <f t="array" ref="YI39">IF(YH39&gt;$YI$1,_xlfn.XLOOKUP(MAX(_xlfn.ANCHORARRAY(XX39)),_xlfn.ANCHORARRAY(XX39),XX$4:YG$4,""),"")</f>
        <v/>
      </c>
      <c r="YK39" t="str">
        <f t="shared" si="11"/>
        <v/>
      </c>
    </row>
    <row r="40" spans="1:661" x14ac:dyDescent="0.3">
      <c r="A40" s="2"/>
      <c r="B40" s="2" t="str">
        <f t="shared" si="12"/>
        <v>CHA</v>
      </c>
      <c r="C40" s="2" t="str">
        <f t="shared" si="2"/>
        <v>CHA</v>
      </c>
      <c r="D40" s="2" t="str">
        <f t="shared" si="13"/>
        <v>CHA</v>
      </c>
      <c r="E40" s="2" t="str">
        <f t="shared" si="3"/>
        <v/>
      </c>
      <c r="F40" s="2" t="str">
        <f t="shared" si="4"/>
        <v/>
      </c>
      <c r="G40" s="2">
        <f t="shared" si="5"/>
        <v>0</v>
      </c>
      <c r="H40" s="2">
        <f t="shared" si="6"/>
        <v>0</v>
      </c>
      <c r="I40" s="2">
        <f t="shared" si="7"/>
        <v>0</v>
      </c>
      <c r="J40" s="2">
        <f t="shared" si="8"/>
        <v>0</v>
      </c>
      <c r="K40" s="2">
        <f t="shared" si="9"/>
        <v>0</v>
      </c>
      <c r="L40" s="2">
        <f t="shared" si="10"/>
        <v>0</v>
      </c>
      <c r="GK40" s="13"/>
      <c r="NJ40" s="13"/>
      <c r="XJ40" cm="1">
        <f t="array" ref="XJ40:XL40">SUMIFS($M40:$GJ40,$M$1:$GJ$1,XJ$3:XL$3)</f>
        <v>0</v>
      </c>
      <c r="XK40">
        <v>0</v>
      </c>
      <c r="XL40">
        <v>0</v>
      </c>
      <c r="XM40" cm="1">
        <f t="array" ref="XM40">IFERROR(MAX((_xlfn.ANCHORARRAY(XJ40)-AVERAGE(_xlfn.ANCHORARRAY(XJ40)))/ AVERAGE(_xlfn.ANCHORARRAY(XJ40))),0)</f>
        <v>0</v>
      </c>
      <c r="XN40" t="str" cm="1">
        <f t="array" ref="XN40">IF(XM40&gt;$XN$1,_xlfn.XLOOKUP(MAX(_xlfn.ANCHORARRAY(XJ40)),_xlfn.ANCHORARRAY(XJ40),XJ$4:XL$4,""),"")</f>
        <v/>
      </c>
      <c r="XP40" cm="1">
        <f t="array" ref="XP40:XT40">SUMIFS($M40:$GJ40,$M$3:$GJ$3,XP$3:XT$3)</f>
        <v>0</v>
      </c>
      <c r="XQ40">
        <v>0</v>
      </c>
      <c r="XR40">
        <v>0</v>
      </c>
      <c r="XS40">
        <v>0</v>
      </c>
      <c r="XT40">
        <v>0</v>
      </c>
      <c r="XU40" cm="1">
        <f t="array" ref="XU40">IFERROR(MAX((_xlfn.ANCHORARRAY(XP40)-AVERAGE(_xlfn.ANCHORARRAY(XP40)))/ AVERAGE(_xlfn.ANCHORARRAY(XP40))),0)</f>
        <v>0</v>
      </c>
      <c r="XV40" t="str" cm="1">
        <f t="array" ref="XV40">IF(AND(XU40&gt;$XV$1,XN40&lt;&gt;""),_xlfn.XLOOKUP(MAX(_xlfn.ANCHORARRAY(XP40)),_xlfn.ANCHORARRAY(XP40),XP$4:XT$4,""),"")</f>
        <v/>
      </c>
      <c r="XX40" cm="1">
        <f t="array" ref="XX40:YG40">SUMIFS($M40:$GJ40,$M$2:$GJ$2,XX$3:YG$3)</f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 cm="1">
        <f t="array" ref="YH40">IFERROR(MAX((_xlfn.ANCHORARRAY(XX40)-AVERAGE(_xlfn.ANCHORARRAY(XX40)))/ AVERAGE(_xlfn.ANCHORARRAY(XX40))),0)</f>
        <v>0</v>
      </c>
      <c r="YI40" t="str" cm="1">
        <f t="array" ref="YI40">IF(YH40&gt;$YI$1,_xlfn.XLOOKUP(MAX(_xlfn.ANCHORARRAY(XX40)),_xlfn.ANCHORARRAY(XX40),XX$4:YG$4,""),"")</f>
        <v/>
      </c>
      <c r="YK40" t="str">
        <f t="shared" si="11"/>
        <v/>
      </c>
    </row>
    <row r="41" spans="1:661" x14ac:dyDescent="0.3">
      <c r="A41" s="2"/>
      <c r="B41" s="2" t="str">
        <f t="shared" si="12"/>
        <v>CHA</v>
      </c>
      <c r="C41" s="2" t="str">
        <f t="shared" si="2"/>
        <v>CHA</v>
      </c>
      <c r="D41" s="2" t="str">
        <f t="shared" si="13"/>
        <v>CHA</v>
      </c>
      <c r="E41" s="2" t="str">
        <f t="shared" si="3"/>
        <v/>
      </c>
      <c r="F41" s="2" t="str">
        <f t="shared" si="4"/>
        <v/>
      </c>
      <c r="G41" s="2">
        <f t="shared" si="5"/>
        <v>0</v>
      </c>
      <c r="H41" s="2">
        <f t="shared" si="6"/>
        <v>0</v>
      </c>
      <c r="I41" s="2">
        <f t="shared" si="7"/>
        <v>0</v>
      </c>
      <c r="J41" s="2">
        <f t="shared" si="8"/>
        <v>0</v>
      </c>
      <c r="K41" s="2">
        <f t="shared" si="9"/>
        <v>0</v>
      </c>
      <c r="L41" s="2">
        <f t="shared" si="10"/>
        <v>0</v>
      </c>
      <c r="GK41" s="13"/>
      <c r="NJ41" s="13"/>
      <c r="XJ41" cm="1">
        <f t="array" ref="XJ41:XL41">SUMIFS($M41:$GJ41,$M$1:$GJ$1,XJ$3:XL$3)</f>
        <v>0</v>
      </c>
      <c r="XK41">
        <v>0</v>
      </c>
      <c r="XL41">
        <v>0</v>
      </c>
      <c r="XM41" cm="1">
        <f t="array" ref="XM41">IFERROR(MAX((_xlfn.ANCHORARRAY(XJ41)-AVERAGE(_xlfn.ANCHORARRAY(XJ41)))/ AVERAGE(_xlfn.ANCHORARRAY(XJ41))),0)</f>
        <v>0</v>
      </c>
      <c r="XN41" t="str" cm="1">
        <f t="array" ref="XN41">IF(XM41&gt;$XN$1,_xlfn.XLOOKUP(MAX(_xlfn.ANCHORARRAY(XJ41)),_xlfn.ANCHORARRAY(XJ41),XJ$4:XL$4,""),"")</f>
        <v/>
      </c>
      <c r="XP41" cm="1">
        <f t="array" ref="XP41:XT41">SUMIFS($M41:$GJ41,$M$3:$GJ$3,XP$3:XT$3)</f>
        <v>0</v>
      </c>
      <c r="XQ41">
        <v>0</v>
      </c>
      <c r="XR41">
        <v>0</v>
      </c>
      <c r="XS41">
        <v>0</v>
      </c>
      <c r="XT41">
        <v>0</v>
      </c>
      <c r="XU41" cm="1">
        <f t="array" ref="XU41">IFERROR(MAX((_xlfn.ANCHORARRAY(XP41)-AVERAGE(_xlfn.ANCHORARRAY(XP41)))/ AVERAGE(_xlfn.ANCHORARRAY(XP41))),0)</f>
        <v>0</v>
      </c>
      <c r="XV41" t="str" cm="1">
        <f t="array" ref="XV41">IF(AND(XU41&gt;$XV$1,XN41&lt;&gt;""),_xlfn.XLOOKUP(MAX(_xlfn.ANCHORARRAY(XP41)),_xlfn.ANCHORARRAY(XP41),XP$4:XT$4,""),"")</f>
        <v/>
      </c>
      <c r="XX41" cm="1">
        <f t="array" ref="XX41:YG41">SUMIFS($M41:$GJ41,$M$2:$GJ$2,XX$3:YG$3)</f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 cm="1">
        <f t="array" ref="YH41">IFERROR(MAX((_xlfn.ANCHORARRAY(XX41)-AVERAGE(_xlfn.ANCHORARRAY(XX41)))/ AVERAGE(_xlfn.ANCHORARRAY(XX41))),0)</f>
        <v>0</v>
      </c>
      <c r="YI41" t="str" cm="1">
        <f t="array" ref="YI41">IF(YH41&gt;$YI$1,_xlfn.XLOOKUP(MAX(_xlfn.ANCHORARRAY(XX41)),_xlfn.ANCHORARRAY(XX41),XX$4:YG$4,""),"")</f>
        <v/>
      </c>
      <c r="YK41" t="str">
        <f t="shared" si="11"/>
        <v/>
      </c>
    </row>
    <row r="42" spans="1:661" x14ac:dyDescent="0.3">
      <c r="A42" s="2"/>
      <c r="B42" s="2" t="str">
        <f t="shared" si="12"/>
        <v>CHA</v>
      </c>
      <c r="C42" s="2" t="str">
        <f t="shared" si="2"/>
        <v>CHA</v>
      </c>
      <c r="D42" s="2" t="str">
        <f t="shared" si="13"/>
        <v>CHA</v>
      </c>
      <c r="E42" s="2" t="str">
        <f t="shared" si="3"/>
        <v/>
      </c>
      <c r="F42" s="2" t="str">
        <f t="shared" si="4"/>
        <v/>
      </c>
      <c r="G42" s="2">
        <f t="shared" si="5"/>
        <v>0</v>
      </c>
      <c r="H42" s="2">
        <f t="shared" si="6"/>
        <v>0</v>
      </c>
      <c r="I42" s="2">
        <f t="shared" si="7"/>
        <v>0</v>
      </c>
      <c r="J42" s="2">
        <f t="shared" si="8"/>
        <v>0</v>
      </c>
      <c r="K42" s="2">
        <f t="shared" si="9"/>
        <v>0</v>
      </c>
      <c r="L42" s="2">
        <f t="shared" si="10"/>
        <v>0</v>
      </c>
      <c r="GK42" s="13"/>
      <c r="NJ42" s="13"/>
      <c r="XJ42" cm="1">
        <f t="array" ref="XJ42:XL42">SUMIFS($M42:$GJ42,$M$1:$GJ$1,XJ$3:XL$3)</f>
        <v>0</v>
      </c>
      <c r="XK42">
        <v>0</v>
      </c>
      <c r="XL42">
        <v>0</v>
      </c>
      <c r="XM42" cm="1">
        <f t="array" ref="XM42">IFERROR(MAX((_xlfn.ANCHORARRAY(XJ42)-AVERAGE(_xlfn.ANCHORARRAY(XJ42)))/ AVERAGE(_xlfn.ANCHORARRAY(XJ42))),0)</f>
        <v>0</v>
      </c>
      <c r="XN42" t="str" cm="1">
        <f t="array" ref="XN42">IF(XM42&gt;$XN$1,_xlfn.XLOOKUP(MAX(_xlfn.ANCHORARRAY(XJ42)),_xlfn.ANCHORARRAY(XJ42),XJ$4:XL$4,""),"")</f>
        <v/>
      </c>
      <c r="XP42" cm="1">
        <f t="array" ref="XP42:XT42">SUMIFS($M42:$GJ42,$M$3:$GJ$3,XP$3:XT$3)</f>
        <v>0</v>
      </c>
      <c r="XQ42">
        <v>0</v>
      </c>
      <c r="XR42">
        <v>0</v>
      </c>
      <c r="XS42">
        <v>0</v>
      </c>
      <c r="XT42">
        <v>0</v>
      </c>
      <c r="XU42" cm="1">
        <f t="array" ref="XU42">IFERROR(MAX((_xlfn.ANCHORARRAY(XP42)-AVERAGE(_xlfn.ANCHORARRAY(XP42)))/ AVERAGE(_xlfn.ANCHORARRAY(XP42))),0)</f>
        <v>0</v>
      </c>
      <c r="XV42" t="str" cm="1">
        <f t="array" ref="XV42">IF(AND(XU42&gt;$XV$1,XN42&lt;&gt;""),_xlfn.XLOOKUP(MAX(_xlfn.ANCHORARRAY(XP42)),_xlfn.ANCHORARRAY(XP42),XP$4:XT$4,""),"")</f>
        <v/>
      </c>
      <c r="XX42" cm="1">
        <f t="array" ref="XX42:YG42">SUMIFS($M42:$GJ42,$M$2:$GJ$2,XX$3:YG$3)</f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 cm="1">
        <f t="array" ref="YH42">IFERROR(MAX((_xlfn.ANCHORARRAY(XX42)-AVERAGE(_xlfn.ANCHORARRAY(XX42)))/ AVERAGE(_xlfn.ANCHORARRAY(XX42))),0)</f>
        <v>0</v>
      </c>
      <c r="YI42" t="str" cm="1">
        <f t="array" ref="YI42">IF(YH42&gt;$YI$1,_xlfn.XLOOKUP(MAX(_xlfn.ANCHORARRAY(XX42)),_xlfn.ANCHORARRAY(XX42),XX$4:YG$4,""),"")</f>
        <v/>
      </c>
      <c r="YK42" t="str">
        <f t="shared" si="11"/>
        <v/>
      </c>
    </row>
    <row r="43" spans="1:661" x14ac:dyDescent="0.3">
      <c r="A43" s="2"/>
      <c r="B43" s="2" t="str">
        <f t="shared" si="12"/>
        <v>CHA</v>
      </c>
      <c r="C43" s="2" t="str">
        <f t="shared" si="2"/>
        <v>CHA</v>
      </c>
      <c r="D43" s="2" t="str">
        <f t="shared" si="13"/>
        <v>CHA</v>
      </c>
      <c r="E43" s="2" t="str">
        <f t="shared" si="3"/>
        <v/>
      </c>
      <c r="F43" s="2" t="str">
        <f t="shared" si="4"/>
        <v/>
      </c>
      <c r="G43" s="2">
        <f t="shared" si="5"/>
        <v>0</v>
      </c>
      <c r="H43" s="2">
        <f t="shared" si="6"/>
        <v>0</v>
      </c>
      <c r="I43" s="2">
        <f t="shared" si="7"/>
        <v>0</v>
      </c>
      <c r="J43" s="2">
        <f t="shared" si="8"/>
        <v>0</v>
      </c>
      <c r="K43" s="2">
        <f t="shared" si="9"/>
        <v>0</v>
      </c>
      <c r="L43" s="2">
        <f t="shared" si="10"/>
        <v>0</v>
      </c>
      <c r="GK43" s="13"/>
      <c r="NJ43" s="13"/>
      <c r="XJ43" cm="1">
        <f t="array" ref="XJ43:XL43">SUMIFS($M43:$GJ43,$M$1:$GJ$1,XJ$3:XL$3)</f>
        <v>0</v>
      </c>
      <c r="XK43">
        <v>0</v>
      </c>
      <c r="XL43">
        <v>0</v>
      </c>
      <c r="XM43" cm="1">
        <f t="array" ref="XM43">IFERROR(MAX((_xlfn.ANCHORARRAY(XJ43)-AVERAGE(_xlfn.ANCHORARRAY(XJ43)))/ AVERAGE(_xlfn.ANCHORARRAY(XJ43))),0)</f>
        <v>0</v>
      </c>
      <c r="XN43" t="str" cm="1">
        <f t="array" ref="XN43">IF(XM43&gt;$XN$1,_xlfn.XLOOKUP(MAX(_xlfn.ANCHORARRAY(XJ43)),_xlfn.ANCHORARRAY(XJ43),XJ$4:XL$4,""),"")</f>
        <v/>
      </c>
      <c r="XP43" cm="1">
        <f t="array" ref="XP43:XT43">SUMIFS($M43:$GJ43,$M$3:$GJ$3,XP$3:XT$3)</f>
        <v>0</v>
      </c>
      <c r="XQ43">
        <v>0</v>
      </c>
      <c r="XR43">
        <v>0</v>
      </c>
      <c r="XS43">
        <v>0</v>
      </c>
      <c r="XT43">
        <v>0</v>
      </c>
      <c r="XU43" cm="1">
        <f t="array" ref="XU43">IFERROR(MAX((_xlfn.ANCHORARRAY(XP43)-AVERAGE(_xlfn.ANCHORARRAY(XP43)))/ AVERAGE(_xlfn.ANCHORARRAY(XP43))),0)</f>
        <v>0</v>
      </c>
      <c r="XV43" t="str" cm="1">
        <f t="array" ref="XV43">IF(AND(XU43&gt;$XV$1,XN43&lt;&gt;""),_xlfn.XLOOKUP(MAX(_xlfn.ANCHORARRAY(XP43)),_xlfn.ANCHORARRAY(XP43),XP$4:XT$4,""),"")</f>
        <v/>
      </c>
      <c r="XX43" cm="1">
        <f t="array" ref="XX43:YG43">SUMIFS($M43:$GJ43,$M$2:$GJ$2,XX$3:YG$3)</f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 cm="1">
        <f t="array" ref="YH43">IFERROR(MAX((_xlfn.ANCHORARRAY(XX43)-AVERAGE(_xlfn.ANCHORARRAY(XX43)))/ AVERAGE(_xlfn.ANCHORARRAY(XX43))),0)</f>
        <v>0</v>
      </c>
      <c r="YI43" t="str" cm="1">
        <f t="array" ref="YI43">IF(YH43&gt;$YI$1,_xlfn.XLOOKUP(MAX(_xlfn.ANCHORARRAY(XX43)),_xlfn.ANCHORARRAY(XX43),XX$4:YG$4,""),"")</f>
        <v/>
      </c>
      <c r="YK43" t="str">
        <f t="shared" si="11"/>
        <v/>
      </c>
    </row>
    <row r="44" spans="1:661" x14ac:dyDescent="0.3">
      <c r="A44" s="2"/>
      <c r="B44" s="2" t="str">
        <f t="shared" si="12"/>
        <v>CHA</v>
      </c>
      <c r="C44" s="2" t="str">
        <f t="shared" si="2"/>
        <v>CHA</v>
      </c>
      <c r="D44" s="2" t="str">
        <f t="shared" si="13"/>
        <v>CHA</v>
      </c>
      <c r="E44" s="2" t="str">
        <f t="shared" si="3"/>
        <v/>
      </c>
      <c r="F44" s="2" t="str">
        <f t="shared" si="4"/>
        <v/>
      </c>
      <c r="G44" s="2">
        <f t="shared" si="5"/>
        <v>0</v>
      </c>
      <c r="H44" s="2">
        <f t="shared" si="6"/>
        <v>0</v>
      </c>
      <c r="I44" s="2">
        <f t="shared" si="7"/>
        <v>0</v>
      </c>
      <c r="J44" s="2">
        <f t="shared" si="8"/>
        <v>0</v>
      </c>
      <c r="K44" s="2">
        <f t="shared" si="9"/>
        <v>0</v>
      </c>
      <c r="L44" s="2">
        <f t="shared" si="10"/>
        <v>0</v>
      </c>
      <c r="GK44" s="13"/>
      <c r="NJ44" s="13"/>
      <c r="XJ44" cm="1">
        <f t="array" ref="XJ44:XL44">SUMIFS($M44:$GJ44,$M$1:$GJ$1,XJ$3:XL$3)</f>
        <v>0</v>
      </c>
      <c r="XK44">
        <v>0</v>
      </c>
      <c r="XL44">
        <v>0</v>
      </c>
      <c r="XM44" cm="1">
        <f t="array" ref="XM44">IFERROR(MAX((_xlfn.ANCHORARRAY(XJ44)-AVERAGE(_xlfn.ANCHORARRAY(XJ44)))/ AVERAGE(_xlfn.ANCHORARRAY(XJ44))),0)</f>
        <v>0</v>
      </c>
      <c r="XN44" t="str" cm="1">
        <f t="array" ref="XN44">IF(XM44&gt;$XN$1,_xlfn.XLOOKUP(MAX(_xlfn.ANCHORARRAY(XJ44)),_xlfn.ANCHORARRAY(XJ44),XJ$4:XL$4,""),"")</f>
        <v/>
      </c>
      <c r="XP44" cm="1">
        <f t="array" ref="XP44:XT44">SUMIFS($M44:$GJ44,$M$3:$GJ$3,XP$3:XT$3)</f>
        <v>0</v>
      </c>
      <c r="XQ44">
        <v>0</v>
      </c>
      <c r="XR44">
        <v>0</v>
      </c>
      <c r="XS44">
        <v>0</v>
      </c>
      <c r="XT44">
        <v>0</v>
      </c>
      <c r="XU44" cm="1">
        <f t="array" ref="XU44">IFERROR(MAX((_xlfn.ANCHORARRAY(XP44)-AVERAGE(_xlfn.ANCHORARRAY(XP44)))/ AVERAGE(_xlfn.ANCHORARRAY(XP44))),0)</f>
        <v>0</v>
      </c>
      <c r="XV44" t="str" cm="1">
        <f t="array" ref="XV44">IF(AND(XU44&gt;$XV$1,XN44&lt;&gt;""),_xlfn.XLOOKUP(MAX(_xlfn.ANCHORARRAY(XP44)),_xlfn.ANCHORARRAY(XP44),XP$4:XT$4,""),"")</f>
        <v/>
      </c>
      <c r="XX44" cm="1">
        <f t="array" ref="XX44:YG44">SUMIFS($M44:$GJ44,$M$2:$GJ$2,XX$3:YG$3)</f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 cm="1">
        <f t="array" ref="YH44">IFERROR(MAX((_xlfn.ANCHORARRAY(XX44)-AVERAGE(_xlfn.ANCHORARRAY(XX44)))/ AVERAGE(_xlfn.ANCHORARRAY(XX44))),0)</f>
        <v>0</v>
      </c>
      <c r="YI44" t="str" cm="1">
        <f t="array" ref="YI44">IF(YH44&gt;$YI$1,_xlfn.XLOOKUP(MAX(_xlfn.ANCHORARRAY(XX44)),_xlfn.ANCHORARRAY(XX44),XX$4:YG$4,""),"")</f>
        <v/>
      </c>
      <c r="YK44" t="str">
        <f t="shared" si="11"/>
        <v/>
      </c>
    </row>
    <row r="45" spans="1:661" x14ac:dyDescent="0.3">
      <c r="A45" s="2"/>
      <c r="B45" s="2" t="str">
        <f t="shared" si="12"/>
        <v>CHA</v>
      </c>
      <c r="C45" s="2" t="str">
        <f t="shared" si="2"/>
        <v>CHA</v>
      </c>
      <c r="D45" s="2" t="str">
        <f t="shared" si="13"/>
        <v>CHA</v>
      </c>
      <c r="E45" s="2" t="str">
        <f t="shared" si="3"/>
        <v/>
      </c>
      <c r="F45" s="2" t="str">
        <f t="shared" si="4"/>
        <v/>
      </c>
      <c r="G45" s="2">
        <f t="shared" si="5"/>
        <v>0</v>
      </c>
      <c r="H45" s="2">
        <f t="shared" si="6"/>
        <v>0</v>
      </c>
      <c r="I45" s="2">
        <f t="shared" si="7"/>
        <v>0</v>
      </c>
      <c r="J45" s="2">
        <f t="shared" si="8"/>
        <v>0</v>
      </c>
      <c r="K45" s="2">
        <f t="shared" si="9"/>
        <v>0</v>
      </c>
      <c r="L45" s="2">
        <f t="shared" si="10"/>
        <v>0</v>
      </c>
      <c r="GK45" s="13"/>
      <c r="NJ45" s="13"/>
      <c r="XJ45" cm="1">
        <f t="array" ref="XJ45:XL45">SUMIFS($M45:$GJ45,$M$1:$GJ$1,XJ$3:XL$3)</f>
        <v>0</v>
      </c>
      <c r="XK45">
        <v>0</v>
      </c>
      <c r="XL45">
        <v>0</v>
      </c>
      <c r="XM45" cm="1">
        <f t="array" ref="XM45">IFERROR(MAX((_xlfn.ANCHORARRAY(XJ45)-AVERAGE(_xlfn.ANCHORARRAY(XJ45)))/ AVERAGE(_xlfn.ANCHORARRAY(XJ45))),0)</f>
        <v>0</v>
      </c>
      <c r="XN45" t="str" cm="1">
        <f t="array" ref="XN45">IF(XM45&gt;$XN$1,_xlfn.XLOOKUP(MAX(_xlfn.ANCHORARRAY(XJ45)),_xlfn.ANCHORARRAY(XJ45),XJ$4:XL$4,""),"")</f>
        <v/>
      </c>
      <c r="XP45" cm="1">
        <f t="array" ref="XP45:XT45">SUMIFS($M45:$GJ45,$M$3:$GJ$3,XP$3:XT$3)</f>
        <v>0</v>
      </c>
      <c r="XQ45">
        <v>0</v>
      </c>
      <c r="XR45">
        <v>0</v>
      </c>
      <c r="XS45">
        <v>0</v>
      </c>
      <c r="XT45">
        <v>0</v>
      </c>
      <c r="XU45" cm="1">
        <f t="array" ref="XU45">IFERROR(MAX((_xlfn.ANCHORARRAY(XP45)-AVERAGE(_xlfn.ANCHORARRAY(XP45)))/ AVERAGE(_xlfn.ANCHORARRAY(XP45))),0)</f>
        <v>0</v>
      </c>
      <c r="XV45" t="str" cm="1">
        <f t="array" ref="XV45">IF(AND(XU45&gt;$XV$1,XN45&lt;&gt;""),_xlfn.XLOOKUP(MAX(_xlfn.ANCHORARRAY(XP45)),_xlfn.ANCHORARRAY(XP45),XP$4:XT$4,""),"")</f>
        <v/>
      </c>
      <c r="XX45" cm="1">
        <f t="array" ref="XX45:YG45">SUMIFS($M45:$GJ45,$M$2:$GJ$2,XX$3:YG$3)</f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 cm="1">
        <f t="array" ref="YH45">IFERROR(MAX((_xlfn.ANCHORARRAY(XX45)-AVERAGE(_xlfn.ANCHORARRAY(XX45)))/ AVERAGE(_xlfn.ANCHORARRAY(XX45))),0)</f>
        <v>0</v>
      </c>
      <c r="YI45" t="str" cm="1">
        <f t="array" ref="YI45">IF(YH45&gt;$YI$1,_xlfn.XLOOKUP(MAX(_xlfn.ANCHORARRAY(XX45)),_xlfn.ANCHORARRAY(XX45),XX$4:YG$4,""),"")</f>
        <v/>
      </c>
      <c r="YK45" t="str">
        <f t="shared" si="11"/>
        <v/>
      </c>
    </row>
    <row r="46" spans="1:661" x14ac:dyDescent="0.3">
      <c r="A46" s="2"/>
      <c r="B46" s="2" t="str">
        <f t="shared" si="12"/>
        <v>CHA</v>
      </c>
      <c r="C46" s="2" t="str">
        <f t="shared" si="2"/>
        <v>CHA</v>
      </c>
      <c r="D46" s="2" t="str">
        <f t="shared" si="13"/>
        <v>CHA</v>
      </c>
      <c r="E46" s="2" t="str">
        <f t="shared" si="3"/>
        <v/>
      </c>
      <c r="F46" s="2" t="str">
        <f t="shared" si="4"/>
        <v/>
      </c>
      <c r="G46" s="2">
        <f t="shared" si="5"/>
        <v>0</v>
      </c>
      <c r="H46" s="2">
        <f t="shared" si="6"/>
        <v>0</v>
      </c>
      <c r="I46" s="2">
        <f t="shared" si="7"/>
        <v>0</v>
      </c>
      <c r="J46" s="2">
        <f t="shared" si="8"/>
        <v>0</v>
      </c>
      <c r="K46" s="2">
        <f t="shared" si="9"/>
        <v>0</v>
      </c>
      <c r="L46" s="2">
        <f t="shared" si="10"/>
        <v>0</v>
      </c>
      <c r="GK46" s="13"/>
      <c r="NJ46" s="13"/>
      <c r="XJ46" cm="1">
        <f t="array" ref="XJ46:XL46">SUMIFS($M46:$GJ46,$M$1:$GJ$1,XJ$3:XL$3)</f>
        <v>0</v>
      </c>
      <c r="XK46">
        <v>0</v>
      </c>
      <c r="XL46">
        <v>0</v>
      </c>
      <c r="XM46" cm="1">
        <f t="array" ref="XM46">IFERROR(MAX((_xlfn.ANCHORARRAY(XJ46)-AVERAGE(_xlfn.ANCHORARRAY(XJ46)))/ AVERAGE(_xlfn.ANCHORARRAY(XJ46))),0)</f>
        <v>0</v>
      </c>
      <c r="XN46" t="str" cm="1">
        <f t="array" ref="XN46">IF(XM46&gt;$XN$1,_xlfn.XLOOKUP(MAX(_xlfn.ANCHORARRAY(XJ46)),_xlfn.ANCHORARRAY(XJ46),XJ$4:XL$4,""),"")</f>
        <v/>
      </c>
      <c r="XP46" cm="1">
        <f t="array" ref="XP46:XT46">SUMIFS($M46:$GJ46,$M$3:$GJ$3,XP$3:XT$3)</f>
        <v>0</v>
      </c>
      <c r="XQ46">
        <v>0</v>
      </c>
      <c r="XR46">
        <v>0</v>
      </c>
      <c r="XS46">
        <v>0</v>
      </c>
      <c r="XT46">
        <v>0</v>
      </c>
      <c r="XU46" cm="1">
        <f t="array" ref="XU46">IFERROR(MAX((_xlfn.ANCHORARRAY(XP46)-AVERAGE(_xlfn.ANCHORARRAY(XP46)))/ AVERAGE(_xlfn.ANCHORARRAY(XP46))),0)</f>
        <v>0</v>
      </c>
      <c r="XV46" t="str" cm="1">
        <f t="array" ref="XV46">IF(AND(XU46&gt;$XV$1,XN46&lt;&gt;""),_xlfn.XLOOKUP(MAX(_xlfn.ANCHORARRAY(XP46)),_xlfn.ANCHORARRAY(XP46),XP$4:XT$4,""),"")</f>
        <v/>
      </c>
      <c r="XX46" cm="1">
        <f t="array" ref="XX46:YG46">SUMIFS($M46:$GJ46,$M$2:$GJ$2,XX$3:YG$3)</f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 cm="1">
        <f t="array" ref="YH46">IFERROR(MAX((_xlfn.ANCHORARRAY(XX46)-AVERAGE(_xlfn.ANCHORARRAY(XX46)))/ AVERAGE(_xlfn.ANCHORARRAY(XX46))),0)</f>
        <v>0</v>
      </c>
      <c r="YI46" t="str" cm="1">
        <f t="array" ref="YI46">IF(YH46&gt;$YI$1,_xlfn.XLOOKUP(MAX(_xlfn.ANCHORARRAY(XX46)),_xlfn.ANCHORARRAY(XX46),XX$4:YG$4,""),"")</f>
        <v/>
      </c>
      <c r="YK46" t="str">
        <f t="shared" si="11"/>
        <v/>
      </c>
    </row>
    <row r="47" spans="1:661" x14ac:dyDescent="0.3">
      <c r="A47" s="2"/>
      <c r="B47" s="2" t="str">
        <f t="shared" si="12"/>
        <v>CHA</v>
      </c>
      <c r="C47" s="2" t="str">
        <f t="shared" si="2"/>
        <v>CHA</v>
      </c>
      <c r="D47" s="2" t="str">
        <f t="shared" si="13"/>
        <v>CHA</v>
      </c>
      <c r="E47" s="2" t="str">
        <f t="shared" si="3"/>
        <v/>
      </c>
      <c r="F47" s="2" t="str">
        <f t="shared" si="4"/>
        <v/>
      </c>
      <c r="G47" s="2">
        <f t="shared" si="5"/>
        <v>0</v>
      </c>
      <c r="H47" s="2">
        <f t="shared" si="6"/>
        <v>0</v>
      </c>
      <c r="I47" s="2">
        <f t="shared" si="7"/>
        <v>0</v>
      </c>
      <c r="J47" s="2">
        <f t="shared" si="8"/>
        <v>0</v>
      </c>
      <c r="K47" s="2">
        <f t="shared" si="9"/>
        <v>0</v>
      </c>
      <c r="L47" s="2">
        <f t="shared" si="10"/>
        <v>0</v>
      </c>
      <c r="GK47" s="13"/>
      <c r="NJ47" s="13"/>
      <c r="XJ47" cm="1">
        <f t="array" ref="XJ47:XL47">SUMIFS($M47:$GJ47,$M$1:$GJ$1,XJ$3:XL$3)</f>
        <v>0</v>
      </c>
      <c r="XK47">
        <v>0</v>
      </c>
      <c r="XL47">
        <v>0</v>
      </c>
      <c r="XM47" cm="1">
        <f t="array" ref="XM47">IFERROR(MAX((_xlfn.ANCHORARRAY(XJ47)-AVERAGE(_xlfn.ANCHORARRAY(XJ47)))/ AVERAGE(_xlfn.ANCHORARRAY(XJ47))),0)</f>
        <v>0</v>
      </c>
      <c r="XN47" t="str" cm="1">
        <f t="array" ref="XN47">IF(XM47&gt;$XN$1,_xlfn.XLOOKUP(MAX(_xlfn.ANCHORARRAY(XJ47)),_xlfn.ANCHORARRAY(XJ47),XJ$4:XL$4,""),"")</f>
        <v/>
      </c>
      <c r="XP47" cm="1">
        <f t="array" ref="XP47:XT47">SUMIFS($M47:$GJ47,$M$3:$GJ$3,XP$3:XT$3)</f>
        <v>0</v>
      </c>
      <c r="XQ47">
        <v>0</v>
      </c>
      <c r="XR47">
        <v>0</v>
      </c>
      <c r="XS47">
        <v>0</v>
      </c>
      <c r="XT47">
        <v>0</v>
      </c>
      <c r="XU47" cm="1">
        <f t="array" ref="XU47">IFERROR(MAX((_xlfn.ANCHORARRAY(XP47)-AVERAGE(_xlfn.ANCHORARRAY(XP47)))/ AVERAGE(_xlfn.ANCHORARRAY(XP47))),0)</f>
        <v>0</v>
      </c>
      <c r="XV47" t="str" cm="1">
        <f t="array" ref="XV47">IF(AND(XU47&gt;$XV$1,XN47&lt;&gt;""),_xlfn.XLOOKUP(MAX(_xlfn.ANCHORARRAY(XP47)),_xlfn.ANCHORARRAY(XP47),XP$4:XT$4,""),"")</f>
        <v/>
      </c>
      <c r="XX47" cm="1">
        <f t="array" ref="XX47:YG47">SUMIFS($M47:$GJ47,$M$2:$GJ$2,XX$3:YG$3)</f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 cm="1">
        <f t="array" ref="YH47">IFERROR(MAX((_xlfn.ANCHORARRAY(XX47)-AVERAGE(_xlfn.ANCHORARRAY(XX47)))/ AVERAGE(_xlfn.ANCHORARRAY(XX47))),0)</f>
        <v>0</v>
      </c>
      <c r="YI47" t="str" cm="1">
        <f t="array" ref="YI47">IF(YH47&gt;$YI$1,_xlfn.XLOOKUP(MAX(_xlfn.ANCHORARRAY(XX47)),_xlfn.ANCHORARRAY(XX47),XX$4:YG$4,""),"")</f>
        <v/>
      </c>
      <c r="YK47" t="str">
        <f t="shared" si="11"/>
        <v/>
      </c>
    </row>
    <row r="48" spans="1:661" x14ac:dyDescent="0.3">
      <c r="A48" s="2"/>
      <c r="B48" s="2" t="str">
        <f t="shared" si="12"/>
        <v>CHA</v>
      </c>
      <c r="C48" s="2" t="str">
        <f t="shared" si="2"/>
        <v>CHA</v>
      </c>
      <c r="D48" s="2" t="str">
        <f t="shared" si="13"/>
        <v>CHA</v>
      </c>
      <c r="E48" s="2" t="str">
        <f t="shared" si="3"/>
        <v/>
      </c>
      <c r="F48" s="2" t="str">
        <f t="shared" si="4"/>
        <v/>
      </c>
      <c r="G48" s="2">
        <f t="shared" si="5"/>
        <v>0</v>
      </c>
      <c r="H48" s="2">
        <f t="shared" si="6"/>
        <v>0</v>
      </c>
      <c r="I48" s="2">
        <f t="shared" si="7"/>
        <v>0</v>
      </c>
      <c r="J48" s="2">
        <f t="shared" si="8"/>
        <v>0</v>
      </c>
      <c r="K48" s="2">
        <f t="shared" si="9"/>
        <v>0</v>
      </c>
      <c r="L48" s="2">
        <f t="shared" si="10"/>
        <v>0</v>
      </c>
      <c r="XJ48" cm="1">
        <f t="array" ref="XJ48:XL48">SUMIFS($M48:$GJ48,$M$1:$GJ$1,XJ$3:XL$3)</f>
        <v>0</v>
      </c>
      <c r="XK48">
        <v>0</v>
      </c>
      <c r="XL48">
        <v>0</v>
      </c>
      <c r="XM48" cm="1">
        <f t="array" ref="XM48">IFERROR(MAX((_xlfn.ANCHORARRAY(XJ48)-AVERAGE(_xlfn.ANCHORARRAY(XJ48)))/ AVERAGE(_xlfn.ANCHORARRAY(XJ48))),0)</f>
        <v>0</v>
      </c>
      <c r="XN48" t="str" cm="1">
        <f t="array" ref="XN48">IF(XM48&gt;$XN$1,_xlfn.XLOOKUP(MAX(_xlfn.ANCHORARRAY(XJ48)),_xlfn.ANCHORARRAY(XJ48),XJ$4:XL$4,""),"")</f>
        <v/>
      </c>
      <c r="XP48" cm="1">
        <f t="array" ref="XP48:XT48">SUMIFS($M48:$GJ48,$M$3:$GJ$3,XP$3:XT$3)</f>
        <v>0</v>
      </c>
      <c r="XQ48">
        <v>0</v>
      </c>
      <c r="XR48">
        <v>0</v>
      </c>
      <c r="XS48">
        <v>0</v>
      </c>
      <c r="XT48">
        <v>0</v>
      </c>
      <c r="XU48" cm="1">
        <f t="array" ref="XU48">IFERROR(MAX((_xlfn.ANCHORARRAY(XP48)-AVERAGE(_xlfn.ANCHORARRAY(XP48)))/ AVERAGE(_xlfn.ANCHORARRAY(XP48))),0)</f>
        <v>0</v>
      </c>
      <c r="XV48" t="str" cm="1">
        <f t="array" ref="XV48">IF(AND(XU48&gt;$XV$1,XN48&lt;&gt;""),_xlfn.XLOOKUP(MAX(_xlfn.ANCHORARRAY(XP48)),_xlfn.ANCHORARRAY(XP48),XP$4:XT$4,""),"")</f>
        <v/>
      </c>
      <c r="XX48" cm="1">
        <f t="array" ref="XX48:YG48">SUMIFS($M48:$GJ48,$M$2:$GJ$2,XX$3:YG$3)</f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 cm="1">
        <f t="array" ref="YH48">IFERROR(MAX((_xlfn.ANCHORARRAY(XX48)-AVERAGE(_xlfn.ANCHORARRAY(XX48)))/ AVERAGE(_xlfn.ANCHORARRAY(XX48))),0)</f>
        <v>0</v>
      </c>
      <c r="YI48" t="str" cm="1">
        <f t="array" ref="YI48">IF(YH48&gt;$YI$1,_xlfn.XLOOKUP(MAX(_xlfn.ANCHORARRAY(XX48)),_xlfn.ANCHORARRAY(XX48),XX$4:YG$4,""),"")</f>
        <v/>
      </c>
      <c r="YK48" t="str">
        <f t="shared" si="11"/>
        <v/>
      </c>
    </row>
    <row r="49" spans="1:661" x14ac:dyDescent="0.3">
      <c r="A49" s="2"/>
      <c r="B49" s="2" t="str">
        <f t="shared" si="12"/>
        <v>CHA</v>
      </c>
      <c r="C49" s="2" t="str">
        <f t="shared" si="2"/>
        <v>CHA</v>
      </c>
      <c r="D49" s="2" t="str">
        <f t="shared" si="13"/>
        <v>CHA</v>
      </c>
      <c r="E49" s="2" t="str">
        <f t="shared" si="3"/>
        <v/>
      </c>
      <c r="F49" s="2" t="str">
        <f t="shared" si="4"/>
        <v/>
      </c>
      <c r="G49" s="2">
        <f t="shared" si="5"/>
        <v>0</v>
      </c>
      <c r="H49" s="2">
        <f t="shared" si="6"/>
        <v>0</v>
      </c>
      <c r="I49" s="2">
        <f t="shared" si="7"/>
        <v>0</v>
      </c>
      <c r="J49" s="2">
        <f t="shared" si="8"/>
        <v>0</v>
      </c>
      <c r="K49" s="2">
        <f t="shared" si="9"/>
        <v>0</v>
      </c>
      <c r="L49" s="2">
        <f t="shared" si="10"/>
        <v>0</v>
      </c>
      <c r="XJ49" cm="1">
        <f t="array" ref="XJ49:XL49">SUMIFS($M49:$GJ49,$M$1:$GJ$1,XJ$3:XL$3)</f>
        <v>0</v>
      </c>
      <c r="XK49">
        <v>0</v>
      </c>
      <c r="XL49">
        <v>0</v>
      </c>
      <c r="XM49" cm="1">
        <f t="array" ref="XM49">IFERROR(MAX((_xlfn.ANCHORARRAY(XJ49)-AVERAGE(_xlfn.ANCHORARRAY(XJ49)))/ AVERAGE(_xlfn.ANCHORARRAY(XJ49))),0)</f>
        <v>0</v>
      </c>
      <c r="XN49" t="str" cm="1">
        <f t="array" ref="XN49">IF(XM49&gt;$XN$1,_xlfn.XLOOKUP(MAX(_xlfn.ANCHORARRAY(XJ49)),_xlfn.ANCHORARRAY(XJ49),XJ$4:XL$4,""),"")</f>
        <v/>
      </c>
      <c r="XP49" cm="1">
        <f t="array" ref="XP49:XT49">SUMIFS($M49:$GJ49,$M$3:$GJ$3,XP$3:XT$3)</f>
        <v>0</v>
      </c>
      <c r="XQ49">
        <v>0</v>
      </c>
      <c r="XR49">
        <v>0</v>
      </c>
      <c r="XS49">
        <v>0</v>
      </c>
      <c r="XT49">
        <v>0</v>
      </c>
      <c r="XU49" cm="1">
        <f t="array" ref="XU49">IFERROR(MAX((_xlfn.ANCHORARRAY(XP49)-AVERAGE(_xlfn.ANCHORARRAY(XP49)))/ AVERAGE(_xlfn.ANCHORARRAY(XP49))),0)</f>
        <v>0</v>
      </c>
      <c r="XV49" t="str" cm="1">
        <f t="array" ref="XV49">IF(AND(XU49&gt;$XV$1,XN49&lt;&gt;""),_xlfn.XLOOKUP(MAX(_xlfn.ANCHORARRAY(XP49)),_xlfn.ANCHORARRAY(XP49),XP$4:XT$4,""),"")</f>
        <v/>
      </c>
      <c r="XX49" cm="1">
        <f t="array" ref="XX49:YG49">SUMIFS($M49:$GJ49,$M$2:$GJ$2,XX$3:YG$3)</f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 cm="1">
        <f t="array" ref="YH49">IFERROR(MAX((_xlfn.ANCHORARRAY(XX49)-AVERAGE(_xlfn.ANCHORARRAY(XX49)))/ AVERAGE(_xlfn.ANCHORARRAY(XX49))),0)</f>
        <v>0</v>
      </c>
      <c r="YI49" t="str" cm="1">
        <f t="array" ref="YI49">IF(YH49&gt;$YI$1,_xlfn.XLOOKUP(MAX(_xlfn.ANCHORARRAY(XX49)),_xlfn.ANCHORARRAY(XX49),XX$4:YG$4,""),"")</f>
        <v/>
      </c>
      <c r="YK49" t="str">
        <f t="shared" si="11"/>
        <v/>
      </c>
    </row>
    <row r="50" spans="1:661" x14ac:dyDescent="0.3">
      <c r="A50" s="2"/>
      <c r="B50" s="2" t="str">
        <f t="shared" si="12"/>
        <v>CHA</v>
      </c>
      <c r="C50" s="2" t="str">
        <f t="shared" si="2"/>
        <v>CHA</v>
      </c>
      <c r="D50" s="2" t="str">
        <f t="shared" si="13"/>
        <v>CHA</v>
      </c>
      <c r="E50" s="2" t="str">
        <f t="shared" si="3"/>
        <v/>
      </c>
      <c r="F50" s="2" t="str">
        <f t="shared" si="4"/>
        <v/>
      </c>
      <c r="G50" s="2">
        <f t="shared" si="5"/>
        <v>0</v>
      </c>
      <c r="H50" s="2">
        <f t="shared" si="6"/>
        <v>0</v>
      </c>
      <c r="I50" s="2">
        <f t="shared" si="7"/>
        <v>0</v>
      </c>
      <c r="J50" s="2">
        <f t="shared" si="8"/>
        <v>0</v>
      </c>
      <c r="K50" s="2">
        <f t="shared" si="9"/>
        <v>0</v>
      </c>
      <c r="L50" s="2">
        <f t="shared" si="10"/>
        <v>0</v>
      </c>
      <c r="XJ50" cm="1">
        <f t="array" ref="XJ50:XL50">SUMIFS($M50:$GJ50,$M$1:$GJ$1,XJ$3:XL$3)</f>
        <v>0</v>
      </c>
      <c r="XK50">
        <v>0</v>
      </c>
      <c r="XL50">
        <v>0</v>
      </c>
      <c r="XM50" cm="1">
        <f t="array" ref="XM50">IFERROR(MAX((_xlfn.ANCHORARRAY(XJ50)-AVERAGE(_xlfn.ANCHORARRAY(XJ50)))/ AVERAGE(_xlfn.ANCHORARRAY(XJ50))),0)</f>
        <v>0</v>
      </c>
      <c r="XN50" t="str" cm="1">
        <f t="array" ref="XN50">IF(XM50&gt;$XN$1,_xlfn.XLOOKUP(MAX(_xlfn.ANCHORARRAY(XJ50)),_xlfn.ANCHORARRAY(XJ50),XJ$4:XL$4,""),"")</f>
        <v/>
      </c>
      <c r="XP50" cm="1">
        <f t="array" ref="XP50:XT50">SUMIFS($M50:$GJ50,$M$3:$GJ$3,XP$3:XT$3)</f>
        <v>0</v>
      </c>
      <c r="XQ50">
        <v>0</v>
      </c>
      <c r="XR50">
        <v>0</v>
      </c>
      <c r="XS50">
        <v>0</v>
      </c>
      <c r="XT50">
        <v>0</v>
      </c>
      <c r="XU50" cm="1">
        <f t="array" ref="XU50">IFERROR(MAX((_xlfn.ANCHORARRAY(XP50)-AVERAGE(_xlfn.ANCHORARRAY(XP50)))/ AVERAGE(_xlfn.ANCHORARRAY(XP50))),0)</f>
        <v>0</v>
      </c>
      <c r="XV50" t="str" cm="1">
        <f t="array" ref="XV50">IF(AND(XU50&gt;$XV$1,XN50&lt;&gt;""),_xlfn.XLOOKUP(MAX(_xlfn.ANCHORARRAY(XP50)),_xlfn.ANCHORARRAY(XP50),XP$4:XT$4,""),"")</f>
        <v/>
      </c>
      <c r="XX50" cm="1">
        <f t="array" ref="XX50:YG50">SUMIFS($M50:$GJ50,$M$2:$GJ$2,XX$3:YG$3)</f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 cm="1">
        <f t="array" ref="YH50">IFERROR(MAX((_xlfn.ANCHORARRAY(XX50)-AVERAGE(_xlfn.ANCHORARRAY(XX50)))/ AVERAGE(_xlfn.ANCHORARRAY(XX50))),0)</f>
        <v>0</v>
      </c>
      <c r="YI50" t="str" cm="1">
        <f t="array" ref="YI50">IF(YH50&gt;$YI$1,_xlfn.XLOOKUP(MAX(_xlfn.ANCHORARRAY(XX50)),_xlfn.ANCHORARRAY(XX50),XX$4:YG$4,""),"")</f>
        <v/>
      </c>
      <c r="YK50" t="str">
        <f t="shared" si="11"/>
        <v/>
      </c>
    </row>
    <row r="51" spans="1:661" x14ac:dyDescent="0.3">
      <c r="A51" s="2"/>
      <c r="B51" s="2" t="str">
        <f t="shared" si="12"/>
        <v>CHA</v>
      </c>
      <c r="C51" s="2" t="str">
        <f t="shared" si="2"/>
        <v>CHA</v>
      </c>
      <c r="D51" s="2" t="str">
        <f t="shared" si="13"/>
        <v>CHA</v>
      </c>
      <c r="E51" s="2" t="str">
        <f t="shared" si="3"/>
        <v/>
      </c>
      <c r="F51" s="2" t="str">
        <f t="shared" si="4"/>
        <v/>
      </c>
      <c r="G51" s="2">
        <f t="shared" si="5"/>
        <v>0</v>
      </c>
      <c r="H51" s="2">
        <f t="shared" si="6"/>
        <v>0</v>
      </c>
      <c r="I51" s="2">
        <f t="shared" si="7"/>
        <v>0</v>
      </c>
      <c r="J51" s="2">
        <f t="shared" si="8"/>
        <v>0</v>
      </c>
      <c r="K51" s="2">
        <f t="shared" si="9"/>
        <v>0</v>
      </c>
      <c r="L51" s="2">
        <f t="shared" si="10"/>
        <v>0</v>
      </c>
      <c r="XJ51" cm="1">
        <f t="array" ref="XJ51:XL51">SUMIFS($M51:$GJ51,$M$1:$GJ$1,XJ$3:XL$3)</f>
        <v>0</v>
      </c>
      <c r="XK51">
        <v>0</v>
      </c>
      <c r="XL51">
        <v>0</v>
      </c>
      <c r="XM51" cm="1">
        <f t="array" ref="XM51">IFERROR(MAX((_xlfn.ANCHORARRAY(XJ51)-AVERAGE(_xlfn.ANCHORARRAY(XJ51)))/ AVERAGE(_xlfn.ANCHORARRAY(XJ51))),0)</f>
        <v>0</v>
      </c>
      <c r="XN51" t="str" cm="1">
        <f t="array" ref="XN51">IF(XM51&gt;$XN$1,_xlfn.XLOOKUP(MAX(_xlfn.ANCHORARRAY(XJ51)),_xlfn.ANCHORARRAY(XJ51),XJ$4:XL$4,""),"")</f>
        <v/>
      </c>
      <c r="XP51" cm="1">
        <f t="array" ref="XP51:XT51">SUMIFS($M51:$GJ51,$M$3:$GJ$3,XP$3:XT$3)</f>
        <v>0</v>
      </c>
      <c r="XQ51">
        <v>0</v>
      </c>
      <c r="XR51">
        <v>0</v>
      </c>
      <c r="XS51">
        <v>0</v>
      </c>
      <c r="XT51">
        <v>0</v>
      </c>
      <c r="XU51" cm="1">
        <f t="array" ref="XU51">IFERROR(MAX((_xlfn.ANCHORARRAY(XP51)-AVERAGE(_xlfn.ANCHORARRAY(XP51)))/ AVERAGE(_xlfn.ANCHORARRAY(XP51))),0)</f>
        <v>0</v>
      </c>
      <c r="XV51" t="str" cm="1">
        <f t="array" ref="XV51">IF(AND(XU51&gt;$XV$1,XN51&lt;&gt;""),_xlfn.XLOOKUP(MAX(_xlfn.ANCHORARRAY(XP51)),_xlfn.ANCHORARRAY(XP51),XP$4:XT$4,""),"")</f>
        <v/>
      </c>
      <c r="XX51" cm="1">
        <f t="array" ref="XX51:YG51">SUMIFS($M51:$GJ51,$M$2:$GJ$2,XX$3:YG$3)</f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 cm="1">
        <f t="array" ref="YH51">IFERROR(MAX((_xlfn.ANCHORARRAY(XX51)-AVERAGE(_xlfn.ANCHORARRAY(XX51)))/ AVERAGE(_xlfn.ANCHORARRAY(XX51))),0)</f>
        <v>0</v>
      </c>
      <c r="YI51" t="str" cm="1">
        <f t="array" ref="YI51">IF(YH51&gt;$YI$1,_xlfn.XLOOKUP(MAX(_xlfn.ANCHORARRAY(XX51)),_xlfn.ANCHORARRAY(XX51),XX$4:YG$4,""),"")</f>
        <v/>
      </c>
      <c r="YK51" t="str">
        <f t="shared" si="11"/>
        <v/>
      </c>
    </row>
    <row r="52" spans="1:661" x14ac:dyDescent="0.3">
      <c r="A52" s="2"/>
      <c r="B52" s="2" t="str">
        <f t="shared" si="12"/>
        <v>CHA</v>
      </c>
      <c r="C52" s="2" t="str">
        <f t="shared" si="2"/>
        <v>CHA</v>
      </c>
      <c r="D52" s="2" t="str">
        <f t="shared" si="13"/>
        <v>CHA</v>
      </c>
      <c r="E52" s="2" t="str">
        <f t="shared" si="3"/>
        <v/>
      </c>
      <c r="F52" s="2" t="str">
        <f t="shared" si="4"/>
        <v/>
      </c>
      <c r="G52" s="2">
        <f t="shared" si="5"/>
        <v>0</v>
      </c>
      <c r="H52" s="2">
        <f t="shared" si="6"/>
        <v>0</v>
      </c>
      <c r="I52" s="2">
        <f t="shared" si="7"/>
        <v>0</v>
      </c>
      <c r="J52" s="2">
        <f t="shared" si="8"/>
        <v>0</v>
      </c>
      <c r="K52" s="2">
        <f t="shared" si="9"/>
        <v>0</v>
      </c>
      <c r="L52" s="2">
        <f t="shared" si="10"/>
        <v>0</v>
      </c>
      <c r="XJ52" cm="1">
        <f t="array" ref="XJ52:XL52">SUMIFS($M52:$GJ52,$M$1:$GJ$1,XJ$3:XL$3)</f>
        <v>0</v>
      </c>
      <c r="XK52">
        <v>0</v>
      </c>
      <c r="XL52">
        <v>0</v>
      </c>
      <c r="XM52" cm="1">
        <f t="array" ref="XM52">IFERROR(MAX((_xlfn.ANCHORARRAY(XJ52)-AVERAGE(_xlfn.ANCHORARRAY(XJ52)))/ AVERAGE(_xlfn.ANCHORARRAY(XJ52))),0)</f>
        <v>0</v>
      </c>
      <c r="XN52" t="str" cm="1">
        <f t="array" ref="XN52">IF(XM52&gt;$XN$1,_xlfn.XLOOKUP(MAX(_xlfn.ANCHORARRAY(XJ52)),_xlfn.ANCHORARRAY(XJ52),XJ$4:XL$4,""),"")</f>
        <v/>
      </c>
      <c r="XP52" cm="1">
        <f t="array" ref="XP52:XT52">SUMIFS($M52:$GJ52,$M$3:$GJ$3,XP$3:XT$3)</f>
        <v>0</v>
      </c>
      <c r="XQ52">
        <v>0</v>
      </c>
      <c r="XR52">
        <v>0</v>
      </c>
      <c r="XS52">
        <v>0</v>
      </c>
      <c r="XT52">
        <v>0</v>
      </c>
      <c r="XU52" cm="1">
        <f t="array" ref="XU52">IFERROR(MAX((_xlfn.ANCHORARRAY(XP52)-AVERAGE(_xlfn.ANCHORARRAY(XP52)))/ AVERAGE(_xlfn.ANCHORARRAY(XP52))),0)</f>
        <v>0</v>
      </c>
      <c r="XV52" t="str" cm="1">
        <f t="array" ref="XV52">IF(AND(XU52&gt;$XV$1,XN52&lt;&gt;""),_xlfn.XLOOKUP(MAX(_xlfn.ANCHORARRAY(XP52)),_xlfn.ANCHORARRAY(XP52),XP$4:XT$4,""),"")</f>
        <v/>
      </c>
      <c r="XX52" cm="1">
        <f t="array" ref="XX52:YG52">SUMIFS($M52:$GJ52,$M$2:$GJ$2,XX$3:YG$3)</f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 cm="1">
        <f t="array" ref="YH52">IFERROR(MAX((_xlfn.ANCHORARRAY(XX52)-AVERAGE(_xlfn.ANCHORARRAY(XX52)))/ AVERAGE(_xlfn.ANCHORARRAY(XX52))),0)</f>
        <v>0</v>
      </c>
      <c r="YI52" t="str" cm="1">
        <f t="array" ref="YI52">IF(YH52&gt;$YI$1,_xlfn.XLOOKUP(MAX(_xlfn.ANCHORARRAY(XX52)),_xlfn.ANCHORARRAY(XX52),XX$4:YG$4,""),"")</f>
        <v/>
      </c>
      <c r="YK52" t="str">
        <f t="shared" si="11"/>
        <v/>
      </c>
    </row>
    <row r="53" spans="1:661" x14ac:dyDescent="0.3">
      <c r="A53" s="2"/>
      <c r="B53" s="2" t="str">
        <f t="shared" si="12"/>
        <v>CHA</v>
      </c>
      <c r="C53" s="2" t="str">
        <f t="shared" si="2"/>
        <v>CHA</v>
      </c>
      <c r="D53" s="2" t="str">
        <f t="shared" si="13"/>
        <v>CHA</v>
      </c>
      <c r="E53" s="2" t="str">
        <f t="shared" si="3"/>
        <v/>
      </c>
      <c r="F53" s="2" t="str">
        <f t="shared" si="4"/>
        <v/>
      </c>
      <c r="G53" s="2">
        <f t="shared" si="5"/>
        <v>0</v>
      </c>
      <c r="H53" s="2">
        <f t="shared" si="6"/>
        <v>0</v>
      </c>
      <c r="I53" s="2">
        <f t="shared" si="7"/>
        <v>0</v>
      </c>
      <c r="J53" s="2">
        <f t="shared" si="8"/>
        <v>0</v>
      </c>
      <c r="K53" s="2">
        <f t="shared" si="9"/>
        <v>0</v>
      </c>
      <c r="L53" s="2">
        <f t="shared" si="10"/>
        <v>0</v>
      </c>
      <c r="XJ53" cm="1">
        <f t="array" ref="XJ53:XL53">SUMIFS($M53:$GJ53,$M$1:$GJ$1,XJ$3:XL$3)</f>
        <v>0</v>
      </c>
      <c r="XK53">
        <v>0</v>
      </c>
      <c r="XL53">
        <v>0</v>
      </c>
      <c r="XM53" cm="1">
        <f t="array" ref="XM53">IFERROR(MAX((_xlfn.ANCHORARRAY(XJ53)-AVERAGE(_xlfn.ANCHORARRAY(XJ53)))/ AVERAGE(_xlfn.ANCHORARRAY(XJ53))),0)</f>
        <v>0</v>
      </c>
      <c r="XN53" t="str" cm="1">
        <f t="array" ref="XN53">IF(XM53&gt;$XN$1,_xlfn.XLOOKUP(MAX(_xlfn.ANCHORARRAY(XJ53)),_xlfn.ANCHORARRAY(XJ53),XJ$4:XL$4,""),"")</f>
        <v/>
      </c>
      <c r="XP53" cm="1">
        <f t="array" ref="XP53:XT53">SUMIFS($M53:$GJ53,$M$3:$GJ$3,XP$3:XT$3)</f>
        <v>0</v>
      </c>
      <c r="XQ53">
        <v>0</v>
      </c>
      <c r="XR53">
        <v>0</v>
      </c>
      <c r="XS53">
        <v>0</v>
      </c>
      <c r="XT53">
        <v>0</v>
      </c>
      <c r="XU53" cm="1">
        <f t="array" ref="XU53">IFERROR(MAX((_xlfn.ANCHORARRAY(XP53)-AVERAGE(_xlfn.ANCHORARRAY(XP53)))/ AVERAGE(_xlfn.ANCHORARRAY(XP53))),0)</f>
        <v>0</v>
      </c>
      <c r="XV53" t="str" cm="1">
        <f t="array" ref="XV53">IF(AND(XU53&gt;$XV$1,XN53&lt;&gt;""),_xlfn.XLOOKUP(MAX(_xlfn.ANCHORARRAY(XP53)),_xlfn.ANCHORARRAY(XP53),XP$4:XT$4,""),"")</f>
        <v/>
      </c>
      <c r="XX53" cm="1">
        <f t="array" ref="XX53:YG53">SUMIFS($M53:$GJ53,$M$2:$GJ$2,XX$3:YG$3)</f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 cm="1">
        <f t="array" ref="YH53">IFERROR(MAX((_xlfn.ANCHORARRAY(XX53)-AVERAGE(_xlfn.ANCHORARRAY(XX53)))/ AVERAGE(_xlfn.ANCHORARRAY(XX53))),0)</f>
        <v>0</v>
      </c>
      <c r="YI53" t="str" cm="1">
        <f t="array" ref="YI53">IF(YH53&gt;$YI$1,_xlfn.XLOOKUP(MAX(_xlfn.ANCHORARRAY(XX53)),_xlfn.ANCHORARRAY(XX53),XX$4:YG$4,""),"")</f>
        <v/>
      </c>
      <c r="YK53" t="str">
        <f t="shared" si="11"/>
        <v/>
      </c>
    </row>
    <row r="54" spans="1:661" x14ac:dyDescent="0.3">
      <c r="A54" s="2"/>
      <c r="B54" s="2" t="str">
        <f t="shared" si="12"/>
        <v>CHA</v>
      </c>
      <c r="C54" s="2" t="str">
        <f t="shared" si="2"/>
        <v>CHA</v>
      </c>
      <c r="D54" s="2" t="str">
        <f t="shared" si="13"/>
        <v>CHA</v>
      </c>
      <c r="E54" s="2" t="str">
        <f t="shared" si="3"/>
        <v/>
      </c>
      <c r="F54" s="2" t="str">
        <f t="shared" si="4"/>
        <v/>
      </c>
      <c r="G54" s="2">
        <f t="shared" si="5"/>
        <v>0</v>
      </c>
      <c r="H54" s="2">
        <f t="shared" si="6"/>
        <v>0</v>
      </c>
      <c r="I54" s="2">
        <f t="shared" si="7"/>
        <v>0</v>
      </c>
      <c r="J54" s="2">
        <f t="shared" si="8"/>
        <v>0</v>
      </c>
      <c r="K54" s="2">
        <f t="shared" si="9"/>
        <v>0</v>
      </c>
      <c r="L54" s="2">
        <f t="shared" si="10"/>
        <v>0</v>
      </c>
      <c r="XJ54" cm="1">
        <f t="array" ref="XJ54:XL54">SUMIFS($M54:$GJ54,$M$1:$GJ$1,XJ$3:XL$3)</f>
        <v>0</v>
      </c>
      <c r="XK54">
        <v>0</v>
      </c>
      <c r="XL54">
        <v>0</v>
      </c>
      <c r="XM54" cm="1">
        <f t="array" ref="XM54">IFERROR(MAX((_xlfn.ANCHORARRAY(XJ54)-AVERAGE(_xlfn.ANCHORARRAY(XJ54)))/ AVERAGE(_xlfn.ANCHORARRAY(XJ54))),0)</f>
        <v>0</v>
      </c>
      <c r="XN54" t="str" cm="1">
        <f t="array" ref="XN54">IF(XM54&gt;$XN$1,_xlfn.XLOOKUP(MAX(_xlfn.ANCHORARRAY(XJ54)),_xlfn.ANCHORARRAY(XJ54),XJ$4:XL$4,""),"")</f>
        <v/>
      </c>
      <c r="XP54" cm="1">
        <f t="array" ref="XP54:XT54">SUMIFS($M54:$GJ54,$M$3:$GJ$3,XP$3:XT$3)</f>
        <v>0</v>
      </c>
      <c r="XQ54">
        <v>0</v>
      </c>
      <c r="XR54">
        <v>0</v>
      </c>
      <c r="XS54">
        <v>0</v>
      </c>
      <c r="XT54">
        <v>0</v>
      </c>
      <c r="XU54" cm="1">
        <f t="array" ref="XU54">IFERROR(MAX((_xlfn.ANCHORARRAY(XP54)-AVERAGE(_xlfn.ANCHORARRAY(XP54)))/ AVERAGE(_xlfn.ANCHORARRAY(XP54))),0)</f>
        <v>0</v>
      </c>
      <c r="XV54" t="str" cm="1">
        <f t="array" ref="XV54">IF(AND(XU54&gt;$XV$1,XN54&lt;&gt;""),_xlfn.XLOOKUP(MAX(_xlfn.ANCHORARRAY(XP54)),_xlfn.ANCHORARRAY(XP54),XP$4:XT$4,""),"")</f>
        <v/>
      </c>
      <c r="XX54" cm="1">
        <f t="array" ref="XX54:YG54">SUMIFS($M54:$GJ54,$M$2:$GJ$2,XX$3:YG$3)</f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 cm="1">
        <f t="array" ref="YH54">IFERROR(MAX((_xlfn.ANCHORARRAY(XX54)-AVERAGE(_xlfn.ANCHORARRAY(XX54)))/ AVERAGE(_xlfn.ANCHORARRAY(XX54))),0)</f>
        <v>0</v>
      </c>
      <c r="YI54" t="str" cm="1">
        <f t="array" ref="YI54">IF(YH54&gt;$YI$1,_xlfn.XLOOKUP(MAX(_xlfn.ANCHORARRAY(XX54)),_xlfn.ANCHORARRAY(XX54),XX$4:YG$4,""),"")</f>
        <v/>
      </c>
      <c r="YK54" t="str">
        <f t="shared" si="11"/>
        <v/>
      </c>
    </row>
    <row r="55" spans="1:661" x14ac:dyDescent="0.3">
      <c r="A55" s="2"/>
      <c r="B55" s="2" t="str">
        <f t="shared" si="12"/>
        <v>CHA</v>
      </c>
      <c r="C55" s="2" t="str">
        <f t="shared" si="2"/>
        <v>CHA</v>
      </c>
      <c r="D55" s="2" t="str">
        <f t="shared" si="13"/>
        <v>CHA</v>
      </c>
      <c r="E55" s="2" t="str">
        <f t="shared" si="3"/>
        <v/>
      </c>
      <c r="F55" s="2" t="str">
        <f t="shared" si="4"/>
        <v/>
      </c>
      <c r="G55" s="2">
        <f t="shared" si="5"/>
        <v>0</v>
      </c>
      <c r="H55" s="2">
        <f t="shared" si="6"/>
        <v>0</v>
      </c>
      <c r="I55" s="2">
        <f t="shared" si="7"/>
        <v>0</v>
      </c>
      <c r="J55" s="2">
        <f t="shared" si="8"/>
        <v>0</v>
      </c>
      <c r="K55" s="2">
        <f t="shared" si="9"/>
        <v>0</v>
      </c>
      <c r="L55" s="2">
        <f t="shared" si="10"/>
        <v>0</v>
      </c>
      <c r="XJ55" cm="1">
        <f t="array" ref="XJ55:XL55">SUMIFS($M55:$GJ55,$M$1:$GJ$1,XJ$3:XL$3)</f>
        <v>0</v>
      </c>
      <c r="XK55">
        <v>0</v>
      </c>
      <c r="XL55">
        <v>0</v>
      </c>
      <c r="XM55" cm="1">
        <f t="array" ref="XM55">IFERROR(MAX((_xlfn.ANCHORARRAY(XJ55)-AVERAGE(_xlfn.ANCHORARRAY(XJ55)))/ AVERAGE(_xlfn.ANCHORARRAY(XJ55))),0)</f>
        <v>0</v>
      </c>
      <c r="XN55" t="str" cm="1">
        <f t="array" ref="XN55">IF(XM55&gt;$XN$1,_xlfn.XLOOKUP(MAX(_xlfn.ANCHORARRAY(XJ55)),_xlfn.ANCHORARRAY(XJ55),XJ$4:XL$4,""),"")</f>
        <v/>
      </c>
      <c r="XP55" cm="1">
        <f t="array" ref="XP55:XT55">SUMIFS($M55:$GJ55,$M$3:$GJ$3,XP$3:XT$3)</f>
        <v>0</v>
      </c>
      <c r="XQ55">
        <v>0</v>
      </c>
      <c r="XR55">
        <v>0</v>
      </c>
      <c r="XS55">
        <v>0</v>
      </c>
      <c r="XT55">
        <v>0</v>
      </c>
      <c r="XU55" cm="1">
        <f t="array" ref="XU55">IFERROR(MAX((_xlfn.ANCHORARRAY(XP55)-AVERAGE(_xlfn.ANCHORARRAY(XP55)))/ AVERAGE(_xlfn.ANCHORARRAY(XP55))),0)</f>
        <v>0</v>
      </c>
      <c r="XV55" t="str" cm="1">
        <f t="array" ref="XV55">IF(AND(XU55&gt;$XV$1,XN55&lt;&gt;""),_xlfn.XLOOKUP(MAX(_xlfn.ANCHORARRAY(XP55)),_xlfn.ANCHORARRAY(XP55),XP$4:XT$4,""),"")</f>
        <v/>
      </c>
      <c r="XX55" cm="1">
        <f t="array" ref="XX55:YG55">SUMIFS($M55:$GJ55,$M$2:$GJ$2,XX$3:YG$3)</f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 cm="1">
        <f t="array" ref="YH55">IFERROR(MAX((_xlfn.ANCHORARRAY(XX55)-AVERAGE(_xlfn.ANCHORARRAY(XX55)))/ AVERAGE(_xlfn.ANCHORARRAY(XX55))),0)</f>
        <v>0</v>
      </c>
      <c r="YI55" t="str" cm="1">
        <f t="array" ref="YI55">IF(YH55&gt;$YI$1,_xlfn.XLOOKUP(MAX(_xlfn.ANCHORARRAY(XX55)),_xlfn.ANCHORARRAY(XX55),XX$4:YG$4,""),"")</f>
        <v/>
      </c>
      <c r="YK55" t="str">
        <f t="shared" si="11"/>
        <v/>
      </c>
    </row>
    <row r="56" spans="1:661" x14ac:dyDescent="0.3">
      <c r="A56" s="2"/>
      <c r="B56" s="2" t="str">
        <f t="shared" si="12"/>
        <v>CHA</v>
      </c>
      <c r="C56" s="2" t="str">
        <f t="shared" si="2"/>
        <v>CHA</v>
      </c>
      <c r="D56" s="2" t="str">
        <f t="shared" si="13"/>
        <v>CHA</v>
      </c>
      <c r="E56" s="2" t="str">
        <f t="shared" si="3"/>
        <v/>
      </c>
      <c r="F56" s="2" t="str">
        <f t="shared" si="4"/>
        <v/>
      </c>
      <c r="G56" s="2">
        <f t="shared" si="5"/>
        <v>0</v>
      </c>
      <c r="H56" s="2">
        <f t="shared" si="6"/>
        <v>0</v>
      </c>
      <c r="I56" s="2">
        <f t="shared" si="7"/>
        <v>0</v>
      </c>
      <c r="J56" s="2">
        <f t="shared" si="8"/>
        <v>0</v>
      </c>
      <c r="K56" s="2">
        <f t="shared" si="9"/>
        <v>0</v>
      </c>
      <c r="L56" s="2">
        <f t="shared" si="10"/>
        <v>0</v>
      </c>
      <c r="XJ56" cm="1">
        <f t="array" ref="XJ56:XL56">SUMIFS($M56:$GJ56,$M$1:$GJ$1,XJ$3:XL$3)</f>
        <v>0</v>
      </c>
      <c r="XK56">
        <v>0</v>
      </c>
      <c r="XL56">
        <v>0</v>
      </c>
      <c r="XM56" cm="1">
        <f t="array" ref="XM56">IFERROR(MAX((_xlfn.ANCHORARRAY(XJ56)-AVERAGE(_xlfn.ANCHORARRAY(XJ56)))/ AVERAGE(_xlfn.ANCHORARRAY(XJ56))),0)</f>
        <v>0</v>
      </c>
      <c r="XN56" t="str" cm="1">
        <f t="array" ref="XN56">IF(XM56&gt;$XN$1,_xlfn.XLOOKUP(MAX(_xlfn.ANCHORARRAY(XJ56)),_xlfn.ANCHORARRAY(XJ56),XJ$4:XL$4,""),"")</f>
        <v/>
      </c>
      <c r="XP56" cm="1">
        <f t="array" ref="XP56:XT56">SUMIFS($M56:$GJ56,$M$3:$GJ$3,XP$3:XT$3)</f>
        <v>0</v>
      </c>
      <c r="XQ56">
        <v>0</v>
      </c>
      <c r="XR56">
        <v>0</v>
      </c>
      <c r="XS56">
        <v>0</v>
      </c>
      <c r="XT56">
        <v>0</v>
      </c>
      <c r="XU56" cm="1">
        <f t="array" ref="XU56">IFERROR(MAX((_xlfn.ANCHORARRAY(XP56)-AVERAGE(_xlfn.ANCHORARRAY(XP56)))/ AVERAGE(_xlfn.ANCHORARRAY(XP56))),0)</f>
        <v>0</v>
      </c>
      <c r="XV56" t="str" cm="1">
        <f t="array" ref="XV56">IF(AND(XU56&gt;$XV$1,XN56&lt;&gt;""),_xlfn.XLOOKUP(MAX(_xlfn.ANCHORARRAY(XP56)),_xlfn.ANCHORARRAY(XP56),XP$4:XT$4,""),"")</f>
        <v/>
      </c>
      <c r="XX56" cm="1">
        <f t="array" ref="XX56:YG56">SUMIFS($M56:$GJ56,$M$2:$GJ$2,XX$3:YG$3)</f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 cm="1">
        <f t="array" ref="YH56">IFERROR(MAX((_xlfn.ANCHORARRAY(XX56)-AVERAGE(_xlfn.ANCHORARRAY(XX56)))/ AVERAGE(_xlfn.ANCHORARRAY(XX56))),0)</f>
        <v>0</v>
      </c>
      <c r="YI56" t="str" cm="1">
        <f t="array" ref="YI56">IF(YH56&gt;$YI$1,_xlfn.XLOOKUP(MAX(_xlfn.ANCHORARRAY(XX56)),_xlfn.ANCHORARRAY(XX56),XX$4:YG$4,""),"")</f>
        <v/>
      </c>
      <c r="YK56" t="str">
        <f t="shared" si="11"/>
        <v/>
      </c>
    </row>
    <row r="57" spans="1:661" x14ac:dyDescent="0.3">
      <c r="A57" s="2"/>
      <c r="B57" s="2" t="str">
        <f t="shared" si="12"/>
        <v>CHA</v>
      </c>
      <c r="C57" s="2" t="str">
        <f t="shared" si="2"/>
        <v>CHA</v>
      </c>
      <c r="D57" s="2" t="str">
        <f t="shared" si="13"/>
        <v>CHA</v>
      </c>
      <c r="E57" s="2" t="str">
        <f t="shared" si="3"/>
        <v/>
      </c>
      <c r="F57" s="2" t="str">
        <f t="shared" si="4"/>
        <v/>
      </c>
      <c r="G57" s="2">
        <f t="shared" si="5"/>
        <v>0</v>
      </c>
      <c r="H57" s="2">
        <f t="shared" si="6"/>
        <v>0</v>
      </c>
      <c r="I57" s="2">
        <f t="shared" si="7"/>
        <v>0</v>
      </c>
      <c r="J57" s="2">
        <f t="shared" si="8"/>
        <v>0</v>
      </c>
      <c r="K57" s="2">
        <f t="shared" si="9"/>
        <v>0</v>
      </c>
      <c r="L57" s="2">
        <f t="shared" si="10"/>
        <v>0</v>
      </c>
      <c r="XJ57" cm="1">
        <f t="array" ref="XJ57:XL57">SUMIFS($M57:$GJ57,$M$1:$GJ$1,XJ$3:XL$3)</f>
        <v>0</v>
      </c>
      <c r="XK57">
        <v>0</v>
      </c>
      <c r="XL57">
        <v>0</v>
      </c>
      <c r="XM57" cm="1">
        <f t="array" ref="XM57">IFERROR(MAX((_xlfn.ANCHORARRAY(XJ57)-AVERAGE(_xlfn.ANCHORARRAY(XJ57)))/ AVERAGE(_xlfn.ANCHORARRAY(XJ57))),0)</f>
        <v>0</v>
      </c>
      <c r="XN57" t="str" cm="1">
        <f t="array" ref="XN57">IF(XM57&gt;$XN$1,_xlfn.XLOOKUP(MAX(_xlfn.ANCHORARRAY(XJ57)),_xlfn.ANCHORARRAY(XJ57),XJ$4:XL$4,""),"")</f>
        <v/>
      </c>
      <c r="XP57" cm="1">
        <f t="array" ref="XP57:XT57">SUMIFS($M57:$GJ57,$M$3:$GJ$3,XP$3:XT$3)</f>
        <v>0</v>
      </c>
      <c r="XQ57">
        <v>0</v>
      </c>
      <c r="XR57">
        <v>0</v>
      </c>
      <c r="XS57">
        <v>0</v>
      </c>
      <c r="XT57">
        <v>0</v>
      </c>
      <c r="XU57" cm="1">
        <f t="array" ref="XU57">IFERROR(MAX((_xlfn.ANCHORARRAY(XP57)-AVERAGE(_xlfn.ANCHORARRAY(XP57)))/ AVERAGE(_xlfn.ANCHORARRAY(XP57))),0)</f>
        <v>0</v>
      </c>
      <c r="XV57" t="str" cm="1">
        <f t="array" ref="XV57">IF(AND(XU57&gt;$XV$1,XN57&lt;&gt;""),_xlfn.XLOOKUP(MAX(_xlfn.ANCHORARRAY(XP57)),_xlfn.ANCHORARRAY(XP57),XP$4:XT$4,""),"")</f>
        <v/>
      </c>
      <c r="XX57" cm="1">
        <f t="array" ref="XX57:YG57">SUMIFS($M57:$GJ57,$M$2:$GJ$2,XX$3:YG$3)</f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 cm="1">
        <f t="array" ref="YH57">IFERROR(MAX((_xlfn.ANCHORARRAY(XX57)-AVERAGE(_xlfn.ANCHORARRAY(XX57)))/ AVERAGE(_xlfn.ANCHORARRAY(XX57))),0)</f>
        <v>0</v>
      </c>
      <c r="YI57" t="str" cm="1">
        <f t="array" ref="YI57">IF(YH57&gt;$YI$1,_xlfn.XLOOKUP(MAX(_xlfn.ANCHORARRAY(XX57)),_xlfn.ANCHORARRAY(XX57),XX$4:YG$4,""),"")</f>
        <v/>
      </c>
      <c r="YK57" t="str">
        <f t="shared" si="11"/>
        <v/>
      </c>
    </row>
    <row r="58" spans="1:661" x14ac:dyDescent="0.3">
      <c r="A58" s="2"/>
      <c r="B58" s="2" t="str">
        <f t="shared" si="12"/>
        <v>CHA</v>
      </c>
      <c r="C58" s="2" t="str">
        <f t="shared" si="2"/>
        <v>CHA</v>
      </c>
      <c r="D58" s="2" t="str">
        <f t="shared" si="13"/>
        <v>CHA</v>
      </c>
      <c r="E58" s="2" t="str">
        <f t="shared" si="3"/>
        <v/>
      </c>
      <c r="F58" s="2" t="str">
        <f t="shared" si="4"/>
        <v/>
      </c>
      <c r="G58" s="2">
        <f t="shared" si="5"/>
        <v>0</v>
      </c>
      <c r="H58" s="2">
        <f t="shared" si="6"/>
        <v>0</v>
      </c>
      <c r="I58" s="2">
        <f t="shared" si="7"/>
        <v>0</v>
      </c>
      <c r="J58" s="2">
        <f t="shared" si="8"/>
        <v>0</v>
      </c>
      <c r="K58" s="2">
        <f t="shared" si="9"/>
        <v>0</v>
      </c>
      <c r="L58" s="2">
        <f t="shared" si="10"/>
        <v>0</v>
      </c>
      <c r="XJ58" cm="1">
        <f t="array" ref="XJ58:XL58">SUMIFS($M58:$GJ58,$M$1:$GJ$1,XJ$3:XL$3)</f>
        <v>0</v>
      </c>
      <c r="XK58">
        <v>0</v>
      </c>
      <c r="XL58">
        <v>0</v>
      </c>
      <c r="XM58" cm="1">
        <f t="array" ref="XM58">IFERROR(MAX((_xlfn.ANCHORARRAY(XJ58)-AVERAGE(_xlfn.ANCHORARRAY(XJ58)))/ AVERAGE(_xlfn.ANCHORARRAY(XJ58))),0)</f>
        <v>0</v>
      </c>
      <c r="XN58" t="str" cm="1">
        <f t="array" ref="XN58">IF(XM58&gt;$XN$1,_xlfn.XLOOKUP(MAX(_xlfn.ANCHORARRAY(XJ58)),_xlfn.ANCHORARRAY(XJ58),XJ$4:XL$4,""),"")</f>
        <v/>
      </c>
      <c r="XP58" cm="1">
        <f t="array" ref="XP58:XT58">SUMIFS($M58:$GJ58,$M$3:$GJ$3,XP$3:XT$3)</f>
        <v>0</v>
      </c>
      <c r="XQ58">
        <v>0</v>
      </c>
      <c r="XR58">
        <v>0</v>
      </c>
      <c r="XS58">
        <v>0</v>
      </c>
      <c r="XT58">
        <v>0</v>
      </c>
      <c r="XU58" cm="1">
        <f t="array" ref="XU58">IFERROR(MAX((_xlfn.ANCHORARRAY(XP58)-AVERAGE(_xlfn.ANCHORARRAY(XP58)))/ AVERAGE(_xlfn.ANCHORARRAY(XP58))),0)</f>
        <v>0</v>
      </c>
      <c r="XV58" t="str" cm="1">
        <f t="array" ref="XV58">IF(AND(XU58&gt;$XV$1,XN58&lt;&gt;""),_xlfn.XLOOKUP(MAX(_xlfn.ANCHORARRAY(XP58)),_xlfn.ANCHORARRAY(XP58),XP$4:XT$4,""),"")</f>
        <v/>
      </c>
      <c r="XX58" cm="1">
        <f t="array" ref="XX58:YG58">SUMIFS($M58:$GJ58,$M$2:$GJ$2,XX$3:YG$3)</f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 cm="1">
        <f t="array" ref="YH58">IFERROR(MAX((_xlfn.ANCHORARRAY(XX58)-AVERAGE(_xlfn.ANCHORARRAY(XX58)))/ AVERAGE(_xlfn.ANCHORARRAY(XX58))),0)</f>
        <v>0</v>
      </c>
      <c r="YI58" t="str" cm="1">
        <f t="array" ref="YI58">IF(YH58&gt;$YI$1,_xlfn.XLOOKUP(MAX(_xlfn.ANCHORARRAY(XX58)),_xlfn.ANCHORARRAY(XX58),XX$4:YG$4,""),"")</f>
        <v/>
      </c>
      <c r="YK58" t="str">
        <f t="shared" si="11"/>
        <v/>
      </c>
    </row>
    <row r="59" spans="1:661" x14ac:dyDescent="0.3">
      <c r="A59" s="2"/>
      <c r="B59" s="2" t="str">
        <f t="shared" si="12"/>
        <v>CHA</v>
      </c>
      <c r="C59" s="2" t="str">
        <f t="shared" si="2"/>
        <v>CHA</v>
      </c>
      <c r="D59" s="2" t="str">
        <f t="shared" si="13"/>
        <v>CHA</v>
      </c>
      <c r="E59" s="2" t="str">
        <f t="shared" si="3"/>
        <v/>
      </c>
      <c r="F59" s="2" t="str">
        <f t="shared" si="4"/>
        <v/>
      </c>
      <c r="G59" s="2">
        <f t="shared" si="5"/>
        <v>0</v>
      </c>
      <c r="H59" s="2">
        <f t="shared" si="6"/>
        <v>0</v>
      </c>
      <c r="I59" s="2">
        <f t="shared" si="7"/>
        <v>0</v>
      </c>
      <c r="J59" s="2">
        <f t="shared" si="8"/>
        <v>0</v>
      </c>
      <c r="K59" s="2">
        <f t="shared" si="9"/>
        <v>0</v>
      </c>
      <c r="L59" s="2">
        <f t="shared" si="10"/>
        <v>0</v>
      </c>
      <c r="XJ59" cm="1">
        <f t="array" ref="XJ59:XL59">SUMIFS($M59:$GJ59,$M$1:$GJ$1,XJ$3:XL$3)</f>
        <v>0</v>
      </c>
      <c r="XK59">
        <v>0</v>
      </c>
      <c r="XL59">
        <v>0</v>
      </c>
      <c r="XM59" cm="1">
        <f t="array" ref="XM59">IFERROR(MAX((_xlfn.ANCHORARRAY(XJ59)-AVERAGE(_xlfn.ANCHORARRAY(XJ59)))/ AVERAGE(_xlfn.ANCHORARRAY(XJ59))),0)</f>
        <v>0</v>
      </c>
      <c r="XN59" t="str" cm="1">
        <f t="array" ref="XN59">IF(XM59&gt;$XN$1,_xlfn.XLOOKUP(MAX(_xlfn.ANCHORARRAY(XJ59)),_xlfn.ANCHORARRAY(XJ59),XJ$4:XL$4,""),"")</f>
        <v/>
      </c>
      <c r="XP59" cm="1">
        <f t="array" ref="XP59:XT59">SUMIFS($M59:$GJ59,$M$3:$GJ$3,XP$3:XT$3)</f>
        <v>0</v>
      </c>
      <c r="XQ59">
        <v>0</v>
      </c>
      <c r="XR59">
        <v>0</v>
      </c>
      <c r="XS59">
        <v>0</v>
      </c>
      <c r="XT59">
        <v>0</v>
      </c>
      <c r="XU59" cm="1">
        <f t="array" ref="XU59">IFERROR(MAX((_xlfn.ANCHORARRAY(XP59)-AVERAGE(_xlfn.ANCHORARRAY(XP59)))/ AVERAGE(_xlfn.ANCHORARRAY(XP59))),0)</f>
        <v>0</v>
      </c>
      <c r="XV59" t="str" cm="1">
        <f t="array" ref="XV59">IF(AND(XU59&gt;$XV$1,XN59&lt;&gt;""),_xlfn.XLOOKUP(MAX(_xlfn.ANCHORARRAY(XP59)),_xlfn.ANCHORARRAY(XP59),XP$4:XT$4,""),"")</f>
        <v/>
      </c>
      <c r="XX59" cm="1">
        <f t="array" ref="XX59:YG59">SUMIFS($M59:$GJ59,$M$2:$GJ$2,XX$3:YG$3)</f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 cm="1">
        <f t="array" ref="YH59">IFERROR(MAX((_xlfn.ANCHORARRAY(XX59)-AVERAGE(_xlfn.ANCHORARRAY(XX59)))/ AVERAGE(_xlfn.ANCHORARRAY(XX59))),0)</f>
        <v>0</v>
      </c>
      <c r="YI59" t="str" cm="1">
        <f t="array" ref="YI59">IF(YH59&gt;$YI$1,_xlfn.XLOOKUP(MAX(_xlfn.ANCHORARRAY(XX59)),_xlfn.ANCHORARRAY(XX59),XX$4:YG$4,""),"")</f>
        <v/>
      </c>
      <c r="YK59" t="str">
        <f t="shared" si="11"/>
        <v/>
      </c>
    </row>
    <row r="60" spans="1:661" x14ac:dyDescent="0.3">
      <c r="A60" s="2"/>
      <c r="B60" s="2" t="str">
        <f t="shared" si="12"/>
        <v>CHA</v>
      </c>
      <c r="C60" s="2" t="str">
        <f t="shared" si="2"/>
        <v>CHA</v>
      </c>
      <c r="D60" s="2" t="str">
        <f t="shared" si="13"/>
        <v>CHA</v>
      </c>
      <c r="E60" s="2" t="str">
        <f t="shared" si="3"/>
        <v/>
      </c>
      <c r="F60" s="2" t="str">
        <f t="shared" si="4"/>
        <v/>
      </c>
      <c r="G60" s="2">
        <f t="shared" si="5"/>
        <v>0</v>
      </c>
      <c r="H60" s="2">
        <f t="shared" si="6"/>
        <v>0</v>
      </c>
      <c r="I60" s="2">
        <f t="shared" si="7"/>
        <v>0</v>
      </c>
      <c r="J60" s="2">
        <f t="shared" si="8"/>
        <v>0</v>
      </c>
      <c r="K60" s="2">
        <f t="shared" si="9"/>
        <v>0</v>
      </c>
      <c r="L60" s="2">
        <f t="shared" si="10"/>
        <v>0</v>
      </c>
      <c r="XJ60" cm="1">
        <f t="array" ref="XJ60:XL60">SUMIFS($M60:$GJ60,$M$1:$GJ$1,XJ$3:XL$3)</f>
        <v>0</v>
      </c>
      <c r="XK60">
        <v>0</v>
      </c>
      <c r="XL60">
        <v>0</v>
      </c>
      <c r="XM60" cm="1">
        <f t="array" ref="XM60">IFERROR(MAX((_xlfn.ANCHORARRAY(XJ60)-AVERAGE(_xlfn.ANCHORARRAY(XJ60)))/ AVERAGE(_xlfn.ANCHORARRAY(XJ60))),0)</f>
        <v>0</v>
      </c>
      <c r="XN60" t="str" cm="1">
        <f t="array" ref="XN60">IF(XM60&gt;$XN$1,_xlfn.XLOOKUP(MAX(_xlfn.ANCHORARRAY(XJ60)),_xlfn.ANCHORARRAY(XJ60),XJ$4:XL$4,""),"")</f>
        <v/>
      </c>
      <c r="XP60" cm="1">
        <f t="array" ref="XP60:XT60">SUMIFS($M60:$GJ60,$M$3:$GJ$3,XP$3:XT$3)</f>
        <v>0</v>
      </c>
      <c r="XQ60">
        <v>0</v>
      </c>
      <c r="XR60">
        <v>0</v>
      </c>
      <c r="XS60">
        <v>0</v>
      </c>
      <c r="XT60">
        <v>0</v>
      </c>
      <c r="XU60" cm="1">
        <f t="array" ref="XU60">IFERROR(MAX((_xlfn.ANCHORARRAY(XP60)-AVERAGE(_xlfn.ANCHORARRAY(XP60)))/ AVERAGE(_xlfn.ANCHORARRAY(XP60))),0)</f>
        <v>0</v>
      </c>
      <c r="XV60" t="str" cm="1">
        <f t="array" ref="XV60">IF(AND(XU60&gt;$XV$1,XN60&lt;&gt;""),_xlfn.XLOOKUP(MAX(_xlfn.ANCHORARRAY(XP60)),_xlfn.ANCHORARRAY(XP60),XP$4:XT$4,""),"")</f>
        <v/>
      </c>
      <c r="XX60" cm="1">
        <f t="array" ref="XX60:YG60">SUMIFS($M60:$GJ60,$M$2:$GJ$2,XX$3:YG$3)</f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 cm="1">
        <f t="array" ref="YH60">IFERROR(MAX((_xlfn.ANCHORARRAY(XX60)-AVERAGE(_xlfn.ANCHORARRAY(XX60)))/ AVERAGE(_xlfn.ANCHORARRAY(XX60))),0)</f>
        <v>0</v>
      </c>
      <c r="YI60" t="str" cm="1">
        <f t="array" ref="YI60">IF(YH60&gt;$YI$1,_xlfn.XLOOKUP(MAX(_xlfn.ANCHORARRAY(XX60)),_xlfn.ANCHORARRAY(XX60),XX$4:YG$4,""),"")</f>
        <v/>
      </c>
      <c r="YK60" t="str">
        <f t="shared" si="11"/>
        <v/>
      </c>
    </row>
    <row r="61" spans="1:661" x14ac:dyDescent="0.3">
      <c r="A61" s="2"/>
      <c r="B61" s="2" t="str">
        <f t="shared" si="12"/>
        <v>CHA</v>
      </c>
      <c r="C61" s="2" t="str">
        <f t="shared" si="2"/>
        <v>CHA</v>
      </c>
      <c r="D61" s="2" t="str">
        <f t="shared" si="13"/>
        <v>CHA</v>
      </c>
      <c r="E61" s="2" t="str">
        <f t="shared" si="3"/>
        <v/>
      </c>
      <c r="F61" s="2" t="str">
        <f t="shared" si="4"/>
        <v/>
      </c>
      <c r="G61" s="2">
        <f t="shared" si="5"/>
        <v>0</v>
      </c>
      <c r="H61" s="2">
        <f t="shared" si="6"/>
        <v>0</v>
      </c>
      <c r="I61" s="2">
        <f t="shared" si="7"/>
        <v>0</v>
      </c>
      <c r="J61" s="2">
        <f t="shared" si="8"/>
        <v>0</v>
      </c>
      <c r="K61" s="2">
        <f t="shared" si="9"/>
        <v>0</v>
      </c>
      <c r="L61" s="2">
        <f t="shared" si="10"/>
        <v>0</v>
      </c>
      <c r="XJ61" cm="1">
        <f t="array" ref="XJ61:XL61">SUMIFS($M61:$GJ61,$M$1:$GJ$1,XJ$3:XL$3)</f>
        <v>0</v>
      </c>
      <c r="XK61">
        <v>0</v>
      </c>
      <c r="XL61">
        <v>0</v>
      </c>
      <c r="XM61" cm="1">
        <f t="array" ref="XM61">IFERROR(MAX((_xlfn.ANCHORARRAY(XJ61)-AVERAGE(_xlfn.ANCHORARRAY(XJ61)))/ AVERAGE(_xlfn.ANCHORARRAY(XJ61))),0)</f>
        <v>0</v>
      </c>
      <c r="XN61" t="str" cm="1">
        <f t="array" ref="XN61">IF(XM61&gt;$XN$1,_xlfn.XLOOKUP(MAX(_xlfn.ANCHORARRAY(XJ61)),_xlfn.ANCHORARRAY(XJ61),XJ$4:XL$4,""),"")</f>
        <v/>
      </c>
      <c r="XP61" cm="1">
        <f t="array" ref="XP61:XT61">SUMIFS($M61:$GJ61,$M$3:$GJ$3,XP$3:XT$3)</f>
        <v>0</v>
      </c>
      <c r="XQ61">
        <v>0</v>
      </c>
      <c r="XR61">
        <v>0</v>
      </c>
      <c r="XS61">
        <v>0</v>
      </c>
      <c r="XT61">
        <v>0</v>
      </c>
      <c r="XU61" cm="1">
        <f t="array" ref="XU61">IFERROR(MAX((_xlfn.ANCHORARRAY(XP61)-AVERAGE(_xlfn.ANCHORARRAY(XP61)))/ AVERAGE(_xlfn.ANCHORARRAY(XP61))),0)</f>
        <v>0</v>
      </c>
      <c r="XV61" t="str" cm="1">
        <f t="array" ref="XV61">IF(AND(XU61&gt;$XV$1,XN61&lt;&gt;""),_xlfn.XLOOKUP(MAX(_xlfn.ANCHORARRAY(XP61)),_xlfn.ANCHORARRAY(XP61),XP$4:XT$4,""),"")</f>
        <v/>
      </c>
      <c r="XX61" cm="1">
        <f t="array" ref="XX61:YG61">SUMIFS($M61:$GJ61,$M$2:$GJ$2,XX$3:YG$3)</f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 cm="1">
        <f t="array" ref="YH61">IFERROR(MAX((_xlfn.ANCHORARRAY(XX61)-AVERAGE(_xlfn.ANCHORARRAY(XX61)))/ AVERAGE(_xlfn.ANCHORARRAY(XX61))),0)</f>
        <v>0</v>
      </c>
      <c r="YI61" t="str" cm="1">
        <f t="array" ref="YI61">IF(YH61&gt;$YI$1,_xlfn.XLOOKUP(MAX(_xlfn.ANCHORARRAY(XX61)),_xlfn.ANCHORARRAY(XX61),XX$4:YG$4,""),"")</f>
        <v/>
      </c>
      <c r="YK61" t="str">
        <f t="shared" si="11"/>
        <v/>
      </c>
    </row>
    <row r="62" spans="1:661" x14ac:dyDescent="0.3">
      <c r="A62" s="2"/>
      <c r="B62" s="2" t="str">
        <f t="shared" si="12"/>
        <v>CHA</v>
      </c>
      <c r="C62" s="2" t="str">
        <f t="shared" si="2"/>
        <v>CHA</v>
      </c>
      <c r="D62" s="2" t="str">
        <f t="shared" si="13"/>
        <v>CHA</v>
      </c>
      <c r="E62" s="2" t="str">
        <f t="shared" si="3"/>
        <v/>
      </c>
      <c r="F62" s="2" t="str">
        <f t="shared" si="4"/>
        <v/>
      </c>
      <c r="G62" s="2">
        <f t="shared" si="5"/>
        <v>0</v>
      </c>
      <c r="H62" s="2">
        <f t="shared" si="6"/>
        <v>0</v>
      </c>
      <c r="I62" s="2">
        <f t="shared" si="7"/>
        <v>0</v>
      </c>
      <c r="J62" s="2">
        <f t="shared" si="8"/>
        <v>0</v>
      </c>
      <c r="K62" s="2">
        <f t="shared" si="9"/>
        <v>0</v>
      </c>
      <c r="L62" s="2">
        <f t="shared" si="10"/>
        <v>0</v>
      </c>
      <c r="XJ62" cm="1">
        <f t="array" ref="XJ62:XL62">SUMIFS($M62:$GJ62,$M$1:$GJ$1,XJ$3:XL$3)</f>
        <v>0</v>
      </c>
      <c r="XK62">
        <v>0</v>
      </c>
      <c r="XL62">
        <v>0</v>
      </c>
      <c r="XM62" cm="1">
        <f t="array" ref="XM62">IFERROR(MAX((_xlfn.ANCHORARRAY(XJ62)-AVERAGE(_xlfn.ANCHORARRAY(XJ62)))/ AVERAGE(_xlfn.ANCHORARRAY(XJ62))),0)</f>
        <v>0</v>
      </c>
      <c r="XN62" t="str" cm="1">
        <f t="array" ref="XN62">IF(XM62&gt;$XN$1,_xlfn.XLOOKUP(MAX(_xlfn.ANCHORARRAY(XJ62)),_xlfn.ANCHORARRAY(XJ62),XJ$4:XL$4,""),"")</f>
        <v/>
      </c>
      <c r="XP62" cm="1">
        <f t="array" ref="XP62:XT62">SUMIFS($M62:$GJ62,$M$3:$GJ$3,XP$3:XT$3)</f>
        <v>0</v>
      </c>
      <c r="XQ62">
        <v>0</v>
      </c>
      <c r="XR62">
        <v>0</v>
      </c>
      <c r="XS62">
        <v>0</v>
      </c>
      <c r="XT62">
        <v>0</v>
      </c>
      <c r="XU62" cm="1">
        <f t="array" ref="XU62">IFERROR(MAX((_xlfn.ANCHORARRAY(XP62)-AVERAGE(_xlfn.ANCHORARRAY(XP62)))/ AVERAGE(_xlfn.ANCHORARRAY(XP62))),0)</f>
        <v>0</v>
      </c>
      <c r="XV62" t="str" cm="1">
        <f t="array" ref="XV62">IF(AND(XU62&gt;$XV$1,XN62&lt;&gt;""),_xlfn.XLOOKUP(MAX(_xlfn.ANCHORARRAY(XP62)),_xlfn.ANCHORARRAY(XP62),XP$4:XT$4,""),"")</f>
        <v/>
      </c>
      <c r="XX62" cm="1">
        <f t="array" ref="XX62:YG62">SUMIFS($M62:$GJ62,$M$2:$GJ$2,XX$3:YG$3)</f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 cm="1">
        <f t="array" ref="YH62">IFERROR(MAX((_xlfn.ANCHORARRAY(XX62)-AVERAGE(_xlfn.ANCHORARRAY(XX62)))/ AVERAGE(_xlfn.ANCHORARRAY(XX62))),0)</f>
        <v>0</v>
      </c>
      <c r="YI62" t="str" cm="1">
        <f t="array" ref="YI62">IF(YH62&gt;$YI$1,_xlfn.XLOOKUP(MAX(_xlfn.ANCHORARRAY(XX62)),_xlfn.ANCHORARRAY(XX62),XX$4:YG$4,""),"")</f>
        <v/>
      </c>
      <c r="YK62" t="str">
        <f t="shared" si="11"/>
        <v/>
      </c>
    </row>
    <row r="63" spans="1:661" x14ac:dyDescent="0.3">
      <c r="A63" s="2"/>
      <c r="B63" s="2" t="str">
        <f t="shared" si="12"/>
        <v>CHA</v>
      </c>
      <c r="C63" s="2" t="str">
        <f t="shared" si="2"/>
        <v>CHA</v>
      </c>
      <c r="D63" s="2" t="str">
        <f t="shared" si="13"/>
        <v>CHA</v>
      </c>
      <c r="E63" s="2" t="str">
        <f t="shared" si="3"/>
        <v/>
      </c>
      <c r="F63" s="2" t="str">
        <f t="shared" si="4"/>
        <v/>
      </c>
      <c r="G63" s="2">
        <f t="shared" si="5"/>
        <v>0</v>
      </c>
      <c r="H63" s="2">
        <f t="shared" si="6"/>
        <v>0</v>
      </c>
      <c r="I63" s="2">
        <f t="shared" si="7"/>
        <v>0</v>
      </c>
      <c r="J63" s="2">
        <f t="shared" si="8"/>
        <v>0</v>
      </c>
      <c r="K63" s="2">
        <f t="shared" si="9"/>
        <v>0</v>
      </c>
      <c r="L63" s="2">
        <f t="shared" si="10"/>
        <v>0</v>
      </c>
      <c r="XJ63" cm="1">
        <f t="array" ref="XJ63:XL63">SUMIFS($M63:$GJ63,$M$1:$GJ$1,XJ$3:XL$3)</f>
        <v>0</v>
      </c>
      <c r="XK63">
        <v>0</v>
      </c>
      <c r="XL63">
        <v>0</v>
      </c>
      <c r="XM63" cm="1">
        <f t="array" ref="XM63">IFERROR(MAX((_xlfn.ANCHORARRAY(XJ63)-AVERAGE(_xlfn.ANCHORARRAY(XJ63)))/ AVERAGE(_xlfn.ANCHORARRAY(XJ63))),0)</f>
        <v>0</v>
      </c>
      <c r="XN63" t="str" cm="1">
        <f t="array" ref="XN63">IF(XM63&gt;$XN$1,_xlfn.XLOOKUP(MAX(_xlfn.ANCHORARRAY(XJ63)),_xlfn.ANCHORARRAY(XJ63),XJ$4:XL$4,""),"")</f>
        <v/>
      </c>
      <c r="XP63" cm="1">
        <f t="array" ref="XP63:XT63">SUMIFS($M63:$GJ63,$M$3:$GJ$3,XP$3:XT$3)</f>
        <v>0</v>
      </c>
      <c r="XQ63">
        <v>0</v>
      </c>
      <c r="XR63">
        <v>0</v>
      </c>
      <c r="XS63">
        <v>0</v>
      </c>
      <c r="XT63">
        <v>0</v>
      </c>
      <c r="XU63" cm="1">
        <f t="array" ref="XU63">IFERROR(MAX((_xlfn.ANCHORARRAY(XP63)-AVERAGE(_xlfn.ANCHORARRAY(XP63)))/ AVERAGE(_xlfn.ANCHORARRAY(XP63))),0)</f>
        <v>0</v>
      </c>
      <c r="XV63" t="str" cm="1">
        <f t="array" ref="XV63">IF(AND(XU63&gt;$XV$1,XN63&lt;&gt;""),_xlfn.XLOOKUP(MAX(_xlfn.ANCHORARRAY(XP63)),_xlfn.ANCHORARRAY(XP63),XP$4:XT$4,""),"")</f>
        <v/>
      </c>
      <c r="XX63" cm="1">
        <f t="array" ref="XX63:YG63">SUMIFS($M63:$GJ63,$M$2:$GJ$2,XX$3:YG$3)</f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 cm="1">
        <f t="array" ref="YH63">IFERROR(MAX((_xlfn.ANCHORARRAY(XX63)-AVERAGE(_xlfn.ANCHORARRAY(XX63)))/ AVERAGE(_xlfn.ANCHORARRAY(XX63))),0)</f>
        <v>0</v>
      </c>
      <c r="YI63" t="str" cm="1">
        <f t="array" ref="YI63">IF(YH63&gt;$YI$1,_xlfn.XLOOKUP(MAX(_xlfn.ANCHORARRAY(XX63)),_xlfn.ANCHORARRAY(XX63),XX$4:YG$4,""),"")</f>
        <v/>
      </c>
      <c r="YK63" t="str">
        <f t="shared" si="11"/>
        <v/>
      </c>
    </row>
    <row r="64" spans="1:661" x14ac:dyDescent="0.3">
      <c r="A64" s="2"/>
      <c r="B64" s="2" t="str">
        <f t="shared" si="12"/>
        <v>CHA</v>
      </c>
      <c r="C64" s="2" t="str">
        <f t="shared" si="2"/>
        <v>CHA</v>
      </c>
      <c r="D64" s="2" t="str">
        <f t="shared" si="13"/>
        <v>CHA</v>
      </c>
      <c r="E64" s="2" t="str">
        <f t="shared" si="3"/>
        <v/>
      </c>
      <c r="F64" s="2" t="str">
        <f t="shared" si="4"/>
        <v/>
      </c>
      <c r="G64" s="2">
        <f t="shared" si="5"/>
        <v>0</v>
      </c>
      <c r="H64" s="2">
        <f t="shared" si="6"/>
        <v>0</v>
      </c>
      <c r="I64" s="2">
        <f t="shared" si="7"/>
        <v>0</v>
      </c>
      <c r="J64" s="2">
        <f t="shared" si="8"/>
        <v>0</v>
      </c>
      <c r="K64" s="2">
        <f t="shared" si="9"/>
        <v>0</v>
      </c>
      <c r="L64" s="2">
        <f t="shared" si="10"/>
        <v>0</v>
      </c>
      <c r="XJ64" cm="1">
        <f t="array" ref="XJ64:XL64">SUMIFS($M64:$GJ64,$M$1:$GJ$1,XJ$3:XL$3)</f>
        <v>0</v>
      </c>
      <c r="XK64">
        <v>0</v>
      </c>
      <c r="XL64">
        <v>0</v>
      </c>
      <c r="XM64" cm="1">
        <f t="array" ref="XM64">IFERROR(MAX((_xlfn.ANCHORARRAY(XJ64)-AVERAGE(_xlfn.ANCHORARRAY(XJ64)))/ AVERAGE(_xlfn.ANCHORARRAY(XJ64))),0)</f>
        <v>0</v>
      </c>
      <c r="XN64" t="str" cm="1">
        <f t="array" ref="XN64">IF(XM64&gt;$XN$1,_xlfn.XLOOKUP(MAX(_xlfn.ANCHORARRAY(XJ64)),_xlfn.ANCHORARRAY(XJ64),XJ$4:XL$4,""),"")</f>
        <v/>
      </c>
      <c r="XP64" cm="1">
        <f t="array" ref="XP64:XT64">SUMIFS($M64:$GJ64,$M$3:$GJ$3,XP$3:XT$3)</f>
        <v>0</v>
      </c>
      <c r="XQ64">
        <v>0</v>
      </c>
      <c r="XR64">
        <v>0</v>
      </c>
      <c r="XS64">
        <v>0</v>
      </c>
      <c r="XT64">
        <v>0</v>
      </c>
      <c r="XU64" cm="1">
        <f t="array" ref="XU64">IFERROR(MAX((_xlfn.ANCHORARRAY(XP64)-AVERAGE(_xlfn.ANCHORARRAY(XP64)))/ AVERAGE(_xlfn.ANCHORARRAY(XP64))),0)</f>
        <v>0</v>
      </c>
      <c r="XV64" t="str" cm="1">
        <f t="array" ref="XV64">IF(AND(XU64&gt;$XV$1,XN64&lt;&gt;""),_xlfn.XLOOKUP(MAX(_xlfn.ANCHORARRAY(XP64)),_xlfn.ANCHORARRAY(XP64),XP$4:XT$4,""),"")</f>
        <v/>
      </c>
      <c r="XX64" cm="1">
        <f t="array" ref="XX64:YG64">SUMIFS($M64:$GJ64,$M$2:$GJ$2,XX$3:YG$3)</f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 cm="1">
        <f t="array" ref="YH64">IFERROR(MAX((_xlfn.ANCHORARRAY(XX64)-AVERAGE(_xlfn.ANCHORARRAY(XX64)))/ AVERAGE(_xlfn.ANCHORARRAY(XX64))),0)</f>
        <v>0</v>
      </c>
      <c r="YI64" t="str" cm="1">
        <f t="array" ref="YI64">IF(YH64&gt;$YI$1,_xlfn.XLOOKUP(MAX(_xlfn.ANCHORARRAY(XX64)),_xlfn.ANCHORARRAY(XX64),XX$4:YG$4,""),"")</f>
        <v/>
      </c>
      <c r="YK64" t="str">
        <f t="shared" si="11"/>
        <v/>
      </c>
    </row>
    <row r="65" spans="1:661" x14ac:dyDescent="0.3">
      <c r="A65" s="2"/>
      <c r="B65" s="2" t="str">
        <f t="shared" si="12"/>
        <v>CHA</v>
      </c>
      <c r="C65" s="2" t="str">
        <f t="shared" si="2"/>
        <v>CHA</v>
      </c>
      <c r="D65" s="2" t="str">
        <f t="shared" si="13"/>
        <v>CHA</v>
      </c>
      <c r="E65" s="2" t="str">
        <f t="shared" si="3"/>
        <v/>
      </c>
      <c r="F65" s="2" t="str">
        <f t="shared" si="4"/>
        <v/>
      </c>
      <c r="G65" s="2">
        <f t="shared" si="5"/>
        <v>0</v>
      </c>
      <c r="H65" s="2">
        <f t="shared" si="6"/>
        <v>0</v>
      </c>
      <c r="I65" s="2">
        <f t="shared" si="7"/>
        <v>0</v>
      </c>
      <c r="J65" s="2">
        <f t="shared" si="8"/>
        <v>0</v>
      </c>
      <c r="K65" s="2">
        <f t="shared" si="9"/>
        <v>0</v>
      </c>
      <c r="L65" s="2">
        <f t="shared" si="10"/>
        <v>0</v>
      </c>
      <c r="XJ65" cm="1">
        <f t="array" ref="XJ65:XL65">SUMIFS($M65:$GJ65,$M$1:$GJ$1,XJ$3:XL$3)</f>
        <v>0</v>
      </c>
      <c r="XK65">
        <v>0</v>
      </c>
      <c r="XL65">
        <v>0</v>
      </c>
      <c r="XM65" cm="1">
        <f t="array" ref="XM65">IFERROR(MAX((_xlfn.ANCHORARRAY(XJ65)-AVERAGE(_xlfn.ANCHORARRAY(XJ65)))/ AVERAGE(_xlfn.ANCHORARRAY(XJ65))),0)</f>
        <v>0</v>
      </c>
      <c r="XN65" t="str" cm="1">
        <f t="array" ref="XN65">IF(XM65&gt;$XN$1,_xlfn.XLOOKUP(MAX(_xlfn.ANCHORARRAY(XJ65)),_xlfn.ANCHORARRAY(XJ65),XJ$4:XL$4,""),"")</f>
        <v/>
      </c>
      <c r="XP65" cm="1">
        <f t="array" ref="XP65:XT65">SUMIFS($M65:$GJ65,$M$3:$GJ$3,XP$3:XT$3)</f>
        <v>0</v>
      </c>
      <c r="XQ65">
        <v>0</v>
      </c>
      <c r="XR65">
        <v>0</v>
      </c>
      <c r="XS65">
        <v>0</v>
      </c>
      <c r="XT65">
        <v>0</v>
      </c>
      <c r="XU65" cm="1">
        <f t="array" ref="XU65">IFERROR(MAX((_xlfn.ANCHORARRAY(XP65)-AVERAGE(_xlfn.ANCHORARRAY(XP65)))/ AVERAGE(_xlfn.ANCHORARRAY(XP65))),0)</f>
        <v>0</v>
      </c>
      <c r="XV65" t="str" cm="1">
        <f t="array" ref="XV65">IF(AND(XU65&gt;$XV$1,XN65&lt;&gt;""),_xlfn.XLOOKUP(MAX(_xlfn.ANCHORARRAY(XP65)),_xlfn.ANCHORARRAY(XP65),XP$4:XT$4,""),"")</f>
        <v/>
      </c>
      <c r="XX65" cm="1">
        <f t="array" ref="XX65:YG65">SUMIFS($M65:$GJ65,$M$2:$GJ$2,XX$3:YG$3)</f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 cm="1">
        <f t="array" ref="YH65">IFERROR(MAX((_xlfn.ANCHORARRAY(XX65)-AVERAGE(_xlfn.ANCHORARRAY(XX65)))/ AVERAGE(_xlfn.ANCHORARRAY(XX65))),0)</f>
        <v>0</v>
      </c>
      <c r="YI65" t="str" cm="1">
        <f t="array" ref="YI65">IF(YH65&gt;$YI$1,_xlfn.XLOOKUP(MAX(_xlfn.ANCHORARRAY(XX65)),_xlfn.ANCHORARRAY(XX65),XX$4:YG$4,""),"")</f>
        <v/>
      </c>
      <c r="YK65" t="str">
        <f t="shared" si="11"/>
        <v/>
      </c>
    </row>
    <row r="66" spans="1:661" x14ac:dyDescent="0.3">
      <c r="A66" s="2"/>
      <c r="B66" s="2" t="str">
        <f t="shared" si="12"/>
        <v>CHA</v>
      </c>
      <c r="C66" s="2" t="str">
        <f t="shared" si="2"/>
        <v>CHA</v>
      </c>
      <c r="D66" s="2" t="str">
        <f t="shared" si="13"/>
        <v>CHA</v>
      </c>
      <c r="E66" s="2" t="str">
        <f t="shared" si="3"/>
        <v/>
      </c>
      <c r="F66" s="2" t="str">
        <f t="shared" si="4"/>
        <v/>
      </c>
      <c r="G66" s="2">
        <f t="shared" si="5"/>
        <v>0</v>
      </c>
      <c r="H66" s="2">
        <f t="shared" si="6"/>
        <v>0</v>
      </c>
      <c r="I66" s="2">
        <f t="shared" si="7"/>
        <v>0</v>
      </c>
      <c r="J66" s="2">
        <f t="shared" si="8"/>
        <v>0</v>
      </c>
      <c r="K66" s="2">
        <f t="shared" si="9"/>
        <v>0</v>
      </c>
      <c r="L66" s="2">
        <f t="shared" si="10"/>
        <v>0</v>
      </c>
      <c r="XJ66" cm="1">
        <f t="array" ref="XJ66:XL66">SUMIFS($M66:$GJ66,$M$1:$GJ$1,XJ$3:XL$3)</f>
        <v>0</v>
      </c>
      <c r="XK66">
        <v>0</v>
      </c>
      <c r="XL66">
        <v>0</v>
      </c>
      <c r="XM66" cm="1">
        <f t="array" ref="XM66">IFERROR(MAX((_xlfn.ANCHORARRAY(XJ66)-AVERAGE(_xlfn.ANCHORARRAY(XJ66)))/ AVERAGE(_xlfn.ANCHORARRAY(XJ66))),0)</f>
        <v>0</v>
      </c>
      <c r="XN66" t="str" cm="1">
        <f t="array" ref="XN66">IF(XM66&gt;$XN$1,_xlfn.XLOOKUP(MAX(_xlfn.ANCHORARRAY(XJ66)),_xlfn.ANCHORARRAY(XJ66),XJ$4:XL$4,""),"")</f>
        <v/>
      </c>
      <c r="XP66" cm="1">
        <f t="array" ref="XP66:XT66">SUMIFS($M66:$GJ66,$M$3:$GJ$3,XP$3:XT$3)</f>
        <v>0</v>
      </c>
      <c r="XQ66">
        <v>0</v>
      </c>
      <c r="XR66">
        <v>0</v>
      </c>
      <c r="XS66">
        <v>0</v>
      </c>
      <c r="XT66">
        <v>0</v>
      </c>
      <c r="XU66" cm="1">
        <f t="array" ref="XU66">IFERROR(MAX((_xlfn.ANCHORARRAY(XP66)-AVERAGE(_xlfn.ANCHORARRAY(XP66)))/ AVERAGE(_xlfn.ANCHORARRAY(XP66))),0)</f>
        <v>0</v>
      </c>
      <c r="XV66" t="str" cm="1">
        <f t="array" ref="XV66">IF(AND(XU66&gt;$XV$1,XN66&lt;&gt;""),_xlfn.XLOOKUP(MAX(_xlfn.ANCHORARRAY(XP66)),_xlfn.ANCHORARRAY(XP66),XP$4:XT$4,""),"")</f>
        <v/>
      </c>
      <c r="XX66" cm="1">
        <f t="array" ref="XX66:YG66">SUMIFS($M66:$GJ66,$M$2:$GJ$2,XX$3:YG$3)</f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 cm="1">
        <f t="array" ref="YH66">IFERROR(MAX((_xlfn.ANCHORARRAY(XX66)-AVERAGE(_xlfn.ANCHORARRAY(XX66)))/ AVERAGE(_xlfn.ANCHORARRAY(XX66))),0)</f>
        <v>0</v>
      </c>
      <c r="YI66" t="str" cm="1">
        <f t="array" ref="YI66">IF(YH66&gt;$YI$1,_xlfn.XLOOKUP(MAX(_xlfn.ANCHORARRAY(XX66)),_xlfn.ANCHORARRAY(XX66),XX$4:YG$4,""),"")</f>
        <v/>
      </c>
      <c r="YK66" t="str">
        <f t="shared" si="11"/>
        <v/>
      </c>
    </row>
    <row r="67" spans="1:661" x14ac:dyDescent="0.3">
      <c r="A67" s="2"/>
      <c r="B67" s="2" t="str">
        <f t="shared" si="12"/>
        <v>CHA</v>
      </c>
      <c r="C67" s="2" t="str">
        <f t="shared" si="2"/>
        <v>CHA</v>
      </c>
      <c r="D67" s="2" t="str">
        <f t="shared" si="13"/>
        <v>CHA</v>
      </c>
      <c r="E67" s="2" t="str">
        <f t="shared" si="3"/>
        <v/>
      </c>
      <c r="F67" s="2" t="str">
        <f t="shared" si="4"/>
        <v/>
      </c>
      <c r="G67" s="2">
        <f t="shared" si="5"/>
        <v>0</v>
      </c>
      <c r="H67" s="2">
        <f t="shared" si="6"/>
        <v>0</v>
      </c>
      <c r="I67" s="2">
        <f t="shared" si="7"/>
        <v>0</v>
      </c>
      <c r="J67" s="2">
        <f t="shared" si="8"/>
        <v>0</v>
      </c>
      <c r="K67" s="2">
        <f t="shared" si="9"/>
        <v>0</v>
      </c>
      <c r="L67" s="2">
        <f t="shared" si="10"/>
        <v>0</v>
      </c>
      <c r="XJ67" cm="1">
        <f t="array" ref="XJ67:XL67">SUMIFS($M67:$GJ67,$M$1:$GJ$1,XJ$3:XL$3)</f>
        <v>0</v>
      </c>
      <c r="XK67">
        <v>0</v>
      </c>
      <c r="XL67">
        <v>0</v>
      </c>
      <c r="XM67" cm="1">
        <f t="array" ref="XM67">IFERROR(MAX((_xlfn.ANCHORARRAY(XJ67)-AVERAGE(_xlfn.ANCHORARRAY(XJ67)))/ AVERAGE(_xlfn.ANCHORARRAY(XJ67))),0)</f>
        <v>0</v>
      </c>
      <c r="XN67" t="str" cm="1">
        <f t="array" ref="XN67">IF(XM67&gt;$XN$1,_xlfn.XLOOKUP(MAX(_xlfn.ANCHORARRAY(XJ67)),_xlfn.ANCHORARRAY(XJ67),XJ$4:XL$4,""),"")</f>
        <v/>
      </c>
      <c r="XP67" cm="1">
        <f t="array" ref="XP67:XT67">SUMIFS($M67:$GJ67,$M$3:$GJ$3,XP$3:XT$3)</f>
        <v>0</v>
      </c>
      <c r="XQ67">
        <v>0</v>
      </c>
      <c r="XR67">
        <v>0</v>
      </c>
      <c r="XS67">
        <v>0</v>
      </c>
      <c r="XT67">
        <v>0</v>
      </c>
      <c r="XU67" cm="1">
        <f t="array" ref="XU67">IFERROR(MAX((_xlfn.ANCHORARRAY(XP67)-AVERAGE(_xlfn.ANCHORARRAY(XP67)))/ AVERAGE(_xlfn.ANCHORARRAY(XP67))),0)</f>
        <v>0</v>
      </c>
      <c r="XV67" t="str" cm="1">
        <f t="array" ref="XV67">IF(AND(XU67&gt;$XV$1,XN67&lt;&gt;""),_xlfn.XLOOKUP(MAX(_xlfn.ANCHORARRAY(XP67)),_xlfn.ANCHORARRAY(XP67),XP$4:XT$4,""),"")</f>
        <v/>
      </c>
      <c r="XX67" cm="1">
        <f t="array" ref="XX67:YG67">SUMIFS($M67:$GJ67,$M$2:$GJ$2,XX$3:YG$3)</f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 cm="1">
        <f t="array" ref="YH67">IFERROR(MAX((_xlfn.ANCHORARRAY(XX67)-AVERAGE(_xlfn.ANCHORARRAY(XX67)))/ AVERAGE(_xlfn.ANCHORARRAY(XX67))),0)</f>
        <v>0</v>
      </c>
      <c r="YI67" t="str" cm="1">
        <f t="array" ref="YI67">IF(YH67&gt;$YI$1,_xlfn.XLOOKUP(MAX(_xlfn.ANCHORARRAY(XX67)),_xlfn.ANCHORARRAY(XX67),XX$4:YG$4,""),"")</f>
        <v/>
      </c>
      <c r="YK67" t="str">
        <f t="shared" si="11"/>
        <v/>
      </c>
    </row>
    <row r="68" spans="1:661" x14ac:dyDescent="0.3">
      <c r="A68" s="2"/>
      <c r="B68" s="2" t="str">
        <f t="shared" si="12"/>
        <v>CHA</v>
      </c>
      <c r="C68" s="2" t="str">
        <f t="shared" si="2"/>
        <v>CHA</v>
      </c>
      <c r="D68" s="2" t="str">
        <f t="shared" si="13"/>
        <v>CHA</v>
      </c>
      <c r="E68" s="2" t="str">
        <f t="shared" si="3"/>
        <v/>
      </c>
      <c r="F68" s="2" t="str">
        <f t="shared" si="4"/>
        <v/>
      </c>
      <c r="G68" s="2">
        <f t="shared" si="5"/>
        <v>0</v>
      </c>
      <c r="H68" s="2">
        <f t="shared" si="6"/>
        <v>0</v>
      </c>
      <c r="I68" s="2">
        <f t="shared" si="7"/>
        <v>0</v>
      </c>
      <c r="J68" s="2">
        <f t="shared" si="8"/>
        <v>0</v>
      </c>
      <c r="K68" s="2">
        <f t="shared" si="9"/>
        <v>0</v>
      </c>
      <c r="L68" s="2">
        <f t="shared" si="10"/>
        <v>0</v>
      </c>
      <c r="XJ68" cm="1">
        <f t="array" ref="XJ68:XL68">SUMIFS($M68:$GJ68,$M$1:$GJ$1,XJ$3:XL$3)</f>
        <v>0</v>
      </c>
      <c r="XK68">
        <v>0</v>
      </c>
      <c r="XL68">
        <v>0</v>
      </c>
      <c r="XM68" cm="1">
        <f t="array" ref="XM68">IFERROR(MAX((_xlfn.ANCHORARRAY(XJ68)-AVERAGE(_xlfn.ANCHORARRAY(XJ68)))/ AVERAGE(_xlfn.ANCHORARRAY(XJ68))),0)</f>
        <v>0</v>
      </c>
      <c r="XN68" t="str" cm="1">
        <f t="array" ref="XN68">IF(XM68&gt;$XN$1,_xlfn.XLOOKUP(MAX(_xlfn.ANCHORARRAY(XJ68)),_xlfn.ANCHORARRAY(XJ68),XJ$4:XL$4,""),"")</f>
        <v/>
      </c>
      <c r="XP68" cm="1">
        <f t="array" ref="XP68:XT68">SUMIFS($M68:$GJ68,$M$3:$GJ$3,XP$3:XT$3)</f>
        <v>0</v>
      </c>
      <c r="XQ68">
        <v>0</v>
      </c>
      <c r="XR68">
        <v>0</v>
      </c>
      <c r="XS68">
        <v>0</v>
      </c>
      <c r="XT68">
        <v>0</v>
      </c>
      <c r="XU68" cm="1">
        <f t="array" ref="XU68">IFERROR(MAX((_xlfn.ANCHORARRAY(XP68)-AVERAGE(_xlfn.ANCHORARRAY(XP68)))/ AVERAGE(_xlfn.ANCHORARRAY(XP68))),0)</f>
        <v>0</v>
      </c>
      <c r="XV68" t="str" cm="1">
        <f t="array" ref="XV68">IF(AND(XU68&gt;$XV$1,XN68&lt;&gt;""),_xlfn.XLOOKUP(MAX(_xlfn.ANCHORARRAY(XP68)),_xlfn.ANCHORARRAY(XP68),XP$4:XT$4,""),"")</f>
        <v/>
      </c>
      <c r="XX68" cm="1">
        <f t="array" ref="XX68:YG68">SUMIFS($M68:$GJ68,$M$2:$GJ$2,XX$3:YG$3)</f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 cm="1">
        <f t="array" ref="YH68">IFERROR(MAX((_xlfn.ANCHORARRAY(XX68)-AVERAGE(_xlfn.ANCHORARRAY(XX68)))/ AVERAGE(_xlfn.ANCHORARRAY(XX68))),0)</f>
        <v>0</v>
      </c>
      <c r="YI68" t="str" cm="1">
        <f t="array" ref="YI68">IF(YH68&gt;$YI$1,_xlfn.XLOOKUP(MAX(_xlfn.ANCHORARRAY(XX68)),_xlfn.ANCHORARRAY(XX68),XX$4:YG$4,""),"")</f>
        <v/>
      </c>
      <c r="YK68" t="str">
        <f t="shared" si="11"/>
        <v/>
      </c>
    </row>
    <row r="69" spans="1:661" x14ac:dyDescent="0.3">
      <c r="A69" s="2"/>
      <c r="B69" s="2" t="str">
        <f t="shared" ref="B69:B100" si="14">IF(C69="NotFound",D69,C69)</f>
        <v>CHA</v>
      </c>
      <c r="C69" s="2" t="str">
        <f t="shared" si="2"/>
        <v>CHA</v>
      </c>
      <c r="D69" s="2" t="str">
        <f t="shared" ref="D69:D100" si="15">IF(G69&gt;1,"NotFound","CHA"&amp;_xlfn.XLOOKUP(MAX(GL69:NI69,1),GL69:NI69,$GL$4:$NI$4,""))</f>
        <v>CHA</v>
      </c>
      <c r="E69" s="2" t="str">
        <f t="shared" si="3"/>
        <v/>
      </c>
      <c r="F69" s="2" t="str">
        <f t="shared" si="4"/>
        <v/>
      </c>
      <c r="G69" s="2">
        <f t="shared" si="5"/>
        <v>0</v>
      </c>
      <c r="H69" s="2">
        <f t="shared" si="6"/>
        <v>0</v>
      </c>
      <c r="I69" s="2">
        <f t="shared" si="7"/>
        <v>0</v>
      </c>
      <c r="J69" s="2">
        <f t="shared" si="8"/>
        <v>0</v>
      </c>
      <c r="K69" s="2">
        <f t="shared" si="9"/>
        <v>0</v>
      </c>
      <c r="L69" s="2">
        <f t="shared" si="10"/>
        <v>0</v>
      </c>
      <c r="XJ69" cm="1">
        <f t="array" ref="XJ69:XL69">SUMIFS($M69:$GJ69,$M$1:$GJ$1,XJ$3:XL$3)</f>
        <v>0</v>
      </c>
      <c r="XK69">
        <v>0</v>
      </c>
      <c r="XL69">
        <v>0</v>
      </c>
      <c r="XM69" cm="1">
        <f t="array" ref="XM69">IFERROR(MAX((_xlfn.ANCHORARRAY(XJ69)-AVERAGE(_xlfn.ANCHORARRAY(XJ69)))/ AVERAGE(_xlfn.ANCHORARRAY(XJ69))),0)</f>
        <v>0</v>
      </c>
      <c r="XN69" t="str" cm="1">
        <f t="array" ref="XN69">IF(XM69&gt;$XN$1,_xlfn.XLOOKUP(MAX(_xlfn.ANCHORARRAY(XJ69)),_xlfn.ANCHORARRAY(XJ69),XJ$4:XL$4,""),"")</f>
        <v/>
      </c>
      <c r="XP69" cm="1">
        <f t="array" ref="XP69:XT69">SUMIFS($M69:$GJ69,$M$3:$GJ$3,XP$3:XT$3)</f>
        <v>0</v>
      </c>
      <c r="XQ69">
        <v>0</v>
      </c>
      <c r="XR69">
        <v>0</v>
      </c>
      <c r="XS69">
        <v>0</v>
      </c>
      <c r="XT69">
        <v>0</v>
      </c>
      <c r="XU69" cm="1">
        <f t="array" ref="XU69">IFERROR(MAX((_xlfn.ANCHORARRAY(XP69)-AVERAGE(_xlfn.ANCHORARRAY(XP69)))/ AVERAGE(_xlfn.ANCHORARRAY(XP69))),0)</f>
        <v>0</v>
      </c>
      <c r="XV69" t="str" cm="1">
        <f t="array" ref="XV69">IF(AND(XU69&gt;$XV$1,XN69&lt;&gt;""),_xlfn.XLOOKUP(MAX(_xlfn.ANCHORARRAY(XP69)),_xlfn.ANCHORARRAY(XP69),XP$4:XT$4,""),"")</f>
        <v/>
      </c>
      <c r="XX69" cm="1">
        <f t="array" ref="XX69:YG69">SUMIFS($M69:$GJ69,$M$2:$GJ$2,XX$3:YG$3)</f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 cm="1">
        <f t="array" ref="YH69">IFERROR(MAX((_xlfn.ANCHORARRAY(XX69)-AVERAGE(_xlfn.ANCHORARRAY(XX69)))/ AVERAGE(_xlfn.ANCHORARRAY(XX69))),0)</f>
        <v>0</v>
      </c>
      <c r="YI69" t="str" cm="1">
        <f t="array" ref="YI69">IF(YH69&gt;$YI$1,_xlfn.XLOOKUP(MAX(_xlfn.ANCHORARRAY(XX69)),_xlfn.ANCHORARRAY(XX69),XX$4:YG$4,""),"")</f>
        <v/>
      </c>
      <c r="YK69" t="str">
        <f t="shared" si="11"/>
        <v/>
      </c>
    </row>
    <row r="70" spans="1:661" x14ac:dyDescent="0.3">
      <c r="A70" s="2"/>
      <c r="B70" s="2" t="str">
        <f t="shared" si="14"/>
        <v>CHA</v>
      </c>
      <c r="C70" s="2" t="str">
        <f t="shared" ref="C70:C127" si="16">IF(K70&gt;1,"NotFound","CHA"&amp;_xlfn.XLOOKUP(MAX(M70:GJ70,1),M70:GJ70,$M$4:$GJ$4,""))</f>
        <v>CHA</v>
      </c>
      <c r="D70" s="2" t="str">
        <f t="shared" si="15"/>
        <v>CHA</v>
      </c>
      <c r="E70" s="2" t="str">
        <f t="shared" ref="E70:E133" si="17">YK70</f>
        <v/>
      </c>
      <c r="F70" s="2" t="str">
        <f t="shared" ref="F70:F127" si="18">IF(I70&gt;1,"NotFound",_xlfn.XLOOKUP(MAX(NK70:XG70,1),NK70:XG70,$NK$4:$XG$4,""))</f>
        <v/>
      </c>
      <c r="G70" s="2">
        <f t="shared" ref="G70:G133" si="19">COUNTIF(GL70:NI70,H70)</f>
        <v>0</v>
      </c>
      <c r="H70" s="2">
        <f t="shared" ref="H70:H133" si="20">MAX(GL70:NI70)</f>
        <v>0</v>
      </c>
      <c r="I70" s="2">
        <f t="shared" ref="I70:I127" si="21">COUNTIF(NK70:XG70,J70)</f>
        <v>0</v>
      </c>
      <c r="J70" s="2">
        <f t="shared" ref="J70:J127" si="22">MAX(NK70:XG70)</f>
        <v>0</v>
      </c>
      <c r="K70" s="2">
        <f t="shared" ref="K70:K127" si="23">COUNTIF(M70:GJ70,L70)</f>
        <v>0</v>
      </c>
      <c r="L70" s="2">
        <f t="shared" ref="L70:L127" si="24">MAX(M70:GJ70)</f>
        <v>0</v>
      </c>
      <c r="XJ70" cm="1">
        <f t="array" ref="XJ70:XL70">SUMIFS($M70:$GJ70,$M$1:$GJ$1,XJ$3:XL$3)</f>
        <v>0</v>
      </c>
      <c r="XK70">
        <v>0</v>
      </c>
      <c r="XL70">
        <v>0</v>
      </c>
      <c r="XM70" cm="1">
        <f t="array" ref="XM70">IFERROR(MAX((_xlfn.ANCHORARRAY(XJ70)-AVERAGE(_xlfn.ANCHORARRAY(XJ70)))/ AVERAGE(_xlfn.ANCHORARRAY(XJ70))),0)</f>
        <v>0</v>
      </c>
      <c r="XN70" t="str" cm="1">
        <f t="array" ref="XN70">IF(XM70&gt;$XN$1,_xlfn.XLOOKUP(MAX(_xlfn.ANCHORARRAY(XJ70)),_xlfn.ANCHORARRAY(XJ70),XJ$4:XL$4,""),"")</f>
        <v/>
      </c>
      <c r="XP70" cm="1">
        <f t="array" ref="XP70:XT70">SUMIFS($M70:$GJ70,$M$3:$GJ$3,XP$3:XT$3)</f>
        <v>0</v>
      </c>
      <c r="XQ70">
        <v>0</v>
      </c>
      <c r="XR70">
        <v>0</v>
      </c>
      <c r="XS70">
        <v>0</v>
      </c>
      <c r="XT70">
        <v>0</v>
      </c>
      <c r="XU70" cm="1">
        <f t="array" ref="XU70">IFERROR(MAX((_xlfn.ANCHORARRAY(XP70)-AVERAGE(_xlfn.ANCHORARRAY(XP70)))/ AVERAGE(_xlfn.ANCHORARRAY(XP70))),0)</f>
        <v>0</v>
      </c>
      <c r="XV70" t="str" cm="1">
        <f t="array" ref="XV70">IF(AND(XU70&gt;$XV$1,XN70&lt;&gt;""),_xlfn.XLOOKUP(MAX(_xlfn.ANCHORARRAY(XP70)),_xlfn.ANCHORARRAY(XP70),XP$4:XT$4,""),"")</f>
        <v/>
      </c>
      <c r="XX70" cm="1">
        <f t="array" ref="XX70:YG70">SUMIFS($M70:$GJ70,$M$2:$GJ$2,XX$3:YG$3)</f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 cm="1">
        <f t="array" ref="YH70">IFERROR(MAX((_xlfn.ANCHORARRAY(XX70)-AVERAGE(_xlfn.ANCHORARRAY(XX70)))/ AVERAGE(_xlfn.ANCHORARRAY(XX70))),0)</f>
        <v>0</v>
      </c>
      <c r="YI70" t="str" cm="1">
        <f t="array" ref="YI70">IF(YH70&gt;$YI$1,_xlfn.XLOOKUP(MAX(_xlfn.ANCHORARRAY(XX70)),_xlfn.ANCHORARRAY(XX70),XX$4:YG$4,""),"")</f>
        <v/>
      </c>
      <c r="YK70" t="str">
        <f t="shared" ref="YK70:YK133" si="25">_xlfn.TEXTJOIN(" : ",,XN70,XV70,YI70)</f>
        <v/>
      </c>
    </row>
    <row r="71" spans="1:661" x14ac:dyDescent="0.3">
      <c r="A71" s="2"/>
      <c r="B71" s="2" t="str">
        <f t="shared" si="14"/>
        <v>CHA</v>
      </c>
      <c r="C71" s="2" t="str">
        <f t="shared" si="16"/>
        <v>CHA</v>
      </c>
      <c r="D71" s="2" t="str">
        <f t="shared" si="15"/>
        <v>CHA</v>
      </c>
      <c r="E71" s="2" t="str">
        <f t="shared" si="17"/>
        <v/>
      </c>
      <c r="F71" s="2" t="str">
        <f t="shared" si="18"/>
        <v/>
      </c>
      <c r="G71" s="2">
        <f t="shared" si="19"/>
        <v>0</v>
      </c>
      <c r="H71" s="2">
        <f t="shared" si="20"/>
        <v>0</v>
      </c>
      <c r="I71" s="2">
        <f t="shared" si="21"/>
        <v>0</v>
      </c>
      <c r="J71" s="2">
        <f t="shared" si="22"/>
        <v>0</v>
      </c>
      <c r="K71" s="2">
        <f t="shared" si="23"/>
        <v>0</v>
      </c>
      <c r="L71" s="2">
        <f t="shared" si="24"/>
        <v>0</v>
      </c>
      <c r="XJ71" cm="1">
        <f t="array" ref="XJ71:XL71">SUMIFS($M71:$GJ71,$M$1:$GJ$1,XJ$3:XL$3)</f>
        <v>0</v>
      </c>
      <c r="XK71">
        <v>0</v>
      </c>
      <c r="XL71">
        <v>0</v>
      </c>
      <c r="XM71" cm="1">
        <f t="array" ref="XM71">IFERROR(MAX((_xlfn.ANCHORARRAY(XJ71)-AVERAGE(_xlfn.ANCHORARRAY(XJ71)))/ AVERAGE(_xlfn.ANCHORARRAY(XJ71))),0)</f>
        <v>0</v>
      </c>
      <c r="XN71" t="str" cm="1">
        <f t="array" ref="XN71">IF(XM71&gt;$XN$1,_xlfn.XLOOKUP(MAX(_xlfn.ANCHORARRAY(XJ71)),_xlfn.ANCHORARRAY(XJ71),XJ$4:XL$4,""),"")</f>
        <v/>
      </c>
      <c r="XP71" cm="1">
        <f t="array" ref="XP71:XT71">SUMIFS($M71:$GJ71,$M$3:$GJ$3,XP$3:XT$3)</f>
        <v>0</v>
      </c>
      <c r="XQ71">
        <v>0</v>
      </c>
      <c r="XR71">
        <v>0</v>
      </c>
      <c r="XS71">
        <v>0</v>
      </c>
      <c r="XT71">
        <v>0</v>
      </c>
      <c r="XU71" cm="1">
        <f t="array" ref="XU71">IFERROR(MAX((_xlfn.ANCHORARRAY(XP71)-AVERAGE(_xlfn.ANCHORARRAY(XP71)))/ AVERAGE(_xlfn.ANCHORARRAY(XP71))),0)</f>
        <v>0</v>
      </c>
      <c r="XV71" t="str" cm="1">
        <f t="array" ref="XV71">IF(AND(XU71&gt;$XV$1,XN71&lt;&gt;""),_xlfn.XLOOKUP(MAX(_xlfn.ANCHORARRAY(XP71)),_xlfn.ANCHORARRAY(XP71),XP$4:XT$4,""),"")</f>
        <v/>
      </c>
      <c r="XX71" cm="1">
        <f t="array" ref="XX71:YG71">SUMIFS($M71:$GJ71,$M$2:$GJ$2,XX$3:YG$3)</f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 cm="1">
        <f t="array" ref="YH71">IFERROR(MAX((_xlfn.ANCHORARRAY(XX71)-AVERAGE(_xlfn.ANCHORARRAY(XX71)))/ AVERAGE(_xlfn.ANCHORARRAY(XX71))),0)</f>
        <v>0</v>
      </c>
      <c r="YI71" t="str" cm="1">
        <f t="array" ref="YI71">IF(YH71&gt;$YI$1,_xlfn.XLOOKUP(MAX(_xlfn.ANCHORARRAY(XX71)),_xlfn.ANCHORARRAY(XX71),XX$4:YG$4,""),"")</f>
        <v/>
      </c>
      <c r="YK71" t="str">
        <f t="shared" si="25"/>
        <v/>
      </c>
    </row>
    <row r="72" spans="1:661" x14ac:dyDescent="0.3">
      <c r="A72" s="2"/>
      <c r="B72" s="2" t="str">
        <f t="shared" si="14"/>
        <v>CHA</v>
      </c>
      <c r="C72" s="2" t="str">
        <f t="shared" si="16"/>
        <v>CHA</v>
      </c>
      <c r="D72" s="2" t="str">
        <f t="shared" si="15"/>
        <v>CHA</v>
      </c>
      <c r="E72" s="2" t="str">
        <f t="shared" si="17"/>
        <v/>
      </c>
      <c r="F72" s="2" t="str">
        <f t="shared" si="18"/>
        <v/>
      </c>
      <c r="G72" s="2">
        <f t="shared" si="19"/>
        <v>0</v>
      </c>
      <c r="H72" s="2">
        <f t="shared" si="20"/>
        <v>0</v>
      </c>
      <c r="I72" s="2">
        <f t="shared" si="21"/>
        <v>0</v>
      </c>
      <c r="J72" s="2">
        <f t="shared" si="22"/>
        <v>0</v>
      </c>
      <c r="K72" s="2">
        <f t="shared" si="23"/>
        <v>0</v>
      </c>
      <c r="L72" s="2">
        <f t="shared" si="24"/>
        <v>0</v>
      </c>
      <c r="XJ72" cm="1">
        <f t="array" ref="XJ72:XL72">SUMIFS($M72:$GJ72,$M$1:$GJ$1,XJ$3:XL$3)</f>
        <v>0</v>
      </c>
      <c r="XK72">
        <v>0</v>
      </c>
      <c r="XL72">
        <v>0</v>
      </c>
      <c r="XM72" cm="1">
        <f t="array" ref="XM72">IFERROR(MAX((_xlfn.ANCHORARRAY(XJ72)-AVERAGE(_xlfn.ANCHORARRAY(XJ72)))/ AVERAGE(_xlfn.ANCHORARRAY(XJ72))),0)</f>
        <v>0</v>
      </c>
      <c r="XN72" t="str" cm="1">
        <f t="array" ref="XN72">IF(XM72&gt;$XN$1,_xlfn.XLOOKUP(MAX(_xlfn.ANCHORARRAY(XJ72)),_xlfn.ANCHORARRAY(XJ72),XJ$4:XL$4,""),"")</f>
        <v/>
      </c>
      <c r="XP72" cm="1">
        <f t="array" ref="XP72:XT72">SUMIFS($M72:$GJ72,$M$3:$GJ$3,XP$3:XT$3)</f>
        <v>0</v>
      </c>
      <c r="XQ72">
        <v>0</v>
      </c>
      <c r="XR72">
        <v>0</v>
      </c>
      <c r="XS72">
        <v>0</v>
      </c>
      <c r="XT72">
        <v>0</v>
      </c>
      <c r="XU72" cm="1">
        <f t="array" ref="XU72">IFERROR(MAX((_xlfn.ANCHORARRAY(XP72)-AVERAGE(_xlfn.ANCHORARRAY(XP72)))/ AVERAGE(_xlfn.ANCHORARRAY(XP72))),0)</f>
        <v>0</v>
      </c>
      <c r="XV72" t="str" cm="1">
        <f t="array" ref="XV72">IF(AND(XU72&gt;$XV$1,XN72&lt;&gt;""),_xlfn.XLOOKUP(MAX(_xlfn.ANCHORARRAY(XP72)),_xlfn.ANCHORARRAY(XP72),XP$4:XT$4,""),"")</f>
        <v/>
      </c>
      <c r="XX72" cm="1">
        <f t="array" ref="XX72:YG72">SUMIFS($M72:$GJ72,$M$2:$GJ$2,XX$3:YG$3)</f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 cm="1">
        <f t="array" ref="YH72">IFERROR(MAX((_xlfn.ANCHORARRAY(XX72)-AVERAGE(_xlfn.ANCHORARRAY(XX72)))/ AVERAGE(_xlfn.ANCHORARRAY(XX72))),0)</f>
        <v>0</v>
      </c>
      <c r="YI72" t="str" cm="1">
        <f t="array" ref="YI72">IF(YH72&gt;$YI$1,_xlfn.XLOOKUP(MAX(_xlfn.ANCHORARRAY(XX72)),_xlfn.ANCHORARRAY(XX72),XX$4:YG$4,""),"")</f>
        <v/>
      </c>
      <c r="YK72" t="str">
        <f t="shared" si="25"/>
        <v/>
      </c>
    </row>
    <row r="73" spans="1:661" x14ac:dyDescent="0.3">
      <c r="A73" s="2"/>
      <c r="B73" s="2" t="str">
        <f t="shared" si="14"/>
        <v>CHA</v>
      </c>
      <c r="C73" s="2" t="str">
        <f t="shared" si="16"/>
        <v>CHA</v>
      </c>
      <c r="D73" s="2" t="str">
        <f t="shared" si="15"/>
        <v>CHA</v>
      </c>
      <c r="E73" s="2" t="str">
        <f t="shared" si="17"/>
        <v/>
      </c>
      <c r="F73" s="2" t="str">
        <f t="shared" si="18"/>
        <v/>
      </c>
      <c r="G73" s="2">
        <f t="shared" si="19"/>
        <v>0</v>
      </c>
      <c r="H73" s="2">
        <f t="shared" si="20"/>
        <v>0</v>
      </c>
      <c r="I73" s="2">
        <f t="shared" si="21"/>
        <v>0</v>
      </c>
      <c r="J73" s="2">
        <f t="shared" si="22"/>
        <v>0</v>
      </c>
      <c r="K73" s="2">
        <f t="shared" si="23"/>
        <v>0</v>
      </c>
      <c r="L73" s="2">
        <f t="shared" si="24"/>
        <v>0</v>
      </c>
      <c r="XJ73" cm="1">
        <f t="array" ref="XJ73:XL73">SUMIFS($M73:$GJ73,$M$1:$GJ$1,XJ$3:XL$3)</f>
        <v>0</v>
      </c>
      <c r="XK73">
        <v>0</v>
      </c>
      <c r="XL73">
        <v>0</v>
      </c>
      <c r="XM73" cm="1">
        <f t="array" ref="XM73">IFERROR(MAX((_xlfn.ANCHORARRAY(XJ73)-AVERAGE(_xlfn.ANCHORARRAY(XJ73)))/ AVERAGE(_xlfn.ANCHORARRAY(XJ73))),0)</f>
        <v>0</v>
      </c>
      <c r="XN73" t="str" cm="1">
        <f t="array" ref="XN73">IF(XM73&gt;$XN$1,_xlfn.XLOOKUP(MAX(_xlfn.ANCHORARRAY(XJ73)),_xlfn.ANCHORARRAY(XJ73),XJ$4:XL$4,""),"")</f>
        <v/>
      </c>
      <c r="XP73" cm="1">
        <f t="array" ref="XP73:XT73">SUMIFS($M73:$GJ73,$M$3:$GJ$3,XP$3:XT$3)</f>
        <v>0</v>
      </c>
      <c r="XQ73">
        <v>0</v>
      </c>
      <c r="XR73">
        <v>0</v>
      </c>
      <c r="XS73">
        <v>0</v>
      </c>
      <c r="XT73">
        <v>0</v>
      </c>
      <c r="XU73" cm="1">
        <f t="array" ref="XU73">IFERROR(MAX((_xlfn.ANCHORARRAY(XP73)-AVERAGE(_xlfn.ANCHORARRAY(XP73)))/ AVERAGE(_xlfn.ANCHORARRAY(XP73))),0)</f>
        <v>0</v>
      </c>
      <c r="XV73" t="str" cm="1">
        <f t="array" ref="XV73">IF(AND(XU73&gt;$XV$1,XN73&lt;&gt;""),_xlfn.XLOOKUP(MAX(_xlfn.ANCHORARRAY(XP73)),_xlfn.ANCHORARRAY(XP73),XP$4:XT$4,""),"")</f>
        <v/>
      </c>
      <c r="XX73" cm="1">
        <f t="array" ref="XX73:YG73">SUMIFS($M73:$GJ73,$M$2:$GJ$2,XX$3:YG$3)</f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 cm="1">
        <f t="array" ref="YH73">IFERROR(MAX((_xlfn.ANCHORARRAY(XX73)-AVERAGE(_xlfn.ANCHORARRAY(XX73)))/ AVERAGE(_xlfn.ANCHORARRAY(XX73))),0)</f>
        <v>0</v>
      </c>
      <c r="YI73" t="str" cm="1">
        <f t="array" ref="YI73">IF(YH73&gt;$YI$1,_xlfn.XLOOKUP(MAX(_xlfn.ANCHORARRAY(XX73)),_xlfn.ANCHORARRAY(XX73),XX$4:YG$4,""),"")</f>
        <v/>
      </c>
      <c r="YK73" t="str">
        <f t="shared" si="25"/>
        <v/>
      </c>
    </row>
    <row r="74" spans="1:661" x14ac:dyDescent="0.3">
      <c r="A74" s="2"/>
      <c r="B74" s="2" t="str">
        <f t="shared" si="14"/>
        <v>CHA</v>
      </c>
      <c r="C74" s="2" t="str">
        <f t="shared" si="16"/>
        <v>CHA</v>
      </c>
      <c r="D74" s="2" t="str">
        <f t="shared" si="15"/>
        <v>CHA</v>
      </c>
      <c r="E74" s="2" t="str">
        <f t="shared" si="17"/>
        <v/>
      </c>
      <c r="F74" s="2" t="str">
        <f t="shared" si="18"/>
        <v/>
      </c>
      <c r="G74" s="2">
        <f t="shared" si="19"/>
        <v>0</v>
      </c>
      <c r="H74" s="2">
        <f t="shared" si="20"/>
        <v>0</v>
      </c>
      <c r="I74" s="2">
        <f t="shared" si="21"/>
        <v>0</v>
      </c>
      <c r="J74" s="2">
        <f t="shared" si="22"/>
        <v>0</v>
      </c>
      <c r="K74" s="2">
        <f t="shared" si="23"/>
        <v>0</v>
      </c>
      <c r="L74" s="2">
        <f t="shared" si="24"/>
        <v>0</v>
      </c>
      <c r="XJ74" cm="1">
        <f t="array" ref="XJ74:XL74">SUMIFS($M74:$GJ74,$M$1:$GJ$1,XJ$3:XL$3)</f>
        <v>0</v>
      </c>
      <c r="XK74">
        <v>0</v>
      </c>
      <c r="XL74">
        <v>0</v>
      </c>
      <c r="XM74" cm="1">
        <f t="array" ref="XM74">IFERROR(MAX((_xlfn.ANCHORARRAY(XJ74)-AVERAGE(_xlfn.ANCHORARRAY(XJ74)))/ AVERAGE(_xlfn.ANCHORARRAY(XJ74))),0)</f>
        <v>0</v>
      </c>
      <c r="XN74" t="str" cm="1">
        <f t="array" ref="XN74">IF(XM74&gt;$XN$1,_xlfn.XLOOKUP(MAX(_xlfn.ANCHORARRAY(XJ74)),_xlfn.ANCHORARRAY(XJ74),XJ$4:XL$4,""),"")</f>
        <v/>
      </c>
      <c r="XP74" cm="1">
        <f t="array" ref="XP74:XT74">SUMIFS($M74:$GJ74,$M$3:$GJ$3,XP$3:XT$3)</f>
        <v>0</v>
      </c>
      <c r="XQ74">
        <v>0</v>
      </c>
      <c r="XR74">
        <v>0</v>
      </c>
      <c r="XS74">
        <v>0</v>
      </c>
      <c r="XT74">
        <v>0</v>
      </c>
      <c r="XU74" cm="1">
        <f t="array" ref="XU74">IFERROR(MAX((_xlfn.ANCHORARRAY(XP74)-AVERAGE(_xlfn.ANCHORARRAY(XP74)))/ AVERAGE(_xlfn.ANCHORARRAY(XP74))),0)</f>
        <v>0</v>
      </c>
      <c r="XV74" t="str" cm="1">
        <f t="array" ref="XV74">IF(AND(XU74&gt;$XV$1,XN74&lt;&gt;""),_xlfn.XLOOKUP(MAX(_xlfn.ANCHORARRAY(XP74)),_xlfn.ANCHORARRAY(XP74),XP$4:XT$4,""),"")</f>
        <v/>
      </c>
      <c r="XX74" cm="1">
        <f t="array" ref="XX74:YG74">SUMIFS($M74:$GJ74,$M$2:$GJ$2,XX$3:YG$3)</f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 cm="1">
        <f t="array" ref="YH74">IFERROR(MAX((_xlfn.ANCHORARRAY(XX74)-AVERAGE(_xlfn.ANCHORARRAY(XX74)))/ AVERAGE(_xlfn.ANCHORARRAY(XX74))),0)</f>
        <v>0</v>
      </c>
      <c r="YI74" t="str" cm="1">
        <f t="array" ref="YI74">IF(YH74&gt;$YI$1,_xlfn.XLOOKUP(MAX(_xlfn.ANCHORARRAY(XX74)),_xlfn.ANCHORARRAY(XX74),XX$4:YG$4,""),"")</f>
        <v/>
      </c>
      <c r="YK74" t="str">
        <f t="shared" si="25"/>
        <v/>
      </c>
    </row>
    <row r="75" spans="1:661" x14ac:dyDescent="0.3">
      <c r="A75" s="2"/>
      <c r="B75" s="2" t="str">
        <f t="shared" si="14"/>
        <v>CHA</v>
      </c>
      <c r="C75" s="2" t="str">
        <f t="shared" si="16"/>
        <v>CHA</v>
      </c>
      <c r="D75" s="2" t="str">
        <f t="shared" si="15"/>
        <v>CHA</v>
      </c>
      <c r="E75" s="2" t="str">
        <f t="shared" si="17"/>
        <v/>
      </c>
      <c r="F75" s="2" t="str">
        <f t="shared" si="18"/>
        <v/>
      </c>
      <c r="G75" s="2">
        <f t="shared" si="19"/>
        <v>0</v>
      </c>
      <c r="H75" s="2">
        <f t="shared" si="20"/>
        <v>0</v>
      </c>
      <c r="I75" s="2">
        <f t="shared" si="21"/>
        <v>0</v>
      </c>
      <c r="J75" s="2">
        <f t="shared" si="22"/>
        <v>0</v>
      </c>
      <c r="K75" s="2">
        <f t="shared" si="23"/>
        <v>0</v>
      </c>
      <c r="L75" s="2">
        <f t="shared" si="24"/>
        <v>0</v>
      </c>
      <c r="XJ75" cm="1">
        <f t="array" ref="XJ75:XL75">SUMIFS($M75:$GJ75,$M$1:$GJ$1,XJ$3:XL$3)</f>
        <v>0</v>
      </c>
      <c r="XK75">
        <v>0</v>
      </c>
      <c r="XL75">
        <v>0</v>
      </c>
      <c r="XM75" cm="1">
        <f t="array" ref="XM75">IFERROR(MAX((_xlfn.ANCHORARRAY(XJ75)-AVERAGE(_xlfn.ANCHORARRAY(XJ75)))/ AVERAGE(_xlfn.ANCHORARRAY(XJ75))),0)</f>
        <v>0</v>
      </c>
      <c r="XN75" t="str" cm="1">
        <f t="array" ref="XN75">IF(XM75&gt;$XN$1,_xlfn.XLOOKUP(MAX(_xlfn.ANCHORARRAY(XJ75)),_xlfn.ANCHORARRAY(XJ75),XJ$4:XL$4,""),"")</f>
        <v/>
      </c>
      <c r="XP75" cm="1">
        <f t="array" ref="XP75:XT75">SUMIFS($M75:$GJ75,$M$3:$GJ$3,XP$3:XT$3)</f>
        <v>0</v>
      </c>
      <c r="XQ75">
        <v>0</v>
      </c>
      <c r="XR75">
        <v>0</v>
      </c>
      <c r="XS75">
        <v>0</v>
      </c>
      <c r="XT75">
        <v>0</v>
      </c>
      <c r="XU75" cm="1">
        <f t="array" ref="XU75">IFERROR(MAX((_xlfn.ANCHORARRAY(XP75)-AVERAGE(_xlfn.ANCHORARRAY(XP75)))/ AVERAGE(_xlfn.ANCHORARRAY(XP75))),0)</f>
        <v>0</v>
      </c>
      <c r="XV75" t="str" cm="1">
        <f t="array" ref="XV75">IF(AND(XU75&gt;$XV$1,XN75&lt;&gt;""),_xlfn.XLOOKUP(MAX(_xlfn.ANCHORARRAY(XP75)),_xlfn.ANCHORARRAY(XP75),XP$4:XT$4,""),"")</f>
        <v/>
      </c>
      <c r="XX75" cm="1">
        <f t="array" ref="XX75:YG75">SUMIFS($M75:$GJ75,$M$2:$GJ$2,XX$3:YG$3)</f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 cm="1">
        <f t="array" ref="YH75">IFERROR(MAX((_xlfn.ANCHORARRAY(XX75)-AVERAGE(_xlfn.ANCHORARRAY(XX75)))/ AVERAGE(_xlfn.ANCHORARRAY(XX75))),0)</f>
        <v>0</v>
      </c>
      <c r="YI75" t="str" cm="1">
        <f t="array" ref="YI75">IF(YH75&gt;$YI$1,_xlfn.XLOOKUP(MAX(_xlfn.ANCHORARRAY(XX75)),_xlfn.ANCHORARRAY(XX75),XX$4:YG$4,""),"")</f>
        <v/>
      </c>
      <c r="YK75" t="str">
        <f t="shared" si="25"/>
        <v/>
      </c>
    </row>
    <row r="76" spans="1:661" x14ac:dyDescent="0.3">
      <c r="A76" s="2"/>
      <c r="B76" s="2" t="str">
        <f t="shared" si="14"/>
        <v>CHA</v>
      </c>
      <c r="C76" s="2" t="str">
        <f t="shared" si="16"/>
        <v>CHA</v>
      </c>
      <c r="D76" s="2" t="str">
        <f t="shared" si="15"/>
        <v>CHA</v>
      </c>
      <c r="E76" s="2" t="str">
        <f t="shared" si="17"/>
        <v/>
      </c>
      <c r="F76" s="2" t="str">
        <f t="shared" si="18"/>
        <v/>
      </c>
      <c r="G76" s="2">
        <f t="shared" si="19"/>
        <v>0</v>
      </c>
      <c r="H76" s="2">
        <f t="shared" si="20"/>
        <v>0</v>
      </c>
      <c r="I76" s="2">
        <f t="shared" si="21"/>
        <v>0</v>
      </c>
      <c r="J76" s="2">
        <f t="shared" si="22"/>
        <v>0</v>
      </c>
      <c r="K76" s="2">
        <f t="shared" si="23"/>
        <v>0</v>
      </c>
      <c r="L76" s="2">
        <f t="shared" si="24"/>
        <v>0</v>
      </c>
      <c r="XJ76" cm="1">
        <f t="array" ref="XJ76:XL76">SUMIFS($M76:$GJ76,$M$1:$GJ$1,XJ$3:XL$3)</f>
        <v>0</v>
      </c>
      <c r="XK76">
        <v>0</v>
      </c>
      <c r="XL76">
        <v>0</v>
      </c>
      <c r="XM76" cm="1">
        <f t="array" ref="XM76">IFERROR(MAX((_xlfn.ANCHORARRAY(XJ76)-AVERAGE(_xlfn.ANCHORARRAY(XJ76)))/ AVERAGE(_xlfn.ANCHORARRAY(XJ76))),0)</f>
        <v>0</v>
      </c>
      <c r="XN76" t="str" cm="1">
        <f t="array" ref="XN76">IF(XM76&gt;$XN$1,_xlfn.XLOOKUP(MAX(_xlfn.ANCHORARRAY(XJ76)),_xlfn.ANCHORARRAY(XJ76),XJ$4:XL$4,""),"")</f>
        <v/>
      </c>
      <c r="XP76" cm="1">
        <f t="array" ref="XP76:XT76">SUMIFS($M76:$GJ76,$M$3:$GJ$3,XP$3:XT$3)</f>
        <v>0</v>
      </c>
      <c r="XQ76">
        <v>0</v>
      </c>
      <c r="XR76">
        <v>0</v>
      </c>
      <c r="XS76">
        <v>0</v>
      </c>
      <c r="XT76">
        <v>0</v>
      </c>
      <c r="XU76" cm="1">
        <f t="array" ref="XU76">IFERROR(MAX((_xlfn.ANCHORARRAY(XP76)-AVERAGE(_xlfn.ANCHORARRAY(XP76)))/ AVERAGE(_xlfn.ANCHORARRAY(XP76))),0)</f>
        <v>0</v>
      </c>
      <c r="XV76" t="str" cm="1">
        <f t="array" ref="XV76">IF(AND(XU76&gt;$XV$1,XN76&lt;&gt;""),_xlfn.XLOOKUP(MAX(_xlfn.ANCHORARRAY(XP76)),_xlfn.ANCHORARRAY(XP76),XP$4:XT$4,""),"")</f>
        <v/>
      </c>
      <c r="XX76" cm="1">
        <f t="array" ref="XX76:YG76">SUMIFS($M76:$GJ76,$M$2:$GJ$2,XX$3:YG$3)</f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 cm="1">
        <f t="array" ref="YH76">IFERROR(MAX((_xlfn.ANCHORARRAY(XX76)-AVERAGE(_xlfn.ANCHORARRAY(XX76)))/ AVERAGE(_xlfn.ANCHORARRAY(XX76))),0)</f>
        <v>0</v>
      </c>
      <c r="YI76" t="str" cm="1">
        <f t="array" ref="YI76">IF(YH76&gt;$YI$1,_xlfn.XLOOKUP(MAX(_xlfn.ANCHORARRAY(XX76)),_xlfn.ANCHORARRAY(XX76),XX$4:YG$4,""),"")</f>
        <v/>
      </c>
      <c r="YK76" t="str">
        <f t="shared" si="25"/>
        <v/>
      </c>
    </row>
    <row r="77" spans="1:661" x14ac:dyDescent="0.3">
      <c r="A77" s="2"/>
      <c r="B77" s="2" t="str">
        <f t="shared" si="14"/>
        <v>CHA</v>
      </c>
      <c r="C77" s="2" t="str">
        <f t="shared" si="16"/>
        <v>CHA</v>
      </c>
      <c r="D77" s="2" t="str">
        <f t="shared" si="15"/>
        <v>CHA</v>
      </c>
      <c r="E77" s="2" t="str">
        <f t="shared" si="17"/>
        <v/>
      </c>
      <c r="F77" s="2" t="str">
        <f t="shared" si="18"/>
        <v/>
      </c>
      <c r="G77" s="2">
        <f t="shared" si="19"/>
        <v>0</v>
      </c>
      <c r="H77" s="2">
        <f t="shared" si="20"/>
        <v>0</v>
      </c>
      <c r="I77" s="2">
        <f t="shared" si="21"/>
        <v>0</v>
      </c>
      <c r="J77" s="2">
        <f t="shared" si="22"/>
        <v>0</v>
      </c>
      <c r="K77" s="2">
        <f t="shared" si="23"/>
        <v>0</v>
      </c>
      <c r="L77" s="2">
        <f t="shared" si="24"/>
        <v>0</v>
      </c>
      <c r="XJ77" cm="1">
        <f t="array" ref="XJ77:XL77">SUMIFS($M77:$GJ77,$M$1:$GJ$1,XJ$3:XL$3)</f>
        <v>0</v>
      </c>
      <c r="XK77">
        <v>0</v>
      </c>
      <c r="XL77">
        <v>0</v>
      </c>
      <c r="XM77" cm="1">
        <f t="array" ref="XM77">IFERROR(MAX((_xlfn.ANCHORARRAY(XJ77)-AVERAGE(_xlfn.ANCHORARRAY(XJ77)))/ AVERAGE(_xlfn.ANCHORARRAY(XJ77))),0)</f>
        <v>0</v>
      </c>
      <c r="XN77" t="str" cm="1">
        <f t="array" ref="XN77">IF(XM77&gt;$XN$1,_xlfn.XLOOKUP(MAX(_xlfn.ANCHORARRAY(XJ77)),_xlfn.ANCHORARRAY(XJ77),XJ$4:XL$4,""),"")</f>
        <v/>
      </c>
      <c r="XP77" cm="1">
        <f t="array" ref="XP77:XT77">SUMIFS($M77:$GJ77,$M$3:$GJ$3,XP$3:XT$3)</f>
        <v>0</v>
      </c>
      <c r="XQ77">
        <v>0</v>
      </c>
      <c r="XR77">
        <v>0</v>
      </c>
      <c r="XS77">
        <v>0</v>
      </c>
      <c r="XT77">
        <v>0</v>
      </c>
      <c r="XU77" cm="1">
        <f t="array" ref="XU77">IFERROR(MAX((_xlfn.ANCHORARRAY(XP77)-AVERAGE(_xlfn.ANCHORARRAY(XP77)))/ AVERAGE(_xlfn.ANCHORARRAY(XP77))),0)</f>
        <v>0</v>
      </c>
      <c r="XV77" t="str" cm="1">
        <f t="array" ref="XV77">IF(AND(XU77&gt;$XV$1,XN77&lt;&gt;""),_xlfn.XLOOKUP(MAX(_xlfn.ANCHORARRAY(XP77)),_xlfn.ANCHORARRAY(XP77),XP$4:XT$4,""),"")</f>
        <v/>
      </c>
      <c r="XX77" cm="1">
        <f t="array" ref="XX77:YG77">SUMIFS($M77:$GJ77,$M$2:$GJ$2,XX$3:YG$3)</f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 cm="1">
        <f t="array" ref="YH77">IFERROR(MAX((_xlfn.ANCHORARRAY(XX77)-AVERAGE(_xlfn.ANCHORARRAY(XX77)))/ AVERAGE(_xlfn.ANCHORARRAY(XX77))),0)</f>
        <v>0</v>
      </c>
      <c r="YI77" t="str" cm="1">
        <f t="array" ref="YI77">IF(YH77&gt;$YI$1,_xlfn.XLOOKUP(MAX(_xlfn.ANCHORARRAY(XX77)),_xlfn.ANCHORARRAY(XX77),XX$4:YG$4,""),"")</f>
        <v/>
      </c>
      <c r="YK77" t="str">
        <f t="shared" si="25"/>
        <v/>
      </c>
    </row>
    <row r="78" spans="1:661" x14ac:dyDescent="0.3">
      <c r="A78" s="2"/>
      <c r="B78" s="2" t="str">
        <f t="shared" si="14"/>
        <v>CHA</v>
      </c>
      <c r="C78" s="2" t="str">
        <f t="shared" si="16"/>
        <v>CHA</v>
      </c>
      <c r="D78" s="2" t="str">
        <f t="shared" si="15"/>
        <v>CHA</v>
      </c>
      <c r="E78" s="2" t="str">
        <f t="shared" si="17"/>
        <v/>
      </c>
      <c r="F78" s="2" t="str">
        <f t="shared" si="18"/>
        <v/>
      </c>
      <c r="G78" s="2">
        <f t="shared" si="19"/>
        <v>0</v>
      </c>
      <c r="H78" s="2">
        <f t="shared" si="20"/>
        <v>0</v>
      </c>
      <c r="I78" s="2">
        <f t="shared" si="21"/>
        <v>0</v>
      </c>
      <c r="J78" s="2">
        <f t="shared" si="22"/>
        <v>0</v>
      </c>
      <c r="K78" s="2">
        <f t="shared" si="23"/>
        <v>0</v>
      </c>
      <c r="L78" s="2">
        <f t="shared" si="24"/>
        <v>0</v>
      </c>
      <c r="XJ78" cm="1">
        <f t="array" ref="XJ78:XL78">SUMIFS($M78:$GJ78,$M$1:$GJ$1,XJ$3:XL$3)</f>
        <v>0</v>
      </c>
      <c r="XK78">
        <v>0</v>
      </c>
      <c r="XL78">
        <v>0</v>
      </c>
      <c r="XM78" cm="1">
        <f t="array" ref="XM78">IFERROR(MAX((_xlfn.ANCHORARRAY(XJ78)-AVERAGE(_xlfn.ANCHORARRAY(XJ78)))/ AVERAGE(_xlfn.ANCHORARRAY(XJ78))),0)</f>
        <v>0</v>
      </c>
      <c r="XN78" t="str" cm="1">
        <f t="array" ref="XN78">IF(XM78&gt;$XN$1,_xlfn.XLOOKUP(MAX(_xlfn.ANCHORARRAY(XJ78)),_xlfn.ANCHORARRAY(XJ78),XJ$4:XL$4,""),"")</f>
        <v/>
      </c>
      <c r="XP78" cm="1">
        <f t="array" ref="XP78:XT78">SUMIFS($M78:$GJ78,$M$3:$GJ$3,XP$3:XT$3)</f>
        <v>0</v>
      </c>
      <c r="XQ78">
        <v>0</v>
      </c>
      <c r="XR78">
        <v>0</v>
      </c>
      <c r="XS78">
        <v>0</v>
      </c>
      <c r="XT78">
        <v>0</v>
      </c>
      <c r="XU78" cm="1">
        <f t="array" ref="XU78">IFERROR(MAX((_xlfn.ANCHORARRAY(XP78)-AVERAGE(_xlfn.ANCHORARRAY(XP78)))/ AVERAGE(_xlfn.ANCHORARRAY(XP78))),0)</f>
        <v>0</v>
      </c>
      <c r="XV78" t="str" cm="1">
        <f t="array" ref="XV78">IF(AND(XU78&gt;$XV$1,XN78&lt;&gt;""),_xlfn.XLOOKUP(MAX(_xlfn.ANCHORARRAY(XP78)),_xlfn.ANCHORARRAY(XP78),XP$4:XT$4,""),"")</f>
        <v/>
      </c>
      <c r="XX78" cm="1">
        <f t="array" ref="XX78:YG78">SUMIFS($M78:$GJ78,$M$2:$GJ$2,XX$3:YG$3)</f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 cm="1">
        <f t="array" ref="YH78">IFERROR(MAX((_xlfn.ANCHORARRAY(XX78)-AVERAGE(_xlfn.ANCHORARRAY(XX78)))/ AVERAGE(_xlfn.ANCHORARRAY(XX78))),0)</f>
        <v>0</v>
      </c>
      <c r="YI78" t="str" cm="1">
        <f t="array" ref="YI78">IF(YH78&gt;$YI$1,_xlfn.XLOOKUP(MAX(_xlfn.ANCHORARRAY(XX78)),_xlfn.ANCHORARRAY(XX78),XX$4:YG$4,""),"")</f>
        <v/>
      </c>
      <c r="YK78" t="str">
        <f t="shared" si="25"/>
        <v/>
      </c>
    </row>
    <row r="79" spans="1:661" x14ac:dyDescent="0.3">
      <c r="A79" s="2"/>
      <c r="B79" s="2" t="str">
        <f t="shared" si="14"/>
        <v>CHA</v>
      </c>
      <c r="C79" s="2" t="str">
        <f t="shared" si="16"/>
        <v>CHA</v>
      </c>
      <c r="D79" s="2" t="str">
        <f t="shared" si="15"/>
        <v>CHA</v>
      </c>
      <c r="E79" s="2" t="str">
        <f t="shared" si="17"/>
        <v/>
      </c>
      <c r="F79" s="2" t="str">
        <f t="shared" si="18"/>
        <v/>
      </c>
      <c r="G79" s="2">
        <f t="shared" si="19"/>
        <v>0</v>
      </c>
      <c r="H79" s="2">
        <f t="shared" si="20"/>
        <v>0</v>
      </c>
      <c r="I79" s="2">
        <f t="shared" si="21"/>
        <v>0</v>
      </c>
      <c r="J79" s="2">
        <f t="shared" si="22"/>
        <v>0</v>
      </c>
      <c r="K79" s="2">
        <f t="shared" si="23"/>
        <v>0</v>
      </c>
      <c r="L79" s="2">
        <f t="shared" si="24"/>
        <v>0</v>
      </c>
      <c r="XJ79" cm="1">
        <f t="array" ref="XJ79:XL79">SUMIFS($M79:$GJ79,$M$1:$GJ$1,XJ$3:XL$3)</f>
        <v>0</v>
      </c>
      <c r="XK79">
        <v>0</v>
      </c>
      <c r="XL79">
        <v>0</v>
      </c>
      <c r="XM79" cm="1">
        <f t="array" ref="XM79">IFERROR(MAX((_xlfn.ANCHORARRAY(XJ79)-AVERAGE(_xlfn.ANCHORARRAY(XJ79)))/ AVERAGE(_xlfn.ANCHORARRAY(XJ79))),0)</f>
        <v>0</v>
      </c>
      <c r="XN79" t="str" cm="1">
        <f t="array" ref="XN79">IF(XM79&gt;$XN$1,_xlfn.XLOOKUP(MAX(_xlfn.ANCHORARRAY(XJ79)),_xlfn.ANCHORARRAY(XJ79),XJ$4:XL$4,""),"")</f>
        <v/>
      </c>
      <c r="XP79" cm="1">
        <f t="array" ref="XP79:XT79">SUMIFS($M79:$GJ79,$M$3:$GJ$3,XP$3:XT$3)</f>
        <v>0</v>
      </c>
      <c r="XQ79">
        <v>0</v>
      </c>
      <c r="XR79">
        <v>0</v>
      </c>
      <c r="XS79">
        <v>0</v>
      </c>
      <c r="XT79">
        <v>0</v>
      </c>
      <c r="XU79" cm="1">
        <f t="array" ref="XU79">IFERROR(MAX((_xlfn.ANCHORARRAY(XP79)-AVERAGE(_xlfn.ANCHORARRAY(XP79)))/ AVERAGE(_xlfn.ANCHORARRAY(XP79))),0)</f>
        <v>0</v>
      </c>
      <c r="XV79" t="str" cm="1">
        <f t="array" ref="XV79">IF(AND(XU79&gt;$XV$1,XN79&lt;&gt;""),_xlfn.XLOOKUP(MAX(_xlfn.ANCHORARRAY(XP79)),_xlfn.ANCHORARRAY(XP79),XP$4:XT$4,""),"")</f>
        <v/>
      </c>
      <c r="XX79" cm="1">
        <f t="array" ref="XX79:YG79">SUMIFS($M79:$GJ79,$M$2:$GJ$2,XX$3:YG$3)</f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 cm="1">
        <f t="array" ref="YH79">IFERROR(MAX((_xlfn.ANCHORARRAY(XX79)-AVERAGE(_xlfn.ANCHORARRAY(XX79)))/ AVERAGE(_xlfn.ANCHORARRAY(XX79))),0)</f>
        <v>0</v>
      </c>
      <c r="YI79" t="str" cm="1">
        <f t="array" ref="YI79">IF(YH79&gt;$YI$1,_xlfn.XLOOKUP(MAX(_xlfn.ANCHORARRAY(XX79)),_xlfn.ANCHORARRAY(XX79),XX$4:YG$4,""),"")</f>
        <v/>
      </c>
      <c r="YK79" t="str">
        <f t="shared" si="25"/>
        <v/>
      </c>
    </row>
    <row r="80" spans="1:661" x14ac:dyDescent="0.3">
      <c r="A80" s="2"/>
      <c r="B80" s="2" t="str">
        <f t="shared" si="14"/>
        <v>CHA</v>
      </c>
      <c r="C80" s="2" t="str">
        <f t="shared" si="16"/>
        <v>CHA</v>
      </c>
      <c r="D80" s="2" t="str">
        <f t="shared" si="15"/>
        <v>CHA</v>
      </c>
      <c r="E80" s="2" t="str">
        <f t="shared" si="17"/>
        <v/>
      </c>
      <c r="F80" s="2" t="str">
        <f t="shared" si="18"/>
        <v/>
      </c>
      <c r="G80" s="2">
        <f t="shared" si="19"/>
        <v>0</v>
      </c>
      <c r="H80" s="2">
        <f t="shared" si="20"/>
        <v>0</v>
      </c>
      <c r="I80" s="2">
        <f t="shared" si="21"/>
        <v>0</v>
      </c>
      <c r="J80" s="2">
        <f t="shared" si="22"/>
        <v>0</v>
      </c>
      <c r="K80" s="2">
        <f t="shared" si="23"/>
        <v>0</v>
      </c>
      <c r="L80" s="2">
        <f t="shared" si="24"/>
        <v>0</v>
      </c>
      <c r="XJ80" cm="1">
        <f t="array" ref="XJ80:XL80">SUMIFS($M80:$GJ80,$M$1:$GJ$1,XJ$3:XL$3)</f>
        <v>0</v>
      </c>
      <c r="XK80">
        <v>0</v>
      </c>
      <c r="XL80">
        <v>0</v>
      </c>
      <c r="XM80" cm="1">
        <f t="array" ref="XM80">IFERROR(MAX((_xlfn.ANCHORARRAY(XJ80)-AVERAGE(_xlfn.ANCHORARRAY(XJ80)))/ AVERAGE(_xlfn.ANCHORARRAY(XJ80))),0)</f>
        <v>0</v>
      </c>
      <c r="XN80" t="str" cm="1">
        <f t="array" ref="XN80">IF(XM80&gt;$XN$1,_xlfn.XLOOKUP(MAX(_xlfn.ANCHORARRAY(XJ80)),_xlfn.ANCHORARRAY(XJ80),XJ$4:XL$4,""),"")</f>
        <v/>
      </c>
      <c r="XP80" cm="1">
        <f t="array" ref="XP80:XT80">SUMIFS($M80:$GJ80,$M$3:$GJ$3,XP$3:XT$3)</f>
        <v>0</v>
      </c>
      <c r="XQ80">
        <v>0</v>
      </c>
      <c r="XR80">
        <v>0</v>
      </c>
      <c r="XS80">
        <v>0</v>
      </c>
      <c r="XT80">
        <v>0</v>
      </c>
      <c r="XU80" cm="1">
        <f t="array" ref="XU80">IFERROR(MAX((_xlfn.ANCHORARRAY(XP80)-AVERAGE(_xlfn.ANCHORARRAY(XP80)))/ AVERAGE(_xlfn.ANCHORARRAY(XP80))),0)</f>
        <v>0</v>
      </c>
      <c r="XV80" t="str" cm="1">
        <f t="array" ref="XV80">IF(AND(XU80&gt;$XV$1,XN80&lt;&gt;""),_xlfn.XLOOKUP(MAX(_xlfn.ANCHORARRAY(XP80)),_xlfn.ANCHORARRAY(XP80),XP$4:XT$4,""),"")</f>
        <v/>
      </c>
      <c r="XX80" cm="1">
        <f t="array" ref="XX80:YG80">SUMIFS($M80:$GJ80,$M$2:$GJ$2,XX$3:YG$3)</f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 cm="1">
        <f t="array" ref="YH80">IFERROR(MAX((_xlfn.ANCHORARRAY(XX80)-AVERAGE(_xlfn.ANCHORARRAY(XX80)))/ AVERAGE(_xlfn.ANCHORARRAY(XX80))),0)</f>
        <v>0</v>
      </c>
      <c r="YI80" t="str" cm="1">
        <f t="array" ref="YI80">IF(YH80&gt;$YI$1,_xlfn.XLOOKUP(MAX(_xlfn.ANCHORARRAY(XX80)),_xlfn.ANCHORARRAY(XX80),XX$4:YG$4,""),"")</f>
        <v/>
      </c>
      <c r="YK80" t="str">
        <f t="shared" si="25"/>
        <v/>
      </c>
    </row>
    <row r="81" spans="1:661" x14ac:dyDescent="0.3">
      <c r="A81" s="2"/>
      <c r="B81" s="2" t="str">
        <f t="shared" si="14"/>
        <v>CHA</v>
      </c>
      <c r="C81" s="2" t="str">
        <f t="shared" si="16"/>
        <v>CHA</v>
      </c>
      <c r="D81" s="2" t="str">
        <f t="shared" si="15"/>
        <v>CHA</v>
      </c>
      <c r="E81" s="2" t="str">
        <f t="shared" si="17"/>
        <v/>
      </c>
      <c r="F81" s="2" t="str">
        <f t="shared" si="18"/>
        <v/>
      </c>
      <c r="G81" s="2">
        <f t="shared" si="19"/>
        <v>0</v>
      </c>
      <c r="H81" s="2">
        <f t="shared" si="20"/>
        <v>0</v>
      </c>
      <c r="I81" s="2">
        <f t="shared" si="21"/>
        <v>0</v>
      </c>
      <c r="J81" s="2">
        <f t="shared" si="22"/>
        <v>0</v>
      </c>
      <c r="K81" s="2">
        <f t="shared" si="23"/>
        <v>0</v>
      </c>
      <c r="L81" s="2">
        <f t="shared" si="24"/>
        <v>0</v>
      </c>
      <c r="XJ81" cm="1">
        <f t="array" ref="XJ81:XL81">SUMIFS($M81:$GJ81,$M$1:$GJ$1,XJ$3:XL$3)</f>
        <v>0</v>
      </c>
      <c r="XK81">
        <v>0</v>
      </c>
      <c r="XL81">
        <v>0</v>
      </c>
      <c r="XM81" cm="1">
        <f t="array" ref="XM81">IFERROR(MAX((_xlfn.ANCHORARRAY(XJ81)-AVERAGE(_xlfn.ANCHORARRAY(XJ81)))/ AVERAGE(_xlfn.ANCHORARRAY(XJ81))),0)</f>
        <v>0</v>
      </c>
      <c r="XN81" t="str" cm="1">
        <f t="array" ref="XN81">IF(XM81&gt;$XN$1,_xlfn.XLOOKUP(MAX(_xlfn.ANCHORARRAY(XJ81)),_xlfn.ANCHORARRAY(XJ81),XJ$4:XL$4,""),"")</f>
        <v/>
      </c>
      <c r="XP81" cm="1">
        <f t="array" ref="XP81:XT81">SUMIFS($M81:$GJ81,$M$3:$GJ$3,XP$3:XT$3)</f>
        <v>0</v>
      </c>
      <c r="XQ81">
        <v>0</v>
      </c>
      <c r="XR81">
        <v>0</v>
      </c>
      <c r="XS81">
        <v>0</v>
      </c>
      <c r="XT81">
        <v>0</v>
      </c>
      <c r="XU81" cm="1">
        <f t="array" ref="XU81">IFERROR(MAX((_xlfn.ANCHORARRAY(XP81)-AVERAGE(_xlfn.ANCHORARRAY(XP81)))/ AVERAGE(_xlfn.ANCHORARRAY(XP81))),0)</f>
        <v>0</v>
      </c>
      <c r="XV81" t="str" cm="1">
        <f t="array" ref="XV81">IF(AND(XU81&gt;$XV$1,XN81&lt;&gt;""),_xlfn.XLOOKUP(MAX(_xlfn.ANCHORARRAY(XP81)),_xlfn.ANCHORARRAY(XP81),XP$4:XT$4,""),"")</f>
        <v/>
      </c>
      <c r="XX81" cm="1">
        <f t="array" ref="XX81:YG81">SUMIFS($M81:$GJ81,$M$2:$GJ$2,XX$3:YG$3)</f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 cm="1">
        <f t="array" ref="YH81">IFERROR(MAX((_xlfn.ANCHORARRAY(XX81)-AVERAGE(_xlfn.ANCHORARRAY(XX81)))/ AVERAGE(_xlfn.ANCHORARRAY(XX81))),0)</f>
        <v>0</v>
      </c>
      <c r="YI81" t="str" cm="1">
        <f t="array" ref="YI81">IF(YH81&gt;$YI$1,_xlfn.XLOOKUP(MAX(_xlfn.ANCHORARRAY(XX81)),_xlfn.ANCHORARRAY(XX81),XX$4:YG$4,""),"")</f>
        <v/>
      </c>
      <c r="YK81" t="str">
        <f t="shared" si="25"/>
        <v/>
      </c>
    </row>
    <row r="82" spans="1:661" x14ac:dyDescent="0.3">
      <c r="A82" s="2"/>
      <c r="B82" s="2" t="str">
        <f t="shared" si="14"/>
        <v>CHA</v>
      </c>
      <c r="C82" s="2" t="str">
        <f t="shared" si="16"/>
        <v>CHA</v>
      </c>
      <c r="D82" s="2" t="str">
        <f t="shared" si="15"/>
        <v>CHA</v>
      </c>
      <c r="E82" s="2" t="str">
        <f t="shared" si="17"/>
        <v/>
      </c>
      <c r="F82" s="2" t="str">
        <f t="shared" si="18"/>
        <v/>
      </c>
      <c r="G82" s="2">
        <f t="shared" si="19"/>
        <v>0</v>
      </c>
      <c r="H82" s="2">
        <f t="shared" si="20"/>
        <v>0</v>
      </c>
      <c r="I82" s="2">
        <f t="shared" si="21"/>
        <v>0</v>
      </c>
      <c r="J82" s="2">
        <f t="shared" si="22"/>
        <v>0</v>
      </c>
      <c r="K82" s="2">
        <f t="shared" si="23"/>
        <v>0</v>
      </c>
      <c r="L82" s="2">
        <f t="shared" si="24"/>
        <v>0</v>
      </c>
      <c r="XJ82" cm="1">
        <f t="array" ref="XJ82:XL82">SUMIFS($M82:$GJ82,$M$1:$GJ$1,XJ$3:XL$3)</f>
        <v>0</v>
      </c>
      <c r="XK82">
        <v>0</v>
      </c>
      <c r="XL82">
        <v>0</v>
      </c>
      <c r="XM82" cm="1">
        <f t="array" ref="XM82">IFERROR(MAX((_xlfn.ANCHORARRAY(XJ82)-AVERAGE(_xlfn.ANCHORARRAY(XJ82)))/ AVERAGE(_xlfn.ANCHORARRAY(XJ82))),0)</f>
        <v>0</v>
      </c>
      <c r="XN82" t="str" cm="1">
        <f t="array" ref="XN82">IF(XM82&gt;$XN$1,_xlfn.XLOOKUP(MAX(_xlfn.ANCHORARRAY(XJ82)),_xlfn.ANCHORARRAY(XJ82),XJ$4:XL$4,""),"")</f>
        <v/>
      </c>
      <c r="XP82" cm="1">
        <f t="array" ref="XP82:XT82">SUMIFS($M82:$GJ82,$M$3:$GJ$3,XP$3:XT$3)</f>
        <v>0</v>
      </c>
      <c r="XQ82">
        <v>0</v>
      </c>
      <c r="XR82">
        <v>0</v>
      </c>
      <c r="XS82">
        <v>0</v>
      </c>
      <c r="XT82">
        <v>0</v>
      </c>
      <c r="XU82" cm="1">
        <f t="array" ref="XU82">IFERROR(MAX((_xlfn.ANCHORARRAY(XP82)-AVERAGE(_xlfn.ANCHORARRAY(XP82)))/ AVERAGE(_xlfn.ANCHORARRAY(XP82))),0)</f>
        <v>0</v>
      </c>
      <c r="XV82" t="str" cm="1">
        <f t="array" ref="XV82">IF(AND(XU82&gt;$XV$1,XN82&lt;&gt;""),_xlfn.XLOOKUP(MAX(_xlfn.ANCHORARRAY(XP82)),_xlfn.ANCHORARRAY(XP82),XP$4:XT$4,""),"")</f>
        <v/>
      </c>
      <c r="XX82" cm="1">
        <f t="array" ref="XX82:YG82">SUMIFS($M82:$GJ82,$M$2:$GJ$2,XX$3:YG$3)</f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 cm="1">
        <f t="array" ref="YH82">IFERROR(MAX((_xlfn.ANCHORARRAY(XX82)-AVERAGE(_xlfn.ANCHORARRAY(XX82)))/ AVERAGE(_xlfn.ANCHORARRAY(XX82))),0)</f>
        <v>0</v>
      </c>
      <c r="YI82" t="str" cm="1">
        <f t="array" ref="YI82">IF(YH82&gt;$YI$1,_xlfn.XLOOKUP(MAX(_xlfn.ANCHORARRAY(XX82)),_xlfn.ANCHORARRAY(XX82),XX$4:YG$4,""),"")</f>
        <v/>
      </c>
      <c r="YK82" t="str">
        <f t="shared" si="25"/>
        <v/>
      </c>
    </row>
    <row r="83" spans="1:661" x14ac:dyDescent="0.3">
      <c r="A83" s="2"/>
      <c r="B83" s="2" t="str">
        <f t="shared" si="14"/>
        <v>CHA</v>
      </c>
      <c r="C83" s="2" t="str">
        <f t="shared" si="16"/>
        <v>CHA</v>
      </c>
      <c r="D83" s="2" t="str">
        <f t="shared" si="15"/>
        <v>CHA</v>
      </c>
      <c r="E83" s="2" t="str">
        <f t="shared" si="17"/>
        <v/>
      </c>
      <c r="F83" s="2" t="str">
        <f t="shared" si="18"/>
        <v/>
      </c>
      <c r="G83" s="2">
        <f t="shared" si="19"/>
        <v>0</v>
      </c>
      <c r="H83" s="2">
        <f t="shared" si="20"/>
        <v>0</v>
      </c>
      <c r="I83" s="2">
        <f t="shared" si="21"/>
        <v>0</v>
      </c>
      <c r="J83" s="2">
        <f t="shared" si="22"/>
        <v>0</v>
      </c>
      <c r="K83" s="2">
        <f t="shared" si="23"/>
        <v>0</v>
      </c>
      <c r="L83" s="2">
        <f t="shared" si="24"/>
        <v>0</v>
      </c>
      <c r="XJ83" cm="1">
        <f t="array" ref="XJ83:XL83">SUMIFS($M83:$GJ83,$M$1:$GJ$1,XJ$3:XL$3)</f>
        <v>0</v>
      </c>
      <c r="XK83">
        <v>0</v>
      </c>
      <c r="XL83">
        <v>0</v>
      </c>
      <c r="XM83" cm="1">
        <f t="array" ref="XM83">IFERROR(MAX((_xlfn.ANCHORARRAY(XJ83)-AVERAGE(_xlfn.ANCHORARRAY(XJ83)))/ AVERAGE(_xlfn.ANCHORARRAY(XJ83))),0)</f>
        <v>0</v>
      </c>
      <c r="XN83" t="str" cm="1">
        <f t="array" ref="XN83">IF(XM83&gt;$XN$1,_xlfn.XLOOKUP(MAX(_xlfn.ANCHORARRAY(XJ83)),_xlfn.ANCHORARRAY(XJ83),XJ$4:XL$4,""),"")</f>
        <v/>
      </c>
      <c r="XP83" cm="1">
        <f t="array" ref="XP83:XT83">SUMIFS($M83:$GJ83,$M$3:$GJ$3,XP$3:XT$3)</f>
        <v>0</v>
      </c>
      <c r="XQ83">
        <v>0</v>
      </c>
      <c r="XR83">
        <v>0</v>
      </c>
      <c r="XS83">
        <v>0</v>
      </c>
      <c r="XT83">
        <v>0</v>
      </c>
      <c r="XU83" cm="1">
        <f t="array" ref="XU83">IFERROR(MAX((_xlfn.ANCHORARRAY(XP83)-AVERAGE(_xlfn.ANCHORARRAY(XP83)))/ AVERAGE(_xlfn.ANCHORARRAY(XP83))),0)</f>
        <v>0</v>
      </c>
      <c r="XV83" t="str" cm="1">
        <f t="array" ref="XV83">IF(AND(XU83&gt;$XV$1,XN83&lt;&gt;""),_xlfn.XLOOKUP(MAX(_xlfn.ANCHORARRAY(XP83)),_xlfn.ANCHORARRAY(XP83),XP$4:XT$4,""),"")</f>
        <v/>
      </c>
      <c r="XX83" cm="1">
        <f t="array" ref="XX83:YG83">SUMIFS($M83:$GJ83,$M$2:$GJ$2,XX$3:YG$3)</f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 cm="1">
        <f t="array" ref="YH83">IFERROR(MAX((_xlfn.ANCHORARRAY(XX83)-AVERAGE(_xlfn.ANCHORARRAY(XX83)))/ AVERAGE(_xlfn.ANCHORARRAY(XX83))),0)</f>
        <v>0</v>
      </c>
      <c r="YI83" t="str" cm="1">
        <f t="array" ref="YI83">IF(YH83&gt;$YI$1,_xlfn.XLOOKUP(MAX(_xlfn.ANCHORARRAY(XX83)),_xlfn.ANCHORARRAY(XX83),XX$4:YG$4,""),"")</f>
        <v/>
      </c>
      <c r="YK83" t="str">
        <f t="shared" si="25"/>
        <v/>
      </c>
    </row>
    <row r="84" spans="1:661" x14ac:dyDescent="0.3">
      <c r="A84" s="2"/>
      <c r="B84" s="2" t="str">
        <f t="shared" si="14"/>
        <v>CHA</v>
      </c>
      <c r="C84" s="2" t="str">
        <f t="shared" si="16"/>
        <v>CHA</v>
      </c>
      <c r="D84" s="2" t="str">
        <f t="shared" si="15"/>
        <v>CHA</v>
      </c>
      <c r="E84" s="2" t="str">
        <f t="shared" si="17"/>
        <v/>
      </c>
      <c r="F84" s="2" t="str">
        <f t="shared" si="18"/>
        <v/>
      </c>
      <c r="G84" s="2">
        <f t="shared" si="19"/>
        <v>0</v>
      </c>
      <c r="H84" s="2">
        <f t="shared" si="20"/>
        <v>0</v>
      </c>
      <c r="I84" s="2">
        <f t="shared" si="21"/>
        <v>0</v>
      </c>
      <c r="J84" s="2">
        <f t="shared" si="22"/>
        <v>0</v>
      </c>
      <c r="K84" s="2">
        <f t="shared" si="23"/>
        <v>0</v>
      </c>
      <c r="L84" s="2">
        <f t="shared" si="24"/>
        <v>0</v>
      </c>
      <c r="XJ84" cm="1">
        <f t="array" ref="XJ84:XL84">SUMIFS($M84:$GJ84,$M$1:$GJ$1,XJ$3:XL$3)</f>
        <v>0</v>
      </c>
      <c r="XK84">
        <v>0</v>
      </c>
      <c r="XL84">
        <v>0</v>
      </c>
      <c r="XM84" cm="1">
        <f t="array" ref="XM84">IFERROR(MAX((_xlfn.ANCHORARRAY(XJ84)-AVERAGE(_xlfn.ANCHORARRAY(XJ84)))/ AVERAGE(_xlfn.ANCHORARRAY(XJ84))),0)</f>
        <v>0</v>
      </c>
      <c r="XN84" t="str" cm="1">
        <f t="array" ref="XN84">IF(XM84&gt;$XN$1,_xlfn.XLOOKUP(MAX(_xlfn.ANCHORARRAY(XJ84)),_xlfn.ANCHORARRAY(XJ84),XJ$4:XL$4,""),"")</f>
        <v/>
      </c>
      <c r="XP84" cm="1">
        <f t="array" ref="XP84:XT84">SUMIFS($M84:$GJ84,$M$3:$GJ$3,XP$3:XT$3)</f>
        <v>0</v>
      </c>
      <c r="XQ84">
        <v>0</v>
      </c>
      <c r="XR84">
        <v>0</v>
      </c>
      <c r="XS84">
        <v>0</v>
      </c>
      <c r="XT84">
        <v>0</v>
      </c>
      <c r="XU84" cm="1">
        <f t="array" ref="XU84">IFERROR(MAX((_xlfn.ANCHORARRAY(XP84)-AVERAGE(_xlfn.ANCHORARRAY(XP84)))/ AVERAGE(_xlfn.ANCHORARRAY(XP84))),0)</f>
        <v>0</v>
      </c>
      <c r="XV84" t="str" cm="1">
        <f t="array" ref="XV84">IF(AND(XU84&gt;$XV$1,XN84&lt;&gt;""),_xlfn.XLOOKUP(MAX(_xlfn.ANCHORARRAY(XP84)),_xlfn.ANCHORARRAY(XP84),XP$4:XT$4,""),"")</f>
        <v/>
      </c>
      <c r="XX84" cm="1">
        <f t="array" ref="XX84:YG84">SUMIFS($M84:$GJ84,$M$2:$GJ$2,XX$3:YG$3)</f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 cm="1">
        <f t="array" ref="YH84">IFERROR(MAX((_xlfn.ANCHORARRAY(XX84)-AVERAGE(_xlfn.ANCHORARRAY(XX84)))/ AVERAGE(_xlfn.ANCHORARRAY(XX84))),0)</f>
        <v>0</v>
      </c>
      <c r="YI84" t="str" cm="1">
        <f t="array" ref="YI84">IF(YH84&gt;$YI$1,_xlfn.XLOOKUP(MAX(_xlfn.ANCHORARRAY(XX84)),_xlfn.ANCHORARRAY(XX84),XX$4:YG$4,""),"")</f>
        <v/>
      </c>
      <c r="YK84" t="str">
        <f t="shared" si="25"/>
        <v/>
      </c>
    </row>
    <row r="85" spans="1:661" x14ac:dyDescent="0.3">
      <c r="A85" s="2"/>
      <c r="B85" s="2" t="str">
        <f t="shared" si="14"/>
        <v>CHA</v>
      </c>
      <c r="C85" s="2" t="str">
        <f t="shared" si="16"/>
        <v>CHA</v>
      </c>
      <c r="D85" s="2" t="str">
        <f t="shared" si="15"/>
        <v>CHA</v>
      </c>
      <c r="E85" s="2" t="str">
        <f t="shared" si="17"/>
        <v/>
      </c>
      <c r="F85" s="2" t="str">
        <f t="shared" si="18"/>
        <v/>
      </c>
      <c r="G85" s="2">
        <f t="shared" si="19"/>
        <v>0</v>
      </c>
      <c r="H85" s="2">
        <f t="shared" si="20"/>
        <v>0</v>
      </c>
      <c r="I85" s="2">
        <f t="shared" si="21"/>
        <v>0</v>
      </c>
      <c r="J85" s="2">
        <f t="shared" si="22"/>
        <v>0</v>
      </c>
      <c r="K85" s="2">
        <f t="shared" si="23"/>
        <v>0</v>
      </c>
      <c r="L85" s="2">
        <f t="shared" si="24"/>
        <v>0</v>
      </c>
      <c r="XJ85" cm="1">
        <f t="array" ref="XJ85:XL85">SUMIFS($M85:$GJ85,$M$1:$GJ$1,XJ$3:XL$3)</f>
        <v>0</v>
      </c>
      <c r="XK85">
        <v>0</v>
      </c>
      <c r="XL85">
        <v>0</v>
      </c>
      <c r="XM85" cm="1">
        <f t="array" ref="XM85">IFERROR(MAX((_xlfn.ANCHORARRAY(XJ85)-AVERAGE(_xlfn.ANCHORARRAY(XJ85)))/ AVERAGE(_xlfn.ANCHORARRAY(XJ85))),0)</f>
        <v>0</v>
      </c>
      <c r="XN85" t="str" cm="1">
        <f t="array" ref="XN85">IF(XM85&gt;$XN$1,_xlfn.XLOOKUP(MAX(_xlfn.ANCHORARRAY(XJ85)),_xlfn.ANCHORARRAY(XJ85),XJ$4:XL$4,""),"")</f>
        <v/>
      </c>
      <c r="XP85" cm="1">
        <f t="array" ref="XP85:XT85">SUMIFS($M85:$GJ85,$M$3:$GJ$3,XP$3:XT$3)</f>
        <v>0</v>
      </c>
      <c r="XQ85">
        <v>0</v>
      </c>
      <c r="XR85">
        <v>0</v>
      </c>
      <c r="XS85">
        <v>0</v>
      </c>
      <c r="XT85">
        <v>0</v>
      </c>
      <c r="XU85" cm="1">
        <f t="array" ref="XU85">IFERROR(MAX((_xlfn.ANCHORARRAY(XP85)-AVERAGE(_xlfn.ANCHORARRAY(XP85)))/ AVERAGE(_xlfn.ANCHORARRAY(XP85))),0)</f>
        <v>0</v>
      </c>
      <c r="XV85" t="str" cm="1">
        <f t="array" ref="XV85">IF(AND(XU85&gt;$XV$1,XN85&lt;&gt;""),_xlfn.XLOOKUP(MAX(_xlfn.ANCHORARRAY(XP85)),_xlfn.ANCHORARRAY(XP85),XP$4:XT$4,""),"")</f>
        <v/>
      </c>
      <c r="XX85" cm="1">
        <f t="array" ref="XX85:YG85">SUMIFS($M85:$GJ85,$M$2:$GJ$2,XX$3:YG$3)</f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 cm="1">
        <f t="array" ref="YH85">IFERROR(MAX((_xlfn.ANCHORARRAY(XX85)-AVERAGE(_xlfn.ANCHORARRAY(XX85)))/ AVERAGE(_xlfn.ANCHORARRAY(XX85))),0)</f>
        <v>0</v>
      </c>
      <c r="YI85" t="str" cm="1">
        <f t="array" ref="YI85">IF(YH85&gt;$YI$1,_xlfn.XLOOKUP(MAX(_xlfn.ANCHORARRAY(XX85)),_xlfn.ANCHORARRAY(XX85),XX$4:YG$4,""),"")</f>
        <v/>
      </c>
      <c r="YK85" t="str">
        <f t="shared" si="25"/>
        <v/>
      </c>
    </row>
    <row r="86" spans="1:661" x14ac:dyDescent="0.3">
      <c r="A86" s="2"/>
      <c r="B86" s="2" t="str">
        <f t="shared" si="14"/>
        <v>CHA</v>
      </c>
      <c r="C86" s="2" t="str">
        <f t="shared" si="16"/>
        <v>CHA</v>
      </c>
      <c r="D86" s="2" t="str">
        <f t="shared" si="15"/>
        <v>CHA</v>
      </c>
      <c r="E86" s="2" t="str">
        <f t="shared" si="17"/>
        <v/>
      </c>
      <c r="F86" s="2" t="str">
        <f t="shared" si="18"/>
        <v/>
      </c>
      <c r="G86" s="2">
        <f t="shared" si="19"/>
        <v>0</v>
      </c>
      <c r="H86" s="2">
        <f t="shared" si="20"/>
        <v>0</v>
      </c>
      <c r="I86" s="2">
        <f t="shared" si="21"/>
        <v>0</v>
      </c>
      <c r="J86" s="2">
        <f t="shared" si="22"/>
        <v>0</v>
      </c>
      <c r="K86" s="2">
        <f t="shared" si="23"/>
        <v>0</v>
      </c>
      <c r="L86" s="2">
        <f t="shared" si="24"/>
        <v>0</v>
      </c>
      <c r="XJ86" cm="1">
        <f t="array" ref="XJ86:XL86">SUMIFS($M86:$GJ86,$M$1:$GJ$1,XJ$3:XL$3)</f>
        <v>0</v>
      </c>
      <c r="XK86">
        <v>0</v>
      </c>
      <c r="XL86">
        <v>0</v>
      </c>
      <c r="XM86" cm="1">
        <f t="array" ref="XM86">IFERROR(MAX((_xlfn.ANCHORARRAY(XJ86)-AVERAGE(_xlfn.ANCHORARRAY(XJ86)))/ AVERAGE(_xlfn.ANCHORARRAY(XJ86))),0)</f>
        <v>0</v>
      </c>
      <c r="XN86" t="str" cm="1">
        <f t="array" ref="XN86">IF(XM86&gt;$XN$1,_xlfn.XLOOKUP(MAX(_xlfn.ANCHORARRAY(XJ86)),_xlfn.ANCHORARRAY(XJ86),XJ$4:XL$4,""),"")</f>
        <v/>
      </c>
      <c r="XP86" cm="1">
        <f t="array" ref="XP86:XT86">SUMIFS($M86:$GJ86,$M$3:$GJ$3,XP$3:XT$3)</f>
        <v>0</v>
      </c>
      <c r="XQ86">
        <v>0</v>
      </c>
      <c r="XR86">
        <v>0</v>
      </c>
      <c r="XS86">
        <v>0</v>
      </c>
      <c r="XT86">
        <v>0</v>
      </c>
      <c r="XU86" cm="1">
        <f t="array" ref="XU86">IFERROR(MAX((_xlfn.ANCHORARRAY(XP86)-AVERAGE(_xlfn.ANCHORARRAY(XP86)))/ AVERAGE(_xlfn.ANCHORARRAY(XP86))),0)</f>
        <v>0</v>
      </c>
      <c r="XV86" t="str" cm="1">
        <f t="array" ref="XV86">IF(AND(XU86&gt;$XV$1,XN86&lt;&gt;""),_xlfn.XLOOKUP(MAX(_xlfn.ANCHORARRAY(XP86)),_xlfn.ANCHORARRAY(XP86),XP$4:XT$4,""),"")</f>
        <v/>
      </c>
      <c r="XX86" cm="1">
        <f t="array" ref="XX86:YG86">SUMIFS($M86:$GJ86,$M$2:$GJ$2,XX$3:YG$3)</f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 cm="1">
        <f t="array" ref="YH86">IFERROR(MAX((_xlfn.ANCHORARRAY(XX86)-AVERAGE(_xlfn.ANCHORARRAY(XX86)))/ AVERAGE(_xlfn.ANCHORARRAY(XX86))),0)</f>
        <v>0</v>
      </c>
      <c r="YI86" t="str" cm="1">
        <f t="array" ref="YI86">IF(YH86&gt;$YI$1,_xlfn.XLOOKUP(MAX(_xlfn.ANCHORARRAY(XX86)),_xlfn.ANCHORARRAY(XX86),XX$4:YG$4,""),"")</f>
        <v/>
      </c>
      <c r="YK86" t="str">
        <f t="shared" si="25"/>
        <v/>
      </c>
    </row>
    <row r="87" spans="1:661" x14ac:dyDescent="0.3">
      <c r="A87" s="2"/>
      <c r="B87" s="2" t="str">
        <f t="shared" si="14"/>
        <v>CHA</v>
      </c>
      <c r="C87" s="2" t="str">
        <f t="shared" si="16"/>
        <v>CHA</v>
      </c>
      <c r="D87" s="2" t="str">
        <f t="shared" si="15"/>
        <v>CHA</v>
      </c>
      <c r="E87" s="2" t="str">
        <f t="shared" si="17"/>
        <v/>
      </c>
      <c r="F87" s="2" t="str">
        <f t="shared" si="18"/>
        <v/>
      </c>
      <c r="G87" s="2">
        <f t="shared" si="19"/>
        <v>0</v>
      </c>
      <c r="H87" s="2">
        <f t="shared" si="20"/>
        <v>0</v>
      </c>
      <c r="I87" s="2">
        <f t="shared" si="21"/>
        <v>0</v>
      </c>
      <c r="J87" s="2">
        <f t="shared" si="22"/>
        <v>0</v>
      </c>
      <c r="K87" s="2">
        <f t="shared" si="23"/>
        <v>0</v>
      </c>
      <c r="L87" s="2">
        <f t="shared" si="24"/>
        <v>0</v>
      </c>
      <c r="XJ87" cm="1">
        <f t="array" ref="XJ87:XL87">SUMIFS($M87:$GJ87,$M$1:$GJ$1,XJ$3:XL$3)</f>
        <v>0</v>
      </c>
      <c r="XK87">
        <v>0</v>
      </c>
      <c r="XL87">
        <v>0</v>
      </c>
      <c r="XM87" cm="1">
        <f t="array" ref="XM87">IFERROR(MAX((_xlfn.ANCHORARRAY(XJ87)-AVERAGE(_xlfn.ANCHORARRAY(XJ87)))/ AVERAGE(_xlfn.ANCHORARRAY(XJ87))),0)</f>
        <v>0</v>
      </c>
      <c r="XN87" t="str" cm="1">
        <f t="array" ref="XN87">IF(XM87&gt;$XN$1,_xlfn.XLOOKUP(MAX(_xlfn.ANCHORARRAY(XJ87)),_xlfn.ANCHORARRAY(XJ87),XJ$4:XL$4,""),"")</f>
        <v/>
      </c>
      <c r="XP87" cm="1">
        <f t="array" ref="XP87:XT87">SUMIFS($M87:$GJ87,$M$3:$GJ$3,XP$3:XT$3)</f>
        <v>0</v>
      </c>
      <c r="XQ87">
        <v>0</v>
      </c>
      <c r="XR87">
        <v>0</v>
      </c>
      <c r="XS87">
        <v>0</v>
      </c>
      <c r="XT87">
        <v>0</v>
      </c>
      <c r="XU87" cm="1">
        <f t="array" ref="XU87">IFERROR(MAX((_xlfn.ANCHORARRAY(XP87)-AVERAGE(_xlfn.ANCHORARRAY(XP87)))/ AVERAGE(_xlfn.ANCHORARRAY(XP87))),0)</f>
        <v>0</v>
      </c>
      <c r="XV87" t="str" cm="1">
        <f t="array" ref="XV87">IF(AND(XU87&gt;$XV$1,XN87&lt;&gt;""),_xlfn.XLOOKUP(MAX(_xlfn.ANCHORARRAY(XP87)),_xlfn.ANCHORARRAY(XP87),XP$4:XT$4,""),"")</f>
        <v/>
      </c>
      <c r="XX87" cm="1">
        <f t="array" ref="XX87:YG87">SUMIFS($M87:$GJ87,$M$2:$GJ$2,XX$3:YG$3)</f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 cm="1">
        <f t="array" ref="YH87">IFERROR(MAX((_xlfn.ANCHORARRAY(XX87)-AVERAGE(_xlfn.ANCHORARRAY(XX87)))/ AVERAGE(_xlfn.ANCHORARRAY(XX87))),0)</f>
        <v>0</v>
      </c>
      <c r="YI87" t="str" cm="1">
        <f t="array" ref="YI87">IF(YH87&gt;$YI$1,_xlfn.XLOOKUP(MAX(_xlfn.ANCHORARRAY(XX87)),_xlfn.ANCHORARRAY(XX87),XX$4:YG$4,""),"")</f>
        <v/>
      </c>
      <c r="YK87" t="str">
        <f t="shared" si="25"/>
        <v/>
      </c>
    </row>
    <row r="88" spans="1:661" x14ac:dyDescent="0.3">
      <c r="A88" s="2"/>
      <c r="B88" s="2" t="str">
        <f t="shared" si="14"/>
        <v>CHA</v>
      </c>
      <c r="C88" s="2" t="str">
        <f t="shared" si="16"/>
        <v>CHA</v>
      </c>
      <c r="D88" s="2" t="str">
        <f t="shared" si="15"/>
        <v>CHA</v>
      </c>
      <c r="E88" s="2" t="str">
        <f t="shared" si="17"/>
        <v/>
      </c>
      <c r="F88" s="2" t="str">
        <f t="shared" si="18"/>
        <v/>
      </c>
      <c r="G88" s="2">
        <f t="shared" si="19"/>
        <v>0</v>
      </c>
      <c r="H88" s="2">
        <f t="shared" si="20"/>
        <v>0</v>
      </c>
      <c r="I88" s="2">
        <f t="shared" si="21"/>
        <v>0</v>
      </c>
      <c r="J88" s="2">
        <f t="shared" si="22"/>
        <v>0</v>
      </c>
      <c r="K88" s="2">
        <f t="shared" si="23"/>
        <v>0</v>
      </c>
      <c r="L88" s="2">
        <f t="shared" si="24"/>
        <v>0</v>
      </c>
      <c r="XJ88" cm="1">
        <f t="array" ref="XJ88:XL88">SUMIFS($M88:$GJ88,$M$1:$GJ$1,XJ$3:XL$3)</f>
        <v>0</v>
      </c>
      <c r="XK88">
        <v>0</v>
      </c>
      <c r="XL88">
        <v>0</v>
      </c>
      <c r="XM88" cm="1">
        <f t="array" ref="XM88">IFERROR(MAX((_xlfn.ANCHORARRAY(XJ88)-AVERAGE(_xlfn.ANCHORARRAY(XJ88)))/ AVERAGE(_xlfn.ANCHORARRAY(XJ88))),0)</f>
        <v>0</v>
      </c>
      <c r="XN88" t="str" cm="1">
        <f t="array" ref="XN88">IF(XM88&gt;$XN$1,_xlfn.XLOOKUP(MAX(_xlfn.ANCHORARRAY(XJ88)),_xlfn.ANCHORARRAY(XJ88),XJ$4:XL$4,""),"")</f>
        <v/>
      </c>
      <c r="XP88" cm="1">
        <f t="array" ref="XP88:XT88">SUMIFS($M88:$GJ88,$M$3:$GJ$3,XP$3:XT$3)</f>
        <v>0</v>
      </c>
      <c r="XQ88">
        <v>0</v>
      </c>
      <c r="XR88">
        <v>0</v>
      </c>
      <c r="XS88">
        <v>0</v>
      </c>
      <c r="XT88">
        <v>0</v>
      </c>
      <c r="XU88" cm="1">
        <f t="array" ref="XU88">IFERROR(MAX((_xlfn.ANCHORARRAY(XP88)-AVERAGE(_xlfn.ANCHORARRAY(XP88)))/ AVERAGE(_xlfn.ANCHORARRAY(XP88))),0)</f>
        <v>0</v>
      </c>
      <c r="XV88" t="str" cm="1">
        <f t="array" ref="XV88">IF(AND(XU88&gt;$XV$1,XN88&lt;&gt;""),_xlfn.XLOOKUP(MAX(_xlfn.ANCHORARRAY(XP88)),_xlfn.ANCHORARRAY(XP88),XP$4:XT$4,""),"")</f>
        <v/>
      </c>
      <c r="XX88" cm="1">
        <f t="array" ref="XX88:YG88">SUMIFS($M88:$GJ88,$M$2:$GJ$2,XX$3:YG$3)</f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 cm="1">
        <f t="array" ref="YH88">IFERROR(MAX((_xlfn.ANCHORARRAY(XX88)-AVERAGE(_xlfn.ANCHORARRAY(XX88)))/ AVERAGE(_xlfn.ANCHORARRAY(XX88))),0)</f>
        <v>0</v>
      </c>
      <c r="YI88" t="str" cm="1">
        <f t="array" ref="YI88">IF(YH88&gt;$YI$1,_xlfn.XLOOKUP(MAX(_xlfn.ANCHORARRAY(XX88)),_xlfn.ANCHORARRAY(XX88),XX$4:YG$4,""),"")</f>
        <v/>
      </c>
      <c r="YK88" t="str">
        <f t="shared" si="25"/>
        <v/>
      </c>
    </row>
    <row r="89" spans="1:661" x14ac:dyDescent="0.3">
      <c r="A89" s="2"/>
      <c r="B89" s="2" t="str">
        <f t="shared" si="14"/>
        <v>CHA</v>
      </c>
      <c r="C89" s="2" t="str">
        <f t="shared" si="16"/>
        <v>CHA</v>
      </c>
      <c r="D89" s="2" t="str">
        <f t="shared" si="15"/>
        <v>CHA</v>
      </c>
      <c r="E89" s="2" t="str">
        <f t="shared" si="17"/>
        <v/>
      </c>
      <c r="F89" s="2" t="str">
        <f t="shared" si="18"/>
        <v/>
      </c>
      <c r="G89" s="2">
        <f t="shared" si="19"/>
        <v>0</v>
      </c>
      <c r="H89" s="2">
        <f t="shared" si="20"/>
        <v>0</v>
      </c>
      <c r="I89" s="2">
        <f t="shared" si="21"/>
        <v>0</v>
      </c>
      <c r="J89" s="2">
        <f t="shared" si="22"/>
        <v>0</v>
      </c>
      <c r="K89" s="2">
        <f t="shared" si="23"/>
        <v>0</v>
      </c>
      <c r="L89" s="2">
        <f t="shared" si="24"/>
        <v>0</v>
      </c>
      <c r="XJ89" cm="1">
        <f t="array" ref="XJ89:XL89">SUMIFS($M89:$GJ89,$M$1:$GJ$1,XJ$3:XL$3)</f>
        <v>0</v>
      </c>
      <c r="XK89">
        <v>0</v>
      </c>
      <c r="XL89">
        <v>0</v>
      </c>
      <c r="XM89" cm="1">
        <f t="array" ref="XM89">IFERROR(MAX((_xlfn.ANCHORARRAY(XJ89)-AVERAGE(_xlfn.ANCHORARRAY(XJ89)))/ AVERAGE(_xlfn.ANCHORARRAY(XJ89))),0)</f>
        <v>0</v>
      </c>
      <c r="XN89" t="str" cm="1">
        <f t="array" ref="XN89">IF(XM89&gt;$XN$1,_xlfn.XLOOKUP(MAX(_xlfn.ANCHORARRAY(XJ89)),_xlfn.ANCHORARRAY(XJ89),XJ$4:XL$4,""),"")</f>
        <v/>
      </c>
      <c r="XP89" cm="1">
        <f t="array" ref="XP89:XT89">SUMIFS($M89:$GJ89,$M$3:$GJ$3,XP$3:XT$3)</f>
        <v>0</v>
      </c>
      <c r="XQ89">
        <v>0</v>
      </c>
      <c r="XR89">
        <v>0</v>
      </c>
      <c r="XS89">
        <v>0</v>
      </c>
      <c r="XT89">
        <v>0</v>
      </c>
      <c r="XU89" cm="1">
        <f t="array" ref="XU89">IFERROR(MAX((_xlfn.ANCHORARRAY(XP89)-AVERAGE(_xlfn.ANCHORARRAY(XP89)))/ AVERAGE(_xlfn.ANCHORARRAY(XP89))),0)</f>
        <v>0</v>
      </c>
      <c r="XV89" t="str" cm="1">
        <f t="array" ref="XV89">IF(AND(XU89&gt;$XV$1,XN89&lt;&gt;""),_xlfn.XLOOKUP(MAX(_xlfn.ANCHORARRAY(XP89)),_xlfn.ANCHORARRAY(XP89),XP$4:XT$4,""),"")</f>
        <v/>
      </c>
      <c r="XX89" cm="1">
        <f t="array" ref="XX89:YG89">SUMIFS($M89:$GJ89,$M$2:$GJ$2,XX$3:YG$3)</f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 cm="1">
        <f t="array" ref="YH89">IFERROR(MAX((_xlfn.ANCHORARRAY(XX89)-AVERAGE(_xlfn.ANCHORARRAY(XX89)))/ AVERAGE(_xlfn.ANCHORARRAY(XX89))),0)</f>
        <v>0</v>
      </c>
      <c r="YI89" t="str" cm="1">
        <f t="array" ref="YI89">IF(YH89&gt;$YI$1,_xlfn.XLOOKUP(MAX(_xlfn.ANCHORARRAY(XX89)),_xlfn.ANCHORARRAY(XX89),XX$4:YG$4,""),"")</f>
        <v/>
      </c>
      <c r="YK89" t="str">
        <f t="shared" si="25"/>
        <v/>
      </c>
    </row>
    <row r="90" spans="1:661" x14ac:dyDescent="0.3">
      <c r="A90" s="2"/>
      <c r="B90" s="2" t="str">
        <f t="shared" si="14"/>
        <v>CHA</v>
      </c>
      <c r="C90" s="2" t="str">
        <f t="shared" si="16"/>
        <v>CHA</v>
      </c>
      <c r="D90" s="2" t="str">
        <f t="shared" si="15"/>
        <v>CHA</v>
      </c>
      <c r="E90" s="2" t="str">
        <f t="shared" si="17"/>
        <v/>
      </c>
      <c r="F90" s="2" t="str">
        <f t="shared" si="18"/>
        <v/>
      </c>
      <c r="G90" s="2">
        <f t="shared" si="19"/>
        <v>0</v>
      </c>
      <c r="H90" s="2">
        <f t="shared" si="20"/>
        <v>0</v>
      </c>
      <c r="I90" s="2">
        <f t="shared" si="21"/>
        <v>0</v>
      </c>
      <c r="J90" s="2">
        <f t="shared" si="22"/>
        <v>0</v>
      </c>
      <c r="K90" s="2">
        <f t="shared" si="23"/>
        <v>0</v>
      </c>
      <c r="L90" s="2">
        <f t="shared" si="24"/>
        <v>0</v>
      </c>
      <c r="XJ90" cm="1">
        <f t="array" ref="XJ90:XL90">SUMIFS($M90:$GJ90,$M$1:$GJ$1,XJ$3:XL$3)</f>
        <v>0</v>
      </c>
      <c r="XK90">
        <v>0</v>
      </c>
      <c r="XL90">
        <v>0</v>
      </c>
      <c r="XM90" cm="1">
        <f t="array" ref="XM90">IFERROR(MAX((_xlfn.ANCHORARRAY(XJ90)-AVERAGE(_xlfn.ANCHORARRAY(XJ90)))/ AVERAGE(_xlfn.ANCHORARRAY(XJ90))),0)</f>
        <v>0</v>
      </c>
      <c r="XN90" t="str" cm="1">
        <f t="array" ref="XN90">IF(XM90&gt;$XN$1,_xlfn.XLOOKUP(MAX(_xlfn.ANCHORARRAY(XJ90)),_xlfn.ANCHORARRAY(XJ90),XJ$4:XL$4,""),"")</f>
        <v/>
      </c>
      <c r="XP90" cm="1">
        <f t="array" ref="XP90:XT90">SUMIFS($M90:$GJ90,$M$3:$GJ$3,XP$3:XT$3)</f>
        <v>0</v>
      </c>
      <c r="XQ90">
        <v>0</v>
      </c>
      <c r="XR90">
        <v>0</v>
      </c>
      <c r="XS90">
        <v>0</v>
      </c>
      <c r="XT90">
        <v>0</v>
      </c>
      <c r="XU90" cm="1">
        <f t="array" ref="XU90">IFERROR(MAX((_xlfn.ANCHORARRAY(XP90)-AVERAGE(_xlfn.ANCHORARRAY(XP90)))/ AVERAGE(_xlfn.ANCHORARRAY(XP90))),0)</f>
        <v>0</v>
      </c>
      <c r="XV90" t="str" cm="1">
        <f t="array" ref="XV90">IF(AND(XU90&gt;$XV$1,XN90&lt;&gt;""),_xlfn.XLOOKUP(MAX(_xlfn.ANCHORARRAY(XP90)),_xlfn.ANCHORARRAY(XP90),XP$4:XT$4,""),"")</f>
        <v/>
      </c>
      <c r="XX90" cm="1">
        <f t="array" ref="XX90:YG90">SUMIFS($M90:$GJ90,$M$2:$GJ$2,XX$3:YG$3)</f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 cm="1">
        <f t="array" ref="YH90">IFERROR(MAX((_xlfn.ANCHORARRAY(XX90)-AVERAGE(_xlfn.ANCHORARRAY(XX90)))/ AVERAGE(_xlfn.ANCHORARRAY(XX90))),0)</f>
        <v>0</v>
      </c>
      <c r="YI90" t="str" cm="1">
        <f t="array" ref="YI90">IF(YH90&gt;$YI$1,_xlfn.XLOOKUP(MAX(_xlfn.ANCHORARRAY(XX90)),_xlfn.ANCHORARRAY(XX90),XX$4:YG$4,""),"")</f>
        <v/>
      </c>
      <c r="YK90" t="str">
        <f t="shared" si="25"/>
        <v/>
      </c>
    </row>
    <row r="91" spans="1:661" x14ac:dyDescent="0.3">
      <c r="A91" s="2"/>
      <c r="B91" s="2" t="str">
        <f t="shared" si="14"/>
        <v>CHA</v>
      </c>
      <c r="C91" s="2" t="str">
        <f t="shared" si="16"/>
        <v>CHA</v>
      </c>
      <c r="D91" s="2" t="str">
        <f t="shared" si="15"/>
        <v>CHA</v>
      </c>
      <c r="E91" s="2" t="str">
        <f t="shared" si="17"/>
        <v/>
      </c>
      <c r="F91" s="2" t="str">
        <f t="shared" si="18"/>
        <v/>
      </c>
      <c r="G91" s="2">
        <f t="shared" si="19"/>
        <v>0</v>
      </c>
      <c r="H91" s="2">
        <f t="shared" si="20"/>
        <v>0</v>
      </c>
      <c r="I91" s="2">
        <f t="shared" si="21"/>
        <v>0</v>
      </c>
      <c r="J91" s="2">
        <f t="shared" si="22"/>
        <v>0</v>
      </c>
      <c r="K91" s="2">
        <f t="shared" si="23"/>
        <v>0</v>
      </c>
      <c r="L91" s="2">
        <f t="shared" si="24"/>
        <v>0</v>
      </c>
      <c r="XJ91" cm="1">
        <f t="array" ref="XJ91:XL91">SUMIFS($M91:$GJ91,$M$1:$GJ$1,XJ$3:XL$3)</f>
        <v>0</v>
      </c>
      <c r="XK91">
        <v>0</v>
      </c>
      <c r="XL91">
        <v>0</v>
      </c>
      <c r="XM91" cm="1">
        <f t="array" ref="XM91">IFERROR(MAX((_xlfn.ANCHORARRAY(XJ91)-AVERAGE(_xlfn.ANCHORARRAY(XJ91)))/ AVERAGE(_xlfn.ANCHORARRAY(XJ91))),0)</f>
        <v>0</v>
      </c>
      <c r="XN91" t="str" cm="1">
        <f t="array" ref="XN91">IF(XM91&gt;$XN$1,_xlfn.XLOOKUP(MAX(_xlfn.ANCHORARRAY(XJ91)),_xlfn.ANCHORARRAY(XJ91),XJ$4:XL$4,""),"")</f>
        <v/>
      </c>
      <c r="XP91" cm="1">
        <f t="array" ref="XP91:XT91">SUMIFS($M91:$GJ91,$M$3:$GJ$3,XP$3:XT$3)</f>
        <v>0</v>
      </c>
      <c r="XQ91">
        <v>0</v>
      </c>
      <c r="XR91">
        <v>0</v>
      </c>
      <c r="XS91">
        <v>0</v>
      </c>
      <c r="XT91">
        <v>0</v>
      </c>
      <c r="XU91" cm="1">
        <f t="array" ref="XU91">IFERROR(MAX((_xlfn.ANCHORARRAY(XP91)-AVERAGE(_xlfn.ANCHORARRAY(XP91)))/ AVERAGE(_xlfn.ANCHORARRAY(XP91))),0)</f>
        <v>0</v>
      </c>
      <c r="XV91" t="str" cm="1">
        <f t="array" ref="XV91">IF(AND(XU91&gt;$XV$1,XN91&lt;&gt;""),_xlfn.XLOOKUP(MAX(_xlfn.ANCHORARRAY(XP91)),_xlfn.ANCHORARRAY(XP91),XP$4:XT$4,""),"")</f>
        <v/>
      </c>
      <c r="XX91" cm="1">
        <f t="array" ref="XX91:YG91">SUMIFS($M91:$GJ91,$M$2:$GJ$2,XX$3:YG$3)</f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 cm="1">
        <f t="array" ref="YH91">IFERROR(MAX((_xlfn.ANCHORARRAY(XX91)-AVERAGE(_xlfn.ANCHORARRAY(XX91)))/ AVERAGE(_xlfn.ANCHORARRAY(XX91))),0)</f>
        <v>0</v>
      </c>
      <c r="YI91" t="str" cm="1">
        <f t="array" ref="YI91">IF(YH91&gt;$YI$1,_xlfn.XLOOKUP(MAX(_xlfn.ANCHORARRAY(XX91)),_xlfn.ANCHORARRAY(XX91),XX$4:YG$4,""),"")</f>
        <v/>
      </c>
      <c r="YK91" t="str">
        <f t="shared" si="25"/>
        <v/>
      </c>
    </row>
    <row r="92" spans="1:661" x14ac:dyDescent="0.3">
      <c r="A92" s="2"/>
      <c r="B92" s="2" t="str">
        <f t="shared" si="14"/>
        <v>CHA</v>
      </c>
      <c r="C92" s="2" t="str">
        <f t="shared" si="16"/>
        <v>CHA</v>
      </c>
      <c r="D92" s="2" t="str">
        <f t="shared" si="15"/>
        <v>CHA</v>
      </c>
      <c r="E92" s="2" t="str">
        <f t="shared" si="17"/>
        <v/>
      </c>
      <c r="F92" s="2" t="str">
        <f t="shared" si="18"/>
        <v/>
      </c>
      <c r="G92" s="2">
        <f t="shared" si="19"/>
        <v>0</v>
      </c>
      <c r="H92" s="2">
        <f t="shared" si="20"/>
        <v>0</v>
      </c>
      <c r="I92" s="2">
        <f t="shared" si="21"/>
        <v>0</v>
      </c>
      <c r="J92" s="2">
        <f t="shared" si="22"/>
        <v>0</v>
      </c>
      <c r="K92" s="2">
        <f t="shared" si="23"/>
        <v>0</v>
      </c>
      <c r="L92" s="2">
        <f t="shared" si="24"/>
        <v>0</v>
      </c>
      <c r="XJ92" cm="1">
        <f t="array" ref="XJ92:XL92">SUMIFS($M92:$GJ92,$M$1:$GJ$1,XJ$3:XL$3)</f>
        <v>0</v>
      </c>
      <c r="XK92">
        <v>0</v>
      </c>
      <c r="XL92">
        <v>0</v>
      </c>
      <c r="XM92" cm="1">
        <f t="array" ref="XM92">IFERROR(MAX((_xlfn.ANCHORARRAY(XJ92)-AVERAGE(_xlfn.ANCHORARRAY(XJ92)))/ AVERAGE(_xlfn.ANCHORARRAY(XJ92))),0)</f>
        <v>0</v>
      </c>
      <c r="XN92" t="str" cm="1">
        <f t="array" ref="XN92">IF(XM92&gt;$XN$1,_xlfn.XLOOKUP(MAX(_xlfn.ANCHORARRAY(XJ92)),_xlfn.ANCHORARRAY(XJ92),XJ$4:XL$4,""),"")</f>
        <v/>
      </c>
      <c r="XP92" cm="1">
        <f t="array" ref="XP92:XT92">SUMIFS($M92:$GJ92,$M$3:$GJ$3,XP$3:XT$3)</f>
        <v>0</v>
      </c>
      <c r="XQ92">
        <v>0</v>
      </c>
      <c r="XR92">
        <v>0</v>
      </c>
      <c r="XS92">
        <v>0</v>
      </c>
      <c r="XT92">
        <v>0</v>
      </c>
      <c r="XU92" cm="1">
        <f t="array" ref="XU92">IFERROR(MAX((_xlfn.ANCHORARRAY(XP92)-AVERAGE(_xlfn.ANCHORARRAY(XP92)))/ AVERAGE(_xlfn.ANCHORARRAY(XP92))),0)</f>
        <v>0</v>
      </c>
      <c r="XV92" t="str" cm="1">
        <f t="array" ref="XV92">IF(AND(XU92&gt;$XV$1,XN92&lt;&gt;""),_xlfn.XLOOKUP(MAX(_xlfn.ANCHORARRAY(XP92)),_xlfn.ANCHORARRAY(XP92),XP$4:XT$4,""),"")</f>
        <v/>
      </c>
      <c r="XX92" cm="1">
        <f t="array" ref="XX92:YG92">SUMIFS($M92:$GJ92,$M$2:$GJ$2,XX$3:YG$3)</f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 cm="1">
        <f t="array" ref="YH92">IFERROR(MAX((_xlfn.ANCHORARRAY(XX92)-AVERAGE(_xlfn.ANCHORARRAY(XX92)))/ AVERAGE(_xlfn.ANCHORARRAY(XX92))),0)</f>
        <v>0</v>
      </c>
      <c r="YI92" t="str" cm="1">
        <f t="array" ref="YI92">IF(YH92&gt;$YI$1,_xlfn.XLOOKUP(MAX(_xlfn.ANCHORARRAY(XX92)),_xlfn.ANCHORARRAY(XX92),XX$4:YG$4,""),"")</f>
        <v/>
      </c>
      <c r="YK92" t="str">
        <f t="shared" si="25"/>
        <v/>
      </c>
    </row>
    <row r="93" spans="1:661" x14ac:dyDescent="0.3">
      <c r="A93" s="2"/>
      <c r="B93" s="2" t="str">
        <f t="shared" si="14"/>
        <v>CHA</v>
      </c>
      <c r="C93" s="2" t="str">
        <f t="shared" si="16"/>
        <v>CHA</v>
      </c>
      <c r="D93" s="2" t="str">
        <f t="shared" si="15"/>
        <v>CHA</v>
      </c>
      <c r="E93" s="2" t="str">
        <f t="shared" si="17"/>
        <v/>
      </c>
      <c r="F93" s="2" t="str">
        <f t="shared" si="18"/>
        <v/>
      </c>
      <c r="G93" s="2">
        <f t="shared" si="19"/>
        <v>0</v>
      </c>
      <c r="H93" s="2">
        <f t="shared" si="20"/>
        <v>0</v>
      </c>
      <c r="I93" s="2">
        <f t="shared" si="21"/>
        <v>0</v>
      </c>
      <c r="J93" s="2">
        <f t="shared" si="22"/>
        <v>0</v>
      </c>
      <c r="K93" s="2">
        <f t="shared" si="23"/>
        <v>0</v>
      </c>
      <c r="L93" s="2">
        <f t="shared" si="24"/>
        <v>0</v>
      </c>
      <c r="XJ93" cm="1">
        <f t="array" ref="XJ93:XL93">SUMIFS($M93:$GJ93,$M$1:$GJ$1,XJ$3:XL$3)</f>
        <v>0</v>
      </c>
      <c r="XK93">
        <v>0</v>
      </c>
      <c r="XL93">
        <v>0</v>
      </c>
      <c r="XM93" cm="1">
        <f t="array" ref="XM93">IFERROR(MAX((_xlfn.ANCHORARRAY(XJ93)-AVERAGE(_xlfn.ANCHORARRAY(XJ93)))/ AVERAGE(_xlfn.ANCHORARRAY(XJ93))),0)</f>
        <v>0</v>
      </c>
      <c r="XN93" t="str" cm="1">
        <f t="array" ref="XN93">IF(XM93&gt;$XN$1,_xlfn.XLOOKUP(MAX(_xlfn.ANCHORARRAY(XJ93)),_xlfn.ANCHORARRAY(XJ93),XJ$4:XL$4,""),"")</f>
        <v/>
      </c>
      <c r="XP93" cm="1">
        <f t="array" ref="XP93:XT93">SUMIFS($M93:$GJ93,$M$3:$GJ$3,XP$3:XT$3)</f>
        <v>0</v>
      </c>
      <c r="XQ93">
        <v>0</v>
      </c>
      <c r="XR93">
        <v>0</v>
      </c>
      <c r="XS93">
        <v>0</v>
      </c>
      <c r="XT93">
        <v>0</v>
      </c>
      <c r="XU93" cm="1">
        <f t="array" ref="XU93">IFERROR(MAX((_xlfn.ANCHORARRAY(XP93)-AVERAGE(_xlfn.ANCHORARRAY(XP93)))/ AVERAGE(_xlfn.ANCHORARRAY(XP93))),0)</f>
        <v>0</v>
      </c>
      <c r="XV93" t="str" cm="1">
        <f t="array" ref="XV93">IF(AND(XU93&gt;$XV$1,XN93&lt;&gt;""),_xlfn.XLOOKUP(MAX(_xlfn.ANCHORARRAY(XP93)),_xlfn.ANCHORARRAY(XP93),XP$4:XT$4,""),"")</f>
        <v/>
      </c>
      <c r="XX93" cm="1">
        <f t="array" ref="XX93:YG93">SUMIFS($M93:$GJ93,$M$2:$GJ$2,XX$3:YG$3)</f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 cm="1">
        <f t="array" ref="YH93">IFERROR(MAX((_xlfn.ANCHORARRAY(XX93)-AVERAGE(_xlfn.ANCHORARRAY(XX93)))/ AVERAGE(_xlfn.ANCHORARRAY(XX93))),0)</f>
        <v>0</v>
      </c>
      <c r="YI93" t="str" cm="1">
        <f t="array" ref="YI93">IF(YH93&gt;$YI$1,_xlfn.XLOOKUP(MAX(_xlfn.ANCHORARRAY(XX93)),_xlfn.ANCHORARRAY(XX93),XX$4:YG$4,""),"")</f>
        <v/>
      </c>
      <c r="YK93" t="str">
        <f t="shared" si="25"/>
        <v/>
      </c>
    </row>
    <row r="94" spans="1:661" x14ac:dyDescent="0.3">
      <c r="A94" s="2"/>
      <c r="B94" s="2" t="str">
        <f t="shared" si="14"/>
        <v>CHA</v>
      </c>
      <c r="C94" s="2" t="str">
        <f t="shared" si="16"/>
        <v>CHA</v>
      </c>
      <c r="D94" s="2" t="str">
        <f t="shared" si="15"/>
        <v>CHA</v>
      </c>
      <c r="E94" s="2" t="str">
        <f t="shared" si="17"/>
        <v/>
      </c>
      <c r="F94" s="2" t="str">
        <f t="shared" si="18"/>
        <v/>
      </c>
      <c r="G94" s="2">
        <f t="shared" si="19"/>
        <v>0</v>
      </c>
      <c r="H94" s="2">
        <f t="shared" si="20"/>
        <v>0</v>
      </c>
      <c r="I94" s="2">
        <f t="shared" si="21"/>
        <v>0</v>
      </c>
      <c r="J94" s="2">
        <f t="shared" si="22"/>
        <v>0</v>
      </c>
      <c r="K94" s="2">
        <f t="shared" si="23"/>
        <v>0</v>
      </c>
      <c r="L94" s="2">
        <f t="shared" si="24"/>
        <v>0</v>
      </c>
      <c r="XJ94" cm="1">
        <f t="array" ref="XJ94:XL94">SUMIFS($M94:$GJ94,$M$1:$GJ$1,XJ$3:XL$3)</f>
        <v>0</v>
      </c>
      <c r="XK94">
        <v>0</v>
      </c>
      <c r="XL94">
        <v>0</v>
      </c>
      <c r="XM94" cm="1">
        <f t="array" ref="XM94">IFERROR(MAX((_xlfn.ANCHORARRAY(XJ94)-AVERAGE(_xlfn.ANCHORARRAY(XJ94)))/ AVERAGE(_xlfn.ANCHORARRAY(XJ94))),0)</f>
        <v>0</v>
      </c>
      <c r="XN94" t="str" cm="1">
        <f t="array" ref="XN94">IF(XM94&gt;$XN$1,_xlfn.XLOOKUP(MAX(_xlfn.ANCHORARRAY(XJ94)),_xlfn.ANCHORARRAY(XJ94),XJ$4:XL$4,""),"")</f>
        <v/>
      </c>
      <c r="XP94" cm="1">
        <f t="array" ref="XP94:XT94">SUMIFS($M94:$GJ94,$M$3:$GJ$3,XP$3:XT$3)</f>
        <v>0</v>
      </c>
      <c r="XQ94">
        <v>0</v>
      </c>
      <c r="XR94">
        <v>0</v>
      </c>
      <c r="XS94">
        <v>0</v>
      </c>
      <c r="XT94">
        <v>0</v>
      </c>
      <c r="XU94" cm="1">
        <f t="array" ref="XU94">IFERROR(MAX((_xlfn.ANCHORARRAY(XP94)-AVERAGE(_xlfn.ANCHORARRAY(XP94)))/ AVERAGE(_xlfn.ANCHORARRAY(XP94))),0)</f>
        <v>0</v>
      </c>
      <c r="XV94" t="str" cm="1">
        <f t="array" ref="XV94">IF(AND(XU94&gt;$XV$1,XN94&lt;&gt;""),_xlfn.XLOOKUP(MAX(_xlfn.ANCHORARRAY(XP94)),_xlfn.ANCHORARRAY(XP94),XP$4:XT$4,""),"")</f>
        <v/>
      </c>
      <c r="XX94" cm="1">
        <f t="array" ref="XX94:YG94">SUMIFS($M94:$GJ94,$M$2:$GJ$2,XX$3:YG$3)</f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 cm="1">
        <f t="array" ref="YH94">IFERROR(MAX((_xlfn.ANCHORARRAY(XX94)-AVERAGE(_xlfn.ANCHORARRAY(XX94)))/ AVERAGE(_xlfn.ANCHORARRAY(XX94))),0)</f>
        <v>0</v>
      </c>
      <c r="YI94" t="str" cm="1">
        <f t="array" ref="YI94">IF(YH94&gt;$YI$1,_xlfn.XLOOKUP(MAX(_xlfn.ANCHORARRAY(XX94)),_xlfn.ANCHORARRAY(XX94),XX$4:YG$4,""),"")</f>
        <v/>
      </c>
      <c r="YK94" t="str">
        <f t="shared" si="25"/>
        <v/>
      </c>
    </row>
    <row r="95" spans="1:661" x14ac:dyDescent="0.3">
      <c r="A95" s="2"/>
      <c r="B95" s="2" t="str">
        <f t="shared" si="14"/>
        <v>CHA</v>
      </c>
      <c r="C95" s="2" t="str">
        <f t="shared" si="16"/>
        <v>CHA</v>
      </c>
      <c r="D95" s="2" t="str">
        <f t="shared" si="15"/>
        <v>CHA</v>
      </c>
      <c r="E95" s="2" t="str">
        <f t="shared" si="17"/>
        <v/>
      </c>
      <c r="F95" s="2" t="str">
        <f t="shared" si="18"/>
        <v/>
      </c>
      <c r="G95" s="2">
        <f t="shared" si="19"/>
        <v>0</v>
      </c>
      <c r="H95" s="2">
        <f t="shared" si="20"/>
        <v>0</v>
      </c>
      <c r="I95" s="2">
        <f t="shared" si="21"/>
        <v>0</v>
      </c>
      <c r="J95" s="2">
        <f t="shared" si="22"/>
        <v>0</v>
      </c>
      <c r="K95" s="2">
        <f t="shared" si="23"/>
        <v>0</v>
      </c>
      <c r="L95" s="2">
        <f t="shared" si="24"/>
        <v>0</v>
      </c>
      <c r="XJ95" cm="1">
        <f t="array" ref="XJ95:XL95">SUMIFS($M95:$GJ95,$M$1:$GJ$1,XJ$3:XL$3)</f>
        <v>0</v>
      </c>
      <c r="XK95">
        <v>0</v>
      </c>
      <c r="XL95">
        <v>0</v>
      </c>
      <c r="XM95" cm="1">
        <f t="array" ref="XM95">IFERROR(MAX((_xlfn.ANCHORARRAY(XJ95)-AVERAGE(_xlfn.ANCHORARRAY(XJ95)))/ AVERAGE(_xlfn.ANCHORARRAY(XJ95))),0)</f>
        <v>0</v>
      </c>
      <c r="XN95" t="str" cm="1">
        <f t="array" ref="XN95">IF(XM95&gt;$XN$1,_xlfn.XLOOKUP(MAX(_xlfn.ANCHORARRAY(XJ95)),_xlfn.ANCHORARRAY(XJ95),XJ$4:XL$4,""),"")</f>
        <v/>
      </c>
      <c r="XP95" cm="1">
        <f t="array" ref="XP95:XT95">SUMIFS($M95:$GJ95,$M$3:$GJ$3,XP$3:XT$3)</f>
        <v>0</v>
      </c>
      <c r="XQ95">
        <v>0</v>
      </c>
      <c r="XR95">
        <v>0</v>
      </c>
      <c r="XS95">
        <v>0</v>
      </c>
      <c r="XT95">
        <v>0</v>
      </c>
      <c r="XU95" cm="1">
        <f t="array" ref="XU95">IFERROR(MAX((_xlfn.ANCHORARRAY(XP95)-AVERAGE(_xlfn.ANCHORARRAY(XP95)))/ AVERAGE(_xlfn.ANCHORARRAY(XP95))),0)</f>
        <v>0</v>
      </c>
      <c r="XV95" t="str" cm="1">
        <f t="array" ref="XV95">IF(AND(XU95&gt;$XV$1,XN95&lt;&gt;""),_xlfn.XLOOKUP(MAX(_xlfn.ANCHORARRAY(XP95)),_xlfn.ANCHORARRAY(XP95),XP$4:XT$4,""),"")</f>
        <v/>
      </c>
      <c r="XX95" cm="1">
        <f t="array" ref="XX95:YG95">SUMIFS($M95:$GJ95,$M$2:$GJ$2,XX$3:YG$3)</f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 cm="1">
        <f t="array" ref="YH95">IFERROR(MAX((_xlfn.ANCHORARRAY(XX95)-AVERAGE(_xlfn.ANCHORARRAY(XX95)))/ AVERAGE(_xlfn.ANCHORARRAY(XX95))),0)</f>
        <v>0</v>
      </c>
      <c r="YI95" t="str" cm="1">
        <f t="array" ref="YI95">IF(YH95&gt;$YI$1,_xlfn.XLOOKUP(MAX(_xlfn.ANCHORARRAY(XX95)),_xlfn.ANCHORARRAY(XX95),XX$4:YG$4,""),"")</f>
        <v/>
      </c>
      <c r="YK95" t="str">
        <f t="shared" si="25"/>
        <v/>
      </c>
    </row>
    <row r="96" spans="1:661" x14ac:dyDescent="0.3">
      <c r="A96" s="2"/>
      <c r="B96" s="2" t="str">
        <f t="shared" si="14"/>
        <v>CHA</v>
      </c>
      <c r="C96" s="2" t="str">
        <f t="shared" si="16"/>
        <v>CHA</v>
      </c>
      <c r="D96" s="2" t="str">
        <f t="shared" si="15"/>
        <v>CHA</v>
      </c>
      <c r="E96" s="2" t="str">
        <f t="shared" si="17"/>
        <v/>
      </c>
      <c r="F96" s="2" t="str">
        <f t="shared" si="18"/>
        <v/>
      </c>
      <c r="G96" s="2">
        <f t="shared" si="19"/>
        <v>0</v>
      </c>
      <c r="H96" s="2">
        <f t="shared" si="20"/>
        <v>0</v>
      </c>
      <c r="I96" s="2">
        <f t="shared" si="21"/>
        <v>0</v>
      </c>
      <c r="J96" s="2">
        <f t="shared" si="22"/>
        <v>0</v>
      </c>
      <c r="K96" s="2">
        <f t="shared" si="23"/>
        <v>0</v>
      </c>
      <c r="L96" s="2">
        <f t="shared" si="24"/>
        <v>0</v>
      </c>
      <c r="XJ96" cm="1">
        <f t="array" ref="XJ96:XL96">SUMIFS($M96:$GJ96,$M$1:$GJ$1,XJ$3:XL$3)</f>
        <v>0</v>
      </c>
      <c r="XK96">
        <v>0</v>
      </c>
      <c r="XL96">
        <v>0</v>
      </c>
      <c r="XM96" cm="1">
        <f t="array" ref="XM96">IFERROR(MAX((_xlfn.ANCHORARRAY(XJ96)-AVERAGE(_xlfn.ANCHORARRAY(XJ96)))/ AVERAGE(_xlfn.ANCHORARRAY(XJ96))),0)</f>
        <v>0</v>
      </c>
      <c r="XN96" t="str" cm="1">
        <f t="array" ref="XN96">IF(XM96&gt;$XN$1,_xlfn.XLOOKUP(MAX(_xlfn.ANCHORARRAY(XJ96)),_xlfn.ANCHORARRAY(XJ96),XJ$4:XL$4,""),"")</f>
        <v/>
      </c>
      <c r="XP96" cm="1">
        <f t="array" ref="XP96:XT96">SUMIFS($M96:$GJ96,$M$3:$GJ$3,XP$3:XT$3)</f>
        <v>0</v>
      </c>
      <c r="XQ96">
        <v>0</v>
      </c>
      <c r="XR96">
        <v>0</v>
      </c>
      <c r="XS96">
        <v>0</v>
      </c>
      <c r="XT96">
        <v>0</v>
      </c>
      <c r="XU96" cm="1">
        <f t="array" ref="XU96">IFERROR(MAX((_xlfn.ANCHORARRAY(XP96)-AVERAGE(_xlfn.ANCHORARRAY(XP96)))/ AVERAGE(_xlfn.ANCHORARRAY(XP96))),0)</f>
        <v>0</v>
      </c>
      <c r="XV96" t="str" cm="1">
        <f t="array" ref="XV96">IF(AND(XU96&gt;$XV$1,XN96&lt;&gt;""),_xlfn.XLOOKUP(MAX(_xlfn.ANCHORARRAY(XP96)),_xlfn.ANCHORARRAY(XP96),XP$4:XT$4,""),"")</f>
        <v/>
      </c>
      <c r="XX96" cm="1">
        <f t="array" ref="XX96:YG96">SUMIFS($M96:$GJ96,$M$2:$GJ$2,XX$3:YG$3)</f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 cm="1">
        <f t="array" ref="YH96">IFERROR(MAX((_xlfn.ANCHORARRAY(XX96)-AVERAGE(_xlfn.ANCHORARRAY(XX96)))/ AVERAGE(_xlfn.ANCHORARRAY(XX96))),0)</f>
        <v>0</v>
      </c>
      <c r="YI96" t="str" cm="1">
        <f t="array" ref="YI96">IF(YH96&gt;$YI$1,_xlfn.XLOOKUP(MAX(_xlfn.ANCHORARRAY(XX96)),_xlfn.ANCHORARRAY(XX96),XX$4:YG$4,""),"")</f>
        <v/>
      </c>
      <c r="YK96" t="str">
        <f t="shared" si="25"/>
        <v/>
      </c>
    </row>
    <row r="97" spans="1:661" x14ac:dyDescent="0.3">
      <c r="A97" s="2"/>
      <c r="B97" s="2" t="str">
        <f t="shared" si="14"/>
        <v>CHA</v>
      </c>
      <c r="C97" s="2" t="str">
        <f t="shared" si="16"/>
        <v>CHA</v>
      </c>
      <c r="D97" s="2" t="str">
        <f t="shared" si="15"/>
        <v>CHA</v>
      </c>
      <c r="E97" s="2" t="str">
        <f t="shared" si="17"/>
        <v/>
      </c>
      <c r="F97" s="2" t="str">
        <f t="shared" si="18"/>
        <v/>
      </c>
      <c r="G97" s="2">
        <f t="shared" si="19"/>
        <v>0</v>
      </c>
      <c r="H97" s="2">
        <f t="shared" si="20"/>
        <v>0</v>
      </c>
      <c r="I97" s="2">
        <f t="shared" si="21"/>
        <v>0</v>
      </c>
      <c r="J97" s="2">
        <f t="shared" si="22"/>
        <v>0</v>
      </c>
      <c r="K97" s="2">
        <f t="shared" si="23"/>
        <v>0</v>
      </c>
      <c r="L97" s="2">
        <f t="shared" si="24"/>
        <v>0</v>
      </c>
      <c r="XJ97" cm="1">
        <f t="array" ref="XJ97:XL97">SUMIFS($M97:$GJ97,$M$1:$GJ$1,XJ$3:XL$3)</f>
        <v>0</v>
      </c>
      <c r="XK97">
        <v>0</v>
      </c>
      <c r="XL97">
        <v>0</v>
      </c>
      <c r="XM97" cm="1">
        <f t="array" ref="XM97">IFERROR(MAX((_xlfn.ANCHORARRAY(XJ97)-AVERAGE(_xlfn.ANCHORARRAY(XJ97)))/ AVERAGE(_xlfn.ANCHORARRAY(XJ97))),0)</f>
        <v>0</v>
      </c>
      <c r="XN97" t="str" cm="1">
        <f t="array" ref="XN97">IF(XM97&gt;$XN$1,_xlfn.XLOOKUP(MAX(_xlfn.ANCHORARRAY(XJ97)),_xlfn.ANCHORARRAY(XJ97),XJ$4:XL$4,""),"")</f>
        <v/>
      </c>
      <c r="XP97" cm="1">
        <f t="array" ref="XP97:XT97">SUMIFS($M97:$GJ97,$M$3:$GJ$3,XP$3:XT$3)</f>
        <v>0</v>
      </c>
      <c r="XQ97">
        <v>0</v>
      </c>
      <c r="XR97">
        <v>0</v>
      </c>
      <c r="XS97">
        <v>0</v>
      </c>
      <c r="XT97">
        <v>0</v>
      </c>
      <c r="XU97" cm="1">
        <f t="array" ref="XU97">IFERROR(MAX((_xlfn.ANCHORARRAY(XP97)-AVERAGE(_xlfn.ANCHORARRAY(XP97)))/ AVERAGE(_xlfn.ANCHORARRAY(XP97))),0)</f>
        <v>0</v>
      </c>
      <c r="XV97" t="str" cm="1">
        <f t="array" ref="XV97">IF(AND(XU97&gt;$XV$1,XN97&lt;&gt;""),_xlfn.XLOOKUP(MAX(_xlfn.ANCHORARRAY(XP97)),_xlfn.ANCHORARRAY(XP97),XP$4:XT$4,""),"")</f>
        <v/>
      </c>
      <c r="XX97" cm="1">
        <f t="array" ref="XX97:YG97">SUMIFS($M97:$GJ97,$M$2:$GJ$2,XX$3:YG$3)</f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 cm="1">
        <f t="array" ref="YH97">IFERROR(MAX((_xlfn.ANCHORARRAY(XX97)-AVERAGE(_xlfn.ANCHORARRAY(XX97)))/ AVERAGE(_xlfn.ANCHORARRAY(XX97))),0)</f>
        <v>0</v>
      </c>
      <c r="YI97" t="str" cm="1">
        <f t="array" ref="YI97">IF(YH97&gt;$YI$1,_xlfn.XLOOKUP(MAX(_xlfn.ANCHORARRAY(XX97)),_xlfn.ANCHORARRAY(XX97),XX$4:YG$4,""),"")</f>
        <v/>
      </c>
      <c r="YK97" t="str">
        <f t="shared" si="25"/>
        <v/>
      </c>
    </row>
    <row r="98" spans="1:661" x14ac:dyDescent="0.3">
      <c r="A98" s="2"/>
      <c r="B98" s="2" t="str">
        <f t="shared" si="14"/>
        <v>CHA</v>
      </c>
      <c r="C98" s="2" t="str">
        <f t="shared" si="16"/>
        <v>CHA</v>
      </c>
      <c r="D98" s="2" t="str">
        <f t="shared" si="15"/>
        <v>CHA</v>
      </c>
      <c r="E98" s="2" t="str">
        <f t="shared" si="17"/>
        <v/>
      </c>
      <c r="F98" s="2" t="str">
        <f t="shared" si="18"/>
        <v/>
      </c>
      <c r="G98" s="2">
        <f t="shared" si="19"/>
        <v>0</v>
      </c>
      <c r="H98" s="2">
        <f t="shared" si="20"/>
        <v>0</v>
      </c>
      <c r="I98" s="2">
        <f t="shared" si="21"/>
        <v>0</v>
      </c>
      <c r="J98" s="2">
        <f t="shared" si="22"/>
        <v>0</v>
      </c>
      <c r="K98" s="2">
        <f t="shared" si="23"/>
        <v>0</v>
      </c>
      <c r="L98" s="2">
        <f t="shared" si="24"/>
        <v>0</v>
      </c>
      <c r="XJ98" cm="1">
        <f t="array" ref="XJ98:XL98">SUMIFS($M98:$GJ98,$M$1:$GJ$1,XJ$3:XL$3)</f>
        <v>0</v>
      </c>
      <c r="XK98">
        <v>0</v>
      </c>
      <c r="XL98">
        <v>0</v>
      </c>
      <c r="XM98" cm="1">
        <f t="array" ref="XM98">IFERROR(MAX((_xlfn.ANCHORARRAY(XJ98)-AVERAGE(_xlfn.ANCHORARRAY(XJ98)))/ AVERAGE(_xlfn.ANCHORARRAY(XJ98))),0)</f>
        <v>0</v>
      </c>
      <c r="XN98" t="str" cm="1">
        <f t="array" ref="XN98">IF(XM98&gt;$XN$1,_xlfn.XLOOKUP(MAX(_xlfn.ANCHORARRAY(XJ98)),_xlfn.ANCHORARRAY(XJ98),XJ$4:XL$4,""),"")</f>
        <v/>
      </c>
      <c r="XP98" cm="1">
        <f t="array" ref="XP98:XT98">SUMIFS($M98:$GJ98,$M$3:$GJ$3,XP$3:XT$3)</f>
        <v>0</v>
      </c>
      <c r="XQ98">
        <v>0</v>
      </c>
      <c r="XR98">
        <v>0</v>
      </c>
      <c r="XS98">
        <v>0</v>
      </c>
      <c r="XT98">
        <v>0</v>
      </c>
      <c r="XU98" cm="1">
        <f t="array" ref="XU98">IFERROR(MAX((_xlfn.ANCHORARRAY(XP98)-AVERAGE(_xlfn.ANCHORARRAY(XP98)))/ AVERAGE(_xlfn.ANCHORARRAY(XP98))),0)</f>
        <v>0</v>
      </c>
      <c r="XV98" t="str" cm="1">
        <f t="array" ref="XV98">IF(AND(XU98&gt;$XV$1,XN98&lt;&gt;""),_xlfn.XLOOKUP(MAX(_xlfn.ANCHORARRAY(XP98)),_xlfn.ANCHORARRAY(XP98),XP$4:XT$4,""),"")</f>
        <v/>
      </c>
      <c r="XX98" cm="1">
        <f t="array" ref="XX98:YG98">SUMIFS($M98:$GJ98,$M$2:$GJ$2,XX$3:YG$3)</f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 cm="1">
        <f t="array" ref="YH98">IFERROR(MAX((_xlfn.ANCHORARRAY(XX98)-AVERAGE(_xlfn.ANCHORARRAY(XX98)))/ AVERAGE(_xlfn.ANCHORARRAY(XX98))),0)</f>
        <v>0</v>
      </c>
      <c r="YI98" t="str" cm="1">
        <f t="array" ref="YI98">IF(YH98&gt;$YI$1,_xlfn.XLOOKUP(MAX(_xlfn.ANCHORARRAY(XX98)),_xlfn.ANCHORARRAY(XX98),XX$4:YG$4,""),"")</f>
        <v/>
      </c>
      <c r="YK98" t="str">
        <f t="shared" si="25"/>
        <v/>
      </c>
    </row>
    <row r="99" spans="1:661" x14ac:dyDescent="0.3">
      <c r="A99" s="2"/>
      <c r="B99" s="2" t="str">
        <f t="shared" si="14"/>
        <v>CHA</v>
      </c>
      <c r="C99" s="2" t="str">
        <f t="shared" si="16"/>
        <v>CHA</v>
      </c>
      <c r="D99" s="2" t="str">
        <f t="shared" si="15"/>
        <v>CHA</v>
      </c>
      <c r="E99" s="2" t="str">
        <f t="shared" si="17"/>
        <v/>
      </c>
      <c r="F99" s="2" t="str">
        <f t="shared" si="18"/>
        <v/>
      </c>
      <c r="G99" s="2">
        <f t="shared" si="19"/>
        <v>0</v>
      </c>
      <c r="H99" s="2">
        <f t="shared" si="20"/>
        <v>0</v>
      </c>
      <c r="I99" s="2">
        <f t="shared" si="21"/>
        <v>0</v>
      </c>
      <c r="J99" s="2">
        <f t="shared" si="22"/>
        <v>0</v>
      </c>
      <c r="K99" s="2">
        <f t="shared" si="23"/>
        <v>0</v>
      </c>
      <c r="L99" s="2">
        <f t="shared" si="24"/>
        <v>0</v>
      </c>
      <c r="XJ99" cm="1">
        <f t="array" ref="XJ99:XL99">SUMIFS($M99:$GJ99,$M$1:$GJ$1,XJ$3:XL$3)</f>
        <v>0</v>
      </c>
      <c r="XK99">
        <v>0</v>
      </c>
      <c r="XL99">
        <v>0</v>
      </c>
      <c r="XM99" cm="1">
        <f t="array" ref="XM99">IFERROR(MAX((_xlfn.ANCHORARRAY(XJ99)-AVERAGE(_xlfn.ANCHORARRAY(XJ99)))/ AVERAGE(_xlfn.ANCHORARRAY(XJ99))),0)</f>
        <v>0</v>
      </c>
      <c r="XN99" t="str" cm="1">
        <f t="array" ref="XN99">IF(XM99&gt;$XN$1,_xlfn.XLOOKUP(MAX(_xlfn.ANCHORARRAY(XJ99)),_xlfn.ANCHORARRAY(XJ99),XJ$4:XL$4,""),"")</f>
        <v/>
      </c>
      <c r="XP99" cm="1">
        <f t="array" ref="XP99:XT99">SUMIFS($M99:$GJ99,$M$3:$GJ$3,XP$3:XT$3)</f>
        <v>0</v>
      </c>
      <c r="XQ99">
        <v>0</v>
      </c>
      <c r="XR99">
        <v>0</v>
      </c>
      <c r="XS99">
        <v>0</v>
      </c>
      <c r="XT99">
        <v>0</v>
      </c>
      <c r="XU99" cm="1">
        <f t="array" ref="XU99">IFERROR(MAX((_xlfn.ANCHORARRAY(XP99)-AVERAGE(_xlfn.ANCHORARRAY(XP99)))/ AVERAGE(_xlfn.ANCHORARRAY(XP99))),0)</f>
        <v>0</v>
      </c>
      <c r="XV99" t="str" cm="1">
        <f t="array" ref="XV99">IF(AND(XU99&gt;$XV$1,XN99&lt;&gt;""),_xlfn.XLOOKUP(MAX(_xlfn.ANCHORARRAY(XP99)),_xlfn.ANCHORARRAY(XP99),XP$4:XT$4,""),"")</f>
        <v/>
      </c>
      <c r="XX99" cm="1">
        <f t="array" ref="XX99:YG99">SUMIFS($M99:$GJ99,$M$2:$GJ$2,XX$3:YG$3)</f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 cm="1">
        <f t="array" ref="YH99">IFERROR(MAX((_xlfn.ANCHORARRAY(XX99)-AVERAGE(_xlfn.ANCHORARRAY(XX99)))/ AVERAGE(_xlfn.ANCHORARRAY(XX99))),0)</f>
        <v>0</v>
      </c>
      <c r="YI99" t="str" cm="1">
        <f t="array" ref="YI99">IF(YH99&gt;$YI$1,_xlfn.XLOOKUP(MAX(_xlfn.ANCHORARRAY(XX99)),_xlfn.ANCHORARRAY(XX99),XX$4:YG$4,""),"")</f>
        <v/>
      </c>
      <c r="YK99" t="str">
        <f t="shared" si="25"/>
        <v/>
      </c>
    </row>
    <row r="100" spans="1:661" x14ac:dyDescent="0.3">
      <c r="A100" s="2"/>
      <c r="B100" s="2" t="str">
        <f t="shared" si="14"/>
        <v>CHA</v>
      </c>
      <c r="C100" s="2" t="str">
        <f t="shared" si="16"/>
        <v>CHA</v>
      </c>
      <c r="D100" s="2" t="str">
        <f t="shared" si="15"/>
        <v>CHA</v>
      </c>
      <c r="E100" s="2" t="str">
        <f t="shared" si="17"/>
        <v/>
      </c>
      <c r="F100" s="2" t="str">
        <f t="shared" si="18"/>
        <v/>
      </c>
      <c r="G100" s="2">
        <f t="shared" si="19"/>
        <v>0</v>
      </c>
      <c r="H100" s="2">
        <f t="shared" si="20"/>
        <v>0</v>
      </c>
      <c r="I100" s="2">
        <f t="shared" si="21"/>
        <v>0</v>
      </c>
      <c r="J100" s="2">
        <f t="shared" si="22"/>
        <v>0</v>
      </c>
      <c r="K100" s="2">
        <f t="shared" si="23"/>
        <v>0</v>
      </c>
      <c r="L100" s="2">
        <f t="shared" si="24"/>
        <v>0</v>
      </c>
      <c r="XJ100" cm="1">
        <f t="array" ref="XJ100:XL100">SUMIFS($M100:$GJ100,$M$1:$GJ$1,XJ$3:XL$3)</f>
        <v>0</v>
      </c>
      <c r="XK100">
        <v>0</v>
      </c>
      <c r="XL100">
        <v>0</v>
      </c>
      <c r="XM100" cm="1">
        <f t="array" ref="XM100">IFERROR(MAX((_xlfn.ANCHORARRAY(XJ100)-AVERAGE(_xlfn.ANCHORARRAY(XJ100)))/ AVERAGE(_xlfn.ANCHORARRAY(XJ100))),0)</f>
        <v>0</v>
      </c>
      <c r="XN100" t="str" cm="1">
        <f t="array" ref="XN100">IF(XM100&gt;$XN$1,_xlfn.XLOOKUP(MAX(_xlfn.ANCHORARRAY(XJ100)),_xlfn.ANCHORARRAY(XJ100),XJ$4:XL$4,""),"")</f>
        <v/>
      </c>
      <c r="XP100" cm="1">
        <f t="array" ref="XP100:XT100">SUMIFS($M100:$GJ100,$M$3:$GJ$3,XP$3:XT$3)</f>
        <v>0</v>
      </c>
      <c r="XQ100">
        <v>0</v>
      </c>
      <c r="XR100">
        <v>0</v>
      </c>
      <c r="XS100">
        <v>0</v>
      </c>
      <c r="XT100">
        <v>0</v>
      </c>
      <c r="XU100" cm="1">
        <f t="array" ref="XU100">IFERROR(MAX((_xlfn.ANCHORARRAY(XP100)-AVERAGE(_xlfn.ANCHORARRAY(XP100)))/ AVERAGE(_xlfn.ANCHORARRAY(XP100))),0)</f>
        <v>0</v>
      </c>
      <c r="XV100" t="str" cm="1">
        <f t="array" ref="XV100">IF(AND(XU100&gt;$XV$1,XN100&lt;&gt;""),_xlfn.XLOOKUP(MAX(_xlfn.ANCHORARRAY(XP100)),_xlfn.ANCHORARRAY(XP100),XP$4:XT$4,""),"")</f>
        <v/>
      </c>
      <c r="XX100" cm="1">
        <f t="array" ref="XX100:YG100">SUMIFS($M100:$GJ100,$M$2:$GJ$2,XX$3:YG$3)</f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 cm="1">
        <f t="array" ref="YH100">IFERROR(MAX((_xlfn.ANCHORARRAY(XX100)-AVERAGE(_xlfn.ANCHORARRAY(XX100)))/ AVERAGE(_xlfn.ANCHORARRAY(XX100))),0)</f>
        <v>0</v>
      </c>
      <c r="YI100" t="str" cm="1">
        <f t="array" ref="YI100">IF(YH100&gt;$YI$1,_xlfn.XLOOKUP(MAX(_xlfn.ANCHORARRAY(XX100)),_xlfn.ANCHORARRAY(XX100),XX$4:YG$4,""),"")</f>
        <v/>
      </c>
      <c r="YK100" t="str">
        <f t="shared" si="25"/>
        <v/>
      </c>
    </row>
    <row r="101" spans="1:661" x14ac:dyDescent="0.3">
      <c r="A101" s="2"/>
      <c r="B101" s="2" t="str">
        <f t="shared" ref="B101:B132" si="26">IF(C101="NotFound",D101,C101)</f>
        <v>CHA</v>
      </c>
      <c r="C101" s="2" t="str">
        <f t="shared" si="16"/>
        <v>CHA</v>
      </c>
      <c r="D101" s="2" t="str">
        <f t="shared" ref="D101:D132" si="27">IF(G101&gt;1,"NotFound","CHA"&amp;_xlfn.XLOOKUP(MAX(GL101:NI101,1),GL101:NI101,$GL$4:$NI$4,""))</f>
        <v>CHA</v>
      </c>
      <c r="E101" s="2" t="str">
        <f t="shared" si="17"/>
        <v/>
      </c>
      <c r="F101" s="2" t="str">
        <f t="shared" si="18"/>
        <v/>
      </c>
      <c r="G101" s="2">
        <f t="shared" si="19"/>
        <v>0</v>
      </c>
      <c r="H101" s="2">
        <f t="shared" si="20"/>
        <v>0</v>
      </c>
      <c r="I101" s="2">
        <f t="shared" si="21"/>
        <v>0</v>
      </c>
      <c r="J101" s="2">
        <f t="shared" si="22"/>
        <v>0</v>
      </c>
      <c r="K101" s="2">
        <f t="shared" si="23"/>
        <v>0</v>
      </c>
      <c r="L101" s="2">
        <f t="shared" si="24"/>
        <v>0</v>
      </c>
      <c r="XJ101" cm="1">
        <f t="array" ref="XJ101:XL101">SUMIFS($M101:$GJ101,$M$1:$GJ$1,XJ$3:XL$3)</f>
        <v>0</v>
      </c>
      <c r="XK101">
        <v>0</v>
      </c>
      <c r="XL101">
        <v>0</v>
      </c>
      <c r="XM101" cm="1">
        <f t="array" ref="XM101">IFERROR(MAX((_xlfn.ANCHORARRAY(XJ101)-AVERAGE(_xlfn.ANCHORARRAY(XJ101)))/ AVERAGE(_xlfn.ANCHORARRAY(XJ101))),0)</f>
        <v>0</v>
      </c>
      <c r="XN101" t="str" cm="1">
        <f t="array" ref="XN101">IF(XM101&gt;$XN$1,_xlfn.XLOOKUP(MAX(_xlfn.ANCHORARRAY(XJ101)),_xlfn.ANCHORARRAY(XJ101),XJ$4:XL$4,""),"")</f>
        <v/>
      </c>
      <c r="XP101" cm="1">
        <f t="array" ref="XP101:XT101">SUMIFS($M101:$GJ101,$M$3:$GJ$3,XP$3:XT$3)</f>
        <v>0</v>
      </c>
      <c r="XQ101">
        <v>0</v>
      </c>
      <c r="XR101">
        <v>0</v>
      </c>
      <c r="XS101">
        <v>0</v>
      </c>
      <c r="XT101">
        <v>0</v>
      </c>
      <c r="XU101" cm="1">
        <f t="array" ref="XU101">IFERROR(MAX((_xlfn.ANCHORARRAY(XP101)-AVERAGE(_xlfn.ANCHORARRAY(XP101)))/ AVERAGE(_xlfn.ANCHORARRAY(XP101))),0)</f>
        <v>0</v>
      </c>
      <c r="XV101" t="str" cm="1">
        <f t="array" ref="XV101">IF(AND(XU101&gt;$XV$1,XN101&lt;&gt;""),_xlfn.XLOOKUP(MAX(_xlfn.ANCHORARRAY(XP101)),_xlfn.ANCHORARRAY(XP101),XP$4:XT$4,""),"")</f>
        <v/>
      </c>
      <c r="XX101" cm="1">
        <f t="array" ref="XX101:YG101">SUMIFS($M101:$GJ101,$M$2:$GJ$2,XX$3:YG$3)</f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 cm="1">
        <f t="array" ref="YH101">IFERROR(MAX((_xlfn.ANCHORARRAY(XX101)-AVERAGE(_xlfn.ANCHORARRAY(XX101)))/ AVERAGE(_xlfn.ANCHORARRAY(XX101))),0)</f>
        <v>0</v>
      </c>
      <c r="YI101" t="str" cm="1">
        <f t="array" ref="YI101">IF(YH101&gt;$YI$1,_xlfn.XLOOKUP(MAX(_xlfn.ANCHORARRAY(XX101)),_xlfn.ANCHORARRAY(XX101),XX$4:YG$4,""),"")</f>
        <v/>
      </c>
      <c r="YK101" t="str">
        <f t="shared" si="25"/>
        <v/>
      </c>
    </row>
    <row r="102" spans="1:661" x14ac:dyDescent="0.3">
      <c r="A102" s="2"/>
      <c r="B102" s="2" t="str">
        <f t="shared" si="26"/>
        <v>CHA</v>
      </c>
      <c r="C102" s="2" t="str">
        <f t="shared" si="16"/>
        <v>CHA</v>
      </c>
      <c r="D102" s="2" t="str">
        <f t="shared" si="27"/>
        <v>CHA</v>
      </c>
      <c r="E102" s="2" t="str">
        <f t="shared" si="17"/>
        <v/>
      </c>
      <c r="F102" s="2" t="str">
        <f t="shared" si="18"/>
        <v/>
      </c>
      <c r="G102" s="2">
        <f t="shared" si="19"/>
        <v>0</v>
      </c>
      <c r="H102" s="2">
        <f t="shared" si="20"/>
        <v>0</v>
      </c>
      <c r="I102" s="2">
        <f t="shared" si="21"/>
        <v>0</v>
      </c>
      <c r="J102" s="2">
        <f t="shared" si="22"/>
        <v>0</v>
      </c>
      <c r="K102" s="2">
        <f t="shared" si="23"/>
        <v>0</v>
      </c>
      <c r="L102" s="2">
        <f t="shared" si="24"/>
        <v>0</v>
      </c>
      <c r="XJ102" cm="1">
        <f t="array" ref="XJ102:XL102">SUMIFS($M102:$GJ102,$M$1:$GJ$1,XJ$3:XL$3)</f>
        <v>0</v>
      </c>
      <c r="XK102">
        <v>0</v>
      </c>
      <c r="XL102">
        <v>0</v>
      </c>
      <c r="XM102" cm="1">
        <f t="array" ref="XM102">IFERROR(MAX((_xlfn.ANCHORARRAY(XJ102)-AVERAGE(_xlfn.ANCHORARRAY(XJ102)))/ AVERAGE(_xlfn.ANCHORARRAY(XJ102))),0)</f>
        <v>0</v>
      </c>
      <c r="XN102" t="str" cm="1">
        <f t="array" ref="XN102">IF(XM102&gt;$XN$1,_xlfn.XLOOKUP(MAX(_xlfn.ANCHORARRAY(XJ102)),_xlfn.ANCHORARRAY(XJ102),XJ$4:XL$4,""),"")</f>
        <v/>
      </c>
      <c r="XP102" cm="1">
        <f t="array" ref="XP102:XT102">SUMIFS($M102:$GJ102,$M$3:$GJ$3,XP$3:XT$3)</f>
        <v>0</v>
      </c>
      <c r="XQ102">
        <v>0</v>
      </c>
      <c r="XR102">
        <v>0</v>
      </c>
      <c r="XS102">
        <v>0</v>
      </c>
      <c r="XT102">
        <v>0</v>
      </c>
      <c r="XU102" cm="1">
        <f t="array" ref="XU102">IFERROR(MAX((_xlfn.ANCHORARRAY(XP102)-AVERAGE(_xlfn.ANCHORARRAY(XP102)))/ AVERAGE(_xlfn.ANCHORARRAY(XP102))),0)</f>
        <v>0</v>
      </c>
      <c r="XV102" t="str" cm="1">
        <f t="array" ref="XV102">IF(AND(XU102&gt;$XV$1,XN102&lt;&gt;""),_xlfn.XLOOKUP(MAX(_xlfn.ANCHORARRAY(XP102)),_xlfn.ANCHORARRAY(XP102),XP$4:XT$4,""),"")</f>
        <v/>
      </c>
      <c r="XX102" cm="1">
        <f t="array" ref="XX102:YG102">SUMIFS($M102:$GJ102,$M$2:$GJ$2,XX$3:YG$3)</f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 cm="1">
        <f t="array" ref="YH102">IFERROR(MAX((_xlfn.ANCHORARRAY(XX102)-AVERAGE(_xlfn.ANCHORARRAY(XX102)))/ AVERAGE(_xlfn.ANCHORARRAY(XX102))),0)</f>
        <v>0</v>
      </c>
      <c r="YI102" t="str" cm="1">
        <f t="array" ref="YI102">IF(YH102&gt;$YI$1,_xlfn.XLOOKUP(MAX(_xlfn.ANCHORARRAY(XX102)),_xlfn.ANCHORARRAY(XX102),XX$4:YG$4,""),"")</f>
        <v/>
      </c>
      <c r="YK102" t="str">
        <f t="shared" si="25"/>
        <v/>
      </c>
    </row>
    <row r="103" spans="1:661" x14ac:dyDescent="0.3">
      <c r="A103" s="2"/>
      <c r="B103" s="2" t="str">
        <f t="shared" si="26"/>
        <v>CHA</v>
      </c>
      <c r="C103" s="2" t="str">
        <f t="shared" si="16"/>
        <v>CHA</v>
      </c>
      <c r="D103" s="2" t="str">
        <f t="shared" si="27"/>
        <v>CHA</v>
      </c>
      <c r="E103" s="2" t="str">
        <f t="shared" si="17"/>
        <v/>
      </c>
      <c r="F103" s="2" t="str">
        <f t="shared" si="18"/>
        <v/>
      </c>
      <c r="G103" s="2">
        <f t="shared" si="19"/>
        <v>0</v>
      </c>
      <c r="H103" s="2">
        <f t="shared" si="20"/>
        <v>0</v>
      </c>
      <c r="I103" s="2">
        <f t="shared" si="21"/>
        <v>0</v>
      </c>
      <c r="J103" s="2">
        <f t="shared" si="22"/>
        <v>0</v>
      </c>
      <c r="K103" s="2">
        <f t="shared" si="23"/>
        <v>0</v>
      </c>
      <c r="L103" s="2">
        <f t="shared" si="24"/>
        <v>0</v>
      </c>
      <c r="XJ103" cm="1">
        <f t="array" ref="XJ103:XL103">SUMIFS($M103:$GJ103,$M$1:$GJ$1,XJ$3:XL$3)</f>
        <v>0</v>
      </c>
      <c r="XK103">
        <v>0</v>
      </c>
      <c r="XL103">
        <v>0</v>
      </c>
      <c r="XM103" cm="1">
        <f t="array" ref="XM103">IFERROR(MAX((_xlfn.ANCHORARRAY(XJ103)-AVERAGE(_xlfn.ANCHORARRAY(XJ103)))/ AVERAGE(_xlfn.ANCHORARRAY(XJ103))),0)</f>
        <v>0</v>
      </c>
      <c r="XN103" t="str" cm="1">
        <f t="array" ref="XN103">IF(XM103&gt;$XN$1,_xlfn.XLOOKUP(MAX(_xlfn.ANCHORARRAY(XJ103)),_xlfn.ANCHORARRAY(XJ103),XJ$4:XL$4,""),"")</f>
        <v/>
      </c>
      <c r="XP103" cm="1">
        <f t="array" ref="XP103:XT103">SUMIFS($M103:$GJ103,$M$3:$GJ$3,XP$3:XT$3)</f>
        <v>0</v>
      </c>
      <c r="XQ103">
        <v>0</v>
      </c>
      <c r="XR103">
        <v>0</v>
      </c>
      <c r="XS103">
        <v>0</v>
      </c>
      <c r="XT103">
        <v>0</v>
      </c>
      <c r="XU103" cm="1">
        <f t="array" ref="XU103">IFERROR(MAX((_xlfn.ANCHORARRAY(XP103)-AVERAGE(_xlfn.ANCHORARRAY(XP103)))/ AVERAGE(_xlfn.ANCHORARRAY(XP103))),0)</f>
        <v>0</v>
      </c>
      <c r="XV103" t="str" cm="1">
        <f t="array" ref="XV103">IF(AND(XU103&gt;$XV$1,XN103&lt;&gt;""),_xlfn.XLOOKUP(MAX(_xlfn.ANCHORARRAY(XP103)),_xlfn.ANCHORARRAY(XP103),XP$4:XT$4,""),"")</f>
        <v/>
      </c>
      <c r="XX103" cm="1">
        <f t="array" ref="XX103:YG103">SUMIFS($M103:$GJ103,$M$2:$GJ$2,XX$3:YG$3)</f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 cm="1">
        <f t="array" ref="YH103">IFERROR(MAX((_xlfn.ANCHORARRAY(XX103)-AVERAGE(_xlfn.ANCHORARRAY(XX103)))/ AVERAGE(_xlfn.ANCHORARRAY(XX103))),0)</f>
        <v>0</v>
      </c>
      <c r="YI103" t="str" cm="1">
        <f t="array" ref="YI103">IF(YH103&gt;$YI$1,_xlfn.XLOOKUP(MAX(_xlfn.ANCHORARRAY(XX103)),_xlfn.ANCHORARRAY(XX103),XX$4:YG$4,""),"")</f>
        <v/>
      </c>
      <c r="YK103" t="str">
        <f t="shared" si="25"/>
        <v/>
      </c>
    </row>
    <row r="104" spans="1:661" x14ac:dyDescent="0.3">
      <c r="A104" s="2"/>
      <c r="B104" s="2" t="str">
        <f t="shared" si="26"/>
        <v>CHA</v>
      </c>
      <c r="C104" s="2" t="str">
        <f t="shared" si="16"/>
        <v>CHA</v>
      </c>
      <c r="D104" s="2" t="str">
        <f t="shared" si="27"/>
        <v>CHA</v>
      </c>
      <c r="E104" s="2" t="str">
        <f t="shared" si="17"/>
        <v/>
      </c>
      <c r="F104" s="2" t="str">
        <f t="shared" si="18"/>
        <v/>
      </c>
      <c r="G104" s="2">
        <f t="shared" si="19"/>
        <v>0</v>
      </c>
      <c r="H104" s="2">
        <f t="shared" si="20"/>
        <v>0</v>
      </c>
      <c r="I104" s="2">
        <f t="shared" si="21"/>
        <v>0</v>
      </c>
      <c r="J104" s="2">
        <f t="shared" si="22"/>
        <v>0</v>
      </c>
      <c r="K104" s="2">
        <f t="shared" si="23"/>
        <v>0</v>
      </c>
      <c r="L104" s="2">
        <f t="shared" si="24"/>
        <v>0</v>
      </c>
      <c r="XJ104" cm="1">
        <f t="array" ref="XJ104:XL104">SUMIFS($M104:$GJ104,$M$1:$GJ$1,XJ$3:XL$3)</f>
        <v>0</v>
      </c>
      <c r="XK104">
        <v>0</v>
      </c>
      <c r="XL104">
        <v>0</v>
      </c>
      <c r="XM104" cm="1">
        <f t="array" ref="XM104">IFERROR(MAX((_xlfn.ANCHORARRAY(XJ104)-AVERAGE(_xlfn.ANCHORARRAY(XJ104)))/ AVERAGE(_xlfn.ANCHORARRAY(XJ104))),0)</f>
        <v>0</v>
      </c>
      <c r="XN104" t="str" cm="1">
        <f t="array" ref="XN104">IF(XM104&gt;$XN$1,_xlfn.XLOOKUP(MAX(_xlfn.ANCHORARRAY(XJ104)),_xlfn.ANCHORARRAY(XJ104),XJ$4:XL$4,""),"")</f>
        <v/>
      </c>
      <c r="XP104" cm="1">
        <f t="array" ref="XP104:XT104">SUMIFS($M104:$GJ104,$M$3:$GJ$3,XP$3:XT$3)</f>
        <v>0</v>
      </c>
      <c r="XQ104">
        <v>0</v>
      </c>
      <c r="XR104">
        <v>0</v>
      </c>
      <c r="XS104">
        <v>0</v>
      </c>
      <c r="XT104">
        <v>0</v>
      </c>
      <c r="XU104" cm="1">
        <f t="array" ref="XU104">IFERROR(MAX((_xlfn.ANCHORARRAY(XP104)-AVERAGE(_xlfn.ANCHORARRAY(XP104)))/ AVERAGE(_xlfn.ANCHORARRAY(XP104))),0)</f>
        <v>0</v>
      </c>
      <c r="XV104" t="str" cm="1">
        <f t="array" ref="XV104">IF(AND(XU104&gt;$XV$1,XN104&lt;&gt;""),_xlfn.XLOOKUP(MAX(_xlfn.ANCHORARRAY(XP104)),_xlfn.ANCHORARRAY(XP104),XP$4:XT$4,""),"")</f>
        <v/>
      </c>
      <c r="XX104" cm="1">
        <f t="array" ref="XX104:YG104">SUMIFS($M104:$GJ104,$M$2:$GJ$2,XX$3:YG$3)</f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 cm="1">
        <f t="array" ref="YH104">IFERROR(MAX((_xlfn.ANCHORARRAY(XX104)-AVERAGE(_xlfn.ANCHORARRAY(XX104)))/ AVERAGE(_xlfn.ANCHORARRAY(XX104))),0)</f>
        <v>0</v>
      </c>
      <c r="YI104" t="str" cm="1">
        <f t="array" ref="YI104">IF(YH104&gt;$YI$1,_xlfn.XLOOKUP(MAX(_xlfn.ANCHORARRAY(XX104)),_xlfn.ANCHORARRAY(XX104),XX$4:YG$4,""),"")</f>
        <v/>
      </c>
      <c r="YK104" t="str">
        <f t="shared" si="25"/>
        <v/>
      </c>
    </row>
    <row r="105" spans="1:661" x14ac:dyDescent="0.3">
      <c r="A105" s="2"/>
      <c r="B105" s="2" t="str">
        <f t="shared" si="26"/>
        <v>CHA</v>
      </c>
      <c r="C105" s="2" t="str">
        <f t="shared" si="16"/>
        <v>CHA</v>
      </c>
      <c r="D105" s="2" t="str">
        <f t="shared" si="27"/>
        <v>CHA</v>
      </c>
      <c r="E105" s="2" t="str">
        <f t="shared" si="17"/>
        <v/>
      </c>
      <c r="F105" s="2" t="str">
        <f t="shared" si="18"/>
        <v/>
      </c>
      <c r="G105" s="2">
        <f t="shared" si="19"/>
        <v>0</v>
      </c>
      <c r="H105" s="2">
        <f t="shared" si="20"/>
        <v>0</v>
      </c>
      <c r="I105" s="2">
        <f t="shared" si="21"/>
        <v>0</v>
      </c>
      <c r="J105" s="2">
        <f t="shared" si="22"/>
        <v>0</v>
      </c>
      <c r="K105" s="2">
        <f t="shared" si="23"/>
        <v>0</v>
      </c>
      <c r="L105" s="2">
        <f t="shared" si="24"/>
        <v>0</v>
      </c>
      <c r="XJ105" cm="1">
        <f t="array" ref="XJ105:XL105">SUMIFS($M105:$GJ105,$M$1:$GJ$1,XJ$3:XL$3)</f>
        <v>0</v>
      </c>
      <c r="XK105">
        <v>0</v>
      </c>
      <c r="XL105">
        <v>0</v>
      </c>
      <c r="XM105" cm="1">
        <f t="array" ref="XM105">IFERROR(MAX((_xlfn.ANCHORARRAY(XJ105)-AVERAGE(_xlfn.ANCHORARRAY(XJ105)))/ AVERAGE(_xlfn.ANCHORARRAY(XJ105))),0)</f>
        <v>0</v>
      </c>
      <c r="XN105" t="str" cm="1">
        <f t="array" ref="XN105">IF(XM105&gt;$XN$1,_xlfn.XLOOKUP(MAX(_xlfn.ANCHORARRAY(XJ105)),_xlfn.ANCHORARRAY(XJ105),XJ$4:XL$4,""),"")</f>
        <v/>
      </c>
      <c r="XP105" cm="1">
        <f t="array" ref="XP105:XT105">SUMIFS($M105:$GJ105,$M$3:$GJ$3,XP$3:XT$3)</f>
        <v>0</v>
      </c>
      <c r="XQ105">
        <v>0</v>
      </c>
      <c r="XR105">
        <v>0</v>
      </c>
      <c r="XS105">
        <v>0</v>
      </c>
      <c r="XT105">
        <v>0</v>
      </c>
      <c r="XU105" cm="1">
        <f t="array" ref="XU105">IFERROR(MAX((_xlfn.ANCHORARRAY(XP105)-AVERAGE(_xlfn.ANCHORARRAY(XP105)))/ AVERAGE(_xlfn.ANCHORARRAY(XP105))),0)</f>
        <v>0</v>
      </c>
      <c r="XV105" t="str" cm="1">
        <f t="array" ref="XV105">IF(AND(XU105&gt;$XV$1,XN105&lt;&gt;""),_xlfn.XLOOKUP(MAX(_xlfn.ANCHORARRAY(XP105)),_xlfn.ANCHORARRAY(XP105),XP$4:XT$4,""),"")</f>
        <v/>
      </c>
      <c r="XX105" cm="1">
        <f t="array" ref="XX105:YG105">SUMIFS($M105:$GJ105,$M$2:$GJ$2,XX$3:YG$3)</f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 cm="1">
        <f t="array" ref="YH105">IFERROR(MAX((_xlfn.ANCHORARRAY(XX105)-AVERAGE(_xlfn.ANCHORARRAY(XX105)))/ AVERAGE(_xlfn.ANCHORARRAY(XX105))),0)</f>
        <v>0</v>
      </c>
      <c r="YI105" t="str" cm="1">
        <f t="array" ref="YI105">IF(YH105&gt;$YI$1,_xlfn.XLOOKUP(MAX(_xlfn.ANCHORARRAY(XX105)),_xlfn.ANCHORARRAY(XX105),XX$4:YG$4,""),"")</f>
        <v/>
      </c>
      <c r="YK105" t="str">
        <f t="shared" si="25"/>
        <v/>
      </c>
    </row>
    <row r="106" spans="1:661" x14ac:dyDescent="0.3">
      <c r="A106" s="2"/>
      <c r="B106" s="2" t="str">
        <f t="shared" si="26"/>
        <v>CHA</v>
      </c>
      <c r="C106" s="2" t="str">
        <f t="shared" si="16"/>
        <v>CHA</v>
      </c>
      <c r="D106" s="2" t="str">
        <f t="shared" si="27"/>
        <v>CHA</v>
      </c>
      <c r="E106" s="2" t="str">
        <f t="shared" si="17"/>
        <v/>
      </c>
      <c r="F106" s="2" t="str">
        <f t="shared" si="18"/>
        <v/>
      </c>
      <c r="G106" s="2">
        <f t="shared" si="19"/>
        <v>0</v>
      </c>
      <c r="H106" s="2">
        <f t="shared" si="20"/>
        <v>0</v>
      </c>
      <c r="I106" s="2">
        <f t="shared" si="21"/>
        <v>0</v>
      </c>
      <c r="J106" s="2">
        <f t="shared" si="22"/>
        <v>0</v>
      </c>
      <c r="K106" s="2">
        <f t="shared" si="23"/>
        <v>0</v>
      </c>
      <c r="L106" s="2">
        <f t="shared" si="24"/>
        <v>0</v>
      </c>
      <c r="XJ106" cm="1">
        <f t="array" ref="XJ106:XL106">SUMIFS($M106:$GJ106,$M$1:$GJ$1,XJ$3:XL$3)</f>
        <v>0</v>
      </c>
      <c r="XK106">
        <v>0</v>
      </c>
      <c r="XL106">
        <v>0</v>
      </c>
      <c r="XM106" cm="1">
        <f t="array" ref="XM106">IFERROR(MAX((_xlfn.ANCHORARRAY(XJ106)-AVERAGE(_xlfn.ANCHORARRAY(XJ106)))/ AVERAGE(_xlfn.ANCHORARRAY(XJ106))),0)</f>
        <v>0</v>
      </c>
      <c r="XN106" t="str" cm="1">
        <f t="array" ref="XN106">IF(XM106&gt;$XN$1,_xlfn.XLOOKUP(MAX(_xlfn.ANCHORARRAY(XJ106)),_xlfn.ANCHORARRAY(XJ106),XJ$4:XL$4,""),"")</f>
        <v/>
      </c>
      <c r="XP106" cm="1">
        <f t="array" ref="XP106:XT106">SUMIFS($M106:$GJ106,$M$3:$GJ$3,XP$3:XT$3)</f>
        <v>0</v>
      </c>
      <c r="XQ106">
        <v>0</v>
      </c>
      <c r="XR106">
        <v>0</v>
      </c>
      <c r="XS106">
        <v>0</v>
      </c>
      <c r="XT106">
        <v>0</v>
      </c>
      <c r="XU106" cm="1">
        <f t="array" ref="XU106">IFERROR(MAX((_xlfn.ANCHORARRAY(XP106)-AVERAGE(_xlfn.ANCHORARRAY(XP106)))/ AVERAGE(_xlfn.ANCHORARRAY(XP106))),0)</f>
        <v>0</v>
      </c>
      <c r="XV106" t="str" cm="1">
        <f t="array" ref="XV106">IF(AND(XU106&gt;$XV$1,XN106&lt;&gt;""),_xlfn.XLOOKUP(MAX(_xlfn.ANCHORARRAY(XP106)),_xlfn.ANCHORARRAY(XP106),XP$4:XT$4,""),"")</f>
        <v/>
      </c>
      <c r="XX106" cm="1">
        <f t="array" ref="XX106:YG106">SUMIFS($M106:$GJ106,$M$2:$GJ$2,XX$3:YG$3)</f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 cm="1">
        <f t="array" ref="YH106">IFERROR(MAX((_xlfn.ANCHORARRAY(XX106)-AVERAGE(_xlfn.ANCHORARRAY(XX106)))/ AVERAGE(_xlfn.ANCHORARRAY(XX106))),0)</f>
        <v>0</v>
      </c>
      <c r="YI106" t="str" cm="1">
        <f t="array" ref="YI106">IF(YH106&gt;$YI$1,_xlfn.XLOOKUP(MAX(_xlfn.ANCHORARRAY(XX106)),_xlfn.ANCHORARRAY(XX106),XX$4:YG$4,""),"")</f>
        <v/>
      </c>
      <c r="YK106" t="str">
        <f t="shared" si="25"/>
        <v/>
      </c>
    </row>
    <row r="107" spans="1:661" x14ac:dyDescent="0.3">
      <c r="A107" s="2"/>
      <c r="B107" s="2" t="str">
        <f t="shared" si="26"/>
        <v>CHA</v>
      </c>
      <c r="C107" s="2" t="str">
        <f t="shared" si="16"/>
        <v>CHA</v>
      </c>
      <c r="D107" s="2" t="str">
        <f t="shared" si="27"/>
        <v>CHA</v>
      </c>
      <c r="E107" s="2" t="str">
        <f t="shared" si="17"/>
        <v/>
      </c>
      <c r="F107" s="2" t="str">
        <f t="shared" si="18"/>
        <v/>
      </c>
      <c r="G107" s="2">
        <f t="shared" si="19"/>
        <v>0</v>
      </c>
      <c r="H107" s="2">
        <f t="shared" si="20"/>
        <v>0</v>
      </c>
      <c r="I107" s="2">
        <f t="shared" si="21"/>
        <v>0</v>
      </c>
      <c r="J107" s="2">
        <f t="shared" si="22"/>
        <v>0</v>
      </c>
      <c r="K107" s="2">
        <f t="shared" si="23"/>
        <v>0</v>
      </c>
      <c r="L107" s="2">
        <f t="shared" si="24"/>
        <v>0</v>
      </c>
      <c r="XJ107" cm="1">
        <f t="array" ref="XJ107:XL107">SUMIFS($M107:$GJ107,$M$1:$GJ$1,XJ$3:XL$3)</f>
        <v>0</v>
      </c>
      <c r="XK107">
        <v>0</v>
      </c>
      <c r="XL107">
        <v>0</v>
      </c>
      <c r="XM107" cm="1">
        <f t="array" ref="XM107">IFERROR(MAX((_xlfn.ANCHORARRAY(XJ107)-AVERAGE(_xlfn.ANCHORARRAY(XJ107)))/ AVERAGE(_xlfn.ANCHORARRAY(XJ107))),0)</f>
        <v>0</v>
      </c>
      <c r="XN107" t="str" cm="1">
        <f t="array" ref="XN107">IF(XM107&gt;$XN$1,_xlfn.XLOOKUP(MAX(_xlfn.ANCHORARRAY(XJ107)),_xlfn.ANCHORARRAY(XJ107),XJ$4:XL$4,""),"")</f>
        <v/>
      </c>
      <c r="XP107" cm="1">
        <f t="array" ref="XP107:XT107">SUMIFS($M107:$GJ107,$M$3:$GJ$3,XP$3:XT$3)</f>
        <v>0</v>
      </c>
      <c r="XQ107">
        <v>0</v>
      </c>
      <c r="XR107">
        <v>0</v>
      </c>
      <c r="XS107">
        <v>0</v>
      </c>
      <c r="XT107">
        <v>0</v>
      </c>
      <c r="XU107" cm="1">
        <f t="array" ref="XU107">IFERROR(MAX((_xlfn.ANCHORARRAY(XP107)-AVERAGE(_xlfn.ANCHORARRAY(XP107)))/ AVERAGE(_xlfn.ANCHORARRAY(XP107))),0)</f>
        <v>0</v>
      </c>
      <c r="XV107" t="str" cm="1">
        <f t="array" ref="XV107">IF(AND(XU107&gt;$XV$1,XN107&lt;&gt;""),_xlfn.XLOOKUP(MAX(_xlfn.ANCHORARRAY(XP107)),_xlfn.ANCHORARRAY(XP107),XP$4:XT$4,""),"")</f>
        <v/>
      </c>
      <c r="XX107" cm="1">
        <f t="array" ref="XX107:YG107">SUMIFS($M107:$GJ107,$M$2:$GJ$2,XX$3:YG$3)</f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 cm="1">
        <f t="array" ref="YH107">IFERROR(MAX((_xlfn.ANCHORARRAY(XX107)-AVERAGE(_xlfn.ANCHORARRAY(XX107)))/ AVERAGE(_xlfn.ANCHORARRAY(XX107))),0)</f>
        <v>0</v>
      </c>
      <c r="YI107" t="str" cm="1">
        <f t="array" ref="YI107">IF(YH107&gt;$YI$1,_xlfn.XLOOKUP(MAX(_xlfn.ANCHORARRAY(XX107)),_xlfn.ANCHORARRAY(XX107),XX$4:YG$4,""),"")</f>
        <v/>
      </c>
      <c r="YK107" t="str">
        <f t="shared" si="25"/>
        <v/>
      </c>
    </row>
    <row r="108" spans="1:661" x14ac:dyDescent="0.3">
      <c r="A108" s="2"/>
      <c r="B108" s="2" t="str">
        <f t="shared" si="26"/>
        <v>CHA</v>
      </c>
      <c r="C108" s="2" t="str">
        <f t="shared" si="16"/>
        <v>CHA</v>
      </c>
      <c r="D108" s="2" t="str">
        <f t="shared" si="27"/>
        <v>CHA</v>
      </c>
      <c r="E108" s="2" t="str">
        <f t="shared" si="17"/>
        <v/>
      </c>
      <c r="F108" s="2" t="str">
        <f t="shared" si="18"/>
        <v/>
      </c>
      <c r="G108" s="2">
        <f t="shared" si="19"/>
        <v>0</v>
      </c>
      <c r="H108" s="2">
        <f t="shared" si="20"/>
        <v>0</v>
      </c>
      <c r="I108" s="2">
        <f t="shared" si="21"/>
        <v>0</v>
      </c>
      <c r="J108" s="2">
        <f t="shared" si="22"/>
        <v>0</v>
      </c>
      <c r="K108" s="2">
        <f t="shared" si="23"/>
        <v>0</v>
      </c>
      <c r="L108" s="2">
        <f t="shared" si="24"/>
        <v>0</v>
      </c>
      <c r="XJ108" cm="1">
        <f t="array" ref="XJ108:XL108">SUMIFS($M108:$GJ108,$M$1:$GJ$1,XJ$3:XL$3)</f>
        <v>0</v>
      </c>
      <c r="XK108">
        <v>0</v>
      </c>
      <c r="XL108">
        <v>0</v>
      </c>
      <c r="XM108" cm="1">
        <f t="array" ref="XM108">IFERROR(MAX((_xlfn.ANCHORARRAY(XJ108)-AVERAGE(_xlfn.ANCHORARRAY(XJ108)))/ AVERAGE(_xlfn.ANCHORARRAY(XJ108))),0)</f>
        <v>0</v>
      </c>
      <c r="XN108" t="str" cm="1">
        <f t="array" ref="XN108">IF(XM108&gt;$XN$1,_xlfn.XLOOKUP(MAX(_xlfn.ANCHORARRAY(XJ108)),_xlfn.ANCHORARRAY(XJ108),XJ$4:XL$4,""),"")</f>
        <v/>
      </c>
      <c r="XP108" cm="1">
        <f t="array" ref="XP108:XT108">SUMIFS($M108:$GJ108,$M$3:$GJ$3,XP$3:XT$3)</f>
        <v>0</v>
      </c>
      <c r="XQ108">
        <v>0</v>
      </c>
      <c r="XR108">
        <v>0</v>
      </c>
      <c r="XS108">
        <v>0</v>
      </c>
      <c r="XT108">
        <v>0</v>
      </c>
      <c r="XU108" cm="1">
        <f t="array" ref="XU108">IFERROR(MAX((_xlfn.ANCHORARRAY(XP108)-AVERAGE(_xlfn.ANCHORARRAY(XP108)))/ AVERAGE(_xlfn.ANCHORARRAY(XP108))),0)</f>
        <v>0</v>
      </c>
      <c r="XV108" t="str" cm="1">
        <f t="array" ref="XV108">IF(AND(XU108&gt;$XV$1,XN108&lt;&gt;""),_xlfn.XLOOKUP(MAX(_xlfn.ANCHORARRAY(XP108)),_xlfn.ANCHORARRAY(XP108),XP$4:XT$4,""),"")</f>
        <v/>
      </c>
      <c r="XX108" cm="1">
        <f t="array" ref="XX108:YG108">SUMIFS($M108:$GJ108,$M$2:$GJ$2,XX$3:YG$3)</f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 cm="1">
        <f t="array" ref="YH108">IFERROR(MAX((_xlfn.ANCHORARRAY(XX108)-AVERAGE(_xlfn.ANCHORARRAY(XX108)))/ AVERAGE(_xlfn.ANCHORARRAY(XX108))),0)</f>
        <v>0</v>
      </c>
      <c r="YI108" t="str" cm="1">
        <f t="array" ref="YI108">IF(YH108&gt;$YI$1,_xlfn.XLOOKUP(MAX(_xlfn.ANCHORARRAY(XX108)),_xlfn.ANCHORARRAY(XX108),XX$4:YG$4,""),"")</f>
        <v/>
      </c>
      <c r="YK108" t="str">
        <f t="shared" si="25"/>
        <v/>
      </c>
    </row>
    <row r="109" spans="1:661" x14ac:dyDescent="0.3">
      <c r="A109" s="2"/>
      <c r="B109" s="2" t="str">
        <f t="shared" si="26"/>
        <v>CHA</v>
      </c>
      <c r="C109" s="2" t="str">
        <f t="shared" si="16"/>
        <v>CHA</v>
      </c>
      <c r="D109" s="2" t="str">
        <f t="shared" si="27"/>
        <v>CHA</v>
      </c>
      <c r="E109" s="2" t="str">
        <f t="shared" si="17"/>
        <v/>
      </c>
      <c r="F109" s="2" t="str">
        <f t="shared" si="18"/>
        <v/>
      </c>
      <c r="G109" s="2">
        <f t="shared" si="19"/>
        <v>0</v>
      </c>
      <c r="H109" s="2">
        <f t="shared" si="20"/>
        <v>0</v>
      </c>
      <c r="I109" s="2">
        <f t="shared" si="21"/>
        <v>0</v>
      </c>
      <c r="J109" s="2">
        <f t="shared" si="22"/>
        <v>0</v>
      </c>
      <c r="K109" s="2">
        <f t="shared" si="23"/>
        <v>0</v>
      </c>
      <c r="L109" s="2">
        <f t="shared" si="24"/>
        <v>0</v>
      </c>
      <c r="XJ109" cm="1">
        <f t="array" ref="XJ109:XL109">SUMIFS($M109:$GJ109,$M$1:$GJ$1,XJ$3:XL$3)</f>
        <v>0</v>
      </c>
      <c r="XK109">
        <v>0</v>
      </c>
      <c r="XL109">
        <v>0</v>
      </c>
      <c r="XM109" cm="1">
        <f t="array" ref="XM109">IFERROR(MAX((_xlfn.ANCHORARRAY(XJ109)-AVERAGE(_xlfn.ANCHORARRAY(XJ109)))/ AVERAGE(_xlfn.ANCHORARRAY(XJ109))),0)</f>
        <v>0</v>
      </c>
      <c r="XN109" t="str" cm="1">
        <f t="array" ref="XN109">IF(XM109&gt;$XN$1,_xlfn.XLOOKUP(MAX(_xlfn.ANCHORARRAY(XJ109)),_xlfn.ANCHORARRAY(XJ109),XJ$4:XL$4,""),"")</f>
        <v/>
      </c>
      <c r="XP109" cm="1">
        <f t="array" ref="XP109:XT109">SUMIFS($M109:$GJ109,$M$3:$GJ$3,XP$3:XT$3)</f>
        <v>0</v>
      </c>
      <c r="XQ109">
        <v>0</v>
      </c>
      <c r="XR109">
        <v>0</v>
      </c>
      <c r="XS109">
        <v>0</v>
      </c>
      <c r="XT109">
        <v>0</v>
      </c>
      <c r="XU109" cm="1">
        <f t="array" ref="XU109">IFERROR(MAX((_xlfn.ANCHORARRAY(XP109)-AVERAGE(_xlfn.ANCHORARRAY(XP109)))/ AVERAGE(_xlfn.ANCHORARRAY(XP109))),0)</f>
        <v>0</v>
      </c>
      <c r="XV109" t="str" cm="1">
        <f t="array" ref="XV109">IF(AND(XU109&gt;$XV$1,XN109&lt;&gt;""),_xlfn.XLOOKUP(MAX(_xlfn.ANCHORARRAY(XP109)),_xlfn.ANCHORARRAY(XP109),XP$4:XT$4,""),"")</f>
        <v/>
      </c>
      <c r="XX109" cm="1">
        <f t="array" ref="XX109:YG109">SUMIFS($M109:$GJ109,$M$2:$GJ$2,XX$3:YG$3)</f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 cm="1">
        <f t="array" ref="YH109">IFERROR(MAX((_xlfn.ANCHORARRAY(XX109)-AVERAGE(_xlfn.ANCHORARRAY(XX109)))/ AVERAGE(_xlfn.ANCHORARRAY(XX109))),0)</f>
        <v>0</v>
      </c>
      <c r="YI109" t="str" cm="1">
        <f t="array" ref="YI109">IF(YH109&gt;$YI$1,_xlfn.XLOOKUP(MAX(_xlfn.ANCHORARRAY(XX109)),_xlfn.ANCHORARRAY(XX109),XX$4:YG$4,""),"")</f>
        <v/>
      </c>
      <c r="YK109" t="str">
        <f t="shared" si="25"/>
        <v/>
      </c>
    </row>
    <row r="110" spans="1:661" x14ac:dyDescent="0.3">
      <c r="A110" s="2"/>
      <c r="B110" s="2" t="str">
        <f t="shared" si="26"/>
        <v>CHA</v>
      </c>
      <c r="C110" s="2" t="str">
        <f t="shared" si="16"/>
        <v>CHA</v>
      </c>
      <c r="D110" s="2" t="str">
        <f t="shared" si="27"/>
        <v>CHA</v>
      </c>
      <c r="E110" s="2" t="str">
        <f t="shared" si="17"/>
        <v/>
      </c>
      <c r="F110" s="2" t="str">
        <f t="shared" si="18"/>
        <v/>
      </c>
      <c r="G110" s="2">
        <f t="shared" si="19"/>
        <v>0</v>
      </c>
      <c r="H110" s="2">
        <f t="shared" si="20"/>
        <v>0</v>
      </c>
      <c r="I110" s="2">
        <f t="shared" si="21"/>
        <v>0</v>
      </c>
      <c r="J110" s="2">
        <f t="shared" si="22"/>
        <v>0</v>
      </c>
      <c r="K110" s="2">
        <f t="shared" si="23"/>
        <v>0</v>
      </c>
      <c r="L110" s="2">
        <f t="shared" si="24"/>
        <v>0</v>
      </c>
      <c r="XJ110" cm="1">
        <f t="array" ref="XJ110:XL110">SUMIFS($M110:$GJ110,$M$1:$GJ$1,XJ$3:XL$3)</f>
        <v>0</v>
      </c>
      <c r="XK110">
        <v>0</v>
      </c>
      <c r="XL110">
        <v>0</v>
      </c>
      <c r="XM110" cm="1">
        <f t="array" ref="XM110">IFERROR(MAX((_xlfn.ANCHORARRAY(XJ110)-AVERAGE(_xlfn.ANCHORARRAY(XJ110)))/ AVERAGE(_xlfn.ANCHORARRAY(XJ110))),0)</f>
        <v>0</v>
      </c>
      <c r="XN110" t="str" cm="1">
        <f t="array" ref="XN110">IF(XM110&gt;$XN$1,_xlfn.XLOOKUP(MAX(_xlfn.ANCHORARRAY(XJ110)),_xlfn.ANCHORARRAY(XJ110),XJ$4:XL$4,""),"")</f>
        <v/>
      </c>
      <c r="XP110" cm="1">
        <f t="array" ref="XP110:XT110">SUMIFS($M110:$GJ110,$M$3:$GJ$3,XP$3:XT$3)</f>
        <v>0</v>
      </c>
      <c r="XQ110">
        <v>0</v>
      </c>
      <c r="XR110">
        <v>0</v>
      </c>
      <c r="XS110">
        <v>0</v>
      </c>
      <c r="XT110">
        <v>0</v>
      </c>
      <c r="XU110" cm="1">
        <f t="array" ref="XU110">IFERROR(MAX((_xlfn.ANCHORARRAY(XP110)-AVERAGE(_xlfn.ANCHORARRAY(XP110)))/ AVERAGE(_xlfn.ANCHORARRAY(XP110))),0)</f>
        <v>0</v>
      </c>
      <c r="XV110" t="str" cm="1">
        <f t="array" ref="XV110">IF(AND(XU110&gt;$XV$1,XN110&lt;&gt;""),_xlfn.XLOOKUP(MAX(_xlfn.ANCHORARRAY(XP110)),_xlfn.ANCHORARRAY(XP110),XP$4:XT$4,""),"")</f>
        <v/>
      </c>
      <c r="XX110" cm="1">
        <f t="array" ref="XX110:YG110">SUMIFS($M110:$GJ110,$M$2:$GJ$2,XX$3:YG$3)</f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 cm="1">
        <f t="array" ref="YH110">IFERROR(MAX((_xlfn.ANCHORARRAY(XX110)-AVERAGE(_xlfn.ANCHORARRAY(XX110)))/ AVERAGE(_xlfn.ANCHORARRAY(XX110))),0)</f>
        <v>0</v>
      </c>
      <c r="YI110" t="str" cm="1">
        <f t="array" ref="YI110">IF(YH110&gt;$YI$1,_xlfn.XLOOKUP(MAX(_xlfn.ANCHORARRAY(XX110)),_xlfn.ANCHORARRAY(XX110),XX$4:YG$4,""),"")</f>
        <v/>
      </c>
      <c r="YK110" t="str">
        <f t="shared" si="25"/>
        <v/>
      </c>
    </row>
    <row r="111" spans="1:661" x14ac:dyDescent="0.3">
      <c r="A111" s="2"/>
      <c r="B111" s="2" t="str">
        <f t="shared" si="26"/>
        <v>CHA</v>
      </c>
      <c r="C111" s="2" t="str">
        <f t="shared" si="16"/>
        <v>CHA</v>
      </c>
      <c r="D111" s="2" t="str">
        <f t="shared" si="27"/>
        <v>CHA</v>
      </c>
      <c r="E111" s="2" t="str">
        <f t="shared" si="17"/>
        <v/>
      </c>
      <c r="F111" s="2" t="str">
        <f t="shared" si="18"/>
        <v/>
      </c>
      <c r="G111" s="2">
        <f t="shared" si="19"/>
        <v>0</v>
      </c>
      <c r="H111" s="2">
        <f t="shared" si="20"/>
        <v>0</v>
      </c>
      <c r="I111" s="2">
        <f t="shared" si="21"/>
        <v>0</v>
      </c>
      <c r="J111" s="2">
        <f t="shared" si="22"/>
        <v>0</v>
      </c>
      <c r="K111" s="2">
        <f t="shared" si="23"/>
        <v>0</v>
      </c>
      <c r="L111" s="2">
        <f t="shared" si="24"/>
        <v>0</v>
      </c>
      <c r="XJ111" cm="1">
        <f t="array" ref="XJ111:XL111">SUMIFS($M111:$GJ111,$M$1:$GJ$1,XJ$3:XL$3)</f>
        <v>0</v>
      </c>
      <c r="XK111">
        <v>0</v>
      </c>
      <c r="XL111">
        <v>0</v>
      </c>
      <c r="XM111" cm="1">
        <f t="array" ref="XM111">IFERROR(MAX((_xlfn.ANCHORARRAY(XJ111)-AVERAGE(_xlfn.ANCHORARRAY(XJ111)))/ AVERAGE(_xlfn.ANCHORARRAY(XJ111))),0)</f>
        <v>0</v>
      </c>
      <c r="XN111" t="str" cm="1">
        <f t="array" ref="XN111">IF(XM111&gt;$XN$1,_xlfn.XLOOKUP(MAX(_xlfn.ANCHORARRAY(XJ111)),_xlfn.ANCHORARRAY(XJ111),XJ$4:XL$4,""),"")</f>
        <v/>
      </c>
      <c r="XP111" cm="1">
        <f t="array" ref="XP111:XT111">SUMIFS($M111:$GJ111,$M$3:$GJ$3,XP$3:XT$3)</f>
        <v>0</v>
      </c>
      <c r="XQ111">
        <v>0</v>
      </c>
      <c r="XR111">
        <v>0</v>
      </c>
      <c r="XS111">
        <v>0</v>
      </c>
      <c r="XT111">
        <v>0</v>
      </c>
      <c r="XU111" cm="1">
        <f t="array" ref="XU111">IFERROR(MAX((_xlfn.ANCHORARRAY(XP111)-AVERAGE(_xlfn.ANCHORARRAY(XP111)))/ AVERAGE(_xlfn.ANCHORARRAY(XP111))),0)</f>
        <v>0</v>
      </c>
      <c r="XV111" t="str" cm="1">
        <f t="array" ref="XV111">IF(AND(XU111&gt;$XV$1,XN111&lt;&gt;""),_xlfn.XLOOKUP(MAX(_xlfn.ANCHORARRAY(XP111)),_xlfn.ANCHORARRAY(XP111),XP$4:XT$4,""),"")</f>
        <v/>
      </c>
      <c r="XX111" cm="1">
        <f t="array" ref="XX111:YG111">SUMIFS($M111:$GJ111,$M$2:$GJ$2,XX$3:YG$3)</f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 cm="1">
        <f t="array" ref="YH111">IFERROR(MAX((_xlfn.ANCHORARRAY(XX111)-AVERAGE(_xlfn.ANCHORARRAY(XX111)))/ AVERAGE(_xlfn.ANCHORARRAY(XX111))),0)</f>
        <v>0</v>
      </c>
      <c r="YI111" t="str" cm="1">
        <f t="array" ref="YI111">IF(YH111&gt;$YI$1,_xlfn.XLOOKUP(MAX(_xlfn.ANCHORARRAY(XX111)),_xlfn.ANCHORARRAY(XX111),XX$4:YG$4,""),"")</f>
        <v/>
      </c>
      <c r="YK111" t="str">
        <f t="shared" si="25"/>
        <v/>
      </c>
    </row>
    <row r="112" spans="1:661" x14ac:dyDescent="0.3">
      <c r="A112" s="2"/>
      <c r="B112" s="2" t="str">
        <f t="shared" si="26"/>
        <v>CHA</v>
      </c>
      <c r="C112" s="2" t="str">
        <f t="shared" si="16"/>
        <v>CHA</v>
      </c>
      <c r="D112" s="2" t="str">
        <f t="shared" si="27"/>
        <v>CHA</v>
      </c>
      <c r="E112" s="2" t="str">
        <f t="shared" si="17"/>
        <v/>
      </c>
      <c r="F112" s="2" t="str">
        <f t="shared" si="18"/>
        <v/>
      </c>
      <c r="G112" s="2">
        <f t="shared" si="19"/>
        <v>0</v>
      </c>
      <c r="H112" s="2">
        <f t="shared" si="20"/>
        <v>0</v>
      </c>
      <c r="I112" s="2">
        <f t="shared" si="21"/>
        <v>0</v>
      </c>
      <c r="J112" s="2">
        <f t="shared" si="22"/>
        <v>0</v>
      </c>
      <c r="K112" s="2">
        <f t="shared" si="23"/>
        <v>0</v>
      </c>
      <c r="L112" s="2">
        <f t="shared" si="24"/>
        <v>0</v>
      </c>
      <c r="XJ112" cm="1">
        <f t="array" ref="XJ112:XL112">SUMIFS($M112:$GJ112,$M$1:$GJ$1,XJ$3:XL$3)</f>
        <v>0</v>
      </c>
      <c r="XK112">
        <v>0</v>
      </c>
      <c r="XL112">
        <v>0</v>
      </c>
      <c r="XM112" cm="1">
        <f t="array" ref="XM112">IFERROR(MAX((_xlfn.ANCHORARRAY(XJ112)-AVERAGE(_xlfn.ANCHORARRAY(XJ112)))/ AVERAGE(_xlfn.ANCHORARRAY(XJ112))),0)</f>
        <v>0</v>
      </c>
      <c r="XN112" t="str" cm="1">
        <f t="array" ref="XN112">IF(XM112&gt;$XN$1,_xlfn.XLOOKUP(MAX(_xlfn.ANCHORARRAY(XJ112)),_xlfn.ANCHORARRAY(XJ112),XJ$4:XL$4,""),"")</f>
        <v/>
      </c>
      <c r="XP112" cm="1">
        <f t="array" ref="XP112:XT112">SUMIFS($M112:$GJ112,$M$3:$GJ$3,XP$3:XT$3)</f>
        <v>0</v>
      </c>
      <c r="XQ112">
        <v>0</v>
      </c>
      <c r="XR112">
        <v>0</v>
      </c>
      <c r="XS112">
        <v>0</v>
      </c>
      <c r="XT112">
        <v>0</v>
      </c>
      <c r="XU112" cm="1">
        <f t="array" ref="XU112">IFERROR(MAX((_xlfn.ANCHORARRAY(XP112)-AVERAGE(_xlfn.ANCHORARRAY(XP112)))/ AVERAGE(_xlfn.ANCHORARRAY(XP112))),0)</f>
        <v>0</v>
      </c>
      <c r="XV112" t="str" cm="1">
        <f t="array" ref="XV112">IF(AND(XU112&gt;$XV$1,XN112&lt;&gt;""),_xlfn.XLOOKUP(MAX(_xlfn.ANCHORARRAY(XP112)),_xlfn.ANCHORARRAY(XP112),XP$4:XT$4,""),"")</f>
        <v/>
      </c>
      <c r="XX112" cm="1">
        <f t="array" ref="XX112:YG112">SUMIFS($M112:$GJ112,$M$2:$GJ$2,XX$3:YG$3)</f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 cm="1">
        <f t="array" ref="YH112">IFERROR(MAX((_xlfn.ANCHORARRAY(XX112)-AVERAGE(_xlfn.ANCHORARRAY(XX112)))/ AVERAGE(_xlfn.ANCHORARRAY(XX112))),0)</f>
        <v>0</v>
      </c>
      <c r="YI112" t="str" cm="1">
        <f t="array" ref="YI112">IF(YH112&gt;$YI$1,_xlfn.XLOOKUP(MAX(_xlfn.ANCHORARRAY(XX112)),_xlfn.ANCHORARRAY(XX112),XX$4:YG$4,""),"")</f>
        <v/>
      </c>
      <c r="YK112" t="str">
        <f t="shared" si="25"/>
        <v/>
      </c>
    </row>
    <row r="113" spans="1:661" x14ac:dyDescent="0.3">
      <c r="A113" s="2"/>
      <c r="B113" s="2" t="str">
        <f t="shared" si="26"/>
        <v>CHA</v>
      </c>
      <c r="C113" s="2" t="str">
        <f t="shared" si="16"/>
        <v>CHA</v>
      </c>
      <c r="D113" s="2" t="str">
        <f t="shared" si="27"/>
        <v>CHA</v>
      </c>
      <c r="E113" s="2" t="str">
        <f t="shared" si="17"/>
        <v/>
      </c>
      <c r="F113" s="2" t="str">
        <f t="shared" si="18"/>
        <v/>
      </c>
      <c r="G113" s="2">
        <f t="shared" si="19"/>
        <v>0</v>
      </c>
      <c r="H113" s="2">
        <f t="shared" si="20"/>
        <v>0</v>
      </c>
      <c r="I113" s="2">
        <f t="shared" si="21"/>
        <v>0</v>
      </c>
      <c r="J113" s="2">
        <f t="shared" si="22"/>
        <v>0</v>
      </c>
      <c r="K113" s="2">
        <f t="shared" si="23"/>
        <v>0</v>
      </c>
      <c r="L113" s="2">
        <f t="shared" si="24"/>
        <v>0</v>
      </c>
      <c r="XJ113" cm="1">
        <f t="array" ref="XJ113:XL113">SUMIFS($M113:$GJ113,$M$1:$GJ$1,XJ$3:XL$3)</f>
        <v>0</v>
      </c>
      <c r="XK113">
        <v>0</v>
      </c>
      <c r="XL113">
        <v>0</v>
      </c>
      <c r="XM113" cm="1">
        <f t="array" ref="XM113">IFERROR(MAX((_xlfn.ANCHORARRAY(XJ113)-AVERAGE(_xlfn.ANCHORARRAY(XJ113)))/ AVERAGE(_xlfn.ANCHORARRAY(XJ113))),0)</f>
        <v>0</v>
      </c>
      <c r="XN113" t="str" cm="1">
        <f t="array" ref="XN113">IF(XM113&gt;$XN$1,_xlfn.XLOOKUP(MAX(_xlfn.ANCHORARRAY(XJ113)),_xlfn.ANCHORARRAY(XJ113),XJ$4:XL$4,""),"")</f>
        <v/>
      </c>
      <c r="XP113" cm="1">
        <f t="array" ref="XP113:XT113">SUMIFS($M113:$GJ113,$M$3:$GJ$3,XP$3:XT$3)</f>
        <v>0</v>
      </c>
      <c r="XQ113">
        <v>0</v>
      </c>
      <c r="XR113">
        <v>0</v>
      </c>
      <c r="XS113">
        <v>0</v>
      </c>
      <c r="XT113">
        <v>0</v>
      </c>
      <c r="XU113" cm="1">
        <f t="array" ref="XU113">IFERROR(MAX((_xlfn.ANCHORARRAY(XP113)-AVERAGE(_xlfn.ANCHORARRAY(XP113)))/ AVERAGE(_xlfn.ANCHORARRAY(XP113))),0)</f>
        <v>0</v>
      </c>
      <c r="XV113" t="str" cm="1">
        <f t="array" ref="XV113">IF(AND(XU113&gt;$XV$1,XN113&lt;&gt;""),_xlfn.XLOOKUP(MAX(_xlfn.ANCHORARRAY(XP113)),_xlfn.ANCHORARRAY(XP113),XP$4:XT$4,""),"")</f>
        <v/>
      </c>
      <c r="XX113" cm="1">
        <f t="array" ref="XX113:YG113">SUMIFS($M113:$GJ113,$M$2:$GJ$2,XX$3:YG$3)</f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 cm="1">
        <f t="array" ref="YH113">IFERROR(MAX((_xlfn.ANCHORARRAY(XX113)-AVERAGE(_xlfn.ANCHORARRAY(XX113)))/ AVERAGE(_xlfn.ANCHORARRAY(XX113))),0)</f>
        <v>0</v>
      </c>
      <c r="YI113" t="str" cm="1">
        <f t="array" ref="YI113">IF(YH113&gt;$YI$1,_xlfn.XLOOKUP(MAX(_xlfn.ANCHORARRAY(XX113)),_xlfn.ANCHORARRAY(XX113),XX$4:YG$4,""),"")</f>
        <v/>
      </c>
      <c r="YK113" t="str">
        <f t="shared" si="25"/>
        <v/>
      </c>
    </row>
    <row r="114" spans="1:661" x14ac:dyDescent="0.3">
      <c r="A114" s="2"/>
      <c r="B114" s="2" t="str">
        <f t="shared" si="26"/>
        <v>CHA</v>
      </c>
      <c r="C114" s="2" t="str">
        <f t="shared" si="16"/>
        <v>CHA</v>
      </c>
      <c r="D114" s="2" t="str">
        <f t="shared" si="27"/>
        <v>CHA</v>
      </c>
      <c r="E114" s="2" t="str">
        <f t="shared" si="17"/>
        <v/>
      </c>
      <c r="F114" s="2" t="str">
        <f t="shared" si="18"/>
        <v/>
      </c>
      <c r="G114" s="2">
        <f t="shared" si="19"/>
        <v>0</v>
      </c>
      <c r="H114" s="2">
        <f t="shared" si="20"/>
        <v>0</v>
      </c>
      <c r="I114" s="2">
        <f t="shared" si="21"/>
        <v>0</v>
      </c>
      <c r="J114" s="2">
        <f t="shared" si="22"/>
        <v>0</v>
      </c>
      <c r="K114" s="2">
        <f t="shared" si="23"/>
        <v>0</v>
      </c>
      <c r="L114" s="2">
        <f t="shared" si="24"/>
        <v>0</v>
      </c>
      <c r="XJ114" cm="1">
        <f t="array" ref="XJ114:XL114">SUMIFS($M114:$GJ114,$M$1:$GJ$1,XJ$3:XL$3)</f>
        <v>0</v>
      </c>
      <c r="XK114">
        <v>0</v>
      </c>
      <c r="XL114">
        <v>0</v>
      </c>
      <c r="XM114" cm="1">
        <f t="array" ref="XM114">IFERROR(MAX((_xlfn.ANCHORARRAY(XJ114)-AVERAGE(_xlfn.ANCHORARRAY(XJ114)))/ AVERAGE(_xlfn.ANCHORARRAY(XJ114))),0)</f>
        <v>0</v>
      </c>
      <c r="XN114" t="str" cm="1">
        <f t="array" ref="XN114">IF(XM114&gt;$XN$1,_xlfn.XLOOKUP(MAX(_xlfn.ANCHORARRAY(XJ114)),_xlfn.ANCHORARRAY(XJ114),XJ$4:XL$4,""),"")</f>
        <v/>
      </c>
      <c r="XP114" cm="1">
        <f t="array" ref="XP114:XT114">SUMIFS($M114:$GJ114,$M$3:$GJ$3,XP$3:XT$3)</f>
        <v>0</v>
      </c>
      <c r="XQ114">
        <v>0</v>
      </c>
      <c r="XR114">
        <v>0</v>
      </c>
      <c r="XS114">
        <v>0</v>
      </c>
      <c r="XT114">
        <v>0</v>
      </c>
      <c r="XU114" cm="1">
        <f t="array" ref="XU114">IFERROR(MAX((_xlfn.ANCHORARRAY(XP114)-AVERAGE(_xlfn.ANCHORARRAY(XP114)))/ AVERAGE(_xlfn.ANCHORARRAY(XP114))),0)</f>
        <v>0</v>
      </c>
      <c r="XV114" t="str" cm="1">
        <f t="array" ref="XV114">IF(AND(XU114&gt;$XV$1,XN114&lt;&gt;""),_xlfn.XLOOKUP(MAX(_xlfn.ANCHORARRAY(XP114)),_xlfn.ANCHORARRAY(XP114),XP$4:XT$4,""),"")</f>
        <v/>
      </c>
      <c r="XX114" cm="1">
        <f t="array" ref="XX114:YG114">SUMIFS($M114:$GJ114,$M$2:$GJ$2,XX$3:YG$3)</f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 cm="1">
        <f t="array" ref="YH114">IFERROR(MAX((_xlfn.ANCHORARRAY(XX114)-AVERAGE(_xlfn.ANCHORARRAY(XX114)))/ AVERAGE(_xlfn.ANCHORARRAY(XX114))),0)</f>
        <v>0</v>
      </c>
      <c r="YI114" t="str" cm="1">
        <f t="array" ref="YI114">IF(YH114&gt;$YI$1,_xlfn.XLOOKUP(MAX(_xlfn.ANCHORARRAY(XX114)),_xlfn.ANCHORARRAY(XX114),XX$4:YG$4,""),"")</f>
        <v/>
      </c>
      <c r="YK114" t="str">
        <f t="shared" si="25"/>
        <v/>
      </c>
    </row>
    <row r="115" spans="1:661" x14ac:dyDescent="0.3">
      <c r="A115" s="2"/>
      <c r="B115" s="2" t="str">
        <f t="shared" si="26"/>
        <v>CHA</v>
      </c>
      <c r="C115" s="2" t="str">
        <f t="shared" si="16"/>
        <v>CHA</v>
      </c>
      <c r="D115" s="2" t="str">
        <f t="shared" si="27"/>
        <v>CHA</v>
      </c>
      <c r="E115" s="2" t="str">
        <f t="shared" si="17"/>
        <v/>
      </c>
      <c r="F115" s="2" t="str">
        <f t="shared" si="18"/>
        <v/>
      </c>
      <c r="G115" s="2">
        <f t="shared" si="19"/>
        <v>0</v>
      </c>
      <c r="H115" s="2">
        <f t="shared" si="20"/>
        <v>0</v>
      </c>
      <c r="I115" s="2">
        <f t="shared" si="21"/>
        <v>0</v>
      </c>
      <c r="J115" s="2">
        <f t="shared" si="22"/>
        <v>0</v>
      </c>
      <c r="K115" s="2">
        <f t="shared" si="23"/>
        <v>0</v>
      </c>
      <c r="L115" s="2">
        <f t="shared" si="24"/>
        <v>0</v>
      </c>
      <c r="XJ115" cm="1">
        <f t="array" ref="XJ115:XL115">SUMIFS($M115:$GJ115,$M$1:$GJ$1,XJ$3:XL$3)</f>
        <v>0</v>
      </c>
      <c r="XK115">
        <v>0</v>
      </c>
      <c r="XL115">
        <v>0</v>
      </c>
      <c r="XM115" cm="1">
        <f t="array" ref="XM115">IFERROR(MAX((_xlfn.ANCHORARRAY(XJ115)-AVERAGE(_xlfn.ANCHORARRAY(XJ115)))/ AVERAGE(_xlfn.ANCHORARRAY(XJ115))),0)</f>
        <v>0</v>
      </c>
      <c r="XN115" t="str" cm="1">
        <f t="array" ref="XN115">IF(XM115&gt;$XN$1,_xlfn.XLOOKUP(MAX(_xlfn.ANCHORARRAY(XJ115)),_xlfn.ANCHORARRAY(XJ115),XJ$4:XL$4,""),"")</f>
        <v/>
      </c>
      <c r="XP115" cm="1">
        <f t="array" ref="XP115:XT115">SUMIFS($M115:$GJ115,$M$3:$GJ$3,XP$3:XT$3)</f>
        <v>0</v>
      </c>
      <c r="XQ115">
        <v>0</v>
      </c>
      <c r="XR115">
        <v>0</v>
      </c>
      <c r="XS115">
        <v>0</v>
      </c>
      <c r="XT115">
        <v>0</v>
      </c>
      <c r="XU115" cm="1">
        <f t="array" ref="XU115">IFERROR(MAX((_xlfn.ANCHORARRAY(XP115)-AVERAGE(_xlfn.ANCHORARRAY(XP115)))/ AVERAGE(_xlfn.ANCHORARRAY(XP115))),0)</f>
        <v>0</v>
      </c>
      <c r="XV115" t="str" cm="1">
        <f t="array" ref="XV115">IF(AND(XU115&gt;$XV$1,XN115&lt;&gt;""),_xlfn.XLOOKUP(MAX(_xlfn.ANCHORARRAY(XP115)),_xlfn.ANCHORARRAY(XP115),XP$4:XT$4,""),"")</f>
        <v/>
      </c>
      <c r="XX115" cm="1">
        <f t="array" ref="XX115:YG115">SUMIFS($M115:$GJ115,$M$2:$GJ$2,XX$3:YG$3)</f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 cm="1">
        <f t="array" ref="YH115">IFERROR(MAX((_xlfn.ANCHORARRAY(XX115)-AVERAGE(_xlfn.ANCHORARRAY(XX115)))/ AVERAGE(_xlfn.ANCHORARRAY(XX115))),0)</f>
        <v>0</v>
      </c>
      <c r="YI115" t="str" cm="1">
        <f t="array" ref="YI115">IF(YH115&gt;$YI$1,_xlfn.XLOOKUP(MAX(_xlfn.ANCHORARRAY(XX115)),_xlfn.ANCHORARRAY(XX115),XX$4:YG$4,""),"")</f>
        <v/>
      </c>
      <c r="YK115" t="str">
        <f t="shared" si="25"/>
        <v/>
      </c>
    </row>
    <row r="116" spans="1:661" x14ac:dyDescent="0.3">
      <c r="A116" s="2"/>
      <c r="B116" s="2" t="str">
        <f t="shared" si="26"/>
        <v>CHA</v>
      </c>
      <c r="C116" s="2" t="str">
        <f t="shared" si="16"/>
        <v>CHA</v>
      </c>
      <c r="D116" s="2" t="str">
        <f t="shared" si="27"/>
        <v>CHA</v>
      </c>
      <c r="E116" s="2" t="str">
        <f t="shared" si="17"/>
        <v/>
      </c>
      <c r="F116" s="2" t="str">
        <f t="shared" si="18"/>
        <v/>
      </c>
      <c r="G116" s="2">
        <f t="shared" si="19"/>
        <v>0</v>
      </c>
      <c r="H116" s="2">
        <f t="shared" si="20"/>
        <v>0</v>
      </c>
      <c r="I116" s="2">
        <f t="shared" si="21"/>
        <v>0</v>
      </c>
      <c r="J116" s="2">
        <f t="shared" si="22"/>
        <v>0</v>
      </c>
      <c r="K116" s="2">
        <f t="shared" si="23"/>
        <v>0</v>
      </c>
      <c r="L116" s="2">
        <f t="shared" si="24"/>
        <v>0</v>
      </c>
      <c r="XJ116" cm="1">
        <f t="array" ref="XJ116:XL116">SUMIFS($M116:$GJ116,$M$1:$GJ$1,XJ$3:XL$3)</f>
        <v>0</v>
      </c>
      <c r="XK116">
        <v>0</v>
      </c>
      <c r="XL116">
        <v>0</v>
      </c>
      <c r="XM116" cm="1">
        <f t="array" ref="XM116">IFERROR(MAX((_xlfn.ANCHORARRAY(XJ116)-AVERAGE(_xlfn.ANCHORARRAY(XJ116)))/ AVERAGE(_xlfn.ANCHORARRAY(XJ116))),0)</f>
        <v>0</v>
      </c>
      <c r="XN116" t="str" cm="1">
        <f t="array" ref="XN116">IF(XM116&gt;$XN$1,_xlfn.XLOOKUP(MAX(_xlfn.ANCHORARRAY(XJ116)),_xlfn.ANCHORARRAY(XJ116),XJ$4:XL$4,""),"")</f>
        <v/>
      </c>
      <c r="XP116" cm="1">
        <f t="array" ref="XP116:XT116">SUMIFS($M116:$GJ116,$M$3:$GJ$3,XP$3:XT$3)</f>
        <v>0</v>
      </c>
      <c r="XQ116">
        <v>0</v>
      </c>
      <c r="XR116">
        <v>0</v>
      </c>
      <c r="XS116">
        <v>0</v>
      </c>
      <c r="XT116">
        <v>0</v>
      </c>
      <c r="XU116" cm="1">
        <f t="array" ref="XU116">IFERROR(MAX((_xlfn.ANCHORARRAY(XP116)-AVERAGE(_xlfn.ANCHORARRAY(XP116)))/ AVERAGE(_xlfn.ANCHORARRAY(XP116))),0)</f>
        <v>0</v>
      </c>
      <c r="XV116" t="str" cm="1">
        <f t="array" ref="XV116">IF(AND(XU116&gt;$XV$1,XN116&lt;&gt;""),_xlfn.XLOOKUP(MAX(_xlfn.ANCHORARRAY(XP116)),_xlfn.ANCHORARRAY(XP116),XP$4:XT$4,""),"")</f>
        <v/>
      </c>
      <c r="XX116" cm="1">
        <f t="array" ref="XX116:YG116">SUMIFS($M116:$GJ116,$M$2:$GJ$2,XX$3:YG$3)</f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 cm="1">
        <f t="array" ref="YH116">IFERROR(MAX((_xlfn.ANCHORARRAY(XX116)-AVERAGE(_xlfn.ANCHORARRAY(XX116)))/ AVERAGE(_xlfn.ANCHORARRAY(XX116))),0)</f>
        <v>0</v>
      </c>
      <c r="YI116" t="str" cm="1">
        <f t="array" ref="YI116">IF(YH116&gt;$YI$1,_xlfn.XLOOKUP(MAX(_xlfn.ANCHORARRAY(XX116)),_xlfn.ANCHORARRAY(XX116),XX$4:YG$4,""),"")</f>
        <v/>
      </c>
      <c r="YK116" t="str">
        <f t="shared" si="25"/>
        <v/>
      </c>
    </row>
    <row r="117" spans="1:661" x14ac:dyDescent="0.3">
      <c r="A117" s="2"/>
      <c r="B117" s="2" t="str">
        <f t="shared" si="26"/>
        <v>CHA</v>
      </c>
      <c r="C117" s="2" t="str">
        <f t="shared" si="16"/>
        <v>CHA</v>
      </c>
      <c r="D117" s="2" t="str">
        <f t="shared" si="27"/>
        <v>CHA</v>
      </c>
      <c r="E117" s="2" t="str">
        <f t="shared" si="17"/>
        <v/>
      </c>
      <c r="F117" s="2" t="str">
        <f t="shared" si="18"/>
        <v/>
      </c>
      <c r="G117" s="2">
        <f t="shared" si="19"/>
        <v>0</v>
      </c>
      <c r="H117" s="2">
        <f t="shared" si="20"/>
        <v>0</v>
      </c>
      <c r="I117" s="2">
        <f t="shared" si="21"/>
        <v>0</v>
      </c>
      <c r="J117" s="2">
        <f t="shared" si="22"/>
        <v>0</v>
      </c>
      <c r="K117" s="2">
        <f t="shared" si="23"/>
        <v>0</v>
      </c>
      <c r="L117" s="2">
        <f t="shared" si="24"/>
        <v>0</v>
      </c>
      <c r="XJ117" cm="1">
        <f t="array" ref="XJ117:XL117">SUMIFS($M117:$GJ117,$M$1:$GJ$1,XJ$3:XL$3)</f>
        <v>0</v>
      </c>
      <c r="XK117">
        <v>0</v>
      </c>
      <c r="XL117">
        <v>0</v>
      </c>
      <c r="XM117" cm="1">
        <f t="array" ref="XM117">IFERROR(MAX((_xlfn.ANCHORARRAY(XJ117)-AVERAGE(_xlfn.ANCHORARRAY(XJ117)))/ AVERAGE(_xlfn.ANCHORARRAY(XJ117))),0)</f>
        <v>0</v>
      </c>
      <c r="XN117" t="str" cm="1">
        <f t="array" ref="XN117">IF(XM117&gt;$XN$1,_xlfn.XLOOKUP(MAX(_xlfn.ANCHORARRAY(XJ117)),_xlfn.ANCHORARRAY(XJ117),XJ$4:XL$4,""),"")</f>
        <v/>
      </c>
      <c r="XP117" cm="1">
        <f t="array" ref="XP117:XT117">SUMIFS($M117:$GJ117,$M$3:$GJ$3,XP$3:XT$3)</f>
        <v>0</v>
      </c>
      <c r="XQ117">
        <v>0</v>
      </c>
      <c r="XR117">
        <v>0</v>
      </c>
      <c r="XS117">
        <v>0</v>
      </c>
      <c r="XT117">
        <v>0</v>
      </c>
      <c r="XU117" cm="1">
        <f t="array" ref="XU117">IFERROR(MAX((_xlfn.ANCHORARRAY(XP117)-AVERAGE(_xlfn.ANCHORARRAY(XP117)))/ AVERAGE(_xlfn.ANCHORARRAY(XP117))),0)</f>
        <v>0</v>
      </c>
      <c r="XV117" t="str" cm="1">
        <f t="array" ref="XV117">IF(AND(XU117&gt;$XV$1,XN117&lt;&gt;""),_xlfn.XLOOKUP(MAX(_xlfn.ANCHORARRAY(XP117)),_xlfn.ANCHORARRAY(XP117),XP$4:XT$4,""),"")</f>
        <v/>
      </c>
      <c r="XX117" cm="1">
        <f t="array" ref="XX117:YG117">SUMIFS($M117:$GJ117,$M$2:$GJ$2,XX$3:YG$3)</f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 cm="1">
        <f t="array" ref="YH117">IFERROR(MAX((_xlfn.ANCHORARRAY(XX117)-AVERAGE(_xlfn.ANCHORARRAY(XX117)))/ AVERAGE(_xlfn.ANCHORARRAY(XX117))),0)</f>
        <v>0</v>
      </c>
      <c r="YI117" t="str" cm="1">
        <f t="array" ref="YI117">IF(YH117&gt;$YI$1,_xlfn.XLOOKUP(MAX(_xlfn.ANCHORARRAY(XX117)),_xlfn.ANCHORARRAY(XX117),XX$4:YG$4,""),"")</f>
        <v/>
      </c>
      <c r="YK117" t="str">
        <f t="shared" si="25"/>
        <v/>
      </c>
    </row>
    <row r="118" spans="1:661" x14ac:dyDescent="0.3">
      <c r="A118" s="2"/>
      <c r="B118" s="2" t="str">
        <f t="shared" si="26"/>
        <v>CHA</v>
      </c>
      <c r="C118" s="2" t="str">
        <f t="shared" si="16"/>
        <v>CHA</v>
      </c>
      <c r="D118" s="2" t="str">
        <f t="shared" si="27"/>
        <v>CHA</v>
      </c>
      <c r="E118" s="2" t="str">
        <f t="shared" si="17"/>
        <v/>
      </c>
      <c r="F118" s="2" t="str">
        <f t="shared" si="18"/>
        <v/>
      </c>
      <c r="G118" s="2">
        <f t="shared" si="19"/>
        <v>0</v>
      </c>
      <c r="H118" s="2">
        <f t="shared" si="20"/>
        <v>0</v>
      </c>
      <c r="I118" s="2">
        <f t="shared" si="21"/>
        <v>0</v>
      </c>
      <c r="J118" s="2">
        <f t="shared" si="22"/>
        <v>0</v>
      </c>
      <c r="K118" s="2">
        <f t="shared" si="23"/>
        <v>0</v>
      </c>
      <c r="L118" s="2">
        <f t="shared" si="24"/>
        <v>0</v>
      </c>
      <c r="XJ118" cm="1">
        <f t="array" ref="XJ118:XL118">SUMIFS($M118:$GJ118,$M$1:$GJ$1,XJ$3:XL$3)</f>
        <v>0</v>
      </c>
      <c r="XK118">
        <v>0</v>
      </c>
      <c r="XL118">
        <v>0</v>
      </c>
      <c r="XM118" cm="1">
        <f t="array" ref="XM118">IFERROR(MAX((_xlfn.ANCHORARRAY(XJ118)-AVERAGE(_xlfn.ANCHORARRAY(XJ118)))/ AVERAGE(_xlfn.ANCHORARRAY(XJ118))),0)</f>
        <v>0</v>
      </c>
      <c r="XN118" t="str" cm="1">
        <f t="array" ref="XN118">IF(XM118&gt;$XN$1,_xlfn.XLOOKUP(MAX(_xlfn.ANCHORARRAY(XJ118)),_xlfn.ANCHORARRAY(XJ118),XJ$4:XL$4,""),"")</f>
        <v/>
      </c>
      <c r="XP118" cm="1">
        <f t="array" ref="XP118:XT118">SUMIFS($M118:$GJ118,$M$3:$GJ$3,XP$3:XT$3)</f>
        <v>0</v>
      </c>
      <c r="XQ118">
        <v>0</v>
      </c>
      <c r="XR118">
        <v>0</v>
      </c>
      <c r="XS118">
        <v>0</v>
      </c>
      <c r="XT118">
        <v>0</v>
      </c>
      <c r="XU118" cm="1">
        <f t="array" ref="XU118">IFERROR(MAX((_xlfn.ANCHORARRAY(XP118)-AVERAGE(_xlfn.ANCHORARRAY(XP118)))/ AVERAGE(_xlfn.ANCHORARRAY(XP118))),0)</f>
        <v>0</v>
      </c>
      <c r="XV118" t="str" cm="1">
        <f t="array" ref="XV118">IF(AND(XU118&gt;$XV$1,XN118&lt;&gt;""),_xlfn.XLOOKUP(MAX(_xlfn.ANCHORARRAY(XP118)),_xlfn.ANCHORARRAY(XP118),XP$4:XT$4,""),"")</f>
        <v/>
      </c>
      <c r="XX118" cm="1">
        <f t="array" ref="XX118:YG118">SUMIFS($M118:$GJ118,$M$2:$GJ$2,XX$3:YG$3)</f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 cm="1">
        <f t="array" ref="YH118">IFERROR(MAX((_xlfn.ANCHORARRAY(XX118)-AVERAGE(_xlfn.ANCHORARRAY(XX118)))/ AVERAGE(_xlfn.ANCHORARRAY(XX118))),0)</f>
        <v>0</v>
      </c>
      <c r="YI118" t="str" cm="1">
        <f t="array" ref="YI118">IF(YH118&gt;$YI$1,_xlfn.XLOOKUP(MAX(_xlfn.ANCHORARRAY(XX118)),_xlfn.ANCHORARRAY(XX118),XX$4:YG$4,""),"")</f>
        <v/>
      </c>
      <c r="YK118" t="str">
        <f t="shared" si="25"/>
        <v/>
      </c>
    </row>
    <row r="119" spans="1:661" x14ac:dyDescent="0.3">
      <c r="A119" s="2"/>
      <c r="B119" s="2" t="str">
        <f t="shared" si="26"/>
        <v>CHA</v>
      </c>
      <c r="C119" s="2" t="str">
        <f t="shared" si="16"/>
        <v>CHA</v>
      </c>
      <c r="D119" s="2" t="str">
        <f t="shared" si="27"/>
        <v>CHA</v>
      </c>
      <c r="E119" s="2" t="str">
        <f t="shared" si="17"/>
        <v/>
      </c>
      <c r="F119" s="2" t="str">
        <f t="shared" si="18"/>
        <v/>
      </c>
      <c r="G119" s="2">
        <f t="shared" si="19"/>
        <v>0</v>
      </c>
      <c r="H119" s="2">
        <f t="shared" si="20"/>
        <v>0</v>
      </c>
      <c r="I119" s="2">
        <f t="shared" si="21"/>
        <v>0</v>
      </c>
      <c r="J119" s="2">
        <f t="shared" si="22"/>
        <v>0</v>
      </c>
      <c r="K119" s="2">
        <f t="shared" si="23"/>
        <v>0</v>
      </c>
      <c r="L119" s="2">
        <f t="shared" si="24"/>
        <v>0</v>
      </c>
      <c r="XJ119" cm="1">
        <f t="array" ref="XJ119:XL119">SUMIFS($M119:$GJ119,$M$1:$GJ$1,XJ$3:XL$3)</f>
        <v>0</v>
      </c>
      <c r="XK119">
        <v>0</v>
      </c>
      <c r="XL119">
        <v>0</v>
      </c>
      <c r="XM119" cm="1">
        <f t="array" ref="XM119">IFERROR(MAX((_xlfn.ANCHORARRAY(XJ119)-AVERAGE(_xlfn.ANCHORARRAY(XJ119)))/ AVERAGE(_xlfn.ANCHORARRAY(XJ119))),0)</f>
        <v>0</v>
      </c>
      <c r="XN119" t="str" cm="1">
        <f t="array" ref="XN119">IF(XM119&gt;$XN$1,_xlfn.XLOOKUP(MAX(_xlfn.ANCHORARRAY(XJ119)),_xlfn.ANCHORARRAY(XJ119),XJ$4:XL$4,""),"")</f>
        <v/>
      </c>
      <c r="XP119" cm="1">
        <f t="array" ref="XP119:XT119">SUMIFS($M119:$GJ119,$M$3:$GJ$3,XP$3:XT$3)</f>
        <v>0</v>
      </c>
      <c r="XQ119">
        <v>0</v>
      </c>
      <c r="XR119">
        <v>0</v>
      </c>
      <c r="XS119">
        <v>0</v>
      </c>
      <c r="XT119">
        <v>0</v>
      </c>
      <c r="XU119" cm="1">
        <f t="array" ref="XU119">IFERROR(MAX((_xlfn.ANCHORARRAY(XP119)-AVERAGE(_xlfn.ANCHORARRAY(XP119)))/ AVERAGE(_xlfn.ANCHORARRAY(XP119))),0)</f>
        <v>0</v>
      </c>
      <c r="XV119" t="str" cm="1">
        <f t="array" ref="XV119">IF(AND(XU119&gt;$XV$1,XN119&lt;&gt;""),_xlfn.XLOOKUP(MAX(_xlfn.ANCHORARRAY(XP119)),_xlfn.ANCHORARRAY(XP119),XP$4:XT$4,""),"")</f>
        <v/>
      </c>
      <c r="XX119" cm="1">
        <f t="array" ref="XX119:YG119">SUMIFS($M119:$GJ119,$M$2:$GJ$2,XX$3:YG$3)</f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 cm="1">
        <f t="array" ref="YH119">IFERROR(MAX((_xlfn.ANCHORARRAY(XX119)-AVERAGE(_xlfn.ANCHORARRAY(XX119)))/ AVERAGE(_xlfn.ANCHORARRAY(XX119))),0)</f>
        <v>0</v>
      </c>
      <c r="YI119" t="str" cm="1">
        <f t="array" ref="YI119">IF(YH119&gt;$YI$1,_xlfn.XLOOKUP(MAX(_xlfn.ANCHORARRAY(XX119)),_xlfn.ANCHORARRAY(XX119),XX$4:YG$4,""),"")</f>
        <v/>
      </c>
      <c r="YK119" t="str">
        <f t="shared" si="25"/>
        <v/>
      </c>
    </row>
    <row r="120" spans="1:661" x14ac:dyDescent="0.3">
      <c r="A120" s="2"/>
      <c r="B120" s="2" t="str">
        <f t="shared" si="26"/>
        <v>CHA</v>
      </c>
      <c r="C120" s="2" t="str">
        <f t="shared" si="16"/>
        <v>CHA</v>
      </c>
      <c r="D120" s="2" t="str">
        <f t="shared" si="27"/>
        <v>CHA</v>
      </c>
      <c r="E120" s="2" t="str">
        <f t="shared" si="17"/>
        <v/>
      </c>
      <c r="F120" s="2" t="str">
        <f t="shared" si="18"/>
        <v/>
      </c>
      <c r="G120" s="2">
        <f t="shared" si="19"/>
        <v>0</v>
      </c>
      <c r="H120" s="2">
        <f t="shared" si="20"/>
        <v>0</v>
      </c>
      <c r="I120" s="2">
        <f t="shared" si="21"/>
        <v>0</v>
      </c>
      <c r="J120" s="2">
        <f t="shared" si="22"/>
        <v>0</v>
      </c>
      <c r="K120" s="2">
        <f t="shared" si="23"/>
        <v>0</v>
      </c>
      <c r="L120" s="2">
        <f t="shared" si="24"/>
        <v>0</v>
      </c>
      <c r="XJ120" cm="1">
        <f t="array" ref="XJ120:XL120">SUMIFS($M120:$GJ120,$M$1:$GJ$1,XJ$3:XL$3)</f>
        <v>0</v>
      </c>
      <c r="XK120">
        <v>0</v>
      </c>
      <c r="XL120">
        <v>0</v>
      </c>
      <c r="XM120" cm="1">
        <f t="array" ref="XM120">IFERROR(MAX((_xlfn.ANCHORARRAY(XJ120)-AVERAGE(_xlfn.ANCHORARRAY(XJ120)))/ AVERAGE(_xlfn.ANCHORARRAY(XJ120))),0)</f>
        <v>0</v>
      </c>
      <c r="XN120" t="str" cm="1">
        <f t="array" ref="XN120">IF(XM120&gt;$XN$1,_xlfn.XLOOKUP(MAX(_xlfn.ANCHORARRAY(XJ120)),_xlfn.ANCHORARRAY(XJ120),XJ$4:XL$4,""),"")</f>
        <v/>
      </c>
      <c r="XP120" cm="1">
        <f t="array" ref="XP120:XT120">SUMIFS($M120:$GJ120,$M$3:$GJ$3,XP$3:XT$3)</f>
        <v>0</v>
      </c>
      <c r="XQ120">
        <v>0</v>
      </c>
      <c r="XR120">
        <v>0</v>
      </c>
      <c r="XS120">
        <v>0</v>
      </c>
      <c r="XT120">
        <v>0</v>
      </c>
      <c r="XU120" cm="1">
        <f t="array" ref="XU120">IFERROR(MAX((_xlfn.ANCHORARRAY(XP120)-AVERAGE(_xlfn.ANCHORARRAY(XP120)))/ AVERAGE(_xlfn.ANCHORARRAY(XP120))),0)</f>
        <v>0</v>
      </c>
      <c r="XV120" t="str" cm="1">
        <f t="array" ref="XV120">IF(AND(XU120&gt;$XV$1,XN120&lt;&gt;""),_xlfn.XLOOKUP(MAX(_xlfn.ANCHORARRAY(XP120)),_xlfn.ANCHORARRAY(XP120),XP$4:XT$4,""),"")</f>
        <v/>
      </c>
      <c r="XX120" cm="1">
        <f t="array" ref="XX120:YG120">SUMIFS($M120:$GJ120,$M$2:$GJ$2,XX$3:YG$3)</f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 cm="1">
        <f t="array" ref="YH120">IFERROR(MAX((_xlfn.ANCHORARRAY(XX120)-AVERAGE(_xlfn.ANCHORARRAY(XX120)))/ AVERAGE(_xlfn.ANCHORARRAY(XX120))),0)</f>
        <v>0</v>
      </c>
      <c r="YI120" t="str" cm="1">
        <f t="array" ref="YI120">IF(YH120&gt;$YI$1,_xlfn.XLOOKUP(MAX(_xlfn.ANCHORARRAY(XX120)),_xlfn.ANCHORARRAY(XX120),XX$4:YG$4,""),"")</f>
        <v/>
      </c>
      <c r="YK120" t="str">
        <f t="shared" si="25"/>
        <v/>
      </c>
    </row>
    <row r="121" spans="1:661" x14ac:dyDescent="0.3">
      <c r="A121" s="2"/>
      <c r="B121" s="2" t="str">
        <f t="shared" si="26"/>
        <v>CHA</v>
      </c>
      <c r="C121" s="2" t="str">
        <f t="shared" si="16"/>
        <v>CHA</v>
      </c>
      <c r="D121" s="2" t="str">
        <f t="shared" si="27"/>
        <v>CHA</v>
      </c>
      <c r="E121" s="2" t="str">
        <f t="shared" si="17"/>
        <v/>
      </c>
      <c r="F121" s="2" t="str">
        <f t="shared" si="18"/>
        <v/>
      </c>
      <c r="G121" s="2">
        <f t="shared" si="19"/>
        <v>0</v>
      </c>
      <c r="H121" s="2">
        <f t="shared" si="20"/>
        <v>0</v>
      </c>
      <c r="I121" s="2">
        <f t="shared" si="21"/>
        <v>0</v>
      </c>
      <c r="J121" s="2">
        <f t="shared" si="22"/>
        <v>0</v>
      </c>
      <c r="K121" s="2">
        <f t="shared" si="23"/>
        <v>0</v>
      </c>
      <c r="L121" s="2">
        <f t="shared" si="24"/>
        <v>0</v>
      </c>
      <c r="XJ121" cm="1">
        <f t="array" ref="XJ121:XL121">SUMIFS($M121:$GJ121,$M$1:$GJ$1,XJ$3:XL$3)</f>
        <v>0</v>
      </c>
      <c r="XK121">
        <v>0</v>
      </c>
      <c r="XL121">
        <v>0</v>
      </c>
      <c r="XM121" cm="1">
        <f t="array" ref="XM121">IFERROR(MAX((_xlfn.ANCHORARRAY(XJ121)-AVERAGE(_xlfn.ANCHORARRAY(XJ121)))/ AVERAGE(_xlfn.ANCHORARRAY(XJ121))),0)</f>
        <v>0</v>
      </c>
      <c r="XN121" t="str" cm="1">
        <f t="array" ref="XN121">IF(XM121&gt;$XN$1,_xlfn.XLOOKUP(MAX(_xlfn.ANCHORARRAY(XJ121)),_xlfn.ANCHORARRAY(XJ121),XJ$4:XL$4,""),"")</f>
        <v/>
      </c>
      <c r="XP121" cm="1">
        <f t="array" ref="XP121:XT121">SUMIFS($M121:$GJ121,$M$3:$GJ$3,XP$3:XT$3)</f>
        <v>0</v>
      </c>
      <c r="XQ121">
        <v>0</v>
      </c>
      <c r="XR121">
        <v>0</v>
      </c>
      <c r="XS121">
        <v>0</v>
      </c>
      <c r="XT121">
        <v>0</v>
      </c>
      <c r="XU121" cm="1">
        <f t="array" ref="XU121">IFERROR(MAX((_xlfn.ANCHORARRAY(XP121)-AVERAGE(_xlfn.ANCHORARRAY(XP121)))/ AVERAGE(_xlfn.ANCHORARRAY(XP121))),0)</f>
        <v>0</v>
      </c>
      <c r="XV121" t="str" cm="1">
        <f t="array" ref="XV121">IF(AND(XU121&gt;$XV$1,XN121&lt;&gt;""),_xlfn.XLOOKUP(MAX(_xlfn.ANCHORARRAY(XP121)),_xlfn.ANCHORARRAY(XP121),XP$4:XT$4,""),"")</f>
        <v/>
      </c>
      <c r="XX121" cm="1">
        <f t="array" ref="XX121:YG121">SUMIFS($M121:$GJ121,$M$2:$GJ$2,XX$3:YG$3)</f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 cm="1">
        <f t="array" ref="YH121">IFERROR(MAX((_xlfn.ANCHORARRAY(XX121)-AVERAGE(_xlfn.ANCHORARRAY(XX121)))/ AVERAGE(_xlfn.ANCHORARRAY(XX121))),0)</f>
        <v>0</v>
      </c>
      <c r="YI121" t="str" cm="1">
        <f t="array" ref="YI121">IF(YH121&gt;$YI$1,_xlfn.XLOOKUP(MAX(_xlfn.ANCHORARRAY(XX121)),_xlfn.ANCHORARRAY(XX121),XX$4:YG$4,""),"")</f>
        <v/>
      </c>
      <c r="YK121" t="str">
        <f t="shared" si="25"/>
        <v/>
      </c>
    </row>
    <row r="122" spans="1:661" x14ac:dyDescent="0.3">
      <c r="A122" s="2"/>
      <c r="B122" s="2" t="str">
        <f t="shared" si="26"/>
        <v>CHA</v>
      </c>
      <c r="C122" s="2" t="str">
        <f t="shared" si="16"/>
        <v>CHA</v>
      </c>
      <c r="D122" s="2" t="str">
        <f t="shared" si="27"/>
        <v>CHA</v>
      </c>
      <c r="E122" s="2" t="str">
        <f t="shared" si="17"/>
        <v/>
      </c>
      <c r="F122" s="2" t="str">
        <f t="shared" si="18"/>
        <v/>
      </c>
      <c r="G122" s="2">
        <f t="shared" si="19"/>
        <v>0</v>
      </c>
      <c r="H122" s="2">
        <f t="shared" si="20"/>
        <v>0</v>
      </c>
      <c r="I122" s="2">
        <f t="shared" si="21"/>
        <v>0</v>
      </c>
      <c r="J122" s="2">
        <f t="shared" si="22"/>
        <v>0</v>
      </c>
      <c r="K122" s="2">
        <f t="shared" si="23"/>
        <v>0</v>
      </c>
      <c r="L122" s="2">
        <f t="shared" si="24"/>
        <v>0</v>
      </c>
      <c r="XJ122" cm="1">
        <f t="array" ref="XJ122:XL122">SUMIFS($M122:$GJ122,$M$1:$GJ$1,XJ$3:XL$3)</f>
        <v>0</v>
      </c>
      <c r="XK122">
        <v>0</v>
      </c>
      <c r="XL122">
        <v>0</v>
      </c>
      <c r="XM122" cm="1">
        <f t="array" ref="XM122">IFERROR(MAX((_xlfn.ANCHORARRAY(XJ122)-AVERAGE(_xlfn.ANCHORARRAY(XJ122)))/ AVERAGE(_xlfn.ANCHORARRAY(XJ122))),0)</f>
        <v>0</v>
      </c>
      <c r="XN122" t="str" cm="1">
        <f t="array" ref="XN122">IF(XM122&gt;$XN$1,_xlfn.XLOOKUP(MAX(_xlfn.ANCHORARRAY(XJ122)),_xlfn.ANCHORARRAY(XJ122),XJ$4:XL$4,""),"")</f>
        <v/>
      </c>
      <c r="XP122" cm="1">
        <f t="array" ref="XP122:XT122">SUMIFS($M122:$GJ122,$M$3:$GJ$3,XP$3:XT$3)</f>
        <v>0</v>
      </c>
      <c r="XQ122">
        <v>0</v>
      </c>
      <c r="XR122">
        <v>0</v>
      </c>
      <c r="XS122">
        <v>0</v>
      </c>
      <c r="XT122">
        <v>0</v>
      </c>
      <c r="XU122" cm="1">
        <f t="array" ref="XU122">IFERROR(MAX((_xlfn.ANCHORARRAY(XP122)-AVERAGE(_xlfn.ANCHORARRAY(XP122)))/ AVERAGE(_xlfn.ANCHORARRAY(XP122))),0)</f>
        <v>0</v>
      </c>
      <c r="XV122" t="str" cm="1">
        <f t="array" ref="XV122">IF(AND(XU122&gt;$XV$1,XN122&lt;&gt;""),_xlfn.XLOOKUP(MAX(_xlfn.ANCHORARRAY(XP122)),_xlfn.ANCHORARRAY(XP122),XP$4:XT$4,""),"")</f>
        <v/>
      </c>
      <c r="XX122" cm="1">
        <f t="array" ref="XX122:YG122">SUMIFS($M122:$GJ122,$M$2:$GJ$2,XX$3:YG$3)</f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 cm="1">
        <f t="array" ref="YH122">IFERROR(MAX((_xlfn.ANCHORARRAY(XX122)-AVERAGE(_xlfn.ANCHORARRAY(XX122)))/ AVERAGE(_xlfn.ANCHORARRAY(XX122))),0)</f>
        <v>0</v>
      </c>
      <c r="YI122" t="str" cm="1">
        <f t="array" ref="YI122">IF(YH122&gt;$YI$1,_xlfn.XLOOKUP(MAX(_xlfn.ANCHORARRAY(XX122)),_xlfn.ANCHORARRAY(XX122),XX$4:YG$4,""),"")</f>
        <v/>
      </c>
      <c r="YK122" t="str">
        <f t="shared" si="25"/>
        <v/>
      </c>
    </row>
    <row r="123" spans="1:661" x14ac:dyDescent="0.3">
      <c r="A123" s="2"/>
      <c r="B123" s="2" t="str">
        <f t="shared" si="26"/>
        <v>CHA</v>
      </c>
      <c r="C123" s="2" t="str">
        <f t="shared" si="16"/>
        <v>CHA</v>
      </c>
      <c r="D123" s="2" t="str">
        <f t="shared" si="27"/>
        <v>CHA</v>
      </c>
      <c r="E123" s="2" t="str">
        <f t="shared" si="17"/>
        <v/>
      </c>
      <c r="F123" s="2" t="str">
        <f t="shared" si="18"/>
        <v/>
      </c>
      <c r="G123" s="2">
        <f t="shared" si="19"/>
        <v>0</v>
      </c>
      <c r="H123" s="2">
        <f t="shared" si="20"/>
        <v>0</v>
      </c>
      <c r="I123" s="2">
        <f t="shared" si="21"/>
        <v>0</v>
      </c>
      <c r="J123" s="2">
        <f t="shared" si="22"/>
        <v>0</v>
      </c>
      <c r="K123" s="2">
        <f t="shared" si="23"/>
        <v>0</v>
      </c>
      <c r="L123" s="2">
        <f t="shared" si="24"/>
        <v>0</v>
      </c>
      <c r="XJ123" cm="1">
        <f t="array" ref="XJ123:XL123">SUMIFS($M123:$GJ123,$M$1:$GJ$1,XJ$3:XL$3)</f>
        <v>0</v>
      </c>
      <c r="XK123">
        <v>0</v>
      </c>
      <c r="XL123">
        <v>0</v>
      </c>
      <c r="XM123" cm="1">
        <f t="array" ref="XM123">IFERROR(MAX((_xlfn.ANCHORARRAY(XJ123)-AVERAGE(_xlfn.ANCHORARRAY(XJ123)))/ AVERAGE(_xlfn.ANCHORARRAY(XJ123))),0)</f>
        <v>0</v>
      </c>
      <c r="XN123" t="str" cm="1">
        <f t="array" ref="XN123">IF(XM123&gt;$XN$1,_xlfn.XLOOKUP(MAX(_xlfn.ANCHORARRAY(XJ123)),_xlfn.ANCHORARRAY(XJ123),XJ$4:XL$4,""),"")</f>
        <v/>
      </c>
      <c r="XP123" cm="1">
        <f t="array" ref="XP123:XT123">SUMIFS($M123:$GJ123,$M$3:$GJ$3,XP$3:XT$3)</f>
        <v>0</v>
      </c>
      <c r="XQ123">
        <v>0</v>
      </c>
      <c r="XR123">
        <v>0</v>
      </c>
      <c r="XS123">
        <v>0</v>
      </c>
      <c r="XT123">
        <v>0</v>
      </c>
      <c r="XU123" cm="1">
        <f t="array" ref="XU123">IFERROR(MAX((_xlfn.ANCHORARRAY(XP123)-AVERAGE(_xlfn.ANCHORARRAY(XP123)))/ AVERAGE(_xlfn.ANCHORARRAY(XP123))),0)</f>
        <v>0</v>
      </c>
      <c r="XV123" t="str" cm="1">
        <f t="array" ref="XV123">IF(AND(XU123&gt;$XV$1,XN123&lt;&gt;""),_xlfn.XLOOKUP(MAX(_xlfn.ANCHORARRAY(XP123)),_xlfn.ANCHORARRAY(XP123),XP$4:XT$4,""),"")</f>
        <v/>
      </c>
      <c r="XX123" cm="1">
        <f t="array" ref="XX123:YG123">SUMIFS($M123:$GJ123,$M$2:$GJ$2,XX$3:YG$3)</f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 cm="1">
        <f t="array" ref="YH123">IFERROR(MAX((_xlfn.ANCHORARRAY(XX123)-AVERAGE(_xlfn.ANCHORARRAY(XX123)))/ AVERAGE(_xlfn.ANCHORARRAY(XX123))),0)</f>
        <v>0</v>
      </c>
      <c r="YI123" t="str" cm="1">
        <f t="array" ref="YI123">IF(YH123&gt;$YI$1,_xlfn.XLOOKUP(MAX(_xlfn.ANCHORARRAY(XX123)),_xlfn.ANCHORARRAY(XX123),XX$4:YG$4,""),"")</f>
        <v/>
      </c>
      <c r="YK123" t="str">
        <f t="shared" si="25"/>
        <v/>
      </c>
    </row>
    <row r="124" spans="1:661" x14ac:dyDescent="0.3">
      <c r="A124" s="2"/>
      <c r="B124" s="2" t="str">
        <f t="shared" si="26"/>
        <v>CHA</v>
      </c>
      <c r="C124" s="2" t="str">
        <f t="shared" si="16"/>
        <v>CHA</v>
      </c>
      <c r="D124" s="2" t="str">
        <f t="shared" si="27"/>
        <v>CHA</v>
      </c>
      <c r="E124" s="2" t="str">
        <f t="shared" si="17"/>
        <v/>
      </c>
      <c r="F124" s="2" t="str">
        <f t="shared" si="18"/>
        <v/>
      </c>
      <c r="G124" s="2">
        <f t="shared" si="19"/>
        <v>0</v>
      </c>
      <c r="H124" s="2">
        <f t="shared" si="20"/>
        <v>0</v>
      </c>
      <c r="I124" s="2">
        <f t="shared" si="21"/>
        <v>0</v>
      </c>
      <c r="J124" s="2">
        <f t="shared" si="22"/>
        <v>0</v>
      </c>
      <c r="K124" s="2">
        <f t="shared" si="23"/>
        <v>0</v>
      </c>
      <c r="L124" s="2">
        <f t="shared" si="24"/>
        <v>0</v>
      </c>
      <c r="XJ124" cm="1">
        <f t="array" ref="XJ124:XL124">SUMIFS($M124:$GJ124,$M$1:$GJ$1,XJ$3:XL$3)</f>
        <v>0</v>
      </c>
      <c r="XK124">
        <v>0</v>
      </c>
      <c r="XL124">
        <v>0</v>
      </c>
      <c r="XM124" cm="1">
        <f t="array" ref="XM124">IFERROR(MAX((_xlfn.ANCHORARRAY(XJ124)-AVERAGE(_xlfn.ANCHORARRAY(XJ124)))/ AVERAGE(_xlfn.ANCHORARRAY(XJ124))),0)</f>
        <v>0</v>
      </c>
      <c r="XN124" t="str" cm="1">
        <f t="array" ref="XN124">IF(XM124&gt;$XN$1,_xlfn.XLOOKUP(MAX(_xlfn.ANCHORARRAY(XJ124)),_xlfn.ANCHORARRAY(XJ124),XJ$4:XL$4,""),"")</f>
        <v/>
      </c>
      <c r="XP124" cm="1">
        <f t="array" ref="XP124:XT124">SUMIFS($M124:$GJ124,$M$3:$GJ$3,XP$3:XT$3)</f>
        <v>0</v>
      </c>
      <c r="XQ124">
        <v>0</v>
      </c>
      <c r="XR124">
        <v>0</v>
      </c>
      <c r="XS124">
        <v>0</v>
      </c>
      <c r="XT124">
        <v>0</v>
      </c>
      <c r="XU124" cm="1">
        <f t="array" ref="XU124">IFERROR(MAX((_xlfn.ANCHORARRAY(XP124)-AVERAGE(_xlfn.ANCHORARRAY(XP124)))/ AVERAGE(_xlfn.ANCHORARRAY(XP124))),0)</f>
        <v>0</v>
      </c>
      <c r="XV124" t="str" cm="1">
        <f t="array" ref="XV124">IF(AND(XU124&gt;$XV$1,XN124&lt;&gt;""),_xlfn.XLOOKUP(MAX(_xlfn.ANCHORARRAY(XP124)),_xlfn.ANCHORARRAY(XP124),XP$4:XT$4,""),"")</f>
        <v/>
      </c>
      <c r="XX124" cm="1">
        <f t="array" ref="XX124:YG124">SUMIFS($M124:$GJ124,$M$2:$GJ$2,XX$3:YG$3)</f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 cm="1">
        <f t="array" ref="YH124">IFERROR(MAX((_xlfn.ANCHORARRAY(XX124)-AVERAGE(_xlfn.ANCHORARRAY(XX124)))/ AVERAGE(_xlfn.ANCHORARRAY(XX124))),0)</f>
        <v>0</v>
      </c>
      <c r="YI124" t="str" cm="1">
        <f t="array" ref="YI124">IF(YH124&gt;$YI$1,_xlfn.XLOOKUP(MAX(_xlfn.ANCHORARRAY(XX124)),_xlfn.ANCHORARRAY(XX124),XX$4:YG$4,""),"")</f>
        <v/>
      </c>
      <c r="YK124" t="str">
        <f t="shared" si="25"/>
        <v/>
      </c>
    </row>
    <row r="125" spans="1:661" x14ac:dyDescent="0.3">
      <c r="A125" s="2"/>
      <c r="B125" s="2" t="str">
        <f t="shared" si="26"/>
        <v>CHA</v>
      </c>
      <c r="C125" s="2" t="str">
        <f t="shared" si="16"/>
        <v>CHA</v>
      </c>
      <c r="D125" s="2" t="str">
        <f t="shared" si="27"/>
        <v>CHA</v>
      </c>
      <c r="E125" s="2" t="str">
        <f t="shared" si="17"/>
        <v/>
      </c>
      <c r="F125" s="2" t="str">
        <f t="shared" si="18"/>
        <v/>
      </c>
      <c r="G125" s="2">
        <f t="shared" si="19"/>
        <v>0</v>
      </c>
      <c r="H125" s="2">
        <f t="shared" si="20"/>
        <v>0</v>
      </c>
      <c r="I125" s="2">
        <f t="shared" si="21"/>
        <v>0</v>
      </c>
      <c r="J125" s="2">
        <f t="shared" si="22"/>
        <v>0</v>
      </c>
      <c r="K125" s="2">
        <f t="shared" si="23"/>
        <v>0</v>
      </c>
      <c r="L125" s="2">
        <f t="shared" si="24"/>
        <v>0</v>
      </c>
      <c r="XJ125" cm="1">
        <f t="array" ref="XJ125:XL125">SUMIFS($M125:$GJ125,$M$1:$GJ$1,XJ$3:XL$3)</f>
        <v>0</v>
      </c>
      <c r="XK125">
        <v>0</v>
      </c>
      <c r="XL125">
        <v>0</v>
      </c>
      <c r="XM125" cm="1">
        <f t="array" ref="XM125">IFERROR(MAX((_xlfn.ANCHORARRAY(XJ125)-AVERAGE(_xlfn.ANCHORARRAY(XJ125)))/ AVERAGE(_xlfn.ANCHORARRAY(XJ125))),0)</f>
        <v>0</v>
      </c>
      <c r="XN125" t="str" cm="1">
        <f t="array" ref="XN125">IF(XM125&gt;$XN$1,_xlfn.XLOOKUP(MAX(_xlfn.ANCHORARRAY(XJ125)),_xlfn.ANCHORARRAY(XJ125),XJ$4:XL$4,""),"")</f>
        <v/>
      </c>
      <c r="XP125" cm="1">
        <f t="array" ref="XP125:XT125">SUMIFS($M125:$GJ125,$M$3:$GJ$3,XP$3:XT$3)</f>
        <v>0</v>
      </c>
      <c r="XQ125">
        <v>0</v>
      </c>
      <c r="XR125">
        <v>0</v>
      </c>
      <c r="XS125">
        <v>0</v>
      </c>
      <c r="XT125">
        <v>0</v>
      </c>
      <c r="XU125" cm="1">
        <f t="array" ref="XU125">IFERROR(MAX((_xlfn.ANCHORARRAY(XP125)-AVERAGE(_xlfn.ANCHORARRAY(XP125)))/ AVERAGE(_xlfn.ANCHORARRAY(XP125))),0)</f>
        <v>0</v>
      </c>
      <c r="XV125" t="str" cm="1">
        <f t="array" ref="XV125">IF(AND(XU125&gt;$XV$1,XN125&lt;&gt;""),_xlfn.XLOOKUP(MAX(_xlfn.ANCHORARRAY(XP125)),_xlfn.ANCHORARRAY(XP125),XP$4:XT$4,""),"")</f>
        <v/>
      </c>
      <c r="XX125" cm="1">
        <f t="array" ref="XX125:YG125">SUMIFS($M125:$GJ125,$M$2:$GJ$2,XX$3:YG$3)</f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 cm="1">
        <f t="array" ref="YH125">IFERROR(MAX((_xlfn.ANCHORARRAY(XX125)-AVERAGE(_xlfn.ANCHORARRAY(XX125)))/ AVERAGE(_xlfn.ANCHORARRAY(XX125))),0)</f>
        <v>0</v>
      </c>
      <c r="YI125" t="str" cm="1">
        <f t="array" ref="YI125">IF(YH125&gt;$YI$1,_xlfn.XLOOKUP(MAX(_xlfn.ANCHORARRAY(XX125)),_xlfn.ANCHORARRAY(XX125),XX$4:YG$4,""),"")</f>
        <v/>
      </c>
      <c r="YK125" t="str">
        <f t="shared" si="25"/>
        <v/>
      </c>
    </row>
    <row r="126" spans="1:661" x14ac:dyDescent="0.3">
      <c r="A126" s="2"/>
      <c r="B126" s="2" t="str">
        <f t="shared" si="26"/>
        <v>CHA</v>
      </c>
      <c r="C126" s="2" t="str">
        <f t="shared" si="16"/>
        <v>CHA</v>
      </c>
      <c r="D126" s="2" t="str">
        <f t="shared" si="27"/>
        <v>CHA</v>
      </c>
      <c r="E126" s="2" t="str">
        <f t="shared" si="17"/>
        <v/>
      </c>
      <c r="F126" s="2" t="str">
        <f t="shared" si="18"/>
        <v/>
      </c>
      <c r="G126" s="2">
        <f t="shared" si="19"/>
        <v>0</v>
      </c>
      <c r="H126" s="2">
        <f t="shared" si="20"/>
        <v>0</v>
      </c>
      <c r="I126" s="2">
        <f t="shared" si="21"/>
        <v>0</v>
      </c>
      <c r="J126" s="2">
        <f t="shared" si="22"/>
        <v>0</v>
      </c>
      <c r="K126" s="2">
        <f t="shared" si="23"/>
        <v>0</v>
      </c>
      <c r="L126" s="2">
        <f t="shared" si="24"/>
        <v>0</v>
      </c>
      <c r="XJ126" cm="1">
        <f t="array" ref="XJ126:XL126">SUMIFS($M126:$GJ126,$M$1:$GJ$1,XJ$3:XL$3)</f>
        <v>0</v>
      </c>
      <c r="XK126">
        <v>0</v>
      </c>
      <c r="XL126">
        <v>0</v>
      </c>
      <c r="XM126" cm="1">
        <f t="array" ref="XM126">IFERROR(MAX((_xlfn.ANCHORARRAY(XJ126)-AVERAGE(_xlfn.ANCHORARRAY(XJ126)))/ AVERAGE(_xlfn.ANCHORARRAY(XJ126))),0)</f>
        <v>0</v>
      </c>
      <c r="XN126" t="str" cm="1">
        <f t="array" ref="XN126">IF(XM126&gt;$XN$1,_xlfn.XLOOKUP(MAX(_xlfn.ANCHORARRAY(XJ126)),_xlfn.ANCHORARRAY(XJ126),XJ$4:XL$4,""),"")</f>
        <v/>
      </c>
      <c r="XP126" cm="1">
        <f t="array" ref="XP126:XT126">SUMIFS($M126:$GJ126,$M$3:$GJ$3,XP$3:XT$3)</f>
        <v>0</v>
      </c>
      <c r="XQ126">
        <v>0</v>
      </c>
      <c r="XR126">
        <v>0</v>
      </c>
      <c r="XS126">
        <v>0</v>
      </c>
      <c r="XT126">
        <v>0</v>
      </c>
      <c r="XU126" cm="1">
        <f t="array" ref="XU126">IFERROR(MAX((_xlfn.ANCHORARRAY(XP126)-AVERAGE(_xlfn.ANCHORARRAY(XP126)))/ AVERAGE(_xlfn.ANCHORARRAY(XP126))),0)</f>
        <v>0</v>
      </c>
      <c r="XV126" t="str" cm="1">
        <f t="array" ref="XV126">IF(AND(XU126&gt;$XV$1,XN126&lt;&gt;""),_xlfn.XLOOKUP(MAX(_xlfn.ANCHORARRAY(XP126)),_xlfn.ANCHORARRAY(XP126),XP$4:XT$4,""),"")</f>
        <v/>
      </c>
      <c r="XX126" cm="1">
        <f t="array" ref="XX126:YG126">SUMIFS($M126:$GJ126,$M$2:$GJ$2,XX$3:YG$3)</f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 cm="1">
        <f t="array" ref="YH126">IFERROR(MAX((_xlfn.ANCHORARRAY(XX126)-AVERAGE(_xlfn.ANCHORARRAY(XX126)))/ AVERAGE(_xlfn.ANCHORARRAY(XX126))),0)</f>
        <v>0</v>
      </c>
      <c r="YI126" t="str" cm="1">
        <f t="array" ref="YI126">IF(YH126&gt;$YI$1,_xlfn.XLOOKUP(MAX(_xlfn.ANCHORARRAY(XX126)),_xlfn.ANCHORARRAY(XX126),XX$4:YG$4,""),"")</f>
        <v/>
      </c>
      <c r="YK126" t="str">
        <f t="shared" si="25"/>
        <v/>
      </c>
    </row>
    <row r="127" spans="1:661" x14ac:dyDescent="0.3">
      <c r="A127" s="2"/>
      <c r="B127" s="2" t="str">
        <f t="shared" si="26"/>
        <v>CHA</v>
      </c>
      <c r="C127" s="2" t="str">
        <f t="shared" si="16"/>
        <v>CHA</v>
      </c>
      <c r="D127" s="2" t="str">
        <f t="shared" si="27"/>
        <v>CHA</v>
      </c>
      <c r="E127" s="2" t="str">
        <f t="shared" si="17"/>
        <v/>
      </c>
      <c r="F127" s="2" t="str">
        <f t="shared" si="18"/>
        <v/>
      </c>
      <c r="G127" s="2">
        <f t="shared" si="19"/>
        <v>0</v>
      </c>
      <c r="H127" s="2">
        <f t="shared" si="20"/>
        <v>0</v>
      </c>
      <c r="I127" s="2">
        <f t="shared" si="21"/>
        <v>0</v>
      </c>
      <c r="J127" s="2">
        <f t="shared" si="22"/>
        <v>0</v>
      </c>
      <c r="K127" s="2">
        <f t="shared" si="23"/>
        <v>0</v>
      </c>
      <c r="L127" s="2">
        <f t="shared" si="24"/>
        <v>0</v>
      </c>
      <c r="XJ127" cm="1">
        <f t="array" ref="XJ127:XL127">SUMIFS($M127:$GJ127,$M$1:$GJ$1,XJ$3:XL$3)</f>
        <v>0</v>
      </c>
      <c r="XK127">
        <v>0</v>
      </c>
      <c r="XL127">
        <v>0</v>
      </c>
      <c r="XM127" cm="1">
        <f t="array" ref="XM127">IFERROR(MAX((_xlfn.ANCHORARRAY(XJ127)-AVERAGE(_xlfn.ANCHORARRAY(XJ127)))/ AVERAGE(_xlfn.ANCHORARRAY(XJ127))),0)</f>
        <v>0</v>
      </c>
      <c r="XN127" t="str" cm="1">
        <f t="array" ref="XN127">IF(XM127&gt;$XN$1,_xlfn.XLOOKUP(MAX(_xlfn.ANCHORARRAY(XJ127)),_xlfn.ANCHORARRAY(XJ127),XJ$4:XL$4,""),"")</f>
        <v/>
      </c>
      <c r="XP127" cm="1">
        <f t="array" ref="XP127:XT127">SUMIFS($M127:$GJ127,$M$3:$GJ$3,XP$3:XT$3)</f>
        <v>0</v>
      </c>
      <c r="XQ127">
        <v>0</v>
      </c>
      <c r="XR127">
        <v>0</v>
      </c>
      <c r="XS127">
        <v>0</v>
      </c>
      <c r="XT127">
        <v>0</v>
      </c>
      <c r="XU127" cm="1">
        <f t="array" ref="XU127">IFERROR(MAX((_xlfn.ANCHORARRAY(XP127)-AVERAGE(_xlfn.ANCHORARRAY(XP127)))/ AVERAGE(_xlfn.ANCHORARRAY(XP127))),0)</f>
        <v>0</v>
      </c>
      <c r="XV127" t="str" cm="1">
        <f t="array" ref="XV127">IF(AND(XU127&gt;$XV$1,XN127&lt;&gt;""),_xlfn.XLOOKUP(MAX(_xlfn.ANCHORARRAY(XP127)),_xlfn.ANCHORARRAY(XP127),XP$4:XT$4,""),"")</f>
        <v/>
      </c>
      <c r="XX127" cm="1">
        <f t="array" ref="XX127:YG127">SUMIFS($M127:$GJ127,$M$2:$GJ$2,XX$3:YG$3)</f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 cm="1">
        <f t="array" ref="YH127">IFERROR(MAX((_xlfn.ANCHORARRAY(XX127)-AVERAGE(_xlfn.ANCHORARRAY(XX127)))/ AVERAGE(_xlfn.ANCHORARRAY(XX127))),0)</f>
        <v>0</v>
      </c>
      <c r="YI127" t="str" cm="1">
        <f t="array" ref="YI127">IF(YH127&gt;$YI$1,_xlfn.XLOOKUP(MAX(_xlfn.ANCHORARRAY(XX127)),_xlfn.ANCHORARRAY(XX127),XX$4:YG$4,""),"")</f>
        <v/>
      </c>
      <c r="YK127" t="str">
        <f t="shared" si="25"/>
        <v/>
      </c>
    </row>
    <row r="128" spans="1:661" x14ac:dyDescent="0.3">
      <c r="B128" s="2" t="str">
        <f t="shared" si="26"/>
        <v>CHA</v>
      </c>
      <c r="C128" s="2" t="str">
        <f t="shared" ref="C128:C162" si="28">IF(K128&gt;1,"NotFound","CHA"&amp;_xlfn.XLOOKUP(MAX(M128:GJ128,1),M128:GJ128,$M$4:$GJ$4,""))</f>
        <v>CHA</v>
      </c>
      <c r="D128" s="2" t="str">
        <f t="shared" si="27"/>
        <v>CHA</v>
      </c>
      <c r="E128" s="2" t="str">
        <f t="shared" si="17"/>
        <v/>
      </c>
      <c r="F128" s="2" t="str">
        <f t="shared" ref="F128:F162" si="29">IF(I128&gt;1,"NotFound",_xlfn.XLOOKUP(MAX(NK128:XG128,1),NK128:XG128,$NK$4:$XG$4,""))</f>
        <v/>
      </c>
      <c r="G128" s="2">
        <f t="shared" si="19"/>
        <v>0</v>
      </c>
      <c r="H128" s="2">
        <f t="shared" si="20"/>
        <v>0</v>
      </c>
      <c r="I128" s="2">
        <f t="shared" ref="I128:I162" si="30">COUNTIF(NK128:XG128,J128)</f>
        <v>0</v>
      </c>
      <c r="J128" s="2">
        <f t="shared" ref="J128:J162" si="31">MAX(NK128:XG128)</f>
        <v>0</v>
      </c>
      <c r="K128" s="2">
        <f t="shared" ref="K128:K162" si="32">COUNTIF(M128:GJ128,L128)</f>
        <v>0</v>
      </c>
      <c r="L128" s="2">
        <f t="shared" ref="L128:L162" si="33">MAX(M128:GJ128)</f>
        <v>0</v>
      </c>
      <c r="XJ128" cm="1">
        <f t="array" ref="XJ128:XL128">SUMIFS($M128:$GJ128,$M$1:$GJ$1,XJ$3:XL$3)</f>
        <v>0</v>
      </c>
      <c r="XK128">
        <v>0</v>
      </c>
      <c r="XL128">
        <v>0</v>
      </c>
      <c r="XM128" cm="1">
        <f t="array" ref="XM128">IFERROR(MAX((_xlfn.ANCHORARRAY(XJ128)-AVERAGE(_xlfn.ANCHORARRAY(XJ128)))/ AVERAGE(_xlfn.ANCHORARRAY(XJ128))),0)</f>
        <v>0</v>
      </c>
      <c r="XN128" t="str" cm="1">
        <f t="array" ref="XN128">IF(XM128&gt;$XN$1,_xlfn.XLOOKUP(MAX(_xlfn.ANCHORARRAY(XJ128)),_xlfn.ANCHORARRAY(XJ128),XJ$4:XL$4,""),"")</f>
        <v/>
      </c>
      <c r="XP128" cm="1">
        <f t="array" ref="XP128:XT128">SUMIFS($M128:$GJ128,$M$3:$GJ$3,XP$3:XT$3)</f>
        <v>0</v>
      </c>
      <c r="XQ128">
        <v>0</v>
      </c>
      <c r="XR128">
        <v>0</v>
      </c>
      <c r="XS128">
        <v>0</v>
      </c>
      <c r="XT128">
        <v>0</v>
      </c>
      <c r="XU128" cm="1">
        <f t="array" ref="XU128">IFERROR(MAX((_xlfn.ANCHORARRAY(XP128)-AVERAGE(_xlfn.ANCHORARRAY(XP128)))/ AVERAGE(_xlfn.ANCHORARRAY(XP128))),0)</f>
        <v>0</v>
      </c>
      <c r="XV128" t="str" cm="1">
        <f t="array" ref="XV128">IF(AND(XU128&gt;$XV$1,XN128&lt;&gt;""),_xlfn.XLOOKUP(MAX(_xlfn.ANCHORARRAY(XP128)),_xlfn.ANCHORARRAY(XP128),XP$4:XT$4,""),"")</f>
        <v/>
      </c>
      <c r="XX128" cm="1">
        <f t="array" ref="XX128:YG128">SUMIFS($M128:$GJ128,$M$2:$GJ$2,XX$3:YG$3)</f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 cm="1">
        <f t="array" ref="YH128">IFERROR(MAX((_xlfn.ANCHORARRAY(XX128)-AVERAGE(_xlfn.ANCHORARRAY(XX128)))/ AVERAGE(_xlfn.ANCHORARRAY(XX128))),0)</f>
        <v>0</v>
      </c>
      <c r="YI128" t="str" cm="1">
        <f t="array" ref="YI128">IF(YH128&gt;$YI$1,_xlfn.XLOOKUP(MAX(_xlfn.ANCHORARRAY(XX128)),_xlfn.ANCHORARRAY(XX128),XX$4:YG$4,""),"")</f>
        <v/>
      </c>
      <c r="YK128" t="str">
        <f t="shared" si="25"/>
        <v/>
      </c>
    </row>
    <row r="129" spans="2:661" x14ac:dyDescent="0.3">
      <c r="B129" s="2" t="str">
        <f t="shared" si="26"/>
        <v>CHA</v>
      </c>
      <c r="C129" s="2" t="str">
        <f t="shared" si="28"/>
        <v>CHA</v>
      </c>
      <c r="D129" s="2" t="str">
        <f t="shared" si="27"/>
        <v>CHA</v>
      </c>
      <c r="E129" s="2" t="str">
        <f t="shared" si="17"/>
        <v/>
      </c>
      <c r="F129" s="2" t="str">
        <f t="shared" si="29"/>
        <v/>
      </c>
      <c r="G129" s="2">
        <f t="shared" si="19"/>
        <v>0</v>
      </c>
      <c r="H129" s="2">
        <f t="shared" si="20"/>
        <v>0</v>
      </c>
      <c r="I129" s="2">
        <f t="shared" si="30"/>
        <v>0</v>
      </c>
      <c r="J129" s="2">
        <f t="shared" si="31"/>
        <v>0</v>
      </c>
      <c r="K129" s="2">
        <f t="shared" si="32"/>
        <v>0</v>
      </c>
      <c r="L129" s="2">
        <f t="shared" si="33"/>
        <v>0</v>
      </c>
      <c r="XJ129" cm="1">
        <f t="array" ref="XJ129:XL129">SUMIFS($M129:$GJ129,$M$1:$GJ$1,XJ$3:XL$3)</f>
        <v>0</v>
      </c>
      <c r="XK129">
        <v>0</v>
      </c>
      <c r="XL129">
        <v>0</v>
      </c>
      <c r="XM129" cm="1">
        <f t="array" ref="XM129">IFERROR(MAX((_xlfn.ANCHORARRAY(XJ129)-AVERAGE(_xlfn.ANCHORARRAY(XJ129)))/ AVERAGE(_xlfn.ANCHORARRAY(XJ129))),0)</f>
        <v>0</v>
      </c>
      <c r="XN129" t="str" cm="1">
        <f t="array" ref="XN129">IF(XM129&gt;$XN$1,_xlfn.XLOOKUP(MAX(_xlfn.ANCHORARRAY(XJ129)),_xlfn.ANCHORARRAY(XJ129),XJ$4:XL$4,""),"")</f>
        <v/>
      </c>
      <c r="XP129" cm="1">
        <f t="array" ref="XP129:XT129">SUMIFS($M129:$GJ129,$M$3:$GJ$3,XP$3:XT$3)</f>
        <v>0</v>
      </c>
      <c r="XQ129">
        <v>0</v>
      </c>
      <c r="XR129">
        <v>0</v>
      </c>
      <c r="XS129">
        <v>0</v>
      </c>
      <c r="XT129">
        <v>0</v>
      </c>
      <c r="XU129" cm="1">
        <f t="array" ref="XU129">IFERROR(MAX((_xlfn.ANCHORARRAY(XP129)-AVERAGE(_xlfn.ANCHORARRAY(XP129)))/ AVERAGE(_xlfn.ANCHORARRAY(XP129))),0)</f>
        <v>0</v>
      </c>
      <c r="XV129" t="str" cm="1">
        <f t="array" ref="XV129">IF(AND(XU129&gt;$XV$1,XN129&lt;&gt;""),_xlfn.XLOOKUP(MAX(_xlfn.ANCHORARRAY(XP129)),_xlfn.ANCHORARRAY(XP129),XP$4:XT$4,""),"")</f>
        <v/>
      </c>
      <c r="XX129" cm="1">
        <f t="array" ref="XX129:YG129">SUMIFS($M129:$GJ129,$M$2:$GJ$2,XX$3:YG$3)</f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 cm="1">
        <f t="array" ref="YH129">IFERROR(MAX((_xlfn.ANCHORARRAY(XX129)-AVERAGE(_xlfn.ANCHORARRAY(XX129)))/ AVERAGE(_xlfn.ANCHORARRAY(XX129))),0)</f>
        <v>0</v>
      </c>
      <c r="YI129" t="str" cm="1">
        <f t="array" ref="YI129">IF(YH129&gt;$YI$1,_xlfn.XLOOKUP(MAX(_xlfn.ANCHORARRAY(XX129)),_xlfn.ANCHORARRAY(XX129),XX$4:YG$4,""),"")</f>
        <v/>
      </c>
      <c r="YK129" t="str">
        <f t="shared" si="25"/>
        <v/>
      </c>
    </row>
    <row r="130" spans="2:661" x14ac:dyDescent="0.3">
      <c r="B130" s="2" t="str">
        <f t="shared" si="26"/>
        <v>CHA</v>
      </c>
      <c r="C130" s="2" t="str">
        <f t="shared" si="28"/>
        <v>CHA</v>
      </c>
      <c r="D130" s="2" t="str">
        <f t="shared" si="27"/>
        <v>CHA</v>
      </c>
      <c r="E130" s="2" t="str">
        <f t="shared" si="17"/>
        <v/>
      </c>
      <c r="F130" s="2" t="str">
        <f t="shared" si="29"/>
        <v/>
      </c>
      <c r="G130" s="2">
        <f t="shared" si="19"/>
        <v>0</v>
      </c>
      <c r="H130" s="2">
        <f t="shared" si="20"/>
        <v>0</v>
      </c>
      <c r="I130" s="2">
        <f t="shared" si="30"/>
        <v>0</v>
      </c>
      <c r="J130" s="2">
        <f t="shared" si="31"/>
        <v>0</v>
      </c>
      <c r="K130" s="2">
        <f t="shared" si="32"/>
        <v>0</v>
      </c>
      <c r="L130" s="2">
        <f t="shared" si="33"/>
        <v>0</v>
      </c>
      <c r="XJ130" cm="1">
        <f t="array" ref="XJ130:XL130">SUMIFS($M130:$GJ130,$M$1:$GJ$1,XJ$3:XL$3)</f>
        <v>0</v>
      </c>
      <c r="XK130">
        <v>0</v>
      </c>
      <c r="XL130">
        <v>0</v>
      </c>
      <c r="XM130" cm="1">
        <f t="array" ref="XM130">IFERROR(MAX((_xlfn.ANCHORARRAY(XJ130)-AVERAGE(_xlfn.ANCHORARRAY(XJ130)))/ AVERAGE(_xlfn.ANCHORARRAY(XJ130))),0)</f>
        <v>0</v>
      </c>
      <c r="XN130" t="str" cm="1">
        <f t="array" ref="XN130">IF(XM130&gt;$XN$1,_xlfn.XLOOKUP(MAX(_xlfn.ANCHORARRAY(XJ130)),_xlfn.ANCHORARRAY(XJ130),XJ$4:XL$4,""),"")</f>
        <v/>
      </c>
      <c r="XP130" cm="1">
        <f t="array" ref="XP130:XT130">SUMIFS($M130:$GJ130,$M$3:$GJ$3,XP$3:XT$3)</f>
        <v>0</v>
      </c>
      <c r="XQ130">
        <v>0</v>
      </c>
      <c r="XR130">
        <v>0</v>
      </c>
      <c r="XS130">
        <v>0</v>
      </c>
      <c r="XT130">
        <v>0</v>
      </c>
      <c r="XU130" cm="1">
        <f t="array" ref="XU130">IFERROR(MAX((_xlfn.ANCHORARRAY(XP130)-AVERAGE(_xlfn.ANCHORARRAY(XP130)))/ AVERAGE(_xlfn.ANCHORARRAY(XP130))),0)</f>
        <v>0</v>
      </c>
      <c r="XV130" t="str" cm="1">
        <f t="array" ref="XV130">IF(AND(XU130&gt;$XV$1,XN130&lt;&gt;""),_xlfn.XLOOKUP(MAX(_xlfn.ANCHORARRAY(XP130)),_xlfn.ANCHORARRAY(XP130),XP$4:XT$4,""),"")</f>
        <v/>
      </c>
      <c r="XX130" cm="1">
        <f t="array" ref="XX130:YG130">SUMIFS($M130:$GJ130,$M$2:$GJ$2,XX$3:YG$3)</f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 cm="1">
        <f t="array" ref="YH130">IFERROR(MAX((_xlfn.ANCHORARRAY(XX130)-AVERAGE(_xlfn.ANCHORARRAY(XX130)))/ AVERAGE(_xlfn.ANCHORARRAY(XX130))),0)</f>
        <v>0</v>
      </c>
      <c r="YI130" t="str" cm="1">
        <f t="array" ref="YI130">IF(YH130&gt;$YI$1,_xlfn.XLOOKUP(MAX(_xlfn.ANCHORARRAY(XX130)),_xlfn.ANCHORARRAY(XX130),XX$4:YG$4,""),"")</f>
        <v/>
      </c>
      <c r="YK130" t="str">
        <f t="shared" si="25"/>
        <v/>
      </c>
    </row>
    <row r="131" spans="2:661" x14ac:dyDescent="0.3">
      <c r="B131" s="2" t="str">
        <f t="shared" si="26"/>
        <v>CHA</v>
      </c>
      <c r="C131" s="2" t="str">
        <f t="shared" si="28"/>
        <v>CHA</v>
      </c>
      <c r="D131" s="2" t="str">
        <f t="shared" si="27"/>
        <v>CHA</v>
      </c>
      <c r="E131" s="2" t="str">
        <f t="shared" si="17"/>
        <v/>
      </c>
      <c r="F131" s="2" t="str">
        <f t="shared" si="29"/>
        <v/>
      </c>
      <c r="G131" s="2">
        <f t="shared" si="19"/>
        <v>0</v>
      </c>
      <c r="H131" s="2">
        <f t="shared" si="20"/>
        <v>0</v>
      </c>
      <c r="I131" s="2">
        <f t="shared" si="30"/>
        <v>0</v>
      </c>
      <c r="J131" s="2">
        <f t="shared" si="31"/>
        <v>0</v>
      </c>
      <c r="K131" s="2">
        <f t="shared" si="32"/>
        <v>0</v>
      </c>
      <c r="L131" s="2">
        <f t="shared" si="33"/>
        <v>0</v>
      </c>
      <c r="XJ131" cm="1">
        <f t="array" ref="XJ131:XL131">SUMIFS($M131:$GJ131,$M$1:$GJ$1,XJ$3:XL$3)</f>
        <v>0</v>
      </c>
      <c r="XK131">
        <v>0</v>
      </c>
      <c r="XL131">
        <v>0</v>
      </c>
      <c r="XM131" cm="1">
        <f t="array" ref="XM131">IFERROR(MAX((_xlfn.ANCHORARRAY(XJ131)-AVERAGE(_xlfn.ANCHORARRAY(XJ131)))/ AVERAGE(_xlfn.ANCHORARRAY(XJ131))),0)</f>
        <v>0</v>
      </c>
      <c r="XN131" t="str" cm="1">
        <f t="array" ref="XN131">IF(XM131&gt;$XN$1,_xlfn.XLOOKUP(MAX(_xlfn.ANCHORARRAY(XJ131)),_xlfn.ANCHORARRAY(XJ131),XJ$4:XL$4,""),"")</f>
        <v/>
      </c>
      <c r="XP131" cm="1">
        <f t="array" ref="XP131:XT131">SUMIFS($M131:$GJ131,$M$3:$GJ$3,XP$3:XT$3)</f>
        <v>0</v>
      </c>
      <c r="XQ131">
        <v>0</v>
      </c>
      <c r="XR131">
        <v>0</v>
      </c>
      <c r="XS131">
        <v>0</v>
      </c>
      <c r="XT131">
        <v>0</v>
      </c>
      <c r="XU131" cm="1">
        <f t="array" ref="XU131">IFERROR(MAX((_xlfn.ANCHORARRAY(XP131)-AVERAGE(_xlfn.ANCHORARRAY(XP131)))/ AVERAGE(_xlfn.ANCHORARRAY(XP131))),0)</f>
        <v>0</v>
      </c>
      <c r="XV131" t="str" cm="1">
        <f t="array" ref="XV131">IF(AND(XU131&gt;$XV$1,XN131&lt;&gt;""),_xlfn.XLOOKUP(MAX(_xlfn.ANCHORARRAY(XP131)),_xlfn.ANCHORARRAY(XP131),XP$4:XT$4,""),"")</f>
        <v/>
      </c>
      <c r="XX131" cm="1">
        <f t="array" ref="XX131:YG131">SUMIFS($M131:$GJ131,$M$2:$GJ$2,XX$3:YG$3)</f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 cm="1">
        <f t="array" ref="YH131">IFERROR(MAX((_xlfn.ANCHORARRAY(XX131)-AVERAGE(_xlfn.ANCHORARRAY(XX131)))/ AVERAGE(_xlfn.ANCHORARRAY(XX131))),0)</f>
        <v>0</v>
      </c>
      <c r="YI131" t="str" cm="1">
        <f t="array" ref="YI131">IF(YH131&gt;$YI$1,_xlfn.XLOOKUP(MAX(_xlfn.ANCHORARRAY(XX131)),_xlfn.ANCHORARRAY(XX131),XX$4:YG$4,""),"")</f>
        <v/>
      </c>
      <c r="YK131" t="str">
        <f t="shared" si="25"/>
        <v/>
      </c>
    </row>
    <row r="132" spans="2:661" x14ac:dyDescent="0.3">
      <c r="B132" s="2" t="str">
        <f t="shared" si="26"/>
        <v>CHA</v>
      </c>
      <c r="C132" s="2" t="str">
        <f t="shared" si="28"/>
        <v>CHA</v>
      </c>
      <c r="D132" s="2" t="str">
        <f t="shared" si="27"/>
        <v>CHA</v>
      </c>
      <c r="E132" s="2" t="str">
        <f t="shared" si="17"/>
        <v/>
      </c>
      <c r="F132" s="2" t="str">
        <f t="shared" si="29"/>
        <v/>
      </c>
      <c r="G132" s="2">
        <f t="shared" si="19"/>
        <v>0</v>
      </c>
      <c r="H132" s="2">
        <f t="shared" si="20"/>
        <v>0</v>
      </c>
      <c r="I132" s="2">
        <f t="shared" si="30"/>
        <v>0</v>
      </c>
      <c r="J132" s="2">
        <f t="shared" si="31"/>
        <v>0</v>
      </c>
      <c r="K132" s="2">
        <f t="shared" si="32"/>
        <v>0</v>
      </c>
      <c r="L132" s="2">
        <f t="shared" si="33"/>
        <v>0</v>
      </c>
      <c r="XJ132" cm="1">
        <f t="array" ref="XJ132:XL132">SUMIFS($M132:$GJ132,$M$1:$GJ$1,XJ$3:XL$3)</f>
        <v>0</v>
      </c>
      <c r="XK132">
        <v>0</v>
      </c>
      <c r="XL132">
        <v>0</v>
      </c>
      <c r="XM132" cm="1">
        <f t="array" ref="XM132">IFERROR(MAX((_xlfn.ANCHORARRAY(XJ132)-AVERAGE(_xlfn.ANCHORARRAY(XJ132)))/ AVERAGE(_xlfn.ANCHORARRAY(XJ132))),0)</f>
        <v>0</v>
      </c>
      <c r="XN132" t="str" cm="1">
        <f t="array" ref="XN132">IF(XM132&gt;$XN$1,_xlfn.XLOOKUP(MAX(_xlfn.ANCHORARRAY(XJ132)),_xlfn.ANCHORARRAY(XJ132),XJ$4:XL$4,""),"")</f>
        <v/>
      </c>
      <c r="XP132" cm="1">
        <f t="array" ref="XP132:XT132">SUMIFS($M132:$GJ132,$M$3:$GJ$3,XP$3:XT$3)</f>
        <v>0</v>
      </c>
      <c r="XQ132">
        <v>0</v>
      </c>
      <c r="XR132">
        <v>0</v>
      </c>
      <c r="XS132">
        <v>0</v>
      </c>
      <c r="XT132">
        <v>0</v>
      </c>
      <c r="XU132" cm="1">
        <f t="array" ref="XU132">IFERROR(MAX((_xlfn.ANCHORARRAY(XP132)-AVERAGE(_xlfn.ANCHORARRAY(XP132)))/ AVERAGE(_xlfn.ANCHORARRAY(XP132))),0)</f>
        <v>0</v>
      </c>
      <c r="XV132" t="str" cm="1">
        <f t="array" ref="XV132">IF(AND(XU132&gt;$XV$1,XN132&lt;&gt;""),_xlfn.XLOOKUP(MAX(_xlfn.ANCHORARRAY(XP132)),_xlfn.ANCHORARRAY(XP132),XP$4:XT$4,""),"")</f>
        <v/>
      </c>
      <c r="XX132" cm="1">
        <f t="array" ref="XX132:YG132">SUMIFS($M132:$GJ132,$M$2:$GJ$2,XX$3:YG$3)</f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 cm="1">
        <f t="array" ref="YH132">IFERROR(MAX((_xlfn.ANCHORARRAY(XX132)-AVERAGE(_xlfn.ANCHORARRAY(XX132)))/ AVERAGE(_xlfn.ANCHORARRAY(XX132))),0)</f>
        <v>0</v>
      </c>
      <c r="YI132" t="str" cm="1">
        <f t="array" ref="YI132">IF(YH132&gt;$YI$1,_xlfn.XLOOKUP(MAX(_xlfn.ANCHORARRAY(XX132)),_xlfn.ANCHORARRAY(XX132),XX$4:YG$4,""),"")</f>
        <v/>
      </c>
      <c r="YK132" t="str">
        <f t="shared" si="25"/>
        <v/>
      </c>
    </row>
    <row r="133" spans="2:661" x14ac:dyDescent="0.3">
      <c r="B133" s="2" t="str">
        <f t="shared" ref="B133:B162" si="34">IF(C133="NotFound",D133,C133)</f>
        <v>CHA</v>
      </c>
      <c r="C133" s="2" t="str">
        <f t="shared" si="28"/>
        <v>CHA</v>
      </c>
      <c r="D133" s="2" t="str">
        <f t="shared" ref="D133:D162" si="35">IF(G133&gt;1,"NotFound","CHA"&amp;_xlfn.XLOOKUP(MAX(GL133:NI133,1),GL133:NI133,$GL$4:$NI$4,""))</f>
        <v>CHA</v>
      </c>
      <c r="E133" s="2" t="str">
        <f t="shared" si="17"/>
        <v/>
      </c>
      <c r="F133" s="2" t="str">
        <f t="shared" si="29"/>
        <v/>
      </c>
      <c r="G133" s="2">
        <f t="shared" si="19"/>
        <v>0</v>
      </c>
      <c r="H133" s="2">
        <f t="shared" si="20"/>
        <v>0</v>
      </c>
      <c r="I133" s="2">
        <f t="shared" si="30"/>
        <v>0</v>
      </c>
      <c r="J133" s="2">
        <f t="shared" si="31"/>
        <v>0</v>
      </c>
      <c r="K133" s="2">
        <f t="shared" si="32"/>
        <v>0</v>
      </c>
      <c r="L133" s="2">
        <f t="shared" si="33"/>
        <v>0</v>
      </c>
      <c r="XJ133" cm="1">
        <f t="array" ref="XJ133:XL133">SUMIFS($M133:$GJ133,$M$1:$GJ$1,XJ$3:XL$3)</f>
        <v>0</v>
      </c>
      <c r="XK133">
        <v>0</v>
      </c>
      <c r="XL133">
        <v>0</v>
      </c>
      <c r="XM133" cm="1">
        <f t="array" ref="XM133">IFERROR(MAX((_xlfn.ANCHORARRAY(XJ133)-AVERAGE(_xlfn.ANCHORARRAY(XJ133)))/ AVERAGE(_xlfn.ANCHORARRAY(XJ133))),0)</f>
        <v>0</v>
      </c>
      <c r="XN133" t="str" cm="1">
        <f t="array" ref="XN133">IF(XM133&gt;$XN$1,_xlfn.XLOOKUP(MAX(_xlfn.ANCHORARRAY(XJ133)),_xlfn.ANCHORARRAY(XJ133),XJ$4:XL$4,""),"")</f>
        <v/>
      </c>
      <c r="XP133" cm="1">
        <f t="array" ref="XP133:XT133">SUMIFS($M133:$GJ133,$M$3:$GJ$3,XP$3:XT$3)</f>
        <v>0</v>
      </c>
      <c r="XQ133">
        <v>0</v>
      </c>
      <c r="XR133">
        <v>0</v>
      </c>
      <c r="XS133">
        <v>0</v>
      </c>
      <c r="XT133">
        <v>0</v>
      </c>
      <c r="XU133" cm="1">
        <f t="array" ref="XU133">IFERROR(MAX((_xlfn.ANCHORARRAY(XP133)-AVERAGE(_xlfn.ANCHORARRAY(XP133)))/ AVERAGE(_xlfn.ANCHORARRAY(XP133))),0)</f>
        <v>0</v>
      </c>
      <c r="XV133" t="str" cm="1">
        <f t="array" ref="XV133">IF(AND(XU133&gt;$XV$1,XN133&lt;&gt;""),_xlfn.XLOOKUP(MAX(_xlfn.ANCHORARRAY(XP133)),_xlfn.ANCHORARRAY(XP133),XP$4:XT$4,""),"")</f>
        <v/>
      </c>
      <c r="XX133" cm="1">
        <f t="array" ref="XX133:YG133">SUMIFS($M133:$GJ133,$M$2:$GJ$2,XX$3:YG$3)</f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 cm="1">
        <f t="array" ref="YH133">IFERROR(MAX((_xlfn.ANCHORARRAY(XX133)-AVERAGE(_xlfn.ANCHORARRAY(XX133)))/ AVERAGE(_xlfn.ANCHORARRAY(XX133))),0)</f>
        <v>0</v>
      </c>
      <c r="YI133" t="str" cm="1">
        <f t="array" ref="YI133">IF(YH133&gt;$YI$1,_xlfn.XLOOKUP(MAX(_xlfn.ANCHORARRAY(XX133)),_xlfn.ANCHORARRAY(XX133),XX$4:YG$4,""),"")</f>
        <v/>
      </c>
      <c r="YK133" t="str">
        <f t="shared" si="25"/>
        <v/>
      </c>
    </row>
    <row r="134" spans="2:661" x14ac:dyDescent="0.3">
      <c r="B134" s="2" t="str">
        <f t="shared" si="34"/>
        <v>CHA</v>
      </c>
      <c r="C134" s="2" t="str">
        <f t="shared" si="28"/>
        <v>CHA</v>
      </c>
      <c r="D134" s="2" t="str">
        <f t="shared" si="35"/>
        <v>CHA</v>
      </c>
      <c r="E134" s="2" t="str">
        <f t="shared" ref="E134:E188" si="36">YK134</f>
        <v/>
      </c>
      <c r="F134" s="2" t="str">
        <f t="shared" si="29"/>
        <v/>
      </c>
      <c r="G134" s="2">
        <f t="shared" ref="G134:G162" si="37">COUNTIF(GL134:NI134,H134)</f>
        <v>0</v>
      </c>
      <c r="H134" s="2">
        <f t="shared" ref="H134:H162" si="38">MAX(GL134:NI134)</f>
        <v>0</v>
      </c>
      <c r="I134" s="2">
        <f t="shared" si="30"/>
        <v>0</v>
      </c>
      <c r="J134" s="2">
        <f t="shared" si="31"/>
        <v>0</v>
      </c>
      <c r="K134" s="2">
        <f t="shared" si="32"/>
        <v>0</v>
      </c>
      <c r="L134" s="2">
        <f t="shared" si="33"/>
        <v>0</v>
      </c>
      <c r="XJ134" cm="1">
        <f t="array" ref="XJ134:XL134">SUMIFS($M134:$GJ134,$M$1:$GJ$1,XJ$3:XL$3)</f>
        <v>0</v>
      </c>
      <c r="XK134">
        <v>0</v>
      </c>
      <c r="XL134">
        <v>0</v>
      </c>
      <c r="XM134" cm="1">
        <f t="array" ref="XM134">IFERROR(MAX((_xlfn.ANCHORARRAY(XJ134)-AVERAGE(_xlfn.ANCHORARRAY(XJ134)))/ AVERAGE(_xlfn.ANCHORARRAY(XJ134))),0)</f>
        <v>0</v>
      </c>
      <c r="XN134" t="str" cm="1">
        <f t="array" ref="XN134">IF(XM134&gt;$XN$1,_xlfn.XLOOKUP(MAX(_xlfn.ANCHORARRAY(XJ134)),_xlfn.ANCHORARRAY(XJ134),XJ$4:XL$4,""),"")</f>
        <v/>
      </c>
      <c r="XP134" cm="1">
        <f t="array" ref="XP134:XT134">SUMIFS($M134:$GJ134,$M$3:$GJ$3,XP$3:XT$3)</f>
        <v>0</v>
      </c>
      <c r="XQ134">
        <v>0</v>
      </c>
      <c r="XR134">
        <v>0</v>
      </c>
      <c r="XS134">
        <v>0</v>
      </c>
      <c r="XT134">
        <v>0</v>
      </c>
      <c r="XU134" cm="1">
        <f t="array" ref="XU134">IFERROR(MAX((_xlfn.ANCHORARRAY(XP134)-AVERAGE(_xlfn.ANCHORARRAY(XP134)))/ AVERAGE(_xlfn.ANCHORARRAY(XP134))),0)</f>
        <v>0</v>
      </c>
      <c r="XV134" t="str" cm="1">
        <f t="array" ref="XV134">IF(AND(XU134&gt;$XV$1,XN134&lt;&gt;""),_xlfn.XLOOKUP(MAX(_xlfn.ANCHORARRAY(XP134)),_xlfn.ANCHORARRAY(XP134),XP$4:XT$4,""),"")</f>
        <v/>
      </c>
      <c r="XX134" cm="1">
        <f t="array" ref="XX134:YG134">SUMIFS($M134:$GJ134,$M$2:$GJ$2,XX$3:YG$3)</f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 cm="1">
        <f t="array" ref="YH134">IFERROR(MAX((_xlfn.ANCHORARRAY(XX134)-AVERAGE(_xlfn.ANCHORARRAY(XX134)))/ AVERAGE(_xlfn.ANCHORARRAY(XX134))),0)</f>
        <v>0</v>
      </c>
      <c r="YI134" t="str" cm="1">
        <f t="array" ref="YI134">IF(YH134&gt;$YI$1,_xlfn.XLOOKUP(MAX(_xlfn.ANCHORARRAY(XX134)),_xlfn.ANCHORARRAY(XX134),XX$4:YG$4,""),"")</f>
        <v/>
      </c>
      <c r="YK134" t="str">
        <f t="shared" ref="YK134:YK177" si="39">_xlfn.TEXTJOIN(" : ",,XN134,XV134,YI134)</f>
        <v/>
      </c>
    </row>
    <row r="135" spans="2:661" x14ac:dyDescent="0.3">
      <c r="B135" s="2" t="str">
        <f t="shared" si="34"/>
        <v>CHA</v>
      </c>
      <c r="C135" s="2" t="str">
        <f t="shared" si="28"/>
        <v>CHA</v>
      </c>
      <c r="D135" s="2" t="str">
        <f t="shared" si="35"/>
        <v>CHA</v>
      </c>
      <c r="E135" s="2" t="str">
        <f t="shared" si="36"/>
        <v/>
      </c>
      <c r="F135" s="2" t="str">
        <f t="shared" si="29"/>
        <v/>
      </c>
      <c r="G135" s="2">
        <f t="shared" si="37"/>
        <v>0</v>
      </c>
      <c r="H135" s="2">
        <f t="shared" si="38"/>
        <v>0</v>
      </c>
      <c r="I135" s="2">
        <f t="shared" si="30"/>
        <v>0</v>
      </c>
      <c r="J135" s="2">
        <f t="shared" si="31"/>
        <v>0</v>
      </c>
      <c r="K135" s="2">
        <f t="shared" si="32"/>
        <v>0</v>
      </c>
      <c r="L135" s="2">
        <f t="shared" si="33"/>
        <v>0</v>
      </c>
      <c r="XJ135" cm="1">
        <f t="array" ref="XJ135:XL135">SUMIFS($M135:$GJ135,$M$1:$GJ$1,XJ$3:XL$3)</f>
        <v>0</v>
      </c>
      <c r="XK135">
        <v>0</v>
      </c>
      <c r="XL135">
        <v>0</v>
      </c>
      <c r="XM135" cm="1">
        <f t="array" ref="XM135">IFERROR(MAX((_xlfn.ANCHORARRAY(XJ135)-AVERAGE(_xlfn.ANCHORARRAY(XJ135)))/ AVERAGE(_xlfn.ANCHORARRAY(XJ135))),0)</f>
        <v>0</v>
      </c>
      <c r="XN135" t="str" cm="1">
        <f t="array" ref="XN135">IF(XM135&gt;$XN$1,_xlfn.XLOOKUP(MAX(_xlfn.ANCHORARRAY(XJ135)),_xlfn.ANCHORARRAY(XJ135),XJ$4:XL$4,""),"")</f>
        <v/>
      </c>
      <c r="XP135" cm="1">
        <f t="array" ref="XP135:XT135">SUMIFS($M135:$GJ135,$M$3:$GJ$3,XP$3:XT$3)</f>
        <v>0</v>
      </c>
      <c r="XQ135">
        <v>0</v>
      </c>
      <c r="XR135">
        <v>0</v>
      </c>
      <c r="XS135">
        <v>0</v>
      </c>
      <c r="XT135">
        <v>0</v>
      </c>
      <c r="XU135" cm="1">
        <f t="array" ref="XU135">IFERROR(MAX((_xlfn.ANCHORARRAY(XP135)-AVERAGE(_xlfn.ANCHORARRAY(XP135)))/ AVERAGE(_xlfn.ANCHORARRAY(XP135))),0)</f>
        <v>0</v>
      </c>
      <c r="XV135" t="str" cm="1">
        <f t="array" ref="XV135">IF(AND(XU135&gt;$XV$1,XN135&lt;&gt;""),_xlfn.XLOOKUP(MAX(_xlfn.ANCHORARRAY(XP135)),_xlfn.ANCHORARRAY(XP135),XP$4:XT$4,""),"")</f>
        <v/>
      </c>
      <c r="XX135" cm="1">
        <f t="array" ref="XX135:YG135">SUMIFS($M135:$GJ135,$M$2:$GJ$2,XX$3:YG$3)</f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 cm="1">
        <f t="array" ref="YH135">IFERROR(MAX((_xlfn.ANCHORARRAY(XX135)-AVERAGE(_xlfn.ANCHORARRAY(XX135)))/ AVERAGE(_xlfn.ANCHORARRAY(XX135))),0)</f>
        <v>0</v>
      </c>
      <c r="YI135" t="str" cm="1">
        <f t="array" ref="YI135">IF(YH135&gt;$YI$1,_xlfn.XLOOKUP(MAX(_xlfn.ANCHORARRAY(XX135)),_xlfn.ANCHORARRAY(XX135),XX$4:YG$4,""),"")</f>
        <v/>
      </c>
      <c r="YK135" t="str">
        <f t="shared" si="39"/>
        <v/>
      </c>
    </row>
    <row r="136" spans="2:661" x14ac:dyDescent="0.3">
      <c r="B136" s="2" t="str">
        <f t="shared" si="34"/>
        <v>CHA</v>
      </c>
      <c r="C136" s="2" t="str">
        <f t="shared" si="28"/>
        <v>CHA</v>
      </c>
      <c r="D136" s="2" t="str">
        <f t="shared" si="35"/>
        <v>CHA</v>
      </c>
      <c r="E136" s="2" t="str">
        <f t="shared" si="36"/>
        <v/>
      </c>
      <c r="F136" s="2" t="str">
        <f t="shared" si="29"/>
        <v/>
      </c>
      <c r="G136" s="2">
        <f t="shared" si="37"/>
        <v>0</v>
      </c>
      <c r="H136" s="2">
        <f t="shared" si="38"/>
        <v>0</v>
      </c>
      <c r="I136" s="2">
        <f t="shared" si="30"/>
        <v>0</v>
      </c>
      <c r="J136" s="2">
        <f t="shared" si="31"/>
        <v>0</v>
      </c>
      <c r="K136" s="2">
        <f t="shared" si="32"/>
        <v>0</v>
      </c>
      <c r="L136" s="2">
        <f t="shared" si="33"/>
        <v>0</v>
      </c>
      <c r="XJ136" cm="1">
        <f t="array" ref="XJ136:XL136">SUMIFS($M136:$GJ136,$M$1:$GJ$1,XJ$3:XL$3)</f>
        <v>0</v>
      </c>
      <c r="XK136">
        <v>0</v>
      </c>
      <c r="XL136">
        <v>0</v>
      </c>
      <c r="XM136" cm="1">
        <f t="array" ref="XM136">IFERROR(MAX((_xlfn.ANCHORARRAY(XJ136)-AVERAGE(_xlfn.ANCHORARRAY(XJ136)))/ AVERAGE(_xlfn.ANCHORARRAY(XJ136))),0)</f>
        <v>0</v>
      </c>
      <c r="XN136" t="str" cm="1">
        <f t="array" ref="XN136">IF(XM136&gt;$XN$1,_xlfn.XLOOKUP(MAX(_xlfn.ANCHORARRAY(XJ136)),_xlfn.ANCHORARRAY(XJ136),XJ$4:XL$4,""),"")</f>
        <v/>
      </c>
      <c r="XP136" cm="1">
        <f t="array" ref="XP136:XT136">SUMIFS($M136:$GJ136,$M$3:$GJ$3,XP$3:XT$3)</f>
        <v>0</v>
      </c>
      <c r="XQ136">
        <v>0</v>
      </c>
      <c r="XR136">
        <v>0</v>
      </c>
      <c r="XS136">
        <v>0</v>
      </c>
      <c r="XT136">
        <v>0</v>
      </c>
      <c r="XU136" cm="1">
        <f t="array" ref="XU136">IFERROR(MAX((_xlfn.ANCHORARRAY(XP136)-AVERAGE(_xlfn.ANCHORARRAY(XP136)))/ AVERAGE(_xlfn.ANCHORARRAY(XP136))),0)</f>
        <v>0</v>
      </c>
      <c r="XV136" t="str" cm="1">
        <f t="array" ref="XV136">IF(AND(XU136&gt;$XV$1,XN136&lt;&gt;""),_xlfn.XLOOKUP(MAX(_xlfn.ANCHORARRAY(XP136)),_xlfn.ANCHORARRAY(XP136),XP$4:XT$4,""),"")</f>
        <v/>
      </c>
      <c r="XX136" cm="1">
        <f t="array" ref="XX136:YG136">SUMIFS($M136:$GJ136,$M$2:$GJ$2,XX$3:YG$3)</f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 cm="1">
        <f t="array" ref="YH136">IFERROR(MAX((_xlfn.ANCHORARRAY(XX136)-AVERAGE(_xlfn.ANCHORARRAY(XX136)))/ AVERAGE(_xlfn.ANCHORARRAY(XX136))),0)</f>
        <v>0</v>
      </c>
      <c r="YI136" t="str" cm="1">
        <f t="array" ref="YI136">IF(YH136&gt;$YI$1,_xlfn.XLOOKUP(MAX(_xlfn.ANCHORARRAY(XX136)),_xlfn.ANCHORARRAY(XX136),XX$4:YG$4,""),"")</f>
        <v/>
      </c>
      <c r="YK136" t="str">
        <f t="shared" si="39"/>
        <v/>
      </c>
    </row>
    <row r="137" spans="2:661" x14ac:dyDescent="0.3">
      <c r="B137" s="2" t="str">
        <f t="shared" si="34"/>
        <v>CHA</v>
      </c>
      <c r="C137" s="2" t="str">
        <f t="shared" si="28"/>
        <v>CHA</v>
      </c>
      <c r="D137" s="2" t="str">
        <f t="shared" si="35"/>
        <v>CHA</v>
      </c>
      <c r="E137" s="2" t="str">
        <f t="shared" si="36"/>
        <v/>
      </c>
      <c r="F137" s="2" t="str">
        <f t="shared" si="29"/>
        <v/>
      </c>
      <c r="G137" s="2">
        <f t="shared" si="37"/>
        <v>0</v>
      </c>
      <c r="H137" s="2">
        <f t="shared" si="38"/>
        <v>0</v>
      </c>
      <c r="I137" s="2">
        <f t="shared" si="30"/>
        <v>0</v>
      </c>
      <c r="J137" s="2">
        <f t="shared" si="31"/>
        <v>0</v>
      </c>
      <c r="K137" s="2">
        <f t="shared" si="32"/>
        <v>0</v>
      </c>
      <c r="L137" s="2">
        <f t="shared" si="33"/>
        <v>0</v>
      </c>
      <c r="XJ137" cm="1">
        <f t="array" ref="XJ137:XL137">SUMIFS($M137:$GJ137,$M$1:$GJ$1,XJ$3:XL$3)</f>
        <v>0</v>
      </c>
      <c r="XK137">
        <v>0</v>
      </c>
      <c r="XL137">
        <v>0</v>
      </c>
      <c r="XM137" cm="1">
        <f t="array" ref="XM137">IFERROR(MAX((_xlfn.ANCHORARRAY(XJ137)-AVERAGE(_xlfn.ANCHORARRAY(XJ137)))/ AVERAGE(_xlfn.ANCHORARRAY(XJ137))),0)</f>
        <v>0</v>
      </c>
      <c r="XN137" t="str" cm="1">
        <f t="array" ref="XN137">IF(XM137&gt;$XN$1,_xlfn.XLOOKUP(MAX(_xlfn.ANCHORARRAY(XJ137)),_xlfn.ANCHORARRAY(XJ137),XJ$4:XL$4,""),"")</f>
        <v/>
      </c>
      <c r="XP137" cm="1">
        <f t="array" ref="XP137:XT137">SUMIFS($M137:$GJ137,$M$3:$GJ$3,XP$3:XT$3)</f>
        <v>0</v>
      </c>
      <c r="XQ137">
        <v>0</v>
      </c>
      <c r="XR137">
        <v>0</v>
      </c>
      <c r="XS137">
        <v>0</v>
      </c>
      <c r="XT137">
        <v>0</v>
      </c>
      <c r="XU137" cm="1">
        <f t="array" ref="XU137">IFERROR(MAX((_xlfn.ANCHORARRAY(XP137)-AVERAGE(_xlfn.ANCHORARRAY(XP137)))/ AVERAGE(_xlfn.ANCHORARRAY(XP137))),0)</f>
        <v>0</v>
      </c>
      <c r="XV137" t="str" cm="1">
        <f t="array" ref="XV137">IF(AND(XU137&gt;$XV$1,XN137&lt;&gt;""),_xlfn.XLOOKUP(MAX(_xlfn.ANCHORARRAY(XP137)),_xlfn.ANCHORARRAY(XP137),XP$4:XT$4,""),"")</f>
        <v/>
      </c>
      <c r="XX137" cm="1">
        <f t="array" ref="XX137:YG137">SUMIFS($M137:$GJ137,$M$2:$GJ$2,XX$3:YG$3)</f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 cm="1">
        <f t="array" ref="YH137">IFERROR(MAX((_xlfn.ANCHORARRAY(XX137)-AVERAGE(_xlfn.ANCHORARRAY(XX137)))/ AVERAGE(_xlfn.ANCHORARRAY(XX137))),0)</f>
        <v>0</v>
      </c>
      <c r="YI137" t="str" cm="1">
        <f t="array" ref="YI137">IF(YH137&gt;$YI$1,_xlfn.XLOOKUP(MAX(_xlfn.ANCHORARRAY(XX137)),_xlfn.ANCHORARRAY(XX137),XX$4:YG$4,""),"")</f>
        <v/>
      </c>
      <c r="YK137" t="str">
        <f t="shared" si="39"/>
        <v/>
      </c>
    </row>
    <row r="138" spans="2:661" x14ac:dyDescent="0.3">
      <c r="B138" s="2" t="str">
        <f t="shared" si="34"/>
        <v>CHA</v>
      </c>
      <c r="C138" s="2" t="str">
        <f t="shared" si="28"/>
        <v>CHA</v>
      </c>
      <c r="D138" s="2" t="str">
        <f t="shared" si="35"/>
        <v>CHA</v>
      </c>
      <c r="E138" s="2" t="str">
        <f t="shared" si="36"/>
        <v/>
      </c>
      <c r="F138" s="2" t="str">
        <f t="shared" si="29"/>
        <v/>
      </c>
      <c r="G138" s="2">
        <f t="shared" si="37"/>
        <v>0</v>
      </c>
      <c r="H138" s="2">
        <f t="shared" si="38"/>
        <v>0</v>
      </c>
      <c r="I138" s="2">
        <f t="shared" si="30"/>
        <v>0</v>
      </c>
      <c r="J138" s="2">
        <f t="shared" si="31"/>
        <v>0</v>
      </c>
      <c r="K138" s="2">
        <f t="shared" si="32"/>
        <v>0</v>
      </c>
      <c r="L138" s="2">
        <f t="shared" si="33"/>
        <v>0</v>
      </c>
      <c r="XJ138" cm="1">
        <f t="array" ref="XJ138:XL138">SUMIFS($M138:$GJ138,$M$1:$GJ$1,XJ$3:XL$3)</f>
        <v>0</v>
      </c>
      <c r="XK138">
        <v>0</v>
      </c>
      <c r="XL138">
        <v>0</v>
      </c>
      <c r="XM138" cm="1">
        <f t="array" ref="XM138">IFERROR(MAX((_xlfn.ANCHORARRAY(XJ138)-AVERAGE(_xlfn.ANCHORARRAY(XJ138)))/ AVERAGE(_xlfn.ANCHORARRAY(XJ138))),0)</f>
        <v>0</v>
      </c>
      <c r="XN138" t="str" cm="1">
        <f t="array" ref="XN138">IF(XM138&gt;$XN$1,_xlfn.XLOOKUP(MAX(_xlfn.ANCHORARRAY(XJ138)),_xlfn.ANCHORARRAY(XJ138),XJ$4:XL$4,""),"")</f>
        <v/>
      </c>
      <c r="XP138" cm="1">
        <f t="array" ref="XP138:XT138">SUMIFS($M138:$GJ138,$M$3:$GJ$3,XP$3:XT$3)</f>
        <v>0</v>
      </c>
      <c r="XQ138">
        <v>0</v>
      </c>
      <c r="XR138">
        <v>0</v>
      </c>
      <c r="XS138">
        <v>0</v>
      </c>
      <c r="XT138">
        <v>0</v>
      </c>
      <c r="XU138" cm="1">
        <f t="array" ref="XU138">IFERROR(MAX((_xlfn.ANCHORARRAY(XP138)-AVERAGE(_xlfn.ANCHORARRAY(XP138)))/ AVERAGE(_xlfn.ANCHORARRAY(XP138))),0)</f>
        <v>0</v>
      </c>
      <c r="XV138" t="str" cm="1">
        <f t="array" ref="XV138">IF(AND(XU138&gt;$XV$1,XN138&lt;&gt;""),_xlfn.XLOOKUP(MAX(_xlfn.ANCHORARRAY(XP138)),_xlfn.ANCHORARRAY(XP138),XP$4:XT$4,""),"")</f>
        <v/>
      </c>
      <c r="XX138" cm="1">
        <f t="array" ref="XX138:YG138">SUMIFS($M138:$GJ138,$M$2:$GJ$2,XX$3:YG$3)</f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 cm="1">
        <f t="array" ref="YH138">IFERROR(MAX((_xlfn.ANCHORARRAY(XX138)-AVERAGE(_xlfn.ANCHORARRAY(XX138)))/ AVERAGE(_xlfn.ANCHORARRAY(XX138))),0)</f>
        <v>0</v>
      </c>
      <c r="YI138" t="str" cm="1">
        <f t="array" ref="YI138">IF(YH138&gt;$YI$1,_xlfn.XLOOKUP(MAX(_xlfn.ANCHORARRAY(XX138)),_xlfn.ANCHORARRAY(XX138),XX$4:YG$4,""),"")</f>
        <v/>
      </c>
      <c r="YK138" t="str">
        <f t="shared" si="39"/>
        <v/>
      </c>
    </row>
    <row r="139" spans="2:661" x14ac:dyDescent="0.3">
      <c r="B139" s="2" t="str">
        <f t="shared" si="34"/>
        <v>CHA</v>
      </c>
      <c r="C139" s="2" t="str">
        <f t="shared" si="28"/>
        <v>CHA</v>
      </c>
      <c r="D139" s="2" t="str">
        <f t="shared" si="35"/>
        <v>CHA</v>
      </c>
      <c r="E139" s="2" t="str">
        <f t="shared" si="36"/>
        <v/>
      </c>
      <c r="F139" s="2" t="str">
        <f t="shared" si="29"/>
        <v/>
      </c>
      <c r="G139" s="2">
        <f t="shared" si="37"/>
        <v>0</v>
      </c>
      <c r="H139" s="2">
        <f t="shared" si="38"/>
        <v>0</v>
      </c>
      <c r="I139" s="2">
        <f t="shared" si="30"/>
        <v>0</v>
      </c>
      <c r="J139" s="2">
        <f t="shared" si="31"/>
        <v>0</v>
      </c>
      <c r="K139" s="2">
        <f t="shared" si="32"/>
        <v>0</v>
      </c>
      <c r="L139" s="2">
        <f t="shared" si="33"/>
        <v>0</v>
      </c>
      <c r="XJ139" cm="1">
        <f t="array" ref="XJ139:XL139">SUMIFS($M139:$GJ139,$M$1:$GJ$1,XJ$3:XL$3)</f>
        <v>0</v>
      </c>
      <c r="XK139">
        <v>0</v>
      </c>
      <c r="XL139">
        <v>0</v>
      </c>
      <c r="XM139" cm="1">
        <f t="array" ref="XM139">IFERROR(MAX((_xlfn.ANCHORARRAY(XJ139)-AVERAGE(_xlfn.ANCHORARRAY(XJ139)))/ AVERAGE(_xlfn.ANCHORARRAY(XJ139))),0)</f>
        <v>0</v>
      </c>
      <c r="XN139" t="str" cm="1">
        <f t="array" ref="XN139">IF(XM139&gt;$XN$1,_xlfn.XLOOKUP(MAX(_xlfn.ANCHORARRAY(XJ139)),_xlfn.ANCHORARRAY(XJ139),XJ$4:XL$4,""),"")</f>
        <v/>
      </c>
      <c r="XP139" cm="1">
        <f t="array" ref="XP139:XT139">SUMIFS($M139:$GJ139,$M$3:$GJ$3,XP$3:XT$3)</f>
        <v>0</v>
      </c>
      <c r="XQ139">
        <v>0</v>
      </c>
      <c r="XR139">
        <v>0</v>
      </c>
      <c r="XS139">
        <v>0</v>
      </c>
      <c r="XT139">
        <v>0</v>
      </c>
      <c r="XU139" cm="1">
        <f t="array" ref="XU139">IFERROR(MAX((_xlfn.ANCHORARRAY(XP139)-AVERAGE(_xlfn.ANCHORARRAY(XP139)))/ AVERAGE(_xlfn.ANCHORARRAY(XP139))),0)</f>
        <v>0</v>
      </c>
      <c r="XV139" t="str" cm="1">
        <f t="array" ref="XV139">IF(AND(XU139&gt;$XV$1,XN139&lt;&gt;""),_xlfn.XLOOKUP(MAX(_xlfn.ANCHORARRAY(XP139)),_xlfn.ANCHORARRAY(XP139),XP$4:XT$4,""),"")</f>
        <v/>
      </c>
      <c r="XX139" cm="1">
        <f t="array" ref="XX139:YG139">SUMIFS($M139:$GJ139,$M$2:$GJ$2,XX$3:YG$3)</f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 cm="1">
        <f t="array" ref="YH139">IFERROR(MAX((_xlfn.ANCHORARRAY(XX139)-AVERAGE(_xlfn.ANCHORARRAY(XX139)))/ AVERAGE(_xlfn.ANCHORARRAY(XX139))),0)</f>
        <v>0</v>
      </c>
      <c r="YI139" t="str" cm="1">
        <f t="array" ref="YI139">IF(YH139&gt;$YI$1,_xlfn.XLOOKUP(MAX(_xlfn.ANCHORARRAY(XX139)),_xlfn.ANCHORARRAY(XX139),XX$4:YG$4,""),"")</f>
        <v/>
      </c>
      <c r="YK139" t="str">
        <f t="shared" si="39"/>
        <v/>
      </c>
    </row>
    <row r="140" spans="2:661" x14ac:dyDescent="0.3">
      <c r="B140" s="2" t="str">
        <f t="shared" si="34"/>
        <v>CHA</v>
      </c>
      <c r="C140" s="2" t="str">
        <f t="shared" si="28"/>
        <v>CHA</v>
      </c>
      <c r="D140" s="2" t="str">
        <f t="shared" si="35"/>
        <v>CHA</v>
      </c>
      <c r="E140" s="2" t="str">
        <f t="shared" si="36"/>
        <v/>
      </c>
      <c r="F140" s="2" t="str">
        <f t="shared" si="29"/>
        <v/>
      </c>
      <c r="G140" s="2">
        <f t="shared" si="37"/>
        <v>0</v>
      </c>
      <c r="H140" s="2">
        <f t="shared" si="38"/>
        <v>0</v>
      </c>
      <c r="I140" s="2">
        <f t="shared" si="30"/>
        <v>0</v>
      </c>
      <c r="J140" s="2">
        <f t="shared" si="31"/>
        <v>0</v>
      </c>
      <c r="K140" s="2">
        <f t="shared" si="32"/>
        <v>0</v>
      </c>
      <c r="L140" s="2">
        <f t="shared" si="33"/>
        <v>0</v>
      </c>
      <c r="XJ140" cm="1">
        <f t="array" ref="XJ140:XL140">SUMIFS($M140:$GJ140,$M$1:$GJ$1,XJ$3:XL$3)</f>
        <v>0</v>
      </c>
      <c r="XK140">
        <v>0</v>
      </c>
      <c r="XL140">
        <v>0</v>
      </c>
      <c r="XM140" cm="1">
        <f t="array" ref="XM140">IFERROR(MAX((_xlfn.ANCHORARRAY(XJ140)-AVERAGE(_xlfn.ANCHORARRAY(XJ140)))/ AVERAGE(_xlfn.ANCHORARRAY(XJ140))),0)</f>
        <v>0</v>
      </c>
      <c r="XN140" t="str" cm="1">
        <f t="array" ref="XN140">IF(XM140&gt;$XN$1,_xlfn.XLOOKUP(MAX(_xlfn.ANCHORARRAY(XJ140)),_xlfn.ANCHORARRAY(XJ140),XJ$4:XL$4,""),"")</f>
        <v/>
      </c>
      <c r="XP140" cm="1">
        <f t="array" ref="XP140:XT140">SUMIFS($M140:$GJ140,$M$3:$GJ$3,XP$3:XT$3)</f>
        <v>0</v>
      </c>
      <c r="XQ140">
        <v>0</v>
      </c>
      <c r="XR140">
        <v>0</v>
      </c>
      <c r="XS140">
        <v>0</v>
      </c>
      <c r="XT140">
        <v>0</v>
      </c>
      <c r="XU140" cm="1">
        <f t="array" ref="XU140">IFERROR(MAX((_xlfn.ANCHORARRAY(XP140)-AVERAGE(_xlfn.ANCHORARRAY(XP140)))/ AVERAGE(_xlfn.ANCHORARRAY(XP140))),0)</f>
        <v>0</v>
      </c>
      <c r="XV140" t="str" cm="1">
        <f t="array" ref="XV140">IF(AND(XU140&gt;$XV$1,XN140&lt;&gt;""),_xlfn.XLOOKUP(MAX(_xlfn.ANCHORARRAY(XP140)),_xlfn.ANCHORARRAY(XP140),XP$4:XT$4,""),"")</f>
        <v/>
      </c>
      <c r="XX140" cm="1">
        <f t="array" ref="XX140:YG140">SUMIFS($M140:$GJ140,$M$2:$GJ$2,XX$3:YG$3)</f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 cm="1">
        <f t="array" ref="YH140">IFERROR(MAX((_xlfn.ANCHORARRAY(XX140)-AVERAGE(_xlfn.ANCHORARRAY(XX140)))/ AVERAGE(_xlfn.ANCHORARRAY(XX140))),0)</f>
        <v>0</v>
      </c>
      <c r="YI140" t="str" cm="1">
        <f t="array" ref="YI140">IF(YH140&gt;$YI$1,_xlfn.XLOOKUP(MAX(_xlfn.ANCHORARRAY(XX140)),_xlfn.ANCHORARRAY(XX140),XX$4:YG$4,""),"")</f>
        <v/>
      </c>
      <c r="YK140" t="str">
        <f t="shared" si="39"/>
        <v/>
      </c>
    </row>
    <row r="141" spans="2:661" x14ac:dyDescent="0.3">
      <c r="B141" s="2" t="str">
        <f t="shared" si="34"/>
        <v>CHA</v>
      </c>
      <c r="C141" s="2" t="str">
        <f t="shared" si="28"/>
        <v>CHA</v>
      </c>
      <c r="D141" s="2" t="str">
        <f t="shared" si="35"/>
        <v>CHA</v>
      </c>
      <c r="E141" s="2" t="str">
        <f t="shared" si="36"/>
        <v/>
      </c>
      <c r="F141" s="2" t="str">
        <f t="shared" si="29"/>
        <v/>
      </c>
      <c r="G141" s="2">
        <f t="shared" si="37"/>
        <v>0</v>
      </c>
      <c r="H141" s="2">
        <f t="shared" si="38"/>
        <v>0</v>
      </c>
      <c r="I141" s="2">
        <f t="shared" si="30"/>
        <v>0</v>
      </c>
      <c r="J141" s="2">
        <f t="shared" si="31"/>
        <v>0</v>
      </c>
      <c r="K141" s="2">
        <f t="shared" si="32"/>
        <v>0</v>
      </c>
      <c r="L141" s="2">
        <f t="shared" si="33"/>
        <v>0</v>
      </c>
      <c r="XJ141" cm="1">
        <f t="array" ref="XJ141:XL141">SUMIFS($M141:$GJ141,$M$1:$GJ$1,XJ$3:XL$3)</f>
        <v>0</v>
      </c>
      <c r="XK141">
        <v>0</v>
      </c>
      <c r="XL141">
        <v>0</v>
      </c>
      <c r="XM141" cm="1">
        <f t="array" ref="XM141">IFERROR(MAX((_xlfn.ANCHORARRAY(XJ141)-AVERAGE(_xlfn.ANCHORARRAY(XJ141)))/ AVERAGE(_xlfn.ANCHORARRAY(XJ141))),0)</f>
        <v>0</v>
      </c>
      <c r="XN141" t="str" cm="1">
        <f t="array" ref="XN141">IF(XM141&gt;$XN$1,_xlfn.XLOOKUP(MAX(_xlfn.ANCHORARRAY(XJ141)),_xlfn.ANCHORARRAY(XJ141),XJ$4:XL$4,""),"")</f>
        <v/>
      </c>
      <c r="XP141" cm="1">
        <f t="array" ref="XP141:XT141">SUMIFS($M141:$GJ141,$M$3:$GJ$3,XP$3:XT$3)</f>
        <v>0</v>
      </c>
      <c r="XQ141">
        <v>0</v>
      </c>
      <c r="XR141">
        <v>0</v>
      </c>
      <c r="XS141">
        <v>0</v>
      </c>
      <c r="XT141">
        <v>0</v>
      </c>
      <c r="XU141" cm="1">
        <f t="array" ref="XU141">IFERROR(MAX((_xlfn.ANCHORARRAY(XP141)-AVERAGE(_xlfn.ANCHORARRAY(XP141)))/ AVERAGE(_xlfn.ANCHORARRAY(XP141))),0)</f>
        <v>0</v>
      </c>
      <c r="XV141" t="str" cm="1">
        <f t="array" ref="XV141">IF(AND(XU141&gt;$XV$1,XN141&lt;&gt;""),_xlfn.XLOOKUP(MAX(_xlfn.ANCHORARRAY(XP141)),_xlfn.ANCHORARRAY(XP141),XP$4:XT$4,""),"")</f>
        <v/>
      </c>
      <c r="XX141" cm="1">
        <f t="array" ref="XX141:YG141">SUMIFS($M141:$GJ141,$M$2:$GJ$2,XX$3:YG$3)</f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 cm="1">
        <f t="array" ref="YH141">IFERROR(MAX((_xlfn.ANCHORARRAY(XX141)-AVERAGE(_xlfn.ANCHORARRAY(XX141)))/ AVERAGE(_xlfn.ANCHORARRAY(XX141))),0)</f>
        <v>0</v>
      </c>
      <c r="YI141" t="str" cm="1">
        <f t="array" ref="YI141">IF(YH141&gt;$YI$1,_xlfn.XLOOKUP(MAX(_xlfn.ANCHORARRAY(XX141)),_xlfn.ANCHORARRAY(XX141),XX$4:YG$4,""),"")</f>
        <v/>
      </c>
      <c r="YK141" t="str">
        <f t="shared" si="39"/>
        <v/>
      </c>
    </row>
    <row r="142" spans="2:661" x14ac:dyDescent="0.3">
      <c r="B142" s="2" t="str">
        <f t="shared" si="34"/>
        <v>CHA</v>
      </c>
      <c r="C142" s="2" t="str">
        <f t="shared" si="28"/>
        <v>CHA</v>
      </c>
      <c r="D142" s="2" t="str">
        <f t="shared" si="35"/>
        <v>CHA</v>
      </c>
      <c r="E142" s="2" t="str">
        <f t="shared" si="36"/>
        <v/>
      </c>
      <c r="F142" s="2" t="str">
        <f t="shared" si="29"/>
        <v/>
      </c>
      <c r="G142" s="2">
        <f t="shared" si="37"/>
        <v>0</v>
      </c>
      <c r="H142" s="2">
        <f t="shared" si="38"/>
        <v>0</v>
      </c>
      <c r="I142" s="2">
        <f t="shared" si="30"/>
        <v>0</v>
      </c>
      <c r="J142" s="2">
        <f t="shared" si="31"/>
        <v>0</v>
      </c>
      <c r="K142" s="2">
        <f t="shared" si="32"/>
        <v>0</v>
      </c>
      <c r="L142" s="2">
        <f t="shared" si="33"/>
        <v>0</v>
      </c>
      <c r="XJ142" cm="1">
        <f t="array" ref="XJ142:XL142">SUMIFS($M142:$GJ142,$M$1:$GJ$1,XJ$3:XL$3)</f>
        <v>0</v>
      </c>
      <c r="XK142">
        <v>0</v>
      </c>
      <c r="XL142">
        <v>0</v>
      </c>
      <c r="XM142" cm="1">
        <f t="array" ref="XM142">IFERROR(MAX((_xlfn.ANCHORARRAY(XJ142)-AVERAGE(_xlfn.ANCHORARRAY(XJ142)))/ AVERAGE(_xlfn.ANCHORARRAY(XJ142))),0)</f>
        <v>0</v>
      </c>
      <c r="XN142" t="str" cm="1">
        <f t="array" ref="XN142">IF(XM142&gt;$XN$1,_xlfn.XLOOKUP(MAX(_xlfn.ANCHORARRAY(XJ142)),_xlfn.ANCHORARRAY(XJ142),XJ$4:XL$4,""),"")</f>
        <v/>
      </c>
      <c r="XP142" cm="1">
        <f t="array" ref="XP142:XT142">SUMIFS($M142:$GJ142,$M$3:$GJ$3,XP$3:XT$3)</f>
        <v>0</v>
      </c>
      <c r="XQ142">
        <v>0</v>
      </c>
      <c r="XR142">
        <v>0</v>
      </c>
      <c r="XS142">
        <v>0</v>
      </c>
      <c r="XT142">
        <v>0</v>
      </c>
      <c r="XU142" cm="1">
        <f t="array" ref="XU142">IFERROR(MAX((_xlfn.ANCHORARRAY(XP142)-AVERAGE(_xlfn.ANCHORARRAY(XP142)))/ AVERAGE(_xlfn.ANCHORARRAY(XP142))),0)</f>
        <v>0</v>
      </c>
      <c r="XV142" t="str" cm="1">
        <f t="array" ref="XV142">IF(AND(XU142&gt;$XV$1,XN142&lt;&gt;""),_xlfn.XLOOKUP(MAX(_xlfn.ANCHORARRAY(XP142)),_xlfn.ANCHORARRAY(XP142),XP$4:XT$4,""),"")</f>
        <v/>
      </c>
      <c r="XX142" cm="1">
        <f t="array" ref="XX142:YG142">SUMIFS($M142:$GJ142,$M$2:$GJ$2,XX$3:YG$3)</f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 cm="1">
        <f t="array" ref="YH142">IFERROR(MAX((_xlfn.ANCHORARRAY(XX142)-AVERAGE(_xlfn.ANCHORARRAY(XX142)))/ AVERAGE(_xlfn.ANCHORARRAY(XX142))),0)</f>
        <v>0</v>
      </c>
      <c r="YI142" t="str" cm="1">
        <f t="array" ref="YI142">IF(YH142&gt;$YI$1,_xlfn.XLOOKUP(MAX(_xlfn.ANCHORARRAY(XX142)),_xlfn.ANCHORARRAY(XX142),XX$4:YG$4,""),"")</f>
        <v/>
      </c>
      <c r="YK142" t="str">
        <f t="shared" si="39"/>
        <v/>
      </c>
    </row>
    <row r="143" spans="2:661" x14ac:dyDescent="0.3">
      <c r="B143" s="2" t="str">
        <f t="shared" si="34"/>
        <v>CHA</v>
      </c>
      <c r="C143" s="2" t="str">
        <f t="shared" si="28"/>
        <v>CHA</v>
      </c>
      <c r="D143" s="2" t="str">
        <f t="shared" si="35"/>
        <v>CHA</v>
      </c>
      <c r="E143" s="2" t="str">
        <f t="shared" si="36"/>
        <v/>
      </c>
      <c r="F143" s="2" t="str">
        <f t="shared" si="29"/>
        <v/>
      </c>
      <c r="G143" s="2">
        <f t="shared" si="37"/>
        <v>0</v>
      </c>
      <c r="H143" s="2">
        <f t="shared" si="38"/>
        <v>0</v>
      </c>
      <c r="I143" s="2">
        <f t="shared" si="30"/>
        <v>0</v>
      </c>
      <c r="J143" s="2">
        <f t="shared" si="31"/>
        <v>0</v>
      </c>
      <c r="K143" s="2">
        <f t="shared" si="32"/>
        <v>0</v>
      </c>
      <c r="L143" s="2">
        <f t="shared" si="33"/>
        <v>0</v>
      </c>
      <c r="XJ143" cm="1">
        <f t="array" ref="XJ143:XL143">SUMIFS($M143:$GJ143,$M$1:$GJ$1,XJ$3:XL$3)</f>
        <v>0</v>
      </c>
      <c r="XK143">
        <v>0</v>
      </c>
      <c r="XL143">
        <v>0</v>
      </c>
      <c r="XM143" cm="1">
        <f t="array" ref="XM143">IFERROR(MAX((_xlfn.ANCHORARRAY(XJ143)-AVERAGE(_xlfn.ANCHORARRAY(XJ143)))/ AVERAGE(_xlfn.ANCHORARRAY(XJ143))),0)</f>
        <v>0</v>
      </c>
      <c r="XN143" t="str" cm="1">
        <f t="array" ref="XN143">IF(XM143&gt;$XN$1,_xlfn.XLOOKUP(MAX(_xlfn.ANCHORARRAY(XJ143)),_xlfn.ANCHORARRAY(XJ143),XJ$4:XL$4,""),"")</f>
        <v/>
      </c>
      <c r="XP143" cm="1">
        <f t="array" ref="XP143:XT143">SUMIFS($M143:$GJ143,$M$3:$GJ$3,XP$3:XT$3)</f>
        <v>0</v>
      </c>
      <c r="XQ143">
        <v>0</v>
      </c>
      <c r="XR143">
        <v>0</v>
      </c>
      <c r="XS143">
        <v>0</v>
      </c>
      <c r="XT143">
        <v>0</v>
      </c>
      <c r="XU143" cm="1">
        <f t="array" ref="XU143">IFERROR(MAX((_xlfn.ANCHORARRAY(XP143)-AVERAGE(_xlfn.ANCHORARRAY(XP143)))/ AVERAGE(_xlfn.ANCHORARRAY(XP143))),0)</f>
        <v>0</v>
      </c>
      <c r="XV143" t="str" cm="1">
        <f t="array" ref="XV143">IF(AND(XU143&gt;$XV$1,XN143&lt;&gt;""),_xlfn.XLOOKUP(MAX(_xlfn.ANCHORARRAY(XP143)),_xlfn.ANCHORARRAY(XP143),XP$4:XT$4,""),"")</f>
        <v/>
      </c>
      <c r="XX143" cm="1">
        <f t="array" ref="XX143:YG143">SUMIFS($M143:$GJ143,$M$2:$GJ$2,XX$3:YG$3)</f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 cm="1">
        <f t="array" ref="YH143">IFERROR(MAX((_xlfn.ANCHORARRAY(XX143)-AVERAGE(_xlfn.ANCHORARRAY(XX143)))/ AVERAGE(_xlfn.ANCHORARRAY(XX143))),0)</f>
        <v>0</v>
      </c>
      <c r="YI143" t="str" cm="1">
        <f t="array" ref="YI143">IF(YH143&gt;$YI$1,_xlfn.XLOOKUP(MAX(_xlfn.ANCHORARRAY(XX143)),_xlfn.ANCHORARRAY(XX143),XX$4:YG$4,""),"")</f>
        <v/>
      </c>
      <c r="YK143" t="str">
        <f t="shared" si="39"/>
        <v/>
      </c>
    </row>
    <row r="144" spans="2:661" x14ac:dyDescent="0.3">
      <c r="B144" s="2" t="str">
        <f t="shared" si="34"/>
        <v>CHA</v>
      </c>
      <c r="C144" s="2" t="str">
        <f t="shared" si="28"/>
        <v>CHA</v>
      </c>
      <c r="D144" s="2" t="str">
        <f t="shared" si="35"/>
        <v>CHA</v>
      </c>
      <c r="E144" s="2" t="str">
        <f t="shared" si="36"/>
        <v/>
      </c>
      <c r="F144" s="2" t="str">
        <f t="shared" si="29"/>
        <v/>
      </c>
      <c r="G144" s="2">
        <f t="shared" si="37"/>
        <v>0</v>
      </c>
      <c r="H144" s="2">
        <f t="shared" si="38"/>
        <v>0</v>
      </c>
      <c r="I144" s="2">
        <f t="shared" si="30"/>
        <v>0</v>
      </c>
      <c r="J144" s="2">
        <f t="shared" si="31"/>
        <v>0</v>
      </c>
      <c r="K144" s="2">
        <f t="shared" si="32"/>
        <v>0</v>
      </c>
      <c r="L144" s="2">
        <f t="shared" si="33"/>
        <v>0</v>
      </c>
      <c r="XJ144" cm="1">
        <f t="array" ref="XJ144:XL144">SUMIFS($M144:$GJ144,$M$1:$GJ$1,XJ$3:XL$3)</f>
        <v>0</v>
      </c>
      <c r="XK144">
        <v>0</v>
      </c>
      <c r="XL144">
        <v>0</v>
      </c>
      <c r="XM144" cm="1">
        <f t="array" ref="XM144">IFERROR(MAX((_xlfn.ANCHORARRAY(XJ144)-AVERAGE(_xlfn.ANCHORARRAY(XJ144)))/ AVERAGE(_xlfn.ANCHORARRAY(XJ144))),0)</f>
        <v>0</v>
      </c>
      <c r="XN144" t="str" cm="1">
        <f t="array" ref="XN144">IF(XM144&gt;$XN$1,_xlfn.XLOOKUP(MAX(_xlfn.ANCHORARRAY(XJ144)),_xlfn.ANCHORARRAY(XJ144),XJ$4:XL$4,""),"")</f>
        <v/>
      </c>
      <c r="XP144" cm="1">
        <f t="array" ref="XP144:XT144">SUMIFS($M144:$GJ144,$M$3:$GJ$3,XP$3:XT$3)</f>
        <v>0</v>
      </c>
      <c r="XQ144">
        <v>0</v>
      </c>
      <c r="XR144">
        <v>0</v>
      </c>
      <c r="XS144">
        <v>0</v>
      </c>
      <c r="XT144">
        <v>0</v>
      </c>
      <c r="XU144" cm="1">
        <f t="array" ref="XU144">IFERROR(MAX((_xlfn.ANCHORARRAY(XP144)-AVERAGE(_xlfn.ANCHORARRAY(XP144)))/ AVERAGE(_xlfn.ANCHORARRAY(XP144))),0)</f>
        <v>0</v>
      </c>
      <c r="XV144" t="str" cm="1">
        <f t="array" ref="XV144">IF(AND(XU144&gt;$XV$1,XN144&lt;&gt;""),_xlfn.XLOOKUP(MAX(_xlfn.ANCHORARRAY(XP144)),_xlfn.ANCHORARRAY(XP144),XP$4:XT$4,""),"")</f>
        <v/>
      </c>
      <c r="XX144" cm="1">
        <f t="array" ref="XX144:YG144">SUMIFS($M144:$GJ144,$M$2:$GJ$2,XX$3:YG$3)</f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 cm="1">
        <f t="array" ref="YH144">IFERROR(MAX((_xlfn.ANCHORARRAY(XX144)-AVERAGE(_xlfn.ANCHORARRAY(XX144)))/ AVERAGE(_xlfn.ANCHORARRAY(XX144))),0)</f>
        <v>0</v>
      </c>
      <c r="YI144" t="str" cm="1">
        <f t="array" ref="YI144">IF(YH144&gt;$YI$1,_xlfn.XLOOKUP(MAX(_xlfn.ANCHORARRAY(XX144)),_xlfn.ANCHORARRAY(XX144),XX$4:YG$4,""),"")</f>
        <v/>
      </c>
      <c r="YK144" t="str">
        <f t="shared" si="39"/>
        <v/>
      </c>
    </row>
    <row r="145" spans="2:661" x14ac:dyDescent="0.3">
      <c r="B145" s="2" t="str">
        <f t="shared" si="34"/>
        <v>CHA</v>
      </c>
      <c r="C145" s="2" t="str">
        <f t="shared" si="28"/>
        <v>CHA</v>
      </c>
      <c r="D145" s="2" t="str">
        <f t="shared" si="35"/>
        <v>CHA</v>
      </c>
      <c r="E145" s="2" t="str">
        <f t="shared" si="36"/>
        <v/>
      </c>
      <c r="F145" s="2" t="str">
        <f t="shared" si="29"/>
        <v/>
      </c>
      <c r="G145" s="2">
        <f t="shared" si="37"/>
        <v>0</v>
      </c>
      <c r="H145" s="2">
        <f t="shared" si="38"/>
        <v>0</v>
      </c>
      <c r="I145" s="2">
        <f t="shared" si="30"/>
        <v>0</v>
      </c>
      <c r="J145" s="2">
        <f t="shared" si="31"/>
        <v>0</v>
      </c>
      <c r="K145" s="2">
        <f t="shared" si="32"/>
        <v>0</v>
      </c>
      <c r="L145" s="2">
        <f t="shared" si="33"/>
        <v>0</v>
      </c>
      <c r="XJ145" cm="1">
        <f t="array" ref="XJ145:XL145">SUMIFS($M145:$GJ145,$M$1:$GJ$1,XJ$3:XL$3)</f>
        <v>0</v>
      </c>
      <c r="XK145">
        <v>0</v>
      </c>
      <c r="XL145">
        <v>0</v>
      </c>
      <c r="XM145" cm="1">
        <f t="array" ref="XM145">IFERROR(MAX((_xlfn.ANCHORARRAY(XJ145)-AVERAGE(_xlfn.ANCHORARRAY(XJ145)))/ AVERAGE(_xlfn.ANCHORARRAY(XJ145))),0)</f>
        <v>0</v>
      </c>
      <c r="XN145" t="str" cm="1">
        <f t="array" ref="XN145">IF(XM145&gt;$XN$1,_xlfn.XLOOKUP(MAX(_xlfn.ANCHORARRAY(XJ145)),_xlfn.ANCHORARRAY(XJ145),XJ$4:XL$4,""),"")</f>
        <v/>
      </c>
      <c r="XP145" cm="1">
        <f t="array" ref="XP145:XT145">SUMIFS($M145:$GJ145,$M$3:$GJ$3,XP$3:XT$3)</f>
        <v>0</v>
      </c>
      <c r="XQ145">
        <v>0</v>
      </c>
      <c r="XR145">
        <v>0</v>
      </c>
      <c r="XS145">
        <v>0</v>
      </c>
      <c r="XT145">
        <v>0</v>
      </c>
      <c r="XU145" cm="1">
        <f t="array" ref="XU145">IFERROR(MAX((_xlfn.ANCHORARRAY(XP145)-AVERAGE(_xlfn.ANCHORARRAY(XP145)))/ AVERAGE(_xlfn.ANCHORARRAY(XP145))),0)</f>
        <v>0</v>
      </c>
      <c r="XV145" t="str" cm="1">
        <f t="array" ref="XV145">IF(AND(XU145&gt;$XV$1,XN145&lt;&gt;""),_xlfn.XLOOKUP(MAX(_xlfn.ANCHORARRAY(XP145)),_xlfn.ANCHORARRAY(XP145),XP$4:XT$4,""),"")</f>
        <v/>
      </c>
      <c r="XX145" cm="1">
        <f t="array" ref="XX145:YG145">SUMIFS($M145:$GJ145,$M$2:$GJ$2,XX$3:YG$3)</f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 cm="1">
        <f t="array" ref="YH145">IFERROR(MAX((_xlfn.ANCHORARRAY(XX145)-AVERAGE(_xlfn.ANCHORARRAY(XX145)))/ AVERAGE(_xlfn.ANCHORARRAY(XX145))),0)</f>
        <v>0</v>
      </c>
      <c r="YI145" t="str" cm="1">
        <f t="array" ref="YI145">IF(YH145&gt;$YI$1,_xlfn.XLOOKUP(MAX(_xlfn.ANCHORARRAY(XX145)),_xlfn.ANCHORARRAY(XX145),XX$4:YG$4,""),"")</f>
        <v/>
      </c>
      <c r="YK145" t="str">
        <f t="shared" si="39"/>
        <v/>
      </c>
    </row>
    <row r="146" spans="2:661" x14ac:dyDescent="0.3">
      <c r="B146" s="2" t="str">
        <f t="shared" si="34"/>
        <v>CHA</v>
      </c>
      <c r="C146" s="2" t="str">
        <f t="shared" si="28"/>
        <v>CHA</v>
      </c>
      <c r="D146" s="2" t="str">
        <f t="shared" si="35"/>
        <v>CHA</v>
      </c>
      <c r="E146" s="2" t="str">
        <f t="shared" si="36"/>
        <v/>
      </c>
      <c r="F146" s="2" t="str">
        <f t="shared" si="29"/>
        <v/>
      </c>
      <c r="G146" s="2">
        <f t="shared" si="37"/>
        <v>0</v>
      </c>
      <c r="H146" s="2">
        <f t="shared" si="38"/>
        <v>0</v>
      </c>
      <c r="I146" s="2">
        <f t="shared" si="30"/>
        <v>0</v>
      </c>
      <c r="J146" s="2">
        <f t="shared" si="31"/>
        <v>0</v>
      </c>
      <c r="K146" s="2">
        <f t="shared" si="32"/>
        <v>0</v>
      </c>
      <c r="L146" s="2">
        <f t="shared" si="33"/>
        <v>0</v>
      </c>
      <c r="XJ146" cm="1">
        <f t="array" ref="XJ146:XL146">SUMIFS($M146:$GJ146,$M$1:$GJ$1,XJ$3:XL$3)</f>
        <v>0</v>
      </c>
      <c r="XK146">
        <v>0</v>
      </c>
      <c r="XL146">
        <v>0</v>
      </c>
      <c r="XM146" cm="1">
        <f t="array" ref="XM146">IFERROR(MAX((_xlfn.ANCHORARRAY(XJ146)-AVERAGE(_xlfn.ANCHORARRAY(XJ146)))/ AVERAGE(_xlfn.ANCHORARRAY(XJ146))),0)</f>
        <v>0</v>
      </c>
      <c r="XN146" t="str" cm="1">
        <f t="array" ref="XN146">IF(XM146&gt;$XN$1,_xlfn.XLOOKUP(MAX(_xlfn.ANCHORARRAY(XJ146)),_xlfn.ANCHORARRAY(XJ146),XJ$4:XL$4,""),"")</f>
        <v/>
      </c>
      <c r="XP146" cm="1">
        <f t="array" ref="XP146:XT146">SUMIFS($M146:$GJ146,$M$3:$GJ$3,XP$3:XT$3)</f>
        <v>0</v>
      </c>
      <c r="XQ146">
        <v>0</v>
      </c>
      <c r="XR146">
        <v>0</v>
      </c>
      <c r="XS146">
        <v>0</v>
      </c>
      <c r="XT146">
        <v>0</v>
      </c>
      <c r="XU146" cm="1">
        <f t="array" ref="XU146">IFERROR(MAX((_xlfn.ANCHORARRAY(XP146)-AVERAGE(_xlfn.ANCHORARRAY(XP146)))/ AVERAGE(_xlfn.ANCHORARRAY(XP146))),0)</f>
        <v>0</v>
      </c>
      <c r="XV146" t="str" cm="1">
        <f t="array" ref="XV146">IF(AND(XU146&gt;$XV$1,XN146&lt;&gt;""),_xlfn.XLOOKUP(MAX(_xlfn.ANCHORARRAY(XP146)),_xlfn.ANCHORARRAY(XP146),XP$4:XT$4,""),"")</f>
        <v/>
      </c>
      <c r="XX146" cm="1">
        <f t="array" ref="XX146:YG146">SUMIFS($M146:$GJ146,$M$2:$GJ$2,XX$3:YG$3)</f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 cm="1">
        <f t="array" ref="YH146">IFERROR(MAX((_xlfn.ANCHORARRAY(XX146)-AVERAGE(_xlfn.ANCHORARRAY(XX146)))/ AVERAGE(_xlfn.ANCHORARRAY(XX146))),0)</f>
        <v>0</v>
      </c>
      <c r="YI146" t="str" cm="1">
        <f t="array" ref="YI146">IF(YH146&gt;$YI$1,_xlfn.XLOOKUP(MAX(_xlfn.ANCHORARRAY(XX146)),_xlfn.ANCHORARRAY(XX146),XX$4:YG$4,""),"")</f>
        <v/>
      </c>
      <c r="YK146" t="str">
        <f t="shared" si="39"/>
        <v/>
      </c>
    </row>
    <row r="147" spans="2:661" x14ac:dyDescent="0.3">
      <c r="B147" s="2" t="str">
        <f t="shared" si="34"/>
        <v>CHA</v>
      </c>
      <c r="C147" s="2" t="str">
        <f t="shared" si="28"/>
        <v>CHA</v>
      </c>
      <c r="D147" s="2" t="str">
        <f t="shared" si="35"/>
        <v>CHA</v>
      </c>
      <c r="E147" s="2" t="str">
        <f t="shared" si="36"/>
        <v/>
      </c>
      <c r="F147" s="2" t="str">
        <f t="shared" si="29"/>
        <v/>
      </c>
      <c r="G147" s="2">
        <f t="shared" si="37"/>
        <v>0</v>
      </c>
      <c r="H147" s="2">
        <f t="shared" si="38"/>
        <v>0</v>
      </c>
      <c r="I147" s="2">
        <f t="shared" si="30"/>
        <v>0</v>
      </c>
      <c r="J147" s="2">
        <f t="shared" si="31"/>
        <v>0</v>
      </c>
      <c r="K147" s="2">
        <f t="shared" si="32"/>
        <v>0</v>
      </c>
      <c r="L147" s="2">
        <f t="shared" si="33"/>
        <v>0</v>
      </c>
      <c r="XJ147" cm="1">
        <f t="array" ref="XJ147:XL147">SUMIFS($M147:$GJ147,$M$1:$GJ$1,XJ$3:XL$3)</f>
        <v>0</v>
      </c>
      <c r="XK147">
        <v>0</v>
      </c>
      <c r="XL147">
        <v>0</v>
      </c>
      <c r="XM147" cm="1">
        <f t="array" ref="XM147">IFERROR(MAX((_xlfn.ANCHORARRAY(XJ147)-AVERAGE(_xlfn.ANCHORARRAY(XJ147)))/ AVERAGE(_xlfn.ANCHORARRAY(XJ147))),0)</f>
        <v>0</v>
      </c>
      <c r="XN147" t="str" cm="1">
        <f t="array" ref="XN147">IF(XM147&gt;$XN$1,_xlfn.XLOOKUP(MAX(_xlfn.ANCHORARRAY(XJ147)),_xlfn.ANCHORARRAY(XJ147),XJ$4:XL$4,""),"")</f>
        <v/>
      </c>
      <c r="XP147" cm="1">
        <f t="array" ref="XP147:XT147">SUMIFS($M147:$GJ147,$M$3:$GJ$3,XP$3:XT$3)</f>
        <v>0</v>
      </c>
      <c r="XQ147">
        <v>0</v>
      </c>
      <c r="XR147">
        <v>0</v>
      </c>
      <c r="XS147">
        <v>0</v>
      </c>
      <c r="XT147">
        <v>0</v>
      </c>
      <c r="XU147" cm="1">
        <f t="array" ref="XU147">IFERROR(MAX((_xlfn.ANCHORARRAY(XP147)-AVERAGE(_xlfn.ANCHORARRAY(XP147)))/ AVERAGE(_xlfn.ANCHORARRAY(XP147))),0)</f>
        <v>0</v>
      </c>
      <c r="XV147" t="str" cm="1">
        <f t="array" ref="XV147">IF(AND(XU147&gt;$XV$1,XN147&lt;&gt;""),_xlfn.XLOOKUP(MAX(_xlfn.ANCHORARRAY(XP147)),_xlfn.ANCHORARRAY(XP147),XP$4:XT$4,""),"")</f>
        <v/>
      </c>
      <c r="XX147" cm="1">
        <f t="array" ref="XX147:YG147">SUMIFS($M147:$GJ147,$M$2:$GJ$2,XX$3:YG$3)</f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 cm="1">
        <f t="array" ref="YH147">IFERROR(MAX((_xlfn.ANCHORARRAY(XX147)-AVERAGE(_xlfn.ANCHORARRAY(XX147)))/ AVERAGE(_xlfn.ANCHORARRAY(XX147))),0)</f>
        <v>0</v>
      </c>
      <c r="YI147" t="str" cm="1">
        <f t="array" ref="YI147">IF(YH147&gt;$YI$1,_xlfn.XLOOKUP(MAX(_xlfn.ANCHORARRAY(XX147)),_xlfn.ANCHORARRAY(XX147),XX$4:YG$4,""),"")</f>
        <v/>
      </c>
      <c r="YK147" t="str">
        <f t="shared" si="39"/>
        <v/>
      </c>
    </row>
    <row r="148" spans="2:661" x14ac:dyDescent="0.3">
      <c r="B148" s="2" t="str">
        <f t="shared" si="34"/>
        <v>CHA</v>
      </c>
      <c r="C148" s="2" t="str">
        <f t="shared" si="28"/>
        <v>CHA</v>
      </c>
      <c r="D148" s="2" t="str">
        <f t="shared" si="35"/>
        <v>CHA</v>
      </c>
      <c r="E148" s="2" t="str">
        <f t="shared" si="36"/>
        <v/>
      </c>
      <c r="F148" s="2" t="str">
        <f t="shared" si="29"/>
        <v/>
      </c>
      <c r="G148" s="2">
        <f t="shared" si="37"/>
        <v>0</v>
      </c>
      <c r="H148" s="2">
        <f t="shared" si="38"/>
        <v>0</v>
      </c>
      <c r="I148" s="2">
        <f t="shared" si="30"/>
        <v>0</v>
      </c>
      <c r="J148" s="2">
        <f t="shared" si="31"/>
        <v>0</v>
      </c>
      <c r="K148" s="2">
        <f t="shared" si="32"/>
        <v>0</v>
      </c>
      <c r="L148" s="2">
        <f t="shared" si="33"/>
        <v>0</v>
      </c>
      <c r="XJ148" cm="1">
        <f t="array" ref="XJ148:XL148">SUMIFS($M148:$GJ148,$M$1:$GJ$1,XJ$3:XL$3)</f>
        <v>0</v>
      </c>
      <c r="XK148">
        <v>0</v>
      </c>
      <c r="XL148">
        <v>0</v>
      </c>
      <c r="XM148" cm="1">
        <f t="array" ref="XM148">IFERROR(MAX((_xlfn.ANCHORARRAY(XJ148)-AVERAGE(_xlfn.ANCHORARRAY(XJ148)))/ AVERAGE(_xlfn.ANCHORARRAY(XJ148))),0)</f>
        <v>0</v>
      </c>
      <c r="XN148" t="str" cm="1">
        <f t="array" ref="XN148">IF(XM148&gt;$XN$1,_xlfn.XLOOKUP(MAX(_xlfn.ANCHORARRAY(XJ148)),_xlfn.ANCHORARRAY(XJ148),XJ$4:XL$4,""),"")</f>
        <v/>
      </c>
      <c r="XP148" cm="1">
        <f t="array" ref="XP148:XT148">SUMIFS($M148:$GJ148,$M$3:$GJ$3,XP$3:XT$3)</f>
        <v>0</v>
      </c>
      <c r="XQ148">
        <v>0</v>
      </c>
      <c r="XR148">
        <v>0</v>
      </c>
      <c r="XS148">
        <v>0</v>
      </c>
      <c r="XT148">
        <v>0</v>
      </c>
      <c r="XU148" cm="1">
        <f t="array" ref="XU148">IFERROR(MAX((_xlfn.ANCHORARRAY(XP148)-AVERAGE(_xlfn.ANCHORARRAY(XP148)))/ AVERAGE(_xlfn.ANCHORARRAY(XP148))),0)</f>
        <v>0</v>
      </c>
      <c r="XV148" t="str" cm="1">
        <f t="array" ref="XV148">IF(AND(XU148&gt;$XV$1,XN148&lt;&gt;""),_xlfn.XLOOKUP(MAX(_xlfn.ANCHORARRAY(XP148)),_xlfn.ANCHORARRAY(XP148),XP$4:XT$4,""),"")</f>
        <v/>
      </c>
      <c r="XX148" cm="1">
        <f t="array" ref="XX148:YG148">SUMIFS($M148:$GJ148,$M$2:$GJ$2,XX$3:YG$3)</f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 cm="1">
        <f t="array" ref="YH148">IFERROR(MAX((_xlfn.ANCHORARRAY(XX148)-AVERAGE(_xlfn.ANCHORARRAY(XX148)))/ AVERAGE(_xlfn.ANCHORARRAY(XX148))),0)</f>
        <v>0</v>
      </c>
      <c r="YI148" t="str" cm="1">
        <f t="array" ref="YI148">IF(YH148&gt;$YI$1,_xlfn.XLOOKUP(MAX(_xlfn.ANCHORARRAY(XX148)),_xlfn.ANCHORARRAY(XX148),XX$4:YG$4,""),"")</f>
        <v/>
      </c>
      <c r="YK148" t="str">
        <f t="shared" si="39"/>
        <v/>
      </c>
    </row>
    <row r="149" spans="2:661" x14ac:dyDescent="0.3">
      <c r="B149" s="2" t="str">
        <f t="shared" si="34"/>
        <v>CHA</v>
      </c>
      <c r="C149" s="2" t="str">
        <f t="shared" si="28"/>
        <v>CHA</v>
      </c>
      <c r="D149" s="2" t="str">
        <f t="shared" si="35"/>
        <v>CHA</v>
      </c>
      <c r="E149" s="2" t="str">
        <f t="shared" si="36"/>
        <v/>
      </c>
      <c r="F149" s="2" t="str">
        <f t="shared" si="29"/>
        <v/>
      </c>
      <c r="G149" s="2">
        <f t="shared" si="37"/>
        <v>0</v>
      </c>
      <c r="H149" s="2">
        <f t="shared" si="38"/>
        <v>0</v>
      </c>
      <c r="I149" s="2">
        <f t="shared" si="30"/>
        <v>0</v>
      </c>
      <c r="J149" s="2">
        <f t="shared" si="31"/>
        <v>0</v>
      </c>
      <c r="K149" s="2">
        <f t="shared" si="32"/>
        <v>0</v>
      </c>
      <c r="L149" s="2">
        <f t="shared" si="33"/>
        <v>0</v>
      </c>
      <c r="XJ149" cm="1">
        <f t="array" ref="XJ149:XL149">SUMIFS($M149:$GJ149,$M$1:$GJ$1,XJ$3:XL$3)</f>
        <v>0</v>
      </c>
      <c r="XK149">
        <v>0</v>
      </c>
      <c r="XL149">
        <v>0</v>
      </c>
      <c r="XM149" cm="1">
        <f t="array" ref="XM149">IFERROR(MAX((_xlfn.ANCHORARRAY(XJ149)-AVERAGE(_xlfn.ANCHORARRAY(XJ149)))/ AVERAGE(_xlfn.ANCHORARRAY(XJ149))),0)</f>
        <v>0</v>
      </c>
      <c r="XN149" t="str" cm="1">
        <f t="array" ref="XN149">IF(XM149&gt;$XN$1,_xlfn.XLOOKUP(MAX(_xlfn.ANCHORARRAY(XJ149)),_xlfn.ANCHORARRAY(XJ149),XJ$4:XL$4,""),"")</f>
        <v/>
      </c>
      <c r="XP149" cm="1">
        <f t="array" ref="XP149:XT149">SUMIFS($M149:$GJ149,$M$3:$GJ$3,XP$3:XT$3)</f>
        <v>0</v>
      </c>
      <c r="XQ149">
        <v>0</v>
      </c>
      <c r="XR149">
        <v>0</v>
      </c>
      <c r="XS149">
        <v>0</v>
      </c>
      <c r="XT149">
        <v>0</v>
      </c>
      <c r="XU149" cm="1">
        <f t="array" ref="XU149">IFERROR(MAX((_xlfn.ANCHORARRAY(XP149)-AVERAGE(_xlfn.ANCHORARRAY(XP149)))/ AVERAGE(_xlfn.ANCHORARRAY(XP149))),0)</f>
        <v>0</v>
      </c>
      <c r="XV149" t="str" cm="1">
        <f t="array" ref="XV149">IF(AND(XU149&gt;$XV$1,XN149&lt;&gt;""),_xlfn.XLOOKUP(MAX(_xlfn.ANCHORARRAY(XP149)),_xlfn.ANCHORARRAY(XP149),XP$4:XT$4,""),"")</f>
        <v/>
      </c>
      <c r="XX149" cm="1">
        <f t="array" ref="XX149:YG149">SUMIFS($M149:$GJ149,$M$2:$GJ$2,XX$3:YG$3)</f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 cm="1">
        <f t="array" ref="YH149">IFERROR(MAX((_xlfn.ANCHORARRAY(XX149)-AVERAGE(_xlfn.ANCHORARRAY(XX149)))/ AVERAGE(_xlfn.ANCHORARRAY(XX149))),0)</f>
        <v>0</v>
      </c>
      <c r="YI149" t="str" cm="1">
        <f t="array" ref="YI149">IF(YH149&gt;$YI$1,_xlfn.XLOOKUP(MAX(_xlfn.ANCHORARRAY(XX149)),_xlfn.ANCHORARRAY(XX149),XX$4:YG$4,""),"")</f>
        <v/>
      </c>
      <c r="YK149" t="str">
        <f t="shared" si="39"/>
        <v/>
      </c>
    </row>
    <row r="150" spans="2:661" x14ac:dyDescent="0.3">
      <c r="B150" s="2" t="str">
        <f t="shared" si="34"/>
        <v>CHA</v>
      </c>
      <c r="C150" s="2" t="str">
        <f t="shared" si="28"/>
        <v>CHA</v>
      </c>
      <c r="D150" s="2" t="str">
        <f t="shared" si="35"/>
        <v>CHA</v>
      </c>
      <c r="E150" s="2" t="str">
        <f t="shared" si="36"/>
        <v/>
      </c>
      <c r="F150" s="2" t="str">
        <f t="shared" si="29"/>
        <v/>
      </c>
      <c r="G150" s="2">
        <f t="shared" si="37"/>
        <v>0</v>
      </c>
      <c r="H150" s="2">
        <f t="shared" si="38"/>
        <v>0</v>
      </c>
      <c r="I150" s="2">
        <f t="shared" si="30"/>
        <v>0</v>
      </c>
      <c r="J150" s="2">
        <f t="shared" si="31"/>
        <v>0</v>
      </c>
      <c r="K150" s="2">
        <f t="shared" si="32"/>
        <v>0</v>
      </c>
      <c r="L150" s="2">
        <f t="shared" si="33"/>
        <v>0</v>
      </c>
      <c r="XJ150" cm="1">
        <f t="array" ref="XJ150:XL150">SUMIFS($M150:$GJ150,$M$1:$GJ$1,XJ$3:XL$3)</f>
        <v>0</v>
      </c>
      <c r="XK150">
        <v>0</v>
      </c>
      <c r="XL150">
        <v>0</v>
      </c>
      <c r="XM150" cm="1">
        <f t="array" ref="XM150">IFERROR(MAX((_xlfn.ANCHORARRAY(XJ150)-AVERAGE(_xlfn.ANCHORARRAY(XJ150)))/ AVERAGE(_xlfn.ANCHORARRAY(XJ150))),0)</f>
        <v>0</v>
      </c>
      <c r="XN150" t="str" cm="1">
        <f t="array" ref="XN150">IF(XM150&gt;$XN$1,_xlfn.XLOOKUP(MAX(_xlfn.ANCHORARRAY(XJ150)),_xlfn.ANCHORARRAY(XJ150),XJ$4:XL$4,""),"")</f>
        <v/>
      </c>
      <c r="XP150" cm="1">
        <f t="array" ref="XP150:XT150">SUMIFS($M150:$GJ150,$M$3:$GJ$3,XP$3:XT$3)</f>
        <v>0</v>
      </c>
      <c r="XQ150">
        <v>0</v>
      </c>
      <c r="XR150">
        <v>0</v>
      </c>
      <c r="XS150">
        <v>0</v>
      </c>
      <c r="XT150">
        <v>0</v>
      </c>
      <c r="XU150" cm="1">
        <f t="array" ref="XU150">IFERROR(MAX((_xlfn.ANCHORARRAY(XP150)-AVERAGE(_xlfn.ANCHORARRAY(XP150)))/ AVERAGE(_xlfn.ANCHORARRAY(XP150))),0)</f>
        <v>0</v>
      </c>
      <c r="XV150" t="str" cm="1">
        <f t="array" ref="XV150">IF(AND(XU150&gt;$XV$1,XN150&lt;&gt;""),_xlfn.XLOOKUP(MAX(_xlfn.ANCHORARRAY(XP150)),_xlfn.ANCHORARRAY(XP150),XP$4:XT$4,""),"")</f>
        <v/>
      </c>
      <c r="XX150" cm="1">
        <f t="array" ref="XX150:YG150">SUMIFS($M150:$GJ150,$M$2:$GJ$2,XX$3:YG$3)</f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 cm="1">
        <f t="array" ref="YH150">IFERROR(MAX((_xlfn.ANCHORARRAY(XX150)-AVERAGE(_xlfn.ANCHORARRAY(XX150)))/ AVERAGE(_xlfn.ANCHORARRAY(XX150))),0)</f>
        <v>0</v>
      </c>
      <c r="YI150" t="str" cm="1">
        <f t="array" ref="YI150">IF(YH150&gt;$YI$1,_xlfn.XLOOKUP(MAX(_xlfn.ANCHORARRAY(XX150)),_xlfn.ANCHORARRAY(XX150),XX$4:YG$4,""),"")</f>
        <v/>
      </c>
      <c r="YK150" t="str">
        <f t="shared" si="39"/>
        <v/>
      </c>
    </row>
    <row r="151" spans="2:661" x14ac:dyDescent="0.3">
      <c r="B151" s="2" t="str">
        <f t="shared" si="34"/>
        <v>CHA</v>
      </c>
      <c r="C151" s="2" t="str">
        <f t="shared" si="28"/>
        <v>CHA</v>
      </c>
      <c r="D151" s="2" t="str">
        <f t="shared" si="35"/>
        <v>CHA</v>
      </c>
      <c r="E151" s="2" t="str">
        <f t="shared" si="36"/>
        <v/>
      </c>
      <c r="F151" s="2" t="str">
        <f t="shared" si="29"/>
        <v/>
      </c>
      <c r="G151" s="2">
        <f t="shared" si="37"/>
        <v>0</v>
      </c>
      <c r="H151" s="2">
        <f t="shared" si="38"/>
        <v>0</v>
      </c>
      <c r="I151" s="2">
        <f t="shared" si="30"/>
        <v>0</v>
      </c>
      <c r="J151" s="2">
        <f t="shared" si="31"/>
        <v>0</v>
      </c>
      <c r="K151" s="2">
        <f t="shared" si="32"/>
        <v>0</v>
      </c>
      <c r="L151" s="2">
        <f t="shared" si="33"/>
        <v>0</v>
      </c>
      <c r="XJ151" cm="1">
        <f t="array" ref="XJ151:XL151">SUMIFS($M151:$GJ151,$M$1:$GJ$1,XJ$3:XL$3)</f>
        <v>0</v>
      </c>
      <c r="XK151">
        <v>0</v>
      </c>
      <c r="XL151">
        <v>0</v>
      </c>
      <c r="XM151" cm="1">
        <f t="array" ref="XM151">IFERROR(MAX((_xlfn.ANCHORARRAY(XJ151)-AVERAGE(_xlfn.ANCHORARRAY(XJ151)))/ AVERAGE(_xlfn.ANCHORARRAY(XJ151))),0)</f>
        <v>0</v>
      </c>
      <c r="XN151" t="str" cm="1">
        <f t="array" ref="XN151">IF(XM151&gt;$XN$1,_xlfn.XLOOKUP(MAX(_xlfn.ANCHORARRAY(XJ151)),_xlfn.ANCHORARRAY(XJ151),XJ$4:XL$4,""),"")</f>
        <v/>
      </c>
      <c r="XP151" cm="1">
        <f t="array" ref="XP151:XT151">SUMIFS($M151:$GJ151,$M$3:$GJ$3,XP$3:XT$3)</f>
        <v>0</v>
      </c>
      <c r="XQ151">
        <v>0</v>
      </c>
      <c r="XR151">
        <v>0</v>
      </c>
      <c r="XS151">
        <v>0</v>
      </c>
      <c r="XT151">
        <v>0</v>
      </c>
      <c r="XU151" cm="1">
        <f t="array" ref="XU151">IFERROR(MAX((_xlfn.ANCHORARRAY(XP151)-AVERAGE(_xlfn.ANCHORARRAY(XP151)))/ AVERAGE(_xlfn.ANCHORARRAY(XP151))),0)</f>
        <v>0</v>
      </c>
      <c r="XV151" t="str" cm="1">
        <f t="array" ref="XV151">IF(AND(XU151&gt;$XV$1,XN151&lt;&gt;""),_xlfn.XLOOKUP(MAX(_xlfn.ANCHORARRAY(XP151)),_xlfn.ANCHORARRAY(XP151),XP$4:XT$4,""),"")</f>
        <v/>
      </c>
      <c r="XX151" cm="1">
        <f t="array" ref="XX151:YG151">SUMIFS($M151:$GJ151,$M$2:$GJ$2,XX$3:YG$3)</f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 cm="1">
        <f t="array" ref="YH151">IFERROR(MAX((_xlfn.ANCHORARRAY(XX151)-AVERAGE(_xlfn.ANCHORARRAY(XX151)))/ AVERAGE(_xlfn.ANCHORARRAY(XX151))),0)</f>
        <v>0</v>
      </c>
      <c r="YI151" t="str" cm="1">
        <f t="array" ref="YI151">IF(YH151&gt;$YI$1,_xlfn.XLOOKUP(MAX(_xlfn.ANCHORARRAY(XX151)),_xlfn.ANCHORARRAY(XX151),XX$4:YG$4,""),"")</f>
        <v/>
      </c>
      <c r="YK151" t="str">
        <f t="shared" si="39"/>
        <v/>
      </c>
    </row>
    <row r="152" spans="2:661" x14ac:dyDescent="0.3">
      <c r="B152" s="2" t="str">
        <f t="shared" si="34"/>
        <v>CHA</v>
      </c>
      <c r="C152" s="2" t="str">
        <f t="shared" si="28"/>
        <v>CHA</v>
      </c>
      <c r="D152" s="2" t="str">
        <f t="shared" si="35"/>
        <v>CHA</v>
      </c>
      <c r="E152" s="2" t="str">
        <f t="shared" si="36"/>
        <v/>
      </c>
      <c r="F152" s="2" t="str">
        <f t="shared" si="29"/>
        <v/>
      </c>
      <c r="G152" s="2">
        <f t="shared" si="37"/>
        <v>0</v>
      </c>
      <c r="H152" s="2">
        <f t="shared" si="38"/>
        <v>0</v>
      </c>
      <c r="I152" s="2">
        <f t="shared" si="30"/>
        <v>0</v>
      </c>
      <c r="J152" s="2">
        <f t="shared" si="31"/>
        <v>0</v>
      </c>
      <c r="K152" s="2">
        <f t="shared" si="32"/>
        <v>0</v>
      </c>
      <c r="L152" s="2">
        <f t="shared" si="33"/>
        <v>0</v>
      </c>
      <c r="XJ152" cm="1">
        <f t="array" ref="XJ152:XL152">SUMIFS($M152:$GJ152,$M$1:$GJ$1,XJ$3:XL$3)</f>
        <v>0</v>
      </c>
      <c r="XK152">
        <v>0</v>
      </c>
      <c r="XL152">
        <v>0</v>
      </c>
      <c r="XM152" cm="1">
        <f t="array" ref="XM152">IFERROR(MAX((_xlfn.ANCHORARRAY(XJ152)-AVERAGE(_xlfn.ANCHORARRAY(XJ152)))/ AVERAGE(_xlfn.ANCHORARRAY(XJ152))),0)</f>
        <v>0</v>
      </c>
      <c r="XN152" t="str" cm="1">
        <f t="array" ref="XN152">IF(XM152&gt;$XN$1,_xlfn.XLOOKUP(MAX(_xlfn.ANCHORARRAY(XJ152)),_xlfn.ANCHORARRAY(XJ152),XJ$4:XL$4,""),"")</f>
        <v/>
      </c>
      <c r="XP152" cm="1">
        <f t="array" ref="XP152:XT152">SUMIFS($M152:$GJ152,$M$3:$GJ$3,XP$3:XT$3)</f>
        <v>0</v>
      </c>
      <c r="XQ152">
        <v>0</v>
      </c>
      <c r="XR152">
        <v>0</v>
      </c>
      <c r="XS152">
        <v>0</v>
      </c>
      <c r="XT152">
        <v>0</v>
      </c>
      <c r="XU152" cm="1">
        <f t="array" ref="XU152">IFERROR(MAX((_xlfn.ANCHORARRAY(XP152)-AVERAGE(_xlfn.ANCHORARRAY(XP152)))/ AVERAGE(_xlfn.ANCHORARRAY(XP152))),0)</f>
        <v>0</v>
      </c>
      <c r="XV152" t="str" cm="1">
        <f t="array" ref="XV152">IF(AND(XU152&gt;$XV$1,XN152&lt;&gt;""),_xlfn.XLOOKUP(MAX(_xlfn.ANCHORARRAY(XP152)),_xlfn.ANCHORARRAY(XP152),XP$4:XT$4,""),"")</f>
        <v/>
      </c>
      <c r="XX152" cm="1">
        <f t="array" ref="XX152:YG152">SUMIFS($M152:$GJ152,$M$2:$GJ$2,XX$3:YG$3)</f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 cm="1">
        <f t="array" ref="YH152">IFERROR(MAX((_xlfn.ANCHORARRAY(XX152)-AVERAGE(_xlfn.ANCHORARRAY(XX152)))/ AVERAGE(_xlfn.ANCHORARRAY(XX152))),0)</f>
        <v>0</v>
      </c>
      <c r="YI152" t="str" cm="1">
        <f t="array" ref="YI152">IF(YH152&gt;$YI$1,_xlfn.XLOOKUP(MAX(_xlfn.ANCHORARRAY(XX152)),_xlfn.ANCHORARRAY(XX152),XX$4:YG$4,""),"")</f>
        <v/>
      </c>
      <c r="YK152" t="str">
        <f t="shared" si="39"/>
        <v/>
      </c>
    </row>
    <row r="153" spans="2:661" x14ac:dyDescent="0.3">
      <c r="B153" s="2" t="str">
        <f t="shared" si="34"/>
        <v>CHA</v>
      </c>
      <c r="C153" s="2" t="str">
        <f t="shared" si="28"/>
        <v>CHA</v>
      </c>
      <c r="D153" s="2" t="str">
        <f t="shared" si="35"/>
        <v>CHA</v>
      </c>
      <c r="E153" s="2" t="str">
        <f t="shared" si="36"/>
        <v/>
      </c>
      <c r="F153" s="2" t="str">
        <f t="shared" si="29"/>
        <v/>
      </c>
      <c r="G153" s="2">
        <f t="shared" si="37"/>
        <v>0</v>
      </c>
      <c r="H153" s="2">
        <f t="shared" si="38"/>
        <v>0</v>
      </c>
      <c r="I153" s="2">
        <f t="shared" si="30"/>
        <v>0</v>
      </c>
      <c r="J153" s="2">
        <f t="shared" si="31"/>
        <v>0</v>
      </c>
      <c r="K153" s="2">
        <f t="shared" si="32"/>
        <v>0</v>
      </c>
      <c r="L153" s="2">
        <f t="shared" si="33"/>
        <v>0</v>
      </c>
      <c r="XJ153" cm="1">
        <f t="array" ref="XJ153:XL153">SUMIFS($M153:$GJ153,$M$1:$GJ$1,XJ$3:XL$3)</f>
        <v>0</v>
      </c>
      <c r="XK153">
        <v>0</v>
      </c>
      <c r="XL153">
        <v>0</v>
      </c>
      <c r="XM153" cm="1">
        <f t="array" ref="XM153">IFERROR(MAX((_xlfn.ANCHORARRAY(XJ153)-AVERAGE(_xlfn.ANCHORARRAY(XJ153)))/ AVERAGE(_xlfn.ANCHORARRAY(XJ153))),0)</f>
        <v>0</v>
      </c>
      <c r="XN153" t="str" cm="1">
        <f t="array" ref="XN153">IF(XM153&gt;$XN$1,_xlfn.XLOOKUP(MAX(_xlfn.ANCHORARRAY(XJ153)),_xlfn.ANCHORARRAY(XJ153),XJ$4:XL$4,""),"")</f>
        <v/>
      </c>
      <c r="XP153" cm="1">
        <f t="array" ref="XP153:XT153">SUMIFS($M153:$GJ153,$M$3:$GJ$3,XP$3:XT$3)</f>
        <v>0</v>
      </c>
      <c r="XQ153">
        <v>0</v>
      </c>
      <c r="XR153">
        <v>0</v>
      </c>
      <c r="XS153">
        <v>0</v>
      </c>
      <c r="XT153">
        <v>0</v>
      </c>
      <c r="XU153" cm="1">
        <f t="array" ref="XU153">IFERROR(MAX((_xlfn.ANCHORARRAY(XP153)-AVERAGE(_xlfn.ANCHORARRAY(XP153)))/ AVERAGE(_xlfn.ANCHORARRAY(XP153))),0)</f>
        <v>0</v>
      </c>
      <c r="XV153" t="str" cm="1">
        <f t="array" ref="XV153">IF(AND(XU153&gt;$XV$1,XN153&lt;&gt;""),_xlfn.XLOOKUP(MAX(_xlfn.ANCHORARRAY(XP153)),_xlfn.ANCHORARRAY(XP153),XP$4:XT$4,""),"")</f>
        <v/>
      </c>
      <c r="XX153" cm="1">
        <f t="array" ref="XX153:YG153">SUMIFS($M153:$GJ153,$M$2:$GJ$2,XX$3:YG$3)</f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 cm="1">
        <f t="array" ref="YH153">IFERROR(MAX((_xlfn.ANCHORARRAY(XX153)-AVERAGE(_xlfn.ANCHORARRAY(XX153)))/ AVERAGE(_xlfn.ANCHORARRAY(XX153))),0)</f>
        <v>0</v>
      </c>
      <c r="YI153" t="str" cm="1">
        <f t="array" ref="YI153">IF(YH153&gt;$YI$1,_xlfn.XLOOKUP(MAX(_xlfn.ANCHORARRAY(XX153)),_xlfn.ANCHORARRAY(XX153),XX$4:YG$4,""),"")</f>
        <v/>
      </c>
      <c r="YK153" t="str">
        <f t="shared" si="39"/>
        <v/>
      </c>
    </row>
    <row r="154" spans="2:661" x14ac:dyDescent="0.3">
      <c r="B154" s="2" t="str">
        <f t="shared" si="34"/>
        <v>CHA</v>
      </c>
      <c r="C154" s="2" t="str">
        <f t="shared" si="28"/>
        <v>CHA</v>
      </c>
      <c r="D154" s="2" t="str">
        <f t="shared" si="35"/>
        <v>CHA</v>
      </c>
      <c r="E154" s="2" t="str">
        <f t="shared" si="36"/>
        <v/>
      </c>
      <c r="F154" s="2" t="str">
        <f t="shared" si="29"/>
        <v/>
      </c>
      <c r="G154" s="2">
        <f t="shared" si="37"/>
        <v>0</v>
      </c>
      <c r="H154" s="2">
        <f t="shared" si="38"/>
        <v>0</v>
      </c>
      <c r="I154" s="2">
        <f t="shared" si="30"/>
        <v>0</v>
      </c>
      <c r="J154" s="2">
        <f t="shared" si="31"/>
        <v>0</v>
      </c>
      <c r="K154" s="2">
        <f t="shared" si="32"/>
        <v>0</v>
      </c>
      <c r="L154" s="2">
        <f t="shared" si="33"/>
        <v>0</v>
      </c>
      <c r="XJ154" cm="1">
        <f t="array" ref="XJ154:XL154">SUMIFS($M154:$GJ154,$M$1:$GJ$1,XJ$3:XL$3)</f>
        <v>0</v>
      </c>
      <c r="XK154">
        <v>0</v>
      </c>
      <c r="XL154">
        <v>0</v>
      </c>
      <c r="XM154" cm="1">
        <f t="array" ref="XM154">IFERROR(MAX((_xlfn.ANCHORARRAY(XJ154)-AVERAGE(_xlfn.ANCHORARRAY(XJ154)))/ AVERAGE(_xlfn.ANCHORARRAY(XJ154))),0)</f>
        <v>0</v>
      </c>
      <c r="XN154" t="str" cm="1">
        <f t="array" ref="XN154">IF(XM154&gt;$XN$1,_xlfn.XLOOKUP(MAX(_xlfn.ANCHORARRAY(XJ154)),_xlfn.ANCHORARRAY(XJ154),XJ$4:XL$4,""),"")</f>
        <v/>
      </c>
      <c r="XP154" cm="1">
        <f t="array" ref="XP154:XT154">SUMIFS($M154:$GJ154,$M$3:$GJ$3,XP$3:XT$3)</f>
        <v>0</v>
      </c>
      <c r="XQ154">
        <v>0</v>
      </c>
      <c r="XR154">
        <v>0</v>
      </c>
      <c r="XS154">
        <v>0</v>
      </c>
      <c r="XT154">
        <v>0</v>
      </c>
      <c r="XU154" cm="1">
        <f t="array" ref="XU154">IFERROR(MAX((_xlfn.ANCHORARRAY(XP154)-AVERAGE(_xlfn.ANCHORARRAY(XP154)))/ AVERAGE(_xlfn.ANCHORARRAY(XP154))),0)</f>
        <v>0</v>
      </c>
      <c r="XV154" t="str" cm="1">
        <f t="array" ref="XV154">IF(AND(XU154&gt;$XV$1,XN154&lt;&gt;""),_xlfn.XLOOKUP(MAX(_xlfn.ANCHORARRAY(XP154)),_xlfn.ANCHORARRAY(XP154),XP$4:XT$4,""),"")</f>
        <v/>
      </c>
      <c r="XX154" cm="1">
        <f t="array" ref="XX154:YG154">SUMIFS($M154:$GJ154,$M$2:$GJ$2,XX$3:YG$3)</f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 cm="1">
        <f t="array" ref="YH154">IFERROR(MAX((_xlfn.ANCHORARRAY(XX154)-AVERAGE(_xlfn.ANCHORARRAY(XX154)))/ AVERAGE(_xlfn.ANCHORARRAY(XX154))),0)</f>
        <v>0</v>
      </c>
      <c r="YI154" t="str" cm="1">
        <f t="array" ref="YI154">IF(YH154&gt;$YI$1,_xlfn.XLOOKUP(MAX(_xlfn.ANCHORARRAY(XX154)),_xlfn.ANCHORARRAY(XX154),XX$4:YG$4,""),"")</f>
        <v/>
      </c>
      <c r="YK154" t="str">
        <f t="shared" si="39"/>
        <v/>
      </c>
    </row>
    <row r="155" spans="2:661" x14ac:dyDescent="0.3">
      <c r="B155" s="2" t="str">
        <f t="shared" si="34"/>
        <v>CHA</v>
      </c>
      <c r="C155" s="2" t="str">
        <f t="shared" si="28"/>
        <v>CHA</v>
      </c>
      <c r="D155" s="2" t="str">
        <f t="shared" si="35"/>
        <v>CHA</v>
      </c>
      <c r="E155" s="2" t="str">
        <f t="shared" si="36"/>
        <v/>
      </c>
      <c r="F155" s="2" t="str">
        <f t="shared" si="29"/>
        <v/>
      </c>
      <c r="G155" s="2">
        <f t="shared" si="37"/>
        <v>0</v>
      </c>
      <c r="H155" s="2">
        <f t="shared" si="38"/>
        <v>0</v>
      </c>
      <c r="I155" s="2">
        <f t="shared" si="30"/>
        <v>0</v>
      </c>
      <c r="J155" s="2">
        <f t="shared" si="31"/>
        <v>0</v>
      </c>
      <c r="K155" s="2">
        <f t="shared" si="32"/>
        <v>0</v>
      </c>
      <c r="L155" s="2">
        <f t="shared" si="33"/>
        <v>0</v>
      </c>
      <c r="XJ155" cm="1">
        <f t="array" ref="XJ155:XL155">SUMIFS($M155:$GJ155,$M$1:$GJ$1,XJ$3:XL$3)</f>
        <v>0</v>
      </c>
      <c r="XK155">
        <v>0</v>
      </c>
      <c r="XL155">
        <v>0</v>
      </c>
      <c r="XM155" cm="1">
        <f t="array" ref="XM155">IFERROR(MAX((_xlfn.ANCHORARRAY(XJ155)-AVERAGE(_xlfn.ANCHORARRAY(XJ155)))/ AVERAGE(_xlfn.ANCHORARRAY(XJ155))),0)</f>
        <v>0</v>
      </c>
      <c r="XN155" t="str" cm="1">
        <f t="array" ref="XN155">IF(XM155&gt;$XN$1,_xlfn.XLOOKUP(MAX(_xlfn.ANCHORARRAY(XJ155)),_xlfn.ANCHORARRAY(XJ155),XJ$4:XL$4,""),"")</f>
        <v/>
      </c>
      <c r="XP155" cm="1">
        <f t="array" ref="XP155:XT155">SUMIFS($M155:$GJ155,$M$3:$GJ$3,XP$3:XT$3)</f>
        <v>0</v>
      </c>
      <c r="XQ155">
        <v>0</v>
      </c>
      <c r="XR155">
        <v>0</v>
      </c>
      <c r="XS155">
        <v>0</v>
      </c>
      <c r="XT155">
        <v>0</v>
      </c>
      <c r="XU155" cm="1">
        <f t="array" ref="XU155">IFERROR(MAX((_xlfn.ANCHORARRAY(XP155)-AVERAGE(_xlfn.ANCHORARRAY(XP155)))/ AVERAGE(_xlfn.ANCHORARRAY(XP155))),0)</f>
        <v>0</v>
      </c>
      <c r="XV155" t="str" cm="1">
        <f t="array" ref="XV155">IF(AND(XU155&gt;$XV$1,XN155&lt;&gt;""),_xlfn.XLOOKUP(MAX(_xlfn.ANCHORARRAY(XP155)),_xlfn.ANCHORARRAY(XP155),XP$4:XT$4,""),"")</f>
        <v/>
      </c>
      <c r="XX155" cm="1">
        <f t="array" ref="XX155:YG155">SUMIFS($M155:$GJ155,$M$2:$GJ$2,XX$3:YG$3)</f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 cm="1">
        <f t="array" ref="YH155">IFERROR(MAX((_xlfn.ANCHORARRAY(XX155)-AVERAGE(_xlfn.ANCHORARRAY(XX155)))/ AVERAGE(_xlfn.ANCHORARRAY(XX155))),0)</f>
        <v>0</v>
      </c>
      <c r="YI155" t="str" cm="1">
        <f t="array" ref="YI155">IF(YH155&gt;$YI$1,_xlfn.XLOOKUP(MAX(_xlfn.ANCHORARRAY(XX155)),_xlfn.ANCHORARRAY(XX155),XX$4:YG$4,""),"")</f>
        <v/>
      </c>
      <c r="YK155" t="str">
        <f t="shared" si="39"/>
        <v/>
      </c>
    </row>
    <row r="156" spans="2:661" x14ac:dyDescent="0.3">
      <c r="B156" s="2" t="str">
        <f t="shared" si="34"/>
        <v>CHA</v>
      </c>
      <c r="C156" s="2" t="str">
        <f t="shared" si="28"/>
        <v>CHA</v>
      </c>
      <c r="D156" s="2" t="str">
        <f t="shared" si="35"/>
        <v>CHA</v>
      </c>
      <c r="E156" s="2" t="str">
        <f t="shared" si="36"/>
        <v/>
      </c>
      <c r="F156" s="2" t="str">
        <f t="shared" si="29"/>
        <v/>
      </c>
      <c r="G156" s="2">
        <f t="shared" si="37"/>
        <v>0</v>
      </c>
      <c r="H156" s="2">
        <f t="shared" si="38"/>
        <v>0</v>
      </c>
      <c r="I156" s="2">
        <f t="shared" si="30"/>
        <v>0</v>
      </c>
      <c r="J156" s="2">
        <f t="shared" si="31"/>
        <v>0</v>
      </c>
      <c r="K156" s="2">
        <f t="shared" si="32"/>
        <v>0</v>
      </c>
      <c r="L156" s="2">
        <f t="shared" si="33"/>
        <v>0</v>
      </c>
      <c r="XJ156" cm="1">
        <f t="array" ref="XJ156:XL156">SUMIFS($M156:$GJ156,$M$1:$GJ$1,XJ$3:XL$3)</f>
        <v>0</v>
      </c>
      <c r="XK156">
        <v>0</v>
      </c>
      <c r="XL156">
        <v>0</v>
      </c>
      <c r="XM156" cm="1">
        <f t="array" ref="XM156">IFERROR(MAX((_xlfn.ANCHORARRAY(XJ156)-AVERAGE(_xlfn.ANCHORARRAY(XJ156)))/ AVERAGE(_xlfn.ANCHORARRAY(XJ156))),0)</f>
        <v>0</v>
      </c>
      <c r="XN156" t="str" cm="1">
        <f t="array" ref="XN156">IF(XM156&gt;$XN$1,_xlfn.XLOOKUP(MAX(_xlfn.ANCHORARRAY(XJ156)),_xlfn.ANCHORARRAY(XJ156),XJ$4:XL$4,""),"")</f>
        <v/>
      </c>
      <c r="XP156" cm="1">
        <f t="array" ref="XP156:XT156">SUMIFS($M156:$GJ156,$M$3:$GJ$3,XP$3:XT$3)</f>
        <v>0</v>
      </c>
      <c r="XQ156">
        <v>0</v>
      </c>
      <c r="XR156">
        <v>0</v>
      </c>
      <c r="XS156">
        <v>0</v>
      </c>
      <c r="XT156">
        <v>0</v>
      </c>
      <c r="XU156" cm="1">
        <f t="array" ref="XU156">IFERROR(MAX((_xlfn.ANCHORARRAY(XP156)-AVERAGE(_xlfn.ANCHORARRAY(XP156)))/ AVERAGE(_xlfn.ANCHORARRAY(XP156))),0)</f>
        <v>0</v>
      </c>
      <c r="XV156" t="str" cm="1">
        <f t="array" ref="XV156">IF(AND(XU156&gt;$XV$1,XN156&lt;&gt;""),_xlfn.XLOOKUP(MAX(_xlfn.ANCHORARRAY(XP156)),_xlfn.ANCHORARRAY(XP156),XP$4:XT$4,""),"")</f>
        <v/>
      </c>
      <c r="XX156" cm="1">
        <f t="array" ref="XX156:YG156">SUMIFS($M156:$GJ156,$M$2:$GJ$2,XX$3:YG$3)</f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 cm="1">
        <f t="array" ref="YH156">IFERROR(MAX((_xlfn.ANCHORARRAY(XX156)-AVERAGE(_xlfn.ANCHORARRAY(XX156)))/ AVERAGE(_xlfn.ANCHORARRAY(XX156))),0)</f>
        <v>0</v>
      </c>
      <c r="YI156" t="str" cm="1">
        <f t="array" ref="YI156">IF(YH156&gt;$YI$1,_xlfn.XLOOKUP(MAX(_xlfn.ANCHORARRAY(XX156)),_xlfn.ANCHORARRAY(XX156),XX$4:YG$4,""),"")</f>
        <v/>
      </c>
      <c r="YK156" t="str">
        <f t="shared" si="39"/>
        <v/>
      </c>
    </row>
    <row r="157" spans="2:661" x14ac:dyDescent="0.3">
      <c r="B157" s="2" t="str">
        <f t="shared" si="34"/>
        <v>CHA</v>
      </c>
      <c r="C157" s="2" t="str">
        <f t="shared" si="28"/>
        <v>CHA</v>
      </c>
      <c r="D157" s="2" t="str">
        <f t="shared" si="35"/>
        <v>CHA</v>
      </c>
      <c r="E157" s="2" t="str">
        <f t="shared" si="36"/>
        <v/>
      </c>
      <c r="F157" s="2" t="str">
        <f t="shared" si="29"/>
        <v/>
      </c>
      <c r="G157" s="2">
        <f t="shared" si="37"/>
        <v>0</v>
      </c>
      <c r="H157" s="2">
        <f t="shared" si="38"/>
        <v>0</v>
      </c>
      <c r="I157" s="2">
        <f t="shared" si="30"/>
        <v>0</v>
      </c>
      <c r="J157" s="2">
        <f t="shared" si="31"/>
        <v>0</v>
      </c>
      <c r="K157" s="2">
        <f t="shared" si="32"/>
        <v>0</v>
      </c>
      <c r="L157" s="2">
        <f t="shared" si="33"/>
        <v>0</v>
      </c>
      <c r="XJ157" cm="1">
        <f t="array" ref="XJ157:XL157">SUMIFS($M157:$GJ157,$M$1:$GJ$1,XJ$3:XL$3)</f>
        <v>0</v>
      </c>
      <c r="XK157">
        <v>0</v>
      </c>
      <c r="XL157">
        <v>0</v>
      </c>
      <c r="XM157" cm="1">
        <f t="array" ref="XM157">IFERROR(MAX((_xlfn.ANCHORARRAY(XJ157)-AVERAGE(_xlfn.ANCHORARRAY(XJ157)))/ AVERAGE(_xlfn.ANCHORARRAY(XJ157))),0)</f>
        <v>0</v>
      </c>
      <c r="XN157" t="str" cm="1">
        <f t="array" ref="XN157">IF(XM157&gt;$XN$1,_xlfn.XLOOKUP(MAX(_xlfn.ANCHORARRAY(XJ157)),_xlfn.ANCHORARRAY(XJ157),XJ$4:XL$4,""),"")</f>
        <v/>
      </c>
      <c r="XP157" cm="1">
        <f t="array" ref="XP157:XT157">SUMIFS($M157:$GJ157,$M$3:$GJ$3,XP$3:XT$3)</f>
        <v>0</v>
      </c>
      <c r="XQ157">
        <v>0</v>
      </c>
      <c r="XR157">
        <v>0</v>
      </c>
      <c r="XS157">
        <v>0</v>
      </c>
      <c r="XT157">
        <v>0</v>
      </c>
      <c r="XU157" cm="1">
        <f t="array" ref="XU157">IFERROR(MAX((_xlfn.ANCHORARRAY(XP157)-AVERAGE(_xlfn.ANCHORARRAY(XP157)))/ AVERAGE(_xlfn.ANCHORARRAY(XP157))),0)</f>
        <v>0</v>
      </c>
      <c r="XV157" t="str" cm="1">
        <f t="array" ref="XV157">IF(AND(XU157&gt;$XV$1,XN157&lt;&gt;""),_xlfn.XLOOKUP(MAX(_xlfn.ANCHORARRAY(XP157)),_xlfn.ANCHORARRAY(XP157),XP$4:XT$4,""),"")</f>
        <v/>
      </c>
      <c r="XX157" cm="1">
        <f t="array" ref="XX157:YG157">SUMIFS($M157:$GJ157,$M$2:$GJ$2,XX$3:YG$3)</f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 cm="1">
        <f t="array" ref="YH157">IFERROR(MAX((_xlfn.ANCHORARRAY(XX157)-AVERAGE(_xlfn.ANCHORARRAY(XX157)))/ AVERAGE(_xlfn.ANCHORARRAY(XX157))),0)</f>
        <v>0</v>
      </c>
      <c r="YI157" t="str" cm="1">
        <f t="array" ref="YI157">IF(YH157&gt;$YI$1,_xlfn.XLOOKUP(MAX(_xlfn.ANCHORARRAY(XX157)),_xlfn.ANCHORARRAY(XX157),XX$4:YG$4,""),"")</f>
        <v/>
      </c>
      <c r="YK157" t="str">
        <f t="shared" si="39"/>
        <v/>
      </c>
    </row>
    <row r="158" spans="2:661" x14ac:dyDescent="0.3">
      <c r="B158" s="2" t="str">
        <f t="shared" si="34"/>
        <v>CHA</v>
      </c>
      <c r="C158" s="2" t="str">
        <f t="shared" si="28"/>
        <v>CHA</v>
      </c>
      <c r="D158" s="2" t="str">
        <f t="shared" si="35"/>
        <v>CHA</v>
      </c>
      <c r="E158" s="2" t="str">
        <f t="shared" si="36"/>
        <v/>
      </c>
      <c r="F158" s="2" t="str">
        <f t="shared" si="29"/>
        <v/>
      </c>
      <c r="G158" s="2">
        <f t="shared" si="37"/>
        <v>0</v>
      </c>
      <c r="H158" s="2">
        <f t="shared" si="38"/>
        <v>0</v>
      </c>
      <c r="I158" s="2">
        <f t="shared" si="30"/>
        <v>0</v>
      </c>
      <c r="J158" s="2">
        <f t="shared" si="31"/>
        <v>0</v>
      </c>
      <c r="K158" s="2">
        <f t="shared" si="32"/>
        <v>0</v>
      </c>
      <c r="L158" s="2">
        <f t="shared" si="33"/>
        <v>0</v>
      </c>
      <c r="XJ158" cm="1">
        <f t="array" ref="XJ158:XL158">SUMIFS($M158:$GJ158,$M$1:$GJ$1,XJ$3:XL$3)</f>
        <v>0</v>
      </c>
      <c r="XK158">
        <v>0</v>
      </c>
      <c r="XL158">
        <v>0</v>
      </c>
      <c r="XM158" cm="1">
        <f t="array" ref="XM158">IFERROR(MAX((_xlfn.ANCHORARRAY(XJ158)-AVERAGE(_xlfn.ANCHORARRAY(XJ158)))/ AVERAGE(_xlfn.ANCHORARRAY(XJ158))),0)</f>
        <v>0</v>
      </c>
      <c r="XN158" t="str" cm="1">
        <f t="array" ref="XN158">IF(XM158&gt;$XN$1,_xlfn.XLOOKUP(MAX(_xlfn.ANCHORARRAY(XJ158)),_xlfn.ANCHORARRAY(XJ158),XJ$4:XL$4,""),"")</f>
        <v/>
      </c>
      <c r="XP158" cm="1">
        <f t="array" ref="XP158:XT158">SUMIFS($M158:$GJ158,$M$3:$GJ$3,XP$3:XT$3)</f>
        <v>0</v>
      </c>
      <c r="XQ158">
        <v>0</v>
      </c>
      <c r="XR158">
        <v>0</v>
      </c>
      <c r="XS158">
        <v>0</v>
      </c>
      <c r="XT158">
        <v>0</v>
      </c>
      <c r="XU158" cm="1">
        <f t="array" ref="XU158">IFERROR(MAX((_xlfn.ANCHORARRAY(XP158)-AVERAGE(_xlfn.ANCHORARRAY(XP158)))/ AVERAGE(_xlfn.ANCHORARRAY(XP158))),0)</f>
        <v>0</v>
      </c>
      <c r="XV158" t="str" cm="1">
        <f t="array" ref="XV158">IF(AND(XU158&gt;$XV$1,XN158&lt;&gt;""),_xlfn.XLOOKUP(MAX(_xlfn.ANCHORARRAY(XP158)),_xlfn.ANCHORARRAY(XP158),XP$4:XT$4,""),"")</f>
        <v/>
      </c>
      <c r="XX158" cm="1">
        <f t="array" ref="XX158:YG158">SUMIFS($M158:$GJ158,$M$2:$GJ$2,XX$3:YG$3)</f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 cm="1">
        <f t="array" ref="YH158">IFERROR(MAX((_xlfn.ANCHORARRAY(XX158)-AVERAGE(_xlfn.ANCHORARRAY(XX158)))/ AVERAGE(_xlfn.ANCHORARRAY(XX158))),0)</f>
        <v>0</v>
      </c>
      <c r="YI158" t="str" cm="1">
        <f t="array" ref="YI158">IF(YH158&gt;$YI$1,_xlfn.XLOOKUP(MAX(_xlfn.ANCHORARRAY(XX158)),_xlfn.ANCHORARRAY(XX158),XX$4:YG$4,""),"")</f>
        <v/>
      </c>
      <c r="YK158" t="str">
        <f t="shared" si="39"/>
        <v/>
      </c>
    </row>
    <row r="159" spans="2:661" x14ac:dyDescent="0.3">
      <c r="B159" s="2" t="str">
        <f t="shared" si="34"/>
        <v>CHA</v>
      </c>
      <c r="C159" s="2" t="str">
        <f t="shared" si="28"/>
        <v>CHA</v>
      </c>
      <c r="D159" s="2" t="str">
        <f t="shared" si="35"/>
        <v>CHA</v>
      </c>
      <c r="E159" s="2" t="str">
        <f t="shared" si="36"/>
        <v/>
      </c>
      <c r="F159" s="2" t="str">
        <f t="shared" si="29"/>
        <v/>
      </c>
      <c r="G159" s="2">
        <f t="shared" si="37"/>
        <v>0</v>
      </c>
      <c r="H159" s="2">
        <f t="shared" si="38"/>
        <v>0</v>
      </c>
      <c r="I159" s="2">
        <f t="shared" si="30"/>
        <v>0</v>
      </c>
      <c r="J159" s="2">
        <f t="shared" si="31"/>
        <v>0</v>
      </c>
      <c r="K159" s="2">
        <f t="shared" si="32"/>
        <v>0</v>
      </c>
      <c r="L159" s="2">
        <f t="shared" si="33"/>
        <v>0</v>
      </c>
      <c r="XJ159" cm="1">
        <f t="array" ref="XJ159:XL159">SUMIFS($M159:$GJ159,$M$1:$GJ$1,XJ$3:XL$3)</f>
        <v>0</v>
      </c>
      <c r="XK159">
        <v>0</v>
      </c>
      <c r="XL159">
        <v>0</v>
      </c>
      <c r="XM159" cm="1">
        <f t="array" ref="XM159">IFERROR(MAX((_xlfn.ANCHORARRAY(XJ159)-AVERAGE(_xlfn.ANCHORARRAY(XJ159)))/ AVERAGE(_xlfn.ANCHORARRAY(XJ159))),0)</f>
        <v>0</v>
      </c>
      <c r="XN159" t="str" cm="1">
        <f t="array" ref="XN159">IF(XM159&gt;$XN$1,_xlfn.XLOOKUP(MAX(_xlfn.ANCHORARRAY(XJ159)),_xlfn.ANCHORARRAY(XJ159),XJ$4:XL$4,""),"")</f>
        <v/>
      </c>
      <c r="XP159" cm="1">
        <f t="array" ref="XP159:XT159">SUMIFS($M159:$GJ159,$M$3:$GJ$3,XP$3:XT$3)</f>
        <v>0</v>
      </c>
      <c r="XQ159">
        <v>0</v>
      </c>
      <c r="XR159">
        <v>0</v>
      </c>
      <c r="XS159">
        <v>0</v>
      </c>
      <c r="XT159">
        <v>0</v>
      </c>
      <c r="XU159" cm="1">
        <f t="array" ref="XU159">IFERROR(MAX((_xlfn.ANCHORARRAY(XP159)-AVERAGE(_xlfn.ANCHORARRAY(XP159)))/ AVERAGE(_xlfn.ANCHORARRAY(XP159))),0)</f>
        <v>0</v>
      </c>
      <c r="XV159" t="str" cm="1">
        <f t="array" ref="XV159">IF(AND(XU159&gt;$XV$1,XN159&lt;&gt;""),_xlfn.XLOOKUP(MAX(_xlfn.ANCHORARRAY(XP159)),_xlfn.ANCHORARRAY(XP159),XP$4:XT$4,""),"")</f>
        <v/>
      </c>
      <c r="XX159" cm="1">
        <f t="array" ref="XX159:YG159">SUMIFS($M159:$GJ159,$M$2:$GJ$2,XX$3:YG$3)</f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 cm="1">
        <f t="array" ref="YH159">IFERROR(MAX((_xlfn.ANCHORARRAY(XX159)-AVERAGE(_xlfn.ANCHORARRAY(XX159)))/ AVERAGE(_xlfn.ANCHORARRAY(XX159))),0)</f>
        <v>0</v>
      </c>
      <c r="YI159" t="str" cm="1">
        <f t="array" ref="YI159">IF(YH159&gt;$YI$1,_xlfn.XLOOKUP(MAX(_xlfn.ANCHORARRAY(XX159)),_xlfn.ANCHORARRAY(XX159),XX$4:YG$4,""),"")</f>
        <v/>
      </c>
      <c r="YK159" t="str">
        <f t="shared" si="39"/>
        <v/>
      </c>
    </row>
    <row r="160" spans="2:661" x14ac:dyDescent="0.3">
      <c r="B160" s="2" t="str">
        <f t="shared" si="34"/>
        <v>CHA</v>
      </c>
      <c r="C160" s="2" t="str">
        <f t="shared" si="28"/>
        <v>CHA</v>
      </c>
      <c r="D160" s="2" t="str">
        <f t="shared" si="35"/>
        <v>CHA</v>
      </c>
      <c r="E160" s="2" t="str">
        <f t="shared" si="36"/>
        <v/>
      </c>
      <c r="F160" s="2" t="str">
        <f t="shared" si="29"/>
        <v/>
      </c>
      <c r="G160" s="2">
        <f t="shared" si="37"/>
        <v>0</v>
      </c>
      <c r="H160" s="2">
        <f t="shared" si="38"/>
        <v>0</v>
      </c>
      <c r="I160" s="2">
        <f t="shared" si="30"/>
        <v>0</v>
      </c>
      <c r="J160" s="2">
        <f t="shared" si="31"/>
        <v>0</v>
      </c>
      <c r="K160" s="2">
        <f t="shared" si="32"/>
        <v>0</v>
      </c>
      <c r="L160" s="2">
        <f t="shared" si="33"/>
        <v>0</v>
      </c>
      <c r="XJ160" cm="1">
        <f t="array" ref="XJ160:XL160">SUMIFS($M160:$GJ160,$M$1:$GJ$1,XJ$3:XL$3)</f>
        <v>0</v>
      </c>
      <c r="XK160">
        <v>0</v>
      </c>
      <c r="XL160">
        <v>0</v>
      </c>
      <c r="XM160" cm="1">
        <f t="array" ref="XM160">IFERROR(MAX((_xlfn.ANCHORARRAY(XJ160)-AVERAGE(_xlfn.ANCHORARRAY(XJ160)))/ AVERAGE(_xlfn.ANCHORARRAY(XJ160))),0)</f>
        <v>0</v>
      </c>
      <c r="XN160" t="str" cm="1">
        <f t="array" ref="XN160">IF(XM160&gt;$XN$1,_xlfn.XLOOKUP(MAX(_xlfn.ANCHORARRAY(XJ160)),_xlfn.ANCHORARRAY(XJ160),XJ$4:XL$4,""),"")</f>
        <v/>
      </c>
      <c r="XP160" cm="1">
        <f t="array" ref="XP160:XT160">SUMIFS($M160:$GJ160,$M$3:$GJ$3,XP$3:XT$3)</f>
        <v>0</v>
      </c>
      <c r="XQ160">
        <v>0</v>
      </c>
      <c r="XR160">
        <v>0</v>
      </c>
      <c r="XS160">
        <v>0</v>
      </c>
      <c r="XT160">
        <v>0</v>
      </c>
      <c r="XU160" cm="1">
        <f t="array" ref="XU160">IFERROR(MAX((_xlfn.ANCHORARRAY(XP160)-AVERAGE(_xlfn.ANCHORARRAY(XP160)))/ AVERAGE(_xlfn.ANCHORARRAY(XP160))),0)</f>
        <v>0</v>
      </c>
      <c r="XV160" t="str" cm="1">
        <f t="array" ref="XV160">IF(AND(XU160&gt;$XV$1,XN160&lt;&gt;""),_xlfn.XLOOKUP(MAX(_xlfn.ANCHORARRAY(XP160)),_xlfn.ANCHORARRAY(XP160),XP$4:XT$4,""),"")</f>
        <v/>
      </c>
      <c r="XX160" cm="1">
        <f t="array" ref="XX160:YG160">SUMIFS($M160:$GJ160,$M$2:$GJ$2,XX$3:YG$3)</f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 cm="1">
        <f t="array" ref="YH160">IFERROR(MAX((_xlfn.ANCHORARRAY(XX160)-AVERAGE(_xlfn.ANCHORARRAY(XX160)))/ AVERAGE(_xlfn.ANCHORARRAY(XX160))),0)</f>
        <v>0</v>
      </c>
      <c r="YI160" t="str" cm="1">
        <f t="array" ref="YI160">IF(YH160&gt;$YI$1,_xlfn.XLOOKUP(MAX(_xlfn.ANCHORARRAY(XX160)),_xlfn.ANCHORARRAY(XX160),XX$4:YG$4,""),"")</f>
        <v/>
      </c>
      <c r="YK160" t="str">
        <f t="shared" si="39"/>
        <v/>
      </c>
    </row>
    <row r="161" spans="2:661" x14ac:dyDescent="0.3">
      <c r="B161" s="2" t="str">
        <f t="shared" si="34"/>
        <v>CHA</v>
      </c>
      <c r="C161" s="2" t="str">
        <f t="shared" si="28"/>
        <v>CHA</v>
      </c>
      <c r="D161" s="2" t="str">
        <f t="shared" si="35"/>
        <v>CHA</v>
      </c>
      <c r="E161" s="2" t="str">
        <f t="shared" si="36"/>
        <v/>
      </c>
      <c r="F161" s="2" t="str">
        <f t="shared" si="29"/>
        <v/>
      </c>
      <c r="G161" s="2">
        <f t="shared" si="37"/>
        <v>0</v>
      </c>
      <c r="H161" s="2">
        <f t="shared" si="38"/>
        <v>0</v>
      </c>
      <c r="I161" s="2">
        <f t="shared" si="30"/>
        <v>0</v>
      </c>
      <c r="J161" s="2">
        <f t="shared" si="31"/>
        <v>0</v>
      </c>
      <c r="K161" s="2">
        <f t="shared" si="32"/>
        <v>0</v>
      </c>
      <c r="L161" s="2">
        <f t="shared" si="33"/>
        <v>0</v>
      </c>
      <c r="XJ161" cm="1">
        <f t="array" ref="XJ161:XL161">SUMIFS($M161:$GJ161,$M$1:$GJ$1,XJ$3:XL$3)</f>
        <v>0</v>
      </c>
      <c r="XK161">
        <v>0</v>
      </c>
      <c r="XL161">
        <v>0</v>
      </c>
      <c r="XM161" cm="1">
        <f t="array" ref="XM161">IFERROR(MAX((_xlfn.ANCHORARRAY(XJ161)-AVERAGE(_xlfn.ANCHORARRAY(XJ161)))/ AVERAGE(_xlfn.ANCHORARRAY(XJ161))),0)</f>
        <v>0</v>
      </c>
      <c r="XN161" t="str" cm="1">
        <f t="array" ref="XN161">IF(XM161&gt;$XN$1,_xlfn.XLOOKUP(MAX(_xlfn.ANCHORARRAY(XJ161)),_xlfn.ANCHORARRAY(XJ161),XJ$4:XL$4,""),"")</f>
        <v/>
      </c>
      <c r="XP161" cm="1">
        <f t="array" ref="XP161:XT161">SUMIFS($M161:$GJ161,$M$3:$GJ$3,XP$3:XT$3)</f>
        <v>0</v>
      </c>
      <c r="XQ161">
        <v>0</v>
      </c>
      <c r="XR161">
        <v>0</v>
      </c>
      <c r="XS161">
        <v>0</v>
      </c>
      <c r="XT161">
        <v>0</v>
      </c>
      <c r="XU161" cm="1">
        <f t="array" ref="XU161">IFERROR(MAX((_xlfn.ANCHORARRAY(XP161)-AVERAGE(_xlfn.ANCHORARRAY(XP161)))/ AVERAGE(_xlfn.ANCHORARRAY(XP161))),0)</f>
        <v>0</v>
      </c>
      <c r="XV161" t="str" cm="1">
        <f t="array" ref="XV161">IF(AND(XU161&gt;$XV$1,XN161&lt;&gt;""),_xlfn.XLOOKUP(MAX(_xlfn.ANCHORARRAY(XP161)),_xlfn.ANCHORARRAY(XP161),XP$4:XT$4,""),"")</f>
        <v/>
      </c>
      <c r="XX161" cm="1">
        <f t="array" ref="XX161:YG161">SUMIFS($M161:$GJ161,$M$2:$GJ$2,XX$3:YG$3)</f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 cm="1">
        <f t="array" ref="YH161">IFERROR(MAX((_xlfn.ANCHORARRAY(XX161)-AVERAGE(_xlfn.ANCHORARRAY(XX161)))/ AVERAGE(_xlfn.ANCHORARRAY(XX161))),0)</f>
        <v>0</v>
      </c>
      <c r="YI161" t="str" cm="1">
        <f t="array" ref="YI161">IF(YH161&gt;$YI$1,_xlfn.XLOOKUP(MAX(_xlfn.ANCHORARRAY(XX161)),_xlfn.ANCHORARRAY(XX161),XX$4:YG$4,""),"")</f>
        <v/>
      </c>
      <c r="YK161" t="str">
        <f t="shared" si="39"/>
        <v/>
      </c>
    </row>
    <row r="162" spans="2:661" x14ac:dyDescent="0.3">
      <c r="B162" s="2" t="str">
        <f t="shared" si="34"/>
        <v>CHA</v>
      </c>
      <c r="C162" s="2" t="str">
        <f t="shared" si="28"/>
        <v>CHA</v>
      </c>
      <c r="D162" s="2" t="str">
        <f t="shared" si="35"/>
        <v>CHA</v>
      </c>
      <c r="E162" s="2" t="str">
        <f t="shared" si="36"/>
        <v/>
      </c>
      <c r="F162" s="2" t="str">
        <f t="shared" si="29"/>
        <v/>
      </c>
      <c r="G162" s="2">
        <f t="shared" si="37"/>
        <v>0</v>
      </c>
      <c r="H162" s="2">
        <f t="shared" si="38"/>
        <v>0</v>
      </c>
      <c r="I162" s="2">
        <f t="shared" si="30"/>
        <v>0</v>
      </c>
      <c r="J162" s="2">
        <f t="shared" si="31"/>
        <v>0</v>
      </c>
      <c r="K162" s="2">
        <f t="shared" si="32"/>
        <v>0</v>
      </c>
      <c r="L162" s="2">
        <f t="shared" si="33"/>
        <v>0</v>
      </c>
      <c r="XJ162" cm="1">
        <f t="array" ref="XJ162:XL162">SUMIFS($M162:$GJ162,$M$1:$GJ$1,XJ$3:XL$3)</f>
        <v>0</v>
      </c>
      <c r="XK162">
        <v>0</v>
      </c>
      <c r="XL162">
        <v>0</v>
      </c>
      <c r="XM162" cm="1">
        <f t="array" ref="XM162">IFERROR(MAX((_xlfn.ANCHORARRAY(XJ162)-AVERAGE(_xlfn.ANCHORARRAY(XJ162)))/ AVERAGE(_xlfn.ANCHORARRAY(XJ162))),0)</f>
        <v>0</v>
      </c>
      <c r="XN162" t="str" cm="1">
        <f t="array" ref="XN162">IF(XM162&gt;$XN$1,_xlfn.XLOOKUP(MAX(_xlfn.ANCHORARRAY(XJ162)),_xlfn.ANCHORARRAY(XJ162),XJ$4:XL$4,""),"")</f>
        <v/>
      </c>
      <c r="XP162" cm="1">
        <f t="array" ref="XP162:XT162">SUMIFS($M162:$GJ162,$M$3:$GJ$3,XP$3:XT$3)</f>
        <v>0</v>
      </c>
      <c r="XQ162">
        <v>0</v>
      </c>
      <c r="XR162">
        <v>0</v>
      </c>
      <c r="XS162">
        <v>0</v>
      </c>
      <c r="XT162">
        <v>0</v>
      </c>
      <c r="XU162" cm="1">
        <f t="array" ref="XU162">IFERROR(MAX((_xlfn.ANCHORARRAY(XP162)-AVERAGE(_xlfn.ANCHORARRAY(XP162)))/ AVERAGE(_xlfn.ANCHORARRAY(XP162))),0)</f>
        <v>0</v>
      </c>
      <c r="XV162" t="str" cm="1">
        <f t="array" ref="XV162">IF(AND(XU162&gt;$XV$1,XN162&lt;&gt;""),_xlfn.XLOOKUP(MAX(_xlfn.ANCHORARRAY(XP162)),_xlfn.ANCHORARRAY(XP162),XP$4:XT$4,""),"")</f>
        <v/>
      </c>
      <c r="XX162" cm="1">
        <f t="array" ref="XX162:YG162">SUMIFS($M162:$GJ162,$M$2:$GJ$2,XX$3:YG$3)</f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 cm="1">
        <f t="array" ref="YH162">IFERROR(MAX((_xlfn.ANCHORARRAY(XX162)-AVERAGE(_xlfn.ANCHORARRAY(XX162)))/ AVERAGE(_xlfn.ANCHORARRAY(XX162))),0)</f>
        <v>0</v>
      </c>
      <c r="YI162" t="str" cm="1">
        <f t="array" ref="YI162">IF(YH162&gt;$YI$1,_xlfn.XLOOKUP(MAX(_xlfn.ANCHORARRAY(XX162)),_xlfn.ANCHORARRAY(XX162),XX$4:YG$4,""),"")</f>
        <v/>
      </c>
      <c r="YK162" t="str">
        <f t="shared" si="39"/>
        <v/>
      </c>
    </row>
    <row r="163" spans="2:661" x14ac:dyDescent="0.3">
      <c r="B163" s="2" t="str">
        <f t="shared" ref="B163:B177" si="40">IF(C163="NotFound",D163,C163)</f>
        <v>CHA</v>
      </c>
      <c r="C163" s="2" t="str">
        <f t="shared" ref="C163:C177" si="41">IF(K163&gt;1,"NotFound","CHA"&amp;_xlfn.XLOOKUP(MAX(M163:GJ163,1),M163:GJ163,$M$4:$GJ$4,""))</f>
        <v>CHA</v>
      </c>
      <c r="D163" s="2" t="str">
        <f t="shared" ref="D163:D177" si="42">IF(G163&gt;1,"NotFound","CHA"&amp;_xlfn.XLOOKUP(MAX(GL163:NI163,1),GL163:NI163,$GL$4:$NI$4,""))</f>
        <v>CHA</v>
      </c>
      <c r="E163" s="2" t="str">
        <f t="shared" si="36"/>
        <v/>
      </c>
      <c r="F163" s="2" t="str">
        <f t="shared" ref="F163:F177" si="43">IF(I163&gt;1,"NotFound",_xlfn.XLOOKUP(MAX(NK163:XG163,1),NK163:XG163,$NK$4:$XG$4,""))</f>
        <v/>
      </c>
      <c r="G163" s="2">
        <f t="shared" ref="G163:G177" si="44">COUNTIF(GL163:NI163,H163)</f>
        <v>0</v>
      </c>
      <c r="H163" s="2">
        <f t="shared" ref="H163:H177" si="45">MAX(GL163:NI163)</f>
        <v>0</v>
      </c>
      <c r="I163" s="2">
        <f t="shared" ref="I163:I177" si="46">COUNTIF(NK163:XG163,J163)</f>
        <v>0</v>
      </c>
      <c r="J163" s="2">
        <f t="shared" ref="J163:J177" si="47">MAX(NK163:XG163)</f>
        <v>0</v>
      </c>
      <c r="K163" s="2">
        <f t="shared" ref="K163:K177" si="48">COUNTIF(M163:GJ163,L163)</f>
        <v>0</v>
      </c>
      <c r="L163" s="2">
        <f t="shared" ref="L163:L177" si="49">MAX(M163:GJ163)</f>
        <v>0</v>
      </c>
      <c r="XJ163" cm="1">
        <f t="array" ref="XJ163:XL163">SUMIFS($M163:$GJ163,$M$1:$GJ$1,XJ$3:XL$3)</f>
        <v>0</v>
      </c>
      <c r="XK163">
        <v>0</v>
      </c>
      <c r="XL163">
        <v>0</v>
      </c>
      <c r="XM163" cm="1">
        <f t="array" ref="XM163">IFERROR(MAX((_xlfn.ANCHORARRAY(XJ163)-AVERAGE(_xlfn.ANCHORARRAY(XJ163)))/ AVERAGE(_xlfn.ANCHORARRAY(XJ163))),0)</f>
        <v>0</v>
      </c>
      <c r="XN163" t="str" cm="1">
        <f t="array" ref="XN163">IF(XM163&gt;$XN$1,_xlfn.XLOOKUP(MAX(_xlfn.ANCHORARRAY(XJ163)),_xlfn.ANCHORARRAY(XJ163),XJ$4:XL$4,""),"")</f>
        <v/>
      </c>
      <c r="XP163" cm="1">
        <f t="array" ref="XP163:XT163">SUMIFS($M163:$GJ163,$M$3:$GJ$3,XP$3:XT$3)</f>
        <v>0</v>
      </c>
      <c r="XQ163">
        <v>0</v>
      </c>
      <c r="XR163">
        <v>0</v>
      </c>
      <c r="XS163">
        <v>0</v>
      </c>
      <c r="XT163">
        <v>0</v>
      </c>
      <c r="XU163" cm="1">
        <f t="array" ref="XU163">IFERROR(MAX((_xlfn.ANCHORARRAY(XP163)-AVERAGE(_xlfn.ANCHORARRAY(XP163)))/ AVERAGE(_xlfn.ANCHORARRAY(XP163))),0)</f>
        <v>0</v>
      </c>
      <c r="XV163" t="str" cm="1">
        <f t="array" ref="XV163">IF(AND(XU163&gt;$XV$1,XN163&lt;&gt;""),_xlfn.XLOOKUP(MAX(_xlfn.ANCHORARRAY(XP163)),_xlfn.ANCHORARRAY(XP163),XP$4:XT$4,""),"")</f>
        <v/>
      </c>
      <c r="XX163" cm="1">
        <f t="array" ref="XX163:YG163">SUMIFS($M163:$GJ163,$M$2:$GJ$2,XX$3:YG$3)</f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 cm="1">
        <f t="array" ref="YH163">IFERROR(MAX((_xlfn.ANCHORARRAY(XX163)-AVERAGE(_xlfn.ANCHORARRAY(XX163)))/ AVERAGE(_xlfn.ANCHORARRAY(XX163))),0)</f>
        <v>0</v>
      </c>
      <c r="YI163" t="str" cm="1">
        <f t="array" ref="YI163">IF(YH163&gt;$YI$1,_xlfn.XLOOKUP(MAX(_xlfn.ANCHORARRAY(XX163)),_xlfn.ANCHORARRAY(XX163),XX$4:YG$4,""),"")</f>
        <v/>
      </c>
      <c r="YK163" t="str">
        <f t="shared" si="39"/>
        <v/>
      </c>
    </row>
    <row r="164" spans="2:661" x14ac:dyDescent="0.3">
      <c r="B164" s="2" t="str">
        <f t="shared" si="40"/>
        <v>CHA</v>
      </c>
      <c r="C164" s="2" t="str">
        <f t="shared" si="41"/>
        <v>CHA</v>
      </c>
      <c r="D164" s="2" t="str">
        <f t="shared" si="42"/>
        <v>CHA</v>
      </c>
      <c r="E164" s="2" t="str">
        <f t="shared" si="36"/>
        <v/>
      </c>
      <c r="F164" s="2" t="str">
        <f t="shared" si="43"/>
        <v/>
      </c>
      <c r="G164" s="2">
        <f t="shared" si="44"/>
        <v>0</v>
      </c>
      <c r="H164" s="2">
        <f t="shared" si="45"/>
        <v>0</v>
      </c>
      <c r="I164" s="2">
        <f t="shared" si="46"/>
        <v>0</v>
      </c>
      <c r="J164" s="2">
        <f t="shared" si="47"/>
        <v>0</v>
      </c>
      <c r="K164" s="2">
        <f t="shared" si="48"/>
        <v>0</v>
      </c>
      <c r="L164" s="2">
        <f t="shared" si="49"/>
        <v>0</v>
      </c>
      <c r="XJ164" cm="1">
        <f t="array" ref="XJ164:XL164">SUMIFS($M164:$GJ164,$M$1:$GJ$1,XJ$3:XL$3)</f>
        <v>0</v>
      </c>
      <c r="XK164">
        <v>0</v>
      </c>
      <c r="XL164">
        <v>0</v>
      </c>
      <c r="XM164" cm="1">
        <f t="array" ref="XM164">IFERROR(MAX((_xlfn.ANCHORARRAY(XJ164)-AVERAGE(_xlfn.ANCHORARRAY(XJ164)))/ AVERAGE(_xlfn.ANCHORARRAY(XJ164))),0)</f>
        <v>0</v>
      </c>
      <c r="XN164" t="str" cm="1">
        <f t="array" ref="XN164">IF(XM164&gt;$XN$1,_xlfn.XLOOKUP(MAX(_xlfn.ANCHORARRAY(XJ164)),_xlfn.ANCHORARRAY(XJ164),XJ$4:XL$4,""),"")</f>
        <v/>
      </c>
      <c r="XP164" cm="1">
        <f t="array" ref="XP164:XT164">SUMIFS($M164:$GJ164,$M$3:$GJ$3,XP$3:XT$3)</f>
        <v>0</v>
      </c>
      <c r="XQ164">
        <v>0</v>
      </c>
      <c r="XR164">
        <v>0</v>
      </c>
      <c r="XS164">
        <v>0</v>
      </c>
      <c r="XT164">
        <v>0</v>
      </c>
      <c r="XU164" cm="1">
        <f t="array" ref="XU164">IFERROR(MAX((_xlfn.ANCHORARRAY(XP164)-AVERAGE(_xlfn.ANCHORARRAY(XP164)))/ AVERAGE(_xlfn.ANCHORARRAY(XP164))),0)</f>
        <v>0</v>
      </c>
      <c r="XV164" t="str" cm="1">
        <f t="array" ref="XV164">IF(AND(XU164&gt;$XV$1,XN164&lt;&gt;""),_xlfn.XLOOKUP(MAX(_xlfn.ANCHORARRAY(XP164)),_xlfn.ANCHORARRAY(XP164),XP$4:XT$4,""),"")</f>
        <v/>
      </c>
      <c r="XX164" cm="1">
        <f t="array" ref="XX164:YG164">SUMIFS($M164:$GJ164,$M$2:$GJ$2,XX$3:YG$3)</f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 cm="1">
        <f t="array" ref="YH164">IFERROR(MAX((_xlfn.ANCHORARRAY(XX164)-AVERAGE(_xlfn.ANCHORARRAY(XX164)))/ AVERAGE(_xlfn.ANCHORARRAY(XX164))),0)</f>
        <v>0</v>
      </c>
      <c r="YI164" t="str" cm="1">
        <f t="array" ref="YI164">IF(YH164&gt;$YI$1,_xlfn.XLOOKUP(MAX(_xlfn.ANCHORARRAY(XX164)),_xlfn.ANCHORARRAY(XX164),XX$4:YG$4,""),"")</f>
        <v/>
      </c>
      <c r="YK164" t="str">
        <f t="shared" si="39"/>
        <v/>
      </c>
    </row>
    <row r="165" spans="2:661" x14ac:dyDescent="0.3">
      <c r="B165" s="2" t="str">
        <f t="shared" si="40"/>
        <v>CHA</v>
      </c>
      <c r="C165" s="2" t="str">
        <f t="shared" si="41"/>
        <v>CHA</v>
      </c>
      <c r="D165" s="2" t="str">
        <f t="shared" si="42"/>
        <v>CHA</v>
      </c>
      <c r="E165" s="2" t="str">
        <f t="shared" si="36"/>
        <v/>
      </c>
      <c r="F165" s="2" t="str">
        <f t="shared" si="43"/>
        <v/>
      </c>
      <c r="G165" s="2">
        <f t="shared" si="44"/>
        <v>0</v>
      </c>
      <c r="H165" s="2">
        <f t="shared" si="45"/>
        <v>0</v>
      </c>
      <c r="I165" s="2">
        <f t="shared" si="46"/>
        <v>0</v>
      </c>
      <c r="J165" s="2">
        <f t="shared" si="47"/>
        <v>0</v>
      </c>
      <c r="K165" s="2">
        <f t="shared" si="48"/>
        <v>0</v>
      </c>
      <c r="L165" s="2">
        <f t="shared" si="49"/>
        <v>0</v>
      </c>
      <c r="XJ165" cm="1">
        <f t="array" ref="XJ165:XL165">SUMIFS($M165:$GJ165,$M$1:$GJ$1,XJ$3:XL$3)</f>
        <v>0</v>
      </c>
      <c r="XK165">
        <v>0</v>
      </c>
      <c r="XL165">
        <v>0</v>
      </c>
      <c r="XM165" cm="1">
        <f t="array" ref="XM165">IFERROR(MAX((_xlfn.ANCHORARRAY(XJ165)-AVERAGE(_xlfn.ANCHORARRAY(XJ165)))/ AVERAGE(_xlfn.ANCHORARRAY(XJ165))),0)</f>
        <v>0</v>
      </c>
      <c r="XN165" t="str" cm="1">
        <f t="array" ref="XN165">IF(XM165&gt;$XN$1,_xlfn.XLOOKUP(MAX(_xlfn.ANCHORARRAY(XJ165)),_xlfn.ANCHORARRAY(XJ165),XJ$4:XL$4,""),"")</f>
        <v/>
      </c>
      <c r="XP165" cm="1">
        <f t="array" ref="XP165:XT165">SUMIFS($M165:$GJ165,$M$3:$GJ$3,XP$3:XT$3)</f>
        <v>0</v>
      </c>
      <c r="XQ165">
        <v>0</v>
      </c>
      <c r="XR165">
        <v>0</v>
      </c>
      <c r="XS165">
        <v>0</v>
      </c>
      <c r="XT165">
        <v>0</v>
      </c>
      <c r="XU165" cm="1">
        <f t="array" ref="XU165">IFERROR(MAX((_xlfn.ANCHORARRAY(XP165)-AVERAGE(_xlfn.ANCHORARRAY(XP165)))/ AVERAGE(_xlfn.ANCHORARRAY(XP165))),0)</f>
        <v>0</v>
      </c>
      <c r="XV165" t="str" cm="1">
        <f t="array" ref="XV165">IF(AND(XU165&gt;$XV$1,XN165&lt;&gt;""),_xlfn.XLOOKUP(MAX(_xlfn.ANCHORARRAY(XP165)),_xlfn.ANCHORARRAY(XP165),XP$4:XT$4,""),"")</f>
        <v/>
      </c>
      <c r="XX165" cm="1">
        <f t="array" ref="XX165:YG165">SUMIFS($M165:$GJ165,$M$2:$GJ$2,XX$3:YG$3)</f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 cm="1">
        <f t="array" ref="YH165">IFERROR(MAX((_xlfn.ANCHORARRAY(XX165)-AVERAGE(_xlfn.ANCHORARRAY(XX165)))/ AVERAGE(_xlfn.ANCHORARRAY(XX165))),0)</f>
        <v>0</v>
      </c>
      <c r="YI165" t="str" cm="1">
        <f t="array" ref="YI165">IF(YH165&gt;$YI$1,_xlfn.XLOOKUP(MAX(_xlfn.ANCHORARRAY(XX165)),_xlfn.ANCHORARRAY(XX165),XX$4:YG$4,""),"")</f>
        <v/>
      </c>
      <c r="YK165" t="str">
        <f t="shared" si="39"/>
        <v/>
      </c>
    </row>
    <row r="166" spans="2:661" x14ac:dyDescent="0.3">
      <c r="B166" s="2" t="str">
        <f t="shared" si="40"/>
        <v>CHA</v>
      </c>
      <c r="C166" s="2" t="str">
        <f t="shared" si="41"/>
        <v>CHA</v>
      </c>
      <c r="D166" s="2" t="str">
        <f t="shared" si="42"/>
        <v>CHA</v>
      </c>
      <c r="E166" s="2" t="str">
        <f t="shared" si="36"/>
        <v/>
      </c>
      <c r="F166" s="2" t="str">
        <f t="shared" si="43"/>
        <v/>
      </c>
      <c r="G166" s="2">
        <f t="shared" si="44"/>
        <v>0</v>
      </c>
      <c r="H166" s="2">
        <f t="shared" si="45"/>
        <v>0</v>
      </c>
      <c r="I166" s="2">
        <f t="shared" si="46"/>
        <v>0</v>
      </c>
      <c r="J166" s="2">
        <f t="shared" si="47"/>
        <v>0</v>
      </c>
      <c r="K166" s="2">
        <f t="shared" si="48"/>
        <v>0</v>
      </c>
      <c r="L166" s="2">
        <f t="shared" si="49"/>
        <v>0</v>
      </c>
      <c r="XJ166" cm="1">
        <f t="array" ref="XJ166:XL166">SUMIFS($M166:$GJ166,$M$1:$GJ$1,XJ$3:XL$3)</f>
        <v>0</v>
      </c>
      <c r="XK166">
        <v>0</v>
      </c>
      <c r="XL166">
        <v>0</v>
      </c>
      <c r="XM166" cm="1">
        <f t="array" ref="XM166">IFERROR(MAX((_xlfn.ANCHORARRAY(XJ166)-AVERAGE(_xlfn.ANCHORARRAY(XJ166)))/ AVERAGE(_xlfn.ANCHORARRAY(XJ166))),0)</f>
        <v>0</v>
      </c>
      <c r="XN166" t="str" cm="1">
        <f t="array" ref="XN166">IF(XM166&gt;$XN$1,_xlfn.XLOOKUP(MAX(_xlfn.ANCHORARRAY(XJ166)),_xlfn.ANCHORARRAY(XJ166),XJ$4:XL$4,""),"")</f>
        <v/>
      </c>
      <c r="XP166" cm="1">
        <f t="array" ref="XP166:XT166">SUMIFS($M166:$GJ166,$M$3:$GJ$3,XP$3:XT$3)</f>
        <v>0</v>
      </c>
      <c r="XQ166">
        <v>0</v>
      </c>
      <c r="XR166">
        <v>0</v>
      </c>
      <c r="XS166">
        <v>0</v>
      </c>
      <c r="XT166">
        <v>0</v>
      </c>
      <c r="XU166" cm="1">
        <f t="array" ref="XU166">IFERROR(MAX((_xlfn.ANCHORARRAY(XP166)-AVERAGE(_xlfn.ANCHORARRAY(XP166)))/ AVERAGE(_xlfn.ANCHORARRAY(XP166))),0)</f>
        <v>0</v>
      </c>
      <c r="XV166" t="str" cm="1">
        <f t="array" ref="XV166">IF(AND(XU166&gt;$XV$1,XN166&lt;&gt;""),_xlfn.XLOOKUP(MAX(_xlfn.ANCHORARRAY(XP166)),_xlfn.ANCHORARRAY(XP166),XP$4:XT$4,""),"")</f>
        <v/>
      </c>
      <c r="XX166" cm="1">
        <f t="array" ref="XX166:YG166">SUMIFS($M166:$GJ166,$M$2:$GJ$2,XX$3:YG$3)</f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 cm="1">
        <f t="array" ref="YH166">IFERROR(MAX((_xlfn.ANCHORARRAY(XX166)-AVERAGE(_xlfn.ANCHORARRAY(XX166)))/ AVERAGE(_xlfn.ANCHORARRAY(XX166))),0)</f>
        <v>0</v>
      </c>
      <c r="YI166" t="str" cm="1">
        <f t="array" ref="YI166">IF(YH166&gt;$YI$1,_xlfn.XLOOKUP(MAX(_xlfn.ANCHORARRAY(XX166)),_xlfn.ANCHORARRAY(XX166),XX$4:YG$4,""),"")</f>
        <v/>
      </c>
      <c r="YK166" t="str">
        <f t="shared" si="39"/>
        <v/>
      </c>
    </row>
    <row r="167" spans="2:661" x14ac:dyDescent="0.3">
      <c r="B167" s="2" t="str">
        <f t="shared" si="40"/>
        <v>CHA</v>
      </c>
      <c r="C167" s="2" t="str">
        <f t="shared" si="41"/>
        <v>CHA</v>
      </c>
      <c r="D167" s="2" t="str">
        <f t="shared" si="42"/>
        <v>CHA</v>
      </c>
      <c r="E167" s="2" t="str">
        <f t="shared" si="36"/>
        <v/>
      </c>
      <c r="F167" s="2" t="str">
        <f t="shared" si="43"/>
        <v/>
      </c>
      <c r="G167" s="2">
        <f t="shared" si="44"/>
        <v>0</v>
      </c>
      <c r="H167" s="2">
        <f t="shared" si="45"/>
        <v>0</v>
      </c>
      <c r="I167" s="2">
        <f t="shared" si="46"/>
        <v>0</v>
      </c>
      <c r="J167" s="2">
        <f t="shared" si="47"/>
        <v>0</v>
      </c>
      <c r="K167" s="2">
        <f t="shared" si="48"/>
        <v>0</v>
      </c>
      <c r="L167" s="2">
        <f t="shared" si="49"/>
        <v>0</v>
      </c>
      <c r="XJ167" cm="1">
        <f t="array" ref="XJ167:XL167">SUMIFS($M167:$GJ167,$M$1:$GJ$1,XJ$3:XL$3)</f>
        <v>0</v>
      </c>
      <c r="XK167">
        <v>0</v>
      </c>
      <c r="XL167">
        <v>0</v>
      </c>
      <c r="XM167" cm="1">
        <f t="array" ref="XM167">IFERROR(MAX((_xlfn.ANCHORARRAY(XJ167)-AVERAGE(_xlfn.ANCHORARRAY(XJ167)))/ AVERAGE(_xlfn.ANCHORARRAY(XJ167))),0)</f>
        <v>0</v>
      </c>
      <c r="XN167" t="str" cm="1">
        <f t="array" ref="XN167">IF(XM167&gt;$XN$1,_xlfn.XLOOKUP(MAX(_xlfn.ANCHORARRAY(XJ167)),_xlfn.ANCHORARRAY(XJ167),XJ$4:XL$4,""),"")</f>
        <v/>
      </c>
      <c r="XP167" cm="1">
        <f t="array" ref="XP167:XT167">SUMIFS($M167:$GJ167,$M$3:$GJ$3,XP$3:XT$3)</f>
        <v>0</v>
      </c>
      <c r="XQ167">
        <v>0</v>
      </c>
      <c r="XR167">
        <v>0</v>
      </c>
      <c r="XS167">
        <v>0</v>
      </c>
      <c r="XT167">
        <v>0</v>
      </c>
      <c r="XU167" cm="1">
        <f t="array" ref="XU167">IFERROR(MAX((_xlfn.ANCHORARRAY(XP167)-AVERAGE(_xlfn.ANCHORARRAY(XP167)))/ AVERAGE(_xlfn.ANCHORARRAY(XP167))),0)</f>
        <v>0</v>
      </c>
      <c r="XV167" t="str" cm="1">
        <f t="array" ref="XV167">IF(AND(XU167&gt;$XV$1,XN167&lt;&gt;""),_xlfn.XLOOKUP(MAX(_xlfn.ANCHORARRAY(XP167)),_xlfn.ANCHORARRAY(XP167),XP$4:XT$4,""),"")</f>
        <v/>
      </c>
      <c r="XX167" cm="1">
        <f t="array" ref="XX167:YG167">SUMIFS($M167:$GJ167,$M$2:$GJ$2,XX$3:YG$3)</f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 cm="1">
        <f t="array" ref="YH167">IFERROR(MAX((_xlfn.ANCHORARRAY(XX167)-AVERAGE(_xlfn.ANCHORARRAY(XX167)))/ AVERAGE(_xlfn.ANCHORARRAY(XX167))),0)</f>
        <v>0</v>
      </c>
      <c r="YI167" t="str" cm="1">
        <f t="array" ref="YI167">IF(YH167&gt;$YI$1,_xlfn.XLOOKUP(MAX(_xlfn.ANCHORARRAY(XX167)),_xlfn.ANCHORARRAY(XX167),XX$4:YG$4,""),"")</f>
        <v/>
      </c>
      <c r="YK167" t="str">
        <f t="shared" si="39"/>
        <v/>
      </c>
    </row>
    <row r="168" spans="2:661" x14ac:dyDescent="0.3">
      <c r="B168" s="2" t="str">
        <f t="shared" si="40"/>
        <v>CHA</v>
      </c>
      <c r="C168" s="2" t="str">
        <f t="shared" si="41"/>
        <v>CHA</v>
      </c>
      <c r="D168" s="2" t="str">
        <f t="shared" si="42"/>
        <v>CHA</v>
      </c>
      <c r="E168" s="2" t="str">
        <f t="shared" si="36"/>
        <v/>
      </c>
      <c r="F168" s="2" t="str">
        <f t="shared" si="43"/>
        <v/>
      </c>
      <c r="G168" s="2">
        <f t="shared" si="44"/>
        <v>0</v>
      </c>
      <c r="H168" s="2">
        <f t="shared" si="45"/>
        <v>0</v>
      </c>
      <c r="I168" s="2">
        <f t="shared" si="46"/>
        <v>0</v>
      </c>
      <c r="J168" s="2">
        <f t="shared" si="47"/>
        <v>0</v>
      </c>
      <c r="K168" s="2">
        <f t="shared" si="48"/>
        <v>0</v>
      </c>
      <c r="L168" s="2">
        <f t="shared" si="49"/>
        <v>0</v>
      </c>
      <c r="XJ168" cm="1">
        <f t="array" ref="XJ168:XL168">SUMIFS($M168:$GJ168,$M$1:$GJ$1,XJ$3:XL$3)</f>
        <v>0</v>
      </c>
      <c r="XK168">
        <v>0</v>
      </c>
      <c r="XL168">
        <v>0</v>
      </c>
      <c r="XM168" cm="1">
        <f t="array" ref="XM168">IFERROR(MAX((_xlfn.ANCHORARRAY(XJ168)-AVERAGE(_xlfn.ANCHORARRAY(XJ168)))/ AVERAGE(_xlfn.ANCHORARRAY(XJ168))),0)</f>
        <v>0</v>
      </c>
      <c r="XN168" t="str" cm="1">
        <f t="array" ref="XN168">IF(XM168&gt;$XN$1,_xlfn.XLOOKUP(MAX(_xlfn.ANCHORARRAY(XJ168)),_xlfn.ANCHORARRAY(XJ168),XJ$4:XL$4,""),"")</f>
        <v/>
      </c>
      <c r="XP168" cm="1">
        <f t="array" ref="XP168:XT168">SUMIFS($M168:$GJ168,$M$3:$GJ$3,XP$3:XT$3)</f>
        <v>0</v>
      </c>
      <c r="XQ168">
        <v>0</v>
      </c>
      <c r="XR168">
        <v>0</v>
      </c>
      <c r="XS168">
        <v>0</v>
      </c>
      <c r="XT168">
        <v>0</v>
      </c>
      <c r="XU168" cm="1">
        <f t="array" ref="XU168">IFERROR(MAX((_xlfn.ANCHORARRAY(XP168)-AVERAGE(_xlfn.ANCHORARRAY(XP168)))/ AVERAGE(_xlfn.ANCHORARRAY(XP168))),0)</f>
        <v>0</v>
      </c>
      <c r="XV168" t="str" cm="1">
        <f t="array" ref="XV168">IF(AND(XU168&gt;$XV$1,XN168&lt;&gt;""),_xlfn.XLOOKUP(MAX(_xlfn.ANCHORARRAY(XP168)),_xlfn.ANCHORARRAY(XP168),XP$4:XT$4,""),"")</f>
        <v/>
      </c>
      <c r="XX168" cm="1">
        <f t="array" ref="XX168:YG168">SUMIFS($M168:$GJ168,$M$2:$GJ$2,XX$3:YG$3)</f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 cm="1">
        <f t="array" ref="YH168">IFERROR(MAX((_xlfn.ANCHORARRAY(XX168)-AVERAGE(_xlfn.ANCHORARRAY(XX168)))/ AVERAGE(_xlfn.ANCHORARRAY(XX168))),0)</f>
        <v>0</v>
      </c>
      <c r="YI168" t="str" cm="1">
        <f t="array" ref="YI168">IF(YH168&gt;$YI$1,_xlfn.XLOOKUP(MAX(_xlfn.ANCHORARRAY(XX168)),_xlfn.ANCHORARRAY(XX168),XX$4:YG$4,""),"")</f>
        <v/>
      </c>
      <c r="YK168" t="str">
        <f t="shared" si="39"/>
        <v/>
      </c>
    </row>
    <row r="169" spans="2:661" x14ac:dyDescent="0.3">
      <c r="B169" s="2" t="str">
        <f t="shared" si="40"/>
        <v>CHA</v>
      </c>
      <c r="C169" s="2" t="str">
        <f t="shared" si="41"/>
        <v>CHA</v>
      </c>
      <c r="D169" s="2" t="str">
        <f t="shared" si="42"/>
        <v>CHA</v>
      </c>
      <c r="E169" s="2" t="str">
        <f t="shared" si="36"/>
        <v/>
      </c>
      <c r="F169" s="2" t="str">
        <f t="shared" si="43"/>
        <v/>
      </c>
      <c r="G169" s="2">
        <f t="shared" si="44"/>
        <v>0</v>
      </c>
      <c r="H169" s="2">
        <f t="shared" si="45"/>
        <v>0</v>
      </c>
      <c r="I169" s="2">
        <f t="shared" si="46"/>
        <v>0</v>
      </c>
      <c r="J169" s="2">
        <f t="shared" si="47"/>
        <v>0</v>
      </c>
      <c r="K169" s="2">
        <f t="shared" si="48"/>
        <v>0</v>
      </c>
      <c r="L169" s="2">
        <f t="shared" si="49"/>
        <v>0</v>
      </c>
      <c r="XJ169" cm="1">
        <f t="array" ref="XJ169:XL169">SUMIFS($M169:$GJ169,$M$1:$GJ$1,XJ$3:XL$3)</f>
        <v>0</v>
      </c>
      <c r="XK169">
        <v>0</v>
      </c>
      <c r="XL169">
        <v>0</v>
      </c>
      <c r="XM169" cm="1">
        <f t="array" ref="XM169">IFERROR(MAX((_xlfn.ANCHORARRAY(XJ169)-AVERAGE(_xlfn.ANCHORARRAY(XJ169)))/ AVERAGE(_xlfn.ANCHORARRAY(XJ169))),0)</f>
        <v>0</v>
      </c>
      <c r="XN169" t="str" cm="1">
        <f t="array" ref="XN169">IF(XM169&gt;$XN$1,_xlfn.XLOOKUP(MAX(_xlfn.ANCHORARRAY(XJ169)),_xlfn.ANCHORARRAY(XJ169),XJ$4:XL$4,""),"")</f>
        <v/>
      </c>
      <c r="XP169" cm="1">
        <f t="array" ref="XP169:XT169">SUMIFS($M169:$GJ169,$M$3:$GJ$3,XP$3:XT$3)</f>
        <v>0</v>
      </c>
      <c r="XQ169">
        <v>0</v>
      </c>
      <c r="XR169">
        <v>0</v>
      </c>
      <c r="XS169">
        <v>0</v>
      </c>
      <c r="XT169">
        <v>0</v>
      </c>
      <c r="XU169" cm="1">
        <f t="array" ref="XU169">IFERROR(MAX((_xlfn.ANCHORARRAY(XP169)-AVERAGE(_xlfn.ANCHORARRAY(XP169)))/ AVERAGE(_xlfn.ANCHORARRAY(XP169))),0)</f>
        <v>0</v>
      </c>
      <c r="XV169" t="str" cm="1">
        <f t="array" ref="XV169">IF(AND(XU169&gt;$XV$1,XN169&lt;&gt;""),_xlfn.XLOOKUP(MAX(_xlfn.ANCHORARRAY(XP169)),_xlfn.ANCHORARRAY(XP169),XP$4:XT$4,""),"")</f>
        <v/>
      </c>
      <c r="XX169" cm="1">
        <f t="array" ref="XX169:YG169">SUMIFS($M169:$GJ169,$M$2:$GJ$2,XX$3:YG$3)</f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 cm="1">
        <f t="array" ref="YH169">IFERROR(MAX((_xlfn.ANCHORARRAY(XX169)-AVERAGE(_xlfn.ANCHORARRAY(XX169)))/ AVERAGE(_xlfn.ANCHORARRAY(XX169))),0)</f>
        <v>0</v>
      </c>
      <c r="YI169" t="str" cm="1">
        <f t="array" ref="YI169">IF(YH169&gt;$YI$1,_xlfn.XLOOKUP(MAX(_xlfn.ANCHORARRAY(XX169)),_xlfn.ANCHORARRAY(XX169),XX$4:YG$4,""),"")</f>
        <v/>
      </c>
      <c r="YK169" t="str">
        <f t="shared" si="39"/>
        <v/>
      </c>
    </row>
    <row r="170" spans="2:661" x14ac:dyDescent="0.3">
      <c r="B170" s="2" t="str">
        <f t="shared" si="40"/>
        <v>CHA</v>
      </c>
      <c r="C170" s="2" t="str">
        <f t="shared" si="41"/>
        <v>CHA</v>
      </c>
      <c r="D170" s="2" t="str">
        <f t="shared" si="42"/>
        <v>CHA</v>
      </c>
      <c r="E170" s="2" t="str">
        <f t="shared" si="36"/>
        <v/>
      </c>
      <c r="F170" s="2" t="str">
        <f t="shared" si="43"/>
        <v/>
      </c>
      <c r="G170" s="2">
        <f t="shared" si="44"/>
        <v>0</v>
      </c>
      <c r="H170" s="2">
        <f t="shared" si="45"/>
        <v>0</v>
      </c>
      <c r="I170" s="2">
        <f t="shared" si="46"/>
        <v>0</v>
      </c>
      <c r="J170" s="2">
        <f t="shared" si="47"/>
        <v>0</v>
      </c>
      <c r="K170" s="2">
        <f t="shared" si="48"/>
        <v>0</v>
      </c>
      <c r="L170" s="2">
        <f t="shared" si="49"/>
        <v>0</v>
      </c>
      <c r="XJ170" cm="1">
        <f t="array" ref="XJ170:XL170">SUMIFS($M170:$GJ170,$M$1:$GJ$1,XJ$3:XL$3)</f>
        <v>0</v>
      </c>
      <c r="XK170">
        <v>0</v>
      </c>
      <c r="XL170">
        <v>0</v>
      </c>
      <c r="XM170" cm="1">
        <f t="array" ref="XM170">IFERROR(MAX((_xlfn.ANCHORARRAY(XJ170)-AVERAGE(_xlfn.ANCHORARRAY(XJ170)))/ AVERAGE(_xlfn.ANCHORARRAY(XJ170))),0)</f>
        <v>0</v>
      </c>
      <c r="XN170" t="str" cm="1">
        <f t="array" ref="XN170">IF(XM170&gt;$XN$1,_xlfn.XLOOKUP(MAX(_xlfn.ANCHORARRAY(XJ170)),_xlfn.ANCHORARRAY(XJ170),XJ$4:XL$4,""),"")</f>
        <v/>
      </c>
      <c r="XP170" cm="1">
        <f t="array" ref="XP170:XT170">SUMIFS($M170:$GJ170,$M$3:$GJ$3,XP$3:XT$3)</f>
        <v>0</v>
      </c>
      <c r="XQ170">
        <v>0</v>
      </c>
      <c r="XR170">
        <v>0</v>
      </c>
      <c r="XS170">
        <v>0</v>
      </c>
      <c r="XT170">
        <v>0</v>
      </c>
      <c r="XU170" cm="1">
        <f t="array" ref="XU170">IFERROR(MAX((_xlfn.ANCHORARRAY(XP170)-AVERAGE(_xlfn.ANCHORARRAY(XP170)))/ AVERAGE(_xlfn.ANCHORARRAY(XP170))),0)</f>
        <v>0</v>
      </c>
      <c r="XV170" t="str" cm="1">
        <f t="array" ref="XV170">IF(AND(XU170&gt;$XV$1,XN170&lt;&gt;""),_xlfn.XLOOKUP(MAX(_xlfn.ANCHORARRAY(XP170)),_xlfn.ANCHORARRAY(XP170),XP$4:XT$4,""),"")</f>
        <v/>
      </c>
      <c r="XX170" cm="1">
        <f t="array" ref="XX170:YG170">SUMIFS($M170:$GJ170,$M$2:$GJ$2,XX$3:YG$3)</f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 cm="1">
        <f t="array" ref="YH170">IFERROR(MAX((_xlfn.ANCHORARRAY(XX170)-AVERAGE(_xlfn.ANCHORARRAY(XX170)))/ AVERAGE(_xlfn.ANCHORARRAY(XX170))),0)</f>
        <v>0</v>
      </c>
      <c r="YI170" t="str" cm="1">
        <f t="array" ref="YI170">IF(YH170&gt;$YI$1,_xlfn.XLOOKUP(MAX(_xlfn.ANCHORARRAY(XX170)),_xlfn.ANCHORARRAY(XX170),XX$4:YG$4,""),"")</f>
        <v/>
      </c>
      <c r="YK170" t="str">
        <f t="shared" si="39"/>
        <v/>
      </c>
    </row>
    <row r="171" spans="2:661" x14ac:dyDescent="0.3">
      <c r="B171" s="2" t="str">
        <f t="shared" si="40"/>
        <v>CHA</v>
      </c>
      <c r="C171" s="2" t="str">
        <f t="shared" si="41"/>
        <v>CHA</v>
      </c>
      <c r="D171" s="2" t="str">
        <f t="shared" si="42"/>
        <v>CHA</v>
      </c>
      <c r="E171" s="2" t="str">
        <f t="shared" si="36"/>
        <v/>
      </c>
      <c r="F171" s="2" t="str">
        <f t="shared" si="43"/>
        <v/>
      </c>
      <c r="G171" s="2">
        <f t="shared" si="44"/>
        <v>0</v>
      </c>
      <c r="H171" s="2">
        <f t="shared" si="45"/>
        <v>0</v>
      </c>
      <c r="I171" s="2">
        <f t="shared" si="46"/>
        <v>0</v>
      </c>
      <c r="J171" s="2">
        <f t="shared" si="47"/>
        <v>0</v>
      </c>
      <c r="K171" s="2">
        <f t="shared" si="48"/>
        <v>0</v>
      </c>
      <c r="L171" s="2">
        <f t="shared" si="49"/>
        <v>0</v>
      </c>
      <c r="XJ171" cm="1">
        <f t="array" ref="XJ171:XL171">SUMIFS($M171:$GJ171,$M$1:$GJ$1,XJ$3:XL$3)</f>
        <v>0</v>
      </c>
      <c r="XK171">
        <v>0</v>
      </c>
      <c r="XL171">
        <v>0</v>
      </c>
      <c r="XM171" cm="1">
        <f t="array" ref="XM171">IFERROR(MAX((_xlfn.ANCHORARRAY(XJ171)-AVERAGE(_xlfn.ANCHORARRAY(XJ171)))/ AVERAGE(_xlfn.ANCHORARRAY(XJ171))),0)</f>
        <v>0</v>
      </c>
      <c r="XN171" t="str" cm="1">
        <f t="array" ref="XN171">IF(XM171&gt;$XN$1,_xlfn.XLOOKUP(MAX(_xlfn.ANCHORARRAY(XJ171)),_xlfn.ANCHORARRAY(XJ171),XJ$4:XL$4,""),"")</f>
        <v/>
      </c>
      <c r="XP171" cm="1">
        <f t="array" ref="XP171:XT171">SUMIFS($M171:$GJ171,$M$3:$GJ$3,XP$3:XT$3)</f>
        <v>0</v>
      </c>
      <c r="XQ171">
        <v>0</v>
      </c>
      <c r="XR171">
        <v>0</v>
      </c>
      <c r="XS171">
        <v>0</v>
      </c>
      <c r="XT171">
        <v>0</v>
      </c>
      <c r="XU171" cm="1">
        <f t="array" ref="XU171">IFERROR(MAX((_xlfn.ANCHORARRAY(XP171)-AVERAGE(_xlfn.ANCHORARRAY(XP171)))/ AVERAGE(_xlfn.ANCHORARRAY(XP171))),0)</f>
        <v>0</v>
      </c>
      <c r="XV171" t="str" cm="1">
        <f t="array" ref="XV171">IF(AND(XU171&gt;$XV$1,XN171&lt;&gt;""),_xlfn.XLOOKUP(MAX(_xlfn.ANCHORARRAY(XP171)),_xlfn.ANCHORARRAY(XP171),XP$4:XT$4,""),"")</f>
        <v/>
      </c>
      <c r="XX171" cm="1">
        <f t="array" ref="XX171:YG171">SUMIFS($M171:$GJ171,$M$2:$GJ$2,XX$3:YG$3)</f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 cm="1">
        <f t="array" ref="YH171">IFERROR(MAX((_xlfn.ANCHORARRAY(XX171)-AVERAGE(_xlfn.ANCHORARRAY(XX171)))/ AVERAGE(_xlfn.ANCHORARRAY(XX171))),0)</f>
        <v>0</v>
      </c>
      <c r="YI171" t="str" cm="1">
        <f t="array" ref="YI171">IF(YH171&gt;$YI$1,_xlfn.XLOOKUP(MAX(_xlfn.ANCHORARRAY(XX171)),_xlfn.ANCHORARRAY(XX171),XX$4:YG$4,""),"")</f>
        <v/>
      </c>
      <c r="YK171" t="str">
        <f t="shared" si="39"/>
        <v/>
      </c>
    </row>
    <row r="172" spans="2:661" x14ac:dyDescent="0.3">
      <c r="B172" s="2" t="str">
        <f t="shared" si="40"/>
        <v>CHA</v>
      </c>
      <c r="C172" s="2" t="str">
        <f t="shared" si="41"/>
        <v>CHA</v>
      </c>
      <c r="D172" s="2" t="str">
        <f t="shared" si="42"/>
        <v>CHA</v>
      </c>
      <c r="E172" s="2" t="str">
        <f t="shared" si="36"/>
        <v/>
      </c>
      <c r="F172" s="2" t="str">
        <f t="shared" si="43"/>
        <v/>
      </c>
      <c r="G172" s="2">
        <f t="shared" si="44"/>
        <v>0</v>
      </c>
      <c r="H172" s="2">
        <f t="shared" si="45"/>
        <v>0</v>
      </c>
      <c r="I172" s="2">
        <f t="shared" si="46"/>
        <v>0</v>
      </c>
      <c r="J172" s="2">
        <f t="shared" si="47"/>
        <v>0</v>
      </c>
      <c r="K172" s="2">
        <f t="shared" si="48"/>
        <v>0</v>
      </c>
      <c r="L172" s="2">
        <f t="shared" si="49"/>
        <v>0</v>
      </c>
      <c r="XJ172" cm="1">
        <f t="array" ref="XJ172:XL172">SUMIFS($M172:$GJ172,$M$1:$GJ$1,XJ$3:XL$3)</f>
        <v>0</v>
      </c>
      <c r="XK172">
        <v>0</v>
      </c>
      <c r="XL172">
        <v>0</v>
      </c>
      <c r="XM172" cm="1">
        <f t="array" ref="XM172">IFERROR(MAX((_xlfn.ANCHORARRAY(XJ172)-AVERAGE(_xlfn.ANCHORARRAY(XJ172)))/ AVERAGE(_xlfn.ANCHORARRAY(XJ172))),0)</f>
        <v>0</v>
      </c>
      <c r="XN172" t="str" cm="1">
        <f t="array" ref="XN172">IF(XM172&gt;$XN$1,_xlfn.XLOOKUP(MAX(_xlfn.ANCHORARRAY(XJ172)),_xlfn.ANCHORARRAY(XJ172),XJ$4:XL$4,""),"")</f>
        <v/>
      </c>
      <c r="XP172" cm="1">
        <f t="array" ref="XP172:XT172">SUMIFS($M172:$GJ172,$M$3:$GJ$3,XP$3:XT$3)</f>
        <v>0</v>
      </c>
      <c r="XQ172">
        <v>0</v>
      </c>
      <c r="XR172">
        <v>0</v>
      </c>
      <c r="XS172">
        <v>0</v>
      </c>
      <c r="XT172">
        <v>0</v>
      </c>
      <c r="XU172" cm="1">
        <f t="array" ref="XU172">IFERROR(MAX((_xlfn.ANCHORARRAY(XP172)-AVERAGE(_xlfn.ANCHORARRAY(XP172)))/ AVERAGE(_xlfn.ANCHORARRAY(XP172))),0)</f>
        <v>0</v>
      </c>
      <c r="XV172" t="str" cm="1">
        <f t="array" ref="XV172">IF(AND(XU172&gt;$XV$1,XN172&lt;&gt;""),_xlfn.XLOOKUP(MAX(_xlfn.ANCHORARRAY(XP172)),_xlfn.ANCHORARRAY(XP172),XP$4:XT$4,""),"")</f>
        <v/>
      </c>
      <c r="XX172" cm="1">
        <f t="array" ref="XX172:YG172">SUMIFS($M172:$GJ172,$M$2:$GJ$2,XX$3:YG$3)</f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 cm="1">
        <f t="array" ref="YH172">IFERROR(MAX((_xlfn.ANCHORARRAY(XX172)-AVERAGE(_xlfn.ANCHORARRAY(XX172)))/ AVERAGE(_xlfn.ANCHORARRAY(XX172))),0)</f>
        <v>0</v>
      </c>
      <c r="YI172" t="str" cm="1">
        <f t="array" ref="YI172">IF(YH172&gt;$YI$1,_xlfn.XLOOKUP(MAX(_xlfn.ANCHORARRAY(XX172)),_xlfn.ANCHORARRAY(XX172),XX$4:YG$4,""),"")</f>
        <v/>
      </c>
      <c r="YK172" t="str">
        <f t="shared" si="39"/>
        <v/>
      </c>
    </row>
    <row r="173" spans="2:661" x14ac:dyDescent="0.3">
      <c r="B173" s="2" t="str">
        <f t="shared" si="40"/>
        <v>CHA</v>
      </c>
      <c r="C173" s="2" t="str">
        <f t="shared" si="41"/>
        <v>CHA</v>
      </c>
      <c r="D173" s="2" t="str">
        <f t="shared" si="42"/>
        <v>CHA</v>
      </c>
      <c r="E173" s="2" t="str">
        <f t="shared" si="36"/>
        <v/>
      </c>
      <c r="F173" s="2" t="str">
        <f t="shared" si="43"/>
        <v/>
      </c>
      <c r="G173" s="2">
        <f t="shared" si="44"/>
        <v>0</v>
      </c>
      <c r="H173" s="2">
        <f t="shared" si="45"/>
        <v>0</v>
      </c>
      <c r="I173" s="2">
        <f t="shared" si="46"/>
        <v>0</v>
      </c>
      <c r="J173" s="2">
        <f t="shared" si="47"/>
        <v>0</v>
      </c>
      <c r="K173" s="2">
        <f t="shared" si="48"/>
        <v>0</v>
      </c>
      <c r="L173" s="2">
        <f t="shared" si="49"/>
        <v>0</v>
      </c>
      <c r="XJ173" cm="1">
        <f t="array" ref="XJ173:XL173">SUMIFS($M173:$GJ173,$M$1:$GJ$1,XJ$3:XL$3)</f>
        <v>0</v>
      </c>
      <c r="XK173">
        <v>0</v>
      </c>
      <c r="XL173">
        <v>0</v>
      </c>
      <c r="XM173" cm="1">
        <f t="array" ref="XM173">IFERROR(MAX((_xlfn.ANCHORARRAY(XJ173)-AVERAGE(_xlfn.ANCHORARRAY(XJ173)))/ AVERAGE(_xlfn.ANCHORARRAY(XJ173))),0)</f>
        <v>0</v>
      </c>
      <c r="XN173" t="str" cm="1">
        <f t="array" ref="XN173">IF(XM173&gt;$XN$1,_xlfn.XLOOKUP(MAX(_xlfn.ANCHORARRAY(XJ173)),_xlfn.ANCHORARRAY(XJ173),XJ$4:XL$4,""),"")</f>
        <v/>
      </c>
      <c r="XP173" cm="1">
        <f t="array" ref="XP173:XT173">SUMIFS($M173:$GJ173,$M$3:$GJ$3,XP$3:XT$3)</f>
        <v>0</v>
      </c>
      <c r="XQ173">
        <v>0</v>
      </c>
      <c r="XR173">
        <v>0</v>
      </c>
      <c r="XS173">
        <v>0</v>
      </c>
      <c r="XT173">
        <v>0</v>
      </c>
      <c r="XU173" cm="1">
        <f t="array" ref="XU173">IFERROR(MAX((_xlfn.ANCHORARRAY(XP173)-AVERAGE(_xlfn.ANCHORARRAY(XP173)))/ AVERAGE(_xlfn.ANCHORARRAY(XP173))),0)</f>
        <v>0</v>
      </c>
      <c r="XV173" t="str" cm="1">
        <f t="array" ref="XV173">IF(AND(XU173&gt;$XV$1,XN173&lt;&gt;""),_xlfn.XLOOKUP(MAX(_xlfn.ANCHORARRAY(XP173)),_xlfn.ANCHORARRAY(XP173),XP$4:XT$4,""),"")</f>
        <v/>
      </c>
      <c r="XX173" cm="1">
        <f t="array" ref="XX173:YG173">SUMIFS($M173:$GJ173,$M$2:$GJ$2,XX$3:YG$3)</f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 cm="1">
        <f t="array" ref="YH173">IFERROR(MAX((_xlfn.ANCHORARRAY(XX173)-AVERAGE(_xlfn.ANCHORARRAY(XX173)))/ AVERAGE(_xlfn.ANCHORARRAY(XX173))),0)</f>
        <v>0</v>
      </c>
      <c r="YI173" t="str" cm="1">
        <f t="array" ref="YI173">IF(YH173&gt;$YI$1,_xlfn.XLOOKUP(MAX(_xlfn.ANCHORARRAY(XX173)),_xlfn.ANCHORARRAY(XX173),XX$4:YG$4,""),"")</f>
        <v/>
      </c>
      <c r="YK173" t="str">
        <f t="shared" si="39"/>
        <v/>
      </c>
    </row>
    <row r="174" spans="2:661" x14ac:dyDescent="0.3">
      <c r="B174" s="2" t="str">
        <f t="shared" si="40"/>
        <v>CHA</v>
      </c>
      <c r="C174" s="2" t="str">
        <f t="shared" si="41"/>
        <v>CHA</v>
      </c>
      <c r="D174" s="2" t="str">
        <f t="shared" si="42"/>
        <v>CHA</v>
      </c>
      <c r="E174" s="2" t="str">
        <f t="shared" si="36"/>
        <v/>
      </c>
      <c r="F174" s="2" t="str">
        <f t="shared" si="43"/>
        <v/>
      </c>
      <c r="G174" s="2">
        <f t="shared" si="44"/>
        <v>0</v>
      </c>
      <c r="H174" s="2">
        <f t="shared" si="45"/>
        <v>0</v>
      </c>
      <c r="I174" s="2">
        <f t="shared" si="46"/>
        <v>0</v>
      </c>
      <c r="J174" s="2">
        <f t="shared" si="47"/>
        <v>0</v>
      </c>
      <c r="K174" s="2">
        <f t="shared" si="48"/>
        <v>0</v>
      </c>
      <c r="L174" s="2">
        <f t="shared" si="49"/>
        <v>0</v>
      </c>
      <c r="XJ174" cm="1">
        <f t="array" ref="XJ174:XL174">SUMIFS($M174:$GJ174,$M$1:$GJ$1,XJ$3:XL$3)</f>
        <v>0</v>
      </c>
      <c r="XK174">
        <v>0</v>
      </c>
      <c r="XL174">
        <v>0</v>
      </c>
      <c r="XM174" cm="1">
        <f t="array" ref="XM174">IFERROR(MAX((_xlfn.ANCHORARRAY(XJ174)-AVERAGE(_xlfn.ANCHORARRAY(XJ174)))/ AVERAGE(_xlfn.ANCHORARRAY(XJ174))),0)</f>
        <v>0</v>
      </c>
      <c r="XN174" t="str" cm="1">
        <f t="array" ref="XN174">IF(XM174&gt;$XN$1,_xlfn.XLOOKUP(MAX(_xlfn.ANCHORARRAY(XJ174)),_xlfn.ANCHORARRAY(XJ174),XJ$4:XL$4,""),"")</f>
        <v/>
      </c>
      <c r="XP174" cm="1">
        <f t="array" ref="XP174:XT174">SUMIFS($M174:$GJ174,$M$3:$GJ$3,XP$3:XT$3)</f>
        <v>0</v>
      </c>
      <c r="XQ174">
        <v>0</v>
      </c>
      <c r="XR174">
        <v>0</v>
      </c>
      <c r="XS174">
        <v>0</v>
      </c>
      <c r="XT174">
        <v>0</v>
      </c>
      <c r="XU174" cm="1">
        <f t="array" ref="XU174">IFERROR(MAX((_xlfn.ANCHORARRAY(XP174)-AVERAGE(_xlfn.ANCHORARRAY(XP174)))/ AVERAGE(_xlfn.ANCHORARRAY(XP174))),0)</f>
        <v>0</v>
      </c>
      <c r="XV174" t="str" cm="1">
        <f t="array" ref="XV174">IF(AND(XU174&gt;$XV$1,XN174&lt;&gt;""),_xlfn.XLOOKUP(MAX(_xlfn.ANCHORARRAY(XP174)),_xlfn.ANCHORARRAY(XP174),XP$4:XT$4,""),"")</f>
        <v/>
      </c>
      <c r="XX174" cm="1">
        <f t="array" ref="XX174:YG174">SUMIFS($M174:$GJ174,$M$2:$GJ$2,XX$3:YG$3)</f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 cm="1">
        <f t="array" ref="YH174">IFERROR(MAX((_xlfn.ANCHORARRAY(XX174)-AVERAGE(_xlfn.ANCHORARRAY(XX174)))/ AVERAGE(_xlfn.ANCHORARRAY(XX174))),0)</f>
        <v>0</v>
      </c>
      <c r="YI174" t="str" cm="1">
        <f t="array" ref="YI174">IF(YH174&gt;$YI$1,_xlfn.XLOOKUP(MAX(_xlfn.ANCHORARRAY(XX174)),_xlfn.ANCHORARRAY(XX174),XX$4:YG$4,""),"")</f>
        <v/>
      </c>
      <c r="YK174" t="str">
        <f t="shared" si="39"/>
        <v/>
      </c>
    </row>
    <row r="175" spans="2:661" x14ac:dyDescent="0.3">
      <c r="B175" s="2" t="str">
        <f t="shared" si="40"/>
        <v>CHA</v>
      </c>
      <c r="C175" s="2" t="str">
        <f t="shared" si="41"/>
        <v>CHA</v>
      </c>
      <c r="D175" s="2" t="str">
        <f t="shared" si="42"/>
        <v>CHA</v>
      </c>
      <c r="E175" s="2" t="str">
        <f t="shared" si="36"/>
        <v/>
      </c>
      <c r="F175" s="2" t="str">
        <f t="shared" si="43"/>
        <v/>
      </c>
      <c r="G175" s="2">
        <f t="shared" si="44"/>
        <v>0</v>
      </c>
      <c r="H175" s="2">
        <f t="shared" si="45"/>
        <v>0</v>
      </c>
      <c r="I175" s="2">
        <f t="shared" si="46"/>
        <v>0</v>
      </c>
      <c r="J175" s="2">
        <f t="shared" si="47"/>
        <v>0</v>
      </c>
      <c r="K175" s="2">
        <f t="shared" si="48"/>
        <v>0</v>
      </c>
      <c r="L175" s="2">
        <f t="shared" si="49"/>
        <v>0</v>
      </c>
      <c r="XJ175" cm="1">
        <f t="array" ref="XJ175:XL175">SUMIFS($M175:$GJ175,$M$1:$GJ$1,XJ$3:XL$3)</f>
        <v>0</v>
      </c>
      <c r="XK175">
        <v>0</v>
      </c>
      <c r="XL175">
        <v>0</v>
      </c>
      <c r="XM175" cm="1">
        <f t="array" ref="XM175">IFERROR(MAX((_xlfn.ANCHORARRAY(XJ175)-AVERAGE(_xlfn.ANCHORARRAY(XJ175)))/ AVERAGE(_xlfn.ANCHORARRAY(XJ175))),0)</f>
        <v>0</v>
      </c>
      <c r="XN175" t="str" cm="1">
        <f t="array" ref="XN175">IF(XM175&gt;$XN$1,_xlfn.XLOOKUP(MAX(_xlfn.ANCHORARRAY(XJ175)),_xlfn.ANCHORARRAY(XJ175),XJ$4:XL$4,""),"")</f>
        <v/>
      </c>
      <c r="XP175" cm="1">
        <f t="array" ref="XP175:XT175">SUMIFS($M175:$GJ175,$M$3:$GJ$3,XP$3:XT$3)</f>
        <v>0</v>
      </c>
      <c r="XQ175">
        <v>0</v>
      </c>
      <c r="XR175">
        <v>0</v>
      </c>
      <c r="XS175">
        <v>0</v>
      </c>
      <c r="XT175">
        <v>0</v>
      </c>
      <c r="XU175" cm="1">
        <f t="array" ref="XU175">IFERROR(MAX((_xlfn.ANCHORARRAY(XP175)-AVERAGE(_xlfn.ANCHORARRAY(XP175)))/ AVERAGE(_xlfn.ANCHORARRAY(XP175))),0)</f>
        <v>0</v>
      </c>
      <c r="XV175" t="str" cm="1">
        <f t="array" ref="XV175">IF(AND(XU175&gt;$XV$1,XN175&lt;&gt;""),_xlfn.XLOOKUP(MAX(_xlfn.ANCHORARRAY(XP175)),_xlfn.ANCHORARRAY(XP175),XP$4:XT$4,""),"")</f>
        <v/>
      </c>
      <c r="XX175" cm="1">
        <f t="array" ref="XX175:YG175">SUMIFS($M175:$GJ175,$M$2:$GJ$2,XX$3:YG$3)</f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 cm="1">
        <f t="array" ref="YH175">IFERROR(MAX((_xlfn.ANCHORARRAY(XX175)-AVERAGE(_xlfn.ANCHORARRAY(XX175)))/ AVERAGE(_xlfn.ANCHORARRAY(XX175))),0)</f>
        <v>0</v>
      </c>
      <c r="YI175" t="str" cm="1">
        <f t="array" ref="YI175">IF(YH175&gt;$YI$1,_xlfn.XLOOKUP(MAX(_xlfn.ANCHORARRAY(XX175)),_xlfn.ANCHORARRAY(XX175),XX$4:YG$4,""),"")</f>
        <v/>
      </c>
      <c r="YK175" t="str">
        <f t="shared" si="39"/>
        <v/>
      </c>
    </row>
    <row r="176" spans="2:661" x14ac:dyDescent="0.3">
      <c r="B176" s="2" t="str">
        <f t="shared" si="40"/>
        <v>CHA</v>
      </c>
      <c r="C176" s="2" t="str">
        <f t="shared" si="41"/>
        <v>CHA</v>
      </c>
      <c r="D176" s="2" t="str">
        <f t="shared" si="42"/>
        <v>CHA</v>
      </c>
      <c r="E176" s="2" t="str">
        <f t="shared" si="36"/>
        <v/>
      </c>
      <c r="F176" s="2" t="str">
        <f t="shared" si="43"/>
        <v/>
      </c>
      <c r="G176" s="2">
        <f t="shared" si="44"/>
        <v>0</v>
      </c>
      <c r="H176" s="2">
        <f t="shared" si="45"/>
        <v>0</v>
      </c>
      <c r="I176" s="2">
        <f t="shared" si="46"/>
        <v>0</v>
      </c>
      <c r="J176" s="2">
        <f t="shared" si="47"/>
        <v>0</v>
      </c>
      <c r="K176" s="2">
        <f t="shared" si="48"/>
        <v>0</v>
      </c>
      <c r="L176" s="2">
        <f t="shared" si="49"/>
        <v>0</v>
      </c>
      <c r="XJ176" cm="1">
        <f t="array" ref="XJ176:XL176">SUMIFS($M176:$GJ176,$M$1:$GJ$1,XJ$3:XL$3)</f>
        <v>0</v>
      </c>
      <c r="XK176">
        <v>0</v>
      </c>
      <c r="XL176">
        <v>0</v>
      </c>
      <c r="XM176" cm="1">
        <f t="array" ref="XM176">IFERROR(MAX((_xlfn.ANCHORARRAY(XJ176)-AVERAGE(_xlfn.ANCHORARRAY(XJ176)))/ AVERAGE(_xlfn.ANCHORARRAY(XJ176))),0)</f>
        <v>0</v>
      </c>
      <c r="XN176" t="str" cm="1">
        <f t="array" ref="XN176">IF(XM176&gt;$XN$1,_xlfn.XLOOKUP(MAX(_xlfn.ANCHORARRAY(XJ176)),_xlfn.ANCHORARRAY(XJ176),XJ$4:XL$4,""),"")</f>
        <v/>
      </c>
      <c r="XP176" cm="1">
        <f t="array" ref="XP176:XT176">SUMIFS($M176:$GJ176,$M$3:$GJ$3,XP$3:XT$3)</f>
        <v>0</v>
      </c>
      <c r="XQ176">
        <v>0</v>
      </c>
      <c r="XR176">
        <v>0</v>
      </c>
      <c r="XS176">
        <v>0</v>
      </c>
      <c r="XT176">
        <v>0</v>
      </c>
      <c r="XU176" cm="1">
        <f t="array" ref="XU176">IFERROR(MAX((_xlfn.ANCHORARRAY(XP176)-AVERAGE(_xlfn.ANCHORARRAY(XP176)))/ AVERAGE(_xlfn.ANCHORARRAY(XP176))),0)</f>
        <v>0</v>
      </c>
      <c r="XV176" t="str" cm="1">
        <f t="array" ref="XV176">IF(AND(XU176&gt;$XV$1,XN176&lt;&gt;""),_xlfn.XLOOKUP(MAX(_xlfn.ANCHORARRAY(XP176)),_xlfn.ANCHORARRAY(XP176),XP$4:XT$4,""),"")</f>
        <v/>
      </c>
      <c r="XX176" cm="1">
        <f t="array" ref="XX176:YG176">SUMIFS($M176:$GJ176,$M$2:$GJ$2,XX$3:YG$3)</f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 cm="1">
        <f t="array" ref="YH176">IFERROR(MAX((_xlfn.ANCHORARRAY(XX176)-AVERAGE(_xlfn.ANCHORARRAY(XX176)))/ AVERAGE(_xlfn.ANCHORARRAY(XX176))),0)</f>
        <v>0</v>
      </c>
      <c r="YI176" t="str" cm="1">
        <f t="array" ref="YI176">IF(YH176&gt;$YI$1,_xlfn.XLOOKUP(MAX(_xlfn.ANCHORARRAY(XX176)),_xlfn.ANCHORARRAY(XX176),XX$4:YG$4,""),"")</f>
        <v/>
      </c>
      <c r="YK176" t="str">
        <f t="shared" si="39"/>
        <v/>
      </c>
    </row>
    <row r="177" spans="2:661" x14ac:dyDescent="0.3">
      <c r="B177" s="2" t="str">
        <f t="shared" si="40"/>
        <v>CHA</v>
      </c>
      <c r="C177" s="2" t="str">
        <f t="shared" si="41"/>
        <v>CHA</v>
      </c>
      <c r="D177" s="2" t="str">
        <f t="shared" si="42"/>
        <v>CHA</v>
      </c>
      <c r="E177" s="2" t="str">
        <f t="shared" si="36"/>
        <v/>
      </c>
      <c r="F177" s="2" t="str">
        <f t="shared" si="43"/>
        <v/>
      </c>
      <c r="G177" s="2">
        <f t="shared" si="44"/>
        <v>0</v>
      </c>
      <c r="H177" s="2">
        <f t="shared" si="45"/>
        <v>0</v>
      </c>
      <c r="I177" s="2">
        <f t="shared" si="46"/>
        <v>0</v>
      </c>
      <c r="J177" s="2">
        <f t="shared" si="47"/>
        <v>0</v>
      </c>
      <c r="K177" s="2">
        <f t="shared" si="48"/>
        <v>0</v>
      </c>
      <c r="L177" s="2">
        <f t="shared" si="49"/>
        <v>0</v>
      </c>
      <c r="XJ177" cm="1">
        <f t="array" ref="XJ177:XL177">SUMIFS($M177:$GJ177,$M$1:$GJ$1,XJ$3:XL$3)</f>
        <v>0</v>
      </c>
      <c r="XK177">
        <v>0</v>
      </c>
      <c r="XL177">
        <v>0</v>
      </c>
      <c r="XM177" cm="1">
        <f t="array" ref="XM177">IFERROR(MAX((_xlfn.ANCHORARRAY(XJ177)-AVERAGE(_xlfn.ANCHORARRAY(XJ177)))/ AVERAGE(_xlfn.ANCHORARRAY(XJ177))),0)</f>
        <v>0</v>
      </c>
      <c r="XN177" t="str" cm="1">
        <f t="array" ref="XN177">IF(XM177&gt;$XN$1,_xlfn.XLOOKUP(MAX(_xlfn.ANCHORARRAY(XJ177)),_xlfn.ANCHORARRAY(XJ177),XJ$4:XL$4,""),"")</f>
        <v/>
      </c>
      <c r="XP177" cm="1">
        <f t="array" ref="XP177:XT177">SUMIFS($M177:$GJ177,$M$3:$GJ$3,XP$3:XT$3)</f>
        <v>0</v>
      </c>
      <c r="XQ177">
        <v>0</v>
      </c>
      <c r="XR177">
        <v>0</v>
      </c>
      <c r="XS177">
        <v>0</v>
      </c>
      <c r="XT177">
        <v>0</v>
      </c>
      <c r="XU177" cm="1">
        <f t="array" ref="XU177">IFERROR(MAX((_xlfn.ANCHORARRAY(XP177)-AVERAGE(_xlfn.ANCHORARRAY(XP177)))/ AVERAGE(_xlfn.ANCHORARRAY(XP177))),0)</f>
        <v>0</v>
      </c>
      <c r="XV177" t="str" cm="1">
        <f t="array" ref="XV177">IF(AND(XU177&gt;$XV$1,XN177&lt;&gt;""),_xlfn.XLOOKUP(MAX(_xlfn.ANCHORARRAY(XP177)),_xlfn.ANCHORARRAY(XP177),XP$4:XT$4,""),"")</f>
        <v/>
      </c>
      <c r="XX177" cm="1">
        <f t="array" ref="XX177:YG177">SUMIFS($M177:$GJ177,$M$2:$GJ$2,XX$3:YG$3)</f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 cm="1">
        <f t="array" ref="YH177">IFERROR(MAX((_xlfn.ANCHORARRAY(XX177)-AVERAGE(_xlfn.ANCHORARRAY(XX177)))/ AVERAGE(_xlfn.ANCHORARRAY(XX177))),0)</f>
        <v>0</v>
      </c>
      <c r="YI177" t="str" cm="1">
        <f t="array" ref="YI177">IF(YH177&gt;$YI$1,_xlfn.XLOOKUP(MAX(_xlfn.ANCHORARRAY(XX177)),_xlfn.ANCHORARRAY(XX177),XX$4:YG$4,""),"")</f>
        <v/>
      </c>
      <c r="YK177" t="str">
        <f t="shared" si="39"/>
        <v/>
      </c>
    </row>
    <row r="178" spans="2:661" x14ac:dyDescent="0.3">
      <c r="B178" s="2" t="str">
        <f t="shared" ref="B178:B188" si="50">IF(C178="NotFound",D178,C178)</f>
        <v>CHA</v>
      </c>
      <c r="C178" s="2" t="str">
        <f t="shared" ref="C178:C188" si="51">IF(K178&gt;1,"NotFound","CHA"&amp;_xlfn.XLOOKUP(MAX(M178:GJ178,1),M178:GJ178,$M$4:$GJ$4,""))</f>
        <v>CHA</v>
      </c>
      <c r="D178" s="2" t="str">
        <f t="shared" ref="D178:D188" si="52">IF(G178&gt;1,"NotFound","CHA"&amp;_xlfn.XLOOKUP(MAX(GL178:NI178,1),GL178:NI178,$GL$4:$NI$4,""))</f>
        <v>CHA</v>
      </c>
      <c r="E178" s="2" t="str">
        <f t="shared" si="36"/>
        <v/>
      </c>
      <c r="F178" s="2" t="str">
        <f t="shared" ref="F178:F188" si="53">IF(I178&gt;1,"NotFound",_xlfn.XLOOKUP(MAX(NK178:XG178,1),NK178:XG178,$NK$4:$XG$4,""))</f>
        <v/>
      </c>
      <c r="G178" s="2">
        <f t="shared" ref="G178:G188" si="54">COUNTIF(GL178:NI178,H178)</f>
        <v>0</v>
      </c>
      <c r="H178" s="2">
        <f t="shared" ref="H178:H188" si="55">MAX(GL178:NI178)</f>
        <v>0</v>
      </c>
      <c r="I178" s="2">
        <f t="shared" ref="I178:I188" si="56">COUNTIF(NK178:XG178,J178)</f>
        <v>0</v>
      </c>
      <c r="J178" s="2">
        <f t="shared" ref="J178:J188" si="57">MAX(NK178:XG178)</f>
        <v>0</v>
      </c>
      <c r="K178" s="2">
        <f t="shared" ref="K178:K188" si="58">COUNTIF(M178:GJ178,L178)</f>
        <v>0</v>
      </c>
      <c r="L178" s="2">
        <f t="shared" ref="L178:L188" si="59">MAX(M178:GJ178)</f>
        <v>0</v>
      </c>
      <c r="XJ178" cm="1">
        <f t="array" ref="XJ178:XL178">SUMIFS($M178:$GJ178,$M$1:$GJ$1,XJ$3:XL$3)</f>
        <v>0</v>
      </c>
      <c r="XK178">
        <v>0</v>
      </c>
      <c r="XL178">
        <v>0</v>
      </c>
      <c r="XM178" cm="1">
        <f t="array" ref="XM178">IFERROR(MAX((_xlfn.ANCHORARRAY(XJ178)-AVERAGE(_xlfn.ANCHORARRAY(XJ178)))/ AVERAGE(_xlfn.ANCHORARRAY(XJ178))),0)</f>
        <v>0</v>
      </c>
      <c r="XN178" t="str" cm="1">
        <f t="array" ref="XN178">IF(XM178&gt;$XN$1,_xlfn.XLOOKUP(MAX(_xlfn.ANCHORARRAY(XJ178)),_xlfn.ANCHORARRAY(XJ178),XJ$4:XL$4,""),"")</f>
        <v/>
      </c>
      <c r="XP178" cm="1">
        <f t="array" ref="XP178:XT178">SUMIFS($M178:$GJ178,$M$3:$GJ$3,XP$3:XT$3)</f>
        <v>0</v>
      </c>
      <c r="XQ178">
        <v>0</v>
      </c>
      <c r="XR178">
        <v>0</v>
      </c>
      <c r="XS178">
        <v>0</v>
      </c>
      <c r="XT178">
        <v>0</v>
      </c>
      <c r="XU178" cm="1">
        <f t="array" ref="XU178">IFERROR(MAX((_xlfn.ANCHORARRAY(XP178)-AVERAGE(_xlfn.ANCHORARRAY(XP178)))/ AVERAGE(_xlfn.ANCHORARRAY(XP178))),0)</f>
        <v>0</v>
      </c>
      <c r="XV178" t="str" cm="1">
        <f t="array" ref="XV178">IF(AND(XU178&gt;$XV$1,XN178&lt;&gt;""),_xlfn.XLOOKUP(MAX(_xlfn.ANCHORARRAY(XP178)),_xlfn.ANCHORARRAY(XP178),XP$4:XT$4,""),"")</f>
        <v/>
      </c>
      <c r="XX178" cm="1">
        <f t="array" ref="XX178:YG178">SUMIFS($M178:$GJ178,$M$2:$GJ$2,XX$3:YG$3)</f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 cm="1">
        <f t="array" ref="YH178">IFERROR(MAX((_xlfn.ANCHORARRAY(XX178)-AVERAGE(_xlfn.ANCHORARRAY(XX178)))/ AVERAGE(_xlfn.ANCHORARRAY(XX178))),0)</f>
        <v>0</v>
      </c>
      <c r="YI178" t="str" cm="1">
        <f t="array" ref="YI178">IF(YH178&gt;$YI$1,_xlfn.XLOOKUP(MAX(_xlfn.ANCHORARRAY(XX178)),_xlfn.ANCHORARRAY(XX178),XX$4:YG$4,""),"")</f>
        <v/>
      </c>
      <c r="YK178" t="str">
        <f t="shared" ref="YK178:YK188" si="60">_xlfn.TEXTJOIN(" : ",,XN178,XV178,YI178)</f>
        <v/>
      </c>
    </row>
    <row r="179" spans="2:661" x14ac:dyDescent="0.3">
      <c r="B179" s="2" t="str">
        <f t="shared" si="50"/>
        <v>CHA</v>
      </c>
      <c r="C179" s="2" t="str">
        <f t="shared" si="51"/>
        <v>CHA</v>
      </c>
      <c r="D179" s="2" t="str">
        <f t="shared" si="52"/>
        <v>CHA</v>
      </c>
      <c r="E179" s="2" t="str">
        <f t="shared" si="36"/>
        <v/>
      </c>
      <c r="F179" s="2" t="str">
        <f t="shared" si="53"/>
        <v/>
      </c>
      <c r="G179" s="2">
        <f t="shared" si="54"/>
        <v>0</v>
      </c>
      <c r="H179" s="2">
        <f t="shared" si="55"/>
        <v>0</v>
      </c>
      <c r="I179" s="2">
        <f t="shared" si="56"/>
        <v>0</v>
      </c>
      <c r="J179" s="2">
        <f t="shared" si="57"/>
        <v>0</v>
      </c>
      <c r="K179" s="2">
        <f t="shared" si="58"/>
        <v>0</v>
      </c>
      <c r="L179" s="2">
        <f t="shared" si="59"/>
        <v>0</v>
      </c>
      <c r="XJ179" cm="1">
        <f t="array" ref="XJ179:XL179">SUMIFS($M179:$GJ179,$M$1:$GJ$1,XJ$3:XL$3)</f>
        <v>0</v>
      </c>
      <c r="XK179">
        <v>0</v>
      </c>
      <c r="XL179">
        <v>0</v>
      </c>
      <c r="XM179" cm="1">
        <f t="array" ref="XM179">IFERROR(MAX((_xlfn.ANCHORARRAY(XJ179)-AVERAGE(_xlfn.ANCHORARRAY(XJ179)))/ AVERAGE(_xlfn.ANCHORARRAY(XJ179))),0)</f>
        <v>0</v>
      </c>
      <c r="XN179" t="str" cm="1">
        <f t="array" ref="XN179">IF(XM179&gt;$XN$1,_xlfn.XLOOKUP(MAX(_xlfn.ANCHORARRAY(XJ179)),_xlfn.ANCHORARRAY(XJ179),XJ$4:XL$4,""),"")</f>
        <v/>
      </c>
      <c r="XP179" cm="1">
        <f t="array" ref="XP179:XT179">SUMIFS($M179:$GJ179,$M$3:$GJ$3,XP$3:XT$3)</f>
        <v>0</v>
      </c>
      <c r="XQ179">
        <v>0</v>
      </c>
      <c r="XR179">
        <v>0</v>
      </c>
      <c r="XS179">
        <v>0</v>
      </c>
      <c r="XT179">
        <v>0</v>
      </c>
      <c r="XU179" cm="1">
        <f t="array" ref="XU179">IFERROR(MAX((_xlfn.ANCHORARRAY(XP179)-AVERAGE(_xlfn.ANCHORARRAY(XP179)))/ AVERAGE(_xlfn.ANCHORARRAY(XP179))),0)</f>
        <v>0</v>
      </c>
      <c r="XV179" t="str" cm="1">
        <f t="array" ref="XV179">IF(AND(XU179&gt;$XV$1,XN179&lt;&gt;""),_xlfn.XLOOKUP(MAX(_xlfn.ANCHORARRAY(XP179)),_xlfn.ANCHORARRAY(XP179),XP$4:XT$4,""),"")</f>
        <v/>
      </c>
      <c r="XX179" cm="1">
        <f t="array" ref="XX179:YG179">SUMIFS($M179:$GJ179,$M$2:$GJ$2,XX$3:YG$3)</f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 cm="1">
        <f t="array" ref="YH179">IFERROR(MAX((_xlfn.ANCHORARRAY(XX179)-AVERAGE(_xlfn.ANCHORARRAY(XX179)))/ AVERAGE(_xlfn.ANCHORARRAY(XX179))),0)</f>
        <v>0</v>
      </c>
      <c r="YI179" t="str" cm="1">
        <f t="array" ref="YI179">IF(YH179&gt;$YI$1,_xlfn.XLOOKUP(MAX(_xlfn.ANCHORARRAY(XX179)),_xlfn.ANCHORARRAY(XX179),XX$4:YG$4,""),"")</f>
        <v/>
      </c>
      <c r="YK179" t="str">
        <f t="shared" si="60"/>
        <v/>
      </c>
    </row>
    <row r="180" spans="2:661" x14ac:dyDescent="0.3">
      <c r="B180" s="2" t="str">
        <f t="shared" si="50"/>
        <v>CHA</v>
      </c>
      <c r="C180" s="2" t="str">
        <f t="shared" si="51"/>
        <v>CHA</v>
      </c>
      <c r="D180" s="2" t="str">
        <f t="shared" si="52"/>
        <v>CHA</v>
      </c>
      <c r="E180" s="2" t="str">
        <f t="shared" si="36"/>
        <v/>
      </c>
      <c r="F180" s="2" t="str">
        <f t="shared" si="53"/>
        <v/>
      </c>
      <c r="G180" s="2">
        <f t="shared" si="54"/>
        <v>0</v>
      </c>
      <c r="H180" s="2">
        <f t="shared" si="55"/>
        <v>0</v>
      </c>
      <c r="I180" s="2">
        <f t="shared" si="56"/>
        <v>0</v>
      </c>
      <c r="J180" s="2">
        <f t="shared" si="57"/>
        <v>0</v>
      </c>
      <c r="K180" s="2">
        <f t="shared" si="58"/>
        <v>0</v>
      </c>
      <c r="L180" s="2">
        <f t="shared" si="59"/>
        <v>0</v>
      </c>
      <c r="XJ180" cm="1">
        <f t="array" ref="XJ180:XL180">SUMIFS($M180:$GJ180,$M$1:$GJ$1,XJ$3:XL$3)</f>
        <v>0</v>
      </c>
      <c r="XK180">
        <v>0</v>
      </c>
      <c r="XL180">
        <v>0</v>
      </c>
      <c r="XM180" cm="1">
        <f t="array" ref="XM180">IFERROR(MAX((_xlfn.ANCHORARRAY(XJ180)-AVERAGE(_xlfn.ANCHORARRAY(XJ180)))/ AVERAGE(_xlfn.ANCHORARRAY(XJ180))),0)</f>
        <v>0</v>
      </c>
      <c r="XN180" t="str" cm="1">
        <f t="array" ref="XN180">IF(XM180&gt;$XN$1,_xlfn.XLOOKUP(MAX(_xlfn.ANCHORARRAY(XJ180)),_xlfn.ANCHORARRAY(XJ180),XJ$4:XL$4,""),"")</f>
        <v/>
      </c>
      <c r="XP180" cm="1">
        <f t="array" ref="XP180:XT180">SUMIFS($M180:$GJ180,$M$3:$GJ$3,XP$3:XT$3)</f>
        <v>0</v>
      </c>
      <c r="XQ180">
        <v>0</v>
      </c>
      <c r="XR180">
        <v>0</v>
      </c>
      <c r="XS180">
        <v>0</v>
      </c>
      <c r="XT180">
        <v>0</v>
      </c>
      <c r="XU180" cm="1">
        <f t="array" ref="XU180">IFERROR(MAX((_xlfn.ANCHORARRAY(XP180)-AVERAGE(_xlfn.ANCHORARRAY(XP180)))/ AVERAGE(_xlfn.ANCHORARRAY(XP180))),0)</f>
        <v>0</v>
      </c>
      <c r="XV180" t="str" cm="1">
        <f t="array" ref="XV180">IF(AND(XU180&gt;$XV$1,XN180&lt;&gt;""),_xlfn.XLOOKUP(MAX(_xlfn.ANCHORARRAY(XP180)),_xlfn.ANCHORARRAY(XP180),XP$4:XT$4,""),"")</f>
        <v/>
      </c>
      <c r="XX180" cm="1">
        <f t="array" ref="XX180:YG180">SUMIFS($M180:$GJ180,$M$2:$GJ$2,XX$3:YG$3)</f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 cm="1">
        <f t="array" ref="YH180">IFERROR(MAX((_xlfn.ANCHORARRAY(XX180)-AVERAGE(_xlfn.ANCHORARRAY(XX180)))/ AVERAGE(_xlfn.ANCHORARRAY(XX180))),0)</f>
        <v>0</v>
      </c>
      <c r="YI180" t="str" cm="1">
        <f t="array" ref="YI180">IF(YH180&gt;$YI$1,_xlfn.XLOOKUP(MAX(_xlfn.ANCHORARRAY(XX180)),_xlfn.ANCHORARRAY(XX180),XX$4:YG$4,""),"")</f>
        <v/>
      </c>
      <c r="YK180" t="str">
        <f t="shared" si="60"/>
        <v/>
      </c>
    </row>
    <row r="181" spans="2:661" x14ac:dyDescent="0.3">
      <c r="B181" s="2" t="str">
        <f t="shared" si="50"/>
        <v>CHA</v>
      </c>
      <c r="C181" s="2" t="str">
        <f t="shared" si="51"/>
        <v>CHA</v>
      </c>
      <c r="D181" s="2" t="str">
        <f t="shared" si="52"/>
        <v>CHA</v>
      </c>
      <c r="E181" s="2" t="str">
        <f t="shared" si="36"/>
        <v/>
      </c>
      <c r="F181" s="2" t="str">
        <f t="shared" si="53"/>
        <v/>
      </c>
      <c r="G181" s="2">
        <f t="shared" si="54"/>
        <v>0</v>
      </c>
      <c r="H181" s="2">
        <f t="shared" si="55"/>
        <v>0</v>
      </c>
      <c r="I181" s="2">
        <f t="shared" si="56"/>
        <v>0</v>
      </c>
      <c r="J181" s="2">
        <f t="shared" si="57"/>
        <v>0</v>
      </c>
      <c r="K181" s="2">
        <f t="shared" si="58"/>
        <v>0</v>
      </c>
      <c r="L181" s="2">
        <f t="shared" si="59"/>
        <v>0</v>
      </c>
      <c r="XJ181" cm="1">
        <f t="array" ref="XJ181:XL181">SUMIFS($M181:$GJ181,$M$1:$GJ$1,XJ$3:XL$3)</f>
        <v>0</v>
      </c>
      <c r="XK181">
        <v>0</v>
      </c>
      <c r="XL181">
        <v>0</v>
      </c>
      <c r="XM181" cm="1">
        <f t="array" ref="XM181">IFERROR(MAX((_xlfn.ANCHORARRAY(XJ181)-AVERAGE(_xlfn.ANCHORARRAY(XJ181)))/ AVERAGE(_xlfn.ANCHORARRAY(XJ181))),0)</f>
        <v>0</v>
      </c>
      <c r="XN181" t="str" cm="1">
        <f t="array" ref="XN181">IF(XM181&gt;$XN$1,_xlfn.XLOOKUP(MAX(_xlfn.ANCHORARRAY(XJ181)),_xlfn.ANCHORARRAY(XJ181),XJ$4:XL$4,""),"")</f>
        <v/>
      </c>
      <c r="XP181" cm="1">
        <f t="array" ref="XP181:XT181">SUMIFS($M181:$GJ181,$M$3:$GJ$3,XP$3:XT$3)</f>
        <v>0</v>
      </c>
      <c r="XQ181">
        <v>0</v>
      </c>
      <c r="XR181">
        <v>0</v>
      </c>
      <c r="XS181">
        <v>0</v>
      </c>
      <c r="XT181">
        <v>0</v>
      </c>
      <c r="XU181" cm="1">
        <f t="array" ref="XU181">IFERROR(MAX((_xlfn.ANCHORARRAY(XP181)-AVERAGE(_xlfn.ANCHORARRAY(XP181)))/ AVERAGE(_xlfn.ANCHORARRAY(XP181))),0)</f>
        <v>0</v>
      </c>
      <c r="XV181" t="str" cm="1">
        <f t="array" ref="XV181">IF(AND(XU181&gt;$XV$1,XN181&lt;&gt;""),_xlfn.XLOOKUP(MAX(_xlfn.ANCHORARRAY(XP181)),_xlfn.ANCHORARRAY(XP181),XP$4:XT$4,""),"")</f>
        <v/>
      </c>
      <c r="XX181" cm="1">
        <f t="array" ref="XX181:YG181">SUMIFS($M181:$GJ181,$M$2:$GJ$2,XX$3:YG$3)</f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 cm="1">
        <f t="array" ref="YH181">IFERROR(MAX((_xlfn.ANCHORARRAY(XX181)-AVERAGE(_xlfn.ANCHORARRAY(XX181)))/ AVERAGE(_xlfn.ANCHORARRAY(XX181))),0)</f>
        <v>0</v>
      </c>
      <c r="YI181" t="str" cm="1">
        <f t="array" ref="YI181">IF(YH181&gt;$YI$1,_xlfn.XLOOKUP(MAX(_xlfn.ANCHORARRAY(XX181)),_xlfn.ANCHORARRAY(XX181),XX$4:YG$4,""),"")</f>
        <v/>
      </c>
      <c r="YK181" t="str">
        <f t="shared" si="60"/>
        <v/>
      </c>
    </row>
    <row r="182" spans="2:661" x14ac:dyDescent="0.3">
      <c r="B182" s="2" t="str">
        <f t="shared" si="50"/>
        <v>CHA</v>
      </c>
      <c r="C182" s="2" t="str">
        <f t="shared" si="51"/>
        <v>CHA</v>
      </c>
      <c r="D182" s="2" t="str">
        <f t="shared" si="52"/>
        <v>CHA</v>
      </c>
      <c r="E182" s="2" t="str">
        <f t="shared" si="36"/>
        <v/>
      </c>
      <c r="F182" s="2" t="str">
        <f t="shared" si="53"/>
        <v/>
      </c>
      <c r="G182" s="2">
        <f t="shared" si="54"/>
        <v>0</v>
      </c>
      <c r="H182" s="2">
        <f t="shared" si="55"/>
        <v>0</v>
      </c>
      <c r="I182" s="2">
        <f t="shared" si="56"/>
        <v>0</v>
      </c>
      <c r="J182" s="2">
        <f t="shared" si="57"/>
        <v>0</v>
      </c>
      <c r="K182" s="2">
        <f t="shared" si="58"/>
        <v>0</v>
      </c>
      <c r="L182" s="2">
        <f t="shared" si="59"/>
        <v>0</v>
      </c>
      <c r="XJ182" cm="1">
        <f t="array" ref="XJ182:XL182">SUMIFS($M182:$GJ182,$M$1:$GJ$1,XJ$3:XL$3)</f>
        <v>0</v>
      </c>
      <c r="XK182">
        <v>0</v>
      </c>
      <c r="XL182">
        <v>0</v>
      </c>
      <c r="XM182" cm="1">
        <f t="array" ref="XM182">IFERROR(MAX((_xlfn.ANCHORARRAY(XJ182)-AVERAGE(_xlfn.ANCHORARRAY(XJ182)))/ AVERAGE(_xlfn.ANCHORARRAY(XJ182))),0)</f>
        <v>0</v>
      </c>
      <c r="XN182" t="str" cm="1">
        <f t="array" ref="XN182">IF(XM182&gt;$XN$1,_xlfn.XLOOKUP(MAX(_xlfn.ANCHORARRAY(XJ182)),_xlfn.ANCHORARRAY(XJ182),XJ$4:XL$4,""),"")</f>
        <v/>
      </c>
      <c r="XP182" cm="1">
        <f t="array" ref="XP182:XT182">SUMIFS($M182:$GJ182,$M$3:$GJ$3,XP$3:XT$3)</f>
        <v>0</v>
      </c>
      <c r="XQ182">
        <v>0</v>
      </c>
      <c r="XR182">
        <v>0</v>
      </c>
      <c r="XS182">
        <v>0</v>
      </c>
      <c r="XT182">
        <v>0</v>
      </c>
      <c r="XU182" cm="1">
        <f t="array" ref="XU182">IFERROR(MAX((_xlfn.ANCHORARRAY(XP182)-AVERAGE(_xlfn.ANCHORARRAY(XP182)))/ AVERAGE(_xlfn.ANCHORARRAY(XP182))),0)</f>
        <v>0</v>
      </c>
      <c r="XV182" t="str" cm="1">
        <f t="array" ref="XV182">IF(AND(XU182&gt;$XV$1,XN182&lt;&gt;""),_xlfn.XLOOKUP(MAX(_xlfn.ANCHORARRAY(XP182)),_xlfn.ANCHORARRAY(XP182),XP$4:XT$4,""),"")</f>
        <v/>
      </c>
      <c r="XX182" cm="1">
        <f t="array" ref="XX182:YG182">SUMIFS($M182:$GJ182,$M$2:$GJ$2,XX$3:YG$3)</f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 cm="1">
        <f t="array" ref="YH182">IFERROR(MAX((_xlfn.ANCHORARRAY(XX182)-AVERAGE(_xlfn.ANCHORARRAY(XX182)))/ AVERAGE(_xlfn.ANCHORARRAY(XX182))),0)</f>
        <v>0</v>
      </c>
      <c r="YI182" t="str" cm="1">
        <f t="array" ref="YI182">IF(YH182&gt;$YI$1,_xlfn.XLOOKUP(MAX(_xlfn.ANCHORARRAY(XX182)),_xlfn.ANCHORARRAY(XX182),XX$4:YG$4,""),"")</f>
        <v/>
      </c>
      <c r="YK182" t="str">
        <f t="shared" si="60"/>
        <v/>
      </c>
    </row>
    <row r="183" spans="2:661" x14ac:dyDescent="0.3">
      <c r="B183" s="2" t="str">
        <f t="shared" si="50"/>
        <v>CHA</v>
      </c>
      <c r="C183" s="2" t="str">
        <f t="shared" si="51"/>
        <v>CHA</v>
      </c>
      <c r="D183" s="2" t="str">
        <f t="shared" si="52"/>
        <v>CHA</v>
      </c>
      <c r="E183" s="2" t="str">
        <f t="shared" si="36"/>
        <v/>
      </c>
      <c r="F183" s="2" t="str">
        <f t="shared" si="53"/>
        <v/>
      </c>
      <c r="G183" s="2">
        <f t="shared" si="54"/>
        <v>0</v>
      </c>
      <c r="H183" s="2">
        <f t="shared" si="55"/>
        <v>0</v>
      </c>
      <c r="I183" s="2">
        <f t="shared" si="56"/>
        <v>0</v>
      </c>
      <c r="J183" s="2">
        <f t="shared" si="57"/>
        <v>0</v>
      </c>
      <c r="K183" s="2">
        <f t="shared" si="58"/>
        <v>0</v>
      </c>
      <c r="L183" s="2">
        <f t="shared" si="59"/>
        <v>0</v>
      </c>
      <c r="XJ183" cm="1">
        <f t="array" ref="XJ183:XL183">SUMIFS($M183:$GJ183,$M$1:$GJ$1,XJ$3:XL$3)</f>
        <v>0</v>
      </c>
      <c r="XK183">
        <v>0</v>
      </c>
      <c r="XL183">
        <v>0</v>
      </c>
      <c r="XM183" cm="1">
        <f t="array" ref="XM183">IFERROR(MAX((_xlfn.ANCHORARRAY(XJ183)-AVERAGE(_xlfn.ANCHORARRAY(XJ183)))/ AVERAGE(_xlfn.ANCHORARRAY(XJ183))),0)</f>
        <v>0</v>
      </c>
      <c r="XN183" t="str" cm="1">
        <f t="array" ref="XN183">IF(XM183&gt;$XN$1,_xlfn.XLOOKUP(MAX(_xlfn.ANCHORARRAY(XJ183)),_xlfn.ANCHORARRAY(XJ183),XJ$4:XL$4,""),"")</f>
        <v/>
      </c>
      <c r="XP183" cm="1">
        <f t="array" ref="XP183:XT183">SUMIFS($M183:$GJ183,$M$3:$GJ$3,XP$3:XT$3)</f>
        <v>0</v>
      </c>
      <c r="XQ183">
        <v>0</v>
      </c>
      <c r="XR183">
        <v>0</v>
      </c>
      <c r="XS183">
        <v>0</v>
      </c>
      <c r="XT183">
        <v>0</v>
      </c>
      <c r="XU183" cm="1">
        <f t="array" ref="XU183">IFERROR(MAX((_xlfn.ANCHORARRAY(XP183)-AVERAGE(_xlfn.ANCHORARRAY(XP183)))/ AVERAGE(_xlfn.ANCHORARRAY(XP183))),0)</f>
        <v>0</v>
      </c>
      <c r="XV183" t="str" cm="1">
        <f t="array" ref="XV183">IF(AND(XU183&gt;$XV$1,XN183&lt;&gt;""),_xlfn.XLOOKUP(MAX(_xlfn.ANCHORARRAY(XP183)),_xlfn.ANCHORARRAY(XP183),XP$4:XT$4,""),"")</f>
        <v/>
      </c>
      <c r="XX183" cm="1">
        <f t="array" ref="XX183:YG183">SUMIFS($M183:$GJ183,$M$2:$GJ$2,XX$3:YG$3)</f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 cm="1">
        <f t="array" ref="YH183">IFERROR(MAX((_xlfn.ANCHORARRAY(XX183)-AVERAGE(_xlfn.ANCHORARRAY(XX183)))/ AVERAGE(_xlfn.ANCHORARRAY(XX183))),0)</f>
        <v>0</v>
      </c>
      <c r="YI183" t="str" cm="1">
        <f t="array" ref="YI183">IF(YH183&gt;$YI$1,_xlfn.XLOOKUP(MAX(_xlfn.ANCHORARRAY(XX183)),_xlfn.ANCHORARRAY(XX183),XX$4:YG$4,""),"")</f>
        <v/>
      </c>
      <c r="YK183" t="str">
        <f t="shared" si="60"/>
        <v/>
      </c>
    </row>
    <row r="184" spans="2:661" x14ac:dyDescent="0.3">
      <c r="B184" s="2" t="str">
        <f t="shared" si="50"/>
        <v>CHA</v>
      </c>
      <c r="C184" s="2" t="str">
        <f t="shared" si="51"/>
        <v>CHA</v>
      </c>
      <c r="D184" s="2" t="str">
        <f t="shared" si="52"/>
        <v>CHA</v>
      </c>
      <c r="E184" s="2" t="str">
        <f t="shared" si="36"/>
        <v/>
      </c>
      <c r="F184" s="2" t="str">
        <f t="shared" si="53"/>
        <v/>
      </c>
      <c r="G184" s="2">
        <f t="shared" si="54"/>
        <v>0</v>
      </c>
      <c r="H184" s="2">
        <f t="shared" si="55"/>
        <v>0</v>
      </c>
      <c r="I184" s="2">
        <f t="shared" si="56"/>
        <v>0</v>
      </c>
      <c r="J184" s="2">
        <f t="shared" si="57"/>
        <v>0</v>
      </c>
      <c r="K184" s="2">
        <f t="shared" si="58"/>
        <v>0</v>
      </c>
      <c r="L184" s="2">
        <f t="shared" si="59"/>
        <v>0</v>
      </c>
      <c r="XJ184" cm="1">
        <f t="array" ref="XJ184:XL184">SUMIFS($M184:$GJ184,$M$1:$GJ$1,XJ$3:XL$3)</f>
        <v>0</v>
      </c>
      <c r="XK184">
        <v>0</v>
      </c>
      <c r="XL184">
        <v>0</v>
      </c>
      <c r="XM184" cm="1">
        <f t="array" ref="XM184">IFERROR(MAX((_xlfn.ANCHORARRAY(XJ184)-AVERAGE(_xlfn.ANCHORARRAY(XJ184)))/ AVERAGE(_xlfn.ANCHORARRAY(XJ184))),0)</f>
        <v>0</v>
      </c>
      <c r="XN184" t="str" cm="1">
        <f t="array" ref="XN184">IF(XM184&gt;$XN$1,_xlfn.XLOOKUP(MAX(_xlfn.ANCHORARRAY(XJ184)),_xlfn.ANCHORARRAY(XJ184),XJ$4:XL$4,""),"")</f>
        <v/>
      </c>
      <c r="XP184" cm="1">
        <f t="array" ref="XP184:XT184">SUMIFS($M184:$GJ184,$M$3:$GJ$3,XP$3:XT$3)</f>
        <v>0</v>
      </c>
      <c r="XQ184">
        <v>0</v>
      </c>
      <c r="XR184">
        <v>0</v>
      </c>
      <c r="XS184">
        <v>0</v>
      </c>
      <c r="XT184">
        <v>0</v>
      </c>
      <c r="XU184" cm="1">
        <f t="array" ref="XU184">IFERROR(MAX((_xlfn.ANCHORARRAY(XP184)-AVERAGE(_xlfn.ANCHORARRAY(XP184)))/ AVERAGE(_xlfn.ANCHORARRAY(XP184))),0)</f>
        <v>0</v>
      </c>
      <c r="XV184" t="str" cm="1">
        <f t="array" ref="XV184">IF(AND(XU184&gt;$XV$1,XN184&lt;&gt;""),_xlfn.XLOOKUP(MAX(_xlfn.ANCHORARRAY(XP184)),_xlfn.ANCHORARRAY(XP184),XP$4:XT$4,""),"")</f>
        <v/>
      </c>
      <c r="XX184" cm="1">
        <f t="array" ref="XX184:YG184">SUMIFS($M184:$GJ184,$M$2:$GJ$2,XX$3:YG$3)</f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 cm="1">
        <f t="array" ref="YH184">IFERROR(MAX((_xlfn.ANCHORARRAY(XX184)-AVERAGE(_xlfn.ANCHORARRAY(XX184)))/ AVERAGE(_xlfn.ANCHORARRAY(XX184))),0)</f>
        <v>0</v>
      </c>
      <c r="YI184" t="str" cm="1">
        <f t="array" ref="YI184">IF(YH184&gt;$YI$1,_xlfn.XLOOKUP(MAX(_xlfn.ANCHORARRAY(XX184)),_xlfn.ANCHORARRAY(XX184),XX$4:YG$4,""),"")</f>
        <v/>
      </c>
      <c r="YK184" t="str">
        <f t="shared" si="60"/>
        <v/>
      </c>
    </row>
    <row r="185" spans="2:661" x14ac:dyDescent="0.3">
      <c r="B185" s="2" t="str">
        <f t="shared" si="50"/>
        <v>CHA</v>
      </c>
      <c r="C185" s="2" t="str">
        <f t="shared" si="51"/>
        <v>CHA</v>
      </c>
      <c r="D185" s="2" t="str">
        <f t="shared" si="52"/>
        <v>CHA</v>
      </c>
      <c r="E185" s="2" t="str">
        <f t="shared" si="36"/>
        <v/>
      </c>
      <c r="F185" s="2" t="str">
        <f t="shared" si="53"/>
        <v/>
      </c>
      <c r="G185" s="2">
        <f t="shared" si="54"/>
        <v>0</v>
      </c>
      <c r="H185" s="2">
        <f t="shared" si="55"/>
        <v>0</v>
      </c>
      <c r="I185" s="2">
        <f t="shared" si="56"/>
        <v>0</v>
      </c>
      <c r="J185" s="2">
        <f t="shared" si="57"/>
        <v>0</v>
      </c>
      <c r="K185" s="2">
        <f t="shared" si="58"/>
        <v>0</v>
      </c>
      <c r="L185" s="2">
        <f t="shared" si="59"/>
        <v>0</v>
      </c>
      <c r="XJ185" cm="1">
        <f t="array" ref="XJ185:XL185">SUMIFS($M185:$GJ185,$M$1:$GJ$1,XJ$3:XL$3)</f>
        <v>0</v>
      </c>
      <c r="XK185">
        <v>0</v>
      </c>
      <c r="XL185">
        <v>0</v>
      </c>
      <c r="XM185" cm="1">
        <f t="array" ref="XM185">IFERROR(MAX((_xlfn.ANCHORARRAY(XJ185)-AVERAGE(_xlfn.ANCHORARRAY(XJ185)))/ AVERAGE(_xlfn.ANCHORARRAY(XJ185))),0)</f>
        <v>0</v>
      </c>
      <c r="XN185" t="str" cm="1">
        <f t="array" ref="XN185">IF(XM185&gt;$XN$1,_xlfn.XLOOKUP(MAX(_xlfn.ANCHORARRAY(XJ185)),_xlfn.ANCHORARRAY(XJ185),XJ$4:XL$4,""),"")</f>
        <v/>
      </c>
      <c r="XP185" cm="1">
        <f t="array" ref="XP185:XT185">SUMIFS($M185:$GJ185,$M$3:$GJ$3,XP$3:XT$3)</f>
        <v>0</v>
      </c>
      <c r="XQ185">
        <v>0</v>
      </c>
      <c r="XR185">
        <v>0</v>
      </c>
      <c r="XS185">
        <v>0</v>
      </c>
      <c r="XT185">
        <v>0</v>
      </c>
      <c r="XU185" cm="1">
        <f t="array" ref="XU185">IFERROR(MAX((_xlfn.ANCHORARRAY(XP185)-AVERAGE(_xlfn.ANCHORARRAY(XP185)))/ AVERAGE(_xlfn.ANCHORARRAY(XP185))),0)</f>
        <v>0</v>
      </c>
      <c r="XV185" t="str" cm="1">
        <f t="array" ref="XV185">IF(AND(XU185&gt;$XV$1,XN185&lt;&gt;""),_xlfn.XLOOKUP(MAX(_xlfn.ANCHORARRAY(XP185)),_xlfn.ANCHORARRAY(XP185),XP$4:XT$4,""),"")</f>
        <v/>
      </c>
      <c r="XX185" cm="1">
        <f t="array" ref="XX185:YG185">SUMIFS($M185:$GJ185,$M$2:$GJ$2,XX$3:YG$3)</f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 cm="1">
        <f t="array" ref="YH185">IFERROR(MAX((_xlfn.ANCHORARRAY(XX185)-AVERAGE(_xlfn.ANCHORARRAY(XX185)))/ AVERAGE(_xlfn.ANCHORARRAY(XX185))),0)</f>
        <v>0</v>
      </c>
      <c r="YI185" t="str" cm="1">
        <f t="array" ref="YI185">IF(YH185&gt;$YI$1,_xlfn.XLOOKUP(MAX(_xlfn.ANCHORARRAY(XX185)),_xlfn.ANCHORARRAY(XX185),XX$4:YG$4,""),"")</f>
        <v/>
      </c>
      <c r="YK185" t="str">
        <f t="shared" si="60"/>
        <v/>
      </c>
    </row>
    <row r="186" spans="2:661" x14ac:dyDescent="0.3">
      <c r="B186" s="2" t="str">
        <f t="shared" si="50"/>
        <v>CHA</v>
      </c>
      <c r="C186" s="2" t="str">
        <f t="shared" si="51"/>
        <v>CHA</v>
      </c>
      <c r="D186" s="2" t="str">
        <f t="shared" si="52"/>
        <v>CHA</v>
      </c>
      <c r="E186" s="2" t="str">
        <f t="shared" si="36"/>
        <v/>
      </c>
      <c r="F186" s="2" t="str">
        <f t="shared" si="53"/>
        <v/>
      </c>
      <c r="G186" s="2">
        <f t="shared" si="54"/>
        <v>0</v>
      </c>
      <c r="H186" s="2">
        <f t="shared" si="55"/>
        <v>0</v>
      </c>
      <c r="I186" s="2">
        <f t="shared" si="56"/>
        <v>0</v>
      </c>
      <c r="J186" s="2">
        <f t="shared" si="57"/>
        <v>0</v>
      </c>
      <c r="K186" s="2">
        <f t="shared" si="58"/>
        <v>0</v>
      </c>
      <c r="L186" s="2">
        <f t="shared" si="59"/>
        <v>0</v>
      </c>
      <c r="XJ186" cm="1">
        <f t="array" ref="XJ186:XL186">SUMIFS($M186:$GJ186,$M$1:$GJ$1,XJ$3:XL$3)</f>
        <v>0</v>
      </c>
      <c r="XK186">
        <v>0</v>
      </c>
      <c r="XL186">
        <v>0</v>
      </c>
      <c r="XM186" cm="1">
        <f t="array" ref="XM186">IFERROR(MAX((_xlfn.ANCHORARRAY(XJ186)-AVERAGE(_xlfn.ANCHORARRAY(XJ186)))/ AVERAGE(_xlfn.ANCHORARRAY(XJ186))),0)</f>
        <v>0</v>
      </c>
      <c r="XN186" t="str" cm="1">
        <f t="array" ref="XN186">IF(XM186&gt;$XN$1,_xlfn.XLOOKUP(MAX(_xlfn.ANCHORARRAY(XJ186)),_xlfn.ANCHORARRAY(XJ186),XJ$4:XL$4,""),"")</f>
        <v/>
      </c>
      <c r="XP186" cm="1">
        <f t="array" ref="XP186:XT186">SUMIFS($M186:$GJ186,$M$3:$GJ$3,XP$3:XT$3)</f>
        <v>0</v>
      </c>
      <c r="XQ186">
        <v>0</v>
      </c>
      <c r="XR186">
        <v>0</v>
      </c>
      <c r="XS186">
        <v>0</v>
      </c>
      <c r="XT186">
        <v>0</v>
      </c>
      <c r="XU186" cm="1">
        <f t="array" ref="XU186">IFERROR(MAX((_xlfn.ANCHORARRAY(XP186)-AVERAGE(_xlfn.ANCHORARRAY(XP186)))/ AVERAGE(_xlfn.ANCHORARRAY(XP186))),0)</f>
        <v>0</v>
      </c>
      <c r="XV186" t="str" cm="1">
        <f t="array" ref="XV186">IF(AND(XU186&gt;$XV$1,XN186&lt;&gt;""),_xlfn.XLOOKUP(MAX(_xlfn.ANCHORARRAY(XP186)),_xlfn.ANCHORARRAY(XP186),XP$4:XT$4,""),"")</f>
        <v/>
      </c>
      <c r="XX186" cm="1">
        <f t="array" ref="XX186:YG186">SUMIFS($M186:$GJ186,$M$2:$GJ$2,XX$3:YG$3)</f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 cm="1">
        <f t="array" ref="YH186">IFERROR(MAX((_xlfn.ANCHORARRAY(XX186)-AVERAGE(_xlfn.ANCHORARRAY(XX186)))/ AVERAGE(_xlfn.ANCHORARRAY(XX186))),0)</f>
        <v>0</v>
      </c>
      <c r="YI186" t="str" cm="1">
        <f t="array" ref="YI186">IF(YH186&gt;$YI$1,_xlfn.XLOOKUP(MAX(_xlfn.ANCHORARRAY(XX186)),_xlfn.ANCHORARRAY(XX186),XX$4:YG$4,""),"")</f>
        <v/>
      </c>
      <c r="YK186" t="str">
        <f t="shared" si="60"/>
        <v/>
      </c>
    </row>
    <row r="187" spans="2:661" x14ac:dyDescent="0.3">
      <c r="B187" s="2" t="str">
        <f t="shared" si="50"/>
        <v>CHA</v>
      </c>
      <c r="C187" s="2" t="str">
        <f t="shared" si="51"/>
        <v>CHA</v>
      </c>
      <c r="D187" s="2" t="str">
        <f t="shared" si="52"/>
        <v>CHA</v>
      </c>
      <c r="E187" s="2" t="str">
        <f t="shared" si="36"/>
        <v/>
      </c>
      <c r="F187" s="2" t="str">
        <f t="shared" si="53"/>
        <v/>
      </c>
      <c r="G187" s="2">
        <f t="shared" si="54"/>
        <v>0</v>
      </c>
      <c r="H187" s="2">
        <f t="shared" si="55"/>
        <v>0</v>
      </c>
      <c r="I187" s="2">
        <f t="shared" si="56"/>
        <v>0</v>
      </c>
      <c r="J187" s="2">
        <f t="shared" si="57"/>
        <v>0</v>
      </c>
      <c r="K187" s="2">
        <f t="shared" si="58"/>
        <v>0</v>
      </c>
      <c r="L187" s="2">
        <f t="shared" si="59"/>
        <v>0</v>
      </c>
      <c r="XJ187" cm="1">
        <f t="array" ref="XJ187:XL187">SUMIFS($M187:$GJ187,$M$1:$GJ$1,XJ$3:XL$3)</f>
        <v>0</v>
      </c>
      <c r="XK187">
        <v>0</v>
      </c>
      <c r="XL187">
        <v>0</v>
      </c>
      <c r="XM187" cm="1">
        <f t="array" ref="XM187">IFERROR(MAX((_xlfn.ANCHORARRAY(XJ187)-AVERAGE(_xlfn.ANCHORARRAY(XJ187)))/ AVERAGE(_xlfn.ANCHORARRAY(XJ187))),0)</f>
        <v>0</v>
      </c>
      <c r="XN187" t="str" cm="1">
        <f t="array" ref="XN187">IF(XM187&gt;$XN$1,_xlfn.XLOOKUP(MAX(_xlfn.ANCHORARRAY(XJ187)),_xlfn.ANCHORARRAY(XJ187),XJ$4:XL$4,""),"")</f>
        <v/>
      </c>
      <c r="XP187" cm="1">
        <f t="array" ref="XP187:XT187">SUMIFS($M187:$GJ187,$M$3:$GJ$3,XP$3:XT$3)</f>
        <v>0</v>
      </c>
      <c r="XQ187">
        <v>0</v>
      </c>
      <c r="XR187">
        <v>0</v>
      </c>
      <c r="XS187">
        <v>0</v>
      </c>
      <c r="XT187">
        <v>0</v>
      </c>
      <c r="XU187" cm="1">
        <f t="array" ref="XU187">IFERROR(MAX((_xlfn.ANCHORARRAY(XP187)-AVERAGE(_xlfn.ANCHORARRAY(XP187)))/ AVERAGE(_xlfn.ANCHORARRAY(XP187))),0)</f>
        <v>0</v>
      </c>
      <c r="XV187" t="str" cm="1">
        <f t="array" ref="XV187">IF(AND(XU187&gt;$XV$1,XN187&lt;&gt;""),_xlfn.XLOOKUP(MAX(_xlfn.ANCHORARRAY(XP187)),_xlfn.ANCHORARRAY(XP187),XP$4:XT$4,""),"")</f>
        <v/>
      </c>
      <c r="XX187" cm="1">
        <f t="array" ref="XX187:YG187">SUMIFS($M187:$GJ187,$M$2:$GJ$2,XX$3:YG$3)</f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 cm="1">
        <f t="array" ref="YH187">IFERROR(MAX((_xlfn.ANCHORARRAY(XX187)-AVERAGE(_xlfn.ANCHORARRAY(XX187)))/ AVERAGE(_xlfn.ANCHORARRAY(XX187))),0)</f>
        <v>0</v>
      </c>
      <c r="YI187" t="str" cm="1">
        <f t="array" ref="YI187">IF(YH187&gt;$YI$1,_xlfn.XLOOKUP(MAX(_xlfn.ANCHORARRAY(XX187)),_xlfn.ANCHORARRAY(XX187),XX$4:YG$4,""),"")</f>
        <v/>
      </c>
      <c r="YK187" t="str">
        <f t="shared" si="60"/>
        <v/>
      </c>
    </row>
    <row r="188" spans="2:661" x14ac:dyDescent="0.3">
      <c r="B188" s="2" t="str">
        <f t="shared" si="50"/>
        <v>CHA</v>
      </c>
      <c r="C188" s="2" t="str">
        <f t="shared" si="51"/>
        <v>CHA</v>
      </c>
      <c r="D188" s="2" t="str">
        <f t="shared" si="52"/>
        <v>CHA</v>
      </c>
      <c r="E188" s="2" t="str">
        <f t="shared" si="36"/>
        <v/>
      </c>
      <c r="F188" s="2" t="str">
        <f t="shared" si="53"/>
        <v/>
      </c>
      <c r="G188" s="2">
        <f t="shared" si="54"/>
        <v>0</v>
      </c>
      <c r="H188" s="2">
        <f t="shared" si="55"/>
        <v>0</v>
      </c>
      <c r="I188" s="2">
        <f t="shared" si="56"/>
        <v>0</v>
      </c>
      <c r="J188" s="2">
        <f t="shared" si="57"/>
        <v>0</v>
      </c>
      <c r="K188" s="2">
        <f t="shared" si="58"/>
        <v>0</v>
      </c>
      <c r="L188" s="2">
        <f t="shared" si="59"/>
        <v>0</v>
      </c>
      <c r="XJ188" cm="1">
        <f t="array" ref="XJ188:XL188">SUMIFS($M188:$GJ188,$M$1:$GJ$1,XJ$3:XL$3)</f>
        <v>0</v>
      </c>
      <c r="XK188">
        <v>0</v>
      </c>
      <c r="XL188">
        <v>0</v>
      </c>
      <c r="XM188" cm="1">
        <f t="array" ref="XM188">IFERROR(MAX((_xlfn.ANCHORARRAY(XJ188)-AVERAGE(_xlfn.ANCHORARRAY(XJ188)))/ AVERAGE(_xlfn.ANCHORARRAY(XJ188))),0)</f>
        <v>0</v>
      </c>
      <c r="XN188" t="str" cm="1">
        <f t="array" ref="XN188">IF(XM188&gt;$XN$1,_xlfn.XLOOKUP(MAX(_xlfn.ANCHORARRAY(XJ188)),_xlfn.ANCHORARRAY(XJ188),XJ$4:XL$4,""),"")</f>
        <v/>
      </c>
      <c r="XP188" cm="1">
        <f t="array" ref="XP188:XT188">SUMIFS($M188:$GJ188,$M$3:$GJ$3,XP$3:XT$3)</f>
        <v>0</v>
      </c>
      <c r="XQ188">
        <v>0</v>
      </c>
      <c r="XR188">
        <v>0</v>
      </c>
      <c r="XS188">
        <v>0</v>
      </c>
      <c r="XT188">
        <v>0</v>
      </c>
      <c r="XU188" cm="1">
        <f t="array" ref="XU188">IFERROR(MAX((_xlfn.ANCHORARRAY(XP188)-AVERAGE(_xlfn.ANCHORARRAY(XP188)))/ AVERAGE(_xlfn.ANCHORARRAY(XP188))),0)</f>
        <v>0</v>
      </c>
      <c r="XV188" t="str" cm="1">
        <f t="array" ref="XV188">IF(AND(XU188&gt;$XV$1,XN188&lt;&gt;""),_xlfn.XLOOKUP(MAX(_xlfn.ANCHORARRAY(XP188)),_xlfn.ANCHORARRAY(XP188),XP$4:XT$4,""),"")</f>
        <v/>
      </c>
      <c r="XX188" cm="1">
        <f t="array" ref="XX188:YG188">SUMIFS($M188:$GJ188,$M$2:$GJ$2,XX$3:YG$3)</f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 cm="1">
        <f t="array" ref="YH188">IFERROR(MAX((_xlfn.ANCHORARRAY(XX188)-AVERAGE(_xlfn.ANCHORARRAY(XX188)))/ AVERAGE(_xlfn.ANCHORARRAY(XX188))),0)</f>
        <v>0</v>
      </c>
      <c r="YI188" t="str" cm="1">
        <f t="array" ref="YI188">IF(YH188&gt;$YI$1,_xlfn.XLOOKUP(MAX(_xlfn.ANCHORARRAY(XX188)),_xlfn.ANCHORARRAY(XX188),XX$4:YG$4,""),"")</f>
        <v/>
      </c>
      <c r="YK188" t="str">
        <f t="shared" si="60"/>
        <v/>
      </c>
    </row>
    <row r="189" spans="2:661" x14ac:dyDescent="0.3">
      <c r="B189" s="2" t="str">
        <f t="shared" ref="B189:B206" si="61">IF(C189="NotFound",D189,C189)</f>
        <v>CHA</v>
      </c>
      <c r="C189" s="2" t="str">
        <f t="shared" ref="C189:C206" si="62">IF(K189&gt;1,"NotFound","CHA"&amp;_xlfn.XLOOKUP(MAX(M189:GJ189,1),M189:GJ189,$M$4:$GJ$4,""))</f>
        <v>CHA</v>
      </c>
      <c r="D189" s="2" t="str">
        <f t="shared" ref="D189:D206" si="63">IF(G189&gt;1,"NotFound","CHA"&amp;_xlfn.XLOOKUP(MAX(GL189:NI189,1),GL189:NI189,$GL$4:$NI$4,""))</f>
        <v>CHA</v>
      </c>
      <c r="E189" s="2" t="str">
        <f t="shared" ref="E189:E206" si="64">YK189</f>
        <v/>
      </c>
      <c r="F189" s="2" t="str">
        <f t="shared" ref="F189:F206" si="65">IF(I189&gt;1,"NotFound",_xlfn.XLOOKUP(MAX(NK189:XG189,1),NK189:XG189,$NK$4:$XG$4,""))</f>
        <v/>
      </c>
      <c r="G189" s="2">
        <f t="shared" ref="G189:G206" si="66">COUNTIF(GL189:NI189,H189)</f>
        <v>0</v>
      </c>
      <c r="H189" s="2">
        <f t="shared" ref="H189:H206" si="67">MAX(GL189:NI189)</f>
        <v>0</v>
      </c>
      <c r="I189" s="2">
        <f t="shared" ref="I189:I206" si="68">COUNTIF(NK189:XG189,J189)</f>
        <v>0</v>
      </c>
      <c r="J189" s="2">
        <f t="shared" ref="J189:J206" si="69">MAX(NK189:XG189)</f>
        <v>0</v>
      </c>
      <c r="K189" s="2">
        <f t="shared" ref="K189:K206" si="70">COUNTIF(M189:GJ189,L189)</f>
        <v>0</v>
      </c>
      <c r="L189" s="2">
        <f t="shared" ref="L189:L206" si="71">MAX(M189:GJ189)</f>
        <v>0</v>
      </c>
      <c r="XJ189" cm="1">
        <f t="array" ref="XJ189:XL189">SUMIFS($M189:$GJ189,$M$1:$GJ$1,XJ$3:XL$3)</f>
        <v>0</v>
      </c>
      <c r="XK189">
        <v>0</v>
      </c>
      <c r="XL189">
        <v>0</v>
      </c>
      <c r="XM189" cm="1">
        <f t="array" ref="XM189">IFERROR(MAX((_xlfn.ANCHORARRAY(XJ189)-AVERAGE(_xlfn.ANCHORARRAY(XJ189)))/ AVERAGE(_xlfn.ANCHORARRAY(XJ189))),0)</f>
        <v>0</v>
      </c>
      <c r="XN189" t="str" cm="1">
        <f t="array" ref="XN189">IF(XM189&gt;$XN$1,_xlfn.XLOOKUP(MAX(_xlfn.ANCHORARRAY(XJ189)),_xlfn.ANCHORARRAY(XJ189),XJ$4:XL$4,""),"")</f>
        <v/>
      </c>
      <c r="XP189" cm="1">
        <f t="array" ref="XP189:XT189">SUMIFS($M189:$GJ189,$M$3:$GJ$3,XP$3:XT$3)</f>
        <v>0</v>
      </c>
      <c r="XQ189">
        <v>0</v>
      </c>
      <c r="XR189">
        <v>0</v>
      </c>
      <c r="XS189">
        <v>0</v>
      </c>
      <c r="XT189">
        <v>0</v>
      </c>
      <c r="XU189" cm="1">
        <f t="array" ref="XU189">IFERROR(MAX((_xlfn.ANCHORARRAY(XP189)-AVERAGE(_xlfn.ANCHORARRAY(XP189)))/ AVERAGE(_xlfn.ANCHORARRAY(XP189))),0)</f>
        <v>0</v>
      </c>
      <c r="XV189" t="str" cm="1">
        <f t="array" ref="XV189">IF(AND(XU189&gt;$XV$1,XN189&lt;&gt;""),_xlfn.XLOOKUP(MAX(_xlfn.ANCHORARRAY(XP189)),_xlfn.ANCHORARRAY(XP189),XP$4:XT$4,""),"")</f>
        <v/>
      </c>
      <c r="XX189" cm="1">
        <f t="array" ref="XX189:YG189">SUMIFS($M189:$GJ189,$M$2:$GJ$2,XX$3:YG$3)</f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 cm="1">
        <f t="array" ref="YH189">IFERROR(MAX((_xlfn.ANCHORARRAY(XX189)-AVERAGE(_xlfn.ANCHORARRAY(XX189)))/ AVERAGE(_xlfn.ANCHORARRAY(XX189))),0)</f>
        <v>0</v>
      </c>
      <c r="YI189" t="str" cm="1">
        <f t="array" ref="YI189">IF(YH189&gt;$YI$1,_xlfn.XLOOKUP(MAX(_xlfn.ANCHORARRAY(XX189)),_xlfn.ANCHORARRAY(XX189),XX$4:YG$4,""),"")</f>
        <v/>
      </c>
      <c r="YK189" t="str">
        <f t="shared" ref="YK189:YK206" si="72">_xlfn.TEXTJOIN(" : ",,XN189,XV189,YI189)</f>
        <v/>
      </c>
    </row>
    <row r="190" spans="2:661" x14ac:dyDescent="0.3">
      <c r="B190" s="2" t="str">
        <f t="shared" si="61"/>
        <v>CHA</v>
      </c>
      <c r="C190" s="2" t="str">
        <f t="shared" si="62"/>
        <v>CHA</v>
      </c>
      <c r="D190" s="2" t="str">
        <f t="shared" si="63"/>
        <v>CHA</v>
      </c>
      <c r="E190" s="2" t="str">
        <f t="shared" si="64"/>
        <v/>
      </c>
      <c r="F190" s="2" t="str">
        <f t="shared" si="65"/>
        <v/>
      </c>
      <c r="G190" s="2">
        <f t="shared" si="66"/>
        <v>0</v>
      </c>
      <c r="H190" s="2">
        <f t="shared" si="67"/>
        <v>0</v>
      </c>
      <c r="I190" s="2">
        <f t="shared" si="68"/>
        <v>0</v>
      </c>
      <c r="J190" s="2">
        <f t="shared" si="69"/>
        <v>0</v>
      </c>
      <c r="K190" s="2">
        <f t="shared" si="70"/>
        <v>0</v>
      </c>
      <c r="L190" s="2">
        <f t="shared" si="71"/>
        <v>0</v>
      </c>
      <c r="XJ190" cm="1">
        <f t="array" ref="XJ190:XL190">SUMIFS($M190:$GJ190,$M$1:$GJ$1,XJ$3:XL$3)</f>
        <v>0</v>
      </c>
      <c r="XK190">
        <v>0</v>
      </c>
      <c r="XL190">
        <v>0</v>
      </c>
      <c r="XM190" cm="1">
        <f t="array" ref="XM190">IFERROR(MAX((_xlfn.ANCHORARRAY(XJ190)-AVERAGE(_xlfn.ANCHORARRAY(XJ190)))/ AVERAGE(_xlfn.ANCHORARRAY(XJ190))),0)</f>
        <v>0</v>
      </c>
      <c r="XN190" t="str" cm="1">
        <f t="array" ref="XN190">IF(XM190&gt;$XN$1,_xlfn.XLOOKUP(MAX(_xlfn.ANCHORARRAY(XJ190)),_xlfn.ANCHORARRAY(XJ190),XJ$4:XL$4,""),"")</f>
        <v/>
      </c>
      <c r="XP190" cm="1">
        <f t="array" ref="XP190:XT190">SUMIFS($M190:$GJ190,$M$3:$GJ$3,XP$3:XT$3)</f>
        <v>0</v>
      </c>
      <c r="XQ190">
        <v>0</v>
      </c>
      <c r="XR190">
        <v>0</v>
      </c>
      <c r="XS190">
        <v>0</v>
      </c>
      <c r="XT190">
        <v>0</v>
      </c>
      <c r="XU190" cm="1">
        <f t="array" ref="XU190">IFERROR(MAX((_xlfn.ANCHORARRAY(XP190)-AVERAGE(_xlfn.ANCHORARRAY(XP190)))/ AVERAGE(_xlfn.ANCHORARRAY(XP190))),0)</f>
        <v>0</v>
      </c>
      <c r="XV190" t="str" cm="1">
        <f t="array" ref="XV190">IF(AND(XU190&gt;$XV$1,XN190&lt;&gt;""),_xlfn.XLOOKUP(MAX(_xlfn.ANCHORARRAY(XP190)),_xlfn.ANCHORARRAY(XP190),XP$4:XT$4,""),"")</f>
        <v/>
      </c>
      <c r="XX190" cm="1">
        <f t="array" ref="XX190:YG190">SUMIFS($M190:$GJ190,$M$2:$GJ$2,XX$3:YG$3)</f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 cm="1">
        <f t="array" ref="YH190">IFERROR(MAX((_xlfn.ANCHORARRAY(XX190)-AVERAGE(_xlfn.ANCHORARRAY(XX190)))/ AVERAGE(_xlfn.ANCHORARRAY(XX190))),0)</f>
        <v>0</v>
      </c>
      <c r="YI190" t="str" cm="1">
        <f t="array" ref="YI190">IF(YH190&gt;$YI$1,_xlfn.XLOOKUP(MAX(_xlfn.ANCHORARRAY(XX190)),_xlfn.ANCHORARRAY(XX190),XX$4:YG$4,""),"")</f>
        <v/>
      </c>
      <c r="YK190" t="str">
        <f t="shared" si="72"/>
        <v/>
      </c>
    </row>
    <row r="191" spans="2:661" x14ac:dyDescent="0.3">
      <c r="B191" s="2" t="str">
        <f t="shared" si="61"/>
        <v>CHA</v>
      </c>
      <c r="C191" s="2" t="str">
        <f t="shared" si="62"/>
        <v>CHA</v>
      </c>
      <c r="D191" s="2" t="str">
        <f t="shared" si="63"/>
        <v>CHA</v>
      </c>
      <c r="E191" s="2" t="str">
        <f t="shared" si="64"/>
        <v/>
      </c>
      <c r="F191" s="2" t="str">
        <f t="shared" si="65"/>
        <v/>
      </c>
      <c r="G191" s="2">
        <f t="shared" si="66"/>
        <v>0</v>
      </c>
      <c r="H191" s="2">
        <f t="shared" si="67"/>
        <v>0</v>
      </c>
      <c r="I191" s="2">
        <f t="shared" si="68"/>
        <v>0</v>
      </c>
      <c r="J191" s="2">
        <f t="shared" si="69"/>
        <v>0</v>
      </c>
      <c r="K191" s="2">
        <f t="shared" si="70"/>
        <v>0</v>
      </c>
      <c r="L191" s="2">
        <f t="shared" si="71"/>
        <v>0</v>
      </c>
      <c r="XJ191" cm="1">
        <f t="array" ref="XJ191:XL191">SUMIFS($M191:$GJ191,$M$1:$GJ$1,XJ$3:XL$3)</f>
        <v>0</v>
      </c>
      <c r="XK191">
        <v>0</v>
      </c>
      <c r="XL191">
        <v>0</v>
      </c>
      <c r="XM191" cm="1">
        <f t="array" ref="XM191">IFERROR(MAX((_xlfn.ANCHORARRAY(XJ191)-AVERAGE(_xlfn.ANCHORARRAY(XJ191)))/ AVERAGE(_xlfn.ANCHORARRAY(XJ191))),0)</f>
        <v>0</v>
      </c>
      <c r="XN191" t="str" cm="1">
        <f t="array" ref="XN191">IF(XM191&gt;$XN$1,_xlfn.XLOOKUP(MAX(_xlfn.ANCHORARRAY(XJ191)),_xlfn.ANCHORARRAY(XJ191),XJ$4:XL$4,""),"")</f>
        <v/>
      </c>
      <c r="XP191" cm="1">
        <f t="array" ref="XP191:XT191">SUMIFS($M191:$GJ191,$M$3:$GJ$3,XP$3:XT$3)</f>
        <v>0</v>
      </c>
      <c r="XQ191">
        <v>0</v>
      </c>
      <c r="XR191">
        <v>0</v>
      </c>
      <c r="XS191">
        <v>0</v>
      </c>
      <c r="XT191">
        <v>0</v>
      </c>
      <c r="XU191" cm="1">
        <f t="array" ref="XU191">IFERROR(MAX((_xlfn.ANCHORARRAY(XP191)-AVERAGE(_xlfn.ANCHORARRAY(XP191)))/ AVERAGE(_xlfn.ANCHORARRAY(XP191))),0)</f>
        <v>0</v>
      </c>
      <c r="XV191" t="str" cm="1">
        <f t="array" ref="XV191">IF(AND(XU191&gt;$XV$1,XN191&lt;&gt;""),_xlfn.XLOOKUP(MAX(_xlfn.ANCHORARRAY(XP191)),_xlfn.ANCHORARRAY(XP191),XP$4:XT$4,""),"")</f>
        <v/>
      </c>
      <c r="XX191" cm="1">
        <f t="array" ref="XX191:YG191">SUMIFS($M191:$GJ191,$M$2:$GJ$2,XX$3:YG$3)</f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 cm="1">
        <f t="array" ref="YH191">IFERROR(MAX((_xlfn.ANCHORARRAY(XX191)-AVERAGE(_xlfn.ANCHORARRAY(XX191)))/ AVERAGE(_xlfn.ANCHORARRAY(XX191))),0)</f>
        <v>0</v>
      </c>
      <c r="YI191" t="str" cm="1">
        <f t="array" ref="YI191">IF(YH191&gt;$YI$1,_xlfn.XLOOKUP(MAX(_xlfn.ANCHORARRAY(XX191)),_xlfn.ANCHORARRAY(XX191),XX$4:YG$4,""),"")</f>
        <v/>
      </c>
      <c r="YK191" t="str">
        <f t="shared" si="72"/>
        <v/>
      </c>
    </row>
    <row r="192" spans="2:661" x14ac:dyDescent="0.3">
      <c r="B192" s="2" t="str">
        <f t="shared" si="61"/>
        <v>CHA</v>
      </c>
      <c r="C192" s="2" t="str">
        <f t="shared" si="62"/>
        <v>CHA</v>
      </c>
      <c r="D192" s="2" t="str">
        <f t="shared" si="63"/>
        <v>CHA</v>
      </c>
      <c r="E192" s="2" t="str">
        <f t="shared" si="64"/>
        <v/>
      </c>
      <c r="F192" s="2" t="str">
        <f t="shared" si="65"/>
        <v/>
      </c>
      <c r="G192" s="2">
        <f t="shared" si="66"/>
        <v>0</v>
      </c>
      <c r="H192" s="2">
        <f t="shared" si="67"/>
        <v>0</v>
      </c>
      <c r="I192" s="2">
        <f t="shared" si="68"/>
        <v>0</v>
      </c>
      <c r="J192" s="2">
        <f t="shared" si="69"/>
        <v>0</v>
      </c>
      <c r="K192" s="2">
        <f t="shared" si="70"/>
        <v>0</v>
      </c>
      <c r="L192" s="2">
        <f t="shared" si="71"/>
        <v>0</v>
      </c>
      <c r="XJ192" cm="1">
        <f t="array" ref="XJ192:XL192">SUMIFS($M192:$GJ192,$M$1:$GJ$1,XJ$3:XL$3)</f>
        <v>0</v>
      </c>
      <c r="XK192">
        <v>0</v>
      </c>
      <c r="XL192">
        <v>0</v>
      </c>
      <c r="XM192" cm="1">
        <f t="array" ref="XM192">IFERROR(MAX((_xlfn.ANCHORARRAY(XJ192)-AVERAGE(_xlfn.ANCHORARRAY(XJ192)))/ AVERAGE(_xlfn.ANCHORARRAY(XJ192))),0)</f>
        <v>0</v>
      </c>
      <c r="XN192" t="str" cm="1">
        <f t="array" ref="XN192">IF(XM192&gt;$XN$1,_xlfn.XLOOKUP(MAX(_xlfn.ANCHORARRAY(XJ192)),_xlfn.ANCHORARRAY(XJ192),XJ$4:XL$4,""),"")</f>
        <v/>
      </c>
      <c r="XP192" cm="1">
        <f t="array" ref="XP192:XT192">SUMIFS($M192:$GJ192,$M$3:$GJ$3,XP$3:XT$3)</f>
        <v>0</v>
      </c>
      <c r="XQ192">
        <v>0</v>
      </c>
      <c r="XR192">
        <v>0</v>
      </c>
      <c r="XS192">
        <v>0</v>
      </c>
      <c r="XT192">
        <v>0</v>
      </c>
      <c r="XU192" cm="1">
        <f t="array" ref="XU192">IFERROR(MAX((_xlfn.ANCHORARRAY(XP192)-AVERAGE(_xlfn.ANCHORARRAY(XP192)))/ AVERAGE(_xlfn.ANCHORARRAY(XP192))),0)</f>
        <v>0</v>
      </c>
      <c r="XV192" t="str" cm="1">
        <f t="array" ref="XV192">IF(AND(XU192&gt;$XV$1,XN192&lt;&gt;""),_xlfn.XLOOKUP(MAX(_xlfn.ANCHORARRAY(XP192)),_xlfn.ANCHORARRAY(XP192),XP$4:XT$4,""),"")</f>
        <v/>
      </c>
      <c r="XX192" cm="1">
        <f t="array" ref="XX192:YG192">SUMIFS($M192:$GJ192,$M$2:$GJ$2,XX$3:YG$3)</f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 cm="1">
        <f t="array" ref="YH192">IFERROR(MAX((_xlfn.ANCHORARRAY(XX192)-AVERAGE(_xlfn.ANCHORARRAY(XX192)))/ AVERAGE(_xlfn.ANCHORARRAY(XX192))),0)</f>
        <v>0</v>
      </c>
      <c r="YI192" t="str" cm="1">
        <f t="array" ref="YI192">IF(YH192&gt;$YI$1,_xlfn.XLOOKUP(MAX(_xlfn.ANCHORARRAY(XX192)),_xlfn.ANCHORARRAY(XX192),XX$4:YG$4,""),"")</f>
        <v/>
      </c>
      <c r="YK192" t="str">
        <f t="shared" si="72"/>
        <v/>
      </c>
    </row>
    <row r="193" spans="2:661" x14ac:dyDescent="0.3">
      <c r="B193" s="2" t="str">
        <f t="shared" si="61"/>
        <v>CHA</v>
      </c>
      <c r="C193" s="2" t="str">
        <f t="shared" si="62"/>
        <v>CHA</v>
      </c>
      <c r="D193" s="2" t="str">
        <f t="shared" si="63"/>
        <v>CHA</v>
      </c>
      <c r="E193" s="2" t="str">
        <f t="shared" si="64"/>
        <v/>
      </c>
      <c r="F193" s="2" t="str">
        <f t="shared" si="65"/>
        <v/>
      </c>
      <c r="G193" s="2">
        <f t="shared" si="66"/>
        <v>0</v>
      </c>
      <c r="H193" s="2">
        <f t="shared" si="67"/>
        <v>0</v>
      </c>
      <c r="I193" s="2">
        <f t="shared" si="68"/>
        <v>0</v>
      </c>
      <c r="J193" s="2">
        <f t="shared" si="69"/>
        <v>0</v>
      </c>
      <c r="K193" s="2">
        <f t="shared" si="70"/>
        <v>0</v>
      </c>
      <c r="L193" s="2">
        <f t="shared" si="71"/>
        <v>0</v>
      </c>
      <c r="XJ193" cm="1">
        <f t="array" ref="XJ193:XL193">SUMIFS($M193:$GJ193,$M$1:$GJ$1,XJ$3:XL$3)</f>
        <v>0</v>
      </c>
      <c r="XK193">
        <v>0</v>
      </c>
      <c r="XL193">
        <v>0</v>
      </c>
      <c r="XM193" cm="1">
        <f t="array" ref="XM193">IFERROR(MAX((_xlfn.ANCHORARRAY(XJ193)-AVERAGE(_xlfn.ANCHORARRAY(XJ193)))/ AVERAGE(_xlfn.ANCHORARRAY(XJ193))),0)</f>
        <v>0</v>
      </c>
      <c r="XN193" t="str" cm="1">
        <f t="array" ref="XN193">IF(XM193&gt;$XN$1,_xlfn.XLOOKUP(MAX(_xlfn.ANCHORARRAY(XJ193)),_xlfn.ANCHORARRAY(XJ193),XJ$4:XL$4,""),"")</f>
        <v/>
      </c>
      <c r="XP193" cm="1">
        <f t="array" ref="XP193:XT193">SUMIFS($M193:$GJ193,$M$3:$GJ$3,XP$3:XT$3)</f>
        <v>0</v>
      </c>
      <c r="XQ193">
        <v>0</v>
      </c>
      <c r="XR193">
        <v>0</v>
      </c>
      <c r="XS193">
        <v>0</v>
      </c>
      <c r="XT193">
        <v>0</v>
      </c>
      <c r="XU193" cm="1">
        <f t="array" ref="XU193">IFERROR(MAX((_xlfn.ANCHORARRAY(XP193)-AVERAGE(_xlfn.ANCHORARRAY(XP193)))/ AVERAGE(_xlfn.ANCHORARRAY(XP193))),0)</f>
        <v>0</v>
      </c>
      <c r="XV193" t="str" cm="1">
        <f t="array" ref="XV193">IF(AND(XU193&gt;$XV$1,XN193&lt;&gt;""),_xlfn.XLOOKUP(MAX(_xlfn.ANCHORARRAY(XP193)),_xlfn.ANCHORARRAY(XP193),XP$4:XT$4,""),"")</f>
        <v/>
      </c>
      <c r="XX193" cm="1">
        <f t="array" ref="XX193:YG193">SUMIFS($M193:$GJ193,$M$2:$GJ$2,XX$3:YG$3)</f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 cm="1">
        <f t="array" ref="YH193">IFERROR(MAX((_xlfn.ANCHORARRAY(XX193)-AVERAGE(_xlfn.ANCHORARRAY(XX193)))/ AVERAGE(_xlfn.ANCHORARRAY(XX193))),0)</f>
        <v>0</v>
      </c>
      <c r="YI193" t="str" cm="1">
        <f t="array" ref="YI193">IF(YH193&gt;$YI$1,_xlfn.XLOOKUP(MAX(_xlfn.ANCHORARRAY(XX193)),_xlfn.ANCHORARRAY(XX193),XX$4:YG$4,""),"")</f>
        <v/>
      </c>
      <c r="YK193" t="str">
        <f t="shared" si="72"/>
        <v/>
      </c>
    </row>
    <row r="194" spans="2:661" x14ac:dyDescent="0.3">
      <c r="B194" s="2" t="str">
        <f t="shared" si="61"/>
        <v>CHA</v>
      </c>
      <c r="C194" s="2" t="str">
        <f t="shared" si="62"/>
        <v>CHA</v>
      </c>
      <c r="D194" s="2" t="str">
        <f t="shared" si="63"/>
        <v>CHA</v>
      </c>
      <c r="E194" s="2" t="str">
        <f t="shared" si="64"/>
        <v/>
      </c>
      <c r="F194" s="2" t="str">
        <f t="shared" si="65"/>
        <v/>
      </c>
      <c r="G194" s="2">
        <f t="shared" si="66"/>
        <v>0</v>
      </c>
      <c r="H194" s="2">
        <f t="shared" si="67"/>
        <v>0</v>
      </c>
      <c r="I194" s="2">
        <f t="shared" si="68"/>
        <v>0</v>
      </c>
      <c r="J194" s="2">
        <f t="shared" si="69"/>
        <v>0</v>
      </c>
      <c r="K194" s="2">
        <f t="shared" si="70"/>
        <v>0</v>
      </c>
      <c r="L194" s="2">
        <f t="shared" si="71"/>
        <v>0</v>
      </c>
      <c r="XJ194" cm="1">
        <f t="array" ref="XJ194:XL194">SUMIFS($M194:$GJ194,$M$1:$GJ$1,XJ$3:XL$3)</f>
        <v>0</v>
      </c>
      <c r="XK194">
        <v>0</v>
      </c>
      <c r="XL194">
        <v>0</v>
      </c>
      <c r="XM194" cm="1">
        <f t="array" ref="XM194">IFERROR(MAX((_xlfn.ANCHORARRAY(XJ194)-AVERAGE(_xlfn.ANCHORARRAY(XJ194)))/ AVERAGE(_xlfn.ANCHORARRAY(XJ194))),0)</f>
        <v>0</v>
      </c>
      <c r="XN194" t="str" cm="1">
        <f t="array" ref="XN194">IF(XM194&gt;$XN$1,_xlfn.XLOOKUP(MAX(_xlfn.ANCHORARRAY(XJ194)),_xlfn.ANCHORARRAY(XJ194),XJ$4:XL$4,""),"")</f>
        <v/>
      </c>
      <c r="XP194" cm="1">
        <f t="array" ref="XP194:XT194">SUMIFS($M194:$GJ194,$M$3:$GJ$3,XP$3:XT$3)</f>
        <v>0</v>
      </c>
      <c r="XQ194">
        <v>0</v>
      </c>
      <c r="XR194">
        <v>0</v>
      </c>
      <c r="XS194">
        <v>0</v>
      </c>
      <c r="XT194">
        <v>0</v>
      </c>
      <c r="XU194" cm="1">
        <f t="array" ref="XU194">IFERROR(MAX((_xlfn.ANCHORARRAY(XP194)-AVERAGE(_xlfn.ANCHORARRAY(XP194)))/ AVERAGE(_xlfn.ANCHORARRAY(XP194))),0)</f>
        <v>0</v>
      </c>
      <c r="XV194" t="str" cm="1">
        <f t="array" ref="XV194">IF(AND(XU194&gt;$XV$1,XN194&lt;&gt;""),_xlfn.XLOOKUP(MAX(_xlfn.ANCHORARRAY(XP194)),_xlfn.ANCHORARRAY(XP194),XP$4:XT$4,""),"")</f>
        <v/>
      </c>
      <c r="XX194" cm="1">
        <f t="array" ref="XX194:YG194">SUMIFS($M194:$GJ194,$M$2:$GJ$2,XX$3:YG$3)</f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 cm="1">
        <f t="array" ref="YH194">IFERROR(MAX((_xlfn.ANCHORARRAY(XX194)-AVERAGE(_xlfn.ANCHORARRAY(XX194)))/ AVERAGE(_xlfn.ANCHORARRAY(XX194))),0)</f>
        <v>0</v>
      </c>
      <c r="YI194" t="str" cm="1">
        <f t="array" ref="YI194">IF(YH194&gt;$YI$1,_xlfn.XLOOKUP(MAX(_xlfn.ANCHORARRAY(XX194)),_xlfn.ANCHORARRAY(XX194),XX$4:YG$4,""),"")</f>
        <v/>
      </c>
      <c r="YK194" t="str">
        <f t="shared" si="72"/>
        <v/>
      </c>
    </row>
    <row r="195" spans="2:661" x14ac:dyDescent="0.3">
      <c r="B195" s="2" t="str">
        <f t="shared" si="61"/>
        <v>CHA</v>
      </c>
      <c r="C195" s="2" t="str">
        <f t="shared" si="62"/>
        <v>CHA</v>
      </c>
      <c r="D195" s="2" t="str">
        <f t="shared" si="63"/>
        <v>CHA</v>
      </c>
      <c r="E195" s="2" t="str">
        <f t="shared" si="64"/>
        <v/>
      </c>
      <c r="F195" s="2" t="str">
        <f t="shared" si="65"/>
        <v/>
      </c>
      <c r="G195" s="2">
        <f t="shared" si="66"/>
        <v>0</v>
      </c>
      <c r="H195" s="2">
        <f t="shared" si="67"/>
        <v>0</v>
      </c>
      <c r="I195" s="2">
        <f t="shared" si="68"/>
        <v>0</v>
      </c>
      <c r="J195" s="2">
        <f t="shared" si="69"/>
        <v>0</v>
      </c>
      <c r="K195" s="2">
        <f t="shared" si="70"/>
        <v>0</v>
      </c>
      <c r="L195" s="2">
        <f t="shared" si="71"/>
        <v>0</v>
      </c>
      <c r="XJ195" cm="1">
        <f t="array" ref="XJ195:XL195">SUMIFS($M195:$GJ195,$M$1:$GJ$1,XJ$3:XL$3)</f>
        <v>0</v>
      </c>
      <c r="XK195">
        <v>0</v>
      </c>
      <c r="XL195">
        <v>0</v>
      </c>
      <c r="XM195" cm="1">
        <f t="array" ref="XM195">IFERROR(MAX((_xlfn.ANCHORARRAY(XJ195)-AVERAGE(_xlfn.ANCHORARRAY(XJ195)))/ AVERAGE(_xlfn.ANCHORARRAY(XJ195))),0)</f>
        <v>0</v>
      </c>
      <c r="XN195" t="str" cm="1">
        <f t="array" ref="XN195">IF(XM195&gt;$XN$1,_xlfn.XLOOKUP(MAX(_xlfn.ANCHORARRAY(XJ195)),_xlfn.ANCHORARRAY(XJ195),XJ$4:XL$4,""),"")</f>
        <v/>
      </c>
      <c r="XP195" cm="1">
        <f t="array" ref="XP195:XT195">SUMIFS($M195:$GJ195,$M$3:$GJ$3,XP$3:XT$3)</f>
        <v>0</v>
      </c>
      <c r="XQ195">
        <v>0</v>
      </c>
      <c r="XR195">
        <v>0</v>
      </c>
      <c r="XS195">
        <v>0</v>
      </c>
      <c r="XT195">
        <v>0</v>
      </c>
      <c r="XU195" cm="1">
        <f t="array" ref="XU195">IFERROR(MAX((_xlfn.ANCHORARRAY(XP195)-AVERAGE(_xlfn.ANCHORARRAY(XP195)))/ AVERAGE(_xlfn.ANCHORARRAY(XP195))),0)</f>
        <v>0</v>
      </c>
      <c r="XV195" t="str" cm="1">
        <f t="array" ref="XV195">IF(AND(XU195&gt;$XV$1,XN195&lt;&gt;""),_xlfn.XLOOKUP(MAX(_xlfn.ANCHORARRAY(XP195)),_xlfn.ANCHORARRAY(XP195),XP$4:XT$4,""),"")</f>
        <v/>
      </c>
      <c r="XX195" cm="1">
        <f t="array" ref="XX195:YG195">SUMIFS($M195:$GJ195,$M$2:$GJ$2,XX$3:YG$3)</f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 cm="1">
        <f t="array" ref="YH195">IFERROR(MAX((_xlfn.ANCHORARRAY(XX195)-AVERAGE(_xlfn.ANCHORARRAY(XX195)))/ AVERAGE(_xlfn.ANCHORARRAY(XX195))),0)</f>
        <v>0</v>
      </c>
      <c r="YI195" t="str" cm="1">
        <f t="array" ref="YI195">IF(YH195&gt;$YI$1,_xlfn.XLOOKUP(MAX(_xlfn.ANCHORARRAY(XX195)),_xlfn.ANCHORARRAY(XX195),XX$4:YG$4,""),"")</f>
        <v/>
      </c>
      <c r="YK195" t="str">
        <f t="shared" si="72"/>
        <v/>
      </c>
    </row>
    <row r="196" spans="2:661" x14ac:dyDescent="0.3">
      <c r="B196" s="2" t="str">
        <f t="shared" si="61"/>
        <v>CHA</v>
      </c>
      <c r="C196" s="2" t="str">
        <f t="shared" si="62"/>
        <v>CHA</v>
      </c>
      <c r="D196" s="2" t="str">
        <f t="shared" si="63"/>
        <v>CHA</v>
      </c>
      <c r="E196" s="2" t="str">
        <f t="shared" si="64"/>
        <v/>
      </c>
      <c r="F196" s="2" t="str">
        <f t="shared" si="65"/>
        <v/>
      </c>
      <c r="G196" s="2">
        <f t="shared" si="66"/>
        <v>0</v>
      </c>
      <c r="H196" s="2">
        <f t="shared" si="67"/>
        <v>0</v>
      </c>
      <c r="I196" s="2">
        <f t="shared" si="68"/>
        <v>0</v>
      </c>
      <c r="J196" s="2">
        <f t="shared" si="69"/>
        <v>0</v>
      </c>
      <c r="K196" s="2">
        <f t="shared" si="70"/>
        <v>0</v>
      </c>
      <c r="L196" s="2">
        <f t="shared" si="71"/>
        <v>0</v>
      </c>
      <c r="XJ196" cm="1">
        <f t="array" ref="XJ196:XL196">SUMIFS($M196:$GJ196,$M$1:$GJ$1,XJ$3:XL$3)</f>
        <v>0</v>
      </c>
      <c r="XK196">
        <v>0</v>
      </c>
      <c r="XL196">
        <v>0</v>
      </c>
      <c r="XM196" cm="1">
        <f t="array" ref="XM196">IFERROR(MAX((_xlfn.ANCHORARRAY(XJ196)-AVERAGE(_xlfn.ANCHORARRAY(XJ196)))/ AVERAGE(_xlfn.ANCHORARRAY(XJ196))),0)</f>
        <v>0</v>
      </c>
      <c r="XN196" t="str" cm="1">
        <f t="array" ref="XN196">IF(XM196&gt;$XN$1,_xlfn.XLOOKUP(MAX(_xlfn.ANCHORARRAY(XJ196)),_xlfn.ANCHORARRAY(XJ196),XJ$4:XL$4,""),"")</f>
        <v/>
      </c>
      <c r="XP196" cm="1">
        <f t="array" ref="XP196:XT196">SUMIFS($M196:$GJ196,$M$3:$GJ$3,XP$3:XT$3)</f>
        <v>0</v>
      </c>
      <c r="XQ196">
        <v>0</v>
      </c>
      <c r="XR196">
        <v>0</v>
      </c>
      <c r="XS196">
        <v>0</v>
      </c>
      <c r="XT196">
        <v>0</v>
      </c>
      <c r="XU196" cm="1">
        <f t="array" ref="XU196">IFERROR(MAX((_xlfn.ANCHORARRAY(XP196)-AVERAGE(_xlfn.ANCHORARRAY(XP196)))/ AVERAGE(_xlfn.ANCHORARRAY(XP196))),0)</f>
        <v>0</v>
      </c>
      <c r="XV196" t="str" cm="1">
        <f t="array" ref="XV196">IF(AND(XU196&gt;$XV$1,XN196&lt;&gt;""),_xlfn.XLOOKUP(MAX(_xlfn.ANCHORARRAY(XP196)),_xlfn.ANCHORARRAY(XP196),XP$4:XT$4,""),"")</f>
        <v/>
      </c>
      <c r="XX196" cm="1">
        <f t="array" ref="XX196:YG196">SUMIFS($M196:$GJ196,$M$2:$GJ$2,XX$3:YG$3)</f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 cm="1">
        <f t="array" ref="YH196">IFERROR(MAX((_xlfn.ANCHORARRAY(XX196)-AVERAGE(_xlfn.ANCHORARRAY(XX196)))/ AVERAGE(_xlfn.ANCHORARRAY(XX196))),0)</f>
        <v>0</v>
      </c>
      <c r="YI196" t="str" cm="1">
        <f t="array" ref="YI196">IF(YH196&gt;$YI$1,_xlfn.XLOOKUP(MAX(_xlfn.ANCHORARRAY(XX196)),_xlfn.ANCHORARRAY(XX196),XX$4:YG$4,""),"")</f>
        <v/>
      </c>
      <c r="YK196" t="str">
        <f t="shared" si="72"/>
        <v/>
      </c>
    </row>
    <row r="197" spans="2:661" x14ac:dyDescent="0.3">
      <c r="B197" s="2" t="str">
        <f t="shared" si="61"/>
        <v>CHA</v>
      </c>
      <c r="C197" s="2" t="str">
        <f t="shared" si="62"/>
        <v>CHA</v>
      </c>
      <c r="D197" s="2" t="str">
        <f t="shared" si="63"/>
        <v>CHA</v>
      </c>
      <c r="E197" s="2" t="str">
        <f t="shared" si="64"/>
        <v/>
      </c>
      <c r="F197" s="2" t="str">
        <f t="shared" si="65"/>
        <v/>
      </c>
      <c r="G197" s="2">
        <f t="shared" si="66"/>
        <v>0</v>
      </c>
      <c r="H197" s="2">
        <f t="shared" si="67"/>
        <v>0</v>
      </c>
      <c r="I197" s="2">
        <f t="shared" si="68"/>
        <v>0</v>
      </c>
      <c r="J197" s="2">
        <f t="shared" si="69"/>
        <v>0</v>
      </c>
      <c r="K197" s="2">
        <f t="shared" si="70"/>
        <v>0</v>
      </c>
      <c r="L197" s="2">
        <f t="shared" si="71"/>
        <v>0</v>
      </c>
      <c r="XJ197" cm="1">
        <f t="array" ref="XJ197:XL197">SUMIFS($M197:$GJ197,$M$1:$GJ$1,XJ$3:XL$3)</f>
        <v>0</v>
      </c>
      <c r="XK197">
        <v>0</v>
      </c>
      <c r="XL197">
        <v>0</v>
      </c>
      <c r="XM197" cm="1">
        <f t="array" ref="XM197">IFERROR(MAX((_xlfn.ANCHORARRAY(XJ197)-AVERAGE(_xlfn.ANCHORARRAY(XJ197)))/ AVERAGE(_xlfn.ANCHORARRAY(XJ197))),0)</f>
        <v>0</v>
      </c>
      <c r="XN197" t="str" cm="1">
        <f t="array" ref="XN197">IF(XM197&gt;$XN$1,_xlfn.XLOOKUP(MAX(_xlfn.ANCHORARRAY(XJ197)),_xlfn.ANCHORARRAY(XJ197),XJ$4:XL$4,""),"")</f>
        <v/>
      </c>
      <c r="XP197" cm="1">
        <f t="array" ref="XP197:XT197">SUMIFS($M197:$GJ197,$M$3:$GJ$3,XP$3:XT$3)</f>
        <v>0</v>
      </c>
      <c r="XQ197">
        <v>0</v>
      </c>
      <c r="XR197">
        <v>0</v>
      </c>
      <c r="XS197">
        <v>0</v>
      </c>
      <c r="XT197">
        <v>0</v>
      </c>
      <c r="XU197" cm="1">
        <f t="array" ref="XU197">IFERROR(MAX((_xlfn.ANCHORARRAY(XP197)-AVERAGE(_xlfn.ANCHORARRAY(XP197)))/ AVERAGE(_xlfn.ANCHORARRAY(XP197))),0)</f>
        <v>0</v>
      </c>
      <c r="XV197" t="str" cm="1">
        <f t="array" ref="XV197">IF(AND(XU197&gt;$XV$1,XN197&lt;&gt;""),_xlfn.XLOOKUP(MAX(_xlfn.ANCHORARRAY(XP197)),_xlfn.ANCHORARRAY(XP197),XP$4:XT$4,""),"")</f>
        <v/>
      </c>
      <c r="XX197" cm="1">
        <f t="array" ref="XX197:YG197">SUMIFS($M197:$GJ197,$M$2:$GJ$2,XX$3:YG$3)</f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 cm="1">
        <f t="array" ref="YH197">IFERROR(MAX((_xlfn.ANCHORARRAY(XX197)-AVERAGE(_xlfn.ANCHORARRAY(XX197)))/ AVERAGE(_xlfn.ANCHORARRAY(XX197))),0)</f>
        <v>0</v>
      </c>
      <c r="YI197" t="str" cm="1">
        <f t="array" ref="YI197">IF(YH197&gt;$YI$1,_xlfn.XLOOKUP(MAX(_xlfn.ANCHORARRAY(XX197)),_xlfn.ANCHORARRAY(XX197),XX$4:YG$4,""),"")</f>
        <v/>
      </c>
      <c r="YK197" t="str">
        <f t="shared" si="72"/>
        <v/>
      </c>
    </row>
    <row r="198" spans="2:661" x14ac:dyDescent="0.3">
      <c r="B198" s="2" t="str">
        <f t="shared" si="61"/>
        <v>CHA</v>
      </c>
      <c r="C198" s="2" t="str">
        <f t="shared" si="62"/>
        <v>CHA</v>
      </c>
      <c r="D198" s="2" t="str">
        <f t="shared" si="63"/>
        <v>CHA</v>
      </c>
      <c r="E198" s="2" t="str">
        <f t="shared" si="64"/>
        <v/>
      </c>
      <c r="F198" s="2" t="str">
        <f t="shared" si="65"/>
        <v/>
      </c>
      <c r="G198" s="2">
        <f t="shared" si="66"/>
        <v>0</v>
      </c>
      <c r="H198" s="2">
        <f t="shared" si="67"/>
        <v>0</v>
      </c>
      <c r="I198" s="2">
        <f t="shared" si="68"/>
        <v>0</v>
      </c>
      <c r="J198" s="2">
        <f t="shared" si="69"/>
        <v>0</v>
      </c>
      <c r="K198" s="2">
        <f t="shared" si="70"/>
        <v>0</v>
      </c>
      <c r="L198" s="2">
        <f t="shared" si="71"/>
        <v>0</v>
      </c>
      <c r="XJ198" cm="1">
        <f t="array" ref="XJ198:XL198">SUMIFS($M198:$GJ198,$M$1:$GJ$1,XJ$3:XL$3)</f>
        <v>0</v>
      </c>
      <c r="XK198">
        <v>0</v>
      </c>
      <c r="XL198">
        <v>0</v>
      </c>
      <c r="XM198" cm="1">
        <f t="array" ref="XM198">IFERROR(MAX((_xlfn.ANCHORARRAY(XJ198)-AVERAGE(_xlfn.ANCHORARRAY(XJ198)))/ AVERAGE(_xlfn.ANCHORARRAY(XJ198))),0)</f>
        <v>0</v>
      </c>
      <c r="XN198" t="str" cm="1">
        <f t="array" ref="XN198">IF(XM198&gt;$XN$1,_xlfn.XLOOKUP(MAX(_xlfn.ANCHORARRAY(XJ198)),_xlfn.ANCHORARRAY(XJ198),XJ$4:XL$4,""),"")</f>
        <v/>
      </c>
      <c r="XP198" cm="1">
        <f t="array" ref="XP198:XT198">SUMIFS($M198:$GJ198,$M$3:$GJ$3,XP$3:XT$3)</f>
        <v>0</v>
      </c>
      <c r="XQ198">
        <v>0</v>
      </c>
      <c r="XR198">
        <v>0</v>
      </c>
      <c r="XS198">
        <v>0</v>
      </c>
      <c r="XT198">
        <v>0</v>
      </c>
      <c r="XU198" cm="1">
        <f t="array" ref="XU198">IFERROR(MAX((_xlfn.ANCHORARRAY(XP198)-AVERAGE(_xlfn.ANCHORARRAY(XP198)))/ AVERAGE(_xlfn.ANCHORARRAY(XP198))),0)</f>
        <v>0</v>
      </c>
      <c r="XV198" t="str" cm="1">
        <f t="array" ref="XV198">IF(AND(XU198&gt;$XV$1,XN198&lt;&gt;""),_xlfn.XLOOKUP(MAX(_xlfn.ANCHORARRAY(XP198)),_xlfn.ANCHORARRAY(XP198),XP$4:XT$4,""),"")</f>
        <v/>
      </c>
      <c r="XX198" cm="1">
        <f t="array" ref="XX198:YG198">SUMIFS($M198:$GJ198,$M$2:$GJ$2,XX$3:YG$3)</f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 cm="1">
        <f t="array" ref="YH198">IFERROR(MAX((_xlfn.ANCHORARRAY(XX198)-AVERAGE(_xlfn.ANCHORARRAY(XX198)))/ AVERAGE(_xlfn.ANCHORARRAY(XX198))),0)</f>
        <v>0</v>
      </c>
      <c r="YI198" t="str" cm="1">
        <f t="array" ref="YI198">IF(YH198&gt;$YI$1,_xlfn.XLOOKUP(MAX(_xlfn.ANCHORARRAY(XX198)),_xlfn.ANCHORARRAY(XX198),XX$4:YG$4,""),"")</f>
        <v/>
      </c>
      <c r="YK198" t="str">
        <f t="shared" si="72"/>
        <v/>
      </c>
    </row>
    <row r="199" spans="2:661" x14ac:dyDescent="0.3">
      <c r="B199" s="2" t="str">
        <f t="shared" si="61"/>
        <v>CHA</v>
      </c>
      <c r="C199" s="2" t="str">
        <f t="shared" si="62"/>
        <v>CHA</v>
      </c>
      <c r="D199" s="2" t="str">
        <f t="shared" si="63"/>
        <v>CHA</v>
      </c>
      <c r="E199" s="2" t="str">
        <f t="shared" si="64"/>
        <v/>
      </c>
      <c r="F199" s="2" t="str">
        <f t="shared" si="65"/>
        <v/>
      </c>
      <c r="G199" s="2">
        <f t="shared" si="66"/>
        <v>0</v>
      </c>
      <c r="H199" s="2">
        <f t="shared" si="67"/>
        <v>0</v>
      </c>
      <c r="I199" s="2">
        <f t="shared" si="68"/>
        <v>0</v>
      </c>
      <c r="J199" s="2">
        <f t="shared" si="69"/>
        <v>0</v>
      </c>
      <c r="K199" s="2">
        <f t="shared" si="70"/>
        <v>0</v>
      </c>
      <c r="L199" s="2">
        <f t="shared" si="71"/>
        <v>0</v>
      </c>
      <c r="XJ199" cm="1">
        <f t="array" ref="XJ199:XL199">SUMIFS($M199:$GJ199,$M$1:$GJ$1,XJ$3:XL$3)</f>
        <v>0</v>
      </c>
      <c r="XK199">
        <v>0</v>
      </c>
      <c r="XL199">
        <v>0</v>
      </c>
      <c r="XM199" cm="1">
        <f t="array" ref="XM199">IFERROR(MAX((_xlfn.ANCHORARRAY(XJ199)-AVERAGE(_xlfn.ANCHORARRAY(XJ199)))/ AVERAGE(_xlfn.ANCHORARRAY(XJ199))),0)</f>
        <v>0</v>
      </c>
      <c r="XN199" t="str" cm="1">
        <f t="array" ref="XN199">IF(XM199&gt;$XN$1,_xlfn.XLOOKUP(MAX(_xlfn.ANCHORARRAY(XJ199)),_xlfn.ANCHORARRAY(XJ199),XJ$4:XL$4,""),"")</f>
        <v/>
      </c>
      <c r="XP199" cm="1">
        <f t="array" ref="XP199:XT199">SUMIFS($M199:$GJ199,$M$3:$GJ$3,XP$3:XT$3)</f>
        <v>0</v>
      </c>
      <c r="XQ199">
        <v>0</v>
      </c>
      <c r="XR199">
        <v>0</v>
      </c>
      <c r="XS199">
        <v>0</v>
      </c>
      <c r="XT199">
        <v>0</v>
      </c>
      <c r="XU199" cm="1">
        <f t="array" ref="XU199">IFERROR(MAX((_xlfn.ANCHORARRAY(XP199)-AVERAGE(_xlfn.ANCHORARRAY(XP199)))/ AVERAGE(_xlfn.ANCHORARRAY(XP199))),0)</f>
        <v>0</v>
      </c>
      <c r="XV199" t="str" cm="1">
        <f t="array" ref="XV199">IF(AND(XU199&gt;$XV$1,XN199&lt;&gt;""),_xlfn.XLOOKUP(MAX(_xlfn.ANCHORARRAY(XP199)),_xlfn.ANCHORARRAY(XP199),XP$4:XT$4,""),"")</f>
        <v/>
      </c>
      <c r="XX199" cm="1">
        <f t="array" ref="XX199:YG199">SUMIFS($M199:$GJ199,$M$2:$GJ$2,XX$3:YG$3)</f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 cm="1">
        <f t="array" ref="YH199">IFERROR(MAX((_xlfn.ANCHORARRAY(XX199)-AVERAGE(_xlfn.ANCHORARRAY(XX199)))/ AVERAGE(_xlfn.ANCHORARRAY(XX199))),0)</f>
        <v>0</v>
      </c>
      <c r="YI199" t="str" cm="1">
        <f t="array" ref="YI199">IF(YH199&gt;$YI$1,_xlfn.XLOOKUP(MAX(_xlfn.ANCHORARRAY(XX199)),_xlfn.ANCHORARRAY(XX199),XX$4:YG$4,""),"")</f>
        <v/>
      </c>
      <c r="YK199" t="str">
        <f t="shared" si="72"/>
        <v/>
      </c>
    </row>
    <row r="200" spans="2:661" x14ac:dyDescent="0.3">
      <c r="B200" s="2" t="str">
        <f t="shared" si="61"/>
        <v>CHA</v>
      </c>
      <c r="C200" s="2" t="str">
        <f t="shared" si="62"/>
        <v>CHA</v>
      </c>
      <c r="D200" s="2" t="str">
        <f t="shared" si="63"/>
        <v>CHA</v>
      </c>
      <c r="E200" s="2" t="str">
        <f t="shared" si="64"/>
        <v/>
      </c>
      <c r="F200" s="2" t="str">
        <f t="shared" si="65"/>
        <v/>
      </c>
      <c r="G200" s="2">
        <f t="shared" si="66"/>
        <v>0</v>
      </c>
      <c r="H200" s="2">
        <f t="shared" si="67"/>
        <v>0</v>
      </c>
      <c r="I200" s="2">
        <f t="shared" si="68"/>
        <v>0</v>
      </c>
      <c r="J200" s="2">
        <f t="shared" si="69"/>
        <v>0</v>
      </c>
      <c r="K200" s="2">
        <f t="shared" si="70"/>
        <v>0</v>
      </c>
      <c r="L200" s="2">
        <f t="shared" si="71"/>
        <v>0</v>
      </c>
      <c r="XJ200" cm="1">
        <f t="array" ref="XJ200:XL200">SUMIFS($M200:$GJ200,$M$1:$GJ$1,XJ$3:XL$3)</f>
        <v>0</v>
      </c>
      <c r="XK200">
        <v>0</v>
      </c>
      <c r="XL200">
        <v>0</v>
      </c>
      <c r="XM200" cm="1">
        <f t="array" ref="XM200">IFERROR(MAX((_xlfn.ANCHORARRAY(XJ200)-AVERAGE(_xlfn.ANCHORARRAY(XJ200)))/ AVERAGE(_xlfn.ANCHORARRAY(XJ200))),0)</f>
        <v>0</v>
      </c>
      <c r="XN200" t="str" cm="1">
        <f t="array" ref="XN200">IF(XM200&gt;$XN$1,_xlfn.XLOOKUP(MAX(_xlfn.ANCHORARRAY(XJ200)),_xlfn.ANCHORARRAY(XJ200),XJ$4:XL$4,""),"")</f>
        <v/>
      </c>
      <c r="XP200" cm="1">
        <f t="array" ref="XP200:XT200">SUMIFS($M200:$GJ200,$M$3:$GJ$3,XP$3:XT$3)</f>
        <v>0</v>
      </c>
      <c r="XQ200">
        <v>0</v>
      </c>
      <c r="XR200">
        <v>0</v>
      </c>
      <c r="XS200">
        <v>0</v>
      </c>
      <c r="XT200">
        <v>0</v>
      </c>
      <c r="XU200" cm="1">
        <f t="array" ref="XU200">IFERROR(MAX((_xlfn.ANCHORARRAY(XP200)-AVERAGE(_xlfn.ANCHORARRAY(XP200)))/ AVERAGE(_xlfn.ANCHORARRAY(XP200))),0)</f>
        <v>0</v>
      </c>
      <c r="XV200" t="str" cm="1">
        <f t="array" ref="XV200">IF(AND(XU200&gt;$XV$1,XN200&lt;&gt;""),_xlfn.XLOOKUP(MAX(_xlfn.ANCHORARRAY(XP200)),_xlfn.ANCHORARRAY(XP200),XP$4:XT$4,""),"")</f>
        <v/>
      </c>
      <c r="XX200" cm="1">
        <f t="array" ref="XX200:YG200">SUMIFS($M200:$GJ200,$M$2:$GJ$2,XX$3:YG$3)</f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 cm="1">
        <f t="array" ref="YH200">IFERROR(MAX((_xlfn.ANCHORARRAY(XX200)-AVERAGE(_xlfn.ANCHORARRAY(XX200)))/ AVERAGE(_xlfn.ANCHORARRAY(XX200))),0)</f>
        <v>0</v>
      </c>
      <c r="YI200" t="str" cm="1">
        <f t="array" ref="YI200">IF(YH200&gt;$YI$1,_xlfn.XLOOKUP(MAX(_xlfn.ANCHORARRAY(XX200)),_xlfn.ANCHORARRAY(XX200),XX$4:YG$4,""),"")</f>
        <v/>
      </c>
      <c r="YK200" t="str">
        <f t="shared" si="72"/>
        <v/>
      </c>
    </row>
    <row r="201" spans="2:661" x14ac:dyDescent="0.3">
      <c r="B201" s="2" t="str">
        <f t="shared" si="61"/>
        <v>CHA</v>
      </c>
      <c r="C201" s="2" t="str">
        <f t="shared" si="62"/>
        <v>CHA</v>
      </c>
      <c r="D201" s="2" t="str">
        <f t="shared" si="63"/>
        <v>CHA</v>
      </c>
      <c r="E201" s="2" t="str">
        <f t="shared" si="64"/>
        <v/>
      </c>
      <c r="F201" s="2" t="str">
        <f t="shared" si="65"/>
        <v/>
      </c>
      <c r="G201" s="2">
        <f t="shared" si="66"/>
        <v>0</v>
      </c>
      <c r="H201" s="2">
        <f t="shared" si="67"/>
        <v>0</v>
      </c>
      <c r="I201" s="2">
        <f t="shared" si="68"/>
        <v>0</v>
      </c>
      <c r="J201" s="2">
        <f t="shared" si="69"/>
        <v>0</v>
      </c>
      <c r="K201" s="2">
        <f t="shared" si="70"/>
        <v>0</v>
      </c>
      <c r="L201" s="2">
        <f t="shared" si="71"/>
        <v>0</v>
      </c>
      <c r="XJ201" cm="1">
        <f t="array" ref="XJ201:XL201">SUMIFS($M201:$GJ201,$M$1:$GJ$1,XJ$3:XL$3)</f>
        <v>0</v>
      </c>
      <c r="XK201">
        <v>0</v>
      </c>
      <c r="XL201">
        <v>0</v>
      </c>
      <c r="XM201" cm="1">
        <f t="array" ref="XM201">IFERROR(MAX((_xlfn.ANCHORARRAY(XJ201)-AVERAGE(_xlfn.ANCHORARRAY(XJ201)))/ AVERAGE(_xlfn.ANCHORARRAY(XJ201))),0)</f>
        <v>0</v>
      </c>
      <c r="XN201" t="str" cm="1">
        <f t="array" ref="XN201">IF(XM201&gt;$XN$1,_xlfn.XLOOKUP(MAX(_xlfn.ANCHORARRAY(XJ201)),_xlfn.ANCHORARRAY(XJ201),XJ$4:XL$4,""),"")</f>
        <v/>
      </c>
      <c r="XP201" cm="1">
        <f t="array" ref="XP201:XT201">SUMIFS($M201:$GJ201,$M$3:$GJ$3,XP$3:XT$3)</f>
        <v>0</v>
      </c>
      <c r="XQ201">
        <v>0</v>
      </c>
      <c r="XR201">
        <v>0</v>
      </c>
      <c r="XS201">
        <v>0</v>
      </c>
      <c r="XT201">
        <v>0</v>
      </c>
      <c r="XU201" cm="1">
        <f t="array" ref="XU201">IFERROR(MAX((_xlfn.ANCHORARRAY(XP201)-AVERAGE(_xlfn.ANCHORARRAY(XP201)))/ AVERAGE(_xlfn.ANCHORARRAY(XP201))),0)</f>
        <v>0</v>
      </c>
      <c r="XV201" t="str" cm="1">
        <f t="array" ref="XV201">IF(AND(XU201&gt;$XV$1,XN201&lt;&gt;""),_xlfn.XLOOKUP(MAX(_xlfn.ANCHORARRAY(XP201)),_xlfn.ANCHORARRAY(XP201),XP$4:XT$4,""),"")</f>
        <v/>
      </c>
      <c r="XX201" cm="1">
        <f t="array" ref="XX201:YG201">SUMIFS($M201:$GJ201,$M$2:$GJ$2,XX$3:YG$3)</f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 cm="1">
        <f t="array" ref="YH201">IFERROR(MAX((_xlfn.ANCHORARRAY(XX201)-AVERAGE(_xlfn.ANCHORARRAY(XX201)))/ AVERAGE(_xlfn.ANCHORARRAY(XX201))),0)</f>
        <v>0</v>
      </c>
      <c r="YI201" t="str" cm="1">
        <f t="array" ref="YI201">IF(YH201&gt;$YI$1,_xlfn.XLOOKUP(MAX(_xlfn.ANCHORARRAY(XX201)),_xlfn.ANCHORARRAY(XX201),XX$4:YG$4,""),"")</f>
        <v/>
      </c>
      <c r="YK201" t="str">
        <f t="shared" si="72"/>
        <v/>
      </c>
    </row>
    <row r="202" spans="2:661" x14ac:dyDescent="0.3">
      <c r="B202" s="2" t="str">
        <f t="shared" si="61"/>
        <v>CHA</v>
      </c>
      <c r="C202" s="2" t="str">
        <f t="shared" si="62"/>
        <v>CHA</v>
      </c>
      <c r="D202" s="2" t="str">
        <f t="shared" si="63"/>
        <v>CHA</v>
      </c>
      <c r="E202" s="2" t="str">
        <f t="shared" si="64"/>
        <v/>
      </c>
      <c r="F202" s="2" t="str">
        <f t="shared" si="65"/>
        <v/>
      </c>
      <c r="G202" s="2">
        <f t="shared" si="66"/>
        <v>0</v>
      </c>
      <c r="H202" s="2">
        <f t="shared" si="67"/>
        <v>0</v>
      </c>
      <c r="I202" s="2">
        <f t="shared" si="68"/>
        <v>0</v>
      </c>
      <c r="J202" s="2">
        <f t="shared" si="69"/>
        <v>0</v>
      </c>
      <c r="K202" s="2">
        <f t="shared" si="70"/>
        <v>0</v>
      </c>
      <c r="L202" s="2">
        <f t="shared" si="71"/>
        <v>0</v>
      </c>
      <c r="XJ202" cm="1">
        <f t="array" ref="XJ202:XL202">SUMIFS($M202:$GJ202,$M$1:$GJ$1,XJ$3:XL$3)</f>
        <v>0</v>
      </c>
      <c r="XK202">
        <v>0</v>
      </c>
      <c r="XL202">
        <v>0</v>
      </c>
      <c r="XM202" cm="1">
        <f t="array" ref="XM202">IFERROR(MAX((_xlfn.ANCHORARRAY(XJ202)-AVERAGE(_xlfn.ANCHORARRAY(XJ202)))/ AVERAGE(_xlfn.ANCHORARRAY(XJ202))),0)</f>
        <v>0</v>
      </c>
      <c r="XN202" t="str" cm="1">
        <f t="array" ref="XN202">IF(XM202&gt;$XN$1,_xlfn.XLOOKUP(MAX(_xlfn.ANCHORARRAY(XJ202)),_xlfn.ANCHORARRAY(XJ202),XJ$4:XL$4,""),"")</f>
        <v/>
      </c>
      <c r="XP202" cm="1">
        <f t="array" ref="XP202:XT202">SUMIFS($M202:$GJ202,$M$3:$GJ$3,XP$3:XT$3)</f>
        <v>0</v>
      </c>
      <c r="XQ202">
        <v>0</v>
      </c>
      <c r="XR202">
        <v>0</v>
      </c>
      <c r="XS202">
        <v>0</v>
      </c>
      <c r="XT202">
        <v>0</v>
      </c>
      <c r="XU202" cm="1">
        <f t="array" ref="XU202">IFERROR(MAX((_xlfn.ANCHORARRAY(XP202)-AVERAGE(_xlfn.ANCHORARRAY(XP202)))/ AVERAGE(_xlfn.ANCHORARRAY(XP202))),0)</f>
        <v>0</v>
      </c>
      <c r="XV202" t="str" cm="1">
        <f t="array" ref="XV202">IF(AND(XU202&gt;$XV$1,XN202&lt;&gt;""),_xlfn.XLOOKUP(MAX(_xlfn.ANCHORARRAY(XP202)),_xlfn.ANCHORARRAY(XP202),XP$4:XT$4,""),"")</f>
        <v/>
      </c>
      <c r="XX202" cm="1">
        <f t="array" ref="XX202:YG202">SUMIFS($M202:$GJ202,$M$2:$GJ$2,XX$3:YG$3)</f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 cm="1">
        <f t="array" ref="YH202">IFERROR(MAX((_xlfn.ANCHORARRAY(XX202)-AVERAGE(_xlfn.ANCHORARRAY(XX202)))/ AVERAGE(_xlfn.ANCHORARRAY(XX202))),0)</f>
        <v>0</v>
      </c>
      <c r="YI202" t="str" cm="1">
        <f t="array" ref="YI202">IF(YH202&gt;$YI$1,_xlfn.XLOOKUP(MAX(_xlfn.ANCHORARRAY(XX202)),_xlfn.ANCHORARRAY(XX202),XX$4:YG$4,""),"")</f>
        <v/>
      </c>
      <c r="YK202" t="str">
        <f t="shared" si="72"/>
        <v/>
      </c>
    </row>
    <row r="203" spans="2:661" x14ac:dyDescent="0.3">
      <c r="B203" s="2" t="str">
        <f t="shared" si="61"/>
        <v>CHA</v>
      </c>
      <c r="C203" s="2" t="str">
        <f t="shared" si="62"/>
        <v>CHA</v>
      </c>
      <c r="D203" s="2" t="str">
        <f t="shared" si="63"/>
        <v>CHA</v>
      </c>
      <c r="E203" s="2" t="str">
        <f t="shared" si="64"/>
        <v/>
      </c>
      <c r="F203" s="2" t="str">
        <f t="shared" si="65"/>
        <v/>
      </c>
      <c r="G203" s="2">
        <f t="shared" si="66"/>
        <v>0</v>
      </c>
      <c r="H203" s="2">
        <f t="shared" si="67"/>
        <v>0</v>
      </c>
      <c r="I203" s="2">
        <f t="shared" si="68"/>
        <v>0</v>
      </c>
      <c r="J203" s="2">
        <f t="shared" si="69"/>
        <v>0</v>
      </c>
      <c r="K203" s="2">
        <f t="shared" si="70"/>
        <v>0</v>
      </c>
      <c r="L203" s="2">
        <f t="shared" si="71"/>
        <v>0</v>
      </c>
      <c r="XJ203" cm="1">
        <f t="array" ref="XJ203:XL203">SUMIFS($M203:$GJ203,$M$1:$GJ$1,XJ$3:XL$3)</f>
        <v>0</v>
      </c>
      <c r="XK203">
        <v>0</v>
      </c>
      <c r="XL203">
        <v>0</v>
      </c>
      <c r="XM203" cm="1">
        <f t="array" ref="XM203">IFERROR(MAX((_xlfn.ANCHORARRAY(XJ203)-AVERAGE(_xlfn.ANCHORARRAY(XJ203)))/ AVERAGE(_xlfn.ANCHORARRAY(XJ203))),0)</f>
        <v>0</v>
      </c>
      <c r="XN203" t="str" cm="1">
        <f t="array" ref="XN203">IF(XM203&gt;$XN$1,_xlfn.XLOOKUP(MAX(_xlfn.ANCHORARRAY(XJ203)),_xlfn.ANCHORARRAY(XJ203),XJ$4:XL$4,""),"")</f>
        <v/>
      </c>
      <c r="XP203" cm="1">
        <f t="array" ref="XP203:XT203">SUMIFS($M203:$GJ203,$M$3:$GJ$3,XP$3:XT$3)</f>
        <v>0</v>
      </c>
      <c r="XQ203">
        <v>0</v>
      </c>
      <c r="XR203">
        <v>0</v>
      </c>
      <c r="XS203">
        <v>0</v>
      </c>
      <c r="XT203">
        <v>0</v>
      </c>
      <c r="XU203" cm="1">
        <f t="array" ref="XU203">IFERROR(MAX((_xlfn.ANCHORARRAY(XP203)-AVERAGE(_xlfn.ANCHORARRAY(XP203)))/ AVERAGE(_xlfn.ANCHORARRAY(XP203))),0)</f>
        <v>0</v>
      </c>
      <c r="XV203" t="str" cm="1">
        <f t="array" ref="XV203">IF(AND(XU203&gt;$XV$1,XN203&lt;&gt;""),_xlfn.XLOOKUP(MAX(_xlfn.ANCHORARRAY(XP203)),_xlfn.ANCHORARRAY(XP203),XP$4:XT$4,""),"")</f>
        <v/>
      </c>
      <c r="XX203" cm="1">
        <f t="array" ref="XX203:YG203">SUMIFS($M203:$GJ203,$M$2:$GJ$2,XX$3:YG$3)</f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 cm="1">
        <f t="array" ref="YH203">IFERROR(MAX((_xlfn.ANCHORARRAY(XX203)-AVERAGE(_xlfn.ANCHORARRAY(XX203)))/ AVERAGE(_xlfn.ANCHORARRAY(XX203))),0)</f>
        <v>0</v>
      </c>
      <c r="YI203" t="str" cm="1">
        <f t="array" ref="YI203">IF(YH203&gt;$YI$1,_xlfn.XLOOKUP(MAX(_xlfn.ANCHORARRAY(XX203)),_xlfn.ANCHORARRAY(XX203),XX$4:YG$4,""),"")</f>
        <v/>
      </c>
      <c r="YK203" t="str">
        <f t="shared" si="72"/>
        <v/>
      </c>
    </row>
    <row r="204" spans="2:661" x14ac:dyDescent="0.3">
      <c r="B204" s="2" t="str">
        <f t="shared" si="61"/>
        <v>CHA</v>
      </c>
      <c r="C204" s="2" t="str">
        <f t="shared" si="62"/>
        <v>CHA</v>
      </c>
      <c r="D204" s="2" t="str">
        <f t="shared" si="63"/>
        <v>CHA</v>
      </c>
      <c r="E204" s="2" t="str">
        <f t="shared" si="64"/>
        <v/>
      </c>
      <c r="F204" s="2" t="str">
        <f t="shared" si="65"/>
        <v/>
      </c>
      <c r="G204" s="2">
        <f t="shared" si="66"/>
        <v>0</v>
      </c>
      <c r="H204" s="2">
        <f t="shared" si="67"/>
        <v>0</v>
      </c>
      <c r="I204" s="2">
        <f t="shared" si="68"/>
        <v>0</v>
      </c>
      <c r="J204" s="2">
        <f t="shared" si="69"/>
        <v>0</v>
      </c>
      <c r="K204" s="2">
        <f t="shared" si="70"/>
        <v>0</v>
      </c>
      <c r="L204" s="2">
        <f t="shared" si="71"/>
        <v>0</v>
      </c>
      <c r="XJ204" cm="1">
        <f t="array" ref="XJ204:XL204">SUMIFS($M204:$GJ204,$M$1:$GJ$1,XJ$3:XL$3)</f>
        <v>0</v>
      </c>
      <c r="XK204">
        <v>0</v>
      </c>
      <c r="XL204">
        <v>0</v>
      </c>
      <c r="XM204" cm="1">
        <f t="array" ref="XM204">IFERROR(MAX((_xlfn.ANCHORARRAY(XJ204)-AVERAGE(_xlfn.ANCHORARRAY(XJ204)))/ AVERAGE(_xlfn.ANCHORARRAY(XJ204))),0)</f>
        <v>0</v>
      </c>
      <c r="XN204" t="str" cm="1">
        <f t="array" ref="XN204">IF(XM204&gt;$XN$1,_xlfn.XLOOKUP(MAX(_xlfn.ANCHORARRAY(XJ204)),_xlfn.ANCHORARRAY(XJ204),XJ$4:XL$4,""),"")</f>
        <v/>
      </c>
      <c r="XP204" cm="1">
        <f t="array" ref="XP204:XT204">SUMIFS($M204:$GJ204,$M$3:$GJ$3,XP$3:XT$3)</f>
        <v>0</v>
      </c>
      <c r="XQ204">
        <v>0</v>
      </c>
      <c r="XR204">
        <v>0</v>
      </c>
      <c r="XS204">
        <v>0</v>
      </c>
      <c r="XT204">
        <v>0</v>
      </c>
      <c r="XU204" cm="1">
        <f t="array" ref="XU204">IFERROR(MAX((_xlfn.ANCHORARRAY(XP204)-AVERAGE(_xlfn.ANCHORARRAY(XP204)))/ AVERAGE(_xlfn.ANCHORARRAY(XP204))),0)</f>
        <v>0</v>
      </c>
      <c r="XV204" t="str" cm="1">
        <f t="array" ref="XV204">IF(AND(XU204&gt;$XV$1,XN204&lt;&gt;""),_xlfn.XLOOKUP(MAX(_xlfn.ANCHORARRAY(XP204)),_xlfn.ANCHORARRAY(XP204),XP$4:XT$4,""),"")</f>
        <v/>
      </c>
      <c r="XX204" cm="1">
        <f t="array" ref="XX204:YG204">SUMIFS($M204:$GJ204,$M$2:$GJ$2,XX$3:YG$3)</f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 cm="1">
        <f t="array" ref="YH204">IFERROR(MAX((_xlfn.ANCHORARRAY(XX204)-AVERAGE(_xlfn.ANCHORARRAY(XX204)))/ AVERAGE(_xlfn.ANCHORARRAY(XX204))),0)</f>
        <v>0</v>
      </c>
      <c r="YI204" t="str" cm="1">
        <f t="array" ref="YI204">IF(YH204&gt;$YI$1,_xlfn.XLOOKUP(MAX(_xlfn.ANCHORARRAY(XX204)),_xlfn.ANCHORARRAY(XX204),XX$4:YG$4,""),"")</f>
        <v/>
      </c>
      <c r="YK204" t="str">
        <f t="shared" si="72"/>
        <v/>
      </c>
    </row>
    <row r="205" spans="2:661" x14ac:dyDescent="0.3">
      <c r="B205" s="2" t="str">
        <f t="shared" si="61"/>
        <v>CHA</v>
      </c>
      <c r="C205" s="2" t="str">
        <f t="shared" si="62"/>
        <v>CHA</v>
      </c>
      <c r="D205" s="2" t="str">
        <f t="shared" si="63"/>
        <v>CHA</v>
      </c>
      <c r="E205" s="2" t="str">
        <f t="shared" si="64"/>
        <v/>
      </c>
      <c r="F205" s="2" t="str">
        <f t="shared" si="65"/>
        <v/>
      </c>
      <c r="G205" s="2">
        <f t="shared" si="66"/>
        <v>0</v>
      </c>
      <c r="H205" s="2">
        <f t="shared" si="67"/>
        <v>0</v>
      </c>
      <c r="I205" s="2">
        <f t="shared" si="68"/>
        <v>0</v>
      </c>
      <c r="J205" s="2">
        <f t="shared" si="69"/>
        <v>0</v>
      </c>
      <c r="K205" s="2">
        <f t="shared" si="70"/>
        <v>0</v>
      </c>
      <c r="L205" s="2">
        <f t="shared" si="71"/>
        <v>0</v>
      </c>
      <c r="XJ205" cm="1">
        <f t="array" ref="XJ205:XL205">SUMIFS($M205:$GJ205,$M$1:$GJ$1,XJ$3:XL$3)</f>
        <v>0</v>
      </c>
      <c r="XK205">
        <v>0</v>
      </c>
      <c r="XL205">
        <v>0</v>
      </c>
      <c r="XM205" cm="1">
        <f t="array" ref="XM205">IFERROR(MAX((_xlfn.ANCHORARRAY(XJ205)-AVERAGE(_xlfn.ANCHORARRAY(XJ205)))/ AVERAGE(_xlfn.ANCHORARRAY(XJ205))),0)</f>
        <v>0</v>
      </c>
      <c r="XN205" t="str" cm="1">
        <f t="array" ref="XN205">IF(XM205&gt;$XN$1,_xlfn.XLOOKUP(MAX(_xlfn.ANCHORARRAY(XJ205)),_xlfn.ANCHORARRAY(XJ205),XJ$4:XL$4,""),"")</f>
        <v/>
      </c>
      <c r="XP205" cm="1">
        <f t="array" ref="XP205:XT205">SUMIFS($M205:$GJ205,$M$3:$GJ$3,XP$3:XT$3)</f>
        <v>0</v>
      </c>
      <c r="XQ205">
        <v>0</v>
      </c>
      <c r="XR205">
        <v>0</v>
      </c>
      <c r="XS205">
        <v>0</v>
      </c>
      <c r="XT205">
        <v>0</v>
      </c>
      <c r="XU205" cm="1">
        <f t="array" ref="XU205">IFERROR(MAX((_xlfn.ANCHORARRAY(XP205)-AVERAGE(_xlfn.ANCHORARRAY(XP205)))/ AVERAGE(_xlfn.ANCHORARRAY(XP205))),0)</f>
        <v>0</v>
      </c>
      <c r="XV205" t="str" cm="1">
        <f t="array" ref="XV205">IF(AND(XU205&gt;$XV$1,XN205&lt;&gt;""),_xlfn.XLOOKUP(MAX(_xlfn.ANCHORARRAY(XP205)),_xlfn.ANCHORARRAY(XP205),XP$4:XT$4,""),"")</f>
        <v/>
      </c>
      <c r="XX205" cm="1">
        <f t="array" ref="XX205:YG205">SUMIFS($M205:$GJ205,$M$2:$GJ$2,XX$3:YG$3)</f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 cm="1">
        <f t="array" ref="YH205">IFERROR(MAX((_xlfn.ANCHORARRAY(XX205)-AVERAGE(_xlfn.ANCHORARRAY(XX205)))/ AVERAGE(_xlfn.ANCHORARRAY(XX205))),0)</f>
        <v>0</v>
      </c>
      <c r="YI205" t="str" cm="1">
        <f t="array" ref="YI205">IF(YH205&gt;$YI$1,_xlfn.XLOOKUP(MAX(_xlfn.ANCHORARRAY(XX205)),_xlfn.ANCHORARRAY(XX205),XX$4:YG$4,""),"")</f>
        <v/>
      </c>
      <c r="YK205" t="str">
        <f t="shared" si="72"/>
        <v/>
      </c>
    </row>
    <row r="206" spans="2:661" x14ac:dyDescent="0.3">
      <c r="B206" s="2" t="str">
        <f t="shared" si="61"/>
        <v>CHA</v>
      </c>
      <c r="C206" s="2" t="str">
        <f t="shared" si="62"/>
        <v>CHA</v>
      </c>
      <c r="D206" s="2" t="str">
        <f t="shared" si="63"/>
        <v>CHA</v>
      </c>
      <c r="E206" s="2" t="str">
        <f t="shared" si="64"/>
        <v/>
      </c>
      <c r="F206" s="2" t="str">
        <f t="shared" si="65"/>
        <v/>
      </c>
      <c r="G206" s="2">
        <f t="shared" si="66"/>
        <v>0</v>
      </c>
      <c r="H206" s="2">
        <f t="shared" si="67"/>
        <v>0</v>
      </c>
      <c r="I206" s="2">
        <f t="shared" si="68"/>
        <v>0</v>
      </c>
      <c r="J206" s="2">
        <f t="shared" si="69"/>
        <v>0</v>
      </c>
      <c r="K206" s="2">
        <f t="shared" si="70"/>
        <v>0</v>
      </c>
      <c r="L206" s="2">
        <f t="shared" si="71"/>
        <v>0</v>
      </c>
      <c r="XJ206" cm="1">
        <f t="array" ref="XJ206:XL206">SUMIFS($M206:$GJ206,$M$1:$GJ$1,XJ$3:XL$3)</f>
        <v>0</v>
      </c>
      <c r="XK206">
        <v>0</v>
      </c>
      <c r="XL206">
        <v>0</v>
      </c>
      <c r="XM206" cm="1">
        <f t="array" ref="XM206">IFERROR(MAX((_xlfn.ANCHORARRAY(XJ206)-AVERAGE(_xlfn.ANCHORARRAY(XJ206)))/ AVERAGE(_xlfn.ANCHORARRAY(XJ206))),0)</f>
        <v>0</v>
      </c>
      <c r="XN206" t="str" cm="1">
        <f t="array" ref="XN206">IF(XM206&gt;$XN$1,_xlfn.XLOOKUP(MAX(_xlfn.ANCHORARRAY(XJ206)),_xlfn.ANCHORARRAY(XJ206),XJ$4:XL$4,""),"")</f>
        <v/>
      </c>
      <c r="XP206" cm="1">
        <f t="array" ref="XP206:XT206">SUMIFS($M206:$GJ206,$M$3:$GJ$3,XP$3:XT$3)</f>
        <v>0</v>
      </c>
      <c r="XQ206">
        <v>0</v>
      </c>
      <c r="XR206">
        <v>0</v>
      </c>
      <c r="XS206">
        <v>0</v>
      </c>
      <c r="XT206">
        <v>0</v>
      </c>
      <c r="XU206" cm="1">
        <f t="array" ref="XU206">IFERROR(MAX((_xlfn.ANCHORARRAY(XP206)-AVERAGE(_xlfn.ANCHORARRAY(XP206)))/ AVERAGE(_xlfn.ANCHORARRAY(XP206))),0)</f>
        <v>0</v>
      </c>
      <c r="XV206" t="str" cm="1">
        <f t="array" ref="XV206">IF(AND(XU206&gt;$XV$1,XN206&lt;&gt;""),_xlfn.XLOOKUP(MAX(_xlfn.ANCHORARRAY(XP206)),_xlfn.ANCHORARRAY(XP206),XP$4:XT$4,""),"")</f>
        <v/>
      </c>
      <c r="XX206" cm="1">
        <f t="array" ref="XX206:YG206">SUMIFS($M206:$GJ206,$M$2:$GJ$2,XX$3:YG$3)</f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 cm="1">
        <f t="array" ref="YH206">IFERROR(MAX((_xlfn.ANCHORARRAY(XX206)-AVERAGE(_xlfn.ANCHORARRAY(XX206)))/ AVERAGE(_xlfn.ANCHORARRAY(XX206))),0)</f>
        <v>0</v>
      </c>
      <c r="YI206" t="str" cm="1">
        <f t="array" ref="YI206">IF(YH206&gt;$YI$1,_xlfn.XLOOKUP(MAX(_xlfn.ANCHORARRAY(XX206)),_xlfn.ANCHORARRAY(XX206),XX$4:YG$4,""),"")</f>
        <v/>
      </c>
      <c r="YK206" t="str">
        <f t="shared" si="72"/>
        <v/>
      </c>
    </row>
    <row r="207" spans="2:661" x14ac:dyDescent="0.3">
      <c r="B207" s="2" t="str">
        <f t="shared" ref="B207" si="73">IF(C207="NotFound",D207,C207)</f>
        <v>CHA</v>
      </c>
      <c r="C207" s="2" t="str">
        <f t="shared" ref="C207" si="74">IF(K207&gt;1,"NotFound","CHA"&amp;_xlfn.XLOOKUP(MAX(M207:GJ207,1),M207:GJ207,$M$4:$GJ$4,""))</f>
        <v>CHA</v>
      </c>
      <c r="D207" s="2" t="str">
        <f t="shared" ref="D207" si="75">IF(G207&gt;1,"NotFound","CHA"&amp;_xlfn.XLOOKUP(MAX(GL207:NI207,1),GL207:NI207,$GL$4:$NI$4,""))</f>
        <v>CHA</v>
      </c>
      <c r="E207" s="2" t="str">
        <f t="shared" ref="E207" si="76">YK207</f>
        <v/>
      </c>
      <c r="F207" s="2" t="str">
        <f t="shared" ref="F207" si="77">IF(I207&gt;1,"NotFound",_xlfn.XLOOKUP(MAX(NK207:XG207,1),NK207:XG207,$NK$4:$XG$4,""))</f>
        <v/>
      </c>
      <c r="G207" s="2">
        <f t="shared" ref="G207" si="78">COUNTIF(GL207:NI207,H207)</f>
        <v>0</v>
      </c>
      <c r="H207" s="2">
        <f t="shared" ref="H207" si="79">MAX(GL207:NI207)</f>
        <v>0</v>
      </c>
      <c r="I207" s="2">
        <f t="shared" ref="I207" si="80">COUNTIF(NK207:XG207,J207)</f>
        <v>0</v>
      </c>
      <c r="J207" s="2">
        <f t="shared" ref="J207" si="81">MAX(NK207:XG207)</f>
        <v>0</v>
      </c>
      <c r="K207" s="2">
        <f t="shared" ref="K207" si="82">COUNTIF(M207:GJ207,L207)</f>
        <v>0</v>
      </c>
      <c r="L207" s="2">
        <f t="shared" ref="L207" si="83">MAX(M207:GJ207)</f>
        <v>0</v>
      </c>
      <c r="XJ207" cm="1">
        <f t="array" ref="XJ207:XL207">SUMIFS($M207:$GJ207,$M$1:$GJ$1,XJ$3:XL$3)</f>
        <v>0</v>
      </c>
      <c r="XK207">
        <v>0</v>
      </c>
      <c r="XL207">
        <v>0</v>
      </c>
      <c r="XM207" cm="1">
        <f t="array" ref="XM207">IFERROR(MAX((_xlfn.ANCHORARRAY(XJ207)-AVERAGE(_xlfn.ANCHORARRAY(XJ207)))/ AVERAGE(_xlfn.ANCHORARRAY(XJ207))),0)</f>
        <v>0</v>
      </c>
      <c r="XN207" t="str" cm="1">
        <f t="array" ref="XN207">IF(XM207&gt;$XN$1,_xlfn.XLOOKUP(MAX(_xlfn.ANCHORARRAY(XJ207)),_xlfn.ANCHORARRAY(XJ207),XJ$4:XL$4,""),"")</f>
        <v/>
      </c>
      <c r="XP207" cm="1">
        <f t="array" ref="XP207:XT207">SUMIFS($M207:$GJ207,$M$3:$GJ$3,XP$3:XT$3)</f>
        <v>0</v>
      </c>
      <c r="XQ207">
        <v>0</v>
      </c>
      <c r="XR207">
        <v>0</v>
      </c>
      <c r="XS207">
        <v>0</v>
      </c>
      <c r="XT207">
        <v>0</v>
      </c>
      <c r="XU207" cm="1">
        <f t="array" ref="XU207">IFERROR(MAX((_xlfn.ANCHORARRAY(XP207)-AVERAGE(_xlfn.ANCHORARRAY(XP207)))/ AVERAGE(_xlfn.ANCHORARRAY(XP207))),0)</f>
        <v>0</v>
      </c>
      <c r="XV207" t="str" cm="1">
        <f t="array" ref="XV207">IF(AND(XU207&gt;$XV$1,XN207&lt;&gt;""),_xlfn.XLOOKUP(MAX(_xlfn.ANCHORARRAY(XP207)),_xlfn.ANCHORARRAY(XP207),XP$4:XT$4,""),"")</f>
        <v/>
      </c>
      <c r="XX207" cm="1">
        <f t="array" ref="XX207:YG207">SUMIFS($M207:$GJ207,$M$2:$GJ$2,XX$3:YG$3)</f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 cm="1">
        <f t="array" ref="YH207">IFERROR(MAX((_xlfn.ANCHORARRAY(XX207)-AVERAGE(_xlfn.ANCHORARRAY(XX207)))/ AVERAGE(_xlfn.ANCHORARRAY(XX207))),0)</f>
        <v>0</v>
      </c>
      <c r="YI207" t="str" cm="1">
        <f t="array" ref="YI207">IF(YH207&gt;$YI$1,_xlfn.XLOOKUP(MAX(_xlfn.ANCHORARRAY(XX207)),_xlfn.ANCHORARRAY(XX207),XX$4:YG$4,""),"")</f>
        <v/>
      </c>
      <c r="YK207" t="str">
        <f t="shared" ref="YK207" si="84">_xlfn.TEXTJOIN(" : ",,XN207,XV207,YI207)</f>
        <v/>
      </c>
    </row>
    <row r="208" spans="2:661" x14ac:dyDescent="0.3">
      <c r="B208" s="2" t="str">
        <f t="shared" ref="B208:B214" si="85">IF(C208="NotFound",D208,C208)</f>
        <v>CHA</v>
      </c>
      <c r="C208" s="2" t="str">
        <f t="shared" ref="C208:C214" si="86">IF(K208&gt;1,"NotFound","CHA"&amp;_xlfn.XLOOKUP(MAX(M208:GJ208,1),M208:GJ208,$M$4:$GJ$4,""))</f>
        <v>CHA</v>
      </c>
      <c r="D208" s="2" t="str">
        <f t="shared" ref="D208:D214" si="87">IF(G208&gt;1,"NotFound","CHA"&amp;_xlfn.XLOOKUP(MAX(GL208:NI208,1),GL208:NI208,$GL$4:$NI$4,""))</f>
        <v>CHA</v>
      </c>
      <c r="E208" s="2" t="str">
        <f t="shared" ref="E208:E214" si="88">YK208</f>
        <v/>
      </c>
      <c r="F208" s="2" t="str">
        <f t="shared" ref="F208:F214" si="89">IF(I208&gt;1,"NotFound",_xlfn.XLOOKUP(MAX(NK208:XG208,1),NK208:XG208,$NK$4:$XG$4,""))</f>
        <v/>
      </c>
      <c r="G208" s="2">
        <f t="shared" ref="G208:G214" si="90">COUNTIF(GL208:NI208,H208)</f>
        <v>0</v>
      </c>
      <c r="H208" s="2">
        <f t="shared" ref="H208:H214" si="91">MAX(GL208:NI208)</f>
        <v>0</v>
      </c>
      <c r="I208" s="2">
        <f t="shared" ref="I208:I214" si="92">COUNTIF(NK208:XG208,J208)</f>
        <v>0</v>
      </c>
      <c r="J208" s="2">
        <f t="shared" ref="J208:J214" si="93">MAX(NK208:XG208)</f>
        <v>0</v>
      </c>
      <c r="K208" s="2">
        <f t="shared" ref="K208:K214" si="94">COUNTIF(M208:GJ208,L208)</f>
        <v>0</v>
      </c>
      <c r="L208" s="2">
        <f t="shared" ref="L208:L214" si="95">MAX(M208:GJ208)</f>
        <v>0</v>
      </c>
      <c r="XJ208" cm="1">
        <f t="array" ref="XJ208:XL208">SUMIFS($M208:$GJ208,$M$1:$GJ$1,XJ$3:XL$3)</f>
        <v>0</v>
      </c>
      <c r="XK208">
        <v>0</v>
      </c>
      <c r="XL208">
        <v>0</v>
      </c>
      <c r="XM208" cm="1">
        <f t="array" ref="XM208">IFERROR(MAX((_xlfn.ANCHORARRAY(XJ208)-AVERAGE(_xlfn.ANCHORARRAY(XJ208)))/ AVERAGE(_xlfn.ANCHORARRAY(XJ208))),0)</f>
        <v>0</v>
      </c>
      <c r="XN208" t="str" cm="1">
        <f t="array" ref="XN208">IF(XM208&gt;$XN$1,_xlfn.XLOOKUP(MAX(_xlfn.ANCHORARRAY(XJ208)),_xlfn.ANCHORARRAY(XJ208),XJ$4:XL$4,""),"")</f>
        <v/>
      </c>
      <c r="XP208" cm="1">
        <f t="array" ref="XP208:XT208">SUMIFS($M208:$GJ208,$M$3:$GJ$3,XP$3:XT$3)</f>
        <v>0</v>
      </c>
      <c r="XQ208">
        <v>0</v>
      </c>
      <c r="XR208">
        <v>0</v>
      </c>
      <c r="XS208">
        <v>0</v>
      </c>
      <c r="XT208">
        <v>0</v>
      </c>
      <c r="XU208" cm="1">
        <f t="array" ref="XU208">IFERROR(MAX((_xlfn.ANCHORARRAY(XP208)-AVERAGE(_xlfn.ANCHORARRAY(XP208)))/ AVERAGE(_xlfn.ANCHORARRAY(XP208))),0)</f>
        <v>0</v>
      </c>
      <c r="XV208" t="str" cm="1">
        <f t="array" ref="XV208">IF(AND(XU208&gt;$XV$1,XN208&lt;&gt;""),_xlfn.XLOOKUP(MAX(_xlfn.ANCHORARRAY(XP208)),_xlfn.ANCHORARRAY(XP208),XP$4:XT$4,""),"")</f>
        <v/>
      </c>
      <c r="XX208" cm="1">
        <f t="array" ref="XX208:YG208">SUMIFS($M208:$GJ208,$M$2:$GJ$2,XX$3:YG$3)</f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 cm="1">
        <f t="array" ref="YH208">IFERROR(MAX((_xlfn.ANCHORARRAY(XX208)-AVERAGE(_xlfn.ANCHORARRAY(XX208)))/ AVERAGE(_xlfn.ANCHORARRAY(XX208))),0)</f>
        <v>0</v>
      </c>
      <c r="YI208" t="str" cm="1">
        <f t="array" ref="YI208">IF(YH208&gt;$YI$1,_xlfn.XLOOKUP(MAX(_xlfn.ANCHORARRAY(XX208)),_xlfn.ANCHORARRAY(XX208),XX$4:YG$4,""),"")</f>
        <v/>
      </c>
      <c r="YK208" t="str">
        <f t="shared" ref="YK208:YK214" si="96">_xlfn.TEXTJOIN(" : ",,XN208,XV208,YI208)</f>
        <v/>
      </c>
    </row>
    <row r="209" spans="2:661" x14ac:dyDescent="0.3">
      <c r="B209" s="2" t="str">
        <f t="shared" si="85"/>
        <v>CHA</v>
      </c>
      <c r="C209" s="2" t="str">
        <f t="shared" si="86"/>
        <v>CHA</v>
      </c>
      <c r="D209" s="2" t="str">
        <f t="shared" si="87"/>
        <v>CHA</v>
      </c>
      <c r="E209" s="2" t="str">
        <f t="shared" si="88"/>
        <v/>
      </c>
      <c r="F209" s="2" t="str">
        <f t="shared" si="89"/>
        <v/>
      </c>
      <c r="G209" s="2">
        <f t="shared" si="90"/>
        <v>0</v>
      </c>
      <c r="H209" s="2">
        <f t="shared" si="91"/>
        <v>0</v>
      </c>
      <c r="I209" s="2">
        <f t="shared" si="92"/>
        <v>0</v>
      </c>
      <c r="J209" s="2">
        <f t="shared" si="93"/>
        <v>0</v>
      </c>
      <c r="K209" s="2">
        <f t="shared" si="94"/>
        <v>0</v>
      </c>
      <c r="L209" s="2">
        <f t="shared" si="95"/>
        <v>0</v>
      </c>
      <c r="XJ209" cm="1">
        <f t="array" ref="XJ209:XL209">SUMIFS($M209:$GJ209,$M$1:$GJ$1,XJ$3:XL$3)</f>
        <v>0</v>
      </c>
      <c r="XK209">
        <v>0</v>
      </c>
      <c r="XL209">
        <v>0</v>
      </c>
      <c r="XM209" cm="1">
        <f t="array" ref="XM209">IFERROR(MAX((_xlfn.ANCHORARRAY(XJ209)-AVERAGE(_xlfn.ANCHORARRAY(XJ209)))/ AVERAGE(_xlfn.ANCHORARRAY(XJ209))),0)</f>
        <v>0</v>
      </c>
      <c r="XN209" t="str" cm="1">
        <f t="array" ref="XN209">IF(XM209&gt;$XN$1,_xlfn.XLOOKUP(MAX(_xlfn.ANCHORARRAY(XJ209)),_xlfn.ANCHORARRAY(XJ209),XJ$4:XL$4,""),"")</f>
        <v/>
      </c>
      <c r="XP209" cm="1">
        <f t="array" ref="XP209:XT209">SUMIFS($M209:$GJ209,$M$3:$GJ$3,XP$3:XT$3)</f>
        <v>0</v>
      </c>
      <c r="XQ209">
        <v>0</v>
      </c>
      <c r="XR209">
        <v>0</v>
      </c>
      <c r="XS209">
        <v>0</v>
      </c>
      <c r="XT209">
        <v>0</v>
      </c>
      <c r="XU209" cm="1">
        <f t="array" ref="XU209">IFERROR(MAX((_xlfn.ANCHORARRAY(XP209)-AVERAGE(_xlfn.ANCHORARRAY(XP209)))/ AVERAGE(_xlfn.ANCHORARRAY(XP209))),0)</f>
        <v>0</v>
      </c>
      <c r="XV209" t="str" cm="1">
        <f t="array" ref="XV209">IF(AND(XU209&gt;$XV$1,XN209&lt;&gt;""),_xlfn.XLOOKUP(MAX(_xlfn.ANCHORARRAY(XP209)),_xlfn.ANCHORARRAY(XP209),XP$4:XT$4,""),"")</f>
        <v/>
      </c>
      <c r="XX209" cm="1">
        <f t="array" ref="XX209:YG209">SUMIFS($M209:$GJ209,$M$2:$GJ$2,XX$3:YG$3)</f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 cm="1">
        <f t="array" ref="YH209">IFERROR(MAX((_xlfn.ANCHORARRAY(XX209)-AVERAGE(_xlfn.ANCHORARRAY(XX209)))/ AVERAGE(_xlfn.ANCHORARRAY(XX209))),0)</f>
        <v>0</v>
      </c>
      <c r="YI209" t="str" cm="1">
        <f t="array" ref="YI209">IF(YH209&gt;$YI$1,_xlfn.XLOOKUP(MAX(_xlfn.ANCHORARRAY(XX209)),_xlfn.ANCHORARRAY(XX209),XX$4:YG$4,""),"")</f>
        <v/>
      </c>
      <c r="YK209" t="str">
        <f t="shared" si="96"/>
        <v/>
      </c>
    </row>
    <row r="210" spans="2:661" x14ac:dyDescent="0.3">
      <c r="B210" s="2" t="str">
        <f t="shared" si="85"/>
        <v>CHA</v>
      </c>
      <c r="C210" s="2" t="str">
        <f t="shared" si="86"/>
        <v>CHA</v>
      </c>
      <c r="D210" s="2" t="str">
        <f t="shared" si="87"/>
        <v>CHA</v>
      </c>
      <c r="E210" s="2" t="str">
        <f t="shared" si="88"/>
        <v/>
      </c>
      <c r="F210" s="2" t="str">
        <f t="shared" si="89"/>
        <v/>
      </c>
      <c r="G210" s="2">
        <f t="shared" si="90"/>
        <v>0</v>
      </c>
      <c r="H210" s="2">
        <f t="shared" si="91"/>
        <v>0</v>
      </c>
      <c r="I210" s="2">
        <f t="shared" si="92"/>
        <v>0</v>
      </c>
      <c r="J210" s="2">
        <f t="shared" si="93"/>
        <v>0</v>
      </c>
      <c r="K210" s="2">
        <f t="shared" si="94"/>
        <v>0</v>
      </c>
      <c r="L210" s="2">
        <f t="shared" si="95"/>
        <v>0</v>
      </c>
      <c r="XJ210" cm="1">
        <f t="array" ref="XJ210:XL210">SUMIFS($M210:$GJ210,$M$1:$GJ$1,XJ$3:XL$3)</f>
        <v>0</v>
      </c>
      <c r="XK210">
        <v>0</v>
      </c>
      <c r="XL210">
        <v>0</v>
      </c>
      <c r="XM210" cm="1">
        <f t="array" ref="XM210">IFERROR(MAX((_xlfn.ANCHORARRAY(XJ210)-AVERAGE(_xlfn.ANCHORARRAY(XJ210)))/ AVERAGE(_xlfn.ANCHORARRAY(XJ210))),0)</f>
        <v>0</v>
      </c>
      <c r="XN210" t="str" cm="1">
        <f t="array" ref="XN210">IF(XM210&gt;$XN$1,_xlfn.XLOOKUP(MAX(_xlfn.ANCHORARRAY(XJ210)),_xlfn.ANCHORARRAY(XJ210),XJ$4:XL$4,""),"")</f>
        <v/>
      </c>
      <c r="XP210" cm="1">
        <f t="array" ref="XP210:XT210">SUMIFS($M210:$GJ210,$M$3:$GJ$3,XP$3:XT$3)</f>
        <v>0</v>
      </c>
      <c r="XQ210">
        <v>0</v>
      </c>
      <c r="XR210">
        <v>0</v>
      </c>
      <c r="XS210">
        <v>0</v>
      </c>
      <c r="XT210">
        <v>0</v>
      </c>
      <c r="XU210" cm="1">
        <f t="array" ref="XU210">IFERROR(MAX((_xlfn.ANCHORARRAY(XP210)-AVERAGE(_xlfn.ANCHORARRAY(XP210)))/ AVERAGE(_xlfn.ANCHORARRAY(XP210))),0)</f>
        <v>0</v>
      </c>
      <c r="XV210" t="str" cm="1">
        <f t="array" ref="XV210">IF(AND(XU210&gt;$XV$1,XN210&lt;&gt;""),_xlfn.XLOOKUP(MAX(_xlfn.ANCHORARRAY(XP210)),_xlfn.ANCHORARRAY(XP210),XP$4:XT$4,""),"")</f>
        <v/>
      </c>
      <c r="XX210" cm="1">
        <f t="array" ref="XX210:YG210">SUMIFS($M210:$GJ210,$M$2:$GJ$2,XX$3:YG$3)</f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 cm="1">
        <f t="array" ref="YH210">IFERROR(MAX((_xlfn.ANCHORARRAY(XX210)-AVERAGE(_xlfn.ANCHORARRAY(XX210)))/ AVERAGE(_xlfn.ANCHORARRAY(XX210))),0)</f>
        <v>0</v>
      </c>
      <c r="YI210" t="str" cm="1">
        <f t="array" ref="YI210">IF(YH210&gt;$YI$1,_xlfn.XLOOKUP(MAX(_xlfn.ANCHORARRAY(XX210)),_xlfn.ANCHORARRAY(XX210),XX$4:YG$4,""),"")</f>
        <v/>
      </c>
      <c r="YK210" t="str">
        <f t="shared" si="96"/>
        <v/>
      </c>
    </row>
    <row r="211" spans="2:661" x14ac:dyDescent="0.3">
      <c r="B211" s="2" t="str">
        <f t="shared" si="85"/>
        <v>CHA</v>
      </c>
      <c r="C211" s="2" t="str">
        <f t="shared" si="86"/>
        <v>CHA</v>
      </c>
      <c r="D211" s="2" t="str">
        <f t="shared" si="87"/>
        <v>CHA</v>
      </c>
      <c r="E211" s="2" t="str">
        <f t="shared" si="88"/>
        <v/>
      </c>
      <c r="F211" s="2" t="str">
        <f t="shared" si="89"/>
        <v/>
      </c>
      <c r="G211" s="2">
        <f t="shared" si="90"/>
        <v>0</v>
      </c>
      <c r="H211" s="2">
        <f t="shared" si="91"/>
        <v>0</v>
      </c>
      <c r="I211" s="2">
        <f t="shared" si="92"/>
        <v>0</v>
      </c>
      <c r="J211" s="2">
        <f t="shared" si="93"/>
        <v>0</v>
      </c>
      <c r="K211" s="2">
        <f t="shared" si="94"/>
        <v>0</v>
      </c>
      <c r="L211" s="2">
        <f t="shared" si="95"/>
        <v>0</v>
      </c>
      <c r="XJ211" cm="1">
        <f t="array" ref="XJ211:XL211">SUMIFS($M211:$GJ211,$M$1:$GJ$1,XJ$3:XL$3)</f>
        <v>0</v>
      </c>
      <c r="XK211">
        <v>0</v>
      </c>
      <c r="XL211">
        <v>0</v>
      </c>
      <c r="XM211" cm="1">
        <f t="array" ref="XM211">IFERROR(MAX((_xlfn.ANCHORARRAY(XJ211)-AVERAGE(_xlfn.ANCHORARRAY(XJ211)))/ AVERAGE(_xlfn.ANCHORARRAY(XJ211))),0)</f>
        <v>0</v>
      </c>
      <c r="XN211" t="str" cm="1">
        <f t="array" ref="XN211">IF(XM211&gt;$XN$1,_xlfn.XLOOKUP(MAX(_xlfn.ANCHORARRAY(XJ211)),_xlfn.ANCHORARRAY(XJ211),XJ$4:XL$4,""),"")</f>
        <v/>
      </c>
      <c r="XP211" cm="1">
        <f t="array" ref="XP211:XT211">SUMIFS($M211:$GJ211,$M$3:$GJ$3,XP$3:XT$3)</f>
        <v>0</v>
      </c>
      <c r="XQ211">
        <v>0</v>
      </c>
      <c r="XR211">
        <v>0</v>
      </c>
      <c r="XS211">
        <v>0</v>
      </c>
      <c r="XT211">
        <v>0</v>
      </c>
      <c r="XU211" cm="1">
        <f t="array" ref="XU211">IFERROR(MAX((_xlfn.ANCHORARRAY(XP211)-AVERAGE(_xlfn.ANCHORARRAY(XP211)))/ AVERAGE(_xlfn.ANCHORARRAY(XP211))),0)</f>
        <v>0</v>
      </c>
      <c r="XV211" t="str" cm="1">
        <f t="array" ref="XV211">IF(AND(XU211&gt;$XV$1,XN211&lt;&gt;""),_xlfn.XLOOKUP(MAX(_xlfn.ANCHORARRAY(XP211)),_xlfn.ANCHORARRAY(XP211),XP$4:XT$4,""),"")</f>
        <v/>
      </c>
      <c r="XX211" cm="1">
        <f t="array" ref="XX211:YG211">SUMIFS($M211:$GJ211,$M$2:$GJ$2,XX$3:YG$3)</f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 cm="1">
        <f t="array" ref="YH211">IFERROR(MAX((_xlfn.ANCHORARRAY(XX211)-AVERAGE(_xlfn.ANCHORARRAY(XX211)))/ AVERAGE(_xlfn.ANCHORARRAY(XX211))),0)</f>
        <v>0</v>
      </c>
      <c r="YI211" t="str" cm="1">
        <f t="array" ref="YI211">IF(YH211&gt;$YI$1,_xlfn.XLOOKUP(MAX(_xlfn.ANCHORARRAY(XX211)),_xlfn.ANCHORARRAY(XX211),XX$4:YG$4,""),"")</f>
        <v/>
      </c>
      <c r="YK211" t="str">
        <f t="shared" si="96"/>
        <v/>
      </c>
    </row>
    <row r="212" spans="2:661" x14ac:dyDescent="0.3">
      <c r="B212" s="2" t="str">
        <f t="shared" si="85"/>
        <v>CHA</v>
      </c>
      <c r="C212" s="2" t="str">
        <f t="shared" si="86"/>
        <v>CHA</v>
      </c>
      <c r="D212" s="2" t="str">
        <f t="shared" si="87"/>
        <v>CHA</v>
      </c>
      <c r="E212" s="2" t="str">
        <f t="shared" si="88"/>
        <v/>
      </c>
      <c r="F212" s="2" t="str">
        <f t="shared" si="89"/>
        <v/>
      </c>
      <c r="G212" s="2">
        <f t="shared" si="90"/>
        <v>0</v>
      </c>
      <c r="H212" s="2">
        <f t="shared" si="91"/>
        <v>0</v>
      </c>
      <c r="I212" s="2">
        <f t="shared" si="92"/>
        <v>0</v>
      </c>
      <c r="J212" s="2">
        <f t="shared" si="93"/>
        <v>0</v>
      </c>
      <c r="K212" s="2">
        <f t="shared" si="94"/>
        <v>0</v>
      </c>
      <c r="L212" s="2">
        <f t="shared" si="95"/>
        <v>0</v>
      </c>
      <c r="XJ212" cm="1">
        <f t="array" ref="XJ212:XL212">SUMIFS($M212:$GJ212,$M$1:$GJ$1,XJ$3:XL$3)</f>
        <v>0</v>
      </c>
      <c r="XK212">
        <v>0</v>
      </c>
      <c r="XL212">
        <v>0</v>
      </c>
      <c r="XM212" cm="1">
        <f t="array" ref="XM212">IFERROR(MAX((_xlfn.ANCHORARRAY(XJ212)-AVERAGE(_xlfn.ANCHORARRAY(XJ212)))/ AVERAGE(_xlfn.ANCHORARRAY(XJ212))),0)</f>
        <v>0</v>
      </c>
      <c r="XN212" t="str" cm="1">
        <f t="array" ref="XN212">IF(XM212&gt;$XN$1,_xlfn.XLOOKUP(MAX(_xlfn.ANCHORARRAY(XJ212)),_xlfn.ANCHORARRAY(XJ212),XJ$4:XL$4,""),"")</f>
        <v/>
      </c>
      <c r="XP212" cm="1">
        <f t="array" ref="XP212:XT212">SUMIFS($M212:$GJ212,$M$3:$GJ$3,XP$3:XT$3)</f>
        <v>0</v>
      </c>
      <c r="XQ212">
        <v>0</v>
      </c>
      <c r="XR212">
        <v>0</v>
      </c>
      <c r="XS212">
        <v>0</v>
      </c>
      <c r="XT212">
        <v>0</v>
      </c>
      <c r="XU212" cm="1">
        <f t="array" ref="XU212">IFERROR(MAX((_xlfn.ANCHORARRAY(XP212)-AVERAGE(_xlfn.ANCHORARRAY(XP212)))/ AVERAGE(_xlfn.ANCHORARRAY(XP212))),0)</f>
        <v>0</v>
      </c>
      <c r="XV212" t="str" cm="1">
        <f t="array" ref="XV212">IF(AND(XU212&gt;$XV$1,XN212&lt;&gt;""),_xlfn.XLOOKUP(MAX(_xlfn.ANCHORARRAY(XP212)),_xlfn.ANCHORARRAY(XP212),XP$4:XT$4,""),"")</f>
        <v/>
      </c>
      <c r="XX212" cm="1">
        <f t="array" ref="XX212:YG212">SUMIFS($M212:$GJ212,$M$2:$GJ$2,XX$3:YG$3)</f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 cm="1">
        <f t="array" ref="YH212">IFERROR(MAX((_xlfn.ANCHORARRAY(XX212)-AVERAGE(_xlfn.ANCHORARRAY(XX212)))/ AVERAGE(_xlfn.ANCHORARRAY(XX212))),0)</f>
        <v>0</v>
      </c>
      <c r="YI212" t="str" cm="1">
        <f t="array" ref="YI212">IF(YH212&gt;$YI$1,_xlfn.XLOOKUP(MAX(_xlfn.ANCHORARRAY(XX212)),_xlfn.ANCHORARRAY(XX212),XX$4:YG$4,""),"")</f>
        <v/>
      </c>
      <c r="YK212" t="str">
        <f t="shared" si="96"/>
        <v/>
      </c>
    </row>
    <row r="213" spans="2:661" x14ac:dyDescent="0.3">
      <c r="B213" s="2" t="str">
        <f t="shared" si="85"/>
        <v>CHA</v>
      </c>
      <c r="C213" s="2" t="str">
        <f t="shared" si="86"/>
        <v>CHA</v>
      </c>
      <c r="D213" s="2" t="str">
        <f t="shared" si="87"/>
        <v>CHA</v>
      </c>
      <c r="E213" s="2" t="str">
        <f t="shared" si="88"/>
        <v/>
      </c>
      <c r="F213" s="2" t="str">
        <f t="shared" si="89"/>
        <v/>
      </c>
      <c r="G213" s="2">
        <f t="shared" si="90"/>
        <v>0</v>
      </c>
      <c r="H213" s="2">
        <f t="shared" si="91"/>
        <v>0</v>
      </c>
      <c r="I213" s="2">
        <f t="shared" si="92"/>
        <v>0</v>
      </c>
      <c r="J213" s="2">
        <f t="shared" si="93"/>
        <v>0</v>
      </c>
      <c r="K213" s="2">
        <f t="shared" si="94"/>
        <v>0</v>
      </c>
      <c r="L213" s="2">
        <f t="shared" si="95"/>
        <v>0</v>
      </c>
      <c r="XJ213" cm="1">
        <f t="array" ref="XJ213:XL213">SUMIFS($M213:$GJ213,$M$1:$GJ$1,XJ$3:XL$3)</f>
        <v>0</v>
      </c>
      <c r="XK213">
        <v>0</v>
      </c>
      <c r="XL213">
        <v>0</v>
      </c>
      <c r="XM213" cm="1">
        <f t="array" ref="XM213">IFERROR(MAX((_xlfn.ANCHORARRAY(XJ213)-AVERAGE(_xlfn.ANCHORARRAY(XJ213)))/ AVERAGE(_xlfn.ANCHORARRAY(XJ213))),0)</f>
        <v>0</v>
      </c>
      <c r="XN213" t="str" cm="1">
        <f t="array" ref="XN213">IF(XM213&gt;$XN$1,_xlfn.XLOOKUP(MAX(_xlfn.ANCHORARRAY(XJ213)),_xlfn.ANCHORARRAY(XJ213),XJ$4:XL$4,""),"")</f>
        <v/>
      </c>
      <c r="XP213" cm="1">
        <f t="array" ref="XP213:XT213">SUMIFS($M213:$GJ213,$M$3:$GJ$3,XP$3:XT$3)</f>
        <v>0</v>
      </c>
      <c r="XQ213">
        <v>0</v>
      </c>
      <c r="XR213">
        <v>0</v>
      </c>
      <c r="XS213">
        <v>0</v>
      </c>
      <c r="XT213">
        <v>0</v>
      </c>
      <c r="XU213" cm="1">
        <f t="array" ref="XU213">IFERROR(MAX((_xlfn.ANCHORARRAY(XP213)-AVERAGE(_xlfn.ANCHORARRAY(XP213)))/ AVERAGE(_xlfn.ANCHORARRAY(XP213))),0)</f>
        <v>0</v>
      </c>
      <c r="XV213" t="str" cm="1">
        <f t="array" ref="XV213">IF(AND(XU213&gt;$XV$1,XN213&lt;&gt;""),_xlfn.XLOOKUP(MAX(_xlfn.ANCHORARRAY(XP213)),_xlfn.ANCHORARRAY(XP213),XP$4:XT$4,""),"")</f>
        <v/>
      </c>
      <c r="XX213" cm="1">
        <f t="array" ref="XX213:YG213">SUMIFS($M213:$GJ213,$M$2:$GJ$2,XX$3:YG$3)</f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 cm="1">
        <f t="array" ref="YH213">IFERROR(MAX((_xlfn.ANCHORARRAY(XX213)-AVERAGE(_xlfn.ANCHORARRAY(XX213)))/ AVERAGE(_xlfn.ANCHORARRAY(XX213))),0)</f>
        <v>0</v>
      </c>
      <c r="YI213" t="str" cm="1">
        <f t="array" ref="YI213">IF(YH213&gt;$YI$1,_xlfn.XLOOKUP(MAX(_xlfn.ANCHORARRAY(XX213)),_xlfn.ANCHORARRAY(XX213),XX$4:YG$4,""),"")</f>
        <v/>
      </c>
      <c r="YK213" t="str">
        <f t="shared" si="96"/>
        <v/>
      </c>
    </row>
    <row r="214" spans="2:661" x14ac:dyDescent="0.3">
      <c r="B214" s="2" t="str">
        <f t="shared" si="85"/>
        <v>CHA</v>
      </c>
      <c r="C214" s="2" t="str">
        <f t="shared" si="86"/>
        <v>CHA</v>
      </c>
      <c r="D214" s="2" t="str">
        <f t="shared" si="87"/>
        <v>CHA</v>
      </c>
      <c r="E214" s="2" t="str">
        <f t="shared" si="88"/>
        <v/>
      </c>
      <c r="F214" s="2" t="str">
        <f t="shared" si="89"/>
        <v/>
      </c>
      <c r="G214" s="2">
        <f t="shared" si="90"/>
        <v>0</v>
      </c>
      <c r="H214" s="2">
        <f t="shared" si="91"/>
        <v>0</v>
      </c>
      <c r="I214" s="2">
        <f t="shared" si="92"/>
        <v>0</v>
      </c>
      <c r="J214" s="2">
        <f t="shared" si="93"/>
        <v>0</v>
      </c>
      <c r="K214" s="2">
        <f t="shared" si="94"/>
        <v>0</v>
      </c>
      <c r="L214" s="2">
        <f t="shared" si="95"/>
        <v>0</v>
      </c>
      <c r="XJ214" cm="1">
        <f t="array" ref="XJ214:XL214">SUMIFS($M214:$GJ214,$M$1:$GJ$1,XJ$3:XL$3)</f>
        <v>0</v>
      </c>
      <c r="XK214">
        <v>0</v>
      </c>
      <c r="XL214">
        <v>0</v>
      </c>
      <c r="XM214" cm="1">
        <f t="array" ref="XM214">IFERROR(MAX((_xlfn.ANCHORARRAY(XJ214)-AVERAGE(_xlfn.ANCHORARRAY(XJ214)))/ AVERAGE(_xlfn.ANCHORARRAY(XJ214))),0)</f>
        <v>0</v>
      </c>
      <c r="XN214" t="str" cm="1">
        <f t="array" ref="XN214">IF(XM214&gt;$XN$1,_xlfn.XLOOKUP(MAX(_xlfn.ANCHORARRAY(XJ214)),_xlfn.ANCHORARRAY(XJ214),XJ$4:XL$4,""),"")</f>
        <v/>
      </c>
      <c r="XP214" cm="1">
        <f t="array" ref="XP214:XT214">SUMIFS($M214:$GJ214,$M$3:$GJ$3,XP$3:XT$3)</f>
        <v>0</v>
      </c>
      <c r="XQ214">
        <v>0</v>
      </c>
      <c r="XR214">
        <v>0</v>
      </c>
      <c r="XS214">
        <v>0</v>
      </c>
      <c r="XT214">
        <v>0</v>
      </c>
      <c r="XU214" cm="1">
        <f t="array" ref="XU214">IFERROR(MAX((_xlfn.ANCHORARRAY(XP214)-AVERAGE(_xlfn.ANCHORARRAY(XP214)))/ AVERAGE(_xlfn.ANCHORARRAY(XP214))),0)</f>
        <v>0</v>
      </c>
      <c r="XV214" t="str" cm="1">
        <f t="array" ref="XV214">IF(AND(XU214&gt;$XV$1,XN214&lt;&gt;""),_xlfn.XLOOKUP(MAX(_xlfn.ANCHORARRAY(XP214)),_xlfn.ANCHORARRAY(XP214),XP$4:XT$4,""),"")</f>
        <v/>
      </c>
      <c r="XX214" cm="1">
        <f t="array" ref="XX214:YG214">SUMIFS($M214:$GJ214,$M$2:$GJ$2,XX$3:YG$3)</f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 cm="1">
        <f t="array" ref="YH214">IFERROR(MAX((_xlfn.ANCHORARRAY(XX214)-AVERAGE(_xlfn.ANCHORARRAY(XX214)))/ AVERAGE(_xlfn.ANCHORARRAY(XX214))),0)</f>
        <v>0</v>
      </c>
      <c r="YI214" t="str" cm="1">
        <f t="array" ref="YI214">IF(YH214&gt;$YI$1,_xlfn.XLOOKUP(MAX(_xlfn.ANCHORARRAY(XX214)),_xlfn.ANCHORARRAY(XX214),XX$4:YG$4,""),"")</f>
        <v/>
      </c>
      <c r="YK214" t="str">
        <f t="shared" si="96"/>
        <v/>
      </c>
    </row>
    <row r="215" spans="2:661" x14ac:dyDescent="0.3">
      <c r="B215" s="2" t="str">
        <f t="shared" ref="B215:B232" si="97">IF(C215="NotFound",D215,C215)</f>
        <v>CHA</v>
      </c>
      <c r="C215" s="2" t="str">
        <f t="shared" ref="C215:C232" si="98">IF(K215&gt;1,"NotFound","CHA"&amp;_xlfn.XLOOKUP(MAX(M215:GJ215,1),M215:GJ215,$M$4:$GJ$4,""))</f>
        <v>CHA</v>
      </c>
      <c r="D215" s="2" t="str">
        <f t="shared" ref="D215:D232" si="99">IF(G215&gt;1,"NotFound","CHA"&amp;_xlfn.XLOOKUP(MAX(GL215:NI215,1),GL215:NI215,$GL$4:$NI$4,""))</f>
        <v>CHA</v>
      </c>
      <c r="E215" s="2" t="str">
        <f t="shared" ref="E215:E232" si="100">YK215</f>
        <v/>
      </c>
      <c r="F215" s="2" t="str">
        <f t="shared" ref="F215:F232" si="101">IF(I215&gt;1,"NotFound",_xlfn.XLOOKUP(MAX(NK215:XG215,1),NK215:XG215,$NK$4:$XG$4,""))</f>
        <v/>
      </c>
      <c r="G215" s="2">
        <f t="shared" ref="G215:G232" si="102">COUNTIF(GL215:NI215,H215)</f>
        <v>0</v>
      </c>
      <c r="H215" s="2">
        <f t="shared" ref="H215:H232" si="103">MAX(GL215:NI215)</f>
        <v>0</v>
      </c>
      <c r="I215" s="2">
        <f t="shared" ref="I215:I232" si="104">COUNTIF(NK215:XG215,J215)</f>
        <v>0</v>
      </c>
      <c r="J215" s="2">
        <f t="shared" ref="J215:J232" si="105">MAX(NK215:XG215)</f>
        <v>0</v>
      </c>
      <c r="K215" s="2">
        <f t="shared" ref="K215:K232" si="106">COUNTIF(M215:GJ215,L215)</f>
        <v>0</v>
      </c>
      <c r="L215" s="2">
        <f t="shared" ref="L215:L232" si="107">MAX(M215:GJ215)</f>
        <v>0</v>
      </c>
      <c r="XJ215" cm="1">
        <f t="array" ref="XJ215:XL215">SUMIFS($M215:$GJ215,$M$1:$GJ$1,XJ$3:XL$3)</f>
        <v>0</v>
      </c>
      <c r="XK215">
        <v>0</v>
      </c>
      <c r="XL215">
        <v>0</v>
      </c>
      <c r="XM215" cm="1">
        <f t="array" ref="XM215">IFERROR(MAX((_xlfn.ANCHORARRAY(XJ215)-AVERAGE(_xlfn.ANCHORARRAY(XJ215)))/ AVERAGE(_xlfn.ANCHORARRAY(XJ215))),0)</f>
        <v>0</v>
      </c>
      <c r="XN215" t="str" cm="1">
        <f t="array" ref="XN215">IF(XM215&gt;$XN$1,_xlfn.XLOOKUP(MAX(_xlfn.ANCHORARRAY(XJ215)),_xlfn.ANCHORARRAY(XJ215),XJ$4:XL$4,""),"")</f>
        <v/>
      </c>
      <c r="XP215" cm="1">
        <f t="array" ref="XP215:XT215">SUMIFS($M215:$GJ215,$M$3:$GJ$3,XP$3:XT$3)</f>
        <v>0</v>
      </c>
      <c r="XQ215">
        <v>0</v>
      </c>
      <c r="XR215">
        <v>0</v>
      </c>
      <c r="XS215">
        <v>0</v>
      </c>
      <c r="XT215">
        <v>0</v>
      </c>
      <c r="XU215" cm="1">
        <f t="array" ref="XU215">IFERROR(MAX((_xlfn.ANCHORARRAY(XP215)-AVERAGE(_xlfn.ANCHORARRAY(XP215)))/ AVERAGE(_xlfn.ANCHORARRAY(XP215))),0)</f>
        <v>0</v>
      </c>
      <c r="XV215" t="str" cm="1">
        <f t="array" ref="XV215">IF(AND(XU215&gt;$XV$1,XN215&lt;&gt;""),_xlfn.XLOOKUP(MAX(_xlfn.ANCHORARRAY(XP215)),_xlfn.ANCHORARRAY(XP215),XP$4:XT$4,""),"")</f>
        <v/>
      </c>
      <c r="XX215" cm="1">
        <f t="array" ref="XX215:YG215">SUMIFS($M215:$GJ215,$M$2:$GJ$2,XX$3:YG$3)</f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 cm="1">
        <f t="array" ref="YH215">IFERROR(MAX((_xlfn.ANCHORARRAY(XX215)-AVERAGE(_xlfn.ANCHORARRAY(XX215)))/ AVERAGE(_xlfn.ANCHORARRAY(XX215))),0)</f>
        <v>0</v>
      </c>
      <c r="YI215" t="str" cm="1">
        <f t="array" ref="YI215">IF(YH215&gt;$YI$1,_xlfn.XLOOKUP(MAX(_xlfn.ANCHORARRAY(XX215)),_xlfn.ANCHORARRAY(XX215),XX$4:YG$4,""),"")</f>
        <v/>
      </c>
      <c r="YK215" t="str">
        <f t="shared" ref="YK215:YK232" si="108">_xlfn.TEXTJOIN(" : ",,XN215,XV215,YI215)</f>
        <v/>
      </c>
    </row>
    <row r="216" spans="2:661" x14ac:dyDescent="0.3">
      <c r="B216" s="2" t="str">
        <f t="shared" si="97"/>
        <v>CHA</v>
      </c>
      <c r="C216" s="2" t="str">
        <f t="shared" si="98"/>
        <v>CHA</v>
      </c>
      <c r="D216" s="2" t="str">
        <f t="shared" si="99"/>
        <v>CHA</v>
      </c>
      <c r="E216" s="2" t="str">
        <f t="shared" si="100"/>
        <v/>
      </c>
      <c r="F216" s="2" t="str">
        <f t="shared" si="101"/>
        <v/>
      </c>
      <c r="G216" s="2">
        <f t="shared" si="102"/>
        <v>0</v>
      </c>
      <c r="H216" s="2">
        <f t="shared" si="103"/>
        <v>0</v>
      </c>
      <c r="I216" s="2">
        <f t="shared" si="104"/>
        <v>0</v>
      </c>
      <c r="J216" s="2">
        <f t="shared" si="105"/>
        <v>0</v>
      </c>
      <c r="K216" s="2">
        <f t="shared" si="106"/>
        <v>0</v>
      </c>
      <c r="L216" s="2">
        <f t="shared" si="107"/>
        <v>0</v>
      </c>
      <c r="XJ216" cm="1">
        <f t="array" ref="XJ216:XL216">SUMIFS($M216:$GJ216,$M$1:$GJ$1,XJ$3:XL$3)</f>
        <v>0</v>
      </c>
      <c r="XK216">
        <v>0</v>
      </c>
      <c r="XL216">
        <v>0</v>
      </c>
      <c r="XM216" cm="1">
        <f t="array" ref="XM216">IFERROR(MAX((_xlfn.ANCHORARRAY(XJ216)-AVERAGE(_xlfn.ANCHORARRAY(XJ216)))/ AVERAGE(_xlfn.ANCHORARRAY(XJ216))),0)</f>
        <v>0</v>
      </c>
      <c r="XN216" t="str" cm="1">
        <f t="array" ref="XN216">IF(XM216&gt;$XN$1,_xlfn.XLOOKUP(MAX(_xlfn.ANCHORARRAY(XJ216)),_xlfn.ANCHORARRAY(XJ216),XJ$4:XL$4,""),"")</f>
        <v/>
      </c>
      <c r="XP216" cm="1">
        <f t="array" ref="XP216:XT216">SUMIFS($M216:$GJ216,$M$3:$GJ$3,XP$3:XT$3)</f>
        <v>0</v>
      </c>
      <c r="XQ216">
        <v>0</v>
      </c>
      <c r="XR216">
        <v>0</v>
      </c>
      <c r="XS216">
        <v>0</v>
      </c>
      <c r="XT216">
        <v>0</v>
      </c>
      <c r="XU216" cm="1">
        <f t="array" ref="XU216">IFERROR(MAX((_xlfn.ANCHORARRAY(XP216)-AVERAGE(_xlfn.ANCHORARRAY(XP216)))/ AVERAGE(_xlfn.ANCHORARRAY(XP216))),0)</f>
        <v>0</v>
      </c>
      <c r="XV216" t="str" cm="1">
        <f t="array" ref="XV216">IF(AND(XU216&gt;$XV$1,XN216&lt;&gt;""),_xlfn.XLOOKUP(MAX(_xlfn.ANCHORARRAY(XP216)),_xlfn.ANCHORARRAY(XP216),XP$4:XT$4,""),"")</f>
        <v/>
      </c>
      <c r="XX216" cm="1">
        <f t="array" ref="XX216:YG216">SUMIFS($M216:$GJ216,$M$2:$GJ$2,XX$3:YG$3)</f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 cm="1">
        <f t="array" ref="YH216">IFERROR(MAX((_xlfn.ANCHORARRAY(XX216)-AVERAGE(_xlfn.ANCHORARRAY(XX216)))/ AVERAGE(_xlfn.ANCHORARRAY(XX216))),0)</f>
        <v>0</v>
      </c>
      <c r="YI216" t="str" cm="1">
        <f t="array" ref="YI216">IF(YH216&gt;$YI$1,_xlfn.XLOOKUP(MAX(_xlfn.ANCHORARRAY(XX216)),_xlfn.ANCHORARRAY(XX216),XX$4:YG$4,""),"")</f>
        <v/>
      </c>
      <c r="YK216" t="str">
        <f t="shared" si="108"/>
        <v/>
      </c>
    </row>
    <row r="217" spans="2:661" x14ac:dyDescent="0.3">
      <c r="B217" s="2" t="str">
        <f t="shared" si="97"/>
        <v>CHA</v>
      </c>
      <c r="C217" s="2" t="str">
        <f t="shared" si="98"/>
        <v>CHA</v>
      </c>
      <c r="D217" s="2" t="str">
        <f t="shared" si="99"/>
        <v>CHA</v>
      </c>
      <c r="E217" s="2" t="str">
        <f t="shared" si="100"/>
        <v/>
      </c>
      <c r="F217" s="2" t="str">
        <f t="shared" si="101"/>
        <v/>
      </c>
      <c r="G217" s="2">
        <f t="shared" si="102"/>
        <v>0</v>
      </c>
      <c r="H217" s="2">
        <f t="shared" si="103"/>
        <v>0</v>
      </c>
      <c r="I217" s="2">
        <f t="shared" si="104"/>
        <v>0</v>
      </c>
      <c r="J217" s="2">
        <f t="shared" si="105"/>
        <v>0</v>
      </c>
      <c r="K217" s="2">
        <f t="shared" si="106"/>
        <v>0</v>
      </c>
      <c r="L217" s="2">
        <f t="shared" si="107"/>
        <v>0</v>
      </c>
      <c r="XJ217" cm="1">
        <f t="array" ref="XJ217:XL217">SUMIFS($M217:$GJ217,$M$1:$GJ$1,XJ$3:XL$3)</f>
        <v>0</v>
      </c>
      <c r="XK217">
        <v>0</v>
      </c>
      <c r="XL217">
        <v>0</v>
      </c>
      <c r="XM217" cm="1">
        <f t="array" ref="XM217">IFERROR(MAX((_xlfn.ANCHORARRAY(XJ217)-AVERAGE(_xlfn.ANCHORARRAY(XJ217)))/ AVERAGE(_xlfn.ANCHORARRAY(XJ217))),0)</f>
        <v>0</v>
      </c>
      <c r="XN217" t="str" cm="1">
        <f t="array" ref="XN217">IF(XM217&gt;$XN$1,_xlfn.XLOOKUP(MAX(_xlfn.ANCHORARRAY(XJ217)),_xlfn.ANCHORARRAY(XJ217),XJ$4:XL$4,""),"")</f>
        <v/>
      </c>
      <c r="XP217" cm="1">
        <f t="array" ref="XP217:XT217">SUMIFS($M217:$GJ217,$M$3:$GJ$3,XP$3:XT$3)</f>
        <v>0</v>
      </c>
      <c r="XQ217">
        <v>0</v>
      </c>
      <c r="XR217">
        <v>0</v>
      </c>
      <c r="XS217">
        <v>0</v>
      </c>
      <c r="XT217">
        <v>0</v>
      </c>
      <c r="XU217" cm="1">
        <f t="array" ref="XU217">IFERROR(MAX((_xlfn.ANCHORARRAY(XP217)-AVERAGE(_xlfn.ANCHORARRAY(XP217)))/ AVERAGE(_xlfn.ANCHORARRAY(XP217))),0)</f>
        <v>0</v>
      </c>
      <c r="XV217" t="str" cm="1">
        <f t="array" ref="XV217">IF(AND(XU217&gt;$XV$1,XN217&lt;&gt;""),_xlfn.XLOOKUP(MAX(_xlfn.ANCHORARRAY(XP217)),_xlfn.ANCHORARRAY(XP217),XP$4:XT$4,""),"")</f>
        <v/>
      </c>
      <c r="XX217" cm="1">
        <f t="array" ref="XX217:YG217">SUMIFS($M217:$GJ217,$M$2:$GJ$2,XX$3:YG$3)</f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 cm="1">
        <f t="array" ref="YH217">IFERROR(MAX((_xlfn.ANCHORARRAY(XX217)-AVERAGE(_xlfn.ANCHORARRAY(XX217)))/ AVERAGE(_xlfn.ANCHORARRAY(XX217))),0)</f>
        <v>0</v>
      </c>
      <c r="YI217" t="str" cm="1">
        <f t="array" ref="YI217">IF(YH217&gt;$YI$1,_xlfn.XLOOKUP(MAX(_xlfn.ANCHORARRAY(XX217)),_xlfn.ANCHORARRAY(XX217),XX$4:YG$4,""),"")</f>
        <v/>
      </c>
      <c r="YK217" t="str">
        <f t="shared" si="108"/>
        <v/>
      </c>
    </row>
    <row r="218" spans="2:661" x14ac:dyDescent="0.3">
      <c r="B218" s="2" t="str">
        <f t="shared" si="97"/>
        <v>CHA</v>
      </c>
      <c r="C218" s="2" t="str">
        <f t="shared" si="98"/>
        <v>CHA</v>
      </c>
      <c r="D218" s="2" t="str">
        <f t="shared" si="99"/>
        <v>CHA</v>
      </c>
      <c r="E218" s="2" t="str">
        <f t="shared" si="100"/>
        <v/>
      </c>
      <c r="F218" s="2" t="str">
        <f t="shared" si="101"/>
        <v/>
      </c>
      <c r="G218" s="2">
        <f t="shared" si="102"/>
        <v>0</v>
      </c>
      <c r="H218" s="2">
        <f t="shared" si="103"/>
        <v>0</v>
      </c>
      <c r="I218" s="2">
        <f t="shared" si="104"/>
        <v>0</v>
      </c>
      <c r="J218" s="2">
        <f t="shared" si="105"/>
        <v>0</v>
      </c>
      <c r="K218" s="2">
        <f t="shared" si="106"/>
        <v>0</v>
      </c>
      <c r="L218" s="2">
        <f t="shared" si="107"/>
        <v>0</v>
      </c>
      <c r="XJ218" cm="1">
        <f t="array" ref="XJ218:XL218">SUMIFS($M218:$GJ218,$M$1:$GJ$1,XJ$3:XL$3)</f>
        <v>0</v>
      </c>
      <c r="XK218">
        <v>0</v>
      </c>
      <c r="XL218">
        <v>0</v>
      </c>
      <c r="XM218" cm="1">
        <f t="array" ref="XM218">IFERROR(MAX((_xlfn.ANCHORARRAY(XJ218)-AVERAGE(_xlfn.ANCHORARRAY(XJ218)))/ AVERAGE(_xlfn.ANCHORARRAY(XJ218))),0)</f>
        <v>0</v>
      </c>
      <c r="XN218" t="str" cm="1">
        <f t="array" ref="XN218">IF(XM218&gt;$XN$1,_xlfn.XLOOKUP(MAX(_xlfn.ANCHORARRAY(XJ218)),_xlfn.ANCHORARRAY(XJ218),XJ$4:XL$4,""),"")</f>
        <v/>
      </c>
      <c r="XP218" cm="1">
        <f t="array" ref="XP218:XT218">SUMIFS($M218:$GJ218,$M$3:$GJ$3,XP$3:XT$3)</f>
        <v>0</v>
      </c>
      <c r="XQ218">
        <v>0</v>
      </c>
      <c r="XR218">
        <v>0</v>
      </c>
      <c r="XS218">
        <v>0</v>
      </c>
      <c r="XT218">
        <v>0</v>
      </c>
      <c r="XU218" cm="1">
        <f t="array" ref="XU218">IFERROR(MAX((_xlfn.ANCHORARRAY(XP218)-AVERAGE(_xlfn.ANCHORARRAY(XP218)))/ AVERAGE(_xlfn.ANCHORARRAY(XP218))),0)</f>
        <v>0</v>
      </c>
      <c r="XV218" t="str" cm="1">
        <f t="array" ref="XV218">IF(AND(XU218&gt;$XV$1,XN218&lt;&gt;""),_xlfn.XLOOKUP(MAX(_xlfn.ANCHORARRAY(XP218)),_xlfn.ANCHORARRAY(XP218),XP$4:XT$4,""),"")</f>
        <v/>
      </c>
      <c r="XX218" cm="1">
        <f t="array" ref="XX218:YG218">SUMIFS($M218:$GJ218,$M$2:$GJ$2,XX$3:YG$3)</f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 cm="1">
        <f t="array" ref="YH218">IFERROR(MAX((_xlfn.ANCHORARRAY(XX218)-AVERAGE(_xlfn.ANCHORARRAY(XX218)))/ AVERAGE(_xlfn.ANCHORARRAY(XX218))),0)</f>
        <v>0</v>
      </c>
      <c r="YI218" t="str" cm="1">
        <f t="array" ref="YI218">IF(YH218&gt;$YI$1,_xlfn.XLOOKUP(MAX(_xlfn.ANCHORARRAY(XX218)),_xlfn.ANCHORARRAY(XX218),XX$4:YG$4,""),"")</f>
        <v/>
      </c>
      <c r="YK218" t="str">
        <f t="shared" si="108"/>
        <v/>
      </c>
    </row>
    <row r="219" spans="2:661" x14ac:dyDescent="0.3">
      <c r="B219" s="2" t="str">
        <f t="shared" si="97"/>
        <v>CHA</v>
      </c>
      <c r="C219" s="2" t="str">
        <f t="shared" si="98"/>
        <v>CHA</v>
      </c>
      <c r="D219" s="2" t="str">
        <f t="shared" si="99"/>
        <v>CHA</v>
      </c>
      <c r="E219" s="2" t="str">
        <f t="shared" si="100"/>
        <v/>
      </c>
      <c r="F219" s="2" t="str">
        <f t="shared" si="101"/>
        <v/>
      </c>
      <c r="G219" s="2">
        <f t="shared" si="102"/>
        <v>0</v>
      </c>
      <c r="H219" s="2">
        <f t="shared" si="103"/>
        <v>0</v>
      </c>
      <c r="I219" s="2">
        <f t="shared" si="104"/>
        <v>0</v>
      </c>
      <c r="J219" s="2">
        <f t="shared" si="105"/>
        <v>0</v>
      </c>
      <c r="K219" s="2">
        <f t="shared" si="106"/>
        <v>0</v>
      </c>
      <c r="L219" s="2">
        <f t="shared" si="107"/>
        <v>0</v>
      </c>
      <c r="XJ219" cm="1">
        <f t="array" ref="XJ219:XL219">SUMIFS($M219:$GJ219,$M$1:$GJ$1,XJ$3:XL$3)</f>
        <v>0</v>
      </c>
      <c r="XK219">
        <v>0</v>
      </c>
      <c r="XL219">
        <v>0</v>
      </c>
      <c r="XM219" cm="1">
        <f t="array" ref="XM219">IFERROR(MAX((_xlfn.ANCHORARRAY(XJ219)-AVERAGE(_xlfn.ANCHORARRAY(XJ219)))/ AVERAGE(_xlfn.ANCHORARRAY(XJ219))),0)</f>
        <v>0</v>
      </c>
      <c r="XN219" t="str" cm="1">
        <f t="array" ref="XN219">IF(XM219&gt;$XN$1,_xlfn.XLOOKUP(MAX(_xlfn.ANCHORARRAY(XJ219)),_xlfn.ANCHORARRAY(XJ219),XJ$4:XL$4,""),"")</f>
        <v/>
      </c>
      <c r="XP219" cm="1">
        <f t="array" ref="XP219:XT219">SUMIFS($M219:$GJ219,$M$3:$GJ$3,XP$3:XT$3)</f>
        <v>0</v>
      </c>
      <c r="XQ219">
        <v>0</v>
      </c>
      <c r="XR219">
        <v>0</v>
      </c>
      <c r="XS219">
        <v>0</v>
      </c>
      <c r="XT219">
        <v>0</v>
      </c>
      <c r="XU219" cm="1">
        <f t="array" ref="XU219">IFERROR(MAX((_xlfn.ANCHORARRAY(XP219)-AVERAGE(_xlfn.ANCHORARRAY(XP219)))/ AVERAGE(_xlfn.ANCHORARRAY(XP219))),0)</f>
        <v>0</v>
      </c>
      <c r="XV219" t="str" cm="1">
        <f t="array" ref="XV219">IF(AND(XU219&gt;$XV$1,XN219&lt;&gt;""),_xlfn.XLOOKUP(MAX(_xlfn.ANCHORARRAY(XP219)),_xlfn.ANCHORARRAY(XP219),XP$4:XT$4,""),"")</f>
        <v/>
      </c>
      <c r="XX219" cm="1">
        <f t="array" ref="XX219:YG219">SUMIFS($M219:$GJ219,$M$2:$GJ$2,XX$3:YG$3)</f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 cm="1">
        <f t="array" ref="YH219">IFERROR(MAX((_xlfn.ANCHORARRAY(XX219)-AVERAGE(_xlfn.ANCHORARRAY(XX219)))/ AVERAGE(_xlfn.ANCHORARRAY(XX219))),0)</f>
        <v>0</v>
      </c>
      <c r="YI219" t="str" cm="1">
        <f t="array" ref="YI219">IF(YH219&gt;$YI$1,_xlfn.XLOOKUP(MAX(_xlfn.ANCHORARRAY(XX219)),_xlfn.ANCHORARRAY(XX219),XX$4:YG$4,""),"")</f>
        <v/>
      </c>
      <c r="YK219" t="str">
        <f t="shared" si="108"/>
        <v/>
      </c>
    </row>
    <row r="220" spans="2:661" x14ac:dyDescent="0.3">
      <c r="B220" s="2" t="str">
        <f t="shared" si="97"/>
        <v>CHA</v>
      </c>
      <c r="C220" s="2" t="str">
        <f t="shared" si="98"/>
        <v>CHA</v>
      </c>
      <c r="D220" s="2" t="str">
        <f t="shared" si="99"/>
        <v>CHA</v>
      </c>
      <c r="E220" s="2" t="str">
        <f t="shared" si="100"/>
        <v/>
      </c>
      <c r="F220" s="2" t="str">
        <f t="shared" si="101"/>
        <v/>
      </c>
      <c r="G220" s="2">
        <f t="shared" si="102"/>
        <v>0</v>
      </c>
      <c r="H220" s="2">
        <f t="shared" si="103"/>
        <v>0</v>
      </c>
      <c r="I220" s="2">
        <f t="shared" si="104"/>
        <v>0</v>
      </c>
      <c r="J220" s="2">
        <f t="shared" si="105"/>
        <v>0</v>
      </c>
      <c r="K220" s="2">
        <f t="shared" si="106"/>
        <v>0</v>
      </c>
      <c r="L220" s="2">
        <f t="shared" si="107"/>
        <v>0</v>
      </c>
      <c r="XJ220" cm="1">
        <f t="array" ref="XJ220:XL220">SUMIFS($M220:$GJ220,$M$1:$GJ$1,XJ$3:XL$3)</f>
        <v>0</v>
      </c>
      <c r="XK220">
        <v>0</v>
      </c>
      <c r="XL220">
        <v>0</v>
      </c>
      <c r="XM220" cm="1">
        <f t="array" ref="XM220">IFERROR(MAX((_xlfn.ANCHORARRAY(XJ220)-AVERAGE(_xlfn.ANCHORARRAY(XJ220)))/ AVERAGE(_xlfn.ANCHORARRAY(XJ220))),0)</f>
        <v>0</v>
      </c>
      <c r="XN220" t="str" cm="1">
        <f t="array" ref="XN220">IF(XM220&gt;$XN$1,_xlfn.XLOOKUP(MAX(_xlfn.ANCHORARRAY(XJ220)),_xlfn.ANCHORARRAY(XJ220),XJ$4:XL$4,""),"")</f>
        <v/>
      </c>
      <c r="XP220" cm="1">
        <f t="array" ref="XP220:XT220">SUMIFS($M220:$GJ220,$M$3:$GJ$3,XP$3:XT$3)</f>
        <v>0</v>
      </c>
      <c r="XQ220">
        <v>0</v>
      </c>
      <c r="XR220">
        <v>0</v>
      </c>
      <c r="XS220">
        <v>0</v>
      </c>
      <c r="XT220">
        <v>0</v>
      </c>
      <c r="XU220" cm="1">
        <f t="array" ref="XU220">IFERROR(MAX((_xlfn.ANCHORARRAY(XP220)-AVERAGE(_xlfn.ANCHORARRAY(XP220)))/ AVERAGE(_xlfn.ANCHORARRAY(XP220))),0)</f>
        <v>0</v>
      </c>
      <c r="XV220" t="str" cm="1">
        <f t="array" ref="XV220">IF(AND(XU220&gt;$XV$1,XN220&lt;&gt;""),_xlfn.XLOOKUP(MAX(_xlfn.ANCHORARRAY(XP220)),_xlfn.ANCHORARRAY(XP220),XP$4:XT$4,""),"")</f>
        <v/>
      </c>
      <c r="XX220" cm="1">
        <f t="array" ref="XX220:YG220">SUMIFS($M220:$GJ220,$M$2:$GJ$2,XX$3:YG$3)</f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 cm="1">
        <f t="array" ref="YH220">IFERROR(MAX((_xlfn.ANCHORARRAY(XX220)-AVERAGE(_xlfn.ANCHORARRAY(XX220)))/ AVERAGE(_xlfn.ANCHORARRAY(XX220))),0)</f>
        <v>0</v>
      </c>
      <c r="YI220" t="str" cm="1">
        <f t="array" ref="YI220">IF(YH220&gt;$YI$1,_xlfn.XLOOKUP(MAX(_xlfn.ANCHORARRAY(XX220)),_xlfn.ANCHORARRAY(XX220),XX$4:YG$4,""),"")</f>
        <v/>
      </c>
      <c r="YK220" t="str">
        <f t="shared" si="108"/>
        <v/>
      </c>
    </row>
    <row r="221" spans="2:661" x14ac:dyDescent="0.3">
      <c r="B221" s="2" t="str">
        <f t="shared" si="97"/>
        <v>CHA</v>
      </c>
      <c r="C221" s="2" t="str">
        <f t="shared" si="98"/>
        <v>CHA</v>
      </c>
      <c r="D221" s="2" t="str">
        <f t="shared" si="99"/>
        <v>CHA</v>
      </c>
      <c r="E221" s="2" t="str">
        <f t="shared" si="100"/>
        <v/>
      </c>
      <c r="F221" s="2" t="str">
        <f t="shared" si="101"/>
        <v/>
      </c>
      <c r="G221" s="2">
        <f t="shared" si="102"/>
        <v>0</v>
      </c>
      <c r="H221" s="2">
        <f t="shared" si="103"/>
        <v>0</v>
      </c>
      <c r="I221" s="2">
        <f t="shared" si="104"/>
        <v>0</v>
      </c>
      <c r="J221" s="2">
        <f t="shared" si="105"/>
        <v>0</v>
      </c>
      <c r="K221" s="2">
        <f t="shared" si="106"/>
        <v>0</v>
      </c>
      <c r="L221" s="2">
        <f t="shared" si="107"/>
        <v>0</v>
      </c>
      <c r="XJ221" cm="1">
        <f t="array" ref="XJ221:XL221">SUMIFS($M221:$GJ221,$M$1:$GJ$1,XJ$3:XL$3)</f>
        <v>0</v>
      </c>
      <c r="XK221">
        <v>0</v>
      </c>
      <c r="XL221">
        <v>0</v>
      </c>
      <c r="XM221" cm="1">
        <f t="array" ref="XM221">IFERROR(MAX((_xlfn.ANCHORARRAY(XJ221)-AVERAGE(_xlfn.ANCHORARRAY(XJ221)))/ AVERAGE(_xlfn.ANCHORARRAY(XJ221))),0)</f>
        <v>0</v>
      </c>
      <c r="XN221" t="str" cm="1">
        <f t="array" ref="XN221">IF(XM221&gt;$XN$1,_xlfn.XLOOKUP(MAX(_xlfn.ANCHORARRAY(XJ221)),_xlfn.ANCHORARRAY(XJ221),XJ$4:XL$4,""),"")</f>
        <v/>
      </c>
      <c r="XP221" cm="1">
        <f t="array" ref="XP221:XT221">SUMIFS($M221:$GJ221,$M$3:$GJ$3,XP$3:XT$3)</f>
        <v>0</v>
      </c>
      <c r="XQ221">
        <v>0</v>
      </c>
      <c r="XR221">
        <v>0</v>
      </c>
      <c r="XS221">
        <v>0</v>
      </c>
      <c r="XT221">
        <v>0</v>
      </c>
      <c r="XU221" cm="1">
        <f t="array" ref="XU221">IFERROR(MAX((_xlfn.ANCHORARRAY(XP221)-AVERAGE(_xlfn.ANCHORARRAY(XP221)))/ AVERAGE(_xlfn.ANCHORARRAY(XP221))),0)</f>
        <v>0</v>
      </c>
      <c r="XV221" t="str" cm="1">
        <f t="array" ref="XV221">IF(AND(XU221&gt;$XV$1,XN221&lt;&gt;""),_xlfn.XLOOKUP(MAX(_xlfn.ANCHORARRAY(XP221)),_xlfn.ANCHORARRAY(XP221),XP$4:XT$4,""),"")</f>
        <v/>
      </c>
      <c r="XX221" cm="1">
        <f t="array" ref="XX221:YG221">SUMIFS($M221:$GJ221,$M$2:$GJ$2,XX$3:YG$3)</f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 cm="1">
        <f t="array" ref="YH221">IFERROR(MAX((_xlfn.ANCHORARRAY(XX221)-AVERAGE(_xlfn.ANCHORARRAY(XX221)))/ AVERAGE(_xlfn.ANCHORARRAY(XX221))),0)</f>
        <v>0</v>
      </c>
      <c r="YI221" t="str" cm="1">
        <f t="array" ref="YI221">IF(YH221&gt;$YI$1,_xlfn.XLOOKUP(MAX(_xlfn.ANCHORARRAY(XX221)),_xlfn.ANCHORARRAY(XX221),XX$4:YG$4,""),"")</f>
        <v/>
      </c>
      <c r="YK221" t="str">
        <f t="shared" si="108"/>
        <v/>
      </c>
    </row>
    <row r="222" spans="2:661" x14ac:dyDescent="0.3">
      <c r="B222" s="2" t="str">
        <f t="shared" si="97"/>
        <v>CHA</v>
      </c>
      <c r="C222" s="2" t="str">
        <f t="shared" si="98"/>
        <v>CHA</v>
      </c>
      <c r="D222" s="2" t="str">
        <f t="shared" si="99"/>
        <v>CHA</v>
      </c>
      <c r="E222" s="2" t="str">
        <f t="shared" si="100"/>
        <v/>
      </c>
      <c r="F222" s="2" t="str">
        <f t="shared" si="101"/>
        <v/>
      </c>
      <c r="G222" s="2">
        <f t="shared" si="102"/>
        <v>0</v>
      </c>
      <c r="H222" s="2">
        <f t="shared" si="103"/>
        <v>0</v>
      </c>
      <c r="I222" s="2">
        <f t="shared" si="104"/>
        <v>0</v>
      </c>
      <c r="J222" s="2">
        <f t="shared" si="105"/>
        <v>0</v>
      </c>
      <c r="K222" s="2">
        <f t="shared" si="106"/>
        <v>0</v>
      </c>
      <c r="L222" s="2">
        <f t="shared" si="107"/>
        <v>0</v>
      </c>
      <c r="XJ222" cm="1">
        <f t="array" ref="XJ222:XL222">SUMIFS($M222:$GJ222,$M$1:$GJ$1,XJ$3:XL$3)</f>
        <v>0</v>
      </c>
      <c r="XK222">
        <v>0</v>
      </c>
      <c r="XL222">
        <v>0</v>
      </c>
      <c r="XM222" cm="1">
        <f t="array" ref="XM222">IFERROR(MAX((_xlfn.ANCHORARRAY(XJ222)-AVERAGE(_xlfn.ANCHORARRAY(XJ222)))/ AVERAGE(_xlfn.ANCHORARRAY(XJ222))),0)</f>
        <v>0</v>
      </c>
      <c r="XN222" t="str" cm="1">
        <f t="array" ref="XN222">IF(XM222&gt;$XN$1,_xlfn.XLOOKUP(MAX(_xlfn.ANCHORARRAY(XJ222)),_xlfn.ANCHORARRAY(XJ222),XJ$4:XL$4,""),"")</f>
        <v/>
      </c>
      <c r="XP222" cm="1">
        <f t="array" ref="XP222:XT222">SUMIFS($M222:$GJ222,$M$3:$GJ$3,XP$3:XT$3)</f>
        <v>0</v>
      </c>
      <c r="XQ222">
        <v>0</v>
      </c>
      <c r="XR222">
        <v>0</v>
      </c>
      <c r="XS222">
        <v>0</v>
      </c>
      <c r="XT222">
        <v>0</v>
      </c>
      <c r="XU222" cm="1">
        <f t="array" ref="XU222">IFERROR(MAX((_xlfn.ANCHORARRAY(XP222)-AVERAGE(_xlfn.ANCHORARRAY(XP222)))/ AVERAGE(_xlfn.ANCHORARRAY(XP222))),0)</f>
        <v>0</v>
      </c>
      <c r="XV222" t="str" cm="1">
        <f t="array" ref="XV222">IF(AND(XU222&gt;$XV$1,XN222&lt;&gt;""),_xlfn.XLOOKUP(MAX(_xlfn.ANCHORARRAY(XP222)),_xlfn.ANCHORARRAY(XP222),XP$4:XT$4,""),"")</f>
        <v/>
      </c>
      <c r="XX222" cm="1">
        <f t="array" ref="XX222:YG222">SUMIFS($M222:$GJ222,$M$2:$GJ$2,XX$3:YG$3)</f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 cm="1">
        <f t="array" ref="YH222">IFERROR(MAX((_xlfn.ANCHORARRAY(XX222)-AVERAGE(_xlfn.ANCHORARRAY(XX222)))/ AVERAGE(_xlfn.ANCHORARRAY(XX222))),0)</f>
        <v>0</v>
      </c>
      <c r="YI222" t="str" cm="1">
        <f t="array" ref="YI222">IF(YH222&gt;$YI$1,_xlfn.XLOOKUP(MAX(_xlfn.ANCHORARRAY(XX222)),_xlfn.ANCHORARRAY(XX222),XX$4:YG$4,""),"")</f>
        <v/>
      </c>
      <c r="YK222" t="str">
        <f t="shared" si="108"/>
        <v/>
      </c>
    </row>
    <row r="223" spans="2:661" x14ac:dyDescent="0.3">
      <c r="B223" s="2" t="str">
        <f t="shared" si="97"/>
        <v>CHA</v>
      </c>
      <c r="C223" s="2" t="str">
        <f t="shared" si="98"/>
        <v>CHA</v>
      </c>
      <c r="D223" s="2" t="str">
        <f t="shared" si="99"/>
        <v>CHA</v>
      </c>
      <c r="E223" s="2" t="str">
        <f t="shared" si="100"/>
        <v/>
      </c>
      <c r="F223" s="2" t="str">
        <f t="shared" si="101"/>
        <v/>
      </c>
      <c r="G223" s="2">
        <f t="shared" si="102"/>
        <v>0</v>
      </c>
      <c r="H223" s="2">
        <f t="shared" si="103"/>
        <v>0</v>
      </c>
      <c r="I223" s="2">
        <f t="shared" si="104"/>
        <v>0</v>
      </c>
      <c r="J223" s="2">
        <f t="shared" si="105"/>
        <v>0</v>
      </c>
      <c r="K223" s="2">
        <f t="shared" si="106"/>
        <v>0</v>
      </c>
      <c r="L223" s="2">
        <f t="shared" si="107"/>
        <v>0</v>
      </c>
      <c r="XJ223" cm="1">
        <f t="array" ref="XJ223:XL223">SUMIFS($M223:$GJ223,$M$1:$GJ$1,XJ$3:XL$3)</f>
        <v>0</v>
      </c>
      <c r="XK223">
        <v>0</v>
      </c>
      <c r="XL223">
        <v>0</v>
      </c>
      <c r="XM223" cm="1">
        <f t="array" ref="XM223">IFERROR(MAX((_xlfn.ANCHORARRAY(XJ223)-AVERAGE(_xlfn.ANCHORARRAY(XJ223)))/ AVERAGE(_xlfn.ANCHORARRAY(XJ223))),0)</f>
        <v>0</v>
      </c>
      <c r="XN223" t="str" cm="1">
        <f t="array" ref="XN223">IF(XM223&gt;$XN$1,_xlfn.XLOOKUP(MAX(_xlfn.ANCHORARRAY(XJ223)),_xlfn.ANCHORARRAY(XJ223),XJ$4:XL$4,""),"")</f>
        <v/>
      </c>
      <c r="XP223" cm="1">
        <f t="array" ref="XP223:XT223">SUMIFS($M223:$GJ223,$M$3:$GJ$3,XP$3:XT$3)</f>
        <v>0</v>
      </c>
      <c r="XQ223">
        <v>0</v>
      </c>
      <c r="XR223">
        <v>0</v>
      </c>
      <c r="XS223">
        <v>0</v>
      </c>
      <c r="XT223">
        <v>0</v>
      </c>
      <c r="XU223" cm="1">
        <f t="array" ref="XU223">IFERROR(MAX((_xlfn.ANCHORARRAY(XP223)-AVERAGE(_xlfn.ANCHORARRAY(XP223)))/ AVERAGE(_xlfn.ANCHORARRAY(XP223))),0)</f>
        <v>0</v>
      </c>
      <c r="XV223" t="str" cm="1">
        <f t="array" ref="XV223">IF(AND(XU223&gt;$XV$1,XN223&lt;&gt;""),_xlfn.XLOOKUP(MAX(_xlfn.ANCHORARRAY(XP223)),_xlfn.ANCHORARRAY(XP223),XP$4:XT$4,""),"")</f>
        <v/>
      </c>
      <c r="XX223" cm="1">
        <f t="array" ref="XX223:YG223">SUMIFS($M223:$GJ223,$M$2:$GJ$2,XX$3:YG$3)</f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 cm="1">
        <f t="array" ref="YH223">IFERROR(MAX((_xlfn.ANCHORARRAY(XX223)-AVERAGE(_xlfn.ANCHORARRAY(XX223)))/ AVERAGE(_xlfn.ANCHORARRAY(XX223))),0)</f>
        <v>0</v>
      </c>
      <c r="YI223" t="str" cm="1">
        <f t="array" ref="YI223">IF(YH223&gt;$YI$1,_xlfn.XLOOKUP(MAX(_xlfn.ANCHORARRAY(XX223)),_xlfn.ANCHORARRAY(XX223),XX$4:YG$4,""),"")</f>
        <v/>
      </c>
      <c r="YK223" t="str">
        <f t="shared" si="108"/>
        <v/>
      </c>
    </row>
    <row r="224" spans="2:661" x14ac:dyDescent="0.3">
      <c r="B224" s="2" t="str">
        <f t="shared" si="97"/>
        <v>CHA</v>
      </c>
      <c r="C224" s="2" t="str">
        <f t="shared" si="98"/>
        <v>CHA</v>
      </c>
      <c r="D224" s="2" t="str">
        <f t="shared" si="99"/>
        <v>CHA</v>
      </c>
      <c r="E224" s="2" t="str">
        <f t="shared" si="100"/>
        <v/>
      </c>
      <c r="F224" s="2" t="str">
        <f t="shared" si="101"/>
        <v/>
      </c>
      <c r="G224" s="2">
        <f t="shared" si="102"/>
        <v>0</v>
      </c>
      <c r="H224" s="2">
        <f t="shared" si="103"/>
        <v>0</v>
      </c>
      <c r="I224" s="2">
        <f t="shared" si="104"/>
        <v>0</v>
      </c>
      <c r="J224" s="2">
        <f t="shared" si="105"/>
        <v>0</v>
      </c>
      <c r="K224" s="2">
        <f t="shared" si="106"/>
        <v>0</v>
      </c>
      <c r="L224" s="2">
        <f t="shared" si="107"/>
        <v>0</v>
      </c>
      <c r="XJ224" cm="1">
        <f t="array" ref="XJ224:XL224">SUMIFS($M224:$GJ224,$M$1:$GJ$1,XJ$3:XL$3)</f>
        <v>0</v>
      </c>
      <c r="XK224">
        <v>0</v>
      </c>
      <c r="XL224">
        <v>0</v>
      </c>
      <c r="XM224" cm="1">
        <f t="array" ref="XM224">IFERROR(MAX((_xlfn.ANCHORARRAY(XJ224)-AVERAGE(_xlfn.ANCHORARRAY(XJ224)))/ AVERAGE(_xlfn.ANCHORARRAY(XJ224))),0)</f>
        <v>0</v>
      </c>
      <c r="XN224" t="str" cm="1">
        <f t="array" ref="XN224">IF(XM224&gt;$XN$1,_xlfn.XLOOKUP(MAX(_xlfn.ANCHORARRAY(XJ224)),_xlfn.ANCHORARRAY(XJ224),XJ$4:XL$4,""),"")</f>
        <v/>
      </c>
      <c r="XP224" cm="1">
        <f t="array" ref="XP224:XT224">SUMIFS($M224:$GJ224,$M$3:$GJ$3,XP$3:XT$3)</f>
        <v>0</v>
      </c>
      <c r="XQ224">
        <v>0</v>
      </c>
      <c r="XR224">
        <v>0</v>
      </c>
      <c r="XS224">
        <v>0</v>
      </c>
      <c r="XT224">
        <v>0</v>
      </c>
      <c r="XU224" cm="1">
        <f t="array" ref="XU224">IFERROR(MAX((_xlfn.ANCHORARRAY(XP224)-AVERAGE(_xlfn.ANCHORARRAY(XP224)))/ AVERAGE(_xlfn.ANCHORARRAY(XP224))),0)</f>
        <v>0</v>
      </c>
      <c r="XV224" t="str" cm="1">
        <f t="array" ref="XV224">IF(AND(XU224&gt;$XV$1,XN224&lt;&gt;""),_xlfn.XLOOKUP(MAX(_xlfn.ANCHORARRAY(XP224)),_xlfn.ANCHORARRAY(XP224),XP$4:XT$4,""),"")</f>
        <v/>
      </c>
      <c r="XX224" cm="1">
        <f t="array" ref="XX224:YG224">SUMIFS($M224:$GJ224,$M$2:$GJ$2,XX$3:YG$3)</f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 cm="1">
        <f t="array" ref="YH224">IFERROR(MAX((_xlfn.ANCHORARRAY(XX224)-AVERAGE(_xlfn.ANCHORARRAY(XX224)))/ AVERAGE(_xlfn.ANCHORARRAY(XX224))),0)</f>
        <v>0</v>
      </c>
      <c r="YI224" t="str" cm="1">
        <f t="array" ref="YI224">IF(YH224&gt;$YI$1,_xlfn.XLOOKUP(MAX(_xlfn.ANCHORARRAY(XX224)),_xlfn.ANCHORARRAY(XX224),XX$4:YG$4,""),"")</f>
        <v/>
      </c>
      <c r="YK224" t="str">
        <f t="shared" si="108"/>
        <v/>
      </c>
    </row>
    <row r="225" spans="2:661" x14ac:dyDescent="0.3">
      <c r="B225" s="2" t="str">
        <f t="shared" si="97"/>
        <v>CHA</v>
      </c>
      <c r="C225" s="2" t="str">
        <f t="shared" si="98"/>
        <v>CHA</v>
      </c>
      <c r="D225" s="2" t="str">
        <f t="shared" si="99"/>
        <v>CHA</v>
      </c>
      <c r="E225" s="2" t="str">
        <f t="shared" si="100"/>
        <v/>
      </c>
      <c r="F225" s="2" t="str">
        <f t="shared" si="101"/>
        <v/>
      </c>
      <c r="G225" s="2">
        <f t="shared" si="102"/>
        <v>0</v>
      </c>
      <c r="H225" s="2">
        <f t="shared" si="103"/>
        <v>0</v>
      </c>
      <c r="I225" s="2">
        <f t="shared" si="104"/>
        <v>0</v>
      </c>
      <c r="J225" s="2">
        <f t="shared" si="105"/>
        <v>0</v>
      </c>
      <c r="K225" s="2">
        <f t="shared" si="106"/>
        <v>0</v>
      </c>
      <c r="L225" s="2">
        <f t="shared" si="107"/>
        <v>0</v>
      </c>
      <c r="XJ225" cm="1">
        <f t="array" ref="XJ225:XL225">SUMIFS($M225:$GJ225,$M$1:$GJ$1,XJ$3:XL$3)</f>
        <v>0</v>
      </c>
      <c r="XK225">
        <v>0</v>
      </c>
      <c r="XL225">
        <v>0</v>
      </c>
      <c r="XM225" cm="1">
        <f t="array" ref="XM225">IFERROR(MAX((_xlfn.ANCHORARRAY(XJ225)-AVERAGE(_xlfn.ANCHORARRAY(XJ225)))/ AVERAGE(_xlfn.ANCHORARRAY(XJ225))),0)</f>
        <v>0</v>
      </c>
      <c r="XN225" t="str" cm="1">
        <f t="array" ref="XN225">IF(XM225&gt;$XN$1,_xlfn.XLOOKUP(MAX(_xlfn.ANCHORARRAY(XJ225)),_xlfn.ANCHORARRAY(XJ225),XJ$4:XL$4,""),"")</f>
        <v/>
      </c>
      <c r="XP225" cm="1">
        <f t="array" ref="XP225:XT225">SUMIFS($M225:$GJ225,$M$3:$GJ$3,XP$3:XT$3)</f>
        <v>0</v>
      </c>
      <c r="XQ225">
        <v>0</v>
      </c>
      <c r="XR225">
        <v>0</v>
      </c>
      <c r="XS225">
        <v>0</v>
      </c>
      <c r="XT225">
        <v>0</v>
      </c>
      <c r="XU225" cm="1">
        <f t="array" ref="XU225">IFERROR(MAX((_xlfn.ANCHORARRAY(XP225)-AVERAGE(_xlfn.ANCHORARRAY(XP225)))/ AVERAGE(_xlfn.ANCHORARRAY(XP225))),0)</f>
        <v>0</v>
      </c>
      <c r="XV225" t="str" cm="1">
        <f t="array" ref="XV225">IF(AND(XU225&gt;$XV$1,XN225&lt;&gt;""),_xlfn.XLOOKUP(MAX(_xlfn.ANCHORARRAY(XP225)),_xlfn.ANCHORARRAY(XP225),XP$4:XT$4,""),"")</f>
        <v/>
      </c>
      <c r="XX225" cm="1">
        <f t="array" ref="XX225:YG225">SUMIFS($M225:$GJ225,$M$2:$GJ$2,XX$3:YG$3)</f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 cm="1">
        <f t="array" ref="YH225">IFERROR(MAX((_xlfn.ANCHORARRAY(XX225)-AVERAGE(_xlfn.ANCHORARRAY(XX225)))/ AVERAGE(_xlfn.ANCHORARRAY(XX225))),0)</f>
        <v>0</v>
      </c>
      <c r="YI225" t="str" cm="1">
        <f t="array" ref="YI225">IF(YH225&gt;$YI$1,_xlfn.XLOOKUP(MAX(_xlfn.ANCHORARRAY(XX225)),_xlfn.ANCHORARRAY(XX225),XX$4:YG$4,""),"")</f>
        <v/>
      </c>
      <c r="YK225" t="str">
        <f t="shared" si="108"/>
        <v/>
      </c>
    </row>
    <row r="226" spans="2:661" x14ac:dyDescent="0.3">
      <c r="B226" s="2" t="str">
        <f t="shared" si="97"/>
        <v>CHA</v>
      </c>
      <c r="C226" s="2" t="str">
        <f t="shared" si="98"/>
        <v>CHA</v>
      </c>
      <c r="D226" s="2" t="str">
        <f t="shared" si="99"/>
        <v>CHA</v>
      </c>
      <c r="E226" s="2" t="str">
        <f t="shared" si="100"/>
        <v/>
      </c>
      <c r="F226" s="2" t="str">
        <f t="shared" si="101"/>
        <v/>
      </c>
      <c r="G226" s="2">
        <f t="shared" si="102"/>
        <v>0</v>
      </c>
      <c r="H226" s="2">
        <f t="shared" si="103"/>
        <v>0</v>
      </c>
      <c r="I226" s="2">
        <f t="shared" si="104"/>
        <v>0</v>
      </c>
      <c r="J226" s="2">
        <f t="shared" si="105"/>
        <v>0</v>
      </c>
      <c r="K226" s="2">
        <f t="shared" si="106"/>
        <v>0</v>
      </c>
      <c r="L226" s="2">
        <f t="shared" si="107"/>
        <v>0</v>
      </c>
      <c r="XJ226" cm="1">
        <f t="array" ref="XJ226:XL226">SUMIFS($M226:$GJ226,$M$1:$GJ$1,XJ$3:XL$3)</f>
        <v>0</v>
      </c>
      <c r="XK226">
        <v>0</v>
      </c>
      <c r="XL226">
        <v>0</v>
      </c>
      <c r="XM226" cm="1">
        <f t="array" ref="XM226">IFERROR(MAX((_xlfn.ANCHORARRAY(XJ226)-AVERAGE(_xlfn.ANCHORARRAY(XJ226)))/ AVERAGE(_xlfn.ANCHORARRAY(XJ226))),0)</f>
        <v>0</v>
      </c>
      <c r="XN226" t="str" cm="1">
        <f t="array" ref="XN226">IF(XM226&gt;$XN$1,_xlfn.XLOOKUP(MAX(_xlfn.ANCHORARRAY(XJ226)),_xlfn.ANCHORARRAY(XJ226),XJ$4:XL$4,""),"")</f>
        <v/>
      </c>
      <c r="XP226" cm="1">
        <f t="array" ref="XP226:XT226">SUMIFS($M226:$GJ226,$M$3:$GJ$3,XP$3:XT$3)</f>
        <v>0</v>
      </c>
      <c r="XQ226">
        <v>0</v>
      </c>
      <c r="XR226">
        <v>0</v>
      </c>
      <c r="XS226">
        <v>0</v>
      </c>
      <c r="XT226">
        <v>0</v>
      </c>
      <c r="XU226" cm="1">
        <f t="array" ref="XU226">IFERROR(MAX((_xlfn.ANCHORARRAY(XP226)-AVERAGE(_xlfn.ANCHORARRAY(XP226)))/ AVERAGE(_xlfn.ANCHORARRAY(XP226))),0)</f>
        <v>0</v>
      </c>
      <c r="XV226" t="str" cm="1">
        <f t="array" ref="XV226">IF(AND(XU226&gt;$XV$1,XN226&lt;&gt;""),_xlfn.XLOOKUP(MAX(_xlfn.ANCHORARRAY(XP226)),_xlfn.ANCHORARRAY(XP226),XP$4:XT$4,""),"")</f>
        <v/>
      </c>
      <c r="XX226" cm="1">
        <f t="array" ref="XX226:YG226">SUMIFS($M226:$GJ226,$M$2:$GJ$2,XX$3:YG$3)</f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 cm="1">
        <f t="array" ref="YH226">IFERROR(MAX((_xlfn.ANCHORARRAY(XX226)-AVERAGE(_xlfn.ANCHORARRAY(XX226)))/ AVERAGE(_xlfn.ANCHORARRAY(XX226))),0)</f>
        <v>0</v>
      </c>
      <c r="YI226" t="str" cm="1">
        <f t="array" ref="YI226">IF(YH226&gt;$YI$1,_xlfn.XLOOKUP(MAX(_xlfn.ANCHORARRAY(XX226)),_xlfn.ANCHORARRAY(XX226),XX$4:YG$4,""),"")</f>
        <v/>
      </c>
      <c r="YK226" t="str">
        <f t="shared" si="108"/>
        <v/>
      </c>
    </row>
    <row r="227" spans="2:661" x14ac:dyDescent="0.3">
      <c r="B227" s="2" t="str">
        <f t="shared" si="97"/>
        <v>CHA</v>
      </c>
      <c r="C227" s="2" t="str">
        <f t="shared" si="98"/>
        <v>CHA</v>
      </c>
      <c r="D227" s="2" t="str">
        <f t="shared" si="99"/>
        <v>CHA</v>
      </c>
      <c r="E227" s="2" t="str">
        <f t="shared" si="100"/>
        <v/>
      </c>
      <c r="F227" s="2" t="str">
        <f t="shared" si="101"/>
        <v/>
      </c>
      <c r="G227" s="2">
        <f t="shared" si="102"/>
        <v>0</v>
      </c>
      <c r="H227" s="2">
        <f t="shared" si="103"/>
        <v>0</v>
      </c>
      <c r="I227" s="2">
        <f t="shared" si="104"/>
        <v>0</v>
      </c>
      <c r="J227" s="2">
        <f t="shared" si="105"/>
        <v>0</v>
      </c>
      <c r="K227" s="2">
        <f t="shared" si="106"/>
        <v>0</v>
      </c>
      <c r="L227" s="2">
        <f t="shared" si="107"/>
        <v>0</v>
      </c>
      <c r="XJ227" cm="1">
        <f t="array" ref="XJ227:XL227">SUMIFS($M227:$GJ227,$M$1:$GJ$1,XJ$3:XL$3)</f>
        <v>0</v>
      </c>
      <c r="XK227">
        <v>0</v>
      </c>
      <c r="XL227">
        <v>0</v>
      </c>
      <c r="XM227" cm="1">
        <f t="array" ref="XM227">IFERROR(MAX((_xlfn.ANCHORARRAY(XJ227)-AVERAGE(_xlfn.ANCHORARRAY(XJ227)))/ AVERAGE(_xlfn.ANCHORARRAY(XJ227))),0)</f>
        <v>0</v>
      </c>
      <c r="XN227" t="str" cm="1">
        <f t="array" ref="XN227">IF(XM227&gt;$XN$1,_xlfn.XLOOKUP(MAX(_xlfn.ANCHORARRAY(XJ227)),_xlfn.ANCHORARRAY(XJ227),XJ$4:XL$4,""),"")</f>
        <v/>
      </c>
      <c r="XP227" cm="1">
        <f t="array" ref="XP227:XT227">SUMIFS($M227:$GJ227,$M$3:$GJ$3,XP$3:XT$3)</f>
        <v>0</v>
      </c>
      <c r="XQ227">
        <v>0</v>
      </c>
      <c r="XR227">
        <v>0</v>
      </c>
      <c r="XS227">
        <v>0</v>
      </c>
      <c r="XT227">
        <v>0</v>
      </c>
      <c r="XU227" cm="1">
        <f t="array" ref="XU227">IFERROR(MAX((_xlfn.ANCHORARRAY(XP227)-AVERAGE(_xlfn.ANCHORARRAY(XP227)))/ AVERAGE(_xlfn.ANCHORARRAY(XP227))),0)</f>
        <v>0</v>
      </c>
      <c r="XV227" t="str" cm="1">
        <f t="array" ref="XV227">IF(AND(XU227&gt;$XV$1,XN227&lt;&gt;""),_xlfn.XLOOKUP(MAX(_xlfn.ANCHORARRAY(XP227)),_xlfn.ANCHORARRAY(XP227),XP$4:XT$4,""),"")</f>
        <v/>
      </c>
      <c r="XX227" cm="1">
        <f t="array" ref="XX227:YG227">SUMIFS($M227:$GJ227,$M$2:$GJ$2,XX$3:YG$3)</f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 cm="1">
        <f t="array" ref="YH227">IFERROR(MAX((_xlfn.ANCHORARRAY(XX227)-AVERAGE(_xlfn.ANCHORARRAY(XX227)))/ AVERAGE(_xlfn.ANCHORARRAY(XX227))),0)</f>
        <v>0</v>
      </c>
      <c r="YI227" t="str" cm="1">
        <f t="array" ref="YI227">IF(YH227&gt;$YI$1,_xlfn.XLOOKUP(MAX(_xlfn.ANCHORARRAY(XX227)),_xlfn.ANCHORARRAY(XX227),XX$4:YG$4,""),"")</f>
        <v/>
      </c>
      <c r="YK227" t="str">
        <f t="shared" si="108"/>
        <v/>
      </c>
    </row>
    <row r="228" spans="2:661" x14ac:dyDescent="0.3">
      <c r="B228" s="2" t="str">
        <f t="shared" si="97"/>
        <v>CHA</v>
      </c>
      <c r="C228" s="2" t="str">
        <f t="shared" si="98"/>
        <v>CHA</v>
      </c>
      <c r="D228" s="2" t="str">
        <f t="shared" si="99"/>
        <v>CHA</v>
      </c>
      <c r="E228" s="2" t="str">
        <f t="shared" si="100"/>
        <v/>
      </c>
      <c r="F228" s="2" t="str">
        <f t="shared" si="101"/>
        <v/>
      </c>
      <c r="G228" s="2">
        <f t="shared" si="102"/>
        <v>0</v>
      </c>
      <c r="H228" s="2">
        <f t="shared" si="103"/>
        <v>0</v>
      </c>
      <c r="I228" s="2">
        <f t="shared" si="104"/>
        <v>0</v>
      </c>
      <c r="J228" s="2">
        <f t="shared" si="105"/>
        <v>0</v>
      </c>
      <c r="K228" s="2">
        <f t="shared" si="106"/>
        <v>0</v>
      </c>
      <c r="L228" s="2">
        <f t="shared" si="107"/>
        <v>0</v>
      </c>
      <c r="XJ228" cm="1">
        <f t="array" ref="XJ228:XL228">SUMIFS($M228:$GJ228,$M$1:$GJ$1,XJ$3:XL$3)</f>
        <v>0</v>
      </c>
      <c r="XK228">
        <v>0</v>
      </c>
      <c r="XL228">
        <v>0</v>
      </c>
      <c r="XM228" cm="1">
        <f t="array" ref="XM228">IFERROR(MAX((_xlfn.ANCHORARRAY(XJ228)-AVERAGE(_xlfn.ANCHORARRAY(XJ228)))/ AVERAGE(_xlfn.ANCHORARRAY(XJ228))),0)</f>
        <v>0</v>
      </c>
      <c r="XN228" t="str" cm="1">
        <f t="array" ref="XN228">IF(XM228&gt;$XN$1,_xlfn.XLOOKUP(MAX(_xlfn.ANCHORARRAY(XJ228)),_xlfn.ANCHORARRAY(XJ228),XJ$4:XL$4,""),"")</f>
        <v/>
      </c>
      <c r="XP228" cm="1">
        <f t="array" ref="XP228:XT228">SUMIFS($M228:$GJ228,$M$3:$GJ$3,XP$3:XT$3)</f>
        <v>0</v>
      </c>
      <c r="XQ228">
        <v>0</v>
      </c>
      <c r="XR228">
        <v>0</v>
      </c>
      <c r="XS228">
        <v>0</v>
      </c>
      <c r="XT228">
        <v>0</v>
      </c>
      <c r="XU228" cm="1">
        <f t="array" ref="XU228">IFERROR(MAX((_xlfn.ANCHORARRAY(XP228)-AVERAGE(_xlfn.ANCHORARRAY(XP228)))/ AVERAGE(_xlfn.ANCHORARRAY(XP228))),0)</f>
        <v>0</v>
      </c>
      <c r="XV228" t="str" cm="1">
        <f t="array" ref="XV228">IF(AND(XU228&gt;$XV$1,XN228&lt;&gt;""),_xlfn.XLOOKUP(MAX(_xlfn.ANCHORARRAY(XP228)),_xlfn.ANCHORARRAY(XP228),XP$4:XT$4,""),"")</f>
        <v/>
      </c>
      <c r="XX228" cm="1">
        <f t="array" ref="XX228:YG228">SUMIFS($M228:$GJ228,$M$2:$GJ$2,XX$3:YG$3)</f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 cm="1">
        <f t="array" ref="YH228">IFERROR(MAX((_xlfn.ANCHORARRAY(XX228)-AVERAGE(_xlfn.ANCHORARRAY(XX228)))/ AVERAGE(_xlfn.ANCHORARRAY(XX228))),0)</f>
        <v>0</v>
      </c>
      <c r="YI228" t="str" cm="1">
        <f t="array" ref="YI228">IF(YH228&gt;$YI$1,_xlfn.XLOOKUP(MAX(_xlfn.ANCHORARRAY(XX228)),_xlfn.ANCHORARRAY(XX228),XX$4:YG$4,""),"")</f>
        <v/>
      </c>
      <c r="YK228" t="str">
        <f t="shared" si="108"/>
        <v/>
      </c>
    </row>
    <row r="229" spans="2:661" x14ac:dyDescent="0.3">
      <c r="B229" s="2" t="str">
        <f t="shared" si="97"/>
        <v>CHA</v>
      </c>
      <c r="C229" s="2" t="str">
        <f t="shared" si="98"/>
        <v>CHA</v>
      </c>
      <c r="D229" s="2" t="str">
        <f t="shared" si="99"/>
        <v>CHA</v>
      </c>
      <c r="E229" s="2" t="str">
        <f t="shared" si="100"/>
        <v/>
      </c>
      <c r="F229" s="2" t="str">
        <f t="shared" si="101"/>
        <v/>
      </c>
      <c r="G229" s="2">
        <f t="shared" si="102"/>
        <v>0</v>
      </c>
      <c r="H229" s="2">
        <f t="shared" si="103"/>
        <v>0</v>
      </c>
      <c r="I229" s="2">
        <f t="shared" si="104"/>
        <v>0</v>
      </c>
      <c r="J229" s="2">
        <f t="shared" si="105"/>
        <v>0</v>
      </c>
      <c r="K229" s="2">
        <f t="shared" si="106"/>
        <v>0</v>
      </c>
      <c r="L229" s="2">
        <f t="shared" si="107"/>
        <v>0</v>
      </c>
      <c r="XJ229" cm="1">
        <f t="array" ref="XJ229:XL229">SUMIFS($M229:$GJ229,$M$1:$GJ$1,XJ$3:XL$3)</f>
        <v>0</v>
      </c>
      <c r="XK229">
        <v>0</v>
      </c>
      <c r="XL229">
        <v>0</v>
      </c>
      <c r="XM229" cm="1">
        <f t="array" ref="XM229">IFERROR(MAX((_xlfn.ANCHORARRAY(XJ229)-AVERAGE(_xlfn.ANCHORARRAY(XJ229)))/ AVERAGE(_xlfn.ANCHORARRAY(XJ229))),0)</f>
        <v>0</v>
      </c>
      <c r="XN229" t="str" cm="1">
        <f t="array" ref="XN229">IF(XM229&gt;$XN$1,_xlfn.XLOOKUP(MAX(_xlfn.ANCHORARRAY(XJ229)),_xlfn.ANCHORARRAY(XJ229),XJ$4:XL$4,""),"")</f>
        <v/>
      </c>
      <c r="XP229" cm="1">
        <f t="array" ref="XP229:XT229">SUMIFS($M229:$GJ229,$M$3:$GJ$3,XP$3:XT$3)</f>
        <v>0</v>
      </c>
      <c r="XQ229">
        <v>0</v>
      </c>
      <c r="XR229">
        <v>0</v>
      </c>
      <c r="XS229">
        <v>0</v>
      </c>
      <c r="XT229">
        <v>0</v>
      </c>
      <c r="XU229" cm="1">
        <f t="array" ref="XU229">IFERROR(MAX((_xlfn.ANCHORARRAY(XP229)-AVERAGE(_xlfn.ANCHORARRAY(XP229)))/ AVERAGE(_xlfn.ANCHORARRAY(XP229))),0)</f>
        <v>0</v>
      </c>
      <c r="XV229" t="str" cm="1">
        <f t="array" ref="XV229">IF(AND(XU229&gt;$XV$1,XN229&lt;&gt;""),_xlfn.XLOOKUP(MAX(_xlfn.ANCHORARRAY(XP229)),_xlfn.ANCHORARRAY(XP229),XP$4:XT$4,""),"")</f>
        <v/>
      </c>
      <c r="XX229" cm="1">
        <f t="array" ref="XX229:YG229">SUMIFS($M229:$GJ229,$M$2:$GJ$2,XX$3:YG$3)</f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 cm="1">
        <f t="array" ref="YH229">IFERROR(MAX((_xlfn.ANCHORARRAY(XX229)-AVERAGE(_xlfn.ANCHORARRAY(XX229)))/ AVERAGE(_xlfn.ANCHORARRAY(XX229))),0)</f>
        <v>0</v>
      </c>
      <c r="YI229" t="str" cm="1">
        <f t="array" ref="YI229">IF(YH229&gt;$YI$1,_xlfn.XLOOKUP(MAX(_xlfn.ANCHORARRAY(XX229)),_xlfn.ANCHORARRAY(XX229),XX$4:YG$4,""),"")</f>
        <v/>
      </c>
      <c r="YK229" t="str">
        <f t="shared" si="108"/>
        <v/>
      </c>
    </row>
    <row r="230" spans="2:661" x14ac:dyDescent="0.3">
      <c r="B230" s="2" t="str">
        <f t="shared" si="97"/>
        <v>CHA</v>
      </c>
      <c r="C230" s="2" t="str">
        <f t="shared" si="98"/>
        <v>CHA</v>
      </c>
      <c r="D230" s="2" t="str">
        <f t="shared" si="99"/>
        <v>CHA</v>
      </c>
      <c r="E230" s="2" t="str">
        <f t="shared" si="100"/>
        <v/>
      </c>
      <c r="F230" s="2" t="str">
        <f t="shared" si="101"/>
        <v/>
      </c>
      <c r="G230" s="2">
        <f t="shared" si="102"/>
        <v>0</v>
      </c>
      <c r="H230" s="2">
        <f t="shared" si="103"/>
        <v>0</v>
      </c>
      <c r="I230" s="2">
        <f t="shared" si="104"/>
        <v>0</v>
      </c>
      <c r="J230" s="2">
        <f t="shared" si="105"/>
        <v>0</v>
      </c>
      <c r="K230" s="2">
        <f t="shared" si="106"/>
        <v>0</v>
      </c>
      <c r="L230" s="2">
        <f t="shared" si="107"/>
        <v>0</v>
      </c>
      <c r="XJ230" cm="1">
        <f t="array" ref="XJ230:XL230">SUMIFS($M230:$GJ230,$M$1:$GJ$1,XJ$3:XL$3)</f>
        <v>0</v>
      </c>
      <c r="XK230">
        <v>0</v>
      </c>
      <c r="XL230">
        <v>0</v>
      </c>
      <c r="XM230" cm="1">
        <f t="array" ref="XM230">IFERROR(MAX((_xlfn.ANCHORARRAY(XJ230)-AVERAGE(_xlfn.ANCHORARRAY(XJ230)))/ AVERAGE(_xlfn.ANCHORARRAY(XJ230))),0)</f>
        <v>0</v>
      </c>
      <c r="XN230" t="str" cm="1">
        <f t="array" ref="XN230">IF(XM230&gt;$XN$1,_xlfn.XLOOKUP(MAX(_xlfn.ANCHORARRAY(XJ230)),_xlfn.ANCHORARRAY(XJ230),XJ$4:XL$4,""),"")</f>
        <v/>
      </c>
      <c r="XP230" cm="1">
        <f t="array" ref="XP230:XT230">SUMIFS($M230:$GJ230,$M$3:$GJ$3,XP$3:XT$3)</f>
        <v>0</v>
      </c>
      <c r="XQ230">
        <v>0</v>
      </c>
      <c r="XR230">
        <v>0</v>
      </c>
      <c r="XS230">
        <v>0</v>
      </c>
      <c r="XT230">
        <v>0</v>
      </c>
      <c r="XU230" cm="1">
        <f t="array" ref="XU230">IFERROR(MAX((_xlfn.ANCHORARRAY(XP230)-AVERAGE(_xlfn.ANCHORARRAY(XP230)))/ AVERAGE(_xlfn.ANCHORARRAY(XP230))),0)</f>
        <v>0</v>
      </c>
      <c r="XV230" t="str" cm="1">
        <f t="array" ref="XV230">IF(AND(XU230&gt;$XV$1,XN230&lt;&gt;""),_xlfn.XLOOKUP(MAX(_xlfn.ANCHORARRAY(XP230)),_xlfn.ANCHORARRAY(XP230),XP$4:XT$4,""),"")</f>
        <v/>
      </c>
      <c r="XX230" cm="1">
        <f t="array" ref="XX230:YG230">SUMIFS($M230:$GJ230,$M$2:$GJ$2,XX$3:YG$3)</f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 cm="1">
        <f t="array" ref="YH230">IFERROR(MAX((_xlfn.ANCHORARRAY(XX230)-AVERAGE(_xlfn.ANCHORARRAY(XX230)))/ AVERAGE(_xlfn.ANCHORARRAY(XX230))),0)</f>
        <v>0</v>
      </c>
      <c r="YI230" t="str" cm="1">
        <f t="array" ref="YI230">IF(YH230&gt;$YI$1,_xlfn.XLOOKUP(MAX(_xlfn.ANCHORARRAY(XX230)),_xlfn.ANCHORARRAY(XX230),XX$4:YG$4,""),"")</f>
        <v/>
      </c>
      <c r="YK230" t="str">
        <f t="shared" si="108"/>
        <v/>
      </c>
    </row>
    <row r="231" spans="2:661" x14ac:dyDescent="0.3">
      <c r="B231" s="2" t="str">
        <f t="shared" si="97"/>
        <v>CHA</v>
      </c>
      <c r="C231" s="2" t="str">
        <f t="shared" si="98"/>
        <v>CHA</v>
      </c>
      <c r="D231" s="2" t="str">
        <f t="shared" si="99"/>
        <v>CHA</v>
      </c>
      <c r="E231" s="2" t="str">
        <f t="shared" si="100"/>
        <v/>
      </c>
      <c r="F231" s="2" t="str">
        <f t="shared" si="101"/>
        <v/>
      </c>
      <c r="G231" s="2">
        <f t="shared" si="102"/>
        <v>0</v>
      </c>
      <c r="H231" s="2">
        <f t="shared" si="103"/>
        <v>0</v>
      </c>
      <c r="I231" s="2">
        <f t="shared" si="104"/>
        <v>0</v>
      </c>
      <c r="J231" s="2">
        <f t="shared" si="105"/>
        <v>0</v>
      </c>
      <c r="K231" s="2">
        <f t="shared" si="106"/>
        <v>0</v>
      </c>
      <c r="L231" s="2">
        <f t="shared" si="107"/>
        <v>0</v>
      </c>
      <c r="XJ231" cm="1">
        <f t="array" ref="XJ231:XL231">SUMIFS($M231:$GJ231,$M$1:$GJ$1,XJ$3:XL$3)</f>
        <v>0</v>
      </c>
      <c r="XK231">
        <v>0</v>
      </c>
      <c r="XL231">
        <v>0</v>
      </c>
      <c r="XM231" cm="1">
        <f t="array" ref="XM231">IFERROR(MAX((_xlfn.ANCHORARRAY(XJ231)-AVERAGE(_xlfn.ANCHORARRAY(XJ231)))/ AVERAGE(_xlfn.ANCHORARRAY(XJ231))),0)</f>
        <v>0</v>
      </c>
      <c r="XN231" t="str" cm="1">
        <f t="array" ref="XN231">IF(XM231&gt;$XN$1,_xlfn.XLOOKUP(MAX(_xlfn.ANCHORARRAY(XJ231)),_xlfn.ANCHORARRAY(XJ231),XJ$4:XL$4,""),"")</f>
        <v/>
      </c>
      <c r="XP231" cm="1">
        <f t="array" ref="XP231:XT231">SUMIFS($M231:$GJ231,$M$3:$GJ$3,XP$3:XT$3)</f>
        <v>0</v>
      </c>
      <c r="XQ231">
        <v>0</v>
      </c>
      <c r="XR231">
        <v>0</v>
      </c>
      <c r="XS231">
        <v>0</v>
      </c>
      <c r="XT231">
        <v>0</v>
      </c>
      <c r="XU231" cm="1">
        <f t="array" ref="XU231">IFERROR(MAX((_xlfn.ANCHORARRAY(XP231)-AVERAGE(_xlfn.ANCHORARRAY(XP231)))/ AVERAGE(_xlfn.ANCHORARRAY(XP231))),0)</f>
        <v>0</v>
      </c>
      <c r="XV231" t="str" cm="1">
        <f t="array" ref="XV231">IF(AND(XU231&gt;$XV$1,XN231&lt;&gt;""),_xlfn.XLOOKUP(MAX(_xlfn.ANCHORARRAY(XP231)),_xlfn.ANCHORARRAY(XP231),XP$4:XT$4,""),"")</f>
        <v/>
      </c>
      <c r="XX231" cm="1">
        <f t="array" ref="XX231:YG231">SUMIFS($M231:$GJ231,$M$2:$GJ$2,XX$3:YG$3)</f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 cm="1">
        <f t="array" ref="YH231">IFERROR(MAX((_xlfn.ANCHORARRAY(XX231)-AVERAGE(_xlfn.ANCHORARRAY(XX231)))/ AVERAGE(_xlfn.ANCHORARRAY(XX231))),0)</f>
        <v>0</v>
      </c>
      <c r="YI231" t="str" cm="1">
        <f t="array" ref="YI231">IF(YH231&gt;$YI$1,_xlfn.XLOOKUP(MAX(_xlfn.ANCHORARRAY(XX231)),_xlfn.ANCHORARRAY(XX231),XX$4:YG$4,""),"")</f>
        <v/>
      </c>
      <c r="YK231" t="str">
        <f t="shared" si="108"/>
        <v/>
      </c>
    </row>
    <row r="232" spans="2:661" x14ac:dyDescent="0.3">
      <c r="B232" s="2" t="str">
        <f t="shared" si="97"/>
        <v>CHA</v>
      </c>
      <c r="C232" s="2" t="str">
        <f t="shared" si="98"/>
        <v>CHA</v>
      </c>
      <c r="D232" s="2" t="str">
        <f t="shared" si="99"/>
        <v>CHA</v>
      </c>
      <c r="E232" s="2" t="str">
        <f t="shared" si="100"/>
        <v/>
      </c>
      <c r="F232" s="2" t="str">
        <f t="shared" si="101"/>
        <v/>
      </c>
      <c r="G232" s="2">
        <f t="shared" si="102"/>
        <v>0</v>
      </c>
      <c r="H232" s="2">
        <f t="shared" si="103"/>
        <v>0</v>
      </c>
      <c r="I232" s="2">
        <f t="shared" si="104"/>
        <v>0</v>
      </c>
      <c r="J232" s="2">
        <f t="shared" si="105"/>
        <v>0</v>
      </c>
      <c r="K232" s="2">
        <f t="shared" si="106"/>
        <v>0</v>
      </c>
      <c r="L232" s="2">
        <f t="shared" si="107"/>
        <v>0</v>
      </c>
      <c r="XJ232" cm="1">
        <f t="array" ref="XJ232:XL232">SUMIFS($M232:$GJ232,$M$1:$GJ$1,XJ$3:XL$3)</f>
        <v>0</v>
      </c>
      <c r="XK232">
        <v>0</v>
      </c>
      <c r="XL232">
        <v>0</v>
      </c>
      <c r="XM232" cm="1">
        <f t="array" ref="XM232">IFERROR(MAX((_xlfn.ANCHORARRAY(XJ232)-AVERAGE(_xlfn.ANCHORARRAY(XJ232)))/ AVERAGE(_xlfn.ANCHORARRAY(XJ232))),0)</f>
        <v>0</v>
      </c>
      <c r="XN232" t="str" cm="1">
        <f t="array" ref="XN232">IF(XM232&gt;$XN$1,_xlfn.XLOOKUP(MAX(_xlfn.ANCHORARRAY(XJ232)),_xlfn.ANCHORARRAY(XJ232),XJ$4:XL$4,""),"")</f>
        <v/>
      </c>
      <c r="XP232" cm="1">
        <f t="array" ref="XP232:XT232">SUMIFS($M232:$GJ232,$M$3:$GJ$3,XP$3:XT$3)</f>
        <v>0</v>
      </c>
      <c r="XQ232">
        <v>0</v>
      </c>
      <c r="XR232">
        <v>0</v>
      </c>
      <c r="XS232">
        <v>0</v>
      </c>
      <c r="XT232">
        <v>0</v>
      </c>
      <c r="XU232" cm="1">
        <f t="array" ref="XU232">IFERROR(MAX((_xlfn.ANCHORARRAY(XP232)-AVERAGE(_xlfn.ANCHORARRAY(XP232)))/ AVERAGE(_xlfn.ANCHORARRAY(XP232))),0)</f>
        <v>0</v>
      </c>
      <c r="XV232" t="str" cm="1">
        <f t="array" ref="XV232">IF(AND(XU232&gt;$XV$1,XN232&lt;&gt;""),_xlfn.XLOOKUP(MAX(_xlfn.ANCHORARRAY(XP232)),_xlfn.ANCHORARRAY(XP232),XP$4:XT$4,""),"")</f>
        <v/>
      </c>
      <c r="XX232" cm="1">
        <f t="array" ref="XX232:YG232">SUMIFS($M232:$GJ232,$M$2:$GJ$2,XX$3:YG$3)</f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 cm="1">
        <f t="array" ref="YH232">IFERROR(MAX((_xlfn.ANCHORARRAY(XX232)-AVERAGE(_xlfn.ANCHORARRAY(XX232)))/ AVERAGE(_xlfn.ANCHORARRAY(XX232))),0)</f>
        <v>0</v>
      </c>
      <c r="YI232" t="str" cm="1">
        <f t="array" ref="YI232">IF(YH232&gt;$YI$1,_xlfn.XLOOKUP(MAX(_xlfn.ANCHORARRAY(XX232)),_xlfn.ANCHORARRAY(XX232),XX$4:YG$4,""),"")</f>
        <v/>
      </c>
      <c r="YK232" t="str">
        <f t="shared" si="108"/>
        <v/>
      </c>
    </row>
    <row r="233" spans="2:661" x14ac:dyDescent="0.3">
      <c r="B233" s="2" t="str">
        <f t="shared" ref="B233:B250" si="109">IF(C233="NotFound",D233,C233)</f>
        <v>CHA</v>
      </c>
      <c r="C233" s="2" t="str">
        <f t="shared" ref="C233:C250" si="110">IF(K233&gt;1,"NotFound","CHA"&amp;_xlfn.XLOOKUP(MAX(M233:GJ233,1),M233:GJ233,$M$4:$GJ$4,""))</f>
        <v>CHA</v>
      </c>
      <c r="D233" s="2" t="str">
        <f t="shared" ref="D233:D250" si="111">IF(G233&gt;1,"NotFound","CHA"&amp;_xlfn.XLOOKUP(MAX(GL233:NI233,1),GL233:NI233,$GL$4:$NI$4,""))</f>
        <v>CHA</v>
      </c>
      <c r="E233" s="2" t="str">
        <f t="shared" ref="E233:E250" si="112">YK233</f>
        <v/>
      </c>
      <c r="F233" s="2" t="str">
        <f t="shared" ref="F233:F250" si="113">IF(I233&gt;1,"NotFound",_xlfn.XLOOKUP(MAX(NK233:XG233,1),NK233:XG233,$NK$4:$XG$4,""))</f>
        <v/>
      </c>
      <c r="G233" s="2">
        <f t="shared" ref="G233:G250" si="114">COUNTIF(GL233:NI233,H233)</f>
        <v>0</v>
      </c>
      <c r="H233" s="2">
        <f t="shared" ref="H233:H250" si="115">MAX(GL233:NI233)</f>
        <v>0</v>
      </c>
      <c r="I233" s="2">
        <f t="shared" ref="I233:I250" si="116">COUNTIF(NK233:XG233,J233)</f>
        <v>0</v>
      </c>
      <c r="J233" s="2">
        <f t="shared" ref="J233:J250" si="117">MAX(NK233:XG233)</f>
        <v>0</v>
      </c>
      <c r="K233" s="2">
        <f t="shared" ref="K233:K250" si="118">COUNTIF(M233:GJ233,L233)</f>
        <v>0</v>
      </c>
      <c r="L233" s="2">
        <f t="shared" ref="L233:L250" si="119">MAX(M233:GJ233)</f>
        <v>0</v>
      </c>
      <c r="XJ233" cm="1">
        <f t="array" ref="XJ233:XL233">SUMIFS($M233:$GJ233,$M$1:$GJ$1,XJ$3:XL$3)</f>
        <v>0</v>
      </c>
      <c r="XK233">
        <v>0</v>
      </c>
      <c r="XL233">
        <v>0</v>
      </c>
      <c r="XM233" cm="1">
        <f t="array" ref="XM233">IFERROR(MAX((_xlfn.ANCHORARRAY(XJ233)-AVERAGE(_xlfn.ANCHORARRAY(XJ233)))/ AVERAGE(_xlfn.ANCHORARRAY(XJ233))),0)</f>
        <v>0</v>
      </c>
      <c r="XN233" t="str" cm="1">
        <f t="array" ref="XN233">IF(XM233&gt;$XN$1,_xlfn.XLOOKUP(MAX(_xlfn.ANCHORARRAY(XJ233)),_xlfn.ANCHORARRAY(XJ233),XJ$4:XL$4,""),"")</f>
        <v/>
      </c>
      <c r="XP233" cm="1">
        <f t="array" ref="XP233:XT233">SUMIFS($M233:$GJ233,$M$3:$GJ$3,XP$3:XT$3)</f>
        <v>0</v>
      </c>
      <c r="XQ233">
        <v>0</v>
      </c>
      <c r="XR233">
        <v>0</v>
      </c>
      <c r="XS233">
        <v>0</v>
      </c>
      <c r="XT233">
        <v>0</v>
      </c>
      <c r="XU233" cm="1">
        <f t="array" ref="XU233">IFERROR(MAX((_xlfn.ANCHORARRAY(XP233)-AVERAGE(_xlfn.ANCHORARRAY(XP233)))/ AVERAGE(_xlfn.ANCHORARRAY(XP233))),0)</f>
        <v>0</v>
      </c>
      <c r="XV233" t="str" cm="1">
        <f t="array" ref="XV233">IF(AND(XU233&gt;$XV$1,XN233&lt;&gt;""),_xlfn.XLOOKUP(MAX(_xlfn.ANCHORARRAY(XP233)),_xlfn.ANCHORARRAY(XP233),XP$4:XT$4,""),"")</f>
        <v/>
      </c>
      <c r="XX233" cm="1">
        <f t="array" ref="XX233:YG233">SUMIFS($M233:$GJ233,$M$2:$GJ$2,XX$3:YG$3)</f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 cm="1">
        <f t="array" ref="YH233">IFERROR(MAX((_xlfn.ANCHORARRAY(XX233)-AVERAGE(_xlfn.ANCHORARRAY(XX233)))/ AVERAGE(_xlfn.ANCHORARRAY(XX233))),0)</f>
        <v>0</v>
      </c>
      <c r="YI233" t="str" cm="1">
        <f t="array" ref="YI233">IF(YH233&gt;$YI$1,_xlfn.XLOOKUP(MAX(_xlfn.ANCHORARRAY(XX233)),_xlfn.ANCHORARRAY(XX233),XX$4:YG$4,""),"")</f>
        <v/>
      </c>
      <c r="YK233" t="str">
        <f t="shared" ref="YK233:YK250" si="120">_xlfn.TEXTJOIN(" : ",,XN233,XV233,YI233)</f>
        <v/>
      </c>
    </row>
    <row r="234" spans="2:661" x14ac:dyDescent="0.3">
      <c r="B234" s="2" t="str">
        <f t="shared" si="109"/>
        <v>CHA</v>
      </c>
      <c r="C234" s="2" t="str">
        <f t="shared" si="110"/>
        <v>CHA</v>
      </c>
      <c r="D234" s="2" t="str">
        <f t="shared" si="111"/>
        <v>CHA</v>
      </c>
      <c r="E234" s="2" t="str">
        <f t="shared" si="112"/>
        <v/>
      </c>
      <c r="F234" s="2" t="str">
        <f t="shared" si="113"/>
        <v/>
      </c>
      <c r="G234" s="2">
        <f t="shared" si="114"/>
        <v>0</v>
      </c>
      <c r="H234" s="2">
        <f t="shared" si="115"/>
        <v>0</v>
      </c>
      <c r="I234" s="2">
        <f t="shared" si="116"/>
        <v>0</v>
      </c>
      <c r="J234" s="2">
        <f t="shared" si="117"/>
        <v>0</v>
      </c>
      <c r="K234" s="2">
        <f t="shared" si="118"/>
        <v>0</v>
      </c>
      <c r="L234" s="2">
        <f t="shared" si="119"/>
        <v>0</v>
      </c>
      <c r="XJ234" cm="1">
        <f t="array" ref="XJ234:XL234">SUMIFS($M234:$GJ234,$M$1:$GJ$1,XJ$3:XL$3)</f>
        <v>0</v>
      </c>
      <c r="XK234">
        <v>0</v>
      </c>
      <c r="XL234">
        <v>0</v>
      </c>
      <c r="XM234" cm="1">
        <f t="array" ref="XM234">IFERROR(MAX((_xlfn.ANCHORARRAY(XJ234)-AVERAGE(_xlfn.ANCHORARRAY(XJ234)))/ AVERAGE(_xlfn.ANCHORARRAY(XJ234))),0)</f>
        <v>0</v>
      </c>
      <c r="XN234" t="str" cm="1">
        <f t="array" ref="XN234">IF(XM234&gt;$XN$1,_xlfn.XLOOKUP(MAX(_xlfn.ANCHORARRAY(XJ234)),_xlfn.ANCHORARRAY(XJ234),XJ$4:XL$4,""),"")</f>
        <v/>
      </c>
      <c r="XP234" cm="1">
        <f t="array" ref="XP234:XT234">SUMIFS($M234:$GJ234,$M$3:$GJ$3,XP$3:XT$3)</f>
        <v>0</v>
      </c>
      <c r="XQ234">
        <v>0</v>
      </c>
      <c r="XR234">
        <v>0</v>
      </c>
      <c r="XS234">
        <v>0</v>
      </c>
      <c r="XT234">
        <v>0</v>
      </c>
      <c r="XU234" cm="1">
        <f t="array" ref="XU234">IFERROR(MAX((_xlfn.ANCHORARRAY(XP234)-AVERAGE(_xlfn.ANCHORARRAY(XP234)))/ AVERAGE(_xlfn.ANCHORARRAY(XP234))),0)</f>
        <v>0</v>
      </c>
      <c r="XV234" t="str" cm="1">
        <f t="array" ref="XV234">IF(AND(XU234&gt;$XV$1,XN234&lt;&gt;""),_xlfn.XLOOKUP(MAX(_xlfn.ANCHORARRAY(XP234)),_xlfn.ANCHORARRAY(XP234),XP$4:XT$4,""),"")</f>
        <v/>
      </c>
      <c r="XX234" cm="1">
        <f t="array" ref="XX234:YG234">SUMIFS($M234:$GJ234,$M$2:$GJ$2,XX$3:YG$3)</f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 cm="1">
        <f t="array" ref="YH234">IFERROR(MAX((_xlfn.ANCHORARRAY(XX234)-AVERAGE(_xlfn.ANCHORARRAY(XX234)))/ AVERAGE(_xlfn.ANCHORARRAY(XX234))),0)</f>
        <v>0</v>
      </c>
      <c r="YI234" t="str" cm="1">
        <f t="array" ref="YI234">IF(YH234&gt;$YI$1,_xlfn.XLOOKUP(MAX(_xlfn.ANCHORARRAY(XX234)),_xlfn.ANCHORARRAY(XX234),XX$4:YG$4,""),"")</f>
        <v/>
      </c>
      <c r="YK234" t="str">
        <f t="shared" si="120"/>
        <v/>
      </c>
    </row>
    <row r="235" spans="2:661" x14ac:dyDescent="0.3">
      <c r="B235" s="2" t="str">
        <f t="shared" si="109"/>
        <v>CHA</v>
      </c>
      <c r="C235" s="2" t="str">
        <f t="shared" si="110"/>
        <v>CHA</v>
      </c>
      <c r="D235" s="2" t="str">
        <f t="shared" si="111"/>
        <v>CHA</v>
      </c>
      <c r="E235" s="2" t="str">
        <f t="shared" si="112"/>
        <v/>
      </c>
      <c r="F235" s="2" t="str">
        <f t="shared" si="113"/>
        <v/>
      </c>
      <c r="G235" s="2">
        <f t="shared" si="114"/>
        <v>0</v>
      </c>
      <c r="H235" s="2">
        <f t="shared" si="115"/>
        <v>0</v>
      </c>
      <c r="I235" s="2">
        <f t="shared" si="116"/>
        <v>0</v>
      </c>
      <c r="J235" s="2">
        <f t="shared" si="117"/>
        <v>0</v>
      </c>
      <c r="K235" s="2">
        <f t="shared" si="118"/>
        <v>0</v>
      </c>
      <c r="L235" s="2">
        <f t="shared" si="119"/>
        <v>0</v>
      </c>
      <c r="XJ235" cm="1">
        <f t="array" ref="XJ235:XL235">SUMIFS($M235:$GJ235,$M$1:$GJ$1,XJ$3:XL$3)</f>
        <v>0</v>
      </c>
      <c r="XK235">
        <v>0</v>
      </c>
      <c r="XL235">
        <v>0</v>
      </c>
      <c r="XM235" cm="1">
        <f t="array" ref="XM235">IFERROR(MAX((_xlfn.ANCHORARRAY(XJ235)-AVERAGE(_xlfn.ANCHORARRAY(XJ235)))/ AVERAGE(_xlfn.ANCHORARRAY(XJ235))),0)</f>
        <v>0</v>
      </c>
      <c r="XN235" t="str" cm="1">
        <f t="array" ref="XN235">IF(XM235&gt;$XN$1,_xlfn.XLOOKUP(MAX(_xlfn.ANCHORARRAY(XJ235)),_xlfn.ANCHORARRAY(XJ235),XJ$4:XL$4,""),"")</f>
        <v/>
      </c>
      <c r="XP235" cm="1">
        <f t="array" ref="XP235:XT235">SUMIFS($M235:$GJ235,$M$3:$GJ$3,XP$3:XT$3)</f>
        <v>0</v>
      </c>
      <c r="XQ235">
        <v>0</v>
      </c>
      <c r="XR235">
        <v>0</v>
      </c>
      <c r="XS235">
        <v>0</v>
      </c>
      <c r="XT235">
        <v>0</v>
      </c>
      <c r="XU235" cm="1">
        <f t="array" ref="XU235">IFERROR(MAX((_xlfn.ANCHORARRAY(XP235)-AVERAGE(_xlfn.ANCHORARRAY(XP235)))/ AVERAGE(_xlfn.ANCHORARRAY(XP235))),0)</f>
        <v>0</v>
      </c>
      <c r="XV235" t="str" cm="1">
        <f t="array" ref="XV235">IF(AND(XU235&gt;$XV$1,XN235&lt;&gt;""),_xlfn.XLOOKUP(MAX(_xlfn.ANCHORARRAY(XP235)),_xlfn.ANCHORARRAY(XP235),XP$4:XT$4,""),"")</f>
        <v/>
      </c>
      <c r="XX235" cm="1">
        <f t="array" ref="XX235:YG235">SUMIFS($M235:$GJ235,$M$2:$GJ$2,XX$3:YG$3)</f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 cm="1">
        <f t="array" ref="YH235">IFERROR(MAX((_xlfn.ANCHORARRAY(XX235)-AVERAGE(_xlfn.ANCHORARRAY(XX235)))/ AVERAGE(_xlfn.ANCHORARRAY(XX235))),0)</f>
        <v>0</v>
      </c>
      <c r="YI235" t="str" cm="1">
        <f t="array" ref="YI235">IF(YH235&gt;$YI$1,_xlfn.XLOOKUP(MAX(_xlfn.ANCHORARRAY(XX235)),_xlfn.ANCHORARRAY(XX235),XX$4:YG$4,""),"")</f>
        <v/>
      </c>
      <c r="YK235" t="str">
        <f t="shared" si="120"/>
        <v/>
      </c>
    </row>
    <row r="236" spans="2:661" x14ac:dyDescent="0.3">
      <c r="B236" s="2" t="str">
        <f t="shared" si="109"/>
        <v>CHA</v>
      </c>
      <c r="C236" s="2" t="str">
        <f t="shared" si="110"/>
        <v>CHA</v>
      </c>
      <c r="D236" s="2" t="str">
        <f t="shared" si="111"/>
        <v>CHA</v>
      </c>
      <c r="E236" s="2" t="str">
        <f t="shared" si="112"/>
        <v/>
      </c>
      <c r="F236" s="2" t="str">
        <f t="shared" si="113"/>
        <v/>
      </c>
      <c r="G236" s="2">
        <f t="shared" si="114"/>
        <v>0</v>
      </c>
      <c r="H236" s="2">
        <f t="shared" si="115"/>
        <v>0</v>
      </c>
      <c r="I236" s="2">
        <f t="shared" si="116"/>
        <v>0</v>
      </c>
      <c r="J236" s="2">
        <f t="shared" si="117"/>
        <v>0</v>
      </c>
      <c r="K236" s="2">
        <f t="shared" si="118"/>
        <v>0</v>
      </c>
      <c r="L236" s="2">
        <f t="shared" si="119"/>
        <v>0</v>
      </c>
      <c r="XJ236" cm="1">
        <f t="array" ref="XJ236:XL236">SUMIFS($M236:$GJ236,$M$1:$GJ$1,XJ$3:XL$3)</f>
        <v>0</v>
      </c>
      <c r="XK236">
        <v>0</v>
      </c>
      <c r="XL236">
        <v>0</v>
      </c>
      <c r="XM236" cm="1">
        <f t="array" ref="XM236">IFERROR(MAX((_xlfn.ANCHORARRAY(XJ236)-AVERAGE(_xlfn.ANCHORARRAY(XJ236)))/ AVERAGE(_xlfn.ANCHORARRAY(XJ236))),0)</f>
        <v>0</v>
      </c>
      <c r="XN236" t="str" cm="1">
        <f t="array" ref="XN236">IF(XM236&gt;$XN$1,_xlfn.XLOOKUP(MAX(_xlfn.ANCHORARRAY(XJ236)),_xlfn.ANCHORARRAY(XJ236),XJ$4:XL$4,""),"")</f>
        <v/>
      </c>
      <c r="XP236" cm="1">
        <f t="array" ref="XP236:XT236">SUMIFS($M236:$GJ236,$M$3:$GJ$3,XP$3:XT$3)</f>
        <v>0</v>
      </c>
      <c r="XQ236">
        <v>0</v>
      </c>
      <c r="XR236">
        <v>0</v>
      </c>
      <c r="XS236">
        <v>0</v>
      </c>
      <c r="XT236">
        <v>0</v>
      </c>
      <c r="XU236" cm="1">
        <f t="array" ref="XU236">IFERROR(MAX((_xlfn.ANCHORARRAY(XP236)-AVERAGE(_xlfn.ANCHORARRAY(XP236)))/ AVERAGE(_xlfn.ANCHORARRAY(XP236))),0)</f>
        <v>0</v>
      </c>
      <c r="XV236" t="str" cm="1">
        <f t="array" ref="XV236">IF(AND(XU236&gt;$XV$1,XN236&lt;&gt;""),_xlfn.XLOOKUP(MAX(_xlfn.ANCHORARRAY(XP236)),_xlfn.ANCHORARRAY(XP236),XP$4:XT$4,""),"")</f>
        <v/>
      </c>
      <c r="XX236" cm="1">
        <f t="array" ref="XX236:YG236">SUMIFS($M236:$GJ236,$M$2:$GJ$2,XX$3:YG$3)</f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 cm="1">
        <f t="array" ref="YH236">IFERROR(MAX((_xlfn.ANCHORARRAY(XX236)-AVERAGE(_xlfn.ANCHORARRAY(XX236)))/ AVERAGE(_xlfn.ANCHORARRAY(XX236))),0)</f>
        <v>0</v>
      </c>
      <c r="YI236" t="str" cm="1">
        <f t="array" ref="YI236">IF(YH236&gt;$YI$1,_xlfn.XLOOKUP(MAX(_xlfn.ANCHORARRAY(XX236)),_xlfn.ANCHORARRAY(XX236),XX$4:YG$4,""),"")</f>
        <v/>
      </c>
      <c r="YK236" t="str">
        <f t="shared" si="120"/>
        <v/>
      </c>
    </row>
    <row r="237" spans="2:661" x14ac:dyDescent="0.3">
      <c r="B237" s="2" t="str">
        <f t="shared" si="109"/>
        <v>CHA</v>
      </c>
      <c r="C237" s="2" t="str">
        <f t="shared" si="110"/>
        <v>CHA</v>
      </c>
      <c r="D237" s="2" t="str">
        <f t="shared" si="111"/>
        <v>CHA</v>
      </c>
      <c r="E237" s="2" t="str">
        <f t="shared" si="112"/>
        <v/>
      </c>
      <c r="F237" s="2" t="str">
        <f t="shared" si="113"/>
        <v/>
      </c>
      <c r="G237" s="2">
        <f t="shared" si="114"/>
        <v>0</v>
      </c>
      <c r="H237" s="2">
        <f t="shared" si="115"/>
        <v>0</v>
      </c>
      <c r="I237" s="2">
        <f t="shared" si="116"/>
        <v>0</v>
      </c>
      <c r="J237" s="2">
        <f t="shared" si="117"/>
        <v>0</v>
      </c>
      <c r="K237" s="2">
        <f t="shared" si="118"/>
        <v>0</v>
      </c>
      <c r="L237" s="2">
        <f t="shared" si="119"/>
        <v>0</v>
      </c>
      <c r="XJ237" cm="1">
        <f t="array" ref="XJ237:XL237">SUMIFS($M237:$GJ237,$M$1:$GJ$1,XJ$3:XL$3)</f>
        <v>0</v>
      </c>
      <c r="XK237">
        <v>0</v>
      </c>
      <c r="XL237">
        <v>0</v>
      </c>
      <c r="XM237" cm="1">
        <f t="array" ref="XM237">IFERROR(MAX((_xlfn.ANCHORARRAY(XJ237)-AVERAGE(_xlfn.ANCHORARRAY(XJ237)))/ AVERAGE(_xlfn.ANCHORARRAY(XJ237))),0)</f>
        <v>0</v>
      </c>
      <c r="XN237" t="str" cm="1">
        <f t="array" ref="XN237">IF(XM237&gt;$XN$1,_xlfn.XLOOKUP(MAX(_xlfn.ANCHORARRAY(XJ237)),_xlfn.ANCHORARRAY(XJ237),XJ$4:XL$4,""),"")</f>
        <v/>
      </c>
      <c r="XP237" cm="1">
        <f t="array" ref="XP237:XT237">SUMIFS($M237:$GJ237,$M$3:$GJ$3,XP$3:XT$3)</f>
        <v>0</v>
      </c>
      <c r="XQ237">
        <v>0</v>
      </c>
      <c r="XR237">
        <v>0</v>
      </c>
      <c r="XS237">
        <v>0</v>
      </c>
      <c r="XT237">
        <v>0</v>
      </c>
      <c r="XU237" cm="1">
        <f t="array" ref="XU237">IFERROR(MAX((_xlfn.ANCHORARRAY(XP237)-AVERAGE(_xlfn.ANCHORARRAY(XP237)))/ AVERAGE(_xlfn.ANCHORARRAY(XP237))),0)</f>
        <v>0</v>
      </c>
      <c r="XV237" t="str" cm="1">
        <f t="array" ref="XV237">IF(AND(XU237&gt;$XV$1,XN237&lt;&gt;""),_xlfn.XLOOKUP(MAX(_xlfn.ANCHORARRAY(XP237)),_xlfn.ANCHORARRAY(XP237),XP$4:XT$4,""),"")</f>
        <v/>
      </c>
      <c r="XX237" cm="1">
        <f t="array" ref="XX237:YG237">SUMIFS($M237:$GJ237,$M$2:$GJ$2,XX$3:YG$3)</f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 cm="1">
        <f t="array" ref="YH237">IFERROR(MAX((_xlfn.ANCHORARRAY(XX237)-AVERAGE(_xlfn.ANCHORARRAY(XX237)))/ AVERAGE(_xlfn.ANCHORARRAY(XX237))),0)</f>
        <v>0</v>
      </c>
      <c r="YI237" t="str" cm="1">
        <f t="array" ref="YI237">IF(YH237&gt;$YI$1,_xlfn.XLOOKUP(MAX(_xlfn.ANCHORARRAY(XX237)),_xlfn.ANCHORARRAY(XX237),XX$4:YG$4,""),"")</f>
        <v/>
      </c>
      <c r="YK237" t="str">
        <f t="shared" si="120"/>
        <v/>
      </c>
    </row>
    <row r="238" spans="2:661" x14ac:dyDescent="0.3">
      <c r="B238" s="2" t="str">
        <f t="shared" si="109"/>
        <v>CHA</v>
      </c>
      <c r="C238" s="2" t="str">
        <f t="shared" si="110"/>
        <v>CHA</v>
      </c>
      <c r="D238" s="2" t="str">
        <f t="shared" si="111"/>
        <v>CHA</v>
      </c>
      <c r="E238" s="2" t="str">
        <f t="shared" si="112"/>
        <v/>
      </c>
      <c r="F238" s="2" t="str">
        <f t="shared" si="113"/>
        <v/>
      </c>
      <c r="G238" s="2">
        <f t="shared" si="114"/>
        <v>0</v>
      </c>
      <c r="H238" s="2">
        <f t="shared" si="115"/>
        <v>0</v>
      </c>
      <c r="I238" s="2">
        <f t="shared" si="116"/>
        <v>0</v>
      </c>
      <c r="J238" s="2">
        <f t="shared" si="117"/>
        <v>0</v>
      </c>
      <c r="K238" s="2">
        <f t="shared" si="118"/>
        <v>0</v>
      </c>
      <c r="L238" s="2">
        <f t="shared" si="119"/>
        <v>0</v>
      </c>
      <c r="XJ238" cm="1">
        <f t="array" ref="XJ238:XL238">SUMIFS($M238:$GJ238,$M$1:$GJ$1,XJ$3:XL$3)</f>
        <v>0</v>
      </c>
      <c r="XK238">
        <v>0</v>
      </c>
      <c r="XL238">
        <v>0</v>
      </c>
      <c r="XM238" cm="1">
        <f t="array" ref="XM238">IFERROR(MAX((_xlfn.ANCHORARRAY(XJ238)-AVERAGE(_xlfn.ANCHORARRAY(XJ238)))/ AVERAGE(_xlfn.ANCHORARRAY(XJ238))),0)</f>
        <v>0</v>
      </c>
      <c r="XN238" t="str" cm="1">
        <f t="array" ref="XN238">IF(XM238&gt;$XN$1,_xlfn.XLOOKUP(MAX(_xlfn.ANCHORARRAY(XJ238)),_xlfn.ANCHORARRAY(XJ238),XJ$4:XL$4,""),"")</f>
        <v/>
      </c>
      <c r="XP238" cm="1">
        <f t="array" ref="XP238:XT238">SUMIFS($M238:$GJ238,$M$3:$GJ$3,XP$3:XT$3)</f>
        <v>0</v>
      </c>
      <c r="XQ238">
        <v>0</v>
      </c>
      <c r="XR238">
        <v>0</v>
      </c>
      <c r="XS238">
        <v>0</v>
      </c>
      <c r="XT238">
        <v>0</v>
      </c>
      <c r="XU238" cm="1">
        <f t="array" ref="XU238">IFERROR(MAX((_xlfn.ANCHORARRAY(XP238)-AVERAGE(_xlfn.ANCHORARRAY(XP238)))/ AVERAGE(_xlfn.ANCHORARRAY(XP238))),0)</f>
        <v>0</v>
      </c>
      <c r="XV238" t="str" cm="1">
        <f t="array" ref="XV238">IF(AND(XU238&gt;$XV$1,XN238&lt;&gt;""),_xlfn.XLOOKUP(MAX(_xlfn.ANCHORARRAY(XP238)),_xlfn.ANCHORARRAY(XP238),XP$4:XT$4,""),"")</f>
        <v/>
      </c>
      <c r="XX238" cm="1">
        <f t="array" ref="XX238:YG238">SUMIFS($M238:$GJ238,$M$2:$GJ$2,XX$3:YG$3)</f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 cm="1">
        <f t="array" ref="YH238">IFERROR(MAX((_xlfn.ANCHORARRAY(XX238)-AVERAGE(_xlfn.ANCHORARRAY(XX238)))/ AVERAGE(_xlfn.ANCHORARRAY(XX238))),0)</f>
        <v>0</v>
      </c>
      <c r="YI238" t="str" cm="1">
        <f t="array" ref="YI238">IF(YH238&gt;$YI$1,_xlfn.XLOOKUP(MAX(_xlfn.ANCHORARRAY(XX238)),_xlfn.ANCHORARRAY(XX238),XX$4:YG$4,""),"")</f>
        <v/>
      </c>
      <c r="YK238" t="str">
        <f t="shared" si="120"/>
        <v/>
      </c>
    </row>
    <row r="239" spans="2:661" x14ac:dyDescent="0.3">
      <c r="B239" s="2" t="str">
        <f t="shared" si="109"/>
        <v>CHA</v>
      </c>
      <c r="C239" s="2" t="str">
        <f t="shared" si="110"/>
        <v>CHA</v>
      </c>
      <c r="D239" s="2" t="str">
        <f t="shared" si="111"/>
        <v>CHA</v>
      </c>
      <c r="E239" s="2" t="str">
        <f t="shared" si="112"/>
        <v/>
      </c>
      <c r="F239" s="2" t="str">
        <f t="shared" si="113"/>
        <v/>
      </c>
      <c r="G239" s="2">
        <f t="shared" si="114"/>
        <v>0</v>
      </c>
      <c r="H239" s="2">
        <f t="shared" si="115"/>
        <v>0</v>
      </c>
      <c r="I239" s="2">
        <f t="shared" si="116"/>
        <v>0</v>
      </c>
      <c r="J239" s="2">
        <f t="shared" si="117"/>
        <v>0</v>
      </c>
      <c r="K239" s="2">
        <f t="shared" si="118"/>
        <v>0</v>
      </c>
      <c r="L239" s="2">
        <f t="shared" si="119"/>
        <v>0</v>
      </c>
      <c r="XJ239" cm="1">
        <f t="array" ref="XJ239:XL239">SUMIFS($M239:$GJ239,$M$1:$GJ$1,XJ$3:XL$3)</f>
        <v>0</v>
      </c>
      <c r="XK239">
        <v>0</v>
      </c>
      <c r="XL239">
        <v>0</v>
      </c>
      <c r="XM239" cm="1">
        <f t="array" ref="XM239">IFERROR(MAX((_xlfn.ANCHORARRAY(XJ239)-AVERAGE(_xlfn.ANCHORARRAY(XJ239)))/ AVERAGE(_xlfn.ANCHORARRAY(XJ239))),0)</f>
        <v>0</v>
      </c>
      <c r="XN239" t="str" cm="1">
        <f t="array" ref="XN239">IF(XM239&gt;$XN$1,_xlfn.XLOOKUP(MAX(_xlfn.ANCHORARRAY(XJ239)),_xlfn.ANCHORARRAY(XJ239),XJ$4:XL$4,""),"")</f>
        <v/>
      </c>
      <c r="XP239" cm="1">
        <f t="array" ref="XP239:XT239">SUMIFS($M239:$GJ239,$M$3:$GJ$3,XP$3:XT$3)</f>
        <v>0</v>
      </c>
      <c r="XQ239">
        <v>0</v>
      </c>
      <c r="XR239">
        <v>0</v>
      </c>
      <c r="XS239">
        <v>0</v>
      </c>
      <c r="XT239">
        <v>0</v>
      </c>
      <c r="XU239" cm="1">
        <f t="array" ref="XU239">IFERROR(MAX((_xlfn.ANCHORARRAY(XP239)-AVERAGE(_xlfn.ANCHORARRAY(XP239)))/ AVERAGE(_xlfn.ANCHORARRAY(XP239))),0)</f>
        <v>0</v>
      </c>
      <c r="XV239" t="str" cm="1">
        <f t="array" ref="XV239">IF(AND(XU239&gt;$XV$1,XN239&lt;&gt;""),_xlfn.XLOOKUP(MAX(_xlfn.ANCHORARRAY(XP239)),_xlfn.ANCHORARRAY(XP239),XP$4:XT$4,""),"")</f>
        <v/>
      </c>
      <c r="XX239" cm="1">
        <f t="array" ref="XX239:YG239">SUMIFS($M239:$GJ239,$M$2:$GJ$2,XX$3:YG$3)</f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 cm="1">
        <f t="array" ref="YH239">IFERROR(MAX((_xlfn.ANCHORARRAY(XX239)-AVERAGE(_xlfn.ANCHORARRAY(XX239)))/ AVERAGE(_xlfn.ANCHORARRAY(XX239))),0)</f>
        <v>0</v>
      </c>
      <c r="YI239" t="str" cm="1">
        <f t="array" ref="YI239">IF(YH239&gt;$YI$1,_xlfn.XLOOKUP(MAX(_xlfn.ANCHORARRAY(XX239)),_xlfn.ANCHORARRAY(XX239),XX$4:YG$4,""),"")</f>
        <v/>
      </c>
      <c r="YK239" t="str">
        <f t="shared" si="120"/>
        <v/>
      </c>
    </row>
    <row r="240" spans="2:661" x14ac:dyDescent="0.3">
      <c r="B240" s="2" t="str">
        <f t="shared" si="109"/>
        <v>CHA</v>
      </c>
      <c r="C240" s="2" t="str">
        <f t="shared" si="110"/>
        <v>CHA</v>
      </c>
      <c r="D240" s="2" t="str">
        <f t="shared" si="111"/>
        <v>CHA</v>
      </c>
      <c r="E240" s="2" t="str">
        <f t="shared" si="112"/>
        <v/>
      </c>
      <c r="F240" s="2" t="str">
        <f t="shared" si="113"/>
        <v/>
      </c>
      <c r="G240" s="2">
        <f t="shared" si="114"/>
        <v>0</v>
      </c>
      <c r="H240" s="2">
        <f t="shared" si="115"/>
        <v>0</v>
      </c>
      <c r="I240" s="2">
        <f t="shared" si="116"/>
        <v>0</v>
      </c>
      <c r="J240" s="2">
        <f t="shared" si="117"/>
        <v>0</v>
      </c>
      <c r="K240" s="2">
        <f t="shared" si="118"/>
        <v>0</v>
      </c>
      <c r="L240" s="2">
        <f t="shared" si="119"/>
        <v>0</v>
      </c>
      <c r="XJ240" cm="1">
        <f t="array" ref="XJ240:XL240">SUMIFS($M240:$GJ240,$M$1:$GJ$1,XJ$3:XL$3)</f>
        <v>0</v>
      </c>
      <c r="XK240">
        <v>0</v>
      </c>
      <c r="XL240">
        <v>0</v>
      </c>
      <c r="XM240" cm="1">
        <f t="array" ref="XM240">IFERROR(MAX((_xlfn.ANCHORARRAY(XJ240)-AVERAGE(_xlfn.ANCHORARRAY(XJ240)))/ AVERAGE(_xlfn.ANCHORARRAY(XJ240))),0)</f>
        <v>0</v>
      </c>
      <c r="XN240" t="str" cm="1">
        <f t="array" ref="XN240">IF(XM240&gt;$XN$1,_xlfn.XLOOKUP(MAX(_xlfn.ANCHORARRAY(XJ240)),_xlfn.ANCHORARRAY(XJ240),XJ$4:XL$4,""),"")</f>
        <v/>
      </c>
      <c r="XP240" cm="1">
        <f t="array" ref="XP240:XT240">SUMIFS($M240:$GJ240,$M$3:$GJ$3,XP$3:XT$3)</f>
        <v>0</v>
      </c>
      <c r="XQ240">
        <v>0</v>
      </c>
      <c r="XR240">
        <v>0</v>
      </c>
      <c r="XS240">
        <v>0</v>
      </c>
      <c r="XT240">
        <v>0</v>
      </c>
      <c r="XU240" cm="1">
        <f t="array" ref="XU240">IFERROR(MAX((_xlfn.ANCHORARRAY(XP240)-AVERAGE(_xlfn.ANCHORARRAY(XP240)))/ AVERAGE(_xlfn.ANCHORARRAY(XP240))),0)</f>
        <v>0</v>
      </c>
      <c r="XV240" t="str" cm="1">
        <f t="array" ref="XV240">IF(AND(XU240&gt;$XV$1,XN240&lt;&gt;""),_xlfn.XLOOKUP(MAX(_xlfn.ANCHORARRAY(XP240)),_xlfn.ANCHORARRAY(XP240),XP$4:XT$4,""),"")</f>
        <v/>
      </c>
      <c r="XX240" cm="1">
        <f t="array" ref="XX240:YG240">SUMIFS($M240:$GJ240,$M$2:$GJ$2,XX$3:YG$3)</f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 cm="1">
        <f t="array" ref="YH240">IFERROR(MAX((_xlfn.ANCHORARRAY(XX240)-AVERAGE(_xlfn.ANCHORARRAY(XX240)))/ AVERAGE(_xlfn.ANCHORARRAY(XX240))),0)</f>
        <v>0</v>
      </c>
      <c r="YI240" t="str" cm="1">
        <f t="array" ref="YI240">IF(YH240&gt;$YI$1,_xlfn.XLOOKUP(MAX(_xlfn.ANCHORARRAY(XX240)),_xlfn.ANCHORARRAY(XX240),XX$4:YG$4,""),"")</f>
        <v/>
      </c>
      <c r="YK240" t="str">
        <f t="shared" si="120"/>
        <v/>
      </c>
    </row>
    <row r="241" spans="2:661" x14ac:dyDescent="0.3">
      <c r="B241" s="2" t="str">
        <f t="shared" si="109"/>
        <v>CHA</v>
      </c>
      <c r="C241" s="2" t="str">
        <f t="shared" si="110"/>
        <v>CHA</v>
      </c>
      <c r="D241" s="2" t="str">
        <f t="shared" si="111"/>
        <v>CHA</v>
      </c>
      <c r="E241" s="2" t="str">
        <f t="shared" si="112"/>
        <v/>
      </c>
      <c r="F241" s="2" t="str">
        <f t="shared" si="113"/>
        <v/>
      </c>
      <c r="G241" s="2">
        <f t="shared" si="114"/>
        <v>0</v>
      </c>
      <c r="H241" s="2">
        <f t="shared" si="115"/>
        <v>0</v>
      </c>
      <c r="I241" s="2">
        <f t="shared" si="116"/>
        <v>0</v>
      </c>
      <c r="J241" s="2">
        <f t="shared" si="117"/>
        <v>0</v>
      </c>
      <c r="K241" s="2">
        <f t="shared" si="118"/>
        <v>0</v>
      </c>
      <c r="L241" s="2">
        <f t="shared" si="119"/>
        <v>0</v>
      </c>
      <c r="XJ241" cm="1">
        <f t="array" ref="XJ241:XL241">SUMIFS($M241:$GJ241,$M$1:$GJ$1,XJ$3:XL$3)</f>
        <v>0</v>
      </c>
      <c r="XK241">
        <v>0</v>
      </c>
      <c r="XL241">
        <v>0</v>
      </c>
      <c r="XM241" cm="1">
        <f t="array" ref="XM241">IFERROR(MAX((_xlfn.ANCHORARRAY(XJ241)-AVERAGE(_xlfn.ANCHORARRAY(XJ241)))/ AVERAGE(_xlfn.ANCHORARRAY(XJ241))),0)</f>
        <v>0</v>
      </c>
      <c r="XN241" t="str" cm="1">
        <f t="array" ref="XN241">IF(XM241&gt;$XN$1,_xlfn.XLOOKUP(MAX(_xlfn.ANCHORARRAY(XJ241)),_xlfn.ANCHORARRAY(XJ241),XJ$4:XL$4,""),"")</f>
        <v/>
      </c>
      <c r="XP241" cm="1">
        <f t="array" ref="XP241:XT241">SUMIFS($M241:$GJ241,$M$3:$GJ$3,XP$3:XT$3)</f>
        <v>0</v>
      </c>
      <c r="XQ241">
        <v>0</v>
      </c>
      <c r="XR241">
        <v>0</v>
      </c>
      <c r="XS241">
        <v>0</v>
      </c>
      <c r="XT241">
        <v>0</v>
      </c>
      <c r="XU241" cm="1">
        <f t="array" ref="XU241">IFERROR(MAX((_xlfn.ANCHORARRAY(XP241)-AVERAGE(_xlfn.ANCHORARRAY(XP241)))/ AVERAGE(_xlfn.ANCHORARRAY(XP241))),0)</f>
        <v>0</v>
      </c>
      <c r="XV241" t="str" cm="1">
        <f t="array" ref="XV241">IF(AND(XU241&gt;$XV$1,XN241&lt;&gt;""),_xlfn.XLOOKUP(MAX(_xlfn.ANCHORARRAY(XP241)),_xlfn.ANCHORARRAY(XP241),XP$4:XT$4,""),"")</f>
        <v/>
      </c>
      <c r="XX241" cm="1">
        <f t="array" ref="XX241:YG241">SUMIFS($M241:$GJ241,$M$2:$GJ$2,XX$3:YG$3)</f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 cm="1">
        <f t="array" ref="YH241">IFERROR(MAX((_xlfn.ANCHORARRAY(XX241)-AVERAGE(_xlfn.ANCHORARRAY(XX241)))/ AVERAGE(_xlfn.ANCHORARRAY(XX241))),0)</f>
        <v>0</v>
      </c>
      <c r="YI241" t="str" cm="1">
        <f t="array" ref="YI241">IF(YH241&gt;$YI$1,_xlfn.XLOOKUP(MAX(_xlfn.ANCHORARRAY(XX241)),_xlfn.ANCHORARRAY(XX241),XX$4:YG$4,""),"")</f>
        <v/>
      </c>
      <c r="YK241" t="str">
        <f t="shared" si="120"/>
        <v/>
      </c>
    </row>
    <row r="242" spans="2:661" x14ac:dyDescent="0.3">
      <c r="B242" s="2" t="str">
        <f t="shared" si="109"/>
        <v>CHA</v>
      </c>
      <c r="C242" s="2" t="str">
        <f t="shared" si="110"/>
        <v>CHA</v>
      </c>
      <c r="D242" s="2" t="str">
        <f t="shared" si="111"/>
        <v>CHA</v>
      </c>
      <c r="E242" s="2" t="str">
        <f t="shared" si="112"/>
        <v/>
      </c>
      <c r="F242" s="2" t="str">
        <f t="shared" si="113"/>
        <v/>
      </c>
      <c r="G242" s="2">
        <f t="shared" si="114"/>
        <v>0</v>
      </c>
      <c r="H242" s="2">
        <f t="shared" si="115"/>
        <v>0</v>
      </c>
      <c r="I242" s="2">
        <f t="shared" si="116"/>
        <v>0</v>
      </c>
      <c r="J242" s="2">
        <f t="shared" si="117"/>
        <v>0</v>
      </c>
      <c r="K242" s="2">
        <f t="shared" si="118"/>
        <v>0</v>
      </c>
      <c r="L242" s="2">
        <f t="shared" si="119"/>
        <v>0</v>
      </c>
      <c r="XJ242" cm="1">
        <f t="array" ref="XJ242:XL242">SUMIFS($M242:$GJ242,$M$1:$GJ$1,XJ$3:XL$3)</f>
        <v>0</v>
      </c>
      <c r="XK242">
        <v>0</v>
      </c>
      <c r="XL242">
        <v>0</v>
      </c>
      <c r="XM242" cm="1">
        <f t="array" ref="XM242">IFERROR(MAX((_xlfn.ANCHORARRAY(XJ242)-AVERAGE(_xlfn.ANCHORARRAY(XJ242)))/ AVERAGE(_xlfn.ANCHORARRAY(XJ242))),0)</f>
        <v>0</v>
      </c>
      <c r="XN242" t="str" cm="1">
        <f t="array" ref="XN242">IF(XM242&gt;$XN$1,_xlfn.XLOOKUP(MAX(_xlfn.ANCHORARRAY(XJ242)),_xlfn.ANCHORARRAY(XJ242),XJ$4:XL$4,""),"")</f>
        <v/>
      </c>
      <c r="XP242" cm="1">
        <f t="array" ref="XP242:XT242">SUMIFS($M242:$GJ242,$M$3:$GJ$3,XP$3:XT$3)</f>
        <v>0</v>
      </c>
      <c r="XQ242">
        <v>0</v>
      </c>
      <c r="XR242">
        <v>0</v>
      </c>
      <c r="XS242">
        <v>0</v>
      </c>
      <c r="XT242">
        <v>0</v>
      </c>
      <c r="XU242" cm="1">
        <f t="array" ref="XU242">IFERROR(MAX((_xlfn.ANCHORARRAY(XP242)-AVERAGE(_xlfn.ANCHORARRAY(XP242)))/ AVERAGE(_xlfn.ANCHORARRAY(XP242))),0)</f>
        <v>0</v>
      </c>
      <c r="XV242" t="str" cm="1">
        <f t="array" ref="XV242">IF(AND(XU242&gt;$XV$1,XN242&lt;&gt;""),_xlfn.XLOOKUP(MAX(_xlfn.ANCHORARRAY(XP242)),_xlfn.ANCHORARRAY(XP242),XP$4:XT$4,""),"")</f>
        <v/>
      </c>
      <c r="XX242" cm="1">
        <f t="array" ref="XX242:YG242">SUMIFS($M242:$GJ242,$M$2:$GJ$2,XX$3:YG$3)</f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 cm="1">
        <f t="array" ref="YH242">IFERROR(MAX((_xlfn.ANCHORARRAY(XX242)-AVERAGE(_xlfn.ANCHORARRAY(XX242)))/ AVERAGE(_xlfn.ANCHORARRAY(XX242))),0)</f>
        <v>0</v>
      </c>
      <c r="YI242" t="str" cm="1">
        <f t="array" ref="YI242">IF(YH242&gt;$YI$1,_xlfn.XLOOKUP(MAX(_xlfn.ANCHORARRAY(XX242)),_xlfn.ANCHORARRAY(XX242),XX$4:YG$4,""),"")</f>
        <v/>
      </c>
      <c r="YK242" t="str">
        <f t="shared" si="120"/>
        <v/>
      </c>
    </row>
    <row r="243" spans="2:661" x14ac:dyDescent="0.3">
      <c r="B243" s="2" t="str">
        <f t="shared" si="109"/>
        <v>CHA</v>
      </c>
      <c r="C243" s="2" t="str">
        <f t="shared" si="110"/>
        <v>CHA</v>
      </c>
      <c r="D243" s="2" t="str">
        <f t="shared" si="111"/>
        <v>CHA</v>
      </c>
      <c r="E243" s="2" t="str">
        <f t="shared" si="112"/>
        <v/>
      </c>
      <c r="F243" s="2" t="str">
        <f t="shared" si="113"/>
        <v/>
      </c>
      <c r="G243" s="2">
        <f t="shared" si="114"/>
        <v>0</v>
      </c>
      <c r="H243" s="2">
        <f t="shared" si="115"/>
        <v>0</v>
      </c>
      <c r="I243" s="2">
        <f t="shared" si="116"/>
        <v>0</v>
      </c>
      <c r="J243" s="2">
        <f t="shared" si="117"/>
        <v>0</v>
      </c>
      <c r="K243" s="2">
        <f t="shared" si="118"/>
        <v>0</v>
      </c>
      <c r="L243" s="2">
        <f t="shared" si="119"/>
        <v>0</v>
      </c>
      <c r="XJ243" cm="1">
        <f t="array" ref="XJ243:XL243">SUMIFS($M243:$GJ243,$M$1:$GJ$1,XJ$3:XL$3)</f>
        <v>0</v>
      </c>
      <c r="XK243">
        <v>0</v>
      </c>
      <c r="XL243">
        <v>0</v>
      </c>
      <c r="XM243" cm="1">
        <f t="array" ref="XM243">IFERROR(MAX((_xlfn.ANCHORARRAY(XJ243)-AVERAGE(_xlfn.ANCHORARRAY(XJ243)))/ AVERAGE(_xlfn.ANCHORARRAY(XJ243))),0)</f>
        <v>0</v>
      </c>
      <c r="XN243" t="str" cm="1">
        <f t="array" ref="XN243">IF(XM243&gt;$XN$1,_xlfn.XLOOKUP(MAX(_xlfn.ANCHORARRAY(XJ243)),_xlfn.ANCHORARRAY(XJ243),XJ$4:XL$4,""),"")</f>
        <v/>
      </c>
      <c r="XP243" cm="1">
        <f t="array" ref="XP243:XT243">SUMIFS($M243:$GJ243,$M$3:$GJ$3,XP$3:XT$3)</f>
        <v>0</v>
      </c>
      <c r="XQ243">
        <v>0</v>
      </c>
      <c r="XR243">
        <v>0</v>
      </c>
      <c r="XS243">
        <v>0</v>
      </c>
      <c r="XT243">
        <v>0</v>
      </c>
      <c r="XU243" cm="1">
        <f t="array" ref="XU243">IFERROR(MAX((_xlfn.ANCHORARRAY(XP243)-AVERAGE(_xlfn.ANCHORARRAY(XP243)))/ AVERAGE(_xlfn.ANCHORARRAY(XP243))),0)</f>
        <v>0</v>
      </c>
      <c r="XV243" t="str" cm="1">
        <f t="array" ref="XV243">IF(AND(XU243&gt;$XV$1,XN243&lt;&gt;""),_xlfn.XLOOKUP(MAX(_xlfn.ANCHORARRAY(XP243)),_xlfn.ANCHORARRAY(XP243),XP$4:XT$4,""),"")</f>
        <v/>
      </c>
      <c r="XX243" cm="1">
        <f t="array" ref="XX243:YG243">SUMIFS($M243:$GJ243,$M$2:$GJ$2,XX$3:YG$3)</f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 cm="1">
        <f t="array" ref="YH243">IFERROR(MAX((_xlfn.ANCHORARRAY(XX243)-AVERAGE(_xlfn.ANCHORARRAY(XX243)))/ AVERAGE(_xlfn.ANCHORARRAY(XX243))),0)</f>
        <v>0</v>
      </c>
      <c r="YI243" t="str" cm="1">
        <f t="array" ref="YI243">IF(YH243&gt;$YI$1,_xlfn.XLOOKUP(MAX(_xlfn.ANCHORARRAY(XX243)),_xlfn.ANCHORARRAY(XX243),XX$4:YG$4,""),"")</f>
        <v/>
      </c>
      <c r="YK243" t="str">
        <f t="shared" si="120"/>
        <v/>
      </c>
    </row>
    <row r="244" spans="2:661" x14ac:dyDescent="0.3">
      <c r="B244" s="2" t="str">
        <f t="shared" si="109"/>
        <v>CHA</v>
      </c>
      <c r="C244" s="2" t="str">
        <f t="shared" si="110"/>
        <v>CHA</v>
      </c>
      <c r="D244" s="2" t="str">
        <f t="shared" si="111"/>
        <v>CHA</v>
      </c>
      <c r="E244" s="2" t="str">
        <f t="shared" si="112"/>
        <v/>
      </c>
      <c r="F244" s="2" t="str">
        <f t="shared" si="113"/>
        <v/>
      </c>
      <c r="G244" s="2">
        <f t="shared" si="114"/>
        <v>0</v>
      </c>
      <c r="H244" s="2">
        <f t="shared" si="115"/>
        <v>0</v>
      </c>
      <c r="I244" s="2">
        <f t="shared" si="116"/>
        <v>0</v>
      </c>
      <c r="J244" s="2">
        <f t="shared" si="117"/>
        <v>0</v>
      </c>
      <c r="K244" s="2">
        <f t="shared" si="118"/>
        <v>0</v>
      </c>
      <c r="L244" s="2">
        <f t="shared" si="119"/>
        <v>0</v>
      </c>
      <c r="XJ244" cm="1">
        <f t="array" ref="XJ244:XL244">SUMIFS($M244:$GJ244,$M$1:$GJ$1,XJ$3:XL$3)</f>
        <v>0</v>
      </c>
      <c r="XK244">
        <v>0</v>
      </c>
      <c r="XL244">
        <v>0</v>
      </c>
      <c r="XM244" cm="1">
        <f t="array" ref="XM244">IFERROR(MAX((_xlfn.ANCHORARRAY(XJ244)-AVERAGE(_xlfn.ANCHORARRAY(XJ244)))/ AVERAGE(_xlfn.ANCHORARRAY(XJ244))),0)</f>
        <v>0</v>
      </c>
      <c r="XN244" t="str" cm="1">
        <f t="array" ref="XN244">IF(XM244&gt;$XN$1,_xlfn.XLOOKUP(MAX(_xlfn.ANCHORARRAY(XJ244)),_xlfn.ANCHORARRAY(XJ244),XJ$4:XL$4,""),"")</f>
        <v/>
      </c>
      <c r="XP244" cm="1">
        <f t="array" ref="XP244:XT244">SUMIFS($M244:$GJ244,$M$3:$GJ$3,XP$3:XT$3)</f>
        <v>0</v>
      </c>
      <c r="XQ244">
        <v>0</v>
      </c>
      <c r="XR244">
        <v>0</v>
      </c>
      <c r="XS244">
        <v>0</v>
      </c>
      <c r="XT244">
        <v>0</v>
      </c>
      <c r="XU244" cm="1">
        <f t="array" ref="XU244">IFERROR(MAX((_xlfn.ANCHORARRAY(XP244)-AVERAGE(_xlfn.ANCHORARRAY(XP244)))/ AVERAGE(_xlfn.ANCHORARRAY(XP244))),0)</f>
        <v>0</v>
      </c>
      <c r="XV244" t="str" cm="1">
        <f t="array" ref="XV244">IF(AND(XU244&gt;$XV$1,XN244&lt;&gt;""),_xlfn.XLOOKUP(MAX(_xlfn.ANCHORARRAY(XP244)),_xlfn.ANCHORARRAY(XP244),XP$4:XT$4,""),"")</f>
        <v/>
      </c>
      <c r="XX244" cm="1">
        <f t="array" ref="XX244:YG244">SUMIFS($M244:$GJ244,$M$2:$GJ$2,XX$3:YG$3)</f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 cm="1">
        <f t="array" ref="YH244">IFERROR(MAX((_xlfn.ANCHORARRAY(XX244)-AVERAGE(_xlfn.ANCHORARRAY(XX244)))/ AVERAGE(_xlfn.ANCHORARRAY(XX244))),0)</f>
        <v>0</v>
      </c>
      <c r="YI244" t="str" cm="1">
        <f t="array" ref="YI244">IF(YH244&gt;$YI$1,_xlfn.XLOOKUP(MAX(_xlfn.ANCHORARRAY(XX244)),_xlfn.ANCHORARRAY(XX244),XX$4:YG$4,""),"")</f>
        <v/>
      </c>
      <c r="YK244" t="str">
        <f t="shared" si="120"/>
        <v/>
      </c>
    </row>
    <row r="245" spans="2:661" x14ac:dyDescent="0.3">
      <c r="B245" s="2" t="str">
        <f t="shared" si="109"/>
        <v>CHA</v>
      </c>
      <c r="C245" s="2" t="str">
        <f t="shared" si="110"/>
        <v>CHA</v>
      </c>
      <c r="D245" s="2" t="str">
        <f t="shared" si="111"/>
        <v>CHA</v>
      </c>
      <c r="E245" s="2" t="str">
        <f t="shared" si="112"/>
        <v/>
      </c>
      <c r="F245" s="2" t="str">
        <f t="shared" si="113"/>
        <v/>
      </c>
      <c r="G245" s="2">
        <f t="shared" si="114"/>
        <v>0</v>
      </c>
      <c r="H245" s="2">
        <f t="shared" si="115"/>
        <v>0</v>
      </c>
      <c r="I245" s="2">
        <f t="shared" si="116"/>
        <v>0</v>
      </c>
      <c r="J245" s="2">
        <f t="shared" si="117"/>
        <v>0</v>
      </c>
      <c r="K245" s="2">
        <f t="shared" si="118"/>
        <v>0</v>
      </c>
      <c r="L245" s="2">
        <f t="shared" si="119"/>
        <v>0</v>
      </c>
      <c r="XJ245" cm="1">
        <f t="array" ref="XJ245:XL245">SUMIFS($M245:$GJ245,$M$1:$GJ$1,XJ$3:XL$3)</f>
        <v>0</v>
      </c>
      <c r="XK245">
        <v>0</v>
      </c>
      <c r="XL245">
        <v>0</v>
      </c>
      <c r="XM245" cm="1">
        <f t="array" ref="XM245">IFERROR(MAX((_xlfn.ANCHORARRAY(XJ245)-AVERAGE(_xlfn.ANCHORARRAY(XJ245)))/ AVERAGE(_xlfn.ANCHORARRAY(XJ245))),0)</f>
        <v>0</v>
      </c>
      <c r="XN245" t="str" cm="1">
        <f t="array" ref="XN245">IF(XM245&gt;$XN$1,_xlfn.XLOOKUP(MAX(_xlfn.ANCHORARRAY(XJ245)),_xlfn.ANCHORARRAY(XJ245),XJ$4:XL$4,""),"")</f>
        <v/>
      </c>
      <c r="XP245" cm="1">
        <f t="array" ref="XP245:XT245">SUMIFS($M245:$GJ245,$M$3:$GJ$3,XP$3:XT$3)</f>
        <v>0</v>
      </c>
      <c r="XQ245">
        <v>0</v>
      </c>
      <c r="XR245">
        <v>0</v>
      </c>
      <c r="XS245">
        <v>0</v>
      </c>
      <c r="XT245">
        <v>0</v>
      </c>
      <c r="XU245" cm="1">
        <f t="array" ref="XU245">IFERROR(MAX((_xlfn.ANCHORARRAY(XP245)-AVERAGE(_xlfn.ANCHORARRAY(XP245)))/ AVERAGE(_xlfn.ANCHORARRAY(XP245))),0)</f>
        <v>0</v>
      </c>
      <c r="XV245" t="str" cm="1">
        <f t="array" ref="XV245">IF(AND(XU245&gt;$XV$1,XN245&lt;&gt;""),_xlfn.XLOOKUP(MAX(_xlfn.ANCHORARRAY(XP245)),_xlfn.ANCHORARRAY(XP245),XP$4:XT$4,""),"")</f>
        <v/>
      </c>
      <c r="XX245" cm="1">
        <f t="array" ref="XX245:YG245">SUMIFS($M245:$GJ245,$M$2:$GJ$2,XX$3:YG$3)</f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 cm="1">
        <f t="array" ref="YH245">IFERROR(MAX((_xlfn.ANCHORARRAY(XX245)-AVERAGE(_xlfn.ANCHORARRAY(XX245)))/ AVERAGE(_xlfn.ANCHORARRAY(XX245))),0)</f>
        <v>0</v>
      </c>
      <c r="YI245" t="str" cm="1">
        <f t="array" ref="YI245">IF(YH245&gt;$YI$1,_xlfn.XLOOKUP(MAX(_xlfn.ANCHORARRAY(XX245)),_xlfn.ANCHORARRAY(XX245),XX$4:YG$4,""),"")</f>
        <v/>
      </c>
      <c r="YK245" t="str">
        <f t="shared" si="120"/>
        <v/>
      </c>
    </row>
    <row r="246" spans="2:661" x14ac:dyDescent="0.3">
      <c r="B246" s="2" t="str">
        <f t="shared" si="109"/>
        <v>CHA</v>
      </c>
      <c r="C246" s="2" t="str">
        <f t="shared" si="110"/>
        <v>CHA</v>
      </c>
      <c r="D246" s="2" t="str">
        <f t="shared" si="111"/>
        <v>CHA</v>
      </c>
      <c r="E246" s="2" t="str">
        <f t="shared" si="112"/>
        <v/>
      </c>
      <c r="F246" s="2" t="str">
        <f t="shared" si="113"/>
        <v/>
      </c>
      <c r="G246" s="2">
        <f t="shared" si="114"/>
        <v>0</v>
      </c>
      <c r="H246" s="2">
        <f t="shared" si="115"/>
        <v>0</v>
      </c>
      <c r="I246" s="2">
        <f t="shared" si="116"/>
        <v>0</v>
      </c>
      <c r="J246" s="2">
        <f t="shared" si="117"/>
        <v>0</v>
      </c>
      <c r="K246" s="2">
        <f t="shared" si="118"/>
        <v>0</v>
      </c>
      <c r="L246" s="2">
        <f t="shared" si="119"/>
        <v>0</v>
      </c>
      <c r="XJ246" cm="1">
        <f t="array" ref="XJ246:XL246">SUMIFS($M246:$GJ246,$M$1:$GJ$1,XJ$3:XL$3)</f>
        <v>0</v>
      </c>
      <c r="XK246">
        <v>0</v>
      </c>
      <c r="XL246">
        <v>0</v>
      </c>
      <c r="XM246" cm="1">
        <f t="array" ref="XM246">IFERROR(MAX((_xlfn.ANCHORARRAY(XJ246)-AVERAGE(_xlfn.ANCHORARRAY(XJ246)))/ AVERAGE(_xlfn.ANCHORARRAY(XJ246))),0)</f>
        <v>0</v>
      </c>
      <c r="XN246" t="str" cm="1">
        <f t="array" ref="XN246">IF(XM246&gt;$XN$1,_xlfn.XLOOKUP(MAX(_xlfn.ANCHORARRAY(XJ246)),_xlfn.ANCHORARRAY(XJ246),XJ$4:XL$4,""),"")</f>
        <v/>
      </c>
      <c r="XP246" cm="1">
        <f t="array" ref="XP246:XT246">SUMIFS($M246:$GJ246,$M$3:$GJ$3,XP$3:XT$3)</f>
        <v>0</v>
      </c>
      <c r="XQ246">
        <v>0</v>
      </c>
      <c r="XR246">
        <v>0</v>
      </c>
      <c r="XS246">
        <v>0</v>
      </c>
      <c r="XT246">
        <v>0</v>
      </c>
      <c r="XU246" cm="1">
        <f t="array" ref="XU246">IFERROR(MAX((_xlfn.ANCHORARRAY(XP246)-AVERAGE(_xlfn.ANCHORARRAY(XP246)))/ AVERAGE(_xlfn.ANCHORARRAY(XP246))),0)</f>
        <v>0</v>
      </c>
      <c r="XV246" t="str" cm="1">
        <f t="array" ref="XV246">IF(AND(XU246&gt;$XV$1,XN246&lt;&gt;""),_xlfn.XLOOKUP(MAX(_xlfn.ANCHORARRAY(XP246)),_xlfn.ANCHORARRAY(XP246),XP$4:XT$4,""),"")</f>
        <v/>
      </c>
      <c r="XX246" cm="1">
        <f t="array" ref="XX246:YG246">SUMIFS($M246:$GJ246,$M$2:$GJ$2,XX$3:YG$3)</f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 cm="1">
        <f t="array" ref="YH246">IFERROR(MAX((_xlfn.ANCHORARRAY(XX246)-AVERAGE(_xlfn.ANCHORARRAY(XX246)))/ AVERAGE(_xlfn.ANCHORARRAY(XX246))),0)</f>
        <v>0</v>
      </c>
      <c r="YI246" t="str" cm="1">
        <f t="array" ref="YI246">IF(YH246&gt;$YI$1,_xlfn.XLOOKUP(MAX(_xlfn.ANCHORARRAY(XX246)),_xlfn.ANCHORARRAY(XX246),XX$4:YG$4,""),"")</f>
        <v/>
      </c>
      <c r="YK246" t="str">
        <f t="shared" si="120"/>
        <v/>
      </c>
    </row>
    <row r="247" spans="2:661" x14ac:dyDescent="0.3">
      <c r="B247" s="2" t="str">
        <f t="shared" si="109"/>
        <v>CHA</v>
      </c>
      <c r="C247" s="2" t="str">
        <f t="shared" si="110"/>
        <v>CHA</v>
      </c>
      <c r="D247" s="2" t="str">
        <f t="shared" si="111"/>
        <v>CHA</v>
      </c>
      <c r="E247" s="2" t="str">
        <f t="shared" si="112"/>
        <v/>
      </c>
      <c r="F247" s="2" t="str">
        <f t="shared" si="113"/>
        <v/>
      </c>
      <c r="G247" s="2">
        <f t="shared" si="114"/>
        <v>0</v>
      </c>
      <c r="H247" s="2">
        <f t="shared" si="115"/>
        <v>0</v>
      </c>
      <c r="I247" s="2">
        <f t="shared" si="116"/>
        <v>0</v>
      </c>
      <c r="J247" s="2">
        <f t="shared" si="117"/>
        <v>0</v>
      </c>
      <c r="K247" s="2">
        <f t="shared" si="118"/>
        <v>0</v>
      </c>
      <c r="L247" s="2">
        <f t="shared" si="119"/>
        <v>0</v>
      </c>
      <c r="XJ247" cm="1">
        <f t="array" ref="XJ247:XL247">SUMIFS($M247:$GJ247,$M$1:$GJ$1,XJ$3:XL$3)</f>
        <v>0</v>
      </c>
      <c r="XK247">
        <v>0</v>
      </c>
      <c r="XL247">
        <v>0</v>
      </c>
      <c r="XM247" cm="1">
        <f t="array" ref="XM247">IFERROR(MAX((_xlfn.ANCHORARRAY(XJ247)-AVERAGE(_xlfn.ANCHORARRAY(XJ247)))/ AVERAGE(_xlfn.ANCHORARRAY(XJ247))),0)</f>
        <v>0</v>
      </c>
      <c r="XN247" t="str" cm="1">
        <f t="array" ref="XN247">IF(XM247&gt;$XN$1,_xlfn.XLOOKUP(MAX(_xlfn.ANCHORARRAY(XJ247)),_xlfn.ANCHORARRAY(XJ247),XJ$4:XL$4,""),"")</f>
        <v/>
      </c>
      <c r="XP247" cm="1">
        <f t="array" ref="XP247:XT247">SUMIFS($M247:$GJ247,$M$3:$GJ$3,XP$3:XT$3)</f>
        <v>0</v>
      </c>
      <c r="XQ247">
        <v>0</v>
      </c>
      <c r="XR247">
        <v>0</v>
      </c>
      <c r="XS247">
        <v>0</v>
      </c>
      <c r="XT247">
        <v>0</v>
      </c>
      <c r="XU247" cm="1">
        <f t="array" ref="XU247">IFERROR(MAX((_xlfn.ANCHORARRAY(XP247)-AVERAGE(_xlfn.ANCHORARRAY(XP247)))/ AVERAGE(_xlfn.ANCHORARRAY(XP247))),0)</f>
        <v>0</v>
      </c>
      <c r="XV247" t="str" cm="1">
        <f t="array" ref="XV247">IF(AND(XU247&gt;$XV$1,XN247&lt;&gt;""),_xlfn.XLOOKUP(MAX(_xlfn.ANCHORARRAY(XP247)),_xlfn.ANCHORARRAY(XP247),XP$4:XT$4,""),"")</f>
        <v/>
      </c>
      <c r="XX247" cm="1">
        <f t="array" ref="XX247:YG247">SUMIFS($M247:$GJ247,$M$2:$GJ$2,XX$3:YG$3)</f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 cm="1">
        <f t="array" ref="YH247">IFERROR(MAX((_xlfn.ANCHORARRAY(XX247)-AVERAGE(_xlfn.ANCHORARRAY(XX247)))/ AVERAGE(_xlfn.ANCHORARRAY(XX247))),0)</f>
        <v>0</v>
      </c>
      <c r="YI247" t="str" cm="1">
        <f t="array" ref="YI247">IF(YH247&gt;$YI$1,_xlfn.XLOOKUP(MAX(_xlfn.ANCHORARRAY(XX247)),_xlfn.ANCHORARRAY(XX247),XX$4:YG$4,""),"")</f>
        <v/>
      </c>
      <c r="YK247" t="str">
        <f t="shared" si="120"/>
        <v/>
      </c>
    </row>
    <row r="248" spans="2:661" x14ac:dyDescent="0.3">
      <c r="B248" s="2" t="str">
        <f t="shared" si="109"/>
        <v>CHA</v>
      </c>
      <c r="C248" s="2" t="str">
        <f t="shared" si="110"/>
        <v>CHA</v>
      </c>
      <c r="D248" s="2" t="str">
        <f t="shared" si="111"/>
        <v>CHA</v>
      </c>
      <c r="E248" s="2" t="str">
        <f t="shared" si="112"/>
        <v/>
      </c>
      <c r="F248" s="2" t="str">
        <f t="shared" si="113"/>
        <v/>
      </c>
      <c r="G248" s="2">
        <f t="shared" si="114"/>
        <v>0</v>
      </c>
      <c r="H248" s="2">
        <f t="shared" si="115"/>
        <v>0</v>
      </c>
      <c r="I248" s="2">
        <f t="shared" si="116"/>
        <v>0</v>
      </c>
      <c r="J248" s="2">
        <f t="shared" si="117"/>
        <v>0</v>
      </c>
      <c r="K248" s="2">
        <f t="shared" si="118"/>
        <v>0</v>
      </c>
      <c r="L248" s="2">
        <f t="shared" si="119"/>
        <v>0</v>
      </c>
      <c r="XJ248" cm="1">
        <f t="array" ref="XJ248:XL248">SUMIFS($M248:$GJ248,$M$1:$GJ$1,XJ$3:XL$3)</f>
        <v>0</v>
      </c>
      <c r="XK248">
        <v>0</v>
      </c>
      <c r="XL248">
        <v>0</v>
      </c>
      <c r="XM248" cm="1">
        <f t="array" ref="XM248">IFERROR(MAX((_xlfn.ANCHORARRAY(XJ248)-AVERAGE(_xlfn.ANCHORARRAY(XJ248)))/ AVERAGE(_xlfn.ANCHORARRAY(XJ248))),0)</f>
        <v>0</v>
      </c>
      <c r="XN248" t="str" cm="1">
        <f t="array" ref="XN248">IF(XM248&gt;$XN$1,_xlfn.XLOOKUP(MAX(_xlfn.ANCHORARRAY(XJ248)),_xlfn.ANCHORARRAY(XJ248),XJ$4:XL$4,""),"")</f>
        <v/>
      </c>
      <c r="XP248" cm="1">
        <f t="array" ref="XP248:XT248">SUMIFS($M248:$GJ248,$M$3:$GJ$3,XP$3:XT$3)</f>
        <v>0</v>
      </c>
      <c r="XQ248">
        <v>0</v>
      </c>
      <c r="XR248">
        <v>0</v>
      </c>
      <c r="XS248">
        <v>0</v>
      </c>
      <c r="XT248">
        <v>0</v>
      </c>
      <c r="XU248" cm="1">
        <f t="array" ref="XU248">IFERROR(MAX((_xlfn.ANCHORARRAY(XP248)-AVERAGE(_xlfn.ANCHORARRAY(XP248)))/ AVERAGE(_xlfn.ANCHORARRAY(XP248))),0)</f>
        <v>0</v>
      </c>
      <c r="XV248" t="str" cm="1">
        <f t="array" ref="XV248">IF(AND(XU248&gt;$XV$1,XN248&lt;&gt;""),_xlfn.XLOOKUP(MAX(_xlfn.ANCHORARRAY(XP248)),_xlfn.ANCHORARRAY(XP248),XP$4:XT$4,""),"")</f>
        <v/>
      </c>
      <c r="XX248" cm="1">
        <f t="array" ref="XX248:YG248">SUMIFS($M248:$GJ248,$M$2:$GJ$2,XX$3:YG$3)</f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 cm="1">
        <f t="array" ref="YH248">IFERROR(MAX((_xlfn.ANCHORARRAY(XX248)-AVERAGE(_xlfn.ANCHORARRAY(XX248)))/ AVERAGE(_xlfn.ANCHORARRAY(XX248))),0)</f>
        <v>0</v>
      </c>
      <c r="YI248" t="str" cm="1">
        <f t="array" ref="YI248">IF(YH248&gt;$YI$1,_xlfn.XLOOKUP(MAX(_xlfn.ANCHORARRAY(XX248)),_xlfn.ANCHORARRAY(XX248),XX$4:YG$4,""),"")</f>
        <v/>
      </c>
      <c r="YK248" t="str">
        <f t="shared" si="120"/>
        <v/>
      </c>
    </row>
    <row r="249" spans="2:661" x14ac:dyDescent="0.3">
      <c r="B249" s="2" t="str">
        <f t="shared" si="109"/>
        <v>CHA</v>
      </c>
      <c r="C249" s="2" t="str">
        <f t="shared" si="110"/>
        <v>CHA</v>
      </c>
      <c r="D249" s="2" t="str">
        <f t="shared" si="111"/>
        <v>CHA</v>
      </c>
      <c r="E249" s="2" t="str">
        <f t="shared" si="112"/>
        <v/>
      </c>
      <c r="F249" s="2" t="str">
        <f t="shared" si="113"/>
        <v/>
      </c>
      <c r="G249" s="2">
        <f t="shared" si="114"/>
        <v>0</v>
      </c>
      <c r="H249" s="2">
        <f t="shared" si="115"/>
        <v>0</v>
      </c>
      <c r="I249" s="2">
        <f t="shared" si="116"/>
        <v>0</v>
      </c>
      <c r="J249" s="2">
        <f t="shared" si="117"/>
        <v>0</v>
      </c>
      <c r="K249" s="2">
        <f t="shared" si="118"/>
        <v>0</v>
      </c>
      <c r="L249" s="2">
        <f t="shared" si="119"/>
        <v>0</v>
      </c>
      <c r="XJ249" cm="1">
        <f t="array" ref="XJ249:XL249">SUMIFS($M249:$GJ249,$M$1:$GJ$1,XJ$3:XL$3)</f>
        <v>0</v>
      </c>
      <c r="XK249">
        <v>0</v>
      </c>
      <c r="XL249">
        <v>0</v>
      </c>
      <c r="XM249" cm="1">
        <f t="array" ref="XM249">IFERROR(MAX((_xlfn.ANCHORARRAY(XJ249)-AVERAGE(_xlfn.ANCHORARRAY(XJ249)))/ AVERAGE(_xlfn.ANCHORARRAY(XJ249))),0)</f>
        <v>0</v>
      </c>
      <c r="XN249" t="str" cm="1">
        <f t="array" ref="XN249">IF(XM249&gt;$XN$1,_xlfn.XLOOKUP(MAX(_xlfn.ANCHORARRAY(XJ249)),_xlfn.ANCHORARRAY(XJ249),XJ$4:XL$4,""),"")</f>
        <v/>
      </c>
      <c r="XP249" cm="1">
        <f t="array" ref="XP249:XT249">SUMIFS($M249:$GJ249,$M$3:$GJ$3,XP$3:XT$3)</f>
        <v>0</v>
      </c>
      <c r="XQ249">
        <v>0</v>
      </c>
      <c r="XR249">
        <v>0</v>
      </c>
      <c r="XS249">
        <v>0</v>
      </c>
      <c r="XT249">
        <v>0</v>
      </c>
      <c r="XU249" cm="1">
        <f t="array" ref="XU249">IFERROR(MAX((_xlfn.ANCHORARRAY(XP249)-AVERAGE(_xlfn.ANCHORARRAY(XP249)))/ AVERAGE(_xlfn.ANCHORARRAY(XP249))),0)</f>
        <v>0</v>
      </c>
      <c r="XV249" t="str" cm="1">
        <f t="array" ref="XV249">IF(AND(XU249&gt;$XV$1,XN249&lt;&gt;""),_xlfn.XLOOKUP(MAX(_xlfn.ANCHORARRAY(XP249)),_xlfn.ANCHORARRAY(XP249),XP$4:XT$4,""),"")</f>
        <v/>
      </c>
      <c r="XX249" cm="1">
        <f t="array" ref="XX249:YG249">SUMIFS($M249:$GJ249,$M$2:$GJ$2,XX$3:YG$3)</f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 cm="1">
        <f t="array" ref="YH249">IFERROR(MAX((_xlfn.ANCHORARRAY(XX249)-AVERAGE(_xlfn.ANCHORARRAY(XX249)))/ AVERAGE(_xlfn.ANCHORARRAY(XX249))),0)</f>
        <v>0</v>
      </c>
      <c r="YI249" t="str" cm="1">
        <f t="array" ref="YI249">IF(YH249&gt;$YI$1,_xlfn.XLOOKUP(MAX(_xlfn.ANCHORARRAY(XX249)),_xlfn.ANCHORARRAY(XX249),XX$4:YG$4,""),"")</f>
        <v/>
      </c>
      <c r="YK249" t="str">
        <f t="shared" si="120"/>
        <v/>
      </c>
    </row>
    <row r="250" spans="2:661" x14ac:dyDescent="0.3">
      <c r="B250" s="2" t="str">
        <f t="shared" si="109"/>
        <v>CHA</v>
      </c>
      <c r="C250" s="2" t="str">
        <f t="shared" si="110"/>
        <v>CHA</v>
      </c>
      <c r="D250" s="2" t="str">
        <f t="shared" si="111"/>
        <v>CHA</v>
      </c>
      <c r="E250" s="2" t="str">
        <f t="shared" si="112"/>
        <v/>
      </c>
      <c r="F250" s="2" t="str">
        <f t="shared" si="113"/>
        <v/>
      </c>
      <c r="G250" s="2">
        <f t="shared" si="114"/>
        <v>0</v>
      </c>
      <c r="H250" s="2">
        <f t="shared" si="115"/>
        <v>0</v>
      </c>
      <c r="I250" s="2">
        <f t="shared" si="116"/>
        <v>0</v>
      </c>
      <c r="J250" s="2">
        <f t="shared" si="117"/>
        <v>0</v>
      </c>
      <c r="K250" s="2">
        <f t="shared" si="118"/>
        <v>0</v>
      </c>
      <c r="L250" s="2">
        <f t="shared" si="119"/>
        <v>0</v>
      </c>
      <c r="XJ250" cm="1">
        <f t="array" ref="XJ250:XL250">SUMIFS($M250:$GJ250,$M$1:$GJ$1,XJ$3:XL$3)</f>
        <v>0</v>
      </c>
      <c r="XK250">
        <v>0</v>
      </c>
      <c r="XL250">
        <v>0</v>
      </c>
      <c r="XM250" cm="1">
        <f t="array" ref="XM250">IFERROR(MAX((_xlfn.ANCHORARRAY(XJ250)-AVERAGE(_xlfn.ANCHORARRAY(XJ250)))/ AVERAGE(_xlfn.ANCHORARRAY(XJ250))),0)</f>
        <v>0</v>
      </c>
      <c r="XN250" t="str" cm="1">
        <f t="array" ref="XN250">IF(XM250&gt;$XN$1,_xlfn.XLOOKUP(MAX(_xlfn.ANCHORARRAY(XJ250)),_xlfn.ANCHORARRAY(XJ250),XJ$4:XL$4,""),"")</f>
        <v/>
      </c>
      <c r="XP250" cm="1">
        <f t="array" ref="XP250:XT250">SUMIFS($M250:$GJ250,$M$3:$GJ$3,XP$3:XT$3)</f>
        <v>0</v>
      </c>
      <c r="XQ250">
        <v>0</v>
      </c>
      <c r="XR250">
        <v>0</v>
      </c>
      <c r="XS250">
        <v>0</v>
      </c>
      <c r="XT250">
        <v>0</v>
      </c>
      <c r="XU250" cm="1">
        <f t="array" ref="XU250">IFERROR(MAX((_xlfn.ANCHORARRAY(XP250)-AVERAGE(_xlfn.ANCHORARRAY(XP250)))/ AVERAGE(_xlfn.ANCHORARRAY(XP250))),0)</f>
        <v>0</v>
      </c>
      <c r="XV250" t="str" cm="1">
        <f t="array" ref="XV250">IF(AND(XU250&gt;$XV$1,XN250&lt;&gt;""),_xlfn.XLOOKUP(MAX(_xlfn.ANCHORARRAY(XP250)),_xlfn.ANCHORARRAY(XP250),XP$4:XT$4,""),"")</f>
        <v/>
      </c>
      <c r="XX250" cm="1">
        <f t="array" ref="XX250:YG250">SUMIFS($M250:$GJ250,$M$2:$GJ$2,XX$3:YG$3)</f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 cm="1">
        <f t="array" ref="YH250">IFERROR(MAX((_xlfn.ANCHORARRAY(XX250)-AVERAGE(_xlfn.ANCHORARRAY(XX250)))/ AVERAGE(_xlfn.ANCHORARRAY(XX250))),0)</f>
        <v>0</v>
      </c>
      <c r="YI250" t="str" cm="1">
        <f t="array" ref="YI250">IF(YH250&gt;$YI$1,_xlfn.XLOOKUP(MAX(_xlfn.ANCHORARRAY(XX250)),_xlfn.ANCHORARRAY(XX250),XX$4:YG$4,""),"")</f>
        <v/>
      </c>
      <c r="YK250" t="str">
        <f t="shared" si="120"/>
        <v/>
      </c>
    </row>
    <row r="251" spans="2:661" x14ac:dyDescent="0.3">
      <c r="B251" s="2" t="str">
        <f t="shared" ref="B251:B259" si="121">IF(C251="NotFound",D251,C251)</f>
        <v>CHA</v>
      </c>
      <c r="C251" s="2" t="str">
        <f t="shared" ref="C251:C259" si="122">IF(K251&gt;1,"NotFound","CHA"&amp;_xlfn.XLOOKUP(MAX(M251:GJ251,1),M251:GJ251,$M$4:$GJ$4,""))</f>
        <v>CHA</v>
      </c>
      <c r="D251" s="2" t="str">
        <f t="shared" ref="D251:D259" si="123">IF(G251&gt;1,"NotFound","CHA"&amp;_xlfn.XLOOKUP(MAX(GL251:NI251,1),GL251:NI251,$GL$4:$NI$4,""))</f>
        <v>CHA</v>
      </c>
      <c r="E251" s="2" t="str">
        <f t="shared" ref="E251:E259" si="124">YK251</f>
        <v/>
      </c>
      <c r="F251" s="2" t="str">
        <f t="shared" ref="F251:F259" si="125">IF(I251&gt;1,"NotFound",_xlfn.XLOOKUP(MAX(NK251:XG251,1),NK251:XG251,$NK$4:$XG$4,""))</f>
        <v/>
      </c>
      <c r="G251" s="2">
        <f t="shared" ref="G251:G259" si="126">COUNTIF(GL251:NI251,H251)</f>
        <v>0</v>
      </c>
      <c r="H251" s="2">
        <f t="shared" ref="H251:H259" si="127">MAX(GL251:NI251)</f>
        <v>0</v>
      </c>
      <c r="I251" s="2">
        <f t="shared" ref="I251:I259" si="128">COUNTIF(NK251:XG251,J251)</f>
        <v>0</v>
      </c>
      <c r="J251" s="2">
        <f t="shared" ref="J251:J259" si="129">MAX(NK251:XG251)</f>
        <v>0</v>
      </c>
      <c r="K251" s="2">
        <f t="shared" ref="K251:K259" si="130">COUNTIF(M251:GJ251,L251)</f>
        <v>0</v>
      </c>
      <c r="L251" s="2">
        <f t="shared" ref="L251:L259" si="131">MAX(M251:GJ251)</f>
        <v>0</v>
      </c>
      <c r="XJ251" cm="1">
        <f t="array" ref="XJ251:XL251">SUMIFS($M251:$GJ251,$M$1:$GJ$1,XJ$3:XL$3)</f>
        <v>0</v>
      </c>
      <c r="XK251">
        <v>0</v>
      </c>
      <c r="XL251">
        <v>0</v>
      </c>
      <c r="XM251" cm="1">
        <f t="array" ref="XM251">IFERROR(MAX((_xlfn.ANCHORARRAY(XJ251)-AVERAGE(_xlfn.ANCHORARRAY(XJ251)))/ AVERAGE(_xlfn.ANCHORARRAY(XJ251))),0)</f>
        <v>0</v>
      </c>
      <c r="XN251" t="str" cm="1">
        <f t="array" ref="XN251">IF(XM251&gt;$XN$1,_xlfn.XLOOKUP(MAX(_xlfn.ANCHORARRAY(XJ251)),_xlfn.ANCHORARRAY(XJ251),XJ$4:XL$4,""),"")</f>
        <v/>
      </c>
      <c r="XP251" cm="1">
        <f t="array" ref="XP251:XT251">SUMIFS($M251:$GJ251,$M$3:$GJ$3,XP$3:XT$3)</f>
        <v>0</v>
      </c>
      <c r="XQ251">
        <v>0</v>
      </c>
      <c r="XR251">
        <v>0</v>
      </c>
      <c r="XS251">
        <v>0</v>
      </c>
      <c r="XT251">
        <v>0</v>
      </c>
      <c r="XU251" cm="1">
        <f t="array" ref="XU251">IFERROR(MAX((_xlfn.ANCHORARRAY(XP251)-AVERAGE(_xlfn.ANCHORARRAY(XP251)))/ AVERAGE(_xlfn.ANCHORARRAY(XP251))),0)</f>
        <v>0</v>
      </c>
      <c r="XV251" t="str" cm="1">
        <f t="array" ref="XV251">IF(AND(XU251&gt;$XV$1,XN251&lt;&gt;""),_xlfn.XLOOKUP(MAX(_xlfn.ANCHORARRAY(XP251)),_xlfn.ANCHORARRAY(XP251),XP$4:XT$4,""),"")</f>
        <v/>
      </c>
      <c r="XX251" cm="1">
        <f t="array" ref="XX251:YG251">SUMIFS($M251:$GJ251,$M$2:$GJ$2,XX$3:YG$3)</f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 cm="1">
        <f t="array" ref="YH251">IFERROR(MAX((_xlfn.ANCHORARRAY(XX251)-AVERAGE(_xlfn.ANCHORARRAY(XX251)))/ AVERAGE(_xlfn.ANCHORARRAY(XX251))),0)</f>
        <v>0</v>
      </c>
      <c r="YI251" t="str" cm="1">
        <f t="array" ref="YI251">IF(YH251&gt;$YI$1,_xlfn.XLOOKUP(MAX(_xlfn.ANCHORARRAY(XX251)),_xlfn.ANCHORARRAY(XX251),XX$4:YG$4,""),"")</f>
        <v/>
      </c>
      <c r="YK251" t="str">
        <f t="shared" ref="YK251:YK259" si="132">_xlfn.TEXTJOIN(" : ",,XN251,XV251,YI251)</f>
        <v/>
      </c>
    </row>
    <row r="252" spans="2:661" x14ac:dyDescent="0.3">
      <c r="B252" s="2" t="str">
        <f t="shared" si="121"/>
        <v>CHA</v>
      </c>
      <c r="C252" s="2" t="str">
        <f t="shared" si="122"/>
        <v>CHA</v>
      </c>
      <c r="D252" s="2" t="str">
        <f t="shared" si="123"/>
        <v>CHA</v>
      </c>
      <c r="E252" s="2" t="str">
        <f t="shared" si="124"/>
        <v/>
      </c>
      <c r="F252" s="2" t="str">
        <f t="shared" si="125"/>
        <v/>
      </c>
      <c r="G252" s="2">
        <f t="shared" si="126"/>
        <v>0</v>
      </c>
      <c r="H252" s="2">
        <f t="shared" si="127"/>
        <v>0</v>
      </c>
      <c r="I252" s="2">
        <f t="shared" si="128"/>
        <v>0</v>
      </c>
      <c r="J252" s="2">
        <f t="shared" si="129"/>
        <v>0</v>
      </c>
      <c r="K252" s="2">
        <f t="shared" si="130"/>
        <v>0</v>
      </c>
      <c r="L252" s="2">
        <f t="shared" si="131"/>
        <v>0</v>
      </c>
      <c r="XJ252" cm="1">
        <f t="array" ref="XJ252:XL252">SUMIFS($M252:$GJ252,$M$1:$GJ$1,XJ$3:XL$3)</f>
        <v>0</v>
      </c>
      <c r="XK252">
        <v>0</v>
      </c>
      <c r="XL252">
        <v>0</v>
      </c>
      <c r="XM252" cm="1">
        <f t="array" ref="XM252">IFERROR(MAX((_xlfn.ANCHORARRAY(XJ252)-AVERAGE(_xlfn.ANCHORARRAY(XJ252)))/ AVERAGE(_xlfn.ANCHORARRAY(XJ252))),0)</f>
        <v>0</v>
      </c>
      <c r="XN252" t="str" cm="1">
        <f t="array" ref="XN252">IF(XM252&gt;$XN$1,_xlfn.XLOOKUP(MAX(_xlfn.ANCHORARRAY(XJ252)),_xlfn.ANCHORARRAY(XJ252),XJ$4:XL$4,""),"")</f>
        <v/>
      </c>
      <c r="XP252" cm="1">
        <f t="array" ref="XP252:XT252">SUMIFS($M252:$GJ252,$M$3:$GJ$3,XP$3:XT$3)</f>
        <v>0</v>
      </c>
      <c r="XQ252">
        <v>0</v>
      </c>
      <c r="XR252">
        <v>0</v>
      </c>
      <c r="XS252">
        <v>0</v>
      </c>
      <c r="XT252">
        <v>0</v>
      </c>
      <c r="XU252" cm="1">
        <f t="array" ref="XU252">IFERROR(MAX((_xlfn.ANCHORARRAY(XP252)-AVERAGE(_xlfn.ANCHORARRAY(XP252)))/ AVERAGE(_xlfn.ANCHORARRAY(XP252))),0)</f>
        <v>0</v>
      </c>
      <c r="XV252" t="str" cm="1">
        <f t="array" ref="XV252">IF(AND(XU252&gt;$XV$1,XN252&lt;&gt;""),_xlfn.XLOOKUP(MAX(_xlfn.ANCHORARRAY(XP252)),_xlfn.ANCHORARRAY(XP252),XP$4:XT$4,""),"")</f>
        <v/>
      </c>
      <c r="XX252" cm="1">
        <f t="array" ref="XX252:YG252">SUMIFS($M252:$GJ252,$M$2:$GJ$2,XX$3:YG$3)</f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 cm="1">
        <f t="array" ref="YH252">IFERROR(MAX((_xlfn.ANCHORARRAY(XX252)-AVERAGE(_xlfn.ANCHORARRAY(XX252)))/ AVERAGE(_xlfn.ANCHORARRAY(XX252))),0)</f>
        <v>0</v>
      </c>
      <c r="YI252" t="str" cm="1">
        <f t="array" ref="YI252">IF(YH252&gt;$YI$1,_xlfn.XLOOKUP(MAX(_xlfn.ANCHORARRAY(XX252)),_xlfn.ANCHORARRAY(XX252),XX$4:YG$4,""),"")</f>
        <v/>
      </c>
      <c r="YK252" t="str">
        <f t="shared" si="132"/>
        <v/>
      </c>
    </row>
    <row r="253" spans="2:661" x14ac:dyDescent="0.3">
      <c r="B253" s="2" t="str">
        <f t="shared" si="121"/>
        <v>CHA</v>
      </c>
      <c r="C253" s="2" t="str">
        <f t="shared" si="122"/>
        <v>CHA</v>
      </c>
      <c r="D253" s="2" t="str">
        <f t="shared" si="123"/>
        <v>CHA</v>
      </c>
      <c r="E253" s="2" t="str">
        <f t="shared" si="124"/>
        <v/>
      </c>
      <c r="F253" s="2" t="str">
        <f t="shared" si="125"/>
        <v/>
      </c>
      <c r="G253" s="2">
        <f t="shared" si="126"/>
        <v>0</v>
      </c>
      <c r="H253" s="2">
        <f t="shared" si="127"/>
        <v>0</v>
      </c>
      <c r="I253" s="2">
        <f t="shared" si="128"/>
        <v>0</v>
      </c>
      <c r="J253" s="2">
        <f t="shared" si="129"/>
        <v>0</v>
      </c>
      <c r="K253" s="2">
        <f t="shared" si="130"/>
        <v>0</v>
      </c>
      <c r="L253" s="2">
        <f t="shared" si="131"/>
        <v>0</v>
      </c>
      <c r="XJ253" cm="1">
        <f t="array" ref="XJ253:XL253">SUMIFS($M253:$GJ253,$M$1:$GJ$1,XJ$3:XL$3)</f>
        <v>0</v>
      </c>
      <c r="XK253">
        <v>0</v>
      </c>
      <c r="XL253">
        <v>0</v>
      </c>
      <c r="XM253" cm="1">
        <f t="array" ref="XM253">IFERROR(MAX((_xlfn.ANCHORARRAY(XJ253)-AVERAGE(_xlfn.ANCHORARRAY(XJ253)))/ AVERAGE(_xlfn.ANCHORARRAY(XJ253))),0)</f>
        <v>0</v>
      </c>
      <c r="XN253" t="str" cm="1">
        <f t="array" ref="XN253">IF(XM253&gt;$XN$1,_xlfn.XLOOKUP(MAX(_xlfn.ANCHORARRAY(XJ253)),_xlfn.ANCHORARRAY(XJ253),XJ$4:XL$4,""),"")</f>
        <v/>
      </c>
      <c r="XP253" cm="1">
        <f t="array" ref="XP253:XT253">SUMIFS($M253:$GJ253,$M$3:$GJ$3,XP$3:XT$3)</f>
        <v>0</v>
      </c>
      <c r="XQ253">
        <v>0</v>
      </c>
      <c r="XR253">
        <v>0</v>
      </c>
      <c r="XS253">
        <v>0</v>
      </c>
      <c r="XT253">
        <v>0</v>
      </c>
      <c r="XU253" cm="1">
        <f t="array" ref="XU253">IFERROR(MAX((_xlfn.ANCHORARRAY(XP253)-AVERAGE(_xlfn.ANCHORARRAY(XP253)))/ AVERAGE(_xlfn.ANCHORARRAY(XP253))),0)</f>
        <v>0</v>
      </c>
      <c r="XV253" t="str" cm="1">
        <f t="array" ref="XV253">IF(AND(XU253&gt;$XV$1,XN253&lt;&gt;""),_xlfn.XLOOKUP(MAX(_xlfn.ANCHORARRAY(XP253)),_xlfn.ANCHORARRAY(XP253),XP$4:XT$4,""),"")</f>
        <v/>
      </c>
      <c r="XX253" cm="1">
        <f t="array" ref="XX253:YG253">SUMIFS($M253:$GJ253,$M$2:$GJ$2,XX$3:YG$3)</f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 cm="1">
        <f t="array" ref="YH253">IFERROR(MAX((_xlfn.ANCHORARRAY(XX253)-AVERAGE(_xlfn.ANCHORARRAY(XX253)))/ AVERAGE(_xlfn.ANCHORARRAY(XX253))),0)</f>
        <v>0</v>
      </c>
      <c r="YI253" t="str" cm="1">
        <f t="array" ref="YI253">IF(YH253&gt;$YI$1,_xlfn.XLOOKUP(MAX(_xlfn.ANCHORARRAY(XX253)),_xlfn.ANCHORARRAY(XX253),XX$4:YG$4,""),"")</f>
        <v/>
      </c>
      <c r="YK253" t="str">
        <f t="shared" si="132"/>
        <v/>
      </c>
    </row>
    <row r="254" spans="2:661" x14ac:dyDescent="0.3">
      <c r="B254" s="2" t="str">
        <f t="shared" si="121"/>
        <v>CHA</v>
      </c>
      <c r="C254" s="2" t="str">
        <f t="shared" si="122"/>
        <v>CHA</v>
      </c>
      <c r="D254" s="2" t="str">
        <f t="shared" si="123"/>
        <v>CHA</v>
      </c>
      <c r="E254" s="2" t="str">
        <f t="shared" si="124"/>
        <v/>
      </c>
      <c r="F254" s="2" t="str">
        <f t="shared" si="125"/>
        <v/>
      </c>
      <c r="G254" s="2">
        <f t="shared" si="126"/>
        <v>0</v>
      </c>
      <c r="H254" s="2">
        <f t="shared" si="127"/>
        <v>0</v>
      </c>
      <c r="I254" s="2">
        <f t="shared" si="128"/>
        <v>0</v>
      </c>
      <c r="J254" s="2">
        <f t="shared" si="129"/>
        <v>0</v>
      </c>
      <c r="K254" s="2">
        <f t="shared" si="130"/>
        <v>0</v>
      </c>
      <c r="L254" s="2">
        <f t="shared" si="131"/>
        <v>0</v>
      </c>
      <c r="XJ254" cm="1">
        <f t="array" ref="XJ254:XL254">SUMIFS($M254:$GJ254,$M$1:$GJ$1,XJ$3:XL$3)</f>
        <v>0</v>
      </c>
      <c r="XK254">
        <v>0</v>
      </c>
      <c r="XL254">
        <v>0</v>
      </c>
      <c r="XM254" cm="1">
        <f t="array" ref="XM254">IFERROR(MAX((_xlfn.ANCHORARRAY(XJ254)-AVERAGE(_xlfn.ANCHORARRAY(XJ254)))/ AVERAGE(_xlfn.ANCHORARRAY(XJ254))),0)</f>
        <v>0</v>
      </c>
      <c r="XN254" t="str" cm="1">
        <f t="array" ref="XN254">IF(XM254&gt;$XN$1,_xlfn.XLOOKUP(MAX(_xlfn.ANCHORARRAY(XJ254)),_xlfn.ANCHORARRAY(XJ254),XJ$4:XL$4,""),"")</f>
        <v/>
      </c>
      <c r="XP254" cm="1">
        <f t="array" ref="XP254:XT254">SUMIFS($M254:$GJ254,$M$3:$GJ$3,XP$3:XT$3)</f>
        <v>0</v>
      </c>
      <c r="XQ254">
        <v>0</v>
      </c>
      <c r="XR254">
        <v>0</v>
      </c>
      <c r="XS254">
        <v>0</v>
      </c>
      <c r="XT254">
        <v>0</v>
      </c>
      <c r="XU254" cm="1">
        <f t="array" ref="XU254">IFERROR(MAX((_xlfn.ANCHORARRAY(XP254)-AVERAGE(_xlfn.ANCHORARRAY(XP254)))/ AVERAGE(_xlfn.ANCHORARRAY(XP254))),0)</f>
        <v>0</v>
      </c>
      <c r="XV254" t="str" cm="1">
        <f t="array" ref="XV254">IF(AND(XU254&gt;$XV$1,XN254&lt;&gt;""),_xlfn.XLOOKUP(MAX(_xlfn.ANCHORARRAY(XP254)),_xlfn.ANCHORARRAY(XP254),XP$4:XT$4,""),"")</f>
        <v/>
      </c>
      <c r="XX254" cm="1">
        <f t="array" ref="XX254:YG254">SUMIFS($M254:$GJ254,$M$2:$GJ$2,XX$3:YG$3)</f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 cm="1">
        <f t="array" ref="YH254">IFERROR(MAX((_xlfn.ANCHORARRAY(XX254)-AVERAGE(_xlfn.ANCHORARRAY(XX254)))/ AVERAGE(_xlfn.ANCHORARRAY(XX254))),0)</f>
        <v>0</v>
      </c>
      <c r="YI254" t="str" cm="1">
        <f t="array" ref="YI254">IF(YH254&gt;$YI$1,_xlfn.XLOOKUP(MAX(_xlfn.ANCHORARRAY(XX254)),_xlfn.ANCHORARRAY(XX254),XX$4:YG$4,""),"")</f>
        <v/>
      </c>
      <c r="YK254" t="str">
        <f t="shared" si="132"/>
        <v/>
      </c>
    </row>
    <row r="255" spans="2:661" x14ac:dyDescent="0.3">
      <c r="B255" s="2" t="str">
        <f t="shared" si="121"/>
        <v>CHA</v>
      </c>
      <c r="C255" s="2" t="str">
        <f t="shared" si="122"/>
        <v>CHA</v>
      </c>
      <c r="D255" s="2" t="str">
        <f t="shared" si="123"/>
        <v>CHA</v>
      </c>
      <c r="E255" s="2" t="str">
        <f t="shared" si="124"/>
        <v/>
      </c>
      <c r="F255" s="2" t="str">
        <f t="shared" si="125"/>
        <v/>
      </c>
      <c r="G255" s="2">
        <f t="shared" si="126"/>
        <v>0</v>
      </c>
      <c r="H255" s="2">
        <f t="shared" si="127"/>
        <v>0</v>
      </c>
      <c r="I255" s="2">
        <f t="shared" si="128"/>
        <v>0</v>
      </c>
      <c r="J255" s="2">
        <f t="shared" si="129"/>
        <v>0</v>
      </c>
      <c r="K255" s="2">
        <f t="shared" si="130"/>
        <v>0</v>
      </c>
      <c r="L255" s="2">
        <f t="shared" si="131"/>
        <v>0</v>
      </c>
      <c r="XJ255" cm="1">
        <f t="array" ref="XJ255:XL255">SUMIFS($M255:$GJ255,$M$1:$GJ$1,XJ$3:XL$3)</f>
        <v>0</v>
      </c>
      <c r="XK255">
        <v>0</v>
      </c>
      <c r="XL255">
        <v>0</v>
      </c>
      <c r="XM255" cm="1">
        <f t="array" ref="XM255">IFERROR(MAX((_xlfn.ANCHORARRAY(XJ255)-AVERAGE(_xlfn.ANCHORARRAY(XJ255)))/ AVERAGE(_xlfn.ANCHORARRAY(XJ255))),0)</f>
        <v>0</v>
      </c>
      <c r="XN255" t="str" cm="1">
        <f t="array" ref="XN255">IF(XM255&gt;$XN$1,_xlfn.XLOOKUP(MAX(_xlfn.ANCHORARRAY(XJ255)),_xlfn.ANCHORARRAY(XJ255),XJ$4:XL$4,""),"")</f>
        <v/>
      </c>
      <c r="XP255" cm="1">
        <f t="array" ref="XP255:XT255">SUMIFS($M255:$GJ255,$M$3:$GJ$3,XP$3:XT$3)</f>
        <v>0</v>
      </c>
      <c r="XQ255">
        <v>0</v>
      </c>
      <c r="XR255">
        <v>0</v>
      </c>
      <c r="XS255">
        <v>0</v>
      </c>
      <c r="XT255">
        <v>0</v>
      </c>
      <c r="XU255" cm="1">
        <f t="array" ref="XU255">IFERROR(MAX((_xlfn.ANCHORARRAY(XP255)-AVERAGE(_xlfn.ANCHORARRAY(XP255)))/ AVERAGE(_xlfn.ANCHORARRAY(XP255))),0)</f>
        <v>0</v>
      </c>
      <c r="XV255" t="str" cm="1">
        <f t="array" ref="XV255">IF(AND(XU255&gt;$XV$1,XN255&lt;&gt;""),_xlfn.XLOOKUP(MAX(_xlfn.ANCHORARRAY(XP255)),_xlfn.ANCHORARRAY(XP255),XP$4:XT$4,""),"")</f>
        <v/>
      </c>
      <c r="XX255" cm="1">
        <f t="array" ref="XX255:YG255">SUMIFS($M255:$GJ255,$M$2:$GJ$2,XX$3:YG$3)</f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 cm="1">
        <f t="array" ref="YH255">IFERROR(MAX((_xlfn.ANCHORARRAY(XX255)-AVERAGE(_xlfn.ANCHORARRAY(XX255)))/ AVERAGE(_xlfn.ANCHORARRAY(XX255))),0)</f>
        <v>0</v>
      </c>
      <c r="YI255" t="str" cm="1">
        <f t="array" ref="YI255">IF(YH255&gt;$YI$1,_xlfn.XLOOKUP(MAX(_xlfn.ANCHORARRAY(XX255)),_xlfn.ANCHORARRAY(XX255),XX$4:YG$4,""),"")</f>
        <v/>
      </c>
      <c r="YK255" t="str">
        <f t="shared" si="132"/>
        <v/>
      </c>
    </row>
    <row r="256" spans="2:661" x14ac:dyDescent="0.3">
      <c r="B256" s="2" t="str">
        <f t="shared" si="121"/>
        <v>CHA</v>
      </c>
      <c r="C256" s="2" t="str">
        <f t="shared" si="122"/>
        <v>CHA</v>
      </c>
      <c r="D256" s="2" t="str">
        <f t="shared" si="123"/>
        <v>CHA</v>
      </c>
      <c r="E256" s="2" t="str">
        <f t="shared" si="124"/>
        <v/>
      </c>
      <c r="F256" s="2" t="str">
        <f t="shared" si="125"/>
        <v/>
      </c>
      <c r="G256" s="2">
        <f t="shared" si="126"/>
        <v>0</v>
      </c>
      <c r="H256" s="2">
        <f t="shared" si="127"/>
        <v>0</v>
      </c>
      <c r="I256" s="2">
        <f t="shared" si="128"/>
        <v>0</v>
      </c>
      <c r="J256" s="2">
        <f t="shared" si="129"/>
        <v>0</v>
      </c>
      <c r="K256" s="2">
        <f t="shared" si="130"/>
        <v>0</v>
      </c>
      <c r="L256" s="2">
        <f t="shared" si="131"/>
        <v>0</v>
      </c>
      <c r="XJ256" cm="1">
        <f t="array" ref="XJ256:XL256">SUMIFS($M256:$GJ256,$M$1:$GJ$1,XJ$3:XL$3)</f>
        <v>0</v>
      </c>
      <c r="XK256">
        <v>0</v>
      </c>
      <c r="XL256">
        <v>0</v>
      </c>
      <c r="XM256" cm="1">
        <f t="array" ref="XM256">IFERROR(MAX((_xlfn.ANCHORARRAY(XJ256)-AVERAGE(_xlfn.ANCHORARRAY(XJ256)))/ AVERAGE(_xlfn.ANCHORARRAY(XJ256))),0)</f>
        <v>0</v>
      </c>
      <c r="XN256" t="str" cm="1">
        <f t="array" ref="XN256">IF(XM256&gt;$XN$1,_xlfn.XLOOKUP(MAX(_xlfn.ANCHORARRAY(XJ256)),_xlfn.ANCHORARRAY(XJ256),XJ$4:XL$4,""),"")</f>
        <v/>
      </c>
      <c r="XP256" cm="1">
        <f t="array" ref="XP256:XT256">SUMIFS($M256:$GJ256,$M$3:$GJ$3,XP$3:XT$3)</f>
        <v>0</v>
      </c>
      <c r="XQ256">
        <v>0</v>
      </c>
      <c r="XR256">
        <v>0</v>
      </c>
      <c r="XS256">
        <v>0</v>
      </c>
      <c r="XT256">
        <v>0</v>
      </c>
      <c r="XU256" cm="1">
        <f t="array" ref="XU256">IFERROR(MAX((_xlfn.ANCHORARRAY(XP256)-AVERAGE(_xlfn.ANCHORARRAY(XP256)))/ AVERAGE(_xlfn.ANCHORARRAY(XP256))),0)</f>
        <v>0</v>
      </c>
      <c r="XV256" t="str" cm="1">
        <f t="array" ref="XV256">IF(AND(XU256&gt;$XV$1,XN256&lt;&gt;""),_xlfn.XLOOKUP(MAX(_xlfn.ANCHORARRAY(XP256)),_xlfn.ANCHORARRAY(XP256),XP$4:XT$4,""),"")</f>
        <v/>
      </c>
      <c r="XX256" cm="1">
        <f t="array" ref="XX256:YG256">SUMIFS($M256:$GJ256,$M$2:$GJ$2,XX$3:YG$3)</f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 cm="1">
        <f t="array" ref="YH256">IFERROR(MAX((_xlfn.ANCHORARRAY(XX256)-AVERAGE(_xlfn.ANCHORARRAY(XX256)))/ AVERAGE(_xlfn.ANCHORARRAY(XX256))),0)</f>
        <v>0</v>
      </c>
      <c r="YI256" t="str" cm="1">
        <f t="array" ref="YI256">IF(YH256&gt;$YI$1,_xlfn.XLOOKUP(MAX(_xlfn.ANCHORARRAY(XX256)),_xlfn.ANCHORARRAY(XX256),XX$4:YG$4,""),"")</f>
        <v/>
      </c>
      <c r="YK256" t="str">
        <f t="shared" si="132"/>
        <v/>
      </c>
    </row>
    <row r="257" spans="2:661" x14ac:dyDescent="0.3">
      <c r="B257" s="2" t="str">
        <f t="shared" si="121"/>
        <v>CHA</v>
      </c>
      <c r="C257" s="2" t="str">
        <f t="shared" si="122"/>
        <v>CHA</v>
      </c>
      <c r="D257" s="2" t="str">
        <f t="shared" si="123"/>
        <v>CHA</v>
      </c>
      <c r="E257" s="2" t="str">
        <f t="shared" si="124"/>
        <v/>
      </c>
      <c r="F257" s="2" t="str">
        <f t="shared" si="125"/>
        <v/>
      </c>
      <c r="G257" s="2">
        <f t="shared" si="126"/>
        <v>0</v>
      </c>
      <c r="H257" s="2">
        <f t="shared" si="127"/>
        <v>0</v>
      </c>
      <c r="I257" s="2">
        <f t="shared" si="128"/>
        <v>0</v>
      </c>
      <c r="J257" s="2">
        <f t="shared" si="129"/>
        <v>0</v>
      </c>
      <c r="K257" s="2">
        <f t="shared" si="130"/>
        <v>0</v>
      </c>
      <c r="L257" s="2">
        <f t="shared" si="131"/>
        <v>0</v>
      </c>
      <c r="XJ257" cm="1">
        <f t="array" ref="XJ257:XL257">SUMIFS($M257:$GJ257,$M$1:$GJ$1,XJ$3:XL$3)</f>
        <v>0</v>
      </c>
      <c r="XK257">
        <v>0</v>
      </c>
      <c r="XL257">
        <v>0</v>
      </c>
      <c r="XM257" cm="1">
        <f t="array" ref="XM257">IFERROR(MAX((_xlfn.ANCHORARRAY(XJ257)-AVERAGE(_xlfn.ANCHORARRAY(XJ257)))/ AVERAGE(_xlfn.ANCHORARRAY(XJ257))),0)</f>
        <v>0</v>
      </c>
      <c r="XN257" t="str" cm="1">
        <f t="array" ref="XN257">IF(XM257&gt;$XN$1,_xlfn.XLOOKUP(MAX(_xlfn.ANCHORARRAY(XJ257)),_xlfn.ANCHORARRAY(XJ257),XJ$4:XL$4,""),"")</f>
        <v/>
      </c>
      <c r="XP257" cm="1">
        <f t="array" ref="XP257:XT257">SUMIFS($M257:$GJ257,$M$3:$GJ$3,XP$3:XT$3)</f>
        <v>0</v>
      </c>
      <c r="XQ257">
        <v>0</v>
      </c>
      <c r="XR257">
        <v>0</v>
      </c>
      <c r="XS257">
        <v>0</v>
      </c>
      <c r="XT257">
        <v>0</v>
      </c>
      <c r="XU257" cm="1">
        <f t="array" ref="XU257">IFERROR(MAX((_xlfn.ANCHORARRAY(XP257)-AVERAGE(_xlfn.ANCHORARRAY(XP257)))/ AVERAGE(_xlfn.ANCHORARRAY(XP257))),0)</f>
        <v>0</v>
      </c>
      <c r="XV257" t="str" cm="1">
        <f t="array" ref="XV257">IF(AND(XU257&gt;$XV$1,XN257&lt;&gt;""),_xlfn.XLOOKUP(MAX(_xlfn.ANCHORARRAY(XP257)),_xlfn.ANCHORARRAY(XP257),XP$4:XT$4,""),"")</f>
        <v/>
      </c>
      <c r="XX257" cm="1">
        <f t="array" ref="XX257:YG257">SUMIFS($M257:$GJ257,$M$2:$GJ$2,XX$3:YG$3)</f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 cm="1">
        <f t="array" ref="YH257">IFERROR(MAX((_xlfn.ANCHORARRAY(XX257)-AVERAGE(_xlfn.ANCHORARRAY(XX257)))/ AVERAGE(_xlfn.ANCHORARRAY(XX257))),0)</f>
        <v>0</v>
      </c>
      <c r="YI257" t="str" cm="1">
        <f t="array" ref="YI257">IF(YH257&gt;$YI$1,_xlfn.XLOOKUP(MAX(_xlfn.ANCHORARRAY(XX257)),_xlfn.ANCHORARRAY(XX257),XX$4:YG$4,""),"")</f>
        <v/>
      </c>
      <c r="YK257" t="str">
        <f t="shared" si="132"/>
        <v/>
      </c>
    </row>
    <row r="258" spans="2:661" x14ac:dyDescent="0.3">
      <c r="B258" s="2" t="str">
        <f t="shared" si="121"/>
        <v>CHA</v>
      </c>
      <c r="C258" s="2" t="str">
        <f t="shared" si="122"/>
        <v>CHA</v>
      </c>
      <c r="D258" s="2" t="str">
        <f t="shared" si="123"/>
        <v>CHA</v>
      </c>
      <c r="E258" s="2" t="str">
        <f t="shared" si="124"/>
        <v/>
      </c>
      <c r="F258" s="2" t="str">
        <f t="shared" si="125"/>
        <v/>
      </c>
      <c r="G258" s="2">
        <f t="shared" si="126"/>
        <v>0</v>
      </c>
      <c r="H258" s="2">
        <f t="shared" si="127"/>
        <v>0</v>
      </c>
      <c r="I258" s="2">
        <f t="shared" si="128"/>
        <v>0</v>
      </c>
      <c r="J258" s="2">
        <f t="shared" si="129"/>
        <v>0</v>
      </c>
      <c r="K258" s="2">
        <f t="shared" si="130"/>
        <v>0</v>
      </c>
      <c r="L258" s="2">
        <f t="shared" si="131"/>
        <v>0</v>
      </c>
      <c r="XJ258" cm="1">
        <f t="array" ref="XJ258:XL258">SUMIFS($M258:$GJ258,$M$1:$GJ$1,XJ$3:XL$3)</f>
        <v>0</v>
      </c>
      <c r="XK258">
        <v>0</v>
      </c>
      <c r="XL258">
        <v>0</v>
      </c>
      <c r="XM258" cm="1">
        <f t="array" ref="XM258">IFERROR(MAX((_xlfn.ANCHORARRAY(XJ258)-AVERAGE(_xlfn.ANCHORARRAY(XJ258)))/ AVERAGE(_xlfn.ANCHORARRAY(XJ258))),0)</f>
        <v>0</v>
      </c>
      <c r="XN258" t="str" cm="1">
        <f t="array" ref="XN258">IF(XM258&gt;$XN$1,_xlfn.XLOOKUP(MAX(_xlfn.ANCHORARRAY(XJ258)),_xlfn.ANCHORARRAY(XJ258),XJ$4:XL$4,""),"")</f>
        <v/>
      </c>
      <c r="XP258" cm="1">
        <f t="array" ref="XP258:XT258">SUMIFS($M258:$GJ258,$M$3:$GJ$3,XP$3:XT$3)</f>
        <v>0</v>
      </c>
      <c r="XQ258">
        <v>0</v>
      </c>
      <c r="XR258">
        <v>0</v>
      </c>
      <c r="XS258">
        <v>0</v>
      </c>
      <c r="XT258">
        <v>0</v>
      </c>
      <c r="XU258" cm="1">
        <f t="array" ref="XU258">IFERROR(MAX((_xlfn.ANCHORARRAY(XP258)-AVERAGE(_xlfn.ANCHORARRAY(XP258)))/ AVERAGE(_xlfn.ANCHORARRAY(XP258))),0)</f>
        <v>0</v>
      </c>
      <c r="XV258" t="str" cm="1">
        <f t="array" ref="XV258">IF(AND(XU258&gt;$XV$1,XN258&lt;&gt;""),_xlfn.XLOOKUP(MAX(_xlfn.ANCHORARRAY(XP258)),_xlfn.ANCHORARRAY(XP258),XP$4:XT$4,""),"")</f>
        <v/>
      </c>
      <c r="XX258" cm="1">
        <f t="array" ref="XX258:YG258">SUMIFS($M258:$GJ258,$M$2:$GJ$2,XX$3:YG$3)</f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 cm="1">
        <f t="array" ref="YH258">IFERROR(MAX((_xlfn.ANCHORARRAY(XX258)-AVERAGE(_xlfn.ANCHORARRAY(XX258)))/ AVERAGE(_xlfn.ANCHORARRAY(XX258))),0)</f>
        <v>0</v>
      </c>
      <c r="YI258" t="str" cm="1">
        <f t="array" ref="YI258">IF(YH258&gt;$YI$1,_xlfn.XLOOKUP(MAX(_xlfn.ANCHORARRAY(XX258)),_xlfn.ANCHORARRAY(XX258),XX$4:YG$4,""),"")</f>
        <v/>
      </c>
      <c r="YK258" t="str">
        <f t="shared" si="132"/>
        <v/>
      </c>
    </row>
    <row r="259" spans="2:661" x14ac:dyDescent="0.3">
      <c r="B259" s="2" t="str">
        <f t="shared" si="121"/>
        <v>CHA</v>
      </c>
      <c r="C259" s="2" t="str">
        <f t="shared" si="122"/>
        <v>CHA</v>
      </c>
      <c r="D259" s="2" t="str">
        <f t="shared" si="123"/>
        <v>CHA</v>
      </c>
      <c r="E259" s="2" t="str">
        <f t="shared" si="124"/>
        <v/>
      </c>
      <c r="F259" s="2" t="str">
        <f t="shared" si="125"/>
        <v/>
      </c>
      <c r="G259" s="2">
        <f t="shared" si="126"/>
        <v>0</v>
      </c>
      <c r="H259" s="2">
        <f t="shared" si="127"/>
        <v>0</v>
      </c>
      <c r="I259" s="2">
        <f t="shared" si="128"/>
        <v>0</v>
      </c>
      <c r="J259" s="2">
        <f t="shared" si="129"/>
        <v>0</v>
      </c>
      <c r="K259" s="2">
        <f t="shared" si="130"/>
        <v>0</v>
      </c>
      <c r="L259" s="2">
        <f t="shared" si="131"/>
        <v>0</v>
      </c>
      <c r="XJ259" cm="1">
        <f t="array" ref="XJ259:XL259">SUMIFS($M259:$GJ259,$M$1:$GJ$1,XJ$3:XL$3)</f>
        <v>0</v>
      </c>
      <c r="XK259">
        <v>0</v>
      </c>
      <c r="XL259">
        <v>0</v>
      </c>
      <c r="XM259" cm="1">
        <f t="array" ref="XM259">IFERROR(MAX((_xlfn.ANCHORARRAY(XJ259)-AVERAGE(_xlfn.ANCHORARRAY(XJ259)))/ AVERAGE(_xlfn.ANCHORARRAY(XJ259))),0)</f>
        <v>0</v>
      </c>
      <c r="XN259" t="str" cm="1">
        <f t="array" ref="XN259">IF(XM259&gt;$XN$1,_xlfn.XLOOKUP(MAX(_xlfn.ANCHORARRAY(XJ259)),_xlfn.ANCHORARRAY(XJ259),XJ$4:XL$4,""),"")</f>
        <v/>
      </c>
      <c r="XP259" cm="1">
        <f t="array" ref="XP259:XT259">SUMIFS($M259:$GJ259,$M$3:$GJ$3,XP$3:XT$3)</f>
        <v>0</v>
      </c>
      <c r="XQ259">
        <v>0</v>
      </c>
      <c r="XR259">
        <v>0</v>
      </c>
      <c r="XS259">
        <v>0</v>
      </c>
      <c r="XT259">
        <v>0</v>
      </c>
      <c r="XU259" cm="1">
        <f t="array" ref="XU259">IFERROR(MAX((_xlfn.ANCHORARRAY(XP259)-AVERAGE(_xlfn.ANCHORARRAY(XP259)))/ AVERAGE(_xlfn.ANCHORARRAY(XP259))),0)</f>
        <v>0</v>
      </c>
      <c r="XV259" t="str" cm="1">
        <f t="array" ref="XV259">IF(AND(XU259&gt;$XV$1,XN259&lt;&gt;""),_xlfn.XLOOKUP(MAX(_xlfn.ANCHORARRAY(XP259)),_xlfn.ANCHORARRAY(XP259),XP$4:XT$4,""),"")</f>
        <v/>
      </c>
      <c r="XX259" cm="1">
        <f t="array" ref="XX259:YG259">SUMIFS($M259:$GJ259,$M$2:$GJ$2,XX$3:YG$3)</f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 cm="1">
        <f t="array" ref="YH259">IFERROR(MAX((_xlfn.ANCHORARRAY(XX259)-AVERAGE(_xlfn.ANCHORARRAY(XX259)))/ AVERAGE(_xlfn.ANCHORARRAY(XX259))),0)</f>
        <v>0</v>
      </c>
      <c r="YI259" t="str" cm="1">
        <f t="array" ref="YI259">IF(YH259&gt;$YI$1,_xlfn.XLOOKUP(MAX(_xlfn.ANCHORARRAY(XX259)),_xlfn.ANCHORARRAY(XX259),XX$4:YG$4,""),"")</f>
        <v/>
      </c>
      <c r="YK259" t="str">
        <f t="shared" si="132"/>
        <v/>
      </c>
    </row>
    <row r="260" spans="2:661" x14ac:dyDescent="0.3">
      <c r="B260" s="2" t="str">
        <f t="shared" ref="B260:B280" si="133">IF(C260="NotFound",D260,C260)</f>
        <v>CHA</v>
      </c>
      <c r="C260" s="2" t="str">
        <f t="shared" ref="C260:C280" si="134">IF(K260&gt;1,"NotFound","CHA"&amp;_xlfn.XLOOKUP(MAX(M260:GJ260,1),M260:GJ260,$M$4:$GJ$4,""))</f>
        <v>CHA</v>
      </c>
      <c r="D260" s="2" t="str">
        <f t="shared" ref="D260:D280" si="135">IF(G260&gt;1,"NotFound","CHA"&amp;_xlfn.XLOOKUP(MAX(GL260:NI260,1),GL260:NI260,$GL$4:$NI$4,""))</f>
        <v>CHA</v>
      </c>
      <c r="E260" s="2" t="str">
        <f t="shared" ref="E260:E280" si="136">YK260</f>
        <v/>
      </c>
      <c r="F260" s="2" t="str">
        <f t="shared" ref="F260:F280" si="137">IF(I260&gt;1,"NotFound",_xlfn.XLOOKUP(MAX(NK260:XG260,1),NK260:XG260,$NK$4:$XG$4,""))</f>
        <v/>
      </c>
      <c r="G260" s="2">
        <f t="shared" ref="G260:G280" si="138">COUNTIF(GL260:NI260,H260)</f>
        <v>0</v>
      </c>
      <c r="H260" s="2">
        <f t="shared" ref="H260:H280" si="139">MAX(GL260:NI260)</f>
        <v>0</v>
      </c>
      <c r="I260" s="2">
        <f t="shared" ref="I260:I280" si="140">COUNTIF(NK260:XG260,J260)</f>
        <v>0</v>
      </c>
      <c r="J260" s="2">
        <f t="shared" ref="J260:J280" si="141">MAX(NK260:XG260)</f>
        <v>0</v>
      </c>
      <c r="K260" s="2">
        <f t="shared" ref="K260:K280" si="142">COUNTIF(M260:GJ260,L260)</f>
        <v>0</v>
      </c>
      <c r="L260" s="2">
        <f t="shared" ref="L260:L280" si="143">MAX(M260:GJ260)</f>
        <v>0</v>
      </c>
      <c r="XJ260" cm="1">
        <f t="array" ref="XJ260:XL260">SUMIFS($M260:$GJ260,$M$1:$GJ$1,XJ$3:XL$3)</f>
        <v>0</v>
      </c>
      <c r="XK260">
        <v>0</v>
      </c>
      <c r="XL260">
        <v>0</v>
      </c>
      <c r="XM260" cm="1">
        <f t="array" ref="XM260">IFERROR(MAX((_xlfn.ANCHORARRAY(XJ260)-AVERAGE(_xlfn.ANCHORARRAY(XJ260)))/ AVERAGE(_xlfn.ANCHORARRAY(XJ260))),0)</f>
        <v>0</v>
      </c>
      <c r="XN260" t="str" cm="1">
        <f t="array" ref="XN260">IF(XM260&gt;$XN$1,_xlfn.XLOOKUP(MAX(_xlfn.ANCHORARRAY(XJ260)),_xlfn.ANCHORARRAY(XJ260),XJ$4:XL$4,""),"")</f>
        <v/>
      </c>
      <c r="XP260" cm="1">
        <f t="array" ref="XP260:XT260">SUMIFS($M260:$GJ260,$M$3:$GJ$3,XP$3:XT$3)</f>
        <v>0</v>
      </c>
      <c r="XQ260">
        <v>0</v>
      </c>
      <c r="XR260">
        <v>0</v>
      </c>
      <c r="XS260">
        <v>0</v>
      </c>
      <c r="XT260">
        <v>0</v>
      </c>
      <c r="XU260" cm="1">
        <f t="array" ref="XU260">IFERROR(MAX((_xlfn.ANCHORARRAY(XP260)-AVERAGE(_xlfn.ANCHORARRAY(XP260)))/ AVERAGE(_xlfn.ANCHORARRAY(XP260))),0)</f>
        <v>0</v>
      </c>
      <c r="XV260" t="str" cm="1">
        <f t="array" ref="XV260">IF(AND(XU260&gt;$XV$1,XN260&lt;&gt;""),_xlfn.XLOOKUP(MAX(_xlfn.ANCHORARRAY(XP260)),_xlfn.ANCHORARRAY(XP260),XP$4:XT$4,""),"")</f>
        <v/>
      </c>
      <c r="XX260" cm="1">
        <f t="array" ref="XX260:YG260">SUMIFS($M260:$GJ260,$M$2:$GJ$2,XX$3:YG$3)</f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 cm="1">
        <f t="array" ref="YH260">IFERROR(MAX((_xlfn.ANCHORARRAY(XX260)-AVERAGE(_xlfn.ANCHORARRAY(XX260)))/ AVERAGE(_xlfn.ANCHORARRAY(XX260))),0)</f>
        <v>0</v>
      </c>
      <c r="YI260" t="str" cm="1">
        <f t="array" ref="YI260">IF(YH260&gt;$YI$1,_xlfn.XLOOKUP(MAX(_xlfn.ANCHORARRAY(XX260)),_xlfn.ANCHORARRAY(XX260),XX$4:YG$4,""),"")</f>
        <v/>
      </c>
      <c r="YK260" t="str">
        <f t="shared" ref="YK260:YK280" si="144">_xlfn.TEXTJOIN(" : ",,XN260,XV260,YI260)</f>
        <v/>
      </c>
    </row>
    <row r="261" spans="2:661" x14ac:dyDescent="0.3">
      <c r="B261" s="2" t="str">
        <f t="shared" si="133"/>
        <v>CHA</v>
      </c>
      <c r="C261" s="2" t="str">
        <f t="shared" si="134"/>
        <v>CHA</v>
      </c>
      <c r="D261" s="2" t="str">
        <f t="shared" si="135"/>
        <v>CHA</v>
      </c>
      <c r="E261" s="2" t="str">
        <f t="shared" si="136"/>
        <v/>
      </c>
      <c r="F261" s="2" t="str">
        <f t="shared" si="137"/>
        <v/>
      </c>
      <c r="G261" s="2">
        <f t="shared" si="138"/>
        <v>0</v>
      </c>
      <c r="H261" s="2">
        <f t="shared" si="139"/>
        <v>0</v>
      </c>
      <c r="I261" s="2">
        <f t="shared" si="140"/>
        <v>0</v>
      </c>
      <c r="J261" s="2">
        <f t="shared" si="141"/>
        <v>0</v>
      </c>
      <c r="K261" s="2">
        <f t="shared" si="142"/>
        <v>0</v>
      </c>
      <c r="L261" s="2">
        <f t="shared" si="143"/>
        <v>0</v>
      </c>
      <c r="XJ261" cm="1">
        <f t="array" ref="XJ261:XL261">SUMIFS($M261:$GJ261,$M$1:$GJ$1,XJ$3:XL$3)</f>
        <v>0</v>
      </c>
      <c r="XK261">
        <v>0</v>
      </c>
      <c r="XL261">
        <v>0</v>
      </c>
      <c r="XM261" cm="1">
        <f t="array" ref="XM261">IFERROR(MAX((_xlfn.ANCHORARRAY(XJ261)-AVERAGE(_xlfn.ANCHORARRAY(XJ261)))/ AVERAGE(_xlfn.ANCHORARRAY(XJ261))),0)</f>
        <v>0</v>
      </c>
      <c r="XN261" t="str" cm="1">
        <f t="array" ref="XN261">IF(XM261&gt;$XN$1,_xlfn.XLOOKUP(MAX(_xlfn.ANCHORARRAY(XJ261)),_xlfn.ANCHORARRAY(XJ261),XJ$4:XL$4,""),"")</f>
        <v/>
      </c>
      <c r="XP261" cm="1">
        <f t="array" ref="XP261:XT261">SUMIFS($M261:$GJ261,$M$3:$GJ$3,XP$3:XT$3)</f>
        <v>0</v>
      </c>
      <c r="XQ261">
        <v>0</v>
      </c>
      <c r="XR261">
        <v>0</v>
      </c>
      <c r="XS261">
        <v>0</v>
      </c>
      <c r="XT261">
        <v>0</v>
      </c>
      <c r="XU261" cm="1">
        <f t="array" ref="XU261">IFERROR(MAX((_xlfn.ANCHORARRAY(XP261)-AVERAGE(_xlfn.ANCHORARRAY(XP261)))/ AVERAGE(_xlfn.ANCHORARRAY(XP261))),0)</f>
        <v>0</v>
      </c>
      <c r="XV261" t="str" cm="1">
        <f t="array" ref="XV261">IF(AND(XU261&gt;$XV$1,XN261&lt;&gt;""),_xlfn.XLOOKUP(MAX(_xlfn.ANCHORARRAY(XP261)),_xlfn.ANCHORARRAY(XP261),XP$4:XT$4,""),"")</f>
        <v/>
      </c>
      <c r="XX261" cm="1">
        <f t="array" ref="XX261:YG261">SUMIFS($M261:$GJ261,$M$2:$GJ$2,XX$3:YG$3)</f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 cm="1">
        <f t="array" ref="YH261">IFERROR(MAX((_xlfn.ANCHORARRAY(XX261)-AVERAGE(_xlfn.ANCHORARRAY(XX261)))/ AVERAGE(_xlfn.ANCHORARRAY(XX261))),0)</f>
        <v>0</v>
      </c>
      <c r="YI261" t="str" cm="1">
        <f t="array" ref="YI261">IF(YH261&gt;$YI$1,_xlfn.XLOOKUP(MAX(_xlfn.ANCHORARRAY(XX261)),_xlfn.ANCHORARRAY(XX261),XX$4:YG$4,""),"")</f>
        <v/>
      </c>
      <c r="YK261" t="str">
        <f t="shared" si="144"/>
        <v/>
      </c>
    </row>
    <row r="262" spans="2:661" x14ac:dyDescent="0.3">
      <c r="B262" s="2" t="str">
        <f t="shared" si="133"/>
        <v>CHA</v>
      </c>
      <c r="C262" s="2" t="str">
        <f t="shared" si="134"/>
        <v>CHA</v>
      </c>
      <c r="D262" s="2" t="str">
        <f t="shared" si="135"/>
        <v>CHA</v>
      </c>
      <c r="E262" s="2" t="str">
        <f t="shared" si="136"/>
        <v/>
      </c>
      <c r="F262" s="2" t="str">
        <f t="shared" si="137"/>
        <v/>
      </c>
      <c r="G262" s="2">
        <f t="shared" si="138"/>
        <v>0</v>
      </c>
      <c r="H262" s="2">
        <f t="shared" si="139"/>
        <v>0</v>
      </c>
      <c r="I262" s="2">
        <f t="shared" si="140"/>
        <v>0</v>
      </c>
      <c r="J262" s="2">
        <f t="shared" si="141"/>
        <v>0</v>
      </c>
      <c r="K262" s="2">
        <f t="shared" si="142"/>
        <v>0</v>
      </c>
      <c r="L262" s="2">
        <f t="shared" si="143"/>
        <v>0</v>
      </c>
      <c r="XJ262" cm="1">
        <f t="array" ref="XJ262:XL262">SUMIFS($M262:$GJ262,$M$1:$GJ$1,XJ$3:XL$3)</f>
        <v>0</v>
      </c>
      <c r="XK262">
        <v>0</v>
      </c>
      <c r="XL262">
        <v>0</v>
      </c>
      <c r="XM262" cm="1">
        <f t="array" ref="XM262">IFERROR(MAX((_xlfn.ANCHORARRAY(XJ262)-AVERAGE(_xlfn.ANCHORARRAY(XJ262)))/ AVERAGE(_xlfn.ANCHORARRAY(XJ262))),0)</f>
        <v>0</v>
      </c>
      <c r="XN262" t="str" cm="1">
        <f t="array" ref="XN262">IF(XM262&gt;$XN$1,_xlfn.XLOOKUP(MAX(_xlfn.ANCHORARRAY(XJ262)),_xlfn.ANCHORARRAY(XJ262),XJ$4:XL$4,""),"")</f>
        <v/>
      </c>
      <c r="XP262" cm="1">
        <f t="array" ref="XP262:XT262">SUMIFS($M262:$GJ262,$M$3:$GJ$3,XP$3:XT$3)</f>
        <v>0</v>
      </c>
      <c r="XQ262">
        <v>0</v>
      </c>
      <c r="XR262">
        <v>0</v>
      </c>
      <c r="XS262">
        <v>0</v>
      </c>
      <c r="XT262">
        <v>0</v>
      </c>
      <c r="XU262" cm="1">
        <f t="array" ref="XU262">IFERROR(MAX((_xlfn.ANCHORARRAY(XP262)-AVERAGE(_xlfn.ANCHORARRAY(XP262)))/ AVERAGE(_xlfn.ANCHORARRAY(XP262))),0)</f>
        <v>0</v>
      </c>
      <c r="XV262" t="str" cm="1">
        <f t="array" ref="XV262">IF(AND(XU262&gt;$XV$1,XN262&lt;&gt;""),_xlfn.XLOOKUP(MAX(_xlfn.ANCHORARRAY(XP262)),_xlfn.ANCHORARRAY(XP262),XP$4:XT$4,""),"")</f>
        <v/>
      </c>
      <c r="XX262" cm="1">
        <f t="array" ref="XX262:YG262">SUMIFS($M262:$GJ262,$M$2:$GJ$2,XX$3:YG$3)</f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 cm="1">
        <f t="array" ref="YH262">IFERROR(MAX((_xlfn.ANCHORARRAY(XX262)-AVERAGE(_xlfn.ANCHORARRAY(XX262)))/ AVERAGE(_xlfn.ANCHORARRAY(XX262))),0)</f>
        <v>0</v>
      </c>
      <c r="YI262" t="str" cm="1">
        <f t="array" ref="YI262">IF(YH262&gt;$YI$1,_xlfn.XLOOKUP(MAX(_xlfn.ANCHORARRAY(XX262)),_xlfn.ANCHORARRAY(XX262),XX$4:YG$4,""),"")</f>
        <v/>
      </c>
      <c r="YK262" t="str">
        <f t="shared" si="144"/>
        <v/>
      </c>
    </row>
    <row r="263" spans="2:661" x14ac:dyDescent="0.3">
      <c r="B263" s="2" t="str">
        <f t="shared" si="133"/>
        <v>CHA</v>
      </c>
      <c r="C263" s="2" t="str">
        <f t="shared" si="134"/>
        <v>CHA</v>
      </c>
      <c r="D263" s="2" t="str">
        <f t="shared" si="135"/>
        <v>CHA</v>
      </c>
      <c r="E263" s="2" t="str">
        <f t="shared" si="136"/>
        <v/>
      </c>
      <c r="F263" s="2" t="str">
        <f t="shared" si="137"/>
        <v/>
      </c>
      <c r="G263" s="2">
        <f t="shared" si="138"/>
        <v>0</v>
      </c>
      <c r="H263" s="2">
        <f t="shared" si="139"/>
        <v>0</v>
      </c>
      <c r="I263" s="2">
        <f t="shared" si="140"/>
        <v>0</v>
      </c>
      <c r="J263" s="2">
        <f t="shared" si="141"/>
        <v>0</v>
      </c>
      <c r="K263" s="2">
        <f t="shared" si="142"/>
        <v>0</v>
      </c>
      <c r="L263" s="2">
        <f t="shared" si="143"/>
        <v>0</v>
      </c>
      <c r="XJ263" cm="1">
        <f t="array" ref="XJ263:XL263">SUMIFS($M263:$GJ263,$M$1:$GJ$1,XJ$3:XL$3)</f>
        <v>0</v>
      </c>
      <c r="XK263">
        <v>0</v>
      </c>
      <c r="XL263">
        <v>0</v>
      </c>
      <c r="XM263" cm="1">
        <f t="array" ref="XM263">IFERROR(MAX((_xlfn.ANCHORARRAY(XJ263)-AVERAGE(_xlfn.ANCHORARRAY(XJ263)))/ AVERAGE(_xlfn.ANCHORARRAY(XJ263))),0)</f>
        <v>0</v>
      </c>
      <c r="XN263" t="str" cm="1">
        <f t="array" ref="XN263">IF(XM263&gt;$XN$1,_xlfn.XLOOKUP(MAX(_xlfn.ANCHORARRAY(XJ263)),_xlfn.ANCHORARRAY(XJ263),XJ$4:XL$4,""),"")</f>
        <v/>
      </c>
      <c r="XP263" cm="1">
        <f t="array" ref="XP263:XT263">SUMIFS($M263:$GJ263,$M$3:$GJ$3,XP$3:XT$3)</f>
        <v>0</v>
      </c>
      <c r="XQ263">
        <v>0</v>
      </c>
      <c r="XR263">
        <v>0</v>
      </c>
      <c r="XS263">
        <v>0</v>
      </c>
      <c r="XT263">
        <v>0</v>
      </c>
      <c r="XU263" cm="1">
        <f t="array" ref="XU263">IFERROR(MAX((_xlfn.ANCHORARRAY(XP263)-AVERAGE(_xlfn.ANCHORARRAY(XP263)))/ AVERAGE(_xlfn.ANCHORARRAY(XP263))),0)</f>
        <v>0</v>
      </c>
      <c r="XV263" t="str" cm="1">
        <f t="array" ref="XV263">IF(AND(XU263&gt;$XV$1,XN263&lt;&gt;""),_xlfn.XLOOKUP(MAX(_xlfn.ANCHORARRAY(XP263)),_xlfn.ANCHORARRAY(XP263),XP$4:XT$4,""),"")</f>
        <v/>
      </c>
      <c r="XX263" cm="1">
        <f t="array" ref="XX263:YG263">SUMIFS($M263:$GJ263,$M$2:$GJ$2,XX$3:YG$3)</f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 cm="1">
        <f t="array" ref="YH263">IFERROR(MAX((_xlfn.ANCHORARRAY(XX263)-AVERAGE(_xlfn.ANCHORARRAY(XX263)))/ AVERAGE(_xlfn.ANCHORARRAY(XX263))),0)</f>
        <v>0</v>
      </c>
      <c r="YI263" t="str" cm="1">
        <f t="array" ref="YI263">IF(YH263&gt;$YI$1,_xlfn.XLOOKUP(MAX(_xlfn.ANCHORARRAY(XX263)),_xlfn.ANCHORARRAY(XX263),XX$4:YG$4,""),"")</f>
        <v/>
      </c>
      <c r="YK263" t="str">
        <f t="shared" si="144"/>
        <v/>
      </c>
    </row>
    <row r="264" spans="2:661" x14ac:dyDescent="0.3">
      <c r="B264" s="2" t="str">
        <f t="shared" si="133"/>
        <v>CHA</v>
      </c>
      <c r="C264" s="2" t="str">
        <f t="shared" si="134"/>
        <v>CHA</v>
      </c>
      <c r="D264" s="2" t="str">
        <f t="shared" si="135"/>
        <v>CHA</v>
      </c>
      <c r="E264" s="2" t="str">
        <f t="shared" si="136"/>
        <v/>
      </c>
      <c r="F264" s="2" t="str">
        <f t="shared" si="137"/>
        <v/>
      </c>
      <c r="G264" s="2">
        <f t="shared" si="138"/>
        <v>0</v>
      </c>
      <c r="H264" s="2">
        <f t="shared" si="139"/>
        <v>0</v>
      </c>
      <c r="I264" s="2">
        <f t="shared" si="140"/>
        <v>0</v>
      </c>
      <c r="J264" s="2">
        <f t="shared" si="141"/>
        <v>0</v>
      </c>
      <c r="K264" s="2">
        <f t="shared" si="142"/>
        <v>0</v>
      </c>
      <c r="L264" s="2">
        <f t="shared" si="143"/>
        <v>0</v>
      </c>
      <c r="XJ264" cm="1">
        <f t="array" ref="XJ264:XL264">SUMIFS($M264:$GJ264,$M$1:$GJ$1,XJ$3:XL$3)</f>
        <v>0</v>
      </c>
      <c r="XK264">
        <v>0</v>
      </c>
      <c r="XL264">
        <v>0</v>
      </c>
      <c r="XM264" cm="1">
        <f t="array" ref="XM264">IFERROR(MAX((_xlfn.ANCHORARRAY(XJ264)-AVERAGE(_xlfn.ANCHORARRAY(XJ264)))/ AVERAGE(_xlfn.ANCHORARRAY(XJ264))),0)</f>
        <v>0</v>
      </c>
      <c r="XN264" t="str" cm="1">
        <f t="array" ref="XN264">IF(XM264&gt;$XN$1,_xlfn.XLOOKUP(MAX(_xlfn.ANCHORARRAY(XJ264)),_xlfn.ANCHORARRAY(XJ264),XJ$4:XL$4,""),"")</f>
        <v/>
      </c>
      <c r="XP264" cm="1">
        <f t="array" ref="XP264:XT264">SUMIFS($M264:$GJ264,$M$3:$GJ$3,XP$3:XT$3)</f>
        <v>0</v>
      </c>
      <c r="XQ264">
        <v>0</v>
      </c>
      <c r="XR264">
        <v>0</v>
      </c>
      <c r="XS264">
        <v>0</v>
      </c>
      <c r="XT264">
        <v>0</v>
      </c>
      <c r="XU264" cm="1">
        <f t="array" ref="XU264">IFERROR(MAX((_xlfn.ANCHORARRAY(XP264)-AVERAGE(_xlfn.ANCHORARRAY(XP264)))/ AVERAGE(_xlfn.ANCHORARRAY(XP264))),0)</f>
        <v>0</v>
      </c>
      <c r="XV264" t="str" cm="1">
        <f t="array" ref="XV264">IF(AND(XU264&gt;$XV$1,XN264&lt;&gt;""),_xlfn.XLOOKUP(MAX(_xlfn.ANCHORARRAY(XP264)),_xlfn.ANCHORARRAY(XP264),XP$4:XT$4,""),"")</f>
        <v/>
      </c>
      <c r="XX264" cm="1">
        <f t="array" ref="XX264:YG264">SUMIFS($M264:$GJ264,$M$2:$GJ$2,XX$3:YG$3)</f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 cm="1">
        <f t="array" ref="YH264">IFERROR(MAX((_xlfn.ANCHORARRAY(XX264)-AVERAGE(_xlfn.ANCHORARRAY(XX264)))/ AVERAGE(_xlfn.ANCHORARRAY(XX264))),0)</f>
        <v>0</v>
      </c>
      <c r="YI264" t="str" cm="1">
        <f t="array" ref="YI264">IF(YH264&gt;$YI$1,_xlfn.XLOOKUP(MAX(_xlfn.ANCHORARRAY(XX264)),_xlfn.ANCHORARRAY(XX264),XX$4:YG$4,""),"")</f>
        <v/>
      </c>
      <c r="YK264" t="str">
        <f t="shared" si="144"/>
        <v/>
      </c>
    </row>
    <row r="265" spans="2:661" x14ac:dyDescent="0.3">
      <c r="B265" s="2" t="str">
        <f t="shared" si="133"/>
        <v>CHA</v>
      </c>
      <c r="C265" s="2" t="str">
        <f t="shared" si="134"/>
        <v>CHA</v>
      </c>
      <c r="D265" s="2" t="str">
        <f t="shared" si="135"/>
        <v>CHA</v>
      </c>
      <c r="E265" s="2" t="str">
        <f t="shared" si="136"/>
        <v/>
      </c>
      <c r="F265" s="2" t="str">
        <f t="shared" si="137"/>
        <v/>
      </c>
      <c r="G265" s="2">
        <f t="shared" si="138"/>
        <v>0</v>
      </c>
      <c r="H265" s="2">
        <f t="shared" si="139"/>
        <v>0</v>
      </c>
      <c r="I265" s="2">
        <f t="shared" si="140"/>
        <v>0</v>
      </c>
      <c r="J265" s="2">
        <f t="shared" si="141"/>
        <v>0</v>
      </c>
      <c r="K265" s="2">
        <f t="shared" si="142"/>
        <v>0</v>
      </c>
      <c r="L265" s="2">
        <f t="shared" si="143"/>
        <v>0</v>
      </c>
      <c r="XJ265" cm="1">
        <f t="array" ref="XJ265:XL265">SUMIFS($M265:$GJ265,$M$1:$GJ$1,XJ$3:XL$3)</f>
        <v>0</v>
      </c>
      <c r="XK265">
        <v>0</v>
      </c>
      <c r="XL265">
        <v>0</v>
      </c>
      <c r="XM265" cm="1">
        <f t="array" ref="XM265">IFERROR(MAX((_xlfn.ANCHORARRAY(XJ265)-AVERAGE(_xlfn.ANCHORARRAY(XJ265)))/ AVERAGE(_xlfn.ANCHORARRAY(XJ265))),0)</f>
        <v>0</v>
      </c>
      <c r="XN265" t="str" cm="1">
        <f t="array" ref="XN265">IF(XM265&gt;$XN$1,_xlfn.XLOOKUP(MAX(_xlfn.ANCHORARRAY(XJ265)),_xlfn.ANCHORARRAY(XJ265),XJ$4:XL$4,""),"")</f>
        <v/>
      </c>
      <c r="XP265" cm="1">
        <f t="array" ref="XP265:XT265">SUMIFS($M265:$GJ265,$M$3:$GJ$3,XP$3:XT$3)</f>
        <v>0</v>
      </c>
      <c r="XQ265">
        <v>0</v>
      </c>
      <c r="XR265">
        <v>0</v>
      </c>
      <c r="XS265">
        <v>0</v>
      </c>
      <c r="XT265">
        <v>0</v>
      </c>
      <c r="XU265" cm="1">
        <f t="array" ref="XU265">IFERROR(MAX((_xlfn.ANCHORARRAY(XP265)-AVERAGE(_xlfn.ANCHORARRAY(XP265)))/ AVERAGE(_xlfn.ANCHORARRAY(XP265))),0)</f>
        <v>0</v>
      </c>
      <c r="XV265" t="str" cm="1">
        <f t="array" ref="XV265">IF(AND(XU265&gt;$XV$1,XN265&lt;&gt;""),_xlfn.XLOOKUP(MAX(_xlfn.ANCHORARRAY(XP265)),_xlfn.ANCHORARRAY(XP265),XP$4:XT$4,""),"")</f>
        <v/>
      </c>
      <c r="XX265" cm="1">
        <f t="array" ref="XX265:YG265">SUMIFS($M265:$GJ265,$M$2:$GJ$2,XX$3:YG$3)</f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 cm="1">
        <f t="array" ref="YH265">IFERROR(MAX((_xlfn.ANCHORARRAY(XX265)-AVERAGE(_xlfn.ANCHORARRAY(XX265)))/ AVERAGE(_xlfn.ANCHORARRAY(XX265))),0)</f>
        <v>0</v>
      </c>
      <c r="YI265" t="str" cm="1">
        <f t="array" ref="YI265">IF(YH265&gt;$YI$1,_xlfn.XLOOKUP(MAX(_xlfn.ANCHORARRAY(XX265)),_xlfn.ANCHORARRAY(XX265),XX$4:YG$4,""),"")</f>
        <v/>
      </c>
      <c r="YK265" t="str">
        <f t="shared" si="144"/>
        <v/>
      </c>
    </row>
    <row r="266" spans="2:661" x14ac:dyDescent="0.3">
      <c r="B266" s="2" t="str">
        <f t="shared" si="133"/>
        <v>CHA</v>
      </c>
      <c r="C266" s="2" t="str">
        <f t="shared" si="134"/>
        <v>CHA</v>
      </c>
      <c r="D266" s="2" t="str">
        <f t="shared" si="135"/>
        <v>CHA</v>
      </c>
      <c r="E266" s="2" t="str">
        <f t="shared" si="136"/>
        <v/>
      </c>
      <c r="F266" s="2" t="str">
        <f t="shared" si="137"/>
        <v/>
      </c>
      <c r="G266" s="2">
        <f t="shared" si="138"/>
        <v>0</v>
      </c>
      <c r="H266" s="2">
        <f t="shared" si="139"/>
        <v>0</v>
      </c>
      <c r="I266" s="2">
        <f t="shared" si="140"/>
        <v>0</v>
      </c>
      <c r="J266" s="2">
        <f t="shared" si="141"/>
        <v>0</v>
      </c>
      <c r="K266" s="2">
        <f t="shared" si="142"/>
        <v>0</v>
      </c>
      <c r="L266" s="2">
        <f t="shared" si="143"/>
        <v>0</v>
      </c>
      <c r="XJ266" cm="1">
        <f t="array" ref="XJ266:XL266">SUMIFS($M266:$GJ266,$M$1:$GJ$1,XJ$3:XL$3)</f>
        <v>0</v>
      </c>
      <c r="XK266">
        <v>0</v>
      </c>
      <c r="XL266">
        <v>0</v>
      </c>
      <c r="XM266" cm="1">
        <f t="array" ref="XM266">IFERROR(MAX((_xlfn.ANCHORARRAY(XJ266)-AVERAGE(_xlfn.ANCHORARRAY(XJ266)))/ AVERAGE(_xlfn.ANCHORARRAY(XJ266))),0)</f>
        <v>0</v>
      </c>
      <c r="XN266" t="str" cm="1">
        <f t="array" ref="XN266">IF(XM266&gt;$XN$1,_xlfn.XLOOKUP(MAX(_xlfn.ANCHORARRAY(XJ266)),_xlfn.ANCHORARRAY(XJ266),XJ$4:XL$4,""),"")</f>
        <v/>
      </c>
      <c r="XP266" cm="1">
        <f t="array" ref="XP266:XT266">SUMIFS($M266:$GJ266,$M$3:$GJ$3,XP$3:XT$3)</f>
        <v>0</v>
      </c>
      <c r="XQ266">
        <v>0</v>
      </c>
      <c r="XR266">
        <v>0</v>
      </c>
      <c r="XS266">
        <v>0</v>
      </c>
      <c r="XT266">
        <v>0</v>
      </c>
      <c r="XU266" cm="1">
        <f t="array" ref="XU266">IFERROR(MAX((_xlfn.ANCHORARRAY(XP266)-AVERAGE(_xlfn.ANCHORARRAY(XP266)))/ AVERAGE(_xlfn.ANCHORARRAY(XP266))),0)</f>
        <v>0</v>
      </c>
      <c r="XV266" t="str" cm="1">
        <f t="array" ref="XV266">IF(AND(XU266&gt;$XV$1,XN266&lt;&gt;""),_xlfn.XLOOKUP(MAX(_xlfn.ANCHORARRAY(XP266)),_xlfn.ANCHORARRAY(XP266),XP$4:XT$4,""),"")</f>
        <v/>
      </c>
      <c r="XX266" cm="1">
        <f t="array" ref="XX266:YG266">SUMIFS($M266:$GJ266,$M$2:$GJ$2,XX$3:YG$3)</f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 cm="1">
        <f t="array" ref="YH266">IFERROR(MAX((_xlfn.ANCHORARRAY(XX266)-AVERAGE(_xlfn.ANCHORARRAY(XX266)))/ AVERAGE(_xlfn.ANCHORARRAY(XX266))),0)</f>
        <v>0</v>
      </c>
      <c r="YI266" t="str" cm="1">
        <f t="array" ref="YI266">IF(YH266&gt;$YI$1,_xlfn.XLOOKUP(MAX(_xlfn.ANCHORARRAY(XX266)),_xlfn.ANCHORARRAY(XX266),XX$4:YG$4,""),"")</f>
        <v/>
      </c>
      <c r="YK266" t="str">
        <f t="shared" si="144"/>
        <v/>
      </c>
    </row>
    <row r="267" spans="2:661" x14ac:dyDescent="0.3">
      <c r="B267" s="2" t="str">
        <f t="shared" si="133"/>
        <v>CHA</v>
      </c>
      <c r="C267" s="2" t="str">
        <f t="shared" si="134"/>
        <v>CHA</v>
      </c>
      <c r="D267" s="2" t="str">
        <f t="shared" si="135"/>
        <v>CHA</v>
      </c>
      <c r="E267" s="2" t="str">
        <f t="shared" si="136"/>
        <v/>
      </c>
      <c r="F267" s="2" t="str">
        <f t="shared" si="137"/>
        <v/>
      </c>
      <c r="G267" s="2">
        <f t="shared" si="138"/>
        <v>0</v>
      </c>
      <c r="H267" s="2">
        <f t="shared" si="139"/>
        <v>0</v>
      </c>
      <c r="I267" s="2">
        <f t="shared" si="140"/>
        <v>0</v>
      </c>
      <c r="J267" s="2">
        <f t="shared" si="141"/>
        <v>0</v>
      </c>
      <c r="K267" s="2">
        <f t="shared" si="142"/>
        <v>0</v>
      </c>
      <c r="L267" s="2">
        <f t="shared" si="143"/>
        <v>0</v>
      </c>
      <c r="XJ267" cm="1">
        <f t="array" ref="XJ267:XL267">SUMIFS($M267:$GJ267,$M$1:$GJ$1,XJ$3:XL$3)</f>
        <v>0</v>
      </c>
      <c r="XK267">
        <v>0</v>
      </c>
      <c r="XL267">
        <v>0</v>
      </c>
      <c r="XM267" cm="1">
        <f t="array" ref="XM267">IFERROR(MAX((_xlfn.ANCHORARRAY(XJ267)-AVERAGE(_xlfn.ANCHORARRAY(XJ267)))/ AVERAGE(_xlfn.ANCHORARRAY(XJ267))),0)</f>
        <v>0</v>
      </c>
      <c r="XN267" t="str" cm="1">
        <f t="array" ref="XN267">IF(XM267&gt;$XN$1,_xlfn.XLOOKUP(MAX(_xlfn.ANCHORARRAY(XJ267)),_xlfn.ANCHORARRAY(XJ267),XJ$4:XL$4,""),"")</f>
        <v/>
      </c>
      <c r="XP267" cm="1">
        <f t="array" ref="XP267:XT267">SUMIFS($M267:$GJ267,$M$3:$GJ$3,XP$3:XT$3)</f>
        <v>0</v>
      </c>
      <c r="XQ267">
        <v>0</v>
      </c>
      <c r="XR267">
        <v>0</v>
      </c>
      <c r="XS267">
        <v>0</v>
      </c>
      <c r="XT267">
        <v>0</v>
      </c>
      <c r="XU267" cm="1">
        <f t="array" ref="XU267">IFERROR(MAX((_xlfn.ANCHORARRAY(XP267)-AVERAGE(_xlfn.ANCHORARRAY(XP267)))/ AVERAGE(_xlfn.ANCHORARRAY(XP267))),0)</f>
        <v>0</v>
      </c>
      <c r="XV267" t="str" cm="1">
        <f t="array" ref="XV267">IF(AND(XU267&gt;$XV$1,XN267&lt;&gt;""),_xlfn.XLOOKUP(MAX(_xlfn.ANCHORARRAY(XP267)),_xlfn.ANCHORARRAY(XP267),XP$4:XT$4,""),"")</f>
        <v/>
      </c>
      <c r="XX267" cm="1">
        <f t="array" ref="XX267:YG267">SUMIFS($M267:$GJ267,$M$2:$GJ$2,XX$3:YG$3)</f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 cm="1">
        <f t="array" ref="YH267">IFERROR(MAX((_xlfn.ANCHORARRAY(XX267)-AVERAGE(_xlfn.ANCHORARRAY(XX267)))/ AVERAGE(_xlfn.ANCHORARRAY(XX267))),0)</f>
        <v>0</v>
      </c>
      <c r="YI267" t="str" cm="1">
        <f t="array" ref="YI267">IF(YH267&gt;$YI$1,_xlfn.XLOOKUP(MAX(_xlfn.ANCHORARRAY(XX267)),_xlfn.ANCHORARRAY(XX267),XX$4:YG$4,""),"")</f>
        <v/>
      </c>
      <c r="YK267" t="str">
        <f t="shared" si="144"/>
        <v/>
      </c>
    </row>
    <row r="268" spans="2:661" x14ac:dyDescent="0.3">
      <c r="B268" s="2" t="str">
        <f t="shared" si="133"/>
        <v>CHA</v>
      </c>
      <c r="C268" s="2" t="str">
        <f t="shared" si="134"/>
        <v>CHA</v>
      </c>
      <c r="D268" s="2" t="str">
        <f t="shared" si="135"/>
        <v>CHA</v>
      </c>
      <c r="E268" s="2" t="str">
        <f t="shared" si="136"/>
        <v/>
      </c>
      <c r="F268" s="2" t="str">
        <f t="shared" si="137"/>
        <v/>
      </c>
      <c r="G268" s="2">
        <f t="shared" si="138"/>
        <v>0</v>
      </c>
      <c r="H268" s="2">
        <f t="shared" si="139"/>
        <v>0</v>
      </c>
      <c r="I268" s="2">
        <f t="shared" si="140"/>
        <v>0</v>
      </c>
      <c r="J268" s="2">
        <f t="shared" si="141"/>
        <v>0</v>
      </c>
      <c r="K268" s="2">
        <f t="shared" si="142"/>
        <v>0</v>
      </c>
      <c r="L268" s="2">
        <f t="shared" si="143"/>
        <v>0</v>
      </c>
      <c r="XJ268" cm="1">
        <f t="array" ref="XJ268:XL268">SUMIFS($M268:$GJ268,$M$1:$GJ$1,XJ$3:XL$3)</f>
        <v>0</v>
      </c>
      <c r="XK268">
        <v>0</v>
      </c>
      <c r="XL268">
        <v>0</v>
      </c>
      <c r="XM268" cm="1">
        <f t="array" ref="XM268">IFERROR(MAX((_xlfn.ANCHORARRAY(XJ268)-AVERAGE(_xlfn.ANCHORARRAY(XJ268)))/ AVERAGE(_xlfn.ANCHORARRAY(XJ268))),0)</f>
        <v>0</v>
      </c>
      <c r="XN268" t="str" cm="1">
        <f t="array" ref="XN268">IF(XM268&gt;$XN$1,_xlfn.XLOOKUP(MAX(_xlfn.ANCHORARRAY(XJ268)),_xlfn.ANCHORARRAY(XJ268),XJ$4:XL$4,""),"")</f>
        <v/>
      </c>
      <c r="XP268" cm="1">
        <f t="array" ref="XP268:XT268">SUMIFS($M268:$GJ268,$M$3:$GJ$3,XP$3:XT$3)</f>
        <v>0</v>
      </c>
      <c r="XQ268">
        <v>0</v>
      </c>
      <c r="XR268">
        <v>0</v>
      </c>
      <c r="XS268">
        <v>0</v>
      </c>
      <c r="XT268">
        <v>0</v>
      </c>
      <c r="XU268" cm="1">
        <f t="array" ref="XU268">IFERROR(MAX((_xlfn.ANCHORARRAY(XP268)-AVERAGE(_xlfn.ANCHORARRAY(XP268)))/ AVERAGE(_xlfn.ANCHORARRAY(XP268))),0)</f>
        <v>0</v>
      </c>
      <c r="XV268" t="str" cm="1">
        <f t="array" ref="XV268">IF(AND(XU268&gt;$XV$1,XN268&lt;&gt;""),_xlfn.XLOOKUP(MAX(_xlfn.ANCHORARRAY(XP268)),_xlfn.ANCHORARRAY(XP268),XP$4:XT$4,""),"")</f>
        <v/>
      </c>
      <c r="XX268" cm="1">
        <f t="array" ref="XX268:YG268">SUMIFS($M268:$GJ268,$M$2:$GJ$2,XX$3:YG$3)</f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 cm="1">
        <f t="array" ref="YH268">IFERROR(MAX((_xlfn.ANCHORARRAY(XX268)-AVERAGE(_xlfn.ANCHORARRAY(XX268)))/ AVERAGE(_xlfn.ANCHORARRAY(XX268))),0)</f>
        <v>0</v>
      </c>
      <c r="YI268" t="str" cm="1">
        <f t="array" ref="YI268">IF(YH268&gt;$YI$1,_xlfn.XLOOKUP(MAX(_xlfn.ANCHORARRAY(XX268)),_xlfn.ANCHORARRAY(XX268),XX$4:YG$4,""),"")</f>
        <v/>
      </c>
      <c r="YK268" t="str">
        <f t="shared" si="144"/>
        <v/>
      </c>
    </row>
    <row r="269" spans="2:661" x14ac:dyDescent="0.3">
      <c r="B269" s="2" t="str">
        <f t="shared" si="133"/>
        <v>CHA</v>
      </c>
      <c r="C269" s="2" t="str">
        <f t="shared" si="134"/>
        <v>CHA</v>
      </c>
      <c r="D269" s="2" t="str">
        <f t="shared" si="135"/>
        <v>CHA</v>
      </c>
      <c r="E269" s="2" t="str">
        <f t="shared" si="136"/>
        <v/>
      </c>
      <c r="F269" s="2" t="str">
        <f t="shared" si="137"/>
        <v/>
      </c>
      <c r="G269" s="2">
        <f t="shared" si="138"/>
        <v>0</v>
      </c>
      <c r="H269" s="2">
        <f t="shared" si="139"/>
        <v>0</v>
      </c>
      <c r="I269" s="2">
        <f t="shared" si="140"/>
        <v>0</v>
      </c>
      <c r="J269" s="2">
        <f t="shared" si="141"/>
        <v>0</v>
      </c>
      <c r="K269" s="2">
        <f t="shared" si="142"/>
        <v>0</v>
      </c>
      <c r="L269" s="2">
        <f t="shared" si="143"/>
        <v>0</v>
      </c>
      <c r="XJ269" cm="1">
        <f t="array" ref="XJ269:XL269">SUMIFS($M269:$GJ269,$M$1:$GJ$1,XJ$3:XL$3)</f>
        <v>0</v>
      </c>
      <c r="XK269">
        <v>0</v>
      </c>
      <c r="XL269">
        <v>0</v>
      </c>
      <c r="XM269" cm="1">
        <f t="array" ref="XM269">IFERROR(MAX((_xlfn.ANCHORARRAY(XJ269)-AVERAGE(_xlfn.ANCHORARRAY(XJ269)))/ AVERAGE(_xlfn.ANCHORARRAY(XJ269))),0)</f>
        <v>0</v>
      </c>
      <c r="XN269" t="str" cm="1">
        <f t="array" ref="XN269">IF(XM269&gt;$XN$1,_xlfn.XLOOKUP(MAX(_xlfn.ANCHORARRAY(XJ269)),_xlfn.ANCHORARRAY(XJ269),XJ$4:XL$4,""),"")</f>
        <v/>
      </c>
      <c r="XP269" cm="1">
        <f t="array" ref="XP269:XT269">SUMIFS($M269:$GJ269,$M$3:$GJ$3,XP$3:XT$3)</f>
        <v>0</v>
      </c>
      <c r="XQ269">
        <v>0</v>
      </c>
      <c r="XR269">
        <v>0</v>
      </c>
      <c r="XS269">
        <v>0</v>
      </c>
      <c r="XT269">
        <v>0</v>
      </c>
      <c r="XU269" cm="1">
        <f t="array" ref="XU269">IFERROR(MAX((_xlfn.ANCHORARRAY(XP269)-AVERAGE(_xlfn.ANCHORARRAY(XP269)))/ AVERAGE(_xlfn.ANCHORARRAY(XP269))),0)</f>
        <v>0</v>
      </c>
      <c r="XV269" t="str" cm="1">
        <f t="array" ref="XV269">IF(AND(XU269&gt;$XV$1,XN269&lt;&gt;""),_xlfn.XLOOKUP(MAX(_xlfn.ANCHORARRAY(XP269)),_xlfn.ANCHORARRAY(XP269),XP$4:XT$4,""),"")</f>
        <v/>
      </c>
      <c r="XX269" cm="1">
        <f t="array" ref="XX269:YG269">SUMIFS($M269:$GJ269,$M$2:$GJ$2,XX$3:YG$3)</f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 cm="1">
        <f t="array" ref="YH269">IFERROR(MAX((_xlfn.ANCHORARRAY(XX269)-AVERAGE(_xlfn.ANCHORARRAY(XX269)))/ AVERAGE(_xlfn.ANCHORARRAY(XX269))),0)</f>
        <v>0</v>
      </c>
      <c r="YI269" t="str" cm="1">
        <f t="array" ref="YI269">IF(YH269&gt;$YI$1,_xlfn.XLOOKUP(MAX(_xlfn.ANCHORARRAY(XX269)),_xlfn.ANCHORARRAY(XX269),XX$4:YG$4,""),"")</f>
        <v/>
      </c>
      <c r="YK269" t="str">
        <f t="shared" si="144"/>
        <v/>
      </c>
    </row>
    <row r="270" spans="2:661" x14ac:dyDescent="0.3">
      <c r="B270" s="2" t="str">
        <f t="shared" si="133"/>
        <v>CHA</v>
      </c>
      <c r="C270" s="2" t="str">
        <f t="shared" si="134"/>
        <v>CHA</v>
      </c>
      <c r="D270" s="2" t="str">
        <f t="shared" si="135"/>
        <v>CHA</v>
      </c>
      <c r="E270" s="2" t="str">
        <f t="shared" si="136"/>
        <v/>
      </c>
      <c r="F270" s="2" t="str">
        <f t="shared" si="137"/>
        <v/>
      </c>
      <c r="G270" s="2">
        <f t="shared" si="138"/>
        <v>0</v>
      </c>
      <c r="H270" s="2">
        <f t="shared" si="139"/>
        <v>0</v>
      </c>
      <c r="I270" s="2">
        <f t="shared" si="140"/>
        <v>0</v>
      </c>
      <c r="J270" s="2">
        <f t="shared" si="141"/>
        <v>0</v>
      </c>
      <c r="K270" s="2">
        <f t="shared" si="142"/>
        <v>0</v>
      </c>
      <c r="L270" s="2">
        <f t="shared" si="143"/>
        <v>0</v>
      </c>
      <c r="XJ270" cm="1">
        <f t="array" ref="XJ270:XL270">SUMIFS($M270:$GJ270,$M$1:$GJ$1,XJ$3:XL$3)</f>
        <v>0</v>
      </c>
      <c r="XK270">
        <v>0</v>
      </c>
      <c r="XL270">
        <v>0</v>
      </c>
      <c r="XM270" cm="1">
        <f t="array" ref="XM270">IFERROR(MAX((_xlfn.ANCHORARRAY(XJ270)-AVERAGE(_xlfn.ANCHORARRAY(XJ270)))/ AVERAGE(_xlfn.ANCHORARRAY(XJ270))),0)</f>
        <v>0</v>
      </c>
      <c r="XN270" t="str" cm="1">
        <f t="array" ref="XN270">IF(XM270&gt;$XN$1,_xlfn.XLOOKUP(MAX(_xlfn.ANCHORARRAY(XJ270)),_xlfn.ANCHORARRAY(XJ270),XJ$4:XL$4,""),"")</f>
        <v/>
      </c>
      <c r="XP270" cm="1">
        <f t="array" ref="XP270:XT270">SUMIFS($M270:$GJ270,$M$3:$GJ$3,XP$3:XT$3)</f>
        <v>0</v>
      </c>
      <c r="XQ270">
        <v>0</v>
      </c>
      <c r="XR270">
        <v>0</v>
      </c>
      <c r="XS270">
        <v>0</v>
      </c>
      <c r="XT270">
        <v>0</v>
      </c>
      <c r="XU270" cm="1">
        <f t="array" ref="XU270">IFERROR(MAX((_xlfn.ANCHORARRAY(XP270)-AVERAGE(_xlfn.ANCHORARRAY(XP270)))/ AVERAGE(_xlfn.ANCHORARRAY(XP270))),0)</f>
        <v>0</v>
      </c>
      <c r="XV270" t="str" cm="1">
        <f t="array" ref="XV270">IF(AND(XU270&gt;$XV$1,XN270&lt;&gt;""),_xlfn.XLOOKUP(MAX(_xlfn.ANCHORARRAY(XP270)),_xlfn.ANCHORARRAY(XP270),XP$4:XT$4,""),"")</f>
        <v/>
      </c>
      <c r="XX270" cm="1">
        <f t="array" ref="XX270:YG270">SUMIFS($M270:$GJ270,$M$2:$GJ$2,XX$3:YG$3)</f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 cm="1">
        <f t="array" ref="YH270">IFERROR(MAX((_xlfn.ANCHORARRAY(XX270)-AVERAGE(_xlfn.ANCHORARRAY(XX270)))/ AVERAGE(_xlfn.ANCHORARRAY(XX270))),0)</f>
        <v>0</v>
      </c>
      <c r="YI270" t="str" cm="1">
        <f t="array" ref="YI270">IF(YH270&gt;$YI$1,_xlfn.XLOOKUP(MAX(_xlfn.ANCHORARRAY(XX270)),_xlfn.ANCHORARRAY(XX270),XX$4:YG$4,""),"")</f>
        <v/>
      </c>
      <c r="YK270" t="str">
        <f t="shared" si="144"/>
        <v/>
      </c>
    </row>
    <row r="271" spans="2:661" x14ac:dyDescent="0.3">
      <c r="B271" s="2" t="str">
        <f t="shared" si="133"/>
        <v>CHA</v>
      </c>
      <c r="C271" s="2" t="str">
        <f t="shared" si="134"/>
        <v>CHA</v>
      </c>
      <c r="D271" s="2" t="str">
        <f t="shared" si="135"/>
        <v>CHA</v>
      </c>
      <c r="E271" s="2" t="str">
        <f t="shared" si="136"/>
        <v/>
      </c>
      <c r="F271" s="2" t="str">
        <f t="shared" si="137"/>
        <v/>
      </c>
      <c r="G271" s="2">
        <f t="shared" si="138"/>
        <v>0</v>
      </c>
      <c r="H271" s="2">
        <f t="shared" si="139"/>
        <v>0</v>
      </c>
      <c r="I271" s="2">
        <f t="shared" si="140"/>
        <v>0</v>
      </c>
      <c r="J271" s="2">
        <f t="shared" si="141"/>
        <v>0</v>
      </c>
      <c r="K271" s="2">
        <f t="shared" si="142"/>
        <v>0</v>
      </c>
      <c r="L271" s="2">
        <f t="shared" si="143"/>
        <v>0</v>
      </c>
      <c r="XJ271" cm="1">
        <f t="array" ref="XJ271:XL271">SUMIFS($M271:$GJ271,$M$1:$GJ$1,XJ$3:XL$3)</f>
        <v>0</v>
      </c>
      <c r="XK271">
        <v>0</v>
      </c>
      <c r="XL271">
        <v>0</v>
      </c>
      <c r="XM271" cm="1">
        <f t="array" ref="XM271">IFERROR(MAX((_xlfn.ANCHORARRAY(XJ271)-AVERAGE(_xlfn.ANCHORARRAY(XJ271)))/ AVERAGE(_xlfn.ANCHORARRAY(XJ271))),0)</f>
        <v>0</v>
      </c>
      <c r="XN271" t="str" cm="1">
        <f t="array" ref="XN271">IF(XM271&gt;$XN$1,_xlfn.XLOOKUP(MAX(_xlfn.ANCHORARRAY(XJ271)),_xlfn.ANCHORARRAY(XJ271),XJ$4:XL$4,""),"")</f>
        <v/>
      </c>
      <c r="XP271" cm="1">
        <f t="array" ref="XP271:XT271">SUMIFS($M271:$GJ271,$M$3:$GJ$3,XP$3:XT$3)</f>
        <v>0</v>
      </c>
      <c r="XQ271">
        <v>0</v>
      </c>
      <c r="XR271">
        <v>0</v>
      </c>
      <c r="XS271">
        <v>0</v>
      </c>
      <c r="XT271">
        <v>0</v>
      </c>
      <c r="XU271" cm="1">
        <f t="array" ref="XU271">IFERROR(MAX((_xlfn.ANCHORARRAY(XP271)-AVERAGE(_xlfn.ANCHORARRAY(XP271)))/ AVERAGE(_xlfn.ANCHORARRAY(XP271))),0)</f>
        <v>0</v>
      </c>
      <c r="XV271" t="str" cm="1">
        <f t="array" ref="XV271">IF(AND(XU271&gt;$XV$1,XN271&lt;&gt;""),_xlfn.XLOOKUP(MAX(_xlfn.ANCHORARRAY(XP271)),_xlfn.ANCHORARRAY(XP271),XP$4:XT$4,""),"")</f>
        <v/>
      </c>
      <c r="XX271" cm="1">
        <f t="array" ref="XX271:YG271">SUMIFS($M271:$GJ271,$M$2:$GJ$2,XX$3:YG$3)</f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 cm="1">
        <f t="array" ref="YH271">IFERROR(MAX((_xlfn.ANCHORARRAY(XX271)-AVERAGE(_xlfn.ANCHORARRAY(XX271)))/ AVERAGE(_xlfn.ANCHORARRAY(XX271))),0)</f>
        <v>0</v>
      </c>
      <c r="YI271" t="str" cm="1">
        <f t="array" ref="YI271">IF(YH271&gt;$YI$1,_xlfn.XLOOKUP(MAX(_xlfn.ANCHORARRAY(XX271)),_xlfn.ANCHORARRAY(XX271),XX$4:YG$4,""),"")</f>
        <v/>
      </c>
      <c r="YK271" t="str">
        <f t="shared" si="144"/>
        <v/>
      </c>
    </row>
    <row r="272" spans="2:661" x14ac:dyDescent="0.3">
      <c r="B272" s="2" t="str">
        <f t="shared" si="133"/>
        <v>CHA</v>
      </c>
      <c r="C272" s="2" t="str">
        <f t="shared" si="134"/>
        <v>CHA</v>
      </c>
      <c r="D272" s="2" t="str">
        <f t="shared" si="135"/>
        <v>CHA</v>
      </c>
      <c r="E272" s="2" t="str">
        <f t="shared" si="136"/>
        <v/>
      </c>
      <c r="F272" s="2" t="str">
        <f t="shared" si="137"/>
        <v/>
      </c>
      <c r="G272" s="2">
        <f t="shared" si="138"/>
        <v>0</v>
      </c>
      <c r="H272" s="2">
        <f t="shared" si="139"/>
        <v>0</v>
      </c>
      <c r="I272" s="2">
        <f t="shared" si="140"/>
        <v>0</v>
      </c>
      <c r="J272" s="2">
        <f t="shared" si="141"/>
        <v>0</v>
      </c>
      <c r="K272" s="2">
        <f t="shared" si="142"/>
        <v>0</v>
      </c>
      <c r="L272" s="2">
        <f t="shared" si="143"/>
        <v>0</v>
      </c>
      <c r="XJ272" cm="1">
        <f t="array" ref="XJ272:XL272">SUMIFS($M272:$GJ272,$M$1:$GJ$1,XJ$3:XL$3)</f>
        <v>0</v>
      </c>
      <c r="XK272">
        <v>0</v>
      </c>
      <c r="XL272">
        <v>0</v>
      </c>
      <c r="XM272" cm="1">
        <f t="array" ref="XM272">IFERROR(MAX((_xlfn.ANCHORARRAY(XJ272)-AVERAGE(_xlfn.ANCHORARRAY(XJ272)))/ AVERAGE(_xlfn.ANCHORARRAY(XJ272))),0)</f>
        <v>0</v>
      </c>
      <c r="XN272" t="str" cm="1">
        <f t="array" ref="XN272">IF(XM272&gt;$XN$1,_xlfn.XLOOKUP(MAX(_xlfn.ANCHORARRAY(XJ272)),_xlfn.ANCHORARRAY(XJ272),XJ$4:XL$4,""),"")</f>
        <v/>
      </c>
      <c r="XP272" cm="1">
        <f t="array" ref="XP272:XT272">SUMIFS($M272:$GJ272,$M$3:$GJ$3,XP$3:XT$3)</f>
        <v>0</v>
      </c>
      <c r="XQ272">
        <v>0</v>
      </c>
      <c r="XR272">
        <v>0</v>
      </c>
      <c r="XS272">
        <v>0</v>
      </c>
      <c r="XT272">
        <v>0</v>
      </c>
      <c r="XU272" cm="1">
        <f t="array" ref="XU272">IFERROR(MAX((_xlfn.ANCHORARRAY(XP272)-AVERAGE(_xlfn.ANCHORARRAY(XP272)))/ AVERAGE(_xlfn.ANCHORARRAY(XP272))),0)</f>
        <v>0</v>
      </c>
      <c r="XV272" t="str" cm="1">
        <f t="array" ref="XV272">IF(AND(XU272&gt;$XV$1,XN272&lt;&gt;""),_xlfn.XLOOKUP(MAX(_xlfn.ANCHORARRAY(XP272)),_xlfn.ANCHORARRAY(XP272),XP$4:XT$4,""),"")</f>
        <v/>
      </c>
      <c r="XX272" cm="1">
        <f t="array" ref="XX272:YG272">SUMIFS($M272:$GJ272,$M$2:$GJ$2,XX$3:YG$3)</f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 cm="1">
        <f t="array" ref="YH272">IFERROR(MAX((_xlfn.ANCHORARRAY(XX272)-AVERAGE(_xlfn.ANCHORARRAY(XX272)))/ AVERAGE(_xlfn.ANCHORARRAY(XX272))),0)</f>
        <v>0</v>
      </c>
      <c r="YI272" t="str" cm="1">
        <f t="array" ref="YI272">IF(YH272&gt;$YI$1,_xlfn.XLOOKUP(MAX(_xlfn.ANCHORARRAY(XX272)),_xlfn.ANCHORARRAY(XX272),XX$4:YG$4,""),"")</f>
        <v/>
      </c>
      <c r="YK272" t="str">
        <f t="shared" si="144"/>
        <v/>
      </c>
    </row>
    <row r="273" spans="2:661" x14ac:dyDescent="0.3">
      <c r="B273" s="2" t="str">
        <f t="shared" si="133"/>
        <v>CHA</v>
      </c>
      <c r="C273" s="2" t="str">
        <f t="shared" si="134"/>
        <v>CHA</v>
      </c>
      <c r="D273" s="2" t="str">
        <f t="shared" si="135"/>
        <v>CHA</v>
      </c>
      <c r="E273" s="2" t="str">
        <f t="shared" si="136"/>
        <v/>
      </c>
      <c r="F273" s="2" t="str">
        <f t="shared" si="137"/>
        <v/>
      </c>
      <c r="G273" s="2">
        <f t="shared" si="138"/>
        <v>0</v>
      </c>
      <c r="H273" s="2">
        <f t="shared" si="139"/>
        <v>0</v>
      </c>
      <c r="I273" s="2">
        <f t="shared" si="140"/>
        <v>0</v>
      </c>
      <c r="J273" s="2">
        <f t="shared" si="141"/>
        <v>0</v>
      </c>
      <c r="K273" s="2">
        <f t="shared" si="142"/>
        <v>0</v>
      </c>
      <c r="L273" s="2">
        <f t="shared" si="143"/>
        <v>0</v>
      </c>
      <c r="XJ273" cm="1">
        <f t="array" ref="XJ273:XL273">SUMIFS($M273:$GJ273,$M$1:$GJ$1,XJ$3:XL$3)</f>
        <v>0</v>
      </c>
      <c r="XK273">
        <v>0</v>
      </c>
      <c r="XL273">
        <v>0</v>
      </c>
      <c r="XM273" cm="1">
        <f t="array" ref="XM273">IFERROR(MAX((_xlfn.ANCHORARRAY(XJ273)-AVERAGE(_xlfn.ANCHORARRAY(XJ273)))/ AVERAGE(_xlfn.ANCHORARRAY(XJ273))),0)</f>
        <v>0</v>
      </c>
      <c r="XN273" t="str" cm="1">
        <f t="array" ref="XN273">IF(XM273&gt;$XN$1,_xlfn.XLOOKUP(MAX(_xlfn.ANCHORARRAY(XJ273)),_xlfn.ANCHORARRAY(XJ273),XJ$4:XL$4,""),"")</f>
        <v/>
      </c>
      <c r="XP273" cm="1">
        <f t="array" ref="XP273:XT273">SUMIFS($M273:$GJ273,$M$3:$GJ$3,XP$3:XT$3)</f>
        <v>0</v>
      </c>
      <c r="XQ273">
        <v>0</v>
      </c>
      <c r="XR273">
        <v>0</v>
      </c>
      <c r="XS273">
        <v>0</v>
      </c>
      <c r="XT273">
        <v>0</v>
      </c>
      <c r="XU273" cm="1">
        <f t="array" ref="XU273">IFERROR(MAX((_xlfn.ANCHORARRAY(XP273)-AVERAGE(_xlfn.ANCHORARRAY(XP273)))/ AVERAGE(_xlfn.ANCHORARRAY(XP273))),0)</f>
        <v>0</v>
      </c>
      <c r="XV273" t="str" cm="1">
        <f t="array" ref="XV273">IF(AND(XU273&gt;$XV$1,XN273&lt;&gt;""),_xlfn.XLOOKUP(MAX(_xlfn.ANCHORARRAY(XP273)),_xlfn.ANCHORARRAY(XP273),XP$4:XT$4,""),"")</f>
        <v/>
      </c>
      <c r="XX273" cm="1">
        <f t="array" ref="XX273:YG273">SUMIFS($M273:$GJ273,$M$2:$GJ$2,XX$3:YG$3)</f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 cm="1">
        <f t="array" ref="YH273">IFERROR(MAX((_xlfn.ANCHORARRAY(XX273)-AVERAGE(_xlfn.ANCHORARRAY(XX273)))/ AVERAGE(_xlfn.ANCHORARRAY(XX273))),0)</f>
        <v>0</v>
      </c>
      <c r="YI273" t="str" cm="1">
        <f t="array" ref="YI273">IF(YH273&gt;$YI$1,_xlfn.XLOOKUP(MAX(_xlfn.ANCHORARRAY(XX273)),_xlfn.ANCHORARRAY(XX273),XX$4:YG$4,""),"")</f>
        <v/>
      </c>
      <c r="YK273" t="str">
        <f t="shared" si="144"/>
        <v/>
      </c>
    </row>
    <row r="274" spans="2:661" x14ac:dyDescent="0.3">
      <c r="B274" s="2" t="str">
        <f t="shared" si="133"/>
        <v>CHA</v>
      </c>
      <c r="C274" s="2" t="str">
        <f t="shared" si="134"/>
        <v>CHA</v>
      </c>
      <c r="D274" s="2" t="str">
        <f t="shared" si="135"/>
        <v>CHA</v>
      </c>
      <c r="E274" s="2" t="str">
        <f t="shared" si="136"/>
        <v/>
      </c>
      <c r="F274" s="2" t="str">
        <f t="shared" si="137"/>
        <v/>
      </c>
      <c r="G274" s="2">
        <f t="shared" si="138"/>
        <v>0</v>
      </c>
      <c r="H274" s="2">
        <f t="shared" si="139"/>
        <v>0</v>
      </c>
      <c r="I274" s="2">
        <f t="shared" si="140"/>
        <v>0</v>
      </c>
      <c r="J274" s="2">
        <f t="shared" si="141"/>
        <v>0</v>
      </c>
      <c r="K274" s="2">
        <f t="shared" si="142"/>
        <v>0</v>
      </c>
      <c r="L274" s="2">
        <f t="shared" si="143"/>
        <v>0</v>
      </c>
      <c r="XJ274" cm="1">
        <f t="array" ref="XJ274:XL274">SUMIFS($M274:$GJ274,$M$1:$GJ$1,XJ$3:XL$3)</f>
        <v>0</v>
      </c>
      <c r="XK274">
        <v>0</v>
      </c>
      <c r="XL274">
        <v>0</v>
      </c>
      <c r="XM274" cm="1">
        <f t="array" ref="XM274">IFERROR(MAX((_xlfn.ANCHORARRAY(XJ274)-AVERAGE(_xlfn.ANCHORARRAY(XJ274)))/ AVERAGE(_xlfn.ANCHORARRAY(XJ274))),0)</f>
        <v>0</v>
      </c>
      <c r="XN274" t="str" cm="1">
        <f t="array" ref="XN274">IF(XM274&gt;$XN$1,_xlfn.XLOOKUP(MAX(_xlfn.ANCHORARRAY(XJ274)),_xlfn.ANCHORARRAY(XJ274),XJ$4:XL$4,""),"")</f>
        <v/>
      </c>
      <c r="XP274" cm="1">
        <f t="array" ref="XP274:XT274">SUMIFS($M274:$GJ274,$M$3:$GJ$3,XP$3:XT$3)</f>
        <v>0</v>
      </c>
      <c r="XQ274">
        <v>0</v>
      </c>
      <c r="XR274">
        <v>0</v>
      </c>
      <c r="XS274">
        <v>0</v>
      </c>
      <c r="XT274">
        <v>0</v>
      </c>
      <c r="XU274" cm="1">
        <f t="array" ref="XU274">IFERROR(MAX((_xlfn.ANCHORARRAY(XP274)-AVERAGE(_xlfn.ANCHORARRAY(XP274)))/ AVERAGE(_xlfn.ANCHORARRAY(XP274))),0)</f>
        <v>0</v>
      </c>
      <c r="XV274" t="str" cm="1">
        <f t="array" ref="XV274">IF(AND(XU274&gt;$XV$1,XN274&lt;&gt;""),_xlfn.XLOOKUP(MAX(_xlfn.ANCHORARRAY(XP274)),_xlfn.ANCHORARRAY(XP274),XP$4:XT$4,""),"")</f>
        <v/>
      </c>
      <c r="XX274" cm="1">
        <f t="array" ref="XX274:YG274">SUMIFS($M274:$GJ274,$M$2:$GJ$2,XX$3:YG$3)</f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 cm="1">
        <f t="array" ref="YH274">IFERROR(MAX((_xlfn.ANCHORARRAY(XX274)-AVERAGE(_xlfn.ANCHORARRAY(XX274)))/ AVERAGE(_xlfn.ANCHORARRAY(XX274))),0)</f>
        <v>0</v>
      </c>
      <c r="YI274" t="str" cm="1">
        <f t="array" ref="YI274">IF(YH274&gt;$YI$1,_xlfn.XLOOKUP(MAX(_xlfn.ANCHORARRAY(XX274)),_xlfn.ANCHORARRAY(XX274),XX$4:YG$4,""),"")</f>
        <v/>
      </c>
      <c r="YK274" t="str">
        <f t="shared" si="144"/>
        <v/>
      </c>
    </row>
    <row r="275" spans="2:661" x14ac:dyDescent="0.3">
      <c r="B275" s="2" t="str">
        <f t="shared" si="133"/>
        <v>CHA</v>
      </c>
      <c r="C275" s="2" t="str">
        <f t="shared" si="134"/>
        <v>CHA</v>
      </c>
      <c r="D275" s="2" t="str">
        <f t="shared" si="135"/>
        <v>CHA</v>
      </c>
      <c r="E275" s="2" t="str">
        <f t="shared" si="136"/>
        <v/>
      </c>
      <c r="F275" s="2" t="str">
        <f t="shared" si="137"/>
        <v/>
      </c>
      <c r="G275" s="2">
        <f t="shared" si="138"/>
        <v>0</v>
      </c>
      <c r="H275" s="2">
        <f t="shared" si="139"/>
        <v>0</v>
      </c>
      <c r="I275" s="2">
        <f t="shared" si="140"/>
        <v>0</v>
      </c>
      <c r="J275" s="2">
        <f t="shared" si="141"/>
        <v>0</v>
      </c>
      <c r="K275" s="2">
        <f t="shared" si="142"/>
        <v>0</v>
      </c>
      <c r="L275" s="2">
        <f t="shared" si="143"/>
        <v>0</v>
      </c>
      <c r="XJ275" cm="1">
        <f t="array" ref="XJ275:XL275">SUMIFS($M275:$GJ275,$M$1:$GJ$1,XJ$3:XL$3)</f>
        <v>0</v>
      </c>
      <c r="XK275">
        <v>0</v>
      </c>
      <c r="XL275">
        <v>0</v>
      </c>
      <c r="XM275" cm="1">
        <f t="array" ref="XM275">IFERROR(MAX((_xlfn.ANCHORARRAY(XJ275)-AVERAGE(_xlfn.ANCHORARRAY(XJ275)))/ AVERAGE(_xlfn.ANCHORARRAY(XJ275))),0)</f>
        <v>0</v>
      </c>
      <c r="XN275" t="str" cm="1">
        <f t="array" ref="XN275">IF(XM275&gt;$XN$1,_xlfn.XLOOKUP(MAX(_xlfn.ANCHORARRAY(XJ275)),_xlfn.ANCHORARRAY(XJ275),XJ$4:XL$4,""),"")</f>
        <v/>
      </c>
      <c r="XP275" cm="1">
        <f t="array" ref="XP275:XT275">SUMIFS($M275:$GJ275,$M$3:$GJ$3,XP$3:XT$3)</f>
        <v>0</v>
      </c>
      <c r="XQ275">
        <v>0</v>
      </c>
      <c r="XR275">
        <v>0</v>
      </c>
      <c r="XS275">
        <v>0</v>
      </c>
      <c r="XT275">
        <v>0</v>
      </c>
      <c r="XU275" cm="1">
        <f t="array" ref="XU275">IFERROR(MAX((_xlfn.ANCHORARRAY(XP275)-AVERAGE(_xlfn.ANCHORARRAY(XP275)))/ AVERAGE(_xlfn.ANCHORARRAY(XP275))),0)</f>
        <v>0</v>
      </c>
      <c r="XV275" t="str" cm="1">
        <f t="array" ref="XV275">IF(AND(XU275&gt;$XV$1,XN275&lt;&gt;""),_xlfn.XLOOKUP(MAX(_xlfn.ANCHORARRAY(XP275)),_xlfn.ANCHORARRAY(XP275),XP$4:XT$4,""),"")</f>
        <v/>
      </c>
      <c r="XX275" cm="1">
        <f t="array" ref="XX275:YG275">SUMIFS($M275:$GJ275,$M$2:$GJ$2,XX$3:YG$3)</f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 cm="1">
        <f t="array" ref="YH275">IFERROR(MAX((_xlfn.ANCHORARRAY(XX275)-AVERAGE(_xlfn.ANCHORARRAY(XX275)))/ AVERAGE(_xlfn.ANCHORARRAY(XX275))),0)</f>
        <v>0</v>
      </c>
      <c r="YI275" t="str" cm="1">
        <f t="array" ref="YI275">IF(YH275&gt;$YI$1,_xlfn.XLOOKUP(MAX(_xlfn.ANCHORARRAY(XX275)),_xlfn.ANCHORARRAY(XX275),XX$4:YG$4,""),"")</f>
        <v/>
      </c>
      <c r="YK275" t="str">
        <f t="shared" si="144"/>
        <v/>
      </c>
    </row>
    <row r="276" spans="2:661" x14ac:dyDescent="0.3">
      <c r="B276" s="2" t="str">
        <f t="shared" si="133"/>
        <v>CHA</v>
      </c>
      <c r="C276" s="2" t="str">
        <f t="shared" si="134"/>
        <v>CHA</v>
      </c>
      <c r="D276" s="2" t="str">
        <f t="shared" si="135"/>
        <v>CHA</v>
      </c>
      <c r="E276" s="2" t="str">
        <f t="shared" si="136"/>
        <v/>
      </c>
      <c r="F276" s="2" t="str">
        <f t="shared" si="137"/>
        <v/>
      </c>
      <c r="G276" s="2">
        <f t="shared" si="138"/>
        <v>0</v>
      </c>
      <c r="H276" s="2">
        <f t="shared" si="139"/>
        <v>0</v>
      </c>
      <c r="I276" s="2">
        <f t="shared" si="140"/>
        <v>0</v>
      </c>
      <c r="J276" s="2">
        <f t="shared" si="141"/>
        <v>0</v>
      </c>
      <c r="K276" s="2">
        <f t="shared" si="142"/>
        <v>0</v>
      </c>
      <c r="L276" s="2">
        <f t="shared" si="143"/>
        <v>0</v>
      </c>
      <c r="XJ276" cm="1">
        <f t="array" ref="XJ276:XL276">SUMIFS($M276:$GJ276,$M$1:$GJ$1,XJ$3:XL$3)</f>
        <v>0</v>
      </c>
      <c r="XK276">
        <v>0</v>
      </c>
      <c r="XL276">
        <v>0</v>
      </c>
      <c r="XM276" cm="1">
        <f t="array" ref="XM276">IFERROR(MAX((_xlfn.ANCHORARRAY(XJ276)-AVERAGE(_xlfn.ANCHORARRAY(XJ276)))/ AVERAGE(_xlfn.ANCHORARRAY(XJ276))),0)</f>
        <v>0</v>
      </c>
      <c r="XN276" t="str" cm="1">
        <f t="array" ref="XN276">IF(XM276&gt;$XN$1,_xlfn.XLOOKUP(MAX(_xlfn.ANCHORARRAY(XJ276)),_xlfn.ANCHORARRAY(XJ276),XJ$4:XL$4,""),"")</f>
        <v/>
      </c>
      <c r="XP276" cm="1">
        <f t="array" ref="XP276:XT276">SUMIFS($M276:$GJ276,$M$3:$GJ$3,XP$3:XT$3)</f>
        <v>0</v>
      </c>
      <c r="XQ276">
        <v>0</v>
      </c>
      <c r="XR276">
        <v>0</v>
      </c>
      <c r="XS276">
        <v>0</v>
      </c>
      <c r="XT276">
        <v>0</v>
      </c>
      <c r="XU276" cm="1">
        <f t="array" ref="XU276">IFERROR(MAX((_xlfn.ANCHORARRAY(XP276)-AVERAGE(_xlfn.ANCHORARRAY(XP276)))/ AVERAGE(_xlfn.ANCHORARRAY(XP276))),0)</f>
        <v>0</v>
      </c>
      <c r="XV276" t="str" cm="1">
        <f t="array" ref="XV276">IF(AND(XU276&gt;$XV$1,XN276&lt;&gt;""),_xlfn.XLOOKUP(MAX(_xlfn.ANCHORARRAY(XP276)),_xlfn.ANCHORARRAY(XP276),XP$4:XT$4,""),"")</f>
        <v/>
      </c>
      <c r="XX276" cm="1">
        <f t="array" ref="XX276:YG276">SUMIFS($M276:$GJ276,$M$2:$GJ$2,XX$3:YG$3)</f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 cm="1">
        <f t="array" ref="YH276">IFERROR(MAX((_xlfn.ANCHORARRAY(XX276)-AVERAGE(_xlfn.ANCHORARRAY(XX276)))/ AVERAGE(_xlfn.ANCHORARRAY(XX276))),0)</f>
        <v>0</v>
      </c>
      <c r="YI276" t="str" cm="1">
        <f t="array" ref="YI276">IF(YH276&gt;$YI$1,_xlfn.XLOOKUP(MAX(_xlfn.ANCHORARRAY(XX276)),_xlfn.ANCHORARRAY(XX276),XX$4:YG$4,""),"")</f>
        <v/>
      </c>
      <c r="YK276" t="str">
        <f t="shared" si="144"/>
        <v/>
      </c>
    </row>
    <row r="277" spans="2:661" x14ac:dyDescent="0.3">
      <c r="B277" s="2" t="str">
        <f t="shared" si="133"/>
        <v>CHA</v>
      </c>
      <c r="C277" s="2" t="str">
        <f t="shared" si="134"/>
        <v>CHA</v>
      </c>
      <c r="D277" s="2" t="str">
        <f t="shared" si="135"/>
        <v>CHA</v>
      </c>
      <c r="E277" s="2" t="str">
        <f t="shared" si="136"/>
        <v/>
      </c>
      <c r="F277" s="2" t="str">
        <f t="shared" si="137"/>
        <v/>
      </c>
      <c r="G277" s="2">
        <f t="shared" si="138"/>
        <v>0</v>
      </c>
      <c r="H277" s="2">
        <f t="shared" si="139"/>
        <v>0</v>
      </c>
      <c r="I277" s="2">
        <f t="shared" si="140"/>
        <v>0</v>
      </c>
      <c r="J277" s="2">
        <f t="shared" si="141"/>
        <v>0</v>
      </c>
      <c r="K277" s="2">
        <f t="shared" si="142"/>
        <v>0</v>
      </c>
      <c r="L277" s="2">
        <f t="shared" si="143"/>
        <v>0</v>
      </c>
      <c r="XJ277" cm="1">
        <f t="array" ref="XJ277:XL277">SUMIFS($M277:$GJ277,$M$1:$GJ$1,XJ$3:XL$3)</f>
        <v>0</v>
      </c>
      <c r="XK277">
        <v>0</v>
      </c>
      <c r="XL277">
        <v>0</v>
      </c>
      <c r="XM277" cm="1">
        <f t="array" ref="XM277">IFERROR(MAX((_xlfn.ANCHORARRAY(XJ277)-AVERAGE(_xlfn.ANCHORARRAY(XJ277)))/ AVERAGE(_xlfn.ANCHORARRAY(XJ277))),0)</f>
        <v>0</v>
      </c>
      <c r="XN277" t="str" cm="1">
        <f t="array" ref="XN277">IF(XM277&gt;$XN$1,_xlfn.XLOOKUP(MAX(_xlfn.ANCHORARRAY(XJ277)),_xlfn.ANCHORARRAY(XJ277),XJ$4:XL$4,""),"")</f>
        <v/>
      </c>
      <c r="XP277" cm="1">
        <f t="array" ref="XP277:XT277">SUMIFS($M277:$GJ277,$M$3:$GJ$3,XP$3:XT$3)</f>
        <v>0</v>
      </c>
      <c r="XQ277">
        <v>0</v>
      </c>
      <c r="XR277">
        <v>0</v>
      </c>
      <c r="XS277">
        <v>0</v>
      </c>
      <c r="XT277">
        <v>0</v>
      </c>
      <c r="XU277" cm="1">
        <f t="array" ref="XU277">IFERROR(MAX((_xlfn.ANCHORARRAY(XP277)-AVERAGE(_xlfn.ANCHORARRAY(XP277)))/ AVERAGE(_xlfn.ANCHORARRAY(XP277))),0)</f>
        <v>0</v>
      </c>
      <c r="XV277" t="str" cm="1">
        <f t="array" ref="XV277">IF(AND(XU277&gt;$XV$1,XN277&lt;&gt;""),_xlfn.XLOOKUP(MAX(_xlfn.ANCHORARRAY(XP277)),_xlfn.ANCHORARRAY(XP277),XP$4:XT$4,""),"")</f>
        <v/>
      </c>
      <c r="XX277" cm="1">
        <f t="array" ref="XX277:YG277">SUMIFS($M277:$GJ277,$M$2:$GJ$2,XX$3:YG$3)</f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 cm="1">
        <f t="array" ref="YH277">IFERROR(MAX((_xlfn.ANCHORARRAY(XX277)-AVERAGE(_xlfn.ANCHORARRAY(XX277)))/ AVERAGE(_xlfn.ANCHORARRAY(XX277))),0)</f>
        <v>0</v>
      </c>
      <c r="YI277" t="str" cm="1">
        <f t="array" ref="YI277">IF(YH277&gt;$YI$1,_xlfn.XLOOKUP(MAX(_xlfn.ANCHORARRAY(XX277)),_xlfn.ANCHORARRAY(XX277),XX$4:YG$4,""),"")</f>
        <v/>
      </c>
      <c r="YK277" t="str">
        <f t="shared" si="144"/>
        <v/>
      </c>
    </row>
    <row r="278" spans="2:661" x14ac:dyDescent="0.3">
      <c r="B278" s="2" t="str">
        <f t="shared" si="133"/>
        <v>CHA</v>
      </c>
      <c r="C278" s="2" t="str">
        <f t="shared" si="134"/>
        <v>CHA</v>
      </c>
      <c r="D278" s="2" t="str">
        <f t="shared" si="135"/>
        <v>CHA</v>
      </c>
      <c r="E278" s="2" t="str">
        <f t="shared" si="136"/>
        <v/>
      </c>
      <c r="F278" s="2" t="str">
        <f t="shared" si="137"/>
        <v/>
      </c>
      <c r="G278" s="2">
        <f t="shared" si="138"/>
        <v>0</v>
      </c>
      <c r="H278" s="2">
        <f t="shared" si="139"/>
        <v>0</v>
      </c>
      <c r="I278" s="2">
        <f t="shared" si="140"/>
        <v>0</v>
      </c>
      <c r="J278" s="2">
        <f t="shared" si="141"/>
        <v>0</v>
      </c>
      <c r="K278" s="2">
        <f t="shared" si="142"/>
        <v>0</v>
      </c>
      <c r="L278" s="2">
        <f t="shared" si="143"/>
        <v>0</v>
      </c>
      <c r="XJ278" cm="1">
        <f t="array" ref="XJ278:XL278">SUMIFS($M278:$GJ278,$M$1:$GJ$1,XJ$3:XL$3)</f>
        <v>0</v>
      </c>
      <c r="XK278">
        <v>0</v>
      </c>
      <c r="XL278">
        <v>0</v>
      </c>
      <c r="XM278" cm="1">
        <f t="array" ref="XM278">IFERROR(MAX((_xlfn.ANCHORARRAY(XJ278)-AVERAGE(_xlfn.ANCHORARRAY(XJ278)))/ AVERAGE(_xlfn.ANCHORARRAY(XJ278))),0)</f>
        <v>0</v>
      </c>
      <c r="XN278" t="str" cm="1">
        <f t="array" ref="XN278">IF(XM278&gt;$XN$1,_xlfn.XLOOKUP(MAX(_xlfn.ANCHORARRAY(XJ278)),_xlfn.ANCHORARRAY(XJ278),XJ$4:XL$4,""),"")</f>
        <v/>
      </c>
      <c r="XP278" cm="1">
        <f t="array" ref="XP278:XT278">SUMIFS($M278:$GJ278,$M$3:$GJ$3,XP$3:XT$3)</f>
        <v>0</v>
      </c>
      <c r="XQ278">
        <v>0</v>
      </c>
      <c r="XR278">
        <v>0</v>
      </c>
      <c r="XS278">
        <v>0</v>
      </c>
      <c r="XT278">
        <v>0</v>
      </c>
      <c r="XU278" cm="1">
        <f t="array" ref="XU278">IFERROR(MAX((_xlfn.ANCHORARRAY(XP278)-AVERAGE(_xlfn.ANCHORARRAY(XP278)))/ AVERAGE(_xlfn.ANCHORARRAY(XP278))),0)</f>
        <v>0</v>
      </c>
      <c r="XV278" t="str" cm="1">
        <f t="array" ref="XV278">IF(AND(XU278&gt;$XV$1,XN278&lt;&gt;""),_xlfn.XLOOKUP(MAX(_xlfn.ANCHORARRAY(XP278)),_xlfn.ANCHORARRAY(XP278),XP$4:XT$4,""),"")</f>
        <v/>
      </c>
      <c r="XX278" cm="1">
        <f t="array" ref="XX278:YG278">SUMIFS($M278:$GJ278,$M$2:$GJ$2,XX$3:YG$3)</f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 cm="1">
        <f t="array" ref="YH278">IFERROR(MAX((_xlfn.ANCHORARRAY(XX278)-AVERAGE(_xlfn.ANCHORARRAY(XX278)))/ AVERAGE(_xlfn.ANCHORARRAY(XX278))),0)</f>
        <v>0</v>
      </c>
      <c r="YI278" t="str" cm="1">
        <f t="array" ref="YI278">IF(YH278&gt;$YI$1,_xlfn.XLOOKUP(MAX(_xlfn.ANCHORARRAY(XX278)),_xlfn.ANCHORARRAY(XX278),XX$4:YG$4,""),"")</f>
        <v/>
      </c>
      <c r="YK278" t="str">
        <f t="shared" si="144"/>
        <v/>
      </c>
    </row>
    <row r="279" spans="2:661" x14ac:dyDescent="0.3">
      <c r="B279" s="2" t="str">
        <f t="shared" si="133"/>
        <v>CHA</v>
      </c>
      <c r="C279" s="2" t="str">
        <f t="shared" si="134"/>
        <v>CHA</v>
      </c>
      <c r="D279" s="2" t="str">
        <f t="shared" si="135"/>
        <v>CHA</v>
      </c>
      <c r="E279" s="2" t="str">
        <f t="shared" si="136"/>
        <v/>
      </c>
      <c r="F279" s="2" t="str">
        <f t="shared" si="137"/>
        <v/>
      </c>
      <c r="G279" s="2">
        <f t="shared" si="138"/>
        <v>0</v>
      </c>
      <c r="H279" s="2">
        <f t="shared" si="139"/>
        <v>0</v>
      </c>
      <c r="I279" s="2">
        <f t="shared" si="140"/>
        <v>0</v>
      </c>
      <c r="J279" s="2">
        <f t="shared" si="141"/>
        <v>0</v>
      </c>
      <c r="K279" s="2">
        <f t="shared" si="142"/>
        <v>0</v>
      </c>
      <c r="L279" s="2">
        <f t="shared" si="143"/>
        <v>0</v>
      </c>
      <c r="XJ279" cm="1">
        <f t="array" ref="XJ279:XL279">SUMIFS($M279:$GJ279,$M$1:$GJ$1,XJ$3:XL$3)</f>
        <v>0</v>
      </c>
      <c r="XK279">
        <v>0</v>
      </c>
      <c r="XL279">
        <v>0</v>
      </c>
      <c r="XM279" cm="1">
        <f t="array" ref="XM279">IFERROR(MAX((_xlfn.ANCHORARRAY(XJ279)-AVERAGE(_xlfn.ANCHORARRAY(XJ279)))/ AVERAGE(_xlfn.ANCHORARRAY(XJ279))),0)</f>
        <v>0</v>
      </c>
      <c r="XN279" t="str" cm="1">
        <f t="array" ref="XN279">IF(XM279&gt;$XN$1,_xlfn.XLOOKUP(MAX(_xlfn.ANCHORARRAY(XJ279)),_xlfn.ANCHORARRAY(XJ279),XJ$4:XL$4,""),"")</f>
        <v/>
      </c>
      <c r="XP279" cm="1">
        <f t="array" ref="XP279:XT279">SUMIFS($M279:$GJ279,$M$3:$GJ$3,XP$3:XT$3)</f>
        <v>0</v>
      </c>
      <c r="XQ279">
        <v>0</v>
      </c>
      <c r="XR279">
        <v>0</v>
      </c>
      <c r="XS279">
        <v>0</v>
      </c>
      <c r="XT279">
        <v>0</v>
      </c>
      <c r="XU279" cm="1">
        <f t="array" ref="XU279">IFERROR(MAX((_xlfn.ANCHORARRAY(XP279)-AVERAGE(_xlfn.ANCHORARRAY(XP279)))/ AVERAGE(_xlfn.ANCHORARRAY(XP279))),0)</f>
        <v>0</v>
      </c>
      <c r="XV279" t="str" cm="1">
        <f t="array" ref="XV279">IF(AND(XU279&gt;$XV$1,XN279&lt;&gt;""),_xlfn.XLOOKUP(MAX(_xlfn.ANCHORARRAY(XP279)),_xlfn.ANCHORARRAY(XP279),XP$4:XT$4,""),"")</f>
        <v/>
      </c>
      <c r="XX279" cm="1">
        <f t="array" ref="XX279:YG279">SUMIFS($M279:$GJ279,$M$2:$GJ$2,XX$3:YG$3)</f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 cm="1">
        <f t="array" ref="YH279">IFERROR(MAX((_xlfn.ANCHORARRAY(XX279)-AVERAGE(_xlfn.ANCHORARRAY(XX279)))/ AVERAGE(_xlfn.ANCHORARRAY(XX279))),0)</f>
        <v>0</v>
      </c>
      <c r="YI279" t="str" cm="1">
        <f t="array" ref="YI279">IF(YH279&gt;$YI$1,_xlfn.XLOOKUP(MAX(_xlfn.ANCHORARRAY(XX279)),_xlfn.ANCHORARRAY(XX279),XX$4:YG$4,""),"")</f>
        <v/>
      </c>
      <c r="YK279" t="str">
        <f t="shared" si="144"/>
        <v/>
      </c>
    </row>
    <row r="280" spans="2:661" x14ac:dyDescent="0.3">
      <c r="B280" s="2" t="str">
        <f t="shared" si="133"/>
        <v>CHA</v>
      </c>
      <c r="C280" s="2" t="str">
        <f t="shared" si="134"/>
        <v>CHA</v>
      </c>
      <c r="D280" s="2" t="str">
        <f t="shared" si="135"/>
        <v>CHA</v>
      </c>
      <c r="E280" s="2" t="str">
        <f t="shared" si="136"/>
        <v/>
      </c>
      <c r="F280" s="2" t="str">
        <f t="shared" si="137"/>
        <v/>
      </c>
      <c r="G280" s="2">
        <f t="shared" si="138"/>
        <v>0</v>
      </c>
      <c r="H280" s="2">
        <f t="shared" si="139"/>
        <v>0</v>
      </c>
      <c r="I280" s="2">
        <f t="shared" si="140"/>
        <v>0</v>
      </c>
      <c r="J280" s="2">
        <f t="shared" si="141"/>
        <v>0</v>
      </c>
      <c r="K280" s="2">
        <f t="shared" si="142"/>
        <v>0</v>
      </c>
      <c r="L280" s="2">
        <f t="shared" si="143"/>
        <v>0</v>
      </c>
      <c r="XJ280" cm="1">
        <f t="array" ref="XJ280:XL280">SUMIFS($M280:$GJ280,$M$1:$GJ$1,XJ$3:XL$3)</f>
        <v>0</v>
      </c>
      <c r="XK280">
        <v>0</v>
      </c>
      <c r="XL280">
        <v>0</v>
      </c>
      <c r="XM280" cm="1">
        <f t="array" ref="XM280">IFERROR(MAX((_xlfn.ANCHORARRAY(XJ280)-AVERAGE(_xlfn.ANCHORARRAY(XJ280)))/ AVERAGE(_xlfn.ANCHORARRAY(XJ280))),0)</f>
        <v>0</v>
      </c>
      <c r="XN280" t="str" cm="1">
        <f t="array" ref="XN280">IF(XM280&gt;$XN$1,_xlfn.XLOOKUP(MAX(_xlfn.ANCHORARRAY(XJ280)),_xlfn.ANCHORARRAY(XJ280),XJ$4:XL$4,""),"")</f>
        <v/>
      </c>
      <c r="XP280" cm="1">
        <f t="array" ref="XP280:XT280">SUMIFS($M280:$GJ280,$M$3:$GJ$3,XP$3:XT$3)</f>
        <v>0</v>
      </c>
      <c r="XQ280">
        <v>0</v>
      </c>
      <c r="XR280">
        <v>0</v>
      </c>
      <c r="XS280">
        <v>0</v>
      </c>
      <c r="XT280">
        <v>0</v>
      </c>
      <c r="XU280" cm="1">
        <f t="array" ref="XU280">IFERROR(MAX((_xlfn.ANCHORARRAY(XP280)-AVERAGE(_xlfn.ANCHORARRAY(XP280)))/ AVERAGE(_xlfn.ANCHORARRAY(XP280))),0)</f>
        <v>0</v>
      </c>
      <c r="XV280" t="str" cm="1">
        <f t="array" ref="XV280">IF(AND(XU280&gt;$XV$1,XN280&lt;&gt;""),_xlfn.XLOOKUP(MAX(_xlfn.ANCHORARRAY(XP280)),_xlfn.ANCHORARRAY(XP280),XP$4:XT$4,""),"")</f>
        <v/>
      </c>
      <c r="XX280" cm="1">
        <f t="array" ref="XX280:YG280">SUMIFS($M280:$GJ280,$M$2:$GJ$2,XX$3:YG$3)</f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 cm="1">
        <f t="array" ref="YH280">IFERROR(MAX((_xlfn.ANCHORARRAY(XX280)-AVERAGE(_xlfn.ANCHORARRAY(XX280)))/ AVERAGE(_xlfn.ANCHORARRAY(XX280))),0)</f>
        <v>0</v>
      </c>
      <c r="YI280" t="str" cm="1">
        <f t="array" ref="YI280">IF(YH280&gt;$YI$1,_xlfn.XLOOKUP(MAX(_xlfn.ANCHORARRAY(XX280)),_xlfn.ANCHORARRAY(XX280),XX$4:YG$4,""),"")</f>
        <v/>
      </c>
      <c r="YK280" t="str">
        <f t="shared" si="144"/>
        <v/>
      </c>
    </row>
    <row r="281" spans="2:661" x14ac:dyDescent="0.3">
      <c r="B281" s="2" t="str">
        <f t="shared" ref="B281:B344" si="145">IF(C281="NotFound",D281,C281)</f>
        <v>CHA</v>
      </c>
      <c r="C281" s="2" t="str">
        <f t="shared" ref="C281:C344" si="146">IF(K281&gt;1,"NotFound","CHA"&amp;_xlfn.XLOOKUP(MAX(M281:GJ281,1),M281:GJ281,$M$4:$GJ$4,""))</f>
        <v>CHA</v>
      </c>
      <c r="D281" s="2" t="str">
        <f t="shared" ref="D281:D344" si="147">IF(G281&gt;1,"NotFound","CHA"&amp;_xlfn.XLOOKUP(MAX(GL281:NI281,1),GL281:NI281,$GL$4:$NI$4,""))</f>
        <v>CHA</v>
      </c>
      <c r="E281" s="2" t="str">
        <f t="shared" ref="E281:E344" si="148">YK281</f>
        <v/>
      </c>
      <c r="F281" s="2" t="str">
        <f t="shared" ref="F281:F344" si="149">IF(I281&gt;1,"NotFound",_xlfn.XLOOKUP(MAX(NK281:XG281,1),NK281:XG281,$NK$4:$XG$4,""))</f>
        <v/>
      </c>
      <c r="G281" s="2">
        <f t="shared" ref="G281:G344" si="150">COUNTIF(GL281:NI281,H281)</f>
        <v>0</v>
      </c>
      <c r="H281" s="2">
        <f t="shared" ref="H281:H344" si="151">MAX(GL281:NI281)</f>
        <v>0</v>
      </c>
      <c r="I281" s="2">
        <f t="shared" ref="I281:I344" si="152">COUNTIF(NK281:XG281,J281)</f>
        <v>0</v>
      </c>
      <c r="J281" s="2">
        <f t="shared" ref="J281:J344" si="153">MAX(NK281:XG281)</f>
        <v>0</v>
      </c>
      <c r="K281" s="2">
        <f t="shared" ref="K281:K344" si="154">COUNTIF(M281:GJ281,L281)</f>
        <v>0</v>
      </c>
      <c r="L281" s="2">
        <f t="shared" ref="L281:L344" si="155">MAX(M281:GJ281)</f>
        <v>0</v>
      </c>
      <c r="XJ281" cm="1">
        <f t="array" ref="XJ281:XL281">SUMIFS($M281:$GJ281,$M$1:$GJ$1,XJ$3:XL$3)</f>
        <v>0</v>
      </c>
      <c r="XK281">
        <v>0</v>
      </c>
      <c r="XL281">
        <v>0</v>
      </c>
      <c r="XM281" cm="1">
        <f t="array" ref="XM281">IFERROR(MAX((_xlfn.ANCHORARRAY(XJ281)-AVERAGE(_xlfn.ANCHORARRAY(XJ281)))/ AVERAGE(_xlfn.ANCHORARRAY(XJ281))),0)</f>
        <v>0</v>
      </c>
      <c r="XN281" t="str" cm="1">
        <f t="array" ref="XN281">IF(XM281&gt;$XN$1,_xlfn.XLOOKUP(MAX(_xlfn.ANCHORARRAY(XJ281)),_xlfn.ANCHORARRAY(XJ281),XJ$4:XL$4,""),"")</f>
        <v/>
      </c>
      <c r="XP281" cm="1">
        <f t="array" ref="XP281:XT281">SUMIFS($M281:$GJ281,$M$3:$GJ$3,XP$3:XT$3)</f>
        <v>0</v>
      </c>
      <c r="XQ281">
        <v>0</v>
      </c>
      <c r="XR281">
        <v>0</v>
      </c>
      <c r="XS281">
        <v>0</v>
      </c>
      <c r="XT281">
        <v>0</v>
      </c>
      <c r="XU281" cm="1">
        <f t="array" ref="XU281">IFERROR(MAX((_xlfn.ANCHORARRAY(XP281)-AVERAGE(_xlfn.ANCHORARRAY(XP281)))/ AVERAGE(_xlfn.ANCHORARRAY(XP281))),0)</f>
        <v>0</v>
      </c>
      <c r="XV281" t="str" cm="1">
        <f t="array" ref="XV281">IF(AND(XU281&gt;$XV$1,XN281&lt;&gt;""),_xlfn.XLOOKUP(MAX(_xlfn.ANCHORARRAY(XP281)),_xlfn.ANCHORARRAY(XP281),XP$4:XT$4,""),"")</f>
        <v/>
      </c>
      <c r="XX281" cm="1">
        <f t="array" ref="XX281:YG281">SUMIFS($M281:$GJ281,$M$2:$GJ$2,XX$3:YG$3)</f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 cm="1">
        <f t="array" ref="YH281">IFERROR(MAX((_xlfn.ANCHORARRAY(XX281)-AVERAGE(_xlfn.ANCHORARRAY(XX281)))/ AVERAGE(_xlfn.ANCHORARRAY(XX281))),0)</f>
        <v>0</v>
      </c>
      <c r="YI281" t="str" cm="1">
        <f t="array" ref="YI281">IF(YH281&gt;$YI$1,_xlfn.XLOOKUP(MAX(_xlfn.ANCHORARRAY(XX281)),_xlfn.ANCHORARRAY(XX281),XX$4:YG$4,""),"")</f>
        <v/>
      </c>
      <c r="YK281" t="str">
        <f t="shared" ref="YK281:YK344" si="156">_xlfn.TEXTJOIN(" : ",,XN281,XV281,YI281)</f>
        <v/>
      </c>
    </row>
    <row r="282" spans="2:661" x14ac:dyDescent="0.3">
      <c r="B282" s="2" t="str">
        <f t="shared" si="145"/>
        <v>CHA</v>
      </c>
      <c r="C282" s="2" t="str">
        <f t="shared" si="146"/>
        <v>CHA</v>
      </c>
      <c r="D282" s="2" t="str">
        <f t="shared" si="147"/>
        <v>CHA</v>
      </c>
      <c r="E282" s="2" t="str">
        <f t="shared" si="148"/>
        <v/>
      </c>
      <c r="F282" s="2" t="str">
        <f t="shared" si="149"/>
        <v/>
      </c>
      <c r="G282" s="2">
        <f t="shared" si="150"/>
        <v>0</v>
      </c>
      <c r="H282" s="2">
        <f t="shared" si="151"/>
        <v>0</v>
      </c>
      <c r="I282" s="2">
        <f t="shared" si="152"/>
        <v>0</v>
      </c>
      <c r="J282" s="2">
        <f t="shared" si="153"/>
        <v>0</v>
      </c>
      <c r="K282" s="2">
        <f t="shared" si="154"/>
        <v>0</v>
      </c>
      <c r="L282" s="2">
        <f t="shared" si="155"/>
        <v>0</v>
      </c>
      <c r="XJ282" cm="1">
        <f t="array" ref="XJ282:XL282">SUMIFS($M282:$GJ282,$M$1:$GJ$1,XJ$3:XL$3)</f>
        <v>0</v>
      </c>
      <c r="XK282">
        <v>0</v>
      </c>
      <c r="XL282">
        <v>0</v>
      </c>
      <c r="XM282" cm="1">
        <f t="array" ref="XM282">IFERROR(MAX((_xlfn.ANCHORARRAY(XJ282)-AVERAGE(_xlfn.ANCHORARRAY(XJ282)))/ AVERAGE(_xlfn.ANCHORARRAY(XJ282))),0)</f>
        <v>0</v>
      </c>
      <c r="XN282" t="str" cm="1">
        <f t="array" ref="XN282">IF(XM282&gt;$XN$1,_xlfn.XLOOKUP(MAX(_xlfn.ANCHORARRAY(XJ282)),_xlfn.ANCHORARRAY(XJ282),XJ$4:XL$4,""),"")</f>
        <v/>
      </c>
      <c r="XP282" cm="1">
        <f t="array" ref="XP282:XT282">SUMIFS($M282:$GJ282,$M$3:$GJ$3,XP$3:XT$3)</f>
        <v>0</v>
      </c>
      <c r="XQ282">
        <v>0</v>
      </c>
      <c r="XR282">
        <v>0</v>
      </c>
      <c r="XS282">
        <v>0</v>
      </c>
      <c r="XT282">
        <v>0</v>
      </c>
      <c r="XU282" cm="1">
        <f t="array" ref="XU282">IFERROR(MAX((_xlfn.ANCHORARRAY(XP282)-AVERAGE(_xlfn.ANCHORARRAY(XP282)))/ AVERAGE(_xlfn.ANCHORARRAY(XP282))),0)</f>
        <v>0</v>
      </c>
      <c r="XV282" t="str" cm="1">
        <f t="array" ref="XV282">IF(AND(XU282&gt;$XV$1,XN282&lt;&gt;""),_xlfn.XLOOKUP(MAX(_xlfn.ANCHORARRAY(XP282)),_xlfn.ANCHORARRAY(XP282),XP$4:XT$4,""),"")</f>
        <v/>
      </c>
      <c r="XX282" cm="1">
        <f t="array" ref="XX282:YG282">SUMIFS($M282:$GJ282,$M$2:$GJ$2,XX$3:YG$3)</f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 cm="1">
        <f t="array" ref="YH282">IFERROR(MAX((_xlfn.ANCHORARRAY(XX282)-AVERAGE(_xlfn.ANCHORARRAY(XX282)))/ AVERAGE(_xlfn.ANCHORARRAY(XX282))),0)</f>
        <v>0</v>
      </c>
      <c r="YI282" t="str" cm="1">
        <f t="array" ref="YI282">IF(YH282&gt;$YI$1,_xlfn.XLOOKUP(MAX(_xlfn.ANCHORARRAY(XX282)),_xlfn.ANCHORARRAY(XX282),XX$4:YG$4,""),"")</f>
        <v/>
      </c>
      <c r="YK282" t="str">
        <f t="shared" si="156"/>
        <v/>
      </c>
    </row>
    <row r="283" spans="2:661" x14ac:dyDescent="0.3">
      <c r="B283" s="2" t="str">
        <f t="shared" si="145"/>
        <v>CHA</v>
      </c>
      <c r="C283" s="2" t="str">
        <f t="shared" si="146"/>
        <v>CHA</v>
      </c>
      <c r="D283" s="2" t="str">
        <f t="shared" si="147"/>
        <v>CHA</v>
      </c>
      <c r="E283" s="2" t="str">
        <f t="shared" si="148"/>
        <v/>
      </c>
      <c r="F283" s="2" t="str">
        <f t="shared" si="149"/>
        <v/>
      </c>
      <c r="G283" s="2">
        <f t="shared" si="150"/>
        <v>0</v>
      </c>
      <c r="H283" s="2">
        <f t="shared" si="151"/>
        <v>0</v>
      </c>
      <c r="I283" s="2">
        <f t="shared" si="152"/>
        <v>0</v>
      </c>
      <c r="J283" s="2">
        <f t="shared" si="153"/>
        <v>0</v>
      </c>
      <c r="K283" s="2">
        <f t="shared" si="154"/>
        <v>0</v>
      </c>
      <c r="L283" s="2">
        <f t="shared" si="155"/>
        <v>0</v>
      </c>
      <c r="XJ283" cm="1">
        <f t="array" ref="XJ283:XL283">SUMIFS($M283:$GJ283,$M$1:$GJ$1,XJ$3:XL$3)</f>
        <v>0</v>
      </c>
      <c r="XK283">
        <v>0</v>
      </c>
      <c r="XL283">
        <v>0</v>
      </c>
      <c r="XM283" cm="1">
        <f t="array" ref="XM283">IFERROR(MAX((_xlfn.ANCHORARRAY(XJ283)-AVERAGE(_xlfn.ANCHORARRAY(XJ283)))/ AVERAGE(_xlfn.ANCHORARRAY(XJ283))),0)</f>
        <v>0</v>
      </c>
      <c r="XN283" t="str" cm="1">
        <f t="array" ref="XN283">IF(XM283&gt;$XN$1,_xlfn.XLOOKUP(MAX(_xlfn.ANCHORARRAY(XJ283)),_xlfn.ANCHORARRAY(XJ283),XJ$4:XL$4,""),"")</f>
        <v/>
      </c>
      <c r="XP283" cm="1">
        <f t="array" ref="XP283:XT283">SUMIFS($M283:$GJ283,$M$3:$GJ$3,XP$3:XT$3)</f>
        <v>0</v>
      </c>
      <c r="XQ283">
        <v>0</v>
      </c>
      <c r="XR283">
        <v>0</v>
      </c>
      <c r="XS283">
        <v>0</v>
      </c>
      <c r="XT283">
        <v>0</v>
      </c>
      <c r="XU283" cm="1">
        <f t="array" ref="XU283">IFERROR(MAX((_xlfn.ANCHORARRAY(XP283)-AVERAGE(_xlfn.ANCHORARRAY(XP283)))/ AVERAGE(_xlfn.ANCHORARRAY(XP283))),0)</f>
        <v>0</v>
      </c>
      <c r="XV283" t="str" cm="1">
        <f t="array" ref="XV283">IF(AND(XU283&gt;$XV$1,XN283&lt;&gt;""),_xlfn.XLOOKUP(MAX(_xlfn.ANCHORARRAY(XP283)),_xlfn.ANCHORARRAY(XP283),XP$4:XT$4,""),"")</f>
        <v/>
      </c>
      <c r="XX283" cm="1">
        <f t="array" ref="XX283:YG283">SUMIFS($M283:$GJ283,$M$2:$GJ$2,XX$3:YG$3)</f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 cm="1">
        <f t="array" ref="YH283">IFERROR(MAX((_xlfn.ANCHORARRAY(XX283)-AVERAGE(_xlfn.ANCHORARRAY(XX283)))/ AVERAGE(_xlfn.ANCHORARRAY(XX283))),0)</f>
        <v>0</v>
      </c>
      <c r="YI283" t="str" cm="1">
        <f t="array" ref="YI283">IF(YH283&gt;$YI$1,_xlfn.XLOOKUP(MAX(_xlfn.ANCHORARRAY(XX283)),_xlfn.ANCHORARRAY(XX283),XX$4:YG$4,""),"")</f>
        <v/>
      </c>
      <c r="YK283" t="str">
        <f t="shared" si="156"/>
        <v/>
      </c>
    </row>
    <row r="284" spans="2:661" x14ac:dyDescent="0.3">
      <c r="B284" s="2" t="str">
        <f t="shared" si="145"/>
        <v>CHA</v>
      </c>
      <c r="C284" s="2" t="str">
        <f t="shared" si="146"/>
        <v>CHA</v>
      </c>
      <c r="D284" s="2" t="str">
        <f t="shared" si="147"/>
        <v>CHA</v>
      </c>
      <c r="E284" s="2" t="str">
        <f t="shared" si="148"/>
        <v/>
      </c>
      <c r="F284" s="2" t="str">
        <f t="shared" si="149"/>
        <v/>
      </c>
      <c r="G284" s="2">
        <f t="shared" si="150"/>
        <v>0</v>
      </c>
      <c r="H284" s="2">
        <f t="shared" si="151"/>
        <v>0</v>
      </c>
      <c r="I284" s="2">
        <f t="shared" si="152"/>
        <v>0</v>
      </c>
      <c r="J284" s="2">
        <f t="shared" si="153"/>
        <v>0</v>
      </c>
      <c r="K284" s="2">
        <f t="shared" si="154"/>
        <v>0</v>
      </c>
      <c r="L284" s="2">
        <f t="shared" si="155"/>
        <v>0</v>
      </c>
      <c r="XJ284" cm="1">
        <f t="array" ref="XJ284:XL284">SUMIFS($M284:$GJ284,$M$1:$GJ$1,XJ$3:XL$3)</f>
        <v>0</v>
      </c>
      <c r="XK284">
        <v>0</v>
      </c>
      <c r="XL284">
        <v>0</v>
      </c>
      <c r="XM284" cm="1">
        <f t="array" ref="XM284">IFERROR(MAX((_xlfn.ANCHORARRAY(XJ284)-AVERAGE(_xlfn.ANCHORARRAY(XJ284)))/ AVERAGE(_xlfn.ANCHORARRAY(XJ284))),0)</f>
        <v>0</v>
      </c>
      <c r="XN284" t="str" cm="1">
        <f t="array" ref="XN284">IF(XM284&gt;$XN$1,_xlfn.XLOOKUP(MAX(_xlfn.ANCHORARRAY(XJ284)),_xlfn.ANCHORARRAY(XJ284),XJ$4:XL$4,""),"")</f>
        <v/>
      </c>
      <c r="XP284" cm="1">
        <f t="array" ref="XP284:XT284">SUMIFS($M284:$GJ284,$M$3:$GJ$3,XP$3:XT$3)</f>
        <v>0</v>
      </c>
      <c r="XQ284">
        <v>0</v>
      </c>
      <c r="XR284">
        <v>0</v>
      </c>
      <c r="XS284">
        <v>0</v>
      </c>
      <c r="XT284">
        <v>0</v>
      </c>
      <c r="XU284" cm="1">
        <f t="array" ref="XU284">IFERROR(MAX((_xlfn.ANCHORARRAY(XP284)-AVERAGE(_xlfn.ANCHORARRAY(XP284)))/ AVERAGE(_xlfn.ANCHORARRAY(XP284))),0)</f>
        <v>0</v>
      </c>
      <c r="XV284" t="str" cm="1">
        <f t="array" ref="XV284">IF(AND(XU284&gt;$XV$1,XN284&lt;&gt;""),_xlfn.XLOOKUP(MAX(_xlfn.ANCHORARRAY(XP284)),_xlfn.ANCHORARRAY(XP284),XP$4:XT$4,""),"")</f>
        <v/>
      </c>
      <c r="XX284" cm="1">
        <f t="array" ref="XX284:YG284">SUMIFS($M284:$GJ284,$M$2:$GJ$2,XX$3:YG$3)</f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 cm="1">
        <f t="array" ref="YH284">IFERROR(MAX((_xlfn.ANCHORARRAY(XX284)-AVERAGE(_xlfn.ANCHORARRAY(XX284)))/ AVERAGE(_xlfn.ANCHORARRAY(XX284))),0)</f>
        <v>0</v>
      </c>
      <c r="YI284" t="str" cm="1">
        <f t="array" ref="YI284">IF(YH284&gt;$YI$1,_xlfn.XLOOKUP(MAX(_xlfn.ANCHORARRAY(XX284)),_xlfn.ANCHORARRAY(XX284),XX$4:YG$4,""),"")</f>
        <v/>
      </c>
      <c r="YK284" t="str">
        <f t="shared" si="156"/>
        <v/>
      </c>
    </row>
    <row r="285" spans="2:661" x14ac:dyDescent="0.3">
      <c r="B285" s="2" t="str">
        <f t="shared" si="145"/>
        <v>CHA</v>
      </c>
      <c r="C285" s="2" t="str">
        <f t="shared" si="146"/>
        <v>CHA</v>
      </c>
      <c r="D285" s="2" t="str">
        <f t="shared" si="147"/>
        <v>CHA</v>
      </c>
      <c r="E285" s="2" t="str">
        <f t="shared" si="148"/>
        <v/>
      </c>
      <c r="F285" s="2" t="str">
        <f t="shared" si="149"/>
        <v/>
      </c>
      <c r="G285" s="2">
        <f t="shared" si="150"/>
        <v>0</v>
      </c>
      <c r="H285" s="2">
        <f t="shared" si="151"/>
        <v>0</v>
      </c>
      <c r="I285" s="2">
        <f t="shared" si="152"/>
        <v>0</v>
      </c>
      <c r="J285" s="2">
        <f t="shared" si="153"/>
        <v>0</v>
      </c>
      <c r="K285" s="2">
        <f t="shared" si="154"/>
        <v>0</v>
      </c>
      <c r="L285" s="2">
        <f t="shared" si="155"/>
        <v>0</v>
      </c>
      <c r="XJ285" cm="1">
        <f t="array" ref="XJ285:XL285">SUMIFS($M285:$GJ285,$M$1:$GJ$1,XJ$3:XL$3)</f>
        <v>0</v>
      </c>
      <c r="XK285">
        <v>0</v>
      </c>
      <c r="XL285">
        <v>0</v>
      </c>
      <c r="XM285" cm="1">
        <f t="array" ref="XM285">IFERROR(MAX((_xlfn.ANCHORARRAY(XJ285)-AVERAGE(_xlfn.ANCHORARRAY(XJ285)))/ AVERAGE(_xlfn.ANCHORARRAY(XJ285))),0)</f>
        <v>0</v>
      </c>
      <c r="XN285" t="str" cm="1">
        <f t="array" ref="XN285">IF(XM285&gt;$XN$1,_xlfn.XLOOKUP(MAX(_xlfn.ANCHORARRAY(XJ285)),_xlfn.ANCHORARRAY(XJ285),XJ$4:XL$4,""),"")</f>
        <v/>
      </c>
      <c r="XP285" cm="1">
        <f t="array" ref="XP285:XT285">SUMIFS($M285:$GJ285,$M$3:$GJ$3,XP$3:XT$3)</f>
        <v>0</v>
      </c>
      <c r="XQ285">
        <v>0</v>
      </c>
      <c r="XR285">
        <v>0</v>
      </c>
      <c r="XS285">
        <v>0</v>
      </c>
      <c r="XT285">
        <v>0</v>
      </c>
      <c r="XU285" cm="1">
        <f t="array" ref="XU285">IFERROR(MAX((_xlfn.ANCHORARRAY(XP285)-AVERAGE(_xlfn.ANCHORARRAY(XP285)))/ AVERAGE(_xlfn.ANCHORARRAY(XP285))),0)</f>
        <v>0</v>
      </c>
      <c r="XV285" t="str" cm="1">
        <f t="array" ref="XV285">IF(AND(XU285&gt;$XV$1,XN285&lt;&gt;""),_xlfn.XLOOKUP(MAX(_xlfn.ANCHORARRAY(XP285)),_xlfn.ANCHORARRAY(XP285),XP$4:XT$4,""),"")</f>
        <v/>
      </c>
      <c r="XX285" cm="1">
        <f t="array" ref="XX285:YG285">SUMIFS($M285:$GJ285,$M$2:$GJ$2,XX$3:YG$3)</f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 cm="1">
        <f t="array" ref="YH285">IFERROR(MAX((_xlfn.ANCHORARRAY(XX285)-AVERAGE(_xlfn.ANCHORARRAY(XX285)))/ AVERAGE(_xlfn.ANCHORARRAY(XX285))),0)</f>
        <v>0</v>
      </c>
      <c r="YI285" t="str" cm="1">
        <f t="array" ref="YI285">IF(YH285&gt;$YI$1,_xlfn.XLOOKUP(MAX(_xlfn.ANCHORARRAY(XX285)),_xlfn.ANCHORARRAY(XX285),XX$4:YG$4,""),"")</f>
        <v/>
      </c>
      <c r="YK285" t="str">
        <f t="shared" si="156"/>
        <v/>
      </c>
    </row>
    <row r="286" spans="2:661" x14ac:dyDescent="0.3">
      <c r="B286" s="2" t="str">
        <f t="shared" si="145"/>
        <v>CHA</v>
      </c>
      <c r="C286" s="2" t="str">
        <f t="shared" si="146"/>
        <v>CHA</v>
      </c>
      <c r="D286" s="2" t="str">
        <f t="shared" si="147"/>
        <v>CHA</v>
      </c>
      <c r="E286" s="2" t="str">
        <f t="shared" si="148"/>
        <v/>
      </c>
      <c r="F286" s="2" t="str">
        <f t="shared" si="149"/>
        <v/>
      </c>
      <c r="G286" s="2">
        <f t="shared" si="150"/>
        <v>0</v>
      </c>
      <c r="H286" s="2">
        <f t="shared" si="151"/>
        <v>0</v>
      </c>
      <c r="I286" s="2">
        <f t="shared" si="152"/>
        <v>0</v>
      </c>
      <c r="J286" s="2">
        <f t="shared" si="153"/>
        <v>0</v>
      </c>
      <c r="K286" s="2">
        <f t="shared" si="154"/>
        <v>0</v>
      </c>
      <c r="L286" s="2">
        <f t="shared" si="155"/>
        <v>0</v>
      </c>
      <c r="XJ286" cm="1">
        <f t="array" ref="XJ286:XL286">SUMIFS($M286:$GJ286,$M$1:$GJ$1,XJ$3:XL$3)</f>
        <v>0</v>
      </c>
      <c r="XK286">
        <v>0</v>
      </c>
      <c r="XL286">
        <v>0</v>
      </c>
      <c r="XM286" cm="1">
        <f t="array" ref="XM286">IFERROR(MAX((_xlfn.ANCHORARRAY(XJ286)-AVERAGE(_xlfn.ANCHORARRAY(XJ286)))/ AVERAGE(_xlfn.ANCHORARRAY(XJ286))),0)</f>
        <v>0</v>
      </c>
      <c r="XN286" t="str" cm="1">
        <f t="array" ref="XN286">IF(XM286&gt;$XN$1,_xlfn.XLOOKUP(MAX(_xlfn.ANCHORARRAY(XJ286)),_xlfn.ANCHORARRAY(XJ286),XJ$4:XL$4,""),"")</f>
        <v/>
      </c>
      <c r="XP286" cm="1">
        <f t="array" ref="XP286:XT286">SUMIFS($M286:$GJ286,$M$3:$GJ$3,XP$3:XT$3)</f>
        <v>0</v>
      </c>
      <c r="XQ286">
        <v>0</v>
      </c>
      <c r="XR286">
        <v>0</v>
      </c>
      <c r="XS286">
        <v>0</v>
      </c>
      <c r="XT286">
        <v>0</v>
      </c>
      <c r="XU286" cm="1">
        <f t="array" ref="XU286">IFERROR(MAX((_xlfn.ANCHORARRAY(XP286)-AVERAGE(_xlfn.ANCHORARRAY(XP286)))/ AVERAGE(_xlfn.ANCHORARRAY(XP286))),0)</f>
        <v>0</v>
      </c>
      <c r="XV286" t="str" cm="1">
        <f t="array" ref="XV286">IF(AND(XU286&gt;$XV$1,XN286&lt;&gt;""),_xlfn.XLOOKUP(MAX(_xlfn.ANCHORARRAY(XP286)),_xlfn.ANCHORARRAY(XP286),XP$4:XT$4,""),"")</f>
        <v/>
      </c>
      <c r="XX286" cm="1">
        <f t="array" ref="XX286:YG286">SUMIFS($M286:$GJ286,$M$2:$GJ$2,XX$3:YG$3)</f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 cm="1">
        <f t="array" ref="YH286">IFERROR(MAX((_xlfn.ANCHORARRAY(XX286)-AVERAGE(_xlfn.ANCHORARRAY(XX286)))/ AVERAGE(_xlfn.ANCHORARRAY(XX286))),0)</f>
        <v>0</v>
      </c>
      <c r="YI286" t="str" cm="1">
        <f t="array" ref="YI286">IF(YH286&gt;$YI$1,_xlfn.XLOOKUP(MAX(_xlfn.ANCHORARRAY(XX286)),_xlfn.ANCHORARRAY(XX286),XX$4:YG$4,""),"")</f>
        <v/>
      </c>
      <c r="YK286" t="str">
        <f t="shared" si="156"/>
        <v/>
      </c>
    </row>
    <row r="287" spans="2:661" x14ac:dyDescent="0.3">
      <c r="B287" s="2" t="str">
        <f t="shared" si="145"/>
        <v>CHA</v>
      </c>
      <c r="C287" s="2" t="str">
        <f t="shared" si="146"/>
        <v>CHA</v>
      </c>
      <c r="D287" s="2" t="str">
        <f t="shared" si="147"/>
        <v>CHA</v>
      </c>
      <c r="E287" s="2" t="str">
        <f t="shared" si="148"/>
        <v/>
      </c>
      <c r="F287" s="2" t="str">
        <f t="shared" si="149"/>
        <v/>
      </c>
      <c r="G287" s="2">
        <f t="shared" si="150"/>
        <v>0</v>
      </c>
      <c r="H287" s="2">
        <f t="shared" si="151"/>
        <v>0</v>
      </c>
      <c r="I287" s="2">
        <f t="shared" si="152"/>
        <v>0</v>
      </c>
      <c r="J287" s="2">
        <f t="shared" si="153"/>
        <v>0</v>
      </c>
      <c r="K287" s="2">
        <f t="shared" si="154"/>
        <v>0</v>
      </c>
      <c r="L287" s="2">
        <f t="shared" si="155"/>
        <v>0</v>
      </c>
      <c r="XJ287" cm="1">
        <f t="array" ref="XJ287:XL287">SUMIFS($M287:$GJ287,$M$1:$GJ$1,XJ$3:XL$3)</f>
        <v>0</v>
      </c>
      <c r="XK287">
        <v>0</v>
      </c>
      <c r="XL287">
        <v>0</v>
      </c>
      <c r="XM287" cm="1">
        <f t="array" ref="XM287">IFERROR(MAX((_xlfn.ANCHORARRAY(XJ287)-AVERAGE(_xlfn.ANCHORARRAY(XJ287)))/ AVERAGE(_xlfn.ANCHORARRAY(XJ287))),0)</f>
        <v>0</v>
      </c>
      <c r="XN287" t="str" cm="1">
        <f t="array" ref="XN287">IF(XM287&gt;$XN$1,_xlfn.XLOOKUP(MAX(_xlfn.ANCHORARRAY(XJ287)),_xlfn.ANCHORARRAY(XJ287),XJ$4:XL$4,""),"")</f>
        <v/>
      </c>
      <c r="XP287" cm="1">
        <f t="array" ref="XP287:XT287">SUMIFS($M287:$GJ287,$M$3:$GJ$3,XP$3:XT$3)</f>
        <v>0</v>
      </c>
      <c r="XQ287">
        <v>0</v>
      </c>
      <c r="XR287">
        <v>0</v>
      </c>
      <c r="XS287">
        <v>0</v>
      </c>
      <c r="XT287">
        <v>0</v>
      </c>
      <c r="XU287" cm="1">
        <f t="array" ref="XU287">IFERROR(MAX((_xlfn.ANCHORARRAY(XP287)-AVERAGE(_xlfn.ANCHORARRAY(XP287)))/ AVERAGE(_xlfn.ANCHORARRAY(XP287))),0)</f>
        <v>0</v>
      </c>
      <c r="XV287" t="str" cm="1">
        <f t="array" ref="XV287">IF(AND(XU287&gt;$XV$1,XN287&lt;&gt;""),_xlfn.XLOOKUP(MAX(_xlfn.ANCHORARRAY(XP287)),_xlfn.ANCHORARRAY(XP287),XP$4:XT$4,""),"")</f>
        <v/>
      </c>
      <c r="XX287" cm="1">
        <f t="array" ref="XX287:YG287">SUMIFS($M287:$GJ287,$M$2:$GJ$2,XX$3:YG$3)</f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 cm="1">
        <f t="array" ref="YH287">IFERROR(MAX((_xlfn.ANCHORARRAY(XX287)-AVERAGE(_xlfn.ANCHORARRAY(XX287)))/ AVERAGE(_xlfn.ANCHORARRAY(XX287))),0)</f>
        <v>0</v>
      </c>
      <c r="YI287" t="str" cm="1">
        <f t="array" ref="YI287">IF(YH287&gt;$YI$1,_xlfn.XLOOKUP(MAX(_xlfn.ANCHORARRAY(XX287)),_xlfn.ANCHORARRAY(XX287),XX$4:YG$4,""),"")</f>
        <v/>
      </c>
      <c r="YK287" t="str">
        <f t="shared" si="156"/>
        <v/>
      </c>
    </row>
    <row r="288" spans="2:661" x14ac:dyDescent="0.3">
      <c r="B288" s="2" t="str">
        <f t="shared" si="145"/>
        <v>CHA</v>
      </c>
      <c r="C288" s="2" t="str">
        <f t="shared" si="146"/>
        <v>CHA</v>
      </c>
      <c r="D288" s="2" t="str">
        <f t="shared" si="147"/>
        <v>CHA</v>
      </c>
      <c r="E288" s="2" t="str">
        <f t="shared" si="148"/>
        <v/>
      </c>
      <c r="F288" s="2" t="str">
        <f t="shared" si="149"/>
        <v/>
      </c>
      <c r="G288" s="2">
        <f t="shared" si="150"/>
        <v>0</v>
      </c>
      <c r="H288" s="2">
        <f t="shared" si="151"/>
        <v>0</v>
      </c>
      <c r="I288" s="2">
        <f t="shared" si="152"/>
        <v>0</v>
      </c>
      <c r="J288" s="2">
        <f t="shared" si="153"/>
        <v>0</v>
      </c>
      <c r="K288" s="2">
        <f t="shared" si="154"/>
        <v>0</v>
      </c>
      <c r="L288" s="2">
        <f t="shared" si="155"/>
        <v>0</v>
      </c>
      <c r="XJ288" cm="1">
        <f t="array" ref="XJ288:XL288">SUMIFS($M288:$GJ288,$M$1:$GJ$1,XJ$3:XL$3)</f>
        <v>0</v>
      </c>
      <c r="XK288">
        <v>0</v>
      </c>
      <c r="XL288">
        <v>0</v>
      </c>
      <c r="XM288" cm="1">
        <f t="array" ref="XM288">IFERROR(MAX((_xlfn.ANCHORARRAY(XJ288)-AVERAGE(_xlfn.ANCHORARRAY(XJ288)))/ AVERAGE(_xlfn.ANCHORARRAY(XJ288))),0)</f>
        <v>0</v>
      </c>
      <c r="XN288" t="str" cm="1">
        <f t="array" ref="XN288">IF(XM288&gt;$XN$1,_xlfn.XLOOKUP(MAX(_xlfn.ANCHORARRAY(XJ288)),_xlfn.ANCHORARRAY(XJ288),XJ$4:XL$4,""),"")</f>
        <v/>
      </c>
      <c r="XP288" cm="1">
        <f t="array" ref="XP288:XT288">SUMIFS($M288:$GJ288,$M$3:$GJ$3,XP$3:XT$3)</f>
        <v>0</v>
      </c>
      <c r="XQ288">
        <v>0</v>
      </c>
      <c r="XR288">
        <v>0</v>
      </c>
      <c r="XS288">
        <v>0</v>
      </c>
      <c r="XT288">
        <v>0</v>
      </c>
      <c r="XU288" cm="1">
        <f t="array" ref="XU288">IFERROR(MAX((_xlfn.ANCHORARRAY(XP288)-AVERAGE(_xlfn.ANCHORARRAY(XP288)))/ AVERAGE(_xlfn.ANCHORARRAY(XP288))),0)</f>
        <v>0</v>
      </c>
      <c r="XV288" t="str" cm="1">
        <f t="array" ref="XV288">IF(AND(XU288&gt;$XV$1,XN288&lt;&gt;""),_xlfn.XLOOKUP(MAX(_xlfn.ANCHORARRAY(XP288)),_xlfn.ANCHORARRAY(XP288),XP$4:XT$4,""),"")</f>
        <v/>
      </c>
      <c r="XX288" cm="1">
        <f t="array" ref="XX288:YG288">SUMIFS($M288:$GJ288,$M$2:$GJ$2,XX$3:YG$3)</f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 cm="1">
        <f t="array" ref="YH288">IFERROR(MAX((_xlfn.ANCHORARRAY(XX288)-AVERAGE(_xlfn.ANCHORARRAY(XX288)))/ AVERAGE(_xlfn.ANCHORARRAY(XX288))),0)</f>
        <v>0</v>
      </c>
      <c r="YI288" t="str" cm="1">
        <f t="array" ref="YI288">IF(YH288&gt;$YI$1,_xlfn.XLOOKUP(MAX(_xlfn.ANCHORARRAY(XX288)),_xlfn.ANCHORARRAY(XX288),XX$4:YG$4,""),"")</f>
        <v/>
      </c>
      <c r="YK288" t="str">
        <f t="shared" si="156"/>
        <v/>
      </c>
    </row>
    <row r="289" spans="2:661" x14ac:dyDescent="0.3">
      <c r="B289" s="2" t="str">
        <f t="shared" si="145"/>
        <v>CHA</v>
      </c>
      <c r="C289" s="2" t="str">
        <f t="shared" si="146"/>
        <v>CHA</v>
      </c>
      <c r="D289" s="2" t="str">
        <f t="shared" si="147"/>
        <v>CHA</v>
      </c>
      <c r="E289" s="2" t="str">
        <f t="shared" si="148"/>
        <v/>
      </c>
      <c r="F289" s="2" t="str">
        <f t="shared" si="149"/>
        <v/>
      </c>
      <c r="G289" s="2">
        <f t="shared" si="150"/>
        <v>0</v>
      </c>
      <c r="H289" s="2">
        <f t="shared" si="151"/>
        <v>0</v>
      </c>
      <c r="I289" s="2">
        <f t="shared" si="152"/>
        <v>0</v>
      </c>
      <c r="J289" s="2">
        <f t="shared" si="153"/>
        <v>0</v>
      </c>
      <c r="K289" s="2">
        <f t="shared" si="154"/>
        <v>0</v>
      </c>
      <c r="L289" s="2">
        <f t="shared" si="155"/>
        <v>0</v>
      </c>
      <c r="XJ289" cm="1">
        <f t="array" ref="XJ289:XL289">SUMIFS($M289:$GJ289,$M$1:$GJ$1,XJ$3:XL$3)</f>
        <v>0</v>
      </c>
      <c r="XK289">
        <v>0</v>
      </c>
      <c r="XL289">
        <v>0</v>
      </c>
      <c r="XM289" cm="1">
        <f t="array" ref="XM289">IFERROR(MAX((_xlfn.ANCHORARRAY(XJ289)-AVERAGE(_xlfn.ANCHORARRAY(XJ289)))/ AVERAGE(_xlfn.ANCHORARRAY(XJ289))),0)</f>
        <v>0</v>
      </c>
      <c r="XN289" t="str" cm="1">
        <f t="array" ref="XN289">IF(XM289&gt;$XN$1,_xlfn.XLOOKUP(MAX(_xlfn.ANCHORARRAY(XJ289)),_xlfn.ANCHORARRAY(XJ289),XJ$4:XL$4,""),"")</f>
        <v/>
      </c>
      <c r="XP289" cm="1">
        <f t="array" ref="XP289:XT289">SUMIFS($M289:$GJ289,$M$3:$GJ$3,XP$3:XT$3)</f>
        <v>0</v>
      </c>
      <c r="XQ289">
        <v>0</v>
      </c>
      <c r="XR289">
        <v>0</v>
      </c>
      <c r="XS289">
        <v>0</v>
      </c>
      <c r="XT289">
        <v>0</v>
      </c>
      <c r="XU289" cm="1">
        <f t="array" ref="XU289">IFERROR(MAX((_xlfn.ANCHORARRAY(XP289)-AVERAGE(_xlfn.ANCHORARRAY(XP289)))/ AVERAGE(_xlfn.ANCHORARRAY(XP289))),0)</f>
        <v>0</v>
      </c>
      <c r="XV289" t="str" cm="1">
        <f t="array" ref="XV289">IF(AND(XU289&gt;$XV$1,XN289&lt;&gt;""),_xlfn.XLOOKUP(MAX(_xlfn.ANCHORARRAY(XP289)),_xlfn.ANCHORARRAY(XP289),XP$4:XT$4,""),"")</f>
        <v/>
      </c>
      <c r="XX289" cm="1">
        <f t="array" ref="XX289:YG289">SUMIFS($M289:$GJ289,$M$2:$GJ$2,XX$3:YG$3)</f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 cm="1">
        <f t="array" ref="YH289">IFERROR(MAX((_xlfn.ANCHORARRAY(XX289)-AVERAGE(_xlfn.ANCHORARRAY(XX289)))/ AVERAGE(_xlfn.ANCHORARRAY(XX289))),0)</f>
        <v>0</v>
      </c>
      <c r="YI289" t="str" cm="1">
        <f t="array" ref="YI289">IF(YH289&gt;$YI$1,_xlfn.XLOOKUP(MAX(_xlfn.ANCHORARRAY(XX289)),_xlfn.ANCHORARRAY(XX289),XX$4:YG$4,""),"")</f>
        <v/>
      </c>
      <c r="YK289" t="str">
        <f t="shared" si="156"/>
        <v/>
      </c>
    </row>
    <row r="290" spans="2:661" x14ac:dyDescent="0.3">
      <c r="B290" s="2" t="str">
        <f t="shared" si="145"/>
        <v>CHA</v>
      </c>
      <c r="C290" s="2" t="str">
        <f t="shared" si="146"/>
        <v>CHA</v>
      </c>
      <c r="D290" s="2" t="str">
        <f t="shared" si="147"/>
        <v>CHA</v>
      </c>
      <c r="E290" s="2" t="str">
        <f t="shared" si="148"/>
        <v/>
      </c>
      <c r="F290" s="2" t="str">
        <f t="shared" si="149"/>
        <v/>
      </c>
      <c r="G290" s="2">
        <f t="shared" si="150"/>
        <v>0</v>
      </c>
      <c r="H290" s="2">
        <f t="shared" si="151"/>
        <v>0</v>
      </c>
      <c r="I290" s="2">
        <f t="shared" si="152"/>
        <v>0</v>
      </c>
      <c r="J290" s="2">
        <f t="shared" si="153"/>
        <v>0</v>
      </c>
      <c r="K290" s="2">
        <f t="shared" si="154"/>
        <v>0</v>
      </c>
      <c r="L290" s="2">
        <f t="shared" si="155"/>
        <v>0</v>
      </c>
      <c r="XJ290" cm="1">
        <f t="array" ref="XJ290:XL290">SUMIFS($M290:$GJ290,$M$1:$GJ$1,XJ$3:XL$3)</f>
        <v>0</v>
      </c>
      <c r="XK290">
        <v>0</v>
      </c>
      <c r="XL290">
        <v>0</v>
      </c>
      <c r="XM290" cm="1">
        <f t="array" ref="XM290">IFERROR(MAX((_xlfn.ANCHORARRAY(XJ290)-AVERAGE(_xlfn.ANCHORARRAY(XJ290)))/ AVERAGE(_xlfn.ANCHORARRAY(XJ290))),0)</f>
        <v>0</v>
      </c>
      <c r="XN290" t="str" cm="1">
        <f t="array" ref="XN290">IF(XM290&gt;$XN$1,_xlfn.XLOOKUP(MAX(_xlfn.ANCHORARRAY(XJ290)),_xlfn.ANCHORARRAY(XJ290),XJ$4:XL$4,""),"")</f>
        <v/>
      </c>
      <c r="XP290" cm="1">
        <f t="array" ref="XP290:XT290">SUMIFS($M290:$GJ290,$M$3:$GJ$3,XP$3:XT$3)</f>
        <v>0</v>
      </c>
      <c r="XQ290">
        <v>0</v>
      </c>
      <c r="XR290">
        <v>0</v>
      </c>
      <c r="XS290">
        <v>0</v>
      </c>
      <c r="XT290">
        <v>0</v>
      </c>
      <c r="XU290" cm="1">
        <f t="array" ref="XU290">IFERROR(MAX((_xlfn.ANCHORARRAY(XP290)-AVERAGE(_xlfn.ANCHORARRAY(XP290)))/ AVERAGE(_xlfn.ANCHORARRAY(XP290))),0)</f>
        <v>0</v>
      </c>
      <c r="XV290" t="str" cm="1">
        <f t="array" ref="XV290">IF(AND(XU290&gt;$XV$1,XN290&lt;&gt;""),_xlfn.XLOOKUP(MAX(_xlfn.ANCHORARRAY(XP290)),_xlfn.ANCHORARRAY(XP290),XP$4:XT$4,""),"")</f>
        <v/>
      </c>
      <c r="XX290" cm="1">
        <f t="array" ref="XX290:YG290">SUMIFS($M290:$GJ290,$M$2:$GJ$2,XX$3:YG$3)</f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 cm="1">
        <f t="array" ref="YH290">IFERROR(MAX((_xlfn.ANCHORARRAY(XX290)-AVERAGE(_xlfn.ANCHORARRAY(XX290)))/ AVERAGE(_xlfn.ANCHORARRAY(XX290))),0)</f>
        <v>0</v>
      </c>
      <c r="YI290" t="str" cm="1">
        <f t="array" ref="YI290">IF(YH290&gt;$YI$1,_xlfn.XLOOKUP(MAX(_xlfn.ANCHORARRAY(XX290)),_xlfn.ANCHORARRAY(XX290),XX$4:YG$4,""),"")</f>
        <v/>
      </c>
      <c r="YK290" t="str">
        <f t="shared" si="156"/>
        <v/>
      </c>
    </row>
    <row r="291" spans="2:661" x14ac:dyDescent="0.3">
      <c r="B291" s="2" t="str">
        <f t="shared" si="145"/>
        <v>CHA</v>
      </c>
      <c r="C291" s="2" t="str">
        <f t="shared" si="146"/>
        <v>CHA</v>
      </c>
      <c r="D291" s="2" t="str">
        <f t="shared" si="147"/>
        <v>CHA</v>
      </c>
      <c r="E291" s="2" t="str">
        <f t="shared" si="148"/>
        <v/>
      </c>
      <c r="F291" s="2" t="str">
        <f t="shared" si="149"/>
        <v/>
      </c>
      <c r="G291" s="2">
        <f t="shared" si="150"/>
        <v>0</v>
      </c>
      <c r="H291" s="2">
        <f t="shared" si="151"/>
        <v>0</v>
      </c>
      <c r="I291" s="2">
        <f t="shared" si="152"/>
        <v>0</v>
      </c>
      <c r="J291" s="2">
        <f t="shared" si="153"/>
        <v>0</v>
      </c>
      <c r="K291" s="2">
        <f t="shared" si="154"/>
        <v>0</v>
      </c>
      <c r="L291" s="2">
        <f t="shared" si="155"/>
        <v>0</v>
      </c>
      <c r="XJ291" cm="1">
        <f t="array" ref="XJ291:XL291">SUMIFS($M291:$GJ291,$M$1:$GJ$1,XJ$3:XL$3)</f>
        <v>0</v>
      </c>
      <c r="XK291">
        <v>0</v>
      </c>
      <c r="XL291">
        <v>0</v>
      </c>
      <c r="XM291" cm="1">
        <f t="array" ref="XM291">IFERROR(MAX((_xlfn.ANCHORARRAY(XJ291)-AVERAGE(_xlfn.ANCHORARRAY(XJ291)))/ AVERAGE(_xlfn.ANCHORARRAY(XJ291))),0)</f>
        <v>0</v>
      </c>
      <c r="XN291" t="str" cm="1">
        <f t="array" ref="XN291">IF(XM291&gt;$XN$1,_xlfn.XLOOKUP(MAX(_xlfn.ANCHORARRAY(XJ291)),_xlfn.ANCHORARRAY(XJ291),XJ$4:XL$4,""),"")</f>
        <v/>
      </c>
      <c r="XP291" cm="1">
        <f t="array" ref="XP291:XT291">SUMIFS($M291:$GJ291,$M$3:$GJ$3,XP$3:XT$3)</f>
        <v>0</v>
      </c>
      <c r="XQ291">
        <v>0</v>
      </c>
      <c r="XR291">
        <v>0</v>
      </c>
      <c r="XS291">
        <v>0</v>
      </c>
      <c r="XT291">
        <v>0</v>
      </c>
      <c r="XU291" cm="1">
        <f t="array" ref="XU291">IFERROR(MAX((_xlfn.ANCHORARRAY(XP291)-AVERAGE(_xlfn.ANCHORARRAY(XP291)))/ AVERAGE(_xlfn.ANCHORARRAY(XP291))),0)</f>
        <v>0</v>
      </c>
      <c r="XV291" t="str" cm="1">
        <f t="array" ref="XV291">IF(AND(XU291&gt;$XV$1,XN291&lt;&gt;""),_xlfn.XLOOKUP(MAX(_xlfn.ANCHORARRAY(XP291)),_xlfn.ANCHORARRAY(XP291),XP$4:XT$4,""),"")</f>
        <v/>
      </c>
      <c r="XX291" cm="1">
        <f t="array" ref="XX291:YG291">SUMIFS($M291:$GJ291,$M$2:$GJ$2,XX$3:YG$3)</f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</v>
      </c>
      <c r="YH291" cm="1">
        <f t="array" ref="YH291">IFERROR(MAX((_xlfn.ANCHORARRAY(XX291)-AVERAGE(_xlfn.ANCHORARRAY(XX291)))/ AVERAGE(_xlfn.ANCHORARRAY(XX291))),0)</f>
        <v>0</v>
      </c>
      <c r="YI291" t="str" cm="1">
        <f t="array" ref="YI291">IF(YH291&gt;$YI$1,_xlfn.XLOOKUP(MAX(_xlfn.ANCHORARRAY(XX291)),_xlfn.ANCHORARRAY(XX291),XX$4:YG$4,""),"")</f>
        <v/>
      </c>
      <c r="YK291" t="str">
        <f t="shared" si="156"/>
        <v/>
      </c>
    </row>
    <row r="292" spans="2:661" x14ac:dyDescent="0.3">
      <c r="B292" s="2" t="str">
        <f t="shared" si="145"/>
        <v>CHA</v>
      </c>
      <c r="C292" s="2" t="str">
        <f t="shared" si="146"/>
        <v>CHA</v>
      </c>
      <c r="D292" s="2" t="str">
        <f t="shared" si="147"/>
        <v>CHA</v>
      </c>
      <c r="E292" s="2" t="str">
        <f t="shared" si="148"/>
        <v/>
      </c>
      <c r="F292" s="2" t="str">
        <f t="shared" si="149"/>
        <v/>
      </c>
      <c r="G292" s="2">
        <f t="shared" si="150"/>
        <v>0</v>
      </c>
      <c r="H292" s="2">
        <f t="shared" si="151"/>
        <v>0</v>
      </c>
      <c r="I292" s="2">
        <f t="shared" si="152"/>
        <v>0</v>
      </c>
      <c r="J292" s="2">
        <f t="shared" si="153"/>
        <v>0</v>
      </c>
      <c r="K292" s="2">
        <f t="shared" si="154"/>
        <v>0</v>
      </c>
      <c r="L292" s="2">
        <f t="shared" si="155"/>
        <v>0</v>
      </c>
      <c r="XJ292" cm="1">
        <f t="array" ref="XJ292:XL292">SUMIFS($M292:$GJ292,$M$1:$GJ$1,XJ$3:XL$3)</f>
        <v>0</v>
      </c>
      <c r="XK292">
        <v>0</v>
      </c>
      <c r="XL292">
        <v>0</v>
      </c>
      <c r="XM292" cm="1">
        <f t="array" ref="XM292">IFERROR(MAX((_xlfn.ANCHORARRAY(XJ292)-AVERAGE(_xlfn.ANCHORARRAY(XJ292)))/ AVERAGE(_xlfn.ANCHORARRAY(XJ292))),0)</f>
        <v>0</v>
      </c>
      <c r="XN292" t="str" cm="1">
        <f t="array" ref="XN292">IF(XM292&gt;$XN$1,_xlfn.XLOOKUP(MAX(_xlfn.ANCHORARRAY(XJ292)),_xlfn.ANCHORARRAY(XJ292),XJ$4:XL$4,""),"")</f>
        <v/>
      </c>
      <c r="XP292" cm="1">
        <f t="array" ref="XP292:XT292">SUMIFS($M292:$GJ292,$M$3:$GJ$3,XP$3:XT$3)</f>
        <v>0</v>
      </c>
      <c r="XQ292">
        <v>0</v>
      </c>
      <c r="XR292">
        <v>0</v>
      </c>
      <c r="XS292">
        <v>0</v>
      </c>
      <c r="XT292">
        <v>0</v>
      </c>
      <c r="XU292" cm="1">
        <f t="array" ref="XU292">IFERROR(MAX((_xlfn.ANCHORARRAY(XP292)-AVERAGE(_xlfn.ANCHORARRAY(XP292)))/ AVERAGE(_xlfn.ANCHORARRAY(XP292))),0)</f>
        <v>0</v>
      </c>
      <c r="XV292" t="str" cm="1">
        <f t="array" ref="XV292">IF(AND(XU292&gt;$XV$1,XN292&lt;&gt;""),_xlfn.XLOOKUP(MAX(_xlfn.ANCHORARRAY(XP292)),_xlfn.ANCHORARRAY(XP292),XP$4:XT$4,""),"")</f>
        <v/>
      </c>
      <c r="XX292" cm="1">
        <f t="array" ref="XX292:YG292">SUMIFS($M292:$GJ292,$M$2:$GJ$2,XX$3:YG$3)</f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 cm="1">
        <f t="array" ref="YH292">IFERROR(MAX((_xlfn.ANCHORARRAY(XX292)-AVERAGE(_xlfn.ANCHORARRAY(XX292)))/ AVERAGE(_xlfn.ANCHORARRAY(XX292))),0)</f>
        <v>0</v>
      </c>
      <c r="YI292" t="str" cm="1">
        <f t="array" ref="YI292">IF(YH292&gt;$YI$1,_xlfn.XLOOKUP(MAX(_xlfn.ANCHORARRAY(XX292)),_xlfn.ANCHORARRAY(XX292),XX$4:YG$4,""),"")</f>
        <v/>
      </c>
      <c r="YK292" t="str">
        <f t="shared" si="156"/>
        <v/>
      </c>
    </row>
    <row r="293" spans="2:661" x14ac:dyDescent="0.3">
      <c r="B293" s="2" t="str">
        <f t="shared" si="145"/>
        <v>CHA</v>
      </c>
      <c r="C293" s="2" t="str">
        <f t="shared" si="146"/>
        <v>CHA</v>
      </c>
      <c r="D293" s="2" t="str">
        <f t="shared" si="147"/>
        <v>CHA</v>
      </c>
      <c r="E293" s="2" t="str">
        <f t="shared" si="148"/>
        <v/>
      </c>
      <c r="F293" s="2" t="str">
        <f t="shared" si="149"/>
        <v/>
      </c>
      <c r="G293" s="2">
        <f t="shared" si="150"/>
        <v>0</v>
      </c>
      <c r="H293" s="2">
        <f t="shared" si="151"/>
        <v>0</v>
      </c>
      <c r="I293" s="2">
        <f t="shared" si="152"/>
        <v>0</v>
      </c>
      <c r="J293" s="2">
        <f t="shared" si="153"/>
        <v>0</v>
      </c>
      <c r="K293" s="2">
        <f t="shared" si="154"/>
        <v>0</v>
      </c>
      <c r="L293" s="2">
        <f t="shared" si="155"/>
        <v>0</v>
      </c>
      <c r="XJ293" cm="1">
        <f t="array" ref="XJ293:XL293">SUMIFS($M293:$GJ293,$M$1:$GJ$1,XJ$3:XL$3)</f>
        <v>0</v>
      </c>
      <c r="XK293">
        <v>0</v>
      </c>
      <c r="XL293">
        <v>0</v>
      </c>
      <c r="XM293" cm="1">
        <f t="array" ref="XM293">IFERROR(MAX((_xlfn.ANCHORARRAY(XJ293)-AVERAGE(_xlfn.ANCHORARRAY(XJ293)))/ AVERAGE(_xlfn.ANCHORARRAY(XJ293))),0)</f>
        <v>0</v>
      </c>
      <c r="XN293" t="str" cm="1">
        <f t="array" ref="XN293">IF(XM293&gt;$XN$1,_xlfn.XLOOKUP(MAX(_xlfn.ANCHORARRAY(XJ293)),_xlfn.ANCHORARRAY(XJ293),XJ$4:XL$4,""),"")</f>
        <v/>
      </c>
      <c r="XP293" cm="1">
        <f t="array" ref="XP293:XT293">SUMIFS($M293:$GJ293,$M$3:$GJ$3,XP$3:XT$3)</f>
        <v>0</v>
      </c>
      <c r="XQ293">
        <v>0</v>
      </c>
      <c r="XR293">
        <v>0</v>
      </c>
      <c r="XS293">
        <v>0</v>
      </c>
      <c r="XT293">
        <v>0</v>
      </c>
      <c r="XU293" cm="1">
        <f t="array" ref="XU293">IFERROR(MAX((_xlfn.ANCHORARRAY(XP293)-AVERAGE(_xlfn.ANCHORARRAY(XP293)))/ AVERAGE(_xlfn.ANCHORARRAY(XP293))),0)</f>
        <v>0</v>
      </c>
      <c r="XV293" t="str" cm="1">
        <f t="array" ref="XV293">IF(AND(XU293&gt;$XV$1,XN293&lt;&gt;""),_xlfn.XLOOKUP(MAX(_xlfn.ANCHORARRAY(XP293)),_xlfn.ANCHORARRAY(XP293),XP$4:XT$4,""),"")</f>
        <v/>
      </c>
      <c r="XX293" cm="1">
        <f t="array" ref="XX293:YG293">SUMIFS($M293:$GJ293,$M$2:$GJ$2,XX$3:YG$3)</f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 cm="1">
        <f t="array" ref="YH293">IFERROR(MAX((_xlfn.ANCHORARRAY(XX293)-AVERAGE(_xlfn.ANCHORARRAY(XX293)))/ AVERAGE(_xlfn.ANCHORARRAY(XX293))),0)</f>
        <v>0</v>
      </c>
      <c r="YI293" t="str" cm="1">
        <f t="array" ref="YI293">IF(YH293&gt;$YI$1,_xlfn.XLOOKUP(MAX(_xlfn.ANCHORARRAY(XX293)),_xlfn.ANCHORARRAY(XX293),XX$4:YG$4,""),"")</f>
        <v/>
      </c>
      <c r="YK293" t="str">
        <f t="shared" si="156"/>
        <v/>
      </c>
    </row>
    <row r="294" spans="2:661" x14ac:dyDescent="0.3">
      <c r="B294" s="2" t="str">
        <f t="shared" si="145"/>
        <v>CHA</v>
      </c>
      <c r="C294" s="2" t="str">
        <f t="shared" si="146"/>
        <v>CHA</v>
      </c>
      <c r="D294" s="2" t="str">
        <f t="shared" si="147"/>
        <v>CHA</v>
      </c>
      <c r="E294" s="2" t="str">
        <f t="shared" si="148"/>
        <v/>
      </c>
      <c r="F294" s="2" t="str">
        <f t="shared" si="149"/>
        <v/>
      </c>
      <c r="G294" s="2">
        <f t="shared" si="150"/>
        <v>0</v>
      </c>
      <c r="H294" s="2">
        <f t="shared" si="151"/>
        <v>0</v>
      </c>
      <c r="I294" s="2">
        <f t="shared" si="152"/>
        <v>0</v>
      </c>
      <c r="J294" s="2">
        <f t="shared" si="153"/>
        <v>0</v>
      </c>
      <c r="K294" s="2">
        <f t="shared" si="154"/>
        <v>0</v>
      </c>
      <c r="L294" s="2">
        <f t="shared" si="155"/>
        <v>0</v>
      </c>
      <c r="XJ294" cm="1">
        <f t="array" ref="XJ294:XL294">SUMIFS($M294:$GJ294,$M$1:$GJ$1,XJ$3:XL$3)</f>
        <v>0</v>
      </c>
      <c r="XK294">
        <v>0</v>
      </c>
      <c r="XL294">
        <v>0</v>
      </c>
      <c r="XM294" cm="1">
        <f t="array" ref="XM294">IFERROR(MAX((_xlfn.ANCHORARRAY(XJ294)-AVERAGE(_xlfn.ANCHORARRAY(XJ294)))/ AVERAGE(_xlfn.ANCHORARRAY(XJ294))),0)</f>
        <v>0</v>
      </c>
      <c r="XN294" t="str" cm="1">
        <f t="array" ref="XN294">IF(XM294&gt;$XN$1,_xlfn.XLOOKUP(MAX(_xlfn.ANCHORARRAY(XJ294)),_xlfn.ANCHORARRAY(XJ294),XJ$4:XL$4,""),"")</f>
        <v/>
      </c>
      <c r="XP294" cm="1">
        <f t="array" ref="XP294:XT294">SUMIFS($M294:$GJ294,$M$3:$GJ$3,XP$3:XT$3)</f>
        <v>0</v>
      </c>
      <c r="XQ294">
        <v>0</v>
      </c>
      <c r="XR294">
        <v>0</v>
      </c>
      <c r="XS294">
        <v>0</v>
      </c>
      <c r="XT294">
        <v>0</v>
      </c>
      <c r="XU294" cm="1">
        <f t="array" ref="XU294">IFERROR(MAX((_xlfn.ANCHORARRAY(XP294)-AVERAGE(_xlfn.ANCHORARRAY(XP294)))/ AVERAGE(_xlfn.ANCHORARRAY(XP294))),0)</f>
        <v>0</v>
      </c>
      <c r="XV294" t="str" cm="1">
        <f t="array" ref="XV294">IF(AND(XU294&gt;$XV$1,XN294&lt;&gt;""),_xlfn.XLOOKUP(MAX(_xlfn.ANCHORARRAY(XP294)),_xlfn.ANCHORARRAY(XP294),XP$4:XT$4,""),"")</f>
        <v/>
      </c>
      <c r="XX294" cm="1">
        <f t="array" ref="XX294:YG294">SUMIFS($M294:$GJ294,$M$2:$GJ$2,XX$3:YG$3)</f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 cm="1">
        <f t="array" ref="YH294">IFERROR(MAX((_xlfn.ANCHORARRAY(XX294)-AVERAGE(_xlfn.ANCHORARRAY(XX294)))/ AVERAGE(_xlfn.ANCHORARRAY(XX294))),0)</f>
        <v>0</v>
      </c>
      <c r="YI294" t="str" cm="1">
        <f t="array" ref="YI294">IF(YH294&gt;$YI$1,_xlfn.XLOOKUP(MAX(_xlfn.ANCHORARRAY(XX294)),_xlfn.ANCHORARRAY(XX294),XX$4:YG$4,""),"")</f>
        <v/>
      </c>
      <c r="YK294" t="str">
        <f t="shared" si="156"/>
        <v/>
      </c>
    </row>
    <row r="295" spans="2:661" x14ac:dyDescent="0.3">
      <c r="B295" s="2" t="str">
        <f t="shared" si="145"/>
        <v>CHA</v>
      </c>
      <c r="C295" s="2" t="str">
        <f t="shared" si="146"/>
        <v>CHA</v>
      </c>
      <c r="D295" s="2" t="str">
        <f t="shared" si="147"/>
        <v>CHA</v>
      </c>
      <c r="E295" s="2" t="str">
        <f t="shared" si="148"/>
        <v/>
      </c>
      <c r="F295" s="2" t="str">
        <f t="shared" si="149"/>
        <v/>
      </c>
      <c r="G295" s="2">
        <f t="shared" si="150"/>
        <v>0</v>
      </c>
      <c r="H295" s="2">
        <f t="shared" si="151"/>
        <v>0</v>
      </c>
      <c r="I295" s="2">
        <f t="shared" si="152"/>
        <v>0</v>
      </c>
      <c r="J295" s="2">
        <f t="shared" si="153"/>
        <v>0</v>
      </c>
      <c r="K295" s="2">
        <f t="shared" si="154"/>
        <v>0</v>
      </c>
      <c r="L295" s="2">
        <f t="shared" si="155"/>
        <v>0</v>
      </c>
      <c r="XJ295" cm="1">
        <f t="array" ref="XJ295:XL295">SUMIFS($M295:$GJ295,$M$1:$GJ$1,XJ$3:XL$3)</f>
        <v>0</v>
      </c>
      <c r="XK295">
        <v>0</v>
      </c>
      <c r="XL295">
        <v>0</v>
      </c>
      <c r="XM295" cm="1">
        <f t="array" ref="XM295">IFERROR(MAX((_xlfn.ANCHORARRAY(XJ295)-AVERAGE(_xlfn.ANCHORARRAY(XJ295)))/ AVERAGE(_xlfn.ANCHORARRAY(XJ295))),0)</f>
        <v>0</v>
      </c>
      <c r="XN295" t="str" cm="1">
        <f t="array" ref="XN295">IF(XM295&gt;$XN$1,_xlfn.XLOOKUP(MAX(_xlfn.ANCHORARRAY(XJ295)),_xlfn.ANCHORARRAY(XJ295),XJ$4:XL$4,""),"")</f>
        <v/>
      </c>
      <c r="XP295" cm="1">
        <f t="array" ref="XP295:XT295">SUMIFS($M295:$GJ295,$M$3:$GJ$3,XP$3:XT$3)</f>
        <v>0</v>
      </c>
      <c r="XQ295">
        <v>0</v>
      </c>
      <c r="XR295">
        <v>0</v>
      </c>
      <c r="XS295">
        <v>0</v>
      </c>
      <c r="XT295">
        <v>0</v>
      </c>
      <c r="XU295" cm="1">
        <f t="array" ref="XU295">IFERROR(MAX((_xlfn.ANCHORARRAY(XP295)-AVERAGE(_xlfn.ANCHORARRAY(XP295)))/ AVERAGE(_xlfn.ANCHORARRAY(XP295))),0)</f>
        <v>0</v>
      </c>
      <c r="XV295" t="str" cm="1">
        <f t="array" ref="XV295">IF(AND(XU295&gt;$XV$1,XN295&lt;&gt;""),_xlfn.XLOOKUP(MAX(_xlfn.ANCHORARRAY(XP295)),_xlfn.ANCHORARRAY(XP295),XP$4:XT$4,""),"")</f>
        <v/>
      </c>
      <c r="XX295" cm="1">
        <f t="array" ref="XX295:YG295">SUMIFS($M295:$GJ295,$M$2:$GJ$2,XX$3:YG$3)</f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 cm="1">
        <f t="array" ref="YH295">IFERROR(MAX((_xlfn.ANCHORARRAY(XX295)-AVERAGE(_xlfn.ANCHORARRAY(XX295)))/ AVERAGE(_xlfn.ANCHORARRAY(XX295))),0)</f>
        <v>0</v>
      </c>
      <c r="YI295" t="str" cm="1">
        <f t="array" ref="YI295">IF(YH295&gt;$YI$1,_xlfn.XLOOKUP(MAX(_xlfn.ANCHORARRAY(XX295)),_xlfn.ANCHORARRAY(XX295),XX$4:YG$4,""),"")</f>
        <v/>
      </c>
      <c r="YK295" t="str">
        <f t="shared" si="156"/>
        <v/>
      </c>
    </row>
    <row r="296" spans="2:661" x14ac:dyDescent="0.3">
      <c r="B296" s="2" t="str">
        <f t="shared" si="145"/>
        <v>CHA</v>
      </c>
      <c r="C296" s="2" t="str">
        <f t="shared" si="146"/>
        <v>CHA</v>
      </c>
      <c r="D296" s="2" t="str">
        <f t="shared" si="147"/>
        <v>CHA</v>
      </c>
      <c r="E296" s="2" t="str">
        <f t="shared" si="148"/>
        <v/>
      </c>
      <c r="F296" s="2" t="str">
        <f t="shared" si="149"/>
        <v/>
      </c>
      <c r="G296" s="2">
        <f t="shared" si="150"/>
        <v>0</v>
      </c>
      <c r="H296" s="2">
        <f t="shared" si="151"/>
        <v>0</v>
      </c>
      <c r="I296" s="2">
        <f t="shared" si="152"/>
        <v>0</v>
      </c>
      <c r="J296" s="2">
        <f t="shared" si="153"/>
        <v>0</v>
      </c>
      <c r="K296" s="2">
        <f t="shared" si="154"/>
        <v>0</v>
      </c>
      <c r="L296" s="2">
        <f t="shared" si="155"/>
        <v>0</v>
      </c>
      <c r="XJ296" cm="1">
        <f t="array" ref="XJ296:XL296">SUMIFS($M296:$GJ296,$M$1:$GJ$1,XJ$3:XL$3)</f>
        <v>0</v>
      </c>
      <c r="XK296">
        <v>0</v>
      </c>
      <c r="XL296">
        <v>0</v>
      </c>
      <c r="XM296" cm="1">
        <f t="array" ref="XM296">IFERROR(MAX((_xlfn.ANCHORARRAY(XJ296)-AVERAGE(_xlfn.ANCHORARRAY(XJ296)))/ AVERAGE(_xlfn.ANCHORARRAY(XJ296))),0)</f>
        <v>0</v>
      </c>
      <c r="XN296" t="str" cm="1">
        <f t="array" ref="XN296">IF(XM296&gt;$XN$1,_xlfn.XLOOKUP(MAX(_xlfn.ANCHORARRAY(XJ296)),_xlfn.ANCHORARRAY(XJ296),XJ$4:XL$4,""),"")</f>
        <v/>
      </c>
      <c r="XP296" cm="1">
        <f t="array" ref="XP296:XT296">SUMIFS($M296:$GJ296,$M$3:$GJ$3,XP$3:XT$3)</f>
        <v>0</v>
      </c>
      <c r="XQ296">
        <v>0</v>
      </c>
      <c r="XR296">
        <v>0</v>
      </c>
      <c r="XS296">
        <v>0</v>
      </c>
      <c r="XT296">
        <v>0</v>
      </c>
      <c r="XU296" cm="1">
        <f t="array" ref="XU296">IFERROR(MAX((_xlfn.ANCHORARRAY(XP296)-AVERAGE(_xlfn.ANCHORARRAY(XP296)))/ AVERAGE(_xlfn.ANCHORARRAY(XP296))),0)</f>
        <v>0</v>
      </c>
      <c r="XV296" t="str" cm="1">
        <f t="array" ref="XV296">IF(AND(XU296&gt;$XV$1,XN296&lt;&gt;""),_xlfn.XLOOKUP(MAX(_xlfn.ANCHORARRAY(XP296)),_xlfn.ANCHORARRAY(XP296),XP$4:XT$4,""),"")</f>
        <v/>
      </c>
      <c r="XX296" cm="1">
        <f t="array" ref="XX296:YG296">SUMIFS($M296:$GJ296,$M$2:$GJ$2,XX$3:YG$3)</f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 cm="1">
        <f t="array" ref="YH296">IFERROR(MAX((_xlfn.ANCHORARRAY(XX296)-AVERAGE(_xlfn.ANCHORARRAY(XX296)))/ AVERAGE(_xlfn.ANCHORARRAY(XX296))),0)</f>
        <v>0</v>
      </c>
      <c r="YI296" t="str" cm="1">
        <f t="array" ref="YI296">IF(YH296&gt;$YI$1,_xlfn.XLOOKUP(MAX(_xlfn.ANCHORARRAY(XX296)),_xlfn.ANCHORARRAY(XX296),XX$4:YG$4,""),"")</f>
        <v/>
      </c>
      <c r="YK296" t="str">
        <f t="shared" si="156"/>
        <v/>
      </c>
    </row>
    <row r="297" spans="2:661" x14ac:dyDescent="0.3">
      <c r="B297" s="2" t="str">
        <f t="shared" si="145"/>
        <v>CHA</v>
      </c>
      <c r="C297" s="2" t="str">
        <f t="shared" si="146"/>
        <v>CHA</v>
      </c>
      <c r="D297" s="2" t="str">
        <f t="shared" si="147"/>
        <v>CHA</v>
      </c>
      <c r="E297" s="2" t="str">
        <f t="shared" si="148"/>
        <v/>
      </c>
      <c r="F297" s="2" t="str">
        <f t="shared" si="149"/>
        <v/>
      </c>
      <c r="G297" s="2">
        <f t="shared" si="150"/>
        <v>0</v>
      </c>
      <c r="H297" s="2">
        <f t="shared" si="151"/>
        <v>0</v>
      </c>
      <c r="I297" s="2">
        <f t="shared" si="152"/>
        <v>0</v>
      </c>
      <c r="J297" s="2">
        <f t="shared" si="153"/>
        <v>0</v>
      </c>
      <c r="K297" s="2">
        <f t="shared" si="154"/>
        <v>0</v>
      </c>
      <c r="L297" s="2">
        <f t="shared" si="155"/>
        <v>0</v>
      </c>
      <c r="XJ297" cm="1">
        <f t="array" ref="XJ297:XL297">SUMIFS($M297:$GJ297,$M$1:$GJ$1,XJ$3:XL$3)</f>
        <v>0</v>
      </c>
      <c r="XK297">
        <v>0</v>
      </c>
      <c r="XL297">
        <v>0</v>
      </c>
      <c r="XM297" cm="1">
        <f t="array" ref="XM297">IFERROR(MAX((_xlfn.ANCHORARRAY(XJ297)-AVERAGE(_xlfn.ANCHORARRAY(XJ297)))/ AVERAGE(_xlfn.ANCHORARRAY(XJ297))),0)</f>
        <v>0</v>
      </c>
      <c r="XN297" t="str" cm="1">
        <f t="array" ref="XN297">IF(XM297&gt;$XN$1,_xlfn.XLOOKUP(MAX(_xlfn.ANCHORARRAY(XJ297)),_xlfn.ANCHORARRAY(XJ297),XJ$4:XL$4,""),"")</f>
        <v/>
      </c>
      <c r="XP297" cm="1">
        <f t="array" ref="XP297:XT297">SUMIFS($M297:$GJ297,$M$3:$GJ$3,XP$3:XT$3)</f>
        <v>0</v>
      </c>
      <c r="XQ297">
        <v>0</v>
      </c>
      <c r="XR297">
        <v>0</v>
      </c>
      <c r="XS297">
        <v>0</v>
      </c>
      <c r="XT297">
        <v>0</v>
      </c>
      <c r="XU297" cm="1">
        <f t="array" ref="XU297">IFERROR(MAX((_xlfn.ANCHORARRAY(XP297)-AVERAGE(_xlfn.ANCHORARRAY(XP297)))/ AVERAGE(_xlfn.ANCHORARRAY(XP297))),0)</f>
        <v>0</v>
      </c>
      <c r="XV297" t="str" cm="1">
        <f t="array" ref="XV297">IF(AND(XU297&gt;$XV$1,XN297&lt;&gt;""),_xlfn.XLOOKUP(MAX(_xlfn.ANCHORARRAY(XP297)),_xlfn.ANCHORARRAY(XP297),XP$4:XT$4,""),"")</f>
        <v/>
      </c>
      <c r="XX297" cm="1">
        <f t="array" ref="XX297:YG297">SUMIFS($M297:$GJ297,$M$2:$GJ$2,XX$3:YG$3)</f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 cm="1">
        <f t="array" ref="YH297">IFERROR(MAX((_xlfn.ANCHORARRAY(XX297)-AVERAGE(_xlfn.ANCHORARRAY(XX297)))/ AVERAGE(_xlfn.ANCHORARRAY(XX297))),0)</f>
        <v>0</v>
      </c>
      <c r="YI297" t="str" cm="1">
        <f t="array" ref="YI297">IF(YH297&gt;$YI$1,_xlfn.XLOOKUP(MAX(_xlfn.ANCHORARRAY(XX297)),_xlfn.ANCHORARRAY(XX297),XX$4:YG$4,""),"")</f>
        <v/>
      </c>
      <c r="YK297" t="str">
        <f t="shared" si="156"/>
        <v/>
      </c>
    </row>
    <row r="298" spans="2:661" x14ac:dyDescent="0.3">
      <c r="B298" s="2" t="str">
        <f t="shared" si="145"/>
        <v>CHA</v>
      </c>
      <c r="C298" s="2" t="str">
        <f t="shared" si="146"/>
        <v>CHA</v>
      </c>
      <c r="D298" s="2" t="str">
        <f t="shared" si="147"/>
        <v>CHA</v>
      </c>
      <c r="E298" s="2" t="str">
        <f t="shared" si="148"/>
        <v/>
      </c>
      <c r="F298" s="2" t="str">
        <f t="shared" si="149"/>
        <v/>
      </c>
      <c r="G298" s="2">
        <f t="shared" si="150"/>
        <v>0</v>
      </c>
      <c r="H298" s="2">
        <f t="shared" si="151"/>
        <v>0</v>
      </c>
      <c r="I298" s="2">
        <f t="shared" si="152"/>
        <v>0</v>
      </c>
      <c r="J298" s="2">
        <f t="shared" si="153"/>
        <v>0</v>
      </c>
      <c r="K298" s="2">
        <f t="shared" si="154"/>
        <v>0</v>
      </c>
      <c r="L298" s="2">
        <f t="shared" si="155"/>
        <v>0</v>
      </c>
      <c r="XJ298" cm="1">
        <f t="array" ref="XJ298:XL298">SUMIFS($M298:$GJ298,$M$1:$GJ$1,XJ$3:XL$3)</f>
        <v>0</v>
      </c>
      <c r="XK298">
        <v>0</v>
      </c>
      <c r="XL298">
        <v>0</v>
      </c>
      <c r="XM298" cm="1">
        <f t="array" ref="XM298">IFERROR(MAX((_xlfn.ANCHORARRAY(XJ298)-AVERAGE(_xlfn.ANCHORARRAY(XJ298)))/ AVERAGE(_xlfn.ANCHORARRAY(XJ298))),0)</f>
        <v>0</v>
      </c>
      <c r="XN298" t="str" cm="1">
        <f t="array" ref="XN298">IF(XM298&gt;$XN$1,_xlfn.XLOOKUP(MAX(_xlfn.ANCHORARRAY(XJ298)),_xlfn.ANCHORARRAY(XJ298),XJ$4:XL$4,""),"")</f>
        <v/>
      </c>
      <c r="XP298" cm="1">
        <f t="array" ref="XP298:XT298">SUMIFS($M298:$GJ298,$M$3:$GJ$3,XP$3:XT$3)</f>
        <v>0</v>
      </c>
      <c r="XQ298">
        <v>0</v>
      </c>
      <c r="XR298">
        <v>0</v>
      </c>
      <c r="XS298">
        <v>0</v>
      </c>
      <c r="XT298">
        <v>0</v>
      </c>
      <c r="XU298" cm="1">
        <f t="array" ref="XU298">IFERROR(MAX((_xlfn.ANCHORARRAY(XP298)-AVERAGE(_xlfn.ANCHORARRAY(XP298)))/ AVERAGE(_xlfn.ANCHORARRAY(XP298))),0)</f>
        <v>0</v>
      </c>
      <c r="XV298" t="str" cm="1">
        <f t="array" ref="XV298">IF(AND(XU298&gt;$XV$1,XN298&lt;&gt;""),_xlfn.XLOOKUP(MAX(_xlfn.ANCHORARRAY(XP298)),_xlfn.ANCHORARRAY(XP298),XP$4:XT$4,""),"")</f>
        <v/>
      </c>
      <c r="XX298" cm="1">
        <f t="array" ref="XX298:YG298">SUMIFS($M298:$GJ298,$M$2:$GJ$2,XX$3:YG$3)</f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 cm="1">
        <f t="array" ref="YH298">IFERROR(MAX((_xlfn.ANCHORARRAY(XX298)-AVERAGE(_xlfn.ANCHORARRAY(XX298)))/ AVERAGE(_xlfn.ANCHORARRAY(XX298))),0)</f>
        <v>0</v>
      </c>
      <c r="YI298" t="str" cm="1">
        <f t="array" ref="YI298">IF(YH298&gt;$YI$1,_xlfn.XLOOKUP(MAX(_xlfn.ANCHORARRAY(XX298)),_xlfn.ANCHORARRAY(XX298),XX$4:YG$4,""),"")</f>
        <v/>
      </c>
      <c r="YK298" t="str">
        <f t="shared" si="156"/>
        <v/>
      </c>
    </row>
    <row r="299" spans="2:661" x14ac:dyDescent="0.3">
      <c r="B299" s="2" t="str">
        <f t="shared" si="145"/>
        <v>CHA</v>
      </c>
      <c r="C299" s="2" t="str">
        <f t="shared" si="146"/>
        <v>CHA</v>
      </c>
      <c r="D299" s="2" t="str">
        <f t="shared" si="147"/>
        <v>CHA</v>
      </c>
      <c r="E299" s="2" t="str">
        <f t="shared" si="148"/>
        <v/>
      </c>
      <c r="F299" s="2" t="str">
        <f t="shared" si="149"/>
        <v/>
      </c>
      <c r="G299" s="2">
        <f t="shared" si="150"/>
        <v>0</v>
      </c>
      <c r="H299" s="2">
        <f t="shared" si="151"/>
        <v>0</v>
      </c>
      <c r="I299" s="2">
        <f t="shared" si="152"/>
        <v>0</v>
      </c>
      <c r="J299" s="2">
        <f t="shared" si="153"/>
        <v>0</v>
      </c>
      <c r="K299" s="2">
        <f t="shared" si="154"/>
        <v>0</v>
      </c>
      <c r="L299" s="2">
        <f t="shared" si="155"/>
        <v>0</v>
      </c>
      <c r="XJ299" cm="1">
        <f t="array" ref="XJ299:XL299">SUMIFS($M299:$GJ299,$M$1:$GJ$1,XJ$3:XL$3)</f>
        <v>0</v>
      </c>
      <c r="XK299">
        <v>0</v>
      </c>
      <c r="XL299">
        <v>0</v>
      </c>
      <c r="XM299" cm="1">
        <f t="array" ref="XM299">IFERROR(MAX((_xlfn.ANCHORARRAY(XJ299)-AVERAGE(_xlfn.ANCHORARRAY(XJ299)))/ AVERAGE(_xlfn.ANCHORARRAY(XJ299))),0)</f>
        <v>0</v>
      </c>
      <c r="XN299" t="str" cm="1">
        <f t="array" ref="XN299">IF(XM299&gt;$XN$1,_xlfn.XLOOKUP(MAX(_xlfn.ANCHORARRAY(XJ299)),_xlfn.ANCHORARRAY(XJ299),XJ$4:XL$4,""),"")</f>
        <v/>
      </c>
      <c r="XP299" cm="1">
        <f t="array" ref="XP299:XT299">SUMIFS($M299:$GJ299,$M$3:$GJ$3,XP$3:XT$3)</f>
        <v>0</v>
      </c>
      <c r="XQ299">
        <v>0</v>
      </c>
      <c r="XR299">
        <v>0</v>
      </c>
      <c r="XS299">
        <v>0</v>
      </c>
      <c r="XT299">
        <v>0</v>
      </c>
      <c r="XU299" cm="1">
        <f t="array" ref="XU299">IFERROR(MAX((_xlfn.ANCHORARRAY(XP299)-AVERAGE(_xlfn.ANCHORARRAY(XP299)))/ AVERAGE(_xlfn.ANCHORARRAY(XP299))),0)</f>
        <v>0</v>
      </c>
      <c r="XV299" t="str" cm="1">
        <f t="array" ref="XV299">IF(AND(XU299&gt;$XV$1,XN299&lt;&gt;""),_xlfn.XLOOKUP(MAX(_xlfn.ANCHORARRAY(XP299)),_xlfn.ANCHORARRAY(XP299),XP$4:XT$4,""),"")</f>
        <v/>
      </c>
      <c r="XX299" cm="1">
        <f t="array" ref="XX299:YG299">SUMIFS($M299:$GJ299,$M$2:$GJ$2,XX$3:YG$3)</f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 cm="1">
        <f t="array" ref="YH299">IFERROR(MAX((_xlfn.ANCHORARRAY(XX299)-AVERAGE(_xlfn.ANCHORARRAY(XX299)))/ AVERAGE(_xlfn.ANCHORARRAY(XX299))),0)</f>
        <v>0</v>
      </c>
      <c r="YI299" t="str" cm="1">
        <f t="array" ref="YI299">IF(YH299&gt;$YI$1,_xlfn.XLOOKUP(MAX(_xlfn.ANCHORARRAY(XX299)),_xlfn.ANCHORARRAY(XX299),XX$4:YG$4,""),"")</f>
        <v/>
      </c>
      <c r="YK299" t="str">
        <f t="shared" si="156"/>
        <v/>
      </c>
    </row>
    <row r="300" spans="2:661" x14ac:dyDescent="0.3">
      <c r="B300" s="2" t="str">
        <f t="shared" si="145"/>
        <v>CHA</v>
      </c>
      <c r="C300" s="2" t="str">
        <f t="shared" si="146"/>
        <v>CHA</v>
      </c>
      <c r="D300" s="2" t="str">
        <f t="shared" si="147"/>
        <v>CHA</v>
      </c>
      <c r="E300" s="2" t="str">
        <f t="shared" si="148"/>
        <v/>
      </c>
      <c r="F300" s="2" t="str">
        <f t="shared" si="149"/>
        <v/>
      </c>
      <c r="G300" s="2">
        <f t="shared" si="150"/>
        <v>0</v>
      </c>
      <c r="H300" s="2">
        <f t="shared" si="151"/>
        <v>0</v>
      </c>
      <c r="I300" s="2">
        <f t="shared" si="152"/>
        <v>0</v>
      </c>
      <c r="J300" s="2">
        <f t="shared" si="153"/>
        <v>0</v>
      </c>
      <c r="K300" s="2">
        <f t="shared" si="154"/>
        <v>0</v>
      </c>
      <c r="L300" s="2">
        <f t="shared" si="155"/>
        <v>0</v>
      </c>
      <c r="XJ300" cm="1">
        <f t="array" ref="XJ300:XL300">SUMIFS($M300:$GJ300,$M$1:$GJ$1,XJ$3:XL$3)</f>
        <v>0</v>
      </c>
      <c r="XK300">
        <v>0</v>
      </c>
      <c r="XL300">
        <v>0</v>
      </c>
      <c r="XM300" cm="1">
        <f t="array" ref="XM300">IFERROR(MAX((_xlfn.ANCHORARRAY(XJ300)-AVERAGE(_xlfn.ANCHORARRAY(XJ300)))/ AVERAGE(_xlfn.ANCHORARRAY(XJ300))),0)</f>
        <v>0</v>
      </c>
      <c r="XN300" t="str" cm="1">
        <f t="array" ref="XN300">IF(XM300&gt;$XN$1,_xlfn.XLOOKUP(MAX(_xlfn.ANCHORARRAY(XJ300)),_xlfn.ANCHORARRAY(XJ300),XJ$4:XL$4,""),"")</f>
        <v/>
      </c>
      <c r="XP300" cm="1">
        <f t="array" ref="XP300:XT300">SUMIFS($M300:$GJ300,$M$3:$GJ$3,XP$3:XT$3)</f>
        <v>0</v>
      </c>
      <c r="XQ300">
        <v>0</v>
      </c>
      <c r="XR300">
        <v>0</v>
      </c>
      <c r="XS300">
        <v>0</v>
      </c>
      <c r="XT300">
        <v>0</v>
      </c>
      <c r="XU300" cm="1">
        <f t="array" ref="XU300">IFERROR(MAX((_xlfn.ANCHORARRAY(XP300)-AVERAGE(_xlfn.ANCHORARRAY(XP300)))/ AVERAGE(_xlfn.ANCHORARRAY(XP300))),0)</f>
        <v>0</v>
      </c>
      <c r="XV300" t="str" cm="1">
        <f t="array" ref="XV300">IF(AND(XU300&gt;$XV$1,XN300&lt;&gt;""),_xlfn.XLOOKUP(MAX(_xlfn.ANCHORARRAY(XP300)),_xlfn.ANCHORARRAY(XP300),XP$4:XT$4,""),"")</f>
        <v/>
      </c>
      <c r="XX300" cm="1">
        <f t="array" ref="XX300:YG300">SUMIFS($M300:$GJ300,$M$2:$GJ$2,XX$3:YG$3)</f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 cm="1">
        <f t="array" ref="YH300">IFERROR(MAX((_xlfn.ANCHORARRAY(XX300)-AVERAGE(_xlfn.ANCHORARRAY(XX300)))/ AVERAGE(_xlfn.ANCHORARRAY(XX300))),0)</f>
        <v>0</v>
      </c>
      <c r="YI300" t="str" cm="1">
        <f t="array" ref="YI300">IF(YH300&gt;$YI$1,_xlfn.XLOOKUP(MAX(_xlfn.ANCHORARRAY(XX300)),_xlfn.ANCHORARRAY(XX300),XX$4:YG$4,""),"")</f>
        <v/>
      </c>
      <c r="YK300" t="str">
        <f t="shared" si="156"/>
        <v/>
      </c>
    </row>
    <row r="301" spans="2:661" x14ac:dyDescent="0.3">
      <c r="B301" s="2" t="str">
        <f t="shared" si="145"/>
        <v>CHA</v>
      </c>
      <c r="C301" s="2" t="str">
        <f t="shared" si="146"/>
        <v>CHA</v>
      </c>
      <c r="D301" s="2" t="str">
        <f t="shared" si="147"/>
        <v>CHA</v>
      </c>
      <c r="E301" s="2" t="str">
        <f t="shared" si="148"/>
        <v/>
      </c>
      <c r="F301" s="2" t="str">
        <f t="shared" si="149"/>
        <v/>
      </c>
      <c r="G301" s="2">
        <f t="shared" si="150"/>
        <v>0</v>
      </c>
      <c r="H301" s="2">
        <f t="shared" si="151"/>
        <v>0</v>
      </c>
      <c r="I301" s="2">
        <f t="shared" si="152"/>
        <v>0</v>
      </c>
      <c r="J301" s="2">
        <f t="shared" si="153"/>
        <v>0</v>
      </c>
      <c r="K301" s="2">
        <f t="shared" si="154"/>
        <v>0</v>
      </c>
      <c r="L301" s="2">
        <f t="shared" si="155"/>
        <v>0</v>
      </c>
      <c r="XJ301" cm="1">
        <f t="array" ref="XJ301:XL301">SUMIFS($M301:$GJ301,$M$1:$GJ$1,XJ$3:XL$3)</f>
        <v>0</v>
      </c>
      <c r="XK301">
        <v>0</v>
      </c>
      <c r="XL301">
        <v>0</v>
      </c>
      <c r="XM301" cm="1">
        <f t="array" ref="XM301">IFERROR(MAX((_xlfn.ANCHORARRAY(XJ301)-AVERAGE(_xlfn.ANCHORARRAY(XJ301)))/ AVERAGE(_xlfn.ANCHORARRAY(XJ301))),0)</f>
        <v>0</v>
      </c>
      <c r="XN301" t="str" cm="1">
        <f t="array" ref="XN301">IF(XM301&gt;$XN$1,_xlfn.XLOOKUP(MAX(_xlfn.ANCHORARRAY(XJ301)),_xlfn.ANCHORARRAY(XJ301),XJ$4:XL$4,""),"")</f>
        <v/>
      </c>
      <c r="XP301" cm="1">
        <f t="array" ref="XP301:XT301">SUMIFS($M301:$GJ301,$M$3:$GJ$3,XP$3:XT$3)</f>
        <v>0</v>
      </c>
      <c r="XQ301">
        <v>0</v>
      </c>
      <c r="XR301">
        <v>0</v>
      </c>
      <c r="XS301">
        <v>0</v>
      </c>
      <c r="XT301">
        <v>0</v>
      </c>
      <c r="XU301" cm="1">
        <f t="array" ref="XU301">IFERROR(MAX((_xlfn.ANCHORARRAY(XP301)-AVERAGE(_xlfn.ANCHORARRAY(XP301)))/ AVERAGE(_xlfn.ANCHORARRAY(XP301))),0)</f>
        <v>0</v>
      </c>
      <c r="XV301" t="str" cm="1">
        <f t="array" ref="XV301">IF(AND(XU301&gt;$XV$1,XN301&lt;&gt;""),_xlfn.XLOOKUP(MAX(_xlfn.ANCHORARRAY(XP301)),_xlfn.ANCHORARRAY(XP301),XP$4:XT$4,""),"")</f>
        <v/>
      </c>
      <c r="XX301" cm="1">
        <f t="array" ref="XX301:YG301">SUMIFS($M301:$GJ301,$M$2:$GJ$2,XX$3:YG$3)</f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 cm="1">
        <f t="array" ref="YH301">IFERROR(MAX((_xlfn.ANCHORARRAY(XX301)-AVERAGE(_xlfn.ANCHORARRAY(XX301)))/ AVERAGE(_xlfn.ANCHORARRAY(XX301))),0)</f>
        <v>0</v>
      </c>
      <c r="YI301" t="str" cm="1">
        <f t="array" ref="YI301">IF(YH301&gt;$YI$1,_xlfn.XLOOKUP(MAX(_xlfn.ANCHORARRAY(XX301)),_xlfn.ANCHORARRAY(XX301),XX$4:YG$4,""),"")</f>
        <v/>
      </c>
      <c r="YK301" t="str">
        <f t="shared" si="156"/>
        <v/>
      </c>
    </row>
    <row r="302" spans="2:661" x14ac:dyDescent="0.3">
      <c r="B302" s="2" t="str">
        <f t="shared" si="145"/>
        <v>CHA</v>
      </c>
      <c r="C302" s="2" t="str">
        <f t="shared" si="146"/>
        <v>CHA</v>
      </c>
      <c r="D302" s="2" t="str">
        <f t="shared" si="147"/>
        <v>CHA</v>
      </c>
      <c r="E302" s="2" t="str">
        <f t="shared" si="148"/>
        <v/>
      </c>
      <c r="F302" s="2" t="str">
        <f t="shared" si="149"/>
        <v/>
      </c>
      <c r="G302" s="2">
        <f t="shared" si="150"/>
        <v>0</v>
      </c>
      <c r="H302" s="2">
        <f t="shared" si="151"/>
        <v>0</v>
      </c>
      <c r="I302" s="2">
        <f t="shared" si="152"/>
        <v>0</v>
      </c>
      <c r="J302" s="2">
        <f t="shared" si="153"/>
        <v>0</v>
      </c>
      <c r="K302" s="2">
        <f t="shared" si="154"/>
        <v>0</v>
      </c>
      <c r="L302" s="2">
        <f t="shared" si="155"/>
        <v>0</v>
      </c>
      <c r="XJ302" cm="1">
        <f t="array" ref="XJ302:XL302">SUMIFS($M302:$GJ302,$M$1:$GJ$1,XJ$3:XL$3)</f>
        <v>0</v>
      </c>
      <c r="XK302">
        <v>0</v>
      </c>
      <c r="XL302">
        <v>0</v>
      </c>
      <c r="XM302" cm="1">
        <f t="array" ref="XM302">IFERROR(MAX((_xlfn.ANCHORARRAY(XJ302)-AVERAGE(_xlfn.ANCHORARRAY(XJ302)))/ AVERAGE(_xlfn.ANCHORARRAY(XJ302))),0)</f>
        <v>0</v>
      </c>
      <c r="XN302" t="str" cm="1">
        <f t="array" ref="XN302">IF(XM302&gt;$XN$1,_xlfn.XLOOKUP(MAX(_xlfn.ANCHORARRAY(XJ302)),_xlfn.ANCHORARRAY(XJ302),XJ$4:XL$4,""),"")</f>
        <v/>
      </c>
      <c r="XP302" cm="1">
        <f t="array" ref="XP302:XT302">SUMIFS($M302:$GJ302,$M$3:$GJ$3,XP$3:XT$3)</f>
        <v>0</v>
      </c>
      <c r="XQ302">
        <v>0</v>
      </c>
      <c r="XR302">
        <v>0</v>
      </c>
      <c r="XS302">
        <v>0</v>
      </c>
      <c r="XT302">
        <v>0</v>
      </c>
      <c r="XU302" cm="1">
        <f t="array" ref="XU302">IFERROR(MAX((_xlfn.ANCHORARRAY(XP302)-AVERAGE(_xlfn.ANCHORARRAY(XP302)))/ AVERAGE(_xlfn.ANCHORARRAY(XP302))),0)</f>
        <v>0</v>
      </c>
      <c r="XV302" t="str" cm="1">
        <f t="array" ref="XV302">IF(AND(XU302&gt;$XV$1,XN302&lt;&gt;""),_xlfn.XLOOKUP(MAX(_xlfn.ANCHORARRAY(XP302)),_xlfn.ANCHORARRAY(XP302),XP$4:XT$4,""),"")</f>
        <v/>
      </c>
      <c r="XX302" cm="1">
        <f t="array" ref="XX302:YG302">SUMIFS($M302:$GJ302,$M$2:$GJ$2,XX$3:YG$3)</f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 cm="1">
        <f t="array" ref="YH302">IFERROR(MAX((_xlfn.ANCHORARRAY(XX302)-AVERAGE(_xlfn.ANCHORARRAY(XX302)))/ AVERAGE(_xlfn.ANCHORARRAY(XX302))),0)</f>
        <v>0</v>
      </c>
      <c r="YI302" t="str" cm="1">
        <f t="array" ref="YI302">IF(YH302&gt;$YI$1,_xlfn.XLOOKUP(MAX(_xlfn.ANCHORARRAY(XX302)),_xlfn.ANCHORARRAY(XX302),XX$4:YG$4,""),"")</f>
        <v/>
      </c>
      <c r="YK302" t="str">
        <f t="shared" si="156"/>
        <v/>
      </c>
    </row>
    <row r="303" spans="2:661" x14ac:dyDescent="0.3">
      <c r="B303" s="2" t="str">
        <f t="shared" si="145"/>
        <v>CHA</v>
      </c>
      <c r="C303" s="2" t="str">
        <f t="shared" si="146"/>
        <v>CHA</v>
      </c>
      <c r="D303" s="2" t="str">
        <f t="shared" si="147"/>
        <v>CHA</v>
      </c>
      <c r="E303" s="2" t="str">
        <f t="shared" si="148"/>
        <v/>
      </c>
      <c r="F303" s="2" t="str">
        <f t="shared" si="149"/>
        <v/>
      </c>
      <c r="G303" s="2">
        <f t="shared" si="150"/>
        <v>0</v>
      </c>
      <c r="H303" s="2">
        <f t="shared" si="151"/>
        <v>0</v>
      </c>
      <c r="I303" s="2">
        <f t="shared" si="152"/>
        <v>0</v>
      </c>
      <c r="J303" s="2">
        <f t="shared" si="153"/>
        <v>0</v>
      </c>
      <c r="K303" s="2">
        <f t="shared" si="154"/>
        <v>0</v>
      </c>
      <c r="L303" s="2">
        <f t="shared" si="155"/>
        <v>0</v>
      </c>
      <c r="XJ303" cm="1">
        <f t="array" ref="XJ303:XL303">SUMIFS($M303:$GJ303,$M$1:$GJ$1,XJ$3:XL$3)</f>
        <v>0</v>
      </c>
      <c r="XK303">
        <v>0</v>
      </c>
      <c r="XL303">
        <v>0</v>
      </c>
      <c r="XM303" cm="1">
        <f t="array" ref="XM303">IFERROR(MAX((_xlfn.ANCHORARRAY(XJ303)-AVERAGE(_xlfn.ANCHORARRAY(XJ303)))/ AVERAGE(_xlfn.ANCHORARRAY(XJ303))),0)</f>
        <v>0</v>
      </c>
      <c r="XN303" t="str" cm="1">
        <f t="array" ref="XN303">IF(XM303&gt;$XN$1,_xlfn.XLOOKUP(MAX(_xlfn.ANCHORARRAY(XJ303)),_xlfn.ANCHORARRAY(XJ303),XJ$4:XL$4,""),"")</f>
        <v/>
      </c>
      <c r="XP303" cm="1">
        <f t="array" ref="XP303:XT303">SUMIFS($M303:$GJ303,$M$3:$GJ$3,XP$3:XT$3)</f>
        <v>0</v>
      </c>
      <c r="XQ303">
        <v>0</v>
      </c>
      <c r="XR303">
        <v>0</v>
      </c>
      <c r="XS303">
        <v>0</v>
      </c>
      <c r="XT303">
        <v>0</v>
      </c>
      <c r="XU303" cm="1">
        <f t="array" ref="XU303">IFERROR(MAX((_xlfn.ANCHORARRAY(XP303)-AVERAGE(_xlfn.ANCHORARRAY(XP303)))/ AVERAGE(_xlfn.ANCHORARRAY(XP303))),0)</f>
        <v>0</v>
      </c>
      <c r="XV303" t="str" cm="1">
        <f t="array" ref="XV303">IF(AND(XU303&gt;$XV$1,XN303&lt;&gt;""),_xlfn.XLOOKUP(MAX(_xlfn.ANCHORARRAY(XP303)),_xlfn.ANCHORARRAY(XP303),XP$4:XT$4,""),"")</f>
        <v/>
      </c>
      <c r="XX303" cm="1">
        <f t="array" ref="XX303:YG303">SUMIFS($M303:$GJ303,$M$2:$GJ$2,XX$3:YG$3)</f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 cm="1">
        <f t="array" ref="YH303">IFERROR(MAX((_xlfn.ANCHORARRAY(XX303)-AVERAGE(_xlfn.ANCHORARRAY(XX303)))/ AVERAGE(_xlfn.ANCHORARRAY(XX303))),0)</f>
        <v>0</v>
      </c>
      <c r="YI303" t="str" cm="1">
        <f t="array" ref="YI303">IF(YH303&gt;$YI$1,_xlfn.XLOOKUP(MAX(_xlfn.ANCHORARRAY(XX303)),_xlfn.ANCHORARRAY(XX303),XX$4:YG$4,""),"")</f>
        <v/>
      </c>
      <c r="YK303" t="str">
        <f t="shared" si="156"/>
        <v/>
      </c>
    </row>
    <row r="304" spans="2:661" x14ac:dyDescent="0.3">
      <c r="B304" s="2" t="str">
        <f t="shared" si="145"/>
        <v>CHA</v>
      </c>
      <c r="C304" s="2" t="str">
        <f t="shared" si="146"/>
        <v>CHA</v>
      </c>
      <c r="D304" s="2" t="str">
        <f t="shared" si="147"/>
        <v>CHA</v>
      </c>
      <c r="E304" s="2" t="str">
        <f t="shared" si="148"/>
        <v/>
      </c>
      <c r="F304" s="2" t="str">
        <f t="shared" si="149"/>
        <v/>
      </c>
      <c r="G304" s="2">
        <f t="shared" si="150"/>
        <v>0</v>
      </c>
      <c r="H304" s="2">
        <f t="shared" si="151"/>
        <v>0</v>
      </c>
      <c r="I304" s="2">
        <f t="shared" si="152"/>
        <v>0</v>
      </c>
      <c r="J304" s="2">
        <f t="shared" si="153"/>
        <v>0</v>
      </c>
      <c r="K304" s="2">
        <f t="shared" si="154"/>
        <v>0</v>
      </c>
      <c r="L304" s="2">
        <f t="shared" si="155"/>
        <v>0</v>
      </c>
      <c r="XJ304" cm="1">
        <f t="array" ref="XJ304:XL304">SUMIFS($M304:$GJ304,$M$1:$GJ$1,XJ$3:XL$3)</f>
        <v>0</v>
      </c>
      <c r="XK304">
        <v>0</v>
      </c>
      <c r="XL304">
        <v>0</v>
      </c>
      <c r="XM304" cm="1">
        <f t="array" ref="XM304">IFERROR(MAX((_xlfn.ANCHORARRAY(XJ304)-AVERAGE(_xlfn.ANCHORARRAY(XJ304)))/ AVERAGE(_xlfn.ANCHORARRAY(XJ304))),0)</f>
        <v>0</v>
      </c>
      <c r="XN304" t="str" cm="1">
        <f t="array" ref="XN304">IF(XM304&gt;$XN$1,_xlfn.XLOOKUP(MAX(_xlfn.ANCHORARRAY(XJ304)),_xlfn.ANCHORARRAY(XJ304),XJ$4:XL$4,""),"")</f>
        <v/>
      </c>
      <c r="XP304" cm="1">
        <f t="array" ref="XP304:XT304">SUMIFS($M304:$GJ304,$M$3:$GJ$3,XP$3:XT$3)</f>
        <v>0</v>
      </c>
      <c r="XQ304">
        <v>0</v>
      </c>
      <c r="XR304">
        <v>0</v>
      </c>
      <c r="XS304">
        <v>0</v>
      </c>
      <c r="XT304">
        <v>0</v>
      </c>
      <c r="XU304" cm="1">
        <f t="array" ref="XU304">IFERROR(MAX((_xlfn.ANCHORARRAY(XP304)-AVERAGE(_xlfn.ANCHORARRAY(XP304)))/ AVERAGE(_xlfn.ANCHORARRAY(XP304))),0)</f>
        <v>0</v>
      </c>
      <c r="XV304" t="str" cm="1">
        <f t="array" ref="XV304">IF(AND(XU304&gt;$XV$1,XN304&lt;&gt;""),_xlfn.XLOOKUP(MAX(_xlfn.ANCHORARRAY(XP304)),_xlfn.ANCHORARRAY(XP304),XP$4:XT$4,""),"")</f>
        <v/>
      </c>
      <c r="XX304" cm="1">
        <f t="array" ref="XX304:YG304">SUMIFS($M304:$GJ304,$M$2:$GJ$2,XX$3:YG$3)</f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 cm="1">
        <f t="array" ref="YH304">IFERROR(MAX((_xlfn.ANCHORARRAY(XX304)-AVERAGE(_xlfn.ANCHORARRAY(XX304)))/ AVERAGE(_xlfn.ANCHORARRAY(XX304))),0)</f>
        <v>0</v>
      </c>
      <c r="YI304" t="str" cm="1">
        <f t="array" ref="YI304">IF(YH304&gt;$YI$1,_xlfn.XLOOKUP(MAX(_xlfn.ANCHORARRAY(XX304)),_xlfn.ANCHORARRAY(XX304),XX$4:YG$4,""),"")</f>
        <v/>
      </c>
      <c r="YK304" t="str">
        <f t="shared" si="156"/>
        <v/>
      </c>
    </row>
    <row r="305" spans="2:661" x14ac:dyDescent="0.3">
      <c r="B305" s="2" t="str">
        <f t="shared" si="145"/>
        <v>CHA</v>
      </c>
      <c r="C305" s="2" t="str">
        <f t="shared" si="146"/>
        <v>CHA</v>
      </c>
      <c r="D305" s="2" t="str">
        <f t="shared" si="147"/>
        <v>CHA</v>
      </c>
      <c r="E305" s="2" t="str">
        <f t="shared" si="148"/>
        <v/>
      </c>
      <c r="F305" s="2" t="str">
        <f t="shared" si="149"/>
        <v/>
      </c>
      <c r="G305" s="2">
        <f t="shared" si="150"/>
        <v>0</v>
      </c>
      <c r="H305" s="2">
        <f t="shared" si="151"/>
        <v>0</v>
      </c>
      <c r="I305" s="2">
        <f t="shared" si="152"/>
        <v>0</v>
      </c>
      <c r="J305" s="2">
        <f t="shared" si="153"/>
        <v>0</v>
      </c>
      <c r="K305" s="2">
        <f t="shared" si="154"/>
        <v>0</v>
      </c>
      <c r="L305" s="2">
        <f t="shared" si="155"/>
        <v>0</v>
      </c>
      <c r="XJ305" cm="1">
        <f t="array" ref="XJ305:XL305">SUMIFS($M305:$GJ305,$M$1:$GJ$1,XJ$3:XL$3)</f>
        <v>0</v>
      </c>
      <c r="XK305">
        <v>0</v>
      </c>
      <c r="XL305">
        <v>0</v>
      </c>
      <c r="XM305" cm="1">
        <f t="array" ref="XM305">IFERROR(MAX((_xlfn.ANCHORARRAY(XJ305)-AVERAGE(_xlfn.ANCHORARRAY(XJ305)))/ AVERAGE(_xlfn.ANCHORARRAY(XJ305))),0)</f>
        <v>0</v>
      </c>
      <c r="XN305" t="str" cm="1">
        <f t="array" ref="XN305">IF(XM305&gt;$XN$1,_xlfn.XLOOKUP(MAX(_xlfn.ANCHORARRAY(XJ305)),_xlfn.ANCHORARRAY(XJ305),XJ$4:XL$4,""),"")</f>
        <v/>
      </c>
      <c r="XP305" cm="1">
        <f t="array" ref="XP305:XT305">SUMIFS($M305:$GJ305,$M$3:$GJ$3,XP$3:XT$3)</f>
        <v>0</v>
      </c>
      <c r="XQ305">
        <v>0</v>
      </c>
      <c r="XR305">
        <v>0</v>
      </c>
      <c r="XS305">
        <v>0</v>
      </c>
      <c r="XT305">
        <v>0</v>
      </c>
      <c r="XU305" cm="1">
        <f t="array" ref="XU305">IFERROR(MAX((_xlfn.ANCHORARRAY(XP305)-AVERAGE(_xlfn.ANCHORARRAY(XP305)))/ AVERAGE(_xlfn.ANCHORARRAY(XP305))),0)</f>
        <v>0</v>
      </c>
      <c r="XV305" t="str" cm="1">
        <f t="array" ref="XV305">IF(AND(XU305&gt;$XV$1,XN305&lt;&gt;""),_xlfn.XLOOKUP(MAX(_xlfn.ANCHORARRAY(XP305)),_xlfn.ANCHORARRAY(XP305),XP$4:XT$4,""),"")</f>
        <v/>
      </c>
      <c r="XX305" cm="1">
        <f t="array" ref="XX305:YG305">SUMIFS($M305:$GJ305,$M$2:$GJ$2,XX$3:YG$3)</f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</v>
      </c>
      <c r="YE305">
        <v>0</v>
      </c>
      <c r="YF305">
        <v>0</v>
      </c>
      <c r="YG305">
        <v>0</v>
      </c>
      <c r="YH305" cm="1">
        <f t="array" ref="YH305">IFERROR(MAX((_xlfn.ANCHORARRAY(XX305)-AVERAGE(_xlfn.ANCHORARRAY(XX305)))/ AVERAGE(_xlfn.ANCHORARRAY(XX305))),0)</f>
        <v>0</v>
      </c>
      <c r="YI305" t="str" cm="1">
        <f t="array" ref="YI305">IF(YH305&gt;$YI$1,_xlfn.XLOOKUP(MAX(_xlfn.ANCHORARRAY(XX305)),_xlfn.ANCHORARRAY(XX305),XX$4:YG$4,""),"")</f>
        <v/>
      </c>
      <c r="YK305" t="str">
        <f t="shared" si="156"/>
        <v/>
      </c>
    </row>
    <row r="306" spans="2:661" x14ac:dyDescent="0.3">
      <c r="B306" s="2" t="str">
        <f t="shared" si="145"/>
        <v>CHA</v>
      </c>
      <c r="C306" s="2" t="str">
        <f t="shared" si="146"/>
        <v>CHA</v>
      </c>
      <c r="D306" s="2" t="str">
        <f t="shared" si="147"/>
        <v>CHA</v>
      </c>
      <c r="E306" s="2" t="str">
        <f t="shared" si="148"/>
        <v/>
      </c>
      <c r="F306" s="2" t="str">
        <f t="shared" si="149"/>
        <v/>
      </c>
      <c r="G306" s="2">
        <f t="shared" si="150"/>
        <v>0</v>
      </c>
      <c r="H306" s="2">
        <f t="shared" si="151"/>
        <v>0</v>
      </c>
      <c r="I306" s="2">
        <f t="shared" si="152"/>
        <v>0</v>
      </c>
      <c r="J306" s="2">
        <f t="shared" si="153"/>
        <v>0</v>
      </c>
      <c r="K306" s="2">
        <f t="shared" si="154"/>
        <v>0</v>
      </c>
      <c r="L306" s="2">
        <f t="shared" si="155"/>
        <v>0</v>
      </c>
      <c r="XJ306" cm="1">
        <f t="array" ref="XJ306:XL306">SUMIFS($M306:$GJ306,$M$1:$GJ$1,XJ$3:XL$3)</f>
        <v>0</v>
      </c>
      <c r="XK306">
        <v>0</v>
      </c>
      <c r="XL306">
        <v>0</v>
      </c>
      <c r="XM306" cm="1">
        <f t="array" ref="XM306">IFERROR(MAX((_xlfn.ANCHORARRAY(XJ306)-AVERAGE(_xlfn.ANCHORARRAY(XJ306)))/ AVERAGE(_xlfn.ANCHORARRAY(XJ306))),0)</f>
        <v>0</v>
      </c>
      <c r="XN306" t="str" cm="1">
        <f t="array" ref="XN306">IF(XM306&gt;$XN$1,_xlfn.XLOOKUP(MAX(_xlfn.ANCHORARRAY(XJ306)),_xlfn.ANCHORARRAY(XJ306),XJ$4:XL$4,""),"")</f>
        <v/>
      </c>
      <c r="XP306" cm="1">
        <f t="array" ref="XP306:XT306">SUMIFS($M306:$GJ306,$M$3:$GJ$3,XP$3:XT$3)</f>
        <v>0</v>
      </c>
      <c r="XQ306">
        <v>0</v>
      </c>
      <c r="XR306">
        <v>0</v>
      </c>
      <c r="XS306">
        <v>0</v>
      </c>
      <c r="XT306">
        <v>0</v>
      </c>
      <c r="XU306" cm="1">
        <f t="array" ref="XU306">IFERROR(MAX((_xlfn.ANCHORARRAY(XP306)-AVERAGE(_xlfn.ANCHORARRAY(XP306)))/ AVERAGE(_xlfn.ANCHORARRAY(XP306))),0)</f>
        <v>0</v>
      </c>
      <c r="XV306" t="str" cm="1">
        <f t="array" ref="XV306">IF(AND(XU306&gt;$XV$1,XN306&lt;&gt;""),_xlfn.XLOOKUP(MAX(_xlfn.ANCHORARRAY(XP306)),_xlfn.ANCHORARRAY(XP306),XP$4:XT$4,""),"")</f>
        <v/>
      </c>
      <c r="XX306" cm="1">
        <f t="array" ref="XX306:YG306">SUMIFS($M306:$GJ306,$M$2:$GJ$2,XX$3:YG$3)</f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 cm="1">
        <f t="array" ref="YH306">IFERROR(MAX((_xlfn.ANCHORARRAY(XX306)-AVERAGE(_xlfn.ANCHORARRAY(XX306)))/ AVERAGE(_xlfn.ANCHORARRAY(XX306))),0)</f>
        <v>0</v>
      </c>
      <c r="YI306" t="str" cm="1">
        <f t="array" ref="YI306">IF(YH306&gt;$YI$1,_xlfn.XLOOKUP(MAX(_xlfn.ANCHORARRAY(XX306)),_xlfn.ANCHORARRAY(XX306),XX$4:YG$4,""),"")</f>
        <v/>
      </c>
      <c r="YK306" t="str">
        <f t="shared" si="156"/>
        <v/>
      </c>
    </row>
    <row r="307" spans="2:661" x14ac:dyDescent="0.3">
      <c r="B307" s="2" t="str">
        <f t="shared" si="145"/>
        <v>CHA</v>
      </c>
      <c r="C307" s="2" t="str">
        <f t="shared" si="146"/>
        <v>CHA</v>
      </c>
      <c r="D307" s="2" t="str">
        <f t="shared" si="147"/>
        <v>CHA</v>
      </c>
      <c r="E307" s="2" t="str">
        <f t="shared" si="148"/>
        <v/>
      </c>
      <c r="F307" s="2" t="str">
        <f t="shared" si="149"/>
        <v/>
      </c>
      <c r="G307" s="2">
        <f t="shared" si="150"/>
        <v>0</v>
      </c>
      <c r="H307" s="2">
        <f t="shared" si="151"/>
        <v>0</v>
      </c>
      <c r="I307" s="2">
        <f t="shared" si="152"/>
        <v>0</v>
      </c>
      <c r="J307" s="2">
        <f t="shared" si="153"/>
        <v>0</v>
      </c>
      <c r="K307" s="2">
        <f t="shared" si="154"/>
        <v>0</v>
      </c>
      <c r="L307" s="2">
        <f t="shared" si="155"/>
        <v>0</v>
      </c>
      <c r="XJ307" cm="1">
        <f t="array" ref="XJ307:XL307">SUMIFS($M307:$GJ307,$M$1:$GJ$1,XJ$3:XL$3)</f>
        <v>0</v>
      </c>
      <c r="XK307">
        <v>0</v>
      </c>
      <c r="XL307">
        <v>0</v>
      </c>
      <c r="XM307" cm="1">
        <f t="array" ref="XM307">IFERROR(MAX((_xlfn.ANCHORARRAY(XJ307)-AVERAGE(_xlfn.ANCHORARRAY(XJ307)))/ AVERAGE(_xlfn.ANCHORARRAY(XJ307))),0)</f>
        <v>0</v>
      </c>
      <c r="XN307" t="str" cm="1">
        <f t="array" ref="XN307">IF(XM307&gt;$XN$1,_xlfn.XLOOKUP(MAX(_xlfn.ANCHORARRAY(XJ307)),_xlfn.ANCHORARRAY(XJ307),XJ$4:XL$4,""),"")</f>
        <v/>
      </c>
      <c r="XP307" cm="1">
        <f t="array" ref="XP307:XT307">SUMIFS($M307:$GJ307,$M$3:$GJ$3,XP$3:XT$3)</f>
        <v>0</v>
      </c>
      <c r="XQ307">
        <v>0</v>
      </c>
      <c r="XR307">
        <v>0</v>
      </c>
      <c r="XS307">
        <v>0</v>
      </c>
      <c r="XT307">
        <v>0</v>
      </c>
      <c r="XU307" cm="1">
        <f t="array" ref="XU307">IFERROR(MAX((_xlfn.ANCHORARRAY(XP307)-AVERAGE(_xlfn.ANCHORARRAY(XP307)))/ AVERAGE(_xlfn.ANCHORARRAY(XP307))),0)</f>
        <v>0</v>
      </c>
      <c r="XV307" t="str" cm="1">
        <f t="array" ref="XV307">IF(AND(XU307&gt;$XV$1,XN307&lt;&gt;""),_xlfn.XLOOKUP(MAX(_xlfn.ANCHORARRAY(XP307)),_xlfn.ANCHORARRAY(XP307),XP$4:XT$4,""),"")</f>
        <v/>
      </c>
      <c r="XX307" cm="1">
        <f t="array" ref="XX307:YG307">SUMIFS($M307:$GJ307,$M$2:$GJ$2,XX$3:YG$3)</f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 cm="1">
        <f t="array" ref="YH307">IFERROR(MAX((_xlfn.ANCHORARRAY(XX307)-AVERAGE(_xlfn.ANCHORARRAY(XX307)))/ AVERAGE(_xlfn.ANCHORARRAY(XX307))),0)</f>
        <v>0</v>
      </c>
      <c r="YI307" t="str" cm="1">
        <f t="array" ref="YI307">IF(YH307&gt;$YI$1,_xlfn.XLOOKUP(MAX(_xlfn.ANCHORARRAY(XX307)),_xlfn.ANCHORARRAY(XX307),XX$4:YG$4,""),"")</f>
        <v/>
      </c>
      <c r="YK307" t="str">
        <f t="shared" si="156"/>
        <v/>
      </c>
    </row>
    <row r="308" spans="2:661" x14ac:dyDescent="0.3">
      <c r="B308" s="2" t="str">
        <f t="shared" si="145"/>
        <v>CHA</v>
      </c>
      <c r="C308" s="2" t="str">
        <f t="shared" si="146"/>
        <v>CHA</v>
      </c>
      <c r="D308" s="2" t="str">
        <f t="shared" si="147"/>
        <v>CHA</v>
      </c>
      <c r="E308" s="2" t="str">
        <f t="shared" si="148"/>
        <v/>
      </c>
      <c r="F308" s="2" t="str">
        <f t="shared" si="149"/>
        <v/>
      </c>
      <c r="G308" s="2">
        <f t="shared" si="150"/>
        <v>0</v>
      </c>
      <c r="H308" s="2">
        <f t="shared" si="151"/>
        <v>0</v>
      </c>
      <c r="I308" s="2">
        <f t="shared" si="152"/>
        <v>0</v>
      </c>
      <c r="J308" s="2">
        <f t="shared" si="153"/>
        <v>0</v>
      </c>
      <c r="K308" s="2">
        <f t="shared" si="154"/>
        <v>0</v>
      </c>
      <c r="L308" s="2">
        <f t="shared" si="155"/>
        <v>0</v>
      </c>
      <c r="XJ308" cm="1">
        <f t="array" ref="XJ308:XL308">SUMIFS($M308:$GJ308,$M$1:$GJ$1,XJ$3:XL$3)</f>
        <v>0</v>
      </c>
      <c r="XK308">
        <v>0</v>
      </c>
      <c r="XL308">
        <v>0</v>
      </c>
      <c r="XM308" cm="1">
        <f t="array" ref="XM308">IFERROR(MAX((_xlfn.ANCHORARRAY(XJ308)-AVERAGE(_xlfn.ANCHORARRAY(XJ308)))/ AVERAGE(_xlfn.ANCHORARRAY(XJ308))),0)</f>
        <v>0</v>
      </c>
      <c r="XN308" t="str" cm="1">
        <f t="array" ref="XN308">IF(XM308&gt;$XN$1,_xlfn.XLOOKUP(MAX(_xlfn.ANCHORARRAY(XJ308)),_xlfn.ANCHORARRAY(XJ308),XJ$4:XL$4,""),"")</f>
        <v/>
      </c>
      <c r="XP308" cm="1">
        <f t="array" ref="XP308:XT308">SUMIFS($M308:$GJ308,$M$3:$GJ$3,XP$3:XT$3)</f>
        <v>0</v>
      </c>
      <c r="XQ308">
        <v>0</v>
      </c>
      <c r="XR308">
        <v>0</v>
      </c>
      <c r="XS308">
        <v>0</v>
      </c>
      <c r="XT308">
        <v>0</v>
      </c>
      <c r="XU308" cm="1">
        <f t="array" ref="XU308">IFERROR(MAX((_xlfn.ANCHORARRAY(XP308)-AVERAGE(_xlfn.ANCHORARRAY(XP308)))/ AVERAGE(_xlfn.ANCHORARRAY(XP308))),0)</f>
        <v>0</v>
      </c>
      <c r="XV308" t="str" cm="1">
        <f t="array" ref="XV308">IF(AND(XU308&gt;$XV$1,XN308&lt;&gt;""),_xlfn.XLOOKUP(MAX(_xlfn.ANCHORARRAY(XP308)),_xlfn.ANCHORARRAY(XP308),XP$4:XT$4,""),"")</f>
        <v/>
      </c>
      <c r="XX308" cm="1">
        <f t="array" ref="XX308:YG308">SUMIFS($M308:$GJ308,$M$2:$GJ$2,XX$3:YG$3)</f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 cm="1">
        <f t="array" ref="YH308">IFERROR(MAX((_xlfn.ANCHORARRAY(XX308)-AVERAGE(_xlfn.ANCHORARRAY(XX308)))/ AVERAGE(_xlfn.ANCHORARRAY(XX308))),0)</f>
        <v>0</v>
      </c>
      <c r="YI308" t="str" cm="1">
        <f t="array" ref="YI308">IF(YH308&gt;$YI$1,_xlfn.XLOOKUP(MAX(_xlfn.ANCHORARRAY(XX308)),_xlfn.ANCHORARRAY(XX308),XX$4:YG$4,""),"")</f>
        <v/>
      </c>
      <c r="YK308" t="str">
        <f t="shared" si="156"/>
        <v/>
      </c>
    </row>
    <row r="309" spans="2:661" x14ac:dyDescent="0.3">
      <c r="B309" s="2" t="str">
        <f t="shared" si="145"/>
        <v>CHA</v>
      </c>
      <c r="C309" s="2" t="str">
        <f t="shared" si="146"/>
        <v>CHA</v>
      </c>
      <c r="D309" s="2" t="str">
        <f t="shared" si="147"/>
        <v>CHA</v>
      </c>
      <c r="E309" s="2" t="str">
        <f t="shared" si="148"/>
        <v/>
      </c>
      <c r="F309" s="2" t="str">
        <f t="shared" si="149"/>
        <v/>
      </c>
      <c r="G309" s="2">
        <f t="shared" si="150"/>
        <v>0</v>
      </c>
      <c r="H309" s="2">
        <f t="shared" si="151"/>
        <v>0</v>
      </c>
      <c r="I309" s="2">
        <f t="shared" si="152"/>
        <v>0</v>
      </c>
      <c r="J309" s="2">
        <f t="shared" si="153"/>
        <v>0</v>
      </c>
      <c r="K309" s="2">
        <f t="shared" si="154"/>
        <v>0</v>
      </c>
      <c r="L309" s="2">
        <f t="shared" si="155"/>
        <v>0</v>
      </c>
      <c r="XJ309" cm="1">
        <f t="array" ref="XJ309:XL309">SUMIFS($M309:$GJ309,$M$1:$GJ$1,XJ$3:XL$3)</f>
        <v>0</v>
      </c>
      <c r="XK309">
        <v>0</v>
      </c>
      <c r="XL309">
        <v>0</v>
      </c>
      <c r="XM309" cm="1">
        <f t="array" ref="XM309">IFERROR(MAX((_xlfn.ANCHORARRAY(XJ309)-AVERAGE(_xlfn.ANCHORARRAY(XJ309)))/ AVERAGE(_xlfn.ANCHORARRAY(XJ309))),0)</f>
        <v>0</v>
      </c>
      <c r="XN309" t="str" cm="1">
        <f t="array" ref="XN309">IF(XM309&gt;$XN$1,_xlfn.XLOOKUP(MAX(_xlfn.ANCHORARRAY(XJ309)),_xlfn.ANCHORARRAY(XJ309),XJ$4:XL$4,""),"")</f>
        <v/>
      </c>
      <c r="XP309" cm="1">
        <f t="array" ref="XP309:XT309">SUMIFS($M309:$GJ309,$M$3:$GJ$3,XP$3:XT$3)</f>
        <v>0</v>
      </c>
      <c r="XQ309">
        <v>0</v>
      </c>
      <c r="XR309">
        <v>0</v>
      </c>
      <c r="XS309">
        <v>0</v>
      </c>
      <c r="XT309">
        <v>0</v>
      </c>
      <c r="XU309" cm="1">
        <f t="array" ref="XU309">IFERROR(MAX((_xlfn.ANCHORARRAY(XP309)-AVERAGE(_xlfn.ANCHORARRAY(XP309)))/ AVERAGE(_xlfn.ANCHORARRAY(XP309))),0)</f>
        <v>0</v>
      </c>
      <c r="XV309" t="str" cm="1">
        <f t="array" ref="XV309">IF(AND(XU309&gt;$XV$1,XN309&lt;&gt;""),_xlfn.XLOOKUP(MAX(_xlfn.ANCHORARRAY(XP309)),_xlfn.ANCHORARRAY(XP309),XP$4:XT$4,""),"")</f>
        <v/>
      </c>
      <c r="XX309" cm="1">
        <f t="array" ref="XX309:YG309">SUMIFS($M309:$GJ309,$M$2:$GJ$2,XX$3:YG$3)</f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 cm="1">
        <f t="array" ref="YH309">IFERROR(MAX((_xlfn.ANCHORARRAY(XX309)-AVERAGE(_xlfn.ANCHORARRAY(XX309)))/ AVERAGE(_xlfn.ANCHORARRAY(XX309))),0)</f>
        <v>0</v>
      </c>
      <c r="YI309" t="str" cm="1">
        <f t="array" ref="YI309">IF(YH309&gt;$YI$1,_xlfn.XLOOKUP(MAX(_xlfn.ANCHORARRAY(XX309)),_xlfn.ANCHORARRAY(XX309),XX$4:YG$4,""),"")</f>
        <v/>
      </c>
      <c r="YK309" t="str">
        <f t="shared" si="156"/>
        <v/>
      </c>
    </row>
    <row r="310" spans="2:661" x14ac:dyDescent="0.3">
      <c r="B310" s="2" t="str">
        <f t="shared" si="145"/>
        <v>CHA</v>
      </c>
      <c r="C310" s="2" t="str">
        <f t="shared" si="146"/>
        <v>CHA</v>
      </c>
      <c r="D310" s="2" t="str">
        <f t="shared" si="147"/>
        <v>CHA</v>
      </c>
      <c r="E310" s="2" t="str">
        <f t="shared" si="148"/>
        <v/>
      </c>
      <c r="F310" s="2" t="str">
        <f t="shared" si="149"/>
        <v/>
      </c>
      <c r="G310" s="2">
        <f t="shared" si="150"/>
        <v>0</v>
      </c>
      <c r="H310" s="2">
        <f t="shared" si="151"/>
        <v>0</v>
      </c>
      <c r="I310" s="2">
        <f t="shared" si="152"/>
        <v>0</v>
      </c>
      <c r="J310" s="2">
        <f t="shared" si="153"/>
        <v>0</v>
      </c>
      <c r="K310" s="2">
        <f t="shared" si="154"/>
        <v>0</v>
      </c>
      <c r="L310" s="2">
        <f t="shared" si="155"/>
        <v>0</v>
      </c>
      <c r="XJ310" cm="1">
        <f t="array" ref="XJ310:XL310">SUMIFS($M310:$GJ310,$M$1:$GJ$1,XJ$3:XL$3)</f>
        <v>0</v>
      </c>
      <c r="XK310">
        <v>0</v>
      </c>
      <c r="XL310">
        <v>0</v>
      </c>
      <c r="XM310" cm="1">
        <f t="array" ref="XM310">IFERROR(MAX((_xlfn.ANCHORARRAY(XJ310)-AVERAGE(_xlfn.ANCHORARRAY(XJ310)))/ AVERAGE(_xlfn.ANCHORARRAY(XJ310))),0)</f>
        <v>0</v>
      </c>
      <c r="XN310" t="str" cm="1">
        <f t="array" ref="XN310">IF(XM310&gt;$XN$1,_xlfn.XLOOKUP(MAX(_xlfn.ANCHORARRAY(XJ310)),_xlfn.ANCHORARRAY(XJ310),XJ$4:XL$4,""),"")</f>
        <v/>
      </c>
      <c r="XP310" cm="1">
        <f t="array" ref="XP310:XT310">SUMIFS($M310:$GJ310,$M$3:$GJ$3,XP$3:XT$3)</f>
        <v>0</v>
      </c>
      <c r="XQ310">
        <v>0</v>
      </c>
      <c r="XR310">
        <v>0</v>
      </c>
      <c r="XS310">
        <v>0</v>
      </c>
      <c r="XT310">
        <v>0</v>
      </c>
      <c r="XU310" cm="1">
        <f t="array" ref="XU310">IFERROR(MAX((_xlfn.ANCHORARRAY(XP310)-AVERAGE(_xlfn.ANCHORARRAY(XP310)))/ AVERAGE(_xlfn.ANCHORARRAY(XP310))),0)</f>
        <v>0</v>
      </c>
      <c r="XV310" t="str" cm="1">
        <f t="array" ref="XV310">IF(AND(XU310&gt;$XV$1,XN310&lt;&gt;""),_xlfn.XLOOKUP(MAX(_xlfn.ANCHORARRAY(XP310)),_xlfn.ANCHORARRAY(XP310),XP$4:XT$4,""),"")</f>
        <v/>
      </c>
      <c r="XX310" cm="1">
        <f t="array" ref="XX310:YG310">SUMIFS($M310:$GJ310,$M$2:$GJ$2,XX$3:YG$3)</f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 cm="1">
        <f t="array" ref="YH310">IFERROR(MAX((_xlfn.ANCHORARRAY(XX310)-AVERAGE(_xlfn.ANCHORARRAY(XX310)))/ AVERAGE(_xlfn.ANCHORARRAY(XX310))),0)</f>
        <v>0</v>
      </c>
      <c r="YI310" t="str" cm="1">
        <f t="array" ref="YI310">IF(YH310&gt;$YI$1,_xlfn.XLOOKUP(MAX(_xlfn.ANCHORARRAY(XX310)),_xlfn.ANCHORARRAY(XX310),XX$4:YG$4,""),"")</f>
        <v/>
      </c>
      <c r="YK310" t="str">
        <f t="shared" si="156"/>
        <v/>
      </c>
    </row>
    <row r="311" spans="2:661" x14ac:dyDescent="0.3">
      <c r="B311" s="2" t="str">
        <f t="shared" si="145"/>
        <v>CHA</v>
      </c>
      <c r="C311" s="2" t="str">
        <f t="shared" si="146"/>
        <v>CHA</v>
      </c>
      <c r="D311" s="2" t="str">
        <f t="shared" si="147"/>
        <v>CHA</v>
      </c>
      <c r="E311" s="2" t="str">
        <f t="shared" si="148"/>
        <v/>
      </c>
      <c r="F311" s="2" t="str">
        <f t="shared" si="149"/>
        <v/>
      </c>
      <c r="G311" s="2">
        <f t="shared" si="150"/>
        <v>0</v>
      </c>
      <c r="H311" s="2">
        <f t="shared" si="151"/>
        <v>0</v>
      </c>
      <c r="I311" s="2">
        <f t="shared" si="152"/>
        <v>0</v>
      </c>
      <c r="J311" s="2">
        <f t="shared" si="153"/>
        <v>0</v>
      </c>
      <c r="K311" s="2">
        <f t="shared" si="154"/>
        <v>0</v>
      </c>
      <c r="L311" s="2">
        <f t="shared" si="155"/>
        <v>0</v>
      </c>
      <c r="XJ311" cm="1">
        <f t="array" ref="XJ311:XL311">SUMIFS($M311:$GJ311,$M$1:$GJ$1,XJ$3:XL$3)</f>
        <v>0</v>
      </c>
      <c r="XK311">
        <v>0</v>
      </c>
      <c r="XL311">
        <v>0</v>
      </c>
      <c r="XM311" cm="1">
        <f t="array" ref="XM311">IFERROR(MAX((_xlfn.ANCHORARRAY(XJ311)-AVERAGE(_xlfn.ANCHORARRAY(XJ311)))/ AVERAGE(_xlfn.ANCHORARRAY(XJ311))),0)</f>
        <v>0</v>
      </c>
      <c r="XN311" t="str" cm="1">
        <f t="array" ref="XN311">IF(XM311&gt;$XN$1,_xlfn.XLOOKUP(MAX(_xlfn.ANCHORARRAY(XJ311)),_xlfn.ANCHORARRAY(XJ311),XJ$4:XL$4,""),"")</f>
        <v/>
      </c>
      <c r="XP311" cm="1">
        <f t="array" ref="XP311:XT311">SUMIFS($M311:$GJ311,$M$3:$GJ$3,XP$3:XT$3)</f>
        <v>0</v>
      </c>
      <c r="XQ311">
        <v>0</v>
      </c>
      <c r="XR311">
        <v>0</v>
      </c>
      <c r="XS311">
        <v>0</v>
      </c>
      <c r="XT311">
        <v>0</v>
      </c>
      <c r="XU311" cm="1">
        <f t="array" ref="XU311">IFERROR(MAX((_xlfn.ANCHORARRAY(XP311)-AVERAGE(_xlfn.ANCHORARRAY(XP311)))/ AVERAGE(_xlfn.ANCHORARRAY(XP311))),0)</f>
        <v>0</v>
      </c>
      <c r="XV311" t="str" cm="1">
        <f t="array" ref="XV311">IF(AND(XU311&gt;$XV$1,XN311&lt;&gt;""),_xlfn.XLOOKUP(MAX(_xlfn.ANCHORARRAY(XP311)),_xlfn.ANCHORARRAY(XP311),XP$4:XT$4,""),"")</f>
        <v/>
      </c>
      <c r="XX311" cm="1">
        <f t="array" ref="XX311:YG311">SUMIFS($M311:$GJ311,$M$2:$GJ$2,XX$3:YG$3)</f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 cm="1">
        <f t="array" ref="YH311">IFERROR(MAX((_xlfn.ANCHORARRAY(XX311)-AVERAGE(_xlfn.ANCHORARRAY(XX311)))/ AVERAGE(_xlfn.ANCHORARRAY(XX311))),0)</f>
        <v>0</v>
      </c>
      <c r="YI311" t="str" cm="1">
        <f t="array" ref="YI311">IF(YH311&gt;$YI$1,_xlfn.XLOOKUP(MAX(_xlfn.ANCHORARRAY(XX311)),_xlfn.ANCHORARRAY(XX311),XX$4:YG$4,""),"")</f>
        <v/>
      </c>
      <c r="YK311" t="str">
        <f t="shared" si="156"/>
        <v/>
      </c>
    </row>
    <row r="312" spans="2:661" x14ac:dyDescent="0.3">
      <c r="B312" s="2" t="str">
        <f t="shared" si="145"/>
        <v>CHA</v>
      </c>
      <c r="C312" s="2" t="str">
        <f t="shared" si="146"/>
        <v>CHA</v>
      </c>
      <c r="D312" s="2" t="str">
        <f t="shared" si="147"/>
        <v>CHA</v>
      </c>
      <c r="E312" s="2" t="str">
        <f t="shared" si="148"/>
        <v/>
      </c>
      <c r="F312" s="2" t="str">
        <f t="shared" si="149"/>
        <v/>
      </c>
      <c r="G312" s="2">
        <f t="shared" si="150"/>
        <v>0</v>
      </c>
      <c r="H312" s="2">
        <f t="shared" si="151"/>
        <v>0</v>
      </c>
      <c r="I312" s="2">
        <f t="shared" si="152"/>
        <v>0</v>
      </c>
      <c r="J312" s="2">
        <f t="shared" si="153"/>
        <v>0</v>
      </c>
      <c r="K312" s="2">
        <f t="shared" si="154"/>
        <v>0</v>
      </c>
      <c r="L312" s="2">
        <f t="shared" si="155"/>
        <v>0</v>
      </c>
      <c r="XJ312" cm="1">
        <f t="array" ref="XJ312:XL312">SUMIFS($M312:$GJ312,$M$1:$GJ$1,XJ$3:XL$3)</f>
        <v>0</v>
      </c>
      <c r="XK312">
        <v>0</v>
      </c>
      <c r="XL312">
        <v>0</v>
      </c>
      <c r="XM312" cm="1">
        <f t="array" ref="XM312">IFERROR(MAX((_xlfn.ANCHORARRAY(XJ312)-AVERAGE(_xlfn.ANCHORARRAY(XJ312)))/ AVERAGE(_xlfn.ANCHORARRAY(XJ312))),0)</f>
        <v>0</v>
      </c>
      <c r="XN312" t="str" cm="1">
        <f t="array" ref="XN312">IF(XM312&gt;$XN$1,_xlfn.XLOOKUP(MAX(_xlfn.ANCHORARRAY(XJ312)),_xlfn.ANCHORARRAY(XJ312),XJ$4:XL$4,""),"")</f>
        <v/>
      </c>
      <c r="XP312" cm="1">
        <f t="array" ref="XP312:XT312">SUMIFS($M312:$GJ312,$M$3:$GJ$3,XP$3:XT$3)</f>
        <v>0</v>
      </c>
      <c r="XQ312">
        <v>0</v>
      </c>
      <c r="XR312">
        <v>0</v>
      </c>
      <c r="XS312">
        <v>0</v>
      </c>
      <c r="XT312">
        <v>0</v>
      </c>
      <c r="XU312" cm="1">
        <f t="array" ref="XU312">IFERROR(MAX((_xlfn.ANCHORARRAY(XP312)-AVERAGE(_xlfn.ANCHORARRAY(XP312)))/ AVERAGE(_xlfn.ANCHORARRAY(XP312))),0)</f>
        <v>0</v>
      </c>
      <c r="XV312" t="str" cm="1">
        <f t="array" ref="XV312">IF(AND(XU312&gt;$XV$1,XN312&lt;&gt;""),_xlfn.XLOOKUP(MAX(_xlfn.ANCHORARRAY(XP312)),_xlfn.ANCHORARRAY(XP312),XP$4:XT$4,""),"")</f>
        <v/>
      </c>
      <c r="XX312" cm="1">
        <f t="array" ref="XX312:YG312">SUMIFS($M312:$GJ312,$M$2:$GJ$2,XX$3:YG$3)</f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 cm="1">
        <f t="array" ref="YH312">IFERROR(MAX((_xlfn.ANCHORARRAY(XX312)-AVERAGE(_xlfn.ANCHORARRAY(XX312)))/ AVERAGE(_xlfn.ANCHORARRAY(XX312))),0)</f>
        <v>0</v>
      </c>
      <c r="YI312" t="str" cm="1">
        <f t="array" ref="YI312">IF(YH312&gt;$YI$1,_xlfn.XLOOKUP(MAX(_xlfn.ANCHORARRAY(XX312)),_xlfn.ANCHORARRAY(XX312),XX$4:YG$4,""),"")</f>
        <v/>
      </c>
      <c r="YK312" t="str">
        <f t="shared" si="156"/>
        <v/>
      </c>
    </row>
    <row r="313" spans="2:661" x14ac:dyDescent="0.3">
      <c r="B313" s="2" t="str">
        <f t="shared" si="145"/>
        <v>CHA</v>
      </c>
      <c r="C313" s="2" t="str">
        <f t="shared" si="146"/>
        <v>CHA</v>
      </c>
      <c r="D313" s="2" t="str">
        <f t="shared" si="147"/>
        <v>CHA</v>
      </c>
      <c r="E313" s="2" t="str">
        <f t="shared" si="148"/>
        <v/>
      </c>
      <c r="F313" s="2" t="str">
        <f t="shared" si="149"/>
        <v/>
      </c>
      <c r="G313" s="2">
        <f t="shared" si="150"/>
        <v>0</v>
      </c>
      <c r="H313" s="2">
        <f t="shared" si="151"/>
        <v>0</v>
      </c>
      <c r="I313" s="2">
        <f t="shared" si="152"/>
        <v>0</v>
      </c>
      <c r="J313" s="2">
        <f t="shared" si="153"/>
        <v>0</v>
      </c>
      <c r="K313" s="2">
        <f t="shared" si="154"/>
        <v>0</v>
      </c>
      <c r="L313" s="2">
        <f t="shared" si="155"/>
        <v>0</v>
      </c>
      <c r="XJ313" cm="1">
        <f t="array" ref="XJ313:XL313">SUMIFS($M313:$GJ313,$M$1:$GJ$1,XJ$3:XL$3)</f>
        <v>0</v>
      </c>
      <c r="XK313">
        <v>0</v>
      </c>
      <c r="XL313">
        <v>0</v>
      </c>
      <c r="XM313" cm="1">
        <f t="array" ref="XM313">IFERROR(MAX((_xlfn.ANCHORARRAY(XJ313)-AVERAGE(_xlfn.ANCHORARRAY(XJ313)))/ AVERAGE(_xlfn.ANCHORARRAY(XJ313))),0)</f>
        <v>0</v>
      </c>
      <c r="XN313" t="str" cm="1">
        <f t="array" ref="XN313">IF(XM313&gt;$XN$1,_xlfn.XLOOKUP(MAX(_xlfn.ANCHORARRAY(XJ313)),_xlfn.ANCHORARRAY(XJ313),XJ$4:XL$4,""),"")</f>
        <v/>
      </c>
      <c r="XP313" cm="1">
        <f t="array" ref="XP313:XT313">SUMIFS($M313:$GJ313,$M$3:$GJ$3,XP$3:XT$3)</f>
        <v>0</v>
      </c>
      <c r="XQ313">
        <v>0</v>
      </c>
      <c r="XR313">
        <v>0</v>
      </c>
      <c r="XS313">
        <v>0</v>
      </c>
      <c r="XT313">
        <v>0</v>
      </c>
      <c r="XU313" cm="1">
        <f t="array" ref="XU313">IFERROR(MAX((_xlfn.ANCHORARRAY(XP313)-AVERAGE(_xlfn.ANCHORARRAY(XP313)))/ AVERAGE(_xlfn.ANCHORARRAY(XP313))),0)</f>
        <v>0</v>
      </c>
      <c r="XV313" t="str" cm="1">
        <f t="array" ref="XV313">IF(AND(XU313&gt;$XV$1,XN313&lt;&gt;""),_xlfn.XLOOKUP(MAX(_xlfn.ANCHORARRAY(XP313)),_xlfn.ANCHORARRAY(XP313),XP$4:XT$4,""),"")</f>
        <v/>
      </c>
      <c r="XX313" cm="1">
        <f t="array" ref="XX313:YG313">SUMIFS($M313:$GJ313,$M$2:$GJ$2,XX$3:YG$3)</f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 cm="1">
        <f t="array" ref="YH313">IFERROR(MAX((_xlfn.ANCHORARRAY(XX313)-AVERAGE(_xlfn.ANCHORARRAY(XX313)))/ AVERAGE(_xlfn.ANCHORARRAY(XX313))),0)</f>
        <v>0</v>
      </c>
      <c r="YI313" t="str" cm="1">
        <f t="array" ref="YI313">IF(YH313&gt;$YI$1,_xlfn.XLOOKUP(MAX(_xlfn.ANCHORARRAY(XX313)),_xlfn.ANCHORARRAY(XX313),XX$4:YG$4,""),"")</f>
        <v/>
      </c>
      <c r="YK313" t="str">
        <f t="shared" si="156"/>
        <v/>
      </c>
    </row>
    <row r="314" spans="2:661" x14ac:dyDescent="0.3">
      <c r="B314" s="2" t="str">
        <f t="shared" si="145"/>
        <v>CHA</v>
      </c>
      <c r="C314" s="2" t="str">
        <f t="shared" si="146"/>
        <v>CHA</v>
      </c>
      <c r="D314" s="2" t="str">
        <f t="shared" si="147"/>
        <v>CHA</v>
      </c>
      <c r="E314" s="2" t="str">
        <f t="shared" si="148"/>
        <v/>
      </c>
      <c r="F314" s="2" t="str">
        <f t="shared" si="149"/>
        <v/>
      </c>
      <c r="G314" s="2">
        <f t="shared" si="150"/>
        <v>0</v>
      </c>
      <c r="H314" s="2">
        <f t="shared" si="151"/>
        <v>0</v>
      </c>
      <c r="I314" s="2">
        <f t="shared" si="152"/>
        <v>0</v>
      </c>
      <c r="J314" s="2">
        <f t="shared" si="153"/>
        <v>0</v>
      </c>
      <c r="K314" s="2">
        <f t="shared" si="154"/>
        <v>0</v>
      </c>
      <c r="L314" s="2">
        <f t="shared" si="155"/>
        <v>0</v>
      </c>
      <c r="XJ314" cm="1">
        <f t="array" ref="XJ314:XL314">SUMIFS($M314:$GJ314,$M$1:$GJ$1,XJ$3:XL$3)</f>
        <v>0</v>
      </c>
      <c r="XK314">
        <v>0</v>
      </c>
      <c r="XL314">
        <v>0</v>
      </c>
      <c r="XM314" cm="1">
        <f t="array" ref="XM314">IFERROR(MAX((_xlfn.ANCHORARRAY(XJ314)-AVERAGE(_xlfn.ANCHORARRAY(XJ314)))/ AVERAGE(_xlfn.ANCHORARRAY(XJ314))),0)</f>
        <v>0</v>
      </c>
      <c r="XN314" t="str" cm="1">
        <f t="array" ref="XN314">IF(XM314&gt;$XN$1,_xlfn.XLOOKUP(MAX(_xlfn.ANCHORARRAY(XJ314)),_xlfn.ANCHORARRAY(XJ314),XJ$4:XL$4,""),"")</f>
        <v/>
      </c>
      <c r="XP314" cm="1">
        <f t="array" ref="XP314:XT314">SUMIFS($M314:$GJ314,$M$3:$GJ$3,XP$3:XT$3)</f>
        <v>0</v>
      </c>
      <c r="XQ314">
        <v>0</v>
      </c>
      <c r="XR314">
        <v>0</v>
      </c>
      <c r="XS314">
        <v>0</v>
      </c>
      <c r="XT314">
        <v>0</v>
      </c>
      <c r="XU314" cm="1">
        <f t="array" ref="XU314">IFERROR(MAX((_xlfn.ANCHORARRAY(XP314)-AVERAGE(_xlfn.ANCHORARRAY(XP314)))/ AVERAGE(_xlfn.ANCHORARRAY(XP314))),0)</f>
        <v>0</v>
      </c>
      <c r="XV314" t="str" cm="1">
        <f t="array" ref="XV314">IF(AND(XU314&gt;$XV$1,XN314&lt;&gt;""),_xlfn.XLOOKUP(MAX(_xlfn.ANCHORARRAY(XP314)),_xlfn.ANCHORARRAY(XP314),XP$4:XT$4,""),"")</f>
        <v/>
      </c>
      <c r="XX314" cm="1">
        <f t="array" ref="XX314:YG314">SUMIFS($M314:$GJ314,$M$2:$GJ$2,XX$3:YG$3)</f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 cm="1">
        <f t="array" ref="YH314">IFERROR(MAX((_xlfn.ANCHORARRAY(XX314)-AVERAGE(_xlfn.ANCHORARRAY(XX314)))/ AVERAGE(_xlfn.ANCHORARRAY(XX314))),0)</f>
        <v>0</v>
      </c>
      <c r="YI314" t="str" cm="1">
        <f t="array" ref="YI314">IF(YH314&gt;$YI$1,_xlfn.XLOOKUP(MAX(_xlfn.ANCHORARRAY(XX314)),_xlfn.ANCHORARRAY(XX314),XX$4:YG$4,""),"")</f>
        <v/>
      </c>
      <c r="YK314" t="str">
        <f t="shared" si="156"/>
        <v/>
      </c>
    </row>
    <row r="315" spans="2:661" x14ac:dyDescent="0.3">
      <c r="B315" s="2" t="str">
        <f t="shared" si="145"/>
        <v>CHA</v>
      </c>
      <c r="C315" s="2" t="str">
        <f t="shared" si="146"/>
        <v>CHA</v>
      </c>
      <c r="D315" s="2" t="str">
        <f t="shared" si="147"/>
        <v>CHA</v>
      </c>
      <c r="E315" s="2" t="str">
        <f t="shared" si="148"/>
        <v/>
      </c>
      <c r="F315" s="2" t="str">
        <f t="shared" si="149"/>
        <v/>
      </c>
      <c r="G315" s="2">
        <f t="shared" si="150"/>
        <v>0</v>
      </c>
      <c r="H315" s="2">
        <f t="shared" si="151"/>
        <v>0</v>
      </c>
      <c r="I315" s="2">
        <f t="shared" si="152"/>
        <v>0</v>
      </c>
      <c r="J315" s="2">
        <f t="shared" si="153"/>
        <v>0</v>
      </c>
      <c r="K315" s="2">
        <f t="shared" si="154"/>
        <v>0</v>
      </c>
      <c r="L315" s="2">
        <f t="shared" si="155"/>
        <v>0</v>
      </c>
      <c r="XJ315" cm="1">
        <f t="array" ref="XJ315:XL315">SUMIFS($M315:$GJ315,$M$1:$GJ$1,XJ$3:XL$3)</f>
        <v>0</v>
      </c>
      <c r="XK315">
        <v>0</v>
      </c>
      <c r="XL315">
        <v>0</v>
      </c>
      <c r="XM315" cm="1">
        <f t="array" ref="XM315">IFERROR(MAX((_xlfn.ANCHORARRAY(XJ315)-AVERAGE(_xlfn.ANCHORARRAY(XJ315)))/ AVERAGE(_xlfn.ANCHORARRAY(XJ315))),0)</f>
        <v>0</v>
      </c>
      <c r="XN315" t="str" cm="1">
        <f t="array" ref="XN315">IF(XM315&gt;$XN$1,_xlfn.XLOOKUP(MAX(_xlfn.ANCHORARRAY(XJ315)),_xlfn.ANCHORARRAY(XJ315),XJ$4:XL$4,""),"")</f>
        <v/>
      </c>
      <c r="XP315" cm="1">
        <f t="array" ref="XP315:XT315">SUMIFS($M315:$GJ315,$M$3:$GJ$3,XP$3:XT$3)</f>
        <v>0</v>
      </c>
      <c r="XQ315">
        <v>0</v>
      </c>
      <c r="XR315">
        <v>0</v>
      </c>
      <c r="XS315">
        <v>0</v>
      </c>
      <c r="XT315">
        <v>0</v>
      </c>
      <c r="XU315" cm="1">
        <f t="array" ref="XU315">IFERROR(MAX((_xlfn.ANCHORARRAY(XP315)-AVERAGE(_xlfn.ANCHORARRAY(XP315)))/ AVERAGE(_xlfn.ANCHORARRAY(XP315))),0)</f>
        <v>0</v>
      </c>
      <c r="XV315" t="str" cm="1">
        <f t="array" ref="XV315">IF(AND(XU315&gt;$XV$1,XN315&lt;&gt;""),_xlfn.XLOOKUP(MAX(_xlfn.ANCHORARRAY(XP315)),_xlfn.ANCHORARRAY(XP315),XP$4:XT$4,""),"")</f>
        <v/>
      </c>
      <c r="XX315" cm="1">
        <f t="array" ref="XX315:YG315">SUMIFS($M315:$GJ315,$M$2:$GJ$2,XX$3:YG$3)</f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 cm="1">
        <f t="array" ref="YH315">IFERROR(MAX((_xlfn.ANCHORARRAY(XX315)-AVERAGE(_xlfn.ANCHORARRAY(XX315)))/ AVERAGE(_xlfn.ANCHORARRAY(XX315))),0)</f>
        <v>0</v>
      </c>
      <c r="YI315" t="str" cm="1">
        <f t="array" ref="YI315">IF(YH315&gt;$YI$1,_xlfn.XLOOKUP(MAX(_xlfn.ANCHORARRAY(XX315)),_xlfn.ANCHORARRAY(XX315),XX$4:YG$4,""),"")</f>
        <v/>
      </c>
      <c r="YK315" t="str">
        <f t="shared" si="156"/>
        <v/>
      </c>
    </row>
    <row r="316" spans="2:661" x14ac:dyDescent="0.3">
      <c r="B316" s="2" t="str">
        <f t="shared" si="145"/>
        <v>CHA</v>
      </c>
      <c r="C316" s="2" t="str">
        <f t="shared" si="146"/>
        <v>CHA</v>
      </c>
      <c r="D316" s="2" t="str">
        <f t="shared" si="147"/>
        <v>CHA</v>
      </c>
      <c r="E316" s="2" t="str">
        <f t="shared" si="148"/>
        <v/>
      </c>
      <c r="F316" s="2" t="str">
        <f t="shared" si="149"/>
        <v/>
      </c>
      <c r="G316" s="2">
        <f t="shared" si="150"/>
        <v>0</v>
      </c>
      <c r="H316" s="2">
        <f t="shared" si="151"/>
        <v>0</v>
      </c>
      <c r="I316" s="2">
        <f t="shared" si="152"/>
        <v>0</v>
      </c>
      <c r="J316" s="2">
        <f t="shared" si="153"/>
        <v>0</v>
      </c>
      <c r="K316" s="2">
        <f t="shared" si="154"/>
        <v>0</v>
      </c>
      <c r="L316" s="2">
        <f t="shared" si="155"/>
        <v>0</v>
      </c>
      <c r="XJ316" cm="1">
        <f t="array" ref="XJ316:XL316">SUMIFS($M316:$GJ316,$M$1:$GJ$1,XJ$3:XL$3)</f>
        <v>0</v>
      </c>
      <c r="XK316">
        <v>0</v>
      </c>
      <c r="XL316">
        <v>0</v>
      </c>
      <c r="XM316" cm="1">
        <f t="array" ref="XM316">IFERROR(MAX((_xlfn.ANCHORARRAY(XJ316)-AVERAGE(_xlfn.ANCHORARRAY(XJ316)))/ AVERAGE(_xlfn.ANCHORARRAY(XJ316))),0)</f>
        <v>0</v>
      </c>
      <c r="XN316" t="str" cm="1">
        <f t="array" ref="XN316">IF(XM316&gt;$XN$1,_xlfn.XLOOKUP(MAX(_xlfn.ANCHORARRAY(XJ316)),_xlfn.ANCHORARRAY(XJ316),XJ$4:XL$4,""),"")</f>
        <v/>
      </c>
      <c r="XP316" cm="1">
        <f t="array" ref="XP316:XT316">SUMIFS($M316:$GJ316,$M$3:$GJ$3,XP$3:XT$3)</f>
        <v>0</v>
      </c>
      <c r="XQ316">
        <v>0</v>
      </c>
      <c r="XR316">
        <v>0</v>
      </c>
      <c r="XS316">
        <v>0</v>
      </c>
      <c r="XT316">
        <v>0</v>
      </c>
      <c r="XU316" cm="1">
        <f t="array" ref="XU316">IFERROR(MAX((_xlfn.ANCHORARRAY(XP316)-AVERAGE(_xlfn.ANCHORARRAY(XP316)))/ AVERAGE(_xlfn.ANCHORARRAY(XP316))),0)</f>
        <v>0</v>
      </c>
      <c r="XV316" t="str" cm="1">
        <f t="array" ref="XV316">IF(AND(XU316&gt;$XV$1,XN316&lt;&gt;""),_xlfn.XLOOKUP(MAX(_xlfn.ANCHORARRAY(XP316)),_xlfn.ANCHORARRAY(XP316),XP$4:XT$4,""),"")</f>
        <v/>
      </c>
      <c r="XX316" cm="1">
        <f t="array" ref="XX316:YG316">SUMIFS($M316:$GJ316,$M$2:$GJ$2,XX$3:YG$3)</f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 cm="1">
        <f t="array" ref="YH316">IFERROR(MAX((_xlfn.ANCHORARRAY(XX316)-AVERAGE(_xlfn.ANCHORARRAY(XX316)))/ AVERAGE(_xlfn.ANCHORARRAY(XX316))),0)</f>
        <v>0</v>
      </c>
      <c r="YI316" t="str" cm="1">
        <f t="array" ref="YI316">IF(YH316&gt;$YI$1,_xlfn.XLOOKUP(MAX(_xlfn.ANCHORARRAY(XX316)),_xlfn.ANCHORARRAY(XX316),XX$4:YG$4,""),"")</f>
        <v/>
      </c>
      <c r="YK316" t="str">
        <f t="shared" si="156"/>
        <v/>
      </c>
    </row>
    <row r="317" spans="2:661" x14ac:dyDescent="0.3">
      <c r="B317" s="2" t="str">
        <f t="shared" si="145"/>
        <v>CHA</v>
      </c>
      <c r="C317" s="2" t="str">
        <f t="shared" si="146"/>
        <v>CHA</v>
      </c>
      <c r="D317" s="2" t="str">
        <f t="shared" si="147"/>
        <v>CHA</v>
      </c>
      <c r="E317" s="2" t="str">
        <f t="shared" si="148"/>
        <v/>
      </c>
      <c r="F317" s="2" t="str">
        <f t="shared" si="149"/>
        <v/>
      </c>
      <c r="G317" s="2">
        <f t="shared" si="150"/>
        <v>0</v>
      </c>
      <c r="H317" s="2">
        <f t="shared" si="151"/>
        <v>0</v>
      </c>
      <c r="I317" s="2">
        <f t="shared" si="152"/>
        <v>0</v>
      </c>
      <c r="J317" s="2">
        <f t="shared" si="153"/>
        <v>0</v>
      </c>
      <c r="K317" s="2">
        <f t="shared" si="154"/>
        <v>0</v>
      </c>
      <c r="L317" s="2">
        <f t="shared" si="155"/>
        <v>0</v>
      </c>
      <c r="XJ317" cm="1">
        <f t="array" ref="XJ317:XL317">SUMIFS($M317:$GJ317,$M$1:$GJ$1,XJ$3:XL$3)</f>
        <v>0</v>
      </c>
      <c r="XK317">
        <v>0</v>
      </c>
      <c r="XL317">
        <v>0</v>
      </c>
      <c r="XM317" cm="1">
        <f t="array" ref="XM317">IFERROR(MAX((_xlfn.ANCHORARRAY(XJ317)-AVERAGE(_xlfn.ANCHORARRAY(XJ317)))/ AVERAGE(_xlfn.ANCHORARRAY(XJ317))),0)</f>
        <v>0</v>
      </c>
      <c r="XN317" t="str" cm="1">
        <f t="array" ref="XN317">IF(XM317&gt;$XN$1,_xlfn.XLOOKUP(MAX(_xlfn.ANCHORARRAY(XJ317)),_xlfn.ANCHORARRAY(XJ317),XJ$4:XL$4,""),"")</f>
        <v/>
      </c>
      <c r="XP317" cm="1">
        <f t="array" ref="XP317:XT317">SUMIFS($M317:$GJ317,$M$3:$GJ$3,XP$3:XT$3)</f>
        <v>0</v>
      </c>
      <c r="XQ317">
        <v>0</v>
      </c>
      <c r="XR317">
        <v>0</v>
      </c>
      <c r="XS317">
        <v>0</v>
      </c>
      <c r="XT317">
        <v>0</v>
      </c>
      <c r="XU317" cm="1">
        <f t="array" ref="XU317">IFERROR(MAX((_xlfn.ANCHORARRAY(XP317)-AVERAGE(_xlfn.ANCHORARRAY(XP317)))/ AVERAGE(_xlfn.ANCHORARRAY(XP317))),0)</f>
        <v>0</v>
      </c>
      <c r="XV317" t="str" cm="1">
        <f t="array" ref="XV317">IF(AND(XU317&gt;$XV$1,XN317&lt;&gt;""),_xlfn.XLOOKUP(MAX(_xlfn.ANCHORARRAY(XP317)),_xlfn.ANCHORARRAY(XP317),XP$4:XT$4,""),"")</f>
        <v/>
      </c>
      <c r="XX317" cm="1">
        <f t="array" ref="XX317:YG317">SUMIFS($M317:$GJ317,$M$2:$GJ$2,XX$3:YG$3)</f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 cm="1">
        <f t="array" ref="YH317">IFERROR(MAX((_xlfn.ANCHORARRAY(XX317)-AVERAGE(_xlfn.ANCHORARRAY(XX317)))/ AVERAGE(_xlfn.ANCHORARRAY(XX317))),0)</f>
        <v>0</v>
      </c>
      <c r="YI317" t="str" cm="1">
        <f t="array" ref="YI317">IF(YH317&gt;$YI$1,_xlfn.XLOOKUP(MAX(_xlfn.ANCHORARRAY(XX317)),_xlfn.ANCHORARRAY(XX317),XX$4:YG$4,""),"")</f>
        <v/>
      </c>
      <c r="YK317" t="str">
        <f t="shared" si="156"/>
        <v/>
      </c>
    </row>
    <row r="318" spans="2:661" x14ac:dyDescent="0.3">
      <c r="B318" s="2" t="str">
        <f t="shared" si="145"/>
        <v>CHA</v>
      </c>
      <c r="C318" s="2" t="str">
        <f t="shared" si="146"/>
        <v>CHA</v>
      </c>
      <c r="D318" s="2" t="str">
        <f t="shared" si="147"/>
        <v>CHA</v>
      </c>
      <c r="E318" s="2" t="str">
        <f t="shared" si="148"/>
        <v/>
      </c>
      <c r="F318" s="2" t="str">
        <f t="shared" si="149"/>
        <v/>
      </c>
      <c r="G318" s="2">
        <f t="shared" si="150"/>
        <v>0</v>
      </c>
      <c r="H318" s="2">
        <f t="shared" si="151"/>
        <v>0</v>
      </c>
      <c r="I318" s="2">
        <f t="shared" si="152"/>
        <v>0</v>
      </c>
      <c r="J318" s="2">
        <f t="shared" si="153"/>
        <v>0</v>
      </c>
      <c r="K318" s="2">
        <f t="shared" si="154"/>
        <v>0</v>
      </c>
      <c r="L318" s="2">
        <f t="shared" si="155"/>
        <v>0</v>
      </c>
      <c r="XJ318" cm="1">
        <f t="array" ref="XJ318:XL318">SUMIFS($M318:$GJ318,$M$1:$GJ$1,XJ$3:XL$3)</f>
        <v>0</v>
      </c>
      <c r="XK318">
        <v>0</v>
      </c>
      <c r="XL318">
        <v>0</v>
      </c>
      <c r="XM318" cm="1">
        <f t="array" ref="XM318">IFERROR(MAX((_xlfn.ANCHORARRAY(XJ318)-AVERAGE(_xlfn.ANCHORARRAY(XJ318)))/ AVERAGE(_xlfn.ANCHORARRAY(XJ318))),0)</f>
        <v>0</v>
      </c>
      <c r="XN318" t="str" cm="1">
        <f t="array" ref="XN318">IF(XM318&gt;$XN$1,_xlfn.XLOOKUP(MAX(_xlfn.ANCHORARRAY(XJ318)),_xlfn.ANCHORARRAY(XJ318),XJ$4:XL$4,""),"")</f>
        <v/>
      </c>
      <c r="XP318" cm="1">
        <f t="array" ref="XP318:XT318">SUMIFS($M318:$GJ318,$M$3:$GJ$3,XP$3:XT$3)</f>
        <v>0</v>
      </c>
      <c r="XQ318">
        <v>0</v>
      </c>
      <c r="XR318">
        <v>0</v>
      </c>
      <c r="XS318">
        <v>0</v>
      </c>
      <c r="XT318">
        <v>0</v>
      </c>
      <c r="XU318" cm="1">
        <f t="array" ref="XU318">IFERROR(MAX((_xlfn.ANCHORARRAY(XP318)-AVERAGE(_xlfn.ANCHORARRAY(XP318)))/ AVERAGE(_xlfn.ANCHORARRAY(XP318))),0)</f>
        <v>0</v>
      </c>
      <c r="XV318" t="str" cm="1">
        <f t="array" ref="XV318">IF(AND(XU318&gt;$XV$1,XN318&lt;&gt;""),_xlfn.XLOOKUP(MAX(_xlfn.ANCHORARRAY(XP318)),_xlfn.ANCHORARRAY(XP318),XP$4:XT$4,""),"")</f>
        <v/>
      </c>
      <c r="XX318" cm="1">
        <f t="array" ref="XX318:YG318">SUMIFS($M318:$GJ318,$M$2:$GJ$2,XX$3:YG$3)</f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 cm="1">
        <f t="array" ref="YH318">IFERROR(MAX((_xlfn.ANCHORARRAY(XX318)-AVERAGE(_xlfn.ANCHORARRAY(XX318)))/ AVERAGE(_xlfn.ANCHORARRAY(XX318))),0)</f>
        <v>0</v>
      </c>
      <c r="YI318" t="str" cm="1">
        <f t="array" ref="YI318">IF(YH318&gt;$YI$1,_xlfn.XLOOKUP(MAX(_xlfn.ANCHORARRAY(XX318)),_xlfn.ANCHORARRAY(XX318),XX$4:YG$4,""),"")</f>
        <v/>
      </c>
      <c r="YK318" t="str">
        <f t="shared" si="156"/>
        <v/>
      </c>
    </row>
    <row r="319" spans="2:661" x14ac:dyDescent="0.3">
      <c r="B319" s="2" t="str">
        <f t="shared" si="145"/>
        <v>CHA</v>
      </c>
      <c r="C319" s="2" t="str">
        <f t="shared" si="146"/>
        <v>CHA</v>
      </c>
      <c r="D319" s="2" t="str">
        <f t="shared" si="147"/>
        <v>CHA</v>
      </c>
      <c r="E319" s="2" t="str">
        <f t="shared" si="148"/>
        <v/>
      </c>
      <c r="F319" s="2" t="str">
        <f t="shared" si="149"/>
        <v/>
      </c>
      <c r="G319" s="2">
        <f t="shared" si="150"/>
        <v>0</v>
      </c>
      <c r="H319" s="2">
        <f t="shared" si="151"/>
        <v>0</v>
      </c>
      <c r="I319" s="2">
        <f t="shared" si="152"/>
        <v>0</v>
      </c>
      <c r="J319" s="2">
        <f t="shared" si="153"/>
        <v>0</v>
      </c>
      <c r="K319" s="2">
        <f t="shared" si="154"/>
        <v>0</v>
      </c>
      <c r="L319" s="2">
        <f t="shared" si="155"/>
        <v>0</v>
      </c>
      <c r="XJ319" cm="1">
        <f t="array" ref="XJ319:XL319">SUMIFS($M319:$GJ319,$M$1:$GJ$1,XJ$3:XL$3)</f>
        <v>0</v>
      </c>
      <c r="XK319">
        <v>0</v>
      </c>
      <c r="XL319">
        <v>0</v>
      </c>
      <c r="XM319" cm="1">
        <f t="array" ref="XM319">IFERROR(MAX((_xlfn.ANCHORARRAY(XJ319)-AVERAGE(_xlfn.ANCHORARRAY(XJ319)))/ AVERAGE(_xlfn.ANCHORARRAY(XJ319))),0)</f>
        <v>0</v>
      </c>
      <c r="XN319" t="str" cm="1">
        <f t="array" ref="XN319">IF(XM319&gt;$XN$1,_xlfn.XLOOKUP(MAX(_xlfn.ANCHORARRAY(XJ319)),_xlfn.ANCHORARRAY(XJ319),XJ$4:XL$4,""),"")</f>
        <v/>
      </c>
      <c r="XP319" cm="1">
        <f t="array" ref="XP319:XT319">SUMIFS($M319:$GJ319,$M$3:$GJ$3,XP$3:XT$3)</f>
        <v>0</v>
      </c>
      <c r="XQ319">
        <v>0</v>
      </c>
      <c r="XR319">
        <v>0</v>
      </c>
      <c r="XS319">
        <v>0</v>
      </c>
      <c r="XT319">
        <v>0</v>
      </c>
      <c r="XU319" cm="1">
        <f t="array" ref="XU319">IFERROR(MAX((_xlfn.ANCHORARRAY(XP319)-AVERAGE(_xlfn.ANCHORARRAY(XP319)))/ AVERAGE(_xlfn.ANCHORARRAY(XP319))),0)</f>
        <v>0</v>
      </c>
      <c r="XV319" t="str" cm="1">
        <f t="array" ref="XV319">IF(AND(XU319&gt;$XV$1,XN319&lt;&gt;""),_xlfn.XLOOKUP(MAX(_xlfn.ANCHORARRAY(XP319)),_xlfn.ANCHORARRAY(XP319),XP$4:XT$4,""),"")</f>
        <v/>
      </c>
      <c r="XX319" cm="1">
        <f t="array" ref="XX319:YG319">SUMIFS($M319:$GJ319,$M$2:$GJ$2,XX$3:YG$3)</f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 cm="1">
        <f t="array" ref="YH319">IFERROR(MAX((_xlfn.ANCHORARRAY(XX319)-AVERAGE(_xlfn.ANCHORARRAY(XX319)))/ AVERAGE(_xlfn.ANCHORARRAY(XX319))),0)</f>
        <v>0</v>
      </c>
      <c r="YI319" t="str" cm="1">
        <f t="array" ref="YI319">IF(YH319&gt;$YI$1,_xlfn.XLOOKUP(MAX(_xlfn.ANCHORARRAY(XX319)),_xlfn.ANCHORARRAY(XX319),XX$4:YG$4,""),"")</f>
        <v/>
      </c>
      <c r="YK319" t="str">
        <f t="shared" si="156"/>
        <v/>
      </c>
    </row>
    <row r="320" spans="2:661" x14ac:dyDescent="0.3">
      <c r="B320" s="2" t="str">
        <f t="shared" si="145"/>
        <v>CHA</v>
      </c>
      <c r="C320" s="2" t="str">
        <f t="shared" si="146"/>
        <v>CHA</v>
      </c>
      <c r="D320" s="2" t="str">
        <f t="shared" si="147"/>
        <v>CHA</v>
      </c>
      <c r="E320" s="2" t="str">
        <f t="shared" si="148"/>
        <v/>
      </c>
      <c r="F320" s="2" t="str">
        <f t="shared" si="149"/>
        <v/>
      </c>
      <c r="G320" s="2">
        <f t="shared" si="150"/>
        <v>0</v>
      </c>
      <c r="H320" s="2">
        <f t="shared" si="151"/>
        <v>0</v>
      </c>
      <c r="I320" s="2">
        <f t="shared" si="152"/>
        <v>0</v>
      </c>
      <c r="J320" s="2">
        <f t="shared" si="153"/>
        <v>0</v>
      </c>
      <c r="K320" s="2">
        <f t="shared" si="154"/>
        <v>0</v>
      </c>
      <c r="L320" s="2">
        <f t="shared" si="155"/>
        <v>0</v>
      </c>
      <c r="XJ320" cm="1">
        <f t="array" ref="XJ320:XL320">SUMIFS($M320:$GJ320,$M$1:$GJ$1,XJ$3:XL$3)</f>
        <v>0</v>
      </c>
      <c r="XK320">
        <v>0</v>
      </c>
      <c r="XL320">
        <v>0</v>
      </c>
      <c r="XM320" cm="1">
        <f t="array" ref="XM320">IFERROR(MAX((_xlfn.ANCHORARRAY(XJ320)-AVERAGE(_xlfn.ANCHORARRAY(XJ320)))/ AVERAGE(_xlfn.ANCHORARRAY(XJ320))),0)</f>
        <v>0</v>
      </c>
      <c r="XN320" t="str" cm="1">
        <f t="array" ref="XN320">IF(XM320&gt;$XN$1,_xlfn.XLOOKUP(MAX(_xlfn.ANCHORARRAY(XJ320)),_xlfn.ANCHORARRAY(XJ320),XJ$4:XL$4,""),"")</f>
        <v/>
      </c>
      <c r="XP320" cm="1">
        <f t="array" ref="XP320:XT320">SUMIFS($M320:$GJ320,$M$3:$GJ$3,XP$3:XT$3)</f>
        <v>0</v>
      </c>
      <c r="XQ320">
        <v>0</v>
      </c>
      <c r="XR320">
        <v>0</v>
      </c>
      <c r="XS320">
        <v>0</v>
      </c>
      <c r="XT320">
        <v>0</v>
      </c>
      <c r="XU320" cm="1">
        <f t="array" ref="XU320">IFERROR(MAX((_xlfn.ANCHORARRAY(XP320)-AVERAGE(_xlfn.ANCHORARRAY(XP320)))/ AVERAGE(_xlfn.ANCHORARRAY(XP320))),0)</f>
        <v>0</v>
      </c>
      <c r="XV320" t="str" cm="1">
        <f t="array" ref="XV320">IF(AND(XU320&gt;$XV$1,XN320&lt;&gt;""),_xlfn.XLOOKUP(MAX(_xlfn.ANCHORARRAY(XP320)),_xlfn.ANCHORARRAY(XP320),XP$4:XT$4,""),"")</f>
        <v/>
      </c>
      <c r="XX320" cm="1">
        <f t="array" ref="XX320:YG320">SUMIFS($M320:$GJ320,$M$2:$GJ$2,XX$3:YG$3)</f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 cm="1">
        <f t="array" ref="YH320">IFERROR(MAX((_xlfn.ANCHORARRAY(XX320)-AVERAGE(_xlfn.ANCHORARRAY(XX320)))/ AVERAGE(_xlfn.ANCHORARRAY(XX320))),0)</f>
        <v>0</v>
      </c>
      <c r="YI320" t="str" cm="1">
        <f t="array" ref="YI320">IF(YH320&gt;$YI$1,_xlfn.XLOOKUP(MAX(_xlfn.ANCHORARRAY(XX320)),_xlfn.ANCHORARRAY(XX320),XX$4:YG$4,""),"")</f>
        <v/>
      </c>
      <c r="YK320" t="str">
        <f t="shared" si="156"/>
        <v/>
      </c>
    </row>
    <row r="321" spans="2:661" x14ac:dyDescent="0.3">
      <c r="B321" s="2" t="str">
        <f t="shared" si="145"/>
        <v>CHA</v>
      </c>
      <c r="C321" s="2" t="str">
        <f t="shared" si="146"/>
        <v>CHA</v>
      </c>
      <c r="D321" s="2" t="str">
        <f t="shared" si="147"/>
        <v>CHA</v>
      </c>
      <c r="E321" s="2" t="str">
        <f t="shared" si="148"/>
        <v/>
      </c>
      <c r="F321" s="2" t="str">
        <f t="shared" si="149"/>
        <v/>
      </c>
      <c r="G321" s="2">
        <f t="shared" si="150"/>
        <v>0</v>
      </c>
      <c r="H321" s="2">
        <f t="shared" si="151"/>
        <v>0</v>
      </c>
      <c r="I321" s="2">
        <f t="shared" si="152"/>
        <v>0</v>
      </c>
      <c r="J321" s="2">
        <f t="shared" si="153"/>
        <v>0</v>
      </c>
      <c r="K321" s="2">
        <f t="shared" si="154"/>
        <v>0</v>
      </c>
      <c r="L321" s="2">
        <f t="shared" si="155"/>
        <v>0</v>
      </c>
      <c r="XJ321" cm="1">
        <f t="array" ref="XJ321:XL321">SUMIFS($M321:$GJ321,$M$1:$GJ$1,XJ$3:XL$3)</f>
        <v>0</v>
      </c>
      <c r="XK321">
        <v>0</v>
      </c>
      <c r="XL321">
        <v>0</v>
      </c>
      <c r="XM321" cm="1">
        <f t="array" ref="XM321">IFERROR(MAX((_xlfn.ANCHORARRAY(XJ321)-AVERAGE(_xlfn.ANCHORARRAY(XJ321)))/ AVERAGE(_xlfn.ANCHORARRAY(XJ321))),0)</f>
        <v>0</v>
      </c>
      <c r="XN321" t="str" cm="1">
        <f t="array" ref="XN321">IF(XM321&gt;$XN$1,_xlfn.XLOOKUP(MAX(_xlfn.ANCHORARRAY(XJ321)),_xlfn.ANCHORARRAY(XJ321),XJ$4:XL$4,""),"")</f>
        <v/>
      </c>
      <c r="XP321" cm="1">
        <f t="array" ref="XP321:XT321">SUMIFS($M321:$GJ321,$M$3:$GJ$3,XP$3:XT$3)</f>
        <v>0</v>
      </c>
      <c r="XQ321">
        <v>0</v>
      </c>
      <c r="XR321">
        <v>0</v>
      </c>
      <c r="XS321">
        <v>0</v>
      </c>
      <c r="XT321">
        <v>0</v>
      </c>
      <c r="XU321" cm="1">
        <f t="array" ref="XU321">IFERROR(MAX((_xlfn.ANCHORARRAY(XP321)-AVERAGE(_xlfn.ANCHORARRAY(XP321)))/ AVERAGE(_xlfn.ANCHORARRAY(XP321))),0)</f>
        <v>0</v>
      </c>
      <c r="XV321" t="str" cm="1">
        <f t="array" ref="XV321">IF(AND(XU321&gt;$XV$1,XN321&lt;&gt;""),_xlfn.XLOOKUP(MAX(_xlfn.ANCHORARRAY(XP321)),_xlfn.ANCHORARRAY(XP321),XP$4:XT$4,""),"")</f>
        <v/>
      </c>
      <c r="XX321" cm="1">
        <f t="array" ref="XX321:YG321">SUMIFS($M321:$GJ321,$M$2:$GJ$2,XX$3:YG$3)</f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 cm="1">
        <f t="array" ref="YH321">IFERROR(MAX((_xlfn.ANCHORARRAY(XX321)-AVERAGE(_xlfn.ANCHORARRAY(XX321)))/ AVERAGE(_xlfn.ANCHORARRAY(XX321))),0)</f>
        <v>0</v>
      </c>
      <c r="YI321" t="str" cm="1">
        <f t="array" ref="YI321">IF(YH321&gt;$YI$1,_xlfn.XLOOKUP(MAX(_xlfn.ANCHORARRAY(XX321)),_xlfn.ANCHORARRAY(XX321),XX$4:YG$4,""),"")</f>
        <v/>
      </c>
      <c r="YK321" t="str">
        <f t="shared" si="156"/>
        <v/>
      </c>
    </row>
    <row r="322" spans="2:661" x14ac:dyDescent="0.3">
      <c r="B322" s="2" t="str">
        <f t="shared" si="145"/>
        <v>CHA</v>
      </c>
      <c r="C322" s="2" t="str">
        <f t="shared" si="146"/>
        <v>CHA</v>
      </c>
      <c r="D322" s="2" t="str">
        <f t="shared" si="147"/>
        <v>CHA</v>
      </c>
      <c r="E322" s="2" t="str">
        <f t="shared" si="148"/>
        <v/>
      </c>
      <c r="F322" s="2" t="str">
        <f t="shared" si="149"/>
        <v/>
      </c>
      <c r="G322" s="2">
        <f t="shared" si="150"/>
        <v>0</v>
      </c>
      <c r="H322" s="2">
        <f t="shared" si="151"/>
        <v>0</v>
      </c>
      <c r="I322" s="2">
        <f t="shared" si="152"/>
        <v>0</v>
      </c>
      <c r="J322" s="2">
        <f t="shared" si="153"/>
        <v>0</v>
      </c>
      <c r="K322" s="2">
        <f t="shared" si="154"/>
        <v>0</v>
      </c>
      <c r="L322" s="2">
        <f t="shared" si="155"/>
        <v>0</v>
      </c>
      <c r="XJ322" cm="1">
        <f t="array" ref="XJ322:XL322">SUMIFS($M322:$GJ322,$M$1:$GJ$1,XJ$3:XL$3)</f>
        <v>0</v>
      </c>
      <c r="XK322">
        <v>0</v>
      </c>
      <c r="XL322">
        <v>0</v>
      </c>
      <c r="XM322" cm="1">
        <f t="array" ref="XM322">IFERROR(MAX((_xlfn.ANCHORARRAY(XJ322)-AVERAGE(_xlfn.ANCHORARRAY(XJ322)))/ AVERAGE(_xlfn.ANCHORARRAY(XJ322))),0)</f>
        <v>0</v>
      </c>
      <c r="XN322" t="str" cm="1">
        <f t="array" ref="XN322">IF(XM322&gt;$XN$1,_xlfn.XLOOKUP(MAX(_xlfn.ANCHORARRAY(XJ322)),_xlfn.ANCHORARRAY(XJ322),XJ$4:XL$4,""),"")</f>
        <v/>
      </c>
      <c r="XP322" cm="1">
        <f t="array" ref="XP322:XT322">SUMIFS($M322:$GJ322,$M$3:$GJ$3,XP$3:XT$3)</f>
        <v>0</v>
      </c>
      <c r="XQ322">
        <v>0</v>
      </c>
      <c r="XR322">
        <v>0</v>
      </c>
      <c r="XS322">
        <v>0</v>
      </c>
      <c r="XT322">
        <v>0</v>
      </c>
      <c r="XU322" cm="1">
        <f t="array" ref="XU322">IFERROR(MAX((_xlfn.ANCHORARRAY(XP322)-AVERAGE(_xlfn.ANCHORARRAY(XP322)))/ AVERAGE(_xlfn.ANCHORARRAY(XP322))),0)</f>
        <v>0</v>
      </c>
      <c r="XV322" t="str" cm="1">
        <f t="array" ref="XV322">IF(AND(XU322&gt;$XV$1,XN322&lt;&gt;""),_xlfn.XLOOKUP(MAX(_xlfn.ANCHORARRAY(XP322)),_xlfn.ANCHORARRAY(XP322),XP$4:XT$4,""),"")</f>
        <v/>
      </c>
      <c r="XX322" cm="1">
        <f t="array" ref="XX322:YG322">SUMIFS($M322:$GJ322,$M$2:$GJ$2,XX$3:YG$3)</f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 cm="1">
        <f t="array" ref="YH322">IFERROR(MAX((_xlfn.ANCHORARRAY(XX322)-AVERAGE(_xlfn.ANCHORARRAY(XX322)))/ AVERAGE(_xlfn.ANCHORARRAY(XX322))),0)</f>
        <v>0</v>
      </c>
      <c r="YI322" t="str" cm="1">
        <f t="array" ref="YI322">IF(YH322&gt;$YI$1,_xlfn.XLOOKUP(MAX(_xlfn.ANCHORARRAY(XX322)),_xlfn.ANCHORARRAY(XX322),XX$4:YG$4,""),"")</f>
        <v/>
      </c>
      <c r="YK322" t="str">
        <f t="shared" si="156"/>
        <v/>
      </c>
    </row>
    <row r="323" spans="2:661" x14ac:dyDescent="0.3">
      <c r="B323" s="2" t="str">
        <f t="shared" si="145"/>
        <v>CHA</v>
      </c>
      <c r="C323" s="2" t="str">
        <f t="shared" si="146"/>
        <v>CHA</v>
      </c>
      <c r="D323" s="2" t="str">
        <f t="shared" si="147"/>
        <v>CHA</v>
      </c>
      <c r="E323" s="2" t="str">
        <f t="shared" si="148"/>
        <v/>
      </c>
      <c r="F323" s="2" t="str">
        <f t="shared" si="149"/>
        <v/>
      </c>
      <c r="G323" s="2">
        <f t="shared" si="150"/>
        <v>0</v>
      </c>
      <c r="H323" s="2">
        <f t="shared" si="151"/>
        <v>0</v>
      </c>
      <c r="I323" s="2">
        <f t="shared" si="152"/>
        <v>0</v>
      </c>
      <c r="J323" s="2">
        <f t="shared" si="153"/>
        <v>0</v>
      </c>
      <c r="K323" s="2">
        <f t="shared" si="154"/>
        <v>0</v>
      </c>
      <c r="L323" s="2">
        <f t="shared" si="155"/>
        <v>0</v>
      </c>
      <c r="XJ323" cm="1">
        <f t="array" ref="XJ323:XL323">SUMIFS($M323:$GJ323,$M$1:$GJ$1,XJ$3:XL$3)</f>
        <v>0</v>
      </c>
      <c r="XK323">
        <v>0</v>
      </c>
      <c r="XL323">
        <v>0</v>
      </c>
      <c r="XM323" cm="1">
        <f t="array" ref="XM323">IFERROR(MAX((_xlfn.ANCHORARRAY(XJ323)-AVERAGE(_xlfn.ANCHORARRAY(XJ323)))/ AVERAGE(_xlfn.ANCHORARRAY(XJ323))),0)</f>
        <v>0</v>
      </c>
      <c r="XN323" t="str" cm="1">
        <f t="array" ref="XN323">IF(XM323&gt;$XN$1,_xlfn.XLOOKUP(MAX(_xlfn.ANCHORARRAY(XJ323)),_xlfn.ANCHORARRAY(XJ323),XJ$4:XL$4,""),"")</f>
        <v/>
      </c>
      <c r="XP323" cm="1">
        <f t="array" ref="XP323:XT323">SUMIFS($M323:$GJ323,$M$3:$GJ$3,XP$3:XT$3)</f>
        <v>0</v>
      </c>
      <c r="XQ323">
        <v>0</v>
      </c>
      <c r="XR323">
        <v>0</v>
      </c>
      <c r="XS323">
        <v>0</v>
      </c>
      <c r="XT323">
        <v>0</v>
      </c>
      <c r="XU323" cm="1">
        <f t="array" ref="XU323">IFERROR(MAX((_xlfn.ANCHORARRAY(XP323)-AVERAGE(_xlfn.ANCHORARRAY(XP323)))/ AVERAGE(_xlfn.ANCHORARRAY(XP323))),0)</f>
        <v>0</v>
      </c>
      <c r="XV323" t="str" cm="1">
        <f t="array" ref="XV323">IF(AND(XU323&gt;$XV$1,XN323&lt;&gt;""),_xlfn.XLOOKUP(MAX(_xlfn.ANCHORARRAY(XP323)),_xlfn.ANCHORARRAY(XP323),XP$4:XT$4,""),"")</f>
        <v/>
      </c>
      <c r="XX323" cm="1">
        <f t="array" ref="XX323:YG323">SUMIFS($M323:$GJ323,$M$2:$GJ$2,XX$3:YG$3)</f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 cm="1">
        <f t="array" ref="YH323">IFERROR(MAX((_xlfn.ANCHORARRAY(XX323)-AVERAGE(_xlfn.ANCHORARRAY(XX323)))/ AVERAGE(_xlfn.ANCHORARRAY(XX323))),0)</f>
        <v>0</v>
      </c>
      <c r="YI323" t="str" cm="1">
        <f t="array" ref="YI323">IF(YH323&gt;$YI$1,_xlfn.XLOOKUP(MAX(_xlfn.ANCHORARRAY(XX323)),_xlfn.ANCHORARRAY(XX323),XX$4:YG$4,""),"")</f>
        <v/>
      </c>
      <c r="YK323" t="str">
        <f t="shared" si="156"/>
        <v/>
      </c>
    </row>
    <row r="324" spans="2:661" x14ac:dyDescent="0.3">
      <c r="B324" s="2" t="str">
        <f t="shared" si="145"/>
        <v>CHA</v>
      </c>
      <c r="C324" s="2" t="str">
        <f t="shared" si="146"/>
        <v>CHA</v>
      </c>
      <c r="D324" s="2" t="str">
        <f t="shared" si="147"/>
        <v>CHA</v>
      </c>
      <c r="E324" s="2" t="str">
        <f t="shared" si="148"/>
        <v/>
      </c>
      <c r="F324" s="2" t="str">
        <f t="shared" si="149"/>
        <v/>
      </c>
      <c r="G324" s="2">
        <f t="shared" si="150"/>
        <v>0</v>
      </c>
      <c r="H324" s="2">
        <f t="shared" si="151"/>
        <v>0</v>
      </c>
      <c r="I324" s="2">
        <f t="shared" si="152"/>
        <v>0</v>
      </c>
      <c r="J324" s="2">
        <f t="shared" si="153"/>
        <v>0</v>
      </c>
      <c r="K324" s="2">
        <f t="shared" si="154"/>
        <v>0</v>
      </c>
      <c r="L324" s="2">
        <f t="shared" si="155"/>
        <v>0</v>
      </c>
      <c r="XJ324" cm="1">
        <f t="array" ref="XJ324:XL324">SUMIFS($M324:$GJ324,$M$1:$GJ$1,XJ$3:XL$3)</f>
        <v>0</v>
      </c>
      <c r="XK324">
        <v>0</v>
      </c>
      <c r="XL324">
        <v>0</v>
      </c>
      <c r="XM324" cm="1">
        <f t="array" ref="XM324">IFERROR(MAX((_xlfn.ANCHORARRAY(XJ324)-AVERAGE(_xlfn.ANCHORARRAY(XJ324)))/ AVERAGE(_xlfn.ANCHORARRAY(XJ324))),0)</f>
        <v>0</v>
      </c>
      <c r="XN324" t="str" cm="1">
        <f t="array" ref="XN324">IF(XM324&gt;$XN$1,_xlfn.XLOOKUP(MAX(_xlfn.ANCHORARRAY(XJ324)),_xlfn.ANCHORARRAY(XJ324),XJ$4:XL$4,""),"")</f>
        <v/>
      </c>
      <c r="XP324" cm="1">
        <f t="array" ref="XP324:XT324">SUMIFS($M324:$GJ324,$M$3:$GJ$3,XP$3:XT$3)</f>
        <v>0</v>
      </c>
      <c r="XQ324">
        <v>0</v>
      </c>
      <c r="XR324">
        <v>0</v>
      </c>
      <c r="XS324">
        <v>0</v>
      </c>
      <c r="XT324">
        <v>0</v>
      </c>
      <c r="XU324" cm="1">
        <f t="array" ref="XU324">IFERROR(MAX((_xlfn.ANCHORARRAY(XP324)-AVERAGE(_xlfn.ANCHORARRAY(XP324)))/ AVERAGE(_xlfn.ANCHORARRAY(XP324))),0)</f>
        <v>0</v>
      </c>
      <c r="XV324" t="str" cm="1">
        <f t="array" ref="XV324">IF(AND(XU324&gt;$XV$1,XN324&lt;&gt;""),_xlfn.XLOOKUP(MAX(_xlfn.ANCHORARRAY(XP324)),_xlfn.ANCHORARRAY(XP324),XP$4:XT$4,""),"")</f>
        <v/>
      </c>
      <c r="XX324" cm="1">
        <f t="array" ref="XX324:YG324">SUMIFS($M324:$GJ324,$M$2:$GJ$2,XX$3:YG$3)</f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 cm="1">
        <f t="array" ref="YH324">IFERROR(MAX((_xlfn.ANCHORARRAY(XX324)-AVERAGE(_xlfn.ANCHORARRAY(XX324)))/ AVERAGE(_xlfn.ANCHORARRAY(XX324))),0)</f>
        <v>0</v>
      </c>
      <c r="YI324" t="str" cm="1">
        <f t="array" ref="YI324">IF(YH324&gt;$YI$1,_xlfn.XLOOKUP(MAX(_xlfn.ANCHORARRAY(XX324)),_xlfn.ANCHORARRAY(XX324),XX$4:YG$4,""),"")</f>
        <v/>
      </c>
      <c r="YK324" t="str">
        <f t="shared" si="156"/>
        <v/>
      </c>
    </row>
    <row r="325" spans="2:661" x14ac:dyDescent="0.3">
      <c r="B325" s="2" t="str">
        <f t="shared" si="145"/>
        <v>CHA</v>
      </c>
      <c r="C325" s="2" t="str">
        <f t="shared" si="146"/>
        <v>CHA</v>
      </c>
      <c r="D325" s="2" t="str">
        <f t="shared" si="147"/>
        <v>CHA</v>
      </c>
      <c r="E325" s="2" t="str">
        <f t="shared" si="148"/>
        <v/>
      </c>
      <c r="F325" s="2" t="str">
        <f t="shared" si="149"/>
        <v/>
      </c>
      <c r="G325" s="2">
        <f t="shared" si="150"/>
        <v>0</v>
      </c>
      <c r="H325" s="2">
        <f t="shared" si="151"/>
        <v>0</v>
      </c>
      <c r="I325" s="2">
        <f t="shared" si="152"/>
        <v>0</v>
      </c>
      <c r="J325" s="2">
        <f t="shared" si="153"/>
        <v>0</v>
      </c>
      <c r="K325" s="2">
        <f t="shared" si="154"/>
        <v>0</v>
      </c>
      <c r="L325" s="2">
        <f t="shared" si="155"/>
        <v>0</v>
      </c>
      <c r="XJ325" cm="1">
        <f t="array" ref="XJ325:XL325">SUMIFS($M325:$GJ325,$M$1:$GJ$1,XJ$3:XL$3)</f>
        <v>0</v>
      </c>
      <c r="XK325">
        <v>0</v>
      </c>
      <c r="XL325">
        <v>0</v>
      </c>
      <c r="XM325" cm="1">
        <f t="array" ref="XM325">IFERROR(MAX((_xlfn.ANCHORARRAY(XJ325)-AVERAGE(_xlfn.ANCHORARRAY(XJ325)))/ AVERAGE(_xlfn.ANCHORARRAY(XJ325))),0)</f>
        <v>0</v>
      </c>
      <c r="XN325" t="str" cm="1">
        <f t="array" ref="XN325">IF(XM325&gt;$XN$1,_xlfn.XLOOKUP(MAX(_xlfn.ANCHORARRAY(XJ325)),_xlfn.ANCHORARRAY(XJ325),XJ$4:XL$4,""),"")</f>
        <v/>
      </c>
      <c r="XP325" cm="1">
        <f t="array" ref="XP325:XT325">SUMIFS($M325:$GJ325,$M$3:$GJ$3,XP$3:XT$3)</f>
        <v>0</v>
      </c>
      <c r="XQ325">
        <v>0</v>
      </c>
      <c r="XR325">
        <v>0</v>
      </c>
      <c r="XS325">
        <v>0</v>
      </c>
      <c r="XT325">
        <v>0</v>
      </c>
      <c r="XU325" cm="1">
        <f t="array" ref="XU325">IFERROR(MAX((_xlfn.ANCHORARRAY(XP325)-AVERAGE(_xlfn.ANCHORARRAY(XP325)))/ AVERAGE(_xlfn.ANCHORARRAY(XP325))),0)</f>
        <v>0</v>
      </c>
      <c r="XV325" t="str" cm="1">
        <f t="array" ref="XV325">IF(AND(XU325&gt;$XV$1,XN325&lt;&gt;""),_xlfn.XLOOKUP(MAX(_xlfn.ANCHORARRAY(XP325)),_xlfn.ANCHORARRAY(XP325),XP$4:XT$4,""),"")</f>
        <v/>
      </c>
      <c r="XX325" cm="1">
        <f t="array" ref="XX325:YG325">SUMIFS($M325:$GJ325,$M$2:$GJ$2,XX$3:YG$3)</f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 cm="1">
        <f t="array" ref="YH325">IFERROR(MAX((_xlfn.ANCHORARRAY(XX325)-AVERAGE(_xlfn.ANCHORARRAY(XX325)))/ AVERAGE(_xlfn.ANCHORARRAY(XX325))),0)</f>
        <v>0</v>
      </c>
      <c r="YI325" t="str" cm="1">
        <f t="array" ref="YI325">IF(YH325&gt;$YI$1,_xlfn.XLOOKUP(MAX(_xlfn.ANCHORARRAY(XX325)),_xlfn.ANCHORARRAY(XX325),XX$4:YG$4,""),"")</f>
        <v/>
      </c>
      <c r="YK325" t="str">
        <f t="shared" si="156"/>
        <v/>
      </c>
    </row>
    <row r="326" spans="2:661" x14ac:dyDescent="0.3">
      <c r="B326" s="2" t="str">
        <f t="shared" si="145"/>
        <v>CHA</v>
      </c>
      <c r="C326" s="2" t="str">
        <f t="shared" si="146"/>
        <v>CHA</v>
      </c>
      <c r="D326" s="2" t="str">
        <f t="shared" si="147"/>
        <v>CHA</v>
      </c>
      <c r="E326" s="2" t="str">
        <f t="shared" si="148"/>
        <v/>
      </c>
      <c r="F326" s="2" t="str">
        <f t="shared" si="149"/>
        <v/>
      </c>
      <c r="G326" s="2">
        <f t="shared" si="150"/>
        <v>0</v>
      </c>
      <c r="H326" s="2">
        <f t="shared" si="151"/>
        <v>0</v>
      </c>
      <c r="I326" s="2">
        <f t="shared" si="152"/>
        <v>0</v>
      </c>
      <c r="J326" s="2">
        <f t="shared" si="153"/>
        <v>0</v>
      </c>
      <c r="K326" s="2">
        <f t="shared" si="154"/>
        <v>0</v>
      </c>
      <c r="L326" s="2">
        <f t="shared" si="155"/>
        <v>0</v>
      </c>
      <c r="XJ326" cm="1">
        <f t="array" ref="XJ326:XL326">SUMIFS($M326:$GJ326,$M$1:$GJ$1,XJ$3:XL$3)</f>
        <v>0</v>
      </c>
      <c r="XK326">
        <v>0</v>
      </c>
      <c r="XL326">
        <v>0</v>
      </c>
      <c r="XM326" cm="1">
        <f t="array" ref="XM326">IFERROR(MAX((_xlfn.ANCHORARRAY(XJ326)-AVERAGE(_xlfn.ANCHORARRAY(XJ326)))/ AVERAGE(_xlfn.ANCHORARRAY(XJ326))),0)</f>
        <v>0</v>
      </c>
      <c r="XN326" t="str" cm="1">
        <f t="array" ref="XN326">IF(XM326&gt;$XN$1,_xlfn.XLOOKUP(MAX(_xlfn.ANCHORARRAY(XJ326)),_xlfn.ANCHORARRAY(XJ326),XJ$4:XL$4,""),"")</f>
        <v/>
      </c>
      <c r="XP326" cm="1">
        <f t="array" ref="XP326:XT326">SUMIFS($M326:$GJ326,$M$3:$GJ$3,XP$3:XT$3)</f>
        <v>0</v>
      </c>
      <c r="XQ326">
        <v>0</v>
      </c>
      <c r="XR326">
        <v>0</v>
      </c>
      <c r="XS326">
        <v>0</v>
      </c>
      <c r="XT326">
        <v>0</v>
      </c>
      <c r="XU326" cm="1">
        <f t="array" ref="XU326">IFERROR(MAX((_xlfn.ANCHORARRAY(XP326)-AVERAGE(_xlfn.ANCHORARRAY(XP326)))/ AVERAGE(_xlfn.ANCHORARRAY(XP326))),0)</f>
        <v>0</v>
      </c>
      <c r="XV326" t="str" cm="1">
        <f t="array" ref="XV326">IF(AND(XU326&gt;$XV$1,XN326&lt;&gt;""),_xlfn.XLOOKUP(MAX(_xlfn.ANCHORARRAY(XP326)),_xlfn.ANCHORARRAY(XP326),XP$4:XT$4,""),"")</f>
        <v/>
      </c>
      <c r="XX326" cm="1">
        <f t="array" ref="XX326:YG326">SUMIFS($M326:$GJ326,$M$2:$GJ$2,XX$3:YG$3)</f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 cm="1">
        <f t="array" ref="YH326">IFERROR(MAX((_xlfn.ANCHORARRAY(XX326)-AVERAGE(_xlfn.ANCHORARRAY(XX326)))/ AVERAGE(_xlfn.ANCHORARRAY(XX326))),0)</f>
        <v>0</v>
      </c>
      <c r="YI326" t="str" cm="1">
        <f t="array" ref="YI326">IF(YH326&gt;$YI$1,_xlfn.XLOOKUP(MAX(_xlfn.ANCHORARRAY(XX326)),_xlfn.ANCHORARRAY(XX326),XX$4:YG$4,""),"")</f>
        <v/>
      </c>
      <c r="YK326" t="str">
        <f t="shared" si="156"/>
        <v/>
      </c>
    </row>
    <row r="327" spans="2:661" x14ac:dyDescent="0.3">
      <c r="B327" s="2" t="str">
        <f t="shared" si="145"/>
        <v>CHA</v>
      </c>
      <c r="C327" s="2" t="str">
        <f t="shared" si="146"/>
        <v>CHA</v>
      </c>
      <c r="D327" s="2" t="str">
        <f t="shared" si="147"/>
        <v>CHA</v>
      </c>
      <c r="E327" s="2" t="str">
        <f t="shared" si="148"/>
        <v/>
      </c>
      <c r="F327" s="2" t="str">
        <f t="shared" si="149"/>
        <v/>
      </c>
      <c r="G327" s="2">
        <f t="shared" si="150"/>
        <v>0</v>
      </c>
      <c r="H327" s="2">
        <f t="shared" si="151"/>
        <v>0</v>
      </c>
      <c r="I327" s="2">
        <f t="shared" si="152"/>
        <v>0</v>
      </c>
      <c r="J327" s="2">
        <f t="shared" si="153"/>
        <v>0</v>
      </c>
      <c r="K327" s="2">
        <f t="shared" si="154"/>
        <v>0</v>
      </c>
      <c r="L327" s="2">
        <f t="shared" si="155"/>
        <v>0</v>
      </c>
      <c r="XJ327" cm="1">
        <f t="array" ref="XJ327:XL327">SUMIFS($M327:$GJ327,$M$1:$GJ$1,XJ$3:XL$3)</f>
        <v>0</v>
      </c>
      <c r="XK327">
        <v>0</v>
      </c>
      <c r="XL327">
        <v>0</v>
      </c>
      <c r="XM327" cm="1">
        <f t="array" ref="XM327">IFERROR(MAX((_xlfn.ANCHORARRAY(XJ327)-AVERAGE(_xlfn.ANCHORARRAY(XJ327)))/ AVERAGE(_xlfn.ANCHORARRAY(XJ327))),0)</f>
        <v>0</v>
      </c>
      <c r="XN327" t="str" cm="1">
        <f t="array" ref="XN327">IF(XM327&gt;$XN$1,_xlfn.XLOOKUP(MAX(_xlfn.ANCHORARRAY(XJ327)),_xlfn.ANCHORARRAY(XJ327),XJ$4:XL$4,""),"")</f>
        <v/>
      </c>
      <c r="XP327" cm="1">
        <f t="array" ref="XP327:XT327">SUMIFS($M327:$GJ327,$M$3:$GJ$3,XP$3:XT$3)</f>
        <v>0</v>
      </c>
      <c r="XQ327">
        <v>0</v>
      </c>
      <c r="XR327">
        <v>0</v>
      </c>
      <c r="XS327">
        <v>0</v>
      </c>
      <c r="XT327">
        <v>0</v>
      </c>
      <c r="XU327" cm="1">
        <f t="array" ref="XU327">IFERROR(MAX((_xlfn.ANCHORARRAY(XP327)-AVERAGE(_xlfn.ANCHORARRAY(XP327)))/ AVERAGE(_xlfn.ANCHORARRAY(XP327))),0)</f>
        <v>0</v>
      </c>
      <c r="XV327" t="str" cm="1">
        <f t="array" ref="XV327">IF(AND(XU327&gt;$XV$1,XN327&lt;&gt;""),_xlfn.XLOOKUP(MAX(_xlfn.ANCHORARRAY(XP327)),_xlfn.ANCHORARRAY(XP327),XP$4:XT$4,""),"")</f>
        <v/>
      </c>
      <c r="XX327" cm="1">
        <f t="array" ref="XX327:YG327">SUMIFS($M327:$GJ327,$M$2:$GJ$2,XX$3:YG$3)</f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0</v>
      </c>
      <c r="YH327" cm="1">
        <f t="array" ref="YH327">IFERROR(MAX((_xlfn.ANCHORARRAY(XX327)-AVERAGE(_xlfn.ANCHORARRAY(XX327)))/ AVERAGE(_xlfn.ANCHORARRAY(XX327))),0)</f>
        <v>0</v>
      </c>
      <c r="YI327" t="str" cm="1">
        <f t="array" ref="YI327">IF(YH327&gt;$YI$1,_xlfn.XLOOKUP(MAX(_xlfn.ANCHORARRAY(XX327)),_xlfn.ANCHORARRAY(XX327),XX$4:YG$4,""),"")</f>
        <v/>
      </c>
      <c r="YK327" t="str">
        <f t="shared" si="156"/>
        <v/>
      </c>
    </row>
    <row r="328" spans="2:661" x14ac:dyDescent="0.3">
      <c r="B328" s="2" t="str">
        <f t="shared" si="145"/>
        <v>CHA</v>
      </c>
      <c r="C328" s="2" t="str">
        <f t="shared" si="146"/>
        <v>CHA</v>
      </c>
      <c r="D328" s="2" t="str">
        <f t="shared" si="147"/>
        <v>CHA</v>
      </c>
      <c r="E328" s="2" t="str">
        <f t="shared" si="148"/>
        <v/>
      </c>
      <c r="F328" s="2" t="str">
        <f t="shared" si="149"/>
        <v/>
      </c>
      <c r="G328" s="2">
        <f t="shared" si="150"/>
        <v>0</v>
      </c>
      <c r="H328" s="2">
        <f t="shared" si="151"/>
        <v>0</v>
      </c>
      <c r="I328" s="2">
        <f t="shared" si="152"/>
        <v>0</v>
      </c>
      <c r="J328" s="2">
        <f t="shared" si="153"/>
        <v>0</v>
      </c>
      <c r="K328" s="2">
        <f t="shared" si="154"/>
        <v>0</v>
      </c>
      <c r="L328" s="2">
        <f t="shared" si="155"/>
        <v>0</v>
      </c>
      <c r="XJ328" cm="1">
        <f t="array" ref="XJ328:XL328">SUMIFS($M328:$GJ328,$M$1:$GJ$1,XJ$3:XL$3)</f>
        <v>0</v>
      </c>
      <c r="XK328">
        <v>0</v>
      </c>
      <c r="XL328">
        <v>0</v>
      </c>
      <c r="XM328" cm="1">
        <f t="array" ref="XM328">IFERROR(MAX((_xlfn.ANCHORARRAY(XJ328)-AVERAGE(_xlfn.ANCHORARRAY(XJ328)))/ AVERAGE(_xlfn.ANCHORARRAY(XJ328))),0)</f>
        <v>0</v>
      </c>
      <c r="XN328" t="str" cm="1">
        <f t="array" ref="XN328">IF(XM328&gt;$XN$1,_xlfn.XLOOKUP(MAX(_xlfn.ANCHORARRAY(XJ328)),_xlfn.ANCHORARRAY(XJ328),XJ$4:XL$4,""),"")</f>
        <v/>
      </c>
      <c r="XP328" cm="1">
        <f t="array" ref="XP328:XT328">SUMIFS($M328:$GJ328,$M$3:$GJ$3,XP$3:XT$3)</f>
        <v>0</v>
      </c>
      <c r="XQ328">
        <v>0</v>
      </c>
      <c r="XR328">
        <v>0</v>
      </c>
      <c r="XS328">
        <v>0</v>
      </c>
      <c r="XT328">
        <v>0</v>
      </c>
      <c r="XU328" cm="1">
        <f t="array" ref="XU328">IFERROR(MAX((_xlfn.ANCHORARRAY(XP328)-AVERAGE(_xlfn.ANCHORARRAY(XP328)))/ AVERAGE(_xlfn.ANCHORARRAY(XP328))),0)</f>
        <v>0</v>
      </c>
      <c r="XV328" t="str" cm="1">
        <f t="array" ref="XV328">IF(AND(XU328&gt;$XV$1,XN328&lt;&gt;""),_xlfn.XLOOKUP(MAX(_xlfn.ANCHORARRAY(XP328)),_xlfn.ANCHORARRAY(XP328),XP$4:XT$4,""),"")</f>
        <v/>
      </c>
      <c r="XX328" cm="1">
        <f t="array" ref="XX328:YG328">SUMIFS($M328:$GJ328,$M$2:$GJ$2,XX$3:YG$3)</f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0</v>
      </c>
      <c r="YH328" cm="1">
        <f t="array" ref="YH328">IFERROR(MAX((_xlfn.ANCHORARRAY(XX328)-AVERAGE(_xlfn.ANCHORARRAY(XX328)))/ AVERAGE(_xlfn.ANCHORARRAY(XX328))),0)</f>
        <v>0</v>
      </c>
      <c r="YI328" t="str" cm="1">
        <f t="array" ref="YI328">IF(YH328&gt;$YI$1,_xlfn.XLOOKUP(MAX(_xlfn.ANCHORARRAY(XX328)),_xlfn.ANCHORARRAY(XX328),XX$4:YG$4,""),"")</f>
        <v/>
      </c>
      <c r="YK328" t="str">
        <f t="shared" si="156"/>
        <v/>
      </c>
    </row>
    <row r="329" spans="2:661" x14ac:dyDescent="0.3">
      <c r="B329" s="2" t="str">
        <f t="shared" si="145"/>
        <v>CHA</v>
      </c>
      <c r="C329" s="2" t="str">
        <f t="shared" si="146"/>
        <v>CHA</v>
      </c>
      <c r="D329" s="2" t="str">
        <f t="shared" si="147"/>
        <v>CHA</v>
      </c>
      <c r="E329" s="2" t="str">
        <f t="shared" si="148"/>
        <v/>
      </c>
      <c r="F329" s="2" t="str">
        <f t="shared" si="149"/>
        <v/>
      </c>
      <c r="G329" s="2">
        <f t="shared" si="150"/>
        <v>0</v>
      </c>
      <c r="H329" s="2">
        <f t="shared" si="151"/>
        <v>0</v>
      </c>
      <c r="I329" s="2">
        <f t="shared" si="152"/>
        <v>0</v>
      </c>
      <c r="J329" s="2">
        <f t="shared" si="153"/>
        <v>0</v>
      </c>
      <c r="K329" s="2">
        <f t="shared" si="154"/>
        <v>0</v>
      </c>
      <c r="L329" s="2">
        <f t="shared" si="155"/>
        <v>0</v>
      </c>
      <c r="XJ329" cm="1">
        <f t="array" ref="XJ329:XL329">SUMIFS($M329:$GJ329,$M$1:$GJ$1,XJ$3:XL$3)</f>
        <v>0</v>
      </c>
      <c r="XK329">
        <v>0</v>
      </c>
      <c r="XL329">
        <v>0</v>
      </c>
      <c r="XM329" cm="1">
        <f t="array" ref="XM329">IFERROR(MAX((_xlfn.ANCHORARRAY(XJ329)-AVERAGE(_xlfn.ANCHORARRAY(XJ329)))/ AVERAGE(_xlfn.ANCHORARRAY(XJ329))),0)</f>
        <v>0</v>
      </c>
      <c r="XN329" t="str" cm="1">
        <f t="array" ref="XN329">IF(XM329&gt;$XN$1,_xlfn.XLOOKUP(MAX(_xlfn.ANCHORARRAY(XJ329)),_xlfn.ANCHORARRAY(XJ329),XJ$4:XL$4,""),"")</f>
        <v/>
      </c>
      <c r="XP329" cm="1">
        <f t="array" ref="XP329:XT329">SUMIFS($M329:$GJ329,$M$3:$GJ$3,XP$3:XT$3)</f>
        <v>0</v>
      </c>
      <c r="XQ329">
        <v>0</v>
      </c>
      <c r="XR329">
        <v>0</v>
      </c>
      <c r="XS329">
        <v>0</v>
      </c>
      <c r="XT329">
        <v>0</v>
      </c>
      <c r="XU329" cm="1">
        <f t="array" ref="XU329">IFERROR(MAX((_xlfn.ANCHORARRAY(XP329)-AVERAGE(_xlfn.ANCHORARRAY(XP329)))/ AVERAGE(_xlfn.ANCHORARRAY(XP329))),0)</f>
        <v>0</v>
      </c>
      <c r="XV329" t="str" cm="1">
        <f t="array" ref="XV329">IF(AND(XU329&gt;$XV$1,XN329&lt;&gt;""),_xlfn.XLOOKUP(MAX(_xlfn.ANCHORARRAY(XP329)),_xlfn.ANCHORARRAY(XP329),XP$4:XT$4,""),"")</f>
        <v/>
      </c>
      <c r="XX329" cm="1">
        <f t="array" ref="XX329:YG329">SUMIFS($M329:$GJ329,$M$2:$GJ$2,XX$3:YG$3)</f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 cm="1">
        <f t="array" ref="YH329">IFERROR(MAX((_xlfn.ANCHORARRAY(XX329)-AVERAGE(_xlfn.ANCHORARRAY(XX329)))/ AVERAGE(_xlfn.ANCHORARRAY(XX329))),0)</f>
        <v>0</v>
      </c>
      <c r="YI329" t="str" cm="1">
        <f t="array" ref="YI329">IF(YH329&gt;$YI$1,_xlfn.XLOOKUP(MAX(_xlfn.ANCHORARRAY(XX329)),_xlfn.ANCHORARRAY(XX329),XX$4:YG$4,""),"")</f>
        <v/>
      </c>
      <c r="YK329" t="str">
        <f t="shared" si="156"/>
        <v/>
      </c>
    </row>
    <row r="330" spans="2:661" x14ac:dyDescent="0.3">
      <c r="B330" s="2" t="str">
        <f t="shared" si="145"/>
        <v>CHA</v>
      </c>
      <c r="C330" s="2" t="str">
        <f t="shared" si="146"/>
        <v>CHA</v>
      </c>
      <c r="D330" s="2" t="str">
        <f t="shared" si="147"/>
        <v>CHA</v>
      </c>
      <c r="E330" s="2" t="str">
        <f t="shared" si="148"/>
        <v/>
      </c>
      <c r="F330" s="2" t="str">
        <f t="shared" si="149"/>
        <v/>
      </c>
      <c r="G330" s="2">
        <f t="shared" si="150"/>
        <v>0</v>
      </c>
      <c r="H330" s="2">
        <f t="shared" si="151"/>
        <v>0</v>
      </c>
      <c r="I330" s="2">
        <f t="shared" si="152"/>
        <v>0</v>
      </c>
      <c r="J330" s="2">
        <f t="shared" si="153"/>
        <v>0</v>
      </c>
      <c r="K330" s="2">
        <f t="shared" si="154"/>
        <v>0</v>
      </c>
      <c r="L330" s="2">
        <f t="shared" si="155"/>
        <v>0</v>
      </c>
      <c r="XJ330" cm="1">
        <f t="array" ref="XJ330:XL330">SUMIFS($M330:$GJ330,$M$1:$GJ$1,XJ$3:XL$3)</f>
        <v>0</v>
      </c>
      <c r="XK330">
        <v>0</v>
      </c>
      <c r="XL330">
        <v>0</v>
      </c>
      <c r="XM330" cm="1">
        <f t="array" ref="XM330">IFERROR(MAX((_xlfn.ANCHORARRAY(XJ330)-AVERAGE(_xlfn.ANCHORARRAY(XJ330)))/ AVERAGE(_xlfn.ANCHORARRAY(XJ330))),0)</f>
        <v>0</v>
      </c>
      <c r="XN330" t="str" cm="1">
        <f t="array" ref="XN330">IF(XM330&gt;$XN$1,_xlfn.XLOOKUP(MAX(_xlfn.ANCHORARRAY(XJ330)),_xlfn.ANCHORARRAY(XJ330),XJ$4:XL$4,""),"")</f>
        <v/>
      </c>
      <c r="XP330" cm="1">
        <f t="array" ref="XP330:XT330">SUMIFS($M330:$GJ330,$M$3:$GJ$3,XP$3:XT$3)</f>
        <v>0</v>
      </c>
      <c r="XQ330">
        <v>0</v>
      </c>
      <c r="XR330">
        <v>0</v>
      </c>
      <c r="XS330">
        <v>0</v>
      </c>
      <c r="XT330">
        <v>0</v>
      </c>
      <c r="XU330" cm="1">
        <f t="array" ref="XU330">IFERROR(MAX((_xlfn.ANCHORARRAY(XP330)-AVERAGE(_xlfn.ANCHORARRAY(XP330)))/ AVERAGE(_xlfn.ANCHORARRAY(XP330))),0)</f>
        <v>0</v>
      </c>
      <c r="XV330" t="str" cm="1">
        <f t="array" ref="XV330">IF(AND(XU330&gt;$XV$1,XN330&lt;&gt;""),_xlfn.XLOOKUP(MAX(_xlfn.ANCHORARRAY(XP330)),_xlfn.ANCHORARRAY(XP330),XP$4:XT$4,""),"")</f>
        <v/>
      </c>
      <c r="XX330" cm="1">
        <f t="array" ref="XX330:YG330">SUMIFS($M330:$GJ330,$M$2:$GJ$2,XX$3:YG$3)</f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 cm="1">
        <f t="array" ref="YH330">IFERROR(MAX((_xlfn.ANCHORARRAY(XX330)-AVERAGE(_xlfn.ANCHORARRAY(XX330)))/ AVERAGE(_xlfn.ANCHORARRAY(XX330))),0)</f>
        <v>0</v>
      </c>
      <c r="YI330" t="str" cm="1">
        <f t="array" ref="YI330">IF(YH330&gt;$YI$1,_xlfn.XLOOKUP(MAX(_xlfn.ANCHORARRAY(XX330)),_xlfn.ANCHORARRAY(XX330),XX$4:YG$4,""),"")</f>
        <v/>
      </c>
      <c r="YK330" t="str">
        <f t="shared" si="156"/>
        <v/>
      </c>
    </row>
    <row r="331" spans="2:661" x14ac:dyDescent="0.3">
      <c r="B331" s="2" t="str">
        <f t="shared" si="145"/>
        <v>CHA</v>
      </c>
      <c r="C331" s="2" t="str">
        <f t="shared" si="146"/>
        <v>CHA</v>
      </c>
      <c r="D331" s="2" t="str">
        <f t="shared" si="147"/>
        <v>CHA</v>
      </c>
      <c r="E331" s="2" t="str">
        <f t="shared" si="148"/>
        <v/>
      </c>
      <c r="F331" s="2" t="str">
        <f t="shared" si="149"/>
        <v/>
      </c>
      <c r="G331" s="2">
        <f t="shared" si="150"/>
        <v>0</v>
      </c>
      <c r="H331" s="2">
        <f t="shared" si="151"/>
        <v>0</v>
      </c>
      <c r="I331" s="2">
        <f t="shared" si="152"/>
        <v>0</v>
      </c>
      <c r="J331" s="2">
        <f t="shared" si="153"/>
        <v>0</v>
      </c>
      <c r="K331" s="2">
        <f t="shared" si="154"/>
        <v>0</v>
      </c>
      <c r="L331" s="2">
        <f t="shared" si="155"/>
        <v>0</v>
      </c>
      <c r="XJ331" cm="1">
        <f t="array" ref="XJ331:XL331">SUMIFS($M331:$GJ331,$M$1:$GJ$1,XJ$3:XL$3)</f>
        <v>0</v>
      </c>
      <c r="XK331">
        <v>0</v>
      </c>
      <c r="XL331">
        <v>0</v>
      </c>
      <c r="XM331" cm="1">
        <f t="array" ref="XM331">IFERROR(MAX((_xlfn.ANCHORARRAY(XJ331)-AVERAGE(_xlfn.ANCHORARRAY(XJ331)))/ AVERAGE(_xlfn.ANCHORARRAY(XJ331))),0)</f>
        <v>0</v>
      </c>
      <c r="XN331" t="str" cm="1">
        <f t="array" ref="XN331">IF(XM331&gt;$XN$1,_xlfn.XLOOKUP(MAX(_xlfn.ANCHORARRAY(XJ331)),_xlfn.ANCHORARRAY(XJ331),XJ$4:XL$4,""),"")</f>
        <v/>
      </c>
      <c r="XP331" cm="1">
        <f t="array" ref="XP331:XT331">SUMIFS($M331:$GJ331,$M$3:$GJ$3,XP$3:XT$3)</f>
        <v>0</v>
      </c>
      <c r="XQ331">
        <v>0</v>
      </c>
      <c r="XR331">
        <v>0</v>
      </c>
      <c r="XS331">
        <v>0</v>
      </c>
      <c r="XT331">
        <v>0</v>
      </c>
      <c r="XU331" cm="1">
        <f t="array" ref="XU331">IFERROR(MAX((_xlfn.ANCHORARRAY(XP331)-AVERAGE(_xlfn.ANCHORARRAY(XP331)))/ AVERAGE(_xlfn.ANCHORARRAY(XP331))),0)</f>
        <v>0</v>
      </c>
      <c r="XV331" t="str" cm="1">
        <f t="array" ref="XV331">IF(AND(XU331&gt;$XV$1,XN331&lt;&gt;""),_xlfn.XLOOKUP(MAX(_xlfn.ANCHORARRAY(XP331)),_xlfn.ANCHORARRAY(XP331),XP$4:XT$4,""),"")</f>
        <v/>
      </c>
      <c r="XX331" cm="1">
        <f t="array" ref="XX331:YG331">SUMIFS($M331:$GJ331,$M$2:$GJ$2,XX$3:YG$3)</f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 cm="1">
        <f t="array" ref="YH331">IFERROR(MAX((_xlfn.ANCHORARRAY(XX331)-AVERAGE(_xlfn.ANCHORARRAY(XX331)))/ AVERAGE(_xlfn.ANCHORARRAY(XX331))),0)</f>
        <v>0</v>
      </c>
      <c r="YI331" t="str" cm="1">
        <f t="array" ref="YI331">IF(YH331&gt;$YI$1,_xlfn.XLOOKUP(MAX(_xlfn.ANCHORARRAY(XX331)),_xlfn.ANCHORARRAY(XX331),XX$4:YG$4,""),"")</f>
        <v/>
      </c>
      <c r="YK331" t="str">
        <f t="shared" si="156"/>
        <v/>
      </c>
    </row>
    <row r="332" spans="2:661" x14ac:dyDescent="0.3">
      <c r="B332" s="2" t="str">
        <f t="shared" si="145"/>
        <v>CHA</v>
      </c>
      <c r="C332" s="2" t="str">
        <f t="shared" si="146"/>
        <v>CHA</v>
      </c>
      <c r="D332" s="2" t="str">
        <f t="shared" si="147"/>
        <v>CHA</v>
      </c>
      <c r="E332" s="2" t="str">
        <f t="shared" si="148"/>
        <v/>
      </c>
      <c r="F332" s="2" t="str">
        <f t="shared" si="149"/>
        <v/>
      </c>
      <c r="G332" s="2">
        <f t="shared" si="150"/>
        <v>0</v>
      </c>
      <c r="H332" s="2">
        <f t="shared" si="151"/>
        <v>0</v>
      </c>
      <c r="I332" s="2">
        <f t="shared" si="152"/>
        <v>0</v>
      </c>
      <c r="J332" s="2">
        <f t="shared" si="153"/>
        <v>0</v>
      </c>
      <c r="K332" s="2">
        <f t="shared" si="154"/>
        <v>0</v>
      </c>
      <c r="L332" s="2">
        <f t="shared" si="155"/>
        <v>0</v>
      </c>
      <c r="XJ332" cm="1">
        <f t="array" ref="XJ332:XL332">SUMIFS($M332:$GJ332,$M$1:$GJ$1,XJ$3:XL$3)</f>
        <v>0</v>
      </c>
      <c r="XK332">
        <v>0</v>
      </c>
      <c r="XL332">
        <v>0</v>
      </c>
      <c r="XM332" cm="1">
        <f t="array" ref="XM332">IFERROR(MAX((_xlfn.ANCHORARRAY(XJ332)-AVERAGE(_xlfn.ANCHORARRAY(XJ332)))/ AVERAGE(_xlfn.ANCHORARRAY(XJ332))),0)</f>
        <v>0</v>
      </c>
      <c r="XN332" t="str" cm="1">
        <f t="array" ref="XN332">IF(XM332&gt;$XN$1,_xlfn.XLOOKUP(MAX(_xlfn.ANCHORARRAY(XJ332)),_xlfn.ANCHORARRAY(XJ332),XJ$4:XL$4,""),"")</f>
        <v/>
      </c>
      <c r="XP332" cm="1">
        <f t="array" ref="XP332:XT332">SUMIFS($M332:$GJ332,$M$3:$GJ$3,XP$3:XT$3)</f>
        <v>0</v>
      </c>
      <c r="XQ332">
        <v>0</v>
      </c>
      <c r="XR332">
        <v>0</v>
      </c>
      <c r="XS332">
        <v>0</v>
      </c>
      <c r="XT332">
        <v>0</v>
      </c>
      <c r="XU332" cm="1">
        <f t="array" ref="XU332">IFERROR(MAX((_xlfn.ANCHORARRAY(XP332)-AVERAGE(_xlfn.ANCHORARRAY(XP332)))/ AVERAGE(_xlfn.ANCHORARRAY(XP332))),0)</f>
        <v>0</v>
      </c>
      <c r="XV332" t="str" cm="1">
        <f t="array" ref="XV332">IF(AND(XU332&gt;$XV$1,XN332&lt;&gt;""),_xlfn.XLOOKUP(MAX(_xlfn.ANCHORARRAY(XP332)),_xlfn.ANCHORARRAY(XP332),XP$4:XT$4,""),"")</f>
        <v/>
      </c>
      <c r="XX332" cm="1">
        <f t="array" ref="XX332:YG332">SUMIFS($M332:$GJ332,$M$2:$GJ$2,XX$3:YG$3)</f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 cm="1">
        <f t="array" ref="YH332">IFERROR(MAX((_xlfn.ANCHORARRAY(XX332)-AVERAGE(_xlfn.ANCHORARRAY(XX332)))/ AVERAGE(_xlfn.ANCHORARRAY(XX332))),0)</f>
        <v>0</v>
      </c>
      <c r="YI332" t="str" cm="1">
        <f t="array" ref="YI332">IF(YH332&gt;$YI$1,_xlfn.XLOOKUP(MAX(_xlfn.ANCHORARRAY(XX332)),_xlfn.ANCHORARRAY(XX332),XX$4:YG$4,""),"")</f>
        <v/>
      </c>
      <c r="YK332" t="str">
        <f t="shared" si="156"/>
        <v/>
      </c>
    </row>
    <row r="333" spans="2:661" x14ac:dyDescent="0.3">
      <c r="B333" s="2" t="str">
        <f t="shared" si="145"/>
        <v>CHA</v>
      </c>
      <c r="C333" s="2" t="str">
        <f t="shared" si="146"/>
        <v>CHA</v>
      </c>
      <c r="D333" s="2" t="str">
        <f t="shared" si="147"/>
        <v>CHA</v>
      </c>
      <c r="E333" s="2" t="str">
        <f t="shared" si="148"/>
        <v/>
      </c>
      <c r="F333" s="2" t="str">
        <f t="shared" si="149"/>
        <v/>
      </c>
      <c r="G333" s="2">
        <f t="shared" si="150"/>
        <v>0</v>
      </c>
      <c r="H333" s="2">
        <f t="shared" si="151"/>
        <v>0</v>
      </c>
      <c r="I333" s="2">
        <f t="shared" si="152"/>
        <v>0</v>
      </c>
      <c r="J333" s="2">
        <f t="shared" si="153"/>
        <v>0</v>
      </c>
      <c r="K333" s="2">
        <f t="shared" si="154"/>
        <v>0</v>
      </c>
      <c r="L333" s="2">
        <f t="shared" si="155"/>
        <v>0</v>
      </c>
      <c r="XJ333" cm="1">
        <f t="array" ref="XJ333:XL333">SUMIFS($M333:$GJ333,$M$1:$GJ$1,XJ$3:XL$3)</f>
        <v>0</v>
      </c>
      <c r="XK333">
        <v>0</v>
      </c>
      <c r="XL333">
        <v>0</v>
      </c>
      <c r="XM333" cm="1">
        <f t="array" ref="XM333">IFERROR(MAX((_xlfn.ANCHORARRAY(XJ333)-AVERAGE(_xlfn.ANCHORARRAY(XJ333)))/ AVERAGE(_xlfn.ANCHORARRAY(XJ333))),0)</f>
        <v>0</v>
      </c>
      <c r="XN333" t="str" cm="1">
        <f t="array" ref="XN333">IF(XM333&gt;$XN$1,_xlfn.XLOOKUP(MAX(_xlfn.ANCHORARRAY(XJ333)),_xlfn.ANCHORARRAY(XJ333),XJ$4:XL$4,""),"")</f>
        <v/>
      </c>
      <c r="XP333" cm="1">
        <f t="array" ref="XP333:XT333">SUMIFS($M333:$GJ333,$M$3:$GJ$3,XP$3:XT$3)</f>
        <v>0</v>
      </c>
      <c r="XQ333">
        <v>0</v>
      </c>
      <c r="XR333">
        <v>0</v>
      </c>
      <c r="XS333">
        <v>0</v>
      </c>
      <c r="XT333">
        <v>0</v>
      </c>
      <c r="XU333" cm="1">
        <f t="array" ref="XU333">IFERROR(MAX((_xlfn.ANCHORARRAY(XP333)-AVERAGE(_xlfn.ANCHORARRAY(XP333)))/ AVERAGE(_xlfn.ANCHORARRAY(XP333))),0)</f>
        <v>0</v>
      </c>
      <c r="XV333" t="str" cm="1">
        <f t="array" ref="XV333">IF(AND(XU333&gt;$XV$1,XN333&lt;&gt;""),_xlfn.XLOOKUP(MAX(_xlfn.ANCHORARRAY(XP333)),_xlfn.ANCHORARRAY(XP333),XP$4:XT$4,""),"")</f>
        <v/>
      </c>
      <c r="XX333" cm="1">
        <f t="array" ref="XX333:YG333">SUMIFS($M333:$GJ333,$M$2:$GJ$2,XX$3:YG$3)</f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 cm="1">
        <f t="array" ref="YH333">IFERROR(MAX((_xlfn.ANCHORARRAY(XX333)-AVERAGE(_xlfn.ANCHORARRAY(XX333)))/ AVERAGE(_xlfn.ANCHORARRAY(XX333))),0)</f>
        <v>0</v>
      </c>
      <c r="YI333" t="str" cm="1">
        <f t="array" ref="YI333">IF(YH333&gt;$YI$1,_xlfn.XLOOKUP(MAX(_xlfn.ANCHORARRAY(XX333)),_xlfn.ANCHORARRAY(XX333),XX$4:YG$4,""),"")</f>
        <v/>
      </c>
      <c r="YK333" t="str">
        <f t="shared" si="156"/>
        <v/>
      </c>
    </row>
    <row r="334" spans="2:661" x14ac:dyDescent="0.3">
      <c r="B334" s="2" t="str">
        <f t="shared" si="145"/>
        <v>CHA</v>
      </c>
      <c r="C334" s="2" t="str">
        <f t="shared" si="146"/>
        <v>CHA</v>
      </c>
      <c r="D334" s="2" t="str">
        <f t="shared" si="147"/>
        <v>CHA</v>
      </c>
      <c r="E334" s="2" t="str">
        <f t="shared" si="148"/>
        <v/>
      </c>
      <c r="F334" s="2" t="str">
        <f t="shared" si="149"/>
        <v/>
      </c>
      <c r="G334" s="2">
        <f t="shared" si="150"/>
        <v>0</v>
      </c>
      <c r="H334" s="2">
        <f t="shared" si="151"/>
        <v>0</v>
      </c>
      <c r="I334" s="2">
        <f t="shared" si="152"/>
        <v>0</v>
      </c>
      <c r="J334" s="2">
        <f t="shared" si="153"/>
        <v>0</v>
      </c>
      <c r="K334" s="2">
        <f t="shared" si="154"/>
        <v>0</v>
      </c>
      <c r="L334" s="2">
        <f t="shared" si="155"/>
        <v>0</v>
      </c>
      <c r="XJ334" cm="1">
        <f t="array" ref="XJ334:XL334">SUMIFS($M334:$GJ334,$M$1:$GJ$1,XJ$3:XL$3)</f>
        <v>0</v>
      </c>
      <c r="XK334">
        <v>0</v>
      </c>
      <c r="XL334">
        <v>0</v>
      </c>
      <c r="XM334" cm="1">
        <f t="array" ref="XM334">IFERROR(MAX((_xlfn.ANCHORARRAY(XJ334)-AVERAGE(_xlfn.ANCHORARRAY(XJ334)))/ AVERAGE(_xlfn.ANCHORARRAY(XJ334))),0)</f>
        <v>0</v>
      </c>
      <c r="XN334" t="str" cm="1">
        <f t="array" ref="XN334">IF(XM334&gt;$XN$1,_xlfn.XLOOKUP(MAX(_xlfn.ANCHORARRAY(XJ334)),_xlfn.ANCHORARRAY(XJ334),XJ$4:XL$4,""),"")</f>
        <v/>
      </c>
      <c r="XP334" cm="1">
        <f t="array" ref="XP334:XT334">SUMIFS($M334:$GJ334,$M$3:$GJ$3,XP$3:XT$3)</f>
        <v>0</v>
      </c>
      <c r="XQ334">
        <v>0</v>
      </c>
      <c r="XR334">
        <v>0</v>
      </c>
      <c r="XS334">
        <v>0</v>
      </c>
      <c r="XT334">
        <v>0</v>
      </c>
      <c r="XU334" cm="1">
        <f t="array" ref="XU334">IFERROR(MAX((_xlfn.ANCHORARRAY(XP334)-AVERAGE(_xlfn.ANCHORARRAY(XP334)))/ AVERAGE(_xlfn.ANCHORARRAY(XP334))),0)</f>
        <v>0</v>
      </c>
      <c r="XV334" t="str" cm="1">
        <f t="array" ref="XV334">IF(AND(XU334&gt;$XV$1,XN334&lt;&gt;""),_xlfn.XLOOKUP(MAX(_xlfn.ANCHORARRAY(XP334)),_xlfn.ANCHORARRAY(XP334),XP$4:XT$4,""),"")</f>
        <v/>
      </c>
      <c r="XX334" cm="1">
        <f t="array" ref="XX334:YG334">SUMIFS($M334:$GJ334,$M$2:$GJ$2,XX$3:YG$3)</f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 cm="1">
        <f t="array" ref="YH334">IFERROR(MAX((_xlfn.ANCHORARRAY(XX334)-AVERAGE(_xlfn.ANCHORARRAY(XX334)))/ AVERAGE(_xlfn.ANCHORARRAY(XX334))),0)</f>
        <v>0</v>
      </c>
      <c r="YI334" t="str" cm="1">
        <f t="array" ref="YI334">IF(YH334&gt;$YI$1,_xlfn.XLOOKUP(MAX(_xlfn.ANCHORARRAY(XX334)),_xlfn.ANCHORARRAY(XX334),XX$4:YG$4,""),"")</f>
        <v/>
      </c>
      <c r="YK334" t="str">
        <f t="shared" si="156"/>
        <v/>
      </c>
    </row>
    <row r="335" spans="2:661" x14ac:dyDescent="0.3">
      <c r="B335" s="2" t="str">
        <f t="shared" si="145"/>
        <v>CHA</v>
      </c>
      <c r="C335" s="2" t="str">
        <f t="shared" si="146"/>
        <v>CHA</v>
      </c>
      <c r="D335" s="2" t="str">
        <f t="shared" si="147"/>
        <v>CHA</v>
      </c>
      <c r="E335" s="2" t="str">
        <f t="shared" si="148"/>
        <v/>
      </c>
      <c r="F335" s="2" t="str">
        <f t="shared" si="149"/>
        <v/>
      </c>
      <c r="G335" s="2">
        <f t="shared" si="150"/>
        <v>0</v>
      </c>
      <c r="H335" s="2">
        <f t="shared" si="151"/>
        <v>0</v>
      </c>
      <c r="I335" s="2">
        <f t="shared" si="152"/>
        <v>0</v>
      </c>
      <c r="J335" s="2">
        <f t="shared" si="153"/>
        <v>0</v>
      </c>
      <c r="K335" s="2">
        <f t="shared" si="154"/>
        <v>0</v>
      </c>
      <c r="L335" s="2">
        <f t="shared" si="155"/>
        <v>0</v>
      </c>
      <c r="XJ335" cm="1">
        <f t="array" ref="XJ335:XL335">SUMIFS($M335:$GJ335,$M$1:$GJ$1,XJ$3:XL$3)</f>
        <v>0</v>
      </c>
      <c r="XK335">
        <v>0</v>
      </c>
      <c r="XL335">
        <v>0</v>
      </c>
      <c r="XM335" cm="1">
        <f t="array" ref="XM335">IFERROR(MAX((_xlfn.ANCHORARRAY(XJ335)-AVERAGE(_xlfn.ANCHORARRAY(XJ335)))/ AVERAGE(_xlfn.ANCHORARRAY(XJ335))),0)</f>
        <v>0</v>
      </c>
      <c r="XN335" t="str" cm="1">
        <f t="array" ref="XN335">IF(XM335&gt;$XN$1,_xlfn.XLOOKUP(MAX(_xlfn.ANCHORARRAY(XJ335)),_xlfn.ANCHORARRAY(XJ335),XJ$4:XL$4,""),"")</f>
        <v/>
      </c>
      <c r="XP335" cm="1">
        <f t="array" ref="XP335:XT335">SUMIFS($M335:$GJ335,$M$3:$GJ$3,XP$3:XT$3)</f>
        <v>0</v>
      </c>
      <c r="XQ335">
        <v>0</v>
      </c>
      <c r="XR335">
        <v>0</v>
      </c>
      <c r="XS335">
        <v>0</v>
      </c>
      <c r="XT335">
        <v>0</v>
      </c>
      <c r="XU335" cm="1">
        <f t="array" ref="XU335">IFERROR(MAX((_xlfn.ANCHORARRAY(XP335)-AVERAGE(_xlfn.ANCHORARRAY(XP335)))/ AVERAGE(_xlfn.ANCHORARRAY(XP335))),0)</f>
        <v>0</v>
      </c>
      <c r="XV335" t="str" cm="1">
        <f t="array" ref="XV335">IF(AND(XU335&gt;$XV$1,XN335&lt;&gt;""),_xlfn.XLOOKUP(MAX(_xlfn.ANCHORARRAY(XP335)),_xlfn.ANCHORARRAY(XP335),XP$4:XT$4,""),"")</f>
        <v/>
      </c>
      <c r="XX335" cm="1">
        <f t="array" ref="XX335:YG335">SUMIFS($M335:$GJ335,$M$2:$GJ$2,XX$3:YG$3)</f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 cm="1">
        <f t="array" ref="YH335">IFERROR(MAX((_xlfn.ANCHORARRAY(XX335)-AVERAGE(_xlfn.ANCHORARRAY(XX335)))/ AVERAGE(_xlfn.ANCHORARRAY(XX335))),0)</f>
        <v>0</v>
      </c>
      <c r="YI335" t="str" cm="1">
        <f t="array" ref="YI335">IF(YH335&gt;$YI$1,_xlfn.XLOOKUP(MAX(_xlfn.ANCHORARRAY(XX335)),_xlfn.ANCHORARRAY(XX335),XX$4:YG$4,""),"")</f>
        <v/>
      </c>
      <c r="YK335" t="str">
        <f t="shared" si="156"/>
        <v/>
      </c>
    </row>
    <row r="336" spans="2:661" x14ac:dyDescent="0.3">
      <c r="B336" s="2" t="str">
        <f t="shared" si="145"/>
        <v>CHA</v>
      </c>
      <c r="C336" s="2" t="str">
        <f t="shared" si="146"/>
        <v>CHA</v>
      </c>
      <c r="D336" s="2" t="str">
        <f t="shared" si="147"/>
        <v>CHA</v>
      </c>
      <c r="E336" s="2" t="str">
        <f t="shared" si="148"/>
        <v/>
      </c>
      <c r="F336" s="2" t="str">
        <f t="shared" si="149"/>
        <v/>
      </c>
      <c r="G336" s="2">
        <f t="shared" si="150"/>
        <v>0</v>
      </c>
      <c r="H336" s="2">
        <f t="shared" si="151"/>
        <v>0</v>
      </c>
      <c r="I336" s="2">
        <f t="shared" si="152"/>
        <v>0</v>
      </c>
      <c r="J336" s="2">
        <f t="shared" si="153"/>
        <v>0</v>
      </c>
      <c r="K336" s="2">
        <f t="shared" si="154"/>
        <v>0</v>
      </c>
      <c r="L336" s="2">
        <f t="shared" si="155"/>
        <v>0</v>
      </c>
      <c r="XJ336" cm="1">
        <f t="array" ref="XJ336:XL336">SUMIFS($M336:$GJ336,$M$1:$GJ$1,XJ$3:XL$3)</f>
        <v>0</v>
      </c>
      <c r="XK336">
        <v>0</v>
      </c>
      <c r="XL336">
        <v>0</v>
      </c>
      <c r="XM336" cm="1">
        <f t="array" ref="XM336">IFERROR(MAX((_xlfn.ANCHORARRAY(XJ336)-AVERAGE(_xlfn.ANCHORARRAY(XJ336)))/ AVERAGE(_xlfn.ANCHORARRAY(XJ336))),0)</f>
        <v>0</v>
      </c>
      <c r="XN336" t="str" cm="1">
        <f t="array" ref="XN336">IF(XM336&gt;$XN$1,_xlfn.XLOOKUP(MAX(_xlfn.ANCHORARRAY(XJ336)),_xlfn.ANCHORARRAY(XJ336),XJ$4:XL$4,""),"")</f>
        <v/>
      </c>
      <c r="XP336" cm="1">
        <f t="array" ref="XP336:XT336">SUMIFS($M336:$GJ336,$M$3:$GJ$3,XP$3:XT$3)</f>
        <v>0</v>
      </c>
      <c r="XQ336">
        <v>0</v>
      </c>
      <c r="XR336">
        <v>0</v>
      </c>
      <c r="XS336">
        <v>0</v>
      </c>
      <c r="XT336">
        <v>0</v>
      </c>
      <c r="XU336" cm="1">
        <f t="array" ref="XU336">IFERROR(MAX((_xlfn.ANCHORARRAY(XP336)-AVERAGE(_xlfn.ANCHORARRAY(XP336)))/ AVERAGE(_xlfn.ANCHORARRAY(XP336))),0)</f>
        <v>0</v>
      </c>
      <c r="XV336" t="str" cm="1">
        <f t="array" ref="XV336">IF(AND(XU336&gt;$XV$1,XN336&lt;&gt;""),_xlfn.XLOOKUP(MAX(_xlfn.ANCHORARRAY(XP336)),_xlfn.ANCHORARRAY(XP336),XP$4:XT$4,""),"")</f>
        <v/>
      </c>
      <c r="XX336" cm="1">
        <f t="array" ref="XX336:YG336">SUMIFS($M336:$GJ336,$M$2:$GJ$2,XX$3:YG$3)</f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 cm="1">
        <f t="array" ref="YH336">IFERROR(MAX((_xlfn.ANCHORARRAY(XX336)-AVERAGE(_xlfn.ANCHORARRAY(XX336)))/ AVERAGE(_xlfn.ANCHORARRAY(XX336))),0)</f>
        <v>0</v>
      </c>
      <c r="YI336" t="str" cm="1">
        <f t="array" ref="YI336">IF(YH336&gt;$YI$1,_xlfn.XLOOKUP(MAX(_xlfn.ANCHORARRAY(XX336)),_xlfn.ANCHORARRAY(XX336),XX$4:YG$4,""),"")</f>
        <v/>
      </c>
      <c r="YK336" t="str">
        <f t="shared" si="156"/>
        <v/>
      </c>
    </row>
    <row r="337" spans="2:661" x14ac:dyDescent="0.3">
      <c r="B337" s="2" t="str">
        <f t="shared" si="145"/>
        <v>CHA</v>
      </c>
      <c r="C337" s="2" t="str">
        <f t="shared" si="146"/>
        <v>CHA</v>
      </c>
      <c r="D337" s="2" t="str">
        <f t="shared" si="147"/>
        <v>CHA</v>
      </c>
      <c r="E337" s="2" t="str">
        <f t="shared" si="148"/>
        <v/>
      </c>
      <c r="F337" s="2" t="str">
        <f t="shared" si="149"/>
        <v/>
      </c>
      <c r="G337" s="2">
        <f t="shared" si="150"/>
        <v>0</v>
      </c>
      <c r="H337" s="2">
        <f t="shared" si="151"/>
        <v>0</v>
      </c>
      <c r="I337" s="2">
        <f t="shared" si="152"/>
        <v>0</v>
      </c>
      <c r="J337" s="2">
        <f t="shared" si="153"/>
        <v>0</v>
      </c>
      <c r="K337" s="2">
        <f t="shared" si="154"/>
        <v>0</v>
      </c>
      <c r="L337" s="2">
        <f t="shared" si="155"/>
        <v>0</v>
      </c>
      <c r="XJ337" cm="1">
        <f t="array" ref="XJ337:XL337">SUMIFS($M337:$GJ337,$M$1:$GJ$1,XJ$3:XL$3)</f>
        <v>0</v>
      </c>
      <c r="XK337">
        <v>0</v>
      </c>
      <c r="XL337">
        <v>0</v>
      </c>
      <c r="XM337" cm="1">
        <f t="array" ref="XM337">IFERROR(MAX((_xlfn.ANCHORARRAY(XJ337)-AVERAGE(_xlfn.ANCHORARRAY(XJ337)))/ AVERAGE(_xlfn.ANCHORARRAY(XJ337))),0)</f>
        <v>0</v>
      </c>
      <c r="XN337" t="str" cm="1">
        <f t="array" ref="XN337">IF(XM337&gt;$XN$1,_xlfn.XLOOKUP(MAX(_xlfn.ANCHORARRAY(XJ337)),_xlfn.ANCHORARRAY(XJ337),XJ$4:XL$4,""),"")</f>
        <v/>
      </c>
      <c r="XP337" cm="1">
        <f t="array" ref="XP337:XT337">SUMIFS($M337:$GJ337,$M$3:$GJ$3,XP$3:XT$3)</f>
        <v>0</v>
      </c>
      <c r="XQ337">
        <v>0</v>
      </c>
      <c r="XR337">
        <v>0</v>
      </c>
      <c r="XS337">
        <v>0</v>
      </c>
      <c r="XT337">
        <v>0</v>
      </c>
      <c r="XU337" cm="1">
        <f t="array" ref="XU337">IFERROR(MAX((_xlfn.ANCHORARRAY(XP337)-AVERAGE(_xlfn.ANCHORARRAY(XP337)))/ AVERAGE(_xlfn.ANCHORARRAY(XP337))),0)</f>
        <v>0</v>
      </c>
      <c r="XV337" t="str" cm="1">
        <f t="array" ref="XV337">IF(AND(XU337&gt;$XV$1,XN337&lt;&gt;""),_xlfn.XLOOKUP(MAX(_xlfn.ANCHORARRAY(XP337)),_xlfn.ANCHORARRAY(XP337),XP$4:XT$4,""),"")</f>
        <v/>
      </c>
      <c r="XX337" cm="1">
        <f t="array" ref="XX337:YG337">SUMIFS($M337:$GJ337,$M$2:$GJ$2,XX$3:YG$3)</f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 cm="1">
        <f t="array" ref="YH337">IFERROR(MAX((_xlfn.ANCHORARRAY(XX337)-AVERAGE(_xlfn.ANCHORARRAY(XX337)))/ AVERAGE(_xlfn.ANCHORARRAY(XX337))),0)</f>
        <v>0</v>
      </c>
      <c r="YI337" t="str" cm="1">
        <f t="array" ref="YI337">IF(YH337&gt;$YI$1,_xlfn.XLOOKUP(MAX(_xlfn.ANCHORARRAY(XX337)),_xlfn.ANCHORARRAY(XX337),XX$4:YG$4,""),"")</f>
        <v/>
      </c>
      <c r="YK337" t="str">
        <f t="shared" si="156"/>
        <v/>
      </c>
    </row>
    <row r="338" spans="2:661" x14ac:dyDescent="0.3">
      <c r="B338" s="2" t="str">
        <f t="shared" si="145"/>
        <v>CHA</v>
      </c>
      <c r="C338" s="2" t="str">
        <f t="shared" si="146"/>
        <v>CHA</v>
      </c>
      <c r="D338" s="2" t="str">
        <f t="shared" si="147"/>
        <v>CHA</v>
      </c>
      <c r="E338" s="2" t="str">
        <f t="shared" si="148"/>
        <v/>
      </c>
      <c r="F338" s="2" t="str">
        <f t="shared" si="149"/>
        <v/>
      </c>
      <c r="G338" s="2">
        <f t="shared" si="150"/>
        <v>0</v>
      </c>
      <c r="H338" s="2">
        <f t="shared" si="151"/>
        <v>0</v>
      </c>
      <c r="I338" s="2">
        <f t="shared" si="152"/>
        <v>0</v>
      </c>
      <c r="J338" s="2">
        <f t="shared" si="153"/>
        <v>0</v>
      </c>
      <c r="K338" s="2">
        <f t="shared" si="154"/>
        <v>0</v>
      </c>
      <c r="L338" s="2">
        <f t="shared" si="155"/>
        <v>0</v>
      </c>
      <c r="XJ338" cm="1">
        <f t="array" ref="XJ338:XL338">SUMIFS($M338:$GJ338,$M$1:$GJ$1,XJ$3:XL$3)</f>
        <v>0</v>
      </c>
      <c r="XK338">
        <v>0</v>
      </c>
      <c r="XL338">
        <v>0</v>
      </c>
      <c r="XM338" cm="1">
        <f t="array" ref="XM338">IFERROR(MAX((_xlfn.ANCHORARRAY(XJ338)-AVERAGE(_xlfn.ANCHORARRAY(XJ338)))/ AVERAGE(_xlfn.ANCHORARRAY(XJ338))),0)</f>
        <v>0</v>
      </c>
      <c r="XN338" t="str" cm="1">
        <f t="array" ref="XN338">IF(XM338&gt;$XN$1,_xlfn.XLOOKUP(MAX(_xlfn.ANCHORARRAY(XJ338)),_xlfn.ANCHORARRAY(XJ338),XJ$4:XL$4,""),"")</f>
        <v/>
      </c>
      <c r="XP338" cm="1">
        <f t="array" ref="XP338:XT338">SUMIFS($M338:$GJ338,$M$3:$GJ$3,XP$3:XT$3)</f>
        <v>0</v>
      </c>
      <c r="XQ338">
        <v>0</v>
      </c>
      <c r="XR338">
        <v>0</v>
      </c>
      <c r="XS338">
        <v>0</v>
      </c>
      <c r="XT338">
        <v>0</v>
      </c>
      <c r="XU338" cm="1">
        <f t="array" ref="XU338">IFERROR(MAX((_xlfn.ANCHORARRAY(XP338)-AVERAGE(_xlfn.ANCHORARRAY(XP338)))/ AVERAGE(_xlfn.ANCHORARRAY(XP338))),0)</f>
        <v>0</v>
      </c>
      <c r="XV338" t="str" cm="1">
        <f t="array" ref="XV338">IF(AND(XU338&gt;$XV$1,XN338&lt;&gt;""),_xlfn.XLOOKUP(MAX(_xlfn.ANCHORARRAY(XP338)),_xlfn.ANCHORARRAY(XP338),XP$4:XT$4,""),"")</f>
        <v/>
      </c>
      <c r="XX338" cm="1">
        <f t="array" ref="XX338:YG338">SUMIFS($M338:$GJ338,$M$2:$GJ$2,XX$3:YG$3)</f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 cm="1">
        <f t="array" ref="YH338">IFERROR(MAX((_xlfn.ANCHORARRAY(XX338)-AVERAGE(_xlfn.ANCHORARRAY(XX338)))/ AVERAGE(_xlfn.ANCHORARRAY(XX338))),0)</f>
        <v>0</v>
      </c>
      <c r="YI338" t="str" cm="1">
        <f t="array" ref="YI338">IF(YH338&gt;$YI$1,_xlfn.XLOOKUP(MAX(_xlfn.ANCHORARRAY(XX338)),_xlfn.ANCHORARRAY(XX338),XX$4:YG$4,""),"")</f>
        <v/>
      </c>
      <c r="YK338" t="str">
        <f t="shared" si="156"/>
        <v/>
      </c>
    </row>
    <row r="339" spans="2:661" x14ac:dyDescent="0.3">
      <c r="B339" s="2" t="str">
        <f t="shared" si="145"/>
        <v>CHA</v>
      </c>
      <c r="C339" s="2" t="str">
        <f t="shared" si="146"/>
        <v>CHA</v>
      </c>
      <c r="D339" s="2" t="str">
        <f t="shared" si="147"/>
        <v>CHA</v>
      </c>
      <c r="E339" s="2" t="str">
        <f t="shared" si="148"/>
        <v/>
      </c>
      <c r="F339" s="2" t="str">
        <f t="shared" si="149"/>
        <v/>
      </c>
      <c r="G339" s="2">
        <f t="shared" si="150"/>
        <v>0</v>
      </c>
      <c r="H339" s="2">
        <f t="shared" si="151"/>
        <v>0</v>
      </c>
      <c r="I339" s="2">
        <f t="shared" si="152"/>
        <v>0</v>
      </c>
      <c r="J339" s="2">
        <f t="shared" si="153"/>
        <v>0</v>
      </c>
      <c r="K339" s="2">
        <f t="shared" si="154"/>
        <v>0</v>
      </c>
      <c r="L339" s="2">
        <f t="shared" si="155"/>
        <v>0</v>
      </c>
      <c r="XJ339" cm="1">
        <f t="array" ref="XJ339:XL339">SUMIFS($M339:$GJ339,$M$1:$GJ$1,XJ$3:XL$3)</f>
        <v>0</v>
      </c>
      <c r="XK339">
        <v>0</v>
      </c>
      <c r="XL339">
        <v>0</v>
      </c>
      <c r="XM339" cm="1">
        <f t="array" ref="XM339">IFERROR(MAX((_xlfn.ANCHORARRAY(XJ339)-AVERAGE(_xlfn.ANCHORARRAY(XJ339)))/ AVERAGE(_xlfn.ANCHORARRAY(XJ339))),0)</f>
        <v>0</v>
      </c>
      <c r="XN339" t="str" cm="1">
        <f t="array" ref="XN339">IF(XM339&gt;$XN$1,_xlfn.XLOOKUP(MAX(_xlfn.ANCHORARRAY(XJ339)),_xlfn.ANCHORARRAY(XJ339),XJ$4:XL$4,""),"")</f>
        <v/>
      </c>
      <c r="XP339" cm="1">
        <f t="array" ref="XP339:XT339">SUMIFS($M339:$GJ339,$M$3:$GJ$3,XP$3:XT$3)</f>
        <v>0</v>
      </c>
      <c r="XQ339">
        <v>0</v>
      </c>
      <c r="XR339">
        <v>0</v>
      </c>
      <c r="XS339">
        <v>0</v>
      </c>
      <c r="XT339">
        <v>0</v>
      </c>
      <c r="XU339" cm="1">
        <f t="array" ref="XU339">IFERROR(MAX((_xlfn.ANCHORARRAY(XP339)-AVERAGE(_xlfn.ANCHORARRAY(XP339)))/ AVERAGE(_xlfn.ANCHORARRAY(XP339))),0)</f>
        <v>0</v>
      </c>
      <c r="XV339" t="str" cm="1">
        <f t="array" ref="XV339">IF(AND(XU339&gt;$XV$1,XN339&lt;&gt;""),_xlfn.XLOOKUP(MAX(_xlfn.ANCHORARRAY(XP339)),_xlfn.ANCHORARRAY(XP339),XP$4:XT$4,""),"")</f>
        <v/>
      </c>
      <c r="XX339" cm="1">
        <f t="array" ref="XX339:YG339">SUMIFS($M339:$GJ339,$M$2:$GJ$2,XX$3:YG$3)</f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 cm="1">
        <f t="array" ref="YH339">IFERROR(MAX((_xlfn.ANCHORARRAY(XX339)-AVERAGE(_xlfn.ANCHORARRAY(XX339)))/ AVERAGE(_xlfn.ANCHORARRAY(XX339))),0)</f>
        <v>0</v>
      </c>
      <c r="YI339" t="str" cm="1">
        <f t="array" ref="YI339">IF(YH339&gt;$YI$1,_xlfn.XLOOKUP(MAX(_xlfn.ANCHORARRAY(XX339)),_xlfn.ANCHORARRAY(XX339),XX$4:YG$4,""),"")</f>
        <v/>
      </c>
      <c r="YK339" t="str">
        <f t="shared" si="156"/>
        <v/>
      </c>
    </row>
    <row r="340" spans="2:661" x14ac:dyDescent="0.3">
      <c r="B340" s="2" t="str">
        <f t="shared" si="145"/>
        <v>CHA</v>
      </c>
      <c r="C340" s="2" t="str">
        <f t="shared" si="146"/>
        <v>CHA</v>
      </c>
      <c r="D340" s="2" t="str">
        <f t="shared" si="147"/>
        <v>CHA</v>
      </c>
      <c r="E340" s="2" t="str">
        <f t="shared" si="148"/>
        <v/>
      </c>
      <c r="F340" s="2" t="str">
        <f t="shared" si="149"/>
        <v/>
      </c>
      <c r="G340" s="2">
        <f t="shared" si="150"/>
        <v>0</v>
      </c>
      <c r="H340" s="2">
        <f t="shared" si="151"/>
        <v>0</v>
      </c>
      <c r="I340" s="2">
        <f t="shared" si="152"/>
        <v>0</v>
      </c>
      <c r="J340" s="2">
        <f t="shared" si="153"/>
        <v>0</v>
      </c>
      <c r="K340" s="2">
        <f t="shared" si="154"/>
        <v>0</v>
      </c>
      <c r="L340" s="2">
        <f t="shared" si="155"/>
        <v>0</v>
      </c>
      <c r="XJ340" cm="1">
        <f t="array" ref="XJ340:XL340">SUMIFS($M340:$GJ340,$M$1:$GJ$1,XJ$3:XL$3)</f>
        <v>0</v>
      </c>
      <c r="XK340">
        <v>0</v>
      </c>
      <c r="XL340">
        <v>0</v>
      </c>
      <c r="XM340" cm="1">
        <f t="array" ref="XM340">IFERROR(MAX((_xlfn.ANCHORARRAY(XJ340)-AVERAGE(_xlfn.ANCHORARRAY(XJ340)))/ AVERAGE(_xlfn.ANCHORARRAY(XJ340))),0)</f>
        <v>0</v>
      </c>
      <c r="XN340" t="str" cm="1">
        <f t="array" ref="XN340">IF(XM340&gt;$XN$1,_xlfn.XLOOKUP(MAX(_xlfn.ANCHORARRAY(XJ340)),_xlfn.ANCHORARRAY(XJ340),XJ$4:XL$4,""),"")</f>
        <v/>
      </c>
      <c r="XP340" cm="1">
        <f t="array" ref="XP340:XT340">SUMIFS($M340:$GJ340,$M$3:$GJ$3,XP$3:XT$3)</f>
        <v>0</v>
      </c>
      <c r="XQ340">
        <v>0</v>
      </c>
      <c r="XR340">
        <v>0</v>
      </c>
      <c r="XS340">
        <v>0</v>
      </c>
      <c r="XT340">
        <v>0</v>
      </c>
      <c r="XU340" cm="1">
        <f t="array" ref="XU340">IFERROR(MAX((_xlfn.ANCHORARRAY(XP340)-AVERAGE(_xlfn.ANCHORARRAY(XP340)))/ AVERAGE(_xlfn.ANCHORARRAY(XP340))),0)</f>
        <v>0</v>
      </c>
      <c r="XV340" t="str" cm="1">
        <f t="array" ref="XV340">IF(AND(XU340&gt;$XV$1,XN340&lt;&gt;""),_xlfn.XLOOKUP(MAX(_xlfn.ANCHORARRAY(XP340)),_xlfn.ANCHORARRAY(XP340),XP$4:XT$4,""),"")</f>
        <v/>
      </c>
      <c r="XX340" cm="1">
        <f t="array" ref="XX340:YG340">SUMIFS($M340:$GJ340,$M$2:$GJ$2,XX$3:YG$3)</f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 cm="1">
        <f t="array" ref="YH340">IFERROR(MAX((_xlfn.ANCHORARRAY(XX340)-AVERAGE(_xlfn.ANCHORARRAY(XX340)))/ AVERAGE(_xlfn.ANCHORARRAY(XX340))),0)</f>
        <v>0</v>
      </c>
      <c r="YI340" t="str" cm="1">
        <f t="array" ref="YI340">IF(YH340&gt;$YI$1,_xlfn.XLOOKUP(MAX(_xlfn.ANCHORARRAY(XX340)),_xlfn.ANCHORARRAY(XX340),XX$4:YG$4,""),"")</f>
        <v/>
      </c>
      <c r="YK340" t="str">
        <f t="shared" si="156"/>
        <v/>
      </c>
    </row>
    <row r="341" spans="2:661" x14ac:dyDescent="0.3">
      <c r="B341" s="2" t="str">
        <f t="shared" si="145"/>
        <v>CHA</v>
      </c>
      <c r="C341" s="2" t="str">
        <f t="shared" si="146"/>
        <v>CHA</v>
      </c>
      <c r="D341" s="2" t="str">
        <f t="shared" si="147"/>
        <v>CHA</v>
      </c>
      <c r="E341" s="2" t="str">
        <f t="shared" si="148"/>
        <v/>
      </c>
      <c r="F341" s="2" t="str">
        <f t="shared" si="149"/>
        <v/>
      </c>
      <c r="G341" s="2">
        <f t="shared" si="150"/>
        <v>0</v>
      </c>
      <c r="H341" s="2">
        <f t="shared" si="151"/>
        <v>0</v>
      </c>
      <c r="I341" s="2">
        <f t="shared" si="152"/>
        <v>0</v>
      </c>
      <c r="J341" s="2">
        <f t="shared" si="153"/>
        <v>0</v>
      </c>
      <c r="K341" s="2">
        <f t="shared" si="154"/>
        <v>0</v>
      </c>
      <c r="L341" s="2">
        <f t="shared" si="155"/>
        <v>0</v>
      </c>
      <c r="XJ341" cm="1">
        <f t="array" ref="XJ341:XL341">SUMIFS($M341:$GJ341,$M$1:$GJ$1,XJ$3:XL$3)</f>
        <v>0</v>
      </c>
      <c r="XK341">
        <v>0</v>
      </c>
      <c r="XL341">
        <v>0</v>
      </c>
      <c r="XM341" cm="1">
        <f t="array" ref="XM341">IFERROR(MAX((_xlfn.ANCHORARRAY(XJ341)-AVERAGE(_xlfn.ANCHORARRAY(XJ341)))/ AVERAGE(_xlfn.ANCHORARRAY(XJ341))),0)</f>
        <v>0</v>
      </c>
      <c r="XN341" t="str" cm="1">
        <f t="array" ref="XN341">IF(XM341&gt;$XN$1,_xlfn.XLOOKUP(MAX(_xlfn.ANCHORARRAY(XJ341)),_xlfn.ANCHORARRAY(XJ341),XJ$4:XL$4,""),"")</f>
        <v/>
      </c>
      <c r="XP341" cm="1">
        <f t="array" ref="XP341:XT341">SUMIFS($M341:$GJ341,$M$3:$GJ$3,XP$3:XT$3)</f>
        <v>0</v>
      </c>
      <c r="XQ341">
        <v>0</v>
      </c>
      <c r="XR341">
        <v>0</v>
      </c>
      <c r="XS341">
        <v>0</v>
      </c>
      <c r="XT341">
        <v>0</v>
      </c>
      <c r="XU341" cm="1">
        <f t="array" ref="XU341">IFERROR(MAX((_xlfn.ANCHORARRAY(XP341)-AVERAGE(_xlfn.ANCHORARRAY(XP341)))/ AVERAGE(_xlfn.ANCHORARRAY(XP341))),0)</f>
        <v>0</v>
      </c>
      <c r="XV341" t="str" cm="1">
        <f t="array" ref="XV341">IF(AND(XU341&gt;$XV$1,XN341&lt;&gt;""),_xlfn.XLOOKUP(MAX(_xlfn.ANCHORARRAY(XP341)),_xlfn.ANCHORARRAY(XP341),XP$4:XT$4,""),"")</f>
        <v/>
      </c>
      <c r="XX341" cm="1">
        <f t="array" ref="XX341:YG341">SUMIFS($M341:$GJ341,$M$2:$GJ$2,XX$3:YG$3)</f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 cm="1">
        <f t="array" ref="YH341">IFERROR(MAX((_xlfn.ANCHORARRAY(XX341)-AVERAGE(_xlfn.ANCHORARRAY(XX341)))/ AVERAGE(_xlfn.ANCHORARRAY(XX341))),0)</f>
        <v>0</v>
      </c>
      <c r="YI341" t="str" cm="1">
        <f t="array" ref="YI341">IF(YH341&gt;$YI$1,_xlfn.XLOOKUP(MAX(_xlfn.ANCHORARRAY(XX341)),_xlfn.ANCHORARRAY(XX341),XX$4:YG$4,""),"")</f>
        <v/>
      </c>
      <c r="YK341" t="str">
        <f t="shared" si="156"/>
        <v/>
      </c>
    </row>
    <row r="342" spans="2:661" x14ac:dyDescent="0.3">
      <c r="B342" s="2" t="str">
        <f t="shared" si="145"/>
        <v>CHA</v>
      </c>
      <c r="C342" s="2" t="str">
        <f t="shared" si="146"/>
        <v>CHA</v>
      </c>
      <c r="D342" s="2" t="str">
        <f t="shared" si="147"/>
        <v>CHA</v>
      </c>
      <c r="E342" s="2" t="str">
        <f t="shared" si="148"/>
        <v/>
      </c>
      <c r="F342" s="2" t="str">
        <f t="shared" si="149"/>
        <v/>
      </c>
      <c r="G342" s="2">
        <f t="shared" si="150"/>
        <v>0</v>
      </c>
      <c r="H342" s="2">
        <f t="shared" si="151"/>
        <v>0</v>
      </c>
      <c r="I342" s="2">
        <f t="shared" si="152"/>
        <v>0</v>
      </c>
      <c r="J342" s="2">
        <f t="shared" si="153"/>
        <v>0</v>
      </c>
      <c r="K342" s="2">
        <f t="shared" si="154"/>
        <v>0</v>
      </c>
      <c r="L342" s="2">
        <f t="shared" si="155"/>
        <v>0</v>
      </c>
      <c r="XJ342" cm="1">
        <f t="array" ref="XJ342:XL342">SUMIFS($M342:$GJ342,$M$1:$GJ$1,XJ$3:XL$3)</f>
        <v>0</v>
      </c>
      <c r="XK342">
        <v>0</v>
      </c>
      <c r="XL342">
        <v>0</v>
      </c>
      <c r="XM342" cm="1">
        <f t="array" ref="XM342">IFERROR(MAX((_xlfn.ANCHORARRAY(XJ342)-AVERAGE(_xlfn.ANCHORARRAY(XJ342)))/ AVERAGE(_xlfn.ANCHORARRAY(XJ342))),0)</f>
        <v>0</v>
      </c>
      <c r="XN342" t="str" cm="1">
        <f t="array" ref="XN342">IF(XM342&gt;$XN$1,_xlfn.XLOOKUP(MAX(_xlfn.ANCHORARRAY(XJ342)),_xlfn.ANCHORARRAY(XJ342),XJ$4:XL$4,""),"")</f>
        <v/>
      </c>
      <c r="XP342" cm="1">
        <f t="array" ref="XP342:XT342">SUMIFS($M342:$GJ342,$M$3:$GJ$3,XP$3:XT$3)</f>
        <v>0</v>
      </c>
      <c r="XQ342">
        <v>0</v>
      </c>
      <c r="XR342">
        <v>0</v>
      </c>
      <c r="XS342">
        <v>0</v>
      </c>
      <c r="XT342">
        <v>0</v>
      </c>
      <c r="XU342" cm="1">
        <f t="array" ref="XU342">IFERROR(MAX((_xlfn.ANCHORARRAY(XP342)-AVERAGE(_xlfn.ANCHORARRAY(XP342)))/ AVERAGE(_xlfn.ANCHORARRAY(XP342))),0)</f>
        <v>0</v>
      </c>
      <c r="XV342" t="str" cm="1">
        <f t="array" ref="XV342">IF(AND(XU342&gt;$XV$1,XN342&lt;&gt;""),_xlfn.XLOOKUP(MAX(_xlfn.ANCHORARRAY(XP342)),_xlfn.ANCHORARRAY(XP342),XP$4:XT$4,""),"")</f>
        <v/>
      </c>
      <c r="XX342" cm="1">
        <f t="array" ref="XX342:YG342">SUMIFS($M342:$GJ342,$M$2:$GJ$2,XX$3:YG$3)</f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 cm="1">
        <f t="array" ref="YH342">IFERROR(MAX((_xlfn.ANCHORARRAY(XX342)-AVERAGE(_xlfn.ANCHORARRAY(XX342)))/ AVERAGE(_xlfn.ANCHORARRAY(XX342))),0)</f>
        <v>0</v>
      </c>
      <c r="YI342" t="str" cm="1">
        <f t="array" ref="YI342">IF(YH342&gt;$YI$1,_xlfn.XLOOKUP(MAX(_xlfn.ANCHORARRAY(XX342)),_xlfn.ANCHORARRAY(XX342),XX$4:YG$4,""),"")</f>
        <v/>
      </c>
      <c r="YK342" t="str">
        <f t="shared" si="156"/>
        <v/>
      </c>
    </row>
    <row r="343" spans="2:661" x14ac:dyDescent="0.3">
      <c r="B343" s="2" t="str">
        <f t="shared" si="145"/>
        <v>CHA</v>
      </c>
      <c r="C343" s="2" t="str">
        <f t="shared" si="146"/>
        <v>CHA</v>
      </c>
      <c r="D343" s="2" t="str">
        <f t="shared" si="147"/>
        <v>CHA</v>
      </c>
      <c r="E343" s="2" t="str">
        <f t="shared" si="148"/>
        <v/>
      </c>
      <c r="F343" s="2" t="str">
        <f t="shared" si="149"/>
        <v/>
      </c>
      <c r="G343" s="2">
        <f t="shared" si="150"/>
        <v>0</v>
      </c>
      <c r="H343" s="2">
        <f t="shared" si="151"/>
        <v>0</v>
      </c>
      <c r="I343" s="2">
        <f t="shared" si="152"/>
        <v>0</v>
      </c>
      <c r="J343" s="2">
        <f t="shared" si="153"/>
        <v>0</v>
      </c>
      <c r="K343" s="2">
        <f t="shared" si="154"/>
        <v>0</v>
      </c>
      <c r="L343" s="2">
        <f t="shared" si="155"/>
        <v>0</v>
      </c>
      <c r="XJ343" cm="1">
        <f t="array" ref="XJ343:XL343">SUMIFS($M343:$GJ343,$M$1:$GJ$1,XJ$3:XL$3)</f>
        <v>0</v>
      </c>
      <c r="XK343">
        <v>0</v>
      </c>
      <c r="XL343">
        <v>0</v>
      </c>
      <c r="XM343" cm="1">
        <f t="array" ref="XM343">IFERROR(MAX((_xlfn.ANCHORARRAY(XJ343)-AVERAGE(_xlfn.ANCHORARRAY(XJ343)))/ AVERAGE(_xlfn.ANCHORARRAY(XJ343))),0)</f>
        <v>0</v>
      </c>
      <c r="XN343" t="str" cm="1">
        <f t="array" ref="XN343">IF(XM343&gt;$XN$1,_xlfn.XLOOKUP(MAX(_xlfn.ANCHORARRAY(XJ343)),_xlfn.ANCHORARRAY(XJ343),XJ$4:XL$4,""),"")</f>
        <v/>
      </c>
      <c r="XP343" cm="1">
        <f t="array" ref="XP343:XT343">SUMIFS($M343:$GJ343,$M$3:$GJ$3,XP$3:XT$3)</f>
        <v>0</v>
      </c>
      <c r="XQ343">
        <v>0</v>
      </c>
      <c r="XR343">
        <v>0</v>
      </c>
      <c r="XS343">
        <v>0</v>
      </c>
      <c r="XT343">
        <v>0</v>
      </c>
      <c r="XU343" cm="1">
        <f t="array" ref="XU343">IFERROR(MAX((_xlfn.ANCHORARRAY(XP343)-AVERAGE(_xlfn.ANCHORARRAY(XP343)))/ AVERAGE(_xlfn.ANCHORARRAY(XP343))),0)</f>
        <v>0</v>
      </c>
      <c r="XV343" t="str" cm="1">
        <f t="array" ref="XV343">IF(AND(XU343&gt;$XV$1,XN343&lt;&gt;""),_xlfn.XLOOKUP(MAX(_xlfn.ANCHORARRAY(XP343)),_xlfn.ANCHORARRAY(XP343),XP$4:XT$4,""),"")</f>
        <v/>
      </c>
      <c r="XX343" cm="1">
        <f t="array" ref="XX343:YG343">SUMIFS($M343:$GJ343,$M$2:$GJ$2,XX$3:YG$3)</f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 cm="1">
        <f t="array" ref="YH343">IFERROR(MAX((_xlfn.ANCHORARRAY(XX343)-AVERAGE(_xlfn.ANCHORARRAY(XX343)))/ AVERAGE(_xlfn.ANCHORARRAY(XX343))),0)</f>
        <v>0</v>
      </c>
      <c r="YI343" t="str" cm="1">
        <f t="array" ref="YI343">IF(YH343&gt;$YI$1,_xlfn.XLOOKUP(MAX(_xlfn.ANCHORARRAY(XX343)),_xlfn.ANCHORARRAY(XX343),XX$4:YG$4,""),"")</f>
        <v/>
      </c>
      <c r="YK343" t="str">
        <f t="shared" si="156"/>
        <v/>
      </c>
    </row>
    <row r="344" spans="2:661" x14ac:dyDescent="0.3">
      <c r="B344" s="2" t="str">
        <f t="shared" si="145"/>
        <v>CHA</v>
      </c>
      <c r="C344" s="2" t="str">
        <f t="shared" si="146"/>
        <v>CHA</v>
      </c>
      <c r="D344" s="2" t="str">
        <f t="shared" si="147"/>
        <v>CHA</v>
      </c>
      <c r="E344" s="2" t="str">
        <f t="shared" si="148"/>
        <v/>
      </c>
      <c r="F344" s="2" t="str">
        <f t="shared" si="149"/>
        <v/>
      </c>
      <c r="G344" s="2">
        <f t="shared" si="150"/>
        <v>0</v>
      </c>
      <c r="H344" s="2">
        <f t="shared" si="151"/>
        <v>0</v>
      </c>
      <c r="I344" s="2">
        <f t="shared" si="152"/>
        <v>0</v>
      </c>
      <c r="J344" s="2">
        <f t="shared" si="153"/>
        <v>0</v>
      </c>
      <c r="K344" s="2">
        <f t="shared" si="154"/>
        <v>0</v>
      </c>
      <c r="L344" s="2">
        <f t="shared" si="155"/>
        <v>0</v>
      </c>
      <c r="XJ344" cm="1">
        <f t="array" ref="XJ344:XL344">SUMIFS($M344:$GJ344,$M$1:$GJ$1,XJ$3:XL$3)</f>
        <v>0</v>
      </c>
      <c r="XK344">
        <v>0</v>
      </c>
      <c r="XL344">
        <v>0</v>
      </c>
      <c r="XM344" cm="1">
        <f t="array" ref="XM344">IFERROR(MAX((_xlfn.ANCHORARRAY(XJ344)-AVERAGE(_xlfn.ANCHORARRAY(XJ344)))/ AVERAGE(_xlfn.ANCHORARRAY(XJ344))),0)</f>
        <v>0</v>
      </c>
      <c r="XN344" t="str" cm="1">
        <f t="array" ref="XN344">IF(XM344&gt;$XN$1,_xlfn.XLOOKUP(MAX(_xlfn.ANCHORARRAY(XJ344)),_xlfn.ANCHORARRAY(XJ344),XJ$4:XL$4,""),"")</f>
        <v/>
      </c>
      <c r="XP344" cm="1">
        <f t="array" ref="XP344:XT344">SUMIFS($M344:$GJ344,$M$3:$GJ$3,XP$3:XT$3)</f>
        <v>0</v>
      </c>
      <c r="XQ344">
        <v>0</v>
      </c>
      <c r="XR344">
        <v>0</v>
      </c>
      <c r="XS344">
        <v>0</v>
      </c>
      <c r="XT344">
        <v>0</v>
      </c>
      <c r="XU344" cm="1">
        <f t="array" ref="XU344">IFERROR(MAX((_xlfn.ANCHORARRAY(XP344)-AVERAGE(_xlfn.ANCHORARRAY(XP344)))/ AVERAGE(_xlfn.ANCHORARRAY(XP344))),0)</f>
        <v>0</v>
      </c>
      <c r="XV344" t="str" cm="1">
        <f t="array" ref="XV344">IF(AND(XU344&gt;$XV$1,XN344&lt;&gt;""),_xlfn.XLOOKUP(MAX(_xlfn.ANCHORARRAY(XP344)),_xlfn.ANCHORARRAY(XP344),XP$4:XT$4,""),"")</f>
        <v/>
      </c>
      <c r="XX344" cm="1">
        <f t="array" ref="XX344:YG344">SUMIFS($M344:$GJ344,$M$2:$GJ$2,XX$3:YG$3)</f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 cm="1">
        <f t="array" ref="YH344">IFERROR(MAX((_xlfn.ANCHORARRAY(XX344)-AVERAGE(_xlfn.ANCHORARRAY(XX344)))/ AVERAGE(_xlfn.ANCHORARRAY(XX344))),0)</f>
        <v>0</v>
      </c>
      <c r="YI344" t="str" cm="1">
        <f t="array" ref="YI344">IF(YH344&gt;$YI$1,_xlfn.XLOOKUP(MAX(_xlfn.ANCHORARRAY(XX344)),_xlfn.ANCHORARRAY(XX344),XX$4:YG$4,""),"")</f>
        <v/>
      </c>
      <c r="YK344" t="str">
        <f t="shared" si="156"/>
        <v/>
      </c>
    </row>
    <row r="345" spans="2:661" x14ac:dyDescent="0.3">
      <c r="B345" s="2" t="str">
        <f t="shared" ref="B345:B359" si="157">IF(C345="NotFound",D345,C345)</f>
        <v>CHA</v>
      </c>
      <c r="C345" s="2" t="str">
        <f t="shared" ref="C345:C359" si="158">IF(K345&gt;1,"NotFound","CHA"&amp;_xlfn.XLOOKUP(MAX(M345:GJ345,1),M345:GJ345,$M$4:$GJ$4,""))</f>
        <v>CHA</v>
      </c>
      <c r="D345" s="2" t="str">
        <f t="shared" ref="D345:D359" si="159">IF(G345&gt;1,"NotFound","CHA"&amp;_xlfn.XLOOKUP(MAX(GL345:NI345,1),GL345:NI345,$GL$4:$NI$4,""))</f>
        <v>CHA</v>
      </c>
      <c r="E345" s="2" t="str">
        <f t="shared" ref="E345:E359" si="160">YK345</f>
        <v/>
      </c>
      <c r="F345" s="2" t="str">
        <f t="shared" ref="F345:F359" si="161">IF(I345&gt;1,"NotFound",_xlfn.XLOOKUP(MAX(NK345:XG345,1),NK345:XG345,$NK$4:$XG$4,""))</f>
        <v/>
      </c>
      <c r="G345" s="2">
        <f t="shared" ref="G345:G359" si="162">COUNTIF(GL345:NI345,H345)</f>
        <v>0</v>
      </c>
      <c r="H345" s="2">
        <f t="shared" ref="H345:H359" si="163">MAX(GL345:NI345)</f>
        <v>0</v>
      </c>
      <c r="I345" s="2">
        <f t="shared" ref="I345:I359" si="164">COUNTIF(NK345:XG345,J345)</f>
        <v>0</v>
      </c>
      <c r="J345" s="2">
        <f t="shared" ref="J345:J359" si="165">MAX(NK345:XG345)</f>
        <v>0</v>
      </c>
      <c r="K345" s="2">
        <f t="shared" ref="K345:K359" si="166">COUNTIF(M345:GJ345,L345)</f>
        <v>0</v>
      </c>
      <c r="L345" s="2">
        <f t="shared" ref="L345:L359" si="167">MAX(M345:GJ345)</f>
        <v>0</v>
      </c>
      <c r="XJ345" cm="1">
        <f t="array" ref="XJ345:XL345">SUMIFS($M345:$GJ345,$M$1:$GJ$1,XJ$3:XL$3)</f>
        <v>0</v>
      </c>
      <c r="XK345">
        <v>0</v>
      </c>
      <c r="XL345">
        <v>0</v>
      </c>
      <c r="XM345" cm="1">
        <f t="array" ref="XM345">IFERROR(MAX((_xlfn.ANCHORARRAY(XJ345)-AVERAGE(_xlfn.ANCHORARRAY(XJ345)))/ AVERAGE(_xlfn.ANCHORARRAY(XJ345))),0)</f>
        <v>0</v>
      </c>
      <c r="XN345" t="str" cm="1">
        <f t="array" ref="XN345">IF(XM345&gt;$XN$1,_xlfn.XLOOKUP(MAX(_xlfn.ANCHORARRAY(XJ345)),_xlfn.ANCHORARRAY(XJ345),XJ$4:XL$4,""),"")</f>
        <v/>
      </c>
      <c r="XP345" cm="1">
        <f t="array" ref="XP345:XT345">SUMIFS($M345:$GJ345,$M$3:$GJ$3,XP$3:XT$3)</f>
        <v>0</v>
      </c>
      <c r="XQ345">
        <v>0</v>
      </c>
      <c r="XR345">
        <v>0</v>
      </c>
      <c r="XS345">
        <v>0</v>
      </c>
      <c r="XT345">
        <v>0</v>
      </c>
      <c r="XU345" cm="1">
        <f t="array" ref="XU345">IFERROR(MAX((_xlfn.ANCHORARRAY(XP345)-AVERAGE(_xlfn.ANCHORARRAY(XP345)))/ AVERAGE(_xlfn.ANCHORARRAY(XP345))),0)</f>
        <v>0</v>
      </c>
      <c r="XV345" t="str" cm="1">
        <f t="array" ref="XV345">IF(AND(XU345&gt;$XV$1,XN345&lt;&gt;""),_xlfn.XLOOKUP(MAX(_xlfn.ANCHORARRAY(XP345)),_xlfn.ANCHORARRAY(XP345),XP$4:XT$4,""),"")</f>
        <v/>
      </c>
      <c r="XX345" cm="1">
        <f t="array" ref="XX345:YG345">SUMIFS($M345:$GJ345,$M$2:$GJ$2,XX$3:YG$3)</f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 cm="1">
        <f t="array" ref="YH345">IFERROR(MAX((_xlfn.ANCHORARRAY(XX345)-AVERAGE(_xlfn.ANCHORARRAY(XX345)))/ AVERAGE(_xlfn.ANCHORARRAY(XX345))),0)</f>
        <v>0</v>
      </c>
      <c r="YI345" t="str" cm="1">
        <f t="array" ref="YI345">IF(YH345&gt;$YI$1,_xlfn.XLOOKUP(MAX(_xlfn.ANCHORARRAY(XX345)),_xlfn.ANCHORARRAY(XX345),XX$4:YG$4,""),"")</f>
        <v/>
      </c>
      <c r="YK345" t="str">
        <f t="shared" ref="YK345:YK359" si="168">_xlfn.TEXTJOIN(" : ",,XN345,XV345,YI345)</f>
        <v/>
      </c>
    </row>
    <row r="346" spans="2:661" x14ac:dyDescent="0.3">
      <c r="B346" s="2" t="str">
        <f t="shared" si="157"/>
        <v>CHA</v>
      </c>
      <c r="C346" s="2" t="str">
        <f t="shared" si="158"/>
        <v>CHA</v>
      </c>
      <c r="D346" s="2" t="str">
        <f t="shared" si="159"/>
        <v>CHA</v>
      </c>
      <c r="E346" s="2" t="str">
        <f t="shared" si="160"/>
        <v/>
      </c>
      <c r="F346" s="2" t="str">
        <f t="shared" si="161"/>
        <v/>
      </c>
      <c r="G346" s="2">
        <f t="shared" si="162"/>
        <v>0</v>
      </c>
      <c r="H346" s="2">
        <f t="shared" si="163"/>
        <v>0</v>
      </c>
      <c r="I346" s="2">
        <f t="shared" si="164"/>
        <v>0</v>
      </c>
      <c r="J346" s="2">
        <f t="shared" si="165"/>
        <v>0</v>
      </c>
      <c r="K346" s="2">
        <f t="shared" si="166"/>
        <v>0</v>
      </c>
      <c r="L346" s="2">
        <f t="shared" si="167"/>
        <v>0</v>
      </c>
      <c r="XJ346" cm="1">
        <f t="array" ref="XJ346:XL346">SUMIFS($M346:$GJ346,$M$1:$GJ$1,XJ$3:XL$3)</f>
        <v>0</v>
      </c>
      <c r="XK346">
        <v>0</v>
      </c>
      <c r="XL346">
        <v>0</v>
      </c>
      <c r="XM346" cm="1">
        <f t="array" ref="XM346">IFERROR(MAX((_xlfn.ANCHORARRAY(XJ346)-AVERAGE(_xlfn.ANCHORARRAY(XJ346)))/ AVERAGE(_xlfn.ANCHORARRAY(XJ346))),0)</f>
        <v>0</v>
      </c>
      <c r="XN346" t="str" cm="1">
        <f t="array" ref="XN346">IF(XM346&gt;$XN$1,_xlfn.XLOOKUP(MAX(_xlfn.ANCHORARRAY(XJ346)),_xlfn.ANCHORARRAY(XJ346),XJ$4:XL$4,""),"")</f>
        <v/>
      </c>
      <c r="XP346" cm="1">
        <f t="array" ref="XP346:XT346">SUMIFS($M346:$GJ346,$M$3:$GJ$3,XP$3:XT$3)</f>
        <v>0</v>
      </c>
      <c r="XQ346">
        <v>0</v>
      </c>
      <c r="XR346">
        <v>0</v>
      </c>
      <c r="XS346">
        <v>0</v>
      </c>
      <c r="XT346">
        <v>0</v>
      </c>
      <c r="XU346" cm="1">
        <f t="array" ref="XU346">IFERROR(MAX((_xlfn.ANCHORARRAY(XP346)-AVERAGE(_xlfn.ANCHORARRAY(XP346)))/ AVERAGE(_xlfn.ANCHORARRAY(XP346))),0)</f>
        <v>0</v>
      </c>
      <c r="XV346" t="str" cm="1">
        <f t="array" ref="XV346">IF(AND(XU346&gt;$XV$1,XN346&lt;&gt;""),_xlfn.XLOOKUP(MAX(_xlfn.ANCHORARRAY(XP346)),_xlfn.ANCHORARRAY(XP346),XP$4:XT$4,""),"")</f>
        <v/>
      </c>
      <c r="XX346" cm="1">
        <f t="array" ref="XX346:YG346">SUMIFS($M346:$GJ346,$M$2:$GJ$2,XX$3:YG$3)</f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 cm="1">
        <f t="array" ref="YH346">IFERROR(MAX((_xlfn.ANCHORARRAY(XX346)-AVERAGE(_xlfn.ANCHORARRAY(XX346)))/ AVERAGE(_xlfn.ANCHORARRAY(XX346))),0)</f>
        <v>0</v>
      </c>
      <c r="YI346" t="str" cm="1">
        <f t="array" ref="YI346">IF(YH346&gt;$YI$1,_xlfn.XLOOKUP(MAX(_xlfn.ANCHORARRAY(XX346)),_xlfn.ANCHORARRAY(XX346),XX$4:YG$4,""),"")</f>
        <v/>
      </c>
      <c r="YK346" t="str">
        <f t="shared" si="168"/>
        <v/>
      </c>
    </row>
    <row r="347" spans="2:661" x14ac:dyDescent="0.3">
      <c r="B347" s="2" t="str">
        <f t="shared" si="157"/>
        <v>CHA</v>
      </c>
      <c r="C347" s="2" t="str">
        <f t="shared" si="158"/>
        <v>CHA</v>
      </c>
      <c r="D347" s="2" t="str">
        <f t="shared" si="159"/>
        <v>CHA</v>
      </c>
      <c r="E347" s="2" t="str">
        <f t="shared" si="160"/>
        <v/>
      </c>
      <c r="F347" s="2" t="str">
        <f t="shared" si="161"/>
        <v/>
      </c>
      <c r="G347" s="2">
        <f t="shared" si="162"/>
        <v>0</v>
      </c>
      <c r="H347" s="2">
        <f t="shared" si="163"/>
        <v>0</v>
      </c>
      <c r="I347" s="2">
        <f t="shared" si="164"/>
        <v>0</v>
      </c>
      <c r="J347" s="2">
        <f t="shared" si="165"/>
        <v>0</v>
      </c>
      <c r="K347" s="2">
        <f t="shared" si="166"/>
        <v>0</v>
      </c>
      <c r="L347" s="2">
        <f t="shared" si="167"/>
        <v>0</v>
      </c>
      <c r="XJ347" cm="1">
        <f t="array" ref="XJ347:XL347">SUMIFS($M347:$GJ347,$M$1:$GJ$1,XJ$3:XL$3)</f>
        <v>0</v>
      </c>
      <c r="XK347">
        <v>0</v>
      </c>
      <c r="XL347">
        <v>0</v>
      </c>
      <c r="XM347" cm="1">
        <f t="array" ref="XM347">IFERROR(MAX((_xlfn.ANCHORARRAY(XJ347)-AVERAGE(_xlfn.ANCHORARRAY(XJ347)))/ AVERAGE(_xlfn.ANCHORARRAY(XJ347))),0)</f>
        <v>0</v>
      </c>
      <c r="XN347" t="str" cm="1">
        <f t="array" ref="XN347">IF(XM347&gt;$XN$1,_xlfn.XLOOKUP(MAX(_xlfn.ANCHORARRAY(XJ347)),_xlfn.ANCHORARRAY(XJ347),XJ$4:XL$4,""),"")</f>
        <v/>
      </c>
      <c r="XP347" cm="1">
        <f t="array" ref="XP347:XT347">SUMIFS($M347:$GJ347,$M$3:$GJ$3,XP$3:XT$3)</f>
        <v>0</v>
      </c>
      <c r="XQ347">
        <v>0</v>
      </c>
      <c r="XR347">
        <v>0</v>
      </c>
      <c r="XS347">
        <v>0</v>
      </c>
      <c r="XT347">
        <v>0</v>
      </c>
      <c r="XU347" cm="1">
        <f t="array" ref="XU347">IFERROR(MAX((_xlfn.ANCHORARRAY(XP347)-AVERAGE(_xlfn.ANCHORARRAY(XP347)))/ AVERAGE(_xlfn.ANCHORARRAY(XP347))),0)</f>
        <v>0</v>
      </c>
      <c r="XV347" t="str" cm="1">
        <f t="array" ref="XV347">IF(AND(XU347&gt;$XV$1,XN347&lt;&gt;""),_xlfn.XLOOKUP(MAX(_xlfn.ANCHORARRAY(XP347)),_xlfn.ANCHORARRAY(XP347),XP$4:XT$4,""),"")</f>
        <v/>
      </c>
      <c r="XX347" cm="1">
        <f t="array" ref="XX347:YG347">SUMIFS($M347:$GJ347,$M$2:$GJ$2,XX$3:YG$3)</f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 cm="1">
        <f t="array" ref="YH347">IFERROR(MAX((_xlfn.ANCHORARRAY(XX347)-AVERAGE(_xlfn.ANCHORARRAY(XX347)))/ AVERAGE(_xlfn.ANCHORARRAY(XX347))),0)</f>
        <v>0</v>
      </c>
      <c r="YI347" t="str" cm="1">
        <f t="array" ref="YI347">IF(YH347&gt;$YI$1,_xlfn.XLOOKUP(MAX(_xlfn.ANCHORARRAY(XX347)),_xlfn.ANCHORARRAY(XX347),XX$4:YG$4,""),"")</f>
        <v/>
      </c>
      <c r="YK347" t="str">
        <f t="shared" si="168"/>
        <v/>
      </c>
    </row>
    <row r="348" spans="2:661" x14ac:dyDescent="0.3">
      <c r="B348" s="2" t="str">
        <f t="shared" si="157"/>
        <v>CHA</v>
      </c>
      <c r="C348" s="2" t="str">
        <f t="shared" si="158"/>
        <v>CHA</v>
      </c>
      <c r="D348" s="2" t="str">
        <f t="shared" si="159"/>
        <v>CHA</v>
      </c>
      <c r="E348" s="2" t="str">
        <f t="shared" si="160"/>
        <v/>
      </c>
      <c r="F348" s="2" t="str">
        <f t="shared" si="161"/>
        <v/>
      </c>
      <c r="G348" s="2">
        <f t="shared" si="162"/>
        <v>0</v>
      </c>
      <c r="H348" s="2">
        <f t="shared" si="163"/>
        <v>0</v>
      </c>
      <c r="I348" s="2">
        <f t="shared" si="164"/>
        <v>0</v>
      </c>
      <c r="J348" s="2">
        <f t="shared" si="165"/>
        <v>0</v>
      </c>
      <c r="K348" s="2">
        <f t="shared" si="166"/>
        <v>0</v>
      </c>
      <c r="L348" s="2">
        <f t="shared" si="167"/>
        <v>0</v>
      </c>
      <c r="XJ348" cm="1">
        <f t="array" ref="XJ348:XL348">SUMIFS($M348:$GJ348,$M$1:$GJ$1,XJ$3:XL$3)</f>
        <v>0</v>
      </c>
      <c r="XK348">
        <v>0</v>
      </c>
      <c r="XL348">
        <v>0</v>
      </c>
      <c r="XM348" cm="1">
        <f t="array" ref="XM348">IFERROR(MAX((_xlfn.ANCHORARRAY(XJ348)-AVERAGE(_xlfn.ANCHORARRAY(XJ348)))/ AVERAGE(_xlfn.ANCHORARRAY(XJ348))),0)</f>
        <v>0</v>
      </c>
      <c r="XN348" t="str" cm="1">
        <f t="array" ref="XN348">IF(XM348&gt;$XN$1,_xlfn.XLOOKUP(MAX(_xlfn.ANCHORARRAY(XJ348)),_xlfn.ANCHORARRAY(XJ348),XJ$4:XL$4,""),"")</f>
        <v/>
      </c>
      <c r="XP348" cm="1">
        <f t="array" ref="XP348:XT348">SUMIFS($M348:$GJ348,$M$3:$GJ$3,XP$3:XT$3)</f>
        <v>0</v>
      </c>
      <c r="XQ348">
        <v>0</v>
      </c>
      <c r="XR348">
        <v>0</v>
      </c>
      <c r="XS348">
        <v>0</v>
      </c>
      <c r="XT348">
        <v>0</v>
      </c>
      <c r="XU348" cm="1">
        <f t="array" ref="XU348">IFERROR(MAX((_xlfn.ANCHORARRAY(XP348)-AVERAGE(_xlfn.ANCHORARRAY(XP348)))/ AVERAGE(_xlfn.ANCHORARRAY(XP348))),0)</f>
        <v>0</v>
      </c>
      <c r="XV348" t="str" cm="1">
        <f t="array" ref="XV348">IF(AND(XU348&gt;$XV$1,XN348&lt;&gt;""),_xlfn.XLOOKUP(MAX(_xlfn.ANCHORARRAY(XP348)),_xlfn.ANCHORARRAY(XP348),XP$4:XT$4,""),"")</f>
        <v/>
      </c>
      <c r="XX348" cm="1">
        <f t="array" ref="XX348:YG348">SUMIFS($M348:$GJ348,$M$2:$GJ$2,XX$3:YG$3)</f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 cm="1">
        <f t="array" ref="YH348">IFERROR(MAX((_xlfn.ANCHORARRAY(XX348)-AVERAGE(_xlfn.ANCHORARRAY(XX348)))/ AVERAGE(_xlfn.ANCHORARRAY(XX348))),0)</f>
        <v>0</v>
      </c>
      <c r="YI348" t="str" cm="1">
        <f t="array" ref="YI348">IF(YH348&gt;$YI$1,_xlfn.XLOOKUP(MAX(_xlfn.ANCHORARRAY(XX348)),_xlfn.ANCHORARRAY(XX348),XX$4:YG$4,""),"")</f>
        <v/>
      </c>
      <c r="YK348" t="str">
        <f t="shared" si="168"/>
        <v/>
      </c>
    </row>
    <row r="349" spans="2:661" x14ac:dyDescent="0.3">
      <c r="B349" s="2" t="str">
        <f t="shared" si="157"/>
        <v>CHA</v>
      </c>
      <c r="C349" s="2" t="str">
        <f t="shared" si="158"/>
        <v>CHA</v>
      </c>
      <c r="D349" s="2" t="str">
        <f t="shared" si="159"/>
        <v>CHA</v>
      </c>
      <c r="E349" s="2" t="str">
        <f t="shared" si="160"/>
        <v/>
      </c>
      <c r="F349" s="2" t="str">
        <f t="shared" si="161"/>
        <v/>
      </c>
      <c r="G349" s="2">
        <f t="shared" si="162"/>
        <v>0</v>
      </c>
      <c r="H349" s="2">
        <f t="shared" si="163"/>
        <v>0</v>
      </c>
      <c r="I349" s="2">
        <f t="shared" si="164"/>
        <v>0</v>
      </c>
      <c r="J349" s="2">
        <f t="shared" si="165"/>
        <v>0</v>
      </c>
      <c r="K349" s="2">
        <f t="shared" si="166"/>
        <v>0</v>
      </c>
      <c r="L349" s="2">
        <f t="shared" si="167"/>
        <v>0</v>
      </c>
      <c r="XJ349" cm="1">
        <f t="array" ref="XJ349:XL349">SUMIFS($M349:$GJ349,$M$1:$GJ$1,XJ$3:XL$3)</f>
        <v>0</v>
      </c>
      <c r="XK349">
        <v>0</v>
      </c>
      <c r="XL349">
        <v>0</v>
      </c>
      <c r="XM349" cm="1">
        <f t="array" ref="XM349">IFERROR(MAX((_xlfn.ANCHORARRAY(XJ349)-AVERAGE(_xlfn.ANCHORARRAY(XJ349)))/ AVERAGE(_xlfn.ANCHORARRAY(XJ349))),0)</f>
        <v>0</v>
      </c>
      <c r="XN349" t="str" cm="1">
        <f t="array" ref="XN349">IF(XM349&gt;$XN$1,_xlfn.XLOOKUP(MAX(_xlfn.ANCHORARRAY(XJ349)),_xlfn.ANCHORARRAY(XJ349),XJ$4:XL$4,""),"")</f>
        <v/>
      </c>
      <c r="XP349" cm="1">
        <f t="array" ref="XP349:XT349">SUMIFS($M349:$GJ349,$M$3:$GJ$3,XP$3:XT$3)</f>
        <v>0</v>
      </c>
      <c r="XQ349">
        <v>0</v>
      </c>
      <c r="XR349">
        <v>0</v>
      </c>
      <c r="XS349">
        <v>0</v>
      </c>
      <c r="XT349">
        <v>0</v>
      </c>
      <c r="XU349" cm="1">
        <f t="array" ref="XU349">IFERROR(MAX((_xlfn.ANCHORARRAY(XP349)-AVERAGE(_xlfn.ANCHORARRAY(XP349)))/ AVERAGE(_xlfn.ANCHORARRAY(XP349))),0)</f>
        <v>0</v>
      </c>
      <c r="XV349" t="str" cm="1">
        <f t="array" ref="XV349">IF(AND(XU349&gt;$XV$1,XN349&lt;&gt;""),_xlfn.XLOOKUP(MAX(_xlfn.ANCHORARRAY(XP349)),_xlfn.ANCHORARRAY(XP349),XP$4:XT$4,""),"")</f>
        <v/>
      </c>
      <c r="XX349" cm="1">
        <f t="array" ref="XX349:YG349">SUMIFS($M349:$GJ349,$M$2:$GJ$2,XX$3:YG$3)</f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 cm="1">
        <f t="array" ref="YH349">IFERROR(MAX((_xlfn.ANCHORARRAY(XX349)-AVERAGE(_xlfn.ANCHORARRAY(XX349)))/ AVERAGE(_xlfn.ANCHORARRAY(XX349))),0)</f>
        <v>0</v>
      </c>
      <c r="YI349" t="str" cm="1">
        <f t="array" ref="YI349">IF(YH349&gt;$YI$1,_xlfn.XLOOKUP(MAX(_xlfn.ANCHORARRAY(XX349)),_xlfn.ANCHORARRAY(XX349),XX$4:YG$4,""),"")</f>
        <v/>
      </c>
      <c r="YK349" t="str">
        <f t="shared" si="168"/>
        <v/>
      </c>
    </row>
    <row r="350" spans="2:661" x14ac:dyDescent="0.3">
      <c r="B350" s="2" t="str">
        <f t="shared" si="157"/>
        <v>CHA</v>
      </c>
      <c r="C350" s="2" t="str">
        <f t="shared" si="158"/>
        <v>CHA</v>
      </c>
      <c r="D350" s="2" t="str">
        <f t="shared" si="159"/>
        <v>CHA</v>
      </c>
      <c r="E350" s="2" t="str">
        <f t="shared" si="160"/>
        <v/>
      </c>
      <c r="F350" s="2" t="str">
        <f t="shared" si="161"/>
        <v/>
      </c>
      <c r="G350" s="2">
        <f t="shared" si="162"/>
        <v>0</v>
      </c>
      <c r="H350" s="2">
        <f t="shared" si="163"/>
        <v>0</v>
      </c>
      <c r="I350" s="2">
        <f t="shared" si="164"/>
        <v>0</v>
      </c>
      <c r="J350" s="2">
        <f t="shared" si="165"/>
        <v>0</v>
      </c>
      <c r="K350" s="2">
        <f t="shared" si="166"/>
        <v>0</v>
      </c>
      <c r="L350" s="2">
        <f t="shared" si="167"/>
        <v>0</v>
      </c>
      <c r="XJ350" cm="1">
        <f t="array" ref="XJ350:XL350">SUMIFS($M350:$GJ350,$M$1:$GJ$1,XJ$3:XL$3)</f>
        <v>0</v>
      </c>
      <c r="XK350">
        <v>0</v>
      </c>
      <c r="XL350">
        <v>0</v>
      </c>
      <c r="XM350" cm="1">
        <f t="array" ref="XM350">IFERROR(MAX((_xlfn.ANCHORARRAY(XJ350)-AVERAGE(_xlfn.ANCHORARRAY(XJ350)))/ AVERAGE(_xlfn.ANCHORARRAY(XJ350))),0)</f>
        <v>0</v>
      </c>
      <c r="XN350" t="str" cm="1">
        <f t="array" ref="XN350">IF(XM350&gt;$XN$1,_xlfn.XLOOKUP(MAX(_xlfn.ANCHORARRAY(XJ350)),_xlfn.ANCHORARRAY(XJ350),XJ$4:XL$4,""),"")</f>
        <v/>
      </c>
      <c r="XP350" cm="1">
        <f t="array" ref="XP350:XT350">SUMIFS($M350:$GJ350,$M$3:$GJ$3,XP$3:XT$3)</f>
        <v>0</v>
      </c>
      <c r="XQ350">
        <v>0</v>
      </c>
      <c r="XR350">
        <v>0</v>
      </c>
      <c r="XS350">
        <v>0</v>
      </c>
      <c r="XT350">
        <v>0</v>
      </c>
      <c r="XU350" cm="1">
        <f t="array" ref="XU350">IFERROR(MAX((_xlfn.ANCHORARRAY(XP350)-AVERAGE(_xlfn.ANCHORARRAY(XP350)))/ AVERAGE(_xlfn.ANCHORARRAY(XP350))),0)</f>
        <v>0</v>
      </c>
      <c r="XV350" t="str" cm="1">
        <f t="array" ref="XV350">IF(AND(XU350&gt;$XV$1,XN350&lt;&gt;""),_xlfn.XLOOKUP(MAX(_xlfn.ANCHORARRAY(XP350)),_xlfn.ANCHORARRAY(XP350),XP$4:XT$4,""),"")</f>
        <v/>
      </c>
      <c r="XX350" cm="1">
        <f t="array" ref="XX350:YG350">SUMIFS($M350:$GJ350,$M$2:$GJ$2,XX$3:YG$3)</f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 cm="1">
        <f t="array" ref="YH350">IFERROR(MAX((_xlfn.ANCHORARRAY(XX350)-AVERAGE(_xlfn.ANCHORARRAY(XX350)))/ AVERAGE(_xlfn.ANCHORARRAY(XX350))),0)</f>
        <v>0</v>
      </c>
      <c r="YI350" t="str" cm="1">
        <f t="array" ref="YI350">IF(YH350&gt;$YI$1,_xlfn.XLOOKUP(MAX(_xlfn.ANCHORARRAY(XX350)),_xlfn.ANCHORARRAY(XX350),XX$4:YG$4,""),"")</f>
        <v/>
      </c>
      <c r="YK350" t="str">
        <f t="shared" si="168"/>
        <v/>
      </c>
    </row>
    <row r="351" spans="2:661" x14ac:dyDescent="0.3">
      <c r="B351" s="2" t="str">
        <f t="shared" si="157"/>
        <v>CHA</v>
      </c>
      <c r="C351" s="2" t="str">
        <f t="shared" si="158"/>
        <v>CHA</v>
      </c>
      <c r="D351" s="2" t="str">
        <f t="shared" si="159"/>
        <v>CHA</v>
      </c>
      <c r="E351" s="2" t="str">
        <f t="shared" si="160"/>
        <v/>
      </c>
      <c r="F351" s="2" t="str">
        <f t="shared" si="161"/>
        <v/>
      </c>
      <c r="G351" s="2">
        <f t="shared" si="162"/>
        <v>0</v>
      </c>
      <c r="H351" s="2">
        <f t="shared" si="163"/>
        <v>0</v>
      </c>
      <c r="I351" s="2">
        <f t="shared" si="164"/>
        <v>0</v>
      </c>
      <c r="J351" s="2">
        <f t="shared" si="165"/>
        <v>0</v>
      </c>
      <c r="K351" s="2">
        <f t="shared" si="166"/>
        <v>0</v>
      </c>
      <c r="L351" s="2">
        <f t="shared" si="167"/>
        <v>0</v>
      </c>
      <c r="XJ351" cm="1">
        <f t="array" ref="XJ351:XL351">SUMIFS($M351:$GJ351,$M$1:$GJ$1,XJ$3:XL$3)</f>
        <v>0</v>
      </c>
      <c r="XK351">
        <v>0</v>
      </c>
      <c r="XL351">
        <v>0</v>
      </c>
      <c r="XM351" cm="1">
        <f t="array" ref="XM351">IFERROR(MAX((_xlfn.ANCHORARRAY(XJ351)-AVERAGE(_xlfn.ANCHORARRAY(XJ351)))/ AVERAGE(_xlfn.ANCHORARRAY(XJ351))),0)</f>
        <v>0</v>
      </c>
      <c r="XN351" t="str" cm="1">
        <f t="array" ref="XN351">IF(XM351&gt;$XN$1,_xlfn.XLOOKUP(MAX(_xlfn.ANCHORARRAY(XJ351)),_xlfn.ANCHORARRAY(XJ351),XJ$4:XL$4,""),"")</f>
        <v/>
      </c>
      <c r="XP351" cm="1">
        <f t="array" ref="XP351:XT351">SUMIFS($M351:$GJ351,$M$3:$GJ$3,XP$3:XT$3)</f>
        <v>0</v>
      </c>
      <c r="XQ351">
        <v>0</v>
      </c>
      <c r="XR351">
        <v>0</v>
      </c>
      <c r="XS351">
        <v>0</v>
      </c>
      <c r="XT351">
        <v>0</v>
      </c>
      <c r="XU351" cm="1">
        <f t="array" ref="XU351">IFERROR(MAX((_xlfn.ANCHORARRAY(XP351)-AVERAGE(_xlfn.ANCHORARRAY(XP351)))/ AVERAGE(_xlfn.ANCHORARRAY(XP351))),0)</f>
        <v>0</v>
      </c>
      <c r="XV351" t="str" cm="1">
        <f t="array" ref="XV351">IF(AND(XU351&gt;$XV$1,XN351&lt;&gt;""),_xlfn.XLOOKUP(MAX(_xlfn.ANCHORARRAY(XP351)),_xlfn.ANCHORARRAY(XP351),XP$4:XT$4,""),"")</f>
        <v/>
      </c>
      <c r="XX351" cm="1">
        <f t="array" ref="XX351:YG351">SUMIFS($M351:$GJ351,$M$2:$GJ$2,XX$3:YG$3)</f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 cm="1">
        <f t="array" ref="YH351">IFERROR(MAX((_xlfn.ANCHORARRAY(XX351)-AVERAGE(_xlfn.ANCHORARRAY(XX351)))/ AVERAGE(_xlfn.ANCHORARRAY(XX351))),0)</f>
        <v>0</v>
      </c>
      <c r="YI351" t="str" cm="1">
        <f t="array" ref="YI351">IF(YH351&gt;$YI$1,_xlfn.XLOOKUP(MAX(_xlfn.ANCHORARRAY(XX351)),_xlfn.ANCHORARRAY(XX351),XX$4:YG$4,""),"")</f>
        <v/>
      </c>
      <c r="YK351" t="str">
        <f t="shared" si="168"/>
        <v/>
      </c>
    </row>
    <row r="352" spans="2:661" x14ac:dyDescent="0.3">
      <c r="B352" s="2" t="str">
        <f t="shared" si="157"/>
        <v>CHA</v>
      </c>
      <c r="C352" s="2" t="str">
        <f t="shared" si="158"/>
        <v>CHA</v>
      </c>
      <c r="D352" s="2" t="str">
        <f t="shared" si="159"/>
        <v>CHA</v>
      </c>
      <c r="E352" s="2" t="str">
        <f t="shared" si="160"/>
        <v/>
      </c>
      <c r="F352" s="2" t="str">
        <f t="shared" si="161"/>
        <v/>
      </c>
      <c r="G352" s="2">
        <f t="shared" si="162"/>
        <v>0</v>
      </c>
      <c r="H352" s="2">
        <f t="shared" si="163"/>
        <v>0</v>
      </c>
      <c r="I352" s="2">
        <f t="shared" si="164"/>
        <v>0</v>
      </c>
      <c r="J352" s="2">
        <f t="shared" si="165"/>
        <v>0</v>
      </c>
      <c r="K352" s="2">
        <f t="shared" si="166"/>
        <v>0</v>
      </c>
      <c r="L352" s="2">
        <f t="shared" si="167"/>
        <v>0</v>
      </c>
      <c r="XJ352" cm="1">
        <f t="array" ref="XJ352:XL352">SUMIFS($M352:$GJ352,$M$1:$GJ$1,XJ$3:XL$3)</f>
        <v>0</v>
      </c>
      <c r="XK352">
        <v>0</v>
      </c>
      <c r="XL352">
        <v>0</v>
      </c>
      <c r="XM352" cm="1">
        <f t="array" ref="XM352">IFERROR(MAX((_xlfn.ANCHORARRAY(XJ352)-AVERAGE(_xlfn.ANCHORARRAY(XJ352)))/ AVERAGE(_xlfn.ANCHORARRAY(XJ352))),0)</f>
        <v>0</v>
      </c>
      <c r="XN352" t="str" cm="1">
        <f t="array" ref="XN352">IF(XM352&gt;$XN$1,_xlfn.XLOOKUP(MAX(_xlfn.ANCHORARRAY(XJ352)),_xlfn.ANCHORARRAY(XJ352),XJ$4:XL$4,""),"")</f>
        <v/>
      </c>
      <c r="XP352" cm="1">
        <f t="array" ref="XP352:XT352">SUMIFS($M352:$GJ352,$M$3:$GJ$3,XP$3:XT$3)</f>
        <v>0</v>
      </c>
      <c r="XQ352">
        <v>0</v>
      </c>
      <c r="XR352">
        <v>0</v>
      </c>
      <c r="XS352">
        <v>0</v>
      </c>
      <c r="XT352">
        <v>0</v>
      </c>
      <c r="XU352" cm="1">
        <f t="array" ref="XU352">IFERROR(MAX((_xlfn.ANCHORARRAY(XP352)-AVERAGE(_xlfn.ANCHORARRAY(XP352)))/ AVERAGE(_xlfn.ANCHORARRAY(XP352))),0)</f>
        <v>0</v>
      </c>
      <c r="XV352" t="str" cm="1">
        <f t="array" ref="XV352">IF(AND(XU352&gt;$XV$1,XN352&lt;&gt;""),_xlfn.XLOOKUP(MAX(_xlfn.ANCHORARRAY(XP352)),_xlfn.ANCHORARRAY(XP352),XP$4:XT$4,""),"")</f>
        <v/>
      </c>
      <c r="XX352" cm="1">
        <f t="array" ref="XX352:YG352">SUMIFS($M352:$GJ352,$M$2:$GJ$2,XX$3:YG$3)</f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 cm="1">
        <f t="array" ref="YH352">IFERROR(MAX((_xlfn.ANCHORARRAY(XX352)-AVERAGE(_xlfn.ANCHORARRAY(XX352)))/ AVERAGE(_xlfn.ANCHORARRAY(XX352))),0)</f>
        <v>0</v>
      </c>
      <c r="YI352" t="str" cm="1">
        <f t="array" ref="YI352">IF(YH352&gt;$YI$1,_xlfn.XLOOKUP(MAX(_xlfn.ANCHORARRAY(XX352)),_xlfn.ANCHORARRAY(XX352),XX$4:YG$4,""),"")</f>
        <v/>
      </c>
      <c r="YK352" t="str">
        <f t="shared" si="168"/>
        <v/>
      </c>
    </row>
    <row r="353" spans="2:661" x14ac:dyDescent="0.3">
      <c r="B353" s="2" t="str">
        <f t="shared" si="157"/>
        <v>CHA</v>
      </c>
      <c r="C353" s="2" t="str">
        <f t="shared" si="158"/>
        <v>CHA</v>
      </c>
      <c r="D353" s="2" t="str">
        <f t="shared" si="159"/>
        <v>CHA</v>
      </c>
      <c r="E353" s="2" t="str">
        <f t="shared" si="160"/>
        <v/>
      </c>
      <c r="F353" s="2" t="str">
        <f t="shared" si="161"/>
        <v/>
      </c>
      <c r="G353" s="2">
        <f t="shared" si="162"/>
        <v>0</v>
      </c>
      <c r="H353" s="2">
        <f t="shared" si="163"/>
        <v>0</v>
      </c>
      <c r="I353" s="2">
        <f t="shared" si="164"/>
        <v>0</v>
      </c>
      <c r="J353" s="2">
        <f t="shared" si="165"/>
        <v>0</v>
      </c>
      <c r="K353" s="2">
        <f t="shared" si="166"/>
        <v>0</v>
      </c>
      <c r="L353" s="2">
        <f t="shared" si="167"/>
        <v>0</v>
      </c>
      <c r="XJ353" cm="1">
        <f t="array" ref="XJ353:XL353">SUMIFS($M353:$GJ353,$M$1:$GJ$1,XJ$3:XL$3)</f>
        <v>0</v>
      </c>
      <c r="XK353">
        <v>0</v>
      </c>
      <c r="XL353">
        <v>0</v>
      </c>
      <c r="XM353" cm="1">
        <f t="array" ref="XM353">IFERROR(MAX((_xlfn.ANCHORARRAY(XJ353)-AVERAGE(_xlfn.ANCHORARRAY(XJ353)))/ AVERAGE(_xlfn.ANCHORARRAY(XJ353))),0)</f>
        <v>0</v>
      </c>
      <c r="XN353" t="str" cm="1">
        <f t="array" ref="XN353">IF(XM353&gt;$XN$1,_xlfn.XLOOKUP(MAX(_xlfn.ANCHORARRAY(XJ353)),_xlfn.ANCHORARRAY(XJ353),XJ$4:XL$4,""),"")</f>
        <v/>
      </c>
      <c r="XP353" cm="1">
        <f t="array" ref="XP353:XT353">SUMIFS($M353:$GJ353,$M$3:$GJ$3,XP$3:XT$3)</f>
        <v>0</v>
      </c>
      <c r="XQ353">
        <v>0</v>
      </c>
      <c r="XR353">
        <v>0</v>
      </c>
      <c r="XS353">
        <v>0</v>
      </c>
      <c r="XT353">
        <v>0</v>
      </c>
      <c r="XU353" cm="1">
        <f t="array" ref="XU353">IFERROR(MAX((_xlfn.ANCHORARRAY(XP353)-AVERAGE(_xlfn.ANCHORARRAY(XP353)))/ AVERAGE(_xlfn.ANCHORARRAY(XP353))),0)</f>
        <v>0</v>
      </c>
      <c r="XV353" t="str" cm="1">
        <f t="array" ref="XV353">IF(AND(XU353&gt;$XV$1,XN353&lt;&gt;""),_xlfn.XLOOKUP(MAX(_xlfn.ANCHORARRAY(XP353)),_xlfn.ANCHORARRAY(XP353),XP$4:XT$4,""),"")</f>
        <v/>
      </c>
      <c r="XX353" cm="1">
        <f t="array" ref="XX353:YG353">SUMIFS($M353:$GJ353,$M$2:$GJ$2,XX$3:YG$3)</f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 cm="1">
        <f t="array" ref="YH353">IFERROR(MAX((_xlfn.ANCHORARRAY(XX353)-AVERAGE(_xlfn.ANCHORARRAY(XX353)))/ AVERAGE(_xlfn.ANCHORARRAY(XX353))),0)</f>
        <v>0</v>
      </c>
      <c r="YI353" t="str" cm="1">
        <f t="array" ref="YI353">IF(YH353&gt;$YI$1,_xlfn.XLOOKUP(MAX(_xlfn.ANCHORARRAY(XX353)),_xlfn.ANCHORARRAY(XX353),XX$4:YG$4,""),"")</f>
        <v/>
      </c>
      <c r="YK353" t="str">
        <f t="shared" si="168"/>
        <v/>
      </c>
    </row>
    <row r="354" spans="2:661" x14ac:dyDescent="0.3">
      <c r="B354" s="2" t="str">
        <f t="shared" si="157"/>
        <v>CHA</v>
      </c>
      <c r="C354" s="2" t="str">
        <f t="shared" si="158"/>
        <v>CHA</v>
      </c>
      <c r="D354" s="2" t="str">
        <f t="shared" si="159"/>
        <v>CHA</v>
      </c>
      <c r="E354" s="2" t="str">
        <f t="shared" si="160"/>
        <v/>
      </c>
      <c r="F354" s="2" t="str">
        <f t="shared" si="161"/>
        <v/>
      </c>
      <c r="G354" s="2">
        <f t="shared" si="162"/>
        <v>0</v>
      </c>
      <c r="H354" s="2">
        <f t="shared" si="163"/>
        <v>0</v>
      </c>
      <c r="I354" s="2">
        <f t="shared" si="164"/>
        <v>0</v>
      </c>
      <c r="J354" s="2">
        <f t="shared" si="165"/>
        <v>0</v>
      </c>
      <c r="K354" s="2">
        <f t="shared" si="166"/>
        <v>0</v>
      </c>
      <c r="L354" s="2">
        <f t="shared" si="167"/>
        <v>0</v>
      </c>
      <c r="XJ354" cm="1">
        <f t="array" ref="XJ354:XL354">SUMIFS($M354:$GJ354,$M$1:$GJ$1,XJ$3:XL$3)</f>
        <v>0</v>
      </c>
      <c r="XK354">
        <v>0</v>
      </c>
      <c r="XL354">
        <v>0</v>
      </c>
      <c r="XM354" cm="1">
        <f t="array" ref="XM354">IFERROR(MAX((_xlfn.ANCHORARRAY(XJ354)-AVERAGE(_xlfn.ANCHORARRAY(XJ354)))/ AVERAGE(_xlfn.ANCHORARRAY(XJ354))),0)</f>
        <v>0</v>
      </c>
      <c r="XN354" t="str" cm="1">
        <f t="array" ref="XN354">IF(XM354&gt;$XN$1,_xlfn.XLOOKUP(MAX(_xlfn.ANCHORARRAY(XJ354)),_xlfn.ANCHORARRAY(XJ354),XJ$4:XL$4,""),"")</f>
        <v/>
      </c>
      <c r="XP354" cm="1">
        <f t="array" ref="XP354:XT354">SUMIFS($M354:$GJ354,$M$3:$GJ$3,XP$3:XT$3)</f>
        <v>0</v>
      </c>
      <c r="XQ354">
        <v>0</v>
      </c>
      <c r="XR354">
        <v>0</v>
      </c>
      <c r="XS354">
        <v>0</v>
      </c>
      <c r="XT354">
        <v>0</v>
      </c>
      <c r="XU354" cm="1">
        <f t="array" ref="XU354">IFERROR(MAX((_xlfn.ANCHORARRAY(XP354)-AVERAGE(_xlfn.ANCHORARRAY(XP354)))/ AVERAGE(_xlfn.ANCHORARRAY(XP354))),0)</f>
        <v>0</v>
      </c>
      <c r="XV354" t="str" cm="1">
        <f t="array" ref="XV354">IF(AND(XU354&gt;$XV$1,XN354&lt;&gt;""),_xlfn.XLOOKUP(MAX(_xlfn.ANCHORARRAY(XP354)),_xlfn.ANCHORARRAY(XP354),XP$4:XT$4,""),"")</f>
        <v/>
      </c>
      <c r="XX354" cm="1">
        <f t="array" ref="XX354:YG354">SUMIFS($M354:$GJ354,$M$2:$GJ$2,XX$3:YG$3)</f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 cm="1">
        <f t="array" ref="YH354">IFERROR(MAX((_xlfn.ANCHORARRAY(XX354)-AVERAGE(_xlfn.ANCHORARRAY(XX354)))/ AVERAGE(_xlfn.ANCHORARRAY(XX354))),0)</f>
        <v>0</v>
      </c>
      <c r="YI354" t="str" cm="1">
        <f t="array" ref="YI354">IF(YH354&gt;$YI$1,_xlfn.XLOOKUP(MAX(_xlfn.ANCHORARRAY(XX354)),_xlfn.ANCHORARRAY(XX354),XX$4:YG$4,""),"")</f>
        <v/>
      </c>
      <c r="YK354" t="str">
        <f t="shared" si="168"/>
        <v/>
      </c>
    </row>
    <row r="355" spans="2:661" x14ac:dyDescent="0.3">
      <c r="B355" s="2" t="str">
        <f t="shared" si="157"/>
        <v>CHA</v>
      </c>
      <c r="C355" s="2" t="str">
        <f t="shared" si="158"/>
        <v>CHA</v>
      </c>
      <c r="D355" s="2" t="str">
        <f t="shared" si="159"/>
        <v>CHA</v>
      </c>
      <c r="E355" s="2" t="str">
        <f t="shared" si="160"/>
        <v/>
      </c>
      <c r="F355" s="2" t="str">
        <f t="shared" si="161"/>
        <v/>
      </c>
      <c r="G355" s="2">
        <f t="shared" si="162"/>
        <v>0</v>
      </c>
      <c r="H355" s="2">
        <f t="shared" si="163"/>
        <v>0</v>
      </c>
      <c r="I355" s="2">
        <f t="shared" si="164"/>
        <v>0</v>
      </c>
      <c r="J355" s="2">
        <f t="shared" si="165"/>
        <v>0</v>
      </c>
      <c r="K355" s="2">
        <f t="shared" si="166"/>
        <v>0</v>
      </c>
      <c r="L355" s="2">
        <f t="shared" si="167"/>
        <v>0</v>
      </c>
      <c r="XJ355" cm="1">
        <f t="array" ref="XJ355:XL355">SUMIFS($M355:$GJ355,$M$1:$GJ$1,XJ$3:XL$3)</f>
        <v>0</v>
      </c>
      <c r="XK355">
        <v>0</v>
      </c>
      <c r="XL355">
        <v>0</v>
      </c>
      <c r="XM355" cm="1">
        <f t="array" ref="XM355">IFERROR(MAX((_xlfn.ANCHORARRAY(XJ355)-AVERAGE(_xlfn.ANCHORARRAY(XJ355)))/ AVERAGE(_xlfn.ANCHORARRAY(XJ355))),0)</f>
        <v>0</v>
      </c>
      <c r="XN355" t="str" cm="1">
        <f t="array" ref="XN355">IF(XM355&gt;$XN$1,_xlfn.XLOOKUP(MAX(_xlfn.ANCHORARRAY(XJ355)),_xlfn.ANCHORARRAY(XJ355),XJ$4:XL$4,""),"")</f>
        <v/>
      </c>
      <c r="XP355" cm="1">
        <f t="array" ref="XP355:XT355">SUMIFS($M355:$GJ355,$M$3:$GJ$3,XP$3:XT$3)</f>
        <v>0</v>
      </c>
      <c r="XQ355">
        <v>0</v>
      </c>
      <c r="XR355">
        <v>0</v>
      </c>
      <c r="XS355">
        <v>0</v>
      </c>
      <c r="XT355">
        <v>0</v>
      </c>
      <c r="XU355" cm="1">
        <f t="array" ref="XU355">IFERROR(MAX((_xlfn.ANCHORARRAY(XP355)-AVERAGE(_xlfn.ANCHORARRAY(XP355)))/ AVERAGE(_xlfn.ANCHORARRAY(XP355))),0)</f>
        <v>0</v>
      </c>
      <c r="XV355" t="str" cm="1">
        <f t="array" ref="XV355">IF(AND(XU355&gt;$XV$1,XN355&lt;&gt;""),_xlfn.XLOOKUP(MAX(_xlfn.ANCHORARRAY(XP355)),_xlfn.ANCHORARRAY(XP355),XP$4:XT$4,""),"")</f>
        <v/>
      </c>
      <c r="XX355" cm="1">
        <f t="array" ref="XX355:YG355">SUMIFS($M355:$GJ355,$M$2:$GJ$2,XX$3:YG$3)</f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 cm="1">
        <f t="array" ref="YH355">IFERROR(MAX((_xlfn.ANCHORARRAY(XX355)-AVERAGE(_xlfn.ANCHORARRAY(XX355)))/ AVERAGE(_xlfn.ANCHORARRAY(XX355))),0)</f>
        <v>0</v>
      </c>
      <c r="YI355" t="str" cm="1">
        <f t="array" ref="YI355">IF(YH355&gt;$YI$1,_xlfn.XLOOKUP(MAX(_xlfn.ANCHORARRAY(XX355)),_xlfn.ANCHORARRAY(XX355),XX$4:YG$4,""),"")</f>
        <v/>
      </c>
      <c r="YK355" t="str">
        <f t="shared" si="168"/>
        <v/>
      </c>
    </row>
    <row r="356" spans="2:661" x14ac:dyDescent="0.3">
      <c r="B356" s="2" t="str">
        <f t="shared" si="157"/>
        <v>CHA</v>
      </c>
      <c r="C356" s="2" t="str">
        <f t="shared" si="158"/>
        <v>CHA</v>
      </c>
      <c r="D356" s="2" t="str">
        <f t="shared" si="159"/>
        <v>CHA</v>
      </c>
      <c r="E356" s="2" t="str">
        <f t="shared" si="160"/>
        <v/>
      </c>
      <c r="F356" s="2" t="str">
        <f t="shared" si="161"/>
        <v/>
      </c>
      <c r="G356" s="2">
        <f t="shared" si="162"/>
        <v>0</v>
      </c>
      <c r="H356" s="2">
        <f t="shared" si="163"/>
        <v>0</v>
      </c>
      <c r="I356" s="2">
        <f t="shared" si="164"/>
        <v>0</v>
      </c>
      <c r="J356" s="2">
        <f t="shared" si="165"/>
        <v>0</v>
      </c>
      <c r="K356" s="2">
        <f t="shared" si="166"/>
        <v>0</v>
      </c>
      <c r="L356" s="2">
        <f t="shared" si="167"/>
        <v>0</v>
      </c>
      <c r="XJ356" cm="1">
        <f t="array" ref="XJ356:XL356">SUMIFS($M356:$GJ356,$M$1:$GJ$1,XJ$3:XL$3)</f>
        <v>0</v>
      </c>
      <c r="XK356">
        <v>0</v>
      </c>
      <c r="XL356">
        <v>0</v>
      </c>
      <c r="XM356" cm="1">
        <f t="array" ref="XM356">IFERROR(MAX((_xlfn.ANCHORARRAY(XJ356)-AVERAGE(_xlfn.ANCHORARRAY(XJ356)))/ AVERAGE(_xlfn.ANCHORARRAY(XJ356))),0)</f>
        <v>0</v>
      </c>
      <c r="XN356" t="str" cm="1">
        <f t="array" ref="XN356">IF(XM356&gt;$XN$1,_xlfn.XLOOKUP(MAX(_xlfn.ANCHORARRAY(XJ356)),_xlfn.ANCHORARRAY(XJ356),XJ$4:XL$4,""),"")</f>
        <v/>
      </c>
      <c r="XP356" cm="1">
        <f t="array" ref="XP356:XT356">SUMIFS($M356:$GJ356,$M$3:$GJ$3,XP$3:XT$3)</f>
        <v>0</v>
      </c>
      <c r="XQ356">
        <v>0</v>
      </c>
      <c r="XR356">
        <v>0</v>
      </c>
      <c r="XS356">
        <v>0</v>
      </c>
      <c r="XT356">
        <v>0</v>
      </c>
      <c r="XU356" cm="1">
        <f t="array" ref="XU356">IFERROR(MAX((_xlfn.ANCHORARRAY(XP356)-AVERAGE(_xlfn.ANCHORARRAY(XP356)))/ AVERAGE(_xlfn.ANCHORARRAY(XP356))),0)</f>
        <v>0</v>
      </c>
      <c r="XV356" t="str" cm="1">
        <f t="array" ref="XV356">IF(AND(XU356&gt;$XV$1,XN356&lt;&gt;""),_xlfn.XLOOKUP(MAX(_xlfn.ANCHORARRAY(XP356)),_xlfn.ANCHORARRAY(XP356),XP$4:XT$4,""),"")</f>
        <v/>
      </c>
      <c r="XX356" cm="1">
        <f t="array" ref="XX356:YG356">SUMIFS($M356:$GJ356,$M$2:$GJ$2,XX$3:YG$3)</f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 cm="1">
        <f t="array" ref="YH356">IFERROR(MAX((_xlfn.ANCHORARRAY(XX356)-AVERAGE(_xlfn.ANCHORARRAY(XX356)))/ AVERAGE(_xlfn.ANCHORARRAY(XX356))),0)</f>
        <v>0</v>
      </c>
      <c r="YI356" t="str" cm="1">
        <f t="array" ref="YI356">IF(YH356&gt;$YI$1,_xlfn.XLOOKUP(MAX(_xlfn.ANCHORARRAY(XX356)),_xlfn.ANCHORARRAY(XX356),XX$4:YG$4,""),"")</f>
        <v/>
      </c>
      <c r="YK356" t="str">
        <f t="shared" si="168"/>
        <v/>
      </c>
    </row>
    <row r="357" spans="2:661" x14ac:dyDescent="0.3">
      <c r="B357" s="2" t="str">
        <f t="shared" si="157"/>
        <v>CHA</v>
      </c>
      <c r="C357" s="2" t="str">
        <f t="shared" si="158"/>
        <v>CHA</v>
      </c>
      <c r="D357" s="2" t="str">
        <f t="shared" si="159"/>
        <v>CHA</v>
      </c>
      <c r="E357" s="2" t="str">
        <f t="shared" si="160"/>
        <v/>
      </c>
      <c r="F357" s="2" t="str">
        <f t="shared" si="161"/>
        <v/>
      </c>
      <c r="G357" s="2">
        <f t="shared" si="162"/>
        <v>0</v>
      </c>
      <c r="H357" s="2">
        <f t="shared" si="163"/>
        <v>0</v>
      </c>
      <c r="I357" s="2">
        <f t="shared" si="164"/>
        <v>0</v>
      </c>
      <c r="J357" s="2">
        <f t="shared" si="165"/>
        <v>0</v>
      </c>
      <c r="K357" s="2">
        <f t="shared" si="166"/>
        <v>0</v>
      </c>
      <c r="L357" s="2">
        <f t="shared" si="167"/>
        <v>0</v>
      </c>
      <c r="XJ357" cm="1">
        <f t="array" ref="XJ357:XL357">SUMIFS($M357:$GJ357,$M$1:$GJ$1,XJ$3:XL$3)</f>
        <v>0</v>
      </c>
      <c r="XK357">
        <v>0</v>
      </c>
      <c r="XL357">
        <v>0</v>
      </c>
      <c r="XM357" cm="1">
        <f t="array" ref="XM357">IFERROR(MAX((_xlfn.ANCHORARRAY(XJ357)-AVERAGE(_xlfn.ANCHORARRAY(XJ357)))/ AVERAGE(_xlfn.ANCHORARRAY(XJ357))),0)</f>
        <v>0</v>
      </c>
      <c r="XN357" t="str" cm="1">
        <f t="array" ref="XN357">IF(XM357&gt;$XN$1,_xlfn.XLOOKUP(MAX(_xlfn.ANCHORARRAY(XJ357)),_xlfn.ANCHORARRAY(XJ357),XJ$4:XL$4,""),"")</f>
        <v/>
      </c>
      <c r="XP357" cm="1">
        <f t="array" ref="XP357:XT357">SUMIFS($M357:$GJ357,$M$3:$GJ$3,XP$3:XT$3)</f>
        <v>0</v>
      </c>
      <c r="XQ357">
        <v>0</v>
      </c>
      <c r="XR357">
        <v>0</v>
      </c>
      <c r="XS357">
        <v>0</v>
      </c>
      <c r="XT357">
        <v>0</v>
      </c>
      <c r="XU357" cm="1">
        <f t="array" ref="XU357">IFERROR(MAX((_xlfn.ANCHORARRAY(XP357)-AVERAGE(_xlfn.ANCHORARRAY(XP357)))/ AVERAGE(_xlfn.ANCHORARRAY(XP357))),0)</f>
        <v>0</v>
      </c>
      <c r="XV357" t="str" cm="1">
        <f t="array" ref="XV357">IF(AND(XU357&gt;$XV$1,XN357&lt;&gt;""),_xlfn.XLOOKUP(MAX(_xlfn.ANCHORARRAY(XP357)),_xlfn.ANCHORARRAY(XP357),XP$4:XT$4,""),"")</f>
        <v/>
      </c>
      <c r="XX357" cm="1">
        <f t="array" ref="XX357:YG357">SUMIFS($M357:$GJ357,$M$2:$GJ$2,XX$3:YG$3)</f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 cm="1">
        <f t="array" ref="YH357">IFERROR(MAX((_xlfn.ANCHORARRAY(XX357)-AVERAGE(_xlfn.ANCHORARRAY(XX357)))/ AVERAGE(_xlfn.ANCHORARRAY(XX357))),0)</f>
        <v>0</v>
      </c>
      <c r="YI357" t="str" cm="1">
        <f t="array" ref="YI357">IF(YH357&gt;$YI$1,_xlfn.XLOOKUP(MAX(_xlfn.ANCHORARRAY(XX357)),_xlfn.ANCHORARRAY(XX357),XX$4:YG$4,""),"")</f>
        <v/>
      </c>
      <c r="YK357" t="str">
        <f t="shared" si="168"/>
        <v/>
      </c>
    </row>
    <row r="358" spans="2:661" x14ac:dyDescent="0.3">
      <c r="B358" s="2" t="str">
        <f t="shared" si="157"/>
        <v>CHA</v>
      </c>
      <c r="C358" s="2" t="str">
        <f t="shared" si="158"/>
        <v>CHA</v>
      </c>
      <c r="D358" s="2" t="str">
        <f t="shared" si="159"/>
        <v>CHA</v>
      </c>
      <c r="E358" s="2" t="str">
        <f t="shared" si="160"/>
        <v/>
      </c>
      <c r="F358" s="2" t="str">
        <f t="shared" si="161"/>
        <v/>
      </c>
      <c r="G358" s="2">
        <f t="shared" si="162"/>
        <v>0</v>
      </c>
      <c r="H358" s="2">
        <f t="shared" si="163"/>
        <v>0</v>
      </c>
      <c r="I358" s="2">
        <f t="shared" si="164"/>
        <v>0</v>
      </c>
      <c r="J358" s="2">
        <f t="shared" si="165"/>
        <v>0</v>
      </c>
      <c r="K358" s="2">
        <f t="shared" si="166"/>
        <v>0</v>
      </c>
      <c r="L358" s="2">
        <f t="shared" si="167"/>
        <v>0</v>
      </c>
      <c r="XJ358" cm="1">
        <f t="array" ref="XJ358:XL358">SUMIFS($M358:$GJ358,$M$1:$GJ$1,XJ$3:XL$3)</f>
        <v>0</v>
      </c>
      <c r="XK358">
        <v>0</v>
      </c>
      <c r="XL358">
        <v>0</v>
      </c>
      <c r="XM358" cm="1">
        <f t="array" ref="XM358">IFERROR(MAX((_xlfn.ANCHORARRAY(XJ358)-AVERAGE(_xlfn.ANCHORARRAY(XJ358)))/ AVERAGE(_xlfn.ANCHORARRAY(XJ358))),0)</f>
        <v>0</v>
      </c>
      <c r="XN358" t="str" cm="1">
        <f t="array" ref="XN358">IF(XM358&gt;$XN$1,_xlfn.XLOOKUP(MAX(_xlfn.ANCHORARRAY(XJ358)),_xlfn.ANCHORARRAY(XJ358),XJ$4:XL$4,""),"")</f>
        <v/>
      </c>
      <c r="XP358" cm="1">
        <f t="array" ref="XP358:XT358">SUMIFS($M358:$GJ358,$M$3:$GJ$3,XP$3:XT$3)</f>
        <v>0</v>
      </c>
      <c r="XQ358">
        <v>0</v>
      </c>
      <c r="XR358">
        <v>0</v>
      </c>
      <c r="XS358">
        <v>0</v>
      </c>
      <c r="XT358">
        <v>0</v>
      </c>
      <c r="XU358" cm="1">
        <f t="array" ref="XU358">IFERROR(MAX((_xlfn.ANCHORARRAY(XP358)-AVERAGE(_xlfn.ANCHORARRAY(XP358)))/ AVERAGE(_xlfn.ANCHORARRAY(XP358))),0)</f>
        <v>0</v>
      </c>
      <c r="XV358" t="str" cm="1">
        <f t="array" ref="XV358">IF(AND(XU358&gt;$XV$1,XN358&lt;&gt;""),_xlfn.XLOOKUP(MAX(_xlfn.ANCHORARRAY(XP358)),_xlfn.ANCHORARRAY(XP358),XP$4:XT$4,""),"")</f>
        <v/>
      </c>
      <c r="XX358" cm="1">
        <f t="array" ref="XX358:YG358">SUMIFS($M358:$GJ358,$M$2:$GJ$2,XX$3:YG$3)</f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 cm="1">
        <f t="array" ref="YH358">IFERROR(MAX((_xlfn.ANCHORARRAY(XX358)-AVERAGE(_xlfn.ANCHORARRAY(XX358)))/ AVERAGE(_xlfn.ANCHORARRAY(XX358))),0)</f>
        <v>0</v>
      </c>
      <c r="YI358" t="str" cm="1">
        <f t="array" ref="YI358">IF(YH358&gt;$YI$1,_xlfn.XLOOKUP(MAX(_xlfn.ANCHORARRAY(XX358)),_xlfn.ANCHORARRAY(XX358),XX$4:YG$4,""),"")</f>
        <v/>
      </c>
      <c r="YK358" t="str">
        <f t="shared" si="168"/>
        <v/>
      </c>
    </row>
    <row r="359" spans="2:661" x14ac:dyDescent="0.3">
      <c r="B359" s="2" t="str">
        <f t="shared" si="157"/>
        <v>CHA</v>
      </c>
      <c r="C359" s="2" t="str">
        <f t="shared" si="158"/>
        <v>CHA</v>
      </c>
      <c r="D359" s="2" t="str">
        <f t="shared" si="159"/>
        <v>CHA</v>
      </c>
      <c r="E359" s="2" t="str">
        <f t="shared" si="160"/>
        <v/>
      </c>
      <c r="F359" s="2" t="str">
        <f t="shared" si="161"/>
        <v/>
      </c>
      <c r="G359" s="2">
        <f t="shared" si="162"/>
        <v>0</v>
      </c>
      <c r="H359" s="2">
        <f t="shared" si="163"/>
        <v>0</v>
      </c>
      <c r="I359" s="2">
        <f t="shared" si="164"/>
        <v>0</v>
      </c>
      <c r="J359" s="2">
        <f t="shared" si="165"/>
        <v>0</v>
      </c>
      <c r="K359" s="2">
        <f t="shared" si="166"/>
        <v>0</v>
      </c>
      <c r="L359" s="2">
        <f t="shared" si="167"/>
        <v>0</v>
      </c>
      <c r="XJ359" cm="1">
        <f t="array" ref="XJ359:XL359">SUMIFS($M359:$GJ359,$M$1:$GJ$1,XJ$3:XL$3)</f>
        <v>0</v>
      </c>
      <c r="XK359">
        <v>0</v>
      </c>
      <c r="XL359">
        <v>0</v>
      </c>
      <c r="XM359" cm="1">
        <f t="array" ref="XM359">IFERROR(MAX((_xlfn.ANCHORARRAY(XJ359)-AVERAGE(_xlfn.ANCHORARRAY(XJ359)))/ AVERAGE(_xlfn.ANCHORARRAY(XJ359))),0)</f>
        <v>0</v>
      </c>
      <c r="XN359" t="str" cm="1">
        <f t="array" ref="XN359">IF(XM359&gt;$XN$1,_xlfn.XLOOKUP(MAX(_xlfn.ANCHORARRAY(XJ359)),_xlfn.ANCHORARRAY(XJ359),XJ$4:XL$4,""),"")</f>
        <v/>
      </c>
      <c r="XP359" cm="1">
        <f t="array" ref="XP359:XT359">SUMIFS($M359:$GJ359,$M$3:$GJ$3,XP$3:XT$3)</f>
        <v>0</v>
      </c>
      <c r="XQ359">
        <v>0</v>
      </c>
      <c r="XR359">
        <v>0</v>
      </c>
      <c r="XS359">
        <v>0</v>
      </c>
      <c r="XT359">
        <v>0</v>
      </c>
      <c r="XU359" cm="1">
        <f t="array" ref="XU359">IFERROR(MAX((_xlfn.ANCHORARRAY(XP359)-AVERAGE(_xlfn.ANCHORARRAY(XP359)))/ AVERAGE(_xlfn.ANCHORARRAY(XP359))),0)</f>
        <v>0</v>
      </c>
      <c r="XV359" t="str" cm="1">
        <f t="array" ref="XV359">IF(AND(XU359&gt;$XV$1,XN359&lt;&gt;""),_xlfn.XLOOKUP(MAX(_xlfn.ANCHORARRAY(XP359)),_xlfn.ANCHORARRAY(XP359),XP$4:XT$4,""),"")</f>
        <v/>
      </c>
      <c r="XX359" cm="1">
        <f t="array" ref="XX359:YG359">SUMIFS($M359:$GJ359,$M$2:$GJ$2,XX$3:YG$3)</f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 cm="1">
        <f t="array" ref="YH359">IFERROR(MAX((_xlfn.ANCHORARRAY(XX359)-AVERAGE(_xlfn.ANCHORARRAY(XX359)))/ AVERAGE(_xlfn.ANCHORARRAY(XX359))),0)</f>
        <v>0</v>
      </c>
      <c r="YI359" t="str" cm="1">
        <f t="array" ref="YI359">IF(YH359&gt;$YI$1,_xlfn.XLOOKUP(MAX(_xlfn.ANCHORARRAY(XX359)),_xlfn.ANCHORARRAY(XX359),XX$4:YG$4,""),"")</f>
        <v/>
      </c>
      <c r="YK359" t="str">
        <f t="shared" si="168"/>
        <v/>
      </c>
    </row>
  </sheetData>
  <autoFilter ref="A4:A87" xr:uid="{DAAA66F4-1E0C-4024-9535-04526CB1B29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99A8-005E-47B5-B4D5-D6100ED00E3C}">
  <sheetPr>
    <tabColor rgb="FF00B0F0"/>
  </sheetPr>
  <dimension ref="A1:OI359"/>
  <sheetViews>
    <sheetView topLeftCell="MV327" workbookViewId="0">
      <selection activeCell="NH280" sqref="NH280:OI359"/>
    </sheetView>
  </sheetViews>
  <sheetFormatPr defaultRowHeight="14.4" x14ac:dyDescent="0.3"/>
  <cols>
    <col min="1" max="1" width="15.33203125" customWidth="1"/>
    <col min="2" max="2" width="12.33203125" bestFit="1" customWidth="1"/>
    <col min="3" max="3" width="10.5546875" bestFit="1" customWidth="1"/>
    <col min="4" max="4" width="9.5546875" bestFit="1" customWidth="1"/>
    <col min="5" max="5" width="11.88671875" bestFit="1" customWidth="1"/>
    <col min="6" max="6" width="20.109375" bestFit="1" customWidth="1"/>
    <col min="7" max="7" width="15.33203125" customWidth="1"/>
    <col min="8" max="8" width="20.109375" bestFit="1" customWidth="1"/>
    <col min="9" max="9" width="15.33203125" customWidth="1"/>
    <col min="10" max="10" width="8" bestFit="1" customWidth="1"/>
    <col min="11" max="19" width="2" bestFit="1" customWidth="1"/>
    <col min="20" max="109" width="3" bestFit="1" customWidth="1"/>
    <col min="110" max="189" width="4" bestFit="1" customWidth="1"/>
    <col min="191" max="200" width="2" bestFit="1" customWidth="1"/>
    <col min="201" max="290" width="3" bestFit="1" customWidth="1"/>
    <col min="291" max="370" width="4" bestFit="1" customWidth="1"/>
    <col min="372" max="372" width="10.33203125" bestFit="1" customWidth="1"/>
    <col min="373" max="374" width="9.5546875" bestFit="1" customWidth="1"/>
    <col min="375" max="376" width="9.5546875" customWidth="1"/>
    <col min="378" max="378" width="7" bestFit="1" customWidth="1"/>
    <col min="379" max="380" width="5.5546875" customWidth="1"/>
    <col min="381" max="382" width="5.5546875" bestFit="1" customWidth="1"/>
    <col min="383" max="383" width="5.5546875" customWidth="1"/>
    <col min="386" max="386" width="7" bestFit="1" customWidth="1"/>
    <col min="387" max="395" width="4.6640625" bestFit="1" customWidth="1"/>
    <col min="396" max="396" width="5.6640625" bestFit="1" customWidth="1"/>
    <col min="397" max="397" width="4.6640625" bestFit="1" customWidth="1"/>
    <col min="399" max="399" width="21.109375" bestFit="1" customWidth="1"/>
    <col min="425" max="425" width="8.88671875" customWidth="1"/>
  </cols>
  <sheetData>
    <row r="1" spans="1:399" x14ac:dyDescent="0.3">
      <c r="I1" t="s">
        <v>375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2</v>
      </c>
      <c r="EA1">
        <v>2</v>
      </c>
      <c r="EB1">
        <v>2</v>
      </c>
      <c r="EC1">
        <v>2</v>
      </c>
      <c r="ED1">
        <v>2</v>
      </c>
      <c r="EE1">
        <v>2</v>
      </c>
      <c r="EF1">
        <v>2</v>
      </c>
      <c r="EG1">
        <v>2</v>
      </c>
      <c r="EH1">
        <v>2</v>
      </c>
      <c r="EI1">
        <v>2</v>
      </c>
      <c r="EJ1">
        <v>2</v>
      </c>
      <c r="EK1">
        <v>2</v>
      </c>
      <c r="EL1">
        <v>2</v>
      </c>
      <c r="EM1">
        <v>2</v>
      </c>
      <c r="EN1">
        <v>2</v>
      </c>
      <c r="EO1">
        <v>2</v>
      </c>
      <c r="EP1">
        <v>2</v>
      </c>
      <c r="EQ1">
        <v>2</v>
      </c>
      <c r="ER1">
        <v>2</v>
      </c>
      <c r="ES1">
        <v>2</v>
      </c>
      <c r="ET1">
        <v>2</v>
      </c>
      <c r="EU1">
        <v>2</v>
      </c>
      <c r="EV1">
        <v>2</v>
      </c>
      <c r="EW1">
        <v>2</v>
      </c>
      <c r="EX1">
        <v>2</v>
      </c>
      <c r="EY1">
        <v>2</v>
      </c>
      <c r="EZ1">
        <v>2</v>
      </c>
      <c r="FA1">
        <v>2</v>
      </c>
      <c r="FB1">
        <v>2</v>
      </c>
      <c r="FC1">
        <v>2</v>
      </c>
      <c r="FD1">
        <v>2</v>
      </c>
      <c r="FE1">
        <v>2</v>
      </c>
      <c r="FF1">
        <v>2</v>
      </c>
      <c r="FG1">
        <v>2</v>
      </c>
      <c r="FH1">
        <v>2</v>
      </c>
      <c r="FI1">
        <v>2</v>
      </c>
      <c r="FJ1">
        <v>2</v>
      </c>
      <c r="FK1">
        <v>2</v>
      </c>
      <c r="FL1">
        <v>2</v>
      </c>
      <c r="FM1">
        <v>2</v>
      </c>
      <c r="FN1">
        <v>2</v>
      </c>
      <c r="FO1">
        <v>2</v>
      </c>
      <c r="FP1">
        <v>2</v>
      </c>
      <c r="FQ1">
        <v>2</v>
      </c>
      <c r="FR1">
        <v>2</v>
      </c>
      <c r="FS1">
        <v>2</v>
      </c>
      <c r="FT1">
        <v>2</v>
      </c>
      <c r="FU1">
        <v>2</v>
      </c>
      <c r="FV1">
        <v>2</v>
      </c>
      <c r="FW1">
        <v>2</v>
      </c>
      <c r="FX1">
        <v>2</v>
      </c>
      <c r="FY1">
        <v>2</v>
      </c>
      <c r="FZ1">
        <v>2</v>
      </c>
      <c r="GA1">
        <v>2</v>
      </c>
      <c r="GB1">
        <v>2</v>
      </c>
      <c r="GC1">
        <v>2</v>
      </c>
      <c r="GD1">
        <v>2</v>
      </c>
      <c r="GE1">
        <v>2</v>
      </c>
      <c r="GF1">
        <v>2</v>
      </c>
      <c r="GG1">
        <v>2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1</v>
      </c>
      <c r="KK1">
        <v>1</v>
      </c>
      <c r="KL1">
        <v>1</v>
      </c>
      <c r="KM1">
        <v>1</v>
      </c>
      <c r="KN1">
        <v>1</v>
      </c>
      <c r="KO1">
        <v>1</v>
      </c>
      <c r="KP1">
        <v>1</v>
      </c>
      <c r="KQ1">
        <v>1</v>
      </c>
      <c r="KR1">
        <v>1</v>
      </c>
      <c r="KS1">
        <v>1</v>
      </c>
      <c r="KT1">
        <v>1</v>
      </c>
      <c r="KU1">
        <v>1</v>
      </c>
      <c r="KV1">
        <v>1</v>
      </c>
      <c r="KW1">
        <v>1</v>
      </c>
      <c r="KX1">
        <v>1</v>
      </c>
      <c r="KY1">
        <v>2</v>
      </c>
      <c r="KZ1">
        <v>2</v>
      </c>
      <c r="LA1">
        <v>2</v>
      </c>
      <c r="LB1">
        <v>2</v>
      </c>
      <c r="LC1">
        <v>2</v>
      </c>
      <c r="LD1">
        <v>2</v>
      </c>
      <c r="LE1">
        <v>2</v>
      </c>
      <c r="LF1">
        <v>2</v>
      </c>
      <c r="LG1">
        <v>2</v>
      </c>
      <c r="LH1">
        <v>2</v>
      </c>
      <c r="LI1">
        <v>2</v>
      </c>
      <c r="LJ1">
        <v>2</v>
      </c>
      <c r="LK1">
        <v>2</v>
      </c>
      <c r="LL1">
        <v>2</v>
      </c>
      <c r="LM1">
        <v>2</v>
      </c>
      <c r="LN1">
        <v>2</v>
      </c>
      <c r="LO1">
        <v>2</v>
      </c>
      <c r="LP1">
        <v>2</v>
      </c>
      <c r="LQ1">
        <v>2</v>
      </c>
      <c r="LR1">
        <v>2</v>
      </c>
      <c r="LS1">
        <v>2</v>
      </c>
      <c r="LT1">
        <v>2</v>
      </c>
      <c r="LU1">
        <v>2</v>
      </c>
      <c r="LV1">
        <v>2</v>
      </c>
      <c r="LW1">
        <v>2</v>
      </c>
      <c r="LX1">
        <v>2</v>
      </c>
      <c r="LY1">
        <v>2</v>
      </c>
      <c r="LZ1">
        <v>2</v>
      </c>
      <c r="MA1">
        <v>2</v>
      </c>
      <c r="MB1">
        <v>2</v>
      </c>
      <c r="MC1">
        <v>2</v>
      </c>
      <c r="MD1">
        <v>2</v>
      </c>
      <c r="ME1">
        <v>2</v>
      </c>
      <c r="MF1">
        <v>2</v>
      </c>
      <c r="MG1">
        <v>2</v>
      </c>
      <c r="MH1">
        <v>2</v>
      </c>
      <c r="MI1">
        <v>2</v>
      </c>
      <c r="MJ1">
        <v>2</v>
      </c>
      <c r="MK1">
        <v>2</v>
      </c>
      <c r="ML1">
        <v>2</v>
      </c>
      <c r="MM1">
        <v>2</v>
      </c>
      <c r="MN1">
        <v>2</v>
      </c>
      <c r="MO1">
        <v>2</v>
      </c>
      <c r="MP1">
        <v>2</v>
      </c>
      <c r="MQ1">
        <v>2</v>
      </c>
      <c r="MR1">
        <v>2</v>
      </c>
      <c r="MS1">
        <v>2</v>
      </c>
      <c r="MT1">
        <v>2</v>
      </c>
      <c r="MU1">
        <v>2</v>
      </c>
      <c r="MV1">
        <v>2</v>
      </c>
      <c r="MW1">
        <v>2</v>
      </c>
      <c r="MX1">
        <v>2</v>
      </c>
      <c r="MY1">
        <v>2</v>
      </c>
      <c r="MZ1">
        <v>2</v>
      </c>
      <c r="NA1">
        <v>2</v>
      </c>
      <c r="NB1">
        <v>2</v>
      </c>
      <c r="NC1">
        <v>2</v>
      </c>
      <c r="ND1">
        <v>2</v>
      </c>
      <c r="NE1">
        <v>2</v>
      </c>
      <c r="NF1">
        <v>2</v>
      </c>
      <c r="NH1" t="s">
        <v>491</v>
      </c>
      <c r="NK1" t="s">
        <v>482</v>
      </c>
      <c r="NL1">
        <v>1</v>
      </c>
      <c r="NS1" t="s">
        <v>482</v>
      </c>
      <c r="NT1">
        <v>2</v>
      </c>
      <c r="OF1" t="s">
        <v>482</v>
      </c>
      <c r="OG1">
        <v>4</v>
      </c>
    </row>
    <row r="2" spans="1:399" x14ac:dyDescent="0.3">
      <c r="I2" t="s">
        <v>376</v>
      </c>
      <c r="J2">
        <f>_xlfn.XLOOKUP(J4,Computes!$C$2:$C$181,Computes!$E$2:$E$181)</f>
        <v>0</v>
      </c>
      <c r="K2">
        <f>_xlfn.XLOOKUP(K4,Computes!$C$2:$C$181,Computes!$E$2:$E$181)</f>
        <v>0</v>
      </c>
      <c r="L2">
        <f>_xlfn.XLOOKUP(L4,Computes!$C$2:$C$181,Computes!$E$2:$E$181)</f>
        <v>1</v>
      </c>
      <c r="M2">
        <f>_xlfn.XLOOKUP(M4,Computes!$C$2:$C$181,Computes!$E$2:$E$181)</f>
        <v>1</v>
      </c>
      <c r="N2">
        <f>_xlfn.XLOOKUP(N4,Computes!$C$2:$C$181,Computes!$E$2:$E$181)</f>
        <v>1</v>
      </c>
      <c r="O2">
        <f>_xlfn.XLOOKUP(O4,Computes!$C$2:$C$181,Computes!$E$2:$E$181)</f>
        <v>1</v>
      </c>
      <c r="P2">
        <f>_xlfn.XLOOKUP(P4,Computes!$C$2:$C$181,Computes!$E$2:$E$181)</f>
        <v>1</v>
      </c>
      <c r="Q2">
        <f>_xlfn.XLOOKUP(Q4,Computes!$C$2:$C$181,Computes!$E$2:$E$181)</f>
        <v>1</v>
      </c>
      <c r="R2">
        <f>_xlfn.XLOOKUP(R4,Computes!$C$2:$C$181,Computes!$E$2:$E$181)</f>
        <v>1</v>
      </c>
      <c r="S2">
        <f>_xlfn.XLOOKUP(S4,Computes!$C$2:$C$181,Computes!$E$2:$E$181)</f>
        <v>1</v>
      </c>
      <c r="T2">
        <f>_xlfn.XLOOKUP(T4,Computes!$C$2:$C$181,Computes!$E$2:$E$181)</f>
        <v>2</v>
      </c>
      <c r="U2">
        <f>_xlfn.XLOOKUP(U4,Computes!$C$2:$C$181,Computes!$E$2:$E$181)</f>
        <v>2</v>
      </c>
      <c r="V2">
        <f>_xlfn.XLOOKUP(V4,Computes!$C$2:$C$181,Computes!$E$2:$E$181)</f>
        <v>2</v>
      </c>
      <c r="W2">
        <f>_xlfn.XLOOKUP(W4,Computes!$C$2:$C$181,Computes!$E$2:$E$181)</f>
        <v>2</v>
      </c>
      <c r="X2">
        <f>_xlfn.XLOOKUP(X4,Computes!$C$2:$C$181,Computes!$E$2:$E$181)</f>
        <v>2</v>
      </c>
      <c r="Y2">
        <f>_xlfn.XLOOKUP(Y4,Computes!$C$2:$C$181,Computes!$E$2:$E$181)</f>
        <v>2</v>
      </c>
      <c r="Z2">
        <f>_xlfn.XLOOKUP(Z4,Computes!$C$2:$C$181,Computes!$E$2:$E$181)</f>
        <v>2</v>
      </c>
      <c r="AA2">
        <f>_xlfn.XLOOKUP(AA4,Computes!$C$2:$C$181,Computes!$E$2:$E$181)</f>
        <v>3</v>
      </c>
      <c r="AB2">
        <f>_xlfn.XLOOKUP(AB4,Computes!$C$2:$C$181,Computes!$E$2:$E$181)</f>
        <v>3</v>
      </c>
      <c r="AC2">
        <f>_xlfn.XLOOKUP(AC4,Computes!$C$2:$C$181,Computes!$E$2:$E$181)</f>
        <v>3</v>
      </c>
      <c r="AD2">
        <f>_xlfn.XLOOKUP(AD4,Computes!$C$2:$C$181,Computes!$E$2:$E$181)</f>
        <v>3</v>
      </c>
      <c r="AE2">
        <f>_xlfn.XLOOKUP(AE4,Computes!$C$2:$C$181,Computes!$E$2:$E$181)</f>
        <v>3</v>
      </c>
      <c r="AF2">
        <f>_xlfn.XLOOKUP(AF4,Computes!$C$2:$C$181,Computes!$E$2:$E$181)</f>
        <v>3</v>
      </c>
      <c r="AG2">
        <f>_xlfn.XLOOKUP(AG4,Computes!$C$2:$C$181,Computes!$E$2:$E$181)</f>
        <v>3</v>
      </c>
      <c r="AH2">
        <f>_xlfn.XLOOKUP(AH4,Computes!$C$2:$C$181,Computes!$E$2:$E$181)</f>
        <v>4</v>
      </c>
      <c r="AI2">
        <f>_xlfn.XLOOKUP(AI4,Computes!$C$2:$C$181,Computes!$E$2:$E$181)</f>
        <v>4</v>
      </c>
      <c r="AJ2">
        <f>_xlfn.XLOOKUP(AJ4,Computes!$C$2:$C$181,Computes!$E$2:$E$181)</f>
        <v>4</v>
      </c>
      <c r="AK2">
        <f>_xlfn.XLOOKUP(AK4,Computes!$C$2:$C$181,Computes!$E$2:$E$181)</f>
        <v>4</v>
      </c>
      <c r="AL2">
        <f>_xlfn.XLOOKUP(AL4,Computes!$C$2:$C$181,Computes!$E$2:$E$181)</f>
        <v>4</v>
      </c>
      <c r="AM2">
        <f>_xlfn.XLOOKUP(AM4,Computes!$C$2:$C$181,Computes!$E$2:$E$181)</f>
        <v>4</v>
      </c>
      <c r="AN2">
        <f>_xlfn.XLOOKUP(AN4,Computes!$C$2:$C$181,Computes!$E$2:$E$181)</f>
        <v>4</v>
      </c>
      <c r="AO2">
        <f>_xlfn.XLOOKUP(AO4,Computes!$C$2:$C$181,Computes!$E$2:$E$181)</f>
        <v>5</v>
      </c>
      <c r="AP2">
        <f>_xlfn.XLOOKUP(AP4,Computes!$C$2:$C$181,Computes!$E$2:$E$181)</f>
        <v>5</v>
      </c>
      <c r="AQ2">
        <f>_xlfn.XLOOKUP(AQ4,Computes!$C$2:$C$181,Computes!$E$2:$E$181)</f>
        <v>5</v>
      </c>
      <c r="AR2">
        <f>_xlfn.XLOOKUP(AR4,Computes!$C$2:$C$181,Computes!$E$2:$E$181)</f>
        <v>5</v>
      </c>
      <c r="AS2">
        <f>_xlfn.XLOOKUP(AS4,Computes!$C$2:$C$181,Computes!$E$2:$E$181)</f>
        <v>5</v>
      </c>
      <c r="AT2">
        <f>_xlfn.XLOOKUP(AT4,Computes!$C$2:$C$181,Computes!$E$2:$E$181)</f>
        <v>5</v>
      </c>
      <c r="AU2">
        <f>_xlfn.XLOOKUP(AU4,Computes!$C$2:$C$181,Computes!$E$2:$E$181)</f>
        <v>5</v>
      </c>
      <c r="AV2">
        <f>_xlfn.XLOOKUP(AV4,Computes!$C$2:$C$181,Computes!$E$2:$E$181)</f>
        <v>6</v>
      </c>
      <c r="AW2">
        <f>_xlfn.XLOOKUP(AW4,Computes!$C$2:$C$181,Computes!$E$2:$E$181)</f>
        <v>6</v>
      </c>
      <c r="AX2">
        <f>_xlfn.XLOOKUP(AX4,Computes!$C$2:$C$181,Computes!$E$2:$E$181)</f>
        <v>6</v>
      </c>
      <c r="AY2">
        <f>_xlfn.XLOOKUP(AY4,Computes!$C$2:$C$181,Computes!$E$2:$E$181)</f>
        <v>6</v>
      </c>
      <c r="AZ2">
        <f>_xlfn.XLOOKUP(AZ4,Computes!$C$2:$C$181,Computes!$E$2:$E$181)</f>
        <v>6</v>
      </c>
      <c r="BA2">
        <f>_xlfn.XLOOKUP(BA4,Computes!$C$2:$C$181,Computes!$E$2:$E$181)</f>
        <v>6</v>
      </c>
      <c r="BB2">
        <f>_xlfn.XLOOKUP(BB4,Computes!$C$2:$C$181,Computes!$E$2:$E$181)</f>
        <v>6</v>
      </c>
      <c r="BC2">
        <f>_xlfn.XLOOKUP(BC4,Computes!$C$2:$C$181,Computes!$E$2:$E$181)</f>
        <v>7</v>
      </c>
      <c r="BD2">
        <f>_xlfn.XLOOKUP(BD4,Computes!$C$2:$C$181,Computes!$E$2:$E$181)</f>
        <v>7</v>
      </c>
      <c r="BE2">
        <f>_xlfn.XLOOKUP(BE4,Computes!$C$2:$C$181,Computes!$E$2:$E$181)</f>
        <v>7</v>
      </c>
      <c r="BF2">
        <f>_xlfn.XLOOKUP(BF4,Computes!$C$2:$C$181,Computes!$E$2:$E$181)</f>
        <v>7</v>
      </c>
      <c r="BG2">
        <f>_xlfn.XLOOKUP(BG4,Computes!$C$2:$C$181,Computes!$E$2:$E$181)</f>
        <v>7</v>
      </c>
      <c r="BH2">
        <f>_xlfn.XLOOKUP(BH4,Computes!$C$2:$C$181,Computes!$E$2:$E$181)</f>
        <v>7</v>
      </c>
      <c r="BI2">
        <f>_xlfn.XLOOKUP(BI4,Computes!$C$2:$C$181,Computes!$E$2:$E$181)</f>
        <v>7</v>
      </c>
      <c r="BJ2">
        <f>_xlfn.XLOOKUP(BJ4,Computes!$C$2:$C$181,Computes!$E$2:$E$181)</f>
        <v>8</v>
      </c>
      <c r="BK2">
        <f>_xlfn.XLOOKUP(BK4,Computes!$C$2:$C$181,Computes!$E$2:$E$181)</f>
        <v>8</v>
      </c>
      <c r="BL2">
        <f>_xlfn.XLOOKUP(BL4,Computes!$C$2:$C$181,Computes!$E$2:$E$181)</f>
        <v>8</v>
      </c>
      <c r="BM2">
        <f>_xlfn.XLOOKUP(BM4,Computes!$C$2:$C$181,Computes!$E$2:$E$181)</f>
        <v>8</v>
      </c>
      <c r="BN2">
        <f>_xlfn.XLOOKUP(BN4,Computes!$C$2:$C$181,Computes!$E$2:$E$181)</f>
        <v>8</v>
      </c>
      <c r="BO2">
        <f>_xlfn.XLOOKUP(BO4,Computes!$C$2:$C$181,Computes!$E$2:$E$181)</f>
        <v>8</v>
      </c>
      <c r="BP2">
        <f>_xlfn.XLOOKUP(BP4,Computes!$C$2:$C$181,Computes!$E$2:$E$181)</f>
        <v>9</v>
      </c>
      <c r="BQ2">
        <f>_xlfn.XLOOKUP(BQ4,Computes!$C$2:$C$181,Computes!$E$2:$E$181)</f>
        <v>9</v>
      </c>
      <c r="BR2">
        <f>_xlfn.XLOOKUP(BR4,Computes!$C$2:$C$181,Computes!$E$2:$E$181)</f>
        <v>0</v>
      </c>
      <c r="BS2">
        <f>_xlfn.XLOOKUP(BS4,Computes!$C$2:$C$181,Computes!$E$2:$E$181)</f>
        <v>0</v>
      </c>
      <c r="BT2">
        <f>_xlfn.XLOOKUP(BT4,Computes!$C$2:$C$181,Computes!$E$2:$E$181)</f>
        <v>1</v>
      </c>
      <c r="BU2">
        <f>_xlfn.XLOOKUP(BU4,Computes!$C$2:$C$181,Computes!$E$2:$E$181)</f>
        <v>1</v>
      </c>
      <c r="BV2">
        <f>_xlfn.XLOOKUP(BV4,Computes!$C$2:$C$181,Computes!$E$2:$E$181)</f>
        <v>1</v>
      </c>
      <c r="BW2">
        <f>_xlfn.XLOOKUP(BW4,Computes!$C$2:$C$181,Computes!$E$2:$E$181)</f>
        <v>1</v>
      </c>
      <c r="BX2">
        <f>_xlfn.XLOOKUP(BX4,Computes!$C$2:$C$181,Computes!$E$2:$E$181)</f>
        <v>1</v>
      </c>
      <c r="BY2">
        <f>_xlfn.XLOOKUP(BY4,Computes!$C$2:$C$181,Computes!$E$2:$E$181)</f>
        <v>1</v>
      </c>
      <c r="BZ2">
        <f>_xlfn.XLOOKUP(BZ4,Computes!$C$2:$C$181,Computes!$E$2:$E$181)</f>
        <v>1</v>
      </c>
      <c r="CA2">
        <f>_xlfn.XLOOKUP(CA4,Computes!$C$2:$C$181,Computes!$E$2:$E$181)</f>
        <v>1</v>
      </c>
      <c r="CB2">
        <f>_xlfn.XLOOKUP(CB4,Computes!$C$2:$C$181,Computes!$E$2:$E$181)</f>
        <v>2</v>
      </c>
      <c r="CC2">
        <f>_xlfn.XLOOKUP(CC4,Computes!$C$2:$C$181,Computes!$E$2:$E$181)</f>
        <v>2</v>
      </c>
      <c r="CD2">
        <f>_xlfn.XLOOKUP(CD4,Computes!$C$2:$C$181,Computes!$E$2:$E$181)</f>
        <v>2</v>
      </c>
      <c r="CE2">
        <f>_xlfn.XLOOKUP(CE4,Computes!$C$2:$C$181,Computes!$E$2:$E$181)</f>
        <v>2</v>
      </c>
      <c r="CF2">
        <f>_xlfn.XLOOKUP(CF4,Computes!$C$2:$C$181,Computes!$E$2:$E$181)</f>
        <v>2</v>
      </c>
      <c r="CG2">
        <f>_xlfn.XLOOKUP(CG4,Computes!$C$2:$C$181,Computes!$E$2:$E$181)</f>
        <v>2</v>
      </c>
      <c r="CH2">
        <f>_xlfn.XLOOKUP(CH4,Computes!$C$2:$C$181,Computes!$E$2:$E$181)</f>
        <v>2</v>
      </c>
      <c r="CI2">
        <f>_xlfn.XLOOKUP(CI4,Computes!$C$2:$C$181,Computes!$E$2:$E$181)</f>
        <v>3</v>
      </c>
      <c r="CJ2">
        <f>_xlfn.XLOOKUP(CJ4,Computes!$C$2:$C$181,Computes!$E$2:$E$181)</f>
        <v>3</v>
      </c>
      <c r="CK2">
        <f>_xlfn.XLOOKUP(CK4,Computes!$C$2:$C$181,Computes!$E$2:$E$181)</f>
        <v>3</v>
      </c>
      <c r="CL2">
        <f>_xlfn.XLOOKUP(CL4,Computes!$C$2:$C$181,Computes!$E$2:$E$181)</f>
        <v>3</v>
      </c>
      <c r="CM2">
        <f>_xlfn.XLOOKUP(CM4,Computes!$C$2:$C$181,Computes!$E$2:$E$181)</f>
        <v>3</v>
      </c>
      <c r="CN2">
        <f>_xlfn.XLOOKUP(CN4,Computes!$C$2:$C$181,Computes!$E$2:$E$181)</f>
        <v>3</v>
      </c>
      <c r="CO2">
        <f>_xlfn.XLOOKUP(CO4,Computes!$C$2:$C$181,Computes!$E$2:$E$181)</f>
        <v>3</v>
      </c>
      <c r="CP2">
        <f>_xlfn.XLOOKUP(CP4,Computes!$C$2:$C$181,Computes!$E$2:$E$181)</f>
        <v>4</v>
      </c>
      <c r="CQ2">
        <f>_xlfn.XLOOKUP(CQ4,Computes!$C$2:$C$181,Computes!$E$2:$E$181)</f>
        <v>4</v>
      </c>
      <c r="CR2">
        <f>_xlfn.XLOOKUP(CR4,Computes!$C$2:$C$181,Computes!$E$2:$E$181)</f>
        <v>4</v>
      </c>
      <c r="CS2">
        <f>_xlfn.XLOOKUP(CS4,Computes!$C$2:$C$181,Computes!$E$2:$E$181)</f>
        <v>4</v>
      </c>
      <c r="CT2">
        <f>_xlfn.XLOOKUP(CT4,Computes!$C$2:$C$181,Computes!$E$2:$E$181)</f>
        <v>4</v>
      </c>
      <c r="CU2">
        <f>_xlfn.XLOOKUP(CU4,Computes!$C$2:$C$181,Computes!$E$2:$E$181)</f>
        <v>4</v>
      </c>
      <c r="CV2">
        <f>_xlfn.XLOOKUP(CV4,Computes!$C$2:$C$181,Computes!$E$2:$E$181)</f>
        <v>4</v>
      </c>
      <c r="CW2">
        <f>_xlfn.XLOOKUP(CW4,Computes!$C$2:$C$181,Computes!$E$2:$E$181)</f>
        <v>5</v>
      </c>
      <c r="CX2">
        <f>_xlfn.XLOOKUP(CX4,Computes!$C$2:$C$181,Computes!$E$2:$E$181)</f>
        <v>5</v>
      </c>
      <c r="CY2">
        <f>_xlfn.XLOOKUP(CY4,Computes!$C$2:$C$181,Computes!$E$2:$E$181)</f>
        <v>5</v>
      </c>
      <c r="CZ2">
        <f>_xlfn.XLOOKUP(CZ4,Computes!$C$2:$C$181,Computes!$E$2:$E$181)</f>
        <v>5</v>
      </c>
      <c r="DA2">
        <f>_xlfn.XLOOKUP(DA4,Computes!$C$2:$C$181,Computes!$E$2:$E$181)</f>
        <v>5</v>
      </c>
      <c r="DB2">
        <f>_xlfn.XLOOKUP(DB4,Computes!$C$2:$C$181,Computes!$E$2:$E$181)</f>
        <v>5</v>
      </c>
      <c r="DC2">
        <f>_xlfn.XLOOKUP(DC4,Computes!$C$2:$C$181,Computes!$E$2:$E$181)</f>
        <v>5</v>
      </c>
      <c r="DD2">
        <f>_xlfn.XLOOKUP(DD4,Computes!$C$2:$C$181,Computes!$E$2:$E$181)</f>
        <v>6</v>
      </c>
      <c r="DE2">
        <f>_xlfn.XLOOKUP(DE4,Computes!$C$2:$C$181,Computes!$E$2:$E$181)</f>
        <v>6</v>
      </c>
      <c r="DF2">
        <f>_xlfn.XLOOKUP(DF4,Computes!$C$2:$C$181,Computes!$E$2:$E$181)</f>
        <v>6</v>
      </c>
      <c r="DG2">
        <f>_xlfn.XLOOKUP(DG4,Computes!$C$2:$C$181,Computes!$E$2:$E$181)</f>
        <v>6</v>
      </c>
      <c r="DH2">
        <f>_xlfn.XLOOKUP(DH4,Computes!$C$2:$C$181,Computes!$E$2:$E$181)</f>
        <v>6</v>
      </c>
      <c r="DI2">
        <f>_xlfn.XLOOKUP(DI4,Computes!$C$2:$C$181,Computes!$E$2:$E$181)</f>
        <v>6</v>
      </c>
      <c r="DJ2">
        <f>_xlfn.XLOOKUP(DJ4,Computes!$C$2:$C$181,Computes!$E$2:$E$181)</f>
        <v>6</v>
      </c>
      <c r="DK2">
        <f>_xlfn.XLOOKUP(DK4,Computes!$C$2:$C$181,Computes!$E$2:$E$181)</f>
        <v>7</v>
      </c>
      <c r="DL2">
        <f>_xlfn.XLOOKUP(DL4,Computes!$C$2:$C$181,Computes!$E$2:$E$181)</f>
        <v>7</v>
      </c>
      <c r="DM2">
        <f>_xlfn.XLOOKUP(DM4,Computes!$C$2:$C$181,Computes!$E$2:$E$181)</f>
        <v>7</v>
      </c>
      <c r="DN2">
        <f>_xlfn.XLOOKUP(DN4,Computes!$C$2:$C$181,Computes!$E$2:$E$181)</f>
        <v>7</v>
      </c>
      <c r="DO2">
        <f>_xlfn.XLOOKUP(DO4,Computes!$C$2:$C$181,Computes!$E$2:$E$181)</f>
        <v>7</v>
      </c>
      <c r="DP2">
        <f>_xlfn.XLOOKUP(DP4,Computes!$C$2:$C$181,Computes!$E$2:$E$181)</f>
        <v>7</v>
      </c>
      <c r="DQ2">
        <f>_xlfn.XLOOKUP(DQ4,Computes!$C$2:$C$181,Computes!$E$2:$E$181)</f>
        <v>7</v>
      </c>
      <c r="DR2">
        <f>_xlfn.XLOOKUP(DR4,Computes!$C$2:$C$181,Computes!$E$2:$E$181)</f>
        <v>8</v>
      </c>
      <c r="DS2">
        <f>_xlfn.XLOOKUP(DS4,Computes!$C$2:$C$181,Computes!$E$2:$E$181)</f>
        <v>8</v>
      </c>
      <c r="DT2">
        <f>_xlfn.XLOOKUP(DT4,Computes!$C$2:$C$181,Computes!$E$2:$E$181)</f>
        <v>8</v>
      </c>
      <c r="DU2">
        <f>_xlfn.XLOOKUP(DU4,Computes!$C$2:$C$181,Computes!$E$2:$E$181)</f>
        <v>8</v>
      </c>
      <c r="DV2">
        <f>_xlfn.XLOOKUP(DV4,Computes!$C$2:$C$181,Computes!$E$2:$E$181)</f>
        <v>8</v>
      </c>
      <c r="DW2">
        <f>_xlfn.XLOOKUP(DW4,Computes!$C$2:$C$181,Computes!$E$2:$E$181)</f>
        <v>8</v>
      </c>
      <c r="DX2">
        <f>_xlfn.XLOOKUP(DX4,Computes!$C$2:$C$181,Computes!$E$2:$E$181)</f>
        <v>9</v>
      </c>
      <c r="DY2">
        <f>_xlfn.XLOOKUP(DY4,Computes!$C$2:$C$181,Computes!$E$2:$E$181)</f>
        <v>9</v>
      </c>
      <c r="DZ2">
        <f>_xlfn.XLOOKUP(DZ4,Computes!$C$2:$C$181,Computes!$E$2:$E$181)</f>
        <v>0</v>
      </c>
      <c r="EA2">
        <f>_xlfn.XLOOKUP(EA4,Computes!$C$2:$C$181,Computes!$E$2:$E$181)</f>
        <v>0</v>
      </c>
      <c r="EB2">
        <f>_xlfn.XLOOKUP(EB4,Computes!$C$2:$C$181,Computes!$E$2:$E$181)</f>
        <v>1</v>
      </c>
      <c r="EC2">
        <f>_xlfn.XLOOKUP(EC4,Computes!$C$2:$C$181,Computes!$E$2:$E$181)</f>
        <v>1</v>
      </c>
      <c r="ED2">
        <f>_xlfn.XLOOKUP(ED4,Computes!$C$2:$C$181,Computes!$E$2:$E$181)</f>
        <v>1</v>
      </c>
      <c r="EE2">
        <f>_xlfn.XLOOKUP(EE4,Computes!$C$2:$C$181,Computes!$E$2:$E$181)</f>
        <v>1</v>
      </c>
      <c r="EF2">
        <f>_xlfn.XLOOKUP(EF4,Computes!$C$2:$C$181,Computes!$E$2:$E$181)</f>
        <v>1</v>
      </c>
      <c r="EG2">
        <f>_xlfn.XLOOKUP(EG4,Computes!$C$2:$C$181,Computes!$E$2:$E$181)</f>
        <v>1</v>
      </c>
      <c r="EH2">
        <f>_xlfn.XLOOKUP(EH4,Computes!$C$2:$C$181,Computes!$E$2:$E$181)</f>
        <v>1</v>
      </c>
      <c r="EI2">
        <f>_xlfn.XLOOKUP(EI4,Computes!$C$2:$C$181,Computes!$E$2:$E$181)</f>
        <v>1</v>
      </c>
      <c r="EJ2">
        <f>_xlfn.XLOOKUP(EJ4,Computes!$C$2:$C$181,Computes!$E$2:$E$181)</f>
        <v>2</v>
      </c>
      <c r="EK2">
        <f>_xlfn.XLOOKUP(EK4,Computes!$C$2:$C$181,Computes!$E$2:$E$181)</f>
        <v>2</v>
      </c>
      <c r="EL2">
        <f>_xlfn.XLOOKUP(EL4,Computes!$C$2:$C$181,Computes!$E$2:$E$181)</f>
        <v>2</v>
      </c>
      <c r="EM2">
        <f>_xlfn.XLOOKUP(EM4,Computes!$C$2:$C$181,Computes!$E$2:$E$181)</f>
        <v>2</v>
      </c>
      <c r="EN2">
        <f>_xlfn.XLOOKUP(EN4,Computes!$C$2:$C$181,Computes!$E$2:$E$181)</f>
        <v>2</v>
      </c>
      <c r="EO2">
        <f>_xlfn.XLOOKUP(EO4,Computes!$C$2:$C$181,Computes!$E$2:$E$181)</f>
        <v>2</v>
      </c>
      <c r="EP2">
        <f>_xlfn.XLOOKUP(EP4,Computes!$C$2:$C$181,Computes!$E$2:$E$181)</f>
        <v>2</v>
      </c>
      <c r="EQ2">
        <f>_xlfn.XLOOKUP(EQ4,Computes!$C$2:$C$181,Computes!$E$2:$E$181)</f>
        <v>3</v>
      </c>
      <c r="ER2">
        <f>_xlfn.XLOOKUP(ER4,Computes!$C$2:$C$181,Computes!$E$2:$E$181)</f>
        <v>3</v>
      </c>
      <c r="ES2">
        <f>_xlfn.XLOOKUP(ES4,Computes!$C$2:$C$181,Computes!$E$2:$E$181)</f>
        <v>3</v>
      </c>
      <c r="ET2">
        <f>_xlfn.XLOOKUP(ET4,Computes!$C$2:$C$181,Computes!$E$2:$E$181)</f>
        <v>3</v>
      </c>
      <c r="EU2">
        <f>_xlfn.XLOOKUP(EU4,Computes!$C$2:$C$181,Computes!$E$2:$E$181)</f>
        <v>3</v>
      </c>
      <c r="EV2">
        <f>_xlfn.XLOOKUP(EV4,Computes!$C$2:$C$181,Computes!$E$2:$E$181)</f>
        <v>3</v>
      </c>
      <c r="EW2">
        <f>_xlfn.XLOOKUP(EW4,Computes!$C$2:$C$181,Computes!$E$2:$E$181)</f>
        <v>3</v>
      </c>
      <c r="EX2">
        <f>_xlfn.XLOOKUP(EX4,Computes!$C$2:$C$181,Computes!$E$2:$E$181)</f>
        <v>4</v>
      </c>
      <c r="EY2">
        <f>_xlfn.XLOOKUP(EY4,Computes!$C$2:$C$181,Computes!$E$2:$E$181)</f>
        <v>4</v>
      </c>
      <c r="EZ2">
        <f>_xlfn.XLOOKUP(EZ4,Computes!$C$2:$C$181,Computes!$E$2:$E$181)</f>
        <v>4</v>
      </c>
      <c r="FA2">
        <f>_xlfn.XLOOKUP(FA4,Computes!$C$2:$C$181,Computes!$E$2:$E$181)</f>
        <v>4</v>
      </c>
      <c r="FB2">
        <f>_xlfn.XLOOKUP(FB4,Computes!$C$2:$C$181,Computes!$E$2:$E$181)</f>
        <v>4</v>
      </c>
      <c r="FC2">
        <f>_xlfn.XLOOKUP(FC4,Computes!$C$2:$C$181,Computes!$E$2:$E$181)</f>
        <v>4</v>
      </c>
      <c r="FD2">
        <f>_xlfn.XLOOKUP(FD4,Computes!$C$2:$C$181,Computes!$E$2:$E$181)</f>
        <v>4</v>
      </c>
      <c r="FE2">
        <f>_xlfn.XLOOKUP(FE4,Computes!$C$2:$C$181,Computes!$E$2:$E$181)</f>
        <v>5</v>
      </c>
      <c r="FF2">
        <f>_xlfn.XLOOKUP(FF4,Computes!$C$2:$C$181,Computes!$E$2:$E$181)</f>
        <v>5</v>
      </c>
      <c r="FG2">
        <f>_xlfn.XLOOKUP(FG4,Computes!$C$2:$C$181,Computes!$E$2:$E$181)</f>
        <v>5</v>
      </c>
      <c r="FH2">
        <f>_xlfn.XLOOKUP(FH4,Computes!$C$2:$C$181,Computes!$E$2:$E$181)</f>
        <v>5</v>
      </c>
      <c r="FI2">
        <f>_xlfn.XLOOKUP(FI4,Computes!$C$2:$C$181,Computes!$E$2:$E$181)</f>
        <v>5</v>
      </c>
      <c r="FJ2">
        <f>_xlfn.XLOOKUP(FJ4,Computes!$C$2:$C$181,Computes!$E$2:$E$181)</f>
        <v>5</v>
      </c>
      <c r="FK2">
        <f>_xlfn.XLOOKUP(FK4,Computes!$C$2:$C$181,Computes!$E$2:$E$181)</f>
        <v>5</v>
      </c>
      <c r="FL2">
        <f>_xlfn.XLOOKUP(FL4,Computes!$C$2:$C$181,Computes!$E$2:$E$181)</f>
        <v>6</v>
      </c>
      <c r="FM2">
        <f>_xlfn.XLOOKUP(FM4,Computes!$C$2:$C$181,Computes!$E$2:$E$181)</f>
        <v>6</v>
      </c>
      <c r="FN2">
        <f>_xlfn.XLOOKUP(FN4,Computes!$C$2:$C$181,Computes!$E$2:$E$181)</f>
        <v>6</v>
      </c>
      <c r="FO2">
        <f>_xlfn.XLOOKUP(FO4,Computes!$C$2:$C$181,Computes!$E$2:$E$181)</f>
        <v>6</v>
      </c>
      <c r="FP2">
        <f>_xlfn.XLOOKUP(FP4,Computes!$C$2:$C$181,Computes!$E$2:$E$181)</f>
        <v>6</v>
      </c>
      <c r="FQ2">
        <f>_xlfn.XLOOKUP(FQ4,Computes!$C$2:$C$181,Computes!$E$2:$E$181)</f>
        <v>6</v>
      </c>
      <c r="FR2">
        <f>_xlfn.XLOOKUP(FR4,Computes!$C$2:$C$181,Computes!$E$2:$E$181)</f>
        <v>6</v>
      </c>
      <c r="FS2">
        <f>_xlfn.XLOOKUP(FS4,Computes!$C$2:$C$181,Computes!$E$2:$E$181)</f>
        <v>7</v>
      </c>
      <c r="FT2">
        <f>_xlfn.XLOOKUP(FT4,Computes!$C$2:$C$181,Computes!$E$2:$E$181)</f>
        <v>7</v>
      </c>
      <c r="FU2">
        <f>_xlfn.XLOOKUP(FU4,Computes!$C$2:$C$181,Computes!$E$2:$E$181)</f>
        <v>7</v>
      </c>
      <c r="FV2">
        <f>_xlfn.XLOOKUP(FV4,Computes!$C$2:$C$181,Computes!$E$2:$E$181)</f>
        <v>7</v>
      </c>
      <c r="FW2">
        <f>_xlfn.XLOOKUP(FW4,Computes!$C$2:$C$181,Computes!$E$2:$E$181)</f>
        <v>7</v>
      </c>
      <c r="FX2">
        <f>_xlfn.XLOOKUP(FX4,Computes!$C$2:$C$181,Computes!$E$2:$E$181)</f>
        <v>7</v>
      </c>
      <c r="FY2">
        <f>_xlfn.XLOOKUP(FY4,Computes!$C$2:$C$181,Computes!$E$2:$E$181)</f>
        <v>7</v>
      </c>
      <c r="FZ2">
        <f>_xlfn.XLOOKUP(FZ4,Computes!$C$2:$C$181,Computes!$E$2:$E$181)</f>
        <v>8</v>
      </c>
      <c r="GA2">
        <f>_xlfn.XLOOKUP(GA4,Computes!$C$2:$C$181,Computes!$E$2:$E$181)</f>
        <v>8</v>
      </c>
      <c r="GB2">
        <f>_xlfn.XLOOKUP(GB4,Computes!$C$2:$C$181,Computes!$E$2:$E$181)</f>
        <v>8</v>
      </c>
      <c r="GC2">
        <f>_xlfn.XLOOKUP(GC4,Computes!$C$2:$C$181,Computes!$E$2:$E$181)</f>
        <v>8</v>
      </c>
      <c r="GD2">
        <f>_xlfn.XLOOKUP(GD4,Computes!$C$2:$C$181,Computes!$E$2:$E$181)</f>
        <v>8</v>
      </c>
      <c r="GE2">
        <f>_xlfn.XLOOKUP(GE4,Computes!$C$2:$C$181,Computes!$E$2:$E$181)</f>
        <v>8</v>
      </c>
      <c r="GF2">
        <f>_xlfn.XLOOKUP(GF4,Computes!$C$2:$C$181,Computes!$E$2:$E$181)</f>
        <v>9</v>
      </c>
      <c r="GG2">
        <f>_xlfn.XLOOKUP(GG4,Computes!$C$2:$C$181,Computes!$E$2:$E$181)</f>
        <v>9</v>
      </c>
      <c r="GI2">
        <f>_xlfn.XLOOKUP(GI4,Computes!$C$2:$C$181,Computes!$E$2:$E$181)</f>
        <v>0</v>
      </c>
      <c r="GJ2">
        <f>_xlfn.XLOOKUP(GJ4,Computes!$C$2:$C$181,Computes!$E$2:$E$181)</f>
        <v>0</v>
      </c>
      <c r="GK2">
        <f>_xlfn.XLOOKUP(GK4,Computes!$C$2:$C$181,Computes!$E$2:$E$181)</f>
        <v>1</v>
      </c>
      <c r="GL2">
        <f>_xlfn.XLOOKUP(GL4,Computes!$C$2:$C$181,Computes!$E$2:$E$181)</f>
        <v>1</v>
      </c>
      <c r="GM2">
        <f>_xlfn.XLOOKUP(GM4,Computes!$C$2:$C$181,Computes!$E$2:$E$181)</f>
        <v>1</v>
      </c>
      <c r="GN2">
        <f>_xlfn.XLOOKUP(GN4,Computes!$C$2:$C$181,Computes!$E$2:$E$181)</f>
        <v>1</v>
      </c>
      <c r="GO2">
        <f>_xlfn.XLOOKUP(GO4,Computes!$C$2:$C$181,Computes!$E$2:$E$181)</f>
        <v>1</v>
      </c>
      <c r="GP2">
        <f>_xlfn.XLOOKUP(GP4,Computes!$C$2:$C$181,Computes!$E$2:$E$181)</f>
        <v>1</v>
      </c>
      <c r="GQ2">
        <f>_xlfn.XLOOKUP(GQ4,Computes!$C$2:$C$181,Computes!$E$2:$E$181)</f>
        <v>1</v>
      </c>
      <c r="GR2">
        <f>_xlfn.XLOOKUP(GR4,Computes!$C$2:$C$181,Computes!$E$2:$E$181)</f>
        <v>1</v>
      </c>
      <c r="GS2">
        <f>_xlfn.XLOOKUP(GS4,Computes!$C$2:$C$181,Computes!$E$2:$E$181)</f>
        <v>2</v>
      </c>
      <c r="GT2">
        <f>_xlfn.XLOOKUP(GT4,Computes!$C$2:$C$181,Computes!$E$2:$E$181)</f>
        <v>2</v>
      </c>
      <c r="GU2">
        <f>_xlfn.XLOOKUP(GU4,Computes!$C$2:$C$181,Computes!$E$2:$E$181)</f>
        <v>2</v>
      </c>
      <c r="GV2">
        <f>_xlfn.XLOOKUP(GV4,Computes!$C$2:$C$181,Computes!$E$2:$E$181)</f>
        <v>2</v>
      </c>
      <c r="GW2">
        <f>_xlfn.XLOOKUP(GW4,Computes!$C$2:$C$181,Computes!$E$2:$E$181)</f>
        <v>2</v>
      </c>
      <c r="GX2">
        <f>_xlfn.XLOOKUP(GX4,Computes!$C$2:$C$181,Computes!$E$2:$E$181)</f>
        <v>2</v>
      </c>
      <c r="GY2">
        <f>_xlfn.XLOOKUP(GY4,Computes!$C$2:$C$181,Computes!$E$2:$E$181)</f>
        <v>2</v>
      </c>
      <c r="GZ2">
        <f>_xlfn.XLOOKUP(GZ4,Computes!$C$2:$C$181,Computes!$E$2:$E$181)</f>
        <v>3</v>
      </c>
      <c r="HA2">
        <f>_xlfn.XLOOKUP(HA4,Computes!$C$2:$C$181,Computes!$E$2:$E$181)</f>
        <v>3</v>
      </c>
      <c r="HB2">
        <f>_xlfn.XLOOKUP(HB4,Computes!$C$2:$C$181,Computes!$E$2:$E$181)</f>
        <v>3</v>
      </c>
      <c r="HC2">
        <f>_xlfn.XLOOKUP(HC4,Computes!$C$2:$C$181,Computes!$E$2:$E$181)</f>
        <v>3</v>
      </c>
      <c r="HD2">
        <f>_xlfn.XLOOKUP(HD4,Computes!$C$2:$C$181,Computes!$E$2:$E$181)</f>
        <v>3</v>
      </c>
      <c r="HE2">
        <f>_xlfn.XLOOKUP(HE4,Computes!$C$2:$C$181,Computes!$E$2:$E$181)</f>
        <v>3</v>
      </c>
      <c r="HF2">
        <f>_xlfn.XLOOKUP(HF4,Computes!$C$2:$C$181,Computes!$E$2:$E$181)</f>
        <v>3</v>
      </c>
      <c r="HG2">
        <f>_xlfn.XLOOKUP(HG4,Computes!$C$2:$C$181,Computes!$E$2:$E$181)</f>
        <v>4</v>
      </c>
      <c r="HH2">
        <f>_xlfn.XLOOKUP(HH4,Computes!$C$2:$C$181,Computes!$E$2:$E$181)</f>
        <v>4</v>
      </c>
      <c r="HI2">
        <f>_xlfn.XLOOKUP(HI4,Computes!$C$2:$C$181,Computes!$E$2:$E$181)</f>
        <v>4</v>
      </c>
      <c r="HJ2">
        <f>_xlfn.XLOOKUP(HJ4,Computes!$C$2:$C$181,Computes!$E$2:$E$181)</f>
        <v>4</v>
      </c>
      <c r="HK2">
        <f>_xlfn.XLOOKUP(HK4,Computes!$C$2:$C$181,Computes!$E$2:$E$181)</f>
        <v>4</v>
      </c>
      <c r="HL2">
        <f>_xlfn.XLOOKUP(HL4,Computes!$C$2:$C$181,Computes!$E$2:$E$181)</f>
        <v>4</v>
      </c>
      <c r="HM2">
        <f>_xlfn.XLOOKUP(HM4,Computes!$C$2:$C$181,Computes!$E$2:$E$181)</f>
        <v>4</v>
      </c>
      <c r="HN2">
        <f>_xlfn.XLOOKUP(HN4,Computes!$C$2:$C$181,Computes!$E$2:$E$181)</f>
        <v>5</v>
      </c>
      <c r="HO2">
        <f>_xlfn.XLOOKUP(HO4,Computes!$C$2:$C$181,Computes!$E$2:$E$181)</f>
        <v>5</v>
      </c>
      <c r="HP2">
        <f>_xlfn.XLOOKUP(HP4,Computes!$C$2:$C$181,Computes!$E$2:$E$181)</f>
        <v>5</v>
      </c>
      <c r="HQ2">
        <f>_xlfn.XLOOKUP(HQ4,Computes!$C$2:$C$181,Computes!$E$2:$E$181)</f>
        <v>5</v>
      </c>
      <c r="HR2">
        <f>_xlfn.XLOOKUP(HR4,Computes!$C$2:$C$181,Computes!$E$2:$E$181)</f>
        <v>5</v>
      </c>
      <c r="HS2">
        <f>_xlfn.XLOOKUP(HS4,Computes!$C$2:$C$181,Computes!$E$2:$E$181)</f>
        <v>5</v>
      </c>
      <c r="HT2">
        <f>_xlfn.XLOOKUP(HT4,Computes!$C$2:$C$181,Computes!$E$2:$E$181)</f>
        <v>5</v>
      </c>
      <c r="HU2">
        <f>_xlfn.XLOOKUP(HU4,Computes!$C$2:$C$181,Computes!$E$2:$E$181)</f>
        <v>6</v>
      </c>
      <c r="HV2">
        <f>_xlfn.XLOOKUP(HV4,Computes!$C$2:$C$181,Computes!$E$2:$E$181)</f>
        <v>6</v>
      </c>
      <c r="HW2">
        <f>_xlfn.XLOOKUP(HW4,Computes!$C$2:$C$181,Computes!$E$2:$E$181)</f>
        <v>6</v>
      </c>
      <c r="HX2">
        <f>_xlfn.XLOOKUP(HX4,Computes!$C$2:$C$181,Computes!$E$2:$E$181)</f>
        <v>6</v>
      </c>
      <c r="HY2">
        <f>_xlfn.XLOOKUP(HY4,Computes!$C$2:$C$181,Computes!$E$2:$E$181)</f>
        <v>6</v>
      </c>
      <c r="HZ2">
        <f>_xlfn.XLOOKUP(HZ4,Computes!$C$2:$C$181,Computes!$E$2:$E$181)</f>
        <v>6</v>
      </c>
      <c r="IA2">
        <f>_xlfn.XLOOKUP(IA4,Computes!$C$2:$C$181,Computes!$E$2:$E$181)</f>
        <v>6</v>
      </c>
      <c r="IB2">
        <f>_xlfn.XLOOKUP(IB4,Computes!$C$2:$C$181,Computes!$E$2:$E$181)</f>
        <v>7</v>
      </c>
      <c r="IC2">
        <f>_xlfn.XLOOKUP(IC4,Computes!$C$2:$C$181,Computes!$E$2:$E$181)</f>
        <v>7</v>
      </c>
      <c r="ID2">
        <f>_xlfn.XLOOKUP(ID4,Computes!$C$2:$C$181,Computes!$E$2:$E$181)</f>
        <v>7</v>
      </c>
      <c r="IE2">
        <f>_xlfn.XLOOKUP(IE4,Computes!$C$2:$C$181,Computes!$E$2:$E$181)</f>
        <v>7</v>
      </c>
      <c r="IF2">
        <f>_xlfn.XLOOKUP(IF4,Computes!$C$2:$C$181,Computes!$E$2:$E$181)</f>
        <v>7</v>
      </c>
      <c r="IG2">
        <f>_xlfn.XLOOKUP(IG4,Computes!$C$2:$C$181,Computes!$E$2:$E$181)</f>
        <v>7</v>
      </c>
      <c r="IH2">
        <f>_xlfn.XLOOKUP(IH4,Computes!$C$2:$C$181,Computes!$E$2:$E$181)</f>
        <v>7</v>
      </c>
      <c r="II2">
        <f>_xlfn.XLOOKUP(II4,Computes!$C$2:$C$181,Computes!$E$2:$E$181)</f>
        <v>8</v>
      </c>
      <c r="IJ2">
        <f>_xlfn.XLOOKUP(IJ4,Computes!$C$2:$C$181,Computes!$E$2:$E$181)</f>
        <v>8</v>
      </c>
      <c r="IK2">
        <f>_xlfn.XLOOKUP(IK4,Computes!$C$2:$C$181,Computes!$E$2:$E$181)</f>
        <v>8</v>
      </c>
      <c r="IL2">
        <f>_xlfn.XLOOKUP(IL4,Computes!$C$2:$C$181,Computes!$E$2:$E$181)</f>
        <v>8</v>
      </c>
      <c r="IM2">
        <f>_xlfn.XLOOKUP(IM4,Computes!$C$2:$C$181,Computes!$E$2:$E$181)</f>
        <v>8</v>
      </c>
      <c r="IN2">
        <f>_xlfn.XLOOKUP(IN4,Computes!$C$2:$C$181,Computes!$E$2:$E$181)</f>
        <v>8</v>
      </c>
      <c r="IO2">
        <f>_xlfn.XLOOKUP(IO4,Computes!$C$2:$C$181,Computes!$E$2:$E$181)</f>
        <v>9</v>
      </c>
      <c r="IP2">
        <f>_xlfn.XLOOKUP(IP4,Computes!$C$2:$C$181,Computes!$E$2:$E$181)</f>
        <v>9</v>
      </c>
      <c r="IQ2">
        <f>_xlfn.XLOOKUP(IQ4,Computes!$C$2:$C$181,Computes!$E$2:$E$181)</f>
        <v>0</v>
      </c>
      <c r="IR2">
        <f>_xlfn.XLOOKUP(IR4,Computes!$C$2:$C$181,Computes!$E$2:$E$181)</f>
        <v>0</v>
      </c>
      <c r="IS2">
        <f>_xlfn.XLOOKUP(IS4,Computes!$C$2:$C$181,Computes!$E$2:$E$181)</f>
        <v>1</v>
      </c>
      <c r="IT2">
        <f>_xlfn.XLOOKUP(IT4,Computes!$C$2:$C$181,Computes!$E$2:$E$181)</f>
        <v>1</v>
      </c>
      <c r="IU2">
        <f>_xlfn.XLOOKUP(IU4,Computes!$C$2:$C$181,Computes!$E$2:$E$181)</f>
        <v>1</v>
      </c>
      <c r="IV2">
        <f>_xlfn.XLOOKUP(IV4,Computes!$C$2:$C$181,Computes!$E$2:$E$181)</f>
        <v>1</v>
      </c>
      <c r="IW2">
        <f>_xlfn.XLOOKUP(IW4,Computes!$C$2:$C$181,Computes!$E$2:$E$181)</f>
        <v>1</v>
      </c>
      <c r="IX2">
        <f>_xlfn.XLOOKUP(IX4,Computes!$C$2:$C$181,Computes!$E$2:$E$181)</f>
        <v>1</v>
      </c>
      <c r="IY2">
        <f>_xlfn.XLOOKUP(IY4,Computes!$C$2:$C$181,Computes!$E$2:$E$181)</f>
        <v>1</v>
      </c>
      <c r="IZ2">
        <f>_xlfn.XLOOKUP(IZ4,Computes!$C$2:$C$181,Computes!$E$2:$E$181)</f>
        <v>1</v>
      </c>
      <c r="JA2">
        <f>_xlfn.XLOOKUP(JA4,Computes!$C$2:$C$181,Computes!$E$2:$E$181)</f>
        <v>2</v>
      </c>
      <c r="JB2">
        <f>_xlfn.XLOOKUP(JB4,Computes!$C$2:$C$181,Computes!$E$2:$E$181)</f>
        <v>2</v>
      </c>
      <c r="JC2">
        <f>_xlfn.XLOOKUP(JC4,Computes!$C$2:$C$181,Computes!$E$2:$E$181)</f>
        <v>2</v>
      </c>
      <c r="JD2">
        <f>_xlfn.XLOOKUP(JD4,Computes!$C$2:$C$181,Computes!$E$2:$E$181)</f>
        <v>2</v>
      </c>
      <c r="JE2">
        <f>_xlfn.XLOOKUP(JE4,Computes!$C$2:$C$181,Computes!$E$2:$E$181)</f>
        <v>2</v>
      </c>
      <c r="JF2">
        <f>_xlfn.XLOOKUP(JF4,Computes!$C$2:$C$181,Computes!$E$2:$E$181)</f>
        <v>2</v>
      </c>
      <c r="JG2">
        <f>_xlfn.XLOOKUP(JG4,Computes!$C$2:$C$181,Computes!$E$2:$E$181)</f>
        <v>2</v>
      </c>
      <c r="JH2">
        <f>_xlfn.XLOOKUP(JH4,Computes!$C$2:$C$181,Computes!$E$2:$E$181)</f>
        <v>3</v>
      </c>
      <c r="JI2">
        <f>_xlfn.XLOOKUP(JI4,Computes!$C$2:$C$181,Computes!$E$2:$E$181)</f>
        <v>3</v>
      </c>
      <c r="JJ2">
        <f>_xlfn.XLOOKUP(JJ4,Computes!$C$2:$C$181,Computes!$E$2:$E$181)</f>
        <v>3</v>
      </c>
      <c r="JK2">
        <f>_xlfn.XLOOKUP(JK4,Computes!$C$2:$C$181,Computes!$E$2:$E$181)</f>
        <v>3</v>
      </c>
      <c r="JL2">
        <f>_xlfn.XLOOKUP(JL4,Computes!$C$2:$C$181,Computes!$E$2:$E$181)</f>
        <v>3</v>
      </c>
      <c r="JM2">
        <f>_xlfn.XLOOKUP(JM4,Computes!$C$2:$C$181,Computes!$E$2:$E$181)</f>
        <v>3</v>
      </c>
      <c r="JN2">
        <f>_xlfn.XLOOKUP(JN4,Computes!$C$2:$C$181,Computes!$E$2:$E$181)</f>
        <v>3</v>
      </c>
      <c r="JO2">
        <f>_xlfn.XLOOKUP(JO4,Computes!$C$2:$C$181,Computes!$E$2:$E$181)</f>
        <v>4</v>
      </c>
      <c r="JP2">
        <f>_xlfn.XLOOKUP(JP4,Computes!$C$2:$C$181,Computes!$E$2:$E$181)</f>
        <v>4</v>
      </c>
      <c r="JQ2">
        <f>_xlfn.XLOOKUP(JQ4,Computes!$C$2:$C$181,Computes!$E$2:$E$181)</f>
        <v>4</v>
      </c>
      <c r="JR2">
        <f>_xlfn.XLOOKUP(JR4,Computes!$C$2:$C$181,Computes!$E$2:$E$181)</f>
        <v>4</v>
      </c>
      <c r="JS2">
        <f>_xlfn.XLOOKUP(JS4,Computes!$C$2:$C$181,Computes!$E$2:$E$181)</f>
        <v>4</v>
      </c>
      <c r="JT2">
        <f>_xlfn.XLOOKUP(JT4,Computes!$C$2:$C$181,Computes!$E$2:$E$181)</f>
        <v>4</v>
      </c>
      <c r="JU2">
        <f>_xlfn.XLOOKUP(JU4,Computes!$C$2:$C$181,Computes!$E$2:$E$181)</f>
        <v>4</v>
      </c>
      <c r="JV2">
        <f>_xlfn.XLOOKUP(JV4,Computes!$C$2:$C$181,Computes!$E$2:$E$181)</f>
        <v>5</v>
      </c>
      <c r="JW2">
        <f>_xlfn.XLOOKUP(JW4,Computes!$C$2:$C$181,Computes!$E$2:$E$181)</f>
        <v>5</v>
      </c>
      <c r="JX2">
        <f>_xlfn.XLOOKUP(JX4,Computes!$C$2:$C$181,Computes!$E$2:$E$181)</f>
        <v>5</v>
      </c>
      <c r="JY2">
        <f>_xlfn.XLOOKUP(JY4,Computes!$C$2:$C$181,Computes!$E$2:$E$181)</f>
        <v>5</v>
      </c>
      <c r="JZ2">
        <f>_xlfn.XLOOKUP(JZ4,Computes!$C$2:$C$181,Computes!$E$2:$E$181)</f>
        <v>5</v>
      </c>
      <c r="KA2">
        <f>_xlfn.XLOOKUP(KA4,Computes!$C$2:$C$181,Computes!$E$2:$E$181)</f>
        <v>5</v>
      </c>
      <c r="KB2">
        <f>_xlfn.XLOOKUP(KB4,Computes!$C$2:$C$181,Computes!$E$2:$E$181)</f>
        <v>5</v>
      </c>
      <c r="KC2">
        <f>_xlfn.XLOOKUP(KC4,Computes!$C$2:$C$181,Computes!$E$2:$E$181)</f>
        <v>6</v>
      </c>
      <c r="KD2">
        <f>_xlfn.XLOOKUP(KD4,Computes!$C$2:$C$181,Computes!$E$2:$E$181)</f>
        <v>6</v>
      </c>
      <c r="KE2">
        <f>_xlfn.XLOOKUP(KE4,Computes!$C$2:$C$181,Computes!$E$2:$E$181)</f>
        <v>6</v>
      </c>
      <c r="KF2">
        <f>_xlfn.XLOOKUP(KF4,Computes!$C$2:$C$181,Computes!$E$2:$E$181)</f>
        <v>6</v>
      </c>
      <c r="KG2">
        <f>_xlfn.XLOOKUP(KG4,Computes!$C$2:$C$181,Computes!$E$2:$E$181)</f>
        <v>6</v>
      </c>
      <c r="KH2">
        <f>_xlfn.XLOOKUP(KH4,Computes!$C$2:$C$181,Computes!$E$2:$E$181)</f>
        <v>6</v>
      </c>
      <c r="KI2">
        <f>_xlfn.XLOOKUP(KI4,Computes!$C$2:$C$181,Computes!$E$2:$E$181)</f>
        <v>6</v>
      </c>
      <c r="KJ2">
        <f>_xlfn.XLOOKUP(KJ4,Computes!$C$2:$C$181,Computes!$E$2:$E$181)</f>
        <v>7</v>
      </c>
      <c r="KK2">
        <f>_xlfn.XLOOKUP(KK4,Computes!$C$2:$C$181,Computes!$E$2:$E$181)</f>
        <v>7</v>
      </c>
      <c r="KL2">
        <f>_xlfn.XLOOKUP(KL4,Computes!$C$2:$C$181,Computes!$E$2:$E$181)</f>
        <v>7</v>
      </c>
      <c r="KM2">
        <f>_xlfn.XLOOKUP(KM4,Computes!$C$2:$C$181,Computes!$E$2:$E$181)</f>
        <v>7</v>
      </c>
      <c r="KN2">
        <f>_xlfn.XLOOKUP(KN4,Computes!$C$2:$C$181,Computes!$E$2:$E$181)</f>
        <v>7</v>
      </c>
      <c r="KO2">
        <f>_xlfn.XLOOKUP(KO4,Computes!$C$2:$C$181,Computes!$E$2:$E$181)</f>
        <v>7</v>
      </c>
      <c r="KP2">
        <f>_xlfn.XLOOKUP(KP4,Computes!$C$2:$C$181,Computes!$E$2:$E$181)</f>
        <v>7</v>
      </c>
      <c r="KQ2">
        <f>_xlfn.XLOOKUP(KQ4,Computes!$C$2:$C$181,Computes!$E$2:$E$181)</f>
        <v>8</v>
      </c>
      <c r="KR2">
        <f>_xlfn.XLOOKUP(KR4,Computes!$C$2:$C$181,Computes!$E$2:$E$181)</f>
        <v>8</v>
      </c>
      <c r="KS2">
        <f>_xlfn.XLOOKUP(KS4,Computes!$C$2:$C$181,Computes!$E$2:$E$181)</f>
        <v>8</v>
      </c>
      <c r="KT2">
        <f>_xlfn.XLOOKUP(KT4,Computes!$C$2:$C$181,Computes!$E$2:$E$181)</f>
        <v>8</v>
      </c>
      <c r="KU2">
        <f>_xlfn.XLOOKUP(KU4,Computes!$C$2:$C$181,Computes!$E$2:$E$181)</f>
        <v>8</v>
      </c>
      <c r="KV2">
        <f>_xlfn.XLOOKUP(KV4,Computes!$C$2:$C$181,Computes!$E$2:$E$181)</f>
        <v>8</v>
      </c>
      <c r="KW2">
        <f>_xlfn.XLOOKUP(KW4,Computes!$C$2:$C$181,Computes!$E$2:$E$181)</f>
        <v>9</v>
      </c>
      <c r="KX2">
        <f>_xlfn.XLOOKUP(KX4,Computes!$C$2:$C$181,Computes!$E$2:$E$181)</f>
        <v>9</v>
      </c>
      <c r="KY2">
        <f>_xlfn.XLOOKUP(KY4,Computes!$C$2:$C$181,Computes!$E$2:$E$181)</f>
        <v>0</v>
      </c>
      <c r="KZ2">
        <f>_xlfn.XLOOKUP(KZ4,Computes!$C$2:$C$181,Computes!$E$2:$E$181)</f>
        <v>0</v>
      </c>
      <c r="LA2">
        <f>_xlfn.XLOOKUP(LA4,Computes!$C$2:$C$181,Computes!$E$2:$E$181)</f>
        <v>1</v>
      </c>
      <c r="LB2">
        <f>_xlfn.XLOOKUP(LB4,Computes!$C$2:$C$181,Computes!$E$2:$E$181)</f>
        <v>1</v>
      </c>
      <c r="LC2">
        <f>_xlfn.XLOOKUP(LC4,Computes!$C$2:$C$181,Computes!$E$2:$E$181)</f>
        <v>1</v>
      </c>
      <c r="LD2">
        <f>_xlfn.XLOOKUP(LD4,Computes!$C$2:$C$181,Computes!$E$2:$E$181)</f>
        <v>1</v>
      </c>
      <c r="LE2">
        <f>_xlfn.XLOOKUP(LE4,Computes!$C$2:$C$181,Computes!$E$2:$E$181)</f>
        <v>1</v>
      </c>
      <c r="LF2">
        <f>_xlfn.XLOOKUP(LF4,Computes!$C$2:$C$181,Computes!$E$2:$E$181)</f>
        <v>1</v>
      </c>
      <c r="LG2">
        <f>_xlfn.XLOOKUP(LG4,Computes!$C$2:$C$181,Computes!$E$2:$E$181)</f>
        <v>1</v>
      </c>
      <c r="LH2">
        <f>_xlfn.XLOOKUP(LH4,Computes!$C$2:$C$181,Computes!$E$2:$E$181)</f>
        <v>1</v>
      </c>
      <c r="LI2">
        <f>_xlfn.XLOOKUP(LI4,Computes!$C$2:$C$181,Computes!$E$2:$E$181)</f>
        <v>2</v>
      </c>
      <c r="LJ2">
        <f>_xlfn.XLOOKUP(LJ4,Computes!$C$2:$C$181,Computes!$E$2:$E$181)</f>
        <v>2</v>
      </c>
      <c r="LK2">
        <f>_xlfn.XLOOKUP(LK4,Computes!$C$2:$C$181,Computes!$E$2:$E$181)</f>
        <v>2</v>
      </c>
      <c r="LL2">
        <f>_xlfn.XLOOKUP(LL4,Computes!$C$2:$C$181,Computes!$E$2:$E$181)</f>
        <v>2</v>
      </c>
      <c r="LM2">
        <f>_xlfn.XLOOKUP(LM4,Computes!$C$2:$C$181,Computes!$E$2:$E$181)</f>
        <v>2</v>
      </c>
      <c r="LN2">
        <f>_xlfn.XLOOKUP(LN4,Computes!$C$2:$C$181,Computes!$E$2:$E$181)</f>
        <v>2</v>
      </c>
      <c r="LO2">
        <f>_xlfn.XLOOKUP(LO4,Computes!$C$2:$C$181,Computes!$E$2:$E$181)</f>
        <v>2</v>
      </c>
      <c r="LP2">
        <f>_xlfn.XLOOKUP(LP4,Computes!$C$2:$C$181,Computes!$E$2:$E$181)</f>
        <v>3</v>
      </c>
      <c r="LQ2">
        <f>_xlfn.XLOOKUP(LQ4,Computes!$C$2:$C$181,Computes!$E$2:$E$181)</f>
        <v>3</v>
      </c>
      <c r="LR2">
        <f>_xlfn.XLOOKUP(LR4,Computes!$C$2:$C$181,Computes!$E$2:$E$181)</f>
        <v>3</v>
      </c>
      <c r="LS2">
        <f>_xlfn.XLOOKUP(LS4,Computes!$C$2:$C$181,Computes!$E$2:$E$181)</f>
        <v>3</v>
      </c>
      <c r="LT2">
        <f>_xlfn.XLOOKUP(LT4,Computes!$C$2:$C$181,Computes!$E$2:$E$181)</f>
        <v>3</v>
      </c>
      <c r="LU2">
        <f>_xlfn.XLOOKUP(LU4,Computes!$C$2:$C$181,Computes!$E$2:$E$181)</f>
        <v>3</v>
      </c>
      <c r="LV2">
        <f>_xlfn.XLOOKUP(LV4,Computes!$C$2:$C$181,Computes!$E$2:$E$181)</f>
        <v>3</v>
      </c>
      <c r="LW2">
        <f>_xlfn.XLOOKUP(LW4,Computes!$C$2:$C$181,Computes!$E$2:$E$181)</f>
        <v>4</v>
      </c>
      <c r="LX2">
        <f>_xlfn.XLOOKUP(LX4,Computes!$C$2:$C$181,Computes!$E$2:$E$181)</f>
        <v>4</v>
      </c>
      <c r="LY2">
        <f>_xlfn.XLOOKUP(LY4,Computes!$C$2:$C$181,Computes!$E$2:$E$181)</f>
        <v>4</v>
      </c>
      <c r="LZ2">
        <f>_xlfn.XLOOKUP(LZ4,Computes!$C$2:$C$181,Computes!$E$2:$E$181)</f>
        <v>4</v>
      </c>
      <c r="MA2">
        <f>_xlfn.XLOOKUP(MA4,Computes!$C$2:$C$181,Computes!$E$2:$E$181)</f>
        <v>4</v>
      </c>
      <c r="MB2">
        <f>_xlfn.XLOOKUP(MB4,Computes!$C$2:$C$181,Computes!$E$2:$E$181)</f>
        <v>4</v>
      </c>
      <c r="MC2">
        <f>_xlfn.XLOOKUP(MC4,Computes!$C$2:$C$181,Computes!$E$2:$E$181)</f>
        <v>4</v>
      </c>
      <c r="MD2">
        <f>_xlfn.XLOOKUP(MD4,Computes!$C$2:$C$181,Computes!$E$2:$E$181)</f>
        <v>5</v>
      </c>
      <c r="ME2">
        <f>_xlfn.XLOOKUP(ME4,Computes!$C$2:$C$181,Computes!$E$2:$E$181)</f>
        <v>5</v>
      </c>
      <c r="MF2">
        <f>_xlfn.XLOOKUP(MF4,Computes!$C$2:$C$181,Computes!$E$2:$E$181)</f>
        <v>5</v>
      </c>
      <c r="MG2">
        <f>_xlfn.XLOOKUP(MG4,Computes!$C$2:$C$181,Computes!$E$2:$E$181)</f>
        <v>5</v>
      </c>
      <c r="MH2">
        <f>_xlfn.XLOOKUP(MH4,Computes!$C$2:$C$181,Computes!$E$2:$E$181)</f>
        <v>5</v>
      </c>
      <c r="MI2">
        <f>_xlfn.XLOOKUP(MI4,Computes!$C$2:$C$181,Computes!$E$2:$E$181)</f>
        <v>5</v>
      </c>
      <c r="MJ2">
        <f>_xlfn.XLOOKUP(MJ4,Computes!$C$2:$C$181,Computes!$E$2:$E$181)</f>
        <v>5</v>
      </c>
      <c r="MK2">
        <f>_xlfn.XLOOKUP(MK4,Computes!$C$2:$C$181,Computes!$E$2:$E$181)</f>
        <v>6</v>
      </c>
      <c r="ML2">
        <f>_xlfn.XLOOKUP(ML4,Computes!$C$2:$C$181,Computes!$E$2:$E$181)</f>
        <v>6</v>
      </c>
      <c r="MM2">
        <f>_xlfn.XLOOKUP(MM4,Computes!$C$2:$C$181,Computes!$E$2:$E$181)</f>
        <v>6</v>
      </c>
      <c r="MN2">
        <f>_xlfn.XLOOKUP(MN4,Computes!$C$2:$C$181,Computes!$E$2:$E$181)</f>
        <v>6</v>
      </c>
      <c r="MO2">
        <f>_xlfn.XLOOKUP(MO4,Computes!$C$2:$C$181,Computes!$E$2:$E$181)</f>
        <v>6</v>
      </c>
      <c r="MP2">
        <f>_xlfn.XLOOKUP(MP4,Computes!$C$2:$C$181,Computes!$E$2:$E$181)</f>
        <v>6</v>
      </c>
      <c r="MQ2">
        <f>_xlfn.XLOOKUP(MQ4,Computes!$C$2:$C$181,Computes!$E$2:$E$181)</f>
        <v>6</v>
      </c>
      <c r="MR2">
        <f>_xlfn.XLOOKUP(MR4,Computes!$C$2:$C$181,Computes!$E$2:$E$181)</f>
        <v>7</v>
      </c>
      <c r="MS2">
        <f>_xlfn.XLOOKUP(MS4,Computes!$C$2:$C$181,Computes!$E$2:$E$181)</f>
        <v>7</v>
      </c>
      <c r="MT2">
        <f>_xlfn.XLOOKUP(MT4,Computes!$C$2:$C$181,Computes!$E$2:$E$181)</f>
        <v>7</v>
      </c>
      <c r="MU2">
        <f>_xlfn.XLOOKUP(MU4,Computes!$C$2:$C$181,Computes!$E$2:$E$181)</f>
        <v>7</v>
      </c>
      <c r="MV2">
        <f>_xlfn.XLOOKUP(MV4,Computes!$C$2:$C$181,Computes!$E$2:$E$181)</f>
        <v>7</v>
      </c>
      <c r="MW2">
        <f>_xlfn.XLOOKUP(MW4,Computes!$C$2:$C$181,Computes!$E$2:$E$181)</f>
        <v>7</v>
      </c>
      <c r="MX2">
        <f>_xlfn.XLOOKUP(MX4,Computes!$C$2:$C$181,Computes!$E$2:$E$181)</f>
        <v>7</v>
      </c>
      <c r="MY2">
        <f>_xlfn.XLOOKUP(MY4,Computes!$C$2:$C$181,Computes!$E$2:$E$181)</f>
        <v>8</v>
      </c>
      <c r="MZ2">
        <f>_xlfn.XLOOKUP(MZ4,Computes!$C$2:$C$181,Computes!$E$2:$E$181)</f>
        <v>8</v>
      </c>
      <c r="NA2">
        <f>_xlfn.XLOOKUP(NA4,Computes!$C$2:$C$181,Computes!$E$2:$E$181)</f>
        <v>8</v>
      </c>
      <c r="NB2">
        <f>_xlfn.XLOOKUP(NB4,Computes!$C$2:$C$181,Computes!$E$2:$E$181)</f>
        <v>8</v>
      </c>
      <c r="NC2">
        <f>_xlfn.XLOOKUP(NC4,Computes!$C$2:$C$181,Computes!$E$2:$E$181)</f>
        <v>8</v>
      </c>
      <c r="ND2">
        <f>_xlfn.XLOOKUP(ND4,Computes!$C$2:$C$181,Computes!$E$2:$E$181)</f>
        <v>8</v>
      </c>
      <c r="NE2">
        <f>_xlfn.XLOOKUP(NE4,Computes!$C$2:$C$181,Computes!$E$2:$E$181)</f>
        <v>9</v>
      </c>
      <c r="NF2">
        <f>_xlfn.XLOOKUP(NF4,Computes!$C$2:$C$181,Computes!$E$2:$E$181)</f>
        <v>9</v>
      </c>
      <c r="NH2" t="s">
        <v>503</v>
      </c>
    </row>
    <row r="3" spans="1:399" x14ac:dyDescent="0.3">
      <c r="I3" t="s">
        <v>377</v>
      </c>
      <c r="J3">
        <f>_xlfn.XLOOKUP(J4,Computes!$C$2:$C$181,Computes!$D$2:$D$181)</f>
        <v>1</v>
      </c>
      <c r="K3">
        <f>_xlfn.XLOOKUP(K4,Computes!$C$2:$C$181,Computes!$D$2:$D$181)</f>
        <v>2</v>
      </c>
      <c r="L3">
        <f>_xlfn.XLOOKUP(L4,Computes!$C$2:$C$181,Computes!$D$2:$D$181)</f>
        <v>1</v>
      </c>
      <c r="M3">
        <f>_xlfn.XLOOKUP(M4,Computes!$C$2:$C$181,Computes!$D$2:$D$181)</f>
        <v>2</v>
      </c>
      <c r="N3">
        <f>_xlfn.XLOOKUP(N4,Computes!$C$2:$C$181,Computes!$D$2:$D$181)</f>
        <v>3</v>
      </c>
      <c r="O3">
        <f>_xlfn.XLOOKUP(O4,Computes!$C$2:$C$181,Computes!$D$2:$D$181)</f>
        <v>4</v>
      </c>
      <c r="P3">
        <f>_xlfn.XLOOKUP(P4,Computes!$C$2:$C$181,Computes!$D$2:$D$181)</f>
        <v>5</v>
      </c>
      <c r="Q3">
        <f>_xlfn.XLOOKUP(Q4,Computes!$C$2:$C$181,Computes!$D$2:$D$181)</f>
        <v>6</v>
      </c>
      <c r="R3">
        <f>_xlfn.XLOOKUP(R4,Computes!$C$2:$C$181,Computes!$D$2:$D$181)</f>
        <v>7</v>
      </c>
      <c r="S3">
        <f>_xlfn.XLOOKUP(S4,Computes!$C$2:$C$181,Computes!$D$2:$D$181)</f>
        <v>1</v>
      </c>
      <c r="T3">
        <f>_xlfn.XLOOKUP(T4,Computes!$C$2:$C$181,Computes!$D$2:$D$181)</f>
        <v>2</v>
      </c>
      <c r="U3">
        <f>_xlfn.XLOOKUP(U4,Computes!$C$2:$C$181,Computes!$D$2:$D$181)</f>
        <v>3</v>
      </c>
      <c r="V3">
        <f>_xlfn.XLOOKUP(V4,Computes!$C$2:$C$181,Computes!$D$2:$D$181)</f>
        <v>4</v>
      </c>
      <c r="W3">
        <f>_xlfn.XLOOKUP(W4,Computes!$C$2:$C$181,Computes!$D$2:$D$181)</f>
        <v>5</v>
      </c>
      <c r="X3">
        <f>_xlfn.XLOOKUP(X4,Computes!$C$2:$C$181,Computes!$D$2:$D$181)</f>
        <v>6</v>
      </c>
      <c r="Y3">
        <f>_xlfn.XLOOKUP(Y4,Computes!$C$2:$C$181,Computes!$D$2:$D$181)</f>
        <v>7</v>
      </c>
      <c r="Z3">
        <f>_xlfn.XLOOKUP(Z4,Computes!$C$2:$C$181,Computes!$D$2:$D$181)</f>
        <v>1</v>
      </c>
      <c r="AA3">
        <f>_xlfn.XLOOKUP(AA4,Computes!$C$2:$C$181,Computes!$D$2:$D$181)</f>
        <v>2</v>
      </c>
      <c r="AB3">
        <f>_xlfn.XLOOKUP(AB4,Computes!$C$2:$C$181,Computes!$D$2:$D$181)</f>
        <v>3</v>
      </c>
      <c r="AC3">
        <f>_xlfn.XLOOKUP(AC4,Computes!$C$2:$C$181,Computes!$D$2:$D$181)</f>
        <v>4</v>
      </c>
      <c r="AD3">
        <f>_xlfn.XLOOKUP(AD4,Computes!$C$2:$C$181,Computes!$D$2:$D$181)</f>
        <v>5</v>
      </c>
      <c r="AE3">
        <f>_xlfn.XLOOKUP(AE4,Computes!$C$2:$C$181,Computes!$D$2:$D$181)</f>
        <v>6</v>
      </c>
      <c r="AF3">
        <f>_xlfn.XLOOKUP(AF4,Computes!$C$2:$C$181,Computes!$D$2:$D$181)</f>
        <v>7</v>
      </c>
      <c r="AG3">
        <f>_xlfn.XLOOKUP(AG4,Computes!$C$2:$C$181,Computes!$D$2:$D$181)</f>
        <v>1</v>
      </c>
      <c r="AH3">
        <f>_xlfn.XLOOKUP(AH4,Computes!$C$2:$C$181,Computes!$D$2:$D$181)</f>
        <v>2</v>
      </c>
      <c r="AI3">
        <f>_xlfn.XLOOKUP(AI4,Computes!$C$2:$C$181,Computes!$D$2:$D$181)</f>
        <v>3</v>
      </c>
      <c r="AJ3">
        <f>_xlfn.XLOOKUP(AJ4,Computes!$C$2:$C$181,Computes!$D$2:$D$181)</f>
        <v>4</v>
      </c>
      <c r="AK3">
        <f>_xlfn.XLOOKUP(AK4,Computes!$C$2:$C$181,Computes!$D$2:$D$181)</f>
        <v>5</v>
      </c>
      <c r="AL3">
        <f>_xlfn.XLOOKUP(AL4,Computes!$C$2:$C$181,Computes!$D$2:$D$181)</f>
        <v>6</v>
      </c>
      <c r="AM3">
        <f>_xlfn.XLOOKUP(AM4,Computes!$C$2:$C$181,Computes!$D$2:$D$181)</f>
        <v>7</v>
      </c>
      <c r="AN3">
        <f>_xlfn.XLOOKUP(AN4,Computes!$C$2:$C$181,Computes!$D$2:$D$181)</f>
        <v>1</v>
      </c>
      <c r="AO3">
        <f>_xlfn.XLOOKUP(AO4,Computes!$C$2:$C$181,Computes!$D$2:$D$181)</f>
        <v>2</v>
      </c>
      <c r="AP3">
        <f>_xlfn.XLOOKUP(AP4,Computes!$C$2:$C$181,Computes!$D$2:$D$181)</f>
        <v>3</v>
      </c>
      <c r="AQ3">
        <f>_xlfn.XLOOKUP(AQ4,Computes!$C$2:$C$181,Computes!$D$2:$D$181)</f>
        <v>4</v>
      </c>
      <c r="AR3">
        <f>_xlfn.XLOOKUP(AR4,Computes!$C$2:$C$181,Computes!$D$2:$D$181)</f>
        <v>5</v>
      </c>
      <c r="AS3">
        <f>_xlfn.XLOOKUP(AS4,Computes!$C$2:$C$181,Computes!$D$2:$D$181)</f>
        <v>6</v>
      </c>
      <c r="AT3">
        <f>_xlfn.XLOOKUP(AT4,Computes!$C$2:$C$181,Computes!$D$2:$D$181)</f>
        <v>7</v>
      </c>
      <c r="AU3">
        <f>_xlfn.XLOOKUP(AU4,Computes!$C$2:$C$181,Computes!$D$2:$D$181)</f>
        <v>1</v>
      </c>
      <c r="AV3">
        <f>_xlfn.XLOOKUP(AV4,Computes!$C$2:$C$181,Computes!$D$2:$D$181)</f>
        <v>2</v>
      </c>
      <c r="AW3">
        <f>_xlfn.XLOOKUP(AW4,Computes!$C$2:$C$181,Computes!$D$2:$D$181)</f>
        <v>3</v>
      </c>
      <c r="AX3">
        <f>_xlfn.XLOOKUP(AX4,Computes!$C$2:$C$181,Computes!$D$2:$D$181)</f>
        <v>4</v>
      </c>
      <c r="AY3">
        <f>_xlfn.XLOOKUP(AY4,Computes!$C$2:$C$181,Computes!$D$2:$D$181)</f>
        <v>5</v>
      </c>
      <c r="AZ3">
        <f>_xlfn.XLOOKUP(AZ4,Computes!$C$2:$C$181,Computes!$D$2:$D$181)</f>
        <v>6</v>
      </c>
      <c r="BA3">
        <f>_xlfn.XLOOKUP(BA4,Computes!$C$2:$C$181,Computes!$D$2:$D$181)</f>
        <v>7</v>
      </c>
      <c r="BB3">
        <f>_xlfn.XLOOKUP(BB4,Computes!$C$2:$C$181,Computes!$D$2:$D$181)</f>
        <v>1</v>
      </c>
      <c r="BC3">
        <f>_xlfn.XLOOKUP(BC4,Computes!$C$2:$C$181,Computes!$D$2:$D$181)</f>
        <v>2</v>
      </c>
      <c r="BD3">
        <f>_xlfn.XLOOKUP(BD4,Computes!$C$2:$C$181,Computes!$D$2:$D$181)</f>
        <v>3</v>
      </c>
      <c r="BE3">
        <f>_xlfn.XLOOKUP(BE4,Computes!$C$2:$C$181,Computes!$D$2:$D$181)</f>
        <v>4</v>
      </c>
      <c r="BF3">
        <f>_xlfn.XLOOKUP(BF4,Computes!$C$2:$C$181,Computes!$D$2:$D$181)</f>
        <v>5</v>
      </c>
      <c r="BG3">
        <f>_xlfn.XLOOKUP(BG4,Computes!$C$2:$C$181,Computes!$D$2:$D$181)</f>
        <v>6</v>
      </c>
      <c r="BH3">
        <f>_xlfn.XLOOKUP(BH4,Computes!$C$2:$C$181,Computes!$D$2:$D$181)</f>
        <v>7</v>
      </c>
      <c r="BI3">
        <f>_xlfn.XLOOKUP(BI4,Computes!$C$2:$C$181,Computes!$D$2:$D$181)</f>
        <v>1</v>
      </c>
      <c r="BJ3">
        <f>_xlfn.XLOOKUP(BJ4,Computes!$C$2:$C$181,Computes!$D$2:$D$181)</f>
        <v>2</v>
      </c>
      <c r="BK3">
        <f>_xlfn.XLOOKUP(BK4,Computes!$C$2:$C$181,Computes!$D$2:$D$181)</f>
        <v>3</v>
      </c>
      <c r="BL3">
        <f>_xlfn.XLOOKUP(BL4,Computes!$C$2:$C$181,Computes!$D$2:$D$181)</f>
        <v>4</v>
      </c>
      <c r="BM3">
        <f>_xlfn.XLOOKUP(BM4,Computes!$C$2:$C$181,Computes!$D$2:$D$181)</f>
        <v>5</v>
      </c>
      <c r="BN3">
        <f>_xlfn.XLOOKUP(BN4,Computes!$C$2:$C$181,Computes!$D$2:$D$181)</f>
        <v>6</v>
      </c>
      <c r="BO3">
        <f>_xlfn.XLOOKUP(BO4,Computes!$C$2:$C$181,Computes!$D$2:$D$181)</f>
        <v>7</v>
      </c>
      <c r="BP3">
        <f>_xlfn.XLOOKUP(BP4,Computes!$C$2:$C$181,Computes!$D$2:$D$181)</f>
        <v>1</v>
      </c>
      <c r="BQ3">
        <f>_xlfn.XLOOKUP(BQ4,Computes!$C$2:$C$181,Computes!$D$2:$D$181)</f>
        <v>2</v>
      </c>
      <c r="BR3">
        <f>_xlfn.XLOOKUP(BR4,Computes!$C$2:$C$181,Computes!$D$2:$D$181)</f>
        <v>1</v>
      </c>
      <c r="BS3">
        <f>_xlfn.XLOOKUP(BS4,Computes!$C$2:$C$181,Computes!$D$2:$D$181)</f>
        <v>2</v>
      </c>
      <c r="BT3">
        <f>_xlfn.XLOOKUP(BT4,Computes!$C$2:$C$181,Computes!$D$2:$D$181)</f>
        <v>1</v>
      </c>
      <c r="BU3">
        <f>_xlfn.XLOOKUP(BU4,Computes!$C$2:$C$181,Computes!$D$2:$D$181)</f>
        <v>2</v>
      </c>
      <c r="BV3">
        <f>_xlfn.XLOOKUP(BV4,Computes!$C$2:$C$181,Computes!$D$2:$D$181)</f>
        <v>3</v>
      </c>
      <c r="BW3">
        <f>_xlfn.XLOOKUP(BW4,Computes!$C$2:$C$181,Computes!$D$2:$D$181)</f>
        <v>4</v>
      </c>
      <c r="BX3">
        <f>_xlfn.XLOOKUP(BX4,Computes!$C$2:$C$181,Computes!$D$2:$D$181)</f>
        <v>5</v>
      </c>
      <c r="BY3">
        <f>_xlfn.XLOOKUP(BY4,Computes!$C$2:$C$181,Computes!$D$2:$D$181)</f>
        <v>6</v>
      </c>
      <c r="BZ3">
        <f>_xlfn.XLOOKUP(BZ4,Computes!$C$2:$C$181,Computes!$D$2:$D$181)</f>
        <v>7</v>
      </c>
      <c r="CA3">
        <f>_xlfn.XLOOKUP(CA4,Computes!$C$2:$C$181,Computes!$D$2:$D$181)</f>
        <v>1</v>
      </c>
      <c r="CB3">
        <f>_xlfn.XLOOKUP(CB4,Computes!$C$2:$C$181,Computes!$D$2:$D$181)</f>
        <v>2</v>
      </c>
      <c r="CC3">
        <f>_xlfn.XLOOKUP(CC4,Computes!$C$2:$C$181,Computes!$D$2:$D$181)</f>
        <v>3</v>
      </c>
      <c r="CD3">
        <f>_xlfn.XLOOKUP(CD4,Computes!$C$2:$C$181,Computes!$D$2:$D$181)</f>
        <v>4</v>
      </c>
      <c r="CE3">
        <f>_xlfn.XLOOKUP(CE4,Computes!$C$2:$C$181,Computes!$D$2:$D$181)</f>
        <v>5</v>
      </c>
      <c r="CF3">
        <f>_xlfn.XLOOKUP(CF4,Computes!$C$2:$C$181,Computes!$D$2:$D$181)</f>
        <v>6</v>
      </c>
      <c r="CG3">
        <f>_xlfn.XLOOKUP(CG4,Computes!$C$2:$C$181,Computes!$D$2:$D$181)</f>
        <v>7</v>
      </c>
      <c r="CH3">
        <f>_xlfn.XLOOKUP(CH4,Computes!$C$2:$C$181,Computes!$D$2:$D$181)</f>
        <v>1</v>
      </c>
      <c r="CI3">
        <f>_xlfn.XLOOKUP(CI4,Computes!$C$2:$C$181,Computes!$D$2:$D$181)</f>
        <v>2</v>
      </c>
      <c r="CJ3">
        <f>_xlfn.XLOOKUP(CJ4,Computes!$C$2:$C$181,Computes!$D$2:$D$181)</f>
        <v>3</v>
      </c>
      <c r="CK3">
        <f>_xlfn.XLOOKUP(CK4,Computes!$C$2:$C$181,Computes!$D$2:$D$181)</f>
        <v>4</v>
      </c>
      <c r="CL3">
        <f>_xlfn.XLOOKUP(CL4,Computes!$C$2:$C$181,Computes!$D$2:$D$181)</f>
        <v>5</v>
      </c>
      <c r="CM3">
        <f>_xlfn.XLOOKUP(CM4,Computes!$C$2:$C$181,Computes!$D$2:$D$181)</f>
        <v>6</v>
      </c>
      <c r="CN3">
        <f>_xlfn.XLOOKUP(CN4,Computes!$C$2:$C$181,Computes!$D$2:$D$181)</f>
        <v>7</v>
      </c>
      <c r="CO3">
        <f>_xlfn.XLOOKUP(CO4,Computes!$C$2:$C$181,Computes!$D$2:$D$181)</f>
        <v>1</v>
      </c>
      <c r="CP3">
        <f>_xlfn.XLOOKUP(CP4,Computes!$C$2:$C$181,Computes!$D$2:$D$181)</f>
        <v>2</v>
      </c>
      <c r="CQ3">
        <f>_xlfn.XLOOKUP(CQ4,Computes!$C$2:$C$181,Computes!$D$2:$D$181)</f>
        <v>3</v>
      </c>
      <c r="CR3">
        <f>_xlfn.XLOOKUP(CR4,Computes!$C$2:$C$181,Computes!$D$2:$D$181)</f>
        <v>4</v>
      </c>
      <c r="CS3">
        <f>_xlfn.XLOOKUP(CS4,Computes!$C$2:$C$181,Computes!$D$2:$D$181)</f>
        <v>5</v>
      </c>
      <c r="CT3">
        <f>_xlfn.XLOOKUP(CT4,Computes!$C$2:$C$181,Computes!$D$2:$D$181)</f>
        <v>6</v>
      </c>
      <c r="CU3">
        <f>_xlfn.XLOOKUP(CU4,Computes!$C$2:$C$181,Computes!$D$2:$D$181)</f>
        <v>7</v>
      </c>
      <c r="CV3">
        <f>_xlfn.XLOOKUP(CV4,Computes!$C$2:$C$181,Computes!$D$2:$D$181)</f>
        <v>1</v>
      </c>
      <c r="CW3">
        <f>_xlfn.XLOOKUP(CW4,Computes!$C$2:$C$181,Computes!$D$2:$D$181)</f>
        <v>2</v>
      </c>
      <c r="CX3">
        <f>_xlfn.XLOOKUP(CX4,Computes!$C$2:$C$181,Computes!$D$2:$D$181)</f>
        <v>3</v>
      </c>
      <c r="CY3">
        <f>_xlfn.XLOOKUP(CY4,Computes!$C$2:$C$181,Computes!$D$2:$D$181)</f>
        <v>4</v>
      </c>
      <c r="CZ3">
        <f>_xlfn.XLOOKUP(CZ4,Computes!$C$2:$C$181,Computes!$D$2:$D$181)</f>
        <v>5</v>
      </c>
      <c r="DA3">
        <f>_xlfn.XLOOKUP(DA4,Computes!$C$2:$C$181,Computes!$D$2:$D$181)</f>
        <v>6</v>
      </c>
      <c r="DB3">
        <f>_xlfn.XLOOKUP(DB4,Computes!$C$2:$C$181,Computes!$D$2:$D$181)</f>
        <v>7</v>
      </c>
      <c r="DC3">
        <f>_xlfn.XLOOKUP(DC4,Computes!$C$2:$C$181,Computes!$D$2:$D$181)</f>
        <v>1</v>
      </c>
      <c r="DD3">
        <f>_xlfn.XLOOKUP(DD4,Computes!$C$2:$C$181,Computes!$D$2:$D$181)</f>
        <v>2</v>
      </c>
      <c r="DE3">
        <f>_xlfn.XLOOKUP(DE4,Computes!$C$2:$C$181,Computes!$D$2:$D$181)</f>
        <v>3</v>
      </c>
      <c r="DF3">
        <f>_xlfn.XLOOKUP(DF4,Computes!$C$2:$C$181,Computes!$D$2:$D$181)</f>
        <v>4</v>
      </c>
      <c r="DG3">
        <f>_xlfn.XLOOKUP(DG4,Computes!$C$2:$C$181,Computes!$D$2:$D$181)</f>
        <v>5</v>
      </c>
      <c r="DH3">
        <f>_xlfn.XLOOKUP(DH4,Computes!$C$2:$C$181,Computes!$D$2:$D$181)</f>
        <v>6</v>
      </c>
      <c r="DI3">
        <f>_xlfn.XLOOKUP(DI4,Computes!$C$2:$C$181,Computes!$D$2:$D$181)</f>
        <v>7</v>
      </c>
      <c r="DJ3">
        <f>_xlfn.XLOOKUP(DJ4,Computes!$C$2:$C$181,Computes!$D$2:$D$181)</f>
        <v>1</v>
      </c>
      <c r="DK3">
        <f>_xlfn.XLOOKUP(DK4,Computes!$C$2:$C$181,Computes!$D$2:$D$181)</f>
        <v>2</v>
      </c>
      <c r="DL3">
        <f>_xlfn.XLOOKUP(DL4,Computes!$C$2:$C$181,Computes!$D$2:$D$181)</f>
        <v>3</v>
      </c>
      <c r="DM3">
        <f>_xlfn.XLOOKUP(DM4,Computes!$C$2:$C$181,Computes!$D$2:$D$181)</f>
        <v>4</v>
      </c>
      <c r="DN3">
        <f>_xlfn.XLOOKUP(DN4,Computes!$C$2:$C$181,Computes!$D$2:$D$181)</f>
        <v>5</v>
      </c>
      <c r="DO3">
        <f>_xlfn.XLOOKUP(DO4,Computes!$C$2:$C$181,Computes!$D$2:$D$181)</f>
        <v>6</v>
      </c>
      <c r="DP3">
        <f>_xlfn.XLOOKUP(DP4,Computes!$C$2:$C$181,Computes!$D$2:$D$181)</f>
        <v>7</v>
      </c>
      <c r="DQ3">
        <f>_xlfn.XLOOKUP(DQ4,Computes!$C$2:$C$181,Computes!$D$2:$D$181)</f>
        <v>1</v>
      </c>
      <c r="DR3">
        <f>_xlfn.XLOOKUP(DR4,Computes!$C$2:$C$181,Computes!$D$2:$D$181)</f>
        <v>2</v>
      </c>
      <c r="DS3">
        <f>_xlfn.XLOOKUP(DS4,Computes!$C$2:$C$181,Computes!$D$2:$D$181)</f>
        <v>3</v>
      </c>
      <c r="DT3">
        <f>_xlfn.XLOOKUP(DT4,Computes!$C$2:$C$181,Computes!$D$2:$D$181)</f>
        <v>4</v>
      </c>
      <c r="DU3">
        <f>_xlfn.XLOOKUP(DU4,Computes!$C$2:$C$181,Computes!$D$2:$D$181)</f>
        <v>5</v>
      </c>
      <c r="DV3">
        <f>_xlfn.XLOOKUP(DV4,Computes!$C$2:$C$181,Computes!$D$2:$D$181)</f>
        <v>6</v>
      </c>
      <c r="DW3">
        <f>_xlfn.XLOOKUP(DW4,Computes!$C$2:$C$181,Computes!$D$2:$D$181)</f>
        <v>7</v>
      </c>
      <c r="DX3">
        <f>_xlfn.XLOOKUP(DX4,Computes!$C$2:$C$181,Computes!$D$2:$D$181)</f>
        <v>1</v>
      </c>
      <c r="DY3">
        <f>_xlfn.XLOOKUP(DY4,Computes!$C$2:$C$181,Computes!$D$2:$D$181)</f>
        <v>2</v>
      </c>
      <c r="DZ3">
        <f>_xlfn.XLOOKUP(DZ4,Computes!$C$2:$C$181,Computes!$D$2:$D$181)</f>
        <v>1</v>
      </c>
      <c r="EA3">
        <f>_xlfn.XLOOKUP(EA4,Computes!$C$2:$C$181,Computes!$D$2:$D$181)</f>
        <v>2</v>
      </c>
      <c r="EB3">
        <f>_xlfn.XLOOKUP(EB4,Computes!$C$2:$C$181,Computes!$D$2:$D$181)</f>
        <v>1</v>
      </c>
      <c r="EC3">
        <f>_xlfn.XLOOKUP(EC4,Computes!$C$2:$C$181,Computes!$D$2:$D$181)</f>
        <v>2</v>
      </c>
      <c r="ED3">
        <f>_xlfn.XLOOKUP(ED4,Computes!$C$2:$C$181,Computes!$D$2:$D$181)</f>
        <v>3</v>
      </c>
      <c r="EE3">
        <f>_xlfn.XLOOKUP(EE4,Computes!$C$2:$C$181,Computes!$D$2:$D$181)</f>
        <v>4</v>
      </c>
      <c r="EF3">
        <f>_xlfn.XLOOKUP(EF4,Computes!$C$2:$C$181,Computes!$D$2:$D$181)</f>
        <v>5</v>
      </c>
      <c r="EG3">
        <f>_xlfn.XLOOKUP(EG4,Computes!$C$2:$C$181,Computes!$D$2:$D$181)</f>
        <v>6</v>
      </c>
      <c r="EH3">
        <f>_xlfn.XLOOKUP(EH4,Computes!$C$2:$C$181,Computes!$D$2:$D$181)</f>
        <v>7</v>
      </c>
      <c r="EI3">
        <f>_xlfn.XLOOKUP(EI4,Computes!$C$2:$C$181,Computes!$D$2:$D$181)</f>
        <v>1</v>
      </c>
      <c r="EJ3">
        <f>_xlfn.XLOOKUP(EJ4,Computes!$C$2:$C$181,Computes!$D$2:$D$181)</f>
        <v>2</v>
      </c>
      <c r="EK3">
        <f>_xlfn.XLOOKUP(EK4,Computes!$C$2:$C$181,Computes!$D$2:$D$181)</f>
        <v>3</v>
      </c>
      <c r="EL3">
        <f>_xlfn.XLOOKUP(EL4,Computes!$C$2:$C$181,Computes!$D$2:$D$181)</f>
        <v>4</v>
      </c>
      <c r="EM3">
        <f>_xlfn.XLOOKUP(EM4,Computes!$C$2:$C$181,Computes!$D$2:$D$181)</f>
        <v>5</v>
      </c>
      <c r="EN3">
        <f>_xlfn.XLOOKUP(EN4,Computes!$C$2:$C$181,Computes!$D$2:$D$181)</f>
        <v>6</v>
      </c>
      <c r="EO3">
        <f>_xlfn.XLOOKUP(EO4,Computes!$C$2:$C$181,Computes!$D$2:$D$181)</f>
        <v>7</v>
      </c>
      <c r="EP3">
        <f>_xlfn.XLOOKUP(EP4,Computes!$C$2:$C$181,Computes!$D$2:$D$181)</f>
        <v>1</v>
      </c>
      <c r="EQ3">
        <f>_xlfn.XLOOKUP(EQ4,Computes!$C$2:$C$181,Computes!$D$2:$D$181)</f>
        <v>2</v>
      </c>
      <c r="ER3">
        <f>_xlfn.XLOOKUP(ER4,Computes!$C$2:$C$181,Computes!$D$2:$D$181)</f>
        <v>3</v>
      </c>
      <c r="ES3">
        <f>_xlfn.XLOOKUP(ES4,Computes!$C$2:$C$181,Computes!$D$2:$D$181)</f>
        <v>4</v>
      </c>
      <c r="ET3">
        <f>_xlfn.XLOOKUP(ET4,Computes!$C$2:$C$181,Computes!$D$2:$D$181)</f>
        <v>5</v>
      </c>
      <c r="EU3">
        <f>_xlfn.XLOOKUP(EU4,Computes!$C$2:$C$181,Computes!$D$2:$D$181)</f>
        <v>6</v>
      </c>
      <c r="EV3">
        <f>_xlfn.XLOOKUP(EV4,Computes!$C$2:$C$181,Computes!$D$2:$D$181)</f>
        <v>7</v>
      </c>
      <c r="EW3">
        <f>_xlfn.XLOOKUP(EW4,Computes!$C$2:$C$181,Computes!$D$2:$D$181)</f>
        <v>1</v>
      </c>
      <c r="EX3">
        <f>_xlfn.XLOOKUP(EX4,Computes!$C$2:$C$181,Computes!$D$2:$D$181)</f>
        <v>2</v>
      </c>
      <c r="EY3">
        <f>_xlfn.XLOOKUP(EY4,Computes!$C$2:$C$181,Computes!$D$2:$D$181)</f>
        <v>3</v>
      </c>
      <c r="EZ3">
        <f>_xlfn.XLOOKUP(EZ4,Computes!$C$2:$C$181,Computes!$D$2:$D$181)</f>
        <v>4</v>
      </c>
      <c r="FA3">
        <f>_xlfn.XLOOKUP(FA4,Computes!$C$2:$C$181,Computes!$D$2:$D$181)</f>
        <v>5</v>
      </c>
      <c r="FB3">
        <f>_xlfn.XLOOKUP(FB4,Computes!$C$2:$C$181,Computes!$D$2:$D$181)</f>
        <v>6</v>
      </c>
      <c r="FC3">
        <f>_xlfn.XLOOKUP(FC4,Computes!$C$2:$C$181,Computes!$D$2:$D$181)</f>
        <v>7</v>
      </c>
      <c r="FD3">
        <f>_xlfn.XLOOKUP(FD4,Computes!$C$2:$C$181,Computes!$D$2:$D$181)</f>
        <v>1</v>
      </c>
      <c r="FE3">
        <f>_xlfn.XLOOKUP(FE4,Computes!$C$2:$C$181,Computes!$D$2:$D$181)</f>
        <v>2</v>
      </c>
      <c r="FF3">
        <f>_xlfn.XLOOKUP(FF4,Computes!$C$2:$C$181,Computes!$D$2:$D$181)</f>
        <v>3</v>
      </c>
      <c r="FG3">
        <f>_xlfn.XLOOKUP(FG4,Computes!$C$2:$C$181,Computes!$D$2:$D$181)</f>
        <v>4</v>
      </c>
      <c r="FH3">
        <f>_xlfn.XLOOKUP(FH4,Computes!$C$2:$C$181,Computes!$D$2:$D$181)</f>
        <v>5</v>
      </c>
      <c r="FI3">
        <f>_xlfn.XLOOKUP(FI4,Computes!$C$2:$C$181,Computes!$D$2:$D$181)</f>
        <v>6</v>
      </c>
      <c r="FJ3">
        <f>_xlfn.XLOOKUP(FJ4,Computes!$C$2:$C$181,Computes!$D$2:$D$181)</f>
        <v>7</v>
      </c>
      <c r="FK3">
        <f>_xlfn.XLOOKUP(FK4,Computes!$C$2:$C$181,Computes!$D$2:$D$181)</f>
        <v>1</v>
      </c>
      <c r="FL3">
        <f>_xlfn.XLOOKUP(FL4,Computes!$C$2:$C$181,Computes!$D$2:$D$181)</f>
        <v>2</v>
      </c>
      <c r="FM3">
        <f>_xlfn.XLOOKUP(FM4,Computes!$C$2:$C$181,Computes!$D$2:$D$181)</f>
        <v>3</v>
      </c>
      <c r="FN3">
        <f>_xlfn.XLOOKUP(FN4,Computes!$C$2:$C$181,Computes!$D$2:$D$181)</f>
        <v>4</v>
      </c>
      <c r="FO3">
        <f>_xlfn.XLOOKUP(FO4,Computes!$C$2:$C$181,Computes!$D$2:$D$181)</f>
        <v>5</v>
      </c>
      <c r="FP3">
        <f>_xlfn.XLOOKUP(FP4,Computes!$C$2:$C$181,Computes!$D$2:$D$181)</f>
        <v>6</v>
      </c>
      <c r="FQ3">
        <f>_xlfn.XLOOKUP(FQ4,Computes!$C$2:$C$181,Computes!$D$2:$D$181)</f>
        <v>7</v>
      </c>
      <c r="FR3">
        <f>_xlfn.XLOOKUP(FR4,Computes!$C$2:$C$181,Computes!$D$2:$D$181)</f>
        <v>1</v>
      </c>
      <c r="FS3">
        <f>_xlfn.XLOOKUP(FS4,Computes!$C$2:$C$181,Computes!$D$2:$D$181)</f>
        <v>2</v>
      </c>
      <c r="FT3">
        <f>_xlfn.XLOOKUP(FT4,Computes!$C$2:$C$181,Computes!$D$2:$D$181)</f>
        <v>3</v>
      </c>
      <c r="FU3">
        <f>_xlfn.XLOOKUP(FU4,Computes!$C$2:$C$181,Computes!$D$2:$D$181)</f>
        <v>4</v>
      </c>
      <c r="FV3">
        <f>_xlfn.XLOOKUP(FV4,Computes!$C$2:$C$181,Computes!$D$2:$D$181)</f>
        <v>5</v>
      </c>
      <c r="FW3">
        <f>_xlfn.XLOOKUP(FW4,Computes!$C$2:$C$181,Computes!$D$2:$D$181)</f>
        <v>6</v>
      </c>
      <c r="FX3">
        <f>_xlfn.XLOOKUP(FX4,Computes!$C$2:$C$181,Computes!$D$2:$D$181)</f>
        <v>7</v>
      </c>
      <c r="FY3">
        <f>_xlfn.XLOOKUP(FY4,Computes!$C$2:$C$181,Computes!$D$2:$D$181)</f>
        <v>1</v>
      </c>
      <c r="FZ3">
        <f>_xlfn.XLOOKUP(FZ4,Computes!$C$2:$C$181,Computes!$D$2:$D$181)</f>
        <v>2</v>
      </c>
      <c r="GA3">
        <f>_xlfn.XLOOKUP(GA4,Computes!$C$2:$C$181,Computes!$D$2:$D$181)</f>
        <v>3</v>
      </c>
      <c r="GB3">
        <f>_xlfn.XLOOKUP(GB4,Computes!$C$2:$C$181,Computes!$D$2:$D$181)</f>
        <v>4</v>
      </c>
      <c r="GC3">
        <f>_xlfn.XLOOKUP(GC4,Computes!$C$2:$C$181,Computes!$D$2:$D$181)</f>
        <v>5</v>
      </c>
      <c r="GD3">
        <f>_xlfn.XLOOKUP(GD4,Computes!$C$2:$C$181,Computes!$D$2:$D$181)</f>
        <v>6</v>
      </c>
      <c r="GE3">
        <f>_xlfn.XLOOKUP(GE4,Computes!$C$2:$C$181,Computes!$D$2:$D$181)</f>
        <v>7</v>
      </c>
      <c r="GF3">
        <f>_xlfn.XLOOKUP(GF4,Computes!$C$2:$C$181,Computes!$D$2:$D$181)</f>
        <v>1</v>
      </c>
      <c r="GG3">
        <f>_xlfn.XLOOKUP(GG4,Computes!$C$2:$C$181,Computes!$D$2:$D$181)</f>
        <v>2</v>
      </c>
      <c r="GI3">
        <f>_xlfn.XLOOKUP(GI4,Computes!$C$2:$C$181,Computes!$D$2:$D$181)</f>
        <v>1</v>
      </c>
      <c r="GJ3">
        <f>_xlfn.XLOOKUP(GJ4,Computes!$C$2:$C$181,Computes!$D$2:$D$181)</f>
        <v>2</v>
      </c>
      <c r="GK3">
        <f>_xlfn.XLOOKUP(GK4,Computes!$C$2:$C$181,Computes!$D$2:$D$181)</f>
        <v>1</v>
      </c>
      <c r="GL3">
        <f>_xlfn.XLOOKUP(GL4,Computes!$C$2:$C$181,Computes!$D$2:$D$181)</f>
        <v>2</v>
      </c>
      <c r="GM3">
        <f>_xlfn.XLOOKUP(GM4,Computes!$C$2:$C$181,Computes!$D$2:$D$181)</f>
        <v>3</v>
      </c>
      <c r="GN3">
        <f>_xlfn.XLOOKUP(GN4,Computes!$C$2:$C$181,Computes!$D$2:$D$181)</f>
        <v>4</v>
      </c>
      <c r="GO3">
        <f>_xlfn.XLOOKUP(GO4,Computes!$C$2:$C$181,Computes!$D$2:$D$181)</f>
        <v>5</v>
      </c>
      <c r="GP3">
        <f>_xlfn.XLOOKUP(GP4,Computes!$C$2:$C$181,Computes!$D$2:$D$181)</f>
        <v>6</v>
      </c>
      <c r="GQ3">
        <f>_xlfn.XLOOKUP(GQ4,Computes!$C$2:$C$181,Computes!$D$2:$D$181)</f>
        <v>7</v>
      </c>
      <c r="GR3">
        <f>_xlfn.XLOOKUP(GR4,Computes!$C$2:$C$181,Computes!$D$2:$D$181)</f>
        <v>1</v>
      </c>
      <c r="GS3">
        <f>_xlfn.XLOOKUP(GS4,Computes!$C$2:$C$181,Computes!$D$2:$D$181)</f>
        <v>2</v>
      </c>
      <c r="GT3">
        <f>_xlfn.XLOOKUP(GT4,Computes!$C$2:$C$181,Computes!$D$2:$D$181)</f>
        <v>3</v>
      </c>
      <c r="GU3">
        <f>_xlfn.XLOOKUP(GU4,Computes!$C$2:$C$181,Computes!$D$2:$D$181)</f>
        <v>4</v>
      </c>
      <c r="GV3">
        <f>_xlfn.XLOOKUP(GV4,Computes!$C$2:$C$181,Computes!$D$2:$D$181)</f>
        <v>5</v>
      </c>
      <c r="GW3">
        <f>_xlfn.XLOOKUP(GW4,Computes!$C$2:$C$181,Computes!$D$2:$D$181)</f>
        <v>6</v>
      </c>
      <c r="GX3">
        <f>_xlfn.XLOOKUP(GX4,Computes!$C$2:$C$181,Computes!$D$2:$D$181)</f>
        <v>7</v>
      </c>
      <c r="GY3">
        <f>_xlfn.XLOOKUP(GY4,Computes!$C$2:$C$181,Computes!$D$2:$D$181)</f>
        <v>1</v>
      </c>
      <c r="GZ3">
        <f>_xlfn.XLOOKUP(GZ4,Computes!$C$2:$C$181,Computes!$D$2:$D$181)</f>
        <v>2</v>
      </c>
      <c r="HA3">
        <f>_xlfn.XLOOKUP(HA4,Computes!$C$2:$C$181,Computes!$D$2:$D$181)</f>
        <v>3</v>
      </c>
      <c r="HB3">
        <f>_xlfn.XLOOKUP(HB4,Computes!$C$2:$C$181,Computes!$D$2:$D$181)</f>
        <v>4</v>
      </c>
      <c r="HC3">
        <f>_xlfn.XLOOKUP(HC4,Computes!$C$2:$C$181,Computes!$D$2:$D$181)</f>
        <v>5</v>
      </c>
      <c r="HD3">
        <f>_xlfn.XLOOKUP(HD4,Computes!$C$2:$C$181,Computes!$D$2:$D$181)</f>
        <v>6</v>
      </c>
      <c r="HE3">
        <f>_xlfn.XLOOKUP(HE4,Computes!$C$2:$C$181,Computes!$D$2:$D$181)</f>
        <v>7</v>
      </c>
      <c r="HF3">
        <f>_xlfn.XLOOKUP(HF4,Computes!$C$2:$C$181,Computes!$D$2:$D$181)</f>
        <v>1</v>
      </c>
      <c r="HG3">
        <f>_xlfn.XLOOKUP(HG4,Computes!$C$2:$C$181,Computes!$D$2:$D$181)</f>
        <v>2</v>
      </c>
      <c r="HH3">
        <f>_xlfn.XLOOKUP(HH4,Computes!$C$2:$C$181,Computes!$D$2:$D$181)</f>
        <v>3</v>
      </c>
      <c r="HI3">
        <f>_xlfn.XLOOKUP(HI4,Computes!$C$2:$C$181,Computes!$D$2:$D$181)</f>
        <v>4</v>
      </c>
      <c r="HJ3">
        <f>_xlfn.XLOOKUP(HJ4,Computes!$C$2:$C$181,Computes!$D$2:$D$181)</f>
        <v>5</v>
      </c>
      <c r="HK3">
        <f>_xlfn.XLOOKUP(HK4,Computes!$C$2:$C$181,Computes!$D$2:$D$181)</f>
        <v>6</v>
      </c>
      <c r="HL3">
        <f>_xlfn.XLOOKUP(HL4,Computes!$C$2:$C$181,Computes!$D$2:$D$181)</f>
        <v>7</v>
      </c>
      <c r="HM3">
        <f>_xlfn.XLOOKUP(HM4,Computes!$C$2:$C$181,Computes!$D$2:$D$181)</f>
        <v>1</v>
      </c>
      <c r="HN3">
        <f>_xlfn.XLOOKUP(HN4,Computes!$C$2:$C$181,Computes!$D$2:$D$181)</f>
        <v>2</v>
      </c>
      <c r="HO3">
        <f>_xlfn.XLOOKUP(HO4,Computes!$C$2:$C$181,Computes!$D$2:$D$181)</f>
        <v>3</v>
      </c>
      <c r="HP3">
        <f>_xlfn.XLOOKUP(HP4,Computes!$C$2:$C$181,Computes!$D$2:$D$181)</f>
        <v>4</v>
      </c>
      <c r="HQ3">
        <f>_xlfn.XLOOKUP(HQ4,Computes!$C$2:$C$181,Computes!$D$2:$D$181)</f>
        <v>5</v>
      </c>
      <c r="HR3">
        <f>_xlfn.XLOOKUP(HR4,Computes!$C$2:$C$181,Computes!$D$2:$D$181)</f>
        <v>6</v>
      </c>
      <c r="HS3">
        <f>_xlfn.XLOOKUP(HS4,Computes!$C$2:$C$181,Computes!$D$2:$D$181)</f>
        <v>7</v>
      </c>
      <c r="HT3">
        <f>_xlfn.XLOOKUP(HT4,Computes!$C$2:$C$181,Computes!$D$2:$D$181)</f>
        <v>1</v>
      </c>
      <c r="HU3">
        <f>_xlfn.XLOOKUP(HU4,Computes!$C$2:$C$181,Computes!$D$2:$D$181)</f>
        <v>2</v>
      </c>
      <c r="HV3">
        <f>_xlfn.XLOOKUP(HV4,Computes!$C$2:$C$181,Computes!$D$2:$D$181)</f>
        <v>3</v>
      </c>
      <c r="HW3">
        <f>_xlfn.XLOOKUP(HW4,Computes!$C$2:$C$181,Computes!$D$2:$D$181)</f>
        <v>4</v>
      </c>
      <c r="HX3">
        <f>_xlfn.XLOOKUP(HX4,Computes!$C$2:$C$181,Computes!$D$2:$D$181)</f>
        <v>5</v>
      </c>
      <c r="HY3">
        <f>_xlfn.XLOOKUP(HY4,Computes!$C$2:$C$181,Computes!$D$2:$D$181)</f>
        <v>6</v>
      </c>
      <c r="HZ3">
        <f>_xlfn.XLOOKUP(HZ4,Computes!$C$2:$C$181,Computes!$D$2:$D$181)</f>
        <v>7</v>
      </c>
      <c r="IA3">
        <f>_xlfn.XLOOKUP(IA4,Computes!$C$2:$C$181,Computes!$D$2:$D$181)</f>
        <v>1</v>
      </c>
      <c r="IB3">
        <f>_xlfn.XLOOKUP(IB4,Computes!$C$2:$C$181,Computes!$D$2:$D$181)</f>
        <v>2</v>
      </c>
      <c r="IC3">
        <f>_xlfn.XLOOKUP(IC4,Computes!$C$2:$C$181,Computes!$D$2:$D$181)</f>
        <v>3</v>
      </c>
      <c r="ID3">
        <f>_xlfn.XLOOKUP(ID4,Computes!$C$2:$C$181,Computes!$D$2:$D$181)</f>
        <v>4</v>
      </c>
      <c r="IE3">
        <f>_xlfn.XLOOKUP(IE4,Computes!$C$2:$C$181,Computes!$D$2:$D$181)</f>
        <v>5</v>
      </c>
      <c r="IF3">
        <f>_xlfn.XLOOKUP(IF4,Computes!$C$2:$C$181,Computes!$D$2:$D$181)</f>
        <v>6</v>
      </c>
      <c r="IG3">
        <f>_xlfn.XLOOKUP(IG4,Computes!$C$2:$C$181,Computes!$D$2:$D$181)</f>
        <v>7</v>
      </c>
      <c r="IH3">
        <f>_xlfn.XLOOKUP(IH4,Computes!$C$2:$C$181,Computes!$D$2:$D$181)</f>
        <v>1</v>
      </c>
      <c r="II3">
        <f>_xlfn.XLOOKUP(II4,Computes!$C$2:$C$181,Computes!$D$2:$D$181)</f>
        <v>2</v>
      </c>
      <c r="IJ3">
        <f>_xlfn.XLOOKUP(IJ4,Computes!$C$2:$C$181,Computes!$D$2:$D$181)</f>
        <v>3</v>
      </c>
      <c r="IK3">
        <f>_xlfn.XLOOKUP(IK4,Computes!$C$2:$C$181,Computes!$D$2:$D$181)</f>
        <v>4</v>
      </c>
      <c r="IL3">
        <f>_xlfn.XLOOKUP(IL4,Computes!$C$2:$C$181,Computes!$D$2:$D$181)</f>
        <v>5</v>
      </c>
      <c r="IM3">
        <f>_xlfn.XLOOKUP(IM4,Computes!$C$2:$C$181,Computes!$D$2:$D$181)</f>
        <v>6</v>
      </c>
      <c r="IN3">
        <f>_xlfn.XLOOKUP(IN4,Computes!$C$2:$C$181,Computes!$D$2:$D$181)</f>
        <v>7</v>
      </c>
      <c r="IO3">
        <f>_xlfn.XLOOKUP(IO4,Computes!$C$2:$C$181,Computes!$D$2:$D$181)</f>
        <v>1</v>
      </c>
      <c r="IP3">
        <f>_xlfn.XLOOKUP(IP4,Computes!$C$2:$C$181,Computes!$D$2:$D$181)</f>
        <v>2</v>
      </c>
      <c r="IQ3">
        <f>_xlfn.XLOOKUP(IQ4,Computes!$C$2:$C$181,Computes!$D$2:$D$181)</f>
        <v>1</v>
      </c>
      <c r="IR3">
        <f>_xlfn.XLOOKUP(IR4,Computes!$C$2:$C$181,Computes!$D$2:$D$181)</f>
        <v>2</v>
      </c>
      <c r="IS3">
        <f>_xlfn.XLOOKUP(IS4,Computes!$C$2:$C$181,Computes!$D$2:$D$181)</f>
        <v>1</v>
      </c>
      <c r="IT3">
        <f>_xlfn.XLOOKUP(IT4,Computes!$C$2:$C$181,Computes!$D$2:$D$181)</f>
        <v>2</v>
      </c>
      <c r="IU3">
        <f>_xlfn.XLOOKUP(IU4,Computes!$C$2:$C$181,Computes!$D$2:$D$181)</f>
        <v>3</v>
      </c>
      <c r="IV3">
        <f>_xlfn.XLOOKUP(IV4,Computes!$C$2:$C$181,Computes!$D$2:$D$181)</f>
        <v>4</v>
      </c>
      <c r="IW3">
        <f>_xlfn.XLOOKUP(IW4,Computes!$C$2:$C$181,Computes!$D$2:$D$181)</f>
        <v>5</v>
      </c>
      <c r="IX3">
        <f>_xlfn.XLOOKUP(IX4,Computes!$C$2:$C$181,Computes!$D$2:$D$181)</f>
        <v>6</v>
      </c>
      <c r="IY3">
        <f>_xlfn.XLOOKUP(IY4,Computes!$C$2:$C$181,Computes!$D$2:$D$181)</f>
        <v>7</v>
      </c>
      <c r="IZ3">
        <f>_xlfn.XLOOKUP(IZ4,Computes!$C$2:$C$181,Computes!$D$2:$D$181)</f>
        <v>1</v>
      </c>
      <c r="JA3">
        <f>_xlfn.XLOOKUP(JA4,Computes!$C$2:$C$181,Computes!$D$2:$D$181)</f>
        <v>2</v>
      </c>
      <c r="JB3">
        <f>_xlfn.XLOOKUP(JB4,Computes!$C$2:$C$181,Computes!$D$2:$D$181)</f>
        <v>3</v>
      </c>
      <c r="JC3">
        <f>_xlfn.XLOOKUP(JC4,Computes!$C$2:$C$181,Computes!$D$2:$D$181)</f>
        <v>4</v>
      </c>
      <c r="JD3">
        <f>_xlfn.XLOOKUP(JD4,Computes!$C$2:$C$181,Computes!$D$2:$D$181)</f>
        <v>5</v>
      </c>
      <c r="JE3">
        <f>_xlfn.XLOOKUP(JE4,Computes!$C$2:$C$181,Computes!$D$2:$D$181)</f>
        <v>6</v>
      </c>
      <c r="JF3">
        <f>_xlfn.XLOOKUP(JF4,Computes!$C$2:$C$181,Computes!$D$2:$D$181)</f>
        <v>7</v>
      </c>
      <c r="JG3">
        <f>_xlfn.XLOOKUP(JG4,Computes!$C$2:$C$181,Computes!$D$2:$D$181)</f>
        <v>1</v>
      </c>
      <c r="JH3">
        <f>_xlfn.XLOOKUP(JH4,Computes!$C$2:$C$181,Computes!$D$2:$D$181)</f>
        <v>2</v>
      </c>
      <c r="JI3">
        <f>_xlfn.XLOOKUP(JI4,Computes!$C$2:$C$181,Computes!$D$2:$D$181)</f>
        <v>3</v>
      </c>
      <c r="JJ3">
        <f>_xlfn.XLOOKUP(JJ4,Computes!$C$2:$C$181,Computes!$D$2:$D$181)</f>
        <v>4</v>
      </c>
      <c r="JK3">
        <f>_xlfn.XLOOKUP(JK4,Computes!$C$2:$C$181,Computes!$D$2:$D$181)</f>
        <v>5</v>
      </c>
      <c r="JL3">
        <f>_xlfn.XLOOKUP(JL4,Computes!$C$2:$C$181,Computes!$D$2:$D$181)</f>
        <v>6</v>
      </c>
      <c r="JM3">
        <f>_xlfn.XLOOKUP(JM4,Computes!$C$2:$C$181,Computes!$D$2:$D$181)</f>
        <v>7</v>
      </c>
      <c r="JN3">
        <f>_xlfn.XLOOKUP(JN4,Computes!$C$2:$C$181,Computes!$D$2:$D$181)</f>
        <v>1</v>
      </c>
      <c r="JO3">
        <f>_xlfn.XLOOKUP(JO4,Computes!$C$2:$C$181,Computes!$D$2:$D$181)</f>
        <v>2</v>
      </c>
      <c r="JP3">
        <f>_xlfn.XLOOKUP(JP4,Computes!$C$2:$C$181,Computes!$D$2:$D$181)</f>
        <v>3</v>
      </c>
      <c r="JQ3">
        <f>_xlfn.XLOOKUP(JQ4,Computes!$C$2:$C$181,Computes!$D$2:$D$181)</f>
        <v>4</v>
      </c>
      <c r="JR3">
        <f>_xlfn.XLOOKUP(JR4,Computes!$C$2:$C$181,Computes!$D$2:$D$181)</f>
        <v>5</v>
      </c>
      <c r="JS3">
        <f>_xlfn.XLOOKUP(JS4,Computes!$C$2:$C$181,Computes!$D$2:$D$181)</f>
        <v>6</v>
      </c>
      <c r="JT3">
        <f>_xlfn.XLOOKUP(JT4,Computes!$C$2:$C$181,Computes!$D$2:$D$181)</f>
        <v>7</v>
      </c>
      <c r="JU3">
        <f>_xlfn.XLOOKUP(JU4,Computes!$C$2:$C$181,Computes!$D$2:$D$181)</f>
        <v>1</v>
      </c>
      <c r="JV3">
        <f>_xlfn.XLOOKUP(JV4,Computes!$C$2:$C$181,Computes!$D$2:$D$181)</f>
        <v>2</v>
      </c>
      <c r="JW3">
        <f>_xlfn.XLOOKUP(JW4,Computes!$C$2:$C$181,Computes!$D$2:$D$181)</f>
        <v>3</v>
      </c>
      <c r="JX3">
        <f>_xlfn.XLOOKUP(JX4,Computes!$C$2:$C$181,Computes!$D$2:$D$181)</f>
        <v>4</v>
      </c>
      <c r="JY3">
        <f>_xlfn.XLOOKUP(JY4,Computes!$C$2:$C$181,Computes!$D$2:$D$181)</f>
        <v>5</v>
      </c>
      <c r="JZ3">
        <f>_xlfn.XLOOKUP(JZ4,Computes!$C$2:$C$181,Computes!$D$2:$D$181)</f>
        <v>6</v>
      </c>
      <c r="KA3">
        <f>_xlfn.XLOOKUP(KA4,Computes!$C$2:$C$181,Computes!$D$2:$D$181)</f>
        <v>7</v>
      </c>
      <c r="KB3">
        <f>_xlfn.XLOOKUP(KB4,Computes!$C$2:$C$181,Computes!$D$2:$D$181)</f>
        <v>1</v>
      </c>
      <c r="KC3">
        <f>_xlfn.XLOOKUP(KC4,Computes!$C$2:$C$181,Computes!$D$2:$D$181)</f>
        <v>2</v>
      </c>
      <c r="KD3">
        <f>_xlfn.XLOOKUP(KD4,Computes!$C$2:$C$181,Computes!$D$2:$D$181)</f>
        <v>3</v>
      </c>
      <c r="KE3">
        <f>_xlfn.XLOOKUP(KE4,Computes!$C$2:$C$181,Computes!$D$2:$D$181)</f>
        <v>4</v>
      </c>
      <c r="KF3">
        <f>_xlfn.XLOOKUP(KF4,Computes!$C$2:$C$181,Computes!$D$2:$D$181)</f>
        <v>5</v>
      </c>
      <c r="KG3">
        <f>_xlfn.XLOOKUP(KG4,Computes!$C$2:$C$181,Computes!$D$2:$D$181)</f>
        <v>6</v>
      </c>
      <c r="KH3">
        <f>_xlfn.XLOOKUP(KH4,Computes!$C$2:$C$181,Computes!$D$2:$D$181)</f>
        <v>7</v>
      </c>
      <c r="KI3">
        <f>_xlfn.XLOOKUP(KI4,Computes!$C$2:$C$181,Computes!$D$2:$D$181)</f>
        <v>1</v>
      </c>
      <c r="KJ3">
        <f>_xlfn.XLOOKUP(KJ4,Computes!$C$2:$C$181,Computes!$D$2:$D$181)</f>
        <v>2</v>
      </c>
      <c r="KK3">
        <f>_xlfn.XLOOKUP(KK4,Computes!$C$2:$C$181,Computes!$D$2:$D$181)</f>
        <v>3</v>
      </c>
      <c r="KL3">
        <f>_xlfn.XLOOKUP(KL4,Computes!$C$2:$C$181,Computes!$D$2:$D$181)</f>
        <v>4</v>
      </c>
      <c r="KM3">
        <f>_xlfn.XLOOKUP(KM4,Computes!$C$2:$C$181,Computes!$D$2:$D$181)</f>
        <v>5</v>
      </c>
      <c r="KN3">
        <f>_xlfn.XLOOKUP(KN4,Computes!$C$2:$C$181,Computes!$D$2:$D$181)</f>
        <v>6</v>
      </c>
      <c r="KO3">
        <f>_xlfn.XLOOKUP(KO4,Computes!$C$2:$C$181,Computes!$D$2:$D$181)</f>
        <v>7</v>
      </c>
      <c r="KP3">
        <f>_xlfn.XLOOKUP(KP4,Computes!$C$2:$C$181,Computes!$D$2:$D$181)</f>
        <v>1</v>
      </c>
      <c r="KQ3">
        <f>_xlfn.XLOOKUP(KQ4,Computes!$C$2:$C$181,Computes!$D$2:$D$181)</f>
        <v>2</v>
      </c>
      <c r="KR3">
        <f>_xlfn.XLOOKUP(KR4,Computes!$C$2:$C$181,Computes!$D$2:$D$181)</f>
        <v>3</v>
      </c>
      <c r="KS3">
        <f>_xlfn.XLOOKUP(KS4,Computes!$C$2:$C$181,Computes!$D$2:$D$181)</f>
        <v>4</v>
      </c>
      <c r="KT3">
        <f>_xlfn.XLOOKUP(KT4,Computes!$C$2:$C$181,Computes!$D$2:$D$181)</f>
        <v>5</v>
      </c>
      <c r="KU3">
        <f>_xlfn.XLOOKUP(KU4,Computes!$C$2:$C$181,Computes!$D$2:$D$181)</f>
        <v>6</v>
      </c>
      <c r="KV3">
        <f>_xlfn.XLOOKUP(KV4,Computes!$C$2:$C$181,Computes!$D$2:$D$181)</f>
        <v>7</v>
      </c>
      <c r="KW3">
        <f>_xlfn.XLOOKUP(KW4,Computes!$C$2:$C$181,Computes!$D$2:$D$181)</f>
        <v>1</v>
      </c>
      <c r="KX3">
        <f>_xlfn.XLOOKUP(KX4,Computes!$C$2:$C$181,Computes!$D$2:$D$181)</f>
        <v>2</v>
      </c>
      <c r="KY3">
        <f>_xlfn.XLOOKUP(KY4,Computes!$C$2:$C$181,Computes!$D$2:$D$181)</f>
        <v>1</v>
      </c>
      <c r="KZ3">
        <f>_xlfn.XLOOKUP(KZ4,Computes!$C$2:$C$181,Computes!$D$2:$D$181)</f>
        <v>2</v>
      </c>
      <c r="LA3">
        <f>_xlfn.XLOOKUP(LA4,Computes!$C$2:$C$181,Computes!$D$2:$D$181)</f>
        <v>1</v>
      </c>
      <c r="LB3">
        <f>_xlfn.XLOOKUP(LB4,Computes!$C$2:$C$181,Computes!$D$2:$D$181)</f>
        <v>2</v>
      </c>
      <c r="LC3">
        <f>_xlfn.XLOOKUP(LC4,Computes!$C$2:$C$181,Computes!$D$2:$D$181)</f>
        <v>3</v>
      </c>
      <c r="LD3">
        <f>_xlfn.XLOOKUP(LD4,Computes!$C$2:$C$181,Computes!$D$2:$D$181)</f>
        <v>4</v>
      </c>
      <c r="LE3">
        <f>_xlfn.XLOOKUP(LE4,Computes!$C$2:$C$181,Computes!$D$2:$D$181)</f>
        <v>5</v>
      </c>
      <c r="LF3">
        <f>_xlfn.XLOOKUP(LF4,Computes!$C$2:$C$181,Computes!$D$2:$D$181)</f>
        <v>6</v>
      </c>
      <c r="LG3">
        <f>_xlfn.XLOOKUP(LG4,Computes!$C$2:$C$181,Computes!$D$2:$D$181)</f>
        <v>7</v>
      </c>
      <c r="LH3">
        <f>_xlfn.XLOOKUP(LH4,Computes!$C$2:$C$181,Computes!$D$2:$D$181)</f>
        <v>1</v>
      </c>
      <c r="LI3">
        <f>_xlfn.XLOOKUP(LI4,Computes!$C$2:$C$181,Computes!$D$2:$D$181)</f>
        <v>2</v>
      </c>
      <c r="LJ3">
        <f>_xlfn.XLOOKUP(LJ4,Computes!$C$2:$C$181,Computes!$D$2:$D$181)</f>
        <v>3</v>
      </c>
      <c r="LK3">
        <f>_xlfn.XLOOKUP(LK4,Computes!$C$2:$C$181,Computes!$D$2:$D$181)</f>
        <v>4</v>
      </c>
      <c r="LL3">
        <f>_xlfn.XLOOKUP(LL4,Computes!$C$2:$C$181,Computes!$D$2:$D$181)</f>
        <v>5</v>
      </c>
      <c r="LM3">
        <f>_xlfn.XLOOKUP(LM4,Computes!$C$2:$C$181,Computes!$D$2:$D$181)</f>
        <v>6</v>
      </c>
      <c r="LN3">
        <f>_xlfn.XLOOKUP(LN4,Computes!$C$2:$C$181,Computes!$D$2:$D$181)</f>
        <v>7</v>
      </c>
      <c r="LO3">
        <f>_xlfn.XLOOKUP(LO4,Computes!$C$2:$C$181,Computes!$D$2:$D$181)</f>
        <v>1</v>
      </c>
      <c r="LP3">
        <f>_xlfn.XLOOKUP(LP4,Computes!$C$2:$C$181,Computes!$D$2:$D$181)</f>
        <v>2</v>
      </c>
      <c r="LQ3">
        <f>_xlfn.XLOOKUP(LQ4,Computes!$C$2:$C$181,Computes!$D$2:$D$181)</f>
        <v>3</v>
      </c>
      <c r="LR3">
        <f>_xlfn.XLOOKUP(LR4,Computes!$C$2:$C$181,Computes!$D$2:$D$181)</f>
        <v>4</v>
      </c>
      <c r="LS3">
        <f>_xlfn.XLOOKUP(LS4,Computes!$C$2:$C$181,Computes!$D$2:$D$181)</f>
        <v>5</v>
      </c>
      <c r="LT3">
        <f>_xlfn.XLOOKUP(LT4,Computes!$C$2:$C$181,Computes!$D$2:$D$181)</f>
        <v>6</v>
      </c>
      <c r="LU3">
        <f>_xlfn.XLOOKUP(LU4,Computes!$C$2:$C$181,Computes!$D$2:$D$181)</f>
        <v>7</v>
      </c>
      <c r="LV3">
        <f>_xlfn.XLOOKUP(LV4,Computes!$C$2:$C$181,Computes!$D$2:$D$181)</f>
        <v>1</v>
      </c>
      <c r="LW3">
        <f>_xlfn.XLOOKUP(LW4,Computes!$C$2:$C$181,Computes!$D$2:$D$181)</f>
        <v>2</v>
      </c>
      <c r="LX3">
        <f>_xlfn.XLOOKUP(LX4,Computes!$C$2:$C$181,Computes!$D$2:$D$181)</f>
        <v>3</v>
      </c>
      <c r="LY3">
        <f>_xlfn.XLOOKUP(LY4,Computes!$C$2:$C$181,Computes!$D$2:$D$181)</f>
        <v>4</v>
      </c>
      <c r="LZ3">
        <f>_xlfn.XLOOKUP(LZ4,Computes!$C$2:$C$181,Computes!$D$2:$D$181)</f>
        <v>5</v>
      </c>
      <c r="MA3">
        <f>_xlfn.XLOOKUP(MA4,Computes!$C$2:$C$181,Computes!$D$2:$D$181)</f>
        <v>6</v>
      </c>
      <c r="MB3">
        <f>_xlfn.XLOOKUP(MB4,Computes!$C$2:$C$181,Computes!$D$2:$D$181)</f>
        <v>7</v>
      </c>
      <c r="MC3">
        <f>_xlfn.XLOOKUP(MC4,Computes!$C$2:$C$181,Computes!$D$2:$D$181)</f>
        <v>1</v>
      </c>
      <c r="MD3">
        <f>_xlfn.XLOOKUP(MD4,Computes!$C$2:$C$181,Computes!$D$2:$D$181)</f>
        <v>2</v>
      </c>
      <c r="ME3">
        <f>_xlfn.XLOOKUP(ME4,Computes!$C$2:$C$181,Computes!$D$2:$D$181)</f>
        <v>3</v>
      </c>
      <c r="MF3">
        <f>_xlfn.XLOOKUP(MF4,Computes!$C$2:$C$181,Computes!$D$2:$D$181)</f>
        <v>4</v>
      </c>
      <c r="MG3">
        <f>_xlfn.XLOOKUP(MG4,Computes!$C$2:$C$181,Computes!$D$2:$D$181)</f>
        <v>5</v>
      </c>
      <c r="MH3">
        <f>_xlfn.XLOOKUP(MH4,Computes!$C$2:$C$181,Computes!$D$2:$D$181)</f>
        <v>6</v>
      </c>
      <c r="MI3">
        <f>_xlfn.XLOOKUP(MI4,Computes!$C$2:$C$181,Computes!$D$2:$D$181)</f>
        <v>7</v>
      </c>
      <c r="MJ3">
        <f>_xlfn.XLOOKUP(MJ4,Computes!$C$2:$C$181,Computes!$D$2:$D$181)</f>
        <v>1</v>
      </c>
      <c r="MK3">
        <f>_xlfn.XLOOKUP(MK4,Computes!$C$2:$C$181,Computes!$D$2:$D$181)</f>
        <v>2</v>
      </c>
      <c r="ML3">
        <f>_xlfn.XLOOKUP(ML4,Computes!$C$2:$C$181,Computes!$D$2:$D$181)</f>
        <v>3</v>
      </c>
      <c r="MM3">
        <f>_xlfn.XLOOKUP(MM4,Computes!$C$2:$C$181,Computes!$D$2:$D$181)</f>
        <v>4</v>
      </c>
      <c r="MN3">
        <f>_xlfn.XLOOKUP(MN4,Computes!$C$2:$C$181,Computes!$D$2:$D$181)</f>
        <v>5</v>
      </c>
      <c r="MO3">
        <f>_xlfn.XLOOKUP(MO4,Computes!$C$2:$C$181,Computes!$D$2:$D$181)</f>
        <v>6</v>
      </c>
      <c r="MP3">
        <f>_xlfn.XLOOKUP(MP4,Computes!$C$2:$C$181,Computes!$D$2:$D$181)</f>
        <v>7</v>
      </c>
      <c r="MQ3">
        <f>_xlfn.XLOOKUP(MQ4,Computes!$C$2:$C$181,Computes!$D$2:$D$181)</f>
        <v>1</v>
      </c>
      <c r="MR3">
        <f>_xlfn.XLOOKUP(MR4,Computes!$C$2:$C$181,Computes!$D$2:$D$181)</f>
        <v>2</v>
      </c>
      <c r="MS3">
        <f>_xlfn.XLOOKUP(MS4,Computes!$C$2:$C$181,Computes!$D$2:$D$181)</f>
        <v>3</v>
      </c>
      <c r="MT3">
        <f>_xlfn.XLOOKUP(MT4,Computes!$C$2:$C$181,Computes!$D$2:$D$181)</f>
        <v>4</v>
      </c>
      <c r="MU3">
        <f>_xlfn.XLOOKUP(MU4,Computes!$C$2:$C$181,Computes!$D$2:$D$181)</f>
        <v>5</v>
      </c>
      <c r="MV3">
        <f>_xlfn.XLOOKUP(MV4,Computes!$C$2:$C$181,Computes!$D$2:$D$181)</f>
        <v>6</v>
      </c>
      <c r="MW3">
        <f>_xlfn.XLOOKUP(MW4,Computes!$C$2:$C$181,Computes!$D$2:$D$181)</f>
        <v>7</v>
      </c>
      <c r="MX3">
        <f>_xlfn.XLOOKUP(MX4,Computes!$C$2:$C$181,Computes!$D$2:$D$181)</f>
        <v>1</v>
      </c>
      <c r="MY3">
        <f>_xlfn.XLOOKUP(MY4,Computes!$C$2:$C$181,Computes!$D$2:$D$181)</f>
        <v>2</v>
      </c>
      <c r="MZ3">
        <f>_xlfn.XLOOKUP(MZ4,Computes!$C$2:$C$181,Computes!$D$2:$D$181)</f>
        <v>3</v>
      </c>
      <c r="NA3">
        <f>_xlfn.XLOOKUP(NA4,Computes!$C$2:$C$181,Computes!$D$2:$D$181)</f>
        <v>4</v>
      </c>
      <c r="NB3">
        <f>_xlfn.XLOOKUP(NB4,Computes!$C$2:$C$181,Computes!$D$2:$D$181)</f>
        <v>5</v>
      </c>
      <c r="NC3">
        <f>_xlfn.XLOOKUP(NC4,Computes!$C$2:$C$181,Computes!$D$2:$D$181)</f>
        <v>6</v>
      </c>
      <c r="ND3">
        <f>_xlfn.XLOOKUP(ND4,Computes!$C$2:$C$181,Computes!$D$2:$D$181)</f>
        <v>7</v>
      </c>
      <c r="NE3">
        <f>_xlfn.XLOOKUP(NE4,Computes!$C$2:$C$181,Computes!$D$2:$D$181)</f>
        <v>1</v>
      </c>
      <c r="NF3">
        <f>_xlfn.XLOOKUP(NF4,Computes!$C$2:$C$181,Computes!$D$2:$D$181)</f>
        <v>2</v>
      </c>
      <c r="NH3">
        <v>0</v>
      </c>
      <c r="NI3">
        <v>1</v>
      </c>
      <c r="NJ3">
        <v>2</v>
      </c>
      <c r="NN3">
        <v>1</v>
      </c>
      <c r="NO3">
        <v>2</v>
      </c>
      <c r="NP3">
        <v>5</v>
      </c>
      <c r="NQ3">
        <v>6</v>
      </c>
      <c r="NR3">
        <v>7</v>
      </c>
      <c r="NV3">
        <v>0</v>
      </c>
      <c r="NW3">
        <v>1</v>
      </c>
      <c r="NX3">
        <v>2</v>
      </c>
      <c r="NY3">
        <v>3</v>
      </c>
      <c r="NZ3">
        <v>4</v>
      </c>
      <c r="OA3">
        <v>5</v>
      </c>
      <c r="OB3">
        <v>6</v>
      </c>
      <c r="OC3">
        <v>7</v>
      </c>
      <c r="OD3">
        <v>8</v>
      </c>
      <c r="OE3">
        <v>9</v>
      </c>
    </row>
    <row r="4" spans="1:399" x14ac:dyDescent="0.3">
      <c r="A4" s="3" t="s">
        <v>44</v>
      </c>
      <c r="B4" s="3" t="s">
        <v>463</v>
      </c>
      <c r="C4" s="3" t="s">
        <v>492</v>
      </c>
      <c r="D4" s="3" t="s">
        <v>439</v>
      </c>
      <c r="E4" s="3" t="s">
        <v>485</v>
      </c>
      <c r="F4" s="3" t="s">
        <v>461</v>
      </c>
      <c r="G4" s="3" t="s">
        <v>464</v>
      </c>
      <c r="H4" s="3" t="s">
        <v>353</v>
      </c>
      <c r="I4" s="3" t="s">
        <v>354</v>
      </c>
      <c r="J4">
        <v>0</v>
      </c>
      <c r="K4">
        <v>1</v>
      </c>
      <c r="L4">
        <v>2</v>
      </c>
      <c r="M4">
        <v>3</v>
      </c>
      <c r="N4">
        <v>4</v>
      </c>
      <c r="O4">
        <v>5</v>
      </c>
      <c r="P4">
        <v>6</v>
      </c>
      <c r="Q4">
        <v>7</v>
      </c>
      <c r="R4">
        <v>8</v>
      </c>
      <c r="S4">
        <v>9</v>
      </c>
      <c r="T4">
        <v>10</v>
      </c>
      <c r="U4">
        <v>11</v>
      </c>
      <c r="V4">
        <v>12</v>
      </c>
      <c r="W4">
        <v>13</v>
      </c>
      <c r="X4">
        <v>14</v>
      </c>
      <c r="Y4">
        <v>15</v>
      </c>
      <c r="Z4">
        <v>16</v>
      </c>
      <c r="AA4">
        <v>17</v>
      </c>
      <c r="AB4">
        <v>18</v>
      </c>
      <c r="AC4">
        <v>19</v>
      </c>
      <c r="AD4">
        <v>20</v>
      </c>
      <c r="AE4">
        <v>21</v>
      </c>
      <c r="AF4">
        <v>22</v>
      </c>
      <c r="AG4">
        <v>23</v>
      </c>
      <c r="AH4">
        <v>24</v>
      </c>
      <c r="AI4">
        <v>25</v>
      </c>
      <c r="AJ4">
        <v>26</v>
      </c>
      <c r="AK4">
        <v>27</v>
      </c>
      <c r="AL4">
        <v>28</v>
      </c>
      <c r="AM4">
        <v>29</v>
      </c>
      <c r="AN4">
        <v>30</v>
      </c>
      <c r="AO4">
        <v>31</v>
      </c>
      <c r="AP4">
        <v>32</v>
      </c>
      <c r="AQ4">
        <v>33</v>
      </c>
      <c r="AR4">
        <v>34</v>
      </c>
      <c r="AS4">
        <v>35</v>
      </c>
      <c r="AT4">
        <v>36</v>
      </c>
      <c r="AU4">
        <v>37</v>
      </c>
      <c r="AV4">
        <v>38</v>
      </c>
      <c r="AW4">
        <v>39</v>
      </c>
      <c r="AX4">
        <v>40</v>
      </c>
      <c r="AY4">
        <v>41</v>
      </c>
      <c r="AZ4">
        <v>42</v>
      </c>
      <c r="BA4">
        <v>43</v>
      </c>
      <c r="BB4">
        <v>44</v>
      </c>
      <c r="BC4">
        <v>45</v>
      </c>
      <c r="BD4">
        <v>46</v>
      </c>
      <c r="BE4">
        <v>47</v>
      </c>
      <c r="BF4">
        <v>48</v>
      </c>
      <c r="BG4">
        <v>49</v>
      </c>
      <c r="BH4">
        <v>50</v>
      </c>
      <c r="BI4">
        <v>51</v>
      </c>
      <c r="BJ4">
        <v>52</v>
      </c>
      <c r="BK4">
        <v>53</v>
      </c>
      <c r="BL4">
        <v>54</v>
      </c>
      <c r="BM4">
        <v>55</v>
      </c>
      <c r="BN4">
        <v>56</v>
      </c>
      <c r="BO4">
        <v>57</v>
      </c>
      <c r="BP4">
        <v>58</v>
      </c>
      <c r="BQ4">
        <v>59</v>
      </c>
      <c r="BR4">
        <v>60</v>
      </c>
      <c r="BS4">
        <v>61</v>
      </c>
      <c r="BT4">
        <v>62</v>
      </c>
      <c r="BU4">
        <v>63</v>
      </c>
      <c r="BV4">
        <v>64</v>
      </c>
      <c r="BW4">
        <v>65</v>
      </c>
      <c r="BX4">
        <v>66</v>
      </c>
      <c r="BY4">
        <v>67</v>
      </c>
      <c r="BZ4">
        <v>68</v>
      </c>
      <c r="CA4">
        <v>69</v>
      </c>
      <c r="CB4">
        <v>70</v>
      </c>
      <c r="CC4">
        <v>71</v>
      </c>
      <c r="CD4">
        <v>72</v>
      </c>
      <c r="CE4">
        <v>73</v>
      </c>
      <c r="CF4">
        <v>74</v>
      </c>
      <c r="CG4">
        <v>75</v>
      </c>
      <c r="CH4">
        <v>76</v>
      </c>
      <c r="CI4">
        <v>77</v>
      </c>
      <c r="CJ4">
        <v>78</v>
      </c>
      <c r="CK4">
        <v>79</v>
      </c>
      <c r="CL4">
        <v>80</v>
      </c>
      <c r="CM4">
        <v>81</v>
      </c>
      <c r="CN4">
        <v>82</v>
      </c>
      <c r="CO4">
        <v>83</v>
      </c>
      <c r="CP4">
        <v>84</v>
      </c>
      <c r="CQ4">
        <v>85</v>
      </c>
      <c r="CR4">
        <v>86</v>
      </c>
      <c r="CS4">
        <v>87</v>
      </c>
      <c r="CT4">
        <v>88</v>
      </c>
      <c r="CU4">
        <v>89</v>
      </c>
      <c r="CV4">
        <v>90</v>
      </c>
      <c r="CW4">
        <v>91</v>
      </c>
      <c r="CX4">
        <v>92</v>
      </c>
      <c r="CY4">
        <v>93</v>
      </c>
      <c r="CZ4">
        <v>94</v>
      </c>
      <c r="DA4">
        <v>95</v>
      </c>
      <c r="DB4">
        <v>96</v>
      </c>
      <c r="DC4">
        <v>97</v>
      </c>
      <c r="DD4">
        <v>98</v>
      </c>
      <c r="DE4">
        <v>99</v>
      </c>
      <c r="DF4">
        <v>100</v>
      </c>
      <c r="DG4">
        <v>101</v>
      </c>
      <c r="DH4">
        <v>102</v>
      </c>
      <c r="DI4">
        <v>103</v>
      </c>
      <c r="DJ4">
        <v>104</v>
      </c>
      <c r="DK4">
        <v>105</v>
      </c>
      <c r="DL4">
        <v>106</v>
      </c>
      <c r="DM4">
        <v>107</v>
      </c>
      <c r="DN4">
        <v>108</v>
      </c>
      <c r="DO4">
        <v>109</v>
      </c>
      <c r="DP4">
        <v>110</v>
      </c>
      <c r="DQ4">
        <v>111</v>
      </c>
      <c r="DR4">
        <v>112</v>
      </c>
      <c r="DS4">
        <v>113</v>
      </c>
      <c r="DT4">
        <v>114</v>
      </c>
      <c r="DU4">
        <v>115</v>
      </c>
      <c r="DV4">
        <v>116</v>
      </c>
      <c r="DW4">
        <v>117</v>
      </c>
      <c r="DX4">
        <v>118</v>
      </c>
      <c r="DY4">
        <v>119</v>
      </c>
      <c r="DZ4">
        <v>120</v>
      </c>
      <c r="EA4">
        <v>121</v>
      </c>
      <c r="EB4">
        <v>122</v>
      </c>
      <c r="EC4">
        <v>123</v>
      </c>
      <c r="ED4">
        <v>124</v>
      </c>
      <c r="EE4">
        <v>125</v>
      </c>
      <c r="EF4">
        <v>126</v>
      </c>
      <c r="EG4">
        <v>127</v>
      </c>
      <c r="EH4">
        <v>128</v>
      </c>
      <c r="EI4">
        <v>129</v>
      </c>
      <c r="EJ4">
        <v>130</v>
      </c>
      <c r="EK4">
        <v>131</v>
      </c>
      <c r="EL4">
        <v>132</v>
      </c>
      <c r="EM4">
        <v>133</v>
      </c>
      <c r="EN4">
        <v>134</v>
      </c>
      <c r="EO4">
        <v>135</v>
      </c>
      <c r="EP4">
        <v>136</v>
      </c>
      <c r="EQ4">
        <v>137</v>
      </c>
      <c r="ER4">
        <v>138</v>
      </c>
      <c r="ES4">
        <v>139</v>
      </c>
      <c r="ET4">
        <v>140</v>
      </c>
      <c r="EU4">
        <v>141</v>
      </c>
      <c r="EV4">
        <v>142</v>
      </c>
      <c r="EW4">
        <v>143</v>
      </c>
      <c r="EX4">
        <v>144</v>
      </c>
      <c r="EY4">
        <v>145</v>
      </c>
      <c r="EZ4">
        <v>146</v>
      </c>
      <c r="FA4">
        <v>147</v>
      </c>
      <c r="FB4">
        <v>148</v>
      </c>
      <c r="FC4">
        <v>149</v>
      </c>
      <c r="FD4">
        <v>150</v>
      </c>
      <c r="FE4">
        <v>151</v>
      </c>
      <c r="FF4">
        <v>152</v>
      </c>
      <c r="FG4">
        <v>153</v>
      </c>
      <c r="FH4">
        <v>154</v>
      </c>
      <c r="FI4">
        <v>155</v>
      </c>
      <c r="FJ4">
        <v>156</v>
      </c>
      <c r="FK4">
        <v>157</v>
      </c>
      <c r="FL4">
        <v>158</v>
      </c>
      <c r="FM4">
        <v>159</v>
      </c>
      <c r="FN4">
        <v>160</v>
      </c>
      <c r="FO4">
        <v>161</v>
      </c>
      <c r="FP4">
        <v>162</v>
      </c>
      <c r="FQ4">
        <v>163</v>
      </c>
      <c r="FR4">
        <v>164</v>
      </c>
      <c r="FS4">
        <v>165</v>
      </c>
      <c r="FT4">
        <v>166</v>
      </c>
      <c r="FU4">
        <v>167</v>
      </c>
      <c r="FV4">
        <v>168</v>
      </c>
      <c r="FW4">
        <v>169</v>
      </c>
      <c r="FX4">
        <v>170</v>
      </c>
      <c r="FY4">
        <v>171</v>
      </c>
      <c r="FZ4">
        <v>172</v>
      </c>
      <c r="GA4">
        <v>173</v>
      </c>
      <c r="GB4">
        <v>174</v>
      </c>
      <c r="GC4">
        <v>175</v>
      </c>
      <c r="GD4">
        <v>176</v>
      </c>
      <c r="GE4">
        <v>177</v>
      </c>
      <c r="GF4">
        <v>178</v>
      </c>
      <c r="GG4">
        <v>179</v>
      </c>
      <c r="GI4">
        <v>0</v>
      </c>
      <c r="GJ4">
        <v>1</v>
      </c>
      <c r="GK4">
        <v>2</v>
      </c>
      <c r="GL4">
        <v>3</v>
      </c>
      <c r="GM4">
        <v>4</v>
      </c>
      <c r="GN4">
        <v>5</v>
      </c>
      <c r="GO4">
        <v>6</v>
      </c>
      <c r="GP4">
        <v>7</v>
      </c>
      <c r="GQ4">
        <v>8</v>
      </c>
      <c r="GR4">
        <v>9</v>
      </c>
      <c r="GS4">
        <v>10</v>
      </c>
      <c r="GT4">
        <v>11</v>
      </c>
      <c r="GU4">
        <v>12</v>
      </c>
      <c r="GV4">
        <v>13</v>
      </c>
      <c r="GW4">
        <v>14</v>
      </c>
      <c r="GX4">
        <v>15</v>
      </c>
      <c r="GY4">
        <v>16</v>
      </c>
      <c r="GZ4">
        <v>17</v>
      </c>
      <c r="HA4">
        <v>18</v>
      </c>
      <c r="HB4">
        <v>19</v>
      </c>
      <c r="HC4">
        <v>20</v>
      </c>
      <c r="HD4">
        <v>21</v>
      </c>
      <c r="HE4">
        <v>22</v>
      </c>
      <c r="HF4">
        <v>23</v>
      </c>
      <c r="HG4">
        <v>24</v>
      </c>
      <c r="HH4">
        <v>25</v>
      </c>
      <c r="HI4">
        <v>26</v>
      </c>
      <c r="HJ4">
        <v>27</v>
      </c>
      <c r="HK4">
        <v>28</v>
      </c>
      <c r="HL4">
        <v>29</v>
      </c>
      <c r="HM4">
        <v>30</v>
      </c>
      <c r="HN4">
        <v>31</v>
      </c>
      <c r="HO4">
        <v>32</v>
      </c>
      <c r="HP4">
        <v>33</v>
      </c>
      <c r="HQ4">
        <v>34</v>
      </c>
      <c r="HR4">
        <v>35</v>
      </c>
      <c r="HS4">
        <v>36</v>
      </c>
      <c r="HT4">
        <v>37</v>
      </c>
      <c r="HU4">
        <v>38</v>
      </c>
      <c r="HV4">
        <v>39</v>
      </c>
      <c r="HW4">
        <v>40</v>
      </c>
      <c r="HX4">
        <v>41</v>
      </c>
      <c r="HY4">
        <v>42</v>
      </c>
      <c r="HZ4">
        <v>43</v>
      </c>
      <c r="IA4">
        <v>44</v>
      </c>
      <c r="IB4">
        <v>45</v>
      </c>
      <c r="IC4">
        <v>46</v>
      </c>
      <c r="ID4">
        <v>47</v>
      </c>
      <c r="IE4">
        <v>48</v>
      </c>
      <c r="IF4">
        <v>49</v>
      </c>
      <c r="IG4">
        <v>50</v>
      </c>
      <c r="IH4">
        <v>51</v>
      </c>
      <c r="II4">
        <v>52</v>
      </c>
      <c r="IJ4">
        <v>53</v>
      </c>
      <c r="IK4">
        <v>54</v>
      </c>
      <c r="IL4">
        <v>55</v>
      </c>
      <c r="IM4">
        <v>56</v>
      </c>
      <c r="IN4">
        <v>57</v>
      </c>
      <c r="IO4">
        <v>58</v>
      </c>
      <c r="IP4">
        <v>59</v>
      </c>
      <c r="IQ4">
        <v>60</v>
      </c>
      <c r="IR4">
        <v>61</v>
      </c>
      <c r="IS4">
        <v>62</v>
      </c>
      <c r="IT4">
        <v>63</v>
      </c>
      <c r="IU4">
        <v>64</v>
      </c>
      <c r="IV4">
        <v>65</v>
      </c>
      <c r="IW4">
        <v>66</v>
      </c>
      <c r="IX4">
        <v>67</v>
      </c>
      <c r="IY4">
        <v>68</v>
      </c>
      <c r="IZ4">
        <v>69</v>
      </c>
      <c r="JA4">
        <v>70</v>
      </c>
      <c r="JB4">
        <v>71</v>
      </c>
      <c r="JC4">
        <v>72</v>
      </c>
      <c r="JD4">
        <v>73</v>
      </c>
      <c r="JE4">
        <v>74</v>
      </c>
      <c r="JF4">
        <v>75</v>
      </c>
      <c r="JG4">
        <v>76</v>
      </c>
      <c r="JH4">
        <v>77</v>
      </c>
      <c r="JI4">
        <v>78</v>
      </c>
      <c r="JJ4">
        <v>79</v>
      </c>
      <c r="JK4">
        <v>80</v>
      </c>
      <c r="JL4">
        <v>81</v>
      </c>
      <c r="JM4">
        <v>82</v>
      </c>
      <c r="JN4">
        <v>83</v>
      </c>
      <c r="JO4">
        <v>84</v>
      </c>
      <c r="JP4">
        <v>85</v>
      </c>
      <c r="JQ4">
        <v>86</v>
      </c>
      <c r="JR4">
        <v>87</v>
      </c>
      <c r="JS4">
        <v>88</v>
      </c>
      <c r="JT4">
        <v>89</v>
      </c>
      <c r="JU4">
        <v>90</v>
      </c>
      <c r="JV4">
        <v>91</v>
      </c>
      <c r="JW4">
        <v>92</v>
      </c>
      <c r="JX4">
        <v>93</v>
      </c>
      <c r="JY4">
        <v>94</v>
      </c>
      <c r="JZ4">
        <v>95</v>
      </c>
      <c r="KA4">
        <v>96</v>
      </c>
      <c r="KB4">
        <v>97</v>
      </c>
      <c r="KC4">
        <v>98</v>
      </c>
      <c r="KD4">
        <v>99</v>
      </c>
      <c r="KE4">
        <v>100</v>
      </c>
      <c r="KF4">
        <v>101</v>
      </c>
      <c r="KG4">
        <v>102</v>
      </c>
      <c r="KH4">
        <v>103</v>
      </c>
      <c r="KI4">
        <v>104</v>
      </c>
      <c r="KJ4">
        <v>105</v>
      </c>
      <c r="KK4">
        <v>106</v>
      </c>
      <c r="KL4">
        <v>107</v>
      </c>
      <c r="KM4">
        <v>108</v>
      </c>
      <c r="KN4">
        <v>109</v>
      </c>
      <c r="KO4">
        <v>110</v>
      </c>
      <c r="KP4">
        <v>111</v>
      </c>
      <c r="KQ4">
        <v>112</v>
      </c>
      <c r="KR4">
        <v>113</v>
      </c>
      <c r="KS4">
        <v>114</v>
      </c>
      <c r="KT4">
        <v>115</v>
      </c>
      <c r="KU4">
        <v>116</v>
      </c>
      <c r="KV4">
        <v>117</v>
      </c>
      <c r="KW4">
        <v>118</v>
      </c>
      <c r="KX4">
        <v>119</v>
      </c>
      <c r="KY4">
        <v>120</v>
      </c>
      <c r="KZ4">
        <v>121</v>
      </c>
      <c r="LA4">
        <v>122</v>
      </c>
      <c r="LB4">
        <v>123</v>
      </c>
      <c r="LC4">
        <v>124</v>
      </c>
      <c r="LD4">
        <v>125</v>
      </c>
      <c r="LE4">
        <v>126</v>
      </c>
      <c r="LF4">
        <v>127</v>
      </c>
      <c r="LG4">
        <v>128</v>
      </c>
      <c r="LH4">
        <v>129</v>
      </c>
      <c r="LI4">
        <v>130</v>
      </c>
      <c r="LJ4">
        <v>131</v>
      </c>
      <c r="LK4">
        <v>132</v>
      </c>
      <c r="LL4">
        <v>133</v>
      </c>
      <c r="LM4">
        <v>134</v>
      </c>
      <c r="LN4">
        <v>135</v>
      </c>
      <c r="LO4">
        <v>136</v>
      </c>
      <c r="LP4">
        <v>137</v>
      </c>
      <c r="LQ4">
        <v>138</v>
      </c>
      <c r="LR4">
        <v>139</v>
      </c>
      <c r="LS4">
        <v>140</v>
      </c>
      <c r="LT4">
        <v>141</v>
      </c>
      <c r="LU4">
        <v>142</v>
      </c>
      <c r="LV4">
        <v>143</v>
      </c>
      <c r="LW4">
        <v>144</v>
      </c>
      <c r="LX4">
        <v>145</v>
      </c>
      <c r="LY4">
        <v>146</v>
      </c>
      <c r="LZ4">
        <v>147</v>
      </c>
      <c r="MA4">
        <v>148</v>
      </c>
      <c r="MB4">
        <v>149</v>
      </c>
      <c r="MC4">
        <v>150</v>
      </c>
      <c r="MD4">
        <v>151</v>
      </c>
      <c r="ME4">
        <v>152</v>
      </c>
      <c r="MF4">
        <v>153</v>
      </c>
      <c r="MG4">
        <v>154</v>
      </c>
      <c r="MH4">
        <v>155</v>
      </c>
      <c r="MI4">
        <v>156</v>
      </c>
      <c r="MJ4">
        <v>157</v>
      </c>
      <c r="MK4">
        <v>158</v>
      </c>
      <c r="ML4">
        <v>159</v>
      </c>
      <c r="MM4">
        <v>160</v>
      </c>
      <c r="MN4">
        <v>161</v>
      </c>
      <c r="MO4">
        <v>162</v>
      </c>
      <c r="MP4">
        <v>163</v>
      </c>
      <c r="MQ4">
        <v>164</v>
      </c>
      <c r="MR4">
        <v>165</v>
      </c>
      <c r="MS4">
        <v>166</v>
      </c>
      <c r="MT4">
        <v>167</v>
      </c>
      <c r="MU4">
        <v>168</v>
      </c>
      <c r="MV4">
        <v>169</v>
      </c>
      <c r="MW4">
        <v>170</v>
      </c>
      <c r="MX4">
        <v>171</v>
      </c>
      <c r="MY4">
        <v>172</v>
      </c>
      <c r="MZ4">
        <v>173</v>
      </c>
      <c r="NA4">
        <v>174</v>
      </c>
      <c r="NB4">
        <v>175</v>
      </c>
      <c r="NC4">
        <v>176</v>
      </c>
      <c r="ND4">
        <v>177</v>
      </c>
      <c r="NE4">
        <v>178</v>
      </c>
      <c r="NF4">
        <v>179</v>
      </c>
      <c r="NH4" t="s">
        <v>357</v>
      </c>
      <c r="NI4" t="s">
        <v>358</v>
      </c>
      <c r="NJ4" t="s">
        <v>359</v>
      </c>
      <c r="NK4" t="s">
        <v>482</v>
      </c>
      <c r="NL4" t="s">
        <v>483</v>
      </c>
      <c r="NN4" t="s">
        <v>360</v>
      </c>
      <c r="NO4" t="s">
        <v>361</v>
      </c>
      <c r="NP4" t="s">
        <v>362</v>
      </c>
      <c r="NQ4" t="s">
        <v>363</v>
      </c>
      <c r="NR4" t="s">
        <v>364</v>
      </c>
      <c r="NS4" t="s">
        <v>482</v>
      </c>
      <c r="NT4" t="s">
        <v>483</v>
      </c>
      <c r="NV4" t="s">
        <v>365</v>
      </c>
      <c r="NW4" t="s">
        <v>366</v>
      </c>
      <c r="NX4" t="s">
        <v>367</v>
      </c>
      <c r="NY4" t="s">
        <v>368</v>
      </c>
      <c r="NZ4" t="s">
        <v>369</v>
      </c>
      <c r="OA4" t="s">
        <v>370</v>
      </c>
      <c r="OB4" t="s">
        <v>371</v>
      </c>
      <c r="OC4" t="s">
        <v>372</v>
      </c>
      <c r="OD4" t="s">
        <v>373</v>
      </c>
      <c r="OE4" t="s">
        <v>374</v>
      </c>
      <c r="OF4" t="s">
        <v>482</v>
      </c>
      <c r="OG4" t="s">
        <v>483</v>
      </c>
      <c r="OI4" t="s">
        <v>484</v>
      </c>
    </row>
    <row r="5" spans="1:399" x14ac:dyDescent="0.3">
      <c r="A5" s="2" t="str" cm="1">
        <f t="array" ref="A5:A11">_xlfn.UNIQUE(summ[VisualIDs])</f>
        <v>74JU522300112</v>
      </c>
      <c r="B5" s="2" t="str">
        <f>IF(C5="NotFound",D5,C5)</f>
        <v>NotFound</v>
      </c>
      <c r="C5" s="2" t="str">
        <f>IF(H5&gt;1,"NotFound","LLC"&amp;_xlfn.XLOOKUP(MAX(J5:GG5,1),J5:GG5,$J$4:$GG$4,""))</f>
        <v>NotFound</v>
      </c>
      <c r="D5" s="2" t="str">
        <f>IF(F5&gt;1,"NotFound","LLC"&amp;_xlfn.XLOOKUP(MAX(GI5:NF5,1),GI5:NF5,$GI$4:$NF$4,""))</f>
        <v>NotFound</v>
      </c>
      <c r="E5" s="2" t="str">
        <f>OI5</f>
        <v/>
      </c>
      <c r="F5" s="2">
        <f>COUNTIF(GI5:NF5,G5)</f>
        <v>180</v>
      </c>
      <c r="G5" s="2">
        <f>MAX(GI5:NF5)</f>
        <v>0</v>
      </c>
      <c r="H5" s="2">
        <f>COUNTIF(J5:GG5,I5)</f>
        <v>180</v>
      </c>
      <c r="I5" s="2">
        <f>MAX(J5:GG5)</f>
        <v>0</v>
      </c>
      <c r="J5" cm="1">
        <f t="array" ref="J5:GG11">COUNTIFS(llcmca[VisualID],_xlfn.ANCHORARRAY(A5),llcmca[LLC],"LLC"&amp;J4:GG4)</f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I5" cm="1">
        <f t="array" ref="GI5:NF11">COUNTIFS(ubox[VisualID],_xlfn.ANCHORARRAY(A5),ubox[Failed Instance],"LLC"&amp;GI4:NF4,ubox[NCEVENT],"*IERRLOGGINGREG*")</f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H5" cm="1">
        <f t="array" ref="NH5:NJ5">SUMIFS($J5:$GG5,$J$1:$GG$1,NH$3:NJ$3)</f>
        <v>0</v>
      </c>
      <c r="NI5">
        <v>0</v>
      </c>
      <c r="NJ5">
        <v>0</v>
      </c>
      <c r="NK5" cm="1">
        <f t="array" ref="NK5">IFERROR(MAX((_xlfn.ANCHORARRAY(NH5)-AVERAGE(_xlfn.ANCHORARRAY(NH5)))/ AVERAGE(_xlfn.ANCHORARRAY(NH5))),0)</f>
        <v>0</v>
      </c>
      <c r="NL5" t="str" cm="1">
        <f t="array" ref="NL5">IF(NK5&gt;$NL$1,_xlfn.XLOOKUP(MAX(_xlfn.ANCHORARRAY(NH5)),_xlfn.ANCHORARRAY(NH5),NH$4:NJ$4,""),"")</f>
        <v/>
      </c>
      <c r="NN5" cm="1">
        <f t="array" ref="NN5:NR5">SUMIFS($J5:$GG5,$J$3:$GG$3,NN$3:NR$3)</f>
        <v>0</v>
      </c>
      <c r="NO5">
        <v>0</v>
      </c>
      <c r="NP5">
        <v>0</v>
      </c>
      <c r="NQ5">
        <v>0</v>
      </c>
      <c r="NR5">
        <v>0</v>
      </c>
      <c r="NS5" cm="1">
        <f t="array" ref="NS5">IFERROR(MAX((_xlfn.ANCHORARRAY(NN5)-AVERAGE(_xlfn.ANCHORARRAY(NN5)))/ AVERAGE(_xlfn.ANCHORARRAY(NN5))),0)</f>
        <v>0</v>
      </c>
      <c r="NT5" t="str" cm="1">
        <f t="array" ref="NT5">IF(AND(NS5&gt;$NT$1,NL5&lt;&gt;""),_xlfn.XLOOKUP(MAX(_xlfn.ANCHORARRAY(NN5)),_xlfn.ANCHORARRAY(NN5),NN$4:NR$4,""),"")</f>
        <v/>
      </c>
      <c r="NV5" cm="1">
        <f t="array" ref="NV5:OE5">SUMIFS($J5:$GG5,$J$2:$GG$2,NV$3:OE$3)</f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 cm="1">
        <f t="array" ref="OF5">IFERROR(MAX((_xlfn.ANCHORARRAY(NV5)-AVERAGE(_xlfn.ANCHORARRAY(NV5)))/ AVERAGE(_xlfn.ANCHORARRAY(NV5))),0)</f>
        <v>0</v>
      </c>
      <c r="OG5" t="str" cm="1">
        <f t="array" ref="OG5">IF(OF5&gt;$OG$1,_xlfn.XLOOKUP(MAX(_xlfn.ANCHORARRAY(NV5)),_xlfn.ANCHORARRAY(NV5),NV$4:OE$4,""),"")</f>
        <v/>
      </c>
      <c r="OI5" t="str">
        <f>_xlfn.TEXTJOIN(" : ",,NL5,NT5,OG5)</f>
        <v/>
      </c>
    </row>
    <row r="6" spans="1:399" x14ac:dyDescent="0.3">
      <c r="A6" s="2" t="str">
        <v>759Y5U8800863</v>
      </c>
      <c r="B6" s="2" t="str">
        <f t="shared" ref="B6:B69" si="0">IF(C6="NotFound",D6,C6)</f>
        <v>NotFound</v>
      </c>
      <c r="C6" s="2" t="str">
        <f t="shared" ref="C6:C69" si="1">IF(H6&gt;1,"NotFound","LLC"&amp;_xlfn.XLOOKUP(MAX(J6:GG6,1),J6:GG6,$J$4:$GG$4,""))</f>
        <v>NotFound</v>
      </c>
      <c r="D6" s="2" t="str">
        <f t="shared" ref="D6:D69" si="2">IF(F6&gt;1,"NotFound","LLC"&amp;_xlfn.XLOOKUP(MAX(GI6:NF6,1),GI6:NF6,$GI$4:$NF$4,""))</f>
        <v>NotFound</v>
      </c>
      <c r="E6" s="2" t="str">
        <f t="shared" ref="E6:E69" si="3">OI6</f>
        <v/>
      </c>
      <c r="F6" s="2">
        <f t="shared" ref="F6:F69" si="4">COUNTIF(GI6:NF6,G6)</f>
        <v>180</v>
      </c>
      <c r="G6" s="2">
        <f t="shared" ref="G6:G69" si="5">MAX(GI6:NF6)</f>
        <v>0</v>
      </c>
      <c r="H6" s="2">
        <f t="shared" ref="H6:H69" si="6">COUNTIF(J6:GG6,I6)</f>
        <v>180</v>
      </c>
      <c r="I6" s="2">
        <f t="shared" ref="I6:I69" si="7">MAX(J6:GG6)</f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H6" cm="1">
        <f t="array" ref="NH6:NJ6">SUMIFS($J6:$GG6,$J$1:$GG$1,NH$3:NJ$3)</f>
        <v>0</v>
      </c>
      <c r="NI6">
        <v>0</v>
      </c>
      <c r="NJ6">
        <v>0</v>
      </c>
      <c r="NK6" cm="1">
        <f t="array" ref="NK6">IFERROR(MAX((_xlfn.ANCHORARRAY(NH6)-AVERAGE(_xlfn.ANCHORARRAY(NH6)))/ AVERAGE(_xlfn.ANCHORARRAY(NH6))),0)</f>
        <v>0</v>
      </c>
      <c r="NL6" t="str" cm="1">
        <f t="array" ref="NL6">IF(NK6&gt;$NL$1,_xlfn.XLOOKUP(MAX(_xlfn.ANCHORARRAY(NH6)),_xlfn.ANCHORARRAY(NH6),NH$4:NJ$4,""),"")</f>
        <v/>
      </c>
      <c r="NN6" cm="1">
        <f t="array" ref="NN6:NR6">SUMIFS($J6:$GG6,$J$3:$GG$3,NN$3:NR$3)</f>
        <v>0</v>
      </c>
      <c r="NO6">
        <v>0</v>
      </c>
      <c r="NP6">
        <v>0</v>
      </c>
      <c r="NQ6">
        <v>0</v>
      </c>
      <c r="NR6">
        <v>0</v>
      </c>
      <c r="NS6" cm="1">
        <f t="array" ref="NS6">IFERROR(MAX((_xlfn.ANCHORARRAY(NN6)-AVERAGE(_xlfn.ANCHORARRAY(NN6)))/ AVERAGE(_xlfn.ANCHORARRAY(NN6))),0)</f>
        <v>0</v>
      </c>
      <c r="NT6" t="str" cm="1">
        <f t="array" ref="NT6">IF(AND(NS6&gt;$NT$1,NL6&lt;&gt;""),_xlfn.XLOOKUP(MAX(_xlfn.ANCHORARRAY(NN6)),_xlfn.ANCHORARRAY(NN6),NN$4:NR$4,""),"")</f>
        <v/>
      </c>
      <c r="NV6" cm="1">
        <f t="array" ref="NV6:OE6">SUMIFS($J6:$GG6,$J$2:$GG$2,NV$3:OE$3)</f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 cm="1">
        <f t="array" ref="OF6">IFERROR(MAX((_xlfn.ANCHORARRAY(NV6)-AVERAGE(_xlfn.ANCHORARRAY(NV6)))/ AVERAGE(_xlfn.ANCHORARRAY(NV6))),0)</f>
        <v>0</v>
      </c>
      <c r="OG6" t="str" cm="1">
        <f t="array" ref="OG6">IF(OF6&gt;$OG$1,_xlfn.XLOOKUP(MAX(_xlfn.ANCHORARRAY(NV6)),_xlfn.ANCHORARRAY(NV6),NV$4:OE$4,""),"")</f>
        <v/>
      </c>
      <c r="OI6" t="str">
        <f t="shared" ref="OI6:OI69" si="8">_xlfn.TEXTJOIN(" : ",,NL6,NT6,OG6)</f>
        <v/>
      </c>
    </row>
    <row r="7" spans="1:399" x14ac:dyDescent="0.3">
      <c r="A7" s="2" t="str">
        <v>74N24C5300241</v>
      </c>
      <c r="B7" s="2" t="str">
        <f t="shared" si="0"/>
        <v>NotFound</v>
      </c>
      <c r="C7" s="2" t="str">
        <f t="shared" si="1"/>
        <v>NotFound</v>
      </c>
      <c r="D7" s="2" t="str">
        <f t="shared" si="2"/>
        <v>NotFound</v>
      </c>
      <c r="E7" s="2" t="str">
        <f t="shared" si="3"/>
        <v/>
      </c>
      <c r="F7" s="2">
        <f t="shared" si="4"/>
        <v>180</v>
      </c>
      <c r="G7" s="2">
        <f t="shared" si="5"/>
        <v>0</v>
      </c>
      <c r="H7" s="2">
        <f t="shared" si="6"/>
        <v>180</v>
      </c>
      <c r="I7" s="2">
        <f t="shared" si="7"/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H7" cm="1">
        <f t="array" ref="NH7:NJ7">SUMIFS($J7:$GG7,$J$1:$GG$1,NH$3:NJ$3)</f>
        <v>0</v>
      </c>
      <c r="NI7">
        <v>0</v>
      </c>
      <c r="NJ7">
        <v>0</v>
      </c>
      <c r="NK7" cm="1">
        <f t="array" ref="NK7">IFERROR(MAX((_xlfn.ANCHORARRAY(NH7)-AVERAGE(_xlfn.ANCHORARRAY(NH7)))/ AVERAGE(_xlfn.ANCHORARRAY(NH7))),0)</f>
        <v>0</v>
      </c>
      <c r="NL7" t="str" cm="1">
        <f t="array" ref="NL7">IF(NK7&gt;$NL$1,_xlfn.XLOOKUP(MAX(_xlfn.ANCHORARRAY(NH7)),_xlfn.ANCHORARRAY(NH7),NH$4:NJ$4,""),"")</f>
        <v/>
      </c>
      <c r="NN7" cm="1">
        <f t="array" ref="NN7:NR7">SUMIFS($J7:$GG7,$J$3:$GG$3,NN$3:NR$3)</f>
        <v>0</v>
      </c>
      <c r="NO7">
        <v>0</v>
      </c>
      <c r="NP7">
        <v>0</v>
      </c>
      <c r="NQ7">
        <v>0</v>
      </c>
      <c r="NR7">
        <v>0</v>
      </c>
      <c r="NS7" cm="1">
        <f t="array" ref="NS7">IFERROR(MAX((_xlfn.ANCHORARRAY(NN7)-AVERAGE(_xlfn.ANCHORARRAY(NN7)))/ AVERAGE(_xlfn.ANCHORARRAY(NN7))),0)</f>
        <v>0</v>
      </c>
      <c r="NT7" t="str" cm="1">
        <f t="array" ref="NT7">IF(AND(NS7&gt;$NT$1,NL7&lt;&gt;""),_xlfn.XLOOKUP(MAX(_xlfn.ANCHORARRAY(NN7)),_xlfn.ANCHORARRAY(NN7),NN$4:NR$4,""),"")</f>
        <v/>
      </c>
      <c r="NV7" cm="1">
        <f t="array" ref="NV7:OE7">SUMIFS($J7:$GG7,$J$2:$GG$2,NV$3:OE$3)</f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 cm="1">
        <f t="array" ref="OF7">IFERROR(MAX((_xlfn.ANCHORARRAY(NV7)-AVERAGE(_xlfn.ANCHORARRAY(NV7)))/ AVERAGE(_xlfn.ANCHORARRAY(NV7))),0)</f>
        <v>0</v>
      </c>
      <c r="OG7" t="str" cm="1">
        <f t="array" ref="OG7">IF(OF7&gt;$OG$1,_xlfn.XLOOKUP(MAX(_xlfn.ANCHORARRAY(NV7)),_xlfn.ANCHORARRAY(NV7),NV$4:OE$4,""),"")</f>
        <v/>
      </c>
      <c r="OI7" t="str">
        <f t="shared" si="8"/>
        <v/>
      </c>
    </row>
    <row r="8" spans="1:399" x14ac:dyDescent="0.3">
      <c r="A8" s="2" t="str">
        <v>75W67Q6100508</v>
      </c>
      <c r="B8" s="2" t="str">
        <f t="shared" si="0"/>
        <v>NotFound</v>
      </c>
      <c r="C8" s="2" t="str">
        <f t="shared" si="1"/>
        <v>NotFound</v>
      </c>
      <c r="D8" s="2" t="str">
        <f t="shared" si="2"/>
        <v>NotFound</v>
      </c>
      <c r="E8" s="2" t="str">
        <f t="shared" si="3"/>
        <v/>
      </c>
      <c r="F8" s="2">
        <f t="shared" si="4"/>
        <v>180</v>
      </c>
      <c r="G8" s="2">
        <f t="shared" si="5"/>
        <v>0</v>
      </c>
      <c r="H8" s="2">
        <f t="shared" si="6"/>
        <v>180</v>
      </c>
      <c r="I8" s="2">
        <f t="shared" si="7"/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H8" cm="1">
        <f t="array" ref="NH8:NJ8">SUMIFS($J8:$GG8,$J$1:$GG$1,NH$3:NJ$3)</f>
        <v>0</v>
      </c>
      <c r="NI8">
        <v>0</v>
      </c>
      <c r="NJ8">
        <v>0</v>
      </c>
      <c r="NK8" cm="1">
        <f t="array" ref="NK8">IFERROR(MAX((_xlfn.ANCHORARRAY(NH8)-AVERAGE(_xlfn.ANCHORARRAY(NH8)))/ AVERAGE(_xlfn.ANCHORARRAY(NH8))),0)</f>
        <v>0</v>
      </c>
      <c r="NL8" t="str" cm="1">
        <f t="array" ref="NL8">IF(NK8&gt;$NL$1,_xlfn.XLOOKUP(MAX(_xlfn.ANCHORARRAY(NH8)),_xlfn.ANCHORARRAY(NH8),NH$4:NJ$4,""),"")</f>
        <v/>
      </c>
      <c r="NN8" cm="1">
        <f t="array" ref="NN8:NR8">SUMIFS($J8:$GG8,$J$3:$GG$3,NN$3:NR$3)</f>
        <v>0</v>
      </c>
      <c r="NO8">
        <v>0</v>
      </c>
      <c r="NP8">
        <v>0</v>
      </c>
      <c r="NQ8">
        <v>0</v>
      </c>
      <c r="NR8">
        <v>0</v>
      </c>
      <c r="NS8" cm="1">
        <f t="array" ref="NS8">IFERROR(MAX((_xlfn.ANCHORARRAY(NN8)-AVERAGE(_xlfn.ANCHORARRAY(NN8)))/ AVERAGE(_xlfn.ANCHORARRAY(NN8))),0)</f>
        <v>0</v>
      </c>
      <c r="NT8" t="str" cm="1">
        <f t="array" ref="NT8">IF(AND(NS8&gt;$NT$1,NL8&lt;&gt;""),_xlfn.XLOOKUP(MAX(_xlfn.ANCHORARRAY(NN8)),_xlfn.ANCHORARRAY(NN8),NN$4:NR$4,""),"")</f>
        <v/>
      </c>
      <c r="NV8" cm="1">
        <f t="array" ref="NV8:OE8">SUMIFS($J8:$GG8,$J$2:$GG$2,NV$3:OE$3)</f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 cm="1">
        <f t="array" ref="OF8">IFERROR(MAX((_xlfn.ANCHORARRAY(NV8)-AVERAGE(_xlfn.ANCHORARRAY(NV8)))/ AVERAGE(_xlfn.ANCHORARRAY(NV8))),0)</f>
        <v>0</v>
      </c>
      <c r="OG8" t="str" cm="1">
        <f t="array" ref="OG8">IF(OF8&gt;$OG$1,_xlfn.XLOOKUP(MAX(_xlfn.ANCHORARRAY(NV8)),_xlfn.ANCHORARRAY(NV8),NV$4:OE$4,""),"")</f>
        <v/>
      </c>
      <c r="OI8" t="str">
        <f t="shared" si="8"/>
        <v/>
      </c>
    </row>
    <row r="9" spans="1:399" x14ac:dyDescent="0.3">
      <c r="A9" s="2" t="str">
        <v>75DE357100108</v>
      </c>
      <c r="B9" s="2" t="str">
        <f t="shared" si="0"/>
        <v>NotFound</v>
      </c>
      <c r="C9" s="2" t="str">
        <f t="shared" si="1"/>
        <v>NotFound</v>
      </c>
      <c r="D9" s="2" t="str">
        <f t="shared" si="2"/>
        <v>NotFound</v>
      </c>
      <c r="E9" s="2" t="str">
        <f t="shared" si="3"/>
        <v/>
      </c>
      <c r="F9" s="2">
        <f t="shared" si="4"/>
        <v>180</v>
      </c>
      <c r="G9" s="2">
        <f t="shared" si="5"/>
        <v>0</v>
      </c>
      <c r="H9" s="2">
        <f t="shared" si="6"/>
        <v>180</v>
      </c>
      <c r="I9" s="2">
        <f t="shared" si="7"/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H9" cm="1">
        <f t="array" ref="NH9:NJ9">SUMIFS($J9:$GG9,$J$1:$GG$1,NH$3:NJ$3)</f>
        <v>0</v>
      </c>
      <c r="NI9">
        <v>0</v>
      </c>
      <c r="NJ9">
        <v>0</v>
      </c>
      <c r="NK9" cm="1">
        <f t="array" ref="NK9">IFERROR(MAX((_xlfn.ANCHORARRAY(NH9)-AVERAGE(_xlfn.ANCHORARRAY(NH9)))/ AVERAGE(_xlfn.ANCHORARRAY(NH9))),0)</f>
        <v>0</v>
      </c>
      <c r="NL9" t="str" cm="1">
        <f t="array" ref="NL9">IF(NK9&gt;$NL$1,_xlfn.XLOOKUP(MAX(_xlfn.ANCHORARRAY(NH9)),_xlfn.ANCHORARRAY(NH9),NH$4:NJ$4,""),"")</f>
        <v/>
      </c>
      <c r="NN9" cm="1">
        <f t="array" ref="NN9:NR9">SUMIFS($J9:$GG9,$J$3:$GG$3,NN$3:NR$3)</f>
        <v>0</v>
      </c>
      <c r="NO9">
        <v>0</v>
      </c>
      <c r="NP9">
        <v>0</v>
      </c>
      <c r="NQ9">
        <v>0</v>
      </c>
      <c r="NR9">
        <v>0</v>
      </c>
      <c r="NS9" cm="1">
        <f t="array" ref="NS9">IFERROR(MAX((_xlfn.ANCHORARRAY(NN9)-AVERAGE(_xlfn.ANCHORARRAY(NN9)))/ AVERAGE(_xlfn.ANCHORARRAY(NN9))),0)</f>
        <v>0</v>
      </c>
      <c r="NT9" t="str" cm="1">
        <f t="array" ref="NT9">IF(AND(NS9&gt;$NT$1,NL9&lt;&gt;""),_xlfn.XLOOKUP(MAX(_xlfn.ANCHORARRAY(NN9)),_xlfn.ANCHORARRAY(NN9),NN$4:NR$4,""),"")</f>
        <v/>
      </c>
      <c r="NV9" cm="1">
        <f t="array" ref="NV9:OE9">SUMIFS($J9:$GG9,$J$2:$GG$2,NV$3:OE$3)</f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 cm="1">
        <f t="array" ref="OF9">IFERROR(MAX((_xlfn.ANCHORARRAY(NV9)-AVERAGE(_xlfn.ANCHORARRAY(NV9)))/ AVERAGE(_xlfn.ANCHORARRAY(NV9))),0)</f>
        <v>0</v>
      </c>
      <c r="OG9" t="str" cm="1">
        <f t="array" ref="OG9">IF(OF9&gt;$OG$1,_xlfn.XLOOKUP(MAX(_xlfn.ANCHORARRAY(NV9)),_xlfn.ANCHORARRAY(NV9),NV$4:OE$4,""),"")</f>
        <v/>
      </c>
      <c r="OI9" t="str">
        <f t="shared" si="8"/>
        <v/>
      </c>
    </row>
    <row r="10" spans="1:399" x14ac:dyDescent="0.3">
      <c r="A10" s="2" t="str">
        <v>759B5H7700068</v>
      </c>
      <c r="B10" s="2" t="str">
        <f t="shared" si="0"/>
        <v>NotFound</v>
      </c>
      <c r="C10" s="2" t="str">
        <f t="shared" si="1"/>
        <v>NotFound</v>
      </c>
      <c r="D10" s="2" t="str">
        <f t="shared" si="2"/>
        <v>NotFound</v>
      </c>
      <c r="E10" s="2" t="str">
        <f t="shared" si="3"/>
        <v/>
      </c>
      <c r="F10" s="2">
        <f t="shared" si="4"/>
        <v>180</v>
      </c>
      <c r="G10" s="2">
        <f t="shared" si="5"/>
        <v>0</v>
      </c>
      <c r="H10" s="2">
        <f t="shared" si="6"/>
        <v>180</v>
      </c>
      <c r="I10" s="2">
        <f t="shared" si="7"/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H10" cm="1">
        <f t="array" ref="NH10:NJ10">SUMIFS($J10:$GG10,$J$1:$GG$1,NH$3:NJ$3)</f>
        <v>0</v>
      </c>
      <c r="NI10">
        <v>0</v>
      </c>
      <c r="NJ10">
        <v>0</v>
      </c>
      <c r="NK10" cm="1">
        <f t="array" ref="NK10">IFERROR(MAX((_xlfn.ANCHORARRAY(NH10)-AVERAGE(_xlfn.ANCHORARRAY(NH10)))/ AVERAGE(_xlfn.ANCHORARRAY(NH10))),0)</f>
        <v>0</v>
      </c>
      <c r="NL10" t="str" cm="1">
        <f t="array" ref="NL10">IF(NK10&gt;$NL$1,_xlfn.XLOOKUP(MAX(_xlfn.ANCHORARRAY(NH10)),_xlfn.ANCHORARRAY(NH10),NH$4:NJ$4,""),"")</f>
        <v/>
      </c>
      <c r="NN10" cm="1">
        <f t="array" ref="NN10:NR10">SUMIFS($J10:$GG10,$J$3:$GG$3,NN$3:NR$3)</f>
        <v>0</v>
      </c>
      <c r="NO10">
        <v>0</v>
      </c>
      <c r="NP10">
        <v>0</v>
      </c>
      <c r="NQ10">
        <v>0</v>
      </c>
      <c r="NR10">
        <v>0</v>
      </c>
      <c r="NS10" cm="1">
        <f t="array" ref="NS10">IFERROR(MAX((_xlfn.ANCHORARRAY(NN10)-AVERAGE(_xlfn.ANCHORARRAY(NN10)))/ AVERAGE(_xlfn.ANCHORARRAY(NN10))),0)</f>
        <v>0</v>
      </c>
      <c r="NT10" t="str" cm="1">
        <f t="array" ref="NT10">IF(AND(NS10&gt;$NT$1,NL10&lt;&gt;""),_xlfn.XLOOKUP(MAX(_xlfn.ANCHORARRAY(NN10)),_xlfn.ANCHORARRAY(NN10),NN$4:NR$4,""),"")</f>
        <v/>
      </c>
      <c r="NV10" cm="1">
        <f t="array" ref="NV10:OE10">SUMIFS($J10:$GG10,$J$2:$GG$2,NV$3:OE$3)</f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 cm="1">
        <f t="array" ref="OF10">IFERROR(MAX((_xlfn.ANCHORARRAY(NV10)-AVERAGE(_xlfn.ANCHORARRAY(NV10)))/ AVERAGE(_xlfn.ANCHORARRAY(NV10))),0)</f>
        <v>0</v>
      </c>
      <c r="OG10" t="str" cm="1">
        <f t="array" ref="OG10">IF(OF10&gt;$OG$1,_xlfn.XLOOKUP(MAX(_xlfn.ANCHORARRAY(NV10)),_xlfn.ANCHORARRAY(NV10),NV$4:OE$4,""),"")</f>
        <v/>
      </c>
      <c r="OI10" t="str">
        <f t="shared" si="8"/>
        <v/>
      </c>
    </row>
    <row r="11" spans="1:399" x14ac:dyDescent="0.3">
      <c r="A11" s="2" t="str">
        <v>74SC153000062</v>
      </c>
      <c r="B11" s="2" t="str">
        <f t="shared" si="0"/>
        <v>NotFound</v>
      </c>
      <c r="C11" s="2" t="str">
        <f t="shared" si="1"/>
        <v>NotFound</v>
      </c>
      <c r="D11" s="2" t="str">
        <f t="shared" si="2"/>
        <v>NotFound</v>
      </c>
      <c r="E11" s="2" t="str">
        <f t="shared" si="3"/>
        <v/>
      </c>
      <c r="F11" s="2">
        <f t="shared" si="4"/>
        <v>180</v>
      </c>
      <c r="G11" s="2">
        <f t="shared" si="5"/>
        <v>0</v>
      </c>
      <c r="H11" s="2">
        <f t="shared" si="6"/>
        <v>180</v>
      </c>
      <c r="I11" s="2">
        <f t="shared" si="7"/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H11" cm="1">
        <f t="array" ref="NH11:NJ11">SUMIFS($J11:$GG11,$J$1:$GG$1,NH$3:NJ$3)</f>
        <v>0</v>
      </c>
      <c r="NI11">
        <v>0</v>
      </c>
      <c r="NJ11">
        <v>0</v>
      </c>
      <c r="NK11" cm="1">
        <f t="array" ref="NK11">IFERROR(MAX((_xlfn.ANCHORARRAY(NH11)-AVERAGE(_xlfn.ANCHORARRAY(NH11)))/ AVERAGE(_xlfn.ANCHORARRAY(NH11))),0)</f>
        <v>0</v>
      </c>
      <c r="NL11" t="str" cm="1">
        <f t="array" ref="NL11">IF(NK11&gt;$NL$1,_xlfn.XLOOKUP(MAX(_xlfn.ANCHORARRAY(NH11)),_xlfn.ANCHORARRAY(NH11),NH$4:NJ$4,""),"")</f>
        <v/>
      </c>
      <c r="NN11" cm="1">
        <f t="array" ref="NN11:NR11">SUMIFS($J11:$GG11,$J$3:$GG$3,NN$3:NR$3)</f>
        <v>0</v>
      </c>
      <c r="NO11">
        <v>0</v>
      </c>
      <c r="NP11">
        <v>0</v>
      </c>
      <c r="NQ11">
        <v>0</v>
      </c>
      <c r="NR11">
        <v>0</v>
      </c>
      <c r="NS11" cm="1">
        <f t="array" ref="NS11">IFERROR(MAX((_xlfn.ANCHORARRAY(NN11)-AVERAGE(_xlfn.ANCHORARRAY(NN11)))/ AVERAGE(_xlfn.ANCHORARRAY(NN11))),0)</f>
        <v>0</v>
      </c>
      <c r="NT11" t="str" cm="1">
        <f t="array" ref="NT11">IF(AND(NS11&gt;$NT$1,NL11&lt;&gt;""),_xlfn.XLOOKUP(MAX(_xlfn.ANCHORARRAY(NN11)),_xlfn.ANCHORARRAY(NN11),NN$4:NR$4,""),"")</f>
        <v/>
      </c>
      <c r="NV11" cm="1">
        <f t="array" ref="NV11:OE11">SUMIFS($J11:$GG11,$J$2:$GG$2,NV$3:OE$3)</f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 cm="1">
        <f t="array" ref="OF11">IFERROR(MAX((_xlfn.ANCHORARRAY(NV11)-AVERAGE(_xlfn.ANCHORARRAY(NV11)))/ AVERAGE(_xlfn.ANCHORARRAY(NV11))),0)</f>
        <v>0</v>
      </c>
      <c r="OG11" t="str" cm="1">
        <f t="array" ref="OG11">IF(OF11&gt;$OG$1,_xlfn.XLOOKUP(MAX(_xlfn.ANCHORARRAY(NV11)),_xlfn.ANCHORARRAY(NV11),NV$4:OE$4,""),"")</f>
        <v/>
      </c>
      <c r="OI11" t="str">
        <f t="shared" si="8"/>
        <v/>
      </c>
    </row>
    <row r="12" spans="1:399" x14ac:dyDescent="0.3">
      <c r="A12" s="2"/>
      <c r="B12" s="2" t="str">
        <f t="shared" si="0"/>
        <v>LLC</v>
      </c>
      <c r="C12" s="2" t="str">
        <f t="shared" si="1"/>
        <v>LLC</v>
      </c>
      <c r="D12" s="2" t="str">
        <f t="shared" si="2"/>
        <v>LLC</v>
      </c>
      <c r="E12" s="2" t="str">
        <f t="shared" si="3"/>
        <v/>
      </c>
      <c r="F12" s="2">
        <f t="shared" si="4"/>
        <v>0</v>
      </c>
      <c r="G12" s="2">
        <f t="shared" si="5"/>
        <v>0</v>
      </c>
      <c r="H12" s="2">
        <f t="shared" si="6"/>
        <v>0</v>
      </c>
      <c r="I12" s="2">
        <f t="shared" si="7"/>
        <v>0</v>
      </c>
      <c r="NH12" cm="1">
        <f t="array" ref="NH12:NJ12">SUMIFS($J12:$GG12,$J$1:$GG$1,NH$3:NJ$3)</f>
        <v>0</v>
      </c>
      <c r="NI12">
        <v>0</v>
      </c>
      <c r="NJ12">
        <v>0</v>
      </c>
      <c r="NK12" cm="1">
        <f t="array" ref="NK12">IFERROR(MAX((_xlfn.ANCHORARRAY(NH12)-AVERAGE(_xlfn.ANCHORARRAY(NH12)))/ AVERAGE(_xlfn.ANCHORARRAY(NH12))),0)</f>
        <v>0</v>
      </c>
      <c r="NL12" t="str" cm="1">
        <f t="array" ref="NL12">IF(NK12&gt;$NL$1,_xlfn.XLOOKUP(MAX(_xlfn.ANCHORARRAY(NH12)),_xlfn.ANCHORARRAY(NH12),NH$4:NJ$4,""),"")</f>
        <v/>
      </c>
      <c r="NN12" cm="1">
        <f t="array" ref="NN12:NR12">SUMIFS($J12:$GG12,$J$3:$GG$3,NN$3:NR$3)</f>
        <v>0</v>
      </c>
      <c r="NO12">
        <v>0</v>
      </c>
      <c r="NP12">
        <v>0</v>
      </c>
      <c r="NQ12">
        <v>0</v>
      </c>
      <c r="NR12">
        <v>0</v>
      </c>
      <c r="NS12" cm="1">
        <f t="array" ref="NS12">IFERROR(MAX((_xlfn.ANCHORARRAY(NN12)-AVERAGE(_xlfn.ANCHORARRAY(NN12)))/ AVERAGE(_xlfn.ANCHORARRAY(NN12))),0)</f>
        <v>0</v>
      </c>
      <c r="NT12" t="str" cm="1">
        <f t="array" ref="NT12">IF(AND(NS12&gt;$NT$1,NL12&lt;&gt;""),_xlfn.XLOOKUP(MAX(_xlfn.ANCHORARRAY(NN12)),_xlfn.ANCHORARRAY(NN12),NN$4:NR$4,""),"")</f>
        <v/>
      </c>
      <c r="NV12" cm="1">
        <f t="array" ref="NV12:OE12">SUMIFS($J12:$GG12,$J$2:$GG$2,NV$3:OE$3)</f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 cm="1">
        <f t="array" ref="OF12">IFERROR(MAX((_xlfn.ANCHORARRAY(NV12)-AVERAGE(_xlfn.ANCHORARRAY(NV12)))/ AVERAGE(_xlfn.ANCHORARRAY(NV12))),0)</f>
        <v>0</v>
      </c>
      <c r="OG12" t="str" cm="1">
        <f t="array" ref="OG12">IF(OF12&gt;$OG$1,_xlfn.XLOOKUP(MAX(_xlfn.ANCHORARRAY(NV12)),_xlfn.ANCHORARRAY(NV12),NV$4:OE$4,""),"")</f>
        <v/>
      </c>
      <c r="OI12" t="str">
        <f t="shared" si="8"/>
        <v/>
      </c>
    </row>
    <row r="13" spans="1:399" x14ac:dyDescent="0.3">
      <c r="A13" s="2"/>
      <c r="B13" s="2" t="str">
        <f t="shared" si="0"/>
        <v>LLC</v>
      </c>
      <c r="C13" s="2" t="str">
        <f t="shared" si="1"/>
        <v>LLC</v>
      </c>
      <c r="D13" s="2" t="str">
        <f t="shared" si="2"/>
        <v>LLC</v>
      </c>
      <c r="E13" s="2" t="str">
        <f t="shared" si="3"/>
        <v/>
      </c>
      <c r="F13" s="2">
        <f t="shared" si="4"/>
        <v>0</v>
      </c>
      <c r="G13" s="2">
        <f t="shared" si="5"/>
        <v>0</v>
      </c>
      <c r="H13" s="2">
        <f t="shared" si="6"/>
        <v>0</v>
      </c>
      <c r="I13" s="2">
        <f t="shared" si="7"/>
        <v>0</v>
      </c>
      <c r="NH13" cm="1">
        <f t="array" ref="NH13:NJ13">SUMIFS($J13:$GG13,$J$1:$GG$1,NH$3:NJ$3)</f>
        <v>0</v>
      </c>
      <c r="NI13">
        <v>0</v>
      </c>
      <c r="NJ13">
        <v>0</v>
      </c>
      <c r="NK13" cm="1">
        <f t="array" ref="NK13">IFERROR(MAX((_xlfn.ANCHORARRAY(NH13)-AVERAGE(_xlfn.ANCHORARRAY(NH13)))/ AVERAGE(_xlfn.ANCHORARRAY(NH13))),0)</f>
        <v>0</v>
      </c>
      <c r="NL13" t="str" cm="1">
        <f t="array" ref="NL13">IF(NK13&gt;$NL$1,_xlfn.XLOOKUP(MAX(_xlfn.ANCHORARRAY(NH13)),_xlfn.ANCHORARRAY(NH13),NH$4:NJ$4,""),"")</f>
        <v/>
      </c>
      <c r="NN13" cm="1">
        <f t="array" ref="NN13:NR13">SUMIFS($J13:$GG13,$J$3:$GG$3,NN$3:NR$3)</f>
        <v>0</v>
      </c>
      <c r="NO13">
        <v>0</v>
      </c>
      <c r="NP13">
        <v>0</v>
      </c>
      <c r="NQ13">
        <v>0</v>
      </c>
      <c r="NR13">
        <v>0</v>
      </c>
      <c r="NS13" cm="1">
        <f t="array" ref="NS13">IFERROR(MAX((_xlfn.ANCHORARRAY(NN13)-AVERAGE(_xlfn.ANCHORARRAY(NN13)))/ AVERAGE(_xlfn.ANCHORARRAY(NN13))),0)</f>
        <v>0</v>
      </c>
      <c r="NT13" t="str" cm="1">
        <f t="array" ref="NT13">IF(AND(NS13&gt;$NT$1,NL13&lt;&gt;""),_xlfn.XLOOKUP(MAX(_xlfn.ANCHORARRAY(NN13)),_xlfn.ANCHORARRAY(NN13),NN$4:NR$4,""),"")</f>
        <v/>
      </c>
      <c r="NV13" cm="1">
        <f t="array" ref="NV13:OE13">SUMIFS($J13:$GG13,$J$2:$GG$2,NV$3:OE$3)</f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 cm="1">
        <f t="array" ref="OF13">IFERROR(MAX((_xlfn.ANCHORARRAY(NV13)-AVERAGE(_xlfn.ANCHORARRAY(NV13)))/ AVERAGE(_xlfn.ANCHORARRAY(NV13))),0)</f>
        <v>0</v>
      </c>
      <c r="OG13" t="str" cm="1">
        <f t="array" ref="OG13">IF(OF13&gt;$OG$1,_xlfn.XLOOKUP(MAX(_xlfn.ANCHORARRAY(NV13)),_xlfn.ANCHORARRAY(NV13),NV$4:OE$4,""),"")</f>
        <v/>
      </c>
      <c r="OI13" t="str">
        <f t="shared" si="8"/>
        <v/>
      </c>
    </row>
    <row r="14" spans="1:399" x14ac:dyDescent="0.3">
      <c r="A14" s="2"/>
      <c r="B14" s="2" t="str">
        <f t="shared" si="0"/>
        <v>LLC</v>
      </c>
      <c r="C14" s="2" t="str">
        <f t="shared" si="1"/>
        <v>LLC</v>
      </c>
      <c r="D14" s="2" t="str">
        <f t="shared" si="2"/>
        <v>LLC</v>
      </c>
      <c r="E14" s="2" t="str">
        <f t="shared" si="3"/>
        <v/>
      </c>
      <c r="F14" s="2">
        <f t="shared" si="4"/>
        <v>0</v>
      </c>
      <c r="G14" s="2">
        <f t="shared" si="5"/>
        <v>0</v>
      </c>
      <c r="H14" s="2">
        <f t="shared" si="6"/>
        <v>0</v>
      </c>
      <c r="I14" s="2">
        <f t="shared" si="7"/>
        <v>0</v>
      </c>
      <c r="NH14" cm="1">
        <f t="array" ref="NH14:NJ14">SUMIFS($J14:$GG14,$J$1:$GG$1,NH$3:NJ$3)</f>
        <v>0</v>
      </c>
      <c r="NI14">
        <v>0</v>
      </c>
      <c r="NJ14">
        <v>0</v>
      </c>
      <c r="NK14" cm="1">
        <f t="array" ref="NK14">IFERROR(MAX((_xlfn.ANCHORARRAY(NH14)-AVERAGE(_xlfn.ANCHORARRAY(NH14)))/ AVERAGE(_xlfn.ANCHORARRAY(NH14))),0)</f>
        <v>0</v>
      </c>
      <c r="NL14" t="str" cm="1">
        <f t="array" ref="NL14">IF(NK14&gt;$NL$1,_xlfn.XLOOKUP(MAX(_xlfn.ANCHORARRAY(NH14)),_xlfn.ANCHORARRAY(NH14),NH$4:NJ$4,""),"")</f>
        <v/>
      </c>
      <c r="NN14" cm="1">
        <f t="array" ref="NN14:NR14">SUMIFS($J14:$GG14,$J$3:$GG$3,NN$3:NR$3)</f>
        <v>0</v>
      </c>
      <c r="NO14">
        <v>0</v>
      </c>
      <c r="NP14">
        <v>0</v>
      </c>
      <c r="NQ14">
        <v>0</v>
      </c>
      <c r="NR14">
        <v>0</v>
      </c>
      <c r="NS14" cm="1">
        <f t="array" ref="NS14">IFERROR(MAX((_xlfn.ANCHORARRAY(NN14)-AVERAGE(_xlfn.ANCHORARRAY(NN14)))/ AVERAGE(_xlfn.ANCHORARRAY(NN14))),0)</f>
        <v>0</v>
      </c>
      <c r="NT14" t="str" cm="1">
        <f t="array" ref="NT14">IF(AND(NS14&gt;$NT$1,NL14&lt;&gt;""),_xlfn.XLOOKUP(MAX(_xlfn.ANCHORARRAY(NN14)),_xlfn.ANCHORARRAY(NN14),NN$4:NR$4,""),"")</f>
        <v/>
      </c>
      <c r="NV14" cm="1">
        <f t="array" ref="NV14:OE14">SUMIFS($J14:$GG14,$J$2:$GG$2,NV$3:OE$3)</f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 cm="1">
        <f t="array" ref="OF14">IFERROR(MAX((_xlfn.ANCHORARRAY(NV14)-AVERAGE(_xlfn.ANCHORARRAY(NV14)))/ AVERAGE(_xlfn.ANCHORARRAY(NV14))),0)</f>
        <v>0</v>
      </c>
      <c r="OG14" t="str" cm="1">
        <f t="array" ref="OG14">IF(OF14&gt;$OG$1,_xlfn.XLOOKUP(MAX(_xlfn.ANCHORARRAY(NV14)),_xlfn.ANCHORARRAY(NV14),NV$4:OE$4,""),"")</f>
        <v/>
      </c>
      <c r="OI14" t="str">
        <f t="shared" si="8"/>
        <v/>
      </c>
    </row>
    <row r="15" spans="1:399" x14ac:dyDescent="0.3">
      <c r="A15" s="2"/>
      <c r="B15" s="2" t="str">
        <f t="shared" si="0"/>
        <v>LLC</v>
      </c>
      <c r="C15" s="2" t="str">
        <f t="shared" si="1"/>
        <v>LLC</v>
      </c>
      <c r="D15" s="2" t="str">
        <f t="shared" si="2"/>
        <v>LLC</v>
      </c>
      <c r="E15" s="2" t="str">
        <f t="shared" si="3"/>
        <v/>
      </c>
      <c r="F15" s="2">
        <f t="shared" si="4"/>
        <v>0</v>
      </c>
      <c r="G15" s="2">
        <f t="shared" si="5"/>
        <v>0</v>
      </c>
      <c r="H15" s="2">
        <f t="shared" si="6"/>
        <v>0</v>
      </c>
      <c r="I15" s="2">
        <f t="shared" si="7"/>
        <v>0</v>
      </c>
      <c r="NH15" cm="1">
        <f t="array" ref="NH15:NJ15">SUMIFS($J15:$GG15,$J$1:$GG$1,NH$3:NJ$3)</f>
        <v>0</v>
      </c>
      <c r="NI15">
        <v>0</v>
      </c>
      <c r="NJ15">
        <v>0</v>
      </c>
      <c r="NK15" cm="1">
        <f t="array" ref="NK15">IFERROR(MAX((_xlfn.ANCHORARRAY(NH15)-AVERAGE(_xlfn.ANCHORARRAY(NH15)))/ AVERAGE(_xlfn.ANCHORARRAY(NH15))),0)</f>
        <v>0</v>
      </c>
      <c r="NL15" t="str" cm="1">
        <f t="array" ref="NL15">IF(NK15&gt;$NL$1,_xlfn.XLOOKUP(MAX(_xlfn.ANCHORARRAY(NH15)),_xlfn.ANCHORARRAY(NH15),NH$4:NJ$4,""),"")</f>
        <v/>
      </c>
      <c r="NN15" cm="1">
        <f t="array" ref="NN15:NR15">SUMIFS($J15:$GG15,$J$3:$GG$3,NN$3:NR$3)</f>
        <v>0</v>
      </c>
      <c r="NO15">
        <v>0</v>
      </c>
      <c r="NP15">
        <v>0</v>
      </c>
      <c r="NQ15">
        <v>0</v>
      </c>
      <c r="NR15">
        <v>0</v>
      </c>
      <c r="NS15" cm="1">
        <f t="array" ref="NS15">IFERROR(MAX((_xlfn.ANCHORARRAY(NN15)-AVERAGE(_xlfn.ANCHORARRAY(NN15)))/ AVERAGE(_xlfn.ANCHORARRAY(NN15))),0)</f>
        <v>0</v>
      </c>
      <c r="NT15" t="str" cm="1">
        <f t="array" ref="NT15">IF(AND(NS15&gt;$NT$1,NL15&lt;&gt;""),_xlfn.XLOOKUP(MAX(_xlfn.ANCHORARRAY(NN15)),_xlfn.ANCHORARRAY(NN15),NN$4:NR$4,""),"")</f>
        <v/>
      </c>
      <c r="NV15" cm="1">
        <f t="array" ref="NV15:OE15">SUMIFS($J15:$GG15,$J$2:$GG$2,NV$3:OE$3)</f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 cm="1">
        <f t="array" ref="OF15">IFERROR(MAX((_xlfn.ANCHORARRAY(NV15)-AVERAGE(_xlfn.ANCHORARRAY(NV15)))/ AVERAGE(_xlfn.ANCHORARRAY(NV15))),0)</f>
        <v>0</v>
      </c>
      <c r="OG15" t="str" cm="1">
        <f t="array" ref="OG15">IF(OF15&gt;$OG$1,_xlfn.XLOOKUP(MAX(_xlfn.ANCHORARRAY(NV15)),_xlfn.ANCHORARRAY(NV15),NV$4:OE$4,""),"")</f>
        <v/>
      </c>
      <c r="OI15" t="str">
        <f t="shared" si="8"/>
        <v/>
      </c>
    </row>
    <row r="16" spans="1:399" x14ac:dyDescent="0.3">
      <c r="A16" s="2"/>
      <c r="B16" s="2" t="str">
        <f t="shared" si="0"/>
        <v>LLC</v>
      </c>
      <c r="C16" s="2" t="str">
        <f t="shared" si="1"/>
        <v>LLC</v>
      </c>
      <c r="D16" s="2" t="str">
        <f t="shared" si="2"/>
        <v>LLC</v>
      </c>
      <c r="E16" s="2" t="str">
        <f t="shared" si="3"/>
        <v/>
      </c>
      <c r="F16" s="2">
        <f t="shared" si="4"/>
        <v>0</v>
      </c>
      <c r="G16" s="2">
        <f t="shared" si="5"/>
        <v>0</v>
      </c>
      <c r="H16" s="2">
        <f t="shared" si="6"/>
        <v>0</v>
      </c>
      <c r="I16" s="2">
        <f t="shared" si="7"/>
        <v>0</v>
      </c>
      <c r="NH16" cm="1">
        <f t="array" ref="NH16:NJ16">SUMIFS($J16:$GG16,$J$1:$GG$1,NH$3:NJ$3)</f>
        <v>0</v>
      </c>
      <c r="NI16">
        <v>0</v>
      </c>
      <c r="NJ16">
        <v>0</v>
      </c>
      <c r="NK16" cm="1">
        <f t="array" ref="NK16">IFERROR(MAX((_xlfn.ANCHORARRAY(NH16)-AVERAGE(_xlfn.ANCHORARRAY(NH16)))/ AVERAGE(_xlfn.ANCHORARRAY(NH16))),0)</f>
        <v>0</v>
      </c>
      <c r="NL16" t="str" cm="1">
        <f t="array" ref="NL16">IF(NK16&gt;$NL$1,_xlfn.XLOOKUP(MAX(_xlfn.ANCHORARRAY(NH16)),_xlfn.ANCHORARRAY(NH16),NH$4:NJ$4,""),"")</f>
        <v/>
      </c>
      <c r="NN16" cm="1">
        <f t="array" ref="NN16:NR16">SUMIFS($J16:$GG16,$J$3:$GG$3,NN$3:NR$3)</f>
        <v>0</v>
      </c>
      <c r="NO16">
        <v>0</v>
      </c>
      <c r="NP16">
        <v>0</v>
      </c>
      <c r="NQ16">
        <v>0</v>
      </c>
      <c r="NR16">
        <v>0</v>
      </c>
      <c r="NS16" cm="1">
        <f t="array" ref="NS16">IFERROR(MAX((_xlfn.ANCHORARRAY(NN16)-AVERAGE(_xlfn.ANCHORARRAY(NN16)))/ AVERAGE(_xlfn.ANCHORARRAY(NN16))),0)</f>
        <v>0</v>
      </c>
      <c r="NT16" t="str" cm="1">
        <f t="array" ref="NT16">IF(AND(NS16&gt;$NT$1,NL16&lt;&gt;""),_xlfn.XLOOKUP(MAX(_xlfn.ANCHORARRAY(NN16)),_xlfn.ANCHORARRAY(NN16),NN$4:NR$4,""),"")</f>
        <v/>
      </c>
      <c r="NV16" cm="1">
        <f t="array" ref="NV16:OE16">SUMIFS($J16:$GG16,$J$2:$GG$2,NV$3:OE$3)</f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 cm="1">
        <f t="array" ref="OF16">IFERROR(MAX((_xlfn.ANCHORARRAY(NV16)-AVERAGE(_xlfn.ANCHORARRAY(NV16)))/ AVERAGE(_xlfn.ANCHORARRAY(NV16))),0)</f>
        <v>0</v>
      </c>
      <c r="OG16" t="str" cm="1">
        <f t="array" ref="OG16">IF(OF16&gt;$OG$1,_xlfn.XLOOKUP(MAX(_xlfn.ANCHORARRAY(NV16)),_xlfn.ANCHORARRAY(NV16),NV$4:OE$4,""),"")</f>
        <v/>
      </c>
      <c r="OI16" t="str">
        <f t="shared" si="8"/>
        <v/>
      </c>
    </row>
    <row r="17" spans="1:399" x14ac:dyDescent="0.3">
      <c r="A17" s="2"/>
      <c r="B17" s="2" t="str">
        <f t="shared" si="0"/>
        <v>LLC</v>
      </c>
      <c r="C17" s="2" t="str">
        <f t="shared" si="1"/>
        <v>LLC</v>
      </c>
      <c r="D17" s="2" t="str">
        <f t="shared" si="2"/>
        <v>LLC</v>
      </c>
      <c r="E17" s="2" t="str">
        <f t="shared" si="3"/>
        <v/>
      </c>
      <c r="F17" s="2">
        <f t="shared" si="4"/>
        <v>0</v>
      </c>
      <c r="G17" s="2">
        <f t="shared" si="5"/>
        <v>0</v>
      </c>
      <c r="H17" s="2">
        <f t="shared" si="6"/>
        <v>0</v>
      </c>
      <c r="I17" s="2">
        <f t="shared" si="7"/>
        <v>0</v>
      </c>
      <c r="NH17" cm="1">
        <f t="array" ref="NH17:NJ17">SUMIFS($J17:$GG17,$J$1:$GG$1,NH$3:NJ$3)</f>
        <v>0</v>
      </c>
      <c r="NI17">
        <v>0</v>
      </c>
      <c r="NJ17">
        <v>0</v>
      </c>
      <c r="NK17" cm="1">
        <f t="array" ref="NK17">IFERROR(MAX((_xlfn.ANCHORARRAY(NH17)-AVERAGE(_xlfn.ANCHORARRAY(NH17)))/ AVERAGE(_xlfn.ANCHORARRAY(NH17))),0)</f>
        <v>0</v>
      </c>
      <c r="NL17" t="str" cm="1">
        <f t="array" ref="NL17">IF(NK17&gt;$NL$1,_xlfn.XLOOKUP(MAX(_xlfn.ANCHORARRAY(NH17)),_xlfn.ANCHORARRAY(NH17),NH$4:NJ$4,""),"")</f>
        <v/>
      </c>
      <c r="NN17" cm="1">
        <f t="array" ref="NN17:NR17">SUMIFS($J17:$GG17,$J$3:$GG$3,NN$3:NR$3)</f>
        <v>0</v>
      </c>
      <c r="NO17">
        <v>0</v>
      </c>
      <c r="NP17">
        <v>0</v>
      </c>
      <c r="NQ17">
        <v>0</v>
      </c>
      <c r="NR17">
        <v>0</v>
      </c>
      <c r="NS17" cm="1">
        <f t="array" ref="NS17">IFERROR(MAX((_xlfn.ANCHORARRAY(NN17)-AVERAGE(_xlfn.ANCHORARRAY(NN17)))/ AVERAGE(_xlfn.ANCHORARRAY(NN17))),0)</f>
        <v>0</v>
      </c>
      <c r="NT17" t="str" cm="1">
        <f t="array" ref="NT17">IF(AND(NS17&gt;$NT$1,NL17&lt;&gt;""),_xlfn.XLOOKUP(MAX(_xlfn.ANCHORARRAY(NN17)),_xlfn.ANCHORARRAY(NN17),NN$4:NR$4,""),"")</f>
        <v/>
      </c>
      <c r="NV17" cm="1">
        <f t="array" ref="NV17:OE17">SUMIFS($J17:$GG17,$J$2:$GG$2,NV$3:OE$3)</f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 cm="1">
        <f t="array" ref="OF17">IFERROR(MAX((_xlfn.ANCHORARRAY(NV17)-AVERAGE(_xlfn.ANCHORARRAY(NV17)))/ AVERAGE(_xlfn.ANCHORARRAY(NV17))),0)</f>
        <v>0</v>
      </c>
      <c r="OG17" t="str" cm="1">
        <f t="array" ref="OG17">IF(OF17&gt;$OG$1,_xlfn.XLOOKUP(MAX(_xlfn.ANCHORARRAY(NV17)),_xlfn.ANCHORARRAY(NV17),NV$4:OE$4,""),"")</f>
        <v/>
      </c>
      <c r="OI17" t="str">
        <f t="shared" si="8"/>
        <v/>
      </c>
    </row>
    <row r="18" spans="1:399" x14ac:dyDescent="0.3">
      <c r="A18" s="2"/>
      <c r="B18" s="2" t="str">
        <f t="shared" si="0"/>
        <v>LLC</v>
      </c>
      <c r="C18" s="2" t="str">
        <f t="shared" si="1"/>
        <v>LLC</v>
      </c>
      <c r="D18" s="2" t="str">
        <f t="shared" si="2"/>
        <v>LLC</v>
      </c>
      <c r="E18" s="2" t="str">
        <f t="shared" si="3"/>
        <v/>
      </c>
      <c r="F18" s="2">
        <f t="shared" si="4"/>
        <v>0</v>
      </c>
      <c r="G18" s="2">
        <f t="shared" si="5"/>
        <v>0</v>
      </c>
      <c r="H18" s="2">
        <f t="shared" si="6"/>
        <v>0</v>
      </c>
      <c r="I18" s="2">
        <f t="shared" si="7"/>
        <v>0</v>
      </c>
      <c r="NH18" cm="1">
        <f t="array" ref="NH18:NJ18">SUMIFS($J18:$GG18,$J$1:$GG$1,NH$3:NJ$3)</f>
        <v>0</v>
      </c>
      <c r="NI18">
        <v>0</v>
      </c>
      <c r="NJ18">
        <v>0</v>
      </c>
      <c r="NK18" cm="1">
        <f t="array" ref="NK18">IFERROR(MAX((_xlfn.ANCHORARRAY(NH18)-AVERAGE(_xlfn.ANCHORARRAY(NH18)))/ AVERAGE(_xlfn.ANCHORARRAY(NH18))),0)</f>
        <v>0</v>
      </c>
      <c r="NL18" t="str" cm="1">
        <f t="array" ref="NL18">IF(NK18&gt;$NL$1,_xlfn.XLOOKUP(MAX(_xlfn.ANCHORARRAY(NH18)),_xlfn.ANCHORARRAY(NH18),NH$4:NJ$4,""),"")</f>
        <v/>
      </c>
      <c r="NN18" cm="1">
        <f t="array" ref="NN18:NR18">SUMIFS($J18:$GG18,$J$3:$GG$3,NN$3:NR$3)</f>
        <v>0</v>
      </c>
      <c r="NO18">
        <v>0</v>
      </c>
      <c r="NP18">
        <v>0</v>
      </c>
      <c r="NQ18">
        <v>0</v>
      </c>
      <c r="NR18">
        <v>0</v>
      </c>
      <c r="NS18" cm="1">
        <f t="array" ref="NS18">IFERROR(MAX((_xlfn.ANCHORARRAY(NN18)-AVERAGE(_xlfn.ANCHORARRAY(NN18)))/ AVERAGE(_xlfn.ANCHORARRAY(NN18))),0)</f>
        <v>0</v>
      </c>
      <c r="NT18" t="str" cm="1">
        <f t="array" ref="NT18">IF(AND(NS18&gt;$NT$1,NL18&lt;&gt;""),_xlfn.XLOOKUP(MAX(_xlfn.ANCHORARRAY(NN18)),_xlfn.ANCHORARRAY(NN18),NN$4:NR$4,""),"")</f>
        <v/>
      </c>
      <c r="NV18" cm="1">
        <f t="array" ref="NV18:OE18">SUMIFS($J18:$GG18,$J$2:$GG$2,NV$3:OE$3)</f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 cm="1">
        <f t="array" ref="OF18">IFERROR(MAX((_xlfn.ANCHORARRAY(NV18)-AVERAGE(_xlfn.ANCHORARRAY(NV18)))/ AVERAGE(_xlfn.ANCHORARRAY(NV18))),0)</f>
        <v>0</v>
      </c>
      <c r="OG18" t="str" cm="1">
        <f t="array" ref="OG18">IF(OF18&gt;$OG$1,_xlfn.XLOOKUP(MAX(_xlfn.ANCHORARRAY(NV18)),_xlfn.ANCHORARRAY(NV18),NV$4:OE$4,""),"")</f>
        <v/>
      </c>
      <c r="OI18" t="str">
        <f t="shared" si="8"/>
        <v/>
      </c>
    </row>
    <row r="19" spans="1:399" x14ac:dyDescent="0.3">
      <c r="A19" s="2"/>
      <c r="B19" s="2" t="str">
        <f t="shared" si="0"/>
        <v>LLC</v>
      </c>
      <c r="C19" s="2" t="str">
        <f t="shared" si="1"/>
        <v>LLC</v>
      </c>
      <c r="D19" s="2" t="str">
        <f t="shared" si="2"/>
        <v>LLC</v>
      </c>
      <c r="E19" s="2" t="str">
        <f t="shared" si="3"/>
        <v/>
      </c>
      <c r="F19" s="2">
        <f t="shared" si="4"/>
        <v>0</v>
      </c>
      <c r="G19" s="2">
        <f t="shared" si="5"/>
        <v>0</v>
      </c>
      <c r="H19" s="2">
        <f t="shared" si="6"/>
        <v>0</v>
      </c>
      <c r="I19" s="2">
        <f t="shared" si="7"/>
        <v>0</v>
      </c>
      <c r="NH19" cm="1">
        <f t="array" ref="NH19:NJ19">SUMIFS($J19:$GG19,$J$1:$GG$1,NH$3:NJ$3)</f>
        <v>0</v>
      </c>
      <c r="NI19">
        <v>0</v>
      </c>
      <c r="NJ19">
        <v>0</v>
      </c>
      <c r="NK19" cm="1">
        <f t="array" ref="NK19">IFERROR(MAX((_xlfn.ANCHORARRAY(NH19)-AVERAGE(_xlfn.ANCHORARRAY(NH19)))/ AVERAGE(_xlfn.ANCHORARRAY(NH19))),0)</f>
        <v>0</v>
      </c>
      <c r="NL19" t="str" cm="1">
        <f t="array" ref="NL19">IF(NK19&gt;$NL$1,_xlfn.XLOOKUP(MAX(_xlfn.ANCHORARRAY(NH19)),_xlfn.ANCHORARRAY(NH19),NH$4:NJ$4,""),"")</f>
        <v/>
      </c>
      <c r="NN19" cm="1">
        <f t="array" ref="NN19:NR19">SUMIFS($J19:$GG19,$J$3:$GG$3,NN$3:NR$3)</f>
        <v>0</v>
      </c>
      <c r="NO19">
        <v>0</v>
      </c>
      <c r="NP19">
        <v>0</v>
      </c>
      <c r="NQ19">
        <v>0</v>
      </c>
      <c r="NR19">
        <v>0</v>
      </c>
      <c r="NS19" cm="1">
        <f t="array" ref="NS19">IFERROR(MAX((_xlfn.ANCHORARRAY(NN19)-AVERAGE(_xlfn.ANCHORARRAY(NN19)))/ AVERAGE(_xlfn.ANCHORARRAY(NN19))),0)</f>
        <v>0</v>
      </c>
      <c r="NT19" t="str" cm="1">
        <f t="array" ref="NT19">IF(AND(NS19&gt;$NT$1,NL19&lt;&gt;""),_xlfn.XLOOKUP(MAX(_xlfn.ANCHORARRAY(NN19)),_xlfn.ANCHORARRAY(NN19),NN$4:NR$4,""),"")</f>
        <v/>
      </c>
      <c r="NV19" cm="1">
        <f t="array" ref="NV19:OE19">SUMIFS($J19:$GG19,$J$2:$GG$2,NV$3:OE$3)</f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 cm="1">
        <f t="array" ref="OF19">IFERROR(MAX((_xlfn.ANCHORARRAY(NV19)-AVERAGE(_xlfn.ANCHORARRAY(NV19)))/ AVERAGE(_xlfn.ANCHORARRAY(NV19))),0)</f>
        <v>0</v>
      </c>
      <c r="OG19" t="str" cm="1">
        <f t="array" ref="OG19">IF(OF19&gt;$OG$1,_xlfn.XLOOKUP(MAX(_xlfn.ANCHORARRAY(NV19)),_xlfn.ANCHORARRAY(NV19),NV$4:OE$4,""),"")</f>
        <v/>
      </c>
      <c r="OI19" t="str">
        <f t="shared" si="8"/>
        <v/>
      </c>
    </row>
    <row r="20" spans="1:399" x14ac:dyDescent="0.3">
      <c r="A20" s="2"/>
      <c r="B20" s="2" t="str">
        <f t="shared" si="0"/>
        <v>LLC</v>
      </c>
      <c r="C20" s="2" t="str">
        <f t="shared" si="1"/>
        <v>LLC</v>
      </c>
      <c r="D20" s="2" t="str">
        <f t="shared" si="2"/>
        <v>LLC</v>
      </c>
      <c r="E20" s="2" t="str">
        <f t="shared" si="3"/>
        <v/>
      </c>
      <c r="F20" s="2">
        <f t="shared" si="4"/>
        <v>0</v>
      </c>
      <c r="G20" s="2">
        <f t="shared" si="5"/>
        <v>0</v>
      </c>
      <c r="H20" s="2">
        <f t="shared" si="6"/>
        <v>0</v>
      </c>
      <c r="I20" s="2">
        <f t="shared" si="7"/>
        <v>0</v>
      </c>
      <c r="NH20" cm="1">
        <f t="array" ref="NH20:NJ20">SUMIFS($J20:$GG20,$J$1:$GG$1,NH$3:NJ$3)</f>
        <v>0</v>
      </c>
      <c r="NI20">
        <v>0</v>
      </c>
      <c r="NJ20">
        <v>0</v>
      </c>
      <c r="NK20" cm="1">
        <f t="array" ref="NK20">IFERROR(MAX((_xlfn.ANCHORARRAY(NH20)-AVERAGE(_xlfn.ANCHORARRAY(NH20)))/ AVERAGE(_xlfn.ANCHORARRAY(NH20))),0)</f>
        <v>0</v>
      </c>
      <c r="NL20" t="str" cm="1">
        <f t="array" ref="NL20">IF(NK20&gt;$NL$1,_xlfn.XLOOKUP(MAX(_xlfn.ANCHORARRAY(NH20)),_xlfn.ANCHORARRAY(NH20),NH$4:NJ$4,""),"")</f>
        <v/>
      </c>
      <c r="NN20" cm="1">
        <f t="array" ref="NN20:NR20">SUMIFS($J20:$GG20,$J$3:$GG$3,NN$3:NR$3)</f>
        <v>0</v>
      </c>
      <c r="NO20">
        <v>0</v>
      </c>
      <c r="NP20">
        <v>0</v>
      </c>
      <c r="NQ20">
        <v>0</v>
      </c>
      <c r="NR20">
        <v>0</v>
      </c>
      <c r="NS20" cm="1">
        <f t="array" ref="NS20">IFERROR(MAX((_xlfn.ANCHORARRAY(NN20)-AVERAGE(_xlfn.ANCHORARRAY(NN20)))/ AVERAGE(_xlfn.ANCHORARRAY(NN20))),0)</f>
        <v>0</v>
      </c>
      <c r="NT20" t="str" cm="1">
        <f t="array" ref="NT20">IF(AND(NS20&gt;$NT$1,NL20&lt;&gt;""),_xlfn.XLOOKUP(MAX(_xlfn.ANCHORARRAY(NN20)),_xlfn.ANCHORARRAY(NN20),NN$4:NR$4,""),"")</f>
        <v/>
      </c>
      <c r="NV20" cm="1">
        <f t="array" ref="NV20:OE20">SUMIFS($J20:$GG20,$J$2:$GG$2,NV$3:OE$3)</f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 cm="1">
        <f t="array" ref="OF20">IFERROR(MAX((_xlfn.ANCHORARRAY(NV20)-AVERAGE(_xlfn.ANCHORARRAY(NV20)))/ AVERAGE(_xlfn.ANCHORARRAY(NV20))),0)</f>
        <v>0</v>
      </c>
      <c r="OG20" t="str" cm="1">
        <f t="array" ref="OG20">IF(OF20&gt;$OG$1,_xlfn.XLOOKUP(MAX(_xlfn.ANCHORARRAY(NV20)),_xlfn.ANCHORARRAY(NV20),NV$4:OE$4,""),"")</f>
        <v/>
      </c>
      <c r="OI20" t="str">
        <f t="shared" si="8"/>
        <v/>
      </c>
    </row>
    <row r="21" spans="1:399" x14ac:dyDescent="0.3">
      <c r="A21" s="2"/>
      <c r="B21" s="2" t="str">
        <f t="shared" si="0"/>
        <v>LLC</v>
      </c>
      <c r="C21" s="2" t="str">
        <f t="shared" si="1"/>
        <v>LLC</v>
      </c>
      <c r="D21" s="2" t="str">
        <f t="shared" si="2"/>
        <v>LLC</v>
      </c>
      <c r="E21" s="2" t="str">
        <f t="shared" si="3"/>
        <v/>
      </c>
      <c r="F21" s="2">
        <f t="shared" si="4"/>
        <v>0</v>
      </c>
      <c r="G21" s="2">
        <f t="shared" si="5"/>
        <v>0</v>
      </c>
      <c r="H21" s="2">
        <f t="shared" si="6"/>
        <v>0</v>
      </c>
      <c r="I21" s="2">
        <f t="shared" si="7"/>
        <v>0</v>
      </c>
      <c r="NH21" cm="1">
        <f t="array" ref="NH21:NJ21">SUMIFS($J21:$GG21,$J$1:$GG$1,NH$3:NJ$3)</f>
        <v>0</v>
      </c>
      <c r="NI21">
        <v>0</v>
      </c>
      <c r="NJ21">
        <v>0</v>
      </c>
      <c r="NK21" cm="1">
        <f t="array" ref="NK21">IFERROR(MAX((_xlfn.ANCHORARRAY(NH21)-AVERAGE(_xlfn.ANCHORARRAY(NH21)))/ AVERAGE(_xlfn.ANCHORARRAY(NH21))),0)</f>
        <v>0</v>
      </c>
      <c r="NL21" t="str" cm="1">
        <f t="array" ref="NL21">IF(NK21&gt;$NL$1,_xlfn.XLOOKUP(MAX(_xlfn.ANCHORARRAY(NH21)),_xlfn.ANCHORARRAY(NH21),NH$4:NJ$4,""),"")</f>
        <v/>
      </c>
      <c r="NN21" cm="1">
        <f t="array" ref="NN21:NR21">SUMIFS($J21:$GG21,$J$3:$GG$3,NN$3:NR$3)</f>
        <v>0</v>
      </c>
      <c r="NO21">
        <v>0</v>
      </c>
      <c r="NP21">
        <v>0</v>
      </c>
      <c r="NQ21">
        <v>0</v>
      </c>
      <c r="NR21">
        <v>0</v>
      </c>
      <c r="NS21" cm="1">
        <f t="array" ref="NS21">IFERROR(MAX((_xlfn.ANCHORARRAY(NN21)-AVERAGE(_xlfn.ANCHORARRAY(NN21)))/ AVERAGE(_xlfn.ANCHORARRAY(NN21))),0)</f>
        <v>0</v>
      </c>
      <c r="NT21" t="str" cm="1">
        <f t="array" ref="NT21">IF(AND(NS21&gt;$NT$1,NL21&lt;&gt;""),_xlfn.XLOOKUP(MAX(_xlfn.ANCHORARRAY(NN21)),_xlfn.ANCHORARRAY(NN21),NN$4:NR$4,""),"")</f>
        <v/>
      </c>
      <c r="NV21" cm="1">
        <f t="array" ref="NV21:OE21">SUMIFS($J21:$GG21,$J$2:$GG$2,NV$3:OE$3)</f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 cm="1">
        <f t="array" ref="OF21">IFERROR(MAX((_xlfn.ANCHORARRAY(NV21)-AVERAGE(_xlfn.ANCHORARRAY(NV21)))/ AVERAGE(_xlfn.ANCHORARRAY(NV21))),0)</f>
        <v>0</v>
      </c>
      <c r="OG21" t="str" cm="1">
        <f t="array" ref="OG21">IF(OF21&gt;$OG$1,_xlfn.XLOOKUP(MAX(_xlfn.ANCHORARRAY(NV21)),_xlfn.ANCHORARRAY(NV21),NV$4:OE$4,""),"")</f>
        <v/>
      </c>
      <c r="OI21" t="str">
        <f t="shared" si="8"/>
        <v/>
      </c>
    </row>
    <row r="22" spans="1:399" x14ac:dyDescent="0.3">
      <c r="A22" s="2"/>
      <c r="B22" s="2" t="str">
        <f t="shared" si="0"/>
        <v>LLC</v>
      </c>
      <c r="C22" s="2" t="str">
        <f t="shared" si="1"/>
        <v>LLC</v>
      </c>
      <c r="D22" s="2" t="str">
        <f t="shared" si="2"/>
        <v>LLC</v>
      </c>
      <c r="E22" s="2" t="str">
        <f t="shared" si="3"/>
        <v/>
      </c>
      <c r="F22" s="2">
        <f t="shared" si="4"/>
        <v>0</v>
      </c>
      <c r="G22" s="2">
        <f t="shared" si="5"/>
        <v>0</v>
      </c>
      <c r="H22" s="2">
        <f t="shared" si="6"/>
        <v>0</v>
      </c>
      <c r="I22" s="2">
        <f t="shared" si="7"/>
        <v>0</v>
      </c>
      <c r="NH22" cm="1">
        <f t="array" ref="NH22:NJ22">SUMIFS($J22:$GG22,$J$1:$GG$1,NH$3:NJ$3)</f>
        <v>0</v>
      </c>
      <c r="NI22">
        <v>0</v>
      </c>
      <c r="NJ22">
        <v>0</v>
      </c>
      <c r="NK22" cm="1">
        <f t="array" ref="NK22">IFERROR(MAX((_xlfn.ANCHORARRAY(NH22)-AVERAGE(_xlfn.ANCHORARRAY(NH22)))/ AVERAGE(_xlfn.ANCHORARRAY(NH22))),0)</f>
        <v>0</v>
      </c>
      <c r="NL22" t="str" cm="1">
        <f t="array" ref="NL22">IF(NK22&gt;$NL$1,_xlfn.XLOOKUP(MAX(_xlfn.ANCHORARRAY(NH22)),_xlfn.ANCHORARRAY(NH22),NH$4:NJ$4,""),"")</f>
        <v/>
      </c>
      <c r="NN22" cm="1">
        <f t="array" ref="NN22:NR22">SUMIFS($J22:$GG22,$J$3:$GG$3,NN$3:NR$3)</f>
        <v>0</v>
      </c>
      <c r="NO22">
        <v>0</v>
      </c>
      <c r="NP22">
        <v>0</v>
      </c>
      <c r="NQ22">
        <v>0</v>
      </c>
      <c r="NR22">
        <v>0</v>
      </c>
      <c r="NS22" cm="1">
        <f t="array" ref="NS22">IFERROR(MAX((_xlfn.ANCHORARRAY(NN22)-AVERAGE(_xlfn.ANCHORARRAY(NN22)))/ AVERAGE(_xlfn.ANCHORARRAY(NN22))),0)</f>
        <v>0</v>
      </c>
      <c r="NT22" t="str" cm="1">
        <f t="array" ref="NT22">IF(AND(NS22&gt;$NT$1,NL22&lt;&gt;""),_xlfn.XLOOKUP(MAX(_xlfn.ANCHORARRAY(NN22)),_xlfn.ANCHORARRAY(NN22),NN$4:NR$4,""),"")</f>
        <v/>
      </c>
      <c r="NV22" cm="1">
        <f t="array" ref="NV22:OE22">SUMIFS($J22:$GG22,$J$2:$GG$2,NV$3:OE$3)</f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 cm="1">
        <f t="array" ref="OF22">IFERROR(MAX((_xlfn.ANCHORARRAY(NV22)-AVERAGE(_xlfn.ANCHORARRAY(NV22)))/ AVERAGE(_xlfn.ANCHORARRAY(NV22))),0)</f>
        <v>0</v>
      </c>
      <c r="OG22" t="str" cm="1">
        <f t="array" ref="OG22">IF(OF22&gt;$OG$1,_xlfn.XLOOKUP(MAX(_xlfn.ANCHORARRAY(NV22)),_xlfn.ANCHORARRAY(NV22),NV$4:OE$4,""),"")</f>
        <v/>
      </c>
      <c r="OI22" t="str">
        <f t="shared" si="8"/>
        <v/>
      </c>
    </row>
    <row r="23" spans="1:399" x14ac:dyDescent="0.3">
      <c r="A23" s="2"/>
      <c r="B23" s="2" t="str">
        <f t="shared" si="0"/>
        <v>LLC</v>
      </c>
      <c r="C23" s="2" t="str">
        <f t="shared" si="1"/>
        <v>LLC</v>
      </c>
      <c r="D23" s="2" t="str">
        <f t="shared" si="2"/>
        <v>LLC</v>
      </c>
      <c r="E23" s="2" t="str">
        <f t="shared" si="3"/>
        <v/>
      </c>
      <c r="F23" s="2">
        <f t="shared" si="4"/>
        <v>0</v>
      </c>
      <c r="G23" s="2">
        <f t="shared" si="5"/>
        <v>0</v>
      </c>
      <c r="H23" s="2">
        <f t="shared" si="6"/>
        <v>0</v>
      </c>
      <c r="I23" s="2">
        <f t="shared" si="7"/>
        <v>0</v>
      </c>
      <c r="NH23" cm="1">
        <f t="array" ref="NH23:NJ23">SUMIFS($J23:$GG23,$J$1:$GG$1,NH$3:NJ$3)</f>
        <v>0</v>
      </c>
      <c r="NI23">
        <v>0</v>
      </c>
      <c r="NJ23">
        <v>0</v>
      </c>
      <c r="NK23" cm="1">
        <f t="array" ref="NK23">IFERROR(MAX((_xlfn.ANCHORARRAY(NH23)-AVERAGE(_xlfn.ANCHORARRAY(NH23)))/ AVERAGE(_xlfn.ANCHORARRAY(NH23))),0)</f>
        <v>0</v>
      </c>
      <c r="NL23" t="str" cm="1">
        <f t="array" ref="NL23">IF(NK23&gt;$NL$1,_xlfn.XLOOKUP(MAX(_xlfn.ANCHORARRAY(NH23)),_xlfn.ANCHORARRAY(NH23),NH$4:NJ$4,""),"")</f>
        <v/>
      </c>
      <c r="NN23" cm="1">
        <f t="array" ref="NN23:NR23">SUMIFS($J23:$GG23,$J$3:$GG$3,NN$3:NR$3)</f>
        <v>0</v>
      </c>
      <c r="NO23">
        <v>0</v>
      </c>
      <c r="NP23">
        <v>0</v>
      </c>
      <c r="NQ23">
        <v>0</v>
      </c>
      <c r="NR23">
        <v>0</v>
      </c>
      <c r="NS23" cm="1">
        <f t="array" ref="NS23">IFERROR(MAX((_xlfn.ANCHORARRAY(NN23)-AVERAGE(_xlfn.ANCHORARRAY(NN23)))/ AVERAGE(_xlfn.ANCHORARRAY(NN23))),0)</f>
        <v>0</v>
      </c>
      <c r="NT23" t="str" cm="1">
        <f t="array" ref="NT23">IF(AND(NS23&gt;$NT$1,NL23&lt;&gt;""),_xlfn.XLOOKUP(MAX(_xlfn.ANCHORARRAY(NN23)),_xlfn.ANCHORARRAY(NN23),NN$4:NR$4,""),"")</f>
        <v/>
      </c>
      <c r="NV23" cm="1">
        <f t="array" ref="NV23:OE23">SUMIFS($J23:$GG23,$J$2:$GG$2,NV$3:OE$3)</f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 cm="1">
        <f t="array" ref="OF23">IFERROR(MAX((_xlfn.ANCHORARRAY(NV23)-AVERAGE(_xlfn.ANCHORARRAY(NV23)))/ AVERAGE(_xlfn.ANCHORARRAY(NV23))),0)</f>
        <v>0</v>
      </c>
      <c r="OG23" t="str" cm="1">
        <f t="array" ref="OG23">IF(OF23&gt;$OG$1,_xlfn.XLOOKUP(MAX(_xlfn.ANCHORARRAY(NV23)),_xlfn.ANCHORARRAY(NV23),NV$4:OE$4,""),"")</f>
        <v/>
      </c>
      <c r="OI23" t="str">
        <f t="shared" si="8"/>
        <v/>
      </c>
    </row>
    <row r="24" spans="1:399" x14ac:dyDescent="0.3">
      <c r="A24" s="2"/>
      <c r="B24" s="2" t="str">
        <f t="shared" si="0"/>
        <v>LLC</v>
      </c>
      <c r="C24" s="2" t="str">
        <f t="shared" si="1"/>
        <v>LLC</v>
      </c>
      <c r="D24" s="2" t="str">
        <f t="shared" si="2"/>
        <v>LLC</v>
      </c>
      <c r="E24" s="2" t="str">
        <f t="shared" si="3"/>
        <v/>
      </c>
      <c r="F24" s="2">
        <f t="shared" si="4"/>
        <v>0</v>
      </c>
      <c r="G24" s="2">
        <f t="shared" si="5"/>
        <v>0</v>
      </c>
      <c r="H24" s="2">
        <f t="shared" si="6"/>
        <v>0</v>
      </c>
      <c r="I24" s="2">
        <f t="shared" si="7"/>
        <v>0</v>
      </c>
      <c r="NH24" cm="1">
        <f t="array" ref="NH24:NJ24">SUMIFS($J24:$GG24,$J$1:$GG$1,NH$3:NJ$3)</f>
        <v>0</v>
      </c>
      <c r="NI24">
        <v>0</v>
      </c>
      <c r="NJ24">
        <v>0</v>
      </c>
      <c r="NK24" cm="1">
        <f t="array" ref="NK24">IFERROR(MAX((_xlfn.ANCHORARRAY(NH24)-AVERAGE(_xlfn.ANCHORARRAY(NH24)))/ AVERAGE(_xlfn.ANCHORARRAY(NH24))),0)</f>
        <v>0</v>
      </c>
      <c r="NL24" t="str" cm="1">
        <f t="array" ref="NL24">IF(NK24&gt;$NL$1,_xlfn.XLOOKUP(MAX(_xlfn.ANCHORARRAY(NH24)),_xlfn.ANCHORARRAY(NH24),NH$4:NJ$4,""),"")</f>
        <v/>
      </c>
      <c r="NN24" cm="1">
        <f t="array" ref="NN24:NR24">SUMIFS($J24:$GG24,$J$3:$GG$3,NN$3:NR$3)</f>
        <v>0</v>
      </c>
      <c r="NO24">
        <v>0</v>
      </c>
      <c r="NP24">
        <v>0</v>
      </c>
      <c r="NQ24">
        <v>0</v>
      </c>
      <c r="NR24">
        <v>0</v>
      </c>
      <c r="NS24" cm="1">
        <f t="array" ref="NS24">IFERROR(MAX((_xlfn.ANCHORARRAY(NN24)-AVERAGE(_xlfn.ANCHORARRAY(NN24)))/ AVERAGE(_xlfn.ANCHORARRAY(NN24))),0)</f>
        <v>0</v>
      </c>
      <c r="NT24" t="str" cm="1">
        <f t="array" ref="NT24">IF(AND(NS24&gt;$NT$1,NL24&lt;&gt;""),_xlfn.XLOOKUP(MAX(_xlfn.ANCHORARRAY(NN24)),_xlfn.ANCHORARRAY(NN24),NN$4:NR$4,""),"")</f>
        <v/>
      </c>
      <c r="NV24" cm="1">
        <f t="array" ref="NV24:OE24">SUMIFS($J24:$GG24,$J$2:$GG$2,NV$3:OE$3)</f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 cm="1">
        <f t="array" ref="OF24">IFERROR(MAX((_xlfn.ANCHORARRAY(NV24)-AVERAGE(_xlfn.ANCHORARRAY(NV24)))/ AVERAGE(_xlfn.ANCHORARRAY(NV24))),0)</f>
        <v>0</v>
      </c>
      <c r="OG24" t="str" cm="1">
        <f t="array" ref="OG24">IF(OF24&gt;$OG$1,_xlfn.XLOOKUP(MAX(_xlfn.ANCHORARRAY(NV24)),_xlfn.ANCHORARRAY(NV24),NV$4:OE$4,""),"")</f>
        <v/>
      </c>
      <c r="OI24" t="str">
        <f t="shared" si="8"/>
        <v/>
      </c>
    </row>
    <row r="25" spans="1:399" x14ac:dyDescent="0.3">
      <c r="A25" s="2"/>
      <c r="B25" s="2" t="str">
        <f t="shared" si="0"/>
        <v>LLC</v>
      </c>
      <c r="C25" s="2" t="str">
        <f t="shared" si="1"/>
        <v>LLC</v>
      </c>
      <c r="D25" s="2" t="str">
        <f t="shared" si="2"/>
        <v>LLC</v>
      </c>
      <c r="E25" s="2" t="str">
        <f t="shared" si="3"/>
        <v/>
      </c>
      <c r="F25" s="2">
        <f t="shared" si="4"/>
        <v>0</v>
      </c>
      <c r="G25" s="2">
        <f t="shared" si="5"/>
        <v>0</v>
      </c>
      <c r="H25" s="2">
        <f t="shared" si="6"/>
        <v>0</v>
      </c>
      <c r="I25" s="2">
        <f t="shared" si="7"/>
        <v>0</v>
      </c>
      <c r="NH25" cm="1">
        <f t="array" ref="NH25:NJ25">SUMIFS($J25:$GG25,$J$1:$GG$1,NH$3:NJ$3)</f>
        <v>0</v>
      </c>
      <c r="NI25">
        <v>0</v>
      </c>
      <c r="NJ25">
        <v>0</v>
      </c>
      <c r="NK25" cm="1">
        <f t="array" ref="NK25">IFERROR(MAX((_xlfn.ANCHORARRAY(NH25)-AVERAGE(_xlfn.ANCHORARRAY(NH25)))/ AVERAGE(_xlfn.ANCHORARRAY(NH25))),0)</f>
        <v>0</v>
      </c>
      <c r="NL25" t="str" cm="1">
        <f t="array" ref="NL25">IF(NK25&gt;$NL$1,_xlfn.XLOOKUP(MAX(_xlfn.ANCHORARRAY(NH25)),_xlfn.ANCHORARRAY(NH25),NH$4:NJ$4,""),"")</f>
        <v/>
      </c>
      <c r="NN25" cm="1">
        <f t="array" ref="NN25:NR25">SUMIFS($J25:$GG25,$J$3:$GG$3,NN$3:NR$3)</f>
        <v>0</v>
      </c>
      <c r="NO25">
        <v>0</v>
      </c>
      <c r="NP25">
        <v>0</v>
      </c>
      <c r="NQ25">
        <v>0</v>
      </c>
      <c r="NR25">
        <v>0</v>
      </c>
      <c r="NS25" cm="1">
        <f t="array" ref="NS25">IFERROR(MAX((_xlfn.ANCHORARRAY(NN25)-AVERAGE(_xlfn.ANCHORARRAY(NN25)))/ AVERAGE(_xlfn.ANCHORARRAY(NN25))),0)</f>
        <v>0</v>
      </c>
      <c r="NT25" t="str" cm="1">
        <f t="array" ref="NT25">IF(AND(NS25&gt;$NT$1,NL25&lt;&gt;""),_xlfn.XLOOKUP(MAX(_xlfn.ANCHORARRAY(NN25)),_xlfn.ANCHORARRAY(NN25),NN$4:NR$4,""),"")</f>
        <v/>
      </c>
      <c r="NV25" cm="1">
        <f t="array" ref="NV25:OE25">SUMIFS($J25:$GG25,$J$2:$GG$2,NV$3:OE$3)</f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 cm="1">
        <f t="array" ref="OF25">IFERROR(MAX((_xlfn.ANCHORARRAY(NV25)-AVERAGE(_xlfn.ANCHORARRAY(NV25)))/ AVERAGE(_xlfn.ANCHORARRAY(NV25))),0)</f>
        <v>0</v>
      </c>
      <c r="OG25" t="str" cm="1">
        <f t="array" ref="OG25">IF(OF25&gt;$OG$1,_xlfn.XLOOKUP(MAX(_xlfn.ANCHORARRAY(NV25)),_xlfn.ANCHORARRAY(NV25),NV$4:OE$4,""),"")</f>
        <v/>
      </c>
      <c r="OI25" t="str">
        <f t="shared" si="8"/>
        <v/>
      </c>
    </row>
    <row r="26" spans="1:399" x14ac:dyDescent="0.3">
      <c r="A26" s="2"/>
      <c r="B26" s="2" t="str">
        <f t="shared" si="0"/>
        <v>LLC</v>
      </c>
      <c r="C26" s="2" t="str">
        <f t="shared" si="1"/>
        <v>LLC</v>
      </c>
      <c r="D26" s="2" t="str">
        <f t="shared" si="2"/>
        <v>LLC</v>
      </c>
      <c r="E26" s="2" t="str">
        <f t="shared" si="3"/>
        <v/>
      </c>
      <c r="F26" s="2">
        <f t="shared" si="4"/>
        <v>0</v>
      </c>
      <c r="G26" s="2">
        <f t="shared" si="5"/>
        <v>0</v>
      </c>
      <c r="H26" s="2">
        <f t="shared" si="6"/>
        <v>0</v>
      </c>
      <c r="I26" s="2">
        <f t="shared" si="7"/>
        <v>0</v>
      </c>
      <c r="NH26" cm="1">
        <f t="array" ref="NH26:NJ26">SUMIFS($J26:$GG26,$J$1:$GG$1,NH$3:NJ$3)</f>
        <v>0</v>
      </c>
      <c r="NI26">
        <v>0</v>
      </c>
      <c r="NJ26">
        <v>0</v>
      </c>
      <c r="NK26" cm="1">
        <f t="array" ref="NK26">IFERROR(MAX((_xlfn.ANCHORARRAY(NH26)-AVERAGE(_xlfn.ANCHORARRAY(NH26)))/ AVERAGE(_xlfn.ANCHORARRAY(NH26))),0)</f>
        <v>0</v>
      </c>
      <c r="NL26" t="str" cm="1">
        <f t="array" ref="NL26">IF(NK26&gt;$NL$1,_xlfn.XLOOKUP(MAX(_xlfn.ANCHORARRAY(NH26)),_xlfn.ANCHORARRAY(NH26),NH$4:NJ$4,""),"")</f>
        <v/>
      </c>
      <c r="NN26" cm="1">
        <f t="array" ref="NN26:NR26">SUMIFS($J26:$GG26,$J$3:$GG$3,NN$3:NR$3)</f>
        <v>0</v>
      </c>
      <c r="NO26">
        <v>0</v>
      </c>
      <c r="NP26">
        <v>0</v>
      </c>
      <c r="NQ26">
        <v>0</v>
      </c>
      <c r="NR26">
        <v>0</v>
      </c>
      <c r="NS26" cm="1">
        <f t="array" ref="NS26">IFERROR(MAX((_xlfn.ANCHORARRAY(NN26)-AVERAGE(_xlfn.ANCHORARRAY(NN26)))/ AVERAGE(_xlfn.ANCHORARRAY(NN26))),0)</f>
        <v>0</v>
      </c>
      <c r="NT26" t="str" cm="1">
        <f t="array" ref="NT26">IF(AND(NS26&gt;$NT$1,NL26&lt;&gt;""),_xlfn.XLOOKUP(MAX(_xlfn.ANCHORARRAY(NN26)),_xlfn.ANCHORARRAY(NN26),NN$4:NR$4,""),"")</f>
        <v/>
      </c>
      <c r="NV26" cm="1">
        <f t="array" ref="NV26:OE26">SUMIFS($J26:$GG26,$J$2:$GG$2,NV$3:OE$3)</f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 cm="1">
        <f t="array" ref="OF26">IFERROR(MAX((_xlfn.ANCHORARRAY(NV26)-AVERAGE(_xlfn.ANCHORARRAY(NV26)))/ AVERAGE(_xlfn.ANCHORARRAY(NV26))),0)</f>
        <v>0</v>
      </c>
      <c r="OG26" t="str" cm="1">
        <f t="array" ref="OG26">IF(OF26&gt;$OG$1,_xlfn.XLOOKUP(MAX(_xlfn.ANCHORARRAY(NV26)),_xlfn.ANCHORARRAY(NV26),NV$4:OE$4,""),"")</f>
        <v/>
      </c>
      <c r="OI26" t="str">
        <f t="shared" si="8"/>
        <v/>
      </c>
    </row>
    <row r="27" spans="1:399" x14ac:dyDescent="0.3">
      <c r="A27" s="2"/>
      <c r="B27" s="2" t="str">
        <f t="shared" si="0"/>
        <v>LLC</v>
      </c>
      <c r="C27" s="2" t="str">
        <f t="shared" si="1"/>
        <v>LLC</v>
      </c>
      <c r="D27" s="2" t="str">
        <f t="shared" si="2"/>
        <v>LLC</v>
      </c>
      <c r="E27" s="2" t="str">
        <f t="shared" si="3"/>
        <v/>
      </c>
      <c r="F27" s="2">
        <f t="shared" si="4"/>
        <v>0</v>
      </c>
      <c r="G27" s="2">
        <f t="shared" si="5"/>
        <v>0</v>
      </c>
      <c r="H27" s="2">
        <f t="shared" si="6"/>
        <v>0</v>
      </c>
      <c r="I27" s="2">
        <f t="shared" si="7"/>
        <v>0</v>
      </c>
      <c r="NH27" cm="1">
        <f t="array" ref="NH27:NJ27">SUMIFS($J27:$GG27,$J$1:$GG$1,NH$3:NJ$3)</f>
        <v>0</v>
      </c>
      <c r="NI27">
        <v>0</v>
      </c>
      <c r="NJ27">
        <v>0</v>
      </c>
      <c r="NK27" cm="1">
        <f t="array" ref="NK27">IFERROR(MAX((_xlfn.ANCHORARRAY(NH27)-AVERAGE(_xlfn.ANCHORARRAY(NH27)))/ AVERAGE(_xlfn.ANCHORARRAY(NH27))),0)</f>
        <v>0</v>
      </c>
      <c r="NL27" t="str" cm="1">
        <f t="array" ref="NL27">IF(NK27&gt;$NL$1,_xlfn.XLOOKUP(MAX(_xlfn.ANCHORARRAY(NH27)),_xlfn.ANCHORARRAY(NH27),NH$4:NJ$4,""),"")</f>
        <v/>
      </c>
      <c r="NN27" cm="1">
        <f t="array" ref="NN27:NR27">SUMIFS($J27:$GG27,$J$3:$GG$3,NN$3:NR$3)</f>
        <v>0</v>
      </c>
      <c r="NO27">
        <v>0</v>
      </c>
      <c r="NP27">
        <v>0</v>
      </c>
      <c r="NQ27">
        <v>0</v>
      </c>
      <c r="NR27">
        <v>0</v>
      </c>
      <c r="NS27" cm="1">
        <f t="array" ref="NS27">IFERROR(MAX((_xlfn.ANCHORARRAY(NN27)-AVERAGE(_xlfn.ANCHORARRAY(NN27)))/ AVERAGE(_xlfn.ANCHORARRAY(NN27))),0)</f>
        <v>0</v>
      </c>
      <c r="NT27" t="str" cm="1">
        <f t="array" ref="NT27">IF(AND(NS27&gt;$NT$1,NL27&lt;&gt;""),_xlfn.XLOOKUP(MAX(_xlfn.ANCHORARRAY(NN27)),_xlfn.ANCHORARRAY(NN27),NN$4:NR$4,""),"")</f>
        <v/>
      </c>
      <c r="NV27" cm="1">
        <f t="array" ref="NV27:OE27">SUMIFS($J27:$GG27,$J$2:$GG$2,NV$3:OE$3)</f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 cm="1">
        <f t="array" ref="OF27">IFERROR(MAX((_xlfn.ANCHORARRAY(NV27)-AVERAGE(_xlfn.ANCHORARRAY(NV27)))/ AVERAGE(_xlfn.ANCHORARRAY(NV27))),0)</f>
        <v>0</v>
      </c>
      <c r="OG27" t="str" cm="1">
        <f t="array" ref="OG27">IF(OF27&gt;$OG$1,_xlfn.XLOOKUP(MAX(_xlfn.ANCHORARRAY(NV27)),_xlfn.ANCHORARRAY(NV27),NV$4:OE$4,""),"")</f>
        <v/>
      </c>
      <c r="OI27" t="str">
        <f t="shared" si="8"/>
        <v/>
      </c>
    </row>
    <row r="28" spans="1:399" x14ac:dyDescent="0.3">
      <c r="A28" s="2"/>
      <c r="B28" s="2" t="str">
        <f t="shared" si="0"/>
        <v>LLC</v>
      </c>
      <c r="C28" s="2" t="str">
        <f t="shared" si="1"/>
        <v>LLC</v>
      </c>
      <c r="D28" s="2" t="str">
        <f t="shared" si="2"/>
        <v>LLC</v>
      </c>
      <c r="E28" s="2" t="str">
        <f t="shared" si="3"/>
        <v/>
      </c>
      <c r="F28" s="2">
        <f t="shared" si="4"/>
        <v>0</v>
      </c>
      <c r="G28" s="2">
        <f t="shared" si="5"/>
        <v>0</v>
      </c>
      <c r="H28" s="2">
        <f t="shared" si="6"/>
        <v>0</v>
      </c>
      <c r="I28" s="2">
        <f t="shared" si="7"/>
        <v>0</v>
      </c>
      <c r="NH28" cm="1">
        <f t="array" ref="NH28:NJ28">SUMIFS($J28:$GG28,$J$1:$GG$1,NH$3:NJ$3)</f>
        <v>0</v>
      </c>
      <c r="NI28">
        <v>0</v>
      </c>
      <c r="NJ28">
        <v>0</v>
      </c>
      <c r="NK28" cm="1">
        <f t="array" ref="NK28">IFERROR(MAX((_xlfn.ANCHORARRAY(NH28)-AVERAGE(_xlfn.ANCHORARRAY(NH28)))/ AVERAGE(_xlfn.ANCHORARRAY(NH28))),0)</f>
        <v>0</v>
      </c>
      <c r="NL28" t="str" cm="1">
        <f t="array" ref="NL28">IF(NK28&gt;$NL$1,_xlfn.XLOOKUP(MAX(_xlfn.ANCHORARRAY(NH28)),_xlfn.ANCHORARRAY(NH28),NH$4:NJ$4,""),"")</f>
        <v/>
      </c>
      <c r="NN28" cm="1">
        <f t="array" ref="NN28:NR28">SUMIFS($J28:$GG28,$J$3:$GG$3,NN$3:NR$3)</f>
        <v>0</v>
      </c>
      <c r="NO28">
        <v>0</v>
      </c>
      <c r="NP28">
        <v>0</v>
      </c>
      <c r="NQ28">
        <v>0</v>
      </c>
      <c r="NR28">
        <v>0</v>
      </c>
      <c r="NS28" cm="1">
        <f t="array" ref="NS28">IFERROR(MAX((_xlfn.ANCHORARRAY(NN28)-AVERAGE(_xlfn.ANCHORARRAY(NN28)))/ AVERAGE(_xlfn.ANCHORARRAY(NN28))),0)</f>
        <v>0</v>
      </c>
      <c r="NT28" t="str" cm="1">
        <f t="array" ref="NT28">IF(AND(NS28&gt;$NT$1,NL28&lt;&gt;""),_xlfn.XLOOKUP(MAX(_xlfn.ANCHORARRAY(NN28)),_xlfn.ANCHORARRAY(NN28),NN$4:NR$4,""),"")</f>
        <v/>
      </c>
      <c r="NV28" cm="1">
        <f t="array" ref="NV28:OE28">SUMIFS($J28:$GG28,$J$2:$GG$2,NV$3:OE$3)</f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 cm="1">
        <f t="array" ref="OF28">IFERROR(MAX((_xlfn.ANCHORARRAY(NV28)-AVERAGE(_xlfn.ANCHORARRAY(NV28)))/ AVERAGE(_xlfn.ANCHORARRAY(NV28))),0)</f>
        <v>0</v>
      </c>
      <c r="OG28" t="str" cm="1">
        <f t="array" ref="OG28">IF(OF28&gt;$OG$1,_xlfn.XLOOKUP(MAX(_xlfn.ANCHORARRAY(NV28)),_xlfn.ANCHORARRAY(NV28),NV$4:OE$4,""),"")</f>
        <v/>
      </c>
      <c r="OI28" t="str">
        <f t="shared" si="8"/>
        <v/>
      </c>
    </row>
    <row r="29" spans="1:399" x14ac:dyDescent="0.3">
      <c r="A29" s="2"/>
      <c r="B29" s="2" t="str">
        <f t="shared" si="0"/>
        <v>LLC</v>
      </c>
      <c r="C29" s="2" t="str">
        <f t="shared" si="1"/>
        <v>LLC</v>
      </c>
      <c r="D29" s="2" t="str">
        <f t="shared" si="2"/>
        <v>LLC</v>
      </c>
      <c r="E29" s="2" t="str">
        <f t="shared" si="3"/>
        <v/>
      </c>
      <c r="F29" s="2">
        <f t="shared" si="4"/>
        <v>0</v>
      </c>
      <c r="G29" s="2">
        <f t="shared" si="5"/>
        <v>0</v>
      </c>
      <c r="H29" s="2">
        <f t="shared" si="6"/>
        <v>0</v>
      </c>
      <c r="I29" s="2">
        <f t="shared" si="7"/>
        <v>0</v>
      </c>
      <c r="NH29" cm="1">
        <f t="array" ref="NH29:NJ29">SUMIFS($J29:$GG29,$J$1:$GG$1,NH$3:NJ$3)</f>
        <v>0</v>
      </c>
      <c r="NI29">
        <v>0</v>
      </c>
      <c r="NJ29">
        <v>0</v>
      </c>
      <c r="NK29" cm="1">
        <f t="array" ref="NK29">IFERROR(MAX((_xlfn.ANCHORARRAY(NH29)-AVERAGE(_xlfn.ANCHORARRAY(NH29)))/ AVERAGE(_xlfn.ANCHORARRAY(NH29))),0)</f>
        <v>0</v>
      </c>
      <c r="NL29" t="str" cm="1">
        <f t="array" ref="NL29">IF(NK29&gt;$NL$1,_xlfn.XLOOKUP(MAX(_xlfn.ANCHORARRAY(NH29)),_xlfn.ANCHORARRAY(NH29),NH$4:NJ$4,""),"")</f>
        <v/>
      </c>
      <c r="NN29" cm="1">
        <f t="array" ref="NN29:NR29">SUMIFS($J29:$GG29,$J$3:$GG$3,NN$3:NR$3)</f>
        <v>0</v>
      </c>
      <c r="NO29">
        <v>0</v>
      </c>
      <c r="NP29">
        <v>0</v>
      </c>
      <c r="NQ29">
        <v>0</v>
      </c>
      <c r="NR29">
        <v>0</v>
      </c>
      <c r="NS29" cm="1">
        <f t="array" ref="NS29">IFERROR(MAX((_xlfn.ANCHORARRAY(NN29)-AVERAGE(_xlfn.ANCHORARRAY(NN29)))/ AVERAGE(_xlfn.ANCHORARRAY(NN29))),0)</f>
        <v>0</v>
      </c>
      <c r="NT29" t="str" cm="1">
        <f t="array" ref="NT29">IF(AND(NS29&gt;$NT$1,NL29&lt;&gt;""),_xlfn.XLOOKUP(MAX(_xlfn.ANCHORARRAY(NN29)),_xlfn.ANCHORARRAY(NN29),NN$4:NR$4,""),"")</f>
        <v/>
      </c>
      <c r="NV29" cm="1">
        <f t="array" ref="NV29:OE29">SUMIFS($J29:$GG29,$J$2:$GG$2,NV$3:OE$3)</f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 cm="1">
        <f t="array" ref="OF29">IFERROR(MAX((_xlfn.ANCHORARRAY(NV29)-AVERAGE(_xlfn.ANCHORARRAY(NV29)))/ AVERAGE(_xlfn.ANCHORARRAY(NV29))),0)</f>
        <v>0</v>
      </c>
      <c r="OG29" t="str" cm="1">
        <f t="array" ref="OG29">IF(OF29&gt;$OG$1,_xlfn.XLOOKUP(MAX(_xlfn.ANCHORARRAY(NV29)),_xlfn.ANCHORARRAY(NV29),NV$4:OE$4,""),"")</f>
        <v/>
      </c>
      <c r="OI29" t="str">
        <f t="shared" si="8"/>
        <v/>
      </c>
    </row>
    <row r="30" spans="1:399" x14ac:dyDescent="0.3">
      <c r="A30" s="2"/>
      <c r="B30" s="2" t="str">
        <f t="shared" si="0"/>
        <v>LLC</v>
      </c>
      <c r="C30" s="2" t="str">
        <f t="shared" si="1"/>
        <v>LLC</v>
      </c>
      <c r="D30" s="2" t="str">
        <f t="shared" si="2"/>
        <v>LLC</v>
      </c>
      <c r="E30" s="2" t="str">
        <f t="shared" si="3"/>
        <v/>
      </c>
      <c r="F30" s="2">
        <f t="shared" si="4"/>
        <v>0</v>
      </c>
      <c r="G30" s="2">
        <f t="shared" si="5"/>
        <v>0</v>
      </c>
      <c r="H30" s="2">
        <f t="shared" si="6"/>
        <v>0</v>
      </c>
      <c r="I30" s="2">
        <f t="shared" si="7"/>
        <v>0</v>
      </c>
      <c r="NH30" cm="1">
        <f t="array" ref="NH30:NJ30">SUMIFS($J30:$GG30,$J$1:$GG$1,NH$3:NJ$3)</f>
        <v>0</v>
      </c>
      <c r="NI30">
        <v>0</v>
      </c>
      <c r="NJ30">
        <v>0</v>
      </c>
      <c r="NK30" cm="1">
        <f t="array" ref="NK30">IFERROR(MAX((_xlfn.ANCHORARRAY(NH30)-AVERAGE(_xlfn.ANCHORARRAY(NH30)))/ AVERAGE(_xlfn.ANCHORARRAY(NH30))),0)</f>
        <v>0</v>
      </c>
      <c r="NL30" t="str" cm="1">
        <f t="array" ref="NL30">IF(NK30&gt;$NL$1,_xlfn.XLOOKUP(MAX(_xlfn.ANCHORARRAY(NH30)),_xlfn.ANCHORARRAY(NH30),NH$4:NJ$4,""),"")</f>
        <v/>
      </c>
      <c r="NN30" cm="1">
        <f t="array" ref="NN30:NR30">SUMIFS($J30:$GG30,$J$3:$GG$3,NN$3:NR$3)</f>
        <v>0</v>
      </c>
      <c r="NO30">
        <v>0</v>
      </c>
      <c r="NP30">
        <v>0</v>
      </c>
      <c r="NQ30">
        <v>0</v>
      </c>
      <c r="NR30">
        <v>0</v>
      </c>
      <c r="NS30" cm="1">
        <f t="array" ref="NS30">IFERROR(MAX((_xlfn.ANCHORARRAY(NN30)-AVERAGE(_xlfn.ANCHORARRAY(NN30)))/ AVERAGE(_xlfn.ANCHORARRAY(NN30))),0)</f>
        <v>0</v>
      </c>
      <c r="NT30" t="str" cm="1">
        <f t="array" ref="NT30">IF(AND(NS30&gt;$NT$1,NL30&lt;&gt;""),_xlfn.XLOOKUP(MAX(_xlfn.ANCHORARRAY(NN30)),_xlfn.ANCHORARRAY(NN30),NN$4:NR$4,""),"")</f>
        <v/>
      </c>
      <c r="NV30" cm="1">
        <f t="array" ref="NV30:OE30">SUMIFS($J30:$GG30,$J$2:$GG$2,NV$3:OE$3)</f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 cm="1">
        <f t="array" ref="OF30">IFERROR(MAX((_xlfn.ANCHORARRAY(NV30)-AVERAGE(_xlfn.ANCHORARRAY(NV30)))/ AVERAGE(_xlfn.ANCHORARRAY(NV30))),0)</f>
        <v>0</v>
      </c>
      <c r="OG30" t="str" cm="1">
        <f t="array" ref="OG30">IF(OF30&gt;$OG$1,_xlfn.XLOOKUP(MAX(_xlfn.ANCHORARRAY(NV30)),_xlfn.ANCHORARRAY(NV30),NV$4:OE$4,""),"")</f>
        <v/>
      </c>
      <c r="OI30" t="str">
        <f t="shared" si="8"/>
        <v/>
      </c>
    </row>
    <row r="31" spans="1:399" x14ac:dyDescent="0.3">
      <c r="A31" s="2"/>
      <c r="B31" s="2" t="str">
        <f t="shared" si="0"/>
        <v>LLC</v>
      </c>
      <c r="C31" s="2" t="str">
        <f t="shared" si="1"/>
        <v>LLC</v>
      </c>
      <c r="D31" s="2" t="str">
        <f t="shared" si="2"/>
        <v>LLC</v>
      </c>
      <c r="E31" s="2" t="str">
        <f t="shared" si="3"/>
        <v/>
      </c>
      <c r="F31" s="2">
        <f t="shared" si="4"/>
        <v>0</v>
      </c>
      <c r="G31" s="2">
        <f t="shared" si="5"/>
        <v>0</v>
      </c>
      <c r="H31" s="2">
        <f t="shared" si="6"/>
        <v>0</v>
      </c>
      <c r="I31" s="2">
        <f t="shared" si="7"/>
        <v>0</v>
      </c>
      <c r="NH31" cm="1">
        <f t="array" ref="NH31:NJ31">SUMIFS($J31:$GG31,$J$1:$GG$1,NH$3:NJ$3)</f>
        <v>0</v>
      </c>
      <c r="NI31">
        <v>0</v>
      </c>
      <c r="NJ31">
        <v>0</v>
      </c>
      <c r="NK31" cm="1">
        <f t="array" ref="NK31">IFERROR(MAX((_xlfn.ANCHORARRAY(NH31)-AVERAGE(_xlfn.ANCHORARRAY(NH31)))/ AVERAGE(_xlfn.ANCHORARRAY(NH31))),0)</f>
        <v>0</v>
      </c>
      <c r="NL31" t="str" cm="1">
        <f t="array" ref="NL31">IF(NK31&gt;$NL$1,_xlfn.XLOOKUP(MAX(_xlfn.ANCHORARRAY(NH31)),_xlfn.ANCHORARRAY(NH31),NH$4:NJ$4,""),"")</f>
        <v/>
      </c>
      <c r="NN31" cm="1">
        <f t="array" ref="NN31:NR31">SUMIFS($J31:$GG31,$J$3:$GG$3,NN$3:NR$3)</f>
        <v>0</v>
      </c>
      <c r="NO31">
        <v>0</v>
      </c>
      <c r="NP31">
        <v>0</v>
      </c>
      <c r="NQ31">
        <v>0</v>
      </c>
      <c r="NR31">
        <v>0</v>
      </c>
      <c r="NS31" cm="1">
        <f t="array" ref="NS31">IFERROR(MAX((_xlfn.ANCHORARRAY(NN31)-AVERAGE(_xlfn.ANCHORARRAY(NN31)))/ AVERAGE(_xlfn.ANCHORARRAY(NN31))),0)</f>
        <v>0</v>
      </c>
      <c r="NT31" t="str" cm="1">
        <f t="array" ref="NT31">IF(AND(NS31&gt;$NT$1,NL31&lt;&gt;""),_xlfn.XLOOKUP(MAX(_xlfn.ANCHORARRAY(NN31)),_xlfn.ANCHORARRAY(NN31),NN$4:NR$4,""),"")</f>
        <v/>
      </c>
      <c r="NV31" cm="1">
        <f t="array" ref="NV31:OE31">SUMIFS($J31:$GG31,$J$2:$GG$2,NV$3:OE$3)</f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 cm="1">
        <f t="array" ref="OF31">IFERROR(MAX((_xlfn.ANCHORARRAY(NV31)-AVERAGE(_xlfn.ANCHORARRAY(NV31)))/ AVERAGE(_xlfn.ANCHORARRAY(NV31))),0)</f>
        <v>0</v>
      </c>
      <c r="OG31" t="str" cm="1">
        <f t="array" ref="OG31">IF(OF31&gt;$OG$1,_xlfn.XLOOKUP(MAX(_xlfn.ANCHORARRAY(NV31)),_xlfn.ANCHORARRAY(NV31),NV$4:OE$4,""),"")</f>
        <v/>
      </c>
      <c r="OI31" t="str">
        <f t="shared" si="8"/>
        <v/>
      </c>
    </row>
    <row r="32" spans="1:399" x14ac:dyDescent="0.3">
      <c r="A32" s="2"/>
      <c r="B32" s="2" t="str">
        <f t="shared" si="0"/>
        <v>LLC</v>
      </c>
      <c r="C32" s="2" t="str">
        <f t="shared" si="1"/>
        <v>LLC</v>
      </c>
      <c r="D32" s="2" t="str">
        <f t="shared" si="2"/>
        <v>LLC</v>
      </c>
      <c r="E32" s="2" t="str">
        <f t="shared" si="3"/>
        <v/>
      </c>
      <c r="F32" s="2">
        <f t="shared" si="4"/>
        <v>0</v>
      </c>
      <c r="G32" s="2">
        <f t="shared" si="5"/>
        <v>0</v>
      </c>
      <c r="H32" s="2">
        <f t="shared" si="6"/>
        <v>0</v>
      </c>
      <c r="I32" s="2">
        <f t="shared" si="7"/>
        <v>0</v>
      </c>
      <c r="NH32" cm="1">
        <f t="array" ref="NH32:NJ32">SUMIFS($J32:$GG32,$J$1:$GG$1,NH$3:NJ$3)</f>
        <v>0</v>
      </c>
      <c r="NI32">
        <v>0</v>
      </c>
      <c r="NJ32">
        <v>0</v>
      </c>
      <c r="NK32" cm="1">
        <f t="array" ref="NK32">IFERROR(MAX((_xlfn.ANCHORARRAY(NH32)-AVERAGE(_xlfn.ANCHORARRAY(NH32)))/ AVERAGE(_xlfn.ANCHORARRAY(NH32))),0)</f>
        <v>0</v>
      </c>
      <c r="NL32" t="str" cm="1">
        <f t="array" ref="NL32">IF(NK32&gt;$NL$1,_xlfn.XLOOKUP(MAX(_xlfn.ANCHORARRAY(NH32)),_xlfn.ANCHORARRAY(NH32),NH$4:NJ$4,""),"")</f>
        <v/>
      </c>
      <c r="NN32" cm="1">
        <f t="array" ref="NN32:NR32">SUMIFS($J32:$GG32,$J$3:$GG$3,NN$3:NR$3)</f>
        <v>0</v>
      </c>
      <c r="NO32">
        <v>0</v>
      </c>
      <c r="NP32">
        <v>0</v>
      </c>
      <c r="NQ32">
        <v>0</v>
      </c>
      <c r="NR32">
        <v>0</v>
      </c>
      <c r="NS32" cm="1">
        <f t="array" ref="NS32">IFERROR(MAX((_xlfn.ANCHORARRAY(NN32)-AVERAGE(_xlfn.ANCHORARRAY(NN32)))/ AVERAGE(_xlfn.ANCHORARRAY(NN32))),0)</f>
        <v>0</v>
      </c>
      <c r="NT32" t="str" cm="1">
        <f t="array" ref="NT32">IF(AND(NS32&gt;$NT$1,NL32&lt;&gt;""),_xlfn.XLOOKUP(MAX(_xlfn.ANCHORARRAY(NN32)),_xlfn.ANCHORARRAY(NN32),NN$4:NR$4,""),"")</f>
        <v/>
      </c>
      <c r="NV32" cm="1">
        <f t="array" ref="NV32:OE32">SUMIFS($J32:$GG32,$J$2:$GG$2,NV$3:OE$3)</f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 cm="1">
        <f t="array" ref="OF32">IFERROR(MAX((_xlfn.ANCHORARRAY(NV32)-AVERAGE(_xlfn.ANCHORARRAY(NV32)))/ AVERAGE(_xlfn.ANCHORARRAY(NV32))),0)</f>
        <v>0</v>
      </c>
      <c r="OG32" t="str" cm="1">
        <f t="array" ref="OG32">IF(OF32&gt;$OG$1,_xlfn.XLOOKUP(MAX(_xlfn.ANCHORARRAY(NV32)),_xlfn.ANCHORARRAY(NV32),NV$4:OE$4,""),"")</f>
        <v/>
      </c>
      <c r="OI32" t="str">
        <f t="shared" si="8"/>
        <v/>
      </c>
    </row>
    <row r="33" spans="1:399" x14ac:dyDescent="0.3">
      <c r="A33" s="2"/>
      <c r="B33" s="2" t="str">
        <f t="shared" si="0"/>
        <v>LLC</v>
      </c>
      <c r="C33" s="2" t="str">
        <f t="shared" si="1"/>
        <v>LLC</v>
      </c>
      <c r="D33" s="2" t="str">
        <f t="shared" si="2"/>
        <v>LLC</v>
      </c>
      <c r="E33" s="2" t="str">
        <f t="shared" si="3"/>
        <v/>
      </c>
      <c r="F33" s="2">
        <f t="shared" si="4"/>
        <v>0</v>
      </c>
      <c r="G33" s="2">
        <f t="shared" si="5"/>
        <v>0</v>
      </c>
      <c r="H33" s="2">
        <f t="shared" si="6"/>
        <v>0</v>
      </c>
      <c r="I33" s="2">
        <f t="shared" si="7"/>
        <v>0</v>
      </c>
      <c r="NH33" cm="1">
        <f t="array" ref="NH33:NJ33">SUMIFS($J33:$GG33,$J$1:$GG$1,NH$3:NJ$3)</f>
        <v>0</v>
      </c>
      <c r="NI33">
        <v>0</v>
      </c>
      <c r="NJ33">
        <v>0</v>
      </c>
      <c r="NK33" cm="1">
        <f t="array" ref="NK33">IFERROR(MAX((_xlfn.ANCHORARRAY(NH33)-AVERAGE(_xlfn.ANCHORARRAY(NH33)))/ AVERAGE(_xlfn.ANCHORARRAY(NH33))),0)</f>
        <v>0</v>
      </c>
      <c r="NL33" t="str" cm="1">
        <f t="array" ref="NL33">IF(NK33&gt;$NL$1,_xlfn.XLOOKUP(MAX(_xlfn.ANCHORARRAY(NH33)),_xlfn.ANCHORARRAY(NH33),NH$4:NJ$4,""),"")</f>
        <v/>
      </c>
      <c r="NN33" cm="1">
        <f t="array" ref="NN33:NR33">SUMIFS($J33:$GG33,$J$3:$GG$3,NN$3:NR$3)</f>
        <v>0</v>
      </c>
      <c r="NO33">
        <v>0</v>
      </c>
      <c r="NP33">
        <v>0</v>
      </c>
      <c r="NQ33">
        <v>0</v>
      </c>
      <c r="NR33">
        <v>0</v>
      </c>
      <c r="NS33" cm="1">
        <f t="array" ref="NS33">IFERROR(MAX((_xlfn.ANCHORARRAY(NN33)-AVERAGE(_xlfn.ANCHORARRAY(NN33)))/ AVERAGE(_xlfn.ANCHORARRAY(NN33))),0)</f>
        <v>0</v>
      </c>
      <c r="NT33" t="str" cm="1">
        <f t="array" ref="NT33">IF(AND(NS33&gt;$NT$1,NL33&lt;&gt;""),_xlfn.XLOOKUP(MAX(_xlfn.ANCHORARRAY(NN33)),_xlfn.ANCHORARRAY(NN33),NN$4:NR$4,""),"")</f>
        <v/>
      </c>
      <c r="NV33" cm="1">
        <f t="array" ref="NV33:OE33">SUMIFS($J33:$GG33,$J$2:$GG$2,NV$3:OE$3)</f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 cm="1">
        <f t="array" ref="OF33">IFERROR(MAX((_xlfn.ANCHORARRAY(NV33)-AVERAGE(_xlfn.ANCHORARRAY(NV33)))/ AVERAGE(_xlfn.ANCHORARRAY(NV33))),0)</f>
        <v>0</v>
      </c>
      <c r="OG33" t="str" cm="1">
        <f t="array" ref="OG33">IF(OF33&gt;$OG$1,_xlfn.XLOOKUP(MAX(_xlfn.ANCHORARRAY(NV33)),_xlfn.ANCHORARRAY(NV33),NV$4:OE$4,""),"")</f>
        <v/>
      </c>
      <c r="OI33" t="str">
        <f t="shared" si="8"/>
        <v/>
      </c>
    </row>
    <row r="34" spans="1:399" x14ac:dyDescent="0.3">
      <c r="A34" s="2"/>
      <c r="B34" s="2" t="str">
        <f t="shared" si="0"/>
        <v>LLC</v>
      </c>
      <c r="C34" s="2" t="str">
        <f t="shared" si="1"/>
        <v>LLC</v>
      </c>
      <c r="D34" s="2" t="str">
        <f t="shared" si="2"/>
        <v>LLC</v>
      </c>
      <c r="E34" s="2" t="str">
        <f t="shared" si="3"/>
        <v/>
      </c>
      <c r="F34" s="2">
        <f t="shared" si="4"/>
        <v>0</v>
      </c>
      <c r="G34" s="2">
        <f t="shared" si="5"/>
        <v>0</v>
      </c>
      <c r="H34" s="2">
        <f t="shared" si="6"/>
        <v>0</v>
      </c>
      <c r="I34" s="2">
        <f t="shared" si="7"/>
        <v>0</v>
      </c>
      <c r="NH34" cm="1">
        <f t="array" ref="NH34:NJ34">SUMIFS($J34:$GG34,$J$1:$GG$1,NH$3:NJ$3)</f>
        <v>0</v>
      </c>
      <c r="NI34">
        <v>0</v>
      </c>
      <c r="NJ34">
        <v>0</v>
      </c>
      <c r="NK34" cm="1">
        <f t="array" ref="NK34">IFERROR(MAX((_xlfn.ANCHORARRAY(NH34)-AVERAGE(_xlfn.ANCHORARRAY(NH34)))/ AVERAGE(_xlfn.ANCHORARRAY(NH34))),0)</f>
        <v>0</v>
      </c>
      <c r="NL34" t="str" cm="1">
        <f t="array" ref="NL34">IF(NK34&gt;$NL$1,_xlfn.XLOOKUP(MAX(_xlfn.ANCHORARRAY(NH34)),_xlfn.ANCHORARRAY(NH34),NH$4:NJ$4,""),"")</f>
        <v/>
      </c>
      <c r="NN34" cm="1">
        <f t="array" ref="NN34:NR34">SUMIFS($J34:$GG34,$J$3:$GG$3,NN$3:NR$3)</f>
        <v>0</v>
      </c>
      <c r="NO34">
        <v>0</v>
      </c>
      <c r="NP34">
        <v>0</v>
      </c>
      <c r="NQ34">
        <v>0</v>
      </c>
      <c r="NR34">
        <v>0</v>
      </c>
      <c r="NS34" cm="1">
        <f t="array" ref="NS34">IFERROR(MAX((_xlfn.ANCHORARRAY(NN34)-AVERAGE(_xlfn.ANCHORARRAY(NN34)))/ AVERAGE(_xlfn.ANCHORARRAY(NN34))),0)</f>
        <v>0</v>
      </c>
      <c r="NT34" t="str" cm="1">
        <f t="array" ref="NT34">IF(AND(NS34&gt;$NT$1,NL34&lt;&gt;""),_xlfn.XLOOKUP(MAX(_xlfn.ANCHORARRAY(NN34)),_xlfn.ANCHORARRAY(NN34),NN$4:NR$4,""),"")</f>
        <v/>
      </c>
      <c r="NV34" cm="1">
        <f t="array" ref="NV34:OE34">SUMIFS($J34:$GG34,$J$2:$GG$2,NV$3:OE$3)</f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 cm="1">
        <f t="array" ref="OF34">IFERROR(MAX((_xlfn.ANCHORARRAY(NV34)-AVERAGE(_xlfn.ANCHORARRAY(NV34)))/ AVERAGE(_xlfn.ANCHORARRAY(NV34))),0)</f>
        <v>0</v>
      </c>
      <c r="OG34" t="str" cm="1">
        <f t="array" ref="OG34">IF(OF34&gt;$OG$1,_xlfn.XLOOKUP(MAX(_xlfn.ANCHORARRAY(NV34)),_xlfn.ANCHORARRAY(NV34),NV$4:OE$4,""),"")</f>
        <v/>
      </c>
      <c r="OI34" t="str">
        <f t="shared" si="8"/>
        <v/>
      </c>
    </row>
    <row r="35" spans="1:399" x14ac:dyDescent="0.3">
      <c r="A35" s="2"/>
      <c r="B35" s="2" t="str">
        <f t="shared" si="0"/>
        <v>LLC</v>
      </c>
      <c r="C35" s="2" t="str">
        <f t="shared" si="1"/>
        <v>LLC</v>
      </c>
      <c r="D35" s="2" t="str">
        <f t="shared" si="2"/>
        <v>LLC</v>
      </c>
      <c r="E35" s="2" t="str">
        <f t="shared" si="3"/>
        <v/>
      </c>
      <c r="F35" s="2">
        <f t="shared" si="4"/>
        <v>0</v>
      </c>
      <c r="G35" s="2">
        <f t="shared" si="5"/>
        <v>0</v>
      </c>
      <c r="H35" s="2">
        <f t="shared" si="6"/>
        <v>0</v>
      </c>
      <c r="I35" s="2">
        <f t="shared" si="7"/>
        <v>0</v>
      </c>
      <c r="NH35" cm="1">
        <f t="array" ref="NH35:NJ35">SUMIFS($J35:$GG35,$J$1:$GG$1,NH$3:NJ$3)</f>
        <v>0</v>
      </c>
      <c r="NI35">
        <v>0</v>
      </c>
      <c r="NJ35">
        <v>0</v>
      </c>
      <c r="NK35" cm="1">
        <f t="array" ref="NK35">IFERROR(MAX((_xlfn.ANCHORARRAY(NH35)-AVERAGE(_xlfn.ANCHORARRAY(NH35)))/ AVERAGE(_xlfn.ANCHORARRAY(NH35))),0)</f>
        <v>0</v>
      </c>
      <c r="NL35" t="str" cm="1">
        <f t="array" ref="NL35">IF(NK35&gt;$NL$1,_xlfn.XLOOKUP(MAX(_xlfn.ANCHORARRAY(NH35)),_xlfn.ANCHORARRAY(NH35),NH$4:NJ$4,""),"")</f>
        <v/>
      </c>
      <c r="NN35" cm="1">
        <f t="array" ref="NN35:NR35">SUMIFS($J35:$GG35,$J$3:$GG$3,NN$3:NR$3)</f>
        <v>0</v>
      </c>
      <c r="NO35">
        <v>0</v>
      </c>
      <c r="NP35">
        <v>0</v>
      </c>
      <c r="NQ35">
        <v>0</v>
      </c>
      <c r="NR35">
        <v>0</v>
      </c>
      <c r="NS35" cm="1">
        <f t="array" ref="NS35">IFERROR(MAX((_xlfn.ANCHORARRAY(NN35)-AVERAGE(_xlfn.ANCHORARRAY(NN35)))/ AVERAGE(_xlfn.ANCHORARRAY(NN35))),0)</f>
        <v>0</v>
      </c>
      <c r="NT35" t="str" cm="1">
        <f t="array" ref="NT35">IF(AND(NS35&gt;$NT$1,NL35&lt;&gt;""),_xlfn.XLOOKUP(MAX(_xlfn.ANCHORARRAY(NN35)),_xlfn.ANCHORARRAY(NN35),NN$4:NR$4,""),"")</f>
        <v/>
      </c>
      <c r="NV35" cm="1">
        <f t="array" ref="NV35:OE35">SUMIFS($J35:$GG35,$J$2:$GG$2,NV$3:OE$3)</f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 cm="1">
        <f t="array" ref="OF35">IFERROR(MAX((_xlfn.ANCHORARRAY(NV35)-AVERAGE(_xlfn.ANCHORARRAY(NV35)))/ AVERAGE(_xlfn.ANCHORARRAY(NV35))),0)</f>
        <v>0</v>
      </c>
      <c r="OG35" t="str" cm="1">
        <f t="array" ref="OG35">IF(OF35&gt;$OG$1,_xlfn.XLOOKUP(MAX(_xlfn.ANCHORARRAY(NV35)),_xlfn.ANCHORARRAY(NV35),NV$4:OE$4,""),"")</f>
        <v/>
      </c>
      <c r="OI35" t="str">
        <f t="shared" si="8"/>
        <v/>
      </c>
    </row>
    <row r="36" spans="1:399" x14ac:dyDescent="0.3">
      <c r="A36" s="2"/>
      <c r="B36" s="2" t="str">
        <f t="shared" si="0"/>
        <v>LLC</v>
      </c>
      <c r="C36" s="2" t="str">
        <f t="shared" si="1"/>
        <v>LLC</v>
      </c>
      <c r="D36" s="2" t="str">
        <f t="shared" si="2"/>
        <v>LLC</v>
      </c>
      <c r="E36" s="2" t="str">
        <f t="shared" si="3"/>
        <v/>
      </c>
      <c r="F36" s="2">
        <f t="shared" si="4"/>
        <v>0</v>
      </c>
      <c r="G36" s="2">
        <f t="shared" si="5"/>
        <v>0</v>
      </c>
      <c r="H36" s="2">
        <f t="shared" si="6"/>
        <v>0</v>
      </c>
      <c r="I36" s="2">
        <f t="shared" si="7"/>
        <v>0</v>
      </c>
      <c r="NH36" cm="1">
        <f t="array" ref="NH36:NJ36">SUMIFS($J36:$GG36,$J$1:$GG$1,NH$3:NJ$3)</f>
        <v>0</v>
      </c>
      <c r="NI36">
        <v>0</v>
      </c>
      <c r="NJ36">
        <v>0</v>
      </c>
      <c r="NK36" cm="1">
        <f t="array" ref="NK36">IFERROR(MAX((_xlfn.ANCHORARRAY(NH36)-AVERAGE(_xlfn.ANCHORARRAY(NH36)))/ AVERAGE(_xlfn.ANCHORARRAY(NH36))),0)</f>
        <v>0</v>
      </c>
      <c r="NL36" t="str" cm="1">
        <f t="array" ref="NL36">IF(NK36&gt;$NL$1,_xlfn.XLOOKUP(MAX(_xlfn.ANCHORARRAY(NH36)),_xlfn.ANCHORARRAY(NH36),NH$4:NJ$4,""),"")</f>
        <v/>
      </c>
      <c r="NN36" cm="1">
        <f t="array" ref="NN36:NR36">SUMIFS($J36:$GG36,$J$3:$GG$3,NN$3:NR$3)</f>
        <v>0</v>
      </c>
      <c r="NO36">
        <v>0</v>
      </c>
      <c r="NP36">
        <v>0</v>
      </c>
      <c r="NQ36">
        <v>0</v>
      </c>
      <c r="NR36">
        <v>0</v>
      </c>
      <c r="NS36" cm="1">
        <f t="array" ref="NS36">IFERROR(MAX((_xlfn.ANCHORARRAY(NN36)-AVERAGE(_xlfn.ANCHORARRAY(NN36)))/ AVERAGE(_xlfn.ANCHORARRAY(NN36))),0)</f>
        <v>0</v>
      </c>
      <c r="NT36" t="str" cm="1">
        <f t="array" ref="NT36">IF(AND(NS36&gt;$NT$1,NL36&lt;&gt;""),_xlfn.XLOOKUP(MAX(_xlfn.ANCHORARRAY(NN36)),_xlfn.ANCHORARRAY(NN36),NN$4:NR$4,""),"")</f>
        <v/>
      </c>
      <c r="NV36" cm="1">
        <f t="array" ref="NV36:OE36">SUMIFS($J36:$GG36,$J$2:$GG$2,NV$3:OE$3)</f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 cm="1">
        <f t="array" ref="OF36">IFERROR(MAX((_xlfn.ANCHORARRAY(NV36)-AVERAGE(_xlfn.ANCHORARRAY(NV36)))/ AVERAGE(_xlfn.ANCHORARRAY(NV36))),0)</f>
        <v>0</v>
      </c>
      <c r="OG36" t="str" cm="1">
        <f t="array" ref="OG36">IF(OF36&gt;$OG$1,_xlfn.XLOOKUP(MAX(_xlfn.ANCHORARRAY(NV36)),_xlfn.ANCHORARRAY(NV36),NV$4:OE$4,""),"")</f>
        <v/>
      </c>
      <c r="OI36" t="str">
        <f t="shared" si="8"/>
        <v/>
      </c>
    </row>
    <row r="37" spans="1:399" x14ac:dyDescent="0.3">
      <c r="A37" s="2"/>
      <c r="B37" s="2" t="str">
        <f t="shared" si="0"/>
        <v>LLC</v>
      </c>
      <c r="C37" s="2" t="str">
        <f t="shared" si="1"/>
        <v>LLC</v>
      </c>
      <c r="D37" s="2" t="str">
        <f t="shared" si="2"/>
        <v>LLC</v>
      </c>
      <c r="E37" s="2" t="str">
        <f t="shared" si="3"/>
        <v/>
      </c>
      <c r="F37" s="2">
        <f t="shared" si="4"/>
        <v>0</v>
      </c>
      <c r="G37" s="2">
        <f t="shared" si="5"/>
        <v>0</v>
      </c>
      <c r="H37" s="2">
        <f t="shared" si="6"/>
        <v>0</v>
      </c>
      <c r="I37" s="2">
        <f t="shared" si="7"/>
        <v>0</v>
      </c>
      <c r="NH37" cm="1">
        <f t="array" ref="NH37:NJ37">SUMIFS($J37:$GG37,$J$1:$GG$1,NH$3:NJ$3)</f>
        <v>0</v>
      </c>
      <c r="NI37">
        <v>0</v>
      </c>
      <c r="NJ37">
        <v>0</v>
      </c>
      <c r="NK37" cm="1">
        <f t="array" ref="NK37">IFERROR(MAX((_xlfn.ANCHORARRAY(NH37)-AVERAGE(_xlfn.ANCHORARRAY(NH37)))/ AVERAGE(_xlfn.ANCHORARRAY(NH37))),0)</f>
        <v>0</v>
      </c>
      <c r="NL37" t="str" cm="1">
        <f t="array" ref="NL37">IF(NK37&gt;$NL$1,_xlfn.XLOOKUP(MAX(_xlfn.ANCHORARRAY(NH37)),_xlfn.ANCHORARRAY(NH37),NH$4:NJ$4,""),"")</f>
        <v/>
      </c>
      <c r="NN37" cm="1">
        <f t="array" ref="NN37:NR37">SUMIFS($J37:$GG37,$J$3:$GG$3,NN$3:NR$3)</f>
        <v>0</v>
      </c>
      <c r="NO37">
        <v>0</v>
      </c>
      <c r="NP37">
        <v>0</v>
      </c>
      <c r="NQ37">
        <v>0</v>
      </c>
      <c r="NR37">
        <v>0</v>
      </c>
      <c r="NS37" cm="1">
        <f t="array" ref="NS37">IFERROR(MAX((_xlfn.ANCHORARRAY(NN37)-AVERAGE(_xlfn.ANCHORARRAY(NN37)))/ AVERAGE(_xlfn.ANCHORARRAY(NN37))),0)</f>
        <v>0</v>
      </c>
      <c r="NT37" t="str" cm="1">
        <f t="array" ref="NT37">IF(AND(NS37&gt;$NT$1,NL37&lt;&gt;""),_xlfn.XLOOKUP(MAX(_xlfn.ANCHORARRAY(NN37)),_xlfn.ANCHORARRAY(NN37),NN$4:NR$4,""),"")</f>
        <v/>
      </c>
      <c r="NV37" cm="1">
        <f t="array" ref="NV37:OE37">SUMIFS($J37:$GG37,$J$2:$GG$2,NV$3:OE$3)</f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 cm="1">
        <f t="array" ref="OF37">IFERROR(MAX((_xlfn.ANCHORARRAY(NV37)-AVERAGE(_xlfn.ANCHORARRAY(NV37)))/ AVERAGE(_xlfn.ANCHORARRAY(NV37))),0)</f>
        <v>0</v>
      </c>
      <c r="OG37" t="str" cm="1">
        <f t="array" ref="OG37">IF(OF37&gt;$OG$1,_xlfn.XLOOKUP(MAX(_xlfn.ANCHORARRAY(NV37)),_xlfn.ANCHORARRAY(NV37),NV$4:OE$4,""),"")</f>
        <v/>
      </c>
      <c r="OI37" t="str">
        <f t="shared" si="8"/>
        <v/>
      </c>
    </row>
    <row r="38" spans="1:399" x14ac:dyDescent="0.3">
      <c r="A38" s="2"/>
      <c r="B38" s="2" t="str">
        <f t="shared" si="0"/>
        <v>LLC</v>
      </c>
      <c r="C38" s="2" t="str">
        <f t="shared" si="1"/>
        <v>LLC</v>
      </c>
      <c r="D38" s="2" t="str">
        <f t="shared" si="2"/>
        <v>LLC</v>
      </c>
      <c r="E38" s="2" t="str">
        <f t="shared" si="3"/>
        <v/>
      </c>
      <c r="F38" s="2">
        <f t="shared" si="4"/>
        <v>0</v>
      </c>
      <c r="G38" s="2">
        <f t="shared" si="5"/>
        <v>0</v>
      </c>
      <c r="H38" s="2">
        <f t="shared" si="6"/>
        <v>0</v>
      </c>
      <c r="I38" s="2">
        <f t="shared" si="7"/>
        <v>0</v>
      </c>
      <c r="NH38" cm="1">
        <f t="array" ref="NH38:NJ38">SUMIFS($J38:$GG38,$J$1:$GG$1,NH$3:NJ$3)</f>
        <v>0</v>
      </c>
      <c r="NI38">
        <v>0</v>
      </c>
      <c r="NJ38">
        <v>0</v>
      </c>
      <c r="NK38" cm="1">
        <f t="array" ref="NK38">IFERROR(MAX((_xlfn.ANCHORARRAY(NH38)-AVERAGE(_xlfn.ANCHORARRAY(NH38)))/ AVERAGE(_xlfn.ANCHORARRAY(NH38))),0)</f>
        <v>0</v>
      </c>
      <c r="NL38" t="str" cm="1">
        <f t="array" ref="NL38">IF(NK38&gt;$NL$1,_xlfn.XLOOKUP(MAX(_xlfn.ANCHORARRAY(NH38)),_xlfn.ANCHORARRAY(NH38),NH$4:NJ$4,""),"")</f>
        <v/>
      </c>
      <c r="NN38" cm="1">
        <f t="array" ref="NN38:NR38">SUMIFS($J38:$GG38,$J$3:$GG$3,NN$3:NR$3)</f>
        <v>0</v>
      </c>
      <c r="NO38">
        <v>0</v>
      </c>
      <c r="NP38">
        <v>0</v>
      </c>
      <c r="NQ38">
        <v>0</v>
      </c>
      <c r="NR38">
        <v>0</v>
      </c>
      <c r="NS38" cm="1">
        <f t="array" ref="NS38">IFERROR(MAX((_xlfn.ANCHORARRAY(NN38)-AVERAGE(_xlfn.ANCHORARRAY(NN38)))/ AVERAGE(_xlfn.ANCHORARRAY(NN38))),0)</f>
        <v>0</v>
      </c>
      <c r="NT38" t="str" cm="1">
        <f t="array" ref="NT38">IF(AND(NS38&gt;$NT$1,NL38&lt;&gt;""),_xlfn.XLOOKUP(MAX(_xlfn.ANCHORARRAY(NN38)),_xlfn.ANCHORARRAY(NN38),NN$4:NR$4,""),"")</f>
        <v/>
      </c>
      <c r="NV38" cm="1">
        <f t="array" ref="NV38:OE38">SUMIFS($J38:$GG38,$J$2:$GG$2,NV$3:OE$3)</f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 cm="1">
        <f t="array" ref="OF38">IFERROR(MAX((_xlfn.ANCHORARRAY(NV38)-AVERAGE(_xlfn.ANCHORARRAY(NV38)))/ AVERAGE(_xlfn.ANCHORARRAY(NV38))),0)</f>
        <v>0</v>
      </c>
      <c r="OG38" t="str" cm="1">
        <f t="array" ref="OG38">IF(OF38&gt;$OG$1,_xlfn.XLOOKUP(MAX(_xlfn.ANCHORARRAY(NV38)),_xlfn.ANCHORARRAY(NV38),NV$4:OE$4,""),"")</f>
        <v/>
      </c>
      <c r="OI38" t="str">
        <f t="shared" si="8"/>
        <v/>
      </c>
    </row>
    <row r="39" spans="1:399" x14ac:dyDescent="0.3">
      <c r="A39" s="2"/>
      <c r="B39" s="2" t="str">
        <f t="shared" si="0"/>
        <v>LLC</v>
      </c>
      <c r="C39" s="2" t="str">
        <f t="shared" si="1"/>
        <v>LLC</v>
      </c>
      <c r="D39" s="2" t="str">
        <f t="shared" si="2"/>
        <v>LLC</v>
      </c>
      <c r="E39" s="2" t="str">
        <f t="shared" si="3"/>
        <v/>
      </c>
      <c r="F39" s="2">
        <f t="shared" si="4"/>
        <v>0</v>
      </c>
      <c r="G39" s="2">
        <f t="shared" si="5"/>
        <v>0</v>
      </c>
      <c r="H39" s="2">
        <f t="shared" si="6"/>
        <v>0</v>
      </c>
      <c r="I39" s="2">
        <f t="shared" si="7"/>
        <v>0</v>
      </c>
      <c r="NH39" cm="1">
        <f t="array" ref="NH39:NJ39">SUMIFS($J39:$GG39,$J$1:$GG$1,NH$3:NJ$3)</f>
        <v>0</v>
      </c>
      <c r="NI39">
        <v>0</v>
      </c>
      <c r="NJ39">
        <v>0</v>
      </c>
      <c r="NK39" cm="1">
        <f t="array" ref="NK39">IFERROR(MAX((_xlfn.ANCHORARRAY(NH39)-AVERAGE(_xlfn.ANCHORARRAY(NH39)))/ AVERAGE(_xlfn.ANCHORARRAY(NH39))),0)</f>
        <v>0</v>
      </c>
      <c r="NL39" t="str" cm="1">
        <f t="array" ref="NL39">IF(NK39&gt;$NL$1,_xlfn.XLOOKUP(MAX(_xlfn.ANCHORARRAY(NH39)),_xlfn.ANCHORARRAY(NH39),NH$4:NJ$4,""),"")</f>
        <v/>
      </c>
      <c r="NN39" cm="1">
        <f t="array" ref="NN39:NR39">SUMIFS($J39:$GG39,$J$3:$GG$3,NN$3:NR$3)</f>
        <v>0</v>
      </c>
      <c r="NO39">
        <v>0</v>
      </c>
      <c r="NP39">
        <v>0</v>
      </c>
      <c r="NQ39">
        <v>0</v>
      </c>
      <c r="NR39">
        <v>0</v>
      </c>
      <c r="NS39" cm="1">
        <f t="array" ref="NS39">IFERROR(MAX((_xlfn.ANCHORARRAY(NN39)-AVERAGE(_xlfn.ANCHORARRAY(NN39)))/ AVERAGE(_xlfn.ANCHORARRAY(NN39))),0)</f>
        <v>0</v>
      </c>
      <c r="NT39" t="str" cm="1">
        <f t="array" ref="NT39">IF(AND(NS39&gt;$NT$1,NL39&lt;&gt;""),_xlfn.XLOOKUP(MAX(_xlfn.ANCHORARRAY(NN39)),_xlfn.ANCHORARRAY(NN39),NN$4:NR$4,""),"")</f>
        <v/>
      </c>
      <c r="NV39" cm="1">
        <f t="array" ref="NV39:OE39">SUMIFS($J39:$GG39,$J$2:$GG$2,NV$3:OE$3)</f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 cm="1">
        <f t="array" ref="OF39">IFERROR(MAX((_xlfn.ANCHORARRAY(NV39)-AVERAGE(_xlfn.ANCHORARRAY(NV39)))/ AVERAGE(_xlfn.ANCHORARRAY(NV39))),0)</f>
        <v>0</v>
      </c>
      <c r="OG39" t="str" cm="1">
        <f t="array" ref="OG39">IF(OF39&gt;$OG$1,_xlfn.XLOOKUP(MAX(_xlfn.ANCHORARRAY(NV39)),_xlfn.ANCHORARRAY(NV39),NV$4:OE$4,""),"")</f>
        <v/>
      </c>
      <c r="OI39" t="str">
        <f t="shared" si="8"/>
        <v/>
      </c>
    </row>
    <row r="40" spans="1:399" x14ac:dyDescent="0.3">
      <c r="A40" s="2"/>
      <c r="B40" s="2" t="str">
        <f t="shared" si="0"/>
        <v>LLC</v>
      </c>
      <c r="C40" s="2" t="str">
        <f t="shared" si="1"/>
        <v>LLC</v>
      </c>
      <c r="D40" s="2" t="str">
        <f t="shared" si="2"/>
        <v>LLC</v>
      </c>
      <c r="E40" s="2" t="str">
        <f t="shared" si="3"/>
        <v/>
      </c>
      <c r="F40" s="2">
        <f t="shared" si="4"/>
        <v>0</v>
      </c>
      <c r="G40" s="2">
        <f t="shared" si="5"/>
        <v>0</v>
      </c>
      <c r="H40" s="2">
        <f t="shared" si="6"/>
        <v>0</v>
      </c>
      <c r="I40" s="2">
        <f t="shared" si="7"/>
        <v>0</v>
      </c>
      <c r="NH40" cm="1">
        <f t="array" ref="NH40:NJ40">SUMIFS($J40:$GG40,$J$1:$GG$1,NH$3:NJ$3)</f>
        <v>0</v>
      </c>
      <c r="NI40">
        <v>0</v>
      </c>
      <c r="NJ40">
        <v>0</v>
      </c>
      <c r="NK40" cm="1">
        <f t="array" ref="NK40">IFERROR(MAX((_xlfn.ANCHORARRAY(NH40)-AVERAGE(_xlfn.ANCHORARRAY(NH40)))/ AVERAGE(_xlfn.ANCHORARRAY(NH40))),0)</f>
        <v>0</v>
      </c>
      <c r="NL40" t="str" cm="1">
        <f t="array" ref="NL40">IF(NK40&gt;$NL$1,_xlfn.XLOOKUP(MAX(_xlfn.ANCHORARRAY(NH40)),_xlfn.ANCHORARRAY(NH40),NH$4:NJ$4,""),"")</f>
        <v/>
      </c>
      <c r="NN40" cm="1">
        <f t="array" ref="NN40:NR40">SUMIFS($J40:$GG40,$J$3:$GG$3,NN$3:NR$3)</f>
        <v>0</v>
      </c>
      <c r="NO40">
        <v>0</v>
      </c>
      <c r="NP40">
        <v>0</v>
      </c>
      <c r="NQ40">
        <v>0</v>
      </c>
      <c r="NR40">
        <v>0</v>
      </c>
      <c r="NS40" cm="1">
        <f t="array" ref="NS40">IFERROR(MAX((_xlfn.ANCHORARRAY(NN40)-AVERAGE(_xlfn.ANCHORARRAY(NN40)))/ AVERAGE(_xlfn.ANCHORARRAY(NN40))),0)</f>
        <v>0</v>
      </c>
      <c r="NT40" t="str" cm="1">
        <f t="array" ref="NT40">IF(AND(NS40&gt;$NT$1,NL40&lt;&gt;""),_xlfn.XLOOKUP(MAX(_xlfn.ANCHORARRAY(NN40)),_xlfn.ANCHORARRAY(NN40),NN$4:NR$4,""),"")</f>
        <v/>
      </c>
      <c r="NV40" cm="1">
        <f t="array" ref="NV40:OE40">SUMIFS($J40:$GG40,$J$2:$GG$2,NV$3:OE$3)</f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 cm="1">
        <f t="array" ref="OF40">IFERROR(MAX((_xlfn.ANCHORARRAY(NV40)-AVERAGE(_xlfn.ANCHORARRAY(NV40)))/ AVERAGE(_xlfn.ANCHORARRAY(NV40))),0)</f>
        <v>0</v>
      </c>
      <c r="OG40" t="str" cm="1">
        <f t="array" ref="OG40">IF(OF40&gt;$OG$1,_xlfn.XLOOKUP(MAX(_xlfn.ANCHORARRAY(NV40)),_xlfn.ANCHORARRAY(NV40),NV$4:OE$4,""),"")</f>
        <v/>
      </c>
      <c r="OI40" t="str">
        <f t="shared" si="8"/>
        <v/>
      </c>
    </row>
    <row r="41" spans="1:399" x14ac:dyDescent="0.3">
      <c r="A41" s="2"/>
      <c r="B41" s="2" t="str">
        <f t="shared" si="0"/>
        <v>LLC</v>
      </c>
      <c r="C41" s="2" t="str">
        <f t="shared" si="1"/>
        <v>LLC</v>
      </c>
      <c r="D41" s="2" t="str">
        <f t="shared" si="2"/>
        <v>LLC</v>
      </c>
      <c r="E41" s="2" t="str">
        <f t="shared" si="3"/>
        <v/>
      </c>
      <c r="F41" s="2">
        <f t="shared" si="4"/>
        <v>0</v>
      </c>
      <c r="G41" s="2">
        <f t="shared" si="5"/>
        <v>0</v>
      </c>
      <c r="H41" s="2">
        <f t="shared" si="6"/>
        <v>0</v>
      </c>
      <c r="I41" s="2">
        <f t="shared" si="7"/>
        <v>0</v>
      </c>
      <c r="NH41" cm="1">
        <f t="array" ref="NH41:NJ41">SUMIFS($J41:$GG41,$J$1:$GG$1,NH$3:NJ$3)</f>
        <v>0</v>
      </c>
      <c r="NI41">
        <v>0</v>
      </c>
      <c r="NJ41">
        <v>0</v>
      </c>
      <c r="NK41" cm="1">
        <f t="array" ref="NK41">IFERROR(MAX((_xlfn.ANCHORARRAY(NH41)-AVERAGE(_xlfn.ANCHORARRAY(NH41)))/ AVERAGE(_xlfn.ANCHORARRAY(NH41))),0)</f>
        <v>0</v>
      </c>
      <c r="NL41" t="str" cm="1">
        <f t="array" ref="NL41">IF(NK41&gt;$NL$1,_xlfn.XLOOKUP(MAX(_xlfn.ANCHORARRAY(NH41)),_xlfn.ANCHORARRAY(NH41),NH$4:NJ$4,""),"")</f>
        <v/>
      </c>
      <c r="NN41" cm="1">
        <f t="array" ref="NN41:NR41">SUMIFS($J41:$GG41,$J$3:$GG$3,NN$3:NR$3)</f>
        <v>0</v>
      </c>
      <c r="NO41">
        <v>0</v>
      </c>
      <c r="NP41">
        <v>0</v>
      </c>
      <c r="NQ41">
        <v>0</v>
      </c>
      <c r="NR41">
        <v>0</v>
      </c>
      <c r="NS41" cm="1">
        <f t="array" ref="NS41">IFERROR(MAX((_xlfn.ANCHORARRAY(NN41)-AVERAGE(_xlfn.ANCHORARRAY(NN41)))/ AVERAGE(_xlfn.ANCHORARRAY(NN41))),0)</f>
        <v>0</v>
      </c>
      <c r="NT41" t="str" cm="1">
        <f t="array" ref="NT41">IF(AND(NS41&gt;$NT$1,NL41&lt;&gt;""),_xlfn.XLOOKUP(MAX(_xlfn.ANCHORARRAY(NN41)),_xlfn.ANCHORARRAY(NN41),NN$4:NR$4,""),"")</f>
        <v/>
      </c>
      <c r="NV41" cm="1">
        <f t="array" ref="NV41:OE41">SUMIFS($J41:$GG41,$J$2:$GG$2,NV$3:OE$3)</f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 cm="1">
        <f t="array" ref="OF41">IFERROR(MAX((_xlfn.ANCHORARRAY(NV41)-AVERAGE(_xlfn.ANCHORARRAY(NV41)))/ AVERAGE(_xlfn.ANCHORARRAY(NV41))),0)</f>
        <v>0</v>
      </c>
      <c r="OG41" t="str" cm="1">
        <f t="array" ref="OG41">IF(OF41&gt;$OG$1,_xlfn.XLOOKUP(MAX(_xlfn.ANCHORARRAY(NV41)),_xlfn.ANCHORARRAY(NV41),NV$4:OE$4,""),"")</f>
        <v/>
      </c>
      <c r="OI41" t="str">
        <f t="shared" si="8"/>
        <v/>
      </c>
    </row>
    <row r="42" spans="1:399" x14ac:dyDescent="0.3">
      <c r="A42" s="2"/>
      <c r="B42" s="2" t="str">
        <f t="shared" si="0"/>
        <v>LLC</v>
      </c>
      <c r="C42" s="2" t="str">
        <f t="shared" si="1"/>
        <v>LLC</v>
      </c>
      <c r="D42" s="2" t="str">
        <f t="shared" si="2"/>
        <v>LLC</v>
      </c>
      <c r="E42" s="2" t="str">
        <f t="shared" si="3"/>
        <v/>
      </c>
      <c r="F42" s="2">
        <f t="shared" si="4"/>
        <v>0</v>
      </c>
      <c r="G42" s="2">
        <f t="shared" si="5"/>
        <v>0</v>
      </c>
      <c r="H42" s="2">
        <f t="shared" si="6"/>
        <v>0</v>
      </c>
      <c r="I42" s="2">
        <f t="shared" si="7"/>
        <v>0</v>
      </c>
      <c r="NH42" cm="1">
        <f t="array" ref="NH42:NJ42">SUMIFS($J42:$GG42,$J$1:$GG$1,NH$3:NJ$3)</f>
        <v>0</v>
      </c>
      <c r="NI42">
        <v>0</v>
      </c>
      <c r="NJ42">
        <v>0</v>
      </c>
      <c r="NK42" cm="1">
        <f t="array" ref="NK42">IFERROR(MAX((_xlfn.ANCHORARRAY(NH42)-AVERAGE(_xlfn.ANCHORARRAY(NH42)))/ AVERAGE(_xlfn.ANCHORARRAY(NH42))),0)</f>
        <v>0</v>
      </c>
      <c r="NL42" t="str" cm="1">
        <f t="array" ref="NL42">IF(NK42&gt;$NL$1,_xlfn.XLOOKUP(MAX(_xlfn.ANCHORARRAY(NH42)),_xlfn.ANCHORARRAY(NH42),NH$4:NJ$4,""),"")</f>
        <v/>
      </c>
      <c r="NN42" cm="1">
        <f t="array" ref="NN42:NR42">SUMIFS($J42:$GG42,$J$3:$GG$3,NN$3:NR$3)</f>
        <v>0</v>
      </c>
      <c r="NO42">
        <v>0</v>
      </c>
      <c r="NP42">
        <v>0</v>
      </c>
      <c r="NQ42">
        <v>0</v>
      </c>
      <c r="NR42">
        <v>0</v>
      </c>
      <c r="NS42" cm="1">
        <f t="array" ref="NS42">IFERROR(MAX((_xlfn.ANCHORARRAY(NN42)-AVERAGE(_xlfn.ANCHORARRAY(NN42)))/ AVERAGE(_xlfn.ANCHORARRAY(NN42))),0)</f>
        <v>0</v>
      </c>
      <c r="NT42" t="str" cm="1">
        <f t="array" ref="NT42">IF(AND(NS42&gt;$NT$1,NL42&lt;&gt;""),_xlfn.XLOOKUP(MAX(_xlfn.ANCHORARRAY(NN42)),_xlfn.ANCHORARRAY(NN42),NN$4:NR$4,""),"")</f>
        <v/>
      </c>
      <c r="NV42" cm="1">
        <f t="array" ref="NV42:OE42">SUMIFS($J42:$GG42,$J$2:$GG$2,NV$3:OE$3)</f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 cm="1">
        <f t="array" ref="OF42">IFERROR(MAX((_xlfn.ANCHORARRAY(NV42)-AVERAGE(_xlfn.ANCHORARRAY(NV42)))/ AVERAGE(_xlfn.ANCHORARRAY(NV42))),0)</f>
        <v>0</v>
      </c>
      <c r="OG42" t="str" cm="1">
        <f t="array" ref="OG42">IF(OF42&gt;$OG$1,_xlfn.XLOOKUP(MAX(_xlfn.ANCHORARRAY(NV42)),_xlfn.ANCHORARRAY(NV42),NV$4:OE$4,""),"")</f>
        <v/>
      </c>
      <c r="OI42" t="str">
        <f t="shared" si="8"/>
        <v/>
      </c>
    </row>
    <row r="43" spans="1:399" x14ac:dyDescent="0.3">
      <c r="A43" s="2"/>
      <c r="B43" s="2" t="str">
        <f t="shared" si="0"/>
        <v>LLC</v>
      </c>
      <c r="C43" s="2" t="str">
        <f t="shared" si="1"/>
        <v>LLC</v>
      </c>
      <c r="D43" s="2" t="str">
        <f t="shared" si="2"/>
        <v>LLC</v>
      </c>
      <c r="E43" s="2" t="str">
        <f t="shared" si="3"/>
        <v/>
      </c>
      <c r="F43" s="2">
        <f t="shared" si="4"/>
        <v>0</v>
      </c>
      <c r="G43" s="2">
        <f t="shared" si="5"/>
        <v>0</v>
      </c>
      <c r="H43" s="2">
        <f t="shared" si="6"/>
        <v>0</v>
      </c>
      <c r="I43" s="2">
        <f t="shared" si="7"/>
        <v>0</v>
      </c>
      <c r="NH43" cm="1">
        <f t="array" ref="NH43:NJ43">SUMIFS($J43:$GG43,$J$1:$GG$1,NH$3:NJ$3)</f>
        <v>0</v>
      </c>
      <c r="NI43">
        <v>0</v>
      </c>
      <c r="NJ43">
        <v>0</v>
      </c>
      <c r="NK43" cm="1">
        <f t="array" ref="NK43">IFERROR(MAX((_xlfn.ANCHORARRAY(NH43)-AVERAGE(_xlfn.ANCHORARRAY(NH43)))/ AVERAGE(_xlfn.ANCHORARRAY(NH43))),0)</f>
        <v>0</v>
      </c>
      <c r="NL43" t="str" cm="1">
        <f t="array" ref="NL43">IF(NK43&gt;$NL$1,_xlfn.XLOOKUP(MAX(_xlfn.ANCHORARRAY(NH43)),_xlfn.ANCHORARRAY(NH43),NH$4:NJ$4,""),"")</f>
        <v/>
      </c>
      <c r="NN43" cm="1">
        <f t="array" ref="NN43:NR43">SUMIFS($J43:$GG43,$J$3:$GG$3,NN$3:NR$3)</f>
        <v>0</v>
      </c>
      <c r="NO43">
        <v>0</v>
      </c>
      <c r="NP43">
        <v>0</v>
      </c>
      <c r="NQ43">
        <v>0</v>
      </c>
      <c r="NR43">
        <v>0</v>
      </c>
      <c r="NS43" cm="1">
        <f t="array" ref="NS43">IFERROR(MAX((_xlfn.ANCHORARRAY(NN43)-AVERAGE(_xlfn.ANCHORARRAY(NN43)))/ AVERAGE(_xlfn.ANCHORARRAY(NN43))),0)</f>
        <v>0</v>
      </c>
      <c r="NT43" t="str" cm="1">
        <f t="array" ref="NT43">IF(AND(NS43&gt;$NT$1,NL43&lt;&gt;""),_xlfn.XLOOKUP(MAX(_xlfn.ANCHORARRAY(NN43)),_xlfn.ANCHORARRAY(NN43),NN$4:NR$4,""),"")</f>
        <v/>
      </c>
      <c r="NV43" cm="1">
        <f t="array" ref="NV43:OE43">SUMIFS($J43:$GG43,$J$2:$GG$2,NV$3:OE$3)</f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 cm="1">
        <f t="array" ref="OF43">IFERROR(MAX((_xlfn.ANCHORARRAY(NV43)-AVERAGE(_xlfn.ANCHORARRAY(NV43)))/ AVERAGE(_xlfn.ANCHORARRAY(NV43))),0)</f>
        <v>0</v>
      </c>
      <c r="OG43" t="str" cm="1">
        <f t="array" ref="OG43">IF(OF43&gt;$OG$1,_xlfn.XLOOKUP(MAX(_xlfn.ANCHORARRAY(NV43)),_xlfn.ANCHORARRAY(NV43),NV$4:OE$4,""),"")</f>
        <v/>
      </c>
      <c r="OI43" t="str">
        <f t="shared" si="8"/>
        <v/>
      </c>
    </row>
    <row r="44" spans="1:399" x14ac:dyDescent="0.3">
      <c r="A44" s="2"/>
      <c r="B44" s="2" t="str">
        <f t="shared" si="0"/>
        <v>LLC</v>
      </c>
      <c r="C44" s="2" t="str">
        <f t="shared" si="1"/>
        <v>LLC</v>
      </c>
      <c r="D44" s="2" t="str">
        <f t="shared" si="2"/>
        <v>LLC</v>
      </c>
      <c r="E44" s="2" t="str">
        <f t="shared" si="3"/>
        <v/>
      </c>
      <c r="F44" s="2">
        <f t="shared" si="4"/>
        <v>0</v>
      </c>
      <c r="G44" s="2">
        <f t="shared" si="5"/>
        <v>0</v>
      </c>
      <c r="H44" s="2">
        <f t="shared" si="6"/>
        <v>0</v>
      </c>
      <c r="I44" s="2">
        <f t="shared" si="7"/>
        <v>0</v>
      </c>
      <c r="NH44" cm="1">
        <f t="array" ref="NH44:NJ44">SUMIFS($J44:$GG44,$J$1:$GG$1,NH$3:NJ$3)</f>
        <v>0</v>
      </c>
      <c r="NI44">
        <v>0</v>
      </c>
      <c r="NJ44">
        <v>0</v>
      </c>
      <c r="NK44" cm="1">
        <f t="array" ref="NK44">IFERROR(MAX((_xlfn.ANCHORARRAY(NH44)-AVERAGE(_xlfn.ANCHORARRAY(NH44)))/ AVERAGE(_xlfn.ANCHORARRAY(NH44))),0)</f>
        <v>0</v>
      </c>
      <c r="NL44" t="str" cm="1">
        <f t="array" ref="NL44">IF(NK44&gt;$NL$1,_xlfn.XLOOKUP(MAX(_xlfn.ANCHORARRAY(NH44)),_xlfn.ANCHORARRAY(NH44),NH$4:NJ$4,""),"")</f>
        <v/>
      </c>
      <c r="NN44" cm="1">
        <f t="array" ref="NN44:NR44">SUMIFS($J44:$GG44,$J$3:$GG$3,NN$3:NR$3)</f>
        <v>0</v>
      </c>
      <c r="NO44">
        <v>0</v>
      </c>
      <c r="NP44">
        <v>0</v>
      </c>
      <c r="NQ44">
        <v>0</v>
      </c>
      <c r="NR44">
        <v>0</v>
      </c>
      <c r="NS44" cm="1">
        <f t="array" ref="NS44">IFERROR(MAX((_xlfn.ANCHORARRAY(NN44)-AVERAGE(_xlfn.ANCHORARRAY(NN44)))/ AVERAGE(_xlfn.ANCHORARRAY(NN44))),0)</f>
        <v>0</v>
      </c>
      <c r="NT44" t="str" cm="1">
        <f t="array" ref="NT44">IF(AND(NS44&gt;$NT$1,NL44&lt;&gt;""),_xlfn.XLOOKUP(MAX(_xlfn.ANCHORARRAY(NN44)),_xlfn.ANCHORARRAY(NN44),NN$4:NR$4,""),"")</f>
        <v/>
      </c>
      <c r="NV44" cm="1">
        <f t="array" ref="NV44:OE44">SUMIFS($J44:$GG44,$J$2:$GG$2,NV$3:OE$3)</f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 cm="1">
        <f t="array" ref="OF44">IFERROR(MAX((_xlfn.ANCHORARRAY(NV44)-AVERAGE(_xlfn.ANCHORARRAY(NV44)))/ AVERAGE(_xlfn.ANCHORARRAY(NV44))),0)</f>
        <v>0</v>
      </c>
      <c r="OG44" t="str" cm="1">
        <f t="array" ref="OG44">IF(OF44&gt;$OG$1,_xlfn.XLOOKUP(MAX(_xlfn.ANCHORARRAY(NV44)),_xlfn.ANCHORARRAY(NV44),NV$4:OE$4,""),"")</f>
        <v/>
      </c>
      <c r="OI44" t="str">
        <f t="shared" si="8"/>
        <v/>
      </c>
    </row>
    <row r="45" spans="1:399" x14ac:dyDescent="0.3">
      <c r="A45" s="2"/>
      <c r="B45" s="2" t="str">
        <f t="shared" si="0"/>
        <v>LLC</v>
      </c>
      <c r="C45" s="2" t="str">
        <f t="shared" si="1"/>
        <v>LLC</v>
      </c>
      <c r="D45" s="2" t="str">
        <f t="shared" si="2"/>
        <v>LLC</v>
      </c>
      <c r="E45" s="2" t="str">
        <f t="shared" si="3"/>
        <v/>
      </c>
      <c r="F45" s="2">
        <f t="shared" si="4"/>
        <v>0</v>
      </c>
      <c r="G45" s="2">
        <f t="shared" si="5"/>
        <v>0</v>
      </c>
      <c r="H45" s="2">
        <f t="shared" si="6"/>
        <v>0</v>
      </c>
      <c r="I45" s="2">
        <f t="shared" si="7"/>
        <v>0</v>
      </c>
      <c r="NH45" cm="1">
        <f t="array" ref="NH45:NJ45">SUMIFS($J45:$GG45,$J$1:$GG$1,NH$3:NJ$3)</f>
        <v>0</v>
      </c>
      <c r="NI45">
        <v>0</v>
      </c>
      <c r="NJ45">
        <v>0</v>
      </c>
      <c r="NK45" cm="1">
        <f t="array" ref="NK45">IFERROR(MAX((_xlfn.ANCHORARRAY(NH45)-AVERAGE(_xlfn.ANCHORARRAY(NH45)))/ AVERAGE(_xlfn.ANCHORARRAY(NH45))),0)</f>
        <v>0</v>
      </c>
      <c r="NL45" t="str" cm="1">
        <f t="array" ref="NL45">IF(NK45&gt;$NL$1,_xlfn.XLOOKUP(MAX(_xlfn.ANCHORARRAY(NH45)),_xlfn.ANCHORARRAY(NH45),NH$4:NJ$4,""),"")</f>
        <v/>
      </c>
      <c r="NN45" cm="1">
        <f t="array" ref="NN45:NR45">SUMIFS($J45:$GG45,$J$3:$GG$3,NN$3:NR$3)</f>
        <v>0</v>
      </c>
      <c r="NO45">
        <v>0</v>
      </c>
      <c r="NP45">
        <v>0</v>
      </c>
      <c r="NQ45">
        <v>0</v>
      </c>
      <c r="NR45">
        <v>0</v>
      </c>
      <c r="NS45" cm="1">
        <f t="array" ref="NS45">IFERROR(MAX((_xlfn.ANCHORARRAY(NN45)-AVERAGE(_xlfn.ANCHORARRAY(NN45)))/ AVERAGE(_xlfn.ANCHORARRAY(NN45))),0)</f>
        <v>0</v>
      </c>
      <c r="NT45" t="str" cm="1">
        <f t="array" ref="NT45">IF(AND(NS45&gt;$NT$1,NL45&lt;&gt;""),_xlfn.XLOOKUP(MAX(_xlfn.ANCHORARRAY(NN45)),_xlfn.ANCHORARRAY(NN45),NN$4:NR$4,""),"")</f>
        <v/>
      </c>
      <c r="NV45" cm="1">
        <f t="array" ref="NV45:OE45">SUMIFS($J45:$GG45,$J$2:$GG$2,NV$3:OE$3)</f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 cm="1">
        <f t="array" ref="OF45">IFERROR(MAX((_xlfn.ANCHORARRAY(NV45)-AVERAGE(_xlfn.ANCHORARRAY(NV45)))/ AVERAGE(_xlfn.ANCHORARRAY(NV45))),0)</f>
        <v>0</v>
      </c>
      <c r="OG45" t="str" cm="1">
        <f t="array" ref="OG45">IF(OF45&gt;$OG$1,_xlfn.XLOOKUP(MAX(_xlfn.ANCHORARRAY(NV45)),_xlfn.ANCHORARRAY(NV45),NV$4:OE$4,""),"")</f>
        <v/>
      </c>
      <c r="OI45" t="str">
        <f t="shared" si="8"/>
        <v/>
      </c>
    </row>
    <row r="46" spans="1:399" x14ac:dyDescent="0.3">
      <c r="A46" s="2"/>
      <c r="B46" s="2" t="str">
        <f t="shared" si="0"/>
        <v>LLC</v>
      </c>
      <c r="C46" s="2" t="str">
        <f t="shared" si="1"/>
        <v>LLC</v>
      </c>
      <c r="D46" s="2" t="str">
        <f t="shared" si="2"/>
        <v>LLC</v>
      </c>
      <c r="E46" s="2" t="str">
        <f t="shared" si="3"/>
        <v/>
      </c>
      <c r="F46" s="2">
        <f t="shared" si="4"/>
        <v>0</v>
      </c>
      <c r="G46" s="2">
        <f t="shared" si="5"/>
        <v>0</v>
      </c>
      <c r="H46" s="2">
        <f t="shared" si="6"/>
        <v>0</v>
      </c>
      <c r="I46" s="2">
        <f t="shared" si="7"/>
        <v>0</v>
      </c>
      <c r="NH46" cm="1">
        <f t="array" ref="NH46:NJ46">SUMIFS($J46:$GG46,$J$1:$GG$1,NH$3:NJ$3)</f>
        <v>0</v>
      </c>
      <c r="NI46">
        <v>0</v>
      </c>
      <c r="NJ46">
        <v>0</v>
      </c>
      <c r="NK46" cm="1">
        <f t="array" ref="NK46">IFERROR(MAX((_xlfn.ANCHORARRAY(NH46)-AVERAGE(_xlfn.ANCHORARRAY(NH46)))/ AVERAGE(_xlfn.ANCHORARRAY(NH46))),0)</f>
        <v>0</v>
      </c>
      <c r="NL46" t="str" cm="1">
        <f t="array" ref="NL46">IF(NK46&gt;$NL$1,_xlfn.XLOOKUP(MAX(_xlfn.ANCHORARRAY(NH46)),_xlfn.ANCHORARRAY(NH46),NH$4:NJ$4,""),"")</f>
        <v/>
      </c>
      <c r="NN46" cm="1">
        <f t="array" ref="NN46:NR46">SUMIFS($J46:$GG46,$J$3:$GG$3,NN$3:NR$3)</f>
        <v>0</v>
      </c>
      <c r="NO46">
        <v>0</v>
      </c>
      <c r="NP46">
        <v>0</v>
      </c>
      <c r="NQ46">
        <v>0</v>
      </c>
      <c r="NR46">
        <v>0</v>
      </c>
      <c r="NS46" cm="1">
        <f t="array" ref="NS46">IFERROR(MAX((_xlfn.ANCHORARRAY(NN46)-AVERAGE(_xlfn.ANCHORARRAY(NN46)))/ AVERAGE(_xlfn.ANCHORARRAY(NN46))),0)</f>
        <v>0</v>
      </c>
      <c r="NT46" t="str" cm="1">
        <f t="array" ref="NT46">IF(AND(NS46&gt;$NT$1,NL46&lt;&gt;""),_xlfn.XLOOKUP(MAX(_xlfn.ANCHORARRAY(NN46)),_xlfn.ANCHORARRAY(NN46),NN$4:NR$4,""),"")</f>
        <v/>
      </c>
      <c r="NV46" cm="1">
        <f t="array" ref="NV46:OE46">SUMIFS($J46:$GG46,$J$2:$GG$2,NV$3:OE$3)</f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 cm="1">
        <f t="array" ref="OF46">IFERROR(MAX((_xlfn.ANCHORARRAY(NV46)-AVERAGE(_xlfn.ANCHORARRAY(NV46)))/ AVERAGE(_xlfn.ANCHORARRAY(NV46))),0)</f>
        <v>0</v>
      </c>
      <c r="OG46" t="str" cm="1">
        <f t="array" ref="OG46">IF(OF46&gt;$OG$1,_xlfn.XLOOKUP(MAX(_xlfn.ANCHORARRAY(NV46)),_xlfn.ANCHORARRAY(NV46),NV$4:OE$4,""),"")</f>
        <v/>
      </c>
      <c r="OI46" t="str">
        <f t="shared" si="8"/>
        <v/>
      </c>
    </row>
    <row r="47" spans="1:399" x14ac:dyDescent="0.3">
      <c r="A47" s="2"/>
      <c r="B47" s="2" t="str">
        <f t="shared" si="0"/>
        <v>LLC</v>
      </c>
      <c r="C47" s="2" t="str">
        <f t="shared" si="1"/>
        <v>LLC</v>
      </c>
      <c r="D47" s="2" t="str">
        <f t="shared" si="2"/>
        <v>LLC</v>
      </c>
      <c r="E47" s="2" t="str">
        <f t="shared" si="3"/>
        <v/>
      </c>
      <c r="F47" s="2">
        <f t="shared" si="4"/>
        <v>0</v>
      </c>
      <c r="G47" s="2">
        <f t="shared" si="5"/>
        <v>0</v>
      </c>
      <c r="H47" s="2">
        <f t="shared" si="6"/>
        <v>0</v>
      </c>
      <c r="I47" s="2">
        <f t="shared" si="7"/>
        <v>0</v>
      </c>
      <c r="NH47" cm="1">
        <f t="array" ref="NH47:NJ47">SUMIFS($J47:$GG47,$J$1:$GG$1,NH$3:NJ$3)</f>
        <v>0</v>
      </c>
      <c r="NI47">
        <v>0</v>
      </c>
      <c r="NJ47">
        <v>0</v>
      </c>
      <c r="NK47" cm="1">
        <f t="array" ref="NK47">IFERROR(MAX((_xlfn.ANCHORARRAY(NH47)-AVERAGE(_xlfn.ANCHORARRAY(NH47)))/ AVERAGE(_xlfn.ANCHORARRAY(NH47))),0)</f>
        <v>0</v>
      </c>
      <c r="NL47" t="str" cm="1">
        <f t="array" ref="NL47">IF(NK47&gt;$NL$1,_xlfn.XLOOKUP(MAX(_xlfn.ANCHORARRAY(NH47)),_xlfn.ANCHORARRAY(NH47),NH$4:NJ$4,""),"")</f>
        <v/>
      </c>
      <c r="NN47" cm="1">
        <f t="array" ref="NN47:NR47">SUMIFS($J47:$GG47,$J$3:$GG$3,NN$3:NR$3)</f>
        <v>0</v>
      </c>
      <c r="NO47">
        <v>0</v>
      </c>
      <c r="NP47">
        <v>0</v>
      </c>
      <c r="NQ47">
        <v>0</v>
      </c>
      <c r="NR47">
        <v>0</v>
      </c>
      <c r="NS47" cm="1">
        <f t="array" ref="NS47">IFERROR(MAX((_xlfn.ANCHORARRAY(NN47)-AVERAGE(_xlfn.ANCHORARRAY(NN47)))/ AVERAGE(_xlfn.ANCHORARRAY(NN47))),0)</f>
        <v>0</v>
      </c>
      <c r="NT47" t="str" cm="1">
        <f t="array" ref="NT47">IF(AND(NS47&gt;$NT$1,NL47&lt;&gt;""),_xlfn.XLOOKUP(MAX(_xlfn.ANCHORARRAY(NN47)),_xlfn.ANCHORARRAY(NN47),NN$4:NR$4,""),"")</f>
        <v/>
      </c>
      <c r="NV47" cm="1">
        <f t="array" ref="NV47:OE47">SUMIFS($J47:$GG47,$J$2:$GG$2,NV$3:OE$3)</f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 cm="1">
        <f t="array" ref="OF47">IFERROR(MAX((_xlfn.ANCHORARRAY(NV47)-AVERAGE(_xlfn.ANCHORARRAY(NV47)))/ AVERAGE(_xlfn.ANCHORARRAY(NV47))),0)</f>
        <v>0</v>
      </c>
      <c r="OG47" t="str" cm="1">
        <f t="array" ref="OG47">IF(OF47&gt;$OG$1,_xlfn.XLOOKUP(MAX(_xlfn.ANCHORARRAY(NV47)),_xlfn.ANCHORARRAY(NV47),NV$4:OE$4,""),"")</f>
        <v/>
      </c>
      <c r="OI47" t="str">
        <f t="shared" si="8"/>
        <v/>
      </c>
    </row>
    <row r="48" spans="1:399" x14ac:dyDescent="0.3">
      <c r="A48" s="2"/>
      <c r="B48" s="2" t="str">
        <f t="shared" si="0"/>
        <v>LLC</v>
      </c>
      <c r="C48" s="2" t="str">
        <f t="shared" si="1"/>
        <v>LLC</v>
      </c>
      <c r="D48" s="2" t="str">
        <f t="shared" si="2"/>
        <v>LLC</v>
      </c>
      <c r="E48" s="2" t="str">
        <f t="shared" si="3"/>
        <v/>
      </c>
      <c r="F48" s="2">
        <f t="shared" si="4"/>
        <v>0</v>
      </c>
      <c r="G48" s="2">
        <f t="shared" si="5"/>
        <v>0</v>
      </c>
      <c r="H48" s="2">
        <f t="shared" si="6"/>
        <v>0</v>
      </c>
      <c r="I48" s="2">
        <f t="shared" si="7"/>
        <v>0</v>
      </c>
      <c r="NH48" cm="1">
        <f t="array" ref="NH48:NJ48">SUMIFS($J48:$GG48,$J$1:$GG$1,NH$3:NJ$3)</f>
        <v>0</v>
      </c>
      <c r="NI48">
        <v>0</v>
      </c>
      <c r="NJ48">
        <v>0</v>
      </c>
      <c r="NK48" cm="1">
        <f t="array" ref="NK48">IFERROR(MAX((_xlfn.ANCHORARRAY(NH48)-AVERAGE(_xlfn.ANCHORARRAY(NH48)))/ AVERAGE(_xlfn.ANCHORARRAY(NH48))),0)</f>
        <v>0</v>
      </c>
      <c r="NL48" t="str" cm="1">
        <f t="array" ref="NL48">IF(NK48&gt;$NL$1,_xlfn.XLOOKUP(MAX(_xlfn.ANCHORARRAY(NH48)),_xlfn.ANCHORARRAY(NH48),NH$4:NJ$4,""),"")</f>
        <v/>
      </c>
      <c r="NN48" cm="1">
        <f t="array" ref="NN48:NR48">SUMIFS($J48:$GG48,$J$3:$GG$3,NN$3:NR$3)</f>
        <v>0</v>
      </c>
      <c r="NO48">
        <v>0</v>
      </c>
      <c r="NP48">
        <v>0</v>
      </c>
      <c r="NQ48">
        <v>0</v>
      </c>
      <c r="NR48">
        <v>0</v>
      </c>
      <c r="NS48" cm="1">
        <f t="array" ref="NS48">IFERROR(MAX((_xlfn.ANCHORARRAY(NN48)-AVERAGE(_xlfn.ANCHORARRAY(NN48)))/ AVERAGE(_xlfn.ANCHORARRAY(NN48))),0)</f>
        <v>0</v>
      </c>
      <c r="NT48" t="str" cm="1">
        <f t="array" ref="NT48">IF(AND(NS48&gt;$NT$1,NL48&lt;&gt;""),_xlfn.XLOOKUP(MAX(_xlfn.ANCHORARRAY(NN48)),_xlfn.ANCHORARRAY(NN48),NN$4:NR$4,""),"")</f>
        <v/>
      </c>
      <c r="NV48" cm="1">
        <f t="array" ref="NV48:OE48">SUMIFS($J48:$GG48,$J$2:$GG$2,NV$3:OE$3)</f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 cm="1">
        <f t="array" ref="OF48">IFERROR(MAX((_xlfn.ANCHORARRAY(NV48)-AVERAGE(_xlfn.ANCHORARRAY(NV48)))/ AVERAGE(_xlfn.ANCHORARRAY(NV48))),0)</f>
        <v>0</v>
      </c>
      <c r="OG48" t="str" cm="1">
        <f t="array" ref="OG48">IF(OF48&gt;$OG$1,_xlfn.XLOOKUP(MAX(_xlfn.ANCHORARRAY(NV48)),_xlfn.ANCHORARRAY(NV48),NV$4:OE$4,""),"")</f>
        <v/>
      </c>
      <c r="OI48" t="str">
        <f t="shared" si="8"/>
        <v/>
      </c>
    </row>
    <row r="49" spans="1:399" x14ac:dyDescent="0.3">
      <c r="A49" s="2"/>
      <c r="B49" s="2" t="str">
        <f t="shared" si="0"/>
        <v>LLC</v>
      </c>
      <c r="C49" s="2" t="str">
        <f t="shared" si="1"/>
        <v>LLC</v>
      </c>
      <c r="D49" s="2" t="str">
        <f t="shared" si="2"/>
        <v>LLC</v>
      </c>
      <c r="E49" s="2" t="str">
        <f t="shared" si="3"/>
        <v/>
      </c>
      <c r="F49" s="2">
        <f t="shared" si="4"/>
        <v>0</v>
      </c>
      <c r="G49" s="2">
        <f t="shared" si="5"/>
        <v>0</v>
      </c>
      <c r="H49" s="2">
        <f t="shared" si="6"/>
        <v>0</v>
      </c>
      <c r="I49" s="2">
        <f t="shared" si="7"/>
        <v>0</v>
      </c>
      <c r="NH49" cm="1">
        <f t="array" ref="NH49:NJ49">SUMIFS($J49:$GG49,$J$1:$GG$1,NH$3:NJ$3)</f>
        <v>0</v>
      </c>
      <c r="NI49">
        <v>0</v>
      </c>
      <c r="NJ49">
        <v>0</v>
      </c>
      <c r="NK49" cm="1">
        <f t="array" ref="NK49">IFERROR(MAX((_xlfn.ANCHORARRAY(NH49)-AVERAGE(_xlfn.ANCHORARRAY(NH49)))/ AVERAGE(_xlfn.ANCHORARRAY(NH49))),0)</f>
        <v>0</v>
      </c>
      <c r="NL49" t="str" cm="1">
        <f t="array" ref="NL49">IF(NK49&gt;$NL$1,_xlfn.XLOOKUP(MAX(_xlfn.ANCHORARRAY(NH49)),_xlfn.ANCHORARRAY(NH49),NH$4:NJ$4,""),"")</f>
        <v/>
      </c>
      <c r="NN49" cm="1">
        <f t="array" ref="NN49:NR49">SUMIFS($J49:$GG49,$J$3:$GG$3,NN$3:NR$3)</f>
        <v>0</v>
      </c>
      <c r="NO49">
        <v>0</v>
      </c>
      <c r="NP49">
        <v>0</v>
      </c>
      <c r="NQ49">
        <v>0</v>
      </c>
      <c r="NR49">
        <v>0</v>
      </c>
      <c r="NS49" cm="1">
        <f t="array" ref="NS49">IFERROR(MAX((_xlfn.ANCHORARRAY(NN49)-AVERAGE(_xlfn.ANCHORARRAY(NN49)))/ AVERAGE(_xlfn.ANCHORARRAY(NN49))),0)</f>
        <v>0</v>
      </c>
      <c r="NT49" t="str" cm="1">
        <f t="array" ref="NT49">IF(AND(NS49&gt;$NT$1,NL49&lt;&gt;""),_xlfn.XLOOKUP(MAX(_xlfn.ANCHORARRAY(NN49)),_xlfn.ANCHORARRAY(NN49),NN$4:NR$4,""),"")</f>
        <v/>
      </c>
      <c r="NV49" cm="1">
        <f t="array" ref="NV49:OE49">SUMIFS($J49:$GG49,$J$2:$GG$2,NV$3:OE$3)</f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 cm="1">
        <f t="array" ref="OF49">IFERROR(MAX((_xlfn.ANCHORARRAY(NV49)-AVERAGE(_xlfn.ANCHORARRAY(NV49)))/ AVERAGE(_xlfn.ANCHORARRAY(NV49))),0)</f>
        <v>0</v>
      </c>
      <c r="OG49" t="str" cm="1">
        <f t="array" ref="OG49">IF(OF49&gt;$OG$1,_xlfn.XLOOKUP(MAX(_xlfn.ANCHORARRAY(NV49)),_xlfn.ANCHORARRAY(NV49),NV$4:OE$4,""),"")</f>
        <v/>
      </c>
      <c r="OI49" t="str">
        <f t="shared" si="8"/>
        <v/>
      </c>
    </row>
    <row r="50" spans="1:399" x14ac:dyDescent="0.3">
      <c r="A50" s="2"/>
      <c r="B50" s="2" t="str">
        <f t="shared" si="0"/>
        <v>LLC</v>
      </c>
      <c r="C50" s="2" t="str">
        <f t="shared" si="1"/>
        <v>LLC</v>
      </c>
      <c r="D50" s="2" t="str">
        <f t="shared" si="2"/>
        <v>LLC</v>
      </c>
      <c r="E50" s="2" t="str">
        <f t="shared" si="3"/>
        <v/>
      </c>
      <c r="F50" s="2">
        <f t="shared" si="4"/>
        <v>0</v>
      </c>
      <c r="G50" s="2">
        <f t="shared" si="5"/>
        <v>0</v>
      </c>
      <c r="H50" s="2">
        <f t="shared" si="6"/>
        <v>0</v>
      </c>
      <c r="I50" s="2">
        <f t="shared" si="7"/>
        <v>0</v>
      </c>
      <c r="NH50" cm="1">
        <f t="array" ref="NH50:NJ50">SUMIFS($J50:$GG50,$J$1:$GG$1,NH$3:NJ$3)</f>
        <v>0</v>
      </c>
      <c r="NI50">
        <v>0</v>
      </c>
      <c r="NJ50">
        <v>0</v>
      </c>
      <c r="NK50" cm="1">
        <f t="array" ref="NK50">IFERROR(MAX((_xlfn.ANCHORARRAY(NH50)-AVERAGE(_xlfn.ANCHORARRAY(NH50)))/ AVERAGE(_xlfn.ANCHORARRAY(NH50))),0)</f>
        <v>0</v>
      </c>
      <c r="NL50" t="str" cm="1">
        <f t="array" ref="NL50">IF(NK50&gt;$NL$1,_xlfn.XLOOKUP(MAX(_xlfn.ANCHORARRAY(NH50)),_xlfn.ANCHORARRAY(NH50),NH$4:NJ$4,""),"")</f>
        <v/>
      </c>
      <c r="NN50" cm="1">
        <f t="array" ref="NN50:NR50">SUMIFS($J50:$GG50,$J$3:$GG$3,NN$3:NR$3)</f>
        <v>0</v>
      </c>
      <c r="NO50">
        <v>0</v>
      </c>
      <c r="NP50">
        <v>0</v>
      </c>
      <c r="NQ50">
        <v>0</v>
      </c>
      <c r="NR50">
        <v>0</v>
      </c>
      <c r="NS50" cm="1">
        <f t="array" ref="NS50">IFERROR(MAX((_xlfn.ANCHORARRAY(NN50)-AVERAGE(_xlfn.ANCHORARRAY(NN50)))/ AVERAGE(_xlfn.ANCHORARRAY(NN50))),0)</f>
        <v>0</v>
      </c>
      <c r="NT50" t="str" cm="1">
        <f t="array" ref="NT50">IF(AND(NS50&gt;$NT$1,NL50&lt;&gt;""),_xlfn.XLOOKUP(MAX(_xlfn.ANCHORARRAY(NN50)),_xlfn.ANCHORARRAY(NN50),NN$4:NR$4,""),"")</f>
        <v/>
      </c>
      <c r="NV50" cm="1">
        <f t="array" ref="NV50:OE50">SUMIFS($J50:$GG50,$J$2:$GG$2,NV$3:OE$3)</f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 cm="1">
        <f t="array" ref="OF50">IFERROR(MAX((_xlfn.ANCHORARRAY(NV50)-AVERAGE(_xlfn.ANCHORARRAY(NV50)))/ AVERAGE(_xlfn.ANCHORARRAY(NV50))),0)</f>
        <v>0</v>
      </c>
      <c r="OG50" t="str" cm="1">
        <f t="array" ref="OG50">IF(OF50&gt;$OG$1,_xlfn.XLOOKUP(MAX(_xlfn.ANCHORARRAY(NV50)),_xlfn.ANCHORARRAY(NV50),NV$4:OE$4,""),"")</f>
        <v/>
      </c>
      <c r="OI50" t="str">
        <f t="shared" si="8"/>
        <v/>
      </c>
    </row>
    <row r="51" spans="1:399" x14ac:dyDescent="0.3">
      <c r="A51" s="2"/>
      <c r="B51" s="2" t="str">
        <f t="shared" si="0"/>
        <v>LLC</v>
      </c>
      <c r="C51" s="2" t="str">
        <f t="shared" si="1"/>
        <v>LLC</v>
      </c>
      <c r="D51" s="2" t="str">
        <f t="shared" si="2"/>
        <v>LLC</v>
      </c>
      <c r="E51" s="2" t="str">
        <f t="shared" si="3"/>
        <v/>
      </c>
      <c r="F51" s="2">
        <f t="shared" si="4"/>
        <v>0</v>
      </c>
      <c r="G51" s="2">
        <f t="shared" si="5"/>
        <v>0</v>
      </c>
      <c r="H51" s="2">
        <f t="shared" si="6"/>
        <v>0</v>
      </c>
      <c r="I51" s="2">
        <f t="shared" si="7"/>
        <v>0</v>
      </c>
      <c r="NH51" cm="1">
        <f t="array" ref="NH51:NJ51">SUMIFS($J51:$GG51,$J$1:$GG$1,NH$3:NJ$3)</f>
        <v>0</v>
      </c>
      <c r="NI51">
        <v>0</v>
      </c>
      <c r="NJ51">
        <v>0</v>
      </c>
      <c r="NK51" cm="1">
        <f t="array" ref="NK51">IFERROR(MAX((_xlfn.ANCHORARRAY(NH51)-AVERAGE(_xlfn.ANCHORARRAY(NH51)))/ AVERAGE(_xlfn.ANCHORARRAY(NH51))),0)</f>
        <v>0</v>
      </c>
      <c r="NL51" t="str" cm="1">
        <f t="array" ref="NL51">IF(NK51&gt;$NL$1,_xlfn.XLOOKUP(MAX(_xlfn.ANCHORARRAY(NH51)),_xlfn.ANCHORARRAY(NH51),NH$4:NJ$4,""),"")</f>
        <v/>
      </c>
      <c r="NN51" cm="1">
        <f t="array" ref="NN51:NR51">SUMIFS($J51:$GG51,$J$3:$GG$3,NN$3:NR$3)</f>
        <v>0</v>
      </c>
      <c r="NO51">
        <v>0</v>
      </c>
      <c r="NP51">
        <v>0</v>
      </c>
      <c r="NQ51">
        <v>0</v>
      </c>
      <c r="NR51">
        <v>0</v>
      </c>
      <c r="NS51" cm="1">
        <f t="array" ref="NS51">IFERROR(MAX((_xlfn.ANCHORARRAY(NN51)-AVERAGE(_xlfn.ANCHORARRAY(NN51)))/ AVERAGE(_xlfn.ANCHORARRAY(NN51))),0)</f>
        <v>0</v>
      </c>
      <c r="NT51" t="str" cm="1">
        <f t="array" ref="NT51">IF(AND(NS51&gt;$NT$1,NL51&lt;&gt;""),_xlfn.XLOOKUP(MAX(_xlfn.ANCHORARRAY(NN51)),_xlfn.ANCHORARRAY(NN51),NN$4:NR$4,""),"")</f>
        <v/>
      </c>
      <c r="NV51" cm="1">
        <f t="array" ref="NV51:OE51">SUMIFS($J51:$GG51,$J$2:$GG$2,NV$3:OE$3)</f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 cm="1">
        <f t="array" ref="OF51">IFERROR(MAX((_xlfn.ANCHORARRAY(NV51)-AVERAGE(_xlfn.ANCHORARRAY(NV51)))/ AVERAGE(_xlfn.ANCHORARRAY(NV51))),0)</f>
        <v>0</v>
      </c>
      <c r="OG51" t="str" cm="1">
        <f t="array" ref="OG51">IF(OF51&gt;$OG$1,_xlfn.XLOOKUP(MAX(_xlfn.ANCHORARRAY(NV51)),_xlfn.ANCHORARRAY(NV51),NV$4:OE$4,""),"")</f>
        <v/>
      </c>
      <c r="OI51" t="str">
        <f t="shared" si="8"/>
        <v/>
      </c>
    </row>
    <row r="52" spans="1:399" x14ac:dyDescent="0.3">
      <c r="A52" s="2"/>
      <c r="B52" s="2" t="str">
        <f t="shared" si="0"/>
        <v>LLC</v>
      </c>
      <c r="C52" s="2" t="str">
        <f t="shared" si="1"/>
        <v>LLC</v>
      </c>
      <c r="D52" s="2" t="str">
        <f t="shared" si="2"/>
        <v>LLC</v>
      </c>
      <c r="E52" s="2" t="str">
        <f t="shared" si="3"/>
        <v/>
      </c>
      <c r="F52" s="2">
        <f t="shared" si="4"/>
        <v>0</v>
      </c>
      <c r="G52" s="2">
        <f t="shared" si="5"/>
        <v>0</v>
      </c>
      <c r="H52" s="2">
        <f t="shared" si="6"/>
        <v>0</v>
      </c>
      <c r="I52" s="2">
        <f t="shared" si="7"/>
        <v>0</v>
      </c>
      <c r="NH52" cm="1">
        <f t="array" ref="NH52:NJ52">SUMIFS($J52:$GG52,$J$1:$GG$1,NH$3:NJ$3)</f>
        <v>0</v>
      </c>
      <c r="NI52">
        <v>0</v>
      </c>
      <c r="NJ52">
        <v>0</v>
      </c>
      <c r="NK52" cm="1">
        <f t="array" ref="NK52">IFERROR(MAX((_xlfn.ANCHORARRAY(NH52)-AVERAGE(_xlfn.ANCHORARRAY(NH52)))/ AVERAGE(_xlfn.ANCHORARRAY(NH52))),0)</f>
        <v>0</v>
      </c>
      <c r="NL52" t="str" cm="1">
        <f t="array" ref="NL52">IF(NK52&gt;$NL$1,_xlfn.XLOOKUP(MAX(_xlfn.ANCHORARRAY(NH52)),_xlfn.ANCHORARRAY(NH52),NH$4:NJ$4,""),"")</f>
        <v/>
      </c>
      <c r="NN52" cm="1">
        <f t="array" ref="NN52:NR52">SUMIFS($J52:$GG52,$J$3:$GG$3,NN$3:NR$3)</f>
        <v>0</v>
      </c>
      <c r="NO52">
        <v>0</v>
      </c>
      <c r="NP52">
        <v>0</v>
      </c>
      <c r="NQ52">
        <v>0</v>
      </c>
      <c r="NR52">
        <v>0</v>
      </c>
      <c r="NS52" cm="1">
        <f t="array" ref="NS52">IFERROR(MAX((_xlfn.ANCHORARRAY(NN52)-AVERAGE(_xlfn.ANCHORARRAY(NN52)))/ AVERAGE(_xlfn.ANCHORARRAY(NN52))),0)</f>
        <v>0</v>
      </c>
      <c r="NT52" t="str" cm="1">
        <f t="array" ref="NT52">IF(AND(NS52&gt;$NT$1,NL52&lt;&gt;""),_xlfn.XLOOKUP(MAX(_xlfn.ANCHORARRAY(NN52)),_xlfn.ANCHORARRAY(NN52),NN$4:NR$4,""),"")</f>
        <v/>
      </c>
      <c r="NV52" cm="1">
        <f t="array" ref="NV52:OE52">SUMIFS($J52:$GG52,$J$2:$GG$2,NV$3:OE$3)</f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 cm="1">
        <f t="array" ref="OF52">IFERROR(MAX((_xlfn.ANCHORARRAY(NV52)-AVERAGE(_xlfn.ANCHORARRAY(NV52)))/ AVERAGE(_xlfn.ANCHORARRAY(NV52))),0)</f>
        <v>0</v>
      </c>
      <c r="OG52" t="str" cm="1">
        <f t="array" ref="OG52">IF(OF52&gt;$OG$1,_xlfn.XLOOKUP(MAX(_xlfn.ANCHORARRAY(NV52)),_xlfn.ANCHORARRAY(NV52),NV$4:OE$4,""),"")</f>
        <v/>
      </c>
      <c r="OI52" t="str">
        <f t="shared" si="8"/>
        <v/>
      </c>
    </row>
    <row r="53" spans="1:399" x14ac:dyDescent="0.3">
      <c r="A53" s="2"/>
      <c r="B53" s="2" t="str">
        <f t="shared" si="0"/>
        <v>LLC</v>
      </c>
      <c r="C53" s="2" t="str">
        <f t="shared" si="1"/>
        <v>LLC</v>
      </c>
      <c r="D53" s="2" t="str">
        <f t="shared" si="2"/>
        <v>LLC</v>
      </c>
      <c r="E53" s="2" t="str">
        <f t="shared" si="3"/>
        <v/>
      </c>
      <c r="F53" s="2">
        <f t="shared" si="4"/>
        <v>0</v>
      </c>
      <c r="G53" s="2">
        <f t="shared" si="5"/>
        <v>0</v>
      </c>
      <c r="H53" s="2">
        <f t="shared" si="6"/>
        <v>0</v>
      </c>
      <c r="I53" s="2">
        <f t="shared" si="7"/>
        <v>0</v>
      </c>
      <c r="NH53" cm="1">
        <f t="array" ref="NH53:NJ53">SUMIFS($J53:$GG53,$J$1:$GG$1,NH$3:NJ$3)</f>
        <v>0</v>
      </c>
      <c r="NI53">
        <v>0</v>
      </c>
      <c r="NJ53">
        <v>0</v>
      </c>
      <c r="NK53" cm="1">
        <f t="array" ref="NK53">IFERROR(MAX((_xlfn.ANCHORARRAY(NH53)-AVERAGE(_xlfn.ANCHORARRAY(NH53)))/ AVERAGE(_xlfn.ANCHORARRAY(NH53))),0)</f>
        <v>0</v>
      </c>
      <c r="NL53" t="str" cm="1">
        <f t="array" ref="NL53">IF(NK53&gt;$NL$1,_xlfn.XLOOKUP(MAX(_xlfn.ANCHORARRAY(NH53)),_xlfn.ANCHORARRAY(NH53),NH$4:NJ$4,""),"")</f>
        <v/>
      </c>
      <c r="NN53" cm="1">
        <f t="array" ref="NN53:NR53">SUMIFS($J53:$GG53,$J$3:$GG$3,NN$3:NR$3)</f>
        <v>0</v>
      </c>
      <c r="NO53">
        <v>0</v>
      </c>
      <c r="NP53">
        <v>0</v>
      </c>
      <c r="NQ53">
        <v>0</v>
      </c>
      <c r="NR53">
        <v>0</v>
      </c>
      <c r="NS53" cm="1">
        <f t="array" ref="NS53">IFERROR(MAX((_xlfn.ANCHORARRAY(NN53)-AVERAGE(_xlfn.ANCHORARRAY(NN53)))/ AVERAGE(_xlfn.ANCHORARRAY(NN53))),0)</f>
        <v>0</v>
      </c>
      <c r="NT53" t="str" cm="1">
        <f t="array" ref="NT53">IF(AND(NS53&gt;$NT$1,NL53&lt;&gt;""),_xlfn.XLOOKUP(MAX(_xlfn.ANCHORARRAY(NN53)),_xlfn.ANCHORARRAY(NN53),NN$4:NR$4,""),"")</f>
        <v/>
      </c>
      <c r="NV53" cm="1">
        <f t="array" ref="NV53:OE53">SUMIFS($J53:$GG53,$J$2:$GG$2,NV$3:OE$3)</f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 cm="1">
        <f t="array" ref="OF53">IFERROR(MAX((_xlfn.ANCHORARRAY(NV53)-AVERAGE(_xlfn.ANCHORARRAY(NV53)))/ AVERAGE(_xlfn.ANCHORARRAY(NV53))),0)</f>
        <v>0</v>
      </c>
      <c r="OG53" t="str" cm="1">
        <f t="array" ref="OG53">IF(OF53&gt;$OG$1,_xlfn.XLOOKUP(MAX(_xlfn.ANCHORARRAY(NV53)),_xlfn.ANCHORARRAY(NV53),NV$4:OE$4,""),"")</f>
        <v/>
      </c>
      <c r="OI53" t="str">
        <f t="shared" si="8"/>
        <v/>
      </c>
    </row>
    <row r="54" spans="1:399" x14ac:dyDescent="0.3">
      <c r="A54" s="2"/>
      <c r="B54" s="2" t="str">
        <f t="shared" si="0"/>
        <v>LLC</v>
      </c>
      <c r="C54" s="2" t="str">
        <f t="shared" si="1"/>
        <v>LLC</v>
      </c>
      <c r="D54" s="2" t="str">
        <f t="shared" si="2"/>
        <v>LLC</v>
      </c>
      <c r="E54" s="2" t="str">
        <f t="shared" si="3"/>
        <v/>
      </c>
      <c r="F54" s="2">
        <f t="shared" si="4"/>
        <v>0</v>
      </c>
      <c r="G54" s="2">
        <f t="shared" si="5"/>
        <v>0</v>
      </c>
      <c r="H54" s="2">
        <f t="shared" si="6"/>
        <v>0</v>
      </c>
      <c r="I54" s="2">
        <f t="shared" si="7"/>
        <v>0</v>
      </c>
      <c r="NH54" cm="1">
        <f t="array" ref="NH54:NJ54">SUMIFS($J54:$GG54,$J$1:$GG$1,NH$3:NJ$3)</f>
        <v>0</v>
      </c>
      <c r="NI54">
        <v>0</v>
      </c>
      <c r="NJ54">
        <v>0</v>
      </c>
      <c r="NK54" cm="1">
        <f t="array" ref="NK54">IFERROR(MAX((_xlfn.ANCHORARRAY(NH54)-AVERAGE(_xlfn.ANCHORARRAY(NH54)))/ AVERAGE(_xlfn.ANCHORARRAY(NH54))),0)</f>
        <v>0</v>
      </c>
      <c r="NL54" t="str" cm="1">
        <f t="array" ref="NL54">IF(NK54&gt;$NL$1,_xlfn.XLOOKUP(MAX(_xlfn.ANCHORARRAY(NH54)),_xlfn.ANCHORARRAY(NH54),NH$4:NJ$4,""),"")</f>
        <v/>
      </c>
      <c r="NN54" cm="1">
        <f t="array" ref="NN54:NR54">SUMIFS($J54:$GG54,$J$3:$GG$3,NN$3:NR$3)</f>
        <v>0</v>
      </c>
      <c r="NO54">
        <v>0</v>
      </c>
      <c r="NP54">
        <v>0</v>
      </c>
      <c r="NQ54">
        <v>0</v>
      </c>
      <c r="NR54">
        <v>0</v>
      </c>
      <c r="NS54" cm="1">
        <f t="array" ref="NS54">IFERROR(MAX((_xlfn.ANCHORARRAY(NN54)-AVERAGE(_xlfn.ANCHORARRAY(NN54)))/ AVERAGE(_xlfn.ANCHORARRAY(NN54))),0)</f>
        <v>0</v>
      </c>
      <c r="NT54" t="str" cm="1">
        <f t="array" ref="NT54">IF(AND(NS54&gt;$NT$1,NL54&lt;&gt;""),_xlfn.XLOOKUP(MAX(_xlfn.ANCHORARRAY(NN54)),_xlfn.ANCHORARRAY(NN54),NN$4:NR$4,""),"")</f>
        <v/>
      </c>
      <c r="NV54" cm="1">
        <f t="array" ref="NV54:OE54">SUMIFS($J54:$GG54,$J$2:$GG$2,NV$3:OE$3)</f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 cm="1">
        <f t="array" ref="OF54">IFERROR(MAX((_xlfn.ANCHORARRAY(NV54)-AVERAGE(_xlfn.ANCHORARRAY(NV54)))/ AVERAGE(_xlfn.ANCHORARRAY(NV54))),0)</f>
        <v>0</v>
      </c>
      <c r="OG54" t="str" cm="1">
        <f t="array" ref="OG54">IF(OF54&gt;$OG$1,_xlfn.XLOOKUP(MAX(_xlfn.ANCHORARRAY(NV54)),_xlfn.ANCHORARRAY(NV54),NV$4:OE$4,""),"")</f>
        <v/>
      </c>
      <c r="OI54" t="str">
        <f t="shared" si="8"/>
        <v/>
      </c>
    </row>
    <row r="55" spans="1:399" x14ac:dyDescent="0.3">
      <c r="A55" s="2"/>
      <c r="B55" s="2" t="str">
        <f t="shared" si="0"/>
        <v>LLC</v>
      </c>
      <c r="C55" s="2" t="str">
        <f t="shared" si="1"/>
        <v>LLC</v>
      </c>
      <c r="D55" s="2" t="str">
        <f t="shared" si="2"/>
        <v>LLC</v>
      </c>
      <c r="E55" s="2" t="str">
        <f t="shared" si="3"/>
        <v/>
      </c>
      <c r="F55" s="2">
        <f t="shared" si="4"/>
        <v>0</v>
      </c>
      <c r="G55" s="2">
        <f t="shared" si="5"/>
        <v>0</v>
      </c>
      <c r="H55" s="2">
        <f t="shared" si="6"/>
        <v>0</v>
      </c>
      <c r="I55" s="2">
        <f t="shared" si="7"/>
        <v>0</v>
      </c>
      <c r="NH55" cm="1">
        <f t="array" ref="NH55:NJ55">SUMIFS($J55:$GG55,$J$1:$GG$1,NH$3:NJ$3)</f>
        <v>0</v>
      </c>
      <c r="NI55">
        <v>0</v>
      </c>
      <c r="NJ55">
        <v>0</v>
      </c>
      <c r="NK55" cm="1">
        <f t="array" ref="NK55">IFERROR(MAX((_xlfn.ANCHORARRAY(NH55)-AVERAGE(_xlfn.ANCHORARRAY(NH55)))/ AVERAGE(_xlfn.ANCHORARRAY(NH55))),0)</f>
        <v>0</v>
      </c>
      <c r="NL55" t="str" cm="1">
        <f t="array" ref="NL55">IF(NK55&gt;$NL$1,_xlfn.XLOOKUP(MAX(_xlfn.ANCHORARRAY(NH55)),_xlfn.ANCHORARRAY(NH55),NH$4:NJ$4,""),"")</f>
        <v/>
      </c>
      <c r="NN55" cm="1">
        <f t="array" ref="NN55:NR55">SUMIFS($J55:$GG55,$J$3:$GG$3,NN$3:NR$3)</f>
        <v>0</v>
      </c>
      <c r="NO55">
        <v>0</v>
      </c>
      <c r="NP55">
        <v>0</v>
      </c>
      <c r="NQ55">
        <v>0</v>
      </c>
      <c r="NR55">
        <v>0</v>
      </c>
      <c r="NS55" cm="1">
        <f t="array" ref="NS55">IFERROR(MAX((_xlfn.ANCHORARRAY(NN55)-AVERAGE(_xlfn.ANCHORARRAY(NN55)))/ AVERAGE(_xlfn.ANCHORARRAY(NN55))),0)</f>
        <v>0</v>
      </c>
      <c r="NT55" t="str" cm="1">
        <f t="array" ref="NT55">IF(AND(NS55&gt;$NT$1,NL55&lt;&gt;""),_xlfn.XLOOKUP(MAX(_xlfn.ANCHORARRAY(NN55)),_xlfn.ANCHORARRAY(NN55),NN$4:NR$4,""),"")</f>
        <v/>
      </c>
      <c r="NV55" cm="1">
        <f t="array" ref="NV55:OE55">SUMIFS($J55:$GG55,$J$2:$GG$2,NV$3:OE$3)</f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 cm="1">
        <f t="array" ref="OF55">IFERROR(MAX((_xlfn.ANCHORARRAY(NV55)-AVERAGE(_xlfn.ANCHORARRAY(NV55)))/ AVERAGE(_xlfn.ANCHORARRAY(NV55))),0)</f>
        <v>0</v>
      </c>
      <c r="OG55" t="str" cm="1">
        <f t="array" ref="OG55">IF(OF55&gt;$OG$1,_xlfn.XLOOKUP(MAX(_xlfn.ANCHORARRAY(NV55)),_xlfn.ANCHORARRAY(NV55),NV$4:OE$4,""),"")</f>
        <v/>
      </c>
      <c r="OI55" t="str">
        <f t="shared" si="8"/>
        <v/>
      </c>
    </row>
    <row r="56" spans="1:399" x14ac:dyDescent="0.3">
      <c r="A56" s="2"/>
      <c r="B56" s="2" t="str">
        <f t="shared" si="0"/>
        <v>LLC</v>
      </c>
      <c r="C56" s="2" t="str">
        <f t="shared" si="1"/>
        <v>LLC</v>
      </c>
      <c r="D56" s="2" t="str">
        <f t="shared" si="2"/>
        <v>LLC</v>
      </c>
      <c r="E56" s="2" t="str">
        <f t="shared" si="3"/>
        <v/>
      </c>
      <c r="F56" s="2">
        <f t="shared" si="4"/>
        <v>0</v>
      </c>
      <c r="G56" s="2">
        <f t="shared" si="5"/>
        <v>0</v>
      </c>
      <c r="H56" s="2">
        <f t="shared" si="6"/>
        <v>0</v>
      </c>
      <c r="I56" s="2">
        <f t="shared" si="7"/>
        <v>0</v>
      </c>
      <c r="NH56" cm="1">
        <f t="array" ref="NH56:NJ56">SUMIFS($J56:$GG56,$J$1:$GG$1,NH$3:NJ$3)</f>
        <v>0</v>
      </c>
      <c r="NI56">
        <v>0</v>
      </c>
      <c r="NJ56">
        <v>0</v>
      </c>
      <c r="NK56" cm="1">
        <f t="array" ref="NK56">IFERROR(MAX((_xlfn.ANCHORARRAY(NH56)-AVERAGE(_xlfn.ANCHORARRAY(NH56)))/ AVERAGE(_xlfn.ANCHORARRAY(NH56))),0)</f>
        <v>0</v>
      </c>
      <c r="NL56" t="str" cm="1">
        <f t="array" ref="NL56">IF(NK56&gt;$NL$1,_xlfn.XLOOKUP(MAX(_xlfn.ANCHORARRAY(NH56)),_xlfn.ANCHORARRAY(NH56),NH$4:NJ$4,""),"")</f>
        <v/>
      </c>
      <c r="NN56" cm="1">
        <f t="array" ref="NN56:NR56">SUMIFS($J56:$GG56,$J$3:$GG$3,NN$3:NR$3)</f>
        <v>0</v>
      </c>
      <c r="NO56">
        <v>0</v>
      </c>
      <c r="NP56">
        <v>0</v>
      </c>
      <c r="NQ56">
        <v>0</v>
      </c>
      <c r="NR56">
        <v>0</v>
      </c>
      <c r="NS56" cm="1">
        <f t="array" ref="NS56">IFERROR(MAX((_xlfn.ANCHORARRAY(NN56)-AVERAGE(_xlfn.ANCHORARRAY(NN56)))/ AVERAGE(_xlfn.ANCHORARRAY(NN56))),0)</f>
        <v>0</v>
      </c>
      <c r="NT56" t="str" cm="1">
        <f t="array" ref="NT56">IF(AND(NS56&gt;$NT$1,NL56&lt;&gt;""),_xlfn.XLOOKUP(MAX(_xlfn.ANCHORARRAY(NN56)),_xlfn.ANCHORARRAY(NN56),NN$4:NR$4,""),"")</f>
        <v/>
      </c>
      <c r="NV56" cm="1">
        <f t="array" ref="NV56:OE56">SUMIFS($J56:$GG56,$J$2:$GG$2,NV$3:OE$3)</f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 cm="1">
        <f t="array" ref="OF56">IFERROR(MAX((_xlfn.ANCHORARRAY(NV56)-AVERAGE(_xlfn.ANCHORARRAY(NV56)))/ AVERAGE(_xlfn.ANCHORARRAY(NV56))),0)</f>
        <v>0</v>
      </c>
      <c r="OG56" t="str" cm="1">
        <f t="array" ref="OG56">IF(OF56&gt;$OG$1,_xlfn.XLOOKUP(MAX(_xlfn.ANCHORARRAY(NV56)),_xlfn.ANCHORARRAY(NV56),NV$4:OE$4,""),"")</f>
        <v/>
      </c>
      <c r="OI56" t="str">
        <f t="shared" si="8"/>
        <v/>
      </c>
    </row>
    <row r="57" spans="1:399" x14ac:dyDescent="0.3">
      <c r="A57" s="2"/>
      <c r="B57" s="2" t="str">
        <f t="shared" si="0"/>
        <v>LLC</v>
      </c>
      <c r="C57" s="2" t="str">
        <f t="shared" si="1"/>
        <v>LLC</v>
      </c>
      <c r="D57" s="2" t="str">
        <f t="shared" si="2"/>
        <v>LLC</v>
      </c>
      <c r="E57" s="2" t="str">
        <f t="shared" si="3"/>
        <v/>
      </c>
      <c r="F57" s="2">
        <f t="shared" si="4"/>
        <v>0</v>
      </c>
      <c r="G57" s="2">
        <f t="shared" si="5"/>
        <v>0</v>
      </c>
      <c r="H57" s="2">
        <f t="shared" si="6"/>
        <v>0</v>
      </c>
      <c r="I57" s="2">
        <f t="shared" si="7"/>
        <v>0</v>
      </c>
      <c r="NH57" cm="1">
        <f t="array" ref="NH57:NJ57">SUMIFS($J57:$GG57,$J$1:$GG$1,NH$3:NJ$3)</f>
        <v>0</v>
      </c>
      <c r="NI57">
        <v>0</v>
      </c>
      <c r="NJ57">
        <v>0</v>
      </c>
      <c r="NK57" cm="1">
        <f t="array" ref="NK57">IFERROR(MAX((_xlfn.ANCHORARRAY(NH57)-AVERAGE(_xlfn.ANCHORARRAY(NH57)))/ AVERAGE(_xlfn.ANCHORARRAY(NH57))),0)</f>
        <v>0</v>
      </c>
      <c r="NL57" t="str" cm="1">
        <f t="array" ref="NL57">IF(NK57&gt;$NL$1,_xlfn.XLOOKUP(MAX(_xlfn.ANCHORARRAY(NH57)),_xlfn.ANCHORARRAY(NH57),NH$4:NJ$4,""),"")</f>
        <v/>
      </c>
      <c r="NN57" cm="1">
        <f t="array" ref="NN57:NR57">SUMIFS($J57:$GG57,$J$3:$GG$3,NN$3:NR$3)</f>
        <v>0</v>
      </c>
      <c r="NO57">
        <v>0</v>
      </c>
      <c r="NP57">
        <v>0</v>
      </c>
      <c r="NQ57">
        <v>0</v>
      </c>
      <c r="NR57">
        <v>0</v>
      </c>
      <c r="NS57" cm="1">
        <f t="array" ref="NS57">IFERROR(MAX((_xlfn.ANCHORARRAY(NN57)-AVERAGE(_xlfn.ANCHORARRAY(NN57)))/ AVERAGE(_xlfn.ANCHORARRAY(NN57))),0)</f>
        <v>0</v>
      </c>
      <c r="NT57" t="str" cm="1">
        <f t="array" ref="NT57">IF(AND(NS57&gt;$NT$1,NL57&lt;&gt;""),_xlfn.XLOOKUP(MAX(_xlfn.ANCHORARRAY(NN57)),_xlfn.ANCHORARRAY(NN57),NN$4:NR$4,""),"")</f>
        <v/>
      </c>
      <c r="NV57" cm="1">
        <f t="array" ref="NV57:OE57">SUMIFS($J57:$GG57,$J$2:$GG$2,NV$3:OE$3)</f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 cm="1">
        <f t="array" ref="OF57">IFERROR(MAX((_xlfn.ANCHORARRAY(NV57)-AVERAGE(_xlfn.ANCHORARRAY(NV57)))/ AVERAGE(_xlfn.ANCHORARRAY(NV57))),0)</f>
        <v>0</v>
      </c>
      <c r="OG57" t="str" cm="1">
        <f t="array" ref="OG57">IF(OF57&gt;$OG$1,_xlfn.XLOOKUP(MAX(_xlfn.ANCHORARRAY(NV57)),_xlfn.ANCHORARRAY(NV57),NV$4:OE$4,""),"")</f>
        <v/>
      </c>
      <c r="OI57" t="str">
        <f t="shared" si="8"/>
        <v/>
      </c>
    </row>
    <row r="58" spans="1:399" x14ac:dyDescent="0.3">
      <c r="A58" s="2"/>
      <c r="B58" s="2" t="str">
        <f t="shared" si="0"/>
        <v>LLC</v>
      </c>
      <c r="C58" s="2" t="str">
        <f t="shared" si="1"/>
        <v>LLC</v>
      </c>
      <c r="D58" s="2" t="str">
        <f t="shared" si="2"/>
        <v>LLC</v>
      </c>
      <c r="E58" s="2" t="str">
        <f t="shared" si="3"/>
        <v/>
      </c>
      <c r="F58" s="2">
        <f t="shared" si="4"/>
        <v>0</v>
      </c>
      <c r="G58" s="2">
        <f t="shared" si="5"/>
        <v>0</v>
      </c>
      <c r="H58" s="2">
        <f t="shared" si="6"/>
        <v>0</v>
      </c>
      <c r="I58" s="2">
        <f t="shared" si="7"/>
        <v>0</v>
      </c>
      <c r="NH58" cm="1">
        <f t="array" ref="NH58:NJ58">SUMIFS($J58:$GG58,$J$1:$GG$1,NH$3:NJ$3)</f>
        <v>0</v>
      </c>
      <c r="NI58">
        <v>0</v>
      </c>
      <c r="NJ58">
        <v>0</v>
      </c>
      <c r="NK58" cm="1">
        <f t="array" ref="NK58">IFERROR(MAX((_xlfn.ANCHORARRAY(NH58)-AVERAGE(_xlfn.ANCHORARRAY(NH58)))/ AVERAGE(_xlfn.ANCHORARRAY(NH58))),0)</f>
        <v>0</v>
      </c>
      <c r="NL58" t="str" cm="1">
        <f t="array" ref="NL58">IF(NK58&gt;$NL$1,_xlfn.XLOOKUP(MAX(_xlfn.ANCHORARRAY(NH58)),_xlfn.ANCHORARRAY(NH58),NH$4:NJ$4,""),"")</f>
        <v/>
      </c>
      <c r="NN58" cm="1">
        <f t="array" ref="NN58:NR58">SUMIFS($J58:$GG58,$J$3:$GG$3,NN$3:NR$3)</f>
        <v>0</v>
      </c>
      <c r="NO58">
        <v>0</v>
      </c>
      <c r="NP58">
        <v>0</v>
      </c>
      <c r="NQ58">
        <v>0</v>
      </c>
      <c r="NR58">
        <v>0</v>
      </c>
      <c r="NS58" cm="1">
        <f t="array" ref="NS58">IFERROR(MAX((_xlfn.ANCHORARRAY(NN58)-AVERAGE(_xlfn.ANCHORARRAY(NN58)))/ AVERAGE(_xlfn.ANCHORARRAY(NN58))),0)</f>
        <v>0</v>
      </c>
      <c r="NT58" t="str" cm="1">
        <f t="array" ref="NT58">IF(AND(NS58&gt;$NT$1,NL58&lt;&gt;""),_xlfn.XLOOKUP(MAX(_xlfn.ANCHORARRAY(NN58)),_xlfn.ANCHORARRAY(NN58),NN$4:NR$4,""),"")</f>
        <v/>
      </c>
      <c r="NV58" cm="1">
        <f t="array" ref="NV58:OE58">SUMIFS($J58:$GG58,$J$2:$GG$2,NV$3:OE$3)</f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 cm="1">
        <f t="array" ref="OF58">IFERROR(MAX((_xlfn.ANCHORARRAY(NV58)-AVERAGE(_xlfn.ANCHORARRAY(NV58)))/ AVERAGE(_xlfn.ANCHORARRAY(NV58))),0)</f>
        <v>0</v>
      </c>
      <c r="OG58" t="str" cm="1">
        <f t="array" ref="OG58">IF(OF58&gt;$OG$1,_xlfn.XLOOKUP(MAX(_xlfn.ANCHORARRAY(NV58)),_xlfn.ANCHORARRAY(NV58),NV$4:OE$4,""),"")</f>
        <v/>
      </c>
      <c r="OI58" t="str">
        <f t="shared" si="8"/>
        <v/>
      </c>
    </row>
    <row r="59" spans="1:399" x14ac:dyDescent="0.3">
      <c r="A59" s="2"/>
      <c r="B59" s="2" t="str">
        <f t="shared" si="0"/>
        <v>LLC</v>
      </c>
      <c r="C59" s="2" t="str">
        <f t="shared" si="1"/>
        <v>LLC</v>
      </c>
      <c r="D59" s="2" t="str">
        <f t="shared" si="2"/>
        <v>LLC</v>
      </c>
      <c r="E59" s="2" t="str">
        <f t="shared" si="3"/>
        <v/>
      </c>
      <c r="F59" s="2">
        <f t="shared" si="4"/>
        <v>0</v>
      </c>
      <c r="G59" s="2">
        <f t="shared" si="5"/>
        <v>0</v>
      </c>
      <c r="H59" s="2">
        <f t="shared" si="6"/>
        <v>0</v>
      </c>
      <c r="I59" s="2">
        <f t="shared" si="7"/>
        <v>0</v>
      </c>
      <c r="NH59" cm="1">
        <f t="array" ref="NH59:NJ59">SUMIFS($J59:$GG59,$J$1:$GG$1,NH$3:NJ$3)</f>
        <v>0</v>
      </c>
      <c r="NI59">
        <v>0</v>
      </c>
      <c r="NJ59">
        <v>0</v>
      </c>
      <c r="NK59" cm="1">
        <f t="array" ref="NK59">IFERROR(MAX((_xlfn.ANCHORARRAY(NH59)-AVERAGE(_xlfn.ANCHORARRAY(NH59)))/ AVERAGE(_xlfn.ANCHORARRAY(NH59))),0)</f>
        <v>0</v>
      </c>
      <c r="NL59" t="str" cm="1">
        <f t="array" ref="NL59">IF(NK59&gt;$NL$1,_xlfn.XLOOKUP(MAX(_xlfn.ANCHORARRAY(NH59)),_xlfn.ANCHORARRAY(NH59),NH$4:NJ$4,""),"")</f>
        <v/>
      </c>
      <c r="NN59" cm="1">
        <f t="array" ref="NN59:NR59">SUMIFS($J59:$GG59,$J$3:$GG$3,NN$3:NR$3)</f>
        <v>0</v>
      </c>
      <c r="NO59">
        <v>0</v>
      </c>
      <c r="NP59">
        <v>0</v>
      </c>
      <c r="NQ59">
        <v>0</v>
      </c>
      <c r="NR59">
        <v>0</v>
      </c>
      <c r="NS59" cm="1">
        <f t="array" ref="NS59">IFERROR(MAX((_xlfn.ANCHORARRAY(NN59)-AVERAGE(_xlfn.ANCHORARRAY(NN59)))/ AVERAGE(_xlfn.ANCHORARRAY(NN59))),0)</f>
        <v>0</v>
      </c>
      <c r="NT59" t="str" cm="1">
        <f t="array" ref="NT59">IF(AND(NS59&gt;$NT$1,NL59&lt;&gt;""),_xlfn.XLOOKUP(MAX(_xlfn.ANCHORARRAY(NN59)),_xlfn.ANCHORARRAY(NN59),NN$4:NR$4,""),"")</f>
        <v/>
      </c>
      <c r="NV59" cm="1">
        <f t="array" ref="NV59:OE59">SUMIFS($J59:$GG59,$J$2:$GG$2,NV$3:OE$3)</f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 cm="1">
        <f t="array" ref="OF59">IFERROR(MAX((_xlfn.ANCHORARRAY(NV59)-AVERAGE(_xlfn.ANCHORARRAY(NV59)))/ AVERAGE(_xlfn.ANCHORARRAY(NV59))),0)</f>
        <v>0</v>
      </c>
      <c r="OG59" t="str" cm="1">
        <f t="array" ref="OG59">IF(OF59&gt;$OG$1,_xlfn.XLOOKUP(MAX(_xlfn.ANCHORARRAY(NV59)),_xlfn.ANCHORARRAY(NV59),NV$4:OE$4,""),"")</f>
        <v/>
      </c>
      <c r="OI59" t="str">
        <f t="shared" si="8"/>
        <v/>
      </c>
    </row>
    <row r="60" spans="1:399" x14ac:dyDescent="0.3">
      <c r="A60" s="2"/>
      <c r="B60" s="2" t="str">
        <f t="shared" si="0"/>
        <v>LLC</v>
      </c>
      <c r="C60" s="2" t="str">
        <f t="shared" si="1"/>
        <v>LLC</v>
      </c>
      <c r="D60" s="2" t="str">
        <f t="shared" si="2"/>
        <v>LLC</v>
      </c>
      <c r="E60" s="2" t="str">
        <f t="shared" si="3"/>
        <v/>
      </c>
      <c r="F60" s="2">
        <f t="shared" si="4"/>
        <v>0</v>
      </c>
      <c r="G60" s="2">
        <f t="shared" si="5"/>
        <v>0</v>
      </c>
      <c r="H60" s="2">
        <f t="shared" si="6"/>
        <v>0</v>
      </c>
      <c r="I60" s="2">
        <f t="shared" si="7"/>
        <v>0</v>
      </c>
      <c r="NH60" cm="1">
        <f t="array" ref="NH60:NJ60">SUMIFS($J60:$GG60,$J$1:$GG$1,NH$3:NJ$3)</f>
        <v>0</v>
      </c>
      <c r="NI60">
        <v>0</v>
      </c>
      <c r="NJ60">
        <v>0</v>
      </c>
      <c r="NK60" cm="1">
        <f t="array" ref="NK60">IFERROR(MAX((_xlfn.ANCHORARRAY(NH60)-AVERAGE(_xlfn.ANCHORARRAY(NH60)))/ AVERAGE(_xlfn.ANCHORARRAY(NH60))),0)</f>
        <v>0</v>
      </c>
      <c r="NL60" t="str" cm="1">
        <f t="array" ref="NL60">IF(NK60&gt;$NL$1,_xlfn.XLOOKUP(MAX(_xlfn.ANCHORARRAY(NH60)),_xlfn.ANCHORARRAY(NH60),NH$4:NJ$4,""),"")</f>
        <v/>
      </c>
      <c r="NN60" cm="1">
        <f t="array" ref="NN60:NR60">SUMIFS($J60:$GG60,$J$3:$GG$3,NN$3:NR$3)</f>
        <v>0</v>
      </c>
      <c r="NO60">
        <v>0</v>
      </c>
      <c r="NP60">
        <v>0</v>
      </c>
      <c r="NQ60">
        <v>0</v>
      </c>
      <c r="NR60">
        <v>0</v>
      </c>
      <c r="NS60" cm="1">
        <f t="array" ref="NS60">IFERROR(MAX((_xlfn.ANCHORARRAY(NN60)-AVERAGE(_xlfn.ANCHORARRAY(NN60)))/ AVERAGE(_xlfn.ANCHORARRAY(NN60))),0)</f>
        <v>0</v>
      </c>
      <c r="NT60" t="str" cm="1">
        <f t="array" ref="NT60">IF(AND(NS60&gt;$NT$1,NL60&lt;&gt;""),_xlfn.XLOOKUP(MAX(_xlfn.ANCHORARRAY(NN60)),_xlfn.ANCHORARRAY(NN60),NN$4:NR$4,""),"")</f>
        <v/>
      </c>
      <c r="NV60" cm="1">
        <f t="array" ref="NV60:OE60">SUMIFS($J60:$GG60,$J$2:$GG$2,NV$3:OE$3)</f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 cm="1">
        <f t="array" ref="OF60">IFERROR(MAX((_xlfn.ANCHORARRAY(NV60)-AVERAGE(_xlfn.ANCHORARRAY(NV60)))/ AVERAGE(_xlfn.ANCHORARRAY(NV60))),0)</f>
        <v>0</v>
      </c>
      <c r="OG60" t="str" cm="1">
        <f t="array" ref="OG60">IF(OF60&gt;$OG$1,_xlfn.XLOOKUP(MAX(_xlfn.ANCHORARRAY(NV60)),_xlfn.ANCHORARRAY(NV60),NV$4:OE$4,""),"")</f>
        <v/>
      </c>
      <c r="OI60" t="str">
        <f t="shared" si="8"/>
        <v/>
      </c>
    </row>
    <row r="61" spans="1:399" x14ac:dyDescent="0.3">
      <c r="A61" s="2"/>
      <c r="B61" s="2" t="str">
        <f t="shared" si="0"/>
        <v>LLC</v>
      </c>
      <c r="C61" s="2" t="str">
        <f t="shared" si="1"/>
        <v>LLC</v>
      </c>
      <c r="D61" s="2" t="str">
        <f t="shared" si="2"/>
        <v>LLC</v>
      </c>
      <c r="E61" s="2" t="str">
        <f t="shared" si="3"/>
        <v/>
      </c>
      <c r="F61" s="2">
        <f t="shared" si="4"/>
        <v>0</v>
      </c>
      <c r="G61" s="2">
        <f t="shared" si="5"/>
        <v>0</v>
      </c>
      <c r="H61" s="2">
        <f t="shared" si="6"/>
        <v>0</v>
      </c>
      <c r="I61" s="2">
        <f t="shared" si="7"/>
        <v>0</v>
      </c>
      <c r="NH61" cm="1">
        <f t="array" ref="NH61:NJ61">SUMIFS($J61:$GG61,$J$1:$GG$1,NH$3:NJ$3)</f>
        <v>0</v>
      </c>
      <c r="NI61">
        <v>0</v>
      </c>
      <c r="NJ61">
        <v>0</v>
      </c>
      <c r="NK61" cm="1">
        <f t="array" ref="NK61">IFERROR(MAX((_xlfn.ANCHORARRAY(NH61)-AVERAGE(_xlfn.ANCHORARRAY(NH61)))/ AVERAGE(_xlfn.ANCHORARRAY(NH61))),0)</f>
        <v>0</v>
      </c>
      <c r="NL61" t="str" cm="1">
        <f t="array" ref="NL61">IF(NK61&gt;$NL$1,_xlfn.XLOOKUP(MAX(_xlfn.ANCHORARRAY(NH61)),_xlfn.ANCHORARRAY(NH61),NH$4:NJ$4,""),"")</f>
        <v/>
      </c>
      <c r="NN61" cm="1">
        <f t="array" ref="NN61:NR61">SUMIFS($J61:$GG61,$J$3:$GG$3,NN$3:NR$3)</f>
        <v>0</v>
      </c>
      <c r="NO61">
        <v>0</v>
      </c>
      <c r="NP61">
        <v>0</v>
      </c>
      <c r="NQ61">
        <v>0</v>
      </c>
      <c r="NR61">
        <v>0</v>
      </c>
      <c r="NS61" cm="1">
        <f t="array" ref="NS61">IFERROR(MAX((_xlfn.ANCHORARRAY(NN61)-AVERAGE(_xlfn.ANCHORARRAY(NN61)))/ AVERAGE(_xlfn.ANCHORARRAY(NN61))),0)</f>
        <v>0</v>
      </c>
      <c r="NT61" t="str" cm="1">
        <f t="array" ref="NT61">IF(AND(NS61&gt;$NT$1,NL61&lt;&gt;""),_xlfn.XLOOKUP(MAX(_xlfn.ANCHORARRAY(NN61)),_xlfn.ANCHORARRAY(NN61),NN$4:NR$4,""),"")</f>
        <v/>
      </c>
      <c r="NV61" cm="1">
        <f t="array" ref="NV61:OE61">SUMIFS($J61:$GG61,$J$2:$GG$2,NV$3:OE$3)</f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 cm="1">
        <f t="array" ref="OF61">IFERROR(MAX((_xlfn.ANCHORARRAY(NV61)-AVERAGE(_xlfn.ANCHORARRAY(NV61)))/ AVERAGE(_xlfn.ANCHORARRAY(NV61))),0)</f>
        <v>0</v>
      </c>
      <c r="OG61" t="str" cm="1">
        <f t="array" ref="OG61">IF(OF61&gt;$OG$1,_xlfn.XLOOKUP(MAX(_xlfn.ANCHORARRAY(NV61)),_xlfn.ANCHORARRAY(NV61),NV$4:OE$4,""),"")</f>
        <v/>
      </c>
      <c r="OI61" t="str">
        <f t="shared" si="8"/>
        <v/>
      </c>
    </row>
    <row r="62" spans="1:399" x14ac:dyDescent="0.3">
      <c r="A62" s="2"/>
      <c r="B62" s="2" t="str">
        <f t="shared" si="0"/>
        <v>LLC</v>
      </c>
      <c r="C62" s="2" t="str">
        <f t="shared" si="1"/>
        <v>LLC</v>
      </c>
      <c r="D62" s="2" t="str">
        <f t="shared" si="2"/>
        <v>LLC</v>
      </c>
      <c r="E62" s="2" t="str">
        <f t="shared" si="3"/>
        <v/>
      </c>
      <c r="F62" s="2">
        <f t="shared" si="4"/>
        <v>0</v>
      </c>
      <c r="G62" s="2">
        <f t="shared" si="5"/>
        <v>0</v>
      </c>
      <c r="H62" s="2">
        <f t="shared" si="6"/>
        <v>0</v>
      </c>
      <c r="I62" s="2">
        <f t="shared" si="7"/>
        <v>0</v>
      </c>
      <c r="NH62" cm="1">
        <f t="array" ref="NH62:NJ62">SUMIFS($J62:$GG62,$J$1:$GG$1,NH$3:NJ$3)</f>
        <v>0</v>
      </c>
      <c r="NI62">
        <v>0</v>
      </c>
      <c r="NJ62">
        <v>0</v>
      </c>
      <c r="NK62" cm="1">
        <f t="array" ref="NK62">IFERROR(MAX((_xlfn.ANCHORARRAY(NH62)-AVERAGE(_xlfn.ANCHORARRAY(NH62)))/ AVERAGE(_xlfn.ANCHORARRAY(NH62))),0)</f>
        <v>0</v>
      </c>
      <c r="NL62" t="str" cm="1">
        <f t="array" ref="NL62">IF(NK62&gt;$NL$1,_xlfn.XLOOKUP(MAX(_xlfn.ANCHORARRAY(NH62)),_xlfn.ANCHORARRAY(NH62),NH$4:NJ$4,""),"")</f>
        <v/>
      </c>
      <c r="NN62" cm="1">
        <f t="array" ref="NN62:NR62">SUMIFS($J62:$GG62,$J$3:$GG$3,NN$3:NR$3)</f>
        <v>0</v>
      </c>
      <c r="NO62">
        <v>0</v>
      </c>
      <c r="NP62">
        <v>0</v>
      </c>
      <c r="NQ62">
        <v>0</v>
      </c>
      <c r="NR62">
        <v>0</v>
      </c>
      <c r="NS62" cm="1">
        <f t="array" ref="NS62">IFERROR(MAX((_xlfn.ANCHORARRAY(NN62)-AVERAGE(_xlfn.ANCHORARRAY(NN62)))/ AVERAGE(_xlfn.ANCHORARRAY(NN62))),0)</f>
        <v>0</v>
      </c>
      <c r="NT62" t="str" cm="1">
        <f t="array" ref="NT62">IF(AND(NS62&gt;$NT$1,NL62&lt;&gt;""),_xlfn.XLOOKUP(MAX(_xlfn.ANCHORARRAY(NN62)),_xlfn.ANCHORARRAY(NN62),NN$4:NR$4,""),"")</f>
        <v/>
      </c>
      <c r="NV62" cm="1">
        <f t="array" ref="NV62:OE62">SUMIFS($J62:$GG62,$J$2:$GG$2,NV$3:OE$3)</f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 cm="1">
        <f t="array" ref="OF62">IFERROR(MAX((_xlfn.ANCHORARRAY(NV62)-AVERAGE(_xlfn.ANCHORARRAY(NV62)))/ AVERAGE(_xlfn.ANCHORARRAY(NV62))),0)</f>
        <v>0</v>
      </c>
      <c r="OG62" t="str" cm="1">
        <f t="array" ref="OG62">IF(OF62&gt;$OG$1,_xlfn.XLOOKUP(MAX(_xlfn.ANCHORARRAY(NV62)),_xlfn.ANCHORARRAY(NV62),NV$4:OE$4,""),"")</f>
        <v/>
      </c>
      <c r="OI62" t="str">
        <f t="shared" si="8"/>
        <v/>
      </c>
    </row>
    <row r="63" spans="1:399" x14ac:dyDescent="0.3">
      <c r="A63" s="2"/>
      <c r="B63" s="2" t="str">
        <f t="shared" si="0"/>
        <v>LLC</v>
      </c>
      <c r="C63" s="2" t="str">
        <f t="shared" si="1"/>
        <v>LLC</v>
      </c>
      <c r="D63" s="2" t="str">
        <f t="shared" si="2"/>
        <v>LLC</v>
      </c>
      <c r="E63" s="2" t="str">
        <f t="shared" si="3"/>
        <v/>
      </c>
      <c r="F63" s="2">
        <f t="shared" si="4"/>
        <v>0</v>
      </c>
      <c r="G63" s="2">
        <f t="shared" si="5"/>
        <v>0</v>
      </c>
      <c r="H63" s="2">
        <f t="shared" si="6"/>
        <v>0</v>
      </c>
      <c r="I63" s="2">
        <f t="shared" si="7"/>
        <v>0</v>
      </c>
      <c r="NH63" cm="1">
        <f t="array" ref="NH63:NJ63">SUMIFS($J63:$GG63,$J$1:$GG$1,NH$3:NJ$3)</f>
        <v>0</v>
      </c>
      <c r="NI63">
        <v>0</v>
      </c>
      <c r="NJ63">
        <v>0</v>
      </c>
      <c r="NK63" cm="1">
        <f t="array" ref="NK63">IFERROR(MAX((_xlfn.ANCHORARRAY(NH63)-AVERAGE(_xlfn.ANCHORARRAY(NH63)))/ AVERAGE(_xlfn.ANCHORARRAY(NH63))),0)</f>
        <v>0</v>
      </c>
      <c r="NL63" t="str" cm="1">
        <f t="array" ref="NL63">IF(NK63&gt;$NL$1,_xlfn.XLOOKUP(MAX(_xlfn.ANCHORARRAY(NH63)),_xlfn.ANCHORARRAY(NH63),NH$4:NJ$4,""),"")</f>
        <v/>
      </c>
      <c r="NN63" cm="1">
        <f t="array" ref="NN63:NR63">SUMIFS($J63:$GG63,$J$3:$GG$3,NN$3:NR$3)</f>
        <v>0</v>
      </c>
      <c r="NO63">
        <v>0</v>
      </c>
      <c r="NP63">
        <v>0</v>
      </c>
      <c r="NQ63">
        <v>0</v>
      </c>
      <c r="NR63">
        <v>0</v>
      </c>
      <c r="NS63" cm="1">
        <f t="array" ref="NS63">IFERROR(MAX((_xlfn.ANCHORARRAY(NN63)-AVERAGE(_xlfn.ANCHORARRAY(NN63)))/ AVERAGE(_xlfn.ANCHORARRAY(NN63))),0)</f>
        <v>0</v>
      </c>
      <c r="NT63" t="str" cm="1">
        <f t="array" ref="NT63">IF(AND(NS63&gt;$NT$1,NL63&lt;&gt;""),_xlfn.XLOOKUP(MAX(_xlfn.ANCHORARRAY(NN63)),_xlfn.ANCHORARRAY(NN63),NN$4:NR$4,""),"")</f>
        <v/>
      </c>
      <c r="NV63" cm="1">
        <f t="array" ref="NV63:OE63">SUMIFS($J63:$GG63,$J$2:$GG$2,NV$3:OE$3)</f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 cm="1">
        <f t="array" ref="OF63">IFERROR(MAX((_xlfn.ANCHORARRAY(NV63)-AVERAGE(_xlfn.ANCHORARRAY(NV63)))/ AVERAGE(_xlfn.ANCHORARRAY(NV63))),0)</f>
        <v>0</v>
      </c>
      <c r="OG63" t="str" cm="1">
        <f t="array" ref="OG63">IF(OF63&gt;$OG$1,_xlfn.XLOOKUP(MAX(_xlfn.ANCHORARRAY(NV63)),_xlfn.ANCHORARRAY(NV63),NV$4:OE$4,""),"")</f>
        <v/>
      </c>
      <c r="OI63" t="str">
        <f t="shared" si="8"/>
        <v/>
      </c>
    </row>
    <row r="64" spans="1:399" x14ac:dyDescent="0.3">
      <c r="A64" s="2"/>
      <c r="B64" s="2" t="str">
        <f t="shared" si="0"/>
        <v>LLC</v>
      </c>
      <c r="C64" s="2" t="str">
        <f t="shared" si="1"/>
        <v>LLC</v>
      </c>
      <c r="D64" s="2" t="str">
        <f t="shared" si="2"/>
        <v>LLC</v>
      </c>
      <c r="E64" s="2" t="str">
        <f t="shared" si="3"/>
        <v/>
      </c>
      <c r="F64" s="2">
        <f t="shared" si="4"/>
        <v>0</v>
      </c>
      <c r="G64" s="2">
        <f t="shared" si="5"/>
        <v>0</v>
      </c>
      <c r="H64" s="2">
        <f t="shared" si="6"/>
        <v>0</v>
      </c>
      <c r="I64" s="2">
        <f t="shared" si="7"/>
        <v>0</v>
      </c>
      <c r="NH64" cm="1">
        <f t="array" ref="NH64:NJ64">SUMIFS($J64:$GG64,$J$1:$GG$1,NH$3:NJ$3)</f>
        <v>0</v>
      </c>
      <c r="NI64">
        <v>0</v>
      </c>
      <c r="NJ64">
        <v>0</v>
      </c>
      <c r="NK64" cm="1">
        <f t="array" ref="NK64">IFERROR(MAX((_xlfn.ANCHORARRAY(NH64)-AVERAGE(_xlfn.ANCHORARRAY(NH64)))/ AVERAGE(_xlfn.ANCHORARRAY(NH64))),0)</f>
        <v>0</v>
      </c>
      <c r="NL64" t="str" cm="1">
        <f t="array" ref="NL64">IF(NK64&gt;$NL$1,_xlfn.XLOOKUP(MAX(_xlfn.ANCHORARRAY(NH64)),_xlfn.ANCHORARRAY(NH64),NH$4:NJ$4,""),"")</f>
        <v/>
      </c>
      <c r="NN64" cm="1">
        <f t="array" ref="NN64:NR64">SUMIFS($J64:$GG64,$J$3:$GG$3,NN$3:NR$3)</f>
        <v>0</v>
      </c>
      <c r="NO64">
        <v>0</v>
      </c>
      <c r="NP64">
        <v>0</v>
      </c>
      <c r="NQ64">
        <v>0</v>
      </c>
      <c r="NR64">
        <v>0</v>
      </c>
      <c r="NS64" cm="1">
        <f t="array" ref="NS64">IFERROR(MAX((_xlfn.ANCHORARRAY(NN64)-AVERAGE(_xlfn.ANCHORARRAY(NN64)))/ AVERAGE(_xlfn.ANCHORARRAY(NN64))),0)</f>
        <v>0</v>
      </c>
      <c r="NT64" t="str" cm="1">
        <f t="array" ref="NT64">IF(AND(NS64&gt;$NT$1,NL64&lt;&gt;""),_xlfn.XLOOKUP(MAX(_xlfn.ANCHORARRAY(NN64)),_xlfn.ANCHORARRAY(NN64),NN$4:NR$4,""),"")</f>
        <v/>
      </c>
      <c r="NV64" cm="1">
        <f t="array" ref="NV64:OE64">SUMIFS($J64:$GG64,$J$2:$GG$2,NV$3:OE$3)</f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 cm="1">
        <f t="array" ref="OF64">IFERROR(MAX((_xlfn.ANCHORARRAY(NV64)-AVERAGE(_xlfn.ANCHORARRAY(NV64)))/ AVERAGE(_xlfn.ANCHORARRAY(NV64))),0)</f>
        <v>0</v>
      </c>
      <c r="OG64" t="str" cm="1">
        <f t="array" ref="OG64">IF(OF64&gt;$OG$1,_xlfn.XLOOKUP(MAX(_xlfn.ANCHORARRAY(NV64)),_xlfn.ANCHORARRAY(NV64),NV$4:OE$4,""),"")</f>
        <v/>
      </c>
      <c r="OI64" t="str">
        <f t="shared" si="8"/>
        <v/>
      </c>
    </row>
    <row r="65" spans="1:399" x14ac:dyDescent="0.3">
      <c r="A65" s="2"/>
      <c r="B65" s="2" t="str">
        <f t="shared" si="0"/>
        <v>LLC</v>
      </c>
      <c r="C65" s="2" t="str">
        <f t="shared" si="1"/>
        <v>LLC</v>
      </c>
      <c r="D65" s="2" t="str">
        <f t="shared" si="2"/>
        <v>LLC</v>
      </c>
      <c r="E65" s="2" t="str">
        <f t="shared" si="3"/>
        <v/>
      </c>
      <c r="F65" s="2">
        <f t="shared" si="4"/>
        <v>0</v>
      </c>
      <c r="G65" s="2">
        <f t="shared" si="5"/>
        <v>0</v>
      </c>
      <c r="H65" s="2">
        <f t="shared" si="6"/>
        <v>0</v>
      </c>
      <c r="I65" s="2">
        <f t="shared" si="7"/>
        <v>0</v>
      </c>
      <c r="NH65" cm="1">
        <f t="array" ref="NH65:NJ65">SUMIFS($J65:$GG65,$J$1:$GG$1,NH$3:NJ$3)</f>
        <v>0</v>
      </c>
      <c r="NI65">
        <v>0</v>
      </c>
      <c r="NJ65">
        <v>0</v>
      </c>
      <c r="NK65" cm="1">
        <f t="array" ref="NK65">IFERROR(MAX((_xlfn.ANCHORARRAY(NH65)-AVERAGE(_xlfn.ANCHORARRAY(NH65)))/ AVERAGE(_xlfn.ANCHORARRAY(NH65))),0)</f>
        <v>0</v>
      </c>
      <c r="NL65" t="str" cm="1">
        <f t="array" ref="NL65">IF(NK65&gt;$NL$1,_xlfn.XLOOKUP(MAX(_xlfn.ANCHORARRAY(NH65)),_xlfn.ANCHORARRAY(NH65),NH$4:NJ$4,""),"")</f>
        <v/>
      </c>
      <c r="NN65" cm="1">
        <f t="array" ref="NN65:NR65">SUMIFS($J65:$GG65,$J$3:$GG$3,NN$3:NR$3)</f>
        <v>0</v>
      </c>
      <c r="NO65">
        <v>0</v>
      </c>
      <c r="NP65">
        <v>0</v>
      </c>
      <c r="NQ65">
        <v>0</v>
      </c>
      <c r="NR65">
        <v>0</v>
      </c>
      <c r="NS65" cm="1">
        <f t="array" ref="NS65">IFERROR(MAX((_xlfn.ANCHORARRAY(NN65)-AVERAGE(_xlfn.ANCHORARRAY(NN65)))/ AVERAGE(_xlfn.ANCHORARRAY(NN65))),0)</f>
        <v>0</v>
      </c>
      <c r="NT65" t="str" cm="1">
        <f t="array" ref="NT65">IF(AND(NS65&gt;$NT$1,NL65&lt;&gt;""),_xlfn.XLOOKUP(MAX(_xlfn.ANCHORARRAY(NN65)),_xlfn.ANCHORARRAY(NN65),NN$4:NR$4,""),"")</f>
        <v/>
      </c>
      <c r="NV65" cm="1">
        <f t="array" ref="NV65:OE65">SUMIFS($J65:$GG65,$J$2:$GG$2,NV$3:OE$3)</f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 cm="1">
        <f t="array" ref="OF65">IFERROR(MAX((_xlfn.ANCHORARRAY(NV65)-AVERAGE(_xlfn.ANCHORARRAY(NV65)))/ AVERAGE(_xlfn.ANCHORARRAY(NV65))),0)</f>
        <v>0</v>
      </c>
      <c r="OG65" t="str" cm="1">
        <f t="array" ref="OG65">IF(OF65&gt;$OG$1,_xlfn.XLOOKUP(MAX(_xlfn.ANCHORARRAY(NV65)),_xlfn.ANCHORARRAY(NV65),NV$4:OE$4,""),"")</f>
        <v/>
      </c>
      <c r="OI65" t="str">
        <f t="shared" si="8"/>
        <v/>
      </c>
    </row>
    <row r="66" spans="1:399" x14ac:dyDescent="0.3">
      <c r="A66" s="2"/>
      <c r="B66" s="2" t="str">
        <f t="shared" si="0"/>
        <v>LLC</v>
      </c>
      <c r="C66" s="2" t="str">
        <f t="shared" si="1"/>
        <v>LLC</v>
      </c>
      <c r="D66" s="2" t="str">
        <f t="shared" si="2"/>
        <v>LLC</v>
      </c>
      <c r="E66" s="2" t="str">
        <f t="shared" si="3"/>
        <v/>
      </c>
      <c r="F66" s="2">
        <f t="shared" si="4"/>
        <v>0</v>
      </c>
      <c r="G66" s="2">
        <f t="shared" si="5"/>
        <v>0</v>
      </c>
      <c r="H66" s="2">
        <f t="shared" si="6"/>
        <v>0</v>
      </c>
      <c r="I66" s="2">
        <f t="shared" si="7"/>
        <v>0</v>
      </c>
      <c r="NH66" cm="1">
        <f t="array" ref="NH66:NJ66">SUMIFS($J66:$GG66,$J$1:$GG$1,NH$3:NJ$3)</f>
        <v>0</v>
      </c>
      <c r="NI66">
        <v>0</v>
      </c>
      <c r="NJ66">
        <v>0</v>
      </c>
      <c r="NK66" cm="1">
        <f t="array" ref="NK66">IFERROR(MAX((_xlfn.ANCHORARRAY(NH66)-AVERAGE(_xlfn.ANCHORARRAY(NH66)))/ AVERAGE(_xlfn.ANCHORARRAY(NH66))),0)</f>
        <v>0</v>
      </c>
      <c r="NL66" t="str" cm="1">
        <f t="array" ref="NL66">IF(NK66&gt;$NL$1,_xlfn.XLOOKUP(MAX(_xlfn.ANCHORARRAY(NH66)),_xlfn.ANCHORARRAY(NH66),NH$4:NJ$4,""),"")</f>
        <v/>
      </c>
      <c r="NN66" cm="1">
        <f t="array" ref="NN66:NR66">SUMIFS($J66:$GG66,$J$3:$GG$3,NN$3:NR$3)</f>
        <v>0</v>
      </c>
      <c r="NO66">
        <v>0</v>
      </c>
      <c r="NP66">
        <v>0</v>
      </c>
      <c r="NQ66">
        <v>0</v>
      </c>
      <c r="NR66">
        <v>0</v>
      </c>
      <c r="NS66" cm="1">
        <f t="array" ref="NS66">IFERROR(MAX((_xlfn.ANCHORARRAY(NN66)-AVERAGE(_xlfn.ANCHORARRAY(NN66)))/ AVERAGE(_xlfn.ANCHORARRAY(NN66))),0)</f>
        <v>0</v>
      </c>
      <c r="NT66" t="str" cm="1">
        <f t="array" ref="NT66">IF(AND(NS66&gt;$NT$1,NL66&lt;&gt;""),_xlfn.XLOOKUP(MAX(_xlfn.ANCHORARRAY(NN66)),_xlfn.ANCHORARRAY(NN66),NN$4:NR$4,""),"")</f>
        <v/>
      </c>
      <c r="NV66" cm="1">
        <f t="array" ref="NV66:OE66">SUMIFS($J66:$GG66,$J$2:$GG$2,NV$3:OE$3)</f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 cm="1">
        <f t="array" ref="OF66">IFERROR(MAX((_xlfn.ANCHORARRAY(NV66)-AVERAGE(_xlfn.ANCHORARRAY(NV66)))/ AVERAGE(_xlfn.ANCHORARRAY(NV66))),0)</f>
        <v>0</v>
      </c>
      <c r="OG66" t="str" cm="1">
        <f t="array" ref="OG66">IF(OF66&gt;$OG$1,_xlfn.XLOOKUP(MAX(_xlfn.ANCHORARRAY(NV66)),_xlfn.ANCHORARRAY(NV66),NV$4:OE$4,""),"")</f>
        <v/>
      </c>
      <c r="OI66" t="str">
        <f t="shared" si="8"/>
        <v/>
      </c>
    </row>
    <row r="67" spans="1:399" x14ac:dyDescent="0.3">
      <c r="A67" s="2"/>
      <c r="B67" s="2" t="str">
        <f t="shared" si="0"/>
        <v>LLC</v>
      </c>
      <c r="C67" s="2" t="str">
        <f t="shared" si="1"/>
        <v>LLC</v>
      </c>
      <c r="D67" s="2" t="str">
        <f t="shared" si="2"/>
        <v>LLC</v>
      </c>
      <c r="E67" s="2" t="str">
        <f t="shared" si="3"/>
        <v/>
      </c>
      <c r="F67" s="2">
        <f t="shared" si="4"/>
        <v>0</v>
      </c>
      <c r="G67" s="2">
        <f t="shared" si="5"/>
        <v>0</v>
      </c>
      <c r="H67" s="2">
        <f t="shared" si="6"/>
        <v>0</v>
      </c>
      <c r="I67" s="2">
        <f t="shared" si="7"/>
        <v>0</v>
      </c>
      <c r="NH67" cm="1">
        <f t="array" ref="NH67:NJ67">SUMIFS($J67:$GG67,$J$1:$GG$1,NH$3:NJ$3)</f>
        <v>0</v>
      </c>
      <c r="NI67">
        <v>0</v>
      </c>
      <c r="NJ67">
        <v>0</v>
      </c>
      <c r="NK67" cm="1">
        <f t="array" ref="NK67">IFERROR(MAX((_xlfn.ANCHORARRAY(NH67)-AVERAGE(_xlfn.ANCHORARRAY(NH67)))/ AVERAGE(_xlfn.ANCHORARRAY(NH67))),0)</f>
        <v>0</v>
      </c>
      <c r="NL67" t="str" cm="1">
        <f t="array" ref="NL67">IF(NK67&gt;$NL$1,_xlfn.XLOOKUP(MAX(_xlfn.ANCHORARRAY(NH67)),_xlfn.ANCHORARRAY(NH67),NH$4:NJ$4,""),"")</f>
        <v/>
      </c>
      <c r="NN67" cm="1">
        <f t="array" ref="NN67:NR67">SUMIFS($J67:$GG67,$J$3:$GG$3,NN$3:NR$3)</f>
        <v>0</v>
      </c>
      <c r="NO67">
        <v>0</v>
      </c>
      <c r="NP67">
        <v>0</v>
      </c>
      <c r="NQ67">
        <v>0</v>
      </c>
      <c r="NR67">
        <v>0</v>
      </c>
      <c r="NS67" cm="1">
        <f t="array" ref="NS67">IFERROR(MAX((_xlfn.ANCHORARRAY(NN67)-AVERAGE(_xlfn.ANCHORARRAY(NN67)))/ AVERAGE(_xlfn.ANCHORARRAY(NN67))),0)</f>
        <v>0</v>
      </c>
      <c r="NT67" t="str" cm="1">
        <f t="array" ref="NT67">IF(AND(NS67&gt;$NT$1,NL67&lt;&gt;""),_xlfn.XLOOKUP(MAX(_xlfn.ANCHORARRAY(NN67)),_xlfn.ANCHORARRAY(NN67),NN$4:NR$4,""),"")</f>
        <v/>
      </c>
      <c r="NV67" cm="1">
        <f t="array" ref="NV67:OE67">SUMIFS($J67:$GG67,$J$2:$GG$2,NV$3:OE$3)</f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 cm="1">
        <f t="array" ref="OF67">IFERROR(MAX((_xlfn.ANCHORARRAY(NV67)-AVERAGE(_xlfn.ANCHORARRAY(NV67)))/ AVERAGE(_xlfn.ANCHORARRAY(NV67))),0)</f>
        <v>0</v>
      </c>
      <c r="OG67" t="str" cm="1">
        <f t="array" ref="OG67">IF(OF67&gt;$OG$1,_xlfn.XLOOKUP(MAX(_xlfn.ANCHORARRAY(NV67)),_xlfn.ANCHORARRAY(NV67),NV$4:OE$4,""),"")</f>
        <v/>
      </c>
      <c r="OI67" t="str">
        <f t="shared" si="8"/>
        <v/>
      </c>
    </row>
    <row r="68" spans="1:399" x14ac:dyDescent="0.3">
      <c r="A68" s="2"/>
      <c r="B68" s="2" t="str">
        <f t="shared" si="0"/>
        <v>LLC</v>
      </c>
      <c r="C68" s="2" t="str">
        <f t="shared" si="1"/>
        <v>LLC</v>
      </c>
      <c r="D68" s="2" t="str">
        <f t="shared" si="2"/>
        <v>LLC</v>
      </c>
      <c r="E68" s="2" t="str">
        <f t="shared" si="3"/>
        <v/>
      </c>
      <c r="F68" s="2">
        <f t="shared" si="4"/>
        <v>0</v>
      </c>
      <c r="G68" s="2">
        <f t="shared" si="5"/>
        <v>0</v>
      </c>
      <c r="H68" s="2">
        <f t="shared" si="6"/>
        <v>0</v>
      </c>
      <c r="I68" s="2">
        <f t="shared" si="7"/>
        <v>0</v>
      </c>
      <c r="NH68" cm="1">
        <f t="array" ref="NH68:NJ68">SUMIFS($J68:$GG68,$J$1:$GG$1,NH$3:NJ$3)</f>
        <v>0</v>
      </c>
      <c r="NI68">
        <v>0</v>
      </c>
      <c r="NJ68">
        <v>0</v>
      </c>
      <c r="NK68" cm="1">
        <f t="array" ref="NK68">IFERROR(MAX((_xlfn.ANCHORARRAY(NH68)-AVERAGE(_xlfn.ANCHORARRAY(NH68)))/ AVERAGE(_xlfn.ANCHORARRAY(NH68))),0)</f>
        <v>0</v>
      </c>
      <c r="NL68" t="str" cm="1">
        <f t="array" ref="NL68">IF(NK68&gt;$NL$1,_xlfn.XLOOKUP(MAX(_xlfn.ANCHORARRAY(NH68)),_xlfn.ANCHORARRAY(NH68),NH$4:NJ$4,""),"")</f>
        <v/>
      </c>
      <c r="NN68" cm="1">
        <f t="array" ref="NN68:NR68">SUMIFS($J68:$GG68,$J$3:$GG$3,NN$3:NR$3)</f>
        <v>0</v>
      </c>
      <c r="NO68">
        <v>0</v>
      </c>
      <c r="NP68">
        <v>0</v>
      </c>
      <c r="NQ68">
        <v>0</v>
      </c>
      <c r="NR68">
        <v>0</v>
      </c>
      <c r="NS68" cm="1">
        <f t="array" ref="NS68">IFERROR(MAX((_xlfn.ANCHORARRAY(NN68)-AVERAGE(_xlfn.ANCHORARRAY(NN68)))/ AVERAGE(_xlfn.ANCHORARRAY(NN68))),0)</f>
        <v>0</v>
      </c>
      <c r="NT68" t="str" cm="1">
        <f t="array" ref="NT68">IF(AND(NS68&gt;$NT$1,NL68&lt;&gt;""),_xlfn.XLOOKUP(MAX(_xlfn.ANCHORARRAY(NN68)),_xlfn.ANCHORARRAY(NN68),NN$4:NR$4,""),"")</f>
        <v/>
      </c>
      <c r="NV68" cm="1">
        <f t="array" ref="NV68:OE68">SUMIFS($J68:$GG68,$J$2:$GG$2,NV$3:OE$3)</f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 cm="1">
        <f t="array" ref="OF68">IFERROR(MAX((_xlfn.ANCHORARRAY(NV68)-AVERAGE(_xlfn.ANCHORARRAY(NV68)))/ AVERAGE(_xlfn.ANCHORARRAY(NV68))),0)</f>
        <v>0</v>
      </c>
      <c r="OG68" t="str" cm="1">
        <f t="array" ref="OG68">IF(OF68&gt;$OG$1,_xlfn.XLOOKUP(MAX(_xlfn.ANCHORARRAY(NV68)),_xlfn.ANCHORARRAY(NV68),NV$4:OE$4,""),"")</f>
        <v/>
      </c>
      <c r="OI68" t="str">
        <f t="shared" si="8"/>
        <v/>
      </c>
    </row>
    <row r="69" spans="1:399" x14ac:dyDescent="0.3">
      <c r="A69" s="2"/>
      <c r="B69" s="2" t="str">
        <f t="shared" si="0"/>
        <v>LLC</v>
      </c>
      <c r="C69" s="2" t="str">
        <f t="shared" si="1"/>
        <v>LLC</v>
      </c>
      <c r="D69" s="2" t="str">
        <f t="shared" si="2"/>
        <v>LLC</v>
      </c>
      <c r="E69" s="2" t="str">
        <f t="shared" si="3"/>
        <v/>
      </c>
      <c r="F69" s="2">
        <f t="shared" si="4"/>
        <v>0</v>
      </c>
      <c r="G69" s="2">
        <f t="shared" si="5"/>
        <v>0</v>
      </c>
      <c r="H69" s="2">
        <f t="shared" si="6"/>
        <v>0</v>
      </c>
      <c r="I69" s="2">
        <f t="shared" si="7"/>
        <v>0</v>
      </c>
      <c r="NH69" cm="1">
        <f t="array" ref="NH69:NJ69">SUMIFS($J69:$GG69,$J$1:$GG$1,NH$3:NJ$3)</f>
        <v>0</v>
      </c>
      <c r="NI69">
        <v>0</v>
      </c>
      <c r="NJ69">
        <v>0</v>
      </c>
      <c r="NK69" cm="1">
        <f t="array" ref="NK69">IFERROR(MAX((_xlfn.ANCHORARRAY(NH69)-AVERAGE(_xlfn.ANCHORARRAY(NH69)))/ AVERAGE(_xlfn.ANCHORARRAY(NH69))),0)</f>
        <v>0</v>
      </c>
      <c r="NL69" t="str" cm="1">
        <f t="array" ref="NL69">IF(NK69&gt;$NL$1,_xlfn.XLOOKUP(MAX(_xlfn.ANCHORARRAY(NH69)),_xlfn.ANCHORARRAY(NH69),NH$4:NJ$4,""),"")</f>
        <v/>
      </c>
      <c r="NN69" cm="1">
        <f t="array" ref="NN69:NR69">SUMIFS($J69:$GG69,$J$3:$GG$3,NN$3:NR$3)</f>
        <v>0</v>
      </c>
      <c r="NO69">
        <v>0</v>
      </c>
      <c r="NP69">
        <v>0</v>
      </c>
      <c r="NQ69">
        <v>0</v>
      </c>
      <c r="NR69">
        <v>0</v>
      </c>
      <c r="NS69" cm="1">
        <f t="array" ref="NS69">IFERROR(MAX((_xlfn.ANCHORARRAY(NN69)-AVERAGE(_xlfn.ANCHORARRAY(NN69)))/ AVERAGE(_xlfn.ANCHORARRAY(NN69))),0)</f>
        <v>0</v>
      </c>
      <c r="NT69" t="str" cm="1">
        <f t="array" ref="NT69">IF(AND(NS69&gt;$NT$1,NL69&lt;&gt;""),_xlfn.XLOOKUP(MAX(_xlfn.ANCHORARRAY(NN69)),_xlfn.ANCHORARRAY(NN69),NN$4:NR$4,""),"")</f>
        <v/>
      </c>
      <c r="NV69" cm="1">
        <f t="array" ref="NV69:OE69">SUMIFS($J69:$GG69,$J$2:$GG$2,NV$3:OE$3)</f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 cm="1">
        <f t="array" ref="OF69">IFERROR(MAX((_xlfn.ANCHORARRAY(NV69)-AVERAGE(_xlfn.ANCHORARRAY(NV69)))/ AVERAGE(_xlfn.ANCHORARRAY(NV69))),0)</f>
        <v>0</v>
      </c>
      <c r="OG69" t="str" cm="1">
        <f t="array" ref="OG69">IF(OF69&gt;$OG$1,_xlfn.XLOOKUP(MAX(_xlfn.ANCHORARRAY(NV69)),_xlfn.ANCHORARRAY(NV69),NV$4:OE$4,""),"")</f>
        <v/>
      </c>
      <c r="OI69" t="str">
        <f t="shared" si="8"/>
        <v/>
      </c>
    </row>
    <row r="70" spans="1:399" x14ac:dyDescent="0.3">
      <c r="A70" s="2"/>
      <c r="B70" s="2" t="str">
        <f t="shared" ref="B70:B133" si="9">IF(C70="NotFound",D70,C70)</f>
        <v>LLC</v>
      </c>
      <c r="C70" s="2" t="str">
        <f t="shared" ref="C70:C133" si="10">IF(H70&gt;1,"NotFound","LLC"&amp;_xlfn.XLOOKUP(MAX(J70:GG70,1),J70:GG70,$J$4:$GG$4,""))</f>
        <v>LLC</v>
      </c>
      <c r="D70" s="2" t="str">
        <f t="shared" ref="D70:D133" si="11">IF(F70&gt;1,"NotFound","LLC"&amp;_xlfn.XLOOKUP(MAX(GI70:NF70,1),GI70:NF70,$GI$4:$NF$4,""))</f>
        <v>LLC</v>
      </c>
      <c r="E70" s="2" t="str">
        <f t="shared" ref="E70:E133" si="12">OI70</f>
        <v/>
      </c>
      <c r="F70" s="2">
        <f t="shared" ref="F70:F133" si="13">COUNTIF(GI70:NF70,G70)</f>
        <v>0</v>
      </c>
      <c r="G70" s="2">
        <f t="shared" ref="G70:G133" si="14">MAX(GI70:NF70)</f>
        <v>0</v>
      </c>
      <c r="H70" s="2">
        <f t="shared" ref="H70:H133" si="15">COUNTIF(J70:GG70,I70)</f>
        <v>0</v>
      </c>
      <c r="I70" s="2">
        <f t="shared" ref="I70:I133" si="16">MAX(J70:GG70)</f>
        <v>0</v>
      </c>
      <c r="NH70" cm="1">
        <f t="array" ref="NH70:NJ70">SUMIFS($J70:$GG70,$J$1:$GG$1,NH$3:NJ$3)</f>
        <v>0</v>
      </c>
      <c r="NI70">
        <v>0</v>
      </c>
      <c r="NJ70">
        <v>0</v>
      </c>
      <c r="NK70" cm="1">
        <f t="array" ref="NK70">IFERROR(MAX((_xlfn.ANCHORARRAY(NH70)-AVERAGE(_xlfn.ANCHORARRAY(NH70)))/ AVERAGE(_xlfn.ANCHORARRAY(NH70))),0)</f>
        <v>0</v>
      </c>
      <c r="NL70" t="str" cm="1">
        <f t="array" ref="NL70">IF(NK70&gt;$NL$1,_xlfn.XLOOKUP(MAX(_xlfn.ANCHORARRAY(NH70)),_xlfn.ANCHORARRAY(NH70),NH$4:NJ$4,""),"")</f>
        <v/>
      </c>
      <c r="NN70" cm="1">
        <f t="array" ref="NN70:NR70">SUMIFS($J70:$GG70,$J$3:$GG$3,NN$3:NR$3)</f>
        <v>0</v>
      </c>
      <c r="NO70">
        <v>0</v>
      </c>
      <c r="NP70">
        <v>0</v>
      </c>
      <c r="NQ70">
        <v>0</v>
      </c>
      <c r="NR70">
        <v>0</v>
      </c>
      <c r="NS70" cm="1">
        <f t="array" ref="NS70">IFERROR(MAX((_xlfn.ANCHORARRAY(NN70)-AVERAGE(_xlfn.ANCHORARRAY(NN70)))/ AVERAGE(_xlfn.ANCHORARRAY(NN70))),0)</f>
        <v>0</v>
      </c>
      <c r="NT70" t="str" cm="1">
        <f t="array" ref="NT70">IF(AND(NS70&gt;$NT$1,NL70&lt;&gt;""),_xlfn.XLOOKUP(MAX(_xlfn.ANCHORARRAY(NN70)),_xlfn.ANCHORARRAY(NN70),NN$4:NR$4,""),"")</f>
        <v/>
      </c>
      <c r="NV70" cm="1">
        <f t="array" ref="NV70:OE70">SUMIFS($J70:$GG70,$J$2:$GG$2,NV$3:OE$3)</f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 cm="1">
        <f t="array" ref="OF70">IFERROR(MAX((_xlfn.ANCHORARRAY(NV70)-AVERAGE(_xlfn.ANCHORARRAY(NV70)))/ AVERAGE(_xlfn.ANCHORARRAY(NV70))),0)</f>
        <v>0</v>
      </c>
      <c r="OG70" t="str" cm="1">
        <f t="array" ref="OG70">IF(OF70&gt;$OG$1,_xlfn.XLOOKUP(MAX(_xlfn.ANCHORARRAY(NV70)),_xlfn.ANCHORARRAY(NV70),NV$4:OE$4,""),"")</f>
        <v/>
      </c>
      <c r="OI70" t="str">
        <f t="shared" ref="OI70:OI133" si="17">_xlfn.TEXTJOIN(" : ",,NL70,NT70,OG70)</f>
        <v/>
      </c>
    </row>
    <row r="71" spans="1:399" x14ac:dyDescent="0.3">
      <c r="A71" s="2"/>
      <c r="B71" s="2" t="str">
        <f t="shared" si="9"/>
        <v>LLC</v>
      </c>
      <c r="C71" s="2" t="str">
        <f t="shared" si="10"/>
        <v>LLC</v>
      </c>
      <c r="D71" s="2" t="str">
        <f t="shared" si="11"/>
        <v>LLC</v>
      </c>
      <c r="E71" s="2" t="str">
        <f t="shared" si="12"/>
        <v/>
      </c>
      <c r="F71" s="2">
        <f t="shared" si="13"/>
        <v>0</v>
      </c>
      <c r="G71" s="2">
        <f t="shared" si="14"/>
        <v>0</v>
      </c>
      <c r="H71" s="2">
        <f t="shared" si="15"/>
        <v>0</v>
      </c>
      <c r="I71" s="2">
        <f t="shared" si="16"/>
        <v>0</v>
      </c>
      <c r="NH71" cm="1">
        <f t="array" ref="NH71:NJ71">SUMIFS($J71:$GG71,$J$1:$GG$1,NH$3:NJ$3)</f>
        <v>0</v>
      </c>
      <c r="NI71">
        <v>0</v>
      </c>
      <c r="NJ71">
        <v>0</v>
      </c>
      <c r="NK71" cm="1">
        <f t="array" ref="NK71">IFERROR(MAX((_xlfn.ANCHORARRAY(NH71)-AVERAGE(_xlfn.ANCHORARRAY(NH71)))/ AVERAGE(_xlfn.ANCHORARRAY(NH71))),0)</f>
        <v>0</v>
      </c>
      <c r="NL71" t="str" cm="1">
        <f t="array" ref="NL71">IF(NK71&gt;$NL$1,_xlfn.XLOOKUP(MAX(_xlfn.ANCHORARRAY(NH71)),_xlfn.ANCHORARRAY(NH71),NH$4:NJ$4,""),"")</f>
        <v/>
      </c>
      <c r="NN71" cm="1">
        <f t="array" ref="NN71:NR71">SUMIFS($J71:$GG71,$J$3:$GG$3,NN$3:NR$3)</f>
        <v>0</v>
      </c>
      <c r="NO71">
        <v>0</v>
      </c>
      <c r="NP71">
        <v>0</v>
      </c>
      <c r="NQ71">
        <v>0</v>
      </c>
      <c r="NR71">
        <v>0</v>
      </c>
      <c r="NS71" cm="1">
        <f t="array" ref="NS71">IFERROR(MAX((_xlfn.ANCHORARRAY(NN71)-AVERAGE(_xlfn.ANCHORARRAY(NN71)))/ AVERAGE(_xlfn.ANCHORARRAY(NN71))),0)</f>
        <v>0</v>
      </c>
      <c r="NT71" t="str" cm="1">
        <f t="array" ref="NT71">IF(AND(NS71&gt;$NT$1,NL71&lt;&gt;""),_xlfn.XLOOKUP(MAX(_xlfn.ANCHORARRAY(NN71)),_xlfn.ANCHORARRAY(NN71),NN$4:NR$4,""),"")</f>
        <v/>
      </c>
      <c r="NV71" cm="1">
        <f t="array" ref="NV71:OE71">SUMIFS($J71:$GG71,$J$2:$GG$2,NV$3:OE$3)</f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 cm="1">
        <f t="array" ref="OF71">IFERROR(MAX((_xlfn.ANCHORARRAY(NV71)-AVERAGE(_xlfn.ANCHORARRAY(NV71)))/ AVERAGE(_xlfn.ANCHORARRAY(NV71))),0)</f>
        <v>0</v>
      </c>
      <c r="OG71" t="str" cm="1">
        <f t="array" ref="OG71">IF(OF71&gt;$OG$1,_xlfn.XLOOKUP(MAX(_xlfn.ANCHORARRAY(NV71)),_xlfn.ANCHORARRAY(NV71),NV$4:OE$4,""),"")</f>
        <v/>
      </c>
      <c r="OI71" t="str">
        <f t="shared" si="17"/>
        <v/>
      </c>
    </row>
    <row r="72" spans="1:399" x14ac:dyDescent="0.3">
      <c r="A72" s="2"/>
      <c r="B72" s="2" t="str">
        <f t="shared" si="9"/>
        <v>LLC</v>
      </c>
      <c r="C72" s="2" t="str">
        <f t="shared" si="10"/>
        <v>LLC</v>
      </c>
      <c r="D72" s="2" t="str">
        <f t="shared" si="11"/>
        <v>LLC</v>
      </c>
      <c r="E72" s="2" t="str">
        <f t="shared" si="12"/>
        <v/>
      </c>
      <c r="F72" s="2">
        <f t="shared" si="13"/>
        <v>0</v>
      </c>
      <c r="G72" s="2">
        <f t="shared" si="14"/>
        <v>0</v>
      </c>
      <c r="H72" s="2">
        <f t="shared" si="15"/>
        <v>0</v>
      </c>
      <c r="I72" s="2">
        <f t="shared" si="16"/>
        <v>0</v>
      </c>
      <c r="NH72" cm="1">
        <f t="array" ref="NH72:NJ72">SUMIFS($J72:$GG72,$J$1:$GG$1,NH$3:NJ$3)</f>
        <v>0</v>
      </c>
      <c r="NI72">
        <v>0</v>
      </c>
      <c r="NJ72">
        <v>0</v>
      </c>
      <c r="NK72" cm="1">
        <f t="array" ref="NK72">IFERROR(MAX((_xlfn.ANCHORARRAY(NH72)-AVERAGE(_xlfn.ANCHORARRAY(NH72)))/ AVERAGE(_xlfn.ANCHORARRAY(NH72))),0)</f>
        <v>0</v>
      </c>
      <c r="NL72" t="str" cm="1">
        <f t="array" ref="NL72">IF(NK72&gt;$NL$1,_xlfn.XLOOKUP(MAX(_xlfn.ANCHORARRAY(NH72)),_xlfn.ANCHORARRAY(NH72),NH$4:NJ$4,""),"")</f>
        <v/>
      </c>
      <c r="NN72" cm="1">
        <f t="array" ref="NN72:NR72">SUMIFS($J72:$GG72,$J$3:$GG$3,NN$3:NR$3)</f>
        <v>0</v>
      </c>
      <c r="NO72">
        <v>0</v>
      </c>
      <c r="NP72">
        <v>0</v>
      </c>
      <c r="NQ72">
        <v>0</v>
      </c>
      <c r="NR72">
        <v>0</v>
      </c>
      <c r="NS72" cm="1">
        <f t="array" ref="NS72">IFERROR(MAX((_xlfn.ANCHORARRAY(NN72)-AVERAGE(_xlfn.ANCHORARRAY(NN72)))/ AVERAGE(_xlfn.ANCHORARRAY(NN72))),0)</f>
        <v>0</v>
      </c>
      <c r="NT72" t="str" cm="1">
        <f t="array" ref="NT72">IF(AND(NS72&gt;$NT$1,NL72&lt;&gt;""),_xlfn.XLOOKUP(MAX(_xlfn.ANCHORARRAY(NN72)),_xlfn.ANCHORARRAY(NN72),NN$4:NR$4,""),"")</f>
        <v/>
      </c>
      <c r="NV72" cm="1">
        <f t="array" ref="NV72:OE72">SUMIFS($J72:$GG72,$J$2:$GG$2,NV$3:OE$3)</f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 cm="1">
        <f t="array" ref="OF72">IFERROR(MAX((_xlfn.ANCHORARRAY(NV72)-AVERAGE(_xlfn.ANCHORARRAY(NV72)))/ AVERAGE(_xlfn.ANCHORARRAY(NV72))),0)</f>
        <v>0</v>
      </c>
      <c r="OG72" t="str" cm="1">
        <f t="array" ref="OG72">IF(OF72&gt;$OG$1,_xlfn.XLOOKUP(MAX(_xlfn.ANCHORARRAY(NV72)),_xlfn.ANCHORARRAY(NV72),NV$4:OE$4,""),"")</f>
        <v/>
      </c>
      <c r="OI72" t="str">
        <f t="shared" si="17"/>
        <v/>
      </c>
    </row>
    <row r="73" spans="1:399" x14ac:dyDescent="0.3">
      <c r="A73" s="2"/>
      <c r="B73" s="2" t="str">
        <f t="shared" si="9"/>
        <v>LLC</v>
      </c>
      <c r="C73" s="2" t="str">
        <f t="shared" si="10"/>
        <v>LLC</v>
      </c>
      <c r="D73" s="2" t="str">
        <f t="shared" si="11"/>
        <v>LLC</v>
      </c>
      <c r="E73" s="2" t="str">
        <f t="shared" si="12"/>
        <v/>
      </c>
      <c r="F73" s="2">
        <f t="shared" si="13"/>
        <v>0</v>
      </c>
      <c r="G73" s="2">
        <f t="shared" si="14"/>
        <v>0</v>
      </c>
      <c r="H73" s="2">
        <f t="shared" si="15"/>
        <v>0</v>
      </c>
      <c r="I73" s="2">
        <f t="shared" si="16"/>
        <v>0</v>
      </c>
      <c r="NH73" cm="1">
        <f t="array" ref="NH73:NJ73">SUMIFS($J73:$GG73,$J$1:$GG$1,NH$3:NJ$3)</f>
        <v>0</v>
      </c>
      <c r="NI73">
        <v>0</v>
      </c>
      <c r="NJ73">
        <v>0</v>
      </c>
      <c r="NK73" cm="1">
        <f t="array" ref="NK73">IFERROR(MAX((_xlfn.ANCHORARRAY(NH73)-AVERAGE(_xlfn.ANCHORARRAY(NH73)))/ AVERAGE(_xlfn.ANCHORARRAY(NH73))),0)</f>
        <v>0</v>
      </c>
      <c r="NL73" t="str" cm="1">
        <f t="array" ref="NL73">IF(NK73&gt;$NL$1,_xlfn.XLOOKUP(MAX(_xlfn.ANCHORARRAY(NH73)),_xlfn.ANCHORARRAY(NH73),NH$4:NJ$4,""),"")</f>
        <v/>
      </c>
      <c r="NN73" cm="1">
        <f t="array" ref="NN73:NR73">SUMIFS($J73:$GG73,$J$3:$GG$3,NN$3:NR$3)</f>
        <v>0</v>
      </c>
      <c r="NO73">
        <v>0</v>
      </c>
      <c r="NP73">
        <v>0</v>
      </c>
      <c r="NQ73">
        <v>0</v>
      </c>
      <c r="NR73">
        <v>0</v>
      </c>
      <c r="NS73" cm="1">
        <f t="array" ref="NS73">IFERROR(MAX((_xlfn.ANCHORARRAY(NN73)-AVERAGE(_xlfn.ANCHORARRAY(NN73)))/ AVERAGE(_xlfn.ANCHORARRAY(NN73))),0)</f>
        <v>0</v>
      </c>
      <c r="NT73" t="str" cm="1">
        <f t="array" ref="NT73">IF(AND(NS73&gt;$NT$1,NL73&lt;&gt;""),_xlfn.XLOOKUP(MAX(_xlfn.ANCHORARRAY(NN73)),_xlfn.ANCHORARRAY(NN73),NN$4:NR$4,""),"")</f>
        <v/>
      </c>
      <c r="NV73" cm="1">
        <f t="array" ref="NV73:OE73">SUMIFS($J73:$GG73,$J$2:$GG$2,NV$3:OE$3)</f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 cm="1">
        <f t="array" ref="OF73">IFERROR(MAX((_xlfn.ANCHORARRAY(NV73)-AVERAGE(_xlfn.ANCHORARRAY(NV73)))/ AVERAGE(_xlfn.ANCHORARRAY(NV73))),0)</f>
        <v>0</v>
      </c>
      <c r="OG73" t="str" cm="1">
        <f t="array" ref="OG73">IF(OF73&gt;$OG$1,_xlfn.XLOOKUP(MAX(_xlfn.ANCHORARRAY(NV73)),_xlfn.ANCHORARRAY(NV73),NV$4:OE$4,""),"")</f>
        <v/>
      </c>
      <c r="OI73" t="str">
        <f t="shared" si="17"/>
        <v/>
      </c>
    </row>
    <row r="74" spans="1:399" x14ac:dyDescent="0.3">
      <c r="A74" s="2"/>
      <c r="B74" s="2" t="str">
        <f t="shared" si="9"/>
        <v>LLC</v>
      </c>
      <c r="C74" s="2" t="str">
        <f t="shared" si="10"/>
        <v>LLC</v>
      </c>
      <c r="D74" s="2" t="str">
        <f t="shared" si="11"/>
        <v>LLC</v>
      </c>
      <c r="E74" s="2" t="str">
        <f t="shared" si="12"/>
        <v/>
      </c>
      <c r="F74" s="2">
        <f t="shared" si="13"/>
        <v>0</v>
      </c>
      <c r="G74" s="2">
        <f t="shared" si="14"/>
        <v>0</v>
      </c>
      <c r="H74" s="2">
        <f t="shared" si="15"/>
        <v>0</v>
      </c>
      <c r="I74" s="2">
        <f t="shared" si="16"/>
        <v>0</v>
      </c>
      <c r="NH74" cm="1">
        <f t="array" ref="NH74:NJ74">SUMIFS($J74:$GG74,$J$1:$GG$1,NH$3:NJ$3)</f>
        <v>0</v>
      </c>
      <c r="NI74">
        <v>0</v>
      </c>
      <c r="NJ74">
        <v>0</v>
      </c>
      <c r="NK74" cm="1">
        <f t="array" ref="NK74">IFERROR(MAX((_xlfn.ANCHORARRAY(NH74)-AVERAGE(_xlfn.ANCHORARRAY(NH74)))/ AVERAGE(_xlfn.ANCHORARRAY(NH74))),0)</f>
        <v>0</v>
      </c>
      <c r="NL74" t="str" cm="1">
        <f t="array" ref="NL74">IF(NK74&gt;$NL$1,_xlfn.XLOOKUP(MAX(_xlfn.ANCHORARRAY(NH74)),_xlfn.ANCHORARRAY(NH74),NH$4:NJ$4,""),"")</f>
        <v/>
      </c>
      <c r="NN74" cm="1">
        <f t="array" ref="NN74:NR74">SUMIFS($J74:$GG74,$J$3:$GG$3,NN$3:NR$3)</f>
        <v>0</v>
      </c>
      <c r="NO74">
        <v>0</v>
      </c>
      <c r="NP74">
        <v>0</v>
      </c>
      <c r="NQ74">
        <v>0</v>
      </c>
      <c r="NR74">
        <v>0</v>
      </c>
      <c r="NS74" cm="1">
        <f t="array" ref="NS74">IFERROR(MAX((_xlfn.ANCHORARRAY(NN74)-AVERAGE(_xlfn.ANCHORARRAY(NN74)))/ AVERAGE(_xlfn.ANCHORARRAY(NN74))),0)</f>
        <v>0</v>
      </c>
      <c r="NT74" t="str" cm="1">
        <f t="array" ref="NT74">IF(AND(NS74&gt;$NT$1,NL74&lt;&gt;""),_xlfn.XLOOKUP(MAX(_xlfn.ANCHORARRAY(NN74)),_xlfn.ANCHORARRAY(NN74),NN$4:NR$4,""),"")</f>
        <v/>
      </c>
      <c r="NV74" cm="1">
        <f t="array" ref="NV74:OE74">SUMIFS($J74:$GG74,$J$2:$GG$2,NV$3:OE$3)</f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 cm="1">
        <f t="array" ref="OF74">IFERROR(MAX((_xlfn.ANCHORARRAY(NV74)-AVERAGE(_xlfn.ANCHORARRAY(NV74)))/ AVERAGE(_xlfn.ANCHORARRAY(NV74))),0)</f>
        <v>0</v>
      </c>
      <c r="OG74" t="str" cm="1">
        <f t="array" ref="OG74">IF(OF74&gt;$OG$1,_xlfn.XLOOKUP(MAX(_xlfn.ANCHORARRAY(NV74)),_xlfn.ANCHORARRAY(NV74),NV$4:OE$4,""),"")</f>
        <v/>
      </c>
      <c r="OI74" t="str">
        <f t="shared" si="17"/>
        <v/>
      </c>
    </row>
    <row r="75" spans="1:399" x14ac:dyDescent="0.3">
      <c r="A75" s="2"/>
      <c r="B75" s="2" t="str">
        <f t="shared" si="9"/>
        <v>LLC</v>
      </c>
      <c r="C75" s="2" t="str">
        <f t="shared" si="10"/>
        <v>LLC</v>
      </c>
      <c r="D75" s="2" t="str">
        <f t="shared" si="11"/>
        <v>LLC</v>
      </c>
      <c r="E75" s="2" t="str">
        <f t="shared" si="12"/>
        <v/>
      </c>
      <c r="F75" s="2">
        <f t="shared" si="13"/>
        <v>0</v>
      </c>
      <c r="G75" s="2">
        <f t="shared" si="14"/>
        <v>0</v>
      </c>
      <c r="H75" s="2">
        <f t="shared" si="15"/>
        <v>0</v>
      </c>
      <c r="I75" s="2">
        <f t="shared" si="16"/>
        <v>0</v>
      </c>
      <c r="NH75" cm="1">
        <f t="array" ref="NH75:NJ75">SUMIFS($J75:$GG75,$J$1:$GG$1,NH$3:NJ$3)</f>
        <v>0</v>
      </c>
      <c r="NI75">
        <v>0</v>
      </c>
      <c r="NJ75">
        <v>0</v>
      </c>
      <c r="NK75" cm="1">
        <f t="array" ref="NK75">IFERROR(MAX((_xlfn.ANCHORARRAY(NH75)-AVERAGE(_xlfn.ANCHORARRAY(NH75)))/ AVERAGE(_xlfn.ANCHORARRAY(NH75))),0)</f>
        <v>0</v>
      </c>
      <c r="NL75" t="str" cm="1">
        <f t="array" ref="NL75">IF(NK75&gt;$NL$1,_xlfn.XLOOKUP(MAX(_xlfn.ANCHORARRAY(NH75)),_xlfn.ANCHORARRAY(NH75),NH$4:NJ$4,""),"")</f>
        <v/>
      </c>
      <c r="NN75" cm="1">
        <f t="array" ref="NN75:NR75">SUMIFS($J75:$GG75,$J$3:$GG$3,NN$3:NR$3)</f>
        <v>0</v>
      </c>
      <c r="NO75">
        <v>0</v>
      </c>
      <c r="NP75">
        <v>0</v>
      </c>
      <c r="NQ75">
        <v>0</v>
      </c>
      <c r="NR75">
        <v>0</v>
      </c>
      <c r="NS75" cm="1">
        <f t="array" ref="NS75">IFERROR(MAX((_xlfn.ANCHORARRAY(NN75)-AVERAGE(_xlfn.ANCHORARRAY(NN75)))/ AVERAGE(_xlfn.ANCHORARRAY(NN75))),0)</f>
        <v>0</v>
      </c>
      <c r="NT75" t="str" cm="1">
        <f t="array" ref="NT75">IF(AND(NS75&gt;$NT$1,NL75&lt;&gt;""),_xlfn.XLOOKUP(MAX(_xlfn.ANCHORARRAY(NN75)),_xlfn.ANCHORARRAY(NN75),NN$4:NR$4,""),"")</f>
        <v/>
      </c>
      <c r="NV75" cm="1">
        <f t="array" ref="NV75:OE75">SUMIFS($J75:$GG75,$J$2:$GG$2,NV$3:OE$3)</f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 cm="1">
        <f t="array" ref="OF75">IFERROR(MAX((_xlfn.ANCHORARRAY(NV75)-AVERAGE(_xlfn.ANCHORARRAY(NV75)))/ AVERAGE(_xlfn.ANCHORARRAY(NV75))),0)</f>
        <v>0</v>
      </c>
      <c r="OG75" t="str" cm="1">
        <f t="array" ref="OG75">IF(OF75&gt;$OG$1,_xlfn.XLOOKUP(MAX(_xlfn.ANCHORARRAY(NV75)),_xlfn.ANCHORARRAY(NV75),NV$4:OE$4,""),"")</f>
        <v/>
      </c>
      <c r="OI75" t="str">
        <f t="shared" si="17"/>
        <v/>
      </c>
    </row>
    <row r="76" spans="1:399" x14ac:dyDescent="0.3">
      <c r="A76" s="2"/>
      <c r="B76" s="2" t="str">
        <f t="shared" si="9"/>
        <v>LLC</v>
      </c>
      <c r="C76" s="2" t="str">
        <f t="shared" si="10"/>
        <v>LLC</v>
      </c>
      <c r="D76" s="2" t="str">
        <f t="shared" si="11"/>
        <v>LLC</v>
      </c>
      <c r="E76" s="2" t="str">
        <f t="shared" si="12"/>
        <v/>
      </c>
      <c r="F76" s="2">
        <f t="shared" si="13"/>
        <v>0</v>
      </c>
      <c r="G76" s="2">
        <f t="shared" si="14"/>
        <v>0</v>
      </c>
      <c r="H76" s="2">
        <f t="shared" si="15"/>
        <v>0</v>
      </c>
      <c r="I76" s="2">
        <f t="shared" si="16"/>
        <v>0</v>
      </c>
      <c r="NH76" cm="1">
        <f t="array" ref="NH76:NJ76">SUMIFS($J76:$GG76,$J$1:$GG$1,NH$3:NJ$3)</f>
        <v>0</v>
      </c>
      <c r="NI76">
        <v>0</v>
      </c>
      <c r="NJ76">
        <v>0</v>
      </c>
      <c r="NK76" cm="1">
        <f t="array" ref="NK76">IFERROR(MAX((_xlfn.ANCHORARRAY(NH76)-AVERAGE(_xlfn.ANCHORARRAY(NH76)))/ AVERAGE(_xlfn.ANCHORARRAY(NH76))),0)</f>
        <v>0</v>
      </c>
      <c r="NL76" t="str" cm="1">
        <f t="array" ref="NL76">IF(NK76&gt;$NL$1,_xlfn.XLOOKUP(MAX(_xlfn.ANCHORARRAY(NH76)),_xlfn.ANCHORARRAY(NH76),NH$4:NJ$4,""),"")</f>
        <v/>
      </c>
      <c r="NN76" cm="1">
        <f t="array" ref="NN76:NR76">SUMIFS($J76:$GG76,$J$3:$GG$3,NN$3:NR$3)</f>
        <v>0</v>
      </c>
      <c r="NO76">
        <v>0</v>
      </c>
      <c r="NP76">
        <v>0</v>
      </c>
      <c r="NQ76">
        <v>0</v>
      </c>
      <c r="NR76">
        <v>0</v>
      </c>
      <c r="NS76" cm="1">
        <f t="array" ref="NS76">IFERROR(MAX((_xlfn.ANCHORARRAY(NN76)-AVERAGE(_xlfn.ANCHORARRAY(NN76)))/ AVERAGE(_xlfn.ANCHORARRAY(NN76))),0)</f>
        <v>0</v>
      </c>
      <c r="NT76" t="str" cm="1">
        <f t="array" ref="NT76">IF(AND(NS76&gt;$NT$1,NL76&lt;&gt;""),_xlfn.XLOOKUP(MAX(_xlfn.ANCHORARRAY(NN76)),_xlfn.ANCHORARRAY(NN76),NN$4:NR$4,""),"")</f>
        <v/>
      </c>
      <c r="NV76" cm="1">
        <f t="array" ref="NV76:OE76">SUMIFS($J76:$GG76,$J$2:$GG$2,NV$3:OE$3)</f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 cm="1">
        <f t="array" ref="OF76">IFERROR(MAX((_xlfn.ANCHORARRAY(NV76)-AVERAGE(_xlfn.ANCHORARRAY(NV76)))/ AVERAGE(_xlfn.ANCHORARRAY(NV76))),0)</f>
        <v>0</v>
      </c>
      <c r="OG76" t="str" cm="1">
        <f t="array" ref="OG76">IF(OF76&gt;$OG$1,_xlfn.XLOOKUP(MAX(_xlfn.ANCHORARRAY(NV76)),_xlfn.ANCHORARRAY(NV76),NV$4:OE$4,""),"")</f>
        <v/>
      </c>
      <c r="OI76" t="str">
        <f t="shared" si="17"/>
        <v/>
      </c>
    </row>
    <row r="77" spans="1:399" x14ac:dyDescent="0.3">
      <c r="A77" s="2"/>
      <c r="B77" s="2" t="str">
        <f t="shared" si="9"/>
        <v>LLC</v>
      </c>
      <c r="C77" s="2" t="str">
        <f t="shared" si="10"/>
        <v>LLC</v>
      </c>
      <c r="D77" s="2" t="str">
        <f t="shared" si="11"/>
        <v>LLC</v>
      </c>
      <c r="E77" s="2" t="str">
        <f t="shared" si="12"/>
        <v/>
      </c>
      <c r="F77" s="2">
        <f t="shared" si="13"/>
        <v>0</v>
      </c>
      <c r="G77" s="2">
        <f t="shared" si="14"/>
        <v>0</v>
      </c>
      <c r="H77" s="2">
        <f t="shared" si="15"/>
        <v>0</v>
      </c>
      <c r="I77" s="2">
        <f t="shared" si="16"/>
        <v>0</v>
      </c>
      <c r="NH77" cm="1">
        <f t="array" ref="NH77:NJ77">SUMIFS($J77:$GG77,$J$1:$GG$1,NH$3:NJ$3)</f>
        <v>0</v>
      </c>
      <c r="NI77">
        <v>0</v>
      </c>
      <c r="NJ77">
        <v>0</v>
      </c>
      <c r="NK77" cm="1">
        <f t="array" ref="NK77">IFERROR(MAX((_xlfn.ANCHORARRAY(NH77)-AVERAGE(_xlfn.ANCHORARRAY(NH77)))/ AVERAGE(_xlfn.ANCHORARRAY(NH77))),0)</f>
        <v>0</v>
      </c>
      <c r="NL77" t="str" cm="1">
        <f t="array" ref="NL77">IF(NK77&gt;$NL$1,_xlfn.XLOOKUP(MAX(_xlfn.ANCHORARRAY(NH77)),_xlfn.ANCHORARRAY(NH77),NH$4:NJ$4,""),"")</f>
        <v/>
      </c>
      <c r="NN77" cm="1">
        <f t="array" ref="NN77:NR77">SUMIFS($J77:$GG77,$J$3:$GG$3,NN$3:NR$3)</f>
        <v>0</v>
      </c>
      <c r="NO77">
        <v>0</v>
      </c>
      <c r="NP77">
        <v>0</v>
      </c>
      <c r="NQ77">
        <v>0</v>
      </c>
      <c r="NR77">
        <v>0</v>
      </c>
      <c r="NS77" cm="1">
        <f t="array" ref="NS77">IFERROR(MAX((_xlfn.ANCHORARRAY(NN77)-AVERAGE(_xlfn.ANCHORARRAY(NN77)))/ AVERAGE(_xlfn.ANCHORARRAY(NN77))),0)</f>
        <v>0</v>
      </c>
      <c r="NT77" t="str" cm="1">
        <f t="array" ref="NT77">IF(AND(NS77&gt;$NT$1,NL77&lt;&gt;""),_xlfn.XLOOKUP(MAX(_xlfn.ANCHORARRAY(NN77)),_xlfn.ANCHORARRAY(NN77),NN$4:NR$4,""),"")</f>
        <v/>
      </c>
      <c r="NV77" cm="1">
        <f t="array" ref="NV77:OE77">SUMIFS($J77:$GG77,$J$2:$GG$2,NV$3:OE$3)</f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 cm="1">
        <f t="array" ref="OF77">IFERROR(MAX((_xlfn.ANCHORARRAY(NV77)-AVERAGE(_xlfn.ANCHORARRAY(NV77)))/ AVERAGE(_xlfn.ANCHORARRAY(NV77))),0)</f>
        <v>0</v>
      </c>
      <c r="OG77" t="str" cm="1">
        <f t="array" ref="OG77">IF(OF77&gt;$OG$1,_xlfn.XLOOKUP(MAX(_xlfn.ANCHORARRAY(NV77)),_xlfn.ANCHORARRAY(NV77),NV$4:OE$4,""),"")</f>
        <v/>
      </c>
      <c r="OI77" t="str">
        <f t="shared" si="17"/>
        <v/>
      </c>
    </row>
    <row r="78" spans="1:399" x14ac:dyDescent="0.3">
      <c r="A78" s="2"/>
      <c r="B78" s="2" t="str">
        <f t="shared" si="9"/>
        <v>LLC</v>
      </c>
      <c r="C78" s="2" t="str">
        <f t="shared" si="10"/>
        <v>LLC</v>
      </c>
      <c r="D78" s="2" t="str">
        <f t="shared" si="11"/>
        <v>LLC</v>
      </c>
      <c r="E78" s="2" t="str">
        <f t="shared" si="12"/>
        <v/>
      </c>
      <c r="F78" s="2">
        <f t="shared" si="13"/>
        <v>0</v>
      </c>
      <c r="G78" s="2">
        <f t="shared" si="14"/>
        <v>0</v>
      </c>
      <c r="H78" s="2">
        <f t="shared" si="15"/>
        <v>0</v>
      </c>
      <c r="I78" s="2">
        <f t="shared" si="16"/>
        <v>0</v>
      </c>
      <c r="NH78" cm="1">
        <f t="array" ref="NH78:NJ78">SUMIFS($J78:$GG78,$J$1:$GG$1,NH$3:NJ$3)</f>
        <v>0</v>
      </c>
      <c r="NI78">
        <v>0</v>
      </c>
      <c r="NJ78">
        <v>0</v>
      </c>
      <c r="NK78" cm="1">
        <f t="array" ref="NK78">IFERROR(MAX((_xlfn.ANCHORARRAY(NH78)-AVERAGE(_xlfn.ANCHORARRAY(NH78)))/ AVERAGE(_xlfn.ANCHORARRAY(NH78))),0)</f>
        <v>0</v>
      </c>
      <c r="NL78" t="str" cm="1">
        <f t="array" ref="NL78">IF(NK78&gt;$NL$1,_xlfn.XLOOKUP(MAX(_xlfn.ANCHORARRAY(NH78)),_xlfn.ANCHORARRAY(NH78),NH$4:NJ$4,""),"")</f>
        <v/>
      </c>
      <c r="NN78" cm="1">
        <f t="array" ref="NN78:NR78">SUMIFS($J78:$GG78,$J$3:$GG$3,NN$3:NR$3)</f>
        <v>0</v>
      </c>
      <c r="NO78">
        <v>0</v>
      </c>
      <c r="NP78">
        <v>0</v>
      </c>
      <c r="NQ78">
        <v>0</v>
      </c>
      <c r="NR78">
        <v>0</v>
      </c>
      <c r="NS78" cm="1">
        <f t="array" ref="NS78">IFERROR(MAX((_xlfn.ANCHORARRAY(NN78)-AVERAGE(_xlfn.ANCHORARRAY(NN78)))/ AVERAGE(_xlfn.ANCHORARRAY(NN78))),0)</f>
        <v>0</v>
      </c>
      <c r="NT78" t="str" cm="1">
        <f t="array" ref="NT78">IF(AND(NS78&gt;$NT$1,NL78&lt;&gt;""),_xlfn.XLOOKUP(MAX(_xlfn.ANCHORARRAY(NN78)),_xlfn.ANCHORARRAY(NN78),NN$4:NR$4,""),"")</f>
        <v/>
      </c>
      <c r="NV78" cm="1">
        <f t="array" ref="NV78:OE78">SUMIFS($J78:$GG78,$J$2:$GG$2,NV$3:OE$3)</f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 cm="1">
        <f t="array" ref="OF78">IFERROR(MAX((_xlfn.ANCHORARRAY(NV78)-AVERAGE(_xlfn.ANCHORARRAY(NV78)))/ AVERAGE(_xlfn.ANCHORARRAY(NV78))),0)</f>
        <v>0</v>
      </c>
      <c r="OG78" t="str" cm="1">
        <f t="array" ref="OG78">IF(OF78&gt;$OG$1,_xlfn.XLOOKUP(MAX(_xlfn.ANCHORARRAY(NV78)),_xlfn.ANCHORARRAY(NV78),NV$4:OE$4,""),"")</f>
        <v/>
      </c>
      <c r="OI78" t="str">
        <f t="shared" si="17"/>
        <v/>
      </c>
    </row>
    <row r="79" spans="1:399" x14ac:dyDescent="0.3">
      <c r="A79" s="2"/>
      <c r="B79" s="2" t="str">
        <f t="shared" si="9"/>
        <v>LLC</v>
      </c>
      <c r="C79" s="2" t="str">
        <f t="shared" si="10"/>
        <v>LLC</v>
      </c>
      <c r="D79" s="2" t="str">
        <f t="shared" si="11"/>
        <v>LLC</v>
      </c>
      <c r="E79" s="2" t="str">
        <f t="shared" si="12"/>
        <v/>
      </c>
      <c r="F79" s="2">
        <f t="shared" si="13"/>
        <v>0</v>
      </c>
      <c r="G79" s="2">
        <f t="shared" si="14"/>
        <v>0</v>
      </c>
      <c r="H79" s="2">
        <f t="shared" si="15"/>
        <v>0</v>
      </c>
      <c r="I79" s="2">
        <f t="shared" si="16"/>
        <v>0</v>
      </c>
      <c r="NH79" cm="1">
        <f t="array" ref="NH79:NJ79">SUMIFS($J79:$GG79,$J$1:$GG$1,NH$3:NJ$3)</f>
        <v>0</v>
      </c>
      <c r="NI79">
        <v>0</v>
      </c>
      <c r="NJ79">
        <v>0</v>
      </c>
      <c r="NK79" cm="1">
        <f t="array" ref="NK79">IFERROR(MAX((_xlfn.ANCHORARRAY(NH79)-AVERAGE(_xlfn.ANCHORARRAY(NH79)))/ AVERAGE(_xlfn.ANCHORARRAY(NH79))),0)</f>
        <v>0</v>
      </c>
      <c r="NL79" t="str" cm="1">
        <f t="array" ref="NL79">IF(NK79&gt;$NL$1,_xlfn.XLOOKUP(MAX(_xlfn.ANCHORARRAY(NH79)),_xlfn.ANCHORARRAY(NH79),NH$4:NJ$4,""),"")</f>
        <v/>
      </c>
      <c r="NN79" cm="1">
        <f t="array" ref="NN79:NR79">SUMIFS($J79:$GG79,$J$3:$GG$3,NN$3:NR$3)</f>
        <v>0</v>
      </c>
      <c r="NO79">
        <v>0</v>
      </c>
      <c r="NP79">
        <v>0</v>
      </c>
      <c r="NQ79">
        <v>0</v>
      </c>
      <c r="NR79">
        <v>0</v>
      </c>
      <c r="NS79" cm="1">
        <f t="array" ref="NS79">IFERROR(MAX((_xlfn.ANCHORARRAY(NN79)-AVERAGE(_xlfn.ANCHORARRAY(NN79)))/ AVERAGE(_xlfn.ANCHORARRAY(NN79))),0)</f>
        <v>0</v>
      </c>
      <c r="NT79" t="str" cm="1">
        <f t="array" ref="NT79">IF(AND(NS79&gt;$NT$1,NL79&lt;&gt;""),_xlfn.XLOOKUP(MAX(_xlfn.ANCHORARRAY(NN79)),_xlfn.ANCHORARRAY(NN79),NN$4:NR$4,""),"")</f>
        <v/>
      </c>
      <c r="NV79" cm="1">
        <f t="array" ref="NV79:OE79">SUMIFS($J79:$GG79,$J$2:$GG$2,NV$3:OE$3)</f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 cm="1">
        <f t="array" ref="OF79">IFERROR(MAX((_xlfn.ANCHORARRAY(NV79)-AVERAGE(_xlfn.ANCHORARRAY(NV79)))/ AVERAGE(_xlfn.ANCHORARRAY(NV79))),0)</f>
        <v>0</v>
      </c>
      <c r="OG79" t="str" cm="1">
        <f t="array" ref="OG79">IF(OF79&gt;$OG$1,_xlfn.XLOOKUP(MAX(_xlfn.ANCHORARRAY(NV79)),_xlfn.ANCHORARRAY(NV79),NV$4:OE$4,""),"")</f>
        <v/>
      </c>
      <c r="OI79" t="str">
        <f t="shared" si="17"/>
        <v/>
      </c>
    </row>
    <row r="80" spans="1:399" x14ac:dyDescent="0.3">
      <c r="A80" s="2"/>
      <c r="B80" s="2" t="str">
        <f t="shared" si="9"/>
        <v>LLC</v>
      </c>
      <c r="C80" s="2" t="str">
        <f t="shared" si="10"/>
        <v>LLC</v>
      </c>
      <c r="D80" s="2" t="str">
        <f t="shared" si="11"/>
        <v>LLC</v>
      </c>
      <c r="E80" s="2" t="str">
        <f t="shared" si="12"/>
        <v/>
      </c>
      <c r="F80" s="2">
        <f t="shared" si="13"/>
        <v>0</v>
      </c>
      <c r="G80" s="2">
        <f t="shared" si="14"/>
        <v>0</v>
      </c>
      <c r="H80" s="2">
        <f t="shared" si="15"/>
        <v>0</v>
      </c>
      <c r="I80" s="2">
        <f t="shared" si="16"/>
        <v>0</v>
      </c>
      <c r="NH80" cm="1">
        <f t="array" ref="NH80:NJ80">SUMIFS($J80:$GG80,$J$1:$GG$1,NH$3:NJ$3)</f>
        <v>0</v>
      </c>
      <c r="NI80">
        <v>0</v>
      </c>
      <c r="NJ80">
        <v>0</v>
      </c>
      <c r="NK80" cm="1">
        <f t="array" ref="NK80">IFERROR(MAX((_xlfn.ANCHORARRAY(NH80)-AVERAGE(_xlfn.ANCHORARRAY(NH80)))/ AVERAGE(_xlfn.ANCHORARRAY(NH80))),0)</f>
        <v>0</v>
      </c>
      <c r="NL80" t="str" cm="1">
        <f t="array" ref="NL80">IF(NK80&gt;$NL$1,_xlfn.XLOOKUP(MAX(_xlfn.ANCHORARRAY(NH80)),_xlfn.ANCHORARRAY(NH80),NH$4:NJ$4,""),"")</f>
        <v/>
      </c>
      <c r="NN80" cm="1">
        <f t="array" ref="NN80:NR80">SUMIFS($J80:$GG80,$J$3:$GG$3,NN$3:NR$3)</f>
        <v>0</v>
      </c>
      <c r="NO80">
        <v>0</v>
      </c>
      <c r="NP80">
        <v>0</v>
      </c>
      <c r="NQ80">
        <v>0</v>
      </c>
      <c r="NR80">
        <v>0</v>
      </c>
      <c r="NS80" cm="1">
        <f t="array" ref="NS80">IFERROR(MAX((_xlfn.ANCHORARRAY(NN80)-AVERAGE(_xlfn.ANCHORARRAY(NN80)))/ AVERAGE(_xlfn.ANCHORARRAY(NN80))),0)</f>
        <v>0</v>
      </c>
      <c r="NT80" t="str" cm="1">
        <f t="array" ref="NT80">IF(AND(NS80&gt;$NT$1,NL80&lt;&gt;""),_xlfn.XLOOKUP(MAX(_xlfn.ANCHORARRAY(NN80)),_xlfn.ANCHORARRAY(NN80),NN$4:NR$4,""),"")</f>
        <v/>
      </c>
      <c r="NV80" cm="1">
        <f t="array" ref="NV80:OE80">SUMIFS($J80:$GG80,$J$2:$GG$2,NV$3:OE$3)</f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 cm="1">
        <f t="array" ref="OF80">IFERROR(MAX((_xlfn.ANCHORARRAY(NV80)-AVERAGE(_xlfn.ANCHORARRAY(NV80)))/ AVERAGE(_xlfn.ANCHORARRAY(NV80))),0)</f>
        <v>0</v>
      </c>
      <c r="OG80" t="str" cm="1">
        <f t="array" ref="OG80">IF(OF80&gt;$OG$1,_xlfn.XLOOKUP(MAX(_xlfn.ANCHORARRAY(NV80)),_xlfn.ANCHORARRAY(NV80),NV$4:OE$4,""),"")</f>
        <v/>
      </c>
      <c r="OI80" t="str">
        <f t="shared" si="17"/>
        <v/>
      </c>
    </row>
    <row r="81" spans="1:399" x14ac:dyDescent="0.3">
      <c r="A81" s="2"/>
      <c r="B81" s="2" t="str">
        <f t="shared" si="9"/>
        <v>LLC</v>
      </c>
      <c r="C81" s="2" t="str">
        <f t="shared" si="10"/>
        <v>LLC</v>
      </c>
      <c r="D81" s="2" t="str">
        <f t="shared" si="11"/>
        <v>LLC</v>
      </c>
      <c r="E81" s="2" t="str">
        <f t="shared" si="12"/>
        <v/>
      </c>
      <c r="F81" s="2">
        <f t="shared" si="13"/>
        <v>0</v>
      </c>
      <c r="G81" s="2">
        <f t="shared" si="14"/>
        <v>0</v>
      </c>
      <c r="H81" s="2">
        <f t="shared" si="15"/>
        <v>0</v>
      </c>
      <c r="I81" s="2">
        <f t="shared" si="16"/>
        <v>0</v>
      </c>
      <c r="NH81" cm="1">
        <f t="array" ref="NH81:NJ81">SUMIFS($J81:$GG81,$J$1:$GG$1,NH$3:NJ$3)</f>
        <v>0</v>
      </c>
      <c r="NI81">
        <v>0</v>
      </c>
      <c r="NJ81">
        <v>0</v>
      </c>
      <c r="NK81" cm="1">
        <f t="array" ref="NK81">IFERROR(MAX((_xlfn.ANCHORARRAY(NH81)-AVERAGE(_xlfn.ANCHORARRAY(NH81)))/ AVERAGE(_xlfn.ANCHORARRAY(NH81))),0)</f>
        <v>0</v>
      </c>
      <c r="NL81" t="str" cm="1">
        <f t="array" ref="NL81">IF(NK81&gt;$NL$1,_xlfn.XLOOKUP(MAX(_xlfn.ANCHORARRAY(NH81)),_xlfn.ANCHORARRAY(NH81),NH$4:NJ$4,""),"")</f>
        <v/>
      </c>
      <c r="NN81" cm="1">
        <f t="array" ref="NN81:NR81">SUMIFS($J81:$GG81,$J$3:$GG$3,NN$3:NR$3)</f>
        <v>0</v>
      </c>
      <c r="NO81">
        <v>0</v>
      </c>
      <c r="NP81">
        <v>0</v>
      </c>
      <c r="NQ81">
        <v>0</v>
      </c>
      <c r="NR81">
        <v>0</v>
      </c>
      <c r="NS81" cm="1">
        <f t="array" ref="NS81">IFERROR(MAX((_xlfn.ANCHORARRAY(NN81)-AVERAGE(_xlfn.ANCHORARRAY(NN81)))/ AVERAGE(_xlfn.ANCHORARRAY(NN81))),0)</f>
        <v>0</v>
      </c>
      <c r="NT81" t="str" cm="1">
        <f t="array" ref="NT81">IF(AND(NS81&gt;$NT$1,NL81&lt;&gt;""),_xlfn.XLOOKUP(MAX(_xlfn.ANCHORARRAY(NN81)),_xlfn.ANCHORARRAY(NN81),NN$4:NR$4,""),"")</f>
        <v/>
      </c>
      <c r="NV81" cm="1">
        <f t="array" ref="NV81:OE81">SUMIFS($J81:$GG81,$J$2:$GG$2,NV$3:OE$3)</f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 cm="1">
        <f t="array" ref="OF81">IFERROR(MAX((_xlfn.ANCHORARRAY(NV81)-AVERAGE(_xlfn.ANCHORARRAY(NV81)))/ AVERAGE(_xlfn.ANCHORARRAY(NV81))),0)</f>
        <v>0</v>
      </c>
      <c r="OG81" t="str" cm="1">
        <f t="array" ref="OG81">IF(OF81&gt;$OG$1,_xlfn.XLOOKUP(MAX(_xlfn.ANCHORARRAY(NV81)),_xlfn.ANCHORARRAY(NV81),NV$4:OE$4,""),"")</f>
        <v/>
      </c>
      <c r="OI81" t="str">
        <f t="shared" si="17"/>
        <v/>
      </c>
    </row>
    <row r="82" spans="1:399" x14ac:dyDescent="0.3">
      <c r="A82" s="2"/>
      <c r="B82" s="2" t="str">
        <f t="shared" si="9"/>
        <v>LLC</v>
      </c>
      <c r="C82" s="2" t="str">
        <f t="shared" si="10"/>
        <v>LLC</v>
      </c>
      <c r="D82" s="2" t="str">
        <f t="shared" si="11"/>
        <v>LLC</v>
      </c>
      <c r="E82" s="2" t="str">
        <f t="shared" si="12"/>
        <v/>
      </c>
      <c r="F82" s="2">
        <f t="shared" si="13"/>
        <v>0</v>
      </c>
      <c r="G82" s="2">
        <f t="shared" si="14"/>
        <v>0</v>
      </c>
      <c r="H82" s="2">
        <f t="shared" si="15"/>
        <v>0</v>
      </c>
      <c r="I82" s="2">
        <f t="shared" si="16"/>
        <v>0</v>
      </c>
      <c r="NH82" cm="1">
        <f t="array" ref="NH82:NJ82">SUMIFS($J82:$GG82,$J$1:$GG$1,NH$3:NJ$3)</f>
        <v>0</v>
      </c>
      <c r="NI82">
        <v>0</v>
      </c>
      <c r="NJ82">
        <v>0</v>
      </c>
      <c r="NK82" cm="1">
        <f t="array" ref="NK82">IFERROR(MAX((_xlfn.ANCHORARRAY(NH82)-AVERAGE(_xlfn.ANCHORARRAY(NH82)))/ AVERAGE(_xlfn.ANCHORARRAY(NH82))),0)</f>
        <v>0</v>
      </c>
      <c r="NL82" t="str" cm="1">
        <f t="array" ref="NL82">IF(NK82&gt;$NL$1,_xlfn.XLOOKUP(MAX(_xlfn.ANCHORARRAY(NH82)),_xlfn.ANCHORARRAY(NH82),NH$4:NJ$4,""),"")</f>
        <v/>
      </c>
      <c r="NN82" cm="1">
        <f t="array" ref="NN82:NR82">SUMIFS($J82:$GG82,$J$3:$GG$3,NN$3:NR$3)</f>
        <v>0</v>
      </c>
      <c r="NO82">
        <v>0</v>
      </c>
      <c r="NP82">
        <v>0</v>
      </c>
      <c r="NQ82">
        <v>0</v>
      </c>
      <c r="NR82">
        <v>0</v>
      </c>
      <c r="NS82" cm="1">
        <f t="array" ref="NS82">IFERROR(MAX((_xlfn.ANCHORARRAY(NN82)-AVERAGE(_xlfn.ANCHORARRAY(NN82)))/ AVERAGE(_xlfn.ANCHORARRAY(NN82))),0)</f>
        <v>0</v>
      </c>
      <c r="NT82" t="str" cm="1">
        <f t="array" ref="NT82">IF(AND(NS82&gt;$NT$1,NL82&lt;&gt;""),_xlfn.XLOOKUP(MAX(_xlfn.ANCHORARRAY(NN82)),_xlfn.ANCHORARRAY(NN82),NN$4:NR$4,""),"")</f>
        <v/>
      </c>
      <c r="NV82" cm="1">
        <f t="array" ref="NV82:OE82">SUMIFS($J82:$GG82,$J$2:$GG$2,NV$3:OE$3)</f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 cm="1">
        <f t="array" ref="OF82">IFERROR(MAX((_xlfn.ANCHORARRAY(NV82)-AVERAGE(_xlfn.ANCHORARRAY(NV82)))/ AVERAGE(_xlfn.ANCHORARRAY(NV82))),0)</f>
        <v>0</v>
      </c>
      <c r="OG82" t="str" cm="1">
        <f t="array" ref="OG82">IF(OF82&gt;$OG$1,_xlfn.XLOOKUP(MAX(_xlfn.ANCHORARRAY(NV82)),_xlfn.ANCHORARRAY(NV82),NV$4:OE$4,""),"")</f>
        <v/>
      </c>
      <c r="OI82" t="str">
        <f t="shared" si="17"/>
        <v/>
      </c>
    </row>
    <row r="83" spans="1:399" x14ac:dyDescent="0.3">
      <c r="A83" s="2"/>
      <c r="B83" s="2" t="str">
        <f t="shared" si="9"/>
        <v>LLC</v>
      </c>
      <c r="C83" s="2" t="str">
        <f t="shared" si="10"/>
        <v>LLC</v>
      </c>
      <c r="D83" s="2" t="str">
        <f t="shared" si="11"/>
        <v>LLC</v>
      </c>
      <c r="E83" s="2" t="str">
        <f t="shared" si="12"/>
        <v/>
      </c>
      <c r="F83" s="2">
        <f t="shared" si="13"/>
        <v>0</v>
      </c>
      <c r="G83" s="2">
        <f t="shared" si="14"/>
        <v>0</v>
      </c>
      <c r="H83" s="2">
        <f t="shared" si="15"/>
        <v>0</v>
      </c>
      <c r="I83" s="2">
        <f t="shared" si="16"/>
        <v>0</v>
      </c>
      <c r="NH83" cm="1">
        <f t="array" ref="NH83:NJ83">SUMIFS($J83:$GG83,$J$1:$GG$1,NH$3:NJ$3)</f>
        <v>0</v>
      </c>
      <c r="NI83">
        <v>0</v>
      </c>
      <c r="NJ83">
        <v>0</v>
      </c>
      <c r="NK83" cm="1">
        <f t="array" ref="NK83">IFERROR(MAX((_xlfn.ANCHORARRAY(NH83)-AVERAGE(_xlfn.ANCHORARRAY(NH83)))/ AVERAGE(_xlfn.ANCHORARRAY(NH83))),0)</f>
        <v>0</v>
      </c>
      <c r="NL83" t="str" cm="1">
        <f t="array" ref="NL83">IF(NK83&gt;$NL$1,_xlfn.XLOOKUP(MAX(_xlfn.ANCHORARRAY(NH83)),_xlfn.ANCHORARRAY(NH83),NH$4:NJ$4,""),"")</f>
        <v/>
      </c>
      <c r="NN83" cm="1">
        <f t="array" ref="NN83:NR83">SUMIFS($J83:$GG83,$J$3:$GG$3,NN$3:NR$3)</f>
        <v>0</v>
      </c>
      <c r="NO83">
        <v>0</v>
      </c>
      <c r="NP83">
        <v>0</v>
      </c>
      <c r="NQ83">
        <v>0</v>
      </c>
      <c r="NR83">
        <v>0</v>
      </c>
      <c r="NS83" cm="1">
        <f t="array" ref="NS83">IFERROR(MAX((_xlfn.ANCHORARRAY(NN83)-AVERAGE(_xlfn.ANCHORARRAY(NN83)))/ AVERAGE(_xlfn.ANCHORARRAY(NN83))),0)</f>
        <v>0</v>
      </c>
      <c r="NT83" t="str" cm="1">
        <f t="array" ref="NT83">IF(AND(NS83&gt;$NT$1,NL83&lt;&gt;""),_xlfn.XLOOKUP(MAX(_xlfn.ANCHORARRAY(NN83)),_xlfn.ANCHORARRAY(NN83),NN$4:NR$4,""),"")</f>
        <v/>
      </c>
      <c r="NV83" cm="1">
        <f t="array" ref="NV83:OE83">SUMIFS($J83:$GG83,$J$2:$GG$2,NV$3:OE$3)</f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 cm="1">
        <f t="array" ref="OF83">IFERROR(MAX((_xlfn.ANCHORARRAY(NV83)-AVERAGE(_xlfn.ANCHORARRAY(NV83)))/ AVERAGE(_xlfn.ANCHORARRAY(NV83))),0)</f>
        <v>0</v>
      </c>
      <c r="OG83" t="str" cm="1">
        <f t="array" ref="OG83">IF(OF83&gt;$OG$1,_xlfn.XLOOKUP(MAX(_xlfn.ANCHORARRAY(NV83)),_xlfn.ANCHORARRAY(NV83),NV$4:OE$4,""),"")</f>
        <v/>
      </c>
      <c r="OI83" t="str">
        <f t="shared" si="17"/>
        <v/>
      </c>
    </row>
    <row r="84" spans="1:399" x14ac:dyDescent="0.3">
      <c r="A84" s="2"/>
      <c r="B84" s="2" t="str">
        <f t="shared" si="9"/>
        <v>LLC</v>
      </c>
      <c r="C84" s="2" t="str">
        <f t="shared" si="10"/>
        <v>LLC</v>
      </c>
      <c r="D84" s="2" t="str">
        <f t="shared" si="11"/>
        <v>LLC</v>
      </c>
      <c r="E84" s="2" t="str">
        <f t="shared" si="12"/>
        <v/>
      </c>
      <c r="F84" s="2">
        <f t="shared" si="13"/>
        <v>0</v>
      </c>
      <c r="G84" s="2">
        <f t="shared" si="14"/>
        <v>0</v>
      </c>
      <c r="H84" s="2">
        <f t="shared" si="15"/>
        <v>0</v>
      </c>
      <c r="I84" s="2">
        <f t="shared" si="16"/>
        <v>0</v>
      </c>
      <c r="NH84" cm="1">
        <f t="array" ref="NH84:NJ84">SUMIFS($J84:$GG84,$J$1:$GG$1,NH$3:NJ$3)</f>
        <v>0</v>
      </c>
      <c r="NI84">
        <v>0</v>
      </c>
      <c r="NJ84">
        <v>0</v>
      </c>
      <c r="NK84" cm="1">
        <f t="array" ref="NK84">IFERROR(MAX((_xlfn.ANCHORARRAY(NH84)-AVERAGE(_xlfn.ANCHORARRAY(NH84)))/ AVERAGE(_xlfn.ANCHORARRAY(NH84))),0)</f>
        <v>0</v>
      </c>
      <c r="NL84" t="str" cm="1">
        <f t="array" ref="NL84">IF(NK84&gt;$NL$1,_xlfn.XLOOKUP(MAX(_xlfn.ANCHORARRAY(NH84)),_xlfn.ANCHORARRAY(NH84),NH$4:NJ$4,""),"")</f>
        <v/>
      </c>
      <c r="NN84" cm="1">
        <f t="array" ref="NN84:NR84">SUMIFS($J84:$GG84,$J$3:$GG$3,NN$3:NR$3)</f>
        <v>0</v>
      </c>
      <c r="NO84">
        <v>0</v>
      </c>
      <c r="NP84">
        <v>0</v>
      </c>
      <c r="NQ84">
        <v>0</v>
      </c>
      <c r="NR84">
        <v>0</v>
      </c>
      <c r="NS84" cm="1">
        <f t="array" ref="NS84">IFERROR(MAX((_xlfn.ANCHORARRAY(NN84)-AVERAGE(_xlfn.ANCHORARRAY(NN84)))/ AVERAGE(_xlfn.ANCHORARRAY(NN84))),0)</f>
        <v>0</v>
      </c>
      <c r="NT84" t="str" cm="1">
        <f t="array" ref="NT84">IF(AND(NS84&gt;$NT$1,NL84&lt;&gt;""),_xlfn.XLOOKUP(MAX(_xlfn.ANCHORARRAY(NN84)),_xlfn.ANCHORARRAY(NN84),NN$4:NR$4,""),"")</f>
        <v/>
      </c>
      <c r="NV84" cm="1">
        <f t="array" ref="NV84:OE84">SUMIFS($J84:$GG84,$J$2:$GG$2,NV$3:OE$3)</f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 cm="1">
        <f t="array" ref="OF84">IFERROR(MAX((_xlfn.ANCHORARRAY(NV84)-AVERAGE(_xlfn.ANCHORARRAY(NV84)))/ AVERAGE(_xlfn.ANCHORARRAY(NV84))),0)</f>
        <v>0</v>
      </c>
      <c r="OG84" t="str" cm="1">
        <f t="array" ref="OG84">IF(OF84&gt;$OG$1,_xlfn.XLOOKUP(MAX(_xlfn.ANCHORARRAY(NV84)),_xlfn.ANCHORARRAY(NV84),NV$4:OE$4,""),"")</f>
        <v/>
      </c>
      <c r="OI84" t="str">
        <f t="shared" si="17"/>
        <v/>
      </c>
    </row>
    <row r="85" spans="1:399" x14ac:dyDescent="0.3">
      <c r="A85" s="2"/>
      <c r="B85" s="2" t="str">
        <f t="shared" si="9"/>
        <v>LLC</v>
      </c>
      <c r="C85" s="2" t="str">
        <f t="shared" si="10"/>
        <v>LLC</v>
      </c>
      <c r="D85" s="2" t="str">
        <f t="shared" si="11"/>
        <v>LLC</v>
      </c>
      <c r="E85" s="2" t="str">
        <f t="shared" si="12"/>
        <v/>
      </c>
      <c r="F85" s="2">
        <f t="shared" si="13"/>
        <v>0</v>
      </c>
      <c r="G85" s="2">
        <f t="shared" si="14"/>
        <v>0</v>
      </c>
      <c r="H85" s="2">
        <f t="shared" si="15"/>
        <v>0</v>
      </c>
      <c r="I85" s="2">
        <f t="shared" si="16"/>
        <v>0</v>
      </c>
      <c r="NH85" cm="1">
        <f t="array" ref="NH85:NJ85">SUMIFS($J85:$GG85,$J$1:$GG$1,NH$3:NJ$3)</f>
        <v>0</v>
      </c>
      <c r="NI85">
        <v>0</v>
      </c>
      <c r="NJ85">
        <v>0</v>
      </c>
      <c r="NK85" cm="1">
        <f t="array" ref="NK85">IFERROR(MAX((_xlfn.ANCHORARRAY(NH85)-AVERAGE(_xlfn.ANCHORARRAY(NH85)))/ AVERAGE(_xlfn.ANCHORARRAY(NH85))),0)</f>
        <v>0</v>
      </c>
      <c r="NL85" t="str" cm="1">
        <f t="array" ref="NL85">IF(NK85&gt;$NL$1,_xlfn.XLOOKUP(MAX(_xlfn.ANCHORARRAY(NH85)),_xlfn.ANCHORARRAY(NH85),NH$4:NJ$4,""),"")</f>
        <v/>
      </c>
      <c r="NN85" cm="1">
        <f t="array" ref="NN85:NR85">SUMIFS($J85:$GG85,$J$3:$GG$3,NN$3:NR$3)</f>
        <v>0</v>
      </c>
      <c r="NO85">
        <v>0</v>
      </c>
      <c r="NP85">
        <v>0</v>
      </c>
      <c r="NQ85">
        <v>0</v>
      </c>
      <c r="NR85">
        <v>0</v>
      </c>
      <c r="NS85" cm="1">
        <f t="array" ref="NS85">IFERROR(MAX((_xlfn.ANCHORARRAY(NN85)-AVERAGE(_xlfn.ANCHORARRAY(NN85)))/ AVERAGE(_xlfn.ANCHORARRAY(NN85))),0)</f>
        <v>0</v>
      </c>
      <c r="NT85" t="str" cm="1">
        <f t="array" ref="NT85">IF(AND(NS85&gt;$NT$1,NL85&lt;&gt;""),_xlfn.XLOOKUP(MAX(_xlfn.ANCHORARRAY(NN85)),_xlfn.ANCHORARRAY(NN85),NN$4:NR$4,""),"")</f>
        <v/>
      </c>
      <c r="NV85" cm="1">
        <f t="array" ref="NV85:OE85">SUMIFS($J85:$GG85,$J$2:$GG$2,NV$3:OE$3)</f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 cm="1">
        <f t="array" ref="OF85">IFERROR(MAX((_xlfn.ANCHORARRAY(NV85)-AVERAGE(_xlfn.ANCHORARRAY(NV85)))/ AVERAGE(_xlfn.ANCHORARRAY(NV85))),0)</f>
        <v>0</v>
      </c>
      <c r="OG85" t="str" cm="1">
        <f t="array" ref="OG85">IF(OF85&gt;$OG$1,_xlfn.XLOOKUP(MAX(_xlfn.ANCHORARRAY(NV85)),_xlfn.ANCHORARRAY(NV85),NV$4:OE$4,""),"")</f>
        <v/>
      </c>
      <c r="OI85" t="str">
        <f t="shared" si="17"/>
        <v/>
      </c>
    </row>
    <row r="86" spans="1:399" x14ac:dyDescent="0.3">
      <c r="A86" s="2"/>
      <c r="B86" s="2" t="str">
        <f t="shared" si="9"/>
        <v>LLC</v>
      </c>
      <c r="C86" s="2" t="str">
        <f t="shared" si="10"/>
        <v>LLC</v>
      </c>
      <c r="D86" s="2" t="str">
        <f t="shared" si="11"/>
        <v>LLC</v>
      </c>
      <c r="E86" s="2" t="str">
        <f t="shared" si="12"/>
        <v/>
      </c>
      <c r="F86" s="2">
        <f t="shared" si="13"/>
        <v>0</v>
      </c>
      <c r="G86" s="2">
        <f t="shared" si="14"/>
        <v>0</v>
      </c>
      <c r="H86" s="2">
        <f t="shared" si="15"/>
        <v>0</v>
      </c>
      <c r="I86" s="2">
        <f t="shared" si="16"/>
        <v>0</v>
      </c>
      <c r="NH86" cm="1">
        <f t="array" ref="NH86:NJ86">SUMIFS($J86:$GG86,$J$1:$GG$1,NH$3:NJ$3)</f>
        <v>0</v>
      </c>
      <c r="NI86">
        <v>0</v>
      </c>
      <c r="NJ86">
        <v>0</v>
      </c>
      <c r="NK86" cm="1">
        <f t="array" ref="NK86">IFERROR(MAX((_xlfn.ANCHORARRAY(NH86)-AVERAGE(_xlfn.ANCHORARRAY(NH86)))/ AVERAGE(_xlfn.ANCHORARRAY(NH86))),0)</f>
        <v>0</v>
      </c>
      <c r="NL86" t="str" cm="1">
        <f t="array" ref="NL86">IF(NK86&gt;$NL$1,_xlfn.XLOOKUP(MAX(_xlfn.ANCHORARRAY(NH86)),_xlfn.ANCHORARRAY(NH86),NH$4:NJ$4,""),"")</f>
        <v/>
      </c>
      <c r="NN86" cm="1">
        <f t="array" ref="NN86:NR86">SUMIFS($J86:$GG86,$J$3:$GG$3,NN$3:NR$3)</f>
        <v>0</v>
      </c>
      <c r="NO86">
        <v>0</v>
      </c>
      <c r="NP86">
        <v>0</v>
      </c>
      <c r="NQ86">
        <v>0</v>
      </c>
      <c r="NR86">
        <v>0</v>
      </c>
      <c r="NS86" cm="1">
        <f t="array" ref="NS86">IFERROR(MAX((_xlfn.ANCHORARRAY(NN86)-AVERAGE(_xlfn.ANCHORARRAY(NN86)))/ AVERAGE(_xlfn.ANCHORARRAY(NN86))),0)</f>
        <v>0</v>
      </c>
      <c r="NT86" t="str" cm="1">
        <f t="array" ref="NT86">IF(AND(NS86&gt;$NT$1,NL86&lt;&gt;""),_xlfn.XLOOKUP(MAX(_xlfn.ANCHORARRAY(NN86)),_xlfn.ANCHORARRAY(NN86),NN$4:NR$4,""),"")</f>
        <v/>
      </c>
      <c r="NV86" cm="1">
        <f t="array" ref="NV86:OE86">SUMIFS($J86:$GG86,$J$2:$GG$2,NV$3:OE$3)</f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 cm="1">
        <f t="array" ref="OF86">IFERROR(MAX((_xlfn.ANCHORARRAY(NV86)-AVERAGE(_xlfn.ANCHORARRAY(NV86)))/ AVERAGE(_xlfn.ANCHORARRAY(NV86))),0)</f>
        <v>0</v>
      </c>
      <c r="OG86" t="str" cm="1">
        <f t="array" ref="OG86">IF(OF86&gt;$OG$1,_xlfn.XLOOKUP(MAX(_xlfn.ANCHORARRAY(NV86)),_xlfn.ANCHORARRAY(NV86),NV$4:OE$4,""),"")</f>
        <v/>
      </c>
      <c r="OI86" t="str">
        <f t="shared" si="17"/>
        <v/>
      </c>
    </row>
    <row r="87" spans="1:399" x14ac:dyDescent="0.3">
      <c r="A87" s="2"/>
      <c r="B87" s="2" t="str">
        <f t="shared" si="9"/>
        <v>LLC</v>
      </c>
      <c r="C87" s="2" t="str">
        <f t="shared" si="10"/>
        <v>LLC</v>
      </c>
      <c r="D87" s="2" t="str">
        <f t="shared" si="11"/>
        <v>LLC</v>
      </c>
      <c r="E87" s="2" t="str">
        <f t="shared" si="12"/>
        <v/>
      </c>
      <c r="F87" s="2">
        <f t="shared" si="13"/>
        <v>0</v>
      </c>
      <c r="G87" s="2">
        <f t="shared" si="14"/>
        <v>0</v>
      </c>
      <c r="H87" s="2">
        <f t="shared" si="15"/>
        <v>0</v>
      </c>
      <c r="I87" s="2">
        <f t="shared" si="16"/>
        <v>0</v>
      </c>
      <c r="NH87" cm="1">
        <f t="array" ref="NH87:NJ87">SUMIFS($J87:$GG87,$J$1:$GG$1,NH$3:NJ$3)</f>
        <v>0</v>
      </c>
      <c r="NI87">
        <v>0</v>
      </c>
      <c r="NJ87">
        <v>0</v>
      </c>
      <c r="NK87" cm="1">
        <f t="array" ref="NK87">IFERROR(MAX((_xlfn.ANCHORARRAY(NH87)-AVERAGE(_xlfn.ANCHORARRAY(NH87)))/ AVERAGE(_xlfn.ANCHORARRAY(NH87))),0)</f>
        <v>0</v>
      </c>
      <c r="NL87" t="str" cm="1">
        <f t="array" ref="NL87">IF(NK87&gt;$NL$1,_xlfn.XLOOKUP(MAX(_xlfn.ANCHORARRAY(NH87)),_xlfn.ANCHORARRAY(NH87),NH$4:NJ$4,""),"")</f>
        <v/>
      </c>
      <c r="NN87" cm="1">
        <f t="array" ref="NN87:NR87">SUMIFS($J87:$GG87,$J$3:$GG$3,NN$3:NR$3)</f>
        <v>0</v>
      </c>
      <c r="NO87">
        <v>0</v>
      </c>
      <c r="NP87">
        <v>0</v>
      </c>
      <c r="NQ87">
        <v>0</v>
      </c>
      <c r="NR87">
        <v>0</v>
      </c>
      <c r="NS87" cm="1">
        <f t="array" ref="NS87">IFERROR(MAX((_xlfn.ANCHORARRAY(NN87)-AVERAGE(_xlfn.ANCHORARRAY(NN87)))/ AVERAGE(_xlfn.ANCHORARRAY(NN87))),0)</f>
        <v>0</v>
      </c>
      <c r="NT87" t="str" cm="1">
        <f t="array" ref="NT87">IF(AND(NS87&gt;$NT$1,NL87&lt;&gt;""),_xlfn.XLOOKUP(MAX(_xlfn.ANCHORARRAY(NN87)),_xlfn.ANCHORARRAY(NN87),NN$4:NR$4,""),"")</f>
        <v/>
      </c>
      <c r="NV87" cm="1">
        <f t="array" ref="NV87:OE87">SUMIFS($J87:$GG87,$J$2:$GG$2,NV$3:OE$3)</f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 cm="1">
        <f t="array" ref="OF87">IFERROR(MAX((_xlfn.ANCHORARRAY(NV87)-AVERAGE(_xlfn.ANCHORARRAY(NV87)))/ AVERAGE(_xlfn.ANCHORARRAY(NV87))),0)</f>
        <v>0</v>
      </c>
      <c r="OG87" t="str" cm="1">
        <f t="array" ref="OG87">IF(OF87&gt;$OG$1,_xlfn.XLOOKUP(MAX(_xlfn.ANCHORARRAY(NV87)),_xlfn.ANCHORARRAY(NV87),NV$4:OE$4,""),"")</f>
        <v/>
      </c>
      <c r="OI87" t="str">
        <f t="shared" si="17"/>
        <v/>
      </c>
    </row>
    <row r="88" spans="1:399" x14ac:dyDescent="0.3">
      <c r="A88" s="2"/>
      <c r="B88" s="2" t="str">
        <f t="shared" si="9"/>
        <v>LLC</v>
      </c>
      <c r="C88" s="2" t="str">
        <f t="shared" si="10"/>
        <v>LLC</v>
      </c>
      <c r="D88" s="2" t="str">
        <f t="shared" si="11"/>
        <v>LLC</v>
      </c>
      <c r="E88" s="2" t="str">
        <f t="shared" si="12"/>
        <v/>
      </c>
      <c r="F88" s="2">
        <f t="shared" si="13"/>
        <v>0</v>
      </c>
      <c r="G88" s="2">
        <f t="shared" si="14"/>
        <v>0</v>
      </c>
      <c r="H88" s="2">
        <f t="shared" si="15"/>
        <v>0</v>
      </c>
      <c r="I88" s="2">
        <f t="shared" si="16"/>
        <v>0</v>
      </c>
      <c r="NH88" cm="1">
        <f t="array" ref="NH88:NJ88">SUMIFS($J88:$GG88,$J$1:$GG$1,NH$3:NJ$3)</f>
        <v>0</v>
      </c>
      <c r="NI88">
        <v>0</v>
      </c>
      <c r="NJ88">
        <v>0</v>
      </c>
      <c r="NK88" cm="1">
        <f t="array" ref="NK88">IFERROR(MAX((_xlfn.ANCHORARRAY(NH88)-AVERAGE(_xlfn.ANCHORARRAY(NH88)))/ AVERAGE(_xlfn.ANCHORARRAY(NH88))),0)</f>
        <v>0</v>
      </c>
      <c r="NL88" t="str" cm="1">
        <f t="array" ref="NL88">IF(NK88&gt;$NL$1,_xlfn.XLOOKUP(MAX(_xlfn.ANCHORARRAY(NH88)),_xlfn.ANCHORARRAY(NH88),NH$4:NJ$4,""),"")</f>
        <v/>
      </c>
      <c r="NN88" cm="1">
        <f t="array" ref="NN88:NR88">SUMIFS($J88:$GG88,$J$3:$GG$3,NN$3:NR$3)</f>
        <v>0</v>
      </c>
      <c r="NO88">
        <v>0</v>
      </c>
      <c r="NP88">
        <v>0</v>
      </c>
      <c r="NQ88">
        <v>0</v>
      </c>
      <c r="NR88">
        <v>0</v>
      </c>
      <c r="NS88" cm="1">
        <f t="array" ref="NS88">IFERROR(MAX((_xlfn.ANCHORARRAY(NN88)-AVERAGE(_xlfn.ANCHORARRAY(NN88)))/ AVERAGE(_xlfn.ANCHORARRAY(NN88))),0)</f>
        <v>0</v>
      </c>
      <c r="NT88" t="str" cm="1">
        <f t="array" ref="NT88">IF(AND(NS88&gt;$NT$1,NL88&lt;&gt;""),_xlfn.XLOOKUP(MAX(_xlfn.ANCHORARRAY(NN88)),_xlfn.ANCHORARRAY(NN88),NN$4:NR$4,""),"")</f>
        <v/>
      </c>
      <c r="NV88" cm="1">
        <f t="array" ref="NV88:OE88">SUMIFS($J88:$GG88,$J$2:$GG$2,NV$3:OE$3)</f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 cm="1">
        <f t="array" ref="OF88">IFERROR(MAX((_xlfn.ANCHORARRAY(NV88)-AVERAGE(_xlfn.ANCHORARRAY(NV88)))/ AVERAGE(_xlfn.ANCHORARRAY(NV88))),0)</f>
        <v>0</v>
      </c>
      <c r="OG88" t="str" cm="1">
        <f t="array" ref="OG88">IF(OF88&gt;$OG$1,_xlfn.XLOOKUP(MAX(_xlfn.ANCHORARRAY(NV88)),_xlfn.ANCHORARRAY(NV88),NV$4:OE$4,""),"")</f>
        <v/>
      </c>
      <c r="OI88" t="str">
        <f t="shared" si="17"/>
        <v/>
      </c>
    </row>
    <row r="89" spans="1:399" x14ac:dyDescent="0.3">
      <c r="A89" s="2"/>
      <c r="B89" s="2" t="str">
        <f t="shared" si="9"/>
        <v>LLC</v>
      </c>
      <c r="C89" s="2" t="str">
        <f t="shared" si="10"/>
        <v>LLC</v>
      </c>
      <c r="D89" s="2" t="str">
        <f t="shared" si="11"/>
        <v>LLC</v>
      </c>
      <c r="E89" s="2" t="str">
        <f t="shared" si="12"/>
        <v/>
      </c>
      <c r="F89" s="2">
        <f t="shared" si="13"/>
        <v>0</v>
      </c>
      <c r="G89" s="2">
        <f t="shared" si="14"/>
        <v>0</v>
      </c>
      <c r="H89" s="2">
        <f t="shared" si="15"/>
        <v>0</v>
      </c>
      <c r="I89" s="2">
        <f t="shared" si="16"/>
        <v>0</v>
      </c>
      <c r="NH89" cm="1">
        <f t="array" ref="NH89:NJ89">SUMIFS($J89:$GG89,$J$1:$GG$1,NH$3:NJ$3)</f>
        <v>0</v>
      </c>
      <c r="NI89">
        <v>0</v>
      </c>
      <c r="NJ89">
        <v>0</v>
      </c>
      <c r="NK89" cm="1">
        <f t="array" ref="NK89">IFERROR(MAX((_xlfn.ANCHORARRAY(NH89)-AVERAGE(_xlfn.ANCHORARRAY(NH89)))/ AVERAGE(_xlfn.ANCHORARRAY(NH89))),0)</f>
        <v>0</v>
      </c>
      <c r="NL89" t="str" cm="1">
        <f t="array" ref="NL89">IF(NK89&gt;$NL$1,_xlfn.XLOOKUP(MAX(_xlfn.ANCHORARRAY(NH89)),_xlfn.ANCHORARRAY(NH89),NH$4:NJ$4,""),"")</f>
        <v/>
      </c>
      <c r="NN89" cm="1">
        <f t="array" ref="NN89:NR89">SUMIFS($J89:$GG89,$J$3:$GG$3,NN$3:NR$3)</f>
        <v>0</v>
      </c>
      <c r="NO89">
        <v>0</v>
      </c>
      <c r="NP89">
        <v>0</v>
      </c>
      <c r="NQ89">
        <v>0</v>
      </c>
      <c r="NR89">
        <v>0</v>
      </c>
      <c r="NS89" cm="1">
        <f t="array" ref="NS89">IFERROR(MAX((_xlfn.ANCHORARRAY(NN89)-AVERAGE(_xlfn.ANCHORARRAY(NN89)))/ AVERAGE(_xlfn.ANCHORARRAY(NN89))),0)</f>
        <v>0</v>
      </c>
      <c r="NT89" t="str" cm="1">
        <f t="array" ref="NT89">IF(AND(NS89&gt;$NT$1,NL89&lt;&gt;""),_xlfn.XLOOKUP(MAX(_xlfn.ANCHORARRAY(NN89)),_xlfn.ANCHORARRAY(NN89),NN$4:NR$4,""),"")</f>
        <v/>
      </c>
      <c r="NV89" cm="1">
        <f t="array" ref="NV89:OE89">SUMIFS($J89:$GG89,$J$2:$GG$2,NV$3:OE$3)</f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 cm="1">
        <f t="array" ref="OF89">IFERROR(MAX((_xlfn.ANCHORARRAY(NV89)-AVERAGE(_xlfn.ANCHORARRAY(NV89)))/ AVERAGE(_xlfn.ANCHORARRAY(NV89))),0)</f>
        <v>0</v>
      </c>
      <c r="OG89" t="str" cm="1">
        <f t="array" ref="OG89">IF(OF89&gt;$OG$1,_xlfn.XLOOKUP(MAX(_xlfn.ANCHORARRAY(NV89)),_xlfn.ANCHORARRAY(NV89),NV$4:OE$4,""),"")</f>
        <v/>
      </c>
      <c r="OI89" t="str">
        <f t="shared" si="17"/>
        <v/>
      </c>
    </row>
    <row r="90" spans="1:399" x14ac:dyDescent="0.3">
      <c r="A90" s="2"/>
      <c r="B90" s="2" t="str">
        <f t="shared" si="9"/>
        <v>LLC</v>
      </c>
      <c r="C90" s="2" t="str">
        <f t="shared" si="10"/>
        <v>LLC</v>
      </c>
      <c r="D90" s="2" t="str">
        <f t="shared" si="11"/>
        <v>LLC</v>
      </c>
      <c r="E90" s="2" t="str">
        <f t="shared" si="12"/>
        <v/>
      </c>
      <c r="F90" s="2">
        <f t="shared" si="13"/>
        <v>0</v>
      </c>
      <c r="G90" s="2">
        <f t="shared" si="14"/>
        <v>0</v>
      </c>
      <c r="H90" s="2">
        <f t="shared" si="15"/>
        <v>0</v>
      </c>
      <c r="I90" s="2">
        <f t="shared" si="16"/>
        <v>0</v>
      </c>
      <c r="NH90" cm="1">
        <f t="array" ref="NH90:NJ90">SUMIFS($J90:$GG90,$J$1:$GG$1,NH$3:NJ$3)</f>
        <v>0</v>
      </c>
      <c r="NI90">
        <v>0</v>
      </c>
      <c r="NJ90">
        <v>0</v>
      </c>
      <c r="NK90" cm="1">
        <f t="array" ref="NK90">IFERROR(MAX((_xlfn.ANCHORARRAY(NH90)-AVERAGE(_xlfn.ANCHORARRAY(NH90)))/ AVERAGE(_xlfn.ANCHORARRAY(NH90))),0)</f>
        <v>0</v>
      </c>
      <c r="NL90" t="str" cm="1">
        <f t="array" ref="NL90">IF(NK90&gt;$NL$1,_xlfn.XLOOKUP(MAX(_xlfn.ANCHORARRAY(NH90)),_xlfn.ANCHORARRAY(NH90),NH$4:NJ$4,""),"")</f>
        <v/>
      </c>
      <c r="NN90" cm="1">
        <f t="array" ref="NN90:NR90">SUMIFS($J90:$GG90,$J$3:$GG$3,NN$3:NR$3)</f>
        <v>0</v>
      </c>
      <c r="NO90">
        <v>0</v>
      </c>
      <c r="NP90">
        <v>0</v>
      </c>
      <c r="NQ90">
        <v>0</v>
      </c>
      <c r="NR90">
        <v>0</v>
      </c>
      <c r="NS90" cm="1">
        <f t="array" ref="NS90">IFERROR(MAX((_xlfn.ANCHORARRAY(NN90)-AVERAGE(_xlfn.ANCHORARRAY(NN90)))/ AVERAGE(_xlfn.ANCHORARRAY(NN90))),0)</f>
        <v>0</v>
      </c>
      <c r="NT90" t="str" cm="1">
        <f t="array" ref="NT90">IF(AND(NS90&gt;$NT$1,NL90&lt;&gt;""),_xlfn.XLOOKUP(MAX(_xlfn.ANCHORARRAY(NN90)),_xlfn.ANCHORARRAY(NN90),NN$4:NR$4,""),"")</f>
        <v/>
      </c>
      <c r="NV90" cm="1">
        <f t="array" ref="NV90:OE90">SUMIFS($J90:$GG90,$J$2:$GG$2,NV$3:OE$3)</f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 cm="1">
        <f t="array" ref="OF90">IFERROR(MAX((_xlfn.ANCHORARRAY(NV90)-AVERAGE(_xlfn.ANCHORARRAY(NV90)))/ AVERAGE(_xlfn.ANCHORARRAY(NV90))),0)</f>
        <v>0</v>
      </c>
      <c r="OG90" t="str" cm="1">
        <f t="array" ref="OG90">IF(OF90&gt;$OG$1,_xlfn.XLOOKUP(MAX(_xlfn.ANCHORARRAY(NV90)),_xlfn.ANCHORARRAY(NV90),NV$4:OE$4,""),"")</f>
        <v/>
      </c>
      <c r="OI90" t="str">
        <f t="shared" si="17"/>
        <v/>
      </c>
    </row>
    <row r="91" spans="1:399" x14ac:dyDescent="0.3">
      <c r="A91" s="2"/>
      <c r="B91" s="2" t="str">
        <f t="shared" si="9"/>
        <v>LLC</v>
      </c>
      <c r="C91" s="2" t="str">
        <f t="shared" si="10"/>
        <v>LLC</v>
      </c>
      <c r="D91" s="2" t="str">
        <f t="shared" si="11"/>
        <v>LLC</v>
      </c>
      <c r="E91" s="2" t="str">
        <f t="shared" si="12"/>
        <v/>
      </c>
      <c r="F91" s="2">
        <f t="shared" si="13"/>
        <v>0</v>
      </c>
      <c r="G91" s="2">
        <f t="shared" si="14"/>
        <v>0</v>
      </c>
      <c r="H91" s="2">
        <f t="shared" si="15"/>
        <v>0</v>
      </c>
      <c r="I91" s="2">
        <f t="shared" si="16"/>
        <v>0</v>
      </c>
      <c r="NH91" cm="1">
        <f t="array" ref="NH91:NJ91">SUMIFS($J91:$GG91,$J$1:$GG$1,NH$3:NJ$3)</f>
        <v>0</v>
      </c>
      <c r="NI91">
        <v>0</v>
      </c>
      <c r="NJ91">
        <v>0</v>
      </c>
      <c r="NK91" cm="1">
        <f t="array" ref="NK91">IFERROR(MAX((_xlfn.ANCHORARRAY(NH91)-AVERAGE(_xlfn.ANCHORARRAY(NH91)))/ AVERAGE(_xlfn.ANCHORARRAY(NH91))),0)</f>
        <v>0</v>
      </c>
      <c r="NL91" t="str" cm="1">
        <f t="array" ref="NL91">IF(NK91&gt;$NL$1,_xlfn.XLOOKUP(MAX(_xlfn.ANCHORARRAY(NH91)),_xlfn.ANCHORARRAY(NH91),NH$4:NJ$4,""),"")</f>
        <v/>
      </c>
      <c r="NN91" cm="1">
        <f t="array" ref="NN91:NR91">SUMIFS($J91:$GG91,$J$3:$GG$3,NN$3:NR$3)</f>
        <v>0</v>
      </c>
      <c r="NO91">
        <v>0</v>
      </c>
      <c r="NP91">
        <v>0</v>
      </c>
      <c r="NQ91">
        <v>0</v>
      </c>
      <c r="NR91">
        <v>0</v>
      </c>
      <c r="NS91" cm="1">
        <f t="array" ref="NS91">IFERROR(MAX((_xlfn.ANCHORARRAY(NN91)-AVERAGE(_xlfn.ANCHORARRAY(NN91)))/ AVERAGE(_xlfn.ANCHORARRAY(NN91))),0)</f>
        <v>0</v>
      </c>
      <c r="NT91" t="str" cm="1">
        <f t="array" ref="NT91">IF(AND(NS91&gt;$NT$1,NL91&lt;&gt;""),_xlfn.XLOOKUP(MAX(_xlfn.ANCHORARRAY(NN91)),_xlfn.ANCHORARRAY(NN91),NN$4:NR$4,""),"")</f>
        <v/>
      </c>
      <c r="NV91" cm="1">
        <f t="array" ref="NV91:OE91">SUMIFS($J91:$GG91,$J$2:$GG$2,NV$3:OE$3)</f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 cm="1">
        <f t="array" ref="OF91">IFERROR(MAX((_xlfn.ANCHORARRAY(NV91)-AVERAGE(_xlfn.ANCHORARRAY(NV91)))/ AVERAGE(_xlfn.ANCHORARRAY(NV91))),0)</f>
        <v>0</v>
      </c>
      <c r="OG91" t="str" cm="1">
        <f t="array" ref="OG91">IF(OF91&gt;$OG$1,_xlfn.XLOOKUP(MAX(_xlfn.ANCHORARRAY(NV91)),_xlfn.ANCHORARRAY(NV91),NV$4:OE$4,""),"")</f>
        <v/>
      </c>
      <c r="OI91" t="str">
        <f t="shared" si="17"/>
        <v/>
      </c>
    </row>
    <row r="92" spans="1:399" x14ac:dyDescent="0.3">
      <c r="A92" s="2"/>
      <c r="B92" s="2" t="str">
        <f t="shared" si="9"/>
        <v>LLC</v>
      </c>
      <c r="C92" s="2" t="str">
        <f t="shared" si="10"/>
        <v>LLC</v>
      </c>
      <c r="D92" s="2" t="str">
        <f t="shared" si="11"/>
        <v>LLC</v>
      </c>
      <c r="E92" s="2" t="str">
        <f t="shared" si="12"/>
        <v/>
      </c>
      <c r="F92" s="2">
        <f t="shared" si="13"/>
        <v>0</v>
      </c>
      <c r="G92" s="2">
        <f t="shared" si="14"/>
        <v>0</v>
      </c>
      <c r="H92" s="2">
        <f t="shared" si="15"/>
        <v>0</v>
      </c>
      <c r="I92" s="2">
        <f t="shared" si="16"/>
        <v>0</v>
      </c>
      <c r="NH92" cm="1">
        <f t="array" ref="NH92:NJ92">SUMIFS($J92:$GG92,$J$1:$GG$1,NH$3:NJ$3)</f>
        <v>0</v>
      </c>
      <c r="NI92">
        <v>0</v>
      </c>
      <c r="NJ92">
        <v>0</v>
      </c>
      <c r="NK92" cm="1">
        <f t="array" ref="NK92">IFERROR(MAX((_xlfn.ANCHORARRAY(NH92)-AVERAGE(_xlfn.ANCHORARRAY(NH92)))/ AVERAGE(_xlfn.ANCHORARRAY(NH92))),0)</f>
        <v>0</v>
      </c>
      <c r="NL92" t="str" cm="1">
        <f t="array" ref="NL92">IF(NK92&gt;$NL$1,_xlfn.XLOOKUP(MAX(_xlfn.ANCHORARRAY(NH92)),_xlfn.ANCHORARRAY(NH92),NH$4:NJ$4,""),"")</f>
        <v/>
      </c>
      <c r="NN92" cm="1">
        <f t="array" ref="NN92:NR92">SUMIFS($J92:$GG92,$J$3:$GG$3,NN$3:NR$3)</f>
        <v>0</v>
      </c>
      <c r="NO92">
        <v>0</v>
      </c>
      <c r="NP92">
        <v>0</v>
      </c>
      <c r="NQ92">
        <v>0</v>
      </c>
      <c r="NR92">
        <v>0</v>
      </c>
      <c r="NS92" cm="1">
        <f t="array" ref="NS92">IFERROR(MAX((_xlfn.ANCHORARRAY(NN92)-AVERAGE(_xlfn.ANCHORARRAY(NN92)))/ AVERAGE(_xlfn.ANCHORARRAY(NN92))),0)</f>
        <v>0</v>
      </c>
      <c r="NT92" t="str" cm="1">
        <f t="array" ref="NT92">IF(AND(NS92&gt;$NT$1,NL92&lt;&gt;""),_xlfn.XLOOKUP(MAX(_xlfn.ANCHORARRAY(NN92)),_xlfn.ANCHORARRAY(NN92),NN$4:NR$4,""),"")</f>
        <v/>
      </c>
      <c r="NV92" cm="1">
        <f t="array" ref="NV92:OE92">SUMIFS($J92:$GG92,$J$2:$GG$2,NV$3:OE$3)</f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 cm="1">
        <f t="array" ref="OF92">IFERROR(MAX((_xlfn.ANCHORARRAY(NV92)-AVERAGE(_xlfn.ANCHORARRAY(NV92)))/ AVERAGE(_xlfn.ANCHORARRAY(NV92))),0)</f>
        <v>0</v>
      </c>
      <c r="OG92" t="str" cm="1">
        <f t="array" ref="OG92">IF(OF92&gt;$OG$1,_xlfn.XLOOKUP(MAX(_xlfn.ANCHORARRAY(NV92)),_xlfn.ANCHORARRAY(NV92),NV$4:OE$4,""),"")</f>
        <v/>
      </c>
      <c r="OI92" t="str">
        <f t="shared" si="17"/>
        <v/>
      </c>
    </row>
    <row r="93" spans="1:399" x14ac:dyDescent="0.3">
      <c r="A93" s="2"/>
      <c r="B93" s="2" t="str">
        <f t="shared" si="9"/>
        <v>LLC</v>
      </c>
      <c r="C93" s="2" t="str">
        <f t="shared" si="10"/>
        <v>LLC</v>
      </c>
      <c r="D93" s="2" t="str">
        <f t="shared" si="11"/>
        <v>LLC</v>
      </c>
      <c r="E93" s="2" t="str">
        <f t="shared" si="12"/>
        <v/>
      </c>
      <c r="F93" s="2">
        <f t="shared" si="13"/>
        <v>0</v>
      </c>
      <c r="G93" s="2">
        <f t="shared" si="14"/>
        <v>0</v>
      </c>
      <c r="H93" s="2">
        <f t="shared" si="15"/>
        <v>0</v>
      </c>
      <c r="I93" s="2">
        <f t="shared" si="16"/>
        <v>0</v>
      </c>
      <c r="NH93" cm="1">
        <f t="array" ref="NH93:NJ93">SUMIFS($J93:$GG93,$J$1:$GG$1,NH$3:NJ$3)</f>
        <v>0</v>
      </c>
      <c r="NI93">
        <v>0</v>
      </c>
      <c r="NJ93">
        <v>0</v>
      </c>
      <c r="NK93" cm="1">
        <f t="array" ref="NK93">IFERROR(MAX((_xlfn.ANCHORARRAY(NH93)-AVERAGE(_xlfn.ANCHORARRAY(NH93)))/ AVERAGE(_xlfn.ANCHORARRAY(NH93))),0)</f>
        <v>0</v>
      </c>
      <c r="NL93" t="str" cm="1">
        <f t="array" ref="NL93">IF(NK93&gt;$NL$1,_xlfn.XLOOKUP(MAX(_xlfn.ANCHORARRAY(NH93)),_xlfn.ANCHORARRAY(NH93),NH$4:NJ$4,""),"")</f>
        <v/>
      </c>
      <c r="NN93" cm="1">
        <f t="array" ref="NN93:NR93">SUMIFS($J93:$GG93,$J$3:$GG$3,NN$3:NR$3)</f>
        <v>0</v>
      </c>
      <c r="NO93">
        <v>0</v>
      </c>
      <c r="NP93">
        <v>0</v>
      </c>
      <c r="NQ93">
        <v>0</v>
      </c>
      <c r="NR93">
        <v>0</v>
      </c>
      <c r="NS93" cm="1">
        <f t="array" ref="NS93">IFERROR(MAX((_xlfn.ANCHORARRAY(NN93)-AVERAGE(_xlfn.ANCHORARRAY(NN93)))/ AVERAGE(_xlfn.ANCHORARRAY(NN93))),0)</f>
        <v>0</v>
      </c>
      <c r="NT93" t="str" cm="1">
        <f t="array" ref="NT93">IF(AND(NS93&gt;$NT$1,NL93&lt;&gt;""),_xlfn.XLOOKUP(MAX(_xlfn.ANCHORARRAY(NN93)),_xlfn.ANCHORARRAY(NN93),NN$4:NR$4,""),"")</f>
        <v/>
      </c>
      <c r="NV93" cm="1">
        <f t="array" ref="NV93:OE93">SUMIFS($J93:$GG93,$J$2:$GG$2,NV$3:OE$3)</f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 cm="1">
        <f t="array" ref="OF93">IFERROR(MAX((_xlfn.ANCHORARRAY(NV93)-AVERAGE(_xlfn.ANCHORARRAY(NV93)))/ AVERAGE(_xlfn.ANCHORARRAY(NV93))),0)</f>
        <v>0</v>
      </c>
      <c r="OG93" t="str" cm="1">
        <f t="array" ref="OG93">IF(OF93&gt;$OG$1,_xlfn.XLOOKUP(MAX(_xlfn.ANCHORARRAY(NV93)),_xlfn.ANCHORARRAY(NV93),NV$4:OE$4,""),"")</f>
        <v/>
      </c>
      <c r="OI93" t="str">
        <f t="shared" si="17"/>
        <v/>
      </c>
    </row>
    <row r="94" spans="1:399" x14ac:dyDescent="0.3">
      <c r="A94" s="2"/>
      <c r="B94" s="2" t="str">
        <f t="shared" si="9"/>
        <v>LLC</v>
      </c>
      <c r="C94" s="2" t="str">
        <f t="shared" si="10"/>
        <v>LLC</v>
      </c>
      <c r="D94" s="2" t="str">
        <f t="shared" si="11"/>
        <v>LLC</v>
      </c>
      <c r="E94" s="2" t="str">
        <f t="shared" si="12"/>
        <v/>
      </c>
      <c r="F94" s="2">
        <f t="shared" si="13"/>
        <v>0</v>
      </c>
      <c r="G94" s="2">
        <f t="shared" si="14"/>
        <v>0</v>
      </c>
      <c r="H94" s="2">
        <f t="shared" si="15"/>
        <v>0</v>
      </c>
      <c r="I94" s="2">
        <f t="shared" si="16"/>
        <v>0</v>
      </c>
      <c r="NH94" cm="1">
        <f t="array" ref="NH94:NJ94">SUMIFS($J94:$GG94,$J$1:$GG$1,NH$3:NJ$3)</f>
        <v>0</v>
      </c>
      <c r="NI94">
        <v>0</v>
      </c>
      <c r="NJ94">
        <v>0</v>
      </c>
      <c r="NK94" cm="1">
        <f t="array" ref="NK94">IFERROR(MAX((_xlfn.ANCHORARRAY(NH94)-AVERAGE(_xlfn.ANCHORARRAY(NH94)))/ AVERAGE(_xlfn.ANCHORARRAY(NH94))),0)</f>
        <v>0</v>
      </c>
      <c r="NL94" t="str" cm="1">
        <f t="array" ref="NL94">IF(NK94&gt;$NL$1,_xlfn.XLOOKUP(MAX(_xlfn.ANCHORARRAY(NH94)),_xlfn.ANCHORARRAY(NH94),NH$4:NJ$4,""),"")</f>
        <v/>
      </c>
      <c r="NN94" cm="1">
        <f t="array" ref="NN94:NR94">SUMIFS($J94:$GG94,$J$3:$GG$3,NN$3:NR$3)</f>
        <v>0</v>
      </c>
      <c r="NO94">
        <v>0</v>
      </c>
      <c r="NP94">
        <v>0</v>
      </c>
      <c r="NQ94">
        <v>0</v>
      </c>
      <c r="NR94">
        <v>0</v>
      </c>
      <c r="NS94" cm="1">
        <f t="array" ref="NS94">IFERROR(MAX((_xlfn.ANCHORARRAY(NN94)-AVERAGE(_xlfn.ANCHORARRAY(NN94)))/ AVERAGE(_xlfn.ANCHORARRAY(NN94))),0)</f>
        <v>0</v>
      </c>
      <c r="NT94" t="str" cm="1">
        <f t="array" ref="NT94">IF(AND(NS94&gt;$NT$1,NL94&lt;&gt;""),_xlfn.XLOOKUP(MAX(_xlfn.ANCHORARRAY(NN94)),_xlfn.ANCHORARRAY(NN94),NN$4:NR$4,""),"")</f>
        <v/>
      </c>
      <c r="NV94" cm="1">
        <f t="array" ref="NV94:OE94">SUMIFS($J94:$GG94,$J$2:$GG$2,NV$3:OE$3)</f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 cm="1">
        <f t="array" ref="OF94">IFERROR(MAX((_xlfn.ANCHORARRAY(NV94)-AVERAGE(_xlfn.ANCHORARRAY(NV94)))/ AVERAGE(_xlfn.ANCHORARRAY(NV94))),0)</f>
        <v>0</v>
      </c>
      <c r="OG94" t="str" cm="1">
        <f t="array" ref="OG94">IF(OF94&gt;$OG$1,_xlfn.XLOOKUP(MAX(_xlfn.ANCHORARRAY(NV94)),_xlfn.ANCHORARRAY(NV94),NV$4:OE$4,""),"")</f>
        <v/>
      </c>
      <c r="OI94" t="str">
        <f t="shared" si="17"/>
        <v/>
      </c>
    </row>
    <row r="95" spans="1:399" x14ac:dyDescent="0.3">
      <c r="A95" s="2"/>
      <c r="B95" s="2" t="str">
        <f t="shared" si="9"/>
        <v>LLC</v>
      </c>
      <c r="C95" s="2" t="str">
        <f t="shared" si="10"/>
        <v>LLC</v>
      </c>
      <c r="D95" s="2" t="str">
        <f t="shared" si="11"/>
        <v>LLC</v>
      </c>
      <c r="E95" s="2" t="str">
        <f t="shared" si="12"/>
        <v/>
      </c>
      <c r="F95" s="2">
        <f t="shared" si="13"/>
        <v>0</v>
      </c>
      <c r="G95" s="2">
        <f t="shared" si="14"/>
        <v>0</v>
      </c>
      <c r="H95" s="2">
        <f t="shared" si="15"/>
        <v>0</v>
      </c>
      <c r="I95" s="2">
        <f t="shared" si="16"/>
        <v>0</v>
      </c>
      <c r="NH95" cm="1">
        <f t="array" ref="NH95:NJ95">SUMIFS($J95:$GG95,$J$1:$GG$1,NH$3:NJ$3)</f>
        <v>0</v>
      </c>
      <c r="NI95">
        <v>0</v>
      </c>
      <c r="NJ95">
        <v>0</v>
      </c>
      <c r="NK95" cm="1">
        <f t="array" ref="NK95">IFERROR(MAX((_xlfn.ANCHORARRAY(NH95)-AVERAGE(_xlfn.ANCHORARRAY(NH95)))/ AVERAGE(_xlfn.ANCHORARRAY(NH95))),0)</f>
        <v>0</v>
      </c>
      <c r="NL95" t="str" cm="1">
        <f t="array" ref="NL95">IF(NK95&gt;$NL$1,_xlfn.XLOOKUP(MAX(_xlfn.ANCHORARRAY(NH95)),_xlfn.ANCHORARRAY(NH95),NH$4:NJ$4,""),"")</f>
        <v/>
      </c>
      <c r="NN95" cm="1">
        <f t="array" ref="NN95:NR95">SUMIFS($J95:$GG95,$J$3:$GG$3,NN$3:NR$3)</f>
        <v>0</v>
      </c>
      <c r="NO95">
        <v>0</v>
      </c>
      <c r="NP95">
        <v>0</v>
      </c>
      <c r="NQ95">
        <v>0</v>
      </c>
      <c r="NR95">
        <v>0</v>
      </c>
      <c r="NS95" cm="1">
        <f t="array" ref="NS95">IFERROR(MAX((_xlfn.ANCHORARRAY(NN95)-AVERAGE(_xlfn.ANCHORARRAY(NN95)))/ AVERAGE(_xlfn.ANCHORARRAY(NN95))),0)</f>
        <v>0</v>
      </c>
      <c r="NT95" t="str" cm="1">
        <f t="array" ref="NT95">IF(AND(NS95&gt;$NT$1,NL95&lt;&gt;""),_xlfn.XLOOKUP(MAX(_xlfn.ANCHORARRAY(NN95)),_xlfn.ANCHORARRAY(NN95),NN$4:NR$4,""),"")</f>
        <v/>
      </c>
      <c r="NV95" cm="1">
        <f t="array" ref="NV95:OE95">SUMIFS($J95:$GG95,$J$2:$GG$2,NV$3:OE$3)</f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 cm="1">
        <f t="array" ref="OF95">IFERROR(MAX((_xlfn.ANCHORARRAY(NV95)-AVERAGE(_xlfn.ANCHORARRAY(NV95)))/ AVERAGE(_xlfn.ANCHORARRAY(NV95))),0)</f>
        <v>0</v>
      </c>
      <c r="OG95" t="str" cm="1">
        <f t="array" ref="OG95">IF(OF95&gt;$OG$1,_xlfn.XLOOKUP(MAX(_xlfn.ANCHORARRAY(NV95)),_xlfn.ANCHORARRAY(NV95),NV$4:OE$4,""),"")</f>
        <v/>
      </c>
      <c r="OI95" t="str">
        <f t="shared" si="17"/>
        <v/>
      </c>
    </row>
    <row r="96" spans="1:399" x14ac:dyDescent="0.3">
      <c r="A96" s="2"/>
      <c r="B96" s="2" t="str">
        <f t="shared" si="9"/>
        <v>LLC</v>
      </c>
      <c r="C96" s="2" t="str">
        <f t="shared" si="10"/>
        <v>LLC</v>
      </c>
      <c r="D96" s="2" t="str">
        <f t="shared" si="11"/>
        <v>LLC</v>
      </c>
      <c r="E96" s="2" t="str">
        <f t="shared" si="12"/>
        <v/>
      </c>
      <c r="F96" s="2">
        <f t="shared" si="13"/>
        <v>0</v>
      </c>
      <c r="G96" s="2">
        <f t="shared" si="14"/>
        <v>0</v>
      </c>
      <c r="H96" s="2">
        <f t="shared" si="15"/>
        <v>0</v>
      </c>
      <c r="I96" s="2">
        <f t="shared" si="16"/>
        <v>0</v>
      </c>
      <c r="NH96" cm="1">
        <f t="array" ref="NH96:NJ96">SUMIFS($J96:$GG96,$J$1:$GG$1,NH$3:NJ$3)</f>
        <v>0</v>
      </c>
      <c r="NI96">
        <v>0</v>
      </c>
      <c r="NJ96">
        <v>0</v>
      </c>
      <c r="NK96" cm="1">
        <f t="array" ref="NK96">IFERROR(MAX((_xlfn.ANCHORARRAY(NH96)-AVERAGE(_xlfn.ANCHORARRAY(NH96)))/ AVERAGE(_xlfn.ANCHORARRAY(NH96))),0)</f>
        <v>0</v>
      </c>
      <c r="NL96" t="str" cm="1">
        <f t="array" ref="NL96">IF(NK96&gt;$NL$1,_xlfn.XLOOKUP(MAX(_xlfn.ANCHORARRAY(NH96)),_xlfn.ANCHORARRAY(NH96),NH$4:NJ$4,""),"")</f>
        <v/>
      </c>
      <c r="NN96" cm="1">
        <f t="array" ref="NN96:NR96">SUMIFS($J96:$GG96,$J$3:$GG$3,NN$3:NR$3)</f>
        <v>0</v>
      </c>
      <c r="NO96">
        <v>0</v>
      </c>
      <c r="NP96">
        <v>0</v>
      </c>
      <c r="NQ96">
        <v>0</v>
      </c>
      <c r="NR96">
        <v>0</v>
      </c>
      <c r="NS96" cm="1">
        <f t="array" ref="NS96">IFERROR(MAX((_xlfn.ANCHORARRAY(NN96)-AVERAGE(_xlfn.ANCHORARRAY(NN96)))/ AVERAGE(_xlfn.ANCHORARRAY(NN96))),0)</f>
        <v>0</v>
      </c>
      <c r="NT96" t="str" cm="1">
        <f t="array" ref="NT96">IF(AND(NS96&gt;$NT$1,NL96&lt;&gt;""),_xlfn.XLOOKUP(MAX(_xlfn.ANCHORARRAY(NN96)),_xlfn.ANCHORARRAY(NN96),NN$4:NR$4,""),"")</f>
        <v/>
      </c>
      <c r="NV96" cm="1">
        <f t="array" ref="NV96:OE96">SUMIFS($J96:$GG96,$J$2:$GG$2,NV$3:OE$3)</f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 cm="1">
        <f t="array" ref="OF96">IFERROR(MAX((_xlfn.ANCHORARRAY(NV96)-AVERAGE(_xlfn.ANCHORARRAY(NV96)))/ AVERAGE(_xlfn.ANCHORARRAY(NV96))),0)</f>
        <v>0</v>
      </c>
      <c r="OG96" t="str" cm="1">
        <f t="array" ref="OG96">IF(OF96&gt;$OG$1,_xlfn.XLOOKUP(MAX(_xlfn.ANCHORARRAY(NV96)),_xlfn.ANCHORARRAY(NV96),NV$4:OE$4,""),"")</f>
        <v/>
      </c>
      <c r="OI96" t="str">
        <f t="shared" si="17"/>
        <v/>
      </c>
    </row>
    <row r="97" spans="1:399" x14ac:dyDescent="0.3">
      <c r="A97" s="2"/>
      <c r="B97" s="2" t="str">
        <f t="shared" si="9"/>
        <v>LLC</v>
      </c>
      <c r="C97" s="2" t="str">
        <f t="shared" si="10"/>
        <v>LLC</v>
      </c>
      <c r="D97" s="2" t="str">
        <f t="shared" si="11"/>
        <v>LLC</v>
      </c>
      <c r="E97" s="2" t="str">
        <f t="shared" si="12"/>
        <v/>
      </c>
      <c r="F97" s="2">
        <f t="shared" si="13"/>
        <v>0</v>
      </c>
      <c r="G97" s="2">
        <f t="shared" si="14"/>
        <v>0</v>
      </c>
      <c r="H97" s="2">
        <f t="shared" si="15"/>
        <v>0</v>
      </c>
      <c r="I97" s="2">
        <f t="shared" si="16"/>
        <v>0</v>
      </c>
      <c r="NH97" cm="1">
        <f t="array" ref="NH97:NJ97">SUMIFS($J97:$GG97,$J$1:$GG$1,NH$3:NJ$3)</f>
        <v>0</v>
      </c>
      <c r="NI97">
        <v>0</v>
      </c>
      <c r="NJ97">
        <v>0</v>
      </c>
      <c r="NK97" cm="1">
        <f t="array" ref="NK97">IFERROR(MAX((_xlfn.ANCHORARRAY(NH97)-AVERAGE(_xlfn.ANCHORARRAY(NH97)))/ AVERAGE(_xlfn.ANCHORARRAY(NH97))),0)</f>
        <v>0</v>
      </c>
      <c r="NL97" t="str" cm="1">
        <f t="array" ref="NL97">IF(NK97&gt;$NL$1,_xlfn.XLOOKUP(MAX(_xlfn.ANCHORARRAY(NH97)),_xlfn.ANCHORARRAY(NH97),NH$4:NJ$4,""),"")</f>
        <v/>
      </c>
      <c r="NN97" cm="1">
        <f t="array" ref="NN97:NR97">SUMIFS($J97:$GG97,$J$3:$GG$3,NN$3:NR$3)</f>
        <v>0</v>
      </c>
      <c r="NO97">
        <v>0</v>
      </c>
      <c r="NP97">
        <v>0</v>
      </c>
      <c r="NQ97">
        <v>0</v>
      </c>
      <c r="NR97">
        <v>0</v>
      </c>
      <c r="NS97" cm="1">
        <f t="array" ref="NS97">IFERROR(MAX((_xlfn.ANCHORARRAY(NN97)-AVERAGE(_xlfn.ANCHORARRAY(NN97)))/ AVERAGE(_xlfn.ANCHORARRAY(NN97))),0)</f>
        <v>0</v>
      </c>
      <c r="NT97" t="str" cm="1">
        <f t="array" ref="NT97">IF(AND(NS97&gt;$NT$1,NL97&lt;&gt;""),_xlfn.XLOOKUP(MAX(_xlfn.ANCHORARRAY(NN97)),_xlfn.ANCHORARRAY(NN97),NN$4:NR$4,""),"")</f>
        <v/>
      </c>
      <c r="NV97" cm="1">
        <f t="array" ref="NV97:OE97">SUMIFS($J97:$GG97,$J$2:$GG$2,NV$3:OE$3)</f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 cm="1">
        <f t="array" ref="OF97">IFERROR(MAX((_xlfn.ANCHORARRAY(NV97)-AVERAGE(_xlfn.ANCHORARRAY(NV97)))/ AVERAGE(_xlfn.ANCHORARRAY(NV97))),0)</f>
        <v>0</v>
      </c>
      <c r="OG97" t="str" cm="1">
        <f t="array" ref="OG97">IF(OF97&gt;$OG$1,_xlfn.XLOOKUP(MAX(_xlfn.ANCHORARRAY(NV97)),_xlfn.ANCHORARRAY(NV97),NV$4:OE$4,""),"")</f>
        <v/>
      </c>
      <c r="OI97" t="str">
        <f t="shared" si="17"/>
        <v/>
      </c>
    </row>
    <row r="98" spans="1:399" x14ac:dyDescent="0.3">
      <c r="A98" s="2"/>
      <c r="B98" s="2" t="str">
        <f t="shared" si="9"/>
        <v>LLC</v>
      </c>
      <c r="C98" s="2" t="str">
        <f t="shared" si="10"/>
        <v>LLC</v>
      </c>
      <c r="D98" s="2" t="str">
        <f t="shared" si="11"/>
        <v>LLC</v>
      </c>
      <c r="E98" s="2" t="str">
        <f t="shared" si="12"/>
        <v/>
      </c>
      <c r="F98" s="2">
        <f t="shared" si="13"/>
        <v>0</v>
      </c>
      <c r="G98" s="2">
        <f t="shared" si="14"/>
        <v>0</v>
      </c>
      <c r="H98" s="2">
        <f t="shared" si="15"/>
        <v>0</v>
      </c>
      <c r="I98" s="2">
        <f t="shared" si="16"/>
        <v>0</v>
      </c>
      <c r="NH98" cm="1">
        <f t="array" ref="NH98:NJ98">SUMIFS($J98:$GG98,$J$1:$GG$1,NH$3:NJ$3)</f>
        <v>0</v>
      </c>
      <c r="NI98">
        <v>0</v>
      </c>
      <c r="NJ98">
        <v>0</v>
      </c>
      <c r="NK98" cm="1">
        <f t="array" ref="NK98">IFERROR(MAX((_xlfn.ANCHORARRAY(NH98)-AVERAGE(_xlfn.ANCHORARRAY(NH98)))/ AVERAGE(_xlfn.ANCHORARRAY(NH98))),0)</f>
        <v>0</v>
      </c>
      <c r="NL98" t="str" cm="1">
        <f t="array" ref="NL98">IF(NK98&gt;$NL$1,_xlfn.XLOOKUP(MAX(_xlfn.ANCHORARRAY(NH98)),_xlfn.ANCHORARRAY(NH98),NH$4:NJ$4,""),"")</f>
        <v/>
      </c>
      <c r="NN98" cm="1">
        <f t="array" ref="NN98:NR98">SUMIFS($J98:$GG98,$J$3:$GG$3,NN$3:NR$3)</f>
        <v>0</v>
      </c>
      <c r="NO98">
        <v>0</v>
      </c>
      <c r="NP98">
        <v>0</v>
      </c>
      <c r="NQ98">
        <v>0</v>
      </c>
      <c r="NR98">
        <v>0</v>
      </c>
      <c r="NS98" cm="1">
        <f t="array" ref="NS98">IFERROR(MAX((_xlfn.ANCHORARRAY(NN98)-AVERAGE(_xlfn.ANCHORARRAY(NN98)))/ AVERAGE(_xlfn.ANCHORARRAY(NN98))),0)</f>
        <v>0</v>
      </c>
      <c r="NT98" t="str" cm="1">
        <f t="array" ref="NT98">IF(AND(NS98&gt;$NT$1,NL98&lt;&gt;""),_xlfn.XLOOKUP(MAX(_xlfn.ANCHORARRAY(NN98)),_xlfn.ANCHORARRAY(NN98),NN$4:NR$4,""),"")</f>
        <v/>
      </c>
      <c r="NV98" cm="1">
        <f t="array" ref="NV98:OE98">SUMIFS($J98:$GG98,$J$2:$GG$2,NV$3:OE$3)</f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 cm="1">
        <f t="array" ref="OF98">IFERROR(MAX((_xlfn.ANCHORARRAY(NV98)-AVERAGE(_xlfn.ANCHORARRAY(NV98)))/ AVERAGE(_xlfn.ANCHORARRAY(NV98))),0)</f>
        <v>0</v>
      </c>
      <c r="OG98" t="str" cm="1">
        <f t="array" ref="OG98">IF(OF98&gt;$OG$1,_xlfn.XLOOKUP(MAX(_xlfn.ANCHORARRAY(NV98)),_xlfn.ANCHORARRAY(NV98),NV$4:OE$4,""),"")</f>
        <v/>
      </c>
      <c r="OI98" t="str">
        <f t="shared" si="17"/>
        <v/>
      </c>
    </row>
    <row r="99" spans="1:399" x14ac:dyDescent="0.3">
      <c r="A99" s="2"/>
      <c r="B99" s="2" t="str">
        <f t="shared" si="9"/>
        <v>LLC</v>
      </c>
      <c r="C99" s="2" t="str">
        <f t="shared" si="10"/>
        <v>LLC</v>
      </c>
      <c r="D99" s="2" t="str">
        <f t="shared" si="11"/>
        <v>LLC</v>
      </c>
      <c r="E99" s="2" t="str">
        <f t="shared" si="12"/>
        <v/>
      </c>
      <c r="F99" s="2">
        <f t="shared" si="13"/>
        <v>0</v>
      </c>
      <c r="G99" s="2">
        <f t="shared" si="14"/>
        <v>0</v>
      </c>
      <c r="H99" s="2">
        <f t="shared" si="15"/>
        <v>0</v>
      </c>
      <c r="I99" s="2">
        <f t="shared" si="16"/>
        <v>0</v>
      </c>
      <c r="NH99" cm="1">
        <f t="array" ref="NH99:NJ99">SUMIFS($J99:$GG99,$J$1:$GG$1,NH$3:NJ$3)</f>
        <v>0</v>
      </c>
      <c r="NI99">
        <v>0</v>
      </c>
      <c r="NJ99">
        <v>0</v>
      </c>
      <c r="NK99" cm="1">
        <f t="array" ref="NK99">IFERROR(MAX((_xlfn.ANCHORARRAY(NH99)-AVERAGE(_xlfn.ANCHORARRAY(NH99)))/ AVERAGE(_xlfn.ANCHORARRAY(NH99))),0)</f>
        <v>0</v>
      </c>
      <c r="NL99" t="str" cm="1">
        <f t="array" ref="NL99">IF(NK99&gt;$NL$1,_xlfn.XLOOKUP(MAX(_xlfn.ANCHORARRAY(NH99)),_xlfn.ANCHORARRAY(NH99),NH$4:NJ$4,""),"")</f>
        <v/>
      </c>
      <c r="NN99" cm="1">
        <f t="array" ref="NN99:NR99">SUMIFS($J99:$GG99,$J$3:$GG$3,NN$3:NR$3)</f>
        <v>0</v>
      </c>
      <c r="NO99">
        <v>0</v>
      </c>
      <c r="NP99">
        <v>0</v>
      </c>
      <c r="NQ99">
        <v>0</v>
      </c>
      <c r="NR99">
        <v>0</v>
      </c>
      <c r="NS99" cm="1">
        <f t="array" ref="NS99">IFERROR(MAX((_xlfn.ANCHORARRAY(NN99)-AVERAGE(_xlfn.ANCHORARRAY(NN99)))/ AVERAGE(_xlfn.ANCHORARRAY(NN99))),0)</f>
        <v>0</v>
      </c>
      <c r="NT99" t="str" cm="1">
        <f t="array" ref="NT99">IF(AND(NS99&gt;$NT$1,NL99&lt;&gt;""),_xlfn.XLOOKUP(MAX(_xlfn.ANCHORARRAY(NN99)),_xlfn.ANCHORARRAY(NN99),NN$4:NR$4,""),"")</f>
        <v/>
      </c>
      <c r="NV99" cm="1">
        <f t="array" ref="NV99:OE99">SUMIFS($J99:$GG99,$J$2:$GG$2,NV$3:OE$3)</f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 cm="1">
        <f t="array" ref="OF99">IFERROR(MAX((_xlfn.ANCHORARRAY(NV99)-AVERAGE(_xlfn.ANCHORARRAY(NV99)))/ AVERAGE(_xlfn.ANCHORARRAY(NV99))),0)</f>
        <v>0</v>
      </c>
      <c r="OG99" t="str" cm="1">
        <f t="array" ref="OG99">IF(OF99&gt;$OG$1,_xlfn.XLOOKUP(MAX(_xlfn.ANCHORARRAY(NV99)),_xlfn.ANCHORARRAY(NV99),NV$4:OE$4,""),"")</f>
        <v/>
      </c>
      <c r="OI99" t="str">
        <f t="shared" si="17"/>
        <v/>
      </c>
    </row>
    <row r="100" spans="1:399" x14ac:dyDescent="0.3">
      <c r="A100" s="2"/>
      <c r="B100" s="2" t="str">
        <f t="shared" si="9"/>
        <v>LLC</v>
      </c>
      <c r="C100" s="2" t="str">
        <f t="shared" si="10"/>
        <v>LLC</v>
      </c>
      <c r="D100" s="2" t="str">
        <f t="shared" si="11"/>
        <v>LLC</v>
      </c>
      <c r="E100" s="2" t="str">
        <f t="shared" si="12"/>
        <v/>
      </c>
      <c r="F100" s="2">
        <f t="shared" si="13"/>
        <v>0</v>
      </c>
      <c r="G100" s="2">
        <f t="shared" si="14"/>
        <v>0</v>
      </c>
      <c r="H100" s="2">
        <f t="shared" si="15"/>
        <v>0</v>
      </c>
      <c r="I100" s="2">
        <f t="shared" si="16"/>
        <v>0</v>
      </c>
      <c r="NH100" cm="1">
        <f t="array" ref="NH100:NJ100">SUMIFS($J100:$GG100,$J$1:$GG$1,NH$3:NJ$3)</f>
        <v>0</v>
      </c>
      <c r="NI100">
        <v>0</v>
      </c>
      <c r="NJ100">
        <v>0</v>
      </c>
      <c r="NK100" cm="1">
        <f t="array" ref="NK100">IFERROR(MAX((_xlfn.ANCHORARRAY(NH100)-AVERAGE(_xlfn.ANCHORARRAY(NH100)))/ AVERAGE(_xlfn.ANCHORARRAY(NH100))),0)</f>
        <v>0</v>
      </c>
      <c r="NL100" t="str" cm="1">
        <f t="array" ref="NL100">IF(NK100&gt;$NL$1,_xlfn.XLOOKUP(MAX(_xlfn.ANCHORARRAY(NH100)),_xlfn.ANCHORARRAY(NH100),NH$4:NJ$4,""),"")</f>
        <v/>
      </c>
      <c r="NN100" cm="1">
        <f t="array" ref="NN100:NR100">SUMIFS($J100:$GG100,$J$3:$GG$3,NN$3:NR$3)</f>
        <v>0</v>
      </c>
      <c r="NO100">
        <v>0</v>
      </c>
      <c r="NP100">
        <v>0</v>
      </c>
      <c r="NQ100">
        <v>0</v>
      </c>
      <c r="NR100">
        <v>0</v>
      </c>
      <c r="NS100" cm="1">
        <f t="array" ref="NS100">IFERROR(MAX((_xlfn.ANCHORARRAY(NN100)-AVERAGE(_xlfn.ANCHORARRAY(NN100)))/ AVERAGE(_xlfn.ANCHORARRAY(NN100))),0)</f>
        <v>0</v>
      </c>
      <c r="NT100" t="str" cm="1">
        <f t="array" ref="NT100">IF(AND(NS100&gt;$NT$1,NL100&lt;&gt;""),_xlfn.XLOOKUP(MAX(_xlfn.ANCHORARRAY(NN100)),_xlfn.ANCHORARRAY(NN100),NN$4:NR$4,""),"")</f>
        <v/>
      </c>
      <c r="NV100" cm="1">
        <f t="array" ref="NV100:OE100">SUMIFS($J100:$GG100,$J$2:$GG$2,NV$3:OE$3)</f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 cm="1">
        <f t="array" ref="OF100">IFERROR(MAX((_xlfn.ANCHORARRAY(NV100)-AVERAGE(_xlfn.ANCHORARRAY(NV100)))/ AVERAGE(_xlfn.ANCHORARRAY(NV100))),0)</f>
        <v>0</v>
      </c>
      <c r="OG100" t="str" cm="1">
        <f t="array" ref="OG100">IF(OF100&gt;$OG$1,_xlfn.XLOOKUP(MAX(_xlfn.ANCHORARRAY(NV100)),_xlfn.ANCHORARRAY(NV100),NV$4:OE$4,""),"")</f>
        <v/>
      </c>
      <c r="OI100" t="str">
        <f t="shared" si="17"/>
        <v/>
      </c>
    </row>
    <row r="101" spans="1:399" x14ac:dyDescent="0.3">
      <c r="A101" s="2"/>
      <c r="B101" s="2" t="str">
        <f t="shared" si="9"/>
        <v>LLC</v>
      </c>
      <c r="C101" s="2" t="str">
        <f t="shared" si="10"/>
        <v>LLC</v>
      </c>
      <c r="D101" s="2" t="str">
        <f t="shared" si="11"/>
        <v>LLC</v>
      </c>
      <c r="E101" s="2" t="str">
        <f t="shared" si="12"/>
        <v/>
      </c>
      <c r="F101" s="2">
        <f t="shared" si="13"/>
        <v>0</v>
      </c>
      <c r="G101" s="2">
        <f t="shared" si="14"/>
        <v>0</v>
      </c>
      <c r="H101" s="2">
        <f t="shared" si="15"/>
        <v>0</v>
      </c>
      <c r="I101" s="2">
        <f t="shared" si="16"/>
        <v>0</v>
      </c>
      <c r="NH101" cm="1">
        <f t="array" ref="NH101:NJ101">SUMIFS($J101:$GG101,$J$1:$GG$1,NH$3:NJ$3)</f>
        <v>0</v>
      </c>
      <c r="NI101">
        <v>0</v>
      </c>
      <c r="NJ101">
        <v>0</v>
      </c>
      <c r="NK101" cm="1">
        <f t="array" ref="NK101">IFERROR(MAX((_xlfn.ANCHORARRAY(NH101)-AVERAGE(_xlfn.ANCHORARRAY(NH101)))/ AVERAGE(_xlfn.ANCHORARRAY(NH101))),0)</f>
        <v>0</v>
      </c>
      <c r="NL101" t="str" cm="1">
        <f t="array" ref="NL101">IF(NK101&gt;$NL$1,_xlfn.XLOOKUP(MAX(_xlfn.ANCHORARRAY(NH101)),_xlfn.ANCHORARRAY(NH101),NH$4:NJ$4,""),"")</f>
        <v/>
      </c>
      <c r="NN101" cm="1">
        <f t="array" ref="NN101:NR101">SUMIFS($J101:$GG101,$J$3:$GG$3,NN$3:NR$3)</f>
        <v>0</v>
      </c>
      <c r="NO101">
        <v>0</v>
      </c>
      <c r="NP101">
        <v>0</v>
      </c>
      <c r="NQ101">
        <v>0</v>
      </c>
      <c r="NR101">
        <v>0</v>
      </c>
      <c r="NS101" cm="1">
        <f t="array" ref="NS101">IFERROR(MAX((_xlfn.ANCHORARRAY(NN101)-AVERAGE(_xlfn.ANCHORARRAY(NN101)))/ AVERAGE(_xlfn.ANCHORARRAY(NN101))),0)</f>
        <v>0</v>
      </c>
      <c r="NT101" t="str" cm="1">
        <f t="array" ref="NT101">IF(AND(NS101&gt;$NT$1,NL101&lt;&gt;""),_xlfn.XLOOKUP(MAX(_xlfn.ANCHORARRAY(NN101)),_xlfn.ANCHORARRAY(NN101),NN$4:NR$4,""),"")</f>
        <v/>
      </c>
      <c r="NV101" cm="1">
        <f t="array" ref="NV101:OE101">SUMIFS($J101:$GG101,$J$2:$GG$2,NV$3:OE$3)</f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 cm="1">
        <f t="array" ref="OF101">IFERROR(MAX((_xlfn.ANCHORARRAY(NV101)-AVERAGE(_xlfn.ANCHORARRAY(NV101)))/ AVERAGE(_xlfn.ANCHORARRAY(NV101))),0)</f>
        <v>0</v>
      </c>
      <c r="OG101" t="str" cm="1">
        <f t="array" ref="OG101">IF(OF101&gt;$OG$1,_xlfn.XLOOKUP(MAX(_xlfn.ANCHORARRAY(NV101)),_xlfn.ANCHORARRAY(NV101),NV$4:OE$4,""),"")</f>
        <v/>
      </c>
      <c r="OI101" t="str">
        <f t="shared" si="17"/>
        <v/>
      </c>
    </row>
    <row r="102" spans="1:399" x14ac:dyDescent="0.3">
      <c r="A102" s="2"/>
      <c r="B102" s="2" t="str">
        <f t="shared" si="9"/>
        <v>LLC</v>
      </c>
      <c r="C102" s="2" t="str">
        <f t="shared" si="10"/>
        <v>LLC</v>
      </c>
      <c r="D102" s="2" t="str">
        <f t="shared" si="11"/>
        <v>LLC</v>
      </c>
      <c r="E102" s="2" t="str">
        <f t="shared" si="12"/>
        <v/>
      </c>
      <c r="F102" s="2">
        <f t="shared" si="13"/>
        <v>0</v>
      </c>
      <c r="G102" s="2">
        <f t="shared" si="14"/>
        <v>0</v>
      </c>
      <c r="H102" s="2">
        <f t="shared" si="15"/>
        <v>0</v>
      </c>
      <c r="I102" s="2">
        <f t="shared" si="16"/>
        <v>0</v>
      </c>
      <c r="NH102" cm="1">
        <f t="array" ref="NH102:NJ102">SUMIFS($J102:$GG102,$J$1:$GG$1,NH$3:NJ$3)</f>
        <v>0</v>
      </c>
      <c r="NI102">
        <v>0</v>
      </c>
      <c r="NJ102">
        <v>0</v>
      </c>
      <c r="NK102" cm="1">
        <f t="array" ref="NK102">IFERROR(MAX((_xlfn.ANCHORARRAY(NH102)-AVERAGE(_xlfn.ANCHORARRAY(NH102)))/ AVERAGE(_xlfn.ANCHORARRAY(NH102))),0)</f>
        <v>0</v>
      </c>
      <c r="NL102" t="str" cm="1">
        <f t="array" ref="NL102">IF(NK102&gt;$NL$1,_xlfn.XLOOKUP(MAX(_xlfn.ANCHORARRAY(NH102)),_xlfn.ANCHORARRAY(NH102),NH$4:NJ$4,""),"")</f>
        <v/>
      </c>
      <c r="NN102" cm="1">
        <f t="array" ref="NN102:NR102">SUMIFS($J102:$GG102,$J$3:$GG$3,NN$3:NR$3)</f>
        <v>0</v>
      </c>
      <c r="NO102">
        <v>0</v>
      </c>
      <c r="NP102">
        <v>0</v>
      </c>
      <c r="NQ102">
        <v>0</v>
      </c>
      <c r="NR102">
        <v>0</v>
      </c>
      <c r="NS102" cm="1">
        <f t="array" ref="NS102">IFERROR(MAX((_xlfn.ANCHORARRAY(NN102)-AVERAGE(_xlfn.ANCHORARRAY(NN102)))/ AVERAGE(_xlfn.ANCHORARRAY(NN102))),0)</f>
        <v>0</v>
      </c>
      <c r="NT102" t="str" cm="1">
        <f t="array" ref="NT102">IF(AND(NS102&gt;$NT$1,NL102&lt;&gt;""),_xlfn.XLOOKUP(MAX(_xlfn.ANCHORARRAY(NN102)),_xlfn.ANCHORARRAY(NN102),NN$4:NR$4,""),"")</f>
        <v/>
      </c>
      <c r="NV102" cm="1">
        <f t="array" ref="NV102:OE102">SUMIFS($J102:$GG102,$J$2:$GG$2,NV$3:OE$3)</f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 cm="1">
        <f t="array" ref="OF102">IFERROR(MAX((_xlfn.ANCHORARRAY(NV102)-AVERAGE(_xlfn.ANCHORARRAY(NV102)))/ AVERAGE(_xlfn.ANCHORARRAY(NV102))),0)</f>
        <v>0</v>
      </c>
      <c r="OG102" t="str" cm="1">
        <f t="array" ref="OG102">IF(OF102&gt;$OG$1,_xlfn.XLOOKUP(MAX(_xlfn.ANCHORARRAY(NV102)),_xlfn.ANCHORARRAY(NV102),NV$4:OE$4,""),"")</f>
        <v/>
      </c>
      <c r="OI102" t="str">
        <f t="shared" si="17"/>
        <v/>
      </c>
    </row>
    <row r="103" spans="1:399" x14ac:dyDescent="0.3">
      <c r="A103" s="2"/>
      <c r="B103" s="2" t="str">
        <f t="shared" si="9"/>
        <v>LLC</v>
      </c>
      <c r="C103" s="2" t="str">
        <f t="shared" si="10"/>
        <v>LLC</v>
      </c>
      <c r="D103" s="2" t="str">
        <f t="shared" si="11"/>
        <v>LLC</v>
      </c>
      <c r="E103" s="2" t="str">
        <f t="shared" si="12"/>
        <v/>
      </c>
      <c r="F103" s="2">
        <f t="shared" si="13"/>
        <v>0</v>
      </c>
      <c r="G103" s="2">
        <f t="shared" si="14"/>
        <v>0</v>
      </c>
      <c r="H103" s="2">
        <f t="shared" si="15"/>
        <v>0</v>
      </c>
      <c r="I103" s="2">
        <f t="shared" si="16"/>
        <v>0</v>
      </c>
      <c r="NH103" cm="1">
        <f t="array" ref="NH103:NJ103">SUMIFS($J103:$GG103,$J$1:$GG$1,NH$3:NJ$3)</f>
        <v>0</v>
      </c>
      <c r="NI103">
        <v>0</v>
      </c>
      <c r="NJ103">
        <v>0</v>
      </c>
      <c r="NK103" cm="1">
        <f t="array" ref="NK103">IFERROR(MAX((_xlfn.ANCHORARRAY(NH103)-AVERAGE(_xlfn.ANCHORARRAY(NH103)))/ AVERAGE(_xlfn.ANCHORARRAY(NH103))),0)</f>
        <v>0</v>
      </c>
      <c r="NL103" t="str" cm="1">
        <f t="array" ref="NL103">IF(NK103&gt;$NL$1,_xlfn.XLOOKUP(MAX(_xlfn.ANCHORARRAY(NH103)),_xlfn.ANCHORARRAY(NH103),NH$4:NJ$4,""),"")</f>
        <v/>
      </c>
      <c r="NN103" cm="1">
        <f t="array" ref="NN103:NR103">SUMIFS($J103:$GG103,$J$3:$GG$3,NN$3:NR$3)</f>
        <v>0</v>
      </c>
      <c r="NO103">
        <v>0</v>
      </c>
      <c r="NP103">
        <v>0</v>
      </c>
      <c r="NQ103">
        <v>0</v>
      </c>
      <c r="NR103">
        <v>0</v>
      </c>
      <c r="NS103" cm="1">
        <f t="array" ref="NS103">IFERROR(MAX((_xlfn.ANCHORARRAY(NN103)-AVERAGE(_xlfn.ANCHORARRAY(NN103)))/ AVERAGE(_xlfn.ANCHORARRAY(NN103))),0)</f>
        <v>0</v>
      </c>
      <c r="NT103" t="str" cm="1">
        <f t="array" ref="NT103">IF(AND(NS103&gt;$NT$1,NL103&lt;&gt;""),_xlfn.XLOOKUP(MAX(_xlfn.ANCHORARRAY(NN103)),_xlfn.ANCHORARRAY(NN103),NN$4:NR$4,""),"")</f>
        <v/>
      </c>
      <c r="NV103" cm="1">
        <f t="array" ref="NV103:OE103">SUMIFS($J103:$GG103,$J$2:$GG$2,NV$3:OE$3)</f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 cm="1">
        <f t="array" ref="OF103">IFERROR(MAX((_xlfn.ANCHORARRAY(NV103)-AVERAGE(_xlfn.ANCHORARRAY(NV103)))/ AVERAGE(_xlfn.ANCHORARRAY(NV103))),0)</f>
        <v>0</v>
      </c>
      <c r="OG103" t="str" cm="1">
        <f t="array" ref="OG103">IF(OF103&gt;$OG$1,_xlfn.XLOOKUP(MAX(_xlfn.ANCHORARRAY(NV103)),_xlfn.ANCHORARRAY(NV103),NV$4:OE$4,""),"")</f>
        <v/>
      </c>
      <c r="OI103" t="str">
        <f t="shared" si="17"/>
        <v/>
      </c>
    </row>
    <row r="104" spans="1:399" x14ac:dyDescent="0.3">
      <c r="A104" s="2"/>
      <c r="B104" s="2" t="str">
        <f t="shared" si="9"/>
        <v>LLC</v>
      </c>
      <c r="C104" s="2" t="str">
        <f t="shared" si="10"/>
        <v>LLC</v>
      </c>
      <c r="D104" s="2" t="str">
        <f t="shared" si="11"/>
        <v>LLC</v>
      </c>
      <c r="E104" s="2" t="str">
        <f t="shared" si="12"/>
        <v/>
      </c>
      <c r="F104" s="2">
        <f t="shared" si="13"/>
        <v>0</v>
      </c>
      <c r="G104" s="2">
        <f t="shared" si="14"/>
        <v>0</v>
      </c>
      <c r="H104" s="2">
        <f t="shared" si="15"/>
        <v>0</v>
      </c>
      <c r="I104" s="2">
        <f t="shared" si="16"/>
        <v>0</v>
      </c>
      <c r="NH104" cm="1">
        <f t="array" ref="NH104:NJ104">SUMIFS($J104:$GG104,$J$1:$GG$1,NH$3:NJ$3)</f>
        <v>0</v>
      </c>
      <c r="NI104">
        <v>0</v>
      </c>
      <c r="NJ104">
        <v>0</v>
      </c>
      <c r="NK104" cm="1">
        <f t="array" ref="NK104">IFERROR(MAX((_xlfn.ANCHORARRAY(NH104)-AVERAGE(_xlfn.ANCHORARRAY(NH104)))/ AVERAGE(_xlfn.ANCHORARRAY(NH104))),0)</f>
        <v>0</v>
      </c>
      <c r="NL104" t="str" cm="1">
        <f t="array" ref="NL104">IF(NK104&gt;$NL$1,_xlfn.XLOOKUP(MAX(_xlfn.ANCHORARRAY(NH104)),_xlfn.ANCHORARRAY(NH104),NH$4:NJ$4,""),"")</f>
        <v/>
      </c>
      <c r="NN104" cm="1">
        <f t="array" ref="NN104:NR104">SUMIFS($J104:$GG104,$J$3:$GG$3,NN$3:NR$3)</f>
        <v>0</v>
      </c>
      <c r="NO104">
        <v>0</v>
      </c>
      <c r="NP104">
        <v>0</v>
      </c>
      <c r="NQ104">
        <v>0</v>
      </c>
      <c r="NR104">
        <v>0</v>
      </c>
      <c r="NS104" cm="1">
        <f t="array" ref="NS104">IFERROR(MAX((_xlfn.ANCHORARRAY(NN104)-AVERAGE(_xlfn.ANCHORARRAY(NN104)))/ AVERAGE(_xlfn.ANCHORARRAY(NN104))),0)</f>
        <v>0</v>
      </c>
      <c r="NT104" t="str" cm="1">
        <f t="array" ref="NT104">IF(AND(NS104&gt;$NT$1,NL104&lt;&gt;""),_xlfn.XLOOKUP(MAX(_xlfn.ANCHORARRAY(NN104)),_xlfn.ANCHORARRAY(NN104),NN$4:NR$4,""),"")</f>
        <v/>
      </c>
      <c r="NV104" cm="1">
        <f t="array" ref="NV104:OE104">SUMIFS($J104:$GG104,$J$2:$GG$2,NV$3:OE$3)</f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 cm="1">
        <f t="array" ref="OF104">IFERROR(MAX((_xlfn.ANCHORARRAY(NV104)-AVERAGE(_xlfn.ANCHORARRAY(NV104)))/ AVERAGE(_xlfn.ANCHORARRAY(NV104))),0)</f>
        <v>0</v>
      </c>
      <c r="OG104" t="str" cm="1">
        <f t="array" ref="OG104">IF(OF104&gt;$OG$1,_xlfn.XLOOKUP(MAX(_xlfn.ANCHORARRAY(NV104)),_xlfn.ANCHORARRAY(NV104),NV$4:OE$4,""),"")</f>
        <v/>
      </c>
      <c r="OI104" t="str">
        <f t="shared" si="17"/>
        <v/>
      </c>
    </row>
    <row r="105" spans="1:399" x14ac:dyDescent="0.3">
      <c r="A105" s="2"/>
      <c r="B105" s="2" t="str">
        <f t="shared" si="9"/>
        <v>LLC</v>
      </c>
      <c r="C105" s="2" t="str">
        <f t="shared" si="10"/>
        <v>LLC</v>
      </c>
      <c r="D105" s="2" t="str">
        <f t="shared" si="11"/>
        <v>LLC</v>
      </c>
      <c r="E105" s="2" t="str">
        <f t="shared" si="12"/>
        <v/>
      </c>
      <c r="F105" s="2">
        <f t="shared" si="13"/>
        <v>0</v>
      </c>
      <c r="G105" s="2">
        <f t="shared" si="14"/>
        <v>0</v>
      </c>
      <c r="H105" s="2">
        <f t="shared" si="15"/>
        <v>0</v>
      </c>
      <c r="I105" s="2">
        <f t="shared" si="16"/>
        <v>0</v>
      </c>
      <c r="NH105" cm="1">
        <f t="array" ref="NH105:NJ105">SUMIFS($J105:$GG105,$J$1:$GG$1,NH$3:NJ$3)</f>
        <v>0</v>
      </c>
      <c r="NI105">
        <v>0</v>
      </c>
      <c r="NJ105">
        <v>0</v>
      </c>
      <c r="NK105" cm="1">
        <f t="array" ref="NK105">IFERROR(MAX((_xlfn.ANCHORARRAY(NH105)-AVERAGE(_xlfn.ANCHORARRAY(NH105)))/ AVERAGE(_xlfn.ANCHORARRAY(NH105))),0)</f>
        <v>0</v>
      </c>
      <c r="NL105" t="str" cm="1">
        <f t="array" ref="NL105">IF(NK105&gt;$NL$1,_xlfn.XLOOKUP(MAX(_xlfn.ANCHORARRAY(NH105)),_xlfn.ANCHORARRAY(NH105),NH$4:NJ$4,""),"")</f>
        <v/>
      </c>
      <c r="NN105" cm="1">
        <f t="array" ref="NN105:NR105">SUMIFS($J105:$GG105,$J$3:$GG$3,NN$3:NR$3)</f>
        <v>0</v>
      </c>
      <c r="NO105">
        <v>0</v>
      </c>
      <c r="NP105">
        <v>0</v>
      </c>
      <c r="NQ105">
        <v>0</v>
      </c>
      <c r="NR105">
        <v>0</v>
      </c>
      <c r="NS105" cm="1">
        <f t="array" ref="NS105">IFERROR(MAX((_xlfn.ANCHORARRAY(NN105)-AVERAGE(_xlfn.ANCHORARRAY(NN105)))/ AVERAGE(_xlfn.ANCHORARRAY(NN105))),0)</f>
        <v>0</v>
      </c>
      <c r="NT105" t="str" cm="1">
        <f t="array" ref="NT105">IF(AND(NS105&gt;$NT$1,NL105&lt;&gt;""),_xlfn.XLOOKUP(MAX(_xlfn.ANCHORARRAY(NN105)),_xlfn.ANCHORARRAY(NN105),NN$4:NR$4,""),"")</f>
        <v/>
      </c>
      <c r="NV105" cm="1">
        <f t="array" ref="NV105:OE105">SUMIFS($J105:$GG105,$J$2:$GG$2,NV$3:OE$3)</f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 cm="1">
        <f t="array" ref="OF105">IFERROR(MAX((_xlfn.ANCHORARRAY(NV105)-AVERAGE(_xlfn.ANCHORARRAY(NV105)))/ AVERAGE(_xlfn.ANCHORARRAY(NV105))),0)</f>
        <v>0</v>
      </c>
      <c r="OG105" t="str" cm="1">
        <f t="array" ref="OG105">IF(OF105&gt;$OG$1,_xlfn.XLOOKUP(MAX(_xlfn.ANCHORARRAY(NV105)),_xlfn.ANCHORARRAY(NV105),NV$4:OE$4,""),"")</f>
        <v/>
      </c>
      <c r="OI105" t="str">
        <f t="shared" si="17"/>
        <v/>
      </c>
    </row>
    <row r="106" spans="1:399" x14ac:dyDescent="0.3">
      <c r="A106" s="2"/>
      <c r="B106" s="2" t="str">
        <f t="shared" si="9"/>
        <v>LLC</v>
      </c>
      <c r="C106" s="2" t="str">
        <f t="shared" si="10"/>
        <v>LLC</v>
      </c>
      <c r="D106" s="2" t="str">
        <f t="shared" si="11"/>
        <v>LLC</v>
      </c>
      <c r="E106" s="2" t="str">
        <f t="shared" si="12"/>
        <v/>
      </c>
      <c r="F106" s="2">
        <f t="shared" si="13"/>
        <v>0</v>
      </c>
      <c r="G106" s="2">
        <f t="shared" si="14"/>
        <v>0</v>
      </c>
      <c r="H106" s="2">
        <f t="shared" si="15"/>
        <v>0</v>
      </c>
      <c r="I106" s="2">
        <f t="shared" si="16"/>
        <v>0</v>
      </c>
      <c r="NH106" cm="1">
        <f t="array" ref="NH106:NJ106">SUMIFS($J106:$GG106,$J$1:$GG$1,NH$3:NJ$3)</f>
        <v>0</v>
      </c>
      <c r="NI106">
        <v>0</v>
      </c>
      <c r="NJ106">
        <v>0</v>
      </c>
      <c r="NK106" cm="1">
        <f t="array" ref="NK106">IFERROR(MAX((_xlfn.ANCHORARRAY(NH106)-AVERAGE(_xlfn.ANCHORARRAY(NH106)))/ AVERAGE(_xlfn.ANCHORARRAY(NH106))),0)</f>
        <v>0</v>
      </c>
      <c r="NL106" t="str" cm="1">
        <f t="array" ref="NL106">IF(NK106&gt;$NL$1,_xlfn.XLOOKUP(MAX(_xlfn.ANCHORARRAY(NH106)),_xlfn.ANCHORARRAY(NH106),NH$4:NJ$4,""),"")</f>
        <v/>
      </c>
      <c r="NN106" cm="1">
        <f t="array" ref="NN106:NR106">SUMIFS($J106:$GG106,$J$3:$GG$3,NN$3:NR$3)</f>
        <v>0</v>
      </c>
      <c r="NO106">
        <v>0</v>
      </c>
      <c r="NP106">
        <v>0</v>
      </c>
      <c r="NQ106">
        <v>0</v>
      </c>
      <c r="NR106">
        <v>0</v>
      </c>
      <c r="NS106" cm="1">
        <f t="array" ref="NS106">IFERROR(MAX((_xlfn.ANCHORARRAY(NN106)-AVERAGE(_xlfn.ANCHORARRAY(NN106)))/ AVERAGE(_xlfn.ANCHORARRAY(NN106))),0)</f>
        <v>0</v>
      </c>
      <c r="NT106" t="str" cm="1">
        <f t="array" ref="NT106">IF(AND(NS106&gt;$NT$1,NL106&lt;&gt;""),_xlfn.XLOOKUP(MAX(_xlfn.ANCHORARRAY(NN106)),_xlfn.ANCHORARRAY(NN106),NN$4:NR$4,""),"")</f>
        <v/>
      </c>
      <c r="NV106" cm="1">
        <f t="array" ref="NV106:OE106">SUMIFS($J106:$GG106,$J$2:$GG$2,NV$3:OE$3)</f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 cm="1">
        <f t="array" ref="OF106">IFERROR(MAX((_xlfn.ANCHORARRAY(NV106)-AVERAGE(_xlfn.ANCHORARRAY(NV106)))/ AVERAGE(_xlfn.ANCHORARRAY(NV106))),0)</f>
        <v>0</v>
      </c>
      <c r="OG106" t="str" cm="1">
        <f t="array" ref="OG106">IF(OF106&gt;$OG$1,_xlfn.XLOOKUP(MAX(_xlfn.ANCHORARRAY(NV106)),_xlfn.ANCHORARRAY(NV106),NV$4:OE$4,""),"")</f>
        <v/>
      </c>
      <c r="OI106" t="str">
        <f t="shared" si="17"/>
        <v/>
      </c>
    </row>
    <row r="107" spans="1:399" x14ac:dyDescent="0.3">
      <c r="A107" s="2"/>
      <c r="B107" s="2" t="str">
        <f t="shared" si="9"/>
        <v>LLC</v>
      </c>
      <c r="C107" s="2" t="str">
        <f t="shared" si="10"/>
        <v>LLC</v>
      </c>
      <c r="D107" s="2" t="str">
        <f t="shared" si="11"/>
        <v>LLC</v>
      </c>
      <c r="E107" s="2" t="str">
        <f t="shared" si="12"/>
        <v/>
      </c>
      <c r="F107" s="2">
        <f t="shared" si="13"/>
        <v>0</v>
      </c>
      <c r="G107" s="2">
        <f t="shared" si="14"/>
        <v>0</v>
      </c>
      <c r="H107" s="2">
        <f t="shared" si="15"/>
        <v>0</v>
      </c>
      <c r="I107" s="2">
        <f t="shared" si="16"/>
        <v>0</v>
      </c>
      <c r="NH107" cm="1">
        <f t="array" ref="NH107:NJ107">SUMIFS($J107:$GG107,$J$1:$GG$1,NH$3:NJ$3)</f>
        <v>0</v>
      </c>
      <c r="NI107">
        <v>0</v>
      </c>
      <c r="NJ107">
        <v>0</v>
      </c>
      <c r="NK107" cm="1">
        <f t="array" ref="NK107">IFERROR(MAX((_xlfn.ANCHORARRAY(NH107)-AVERAGE(_xlfn.ANCHORARRAY(NH107)))/ AVERAGE(_xlfn.ANCHORARRAY(NH107))),0)</f>
        <v>0</v>
      </c>
      <c r="NL107" t="str" cm="1">
        <f t="array" ref="NL107">IF(NK107&gt;$NL$1,_xlfn.XLOOKUP(MAX(_xlfn.ANCHORARRAY(NH107)),_xlfn.ANCHORARRAY(NH107),NH$4:NJ$4,""),"")</f>
        <v/>
      </c>
      <c r="NN107" cm="1">
        <f t="array" ref="NN107:NR107">SUMIFS($J107:$GG107,$J$3:$GG$3,NN$3:NR$3)</f>
        <v>0</v>
      </c>
      <c r="NO107">
        <v>0</v>
      </c>
      <c r="NP107">
        <v>0</v>
      </c>
      <c r="NQ107">
        <v>0</v>
      </c>
      <c r="NR107">
        <v>0</v>
      </c>
      <c r="NS107" cm="1">
        <f t="array" ref="NS107">IFERROR(MAX((_xlfn.ANCHORARRAY(NN107)-AVERAGE(_xlfn.ANCHORARRAY(NN107)))/ AVERAGE(_xlfn.ANCHORARRAY(NN107))),0)</f>
        <v>0</v>
      </c>
      <c r="NT107" t="str" cm="1">
        <f t="array" ref="NT107">IF(AND(NS107&gt;$NT$1,NL107&lt;&gt;""),_xlfn.XLOOKUP(MAX(_xlfn.ANCHORARRAY(NN107)),_xlfn.ANCHORARRAY(NN107),NN$4:NR$4,""),"")</f>
        <v/>
      </c>
      <c r="NV107" cm="1">
        <f t="array" ref="NV107:OE107">SUMIFS($J107:$GG107,$J$2:$GG$2,NV$3:OE$3)</f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 cm="1">
        <f t="array" ref="OF107">IFERROR(MAX((_xlfn.ANCHORARRAY(NV107)-AVERAGE(_xlfn.ANCHORARRAY(NV107)))/ AVERAGE(_xlfn.ANCHORARRAY(NV107))),0)</f>
        <v>0</v>
      </c>
      <c r="OG107" t="str" cm="1">
        <f t="array" ref="OG107">IF(OF107&gt;$OG$1,_xlfn.XLOOKUP(MAX(_xlfn.ANCHORARRAY(NV107)),_xlfn.ANCHORARRAY(NV107),NV$4:OE$4,""),"")</f>
        <v/>
      </c>
      <c r="OI107" t="str">
        <f t="shared" si="17"/>
        <v/>
      </c>
    </row>
    <row r="108" spans="1:399" x14ac:dyDescent="0.3">
      <c r="A108" s="2"/>
      <c r="B108" s="2" t="str">
        <f t="shared" si="9"/>
        <v>LLC</v>
      </c>
      <c r="C108" s="2" t="str">
        <f t="shared" si="10"/>
        <v>LLC</v>
      </c>
      <c r="D108" s="2" t="str">
        <f t="shared" si="11"/>
        <v>LLC</v>
      </c>
      <c r="E108" s="2" t="str">
        <f t="shared" si="12"/>
        <v/>
      </c>
      <c r="F108" s="2">
        <f t="shared" si="13"/>
        <v>0</v>
      </c>
      <c r="G108" s="2">
        <f t="shared" si="14"/>
        <v>0</v>
      </c>
      <c r="H108" s="2">
        <f t="shared" si="15"/>
        <v>0</v>
      </c>
      <c r="I108" s="2">
        <f t="shared" si="16"/>
        <v>0</v>
      </c>
      <c r="NH108" cm="1">
        <f t="array" ref="NH108:NJ108">SUMIFS($J108:$GG108,$J$1:$GG$1,NH$3:NJ$3)</f>
        <v>0</v>
      </c>
      <c r="NI108">
        <v>0</v>
      </c>
      <c r="NJ108">
        <v>0</v>
      </c>
      <c r="NK108" cm="1">
        <f t="array" ref="NK108">IFERROR(MAX((_xlfn.ANCHORARRAY(NH108)-AVERAGE(_xlfn.ANCHORARRAY(NH108)))/ AVERAGE(_xlfn.ANCHORARRAY(NH108))),0)</f>
        <v>0</v>
      </c>
      <c r="NL108" t="str" cm="1">
        <f t="array" ref="NL108">IF(NK108&gt;$NL$1,_xlfn.XLOOKUP(MAX(_xlfn.ANCHORARRAY(NH108)),_xlfn.ANCHORARRAY(NH108),NH$4:NJ$4,""),"")</f>
        <v/>
      </c>
      <c r="NN108" cm="1">
        <f t="array" ref="NN108:NR108">SUMIFS($J108:$GG108,$J$3:$GG$3,NN$3:NR$3)</f>
        <v>0</v>
      </c>
      <c r="NO108">
        <v>0</v>
      </c>
      <c r="NP108">
        <v>0</v>
      </c>
      <c r="NQ108">
        <v>0</v>
      </c>
      <c r="NR108">
        <v>0</v>
      </c>
      <c r="NS108" cm="1">
        <f t="array" ref="NS108">IFERROR(MAX((_xlfn.ANCHORARRAY(NN108)-AVERAGE(_xlfn.ANCHORARRAY(NN108)))/ AVERAGE(_xlfn.ANCHORARRAY(NN108))),0)</f>
        <v>0</v>
      </c>
      <c r="NT108" t="str" cm="1">
        <f t="array" ref="NT108">IF(AND(NS108&gt;$NT$1,NL108&lt;&gt;""),_xlfn.XLOOKUP(MAX(_xlfn.ANCHORARRAY(NN108)),_xlfn.ANCHORARRAY(NN108),NN$4:NR$4,""),"")</f>
        <v/>
      </c>
      <c r="NV108" cm="1">
        <f t="array" ref="NV108:OE108">SUMIFS($J108:$GG108,$J$2:$GG$2,NV$3:OE$3)</f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 cm="1">
        <f t="array" ref="OF108">IFERROR(MAX((_xlfn.ANCHORARRAY(NV108)-AVERAGE(_xlfn.ANCHORARRAY(NV108)))/ AVERAGE(_xlfn.ANCHORARRAY(NV108))),0)</f>
        <v>0</v>
      </c>
      <c r="OG108" t="str" cm="1">
        <f t="array" ref="OG108">IF(OF108&gt;$OG$1,_xlfn.XLOOKUP(MAX(_xlfn.ANCHORARRAY(NV108)),_xlfn.ANCHORARRAY(NV108),NV$4:OE$4,""),"")</f>
        <v/>
      </c>
      <c r="OI108" t="str">
        <f t="shared" si="17"/>
        <v/>
      </c>
    </row>
    <row r="109" spans="1:399" x14ac:dyDescent="0.3">
      <c r="A109" s="2"/>
      <c r="B109" s="2" t="str">
        <f t="shared" si="9"/>
        <v>LLC</v>
      </c>
      <c r="C109" s="2" t="str">
        <f t="shared" si="10"/>
        <v>LLC</v>
      </c>
      <c r="D109" s="2" t="str">
        <f t="shared" si="11"/>
        <v>LLC</v>
      </c>
      <c r="E109" s="2" t="str">
        <f t="shared" si="12"/>
        <v/>
      </c>
      <c r="F109" s="2">
        <f t="shared" si="13"/>
        <v>0</v>
      </c>
      <c r="G109" s="2">
        <f t="shared" si="14"/>
        <v>0</v>
      </c>
      <c r="H109" s="2">
        <f t="shared" si="15"/>
        <v>0</v>
      </c>
      <c r="I109" s="2">
        <f t="shared" si="16"/>
        <v>0</v>
      </c>
      <c r="NH109" cm="1">
        <f t="array" ref="NH109:NJ109">SUMIFS($J109:$GG109,$J$1:$GG$1,NH$3:NJ$3)</f>
        <v>0</v>
      </c>
      <c r="NI109">
        <v>0</v>
      </c>
      <c r="NJ109">
        <v>0</v>
      </c>
      <c r="NK109" cm="1">
        <f t="array" ref="NK109">IFERROR(MAX((_xlfn.ANCHORARRAY(NH109)-AVERAGE(_xlfn.ANCHORARRAY(NH109)))/ AVERAGE(_xlfn.ANCHORARRAY(NH109))),0)</f>
        <v>0</v>
      </c>
      <c r="NL109" t="str" cm="1">
        <f t="array" ref="NL109">IF(NK109&gt;$NL$1,_xlfn.XLOOKUP(MAX(_xlfn.ANCHORARRAY(NH109)),_xlfn.ANCHORARRAY(NH109),NH$4:NJ$4,""),"")</f>
        <v/>
      </c>
      <c r="NN109" cm="1">
        <f t="array" ref="NN109:NR109">SUMIFS($J109:$GG109,$J$3:$GG$3,NN$3:NR$3)</f>
        <v>0</v>
      </c>
      <c r="NO109">
        <v>0</v>
      </c>
      <c r="NP109">
        <v>0</v>
      </c>
      <c r="NQ109">
        <v>0</v>
      </c>
      <c r="NR109">
        <v>0</v>
      </c>
      <c r="NS109" cm="1">
        <f t="array" ref="NS109">IFERROR(MAX((_xlfn.ANCHORARRAY(NN109)-AVERAGE(_xlfn.ANCHORARRAY(NN109)))/ AVERAGE(_xlfn.ANCHORARRAY(NN109))),0)</f>
        <v>0</v>
      </c>
      <c r="NT109" t="str" cm="1">
        <f t="array" ref="NT109">IF(AND(NS109&gt;$NT$1,NL109&lt;&gt;""),_xlfn.XLOOKUP(MAX(_xlfn.ANCHORARRAY(NN109)),_xlfn.ANCHORARRAY(NN109),NN$4:NR$4,""),"")</f>
        <v/>
      </c>
      <c r="NV109" cm="1">
        <f t="array" ref="NV109:OE109">SUMIFS($J109:$GG109,$J$2:$GG$2,NV$3:OE$3)</f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 cm="1">
        <f t="array" ref="OF109">IFERROR(MAX((_xlfn.ANCHORARRAY(NV109)-AVERAGE(_xlfn.ANCHORARRAY(NV109)))/ AVERAGE(_xlfn.ANCHORARRAY(NV109))),0)</f>
        <v>0</v>
      </c>
      <c r="OG109" t="str" cm="1">
        <f t="array" ref="OG109">IF(OF109&gt;$OG$1,_xlfn.XLOOKUP(MAX(_xlfn.ANCHORARRAY(NV109)),_xlfn.ANCHORARRAY(NV109),NV$4:OE$4,""),"")</f>
        <v/>
      </c>
      <c r="OI109" t="str">
        <f t="shared" si="17"/>
        <v/>
      </c>
    </row>
    <row r="110" spans="1:399" x14ac:dyDescent="0.3">
      <c r="A110" s="2"/>
      <c r="B110" s="2" t="str">
        <f t="shared" si="9"/>
        <v>LLC</v>
      </c>
      <c r="C110" s="2" t="str">
        <f t="shared" si="10"/>
        <v>LLC</v>
      </c>
      <c r="D110" s="2" t="str">
        <f t="shared" si="11"/>
        <v>LLC</v>
      </c>
      <c r="E110" s="2" t="str">
        <f t="shared" si="12"/>
        <v/>
      </c>
      <c r="F110" s="2">
        <f t="shared" si="13"/>
        <v>0</v>
      </c>
      <c r="G110" s="2">
        <f t="shared" si="14"/>
        <v>0</v>
      </c>
      <c r="H110" s="2">
        <f t="shared" si="15"/>
        <v>0</v>
      </c>
      <c r="I110" s="2">
        <f t="shared" si="16"/>
        <v>0</v>
      </c>
      <c r="NH110" cm="1">
        <f t="array" ref="NH110:NJ110">SUMIFS($J110:$GG110,$J$1:$GG$1,NH$3:NJ$3)</f>
        <v>0</v>
      </c>
      <c r="NI110">
        <v>0</v>
      </c>
      <c r="NJ110">
        <v>0</v>
      </c>
      <c r="NK110" cm="1">
        <f t="array" ref="NK110">IFERROR(MAX((_xlfn.ANCHORARRAY(NH110)-AVERAGE(_xlfn.ANCHORARRAY(NH110)))/ AVERAGE(_xlfn.ANCHORARRAY(NH110))),0)</f>
        <v>0</v>
      </c>
      <c r="NL110" t="str" cm="1">
        <f t="array" ref="NL110">IF(NK110&gt;$NL$1,_xlfn.XLOOKUP(MAX(_xlfn.ANCHORARRAY(NH110)),_xlfn.ANCHORARRAY(NH110),NH$4:NJ$4,""),"")</f>
        <v/>
      </c>
      <c r="NN110" cm="1">
        <f t="array" ref="NN110:NR110">SUMIFS($J110:$GG110,$J$3:$GG$3,NN$3:NR$3)</f>
        <v>0</v>
      </c>
      <c r="NO110">
        <v>0</v>
      </c>
      <c r="NP110">
        <v>0</v>
      </c>
      <c r="NQ110">
        <v>0</v>
      </c>
      <c r="NR110">
        <v>0</v>
      </c>
      <c r="NS110" cm="1">
        <f t="array" ref="NS110">IFERROR(MAX((_xlfn.ANCHORARRAY(NN110)-AVERAGE(_xlfn.ANCHORARRAY(NN110)))/ AVERAGE(_xlfn.ANCHORARRAY(NN110))),0)</f>
        <v>0</v>
      </c>
      <c r="NT110" t="str" cm="1">
        <f t="array" ref="NT110">IF(AND(NS110&gt;$NT$1,NL110&lt;&gt;""),_xlfn.XLOOKUP(MAX(_xlfn.ANCHORARRAY(NN110)),_xlfn.ANCHORARRAY(NN110),NN$4:NR$4,""),"")</f>
        <v/>
      </c>
      <c r="NV110" cm="1">
        <f t="array" ref="NV110:OE110">SUMIFS($J110:$GG110,$J$2:$GG$2,NV$3:OE$3)</f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 cm="1">
        <f t="array" ref="OF110">IFERROR(MAX((_xlfn.ANCHORARRAY(NV110)-AVERAGE(_xlfn.ANCHORARRAY(NV110)))/ AVERAGE(_xlfn.ANCHORARRAY(NV110))),0)</f>
        <v>0</v>
      </c>
      <c r="OG110" t="str" cm="1">
        <f t="array" ref="OG110">IF(OF110&gt;$OG$1,_xlfn.XLOOKUP(MAX(_xlfn.ANCHORARRAY(NV110)),_xlfn.ANCHORARRAY(NV110),NV$4:OE$4,""),"")</f>
        <v/>
      </c>
      <c r="OI110" t="str">
        <f t="shared" si="17"/>
        <v/>
      </c>
    </row>
    <row r="111" spans="1:399" x14ac:dyDescent="0.3">
      <c r="A111" s="2"/>
      <c r="B111" s="2" t="str">
        <f t="shared" si="9"/>
        <v>LLC</v>
      </c>
      <c r="C111" s="2" t="str">
        <f t="shared" si="10"/>
        <v>LLC</v>
      </c>
      <c r="D111" s="2" t="str">
        <f t="shared" si="11"/>
        <v>LLC</v>
      </c>
      <c r="E111" s="2" t="str">
        <f t="shared" si="12"/>
        <v/>
      </c>
      <c r="F111" s="2">
        <f t="shared" si="13"/>
        <v>0</v>
      </c>
      <c r="G111" s="2">
        <f t="shared" si="14"/>
        <v>0</v>
      </c>
      <c r="H111" s="2">
        <f t="shared" si="15"/>
        <v>0</v>
      </c>
      <c r="I111" s="2">
        <f t="shared" si="16"/>
        <v>0</v>
      </c>
      <c r="NH111" cm="1">
        <f t="array" ref="NH111:NJ111">SUMIFS($J111:$GG111,$J$1:$GG$1,NH$3:NJ$3)</f>
        <v>0</v>
      </c>
      <c r="NI111">
        <v>0</v>
      </c>
      <c r="NJ111">
        <v>0</v>
      </c>
      <c r="NK111" cm="1">
        <f t="array" ref="NK111">IFERROR(MAX((_xlfn.ANCHORARRAY(NH111)-AVERAGE(_xlfn.ANCHORARRAY(NH111)))/ AVERAGE(_xlfn.ANCHORARRAY(NH111))),0)</f>
        <v>0</v>
      </c>
      <c r="NL111" t="str" cm="1">
        <f t="array" ref="NL111">IF(NK111&gt;$NL$1,_xlfn.XLOOKUP(MAX(_xlfn.ANCHORARRAY(NH111)),_xlfn.ANCHORARRAY(NH111),NH$4:NJ$4,""),"")</f>
        <v/>
      </c>
      <c r="NN111" cm="1">
        <f t="array" ref="NN111:NR111">SUMIFS($J111:$GG111,$J$3:$GG$3,NN$3:NR$3)</f>
        <v>0</v>
      </c>
      <c r="NO111">
        <v>0</v>
      </c>
      <c r="NP111">
        <v>0</v>
      </c>
      <c r="NQ111">
        <v>0</v>
      </c>
      <c r="NR111">
        <v>0</v>
      </c>
      <c r="NS111" cm="1">
        <f t="array" ref="NS111">IFERROR(MAX((_xlfn.ANCHORARRAY(NN111)-AVERAGE(_xlfn.ANCHORARRAY(NN111)))/ AVERAGE(_xlfn.ANCHORARRAY(NN111))),0)</f>
        <v>0</v>
      </c>
      <c r="NT111" t="str" cm="1">
        <f t="array" ref="NT111">IF(AND(NS111&gt;$NT$1,NL111&lt;&gt;""),_xlfn.XLOOKUP(MAX(_xlfn.ANCHORARRAY(NN111)),_xlfn.ANCHORARRAY(NN111),NN$4:NR$4,""),"")</f>
        <v/>
      </c>
      <c r="NV111" cm="1">
        <f t="array" ref="NV111:OE111">SUMIFS($J111:$GG111,$J$2:$GG$2,NV$3:OE$3)</f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 cm="1">
        <f t="array" ref="OF111">IFERROR(MAX((_xlfn.ANCHORARRAY(NV111)-AVERAGE(_xlfn.ANCHORARRAY(NV111)))/ AVERAGE(_xlfn.ANCHORARRAY(NV111))),0)</f>
        <v>0</v>
      </c>
      <c r="OG111" t="str" cm="1">
        <f t="array" ref="OG111">IF(OF111&gt;$OG$1,_xlfn.XLOOKUP(MAX(_xlfn.ANCHORARRAY(NV111)),_xlfn.ANCHORARRAY(NV111),NV$4:OE$4,""),"")</f>
        <v/>
      </c>
      <c r="OI111" t="str">
        <f t="shared" si="17"/>
        <v/>
      </c>
    </row>
    <row r="112" spans="1:399" x14ac:dyDescent="0.3">
      <c r="A112" s="2"/>
      <c r="B112" s="2" t="str">
        <f t="shared" si="9"/>
        <v>LLC</v>
      </c>
      <c r="C112" s="2" t="str">
        <f t="shared" si="10"/>
        <v>LLC</v>
      </c>
      <c r="D112" s="2" t="str">
        <f t="shared" si="11"/>
        <v>LLC</v>
      </c>
      <c r="E112" s="2" t="str">
        <f t="shared" si="12"/>
        <v/>
      </c>
      <c r="F112" s="2">
        <f t="shared" si="13"/>
        <v>0</v>
      </c>
      <c r="G112" s="2">
        <f t="shared" si="14"/>
        <v>0</v>
      </c>
      <c r="H112" s="2">
        <f t="shared" si="15"/>
        <v>0</v>
      </c>
      <c r="I112" s="2">
        <f t="shared" si="16"/>
        <v>0</v>
      </c>
      <c r="NH112" cm="1">
        <f t="array" ref="NH112:NJ112">SUMIFS($J112:$GG112,$J$1:$GG$1,NH$3:NJ$3)</f>
        <v>0</v>
      </c>
      <c r="NI112">
        <v>0</v>
      </c>
      <c r="NJ112">
        <v>0</v>
      </c>
      <c r="NK112" cm="1">
        <f t="array" ref="NK112">IFERROR(MAX((_xlfn.ANCHORARRAY(NH112)-AVERAGE(_xlfn.ANCHORARRAY(NH112)))/ AVERAGE(_xlfn.ANCHORARRAY(NH112))),0)</f>
        <v>0</v>
      </c>
      <c r="NL112" t="str" cm="1">
        <f t="array" ref="NL112">IF(NK112&gt;$NL$1,_xlfn.XLOOKUP(MAX(_xlfn.ANCHORARRAY(NH112)),_xlfn.ANCHORARRAY(NH112),NH$4:NJ$4,""),"")</f>
        <v/>
      </c>
      <c r="NN112" cm="1">
        <f t="array" ref="NN112:NR112">SUMIFS($J112:$GG112,$J$3:$GG$3,NN$3:NR$3)</f>
        <v>0</v>
      </c>
      <c r="NO112">
        <v>0</v>
      </c>
      <c r="NP112">
        <v>0</v>
      </c>
      <c r="NQ112">
        <v>0</v>
      </c>
      <c r="NR112">
        <v>0</v>
      </c>
      <c r="NS112" cm="1">
        <f t="array" ref="NS112">IFERROR(MAX((_xlfn.ANCHORARRAY(NN112)-AVERAGE(_xlfn.ANCHORARRAY(NN112)))/ AVERAGE(_xlfn.ANCHORARRAY(NN112))),0)</f>
        <v>0</v>
      </c>
      <c r="NT112" t="str" cm="1">
        <f t="array" ref="NT112">IF(AND(NS112&gt;$NT$1,NL112&lt;&gt;""),_xlfn.XLOOKUP(MAX(_xlfn.ANCHORARRAY(NN112)),_xlfn.ANCHORARRAY(NN112),NN$4:NR$4,""),"")</f>
        <v/>
      </c>
      <c r="NV112" cm="1">
        <f t="array" ref="NV112:OE112">SUMIFS($J112:$GG112,$J$2:$GG$2,NV$3:OE$3)</f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 cm="1">
        <f t="array" ref="OF112">IFERROR(MAX((_xlfn.ANCHORARRAY(NV112)-AVERAGE(_xlfn.ANCHORARRAY(NV112)))/ AVERAGE(_xlfn.ANCHORARRAY(NV112))),0)</f>
        <v>0</v>
      </c>
      <c r="OG112" t="str" cm="1">
        <f t="array" ref="OG112">IF(OF112&gt;$OG$1,_xlfn.XLOOKUP(MAX(_xlfn.ANCHORARRAY(NV112)),_xlfn.ANCHORARRAY(NV112),NV$4:OE$4,""),"")</f>
        <v/>
      </c>
      <c r="OI112" t="str">
        <f t="shared" si="17"/>
        <v/>
      </c>
    </row>
    <row r="113" spans="1:399" x14ac:dyDescent="0.3">
      <c r="A113" s="2"/>
      <c r="B113" s="2" t="str">
        <f t="shared" si="9"/>
        <v>LLC</v>
      </c>
      <c r="C113" s="2" t="str">
        <f t="shared" si="10"/>
        <v>LLC</v>
      </c>
      <c r="D113" s="2" t="str">
        <f t="shared" si="11"/>
        <v>LLC</v>
      </c>
      <c r="E113" s="2" t="str">
        <f t="shared" si="12"/>
        <v/>
      </c>
      <c r="F113" s="2">
        <f t="shared" si="13"/>
        <v>0</v>
      </c>
      <c r="G113" s="2">
        <f t="shared" si="14"/>
        <v>0</v>
      </c>
      <c r="H113" s="2">
        <f t="shared" si="15"/>
        <v>0</v>
      </c>
      <c r="I113" s="2">
        <f t="shared" si="16"/>
        <v>0</v>
      </c>
      <c r="NH113" cm="1">
        <f t="array" ref="NH113:NJ113">SUMIFS($J113:$GG113,$J$1:$GG$1,NH$3:NJ$3)</f>
        <v>0</v>
      </c>
      <c r="NI113">
        <v>0</v>
      </c>
      <c r="NJ113">
        <v>0</v>
      </c>
      <c r="NK113" cm="1">
        <f t="array" ref="NK113">IFERROR(MAX((_xlfn.ANCHORARRAY(NH113)-AVERAGE(_xlfn.ANCHORARRAY(NH113)))/ AVERAGE(_xlfn.ANCHORARRAY(NH113))),0)</f>
        <v>0</v>
      </c>
      <c r="NL113" t="str" cm="1">
        <f t="array" ref="NL113">IF(NK113&gt;$NL$1,_xlfn.XLOOKUP(MAX(_xlfn.ANCHORARRAY(NH113)),_xlfn.ANCHORARRAY(NH113),NH$4:NJ$4,""),"")</f>
        <v/>
      </c>
      <c r="NN113" cm="1">
        <f t="array" ref="NN113:NR113">SUMIFS($J113:$GG113,$J$3:$GG$3,NN$3:NR$3)</f>
        <v>0</v>
      </c>
      <c r="NO113">
        <v>0</v>
      </c>
      <c r="NP113">
        <v>0</v>
      </c>
      <c r="NQ113">
        <v>0</v>
      </c>
      <c r="NR113">
        <v>0</v>
      </c>
      <c r="NS113" cm="1">
        <f t="array" ref="NS113">IFERROR(MAX((_xlfn.ANCHORARRAY(NN113)-AVERAGE(_xlfn.ANCHORARRAY(NN113)))/ AVERAGE(_xlfn.ANCHORARRAY(NN113))),0)</f>
        <v>0</v>
      </c>
      <c r="NT113" t="str" cm="1">
        <f t="array" ref="NT113">IF(AND(NS113&gt;$NT$1,NL113&lt;&gt;""),_xlfn.XLOOKUP(MAX(_xlfn.ANCHORARRAY(NN113)),_xlfn.ANCHORARRAY(NN113),NN$4:NR$4,""),"")</f>
        <v/>
      </c>
      <c r="NV113" cm="1">
        <f t="array" ref="NV113:OE113">SUMIFS($J113:$GG113,$J$2:$GG$2,NV$3:OE$3)</f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 cm="1">
        <f t="array" ref="OF113">IFERROR(MAX((_xlfn.ANCHORARRAY(NV113)-AVERAGE(_xlfn.ANCHORARRAY(NV113)))/ AVERAGE(_xlfn.ANCHORARRAY(NV113))),0)</f>
        <v>0</v>
      </c>
      <c r="OG113" t="str" cm="1">
        <f t="array" ref="OG113">IF(OF113&gt;$OG$1,_xlfn.XLOOKUP(MAX(_xlfn.ANCHORARRAY(NV113)),_xlfn.ANCHORARRAY(NV113),NV$4:OE$4,""),"")</f>
        <v/>
      </c>
      <c r="OI113" t="str">
        <f t="shared" si="17"/>
        <v/>
      </c>
    </row>
    <row r="114" spans="1:399" x14ac:dyDescent="0.3">
      <c r="A114" s="2"/>
      <c r="B114" s="2" t="str">
        <f t="shared" si="9"/>
        <v>LLC</v>
      </c>
      <c r="C114" s="2" t="str">
        <f t="shared" si="10"/>
        <v>LLC</v>
      </c>
      <c r="D114" s="2" t="str">
        <f t="shared" si="11"/>
        <v>LLC</v>
      </c>
      <c r="E114" s="2" t="str">
        <f t="shared" si="12"/>
        <v/>
      </c>
      <c r="F114" s="2">
        <f t="shared" si="13"/>
        <v>0</v>
      </c>
      <c r="G114" s="2">
        <f t="shared" si="14"/>
        <v>0</v>
      </c>
      <c r="H114" s="2">
        <f t="shared" si="15"/>
        <v>0</v>
      </c>
      <c r="I114" s="2">
        <f t="shared" si="16"/>
        <v>0</v>
      </c>
      <c r="NH114" cm="1">
        <f t="array" ref="NH114:NJ114">SUMIFS($J114:$GG114,$J$1:$GG$1,NH$3:NJ$3)</f>
        <v>0</v>
      </c>
      <c r="NI114">
        <v>0</v>
      </c>
      <c r="NJ114">
        <v>0</v>
      </c>
      <c r="NK114" cm="1">
        <f t="array" ref="NK114">IFERROR(MAX((_xlfn.ANCHORARRAY(NH114)-AVERAGE(_xlfn.ANCHORARRAY(NH114)))/ AVERAGE(_xlfn.ANCHORARRAY(NH114))),0)</f>
        <v>0</v>
      </c>
      <c r="NL114" t="str" cm="1">
        <f t="array" ref="NL114">IF(NK114&gt;$NL$1,_xlfn.XLOOKUP(MAX(_xlfn.ANCHORARRAY(NH114)),_xlfn.ANCHORARRAY(NH114),NH$4:NJ$4,""),"")</f>
        <v/>
      </c>
      <c r="NN114" cm="1">
        <f t="array" ref="NN114:NR114">SUMIFS($J114:$GG114,$J$3:$GG$3,NN$3:NR$3)</f>
        <v>0</v>
      </c>
      <c r="NO114">
        <v>0</v>
      </c>
      <c r="NP114">
        <v>0</v>
      </c>
      <c r="NQ114">
        <v>0</v>
      </c>
      <c r="NR114">
        <v>0</v>
      </c>
      <c r="NS114" cm="1">
        <f t="array" ref="NS114">IFERROR(MAX((_xlfn.ANCHORARRAY(NN114)-AVERAGE(_xlfn.ANCHORARRAY(NN114)))/ AVERAGE(_xlfn.ANCHORARRAY(NN114))),0)</f>
        <v>0</v>
      </c>
      <c r="NT114" t="str" cm="1">
        <f t="array" ref="NT114">IF(AND(NS114&gt;$NT$1,NL114&lt;&gt;""),_xlfn.XLOOKUP(MAX(_xlfn.ANCHORARRAY(NN114)),_xlfn.ANCHORARRAY(NN114),NN$4:NR$4,""),"")</f>
        <v/>
      </c>
      <c r="NV114" cm="1">
        <f t="array" ref="NV114:OE114">SUMIFS($J114:$GG114,$J$2:$GG$2,NV$3:OE$3)</f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 cm="1">
        <f t="array" ref="OF114">IFERROR(MAX((_xlfn.ANCHORARRAY(NV114)-AVERAGE(_xlfn.ANCHORARRAY(NV114)))/ AVERAGE(_xlfn.ANCHORARRAY(NV114))),0)</f>
        <v>0</v>
      </c>
      <c r="OG114" t="str" cm="1">
        <f t="array" ref="OG114">IF(OF114&gt;$OG$1,_xlfn.XLOOKUP(MAX(_xlfn.ANCHORARRAY(NV114)),_xlfn.ANCHORARRAY(NV114),NV$4:OE$4,""),"")</f>
        <v/>
      </c>
      <c r="OI114" t="str">
        <f t="shared" si="17"/>
        <v/>
      </c>
    </row>
    <row r="115" spans="1:399" x14ac:dyDescent="0.3">
      <c r="A115" s="2"/>
      <c r="B115" s="2" t="str">
        <f t="shared" si="9"/>
        <v>LLC</v>
      </c>
      <c r="C115" s="2" t="str">
        <f t="shared" si="10"/>
        <v>LLC</v>
      </c>
      <c r="D115" s="2" t="str">
        <f t="shared" si="11"/>
        <v>LLC</v>
      </c>
      <c r="E115" s="2" t="str">
        <f t="shared" si="12"/>
        <v/>
      </c>
      <c r="F115" s="2">
        <f t="shared" si="13"/>
        <v>0</v>
      </c>
      <c r="G115" s="2">
        <f t="shared" si="14"/>
        <v>0</v>
      </c>
      <c r="H115" s="2">
        <f t="shared" si="15"/>
        <v>0</v>
      </c>
      <c r="I115" s="2">
        <f t="shared" si="16"/>
        <v>0</v>
      </c>
      <c r="NH115" cm="1">
        <f t="array" ref="NH115:NJ115">SUMIFS($J115:$GG115,$J$1:$GG$1,NH$3:NJ$3)</f>
        <v>0</v>
      </c>
      <c r="NI115">
        <v>0</v>
      </c>
      <c r="NJ115">
        <v>0</v>
      </c>
      <c r="NK115" cm="1">
        <f t="array" ref="NK115">IFERROR(MAX((_xlfn.ANCHORARRAY(NH115)-AVERAGE(_xlfn.ANCHORARRAY(NH115)))/ AVERAGE(_xlfn.ANCHORARRAY(NH115))),0)</f>
        <v>0</v>
      </c>
      <c r="NL115" t="str" cm="1">
        <f t="array" ref="NL115">IF(NK115&gt;$NL$1,_xlfn.XLOOKUP(MAX(_xlfn.ANCHORARRAY(NH115)),_xlfn.ANCHORARRAY(NH115),NH$4:NJ$4,""),"")</f>
        <v/>
      </c>
      <c r="NN115" cm="1">
        <f t="array" ref="NN115:NR115">SUMIFS($J115:$GG115,$J$3:$GG$3,NN$3:NR$3)</f>
        <v>0</v>
      </c>
      <c r="NO115">
        <v>0</v>
      </c>
      <c r="NP115">
        <v>0</v>
      </c>
      <c r="NQ115">
        <v>0</v>
      </c>
      <c r="NR115">
        <v>0</v>
      </c>
      <c r="NS115" cm="1">
        <f t="array" ref="NS115">IFERROR(MAX((_xlfn.ANCHORARRAY(NN115)-AVERAGE(_xlfn.ANCHORARRAY(NN115)))/ AVERAGE(_xlfn.ANCHORARRAY(NN115))),0)</f>
        <v>0</v>
      </c>
      <c r="NT115" t="str" cm="1">
        <f t="array" ref="NT115">IF(AND(NS115&gt;$NT$1,NL115&lt;&gt;""),_xlfn.XLOOKUP(MAX(_xlfn.ANCHORARRAY(NN115)),_xlfn.ANCHORARRAY(NN115),NN$4:NR$4,""),"")</f>
        <v/>
      </c>
      <c r="NV115" cm="1">
        <f t="array" ref="NV115:OE115">SUMIFS($J115:$GG115,$J$2:$GG$2,NV$3:OE$3)</f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 cm="1">
        <f t="array" ref="OF115">IFERROR(MAX((_xlfn.ANCHORARRAY(NV115)-AVERAGE(_xlfn.ANCHORARRAY(NV115)))/ AVERAGE(_xlfn.ANCHORARRAY(NV115))),0)</f>
        <v>0</v>
      </c>
      <c r="OG115" t="str" cm="1">
        <f t="array" ref="OG115">IF(OF115&gt;$OG$1,_xlfn.XLOOKUP(MAX(_xlfn.ANCHORARRAY(NV115)),_xlfn.ANCHORARRAY(NV115),NV$4:OE$4,""),"")</f>
        <v/>
      </c>
      <c r="OI115" t="str">
        <f t="shared" si="17"/>
        <v/>
      </c>
    </row>
    <row r="116" spans="1:399" x14ac:dyDescent="0.3">
      <c r="A116" s="2"/>
      <c r="B116" s="2" t="str">
        <f t="shared" si="9"/>
        <v>LLC</v>
      </c>
      <c r="C116" s="2" t="str">
        <f t="shared" si="10"/>
        <v>LLC</v>
      </c>
      <c r="D116" s="2" t="str">
        <f t="shared" si="11"/>
        <v>LLC</v>
      </c>
      <c r="E116" s="2" t="str">
        <f t="shared" si="12"/>
        <v/>
      </c>
      <c r="F116" s="2">
        <f t="shared" si="13"/>
        <v>0</v>
      </c>
      <c r="G116" s="2">
        <f t="shared" si="14"/>
        <v>0</v>
      </c>
      <c r="H116" s="2">
        <f t="shared" si="15"/>
        <v>0</v>
      </c>
      <c r="I116" s="2">
        <f t="shared" si="16"/>
        <v>0</v>
      </c>
      <c r="NH116" cm="1">
        <f t="array" ref="NH116:NJ116">SUMIFS($J116:$GG116,$J$1:$GG$1,NH$3:NJ$3)</f>
        <v>0</v>
      </c>
      <c r="NI116">
        <v>0</v>
      </c>
      <c r="NJ116">
        <v>0</v>
      </c>
      <c r="NK116" cm="1">
        <f t="array" ref="NK116">IFERROR(MAX((_xlfn.ANCHORARRAY(NH116)-AVERAGE(_xlfn.ANCHORARRAY(NH116)))/ AVERAGE(_xlfn.ANCHORARRAY(NH116))),0)</f>
        <v>0</v>
      </c>
      <c r="NL116" t="str" cm="1">
        <f t="array" ref="NL116">IF(NK116&gt;$NL$1,_xlfn.XLOOKUP(MAX(_xlfn.ANCHORARRAY(NH116)),_xlfn.ANCHORARRAY(NH116),NH$4:NJ$4,""),"")</f>
        <v/>
      </c>
      <c r="NN116" cm="1">
        <f t="array" ref="NN116:NR116">SUMIFS($J116:$GG116,$J$3:$GG$3,NN$3:NR$3)</f>
        <v>0</v>
      </c>
      <c r="NO116">
        <v>0</v>
      </c>
      <c r="NP116">
        <v>0</v>
      </c>
      <c r="NQ116">
        <v>0</v>
      </c>
      <c r="NR116">
        <v>0</v>
      </c>
      <c r="NS116" cm="1">
        <f t="array" ref="NS116">IFERROR(MAX((_xlfn.ANCHORARRAY(NN116)-AVERAGE(_xlfn.ANCHORARRAY(NN116)))/ AVERAGE(_xlfn.ANCHORARRAY(NN116))),0)</f>
        <v>0</v>
      </c>
      <c r="NT116" t="str" cm="1">
        <f t="array" ref="NT116">IF(AND(NS116&gt;$NT$1,NL116&lt;&gt;""),_xlfn.XLOOKUP(MAX(_xlfn.ANCHORARRAY(NN116)),_xlfn.ANCHORARRAY(NN116),NN$4:NR$4,""),"")</f>
        <v/>
      </c>
      <c r="NV116" cm="1">
        <f t="array" ref="NV116:OE116">SUMIFS($J116:$GG116,$J$2:$GG$2,NV$3:OE$3)</f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 cm="1">
        <f t="array" ref="OF116">IFERROR(MAX((_xlfn.ANCHORARRAY(NV116)-AVERAGE(_xlfn.ANCHORARRAY(NV116)))/ AVERAGE(_xlfn.ANCHORARRAY(NV116))),0)</f>
        <v>0</v>
      </c>
      <c r="OG116" t="str" cm="1">
        <f t="array" ref="OG116">IF(OF116&gt;$OG$1,_xlfn.XLOOKUP(MAX(_xlfn.ANCHORARRAY(NV116)),_xlfn.ANCHORARRAY(NV116),NV$4:OE$4,""),"")</f>
        <v/>
      </c>
      <c r="OI116" t="str">
        <f t="shared" si="17"/>
        <v/>
      </c>
    </row>
    <row r="117" spans="1:399" x14ac:dyDescent="0.3">
      <c r="A117" s="2"/>
      <c r="B117" s="2" t="str">
        <f t="shared" si="9"/>
        <v>LLC</v>
      </c>
      <c r="C117" s="2" t="str">
        <f t="shared" si="10"/>
        <v>LLC</v>
      </c>
      <c r="D117" s="2" t="str">
        <f t="shared" si="11"/>
        <v>LLC</v>
      </c>
      <c r="E117" s="2" t="str">
        <f t="shared" si="12"/>
        <v/>
      </c>
      <c r="F117" s="2">
        <f t="shared" si="13"/>
        <v>0</v>
      </c>
      <c r="G117" s="2">
        <f t="shared" si="14"/>
        <v>0</v>
      </c>
      <c r="H117" s="2">
        <f t="shared" si="15"/>
        <v>0</v>
      </c>
      <c r="I117" s="2">
        <f t="shared" si="16"/>
        <v>0</v>
      </c>
      <c r="NH117" cm="1">
        <f t="array" ref="NH117:NJ117">SUMIFS($J117:$GG117,$J$1:$GG$1,NH$3:NJ$3)</f>
        <v>0</v>
      </c>
      <c r="NI117">
        <v>0</v>
      </c>
      <c r="NJ117">
        <v>0</v>
      </c>
      <c r="NK117" cm="1">
        <f t="array" ref="NK117">IFERROR(MAX((_xlfn.ANCHORARRAY(NH117)-AVERAGE(_xlfn.ANCHORARRAY(NH117)))/ AVERAGE(_xlfn.ANCHORARRAY(NH117))),0)</f>
        <v>0</v>
      </c>
      <c r="NL117" t="str" cm="1">
        <f t="array" ref="NL117">IF(NK117&gt;$NL$1,_xlfn.XLOOKUP(MAX(_xlfn.ANCHORARRAY(NH117)),_xlfn.ANCHORARRAY(NH117),NH$4:NJ$4,""),"")</f>
        <v/>
      </c>
      <c r="NN117" cm="1">
        <f t="array" ref="NN117:NR117">SUMIFS($J117:$GG117,$J$3:$GG$3,NN$3:NR$3)</f>
        <v>0</v>
      </c>
      <c r="NO117">
        <v>0</v>
      </c>
      <c r="NP117">
        <v>0</v>
      </c>
      <c r="NQ117">
        <v>0</v>
      </c>
      <c r="NR117">
        <v>0</v>
      </c>
      <c r="NS117" cm="1">
        <f t="array" ref="NS117">IFERROR(MAX((_xlfn.ANCHORARRAY(NN117)-AVERAGE(_xlfn.ANCHORARRAY(NN117)))/ AVERAGE(_xlfn.ANCHORARRAY(NN117))),0)</f>
        <v>0</v>
      </c>
      <c r="NT117" t="str" cm="1">
        <f t="array" ref="NT117">IF(AND(NS117&gt;$NT$1,NL117&lt;&gt;""),_xlfn.XLOOKUP(MAX(_xlfn.ANCHORARRAY(NN117)),_xlfn.ANCHORARRAY(NN117),NN$4:NR$4,""),"")</f>
        <v/>
      </c>
      <c r="NV117" cm="1">
        <f t="array" ref="NV117:OE117">SUMIFS($J117:$GG117,$J$2:$GG$2,NV$3:OE$3)</f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 cm="1">
        <f t="array" ref="OF117">IFERROR(MAX((_xlfn.ANCHORARRAY(NV117)-AVERAGE(_xlfn.ANCHORARRAY(NV117)))/ AVERAGE(_xlfn.ANCHORARRAY(NV117))),0)</f>
        <v>0</v>
      </c>
      <c r="OG117" t="str" cm="1">
        <f t="array" ref="OG117">IF(OF117&gt;$OG$1,_xlfn.XLOOKUP(MAX(_xlfn.ANCHORARRAY(NV117)),_xlfn.ANCHORARRAY(NV117),NV$4:OE$4,""),"")</f>
        <v/>
      </c>
      <c r="OI117" t="str">
        <f t="shared" si="17"/>
        <v/>
      </c>
    </row>
    <row r="118" spans="1:399" x14ac:dyDescent="0.3">
      <c r="A118" s="2"/>
      <c r="B118" s="2" t="str">
        <f t="shared" si="9"/>
        <v>LLC</v>
      </c>
      <c r="C118" s="2" t="str">
        <f t="shared" si="10"/>
        <v>LLC</v>
      </c>
      <c r="D118" s="2" t="str">
        <f t="shared" si="11"/>
        <v>LLC</v>
      </c>
      <c r="E118" s="2" t="str">
        <f t="shared" si="12"/>
        <v/>
      </c>
      <c r="F118" s="2">
        <f t="shared" si="13"/>
        <v>0</v>
      </c>
      <c r="G118" s="2">
        <f t="shared" si="14"/>
        <v>0</v>
      </c>
      <c r="H118" s="2">
        <f t="shared" si="15"/>
        <v>0</v>
      </c>
      <c r="I118" s="2">
        <f t="shared" si="16"/>
        <v>0</v>
      </c>
      <c r="NH118" cm="1">
        <f t="array" ref="NH118:NJ118">SUMIFS($J118:$GG118,$J$1:$GG$1,NH$3:NJ$3)</f>
        <v>0</v>
      </c>
      <c r="NI118">
        <v>0</v>
      </c>
      <c r="NJ118">
        <v>0</v>
      </c>
      <c r="NK118" cm="1">
        <f t="array" ref="NK118">IFERROR(MAX((_xlfn.ANCHORARRAY(NH118)-AVERAGE(_xlfn.ANCHORARRAY(NH118)))/ AVERAGE(_xlfn.ANCHORARRAY(NH118))),0)</f>
        <v>0</v>
      </c>
      <c r="NL118" t="str" cm="1">
        <f t="array" ref="NL118">IF(NK118&gt;$NL$1,_xlfn.XLOOKUP(MAX(_xlfn.ANCHORARRAY(NH118)),_xlfn.ANCHORARRAY(NH118),NH$4:NJ$4,""),"")</f>
        <v/>
      </c>
      <c r="NN118" cm="1">
        <f t="array" ref="NN118:NR118">SUMIFS($J118:$GG118,$J$3:$GG$3,NN$3:NR$3)</f>
        <v>0</v>
      </c>
      <c r="NO118">
        <v>0</v>
      </c>
      <c r="NP118">
        <v>0</v>
      </c>
      <c r="NQ118">
        <v>0</v>
      </c>
      <c r="NR118">
        <v>0</v>
      </c>
      <c r="NS118" cm="1">
        <f t="array" ref="NS118">IFERROR(MAX((_xlfn.ANCHORARRAY(NN118)-AVERAGE(_xlfn.ANCHORARRAY(NN118)))/ AVERAGE(_xlfn.ANCHORARRAY(NN118))),0)</f>
        <v>0</v>
      </c>
      <c r="NT118" t="str" cm="1">
        <f t="array" ref="NT118">IF(AND(NS118&gt;$NT$1,NL118&lt;&gt;""),_xlfn.XLOOKUP(MAX(_xlfn.ANCHORARRAY(NN118)),_xlfn.ANCHORARRAY(NN118),NN$4:NR$4,""),"")</f>
        <v/>
      </c>
      <c r="NV118" cm="1">
        <f t="array" ref="NV118:OE118">SUMIFS($J118:$GG118,$J$2:$GG$2,NV$3:OE$3)</f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 cm="1">
        <f t="array" ref="OF118">IFERROR(MAX((_xlfn.ANCHORARRAY(NV118)-AVERAGE(_xlfn.ANCHORARRAY(NV118)))/ AVERAGE(_xlfn.ANCHORARRAY(NV118))),0)</f>
        <v>0</v>
      </c>
      <c r="OG118" t="str" cm="1">
        <f t="array" ref="OG118">IF(OF118&gt;$OG$1,_xlfn.XLOOKUP(MAX(_xlfn.ANCHORARRAY(NV118)),_xlfn.ANCHORARRAY(NV118),NV$4:OE$4,""),"")</f>
        <v/>
      </c>
      <c r="OI118" t="str">
        <f t="shared" si="17"/>
        <v/>
      </c>
    </row>
    <row r="119" spans="1:399" x14ac:dyDescent="0.3">
      <c r="A119" s="2"/>
      <c r="B119" s="2" t="str">
        <f t="shared" si="9"/>
        <v>LLC</v>
      </c>
      <c r="C119" s="2" t="str">
        <f t="shared" si="10"/>
        <v>LLC</v>
      </c>
      <c r="D119" s="2" t="str">
        <f t="shared" si="11"/>
        <v>LLC</v>
      </c>
      <c r="E119" s="2" t="str">
        <f t="shared" si="12"/>
        <v/>
      </c>
      <c r="F119" s="2">
        <f t="shared" si="13"/>
        <v>0</v>
      </c>
      <c r="G119" s="2">
        <f t="shared" si="14"/>
        <v>0</v>
      </c>
      <c r="H119" s="2">
        <f t="shared" si="15"/>
        <v>0</v>
      </c>
      <c r="I119" s="2">
        <f t="shared" si="16"/>
        <v>0</v>
      </c>
      <c r="NH119" cm="1">
        <f t="array" ref="NH119:NJ119">SUMIFS($J119:$GG119,$J$1:$GG$1,NH$3:NJ$3)</f>
        <v>0</v>
      </c>
      <c r="NI119">
        <v>0</v>
      </c>
      <c r="NJ119">
        <v>0</v>
      </c>
      <c r="NK119" cm="1">
        <f t="array" ref="NK119">IFERROR(MAX((_xlfn.ANCHORARRAY(NH119)-AVERAGE(_xlfn.ANCHORARRAY(NH119)))/ AVERAGE(_xlfn.ANCHORARRAY(NH119))),0)</f>
        <v>0</v>
      </c>
      <c r="NL119" t="str" cm="1">
        <f t="array" ref="NL119">IF(NK119&gt;$NL$1,_xlfn.XLOOKUP(MAX(_xlfn.ANCHORARRAY(NH119)),_xlfn.ANCHORARRAY(NH119),NH$4:NJ$4,""),"")</f>
        <v/>
      </c>
      <c r="NN119" cm="1">
        <f t="array" ref="NN119:NR119">SUMIFS($J119:$GG119,$J$3:$GG$3,NN$3:NR$3)</f>
        <v>0</v>
      </c>
      <c r="NO119">
        <v>0</v>
      </c>
      <c r="NP119">
        <v>0</v>
      </c>
      <c r="NQ119">
        <v>0</v>
      </c>
      <c r="NR119">
        <v>0</v>
      </c>
      <c r="NS119" cm="1">
        <f t="array" ref="NS119">IFERROR(MAX((_xlfn.ANCHORARRAY(NN119)-AVERAGE(_xlfn.ANCHORARRAY(NN119)))/ AVERAGE(_xlfn.ANCHORARRAY(NN119))),0)</f>
        <v>0</v>
      </c>
      <c r="NT119" t="str" cm="1">
        <f t="array" ref="NT119">IF(AND(NS119&gt;$NT$1,NL119&lt;&gt;""),_xlfn.XLOOKUP(MAX(_xlfn.ANCHORARRAY(NN119)),_xlfn.ANCHORARRAY(NN119),NN$4:NR$4,""),"")</f>
        <v/>
      </c>
      <c r="NV119" cm="1">
        <f t="array" ref="NV119:OE119">SUMIFS($J119:$GG119,$J$2:$GG$2,NV$3:OE$3)</f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 cm="1">
        <f t="array" ref="OF119">IFERROR(MAX((_xlfn.ANCHORARRAY(NV119)-AVERAGE(_xlfn.ANCHORARRAY(NV119)))/ AVERAGE(_xlfn.ANCHORARRAY(NV119))),0)</f>
        <v>0</v>
      </c>
      <c r="OG119" t="str" cm="1">
        <f t="array" ref="OG119">IF(OF119&gt;$OG$1,_xlfn.XLOOKUP(MAX(_xlfn.ANCHORARRAY(NV119)),_xlfn.ANCHORARRAY(NV119),NV$4:OE$4,""),"")</f>
        <v/>
      </c>
      <c r="OI119" t="str">
        <f t="shared" si="17"/>
        <v/>
      </c>
    </row>
    <row r="120" spans="1:399" x14ac:dyDescent="0.3">
      <c r="A120" s="2"/>
      <c r="B120" s="2" t="str">
        <f t="shared" si="9"/>
        <v>LLC</v>
      </c>
      <c r="C120" s="2" t="str">
        <f t="shared" si="10"/>
        <v>LLC</v>
      </c>
      <c r="D120" s="2" t="str">
        <f t="shared" si="11"/>
        <v>LLC</v>
      </c>
      <c r="E120" s="2" t="str">
        <f t="shared" si="12"/>
        <v/>
      </c>
      <c r="F120" s="2">
        <f t="shared" si="13"/>
        <v>0</v>
      </c>
      <c r="G120" s="2">
        <f t="shared" si="14"/>
        <v>0</v>
      </c>
      <c r="H120" s="2">
        <f t="shared" si="15"/>
        <v>0</v>
      </c>
      <c r="I120" s="2">
        <f t="shared" si="16"/>
        <v>0</v>
      </c>
      <c r="NH120" cm="1">
        <f t="array" ref="NH120:NJ120">SUMIFS($J120:$GG120,$J$1:$GG$1,NH$3:NJ$3)</f>
        <v>0</v>
      </c>
      <c r="NI120">
        <v>0</v>
      </c>
      <c r="NJ120">
        <v>0</v>
      </c>
      <c r="NK120" cm="1">
        <f t="array" ref="NK120">IFERROR(MAX((_xlfn.ANCHORARRAY(NH120)-AVERAGE(_xlfn.ANCHORARRAY(NH120)))/ AVERAGE(_xlfn.ANCHORARRAY(NH120))),0)</f>
        <v>0</v>
      </c>
      <c r="NL120" t="str" cm="1">
        <f t="array" ref="NL120">IF(NK120&gt;$NL$1,_xlfn.XLOOKUP(MAX(_xlfn.ANCHORARRAY(NH120)),_xlfn.ANCHORARRAY(NH120),NH$4:NJ$4,""),"")</f>
        <v/>
      </c>
      <c r="NN120" cm="1">
        <f t="array" ref="NN120:NR120">SUMIFS($J120:$GG120,$J$3:$GG$3,NN$3:NR$3)</f>
        <v>0</v>
      </c>
      <c r="NO120">
        <v>0</v>
      </c>
      <c r="NP120">
        <v>0</v>
      </c>
      <c r="NQ120">
        <v>0</v>
      </c>
      <c r="NR120">
        <v>0</v>
      </c>
      <c r="NS120" cm="1">
        <f t="array" ref="NS120">IFERROR(MAX((_xlfn.ANCHORARRAY(NN120)-AVERAGE(_xlfn.ANCHORARRAY(NN120)))/ AVERAGE(_xlfn.ANCHORARRAY(NN120))),0)</f>
        <v>0</v>
      </c>
      <c r="NT120" t="str" cm="1">
        <f t="array" ref="NT120">IF(AND(NS120&gt;$NT$1,NL120&lt;&gt;""),_xlfn.XLOOKUP(MAX(_xlfn.ANCHORARRAY(NN120)),_xlfn.ANCHORARRAY(NN120),NN$4:NR$4,""),"")</f>
        <v/>
      </c>
      <c r="NV120" cm="1">
        <f t="array" ref="NV120:OE120">SUMIFS($J120:$GG120,$J$2:$GG$2,NV$3:OE$3)</f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 cm="1">
        <f t="array" ref="OF120">IFERROR(MAX((_xlfn.ANCHORARRAY(NV120)-AVERAGE(_xlfn.ANCHORARRAY(NV120)))/ AVERAGE(_xlfn.ANCHORARRAY(NV120))),0)</f>
        <v>0</v>
      </c>
      <c r="OG120" t="str" cm="1">
        <f t="array" ref="OG120">IF(OF120&gt;$OG$1,_xlfn.XLOOKUP(MAX(_xlfn.ANCHORARRAY(NV120)),_xlfn.ANCHORARRAY(NV120),NV$4:OE$4,""),"")</f>
        <v/>
      </c>
      <c r="OI120" t="str">
        <f t="shared" si="17"/>
        <v/>
      </c>
    </row>
    <row r="121" spans="1:399" x14ac:dyDescent="0.3">
      <c r="A121" s="2"/>
      <c r="B121" s="2" t="str">
        <f t="shared" si="9"/>
        <v>LLC</v>
      </c>
      <c r="C121" s="2" t="str">
        <f t="shared" si="10"/>
        <v>LLC</v>
      </c>
      <c r="D121" s="2" t="str">
        <f t="shared" si="11"/>
        <v>LLC</v>
      </c>
      <c r="E121" s="2" t="str">
        <f t="shared" si="12"/>
        <v/>
      </c>
      <c r="F121" s="2">
        <f t="shared" si="13"/>
        <v>0</v>
      </c>
      <c r="G121" s="2">
        <f t="shared" si="14"/>
        <v>0</v>
      </c>
      <c r="H121" s="2">
        <f t="shared" si="15"/>
        <v>0</v>
      </c>
      <c r="I121" s="2">
        <f t="shared" si="16"/>
        <v>0</v>
      </c>
      <c r="NH121" cm="1">
        <f t="array" ref="NH121:NJ121">SUMIFS($J121:$GG121,$J$1:$GG$1,NH$3:NJ$3)</f>
        <v>0</v>
      </c>
      <c r="NI121">
        <v>0</v>
      </c>
      <c r="NJ121">
        <v>0</v>
      </c>
      <c r="NK121" cm="1">
        <f t="array" ref="NK121">IFERROR(MAX((_xlfn.ANCHORARRAY(NH121)-AVERAGE(_xlfn.ANCHORARRAY(NH121)))/ AVERAGE(_xlfn.ANCHORARRAY(NH121))),0)</f>
        <v>0</v>
      </c>
      <c r="NL121" t="str" cm="1">
        <f t="array" ref="NL121">IF(NK121&gt;$NL$1,_xlfn.XLOOKUP(MAX(_xlfn.ANCHORARRAY(NH121)),_xlfn.ANCHORARRAY(NH121),NH$4:NJ$4,""),"")</f>
        <v/>
      </c>
      <c r="NN121" cm="1">
        <f t="array" ref="NN121:NR121">SUMIFS($J121:$GG121,$J$3:$GG$3,NN$3:NR$3)</f>
        <v>0</v>
      </c>
      <c r="NO121">
        <v>0</v>
      </c>
      <c r="NP121">
        <v>0</v>
      </c>
      <c r="NQ121">
        <v>0</v>
      </c>
      <c r="NR121">
        <v>0</v>
      </c>
      <c r="NS121" cm="1">
        <f t="array" ref="NS121">IFERROR(MAX((_xlfn.ANCHORARRAY(NN121)-AVERAGE(_xlfn.ANCHORARRAY(NN121)))/ AVERAGE(_xlfn.ANCHORARRAY(NN121))),0)</f>
        <v>0</v>
      </c>
      <c r="NT121" t="str" cm="1">
        <f t="array" ref="NT121">IF(AND(NS121&gt;$NT$1,NL121&lt;&gt;""),_xlfn.XLOOKUP(MAX(_xlfn.ANCHORARRAY(NN121)),_xlfn.ANCHORARRAY(NN121),NN$4:NR$4,""),"")</f>
        <v/>
      </c>
      <c r="NV121" cm="1">
        <f t="array" ref="NV121:OE121">SUMIFS($J121:$GG121,$J$2:$GG$2,NV$3:OE$3)</f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 cm="1">
        <f t="array" ref="OF121">IFERROR(MAX((_xlfn.ANCHORARRAY(NV121)-AVERAGE(_xlfn.ANCHORARRAY(NV121)))/ AVERAGE(_xlfn.ANCHORARRAY(NV121))),0)</f>
        <v>0</v>
      </c>
      <c r="OG121" t="str" cm="1">
        <f t="array" ref="OG121">IF(OF121&gt;$OG$1,_xlfn.XLOOKUP(MAX(_xlfn.ANCHORARRAY(NV121)),_xlfn.ANCHORARRAY(NV121),NV$4:OE$4,""),"")</f>
        <v/>
      </c>
      <c r="OI121" t="str">
        <f t="shared" si="17"/>
        <v/>
      </c>
    </row>
    <row r="122" spans="1:399" x14ac:dyDescent="0.3">
      <c r="A122" s="2"/>
      <c r="B122" s="2" t="str">
        <f t="shared" si="9"/>
        <v>LLC</v>
      </c>
      <c r="C122" s="2" t="str">
        <f t="shared" si="10"/>
        <v>LLC</v>
      </c>
      <c r="D122" s="2" t="str">
        <f t="shared" si="11"/>
        <v>LLC</v>
      </c>
      <c r="E122" s="2" t="str">
        <f t="shared" si="12"/>
        <v/>
      </c>
      <c r="F122" s="2">
        <f t="shared" si="13"/>
        <v>0</v>
      </c>
      <c r="G122" s="2">
        <f t="shared" si="14"/>
        <v>0</v>
      </c>
      <c r="H122" s="2">
        <f t="shared" si="15"/>
        <v>0</v>
      </c>
      <c r="I122" s="2">
        <f t="shared" si="16"/>
        <v>0</v>
      </c>
      <c r="NH122" cm="1">
        <f t="array" ref="NH122:NJ122">SUMIFS($J122:$GG122,$J$1:$GG$1,NH$3:NJ$3)</f>
        <v>0</v>
      </c>
      <c r="NI122">
        <v>0</v>
      </c>
      <c r="NJ122">
        <v>0</v>
      </c>
      <c r="NK122" cm="1">
        <f t="array" ref="NK122">IFERROR(MAX((_xlfn.ANCHORARRAY(NH122)-AVERAGE(_xlfn.ANCHORARRAY(NH122)))/ AVERAGE(_xlfn.ANCHORARRAY(NH122))),0)</f>
        <v>0</v>
      </c>
      <c r="NL122" t="str" cm="1">
        <f t="array" ref="NL122">IF(NK122&gt;$NL$1,_xlfn.XLOOKUP(MAX(_xlfn.ANCHORARRAY(NH122)),_xlfn.ANCHORARRAY(NH122),NH$4:NJ$4,""),"")</f>
        <v/>
      </c>
      <c r="NN122" cm="1">
        <f t="array" ref="NN122:NR122">SUMIFS($J122:$GG122,$J$3:$GG$3,NN$3:NR$3)</f>
        <v>0</v>
      </c>
      <c r="NO122">
        <v>0</v>
      </c>
      <c r="NP122">
        <v>0</v>
      </c>
      <c r="NQ122">
        <v>0</v>
      </c>
      <c r="NR122">
        <v>0</v>
      </c>
      <c r="NS122" cm="1">
        <f t="array" ref="NS122">IFERROR(MAX((_xlfn.ANCHORARRAY(NN122)-AVERAGE(_xlfn.ANCHORARRAY(NN122)))/ AVERAGE(_xlfn.ANCHORARRAY(NN122))),0)</f>
        <v>0</v>
      </c>
      <c r="NT122" t="str" cm="1">
        <f t="array" ref="NT122">IF(AND(NS122&gt;$NT$1,NL122&lt;&gt;""),_xlfn.XLOOKUP(MAX(_xlfn.ANCHORARRAY(NN122)),_xlfn.ANCHORARRAY(NN122),NN$4:NR$4,""),"")</f>
        <v/>
      </c>
      <c r="NV122" cm="1">
        <f t="array" ref="NV122:OE122">SUMIFS($J122:$GG122,$J$2:$GG$2,NV$3:OE$3)</f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 cm="1">
        <f t="array" ref="OF122">IFERROR(MAX((_xlfn.ANCHORARRAY(NV122)-AVERAGE(_xlfn.ANCHORARRAY(NV122)))/ AVERAGE(_xlfn.ANCHORARRAY(NV122))),0)</f>
        <v>0</v>
      </c>
      <c r="OG122" t="str" cm="1">
        <f t="array" ref="OG122">IF(OF122&gt;$OG$1,_xlfn.XLOOKUP(MAX(_xlfn.ANCHORARRAY(NV122)),_xlfn.ANCHORARRAY(NV122),NV$4:OE$4,""),"")</f>
        <v/>
      </c>
      <c r="OI122" t="str">
        <f t="shared" si="17"/>
        <v/>
      </c>
    </row>
    <row r="123" spans="1:399" x14ac:dyDescent="0.3">
      <c r="A123" s="2"/>
      <c r="B123" s="2" t="str">
        <f t="shared" si="9"/>
        <v>LLC</v>
      </c>
      <c r="C123" s="2" t="str">
        <f t="shared" si="10"/>
        <v>LLC</v>
      </c>
      <c r="D123" s="2" t="str">
        <f t="shared" si="11"/>
        <v>LLC</v>
      </c>
      <c r="E123" s="2" t="str">
        <f t="shared" si="12"/>
        <v/>
      </c>
      <c r="F123" s="2">
        <f t="shared" si="13"/>
        <v>0</v>
      </c>
      <c r="G123" s="2">
        <f t="shared" si="14"/>
        <v>0</v>
      </c>
      <c r="H123" s="2">
        <f t="shared" si="15"/>
        <v>0</v>
      </c>
      <c r="I123" s="2">
        <f t="shared" si="16"/>
        <v>0</v>
      </c>
      <c r="NH123" cm="1">
        <f t="array" ref="NH123:NJ123">SUMIFS($J123:$GG123,$J$1:$GG$1,NH$3:NJ$3)</f>
        <v>0</v>
      </c>
      <c r="NI123">
        <v>0</v>
      </c>
      <c r="NJ123">
        <v>0</v>
      </c>
      <c r="NK123" cm="1">
        <f t="array" ref="NK123">IFERROR(MAX((_xlfn.ANCHORARRAY(NH123)-AVERAGE(_xlfn.ANCHORARRAY(NH123)))/ AVERAGE(_xlfn.ANCHORARRAY(NH123))),0)</f>
        <v>0</v>
      </c>
      <c r="NL123" t="str" cm="1">
        <f t="array" ref="NL123">IF(NK123&gt;$NL$1,_xlfn.XLOOKUP(MAX(_xlfn.ANCHORARRAY(NH123)),_xlfn.ANCHORARRAY(NH123),NH$4:NJ$4,""),"")</f>
        <v/>
      </c>
      <c r="NN123" cm="1">
        <f t="array" ref="NN123:NR123">SUMIFS($J123:$GG123,$J$3:$GG$3,NN$3:NR$3)</f>
        <v>0</v>
      </c>
      <c r="NO123">
        <v>0</v>
      </c>
      <c r="NP123">
        <v>0</v>
      </c>
      <c r="NQ123">
        <v>0</v>
      </c>
      <c r="NR123">
        <v>0</v>
      </c>
      <c r="NS123" cm="1">
        <f t="array" ref="NS123">IFERROR(MAX((_xlfn.ANCHORARRAY(NN123)-AVERAGE(_xlfn.ANCHORARRAY(NN123)))/ AVERAGE(_xlfn.ANCHORARRAY(NN123))),0)</f>
        <v>0</v>
      </c>
      <c r="NT123" t="str" cm="1">
        <f t="array" ref="NT123">IF(AND(NS123&gt;$NT$1,NL123&lt;&gt;""),_xlfn.XLOOKUP(MAX(_xlfn.ANCHORARRAY(NN123)),_xlfn.ANCHORARRAY(NN123),NN$4:NR$4,""),"")</f>
        <v/>
      </c>
      <c r="NV123" cm="1">
        <f t="array" ref="NV123:OE123">SUMIFS($J123:$GG123,$J$2:$GG$2,NV$3:OE$3)</f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 cm="1">
        <f t="array" ref="OF123">IFERROR(MAX((_xlfn.ANCHORARRAY(NV123)-AVERAGE(_xlfn.ANCHORARRAY(NV123)))/ AVERAGE(_xlfn.ANCHORARRAY(NV123))),0)</f>
        <v>0</v>
      </c>
      <c r="OG123" t="str" cm="1">
        <f t="array" ref="OG123">IF(OF123&gt;$OG$1,_xlfn.XLOOKUP(MAX(_xlfn.ANCHORARRAY(NV123)),_xlfn.ANCHORARRAY(NV123),NV$4:OE$4,""),"")</f>
        <v/>
      </c>
      <c r="OI123" t="str">
        <f t="shared" si="17"/>
        <v/>
      </c>
    </row>
    <row r="124" spans="1:399" x14ac:dyDescent="0.3">
      <c r="A124" s="2"/>
      <c r="B124" s="2" t="str">
        <f t="shared" si="9"/>
        <v>LLC</v>
      </c>
      <c r="C124" s="2" t="str">
        <f t="shared" si="10"/>
        <v>LLC</v>
      </c>
      <c r="D124" s="2" t="str">
        <f t="shared" si="11"/>
        <v>LLC</v>
      </c>
      <c r="E124" s="2" t="str">
        <f t="shared" si="12"/>
        <v/>
      </c>
      <c r="F124" s="2">
        <f t="shared" si="13"/>
        <v>0</v>
      </c>
      <c r="G124" s="2">
        <f t="shared" si="14"/>
        <v>0</v>
      </c>
      <c r="H124" s="2">
        <f t="shared" si="15"/>
        <v>0</v>
      </c>
      <c r="I124" s="2">
        <f t="shared" si="16"/>
        <v>0</v>
      </c>
      <c r="NH124" cm="1">
        <f t="array" ref="NH124:NJ124">SUMIFS($J124:$GG124,$J$1:$GG$1,NH$3:NJ$3)</f>
        <v>0</v>
      </c>
      <c r="NI124">
        <v>0</v>
      </c>
      <c r="NJ124">
        <v>0</v>
      </c>
      <c r="NK124" cm="1">
        <f t="array" ref="NK124">IFERROR(MAX((_xlfn.ANCHORARRAY(NH124)-AVERAGE(_xlfn.ANCHORARRAY(NH124)))/ AVERAGE(_xlfn.ANCHORARRAY(NH124))),0)</f>
        <v>0</v>
      </c>
      <c r="NL124" t="str" cm="1">
        <f t="array" ref="NL124">IF(NK124&gt;$NL$1,_xlfn.XLOOKUP(MAX(_xlfn.ANCHORARRAY(NH124)),_xlfn.ANCHORARRAY(NH124),NH$4:NJ$4,""),"")</f>
        <v/>
      </c>
      <c r="NN124" cm="1">
        <f t="array" ref="NN124:NR124">SUMIFS($J124:$GG124,$J$3:$GG$3,NN$3:NR$3)</f>
        <v>0</v>
      </c>
      <c r="NO124">
        <v>0</v>
      </c>
      <c r="NP124">
        <v>0</v>
      </c>
      <c r="NQ124">
        <v>0</v>
      </c>
      <c r="NR124">
        <v>0</v>
      </c>
      <c r="NS124" cm="1">
        <f t="array" ref="NS124">IFERROR(MAX((_xlfn.ANCHORARRAY(NN124)-AVERAGE(_xlfn.ANCHORARRAY(NN124)))/ AVERAGE(_xlfn.ANCHORARRAY(NN124))),0)</f>
        <v>0</v>
      </c>
      <c r="NT124" t="str" cm="1">
        <f t="array" ref="NT124">IF(AND(NS124&gt;$NT$1,NL124&lt;&gt;""),_xlfn.XLOOKUP(MAX(_xlfn.ANCHORARRAY(NN124)),_xlfn.ANCHORARRAY(NN124),NN$4:NR$4,""),"")</f>
        <v/>
      </c>
      <c r="NV124" cm="1">
        <f t="array" ref="NV124:OE124">SUMIFS($J124:$GG124,$J$2:$GG$2,NV$3:OE$3)</f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 cm="1">
        <f t="array" ref="OF124">IFERROR(MAX((_xlfn.ANCHORARRAY(NV124)-AVERAGE(_xlfn.ANCHORARRAY(NV124)))/ AVERAGE(_xlfn.ANCHORARRAY(NV124))),0)</f>
        <v>0</v>
      </c>
      <c r="OG124" t="str" cm="1">
        <f t="array" ref="OG124">IF(OF124&gt;$OG$1,_xlfn.XLOOKUP(MAX(_xlfn.ANCHORARRAY(NV124)),_xlfn.ANCHORARRAY(NV124),NV$4:OE$4,""),"")</f>
        <v/>
      </c>
      <c r="OI124" t="str">
        <f t="shared" si="17"/>
        <v/>
      </c>
    </row>
    <row r="125" spans="1:399" x14ac:dyDescent="0.3">
      <c r="A125" s="2"/>
      <c r="B125" s="2" t="str">
        <f t="shared" si="9"/>
        <v>LLC</v>
      </c>
      <c r="C125" s="2" t="str">
        <f t="shared" si="10"/>
        <v>LLC</v>
      </c>
      <c r="D125" s="2" t="str">
        <f t="shared" si="11"/>
        <v>LLC</v>
      </c>
      <c r="E125" s="2" t="str">
        <f t="shared" si="12"/>
        <v/>
      </c>
      <c r="F125" s="2">
        <f t="shared" si="13"/>
        <v>0</v>
      </c>
      <c r="G125" s="2">
        <f t="shared" si="14"/>
        <v>0</v>
      </c>
      <c r="H125" s="2">
        <f t="shared" si="15"/>
        <v>0</v>
      </c>
      <c r="I125" s="2">
        <f t="shared" si="16"/>
        <v>0</v>
      </c>
      <c r="NH125" cm="1">
        <f t="array" ref="NH125:NJ125">SUMIFS($J125:$GG125,$J$1:$GG$1,NH$3:NJ$3)</f>
        <v>0</v>
      </c>
      <c r="NI125">
        <v>0</v>
      </c>
      <c r="NJ125">
        <v>0</v>
      </c>
      <c r="NK125" cm="1">
        <f t="array" ref="NK125">IFERROR(MAX((_xlfn.ANCHORARRAY(NH125)-AVERAGE(_xlfn.ANCHORARRAY(NH125)))/ AVERAGE(_xlfn.ANCHORARRAY(NH125))),0)</f>
        <v>0</v>
      </c>
      <c r="NL125" t="str" cm="1">
        <f t="array" ref="NL125">IF(NK125&gt;$NL$1,_xlfn.XLOOKUP(MAX(_xlfn.ANCHORARRAY(NH125)),_xlfn.ANCHORARRAY(NH125),NH$4:NJ$4,""),"")</f>
        <v/>
      </c>
      <c r="NN125" cm="1">
        <f t="array" ref="NN125:NR125">SUMIFS($J125:$GG125,$J$3:$GG$3,NN$3:NR$3)</f>
        <v>0</v>
      </c>
      <c r="NO125">
        <v>0</v>
      </c>
      <c r="NP125">
        <v>0</v>
      </c>
      <c r="NQ125">
        <v>0</v>
      </c>
      <c r="NR125">
        <v>0</v>
      </c>
      <c r="NS125" cm="1">
        <f t="array" ref="NS125">IFERROR(MAX((_xlfn.ANCHORARRAY(NN125)-AVERAGE(_xlfn.ANCHORARRAY(NN125)))/ AVERAGE(_xlfn.ANCHORARRAY(NN125))),0)</f>
        <v>0</v>
      </c>
      <c r="NT125" t="str" cm="1">
        <f t="array" ref="NT125">IF(AND(NS125&gt;$NT$1,NL125&lt;&gt;""),_xlfn.XLOOKUP(MAX(_xlfn.ANCHORARRAY(NN125)),_xlfn.ANCHORARRAY(NN125),NN$4:NR$4,""),"")</f>
        <v/>
      </c>
      <c r="NV125" cm="1">
        <f t="array" ref="NV125:OE125">SUMIFS($J125:$GG125,$J$2:$GG$2,NV$3:OE$3)</f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 cm="1">
        <f t="array" ref="OF125">IFERROR(MAX((_xlfn.ANCHORARRAY(NV125)-AVERAGE(_xlfn.ANCHORARRAY(NV125)))/ AVERAGE(_xlfn.ANCHORARRAY(NV125))),0)</f>
        <v>0</v>
      </c>
      <c r="OG125" t="str" cm="1">
        <f t="array" ref="OG125">IF(OF125&gt;$OG$1,_xlfn.XLOOKUP(MAX(_xlfn.ANCHORARRAY(NV125)),_xlfn.ANCHORARRAY(NV125),NV$4:OE$4,""),"")</f>
        <v/>
      </c>
      <c r="OI125" t="str">
        <f t="shared" si="17"/>
        <v/>
      </c>
    </row>
    <row r="126" spans="1:399" x14ac:dyDescent="0.3">
      <c r="A126" s="2"/>
      <c r="B126" s="2" t="str">
        <f t="shared" si="9"/>
        <v>LLC</v>
      </c>
      <c r="C126" s="2" t="str">
        <f t="shared" si="10"/>
        <v>LLC</v>
      </c>
      <c r="D126" s="2" t="str">
        <f t="shared" si="11"/>
        <v>LLC</v>
      </c>
      <c r="E126" s="2" t="str">
        <f t="shared" si="12"/>
        <v/>
      </c>
      <c r="F126" s="2">
        <f t="shared" si="13"/>
        <v>0</v>
      </c>
      <c r="G126" s="2">
        <f t="shared" si="14"/>
        <v>0</v>
      </c>
      <c r="H126" s="2">
        <f t="shared" si="15"/>
        <v>0</v>
      </c>
      <c r="I126" s="2">
        <f t="shared" si="16"/>
        <v>0</v>
      </c>
      <c r="NH126" cm="1">
        <f t="array" ref="NH126:NJ126">SUMIFS($J126:$GG126,$J$1:$GG$1,NH$3:NJ$3)</f>
        <v>0</v>
      </c>
      <c r="NI126">
        <v>0</v>
      </c>
      <c r="NJ126">
        <v>0</v>
      </c>
      <c r="NK126" cm="1">
        <f t="array" ref="NK126">IFERROR(MAX((_xlfn.ANCHORARRAY(NH126)-AVERAGE(_xlfn.ANCHORARRAY(NH126)))/ AVERAGE(_xlfn.ANCHORARRAY(NH126))),0)</f>
        <v>0</v>
      </c>
      <c r="NL126" t="str" cm="1">
        <f t="array" ref="NL126">IF(NK126&gt;$NL$1,_xlfn.XLOOKUP(MAX(_xlfn.ANCHORARRAY(NH126)),_xlfn.ANCHORARRAY(NH126),NH$4:NJ$4,""),"")</f>
        <v/>
      </c>
      <c r="NN126" cm="1">
        <f t="array" ref="NN126:NR126">SUMIFS($J126:$GG126,$J$3:$GG$3,NN$3:NR$3)</f>
        <v>0</v>
      </c>
      <c r="NO126">
        <v>0</v>
      </c>
      <c r="NP126">
        <v>0</v>
      </c>
      <c r="NQ126">
        <v>0</v>
      </c>
      <c r="NR126">
        <v>0</v>
      </c>
      <c r="NS126" cm="1">
        <f t="array" ref="NS126">IFERROR(MAX((_xlfn.ANCHORARRAY(NN126)-AVERAGE(_xlfn.ANCHORARRAY(NN126)))/ AVERAGE(_xlfn.ANCHORARRAY(NN126))),0)</f>
        <v>0</v>
      </c>
      <c r="NT126" t="str" cm="1">
        <f t="array" ref="NT126">IF(AND(NS126&gt;$NT$1,NL126&lt;&gt;""),_xlfn.XLOOKUP(MAX(_xlfn.ANCHORARRAY(NN126)),_xlfn.ANCHORARRAY(NN126),NN$4:NR$4,""),"")</f>
        <v/>
      </c>
      <c r="NV126" cm="1">
        <f t="array" ref="NV126:OE126">SUMIFS($J126:$GG126,$J$2:$GG$2,NV$3:OE$3)</f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 cm="1">
        <f t="array" ref="OF126">IFERROR(MAX((_xlfn.ANCHORARRAY(NV126)-AVERAGE(_xlfn.ANCHORARRAY(NV126)))/ AVERAGE(_xlfn.ANCHORARRAY(NV126))),0)</f>
        <v>0</v>
      </c>
      <c r="OG126" t="str" cm="1">
        <f t="array" ref="OG126">IF(OF126&gt;$OG$1,_xlfn.XLOOKUP(MAX(_xlfn.ANCHORARRAY(NV126)),_xlfn.ANCHORARRAY(NV126),NV$4:OE$4,""),"")</f>
        <v/>
      </c>
      <c r="OI126" t="str">
        <f t="shared" si="17"/>
        <v/>
      </c>
    </row>
    <row r="127" spans="1:399" x14ac:dyDescent="0.3">
      <c r="A127" s="2"/>
      <c r="B127" s="2" t="str">
        <f t="shared" si="9"/>
        <v>LLC</v>
      </c>
      <c r="C127" s="2" t="str">
        <f t="shared" si="10"/>
        <v>LLC</v>
      </c>
      <c r="D127" s="2" t="str">
        <f t="shared" si="11"/>
        <v>LLC</v>
      </c>
      <c r="E127" s="2" t="str">
        <f t="shared" si="12"/>
        <v/>
      </c>
      <c r="F127" s="2">
        <f t="shared" si="13"/>
        <v>0</v>
      </c>
      <c r="G127" s="2">
        <f t="shared" si="14"/>
        <v>0</v>
      </c>
      <c r="H127" s="2">
        <f t="shared" si="15"/>
        <v>0</v>
      </c>
      <c r="I127" s="2">
        <f t="shared" si="16"/>
        <v>0</v>
      </c>
      <c r="NH127" cm="1">
        <f t="array" ref="NH127:NJ127">SUMIFS($J127:$GG127,$J$1:$GG$1,NH$3:NJ$3)</f>
        <v>0</v>
      </c>
      <c r="NI127">
        <v>0</v>
      </c>
      <c r="NJ127">
        <v>0</v>
      </c>
      <c r="NK127" cm="1">
        <f t="array" ref="NK127">IFERROR(MAX((_xlfn.ANCHORARRAY(NH127)-AVERAGE(_xlfn.ANCHORARRAY(NH127)))/ AVERAGE(_xlfn.ANCHORARRAY(NH127))),0)</f>
        <v>0</v>
      </c>
      <c r="NL127" t="str" cm="1">
        <f t="array" ref="NL127">IF(NK127&gt;$NL$1,_xlfn.XLOOKUP(MAX(_xlfn.ANCHORARRAY(NH127)),_xlfn.ANCHORARRAY(NH127),NH$4:NJ$4,""),"")</f>
        <v/>
      </c>
      <c r="NN127" cm="1">
        <f t="array" ref="NN127:NR127">SUMIFS($J127:$GG127,$J$3:$GG$3,NN$3:NR$3)</f>
        <v>0</v>
      </c>
      <c r="NO127">
        <v>0</v>
      </c>
      <c r="NP127">
        <v>0</v>
      </c>
      <c r="NQ127">
        <v>0</v>
      </c>
      <c r="NR127">
        <v>0</v>
      </c>
      <c r="NS127" cm="1">
        <f t="array" ref="NS127">IFERROR(MAX((_xlfn.ANCHORARRAY(NN127)-AVERAGE(_xlfn.ANCHORARRAY(NN127)))/ AVERAGE(_xlfn.ANCHORARRAY(NN127))),0)</f>
        <v>0</v>
      </c>
      <c r="NT127" t="str" cm="1">
        <f t="array" ref="NT127">IF(AND(NS127&gt;$NT$1,NL127&lt;&gt;""),_xlfn.XLOOKUP(MAX(_xlfn.ANCHORARRAY(NN127)),_xlfn.ANCHORARRAY(NN127),NN$4:NR$4,""),"")</f>
        <v/>
      </c>
      <c r="NV127" cm="1">
        <f t="array" ref="NV127:OE127">SUMIFS($J127:$GG127,$J$2:$GG$2,NV$3:OE$3)</f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 cm="1">
        <f t="array" ref="OF127">IFERROR(MAX((_xlfn.ANCHORARRAY(NV127)-AVERAGE(_xlfn.ANCHORARRAY(NV127)))/ AVERAGE(_xlfn.ANCHORARRAY(NV127))),0)</f>
        <v>0</v>
      </c>
      <c r="OG127" t="str" cm="1">
        <f t="array" ref="OG127">IF(OF127&gt;$OG$1,_xlfn.XLOOKUP(MAX(_xlfn.ANCHORARRAY(NV127)),_xlfn.ANCHORARRAY(NV127),NV$4:OE$4,""),"")</f>
        <v/>
      </c>
      <c r="OI127" t="str">
        <f t="shared" si="17"/>
        <v/>
      </c>
    </row>
    <row r="128" spans="1:399" x14ac:dyDescent="0.3">
      <c r="B128" s="2" t="str">
        <f t="shared" si="9"/>
        <v>LLC</v>
      </c>
      <c r="C128" s="2" t="str">
        <f t="shared" si="10"/>
        <v>LLC</v>
      </c>
      <c r="D128" s="2" t="str">
        <f t="shared" si="11"/>
        <v>LLC</v>
      </c>
      <c r="E128" s="2" t="str">
        <f t="shared" si="12"/>
        <v/>
      </c>
      <c r="F128" s="2">
        <f t="shared" si="13"/>
        <v>0</v>
      </c>
      <c r="G128" s="2">
        <f t="shared" si="14"/>
        <v>0</v>
      </c>
      <c r="H128" s="2">
        <f t="shared" si="15"/>
        <v>0</v>
      </c>
      <c r="I128" s="2">
        <f t="shared" si="16"/>
        <v>0</v>
      </c>
      <c r="NH128" cm="1">
        <f t="array" ref="NH128:NJ128">SUMIFS($J128:$GG128,$J$1:$GG$1,NH$3:NJ$3)</f>
        <v>0</v>
      </c>
      <c r="NI128">
        <v>0</v>
      </c>
      <c r="NJ128">
        <v>0</v>
      </c>
      <c r="NK128" cm="1">
        <f t="array" ref="NK128">IFERROR(MAX((_xlfn.ANCHORARRAY(NH128)-AVERAGE(_xlfn.ANCHORARRAY(NH128)))/ AVERAGE(_xlfn.ANCHORARRAY(NH128))),0)</f>
        <v>0</v>
      </c>
      <c r="NL128" t="str" cm="1">
        <f t="array" ref="NL128">IF(NK128&gt;$NL$1,_xlfn.XLOOKUP(MAX(_xlfn.ANCHORARRAY(NH128)),_xlfn.ANCHORARRAY(NH128),NH$4:NJ$4,""),"")</f>
        <v/>
      </c>
      <c r="NN128" cm="1">
        <f t="array" ref="NN128:NR128">SUMIFS($J128:$GG128,$J$3:$GG$3,NN$3:NR$3)</f>
        <v>0</v>
      </c>
      <c r="NO128">
        <v>0</v>
      </c>
      <c r="NP128">
        <v>0</v>
      </c>
      <c r="NQ128">
        <v>0</v>
      </c>
      <c r="NR128">
        <v>0</v>
      </c>
      <c r="NS128" cm="1">
        <f t="array" ref="NS128">IFERROR(MAX((_xlfn.ANCHORARRAY(NN128)-AVERAGE(_xlfn.ANCHORARRAY(NN128)))/ AVERAGE(_xlfn.ANCHORARRAY(NN128))),0)</f>
        <v>0</v>
      </c>
      <c r="NT128" t="str" cm="1">
        <f t="array" ref="NT128">IF(AND(NS128&gt;$NT$1,NL128&lt;&gt;""),_xlfn.XLOOKUP(MAX(_xlfn.ANCHORARRAY(NN128)),_xlfn.ANCHORARRAY(NN128),NN$4:NR$4,""),"")</f>
        <v/>
      </c>
      <c r="NV128" cm="1">
        <f t="array" ref="NV128:OE128">SUMIFS($J128:$GG128,$J$2:$GG$2,NV$3:OE$3)</f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 cm="1">
        <f t="array" ref="OF128">IFERROR(MAX((_xlfn.ANCHORARRAY(NV128)-AVERAGE(_xlfn.ANCHORARRAY(NV128)))/ AVERAGE(_xlfn.ANCHORARRAY(NV128))),0)</f>
        <v>0</v>
      </c>
      <c r="OG128" t="str" cm="1">
        <f t="array" ref="OG128">IF(OF128&gt;$OG$1,_xlfn.XLOOKUP(MAX(_xlfn.ANCHORARRAY(NV128)),_xlfn.ANCHORARRAY(NV128),NV$4:OE$4,""),"")</f>
        <v/>
      </c>
      <c r="OI128" t="str">
        <f t="shared" si="17"/>
        <v/>
      </c>
    </row>
    <row r="129" spans="2:399" x14ac:dyDescent="0.3">
      <c r="B129" s="2" t="str">
        <f t="shared" si="9"/>
        <v>LLC</v>
      </c>
      <c r="C129" s="2" t="str">
        <f t="shared" si="10"/>
        <v>LLC</v>
      </c>
      <c r="D129" s="2" t="str">
        <f t="shared" si="11"/>
        <v>LLC</v>
      </c>
      <c r="E129" s="2" t="str">
        <f t="shared" si="12"/>
        <v/>
      </c>
      <c r="F129" s="2">
        <f t="shared" si="13"/>
        <v>0</v>
      </c>
      <c r="G129" s="2">
        <f t="shared" si="14"/>
        <v>0</v>
      </c>
      <c r="H129" s="2">
        <f t="shared" si="15"/>
        <v>0</v>
      </c>
      <c r="I129" s="2">
        <f t="shared" si="16"/>
        <v>0</v>
      </c>
      <c r="NH129" cm="1">
        <f t="array" ref="NH129:NJ129">SUMIFS($J129:$GG129,$J$1:$GG$1,NH$3:NJ$3)</f>
        <v>0</v>
      </c>
      <c r="NI129">
        <v>0</v>
      </c>
      <c r="NJ129">
        <v>0</v>
      </c>
      <c r="NK129" cm="1">
        <f t="array" ref="NK129">IFERROR(MAX((_xlfn.ANCHORARRAY(NH129)-AVERAGE(_xlfn.ANCHORARRAY(NH129)))/ AVERAGE(_xlfn.ANCHORARRAY(NH129))),0)</f>
        <v>0</v>
      </c>
      <c r="NL129" t="str" cm="1">
        <f t="array" ref="NL129">IF(NK129&gt;$NL$1,_xlfn.XLOOKUP(MAX(_xlfn.ANCHORARRAY(NH129)),_xlfn.ANCHORARRAY(NH129),NH$4:NJ$4,""),"")</f>
        <v/>
      </c>
      <c r="NN129" cm="1">
        <f t="array" ref="NN129:NR129">SUMIFS($J129:$GG129,$J$3:$GG$3,NN$3:NR$3)</f>
        <v>0</v>
      </c>
      <c r="NO129">
        <v>0</v>
      </c>
      <c r="NP129">
        <v>0</v>
      </c>
      <c r="NQ129">
        <v>0</v>
      </c>
      <c r="NR129">
        <v>0</v>
      </c>
      <c r="NS129" cm="1">
        <f t="array" ref="NS129">IFERROR(MAX((_xlfn.ANCHORARRAY(NN129)-AVERAGE(_xlfn.ANCHORARRAY(NN129)))/ AVERAGE(_xlfn.ANCHORARRAY(NN129))),0)</f>
        <v>0</v>
      </c>
      <c r="NT129" t="str" cm="1">
        <f t="array" ref="NT129">IF(AND(NS129&gt;$NT$1,NL129&lt;&gt;""),_xlfn.XLOOKUP(MAX(_xlfn.ANCHORARRAY(NN129)),_xlfn.ANCHORARRAY(NN129),NN$4:NR$4,""),"")</f>
        <v/>
      </c>
      <c r="NV129" cm="1">
        <f t="array" ref="NV129:OE129">SUMIFS($J129:$GG129,$J$2:$GG$2,NV$3:OE$3)</f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 cm="1">
        <f t="array" ref="OF129">IFERROR(MAX((_xlfn.ANCHORARRAY(NV129)-AVERAGE(_xlfn.ANCHORARRAY(NV129)))/ AVERAGE(_xlfn.ANCHORARRAY(NV129))),0)</f>
        <v>0</v>
      </c>
      <c r="OG129" t="str" cm="1">
        <f t="array" ref="OG129">IF(OF129&gt;$OG$1,_xlfn.XLOOKUP(MAX(_xlfn.ANCHORARRAY(NV129)),_xlfn.ANCHORARRAY(NV129),NV$4:OE$4,""),"")</f>
        <v/>
      </c>
      <c r="OI129" t="str">
        <f t="shared" si="17"/>
        <v/>
      </c>
    </row>
    <row r="130" spans="2:399" x14ac:dyDescent="0.3">
      <c r="B130" s="2" t="str">
        <f t="shared" si="9"/>
        <v>LLC</v>
      </c>
      <c r="C130" s="2" t="str">
        <f t="shared" si="10"/>
        <v>LLC</v>
      </c>
      <c r="D130" s="2" t="str">
        <f t="shared" si="11"/>
        <v>LLC</v>
      </c>
      <c r="E130" s="2" t="str">
        <f t="shared" si="12"/>
        <v/>
      </c>
      <c r="F130" s="2">
        <f t="shared" si="13"/>
        <v>0</v>
      </c>
      <c r="G130" s="2">
        <f t="shared" si="14"/>
        <v>0</v>
      </c>
      <c r="H130" s="2">
        <f t="shared" si="15"/>
        <v>0</v>
      </c>
      <c r="I130" s="2">
        <f t="shared" si="16"/>
        <v>0</v>
      </c>
      <c r="NH130" cm="1">
        <f t="array" ref="NH130:NJ130">SUMIFS($J130:$GG130,$J$1:$GG$1,NH$3:NJ$3)</f>
        <v>0</v>
      </c>
      <c r="NI130">
        <v>0</v>
      </c>
      <c r="NJ130">
        <v>0</v>
      </c>
      <c r="NK130" cm="1">
        <f t="array" ref="NK130">IFERROR(MAX((_xlfn.ANCHORARRAY(NH130)-AVERAGE(_xlfn.ANCHORARRAY(NH130)))/ AVERAGE(_xlfn.ANCHORARRAY(NH130))),0)</f>
        <v>0</v>
      </c>
      <c r="NL130" t="str" cm="1">
        <f t="array" ref="NL130">IF(NK130&gt;$NL$1,_xlfn.XLOOKUP(MAX(_xlfn.ANCHORARRAY(NH130)),_xlfn.ANCHORARRAY(NH130),NH$4:NJ$4,""),"")</f>
        <v/>
      </c>
      <c r="NN130" cm="1">
        <f t="array" ref="NN130:NR130">SUMIFS($J130:$GG130,$J$3:$GG$3,NN$3:NR$3)</f>
        <v>0</v>
      </c>
      <c r="NO130">
        <v>0</v>
      </c>
      <c r="NP130">
        <v>0</v>
      </c>
      <c r="NQ130">
        <v>0</v>
      </c>
      <c r="NR130">
        <v>0</v>
      </c>
      <c r="NS130" cm="1">
        <f t="array" ref="NS130">IFERROR(MAX((_xlfn.ANCHORARRAY(NN130)-AVERAGE(_xlfn.ANCHORARRAY(NN130)))/ AVERAGE(_xlfn.ANCHORARRAY(NN130))),0)</f>
        <v>0</v>
      </c>
      <c r="NT130" t="str" cm="1">
        <f t="array" ref="NT130">IF(AND(NS130&gt;$NT$1,NL130&lt;&gt;""),_xlfn.XLOOKUP(MAX(_xlfn.ANCHORARRAY(NN130)),_xlfn.ANCHORARRAY(NN130),NN$4:NR$4,""),"")</f>
        <v/>
      </c>
      <c r="NV130" cm="1">
        <f t="array" ref="NV130:OE130">SUMIFS($J130:$GG130,$J$2:$GG$2,NV$3:OE$3)</f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 cm="1">
        <f t="array" ref="OF130">IFERROR(MAX((_xlfn.ANCHORARRAY(NV130)-AVERAGE(_xlfn.ANCHORARRAY(NV130)))/ AVERAGE(_xlfn.ANCHORARRAY(NV130))),0)</f>
        <v>0</v>
      </c>
      <c r="OG130" t="str" cm="1">
        <f t="array" ref="OG130">IF(OF130&gt;$OG$1,_xlfn.XLOOKUP(MAX(_xlfn.ANCHORARRAY(NV130)),_xlfn.ANCHORARRAY(NV130),NV$4:OE$4,""),"")</f>
        <v/>
      </c>
      <c r="OI130" t="str">
        <f t="shared" si="17"/>
        <v/>
      </c>
    </row>
    <row r="131" spans="2:399" x14ac:dyDescent="0.3">
      <c r="B131" s="2" t="str">
        <f t="shared" si="9"/>
        <v>LLC</v>
      </c>
      <c r="C131" s="2" t="str">
        <f t="shared" si="10"/>
        <v>LLC</v>
      </c>
      <c r="D131" s="2" t="str">
        <f t="shared" si="11"/>
        <v>LLC</v>
      </c>
      <c r="E131" s="2" t="str">
        <f t="shared" si="12"/>
        <v/>
      </c>
      <c r="F131" s="2">
        <f t="shared" si="13"/>
        <v>0</v>
      </c>
      <c r="G131" s="2">
        <f t="shared" si="14"/>
        <v>0</v>
      </c>
      <c r="H131" s="2">
        <f t="shared" si="15"/>
        <v>0</v>
      </c>
      <c r="I131" s="2">
        <f t="shared" si="16"/>
        <v>0</v>
      </c>
      <c r="NH131" cm="1">
        <f t="array" ref="NH131:NJ131">SUMIFS($J131:$GG131,$J$1:$GG$1,NH$3:NJ$3)</f>
        <v>0</v>
      </c>
      <c r="NI131">
        <v>0</v>
      </c>
      <c r="NJ131">
        <v>0</v>
      </c>
      <c r="NK131" cm="1">
        <f t="array" ref="NK131">IFERROR(MAX((_xlfn.ANCHORARRAY(NH131)-AVERAGE(_xlfn.ANCHORARRAY(NH131)))/ AVERAGE(_xlfn.ANCHORARRAY(NH131))),0)</f>
        <v>0</v>
      </c>
      <c r="NL131" t="str" cm="1">
        <f t="array" ref="NL131">IF(NK131&gt;$NL$1,_xlfn.XLOOKUP(MAX(_xlfn.ANCHORARRAY(NH131)),_xlfn.ANCHORARRAY(NH131),NH$4:NJ$4,""),"")</f>
        <v/>
      </c>
      <c r="NN131" cm="1">
        <f t="array" ref="NN131:NR131">SUMIFS($J131:$GG131,$J$3:$GG$3,NN$3:NR$3)</f>
        <v>0</v>
      </c>
      <c r="NO131">
        <v>0</v>
      </c>
      <c r="NP131">
        <v>0</v>
      </c>
      <c r="NQ131">
        <v>0</v>
      </c>
      <c r="NR131">
        <v>0</v>
      </c>
      <c r="NS131" cm="1">
        <f t="array" ref="NS131">IFERROR(MAX((_xlfn.ANCHORARRAY(NN131)-AVERAGE(_xlfn.ANCHORARRAY(NN131)))/ AVERAGE(_xlfn.ANCHORARRAY(NN131))),0)</f>
        <v>0</v>
      </c>
      <c r="NT131" t="str" cm="1">
        <f t="array" ref="NT131">IF(AND(NS131&gt;$NT$1,NL131&lt;&gt;""),_xlfn.XLOOKUP(MAX(_xlfn.ANCHORARRAY(NN131)),_xlfn.ANCHORARRAY(NN131),NN$4:NR$4,""),"")</f>
        <v/>
      </c>
      <c r="NV131" cm="1">
        <f t="array" ref="NV131:OE131">SUMIFS($J131:$GG131,$J$2:$GG$2,NV$3:OE$3)</f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 cm="1">
        <f t="array" ref="OF131">IFERROR(MAX((_xlfn.ANCHORARRAY(NV131)-AVERAGE(_xlfn.ANCHORARRAY(NV131)))/ AVERAGE(_xlfn.ANCHORARRAY(NV131))),0)</f>
        <v>0</v>
      </c>
      <c r="OG131" t="str" cm="1">
        <f t="array" ref="OG131">IF(OF131&gt;$OG$1,_xlfn.XLOOKUP(MAX(_xlfn.ANCHORARRAY(NV131)),_xlfn.ANCHORARRAY(NV131),NV$4:OE$4,""),"")</f>
        <v/>
      </c>
      <c r="OI131" t="str">
        <f t="shared" si="17"/>
        <v/>
      </c>
    </row>
    <row r="132" spans="2:399" x14ac:dyDescent="0.3">
      <c r="B132" s="2" t="str">
        <f t="shared" si="9"/>
        <v>LLC</v>
      </c>
      <c r="C132" s="2" t="str">
        <f t="shared" si="10"/>
        <v>LLC</v>
      </c>
      <c r="D132" s="2" t="str">
        <f t="shared" si="11"/>
        <v>LLC</v>
      </c>
      <c r="E132" s="2" t="str">
        <f t="shared" si="12"/>
        <v/>
      </c>
      <c r="F132" s="2">
        <f t="shared" si="13"/>
        <v>0</v>
      </c>
      <c r="G132" s="2">
        <f t="shared" si="14"/>
        <v>0</v>
      </c>
      <c r="H132" s="2">
        <f t="shared" si="15"/>
        <v>0</v>
      </c>
      <c r="I132" s="2">
        <f t="shared" si="16"/>
        <v>0</v>
      </c>
      <c r="NH132" cm="1">
        <f t="array" ref="NH132:NJ132">SUMIFS($J132:$GG132,$J$1:$GG$1,NH$3:NJ$3)</f>
        <v>0</v>
      </c>
      <c r="NI132">
        <v>0</v>
      </c>
      <c r="NJ132">
        <v>0</v>
      </c>
      <c r="NK132" cm="1">
        <f t="array" ref="NK132">IFERROR(MAX((_xlfn.ANCHORARRAY(NH132)-AVERAGE(_xlfn.ANCHORARRAY(NH132)))/ AVERAGE(_xlfn.ANCHORARRAY(NH132))),0)</f>
        <v>0</v>
      </c>
      <c r="NL132" t="str" cm="1">
        <f t="array" ref="NL132">IF(NK132&gt;$NL$1,_xlfn.XLOOKUP(MAX(_xlfn.ANCHORARRAY(NH132)),_xlfn.ANCHORARRAY(NH132),NH$4:NJ$4,""),"")</f>
        <v/>
      </c>
      <c r="NN132" cm="1">
        <f t="array" ref="NN132:NR132">SUMIFS($J132:$GG132,$J$3:$GG$3,NN$3:NR$3)</f>
        <v>0</v>
      </c>
      <c r="NO132">
        <v>0</v>
      </c>
      <c r="NP132">
        <v>0</v>
      </c>
      <c r="NQ132">
        <v>0</v>
      </c>
      <c r="NR132">
        <v>0</v>
      </c>
      <c r="NS132" cm="1">
        <f t="array" ref="NS132">IFERROR(MAX((_xlfn.ANCHORARRAY(NN132)-AVERAGE(_xlfn.ANCHORARRAY(NN132)))/ AVERAGE(_xlfn.ANCHORARRAY(NN132))),0)</f>
        <v>0</v>
      </c>
      <c r="NT132" t="str" cm="1">
        <f t="array" ref="NT132">IF(AND(NS132&gt;$NT$1,NL132&lt;&gt;""),_xlfn.XLOOKUP(MAX(_xlfn.ANCHORARRAY(NN132)),_xlfn.ANCHORARRAY(NN132),NN$4:NR$4,""),"")</f>
        <v/>
      </c>
      <c r="NV132" cm="1">
        <f t="array" ref="NV132:OE132">SUMIFS($J132:$GG132,$J$2:$GG$2,NV$3:OE$3)</f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 cm="1">
        <f t="array" ref="OF132">IFERROR(MAX((_xlfn.ANCHORARRAY(NV132)-AVERAGE(_xlfn.ANCHORARRAY(NV132)))/ AVERAGE(_xlfn.ANCHORARRAY(NV132))),0)</f>
        <v>0</v>
      </c>
      <c r="OG132" t="str" cm="1">
        <f t="array" ref="OG132">IF(OF132&gt;$OG$1,_xlfn.XLOOKUP(MAX(_xlfn.ANCHORARRAY(NV132)),_xlfn.ANCHORARRAY(NV132),NV$4:OE$4,""),"")</f>
        <v/>
      </c>
      <c r="OI132" t="str">
        <f t="shared" si="17"/>
        <v/>
      </c>
    </row>
    <row r="133" spans="2:399" x14ac:dyDescent="0.3">
      <c r="B133" s="2" t="str">
        <f t="shared" si="9"/>
        <v>LLC</v>
      </c>
      <c r="C133" s="2" t="str">
        <f t="shared" si="10"/>
        <v>LLC</v>
      </c>
      <c r="D133" s="2" t="str">
        <f t="shared" si="11"/>
        <v>LLC</v>
      </c>
      <c r="E133" s="2" t="str">
        <f t="shared" si="12"/>
        <v/>
      </c>
      <c r="F133" s="2">
        <f t="shared" si="13"/>
        <v>0</v>
      </c>
      <c r="G133" s="2">
        <f t="shared" si="14"/>
        <v>0</v>
      </c>
      <c r="H133" s="2">
        <f t="shared" si="15"/>
        <v>0</v>
      </c>
      <c r="I133" s="2">
        <f t="shared" si="16"/>
        <v>0</v>
      </c>
      <c r="NH133" cm="1">
        <f t="array" ref="NH133:NJ133">SUMIFS($J133:$GG133,$J$1:$GG$1,NH$3:NJ$3)</f>
        <v>0</v>
      </c>
      <c r="NI133">
        <v>0</v>
      </c>
      <c r="NJ133">
        <v>0</v>
      </c>
      <c r="NK133" cm="1">
        <f t="array" ref="NK133">IFERROR(MAX((_xlfn.ANCHORARRAY(NH133)-AVERAGE(_xlfn.ANCHORARRAY(NH133)))/ AVERAGE(_xlfn.ANCHORARRAY(NH133))),0)</f>
        <v>0</v>
      </c>
      <c r="NL133" t="str" cm="1">
        <f t="array" ref="NL133">IF(NK133&gt;$NL$1,_xlfn.XLOOKUP(MAX(_xlfn.ANCHORARRAY(NH133)),_xlfn.ANCHORARRAY(NH133),NH$4:NJ$4,""),"")</f>
        <v/>
      </c>
      <c r="NN133" cm="1">
        <f t="array" ref="NN133:NR133">SUMIFS($J133:$GG133,$J$3:$GG$3,NN$3:NR$3)</f>
        <v>0</v>
      </c>
      <c r="NO133">
        <v>0</v>
      </c>
      <c r="NP133">
        <v>0</v>
      </c>
      <c r="NQ133">
        <v>0</v>
      </c>
      <c r="NR133">
        <v>0</v>
      </c>
      <c r="NS133" cm="1">
        <f t="array" ref="NS133">IFERROR(MAX((_xlfn.ANCHORARRAY(NN133)-AVERAGE(_xlfn.ANCHORARRAY(NN133)))/ AVERAGE(_xlfn.ANCHORARRAY(NN133))),0)</f>
        <v>0</v>
      </c>
      <c r="NT133" t="str" cm="1">
        <f t="array" ref="NT133">IF(AND(NS133&gt;$NT$1,NL133&lt;&gt;""),_xlfn.XLOOKUP(MAX(_xlfn.ANCHORARRAY(NN133)),_xlfn.ANCHORARRAY(NN133),NN$4:NR$4,""),"")</f>
        <v/>
      </c>
      <c r="NV133" cm="1">
        <f t="array" ref="NV133:OE133">SUMIFS($J133:$GG133,$J$2:$GG$2,NV$3:OE$3)</f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 cm="1">
        <f t="array" ref="OF133">IFERROR(MAX((_xlfn.ANCHORARRAY(NV133)-AVERAGE(_xlfn.ANCHORARRAY(NV133)))/ AVERAGE(_xlfn.ANCHORARRAY(NV133))),0)</f>
        <v>0</v>
      </c>
      <c r="OG133" t="str" cm="1">
        <f t="array" ref="OG133">IF(OF133&gt;$OG$1,_xlfn.XLOOKUP(MAX(_xlfn.ANCHORARRAY(NV133)),_xlfn.ANCHORARRAY(NV133),NV$4:OE$4,""),"")</f>
        <v/>
      </c>
      <c r="OI133" t="str">
        <f t="shared" si="17"/>
        <v/>
      </c>
    </row>
    <row r="134" spans="2:399" x14ac:dyDescent="0.3">
      <c r="B134" s="2" t="str">
        <f t="shared" ref="B134:B188" si="18">IF(C134="NotFound",D134,C134)</f>
        <v>LLC</v>
      </c>
      <c r="C134" s="2" t="str">
        <f t="shared" ref="C134:C188" si="19">IF(H134&gt;1,"NotFound","LLC"&amp;_xlfn.XLOOKUP(MAX(J134:GG134,1),J134:GG134,$J$4:$GG$4,""))</f>
        <v>LLC</v>
      </c>
      <c r="D134" s="2" t="str">
        <f t="shared" ref="D134:D188" si="20">IF(F134&gt;1,"NotFound","LLC"&amp;_xlfn.XLOOKUP(MAX(GI134:NF134,1),GI134:NF134,$GI$4:$NF$4,""))</f>
        <v>LLC</v>
      </c>
      <c r="E134" s="2" t="str">
        <f t="shared" ref="E134:E188" si="21">OI134</f>
        <v/>
      </c>
      <c r="F134" s="2">
        <f t="shared" ref="F134:F188" si="22">COUNTIF(GI134:NF134,G134)</f>
        <v>0</v>
      </c>
      <c r="G134" s="2">
        <f t="shared" ref="G134:G188" si="23">MAX(GI134:NF134)</f>
        <v>0</v>
      </c>
      <c r="H134" s="2">
        <f t="shared" ref="H134:H188" si="24">COUNTIF(J134:GG134,I134)</f>
        <v>0</v>
      </c>
      <c r="I134" s="2">
        <f t="shared" ref="I134:I188" si="25">MAX(J134:GG134)</f>
        <v>0</v>
      </c>
      <c r="NH134" cm="1">
        <f t="array" ref="NH134:NJ134">SUMIFS($J134:$GG134,$J$1:$GG$1,NH$3:NJ$3)</f>
        <v>0</v>
      </c>
      <c r="NI134">
        <v>0</v>
      </c>
      <c r="NJ134">
        <v>0</v>
      </c>
      <c r="NK134" cm="1">
        <f t="array" ref="NK134">IFERROR(MAX((_xlfn.ANCHORARRAY(NH134)-AVERAGE(_xlfn.ANCHORARRAY(NH134)))/ AVERAGE(_xlfn.ANCHORARRAY(NH134))),0)</f>
        <v>0</v>
      </c>
      <c r="NL134" t="str" cm="1">
        <f t="array" ref="NL134">IF(NK134&gt;$NL$1,_xlfn.XLOOKUP(MAX(_xlfn.ANCHORARRAY(NH134)),_xlfn.ANCHORARRAY(NH134),NH$4:NJ$4,""),"")</f>
        <v/>
      </c>
      <c r="NN134" cm="1">
        <f t="array" ref="NN134:NR134">SUMIFS($J134:$GG134,$J$3:$GG$3,NN$3:NR$3)</f>
        <v>0</v>
      </c>
      <c r="NO134">
        <v>0</v>
      </c>
      <c r="NP134">
        <v>0</v>
      </c>
      <c r="NQ134">
        <v>0</v>
      </c>
      <c r="NR134">
        <v>0</v>
      </c>
      <c r="NS134" cm="1">
        <f t="array" ref="NS134">IFERROR(MAX((_xlfn.ANCHORARRAY(NN134)-AVERAGE(_xlfn.ANCHORARRAY(NN134)))/ AVERAGE(_xlfn.ANCHORARRAY(NN134))),0)</f>
        <v>0</v>
      </c>
      <c r="NT134" t="str" cm="1">
        <f t="array" ref="NT134">IF(AND(NS134&gt;$NT$1,NL134&lt;&gt;""),_xlfn.XLOOKUP(MAX(_xlfn.ANCHORARRAY(NN134)),_xlfn.ANCHORARRAY(NN134),NN$4:NR$4,""),"")</f>
        <v/>
      </c>
      <c r="NV134" cm="1">
        <f t="array" ref="NV134:OE134">SUMIFS($J134:$GG134,$J$2:$GG$2,NV$3:OE$3)</f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 cm="1">
        <f t="array" ref="OF134">IFERROR(MAX((_xlfn.ANCHORARRAY(NV134)-AVERAGE(_xlfn.ANCHORARRAY(NV134)))/ AVERAGE(_xlfn.ANCHORARRAY(NV134))),0)</f>
        <v>0</v>
      </c>
      <c r="OG134" t="str" cm="1">
        <f t="array" ref="OG134">IF(OF134&gt;$OG$1,_xlfn.XLOOKUP(MAX(_xlfn.ANCHORARRAY(NV134)),_xlfn.ANCHORARRAY(NV134),NV$4:OE$4,""),"")</f>
        <v/>
      </c>
      <c r="OI134" t="str">
        <f t="shared" ref="OI134:OI188" si="26">_xlfn.TEXTJOIN(" : ",,NL134,NT134,OG134)</f>
        <v/>
      </c>
    </row>
    <row r="135" spans="2:399" x14ac:dyDescent="0.3">
      <c r="B135" s="2" t="str">
        <f t="shared" si="18"/>
        <v>LLC</v>
      </c>
      <c r="C135" s="2" t="str">
        <f t="shared" si="19"/>
        <v>LLC</v>
      </c>
      <c r="D135" s="2" t="str">
        <f t="shared" si="20"/>
        <v>LLC</v>
      </c>
      <c r="E135" s="2" t="str">
        <f t="shared" si="21"/>
        <v/>
      </c>
      <c r="F135" s="2">
        <f t="shared" si="22"/>
        <v>0</v>
      </c>
      <c r="G135" s="2">
        <f t="shared" si="23"/>
        <v>0</v>
      </c>
      <c r="H135" s="2">
        <f t="shared" si="24"/>
        <v>0</v>
      </c>
      <c r="I135" s="2">
        <f t="shared" si="25"/>
        <v>0</v>
      </c>
      <c r="NH135" cm="1">
        <f t="array" ref="NH135:NJ135">SUMIFS($J135:$GG135,$J$1:$GG$1,NH$3:NJ$3)</f>
        <v>0</v>
      </c>
      <c r="NI135">
        <v>0</v>
      </c>
      <c r="NJ135">
        <v>0</v>
      </c>
      <c r="NK135" cm="1">
        <f t="array" ref="NK135">IFERROR(MAX((_xlfn.ANCHORARRAY(NH135)-AVERAGE(_xlfn.ANCHORARRAY(NH135)))/ AVERAGE(_xlfn.ANCHORARRAY(NH135))),0)</f>
        <v>0</v>
      </c>
      <c r="NL135" t="str" cm="1">
        <f t="array" ref="NL135">IF(NK135&gt;$NL$1,_xlfn.XLOOKUP(MAX(_xlfn.ANCHORARRAY(NH135)),_xlfn.ANCHORARRAY(NH135),NH$4:NJ$4,""),"")</f>
        <v/>
      </c>
      <c r="NN135" cm="1">
        <f t="array" ref="NN135:NR135">SUMIFS($J135:$GG135,$J$3:$GG$3,NN$3:NR$3)</f>
        <v>0</v>
      </c>
      <c r="NO135">
        <v>0</v>
      </c>
      <c r="NP135">
        <v>0</v>
      </c>
      <c r="NQ135">
        <v>0</v>
      </c>
      <c r="NR135">
        <v>0</v>
      </c>
      <c r="NS135" cm="1">
        <f t="array" ref="NS135">IFERROR(MAX((_xlfn.ANCHORARRAY(NN135)-AVERAGE(_xlfn.ANCHORARRAY(NN135)))/ AVERAGE(_xlfn.ANCHORARRAY(NN135))),0)</f>
        <v>0</v>
      </c>
      <c r="NT135" t="str" cm="1">
        <f t="array" ref="NT135">IF(AND(NS135&gt;$NT$1,NL135&lt;&gt;""),_xlfn.XLOOKUP(MAX(_xlfn.ANCHORARRAY(NN135)),_xlfn.ANCHORARRAY(NN135),NN$4:NR$4,""),"")</f>
        <v/>
      </c>
      <c r="NV135" cm="1">
        <f t="array" ref="NV135:OE135">SUMIFS($J135:$GG135,$J$2:$GG$2,NV$3:OE$3)</f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 cm="1">
        <f t="array" ref="OF135">IFERROR(MAX((_xlfn.ANCHORARRAY(NV135)-AVERAGE(_xlfn.ANCHORARRAY(NV135)))/ AVERAGE(_xlfn.ANCHORARRAY(NV135))),0)</f>
        <v>0</v>
      </c>
      <c r="OG135" t="str" cm="1">
        <f t="array" ref="OG135">IF(OF135&gt;$OG$1,_xlfn.XLOOKUP(MAX(_xlfn.ANCHORARRAY(NV135)),_xlfn.ANCHORARRAY(NV135),NV$4:OE$4,""),"")</f>
        <v/>
      </c>
      <c r="OI135" t="str">
        <f t="shared" si="26"/>
        <v/>
      </c>
    </row>
    <row r="136" spans="2:399" x14ac:dyDescent="0.3">
      <c r="B136" s="2" t="str">
        <f t="shared" si="18"/>
        <v>LLC</v>
      </c>
      <c r="C136" s="2" t="str">
        <f t="shared" si="19"/>
        <v>LLC</v>
      </c>
      <c r="D136" s="2" t="str">
        <f t="shared" si="20"/>
        <v>LLC</v>
      </c>
      <c r="E136" s="2" t="str">
        <f t="shared" si="21"/>
        <v/>
      </c>
      <c r="F136" s="2">
        <f t="shared" si="22"/>
        <v>0</v>
      </c>
      <c r="G136" s="2">
        <f t="shared" si="23"/>
        <v>0</v>
      </c>
      <c r="H136" s="2">
        <f t="shared" si="24"/>
        <v>0</v>
      </c>
      <c r="I136" s="2">
        <f t="shared" si="25"/>
        <v>0</v>
      </c>
      <c r="NH136" cm="1">
        <f t="array" ref="NH136:NJ136">SUMIFS($J136:$GG136,$J$1:$GG$1,NH$3:NJ$3)</f>
        <v>0</v>
      </c>
      <c r="NI136">
        <v>0</v>
      </c>
      <c r="NJ136">
        <v>0</v>
      </c>
      <c r="NK136" cm="1">
        <f t="array" ref="NK136">IFERROR(MAX((_xlfn.ANCHORARRAY(NH136)-AVERAGE(_xlfn.ANCHORARRAY(NH136)))/ AVERAGE(_xlfn.ANCHORARRAY(NH136))),0)</f>
        <v>0</v>
      </c>
      <c r="NL136" t="str" cm="1">
        <f t="array" ref="NL136">IF(NK136&gt;$NL$1,_xlfn.XLOOKUP(MAX(_xlfn.ANCHORARRAY(NH136)),_xlfn.ANCHORARRAY(NH136),NH$4:NJ$4,""),"")</f>
        <v/>
      </c>
      <c r="NN136" cm="1">
        <f t="array" ref="NN136:NR136">SUMIFS($J136:$GG136,$J$3:$GG$3,NN$3:NR$3)</f>
        <v>0</v>
      </c>
      <c r="NO136">
        <v>0</v>
      </c>
      <c r="NP136">
        <v>0</v>
      </c>
      <c r="NQ136">
        <v>0</v>
      </c>
      <c r="NR136">
        <v>0</v>
      </c>
      <c r="NS136" cm="1">
        <f t="array" ref="NS136">IFERROR(MAX((_xlfn.ANCHORARRAY(NN136)-AVERAGE(_xlfn.ANCHORARRAY(NN136)))/ AVERAGE(_xlfn.ANCHORARRAY(NN136))),0)</f>
        <v>0</v>
      </c>
      <c r="NT136" t="str" cm="1">
        <f t="array" ref="NT136">IF(AND(NS136&gt;$NT$1,NL136&lt;&gt;""),_xlfn.XLOOKUP(MAX(_xlfn.ANCHORARRAY(NN136)),_xlfn.ANCHORARRAY(NN136),NN$4:NR$4,""),"")</f>
        <v/>
      </c>
      <c r="NV136" cm="1">
        <f t="array" ref="NV136:OE136">SUMIFS($J136:$GG136,$J$2:$GG$2,NV$3:OE$3)</f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 cm="1">
        <f t="array" ref="OF136">IFERROR(MAX((_xlfn.ANCHORARRAY(NV136)-AVERAGE(_xlfn.ANCHORARRAY(NV136)))/ AVERAGE(_xlfn.ANCHORARRAY(NV136))),0)</f>
        <v>0</v>
      </c>
      <c r="OG136" t="str" cm="1">
        <f t="array" ref="OG136">IF(OF136&gt;$OG$1,_xlfn.XLOOKUP(MAX(_xlfn.ANCHORARRAY(NV136)),_xlfn.ANCHORARRAY(NV136),NV$4:OE$4,""),"")</f>
        <v/>
      </c>
      <c r="OI136" t="str">
        <f t="shared" si="26"/>
        <v/>
      </c>
    </row>
    <row r="137" spans="2:399" x14ac:dyDescent="0.3">
      <c r="B137" s="2" t="str">
        <f t="shared" si="18"/>
        <v>LLC</v>
      </c>
      <c r="C137" s="2" t="str">
        <f t="shared" si="19"/>
        <v>LLC</v>
      </c>
      <c r="D137" s="2" t="str">
        <f t="shared" si="20"/>
        <v>LLC</v>
      </c>
      <c r="E137" s="2" t="str">
        <f t="shared" si="21"/>
        <v/>
      </c>
      <c r="F137" s="2">
        <f t="shared" si="22"/>
        <v>0</v>
      </c>
      <c r="G137" s="2">
        <f t="shared" si="23"/>
        <v>0</v>
      </c>
      <c r="H137" s="2">
        <f t="shared" si="24"/>
        <v>0</v>
      </c>
      <c r="I137" s="2">
        <f t="shared" si="25"/>
        <v>0</v>
      </c>
      <c r="NH137" cm="1">
        <f t="array" ref="NH137:NJ137">SUMIFS($J137:$GG137,$J$1:$GG$1,NH$3:NJ$3)</f>
        <v>0</v>
      </c>
      <c r="NI137">
        <v>0</v>
      </c>
      <c r="NJ137">
        <v>0</v>
      </c>
      <c r="NK137" cm="1">
        <f t="array" ref="NK137">IFERROR(MAX((_xlfn.ANCHORARRAY(NH137)-AVERAGE(_xlfn.ANCHORARRAY(NH137)))/ AVERAGE(_xlfn.ANCHORARRAY(NH137))),0)</f>
        <v>0</v>
      </c>
      <c r="NL137" t="str" cm="1">
        <f t="array" ref="NL137">IF(NK137&gt;$NL$1,_xlfn.XLOOKUP(MAX(_xlfn.ANCHORARRAY(NH137)),_xlfn.ANCHORARRAY(NH137),NH$4:NJ$4,""),"")</f>
        <v/>
      </c>
      <c r="NN137" cm="1">
        <f t="array" ref="NN137:NR137">SUMIFS($J137:$GG137,$J$3:$GG$3,NN$3:NR$3)</f>
        <v>0</v>
      </c>
      <c r="NO137">
        <v>0</v>
      </c>
      <c r="NP137">
        <v>0</v>
      </c>
      <c r="NQ137">
        <v>0</v>
      </c>
      <c r="NR137">
        <v>0</v>
      </c>
      <c r="NS137" cm="1">
        <f t="array" ref="NS137">IFERROR(MAX((_xlfn.ANCHORARRAY(NN137)-AVERAGE(_xlfn.ANCHORARRAY(NN137)))/ AVERAGE(_xlfn.ANCHORARRAY(NN137))),0)</f>
        <v>0</v>
      </c>
      <c r="NT137" t="str" cm="1">
        <f t="array" ref="NT137">IF(AND(NS137&gt;$NT$1,NL137&lt;&gt;""),_xlfn.XLOOKUP(MAX(_xlfn.ANCHORARRAY(NN137)),_xlfn.ANCHORARRAY(NN137),NN$4:NR$4,""),"")</f>
        <v/>
      </c>
      <c r="NV137" cm="1">
        <f t="array" ref="NV137:OE137">SUMIFS($J137:$GG137,$J$2:$GG$2,NV$3:OE$3)</f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 cm="1">
        <f t="array" ref="OF137">IFERROR(MAX((_xlfn.ANCHORARRAY(NV137)-AVERAGE(_xlfn.ANCHORARRAY(NV137)))/ AVERAGE(_xlfn.ANCHORARRAY(NV137))),0)</f>
        <v>0</v>
      </c>
      <c r="OG137" t="str" cm="1">
        <f t="array" ref="OG137">IF(OF137&gt;$OG$1,_xlfn.XLOOKUP(MAX(_xlfn.ANCHORARRAY(NV137)),_xlfn.ANCHORARRAY(NV137),NV$4:OE$4,""),"")</f>
        <v/>
      </c>
      <c r="OI137" t="str">
        <f t="shared" si="26"/>
        <v/>
      </c>
    </row>
    <row r="138" spans="2:399" x14ac:dyDescent="0.3">
      <c r="B138" s="2" t="str">
        <f t="shared" si="18"/>
        <v>LLC</v>
      </c>
      <c r="C138" s="2" t="str">
        <f t="shared" si="19"/>
        <v>LLC</v>
      </c>
      <c r="D138" s="2" t="str">
        <f t="shared" si="20"/>
        <v>LLC</v>
      </c>
      <c r="E138" s="2" t="str">
        <f t="shared" si="21"/>
        <v/>
      </c>
      <c r="F138" s="2">
        <f t="shared" si="22"/>
        <v>0</v>
      </c>
      <c r="G138" s="2">
        <f t="shared" si="23"/>
        <v>0</v>
      </c>
      <c r="H138" s="2">
        <f t="shared" si="24"/>
        <v>0</v>
      </c>
      <c r="I138" s="2">
        <f t="shared" si="25"/>
        <v>0</v>
      </c>
      <c r="NH138" cm="1">
        <f t="array" ref="NH138:NJ138">SUMIFS($J138:$GG138,$J$1:$GG$1,NH$3:NJ$3)</f>
        <v>0</v>
      </c>
      <c r="NI138">
        <v>0</v>
      </c>
      <c r="NJ138">
        <v>0</v>
      </c>
      <c r="NK138" cm="1">
        <f t="array" ref="NK138">IFERROR(MAX((_xlfn.ANCHORARRAY(NH138)-AVERAGE(_xlfn.ANCHORARRAY(NH138)))/ AVERAGE(_xlfn.ANCHORARRAY(NH138))),0)</f>
        <v>0</v>
      </c>
      <c r="NL138" t="str" cm="1">
        <f t="array" ref="NL138">IF(NK138&gt;$NL$1,_xlfn.XLOOKUP(MAX(_xlfn.ANCHORARRAY(NH138)),_xlfn.ANCHORARRAY(NH138),NH$4:NJ$4,""),"")</f>
        <v/>
      </c>
      <c r="NN138" cm="1">
        <f t="array" ref="NN138:NR138">SUMIFS($J138:$GG138,$J$3:$GG$3,NN$3:NR$3)</f>
        <v>0</v>
      </c>
      <c r="NO138">
        <v>0</v>
      </c>
      <c r="NP138">
        <v>0</v>
      </c>
      <c r="NQ138">
        <v>0</v>
      </c>
      <c r="NR138">
        <v>0</v>
      </c>
      <c r="NS138" cm="1">
        <f t="array" ref="NS138">IFERROR(MAX((_xlfn.ANCHORARRAY(NN138)-AVERAGE(_xlfn.ANCHORARRAY(NN138)))/ AVERAGE(_xlfn.ANCHORARRAY(NN138))),0)</f>
        <v>0</v>
      </c>
      <c r="NT138" t="str" cm="1">
        <f t="array" ref="NT138">IF(AND(NS138&gt;$NT$1,NL138&lt;&gt;""),_xlfn.XLOOKUP(MAX(_xlfn.ANCHORARRAY(NN138)),_xlfn.ANCHORARRAY(NN138),NN$4:NR$4,""),"")</f>
        <v/>
      </c>
      <c r="NV138" cm="1">
        <f t="array" ref="NV138:OE138">SUMIFS($J138:$GG138,$J$2:$GG$2,NV$3:OE$3)</f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 cm="1">
        <f t="array" ref="OF138">IFERROR(MAX((_xlfn.ANCHORARRAY(NV138)-AVERAGE(_xlfn.ANCHORARRAY(NV138)))/ AVERAGE(_xlfn.ANCHORARRAY(NV138))),0)</f>
        <v>0</v>
      </c>
      <c r="OG138" t="str" cm="1">
        <f t="array" ref="OG138">IF(OF138&gt;$OG$1,_xlfn.XLOOKUP(MAX(_xlfn.ANCHORARRAY(NV138)),_xlfn.ANCHORARRAY(NV138),NV$4:OE$4,""),"")</f>
        <v/>
      </c>
      <c r="OI138" t="str">
        <f t="shared" si="26"/>
        <v/>
      </c>
    </row>
    <row r="139" spans="2:399" x14ac:dyDescent="0.3">
      <c r="B139" s="2" t="str">
        <f t="shared" si="18"/>
        <v>LLC</v>
      </c>
      <c r="C139" s="2" t="str">
        <f t="shared" si="19"/>
        <v>LLC</v>
      </c>
      <c r="D139" s="2" t="str">
        <f t="shared" si="20"/>
        <v>LLC</v>
      </c>
      <c r="E139" s="2" t="str">
        <f t="shared" si="21"/>
        <v/>
      </c>
      <c r="F139" s="2">
        <f t="shared" si="22"/>
        <v>0</v>
      </c>
      <c r="G139" s="2">
        <f t="shared" si="23"/>
        <v>0</v>
      </c>
      <c r="H139" s="2">
        <f t="shared" si="24"/>
        <v>0</v>
      </c>
      <c r="I139" s="2">
        <f t="shared" si="25"/>
        <v>0</v>
      </c>
      <c r="NH139" cm="1">
        <f t="array" ref="NH139:NJ139">SUMIFS($J139:$GG139,$J$1:$GG$1,NH$3:NJ$3)</f>
        <v>0</v>
      </c>
      <c r="NI139">
        <v>0</v>
      </c>
      <c r="NJ139">
        <v>0</v>
      </c>
      <c r="NK139" cm="1">
        <f t="array" ref="NK139">IFERROR(MAX((_xlfn.ANCHORARRAY(NH139)-AVERAGE(_xlfn.ANCHORARRAY(NH139)))/ AVERAGE(_xlfn.ANCHORARRAY(NH139))),0)</f>
        <v>0</v>
      </c>
      <c r="NL139" t="str" cm="1">
        <f t="array" ref="NL139">IF(NK139&gt;$NL$1,_xlfn.XLOOKUP(MAX(_xlfn.ANCHORARRAY(NH139)),_xlfn.ANCHORARRAY(NH139),NH$4:NJ$4,""),"")</f>
        <v/>
      </c>
      <c r="NN139" cm="1">
        <f t="array" ref="NN139:NR139">SUMIFS($J139:$GG139,$J$3:$GG$3,NN$3:NR$3)</f>
        <v>0</v>
      </c>
      <c r="NO139">
        <v>0</v>
      </c>
      <c r="NP139">
        <v>0</v>
      </c>
      <c r="NQ139">
        <v>0</v>
      </c>
      <c r="NR139">
        <v>0</v>
      </c>
      <c r="NS139" cm="1">
        <f t="array" ref="NS139">IFERROR(MAX((_xlfn.ANCHORARRAY(NN139)-AVERAGE(_xlfn.ANCHORARRAY(NN139)))/ AVERAGE(_xlfn.ANCHORARRAY(NN139))),0)</f>
        <v>0</v>
      </c>
      <c r="NT139" t="str" cm="1">
        <f t="array" ref="NT139">IF(AND(NS139&gt;$NT$1,NL139&lt;&gt;""),_xlfn.XLOOKUP(MAX(_xlfn.ANCHORARRAY(NN139)),_xlfn.ANCHORARRAY(NN139),NN$4:NR$4,""),"")</f>
        <v/>
      </c>
      <c r="NV139" cm="1">
        <f t="array" ref="NV139:OE139">SUMIFS($J139:$GG139,$J$2:$GG$2,NV$3:OE$3)</f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 cm="1">
        <f t="array" ref="OF139">IFERROR(MAX((_xlfn.ANCHORARRAY(NV139)-AVERAGE(_xlfn.ANCHORARRAY(NV139)))/ AVERAGE(_xlfn.ANCHORARRAY(NV139))),0)</f>
        <v>0</v>
      </c>
      <c r="OG139" t="str" cm="1">
        <f t="array" ref="OG139">IF(OF139&gt;$OG$1,_xlfn.XLOOKUP(MAX(_xlfn.ANCHORARRAY(NV139)),_xlfn.ANCHORARRAY(NV139),NV$4:OE$4,""),"")</f>
        <v/>
      </c>
      <c r="OI139" t="str">
        <f t="shared" si="26"/>
        <v/>
      </c>
    </row>
    <row r="140" spans="2:399" x14ac:dyDescent="0.3">
      <c r="B140" s="2" t="str">
        <f t="shared" si="18"/>
        <v>LLC</v>
      </c>
      <c r="C140" s="2" t="str">
        <f t="shared" si="19"/>
        <v>LLC</v>
      </c>
      <c r="D140" s="2" t="str">
        <f t="shared" si="20"/>
        <v>LLC</v>
      </c>
      <c r="E140" s="2" t="str">
        <f t="shared" si="21"/>
        <v/>
      </c>
      <c r="F140" s="2">
        <f t="shared" si="22"/>
        <v>0</v>
      </c>
      <c r="G140" s="2">
        <f t="shared" si="23"/>
        <v>0</v>
      </c>
      <c r="H140" s="2">
        <f t="shared" si="24"/>
        <v>0</v>
      </c>
      <c r="I140" s="2">
        <f t="shared" si="25"/>
        <v>0</v>
      </c>
      <c r="NH140" cm="1">
        <f t="array" ref="NH140:NJ140">SUMIFS($J140:$GG140,$J$1:$GG$1,NH$3:NJ$3)</f>
        <v>0</v>
      </c>
      <c r="NI140">
        <v>0</v>
      </c>
      <c r="NJ140">
        <v>0</v>
      </c>
      <c r="NK140" cm="1">
        <f t="array" ref="NK140">IFERROR(MAX((_xlfn.ANCHORARRAY(NH140)-AVERAGE(_xlfn.ANCHORARRAY(NH140)))/ AVERAGE(_xlfn.ANCHORARRAY(NH140))),0)</f>
        <v>0</v>
      </c>
      <c r="NL140" t="str" cm="1">
        <f t="array" ref="NL140">IF(NK140&gt;$NL$1,_xlfn.XLOOKUP(MAX(_xlfn.ANCHORARRAY(NH140)),_xlfn.ANCHORARRAY(NH140),NH$4:NJ$4,""),"")</f>
        <v/>
      </c>
      <c r="NN140" cm="1">
        <f t="array" ref="NN140:NR140">SUMIFS($J140:$GG140,$J$3:$GG$3,NN$3:NR$3)</f>
        <v>0</v>
      </c>
      <c r="NO140">
        <v>0</v>
      </c>
      <c r="NP140">
        <v>0</v>
      </c>
      <c r="NQ140">
        <v>0</v>
      </c>
      <c r="NR140">
        <v>0</v>
      </c>
      <c r="NS140" cm="1">
        <f t="array" ref="NS140">IFERROR(MAX((_xlfn.ANCHORARRAY(NN140)-AVERAGE(_xlfn.ANCHORARRAY(NN140)))/ AVERAGE(_xlfn.ANCHORARRAY(NN140))),0)</f>
        <v>0</v>
      </c>
      <c r="NT140" t="str" cm="1">
        <f t="array" ref="NT140">IF(AND(NS140&gt;$NT$1,NL140&lt;&gt;""),_xlfn.XLOOKUP(MAX(_xlfn.ANCHORARRAY(NN140)),_xlfn.ANCHORARRAY(NN140),NN$4:NR$4,""),"")</f>
        <v/>
      </c>
      <c r="NV140" cm="1">
        <f t="array" ref="NV140:OE140">SUMIFS($J140:$GG140,$J$2:$GG$2,NV$3:OE$3)</f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 cm="1">
        <f t="array" ref="OF140">IFERROR(MAX((_xlfn.ANCHORARRAY(NV140)-AVERAGE(_xlfn.ANCHORARRAY(NV140)))/ AVERAGE(_xlfn.ANCHORARRAY(NV140))),0)</f>
        <v>0</v>
      </c>
      <c r="OG140" t="str" cm="1">
        <f t="array" ref="OG140">IF(OF140&gt;$OG$1,_xlfn.XLOOKUP(MAX(_xlfn.ANCHORARRAY(NV140)),_xlfn.ANCHORARRAY(NV140),NV$4:OE$4,""),"")</f>
        <v/>
      </c>
      <c r="OI140" t="str">
        <f t="shared" si="26"/>
        <v/>
      </c>
    </row>
    <row r="141" spans="2:399" x14ac:dyDescent="0.3">
      <c r="B141" s="2" t="str">
        <f t="shared" si="18"/>
        <v>LLC</v>
      </c>
      <c r="C141" s="2" t="str">
        <f t="shared" si="19"/>
        <v>LLC</v>
      </c>
      <c r="D141" s="2" t="str">
        <f t="shared" si="20"/>
        <v>LLC</v>
      </c>
      <c r="E141" s="2" t="str">
        <f t="shared" si="21"/>
        <v/>
      </c>
      <c r="F141" s="2">
        <f t="shared" si="22"/>
        <v>0</v>
      </c>
      <c r="G141" s="2">
        <f t="shared" si="23"/>
        <v>0</v>
      </c>
      <c r="H141" s="2">
        <f t="shared" si="24"/>
        <v>0</v>
      </c>
      <c r="I141" s="2">
        <f t="shared" si="25"/>
        <v>0</v>
      </c>
      <c r="NH141" cm="1">
        <f t="array" ref="NH141:NJ141">SUMIFS($J141:$GG141,$J$1:$GG$1,NH$3:NJ$3)</f>
        <v>0</v>
      </c>
      <c r="NI141">
        <v>0</v>
      </c>
      <c r="NJ141">
        <v>0</v>
      </c>
      <c r="NK141" cm="1">
        <f t="array" ref="NK141">IFERROR(MAX((_xlfn.ANCHORARRAY(NH141)-AVERAGE(_xlfn.ANCHORARRAY(NH141)))/ AVERAGE(_xlfn.ANCHORARRAY(NH141))),0)</f>
        <v>0</v>
      </c>
      <c r="NL141" t="str" cm="1">
        <f t="array" ref="NL141">IF(NK141&gt;$NL$1,_xlfn.XLOOKUP(MAX(_xlfn.ANCHORARRAY(NH141)),_xlfn.ANCHORARRAY(NH141),NH$4:NJ$4,""),"")</f>
        <v/>
      </c>
      <c r="NN141" cm="1">
        <f t="array" ref="NN141:NR141">SUMIFS($J141:$GG141,$J$3:$GG$3,NN$3:NR$3)</f>
        <v>0</v>
      </c>
      <c r="NO141">
        <v>0</v>
      </c>
      <c r="NP141">
        <v>0</v>
      </c>
      <c r="NQ141">
        <v>0</v>
      </c>
      <c r="NR141">
        <v>0</v>
      </c>
      <c r="NS141" cm="1">
        <f t="array" ref="NS141">IFERROR(MAX((_xlfn.ANCHORARRAY(NN141)-AVERAGE(_xlfn.ANCHORARRAY(NN141)))/ AVERAGE(_xlfn.ANCHORARRAY(NN141))),0)</f>
        <v>0</v>
      </c>
      <c r="NT141" t="str" cm="1">
        <f t="array" ref="NT141">IF(AND(NS141&gt;$NT$1,NL141&lt;&gt;""),_xlfn.XLOOKUP(MAX(_xlfn.ANCHORARRAY(NN141)),_xlfn.ANCHORARRAY(NN141),NN$4:NR$4,""),"")</f>
        <v/>
      </c>
      <c r="NV141" cm="1">
        <f t="array" ref="NV141:OE141">SUMIFS($J141:$GG141,$J$2:$GG$2,NV$3:OE$3)</f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 cm="1">
        <f t="array" ref="OF141">IFERROR(MAX((_xlfn.ANCHORARRAY(NV141)-AVERAGE(_xlfn.ANCHORARRAY(NV141)))/ AVERAGE(_xlfn.ANCHORARRAY(NV141))),0)</f>
        <v>0</v>
      </c>
      <c r="OG141" t="str" cm="1">
        <f t="array" ref="OG141">IF(OF141&gt;$OG$1,_xlfn.XLOOKUP(MAX(_xlfn.ANCHORARRAY(NV141)),_xlfn.ANCHORARRAY(NV141),NV$4:OE$4,""),"")</f>
        <v/>
      </c>
      <c r="OI141" t="str">
        <f t="shared" si="26"/>
        <v/>
      </c>
    </row>
    <row r="142" spans="2:399" x14ac:dyDescent="0.3">
      <c r="B142" s="2" t="str">
        <f t="shared" si="18"/>
        <v>LLC</v>
      </c>
      <c r="C142" s="2" t="str">
        <f t="shared" si="19"/>
        <v>LLC</v>
      </c>
      <c r="D142" s="2" t="str">
        <f t="shared" si="20"/>
        <v>LLC</v>
      </c>
      <c r="E142" s="2" t="str">
        <f t="shared" si="21"/>
        <v/>
      </c>
      <c r="F142" s="2">
        <f t="shared" si="22"/>
        <v>0</v>
      </c>
      <c r="G142" s="2">
        <f t="shared" si="23"/>
        <v>0</v>
      </c>
      <c r="H142" s="2">
        <f t="shared" si="24"/>
        <v>0</v>
      </c>
      <c r="I142" s="2">
        <f t="shared" si="25"/>
        <v>0</v>
      </c>
      <c r="NH142" cm="1">
        <f t="array" ref="NH142:NJ142">SUMIFS($J142:$GG142,$J$1:$GG$1,NH$3:NJ$3)</f>
        <v>0</v>
      </c>
      <c r="NI142">
        <v>0</v>
      </c>
      <c r="NJ142">
        <v>0</v>
      </c>
      <c r="NK142" cm="1">
        <f t="array" ref="NK142">IFERROR(MAX((_xlfn.ANCHORARRAY(NH142)-AVERAGE(_xlfn.ANCHORARRAY(NH142)))/ AVERAGE(_xlfn.ANCHORARRAY(NH142))),0)</f>
        <v>0</v>
      </c>
      <c r="NL142" t="str" cm="1">
        <f t="array" ref="NL142">IF(NK142&gt;$NL$1,_xlfn.XLOOKUP(MAX(_xlfn.ANCHORARRAY(NH142)),_xlfn.ANCHORARRAY(NH142),NH$4:NJ$4,""),"")</f>
        <v/>
      </c>
      <c r="NN142" cm="1">
        <f t="array" ref="NN142:NR142">SUMIFS($J142:$GG142,$J$3:$GG$3,NN$3:NR$3)</f>
        <v>0</v>
      </c>
      <c r="NO142">
        <v>0</v>
      </c>
      <c r="NP142">
        <v>0</v>
      </c>
      <c r="NQ142">
        <v>0</v>
      </c>
      <c r="NR142">
        <v>0</v>
      </c>
      <c r="NS142" cm="1">
        <f t="array" ref="NS142">IFERROR(MAX((_xlfn.ANCHORARRAY(NN142)-AVERAGE(_xlfn.ANCHORARRAY(NN142)))/ AVERAGE(_xlfn.ANCHORARRAY(NN142))),0)</f>
        <v>0</v>
      </c>
      <c r="NT142" t="str" cm="1">
        <f t="array" ref="NT142">IF(AND(NS142&gt;$NT$1,NL142&lt;&gt;""),_xlfn.XLOOKUP(MAX(_xlfn.ANCHORARRAY(NN142)),_xlfn.ANCHORARRAY(NN142),NN$4:NR$4,""),"")</f>
        <v/>
      </c>
      <c r="NV142" cm="1">
        <f t="array" ref="NV142:OE142">SUMIFS($J142:$GG142,$J$2:$GG$2,NV$3:OE$3)</f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 cm="1">
        <f t="array" ref="OF142">IFERROR(MAX((_xlfn.ANCHORARRAY(NV142)-AVERAGE(_xlfn.ANCHORARRAY(NV142)))/ AVERAGE(_xlfn.ANCHORARRAY(NV142))),0)</f>
        <v>0</v>
      </c>
      <c r="OG142" t="str" cm="1">
        <f t="array" ref="OG142">IF(OF142&gt;$OG$1,_xlfn.XLOOKUP(MAX(_xlfn.ANCHORARRAY(NV142)),_xlfn.ANCHORARRAY(NV142),NV$4:OE$4,""),"")</f>
        <v/>
      </c>
      <c r="OI142" t="str">
        <f t="shared" si="26"/>
        <v/>
      </c>
    </row>
    <row r="143" spans="2:399" x14ac:dyDescent="0.3">
      <c r="B143" s="2" t="str">
        <f t="shared" si="18"/>
        <v>LLC</v>
      </c>
      <c r="C143" s="2" t="str">
        <f t="shared" si="19"/>
        <v>LLC</v>
      </c>
      <c r="D143" s="2" t="str">
        <f t="shared" si="20"/>
        <v>LLC</v>
      </c>
      <c r="E143" s="2" t="str">
        <f t="shared" si="21"/>
        <v/>
      </c>
      <c r="F143" s="2">
        <f t="shared" si="22"/>
        <v>0</v>
      </c>
      <c r="G143" s="2">
        <f t="shared" si="23"/>
        <v>0</v>
      </c>
      <c r="H143" s="2">
        <f t="shared" si="24"/>
        <v>0</v>
      </c>
      <c r="I143" s="2">
        <f t="shared" si="25"/>
        <v>0</v>
      </c>
      <c r="NH143" cm="1">
        <f t="array" ref="NH143:NJ143">SUMIFS($J143:$GG143,$J$1:$GG$1,NH$3:NJ$3)</f>
        <v>0</v>
      </c>
      <c r="NI143">
        <v>0</v>
      </c>
      <c r="NJ143">
        <v>0</v>
      </c>
      <c r="NK143" cm="1">
        <f t="array" ref="NK143">IFERROR(MAX((_xlfn.ANCHORARRAY(NH143)-AVERAGE(_xlfn.ANCHORARRAY(NH143)))/ AVERAGE(_xlfn.ANCHORARRAY(NH143))),0)</f>
        <v>0</v>
      </c>
      <c r="NL143" t="str" cm="1">
        <f t="array" ref="NL143">IF(NK143&gt;$NL$1,_xlfn.XLOOKUP(MAX(_xlfn.ANCHORARRAY(NH143)),_xlfn.ANCHORARRAY(NH143),NH$4:NJ$4,""),"")</f>
        <v/>
      </c>
      <c r="NN143" cm="1">
        <f t="array" ref="NN143:NR143">SUMIFS($J143:$GG143,$J$3:$GG$3,NN$3:NR$3)</f>
        <v>0</v>
      </c>
      <c r="NO143">
        <v>0</v>
      </c>
      <c r="NP143">
        <v>0</v>
      </c>
      <c r="NQ143">
        <v>0</v>
      </c>
      <c r="NR143">
        <v>0</v>
      </c>
      <c r="NS143" cm="1">
        <f t="array" ref="NS143">IFERROR(MAX((_xlfn.ANCHORARRAY(NN143)-AVERAGE(_xlfn.ANCHORARRAY(NN143)))/ AVERAGE(_xlfn.ANCHORARRAY(NN143))),0)</f>
        <v>0</v>
      </c>
      <c r="NT143" t="str" cm="1">
        <f t="array" ref="NT143">IF(AND(NS143&gt;$NT$1,NL143&lt;&gt;""),_xlfn.XLOOKUP(MAX(_xlfn.ANCHORARRAY(NN143)),_xlfn.ANCHORARRAY(NN143),NN$4:NR$4,""),"")</f>
        <v/>
      </c>
      <c r="NV143" cm="1">
        <f t="array" ref="NV143:OE143">SUMIFS($J143:$GG143,$J$2:$GG$2,NV$3:OE$3)</f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 cm="1">
        <f t="array" ref="OF143">IFERROR(MAX((_xlfn.ANCHORARRAY(NV143)-AVERAGE(_xlfn.ANCHORARRAY(NV143)))/ AVERAGE(_xlfn.ANCHORARRAY(NV143))),0)</f>
        <v>0</v>
      </c>
      <c r="OG143" t="str" cm="1">
        <f t="array" ref="OG143">IF(OF143&gt;$OG$1,_xlfn.XLOOKUP(MAX(_xlfn.ANCHORARRAY(NV143)),_xlfn.ANCHORARRAY(NV143),NV$4:OE$4,""),"")</f>
        <v/>
      </c>
      <c r="OI143" t="str">
        <f t="shared" si="26"/>
        <v/>
      </c>
    </row>
    <row r="144" spans="2:399" x14ac:dyDescent="0.3">
      <c r="B144" s="2" t="str">
        <f t="shared" si="18"/>
        <v>LLC</v>
      </c>
      <c r="C144" s="2" t="str">
        <f t="shared" si="19"/>
        <v>LLC</v>
      </c>
      <c r="D144" s="2" t="str">
        <f t="shared" si="20"/>
        <v>LLC</v>
      </c>
      <c r="E144" s="2" t="str">
        <f t="shared" si="21"/>
        <v/>
      </c>
      <c r="F144" s="2">
        <f t="shared" si="22"/>
        <v>0</v>
      </c>
      <c r="G144" s="2">
        <f t="shared" si="23"/>
        <v>0</v>
      </c>
      <c r="H144" s="2">
        <f t="shared" si="24"/>
        <v>0</v>
      </c>
      <c r="I144" s="2">
        <f t="shared" si="25"/>
        <v>0</v>
      </c>
      <c r="NH144" cm="1">
        <f t="array" ref="NH144:NJ144">SUMIFS($J144:$GG144,$J$1:$GG$1,NH$3:NJ$3)</f>
        <v>0</v>
      </c>
      <c r="NI144">
        <v>0</v>
      </c>
      <c r="NJ144">
        <v>0</v>
      </c>
      <c r="NK144" cm="1">
        <f t="array" ref="NK144">IFERROR(MAX((_xlfn.ANCHORARRAY(NH144)-AVERAGE(_xlfn.ANCHORARRAY(NH144)))/ AVERAGE(_xlfn.ANCHORARRAY(NH144))),0)</f>
        <v>0</v>
      </c>
      <c r="NL144" t="str" cm="1">
        <f t="array" ref="NL144">IF(NK144&gt;$NL$1,_xlfn.XLOOKUP(MAX(_xlfn.ANCHORARRAY(NH144)),_xlfn.ANCHORARRAY(NH144),NH$4:NJ$4,""),"")</f>
        <v/>
      </c>
      <c r="NN144" cm="1">
        <f t="array" ref="NN144:NR144">SUMIFS($J144:$GG144,$J$3:$GG$3,NN$3:NR$3)</f>
        <v>0</v>
      </c>
      <c r="NO144">
        <v>0</v>
      </c>
      <c r="NP144">
        <v>0</v>
      </c>
      <c r="NQ144">
        <v>0</v>
      </c>
      <c r="NR144">
        <v>0</v>
      </c>
      <c r="NS144" cm="1">
        <f t="array" ref="NS144">IFERROR(MAX((_xlfn.ANCHORARRAY(NN144)-AVERAGE(_xlfn.ANCHORARRAY(NN144)))/ AVERAGE(_xlfn.ANCHORARRAY(NN144))),0)</f>
        <v>0</v>
      </c>
      <c r="NT144" t="str" cm="1">
        <f t="array" ref="NT144">IF(AND(NS144&gt;$NT$1,NL144&lt;&gt;""),_xlfn.XLOOKUP(MAX(_xlfn.ANCHORARRAY(NN144)),_xlfn.ANCHORARRAY(NN144),NN$4:NR$4,""),"")</f>
        <v/>
      </c>
      <c r="NV144" cm="1">
        <f t="array" ref="NV144:OE144">SUMIFS($J144:$GG144,$J$2:$GG$2,NV$3:OE$3)</f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 cm="1">
        <f t="array" ref="OF144">IFERROR(MAX((_xlfn.ANCHORARRAY(NV144)-AVERAGE(_xlfn.ANCHORARRAY(NV144)))/ AVERAGE(_xlfn.ANCHORARRAY(NV144))),0)</f>
        <v>0</v>
      </c>
      <c r="OG144" t="str" cm="1">
        <f t="array" ref="OG144">IF(OF144&gt;$OG$1,_xlfn.XLOOKUP(MAX(_xlfn.ANCHORARRAY(NV144)),_xlfn.ANCHORARRAY(NV144),NV$4:OE$4,""),"")</f>
        <v/>
      </c>
      <c r="OI144" t="str">
        <f t="shared" si="26"/>
        <v/>
      </c>
    </row>
    <row r="145" spans="2:399" x14ac:dyDescent="0.3">
      <c r="B145" s="2" t="str">
        <f t="shared" si="18"/>
        <v>LLC</v>
      </c>
      <c r="C145" s="2" t="str">
        <f t="shared" si="19"/>
        <v>LLC</v>
      </c>
      <c r="D145" s="2" t="str">
        <f t="shared" si="20"/>
        <v>LLC</v>
      </c>
      <c r="E145" s="2" t="str">
        <f t="shared" si="21"/>
        <v/>
      </c>
      <c r="F145" s="2">
        <f t="shared" si="22"/>
        <v>0</v>
      </c>
      <c r="G145" s="2">
        <f t="shared" si="23"/>
        <v>0</v>
      </c>
      <c r="H145" s="2">
        <f t="shared" si="24"/>
        <v>0</v>
      </c>
      <c r="I145" s="2">
        <f t="shared" si="25"/>
        <v>0</v>
      </c>
      <c r="NH145" cm="1">
        <f t="array" ref="NH145:NJ145">SUMIFS($J145:$GG145,$J$1:$GG$1,NH$3:NJ$3)</f>
        <v>0</v>
      </c>
      <c r="NI145">
        <v>0</v>
      </c>
      <c r="NJ145">
        <v>0</v>
      </c>
      <c r="NK145" cm="1">
        <f t="array" ref="NK145">IFERROR(MAX((_xlfn.ANCHORARRAY(NH145)-AVERAGE(_xlfn.ANCHORARRAY(NH145)))/ AVERAGE(_xlfn.ANCHORARRAY(NH145))),0)</f>
        <v>0</v>
      </c>
      <c r="NL145" t="str" cm="1">
        <f t="array" ref="NL145">IF(NK145&gt;$NL$1,_xlfn.XLOOKUP(MAX(_xlfn.ANCHORARRAY(NH145)),_xlfn.ANCHORARRAY(NH145),NH$4:NJ$4,""),"")</f>
        <v/>
      </c>
      <c r="NN145" cm="1">
        <f t="array" ref="NN145:NR145">SUMIFS($J145:$GG145,$J$3:$GG$3,NN$3:NR$3)</f>
        <v>0</v>
      </c>
      <c r="NO145">
        <v>0</v>
      </c>
      <c r="NP145">
        <v>0</v>
      </c>
      <c r="NQ145">
        <v>0</v>
      </c>
      <c r="NR145">
        <v>0</v>
      </c>
      <c r="NS145" cm="1">
        <f t="array" ref="NS145">IFERROR(MAX((_xlfn.ANCHORARRAY(NN145)-AVERAGE(_xlfn.ANCHORARRAY(NN145)))/ AVERAGE(_xlfn.ANCHORARRAY(NN145))),0)</f>
        <v>0</v>
      </c>
      <c r="NT145" t="str" cm="1">
        <f t="array" ref="NT145">IF(AND(NS145&gt;$NT$1,NL145&lt;&gt;""),_xlfn.XLOOKUP(MAX(_xlfn.ANCHORARRAY(NN145)),_xlfn.ANCHORARRAY(NN145),NN$4:NR$4,""),"")</f>
        <v/>
      </c>
      <c r="NV145" cm="1">
        <f t="array" ref="NV145:OE145">SUMIFS($J145:$GG145,$J$2:$GG$2,NV$3:OE$3)</f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 cm="1">
        <f t="array" ref="OF145">IFERROR(MAX((_xlfn.ANCHORARRAY(NV145)-AVERAGE(_xlfn.ANCHORARRAY(NV145)))/ AVERAGE(_xlfn.ANCHORARRAY(NV145))),0)</f>
        <v>0</v>
      </c>
      <c r="OG145" t="str" cm="1">
        <f t="array" ref="OG145">IF(OF145&gt;$OG$1,_xlfn.XLOOKUP(MAX(_xlfn.ANCHORARRAY(NV145)),_xlfn.ANCHORARRAY(NV145),NV$4:OE$4,""),"")</f>
        <v/>
      </c>
      <c r="OI145" t="str">
        <f t="shared" si="26"/>
        <v/>
      </c>
    </row>
    <row r="146" spans="2:399" x14ac:dyDescent="0.3">
      <c r="B146" s="2" t="str">
        <f t="shared" si="18"/>
        <v>LLC</v>
      </c>
      <c r="C146" s="2" t="str">
        <f t="shared" si="19"/>
        <v>LLC</v>
      </c>
      <c r="D146" s="2" t="str">
        <f t="shared" si="20"/>
        <v>LLC</v>
      </c>
      <c r="E146" s="2" t="str">
        <f t="shared" si="21"/>
        <v/>
      </c>
      <c r="F146" s="2">
        <f t="shared" si="22"/>
        <v>0</v>
      </c>
      <c r="G146" s="2">
        <f t="shared" si="23"/>
        <v>0</v>
      </c>
      <c r="H146" s="2">
        <f t="shared" si="24"/>
        <v>0</v>
      </c>
      <c r="I146" s="2">
        <f t="shared" si="25"/>
        <v>0</v>
      </c>
      <c r="NH146" cm="1">
        <f t="array" ref="NH146:NJ146">SUMIFS($J146:$GG146,$J$1:$GG$1,NH$3:NJ$3)</f>
        <v>0</v>
      </c>
      <c r="NI146">
        <v>0</v>
      </c>
      <c r="NJ146">
        <v>0</v>
      </c>
      <c r="NK146" cm="1">
        <f t="array" ref="NK146">IFERROR(MAX((_xlfn.ANCHORARRAY(NH146)-AVERAGE(_xlfn.ANCHORARRAY(NH146)))/ AVERAGE(_xlfn.ANCHORARRAY(NH146))),0)</f>
        <v>0</v>
      </c>
      <c r="NL146" t="str" cm="1">
        <f t="array" ref="NL146">IF(NK146&gt;$NL$1,_xlfn.XLOOKUP(MAX(_xlfn.ANCHORARRAY(NH146)),_xlfn.ANCHORARRAY(NH146),NH$4:NJ$4,""),"")</f>
        <v/>
      </c>
      <c r="NN146" cm="1">
        <f t="array" ref="NN146:NR146">SUMIFS($J146:$GG146,$J$3:$GG$3,NN$3:NR$3)</f>
        <v>0</v>
      </c>
      <c r="NO146">
        <v>0</v>
      </c>
      <c r="NP146">
        <v>0</v>
      </c>
      <c r="NQ146">
        <v>0</v>
      </c>
      <c r="NR146">
        <v>0</v>
      </c>
      <c r="NS146" cm="1">
        <f t="array" ref="NS146">IFERROR(MAX((_xlfn.ANCHORARRAY(NN146)-AVERAGE(_xlfn.ANCHORARRAY(NN146)))/ AVERAGE(_xlfn.ANCHORARRAY(NN146))),0)</f>
        <v>0</v>
      </c>
      <c r="NT146" t="str" cm="1">
        <f t="array" ref="NT146">IF(AND(NS146&gt;$NT$1,NL146&lt;&gt;""),_xlfn.XLOOKUP(MAX(_xlfn.ANCHORARRAY(NN146)),_xlfn.ANCHORARRAY(NN146),NN$4:NR$4,""),"")</f>
        <v/>
      </c>
      <c r="NV146" cm="1">
        <f t="array" ref="NV146:OE146">SUMIFS($J146:$GG146,$J$2:$GG$2,NV$3:OE$3)</f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 cm="1">
        <f t="array" ref="OF146">IFERROR(MAX((_xlfn.ANCHORARRAY(NV146)-AVERAGE(_xlfn.ANCHORARRAY(NV146)))/ AVERAGE(_xlfn.ANCHORARRAY(NV146))),0)</f>
        <v>0</v>
      </c>
      <c r="OG146" t="str" cm="1">
        <f t="array" ref="OG146">IF(OF146&gt;$OG$1,_xlfn.XLOOKUP(MAX(_xlfn.ANCHORARRAY(NV146)),_xlfn.ANCHORARRAY(NV146),NV$4:OE$4,""),"")</f>
        <v/>
      </c>
      <c r="OI146" t="str">
        <f t="shared" si="26"/>
        <v/>
      </c>
    </row>
    <row r="147" spans="2:399" x14ac:dyDescent="0.3">
      <c r="B147" s="2" t="str">
        <f t="shared" si="18"/>
        <v>LLC</v>
      </c>
      <c r="C147" s="2" t="str">
        <f t="shared" si="19"/>
        <v>LLC</v>
      </c>
      <c r="D147" s="2" t="str">
        <f t="shared" si="20"/>
        <v>LLC</v>
      </c>
      <c r="E147" s="2" t="str">
        <f t="shared" si="21"/>
        <v/>
      </c>
      <c r="F147" s="2">
        <f t="shared" si="22"/>
        <v>0</v>
      </c>
      <c r="G147" s="2">
        <f t="shared" si="23"/>
        <v>0</v>
      </c>
      <c r="H147" s="2">
        <f t="shared" si="24"/>
        <v>0</v>
      </c>
      <c r="I147" s="2">
        <f t="shared" si="25"/>
        <v>0</v>
      </c>
      <c r="NH147" cm="1">
        <f t="array" ref="NH147:NJ147">SUMIFS($J147:$GG147,$J$1:$GG$1,NH$3:NJ$3)</f>
        <v>0</v>
      </c>
      <c r="NI147">
        <v>0</v>
      </c>
      <c r="NJ147">
        <v>0</v>
      </c>
      <c r="NK147" cm="1">
        <f t="array" ref="NK147">IFERROR(MAX((_xlfn.ANCHORARRAY(NH147)-AVERAGE(_xlfn.ANCHORARRAY(NH147)))/ AVERAGE(_xlfn.ANCHORARRAY(NH147))),0)</f>
        <v>0</v>
      </c>
      <c r="NL147" t="str" cm="1">
        <f t="array" ref="NL147">IF(NK147&gt;$NL$1,_xlfn.XLOOKUP(MAX(_xlfn.ANCHORARRAY(NH147)),_xlfn.ANCHORARRAY(NH147),NH$4:NJ$4,""),"")</f>
        <v/>
      </c>
      <c r="NN147" cm="1">
        <f t="array" ref="NN147:NR147">SUMIFS($J147:$GG147,$J$3:$GG$3,NN$3:NR$3)</f>
        <v>0</v>
      </c>
      <c r="NO147">
        <v>0</v>
      </c>
      <c r="NP147">
        <v>0</v>
      </c>
      <c r="NQ147">
        <v>0</v>
      </c>
      <c r="NR147">
        <v>0</v>
      </c>
      <c r="NS147" cm="1">
        <f t="array" ref="NS147">IFERROR(MAX((_xlfn.ANCHORARRAY(NN147)-AVERAGE(_xlfn.ANCHORARRAY(NN147)))/ AVERAGE(_xlfn.ANCHORARRAY(NN147))),0)</f>
        <v>0</v>
      </c>
      <c r="NT147" t="str" cm="1">
        <f t="array" ref="NT147">IF(AND(NS147&gt;$NT$1,NL147&lt;&gt;""),_xlfn.XLOOKUP(MAX(_xlfn.ANCHORARRAY(NN147)),_xlfn.ANCHORARRAY(NN147),NN$4:NR$4,""),"")</f>
        <v/>
      </c>
      <c r="NV147" cm="1">
        <f t="array" ref="NV147:OE147">SUMIFS($J147:$GG147,$J$2:$GG$2,NV$3:OE$3)</f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 cm="1">
        <f t="array" ref="OF147">IFERROR(MAX((_xlfn.ANCHORARRAY(NV147)-AVERAGE(_xlfn.ANCHORARRAY(NV147)))/ AVERAGE(_xlfn.ANCHORARRAY(NV147))),0)</f>
        <v>0</v>
      </c>
      <c r="OG147" t="str" cm="1">
        <f t="array" ref="OG147">IF(OF147&gt;$OG$1,_xlfn.XLOOKUP(MAX(_xlfn.ANCHORARRAY(NV147)),_xlfn.ANCHORARRAY(NV147),NV$4:OE$4,""),"")</f>
        <v/>
      </c>
      <c r="OI147" t="str">
        <f t="shared" si="26"/>
        <v/>
      </c>
    </row>
    <row r="148" spans="2:399" x14ac:dyDescent="0.3">
      <c r="B148" s="2" t="str">
        <f t="shared" si="18"/>
        <v>LLC</v>
      </c>
      <c r="C148" s="2" t="str">
        <f t="shared" si="19"/>
        <v>LLC</v>
      </c>
      <c r="D148" s="2" t="str">
        <f t="shared" si="20"/>
        <v>LLC</v>
      </c>
      <c r="E148" s="2" t="str">
        <f t="shared" si="21"/>
        <v/>
      </c>
      <c r="F148" s="2">
        <f t="shared" si="22"/>
        <v>0</v>
      </c>
      <c r="G148" s="2">
        <f t="shared" si="23"/>
        <v>0</v>
      </c>
      <c r="H148" s="2">
        <f t="shared" si="24"/>
        <v>0</v>
      </c>
      <c r="I148" s="2">
        <f t="shared" si="25"/>
        <v>0</v>
      </c>
      <c r="NH148" cm="1">
        <f t="array" ref="NH148:NJ148">SUMIFS($J148:$GG148,$J$1:$GG$1,NH$3:NJ$3)</f>
        <v>0</v>
      </c>
      <c r="NI148">
        <v>0</v>
      </c>
      <c r="NJ148">
        <v>0</v>
      </c>
      <c r="NK148" cm="1">
        <f t="array" ref="NK148">IFERROR(MAX((_xlfn.ANCHORARRAY(NH148)-AVERAGE(_xlfn.ANCHORARRAY(NH148)))/ AVERAGE(_xlfn.ANCHORARRAY(NH148))),0)</f>
        <v>0</v>
      </c>
      <c r="NL148" t="str" cm="1">
        <f t="array" ref="NL148">IF(NK148&gt;$NL$1,_xlfn.XLOOKUP(MAX(_xlfn.ANCHORARRAY(NH148)),_xlfn.ANCHORARRAY(NH148),NH$4:NJ$4,""),"")</f>
        <v/>
      </c>
      <c r="NN148" cm="1">
        <f t="array" ref="NN148:NR148">SUMIFS($J148:$GG148,$J$3:$GG$3,NN$3:NR$3)</f>
        <v>0</v>
      </c>
      <c r="NO148">
        <v>0</v>
      </c>
      <c r="NP148">
        <v>0</v>
      </c>
      <c r="NQ148">
        <v>0</v>
      </c>
      <c r="NR148">
        <v>0</v>
      </c>
      <c r="NS148" cm="1">
        <f t="array" ref="NS148">IFERROR(MAX((_xlfn.ANCHORARRAY(NN148)-AVERAGE(_xlfn.ANCHORARRAY(NN148)))/ AVERAGE(_xlfn.ANCHORARRAY(NN148))),0)</f>
        <v>0</v>
      </c>
      <c r="NT148" t="str" cm="1">
        <f t="array" ref="NT148">IF(AND(NS148&gt;$NT$1,NL148&lt;&gt;""),_xlfn.XLOOKUP(MAX(_xlfn.ANCHORARRAY(NN148)),_xlfn.ANCHORARRAY(NN148),NN$4:NR$4,""),"")</f>
        <v/>
      </c>
      <c r="NV148" cm="1">
        <f t="array" ref="NV148:OE148">SUMIFS($J148:$GG148,$J$2:$GG$2,NV$3:OE$3)</f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 cm="1">
        <f t="array" ref="OF148">IFERROR(MAX((_xlfn.ANCHORARRAY(NV148)-AVERAGE(_xlfn.ANCHORARRAY(NV148)))/ AVERAGE(_xlfn.ANCHORARRAY(NV148))),0)</f>
        <v>0</v>
      </c>
      <c r="OG148" t="str" cm="1">
        <f t="array" ref="OG148">IF(OF148&gt;$OG$1,_xlfn.XLOOKUP(MAX(_xlfn.ANCHORARRAY(NV148)),_xlfn.ANCHORARRAY(NV148),NV$4:OE$4,""),"")</f>
        <v/>
      </c>
      <c r="OI148" t="str">
        <f t="shared" si="26"/>
        <v/>
      </c>
    </row>
    <row r="149" spans="2:399" x14ac:dyDescent="0.3">
      <c r="B149" s="2" t="str">
        <f t="shared" si="18"/>
        <v>LLC</v>
      </c>
      <c r="C149" s="2" t="str">
        <f t="shared" si="19"/>
        <v>LLC</v>
      </c>
      <c r="D149" s="2" t="str">
        <f t="shared" si="20"/>
        <v>LLC</v>
      </c>
      <c r="E149" s="2" t="str">
        <f t="shared" si="21"/>
        <v/>
      </c>
      <c r="F149" s="2">
        <f t="shared" si="22"/>
        <v>0</v>
      </c>
      <c r="G149" s="2">
        <f t="shared" si="23"/>
        <v>0</v>
      </c>
      <c r="H149" s="2">
        <f t="shared" si="24"/>
        <v>0</v>
      </c>
      <c r="I149" s="2">
        <f t="shared" si="25"/>
        <v>0</v>
      </c>
      <c r="NH149" cm="1">
        <f t="array" ref="NH149:NJ149">SUMIFS($J149:$GG149,$J$1:$GG$1,NH$3:NJ$3)</f>
        <v>0</v>
      </c>
      <c r="NI149">
        <v>0</v>
      </c>
      <c r="NJ149">
        <v>0</v>
      </c>
      <c r="NK149" cm="1">
        <f t="array" ref="NK149">IFERROR(MAX((_xlfn.ANCHORARRAY(NH149)-AVERAGE(_xlfn.ANCHORARRAY(NH149)))/ AVERAGE(_xlfn.ANCHORARRAY(NH149))),0)</f>
        <v>0</v>
      </c>
      <c r="NL149" t="str" cm="1">
        <f t="array" ref="NL149">IF(NK149&gt;$NL$1,_xlfn.XLOOKUP(MAX(_xlfn.ANCHORARRAY(NH149)),_xlfn.ANCHORARRAY(NH149),NH$4:NJ$4,""),"")</f>
        <v/>
      </c>
      <c r="NN149" cm="1">
        <f t="array" ref="NN149:NR149">SUMIFS($J149:$GG149,$J$3:$GG$3,NN$3:NR$3)</f>
        <v>0</v>
      </c>
      <c r="NO149">
        <v>0</v>
      </c>
      <c r="NP149">
        <v>0</v>
      </c>
      <c r="NQ149">
        <v>0</v>
      </c>
      <c r="NR149">
        <v>0</v>
      </c>
      <c r="NS149" cm="1">
        <f t="array" ref="NS149">IFERROR(MAX((_xlfn.ANCHORARRAY(NN149)-AVERAGE(_xlfn.ANCHORARRAY(NN149)))/ AVERAGE(_xlfn.ANCHORARRAY(NN149))),0)</f>
        <v>0</v>
      </c>
      <c r="NT149" t="str" cm="1">
        <f t="array" ref="NT149">IF(AND(NS149&gt;$NT$1,NL149&lt;&gt;""),_xlfn.XLOOKUP(MAX(_xlfn.ANCHORARRAY(NN149)),_xlfn.ANCHORARRAY(NN149),NN$4:NR$4,""),"")</f>
        <v/>
      </c>
      <c r="NV149" cm="1">
        <f t="array" ref="NV149:OE149">SUMIFS($J149:$GG149,$J$2:$GG$2,NV$3:OE$3)</f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 cm="1">
        <f t="array" ref="OF149">IFERROR(MAX((_xlfn.ANCHORARRAY(NV149)-AVERAGE(_xlfn.ANCHORARRAY(NV149)))/ AVERAGE(_xlfn.ANCHORARRAY(NV149))),0)</f>
        <v>0</v>
      </c>
      <c r="OG149" t="str" cm="1">
        <f t="array" ref="OG149">IF(OF149&gt;$OG$1,_xlfn.XLOOKUP(MAX(_xlfn.ANCHORARRAY(NV149)),_xlfn.ANCHORARRAY(NV149),NV$4:OE$4,""),"")</f>
        <v/>
      </c>
      <c r="OI149" t="str">
        <f t="shared" si="26"/>
        <v/>
      </c>
    </row>
    <row r="150" spans="2:399" x14ac:dyDescent="0.3">
      <c r="B150" s="2" t="str">
        <f t="shared" si="18"/>
        <v>LLC</v>
      </c>
      <c r="C150" s="2" t="str">
        <f t="shared" si="19"/>
        <v>LLC</v>
      </c>
      <c r="D150" s="2" t="str">
        <f t="shared" si="20"/>
        <v>LLC</v>
      </c>
      <c r="E150" s="2" t="str">
        <f t="shared" si="21"/>
        <v/>
      </c>
      <c r="F150" s="2">
        <f t="shared" si="22"/>
        <v>0</v>
      </c>
      <c r="G150" s="2">
        <f t="shared" si="23"/>
        <v>0</v>
      </c>
      <c r="H150" s="2">
        <f t="shared" si="24"/>
        <v>0</v>
      </c>
      <c r="I150" s="2">
        <f t="shared" si="25"/>
        <v>0</v>
      </c>
      <c r="NH150" cm="1">
        <f t="array" ref="NH150:NJ150">SUMIFS($J150:$GG150,$J$1:$GG$1,NH$3:NJ$3)</f>
        <v>0</v>
      </c>
      <c r="NI150">
        <v>0</v>
      </c>
      <c r="NJ150">
        <v>0</v>
      </c>
      <c r="NK150" cm="1">
        <f t="array" ref="NK150">IFERROR(MAX((_xlfn.ANCHORARRAY(NH150)-AVERAGE(_xlfn.ANCHORARRAY(NH150)))/ AVERAGE(_xlfn.ANCHORARRAY(NH150))),0)</f>
        <v>0</v>
      </c>
      <c r="NL150" t="str" cm="1">
        <f t="array" ref="NL150">IF(NK150&gt;$NL$1,_xlfn.XLOOKUP(MAX(_xlfn.ANCHORARRAY(NH150)),_xlfn.ANCHORARRAY(NH150),NH$4:NJ$4,""),"")</f>
        <v/>
      </c>
      <c r="NN150" cm="1">
        <f t="array" ref="NN150:NR150">SUMIFS($J150:$GG150,$J$3:$GG$3,NN$3:NR$3)</f>
        <v>0</v>
      </c>
      <c r="NO150">
        <v>0</v>
      </c>
      <c r="NP150">
        <v>0</v>
      </c>
      <c r="NQ150">
        <v>0</v>
      </c>
      <c r="NR150">
        <v>0</v>
      </c>
      <c r="NS150" cm="1">
        <f t="array" ref="NS150">IFERROR(MAX((_xlfn.ANCHORARRAY(NN150)-AVERAGE(_xlfn.ANCHORARRAY(NN150)))/ AVERAGE(_xlfn.ANCHORARRAY(NN150))),0)</f>
        <v>0</v>
      </c>
      <c r="NT150" t="str" cm="1">
        <f t="array" ref="NT150">IF(AND(NS150&gt;$NT$1,NL150&lt;&gt;""),_xlfn.XLOOKUP(MAX(_xlfn.ANCHORARRAY(NN150)),_xlfn.ANCHORARRAY(NN150),NN$4:NR$4,""),"")</f>
        <v/>
      </c>
      <c r="NV150" cm="1">
        <f t="array" ref="NV150:OE150">SUMIFS($J150:$GG150,$J$2:$GG$2,NV$3:OE$3)</f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 cm="1">
        <f t="array" ref="OF150">IFERROR(MAX((_xlfn.ANCHORARRAY(NV150)-AVERAGE(_xlfn.ANCHORARRAY(NV150)))/ AVERAGE(_xlfn.ANCHORARRAY(NV150))),0)</f>
        <v>0</v>
      </c>
      <c r="OG150" t="str" cm="1">
        <f t="array" ref="OG150">IF(OF150&gt;$OG$1,_xlfn.XLOOKUP(MAX(_xlfn.ANCHORARRAY(NV150)),_xlfn.ANCHORARRAY(NV150),NV$4:OE$4,""),"")</f>
        <v/>
      </c>
      <c r="OI150" t="str">
        <f t="shared" si="26"/>
        <v/>
      </c>
    </row>
    <row r="151" spans="2:399" x14ac:dyDescent="0.3">
      <c r="B151" s="2" t="str">
        <f t="shared" si="18"/>
        <v>LLC</v>
      </c>
      <c r="C151" s="2" t="str">
        <f t="shared" si="19"/>
        <v>LLC</v>
      </c>
      <c r="D151" s="2" t="str">
        <f t="shared" si="20"/>
        <v>LLC</v>
      </c>
      <c r="E151" s="2" t="str">
        <f t="shared" si="21"/>
        <v/>
      </c>
      <c r="F151" s="2">
        <f t="shared" si="22"/>
        <v>0</v>
      </c>
      <c r="G151" s="2">
        <f t="shared" si="23"/>
        <v>0</v>
      </c>
      <c r="H151" s="2">
        <f t="shared" si="24"/>
        <v>0</v>
      </c>
      <c r="I151" s="2">
        <f t="shared" si="25"/>
        <v>0</v>
      </c>
      <c r="NH151" cm="1">
        <f t="array" ref="NH151:NJ151">SUMIFS($J151:$GG151,$J$1:$GG$1,NH$3:NJ$3)</f>
        <v>0</v>
      </c>
      <c r="NI151">
        <v>0</v>
      </c>
      <c r="NJ151">
        <v>0</v>
      </c>
      <c r="NK151" cm="1">
        <f t="array" ref="NK151">IFERROR(MAX((_xlfn.ANCHORARRAY(NH151)-AVERAGE(_xlfn.ANCHORARRAY(NH151)))/ AVERAGE(_xlfn.ANCHORARRAY(NH151))),0)</f>
        <v>0</v>
      </c>
      <c r="NL151" t="str" cm="1">
        <f t="array" ref="NL151">IF(NK151&gt;$NL$1,_xlfn.XLOOKUP(MAX(_xlfn.ANCHORARRAY(NH151)),_xlfn.ANCHORARRAY(NH151),NH$4:NJ$4,""),"")</f>
        <v/>
      </c>
      <c r="NN151" cm="1">
        <f t="array" ref="NN151:NR151">SUMIFS($J151:$GG151,$J$3:$GG$3,NN$3:NR$3)</f>
        <v>0</v>
      </c>
      <c r="NO151">
        <v>0</v>
      </c>
      <c r="NP151">
        <v>0</v>
      </c>
      <c r="NQ151">
        <v>0</v>
      </c>
      <c r="NR151">
        <v>0</v>
      </c>
      <c r="NS151" cm="1">
        <f t="array" ref="NS151">IFERROR(MAX((_xlfn.ANCHORARRAY(NN151)-AVERAGE(_xlfn.ANCHORARRAY(NN151)))/ AVERAGE(_xlfn.ANCHORARRAY(NN151))),0)</f>
        <v>0</v>
      </c>
      <c r="NT151" t="str" cm="1">
        <f t="array" ref="NT151">IF(AND(NS151&gt;$NT$1,NL151&lt;&gt;""),_xlfn.XLOOKUP(MAX(_xlfn.ANCHORARRAY(NN151)),_xlfn.ANCHORARRAY(NN151),NN$4:NR$4,""),"")</f>
        <v/>
      </c>
      <c r="NV151" cm="1">
        <f t="array" ref="NV151:OE151">SUMIFS($J151:$GG151,$J$2:$GG$2,NV$3:OE$3)</f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 cm="1">
        <f t="array" ref="OF151">IFERROR(MAX((_xlfn.ANCHORARRAY(NV151)-AVERAGE(_xlfn.ANCHORARRAY(NV151)))/ AVERAGE(_xlfn.ANCHORARRAY(NV151))),0)</f>
        <v>0</v>
      </c>
      <c r="OG151" t="str" cm="1">
        <f t="array" ref="OG151">IF(OF151&gt;$OG$1,_xlfn.XLOOKUP(MAX(_xlfn.ANCHORARRAY(NV151)),_xlfn.ANCHORARRAY(NV151),NV$4:OE$4,""),"")</f>
        <v/>
      </c>
      <c r="OI151" t="str">
        <f t="shared" si="26"/>
        <v/>
      </c>
    </row>
    <row r="152" spans="2:399" x14ac:dyDescent="0.3">
      <c r="B152" s="2" t="str">
        <f t="shared" si="18"/>
        <v>LLC</v>
      </c>
      <c r="C152" s="2" t="str">
        <f t="shared" si="19"/>
        <v>LLC</v>
      </c>
      <c r="D152" s="2" t="str">
        <f t="shared" si="20"/>
        <v>LLC</v>
      </c>
      <c r="E152" s="2" t="str">
        <f t="shared" si="21"/>
        <v/>
      </c>
      <c r="F152" s="2">
        <f t="shared" si="22"/>
        <v>0</v>
      </c>
      <c r="G152" s="2">
        <f t="shared" si="23"/>
        <v>0</v>
      </c>
      <c r="H152" s="2">
        <f t="shared" si="24"/>
        <v>0</v>
      </c>
      <c r="I152" s="2">
        <f t="shared" si="25"/>
        <v>0</v>
      </c>
      <c r="NH152" cm="1">
        <f t="array" ref="NH152:NJ152">SUMIFS($J152:$GG152,$J$1:$GG$1,NH$3:NJ$3)</f>
        <v>0</v>
      </c>
      <c r="NI152">
        <v>0</v>
      </c>
      <c r="NJ152">
        <v>0</v>
      </c>
      <c r="NK152" cm="1">
        <f t="array" ref="NK152">IFERROR(MAX((_xlfn.ANCHORARRAY(NH152)-AVERAGE(_xlfn.ANCHORARRAY(NH152)))/ AVERAGE(_xlfn.ANCHORARRAY(NH152))),0)</f>
        <v>0</v>
      </c>
      <c r="NL152" t="str" cm="1">
        <f t="array" ref="NL152">IF(NK152&gt;$NL$1,_xlfn.XLOOKUP(MAX(_xlfn.ANCHORARRAY(NH152)),_xlfn.ANCHORARRAY(NH152),NH$4:NJ$4,""),"")</f>
        <v/>
      </c>
      <c r="NN152" cm="1">
        <f t="array" ref="NN152:NR152">SUMIFS($J152:$GG152,$J$3:$GG$3,NN$3:NR$3)</f>
        <v>0</v>
      </c>
      <c r="NO152">
        <v>0</v>
      </c>
      <c r="NP152">
        <v>0</v>
      </c>
      <c r="NQ152">
        <v>0</v>
      </c>
      <c r="NR152">
        <v>0</v>
      </c>
      <c r="NS152" cm="1">
        <f t="array" ref="NS152">IFERROR(MAX((_xlfn.ANCHORARRAY(NN152)-AVERAGE(_xlfn.ANCHORARRAY(NN152)))/ AVERAGE(_xlfn.ANCHORARRAY(NN152))),0)</f>
        <v>0</v>
      </c>
      <c r="NT152" t="str" cm="1">
        <f t="array" ref="NT152">IF(AND(NS152&gt;$NT$1,NL152&lt;&gt;""),_xlfn.XLOOKUP(MAX(_xlfn.ANCHORARRAY(NN152)),_xlfn.ANCHORARRAY(NN152),NN$4:NR$4,""),"")</f>
        <v/>
      </c>
      <c r="NV152" cm="1">
        <f t="array" ref="NV152:OE152">SUMIFS($J152:$GG152,$J$2:$GG$2,NV$3:OE$3)</f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 cm="1">
        <f t="array" ref="OF152">IFERROR(MAX((_xlfn.ANCHORARRAY(NV152)-AVERAGE(_xlfn.ANCHORARRAY(NV152)))/ AVERAGE(_xlfn.ANCHORARRAY(NV152))),0)</f>
        <v>0</v>
      </c>
      <c r="OG152" t="str" cm="1">
        <f t="array" ref="OG152">IF(OF152&gt;$OG$1,_xlfn.XLOOKUP(MAX(_xlfn.ANCHORARRAY(NV152)),_xlfn.ANCHORARRAY(NV152),NV$4:OE$4,""),"")</f>
        <v/>
      </c>
      <c r="OI152" t="str">
        <f t="shared" si="26"/>
        <v/>
      </c>
    </row>
    <row r="153" spans="2:399" x14ac:dyDescent="0.3">
      <c r="B153" s="2" t="str">
        <f t="shared" si="18"/>
        <v>LLC</v>
      </c>
      <c r="C153" s="2" t="str">
        <f t="shared" si="19"/>
        <v>LLC</v>
      </c>
      <c r="D153" s="2" t="str">
        <f t="shared" si="20"/>
        <v>LLC</v>
      </c>
      <c r="E153" s="2" t="str">
        <f t="shared" si="21"/>
        <v/>
      </c>
      <c r="F153" s="2">
        <f t="shared" si="22"/>
        <v>0</v>
      </c>
      <c r="G153" s="2">
        <f t="shared" si="23"/>
        <v>0</v>
      </c>
      <c r="H153" s="2">
        <f t="shared" si="24"/>
        <v>0</v>
      </c>
      <c r="I153" s="2">
        <f t="shared" si="25"/>
        <v>0</v>
      </c>
      <c r="NH153" cm="1">
        <f t="array" ref="NH153:NJ153">SUMIFS($J153:$GG153,$J$1:$GG$1,NH$3:NJ$3)</f>
        <v>0</v>
      </c>
      <c r="NI153">
        <v>0</v>
      </c>
      <c r="NJ153">
        <v>0</v>
      </c>
      <c r="NK153" cm="1">
        <f t="array" ref="NK153">IFERROR(MAX((_xlfn.ANCHORARRAY(NH153)-AVERAGE(_xlfn.ANCHORARRAY(NH153)))/ AVERAGE(_xlfn.ANCHORARRAY(NH153))),0)</f>
        <v>0</v>
      </c>
      <c r="NL153" t="str" cm="1">
        <f t="array" ref="NL153">IF(NK153&gt;$NL$1,_xlfn.XLOOKUP(MAX(_xlfn.ANCHORARRAY(NH153)),_xlfn.ANCHORARRAY(NH153),NH$4:NJ$4,""),"")</f>
        <v/>
      </c>
      <c r="NN153" cm="1">
        <f t="array" ref="NN153:NR153">SUMIFS($J153:$GG153,$J$3:$GG$3,NN$3:NR$3)</f>
        <v>0</v>
      </c>
      <c r="NO153">
        <v>0</v>
      </c>
      <c r="NP153">
        <v>0</v>
      </c>
      <c r="NQ153">
        <v>0</v>
      </c>
      <c r="NR153">
        <v>0</v>
      </c>
      <c r="NS153" cm="1">
        <f t="array" ref="NS153">IFERROR(MAX((_xlfn.ANCHORARRAY(NN153)-AVERAGE(_xlfn.ANCHORARRAY(NN153)))/ AVERAGE(_xlfn.ANCHORARRAY(NN153))),0)</f>
        <v>0</v>
      </c>
      <c r="NT153" t="str" cm="1">
        <f t="array" ref="NT153">IF(AND(NS153&gt;$NT$1,NL153&lt;&gt;""),_xlfn.XLOOKUP(MAX(_xlfn.ANCHORARRAY(NN153)),_xlfn.ANCHORARRAY(NN153),NN$4:NR$4,""),"")</f>
        <v/>
      </c>
      <c r="NV153" cm="1">
        <f t="array" ref="NV153:OE153">SUMIFS($J153:$GG153,$J$2:$GG$2,NV$3:OE$3)</f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 cm="1">
        <f t="array" ref="OF153">IFERROR(MAX((_xlfn.ANCHORARRAY(NV153)-AVERAGE(_xlfn.ANCHORARRAY(NV153)))/ AVERAGE(_xlfn.ANCHORARRAY(NV153))),0)</f>
        <v>0</v>
      </c>
      <c r="OG153" t="str" cm="1">
        <f t="array" ref="OG153">IF(OF153&gt;$OG$1,_xlfn.XLOOKUP(MAX(_xlfn.ANCHORARRAY(NV153)),_xlfn.ANCHORARRAY(NV153),NV$4:OE$4,""),"")</f>
        <v/>
      </c>
      <c r="OI153" t="str">
        <f t="shared" si="26"/>
        <v/>
      </c>
    </row>
    <row r="154" spans="2:399" x14ac:dyDescent="0.3">
      <c r="B154" s="2" t="str">
        <f t="shared" si="18"/>
        <v>LLC</v>
      </c>
      <c r="C154" s="2" t="str">
        <f t="shared" si="19"/>
        <v>LLC</v>
      </c>
      <c r="D154" s="2" t="str">
        <f t="shared" si="20"/>
        <v>LLC</v>
      </c>
      <c r="E154" s="2" t="str">
        <f t="shared" si="21"/>
        <v/>
      </c>
      <c r="F154" s="2">
        <f t="shared" si="22"/>
        <v>0</v>
      </c>
      <c r="G154" s="2">
        <f t="shared" si="23"/>
        <v>0</v>
      </c>
      <c r="H154" s="2">
        <f t="shared" si="24"/>
        <v>0</v>
      </c>
      <c r="I154" s="2">
        <f t="shared" si="25"/>
        <v>0</v>
      </c>
      <c r="NH154" cm="1">
        <f t="array" ref="NH154:NJ154">SUMIFS($J154:$GG154,$J$1:$GG$1,NH$3:NJ$3)</f>
        <v>0</v>
      </c>
      <c r="NI154">
        <v>0</v>
      </c>
      <c r="NJ154">
        <v>0</v>
      </c>
      <c r="NK154" cm="1">
        <f t="array" ref="NK154">IFERROR(MAX((_xlfn.ANCHORARRAY(NH154)-AVERAGE(_xlfn.ANCHORARRAY(NH154)))/ AVERAGE(_xlfn.ANCHORARRAY(NH154))),0)</f>
        <v>0</v>
      </c>
      <c r="NL154" t="str" cm="1">
        <f t="array" ref="NL154">IF(NK154&gt;$NL$1,_xlfn.XLOOKUP(MAX(_xlfn.ANCHORARRAY(NH154)),_xlfn.ANCHORARRAY(NH154),NH$4:NJ$4,""),"")</f>
        <v/>
      </c>
      <c r="NN154" cm="1">
        <f t="array" ref="NN154:NR154">SUMIFS($J154:$GG154,$J$3:$GG$3,NN$3:NR$3)</f>
        <v>0</v>
      </c>
      <c r="NO154">
        <v>0</v>
      </c>
      <c r="NP154">
        <v>0</v>
      </c>
      <c r="NQ154">
        <v>0</v>
      </c>
      <c r="NR154">
        <v>0</v>
      </c>
      <c r="NS154" cm="1">
        <f t="array" ref="NS154">IFERROR(MAX((_xlfn.ANCHORARRAY(NN154)-AVERAGE(_xlfn.ANCHORARRAY(NN154)))/ AVERAGE(_xlfn.ANCHORARRAY(NN154))),0)</f>
        <v>0</v>
      </c>
      <c r="NT154" t="str" cm="1">
        <f t="array" ref="NT154">IF(AND(NS154&gt;$NT$1,NL154&lt;&gt;""),_xlfn.XLOOKUP(MAX(_xlfn.ANCHORARRAY(NN154)),_xlfn.ANCHORARRAY(NN154),NN$4:NR$4,""),"")</f>
        <v/>
      </c>
      <c r="NV154" cm="1">
        <f t="array" ref="NV154:OE154">SUMIFS($J154:$GG154,$J$2:$GG$2,NV$3:OE$3)</f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 cm="1">
        <f t="array" ref="OF154">IFERROR(MAX((_xlfn.ANCHORARRAY(NV154)-AVERAGE(_xlfn.ANCHORARRAY(NV154)))/ AVERAGE(_xlfn.ANCHORARRAY(NV154))),0)</f>
        <v>0</v>
      </c>
      <c r="OG154" t="str" cm="1">
        <f t="array" ref="OG154">IF(OF154&gt;$OG$1,_xlfn.XLOOKUP(MAX(_xlfn.ANCHORARRAY(NV154)),_xlfn.ANCHORARRAY(NV154),NV$4:OE$4,""),"")</f>
        <v/>
      </c>
      <c r="OI154" t="str">
        <f t="shared" si="26"/>
        <v/>
      </c>
    </row>
    <row r="155" spans="2:399" x14ac:dyDescent="0.3">
      <c r="B155" s="2" t="str">
        <f t="shared" si="18"/>
        <v>LLC</v>
      </c>
      <c r="C155" s="2" t="str">
        <f t="shared" si="19"/>
        <v>LLC</v>
      </c>
      <c r="D155" s="2" t="str">
        <f t="shared" si="20"/>
        <v>LLC</v>
      </c>
      <c r="E155" s="2" t="str">
        <f t="shared" si="21"/>
        <v/>
      </c>
      <c r="F155" s="2">
        <f t="shared" si="22"/>
        <v>0</v>
      </c>
      <c r="G155" s="2">
        <f t="shared" si="23"/>
        <v>0</v>
      </c>
      <c r="H155" s="2">
        <f t="shared" si="24"/>
        <v>0</v>
      </c>
      <c r="I155" s="2">
        <f t="shared" si="25"/>
        <v>0</v>
      </c>
      <c r="NH155" cm="1">
        <f t="array" ref="NH155:NJ155">SUMIFS($J155:$GG155,$J$1:$GG$1,NH$3:NJ$3)</f>
        <v>0</v>
      </c>
      <c r="NI155">
        <v>0</v>
      </c>
      <c r="NJ155">
        <v>0</v>
      </c>
      <c r="NK155" cm="1">
        <f t="array" ref="NK155">IFERROR(MAX((_xlfn.ANCHORARRAY(NH155)-AVERAGE(_xlfn.ANCHORARRAY(NH155)))/ AVERAGE(_xlfn.ANCHORARRAY(NH155))),0)</f>
        <v>0</v>
      </c>
      <c r="NL155" t="str" cm="1">
        <f t="array" ref="NL155">IF(NK155&gt;$NL$1,_xlfn.XLOOKUP(MAX(_xlfn.ANCHORARRAY(NH155)),_xlfn.ANCHORARRAY(NH155),NH$4:NJ$4,""),"")</f>
        <v/>
      </c>
      <c r="NN155" cm="1">
        <f t="array" ref="NN155:NR155">SUMIFS($J155:$GG155,$J$3:$GG$3,NN$3:NR$3)</f>
        <v>0</v>
      </c>
      <c r="NO155">
        <v>0</v>
      </c>
      <c r="NP155">
        <v>0</v>
      </c>
      <c r="NQ155">
        <v>0</v>
      </c>
      <c r="NR155">
        <v>0</v>
      </c>
      <c r="NS155" cm="1">
        <f t="array" ref="NS155">IFERROR(MAX((_xlfn.ANCHORARRAY(NN155)-AVERAGE(_xlfn.ANCHORARRAY(NN155)))/ AVERAGE(_xlfn.ANCHORARRAY(NN155))),0)</f>
        <v>0</v>
      </c>
      <c r="NT155" t="str" cm="1">
        <f t="array" ref="NT155">IF(AND(NS155&gt;$NT$1,NL155&lt;&gt;""),_xlfn.XLOOKUP(MAX(_xlfn.ANCHORARRAY(NN155)),_xlfn.ANCHORARRAY(NN155),NN$4:NR$4,""),"")</f>
        <v/>
      </c>
      <c r="NV155" cm="1">
        <f t="array" ref="NV155:OE155">SUMIFS($J155:$GG155,$J$2:$GG$2,NV$3:OE$3)</f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 cm="1">
        <f t="array" ref="OF155">IFERROR(MAX((_xlfn.ANCHORARRAY(NV155)-AVERAGE(_xlfn.ANCHORARRAY(NV155)))/ AVERAGE(_xlfn.ANCHORARRAY(NV155))),0)</f>
        <v>0</v>
      </c>
      <c r="OG155" t="str" cm="1">
        <f t="array" ref="OG155">IF(OF155&gt;$OG$1,_xlfn.XLOOKUP(MAX(_xlfn.ANCHORARRAY(NV155)),_xlfn.ANCHORARRAY(NV155),NV$4:OE$4,""),"")</f>
        <v/>
      </c>
      <c r="OI155" t="str">
        <f t="shared" si="26"/>
        <v/>
      </c>
    </row>
    <row r="156" spans="2:399" x14ac:dyDescent="0.3">
      <c r="B156" s="2" t="str">
        <f t="shared" si="18"/>
        <v>LLC</v>
      </c>
      <c r="C156" s="2" t="str">
        <f t="shared" si="19"/>
        <v>LLC</v>
      </c>
      <c r="D156" s="2" t="str">
        <f t="shared" si="20"/>
        <v>LLC</v>
      </c>
      <c r="E156" s="2" t="str">
        <f t="shared" si="21"/>
        <v/>
      </c>
      <c r="F156" s="2">
        <f t="shared" si="22"/>
        <v>0</v>
      </c>
      <c r="G156" s="2">
        <f t="shared" si="23"/>
        <v>0</v>
      </c>
      <c r="H156" s="2">
        <f t="shared" si="24"/>
        <v>0</v>
      </c>
      <c r="I156" s="2">
        <f t="shared" si="25"/>
        <v>0</v>
      </c>
      <c r="NH156" cm="1">
        <f t="array" ref="NH156:NJ156">SUMIFS($J156:$GG156,$J$1:$GG$1,NH$3:NJ$3)</f>
        <v>0</v>
      </c>
      <c r="NI156">
        <v>0</v>
      </c>
      <c r="NJ156">
        <v>0</v>
      </c>
      <c r="NK156" cm="1">
        <f t="array" ref="NK156">IFERROR(MAX((_xlfn.ANCHORARRAY(NH156)-AVERAGE(_xlfn.ANCHORARRAY(NH156)))/ AVERAGE(_xlfn.ANCHORARRAY(NH156))),0)</f>
        <v>0</v>
      </c>
      <c r="NL156" t="str" cm="1">
        <f t="array" ref="NL156">IF(NK156&gt;$NL$1,_xlfn.XLOOKUP(MAX(_xlfn.ANCHORARRAY(NH156)),_xlfn.ANCHORARRAY(NH156),NH$4:NJ$4,""),"")</f>
        <v/>
      </c>
      <c r="NN156" cm="1">
        <f t="array" ref="NN156:NR156">SUMIFS($J156:$GG156,$J$3:$GG$3,NN$3:NR$3)</f>
        <v>0</v>
      </c>
      <c r="NO156">
        <v>0</v>
      </c>
      <c r="NP156">
        <v>0</v>
      </c>
      <c r="NQ156">
        <v>0</v>
      </c>
      <c r="NR156">
        <v>0</v>
      </c>
      <c r="NS156" cm="1">
        <f t="array" ref="NS156">IFERROR(MAX((_xlfn.ANCHORARRAY(NN156)-AVERAGE(_xlfn.ANCHORARRAY(NN156)))/ AVERAGE(_xlfn.ANCHORARRAY(NN156))),0)</f>
        <v>0</v>
      </c>
      <c r="NT156" t="str" cm="1">
        <f t="array" ref="NT156">IF(AND(NS156&gt;$NT$1,NL156&lt;&gt;""),_xlfn.XLOOKUP(MAX(_xlfn.ANCHORARRAY(NN156)),_xlfn.ANCHORARRAY(NN156),NN$4:NR$4,""),"")</f>
        <v/>
      </c>
      <c r="NV156" cm="1">
        <f t="array" ref="NV156:OE156">SUMIFS($J156:$GG156,$J$2:$GG$2,NV$3:OE$3)</f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 cm="1">
        <f t="array" ref="OF156">IFERROR(MAX((_xlfn.ANCHORARRAY(NV156)-AVERAGE(_xlfn.ANCHORARRAY(NV156)))/ AVERAGE(_xlfn.ANCHORARRAY(NV156))),0)</f>
        <v>0</v>
      </c>
      <c r="OG156" t="str" cm="1">
        <f t="array" ref="OG156">IF(OF156&gt;$OG$1,_xlfn.XLOOKUP(MAX(_xlfn.ANCHORARRAY(NV156)),_xlfn.ANCHORARRAY(NV156),NV$4:OE$4,""),"")</f>
        <v/>
      </c>
      <c r="OI156" t="str">
        <f t="shared" si="26"/>
        <v/>
      </c>
    </row>
    <row r="157" spans="2:399" x14ac:dyDescent="0.3">
      <c r="B157" s="2" t="str">
        <f t="shared" si="18"/>
        <v>LLC</v>
      </c>
      <c r="C157" s="2" t="str">
        <f t="shared" si="19"/>
        <v>LLC</v>
      </c>
      <c r="D157" s="2" t="str">
        <f t="shared" si="20"/>
        <v>LLC</v>
      </c>
      <c r="E157" s="2" t="str">
        <f t="shared" si="21"/>
        <v/>
      </c>
      <c r="F157" s="2">
        <f t="shared" si="22"/>
        <v>0</v>
      </c>
      <c r="G157" s="2">
        <f t="shared" si="23"/>
        <v>0</v>
      </c>
      <c r="H157" s="2">
        <f t="shared" si="24"/>
        <v>0</v>
      </c>
      <c r="I157" s="2">
        <f t="shared" si="25"/>
        <v>0</v>
      </c>
      <c r="NH157" cm="1">
        <f t="array" ref="NH157:NJ157">SUMIFS($J157:$GG157,$J$1:$GG$1,NH$3:NJ$3)</f>
        <v>0</v>
      </c>
      <c r="NI157">
        <v>0</v>
      </c>
      <c r="NJ157">
        <v>0</v>
      </c>
      <c r="NK157" cm="1">
        <f t="array" ref="NK157">IFERROR(MAX((_xlfn.ANCHORARRAY(NH157)-AVERAGE(_xlfn.ANCHORARRAY(NH157)))/ AVERAGE(_xlfn.ANCHORARRAY(NH157))),0)</f>
        <v>0</v>
      </c>
      <c r="NL157" t="str" cm="1">
        <f t="array" ref="NL157">IF(NK157&gt;$NL$1,_xlfn.XLOOKUP(MAX(_xlfn.ANCHORARRAY(NH157)),_xlfn.ANCHORARRAY(NH157),NH$4:NJ$4,""),"")</f>
        <v/>
      </c>
      <c r="NN157" cm="1">
        <f t="array" ref="NN157:NR157">SUMIFS($J157:$GG157,$J$3:$GG$3,NN$3:NR$3)</f>
        <v>0</v>
      </c>
      <c r="NO157">
        <v>0</v>
      </c>
      <c r="NP157">
        <v>0</v>
      </c>
      <c r="NQ157">
        <v>0</v>
      </c>
      <c r="NR157">
        <v>0</v>
      </c>
      <c r="NS157" cm="1">
        <f t="array" ref="NS157">IFERROR(MAX((_xlfn.ANCHORARRAY(NN157)-AVERAGE(_xlfn.ANCHORARRAY(NN157)))/ AVERAGE(_xlfn.ANCHORARRAY(NN157))),0)</f>
        <v>0</v>
      </c>
      <c r="NT157" t="str" cm="1">
        <f t="array" ref="NT157">IF(AND(NS157&gt;$NT$1,NL157&lt;&gt;""),_xlfn.XLOOKUP(MAX(_xlfn.ANCHORARRAY(NN157)),_xlfn.ANCHORARRAY(NN157),NN$4:NR$4,""),"")</f>
        <v/>
      </c>
      <c r="NV157" cm="1">
        <f t="array" ref="NV157:OE157">SUMIFS($J157:$GG157,$J$2:$GG$2,NV$3:OE$3)</f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 cm="1">
        <f t="array" ref="OF157">IFERROR(MAX((_xlfn.ANCHORARRAY(NV157)-AVERAGE(_xlfn.ANCHORARRAY(NV157)))/ AVERAGE(_xlfn.ANCHORARRAY(NV157))),0)</f>
        <v>0</v>
      </c>
      <c r="OG157" t="str" cm="1">
        <f t="array" ref="OG157">IF(OF157&gt;$OG$1,_xlfn.XLOOKUP(MAX(_xlfn.ANCHORARRAY(NV157)),_xlfn.ANCHORARRAY(NV157),NV$4:OE$4,""),"")</f>
        <v/>
      </c>
      <c r="OI157" t="str">
        <f t="shared" si="26"/>
        <v/>
      </c>
    </row>
    <row r="158" spans="2:399" x14ac:dyDescent="0.3">
      <c r="B158" s="2" t="str">
        <f t="shared" si="18"/>
        <v>LLC</v>
      </c>
      <c r="C158" s="2" t="str">
        <f t="shared" si="19"/>
        <v>LLC</v>
      </c>
      <c r="D158" s="2" t="str">
        <f t="shared" si="20"/>
        <v>LLC</v>
      </c>
      <c r="E158" s="2" t="str">
        <f t="shared" si="21"/>
        <v/>
      </c>
      <c r="F158" s="2">
        <f t="shared" si="22"/>
        <v>0</v>
      </c>
      <c r="G158" s="2">
        <f t="shared" si="23"/>
        <v>0</v>
      </c>
      <c r="H158" s="2">
        <f t="shared" si="24"/>
        <v>0</v>
      </c>
      <c r="I158" s="2">
        <f t="shared" si="25"/>
        <v>0</v>
      </c>
      <c r="NH158" cm="1">
        <f t="array" ref="NH158:NJ158">SUMIFS($J158:$GG158,$J$1:$GG$1,NH$3:NJ$3)</f>
        <v>0</v>
      </c>
      <c r="NI158">
        <v>0</v>
      </c>
      <c r="NJ158">
        <v>0</v>
      </c>
      <c r="NK158" cm="1">
        <f t="array" ref="NK158">IFERROR(MAX((_xlfn.ANCHORARRAY(NH158)-AVERAGE(_xlfn.ANCHORARRAY(NH158)))/ AVERAGE(_xlfn.ANCHORARRAY(NH158))),0)</f>
        <v>0</v>
      </c>
      <c r="NL158" t="str" cm="1">
        <f t="array" ref="NL158">IF(NK158&gt;$NL$1,_xlfn.XLOOKUP(MAX(_xlfn.ANCHORARRAY(NH158)),_xlfn.ANCHORARRAY(NH158),NH$4:NJ$4,""),"")</f>
        <v/>
      </c>
      <c r="NN158" cm="1">
        <f t="array" ref="NN158:NR158">SUMIFS($J158:$GG158,$J$3:$GG$3,NN$3:NR$3)</f>
        <v>0</v>
      </c>
      <c r="NO158">
        <v>0</v>
      </c>
      <c r="NP158">
        <v>0</v>
      </c>
      <c r="NQ158">
        <v>0</v>
      </c>
      <c r="NR158">
        <v>0</v>
      </c>
      <c r="NS158" cm="1">
        <f t="array" ref="NS158">IFERROR(MAX((_xlfn.ANCHORARRAY(NN158)-AVERAGE(_xlfn.ANCHORARRAY(NN158)))/ AVERAGE(_xlfn.ANCHORARRAY(NN158))),0)</f>
        <v>0</v>
      </c>
      <c r="NT158" t="str" cm="1">
        <f t="array" ref="NT158">IF(AND(NS158&gt;$NT$1,NL158&lt;&gt;""),_xlfn.XLOOKUP(MAX(_xlfn.ANCHORARRAY(NN158)),_xlfn.ANCHORARRAY(NN158),NN$4:NR$4,""),"")</f>
        <v/>
      </c>
      <c r="NV158" cm="1">
        <f t="array" ref="NV158:OE158">SUMIFS($J158:$GG158,$J$2:$GG$2,NV$3:OE$3)</f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 cm="1">
        <f t="array" ref="OF158">IFERROR(MAX((_xlfn.ANCHORARRAY(NV158)-AVERAGE(_xlfn.ANCHORARRAY(NV158)))/ AVERAGE(_xlfn.ANCHORARRAY(NV158))),0)</f>
        <v>0</v>
      </c>
      <c r="OG158" t="str" cm="1">
        <f t="array" ref="OG158">IF(OF158&gt;$OG$1,_xlfn.XLOOKUP(MAX(_xlfn.ANCHORARRAY(NV158)),_xlfn.ANCHORARRAY(NV158),NV$4:OE$4,""),"")</f>
        <v/>
      </c>
      <c r="OI158" t="str">
        <f t="shared" si="26"/>
        <v/>
      </c>
    </row>
    <row r="159" spans="2:399" x14ac:dyDescent="0.3">
      <c r="B159" s="2" t="str">
        <f t="shared" si="18"/>
        <v>LLC</v>
      </c>
      <c r="C159" s="2" t="str">
        <f t="shared" si="19"/>
        <v>LLC</v>
      </c>
      <c r="D159" s="2" t="str">
        <f t="shared" si="20"/>
        <v>LLC</v>
      </c>
      <c r="E159" s="2" t="str">
        <f t="shared" si="21"/>
        <v/>
      </c>
      <c r="F159" s="2">
        <f t="shared" si="22"/>
        <v>0</v>
      </c>
      <c r="G159" s="2">
        <f t="shared" si="23"/>
        <v>0</v>
      </c>
      <c r="H159" s="2">
        <f t="shared" si="24"/>
        <v>0</v>
      </c>
      <c r="I159" s="2">
        <f t="shared" si="25"/>
        <v>0</v>
      </c>
      <c r="NH159" cm="1">
        <f t="array" ref="NH159:NJ159">SUMIFS($J159:$GG159,$J$1:$GG$1,NH$3:NJ$3)</f>
        <v>0</v>
      </c>
      <c r="NI159">
        <v>0</v>
      </c>
      <c r="NJ159">
        <v>0</v>
      </c>
      <c r="NK159" cm="1">
        <f t="array" ref="NK159">IFERROR(MAX((_xlfn.ANCHORARRAY(NH159)-AVERAGE(_xlfn.ANCHORARRAY(NH159)))/ AVERAGE(_xlfn.ANCHORARRAY(NH159))),0)</f>
        <v>0</v>
      </c>
      <c r="NL159" t="str" cm="1">
        <f t="array" ref="NL159">IF(NK159&gt;$NL$1,_xlfn.XLOOKUP(MAX(_xlfn.ANCHORARRAY(NH159)),_xlfn.ANCHORARRAY(NH159),NH$4:NJ$4,""),"")</f>
        <v/>
      </c>
      <c r="NN159" cm="1">
        <f t="array" ref="NN159:NR159">SUMIFS($J159:$GG159,$J$3:$GG$3,NN$3:NR$3)</f>
        <v>0</v>
      </c>
      <c r="NO159">
        <v>0</v>
      </c>
      <c r="NP159">
        <v>0</v>
      </c>
      <c r="NQ159">
        <v>0</v>
      </c>
      <c r="NR159">
        <v>0</v>
      </c>
      <c r="NS159" cm="1">
        <f t="array" ref="NS159">IFERROR(MAX((_xlfn.ANCHORARRAY(NN159)-AVERAGE(_xlfn.ANCHORARRAY(NN159)))/ AVERAGE(_xlfn.ANCHORARRAY(NN159))),0)</f>
        <v>0</v>
      </c>
      <c r="NT159" t="str" cm="1">
        <f t="array" ref="NT159">IF(AND(NS159&gt;$NT$1,NL159&lt;&gt;""),_xlfn.XLOOKUP(MAX(_xlfn.ANCHORARRAY(NN159)),_xlfn.ANCHORARRAY(NN159),NN$4:NR$4,""),"")</f>
        <v/>
      </c>
      <c r="NV159" cm="1">
        <f t="array" ref="NV159:OE159">SUMIFS($J159:$GG159,$J$2:$GG$2,NV$3:OE$3)</f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 cm="1">
        <f t="array" ref="OF159">IFERROR(MAX((_xlfn.ANCHORARRAY(NV159)-AVERAGE(_xlfn.ANCHORARRAY(NV159)))/ AVERAGE(_xlfn.ANCHORARRAY(NV159))),0)</f>
        <v>0</v>
      </c>
      <c r="OG159" t="str" cm="1">
        <f t="array" ref="OG159">IF(OF159&gt;$OG$1,_xlfn.XLOOKUP(MAX(_xlfn.ANCHORARRAY(NV159)),_xlfn.ANCHORARRAY(NV159),NV$4:OE$4,""),"")</f>
        <v/>
      </c>
      <c r="OI159" t="str">
        <f t="shared" si="26"/>
        <v/>
      </c>
    </row>
    <row r="160" spans="2:399" x14ac:dyDescent="0.3">
      <c r="B160" s="2" t="str">
        <f t="shared" si="18"/>
        <v>LLC</v>
      </c>
      <c r="C160" s="2" t="str">
        <f t="shared" si="19"/>
        <v>LLC</v>
      </c>
      <c r="D160" s="2" t="str">
        <f t="shared" si="20"/>
        <v>LLC</v>
      </c>
      <c r="E160" s="2" t="str">
        <f t="shared" si="21"/>
        <v/>
      </c>
      <c r="F160" s="2">
        <f t="shared" si="22"/>
        <v>0</v>
      </c>
      <c r="G160" s="2">
        <f t="shared" si="23"/>
        <v>0</v>
      </c>
      <c r="H160" s="2">
        <f t="shared" si="24"/>
        <v>0</v>
      </c>
      <c r="I160" s="2">
        <f t="shared" si="25"/>
        <v>0</v>
      </c>
      <c r="NH160" cm="1">
        <f t="array" ref="NH160:NJ160">SUMIFS($J160:$GG160,$J$1:$GG$1,NH$3:NJ$3)</f>
        <v>0</v>
      </c>
      <c r="NI160">
        <v>0</v>
      </c>
      <c r="NJ160">
        <v>0</v>
      </c>
      <c r="NK160" cm="1">
        <f t="array" ref="NK160">IFERROR(MAX((_xlfn.ANCHORARRAY(NH160)-AVERAGE(_xlfn.ANCHORARRAY(NH160)))/ AVERAGE(_xlfn.ANCHORARRAY(NH160))),0)</f>
        <v>0</v>
      </c>
      <c r="NL160" t="str" cm="1">
        <f t="array" ref="NL160">IF(NK160&gt;$NL$1,_xlfn.XLOOKUP(MAX(_xlfn.ANCHORARRAY(NH160)),_xlfn.ANCHORARRAY(NH160),NH$4:NJ$4,""),"")</f>
        <v/>
      </c>
      <c r="NN160" cm="1">
        <f t="array" ref="NN160:NR160">SUMIFS($J160:$GG160,$J$3:$GG$3,NN$3:NR$3)</f>
        <v>0</v>
      </c>
      <c r="NO160">
        <v>0</v>
      </c>
      <c r="NP160">
        <v>0</v>
      </c>
      <c r="NQ160">
        <v>0</v>
      </c>
      <c r="NR160">
        <v>0</v>
      </c>
      <c r="NS160" cm="1">
        <f t="array" ref="NS160">IFERROR(MAX((_xlfn.ANCHORARRAY(NN160)-AVERAGE(_xlfn.ANCHORARRAY(NN160)))/ AVERAGE(_xlfn.ANCHORARRAY(NN160))),0)</f>
        <v>0</v>
      </c>
      <c r="NT160" t="str" cm="1">
        <f t="array" ref="NT160">IF(AND(NS160&gt;$NT$1,NL160&lt;&gt;""),_xlfn.XLOOKUP(MAX(_xlfn.ANCHORARRAY(NN160)),_xlfn.ANCHORARRAY(NN160),NN$4:NR$4,""),"")</f>
        <v/>
      </c>
      <c r="NV160" cm="1">
        <f t="array" ref="NV160:OE160">SUMIFS($J160:$GG160,$J$2:$GG$2,NV$3:OE$3)</f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 cm="1">
        <f t="array" ref="OF160">IFERROR(MAX((_xlfn.ANCHORARRAY(NV160)-AVERAGE(_xlfn.ANCHORARRAY(NV160)))/ AVERAGE(_xlfn.ANCHORARRAY(NV160))),0)</f>
        <v>0</v>
      </c>
      <c r="OG160" t="str" cm="1">
        <f t="array" ref="OG160">IF(OF160&gt;$OG$1,_xlfn.XLOOKUP(MAX(_xlfn.ANCHORARRAY(NV160)),_xlfn.ANCHORARRAY(NV160),NV$4:OE$4,""),"")</f>
        <v/>
      </c>
      <c r="OI160" t="str">
        <f t="shared" si="26"/>
        <v/>
      </c>
    </row>
    <row r="161" spans="2:399" x14ac:dyDescent="0.3">
      <c r="B161" s="2" t="str">
        <f t="shared" si="18"/>
        <v>LLC</v>
      </c>
      <c r="C161" s="2" t="str">
        <f t="shared" si="19"/>
        <v>LLC</v>
      </c>
      <c r="D161" s="2" t="str">
        <f t="shared" si="20"/>
        <v>LLC</v>
      </c>
      <c r="E161" s="2" t="str">
        <f t="shared" si="21"/>
        <v/>
      </c>
      <c r="F161" s="2">
        <f t="shared" si="22"/>
        <v>0</v>
      </c>
      <c r="G161" s="2">
        <f t="shared" si="23"/>
        <v>0</v>
      </c>
      <c r="H161" s="2">
        <f t="shared" si="24"/>
        <v>0</v>
      </c>
      <c r="I161" s="2">
        <f t="shared" si="25"/>
        <v>0</v>
      </c>
      <c r="NH161" cm="1">
        <f t="array" ref="NH161:NJ161">SUMIFS($J161:$GG161,$J$1:$GG$1,NH$3:NJ$3)</f>
        <v>0</v>
      </c>
      <c r="NI161">
        <v>0</v>
      </c>
      <c r="NJ161">
        <v>0</v>
      </c>
      <c r="NK161" cm="1">
        <f t="array" ref="NK161">IFERROR(MAX((_xlfn.ANCHORARRAY(NH161)-AVERAGE(_xlfn.ANCHORARRAY(NH161)))/ AVERAGE(_xlfn.ANCHORARRAY(NH161))),0)</f>
        <v>0</v>
      </c>
      <c r="NL161" t="str" cm="1">
        <f t="array" ref="NL161">IF(NK161&gt;$NL$1,_xlfn.XLOOKUP(MAX(_xlfn.ANCHORARRAY(NH161)),_xlfn.ANCHORARRAY(NH161),NH$4:NJ$4,""),"")</f>
        <v/>
      </c>
      <c r="NN161" cm="1">
        <f t="array" ref="NN161:NR161">SUMIFS($J161:$GG161,$J$3:$GG$3,NN$3:NR$3)</f>
        <v>0</v>
      </c>
      <c r="NO161">
        <v>0</v>
      </c>
      <c r="NP161">
        <v>0</v>
      </c>
      <c r="NQ161">
        <v>0</v>
      </c>
      <c r="NR161">
        <v>0</v>
      </c>
      <c r="NS161" cm="1">
        <f t="array" ref="NS161">IFERROR(MAX((_xlfn.ANCHORARRAY(NN161)-AVERAGE(_xlfn.ANCHORARRAY(NN161)))/ AVERAGE(_xlfn.ANCHORARRAY(NN161))),0)</f>
        <v>0</v>
      </c>
      <c r="NT161" t="str" cm="1">
        <f t="array" ref="NT161">IF(AND(NS161&gt;$NT$1,NL161&lt;&gt;""),_xlfn.XLOOKUP(MAX(_xlfn.ANCHORARRAY(NN161)),_xlfn.ANCHORARRAY(NN161),NN$4:NR$4,""),"")</f>
        <v/>
      </c>
      <c r="NV161" cm="1">
        <f t="array" ref="NV161:OE161">SUMIFS($J161:$GG161,$J$2:$GG$2,NV$3:OE$3)</f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 cm="1">
        <f t="array" ref="OF161">IFERROR(MAX((_xlfn.ANCHORARRAY(NV161)-AVERAGE(_xlfn.ANCHORARRAY(NV161)))/ AVERAGE(_xlfn.ANCHORARRAY(NV161))),0)</f>
        <v>0</v>
      </c>
      <c r="OG161" t="str" cm="1">
        <f t="array" ref="OG161">IF(OF161&gt;$OG$1,_xlfn.XLOOKUP(MAX(_xlfn.ANCHORARRAY(NV161)),_xlfn.ANCHORARRAY(NV161),NV$4:OE$4,""),"")</f>
        <v/>
      </c>
      <c r="OI161" t="str">
        <f t="shared" si="26"/>
        <v/>
      </c>
    </row>
    <row r="162" spans="2:399" x14ac:dyDescent="0.3">
      <c r="B162" s="2" t="str">
        <f t="shared" si="18"/>
        <v>LLC</v>
      </c>
      <c r="C162" s="2" t="str">
        <f t="shared" si="19"/>
        <v>LLC</v>
      </c>
      <c r="D162" s="2" t="str">
        <f t="shared" si="20"/>
        <v>LLC</v>
      </c>
      <c r="E162" s="2" t="str">
        <f t="shared" si="21"/>
        <v/>
      </c>
      <c r="F162" s="2">
        <f t="shared" si="22"/>
        <v>0</v>
      </c>
      <c r="G162" s="2">
        <f t="shared" si="23"/>
        <v>0</v>
      </c>
      <c r="H162" s="2">
        <f t="shared" si="24"/>
        <v>0</v>
      </c>
      <c r="I162" s="2">
        <f t="shared" si="25"/>
        <v>0</v>
      </c>
      <c r="NH162" cm="1">
        <f t="array" ref="NH162:NJ162">SUMIFS($J162:$GG162,$J$1:$GG$1,NH$3:NJ$3)</f>
        <v>0</v>
      </c>
      <c r="NI162">
        <v>0</v>
      </c>
      <c r="NJ162">
        <v>0</v>
      </c>
      <c r="NK162" cm="1">
        <f t="array" ref="NK162">IFERROR(MAX((_xlfn.ANCHORARRAY(NH162)-AVERAGE(_xlfn.ANCHORARRAY(NH162)))/ AVERAGE(_xlfn.ANCHORARRAY(NH162))),0)</f>
        <v>0</v>
      </c>
      <c r="NL162" t="str" cm="1">
        <f t="array" ref="NL162">IF(NK162&gt;$NL$1,_xlfn.XLOOKUP(MAX(_xlfn.ANCHORARRAY(NH162)),_xlfn.ANCHORARRAY(NH162),NH$4:NJ$4,""),"")</f>
        <v/>
      </c>
      <c r="NN162" cm="1">
        <f t="array" ref="NN162:NR162">SUMIFS($J162:$GG162,$J$3:$GG$3,NN$3:NR$3)</f>
        <v>0</v>
      </c>
      <c r="NO162">
        <v>0</v>
      </c>
      <c r="NP162">
        <v>0</v>
      </c>
      <c r="NQ162">
        <v>0</v>
      </c>
      <c r="NR162">
        <v>0</v>
      </c>
      <c r="NS162" cm="1">
        <f t="array" ref="NS162">IFERROR(MAX((_xlfn.ANCHORARRAY(NN162)-AVERAGE(_xlfn.ANCHORARRAY(NN162)))/ AVERAGE(_xlfn.ANCHORARRAY(NN162))),0)</f>
        <v>0</v>
      </c>
      <c r="NT162" t="str" cm="1">
        <f t="array" ref="NT162">IF(AND(NS162&gt;$NT$1,NL162&lt;&gt;""),_xlfn.XLOOKUP(MAX(_xlfn.ANCHORARRAY(NN162)),_xlfn.ANCHORARRAY(NN162),NN$4:NR$4,""),"")</f>
        <v/>
      </c>
      <c r="NV162" cm="1">
        <f t="array" ref="NV162:OE162">SUMIFS($J162:$GG162,$J$2:$GG$2,NV$3:OE$3)</f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 cm="1">
        <f t="array" ref="OF162">IFERROR(MAX((_xlfn.ANCHORARRAY(NV162)-AVERAGE(_xlfn.ANCHORARRAY(NV162)))/ AVERAGE(_xlfn.ANCHORARRAY(NV162))),0)</f>
        <v>0</v>
      </c>
      <c r="OG162" t="str" cm="1">
        <f t="array" ref="OG162">IF(OF162&gt;$OG$1,_xlfn.XLOOKUP(MAX(_xlfn.ANCHORARRAY(NV162)),_xlfn.ANCHORARRAY(NV162),NV$4:OE$4,""),"")</f>
        <v/>
      </c>
      <c r="OI162" t="str">
        <f t="shared" si="26"/>
        <v/>
      </c>
    </row>
    <row r="163" spans="2:399" x14ac:dyDescent="0.3">
      <c r="B163" s="2" t="str">
        <f t="shared" si="18"/>
        <v>LLC</v>
      </c>
      <c r="C163" s="2" t="str">
        <f t="shared" si="19"/>
        <v>LLC</v>
      </c>
      <c r="D163" s="2" t="str">
        <f t="shared" si="20"/>
        <v>LLC</v>
      </c>
      <c r="E163" s="2" t="str">
        <f t="shared" si="21"/>
        <v/>
      </c>
      <c r="F163" s="2">
        <f t="shared" si="22"/>
        <v>0</v>
      </c>
      <c r="G163" s="2">
        <f t="shared" si="23"/>
        <v>0</v>
      </c>
      <c r="H163" s="2">
        <f t="shared" si="24"/>
        <v>0</v>
      </c>
      <c r="I163" s="2">
        <f t="shared" si="25"/>
        <v>0</v>
      </c>
      <c r="NH163" cm="1">
        <f t="array" ref="NH163:NJ163">SUMIFS($J163:$GG163,$J$1:$GG$1,NH$3:NJ$3)</f>
        <v>0</v>
      </c>
      <c r="NI163">
        <v>0</v>
      </c>
      <c r="NJ163">
        <v>0</v>
      </c>
      <c r="NK163" cm="1">
        <f t="array" ref="NK163">IFERROR(MAX((_xlfn.ANCHORARRAY(NH163)-AVERAGE(_xlfn.ANCHORARRAY(NH163)))/ AVERAGE(_xlfn.ANCHORARRAY(NH163))),0)</f>
        <v>0</v>
      </c>
      <c r="NL163" t="str" cm="1">
        <f t="array" ref="NL163">IF(NK163&gt;$NL$1,_xlfn.XLOOKUP(MAX(_xlfn.ANCHORARRAY(NH163)),_xlfn.ANCHORARRAY(NH163),NH$4:NJ$4,""),"")</f>
        <v/>
      </c>
      <c r="NN163" cm="1">
        <f t="array" ref="NN163:NR163">SUMIFS($J163:$GG163,$J$3:$GG$3,NN$3:NR$3)</f>
        <v>0</v>
      </c>
      <c r="NO163">
        <v>0</v>
      </c>
      <c r="NP163">
        <v>0</v>
      </c>
      <c r="NQ163">
        <v>0</v>
      </c>
      <c r="NR163">
        <v>0</v>
      </c>
      <c r="NS163" cm="1">
        <f t="array" ref="NS163">IFERROR(MAX((_xlfn.ANCHORARRAY(NN163)-AVERAGE(_xlfn.ANCHORARRAY(NN163)))/ AVERAGE(_xlfn.ANCHORARRAY(NN163))),0)</f>
        <v>0</v>
      </c>
      <c r="NT163" t="str" cm="1">
        <f t="array" ref="NT163">IF(AND(NS163&gt;$NT$1,NL163&lt;&gt;""),_xlfn.XLOOKUP(MAX(_xlfn.ANCHORARRAY(NN163)),_xlfn.ANCHORARRAY(NN163),NN$4:NR$4,""),"")</f>
        <v/>
      </c>
      <c r="NV163" cm="1">
        <f t="array" ref="NV163:OE163">SUMIFS($J163:$GG163,$J$2:$GG$2,NV$3:OE$3)</f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 cm="1">
        <f t="array" ref="OF163">IFERROR(MAX((_xlfn.ANCHORARRAY(NV163)-AVERAGE(_xlfn.ANCHORARRAY(NV163)))/ AVERAGE(_xlfn.ANCHORARRAY(NV163))),0)</f>
        <v>0</v>
      </c>
      <c r="OG163" t="str" cm="1">
        <f t="array" ref="OG163">IF(OF163&gt;$OG$1,_xlfn.XLOOKUP(MAX(_xlfn.ANCHORARRAY(NV163)),_xlfn.ANCHORARRAY(NV163),NV$4:OE$4,""),"")</f>
        <v/>
      </c>
      <c r="OI163" t="str">
        <f t="shared" si="26"/>
        <v/>
      </c>
    </row>
    <row r="164" spans="2:399" x14ac:dyDescent="0.3">
      <c r="B164" s="2" t="str">
        <f t="shared" si="18"/>
        <v>LLC</v>
      </c>
      <c r="C164" s="2" t="str">
        <f t="shared" si="19"/>
        <v>LLC</v>
      </c>
      <c r="D164" s="2" t="str">
        <f t="shared" si="20"/>
        <v>LLC</v>
      </c>
      <c r="E164" s="2" t="str">
        <f t="shared" si="21"/>
        <v/>
      </c>
      <c r="F164" s="2">
        <f t="shared" si="22"/>
        <v>0</v>
      </c>
      <c r="G164" s="2">
        <f t="shared" si="23"/>
        <v>0</v>
      </c>
      <c r="H164" s="2">
        <f t="shared" si="24"/>
        <v>0</v>
      </c>
      <c r="I164" s="2">
        <f t="shared" si="25"/>
        <v>0</v>
      </c>
      <c r="NH164" cm="1">
        <f t="array" ref="NH164:NJ164">SUMIFS($J164:$GG164,$J$1:$GG$1,NH$3:NJ$3)</f>
        <v>0</v>
      </c>
      <c r="NI164">
        <v>0</v>
      </c>
      <c r="NJ164">
        <v>0</v>
      </c>
      <c r="NK164" cm="1">
        <f t="array" ref="NK164">IFERROR(MAX((_xlfn.ANCHORARRAY(NH164)-AVERAGE(_xlfn.ANCHORARRAY(NH164)))/ AVERAGE(_xlfn.ANCHORARRAY(NH164))),0)</f>
        <v>0</v>
      </c>
      <c r="NL164" t="str" cm="1">
        <f t="array" ref="NL164">IF(NK164&gt;$NL$1,_xlfn.XLOOKUP(MAX(_xlfn.ANCHORARRAY(NH164)),_xlfn.ANCHORARRAY(NH164),NH$4:NJ$4,""),"")</f>
        <v/>
      </c>
      <c r="NN164" cm="1">
        <f t="array" ref="NN164:NR164">SUMIFS($J164:$GG164,$J$3:$GG$3,NN$3:NR$3)</f>
        <v>0</v>
      </c>
      <c r="NO164">
        <v>0</v>
      </c>
      <c r="NP164">
        <v>0</v>
      </c>
      <c r="NQ164">
        <v>0</v>
      </c>
      <c r="NR164">
        <v>0</v>
      </c>
      <c r="NS164" cm="1">
        <f t="array" ref="NS164">IFERROR(MAX((_xlfn.ANCHORARRAY(NN164)-AVERAGE(_xlfn.ANCHORARRAY(NN164)))/ AVERAGE(_xlfn.ANCHORARRAY(NN164))),0)</f>
        <v>0</v>
      </c>
      <c r="NT164" t="str" cm="1">
        <f t="array" ref="NT164">IF(AND(NS164&gt;$NT$1,NL164&lt;&gt;""),_xlfn.XLOOKUP(MAX(_xlfn.ANCHORARRAY(NN164)),_xlfn.ANCHORARRAY(NN164),NN$4:NR$4,""),"")</f>
        <v/>
      </c>
      <c r="NV164" cm="1">
        <f t="array" ref="NV164:OE164">SUMIFS($J164:$GG164,$J$2:$GG$2,NV$3:OE$3)</f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 cm="1">
        <f t="array" ref="OF164">IFERROR(MAX((_xlfn.ANCHORARRAY(NV164)-AVERAGE(_xlfn.ANCHORARRAY(NV164)))/ AVERAGE(_xlfn.ANCHORARRAY(NV164))),0)</f>
        <v>0</v>
      </c>
      <c r="OG164" t="str" cm="1">
        <f t="array" ref="OG164">IF(OF164&gt;$OG$1,_xlfn.XLOOKUP(MAX(_xlfn.ANCHORARRAY(NV164)),_xlfn.ANCHORARRAY(NV164),NV$4:OE$4,""),"")</f>
        <v/>
      </c>
      <c r="OI164" t="str">
        <f t="shared" si="26"/>
        <v/>
      </c>
    </row>
    <row r="165" spans="2:399" x14ac:dyDescent="0.3">
      <c r="B165" s="2" t="str">
        <f t="shared" si="18"/>
        <v>LLC</v>
      </c>
      <c r="C165" s="2" t="str">
        <f t="shared" si="19"/>
        <v>LLC</v>
      </c>
      <c r="D165" s="2" t="str">
        <f t="shared" si="20"/>
        <v>LLC</v>
      </c>
      <c r="E165" s="2" t="str">
        <f t="shared" si="21"/>
        <v/>
      </c>
      <c r="F165" s="2">
        <f t="shared" si="22"/>
        <v>0</v>
      </c>
      <c r="G165" s="2">
        <f t="shared" si="23"/>
        <v>0</v>
      </c>
      <c r="H165" s="2">
        <f t="shared" si="24"/>
        <v>0</v>
      </c>
      <c r="I165" s="2">
        <f t="shared" si="25"/>
        <v>0</v>
      </c>
      <c r="NH165" cm="1">
        <f t="array" ref="NH165:NJ165">SUMIFS($J165:$GG165,$J$1:$GG$1,NH$3:NJ$3)</f>
        <v>0</v>
      </c>
      <c r="NI165">
        <v>0</v>
      </c>
      <c r="NJ165">
        <v>0</v>
      </c>
      <c r="NK165" cm="1">
        <f t="array" ref="NK165">IFERROR(MAX((_xlfn.ANCHORARRAY(NH165)-AVERAGE(_xlfn.ANCHORARRAY(NH165)))/ AVERAGE(_xlfn.ANCHORARRAY(NH165))),0)</f>
        <v>0</v>
      </c>
      <c r="NL165" t="str" cm="1">
        <f t="array" ref="NL165">IF(NK165&gt;$NL$1,_xlfn.XLOOKUP(MAX(_xlfn.ANCHORARRAY(NH165)),_xlfn.ANCHORARRAY(NH165),NH$4:NJ$4,""),"")</f>
        <v/>
      </c>
      <c r="NN165" cm="1">
        <f t="array" ref="NN165:NR165">SUMIFS($J165:$GG165,$J$3:$GG$3,NN$3:NR$3)</f>
        <v>0</v>
      </c>
      <c r="NO165">
        <v>0</v>
      </c>
      <c r="NP165">
        <v>0</v>
      </c>
      <c r="NQ165">
        <v>0</v>
      </c>
      <c r="NR165">
        <v>0</v>
      </c>
      <c r="NS165" cm="1">
        <f t="array" ref="NS165">IFERROR(MAX((_xlfn.ANCHORARRAY(NN165)-AVERAGE(_xlfn.ANCHORARRAY(NN165)))/ AVERAGE(_xlfn.ANCHORARRAY(NN165))),0)</f>
        <v>0</v>
      </c>
      <c r="NT165" t="str" cm="1">
        <f t="array" ref="NT165">IF(AND(NS165&gt;$NT$1,NL165&lt;&gt;""),_xlfn.XLOOKUP(MAX(_xlfn.ANCHORARRAY(NN165)),_xlfn.ANCHORARRAY(NN165),NN$4:NR$4,""),"")</f>
        <v/>
      </c>
      <c r="NV165" cm="1">
        <f t="array" ref="NV165:OE165">SUMIFS($J165:$GG165,$J$2:$GG$2,NV$3:OE$3)</f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 cm="1">
        <f t="array" ref="OF165">IFERROR(MAX((_xlfn.ANCHORARRAY(NV165)-AVERAGE(_xlfn.ANCHORARRAY(NV165)))/ AVERAGE(_xlfn.ANCHORARRAY(NV165))),0)</f>
        <v>0</v>
      </c>
      <c r="OG165" t="str" cm="1">
        <f t="array" ref="OG165">IF(OF165&gt;$OG$1,_xlfn.XLOOKUP(MAX(_xlfn.ANCHORARRAY(NV165)),_xlfn.ANCHORARRAY(NV165),NV$4:OE$4,""),"")</f>
        <v/>
      </c>
      <c r="OI165" t="str">
        <f t="shared" si="26"/>
        <v/>
      </c>
    </row>
    <row r="166" spans="2:399" x14ac:dyDescent="0.3">
      <c r="B166" s="2" t="str">
        <f t="shared" si="18"/>
        <v>LLC</v>
      </c>
      <c r="C166" s="2" t="str">
        <f t="shared" si="19"/>
        <v>LLC</v>
      </c>
      <c r="D166" s="2" t="str">
        <f t="shared" si="20"/>
        <v>LLC</v>
      </c>
      <c r="E166" s="2" t="str">
        <f t="shared" si="21"/>
        <v/>
      </c>
      <c r="F166" s="2">
        <f t="shared" si="22"/>
        <v>0</v>
      </c>
      <c r="G166" s="2">
        <f t="shared" si="23"/>
        <v>0</v>
      </c>
      <c r="H166" s="2">
        <f t="shared" si="24"/>
        <v>0</v>
      </c>
      <c r="I166" s="2">
        <f t="shared" si="25"/>
        <v>0</v>
      </c>
      <c r="NH166" cm="1">
        <f t="array" ref="NH166:NJ166">SUMIFS($J166:$GG166,$J$1:$GG$1,NH$3:NJ$3)</f>
        <v>0</v>
      </c>
      <c r="NI166">
        <v>0</v>
      </c>
      <c r="NJ166">
        <v>0</v>
      </c>
      <c r="NK166" cm="1">
        <f t="array" ref="NK166">IFERROR(MAX((_xlfn.ANCHORARRAY(NH166)-AVERAGE(_xlfn.ANCHORARRAY(NH166)))/ AVERAGE(_xlfn.ANCHORARRAY(NH166))),0)</f>
        <v>0</v>
      </c>
      <c r="NL166" t="str" cm="1">
        <f t="array" ref="NL166">IF(NK166&gt;$NL$1,_xlfn.XLOOKUP(MAX(_xlfn.ANCHORARRAY(NH166)),_xlfn.ANCHORARRAY(NH166),NH$4:NJ$4,""),"")</f>
        <v/>
      </c>
      <c r="NN166" cm="1">
        <f t="array" ref="NN166:NR166">SUMIFS($J166:$GG166,$J$3:$GG$3,NN$3:NR$3)</f>
        <v>0</v>
      </c>
      <c r="NO166">
        <v>0</v>
      </c>
      <c r="NP166">
        <v>0</v>
      </c>
      <c r="NQ166">
        <v>0</v>
      </c>
      <c r="NR166">
        <v>0</v>
      </c>
      <c r="NS166" cm="1">
        <f t="array" ref="NS166">IFERROR(MAX((_xlfn.ANCHORARRAY(NN166)-AVERAGE(_xlfn.ANCHORARRAY(NN166)))/ AVERAGE(_xlfn.ANCHORARRAY(NN166))),0)</f>
        <v>0</v>
      </c>
      <c r="NT166" t="str" cm="1">
        <f t="array" ref="NT166">IF(AND(NS166&gt;$NT$1,NL166&lt;&gt;""),_xlfn.XLOOKUP(MAX(_xlfn.ANCHORARRAY(NN166)),_xlfn.ANCHORARRAY(NN166),NN$4:NR$4,""),"")</f>
        <v/>
      </c>
      <c r="NV166" cm="1">
        <f t="array" ref="NV166:OE166">SUMIFS($J166:$GG166,$J$2:$GG$2,NV$3:OE$3)</f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 cm="1">
        <f t="array" ref="OF166">IFERROR(MAX((_xlfn.ANCHORARRAY(NV166)-AVERAGE(_xlfn.ANCHORARRAY(NV166)))/ AVERAGE(_xlfn.ANCHORARRAY(NV166))),0)</f>
        <v>0</v>
      </c>
      <c r="OG166" t="str" cm="1">
        <f t="array" ref="OG166">IF(OF166&gt;$OG$1,_xlfn.XLOOKUP(MAX(_xlfn.ANCHORARRAY(NV166)),_xlfn.ANCHORARRAY(NV166),NV$4:OE$4,""),"")</f>
        <v/>
      </c>
      <c r="OI166" t="str">
        <f t="shared" si="26"/>
        <v/>
      </c>
    </row>
    <row r="167" spans="2:399" x14ac:dyDescent="0.3">
      <c r="B167" s="2" t="str">
        <f t="shared" si="18"/>
        <v>LLC</v>
      </c>
      <c r="C167" s="2" t="str">
        <f t="shared" si="19"/>
        <v>LLC</v>
      </c>
      <c r="D167" s="2" t="str">
        <f t="shared" si="20"/>
        <v>LLC</v>
      </c>
      <c r="E167" s="2" t="str">
        <f t="shared" si="21"/>
        <v/>
      </c>
      <c r="F167" s="2">
        <f t="shared" si="22"/>
        <v>0</v>
      </c>
      <c r="G167" s="2">
        <f t="shared" si="23"/>
        <v>0</v>
      </c>
      <c r="H167" s="2">
        <f t="shared" si="24"/>
        <v>0</v>
      </c>
      <c r="I167" s="2">
        <f t="shared" si="25"/>
        <v>0</v>
      </c>
      <c r="NH167" cm="1">
        <f t="array" ref="NH167:NJ167">SUMIFS($J167:$GG167,$J$1:$GG$1,NH$3:NJ$3)</f>
        <v>0</v>
      </c>
      <c r="NI167">
        <v>0</v>
      </c>
      <c r="NJ167">
        <v>0</v>
      </c>
      <c r="NK167" cm="1">
        <f t="array" ref="NK167">IFERROR(MAX((_xlfn.ANCHORARRAY(NH167)-AVERAGE(_xlfn.ANCHORARRAY(NH167)))/ AVERAGE(_xlfn.ANCHORARRAY(NH167))),0)</f>
        <v>0</v>
      </c>
      <c r="NL167" t="str" cm="1">
        <f t="array" ref="NL167">IF(NK167&gt;$NL$1,_xlfn.XLOOKUP(MAX(_xlfn.ANCHORARRAY(NH167)),_xlfn.ANCHORARRAY(NH167),NH$4:NJ$4,""),"")</f>
        <v/>
      </c>
      <c r="NN167" cm="1">
        <f t="array" ref="NN167:NR167">SUMIFS($J167:$GG167,$J$3:$GG$3,NN$3:NR$3)</f>
        <v>0</v>
      </c>
      <c r="NO167">
        <v>0</v>
      </c>
      <c r="NP167">
        <v>0</v>
      </c>
      <c r="NQ167">
        <v>0</v>
      </c>
      <c r="NR167">
        <v>0</v>
      </c>
      <c r="NS167" cm="1">
        <f t="array" ref="NS167">IFERROR(MAX((_xlfn.ANCHORARRAY(NN167)-AVERAGE(_xlfn.ANCHORARRAY(NN167)))/ AVERAGE(_xlfn.ANCHORARRAY(NN167))),0)</f>
        <v>0</v>
      </c>
      <c r="NT167" t="str" cm="1">
        <f t="array" ref="NT167">IF(AND(NS167&gt;$NT$1,NL167&lt;&gt;""),_xlfn.XLOOKUP(MAX(_xlfn.ANCHORARRAY(NN167)),_xlfn.ANCHORARRAY(NN167),NN$4:NR$4,""),"")</f>
        <v/>
      </c>
      <c r="NV167" cm="1">
        <f t="array" ref="NV167:OE167">SUMIFS($J167:$GG167,$J$2:$GG$2,NV$3:OE$3)</f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 cm="1">
        <f t="array" ref="OF167">IFERROR(MAX((_xlfn.ANCHORARRAY(NV167)-AVERAGE(_xlfn.ANCHORARRAY(NV167)))/ AVERAGE(_xlfn.ANCHORARRAY(NV167))),0)</f>
        <v>0</v>
      </c>
      <c r="OG167" t="str" cm="1">
        <f t="array" ref="OG167">IF(OF167&gt;$OG$1,_xlfn.XLOOKUP(MAX(_xlfn.ANCHORARRAY(NV167)),_xlfn.ANCHORARRAY(NV167),NV$4:OE$4,""),"")</f>
        <v/>
      </c>
      <c r="OI167" t="str">
        <f t="shared" si="26"/>
        <v/>
      </c>
    </row>
    <row r="168" spans="2:399" x14ac:dyDescent="0.3">
      <c r="B168" s="2" t="str">
        <f t="shared" si="18"/>
        <v>LLC</v>
      </c>
      <c r="C168" s="2" t="str">
        <f t="shared" si="19"/>
        <v>LLC</v>
      </c>
      <c r="D168" s="2" t="str">
        <f t="shared" si="20"/>
        <v>LLC</v>
      </c>
      <c r="E168" s="2" t="str">
        <f t="shared" si="21"/>
        <v/>
      </c>
      <c r="F168" s="2">
        <f t="shared" si="22"/>
        <v>0</v>
      </c>
      <c r="G168" s="2">
        <f t="shared" si="23"/>
        <v>0</v>
      </c>
      <c r="H168" s="2">
        <f t="shared" si="24"/>
        <v>0</v>
      </c>
      <c r="I168" s="2">
        <f t="shared" si="25"/>
        <v>0</v>
      </c>
      <c r="NH168" cm="1">
        <f t="array" ref="NH168:NJ168">SUMIFS($J168:$GG168,$J$1:$GG$1,NH$3:NJ$3)</f>
        <v>0</v>
      </c>
      <c r="NI168">
        <v>0</v>
      </c>
      <c r="NJ168">
        <v>0</v>
      </c>
      <c r="NK168" cm="1">
        <f t="array" ref="NK168">IFERROR(MAX((_xlfn.ANCHORARRAY(NH168)-AVERAGE(_xlfn.ANCHORARRAY(NH168)))/ AVERAGE(_xlfn.ANCHORARRAY(NH168))),0)</f>
        <v>0</v>
      </c>
      <c r="NL168" t="str" cm="1">
        <f t="array" ref="NL168">IF(NK168&gt;$NL$1,_xlfn.XLOOKUP(MAX(_xlfn.ANCHORARRAY(NH168)),_xlfn.ANCHORARRAY(NH168),NH$4:NJ$4,""),"")</f>
        <v/>
      </c>
      <c r="NN168" cm="1">
        <f t="array" ref="NN168:NR168">SUMIFS($J168:$GG168,$J$3:$GG$3,NN$3:NR$3)</f>
        <v>0</v>
      </c>
      <c r="NO168">
        <v>0</v>
      </c>
      <c r="NP168">
        <v>0</v>
      </c>
      <c r="NQ168">
        <v>0</v>
      </c>
      <c r="NR168">
        <v>0</v>
      </c>
      <c r="NS168" cm="1">
        <f t="array" ref="NS168">IFERROR(MAX((_xlfn.ANCHORARRAY(NN168)-AVERAGE(_xlfn.ANCHORARRAY(NN168)))/ AVERAGE(_xlfn.ANCHORARRAY(NN168))),0)</f>
        <v>0</v>
      </c>
      <c r="NT168" t="str" cm="1">
        <f t="array" ref="NT168">IF(AND(NS168&gt;$NT$1,NL168&lt;&gt;""),_xlfn.XLOOKUP(MAX(_xlfn.ANCHORARRAY(NN168)),_xlfn.ANCHORARRAY(NN168),NN$4:NR$4,""),"")</f>
        <v/>
      </c>
      <c r="NV168" cm="1">
        <f t="array" ref="NV168:OE168">SUMIFS($J168:$GG168,$J$2:$GG$2,NV$3:OE$3)</f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 cm="1">
        <f t="array" ref="OF168">IFERROR(MAX((_xlfn.ANCHORARRAY(NV168)-AVERAGE(_xlfn.ANCHORARRAY(NV168)))/ AVERAGE(_xlfn.ANCHORARRAY(NV168))),0)</f>
        <v>0</v>
      </c>
      <c r="OG168" t="str" cm="1">
        <f t="array" ref="OG168">IF(OF168&gt;$OG$1,_xlfn.XLOOKUP(MAX(_xlfn.ANCHORARRAY(NV168)),_xlfn.ANCHORARRAY(NV168),NV$4:OE$4,""),"")</f>
        <v/>
      </c>
      <c r="OI168" t="str">
        <f t="shared" si="26"/>
        <v/>
      </c>
    </row>
    <row r="169" spans="2:399" x14ac:dyDescent="0.3">
      <c r="B169" s="2" t="str">
        <f t="shared" si="18"/>
        <v>LLC</v>
      </c>
      <c r="C169" s="2" t="str">
        <f t="shared" si="19"/>
        <v>LLC</v>
      </c>
      <c r="D169" s="2" t="str">
        <f t="shared" si="20"/>
        <v>LLC</v>
      </c>
      <c r="E169" s="2" t="str">
        <f t="shared" si="21"/>
        <v/>
      </c>
      <c r="F169" s="2">
        <f t="shared" si="22"/>
        <v>0</v>
      </c>
      <c r="G169" s="2">
        <f t="shared" si="23"/>
        <v>0</v>
      </c>
      <c r="H169" s="2">
        <f t="shared" si="24"/>
        <v>0</v>
      </c>
      <c r="I169" s="2">
        <f t="shared" si="25"/>
        <v>0</v>
      </c>
      <c r="NH169" cm="1">
        <f t="array" ref="NH169:NJ169">SUMIFS($J169:$GG169,$J$1:$GG$1,NH$3:NJ$3)</f>
        <v>0</v>
      </c>
      <c r="NI169">
        <v>0</v>
      </c>
      <c r="NJ169">
        <v>0</v>
      </c>
      <c r="NK169" cm="1">
        <f t="array" ref="NK169">IFERROR(MAX((_xlfn.ANCHORARRAY(NH169)-AVERAGE(_xlfn.ANCHORARRAY(NH169)))/ AVERAGE(_xlfn.ANCHORARRAY(NH169))),0)</f>
        <v>0</v>
      </c>
      <c r="NL169" t="str" cm="1">
        <f t="array" ref="NL169">IF(NK169&gt;$NL$1,_xlfn.XLOOKUP(MAX(_xlfn.ANCHORARRAY(NH169)),_xlfn.ANCHORARRAY(NH169),NH$4:NJ$4,""),"")</f>
        <v/>
      </c>
      <c r="NN169" cm="1">
        <f t="array" ref="NN169:NR169">SUMIFS($J169:$GG169,$J$3:$GG$3,NN$3:NR$3)</f>
        <v>0</v>
      </c>
      <c r="NO169">
        <v>0</v>
      </c>
      <c r="NP169">
        <v>0</v>
      </c>
      <c r="NQ169">
        <v>0</v>
      </c>
      <c r="NR169">
        <v>0</v>
      </c>
      <c r="NS169" cm="1">
        <f t="array" ref="NS169">IFERROR(MAX((_xlfn.ANCHORARRAY(NN169)-AVERAGE(_xlfn.ANCHORARRAY(NN169)))/ AVERAGE(_xlfn.ANCHORARRAY(NN169))),0)</f>
        <v>0</v>
      </c>
      <c r="NT169" t="str" cm="1">
        <f t="array" ref="NT169">IF(AND(NS169&gt;$NT$1,NL169&lt;&gt;""),_xlfn.XLOOKUP(MAX(_xlfn.ANCHORARRAY(NN169)),_xlfn.ANCHORARRAY(NN169),NN$4:NR$4,""),"")</f>
        <v/>
      </c>
      <c r="NV169" cm="1">
        <f t="array" ref="NV169:OE169">SUMIFS($J169:$GG169,$J$2:$GG$2,NV$3:OE$3)</f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 cm="1">
        <f t="array" ref="OF169">IFERROR(MAX((_xlfn.ANCHORARRAY(NV169)-AVERAGE(_xlfn.ANCHORARRAY(NV169)))/ AVERAGE(_xlfn.ANCHORARRAY(NV169))),0)</f>
        <v>0</v>
      </c>
      <c r="OG169" t="str" cm="1">
        <f t="array" ref="OG169">IF(OF169&gt;$OG$1,_xlfn.XLOOKUP(MAX(_xlfn.ANCHORARRAY(NV169)),_xlfn.ANCHORARRAY(NV169),NV$4:OE$4,""),"")</f>
        <v/>
      </c>
      <c r="OI169" t="str">
        <f t="shared" si="26"/>
        <v/>
      </c>
    </row>
    <row r="170" spans="2:399" x14ac:dyDescent="0.3">
      <c r="B170" s="2" t="str">
        <f t="shared" si="18"/>
        <v>LLC</v>
      </c>
      <c r="C170" s="2" t="str">
        <f t="shared" si="19"/>
        <v>LLC</v>
      </c>
      <c r="D170" s="2" t="str">
        <f t="shared" si="20"/>
        <v>LLC</v>
      </c>
      <c r="E170" s="2" t="str">
        <f t="shared" si="21"/>
        <v/>
      </c>
      <c r="F170" s="2">
        <f t="shared" si="22"/>
        <v>0</v>
      </c>
      <c r="G170" s="2">
        <f t="shared" si="23"/>
        <v>0</v>
      </c>
      <c r="H170" s="2">
        <f t="shared" si="24"/>
        <v>0</v>
      </c>
      <c r="I170" s="2">
        <f t="shared" si="25"/>
        <v>0</v>
      </c>
      <c r="NH170" cm="1">
        <f t="array" ref="NH170:NJ170">SUMIFS($J170:$GG170,$J$1:$GG$1,NH$3:NJ$3)</f>
        <v>0</v>
      </c>
      <c r="NI170">
        <v>0</v>
      </c>
      <c r="NJ170">
        <v>0</v>
      </c>
      <c r="NK170" cm="1">
        <f t="array" ref="NK170">IFERROR(MAX((_xlfn.ANCHORARRAY(NH170)-AVERAGE(_xlfn.ANCHORARRAY(NH170)))/ AVERAGE(_xlfn.ANCHORARRAY(NH170))),0)</f>
        <v>0</v>
      </c>
      <c r="NL170" t="str" cm="1">
        <f t="array" ref="NL170">IF(NK170&gt;$NL$1,_xlfn.XLOOKUP(MAX(_xlfn.ANCHORARRAY(NH170)),_xlfn.ANCHORARRAY(NH170),NH$4:NJ$4,""),"")</f>
        <v/>
      </c>
      <c r="NN170" cm="1">
        <f t="array" ref="NN170:NR170">SUMIFS($J170:$GG170,$J$3:$GG$3,NN$3:NR$3)</f>
        <v>0</v>
      </c>
      <c r="NO170">
        <v>0</v>
      </c>
      <c r="NP170">
        <v>0</v>
      </c>
      <c r="NQ170">
        <v>0</v>
      </c>
      <c r="NR170">
        <v>0</v>
      </c>
      <c r="NS170" cm="1">
        <f t="array" ref="NS170">IFERROR(MAX((_xlfn.ANCHORARRAY(NN170)-AVERAGE(_xlfn.ANCHORARRAY(NN170)))/ AVERAGE(_xlfn.ANCHORARRAY(NN170))),0)</f>
        <v>0</v>
      </c>
      <c r="NT170" t="str" cm="1">
        <f t="array" ref="NT170">IF(AND(NS170&gt;$NT$1,NL170&lt;&gt;""),_xlfn.XLOOKUP(MAX(_xlfn.ANCHORARRAY(NN170)),_xlfn.ANCHORARRAY(NN170),NN$4:NR$4,""),"")</f>
        <v/>
      </c>
      <c r="NV170" cm="1">
        <f t="array" ref="NV170:OE170">SUMIFS($J170:$GG170,$J$2:$GG$2,NV$3:OE$3)</f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 cm="1">
        <f t="array" ref="OF170">IFERROR(MAX((_xlfn.ANCHORARRAY(NV170)-AVERAGE(_xlfn.ANCHORARRAY(NV170)))/ AVERAGE(_xlfn.ANCHORARRAY(NV170))),0)</f>
        <v>0</v>
      </c>
      <c r="OG170" t="str" cm="1">
        <f t="array" ref="OG170">IF(OF170&gt;$OG$1,_xlfn.XLOOKUP(MAX(_xlfn.ANCHORARRAY(NV170)),_xlfn.ANCHORARRAY(NV170),NV$4:OE$4,""),"")</f>
        <v/>
      </c>
      <c r="OI170" t="str">
        <f t="shared" si="26"/>
        <v/>
      </c>
    </row>
    <row r="171" spans="2:399" x14ac:dyDescent="0.3">
      <c r="B171" s="2" t="str">
        <f t="shared" si="18"/>
        <v>LLC</v>
      </c>
      <c r="C171" s="2" t="str">
        <f t="shared" si="19"/>
        <v>LLC</v>
      </c>
      <c r="D171" s="2" t="str">
        <f t="shared" si="20"/>
        <v>LLC</v>
      </c>
      <c r="E171" s="2" t="str">
        <f t="shared" si="21"/>
        <v/>
      </c>
      <c r="F171" s="2">
        <f t="shared" si="22"/>
        <v>0</v>
      </c>
      <c r="G171" s="2">
        <f t="shared" si="23"/>
        <v>0</v>
      </c>
      <c r="H171" s="2">
        <f t="shared" si="24"/>
        <v>0</v>
      </c>
      <c r="I171" s="2">
        <f t="shared" si="25"/>
        <v>0</v>
      </c>
      <c r="NH171" cm="1">
        <f t="array" ref="NH171:NJ171">SUMIFS($J171:$GG171,$J$1:$GG$1,NH$3:NJ$3)</f>
        <v>0</v>
      </c>
      <c r="NI171">
        <v>0</v>
      </c>
      <c r="NJ171">
        <v>0</v>
      </c>
      <c r="NK171" cm="1">
        <f t="array" ref="NK171">IFERROR(MAX((_xlfn.ANCHORARRAY(NH171)-AVERAGE(_xlfn.ANCHORARRAY(NH171)))/ AVERAGE(_xlfn.ANCHORARRAY(NH171))),0)</f>
        <v>0</v>
      </c>
      <c r="NL171" t="str" cm="1">
        <f t="array" ref="NL171">IF(NK171&gt;$NL$1,_xlfn.XLOOKUP(MAX(_xlfn.ANCHORARRAY(NH171)),_xlfn.ANCHORARRAY(NH171),NH$4:NJ$4,""),"")</f>
        <v/>
      </c>
      <c r="NN171" cm="1">
        <f t="array" ref="NN171:NR171">SUMIFS($J171:$GG171,$J$3:$GG$3,NN$3:NR$3)</f>
        <v>0</v>
      </c>
      <c r="NO171">
        <v>0</v>
      </c>
      <c r="NP171">
        <v>0</v>
      </c>
      <c r="NQ171">
        <v>0</v>
      </c>
      <c r="NR171">
        <v>0</v>
      </c>
      <c r="NS171" cm="1">
        <f t="array" ref="NS171">IFERROR(MAX((_xlfn.ANCHORARRAY(NN171)-AVERAGE(_xlfn.ANCHORARRAY(NN171)))/ AVERAGE(_xlfn.ANCHORARRAY(NN171))),0)</f>
        <v>0</v>
      </c>
      <c r="NT171" t="str" cm="1">
        <f t="array" ref="NT171">IF(AND(NS171&gt;$NT$1,NL171&lt;&gt;""),_xlfn.XLOOKUP(MAX(_xlfn.ANCHORARRAY(NN171)),_xlfn.ANCHORARRAY(NN171),NN$4:NR$4,""),"")</f>
        <v/>
      </c>
      <c r="NV171" cm="1">
        <f t="array" ref="NV171:OE171">SUMIFS($J171:$GG171,$J$2:$GG$2,NV$3:OE$3)</f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 cm="1">
        <f t="array" ref="OF171">IFERROR(MAX((_xlfn.ANCHORARRAY(NV171)-AVERAGE(_xlfn.ANCHORARRAY(NV171)))/ AVERAGE(_xlfn.ANCHORARRAY(NV171))),0)</f>
        <v>0</v>
      </c>
      <c r="OG171" t="str" cm="1">
        <f t="array" ref="OG171">IF(OF171&gt;$OG$1,_xlfn.XLOOKUP(MAX(_xlfn.ANCHORARRAY(NV171)),_xlfn.ANCHORARRAY(NV171),NV$4:OE$4,""),"")</f>
        <v/>
      </c>
      <c r="OI171" t="str">
        <f t="shared" si="26"/>
        <v/>
      </c>
    </row>
    <row r="172" spans="2:399" x14ac:dyDescent="0.3">
      <c r="B172" s="2" t="str">
        <f t="shared" si="18"/>
        <v>LLC</v>
      </c>
      <c r="C172" s="2" t="str">
        <f t="shared" si="19"/>
        <v>LLC</v>
      </c>
      <c r="D172" s="2" t="str">
        <f t="shared" si="20"/>
        <v>LLC</v>
      </c>
      <c r="E172" s="2" t="str">
        <f t="shared" si="21"/>
        <v/>
      </c>
      <c r="F172" s="2">
        <f t="shared" si="22"/>
        <v>0</v>
      </c>
      <c r="G172" s="2">
        <f t="shared" si="23"/>
        <v>0</v>
      </c>
      <c r="H172" s="2">
        <f t="shared" si="24"/>
        <v>0</v>
      </c>
      <c r="I172" s="2">
        <f t="shared" si="25"/>
        <v>0</v>
      </c>
      <c r="NH172" cm="1">
        <f t="array" ref="NH172:NJ172">SUMIFS($J172:$GG172,$J$1:$GG$1,NH$3:NJ$3)</f>
        <v>0</v>
      </c>
      <c r="NI172">
        <v>0</v>
      </c>
      <c r="NJ172">
        <v>0</v>
      </c>
      <c r="NK172" cm="1">
        <f t="array" ref="NK172">IFERROR(MAX((_xlfn.ANCHORARRAY(NH172)-AVERAGE(_xlfn.ANCHORARRAY(NH172)))/ AVERAGE(_xlfn.ANCHORARRAY(NH172))),0)</f>
        <v>0</v>
      </c>
      <c r="NL172" t="str" cm="1">
        <f t="array" ref="NL172">IF(NK172&gt;$NL$1,_xlfn.XLOOKUP(MAX(_xlfn.ANCHORARRAY(NH172)),_xlfn.ANCHORARRAY(NH172),NH$4:NJ$4,""),"")</f>
        <v/>
      </c>
      <c r="NN172" cm="1">
        <f t="array" ref="NN172:NR172">SUMIFS($J172:$GG172,$J$3:$GG$3,NN$3:NR$3)</f>
        <v>0</v>
      </c>
      <c r="NO172">
        <v>0</v>
      </c>
      <c r="NP172">
        <v>0</v>
      </c>
      <c r="NQ172">
        <v>0</v>
      </c>
      <c r="NR172">
        <v>0</v>
      </c>
      <c r="NS172" cm="1">
        <f t="array" ref="NS172">IFERROR(MAX((_xlfn.ANCHORARRAY(NN172)-AVERAGE(_xlfn.ANCHORARRAY(NN172)))/ AVERAGE(_xlfn.ANCHORARRAY(NN172))),0)</f>
        <v>0</v>
      </c>
      <c r="NT172" t="str" cm="1">
        <f t="array" ref="NT172">IF(AND(NS172&gt;$NT$1,NL172&lt;&gt;""),_xlfn.XLOOKUP(MAX(_xlfn.ANCHORARRAY(NN172)),_xlfn.ANCHORARRAY(NN172),NN$4:NR$4,""),"")</f>
        <v/>
      </c>
      <c r="NV172" cm="1">
        <f t="array" ref="NV172:OE172">SUMIFS($J172:$GG172,$J$2:$GG$2,NV$3:OE$3)</f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 cm="1">
        <f t="array" ref="OF172">IFERROR(MAX((_xlfn.ANCHORARRAY(NV172)-AVERAGE(_xlfn.ANCHORARRAY(NV172)))/ AVERAGE(_xlfn.ANCHORARRAY(NV172))),0)</f>
        <v>0</v>
      </c>
      <c r="OG172" t="str" cm="1">
        <f t="array" ref="OG172">IF(OF172&gt;$OG$1,_xlfn.XLOOKUP(MAX(_xlfn.ANCHORARRAY(NV172)),_xlfn.ANCHORARRAY(NV172),NV$4:OE$4,""),"")</f>
        <v/>
      </c>
      <c r="OI172" t="str">
        <f t="shared" si="26"/>
        <v/>
      </c>
    </row>
    <row r="173" spans="2:399" x14ac:dyDescent="0.3">
      <c r="B173" s="2" t="str">
        <f t="shared" si="18"/>
        <v>LLC</v>
      </c>
      <c r="C173" s="2" t="str">
        <f t="shared" si="19"/>
        <v>LLC</v>
      </c>
      <c r="D173" s="2" t="str">
        <f t="shared" si="20"/>
        <v>LLC</v>
      </c>
      <c r="E173" s="2" t="str">
        <f t="shared" si="21"/>
        <v/>
      </c>
      <c r="F173" s="2">
        <f t="shared" si="22"/>
        <v>0</v>
      </c>
      <c r="G173" s="2">
        <f t="shared" si="23"/>
        <v>0</v>
      </c>
      <c r="H173" s="2">
        <f t="shared" si="24"/>
        <v>0</v>
      </c>
      <c r="I173" s="2">
        <f t="shared" si="25"/>
        <v>0</v>
      </c>
      <c r="NH173" cm="1">
        <f t="array" ref="NH173:NJ173">SUMIFS($J173:$GG173,$J$1:$GG$1,NH$3:NJ$3)</f>
        <v>0</v>
      </c>
      <c r="NI173">
        <v>0</v>
      </c>
      <c r="NJ173">
        <v>0</v>
      </c>
      <c r="NK173" cm="1">
        <f t="array" ref="NK173">IFERROR(MAX((_xlfn.ANCHORARRAY(NH173)-AVERAGE(_xlfn.ANCHORARRAY(NH173)))/ AVERAGE(_xlfn.ANCHORARRAY(NH173))),0)</f>
        <v>0</v>
      </c>
      <c r="NL173" t="str" cm="1">
        <f t="array" ref="NL173">IF(NK173&gt;$NL$1,_xlfn.XLOOKUP(MAX(_xlfn.ANCHORARRAY(NH173)),_xlfn.ANCHORARRAY(NH173),NH$4:NJ$4,""),"")</f>
        <v/>
      </c>
      <c r="NN173" cm="1">
        <f t="array" ref="NN173:NR173">SUMIFS($J173:$GG173,$J$3:$GG$3,NN$3:NR$3)</f>
        <v>0</v>
      </c>
      <c r="NO173">
        <v>0</v>
      </c>
      <c r="NP173">
        <v>0</v>
      </c>
      <c r="NQ173">
        <v>0</v>
      </c>
      <c r="NR173">
        <v>0</v>
      </c>
      <c r="NS173" cm="1">
        <f t="array" ref="NS173">IFERROR(MAX((_xlfn.ANCHORARRAY(NN173)-AVERAGE(_xlfn.ANCHORARRAY(NN173)))/ AVERAGE(_xlfn.ANCHORARRAY(NN173))),0)</f>
        <v>0</v>
      </c>
      <c r="NT173" t="str" cm="1">
        <f t="array" ref="NT173">IF(AND(NS173&gt;$NT$1,NL173&lt;&gt;""),_xlfn.XLOOKUP(MAX(_xlfn.ANCHORARRAY(NN173)),_xlfn.ANCHORARRAY(NN173),NN$4:NR$4,""),"")</f>
        <v/>
      </c>
      <c r="NV173" cm="1">
        <f t="array" ref="NV173:OE173">SUMIFS($J173:$GG173,$J$2:$GG$2,NV$3:OE$3)</f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 cm="1">
        <f t="array" ref="OF173">IFERROR(MAX((_xlfn.ANCHORARRAY(NV173)-AVERAGE(_xlfn.ANCHORARRAY(NV173)))/ AVERAGE(_xlfn.ANCHORARRAY(NV173))),0)</f>
        <v>0</v>
      </c>
      <c r="OG173" t="str" cm="1">
        <f t="array" ref="OG173">IF(OF173&gt;$OG$1,_xlfn.XLOOKUP(MAX(_xlfn.ANCHORARRAY(NV173)),_xlfn.ANCHORARRAY(NV173),NV$4:OE$4,""),"")</f>
        <v/>
      </c>
      <c r="OI173" t="str">
        <f t="shared" si="26"/>
        <v/>
      </c>
    </row>
    <row r="174" spans="2:399" x14ac:dyDescent="0.3">
      <c r="B174" s="2" t="str">
        <f t="shared" si="18"/>
        <v>LLC</v>
      </c>
      <c r="C174" s="2" t="str">
        <f t="shared" si="19"/>
        <v>LLC</v>
      </c>
      <c r="D174" s="2" t="str">
        <f t="shared" si="20"/>
        <v>LLC</v>
      </c>
      <c r="E174" s="2" t="str">
        <f t="shared" si="21"/>
        <v/>
      </c>
      <c r="F174" s="2">
        <f t="shared" si="22"/>
        <v>0</v>
      </c>
      <c r="G174" s="2">
        <f t="shared" si="23"/>
        <v>0</v>
      </c>
      <c r="H174" s="2">
        <f t="shared" si="24"/>
        <v>0</v>
      </c>
      <c r="I174" s="2">
        <f t="shared" si="25"/>
        <v>0</v>
      </c>
      <c r="NH174" cm="1">
        <f t="array" ref="NH174:NJ174">SUMIFS($J174:$GG174,$J$1:$GG$1,NH$3:NJ$3)</f>
        <v>0</v>
      </c>
      <c r="NI174">
        <v>0</v>
      </c>
      <c r="NJ174">
        <v>0</v>
      </c>
      <c r="NK174" cm="1">
        <f t="array" ref="NK174">IFERROR(MAX((_xlfn.ANCHORARRAY(NH174)-AVERAGE(_xlfn.ANCHORARRAY(NH174)))/ AVERAGE(_xlfn.ANCHORARRAY(NH174))),0)</f>
        <v>0</v>
      </c>
      <c r="NL174" t="str" cm="1">
        <f t="array" ref="NL174">IF(NK174&gt;$NL$1,_xlfn.XLOOKUP(MAX(_xlfn.ANCHORARRAY(NH174)),_xlfn.ANCHORARRAY(NH174),NH$4:NJ$4,""),"")</f>
        <v/>
      </c>
      <c r="NN174" cm="1">
        <f t="array" ref="NN174:NR174">SUMIFS($J174:$GG174,$J$3:$GG$3,NN$3:NR$3)</f>
        <v>0</v>
      </c>
      <c r="NO174">
        <v>0</v>
      </c>
      <c r="NP174">
        <v>0</v>
      </c>
      <c r="NQ174">
        <v>0</v>
      </c>
      <c r="NR174">
        <v>0</v>
      </c>
      <c r="NS174" cm="1">
        <f t="array" ref="NS174">IFERROR(MAX((_xlfn.ANCHORARRAY(NN174)-AVERAGE(_xlfn.ANCHORARRAY(NN174)))/ AVERAGE(_xlfn.ANCHORARRAY(NN174))),0)</f>
        <v>0</v>
      </c>
      <c r="NT174" t="str" cm="1">
        <f t="array" ref="NT174">IF(AND(NS174&gt;$NT$1,NL174&lt;&gt;""),_xlfn.XLOOKUP(MAX(_xlfn.ANCHORARRAY(NN174)),_xlfn.ANCHORARRAY(NN174),NN$4:NR$4,""),"")</f>
        <v/>
      </c>
      <c r="NV174" cm="1">
        <f t="array" ref="NV174:OE174">SUMIFS($J174:$GG174,$J$2:$GG$2,NV$3:OE$3)</f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 cm="1">
        <f t="array" ref="OF174">IFERROR(MAX((_xlfn.ANCHORARRAY(NV174)-AVERAGE(_xlfn.ANCHORARRAY(NV174)))/ AVERAGE(_xlfn.ANCHORARRAY(NV174))),0)</f>
        <v>0</v>
      </c>
      <c r="OG174" t="str" cm="1">
        <f t="array" ref="OG174">IF(OF174&gt;$OG$1,_xlfn.XLOOKUP(MAX(_xlfn.ANCHORARRAY(NV174)),_xlfn.ANCHORARRAY(NV174),NV$4:OE$4,""),"")</f>
        <v/>
      </c>
      <c r="OI174" t="str">
        <f t="shared" si="26"/>
        <v/>
      </c>
    </row>
    <row r="175" spans="2:399" x14ac:dyDescent="0.3">
      <c r="B175" s="2" t="str">
        <f t="shared" si="18"/>
        <v>LLC</v>
      </c>
      <c r="C175" s="2" t="str">
        <f t="shared" si="19"/>
        <v>LLC</v>
      </c>
      <c r="D175" s="2" t="str">
        <f t="shared" si="20"/>
        <v>LLC</v>
      </c>
      <c r="E175" s="2" t="str">
        <f t="shared" si="21"/>
        <v/>
      </c>
      <c r="F175" s="2">
        <f t="shared" si="22"/>
        <v>0</v>
      </c>
      <c r="G175" s="2">
        <f t="shared" si="23"/>
        <v>0</v>
      </c>
      <c r="H175" s="2">
        <f t="shared" si="24"/>
        <v>0</v>
      </c>
      <c r="I175" s="2">
        <f t="shared" si="25"/>
        <v>0</v>
      </c>
      <c r="NH175" cm="1">
        <f t="array" ref="NH175:NJ175">SUMIFS($J175:$GG175,$J$1:$GG$1,NH$3:NJ$3)</f>
        <v>0</v>
      </c>
      <c r="NI175">
        <v>0</v>
      </c>
      <c r="NJ175">
        <v>0</v>
      </c>
      <c r="NK175" cm="1">
        <f t="array" ref="NK175">IFERROR(MAX((_xlfn.ANCHORARRAY(NH175)-AVERAGE(_xlfn.ANCHORARRAY(NH175)))/ AVERAGE(_xlfn.ANCHORARRAY(NH175))),0)</f>
        <v>0</v>
      </c>
      <c r="NL175" t="str" cm="1">
        <f t="array" ref="NL175">IF(NK175&gt;$NL$1,_xlfn.XLOOKUP(MAX(_xlfn.ANCHORARRAY(NH175)),_xlfn.ANCHORARRAY(NH175),NH$4:NJ$4,""),"")</f>
        <v/>
      </c>
      <c r="NN175" cm="1">
        <f t="array" ref="NN175:NR175">SUMIFS($J175:$GG175,$J$3:$GG$3,NN$3:NR$3)</f>
        <v>0</v>
      </c>
      <c r="NO175">
        <v>0</v>
      </c>
      <c r="NP175">
        <v>0</v>
      </c>
      <c r="NQ175">
        <v>0</v>
      </c>
      <c r="NR175">
        <v>0</v>
      </c>
      <c r="NS175" cm="1">
        <f t="array" ref="NS175">IFERROR(MAX((_xlfn.ANCHORARRAY(NN175)-AVERAGE(_xlfn.ANCHORARRAY(NN175)))/ AVERAGE(_xlfn.ANCHORARRAY(NN175))),0)</f>
        <v>0</v>
      </c>
      <c r="NT175" t="str" cm="1">
        <f t="array" ref="NT175">IF(AND(NS175&gt;$NT$1,NL175&lt;&gt;""),_xlfn.XLOOKUP(MAX(_xlfn.ANCHORARRAY(NN175)),_xlfn.ANCHORARRAY(NN175),NN$4:NR$4,""),"")</f>
        <v/>
      </c>
      <c r="NV175" cm="1">
        <f t="array" ref="NV175:OE175">SUMIFS($J175:$GG175,$J$2:$GG$2,NV$3:OE$3)</f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 cm="1">
        <f t="array" ref="OF175">IFERROR(MAX((_xlfn.ANCHORARRAY(NV175)-AVERAGE(_xlfn.ANCHORARRAY(NV175)))/ AVERAGE(_xlfn.ANCHORARRAY(NV175))),0)</f>
        <v>0</v>
      </c>
      <c r="OG175" t="str" cm="1">
        <f t="array" ref="OG175">IF(OF175&gt;$OG$1,_xlfn.XLOOKUP(MAX(_xlfn.ANCHORARRAY(NV175)),_xlfn.ANCHORARRAY(NV175),NV$4:OE$4,""),"")</f>
        <v/>
      </c>
      <c r="OI175" t="str">
        <f t="shared" si="26"/>
        <v/>
      </c>
    </row>
    <row r="176" spans="2:399" x14ac:dyDescent="0.3">
      <c r="B176" s="2" t="str">
        <f t="shared" si="18"/>
        <v>LLC</v>
      </c>
      <c r="C176" s="2" t="str">
        <f t="shared" si="19"/>
        <v>LLC</v>
      </c>
      <c r="D176" s="2" t="str">
        <f t="shared" si="20"/>
        <v>LLC</v>
      </c>
      <c r="E176" s="2" t="str">
        <f t="shared" si="21"/>
        <v/>
      </c>
      <c r="F176" s="2">
        <f t="shared" si="22"/>
        <v>0</v>
      </c>
      <c r="G176" s="2">
        <f t="shared" si="23"/>
        <v>0</v>
      </c>
      <c r="H176" s="2">
        <f t="shared" si="24"/>
        <v>0</v>
      </c>
      <c r="I176" s="2">
        <f t="shared" si="25"/>
        <v>0</v>
      </c>
      <c r="NH176" cm="1">
        <f t="array" ref="NH176:NJ176">SUMIFS($J176:$GG176,$J$1:$GG$1,NH$3:NJ$3)</f>
        <v>0</v>
      </c>
      <c r="NI176">
        <v>0</v>
      </c>
      <c r="NJ176">
        <v>0</v>
      </c>
      <c r="NK176" cm="1">
        <f t="array" ref="NK176">IFERROR(MAX((_xlfn.ANCHORARRAY(NH176)-AVERAGE(_xlfn.ANCHORARRAY(NH176)))/ AVERAGE(_xlfn.ANCHORARRAY(NH176))),0)</f>
        <v>0</v>
      </c>
      <c r="NL176" t="str" cm="1">
        <f t="array" ref="NL176">IF(NK176&gt;$NL$1,_xlfn.XLOOKUP(MAX(_xlfn.ANCHORARRAY(NH176)),_xlfn.ANCHORARRAY(NH176),NH$4:NJ$4,""),"")</f>
        <v/>
      </c>
      <c r="NN176" cm="1">
        <f t="array" ref="NN176:NR176">SUMIFS($J176:$GG176,$J$3:$GG$3,NN$3:NR$3)</f>
        <v>0</v>
      </c>
      <c r="NO176">
        <v>0</v>
      </c>
      <c r="NP176">
        <v>0</v>
      </c>
      <c r="NQ176">
        <v>0</v>
      </c>
      <c r="NR176">
        <v>0</v>
      </c>
      <c r="NS176" cm="1">
        <f t="array" ref="NS176">IFERROR(MAX((_xlfn.ANCHORARRAY(NN176)-AVERAGE(_xlfn.ANCHORARRAY(NN176)))/ AVERAGE(_xlfn.ANCHORARRAY(NN176))),0)</f>
        <v>0</v>
      </c>
      <c r="NT176" t="str" cm="1">
        <f t="array" ref="NT176">IF(AND(NS176&gt;$NT$1,NL176&lt;&gt;""),_xlfn.XLOOKUP(MAX(_xlfn.ANCHORARRAY(NN176)),_xlfn.ANCHORARRAY(NN176),NN$4:NR$4,""),"")</f>
        <v/>
      </c>
      <c r="NV176" cm="1">
        <f t="array" ref="NV176:OE176">SUMIFS($J176:$GG176,$J$2:$GG$2,NV$3:OE$3)</f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 cm="1">
        <f t="array" ref="OF176">IFERROR(MAX((_xlfn.ANCHORARRAY(NV176)-AVERAGE(_xlfn.ANCHORARRAY(NV176)))/ AVERAGE(_xlfn.ANCHORARRAY(NV176))),0)</f>
        <v>0</v>
      </c>
      <c r="OG176" t="str" cm="1">
        <f t="array" ref="OG176">IF(OF176&gt;$OG$1,_xlfn.XLOOKUP(MAX(_xlfn.ANCHORARRAY(NV176)),_xlfn.ANCHORARRAY(NV176),NV$4:OE$4,""),"")</f>
        <v/>
      </c>
      <c r="OI176" t="str">
        <f t="shared" si="26"/>
        <v/>
      </c>
    </row>
    <row r="177" spans="2:399" x14ac:dyDescent="0.3">
      <c r="B177" s="2" t="str">
        <f t="shared" si="18"/>
        <v>LLC</v>
      </c>
      <c r="C177" s="2" t="str">
        <f t="shared" si="19"/>
        <v>LLC</v>
      </c>
      <c r="D177" s="2" t="str">
        <f t="shared" si="20"/>
        <v>LLC</v>
      </c>
      <c r="E177" s="2" t="str">
        <f t="shared" si="21"/>
        <v/>
      </c>
      <c r="F177" s="2">
        <f t="shared" si="22"/>
        <v>0</v>
      </c>
      <c r="G177" s="2">
        <f t="shared" si="23"/>
        <v>0</v>
      </c>
      <c r="H177" s="2">
        <f t="shared" si="24"/>
        <v>0</v>
      </c>
      <c r="I177" s="2">
        <f t="shared" si="25"/>
        <v>0</v>
      </c>
      <c r="NH177" cm="1">
        <f t="array" ref="NH177:NJ177">SUMIFS($J177:$GG177,$J$1:$GG$1,NH$3:NJ$3)</f>
        <v>0</v>
      </c>
      <c r="NI177">
        <v>0</v>
      </c>
      <c r="NJ177">
        <v>0</v>
      </c>
      <c r="NK177" cm="1">
        <f t="array" ref="NK177">IFERROR(MAX((_xlfn.ANCHORARRAY(NH177)-AVERAGE(_xlfn.ANCHORARRAY(NH177)))/ AVERAGE(_xlfn.ANCHORARRAY(NH177))),0)</f>
        <v>0</v>
      </c>
      <c r="NL177" t="str" cm="1">
        <f t="array" ref="NL177">IF(NK177&gt;$NL$1,_xlfn.XLOOKUP(MAX(_xlfn.ANCHORARRAY(NH177)),_xlfn.ANCHORARRAY(NH177),NH$4:NJ$4,""),"")</f>
        <v/>
      </c>
      <c r="NN177" cm="1">
        <f t="array" ref="NN177:NR177">SUMIFS($J177:$GG177,$J$3:$GG$3,NN$3:NR$3)</f>
        <v>0</v>
      </c>
      <c r="NO177">
        <v>0</v>
      </c>
      <c r="NP177">
        <v>0</v>
      </c>
      <c r="NQ177">
        <v>0</v>
      </c>
      <c r="NR177">
        <v>0</v>
      </c>
      <c r="NS177" cm="1">
        <f t="array" ref="NS177">IFERROR(MAX((_xlfn.ANCHORARRAY(NN177)-AVERAGE(_xlfn.ANCHORARRAY(NN177)))/ AVERAGE(_xlfn.ANCHORARRAY(NN177))),0)</f>
        <v>0</v>
      </c>
      <c r="NT177" t="str" cm="1">
        <f t="array" ref="NT177">IF(AND(NS177&gt;$NT$1,NL177&lt;&gt;""),_xlfn.XLOOKUP(MAX(_xlfn.ANCHORARRAY(NN177)),_xlfn.ANCHORARRAY(NN177),NN$4:NR$4,""),"")</f>
        <v/>
      </c>
      <c r="NV177" cm="1">
        <f t="array" ref="NV177:OE177">SUMIFS($J177:$GG177,$J$2:$GG$2,NV$3:OE$3)</f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 cm="1">
        <f t="array" ref="OF177">IFERROR(MAX((_xlfn.ANCHORARRAY(NV177)-AVERAGE(_xlfn.ANCHORARRAY(NV177)))/ AVERAGE(_xlfn.ANCHORARRAY(NV177))),0)</f>
        <v>0</v>
      </c>
      <c r="OG177" t="str" cm="1">
        <f t="array" ref="OG177">IF(OF177&gt;$OG$1,_xlfn.XLOOKUP(MAX(_xlfn.ANCHORARRAY(NV177)),_xlfn.ANCHORARRAY(NV177),NV$4:OE$4,""),"")</f>
        <v/>
      </c>
      <c r="OI177" t="str">
        <f t="shared" si="26"/>
        <v/>
      </c>
    </row>
    <row r="178" spans="2:399" x14ac:dyDescent="0.3">
      <c r="B178" s="2" t="str">
        <f t="shared" si="18"/>
        <v>LLC</v>
      </c>
      <c r="C178" s="2" t="str">
        <f t="shared" si="19"/>
        <v>LLC</v>
      </c>
      <c r="D178" s="2" t="str">
        <f t="shared" si="20"/>
        <v>LLC</v>
      </c>
      <c r="E178" s="2" t="str">
        <f t="shared" si="21"/>
        <v/>
      </c>
      <c r="F178" s="2">
        <f t="shared" si="22"/>
        <v>0</v>
      </c>
      <c r="G178" s="2">
        <f t="shared" si="23"/>
        <v>0</v>
      </c>
      <c r="H178" s="2">
        <f t="shared" si="24"/>
        <v>0</v>
      </c>
      <c r="I178" s="2">
        <f t="shared" si="25"/>
        <v>0</v>
      </c>
      <c r="NH178" cm="1">
        <f t="array" ref="NH178:NJ178">SUMIFS($J178:$GG178,$J$1:$GG$1,NH$3:NJ$3)</f>
        <v>0</v>
      </c>
      <c r="NI178">
        <v>0</v>
      </c>
      <c r="NJ178">
        <v>0</v>
      </c>
      <c r="NK178" cm="1">
        <f t="array" ref="NK178">IFERROR(MAX((_xlfn.ANCHORARRAY(NH178)-AVERAGE(_xlfn.ANCHORARRAY(NH178)))/ AVERAGE(_xlfn.ANCHORARRAY(NH178))),0)</f>
        <v>0</v>
      </c>
      <c r="NN178" cm="1">
        <f t="array" ref="NN178:NR178">SUMIFS($J178:$GG178,$J$3:$GG$3,NN$3:NR$3)</f>
        <v>0</v>
      </c>
      <c r="NO178">
        <v>0</v>
      </c>
      <c r="NP178">
        <v>0</v>
      </c>
      <c r="NQ178">
        <v>0</v>
      </c>
      <c r="NR178">
        <v>0</v>
      </c>
      <c r="NS178" cm="1">
        <f t="array" ref="NS178">IFERROR(MAX((_xlfn.ANCHORARRAY(NN178)-AVERAGE(_xlfn.ANCHORARRAY(NN178)))/ AVERAGE(_xlfn.ANCHORARRAY(NN178))),0)</f>
        <v>0</v>
      </c>
      <c r="NV178" cm="1">
        <f t="array" ref="NV178:OE178">SUMIFS($J178:$GG178,$J$2:$GG$2,NV$3:OE$3)</f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 cm="1">
        <f t="array" ref="OF178">IFERROR(MAX((_xlfn.ANCHORARRAY(NV178)-AVERAGE(_xlfn.ANCHORARRAY(NV178)))/ AVERAGE(_xlfn.ANCHORARRAY(NV178))),0)</f>
        <v>0</v>
      </c>
      <c r="OI178" t="str">
        <f t="shared" si="26"/>
        <v/>
      </c>
    </row>
    <row r="179" spans="2:399" x14ac:dyDescent="0.3">
      <c r="B179" s="2" t="str">
        <f t="shared" si="18"/>
        <v>LLC</v>
      </c>
      <c r="C179" s="2" t="str">
        <f t="shared" si="19"/>
        <v>LLC</v>
      </c>
      <c r="D179" s="2" t="str">
        <f t="shared" si="20"/>
        <v>LLC</v>
      </c>
      <c r="E179" s="2" t="str">
        <f t="shared" si="21"/>
        <v/>
      </c>
      <c r="F179" s="2">
        <f t="shared" si="22"/>
        <v>0</v>
      </c>
      <c r="G179" s="2">
        <f t="shared" si="23"/>
        <v>0</v>
      </c>
      <c r="H179" s="2">
        <f t="shared" si="24"/>
        <v>0</v>
      </c>
      <c r="I179" s="2">
        <f t="shared" si="25"/>
        <v>0</v>
      </c>
      <c r="NH179" cm="1">
        <f t="array" ref="NH179:NJ179">SUMIFS($J179:$GG179,$J$1:$GG$1,NH$3:NJ$3)</f>
        <v>0</v>
      </c>
      <c r="NI179">
        <v>0</v>
      </c>
      <c r="NJ179">
        <v>0</v>
      </c>
      <c r="NK179" cm="1">
        <f t="array" ref="NK179">IFERROR(MAX((_xlfn.ANCHORARRAY(NH179)-AVERAGE(_xlfn.ANCHORARRAY(NH179)))/ AVERAGE(_xlfn.ANCHORARRAY(NH179))),0)</f>
        <v>0</v>
      </c>
      <c r="NN179" cm="1">
        <f t="array" ref="NN179:NR179">SUMIFS($J179:$GG179,$J$3:$GG$3,NN$3:NR$3)</f>
        <v>0</v>
      </c>
      <c r="NO179">
        <v>0</v>
      </c>
      <c r="NP179">
        <v>0</v>
      </c>
      <c r="NQ179">
        <v>0</v>
      </c>
      <c r="NR179">
        <v>0</v>
      </c>
      <c r="NS179" cm="1">
        <f t="array" ref="NS179">IFERROR(MAX((_xlfn.ANCHORARRAY(NN179)-AVERAGE(_xlfn.ANCHORARRAY(NN179)))/ AVERAGE(_xlfn.ANCHORARRAY(NN179))),0)</f>
        <v>0</v>
      </c>
      <c r="NV179" cm="1">
        <f t="array" ref="NV179:OE179">SUMIFS($J179:$GG179,$J$2:$GG$2,NV$3:OE$3)</f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 cm="1">
        <f t="array" ref="OF179">IFERROR(MAX((_xlfn.ANCHORARRAY(NV179)-AVERAGE(_xlfn.ANCHORARRAY(NV179)))/ AVERAGE(_xlfn.ANCHORARRAY(NV179))),0)</f>
        <v>0</v>
      </c>
      <c r="OI179" t="str">
        <f t="shared" si="26"/>
        <v/>
      </c>
    </row>
    <row r="180" spans="2:399" x14ac:dyDescent="0.3">
      <c r="B180" s="2" t="str">
        <f t="shared" si="18"/>
        <v>LLC</v>
      </c>
      <c r="C180" s="2" t="str">
        <f t="shared" si="19"/>
        <v>LLC</v>
      </c>
      <c r="D180" s="2" t="str">
        <f t="shared" si="20"/>
        <v>LLC</v>
      </c>
      <c r="E180" s="2" t="str">
        <f t="shared" si="21"/>
        <v/>
      </c>
      <c r="F180" s="2">
        <f t="shared" si="22"/>
        <v>0</v>
      </c>
      <c r="G180" s="2">
        <f t="shared" si="23"/>
        <v>0</v>
      </c>
      <c r="H180" s="2">
        <f t="shared" si="24"/>
        <v>0</v>
      </c>
      <c r="I180" s="2">
        <f t="shared" si="25"/>
        <v>0</v>
      </c>
      <c r="NH180" cm="1">
        <f t="array" ref="NH180:NJ180">SUMIFS($J180:$GG180,$J$1:$GG$1,NH$3:NJ$3)</f>
        <v>0</v>
      </c>
      <c r="NI180">
        <v>0</v>
      </c>
      <c r="NJ180">
        <v>0</v>
      </c>
      <c r="NK180" cm="1">
        <f t="array" ref="NK180">IFERROR(MAX((_xlfn.ANCHORARRAY(NH180)-AVERAGE(_xlfn.ANCHORARRAY(NH180)))/ AVERAGE(_xlfn.ANCHORARRAY(NH180))),0)</f>
        <v>0</v>
      </c>
      <c r="NN180" cm="1">
        <f t="array" ref="NN180:NR180">SUMIFS($J180:$GG180,$J$3:$GG$3,NN$3:NR$3)</f>
        <v>0</v>
      </c>
      <c r="NO180">
        <v>0</v>
      </c>
      <c r="NP180">
        <v>0</v>
      </c>
      <c r="NQ180">
        <v>0</v>
      </c>
      <c r="NR180">
        <v>0</v>
      </c>
      <c r="NS180" cm="1">
        <f t="array" ref="NS180">IFERROR(MAX((_xlfn.ANCHORARRAY(NN180)-AVERAGE(_xlfn.ANCHORARRAY(NN180)))/ AVERAGE(_xlfn.ANCHORARRAY(NN180))),0)</f>
        <v>0</v>
      </c>
      <c r="NV180" cm="1">
        <f t="array" ref="NV180:OE180">SUMIFS($J180:$GG180,$J$2:$GG$2,NV$3:OE$3)</f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 cm="1">
        <f t="array" ref="OF180">IFERROR(MAX((_xlfn.ANCHORARRAY(NV180)-AVERAGE(_xlfn.ANCHORARRAY(NV180)))/ AVERAGE(_xlfn.ANCHORARRAY(NV180))),0)</f>
        <v>0</v>
      </c>
      <c r="OI180" t="str">
        <f t="shared" si="26"/>
        <v/>
      </c>
    </row>
    <row r="181" spans="2:399" x14ac:dyDescent="0.3">
      <c r="B181" s="2" t="str">
        <f t="shared" si="18"/>
        <v>LLC</v>
      </c>
      <c r="C181" s="2" t="str">
        <f t="shared" si="19"/>
        <v>LLC</v>
      </c>
      <c r="D181" s="2" t="str">
        <f t="shared" si="20"/>
        <v>LLC</v>
      </c>
      <c r="E181" s="2" t="str">
        <f t="shared" si="21"/>
        <v/>
      </c>
      <c r="F181" s="2">
        <f t="shared" si="22"/>
        <v>0</v>
      </c>
      <c r="G181" s="2">
        <f t="shared" si="23"/>
        <v>0</v>
      </c>
      <c r="H181" s="2">
        <f t="shared" si="24"/>
        <v>0</v>
      </c>
      <c r="I181" s="2">
        <f t="shared" si="25"/>
        <v>0</v>
      </c>
      <c r="NH181" cm="1">
        <f t="array" ref="NH181:NJ181">SUMIFS($J181:$GG181,$J$1:$GG$1,NH$3:NJ$3)</f>
        <v>0</v>
      </c>
      <c r="NI181">
        <v>0</v>
      </c>
      <c r="NJ181">
        <v>0</v>
      </c>
      <c r="NK181" cm="1">
        <f t="array" ref="NK181">IFERROR(MAX((_xlfn.ANCHORARRAY(NH181)-AVERAGE(_xlfn.ANCHORARRAY(NH181)))/ AVERAGE(_xlfn.ANCHORARRAY(NH181))),0)</f>
        <v>0</v>
      </c>
      <c r="NN181" cm="1">
        <f t="array" ref="NN181:NR181">SUMIFS($J181:$GG181,$J$3:$GG$3,NN$3:NR$3)</f>
        <v>0</v>
      </c>
      <c r="NO181">
        <v>0</v>
      </c>
      <c r="NP181">
        <v>0</v>
      </c>
      <c r="NQ181">
        <v>0</v>
      </c>
      <c r="NR181">
        <v>0</v>
      </c>
      <c r="NS181" cm="1">
        <f t="array" ref="NS181">IFERROR(MAX((_xlfn.ANCHORARRAY(NN181)-AVERAGE(_xlfn.ANCHORARRAY(NN181)))/ AVERAGE(_xlfn.ANCHORARRAY(NN181))),0)</f>
        <v>0</v>
      </c>
      <c r="NV181" cm="1">
        <f t="array" ref="NV181:OE181">SUMIFS($J181:$GG181,$J$2:$GG$2,NV$3:OE$3)</f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 cm="1">
        <f t="array" ref="OF181">IFERROR(MAX((_xlfn.ANCHORARRAY(NV181)-AVERAGE(_xlfn.ANCHORARRAY(NV181)))/ AVERAGE(_xlfn.ANCHORARRAY(NV181))),0)</f>
        <v>0</v>
      </c>
      <c r="OI181" t="str">
        <f t="shared" si="26"/>
        <v/>
      </c>
    </row>
    <row r="182" spans="2:399" x14ac:dyDescent="0.3">
      <c r="B182" s="2" t="str">
        <f t="shared" si="18"/>
        <v>LLC</v>
      </c>
      <c r="C182" s="2" t="str">
        <f t="shared" si="19"/>
        <v>LLC</v>
      </c>
      <c r="D182" s="2" t="str">
        <f t="shared" si="20"/>
        <v>LLC</v>
      </c>
      <c r="E182" s="2" t="str">
        <f t="shared" si="21"/>
        <v/>
      </c>
      <c r="F182" s="2">
        <f t="shared" si="22"/>
        <v>0</v>
      </c>
      <c r="G182" s="2">
        <f t="shared" si="23"/>
        <v>0</v>
      </c>
      <c r="H182" s="2">
        <f t="shared" si="24"/>
        <v>0</v>
      </c>
      <c r="I182" s="2">
        <f t="shared" si="25"/>
        <v>0</v>
      </c>
      <c r="NH182" cm="1">
        <f t="array" ref="NH182:NJ182">SUMIFS($J182:$GG182,$J$1:$GG$1,NH$3:NJ$3)</f>
        <v>0</v>
      </c>
      <c r="NI182">
        <v>0</v>
      </c>
      <c r="NJ182">
        <v>0</v>
      </c>
      <c r="NK182" cm="1">
        <f t="array" ref="NK182">IFERROR(MAX((_xlfn.ANCHORARRAY(NH182)-AVERAGE(_xlfn.ANCHORARRAY(NH182)))/ AVERAGE(_xlfn.ANCHORARRAY(NH182))),0)</f>
        <v>0</v>
      </c>
      <c r="NN182" cm="1">
        <f t="array" ref="NN182:NR182">SUMIFS($J182:$GG182,$J$3:$GG$3,NN$3:NR$3)</f>
        <v>0</v>
      </c>
      <c r="NO182">
        <v>0</v>
      </c>
      <c r="NP182">
        <v>0</v>
      </c>
      <c r="NQ182">
        <v>0</v>
      </c>
      <c r="NR182">
        <v>0</v>
      </c>
      <c r="NS182" cm="1">
        <f t="array" ref="NS182">IFERROR(MAX((_xlfn.ANCHORARRAY(NN182)-AVERAGE(_xlfn.ANCHORARRAY(NN182)))/ AVERAGE(_xlfn.ANCHORARRAY(NN182))),0)</f>
        <v>0</v>
      </c>
      <c r="NV182" cm="1">
        <f t="array" ref="NV182:OE182">SUMIFS($J182:$GG182,$J$2:$GG$2,NV$3:OE$3)</f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 cm="1">
        <f t="array" ref="OF182">IFERROR(MAX((_xlfn.ANCHORARRAY(NV182)-AVERAGE(_xlfn.ANCHORARRAY(NV182)))/ AVERAGE(_xlfn.ANCHORARRAY(NV182))),0)</f>
        <v>0</v>
      </c>
      <c r="OI182" t="str">
        <f t="shared" si="26"/>
        <v/>
      </c>
    </row>
    <row r="183" spans="2:399" x14ac:dyDescent="0.3">
      <c r="B183" s="2" t="str">
        <f t="shared" si="18"/>
        <v>LLC</v>
      </c>
      <c r="C183" s="2" t="str">
        <f t="shared" si="19"/>
        <v>LLC</v>
      </c>
      <c r="D183" s="2" t="str">
        <f t="shared" si="20"/>
        <v>LLC</v>
      </c>
      <c r="E183" s="2" t="str">
        <f t="shared" si="21"/>
        <v/>
      </c>
      <c r="F183" s="2">
        <f t="shared" si="22"/>
        <v>0</v>
      </c>
      <c r="G183" s="2">
        <f t="shared" si="23"/>
        <v>0</v>
      </c>
      <c r="H183" s="2">
        <f t="shared" si="24"/>
        <v>0</v>
      </c>
      <c r="I183" s="2">
        <f t="shared" si="25"/>
        <v>0</v>
      </c>
      <c r="NH183" cm="1">
        <f t="array" ref="NH183:NJ183">SUMIFS($J183:$GG183,$J$1:$GG$1,NH$3:NJ$3)</f>
        <v>0</v>
      </c>
      <c r="NI183">
        <v>0</v>
      </c>
      <c r="NJ183">
        <v>0</v>
      </c>
      <c r="NK183" cm="1">
        <f t="array" ref="NK183">IFERROR(MAX((_xlfn.ANCHORARRAY(NH183)-AVERAGE(_xlfn.ANCHORARRAY(NH183)))/ AVERAGE(_xlfn.ANCHORARRAY(NH183))),0)</f>
        <v>0</v>
      </c>
      <c r="NN183" cm="1">
        <f t="array" ref="NN183:NR183">SUMIFS($J183:$GG183,$J$3:$GG$3,NN$3:NR$3)</f>
        <v>0</v>
      </c>
      <c r="NO183">
        <v>0</v>
      </c>
      <c r="NP183">
        <v>0</v>
      </c>
      <c r="NQ183">
        <v>0</v>
      </c>
      <c r="NR183">
        <v>0</v>
      </c>
      <c r="NS183" cm="1">
        <f t="array" ref="NS183">IFERROR(MAX((_xlfn.ANCHORARRAY(NN183)-AVERAGE(_xlfn.ANCHORARRAY(NN183)))/ AVERAGE(_xlfn.ANCHORARRAY(NN183))),0)</f>
        <v>0</v>
      </c>
      <c r="NV183" cm="1">
        <f t="array" ref="NV183:OE183">SUMIFS($J183:$GG183,$J$2:$GG$2,NV$3:OE$3)</f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 cm="1">
        <f t="array" ref="OF183">IFERROR(MAX((_xlfn.ANCHORARRAY(NV183)-AVERAGE(_xlfn.ANCHORARRAY(NV183)))/ AVERAGE(_xlfn.ANCHORARRAY(NV183))),0)</f>
        <v>0</v>
      </c>
      <c r="OI183" t="str">
        <f t="shared" si="26"/>
        <v/>
      </c>
    </row>
    <row r="184" spans="2:399" x14ac:dyDescent="0.3">
      <c r="B184" s="2" t="str">
        <f t="shared" si="18"/>
        <v>LLC</v>
      </c>
      <c r="C184" s="2" t="str">
        <f t="shared" si="19"/>
        <v>LLC</v>
      </c>
      <c r="D184" s="2" t="str">
        <f t="shared" si="20"/>
        <v>LLC</v>
      </c>
      <c r="E184" s="2" t="str">
        <f t="shared" si="21"/>
        <v/>
      </c>
      <c r="F184" s="2">
        <f t="shared" si="22"/>
        <v>0</v>
      </c>
      <c r="G184" s="2">
        <f t="shared" si="23"/>
        <v>0</v>
      </c>
      <c r="H184" s="2">
        <f t="shared" si="24"/>
        <v>0</v>
      </c>
      <c r="I184" s="2">
        <f t="shared" si="25"/>
        <v>0</v>
      </c>
      <c r="NH184" cm="1">
        <f t="array" ref="NH184:NJ184">SUMIFS($J184:$GG184,$J$1:$GG$1,NH$3:NJ$3)</f>
        <v>0</v>
      </c>
      <c r="NI184">
        <v>0</v>
      </c>
      <c r="NJ184">
        <v>0</v>
      </c>
      <c r="NK184" cm="1">
        <f t="array" ref="NK184">IFERROR(MAX((_xlfn.ANCHORARRAY(NH184)-AVERAGE(_xlfn.ANCHORARRAY(NH184)))/ AVERAGE(_xlfn.ANCHORARRAY(NH184))),0)</f>
        <v>0</v>
      </c>
      <c r="NN184" cm="1">
        <f t="array" ref="NN184:NR184">SUMIFS($J184:$GG184,$J$3:$GG$3,NN$3:NR$3)</f>
        <v>0</v>
      </c>
      <c r="NO184">
        <v>0</v>
      </c>
      <c r="NP184">
        <v>0</v>
      </c>
      <c r="NQ184">
        <v>0</v>
      </c>
      <c r="NR184">
        <v>0</v>
      </c>
      <c r="NS184" cm="1">
        <f t="array" ref="NS184">IFERROR(MAX((_xlfn.ANCHORARRAY(NN184)-AVERAGE(_xlfn.ANCHORARRAY(NN184)))/ AVERAGE(_xlfn.ANCHORARRAY(NN184))),0)</f>
        <v>0</v>
      </c>
      <c r="NV184" cm="1">
        <f t="array" ref="NV184:OE184">SUMIFS($J184:$GG184,$J$2:$GG$2,NV$3:OE$3)</f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 cm="1">
        <f t="array" ref="OF184">IFERROR(MAX((_xlfn.ANCHORARRAY(NV184)-AVERAGE(_xlfn.ANCHORARRAY(NV184)))/ AVERAGE(_xlfn.ANCHORARRAY(NV184))),0)</f>
        <v>0</v>
      </c>
      <c r="OI184" t="str">
        <f t="shared" si="26"/>
        <v/>
      </c>
    </row>
    <row r="185" spans="2:399" x14ac:dyDescent="0.3">
      <c r="B185" s="2" t="str">
        <f t="shared" si="18"/>
        <v>LLC</v>
      </c>
      <c r="C185" s="2" t="str">
        <f t="shared" si="19"/>
        <v>LLC</v>
      </c>
      <c r="D185" s="2" t="str">
        <f t="shared" si="20"/>
        <v>LLC</v>
      </c>
      <c r="E185" s="2" t="str">
        <f t="shared" si="21"/>
        <v/>
      </c>
      <c r="F185" s="2">
        <f t="shared" si="22"/>
        <v>0</v>
      </c>
      <c r="G185" s="2">
        <f t="shared" si="23"/>
        <v>0</v>
      </c>
      <c r="H185" s="2">
        <f t="shared" si="24"/>
        <v>0</v>
      </c>
      <c r="I185" s="2">
        <f t="shared" si="25"/>
        <v>0</v>
      </c>
      <c r="NH185" cm="1">
        <f t="array" ref="NH185:NJ185">SUMIFS($J185:$GG185,$J$1:$GG$1,NH$3:NJ$3)</f>
        <v>0</v>
      </c>
      <c r="NI185">
        <v>0</v>
      </c>
      <c r="NJ185">
        <v>0</v>
      </c>
      <c r="NK185" cm="1">
        <f t="array" ref="NK185">IFERROR(MAX((_xlfn.ANCHORARRAY(NH185)-AVERAGE(_xlfn.ANCHORARRAY(NH185)))/ AVERAGE(_xlfn.ANCHORARRAY(NH185))),0)</f>
        <v>0</v>
      </c>
      <c r="NN185" cm="1">
        <f t="array" ref="NN185:NR185">SUMIFS($J185:$GG185,$J$3:$GG$3,NN$3:NR$3)</f>
        <v>0</v>
      </c>
      <c r="NO185">
        <v>0</v>
      </c>
      <c r="NP185">
        <v>0</v>
      </c>
      <c r="NQ185">
        <v>0</v>
      </c>
      <c r="NR185">
        <v>0</v>
      </c>
      <c r="NS185" cm="1">
        <f t="array" ref="NS185">IFERROR(MAX((_xlfn.ANCHORARRAY(NN185)-AVERAGE(_xlfn.ANCHORARRAY(NN185)))/ AVERAGE(_xlfn.ANCHORARRAY(NN185))),0)</f>
        <v>0</v>
      </c>
      <c r="NV185" cm="1">
        <f t="array" ref="NV185:OE185">SUMIFS($J185:$GG185,$J$2:$GG$2,NV$3:OE$3)</f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 cm="1">
        <f t="array" ref="OF185">IFERROR(MAX((_xlfn.ANCHORARRAY(NV185)-AVERAGE(_xlfn.ANCHORARRAY(NV185)))/ AVERAGE(_xlfn.ANCHORARRAY(NV185))),0)</f>
        <v>0</v>
      </c>
      <c r="OI185" t="str">
        <f t="shared" si="26"/>
        <v/>
      </c>
    </row>
    <row r="186" spans="2:399" x14ac:dyDescent="0.3">
      <c r="B186" s="2" t="str">
        <f t="shared" si="18"/>
        <v>LLC</v>
      </c>
      <c r="C186" s="2" t="str">
        <f t="shared" si="19"/>
        <v>LLC</v>
      </c>
      <c r="D186" s="2" t="str">
        <f t="shared" si="20"/>
        <v>LLC</v>
      </c>
      <c r="E186" s="2" t="str">
        <f t="shared" si="21"/>
        <v/>
      </c>
      <c r="F186" s="2">
        <f t="shared" si="22"/>
        <v>0</v>
      </c>
      <c r="G186" s="2">
        <f t="shared" si="23"/>
        <v>0</v>
      </c>
      <c r="H186" s="2">
        <f t="shared" si="24"/>
        <v>0</v>
      </c>
      <c r="I186" s="2">
        <f t="shared" si="25"/>
        <v>0</v>
      </c>
      <c r="NH186" cm="1">
        <f t="array" ref="NH186:NJ186">SUMIFS($J186:$GG186,$J$1:$GG$1,NH$3:NJ$3)</f>
        <v>0</v>
      </c>
      <c r="NI186">
        <v>0</v>
      </c>
      <c r="NJ186">
        <v>0</v>
      </c>
      <c r="NK186" cm="1">
        <f t="array" ref="NK186">IFERROR(MAX((_xlfn.ANCHORARRAY(NH186)-AVERAGE(_xlfn.ANCHORARRAY(NH186)))/ AVERAGE(_xlfn.ANCHORARRAY(NH186))),0)</f>
        <v>0</v>
      </c>
      <c r="NN186" cm="1">
        <f t="array" ref="NN186:NR186">SUMIFS($J186:$GG186,$J$3:$GG$3,NN$3:NR$3)</f>
        <v>0</v>
      </c>
      <c r="NO186">
        <v>0</v>
      </c>
      <c r="NP186">
        <v>0</v>
      </c>
      <c r="NQ186">
        <v>0</v>
      </c>
      <c r="NR186">
        <v>0</v>
      </c>
      <c r="NS186" cm="1">
        <f t="array" ref="NS186">IFERROR(MAX((_xlfn.ANCHORARRAY(NN186)-AVERAGE(_xlfn.ANCHORARRAY(NN186)))/ AVERAGE(_xlfn.ANCHORARRAY(NN186))),0)</f>
        <v>0</v>
      </c>
      <c r="NV186" cm="1">
        <f t="array" ref="NV186:OE186">SUMIFS($J186:$GG186,$J$2:$GG$2,NV$3:OE$3)</f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 cm="1">
        <f t="array" ref="OF186">IFERROR(MAX((_xlfn.ANCHORARRAY(NV186)-AVERAGE(_xlfn.ANCHORARRAY(NV186)))/ AVERAGE(_xlfn.ANCHORARRAY(NV186))),0)</f>
        <v>0</v>
      </c>
      <c r="OI186" t="str">
        <f t="shared" si="26"/>
        <v/>
      </c>
    </row>
    <row r="187" spans="2:399" x14ac:dyDescent="0.3">
      <c r="B187" s="2" t="str">
        <f t="shared" si="18"/>
        <v>LLC</v>
      </c>
      <c r="C187" s="2" t="str">
        <f t="shared" si="19"/>
        <v>LLC</v>
      </c>
      <c r="D187" s="2" t="str">
        <f t="shared" si="20"/>
        <v>LLC</v>
      </c>
      <c r="E187" s="2" t="str">
        <f t="shared" si="21"/>
        <v/>
      </c>
      <c r="F187" s="2">
        <f t="shared" si="22"/>
        <v>0</v>
      </c>
      <c r="G187" s="2">
        <f t="shared" si="23"/>
        <v>0</v>
      </c>
      <c r="H187" s="2">
        <f t="shared" si="24"/>
        <v>0</v>
      </c>
      <c r="I187" s="2">
        <f t="shared" si="25"/>
        <v>0</v>
      </c>
      <c r="NH187" cm="1">
        <f t="array" ref="NH187:NJ187">SUMIFS($J187:$GG187,$J$1:$GG$1,NH$3:NJ$3)</f>
        <v>0</v>
      </c>
      <c r="NI187">
        <v>0</v>
      </c>
      <c r="NJ187">
        <v>0</v>
      </c>
      <c r="NK187" cm="1">
        <f t="array" ref="NK187">IFERROR(MAX((_xlfn.ANCHORARRAY(NH187)-AVERAGE(_xlfn.ANCHORARRAY(NH187)))/ AVERAGE(_xlfn.ANCHORARRAY(NH187))),0)</f>
        <v>0</v>
      </c>
      <c r="NN187" cm="1">
        <f t="array" ref="NN187:NR187">SUMIFS($J187:$GG187,$J$3:$GG$3,NN$3:NR$3)</f>
        <v>0</v>
      </c>
      <c r="NO187">
        <v>0</v>
      </c>
      <c r="NP187">
        <v>0</v>
      </c>
      <c r="NQ187">
        <v>0</v>
      </c>
      <c r="NR187">
        <v>0</v>
      </c>
      <c r="NS187" cm="1">
        <f t="array" ref="NS187">IFERROR(MAX((_xlfn.ANCHORARRAY(NN187)-AVERAGE(_xlfn.ANCHORARRAY(NN187)))/ AVERAGE(_xlfn.ANCHORARRAY(NN187))),0)</f>
        <v>0</v>
      </c>
      <c r="NV187" cm="1">
        <f t="array" ref="NV187:OE187">SUMIFS($J187:$GG187,$J$2:$GG$2,NV$3:OE$3)</f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 cm="1">
        <f t="array" ref="OF187">IFERROR(MAX((_xlfn.ANCHORARRAY(NV187)-AVERAGE(_xlfn.ANCHORARRAY(NV187)))/ AVERAGE(_xlfn.ANCHORARRAY(NV187))),0)</f>
        <v>0</v>
      </c>
      <c r="OI187" t="str">
        <f t="shared" si="26"/>
        <v/>
      </c>
    </row>
    <row r="188" spans="2:399" x14ac:dyDescent="0.3">
      <c r="B188" s="2" t="str">
        <f t="shared" si="18"/>
        <v>LLC</v>
      </c>
      <c r="C188" s="2" t="str">
        <f t="shared" si="19"/>
        <v>LLC</v>
      </c>
      <c r="D188" s="2" t="str">
        <f t="shared" si="20"/>
        <v>LLC</v>
      </c>
      <c r="E188" s="2" t="str">
        <f t="shared" si="21"/>
        <v/>
      </c>
      <c r="F188" s="2">
        <f t="shared" si="22"/>
        <v>0</v>
      </c>
      <c r="G188" s="2">
        <f t="shared" si="23"/>
        <v>0</v>
      </c>
      <c r="H188" s="2">
        <f t="shared" si="24"/>
        <v>0</v>
      </c>
      <c r="I188" s="2">
        <f t="shared" si="25"/>
        <v>0</v>
      </c>
      <c r="NH188" cm="1">
        <f t="array" ref="NH188:NJ188">SUMIFS($J188:$GG188,$J$1:$GG$1,NH$3:NJ$3)</f>
        <v>0</v>
      </c>
      <c r="NI188">
        <v>0</v>
      </c>
      <c r="NJ188">
        <v>0</v>
      </c>
      <c r="NK188" cm="1">
        <f t="array" ref="NK188">IFERROR(MAX((_xlfn.ANCHORARRAY(NH188)-AVERAGE(_xlfn.ANCHORARRAY(NH188)))/ AVERAGE(_xlfn.ANCHORARRAY(NH188))),0)</f>
        <v>0</v>
      </c>
      <c r="NN188" cm="1">
        <f t="array" ref="NN188:NR188">SUMIFS($J188:$GG188,$J$3:$GG$3,NN$3:NR$3)</f>
        <v>0</v>
      </c>
      <c r="NO188">
        <v>0</v>
      </c>
      <c r="NP188">
        <v>0</v>
      </c>
      <c r="NQ188">
        <v>0</v>
      </c>
      <c r="NR188">
        <v>0</v>
      </c>
      <c r="NS188" cm="1">
        <f t="array" ref="NS188">IFERROR(MAX((_xlfn.ANCHORARRAY(NN188)-AVERAGE(_xlfn.ANCHORARRAY(NN188)))/ AVERAGE(_xlfn.ANCHORARRAY(NN188))),0)</f>
        <v>0</v>
      </c>
      <c r="NV188" cm="1">
        <f t="array" ref="NV188:OE188">SUMIFS($J188:$GG188,$J$2:$GG$2,NV$3:OE$3)</f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 cm="1">
        <f t="array" ref="OF188">IFERROR(MAX((_xlfn.ANCHORARRAY(NV188)-AVERAGE(_xlfn.ANCHORARRAY(NV188)))/ AVERAGE(_xlfn.ANCHORARRAY(NV188))),0)</f>
        <v>0</v>
      </c>
      <c r="OI188" t="str">
        <f t="shared" si="26"/>
        <v/>
      </c>
    </row>
    <row r="189" spans="2:399" x14ac:dyDescent="0.3">
      <c r="B189" s="2" t="str">
        <f t="shared" ref="B189:B207" si="27">IF(C189="NotFound",D189,C189)</f>
        <v>LLC</v>
      </c>
      <c r="C189" s="2" t="str">
        <f t="shared" ref="C189:C207" si="28">IF(H189&gt;1,"NotFound","LLC"&amp;_xlfn.XLOOKUP(MAX(J189:GG189,1),J189:GG189,$J$4:$GG$4,""))</f>
        <v>LLC</v>
      </c>
      <c r="D189" s="2" t="str">
        <f t="shared" ref="D189:D207" si="29">IF(F189&gt;1,"NotFound","LLC"&amp;_xlfn.XLOOKUP(MAX(GI189:NF189,1),GI189:NF189,$GI$4:$NF$4,""))</f>
        <v>LLC</v>
      </c>
      <c r="E189" s="2" t="str">
        <f t="shared" ref="E189:E207" si="30">OI189</f>
        <v/>
      </c>
      <c r="F189" s="2">
        <f t="shared" ref="F189:F207" si="31">COUNTIF(GI189:NF189,G189)</f>
        <v>0</v>
      </c>
      <c r="G189" s="2">
        <f t="shared" ref="G189:G207" si="32">MAX(GI189:NF189)</f>
        <v>0</v>
      </c>
      <c r="H189" s="2">
        <f t="shared" ref="H189:H207" si="33">COUNTIF(J189:GG189,I189)</f>
        <v>0</v>
      </c>
      <c r="I189" s="2">
        <f t="shared" ref="I189:I207" si="34">MAX(J189:GG189)</f>
        <v>0</v>
      </c>
      <c r="NH189" cm="1">
        <f t="array" ref="NH189:NJ189">SUMIFS($J189:$GG189,$J$1:$GG$1,NH$3:NJ$3)</f>
        <v>0</v>
      </c>
      <c r="NI189">
        <v>0</v>
      </c>
      <c r="NJ189">
        <v>0</v>
      </c>
      <c r="NK189" cm="1">
        <f t="array" ref="NK189">IFERROR(MAX((_xlfn.ANCHORARRAY(NH189)-AVERAGE(_xlfn.ANCHORARRAY(NH189)))/ AVERAGE(_xlfn.ANCHORARRAY(NH189))),0)</f>
        <v>0</v>
      </c>
      <c r="NN189" cm="1">
        <f t="array" ref="NN189:NR189">SUMIFS($J189:$GG189,$J$3:$GG$3,NN$3:NR$3)</f>
        <v>0</v>
      </c>
      <c r="NO189">
        <v>0</v>
      </c>
      <c r="NP189">
        <v>0</v>
      </c>
      <c r="NQ189">
        <v>0</v>
      </c>
      <c r="NR189">
        <v>0</v>
      </c>
      <c r="NS189" cm="1">
        <f t="array" ref="NS189">IFERROR(MAX((_xlfn.ANCHORARRAY(NN189)-AVERAGE(_xlfn.ANCHORARRAY(NN189)))/ AVERAGE(_xlfn.ANCHORARRAY(NN189))),0)</f>
        <v>0</v>
      </c>
      <c r="NV189" cm="1">
        <f t="array" ref="NV189:OE189">SUMIFS($J189:$GG189,$J$2:$GG$2,NV$3:OE$3)</f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 cm="1">
        <f t="array" ref="OF189">IFERROR(MAX((_xlfn.ANCHORARRAY(NV189)-AVERAGE(_xlfn.ANCHORARRAY(NV189)))/ AVERAGE(_xlfn.ANCHORARRAY(NV189))),0)</f>
        <v>0</v>
      </c>
      <c r="OI189" t="str">
        <f t="shared" ref="OI189:OI207" si="35">_xlfn.TEXTJOIN(" : ",,NL189,NT189,OG189)</f>
        <v/>
      </c>
    </row>
    <row r="190" spans="2:399" x14ac:dyDescent="0.3">
      <c r="B190" s="2" t="str">
        <f t="shared" si="27"/>
        <v>LLC</v>
      </c>
      <c r="C190" s="2" t="str">
        <f t="shared" si="28"/>
        <v>LLC</v>
      </c>
      <c r="D190" s="2" t="str">
        <f t="shared" si="29"/>
        <v>LLC</v>
      </c>
      <c r="E190" s="2" t="str">
        <f t="shared" si="30"/>
        <v/>
      </c>
      <c r="F190" s="2">
        <f t="shared" si="31"/>
        <v>0</v>
      </c>
      <c r="G190" s="2">
        <f t="shared" si="32"/>
        <v>0</v>
      </c>
      <c r="H190" s="2">
        <f t="shared" si="33"/>
        <v>0</v>
      </c>
      <c r="I190" s="2">
        <f t="shared" si="34"/>
        <v>0</v>
      </c>
      <c r="NH190" cm="1">
        <f t="array" ref="NH190:NJ190">SUMIFS($J190:$GG190,$J$1:$GG$1,NH$3:NJ$3)</f>
        <v>0</v>
      </c>
      <c r="NI190">
        <v>0</v>
      </c>
      <c r="NJ190">
        <v>0</v>
      </c>
      <c r="NK190" cm="1">
        <f t="array" ref="NK190">IFERROR(MAX((_xlfn.ANCHORARRAY(NH190)-AVERAGE(_xlfn.ANCHORARRAY(NH190)))/ AVERAGE(_xlfn.ANCHORARRAY(NH190))),0)</f>
        <v>0</v>
      </c>
      <c r="NN190" cm="1">
        <f t="array" ref="NN190:NR190">SUMIFS($J190:$GG190,$J$3:$GG$3,NN$3:NR$3)</f>
        <v>0</v>
      </c>
      <c r="NO190">
        <v>0</v>
      </c>
      <c r="NP190">
        <v>0</v>
      </c>
      <c r="NQ190">
        <v>0</v>
      </c>
      <c r="NR190">
        <v>0</v>
      </c>
      <c r="NS190" cm="1">
        <f t="array" ref="NS190">IFERROR(MAX((_xlfn.ANCHORARRAY(NN190)-AVERAGE(_xlfn.ANCHORARRAY(NN190)))/ AVERAGE(_xlfn.ANCHORARRAY(NN190))),0)</f>
        <v>0</v>
      </c>
      <c r="NV190" cm="1">
        <f t="array" ref="NV190:OE190">SUMIFS($J190:$GG190,$J$2:$GG$2,NV$3:OE$3)</f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 cm="1">
        <f t="array" ref="OF190">IFERROR(MAX((_xlfn.ANCHORARRAY(NV190)-AVERAGE(_xlfn.ANCHORARRAY(NV190)))/ AVERAGE(_xlfn.ANCHORARRAY(NV190))),0)</f>
        <v>0</v>
      </c>
      <c r="OI190" t="str">
        <f t="shared" si="35"/>
        <v/>
      </c>
    </row>
    <row r="191" spans="2:399" x14ac:dyDescent="0.3">
      <c r="B191" s="2" t="str">
        <f t="shared" si="27"/>
        <v>LLC</v>
      </c>
      <c r="C191" s="2" t="str">
        <f t="shared" si="28"/>
        <v>LLC</v>
      </c>
      <c r="D191" s="2" t="str">
        <f t="shared" si="29"/>
        <v>LLC</v>
      </c>
      <c r="E191" s="2" t="str">
        <f t="shared" si="30"/>
        <v/>
      </c>
      <c r="F191" s="2">
        <f t="shared" si="31"/>
        <v>0</v>
      </c>
      <c r="G191" s="2">
        <f t="shared" si="32"/>
        <v>0</v>
      </c>
      <c r="H191" s="2">
        <f t="shared" si="33"/>
        <v>0</v>
      </c>
      <c r="I191" s="2">
        <f t="shared" si="34"/>
        <v>0</v>
      </c>
      <c r="NH191" cm="1">
        <f t="array" ref="NH191:NJ191">SUMIFS($J191:$GG191,$J$1:$GG$1,NH$3:NJ$3)</f>
        <v>0</v>
      </c>
      <c r="NI191">
        <v>0</v>
      </c>
      <c r="NJ191">
        <v>0</v>
      </c>
      <c r="NK191" cm="1">
        <f t="array" ref="NK191">IFERROR(MAX((_xlfn.ANCHORARRAY(NH191)-AVERAGE(_xlfn.ANCHORARRAY(NH191)))/ AVERAGE(_xlfn.ANCHORARRAY(NH191))),0)</f>
        <v>0</v>
      </c>
      <c r="NN191" cm="1">
        <f t="array" ref="NN191:NR191">SUMIFS($J191:$GG191,$J$3:$GG$3,NN$3:NR$3)</f>
        <v>0</v>
      </c>
      <c r="NO191">
        <v>0</v>
      </c>
      <c r="NP191">
        <v>0</v>
      </c>
      <c r="NQ191">
        <v>0</v>
      </c>
      <c r="NR191">
        <v>0</v>
      </c>
      <c r="NS191" cm="1">
        <f t="array" ref="NS191">IFERROR(MAX((_xlfn.ANCHORARRAY(NN191)-AVERAGE(_xlfn.ANCHORARRAY(NN191)))/ AVERAGE(_xlfn.ANCHORARRAY(NN191))),0)</f>
        <v>0</v>
      </c>
      <c r="NV191" cm="1">
        <f t="array" ref="NV191:OE191">SUMIFS($J191:$GG191,$J$2:$GG$2,NV$3:OE$3)</f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 cm="1">
        <f t="array" ref="OF191">IFERROR(MAX((_xlfn.ANCHORARRAY(NV191)-AVERAGE(_xlfn.ANCHORARRAY(NV191)))/ AVERAGE(_xlfn.ANCHORARRAY(NV191))),0)</f>
        <v>0</v>
      </c>
      <c r="OI191" t="str">
        <f t="shared" si="35"/>
        <v/>
      </c>
    </row>
    <row r="192" spans="2:399" x14ac:dyDescent="0.3">
      <c r="B192" s="2" t="str">
        <f t="shared" si="27"/>
        <v>LLC</v>
      </c>
      <c r="C192" s="2" t="str">
        <f t="shared" si="28"/>
        <v>LLC</v>
      </c>
      <c r="D192" s="2" t="str">
        <f t="shared" si="29"/>
        <v>LLC</v>
      </c>
      <c r="E192" s="2" t="str">
        <f t="shared" si="30"/>
        <v/>
      </c>
      <c r="F192" s="2">
        <f t="shared" si="31"/>
        <v>0</v>
      </c>
      <c r="G192" s="2">
        <f t="shared" si="32"/>
        <v>0</v>
      </c>
      <c r="H192" s="2">
        <f t="shared" si="33"/>
        <v>0</v>
      </c>
      <c r="I192" s="2">
        <f t="shared" si="34"/>
        <v>0</v>
      </c>
      <c r="NH192" cm="1">
        <f t="array" ref="NH192:NJ192">SUMIFS($J192:$GG192,$J$1:$GG$1,NH$3:NJ$3)</f>
        <v>0</v>
      </c>
      <c r="NI192">
        <v>0</v>
      </c>
      <c r="NJ192">
        <v>0</v>
      </c>
      <c r="NK192" cm="1">
        <f t="array" ref="NK192">IFERROR(MAX((_xlfn.ANCHORARRAY(NH192)-AVERAGE(_xlfn.ANCHORARRAY(NH192)))/ AVERAGE(_xlfn.ANCHORARRAY(NH192))),0)</f>
        <v>0</v>
      </c>
      <c r="NN192" cm="1">
        <f t="array" ref="NN192:NR192">SUMIFS($J192:$GG192,$J$3:$GG$3,NN$3:NR$3)</f>
        <v>0</v>
      </c>
      <c r="NO192">
        <v>0</v>
      </c>
      <c r="NP192">
        <v>0</v>
      </c>
      <c r="NQ192">
        <v>0</v>
      </c>
      <c r="NR192">
        <v>0</v>
      </c>
      <c r="NS192" cm="1">
        <f t="array" ref="NS192">IFERROR(MAX((_xlfn.ANCHORARRAY(NN192)-AVERAGE(_xlfn.ANCHORARRAY(NN192)))/ AVERAGE(_xlfn.ANCHORARRAY(NN192))),0)</f>
        <v>0</v>
      </c>
      <c r="NV192" cm="1">
        <f t="array" ref="NV192:OE192">SUMIFS($J192:$GG192,$J$2:$GG$2,NV$3:OE$3)</f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 cm="1">
        <f t="array" ref="OF192">IFERROR(MAX((_xlfn.ANCHORARRAY(NV192)-AVERAGE(_xlfn.ANCHORARRAY(NV192)))/ AVERAGE(_xlfn.ANCHORARRAY(NV192))),0)</f>
        <v>0</v>
      </c>
      <c r="OI192" t="str">
        <f t="shared" si="35"/>
        <v/>
      </c>
    </row>
    <row r="193" spans="2:399" x14ac:dyDescent="0.3">
      <c r="B193" s="2" t="str">
        <f t="shared" si="27"/>
        <v>LLC</v>
      </c>
      <c r="C193" s="2" t="str">
        <f t="shared" si="28"/>
        <v>LLC</v>
      </c>
      <c r="D193" s="2" t="str">
        <f t="shared" si="29"/>
        <v>LLC</v>
      </c>
      <c r="E193" s="2" t="str">
        <f t="shared" si="30"/>
        <v/>
      </c>
      <c r="F193" s="2">
        <f t="shared" si="31"/>
        <v>0</v>
      </c>
      <c r="G193" s="2">
        <f t="shared" si="32"/>
        <v>0</v>
      </c>
      <c r="H193" s="2">
        <f t="shared" si="33"/>
        <v>0</v>
      </c>
      <c r="I193" s="2">
        <f t="shared" si="34"/>
        <v>0</v>
      </c>
      <c r="NH193" cm="1">
        <f t="array" ref="NH193:NJ193">SUMIFS($J193:$GG193,$J$1:$GG$1,NH$3:NJ$3)</f>
        <v>0</v>
      </c>
      <c r="NI193">
        <v>0</v>
      </c>
      <c r="NJ193">
        <v>0</v>
      </c>
      <c r="NK193" cm="1">
        <f t="array" ref="NK193">IFERROR(MAX((_xlfn.ANCHORARRAY(NH193)-AVERAGE(_xlfn.ANCHORARRAY(NH193)))/ AVERAGE(_xlfn.ANCHORARRAY(NH193))),0)</f>
        <v>0</v>
      </c>
      <c r="NN193" cm="1">
        <f t="array" ref="NN193:NR193">SUMIFS($J193:$GG193,$J$3:$GG$3,NN$3:NR$3)</f>
        <v>0</v>
      </c>
      <c r="NO193">
        <v>0</v>
      </c>
      <c r="NP193">
        <v>0</v>
      </c>
      <c r="NQ193">
        <v>0</v>
      </c>
      <c r="NR193">
        <v>0</v>
      </c>
      <c r="NS193" cm="1">
        <f t="array" ref="NS193">IFERROR(MAX((_xlfn.ANCHORARRAY(NN193)-AVERAGE(_xlfn.ANCHORARRAY(NN193)))/ AVERAGE(_xlfn.ANCHORARRAY(NN193))),0)</f>
        <v>0</v>
      </c>
      <c r="NV193" cm="1">
        <f t="array" ref="NV193:OE193">SUMIFS($J193:$GG193,$J$2:$GG$2,NV$3:OE$3)</f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 cm="1">
        <f t="array" ref="OF193">IFERROR(MAX((_xlfn.ANCHORARRAY(NV193)-AVERAGE(_xlfn.ANCHORARRAY(NV193)))/ AVERAGE(_xlfn.ANCHORARRAY(NV193))),0)</f>
        <v>0</v>
      </c>
      <c r="OI193" t="str">
        <f t="shared" si="35"/>
        <v/>
      </c>
    </row>
    <row r="194" spans="2:399" x14ac:dyDescent="0.3">
      <c r="B194" s="2" t="str">
        <f t="shared" si="27"/>
        <v>LLC</v>
      </c>
      <c r="C194" s="2" t="str">
        <f t="shared" si="28"/>
        <v>LLC</v>
      </c>
      <c r="D194" s="2" t="str">
        <f t="shared" si="29"/>
        <v>LLC</v>
      </c>
      <c r="E194" s="2" t="str">
        <f t="shared" si="30"/>
        <v/>
      </c>
      <c r="F194" s="2">
        <f t="shared" si="31"/>
        <v>0</v>
      </c>
      <c r="G194" s="2">
        <f t="shared" si="32"/>
        <v>0</v>
      </c>
      <c r="H194" s="2">
        <f t="shared" si="33"/>
        <v>0</v>
      </c>
      <c r="I194" s="2">
        <f t="shared" si="34"/>
        <v>0</v>
      </c>
      <c r="NH194" cm="1">
        <f t="array" ref="NH194:NJ194">SUMIFS($J194:$GG194,$J$1:$GG$1,NH$3:NJ$3)</f>
        <v>0</v>
      </c>
      <c r="NI194">
        <v>0</v>
      </c>
      <c r="NJ194">
        <v>0</v>
      </c>
      <c r="NK194" cm="1">
        <f t="array" ref="NK194">IFERROR(MAX((_xlfn.ANCHORARRAY(NH194)-AVERAGE(_xlfn.ANCHORARRAY(NH194)))/ AVERAGE(_xlfn.ANCHORARRAY(NH194))),0)</f>
        <v>0</v>
      </c>
      <c r="NN194" cm="1">
        <f t="array" ref="NN194:NR194">SUMIFS($J194:$GG194,$J$3:$GG$3,NN$3:NR$3)</f>
        <v>0</v>
      </c>
      <c r="NO194">
        <v>0</v>
      </c>
      <c r="NP194">
        <v>0</v>
      </c>
      <c r="NQ194">
        <v>0</v>
      </c>
      <c r="NR194">
        <v>0</v>
      </c>
      <c r="NS194" cm="1">
        <f t="array" ref="NS194">IFERROR(MAX((_xlfn.ANCHORARRAY(NN194)-AVERAGE(_xlfn.ANCHORARRAY(NN194)))/ AVERAGE(_xlfn.ANCHORARRAY(NN194))),0)</f>
        <v>0</v>
      </c>
      <c r="NV194" cm="1">
        <f t="array" ref="NV194:OE194">SUMIFS($J194:$GG194,$J$2:$GG$2,NV$3:OE$3)</f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 cm="1">
        <f t="array" ref="OF194">IFERROR(MAX((_xlfn.ANCHORARRAY(NV194)-AVERAGE(_xlfn.ANCHORARRAY(NV194)))/ AVERAGE(_xlfn.ANCHORARRAY(NV194))),0)</f>
        <v>0</v>
      </c>
      <c r="OI194" t="str">
        <f t="shared" si="35"/>
        <v/>
      </c>
    </row>
    <row r="195" spans="2:399" x14ac:dyDescent="0.3">
      <c r="B195" s="2" t="str">
        <f t="shared" si="27"/>
        <v>LLC</v>
      </c>
      <c r="C195" s="2" t="str">
        <f t="shared" si="28"/>
        <v>LLC</v>
      </c>
      <c r="D195" s="2" t="str">
        <f t="shared" si="29"/>
        <v>LLC</v>
      </c>
      <c r="E195" s="2" t="str">
        <f t="shared" si="30"/>
        <v/>
      </c>
      <c r="F195" s="2">
        <f t="shared" si="31"/>
        <v>0</v>
      </c>
      <c r="G195" s="2">
        <f t="shared" si="32"/>
        <v>0</v>
      </c>
      <c r="H195" s="2">
        <f t="shared" si="33"/>
        <v>0</v>
      </c>
      <c r="I195" s="2">
        <f t="shared" si="34"/>
        <v>0</v>
      </c>
      <c r="NH195" cm="1">
        <f t="array" ref="NH195:NJ195">SUMIFS($J195:$GG195,$J$1:$GG$1,NH$3:NJ$3)</f>
        <v>0</v>
      </c>
      <c r="NI195">
        <v>0</v>
      </c>
      <c r="NJ195">
        <v>0</v>
      </c>
      <c r="NK195" cm="1">
        <f t="array" ref="NK195">IFERROR(MAX((_xlfn.ANCHORARRAY(NH195)-AVERAGE(_xlfn.ANCHORARRAY(NH195)))/ AVERAGE(_xlfn.ANCHORARRAY(NH195))),0)</f>
        <v>0</v>
      </c>
      <c r="NN195" cm="1">
        <f t="array" ref="NN195:NR195">SUMIFS($J195:$GG195,$J$3:$GG$3,NN$3:NR$3)</f>
        <v>0</v>
      </c>
      <c r="NO195">
        <v>0</v>
      </c>
      <c r="NP195">
        <v>0</v>
      </c>
      <c r="NQ195">
        <v>0</v>
      </c>
      <c r="NR195">
        <v>0</v>
      </c>
      <c r="NS195" cm="1">
        <f t="array" ref="NS195">IFERROR(MAX((_xlfn.ANCHORARRAY(NN195)-AVERAGE(_xlfn.ANCHORARRAY(NN195)))/ AVERAGE(_xlfn.ANCHORARRAY(NN195))),0)</f>
        <v>0</v>
      </c>
      <c r="NV195" cm="1">
        <f t="array" ref="NV195:OE195">SUMIFS($J195:$GG195,$J$2:$GG$2,NV$3:OE$3)</f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 cm="1">
        <f t="array" ref="OF195">IFERROR(MAX((_xlfn.ANCHORARRAY(NV195)-AVERAGE(_xlfn.ANCHORARRAY(NV195)))/ AVERAGE(_xlfn.ANCHORARRAY(NV195))),0)</f>
        <v>0</v>
      </c>
      <c r="OI195" t="str">
        <f t="shared" si="35"/>
        <v/>
      </c>
    </row>
    <row r="196" spans="2:399" x14ac:dyDescent="0.3">
      <c r="B196" s="2" t="str">
        <f t="shared" si="27"/>
        <v>LLC</v>
      </c>
      <c r="C196" s="2" t="str">
        <f t="shared" si="28"/>
        <v>LLC</v>
      </c>
      <c r="D196" s="2" t="str">
        <f t="shared" si="29"/>
        <v>LLC</v>
      </c>
      <c r="E196" s="2" t="str">
        <f t="shared" si="30"/>
        <v/>
      </c>
      <c r="F196" s="2">
        <f t="shared" si="31"/>
        <v>0</v>
      </c>
      <c r="G196" s="2">
        <f t="shared" si="32"/>
        <v>0</v>
      </c>
      <c r="H196" s="2">
        <f t="shared" si="33"/>
        <v>0</v>
      </c>
      <c r="I196" s="2">
        <f t="shared" si="34"/>
        <v>0</v>
      </c>
      <c r="NH196" cm="1">
        <f t="array" ref="NH196:NJ196">SUMIFS($J196:$GG196,$J$1:$GG$1,NH$3:NJ$3)</f>
        <v>0</v>
      </c>
      <c r="NI196">
        <v>0</v>
      </c>
      <c r="NJ196">
        <v>0</v>
      </c>
      <c r="NK196" cm="1">
        <f t="array" ref="NK196">IFERROR(MAX((_xlfn.ANCHORARRAY(NH196)-AVERAGE(_xlfn.ANCHORARRAY(NH196)))/ AVERAGE(_xlfn.ANCHORARRAY(NH196))),0)</f>
        <v>0</v>
      </c>
      <c r="NN196" cm="1">
        <f t="array" ref="NN196:NR196">SUMIFS($J196:$GG196,$J$3:$GG$3,NN$3:NR$3)</f>
        <v>0</v>
      </c>
      <c r="NO196">
        <v>0</v>
      </c>
      <c r="NP196">
        <v>0</v>
      </c>
      <c r="NQ196">
        <v>0</v>
      </c>
      <c r="NR196">
        <v>0</v>
      </c>
      <c r="NS196" cm="1">
        <f t="array" ref="NS196">IFERROR(MAX((_xlfn.ANCHORARRAY(NN196)-AVERAGE(_xlfn.ANCHORARRAY(NN196)))/ AVERAGE(_xlfn.ANCHORARRAY(NN196))),0)</f>
        <v>0</v>
      </c>
      <c r="NV196" cm="1">
        <f t="array" ref="NV196:OE196">SUMIFS($J196:$GG196,$J$2:$GG$2,NV$3:OE$3)</f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 cm="1">
        <f t="array" ref="OF196">IFERROR(MAX((_xlfn.ANCHORARRAY(NV196)-AVERAGE(_xlfn.ANCHORARRAY(NV196)))/ AVERAGE(_xlfn.ANCHORARRAY(NV196))),0)</f>
        <v>0</v>
      </c>
      <c r="OI196" t="str">
        <f t="shared" si="35"/>
        <v/>
      </c>
    </row>
    <row r="197" spans="2:399" x14ac:dyDescent="0.3">
      <c r="B197" s="2" t="str">
        <f t="shared" si="27"/>
        <v>LLC</v>
      </c>
      <c r="C197" s="2" t="str">
        <f t="shared" si="28"/>
        <v>LLC</v>
      </c>
      <c r="D197" s="2" t="str">
        <f t="shared" si="29"/>
        <v>LLC</v>
      </c>
      <c r="E197" s="2" t="str">
        <f t="shared" si="30"/>
        <v/>
      </c>
      <c r="F197" s="2">
        <f t="shared" si="31"/>
        <v>0</v>
      </c>
      <c r="G197" s="2">
        <f t="shared" si="32"/>
        <v>0</v>
      </c>
      <c r="H197" s="2">
        <f t="shared" si="33"/>
        <v>0</v>
      </c>
      <c r="I197" s="2">
        <f t="shared" si="34"/>
        <v>0</v>
      </c>
      <c r="NH197" cm="1">
        <f t="array" ref="NH197:NJ197">SUMIFS($J197:$GG197,$J$1:$GG$1,NH$3:NJ$3)</f>
        <v>0</v>
      </c>
      <c r="NI197">
        <v>0</v>
      </c>
      <c r="NJ197">
        <v>0</v>
      </c>
      <c r="NK197" cm="1">
        <f t="array" ref="NK197">IFERROR(MAX((_xlfn.ANCHORARRAY(NH197)-AVERAGE(_xlfn.ANCHORARRAY(NH197)))/ AVERAGE(_xlfn.ANCHORARRAY(NH197))),0)</f>
        <v>0</v>
      </c>
      <c r="NN197" cm="1">
        <f t="array" ref="NN197:NR197">SUMIFS($J197:$GG197,$J$3:$GG$3,NN$3:NR$3)</f>
        <v>0</v>
      </c>
      <c r="NO197">
        <v>0</v>
      </c>
      <c r="NP197">
        <v>0</v>
      </c>
      <c r="NQ197">
        <v>0</v>
      </c>
      <c r="NR197">
        <v>0</v>
      </c>
      <c r="NS197" cm="1">
        <f t="array" ref="NS197">IFERROR(MAX((_xlfn.ANCHORARRAY(NN197)-AVERAGE(_xlfn.ANCHORARRAY(NN197)))/ AVERAGE(_xlfn.ANCHORARRAY(NN197))),0)</f>
        <v>0</v>
      </c>
      <c r="NV197" cm="1">
        <f t="array" ref="NV197:OE197">SUMIFS($J197:$GG197,$J$2:$GG$2,NV$3:OE$3)</f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 cm="1">
        <f t="array" ref="OF197">IFERROR(MAX((_xlfn.ANCHORARRAY(NV197)-AVERAGE(_xlfn.ANCHORARRAY(NV197)))/ AVERAGE(_xlfn.ANCHORARRAY(NV197))),0)</f>
        <v>0</v>
      </c>
      <c r="OI197" t="str">
        <f t="shared" si="35"/>
        <v/>
      </c>
    </row>
    <row r="198" spans="2:399" x14ac:dyDescent="0.3">
      <c r="B198" s="2" t="str">
        <f t="shared" si="27"/>
        <v>LLC</v>
      </c>
      <c r="C198" s="2" t="str">
        <f t="shared" si="28"/>
        <v>LLC</v>
      </c>
      <c r="D198" s="2" t="str">
        <f t="shared" si="29"/>
        <v>LLC</v>
      </c>
      <c r="E198" s="2" t="str">
        <f t="shared" si="30"/>
        <v/>
      </c>
      <c r="F198" s="2">
        <f t="shared" si="31"/>
        <v>0</v>
      </c>
      <c r="G198" s="2">
        <f t="shared" si="32"/>
        <v>0</v>
      </c>
      <c r="H198" s="2">
        <f t="shared" si="33"/>
        <v>0</v>
      </c>
      <c r="I198" s="2">
        <f t="shared" si="34"/>
        <v>0</v>
      </c>
      <c r="NH198" cm="1">
        <f t="array" ref="NH198:NJ198">SUMIFS($J198:$GG198,$J$1:$GG$1,NH$3:NJ$3)</f>
        <v>0</v>
      </c>
      <c r="NI198">
        <v>0</v>
      </c>
      <c r="NJ198">
        <v>0</v>
      </c>
      <c r="NK198" cm="1">
        <f t="array" ref="NK198">IFERROR(MAX((_xlfn.ANCHORARRAY(NH198)-AVERAGE(_xlfn.ANCHORARRAY(NH198)))/ AVERAGE(_xlfn.ANCHORARRAY(NH198))),0)</f>
        <v>0</v>
      </c>
      <c r="NN198" cm="1">
        <f t="array" ref="NN198:NR198">SUMIFS($J198:$GG198,$J$3:$GG$3,NN$3:NR$3)</f>
        <v>0</v>
      </c>
      <c r="NO198">
        <v>0</v>
      </c>
      <c r="NP198">
        <v>0</v>
      </c>
      <c r="NQ198">
        <v>0</v>
      </c>
      <c r="NR198">
        <v>0</v>
      </c>
      <c r="NS198" cm="1">
        <f t="array" ref="NS198">IFERROR(MAX((_xlfn.ANCHORARRAY(NN198)-AVERAGE(_xlfn.ANCHORARRAY(NN198)))/ AVERAGE(_xlfn.ANCHORARRAY(NN198))),0)</f>
        <v>0</v>
      </c>
      <c r="NV198" cm="1">
        <f t="array" ref="NV198:OE198">SUMIFS($J198:$GG198,$J$2:$GG$2,NV$3:OE$3)</f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 cm="1">
        <f t="array" ref="OF198">IFERROR(MAX((_xlfn.ANCHORARRAY(NV198)-AVERAGE(_xlfn.ANCHORARRAY(NV198)))/ AVERAGE(_xlfn.ANCHORARRAY(NV198))),0)</f>
        <v>0</v>
      </c>
      <c r="OI198" t="str">
        <f t="shared" si="35"/>
        <v/>
      </c>
    </row>
    <row r="199" spans="2:399" x14ac:dyDescent="0.3">
      <c r="B199" s="2" t="str">
        <f t="shared" si="27"/>
        <v>LLC</v>
      </c>
      <c r="C199" s="2" t="str">
        <f t="shared" si="28"/>
        <v>LLC</v>
      </c>
      <c r="D199" s="2" t="str">
        <f t="shared" si="29"/>
        <v>LLC</v>
      </c>
      <c r="E199" s="2" t="str">
        <f t="shared" si="30"/>
        <v/>
      </c>
      <c r="F199" s="2">
        <f t="shared" si="31"/>
        <v>0</v>
      </c>
      <c r="G199" s="2">
        <f t="shared" si="32"/>
        <v>0</v>
      </c>
      <c r="H199" s="2">
        <f t="shared" si="33"/>
        <v>0</v>
      </c>
      <c r="I199" s="2">
        <f t="shared" si="34"/>
        <v>0</v>
      </c>
      <c r="NH199" cm="1">
        <f t="array" ref="NH199:NJ199">SUMIFS($J199:$GG199,$J$1:$GG$1,NH$3:NJ$3)</f>
        <v>0</v>
      </c>
      <c r="NI199">
        <v>0</v>
      </c>
      <c r="NJ199">
        <v>0</v>
      </c>
      <c r="NK199" cm="1">
        <f t="array" ref="NK199">IFERROR(MAX((_xlfn.ANCHORARRAY(NH199)-AVERAGE(_xlfn.ANCHORARRAY(NH199)))/ AVERAGE(_xlfn.ANCHORARRAY(NH199))),0)</f>
        <v>0</v>
      </c>
      <c r="NN199" cm="1">
        <f t="array" ref="NN199:NR199">SUMIFS($J199:$GG199,$J$3:$GG$3,NN$3:NR$3)</f>
        <v>0</v>
      </c>
      <c r="NO199">
        <v>0</v>
      </c>
      <c r="NP199">
        <v>0</v>
      </c>
      <c r="NQ199">
        <v>0</v>
      </c>
      <c r="NR199">
        <v>0</v>
      </c>
      <c r="NS199" cm="1">
        <f t="array" ref="NS199">IFERROR(MAX((_xlfn.ANCHORARRAY(NN199)-AVERAGE(_xlfn.ANCHORARRAY(NN199)))/ AVERAGE(_xlfn.ANCHORARRAY(NN199))),0)</f>
        <v>0</v>
      </c>
      <c r="NV199" cm="1">
        <f t="array" ref="NV199:OE199">SUMIFS($J199:$GG199,$J$2:$GG$2,NV$3:OE$3)</f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 cm="1">
        <f t="array" ref="OF199">IFERROR(MAX((_xlfn.ANCHORARRAY(NV199)-AVERAGE(_xlfn.ANCHORARRAY(NV199)))/ AVERAGE(_xlfn.ANCHORARRAY(NV199))),0)</f>
        <v>0</v>
      </c>
      <c r="OI199" t="str">
        <f t="shared" si="35"/>
        <v/>
      </c>
    </row>
    <row r="200" spans="2:399" x14ac:dyDescent="0.3">
      <c r="B200" s="2" t="str">
        <f t="shared" si="27"/>
        <v>LLC</v>
      </c>
      <c r="C200" s="2" t="str">
        <f t="shared" si="28"/>
        <v>LLC</v>
      </c>
      <c r="D200" s="2" t="str">
        <f t="shared" si="29"/>
        <v>LLC</v>
      </c>
      <c r="E200" s="2" t="str">
        <f t="shared" si="30"/>
        <v/>
      </c>
      <c r="F200" s="2">
        <f t="shared" si="31"/>
        <v>0</v>
      </c>
      <c r="G200" s="2">
        <f t="shared" si="32"/>
        <v>0</v>
      </c>
      <c r="H200" s="2">
        <f t="shared" si="33"/>
        <v>0</v>
      </c>
      <c r="I200" s="2">
        <f t="shared" si="34"/>
        <v>0</v>
      </c>
      <c r="NH200" cm="1">
        <f t="array" ref="NH200:NJ200">SUMIFS($J200:$GG200,$J$1:$GG$1,NH$3:NJ$3)</f>
        <v>0</v>
      </c>
      <c r="NI200">
        <v>0</v>
      </c>
      <c r="NJ200">
        <v>0</v>
      </c>
      <c r="NK200" cm="1">
        <f t="array" ref="NK200">IFERROR(MAX((_xlfn.ANCHORARRAY(NH200)-AVERAGE(_xlfn.ANCHORARRAY(NH200)))/ AVERAGE(_xlfn.ANCHORARRAY(NH200))),0)</f>
        <v>0</v>
      </c>
      <c r="NN200" cm="1">
        <f t="array" ref="NN200:NR200">SUMIFS($J200:$GG200,$J$3:$GG$3,NN$3:NR$3)</f>
        <v>0</v>
      </c>
      <c r="NO200">
        <v>0</v>
      </c>
      <c r="NP200">
        <v>0</v>
      </c>
      <c r="NQ200">
        <v>0</v>
      </c>
      <c r="NR200">
        <v>0</v>
      </c>
      <c r="NS200" cm="1">
        <f t="array" ref="NS200">IFERROR(MAX((_xlfn.ANCHORARRAY(NN200)-AVERAGE(_xlfn.ANCHORARRAY(NN200)))/ AVERAGE(_xlfn.ANCHORARRAY(NN200))),0)</f>
        <v>0</v>
      </c>
      <c r="NV200" cm="1">
        <f t="array" ref="NV200:OE200">SUMIFS($J200:$GG200,$J$2:$GG$2,NV$3:OE$3)</f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 cm="1">
        <f t="array" ref="OF200">IFERROR(MAX((_xlfn.ANCHORARRAY(NV200)-AVERAGE(_xlfn.ANCHORARRAY(NV200)))/ AVERAGE(_xlfn.ANCHORARRAY(NV200))),0)</f>
        <v>0</v>
      </c>
      <c r="OI200" t="str">
        <f t="shared" si="35"/>
        <v/>
      </c>
    </row>
    <row r="201" spans="2:399" x14ac:dyDescent="0.3">
      <c r="B201" s="2" t="str">
        <f t="shared" si="27"/>
        <v>LLC</v>
      </c>
      <c r="C201" s="2" t="str">
        <f t="shared" si="28"/>
        <v>LLC</v>
      </c>
      <c r="D201" s="2" t="str">
        <f t="shared" si="29"/>
        <v>LLC</v>
      </c>
      <c r="E201" s="2" t="str">
        <f t="shared" si="30"/>
        <v/>
      </c>
      <c r="F201" s="2">
        <f t="shared" si="31"/>
        <v>0</v>
      </c>
      <c r="G201" s="2">
        <f t="shared" si="32"/>
        <v>0</v>
      </c>
      <c r="H201" s="2">
        <f t="shared" si="33"/>
        <v>0</v>
      </c>
      <c r="I201" s="2">
        <f t="shared" si="34"/>
        <v>0</v>
      </c>
      <c r="NH201" cm="1">
        <f t="array" ref="NH201:NJ201">SUMIFS($J201:$GG201,$J$1:$GG$1,NH$3:NJ$3)</f>
        <v>0</v>
      </c>
      <c r="NI201">
        <v>0</v>
      </c>
      <c r="NJ201">
        <v>0</v>
      </c>
      <c r="NK201" cm="1">
        <f t="array" ref="NK201">IFERROR(MAX((_xlfn.ANCHORARRAY(NH201)-AVERAGE(_xlfn.ANCHORARRAY(NH201)))/ AVERAGE(_xlfn.ANCHORARRAY(NH201))),0)</f>
        <v>0</v>
      </c>
      <c r="NN201" cm="1">
        <f t="array" ref="NN201:NR201">SUMIFS($J201:$GG201,$J$3:$GG$3,NN$3:NR$3)</f>
        <v>0</v>
      </c>
      <c r="NO201">
        <v>0</v>
      </c>
      <c r="NP201">
        <v>0</v>
      </c>
      <c r="NQ201">
        <v>0</v>
      </c>
      <c r="NR201">
        <v>0</v>
      </c>
      <c r="NS201" cm="1">
        <f t="array" ref="NS201">IFERROR(MAX((_xlfn.ANCHORARRAY(NN201)-AVERAGE(_xlfn.ANCHORARRAY(NN201)))/ AVERAGE(_xlfn.ANCHORARRAY(NN201))),0)</f>
        <v>0</v>
      </c>
      <c r="NV201" cm="1">
        <f t="array" ref="NV201:OE201">SUMIFS($J201:$GG201,$J$2:$GG$2,NV$3:OE$3)</f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 cm="1">
        <f t="array" ref="OF201">IFERROR(MAX((_xlfn.ANCHORARRAY(NV201)-AVERAGE(_xlfn.ANCHORARRAY(NV201)))/ AVERAGE(_xlfn.ANCHORARRAY(NV201))),0)</f>
        <v>0</v>
      </c>
      <c r="OI201" t="str">
        <f t="shared" si="35"/>
        <v/>
      </c>
    </row>
    <row r="202" spans="2:399" x14ac:dyDescent="0.3">
      <c r="B202" s="2" t="str">
        <f t="shared" si="27"/>
        <v>LLC</v>
      </c>
      <c r="C202" s="2" t="str">
        <f t="shared" si="28"/>
        <v>LLC</v>
      </c>
      <c r="D202" s="2" t="str">
        <f t="shared" si="29"/>
        <v>LLC</v>
      </c>
      <c r="E202" s="2" t="str">
        <f t="shared" si="30"/>
        <v/>
      </c>
      <c r="F202" s="2">
        <f t="shared" si="31"/>
        <v>0</v>
      </c>
      <c r="G202" s="2">
        <f t="shared" si="32"/>
        <v>0</v>
      </c>
      <c r="H202" s="2">
        <f t="shared" si="33"/>
        <v>0</v>
      </c>
      <c r="I202" s="2">
        <f t="shared" si="34"/>
        <v>0</v>
      </c>
      <c r="NH202" cm="1">
        <f t="array" ref="NH202:NJ202">SUMIFS($J202:$GG202,$J$1:$GG$1,NH$3:NJ$3)</f>
        <v>0</v>
      </c>
      <c r="NI202">
        <v>0</v>
      </c>
      <c r="NJ202">
        <v>0</v>
      </c>
      <c r="NK202" cm="1">
        <f t="array" ref="NK202">IFERROR(MAX((_xlfn.ANCHORARRAY(NH202)-AVERAGE(_xlfn.ANCHORARRAY(NH202)))/ AVERAGE(_xlfn.ANCHORARRAY(NH202))),0)</f>
        <v>0</v>
      </c>
      <c r="NN202" cm="1">
        <f t="array" ref="NN202:NR202">SUMIFS($J202:$GG202,$J$3:$GG$3,NN$3:NR$3)</f>
        <v>0</v>
      </c>
      <c r="NO202">
        <v>0</v>
      </c>
      <c r="NP202">
        <v>0</v>
      </c>
      <c r="NQ202">
        <v>0</v>
      </c>
      <c r="NR202">
        <v>0</v>
      </c>
      <c r="NS202" cm="1">
        <f t="array" ref="NS202">IFERROR(MAX((_xlfn.ANCHORARRAY(NN202)-AVERAGE(_xlfn.ANCHORARRAY(NN202)))/ AVERAGE(_xlfn.ANCHORARRAY(NN202))),0)</f>
        <v>0</v>
      </c>
      <c r="NV202" cm="1">
        <f t="array" ref="NV202:OE202">SUMIFS($J202:$GG202,$J$2:$GG$2,NV$3:OE$3)</f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 cm="1">
        <f t="array" ref="OF202">IFERROR(MAX((_xlfn.ANCHORARRAY(NV202)-AVERAGE(_xlfn.ANCHORARRAY(NV202)))/ AVERAGE(_xlfn.ANCHORARRAY(NV202))),0)</f>
        <v>0</v>
      </c>
      <c r="OI202" t="str">
        <f t="shared" si="35"/>
        <v/>
      </c>
    </row>
    <row r="203" spans="2:399" x14ac:dyDescent="0.3">
      <c r="B203" s="2" t="str">
        <f t="shared" si="27"/>
        <v>LLC</v>
      </c>
      <c r="C203" s="2" t="str">
        <f t="shared" si="28"/>
        <v>LLC</v>
      </c>
      <c r="D203" s="2" t="str">
        <f t="shared" si="29"/>
        <v>LLC</v>
      </c>
      <c r="E203" s="2" t="str">
        <f t="shared" si="30"/>
        <v/>
      </c>
      <c r="F203" s="2">
        <f t="shared" si="31"/>
        <v>0</v>
      </c>
      <c r="G203" s="2">
        <f t="shared" si="32"/>
        <v>0</v>
      </c>
      <c r="H203" s="2">
        <f t="shared" si="33"/>
        <v>0</v>
      </c>
      <c r="I203" s="2">
        <f t="shared" si="34"/>
        <v>0</v>
      </c>
      <c r="NH203" cm="1">
        <f t="array" ref="NH203:NJ203">SUMIFS($J203:$GG203,$J$1:$GG$1,NH$3:NJ$3)</f>
        <v>0</v>
      </c>
      <c r="NI203">
        <v>0</v>
      </c>
      <c r="NJ203">
        <v>0</v>
      </c>
      <c r="NK203" cm="1">
        <f t="array" ref="NK203">IFERROR(MAX((_xlfn.ANCHORARRAY(NH203)-AVERAGE(_xlfn.ANCHORARRAY(NH203)))/ AVERAGE(_xlfn.ANCHORARRAY(NH203))),0)</f>
        <v>0</v>
      </c>
      <c r="NN203" cm="1">
        <f t="array" ref="NN203:NR203">SUMIFS($J203:$GG203,$J$3:$GG$3,NN$3:NR$3)</f>
        <v>0</v>
      </c>
      <c r="NO203">
        <v>0</v>
      </c>
      <c r="NP203">
        <v>0</v>
      </c>
      <c r="NQ203">
        <v>0</v>
      </c>
      <c r="NR203">
        <v>0</v>
      </c>
      <c r="NS203" cm="1">
        <f t="array" ref="NS203">IFERROR(MAX((_xlfn.ANCHORARRAY(NN203)-AVERAGE(_xlfn.ANCHORARRAY(NN203)))/ AVERAGE(_xlfn.ANCHORARRAY(NN203))),0)</f>
        <v>0</v>
      </c>
      <c r="NV203" cm="1">
        <f t="array" ref="NV203:OE203">SUMIFS($J203:$GG203,$J$2:$GG$2,NV$3:OE$3)</f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 cm="1">
        <f t="array" ref="OF203">IFERROR(MAX((_xlfn.ANCHORARRAY(NV203)-AVERAGE(_xlfn.ANCHORARRAY(NV203)))/ AVERAGE(_xlfn.ANCHORARRAY(NV203))),0)</f>
        <v>0</v>
      </c>
      <c r="OI203" t="str">
        <f t="shared" si="35"/>
        <v/>
      </c>
    </row>
    <row r="204" spans="2:399" x14ac:dyDescent="0.3">
      <c r="B204" s="2" t="str">
        <f t="shared" si="27"/>
        <v>LLC</v>
      </c>
      <c r="C204" s="2" t="str">
        <f t="shared" si="28"/>
        <v>LLC</v>
      </c>
      <c r="D204" s="2" t="str">
        <f t="shared" si="29"/>
        <v>LLC</v>
      </c>
      <c r="E204" s="2" t="str">
        <f t="shared" si="30"/>
        <v/>
      </c>
      <c r="F204" s="2">
        <f t="shared" si="31"/>
        <v>0</v>
      </c>
      <c r="G204" s="2">
        <f t="shared" si="32"/>
        <v>0</v>
      </c>
      <c r="H204" s="2">
        <f t="shared" si="33"/>
        <v>0</v>
      </c>
      <c r="I204" s="2">
        <f t="shared" si="34"/>
        <v>0</v>
      </c>
      <c r="NH204" cm="1">
        <f t="array" ref="NH204:NJ204">SUMIFS($J204:$GG204,$J$1:$GG$1,NH$3:NJ$3)</f>
        <v>0</v>
      </c>
      <c r="NI204">
        <v>0</v>
      </c>
      <c r="NJ204">
        <v>0</v>
      </c>
      <c r="NK204" cm="1">
        <f t="array" ref="NK204">IFERROR(MAX((_xlfn.ANCHORARRAY(NH204)-AVERAGE(_xlfn.ANCHORARRAY(NH204)))/ AVERAGE(_xlfn.ANCHORARRAY(NH204))),0)</f>
        <v>0</v>
      </c>
      <c r="NN204" cm="1">
        <f t="array" ref="NN204:NR204">SUMIFS($J204:$GG204,$J$3:$GG$3,NN$3:NR$3)</f>
        <v>0</v>
      </c>
      <c r="NO204">
        <v>0</v>
      </c>
      <c r="NP204">
        <v>0</v>
      </c>
      <c r="NQ204">
        <v>0</v>
      </c>
      <c r="NR204">
        <v>0</v>
      </c>
      <c r="NS204" cm="1">
        <f t="array" ref="NS204">IFERROR(MAX((_xlfn.ANCHORARRAY(NN204)-AVERAGE(_xlfn.ANCHORARRAY(NN204)))/ AVERAGE(_xlfn.ANCHORARRAY(NN204))),0)</f>
        <v>0</v>
      </c>
      <c r="NV204" cm="1">
        <f t="array" ref="NV204:OE204">SUMIFS($J204:$GG204,$J$2:$GG$2,NV$3:OE$3)</f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 cm="1">
        <f t="array" ref="OF204">IFERROR(MAX((_xlfn.ANCHORARRAY(NV204)-AVERAGE(_xlfn.ANCHORARRAY(NV204)))/ AVERAGE(_xlfn.ANCHORARRAY(NV204))),0)</f>
        <v>0</v>
      </c>
      <c r="OI204" t="str">
        <f t="shared" si="35"/>
        <v/>
      </c>
    </row>
    <row r="205" spans="2:399" x14ac:dyDescent="0.3">
      <c r="B205" s="2" t="str">
        <f t="shared" si="27"/>
        <v>LLC</v>
      </c>
      <c r="C205" s="2" t="str">
        <f t="shared" si="28"/>
        <v>LLC</v>
      </c>
      <c r="D205" s="2" t="str">
        <f t="shared" si="29"/>
        <v>LLC</v>
      </c>
      <c r="E205" s="2" t="str">
        <f t="shared" si="30"/>
        <v/>
      </c>
      <c r="F205" s="2">
        <f t="shared" si="31"/>
        <v>0</v>
      </c>
      <c r="G205" s="2">
        <f t="shared" si="32"/>
        <v>0</v>
      </c>
      <c r="H205" s="2">
        <f t="shared" si="33"/>
        <v>0</v>
      </c>
      <c r="I205" s="2">
        <f t="shared" si="34"/>
        <v>0</v>
      </c>
      <c r="NH205" cm="1">
        <f t="array" ref="NH205:NJ205">SUMIFS($J205:$GG205,$J$1:$GG$1,NH$3:NJ$3)</f>
        <v>0</v>
      </c>
      <c r="NI205">
        <v>0</v>
      </c>
      <c r="NJ205">
        <v>0</v>
      </c>
      <c r="NK205" cm="1">
        <f t="array" ref="NK205">IFERROR(MAX((_xlfn.ANCHORARRAY(NH205)-AVERAGE(_xlfn.ANCHORARRAY(NH205)))/ AVERAGE(_xlfn.ANCHORARRAY(NH205))),0)</f>
        <v>0</v>
      </c>
      <c r="NN205" cm="1">
        <f t="array" ref="NN205:NR205">SUMIFS($J205:$GG205,$J$3:$GG$3,NN$3:NR$3)</f>
        <v>0</v>
      </c>
      <c r="NO205">
        <v>0</v>
      </c>
      <c r="NP205">
        <v>0</v>
      </c>
      <c r="NQ205">
        <v>0</v>
      </c>
      <c r="NR205">
        <v>0</v>
      </c>
      <c r="NS205" cm="1">
        <f t="array" ref="NS205">IFERROR(MAX((_xlfn.ANCHORARRAY(NN205)-AVERAGE(_xlfn.ANCHORARRAY(NN205)))/ AVERAGE(_xlfn.ANCHORARRAY(NN205))),0)</f>
        <v>0</v>
      </c>
      <c r="NV205" cm="1">
        <f t="array" ref="NV205:OE205">SUMIFS($J205:$GG205,$J$2:$GG$2,NV$3:OE$3)</f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 cm="1">
        <f t="array" ref="OF205">IFERROR(MAX((_xlfn.ANCHORARRAY(NV205)-AVERAGE(_xlfn.ANCHORARRAY(NV205)))/ AVERAGE(_xlfn.ANCHORARRAY(NV205))),0)</f>
        <v>0</v>
      </c>
      <c r="OI205" t="str">
        <f t="shared" si="35"/>
        <v/>
      </c>
    </row>
    <row r="206" spans="2:399" x14ac:dyDescent="0.3">
      <c r="B206" s="2" t="str">
        <f t="shared" si="27"/>
        <v>LLC</v>
      </c>
      <c r="C206" s="2" t="str">
        <f t="shared" si="28"/>
        <v>LLC</v>
      </c>
      <c r="D206" s="2" t="str">
        <f t="shared" si="29"/>
        <v>LLC</v>
      </c>
      <c r="E206" s="2" t="str">
        <f t="shared" si="30"/>
        <v/>
      </c>
      <c r="F206" s="2">
        <f t="shared" si="31"/>
        <v>0</v>
      </c>
      <c r="G206" s="2">
        <f t="shared" si="32"/>
        <v>0</v>
      </c>
      <c r="H206" s="2">
        <f t="shared" si="33"/>
        <v>0</v>
      </c>
      <c r="I206" s="2">
        <f t="shared" si="34"/>
        <v>0</v>
      </c>
      <c r="NH206" cm="1">
        <f t="array" ref="NH206:NJ206">SUMIFS($J206:$GG206,$J$1:$GG$1,NH$3:NJ$3)</f>
        <v>0</v>
      </c>
      <c r="NI206">
        <v>0</v>
      </c>
      <c r="NJ206">
        <v>0</v>
      </c>
      <c r="NK206" cm="1">
        <f t="array" ref="NK206">IFERROR(MAX((_xlfn.ANCHORARRAY(NH206)-AVERAGE(_xlfn.ANCHORARRAY(NH206)))/ AVERAGE(_xlfn.ANCHORARRAY(NH206))),0)</f>
        <v>0</v>
      </c>
      <c r="NN206" cm="1">
        <f t="array" ref="NN206:NR206">SUMIFS($J206:$GG206,$J$3:$GG$3,NN$3:NR$3)</f>
        <v>0</v>
      </c>
      <c r="NO206">
        <v>0</v>
      </c>
      <c r="NP206">
        <v>0</v>
      </c>
      <c r="NQ206">
        <v>0</v>
      </c>
      <c r="NR206">
        <v>0</v>
      </c>
      <c r="NS206" cm="1">
        <f t="array" ref="NS206">IFERROR(MAX((_xlfn.ANCHORARRAY(NN206)-AVERAGE(_xlfn.ANCHORARRAY(NN206)))/ AVERAGE(_xlfn.ANCHORARRAY(NN206))),0)</f>
        <v>0</v>
      </c>
      <c r="NV206" cm="1">
        <f t="array" ref="NV206:OE206">SUMIFS($J206:$GG206,$J$2:$GG$2,NV$3:OE$3)</f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 cm="1">
        <f t="array" ref="OF206">IFERROR(MAX((_xlfn.ANCHORARRAY(NV206)-AVERAGE(_xlfn.ANCHORARRAY(NV206)))/ AVERAGE(_xlfn.ANCHORARRAY(NV206))),0)</f>
        <v>0</v>
      </c>
      <c r="OI206" t="str">
        <f t="shared" si="35"/>
        <v/>
      </c>
    </row>
    <row r="207" spans="2:399" x14ac:dyDescent="0.3">
      <c r="B207" s="2" t="str">
        <f t="shared" si="27"/>
        <v>LLC</v>
      </c>
      <c r="C207" s="2" t="str">
        <f t="shared" si="28"/>
        <v>LLC</v>
      </c>
      <c r="D207" s="2" t="str">
        <f t="shared" si="29"/>
        <v>LLC</v>
      </c>
      <c r="E207" s="2" t="str">
        <f t="shared" si="30"/>
        <v/>
      </c>
      <c r="F207" s="2">
        <f t="shared" si="31"/>
        <v>0</v>
      </c>
      <c r="G207" s="2">
        <f t="shared" si="32"/>
        <v>0</v>
      </c>
      <c r="H207" s="2">
        <f t="shared" si="33"/>
        <v>0</v>
      </c>
      <c r="I207" s="2">
        <f t="shared" si="34"/>
        <v>0</v>
      </c>
      <c r="NH207" cm="1">
        <f t="array" ref="NH207:NJ207">SUMIFS($J207:$GG207,$J$1:$GG$1,NH$3:NJ$3)</f>
        <v>0</v>
      </c>
      <c r="NI207">
        <v>0</v>
      </c>
      <c r="NJ207">
        <v>0</v>
      </c>
      <c r="NK207" cm="1">
        <f t="array" ref="NK207">IFERROR(MAX((_xlfn.ANCHORARRAY(NH207)-AVERAGE(_xlfn.ANCHORARRAY(NH207)))/ AVERAGE(_xlfn.ANCHORARRAY(NH207))),0)</f>
        <v>0</v>
      </c>
      <c r="NN207" cm="1">
        <f t="array" ref="NN207:NR207">SUMIFS($J207:$GG207,$J$3:$GG$3,NN$3:NR$3)</f>
        <v>0</v>
      </c>
      <c r="NO207">
        <v>0</v>
      </c>
      <c r="NP207">
        <v>0</v>
      </c>
      <c r="NQ207">
        <v>0</v>
      </c>
      <c r="NR207">
        <v>0</v>
      </c>
      <c r="NS207" cm="1">
        <f t="array" ref="NS207">IFERROR(MAX((_xlfn.ANCHORARRAY(NN207)-AVERAGE(_xlfn.ANCHORARRAY(NN207)))/ AVERAGE(_xlfn.ANCHORARRAY(NN207))),0)</f>
        <v>0</v>
      </c>
      <c r="NV207" cm="1">
        <f t="array" ref="NV207:OE207">SUMIFS($J207:$GG207,$J$2:$GG$2,NV$3:OE$3)</f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 cm="1">
        <f t="array" ref="OF207">IFERROR(MAX((_xlfn.ANCHORARRAY(NV207)-AVERAGE(_xlfn.ANCHORARRAY(NV207)))/ AVERAGE(_xlfn.ANCHORARRAY(NV207))),0)</f>
        <v>0</v>
      </c>
      <c r="OI207" t="str">
        <f t="shared" si="35"/>
        <v/>
      </c>
    </row>
    <row r="208" spans="2:399" x14ac:dyDescent="0.3">
      <c r="B208" s="2" t="str">
        <f t="shared" ref="B208:B214" si="36">IF(C208="NotFound",D208,C208)</f>
        <v>LLC</v>
      </c>
      <c r="C208" s="2" t="str">
        <f t="shared" ref="C208:C214" si="37">IF(H208&gt;1,"NotFound","LLC"&amp;_xlfn.XLOOKUP(MAX(J208:GG208,1),J208:GG208,$J$4:$GG$4,""))</f>
        <v>LLC</v>
      </c>
      <c r="D208" s="2" t="str">
        <f t="shared" ref="D208:D214" si="38">IF(F208&gt;1,"NotFound","LLC"&amp;_xlfn.XLOOKUP(MAX(GI208:NF208,1),GI208:NF208,$GI$4:$NF$4,""))</f>
        <v>LLC</v>
      </c>
      <c r="E208" s="2" t="str">
        <f t="shared" ref="E208:E233" si="39">OI208</f>
        <v/>
      </c>
      <c r="F208" s="2">
        <f t="shared" ref="F208:F214" si="40">COUNTIF(GI208:NF208,G208)</f>
        <v>0</v>
      </c>
      <c r="G208" s="2">
        <f t="shared" ref="G208:G214" si="41">MAX(GI208:NF208)</f>
        <v>0</v>
      </c>
      <c r="H208" s="2">
        <f t="shared" ref="H208:H214" si="42">COUNTIF(J208:GG208,I208)</f>
        <v>0</v>
      </c>
      <c r="I208" s="2">
        <f t="shared" ref="I208:I214" si="43">MAX(J208:GG208)</f>
        <v>0</v>
      </c>
      <c r="NH208" cm="1">
        <f t="array" ref="NH208:NJ208">SUMIFS($J208:$GG208,$J$1:$GG$1,NH$3:NJ$3)</f>
        <v>0</v>
      </c>
      <c r="NI208">
        <v>0</v>
      </c>
      <c r="NJ208">
        <v>0</v>
      </c>
      <c r="NK208" cm="1">
        <f t="array" ref="NK208">IFERROR(MAX((_xlfn.ANCHORARRAY(NH208)-AVERAGE(_xlfn.ANCHORARRAY(NH208)))/ AVERAGE(_xlfn.ANCHORARRAY(NH208))),0)</f>
        <v>0</v>
      </c>
      <c r="NN208" cm="1">
        <f t="array" ref="NN208:NR208">SUMIFS($J208:$GG208,$J$3:$GG$3,NN$3:NR$3)</f>
        <v>0</v>
      </c>
      <c r="NO208">
        <v>0</v>
      </c>
      <c r="NP208">
        <v>0</v>
      </c>
      <c r="NQ208">
        <v>0</v>
      </c>
      <c r="NR208">
        <v>0</v>
      </c>
      <c r="NS208" cm="1">
        <f t="array" ref="NS208">IFERROR(MAX((_xlfn.ANCHORARRAY(NN208)-AVERAGE(_xlfn.ANCHORARRAY(NN208)))/ AVERAGE(_xlfn.ANCHORARRAY(NN208))),0)</f>
        <v>0</v>
      </c>
      <c r="NV208" cm="1">
        <f t="array" ref="NV208:OE208">SUMIFS($J208:$GG208,$J$2:$GG$2,NV$3:OE$3)</f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 cm="1">
        <f t="array" ref="OF208">IFERROR(MAX((_xlfn.ANCHORARRAY(NV208)-AVERAGE(_xlfn.ANCHORARRAY(NV208)))/ AVERAGE(_xlfn.ANCHORARRAY(NV208))),0)</f>
        <v>0</v>
      </c>
      <c r="OI208" t="str">
        <f t="shared" ref="OI208:OI232" si="44">_xlfn.TEXTJOIN(" : ",,NL208,NT208,OG208)</f>
        <v/>
      </c>
    </row>
    <row r="209" spans="2:399" x14ac:dyDescent="0.3">
      <c r="B209" s="2" t="str">
        <f t="shared" si="36"/>
        <v>LLC</v>
      </c>
      <c r="C209" s="2" t="str">
        <f t="shared" si="37"/>
        <v>LLC</v>
      </c>
      <c r="D209" s="2" t="str">
        <f t="shared" si="38"/>
        <v>LLC</v>
      </c>
      <c r="E209" s="2" t="str">
        <f t="shared" si="39"/>
        <v/>
      </c>
      <c r="F209" s="2">
        <f t="shared" si="40"/>
        <v>0</v>
      </c>
      <c r="G209" s="2">
        <f t="shared" si="41"/>
        <v>0</v>
      </c>
      <c r="H209" s="2">
        <f t="shared" si="42"/>
        <v>0</v>
      </c>
      <c r="I209" s="2">
        <f t="shared" si="43"/>
        <v>0</v>
      </c>
      <c r="NH209" cm="1">
        <f t="array" ref="NH209:NJ209">SUMIFS($J209:$GG209,$J$1:$GG$1,NH$3:NJ$3)</f>
        <v>0</v>
      </c>
      <c r="NI209">
        <v>0</v>
      </c>
      <c r="NJ209">
        <v>0</v>
      </c>
      <c r="NK209" cm="1">
        <f t="array" ref="NK209">IFERROR(MAX((_xlfn.ANCHORARRAY(NH209)-AVERAGE(_xlfn.ANCHORARRAY(NH209)))/ AVERAGE(_xlfn.ANCHORARRAY(NH209))),0)</f>
        <v>0</v>
      </c>
      <c r="NN209" cm="1">
        <f t="array" ref="NN209:NR209">SUMIFS($J209:$GG209,$J$3:$GG$3,NN$3:NR$3)</f>
        <v>0</v>
      </c>
      <c r="NO209">
        <v>0</v>
      </c>
      <c r="NP209">
        <v>0</v>
      </c>
      <c r="NQ209">
        <v>0</v>
      </c>
      <c r="NR209">
        <v>0</v>
      </c>
      <c r="NS209" cm="1">
        <f t="array" ref="NS209">IFERROR(MAX((_xlfn.ANCHORARRAY(NN209)-AVERAGE(_xlfn.ANCHORARRAY(NN209)))/ AVERAGE(_xlfn.ANCHORARRAY(NN209))),0)</f>
        <v>0</v>
      </c>
      <c r="NV209" cm="1">
        <f t="array" ref="NV209:OE209">SUMIFS($J209:$GG209,$J$2:$GG$2,NV$3:OE$3)</f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 cm="1">
        <f t="array" ref="OF209">IFERROR(MAX((_xlfn.ANCHORARRAY(NV209)-AVERAGE(_xlfn.ANCHORARRAY(NV209)))/ AVERAGE(_xlfn.ANCHORARRAY(NV209))),0)</f>
        <v>0</v>
      </c>
      <c r="OI209" t="str">
        <f t="shared" si="44"/>
        <v/>
      </c>
    </row>
    <row r="210" spans="2:399" x14ac:dyDescent="0.3">
      <c r="B210" s="2" t="str">
        <f t="shared" si="36"/>
        <v>LLC</v>
      </c>
      <c r="C210" s="2" t="str">
        <f t="shared" si="37"/>
        <v>LLC</v>
      </c>
      <c r="D210" s="2" t="str">
        <f t="shared" si="38"/>
        <v>LLC</v>
      </c>
      <c r="E210" s="2" t="str">
        <f t="shared" si="39"/>
        <v/>
      </c>
      <c r="F210" s="2">
        <f t="shared" si="40"/>
        <v>0</v>
      </c>
      <c r="G210" s="2">
        <f t="shared" si="41"/>
        <v>0</v>
      </c>
      <c r="H210" s="2">
        <f t="shared" si="42"/>
        <v>0</v>
      </c>
      <c r="I210" s="2">
        <f t="shared" si="43"/>
        <v>0</v>
      </c>
      <c r="NH210" cm="1">
        <f t="array" ref="NH210:NJ210">SUMIFS($J210:$GG210,$J$1:$GG$1,NH$3:NJ$3)</f>
        <v>0</v>
      </c>
      <c r="NI210">
        <v>0</v>
      </c>
      <c r="NJ210">
        <v>0</v>
      </c>
      <c r="NK210" cm="1">
        <f t="array" ref="NK210">IFERROR(MAX((_xlfn.ANCHORARRAY(NH210)-AVERAGE(_xlfn.ANCHORARRAY(NH210)))/ AVERAGE(_xlfn.ANCHORARRAY(NH210))),0)</f>
        <v>0</v>
      </c>
      <c r="NN210" cm="1">
        <f t="array" ref="NN210:NR210">SUMIFS($J210:$GG210,$J$3:$GG$3,NN$3:NR$3)</f>
        <v>0</v>
      </c>
      <c r="NO210">
        <v>0</v>
      </c>
      <c r="NP210">
        <v>0</v>
      </c>
      <c r="NQ210">
        <v>0</v>
      </c>
      <c r="NR210">
        <v>0</v>
      </c>
      <c r="NS210" cm="1">
        <f t="array" ref="NS210">IFERROR(MAX((_xlfn.ANCHORARRAY(NN210)-AVERAGE(_xlfn.ANCHORARRAY(NN210)))/ AVERAGE(_xlfn.ANCHORARRAY(NN210))),0)</f>
        <v>0</v>
      </c>
      <c r="NV210" cm="1">
        <f t="array" ref="NV210:OE210">SUMIFS($J210:$GG210,$J$2:$GG$2,NV$3:OE$3)</f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 cm="1">
        <f t="array" ref="OF210">IFERROR(MAX((_xlfn.ANCHORARRAY(NV210)-AVERAGE(_xlfn.ANCHORARRAY(NV210)))/ AVERAGE(_xlfn.ANCHORARRAY(NV210))),0)</f>
        <v>0</v>
      </c>
      <c r="OI210" t="str">
        <f t="shared" si="44"/>
        <v/>
      </c>
    </row>
    <row r="211" spans="2:399" x14ac:dyDescent="0.3">
      <c r="B211" s="2" t="str">
        <f t="shared" si="36"/>
        <v>LLC</v>
      </c>
      <c r="C211" s="2" t="str">
        <f t="shared" si="37"/>
        <v>LLC</v>
      </c>
      <c r="D211" s="2" t="str">
        <f t="shared" si="38"/>
        <v>LLC</v>
      </c>
      <c r="E211" s="2" t="str">
        <f t="shared" si="39"/>
        <v/>
      </c>
      <c r="F211" s="2">
        <f t="shared" si="40"/>
        <v>0</v>
      </c>
      <c r="G211" s="2">
        <f t="shared" si="41"/>
        <v>0</v>
      </c>
      <c r="H211" s="2">
        <f t="shared" si="42"/>
        <v>0</v>
      </c>
      <c r="I211" s="2">
        <f t="shared" si="43"/>
        <v>0</v>
      </c>
      <c r="NH211" cm="1">
        <f t="array" ref="NH211:NJ211">SUMIFS($J211:$GG211,$J$1:$GG$1,NH$3:NJ$3)</f>
        <v>0</v>
      </c>
      <c r="NI211">
        <v>0</v>
      </c>
      <c r="NJ211">
        <v>0</v>
      </c>
      <c r="NK211" cm="1">
        <f t="array" ref="NK211">IFERROR(MAX((_xlfn.ANCHORARRAY(NH211)-AVERAGE(_xlfn.ANCHORARRAY(NH211)))/ AVERAGE(_xlfn.ANCHORARRAY(NH211))),0)</f>
        <v>0</v>
      </c>
      <c r="NN211" cm="1">
        <f t="array" ref="NN211:NR211">SUMIFS($J211:$GG211,$J$3:$GG$3,NN$3:NR$3)</f>
        <v>0</v>
      </c>
      <c r="NO211">
        <v>0</v>
      </c>
      <c r="NP211">
        <v>0</v>
      </c>
      <c r="NQ211">
        <v>0</v>
      </c>
      <c r="NR211">
        <v>0</v>
      </c>
      <c r="NS211" cm="1">
        <f t="array" ref="NS211">IFERROR(MAX((_xlfn.ANCHORARRAY(NN211)-AVERAGE(_xlfn.ANCHORARRAY(NN211)))/ AVERAGE(_xlfn.ANCHORARRAY(NN211))),0)</f>
        <v>0</v>
      </c>
      <c r="NV211" cm="1">
        <f t="array" ref="NV211:OE211">SUMIFS($J211:$GG211,$J$2:$GG$2,NV$3:OE$3)</f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 cm="1">
        <f t="array" ref="OF211">IFERROR(MAX((_xlfn.ANCHORARRAY(NV211)-AVERAGE(_xlfn.ANCHORARRAY(NV211)))/ AVERAGE(_xlfn.ANCHORARRAY(NV211))),0)</f>
        <v>0</v>
      </c>
      <c r="OI211" t="str">
        <f t="shared" si="44"/>
        <v/>
      </c>
    </row>
    <row r="212" spans="2:399" x14ac:dyDescent="0.3">
      <c r="B212" s="2" t="str">
        <f t="shared" si="36"/>
        <v>LLC</v>
      </c>
      <c r="C212" s="2" t="str">
        <f t="shared" si="37"/>
        <v>LLC</v>
      </c>
      <c r="D212" s="2" t="str">
        <f t="shared" si="38"/>
        <v>LLC</v>
      </c>
      <c r="E212" s="2" t="str">
        <f t="shared" si="39"/>
        <v/>
      </c>
      <c r="F212" s="2">
        <f t="shared" si="40"/>
        <v>0</v>
      </c>
      <c r="G212" s="2">
        <f t="shared" si="41"/>
        <v>0</v>
      </c>
      <c r="H212" s="2">
        <f t="shared" si="42"/>
        <v>0</v>
      </c>
      <c r="I212" s="2">
        <f t="shared" si="43"/>
        <v>0</v>
      </c>
      <c r="NH212" cm="1">
        <f t="array" ref="NH212:NJ212">SUMIFS($J212:$GG212,$J$1:$GG$1,NH$3:NJ$3)</f>
        <v>0</v>
      </c>
      <c r="NI212">
        <v>0</v>
      </c>
      <c r="NJ212">
        <v>0</v>
      </c>
      <c r="NK212" cm="1">
        <f t="array" ref="NK212">IFERROR(MAX((_xlfn.ANCHORARRAY(NH212)-AVERAGE(_xlfn.ANCHORARRAY(NH212)))/ AVERAGE(_xlfn.ANCHORARRAY(NH212))),0)</f>
        <v>0</v>
      </c>
      <c r="NN212" cm="1">
        <f t="array" ref="NN212:NR212">SUMIFS($J212:$GG212,$J$3:$GG$3,NN$3:NR$3)</f>
        <v>0</v>
      </c>
      <c r="NO212">
        <v>0</v>
      </c>
      <c r="NP212">
        <v>0</v>
      </c>
      <c r="NQ212">
        <v>0</v>
      </c>
      <c r="NR212">
        <v>0</v>
      </c>
      <c r="NS212" cm="1">
        <f t="array" ref="NS212">IFERROR(MAX((_xlfn.ANCHORARRAY(NN212)-AVERAGE(_xlfn.ANCHORARRAY(NN212)))/ AVERAGE(_xlfn.ANCHORARRAY(NN212))),0)</f>
        <v>0</v>
      </c>
      <c r="NV212" cm="1">
        <f t="array" ref="NV212:OE212">SUMIFS($J212:$GG212,$J$2:$GG$2,NV$3:OE$3)</f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 cm="1">
        <f t="array" ref="OF212">IFERROR(MAX((_xlfn.ANCHORARRAY(NV212)-AVERAGE(_xlfn.ANCHORARRAY(NV212)))/ AVERAGE(_xlfn.ANCHORARRAY(NV212))),0)</f>
        <v>0</v>
      </c>
      <c r="OI212" t="str">
        <f t="shared" si="44"/>
        <v/>
      </c>
    </row>
    <row r="213" spans="2:399" x14ac:dyDescent="0.3">
      <c r="B213" s="2" t="str">
        <f t="shared" si="36"/>
        <v>LLC</v>
      </c>
      <c r="C213" s="2" t="str">
        <f t="shared" si="37"/>
        <v>LLC</v>
      </c>
      <c r="D213" s="2" t="str">
        <f t="shared" si="38"/>
        <v>LLC</v>
      </c>
      <c r="E213" s="2" t="str">
        <f t="shared" si="39"/>
        <v/>
      </c>
      <c r="F213" s="2">
        <f t="shared" si="40"/>
        <v>0</v>
      </c>
      <c r="G213" s="2">
        <f t="shared" si="41"/>
        <v>0</v>
      </c>
      <c r="H213" s="2">
        <f t="shared" si="42"/>
        <v>0</v>
      </c>
      <c r="I213" s="2">
        <f t="shared" si="43"/>
        <v>0</v>
      </c>
      <c r="NH213" cm="1">
        <f t="array" ref="NH213:NJ213">SUMIFS($J213:$GG213,$J$1:$GG$1,NH$3:NJ$3)</f>
        <v>0</v>
      </c>
      <c r="NI213">
        <v>0</v>
      </c>
      <c r="NJ213">
        <v>0</v>
      </c>
      <c r="NK213" cm="1">
        <f t="array" ref="NK213">IFERROR(MAX((_xlfn.ANCHORARRAY(NH213)-AVERAGE(_xlfn.ANCHORARRAY(NH213)))/ AVERAGE(_xlfn.ANCHORARRAY(NH213))),0)</f>
        <v>0</v>
      </c>
      <c r="NN213" cm="1">
        <f t="array" ref="NN213:NR213">SUMIFS($J213:$GG213,$J$3:$GG$3,NN$3:NR$3)</f>
        <v>0</v>
      </c>
      <c r="NO213">
        <v>0</v>
      </c>
      <c r="NP213">
        <v>0</v>
      </c>
      <c r="NQ213">
        <v>0</v>
      </c>
      <c r="NR213">
        <v>0</v>
      </c>
      <c r="NS213" cm="1">
        <f t="array" ref="NS213">IFERROR(MAX((_xlfn.ANCHORARRAY(NN213)-AVERAGE(_xlfn.ANCHORARRAY(NN213)))/ AVERAGE(_xlfn.ANCHORARRAY(NN213))),0)</f>
        <v>0</v>
      </c>
      <c r="NV213" cm="1">
        <f t="array" ref="NV213:OE213">SUMIFS($J213:$GG213,$J$2:$GG$2,NV$3:OE$3)</f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 cm="1">
        <f t="array" ref="OF213">IFERROR(MAX((_xlfn.ANCHORARRAY(NV213)-AVERAGE(_xlfn.ANCHORARRAY(NV213)))/ AVERAGE(_xlfn.ANCHORARRAY(NV213))),0)</f>
        <v>0</v>
      </c>
      <c r="OI213" t="str">
        <f t="shared" si="44"/>
        <v/>
      </c>
    </row>
    <row r="214" spans="2:399" x14ac:dyDescent="0.3">
      <c r="B214" s="2" t="str">
        <f t="shared" si="36"/>
        <v>LLC</v>
      </c>
      <c r="C214" s="2" t="str">
        <f t="shared" si="37"/>
        <v>LLC</v>
      </c>
      <c r="D214" s="2" t="str">
        <f t="shared" si="38"/>
        <v>LLC</v>
      </c>
      <c r="E214" s="2" t="str">
        <f t="shared" si="39"/>
        <v/>
      </c>
      <c r="F214" s="2">
        <f t="shared" si="40"/>
        <v>0</v>
      </c>
      <c r="G214" s="2">
        <f t="shared" si="41"/>
        <v>0</v>
      </c>
      <c r="H214" s="2">
        <f t="shared" si="42"/>
        <v>0</v>
      </c>
      <c r="I214" s="2">
        <f t="shared" si="43"/>
        <v>0</v>
      </c>
      <c r="NH214" cm="1">
        <f t="array" ref="NH214:NJ214">SUMIFS($J214:$GG214,$J$1:$GG$1,NH$3:NJ$3)</f>
        <v>0</v>
      </c>
      <c r="NI214">
        <v>0</v>
      </c>
      <c r="NJ214">
        <v>0</v>
      </c>
      <c r="NK214" cm="1">
        <f t="array" ref="NK214">IFERROR(MAX((_xlfn.ANCHORARRAY(NH214)-AVERAGE(_xlfn.ANCHORARRAY(NH214)))/ AVERAGE(_xlfn.ANCHORARRAY(NH214))),0)</f>
        <v>0</v>
      </c>
      <c r="NN214" cm="1">
        <f t="array" ref="NN214:NR214">SUMIFS($J214:$GG214,$J$3:$GG$3,NN$3:NR$3)</f>
        <v>0</v>
      </c>
      <c r="NO214">
        <v>0</v>
      </c>
      <c r="NP214">
        <v>0</v>
      </c>
      <c r="NQ214">
        <v>0</v>
      </c>
      <c r="NR214">
        <v>0</v>
      </c>
      <c r="NS214" cm="1">
        <f t="array" ref="NS214">IFERROR(MAX((_xlfn.ANCHORARRAY(NN214)-AVERAGE(_xlfn.ANCHORARRAY(NN214)))/ AVERAGE(_xlfn.ANCHORARRAY(NN214))),0)</f>
        <v>0</v>
      </c>
      <c r="NV214" cm="1">
        <f t="array" ref="NV214:OE214">SUMIFS($J214:$GG214,$J$2:$GG$2,NV$3:OE$3)</f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 cm="1">
        <f t="array" ref="OF214">IFERROR(MAX((_xlfn.ANCHORARRAY(NV214)-AVERAGE(_xlfn.ANCHORARRAY(NV214)))/ AVERAGE(_xlfn.ANCHORARRAY(NV214))),0)</f>
        <v>0</v>
      </c>
      <c r="OI214" t="str">
        <f t="shared" si="44"/>
        <v/>
      </c>
    </row>
    <row r="215" spans="2:399" x14ac:dyDescent="0.3">
      <c r="B215" s="2" t="str">
        <f t="shared" ref="B215:B233" si="45">IF(C215="NotFound",D215,C215)</f>
        <v>LLC</v>
      </c>
      <c r="C215" s="2" t="str">
        <f t="shared" ref="C215:C233" si="46">IF(H215&gt;1,"NotFound","LLC"&amp;_xlfn.XLOOKUP(MAX(J215:GG215,1),J215:GG215,$J$4:$GG$4,""))</f>
        <v>LLC</v>
      </c>
      <c r="D215" s="2" t="str">
        <f t="shared" ref="D215:D233" si="47">IF(F215&gt;1,"NotFound","LLC"&amp;_xlfn.XLOOKUP(MAX(GI215:NF215,1),GI215:NF215,$GI$4:$NF$4,""))</f>
        <v>LLC</v>
      </c>
      <c r="E215" s="2" t="str">
        <f t="shared" si="39"/>
        <v/>
      </c>
      <c r="F215" s="2">
        <f t="shared" ref="F215:F233" si="48">COUNTIF(GI215:NF215,G215)</f>
        <v>0</v>
      </c>
      <c r="G215" s="2">
        <f t="shared" ref="G215:G233" si="49">MAX(GI215:NF215)</f>
        <v>0</v>
      </c>
      <c r="H215" s="2">
        <f t="shared" ref="H215:H233" si="50">COUNTIF(J215:GG215,I215)</f>
        <v>0</v>
      </c>
      <c r="I215" s="2">
        <f t="shared" ref="I215:I233" si="51">MAX(J215:GG215)</f>
        <v>0</v>
      </c>
      <c r="NH215" cm="1">
        <f t="array" ref="NH215:NJ215">SUMIFS($J215:$GG215,$J$1:$GG$1,NH$3:NJ$3)</f>
        <v>0</v>
      </c>
      <c r="NI215">
        <v>0</v>
      </c>
      <c r="NJ215">
        <v>0</v>
      </c>
      <c r="NK215" cm="1">
        <f t="array" ref="NK215">IFERROR(MAX((_xlfn.ANCHORARRAY(NH215)-AVERAGE(_xlfn.ANCHORARRAY(NH215)))/ AVERAGE(_xlfn.ANCHORARRAY(NH215))),0)</f>
        <v>0</v>
      </c>
      <c r="NN215" cm="1">
        <f t="array" ref="NN215:NR215">SUMIFS($J215:$GG215,$J$3:$GG$3,NN$3:NR$3)</f>
        <v>0</v>
      </c>
      <c r="NO215">
        <v>0</v>
      </c>
      <c r="NP215">
        <v>0</v>
      </c>
      <c r="NQ215">
        <v>0</v>
      </c>
      <c r="NR215">
        <v>0</v>
      </c>
      <c r="NS215" cm="1">
        <f t="array" ref="NS215">IFERROR(MAX((_xlfn.ANCHORARRAY(NN215)-AVERAGE(_xlfn.ANCHORARRAY(NN215)))/ AVERAGE(_xlfn.ANCHORARRAY(NN215))),0)</f>
        <v>0</v>
      </c>
      <c r="NV215" cm="1">
        <f t="array" ref="NV215:OE215">SUMIFS($J215:$GG215,$J$2:$GG$2,NV$3:OE$3)</f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 cm="1">
        <f t="array" ref="OF215">IFERROR(MAX((_xlfn.ANCHORARRAY(NV215)-AVERAGE(_xlfn.ANCHORARRAY(NV215)))/ AVERAGE(_xlfn.ANCHORARRAY(NV215))),0)</f>
        <v>0</v>
      </c>
      <c r="OI215" t="str">
        <f t="shared" si="44"/>
        <v/>
      </c>
    </row>
    <row r="216" spans="2:399" x14ac:dyDescent="0.3">
      <c r="B216" s="2" t="str">
        <f t="shared" si="45"/>
        <v>LLC</v>
      </c>
      <c r="C216" s="2" t="str">
        <f t="shared" si="46"/>
        <v>LLC</v>
      </c>
      <c r="D216" s="2" t="str">
        <f t="shared" si="47"/>
        <v>LLC</v>
      </c>
      <c r="E216" s="2" t="str">
        <f t="shared" si="39"/>
        <v/>
      </c>
      <c r="F216" s="2">
        <f t="shared" si="48"/>
        <v>0</v>
      </c>
      <c r="G216" s="2">
        <f t="shared" si="49"/>
        <v>0</v>
      </c>
      <c r="H216" s="2">
        <f t="shared" si="50"/>
        <v>0</v>
      </c>
      <c r="I216" s="2">
        <f t="shared" si="51"/>
        <v>0</v>
      </c>
      <c r="NH216" cm="1">
        <f t="array" ref="NH216:NJ216">SUMIFS($J216:$GG216,$J$1:$GG$1,NH$3:NJ$3)</f>
        <v>0</v>
      </c>
      <c r="NI216">
        <v>0</v>
      </c>
      <c r="NJ216">
        <v>0</v>
      </c>
      <c r="NK216" cm="1">
        <f t="array" ref="NK216">IFERROR(MAX((_xlfn.ANCHORARRAY(NH216)-AVERAGE(_xlfn.ANCHORARRAY(NH216)))/ AVERAGE(_xlfn.ANCHORARRAY(NH216))),0)</f>
        <v>0</v>
      </c>
      <c r="NN216" cm="1">
        <f t="array" ref="NN216:NR216">SUMIFS($J216:$GG216,$J$3:$GG$3,NN$3:NR$3)</f>
        <v>0</v>
      </c>
      <c r="NO216">
        <v>0</v>
      </c>
      <c r="NP216">
        <v>0</v>
      </c>
      <c r="NQ216">
        <v>0</v>
      </c>
      <c r="NR216">
        <v>0</v>
      </c>
      <c r="NS216" cm="1">
        <f t="array" ref="NS216">IFERROR(MAX((_xlfn.ANCHORARRAY(NN216)-AVERAGE(_xlfn.ANCHORARRAY(NN216)))/ AVERAGE(_xlfn.ANCHORARRAY(NN216))),0)</f>
        <v>0</v>
      </c>
      <c r="NV216" cm="1">
        <f t="array" ref="NV216:OE216">SUMIFS($J216:$GG216,$J$2:$GG$2,NV$3:OE$3)</f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 cm="1">
        <f t="array" ref="OF216">IFERROR(MAX((_xlfn.ANCHORARRAY(NV216)-AVERAGE(_xlfn.ANCHORARRAY(NV216)))/ AVERAGE(_xlfn.ANCHORARRAY(NV216))),0)</f>
        <v>0</v>
      </c>
      <c r="OI216" t="str">
        <f t="shared" si="44"/>
        <v/>
      </c>
    </row>
    <row r="217" spans="2:399" x14ac:dyDescent="0.3">
      <c r="B217" s="2" t="str">
        <f t="shared" si="45"/>
        <v>LLC</v>
      </c>
      <c r="C217" s="2" t="str">
        <f t="shared" si="46"/>
        <v>LLC</v>
      </c>
      <c r="D217" s="2" t="str">
        <f t="shared" si="47"/>
        <v>LLC</v>
      </c>
      <c r="E217" s="2" t="str">
        <f t="shared" si="39"/>
        <v/>
      </c>
      <c r="F217" s="2">
        <f t="shared" si="48"/>
        <v>0</v>
      </c>
      <c r="G217" s="2">
        <f t="shared" si="49"/>
        <v>0</v>
      </c>
      <c r="H217" s="2">
        <f t="shared" si="50"/>
        <v>0</v>
      </c>
      <c r="I217" s="2">
        <f t="shared" si="51"/>
        <v>0</v>
      </c>
      <c r="NH217" cm="1">
        <f t="array" ref="NH217:NJ217">SUMIFS($J217:$GG217,$J$1:$GG$1,NH$3:NJ$3)</f>
        <v>0</v>
      </c>
      <c r="NI217">
        <v>0</v>
      </c>
      <c r="NJ217">
        <v>0</v>
      </c>
      <c r="NK217" cm="1">
        <f t="array" ref="NK217">IFERROR(MAX((_xlfn.ANCHORARRAY(NH217)-AVERAGE(_xlfn.ANCHORARRAY(NH217)))/ AVERAGE(_xlfn.ANCHORARRAY(NH217))),0)</f>
        <v>0</v>
      </c>
      <c r="NN217" cm="1">
        <f t="array" ref="NN217:NR217">SUMIFS($J217:$GG217,$J$3:$GG$3,NN$3:NR$3)</f>
        <v>0</v>
      </c>
      <c r="NO217">
        <v>0</v>
      </c>
      <c r="NP217">
        <v>0</v>
      </c>
      <c r="NQ217">
        <v>0</v>
      </c>
      <c r="NR217">
        <v>0</v>
      </c>
      <c r="NS217" cm="1">
        <f t="array" ref="NS217">IFERROR(MAX((_xlfn.ANCHORARRAY(NN217)-AVERAGE(_xlfn.ANCHORARRAY(NN217)))/ AVERAGE(_xlfn.ANCHORARRAY(NN217))),0)</f>
        <v>0</v>
      </c>
      <c r="NV217" cm="1">
        <f t="array" ref="NV217:OE217">SUMIFS($J217:$GG217,$J$2:$GG$2,NV$3:OE$3)</f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 cm="1">
        <f t="array" ref="OF217">IFERROR(MAX((_xlfn.ANCHORARRAY(NV217)-AVERAGE(_xlfn.ANCHORARRAY(NV217)))/ AVERAGE(_xlfn.ANCHORARRAY(NV217))),0)</f>
        <v>0</v>
      </c>
      <c r="OI217" t="str">
        <f t="shared" si="44"/>
        <v/>
      </c>
    </row>
    <row r="218" spans="2:399" x14ac:dyDescent="0.3">
      <c r="B218" s="2" t="str">
        <f t="shared" si="45"/>
        <v>LLC</v>
      </c>
      <c r="C218" s="2" t="str">
        <f t="shared" si="46"/>
        <v>LLC</v>
      </c>
      <c r="D218" s="2" t="str">
        <f t="shared" si="47"/>
        <v>LLC</v>
      </c>
      <c r="E218" s="2" t="str">
        <f t="shared" si="39"/>
        <v/>
      </c>
      <c r="F218" s="2">
        <f t="shared" si="48"/>
        <v>0</v>
      </c>
      <c r="G218" s="2">
        <f t="shared" si="49"/>
        <v>0</v>
      </c>
      <c r="H218" s="2">
        <f t="shared" si="50"/>
        <v>0</v>
      </c>
      <c r="I218" s="2">
        <f t="shared" si="51"/>
        <v>0</v>
      </c>
      <c r="NH218" cm="1">
        <f t="array" ref="NH218:NJ218">SUMIFS($J218:$GG218,$J$1:$GG$1,NH$3:NJ$3)</f>
        <v>0</v>
      </c>
      <c r="NI218">
        <v>0</v>
      </c>
      <c r="NJ218">
        <v>0</v>
      </c>
      <c r="NK218" cm="1">
        <f t="array" ref="NK218">IFERROR(MAX((_xlfn.ANCHORARRAY(NH218)-AVERAGE(_xlfn.ANCHORARRAY(NH218)))/ AVERAGE(_xlfn.ANCHORARRAY(NH218))),0)</f>
        <v>0</v>
      </c>
      <c r="NN218" cm="1">
        <f t="array" ref="NN218:NR218">SUMIFS($J218:$GG218,$J$3:$GG$3,NN$3:NR$3)</f>
        <v>0</v>
      </c>
      <c r="NO218">
        <v>0</v>
      </c>
      <c r="NP218">
        <v>0</v>
      </c>
      <c r="NQ218">
        <v>0</v>
      </c>
      <c r="NR218">
        <v>0</v>
      </c>
      <c r="NS218" cm="1">
        <f t="array" ref="NS218">IFERROR(MAX((_xlfn.ANCHORARRAY(NN218)-AVERAGE(_xlfn.ANCHORARRAY(NN218)))/ AVERAGE(_xlfn.ANCHORARRAY(NN218))),0)</f>
        <v>0</v>
      </c>
      <c r="NV218" cm="1">
        <f t="array" ref="NV218:OE218">SUMIFS($J218:$GG218,$J$2:$GG$2,NV$3:OE$3)</f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 cm="1">
        <f t="array" ref="OF218">IFERROR(MAX((_xlfn.ANCHORARRAY(NV218)-AVERAGE(_xlfn.ANCHORARRAY(NV218)))/ AVERAGE(_xlfn.ANCHORARRAY(NV218))),0)</f>
        <v>0</v>
      </c>
      <c r="OI218" t="str">
        <f t="shared" si="44"/>
        <v/>
      </c>
    </row>
    <row r="219" spans="2:399" x14ac:dyDescent="0.3">
      <c r="B219" s="2" t="str">
        <f t="shared" si="45"/>
        <v>LLC</v>
      </c>
      <c r="C219" s="2" t="str">
        <f t="shared" si="46"/>
        <v>LLC</v>
      </c>
      <c r="D219" s="2" t="str">
        <f t="shared" si="47"/>
        <v>LLC</v>
      </c>
      <c r="E219" s="2" t="str">
        <f t="shared" si="39"/>
        <v/>
      </c>
      <c r="F219" s="2">
        <f t="shared" si="48"/>
        <v>0</v>
      </c>
      <c r="G219" s="2">
        <f t="shared" si="49"/>
        <v>0</v>
      </c>
      <c r="H219" s="2">
        <f t="shared" si="50"/>
        <v>0</v>
      </c>
      <c r="I219" s="2">
        <f t="shared" si="51"/>
        <v>0</v>
      </c>
      <c r="NH219" cm="1">
        <f t="array" ref="NH219:NJ219">SUMIFS($J219:$GG219,$J$1:$GG$1,NH$3:NJ$3)</f>
        <v>0</v>
      </c>
      <c r="NI219">
        <v>0</v>
      </c>
      <c r="NJ219">
        <v>0</v>
      </c>
      <c r="NK219" cm="1">
        <f t="array" ref="NK219">IFERROR(MAX((_xlfn.ANCHORARRAY(NH219)-AVERAGE(_xlfn.ANCHORARRAY(NH219)))/ AVERAGE(_xlfn.ANCHORARRAY(NH219))),0)</f>
        <v>0</v>
      </c>
      <c r="NN219" cm="1">
        <f t="array" ref="NN219:NR219">SUMIFS($J219:$GG219,$J$3:$GG$3,NN$3:NR$3)</f>
        <v>0</v>
      </c>
      <c r="NO219">
        <v>0</v>
      </c>
      <c r="NP219">
        <v>0</v>
      </c>
      <c r="NQ219">
        <v>0</v>
      </c>
      <c r="NR219">
        <v>0</v>
      </c>
      <c r="NS219" cm="1">
        <f t="array" ref="NS219">IFERROR(MAX((_xlfn.ANCHORARRAY(NN219)-AVERAGE(_xlfn.ANCHORARRAY(NN219)))/ AVERAGE(_xlfn.ANCHORARRAY(NN219))),0)</f>
        <v>0</v>
      </c>
      <c r="NV219" cm="1">
        <f t="array" ref="NV219:OE219">SUMIFS($J219:$GG219,$J$2:$GG$2,NV$3:OE$3)</f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 cm="1">
        <f t="array" ref="OF219">IFERROR(MAX((_xlfn.ANCHORARRAY(NV219)-AVERAGE(_xlfn.ANCHORARRAY(NV219)))/ AVERAGE(_xlfn.ANCHORARRAY(NV219))),0)</f>
        <v>0</v>
      </c>
      <c r="OI219" t="str">
        <f t="shared" si="44"/>
        <v/>
      </c>
    </row>
    <row r="220" spans="2:399" x14ac:dyDescent="0.3">
      <c r="B220" s="2" t="str">
        <f t="shared" si="45"/>
        <v>LLC</v>
      </c>
      <c r="C220" s="2" t="str">
        <f t="shared" si="46"/>
        <v>LLC</v>
      </c>
      <c r="D220" s="2" t="str">
        <f t="shared" si="47"/>
        <v>LLC</v>
      </c>
      <c r="E220" s="2" t="str">
        <f t="shared" si="39"/>
        <v/>
      </c>
      <c r="F220" s="2">
        <f t="shared" si="48"/>
        <v>0</v>
      </c>
      <c r="G220" s="2">
        <f t="shared" si="49"/>
        <v>0</v>
      </c>
      <c r="H220" s="2">
        <f t="shared" si="50"/>
        <v>0</v>
      </c>
      <c r="I220" s="2">
        <f t="shared" si="51"/>
        <v>0</v>
      </c>
      <c r="NH220" cm="1">
        <f t="array" ref="NH220:NJ220">SUMIFS($J220:$GG220,$J$1:$GG$1,NH$3:NJ$3)</f>
        <v>0</v>
      </c>
      <c r="NI220">
        <v>0</v>
      </c>
      <c r="NJ220">
        <v>0</v>
      </c>
      <c r="NK220" cm="1">
        <f t="array" ref="NK220">IFERROR(MAX((_xlfn.ANCHORARRAY(NH220)-AVERAGE(_xlfn.ANCHORARRAY(NH220)))/ AVERAGE(_xlfn.ANCHORARRAY(NH220))),0)</f>
        <v>0</v>
      </c>
      <c r="NN220" cm="1">
        <f t="array" ref="NN220:NR220">SUMIFS($J220:$GG220,$J$3:$GG$3,NN$3:NR$3)</f>
        <v>0</v>
      </c>
      <c r="NO220">
        <v>0</v>
      </c>
      <c r="NP220">
        <v>0</v>
      </c>
      <c r="NQ220">
        <v>0</v>
      </c>
      <c r="NR220">
        <v>0</v>
      </c>
      <c r="NS220" cm="1">
        <f t="array" ref="NS220">IFERROR(MAX((_xlfn.ANCHORARRAY(NN220)-AVERAGE(_xlfn.ANCHORARRAY(NN220)))/ AVERAGE(_xlfn.ANCHORARRAY(NN220))),0)</f>
        <v>0</v>
      </c>
      <c r="NV220" cm="1">
        <f t="array" ref="NV220:OE220">SUMIFS($J220:$GG220,$J$2:$GG$2,NV$3:OE$3)</f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 cm="1">
        <f t="array" ref="OF220">IFERROR(MAX((_xlfn.ANCHORARRAY(NV220)-AVERAGE(_xlfn.ANCHORARRAY(NV220)))/ AVERAGE(_xlfn.ANCHORARRAY(NV220))),0)</f>
        <v>0</v>
      </c>
      <c r="OI220" t="str">
        <f t="shared" si="44"/>
        <v/>
      </c>
    </row>
    <row r="221" spans="2:399" x14ac:dyDescent="0.3">
      <c r="B221" s="2" t="str">
        <f t="shared" si="45"/>
        <v>LLC</v>
      </c>
      <c r="C221" s="2" t="str">
        <f t="shared" si="46"/>
        <v>LLC</v>
      </c>
      <c r="D221" s="2" t="str">
        <f t="shared" si="47"/>
        <v>LLC</v>
      </c>
      <c r="E221" s="2" t="str">
        <f t="shared" si="39"/>
        <v/>
      </c>
      <c r="F221" s="2">
        <f t="shared" si="48"/>
        <v>0</v>
      </c>
      <c r="G221" s="2">
        <f t="shared" si="49"/>
        <v>0</v>
      </c>
      <c r="H221" s="2">
        <f t="shared" si="50"/>
        <v>0</v>
      </c>
      <c r="I221" s="2">
        <f t="shared" si="51"/>
        <v>0</v>
      </c>
      <c r="NH221" cm="1">
        <f t="array" ref="NH221:NJ221">SUMIFS($J221:$GG221,$J$1:$GG$1,NH$3:NJ$3)</f>
        <v>0</v>
      </c>
      <c r="NI221">
        <v>0</v>
      </c>
      <c r="NJ221">
        <v>0</v>
      </c>
      <c r="NK221" cm="1">
        <f t="array" ref="NK221">IFERROR(MAX((_xlfn.ANCHORARRAY(NH221)-AVERAGE(_xlfn.ANCHORARRAY(NH221)))/ AVERAGE(_xlfn.ANCHORARRAY(NH221))),0)</f>
        <v>0</v>
      </c>
      <c r="NN221" cm="1">
        <f t="array" ref="NN221:NR221">SUMIFS($J221:$GG221,$J$3:$GG$3,NN$3:NR$3)</f>
        <v>0</v>
      </c>
      <c r="NO221">
        <v>0</v>
      </c>
      <c r="NP221">
        <v>0</v>
      </c>
      <c r="NQ221">
        <v>0</v>
      </c>
      <c r="NR221">
        <v>0</v>
      </c>
      <c r="NS221" cm="1">
        <f t="array" ref="NS221">IFERROR(MAX((_xlfn.ANCHORARRAY(NN221)-AVERAGE(_xlfn.ANCHORARRAY(NN221)))/ AVERAGE(_xlfn.ANCHORARRAY(NN221))),0)</f>
        <v>0</v>
      </c>
      <c r="NV221" cm="1">
        <f t="array" ref="NV221:OE221">SUMIFS($J221:$GG221,$J$2:$GG$2,NV$3:OE$3)</f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 cm="1">
        <f t="array" ref="OF221">IFERROR(MAX((_xlfn.ANCHORARRAY(NV221)-AVERAGE(_xlfn.ANCHORARRAY(NV221)))/ AVERAGE(_xlfn.ANCHORARRAY(NV221))),0)</f>
        <v>0</v>
      </c>
      <c r="OI221" t="str">
        <f t="shared" si="44"/>
        <v/>
      </c>
    </row>
    <row r="222" spans="2:399" x14ac:dyDescent="0.3">
      <c r="B222" s="2" t="str">
        <f t="shared" si="45"/>
        <v>LLC</v>
      </c>
      <c r="C222" s="2" t="str">
        <f t="shared" si="46"/>
        <v>LLC</v>
      </c>
      <c r="D222" s="2" t="str">
        <f t="shared" si="47"/>
        <v>LLC</v>
      </c>
      <c r="E222" s="2" t="str">
        <f t="shared" si="39"/>
        <v/>
      </c>
      <c r="F222" s="2">
        <f t="shared" si="48"/>
        <v>0</v>
      </c>
      <c r="G222" s="2">
        <f t="shared" si="49"/>
        <v>0</v>
      </c>
      <c r="H222" s="2">
        <f t="shared" si="50"/>
        <v>0</v>
      </c>
      <c r="I222" s="2">
        <f t="shared" si="51"/>
        <v>0</v>
      </c>
      <c r="NH222" cm="1">
        <f t="array" ref="NH222:NJ222">SUMIFS($J222:$GG222,$J$1:$GG$1,NH$3:NJ$3)</f>
        <v>0</v>
      </c>
      <c r="NI222">
        <v>0</v>
      </c>
      <c r="NJ222">
        <v>0</v>
      </c>
      <c r="NK222" cm="1">
        <f t="array" ref="NK222">IFERROR(MAX((_xlfn.ANCHORARRAY(NH222)-AVERAGE(_xlfn.ANCHORARRAY(NH222)))/ AVERAGE(_xlfn.ANCHORARRAY(NH222))),0)</f>
        <v>0</v>
      </c>
      <c r="NN222" cm="1">
        <f t="array" ref="NN222:NR222">SUMIFS($J222:$GG222,$J$3:$GG$3,NN$3:NR$3)</f>
        <v>0</v>
      </c>
      <c r="NO222">
        <v>0</v>
      </c>
      <c r="NP222">
        <v>0</v>
      </c>
      <c r="NQ222">
        <v>0</v>
      </c>
      <c r="NR222">
        <v>0</v>
      </c>
      <c r="NS222" cm="1">
        <f t="array" ref="NS222">IFERROR(MAX((_xlfn.ANCHORARRAY(NN222)-AVERAGE(_xlfn.ANCHORARRAY(NN222)))/ AVERAGE(_xlfn.ANCHORARRAY(NN222))),0)</f>
        <v>0</v>
      </c>
      <c r="NV222" cm="1">
        <f t="array" ref="NV222:OE222">SUMIFS($J222:$GG222,$J$2:$GG$2,NV$3:OE$3)</f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 cm="1">
        <f t="array" ref="OF222">IFERROR(MAX((_xlfn.ANCHORARRAY(NV222)-AVERAGE(_xlfn.ANCHORARRAY(NV222)))/ AVERAGE(_xlfn.ANCHORARRAY(NV222))),0)</f>
        <v>0</v>
      </c>
      <c r="OI222" t="str">
        <f t="shared" si="44"/>
        <v/>
      </c>
    </row>
    <row r="223" spans="2:399" x14ac:dyDescent="0.3">
      <c r="B223" s="2" t="str">
        <f t="shared" si="45"/>
        <v>LLC</v>
      </c>
      <c r="C223" s="2" t="str">
        <f t="shared" si="46"/>
        <v>LLC</v>
      </c>
      <c r="D223" s="2" t="str">
        <f t="shared" si="47"/>
        <v>LLC</v>
      </c>
      <c r="E223" s="2" t="str">
        <f t="shared" si="39"/>
        <v/>
      </c>
      <c r="F223" s="2">
        <f t="shared" si="48"/>
        <v>0</v>
      </c>
      <c r="G223" s="2">
        <f t="shared" si="49"/>
        <v>0</v>
      </c>
      <c r="H223" s="2">
        <f t="shared" si="50"/>
        <v>0</v>
      </c>
      <c r="I223" s="2">
        <f t="shared" si="51"/>
        <v>0</v>
      </c>
      <c r="NH223" cm="1">
        <f t="array" ref="NH223:NJ223">SUMIFS($J223:$GG223,$J$1:$GG$1,NH$3:NJ$3)</f>
        <v>0</v>
      </c>
      <c r="NI223">
        <v>0</v>
      </c>
      <c r="NJ223">
        <v>0</v>
      </c>
      <c r="NK223" cm="1">
        <f t="array" ref="NK223">IFERROR(MAX((_xlfn.ANCHORARRAY(NH223)-AVERAGE(_xlfn.ANCHORARRAY(NH223)))/ AVERAGE(_xlfn.ANCHORARRAY(NH223))),0)</f>
        <v>0</v>
      </c>
      <c r="NN223" cm="1">
        <f t="array" ref="NN223:NR223">SUMIFS($J223:$GG223,$J$3:$GG$3,NN$3:NR$3)</f>
        <v>0</v>
      </c>
      <c r="NO223">
        <v>0</v>
      </c>
      <c r="NP223">
        <v>0</v>
      </c>
      <c r="NQ223">
        <v>0</v>
      </c>
      <c r="NR223">
        <v>0</v>
      </c>
      <c r="NS223" cm="1">
        <f t="array" ref="NS223">IFERROR(MAX((_xlfn.ANCHORARRAY(NN223)-AVERAGE(_xlfn.ANCHORARRAY(NN223)))/ AVERAGE(_xlfn.ANCHORARRAY(NN223))),0)</f>
        <v>0</v>
      </c>
      <c r="NV223" cm="1">
        <f t="array" ref="NV223:OE223">SUMIFS($J223:$GG223,$J$2:$GG$2,NV$3:OE$3)</f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 cm="1">
        <f t="array" ref="OF223">IFERROR(MAX((_xlfn.ANCHORARRAY(NV223)-AVERAGE(_xlfn.ANCHORARRAY(NV223)))/ AVERAGE(_xlfn.ANCHORARRAY(NV223))),0)</f>
        <v>0</v>
      </c>
      <c r="OI223" t="str">
        <f t="shared" si="44"/>
        <v/>
      </c>
    </row>
    <row r="224" spans="2:399" x14ac:dyDescent="0.3">
      <c r="B224" s="2" t="str">
        <f t="shared" si="45"/>
        <v>LLC</v>
      </c>
      <c r="C224" s="2" t="str">
        <f t="shared" si="46"/>
        <v>LLC</v>
      </c>
      <c r="D224" s="2" t="str">
        <f t="shared" si="47"/>
        <v>LLC</v>
      </c>
      <c r="E224" s="2" t="str">
        <f t="shared" si="39"/>
        <v/>
      </c>
      <c r="F224" s="2">
        <f t="shared" si="48"/>
        <v>0</v>
      </c>
      <c r="G224" s="2">
        <f t="shared" si="49"/>
        <v>0</v>
      </c>
      <c r="H224" s="2">
        <f t="shared" si="50"/>
        <v>0</v>
      </c>
      <c r="I224" s="2">
        <f t="shared" si="51"/>
        <v>0</v>
      </c>
      <c r="NH224" cm="1">
        <f t="array" ref="NH224:NJ224">SUMIFS($J224:$GG224,$J$1:$GG$1,NH$3:NJ$3)</f>
        <v>0</v>
      </c>
      <c r="NI224">
        <v>0</v>
      </c>
      <c r="NJ224">
        <v>0</v>
      </c>
      <c r="NK224" cm="1">
        <f t="array" ref="NK224">IFERROR(MAX((_xlfn.ANCHORARRAY(NH224)-AVERAGE(_xlfn.ANCHORARRAY(NH224)))/ AVERAGE(_xlfn.ANCHORARRAY(NH224))),0)</f>
        <v>0</v>
      </c>
      <c r="NN224" cm="1">
        <f t="array" ref="NN224:NR224">SUMIFS($J224:$GG224,$J$3:$GG$3,NN$3:NR$3)</f>
        <v>0</v>
      </c>
      <c r="NO224">
        <v>0</v>
      </c>
      <c r="NP224">
        <v>0</v>
      </c>
      <c r="NQ224">
        <v>0</v>
      </c>
      <c r="NR224">
        <v>0</v>
      </c>
      <c r="NS224" cm="1">
        <f t="array" ref="NS224">IFERROR(MAX((_xlfn.ANCHORARRAY(NN224)-AVERAGE(_xlfn.ANCHORARRAY(NN224)))/ AVERAGE(_xlfn.ANCHORARRAY(NN224))),0)</f>
        <v>0</v>
      </c>
      <c r="NV224" cm="1">
        <f t="array" ref="NV224:OE224">SUMIFS($J224:$GG224,$J$2:$GG$2,NV$3:OE$3)</f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 cm="1">
        <f t="array" ref="OF224">IFERROR(MAX((_xlfn.ANCHORARRAY(NV224)-AVERAGE(_xlfn.ANCHORARRAY(NV224)))/ AVERAGE(_xlfn.ANCHORARRAY(NV224))),0)</f>
        <v>0</v>
      </c>
      <c r="OI224" t="str">
        <f t="shared" si="44"/>
        <v/>
      </c>
    </row>
    <row r="225" spans="2:399" x14ac:dyDescent="0.3">
      <c r="B225" s="2" t="str">
        <f t="shared" si="45"/>
        <v>LLC</v>
      </c>
      <c r="C225" s="2" t="str">
        <f t="shared" si="46"/>
        <v>LLC</v>
      </c>
      <c r="D225" s="2" t="str">
        <f t="shared" si="47"/>
        <v>LLC</v>
      </c>
      <c r="E225" s="2" t="str">
        <f t="shared" si="39"/>
        <v/>
      </c>
      <c r="F225" s="2">
        <f t="shared" si="48"/>
        <v>0</v>
      </c>
      <c r="G225" s="2">
        <f t="shared" si="49"/>
        <v>0</v>
      </c>
      <c r="H225" s="2">
        <f t="shared" si="50"/>
        <v>0</v>
      </c>
      <c r="I225" s="2">
        <f t="shared" si="51"/>
        <v>0</v>
      </c>
      <c r="NH225" cm="1">
        <f t="array" ref="NH225:NJ225">SUMIFS($J225:$GG225,$J$1:$GG$1,NH$3:NJ$3)</f>
        <v>0</v>
      </c>
      <c r="NI225">
        <v>0</v>
      </c>
      <c r="NJ225">
        <v>0</v>
      </c>
      <c r="NK225" cm="1">
        <f t="array" ref="NK225">IFERROR(MAX((_xlfn.ANCHORARRAY(NH225)-AVERAGE(_xlfn.ANCHORARRAY(NH225)))/ AVERAGE(_xlfn.ANCHORARRAY(NH225))),0)</f>
        <v>0</v>
      </c>
      <c r="NN225" cm="1">
        <f t="array" ref="NN225:NR225">SUMIFS($J225:$GG225,$J$3:$GG$3,NN$3:NR$3)</f>
        <v>0</v>
      </c>
      <c r="NO225">
        <v>0</v>
      </c>
      <c r="NP225">
        <v>0</v>
      </c>
      <c r="NQ225">
        <v>0</v>
      </c>
      <c r="NR225">
        <v>0</v>
      </c>
      <c r="NS225" cm="1">
        <f t="array" ref="NS225">IFERROR(MAX((_xlfn.ANCHORARRAY(NN225)-AVERAGE(_xlfn.ANCHORARRAY(NN225)))/ AVERAGE(_xlfn.ANCHORARRAY(NN225))),0)</f>
        <v>0</v>
      </c>
      <c r="NV225" cm="1">
        <f t="array" ref="NV225:OE225">SUMIFS($J225:$GG225,$J$2:$GG$2,NV$3:OE$3)</f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 cm="1">
        <f t="array" ref="OF225">IFERROR(MAX((_xlfn.ANCHORARRAY(NV225)-AVERAGE(_xlfn.ANCHORARRAY(NV225)))/ AVERAGE(_xlfn.ANCHORARRAY(NV225))),0)</f>
        <v>0</v>
      </c>
      <c r="OI225" t="str">
        <f t="shared" si="44"/>
        <v/>
      </c>
    </row>
    <row r="226" spans="2:399" x14ac:dyDescent="0.3">
      <c r="B226" s="2" t="str">
        <f t="shared" si="45"/>
        <v>LLC</v>
      </c>
      <c r="C226" s="2" t="str">
        <f t="shared" si="46"/>
        <v>LLC</v>
      </c>
      <c r="D226" s="2" t="str">
        <f t="shared" si="47"/>
        <v>LLC</v>
      </c>
      <c r="E226" s="2" t="str">
        <f t="shared" si="39"/>
        <v/>
      </c>
      <c r="F226" s="2">
        <f t="shared" si="48"/>
        <v>0</v>
      </c>
      <c r="G226" s="2">
        <f t="shared" si="49"/>
        <v>0</v>
      </c>
      <c r="H226" s="2">
        <f t="shared" si="50"/>
        <v>0</v>
      </c>
      <c r="I226" s="2">
        <f t="shared" si="51"/>
        <v>0</v>
      </c>
      <c r="NH226" cm="1">
        <f t="array" ref="NH226:NJ226">SUMIFS($J226:$GG226,$J$1:$GG$1,NH$3:NJ$3)</f>
        <v>0</v>
      </c>
      <c r="NI226">
        <v>0</v>
      </c>
      <c r="NJ226">
        <v>0</v>
      </c>
      <c r="NK226" cm="1">
        <f t="array" ref="NK226">IFERROR(MAX((_xlfn.ANCHORARRAY(NH226)-AVERAGE(_xlfn.ANCHORARRAY(NH226)))/ AVERAGE(_xlfn.ANCHORARRAY(NH226))),0)</f>
        <v>0</v>
      </c>
      <c r="NN226" cm="1">
        <f t="array" ref="NN226:NR226">SUMIFS($J226:$GG226,$J$3:$GG$3,NN$3:NR$3)</f>
        <v>0</v>
      </c>
      <c r="NO226">
        <v>0</v>
      </c>
      <c r="NP226">
        <v>0</v>
      </c>
      <c r="NQ226">
        <v>0</v>
      </c>
      <c r="NR226">
        <v>0</v>
      </c>
      <c r="NS226" cm="1">
        <f t="array" ref="NS226">IFERROR(MAX((_xlfn.ANCHORARRAY(NN226)-AVERAGE(_xlfn.ANCHORARRAY(NN226)))/ AVERAGE(_xlfn.ANCHORARRAY(NN226))),0)</f>
        <v>0</v>
      </c>
      <c r="NV226" cm="1">
        <f t="array" ref="NV226:OE226">SUMIFS($J226:$GG226,$J$2:$GG$2,NV$3:OE$3)</f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 cm="1">
        <f t="array" ref="OF226">IFERROR(MAX((_xlfn.ANCHORARRAY(NV226)-AVERAGE(_xlfn.ANCHORARRAY(NV226)))/ AVERAGE(_xlfn.ANCHORARRAY(NV226))),0)</f>
        <v>0</v>
      </c>
      <c r="OI226" t="str">
        <f t="shared" si="44"/>
        <v/>
      </c>
    </row>
    <row r="227" spans="2:399" x14ac:dyDescent="0.3">
      <c r="B227" s="2" t="str">
        <f t="shared" si="45"/>
        <v>LLC</v>
      </c>
      <c r="C227" s="2" t="str">
        <f t="shared" si="46"/>
        <v>LLC</v>
      </c>
      <c r="D227" s="2" t="str">
        <f t="shared" si="47"/>
        <v>LLC</v>
      </c>
      <c r="E227" s="2" t="str">
        <f t="shared" si="39"/>
        <v/>
      </c>
      <c r="F227" s="2">
        <f t="shared" si="48"/>
        <v>0</v>
      </c>
      <c r="G227" s="2">
        <f t="shared" si="49"/>
        <v>0</v>
      </c>
      <c r="H227" s="2">
        <f t="shared" si="50"/>
        <v>0</v>
      </c>
      <c r="I227" s="2">
        <f t="shared" si="51"/>
        <v>0</v>
      </c>
      <c r="NH227" cm="1">
        <f t="array" ref="NH227:NJ227">SUMIFS($J227:$GG227,$J$1:$GG$1,NH$3:NJ$3)</f>
        <v>0</v>
      </c>
      <c r="NI227">
        <v>0</v>
      </c>
      <c r="NJ227">
        <v>0</v>
      </c>
      <c r="NK227" cm="1">
        <f t="array" ref="NK227">IFERROR(MAX((_xlfn.ANCHORARRAY(NH227)-AVERAGE(_xlfn.ANCHORARRAY(NH227)))/ AVERAGE(_xlfn.ANCHORARRAY(NH227))),0)</f>
        <v>0</v>
      </c>
      <c r="NN227" cm="1">
        <f t="array" ref="NN227:NR227">SUMIFS($J227:$GG227,$J$3:$GG$3,NN$3:NR$3)</f>
        <v>0</v>
      </c>
      <c r="NO227">
        <v>0</v>
      </c>
      <c r="NP227">
        <v>0</v>
      </c>
      <c r="NQ227">
        <v>0</v>
      </c>
      <c r="NR227">
        <v>0</v>
      </c>
      <c r="NS227" cm="1">
        <f t="array" ref="NS227">IFERROR(MAX((_xlfn.ANCHORARRAY(NN227)-AVERAGE(_xlfn.ANCHORARRAY(NN227)))/ AVERAGE(_xlfn.ANCHORARRAY(NN227))),0)</f>
        <v>0</v>
      </c>
      <c r="NV227" cm="1">
        <f t="array" ref="NV227:OE227">SUMIFS($J227:$GG227,$J$2:$GG$2,NV$3:OE$3)</f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 cm="1">
        <f t="array" ref="OF227">IFERROR(MAX((_xlfn.ANCHORARRAY(NV227)-AVERAGE(_xlfn.ANCHORARRAY(NV227)))/ AVERAGE(_xlfn.ANCHORARRAY(NV227))),0)</f>
        <v>0</v>
      </c>
      <c r="OI227" t="str">
        <f t="shared" si="44"/>
        <v/>
      </c>
    </row>
    <row r="228" spans="2:399" x14ac:dyDescent="0.3">
      <c r="B228" s="2" t="str">
        <f t="shared" si="45"/>
        <v>LLC</v>
      </c>
      <c r="C228" s="2" t="str">
        <f t="shared" si="46"/>
        <v>LLC</v>
      </c>
      <c r="D228" s="2" t="str">
        <f t="shared" si="47"/>
        <v>LLC</v>
      </c>
      <c r="E228" s="2" t="str">
        <f t="shared" si="39"/>
        <v/>
      </c>
      <c r="F228" s="2">
        <f t="shared" si="48"/>
        <v>0</v>
      </c>
      <c r="G228" s="2">
        <f t="shared" si="49"/>
        <v>0</v>
      </c>
      <c r="H228" s="2">
        <f t="shared" si="50"/>
        <v>0</v>
      </c>
      <c r="I228" s="2">
        <f t="shared" si="51"/>
        <v>0</v>
      </c>
      <c r="NH228" cm="1">
        <f t="array" ref="NH228:NJ228">SUMIFS($J228:$GG228,$J$1:$GG$1,NH$3:NJ$3)</f>
        <v>0</v>
      </c>
      <c r="NI228">
        <v>0</v>
      </c>
      <c r="NJ228">
        <v>0</v>
      </c>
      <c r="NK228" cm="1">
        <f t="array" ref="NK228">IFERROR(MAX((_xlfn.ANCHORARRAY(NH228)-AVERAGE(_xlfn.ANCHORARRAY(NH228)))/ AVERAGE(_xlfn.ANCHORARRAY(NH228))),0)</f>
        <v>0</v>
      </c>
      <c r="NN228" cm="1">
        <f t="array" ref="NN228:NR228">SUMIFS($J228:$GG228,$J$3:$GG$3,NN$3:NR$3)</f>
        <v>0</v>
      </c>
      <c r="NO228">
        <v>0</v>
      </c>
      <c r="NP228">
        <v>0</v>
      </c>
      <c r="NQ228">
        <v>0</v>
      </c>
      <c r="NR228">
        <v>0</v>
      </c>
      <c r="NS228" cm="1">
        <f t="array" ref="NS228">IFERROR(MAX((_xlfn.ANCHORARRAY(NN228)-AVERAGE(_xlfn.ANCHORARRAY(NN228)))/ AVERAGE(_xlfn.ANCHORARRAY(NN228))),0)</f>
        <v>0</v>
      </c>
      <c r="NV228" cm="1">
        <f t="array" ref="NV228:OE228">SUMIFS($J228:$GG228,$J$2:$GG$2,NV$3:OE$3)</f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 cm="1">
        <f t="array" ref="OF228">IFERROR(MAX((_xlfn.ANCHORARRAY(NV228)-AVERAGE(_xlfn.ANCHORARRAY(NV228)))/ AVERAGE(_xlfn.ANCHORARRAY(NV228))),0)</f>
        <v>0</v>
      </c>
      <c r="OI228" t="str">
        <f t="shared" si="44"/>
        <v/>
      </c>
    </row>
    <row r="229" spans="2:399" x14ac:dyDescent="0.3">
      <c r="B229" s="2" t="str">
        <f t="shared" si="45"/>
        <v>LLC</v>
      </c>
      <c r="C229" s="2" t="str">
        <f t="shared" si="46"/>
        <v>LLC</v>
      </c>
      <c r="D229" s="2" t="str">
        <f t="shared" si="47"/>
        <v>LLC</v>
      </c>
      <c r="E229" s="2" t="str">
        <f t="shared" si="39"/>
        <v/>
      </c>
      <c r="F229" s="2">
        <f t="shared" si="48"/>
        <v>0</v>
      </c>
      <c r="G229" s="2">
        <f t="shared" si="49"/>
        <v>0</v>
      </c>
      <c r="H229" s="2">
        <f t="shared" si="50"/>
        <v>0</v>
      </c>
      <c r="I229" s="2">
        <f t="shared" si="51"/>
        <v>0</v>
      </c>
      <c r="NH229" cm="1">
        <f t="array" ref="NH229:NJ229">SUMIFS($J229:$GG229,$J$1:$GG$1,NH$3:NJ$3)</f>
        <v>0</v>
      </c>
      <c r="NI229">
        <v>0</v>
      </c>
      <c r="NJ229">
        <v>0</v>
      </c>
      <c r="NK229" cm="1">
        <f t="array" ref="NK229">IFERROR(MAX((_xlfn.ANCHORARRAY(NH229)-AVERAGE(_xlfn.ANCHORARRAY(NH229)))/ AVERAGE(_xlfn.ANCHORARRAY(NH229))),0)</f>
        <v>0</v>
      </c>
      <c r="NN229" cm="1">
        <f t="array" ref="NN229:NR229">SUMIFS($J229:$GG229,$J$3:$GG$3,NN$3:NR$3)</f>
        <v>0</v>
      </c>
      <c r="NO229">
        <v>0</v>
      </c>
      <c r="NP229">
        <v>0</v>
      </c>
      <c r="NQ229">
        <v>0</v>
      </c>
      <c r="NR229">
        <v>0</v>
      </c>
      <c r="NS229" cm="1">
        <f t="array" ref="NS229">IFERROR(MAX((_xlfn.ANCHORARRAY(NN229)-AVERAGE(_xlfn.ANCHORARRAY(NN229)))/ AVERAGE(_xlfn.ANCHORARRAY(NN229))),0)</f>
        <v>0</v>
      </c>
      <c r="NV229" cm="1">
        <f t="array" ref="NV229:OE229">SUMIFS($J229:$GG229,$J$2:$GG$2,NV$3:OE$3)</f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 cm="1">
        <f t="array" ref="OF229">IFERROR(MAX((_xlfn.ANCHORARRAY(NV229)-AVERAGE(_xlfn.ANCHORARRAY(NV229)))/ AVERAGE(_xlfn.ANCHORARRAY(NV229))),0)</f>
        <v>0</v>
      </c>
      <c r="OI229" t="str">
        <f t="shared" si="44"/>
        <v/>
      </c>
    </row>
    <row r="230" spans="2:399" x14ac:dyDescent="0.3">
      <c r="B230" s="2" t="str">
        <f t="shared" si="45"/>
        <v>LLC</v>
      </c>
      <c r="C230" s="2" t="str">
        <f t="shared" si="46"/>
        <v>LLC</v>
      </c>
      <c r="D230" s="2" t="str">
        <f t="shared" si="47"/>
        <v>LLC</v>
      </c>
      <c r="E230" s="2" t="str">
        <f t="shared" si="39"/>
        <v/>
      </c>
      <c r="F230" s="2">
        <f t="shared" si="48"/>
        <v>0</v>
      </c>
      <c r="G230" s="2">
        <f t="shared" si="49"/>
        <v>0</v>
      </c>
      <c r="H230" s="2">
        <f t="shared" si="50"/>
        <v>0</v>
      </c>
      <c r="I230" s="2">
        <f t="shared" si="51"/>
        <v>0</v>
      </c>
      <c r="NH230" cm="1">
        <f t="array" ref="NH230:NJ230">SUMIFS($J230:$GG230,$J$1:$GG$1,NH$3:NJ$3)</f>
        <v>0</v>
      </c>
      <c r="NI230">
        <v>0</v>
      </c>
      <c r="NJ230">
        <v>0</v>
      </c>
      <c r="NK230" cm="1">
        <f t="array" ref="NK230">IFERROR(MAX((_xlfn.ANCHORARRAY(NH230)-AVERAGE(_xlfn.ANCHORARRAY(NH230)))/ AVERAGE(_xlfn.ANCHORARRAY(NH230))),0)</f>
        <v>0</v>
      </c>
      <c r="NN230" cm="1">
        <f t="array" ref="NN230:NR230">SUMIFS($J230:$GG230,$J$3:$GG$3,NN$3:NR$3)</f>
        <v>0</v>
      </c>
      <c r="NO230">
        <v>0</v>
      </c>
      <c r="NP230">
        <v>0</v>
      </c>
      <c r="NQ230">
        <v>0</v>
      </c>
      <c r="NR230">
        <v>0</v>
      </c>
      <c r="NS230" cm="1">
        <f t="array" ref="NS230">IFERROR(MAX((_xlfn.ANCHORARRAY(NN230)-AVERAGE(_xlfn.ANCHORARRAY(NN230)))/ AVERAGE(_xlfn.ANCHORARRAY(NN230))),0)</f>
        <v>0</v>
      </c>
      <c r="NV230" cm="1">
        <f t="array" ref="NV230:OE230">SUMIFS($J230:$GG230,$J$2:$GG$2,NV$3:OE$3)</f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 cm="1">
        <f t="array" ref="OF230">IFERROR(MAX((_xlfn.ANCHORARRAY(NV230)-AVERAGE(_xlfn.ANCHORARRAY(NV230)))/ AVERAGE(_xlfn.ANCHORARRAY(NV230))),0)</f>
        <v>0</v>
      </c>
      <c r="OI230" t="str">
        <f t="shared" si="44"/>
        <v/>
      </c>
    </row>
    <row r="231" spans="2:399" x14ac:dyDescent="0.3">
      <c r="B231" s="2" t="str">
        <f t="shared" si="45"/>
        <v>LLC</v>
      </c>
      <c r="C231" s="2" t="str">
        <f t="shared" si="46"/>
        <v>LLC</v>
      </c>
      <c r="D231" s="2" t="str">
        <f t="shared" si="47"/>
        <v>LLC</v>
      </c>
      <c r="E231" s="2" t="str">
        <f t="shared" si="39"/>
        <v/>
      </c>
      <c r="F231" s="2">
        <f t="shared" si="48"/>
        <v>0</v>
      </c>
      <c r="G231" s="2">
        <f t="shared" si="49"/>
        <v>0</v>
      </c>
      <c r="H231" s="2">
        <f t="shared" si="50"/>
        <v>0</v>
      </c>
      <c r="I231" s="2">
        <f t="shared" si="51"/>
        <v>0</v>
      </c>
      <c r="NH231" cm="1">
        <f t="array" ref="NH231:NJ231">SUMIFS($J231:$GG231,$J$1:$GG$1,NH$3:NJ$3)</f>
        <v>0</v>
      </c>
      <c r="NI231">
        <v>0</v>
      </c>
      <c r="NJ231">
        <v>0</v>
      </c>
      <c r="NK231" cm="1">
        <f t="array" ref="NK231">IFERROR(MAX((_xlfn.ANCHORARRAY(NH231)-AVERAGE(_xlfn.ANCHORARRAY(NH231)))/ AVERAGE(_xlfn.ANCHORARRAY(NH231))),0)</f>
        <v>0</v>
      </c>
      <c r="NN231" cm="1">
        <f t="array" ref="NN231:NR231">SUMIFS($J231:$GG231,$J$3:$GG$3,NN$3:NR$3)</f>
        <v>0</v>
      </c>
      <c r="NO231">
        <v>0</v>
      </c>
      <c r="NP231">
        <v>0</v>
      </c>
      <c r="NQ231">
        <v>0</v>
      </c>
      <c r="NR231">
        <v>0</v>
      </c>
      <c r="NS231" cm="1">
        <f t="array" ref="NS231">IFERROR(MAX((_xlfn.ANCHORARRAY(NN231)-AVERAGE(_xlfn.ANCHORARRAY(NN231)))/ AVERAGE(_xlfn.ANCHORARRAY(NN231))),0)</f>
        <v>0</v>
      </c>
      <c r="NV231" cm="1">
        <f t="array" ref="NV231:OE231">SUMIFS($J231:$GG231,$J$2:$GG$2,NV$3:OE$3)</f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 cm="1">
        <f t="array" ref="OF231">IFERROR(MAX((_xlfn.ANCHORARRAY(NV231)-AVERAGE(_xlfn.ANCHORARRAY(NV231)))/ AVERAGE(_xlfn.ANCHORARRAY(NV231))),0)</f>
        <v>0</v>
      </c>
      <c r="OI231" t="str">
        <f t="shared" si="44"/>
        <v/>
      </c>
    </row>
    <row r="232" spans="2:399" x14ac:dyDescent="0.3">
      <c r="B232" s="2" t="str">
        <f t="shared" si="45"/>
        <v>LLC</v>
      </c>
      <c r="C232" s="2" t="str">
        <f t="shared" si="46"/>
        <v>LLC</v>
      </c>
      <c r="D232" s="2" t="str">
        <f t="shared" si="47"/>
        <v>LLC</v>
      </c>
      <c r="E232" s="2" t="str">
        <f t="shared" si="39"/>
        <v/>
      </c>
      <c r="F232" s="2">
        <f t="shared" si="48"/>
        <v>0</v>
      </c>
      <c r="G232" s="2">
        <f t="shared" si="49"/>
        <v>0</v>
      </c>
      <c r="H232" s="2">
        <f t="shared" si="50"/>
        <v>0</v>
      </c>
      <c r="I232" s="2">
        <f t="shared" si="51"/>
        <v>0</v>
      </c>
      <c r="NH232" cm="1">
        <f t="array" ref="NH232:NJ232">SUMIFS($J232:$GG232,$J$1:$GG$1,NH$3:NJ$3)</f>
        <v>0</v>
      </c>
      <c r="NI232">
        <v>0</v>
      </c>
      <c r="NJ232">
        <v>0</v>
      </c>
      <c r="NK232" cm="1">
        <f t="array" ref="NK232">IFERROR(MAX((_xlfn.ANCHORARRAY(NH232)-AVERAGE(_xlfn.ANCHORARRAY(NH232)))/ AVERAGE(_xlfn.ANCHORARRAY(NH232))),0)</f>
        <v>0</v>
      </c>
      <c r="NN232" cm="1">
        <f t="array" ref="NN232:NR232">SUMIFS($J232:$GG232,$J$3:$GG$3,NN$3:NR$3)</f>
        <v>0</v>
      </c>
      <c r="NO232">
        <v>0</v>
      </c>
      <c r="NP232">
        <v>0</v>
      </c>
      <c r="NQ232">
        <v>0</v>
      </c>
      <c r="NR232">
        <v>0</v>
      </c>
      <c r="NS232" cm="1">
        <f t="array" ref="NS232">IFERROR(MAX((_xlfn.ANCHORARRAY(NN232)-AVERAGE(_xlfn.ANCHORARRAY(NN232)))/ AVERAGE(_xlfn.ANCHORARRAY(NN232))),0)</f>
        <v>0</v>
      </c>
      <c r="NV232" cm="1">
        <f t="array" ref="NV232:OE232">SUMIFS($J232:$GG232,$J$2:$GG$2,NV$3:OE$3)</f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 cm="1">
        <f t="array" ref="OF232">IFERROR(MAX((_xlfn.ANCHORARRAY(NV232)-AVERAGE(_xlfn.ANCHORARRAY(NV232)))/ AVERAGE(_xlfn.ANCHORARRAY(NV232))),0)</f>
        <v>0</v>
      </c>
      <c r="OI232" t="str">
        <f t="shared" si="44"/>
        <v/>
      </c>
    </row>
    <row r="233" spans="2:399" x14ac:dyDescent="0.3">
      <c r="B233" s="2" t="str">
        <f t="shared" si="45"/>
        <v>LLC</v>
      </c>
      <c r="C233" s="2" t="str">
        <f t="shared" si="46"/>
        <v>LLC</v>
      </c>
      <c r="D233" s="2" t="str">
        <f t="shared" si="47"/>
        <v>LLC</v>
      </c>
      <c r="E233" s="2" t="str">
        <f t="shared" si="39"/>
        <v/>
      </c>
      <c r="F233" s="2">
        <f t="shared" si="48"/>
        <v>0</v>
      </c>
      <c r="G233" s="2">
        <f t="shared" si="49"/>
        <v>0</v>
      </c>
      <c r="H233" s="2">
        <f t="shared" si="50"/>
        <v>0</v>
      </c>
      <c r="I233" s="2">
        <f t="shared" si="51"/>
        <v>0</v>
      </c>
      <c r="NH233" cm="1">
        <f t="array" ref="NH233:NJ233">SUMIFS($J233:$GG233,$J$1:$GG$1,NH$3:NJ$3)</f>
        <v>0</v>
      </c>
      <c r="NI233">
        <v>0</v>
      </c>
      <c r="NJ233">
        <v>0</v>
      </c>
      <c r="NK233" cm="1">
        <f t="array" ref="NK233">IFERROR(MAX((_xlfn.ANCHORARRAY(NH233)-AVERAGE(_xlfn.ANCHORARRAY(NH233)))/ AVERAGE(_xlfn.ANCHORARRAY(NH233))),0)</f>
        <v>0</v>
      </c>
      <c r="NN233" cm="1">
        <f t="array" ref="NN233:NR233">SUMIFS($J233:$GG233,$J$3:$GG$3,NN$3:NR$3)</f>
        <v>0</v>
      </c>
      <c r="NO233">
        <v>0</v>
      </c>
      <c r="NP233">
        <v>0</v>
      </c>
      <c r="NQ233">
        <v>0</v>
      </c>
      <c r="NR233">
        <v>0</v>
      </c>
      <c r="NS233" cm="1">
        <f t="array" ref="NS233">IFERROR(MAX((_xlfn.ANCHORARRAY(NN233)-AVERAGE(_xlfn.ANCHORARRAY(NN233)))/ AVERAGE(_xlfn.ANCHORARRAY(NN233))),0)</f>
        <v>0</v>
      </c>
      <c r="NV233" cm="1">
        <f t="array" ref="NV233:OE233">SUMIFS($J233:$GG233,$J$2:$GG$2,NV$3:OE$3)</f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 cm="1">
        <f t="array" ref="OF233">IFERROR(MAX((_xlfn.ANCHORARRAY(NV233)-AVERAGE(_xlfn.ANCHORARRAY(NV233)))/ AVERAGE(_xlfn.ANCHORARRAY(NV233))),0)</f>
        <v>0</v>
      </c>
      <c r="OI233" t="str">
        <f t="shared" ref="OI233:OI249" si="52">_xlfn.TEXTJOIN(" : ",,NL233,NT233,OG233)</f>
        <v/>
      </c>
    </row>
    <row r="234" spans="2:399" x14ac:dyDescent="0.3">
      <c r="B234" s="2" t="str">
        <f t="shared" ref="B234:B249" si="53">IF(C234="NotFound",D234,C234)</f>
        <v>LLC</v>
      </c>
      <c r="C234" s="2" t="str">
        <f t="shared" ref="C234:C249" si="54">IF(H234&gt;1,"NotFound","LLC"&amp;_xlfn.XLOOKUP(MAX(J234:GG234,1),J234:GG234,$J$4:$GG$4,""))</f>
        <v>LLC</v>
      </c>
      <c r="D234" s="2" t="str">
        <f t="shared" ref="D234:D249" si="55">IF(F234&gt;1,"NotFound","LLC"&amp;_xlfn.XLOOKUP(MAX(GI234:NF234,1),GI234:NF234,$GI$4:$NF$4,""))</f>
        <v>LLC</v>
      </c>
      <c r="E234" s="2" t="str">
        <f t="shared" ref="E234:E249" si="56">OI234</f>
        <v/>
      </c>
      <c r="F234" s="2">
        <f t="shared" ref="F234:F249" si="57">COUNTIF(GI234:NF234,G234)</f>
        <v>0</v>
      </c>
      <c r="G234" s="2">
        <f t="shared" ref="G234:G249" si="58">MAX(GI234:NF234)</f>
        <v>0</v>
      </c>
      <c r="H234" s="2">
        <f t="shared" ref="H234:H249" si="59">COUNTIF(J234:GG234,I234)</f>
        <v>0</v>
      </c>
      <c r="I234" s="2">
        <f t="shared" ref="I234:I249" si="60">MAX(J234:GG234)</f>
        <v>0</v>
      </c>
      <c r="NH234" cm="1">
        <f t="array" ref="NH234:NJ234">SUMIFS($J234:$GG234,$J$1:$GG$1,NH$3:NJ$3)</f>
        <v>0</v>
      </c>
      <c r="NI234">
        <v>0</v>
      </c>
      <c r="NJ234">
        <v>0</v>
      </c>
      <c r="NK234" cm="1">
        <f t="array" ref="NK234">IFERROR(MAX((_xlfn.ANCHORARRAY(NH234)-AVERAGE(_xlfn.ANCHORARRAY(NH234)))/ AVERAGE(_xlfn.ANCHORARRAY(NH234))),0)</f>
        <v>0</v>
      </c>
      <c r="NN234" cm="1">
        <f t="array" ref="NN234:NR234">SUMIFS($J234:$GG234,$J$3:$GG$3,NN$3:NR$3)</f>
        <v>0</v>
      </c>
      <c r="NO234">
        <v>0</v>
      </c>
      <c r="NP234">
        <v>0</v>
      </c>
      <c r="NQ234">
        <v>0</v>
      </c>
      <c r="NR234">
        <v>0</v>
      </c>
      <c r="NS234" cm="1">
        <f t="array" ref="NS234">IFERROR(MAX((_xlfn.ANCHORARRAY(NN234)-AVERAGE(_xlfn.ANCHORARRAY(NN234)))/ AVERAGE(_xlfn.ANCHORARRAY(NN234))),0)</f>
        <v>0</v>
      </c>
      <c r="NV234" cm="1">
        <f t="array" ref="NV234:OE234">SUMIFS($J234:$GG234,$J$2:$GG$2,NV$3:OE$3)</f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 cm="1">
        <f t="array" ref="OF234">IFERROR(MAX((_xlfn.ANCHORARRAY(NV234)-AVERAGE(_xlfn.ANCHORARRAY(NV234)))/ AVERAGE(_xlfn.ANCHORARRAY(NV234))),0)</f>
        <v>0</v>
      </c>
      <c r="OI234" t="str">
        <f t="shared" si="52"/>
        <v/>
      </c>
    </row>
    <row r="235" spans="2:399" x14ac:dyDescent="0.3">
      <c r="B235" s="2" t="str">
        <f t="shared" si="53"/>
        <v>LLC</v>
      </c>
      <c r="C235" s="2" t="str">
        <f t="shared" si="54"/>
        <v>LLC</v>
      </c>
      <c r="D235" s="2" t="str">
        <f t="shared" si="55"/>
        <v>LLC</v>
      </c>
      <c r="E235" s="2" t="str">
        <f t="shared" si="56"/>
        <v/>
      </c>
      <c r="F235" s="2">
        <f t="shared" si="57"/>
        <v>0</v>
      </c>
      <c r="G235" s="2">
        <f t="shared" si="58"/>
        <v>0</v>
      </c>
      <c r="H235" s="2">
        <f t="shared" si="59"/>
        <v>0</v>
      </c>
      <c r="I235" s="2">
        <f t="shared" si="60"/>
        <v>0</v>
      </c>
      <c r="NH235" cm="1">
        <f t="array" ref="NH235:NJ235">SUMIFS($J235:$GG235,$J$1:$GG$1,NH$3:NJ$3)</f>
        <v>0</v>
      </c>
      <c r="NI235">
        <v>0</v>
      </c>
      <c r="NJ235">
        <v>0</v>
      </c>
      <c r="NK235" cm="1">
        <f t="array" ref="NK235">IFERROR(MAX((_xlfn.ANCHORARRAY(NH235)-AVERAGE(_xlfn.ANCHORARRAY(NH235)))/ AVERAGE(_xlfn.ANCHORARRAY(NH235))),0)</f>
        <v>0</v>
      </c>
      <c r="NN235" cm="1">
        <f t="array" ref="NN235:NR235">SUMIFS($J235:$GG235,$J$3:$GG$3,NN$3:NR$3)</f>
        <v>0</v>
      </c>
      <c r="NO235">
        <v>0</v>
      </c>
      <c r="NP235">
        <v>0</v>
      </c>
      <c r="NQ235">
        <v>0</v>
      </c>
      <c r="NR235">
        <v>0</v>
      </c>
      <c r="NS235" cm="1">
        <f t="array" ref="NS235">IFERROR(MAX((_xlfn.ANCHORARRAY(NN235)-AVERAGE(_xlfn.ANCHORARRAY(NN235)))/ AVERAGE(_xlfn.ANCHORARRAY(NN235))),0)</f>
        <v>0</v>
      </c>
      <c r="NV235" cm="1">
        <f t="array" ref="NV235:OE235">SUMIFS($J235:$GG235,$J$2:$GG$2,NV$3:OE$3)</f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 cm="1">
        <f t="array" ref="OF235">IFERROR(MAX((_xlfn.ANCHORARRAY(NV235)-AVERAGE(_xlfn.ANCHORARRAY(NV235)))/ AVERAGE(_xlfn.ANCHORARRAY(NV235))),0)</f>
        <v>0</v>
      </c>
      <c r="OI235" t="str">
        <f t="shared" si="52"/>
        <v/>
      </c>
    </row>
    <row r="236" spans="2:399" x14ac:dyDescent="0.3">
      <c r="B236" s="2" t="str">
        <f t="shared" si="53"/>
        <v>LLC</v>
      </c>
      <c r="C236" s="2" t="str">
        <f t="shared" si="54"/>
        <v>LLC</v>
      </c>
      <c r="D236" s="2" t="str">
        <f t="shared" si="55"/>
        <v>LLC</v>
      </c>
      <c r="E236" s="2" t="str">
        <f t="shared" si="56"/>
        <v/>
      </c>
      <c r="F236" s="2">
        <f t="shared" si="57"/>
        <v>0</v>
      </c>
      <c r="G236" s="2">
        <f t="shared" si="58"/>
        <v>0</v>
      </c>
      <c r="H236" s="2">
        <f t="shared" si="59"/>
        <v>0</v>
      </c>
      <c r="I236" s="2">
        <f t="shared" si="60"/>
        <v>0</v>
      </c>
      <c r="NH236" cm="1">
        <f t="array" ref="NH236:NJ236">SUMIFS($J236:$GG236,$J$1:$GG$1,NH$3:NJ$3)</f>
        <v>0</v>
      </c>
      <c r="NI236">
        <v>0</v>
      </c>
      <c r="NJ236">
        <v>0</v>
      </c>
      <c r="NK236" cm="1">
        <f t="array" ref="NK236">IFERROR(MAX((_xlfn.ANCHORARRAY(NH236)-AVERAGE(_xlfn.ANCHORARRAY(NH236)))/ AVERAGE(_xlfn.ANCHORARRAY(NH236))),0)</f>
        <v>0</v>
      </c>
      <c r="NN236" cm="1">
        <f t="array" ref="NN236:NR236">SUMIFS($J236:$GG236,$J$3:$GG$3,NN$3:NR$3)</f>
        <v>0</v>
      </c>
      <c r="NO236">
        <v>0</v>
      </c>
      <c r="NP236">
        <v>0</v>
      </c>
      <c r="NQ236">
        <v>0</v>
      </c>
      <c r="NR236">
        <v>0</v>
      </c>
      <c r="NS236" cm="1">
        <f t="array" ref="NS236">IFERROR(MAX((_xlfn.ANCHORARRAY(NN236)-AVERAGE(_xlfn.ANCHORARRAY(NN236)))/ AVERAGE(_xlfn.ANCHORARRAY(NN236))),0)</f>
        <v>0</v>
      </c>
      <c r="NV236" cm="1">
        <f t="array" ref="NV236:OE236">SUMIFS($J236:$GG236,$J$2:$GG$2,NV$3:OE$3)</f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 cm="1">
        <f t="array" ref="OF236">IFERROR(MAX((_xlfn.ANCHORARRAY(NV236)-AVERAGE(_xlfn.ANCHORARRAY(NV236)))/ AVERAGE(_xlfn.ANCHORARRAY(NV236))),0)</f>
        <v>0</v>
      </c>
      <c r="OI236" t="str">
        <f t="shared" si="52"/>
        <v/>
      </c>
    </row>
    <row r="237" spans="2:399" x14ac:dyDescent="0.3">
      <c r="B237" s="2" t="str">
        <f t="shared" si="53"/>
        <v>LLC</v>
      </c>
      <c r="C237" s="2" t="str">
        <f t="shared" si="54"/>
        <v>LLC</v>
      </c>
      <c r="D237" s="2" t="str">
        <f t="shared" si="55"/>
        <v>LLC</v>
      </c>
      <c r="E237" s="2" t="str">
        <f t="shared" si="56"/>
        <v/>
      </c>
      <c r="F237" s="2">
        <f t="shared" si="57"/>
        <v>0</v>
      </c>
      <c r="G237" s="2">
        <f t="shared" si="58"/>
        <v>0</v>
      </c>
      <c r="H237" s="2">
        <f t="shared" si="59"/>
        <v>0</v>
      </c>
      <c r="I237" s="2">
        <f t="shared" si="60"/>
        <v>0</v>
      </c>
      <c r="NH237" cm="1">
        <f t="array" ref="NH237:NJ237">SUMIFS($J237:$GG237,$J$1:$GG$1,NH$3:NJ$3)</f>
        <v>0</v>
      </c>
      <c r="NI237">
        <v>0</v>
      </c>
      <c r="NJ237">
        <v>0</v>
      </c>
      <c r="NK237" cm="1">
        <f t="array" ref="NK237">IFERROR(MAX((_xlfn.ANCHORARRAY(NH237)-AVERAGE(_xlfn.ANCHORARRAY(NH237)))/ AVERAGE(_xlfn.ANCHORARRAY(NH237))),0)</f>
        <v>0</v>
      </c>
      <c r="NN237" cm="1">
        <f t="array" ref="NN237:NR237">SUMIFS($J237:$GG237,$J$3:$GG$3,NN$3:NR$3)</f>
        <v>0</v>
      </c>
      <c r="NO237">
        <v>0</v>
      </c>
      <c r="NP237">
        <v>0</v>
      </c>
      <c r="NQ237">
        <v>0</v>
      </c>
      <c r="NR237">
        <v>0</v>
      </c>
      <c r="NS237" cm="1">
        <f t="array" ref="NS237">IFERROR(MAX((_xlfn.ANCHORARRAY(NN237)-AVERAGE(_xlfn.ANCHORARRAY(NN237)))/ AVERAGE(_xlfn.ANCHORARRAY(NN237))),0)</f>
        <v>0</v>
      </c>
      <c r="NV237" cm="1">
        <f t="array" ref="NV237:OE237">SUMIFS($J237:$GG237,$J$2:$GG$2,NV$3:OE$3)</f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 cm="1">
        <f t="array" ref="OF237">IFERROR(MAX((_xlfn.ANCHORARRAY(NV237)-AVERAGE(_xlfn.ANCHORARRAY(NV237)))/ AVERAGE(_xlfn.ANCHORARRAY(NV237))),0)</f>
        <v>0</v>
      </c>
      <c r="OI237" t="str">
        <f t="shared" si="52"/>
        <v/>
      </c>
    </row>
    <row r="238" spans="2:399" x14ac:dyDescent="0.3">
      <c r="B238" s="2" t="str">
        <f t="shared" si="53"/>
        <v>LLC</v>
      </c>
      <c r="C238" s="2" t="str">
        <f t="shared" si="54"/>
        <v>LLC</v>
      </c>
      <c r="D238" s="2" t="str">
        <f t="shared" si="55"/>
        <v>LLC</v>
      </c>
      <c r="E238" s="2" t="str">
        <f t="shared" si="56"/>
        <v/>
      </c>
      <c r="F238" s="2">
        <f t="shared" si="57"/>
        <v>0</v>
      </c>
      <c r="G238" s="2">
        <f t="shared" si="58"/>
        <v>0</v>
      </c>
      <c r="H238" s="2">
        <f t="shared" si="59"/>
        <v>0</v>
      </c>
      <c r="I238" s="2">
        <f t="shared" si="60"/>
        <v>0</v>
      </c>
      <c r="NH238" cm="1">
        <f t="array" ref="NH238:NJ238">SUMIFS($J238:$GG238,$J$1:$GG$1,NH$3:NJ$3)</f>
        <v>0</v>
      </c>
      <c r="NI238">
        <v>0</v>
      </c>
      <c r="NJ238">
        <v>0</v>
      </c>
      <c r="NK238" cm="1">
        <f t="array" ref="NK238">IFERROR(MAX((_xlfn.ANCHORARRAY(NH238)-AVERAGE(_xlfn.ANCHORARRAY(NH238)))/ AVERAGE(_xlfn.ANCHORARRAY(NH238))),0)</f>
        <v>0</v>
      </c>
      <c r="NN238" cm="1">
        <f t="array" ref="NN238:NR238">SUMIFS($J238:$GG238,$J$3:$GG$3,NN$3:NR$3)</f>
        <v>0</v>
      </c>
      <c r="NO238">
        <v>0</v>
      </c>
      <c r="NP238">
        <v>0</v>
      </c>
      <c r="NQ238">
        <v>0</v>
      </c>
      <c r="NR238">
        <v>0</v>
      </c>
      <c r="NS238" cm="1">
        <f t="array" ref="NS238">IFERROR(MAX((_xlfn.ANCHORARRAY(NN238)-AVERAGE(_xlfn.ANCHORARRAY(NN238)))/ AVERAGE(_xlfn.ANCHORARRAY(NN238))),0)</f>
        <v>0</v>
      </c>
      <c r="NV238" cm="1">
        <f t="array" ref="NV238:OE238">SUMIFS($J238:$GG238,$J$2:$GG$2,NV$3:OE$3)</f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 cm="1">
        <f t="array" ref="OF238">IFERROR(MAX((_xlfn.ANCHORARRAY(NV238)-AVERAGE(_xlfn.ANCHORARRAY(NV238)))/ AVERAGE(_xlfn.ANCHORARRAY(NV238))),0)</f>
        <v>0</v>
      </c>
      <c r="OI238" t="str">
        <f t="shared" si="52"/>
        <v/>
      </c>
    </row>
    <row r="239" spans="2:399" x14ac:dyDescent="0.3">
      <c r="B239" s="2" t="str">
        <f t="shared" si="53"/>
        <v>LLC</v>
      </c>
      <c r="C239" s="2" t="str">
        <f t="shared" si="54"/>
        <v>LLC</v>
      </c>
      <c r="D239" s="2" t="str">
        <f t="shared" si="55"/>
        <v>LLC</v>
      </c>
      <c r="E239" s="2" t="str">
        <f t="shared" si="56"/>
        <v/>
      </c>
      <c r="F239" s="2">
        <f t="shared" si="57"/>
        <v>0</v>
      </c>
      <c r="G239" s="2">
        <f t="shared" si="58"/>
        <v>0</v>
      </c>
      <c r="H239" s="2">
        <f t="shared" si="59"/>
        <v>0</v>
      </c>
      <c r="I239" s="2">
        <f t="shared" si="60"/>
        <v>0</v>
      </c>
      <c r="NH239" cm="1">
        <f t="array" ref="NH239:NJ239">SUMIFS($J239:$GG239,$J$1:$GG$1,NH$3:NJ$3)</f>
        <v>0</v>
      </c>
      <c r="NI239">
        <v>0</v>
      </c>
      <c r="NJ239">
        <v>0</v>
      </c>
      <c r="NK239" cm="1">
        <f t="array" ref="NK239">IFERROR(MAX((_xlfn.ANCHORARRAY(NH239)-AVERAGE(_xlfn.ANCHORARRAY(NH239)))/ AVERAGE(_xlfn.ANCHORARRAY(NH239))),0)</f>
        <v>0</v>
      </c>
      <c r="NN239" cm="1">
        <f t="array" ref="NN239:NR239">SUMIFS($J239:$GG239,$J$3:$GG$3,NN$3:NR$3)</f>
        <v>0</v>
      </c>
      <c r="NO239">
        <v>0</v>
      </c>
      <c r="NP239">
        <v>0</v>
      </c>
      <c r="NQ239">
        <v>0</v>
      </c>
      <c r="NR239">
        <v>0</v>
      </c>
      <c r="NS239" cm="1">
        <f t="array" ref="NS239">IFERROR(MAX((_xlfn.ANCHORARRAY(NN239)-AVERAGE(_xlfn.ANCHORARRAY(NN239)))/ AVERAGE(_xlfn.ANCHORARRAY(NN239))),0)</f>
        <v>0</v>
      </c>
      <c r="NV239" cm="1">
        <f t="array" ref="NV239:OE239">SUMIFS($J239:$GG239,$J$2:$GG$2,NV$3:OE$3)</f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 cm="1">
        <f t="array" ref="OF239">IFERROR(MAX((_xlfn.ANCHORARRAY(NV239)-AVERAGE(_xlfn.ANCHORARRAY(NV239)))/ AVERAGE(_xlfn.ANCHORARRAY(NV239))),0)</f>
        <v>0</v>
      </c>
      <c r="OI239" t="str">
        <f t="shared" si="52"/>
        <v/>
      </c>
    </row>
    <row r="240" spans="2:399" x14ac:dyDescent="0.3">
      <c r="B240" s="2" t="str">
        <f t="shared" si="53"/>
        <v>LLC</v>
      </c>
      <c r="C240" s="2" t="str">
        <f t="shared" si="54"/>
        <v>LLC</v>
      </c>
      <c r="D240" s="2" t="str">
        <f t="shared" si="55"/>
        <v>LLC</v>
      </c>
      <c r="E240" s="2" t="str">
        <f t="shared" si="56"/>
        <v/>
      </c>
      <c r="F240" s="2">
        <f t="shared" si="57"/>
        <v>0</v>
      </c>
      <c r="G240" s="2">
        <f t="shared" si="58"/>
        <v>0</v>
      </c>
      <c r="H240" s="2">
        <f t="shared" si="59"/>
        <v>0</v>
      </c>
      <c r="I240" s="2">
        <f t="shared" si="60"/>
        <v>0</v>
      </c>
      <c r="NH240" cm="1">
        <f t="array" ref="NH240:NJ240">SUMIFS($J240:$GG240,$J$1:$GG$1,NH$3:NJ$3)</f>
        <v>0</v>
      </c>
      <c r="NI240">
        <v>0</v>
      </c>
      <c r="NJ240">
        <v>0</v>
      </c>
      <c r="NK240" cm="1">
        <f t="array" ref="NK240">IFERROR(MAX((_xlfn.ANCHORARRAY(NH240)-AVERAGE(_xlfn.ANCHORARRAY(NH240)))/ AVERAGE(_xlfn.ANCHORARRAY(NH240))),0)</f>
        <v>0</v>
      </c>
      <c r="NN240" cm="1">
        <f t="array" ref="NN240:NR240">SUMIFS($J240:$GG240,$J$3:$GG$3,NN$3:NR$3)</f>
        <v>0</v>
      </c>
      <c r="NO240">
        <v>0</v>
      </c>
      <c r="NP240">
        <v>0</v>
      </c>
      <c r="NQ240">
        <v>0</v>
      </c>
      <c r="NR240">
        <v>0</v>
      </c>
      <c r="NS240" cm="1">
        <f t="array" ref="NS240">IFERROR(MAX((_xlfn.ANCHORARRAY(NN240)-AVERAGE(_xlfn.ANCHORARRAY(NN240)))/ AVERAGE(_xlfn.ANCHORARRAY(NN240))),0)</f>
        <v>0</v>
      </c>
      <c r="NV240" cm="1">
        <f t="array" ref="NV240:OE240">SUMIFS($J240:$GG240,$J$2:$GG$2,NV$3:OE$3)</f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 cm="1">
        <f t="array" ref="OF240">IFERROR(MAX((_xlfn.ANCHORARRAY(NV240)-AVERAGE(_xlfn.ANCHORARRAY(NV240)))/ AVERAGE(_xlfn.ANCHORARRAY(NV240))),0)</f>
        <v>0</v>
      </c>
      <c r="OI240" t="str">
        <f t="shared" si="52"/>
        <v/>
      </c>
    </row>
    <row r="241" spans="2:399" x14ac:dyDescent="0.3">
      <c r="B241" s="2" t="str">
        <f t="shared" si="53"/>
        <v>LLC</v>
      </c>
      <c r="C241" s="2" t="str">
        <f t="shared" si="54"/>
        <v>LLC</v>
      </c>
      <c r="D241" s="2" t="str">
        <f t="shared" si="55"/>
        <v>LLC</v>
      </c>
      <c r="E241" s="2" t="str">
        <f t="shared" si="56"/>
        <v/>
      </c>
      <c r="F241" s="2">
        <f t="shared" si="57"/>
        <v>0</v>
      </c>
      <c r="G241" s="2">
        <f t="shared" si="58"/>
        <v>0</v>
      </c>
      <c r="H241" s="2">
        <f t="shared" si="59"/>
        <v>0</v>
      </c>
      <c r="I241" s="2">
        <f t="shared" si="60"/>
        <v>0</v>
      </c>
      <c r="NH241" cm="1">
        <f t="array" ref="NH241:NJ241">SUMIFS($J241:$GG241,$J$1:$GG$1,NH$3:NJ$3)</f>
        <v>0</v>
      </c>
      <c r="NI241">
        <v>0</v>
      </c>
      <c r="NJ241">
        <v>0</v>
      </c>
      <c r="NK241" cm="1">
        <f t="array" ref="NK241">IFERROR(MAX((_xlfn.ANCHORARRAY(NH241)-AVERAGE(_xlfn.ANCHORARRAY(NH241)))/ AVERAGE(_xlfn.ANCHORARRAY(NH241))),0)</f>
        <v>0</v>
      </c>
      <c r="NN241" cm="1">
        <f t="array" ref="NN241:NR241">SUMIFS($J241:$GG241,$J$3:$GG$3,NN$3:NR$3)</f>
        <v>0</v>
      </c>
      <c r="NO241">
        <v>0</v>
      </c>
      <c r="NP241">
        <v>0</v>
      </c>
      <c r="NQ241">
        <v>0</v>
      </c>
      <c r="NR241">
        <v>0</v>
      </c>
      <c r="NS241" cm="1">
        <f t="array" ref="NS241">IFERROR(MAX((_xlfn.ANCHORARRAY(NN241)-AVERAGE(_xlfn.ANCHORARRAY(NN241)))/ AVERAGE(_xlfn.ANCHORARRAY(NN241))),0)</f>
        <v>0</v>
      </c>
      <c r="NV241" cm="1">
        <f t="array" ref="NV241:OE241">SUMIFS($J241:$GG241,$J$2:$GG$2,NV$3:OE$3)</f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 cm="1">
        <f t="array" ref="OF241">IFERROR(MAX((_xlfn.ANCHORARRAY(NV241)-AVERAGE(_xlfn.ANCHORARRAY(NV241)))/ AVERAGE(_xlfn.ANCHORARRAY(NV241))),0)</f>
        <v>0</v>
      </c>
      <c r="OI241" t="str">
        <f t="shared" si="52"/>
        <v/>
      </c>
    </row>
    <row r="242" spans="2:399" x14ac:dyDescent="0.3">
      <c r="B242" s="2" t="str">
        <f t="shared" si="53"/>
        <v>LLC</v>
      </c>
      <c r="C242" s="2" t="str">
        <f t="shared" si="54"/>
        <v>LLC</v>
      </c>
      <c r="D242" s="2" t="str">
        <f t="shared" si="55"/>
        <v>LLC</v>
      </c>
      <c r="E242" s="2" t="str">
        <f t="shared" si="56"/>
        <v/>
      </c>
      <c r="F242" s="2">
        <f t="shared" si="57"/>
        <v>0</v>
      </c>
      <c r="G242" s="2">
        <f t="shared" si="58"/>
        <v>0</v>
      </c>
      <c r="H242" s="2">
        <f t="shared" si="59"/>
        <v>0</v>
      </c>
      <c r="I242" s="2">
        <f t="shared" si="60"/>
        <v>0</v>
      </c>
      <c r="NH242" cm="1">
        <f t="array" ref="NH242:NJ242">SUMIFS($J242:$GG242,$J$1:$GG$1,NH$3:NJ$3)</f>
        <v>0</v>
      </c>
      <c r="NI242">
        <v>0</v>
      </c>
      <c r="NJ242">
        <v>0</v>
      </c>
      <c r="NK242" cm="1">
        <f t="array" ref="NK242">IFERROR(MAX((_xlfn.ANCHORARRAY(NH242)-AVERAGE(_xlfn.ANCHORARRAY(NH242)))/ AVERAGE(_xlfn.ANCHORARRAY(NH242))),0)</f>
        <v>0</v>
      </c>
      <c r="NN242" cm="1">
        <f t="array" ref="NN242:NR242">SUMIFS($J242:$GG242,$J$3:$GG$3,NN$3:NR$3)</f>
        <v>0</v>
      </c>
      <c r="NO242">
        <v>0</v>
      </c>
      <c r="NP242">
        <v>0</v>
      </c>
      <c r="NQ242">
        <v>0</v>
      </c>
      <c r="NR242">
        <v>0</v>
      </c>
      <c r="NS242" cm="1">
        <f t="array" ref="NS242">IFERROR(MAX((_xlfn.ANCHORARRAY(NN242)-AVERAGE(_xlfn.ANCHORARRAY(NN242)))/ AVERAGE(_xlfn.ANCHORARRAY(NN242))),0)</f>
        <v>0</v>
      </c>
      <c r="NV242" cm="1">
        <f t="array" ref="NV242:OE242">SUMIFS($J242:$GG242,$J$2:$GG$2,NV$3:OE$3)</f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 cm="1">
        <f t="array" ref="OF242">IFERROR(MAX((_xlfn.ANCHORARRAY(NV242)-AVERAGE(_xlfn.ANCHORARRAY(NV242)))/ AVERAGE(_xlfn.ANCHORARRAY(NV242))),0)</f>
        <v>0</v>
      </c>
      <c r="OI242" t="str">
        <f t="shared" si="52"/>
        <v/>
      </c>
    </row>
    <row r="243" spans="2:399" x14ac:dyDescent="0.3">
      <c r="B243" s="2" t="str">
        <f t="shared" si="53"/>
        <v>LLC</v>
      </c>
      <c r="C243" s="2" t="str">
        <f t="shared" si="54"/>
        <v>LLC</v>
      </c>
      <c r="D243" s="2" t="str">
        <f t="shared" si="55"/>
        <v>LLC</v>
      </c>
      <c r="E243" s="2" t="str">
        <f t="shared" si="56"/>
        <v/>
      </c>
      <c r="F243" s="2">
        <f t="shared" si="57"/>
        <v>0</v>
      </c>
      <c r="G243" s="2">
        <f t="shared" si="58"/>
        <v>0</v>
      </c>
      <c r="H243" s="2">
        <f t="shared" si="59"/>
        <v>0</v>
      </c>
      <c r="I243" s="2">
        <f t="shared" si="60"/>
        <v>0</v>
      </c>
      <c r="NH243" cm="1">
        <f t="array" ref="NH243:NJ243">SUMIFS($J243:$GG243,$J$1:$GG$1,NH$3:NJ$3)</f>
        <v>0</v>
      </c>
      <c r="NI243">
        <v>0</v>
      </c>
      <c r="NJ243">
        <v>0</v>
      </c>
      <c r="NK243" cm="1">
        <f t="array" ref="NK243">IFERROR(MAX((_xlfn.ANCHORARRAY(NH243)-AVERAGE(_xlfn.ANCHORARRAY(NH243)))/ AVERAGE(_xlfn.ANCHORARRAY(NH243))),0)</f>
        <v>0</v>
      </c>
      <c r="NN243" cm="1">
        <f t="array" ref="NN243:NR243">SUMIFS($J243:$GG243,$J$3:$GG$3,NN$3:NR$3)</f>
        <v>0</v>
      </c>
      <c r="NO243">
        <v>0</v>
      </c>
      <c r="NP243">
        <v>0</v>
      </c>
      <c r="NQ243">
        <v>0</v>
      </c>
      <c r="NR243">
        <v>0</v>
      </c>
      <c r="NS243" cm="1">
        <f t="array" ref="NS243">IFERROR(MAX((_xlfn.ANCHORARRAY(NN243)-AVERAGE(_xlfn.ANCHORARRAY(NN243)))/ AVERAGE(_xlfn.ANCHORARRAY(NN243))),0)</f>
        <v>0</v>
      </c>
      <c r="NV243" cm="1">
        <f t="array" ref="NV243:OE243">SUMIFS($J243:$GG243,$J$2:$GG$2,NV$3:OE$3)</f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 cm="1">
        <f t="array" ref="OF243">IFERROR(MAX((_xlfn.ANCHORARRAY(NV243)-AVERAGE(_xlfn.ANCHORARRAY(NV243)))/ AVERAGE(_xlfn.ANCHORARRAY(NV243))),0)</f>
        <v>0</v>
      </c>
      <c r="OI243" t="str">
        <f t="shared" si="52"/>
        <v/>
      </c>
    </row>
    <row r="244" spans="2:399" x14ac:dyDescent="0.3">
      <c r="B244" s="2" t="str">
        <f t="shared" si="53"/>
        <v>LLC</v>
      </c>
      <c r="C244" s="2" t="str">
        <f t="shared" si="54"/>
        <v>LLC</v>
      </c>
      <c r="D244" s="2" t="str">
        <f t="shared" si="55"/>
        <v>LLC</v>
      </c>
      <c r="E244" s="2" t="str">
        <f t="shared" si="56"/>
        <v/>
      </c>
      <c r="F244" s="2">
        <f t="shared" si="57"/>
        <v>0</v>
      </c>
      <c r="G244" s="2">
        <f t="shared" si="58"/>
        <v>0</v>
      </c>
      <c r="H244" s="2">
        <f t="shared" si="59"/>
        <v>0</v>
      </c>
      <c r="I244" s="2">
        <f t="shared" si="60"/>
        <v>0</v>
      </c>
      <c r="NH244" cm="1">
        <f t="array" ref="NH244:NJ244">SUMIFS($J244:$GG244,$J$1:$GG$1,NH$3:NJ$3)</f>
        <v>0</v>
      </c>
      <c r="NI244">
        <v>0</v>
      </c>
      <c r="NJ244">
        <v>0</v>
      </c>
      <c r="NK244" cm="1">
        <f t="array" ref="NK244">IFERROR(MAX((_xlfn.ANCHORARRAY(NH244)-AVERAGE(_xlfn.ANCHORARRAY(NH244)))/ AVERAGE(_xlfn.ANCHORARRAY(NH244))),0)</f>
        <v>0</v>
      </c>
      <c r="NN244" cm="1">
        <f t="array" ref="NN244:NR244">SUMIFS($J244:$GG244,$J$3:$GG$3,NN$3:NR$3)</f>
        <v>0</v>
      </c>
      <c r="NO244">
        <v>0</v>
      </c>
      <c r="NP244">
        <v>0</v>
      </c>
      <c r="NQ244">
        <v>0</v>
      </c>
      <c r="NR244">
        <v>0</v>
      </c>
      <c r="NS244" cm="1">
        <f t="array" ref="NS244">IFERROR(MAX((_xlfn.ANCHORARRAY(NN244)-AVERAGE(_xlfn.ANCHORARRAY(NN244)))/ AVERAGE(_xlfn.ANCHORARRAY(NN244))),0)</f>
        <v>0</v>
      </c>
      <c r="NV244" cm="1">
        <f t="array" ref="NV244:OE244">SUMIFS($J244:$GG244,$J$2:$GG$2,NV$3:OE$3)</f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 cm="1">
        <f t="array" ref="OF244">IFERROR(MAX((_xlfn.ANCHORARRAY(NV244)-AVERAGE(_xlfn.ANCHORARRAY(NV244)))/ AVERAGE(_xlfn.ANCHORARRAY(NV244))),0)</f>
        <v>0</v>
      </c>
      <c r="OI244" t="str">
        <f t="shared" si="52"/>
        <v/>
      </c>
    </row>
    <row r="245" spans="2:399" x14ac:dyDescent="0.3">
      <c r="B245" s="2" t="str">
        <f t="shared" si="53"/>
        <v>LLC</v>
      </c>
      <c r="C245" s="2" t="str">
        <f t="shared" si="54"/>
        <v>LLC</v>
      </c>
      <c r="D245" s="2" t="str">
        <f t="shared" si="55"/>
        <v>LLC</v>
      </c>
      <c r="E245" s="2" t="str">
        <f t="shared" si="56"/>
        <v/>
      </c>
      <c r="F245" s="2">
        <f t="shared" si="57"/>
        <v>0</v>
      </c>
      <c r="G245" s="2">
        <f t="shared" si="58"/>
        <v>0</v>
      </c>
      <c r="H245" s="2">
        <f t="shared" si="59"/>
        <v>0</v>
      </c>
      <c r="I245" s="2">
        <f t="shared" si="60"/>
        <v>0</v>
      </c>
      <c r="NH245" cm="1">
        <f t="array" ref="NH245:NJ245">SUMIFS($J245:$GG245,$J$1:$GG$1,NH$3:NJ$3)</f>
        <v>0</v>
      </c>
      <c r="NI245">
        <v>0</v>
      </c>
      <c r="NJ245">
        <v>0</v>
      </c>
      <c r="NK245" cm="1">
        <f t="array" ref="NK245">IFERROR(MAX((_xlfn.ANCHORARRAY(NH245)-AVERAGE(_xlfn.ANCHORARRAY(NH245)))/ AVERAGE(_xlfn.ANCHORARRAY(NH245))),0)</f>
        <v>0</v>
      </c>
      <c r="NN245" cm="1">
        <f t="array" ref="NN245:NR245">SUMIFS($J245:$GG245,$J$3:$GG$3,NN$3:NR$3)</f>
        <v>0</v>
      </c>
      <c r="NO245">
        <v>0</v>
      </c>
      <c r="NP245">
        <v>0</v>
      </c>
      <c r="NQ245">
        <v>0</v>
      </c>
      <c r="NR245">
        <v>0</v>
      </c>
      <c r="NS245" cm="1">
        <f t="array" ref="NS245">IFERROR(MAX((_xlfn.ANCHORARRAY(NN245)-AVERAGE(_xlfn.ANCHORARRAY(NN245)))/ AVERAGE(_xlfn.ANCHORARRAY(NN245))),0)</f>
        <v>0</v>
      </c>
      <c r="NV245" cm="1">
        <f t="array" ref="NV245:OE245">SUMIFS($J245:$GG245,$J$2:$GG$2,NV$3:OE$3)</f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 cm="1">
        <f t="array" ref="OF245">IFERROR(MAX((_xlfn.ANCHORARRAY(NV245)-AVERAGE(_xlfn.ANCHORARRAY(NV245)))/ AVERAGE(_xlfn.ANCHORARRAY(NV245))),0)</f>
        <v>0</v>
      </c>
      <c r="OI245" t="str">
        <f t="shared" si="52"/>
        <v/>
      </c>
    </row>
    <row r="246" spans="2:399" x14ac:dyDescent="0.3">
      <c r="B246" s="2" t="str">
        <f t="shared" si="53"/>
        <v>LLC</v>
      </c>
      <c r="C246" s="2" t="str">
        <f t="shared" si="54"/>
        <v>LLC</v>
      </c>
      <c r="D246" s="2" t="str">
        <f t="shared" si="55"/>
        <v>LLC</v>
      </c>
      <c r="E246" s="2" t="str">
        <f t="shared" si="56"/>
        <v/>
      </c>
      <c r="F246" s="2">
        <f t="shared" si="57"/>
        <v>0</v>
      </c>
      <c r="G246" s="2">
        <f t="shared" si="58"/>
        <v>0</v>
      </c>
      <c r="H246" s="2">
        <f t="shared" si="59"/>
        <v>0</v>
      </c>
      <c r="I246" s="2">
        <f t="shared" si="60"/>
        <v>0</v>
      </c>
      <c r="NH246" cm="1">
        <f t="array" ref="NH246:NJ246">SUMIFS($J246:$GG246,$J$1:$GG$1,NH$3:NJ$3)</f>
        <v>0</v>
      </c>
      <c r="NI246">
        <v>0</v>
      </c>
      <c r="NJ246">
        <v>0</v>
      </c>
      <c r="NK246" cm="1">
        <f t="array" ref="NK246">IFERROR(MAX((_xlfn.ANCHORARRAY(NH246)-AVERAGE(_xlfn.ANCHORARRAY(NH246)))/ AVERAGE(_xlfn.ANCHORARRAY(NH246))),0)</f>
        <v>0</v>
      </c>
      <c r="NN246" cm="1">
        <f t="array" ref="NN246:NR246">SUMIFS($J246:$GG246,$J$3:$GG$3,NN$3:NR$3)</f>
        <v>0</v>
      </c>
      <c r="NO246">
        <v>0</v>
      </c>
      <c r="NP246">
        <v>0</v>
      </c>
      <c r="NQ246">
        <v>0</v>
      </c>
      <c r="NR246">
        <v>0</v>
      </c>
      <c r="NS246" cm="1">
        <f t="array" ref="NS246">IFERROR(MAX((_xlfn.ANCHORARRAY(NN246)-AVERAGE(_xlfn.ANCHORARRAY(NN246)))/ AVERAGE(_xlfn.ANCHORARRAY(NN246))),0)</f>
        <v>0</v>
      </c>
      <c r="NV246" cm="1">
        <f t="array" ref="NV246:OE246">SUMIFS($J246:$GG246,$J$2:$GG$2,NV$3:OE$3)</f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 cm="1">
        <f t="array" ref="OF246">IFERROR(MAX((_xlfn.ANCHORARRAY(NV246)-AVERAGE(_xlfn.ANCHORARRAY(NV246)))/ AVERAGE(_xlfn.ANCHORARRAY(NV246))),0)</f>
        <v>0</v>
      </c>
      <c r="OI246" t="str">
        <f t="shared" si="52"/>
        <v/>
      </c>
    </row>
    <row r="247" spans="2:399" x14ac:dyDescent="0.3">
      <c r="B247" s="2" t="str">
        <f t="shared" si="53"/>
        <v>LLC</v>
      </c>
      <c r="C247" s="2" t="str">
        <f t="shared" si="54"/>
        <v>LLC</v>
      </c>
      <c r="D247" s="2" t="str">
        <f t="shared" si="55"/>
        <v>LLC</v>
      </c>
      <c r="E247" s="2" t="str">
        <f t="shared" si="56"/>
        <v/>
      </c>
      <c r="F247" s="2">
        <f t="shared" si="57"/>
        <v>0</v>
      </c>
      <c r="G247" s="2">
        <f t="shared" si="58"/>
        <v>0</v>
      </c>
      <c r="H247" s="2">
        <f t="shared" si="59"/>
        <v>0</v>
      </c>
      <c r="I247" s="2">
        <f t="shared" si="60"/>
        <v>0</v>
      </c>
      <c r="NH247" cm="1">
        <f t="array" ref="NH247:NJ247">SUMIFS($J247:$GG247,$J$1:$GG$1,NH$3:NJ$3)</f>
        <v>0</v>
      </c>
      <c r="NI247">
        <v>0</v>
      </c>
      <c r="NJ247">
        <v>0</v>
      </c>
      <c r="NK247" cm="1">
        <f t="array" ref="NK247">IFERROR(MAX((_xlfn.ANCHORARRAY(NH247)-AVERAGE(_xlfn.ANCHORARRAY(NH247)))/ AVERAGE(_xlfn.ANCHORARRAY(NH247))),0)</f>
        <v>0</v>
      </c>
      <c r="NN247" cm="1">
        <f t="array" ref="NN247:NR247">SUMIFS($J247:$GG247,$J$3:$GG$3,NN$3:NR$3)</f>
        <v>0</v>
      </c>
      <c r="NO247">
        <v>0</v>
      </c>
      <c r="NP247">
        <v>0</v>
      </c>
      <c r="NQ247">
        <v>0</v>
      </c>
      <c r="NR247">
        <v>0</v>
      </c>
      <c r="NS247" cm="1">
        <f t="array" ref="NS247">IFERROR(MAX((_xlfn.ANCHORARRAY(NN247)-AVERAGE(_xlfn.ANCHORARRAY(NN247)))/ AVERAGE(_xlfn.ANCHORARRAY(NN247))),0)</f>
        <v>0</v>
      </c>
      <c r="NV247" cm="1">
        <f t="array" ref="NV247:OE247">SUMIFS($J247:$GG247,$J$2:$GG$2,NV$3:OE$3)</f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 cm="1">
        <f t="array" ref="OF247">IFERROR(MAX((_xlfn.ANCHORARRAY(NV247)-AVERAGE(_xlfn.ANCHORARRAY(NV247)))/ AVERAGE(_xlfn.ANCHORARRAY(NV247))),0)</f>
        <v>0</v>
      </c>
      <c r="OI247" t="str">
        <f t="shared" si="52"/>
        <v/>
      </c>
    </row>
    <row r="248" spans="2:399" x14ac:dyDescent="0.3">
      <c r="B248" s="2" t="str">
        <f t="shared" si="53"/>
        <v>LLC</v>
      </c>
      <c r="C248" s="2" t="str">
        <f t="shared" si="54"/>
        <v>LLC</v>
      </c>
      <c r="D248" s="2" t="str">
        <f t="shared" si="55"/>
        <v>LLC</v>
      </c>
      <c r="E248" s="2" t="str">
        <f t="shared" si="56"/>
        <v/>
      </c>
      <c r="F248" s="2">
        <f t="shared" si="57"/>
        <v>0</v>
      </c>
      <c r="G248" s="2">
        <f t="shared" si="58"/>
        <v>0</v>
      </c>
      <c r="H248" s="2">
        <f t="shared" si="59"/>
        <v>0</v>
      </c>
      <c r="I248" s="2">
        <f t="shared" si="60"/>
        <v>0</v>
      </c>
      <c r="NH248" cm="1">
        <f t="array" ref="NH248:NJ248">SUMIFS($J248:$GG248,$J$1:$GG$1,NH$3:NJ$3)</f>
        <v>0</v>
      </c>
      <c r="NI248">
        <v>0</v>
      </c>
      <c r="NJ248">
        <v>0</v>
      </c>
      <c r="NK248" cm="1">
        <f t="array" ref="NK248">IFERROR(MAX((_xlfn.ANCHORARRAY(NH248)-AVERAGE(_xlfn.ANCHORARRAY(NH248)))/ AVERAGE(_xlfn.ANCHORARRAY(NH248))),0)</f>
        <v>0</v>
      </c>
      <c r="NN248" cm="1">
        <f t="array" ref="NN248:NR248">SUMIFS($J248:$GG248,$J$3:$GG$3,NN$3:NR$3)</f>
        <v>0</v>
      </c>
      <c r="NO248">
        <v>0</v>
      </c>
      <c r="NP248">
        <v>0</v>
      </c>
      <c r="NQ248">
        <v>0</v>
      </c>
      <c r="NR248">
        <v>0</v>
      </c>
      <c r="NS248" cm="1">
        <f t="array" ref="NS248">IFERROR(MAX((_xlfn.ANCHORARRAY(NN248)-AVERAGE(_xlfn.ANCHORARRAY(NN248)))/ AVERAGE(_xlfn.ANCHORARRAY(NN248))),0)</f>
        <v>0</v>
      </c>
      <c r="NV248" cm="1">
        <f t="array" ref="NV248:OE248">SUMIFS($J248:$GG248,$J$2:$GG$2,NV$3:OE$3)</f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 cm="1">
        <f t="array" ref="OF248">IFERROR(MAX((_xlfn.ANCHORARRAY(NV248)-AVERAGE(_xlfn.ANCHORARRAY(NV248)))/ AVERAGE(_xlfn.ANCHORARRAY(NV248))),0)</f>
        <v>0</v>
      </c>
      <c r="OI248" t="str">
        <f t="shared" si="52"/>
        <v/>
      </c>
    </row>
    <row r="249" spans="2:399" x14ac:dyDescent="0.3">
      <c r="B249" s="2" t="str">
        <f t="shared" si="53"/>
        <v>LLC</v>
      </c>
      <c r="C249" s="2" t="str">
        <f t="shared" si="54"/>
        <v>LLC</v>
      </c>
      <c r="D249" s="2" t="str">
        <f t="shared" si="55"/>
        <v>LLC</v>
      </c>
      <c r="E249" s="2" t="str">
        <f t="shared" si="56"/>
        <v/>
      </c>
      <c r="F249" s="2">
        <f t="shared" si="57"/>
        <v>0</v>
      </c>
      <c r="G249" s="2">
        <f t="shared" si="58"/>
        <v>0</v>
      </c>
      <c r="H249" s="2">
        <f t="shared" si="59"/>
        <v>0</v>
      </c>
      <c r="I249" s="2">
        <f t="shared" si="60"/>
        <v>0</v>
      </c>
      <c r="NH249" cm="1">
        <f t="array" ref="NH249:NJ249">SUMIFS($J249:$GG249,$J$1:$GG$1,NH$3:NJ$3)</f>
        <v>0</v>
      </c>
      <c r="NI249">
        <v>0</v>
      </c>
      <c r="NJ249">
        <v>0</v>
      </c>
      <c r="NK249" cm="1">
        <f t="array" ref="NK249">IFERROR(MAX((_xlfn.ANCHORARRAY(NH249)-AVERAGE(_xlfn.ANCHORARRAY(NH249)))/ AVERAGE(_xlfn.ANCHORARRAY(NH249))),0)</f>
        <v>0</v>
      </c>
      <c r="NN249" cm="1">
        <f t="array" ref="NN249:NR249">SUMIFS($J249:$GG249,$J$3:$GG$3,NN$3:NR$3)</f>
        <v>0</v>
      </c>
      <c r="NO249">
        <v>0</v>
      </c>
      <c r="NP249">
        <v>0</v>
      </c>
      <c r="NQ249">
        <v>0</v>
      </c>
      <c r="NR249">
        <v>0</v>
      </c>
      <c r="NS249" cm="1">
        <f t="array" ref="NS249">IFERROR(MAX((_xlfn.ANCHORARRAY(NN249)-AVERAGE(_xlfn.ANCHORARRAY(NN249)))/ AVERAGE(_xlfn.ANCHORARRAY(NN249))),0)</f>
        <v>0</v>
      </c>
      <c r="NV249" cm="1">
        <f t="array" ref="NV249:OE249">SUMIFS($J249:$GG249,$J$2:$GG$2,NV$3:OE$3)</f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 cm="1">
        <f t="array" ref="OF249">IFERROR(MAX((_xlfn.ANCHORARRAY(NV249)-AVERAGE(_xlfn.ANCHORARRAY(NV249)))/ AVERAGE(_xlfn.ANCHORARRAY(NV249))),0)</f>
        <v>0</v>
      </c>
      <c r="OI249" t="str">
        <f t="shared" si="52"/>
        <v/>
      </c>
    </row>
    <row r="250" spans="2:399" x14ac:dyDescent="0.3">
      <c r="B250" s="2" t="str">
        <f t="shared" ref="B250:B259" si="61">IF(C250="NotFound",D250,C250)</f>
        <v>LLC</v>
      </c>
      <c r="C250" s="2" t="str">
        <f t="shared" ref="C250:C259" si="62">IF(H250&gt;1,"NotFound","LLC"&amp;_xlfn.XLOOKUP(MAX(J250:GG250,1),J250:GG250,$J$4:$GG$4,""))</f>
        <v>LLC</v>
      </c>
      <c r="D250" s="2" t="str">
        <f t="shared" ref="D250:D259" si="63">IF(F250&gt;1,"NotFound","LLC"&amp;_xlfn.XLOOKUP(MAX(GI250:NF250,1),GI250:NF250,$GI$4:$NF$4,""))</f>
        <v>LLC</v>
      </c>
      <c r="E250" s="2" t="str">
        <f t="shared" ref="E250:E259" si="64">OI250</f>
        <v/>
      </c>
      <c r="F250" s="2">
        <f t="shared" ref="F250:F259" si="65">COUNTIF(GI250:NF250,G250)</f>
        <v>0</v>
      </c>
      <c r="G250" s="2">
        <f t="shared" ref="G250:G259" si="66">MAX(GI250:NF250)</f>
        <v>0</v>
      </c>
      <c r="H250" s="2">
        <f t="shared" ref="H250:H259" si="67">COUNTIF(J250:GG250,I250)</f>
        <v>0</v>
      </c>
      <c r="I250" s="2">
        <f t="shared" ref="I250:I259" si="68">MAX(J250:GG250)</f>
        <v>0</v>
      </c>
      <c r="NH250" cm="1">
        <f t="array" ref="NH250:NJ250">SUMIFS($J250:$GG250,$J$1:$GG$1,NH$3:NJ$3)</f>
        <v>0</v>
      </c>
      <c r="NI250">
        <v>0</v>
      </c>
      <c r="NJ250">
        <v>0</v>
      </c>
      <c r="NK250" cm="1">
        <f t="array" ref="NK250">IFERROR(MAX((_xlfn.ANCHORARRAY(NH250)-AVERAGE(_xlfn.ANCHORARRAY(NH250)))/ AVERAGE(_xlfn.ANCHORARRAY(NH250))),0)</f>
        <v>0</v>
      </c>
      <c r="NN250" cm="1">
        <f t="array" ref="NN250:NR250">SUMIFS($J250:$GG250,$J$3:$GG$3,NN$3:NR$3)</f>
        <v>0</v>
      </c>
      <c r="NO250">
        <v>0</v>
      </c>
      <c r="NP250">
        <v>0</v>
      </c>
      <c r="NQ250">
        <v>0</v>
      </c>
      <c r="NR250">
        <v>0</v>
      </c>
      <c r="NS250" cm="1">
        <f t="array" ref="NS250">IFERROR(MAX((_xlfn.ANCHORARRAY(NN250)-AVERAGE(_xlfn.ANCHORARRAY(NN250)))/ AVERAGE(_xlfn.ANCHORARRAY(NN250))),0)</f>
        <v>0</v>
      </c>
      <c r="NV250" cm="1">
        <f t="array" ref="NV250:OE250">SUMIFS($J250:$GG250,$J$2:$GG$2,NV$3:OE$3)</f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 cm="1">
        <f t="array" ref="OF250">IFERROR(MAX((_xlfn.ANCHORARRAY(NV250)-AVERAGE(_xlfn.ANCHORARRAY(NV250)))/ AVERAGE(_xlfn.ANCHORARRAY(NV250))),0)</f>
        <v>0</v>
      </c>
      <c r="OI250" t="str">
        <f t="shared" ref="OI250:OI259" si="69">_xlfn.TEXTJOIN(" : ",,NL250,NT250,OG250)</f>
        <v/>
      </c>
    </row>
    <row r="251" spans="2:399" x14ac:dyDescent="0.3">
      <c r="B251" s="2" t="str">
        <f t="shared" si="61"/>
        <v>LLC</v>
      </c>
      <c r="C251" s="2" t="str">
        <f t="shared" si="62"/>
        <v>LLC</v>
      </c>
      <c r="D251" s="2" t="str">
        <f t="shared" si="63"/>
        <v>LLC</v>
      </c>
      <c r="E251" s="2" t="str">
        <f t="shared" si="64"/>
        <v/>
      </c>
      <c r="F251" s="2">
        <f t="shared" si="65"/>
        <v>0</v>
      </c>
      <c r="G251" s="2">
        <f t="shared" si="66"/>
        <v>0</v>
      </c>
      <c r="H251" s="2">
        <f t="shared" si="67"/>
        <v>0</v>
      </c>
      <c r="I251" s="2">
        <f t="shared" si="68"/>
        <v>0</v>
      </c>
      <c r="NH251" cm="1">
        <f t="array" ref="NH251:NJ251">SUMIFS($J251:$GG251,$J$1:$GG$1,NH$3:NJ$3)</f>
        <v>0</v>
      </c>
      <c r="NI251">
        <v>0</v>
      </c>
      <c r="NJ251">
        <v>0</v>
      </c>
      <c r="NK251" cm="1">
        <f t="array" ref="NK251">IFERROR(MAX((_xlfn.ANCHORARRAY(NH251)-AVERAGE(_xlfn.ANCHORARRAY(NH251)))/ AVERAGE(_xlfn.ANCHORARRAY(NH251))),0)</f>
        <v>0</v>
      </c>
      <c r="NN251" cm="1">
        <f t="array" ref="NN251:NR251">SUMIFS($J251:$GG251,$J$3:$GG$3,NN$3:NR$3)</f>
        <v>0</v>
      </c>
      <c r="NO251">
        <v>0</v>
      </c>
      <c r="NP251">
        <v>0</v>
      </c>
      <c r="NQ251">
        <v>0</v>
      </c>
      <c r="NR251">
        <v>0</v>
      </c>
      <c r="NS251" cm="1">
        <f t="array" ref="NS251">IFERROR(MAX((_xlfn.ANCHORARRAY(NN251)-AVERAGE(_xlfn.ANCHORARRAY(NN251)))/ AVERAGE(_xlfn.ANCHORARRAY(NN251))),0)</f>
        <v>0</v>
      </c>
      <c r="NV251" cm="1">
        <f t="array" ref="NV251:OE251">SUMIFS($J251:$GG251,$J$2:$GG$2,NV$3:OE$3)</f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 cm="1">
        <f t="array" ref="OF251">IFERROR(MAX((_xlfn.ANCHORARRAY(NV251)-AVERAGE(_xlfn.ANCHORARRAY(NV251)))/ AVERAGE(_xlfn.ANCHORARRAY(NV251))),0)</f>
        <v>0</v>
      </c>
      <c r="OI251" t="str">
        <f t="shared" si="69"/>
        <v/>
      </c>
    </row>
    <row r="252" spans="2:399" x14ac:dyDescent="0.3">
      <c r="B252" s="2" t="str">
        <f t="shared" si="61"/>
        <v>LLC</v>
      </c>
      <c r="C252" s="2" t="str">
        <f t="shared" si="62"/>
        <v>LLC</v>
      </c>
      <c r="D252" s="2" t="str">
        <f t="shared" si="63"/>
        <v>LLC</v>
      </c>
      <c r="E252" s="2" t="str">
        <f t="shared" si="64"/>
        <v/>
      </c>
      <c r="F252" s="2">
        <f t="shared" si="65"/>
        <v>0</v>
      </c>
      <c r="G252" s="2">
        <f t="shared" si="66"/>
        <v>0</v>
      </c>
      <c r="H252" s="2">
        <f t="shared" si="67"/>
        <v>0</v>
      </c>
      <c r="I252" s="2">
        <f t="shared" si="68"/>
        <v>0</v>
      </c>
      <c r="NH252" cm="1">
        <f t="array" ref="NH252:NJ252">SUMIFS($J252:$GG252,$J$1:$GG$1,NH$3:NJ$3)</f>
        <v>0</v>
      </c>
      <c r="NI252">
        <v>0</v>
      </c>
      <c r="NJ252">
        <v>0</v>
      </c>
      <c r="NK252" cm="1">
        <f t="array" ref="NK252">IFERROR(MAX((_xlfn.ANCHORARRAY(NH252)-AVERAGE(_xlfn.ANCHORARRAY(NH252)))/ AVERAGE(_xlfn.ANCHORARRAY(NH252))),0)</f>
        <v>0</v>
      </c>
      <c r="NN252" cm="1">
        <f t="array" ref="NN252:NR252">SUMIFS($J252:$GG252,$J$3:$GG$3,NN$3:NR$3)</f>
        <v>0</v>
      </c>
      <c r="NO252">
        <v>0</v>
      </c>
      <c r="NP252">
        <v>0</v>
      </c>
      <c r="NQ252">
        <v>0</v>
      </c>
      <c r="NR252">
        <v>0</v>
      </c>
      <c r="NS252" cm="1">
        <f t="array" ref="NS252">IFERROR(MAX((_xlfn.ANCHORARRAY(NN252)-AVERAGE(_xlfn.ANCHORARRAY(NN252)))/ AVERAGE(_xlfn.ANCHORARRAY(NN252))),0)</f>
        <v>0</v>
      </c>
      <c r="NV252" cm="1">
        <f t="array" ref="NV252:OE252">SUMIFS($J252:$GG252,$J$2:$GG$2,NV$3:OE$3)</f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 cm="1">
        <f t="array" ref="OF252">IFERROR(MAX((_xlfn.ANCHORARRAY(NV252)-AVERAGE(_xlfn.ANCHORARRAY(NV252)))/ AVERAGE(_xlfn.ANCHORARRAY(NV252))),0)</f>
        <v>0</v>
      </c>
      <c r="OI252" t="str">
        <f t="shared" si="69"/>
        <v/>
      </c>
    </row>
    <row r="253" spans="2:399" x14ac:dyDescent="0.3">
      <c r="B253" s="2" t="str">
        <f t="shared" si="61"/>
        <v>LLC</v>
      </c>
      <c r="C253" s="2" t="str">
        <f t="shared" si="62"/>
        <v>LLC</v>
      </c>
      <c r="D253" s="2" t="str">
        <f t="shared" si="63"/>
        <v>LLC</v>
      </c>
      <c r="E253" s="2" t="str">
        <f t="shared" si="64"/>
        <v/>
      </c>
      <c r="F253" s="2">
        <f t="shared" si="65"/>
        <v>0</v>
      </c>
      <c r="G253" s="2">
        <f t="shared" si="66"/>
        <v>0</v>
      </c>
      <c r="H253" s="2">
        <f t="shared" si="67"/>
        <v>0</v>
      </c>
      <c r="I253" s="2">
        <f t="shared" si="68"/>
        <v>0</v>
      </c>
      <c r="NH253" cm="1">
        <f t="array" ref="NH253:NJ253">SUMIFS($J253:$GG253,$J$1:$GG$1,NH$3:NJ$3)</f>
        <v>0</v>
      </c>
      <c r="NI253">
        <v>0</v>
      </c>
      <c r="NJ253">
        <v>0</v>
      </c>
      <c r="NK253" cm="1">
        <f t="array" ref="NK253">IFERROR(MAX((_xlfn.ANCHORARRAY(NH253)-AVERAGE(_xlfn.ANCHORARRAY(NH253)))/ AVERAGE(_xlfn.ANCHORARRAY(NH253))),0)</f>
        <v>0</v>
      </c>
      <c r="NN253" cm="1">
        <f t="array" ref="NN253:NR253">SUMIFS($J253:$GG253,$J$3:$GG$3,NN$3:NR$3)</f>
        <v>0</v>
      </c>
      <c r="NO253">
        <v>0</v>
      </c>
      <c r="NP253">
        <v>0</v>
      </c>
      <c r="NQ253">
        <v>0</v>
      </c>
      <c r="NR253">
        <v>0</v>
      </c>
      <c r="NS253" cm="1">
        <f t="array" ref="NS253">IFERROR(MAX((_xlfn.ANCHORARRAY(NN253)-AVERAGE(_xlfn.ANCHORARRAY(NN253)))/ AVERAGE(_xlfn.ANCHORARRAY(NN253))),0)</f>
        <v>0</v>
      </c>
      <c r="NV253" cm="1">
        <f t="array" ref="NV253:OE253">SUMIFS($J253:$GG253,$J$2:$GG$2,NV$3:OE$3)</f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 cm="1">
        <f t="array" ref="OF253">IFERROR(MAX((_xlfn.ANCHORARRAY(NV253)-AVERAGE(_xlfn.ANCHORARRAY(NV253)))/ AVERAGE(_xlfn.ANCHORARRAY(NV253))),0)</f>
        <v>0</v>
      </c>
      <c r="OI253" t="str">
        <f t="shared" si="69"/>
        <v/>
      </c>
    </row>
    <row r="254" spans="2:399" x14ac:dyDescent="0.3">
      <c r="B254" s="2" t="str">
        <f t="shared" si="61"/>
        <v>LLC</v>
      </c>
      <c r="C254" s="2" t="str">
        <f t="shared" si="62"/>
        <v>LLC</v>
      </c>
      <c r="D254" s="2" t="str">
        <f t="shared" si="63"/>
        <v>LLC</v>
      </c>
      <c r="E254" s="2" t="str">
        <f t="shared" si="64"/>
        <v/>
      </c>
      <c r="F254" s="2">
        <f t="shared" si="65"/>
        <v>0</v>
      </c>
      <c r="G254" s="2">
        <f t="shared" si="66"/>
        <v>0</v>
      </c>
      <c r="H254" s="2">
        <f t="shared" si="67"/>
        <v>0</v>
      </c>
      <c r="I254" s="2">
        <f t="shared" si="68"/>
        <v>0</v>
      </c>
      <c r="NH254" cm="1">
        <f t="array" ref="NH254:NJ254">SUMIFS($J254:$GG254,$J$1:$GG$1,NH$3:NJ$3)</f>
        <v>0</v>
      </c>
      <c r="NI254">
        <v>0</v>
      </c>
      <c r="NJ254">
        <v>0</v>
      </c>
      <c r="NK254" cm="1">
        <f t="array" ref="NK254">IFERROR(MAX((_xlfn.ANCHORARRAY(NH254)-AVERAGE(_xlfn.ANCHORARRAY(NH254)))/ AVERAGE(_xlfn.ANCHORARRAY(NH254))),0)</f>
        <v>0</v>
      </c>
      <c r="NN254" cm="1">
        <f t="array" ref="NN254:NR254">SUMIFS($J254:$GG254,$J$3:$GG$3,NN$3:NR$3)</f>
        <v>0</v>
      </c>
      <c r="NO254">
        <v>0</v>
      </c>
      <c r="NP254">
        <v>0</v>
      </c>
      <c r="NQ254">
        <v>0</v>
      </c>
      <c r="NR254">
        <v>0</v>
      </c>
      <c r="NS254" cm="1">
        <f t="array" ref="NS254">IFERROR(MAX((_xlfn.ANCHORARRAY(NN254)-AVERAGE(_xlfn.ANCHORARRAY(NN254)))/ AVERAGE(_xlfn.ANCHORARRAY(NN254))),0)</f>
        <v>0</v>
      </c>
      <c r="NV254" cm="1">
        <f t="array" ref="NV254:OE254">SUMIFS($J254:$GG254,$J$2:$GG$2,NV$3:OE$3)</f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 cm="1">
        <f t="array" ref="OF254">IFERROR(MAX((_xlfn.ANCHORARRAY(NV254)-AVERAGE(_xlfn.ANCHORARRAY(NV254)))/ AVERAGE(_xlfn.ANCHORARRAY(NV254))),0)</f>
        <v>0</v>
      </c>
      <c r="OI254" t="str">
        <f t="shared" si="69"/>
        <v/>
      </c>
    </row>
    <row r="255" spans="2:399" x14ac:dyDescent="0.3">
      <c r="B255" s="2" t="str">
        <f t="shared" si="61"/>
        <v>LLC</v>
      </c>
      <c r="C255" s="2" t="str">
        <f t="shared" si="62"/>
        <v>LLC</v>
      </c>
      <c r="D255" s="2" t="str">
        <f t="shared" si="63"/>
        <v>LLC</v>
      </c>
      <c r="E255" s="2" t="str">
        <f t="shared" si="64"/>
        <v/>
      </c>
      <c r="F255" s="2">
        <f t="shared" si="65"/>
        <v>0</v>
      </c>
      <c r="G255" s="2">
        <f t="shared" si="66"/>
        <v>0</v>
      </c>
      <c r="H255" s="2">
        <f t="shared" si="67"/>
        <v>0</v>
      </c>
      <c r="I255" s="2">
        <f t="shared" si="68"/>
        <v>0</v>
      </c>
      <c r="NH255" cm="1">
        <f t="array" ref="NH255:NJ255">SUMIFS($J255:$GG255,$J$1:$GG$1,NH$3:NJ$3)</f>
        <v>0</v>
      </c>
      <c r="NI255">
        <v>0</v>
      </c>
      <c r="NJ255">
        <v>0</v>
      </c>
      <c r="NK255" cm="1">
        <f t="array" ref="NK255">IFERROR(MAX((_xlfn.ANCHORARRAY(NH255)-AVERAGE(_xlfn.ANCHORARRAY(NH255)))/ AVERAGE(_xlfn.ANCHORARRAY(NH255))),0)</f>
        <v>0</v>
      </c>
      <c r="NN255" cm="1">
        <f t="array" ref="NN255:NR255">SUMIFS($J255:$GG255,$J$3:$GG$3,NN$3:NR$3)</f>
        <v>0</v>
      </c>
      <c r="NO255">
        <v>0</v>
      </c>
      <c r="NP255">
        <v>0</v>
      </c>
      <c r="NQ255">
        <v>0</v>
      </c>
      <c r="NR255">
        <v>0</v>
      </c>
      <c r="NS255" cm="1">
        <f t="array" ref="NS255">IFERROR(MAX((_xlfn.ANCHORARRAY(NN255)-AVERAGE(_xlfn.ANCHORARRAY(NN255)))/ AVERAGE(_xlfn.ANCHORARRAY(NN255))),0)</f>
        <v>0</v>
      </c>
      <c r="NV255" cm="1">
        <f t="array" ref="NV255:OE255">SUMIFS($J255:$GG255,$J$2:$GG$2,NV$3:OE$3)</f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 cm="1">
        <f t="array" ref="OF255">IFERROR(MAX((_xlfn.ANCHORARRAY(NV255)-AVERAGE(_xlfn.ANCHORARRAY(NV255)))/ AVERAGE(_xlfn.ANCHORARRAY(NV255))),0)</f>
        <v>0</v>
      </c>
      <c r="OI255" t="str">
        <f t="shared" si="69"/>
        <v/>
      </c>
    </row>
    <row r="256" spans="2:399" x14ac:dyDescent="0.3">
      <c r="B256" s="2" t="str">
        <f t="shared" si="61"/>
        <v>LLC</v>
      </c>
      <c r="C256" s="2" t="str">
        <f t="shared" si="62"/>
        <v>LLC</v>
      </c>
      <c r="D256" s="2" t="str">
        <f t="shared" si="63"/>
        <v>LLC</v>
      </c>
      <c r="E256" s="2" t="str">
        <f t="shared" si="64"/>
        <v/>
      </c>
      <c r="F256" s="2">
        <f t="shared" si="65"/>
        <v>0</v>
      </c>
      <c r="G256" s="2">
        <f t="shared" si="66"/>
        <v>0</v>
      </c>
      <c r="H256" s="2">
        <f t="shared" si="67"/>
        <v>0</v>
      </c>
      <c r="I256" s="2">
        <f t="shared" si="68"/>
        <v>0</v>
      </c>
      <c r="NH256" cm="1">
        <f t="array" ref="NH256:NJ256">SUMIFS($J256:$GG256,$J$1:$GG$1,NH$3:NJ$3)</f>
        <v>0</v>
      </c>
      <c r="NI256">
        <v>0</v>
      </c>
      <c r="NJ256">
        <v>0</v>
      </c>
      <c r="NK256" cm="1">
        <f t="array" ref="NK256">IFERROR(MAX((_xlfn.ANCHORARRAY(NH256)-AVERAGE(_xlfn.ANCHORARRAY(NH256)))/ AVERAGE(_xlfn.ANCHORARRAY(NH256))),0)</f>
        <v>0</v>
      </c>
      <c r="NN256" cm="1">
        <f t="array" ref="NN256:NR256">SUMIFS($J256:$GG256,$J$3:$GG$3,NN$3:NR$3)</f>
        <v>0</v>
      </c>
      <c r="NO256">
        <v>0</v>
      </c>
      <c r="NP256">
        <v>0</v>
      </c>
      <c r="NQ256">
        <v>0</v>
      </c>
      <c r="NR256">
        <v>0</v>
      </c>
      <c r="NS256" cm="1">
        <f t="array" ref="NS256">IFERROR(MAX((_xlfn.ANCHORARRAY(NN256)-AVERAGE(_xlfn.ANCHORARRAY(NN256)))/ AVERAGE(_xlfn.ANCHORARRAY(NN256))),0)</f>
        <v>0</v>
      </c>
      <c r="NV256" cm="1">
        <f t="array" ref="NV256:OE256">SUMIFS($J256:$GG256,$J$2:$GG$2,NV$3:OE$3)</f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 cm="1">
        <f t="array" ref="OF256">IFERROR(MAX((_xlfn.ANCHORARRAY(NV256)-AVERAGE(_xlfn.ANCHORARRAY(NV256)))/ AVERAGE(_xlfn.ANCHORARRAY(NV256))),0)</f>
        <v>0</v>
      </c>
      <c r="OI256" t="str">
        <f t="shared" si="69"/>
        <v/>
      </c>
    </row>
    <row r="257" spans="2:399" x14ac:dyDescent="0.3">
      <c r="B257" s="2" t="str">
        <f t="shared" si="61"/>
        <v>LLC</v>
      </c>
      <c r="C257" s="2" t="str">
        <f t="shared" si="62"/>
        <v>LLC</v>
      </c>
      <c r="D257" s="2" t="str">
        <f t="shared" si="63"/>
        <v>LLC</v>
      </c>
      <c r="E257" s="2" t="str">
        <f t="shared" si="64"/>
        <v/>
      </c>
      <c r="F257" s="2">
        <f t="shared" si="65"/>
        <v>0</v>
      </c>
      <c r="G257" s="2">
        <f t="shared" si="66"/>
        <v>0</v>
      </c>
      <c r="H257" s="2">
        <f t="shared" si="67"/>
        <v>0</v>
      </c>
      <c r="I257" s="2">
        <f t="shared" si="68"/>
        <v>0</v>
      </c>
      <c r="NH257" cm="1">
        <f t="array" ref="NH257:NJ257">SUMIFS($J257:$GG257,$J$1:$GG$1,NH$3:NJ$3)</f>
        <v>0</v>
      </c>
      <c r="NI257">
        <v>0</v>
      </c>
      <c r="NJ257">
        <v>0</v>
      </c>
      <c r="NK257" cm="1">
        <f t="array" ref="NK257">IFERROR(MAX((_xlfn.ANCHORARRAY(NH257)-AVERAGE(_xlfn.ANCHORARRAY(NH257)))/ AVERAGE(_xlfn.ANCHORARRAY(NH257))),0)</f>
        <v>0</v>
      </c>
      <c r="NN257" cm="1">
        <f t="array" ref="NN257:NR257">SUMIFS($J257:$GG257,$J$3:$GG$3,NN$3:NR$3)</f>
        <v>0</v>
      </c>
      <c r="NO257">
        <v>0</v>
      </c>
      <c r="NP257">
        <v>0</v>
      </c>
      <c r="NQ257">
        <v>0</v>
      </c>
      <c r="NR257">
        <v>0</v>
      </c>
      <c r="NS257" cm="1">
        <f t="array" ref="NS257">IFERROR(MAX((_xlfn.ANCHORARRAY(NN257)-AVERAGE(_xlfn.ANCHORARRAY(NN257)))/ AVERAGE(_xlfn.ANCHORARRAY(NN257))),0)</f>
        <v>0</v>
      </c>
      <c r="NV257" cm="1">
        <f t="array" ref="NV257:OE257">SUMIFS($J257:$GG257,$J$2:$GG$2,NV$3:OE$3)</f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 cm="1">
        <f t="array" ref="OF257">IFERROR(MAX((_xlfn.ANCHORARRAY(NV257)-AVERAGE(_xlfn.ANCHORARRAY(NV257)))/ AVERAGE(_xlfn.ANCHORARRAY(NV257))),0)</f>
        <v>0</v>
      </c>
      <c r="OI257" t="str">
        <f t="shared" si="69"/>
        <v/>
      </c>
    </row>
    <row r="258" spans="2:399" x14ac:dyDescent="0.3">
      <c r="B258" s="2" t="str">
        <f t="shared" si="61"/>
        <v>LLC</v>
      </c>
      <c r="C258" s="2" t="str">
        <f t="shared" si="62"/>
        <v>LLC</v>
      </c>
      <c r="D258" s="2" t="str">
        <f t="shared" si="63"/>
        <v>LLC</v>
      </c>
      <c r="E258" s="2" t="str">
        <f t="shared" si="64"/>
        <v/>
      </c>
      <c r="F258" s="2">
        <f t="shared" si="65"/>
        <v>0</v>
      </c>
      <c r="G258" s="2">
        <f t="shared" si="66"/>
        <v>0</v>
      </c>
      <c r="H258" s="2">
        <f t="shared" si="67"/>
        <v>0</v>
      </c>
      <c r="I258" s="2">
        <f t="shared" si="68"/>
        <v>0</v>
      </c>
      <c r="NH258" cm="1">
        <f t="array" ref="NH258:NJ258">SUMIFS($J258:$GG258,$J$1:$GG$1,NH$3:NJ$3)</f>
        <v>0</v>
      </c>
      <c r="NI258">
        <v>0</v>
      </c>
      <c r="NJ258">
        <v>0</v>
      </c>
      <c r="NK258" cm="1">
        <f t="array" ref="NK258">IFERROR(MAX((_xlfn.ANCHORARRAY(NH258)-AVERAGE(_xlfn.ANCHORARRAY(NH258)))/ AVERAGE(_xlfn.ANCHORARRAY(NH258))),0)</f>
        <v>0</v>
      </c>
      <c r="NN258" cm="1">
        <f t="array" ref="NN258:NR258">SUMIFS($J258:$GG258,$J$3:$GG$3,NN$3:NR$3)</f>
        <v>0</v>
      </c>
      <c r="NO258">
        <v>0</v>
      </c>
      <c r="NP258">
        <v>0</v>
      </c>
      <c r="NQ258">
        <v>0</v>
      </c>
      <c r="NR258">
        <v>0</v>
      </c>
      <c r="NS258" cm="1">
        <f t="array" ref="NS258">IFERROR(MAX((_xlfn.ANCHORARRAY(NN258)-AVERAGE(_xlfn.ANCHORARRAY(NN258)))/ AVERAGE(_xlfn.ANCHORARRAY(NN258))),0)</f>
        <v>0</v>
      </c>
      <c r="NV258" cm="1">
        <f t="array" ref="NV258:OE258">SUMIFS($J258:$GG258,$J$2:$GG$2,NV$3:OE$3)</f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 cm="1">
        <f t="array" ref="OF258">IFERROR(MAX((_xlfn.ANCHORARRAY(NV258)-AVERAGE(_xlfn.ANCHORARRAY(NV258)))/ AVERAGE(_xlfn.ANCHORARRAY(NV258))),0)</f>
        <v>0</v>
      </c>
      <c r="OI258" t="str">
        <f t="shared" si="69"/>
        <v/>
      </c>
    </row>
    <row r="259" spans="2:399" x14ac:dyDescent="0.3">
      <c r="B259" s="2" t="str">
        <f t="shared" si="61"/>
        <v>LLC</v>
      </c>
      <c r="C259" s="2" t="str">
        <f t="shared" si="62"/>
        <v>LLC</v>
      </c>
      <c r="D259" s="2" t="str">
        <f t="shared" si="63"/>
        <v>LLC</v>
      </c>
      <c r="E259" s="2" t="str">
        <f t="shared" si="64"/>
        <v/>
      </c>
      <c r="F259" s="2">
        <f t="shared" si="65"/>
        <v>0</v>
      </c>
      <c r="G259" s="2">
        <f t="shared" si="66"/>
        <v>0</v>
      </c>
      <c r="H259" s="2">
        <f t="shared" si="67"/>
        <v>0</v>
      </c>
      <c r="I259" s="2">
        <f t="shared" si="68"/>
        <v>0</v>
      </c>
      <c r="NH259" cm="1">
        <f t="array" ref="NH259:NJ259">SUMIFS($J259:$GG259,$J$1:$GG$1,NH$3:NJ$3)</f>
        <v>0</v>
      </c>
      <c r="NI259">
        <v>0</v>
      </c>
      <c r="NJ259">
        <v>0</v>
      </c>
      <c r="NK259" cm="1">
        <f t="array" ref="NK259">IFERROR(MAX((_xlfn.ANCHORARRAY(NH259)-AVERAGE(_xlfn.ANCHORARRAY(NH259)))/ AVERAGE(_xlfn.ANCHORARRAY(NH259))),0)</f>
        <v>0</v>
      </c>
      <c r="NN259" cm="1">
        <f t="array" ref="NN259:NR259">SUMIFS($J259:$GG259,$J$3:$GG$3,NN$3:NR$3)</f>
        <v>0</v>
      </c>
      <c r="NO259">
        <v>0</v>
      </c>
      <c r="NP259">
        <v>0</v>
      </c>
      <c r="NQ259">
        <v>0</v>
      </c>
      <c r="NR259">
        <v>0</v>
      </c>
      <c r="NS259" cm="1">
        <f t="array" ref="NS259">IFERROR(MAX((_xlfn.ANCHORARRAY(NN259)-AVERAGE(_xlfn.ANCHORARRAY(NN259)))/ AVERAGE(_xlfn.ANCHORARRAY(NN259))),0)</f>
        <v>0</v>
      </c>
      <c r="NV259" cm="1">
        <f t="array" ref="NV259:OE259">SUMIFS($J259:$GG259,$J$2:$GG$2,NV$3:OE$3)</f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 cm="1">
        <f t="array" ref="OF259">IFERROR(MAX((_xlfn.ANCHORARRAY(NV259)-AVERAGE(_xlfn.ANCHORARRAY(NV259)))/ AVERAGE(_xlfn.ANCHORARRAY(NV259))),0)</f>
        <v>0</v>
      </c>
      <c r="OI259" t="str">
        <f t="shared" si="69"/>
        <v/>
      </c>
    </row>
    <row r="260" spans="2:399" x14ac:dyDescent="0.3">
      <c r="B260" s="2" t="str">
        <f t="shared" ref="B260:B280" si="70">IF(C260="NotFound",D260,C260)</f>
        <v>LLC</v>
      </c>
      <c r="C260" s="2" t="str">
        <f t="shared" ref="C260:C280" si="71">IF(H260&gt;1,"NotFound","LLC"&amp;_xlfn.XLOOKUP(MAX(J260:GG260,1),J260:GG260,$J$4:$GG$4,""))</f>
        <v>LLC</v>
      </c>
      <c r="D260" s="2" t="str">
        <f t="shared" ref="D260:D280" si="72">IF(F260&gt;1,"NotFound","LLC"&amp;_xlfn.XLOOKUP(MAX(GI260:NF260,1),GI260:NF260,$GI$4:$NF$4,""))</f>
        <v>LLC</v>
      </c>
      <c r="E260" s="2" t="str">
        <f t="shared" ref="E260:E280" si="73">OI260</f>
        <v/>
      </c>
      <c r="F260" s="2">
        <f t="shared" ref="F260:F280" si="74">COUNTIF(GI260:NF260,G260)</f>
        <v>0</v>
      </c>
      <c r="G260" s="2">
        <f t="shared" ref="G260:G280" si="75">MAX(GI260:NF260)</f>
        <v>0</v>
      </c>
      <c r="H260" s="2">
        <f t="shared" ref="H260:H280" si="76">COUNTIF(J260:GG260,I260)</f>
        <v>0</v>
      </c>
      <c r="I260" s="2">
        <f t="shared" ref="I260:I280" si="77">MAX(J260:GG260)</f>
        <v>0</v>
      </c>
      <c r="NH260" cm="1">
        <f t="array" ref="NH260:NJ260">SUMIFS($J260:$GG260,$J$1:$GG$1,NH$3:NJ$3)</f>
        <v>0</v>
      </c>
      <c r="NI260">
        <v>0</v>
      </c>
      <c r="NJ260">
        <v>0</v>
      </c>
      <c r="NK260" cm="1">
        <f t="array" ref="NK260">IFERROR(MAX((_xlfn.ANCHORARRAY(NH260)-AVERAGE(_xlfn.ANCHORARRAY(NH260)))/ AVERAGE(_xlfn.ANCHORARRAY(NH260))),0)</f>
        <v>0</v>
      </c>
      <c r="NN260" cm="1">
        <f t="array" ref="NN260:NR260">SUMIFS($J260:$GG260,$J$3:$GG$3,NN$3:NR$3)</f>
        <v>0</v>
      </c>
      <c r="NO260">
        <v>0</v>
      </c>
      <c r="NP260">
        <v>0</v>
      </c>
      <c r="NQ260">
        <v>0</v>
      </c>
      <c r="NR260">
        <v>0</v>
      </c>
      <c r="NS260" cm="1">
        <f t="array" ref="NS260">IFERROR(MAX((_xlfn.ANCHORARRAY(NN260)-AVERAGE(_xlfn.ANCHORARRAY(NN260)))/ AVERAGE(_xlfn.ANCHORARRAY(NN260))),0)</f>
        <v>0</v>
      </c>
      <c r="NV260" cm="1">
        <f t="array" ref="NV260:OE260">SUMIFS($J260:$GG260,$J$2:$GG$2,NV$3:OE$3)</f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 cm="1">
        <f t="array" ref="OF260">IFERROR(MAX((_xlfn.ANCHORARRAY(NV260)-AVERAGE(_xlfn.ANCHORARRAY(NV260)))/ AVERAGE(_xlfn.ANCHORARRAY(NV260))),0)</f>
        <v>0</v>
      </c>
      <c r="OI260" t="str">
        <f t="shared" ref="OI260:OI280" si="78">_xlfn.TEXTJOIN(" : ",,NL260,NT260,OG260)</f>
        <v/>
      </c>
    </row>
    <row r="261" spans="2:399" x14ac:dyDescent="0.3">
      <c r="B261" s="2" t="str">
        <f t="shared" si="70"/>
        <v>LLC</v>
      </c>
      <c r="C261" s="2" t="str">
        <f t="shared" si="71"/>
        <v>LLC</v>
      </c>
      <c r="D261" s="2" t="str">
        <f t="shared" si="72"/>
        <v>LLC</v>
      </c>
      <c r="E261" s="2" t="str">
        <f t="shared" si="73"/>
        <v/>
      </c>
      <c r="F261" s="2">
        <f t="shared" si="74"/>
        <v>0</v>
      </c>
      <c r="G261" s="2">
        <f t="shared" si="75"/>
        <v>0</v>
      </c>
      <c r="H261" s="2">
        <f t="shared" si="76"/>
        <v>0</v>
      </c>
      <c r="I261" s="2">
        <f t="shared" si="77"/>
        <v>0</v>
      </c>
      <c r="NH261" cm="1">
        <f t="array" ref="NH261:NJ261">SUMIFS($J261:$GG261,$J$1:$GG$1,NH$3:NJ$3)</f>
        <v>0</v>
      </c>
      <c r="NI261">
        <v>0</v>
      </c>
      <c r="NJ261">
        <v>0</v>
      </c>
      <c r="NK261" cm="1">
        <f t="array" ref="NK261">IFERROR(MAX((_xlfn.ANCHORARRAY(NH261)-AVERAGE(_xlfn.ANCHORARRAY(NH261)))/ AVERAGE(_xlfn.ANCHORARRAY(NH261))),0)</f>
        <v>0</v>
      </c>
      <c r="NN261" cm="1">
        <f t="array" ref="NN261:NR261">SUMIFS($J261:$GG261,$J$3:$GG$3,NN$3:NR$3)</f>
        <v>0</v>
      </c>
      <c r="NO261">
        <v>0</v>
      </c>
      <c r="NP261">
        <v>0</v>
      </c>
      <c r="NQ261">
        <v>0</v>
      </c>
      <c r="NR261">
        <v>0</v>
      </c>
      <c r="NS261" cm="1">
        <f t="array" ref="NS261">IFERROR(MAX((_xlfn.ANCHORARRAY(NN261)-AVERAGE(_xlfn.ANCHORARRAY(NN261)))/ AVERAGE(_xlfn.ANCHORARRAY(NN261))),0)</f>
        <v>0</v>
      </c>
      <c r="NV261" cm="1">
        <f t="array" ref="NV261:OE261">SUMIFS($J261:$GG261,$J$2:$GG$2,NV$3:OE$3)</f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 cm="1">
        <f t="array" ref="OF261">IFERROR(MAX((_xlfn.ANCHORARRAY(NV261)-AVERAGE(_xlfn.ANCHORARRAY(NV261)))/ AVERAGE(_xlfn.ANCHORARRAY(NV261))),0)</f>
        <v>0</v>
      </c>
      <c r="OI261" t="str">
        <f t="shared" si="78"/>
        <v/>
      </c>
    </row>
    <row r="262" spans="2:399" x14ac:dyDescent="0.3">
      <c r="B262" s="2" t="str">
        <f t="shared" si="70"/>
        <v>LLC</v>
      </c>
      <c r="C262" s="2" t="str">
        <f t="shared" si="71"/>
        <v>LLC</v>
      </c>
      <c r="D262" s="2" t="str">
        <f t="shared" si="72"/>
        <v>LLC</v>
      </c>
      <c r="E262" s="2" t="str">
        <f t="shared" si="73"/>
        <v/>
      </c>
      <c r="F262" s="2">
        <f t="shared" si="74"/>
        <v>0</v>
      </c>
      <c r="G262" s="2">
        <f t="shared" si="75"/>
        <v>0</v>
      </c>
      <c r="H262" s="2">
        <f t="shared" si="76"/>
        <v>0</v>
      </c>
      <c r="I262" s="2">
        <f t="shared" si="77"/>
        <v>0</v>
      </c>
      <c r="NH262" cm="1">
        <f t="array" ref="NH262:NJ262">SUMIFS($J262:$GG262,$J$1:$GG$1,NH$3:NJ$3)</f>
        <v>0</v>
      </c>
      <c r="NI262">
        <v>0</v>
      </c>
      <c r="NJ262">
        <v>0</v>
      </c>
      <c r="NK262" cm="1">
        <f t="array" ref="NK262">IFERROR(MAX((_xlfn.ANCHORARRAY(NH262)-AVERAGE(_xlfn.ANCHORARRAY(NH262)))/ AVERAGE(_xlfn.ANCHORARRAY(NH262))),0)</f>
        <v>0</v>
      </c>
      <c r="NN262" cm="1">
        <f t="array" ref="NN262:NR262">SUMIFS($J262:$GG262,$J$3:$GG$3,NN$3:NR$3)</f>
        <v>0</v>
      </c>
      <c r="NO262">
        <v>0</v>
      </c>
      <c r="NP262">
        <v>0</v>
      </c>
      <c r="NQ262">
        <v>0</v>
      </c>
      <c r="NR262">
        <v>0</v>
      </c>
      <c r="NS262" cm="1">
        <f t="array" ref="NS262">IFERROR(MAX((_xlfn.ANCHORARRAY(NN262)-AVERAGE(_xlfn.ANCHORARRAY(NN262)))/ AVERAGE(_xlfn.ANCHORARRAY(NN262))),0)</f>
        <v>0</v>
      </c>
      <c r="NV262" cm="1">
        <f t="array" ref="NV262:OE262">SUMIFS($J262:$GG262,$J$2:$GG$2,NV$3:OE$3)</f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 cm="1">
        <f t="array" ref="OF262">IFERROR(MAX((_xlfn.ANCHORARRAY(NV262)-AVERAGE(_xlfn.ANCHORARRAY(NV262)))/ AVERAGE(_xlfn.ANCHORARRAY(NV262))),0)</f>
        <v>0</v>
      </c>
      <c r="OI262" t="str">
        <f t="shared" si="78"/>
        <v/>
      </c>
    </row>
    <row r="263" spans="2:399" x14ac:dyDescent="0.3">
      <c r="B263" s="2" t="str">
        <f t="shared" si="70"/>
        <v>LLC</v>
      </c>
      <c r="C263" s="2" t="str">
        <f t="shared" si="71"/>
        <v>LLC</v>
      </c>
      <c r="D263" s="2" t="str">
        <f t="shared" si="72"/>
        <v>LLC</v>
      </c>
      <c r="E263" s="2" t="str">
        <f t="shared" si="73"/>
        <v/>
      </c>
      <c r="F263" s="2">
        <f t="shared" si="74"/>
        <v>0</v>
      </c>
      <c r="G263" s="2">
        <f t="shared" si="75"/>
        <v>0</v>
      </c>
      <c r="H263" s="2">
        <f t="shared" si="76"/>
        <v>0</v>
      </c>
      <c r="I263" s="2">
        <f t="shared" si="77"/>
        <v>0</v>
      </c>
      <c r="NH263" cm="1">
        <f t="array" ref="NH263:NJ263">SUMIFS($J263:$GG263,$J$1:$GG$1,NH$3:NJ$3)</f>
        <v>0</v>
      </c>
      <c r="NI263">
        <v>0</v>
      </c>
      <c r="NJ263">
        <v>0</v>
      </c>
      <c r="NK263" cm="1">
        <f t="array" ref="NK263">IFERROR(MAX((_xlfn.ANCHORARRAY(NH263)-AVERAGE(_xlfn.ANCHORARRAY(NH263)))/ AVERAGE(_xlfn.ANCHORARRAY(NH263))),0)</f>
        <v>0</v>
      </c>
      <c r="NN263" cm="1">
        <f t="array" ref="NN263:NR263">SUMIFS($J263:$GG263,$J$3:$GG$3,NN$3:NR$3)</f>
        <v>0</v>
      </c>
      <c r="NO263">
        <v>0</v>
      </c>
      <c r="NP263">
        <v>0</v>
      </c>
      <c r="NQ263">
        <v>0</v>
      </c>
      <c r="NR263">
        <v>0</v>
      </c>
      <c r="NS263" cm="1">
        <f t="array" ref="NS263">IFERROR(MAX((_xlfn.ANCHORARRAY(NN263)-AVERAGE(_xlfn.ANCHORARRAY(NN263)))/ AVERAGE(_xlfn.ANCHORARRAY(NN263))),0)</f>
        <v>0</v>
      </c>
      <c r="NV263" cm="1">
        <f t="array" ref="NV263:OE263">SUMIFS($J263:$GG263,$J$2:$GG$2,NV$3:OE$3)</f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 cm="1">
        <f t="array" ref="OF263">IFERROR(MAX((_xlfn.ANCHORARRAY(NV263)-AVERAGE(_xlfn.ANCHORARRAY(NV263)))/ AVERAGE(_xlfn.ANCHORARRAY(NV263))),0)</f>
        <v>0</v>
      </c>
      <c r="OI263" t="str">
        <f t="shared" si="78"/>
        <v/>
      </c>
    </row>
    <row r="264" spans="2:399" x14ac:dyDescent="0.3">
      <c r="B264" s="2" t="str">
        <f t="shared" si="70"/>
        <v>LLC</v>
      </c>
      <c r="C264" s="2" t="str">
        <f t="shared" si="71"/>
        <v>LLC</v>
      </c>
      <c r="D264" s="2" t="str">
        <f t="shared" si="72"/>
        <v>LLC</v>
      </c>
      <c r="E264" s="2" t="str">
        <f t="shared" si="73"/>
        <v/>
      </c>
      <c r="F264" s="2">
        <f t="shared" si="74"/>
        <v>0</v>
      </c>
      <c r="G264" s="2">
        <f t="shared" si="75"/>
        <v>0</v>
      </c>
      <c r="H264" s="2">
        <f t="shared" si="76"/>
        <v>0</v>
      </c>
      <c r="I264" s="2">
        <f t="shared" si="77"/>
        <v>0</v>
      </c>
      <c r="NH264" cm="1">
        <f t="array" ref="NH264:NJ264">SUMIFS($J264:$GG264,$J$1:$GG$1,NH$3:NJ$3)</f>
        <v>0</v>
      </c>
      <c r="NI264">
        <v>0</v>
      </c>
      <c r="NJ264">
        <v>0</v>
      </c>
      <c r="NK264" cm="1">
        <f t="array" ref="NK264">IFERROR(MAX((_xlfn.ANCHORARRAY(NH264)-AVERAGE(_xlfn.ANCHORARRAY(NH264)))/ AVERAGE(_xlfn.ANCHORARRAY(NH264))),0)</f>
        <v>0</v>
      </c>
      <c r="NN264" cm="1">
        <f t="array" ref="NN264:NR264">SUMIFS($J264:$GG264,$J$3:$GG$3,NN$3:NR$3)</f>
        <v>0</v>
      </c>
      <c r="NO264">
        <v>0</v>
      </c>
      <c r="NP264">
        <v>0</v>
      </c>
      <c r="NQ264">
        <v>0</v>
      </c>
      <c r="NR264">
        <v>0</v>
      </c>
      <c r="NS264" cm="1">
        <f t="array" ref="NS264">IFERROR(MAX((_xlfn.ANCHORARRAY(NN264)-AVERAGE(_xlfn.ANCHORARRAY(NN264)))/ AVERAGE(_xlfn.ANCHORARRAY(NN264))),0)</f>
        <v>0</v>
      </c>
      <c r="NV264" cm="1">
        <f t="array" ref="NV264:OE264">SUMIFS($J264:$GG264,$J$2:$GG$2,NV$3:OE$3)</f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 cm="1">
        <f t="array" ref="OF264">IFERROR(MAX((_xlfn.ANCHORARRAY(NV264)-AVERAGE(_xlfn.ANCHORARRAY(NV264)))/ AVERAGE(_xlfn.ANCHORARRAY(NV264))),0)</f>
        <v>0</v>
      </c>
      <c r="OI264" t="str">
        <f t="shared" si="78"/>
        <v/>
      </c>
    </row>
    <row r="265" spans="2:399" x14ac:dyDescent="0.3">
      <c r="B265" s="2" t="str">
        <f t="shared" si="70"/>
        <v>LLC</v>
      </c>
      <c r="C265" s="2" t="str">
        <f t="shared" si="71"/>
        <v>LLC</v>
      </c>
      <c r="D265" s="2" t="str">
        <f t="shared" si="72"/>
        <v>LLC</v>
      </c>
      <c r="E265" s="2" t="str">
        <f t="shared" si="73"/>
        <v/>
      </c>
      <c r="F265" s="2">
        <f t="shared" si="74"/>
        <v>0</v>
      </c>
      <c r="G265" s="2">
        <f t="shared" si="75"/>
        <v>0</v>
      </c>
      <c r="H265" s="2">
        <f t="shared" si="76"/>
        <v>0</v>
      </c>
      <c r="I265" s="2">
        <f t="shared" si="77"/>
        <v>0</v>
      </c>
      <c r="NH265" cm="1">
        <f t="array" ref="NH265:NJ265">SUMIFS($J265:$GG265,$J$1:$GG$1,NH$3:NJ$3)</f>
        <v>0</v>
      </c>
      <c r="NI265">
        <v>0</v>
      </c>
      <c r="NJ265">
        <v>0</v>
      </c>
      <c r="NK265" cm="1">
        <f t="array" ref="NK265">IFERROR(MAX((_xlfn.ANCHORARRAY(NH265)-AVERAGE(_xlfn.ANCHORARRAY(NH265)))/ AVERAGE(_xlfn.ANCHORARRAY(NH265))),0)</f>
        <v>0</v>
      </c>
      <c r="NN265" cm="1">
        <f t="array" ref="NN265:NR265">SUMIFS($J265:$GG265,$J$3:$GG$3,NN$3:NR$3)</f>
        <v>0</v>
      </c>
      <c r="NO265">
        <v>0</v>
      </c>
      <c r="NP265">
        <v>0</v>
      </c>
      <c r="NQ265">
        <v>0</v>
      </c>
      <c r="NR265">
        <v>0</v>
      </c>
      <c r="NS265" cm="1">
        <f t="array" ref="NS265">IFERROR(MAX((_xlfn.ANCHORARRAY(NN265)-AVERAGE(_xlfn.ANCHORARRAY(NN265)))/ AVERAGE(_xlfn.ANCHORARRAY(NN265))),0)</f>
        <v>0</v>
      </c>
      <c r="NV265" cm="1">
        <f t="array" ref="NV265:OE265">SUMIFS($J265:$GG265,$J$2:$GG$2,NV$3:OE$3)</f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 cm="1">
        <f t="array" ref="OF265">IFERROR(MAX((_xlfn.ANCHORARRAY(NV265)-AVERAGE(_xlfn.ANCHORARRAY(NV265)))/ AVERAGE(_xlfn.ANCHORARRAY(NV265))),0)</f>
        <v>0</v>
      </c>
      <c r="OI265" t="str">
        <f t="shared" si="78"/>
        <v/>
      </c>
    </row>
    <row r="266" spans="2:399" x14ac:dyDescent="0.3">
      <c r="B266" s="2" t="str">
        <f t="shared" si="70"/>
        <v>LLC</v>
      </c>
      <c r="C266" s="2" t="str">
        <f t="shared" si="71"/>
        <v>LLC</v>
      </c>
      <c r="D266" s="2" t="str">
        <f t="shared" si="72"/>
        <v>LLC</v>
      </c>
      <c r="E266" s="2" t="str">
        <f t="shared" si="73"/>
        <v/>
      </c>
      <c r="F266" s="2">
        <f t="shared" si="74"/>
        <v>0</v>
      </c>
      <c r="G266" s="2">
        <f t="shared" si="75"/>
        <v>0</v>
      </c>
      <c r="H266" s="2">
        <f t="shared" si="76"/>
        <v>0</v>
      </c>
      <c r="I266" s="2">
        <f t="shared" si="77"/>
        <v>0</v>
      </c>
      <c r="NH266" cm="1">
        <f t="array" ref="NH266:NJ266">SUMIFS($J266:$GG266,$J$1:$GG$1,NH$3:NJ$3)</f>
        <v>0</v>
      </c>
      <c r="NI266">
        <v>0</v>
      </c>
      <c r="NJ266">
        <v>0</v>
      </c>
      <c r="NK266" cm="1">
        <f t="array" ref="NK266">IFERROR(MAX((_xlfn.ANCHORARRAY(NH266)-AVERAGE(_xlfn.ANCHORARRAY(NH266)))/ AVERAGE(_xlfn.ANCHORARRAY(NH266))),0)</f>
        <v>0</v>
      </c>
      <c r="NN266" cm="1">
        <f t="array" ref="NN266:NR266">SUMIFS($J266:$GG266,$J$3:$GG$3,NN$3:NR$3)</f>
        <v>0</v>
      </c>
      <c r="NO266">
        <v>0</v>
      </c>
      <c r="NP266">
        <v>0</v>
      </c>
      <c r="NQ266">
        <v>0</v>
      </c>
      <c r="NR266">
        <v>0</v>
      </c>
      <c r="NS266" cm="1">
        <f t="array" ref="NS266">IFERROR(MAX((_xlfn.ANCHORARRAY(NN266)-AVERAGE(_xlfn.ANCHORARRAY(NN266)))/ AVERAGE(_xlfn.ANCHORARRAY(NN266))),0)</f>
        <v>0</v>
      </c>
      <c r="NV266" cm="1">
        <f t="array" ref="NV266:OE266">SUMIFS($J266:$GG266,$J$2:$GG$2,NV$3:OE$3)</f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 cm="1">
        <f t="array" ref="OF266">IFERROR(MAX((_xlfn.ANCHORARRAY(NV266)-AVERAGE(_xlfn.ANCHORARRAY(NV266)))/ AVERAGE(_xlfn.ANCHORARRAY(NV266))),0)</f>
        <v>0</v>
      </c>
      <c r="OI266" t="str">
        <f t="shared" si="78"/>
        <v/>
      </c>
    </row>
    <row r="267" spans="2:399" x14ac:dyDescent="0.3">
      <c r="B267" s="2" t="str">
        <f t="shared" si="70"/>
        <v>LLC</v>
      </c>
      <c r="C267" s="2" t="str">
        <f t="shared" si="71"/>
        <v>LLC</v>
      </c>
      <c r="D267" s="2" t="str">
        <f t="shared" si="72"/>
        <v>LLC</v>
      </c>
      <c r="E267" s="2" t="str">
        <f t="shared" si="73"/>
        <v/>
      </c>
      <c r="F267" s="2">
        <f t="shared" si="74"/>
        <v>0</v>
      </c>
      <c r="G267" s="2">
        <f t="shared" si="75"/>
        <v>0</v>
      </c>
      <c r="H267" s="2">
        <f t="shared" si="76"/>
        <v>0</v>
      </c>
      <c r="I267" s="2">
        <f t="shared" si="77"/>
        <v>0</v>
      </c>
      <c r="NH267" cm="1">
        <f t="array" ref="NH267:NJ267">SUMIFS($J267:$GG267,$J$1:$GG$1,NH$3:NJ$3)</f>
        <v>0</v>
      </c>
      <c r="NI267">
        <v>0</v>
      </c>
      <c r="NJ267">
        <v>0</v>
      </c>
      <c r="NK267" cm="1">
        <f t="array" ref="NK267">IFERROR(MAX((_xlfn.ANCHORARRAY(NH267)-AVERAGE(_xlfn.ANCHORARRAY(NH267)))/ AVERAGE(_xlfn.ANCHORARRAY(NH267))),0)</f>
        <v>0</v>
      </c>
      <c r="NN267" cm="1">
        <f t="array" ref="NN267:NR267">SUMIFS($J267:$GG267,$J$3:$GG$3,NN$3:NR$3)</f>
        <v>0</v>
      </c>
      <c r="NO267">
        <v>0</v>
      </c>
      <c r="NP267">
        <v>0</v>
      </c>
      <c r="NQ267">
        <v>0</v>
      </c>
      <c r="NR267">
        <v>0</v>
      </c>
      <c r="NS267" cm="1">
        <f t="array" ref="NS267">IFERROR(MAX((_xlfn.ANCHORARRAY(NN267)-AVERAGE(_xlfn.ANCHORARRAY(NN267)))/ AVERAGE(_xlfn.ANCHORARRAY(NN267))),0)</f>
        <v>0</v>
      </c>
      <c r="NV267" cm="1">
        <f t="array" ref="NV267:OE267">SUMIFS($J267:$GG267,$J$2:$GG$2,NV$3:OE$3)</f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 cm="1">
        <f t="array" ref="OF267">IFERROR(MAX((_xlfn.ANCHORARRAY(NV267)-AVERAGE(_xlfn.ANCHORARRAY(NV267)))/ AVERAGE(_xlfn.ANCHORARRAY(NV267))),0)</f>
        <v>0</v>
      </c>
      <c r="OI267" t="str">
        <f t="shared" si="78"/>
        <v/>
      </c>
    </row>
    <row r="268" spans="2:399" x14ac:dyDescent="0.3">
      <c r="B268" s="2" t="str">
        <f t="shared" si="70"/>
        <v>LLC</v>
      </c>
      <c r="C268" s="2" t="str">
        <f t="shared" si="71"/>
        <v>LLC</v>
      </c>
      <c r="D268" s="2" t="str">
        <f t="shared" si="72"/>
        <v>LLC</v>
      </c>
      <c r="E268" s="2" t="str">
        <f t="shared" si="73"/>
        <v/>
      </c>
      <c r="F268" s="2">
        <f t="shared" si="74"/>
        <v>0</v>
      </c>
      <c r="G268" s="2">
        <f t="shared" si="75"/>
        <v>0</v>
      </c>
      <c r="H268" s="2">
        <f t="shared" si="76"/>
        <v>0</v>
      </c>
      <c r="I268" s="2">
        <f t="shared" si="77"/>
        <v>0</v>
      </c>
      <c r="NH268" cm="1">
        <f t="array" ref="NH268:NJ268">SUMIFS($J268:$GG268,$J$1:$GG$1,NH$3:NJ$3)</f>
        <v>0</v>
      </c>
      <c r="NI268">
        <v>0</v>
      </c>
      <c r="NJ268">
        <v>0</v>
      </c>
      <c r="NK268" cm="1">
        <f t="array" ref="NK268">IFERROR(MAX((_xlfn.ANCHORARRAY(NH268)-AVERAGE(_xlfn.ANCHORARRAY(NH268)))/ AVERAGE(_xlfn.ANCHORARRAY(NH268))),0)</f>
        <v>0</v>
      </c>
      <c r="NN268" cm="1">
        <f t="array" ref="NN268:NR268">SUMIFS($J268:$GG268,$J$3:$GG$3,NN$3:NR$3)</f>
        <v>0</v>
      </c>
      <c r="NO268">
        <v>0</v>
      </c>
      <c r="NP268">
        <v>0</v>
      </c>
      <c r="NQ268">
        <v>0</v>
      </c>
      <c r="NR268">
        <v>0</v>
      </c>
      <c r="NS268" cm="1">
        <f t="array" ref="NS268">IFERROR(MAX((_xlfn.ANCHORARRAY(NN268)-AVERAGE(_xlfn.ANCHORARRAY(NN268)))/ AVERAGE(_xlfn.ANCHORARRAY(NN268))),0)</f>
        <v>0</v>
      </c>
      <c r="NV268" cm="1">
        <f t="array" ref="NV268:OE268">SUMIFS($J268:$GG268,$J$2:$GG$2,NV$3:OE$3)</f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 cm="1">
        <f t="array" ref="OF268">IFERROR(MAX((_xlfn.ANCHORARRAY(NV268)-AVERAGE(_xlfn.ANCHORARRAY(NV268)))/ AVERAGE(_xlfn.ANCHORARRAY(NV268))),0)</f>
        <v>0</v>
      </c>
      <c r="OI268" t="str">
        <f t="shared" si="78"/>
        <v/>
      </c>
    </row>
    <row r="269" spans="2:399" x14ac:dyDescent="0.3">
      <c r="B269" s="2" t="str">
        <f t="shared" si="70"/>
        <v>LLC</v>
      </c>
      <c r="C269" s="2" t="str">
        <f t="shared" si="71"/>
        <v>LLC</v>
      </c>
      <c r="D269" s="2" t="str">
        <f t="shared" si="72"/>
        <v>LLC</v>
      </c>
      <c r="E269" s="2" t="str">
        <f t="shared" si="73"/>
        <v/>
      </c>
      <c r="F269" s="2">
        <f t="shared" si="74"/>
        <v>0</v>
      </c>
      <c r="G269" s="2">
        <f t="shared" si="75"/>
        <v>0</v>
      </c>
      <c r="H269" s="2">
        <f t="shared" si="76"/>
        <v>0</v>
      </c>
      <c r="I269" s="2">
        <f t="shared" si="77"/>
        <v>0</v>
      </c>
      <c r="NH269" cm="1">
        <f t="array" ref="NH269:NJ269">SUMIFS($J269:$GG269,$J$1:$GG$1,NH$3:NJ$3)</f>
        <v>0</v>
      </c>
      <c r="NI269">
        <v>0</v>
      </c>
      <c r="NJ269">
        <v>0</v>
      </c>
      <c r="NK269" cm="1">
        <f t="array" ref="NK269">IFERROR(MAX((_xlfn.ANCHORARRAY(NH269)-AVERAGE(_xlfn.ANCHORARRAY(NH269)))/ AVERAGE(_xlfn.ANCHORARRAY(NH269))),0)</f>
        <v>0</v>
      </c>
      <c r="NN269" cm="1">
        <f t="array" ref="NN269:NR269">SUMIFS($J269:$GG269,$J$3:$GG$3,NN$3:NR$3)</f>
        <v>0</v>
      </c>
      <c r="NO269">
        <v>0</v>
      </c>
      <c r="NP269">
        <v>0</v>
      </c>
      <c r="NQ269">
        <v>0</v>
      </c>
      <c r="NR269">
        <v>0</v>
      </c>
      <c r="NS269" cm="1">
        <f t="array" ref="NS269">IFERROR(MAX((_xlfn.ANCHORARRAY(NN269)-AVERAGE(_xlfn.ANCHORARRAY(NN269)))/ AVERAGE(_xlfn.ANCHORARRAY(NN269))),0)</f>
        <v>0</v>
      </c>
      <c r="NV269" cm="1">
        <f t="array" ref="NV269:OE269">SUMIFS($J269:$GG269,$J$2:$GG$2,NV$3:OE$3)</f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 cm="1">
        <f t="array" ref="OF269">IFERROR(MAX((_xlfn.ANCHORARRAY(NV269)-AVERAGE(_xlfn.ANCHORARRAY(NV269)))/ AVERAGE(_xlfn.ANCHORARRAY(NV269))),0)</f>
        <v>0</v>
      </c>
      <c r="OI269" t="str">
        <f t="shared" si="78"/>
        <v/>
      </c>
    </row>
    <row r="270" spans="2:399" x14ac:dyDescent="0.3">
      <c r="B270" s="2" t="str">
        <f t="shared" si="70"/>
        <v>LLC</v>
      </c>
      <c r="C270" s="2" t="str">
        <f t="shared" si="71"/>
        <v>LLC</v>
      </c>
      <c r="D270" s="2" t="str">
        <f t="shared" si="72"/>
        <v>LLC</v>
      </c>
      <c r="E270" s="2" t="str">
        <f t="shared" si="73"/>
        <v/>
      </c>
      <c r="F270" s="2">
        <f t="shared" si="74"/>
        <v>0</v>
      </c>
      <c r="G270" s="2">
        <f t="shared" si="75"/>
        <v>0</v>
      </c>
      <c r="H270" s="2">
        <f t="shared" si="76"/>
        <v>0</v>
      </c>
      <c r="I270" s="2">
        <f t="shared" si="77"/>
        <v>0</v>
      </c>
      <c r="NH270" cm="1">
        <f t="array" ref="NH270:NJ270">SUMIFS($J270:$GG270,$J$1:$GG$1,NH$3:NJ$3)</f>
        <v>0</v>
      </c>
      <c r="NI270">
        <v>0</v>
      </c>
      <c r="NJ270">
        <v>0</v>
      </c>
      <c r="NK270" cm="1">
        <f t="array" ref="NK270">IFERROR(MAX((_xlfn.ANCHORARRAY(NH270)-AVERAGE(_xlfn.ANCHORARRAY(NH270)))/ AVERAGE(_xlfn.ANCHORARRAY(NH270))),0)</f>
        <v>0</v>
      </c>
      <c r="NN270" cm="1">
        <f t="array" ref="NN270:NR270">SUMIFS($J270:$GG270,$J$3:$GG$3,NN$3:NR$3)</f>
        <v>0</v>
      </c>
      <c r="NO270">
        <v>0</v>
      </c>
      <c r="NP270">
        <v>0</v>
      </c>
      <c r="NQ270">
        <v>0</v>
      </c>
      <c r="NR270">
        <v>0</v>
      </c>
      <c r="NS270" cm="1">
        <f t="array" ref="NS270">IFERROR(MAX((_xlfn.ANCHORARRAY(NN270)-AVERAGE(_xlfn.ANCHORARRAY(NN270)))/ AVERAGE(_xlfn.ANCHORARRAY(NN270))),0)</f>
        <v>0</v>
      </c>
      <c r="NV270" cm="1">
        <f t="array" ref="NV270:OE270">SUMIFS($J270:$GG270,$J$2:$GG$2,NV$3:OE$3)</f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 cm="1">
        <f t="array" ref="OF270">IFERROR(MAX((_xlfn.ANCHORARRAY(NV270)-AVERAGE(_xlfn.ANCHORARRAY(NV270)))/ AVERAGE(_xlfn.ANCHORARRAY(NV270))),0)</f>
        <v>0</v>
      </c>
      <c r="OI270" t="str">
        <f t="shared" si="78"/>
        <v/>
      </c>
    </row>
    <row r="271" spans="2:399" x14ac:dyDescent="0.3">
      <c r="B271" s="2" t="str">
        <f t="shared" si="70"/>
        <v>LLC</v>
      </c>
      <c r="C271" s="2" t="str">
        <f t="shared" si="71"/>
        <v>LLC</v>
      </c>
      <c r="D271" s="2" t="str">
        <f t="shared" si="72"/>
        <v>LLC</v>
      </c>
      <c r="E271" s="2" t="str">
        <f t="shared" si="73"/>
        <v/>
      </c>
      <c r="F271" s="2">
        <f t="shared" si="74"/>
        <v>0</v>
      </c>
      <c r="G271" s="2">
        <f t="shared" si="75"/>
        <v>0</v>
      </c>
      <c r="H271" s="2">
        <f t="shared" si="76"/>
        <v>0</v>
      </c>
      <c r="I271" s="2">
        <f t="shared" si="77"/>
        <v>0</v>
      </c>
      <c r="NH271" cm="1">
        <f t="array" ref="NH271:NJ271">SUMIFS($J271:$GG271,$J$1:$GG$1,NH$3:NJ$3)</f>
        <v>0</v>
      </c>
      <c r="NI271">
        <v>0</v>
      </c>
      <c r="NJ271">
        <v>0</v>
      </c>
      <c r="NK271" cm="1">
        <f t="array" ref="NK271">IFERROR(MAX((_xlfn.ANCHORARRAY(NH271)-AVERAGE(_xlfn.ANCHORARRAY(NH271)))/ AVERAGE(_xlfn.ANCHORARRAY(NH271))),0)</f>
        <v>0</v>
      </c>
      <c r="NN271" cm="1">
        <f t="array" ref="NN271:NR271">SUMIFS($J271:$GG271,$J$3:$GG$3,NN$3:NR$3)</f>
        <v>0</v>
      </c>
      <c r="NO271">
        <v>0</v>
      </c>
      <c r="NP271">
        <v>0</v>
      </c>
      <c r="NQ271">
        <v>0</v>
      </c>
      <c r="NR271">
        <v>0</v>
      </c>
      <c r="NS271" cm="1">
        <f t="array" ref="NS271">IFERROR(MAX((_xlfn.ANCHORARRAY(NN271)-AVERAGE(_xlfn.ANCHORARRAY(NN271)))/ AVERAGE(_xlfn.ANCHORARRAY(NN271))),0)</f>
        <v>0</v>
      </c>
      <c r="NV271" cm="1">
        <f t="array" ref="NV271:OE271">SUMIFS($J271:$GG271,$J$2:$GG$2,NV$3:OE$3)</f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 cm="1">
        <f t="array" ref="OF271">IFERROR(MAX((_xlfn.ANCHORARRAY(NV271)-AVERAGE(_xlfn.ANCHORARRAY(NV271)))/ AVERAGE(_xlfn.ANCHORARRAY(NV271))),0)</f>
        <v>0</v>
      </c>
      <c r="OI271" t="str">
        <f t="shared" si="78"/>
        <v/>
      </c>
    </row>
    <row r="272" spans="2:399" x14ac:dyDescent="0.3">
      <c r="B272" s="2" t="str">
        <f t="shared" si="70"/>
        <v>LLC</v>
      </c>
      <c r="C272" s="2" t="str">
        <f t="shared" si="71"/>
        <v>LLC</v>
      </c>
      <c r="D272" s="2" t="str">
        <f t="shared" si="72"/>
        <v>LLC</v>
      </c>
      <c r="E272" s="2" t="str">
        <f t="shared" si="73"/>
        <v/>
      </c>
      <c r="F272" s="2">
        <f t="shared" si="74"/>
        <v>0</v>
      </c>
      <c r="G272" s="2">
        <f t="shared" si="75"/>
        <v>0</v>
      </c>
      <c r="H272" s="2">
        <f t="shared" si="76"/>
        <v>0</v>
      </c>
      <c r="I272" s="2">
        <f t="shared" si="77"/>
        <v>0</v>
      </c>
      <c r="NH272" cm="1">
        <f t="array" ref="NH272:NJ272">SUMIFS($J272:$GG272,$J$1:$GG$1,NH$3:NJ$3)</f>
        <v>0</v>
      </c>
      <c r="NI272">
        <v>0</v>
      </c>
      <c r="NJ272">
        <v>0</v>
      </c>
      <c r="NK272" cm="1">
        <f t="array" ref="NK272">IFERROR(MAX((_xlfn.ANCHORARRAY(NH272)-AVERAGE(_xlfn.ANCHORARRAY(NH272)))/ AVERAGE(_xlfn.ANCHORARRAY(NH272))),0)</f>
        <v>0</v>
      </c>
      <c r="NN272" cm="1">
        <f t="array" ref="NN272:NR272">SUMIFS($J272:$GG272,$J$3:$GG$3,NN$3:NR$3)</f>
        <v>0</v>
      </c>
      <c r="NO272">
        <v>0</v>
      </c>
      <c r="NP272">
        <v>0</v>
      </c>
      <c r="NQ272">
        <v>0</v>
      </c>
      <c r="NR272">
        <v>0</v>
      </c>
      <c r="NS272" cm="1">
        <f t="array" ref="NS272">IFERROR(MAX((_xlfn.ANCHORARRAY(NN272)-AVERAGE(_xlfn.ANCHORARRAY(NN272)))/ AVERAGE(_xlfn.ANCHORARRAY(NN272))),0)</f>
        <v>0</v>
      </c>
      <c r="NV272" cm="1">
        <f t="array" ref="NV272:OE272">SUMIFS($J272:$GG272,$J$2:$GG$2,NV$3:OE$3)</f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 cm="1">
        <f t="array" ref="OF272">IFERROR(MAX((_xlfn.ANCHORARRAY(NV272)-AVERAGE(_xlfn.ANCHORARRAY(NV272)))/ AVERAGE(_xlfn.ANCHORARRAY(NV272))),0)</f>
        <v>0</v>
      </c>
      <c r="OI272" t="str">
        <f t="shared" si="78"/>
        <v/>
      </c>
    </row>
    <row r="273" spans="2:399" x14ac:dyDescent="0.3">
      <c r="B273" s="2" t="str">
        <f t="shared" si="70"/>
        <v>LLC</v>
      </c>
      <c r="C273" s="2" t="str">
        <f t="shared" si="71"/>
        <v>LLC</v>
      </c>
      <c r="D273" s="2" t="str">
        <f t="shared" si="72"/>
        <v>LLC</v>
      </c>
      <c r="E273" s="2" t="str">
        <f t="shared" si="73"/>
        <v/>
      </c>
      <c r="F273" s="2">
        <f t="shared" si="74"/>
        <v>0</v>
      </c>
      <c r="G273" s="2">
        <f t="shared" si="75"/>
        <v>0</v>
      </c>
      <c r="H273" s="2">
        <f t="shared" si="76"/>
        <v>0</v>
      </c>
      <c r="I273" s="2">
        <f t="shared" si="77"/>
        <v>0</v>
      </c>
      <c r="NH273" cm="1">
        <f t="array" ref="NH273:NJ273">SUMIFS($J273:$GG273,$J$1:$GG$1,NH$3:NJ$3)</f>
        <v>0</v>
      </c>
      <c r="NI273">
        <v>0</v>
      </c>
      <c r="NJ273">
        <v>0</v>
      </c>
      <c r="NK273" cm="1">
        <f t="array" ref="NK273">IFERROR(MAX((_xlfn.ANCHORARRAY(NH273)-AVERAGE(_xlfn.ANCHORARRAY(NH273)))/ AVERAGE(_xlfn.ANCHORARRAY(NH273))),0)</f>
        <v>0</v>
      </c>
      <c r="NN273" cm="1">
        <f t="array" ref="NN273:NR273">SUMIFS($J273:$GG273,$J$3:$GG$3,NN$3:NR$3)</f>
        <v>0</v>
      </c>
      <c r="NO273">
        <v>0</v>
      </c>
      <c r="NP273">
        <v>0</v>
      </c>
      <c r="NQ273">
        <v>0</v>
      </c>
      <c r="NR273">
        <v>0</v>
      </c>
      <c r="NS273" cm="1">
        <f t="array" ref="NS273">IFERROR(MAX((_xlfn.ANCHORARRAY(NN273)-AVERAGE(_xlfn.ANCHORARRAY(NN273)))/ AVERAGE(_xlfn.ANCHORARRAY(NN273))),0)</f>
        <v>0</v>
      </c>
      <c r="NV273" cm="1">
        <f t="array" ref="NV273:OE273">SUMIFS($J273:$GG273,$J$2:$GG$2,NV$3:OE$3)</f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 cm="1">
        <f t="array" ref="OF273">IFERROR(MAX((_xlfn.ANCHORARRAY(NV273)-AVERAGE(_xlfn.ANCHORARRAY(NV273)))/ AVERAGE(_xlfn.ANCHORARRAY(NV273))),0)</f>
        <v>0</v>
      </c>
      <c r="OI273" t="str">
        <f t="shared" si="78"/>
        <v/>
      </c>
    </row>
    <row r="274" spans="2:399" x14ac:dyDescent="0.3">
      <c r="B274" s="2" t="str">
        <f t="shared" si="70"/>
        <v>LLC</v>
      </c>
      <c r="C274" s="2" t="str">
        <f t="shared" si="71"/>
        <v>LLC</v>
      </c>
      <c r="D274" s="2" t="str">
        <f t="shared" si="72"/>
        <v>LLC</v>
      </c>
      <c r="E274" s="2" t="str">
        <f t="shared" si="73"/>
        <v/>
      </c>
      <c r="F274" s="2">
        <f t="shared" si="74"/>
        <v>0</v>
      </c>
      <c r="G274" s="2">
        <f t="shared" si="75"/>
        <v>0</v>
      </c>
      <c r="H274" s="2">
        <f t="shared" si="76"/>
        <v>0</v>
      </c>
      <c r="I274" s="2">
        <f t="shared" si="77"/>
        <v>0</v>
      </c>
      <c r="NH274" cm="1">
        <f t="array" ref="NH274:NJ274">SUMIFS($J274:$GG274,$J$1:$GG$1,NH$3:NJ$3)</f>
        <v>0</v>
      </c>
      <c r="NI274">
        <v>0</v>
      </c>
      <c r="NJ274">
        <v>0</v>
      </c>
      <c r="NK274" cm="1">
        <f t="array" ref="NK274">IFERROR(MAX((_xlfn.ANCHORARRAY(NH274)-AVERAGE(_xlfn.ANCHORARRAY(NH274)))/ AVERAGE(_xlfn.ANCHORARRAY(NH274))),0)</f>
        <v>0</v>
      </c>
      <c r="NN274" cm="1">
        <f t="array" ref="NN274:NR274">SUMIFS($J274:$GG274,$J$3:$GG$3,NN$3:NR$3)</f>
        <v>0</v>
      </c>
      <c r="NO274">
        <v>0</v>
      </c>
      <c r="NP274">
        <v>0</v>
      </c>
      <c r="NQ274">
        <v>0</v>
      </c>
      <c r="NR274">
        <v>0</v>
      </c>
      <c r="NS274" cm="1">
        <f t="array" ref="NS274">IFERROR(MAX((_xlfn.ANCHORARRAY(NN274)-AVERAGE(_xlfn.ANCHORARRAY(NN274)))/ AVERAGE(_xlfn.ANCHORARRAY(NN274))),0)</f>
        <v>0</v>
      </c>
      <c r="NV274" cm="1">
        <f t="array" ref="NV274:OE274">SUMIFS($J274:$GG274,$J$2:$GG$2,NV$3:OE$3)</f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 cm="1">
        <f t="array" ref="OF274">IFERROR(MAX((_xlfn.ANCHORARRAY(NV274)-AVERAGE(_xlfn.ANCHORARRAY(NV274)))/ AVERAGE(_xlfn.ANCHORARRAY(NV274))),0)</f>
        <v>0</v>
      </c>
      <c r="OI274" t="str">
        <f t="shared" si="78"/>
        <v/>
      </c>
    </row>
    <row r="275" spans="2:399" x14ac:dyDescent="0.3">
      <c r="B275" s="2" t="str">
        <f t="shared" si="70"/>
        <v>LLC</v>
      </c>
      <c r="C275" s="2" t="str">
        <f t="shared" si="71"/>
        <v>LLC</v>
      </c>
      <c r="D275" s="2" t="str">
        <f t="shared" si="72"/>
        <v>LLC</v>
      </c>
      <c r="E275" s="2" t="str">
        <f t="shared" si="73"/>
        <v/>
      </c>
      <c r="F275" s="2">
        <f t="shared" si="74"/>
        <v>0</v>
      </c>
      <c r="G275" s="2">
        <f t="shared" si="75"/>
        <v>0</v>
      </c>
      <c r="H275" s="2">
        <f t="shared" si="76"/>
        <v>0</v>
      </c>
      <c r="I275" s="2">
        <f t="shared" si="77"/>
        <v>0</v>
      </c>
      <c r="NH275" cm="1">
        <f t="array" ref="NH275:NJ275">SUMIFS($J275:$GG275,$J$1:$GG$1,NH$3:NJ$3)</f>
        <v>0</v>
      </c>
      <c r="NI275">
        <v>0</v>
      </c>
      <c r="NJ275">
        <v>0</v>
      </c>
      <c r="NK275" cm="1">
        <f t="array" ref="NK275">IFERROR(MAX((_xlfn.ANCHORARRAY(NH275)-AVERAGE(_xlfn.ANCHORARRAY(NH275)))/ AVERAGE(_xlfn.ANCHORARRAY(NH275))),0)</f>
        <v>0</v>
      </c>
      <c r="NN275" cm="1">
        <f t="array" ref="NN275:NR275">SUMIFS($J275:$GG275,$J$3:$GG$3,NN$3:NR$3)</f>
        <v>0</v>
      </c>
      <c r="NO275">
        <v>0</v>
      </c>
      <c r="NP275">
        <v>0</v>
      </c>
      <c r="NQ275">
        <v>0</v>
      </c>
      <c r="NR275">
        <v>0</v>
      </c>
      <c r="NS275" cm="1">
        <f t="array" ref="NS275">IFERROR(MAX((_xlfn.ANCHORARRAY(NN275)-AVERAGE(_xlfn.ANCHORARRAY(NN275)))/ AVERAGE(_xlfn.ANCHORARRAY(NN275))),0)</f>
        <v>0</v>
      </c>
      <c r="NV275" cm="1">
        <f t="array" ref="NV275:OE275">SUMIFS($J275:$GG275,$J$2:$GG$2,NV$3:OE$3)</f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 cm="1">
        <f t="array" ref="OF275">IFERROR(MAX((_xlfn.ANCHORARRAY(NV275)-AVERAGE(_xlfn.ANCHORARRAY(NV275)))/ AVERAGE(_xlfn.ANCHORARRAY(NV275))),0)</f>
        <v>0</v>
      </c>
      <c r="OI275" t="str">
        <f t="shared" si="78"/>
        <v/>
      </c>
    </row>
    <row r="276" spans="2:399" x14ac:dyDescent="0.3">
      <c r="B276" s="2" t="str">
        <f t="shared" si="70"/>
        <v>LLC</v>
      </c>
      <c r="C276" s="2" t="str">
        <f t="shared" si="71"/>
        <v>LLC</v>
      </c>
      <c r="D276" s="2" t="str">
        <f t="shared" si="72"/>
        <v>LLC</v>
      </c>
      <c r="E276" s="2" t="str">
        <f t="shared" si="73"/>
        <v/>
      </c>
      <c r="F276" s="2">
        <f t="shared" si="74"/>
        <v>0</v>
      </c>
      <c r="G276" s="2">
        <f t="shared" si="75"/>
        <v>0</v>
      </c>
      <c r="H276" s="2">
        <f t="shared" si="76"/>
        <v>0</v>
      </c>
      <c r="I276" s="2">
        <f t="shared" si="77"/>
        <v>0</v>
      </c>
      <c r="NH276" cm="1">
        <f t="array" ref="NH276:NJ276">SUMIFS($J276:$GG276,$J$1:$GG$1,NH$3:NJ$3)</f>
        <v>0</v>
      </c>
      <c r="NI276">
        <v>0</v>
      </c>
      <c r="NJ276">
        <v>0</v>
      </c>
      <c r="NK276" cm="1">
        <f t="array" ref="NK276">IFERROR(MAX((_xlfn.ANCHORARRAY(NH276)-AVERAGE(_xlfn.ANCHORARRAY(NH276)))/ AVERAGE(_xlfn.ANCHORARRAY(NH276))),0)</f>
        <v>0</v>
      </c>
      <c r="NN276" cm="1">
        <f t="array" ref="NN276:NR276">SUMIFS($J276:$GG276,$J$3:$GG$3,NN$3:NR$3)</f>
        <v>0</v>
      </c>
      <c r="NO276">
        <v>0</v>
      </c>
      <c r="NP276">
        <v>0</v>
      </c>
      <c r="NQ276">
        <v>0</v>
      </c>
      <c r="NR276">
        <v>0</v>
      </c>
      <c r="NS276" cm="1">
        <f t="array" ref="NS276">IFERROR(MAX((_xlfn.ANCHORARRAY(NN276)-AVERAGE(_xlfn.ANCHORARRAY(NN276)))/ AVERAGE(_xlfn.ANCHORARRAY(NN276))),0)</f>
        <v>0</v>
      </c>
      <c r="NV276" cm="1">
        <f t="array" ref="NV276:OE276">SUMIFS($J276:$GG276,$J$2:$GG$2,NV$3:OE$3)</f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 cm="1">
        <f t="array" ref="OF276">IFERROR(MAX((_xlfn.ANCHORARRAY(NV276)-AVERAGE(_xlfn.ANCHORARRAY(NV276)))/ AVERAGE(_xlfn.ANCHORARRAY(NV276))),0)</f>
        <v>0</v>
      </c>
      <c r="OI276" t="str">
        <f t="shared" si="78"/>
        <v/>
      </c>
    </row>
    <row r="277" spans="2:399" x14ac:dyDescent="0.3">
      <c r="B277" s="2" t="str">
        <f t="shared" si="70"/>
        <v>LLC</v>
      </c>
      <c r="C277" s="2" t="str">
        <f t="shared" si="71"/>
        <v>LLC</v>
      </c>
      <c r="D277" s="2" t="str">
        <f t="shared" si="72"/>
        <v>LLC</v>
      </c>
      <c r="E277" s="2" t="str">
        <f t="shared" si="73"/>
        <v/>
      </c>
      <c r="F277" s="2">
        <f t="shared" si="74"/>
        <v>0</v>
      </c>
      <c r="G277" s="2">
        <f t="shared" si="75"/>
        <v>0</v>
      </c>
      <c r="H277" s="2">
        <f t="shared" si="76"/>
        <v>0</v>
      </c>
      <c r="I277" s="2">
        <f t="shared" si="77"/>
        <v>0</v>
      </c>
      <c r="NH277" cm="1">
        <f t="array" ref="NH277:NJ277">SUMIFS($J277:$GG277,$J$1:$GG$1,NH$3:NJ$3)</f>
        <v>0</v>
      </c>
      <c r="NI277">
        <v>0</v>
      </c>
      <c r="NJ277">
        <v>0</v>
      </c>
      <c r="NK277" cm="1">
        <f t="array" ref="NK277">IFERROR(MAX((_xlfn.ANCHORARRAY(NH277)-AVERAGE(_xlfn.ANCHORARRAY(NH277)))/ AVERAGE(_xlfn.ANCHORARRAY(NH277))),0)</f>
        <v>0</v>
      </c>
      <c r="NN277" cm="1">
        <f t="array" ref="NN277:NR277">SUMIFS($J277:$GG277,$J$3:$GG$3,NN$3:NR$3)</f>
        <v>0</v>
      </c>
      <c r="NO277">
        <v>0</v>
      </c>
      <c r="NP277">
        <v>0</v>
      </c>
      <c r="NQ277">
        <v>0</v>
      </c>
      <c r="NR277">
        <v>0</v>
      </c>
      <c r="NS277" cm="1">
        <f t="array" ref="NS277">IFERROR(MAX((_xlfn.ANCHORARRAY(NN277)-AVERAGE(_xlfn.ANCHORARRAY(NN277)))/ AVERAGE(_xlfn.ANCHORARRAY(NN277))),0)</f>
        <v>0</v>
      </c>
      <c r="NV277" cm="1">
        <f t="array" ref="NV277:OE277">SUMIFS($J277:$GG277,$J$2:$GG$2,NV$3:OE$3)</f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 cm="1">
        <f t="array" ref="OF277">IFERROR(MAX((_xlfn.ANCHORARRAY(NV277)-AVERAGE(_xlfn.ANCHORARRAY(NV277)))/ AVERAGE(_xlfn.ANCHORARRAY(NV277))),0)</f>
        <v>0</v>
      </c>
      <c r="OI277" t="str">
        <f t="shared" si="78"/>
        <v/>
      </c>
    </row>
    <row r="278" spans="2:399" x14ac:dyDescent="0.3">
      <c r="B278" s="2" t="str">
        <f t="shared" si="70"/>
        <v>LLC</v>
      </c>
      <c r="C278" s="2" t="str">
        <f t="shared" si="71"/>
        <v>LLC</v>
      </c>
      <c r="D278" s="2" t="str">
        <f t="shared" si="72"/>
        <v>LLC</v>
      </c>
      <c r="E278" s="2" t="str">
        <f t="shared" si="73"/>
        <v/>
      </c>
      <c r="F278" s="2">
        <f t="shared" si="74"/>
        <v>0</v>
      </c>
      <c r="G278" s="2">
        <f t="shared" si="75"/>
        <v>0</v>
      </c>
      <c r="H278" s="2">
        <f t="shared" si="76"/>
        <v>0</v>
      </c>
      <c r="I278" s="2">
        <f t="shared" si="77"/>
        <v>0</v>
      </c>
      <c r="NH278" cm="1">
        <f t="array" ref="NH278:NJ278">SUMIFS($J278:$GG278,$J$1:$GG$1,NH$3:NJ$3)</f>
        <v>0</v>
      </c>
      <c r="NI278">
        <v>0</v>
      </c>
      <c r="NJ278">
        <v>0</v>
      </c>
      <c r="NK278" cm="1">
        <f t="array" ref="NK278">IFERROR(MAX((_xlfn.ANCHORARRAY(NH278)-AVERAGE(_xlfn.ANCHORARRAY(NH278)))/ AVERAGE(_xlfn.ANCHORARRAY(NH278))),0)</f>
        <v>0</v>
      </c>
      <c r="NN278" cm="1">
        <f t="array" ref="NN278:NR278">SUMIFS($J278:$GG278,$J$3:$GG$3,NN$3:NR$3)</f>
        <v>0</v>
      </c>
      <c r="NO278">
        <v>0</v>
      </c>
      <c r="NP278">
        <v>0</v>
      </c>
      <c r="NQ278">
        <v>0</v>
      </c>
      <c r="NR278">
        <v>0</v>
      </c>
      <c r="NS278" cm="1">
        <f t="array" ref="NS278">IFERROR(MAX((_xlfn.ANCHORARRAY(NN278)-AVERAGE(_xlfn.ANCHORARRAY(NN278)))/ AVERAGE(_xlfn.ANCHORARRAY(NN278))),0)</f>
        <v>0</v>
      </c>
      <c r="NV278" cm="1">
        <f t="array" ref="NV278:OE278">SUMIFS($J278:$GG278,$J$2:$GG$2,NV$3:OE$3)</f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 cm="1">
        <f t="array" ref="OF278">IFERROR(MAX((_xlfn.ANCHORARRAY(NV278)-AVERAGE(_xlfn.ANCHORARRAY(NV278)))/ AVERAGE(_xlfn.ANCHORARRAY(NV278))),0)</f>
        <v>0</v>
      </c>
      <c r="OI278" t="str">
        <f t="shared" si="78"/>
        <v/>
      </c>
    </row>
    <row r="279" spans="2:399" x14ac:dyDescent="0.3">
      <c r="B279" s="2" t="str">
        <f t="shared" si="70"/>
        <v>LLC</v>
      </c>
      <c r="C279" s="2" t="str">
        <f t="shared" si="71"/>
        <v>LLC</v>
      </c>
      <c r="D279" s="2" t="str">
        <f t="shared" si="72"/>
        <v>LLC</v>
      </c>
      <c r="E279" s="2" t="str">
        <f t="shared" si="73"/>
        <v/>
      </c>
      <c r="F279" s="2">
        <f t="shared" si="74"/>
        <v>0</v>
      </c>
      <c r="G279" s="2">
        <f t="shared" si="75"/>
        <v>0</v>
      </c>
      <c r="H279" s="2">
        <f t="shared" si="76"/>
        <v>0</v>
      </c>
      <c r="I279" s="2">
        <f t="shared" si="77"/>
        <v>0</v>
      </c>
      <c r="NH279" cm="1">
        <f t="array" ref="NH279:NJ279">SUMIFS($J279:$GG279,$J$1:$GG$1,NH$3:NJ$3)</f>
        <v>0</v>
      </c>
      <c r="NI279">
        <v>0</v>
      </c>
      <c r="NJ279">
        <v>0</v>
      </c>
      <c r="NK279" cm="1">
        <f t="array" ref="NK279">IFERROR(MAX((_xlfn.ANCHORARRAY(NH279)-AVERAGE(_xlfn.ANCHORARRAY(NH279)))/ AVERAGE(_xlfn.ANCHORARRAY(NH279))),0)</f>
        <v>0</v>
      </c>
      <c r="NN279" cm="1">
        <f t="array" ref="NN279:NR279">SUMIFS($J279:$GG279,$J$3:$GG$3,NN$3:NR$3)</f>
        <v>0</v>
      </c>
      <c r="NO279">
        <v>0</v>
      </c>
      <c r="NP279">
        <v>0</v>
      </c>
      <c r="NQ279">
        <v>0</v>
      </c>
      <c r="NR279">
        <v>0</v>
      </c>
      <c r="NS279" cm="1">
        <f t="array" ref="NS279">IFERROR(MAX((_xlfn.ANCHORARRAY(NN279)-AVERAGE(_xlfn.ANCHORARRAY(NN279)))/ AVERAGE(_xlfn.ANCHORARRAY(NN279))),0)</f>
        <v>0</v>
      </c>
      <c r="NV279" cm="1">
        <f t="array" ref="NV279:OE279">SUMIFS($J279:$GG279,$J$2:$GG$2,NV$3:OE$3)</f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 cm="1">
        <f t="array" ref="OF279">IFERROR(MAX((_xlfn.ANCHORARRAY(NV279)-AVERAGE(_xlfn.ANCHORARRAY(NV279)))/ AVERAGE(_xlfn.ANCHORARRAY(NV279))),0)</f>
        <v>0</v>
      </c>
      <c r="OI279" t="str">
        <f t="shared" si="78"/>
        <v/>
      </c>
    </row>
    <row r="280" spans="2:399" x14ac:dyDescent="0.3">
      <c r="B280" s="2" t="str">
        <f t="shared" si="70"/>
        <v>LLC</v>
      </c>
      <c r="C280" s="2" t="str">
        <f t="shared" si="71"/>
        <v>LLC</v>
      </c>
      <c r="D280" s="2" t="str">
        <f t="shared" si="72"/>
        <v>LLC</v>
      </c>
      <c r="E280" s="2" t="str">
        <f t="shared" si="73"/>
        <v/>
      </c>
      <c r="F280" s="2">
        <f t="shared" si="74"/>
        <v>0</v>
      </c>
      <c r="G280" s="2">
        <f t="shared" si="75"/>
        <v>0</v>
      </c>
      <c r="H280" s="2">
        <f t="shared" si="76"/>
        <v>0</v>
      </c>
      <c r="I280" s="2">
        <f t="shared" si="77"/>
        <v>0</v>
      </c>
      <c r="NH280" cm="1">
        <f t="array" ref="NH280:NJ280">SUMIFS($J280:$GG280,$J$1:$GG$1,NH$3:NJ$3)</f>
        <v>0</v>
      </c>
      <c r="NI280">
        <v>0</v>
      </c>
      <c r="NJ280">
        <v>0</v>
      </c>
      <c r="NK280" cm="1">
        <f t="array" ref="NK280">IFERROR(MAX((_xlfn.ANCHORARRAY(NH280)-AVERAGE(_xlfn.ANCHORARRAY(NH280)))/ AVERAGE(_xlfn.ANCHORARRAY(NH280))),0)</f>
        <v>0</v>
      </c>
      <c r="NN280" cm="1">
        <f t="array" ref="NN280:NR280">SUMIFS($J280:$GG280,$J$3:$GG$3,NN$3:NR$3)</f>
        <v>0</v>
      </c>
      <c r="NO280">
        <v>0</v>
      </c>
      <c r="NP280">
        <v>0</v>
      </c>
      <c r="NQ280">
        <v>0</v>
      </c>
      <c r="NR280">
        <v>0</v>
      </c>
      <c r="NS280" cm="1">
        <f t="array" ref="NS280">IFERROR(MAX((_xlfn.ANCHORARRAY(NN280)-AVERAGE(_xlfn.ANCHORARRAY(NN280)))/ AVERAGE(_xlfn.ANCHORARRAY(NN280))),0)</f>
        <v>0</v>
      </c>
      <c r="NV280" cm="1">
        <f t="array" ref="NV280:OE280">SUMIFS($J280:$GG280,$J$2:$GG$2,NV$3:OE$3)</f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 cm="1">
        <f t="array" ref="OF280">IFERROR(MAX((_xlfn.ANCHORARRAY(NV280)-AVERAGE(_xlfn.ANCHORARRAY(NV280)))/ AVERAGE(_xlfn.ANCHORARRAY(NV280))),0)</f>
        <v>0</v>
      </c>
      <c r="OI280" t="str">
        <f t="shared" si="78"/>
        <v/>
      </c>
    </row>
    <row r="281" spans="2:399" x14ac:dyDescent="0.3">
      <c r="B281" s="2" t="str">
        <f t="shared" ref="B281:B344" si="79">IF(C281="NotFound",D281,C281)</f>
        <v>LLC</v>
      </c>
      <c r="C281" s="2" t="str">
        <f t="shared" ref="C281:C344" si="80">IF(H281&gt;1,"NotFound","LLC"&amp;_xlfn.XLOOKUP(MAX(J281:GG281,1),J281:GG281,$J$4:$GG$4,""))</f>
        <v>LLC</v>
      </c>
      <c r="D281" s="2" t="str">
        <f t="shared" ref="D281:D344" si="81">IF(F281&gt;1,"NotFound","LLC"&amp;_xlfn.XLOOKUP(MAX(GI281:NF281,1),GI281:NF281,$GI$4:$NF$4,""))</f>
        <v>LLC</v>
      </c>
      <c r="E281" s="2" t="str">
        <f t="shared" ref="E281:E344" si="82">OI281</f>
        <v/>
      </c>
      <c r="F281" s="2">
        <f t="shared" ref="F281:F344" si="83">COUNTIF(GI281:NF281,G281)</f>
        <v>0</v>
      </c>
      <c r="G281" s="2">
        <f t="shared" ref="G281:G344" si="84">MAX(GI281:NF281)</f>
        <v>0</v>
      </c>
      <c r="H281" s="2">
        <f t="shared" ref="H281:H344" si="85">COUNTIF(J281:GG281,I281)</f>
        <v>0</v>
      </c>
      <c r="I281" s="2">
        <f t="shared" ref="I281:I344" si="86">MAX(J281:GG281)</f>
        <v>0</v>
      </c>
      <c r="NH281" cm="1">
        <f t="array" ref="NH281:NJ281">SUMIFS($J281:$GG281,$J$1:$GG$1,NH$3:NJ$3)</f>
        <v>0</v>
      </c>
      <c r="NI281">
        <v>0</v>
      </c>
      <c r="NJ281">
        <v>0</v>
      </c>
      <c r="NK281" cm="1">
        <f t="array" ref="NK281">IFERROR(MAX((_xlfn.ANCHORARRAY(NH281)-AVERAGE(_xlfn.ANCHORARRAY(NH281)))/ AVERAGE(_xlfn.ANCHORARRAY(NH281))),0)</f>
        <v>0</v>
      </c>
      <c r="NN281" cm="1">
        <f t="array" ref="NN281:NR281">SUMIFS($J281:$GG281,$J$3:$GG$3,NN$3:NR$3)</f>
        <v>0</v>
      </c>
      <c r="NO281">
        <v>0</v>
      </c>
      <c r="NP281">
        <v>0</v>
      </c>
      <c r="NQ281">
        <v>0</v>
      </c>
      <c r="NR281">
        <v>0</v>
      </c>
      <c r="NS281" cm="1">
        <f t="array" ref="NS281">IFERROR(MAX((_xlfn.ANCHORARRAY(NN281)-AVERAGE(_xlfn.ANCHORARRAY(NN281)))/ AVERAGE(_xlfn.ANCHORARRAY(NN281))),0)</f>
        <v>0</v>
      </c>
      <c r="NV281" cm="1">
        <f t="array" ref="NV281:OE281">SUMIFS($J281:$GG281,$J$2:$GG$2,NV$3:OE$3)</f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 cm="1">
        <f t="array" ref="OF281">IFERROR(MAX((_xlfn.ANCHORARRAY(NV281)-AVERAGE(_xlfn.ANCHORARRAY(NV281)))/ AVERAGE(_xlfn.ANCHORARRAY(NV281))),0)</f>
        <v>0</v>
      </c>
      <c r="OI281" t="str">
        <f t="shared" ref="OI281:OI344" si="87">_xlfn.TEXTJOIN(" : ",,NL281,NT281,OG281)</f>
        <v/>
      </c>
    </row>
    <row r="282" spans="2:399" x14ac:dyDescent="0.3">
      <c r="B282" s="2" t="str">
        <f t="shared" si="79"/>
        <v>LLC</v>
      </c>
      <c r="C282" s="2" t="str">
        <f t="shared" si="80"/>
        <v>LLC</v>
      </c>
      <c r="D282" s="2" t="str">
        <f t="shared" si="81"/>
        <v>LLC</v>
      </c>
      <c r="E282" s="2" t="str">
        <f t="shared" si="82"/>
        <v/>
      </c>
      <c r="F282" s="2">
        <f t="shared" si="83"/>
        <v>0</v>
      </c>
      <c r="G282" s="2">
        <f t="shared" si="84"/>
        <v>0</v>
      </c>
      <c r="H282" s="2">
        <f t="shared" si="85"/>
        <v>0</v>
      </c>
      <c r="I282" s="2">
        <f t="shared" si="86"/>
        <v>0</v>
      </c>
      <c r="NH282" cm="1">
        <f t="array" ref="NH282:NJ282">SUMIFS($J282:$GG282,$J$1:$GG$1,NH$3:NJ$3)</f>
        <v>0</v>
      </c>
      <c r="NI282">
        <v>0</v>
      </c>
      <c r="NJ282">
        <v>0</v>
      </c>
      <c r="NK282" cm="1">
        <f t="array" ref="NK282">IFERROR(MAX((_xlfn.ANCHORARRAY(NH282)-AVERAGE(_xlfn.ANCHORARRAY(NH282)))/ AVERAGE(_xlfn.ANCHORARRAY(NH282))),0)</f>
        <v>0</v>
      </c>
      <c r="NN282" cm="1">
        <f t="array" ref="NN282:NR282">SUMIFS($J282:$GG282,$J$3:$GG$3,NN$3:NR$3)</f>
        <v>0</v>
      </c>
      <c r="NO282">
        <v>0</v>
      </c>
      <c r="NP282">
        <v>0</v>
      </c>
      <c r="NQ282">
        <v>0</v>
      </c>
      <c r="NR282">
        <v>0</v>
      </c>
      <c r="NS282" cm="1">
        <f t="array" ref="NS282">IFERROR(MAX((_xlfn.ANCHORARRAY(NN282)-AVERAGE(_xlfn.ANCHORARRAY(NN282)))/ AVERAGE(_xlfn.ANCHORARRAY(NN282))),0)</f>
        <v>0</v>
      </c>
      <c r="NV282" cm="1">
        <f t="array" ref="NV282:OE282">SUMIFS($J282:$GG282,$J$2:$GG$2,NV$3:OE$3)</f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 cm="1">
        <f t="array" ref="OF282">IFERROR(MAX((_xlfn.ANCHORARRAY(NV282)-AVERAGE(_xlfn.ANCHORARRAY(NV282)))/ AVERAGE(_xlfn.ANCHORARRAY(NV282))),0)</f>
        <v>0</v>
      </c>
      <c r="OI282" t="str">
        <f t="shared" si="87"/>
        <v/>
      </c>
    </row>
    <row r="283" spans="2:399" x14ac:dyDescent="0.3">
      <c r="B283" s="2" t="str">
        <f t="shared" si="79"/>
        <v>LLC</v>
      </c>
      <c r="C283" s="2" t="str">
        <f t="shared" si="80"/>
        <v>LLC</v>
      </c>
      <c r="D283" s="2" t="str">
        <f t="shared" si="81"/>
        <v>LLC</v>
      </c>
      <c r="E283" s="2" t="str">
        <f t="shared" si="82"/>
        <v/>
      </c>
      <c r="F283" s="2">
        <f t="shared" si="83"/>
        <v>0</v>
      </c>
      <c r="G283" s="2">
        <f t="shared" si="84"/>
        <v>0</v>
      </c>
      <c r="H283" s="2">
        <f t="shared" si="85"/>
        <v>0</v>
      </c>
      <c r="I283" s="2">
        <f t="shared" si="86"/>
        <v>0</v>
      </c>
      <c r="NH283" cm="1">
        <f t="array" ref="NH283:NJ283">SUMIFS($J283:$GG283,$J$1:$GG$1,NH$3:NJ$3)</f>
        <v>0</v>
      </c>
      <c r="NI283">
        <v>0</v>
      </c>
      <c r="NJ283">
        <v>0</v>
      </c>
      <c r="NK283" cm="1">
        <f t="array" ref="NK283">IFERROR(MAX((_xlfn.ANCHORARRAY(NH283)-AVERAGE(_xlfn.ANCHORARRAY(NH283)))/ AVERAGE(_xlfn.ANCHORARRAY(NH283))),0)</f>
        <v>0</v>
      </c>
      <c r="NN283" cm="1">
        <f t="array" ref="NN283:NR283">SUMIFS($J283:$GG283,$J$3:$GG$3,NN$3:NR$3)</f>
        <v>0</v>
      </c>
      <c r="NO283">
        <v>0</v>
      </c>
      <c r="NP283">
        <v>0</v>
      </c>
      <c r="NQ283">
        <v>0</v>
      </c>
      <c r="NR283">
        <v>0</v>
      </c>
      <c r="NS283" cm="1">
        <f t="array" ref="NS283">IFERROR(MAX((_xlfn.ANCHORARRAY(NN283)-AVERAGE(_xlfn.ANCHORARRAY(NN283)))/ AVERAGE(_xlfn.ANCHORARRAY(NN283))),0)</f>
        <v>0</v>
      </c>
      <c r="NV283" cm="1">
        <f t="array" ref="NV283:OE283">SUMIFS($J283:$GG283,$J$2:$GG$2,NV$3:OE$3)</f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 cm="1">
        <f t="array" ref="OF283">IFERROR(MAX((_xlfn.ANCHORARRAY(NV283)-AVERAGE(_xlfn.ANCHORARRAY(NV283)))/ AVERAGE(_xlfn.ANCHORARRAY(NV283))),0)</f>
        <v>0</v>
      </c>
      <c r="OI283" t="str">
        <f t="shared" si="87"/>
        <v/>
      </c>
    </row>
    <row r="284" spans="2:399" x14ac:dyDescent="0.3">
      <c r="B284" s="2" t="str">
        <f t="shared" si="79"/>
        <v>LLC</v>
      </c>
      <c r="C284" s="2" t="str">
        <f t="shared" si="80"/>
        <v>LLC</v>
      </c>
      <c r="D284" s="2" t="str">
        <f t="shared" si="81"/>
        <v>LLC</v>
      </c>
      <c r="E284" s="2" t="str">
        <f t="shared" si="82"/>
        <v/>
      </c>
      <c r="F284" s="2">
        <f t="shared" si="83"/>
        <v>0</v>
      </c>
      <c r="G284" s="2">
        <f t="shared" si="84"/>
        <v>0</v>
      </c>
      <c r="H284" s="2">
        <f t="shared" si="85"/>
        <v>0</v>
      </c>
      <c r="I284" s="2">
        <f t="shared" si="86"/>
        <v>0</v>
      </c>
      <c r="NH284" cm="1">
        <f t="array" ref="NH284:NJ284">SUMIFS($J284:$GG284,$J$1:$GG$1,NH$3:NJ$3)</f>
        <v>0</v>
      </c>
      <c r="NI284">
        <v>0</v>
      </c>
      <c r="NJ284">
        <v>0</v>
      </c>
      <c r="NK284" cm="1">
        <f t="array" ref="NK284">IFERROR(MAX((_xlfn.ANCHORARRAY(NH284)-AVERAGE(_xlfn.ANCHORARRAY(NH284)))/ AVERAGE(_xlfn.ANCHORARRAY(NH284))),0)</f>
        <v>0</v>
      </c>
      <c r="NN284" cm="1">
        <f t="array" ref="NN284:NR284">SUMIFS($J284:$GG284,$J$3:$GG$3,NN$3:NR$3)</f>
        <v>0</v>
      </c>
      <c r="NO284">
        <v>0</v>
      </c>
      <c r="NP284">
        <v>0</v>
      </c>
      <c r="NQ284">
        <v>0</v>
      </c>
      <c r="NR284">
        <v>0</v>
      </c>
      <c r="NS284" cm="1">
        <f t="array" ref="NS284">IFERROR(MAX((_xlfn.ANCHORARRAY(NN284)-AVERAGE(_xlfn.ANCHORARRAY(NN284)))/ AVERAGE(_xlfn.ANCHORARRAY(NN284))),0)</f>
        <v>0</v>
      </c>
      <c r="NV284" cm="1">
        <f t="array" ref="NV284:OE284">SUMIFS($J284:$GG284,$J$2:$GG$2,NV$3:OE$3)</f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 cm="1">
        <f t="array" ref="OF284">IFERROR(MAX((_xlfn.ANCHORARRAY(NV284)-AVERAGE(_xlfn.ANCHORARRAY(NV284)))/ AVERAGE(_xlfn.ANCHORARRAY(NV284))),0)</f>
        <v>0</v>
      </c>
      <c r="OI284" t="str">
        <f t="shared" si="87"/>
        <v/>
      </c>
    </row>
    <row r="285" spans="2:399" x14ac:dyDescent="0.3">
      <c r="B285" s="2" t="str">
        <f t="shared" si="79"/>
        <v>LLC</v>
      </c>
      <c r="C285" s="2" t="str">
        <f t="shared" si="80"/>
        <v>LLC</v>
      </c>
      <c r="D285" s="2" t="str">
        <f t="shared" si="81"/>
        <v>LLC</v>
      </c>
      <c r="E285" s="2" t="str">
        <f t="shared" si="82"/>
        <v/>
      </c>
      <c r="F285" s="2">
        <f t="shared" si="83"/>
        <v>0</v>
      </c>
      <c r="G285" s="2">
        <f t="shared" si="84"/>
        <v>0</v>
      </c>
      <c r="H285" s="2">
        <f t="shared" si="85"/>
        <v>0</v>
      </c>
      <c r="I285" s="2">
        <f t="shared" si="86"/>
        <v>0</v>
      </c>
      <c r="NH285" cm="1">
        <f t="array" ref="NH285:NJ285">SUMIFS($J285:$GG285,$J$1:$GG$1,NH$3:NJ$3)</f>
        <v>0</v>
      </c>
      <c r="NI285">
        <v>0</v>
      </c>
      <c r="NJ285">
        <v>0</v>
      </c>
      <c r="NK285" cm="1">
        <f t="array" ref="NK285">IFERROR(MAX((_xlfn.ANCHORARRAY(NH285)-AVERAGE(_xlfn.ANCHORARRAY(NH285)))/ AVERAGE(_xlfn.ANCHORARRAY(NH285))),0)</f>
        <v>0</v>
      </c>
      <c r="NN285" cm="1">
        <f t="array" ref="NN285:NR285">SUMIFS($J285:$GG285,$J$3:$GG$3,NN$3:NR$3)</f>
        <v>0</v>
      </c>
      <c r="NO285">
        <v>0</v>
      </c>
      <c r="NP285">
        <v>0</v>
      </c>
      <c r="NQ285">
        <v>0</v>
      </c>
      <c r="NR285">
        <v>0</v>
      </c>
      <c r="NS285" cm="1">
        <f t="array" ref="NS285">IFERROR(MAX((_xlfn.ANCHORARRAY(NN285)-AVERAGE(_xlfn.ANCHORARRAY(NN285)))/ AVERAGE(_xlfn.ANCHORARRAY(NN285))),0)</f>
        <v>0</v>
      </c>
      <c r="NV285" cm="1">
        <f t="array" ref="NV285:OE285">SUMIFS($J285:$GG285,$J$2:$GG$2,NV$3:OE$3)</f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 cm="1">
        <f t="array" ref="OF285">IFERROR(MAX((_xlfn.ANCHORARRAY(NV285)-AVERAGE(_xlfn.ANCHORARRAY(NV285)))/ AVERAGE(_xlfn.ANCHORARRAY(NV285))),0)</f>
        <v>0</v>
      </c>
      <c r="OI285" t="str">
        <f t="shared" si="87"/>
        <v/>
      </c>
    </row>
    <row r="286" spans="2:399" x14ac:dyDescent="0.3">
      <c r="B286" s="2" t="str">
        <f t="shared" si="79"/>
        <v>LLC</v>
      </c>
      <c r="C286" s="2" t="str">
        <f t="shared" si="80"/>
        <v>LLC</v>
      </c>
      <c r="D286" s="2" t="str">
        <f t="shared" si="81"/>
        <v>LLC</v>
      </c>
      <c r="E286" s="2" t="str">
        <f t="shared" si="82"/>
        <v/>
      </c>
      <c r="F286" s="2">
        <f t="shared" si="83"/>
        <v>0</v>
      </c>
      <c r="G286" s="2">
        <f t="shared" si="84"/>
        <v>0</v>
      </c>
      <c r="H286" s="2">
        <f t="shared" si="85"/>
        <v>0</v>
      </c>
      <c r="I286" s="2">
        <f t="shared" si="86"/>
        <v>0</v>
      </c>
      <c r="NH286" cm="1">
        <f t="array" ref="NH286:NJ286">SUMIFS($J286:$GG286,$J$1:$GG$1,NH$3:NJ$3)</f>
        <v>0</v>
      </c>
      <c r="NI286">
        <v>0</v>
      </c>
      <c r="NJ286">
        <v>0</v>
      </c>
      <c r="NK286" cm="1">
        <f t="array" ref="NK286">IFERROR(MAX((_xlfn.ANCHORARRAY(NH286)-AVERAGE(_xlfn.ANCHORARRAY(NH286)))/ AVERAGE(_xlfn.ANCHORARRAY(NH286))),0)</f>
        <v>0</v>
      </c>
      <c r="NN286" cm="1">
        <f t="array" ref="NN286:NR286">SUMIFS($J286:$GG286,$J$3:$GG$3,NN$3:NR$3)</f>
        <v>0</v>
      </c>
      <c r="NO286">
        <v>0</v>
      </c>
      <c r="NP286">
        <v>0</v>
      </c>
      <c r="NQ286">
        <v>0</v>
      </c>
      <c r="NR286">
        <v>0</v>
      </c>
      <c r="NS286" cm="1">
        <f t="array" ref="NS286">IFERROR(MAX((_xlfn.ANCHORARRAY(NN286)-AVERAGE(_xlfn.ANCHORARRAY(NN286)))/ AVERAGE(_xlfn.ANCHORARRAY(NN286))),0)</f>
        <v>0</v>
      </c>
      <c r="NV286" cm="1">
        <f t="array" ref="NV286:OE286">SUMIFS($J286:$GG286,$J$2:$GG$2,NV$3:OE$3)</f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 cm="1">
        <f t="array" ref="OF286">IFERROR(MAX((_xlfn.ANCHORARRAY(NV286)-AVERAGE(_xlfn.ANCHORARRAY(NV286)))/ AVERAGE(_xlfn.ANCHORARRAY(NV286))),0)</f>
        <v>0</v>
      </c>
      <c r="OI286" t="str">
        <f t="shared" si="87"/>
        <v/>
      </c>
    </row>
    <row r="287" spans="2:399" x14ac:dyDescent="0.3">
      <c r="B287" s="2" t="str">
        <f t="shared" si="79"/>
        <v>LLC</v>
      </c>
      <c r="C287" s="2" t="str">
        <f t="shared" si="80"/>
        <v>LLC</v>
      </c>
      <c r="D287" s="2" t="str">
        <f t="shared" si="81"/>
        <v>LLC</v>
      </c>
      <c r="E287" s="2" t="str">
        <f t="shared" si="82"/>
        <v/>
      </c>
      <c r="F287" s="2">
        <f t="shared" si="83"/>
        <v>0</v>
      </c>
      <c r="G287" s="2">
        <f t="shared" si="84"/>
        <v>0</v>
      </c>
      <c r="H287" s="2">
        <f t="shared" si="85"/>
        <v>0</v>
      </c>
      <c r="I287" s="2">
        <f t="shared" si="86"/>
        <v>0</v>
      </c>
      <c r="NH287" cm="1">
        <f t="array" ref="NH287:NJ287">SUMIFS($J287:$GG287,$J$1:$GG$1,NH$3:NJ$3)</f>
        <v>0</v>
      </c>
      <c r="NI287">
        <v>0</v>
      </c>
      <c r="NJ287">
        <v>0</v>
      </c>
      <c r="NK287" cm="1">
        <f t="array" ref="NK287">IFERROR(MAX((_xlfn.ANCHORARRAY(NH287)-AVERAGE(_xlfn.ANCHORARRAY(NH287)))/ AVERAGE(_xlfn.ANCHORARRAY(NH287))),0)</f>
        <v>0</v>
      </c>
      <c r="NN287" cm="1">
        <f t="array" ref="NN287:NR287">SUMIFS($J287:$GG287,$J$3:$GG$3,NN$3:NR$3)</f>
        <v>0</v>
      </c>
      <c r="NO287">
        <v>0</v>
      </c>
      <c r="NP287">
        <v>0</v>
      </c>
      <c r="NQ287">
        <v>0</v>
      </c>
      <c r="NR287">
        <v>0</v>
      </c>
      <c r="NS287" cm="1">
        <f t="array" ref="NS287">IFERROR(MAX((_xlfn.ANCHORARRAY(NN287)-AVERAGE(_xlfn.ANCHORARRAY(NN287)))/ AVERAGE(_xlfn.ANCHORARRAY(NN287))),0)</f>
        <v>0</v>
      </c>
      <c r="NV287" cm="1">
        <f t="array" ref="NV287:OE287">SUMIFS($J287:$GG287,$J$2:$GG$2,NV$3:OE$3)</f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 cm="1">
        <f t="array" ref="OF287">IFERROR(MAX((_xlfn.ANCHORARRAY(NV287)-AVERAGE(_xlfn.ANCHORARRAY(NV287)))/ AVERAGE(_xlfn.ANCHORARRAY(NV287))),0)</f>
        <v>0</v>
      </c>
      <c r="OI287" t="str">
        <f t="shared" si="87"/>
        <v/>
      </c>
    </row>
    <row r="288" spans="2:399" x14ac:dyDescent="0.3">
      <c r="B288" s="2" t="str">
        <f t="shared" si="79"/>
        <v>LLC</v>
      </c>
      <c r="C288" s="2" t="str">
        <f t="shared" si="80"/>
        <v>LLC</v>
      </c>
      <c r="D288" s="2" t="str">
        <f t="shared" si="81"/>
        <v>LLC</v>
      </c>
      <c r="E288" s="2" t="str">
        <f t="shared" si="82"/>
        <v/>
      </c>
      <c r="F288" s="2">
        <f t="shared" si="83"/>
        <v>0</v>
      </c>
      <c r="G288" s="2">
        <f t="shared" si="84"/>
        <v>0</v>
      </c>
      <c r="H288" s="2">
        <f t="shared" si="85"/>
        <v>0</v>
      </c>
      <c r="I288" s="2">
        <f t="shared" si="86"/>
        <v>0</v>
      </c>
      <c r="NH288" cm="1">
        <f t="array" ref="NH288:NJ288">SUMIFS($J288:$GG288,$J$1:$GG$1,NH$3:NJ$3)</f>
        <v>0</v>
      </c>
      <c r="NI288">
        <v>0</v>
      </c>
      <c r="NJ288">
        <v>0</v>
      </c>
      <c r="NK288" cm="1">
        <f t="array" ref="NK288">IFERROR(MAX((_xlfn.ANCHORARRAY(NH288)-AVERAGE(_xlfn.ANCHORARRAY(NH288)))/ AVERAGE(_xlfn.ANCHORARRAY(NH288))),0)</f>
        <v>0</v>
      </c>
      <c r="NN288" cm="1">
        <f t="array" ref="NN288:NR288">SUMIFS($J288:$GG288,$J$3:$GG$3,NN$3:NR$3)</f>
        <v>0</v>
      </c>
      <c r="NO288">
        <v>0</v>
      </c>
      <c r="NP288">
        <v>0</v>
      </c>
      <c r="NQ288">
        <v>0</v>
      </c>
      <c r="NR288">
        <v>0</v>
      </c>
      <c r="NS288" cm="1">
        <f t="array" ref="NS288">IFERROR(MAX((_xlfn.ANCHORARRAY(NN288)-AVERAGE(_xlfn.ANCHORARRAY(NN288)))/ AVERAGE(_xlfn.ANCHORARRAY(NN288))),0)</f>
        <v>0</v>
      </c>
      <c r="NV288" cm="1">
        <f t="array" ref="NV288:OE288">SUMIFS($J288:$GG288,$J$2:$GG$2,NV$3:OE$3)</f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 cm="1">
        <f t="array" ref="OF288">IFERROR(MAX((_xlfn.ANCHORARRAY(NV288)-AVERAGE(_xlfn.ANCHORARRAY(NV288)))/ AVERAGE(_xlfn.ANCHORARRAY(NV288))),0)</f>
        <v>0</v>
      </c>
      <c r="OI288" t="str">
        <f t="shared" si="87"/>
        <v/>
      </c>
    </row>
    <row r="289" spans="2:399" x14ac:dyDescent="0.3">
      <c r="B289" s="2" t="str">
        <f t="shared" si="79"/>
        <v>LLC</v>
      </c>
      <c r="C289" s="2" t="str">
        <f t="shared" si="80"/>
        <v>LLC</v>
      </c>
      <c r="D289" s="2" t="str">
        <f t="shared" si="81"/>
        <v>LLC</v>
      </c>
      <c r="E289" s="2" t="str">
        <f t="shared" si="82"/>
        <v/>
      </c>
      <c r="F289" s="2">
        <f t="shared" si="83"/>
        <v>0</v>
      </c>
      <c r="G289" s="2">
        <f t="shared" si="84"/>
        <v>0</v>
      </c>
      <c r="H289" s="2">
        <f t="shared" si="85"/>
        <v>0</v>
      </c>
      <c r="I289" s="2">
        <f t="shared" si="86"/>
        <v>0</v>
      </c>
      <c r="NH289" cm="1">
        <f t="array" ref="NH289:NJ289">SUMIFS($J289:$GG289,$J$1:$GG$1,NH$3:NJ$3)</f>
        <v>0</v>
      </c>
      <c r="NI289">
        <v>0</v>
      </c>
      <c r="NJ289">
        <v>0</v>
      </c>
      <c r="NK289" cm="1">
        <f t="array" ref="NK289">IFERROR(MAX((_xlfn.ANCHORARRAY(NH289)-AVERAGE(_xlfn.ANCHORARRAY(NH289)))/ AVERAGE(_xlfn.ANCHORARRAY(NH289))),0)</f>
        <v>0</v>
      </c>
      <c r="NN289" cm="1">
        <f t="array" ref="NN289:NR289">SUMIFS($J289:$GG289,$J$3:$GG$3,NN$3:NR$3)</f>
        <v>0</v>
      </c>
      <c r="NO289">
        <v>0</v>
      </c>
      <c r="NP289">
        <v>0</v>
      </c>
      <c r="NQ289">
        <v>0</v>
      </c>
      <c r="NR289">
        <v>0</v>
      </c>
      <c r="NS289" cm="1">
        <f t="array" ref="NS289">IFERROR(MAX((_xlfn.ANCHORARRAY(NN289)-AVERAGE(_xlfn.ANCHORARRAY(NN289)))/ AVERAGE(_xlfn.ANCHORARRAY(NN289))),0)</f>
        <v>0</v>
      </c>
      <c r="NV289" cm="1">
        <f t="array" ref="NV289:OE289">SUMIFS($J289:$GG289,$J$2:$GG$2,NV$3:OE$3)</f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 cm="1">
        <f t="array" ref="OF289">IFERROR(MAX((_xlfn.ANCHORARRAY(NV289)-AVERAGE(_xlfn.ANCHORARRAY(NV289)))/ AVERAGE(_xlfn.ANCHORARRAY(NV289))),0)</f>
        <v>0</v>
      </c>
      <c r="OI289" t="str">
        <f t="shared" si="87"/>
        <v/>
      </c>
    </row>
    <row r="290" spans="2:399" x14ac:dyDescent="0.3">
      <c r="B290" s="2" t="str">
        <f t="shared" si="79"/>
        <v>LLC</v>
      </c>
      <c r="C290" s="2" t="str">
        <f t="shared" si="80"/>
        <v>LLC</v>
      </c>
      <c r="D290" s="2" t="str">
        <f t="shared" si="81"/>
        <v>LLC</v>
      </c>
      <c r="E290" s="2" t="str">
        <f t="shared" si="82"/>
        <v/>
      </c>
      <c r="F290" s="2">
        <f t="shared" si="83"/>
        <v>0</v>
      </c>
      <c r="G290" s="2">
        <f t="shared" si="84"/>
        <v>0</v>
      </c>
      <c r="H290" s="2">
        <f t="shared" si="85"/>
        <v>0</v>
      </c>
      <c r="I290" s="2">
        <f t="shared" si="86"/>
        <v>0</v>
      </c>
      <c r="NH290" cm="1">
        <f t="array" ref="NH290:NJ290">SUMIFS($J290:$GG290,$J$1:$GG$1,NH$3:NJ$3)</f>
        <v>0</v>
      </c>
      <c r="NI290">
        <v>0</v>
      </c>
      <c r="NJ290">
        <v>0</v>
      </c>
      <c r="NK290" cm="1">
        <f t="array" ref="NK290">IFERROR(MAX((_xlfn.ANCHORARRAY(NH290)-AVERAGE(_xlfn.ANCHORARRAY(NH290)))/ AVERAGE(_xlfn.ANCHORARRAY(NH290))),0)</f>
        <v>0</v>
      </c>
      <c r="NN290" cm="1">
        <f t="array" ref="NN290:NR290">SUMIFS($J290:$GG290,$J$3:$GG$3,NN$3:NR$3)</f>
        <v>0</v>
      </c>
      <c r="NO290">
        <v>0</v>
      </c>
      <c r="NP290">
        <v>0</v>
      </c>
      <c r="NQ290">
        <v>0</v>
      </c>
      <c r="NR290">
        <v>0</v>
      </c>
      <c r="NS290" cm="1">
        <f t="array" ref="NS290">IFERROR(MAX((_xlfn.ANCHORARRAY(NN290)-AVERAGE(_xlfn.ANCHORARRAY(NN290)))/ AVERAGE(_xlfn.ANCHORARRAY(NN290))),0)</f>
        <v>0</v>
      </c>
      <c r="NV290" cm="1">
        <f t="array" ref="NV290:OE290">SUMIFS($J290:$GG290,$J$2:$GG$2,NV$3:OE$3)</f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 cm="1">
        <f t="array" ref="OF290">IFERROR(MAX((_xlfn.ANCHORARRAY(NV290)-AVERAGE(_xlfn.ANCHORARRAY(NV290)))/ AVERAGE(_xlfn.ANCHORARRAY(NV290))),0)</f>
        <v>0</v>
      </c>
      <c r="OI290" t="str">
        <f t="shared" si="87"/>
        <v/>
      </c>
    </row>
    <row r="291" spans="2:399" x14ac:dyDescent="0.3">
      <c r="B291" s="2" t="str">
        <f t="shared" si="79"/>
        <v>LLC</v>
      </c>
      <c r="C291" s="2" t="str">
        <f t="shared" si="80"/>
        <v>LLC</v>
      </c>
      <c r="D291" s="2" t="str">
        <f t="shared" si="81"/>
        <v>LLC</v>
      </c>
      <c r="E291" s="2" t="str">
        <f t="shared" si="82"/>
        <v/>
      </c>
      <c r="F291" s="2">
        <f t="shared" si="83"/>
        <v>0</v>
      </c>
      <c r="G291" s="2">
        <f t="shared" si="84"/>
        <v>0</v>
      </c>
      <c r="H291" s="2">
        <f t="shared" si="85"/>
        <v>0</v>
      </c>
      <c r="I291" s="2">
        <f t="shared" si="86"/>
        <v>0</v>
      </c>
      <c r="NH291" cm="1">
        <f t="array" ref="NH291:NJ291">SUMIFS($J291:$GG291,$J$1:$GG$1,NH$3:NJ$3)</f>
        <v>0</v>
      </c>
      <c r="NI291">
        <v>0</v>
      </c>
      <c r="NJ291">
        <v>0</v>
      </c>
      <c r="NK291" cm="1">
        <f t="array" ref="NK291">IFERROR(MAX((_xlfn.ANCHORARRAY(NH291)-AVERAGE(_xlfn.ANCHORARRAY(NH291)))/ AVERAGE(_xlfn.ANCHORARRAY(NH291))),0)</f>
        <v>0</v>
      </c>
      <c r="NN291" cm="1">
        <f t="array" ref="NN291:NR291">SUMIFS($J291:$GG291,$J$3:$GG$3,NN$3:NR$3)</f>
        <v>0</v>
      </c>
      <c r="NO291">
        <v>0</v>
      </c>
      <c r="NP291">
        <v>0</v>
      </c>
      <c r="NQ291">
        <v>0</v>
      </c>
      <c r="NR291">
        <v>0</v>
      </c>
      <c r="NS291" cm="1">
        <f t="array" ref="NS291">IFERROR(MAX((_xlfn.ANCHORARRAY(NN291)-AVERAGE(_xlfn.ANCHORARRAY(NN291)))/ AVERAGE(_xlfn.ANCHORARRAY(NN291))),0)</f>
        <v>0</v>
      </c>
      <c r="NV291" cm="1">
        <f t="array" ref="NV291:OE291">SUMIFS($J291:$GG291,$J$2:$GG$2,NV$3:OE$3)</f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 cm="1">
        <f t="array" ref="OF291">IFERROR(MAX((_xlfn.ANCHORARRAY(NV291)-AVERAGE(_xlfn.ANCHORARRAY(NV291)))/ AVERAGE(_xlfn.ANCHORARRAY(NV291))),0)</f>
        <v>0</v>
      </c>
      <c r="OI291" t="str">
        <f t="shared" si="87"/>
        <v/>
      </c>
    </row>
    <row r="292" spans="2:399" x14ac:dyDescent="0.3">
      <c r="B292" s="2" t="str">
        <f t="shared" si="79"/>
        <v>LLC</v>
      </c>
      <c r="C292" s="2" t="str">
        <f t="shared" si="80"/>
        <v>LLC</v>
      </c>
      <c r="D292" s="2" t="str">
        <f t="shared" si="81"/>
        <v>LLC</v>
      </c>
      <c r="E292" s="2" t="str">
        <f t="shared" si="82"/>
        <v/>
      </c>
      <c r="F292" s="2">
        <f t="shared" si="83"/>
        <v>0</v>
      </c>
      <c r="G292" s="2">
        <f t="shared" si="84"/>
        <v>0</v>
      </c>
      <c r="H292" s="2">
        <f t="shared" si="85"/>
        <v>0</v>
      </c>
      <c r="I292" s="2">
        <f t="shared" si="86"/>
        <v>0</v>
      </c>
      <c r="NH292" cm="1">
        <f t="array" ref="NH292:NJ292">SUMIFS($J292:$GG292,$J$1:$GG$1,NH$3:NJ$3)</f>
        <v>0</v>
      </c>
      <c r="NI292">
        <v>0</v>
      </c>
      <c r="NJ292">
        <v>0</v>
      </c>
      <c r="NK292" cm="1">
        <f t="array" ref="NK292">IFERROR(MAX((_xlfn.ANCHORARRAY(NH292)-AVERAGE(_xlfn.ANCHORARRAY(NH292)))/ AVERAGE(_xlfn.ANCHORARRAY(NH292))),0)</f>
        <v>0</v>
      </c>
      <c r="NN292" cm="1">
        <f t="array" ref="NN292:NR292">SUMIFS($J292:$GG292,$J$3:$GG$3,NN$3:NR$3)</f>
        <v>0</v>
      </c>
      <c r="NO292">
        <v>0</v>
      </c>
      <c r="NP292">
        <v>0</v>
      </c>
      <c r="NQ292">
        <v>0</v>
      </c>
      <c r="NR292">
        <v>0</v>
      </c>
      <c r="NS292" cm="1">
        <f t="array" ref="NS292">IFERROR(MAX((_xlfn.ANCHORARRAY(NN292)-AVERAGE(_xlfn.ANCHORARRAY(NN292)))/ AVERAGE(_xlfn.ANCHORARRAY(NN292))),0)</f>
        <v>0</v>
      </c>
      <c r="NV292" cm="1">
        <f t="array" ref="NV292:OE292">SUMIFS($J292:$GG292,$J$2:$GG$2,NV$3:OE$3)</f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 cm="1">
        <f t="array" ref="OF292">IFERROR(MAX((_xlfn.ANCHORARRAY(NV292)-AVERAGE(_xlfn.ANCHORARRAY(NV292)))/ AVERAGE(_xlfn.ANCHORARRAY(NV292))),0)</f>
        <v>0</v>
      </c>
      <c r="OI292" t="str">
        <f t="shared" si="87"/>
        <v/>
      </c>
    </row>
    <row r="293" spans="2:399" x14ac:dyDescent="0.3">
      <c r="B293" s="2" t="str">
        <f t="shared" si="79"/>
        <v>LLC</v>
      </c>
      <c r="C293" s="2" t="str">
        <f t="shared" si="80"/>
        <v>LLC</v>
      </c>
      <c r="D293" s="2" t="str">
        <f t="shared" si="81"/>
        <v>LLC</v>
      </c>
      <c r="E293" s="2" t="str">
        <f t="shared" si="82"/>
        <v/>
      </c>
      <c r="F293" s="2">
        <f t="shared" si="83"/>
        <v>0</v>
      </c>
      <c r="G293" s="2">
        <f t="shared" si="84"/>
        <v>0</v>
      </c>
      <c r="H293" s="2">
        <f t="shared" si="85"/>
        <v>0</v>
      </c>
      <c r="I293" s="2">
        <f t="shared" si="86"/>
        <v>0</v>
      </c>
      <c r="NH293" cm="1">
        <f t="array" ref="NH293:NJ293">SUMIFS($J293:$GG293,$J$1:$GG$1,NH$3:NJ$3)</f>
        <v>0</v>
      </c>
      <c r="NI293">
        <v>0</v>
      </c>
      <c r="NJ293">
        <v>0</v>
      </c>
      <c r="NK293" cm="1">
        <f t="array" ref="NK293">IFERROR(MAX((_xlfn.ANCHORARRAY(NH293)-AVERAGE(_xlfn.ANCHORARRAY(NH293)))/ AVERAGE(_xlfn.ANCHORARRAY(NH293))),0)</f>
        <v>0</v>
      </c>
      <c r="NN293" cm="1">
        <f t="array" ref="NN293:NR293">SUMIFS($J293:$GG293,$J$3:$GG$3,NN$3:NR$3)</f>
        <v>0</v>
      </c>
      <c r="NO293">
        <v>0</v>
      </c>
      <c r="NP293">
        <v>0</v>
      </c>
      <c r="NQ293">
        <v>0</v>
      </c>
      <c r="NR293">
        <v>0</v>
      </c>
      <c r="NS293" cm="1">
        <f t="array" ref="NS293">IFERROR(MAX((_xlfn.ANCHORARRAY(NN293)-AVERAGE(_xlfn.ANCHORARRAY(NN293)))/ AVERAGE(_xlfn.ANCHORARRAY(NN293))),0)</f>
        <v>0</v>
      </c>
      <c r="NV293" cm="1">
        <f t="array" ref="NV293:OE293">SUMIFS($J293:$GG293,$J$2:$GG$2,NV$3:OE$3)</f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 cm="1">
        <f t="array" ref="OF293">IFERROR(MAX((_xlfn.ANCHORARRAY(NV293)-AVERAGE(_xlfn.ANCHORARRAY(NV293)))/ AVERAGE(_xlfn.ANCHORARRAY(NV293))),0)</f>
        <v>0</v>
      </c>
      <c r="OI293" t="str">
        <f t="shared" si="87"/>
        <v/>
      </c>
    </row>
    <row r="294" spans="2:399" x14ac:dyDescent="0.3">
      <c r="B294" s="2" t="str">
        <f t="shared" si="79"/>
        <v>LLC</v>
      </c>
      <c r="C294" s="2" t="str">
        <f t="shared" si="80"/>
        <v>LLC</v>
      </c>
      <c r="D294" s="2" t="str">
        <f t="shared" si="81"/>
        <v>LLC</v>
      </c>
      <c r="E294" s="2" t="str">
        <f t="shared" si="82"/>
        <v/>
      </c>
      <c r="F294" s="2">
        <f t="shared" si="83"/>
        <v>0</v>
      </c>
      <c r="G294" s="2">
        <f t="shared" si="84"/>
        <v>0</v>
      </c>
      <c r="H294" s="2">
        <f t="shared" si="85"/>
        <v>0</v>
      </c>
      <c r="I294" s="2">
        <f t="shared" si="86"/>
        <v>0</v>
      </c>
      <c r="NH294" cm="1">
        <f t="array" ref="NH294:NJ294">SUMIFS($J294:$GG294,$J$1:$GG$1,NH$3:NJ$3)</f>
        <v>0</v>
      </c>
      <c r="NI294">
        <v>0</v>
      </c>
      <c r="NJ294">
        <v>0</v>
      </c>
      <c r="NK294" cm="1">
        <f t="array" ref="NK294">IFERROR(MAX((_xlfn.ANCHORARRAY(NH294)-AVERAGE(_xlfn.ANCHORARRAY(NH294)))/ AVERAGE(_xlfn.ANCHORARRAY(NH294))),0)</f>
        <v>0</v>
      </c>
      <c r="NN294" cm="1">
        <f t="array" ref="NN294:NR294">SUMIFS($J294:$GG294,$J$3:$GG$3,NN$3:NR$3)</f>
        <v>0</v>
      </c>
      <c r="NO294">
        <v>0</v>
      </c>
      <c r="NP294">
        <v>0</v>
      </c>
      <c r="NQ294">
        <v>0</v>
      </c>
      <c r="NR294">
        <v>0</v>
      </c>
      <c r="NS294" cm="1">
        <f t="array" ref="NS294">IFERROR(MAX((_xlfn.ANCHORARRAY(NN294)-AVERAGE(_xlfn.ANCHORARRAY(NN294)))/ AVERAGE(_xlfn.ANCHORARRAY(NN294))),0)</f>
        <v>0</v>
      </c>
      <c r="NV294" cm="1">
        <f t="array" ref="NV294:OE294">SUMIFS($J294:$GG294,$J$2:$GG$2,NV$3:OE$3)</f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 cm="1">
        <f t="array" ref="OF294">IFERROR(MAX((_xlfn.ANCHORARRAY(NV294)-AVERAGE(_xlfn.ANCHORARRAY(NV294)))/ AVERAGE(_xlfn.ANCHORARRAY(NV294))),0)</f>
        <v>0</v>
      </c>
      <c r="OI294" t="str">
        <f t="shared" si="87"/>
        <v/>
      </c>
    </row>
    <row r="295" spans="2:399" x14ac:dyDescent="0.3">
      <c r="B295" s="2" t="str">
        <f t="shared" si="79"/>
        <v>LLC</v>
      </c>
      <c r="C295" s="2" t="str">
        <f t="shared" si="80"/>
        <v>LLC</v>
      </c>
      <c r="D295" s="2" t="str">
        <f t="shared" si="81"/>
        <v>LLC</v>
      </c>
      <c r="E295" s="2" t="str">
        <f t="shared" si="82"/>
        <v/>
      </c>
      <c r="F295" s="2">
        <f t="shared" si="83"/>
        <v>0</v>
      </c>
      <c r="G295" s="2">
        <f t="shared" si="84"/>
        <v>0</v>
      </c>
      <c r="H295" s="2">
        <f t="shared" si="85"/>
        <v>0</v>
      </c>
      <c r="I295" s="2">
        <f t="shared" si="86"/>
        <v>0</v>
      </c>
      <c r="NH295" cm="1">
        <f t="array" ref="NH295:NJ295">SUMIFS($J295:$GG295,$J$1:$GG$1,NH$3:NJ$3)</f>
        <v>0</v>
      </c>
      <c r="NI295">
        <v>0</v>
      </c>
      <c r="NJ295">
        <v>0</v>
      </c>
      <c r="NK295" cm="1">
        <f t="array" ref="NK295">IFERROR(MAX((_xlfn.ANCHORARRAY(NH295)-AVERAGE(_xlfn.ANCHORARRAY(NH295)))/ AVERAGE(_xlfn.ANCHORARRAY(NH295))),0)</f>
        <v>0</v>
      </c>
      <c r="NN295" cm="1">
        <f t="array" ref="NN295:NR295">SUMIFS($J295:$GG295,$J$3:$GG$3,NN$3:NR$3)</f>
        <v>0</v>
      </c>
      <c r="NO295">
        <v>0</v>
      </c>
      <c r="NP295">
        <v>0</v>
      </c>
      <c r="NQ295">
        <v>0</v>
      </c>
      <c r="NR295">
        <v>0</v>
      </c>
      <c r="NS295" cm="1">
        <f t="array" ref="NS295">IFERROR(MAX((_xlfn.ANCHORARRAY(NN295)-AVERAGE(_xlfn.ANCHORARRAY(NN295)))/ AVERAGE(_xlfn.ANCHORARRAY(NN295))),0)</f>
        <v>0</v>
      </c>
      <c r="NV295" cm="1">
        <f t="array" ref="NV295:OE295">SUMIFS($J295:$GG295,$J$2:$GG$2,NV$3:OE$3)</f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 cm="1">
        <f t="array" ref="OF295">IFERROR(MAX((_xlfn.ANCHORARRAY(NV295)-AVERAGE(_xlfn.ANCHORARRAY(NV295)))/ AVERAGE(_xlfn.ANCHORARRAY(NV295))),0)</f>
        <v>0</v>
      </c>
      <c r="OI295" t="str">
        <f t="shared" si="87"/>
        <v/>
      </c>
    </row>
    <row r="296" spans="2:399" x14ac:dyDescent="0.3">
      <c r="B296" s="2" t="str">
        <f t="shared" si="79"/>
        <v>LLC</v>
      </c>
      <c r="C296" s="2" t="str">
        <f t="shared" si="80"/>
        <v>LLC</v>
      </c>
      <c r="D296" s="2" t="str">
        <f t="shared" si="81"/>
        <v>LLC</v>
      </c>
      <c r="E296" s="2" t="str">
        <f t="shared" si="82"/>
        <v/>
      </c>
      <c r="F296" s="2">
        <f t="shared" si="83"/>
        <v>0</v>
      </c>
      <c r="G296" s="2">
        <f t="shared" si="84"/>
        <v>0</v>
      </c>
      <c r="H296" s="2">
        <f t="shared" si="85"/>
        <v>0</v>
      </c>
      <c r="I296" s="2">
        <f t="shared" si="86"/>
        <v>0</v>
      </c>
      <c r="NH296" cm="1">
        <f t="array" ref="NH296:NJ296">SUMIFS($J296:$GG296,$J$1:$GG$1,NH$3:NJ$3)</f>
        <v>0</v>
      </c>
      <c r="NI296">
        <v>0</v>
      </c>
      <c r="NJ296">
        <v>0</v>
      </c>
      <c r="NK296" cm="1">
        <f t="array" ref="NK296">IFERROR(MAX((_xlfn.ANCHORARRAY(NH296)-AVERAGE(_xlfn.ANCHORARRAY(NH296)))/ AVERAGE(_xlfn.ANCHORARRAY(NH296))),0)</f>
        <v>0</v>
      </c>
      <c r="NN296" cm="1">
        <f t="array" ref="NN296:NR296">SUMIFS($J296:$GG296,$J$3:$GG$3,NN$3:NR$3)</f>
        <v>0</v>
      </c>
      <c r="NO296">
        <v>0</v>
      </c>
      <c r="NP296">
        <v>0</v>
      </c>
      <c r="NQ296">
        <v>0</v>
      </c>
      <c r="NR296">
        <v>0</v>
      </c>
      <c r="NS296" cm="1">
        <f t="array" ref="NS296">IFERROR(MAX((_xlfn.ANCHORARRAY(NN296)-AVERAGE(_xlfn.ANCHORARRAY(NN296)))/ AVERAGE(_xlfn.ANCHORARRAY(NN296))),0)</f>
        <v>0</v>
      </c>
      <c r="NV296" cm="1">
        <f t="array" ref="NV296:OE296">SUMIFS($J296:$GG296,$J$2:$GG$2,NV$3:OE$3)</f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 cm="1">
        <f t="array" ref="OF296">IFERROR(MAX((_xlfn.ANCHORARRAY(NV296)-AVERAGE(_xlfn.ANCHORARRAY(NV296)))/ AVERAGE(_xlfn.ANCHORARRAY(NV296))),0)</f>
        <v>0</v>
      </c>
      <c r="OI296" t="str">
        <f t="shared" si="87"/>
        <v/>
      </c>
    </row>
    <row r="297" spans="2:399" x14ac:dyDescent="0.3">
      <c r="B297" s="2" t="str">
        <f t="shared" si="79"/>
        <v>LLC</v>
      </c>
      <c r="C297" s="2" t="str">
        <f t="shared" si="80"/>
        <v>LLC</v>
      </c>
      <c r="D297" s="2" t="str">
        <f t="shared" si="81"/>
        <v>LLC</v>
      </c>
      <c r="E297" s="2" t="str">
        <f t="shared" si="82"/>
        <v/>
      </c>
      <c r="F297" s="2">
        <f t="shared" si="83"/>
        <v>0</v>
      </c>
      <c r="G297" s="2">
        <f t="shared" si="84"/>
        <v>0</v>
      </c>
      <c r="H297" s="2">
        <f t="shared" si="85"/>
        <v>0</v>
      </c>
      <c r="I297" s="2">
        <f t="shared" si="86"/>
        <v>0</v>
      </c>
      <c r="NH297" cm="1">
        <f t="array" ref="NH297:NJ297">SUMIFS($J297:$GG297,$J$1:$GG$1,NH$3:NJ$3)</f>
        <v>0</v>
      </c>
      <c r="NI297">
        <v>0</v>
      </c>
      <c r="NJ297">
        <v>0</v>
      </c>
      <c r="NK297" cm="1">
        <f t="array" ref="NK297">IFERROR(MAX((_xlfn.ANCHORARRAY(NH297)-AVERAGE(_xlfn.ANCHORARRAY(NH297)))/ AVERAGE(_xlfn.ANCHORARRAY(NH297))),0)</f>
        <v>0</v>
      </c>
      <c r="NN297" cm="1">
        <f t="array" ref="NN297:NR297">SUMIFS($J297:$GG297,$J$3:$GG$3,NN$3:NR$3)</f>
        <v>0</v>
      </c>
      <c r="NO297">
        <v>0</v>
      </c>
      <c r="NP297">
        <v>0</v>
      </c>
      <c r="NQ297">
        <v>0</v>
      </c>
      <c r="NR297">
        <v>0</v>
      </c>
      <c r="NS297" cm="1">
        <f t="array" ref="NS297">IFERROR(MAX((_xlfn.ANCHORARRAY(NN297)-AVERAGE(_xlfn.ANCHORARRAY(NN297)))/ AVERAGE(_xlfn.ANCHORARRAY(NN297))),0)</f>
        <v>0</v>
      </c>
      <c r="NV297" cm="1">
        <f t="array" ref="NV297:OE297">SUMIFS($J297:$GG297,$J$2:$GG$2,NV$3:OE$3)</f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 cm="1">
        <f t="array" ref="OF297">IFERROR(MAX((_xlfn.ANCHORARRAY(NV297)-AVERAGE(_xlfn.ANCHORARRAY(NV297)))/ AVERAGE(_xlfn.ANCHORARRAY(NV297))),0)</f>
        <v>0</v>
      </c>
      <c r="OI297" t="str">
        <f t="shared" si="87"/>
        <v/>
      </c>
    </row>
    <row r="298" spans="2:399" x14ac:dyDescent="0.3">
      <c r="B298" s="2" t="str">
        <f t="shared" si="79"/>
        <v>LLC</v>
      </c>
      <c r="C298" s="2" t="str">
        <f t="shared" si="80"/>
        <v>LLC</v>
      </c>
      <c r="D298" s="2" t="str">
        <f t="shared" si="81"/>
        <v>LLC</v>
      </c>
      <c r="E298" s="2" t="str">
        <f t="shared" si="82"/>
        <v/>
      </c>
      <c r="F298" s="2">
        <f t="shared" si="83"/>
        <v>0</v>
      </c>
      <c r="G298" s="2">
        <f t="shared" si="84"/>
        <v>0</v>
      </c>
      <c r="H298" s="2">
        <f t="shared" si="85"/>
        <v>0</v>
      </c>
      <c r="I298" s="2">
        <f t="shared" si="86"/>
        <v>0</v>
      </c>
      <c r="NH298" cm="1">
        <f t="array" ref="NH298:NJ298">SUMIFS($J298:$GG298,$J$1:$GG$1,NH$3:NJ$3)</f>
        <v>0</v>
      </c>
      <c r="NI298">
        <v>0</v>
      </c>
      <c r="NJ298">
        <v>0</v>
      </c>
      <c r="NK298" cm="1">
        <f t="array" ref="NK298">IFERROR(MAX((_xlfn.ANCHORARRAY(NH298)-AVERAGE(_xlfn.ANCHORARRAY(NH298)))/ AVERAGE(_xlfn.ANCHORARRAY(NH298))),0)</f>
        <v>0</v>
      </c>
      <c r="NN298" cm="1">
        <f t="array" ref="NN298:NR298">SUMIFS($J298:$GG298,$J$3:$GG$3,NN$3:NR$3)</f>
        <v>0</v>
      </c>
      <c r="NO298">
        <v>0</v>
      </c>
      <c r="NP298">
        <v>0</v>
      </c>
      <c r="NQ298">
        <v>0</v>
      </c>
      <c r="NR298">
        <v>0</v>
      </c>
      <c r="NS298" cm="1">
        <f t="array" ref="NS298">IFERROR(MAX((_xlfn.ANCHORARRAY(NN298)-AVERAGE(_xlfn.ANCHORARRAY(NN298)))/ AVERAGE(_xlfn.ANCHORARRAY(NN298))),0)</f>
        <v>0</v>
      </c>
      <c r="NV298" cm="1">
        <f t="array" ref="NV298:OE298">SUMIFS($J298:$GG298,$J$2:$GG$2,NV$3:OE$3)</f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 cm="1">
        <f t="array" ref="OF298">IFERROR(MAX((_xlfn.ANCHORARRAY(NV298)-AVERAGE(_xlfn.ANCHORARRAY(NV298)))/ AVERAGE(_xlfn.ANCHORARRAY(NV298))),0)</f>
        <v>0</v>
      </c>
      <c r="OI298" t="str">
        <f t="shared" si="87"/>
        <v/>
      </c>
    </row>
    <row r="299" spans="2:399" x14ac:dyDescent="0.3">
      <c r="B299" s="2" t="str">
        <f t="shared" si="79"/>
        <v>LLC</v>
      </c>
      <c r="C299" s="2" t="str">
        <f t="shared" si="80"/>
        <v>LLC</v>
      </c>
      <c r="D299" s="2" t="str">
        <f t="shared" si="81"/>
        <v>LLC</v>
      </c>
      <c r="E299" s="2" t="str">
        <f t="shared" si="82"/>
        <v/>
      </c>
      <c r="F299" s="2">
        <f t="shared" si="83"/>
        <v>0</v>
      </c>
      <c r="G299" s="2">
        <f t="shared" si="84"/>
        <v>0</v>
      </c>
      <c r="H299" s="2">
        <f t="shared" si="85"/>
        <v>0</v>
      </c>
      <c r="I299" s="2">
        <f t="shared" si="86"/>
        <v>0</v>
      </c>
      <c r="NH299" cm="1">
        <f t="array" ref="NH299:NJ299">SUMIFS($J299:$GG299,$J$1:$GG$1,NH$3:NJ$3)</f>
        <v>0</v>
      </c>
      <c r="NI299">
        <v>0</v>
      </c>
      <c r="NJ299">
        <v>0</v>
      </c>
      <c r="NK299" cm="1">
        <f t="array" ref="NK299">IFERROR(MAX((_xlfn.ANCHORARRAY(NH299)-AVERAGE(_xlfn.ANCHORARRAY(NH299)))/ AVERAGE(_xlfn.ANCHORARRAY(NH299))),0)</f>
        <v>0</v>
      </c>
      <c r="NN299" cm="1">
        <f t="array" ref="NN299:NR299">SUMIFS($J299:$GG299,$J$3:$GG$3,NN$3:NR$3)</f>
        <v>0</v>
      </c>
      <c r="NO299">
        <v>0</v>
      </c>
      <c r="NP299">
        <v>0</v>
      </c>
      <c r="NQ299">
        <v>0</v>
      </c>
      <c r="NR299">
        <v>0</v>
      </c>
      <c r="NS299" cm="1">
        <f t="array" ref="NS299">IFERROR(MAX((_xlfn.ANCHORARRAY(NN299)-AVERAGE(_xlfn.ANCHORARRAY(NN299)))/ AVERAGE(_xlfn.ANCHORARRAY(NN299))),0)</f>
        <v>0</v>
      </c>
      <c r="NV299" cm="1">
        <f t="array" ref="NV299:OE299">SUMIFS($J299:$GG299,$J$2:$GG$2,NV$3:OE$3)</f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 cm="1">
        <f t="array" ref="OF299">IFERROR(MAX((_xlfn.ANCHORARRAY(NV299)-AVERAGE(_xlfn.ANCHORARRAY(NV299)))/ AVERAGE(_xlfn.ANCHORARRAY(NV299))),0)</f>
        <v>0</v>
      </c>
      <c r="OI299" t="str">
        <f t="shared" si="87"/>
        <v/>
      </c>
    </row>
    <row r="300" spans="2:399" x14ac:dyDescent="0.3">
      <c r="B300" s="2" t="str">
        <f t="shared" si="79"/>
        <v>LLC</v>
      </c>
      <c r="C300" s="2" t="str">
        <f t="shared" si="80"/>
        <v>LLC</v>
      </c>
      <c r="D300" s="2" t="str">
        <f t="shared" si="81"/>
        <v>LLC</v>
      </c>
      <c r="E300" s="2" t="str">
        <f t="shared" si="82"/>
        <v/>
      </c>
      <c r="F300" s="2">
        <f t="shared" si="83"/>
        <v>0</v>
      </c>
      <c r="G300" s="2">
        <f t="shared" si="84"/>
        <v>0</v>
      </c>
      <c r="H300" s="2">
        <f t="shared" si="85"/>
        <v>0</v>
      </c>
      <c r="I300" s="2">
        <f t="shared" si="86"/>
        <v>0</v>
      </c>
      <c r="NH300" cm="1">
        <f t="array" ref="NH300:NJ300">SUMIFS($J300:$GG300,$J$1:$GG$1,NH$3:NJ$3)</f>
        <v>0</v>
      </c>
      <c r="NI300">
        <v>0</v>
      </c>
      <c r="NJ300">
        <v>0</v>
      </c>
      <c r="NK300" cm="1">
        <f t="array" ref="NK300">IFERROR(MAX((_xlfn.ANCHORARRAY(NH300)-AVERAGE(_xlfn.ANCHORARRAY(NH300)))/ AVERAGE(_xlfn.ANCHORARRAY(NH300))),0)</f>
        <v>0</v>
      </c>
      <c r="NN300" cm="1">
        <f t="array" ref="NN300:NR300">SUMIFS($J300:$GG300,$J$3:$GG$3,NN$3:NR$3)</f>
        <v>0</v>
      </c>
      <c r="NO300">
        <v>0</v>
      </c>
      <c r="NP300">
        <v>0</v>
      </c>
      <c r="NQ300">
        <v>0</v>
      </c>
      <c r="NR300">
        <v>0</v>
      </c>
      <c r="NS300" cm="1">
        <f t="array" ref="NS300">IFERROR(MAX((_xlfn.ANCHORARRAY(NN300)-AVERAGE(_xlfn.ANCHORARRAY(NN300)))/ AVERAGE(_xlfn.ANCHORARRAY(NN300))),0)</f>
        <v>0</v>
      </c>
      <c r="NV300" cm="1">
        <f t="array" ref="NV300:OE300">SUMIFS($J300:$GG300,$J$2:$GG$2,NV$3:OE$3)</f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 cm="1">
        <f t="array" ref="OF300">IFERROR(MAX((_xlfn.ANCHORARRAY(NV300)-AVERAGE(_xlfn.ANCHORARRAY(NV300)))/ AVERAGE(_xlfn.ANCHORARRAY(NV300))),0)</f>
        <v>0</v>
      </c>
      <c r="OI300" t="str">
        <f t="shared" si="87"/>
        <v/>
      </c>
    </row>
    <row r="301" spans="2:399" x14ac:dyDescent="0.3">
      <c r="B301" s="2" t="str">
        <f t="shared" si="79"/>
        <v>LLC</v>
      </c>
      <c r="C301" s="2" t="str">
        <f t="shared" si="80"/>
        <v>LLC</v>
      </c>
      <c r="D301" s="2" t="str">
        <f t="shared" si="81"/>
        <v>LLC</v>
      </c>
      <c r="E301" s="2" t="str">
        <f t="shared" si="82"/>
        <v/>
      </c>
      <c r="F301" s="2">
        <f t="shared" si="83"/>
        <v>0</v>
      </c>
      <c r="G301" s="2">
        <f t="shared" si="84"/>
        <v>0</v>
      </c>
      <c r="H301" s="2">
        <f t="shared" si="85"/>
        <v>0</v>
      </c>
      <c r="I301" s="2">
        <f t="shared" si="86"/>
        <v>0</v>
      </c>
      <c r="NH301" cm="1">
        <f t="array" ref="NH301:NJ301">SUMIFS($J301:$GG301,$J$1:$GG$1,NH$3:NJ$3)</f>
        <v>0</v>
      </c>
      <c r="NI301">
        <v>0</v>
      </c>
      <c r="NJ301">
        <v>0</v>
      </c>
      <c r="NK301" cm="1">
        <f t="array" ref="NK301">IFERROR(MAX((_xlfn.ANCHORARRAY(NH301)-AVERAGE(_xlfn.ANCHORARRAY(NH301)))/ AVERAGE(_xlfn.ANCHORARRAY(NH301))),0)</f>
        <v>0</v>
      </c>
      <c r="NN301" cm="1">
        <f t="array" ref="NN301:NR301">SUMIFS($J301:$GG301,$J$3:$GG$3,NN$3:NR$3)</f>
        <v>0</v>
      </c>
      <c r="NO301">
        <v>0</v>
      </c>
      <c r="NP301">
        <v>0</v>
      </c>
      <c r="NQ301">
        <v>0</v>
      </c>
      <c r="NR301">
        <v>0</v>
      </c>
      <c r="NS301" cm="1">
        <f t="array" ref="NS301">IFERROR(MAX((_xlfn.ANCHORARRAY(NN301)-AVERAGE(_xlfn.ANCHORARRAY(NN301)))/ AVERAGE(_xlfn.ANCHORARRAY(NN301))),0)</f>
        <v>0</v>
      </c>
      <c r="NV301" cm="1">
        <f t="array" ref="NV301:OE301">SUMIFS($J301:$GG301,$J$2:$GG$2,NV$3:OE$3)</f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 cm="1">
        <f t="array" ref="OF301">IFERROR(MAX((_xlfn.ANCHORARRAY(NV301)-AVERAGE(_xlfn.ANCHORARRAY(NV301)))/ AVERAGE(_xlfn.ANCHORARRAY(NV301))),0)</f>
        <v>0</v>
      </c>
      <c r="OI301" t="str">
        <f t="shared" si="87"/>
        <v/>
      </c>
    </row>
    <row r="302" spans="2:399" x14ac:dyDescent="0.3">
      <c r="B302" s="2" t="str">
        <f t="shared" si="79"/>
        <v>LLC</v>
      </c>
      <c r="C302" s="2" t="str">
        <f t="shared" si="80"/>
        <v>LLC</v>
      </c>
      <c r="D302" s="2" t="str">
        <f t="shared" si="81"/>
        <v>LLC</v>
      </c>
      <c r="E302" s="2" t="str">
        <f t="shared" si="82"/>
        <v/>
      </c>
      <c r="F302" s="2">
        <f t="shared" si="83"/>
        <v>0</v>
      </c>
      <c r="G302" s="2">
        <f t="shared" si="84"/>
        <v>0</v>
      </c>
      <c r="H302" s="2">
        <f t="shared" si="85"/>
        <v>0</v>
      </c>
      <c r="I302" s="2">
        <f t="shared" si="86"/>
        <v>0</v>
      </c>
      <c r="NH302" cm="1">
        <f t="array" ref="NH302:NJ302">SUMIFS($J302:$GG302,$J$1:$GG$1,NH$3:NJ$3)</f>
        <v>0</v>
      </c>
      <c r="NI302">
        <v>0</v>
      </c>
      <c r="NJ302">
        <v>0</v>
      </c>
      <c r="NK302" cm="1">
        <f t="array" ref="NK302">IFERROR(MAX((_xlfn.ANCHORARRAY(NH302)-AVERAGE(_xlfn.ANCHORARRAY(NH302)))/ AVERAGE(_xlfn.ANCHORARRAY(NH302))),0)</f>
        <v>0</v>
      </c>
      <c r="NN302" cm="1">
        <f t="array" ref="NN302:NR302">SUMIFS($J302:$GG302,$J$3:$GG$3,NN$3:NR$3)</f>
        <v>0</v>
      </c>
      <c r="NO302">
        <v>0</v>
      </c>
      <c r="NP302">
        <v>0</v>
      </c>
      <c r="NQ302">
        <v>0</v>
      </c>
      <c r="NR302">
        <v>0</v>
      </c>
      <c r="NS302" cm="1">
        <f t="array" ref="NS302">IFERROR(MAX((_xlfn.ANCHORARRAY(NN302)-AVERAGE(_xlfn.ANCHORARRAY(NN302)))/ AVERAGE(_xlfn.ANCHORARRAY(NN302))),0)</f>
        <v>0</v>
      </c>
      <c r="NV302" cm="1">
        <f t="array" ref="NV302:OE302">SUMIFS($J302:$GG302,$J$2:$GG$2,NV$3:OE$3)</f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 cm="1">
        <f t="array" ref="OF302">IFERROR(MAX((_xlfn.ANCHORARRAY(NV302)-AVERAGE(_xlfn.ANCHORARRAY(NV302)))/ AVERAGE(_xlfn.ANCHORARRAY(NV302))),0)</f>
        <v>0</v>
      </c>
      <c r="OI302" t="str">
        <f t="shared" si="87"/>
        <v/>
      </c>
    </row>
    <row r="303" spans="2:399" x14ac:dyDescent="0.3">
      <c r="B303" s="2" t="str">
        <f t="shared" si="79"/>
        <v>LLC</v>
      </c>
      <c r="C303" s="2" t="str">
        <f t="shared" si="80"/>
        <v>LLC</v>
      </c>
      <c r="D303" s="2" t="str">
        <f t="shared" si="81"/>
        <v>LLC</v>
      </c>
      <c r="E303" s="2" t="str">
        <f t="shared" si="82"/>
        <v/>
      </c>
      <c r="F303" s="2">
        <f t="shared" si="83"/>
        <v>0</v>
      </c>
      <c r="G303" s="2">
        <f t="shared" si="84"/>
        <v>0</v>
      </c>
      <c r="H303" s="2">
        <f t="shared" si="85"/>
        <v>0</v>
      </c>
      <c r="I303" s="2">
        <f t="shared" si="86"/>
        <v>0</v>
      </c>
      <c r="NH303" cm="1">
        <f t="array" ref="NH303:NJ303">SUMIFS($J303:$GG303,$J$1:$GG$1,NH$3:NJ$3)</f>
        <v>0</v>
      </c>
      <c r="NI303">
        <v>0</v>
      </c>
      <c r="NJ303">
        <v>0</v>
      </c>
      <c r="NK303" cm="1">
        <f t="array" ref="NK303">IFERROR(MAX((_xlfn.ANCHORARRAY(NH303)-AVERAGE(_xlfn.ANCHORARRAY(NH303)))/ AVERAGE(_xlfn.ANCHORARRAY(NH303))),0)</f>
        <v>0</v>
      </c>
      <c r="NN303" cm="1">
        <f t="array" ref="NN303:NR303">SUMIFS($J303:$GG303,$J$3:$GG$3,NN$3:NR$3)</f>
        <v>0</v>
      </c>
      <c r="NO303">
        <v>0</v>
      </c>
      <c r="NP303">
        <v>0</v>
      </c>
      <c r="NQ303">
        <v>0</v>
      </c>
      <c r="NR303">
        <v>0</v>
      </c>
      <c r="NS303" cm="1">
        <f t="array" ref="NS303">IFERROR(MAX((_xlfn.ANCHORARRAY(NN303)-AVERAGE(_xlfn.ANCHORARRAY(NN303)))/ AVERAGE(_xlfn.ANCHORARRAY(NN303))),0)</f>
        <v>0</v>
      </c>
      <c r="NV303" cm="1">
        <f t="array" ref="NV303:OE303">SUMIFS($J303:$GG303,$J$2:$GG$2,NV$3:OE$3)</f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 cm="1">
        <f t="array" ref="OF303">IFERROR(MAX((_xlfn.ANCHORARRAY(NV303)-AVERAGE(_xlfn.ANCHORARRAY(NV303)))/ AVERAGE(_xlfn.ANCHORARRAY(NV303))),0)</f>
        <v>0</v>
      </c>
      <c r="OI303" t="str">
        <f t="shared" si="87"/>
        <v/>
      </c>
    </row>
    <row r="304" spans="2:399" x14ac:dyDescent="0.3">
      <c r="B304" s="2" t="str">
        <f t="shared" si="79"/>
        <v>LLC</v>
      </c>
      <c r="C304" s="2" t="str">
        <f t="shared" si="80"/>
        <v>LLC</v>
      </c>
      <c r="D304" s="2" t="str">
        <f t="shared" si="81"/>
        <v>LLC</v>
      </c>
      <c r="E304" s="2" t="str">
        <f t="shared" si="82"/>
        <v/>
      </c>
      <c r="F304" s="2">
        <f t="shared" si="83"/>
        <v>0</v>
      </c>
      <c r="G304" s="2">
        <f t="shared" si="84"/>
        <v>0</v>
      </c>
      <c r="H304" s="2">
        <f t="shared" si="85"/>
        <v>0</v>
      </c>
      <c r="I304" s="2">
        <f t="shared" si="86"/>
        <v>0</v>
      </c>
      <c r="NH304" cm="1">
        <f t="array" ref="NH304:NJ304">SUMIFS($J304:$GG304,$J$1:$GG$1,NH$3:NJ$3)</f>
        <v>0</v>
      </c>
      <c r="NI304">
        <v>0</v>
      </c>
      <c r="NJ304">
        <v>0</v>
      </c>
      <c r="NK304" cm="1">
        <f t="array" ref="NK304">IFERROR(MAX((_xlfn.ANCHORARRAY(NH304)-AVERAGE(_xlfn.ANCHORARRAY(NH304)))/ AVERAGE(_xlfn.ANCHORARRAY(NH304))),0)</f>
        <v>0</v>
      </c>
      <c r="NN304" cm="1">
        <f t="array" ref="NN304:NR304">SUMIFS($J304:$GG304,$J$3:$GG$3,NN$3:NR$3)</f>
        <v>0</v>
      </c>
      <c r="NO304">
        <v>0</v>
      </c>
      <c r="NP304">
        <v>0</v>
      </c>
      <c r="NQ304">
        <v>0</v>
      </c>
      <c r="NR304">
        <v>0</v>
      </c>
      <c r="NS304" cm="1">
        <f t="array" ref="NS304">IFERROR(MAX((_xlfn.ANCHORARRAY(NN304)-AVERAGE(_xlfn.ANCHORARRAY(NN304)))/ AVERAGE(_xlfn.ANCHORARRAY(NN304))),0)</f>
        <v>0</v>
      </c>
      <c r="NV304" cm="1">
        <f t="array" ref="NV304:OE304">SUMIFS($J304:$GG304,$J$2:$GG$2,NV$3:OE$3)</f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 cm="1">
        <f t="array" ref="OF304">IFERROR(MAX((_xlfn.ANCHORARRAY(NV304)-AVERAGE(_xlfn.ANCHORARRAY(NV304)))/ AVERAGE(_xlfn.ANCHORARRAY(NV304))),0)</f>
        <v>0</v>
      </c>
      <c r="OI304" t="str">
        <f t="shared" si="87"/>
        <v/>
      </c>
    </row>
    <row r="305" spans="2:399" x14ac:dyDescent="0.3">
      <c r="B305" s="2" t="str">
        <f t="shared" si="79"/>
        <v>LLC</v>
      </c>
      <c r="C305" s="2" t="str">
        <f t="shared" si="80"/>
        <v>LLC</v>
      </c>
      <c r="D305" s="2" t="str">
        <f t="shared" si="81"/>
        <v>LLC</v>
      </c>
      <c r="E305" s="2" t="str">
        <f t="shared" si="82"/>
        <v/>
      </c>
      <c r="F305" s="2">
        <f t="shared" si="83"/>
        <v>0</v>
      </c>
      <c r="G305" s="2">
        <f t="shared" si="84"/>
        <v>0</v>
      </c>
      <c r="H305" s="2">
        <f t="shared" si="85"/>
        <v>0</v>
      </c>
      <c r="I305" s="2">
        <f t="shared" si="86"/>
        <v>0</v>
      </c>
      <c r="NH305" cm="1">
        <f t="array" ref="NH305:NJ305">SUMIFS($J305:$GG305,$J$1:$GG$1,NH$3:NJ$3)</f>
        <v>0</v>
      </c>
      <c r="NI305">
        <v>0</v>
      </c>
      <c r="NJ305">
        <v>0</v>
      </c>
      <c r="NK305" cm="1">
        <f t="array" ref="NK305">IFERROR(MAX((_xlfn.ANCHORARRAY(NH305)-AVERAGE(_xlfn.ANCHORARRAY(NH305)))/ AVERAGE(_xlfn.ANCHORARRAY(NH305))),0)</f>
        <v>0</v>
      </c>
      <c r="NN305" cm="1">
        <f t="array" ref="NN305:NR305">SUMIFS($J305:$GG305,$J$3:$GG$3,NN$3:NR$3)</f>
        <v>0</v>
      </c>
      <c r="NO305">
        <v>0</v>
      </c>
      <c r="NP305">
        <v>0</v>
      </c>
      <c r="NQ305">
        <v>0</v>
      </c>
      <c r="NR305">
        <v>0</v>
      </c>
      <c r="NS305" cm="1">
        <f t="array" ref="NS305">IFERROR(MAX((_xlfn.ANCHORARRAY(NN305)-AVERAGE(_xlfn.ANCHORARRAY(NN305)))/ AVERAGE(_xlfn.ANCHORARRAY(NN305))),0)</f>
        <v>0</v>
      </c>
      <c r="NV305" cm="1">
        <f t="array" ref="NV305:OE305">SUMIFS($J305:$GG305,$J$2:$GG$2,NV$3:OE$3)</f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 cm="1">
        <f t="array" ref="OF305">IFERROR(MAX((_xlfn.ANCHORARRAY(NV305)-AVERAGE(_xlfn.ANCHORARRAY(NV305)))/ AVERAGE(_xlfn.ANCHORARRAY(NV305))),0)</f>
        <v>0</v>
      </c>
      <c r="OI305" t="str">
        <f t="shared" si="87"/>
        <v/>
      </c>
    </row>
    <row r="306" spans="2:399" x14ac:dyDescent="0.3">
      <c r="B306" s="2" t="str">
        <f t="shared" si="79"/>
        <v>LLC</v>
      </c>
      <c r="C306" s="2" t="str">
        <f t="shared" si="80"/>
        <v>LLC</v>
      </c>
      <c r="D306" s="2" t="str">
        <f t="shared" si="81"/>
        <v>LLC</v>
      </c>
      <c r="E306" s="2" t="str">
        <f t="shared" si="82"/>
        <v/>
      </c>
      <c r="F306" s="2">
        <f t="shared" si="83"/>
        <v>0</v>
      </c>
      <c r="G306" s="2">
        <f t="shared" si="84"/>
        <v>0</v>
      </c>
      <c r="H306" s="2">
        <f t="shared" si="85"/>
        <v>0</v>
      </c>
      <c r="I306" s="2">
        <f t="shared" si="86"/>
        <v>0</v>
      </c>
      <c r="NH306" cm="1">
        <f t="array" ref="NH306:NJ306">SUMIFS($J306:$GG306,$J$1:$GG$1,NH$3:NJ$3)</f>
        <v>0</v>
      </c>
      <c r="NI306">
        <v>0</v>
      </c>
      <c r="NJ306">
        <v>0</v>
      </c>
      <c r="NK306" cm="1">
        <f t="array" ref="NK306">IFERROR(MAX((_xlfn.ANCHORARRAY(NH306)-AVERAGE(_xlfn.ANCHORARRAY(NH306)))/ AVERAGE(_xlfn.ANCHORARRAY(NH306))),0)</f>
        <v>0</v>
      </c>
      <c r="NN306" cm="1">
        <f t="array" ref="NN306:NR306">SUMIFS($J306:$GG306,$J$3:$GG$3,NN$3:NR$3)</f>
        <v>0</v>
      </c>
      <c r="NO306">
        <v>0</v>
      </c>
      <c r="NP306">
        <v>0</v>
      </c>
      <c r="NQ306">
        <v>0</v>
      </c>
      <c r="NR306">
        <v>0</v>
      </c>
      <c r="NS306" cm="1">
        <f t="array" ref="NS306">IFERROR(MAX((_xlfn.ANCHORARRAY(NN306)-AVERAGE(_xlfn.ANCHORARRAY(NN306)))/ AVERAGE(_xlfn.ANCHORARRAY(NN306))),0)</f>
        <v>0</v>
      </c>
      <c r="NV306" cm="1">
        <f t="array" ref="NV306:OE306">SUMIFS($J306:$GG306,$J$2:$GG$2,NV$3:OE$3)</f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 cm="1">
        <f t="array" ref="OF306">IFERROR(MAX((_xlfn.ANCHORARRAY(NV306)-AVERAGE(_xlfn.ANCHORARRAY(NV306)))/ AVERAGE(_xlfn.ANCHORARRAY(NV306))),0)</f>
        <v>0</v>
      </c>
      <c r="OI306" t="str">
        <f t="shared" si="87"/>
        <v/>
      </c>
    </row>
    <row r="307" spans="2:399" x14ac:dyDescent="0.3">
      <c r="B307" s="2" t="str">
        <f t="shared" si="79"/>
        <v>LLC</v>
      </c>
      <c r="C307" s="2" t="str">
        <f t="shared" si="80"/>
        <v>LLC</v>
      </c>
      <c r="D307" s="2" t="str">
        <f t="shared" si="81"/>
        <v>LLC</v>
      </c>
      <c r="E307" s="2" t="str">
        <f t="shared" si="82"/>
        <v/>
      </c>
      <c r="F307" s="2">
        <f t="shared" si="83"/>
        <v>0</v>
      </c>
      <c r="G307" s="2">
        <f t="shared" si="84"/>
        <v>0</v>
      </c>
      <c r="H307" s="2">
        <f t="shared" si="85"/>
        <v>0</v>
      </c>
      <c r="I307" s="2">
        <f t="shared" si="86"/>
        <v>0</v>
      </c>
      <c r="NH307" cm="1">
        <f t="array" ref="NH307:NJ307">SUMIFS($J307:$GG307,$J$1:$GG$1,NH$3:NJ$3)</f>
        <v>0</v>
      </c>
      <c r="NI307">
        <v>0</v>
      </c>
      <c r="NJ307">
        <v>0</v>
      </c>
      <c r="NK307" cm="1">
        <f t="array" ref="NK307">IFERROR(MAX((_xlfn.ANCHORARRAY(NH307)-AVERAGE(_xlfn.ANCHORARRAY(NH307)))/ AVERAGE(_xlfn.ANCHORARRAY(NH307))),0)</f>
        <v>0</v>
      </c>
      <c r="NN307" cm="1">
        <f t="array" ref="NN307:NR307">SUMIFS($J307:$GG307,$J$3:$GG$3,NN$3:NR$3)</f>
        <v>0</v>
      </c>
      <c r="NO307">
        <v>0</v>
      </c>
      <c r="NP307">
        <v>0</v>
      </c>
      <c r="NQ307">
        <v>0</v>
      </c>
      <c r="NR307">
        <v>0</v>
      </c>
      <c r="NS307" cm="1">
        <f t="array" ref="NS307">IFERROR(MAX((_xlfn.ANCHORARRAY(NN307)-AVERAGE(_xlfn.ANCHORARRAY(NN307)))/ AVERAGE(_xlfn.ANCHORARRAY(NN307))),0)</f>
        <v>0</v>
      </c>
      <c r="NV307" cm="1">
        <f t="array" ref="NV307:OE307">SUMIFS($J307:$GG307,$J$2:$GG$2,NV$3:OE$3)</f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 cm="1">
        <f t="array" ref="OF307">IFERROR(MAX((_xlfn.ANCHORARRAY(NV307)-AVERAGE(_xlfn.ANCHORARRAY(NV307)))/ AVERAGE(_xlfn.ANCHORARRAY(NV307))),0)</f>
        <v>0</v>
      </c>
      <c r="OI307" t="str">
        <f t="shared" si="87"/>
        <v/>
      </c>
    </row>
    <row r="308" spans="2:399" x14ac:dyDescent="0.3">
      <c r="B308" s="2" t="str">
        <f t="shared" si="79"/>
        <v>LLC</v>
      </c>
      <c r="C308" s="2" t="str">
        <f t="shared" si="80"/>
        <v>LLC</v>
      </c>
      <c r="D308" s="2" t="str">
        <f t="shared" si="81"/>
        <v>LLC</v>
      </c>
      <c r="E308" s="2" t="str">
        <f t="shared" si="82"/>
        <v/>
      </c>
      <c r="F308" s="2">
        <f t="shared" si="83"/>
        <v>0</v>
      </c>
      <c r="G308" s="2">
        <f t="shared" si="84"/>
        <v>0</v>
      </c>
      <c r="H308" s="2">
        <f t="shared" si="85"/>
        <v>0</v>
      </c>
      <c r="I308" s="2">
        <f t="shared" si="86"/>
        <v>0</v>
      </c>
      <c r="NH308" cm="1">
        <f t="array" ref="NH308:NJ308">SUMIFS($J308:$GG308,$J$1:$GG$1,NH$3:NJ$3)</f>
        <v>0</v>
      </c>
      <c r="NI308">
        <v>0</v>
      </c>
      <c r="NJ308">
        <v>0</v>
      </c>
      <c r="NK308" cm="1">
        <f t="array" ref="NK308">IFERROR(MAX((_xlfn.ANCHORARRAY(NH308)-AVERAGE(_xlfn.ANCHORARRAY(NH308)))/ AVERAGE(_xlfn.ANCHORARRAY(NH308))),0)</f>
        <v>0</v>
      </c>
      <c r="NN308" cm="1">
        <f t="array" ref="NN308:NR308">SUMIFS($J308:$GG308,$J$3:$GG$3,NN$3:NR$3)</f>
        <v>0</v>
      </c>
      <c r="NO308">
        <v>0</v>
      </c>
      <c r="NP308">
        <v>0</v>
      </c>
      <c r="NQ308">
        <v>0</v>
      </c>
      <c r="NR308">
        <v>0</v>
      </c>
      <c r="NS308" cm="1">
        <f t="array" ref="NS308">IFERROR(MAX((_xlfn.ANCHORARRAY(NN308)-AVERAGE(_xlfn.ANCHORARRAY(NN308)))/ AVERAGE(_xlfn.ANCHORARRAY(NN308))),0)</f>
        <v>0</v>
      </c>
      <c r="NV308" cm="1">
        <f t="array" ref="NV308:OE308">SUMIFS($J308:$GG308,$J$2:$GG$2,NV$3:OE$3)</f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 cm="1">
        <f t="array" ref="OF308">IFERROR(MAX((_xlfn.ANCHORARRAY(NV308)-AVERAGE(_xlfn.ANCHORARRAY(NV308)))/ AVERAGE(_xlfn.ANCHORARRAY(NV308))),0)</f>
        <v>0</v>
      </c>
      <c r="OI308" t="str">
        <f t="shared" si="87"/>
        <v/>
      </c>
    </row>
    <row r="309" spans="2:399" x14ac:dyDescent="0.3">
      <c r="B309" s="2" t="str">
        <f t="shared" si="79"/>
        <v>LLC</v>
      </c>
      <c r="C309" s="2" t="str">
        <f t="shared" si="80"/>
        <v>LLC</v>
      </c>
      <c r="D309" s="2" t="str">
        <f t="shared" si="81"/>
        <v>LLC</v>
      </c>
      <c r="E309" s="2" t="str">
        <f t="shared" si="82"/>
        <v/>
      </c>
      <c r="F309" s="2">
        <f t="shared" si="83"/>
        <v>0</v>
      </c>
      <c r="G309" s="2">
        <f t="shared" si="84"/>
        <v>0</v>
      </c>
      <c r="H309" s="2">
        <f t="shared" si="85"/>
        <v>0</v>
      </c>
      <c r="I309" s="2">
        <f t="shared" si="86"/>
        <v>0</v>
      </c>
      <c r="NH309" cm="1">
        <f t="array" ref="NH309:NJ309">SUMIFS($J309:$GG309,$J$1:$GG$1,NH$3:NJ$3)</f>
        <v>0</v>
      </c>
      <c r="NI309">
        <v>0</v>
      </c>
      <c r="NJ309">
        <v>0</v>
      </c>
      <c r="NK309" cm="1">
        <f t="array" ref="NK309">IFERROR(MAX((_xlfn.ANCHORARRAY(NH309)-AVERAGE(_xlfn.ANCHORARRAY(NH309)))/ AVERAGE(_xlfn.ANCHORARRAY(NH309))),0)</f>
        <v>0</v>
      </c>
      <c r="NN309" cm="1">
        <f t="array" ref="NN309:NR309">SUMIFS($J309:$GG309,$J$3:$GG$3,NN$3:NR$3)</f>
        <v>0</v>
      </c>
      <c r="NO309">
        <v>0</v>
      </c>
      <c r="NP309">
        <v>0</v>
      </c>
      <c r="NQ309">
        <v>0</v>
      </c>
      <c r="NR309">
        <v>0</v>
      </c>
      <c r="NS309" cm="1">
        <f t="array" ref="NS309">IFERROR(MAX((_xlfn.ANCHORARRAY(NN309)-AVERAGE(_xlfn.ANCHORARRAY(NN309)))/ AVERAGE(_xlfn.ANCHORARRAY(NN309))),0)</f>
        <v>0</v>
      </c>
      <c r="NV309" cm="1">
        <f t="array" ref="NV309:OE309">SUMIFS($J309:$GG309,$J$2:$GG$2,NV$3:OE$3)</f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 cm="1">
        <f t="array" ref="OF309">IFERROR(MAX((_xlfn.ANCHORARRAY(NV309)-AVERAGE(_xlfn.ANCHORARRAY(NV309)))/ AVERAGE(_xlfn.ANCHORARRAY(NV309))),0)</f>
        <v>0</v>
      </c>
      <c r="OI309" t="str">
        <f t="shared" si="87"/>
        <v/>
      </c>
    </row>
    <row r="310" spans="2:399" x14ac:dyDescent="0.3">
      <c r="B310" s="2" t="str">
        <f t="shared" si="79"/>
        <v>LLC</v>
      </c>
      <c r="C310" s="2" t="str">
        <f t="shared" si="80"/>
        <v>LLC</v>
      </c>
      <c r="D310" s="2" t="str">
        <f t="shared" si="81"/>
        <v>LLC</v>
      </c>
      <c r="E310" s="2" t="str">
        <f t="shared" si="82"/>
        <v/>
      </c>
      <c r="F310" s="2">
        <f t="shared" si="83"/>
        <v>0</v>
      </c>
      <c r="G310" s="2">
        <f t="shared" si="84"/>
        <v>0</v>
      </c>
      <c r="H310" s="2">
        <f t="shared" si="85"/>
        <v>0</v>
      </c>
      <c r="I310" s="2">
        <f t="shared" si="86"/>
        <v>0</v>
      </c>
      <c r="NH310" cm="1">
        <f t="array" ref="NH310:NJ310">SUMIFS($J310:$GG310,$J$1:$GG$1,NH$3:NJ$3)</f>
        <v>0</v>
      </c>
      <c r="NI310">
        <v>0</v>
      </c>
      <c r="NJ310">
        <v>0</v>
      </c>
      <c r="NK310" cm="1">
        <f t="array" ref="NK310">IFERROR(MAX((_xlfn.ANCHORARRAY(NH310)-AVERAGE(_xlfn.ANCHORARRAY(NH310)))/ AVERAGE(_xlfn.ANCHORARRAY(NH310))),0)</f>
        <v>0</v>
      </c>
      <c r="NN310" cm="1">
        <f t="array" ref="NN310:NR310">SUMIFS($J310:$GG310,$J$3:$GG$3,NN$3:NR$3)</f>
        <v>0</v>
      </c>
      <c r="NO310">
        <v>0</v>
      </c>
      <c r="NP310">
        <v>0</v>
      </c>
      <c r="NQ310">
        <v>0</v>
      </c>
      <c r="NR310">
        <v>0</v>
      </c>
      <c r="NS310" cm="1">
        <f t="array" ref="NS310">IFERROR(MAX((_xlfn.ANCHORARRAY(NN310)-AVERAGE(_xlfn.ANCHORARRAY(NN310)))/ AVERAGE(_xlfn.ANCHORARRAY(NN310))),0)</f>
        <v>0</v>
      </c>
      <c r="NV310" cm="1">
        <f t="array" ref="NV310:OE310">SUMIFS($J310:$GG310,$J$2:$GG$2,NV$3:OE$3)</f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 cm="1">
        <f t="array" ref="OF310">IFERROR(MAX((_xlfn.ANCHORARRAY(NV310)-AVERAGE(_xlfn.ANCHORARRAY(NV310)))/ AVERAGE(_xlfn.ANCHORARRAY(NV310))),0)</f>
        <v>0</v>
      </c>
      <c r="OI310" t="str">
        <f t="shared" si="87"/>
        <v/>
      </c>
    </row>
    <row r="311" spans="2:399" x14ac:dyDescent="0.3">
      <c r="B311" s="2" t="str">
        <f t="shared" si="79"/>
        <v>LLC</v>
      </c>
      <c r="C311" s="2" t="str">
        <f t="shared" si="80"/>
        <v>LLC</v>
      </c>
      <c r="D311" s="2" t="str">
        <f t="shared" si="81"/>
        <v>LLC</v>
      </c>
      <c r="E311" s="2" t="str">
        <f t="shared" si="82"/>
        <v/>
      </c>
      <c r="F311" s="2">
        <f t="shared" si="83"/>
        <v>0</v>
      </c>
      <c r="G311" s="2">
        <f t="shared" si="84"/>
        <v>0</v>
      </c>
      <c r="H311" s="2">
        <f t="shared" si="85"/>
        <v>0</v>
      </c>
      <c r="I311" s="2">
        <f t="shared" si="86"/>
        <v>0</v>
      </c>
      <c r="NH311" cm="1">
        <f t="array" ref="NH311:NJ311">SUMIFS($J311:$GG311,$J$1:$GG$1,NH$3:NJ$3)</f>
        <v>0</v>
      </c>
      <c r="NI311">
        <v>0</v>
      </c>
      <c r="NJ311">
        <v>0</v>
      </c>
      <c r="NK311" cm="1">
        <f t="array" ref="NK311">IFERROR(MAX((_xlfn.ANCHORARRAY(NH311)-AVERAGE(_xlfn.ANCHORARRAY(NH311)))/ AVERAGE(_xlfn.ANCHORARRAY(NH311))),0)</f>
        <v>0</v>
      </c>
      <c r="NN311" cm="1">
        <f t="array" ref="NN311:NR311">SUMIFS($J311:$GG311,$J$3:$GG$3,NN$3:NR$3)</f>
        <v>0</v>
      </c>
      <c r="NO311">
        <v>0</v>
      </c>
      <c r="NP311">
        <v>0</v>
      </c>
      <c r="NQ311">
        <v>0</v>
      </c>
      <c r="NR311">
        <v>0</v>
      </c>
      <c r="NS311" cm="1">
        <f t="array" ref="NS311">IFERROR(MAX((_xlfn.ANCHORARRAY(NN311)-AVERAGE(_xlfn.ANCHORARRAY(NN311)))/ AVERAGE(_xlfn.ANCHORARRAY(NN311))),0)</f>
        <v>0</v>
      </c>
      <c r="NV311" cm="1">
        <f t="array" ref="NV311:OE311">SUMIFS($J311:$GG311,$J$2:$GG$2,NV$3:OE$3)</f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 cm="1">
        <f t="array" ref="OF311">IFERROR(MAX((_xlfn.ANCHORARRAY(NV311)-AVERAGE(_xlfn.ANCHORARRAY(NV311)))/ AVERAGE(_xlfn.ANCHORARRAY(NV311))),0)</f>
        <v>0</v>
      </c>
      <c r="OI311" t="str">
        <f t="shared" si="87"/>
        <v/>
      </c>
    </row>
    <row r="312" spans="2:399" x14ac:dyDescent="0.3">
      <c r="B312" s="2" t="str">
        <f t="shared" si="79"/>
        <v>LLC</v>
      </c>
      <c r="C312" s="2" t="str">
        <f t="shared" si="80"/>
        <v>LLC</v>
      </c>
      <c r="D312" s="2" t="str">
        <f t="shared" si="81"/>
        <v>LLC</v>
      </c>
      <c r="E312" s="2" t="str">
        <f t="shared" si="82"/>
        <v/>
      </c>
      <c r="F312" s="2">
        <f t="shared" si="83"/>
        <v>0</v>
      </c>
      <c r="G312" s="2">
        <f t="shared" si="84"/>
        <v>0</v>
      </c>
      <c r="H312" s="2">
        <f t="shared" si="85"/>
        <v>0</v>
      </c>
      <c r="I312" s="2">
        <f t="shared" si="86"/>
        <v>0</v>
      </c>
      <c r="NH312" cm="1">
        <f t="array" ref="NH312:NJ312">SUMIFS($J312:$GG312,$J$1:$GG$1,NH$3:NJ$3)</f>
        <v>0</v>
      </c>
      <c r="NI312">
        <v>0</v>
      </c>
      <c r="NJ312">
        <v>0</v>
      </c>
      <c r="NK312" cm="1">
        <f t="array" ref="NK312">IFERROR(MAX((_xlfn.ANCHORARRAY(NH312)-AVERAGE(_xlfn.ANCHORARRAY(NH312)))/ AVERAGE(_xlfn.ANCHORARRAY(NH312))),0)</f>
        <v>0</v>
      </c>
      <c r="NN312" cm="1">
        <f t="array" ref="NN312:NR312">SUMIFS($J312:$GG312,$J$3:$GG$3,NN$3:NR$3)</f>
        <v>0</v>
      </c>
      <c r="NO312">
        <v>0</v>
      </c>
      <c r="NP312">
        <v>0</v>
      </c>
      <c r="NQ312">
        <v>0</v>
      </c>
      <c r="NR312">
        <v>0</v>
      </c>
      <c r="NS312" cm="1">
        <f t="array" ref="NS312">IFERROR(MAX((_xlfn.ANCHORARRAY(NN312)-AVERAGE(_xlfn.ANCHORARRAY(NN312)))/ AVERAGE(_xlfn.ANCHORARRAY(NN312))),0)</f>
        <v>0</v>
      </c>
      <c r="NV312" cm="1">
        <f t="array" ref="NV312:OE312">SUMIFS($J312:$GG312,$J$2:$GG$2,NV$3:OE$3)</f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 cm="1">
        <f t="array" ref="OF312">IFERROR(MAX((_xlfn.ANCHORARRAY(NV312)-AVERAGE(_xlfn.ANCHORARRAY(NV312)))/ AVERAGE(_xlfn.ANCHORARRAY(NV312))),0)</f>
        <v>0</v>
      </c>
      <c r="OI312" t="str">
        <f t="shared" si="87"/>
        <v/>
      </c>
    </row>
    <row r="313" spans="2:399" x14ac:dyDescent="0.3">
      <c r="B313" s="2" t="str">
        <f t="shared" si="79"/>
        <v>LLC</v>
      </c>
      <c r="C313" s="2" t="str">
        <f t="shared" si="80"/>
        <v>LLC</v>
      </c>
      <c r="D313" s="2" t="str">
        <f t="shared" si="81"/>
        <v>LLC</v>
      </c>
      <c r="E313" s="2" t="str">
        <f t="shared" si="82"/>
        <v/>
      </c>
      <c r="F313" s="2">
        <f t="shared" si="83"/>
        <v>0</v>
      </c>
      <c r="G313" s="2">
        <f t="shared" si="84"/>
        <v>0</v>
      </c>
      <c r="H313" s="2">
        <f t="shared" si="85"/>
        <v>0</v>
      </c>
      <c r="I313" s="2">
        <f t="shared" si="86"/>
        <v>0</v>
      </c>
      <c r="NH313" cm="1">
        <f t="array" ref="NH313:NJ313">SUMIFS($J313:$GG313,$J$1:$GG$1,NH$3:NJ$3)</f>
        <v>0</v>
      </c>
      <c r="NI313">
        <v>0</v>
      </c>
      <c r="NJ313">
        <v>0</v>
      </c>
      <c r="NK313" cm="1">
        <f t="array" ref="NK313">IFERROR(MAX((_xlfn.ANCHORARRAY(NH313)-AVERAGE(_xlfn.ANCHORARRAY(NH313)))/ AVERAGE(_xlfn.ANCHORARRAY(NH313))),0)</f>
        <v>0</v>
      </c>
      <c r="NN313" cm="1">
        <f t="array" ref="NN313:NR313">SUMIFS($J313:$GG313,$J$3:$GG$3,NN$3:NR$3)</f>
        <v>0</v>
      </c>
      <c r="NO313">
        <v>0</v>
      </c>
      <c r="NP313">
        <v>0</v>
      </c>
      <c r="NQ313">
        <v>0</v>
      </c>
      <c r="NR313">
        <v>0</v>
      </c>
      <c r="NS313" cm="1">
        <f t="array" ref="NS313">IFERROR(MAX((_xlfn.ANCHORARRAY(NN313)-AVERAGE(_xlfn.ANCHORARRAY(NN313)))/ AVERAGE(_xlfn.ANCHORARRAY(NN313))),0)</f>
        <v>0</v>
      </c>
      <c r="NV313" cm="1">
        <f t="array" ref="NV313:OE313">SUMIFS($J313:$GG313,$J$2:$GG$2,NV$3:OE$3)</f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 cm="1">
        <f t="array" ref="OF313">IFERROR(MAX((_xlfn.ANCHORARRAY(NV313)-AVERAGE(_xlfn.ANCHORARRAY(NV313)))/ AVERAGE(_xlfn.ANCHORARRAY(NV313))),0)</f>
        <v>0</v>
      </c>
      <c r="OI313" t="str">
        <f t="shared" si="87"/>
        <v/>
      </c>
    </row>
    <row r="314" spans="2:399" x14ac:dyDescent="0.3">
      <c r="B314" s="2" t="str">
        <f t="shared" si="79"/>
        <v>LLC</v>
      </c>
      <c r="C314" s="2" t="str">
        <f t="shared" si="80"/>
        <v>LLC</v>
      </c>
      <c r="D314" s="2" t="str">
        <f t="shared" si="81"/>
        <v>LLC</v>
      </c>
      <c r="E314" s="2" t="str">
        <f t="shared" si="82"/>
        <v/>
      </c>
      <c r="F314" s="2">
        <f t="shared" si="83"/>
        <v>0</v>
      </c>
      <c r="G314" s="2">
        <f t="shared" si="84"/>
        <v>0</v>
      </c>
      <c r="H314" s="2">
        <f t="shared" si="85"/>
        <v>0</v>
      </c>
      <c r="I314" s="2">
        <f t="shared" si="86"/>
        <v>0</v>
      </c>
      <c r="NH314" cm="1">
        <f t="array" ref="NH314:NJ314">SUMIFS($J314:$GG314,$J$1:$GG$1,NH$3:NJ$3)</f>
        <v>0</v>
      </c>
      <c r="NI314">
        <v>0</v>
      </c>
      <c r="NJ314">
        <v>0</v>
      </c>
      <c r="NK314" cm="1">
        <f t="array" ref="NK314">IFERROR(MAX((_xlfn.ANCHORARRAY(NH314)-AVERAGE(_xlfn.ANCHORARRAY(NH314)))/ AVERAGE(_xlfn.ANCHORARRAY(NH314))),0)</f>
        <v>0</v>
      </c>
      <c r="NN314" cm="1">
        <f t="array" ref="NN314:NR314">SUMIFS($J314:$GG314,$J$3:$GG$3,NN$3:NR$3)</f>
        <v>0</v>
      </c>
      <c r="NO314">
        <v>0</v>
      </c>
      <c r="NP314">
        <v>0</v>
      </c>
      <c r="NQ314">
        <v>0</v>
      </c>
      <c r="NR314">
        <v>0</v>
      </c>
      <c r="NS314" cm="1">
        <f t="array" ref="NS314">IFERROR(MAX((_xlfn.ANCHORARRAY(NN314)-AVERAGE(_xlfn.ANCHORARRAY(NN314)))/ AVERAGE(_xlfn.ANCHORARRAY(NN314))),0)</f>
        <v>0</v>
      </c>
      <c r="NV314" cm="1">
        <f t="array" ref="NV314:OE314">SUMIFS($J314:$GG314,$J$2:$GG$2,NV$3:OE$3)</f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 cm="1">
        <f t="array" ref="OF314">IFERROR(MAX((_xlfn.ANCHORARRAY(NV314)-AVERAGE(_xlfn.ANCHORARRAY(NV314)))/ AVERAGE(_xlfn.ANCHORARRAY(NV314))),0)</f>
        <v>0</v>
      </c>
      <c r="OI314" t="str">
        <f t="shared" si="87"/>
        <v/>
      </c>
    </row>
    <row r="315" spans="2:399" x14ac:dyDescent="0.3">
      <c r="B315" s="2" t="str">
        <f t="shared" si="79"/>
        <v>LLC</v>
      </c>
      <c r="C315" s="2" t="str">
        <f t="shared" si="80"/>
        <v>LLC</v>
      </c>
      <c r="D315" s="2" t="str">
        <f t="shared" si="81"/>
        <v>LLC</v>
      </c>
      <c r="E315" s="2" t="str">
        <f t="shared" si="82"/>
        <v/>
      </c>
      <c r="F315" s="2">
        <f t="shared" si="83"/>
        <v>0</v>
      </c>
      <c r="G315" s="2">
        <f t="shared" si="84"/>
        <v>0</v>
      </c>
      <c r="H315" s="2">
        <f t="shared" si="85"/>
        <v>0</v>
      </c>
      <c r="I315" s="2">
        <f t="shared" si="86"/>
        <v>0</v>
      </c>
      <c r="NH315" cm="1">
        <f t="array" ref="NH315:NJ315">SUMIFS($J315:$GG315,$J$1:$GG$1,NH$3:NJ$3)</f>
        <v>0</v>
      </c>
      <c r="NI315">
        <v>0</v>
      </c>
      <c r="NJ315">
        <v>0</v>
      </c>
      <c r="NK315" cm="1">
        <f t="array" ref="NK315">IFERROR(MAX((_xlfn.ANCHORARRAY(NH315)-AVERAGE(_xlfn.ANCHORARRAY(NH315)))/ AVERAGE(_xlfn.ANCHORARRAY(NH315))),0)</f>
        <v>0</v>
      </c>
      <c r="NN315" cm="1">
        <f t="array" ref="NN315:NR315">SUMIFS($J315:$GG315,$J$3:$GG$3,NN$3:NR$3)</f>
        <v>0</v>
      </c>
      <c r="NO315">
        <v>0</v>
      </c>
      <c r="NP315">
        <v>0</v>
      </c>
      <c r="NQ315">
        <v>0</v>
      </c>
      <c r="NR315">
        <v>0</v>
      </c>
      <c r="NS315" cm="1">
        <f t="array" ref="NS315">IFERROR(MAX((_xlfn.ANCHORARRAY(NN315)-AVERAGE(_xlfn.ANCHORARRAY(NN315)))/ AVERAGE(_xlfn.ANCHORARRAY(NN315))),0)</f>
        <v>0</v>
      </c>
      <c r="NV315" cm="1">
        <f t="array" ref="NV315:OE315">SUMIFS($J315:$GG315,$J$2:$GG$2,NV$3:OE$3)</f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 cm="1">
        <f t="array" ref="OF315">IFERROR(MAX((_xlfn.ANCHORARRAY(NV315)-AVERAGE(_xlfn.ANCHORARRAY(NV315)))/ AVERAGE(_xlfn.ANCHORARRAY(NV315))),0)</f>
        <v>0</v>
      </c>
      <c r="OI315" t="str">
        <f t="shared" si="87"/>
        <v/>
      </c>
    </row>
    <row r="316" spans="2:399" x14ac:dyDescent="0.3">
      <c r="B316" s="2" t="str">
        <f t="shared" si="79"/>
        <v>LLC</v>
      </c>
      <c r="C316" s="2" t="str">
        <f t="shared" si="80"/>
        <v>LLC</v>
      </c>
      <c r="D316" s="2" t="str">
        <f t="shared" si="81"/>
        <v>LLC</v>
      </c>
      <c r="E316" s="2" t="str">
        <f t="shared" si="82"/>
        <v/>
      </c>
      <c r="F316" s="2">
        <f t="shared" si="83"/>
        <v>0</v>
      </c>
      <c r="G316" s="2">
        <f t="shared" si="84"/>
        <v>0</v>
      </c>
      <c r="H316" s="2">
        <f t="shared" si="85"/>
        <v>0</v>
      </c>
      <c r="I316" s="2">
        <f t="shared" si="86"/>
        <v>0</v>
      </c>
      <c r="NH316" cm="1">
        <f t="array" ref="NH316:NJ316">SUMIFS($J316:$GG316,$J$1:$GG$1,NH$3:NJ$3)</f>
        <v>0</v>
      </c>
      <c r="NI316">
        <v>0</v>
      </c>
      <c r="NJ316">
        <v>0</v>
      </c>
      <c r="NK316" cm="1">
        <f t="array" ref="NK316">IFERROR(MAX((_xlfn.ANCHORARRAY(NH316)-AVERAGE(_xlfn.ANCHORARRAY(NH316)))/ AVERAGE(_xlfn.ANCHORARRAY(NH316))),0)</f>
        <v>0</v>
      </c>
      <c r="NN316" cm="1">
        <f t="array" ref="NN316:NR316">SUMIFS($J316:$GG316,$J$3:$GG$3,NN$3:NR$3)</f>
        <v>0</v>
      </c>
      <c r="NO316">
        <v>0</v>
      </c>
      <c r="NP316">
        <v>0</v>
      </c>
      <c r="NQ316">
        <v>0</v>
      </c>
      <c r="NR316">
        <v>0</v>
      </c>
      <c r="NS316" cm="1">
        <f t="array" ref="NS316">IFERROR(MAX((_xlfn.ANCHORARRAY(NN316)-AVERAGE(_xlfn.ANCHORARRAY(NN316)))/ AVERAGE(_xlfn.ANCHORARRAY(NN316))),0)</f>
        <v>0</v>
      </c>
      <c r="NV316" cm="1">
        <f t="array" ref="NV316:OE316">SUMIFS($J316:$GG316,$J$2:$GG$2,NV$3:OE$3)</f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 cm="1">
        <f t="array" ref="OF316">IFERROR(MAX((_xlfn.ANCHORARRAY(NV316)-AVERAGE(_xlfn.ANCHORARRAY(NV316)))/ AVERAGE(_xlfn.ANCHORARRAY(NV316))),0)</f>
        <v>0</v>
      </c>
      <c r="OI316" t="str">
        <f t="shared" si="87"/>
        <v/>
      </c>
    </row>
    <row r="317" spans="2:399" x14ac:dyDescent="0.3">
      <c r="B317" s="2" t="str">
        <f t="shared" si="79"/>
        <v>LLC</v>
      </c>
      <c r="C317" s="2" t="str">
        <f t="shared" si="80"/>
        <v>LLC</v>
      </c>
      <c r="D317" s="2" t="str">
        <f t="shared" si="81"/>
        <v>LLC</v>
      </c>
      <c r="E317" s="2" t="str">
        <f t="shared" si="82"/>
        <v/>
      </c>
      <c r="F317" s="2">
        <f t="shared" si="83"/>
        <v>0</v>
      </c>
      <c r="G317" s="2">
        <f t="shared" si="84"/>
        <v>0</v>
      </c>
      <c r="H317" s="2">
        <f t="shared" si="85"/>
        <v>0</v>
      </c>
      <c r="I317" s="2">
        <f t="shared" si="86"/>
        <v>0</v>
      </c>
      <c r="NH317" cm="1">
        <f t="array" ref="NH317:NJ317">SUMIFS($J317:$GG317,$J$1:$GG$1,NH$3:NJ$3)</f>
        <v>0</v>
      </c>
      <c r="NI317">
        <v>0</v>
      </c>
      <c r="NJ317">
        <v>0</v>
      </c>
      <c r="NK317" cm="1">
        <f t="array" ref="NK317">IFERROR(MAX((_xlfn.ANCHORARRAY(NH317)-AVERAGE(_xlfn.ANCHORARRAY(NH317)))/ AVERAGE(_xlfn.ANCHORARRAY(NH317))),0)</f>
        <v>0</v>
      </c>
      <c r="NN317" cm="1">
        <f t="array" ref="NN317:NR317">SUMIFS($J317:$GG317,$J$3:$GG$3,NN$3:NR$3)</f>
        <v>0</v>
      </c>
      <c r="NO317">
        <v>0</v>
      </c>
      <c r="NP317">
        <v>0</v>
      </c>
      <c r="NQ317">
        <v>0</v>
      </c>
      <c r="NR317">
        <v>0</v>
      </c>
      <c r="NS317" cm="1">
        <f t="array" ref="NS317">IFERROR(MAX((_xlfn.ANCHORARRAY(NN317)-AVERAGE(_xlfn.ANCHORARRAY(NN317)))/ AVERAGE(_xlfn.ANCHORARRAY(NN317))),0)</f>
        <v>0</v>
      </c>
      <c r="NV317" cm="1">
        <f t="array" ref="NV317:OE317">SUMIFS($J317:$GG317,$J$2:$GG$2,NV$3:OE$3)</f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 cm="1">
        <f t="array" ref="OF317">IFERROR(MAX((_xlfn.ANCHORARRAY(NV317)-AVERAGE(_xlfn.ANCHORARRAY(NV317)))/ AVERAGE(_xlfn.ANCHORARRAY(NV317))),0)</f>
        <v>0</v>
      </c>
      <c r="OI317" t="str">
        <f t="shared" si="87"/>
        <v/>
      </c>
    </row>
    <row r="318" spans="2:399" x14ac:dyDescent="0.3">
      <c r="B318" s="2" t="str">
        <f t="shared" si="79"/>
        <v>LLC</v>
      </c>
      <c r="C318" s="2" t="str">
        <f t="shared" si="80"/>
        <v>LLC</v>
      </c>
      <c r="D318" s="2" t="str">
        <f t="shared" si="81"/>
        <v>LLC</v>
      </c>
      <c r="E318" s="2" t="str">
        <f t="shared" si="82"/>
        <v/>
      </c>
      <c r="F318" s="2">
        <f t="shared" si="83"/>
        <v>0</v>
      </c>
      <c r="G318" s="2">
        <f t="shared" si="84"/>
        <v>0</v>
      </c>
      <c r="H318" s="2">
        <f t="shared" si="85"/>
        <v>0</v>
      </c>
      <c r="I318" s="2">
        <f t="shared" si="86"/>
        <v>0</v>
      </c>
      <c r="NH318" cm="1">
        <f t="array" ref="NH318:NJ318">SUMIFS($J318:$GG318,$J$1:$GG$1,NH$3:NJ$3)</f>
        <v>0</v>
      </c>
      <c r="NI318">
        <v>0</v>
      </c>
      <c r="NJ318">
        <v>0</v>
      </c>
      <c r="NK318" cm="1">
        <f t="array" ref="NK318">IFERROR(MAX((_xlfn.ANCHORARRAY(NH318)-AVERAGE(_xlfn.ANCHORARRAY(NH318)))/ AVERAGE(_xlfn.ANCHORARRAY(NH318))),0)</f>
        <v>0</v>
      </c>
      <c r="NN318" cm="1">
        <f t="array" ref="NN318:NR318">SUMIFS($J318:$GG318,$J$3:$GG$3,NN$3:NR$3)</f>
        <v>0</v>
      </c>
      <c r="NO318">
        <v>0</v>
      </c>
      <c r="NP318">
        <v>0</v>
      </c>
      <c r="NQ318">
        <v>0</v>
      </c>
      <c r="NR318">
        <v>0</v>
      </c>
      <c r="NS318" cm="1">
        <f t="array" ref="NS318">IFERROR(MAX((_xlfn.ANCHORARRAY(NN318)-AVERAGE(_xlfn.ANCHORARRAY(NN318)))/ AVERAGE(_xlfn.ANCHORARRAY(NN318))),0)</f>
        <v>0</v>
      </c>
      <c r="NV318" cm="1">
        <f t="array" ref="NV318:OE318">SUMIFS($J318:$GG318,$J$2:$GG$2,NV$3:OE$3)</f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 cm="1">
        <f t="array" ref="OF318">IFERROR(MAX((_xlfn.ANCHORARRAY(NV318)-AVERAGE(_xlfn.ANCHORARRAY(NV318)))/ AVERAGE(_xlfn.ANCHORARRAY(NV318))),0)</f>
        <v>0</v>
      </c>
      <c r="OI318" t="str">
        <f t="shared" si="87"/>
        <v/>
      </c>
    </row>
    <row r="319" spans="2:399" x14ac:dyDescent="0.3">
      <c r="B319" s="2" t="str">
        <f t="shared" si="79"/>
        <v>LLC</v>
      </c>
      <c r="C319" s="2" t="str">
        <f t="shared" si="80"/>
        <v>LLC</v>
      </c>
      <c r="D319" s="2" t="str">
        <f t="shared" si="81"/>
        <v>LLC</v>
      </c>
      <c r="E319" s="2" t="str">
        <f t="shared" si="82"/>
        <v/>
      </c>
      <c r="F319" s="2">
        <f t="shared" si="83"/>
        <v>0</v>
      </c>
      <c r="G319" s="2">
        <f t="shared" si="84"/>
        <v>0</v>
      </c>
      <c r="H319" s="2">
        <f t="shared" si="85"/>
        <v>0</v>
      </c>
      <c r="I319" s="2">
        <f t="shared" si="86"/>
        <v>0</v>
      </c>
      <c r="NH319" cm="1">
        <f t="array" ref="NH319:NJ319">SUMIFS($J319:$GG319,$J$1:$GG$1,NH$3:NJ$3)</f>
        <v>0</v>
      </c>
      <c r="NI319">
        <v>0</v>
      </c>
      <c r="NJ319">
        <v>0</v>
      </c>
      <c r="NK319" cm="1">
        <f t="array" ref="NK319">IFERROR(MAX((_xlfn.ANCHORARRAY(NH319)-AVERAGE(_xlfn.ANCHORARRAY(NH319)))/ AVERAGE(_xlfn.ANCHORARRAY(NH319))),0)</f>
        <v>0</v>
      </c>
      <c r="NN319" cm="1">
        <f t="array" ref="NN319:NR319">SUMIFS($J319:$GG319,$J$3:$GG$3,NN$3:NR$3)</f>
        <v>0</v>
      </c>
      <c r="NO319">
        <v>0</v>
      </c>
      <c r="NP319">
        <v>0</v>
      </c>
      <c r="NQ319">
        <v>0</v>
      </c>
      <c r="NR319">
        <v>0</v>
      </c>
      <c r="NS319" cm="1">
        <f t="array" ref="NS319">IFERROR(MAX((_xlfn.ANCHORARRAY(NN319)-AVERAGE(_xlfn.ANCHORARRAY(NN319)))/ AVERAGE(_xlfn.ANCHORARRAY(NN319))),0)</f>
        <v>0</v>
      </c>
      <c r="NV319" cm="1">
        <f t="array" ref="NV319:OE319">SUMIFS($J319:$GG319,$J$2:$GG$2,NV$3:OE$3)</f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 cm="1">
        <f t="array" ref="OF319">IFERROR(MAX((_xlfn.ANCHORARRAY(NV319)-AVERAGE(_xlfn.ANCHORARRAY(NV319)))/ AVERAGE(_xlfn.ANCHORARRAY(NV319))),0)</f>
        <v>0</v>
      </c>
      <c r="OI319" t="str">
        <f t="shared" si="87"/>
        <v/>
      </c>
    </row>
    <row r="320" spans="2:399" x14ac:dyDescent="0.3">
      <c r="B320" s="2" t="str">
        <f t="shared" si="79"/>
        <v>LLC</v>
      </c>
      <c r="C320" s="2" t="str">
        <f t="shared" si="80"/>
        <v>LLC</v>
      </c>
      <c r="D320" s="2" t="str">
        <f t="shared" si="81"/>
        <v>LLC</v>
      </c>
      <c r="E320" s="2" t="str">
        <f t="shared" si="82"/>
        <v/>
      </c>
      <c r="F320" s="2">
        <f t="shared" si="83"/>
        <v>0</v>
      </c>
      <c r="G320" s="2">
        <f t="shared" si="84"/>
        <v>0</v>
      </c>
      <c r="H320" s="2">
        <f t="shared" si="85"/>
        <v>0</v>
      </c>
      <c r="I320" s="2">
        <f t="shared" si="86"/>
        <v>0</v>
      </c>
      <c r="NH320" cm="1">
        <f t="array" ref="NH320:NJ320">SUMIFS($J320:$GG320,$J$1:$GG$1,NH$3:NJ$3)</f>
        <v>0</v>
      </c>
      <c r="NI320">
        <v>0</v>
      </c>
      <c r="NJ320">
        <v>0</v>
      </c>
      <c r="NK320" cm="1">
        <f t="array" ref="NK320">IFERROR(MAX((_xlfn.ANCHORARRAY(NH320)-AVERAGE(_xlfn.ANCHORARRAY(NH320)))/ AVERAGE(_xlfn.ANCHORARRAY(NH320))),0)</f>
        <v>0</v>
      </c>
      <c r="NN320" cm="1">
        <f t="array" ref="NN320:NR320">SUMIFS($J320:$GG320,$J$3:$GG$3,NN$3:NR$3)</f>
        <v>0</v>
      </c>
      <c r="NO320">
        <v>0</v>
      </c>
      <c r="NP320">
        <v>0</v>
      </c>
      <c r="NQ320">
        <v>0</v>
      </c>
      <c r="NR320">
        <v>0</v>
      </c>
      <c r="NS320" cm="1">
        <f t="array" ref="NS320">IFERROR(MAX((_xlfn.ANCHORARRAY(NN320)-AVERAGE(_xlfn.ANCHORARRAY(NN320)))/ AVERAGE(_xlfn.ANCHORARRAY(NN320))),0)</f>
        <v>0</v>
      </c>
      <c r="NV320" cm="1">
        <f t="array" ref="NV320:OE320">SUMIFS($J320:$GG320,$J$2:$GG$2,NV$3:OE$3)</f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 cm="1">
        <f t="array" ref="OF320">IFERROR(MAX((_xlfn.ANCHORARRAY(NV320)-AVERAGE(_xlfn.ANCHORARRAY(NV320)))/ AVERAGE(_xlfn.ANCHORARRAY(NV320))),0)</f>
        <v>0</v>
      </c>
      <c r="OI320" t="str">
        <f t="shared" si="87"/>
        <v/>
      </c>
    </row>
    <row r="321" spans="2:399" x14ac:dyDescent="0.3">
      <c r="B321" s="2" t="str">
        <f t="shared" si="79"/>
        <v>LLC</v>
      </c>
      <c r="C321" s="2" t="str">
        <f t="shared" si="80"/>
        <v>LLC</v>
      </c>
      <c r="D321" s="2" t="str">
        <f t="shared" si="81"/>
        <v>LLC</v>
      </c>
      <c r="E321" s="2" t="str">
        <f t="shared" si="82"/>
        <v/>
      </c>
      <c r="F321" s="2">
        <f t="shared" si="83"/>
        <v>0</v>
      </c>
      <c r="G321" s="2">
        <f t="shared" si="84"/>
        <v>0</v>
      </c>
      <c r="H321" s="2">
        <f t="shared" si="85"/>
        <v>0</v>
      </c>
      <c r="I321" s="2">
        <f t="shared" si="86"/>
        <v>0</v>
      </c>
      <c r="NH321" cm="1">
        <f t="array" ref="NH321:NJ321">SUMIFS($J321:$GG321,$J$1:$GG$1,NH$3:NJ$3)</f>
        <v>0</v>
      </c>
      <c r="NI321">
        <v>0</v>
      </c>
      <c r="NJ321">
        <v>0</v>
      </c>
      <c r="NK321" cm="1">
        <f t="array" ref="NK321">IFERROR(MAX((_xlfn.ANCHORARRAY(NH321)-AVERAGE(_xlfn.ANCHORARRAY(NH321)))/ AVERAGE(_xlfn.ANCHORARRAY(NH321))),0)</f>
        <v>0</v>
      </c>
      <c r="NN321" cm="1">
        <f t="array" ref="NN321:NR321">SUMIFS($J321:$GG321,$J$3:$GG$3,NN$3:NR$3)</f>
        <v>0</v>
      </c>
      <c r="NO321">
        <v>0</v>
      </c>
      <c r="NP321">
        <v>0</v>
      </c>
      <c r="NQ321">
        <v>0</v>
      </c>
      <c r="NR321">
        <v>0</v>
      </c>
      <c r="NS321" cm="1">
        <f t="array" ref="NS321">IFERROR(MAX((_xlfn.ANCHORARRAY(NN321)-AVERAGE(_xlfn.ANCHORARRAY(NN321)))/ AVERAGE(_xlfn.ANCHORARRAY(NN321))),0)</f>
        <v>0</v>
      </c>
      <c r="NV321" cm="1">
        <f t="array" ref="NV321:OE321">SUMIFS($J321:$GG321,$J$2:$GG$2,NV$3:OE$3)</f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 cm="1">
        <f t="array" ref="OF321">IFERROR(MAX((_xlfn.ANCHORARRAY(NV321)-AVERAGE(_xlfn.ANCHORARRAY(NV321)))/ AVERAGE(_xlfn.ANCHORARRAY(NV321))),0)</f>
        <v>0</v>
      </c>
      <c r="OI321" t="str">
        <f t="shared" si="87"/>
        <v/>
      </c>
    </row>
    <row r="322" spans="2:399" x14ac:dyDescent="0.3">
      <c r="B322" s="2" t="str">
        <f t="shared" si="79"/>
        <v>LLC</v>
      </c>
      <c r="C322" s="2" t="str">
        <f t="shared" si="80"/>
        <v>LLC</v>
      </c>
      <c r="D322" s="2" t="str">
        <f t="shared" si="81"/>
        <v>LLC</v>
      </c>
      <c r="E322" s="2" t="str">
        <f t="shared" si="82"/>
        <v/>
      </c>
      <c r="F322" s="2">
        <f t="shared" si="83"/>
        <v>0</v>
      </c>
      <c r="G322" s="2">
        <f t="shared" si="84"/>
        <v>0</v>
      </c>
      <c r="H322" s="2">
        <f t="shared" si="85"/>
        <v>0</v>
      </c>
      <c r="I322" s="2">
        <f t="shared" si="86"/>
        <v>0</v>
      </c>
      <c r="NH322" cm="1">
        <f t="array" ref="NH322:NJ322">SUMIFS($J322:$GG322,$J$1:$GG$1,NH$3:NJ$3)</f>
        <v>0</v>
      </c>
      <c r="NI322">
        <v>0</v>
      </c>
      <c r="NJ322">
        <v>0</v>
      </c>
      <c r="NK322" cm="1">
        <f t="array" ref="NK322">IFERROR(MAX((_xlfn.ANCHORARRAY(NH322)-AVERAGE(_xlfn.ANCHORARRAY(NH322)))/ AVERAGE(_xlfn.ANCHORARRAY(NH322))),0)</f>
        <v>0</v>
      </c>
      <c r="NN322" cm="1">
        <f t="array" ref="NN322:NR322">SUMIFS($J322:$GG322,$J$3:$GG$3,NN$3:NR$3)</f>
        <v>0</v>
      </c>
      <c r="NO322">
        <v>0</v>
      </c>
      <c r="NP322">
        <v>0</v>
      </c>
      <c r="NQ322">
        <v>0</v>
      </c>
      <c r="NR322">
        <v>0</v>
      </c>
      <c r="NS322" cm="1">
        <f t="array" ref="NS322">IFERROR(MAX((_xlfn.ANCHORARRAY(NN322)-AVERAGE(_xlfn.ANCHORARRAY(NN322)))/ AVERAGE(_xlfn.ANCHORARRAY(NN322))),0)</f>
        <v>0</v>
      </c>
      <c r="NV322" cm="1">
        <f t="array" ref="NV322:OE322">SUMIFS($J322:$GG322,$J$2:$GG$2,NV$3:OE$3)</f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 cm="1">
        <f t="array" ref="OF322">IFERROR(MAX((_xlfn.ANCHORARRAY(NV322)-AVERAGE(_xlfn.ANCHORARRAY(NV322)))/ AVERAGE(_xlfn.ANCHORARRAY(NV322))),0)</f>
        <v>0</v>
      </c>
      <c r="OI322" t="str">
        <f t="shared" si="87"/>
        <v/>
      </c>
    </row>
    <row r="323" spans="2:399" x14ac:dyDescent="0.3">
      <c r="B323" s="2" t="str">
        <f t="shared" si="79"/>
        <v>LLC</v>
      </c>
      <c r="C323" s="2" t="str">
        <f t="shared" si="80"/>
        <v>LLC</v>
      </c>
      <c r="D323" s="2" t="str">
        <f t="shared" si="81"/>
        <v>LLC</v>
      </c>
      <c r="E323" s="2" t="str">
        <f t="shared" si="82"/>
        <v/>
      </c>
      <c r="F323" s="2">
        <f t="shared" si="83"/>
        <v>0</v>
      </c>
      <c r="G323" s="2">
        <f t="shared" si="84"/>
        <v>0</v>
      </c>
      <c r="H323" s="2">
        <f t="shared" si="85"/>
        <v>0</v>
      </c>
      <c r="I323" s="2">
        <f t="shared" si="86"/>
        <v>0</v>
      </c>
      <c r="NH323" cm="1">
        <f t="array" ref="NH323:NJ323">SUMIFS($J323:$GG323,$J$1:$GG$1,NH$3:NJ$3)</f>
        <v>0</v>
      </c>
      <c r="NI323">
        <v>0</v>
      </c>
      <c r="NJ323">
        <v>0</v>
      </c>
      <c r="NK323" cm="1">
        <f t="array" ref="NK323">IFERROR(MAX((_xlfn.ANCHORARRAY(NH323)-AVERAGE(_xlfn.ANCHORARRAY(NH323)))/ AVERAGE(_xlfn.ANCHORARRAY(NH323))),0)</f>
        <v>0</v>
      </c>
      <c r="NN323" cm="1">
        <f t="array" ref="NN323:NR323">SUMIFS($J323:$GG323,$J$3:$GG$3,NN$3:NR$3)</f>
        <v>0</v>
      </c>
      <c r="NO323">
        <v>0</v>
      </c>
      <c r="NP323">
        <v>0</v>
      </c>
      <c r="NQ323">
        <v>0</v>
      </c>
      <c r="NR323">
        <v>0</v>
      </c>
      <c r="NS323" cm="1">
        <f t="array" ref="NS323">IFERROR(MAX((_xlfn.ANCHORARRAY(NN323)-AVERAGE(_xlfn.ANCHORARRAY(NN323)))/ AVERAGE(_xlfn.ANCHORARRAY(NN323))),0)</f>
        <v>0</v>
      </c>
      <c r="NV323" cm="1">
        <f t="array" ref="NV323:OE323">SUMIFS($J323:$GG323,$J$2:$GG$2,NV$3:OE$3)</f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 cm="1">
        <f t="array" ref="OF323">IFERROR(MAX((_xlfn.ANCHORARRAY(NV323)-AVERAGE(_xlfn.ANCHORARRAY(NV323)))/ AVERAGE(_xlfn.ANCHORARRAY(NV323))),0)</f>
        <v>0</v>
      </c>
      <c r="OI323" t="str">
        <f t="shared" si="87"/>
        <v/>
      </c>
    </row>
    <row r="324" spans="2:399" x14ac:dyDescent="0.3">
      <c r="B324" s="2" t="str">
        <f t="shared" si="79"/>
        <v>LLC</v>
      </c>
      <c r="C324" s="2" t="str">
        <f t="shared" si="80"/>
        <v>LLC</v>
      </c>
      <c r="D324" s="2" t="str">
        <f t="shared" si="81"/>
        <v>LLC</v>
      </c>
      <c r="E324" s="2" t="str">
        <f t="shared" si="82"/>
        <v/>
      </c>
      <c r="F324" s="2">
        <f t="shared" si="83"/>
        <v>0</v>
      </c>
      <c r="G324" s="2">
        <f t="shared" si="84"/>
        <v>0</v>
      </c>
      <c r="H324" s="2">
        <f t="shared" si="85"/>
        <v>0</v>
      </c>
      <c r="I324" s="2">
        <f t="shared" si="86"/>
        <v>0</v>
      </c>
      <c r="NH324" cm="1">
        <f t="array" ref="NH324:NJ324">SUMIFS($J324:$GG324,$J$1:$GG$1,NH$3:NJ$3)</f>
        <v>0</v>
      </c>
      <c r="NI324">
        <v>0</v>
      </c>
      <c r="NJ324">
        <v>0</v>
      </c>
      <c r="NK324" cm="1">
        <f t="array" ref="NK324">IFERROR(MAX((_xlfn.ANCHORARRAY(NH324)-AVERAGE(_xlfn.ANCHORARRAY(NH324)))/ AVERAGE(_xlfn.ANCHORARRAY(NH324))),0)</f>
        <v>0</v>
      </c>
      <c r="NN324" cm="1">
        <f t="array" ref="NN324:NR324">SUMIFS($J324:$GG324,$J$3:$GG$3,NN$3:NR$3)</f>
        <v>0</v>
      </c>
      <c r="NO324">
        <v>0</v>
      </c>
      <c r="NP324">
        <v>0</v>
      </c>
      <c r="NQ324">
        <v>0</v>
      </c>
      <c r="NR324">
        <v>0</v>
      </c>
      <c r="NS324" cm="1">
        <f t="array" ref="NS324">IFERROR(MAX((_xlfn.ANCHORARRAY(NN324)-AVERAGE(_xlfn.ANCHORARRAY(NN324)))/ AVERAGE(_xlfn.ANCHORARRAY(NN324))),0)</f>
        <v>0</v>
      </c>
      <c r="NV324" cm="1">
        <f t="array" ref="NV324:OE324">SUMIFS($J324:$GG324,$J$2:$GG$2,NV$3:OE$3)</f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 cm="1">
        <f t="array" ref="OF324">IFERROR(MAX((_xlfn.ANCHORARRAY(NV324)-AVERAGE(_xlfn.ANCHORARRAY(NV324)))/ AVERAGE(_xlfn.ANCHORARRAY(NV324))),0)</f>
        <v>0</v>
      </c>
      <c r="OI324" t="str">
        <f t="shared" si="87"/>
        <v/>
      </c>
    </row>
    <row r="325" spans="2:399" x14ac:dyDescent="0.3">
      <c r="B325" s="2" t="str">
        <f t="shared" si="79"/>
        <v>LLC</v>
      </c>
      <c r="C325" s="2" t="str">
        <f t="shared" si="80"/>
        <v>LLC</v>
      </c>
      <c r="D325" s="2" t="str">
        <f t="shared" si="81"/>
        <v>LLC</v>
      </c>
      <c r="E325" s="2" t="str">
        <f t="shared" si="82"/>
        <v/>
      </c>
      <c r="F325" s="2">
        <f t="shared" si="83"/>
        <v>0</v>
      </c>
      <c r="G325" s="2">
        <f t="shared" si="84"/>
        <v>0</v>
      </c>
      <c r="H325" s="2">
        <f t="shared" si="85"/>
        <v>0</v>
      </c>
      <c r="I325" s="2">
        <f t="shared" si="86"/>
        <v>0</v>
      </c>
      <c r="NH325" cm="1">
        <f t="array" ref="NH325:NJ325">SUMIFS($J325:$GG325,$J$1:$GG$1,NH$3:NJ$3)</f>
        <v>0</v>
      </c>
      <c r="NI325">
        <v>0</v>
      </c>
      <c r="NJ325">
        <v>0</v>
      </c>
      <c r="NK325" cm="1">
        <f t="array" ref="NK325">IFERROR(MAX((_xlfn.ANCHORARRAY(NH325)-AVERAGE(_xlfn.ANCHORARRAY(NH325)))/ AVERAGE(_xlfn.ANCHORARRAY(NH325))),0)</f>
        <v>0</v>
      </c>
      <c r="NN325" cm="1">
        <f t="array" ref="NN325:NR325">SUMIFS($J325:$GG325,$J$3:$GG$3,NN$3:NR$3)</f>
        <v>0</v>
      </c>
      <c r="NO325">
        <v>0</v>
      </c>
      <c r="NP325">
        <v>0</v>
      </c>
      <c r="NQ325">
        <v>0</v>
      </c>
      <c r="NR325">
        <v>0</v>
      </c>
      <c r="NS325" cm="1">
        <f t="array" ref="NS325">IFERROR(MAX((_xlfn.ANCHORARRAY(NN325)-AVERAGE(_xlfn.ANCHORARRAY(NN325)))/ AVERAGE(_xlfn.ANCHORARRAY(NN325))),0)</f>
        <v>0</v>
      </c>
      <c r="NV325" cm="1">
        <f t="array" ref="NV325:OE325">SUMIFS($J325:$GG325,$J$2:$GG$2,NV$3:OE$3)</f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 cm="1">
        <f t="array" ref="OF325">IFERROR(MAX((_xlfn.ANCHORARRAY(NV325)-AVERAGE(_xlfn.ANCHORARRAY(NV325)))/ AVERAGE(_xlfn.ANCHORARRAY(NV325))),0)</f>
        <v>0</v>
      </c>
      <c r="OI325" t="str">
        <f t="shared" si="87"/>
        <v/>
      </c>
    </row>
    <row r="326" spans="2:399" x14ac:dyDescent="0.3">
      <c r="B326" s="2" t="str">
        <f t="shared" si="79"/>
        <v>LLC</v>
      </c>
      <c r="C326" s="2" t="str">
        <f t="shared" si="80"/>
        <v>LLC</v>
      </c>
      <c r="D326" s="2" t="str">
        <f t="shared" si="81"/>
        <v>LLC</v>
      </c>
      <c r="E326" s="2" t="str">
        <f t="shared" si="82"/>
        <v/>
      </c>
      <c r="F326" s="2">
        <f t="shared" si="83"/>
        <v>0</v>
      </c>
      <c r="G326" s="2">
        <f t="shared" si="84"/>
        <v>0</v>
      </c>
      <c r="H326" s="2">
        <f t="shared" si="85"/>
        <v>0</v>
      </c>
      <c r="I326" s="2">
        <f t="shared" si="86"/>
        <v>0</v>
      </c>
      <c r="NH326" cm="1">
        <f t="array" ref="NH326:NJ326">SUMIFS($J326:$GG326,$J$1:$GG$1,NH$3:NJ$3)</f>
        <v>0</v>
      </c>
      <c r="NI326">
        <v>0</v>
      </c>
      <c r="NJ326">
        <v>0</v>
      </c>
      <c r="NK326" cm="1">
        <f t="array" ref="NK326">IFERROR(MAX((_xlfn.ANCHORARRAY(NH326)-AVERAGE(_xlfn.ANCHORARRAY(NH326)))/ AVERAGE(_xlfn.ANCHORARRAY(NH326))),0)</f>
        <v>0</v>
      </c>
      <c r="NN326" cm="1">
        <f t="array" ref="NN326:NR326">SUMIFS($J326:$GG326,$J$3:$GG$3,NN$3:NR$3)</f>
        <v>0</v>
      </c>
      <c r="NO326">
        <v>0</v>
      </c>
      <c r="NP326">
        <v>0</v>
      </c>
      <c r="NQ326">
        <v>0</v>
      </c>
      <c r="NR326">
        <v>0</v>
      </c>
      <c r="NS326" cm="1">
        <f t="array" ref="NS326">IFERROR(MAX((_xlfn.ANCHORARRAY(NN326)-AVERAGE(_xlfn.ANCHORARRAY(NN326)))/ AVERAGE(_xlfn.ANCHORARRAY(NN326))),0)</f>
        <v>0</v>
      </c>
      <c r="NV326" cm="1">
        <f t="array" ref="NV326:OE326">SUMIFS($J326:$GG326,$J$2:$GG$2,NV$3:OE$3)</f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 cm="1">
        <f t="array" ref="OF326">IFERROR(MAX((_xlfn.ANCHORARRAY(NV326)-AVERAGE(_xlfn.ANCHORARRAY(NV326)))/ AVERAGE(_xlfn.ANCHORARRAY(NV326))),0)</f>
        <v>0</v>
      </c>
      <c r="OI326" t="str">
        <f t="shared" si="87"/>
        <v/>
      </c>
    </row>
    <row r="327" spans="2:399" x14ac:dyDescent="0.3">
      <c r="B327" s="2" t="str">
        <f t="shared" si="79"/>
        <v>LLC</v>
      </c>
      <c r="C327" s="2" t="str">
        <f t="shared" si="80"/>
        <v>LLC</v>
      </c>
      <c r="D327" s="2" t="str">
        <f t="shared" si="81"/>
        <v>LLC</v>
      </c>
      <c r="E327" s="2" t="str">
        <f t="shared" si="82"/>
        <v/>
      </c>
      <c r="F327" s="2">
        <f t="shared" si="83"/>
        <v>0</v>
      </c>
      <c r="G327" s="2">
        <f t="shared" si="84"/>
        <v>0</v>
      </c>
      <c r="H327" s="2">
        <f t="shared" si="85"/>
        <v>0</v>
      </c>
      <c r="I327" s="2">
        <f t="shared" si="86"/>
        <v>0</v>
      </c>
      <c r="NH327" cm="1">
        <f t="array" ref="NH327:NJ327">SUMIFS($J327:$GG327,$J$1:$GG$1,NH$3:NJ$3)</f>
        <v>0</v>
      </c>
      <c r="NI327">
        <v>0</v>
      </c>
      <c r="NJ327">
        <v>0</v>
      </c>
      <c r="NK327" cm="1">
        <f t="array" ref="NK327">IFERROR(MAX((_xlfn.ANCHORARRAY(NH327)-AVERAGE(_xlfn.ANCHORARRAY(NH327)))/ AVERAGE(_xlfn.ANCHORARRAY(NH327))),0)</f>
        <v>0</v>
      </c>
      <c r="NN327" cm="1">
        <f t="array" ref="NN327:NR327">SUMIFS($J327:$GG327,$J$3:$GG$3,NN$3:NR$3)</f>
        <v>0</v>
      </c>
      <c r="NO327">
        <v>0</v>
      </c>
      <c r="NP327">
        <v>0</v>
      </c>
      <c r="NQ327">
        <v>0</v>
      </c>
      <c r="NR327">
        <v>0</v>
      </c>
      <c r="NS327" cm="1">
        <f t="array" ref="NS327">IFERROR(MAX((_xlfn.ANCHORARRAY(NN327)-AVERAGE(_xlfn.ANCHORARRAY(NN327)))/ AVERAGE(_xlfn.ANCHORARRAY(NN327))),0)</f>
        <v>0</v>
      </c>
      <c r="NV327" cm="1">
        <f t="array" ref="NV327:OE327">SUMIFS($J327:$GG327,$J$2:$GG$2,NV$3:OE$3)</f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 cm="1">
        <f t="array" ref="OF327">IFERROR(MAX((_xlfn.ANCHORARRAY(NV327)-AVERAGE(_xlfn.ANCHORARRAY(NV327)))/ AVERAGE(_xlfn.ANCHORARRAY(NV327))),0)</f>
        <v>0</v>
      </c>
      <c r="OI327" t="str">
        <f t="shared" si="87"/>
        <v/>
      </c>
    </row>
    <row r="328" spans="2:399" x14ac:dyDescent="0.3">
      <c r="B328" s="2" t="str">
        <f t="shared" si="79"/>
        <v>LLC</v>
      </c>
      <c r="C328" s="2" t="str">
        <f t="shared" si="80"/>
        <v>LLC</v>
      </c>
      <c r="D328" s="2" t="str">
        <f t="shared" si="81"/>
        <v>LLC</v>
      </c>
      <c r="E328" s="2" t="str">
        <f t="shared" si="82"/>
        <v/>
      </c>
      <c r="F328" s="2">
        <f t="shared" si="83"/>
        <v>0</v>
      </c>
      <c r="G328" s="2">
        <f t="shared" si="84"/>
        <v>0</v>
      </c>
      <c r="H328" s="2">
        <f t="shared" si="85"/>
        <v>0</v>
      </c>
      <c r="I328" s="2">
        <f t="shared" si="86"/>
        <v>0</v>
      </c>
      <c r="NH328" cm="1">
        <f t="array" ref="NH328:NJ328">SUMIFS($J328:$GG328,$J$1:$GG$1,NH$3:NJ$3)</f>
        <v>0</v>
      </c>
      <c r="NI328">
        <v>0</v>
      </c>
      <c r="NJ328">
        <v>0</v>
      </c>
      <c r="NK328" cm="1">
        <f t="array" ref="NK328">IFERROR(MAX((_xlfn.ANCHORARRAY(NH328)-AVERAGE(_xlfn.ANCHORARRAY(NH328)))/ AVERAGE(_xlfn.ANCHORARRAY(NH328))),0)</f>
        <v>0</v>
      </c>
      <c r="NN328" cm="1">
        <f t="array" ref="NN328:NR328">SUMIFS($J328:$GG328,$J$3:$GG$3,NN$3:NR$3)</f>
        <v>0</v>
      </c>
      <c r="NO328">
        <v>0</v>
      </c>
      <c r="NP328">
        <v>0</v>
      </c>
      <c r="NQ328">
        <v>0</v>
      </c>
      <c r="NR328">
        <v>0</v>
      </c>
      <c r="NS328" cm="1">
        <f t="array" ref="NS328">IFERROR(MAX((_xlfn.ANCHORARRAY(NN328)-AVERAGE(_xlfn.ANCHORARRAY(NN328)))/ AVERAGE(_xlfn.ANCHORARRAY(NN328))),0)</f>
        <v>0</v>
      </c>
      <c r="NV328" cm="1">
        <f t="array" ref="NV328:OE328">SUMIFS($J328:$GG328,$J$2:$GG$2,NV$3:OE$3)</f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 cm="1">
        <f t="array" ref="OF328">IFERROR(MAX((_xlfn.ANCHORARRAY(NV328)-AVERAGE(_xlfn.ANCHORARRAY(NV328)))/ AVERAGE(_xlfn.ANCHORARRAY(NV328))),0)</f>
        <v>0</v>
      </c>
      <c r="OI328" t="str">
        <f t="shared" si="87"/>
        <v/>
      </c>
    </row>
    <row r="329" spans="2:399" x14ac:dyDescent="0.3">
      <c r="B329" s="2" t="str">
        <f t="shared" si="79"/>
        <v>LLC</v>
      </c>
      <c r="C329" s="2" t="str">
        <f t="shared" si="80"/>
        <v>LLC</v>
      </c>
      <c r="D329" s="2" t="str">
        <f t="shared" si="81"/>
        <v>LLC</v>
      </c>
      <c r="E329" s="2" t="str">
        <f t="shared" si="82"/>
        <v/>
      </c>
      <c r="F329" s="2">
        <f t="shared" si="83"/>
        <v>0</v>
      </c>
      <c r="G329" s="2">
        <f t="shared" si="84"/>
        <v>0</v>
      </c>
      <c r="H329" s="2">
        <f t="shared" si="85"/>
        <v>0</v>
      </c>
      <c r="I329" s="2">
        <f t="shared" si="86"/>
        <v>0</v>
      </c>
      <c r="NH329" cm="1">
        <f t="array" ref="NH329:NJ329">SUMIFS($J329:$GG329,$J$1:$GG$1,NH$3:NJ$3)</f>
        <v>0</v>
      </c>
      <c r="NI329">
        <v>0</v>
      </c>
      <c r="NJ329">
        <v>0</v>
      </c>
      <c r="NK329" cm="1">
        <f t="array" ref="NK329">IFERROR(MAX((_xlfn.ANCHORARRAY(NH329)-AVERAGE(_xlfn.ANCHORARRAY(NH329)))/ AVERAGE(_xlfn.ANCHORARRAY(NH329))),0)</f>
        <v>0</v>
      </c>
      <c r="NN329" cm="1">
        <f t="array" ref="NN329:NR329">SUMIFS($J329:$GG329,$J$3:$GG$3,NN$3:NR$3)</f>
        <v>0</v>
      </c>
      <c r="NO329">
        <v>0</v>
      </c>
      <c r="NP329">
        <v>0</v>
      </c>
      <c r="NQ329">
        <v>0</v>
      </c>
      <c r="NR329">
        <v>0</v>
      </c>
      <c r="NS329" cm="1">
        <f t="array" ref="NS329">IFERROR(MAX((_xlfn.ANCHORARRAY(NN329)-AVERAGE(_xlfn.ANCHORARRAY(NN329)))/ AVERAGE(_xlfn.ANCHORARRAY(NN329))),0)</f>
        <v>0</v>
      </c>
      <c r="NV329" cm="1">
        <f t="array" ref="NV329:OE329">SUMIFS($J329:$GG329,$J$2:$GG$2,NV$3:OE$3)</f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 cm="1">
        <f t="array" ref="OF329">IFERROR(MAX((_xlfn.ANCHORARRAY(NV329)-AVERAGE(_xlfn.ANCHORARRAY(NV329)))/ AVERAGE(_xlfn.ANCHORARRAY(NV329))),0)</f>
        <v>0</v>
      </c>
      <c r="OI329" t="str">
        <f t="shared" si="87"/>
        <v/>
      </c>
    </row>
    <row r="330" spans="2:399" x14ac:dyDescent="0.3">
      <c r="B330" s="2" t="str">
        <f t="shared" si="79"/>
        <v>LLC</v>
      </c>
      <c r="C330" s="2" t="str">
        <f t="shared" si="80"/>
        <v>LLC</v>
      </c>
      <c r="D330" s="2" t="str">
        <f t="shared" si="81"/>
        <v>LLC</v>
      </c>
      <c r="E330" s="2" t="str">
        <f t="shared" si="82"/>
        <v/>
      </c>
      <c r="F330" s="2">
        <f t="shared" si="83"/>
        <v>0</v>
      </c>
      <c r="G330" s="2">
        <f t="shared" si="84"/>
        <v>0</v>
      </c>
      <c r="H330" s="2">
        <f t="shared" si="85"/>
        <v>0</v>
      </c>
      <c r="I330" s="2">
        <f t="shared" si="86"/>
        <v>0</v>
      </c>
      <c r="NH330" cm="1">
        <f t="array" ref="NH330:NJ330">SUMIFS($J330:$GG330,$J$1:$GG$1,NH$3:NJ$3)</f>
        <v>0</v>
      </c>
      <c r="NI330">
        <v>0</v>
      </c>
      <c r="NJ330">
        <v>0</v>
      </c>
      <c r="NK330" cm="1">
        <f t="array" ref="NK330">IFERROR(MAX((_xlfn.ANCHORARRAY(NH330)-AVERAGE(_xlfn.ANCHORARRAY(NH330)))/ AVERAGE(_xlfn.ANCHORARRAY(NH330))),0)</f>
        <v>0</v>
      </c>
      <c r="NN330" cm="1">
        <f t="array" ref="NN330:NR330">SUMIFS($J330:$GG330,$J$3:$GG$3,NN$3:NR$3)</f>
        <v>0</v>
      </c>
      <c r="NO330">
        <v>0</v>
      </c>
      <c r="NP330">
        <v>0</v>
      </c>
      <c r="NQ330">
        <v>0</v>
      </c>
      <c r="NR330">
        <v>0</v>
      </c>
      <c r="NS330" cm="1">
        <f t="array" ref="NS330">IFERROR(MAX((_xlfn.ANCHORARRAY(NN330)-AVERAGE(_xlfn.ANCHORARRAY(NN330)))/ AVERAGE(_xlfn.ANCHORARRAY(NN330))),0)</f>
        <v>0</v>
      </c>
      <c r="NV330" cm="1">
        <f t="array" ref="NV330:OE330">SUMIFS($J330:$GG330,$J$2:$GG$2,NV$3:OE$3)</f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 cm="1">
        <f t="array" ref="OF330">IFERROR(MAX((_xlfn.ANCHORARRAY(NV330)-AVERAGE(_xlfn.ANCHORARRAY(NV330)))/ AVERAGE(_xlfn.ANCHORARRAY(NV330))),0)</f>
        <v>0</v>
      </c>
      <c r="OI330" t="str">
        <f t="shared" si="87"/>
        <v/>
      </c>
    </row>
    <row r="331" spans="2:399" x14ac:dyDescent="0.3">
      <c r="B331" s="2" t="str">
        <f t="shared" si="79"/>
        <v>LLC</v>
      </c>
      <c r="C331" s="2" t="str">
        <f t="shared" si="80"/>
        <v>LLC</v>
      </c>
      <c r="D331" s="2" t="str">
        <f t="shared" si="81"/>
        <v>LLC</v>
      </c>
      <c r="E331" s="2" t="str">
        <f t="shared" si="82"/>
        <v/>
      </c>
      <c r="F331" s="2">
        <f t="shared" si="83"/>
        <v>0</v>
      </c>
      <c r="G331" s="2">
        <f t="shared" si="84"/>
        <v>0</v>
      </c>
      <c r="H331" s="2">
        <f t="shared" si="85"/>
        <v>0</v>
      </c>
      <c r="I331" s="2">
        <f t="shared" si="86"/>
        <v>0</v>
      </c>
      <c r="NH331" cm="1">
        <f t="array" ref="NH331:NJ331">SUMIFS($J331:$GG331,$J$1:$GG$1,NH$3:NJ$3)</f>
        <v>0</v>
      </c>
      <c r="NI331">
        <v>0</v>
      </c>
      <c r="NJ331">
        <v>0</v>
      </c>
      <c r="NK331" cm="1">
        <f t="array" ref="NK331">IFERROR(MAX((_xlfn.ANCHORARRAY(NH331)-AVERAGE(_xlfn.ANCHORARRAY(NH331)))/ AVERAGE(_xlfn.ANCHORARRAY(NH331))),0)</f>
        <v>0</v>
      </c>
      <c r="NN331" cm="1">
        <f t="array" ref="NN331:NR331">SUMIFS($J331:$GG331,$J$3:$GG$3,NN$3:NR$3)</f>
        <v>0</v>
      </c>
      <c r="NO331">
        <v>0</v>
      </c>
      <c r="NP331">
        <v>0</v>
      </c>
      <c r="NQ331">
        <v>0</v>
      </c>
      <c r="NR331">
        <v>0</v>
      </c>
      <c r="NS331" cm="1">
        <f t="array" ref="NS331">IFERROR(MAX((_xlfn.ANCHORARRAY(NN331)-AVERAGE(_xlfn.ANCHORARRAY(NN331)))/ AVERAGE(_xlfn.ANCHORARRAY(NN331))),0)</f>
        <v>0</v>
      </c>
      <c r="NV331" cm="1">
        <f t="array" ref="NV331:OE331">SUMIFS($J331:$GG331,$J$2:$GG$2,NV$3:OE$3)</f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 cm="1">
        <f t="array" ref="OF331">IFERROR(MAX((_xlfn.ANCHORARRAY(NV331)-AVERAGE(_xlfn.ANCHORARRAY(NV331)))/ AVERAGE(_xlfn.ANCHORARRAY(NV331))),0)</f>
        <v>0</v>
      </c>
      <c r="OI331" t="str">
        <f t="shared" si="87"/>
        <v/>
      </c>
    </row>
    <row r="332" spans="2:399" x14ac:dyDescent="0.3">
      <c r="B332" s="2" t="str">
        <f t="shared" si="79"/>
        <v>LLC</v>
      </c>
      <c r="C332" s="2" t="str">
        <f t="shared" si="80"/>
        <v>LLC</v>
      </c>
      <c r="D332" s="2" t="str">
        <f t="shared" si="81"/>
        <v>LLC</v>
      </c>
      <c r="E332" s="2" t="str">
        <f t="shared" si="82"/>
        <v/>
      </c>
      <c r="F332" s="2">
        <f t="shared" si="83"/>
        <v>0</v>
      </c>
      <c r="G332" s="2">
        <f t="shared" si="84"/>
        <v>0</v>
      </c>
      <c r="H332" s="2">
        <f t="shared" si="85"/>
        <v>0</v>
      </c>
      <c r="I332" s="2">
        <f t="shared" si="86"/>
        <v>0</v>
      </c>
      <c r="NH332" cm="1">
        <f t="array" ref="NH332:NJ332">SUMIFS($J332:$GG332,$J$1:$GG$1,NH$3:NJ$3)</f>
        <v>0</v>
      </c>
      <c r="NI332">
        <v>0</v>
      </c>
      <c r="NJ332">
        <v>0</v>
      </c>
      <c r="NK332" cm="1">
        <f t="array" ref="NK332">IFERROR(MAX((_xlfn.ANCHORARRAY(NH332)-AVERAGE(_xlfn.ANCHORARRAY(NH332)))/ AVERAGE(_xlfn.ANCHORARRAY(NH332))),0)</f>
        <v>0</v>
      </c>
      <c r="NN332" cm="1">
        <f t="array" ref="NN332:NR332">SUMIFS($J332:$GG332,$J$3:$GG$3,NN$3:NR$3)</f>
        <v>0</v>
      </c>
      <c r="NO332">
        <v>0</v>
      </c>
      <c r="NP332">
        <v>0</v>
      </c>
      <c r="NQ332">
        <v>0</v>
      </c>
      <c r="NR332">
        <v>0</v>
      </c>
      <c r="NS332" cm="1">
        <f t="array" ref="NS332">IFERROR(MAX((_xlfn.ANCHORARRAY(NN332)-AVERAGE(_xlfn.ANCHORARRAY(NN332)))/ AVERAGE(_xlfn.ANCHORARRAY(NN332))),0)</f>
        <v>0</v>
      </c>
      <c r="NV332" cm="1">
        <f t="array" ref="NV332:OE332">SUMIFS($J332:$GG332,$J$2:$GG$2,NV$3:OE$3)</f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 cm="1">
        <f t="array" ref="OF332">IFERROR(MAX((_xlfn.ANCHORARRAY(NV332)-AVERAGE(_xlfn.ANCHORARRAY(NV332)))/ AVERAGE(_xlfn.ANCHORARRAY(NV332))),0)</f>
        <v>0</v>
      </c>
      <c r="OI332" t="str">
        <f t="shared" si="87"/>
        <v/>
      </c>
    </row>
    <row r="333" spans="2:399" x14ac:dyDescent="0.3">
      <c r="B333" s="2" t="str">
        <f t="shared" si="79"/>
        <v>LLC</v>
      </c>
      <c r="C333" s="2" t="str">
        <f t="shared" si="80"/>
        <v>LLC</v>
      </c>
      <c r="D333" s="2" t="str">
        <f t="shared" si="81"/>
        <v>LLC</v>
      </c>
      <c r="E333" s="2" t="str">
        <f t="shared" si="82"/>
        <v/>
      </c>
      <c r="F333" s="2">
        <f t="shared" si="83"/>
        <v>0</v>
      </c>
      <c r="G333" s="2">
        <f t="shared" si="84"/>
        <v>0</v>
      </c>
      <c r="H333" s="2">
        <f t="shared" si="85"/>
        <v>0</v>
      </c>
      <c r="I333" s="2">
        <f t="shared" si="86"/>
        <v>0</v>
      </c>
      <c r="NH333" cm="1">
        <f t="array" ref="NH333:NJ333">SUMIFS($J333:$GG333,$J$1:$GG$1,NH$3:NJ$3)</f>
        <v>0</v>
      </c>
      <c r="NI333">
        <v>0</v>
      </c>
      <c r="NJ333">
        <v>0</v>
      </c>
      <c r="NK333" cm="1">
        <f t="array" ref="NK333">IFERROR(MAX((_xlfn.ANCHORARRAY(NH333)-AVERAGE(_xlfn.ANCHORARRAY(NH333)))/ AVERAGE(_xlfn.ANCHORARRAY(NH333))),0)</f>
        <v>0</v>
      </c>
      <c r="NN333" cm="1">
        <f t="array" ref="NN333:NR333">SUMIFS($J333:$GG333,$J$3:$GG$3,NN$3:NR$3)</f>
        <v>0</v>
      </c>
      <c r="NO333">
        <v>0</v>
      </c>
      <c r="NP333">
        <v>0</v>
      </c>
      <c r="NQ333">
        <v>0</v>
      </c>
      <c r="NR333">
        <v>0</v>
      </c>
      <c r="NS333" cm="1">
        <f t="array" ref="NS333">IFERROR(MAX((_xlfn.ANCHORARRAY(NN333)-AVERAGE(_xlfn.ANCHORARRAY(NN333)))/ AVERAGE(_xlfn.ANCHORARRAY(NN333))),0)</f>
        <v>0</v>
      </c>
      <c r="NV333" cm="1">
        <f t="array" ref="NV333:OE333">SUMIFS($J333:$GG333,$J$2:$GG$2,NV$3:OE$3)</f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 cm="1">
        <f t="array" ref="OF333">IFERROR(MAX((_xlfn.ANCHORARRAY(NV333)-AVERAGE(_xlfn.ANCHORARRAY(NV333)))/ AVERAGE(_xlfn.ANCHORARRAY(NV333))),0)</f>
        <v>0</v>
      </c>
      <c r="OI333" t="str">
        <f t="shared" si="87"/>
        <v/>
      </c>
    </row>
    <row r="334" spans="2:399" x14ac:dyDescent="0.3">
      <c r="B334" s="2" t="str">
        <f t="shared" si="79"/>
        <v>LLC</v>
      </c>
      <c r="C334" s="2" t="str">
        <f t="shared" si="80"/>
        <v>LLC</v>
      </c>
      <c r="D334" s="2" t="str">
        <f t="shared" si="81"/>
        <v>LLC</v>
      </c>
      <c r="E334" s="2" t="str">
        <f t="shared" si="82"/>
        <v/>
      </c>
      <c r="F334" s="2">
        <f t="shared" si="83"/>
        <v>0</v>
      </c>
      <c r="G334" s="2">
        <f t="shared" si="84"/>
        <v>0</v>
      </c>
      <c r="H334" s="2">
        <f t="shared" si="85"/>
        <v>0</v>
      </c>
      <c r="I334" s="2">
        <f t="shared" si="86"/>
        <v>0</v>
      </c>
      <c r="NH334" cm="1">
        <f t="array" ref="NH334:NJ334">SUMIFS($J334:$GG334,$J$1:$GG$1,NH$3:NJ$3)</f>
        <v>0</v>
      </c>
      <c r="NI334">
        <v>0</v>
      </c>
      <c r="NJ334">
        <v>0</v>
      </c>
      <c r="NK334" cm="1">
        <f t="array" ref="NK334">IFERROR(MAX((_xlfn.ANCHORARRAY(NH334)-AVERAGE(_xlfn.ANCHORARRAY(NH334)))/ AVERAGE(_xlfn.ANCHORARRAY(NH334))),0)</f>
        <v>0</v>
      </c>
      <c r="NN334" cm="1">
        <f t="array" ref="NN334:NR334">SUMIFS($J334:$GG334,$J$3:$GG$3,NN$3:NR$3)</f>
        <v>0</v>
      </c>
      <c r="NO334">
        <v>0</v>
      </c>
      <c r="NP334">
        <v>0</v>
      </c>
      <c r="NQ334">
        <v>0</v>
      </c>
      <c r="NR334">
        <v>0</v>
      </c>
      <c r="NS334" cm="1">
        <f t="array" ref="NS334">IFERROR(MAX((_xlfn.ANCHORARRAY(NN334)-AVERAGE(_xlfn.ANCHORARRAY(NN334)))/ AVERAGE(_xlfn.ANCHORARRAY(NN334))),0)</f>
        <v>0</v>
      </c>
      <c r="NV334" cm="1">
        <f t="array" ref="NV334:OE334">SUMIFS($J334:$GG334,$J$2:$GG$2,NV$3:OE$3)</f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 cm="1">
        <f t="array" ref="OF334">IFERROR(MAX((_xlfn.ANCHORARRAY(NV334)-AVERAGE(_xlfn.ANCHORARRAY(NV334)))/ AVERAGE(_xlfn.ANCHORARRAY(NV334))),0)</f>
        <v>0</v>
      </c>
      <c r="OI334" t="str">
        <f t="shared" si="87"/>
        <v/>
      </c>
    </row>
    <row r="335" spans="2:399" x14ac:dyDescent="0.3">
      <c r="B335" s="2" t="str">
        <f t="shared" si="79"/>
        <v>LLC</v>
      </c>
      <c r="C335" s="2" t="str">
        <f t="shared" si="80"/>
        <v>LLC</v>
      </c>
      <c r="D335" s="2" t="str">
        <f t="shared" si="81"/>
        <v>LLC</v>
      </c>
      <c r="E335" s="2" t="str">
        <f t="shared" si="82"/>
        <v/>
      </c>
      <c r="F335" s="2">
        <f t="shared" si="83"/>
        <v>0</v>
      </c>
      <c r="G335" s="2">
        <f t="shared" si="84"/>
        <v>0</v>
      </c>
      <c r="H335" s="2">
        <f t="shared" si="85"/>
        <v>0</v>
      </c>
      <c r="I335" s="2">
        <f t="shared" si="86"/>
        <v>0</v>
      </c>
      <c r="NH335" cm="1">
        <f t="array" ref="NH335:NJ335">SUMIFS($J335:$GG335,$J$1:$GG$1,NH$3:NJ$3)</f>
        <v>0</v>
      </c>
      <c r="NI335">
        <v>0</v>
      </c>
      <c r="NJ335">
        <v>0</v>
      </c>
      <c r="NK335" cm="1">
        <f t="array" ref="NK335">IFERROR(MAX((_xlfn.ANCHORARRAY(NH335)-AVERAGE(_xlfn.ANCHORARRAY(NH335)))/ AVERAGE(_xlfn.ANCHORARRAY(NH335))),0)</f>
        <v>0</v>
      </c>
      <c r="NN335" cm="1">
        <f t="array" ref="NN335:NR335">SUMIFS($J335:$GG335,$J$3:$GG$3,NN$3:NR$3)</f>
        <v>0</v>
      </c>
      <c r="NO335">
        <v>0</v>
      </c>
      <c r="NP335">
        <v>0</v>
      </c>
      <c r="NQ335">
        <v>0</v>
      </c>
      <c r="NR335">
        <v>0</v>
      </c>
      <c r="NS335" cm="1">
        <f t="array" ref="NS335">IFERROR(MAX((_xlfn.ANCHORARRAY(NN335)-AVERAGE(_xlfn.ANCHORARRAY(NN335)))/ AVERAGE(_xlfn.ANCHORARRAY(NN335))),0)</f>
        <v>0</v>
      </c>
      <c r="NV335" cm="1">
        <f t="array" ref="NV335:OE335">SUMIFS($J335:$GG335,$J$2:$GG$2,NV$3:OE$3)</f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 cm="1">
        <f t="array" ref="OF335">IFERROR(MAX((_xlfn.ANCHORARRAY(NV335)-AVERAGE(_xlfn.ANCHORARRAY(NV335)))/ AVERAGE(_xlfn.ANCHORARRAY(NV335))),0)</f>
        <v>0</v>
      </c>
      <c r="OI335" t="str">
        <f t="shared" si="87"/>
        <v/>
      </c>
    </row>
    <row r="336" spans="2:399" x14ac:dyDescent="0.3">
      <c r="B336" s="2" t="str">
        <f t="shared" si="79"/>
        <v>LLC</v>
      </c>
      <c r="C336" s="2" t="str">
        <f t="shared" si="80"/>
        <v>LLC</v>
      </c>
      <c r="D336" s="2" t="str">
        <f t="shared" si="81"/>
        <v>LLC</v>
      </c>
      <c r="E336" s="2" t="str">
        <f t="shared" si="82"/>
        <v/>
      </c>
      <c r="F336" s="2">
        <f t="shared" si="83"/>
        <v>0</v>
      </c>
      <c r="G336" s="2">
        <f t="shared" si="84"/>
        <v>0</v>
      </c>
      <c r="H336" s="2">
        <f t="shared" si="85"/>
        <v>0</v>
      </c>
      <c r="I336" s="2">
        <f t="shared" si="86"/>
        <v>0</v>
      </c>
      <c r="NH336" cm="1">
        <f t="array" ref="NH336:NJ336">SUMIFS($J336:$GG336,$J$1:$GG$1,NH$3:NJ$3)</f>
        <v>0</v>
      </c>
      <c r="NI336">
        <v>0</v>
      </c>
      <c r="NJ336">
        <v>0</v>
      </c>
      <c r="NK336" cm="1">
        <f t="array" ref="NK336">IFERROR(MAX((_xlfn.ANCHORARRAY(NH336)-AVERAGE(_xlfn.ANCHORARRAY(NH336)))/ AVERAGE(_xlfn.ANCHORARRAY(NH336))),0)</f>
        <v>0</v>
      </c>
      <c r="NN336" cm="1">
        <f t="array" ref="NN336:NR336">SUMIFS($J336:$GG336,$J$3:$GG$3,NN$3:NR$3)</f>
        <v>0</v>
      </c>
      <c r="NO336">
        <v>0</v>
      </c>
      <c r="NP336">
        <v>0</v>
      </c>
      <c r="NQ336">
        <v>0</v>
      </c>
      <c r="NR336">
        <v>0</v>
      </c>
      <c r="NS336" cm="1">
        <f t="array" ref="NS336">IFERROR(MAX((_xlfn.ANCHORARRAY(NN336)-AVERAGE(_xlfn.ANCHORARRAY(NN336)))/ AVERAGE(_xlfn.ANCHORARRAY(NN336))),0)</f>
        <v>0</v>
      </c>
      <c r="NV336" cm="1">
        <f t="array" ref="NV336:OE336">SUMIFS($J336:$GG336,$J$2:$GG$2,NV$3:OE$3)</f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 cm="1">
        <f t="array" ref="OF336">IFERROR(MAX((_xlfn.ANCHORARRAY(NV336)-AVERAGE(_xlfn.ANCHORARRAY(NV336)))/ AVERAGE(_xlfn.ANCHORARRAY(NV336))),0)</f>
        <v>0</v>
      </c>
      <c r="OI336" t="str">
        <f t="shared" si="87"/>
        <v/>
      </c>
    </row>
    <row r="337" spans="2:399" x14ac:dyDescent="0.3">
      <c r="B337" s="2" t="str">
        <f t="shared" si="79"/>
        <v>LLC</v>
      </c>
      <c r="C337" s="2" t="str">
        <f t="shared" si="80"/>
        <v>LLC</v>
      </c>
      <c r="D337" s="2" t="str">
        <f t="shared" si="81"/>
        <v>LLC</v>
      </c>
      <c r="E337" s="2" t="str">
        <f t="shared" si="82"/>
        <v/>
      </c>
      <c r="F337" s="2">
        <f t="shared" si="83"/>
        <v>0</v>
      </c>
      <c r="G337" s="2">
        <f t="shared" si="84"/>
        <v>0</v>
      </c>
      <c r="H337" s="2">
        <f t="shared" si="85"/>
        <v>0</v>
      </c>
      <c r="I337" s="2">
        <f t="shared" si="86"/>
        <v>0</v>
      </c>
      <c r="NH337" cm="1">
        <f t="array" ref="NH337:NJ337">SUMIFS($J337:$GG337,$J$1:$GG$1,NH$3:NJ$3)</f>
        <v>0</v>
      </c>
      <c r="NI337">
        <v>0</v>
      </c>
      <c r="NJ337">
        <v>0</v>
      </c>
      <c r="NK337" cm="1">
        <f t="array" ref="NK337">IFERROR(MAX((_xlfn.ANCHORARRAY(NH337)-AVERAGE(_xlfn.ANCHORARRAY(NH337)))/ AVERAGE(_xlfn.ANCHORARRAY(NH337))),0)</f>
        <v>0</v>
      </c>
      <c r="NN337" cm="1">
        <f t="array" ref="NN337:NR337">SUMIFS($J337:$GG337,$J$3:$GG$3,NN$3:NR$3)</f>
        <v>0</v>
      </c>
      <c r="NO337">
        <v>0</v>
      </c>
      <c r="NP337">
        <v>0</v>
      </c>
      <c r="NQ337">
        <v>0</v>
      </c>
      <c r="NR337">
        <v>0</v>
      </c>
      <c r="NS337" cm="1">
        <f t="array" ref="NS337">IFERROR(MAX((_xlfn.ANCHORARRAY(NN337)-AVERAGE(_xlfn.ANCHORARRAY(NN337)))/ AVERAGE(_xlfn.ANCHORARRAY(NN337))),0)</f>
        <v>0</v>
      </c>
      <c r="NV337" cm="1">
        <f t="array" ref="NV337:OE337">SUMIFS($J337:$GG337,$J$2:$GG$2,NV$3:OE$3)</f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 cm="1">
        <f t="array" ref="OF337">IFERROR(MAX((_xlfn.ANCHORARRAY(NV337)-AVERAGE(_xlfn.ANCHORARRAY(NV337)))/ AVERAGE(_xlfn.ANCHORARRAY(NV337))),0)</f>
        <v>0</v>
      </c>
      <c r="OI337" t="str">
        <f t="shared" si="87"/>
        <v/>
      </c>
    </row>
    <row r="338" spans="2:399" x14ac:dyDescent="0.3">
      <c r="B338" s="2" t="str">
        <f t="shared" si="79"/>
        <v>LLC</v>
      </c>
      <c r="C338" s="2" t="str">
        <f t="shared" si="80"/>
        <v>LLC</v>
      </c>
      <c r="D338" s="2" t="str">
        <f t="shared" si="81"/>
        <v>LLC</v>
      </c>
      <c r="E338" s="2" t="str">
        <f t="shared" si="82"/>
        <v/>
      </c>
      <c r="F338" s="2">
        <f t="shared" si="83"/>
        <v>0</v>
      </c>
      <c r="G338" s="2">
        <f t="shared" si="84"/>
        <v>0</v>
      </c>
      <c r="H338" s="2">
        <f t="shared" si="85"/>
        <v>0</v>
      </c>
      <c r="I338" s="2">
        <f t="shared" si="86"/>
        <v>0</v>
      </c>
      <c r="NH338" cm="1">
        <f t="array" ref="NH338:NJ338">SUMIFS($J338:$GG338,$J$1:$GG$1,NH$3:NJ$3)</f>
        <v>0</v>
      </c>
      <c r="NI338">
        <v>0</v>
      </c>
      <c r="NJ338">
        <v>0</v>
      </c>
      <c r="NK338" cm="1">
        <f t="array" ref="NK338">IFERROR(MAX((_xlfn.ANCHORARRAY(NH338)-AVERAGE(_xlfn.ANCHORARRAY(NH338)))/ AVERAGE(_xlfn.ANCHORARRAY(NH338))),0)</f>
        <v>0</v>
      </c>
      <c r="NN338" cm="1">
        <f t="array" ref="NN338:NR338">SUMIFS($J338:$GG338,$J$3:$GG$3,NN$3:NR$3)</f>
        <v>0</v>
      </c>
      <c r="NO338">
        <v>0</v>
      </c>
      <c r="NP338">
        <v>0</v>
      </c>
      <c r="NQ338">
        <v>0</v>
      </c>
      <c r="NR338">
        <v>0</v>
      </c>
      <c r="NS338" cm="1">
        <f t="array" ref="NS338">IFERROR(MAX((_xlfn.ANCHORARRAY(NN338)-AVERAGE(_xlfn.ANCHORARRAY(NN338)))/ AVERAGE(_xlfn.ANCHORARRAY(NN338))),0)</f>
        <v>0</v>
      </c>
      <c r="NV338" cm="1">
        <f t="array" ref="NV338:OE338">SUMIFS($J338:$GG338,$J$2:$GG$2,NV$3:OE$3)</f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 cm="1">
        <f t="array" ref="OF338">IFERROR(MAX((_xlfn.ANCHORARRAY(NV338)-AVERAGE(_xlfn.ANCHORARRAY(NV338)))/ AVERAGE(_xlfn.ANCHORARRAY(NV338))),0)</f>
        <v>0</v>
      </c>
      <c r="OI338" t="str">
        <f t="shared" si="87"/>
        <v/>
      </c>
    </row>
    <row r="339" spans="2:399" x14ac:dyDescent="0.3">
      <c r="B339" s="2" t="str">
        <f t="shared" si="79"/>
        <v>LLC</v>
      </c>
      <c r="C339" s="2" t="str">
        <f t="shared" si="80"/>
        <v>LLC</v>
      </c>
      <c r="D339" s="2" t="str">
        <f t="shared" si="81"/>
        <v>LLC</v>
      </c>
      <c r="E339" s="2" t="str">
        <f t="shared" si="82"/>
        <v/>
      </c>
      <c r="F339" s="2">
        <f t="shared" si="83"/>
        <v>0</v>
      </c>
      <c r="G339" s="2">
        <f t="shared" si="84"/>
        <v>0</v>
      </c>
      <c r="H339" s="2">
        <f t="shared" si="85"/>
        <v>0</v>
      </c>
      <c r="I339" s="2">
        <f t="shared" si="86"/>
        <v>0</v>
      </c>
      <c r="NH339" cm="1">
        <f t="array" ref="NH339:NJ339">SUMIFS($J339:$GG339,$J$1:$GG$1,NH$3:NJ$3)</f>
        <v>0</v>
      </c>
      <c r="NI339">
        <v>0</v>
      </c>
      <c r="NJ339">
        <v>0</v>
      </c>
      <c r="NK339" cm="1">
        <f t="array" ref="NK339">IFERROR(MAX((_xlfn.ANCHORARRAY(NH339)-AVERAGE(_xlfn.ANCHORARRAY(NH339)))/ AVERAGE(_xlfn.ANCHORARRAY(NH339))),0)</f>
        <v>0</v>
      </c>
      <c r="NN339" cm="1">
        <f t="array" ref="NN339:NR339">SUMIFS($J339:$GG339,$J$3:$GG$3,NN$3:NR$3)</f>
        <v>0</v>
      </c>
      <c r="NO339">
        <v>0</v>
      </c>
      <c r="NP339">
        <v>0</v>
      </c>
      <c r="NQ339">
        <v>0</v>
      </c>
      <c r="NR339">
        <v>0</v>
      </c>
      <c r="NS339" cm="1">
        <f t="array" ref="NS339">IFERROR(MAX((_xlfn.ANCHORARRAY(NN339)-AVERAGE(_xlfn.ANCHORARRAY(NN339)))/ AVERAGE(_xlfn.ANCHORARRAY(NN339))),0)</f>
        <v>0</v>
      </c>
      <c r="NV339" cm="1">
        <f t="array" ref="NV339:OE339">SUMIFS($J339:$GG339,$J$2:$GG$2,NV$3:OE$3)</f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 cm="1">
        <f t="array" ref="OF339">IFERROR(MAX((_xlfn.ANCHORARRAY(NV339)-AVERAGE(_xlfn.ANCHORARRAY(NV339)))/ AVERAGE(_xlfn.ANCHORARRAY(NV339))),0)</f>
        <v>0</v>
      </c>
      <c r="OI339" t="str">
        <f t="shared" si="87"/>
        <v/>
      </c>
    </row>
    <row r="340" spans="2:399" x14ac:dyDescent="0.3">
      <c r="B340" s="2" t="str">
        <f t="shared" si="79"/>
        <v>LLC</v>
      </c>
      <c r="C340" s="2" t="str">
        <f t="shared" si="80"/>
        <v>LLC</v>
      </c>
      <c r="D340" s="2" t="str">
        <f t="shared" si="81"/>
        <v>LLC</v>
      </c>
      <c r="E340" s="2" t="str">
        <f t="shared" si="82"/>
        <v/>
      </c>
      <c r="F340" s="2">
        <f t="shared" si="83"/>
        <v>0</v>
      </c>
      <c r="G340" s="2">
        <f t="shared" si="84"/>
        <v>0</v>
      </c>
      <c r="H340" s="2">
        <f t="shared" si="85"/>
        <v>0</v>
      </c>
      <c r="I340" s="2">
        <f t="shared" si="86"/>
        <v>0</v>
      </c>
      <c r="NH340" cm="1">
        <f t="array" ref="NH340:NJ340">SUMIFS($J340:$GG340,$J$1:$GG$1,NH$3:NJ$3)</f>
        <v>0</v>
      </c>
      <c r="NI340">
        <v>0</v>
      </c>
      <c r="NJ340">
        <v>0</v>
      </c>
      <c r="NK340" cm="1">
        <f t="array" ref="NK340">IFERROR(MAX((_xlfn.ANCHORARRAY(NH340)-AVERAGE(_xlfn.ANCHORARRAY(NH340)))/ AVERAGE(_xlfn.ANCHORARRAY(NH340))),0)</f>
        <v>0</v>
      </c>
      <c r="NN340" cm="1">
        <f t="array" ref="NN340:NR340">SUMIFS($J340:$GG340,$J$3:$GG$3,NN$3:NR$3)</f>
        <v>0</v>
      </c>
      <c r="NO340">
        <v>0</v>
      </c>
      <c r="NP340">
        <v>0</v>
      </c>
      <c r="NQ340">
        <v>0</v>
      </c>
      <c r="NR340">
        <v>0</v>
      </c>
      <c r="NS340" cm="1">
        <f t="array" ref="NS340">IFERROR(MAX((_xlfn.ANCHORARRAY(NN340)-AVERAGE(_xlfn.ANCHORARRAY(NN340)))/ AVERAGE(_xlfn.ANCHORARRAY(NN340))),0)</f>
        <v>0</v>
      </c>
      <c r="NV340" cm="1">
        <f t="array" ref="NV340:OE340">SUMIFS($J340:$GG340,$J$2:$GG$2,NV$3:OE$3)</f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 cm="1">
        <f t="array" ref="OF340">IFERROR(MAX((_xlfn.ANCHORARRAY(NV340)-AVERAGE(_xlfn.ANCHORARRAY(NV340)))/ AVERAGE(_xlfn.ANCHORARRAY(NV340))),0)</f>
        <v>0</v>
      </c>
      <c r="OI340" t="str">
        <f t="shared" si="87"/>
        <v/>
      </c>
    </row>
    <row r="341" spans="2:399" x14ac:dyDescent="0.3">
      <c r="B341" s="2" t="str">
        <f t="shared" si="79"/>
        <v>LLC</v>
      </c>
      <c r="C341" s="2" t="str">
        <f t="shared" si="80"/>
        <v>LLC</v>
      </c>
      <c r="D341" s="2" t="str">
        <f t="shared" si="81"/>
        <v>LLC</v>
      </c>
      <c r="E341" s="2" t="str">
        <f t="shared" si="82"/>
        <v/>
      </c>
      <c r="F341" s="2">
        <f t="shared" si="83"/>
        <v>0</v>
      </c>
      <c r="G341" s="2">
        <f t="shared" si="84"/>
        <v>0</v>
      </c>
      <c r="H341" s="2">
        <f t="shared" si="85"/>
        <v>0</v>
      </c>
      <c r="I341" s="2">
        <f t="shared" si="86"/>
        <v>0</v>
      </c>
      <c r="NH341" cm="1">
        <f t="array" ref="NH341:NJ341">SUMIFS($J341:$GG341,$J$1:$GG$1,NH$3:NJ$3)</f>
        <v>0</v>
      </c>
      <c r="NI341">
        <v>0</v>
      </c>
      <c r="NJ341">
        <v>0</v>
      </c>
      <c r="NK341" cm="1">
        <f t="array" ref="NK341">IFERROR(MAX((_xlfn.ANCHORARRAY(NH341)-AVERAGE(_xlfn.ANCHORARRAY(NH341)))/ AVERAGE(_xlfn.ANCHORARRAY(NH341))),0)</f>
        <v>0</v>
      </c>
      <c r="NN341" cm="1">
        <f t="array" ref="NN341:NR341">SUMIFS($J341:$GG341,$J$3:$GG$3,NN$3:NR$3)</f>
        <v>0</v>
      </c>
      <c r="NO341">
        <v>0</v>
      </c>
      <c r="NP341">
        <v>0</v>
      </c>
      <c r="NQ341">
        <v>0</v>
      </c>
      <c r="NR341">
        <v>0</v>
      </c>
      <c r="NS341" cm="1">
        <f t="array" ref="NS341">IFERROR(MAX((_xlfn.ANCHORARRAY(NN341)-AVERAGE(_xlfn.ANCHORARRAY(NN341)))/ AVERAGE(_xlfn.ANCHORARRAY(NN341))),0)</f>
        <v>0</v>
      </c>
      <c r="NV341" cm="1">
        <f t="array" ref="NV341:OE341">SUMIFS($J341:$GG341,$J$2:$GG$2,NV$3:OE$3)</f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 cm="1">
        <f t="array" ref="OF341">IFERROR(MAX((_xlfn.ANCHORARRAY(NV341)-AVERAGE(_xlfn.ANCHORARRAY(NV341)))/ AVERAGE(_xlfn.ANCHORARRAY(NV341))),0)</f>
        <v>0</v>
      </c>
      <c r="OI341" t="str">
        <f t="shared" si="87"/>
        <v/>
      </c>
    </row>
    <row r="342" spans="2:399" x14ac:dyDescent="0.3">
      <c r="B342" s="2" t="str">
        <f t="shared" si="79"/>
        <v>LLC</v>
      </c>
      <c r="C342" s="2" t="str">
        <f t="shared" si="80"/>
        <v>LLC</v>
      </c>
      <c r="D342" s="2" t="str">
        <f t="shared" si="81"/>
        <v>LLC</v>
      </c>
      <c r="E342" s="2" t="str">
        <f t="shared" si="82"/>
        <v/>
      </c>
      <c r="F342" s="2">
        <f t="shared" si="83"/>
        <v>0</v>
      </c>
      <c r="G342" s="2">
        <f t="shared" si="84"/>
        <v>0</v>
      </c>
      <c r="H342" s="2">
        <f t="shared" si="85"/>
        <v>0</v>
      </c>
      <c r="I342" s="2">
        <f t="shared" si="86"/>
        <v>0</v>
      </c>
      <c r="NH342" cm="1">
        <f t="array" ref="NH342:NJ342">SUMIFS($J342:$GG342,$J$1:$GG$1,NH$3:NJ$3)</f>
        <v>0</v>
      </c>
      <c r="NI342">
        <v>0</v>
      </c>
      <c r="NJ342">
        <v>0</v>
      </c>
      <c r="NK342" cm="1">
        <f t="array" ref="NK342">IFERROR(MAX((_xlfn.ANCHORARRAY(NH342)-AVERAGE(_xlfn.ANCHORARRAY(NH342)))/ AVERAGE(_xlfn.ANCHORARRAY(NH342))),0)</f>
        <v>0</v>
      </c>
      <c r="NN342" cm="1">
        <f t="array" ref="NN342:NR342">SUMIFS($J342:$GG342,$J$3:$GG$3,NN$3:NR$3)</f>
        <v>0</v>
      </c>
      <c r="NO342">
        <v>0</v>
      </c>
      <c r="NP342">
        <v>0</v>
      </c>
      <c r="NQ342">
        <v>0</v>
      </c>
      <c r="NR342">
        <v>0</v>
      </c>
      <c r="NS342" cm="1">
        <f t="array" ref="NS342">IFERROR(MAX((_xlfn.ANCHORARRAY(NN342)-AVERAGE(_xlfn.ANCHORARRAY(NN342)))/ AVERAGE(_xlfn.ANCHORARRAY(NN342))),0)</f>
        <v>0</v>
      </c>
      <c r="NV342" cm="1">
        <f t="array" ref="NV342:OE342">SUMIFS($J342:$GG342,$J$2:$GG$2,NV$3:OE$3)</f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 cm="1">
        <f t="array" ref="OF342">IFERROR(MAX((_xlfn.ANCHORARRAY(NV342)-AVERAGE(_xlfn.ANCHORARRAY(NV342)))/ AVERAGE(_xlfn.ANCHORARRAY(NV342))),0)</f>
        <v>0</v>
      </c>
      <c r="OI342" t="str">
        <f t="shared" si="87"/>
        <v/>
      </c>
    </row>
    <row r="343" spans="2:399" x14ac:dyDescent="0.3">
      <c r="B343" s="2" t="str">
        <f t="shared" si="79"/>
        <v>LLC</v>
      </c>
      <c r="C343" s="2" t="str">
        <f t="shared" si="80"/>
        <v>LLC</v>
      </c>
      <c r="D343" s="2" t="str">
        <f t="shared" si="81"/>
        <v>LLC</v>
      </c>
      <c r="E343" s="2" t="str">
        <f t="shared" si="82"/>
        <v/>
      </c>
      <c r="F343" s="2">
        <f t="shared" si="83"/>
        <v>0</v>
      </c>
      <c r="G343" s="2">
        <f t="shared" si="84"/>
        <v>0</v>
      </c>
      <c r="H343" s="2">
        <f t="shared" si="85"/>
        <v>0</v>
      </c>
      <c r="I343" s="2">
        <f t="shared" si="86"/>
        <v>0</v>
      </c>
      <c r="NH343" cm="1">
        <f t="array" ref="NH343:NJ343">SUMIFS($J343:$GG343,$J$1:$GG$1,NH$3:NJ$3)</f>
        <v>0</v>
      </c>
      <c r="NI343">
        <v>0</v>
      </c>
      <c r="NJ343">
        <v>0</v>
      </c>
      <c r="NK343" cm="1">
        <f t="array" ref="NK343">IFERROR(MAX((_xlfn.ANCHORARRAY(NH343)-AVERAGE(_xlfn.ANCHORARRAY(NH343)))/ AVERAGE(_xlfn.ANCHORARRAY(NH343))),0)</f>
        <v>0</v>
      </c>
      <c r="NN343" cm="1">
        <f t="array" ref="NN343:NR343">SUMIFS($J343:$GG343,$J$3:$GG$3,NN$3:NR$3)</f>
        <v>0</v>
      </c>
      <c r="NO343">
        <v>0</v>
      </c>
      <c r="NP343">
        <v>0</v>
      </c>
      <c r="NQ343">
        <v>0</v>
      </c>
      <c r="NR343">
        <v>0</v>
      </c>
      <c r="NS343" cm="1">
        <f t="array" ref="NS343">IFERROR(MAX((_xlfn.ANCHORARRAY(NN343)-AVERAGE(_xlfn.ANCHORARRAY(NN343)))/ AVERAGE(_xlfn.ANCHORARRAY(NN343))),0)</f>
        <v>0</v>
      </c>
      <c r="NV343" cm="1">
        <f t="array" ref="NV343:OE343">SUMIFS($J343:$GG343,$J$2:$GG$2,NV$3:OE$3)</f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 cm="1">
        <f t="array" ref="OF343">IFERROR(MAX((_xlfn.ANCHORARRAY(NV343)-AVERAGE(_xlfn.ANCHORARRAY(NV343)))/ AVERAGE(_xlfn.ANCHORARRAY(NV343))),0)</f>
        <v>0</v>
      </c>
      <c r="OI343" t="str">
        <f t="shared" si="87"/>
        <v/>
      </c>
    </row>
    <row r="344" spans="2:399" x14ac:dyDescent="0.3">
      <c r="B344" s="2" t="str">
        <f t="shared" si="79"/>
        <v>LLC</v>
      </c>
      <c r="C344" s="2" t="str">
        <f t="shared" si="80"/>
        <v>LLC</v>
      </c>
      <c r="D344" s="2" t="str">
        <f t="shared" si="81"/>
        <v>LLC</v>
      </c>
      <c r="E344" s="2" t="str">
        <f t="shared" si="82"/>
        <v/>
      </c>
      <c r="F344" s="2">
        <f t="shared" si="83"/>
        <v>0</v>
      </c>
      <c r="G344" s="2">
        <f t="shared" si="84"/>
        <v>0</v>
      </c>
      <c r="H344" s="2">
        <f t="shared" si="85"/>
        <v>0</v>
      </c>
      <c r="I344" s="2">
        <f t="shared" si="86"/>
        <v>0</v>
      </c>
      <c r="NH344" cm="1">
        <f t="array" ref="NH344:NJ344">SUMIFS($J344:$GG344,$J$1:$GG$1,NH$3:NJ$3)</f>
        <v>0</v>
      </c>
      <c r="NI344">
        <v>0</v>
      </c>
      <c r="NJ344">
        <v>0</v>
      </c>
      <c r="NK344" cm="1">
        <f t="array" ref="NK344">IFERROR(MAX((_xlfn.ANCHORARRAY(NH344)-AVERAGE(_xlfn.ANCHORARRAY(NH344)))/ AVERAGE(_xlfn.ANCHORARRAY(NH344))),0)</f>
        <v>0</v>
      </c>
      <c r="NN344" cm="1">
        <f t="array" ref="NN344:NR344">SUMIFS($J344:$GG344,$J$3:$GG$3,NN$3:NR$3)</f>
        <v>0</v>
      </c>
      <c r="NO344">
        <v>0</v>
      </c>
      <c r="NP344">
        <v>0</v>
      </c>
      <c r="NQ344">
        <v>0</v>
      </c>
      <c r="NR344">
        <v>0</v>
      </c>
      <c r="NS344" cm="1">
        <f t="array" ref="NS344">IFERROR(MAX((_xlfn.ANCHORARRAY(NN344)-AVERAGE(_xlfn.ANCHORARRAY(NN344)))/ AVERAGE(_xlfn.ANCHORARRAY(NN344))),0)</f>
        <v>0</v>
      </c>
      <c r="NV344" cm="1">
        <f t="array" ref="NV344:OE344">SUMIFS($J344:$GG344,$J$2:$GG$2,NV$3:OE$3)</f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 cm="1">
        <f t="array" ref="OF344">IFERROR(MAX((_xlfn.ANCHORARRAY(NV344)-AVERAGE(_xlfn.ANCHORARRAY(NV344)))/ AVERAGE(_xlfn.ANCHORARRAY(NV344))),0)</f>
        <v>0</v>
      </c>
      <c r="OI344" t="str">
        <f t="shared" si="87"/>
        <v/>
      </c>
    </row>
    <row r="345" spans="2:399" x14ac:dyDescent="0.3">
      <c r="B345" s="2" t="str">
        <f t="shared" ref="B345:B359" si="88">IF(C345="NotFound",D345,C345)</f>
        <v>LLC</v>
      </c>
      <c r="C345" s="2" t="str">
        <f t="shared" ref="C345:C359" si="89">IF(H345&gt;1,"NotFound","LLC"&amp;_xlfn.XLOOKUP(MAX(J345:GG345,1),J345:GG345,$J$4:$GG$4,""))</f>
        <v>LLC</v>
      </c>
      <c r="D345" s="2" t="str">
        <f t="shared" ref="D345:D359" si="90">IF(F345&gt;1,"NotFound","LLC"&amp;_xlfn.XLOOKUP(MAX(GI345:NF345,1),GI345:NF345,$GI$4:$NF$4,""))</f>
        <v>LLC</v>
      </c>
      <c r="E345" s="2" t="str">
        <f t="shared" ref="E345:E359" si="91">OI345</f>
        <v/>
      </c>
      <c r="F345" s="2">
        <f t="shared" ref="F345:F359" si="92">COUNTIF(GI345:NF345,G345)</f>
        <v>0</v>
      </c>
      <c r="G345" s="2">
        <f t="shared" ref="G345:G359" si="93">MAX(GI345:NF345)</f>
        <v>0</v>
      </c>
      <c r="H345" s="2">
        <f t="shared" ref="H345:H359" si="94">COUNTIF(J345:GG345,I345)</f>
        <v>0</v>
      </c>
      <c r="I345" s="2">
        <f t="shared" ref="I345:I359" si="95">MAX(J345:GG345)</f>
        <v>0</v>
      </c>
      <c r="NH345" cm="1">
        <f t="array" ref="NH345:NJ345">SUMIFS($J345:$GG345,$J$1:$GG$1,NH$3:NJ$3)</f>
        <v>0</v>
      </c>
      <c r="NI345">
        <v>0</v>
      </c>
      <c r="NJ345">
        <v>0</v>
      </c>
      <c r="NK345" cm="1">
        <f t="array" ref="NK345">IFERROR(MAX((_xlfn.ANCHORARRAY(NH345)-AVERAGE(_xlfn.ANCHORARRAY(NH345)))/ AVERAGE(_xlfn.ANCHORARRAY(NH345))),0)</f>
        <v>0</v>
      </c>
      <c r="NN345" cm="1">
        <f t="array" ref="NN345:NR345">SUMIFS($J345:$GG345,$J$3:$GG$3,NN$3:NR$3)</f>
        <v>0</v>
      </c>
      <c r="NO345">
        <v>0</v>
      </c>
      <c r="NP345">
        <v>0</v>
      </c>
      <c r="NQ345">
        <v>0</v>
      </c>
      <c r="NR345">
        <v>0</v>
      </c>
      <c r="NS345" cm="1">
        <f t="array" ref="NS345">IFERROR(MAX((_xlfn.ANCHORARRAY(NN345)-AVERAGE(_xlfn.ANCHORARRAY(NN345)))/ AVERAGE(_xlfn.ANCHORARRAY(NN345))),0)</f>
        <v>0</v>
      </c>
      <c r="NV345" cm="1">
        <f t="array" ref="NV345:OE345">SUMIFS($J345:$GG345,$J$2:$GG$2,NV$3:OE$3)</f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 cm="1">
        <f t="array" ref="OF345">IFERROR(MAX((_xlfn.ANCHORARRAY(NV345)-AVERAGE(_xlfn.ANCHORARRAY(NV345)))/ AVERAGE(_xlfn.ANCHORARRAY(NV345))),0)</f>
        <v>0</v>
      </c>
      <c r="OI345" t="str">
        <f t="shared" ref="OI345:OI359" si="96">_xlfn.TEXTJOIN(" : ",,NL345,NT345,OG345)</f>
        <v/>
      </c>
    </row>
    <row r="346" spans="2:399" x14ac:dyDescent="0.3">
      <c r="B346" s="2" t="str">
        <f t="shared" si="88"/>
        <v>LLC</v>
      </c>
      <c r="C346" s="2" t="str">
        <f t="shared" si="89"/>
        <v>LLC</v>
      </c>
      <c r="D346" s="2" t="str">
        <f t="shared" si="90"/>
        <v>LLC</v>
      </c>
      <c r="E346" s="2" t="str">
        <f t="shared" si="91"/>
        <v/>
      </c>
      <c r="F346" s="2">
        <f t="shared" si="92"/>
        <v>0</v>
      </c>
      <c r="G346" s="2">
        <f t="shared" si="93"/>
        <v>0</v>
      </c>
      <c r="H346" s="2">
        <f t="shared" si="94"/>
        <v>0</v>
      </c>
      <c r="I346" s="2">
        <f t="shared" si="95"/>
        <v>0</v>
      </c>
      <c r="NH346" cm="1">
        <f t="array" ref="NH346:NJ346">SUMIFS($J346:$GG346,$J$1:$GG$1,NH$3:NJ$3)</f>
        <v>0</v>
      </c>
      <c r="NI346">
        <v>0</v>
      </c>
      <c r="NJ346">
        <v>0</v>
      </c>
      <c r="NK346" cm="1">
        <f t="array" ref="NK346">IFERROR(MAX((_xlfn.ANCHORARRAY(NH346)-AVERAGE(_xlfn.ANCHORARRAY(NH346)))/ AVERAGE(_xlfn.ANCHORARRAY(NH346))),0)</f>
        <v>0</v>
      </c>
      <c r="NN346" cm="1">
        <f t="array" ref="NN346:NR346">SUMIFS($J346:$GG346,$J$3:$GG$3,NN$3:NR$3)</f>
        <v>0</v>
      </c>
      <c r="NO346">
        <v>0</v>
      </c>
      <c r="NP346">
        <v>0</v>
      </c>
      <c r="NQ346">
        <v>0</v>
      </c>
      <c r="NR346">
        <v>0</v>
      </c>
      <c r="NS346" cm="1">
        <f t="array" ref="NS346">IFERROR(MAX((_xlfn.ANCHORARRAY(NN346)-AVERAGE(_xlfn.ANCHORARRAY(NN346)))/ AVERAGE(_xlfn.ANCHORARRAY(NN346))),0)</f>
        <v>0</v>
      </c>
      <c r="NV346" cm="1">
        <f t="array" ref="NV346:OE346">SUMIFS($J346:$GG346,$J$2:$GG$2,NV$3:OE$3)</f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 cm="1">
        <f t="array" ref="OF346">IFERROR(MAX((_xlfn.ANCHORARRAY(NV346)-AVERAGE(_xlfn.ANCHORARRAY(NV346)))/ AVERAGE(_xlfn.ANCHORARRAY(NV346))),0)</f>
        <v>0</v>
      </c>
      <c r="OI346" t="str">
        <f t="shared" si="96"/>
        <v/>
      </c>
    </row>
    <row r="347" spans="2:399" x14ac:dyDescent="0.3">
      <c r="B347" s="2" t="str">
        <f t="shared" si="88"/>
        <v>LLC</v>
      </c>
      <c r="C347" s="2" t="str">
        <f t="shared" si="89"/>
        <v>LLC</v>
      </c>
      <c r="D347" s="2" t="str">
        <f t="shared" si="90"/>
        <v>LLC</v>
      </c>
      <c r="E347" s="2" t="str">
        <f t="shared" si="91"/>
        <v/>
      </c>
      <c r="F347" s="2">
        <f t="shared" si="92"/>
        <v>0</v>
      </c>
      <c r="G347" s="2">
        <f t="shared" si="93"/>
        <v>0</v>
      </c>
      <c r="H347" s="2">
        <f t="shared" si="94"/>
        <v>0</v>
      </c>
      <c r="I347" s="2">
        <f t="shared" si="95"/>
        <v>0</v>
      </c>
      <c r="NH347" cm="1">
        <f t="array" ref="NH347:NJ347">SUMIFS($J347:$GG347,$J$1:$GG$1,NH$3:NJ$3)</f>
        <v>0</v>
      </c>
      <c r="NI347">
        <v>0</v>
      </c>
      <c r="NJ347">
        <v>0</v>
      </c>
      <c r="NK347" cm="1">
        <f t="array" ref="NK347">IFERROR(MAX((_xlfn.ANCHORARRAY(NH347)-AVERAGE(_xlfn.ANCHORARRAY(NH347)))/ AVERAGE(_xlfn.ANCHORARRAY(NH347))),0)</f>
        <v>0</v>
      </c>
      <c r="NN347" cm="1">
        <f t="array" ref="NN347:NR347">SUMIFS($J347:$GG347,$J$3:$GG$3,NN$3:NR$3)</f>
        <v>0</v>
      </c>
      <c r="NO347">
        <v>0</v>
      </c>
      <c r="NP347">
        <v>0</v>
      </c>
      <c r="NQ347">
        <v>0</v>
      </c>
      <c r="NR347">
        <v>0</v>
      </c>
      <c r="NS347" cm="1">
        <f t="array" ref="NS347">IFERROR(MAX((_xlfn.ANCHORARRAY(NN347)-AVERAGE(_xlfn.ANCHORARRAY(NN347)))/ AVERAGE(_xlfn.ANCHORARRAY(NN347))),0)</f>
        <v>0</v>
      </c>
      <c r="NV347" cm="1">
        <f t="array" ref="NV347:OE347">SUMIFS($J347:$GG347,$J$2:$GG$2,NV$3:OE$3)</f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 cm="1">
        <f t="array" ref="OF347">IFERROR(MAX((_xlfn.ANCHORARRAY(NV347)-AVERAGE(_xlfn.ANCHORARRAY(NV347)))/ AVERAGE(_xlfn.ANCHORARRAY(NV347))),0)</f>
        <v>0</v>
      </c>
      <c r="OI347" t="str">
        <f t="shared" si="96"/>
        <v/>
      </c>
    </row>
    <row r="348" spans="2:399" x14ac:dyDescent="0.3">
      <c r="B348" s="2" t="str">
        <f t="shared" si="88"/>
        <v>LLC</v>
      </c>
      <c r="C348" s="2" t="str">
        <f t="shared" si="89"/>
        <v>LLC</v>
      </c>
      <c r="D348" s="2" t="str">
        <f t="shared" si="90"/>
        <v>LLC</v>
      </c>
      <c r="E348" s="2" t="str">
        <f t="shared" si="91"/>
        <v/>
      </c>
      <c r="F348" s="2">
        <f t="shared" si="92"/>
        <v>0</v>
      </c>
      <c r="G348" s="2">
        <f t="shared" si="93"/>
        <v>0</v>
      </c>
      <c r="H348" s="2">
        <f t="shared" si="94"/>
        <v>0</v>
      </c>
      <c r="I348" s="2">
        <f t="shared" si="95"/>
        <v>0</v>
      </c>
      <c r="NH348" cm="1">
        <f t="array" ref="NH348:NJ348">SUMIFS($J348:$GG348,$J$1:$GG$1,NH$3:NJ$3)</f>
        <v>0</v>
      </c>
      <c r="NI348">
        <v>0</v>
      </c>
      <c r="NJ348">
        <v>0</v>
      </c>
      <c r="NK348" cm="1">
        <f t="array" ref="NK348">IFERROR(MAX((_xlfn.ANCHORARRAY(NH348)-AVERAGE(_xlfn.ANCHORARRAY(NH348)))/ AVERAGE(_xlfn.ANCHORARRAY(NH348))),0)</f>
        <v>0</v>
      </c>
      <c r="NN348" cm="1">
        <f t="array" ref="NN348:NR348">SUMIFS($J348:$GG348,$J$3:$GG$3,NN$3:NR$3)</f>
        <v>0</v>
      </c>
      <c r="NO348">
        <v>0</v>
      </c>
      <c r="NP348">
        <v>0</v>
      </c>
      <c r="NQ348">
        <v>0</v>
      </c>
      <c r="NR348">
        <v>0</v>
      </c>
      <c r="NS348" cm="1">
        <f t="array" ref="NS348">IFERROR(MAX((_xlfn.ANCHORARRAY(NN348)-AVERAGE(_xlfn.ANCHORARRAY(NN348)))/ AVERAGE(_xlfn.ANCHORARRAY(NN348))),0)</f>
        <v>0</v>
      </c>
      <c r="NV348" cm="1">
        <f t="array" ref="NV348:OE348">SUMIFS($J348:$GG348,$J$2:$GG$2,NV$3:OE$3)</f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 cm="1">
        <f t="array" ref="OF348">IFERROR(MAX((_xlfn.ANCHORARRAY(NV348)-AVERAGE(_xlfn.ANCHORARRAY(NV348)))/ AVERAGE(_xlfn.ANCHORARRAY(NV348))),0)</f>
        <v>0</v>
      </c>
      <c r="OI348" t="str">
        <f t="shared" si="96"/>
        <v/>
      </c>
    </row>
    <row r="349" spans="2:399" x14ac:dyDescent="0.3">
      <c r="B349" s="2" t="str">
        <f t="shared" si="88"/>
        <v>LLC</v>
      </c>
      <c r="C349" s="2" t="str">
        <f t="shared" si="89"/>
        <v>LLC</v>
      </c>
      <c r="D349" s="2" t="str">
        <f t="shared" si="90"/>
        <v>LLC</v>
      </c>
      <c r="E349" s="2" t="str">
        <f t="shared" si="91"/>
        <v/>
      </c>
      <c r="F349" s="2">
        <f t="shared" si="92"/>
        <v>0</v>
      </c>
      <c r="G349" s="2">
        <f t="shared" si="93"/>
        <v>0</v>
      </c>
      <c r="H349" s="2">
        <f t="shared" si="94"/>
        <v>0</v>
      </c>
      <c r="I349" s="2">
        <f t="shared" si="95"/>
        <v>0</v>
      </c>
      <c r="NH349" cm="1">
        <f t="array" ref="NH349:NJ349">SUMIFS($J349:$GG349,$J$1:$GG$1,NH$3:NJ$3)</f>
        <v>0</v>
      </c>
      <c r="NI349">
        <v>0</v>
      </c>
      <c r="NJ349">
        <v>0</v>
      </c>
      <c r="NK349" cm="1">
        <f t="array" ref="NK349">IFERROR(MAX((_xlfn.ANCHORARRAY(NH349)-AVERAGE(_xlfn.ANCHORARRAY(NH349)))/ AVERAGE(_xlfn.ANCHORARRAY(NH349))),0)</f>
        <v>0</v>
      </c>
      <c r="NN349" cm="1">
        <f t="array" ref="NN349:NR349">SUMIFS($J349:$GG349,$J$3:$GG$3,NN$3:NR$3)</f>
        <v>0</v>
      </c>
      <c r="NO349">
        <v>0</v>
      </c>
      <c r="NP349">
        <v>0</v>
      </c>
      <c r="NQ349">
        <v>0</v>
      </c>
      <c r="NR349">
        <v>0</v>
      </c>
      <c r="NS349" cm="1">
        <f t="array" ref="NS349">IFERROR(MAX((_xlfn.ANCHORARRAY(NN349)-AVERAGE(_xlfn.ANCHORARRAY(NN349)))/ AVERAGE(_xlfn.ANCHORARRAY(NN349))),0)</f>
        <v>0</v>
      </c>
      <c r="NV349" cm="1">
        <f t="array" ref="NV349:OE349">SUMIFS($J349:$GG349,$J$2:$GG$2,NV$3:OE$3)</f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 cm="1">
        <f t="array" ref="OF349">IFERROR(MAX((_xlfn.ANCHORARRAY(NV349)-AVERAGE(_xlfn.ANCHORARRAY(NV349)))/ AVERAGE(_xlfn.ANCHORARRAY(NV349))),0)</f>
        <v>0</v>
      </c>
      <c r="OI349" t="str">
        <f t="shared" si="96"/>
        <v/>
      </c>
    </row>
    <row r="350" spans="2:399" x14ac:dyDescent="0.3">
      <c r="B350" s="2" t="str">
        <f t="shared" si="88"/>
        <v>LLC</v>
      </c>
      <c r="C350" s="2" t="str">
        <f t="shared" si="89"/>
        <v>LLC</v>
      </c>
      <c r="D350" s="2" t="str">
        <f t="shared" si="90"/>
        <v>LLC</v>
      </c>
      <c r="E350" s="2" t="str">
        <f t="shared" si="91"/>
        <v/>
      </c>
      <c r="F350" s="2">
        <f t="shared" si="92"/>
        <v>0</v>
      </c>
      <c r="G350" s="2">
        <f t="shared" si="93"/>
        <v>0</v>
      </c>
      <c r="H350" s="2">
        <f t="shared" si="94"/>
        <v>0</v>
      </c>
      <c r="I350" s="2">
        <f t="shared" si="95"/>
        <v>0</v>
      </c>
      <c r="NH350" cm="1">
        <f t="array" ref="NH350:NJ350">SUMIFS($J350:$GG350,$J$1:$GG$1,NH$3:NJ$3)</f>
        <v>0</v>
      </c>
      <c r="NI350">
        <v>0</v>
      </c>
      <c r="NJ350">
        <v>0</v>
      </c>
      <c r="NK350" cm="1">
        <f t="array" ref="NK350">IFERROR(MAX((_xlfn.ANCHORARRAY(NH350)-AVERAGE(_xlfn.ANCHORARRAY(NH350)))/ AVERAGE(_xlfn.ANCHORARRAY(NH350))),0)</f>
        <v>0</v>
      </c>
      <c r="NN350" cm="1">
        <f t="array" ref="NN350:NR350">SUMIFS($J350:$GG350,$J$3:$GG$3,NN$3:NR$3)</f>
        <v>0</v>
      </c>
      <c r="NO350">
        <v>0</v>
      </c>
      <c r="NP350">
        <v>0</v>
      </c>
      <c r="NQ350">
        <v>0</v>
      </c>
      <c r="NR350">
        <v>0</v>
      </c>
      <c r="NS350" cm="1">
        <f t="array" ref="NS350">IFERROR(MAX((_xlfn.ANCHORARRAY(NN350)-AVERAGE(_xlfn.ANCHORARRAY(NN350)))/ AVERAGE(_xlfn.ANCHORARRAY(NN350))),0)</f>
        <v>0</v>
      </c>
      <c r="NV350" cm="1">
        <f t="array" ref="NV350:OE350">SUMIFS($J350:$GG350,$J$2:$GG$2,NV$3:OE$3)</f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 cm="1">
        <f t="array" ref="OF350">IFERROR(MAX((_xlfn.ANCHORARRAY(NV350)-AVERAGE(_xlfn.ANCHORARRAY(NV350)))/ AVERAGE(_xlfn.ANCHORARRAY(NV350))),0)</f>
        <v>0</v>
      </c>
      <c r="OI350" t="str">
        <f t="shared" si="96"/>
        <v/>
      </c>
    </row>
    <row r="351" spans="2:399" x14ac:dyDescent="0.3">
      <c r="B351" s="2" t="str">
        <f t="shared" si="88"/>
        <v>LLC</v>
      </c>
      <c r="C351" s="2" t="str">
        <f t="shared" si="89"/>
        <v>LLC</v>
      </c>
      <c r="D351" s="2" t="str">
        <f t="shared" si="90"/>
        <v>LLC</v>
      </c>
      <c r="E351" s="2" t="str">
        <f t="shared" si="91"/>
        <v/>
      </c>
      <c r="F351" s="2">
        <f t="shared" si="92"/>
        <v>0</v>
      </c>
      <c r="G351" s="2">
        <f t="shared" si="93"/>
        <v>0</v>
      </c>
      <c r="H351" s="2">
        <f t="shared" si="94"/>
        <v>0</v>
      </c>
      <c r="I351" s="2">
        <f t="shared" si="95"/>
        <v>0</v>
      </c>
      <c r="NH351" cm="1">
        <f t="array" ref="NH351:NJ351">SUMIFS($J351:$GG351,$J$1:$GG$1,NH$3:NJ$3)</f>
        <v>0</v>
      </c>
      <c r="NI351">
        <v>0</v>
      </c>
      <c r="NJ351">
        <v>0</v>
      </c>
      <c r="NK351" cm="1">
        <f t="array" ref="NK351">IFERROR(MAX((_xlfn.ANCHORARRAY(NH351)-AVERAGE(_xlfn.ANCHORARRAY(NH351)))/ AVERAGE(_xlfn.ANCHORARRAY(NH351))),0)</f>
        <v>0</v>
      </c>
      <c r="NN351" cm="1">
        <f t="array" ref="NN351:NR351">SUMIFS($J351:$GG351,$J$3:$GG$3,NN$3:NR$3)</f>
        <v>0</v>
      </c>
      <c r="NO351">
        <v>0</v>
      </c>
      <c r="NP351">
        <v>0</v>
      </c>
      <c r="NQ351">
        <v>0</v>
      </c>
      <c r="NR351">
        <v>0</v>
      </c>
      <c r="NS351" cm="1">
        <f t="array" ref="NS351">IFERROR(MAX((_xlfn.ANCHORARRAY(NN351)-AVERAGE(_xlfn.ANCHORARRAY(NN351)))/ AVERAGE(_xlfn.ANCHORARRAY(NN351))),0)</f>
        <v>0</v>
      </c>
      <c r="NV351" cm="1">
        <f t="array" ref="NV351:OE351">SUMIFS($J351:$GG351,$J$2:$GG$2,NV$3:OE$3)</f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 cm="1">
        <f t="array" ref="OF351">IFERROR(MAX((_xlfn.ANCHORARRAY(NV351)-AVERAGE(_xlfn.ANCHORARRAY(NV351)))/ AVERAGE(_xlfn.ANCHORARRAY(NV351))),0)</f>
        <v>0</v>
      </c>
      <c r="OI351" t="str">
        <f t="shared" si="96"/>
        <v/>
      </c>
    </row>
    <row r="352" spans="2:399" x14ac:dyDescent="0.3">
      <c r="B352" s="2" t="str">
        <f t="shared" si="88"/>
        <v>LLC</v>
      </c>
      <c r="C352" s="2" t="str">
        <f t="shared" si="89"/>
        <v>LLC</v>
      </c>
      <c r="D352" s="2" t="str">
        <f t="shared" si="90"/>
        <v>LLC</v>
      </c>
      <c r="E352" s="2" t="str">
        <f t="shared" si="91"/>
        <v/>
      </c>
      <c r="F352" s="2">
        <f t="shared" si="92"/>
        <v>0</v>
      </c>
      <c r="G352" s="2">
        <f t="shared" si="93"/>
        <v>0</v>
      </c>
      <c r="H352" s="2">
        <f t="shared" si="94"/>
        <v>0</v>
      </c>
      <c r="I352" s="2">
        <f t="shared" si="95"/>
        <v>0</v>
      </c>
      <c r="NH352" cm="1">
        <f t="array" ref="NH352:NJ352">SUMIFS($J352:$GG352,$J$1:$GG$1,NH$3:NJ$3)</f>
        <v>0</v>
      </c>
      <c r="NI352">
        <v>0</v>
      </c>
      <c r="NJ352">
        <v>0</v>
      </c>
      <c r="NK352" cm="1">
        <f t="array" ref="NK352">IFERROR(MAX((_xlfn.ANCHORARRAY(NH352)-AVERAGE(_xlfn.ANCHORARRAY(NH352)))/ AVERAGE(_xlfn.ANCHORARRAY(NH352))),0)</f>
        <v>0</v>
      </c>
      <c r="NN352" cm="1">
        <f t="array" ref="NN352:NR352">SUMIFS($J352:$GG352,$J$3:$GG$3,NN$3:NR$3)</f>
        <v>0</v>
      </c>
      <c r="NO352">
        <v>0</v>
      </c>
      <c r="NP352">
        <v>0</v>
      </c>
      <c r="NQ352">
        <v>0</v>
      </c>
      <c r="NR352">
        <v>0</v>
      </c>
      <c r="NS352" cm="1">
        <f t="array" ref="NS352">IFERROR(MAX((_xlfn.ANCHORARRAY(NN352)-AVERAGE(_xlfn.ANCHORARRAY(NN352)))/ AVERAGE(_xlfn.ANCHORARRAY(NN352))),0)</f>
        <v>0</v>
      </c>
      <c r="NV352" cm="1">
        <f t="array" ref="NV352:OE352">SUMIFS($J352:$GG352,$J$2:$GG$2,NV$3:OE$3)</f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 cm="1">
        <f t="array" ref="OF352">IFERROR(MAX((_xlfn.ANCHORARRAY(NV352)-AVERAGE(_xlfn.ANCHORARRAY(NV352)))/ AVERAGE(_xlfn.ANCHORARRAY(NV352))),0)</f>
        <v>0</v>
      </c>
      <c r="OI352" t="str">
        <f t="shared" si="96"/>
        <v/>
      </c>
    </row>
    <row r="353" spans="2:399" x14ac:dyDescent="0.3">
      <c r="B353" s="2" t="str">
        <f t="shared" si="88"/>
        <v>LLC</v>
      </c>
      <c r="C353" s="2" t="str">
        <f t="shared" si="89"/>
        <v>LLC</v>
      </c>
      <c r="D353" s="2" t="str">
        <f t="shared" si="90"/>
        <v>LLC</v>
      </c>
      <c r="E353" s="2" t="str">
        <f t="shared" si="91"/>
        <v/>
      </c>
      <c r="F353" s="2">
        <f t="shared" si="92"/>
        <v>0</v>
      </c>
      <c r="G353" s="2">
        <f t="shared" si="93"/>
        <v>0</v>
      </c>
      <c r="H353" s="2">
        <f t="shared" si="94"/>
        <v>0</v>
      </c>
      <c r="I353" s="2">
        <f t="shared" si="95"/>
        <v>0</v>
      </c>
      <c r="NH353" cm="1">
        <f t="array" ref="NH353:NJ353">SUMIFS($J353:$GG353,$J$1:$GG$1,NH$3:NJ$3)</f>
        <v>0</v>
      </c>
      <c r="NI353">
        <v>0</v>
      </c>
      <c r="NJ353">
        <v>0</v>
      </c>
      <c r="NK353" cm="1">
        <f t="array" ref="NK353">IFERROR(MAX((_xlfn.ANCHORARRAY(NH353)-AVERAGE(_xlfn.ANCHORARRAY(NH353)))/ AVERAGE(_xlfn.ANCHORARRAY(NH353))),0)</f>
        <v>0</v>
      </c>
      <c r="NN353" cm="1">
        <f t="array" ref="NN353:NR353">SUMIFS($J353:$GG353,$J$3:$GG$3,NN$3:NR$3)</f>
        <v>0</v>
      </c>
      <c r="NO353">
        <v>0</v>
      </c>
      <c r="NP353">
        <v>0</v>
      </c>
      <c r="NQ353">
        <v>0</v>
      </c>
      <c r="NR353">
        <v>0</v>
      </c>
      <c r="NS353" cm="1">
        <f t="array" ref="NS353">IFERROR(MAX((_xlfn.ANCHORARRAY(NN353)-AVERAGE(_xlfn.ANCHORARRAY(NN353)))/ AVERAGE(_xlfn.ANCHORARRAY(NN353))),0)</f>
        <v>0</v>
      </c>
      <c r="NV353" cm="1">
        <f t="array" ref="NV353:OE353">SUMIFS($J353:$GG353,$J$2:$GG$2,NV$3:OE$3)</f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 cm="1">
        <f t="array" ref="OF353">IFERROR(MAX((_xlfn.ANCHORARRAY(NV353)-AVERAGE(_xlfn.ANCHORARRAY(NV353)))/ AVERAGE(_xlfn.ANCHORARRAY(NV353))),0)</f>
        <v>0</v>
      </c>
      <c r="OI353" t="str">
        <f t="shared" si="96"/>
        <v/>
      </c>
    </row>
    <row r="354" spans="2:399" x14ac:dyDescent="0.3">
      <c r="B354" s="2" t="str">
        <f t="shared" si="88"/>
        <v>LLC</v>
      </c>
      <c r="C354" s="2" t="str">
        <f t="shared" si="89"/>
        <v>LLC</v>
      </c>
      <c r="D354" s="2" t="str">
        <f t="shared" si="90"/>
        <v>LLC</v>
      </c>
      <c r="E354" s="2" t="str">
        <f t="shared" si="91"/>
        <v/>
      </c>
      <c r="F354" s="2">
        <f t="shared" si="92"/>
        <v>0</v>
      </c>
      <c r="G354" s="2">
        <f t="shared" si="93"/>
        <v>0</v>
      </c>
      <c r="H354" s="2">
        <f t="shared" si="94"/>
        <v>0</v>
      </c>
      <c r="I354" s="2">
        <f t="shared" si="95"/>
        <v>0</v>
      </c>
      <c r="NH354" cm="1">
        <f t="array" ref="NH354:NJ354">SUMIFS($J354:$GG354,$J$1:$GG$1,NH$3:NJ$3)</f>
        <v>0</v>
      </c>
      <c r="NI354">
        <v>0</v>
      </c>
      <c r="NJ354">
        <v>0</v>
      </c>
      <c r="NK354" cm="1">
        <f t="array" ref="NK354">IFERROR(MAX((_xlfn.ANCHORARRAY(NH354)-AVERAGE(_xlfn.ANCHORARRAY(NH354)))/ AVERAGE(_xlfn.ANCHORARRAY(NH354))),0)</f>
        <v>0</v>
      </c>
      <c r="NN354" cm="1">
        <f t="array" ref="NN354:NR354">SUMIFS($J354:$GG354,$J$3:$GG$3,NN$3:NR$3)</f>
        <v>0</v>
      </c>
      <c r="NO354">
        <v>0</v>
      </c>
      <c r="NP354">
        <v>0</v>
      </c>
      <c r="NQ354">
        <v>0</v>
      </c>
      <c r="NR354">
        <v>0</v>
      </c>
      <c r="NS354" cm="1">
        <f t="array" ref="NS354">IFERROR(MAX((_xlfn.ANCHORARRAY(NN354)-AVERAGE(_xlfn.ANCHORARRAY(NN354)))/ AVERAGE(_xlfn.ANCHORARRAY(NN354))),0)</f>
        <v>0</v>
      </c>
      <c r="NV354" cm="1">
        <f t="array" ref="NV354:OE354">SUMIFS($J354:$GG354,$J$2:$GG$2,NV$3:OE$3)</f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 cm="1">
        <f t="array" ref="OF354">IFERROR(MAX((_xlfn.ANCHORARRAY(NV354)-AVERAGE(_xlfn.ANCHORARRAY(NV354)))/ AVERAGE(_xlfn.ANCHORARRAY(NV354))),0)</f>
        <v>0</v>
      </c>
      <c r="OI354" t="str">
        <f t="shared" si="96"/>
        <v/>
      </c>
    </row>
    <row r="355" spans="2:399" x14ac:dyDescent="0.3">
      <c r="B355" s="2" t="str">
        <f t="shared" si="88"/>
        <v>LLC</v>
      </c>
      <c r="C355" s="2" t="str">
        <f t="shared" si="89"/>
        <v>LLC</v>
      </c>
      <c r="D355" s="2" t="str">
        <f t="shared" si="90"/>
        <v>LLC</v>
      </c>
      <c r="E355" s="2" t="str">
        <f t="shared" si="91"/>
        <v/>
      </c>
      <c r="F355" s="2">
        <f t="shared" si="92"/>
        <v>0</v>
      </c>
      <c r="G355" s="2">
        <f t="shared" si="93"/>
        <v>0</v>
      </c>
      <c r="H355" s="2">
        <f t="shared" si="94"/>
        <v>0</v>
      </c>
      <c r="I355" s="2">
        <f t="shared" si="95"/>
        <v>0</v>
      </c>
      <c r="NH355" cm="1">
        <f t="array" ref="NH355:NJ355">SUMIFS($J355:$GG355,$J$1:$GG$1,NH$3:NJ$3)</f>
        <v>0</v>
      </c>
      <c r="NI355">
        <v>0</v>
      </c>
      <c r="NJ355">
        <v>0</v>
      </c>
      <c r="NK355" cm="1">
        <f t="array" ref="NK355">IFERROR(MAX((_xlfn.ANCHORARRAY(NH355)-AVERAGE(_xlfn.ANCHORARRAY(NH355)))/ AVERAGE(_xlfn.ANCHORARRAY(NH355))),0)</f>
        <v>0</v>
      </c>
      <c r="NN355" cm="1">
        <f t="array" ref="NN355:NR355">SUMIFS($J355:$GG355,$J$3:$GG$3,NN$3:NR$3)</f>
        <v>0</v>
      </c>
      <c r="NO355">
        <v>0</v>
      </c>
      <c r="NP355">
        <v>0</v>
      </c>
      <c r="NQ355">
        <v>0</v>
      </c>
      <c r="NR355">
        <v>0</v>
      </c>
      <c r="NS355" cm="1">
        <f t="array" ref="NS355">IFERROR(MAX((_xlfn.ANCHORARRAY(NN355)-AVERAGE(_xlfn.ANCHORARRAY(NN355)))/ AVERAGE(_xlfn.ANCHORARRAY(NN355))),0)</f>
        <v>0</v>
      </c>
      <c r="NV355" cm="1">
        <f t="array" ref="NV355:OE355">SUMIFS($J355:$GG355,$J$2:$GG$2,NV$3:OE$3)</f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 cm="1">
        <f t="array" ref="OF355">IFERROR(MAX((_xlfn.ANCHORARRAY(NV355)-AVERAGE(_xlfn.ANCHORARRAY(NV355)))/ AVERAGE(_xlfn.ANCHORARRAY(NV355))),0)</f>
        <v>0</v>
      </c>
      <c r="OI355" t="str">
        <f t="shared" si="96"/>
        <v/>
      </c>
    </row>
    <row r="356" spans="2:399" x14ac:dyDescent="0.3">
      <c r="B356" s="2" t="str">
        <f t="shared" si="88"/>
        <v>LLC</v>
      </c>
      <c r="C356" s="2" t="str">
        <f t="shared" si="89"/>
        <v>LLC</v>
      </c>
      <c r="D356" s="2" t="str">
        <f t="shared" si="90"/>
        <v>LLC</v>
      </c>
      <c r="E356" s="2" t="str">
        <f t="shared" si="91"/>
        <v/>
      </c>
      <c r="F356" s="2">
        <f t="shared" si="92"/>
        <v>0</v>
      </c>
      <c r="G356" s="2">
        <f t="shared" si="93"/>
        <v>0</v>
      </c>
      <c r="H356" s="2">
        <f t="shared" si="94"/>
        <v>0</v>
      </c>
      <c r="I356" s="2">
        <f t="shared" si="95"/>
        <v>0</v>
      </c>
      <c r="NH356" cm="1">
        <f t="array" ref="NH356:NJ356">SUMIFS($J356:$GG356,$J$1:$GG$1,NH$3:NJ$3)</f>
        <v>0</v>
      </c>
      <c r="NI356">
        <v>0</v>
      </c>
      <c r="NJ356">
        <v>0</v>
      </c>
      <c r="NK356" cm="1">
        <f t="array" ref="NK356">IFERROR(MAX((_xlfn.ANCHORARRAY(NH356)-AVERAGE(_xlfn.ANCHORARRAY(NH356)))/ AVERAGE(_xlfn.ANCHORARRAY(NH356))),0)</f>
        <v>0</v>
      </c>
      <c r="NN356" cm="1">
        <f t="array" ref="NN356:NR356">SUMIFS($J356:$GG356,$J$3:$GG$3,NN$3:NR$3)</f>
        <v>0</v>
      </c>
      <c r="NO356">
        <v>0</v>
      </c>
      <c r="NP356">
        <v>0</v>
      </c>
      <c r="NQ356">
        <v>0</v>
      </c>
      <c r="NR356">
        <v>0</v>
      </c>
      <c r="NS356" cm="1">
        <f t="array" ref="NS356">IFERROR(MAX((_xlfn.ANCHORARRAY(NN356)-AVERAGE(_xlfn.ANCHORARRAY(NN356)))/ AVERAGE(_xlfn.ANCHORARRAY(NN356))),0)</f>
        <v>0</v>
      </c>
      <c r="NV356" cm="1">
        <f t="array" ref="NV356:OE356">SUMIFS($J356:$GG356,$J$2:$GG$2,NV$3:OE$3)</f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 cm="1">
        <f t="array" ref="OF356">IFERROR(MAX((_xlfn.ANCHORARRAY(NV356)-AVERAGE(_xlfn.ANCHORARRAY(NV356)))/ AVERAGE(_xlfn.ANCHORARRAY(NV356))),0)</f>
        <v>0</v>
      </c>
      <c r="OI356" t="str">
        <f t="shared" si="96"/>
        <v/>
      </c>
    </row>
    <row r="357" spans="2:399" x14ac:dyDescent="0.3">
      <c r="B357" s="2" t="str">
        <f t="shared" si="88"/>
        <v>LLC</v>
      </c>
      <c r="C357" s="2" t="str">
        <f t="shared" si="89"/>
        <v>LLC</v>
      </c>
      <c r="D357" s="2" t="str">
        <f t="shared" si="90"/>
        <v>LLC</v>
      </c>
      <c r="E357" s="2" t="str">
        <f t="shared" si="91"/>
        <v/>
      </c>
      <c r="F357" s="2">
        <f t="shared" si="92"/>
        <v>0</v>
      </c>
      <c r="G357" s="2">
        <f t="shared" si="93"/>
        <v>0</v>
      </c>
      <c r="H357" s="2">
        <f t="shared" si="94"/>
        <v>0</v>
      </c>
      <c r="I357" s="2">
        <f t="shared" si="95"/>
        <v>0</v>
      </c>
      <c r="NH357" cm="1">
        <f t="array" ref="NH357:NJ357">SUMIFS($J357:$GG357,$J$1:$GG$1,NH$3:NJ$3)</f>
        <v>0</v>
      </c>
      <c r="NI357">
        <v>0</v>
      </c>
      <c r="NJ357">
        <v>0</v>
      </c>
      <c r="NK357" cm="1">
        <f t="array" ref="NK357">IFERROR(MAX((_xlfn.ANCHORARRAY(NH357)-AVERAGE(_xlfn.ANCHORARRAY(NH357)))/ AVERAGE(_xlfn.ANCHORARRAY(NH357))),0)</f>
        <v>0</v>
      </c>
      <c r="NN357" cm="1">
        <f t="array" ref="NN357:NR357">SUMIFS($J357:$GG357,$J$3:$GG$3,NN$3:NR$3)</f>
        <v>0</v>
      </c>
      <c r="NO357">
        <v>0</v>
      </c>
      <c r="NP357">
        <v>0</v>
      </c>
      <c r="NQ357">
        <v>0</v>
      </c>
      <c r="NR357">
        <v>0</v>
      </c>
      <c r="NS357" cm="1">
        <f t="array" ref="NS357">IFERROR(MAX((_xlfn.ANCHORARRAY(NN357)-AVERAGE(_xlfn.ANCHORARRAY(NN357)))/ AVERAGE(_xlfn.ANCHORARRAY(NN357))),0)</f>
        <v>0</v>
      </c>
      <c r="NV357" cm="1">
        <f t="array" ref="NV357:OE357">SUMIFS($J357:$GG357,$J$2:$GG$2,NV$3:OE$3)</f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 cm="1">
        <f t="array" ref="OF357">IFERROR(MAX((_xlfn.ANCHORARRAY(NV357)-AVERAGE(_xlfn.ANCHORARRAY(NV357)))/ AVERAGE(_xlfn.ANCHORARRAY(NV357))),0)</f>
        <v>0</v>
      </c>
      <c r="OI357" t="str">
        <f t="shared" si="96"/>
        <v/>
      </c>
    </row>
    <row r="358" spans="2:399" x14ac:dyDescent="0.3">
      <c r="B358" s="2" t="str">
        <f t="shared" si="88"/>
        <v>LLC</v>
      </c>
      <c r="C358" s="2" t="str">
        <f t="shared" si="89"/>
        <v>LLC</v>
      </c>
      <c r="D358" s="2" t="str">
        <f t="shared" si="90"/>
        <v>LLC</v>
      </c>
      <c r="E358" s="2" t="str">
        <f t="shared" si="91"/>
        <v/>
      </c>
      <c r="F358" s="2">
        <f t="shared" si="92"/>
        <v>0</v>
      </c>
      <c r="G358" s="2">
        <f t="shared" si="93"/>
        <v>0</v>
      </c>
      <c r="H358" s="2">
        <f t="shared" si="94"/>
        <v>0</v>
      </c>
      <c r="I358" s="2">
        <f t="shared" si="95"/>
        <v>0</v>
      </c>
      <c r="NH358" cm="1">
        <f t="array" ref="NH358:NJ358">SUMIFS($J358:$GG358,$J$1:$GG$1,NH$3:NJ$3)</f>
        <v>0</v>
      </c>
      <c r="NI358">
        <v>0</v>
      </c>
      <c r="NJ358">
        <v>0</v>
      </c>
      <c r="NK358" cm="1">
        <f t="array" ref="NK358">IFERROR(MAX((_xlfn.ANCHORARRAY(NH358)-AVERAGE(_xlfn.ANCHORARRAY(NH358)))/ AVERAGE(_xlfn.ANCHORARRAY(NH358))),0)</f>
        <v>0</v>
      </c>
      <c r="NN358" cm="1">
        <f t="array" ref="NN358:NR358">SUMIFS($J358:$GG358,$J$3:$GG$3,NN$3:NR$3)</f>
        <v>0</v>
      </c>
      <c r="NO358">
        <v>0</v>
      </c>
      <c r="NP358">
        <v>0</v>
      </c>
      <c r="NQ358">
        <v>0</v>
      </c>
      <c r="NR358">
        <v>0</v>
      </c>
      <c r="NS358" cm="1">
        <f t="array" ref="NS358">IFERROR(MAX((_xlfn.ANCHORARRAY(NN358)-AVERAGE(_xlfn.ANCHORARRAY(NN358)))/ AVERAGE(_xlfn.ANCHORARRAY(NN358))),0)</f>
        <v>0</v>
      </c>
      <c r="NV358" cm="1">
        <f t="array" ref="NV358:OE358">SUMIFS($J358:$GG358,$J$2:$GG$2,NV$3:OE$3)</f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 cm="1">
        <f t="array" ref="OF358">IFERROR(MAX((_xlfn.ANCHORARRAY(NV358)-AVERAGE(_xlfn.ANCHORARRAY(NV358)))/ AVERAGE(_xlfn.ANCHORARRAY(NV358))),0)</f>
        <v>0</v>
      </c>
      <c r="OI358" t="str">
        <f t="shared" si="96"/>
        <v/>
      </c>
    </row>
    <row r="359" spans="2:399" x14ac:dyDescent="0.3">
      <c r="B359" s="2" t="str">
        <f t="shared" si="88"/>
        <v>LLC</v>
      </c>
      <c r="C359" s="2" t="str">
        <f t="shared" si="89"/>
        <v>LLC</v>
      </c>
      <c r="D359" s="2" t="str">
        <f t="shared" si="90"/>
        <v>LLC</v>
      </c>
      <c r="E359" s="2" t="str">
        <f t="shared" si="91"/>
        <v/>
      </c>
      <c r="F359" s="2">
        <f t="shared" si="92"/>
        <v>0</v>
      </c>
      <c r="G359" s="2">
        <f t="shared" si="93"/>
        <v>0</v>
      </c>
      <c r="H359" s="2">
        <f t="shared" si="94"/>
        <v>0</v>
      </c>
      <c r="I359" s="2">
        <f t="shared" si="95"/>
        <v>0</v>
      </c>
      <c r="NH359" cm="1">
        <f t="array" ref="NH359:NJ359">SUMIFS($J359:$GG359,$J$1:$GG$1,NH$3:NJ$3)</f>
        <v>0</v>
      </c>
      <c r="NI359">
        <v>0</v>
      </c>
      <c r="NJ359">
        <v>0</v>
      </c>
      <c r="NK359" cm="1">
        <f t="array" ref="NK359">IFERROR(MAX((_xlfn.ANCHORARRAY(NH359)-AVERAGE(_xlfn.ANCHORARRAY(NH359)))/ AVERAGE(_xlfn.ANCHORARRAY(NH359))),0)</f>
        <v>0</v>
      </c>
      <c r="NN359" cm="1">
        <f t="array" ref="NN359:NR359">SUMIFS($J359:$GG359,$J$3:$GG$3,NN$3:NR$3)</f>
        <v>0</v>
      </c>
      <c r="NO359">
        <v>0</v>
      </c>
      <c r="NP359">
        <v>0</v>
      </c>
      <c r="NQ359">
        <v>0</v>
      </c>
      <c r="NR359">
        <v>0</v>
      </c>
      <c r="NS359" cm="1">
        <f t="array" ref="NS359">IFERROR(MAX((_xlfn.ANCHORARRAY(NN359)-AVERAGE(_xlfn.ANCHORARRAY(NN359)))/ AVERAGE(_xlfn.ANCHORARRAY(NN359))),0)</f>
        <v>0</v>
      </c>
      <c r="NV359" cm="1">
        <f t="array" ref="NV359:OE359">SUMIFS($J359:$GG359,$J$2:$GG$2,NV$3:OE$3)</f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 cm="1">
        <f t="array" ref="OF359">IFERROR(MAX((_xlfn.ANCHORARRAY(NV359)-AVERAGE(_xlfn.ANCHORARRAY(NV359)))/ AVERAGE(_xlfn.ANCHORARRAY(NV359))),0)</f>
        <v>0</v>
      </c>
      <c r="OI359" t="str">
        <f t="shared" si="96"/>
        <v/>
      </c>
    </row>
  </sheetData>
  <autoFilter ref="A4:A188" xr:uid="{DAAA66F4-1E0C-4024-9535-04526CB1B29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D327-C1AD-4226-9DF7-74F1C5F2AD8E}">
  <sheetPr>
    <tabColor rgb="FF00B0F0"/>
  </sheetPr>
  <dimension ref="A1:OI359"/>
  <sheetViews>
    <sheetView workbookViewId="0">
      <selection activeCell="E15" sqref="E15"/>
    </sheetView>
  </sheetViews>
  <sheetFormatPr defaultRowHeight="14.4" x14ac:dyDescent="0.3"/>
  <cols>
    <col min="1" max="1" width="15.33203125" customWidth="1"/>
    <col min="2" max="2" width="12.33203125" bestFit="1" customWidth="1"/>
    <col min="3" max="3" width="10.5546875" bestFit="1" customWidth="1"/>
    <col min="4" max="4" width="9.5546875" bestFit="1" customWidth="1"/>
    <col min="5" max="5" width="21.109375" bestFit="1" customWidth="1"/>
    <col min="6" max="6" width="20.109375" bestFit="1" customWidth="1"/>
    <col min="7" max="7" width="15.33203125" customWidth="1"/>
    <col min="8" max="8" width="20.109375" bestFit="1" customWidth="1"/>
    <col min="9" max="9" width="15.33203125" customWidth="1"/>
    <col min="10" max="19" width="2" bestFit="1" customWidth="1"/>
    <col min="20" max="109" width="3" bestFit="1" customWidth="1"/>
    <col min="110" max="189" width="4" bestFit="1" customWidth="1"/>
    <col min="191" max="200" width="2" bestFit="1" customWidth="1"/>
    <col min="201" max="290" width="3" bestFit="1" customWidth="1"/>
    <col min="291" max="370" width="4" bestFit="1" customWidth="1"/>
    <col min="372" max="372" width="10.33203125" bestFit="1" customWidth="1"/>
    <col min="373" max="374" width="9.5546875" bestFit="1" customWidth="1"/>
    <col min="375" max="376" width="9.5546875" customWidth="1"/>
    <col min="378" max="378" width="7" bestFit="1" customWidth="1"/>
    <col min="379" max="382" width="5.5546875" bestFit="1" customWidth="1"/>
    <col min="383" max="383" width="12" bestFit="1" customWidth="1"/>
    <col min="384" max="384" width="5.5546875" bestFit="1" customWidth="1"/>
    <col min="386" max="386" width="7" bestFit="1" customWidth="1"/>
    <col min="387" max="395" width="4.6640625" bestFit="1" customWidth="1"/>
    <col min="396" max="396" width="12" bestFit="1" customWidth="1"/>
    <col min="397" max="397" width="6" bestFit="1" customWidth="1"/>
    <col min="399" max="399" width="21.109375" bestFit="1" customWidth="1"/>
    <col min="428" max="428" width="8.88671875" customWidth="1"/>
  </cols>
  <sheetData>
    <row r="1" spans="1:399" x14ac:dyDescent="0.3">
      <c r="I1" t="s">
        <v>375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2</v>
      </c>
      <c r="EA1">
        <v>2</v>
      </c>
      <c r="EB1">
        <v>2</v>
      </c>
      <c r="EC1">
        <v>2</v>
      </c>
      <c r="ED1">
        <v>2</v>
      </c>
      <c r="EE1">
        <v>2</v>
      </c>
      <c r="EF1">
        <v>2</v>
      </c>
      <c r="EG1">
        <v>2</v>
      </c>
      <c r="EH1">
        <v>2</v>
      </c>
      <c r="EI1">
        <v>2</v>
      </c>
      <c r="EJ1">
        <v>2</v>
      </c>
      <c r="EK1">
        <v>2</v>
      </c>
      <c r="EL1">
        <v>2</v>
      </c>
      <c r="EM1">
        <v>2</v>
      </c>
      <c r="EN1">
        <v>2</v>
      </c>
      <c r="EO1">
        <v>2</v>
      </c>
      <c r="EP1">
        <v>2</v>
      </c>
      <c r="EQ1">
        <v>2</v>
      </c>
      <c r="ER1">
        <v>2</v>
      </c>
      <c r="ES1">
        <v>2</v>
      </c>
      <c r="ET1">
        <v>2</v>
      </c>
      <c r="EU1">
        <v>2</v>
      </c>
      <c r="EV1">
        <v>2</v>
      </c>
      <c r="EW1">
        <v>2</v>
      </c>
      <c r="EX1">
        <v>2</v>
      </c>
      <c r="EY1">
        <v>2</v>
      </c>
      <c r="EZ1">
        <v>2</v>
      </c>
      <c r="FA1">
        <v>2</v>
      </c>
      <c r="FB1">
        <v>2</v>
      </c>
      <c r="FC1">
        <v>2</v>
      </c>
      <c r="FD1">
        <v>2</v>
      </c>
      <c r="FE1">
        <v>2</v>
      </c>
      <c r="FF1">
        <v>2</v>
      </c>
      <c r="FG1">
        <v>2</v>
      </c>
      <c r="FH1">
        <v>2</v>
      </c>
      <c r="FI1">
        <v>2</v>
      </c>
      <c r="FJ1">
        <v>2</v>
      </c>
      <c r="FK1">
        <v>2</v>
      </c>
      <c r="FL1">
        <v>2</v>
      </c>
      <c r="FM1">
        <v>2</v>
      </c>
      <c r="FN1">
        <v>2</v>
      </c>
      <c r="FO1">
        <v>2</v>
      </c>
      <c r="FP1">
        <v>2</v>
      </c>
      <c r="FQ1">
        <v>2</v>
      </c>
      <c r="FR1">
        <v>2</v>
      </c>
      <c r="FS1">
        <v>2</v>
      </c>
      <c r="FT1">
        <v>2</v>
      </c>
      <c r="FU1">
        <v>2</v>
      </c>
      <c r="FV1">
        <v>2</v>
      </c>
      <c r="FW1">
        <v>2</v>
      </c>
      <c r="FX1">
        <v>2</v>
      </c>
      <c r="FY1">
        <v>2</v>
      </c>
      <c r="FZ1">
        <v>2</v>
      </c>
      <c r="GA1">
        <v>2</v>
      </c>
      <c r="GB1">
        <v>2</v>
      </c>
      <c r="GC1">
        <v>2</v>
      </c>
      <c r="GD1">
        <v>2</v>
      </c>
      <c r="GE1">
        <v>2</v>
      </c>
      <c r="GF1">
        <v>2</v>
      </c>
      <c r="GG1">
        <v>2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1</v>
      </c>
      <c r="KK1">
        <v>1</v>
      </c>
      <c r="KL1">
        <v>1</v>
      </c>
      <c r="KM1">
        <v>1</v>
      </c>
      <c r="KN1">
        <v>1</v>
      </c>
      <c r="KO1">
        <v>1</v>
      </c>
      <c r="KP1">
        <v>1</v>
      </c>
      <c r="KQ1">
        <v>1</v>
      </c>
      <c r="KR1">
        <v>1</v>
      </c>
      <c r="KS1">
        <v>1</v>
      </c>
      <c r="KT1">
        <v>1</v>
      </c>
      <c r="KU1">
        <v>1</v>
      </c>
      <c r="KV1">
        <v>1</v>
      </c>
      <c r="KW1">
        <v>1</v>
      </c>
      <c r="KX1">
        <v>1</v>
      </c>
      <c r="KY1">
        <v>2</v>
      </c>
      <c r="KZ1">
        <v>2</v>
      </c>
      <c r="LA1">
        <v>2</v>
      </c>
      <c r="LB1">
        <v>2</v>
      </c>
      <c r="LC1">
        <v>2</v>
      </c>
      <c r="LD1">
        <v>2</v>
      </c>
      <c r="LE1">
        <v>2</v>
      </c>
      <c r="LF1">
        <v>2</v>
      </c>
      <c r="LG1">
        <v>2</v>
      </c>
      <c r="LH1">
        <v>2</v>
      </c>
      <c r="LI1">
        <v>2</v>
      </c>
      <c r="LJ1">
        <v>2</v>
      </c>
      <c r="LK1">
        <v>2</v>
      </c>
      <c r="LL1">
        <v>2</v>
      </c>
      <c r="LM1">
        <v>2</v>
      </c>
      <c r="LN1">
        <v>2</v>
      </c>
      <c r="LO1">
        <v>2</v>
      </c>
      <c r="LP1">
        <v>2</v>
      </c>
      <c r="LQ1">
        <v>2</v>
      </c>
      <c r="LR1">
        <v>2</v>
      </c>
      <c r="LS1">
        <v>2</v>
      </c>
      <c r="LT1">
        <v>2</v>
      </c>
      <c r="LU1">
        <v>2</v>
      </c>
      <c r="LV1">
        <v>2</v>
      </c>
      <c r="LW1">
        <v>2</v>
      </c>
      <c r="LX1">
        <v>2</v>
      </c>
      <c r="LY1">
        <v>2</v>
      </c>
      <c r="LZ1">
        <v>2</v>
      </c>
      <c r="MA1">
        <v>2</v>
      </c>
      <c r="MB1">
        <v>2</v>
      </c>
      <c r="MC1">
        <v>2</v>
      </c>
      <c r="MD1">
        <v>2</v>
      </c>
      <c r="ME1">
        <v>2</v>
      </c>
      <c r="MF1">
        <v>2</v>
      </c>
      <c r="MG1">
        <v>2</v>
      </c>
      <c r="MH1">
        <v>2</v>
      </c>
      <c r="MI1">
        <v>2</v>
      </c>
      <c r="MJ1">
        <v>2</v>
      </c>
      <c r="MK1">
        <v>2</v>
      </c>
      <c r="ML1">
        <v>2</v>
      </c>
      <c r="MM1">
        <v>2</v>
      </c>
      <c r="MN1">
        <v>2</v>
      </c>
      <c r="MO1">
        <v>2</v>
      </c>
      <c r="MP1">
        <v>2</v>
      </c>
      <c r="MQ1">
        <v>2</v>
      </c>
      <c r="MR1">
        <v>2</v>
      </c>
      <c r="MS1">
        <v>2</v>
      </c>
      <c r="MT1">
        <v>2</v>
      </c>
      <c r="MU1">
        <v>2</v>
      </c>
      <c r="MV1">
        <v>2</v>
      </c>
      <c r="MW1">
        <v>2</v>
      </c>
      <c r="MX1">
        <v>2</v>
      </c>
      <c r="MY1">
        <v>2</v>
      </c>
      <c r="MZ1">
        <v>2</v>
      </c>
      <c r="NA1">
        <v>2</v>
      </c>
      <c r="NB1">
        <v>2</v>
      </c>
      <c r="NC1">
        <v>2</v>
      </c>
      <c r="ND1">
        <v>2</v>
      </c>
      <c r="NE1">
        <v>2</v>
      </c>
      <c r="NF1">
        <v>2</v>
      </c>
      <c r="NK1" t="s">
        <v>482</v>
      </c>
      <c r="NL1">
        <v>1</v>
      </c>
      <c r="NS1" t="s">
        <v>482</v>
      </c>
      <c r="NT1">
        <v>2</v>
      </c>
      <c r="OF1" t="s">
        <v>482</v>
      </c>
      <c r="OG1">
        <v>4</v>
      </c>
    </row>
    <row r="2" spans="1:399" x14ac:dyDescent="0.3">
      <c r="I2" t="s">
        <v>376</v>
      </c>
      <c r="J2">
        <f>_xlfn.XLOOKUP(J4,Computes!$C$2:$C$181,Computes!$E$2:$E$181)</f>
        <v>0</v>
      </c>
      <c r="K2">
        <f>_xlfn.XLOOKUP(K4,Computes!$C$2:$C$181,Computes!$E$2:$E$181)</f>
        <v>0</v>
      </c>
      <c r="L2">
        <f>_xlfn.XLOOKUP(L4,Computes!$C$2:$C$181,Computes!$E$2:$E$181)</f>
        <v>1</v>
      </c>
      <c r="M2">
        <f>_xlfn.XLOOKUP(M4,Computes!$C$2:$C$181,Computes!$E$2:$E$181)</f>
        <v>1</v>
      </c>
      <c r="N2">
        <f>_xlfn.XLOOKUP(N4,Computes!$C$2:$C$181,Computes!$E$2:$E$181)</f>
        <v>1</v>
      </c>
      <c r="O2">
        <f>_xlfn.XLOOKUP(O4,Computes!$C$2:$C$181,Computes!$E$2:$E$181)</f>
        <v>1</v>
      </c>
      <c r="P2">
        <f>_xlfn.XLOOKUP(P4,Computes!$C$2:$C$181,Computes!$E$2:$E$181)</f>
        <v>1</v>
      </c>
      <c r="Q2">
        <f>_xlfn.XLOOKUP(Q4,Computes!$C$2:$C$181,Computes!$E$2:$E$181)</f>
        <v>1</v>
      </c>
      <c r="R2">
        <f>_xlfn.XLOOKUP(R4,Computes!$C$2:$C$181,Computes!$E$2:$E$181)</f>
        <v>1</v>
      </c>
      <c r="S2">
        <f>_xlfn.XLOOKUP(S4,Computes!$C$2:$C$181,Computes!$E$2:$E$181)</f>
        <v>1</v>
      </c>
      <c r="T2">
        <f>_xlfn.XLOOKUP(T4,Computes!$C$2:$C$181,Computes!$E$2:$E$181)</f>
        <v>2</v>
      </c>
      <c r="U2">
        <f>_xlfn.XLOOKUP(U4,Computes!$C$2:$C$181,Computes!$E$2:$E$181)</f>
        <v>2</v>
      </c>
      <c r="V2">
        <f>_xlfn.XLOOKUP(V4,Computes!$C$2:$C$181,Computes!$E$2:$E$181)</f>
        <v>2</v>
      </c>
      <c r="W2">
        <f>_xlfn.XLOOKUP(W4,Computes!$C$2:$C$181,Computes!$E$2:$E$181)</f>
        <v>2</v>
      </c>
      <c r="X2">
        <f>_xlfn.XLOOKUP(X4,Computes!$C$2:$C$181,Computes!$E$2:$E$181)</f>
        <v>2</v>
      </c>
      <c r="Y2">
        <f>_xlfn.XLOOKUP(Y4,Computes!$C$2:$C$181,Computes!$E$2:$E$181)</f>
        <v>2</v>
      </c>
      <c r="Z2">
        <f>_xlfn.XLOOKUP(Z4,Computes!$C$2:$C$181,Computes!$E$2:$E$181)</f>
        <v>2</v>
      </c>
      <c r="AA2">
        <f>_xlfn.XLOOKUP(AA4,Computes!$C$2:$C$181,Computes!$E$2:$E$181)</f>
        <v>3</v>
      </c>
      <c r="AB2">
        <f>_xlfn.XLOOKUP(AB4,Computes!$C$2:$C$181,Computes!$E$2:$E$181)</f>
        <v>3</v>
      </c>
      <c r="AC2">
        <f>_xlfn.XLOOKUP(AC4,Computes!$C$2:$C$181,Computes!$E$2:$E$181)</f>
        <v>3</v>
      </c>
      <c r="AD2">
        <f>_xlfn.XLOOKUP(AD4,Computes!$C$2:$C$181,Computes!$E$2:$E$181)</f>
        <v>3</v>
      </c>
      <c r="AE2">
        <f>_xlfn.XLOOKUP(AE4,Computes!$C$2:$C$181,Computes!$E$2:$E$181)</f>
        <v>3</v>
      </c>
      <c r="AF2">
        <f>_xlfn.XLOOKUP(AF4,Computes!$C$2:$C$181,Computes!$E$2:$E$181)</f>
        <v>3</v>
      </c>
      <c r="AG2">
        <f>_xlfn.XLOOKUP(AG4,Computes!$C$2:$C$181,Computes!$E$2:$E$181)</f>
        <v>3</v>
      </c>
      <c r="AH2">
        <f>_xlfn.XLOOKUP(AH4,Computes!$C$2:$C$181,Computes!$E$2:$E$181)</f>
        <v>4</v>
      </c>
      <c r="AI2">
        <f>_xlfn.XLOOKUP(AI4,Computes!$C$2:$C$181,Computes!$E$2:$E$181)</f>
        <v>4</v>
      </c>
      <c r="AJ2">
        <f>_xlfn.XLOOKUP(AJ4,Computes!$C$2:$C$181,Computes!$E$2:$E$181)</f>
        <v>4</v>
      </c>
      <c r="AK2">
        <f>_xlfn.XLOOKUP(AK4,Computes!$C$2:$C$181,Computes!$E$2:$E$181)</f>
        <v>4</v>
      </c>
      <c r="AL2">
        <f>_xlfn.XLOOKUP(AL4,Computes!$C$2:$C$181,Computes!$E$2:$E$181)</f>
        <v>4</v>
      </c>
      <c r="AM2">
        <f>_xlfn.XLOOKUP(AM4,Computes!$C$2:$C$181,Computes!$E$2:$E$181)</f>
        <v>4</v>
      </c>
      <c r="AN2">
        <f>_xlfn.XLOOKUP(AN4,Computes!$C$2:$C$181,Computes!$E$2:$E$181)</f>
        <v>4</v>
      </c>
      <c r="AO2">
        <f>_xlfn.XLOOKUP(AO4,Computes!$C$2:$C$181,Computes!$E$2:$E$181)</f>
        <v>5</v>
      </c>
      <c r="AP2">
        <f>_xlfn.XLOOKUP(AP4,Computes!$C$2:$C$181,Computes!$E$2:$E$181)</f>
        <v>5</v>
      </c>
      <c r="AQ2">
        <f>_xlfn.XLOOKUP(AQ4,Computes!$C$2:$C$181,Computes!$E$2:$E$181)</f>
        <v>5</v>
      </c>
      <c r="AR2">
        <f>_xlfn.XLOOKUP(AR4,Computes!$C$2:$C$181,Computes!$E$2:$E$181)</f>
        <v>5</v>
      </c>
      <c r="AS2">
        <f>_xlfn.XLOOKUP(AS4,Computes!$C$2:$C$181,Computes!$E$2:$E$181)</f>
        <v>5</v>
      </c>
      <c r="AT2">
        <f>_xlfn.XLOOKUP(AT4,Computes!$C$2:$C$181,Computes!$E$2:$E$181)</f>
        <v>5</v>
      </c>
      <c r="AU2">
        <f>_xlfn.XLOOKUP(AU4,Computes!$C$2:$C$181,Computes!$E$2:$E$181)</f>
        <v>5</v>
      </c>
      <c r="AV2">
        <f>_xlfn.XLOOKUP(AV4,Computes!$C$2:$C$181,Computes!$E$2:$E$181)</f>
        <v>6</v>
      </c>
      <c r="AW2">
        <f>_xlfn.XLOOKUP(AW4,Computes!$C$2:$C$181,Computes!$E$2:$E$181)</f>
        <v>6</v>
      </c>
      <c r="AX2">
        <f>_xlfn.XLOOKUP(AX4,Computes!$C$2:$C$181,Computes!$E$2:$E$181)</f>
        <v>6</v>
      </c>
      <c r="AY2">
        <f>_xlfn.XLOOKUP(AY4,Computes!$C$2:$C$181,Computes!$E$2:$E$181)</f>
        <v>6</v>
      </c>
      <c r="AZ2">
        <f>_xlfn.XLOOKUP(AZ4,Computes!$C$2:$C$181,Computes!$E$2:$E$181)</f>
        <v>6</v>
      </c>
      <c r="BA2">
        <f>_xlfn.XLOOKUP(BA4,Computes!$C$2:$C$181,Computes!$E$2:$E$181)</f>
        <v>6</v>
      </c>
      <c r="BB2">
        <f>_xlfn.XLOOKUP(BB4,Computes!$C$2:$C$181,Computes!$E$2:$E$181)</f>
        <v>6</v>
      </c>
      <c r="BC2">
        <f>_xlfn.XLOOKUP(BC4,Computes!$C$2:$C$181,Computes!$E$2:$E$181)</f>
        <v>7</v>
      </c>
      <c r="BD2">
        <f>_xlfn.XLOOKUP(BD4,Computes!$C$2:$C$181,Computes!$E$2:$E$181)</f>
        <v>7</v>
      </c>
      <c r="BE2">
        <f>_xlfn.XLOOKUP(BE4,Computes!$C$2:$C$181,Computes!$E$2:$E$181)</f>
        <v>7</v>
      </c>
      <c r="BF2">
        <f>_xlfn.XLOOKUP(BF4,Computes!$C$2:$C$181,Computes!$E$2:$E$181)</f>
        <v>7</v>
      </c>
      <c r="BG2">
        <f>_xlfn.XLOOKUP(BG4,Computes!$C$2:$C$181,Computes!$E$2:$E$181)</f>
        <v>7</v>
      </c>
      <c r="BH2">
        <f>_xlfn.XLOOKUP(BH4,Computes!$C$2:$C$181,Computes!$E$2:$E$181)</f>
        <v>7</v>
      </c>
      <c r="BI2">
        <f>_xlfn.XLOOKUP(BI4,Computes!$C$2:$C$181,Computes!$E$2:$E$181)</f>
        <v>7</v>
      </c>
      <c r="BJ2">
        <f>_xlfn.XLOOKUP(BJ4,Computes!$C$2:$C$181,Computes!$E$2:$E$181)</f>
        <v>8</v>
      </c>
      <c r="BK2">
        <f>_xlfn.XLOOKUP(BK4,Computes!$C$2:$C$181,Computes!$E$2:$E$181)</f>
        <v>8</v>
      </c>
      <c r="BL2">
        <f>_xlfn.XLOOKUP(BL4,Computes!$C$2:$C$181,Computes!$E$2:$E$181)</f>
        <v>8</v>
      </c>
      <c r="BM2">
        <f>_xlfn.XLOOKUP(BM4,Computes!$C$2:$C$181,Computes!$E$2:$E$181)</f>
        <v>8</v>
      </c>
      <c r="BN2">
        <f>_xlfn.XLOOKUP(BN4,Computes!$C$2:$C$181,Computes!$E$2:$E$181)</f>
        <v>8</v>
      </c>
      <c r="BO2">
        <f>_xlfn.XLOOKUP(BO4,Computes!$C$2:$C$181,Computes!$E$2:$E$181)</f>
        <v>8</v>
      </c>
      <c r="BP2">
        <f>_xlfn.XLOOKUP(BP4,Computes!$C$2:$C$181,Computes!$E$2:$E$181)</f>
        <v>9</v>
      </c>
      <c r="BQ2">
        <f>_xlfn.XLOOKUP(BQ4,Computes!$C$2:$C$181,Computes!$E$2:$E$181)</f>
        <v>9</v>
      </c>
      <c r="BR2">
        <f>_xlfn.XLOOKUP(BR4,Computes!$C$2:$C$181,Computes!$E$2:$E$181)</f>
        <v>0</v>
      </c>
      <c r="BS2">
        <f>_xlfn.XLOOKUP(BS4,Computes!$C$2:$C$181,Computes!$E$2:$E$181)</f>
        <v>0</v>
      </c>
      <c r="BT2">
        <f>_xlfn.XLOOKUP(BT4,Computes!$C$2:$C$181,Computes!$E$2:$E$181)</f>
        <v>1</v>
      </c>
      <c r="BU2">
        <f>_xlfn.XLOOKUP(BU4,Computes!$C$2:$C$181,Computes!$E$2:$E$181)</f>
        <v>1</v>
      </c>
      <c r="BV2">
        <f>_xlfn.XLOOKUP(BV4,Computes!$C$2:$C$181,Computes!$E$2:$E$181)</f>
        <v>1</v>
      </c>
      <c r="BW2">
        <f>_xlfn.XLOOKUP(BW4,Computes!$C$2:$C$181,Computes!$E$2:$E$181)</f>
        <v>1</v>
      </c>
      <c r="BX2">
        <f>_xlfn.XLOOKUP(BX4,Computes!$C$2:$C$181,Computes!$E$2:$E$181)</f>
        <v>1</v>
      </c>
      <c r="BY2">
        <f>_xlfn.XLOOKUP(BY4,Computes!$C$2:$C$181,Computes!$E$2:$E$181)</f>
        <v>1</v>
      </c>
      <c r="BZ2">
        <f>_xlfn.XLOOKUP(BZ4,Computes!$C$2:$C$181,Computes!$E$2:$E$181)</f>
        <v>1</v>
      </c>
      <c r="CA2">
        <f>_xlfn.XLOOKUP(CA4,Computes!$C$2:$C$181,Computes!$E$2:$E$181)</f>
        <v>1</v>
      </c>
      <c r="CB2">
        <f>_xlfn.XLOOKUP(CB4,Computes!$C$2:$C$181,Computes!$E$2:$E$181)</f>
        <v>2</v>
      </c>
      <c r="CC2">
        <f>_xlfn.XLOOKUP(CC4,Computes!$C$2:$C$181,Computes!$E$2:$E$181)</f>
        <v>2</v>
      </c>
      <c r="CD2">
        <f>_xlfn.XLOOKUP(CD4,Computes!$C$2:$C$181,Computes!$E$2:$E$181)</f>
        <v>2</v>
      </c>
      <c r="CE2">
        <f>_xlfn.XLOOKUP(CE4,Computes!$C$2:$C$181,Computes!$E$2:$E$181)</f>
        <v>2</v>
      </c>
      <c r="CF2">
        <f>_xlfn.XLOOKUP(CF4,Computes!$C$2:$C$181,Computes!$E$2:$E$181)</f>
        <v>2</v>
      </c>
      <c r="CG2">
        <f>_xlfn.XLOOKUP(CG4,Computes!$C$2:$C$181,Computes!$E$2:$E$181)</f>
        <v>2</v>
      </c>
      <c r="CH2">
        <f>_xlfn.XLOOKUP(CH4,Computes!$C$2:$C$181,Computes!$E$2:$E$181)</f>
        <v>2</v>
      </c>
      <c r="CI2">
        <f>_xlfn.XLOOKUP(CI4,Computes!$C$2:$C$181,Computes!$E$2:$E$181)</f>
        <v>3</v>
      </c>
      <c r="CJ2">
        <f>_xlfn.XLOOKUP(CJ4,Computes!$C$2:$C$181,Computes!$E$2:$E$181)</f>
        <v>3</v>
      </c>
      <c r="CK2">
        <f>_xlfn.XLOOKUP(CK4,Computes!$C$2:$C$181,Computes!$E$2:$E$181)</f>
        <v>3</v>
      </c>
      <c r="CL2">
        <f>_xlfn.XLOOKUP(CL4,Computes!$C$2:$C$181,Computes!$E$2:$E$181)</f>
        <v>3</v>
      </c>
      <c r="CM2">
        <f>_xlfn.XLOOKUP(CM4,Computes!$C$2:$C$181,Computes!$E$2:$E$181)</f>
        <v>3</v>
      </c>
      <c r="CN2">
        <f>_xlfn.XLOOKUP(CN4,Computes!$C$2:$C$181,Computes!$E$2:$E$181)</f>
        <v>3</v>
      </c>
      <c r="CO2">
        <f>_xlfn.XLOOKUP(CO4,Computes!$C$2:$C$181,Computes!$E$2:$E$181)</f>
        <v>3</v>
      </c>
      <c r="CP2">
        <f>_xlfn.XLOOKUP(CP4,Computes!$C$2:$C$181,Computes!$E$2:$E$181)</f>
        <v>4</v>
      </c>
      <c r="CQ2">
        <f>_xlfn.XLOOKUP(CQ4,Computes!$C$2:$C$181,Computes!$E$2:$E$181)</f>
        <v>4</v>
      </c>
      <c r="CR2">
        <f>_xlfn.XLOOKUP(CR4,Computes!$C$2:$C$181,Computes!$E$2:$E$181)</f>
        <v>4</v>
      </c>
      <c r="CS2">
        <f>_xlfn.XLOOKUP(CS4,Computes!$C$2:$C$181,Computes!$E$2:$E$181)</f>
        <v>4</v>
      </c>
      <c r="CT2">
        <f>_xlfn.XLOOKUP(CT4,Computes!$C$2:$C$181,Computes!$E$2:$E$181)</f>
        <v>4</v>
      </c>
      <c r="CU2">
        <f>_xlfn.XLOOKUP(CU4,Computes!$C$2:$C$181,Computes!$E$2:$E$181)</f>
        <v>4</v>
      </c>
      <c r="CV2">
        <f>_xlfn.XLOOKUP(CV4,Computes!$C$2:$C$181,Computes!$E$2:$E$181)</f>
        <v>4</v>
      </c>
      <c r="CW2">
        <f>_xlfn.XLOOKUP(CW4,Computes!$C$2:$C$181,Computes!$E$2:$E$181)</f>
        <v>5</v>
      </c>
      <c r="CX2">
        <f>_xlfn.XLOOKUP(CX4,Computes!$C$2:$C$181,Computes!$E$2:$E$181)</f>
        <v>5</v>
      </c>
      <c r="CY2">
        <f>_xlfn.XLOOKUP(CY4,Computes!$C$2:$C$181,Computes!$E$2:$E$181)</f>
        <v>5</v>
      </c>
      <c r="CZ2">
        <f>_xlfn.XLOOKUP(CZ4,Computes!$C$2:$C$181,Computes!$E$2:$E$181)</f>
        <v>5</v>
      </c>
      <c r="DA2">
        <f>_xlfn.XLOOKUP(DA4,Computes!$C$2:$C$181,Computes!$E$2:$E$181)</f>
        <v>5</v>
      </c>
      <c r="DB2">
        <f>_xlfn.XLOOKUP(DB4,Computes!$C$2:$C$181,Computes!$E$2:$E$181)</f>
        <v>5</v>
      </c>
      <c r="DC2">
        <f>_xlfn.XLOOKUP(DC4,Computes!$C$2:$C$181,Computes!$E$2:$E$181)</f>
        <v>5</v>
      </c>
      <c r="DD2">
        <f>_xlfn.XLOOKUP(DD4,Computes!$C$2:$C$181,Computes!$E$2:$E$181)</f>
        <v>6</v>
      </c>
      <c r="DE2">
        <f>_xlfn.XLOOKUP(DE4,Computes!$C$2:$C$181,Computes!$E$2:$E$181)</f>
        <v>6</v>
      </c>
      <c r="DF2">
        <f>_xlfn.XLOOKUP(DF4,Computes!$C$2:$C$181,Computes!$E$2:$E$181)</f>
        <v>6</v>
      </c>
      <c r="DG2">
        <f>_xlfn.XLOOKUP(DG4,Computes!$C$2:$C$181,Computes!$E$2:$E$181)</f>
        <v>6</v>
      </c>
      <c r="DH2">
        <f>_xlfn.XLOOKUP(DH4,Computes!$C$2:$C$181,Computes!$E$2:$E$181)</f>
        <v>6</v>
      </c>
      <c r="DI2">
        <f>_xlfn.XLOOKUP(DI4,Computes!$C$2:$C$181,Computes!$E$2:$E$181)</f>
        <v>6</v>
      </c>
      <c r="DJ2">
        <f>_xlfn.XLOOKUP(DJ4,Computes!$C$2:$C$181,Computes!$E$2:$E$181)</f>
        <v>6</v>
      </c>
      <c r="DK2">
        <f>_xlfn.XLOOKUP(DK4,Computes!$C$2:$C$181,Computes!$E$2:$E$181)</f>
        <v>7</v>
      </c>
      <c r="DL2">
        <f>_xlfn.XLOOKUP(DL4,Computes!$C$2:$C$181,Computes!$E$2:$E$181)</f>
        <v>7</v>
      </c>
      <c r="DM2">
        <f>_xlfn.XLOOKUP(DM4,Computes!$C$2:$C$181,Computes!$E$2:$E$181)</f>
        <v>7</v>
      </c>
      <c r="DN2">
        <f>_xlfn.XLOOKUP(DN4,Computes!$C$2:$C$181,Computes!$E$2:$E$181)</f>
        <v>7</v>
      </c>
      <c r="DO2">
        <f>_xlfn.XLOOKUP(DO4,Computes!$C$2:$C$181,Computes!$E$2:$E$181)</f>
        <v>7</v>
      </c>
      <c r="DP2">
        <f>_xlfn.XLOOKUP(DP4,Computes!$C$2:$C$181,Computes!$E$2:$E$181)</f>
        <v>7</v>
      </c>
      <c r="DQ2">
        <f>_xlfn.XLOOKUP(DQ4,Computes!$C$2:$C$181,Computes!$E$2:$E$181)</f>
        <v>7</v>
      </c>
      <c r="DR2">
        <f>_xlfn.XLOOKUP(DR4,Computes!$C$2:$C$181,Computes!$E$2:$E$181)</f>
        <v>8</v>
      </c>
      <c r="DS2">
        <f>_xlfn.XLOOKUP(DS4,Computes!$C$2:$C$181,Computes!$E$2:$E$181)</f>
        <v>8</v>
      </c>
      <c r="DT2">
        <f>_xlfn.XLOOKUP(DT4,Computes!$C$2:$C$181,Computes!$E$2:$E$181)</f>
        <v>8</v>
      </c>
      <c r="DU2">
        <f>_xlfn.XLOOKUP(DU4,Computes!$C$2:$C$181,Computes!$E$2:$E$181)</f>
        <v>8</v>
      </c>
      <c r="DV2">
        <f>_xlfn.XLOOKUP(DV4,Computes!$C$2:$C$181,Computes!$E$2:$E$181)</f>
        <v>8</v>
      </c>
      <c r="DW2">
        <f>_xlfn.XLOOKUP(DW4,Computes!$C$2:$C$181,Computes!$E$2:$E$181)</f>
        <v>8</v>
      </c>
      <c r="DX2">
        <f>_xlfn.XLOOKUP(DX4,Computes!$C$2:$C$181,Computes!$E$2:$E$181)</f>
        <v>9</v>
      </c>
      <c r="DY2">
        <f>_xlfn.XLOOKUP(DY4,Computes!$C$2:$C$181,Computes!$E$2:$E$181)</f>
        <v>9</v>
      </c>
      <c r="DZ2">
        <f>_xlfn.XLOOKUP(DZ4,Computes!$C$2:$C$181,Computes!$E$2:$E$181)</f>
        <v>0</v>
      </c>
      <c r="EA2">
        <f>_xlfn.XLOOKUP(EA4,Computes!$C$2:$C$181,Computes!$E$2:$E$181)</f>
        <v>0</v>
      </c>
      <c r="EB2">
        <f>_xlfn.XLOOKUP(EB4,Computes!$C$2:$C$181,Computes!$E$2:$E$181)</f>
        <v>1</v>
      </c>
      <c r="EC2">
        <f>_xlfn.XLOOKUP(EC4,Computes!$C$2:$C$181,Computes!$E$2:$E$181)</f>
        <v>1</v>
      </c>
      <c r="ED2">
        <f>_xlfn.XLOOKUP(ED4,Computes!$C$2:$C$181,Computes!$E$2:$E$181)</f>
        <v>1</v>
      </c>
      <c r="EE2">
        <f>_xlfn.XLOOKUP(EE4,Computes!$C$2:$C$181,Computes!$E$2:$E$181)</f>
        <v>1</v>
      </c>
      <c r="EF2">
        <f>_xlfn.XLOOKUP(EF4,Computes!$C$2:$C$181,Computes!$E$2:$E$181)</f>
        <v>1</v>
      </c>
      <c r="EG2">
        <f>_xlfn.XLOOKUP(EG4,Computes!$C$2:$C$181,Computes!$E$2:$E$181)</f>
        <v>1</v>
      </c>
      <c r="EH2">
        <f>_xlfn.XLOOKUP(EH4,Computes!$C$2:$C$181,Computes!$E$2:$E$181)</f>
        <v>1</v>
      </c>
      <c r="EI2">
        <f>_xlfn.XLOOKUP(EI4,Computes!$C$2:$C$181,Computes!$E$2:$E$181)</f>
        <v>1</v>
      </c>
      <c r="EJ2">
        <f>_xlfn.XLOOKUP(EJ4,Computes!$C$2:$C$181,Computes!$E$2:$E$181)</f>
        <v>2</v>
      </c>
      <c r="EK2">
        <f>_xlfn.XLOOKUP(EK4,Computes!$C$2:$C$181,Computes!$E$2:$E$181)</f>
        <v>2</v>
      </c>
      <c r="EL2">
        <f>_xlfn.XLOOKUP(EL4,Computes!$C$2:$C$181,Computes!$E$2:$E$181)</f>
        <v>2</v>
      </c>
      <c r="EM2">
        <f>_xlfn.XLOOKUP(EM4,Computes!$C$2:$C$181,Computes!$E$2:$E$181)</f>
        <v>2</v>
      </c>
      <c r="EN2">
        <f>_xlfn.XLOOKUP(EN4,Computes!$C$2:$C$181,Computes!$E$2:$E$181)</f>
        <v>2</v>
      </c>
      <c r="EO2">
        <f>_xlfn.XLOOKUP(EO4,Computes!$C$2:$C$181,Computes!$E$2:$E$181)</f>
        <v>2</v>
      </c>
      <c r="EP2">
        <f>_xlfn.XLOOKUP(EP4,Computes!$C$2:$C$181,Computes!$E$2:$E$181)</f>
        <v>2</v>
      </c>
      <c r="EQ2">
        <f>_xlfn.XLOOKUP(EQ4,Computes!$C$2:$C$181,Computes!$E$2:$E$181)</f>
        <v>3</v>
      </c>
      <c r="ER2">
        <f>_xlfn.XLOOKUP(ER4,Computes!$C$2:$C$181,Computes!$E$2:$E$181)</f>
        <v>3</v>
      </c>
      <c r="ES2">
        <f>_xlfn.XLOOKUP(ES4,Computes!$C$2:$C$181,Computes!$E$2:$E$181)</f>
        <v>3</v>
      </c>
      <c r="ET2">
        <f>_xlfn.XLOOKUP(ET4,Computes!$C$2:$C$181,Computes!$E$2:$E$181)</f>
        <v>3</v>
      </c>
      <c r="EU2">
        <f>_xlfn.XLOOKUP(EU4,Computes!$C$2:$C$181,Computes!$E$2:$E$181)</f>
        <v>3</v>
      </c>
      <c r="EV2">
        <f>_xlfn.XLOOKUP(EV4,Computes!$C$2:$C$181,Computes!$E$2:$E$181)</f>
        <v>3</v>
      </c>
      <c r="EW2">
        <f>_xlfn.XLOOKUP(EW4,Computes!$C$2:$C$181,Computes!$E$2:$E$181)</f>
        <v>3</v>
      </c>
      <c r="EX2">
        <f>_xlfn.XLOOKUP(EX4,Computes!$C$2:$C$181,Computes!$E$2:$E$181)</f>
        <v>4</v>
      </c>
      <c r="EY2">
        <f>_xlfn.XLOOKUP(EY4,Computes!$C$2:$C$181,Computes!$E$2:$E$181)</f>
        <v>4</v>
      </c>
      <c r="EZ2">
        <f>_xlfn.XLOOKUP(EZ4,Computes!$C$2:$C$181,Computes!$E$2:$E$181)</f>
        <v>4</v>
      </c>
      <c r="FA2">
        <f>_xlfn.XLOOKUP(FA4,Computes!$C$2:$C$181,Computes!$E$2:$E$181)</f>
        <v>4</v>
      </c>
      <c r="FB2">
        <f>_xlfn.XLOOKUP(FB4,Computes!$C$2:$C$181,Computes!$E$2:$E$181)</f>
        <v>4</v>
      </c>
      <c r="FC2">
        <f>_xlfn.XLOOKUP(FC4,Computes!$C$2:$C$181,Computes!$E$2:$E$181)</f>
        <v>4</v>
      </c>
      <c r="FD2">
        <f>_xlfn.XLOOKUP(FD4,Computes!$C$2:$C$181,Computes!$E$2:$E$181)</f>
        <v>4</v>
      </c>
      <c r="FE2">
        <f>_xlfn.XLOOKUP(FE4,Computes!$C$2:$C$181,Computes!$E$2:$E$181)</f>
        <v>5</v>
      </c>
      <c r="FF2">
        <f>_xlfn.XLOOKUP(FF4,Computes!$C$2:$C$181,Computes!$E$2:$E$181)</f>
        <v>5</v>
      </c>
      <c r="FG2">
        <f>_xlfn.XLOOKUP(FG4,Computes!$C$2:$C$181,Computes!$E$2:$E$181)</f>
        <v>5</v>
      </c>
      <c r="FH2">
        <f>_xlfn.XLOOKUP(FH4,Computes!$C$2:$C$181,Computes!$E$2:$E$181)</f>
        <v>5</v>
      </c>
      <c r="FI2">
        <f>_xlfn.XLOOKUP(FI4,Computes!$C$2:$C$181,Computes!$E$2:$E$181)</f>
        <v>5</v>
      </c>
      <c r="FJ2">
        <f>_xlfn.XLOOKUP(FJ4,Computes!$C$2:$C$181,Computes!$E$2:$E$181)</f>
        <v>5</v>
      </c>
      <c r="FK2">
        <f>_xlfn.XLOOKUP(FK4,Computes!$C$2:$C$181,Computes!$E$2:$E$181)</f>
        <v>5</v>
      </c>
      <c r="FL2">
        <f>_xlfn.XLOOKUP(FL4,Computes!$C$2:$C$181,Computes!$E$2:$E$181)</f>
        <v>6</v>
      </c>
      <c r="FM2">
        <f>_xlfn.XLOOKUP(FM4,Computes!$C$2:$C$181,Computes!$E$2:$E$181)</f>
        <v>6</v>
      </c>
      <c r="FN2">
        <f>_xlfn.XLOOKUP(FN4,Computes!$C$2:$C$181,Computes!$E$2:$E$181)</f>
        <v>6</v>
      </c>
      <c r="FO2">
        <f>_xlfn.XLOOKUP(FO4,Computes!$C$2:$C$181,Computes!$E$2:$E$181)</f>
        <v>6</v>
      </c>
      <c r="FP2">
        <f>_xlfn.XLOOKUP(FP4,Computes!$C$2:$C$181,Computes!$E$2:$E$181)</f>
        <v>6</v>
      </c>
      <c r="FQ2">
        <f>_xlfn.XLOOKUP(FQ4,Computes!$C$2:$C$181,Computes!$E$2:$E$181)</f>
        <v>6</v>
      </c>
      <c r="FR2">
        <f>_xlfn.XLOOKUP(FR4,Computes!$C$2:$C$181,Computes!$E$2:$E$181)</f>
        <v>6</v>
      </c>
      <c r="FS2">
        <f>_xlfn.XLOOKUP(FS4,Computes!$C$2:$C$181,Computes!$E$2:$E$181)</f>
        <v>7</v>
      </c>
      <c r="FT2">
        <f>_xlfn.XLOOKUP(FT4,Computes!$C$2:$C$181,Computes!$E$2:$E$181)</f>
        <v>7</v>
      </c>
      <c r="FU2">
        <f>_xlfn.XLOOKUP(FU4,Computes!$C$2:$C$181,Computes!$E$2:$E$181)</f>
        <v>7</v>
      </c>
      <c r="FV2">
        <f>_xlfn.XLOOKUP(FV4,Computes!$C$2:$C$181,Computes!$E$2:$E$181)</f>
        <v>7</v>
      </c>
      <c r="FW2">
        <f>_xlfn.XLOOKUP(FW4,Computes!$C$2:$C$181,Computes!$E$2:$E$181)</f>
        <v>7</v>
      </c>
      <c r="FX2">
        <f>_xlfn.XLOOKUP(FX4,Computes!$C$2:$C$181,Computes!$E$2:$E$181)</f>
        <v>7</v>
      </c>
      <c r="FY2">
        <f>_xlfn.XLOOKUP(FY4,Computes!$C$2:$C$181,Computes!$E$2:$E$181)</f>
        <v>7</v>
      </c>
      <c r="FZ2">
        <f>_xlfn.XLOOKUP(FZ4,Computes!$C$2:$C$181,Computes!$E$2:$E$181)</f>
        <v>8</v>
      </c>
      <c r="GA2">
        <f>_xlfn.XLOOKUP(GA4,Computes!$C$2:$C$181,Computes!$E$2:$E$181)</f>
        <v>8</v>
      </c>
      <c r="GB2">
        <f>_xlfn.XLOOKUP(GB4,Computes!$C$2:$C$181,Computes!$E$2:$E$181)</f>
        <v>8</v>
      </c>
      <c r="GC2">
        <f>_xlfn.XLOOKUP(GC4,Computes!$C$2:$C$181,Computes!$E$2:$E$181)</f>
        <v>8</v>
      </c>
      <c r="GD2">
        <f>_xlfn.XLOOKUP(GD4,Computes!$C$2:$C$181,Computes!$E$2:$E$181)</f>
        <v>8</v>
      </c>
      <c r="GE2">
        <f>_xlfn.XLOOKUP(GE4,Computes!$C$2:$C$181,Computes!$E$2:$E$181)</f>
        <v>8</v>
      </c>
      <c r="GF2">
        <f>_xlfn.XLOOKUP(GF4,Computes!$C$2:$C$181,Computes!$E$2:$E$181)</f>
        <v>9</v>
      </c>
      <c r="GG2">
        <f>_xlfn.XLOOKUP(GG4,Computes!$C$2:$C$181,Computes!$E$2:$E$181)</f>
        <v>9</v>
      </c>
      <c r="GI2">
        <f>_xlfn.XLOOKUP(GI4,Computes!$C$2:$C$181,Computes!$E$2:$E$181)</f>
        <v>0</v>
      </c>
      <c r="GJ2">
        <f>_xlfn.XLOOKUP(GJ4,Computes!$C$2:$C$181,Computes!$E$2:$E$181)</f>
        <v>0</v>
      </c>
      <c r="GK2">
        <f>_xlfn.XLOOKUP(GK4,Computes!$C$2:$C$181,Computes!$E$2:$E$181)</f>
        <v>1</v>
      </c>
      <c r="GL2">
        <f>_xlfn.XLOOKUP(GL4,Computes!$C$2:$C$181,Computes!$E$2:$E$181)</f>
        <v>1</v>
      </c>
      <c r="GM2">
        <f>_xlfn.XLOOKUP(GM4,Computes!$C$2:$C$181,Computes!$E$2:$E$181)</f>
        <v>1</v>
      </c>
      <c r="GN2">
        <f>_xlfn.XLOOKUP(GN4,Computes!$C$2:$C$181,Computes!$E$2:$E$181)</f>
        <v>1</v>
      </c>
      <c r="GO2">
        <f>_xlfn.XLOOKUP(GO4,Computes!$C$2:$C$181,Computes!$E$2:$E$181)</f>
        <v>1</v>
      </c>
      <c r="GP2">
        <f>_xlfn.XLOOKUP(GP4,Computes!$C$2:$C$181,Computes!$E$2:$E$181)</f>
        <v>1</v>
      </c>
      <c r="GQ2">
        <f>_xlfn.XLOOKUP(GQ4,Computes!$C$2:$C$181,Computes!$E$2:$E$181)</f>
        <v>1</v>
      </c>
      <c r="GR2">
        <f>_xlfn.XLOOKUP(GR4,Computes!$C$2:$C$181,Computes!$E$2:$E$181)</f>
        <v>1</v>
      </c>
      <c r="GS2">
        <f>_xlfn.XLOOKUP(GS4,Computes!$C$2:$C$181,Computes!$E$2:$E$181)</f>
        <v>2</v>
      </c>
      <c r="GT2">
        <f>_xlfn.XLOOKUP(GT4,Computes!$C$2:$C$181,Computes!$E$2:$E$181)</f>
        <v>2</v>
      </c>
      <c r="GU2">
        <f>_xlfn.XLOOKUP(GU4,Computes!$C$2:$C$181,Computes!$E$2:$E$181)</f>
        <v>2</v>
      </c>
      <c r="GV2">
        <f>_xlfn.XLOOKUP(GV4,Computes!$C$2:$C$181,Computes!$E$2:$E$181)</f>
        <v>2</v>
      </c>
      <c r="GW2">
        <f>_xlfn.XLOOKUP(GW4,Computes!$C$2:$C$181,Computes!$E$2:$E$181)</f>
        <v>2</v>
      </c>
      <c r="GX2">
        <f>_xlfn.XLOOKUP(GX4,Computes!$C$2:$C$181,Computes!$E$2:$E$181)</f>
        <v>2</v>
      </c>
      <c r="GY2">
        <f>_xlfn.XLOOKUP(GY4,Computes!$C$2:$C$181,Computes!$E$2:$E$181)</f>
        <v>2</v>
      </c>
      <c r="GZ2">
        <f>_xlfn.XLOOKUP(GZ4,Computes!$C$2:$C$181,Computes!$E$2:$E$181)</f>
        <v>3</v>
      </c>
      <c r="HA2">
        <f>_xlfn.XLOOKUP(HA4,Computes!$C$2:$C$181,Computes!$E$2:$E$181)</f>
        <v>3</v>
      </c>
      <c r="HB2">
        <f>_xlfn.XLOOKUP(HB4,Computes!$C$2:$C$181,Computes!$E$2:$E$181)</f>
        <v>3</v>
      </c>
      <c r="HC2">
        <f>_xlfn.XLOOKUP(HC4,Computes!$C$2:$C$181,Computes!$E$2:$E$181)</f>
        <v>3</v>
      </c>
      <c r="HD2">
        <f>_xlfn.XLOOKUP(HD4,Computes!$C$2:$C$181,Computes!$E$2:$E$181)</f>
        <v>3</v>
      </c>
      <c r="HE2">
        <f>_xlfn.XLOOKUP(HE4,Computes!$C$2:$C$181,Computes!$E$2:$E$181)</f>
        <v>3</v>
      </c>
      <c r="HF2">
        <f>_xlfn.XLOOKUP(HF4,Computes!$C$2:$C$181,Computes!$E$2:$E$181)</f>
        <v>3</v>
      </c>
      <c r="HG2">
        <f>_xlfn.XLOOKUP(HG4,Computes!$C$2:$C$181,Computes!$E$2:$E$181)</f>
        <v>4</v>
      </c>
      <c r="HH2">
        <f>_xlfn.XLOOKUP(HH4,Computes!$C$2:$C$181,Computes!$E$2:$E$181)</f>
        <v>4</v>
      </c>
      <c r="HI2">
        <f>_xlfn.XLOOKUP(HI4,Computes!$C$2:$C$181,Computes!$E$2:$E$181)</f>
        <v>4</v>
      </c>
      <c r="HJ2">
        <f>_xlfn.XLOOKUP(HJ4,Computes!$C$2:$C$181,Computes!$E$2:$E$181)</f>
        <v>4</v>
      </c>
      <c r="HK2">
        <f>_xlfn.XLOOKUP(HK4,Computes!$C$2:$C$181,Computes!$E$2:$E$181)</f>
        <v>4</v>
      </c>
      <c r="HL2">
        <f>_xlfn.XLOOKUP(HL4,Computes!$C$2:$C$181,Computes!$E$2:$E$181)</f>
        <v>4</v>
      </c>
      <c r="HM2">
        <f>_xlfn.XLOOKUP(HM4,Computes!$C$2:$C$181,Computes!$E$2:$E$181)</f>
        <v>4</v>
      </c>
      <c r="HN2">
        <f>_xlfn.XLOOKUP(HN4,Computes!$C$2:$C$181,Computes!$E$2:$E$181)</f>
        <v>5</v>
      </c>
      <c r="HO2">
        <f>_xlfn.XLOOKUP(HO4,Computes!$C$2:$C$181,Computes!$E$2:$E$181)</f>
        <v>5</v>
      </c>
      <c r="HP2">
        <f>_xlfn.XLOOKUP(HP4,Computes!$C$2:$C$181,Computes!$E$2:$E$181)</f>
        <v>5</v>
      </c>
      <c r="HQ2">
        <f>_xlfn.XLOOKUP(HQ4,Computes!$C$2:$C$181,Computes!$E$2:$E$181)</f>
        <v>5</v>
      </c>
      <c r="HR2">
        <f>_xlfn.XLOOKUP(HR4,Computes!$C$2:$C$181,Computes!$E$2:$E$181)</f>
        <v>5</v>
      </c>
      <c r="HS2">
        <f>_xlfn.XLOOKUP(HS4,Computes!$C$2:$C$181,Computes!$E$2:$E$181)</f>
        <v>5</v>
      </c>
      <c r="HT2">
        <f>_xlfn.XLOOKUP(HT4,Computes!$C$2:$C$181,Computes!$E$2:$E$181)</f>
        <v>5</v>
      </c>
      <c r="HU2">
        <f>_xlfn.XLOOKUP(HU4,Computes!$C$2:$C$181,Computes!$E$2:$E$181)</f>
        <v>6</v>
      </c>
      <c r="HV2">
        <f>_xlfn.XLOOKUP(HV4,Computes!$C$2:$C$181,Computes!$E$2:$E$181)</f>
        <v>6</v>
      </c>
      <c r="HW2">
        <f>_xlfn.XLOOKUP(HW4,Computes!$C$2:$C$181,Computes!$E$2:$E$181)</f>
        <v>6</v>
      </c>
      <c r="HX2">
        <f>_xlfn.XLOOKUP(HX4,Computes!$C$2:$C$181,Computes!$E$2:$E$181)</f>
        <v>6</v>
      </c>
      <c r="HY2">
        <f>_xlfn.XLOOKUP(HY4,Computes!$C$2:$C$181,Computes!$E$2:$E$181)</f>
        <v>6</v>
      </c>
      <c r="HZ2">
        <f>_xlfn.XLOOKUP(HZ4,Computes!$C$2:$C$181,Computes!$E$2:$E$181)</f>
        <v>6</v>
      </c>
      <c r="IA2">
        <f>_xlfn.XLOOKUP(IA4,Computes!$C$2:$C$181,Computes!$E$2:$E$181)</f>
        <v>6</v>
      </c>
      <c r="IB2">
        <f>_xlfn.XLOOKUP(IB4,Computes!$C$2:$C$181,Computes!$E$2:$E$181)</f>
        <v>7</v>
      </c>
      <c r="IC2">
        <f>_xlfn.XLOOKUP(IC4,Computes!$C$2:$C$181,Computes!$E$2:$E$181)</f>
        <v>7</v>
      </c>
      <c r="ID2">
        <f>_xlfn.XLOOKUP(ID4,Computes!$C$2:$C$181,Computes!$E$2:$E$181)</f>
        <v>7</v>
      </c>
      <c r="IE2">
        <f>_xlfn.XLOOKUP(IE4,Computes!$C$2:$C$181,Computes!$E$2:$E$181)</f>
        <v>7</v>
      </c>
      <c r="IF2">
        <f>_xlfn.XLOOKUP(IF4,Computes!$C$2:$C$181,Computes!$E$2:$E$181)</f>
        <v>7</v>
      </c>
      <c r="IG2">
        <f>_xlfn.XLOOKUP(IG4,Computes!$C$2:$C$181,Computes!$E$2:$E$181)</f>
        <v>7</v>
      </c>
      <c r="IH2">
        <f>_xlfn.XLOOKUP(IH4,Computes!$C$2:$C$181,Computes!$E$2:$E$181)</f>
        <v>7</v>
      </c>
      <c r="II2">
        <f>_xlfn.XLOOKUP(II4,Computes!$C$2:$C$181,Computes!$E$2:$E$181)</f>
        <v>8</v>
      </c>
      <c r="IJ2">
        <f>_xlfn.XLOOKUP(IJ4,Computes!$C$2:$C$181,Computes!$E$2:$E$181)</f>
        <v>8</v>
      </c>
      <c r="IK2">
        <f>_xlfn.XLOOKUP(IK4,Computes!$C$2:$C$181,Computes!$E$2:$E$181)</f>
        <v>8</v>
      </c>
      <c r="IL2">
        <f>_xlfn.XLOOKUP(IL4,Computes!$C$2:$C$181,Computes!$E$2:$E$181)</f>
        <v>8</v>
      </c>
      <c r="IM2">
        <f>_xlfn.XLOOKUP(IM4,Computes!$C$2:$C$181,Computes!$E$2:$E$181)</f>
        <v>8</v>
      </c>
      <c r="IN2">
        <f>_xlfn.XLOOKUP(IN4,Computes!$C$2:$C$181,Computes!$E$2:$E$181)</f>
        <v>8</v>
      </c>
      <c r="IO2">
        <f>_xlfn.XLOOKUP(IO4,Computes!$C$2:$C$181,Computes!$E$2:$E$181)</f>
        <v>9</v>
      </c>
      <c r="IP2">
        <f>_xlfn.XLOOKUP(IP4,Computes!$C$2:$C$181,Computes!$E$2:$E$181)</f>
        <v>9</v>
      </c>
      <c r="IQ2">
        <f>_xlfn.XLOOKUP(IQ4,Computes!$C$2:$C$181,Computes!$E$2:$E$181)</f>
        <v>0</v>
      </c>
      <c r="IR2">
        <f>_xlfn.XLOOKUP(IR4,Computes!$C$2:$C$181,Computes!$E$2:$E$181)</f>
        <v>0</v>
      </c>
      <c r="IS2">
        <f>_xlfn.XLOOKUP(IS4,Computes!$C$2:$C$181,Computes!$E$2:$E$181)</f>
        <v>1</v>
      </c>
      <c r="IT2">
        <f>_xlfn.XLOOKUP(IT4,Computes!$C$2:$C$181,Computes!$E$2:$E$181)</f>
        <v>1</v>
      </c>
      <c r="IU2">
        <f>_xlfn.XLOOKUP(IU4,Computes!$C$2:$C$181,Computes!$E$2:$E$181)</f>
        <v>1</v>
      </c>
      <c r="IV2">
        <f>_xlfn.XLOOKUP(IV4,Computes!$C$2:$C$181,Computes!$E$2:$E$181)</f>
        <v>1</v>
      </c>
      <c r="IW2">
        <f>_xlfn.XLOOKUP(IW4,Computes!$C$2:$C$181,Computes!$E$2:$E$181)</f>
        <v>1</v>
      </c>
      <c r="IX2">
        <f>_xlfn.XLOOKUP(IX4,Computes!$C$2:$C$181,Computes!$E$2:$E$181)</f>
        <v>1</v>
      </c>
      <c r="IY2">
        <f>_xlfn.XLOOKUP(IY4,Computes!$C$2:$C$181,Computes!$E$2:$E$181)</f>
        <v>1</v>
      </c>
      <c r="IZ2">
        <f>_xlfn.XLOOKUP(IZ4,Computes!$C$2:$C$181,Computes!$E$2:$E$181)</f>
        <v>1</v>
      </c>
      <c r="JA2">
        <f>_xlfn.XLOOKUP(JA4,Computes!$C$2:$C$181,Computes!$E$2:$E$181)</f>
        <v>2</v>
      </c>
      <c r="JB2">
        <f>_xlfn.XLOOKUP(JB4,Computes!$C$2:$C$181,Computes!$E$2:$E$181)</f>
        <v>2</v>
      </c>
      <c r="JC2">
        <f>_xlfn.XLOOKUP(JC4,Computes!$C$2:$C$181,Computes!$E$2:$E$181)</f>
        <v>2</v>
      </c>
      <c r="JD2">
        <f>_xlfn.XLOOKUP(JD4,Computes!$C$2:$C$181,Computes!$E$2:$E$181)</f>
        <v>2</v>
      </c>
      <c r="JE2">
        <f>_xlfn.XLOOKUP(JE4,Computes!$C$2:$C$181,Computes!$E$2:$E$181)</f>
        <v>2</v>
      </c>
      <c r="JF2">
        <f>_xlfn.XLOOKUP(JF4,Computes!$C$2:$C$181,Computes!$E$2:$E$181)</f>
        <v>2</v>
      </c>
      <c r="JG2">
        <f>_xlfn.XLOOKUP(JG4,Computes!$C$2:$C$181,Computes!$E$2:$E$181)</f>
        <v>2</v>
      </c>
      <c r="JH2">
        <f>_xlfn.XLOOKUP(JH4,Computes!$C$2:$C$181,Computes!$E$2:$E$181)</f>
        <v>3</v>
      </c>
      <c r="JI2">
        <f>_xlfn.XLOOKUP(JI4,Computes!$C$2:$C$181,Computes!$E$2:$E$181)</f>
        <v>3</v>
      </c>
      <c r="JJ2">
        <f>_xlfn.XLOOKUP(JJ4,Computes!$C$2:$C$181,Computes!$E$2:$E$181)</f>
        <v>3</v>
      </c>
      <c r="JK2">
        <f>_xlfn.XLOOKUP(JK4,Computes!$C$2:$C$181,Computes!$E$2:$E$181)</f>
        <v>3</v>
      </c>
      <c r="JL2">
        <f>_xlfn.XLOOKUP(JL4,Computes!$C$2:$C$181,Computes!$E$2:$E$181)</f>
        <v>3</v>
      </c>
      <c r="JM2">
        <f>_xlfn.XLOOKUP(JM4,Computes!$C$2:$C$181,Computes!$E$2:$E$181)</f>
        <v>3</v>
      </c>
      <c r="JN2">
        <f>_xlfn.XLOOKUP(JN4,Computes!$C$2:$C$181,Computes!$E$2:$E$181)</f>
        <v>3</v>
      </c>
      <c r="JO2">
        <f>_xlfn.XLOOKUP(JO4,Computes!$C$2:$C$181,Computes!$E$2:$E$181)</f>
        <v>4</v>
      </c>
      <c r="JP2">
        <f>_xlfn.XLOOKUP(JP4,Computes!$C$2:$C$181,Computes!$E$2:$E$181)</f>
        <v>4</v>
      </c>
      <c r="JQ2">
        <f>_xlfn.XLOOKUP(JQ4,Computes!$C$2:$C$181,Computes!$E$2:$E$181)</f>
        <v>4</v>
      </c>
      <c r="JR2">
        <f>_xlfn.XLOOKUP(JR4,Computes!$C$2:$C$181,Computes!$E$2:$E$181)</f>
        <v>4</v>
      </c>
      <c r="JS2">
        <f>_xlfn.XLOOKUP(JS4,Computes!$C$2:$C$181,Computes!$E$2:$E$181)</f>
        <v>4</v>
      </c>
      <c r="JT2">
        <f>_xlfn.XLOOKUP(JT4,Computes!$C$2:$C$181,Computes!$E$2:$E$181)</f>
        <v>4</v>
      </c>
      <c r="JU2">
        <f>_xlfn.XLOOKUP(JU4,Computes!$C$2:$C$181,Computes!$E$2:$E$181)</f>
        <v>4</v>
      </c>
      <c r="JV2">
        <f>_xlfn.XLOOKUP(JV4,Computes!$C$2:$C$181,Computes!$E$2:$E$181)</f>
        <v>5</v>
      </c>
      <c r="JW2">
        <f>_xlfn.XLOOKUP(JW4,Computes!$C$2:$C$181,Computes!$E$2:$E$181)</f>
        <v>5</v>
      </c>
      <c r="JX2">
        <f>_xlfn.XLOOKUP(JX4,Computes!$C$2:$C$181,Computes!$E$2:$E$181)</f>
        <v>5</v>
      </c>
      <c r="JY2">
        <f>_xlfn.XLOOKUP(JY4,Computes!$C$2:$C$181,Computes!$E$2:$E$181)</f>
        <v>5</v>
      </c>
      <c r="JZ2">
        <f>_xlfn.XLOOKUP(JZ4,Computes!$C$2:$C$181,Computes!$E$2:$E$181)</f>
        <v>5</v>
      </c>
      <c r="KA2">
        <f>_xlfn.XLOOKUP(KA4,Computes!$C$2:$C$181,Computes!$E$2:$E$181)</f>
        <v>5</v>
      </c>
      <c r="KB2">
        <f>_xlfn.XLOOKUP(KB4,Computes!$C$2:$C$181,Computes!$E$2:$E$181)</f>
        <v>5</v>
      </c>
      <c r="KC2">
        <f>_xlfn.XLOOKUP(KC4,Computes!$C$2:$C$181,Computes!$E$2:$E$181)</f>
        <v>6</v>
      </c>
      <c r="KD2">
        <f>_xlfn.XLOOKUP(KD4,Computes!$C$2:$C$181,Computes!$E$2:$E$181)</f>
        <v>6</v>
      </c>
      <c r="KE2">
        <f>_xlfn.XLOOKUP(KE4,Computes!$C$2:$C$181,Computes!$E$2:$E$181)</f>
        <v>6</v>
      </c>
      <c r="KF2">
        <f>_xlfn.XLOOKUP(KF4,Computes!$C$2:$C$181,Computes!$E$2:$E$181)</f>
        <v>6</v>
      </c>
      <c r="KG2">
        <f>_xlfn.XLOOKUP(KG4,Computes!$C$2:$C$181,Computes!$E$2:$E$181)</f>
        <v>6</v>
      </c>
      <c r="KH2">
        <f>_xlfn.XLOOKUP(KH4,Computes!$C$2:$C$181,Computes!$E$2:$E$181)</f>
        <v>6</v>
      </c>
      <c r="KI2">
        <f>_xlfn.XLOOKUP(KI4,Computes!$C$2:$C$181,Computes!$E$2:$E$181)</f>
        <v>6</v>
      </c>
      <c r="KJ2">
        <f>_xlfn.XLOOKUP(KJ4,Computes!$C$2:$C$181,Computes!$E$2:$E$181)</f>
        <v>7</v>
      </c>
      <c r="KK2">
        <f>_xlfn.XLOOKUP(KK4,Computes!$C$2:$C$181,Computes!$E$2:$E$181)</f>
        <v>7</v>
      </c>
      <c r="KL2">
        <f>_xlfn.XLOOKUP(KL4,Computes!$C$2:$C$181,Computes!$E$2:$E$181)</f>
        <v>7</v>
      </c>
      <c r="KM2">
        <f>_xlfn.XLOOKUP(KM4,Computes!$C$2:$C$181,Computes!$E$2:$E$181)</f>
        <v>7</v>
      </c>
      <c r="KN2">
        <f>_xlfn.XLOOKUP(KN4,Computes!$C$2:$C$181,Computes!$E$2:$E$181)</f>
        <v>7</v>
      </c>
      <c r="KO2">
        <f>_xlfn.XLOOKUP(KO4,Computes!$C$2:$C$181,Computes!$E$2:$E$181)</f>
        <v>7</v>
      </c>
      <c r="KP2">
        <f>_xlfn.XLOOKUP(KP4,Computes!$C$2:$C$181,Computes!$E$2:$E$181)</f>
        <v>7</v>
      </c>
      <c r="KQ2">
        <f>_xlfn.XLOOKUP(KQ4,Computes!$C$2:$C$181,Computes!$E$2:$E$181)</f>
        <v>8</v>
      </c>
      <c r="KR2">
        <f>_xlfn.XLOOKUP(KR4,Computes!$C$2:$C$181,Computes!$E$2:$E$181)</f>
        <v>8</v>
      </c>
      <c r="KS2">
        <f>_xlfn.XLOOKUP(KS4,Computes!$C$2:$C$181,Computes!$E$2:$E$181)</f>
        <v>8</v>
      </c>
      <c r="KT2">
        <f>_xlfn.XLOOKUP(KT4,Computes!$C$2:$C$181,Computes!$E$2:$E$181)</f>
        <v>8</v>
      </c>
      <c r="KU2">
        <f>_xlfn.XLOOKUP(KU4,Computes!$C$2:$C$181,Computes!$E$2:$E$181)</f>
        <v>8</v>
      </c>
      <c r="KV2">
        <f>_xlfn.XLOOKUP(KV4,Computes!$C$2:$C$181,Computes!$E$2:$E$181)</f>
        <v>8</v>
      </c>
      <c r="KW2">
        <f>_xlfn.XLOOKUP(KW4,Computes!$C$2:$C$181,Computes!$E$2:$E$181)</f>
        <v>9</v>
      </c>
      <c r="KX2">
        <f>_xlfn.XLOOKUP(KX4,Computes!$C$2:$C$181,Computes!$E$2:$E$181)</f>
        <v>9</v>
      </c>
      <c r="KY2">
        <f>_xlfn.XLOOKUP(KY4,Computes!$C$2:$C$181,Computes!$E$2:$E$181)</f>
        <v>0</v>
      </c>
      <c r="KZ2">
        <f>_xlfn.XLOOKUP(KZ4,Computes!$C$2:$C$181,Computes!$E$2:$E$181)</f>
        <v>0</v>
      </c>
      <c r="LA2">
        <f>_xlfn.XLOOKUP(LA4,Computes!$C$2:$C$181,Computes!$E$2:$E$181)</f>
        <v>1</v>
      </c>
      <c r="LB2">
        <f>_xlfn.XLOOKUP(LB4,Computes!$C$2:$C$181,Computes!$E$2:$E$181)</f>
        <v>1</v>
      </c>
      <c r="LC2">
        <f>_xlfn.XLOOKUP(LC4,Computes!$C$2:$C$181,Computes!$E$2:$E$181)</f>
        <v>1</v>
      </c>
      <c r="LD2">
        <f>_xlfn.XLOOKUP(LD4,Computes!$C$2:$C$181,Computes!$E$2:$E$181)</f>
        <v>1</v>
      </c>
      <c r="LE2">
        <f>_xlfn.XLOOKUP(LE4,Computes!$C$2:$C$181,Computes!$E$2:$E$181)</f>
        <v>1</v>
      </c>
      <c r="LF2">
        <f>_xlfn.XLOOKUP(LF4,Computes!$C$2:$C$181,Computes!$E$2:$E$181)</f>
        <v>1</v>
      </c>
      <c r="LG2">
        <f>_xlfn.XLOOKUP(LG4,Computes!$C$2:$C$181,Computes!$E$2:$E$181)</f>
        <v>1</v>
      </c>
      <c r="LH2">
        <f>_xlfn.XLOOKUP(LH4,Computes!$C$2:$C$181,Computes!$E$2:$E$181)</f>
        <v>1</v>
      </c>
      <c r="LI2">
        <f>_xlfn.XLOOKUP(LI4,Computes!$C$2:$C$181,Computes!$E$2:$E$181)</f>
        <v>2</v>
      </c>
      <c r="LJ2">
        <f>_xlfn.XLOOKUP(LJ4,Computes!$C$2:$C$181,Computes!$E$2:$E$181)</f>
        <v>2</v>
      </c>
      <c r="LK2">
        <f>_xlfn.XLOOKUP(LK4,Computes!$C$2:$C$181,Computes!$E$2:$E$181)</f>
        <v>2</v>
      </c>
      <c r="LL2">
        <f>_xlfn.XLOOKUP(LL4,Computes!$C$2:$C$181,Computes!$E$2:$E$181)</f>
        <v>2</v>
      </c>
      <c r="LM2">
        <f>_xlfn.XLOOKUP(LM4,Computes!$C$2:$C$181,Computes!$E$2:$E$181)</f>
        <v>2</v>
      </c>
      <c r="LN2">
        <f>_xlfn.XLOOKUP(LN4,Computes!$C$2:$C$181,Computes!$E$2:$E$181)</f>
        <v>2</v>
      </c>
      <c r="LO2">
        <f>_xlfn.XLOOKUP(LO4,Computes!$C$2:$C$181,Computes!$E$2:$E$181)</f>
        <v>2</v>
      </c>
      <c r="LP2">
        <f>_xlfn.XLOOKUP(LP4,Computes!$C$2:$C$181,Computes!$E$2:$E$181)</f>
        <v>3</v>
      </c>
      <c r="LQ2">
        <f>_xlfn.XLOOKUP(LQ4,Computes!$C$2:$C$181,Computes!$E$2:$E$181)</f>
        <v>3</v>
      </c>
      <c r="LR2">
        <f>_xlfn.XLOOKUP(LR4,Computes!$C$2:$C$181,Computes!$E$2:$E$181)</f>
        <v>3</v>
      </c>
      <c r="LS2">
        <f>_xlfn.XLOOKUP(LS4,Computes!$C$2:$C$181,Computes!$E$2:$E$181)</f>
        <v>3</v>
      </c>
      <c r="LT2">
        <f>_xlfn.XLOOKUP(LT4,Computes!$C$2:$C$181,Computes!$E$2:$E$181)</f>
        <v>3</v>
      </c>
      <c r="LU2">
        <f>_xlfn.XLOOKUP(LU4,Computes!$C$2:$C$181,Computes!$E$2:$E$181)</f>
        <v>3</v>
      </c>
      <c r="LV2">
        <f>_xlfn.XLOOKUP(LV4,Computes!$C$2:$C$181,Computes!$E$2:$E$181)</f>
        <v>3</v>
      </c>
      <c r="LW2">
        <f>_xlfn.XLOOKUP(LW4,Computes!$C$2:$C$181,Computes!$E$2:$E$181)</f>
        <v>4</v>
      </c>
      <c r="LX2">
        <f>_xlfn.XLOOKUP(LX4,Computes!$C$2:$C$181,Computes!$E$2:$E$181)</f>
        <v>4</v>
      </c>
      <c r="LY2">
        <f>_xlfn.XLOOKUP(LY4,Computes!$C$2:$C$181,Computes!$E$2:$E$181)</f>
        <v>4</v>
      </c>
      <c r="LZ2">
        <f>_xlfn.XLOOKUP(LZ4,Computes!$C$2:$C$181,Computes!$E$2:$E$181)</f>
        <v>4</v>
      </c>
      <c r="MA2">
        <f>_xlfn.XLOOKUP(MA4,Computes!$C$2:$C$181,Computes!$E$2:$E$181)</f>
        <v>4</v>
      </c>
      <c r="MB2">
        <f>_xlfn.XLOOKUP(MB4,Computes!$C$2:$C$181,Computes!$E$2:$E$181)</f>
        <v>4</v>
      </c>
      <c r="MC2">
        <f>_xlfn.XLOOKUP(MC4,Computes!$C$2:$C$181,Computes!$E$2:$E$181)</f>
        <v>4</v>
      </c>
      <c r="MD2">
        <f>_xlfn.XLOOKUP(MD4,Computes!$C$2:$C$181,Computes!$E$2:$E$181)</f>
        <v>5</v>
      </c>
      <c r="ME2">
        <f>_xlfn.XLOOKUP(ME4,Computes!$C$2:$C$181,Computes!$E$2:$E$181)</f>
        <v>5</v>
      </c>
      <c r="MF2">
        <f>_xlfn.XLOOKUP(MF4,Computes!$C$2:$C$181,Computes!$E$2:$E$181)</f>
        <v>5</v>
      </c>
      <c r="MG2">
        <f>_xlfn.XLOOKUP(MG4,Computes!$C$2:$C$181,Computes!$E$2:$E$181)</f>
        <v>5</v>
      </c>
      <c r="MH2">
        <f>_xlfn.XLOOKUP(MH4,Computes!$C$2:$C$181,Computes!$E$2:$E$181)</f>
        <v>5</v>
      </c>
      <c r="MI2">
        <f>_xlfn.XLOOKUP(MI4,Computes!$C$2:$C$181,Computes!$E$2:$E$181)</f>
        <v>5</v>
      </c>
      <c r="MJ2">
        <f>_xlfn.XLOOKUP(MJ4,Computes!$C$2:$C$181,Computes!$E$2:$E$181)</f>
        <v>5</v>
      </c>
      <c r="MK2">
        <f>_xlfn.XLOOKUP(MK4,Computes!$C$2:$C$181,Computes!$E$2:$E$181)</f>
        <v>6</v>
      </c>
      <c r="ML2">
        <f>_xlfn.XLOOKUP(ML4,Computes!$C$2:$C$181,Computes!$E$2:$E$181)</f>
        <v>6</v>
      </c>
      <c r="MM2">
        <f>_xlfn.XLOOKUP(MM4,Computes!$C$2:$C$181,Computes!$E$2:$E$181)</f>
        <v>6</v>
      </c>
      <c r="MN2">
        <f>_xlfn.XLOOKUP(MN4,Computes!$C$2:$C$181,Computes!$E$2:$E$181)</f>
        <v>6</v>
      </c>
      <c r="MO2">
        <f>_xlfn.XLOOKUP(MO4,Computes!$C$2:$C$181,Computes!$E$2:$E$181)</f>
        <v>6</v>
      </c>
      <c r="MP2">
        <f>_xlfn.XLOOKUP(MP4,Computes!$C$2:$C$181,Computes!$E$2:$E$181)</f>
        <v>6</v>
      </c>
      <c r="MQ2">
        <f>_xlfn.XLOOKUP(MQ4,Computes!$C$2:$C$181,Computes!$E$2:$E$181)</f>
        <v>6</v>
      </c>
      <c r="MR2">
        <f>_xlfn.XLOOKUP(MR4,Computes!$C$2:$C$181,Computes!$E$2:$E$181)</f>
        <v>7</v>
      </c>
      <c r="MS2">
        <f>_xlfn.XLOOKUP(MS4,Computes!$C$2:$C$181,Computes!$E$2:$E$181)</f>
        <v>7</v>
      </c>
      <c r="MT2">
        <f>_xlfn.XLOOKUP(MT4,Computes!$C$2:$C$181,Computes!$E$2:$E$181)</f>
        <v>7</v>
      </c>
      <c r="MU2">
        <f>_xlfn.XLOOKUP(MU4,Computes!$C$2:$C$181,Computes!$E$2:$E$181)</f>
        <v>7</v>
      </c>
      <c r="MV2">
        <f>_xlfn.XLOOKUP(MV4,Computes!$C$2:$C$181,Computes!$E$2:$E$181)</f>
        <v>7</v>
      </c>
      <c r="MW2">
        <f>_xlfn.XLOOKUP(MW4,Computes!$C$2:$C$181,Computes!$E$2:$E$181)</f>
        <v>7</v>
      </c>
      <c r="MX2">
        <f>_xlfn.XLOOKUP(MX4,Computes!$C$2:$C$181,Computes!$E$2:$E$181)</f>
        <v>7</v>
      </c>
      <c r="MY2">
        <f>_xlfn.XLOOKUP(MY4,Computes!$C$2:$C$181,Computes!$E$2:$E$181)</f>
        <v>8</v>
      </c>
      <c r="MZ2">
        <f>_xlfn.XLOOKUP(MZ4,Computes!$C$2:$C$181,Computes!$E$2:$E$181)</f>
        <v>8</v>
      </c>
      <c r="NA2">
        <f>_xlfn.XLOOKUP(NA4,Computes!$C$2:$C$181,Computes!$E$2:$E$181)</f>
        <v>8</v>
      </c>
      <c r="NB2">
        <f>_xlfn.XLOOKUP(NB4,Computes!$C$2:$C$181,Computes!$E$2:$E$181)</f>
        <v>8</v>
      </c>
      <c r="NC2">
        <f>_xlfn.XLOOKUP(NC4,Computes!$C$2:$C$181,Computes!$E$2:$E$181)</f>
        <v>8</v>
      </c>
      <c r="ND2">
        <f>_xlfn.XLOOKUP(ND4,Computes!$C$2:$C$181,Computes!$E$2:$E$181)</f>
        <v>8</v>
      </c>
      <c r="NE2">
        <f>_xlfn.XLOOKUP(NE4,Computes!$C$2:$C$181,Computes!$E$2:$E$181)</f>
        <v>9</v>
      </c>
      <c r="NF2">
        <f>_xlfn.XLOOKUP(NF4,Computes!$C$2:$C$181,Computes!$E$2:$E$181)</f>
        <v>9</v>
      </c>
    </row>
    <row r="3" spans="1:399" x14ac:dyDescent="0.3">
      <c r="I3" t="s">
        <v>377</v>
      </c>
      <c r="J3">
        <f>_xlfn.XLOOKUP(J4,Computes!$C$2:$C$181,Computes!$D$2:$D$181)</f>
        <v>1</v>
      </c>
      <c r="K3">
        <f>_xlfn.XLOOKUP(K4,Computes!$C$2:$C$181,Computes!$D$2:$D$181)</f>
        <v>2</v>
      </c>
      <c r="L3">
        <f>_xlfn.XLOOKUP(L4,Computes!$C$2:$C$181,Computes!$D$2:$D$181)</f>
        <v>1</v>
      </c>
      <c r="M3">
        <f>_xlfn.XLOOKUP(M4,Computes!$C$2:$C$181,Computes!$D$2:$D$181)</f>
        <v>2</v>
      </c>
      <c r="N3">
        <f>_xlfn.XLOOKUP(N4,Computes!$C$2:$C$181,Computes!$D$2:$D$181)</f>
        <v>3</v>
      </c>
      <c r="O3">
        <f>_xlfn.XLOOKUP(O4,Computes!$C$2:$C$181,Computes!$D$2:$D$181)</f>
        <v>4</v>
      </c>
      <c r="P3">
        <f>_xlfn.XLOOKUP(P4,Computes!$C$2:$C$181,Computes!$D$2:$D$181)</f>
        <v>5</v>
      </c>
      <c r="Q3">
        <f>_xlfn.XLOOKUP(Q4,Computes!$C$2:$C$181,Computes!$D$2:$D$181)</f>
        <v>6</v>
      </c>
      <c r="R3">
        <f>_xlfn.XLOOKUP(R4,Computes!$C$2:$C$181,Computes!$D$2:$D$181)</f>
        <v>7</v>
      </c>
      <c r="S3">
        <f>_xlfn.XLOOKUP(S4,Computes!$C$2:$C$181,Computes!$D$2:$D$181)</f>
        <v>1</v>
      </c>
      <c r="T3">
        <f>_xlfn.XLOOKUP(T4,Computes!$C$2:$C$181,Computes!$D$2:$D$181)</f>
        <v>2</v>
      </c>
      <c r="U3">
        <f>_xlfn.XLOOKUP(U4,Computes!$C$2:$C$181,Computes!$D$2:$D$181)</f>
        <v>3</v>
      </c>
      <c r="V3">
        <f>_xlfn.XLOOKUP(V4,Computes!$C$2:$C$181,Computes!$D$2:$D$181)</f>
        <v>4</v>
      </c>
      <c r="W3">
        <f>_xlfn.XLOOKUP(W4,Computes!$C$2:$C$181,Computes!$D$2:$D$181)</f>
        <v>5</v>
      </c>
      <c r="X3">
        <f>_xlfn.XLOOKUP(X4,Computes!$C$2:$C$181,Computes!$D$2:$D$181)</f>
        <v>6</v>
      </c>
      <c r="Y3">
        <f>_xlfn.XLOOKUP(Y4,Computes!$C$2:$C$181,Computes!$D$2:$D$181)</f>
        <v>7</v>
      </c>
      <c r="Z3">
        <f>_xlfn.XLOOKUP(Z4,Computes!$C$2:$C$181,Computes!$D$2:$D$181)</f>
        <v>1</v>
      </c>
      <c r="AA3">
        <f>_xlfn.XLOOKUP(AA4,Computes!$C$2:$C$181,Computes!$D$2:$D$181)</f>
        <v>2</v>
      </c>
      <c r="AB3">
        <f>_xlfn.XLOOKUP(AB4,Computes!$C$2:$C$181,Computes!$D$2:$D$181)</f>
        <v>3</v>
      </c>
      <c r="AC3">
        <f>_xlfn.XLOOKUP(AC4,Computes!$C$2:$C$181,Computes!$D$2:$D$181)</f>
        <v>4</v>
      </c>
      <c r="AD3">
        <f>_xlfn.XLOOKUP(AD4,Computes!$C$2:$C$181,Computes!$D$2:$D$181)</f>
        <v>5</v>
      </c>
      <c r="AE3">
        <f>_xlfn.XLOOKUP(AE4,Computes!$C$2:$C$181,Computes!$D$2:$D$181)</f>
        <v>6</v>
      </c>
      <c r="AF3">
        <f>_xlfn.XLOOKUP(AF4,Computes!$C$2:$C$181,Computes!$D$2:$D$181)</f>
        <v>7</v>
      </c>
      <c r="AG3">
        <f>_xlfn.XLOOKUP(AG4,Computes!$C$2:$C$181,Computes!$D$2:$D$181)</f>
        <v>1</v>
      </c>
      <c r="AH3">
        <f>_xlfn.XLOOKUP(AH4,Computes!$C$2:$C$181,Computes!$D$2:$D$181)</f>
        <v>2</v>
      </c>
      <c r="AI3">
        <f>_xlfn.XLOOKUP(AI4,Computes!$C$2:$C$181,Computes!$D$2:$D$181)</f>
        <v>3</v>
      </c>
      <c r="AJ3">
        <f>_xlfn.XLOOKUP(AJ4,Computes!$C$2:$C$181,Computes!$D$2:$D$181)</f>
        <v>4</v>
      </c>
      <c r="AK3">
        <f>_xlfn.XLOOKUP(AK4,Computes!$C$2:$C$181,Computes!$D$2:$D$181)</f>
        <v>5</v>
      </c>
      <c r="AL3">
        <f>_xlfn.XLOOKUP(AL4,Computes!$C$2:$C$181,Computes!$D$2:$D$181)</f>
        <v>6</v>
      </c>
      <c r="AM3">
        <f>_xlfn.XLOOKUP(AM4,Computes!$C$2:$C$181,Computes!$D$2:$D$181)</f>
        <v>7</v>
      </c>
      <c r="AN3">
        <f>_xlfn.XLOOKUP(AN4,Computes!$C$2:$C$181,Computes!$D$2:$D$181)</f>
        <v>1</v>
      </c>
      <c r="AO3">
        <f>_xlfn.XLOOKUP(AO4,Computes!$C$2:$C$181,Computes!$D$2:$D$181)</f>
        <v>2</v>
      </c>
      <c r="AP3">
        <f>_xlfn.XLOOKUP(AP4,Computes!$C$2:$C$181,Computes!$D$2:$D$181)</f>
        <v>3</v>
      </c>
      <c r="AQ3">
        <f>_xlfn.XLOOKUP(AQ4,Computes!$C$2:$C$181,Computes!$D$2:$D$181)</f>
        <v>4</v>
      </c>
      <c r="AR3">
        <f>_xlfn.XLOOKUP(AR4,Computes!$C$2:$C$181,Computes!$D$2:$D$181)</f>
        <v>5</v>
      </c>
      <c r="AS3">
        <f>_xlfn.XLOOKUP(AS4,Computes!$C$2:$C$181,Computes!$D$2:$D$181)</f>
        <v>6</v>
      </c>
      <c r="AT3">
        <f>_xlfn.XLOOKUP(AT4,Computes!$C$2:$C$181,Computes!$D$2:$D$181)</f>
        <v>7</v>
      </c>
      <c r="AU3">
        <f>_xlfn.XLOOKUP(AU4,Computes!$C$2:$C$181,Computes!$D$2:$D$181)</f>
        <v>1</v>
      </c>
      <c r="AV3">
        <f>_xlfn.XLOOKUP(AV4,Computes!$C$2:$C$181,Computes!$D$2:$D$181)</f>
        <v>2</v>
      </c>
      <c r="AW3">
        <f>_xlfn.XLOOKUP(AW4,Computes!$C$2:$C$181,Computes!$D$2:$D$181)</f>
        <v>3</v>
      </c>
      <c r="AX3">
        <f>_xlfn.XLOOKUP(AX4,Computes!$C$2:$C$181,Computes!$D$2:$D$181)</f>
        <v>4</v>
      </c>
      <c r="AY3">
        <f>_xlfn.XLOOKUP(AY4,Computes!$C$2:$C$181,Computes!$D$2:$D$181)</f>
        <v>5</v>
      </c>
      <c r="AZ3">
        <f>_xlfn.XLOOKUP(AZ4,Computes!$C$2:$C$181,Computes!$D$2:$D$181)</f>
        <v>6</v>
      </c>
      <c r="BA3">
        <f>_xlfn.XLOOKUP(BA4,Computes!$C$2:$C$181,Computes!$D$2:$D$181)</f>
        <v>7</v>
      </c>
      <c r="BB3">
        <f>_xlfn.XLOOKUP(BB4,Computes!$C$2:$C$181,Computes!$D$2:$D$181)</f>
        <v>1</v>
      </c>
      <c r="BC3">
        <f>_xlfn.XLOOKUP(BC4,Computes!$C$2:$C$181,Computes!$D$2:$D$181)</f>
        <v>2</v>
      </c>
      <c r="BD3">
        <f>_xlfn.XLOOKUP(BD4,Computes!$C$2:$C$181,Computes!$D$2:$D$181)</f>
        <v>3</v>
      </c>
      <c r="BE3">
        <f>_xlfn.XLOOKUP(BE4,Computes!$C$2:$C$181,Computes!$D$2:$D$181)</f>
        <v>4</v>
      </c>
      <c r="BF3">
        <f>_xlfn.XLOOKUP(BF4,Computes!$C$2:$C$181,Computes!$D$2:$D$181)</f>
        <v>5</v>
      </c>
      <c r="BG3">
        <f>_xlfn.XLOOKUP(BG4,Computes!$C$2:$C$181,Computes!$D$2:$D$181)</f>
        <v>6</v>
      </c>
      <c r="BH3">
        <f>_xlfn.XLOOKUP(BH4,Computes!$C$2:$C$181,Computes!$D$2:$D$181)</f>
        <v>7</v>
      </c>
      <c r="BI3">
        <f>_xlfn.XLOOKUP(BI4,Computes!$C$2:$C$181,Computes!$D$2:$D$181)</f>
        <v>1</v>
      </c>
      <c r="BJ3">
        <f>_xlfn.XLOOKUP(BJ4,Computes!$C$2:$C$181,Computes!$D$2:$D$181)</f>
        <v>2</v>
      </c>
      <c r="BK3">
        <f>_xlfn.XLOOKUP(BK4,Computes!$C$2:$C$181,Computes!$D$2:$D$181)</f>
        <v>3</v>
      </c>
      <c r="BL3">
        <f>_xlfn.XLOOKUP(BL4,Computes!$C$2:$C$181,Computes!$D$2:$D$181)</f>
        <v>4</v>
      </c>
      <c r="BM3">
        <f>_xlfn.XLOOKUP(BM4,Computes!$C$2:$C$181,Computes!$D$2:$D$181)</f>
        <v>5</v>
      </c>
      <c r="BN3">
        <f>_xlfn.XLOOKUP(BN4,Computes!$C$2:$C$181,Computes!$D$2:$D$181)</f>
        <v>6</v>
      </c>
      <c r="BO3">
        <f>_xlfn.XLOOKUP(BO4,Computes!$C$2:$C$181,Computes!$D$2:$D$181)</f>
        <v>7</v>
      </c>
      <c r="BP3">
        <f>_xlfn.XLOOKUP(BP4,Computes!$C$2:$C$181,Computes!$D$2:$D$181)</f>
        <v>1</v>
      </c>
      <c r="BQ3">
        <f>_xlfn.XLOOKUP(BQ4,Computes!$C$2:$C$181,Computes!$D$2:$D$181)</f>
        <v>2</v>
      </c>
      <c r="BR3">
        <f>_xlfn.XLOOKUP(BR4,Computes!$C$2:$C$181,Computes!$D$2:$D$181)</f>
        <v>1</v>
      </c>
      <c r="BS3">
        <f>_xlfn.XLOOKUP(BS4,Computes!$C$2:$C$181,Computes!$D$2:$D$181)</f>
        <v>2</v>
      </c>
      <c r="BT3">
        <f>_xlfn.XLOOKUP(BT4,Computes!$C$2:$C$181,Computes!$D$2:$D$181)</f>
        <v>1</v>
      </c>
      <c r="BU3">
        <f>_xlfn.XLOOKUP(BU4,Computes!$C$2:$C$181,Computes!$D$2:$D$181)</f>
        <v>2</v>
      </c>
      <c r="BV3">
        <f>_xlfn.XLOOKUP(BV4,Computes!$C$2:$C$181,Computes!$D$2:$D$181)</f>
        <v>3</v>
      </c>
      <c r="BW3">
        <f>_xlfn.XLOOKUP(BW4,Computes!$C$2:$C$181,Computes!$D$2:$D$181)</f>
        <v>4</v>
      </c>
      <c r="BX3">
        <f>_xlfn.XLOOKUP(BX4,Computes!$C$2:$C$181,Computes!$D$2:$D$181)</f>
        <v>5</v>
      </c>
      <c r="BY3">
        <f>_xlfn.XLOOKUP(BY4,Computes!$C$2:$C$181,Computes!$D$2:$D$181)</f>
        <v>6</v>
      </c>
      <c r="BZ3">
        <f>_xlfn.XLOOKUP(BZ4,Computes!$C$2:$C$181,Computes!$D$2:$D$181)</f>
        <v>7</v>
      </c>
      <c r="CA3">
        <f>_xlfn.XLOOKUP(CA4,Computes!$C$2:$C$181,Computes!$D$2:$D$181)</f>
        <v>1</v>
      </c>
      <c r="CB3">
        <f>_xlfn.XLOOKUP(CB4,Computes!$C$2:$C$181,Computes!$D$2:$D$181)</f>
        <v>2</v>
      </c>
      <c r="CC3">
        <f>_xlfn.XLOOKUP(CC4,Computes!$C$2:$C$181,Computes!$D$2:$D$181)</f>
        <v>3</v>
      </c>
      <c r="CD3">
        <f>_xlfn.XLOOKUP(CD4,Computes!$C$2:$C$181,Computes!$D$2:$D$181)</f>
        <v>4</v>
      </c>
      <c r="CE3">
        <f>_xlfn.XLOOKUP(CE4,Computes!$C$2:$C$181,Computes!$D$2:$D$181)</f>
        <v>5</v>
      </c>
      <c r="CF3">
        <f>_xlfn.XLOOKUP(CF4,Computes!$C$2:$C$181,Computes!$D$2:$D$181)</f>
        <v>6</v>
      </c>
      <c r="CG3">
        <f>_xlfn.XLOOKUP(CG4,Computes!$C$2:$C$181,Computes!$D$2:$D$181)</f>
        <v>7</v>
      </c>
      <c r="CH3">
        <f>_xlfn.XLOOKUP(CH4,Computes!$C$2:$C$181,Computes!$D$2:$D$181)</f>
        <v>1</v>
      </c>
      <c r="CI3">
        <f>_xlfn.XLOOKUP(CI4,Computes!$C$2:$C$181,Computes!$D$2:$D$181)</f>
        <v>2</v>
      </c>
      <c r="CJ3">
        <f>_xlfn.XLOOKUP(CJ4,Computes!$C$2:$C$181,Computes!$D$2:$D$181)</f>
        <v>3</v>
      </c>
      <c r="CK3">
        <f>_xlfn.XLOOKUP(CK4,Computes!$C$2:$C$181,Computes!$D$2:$D$181)</f>
        <v>4</v>
      </c>
      <c r="CL3">
        <f>_xlfn.XLOOKUP(CL4,Computes!$C$2:$C$181,Computes!$D$2:$D$181)</f>
        <v>5</v>
      </c>
      <c r="CM3">
        <f>_xlfn.XLOOKUP(CM4,Computes!$C$2:$C$181,Computes!$D$2:$D$181)</f>
        <v>6</v>
      </c>
      <c r="CN3">
        <f>_xlfn.XLOOKUP(CN4,Computes!$C$2:$C$181,Computes!$D$2:$D$181)</f>
        <v>7</v>
      </c>
      <c r="CO3">
        <f>_xlfn.XLOOKUP(CO4,Computes!$C$2:$C$181,Computes!$D$2:$D$181)</f>
        <v>1</v>
      </c>
      <c r="CP3">
        <f>_xlfn.XLOOKUP(CP4,Computes!$C$2:$C$181,Computes!$D$2:$D$181)</f>
        <v>2</v>
      </c>
      <c r="CQ3">
        <f>_xlfn.XLOOKUP(CQ4,Computes!$C$2:$C$181,Computes!$D$2:$D$181)</f>
        <v>3</v>
      </c>
      <c r="CR3">
        <f>_xlfn.XLOOKUP(CR4,Computes!$C$2:$C$181,Computes!$D$2:$D$181)</f>
        <v>4</v>
      </c>
      <c r="CS3">
        <f>_xlfn.XLOOKUP(CS4,Computes!$C$2:$C$181,Computes!$D$2:$D$181)</f>
        <v>5</v>
      </c>
      <c r="CT3">
        <f>_xlfn.XLOOKUP(CT4,Computes!$C$2:$C$181,Computes!$D$2:$D$181)</f>
        <v>6</v>
      </c>
      <c r="CU3">
        <f>_xlfn.XLOOKUP(CU4,Computes!$C$2:$C$181,Computes!$D$2:$D$181)</f>
        <v>7</v>
      </c>
      <c r="CV3">
        <f>_xlfn.XLOOKUP(CV4,Computes!$C$2:$C$181,Computes!$D$2:$D$181)</f>
        <v>1</v>
      </c>
      <c r="CW3">
        <f>_xlfn.XLOOKUP(CW4,Computes!$C$2:$C$181,Computes!$D$2:$D$181)</f>
        <v>2</v>
      </c>
      <c r="CX3">
        <f>_xlfn.XLOOKUP(CX4,Computes!$C$2:$C$181,Computes!$D$2:$D$181)</f>
        <v>3</v>
      </c>
      <c r="CY3">
        <f>_xlfn.XLOOKUP(CY4,Computes!$C$2:$C$181,Computes!$D$2:$D$181)</f>
        <v>4</v>
      </c>
      <c r="CZ3">
        <f>_xlfn.XLOOKUP(CZ4,Computes!$C$2:$C$181,Computes!$D$2:$D$181)</f>
        <v>5</v>
      </c>
      <c r="DA3">
        <f>_xlfn.XLOOKUP(DA4,Computes!$C$2:$C$181,Computes!$D$2:$D$181)</f>
        <v>6</v>
      </c>
      <c r="DB3">
        <f>_xlfn.XLOOKUP(DB4,Computes!$C$2:$C$181,Computes!$D$2:$D$181)</f>
        <v>7</v>
      </c>
      <c r="DC3">
        <f>_xlfn.XLOOKUP(DC4,Computes!$C$2:$C$181,Computes!$D$2:$D$181)</f>
        <v>1</v>
      </c>
      <c r="DD3">
        <f>_xlfn.XLOOKUP(DD4,Computes!$C$2:$C$181,Computes!$D$2:$D$181)</f>
        <v>2</v>
      </c>
      <c r="DE3">
        <f>_xlfn.XLOOKUP(DE4,Computes!$C$2:$C$181,Computes!$D$2:$D$181)</f>
        <v>3</v>
      </c>
      <c r="DF3">
        <f>_xlfn.XLOOKUP(DF4,Computes!$C$2:$C$181,Computes!$D$2:$D$181)</f>
        <v>4</v>
      </c>
      <c r="DG3">
        <f>_xlfn.XLOOKUP(DG4,Computes!$C$2:$C$181,Computes!$D$2:$D$181)</f>
        <v>5</v>
      </c>
      <c r="DH3">
        <f>_xlfn.XLOOKUP(DH4,Computes!$C$2:$C$181,Computes!$D$2:$D$181)</f>
        <v>6</v>
      </c>
      <c r="DI3">
        <f>_xlfn.XLOOKUP(DI4,Computes!$C$2:$C$181,Computes!$D$2:$D$181)</f>
        <v>7</v>
      </c>
      <c r="DJ3">
        <f>_xlfn.XLOOKUP(DJ4,Computes!$C$2:$C$181,Computes!$D$2:$D$181)</f>
        <v>1</v>
      </c>
      <c r="DK3">
        <f>_xlfn.XLOOKUP(DK4,Computes!$C$2:$C$181,Computes!$D$2:$D$181)</f>
        <v>2</v>
      </c>
      <c r="DL3">
        <f>_xlfn.XLOOKUP(DL4,Computes!$C$2:$C$181,Computes!$D$2:$D$181)</f>
        <v>3</v>
      </c>
      <c r="DM3">
        <f>_xlfn.XLOOKUP(DM4,Computes!$C$2:$C$181,Computes!$D$2:$D$181)</f>
        <v>4</v>
      </c>
      <c r="DN3">
        <f>_xlfn.XLOOKUP(DN4,Computes!$C$2:$C$181,Computes!$D$2:$D$181)</f>
        <v>5</v>
      </c>
      <c r="DO3">
        <f>_xlfn.XLOOKUP(DO4,Computes!$C$2:$C$181,Computes!$D$2:$D$181)</f>
        <v>6</v>
      </c>
      <c r="DP3">
        <f>_xlfn.XLOOKUP(DP4,Computes!$C$2:$C$181,Computes!$D$2:$D$181)</f>
        <v>7</v>
      </c>
      <c r="DQ3">
        <f>_xlfn.XLOOKUP(DQ4,Computes!$C$2:$C$181,Computes!$D$2:$D$181)</f>
        <v>1</v>
      </c>
      <c r="DR3">
        <f>_xlfn.XLOOKUP(DR4,Computes!$C$2:$C$181,Computes!$D$2:$D$181)</f>
        <v>2</v>
      </c>
      <c r="DS3">
        <f>_xlfn.XLOOKUP(DS4,Computes!$C$2:$C$181,Computes!$D$2:$D$181)</f>
        <v>3</v>
      </c>
      <c r="DT3">
        <f>_xlfn.XLOOKUP(DT4,Computes!$C$2:$C$181,Computes!$D$2:$D$181)</f>
        <v>4</v>
      </c>
      <c r="DU3">
        <f>_xlfn.XLOOKUP(DU4,Computes!$C$2:$C$181,Computes!$D$2:$D$181)</f>
        <v>5</v>
      </c>
      <c r="DV3">
        <f>_xlfn.XLOOKUP(DV4,Computes!$C$2:$C$181,Computes!$D$2:$D$181)</f>
        <v>6</v>
      </c>
      <c r="DW3">
        <f>_xlfn.XLOOKUP(DW4,Computes!$C$2:$C$181,Computes!$D$2:$D$181)</f>
        <v>7</v>
      </c>
      <c r="DX3">
        <f>_xlfn.XLOOKUP(DX4,Computes!$C$2:$C$181,Computes!$D$2:$D$181)</f>
        <v>1</v>
      </c>
      <c r="DY3">
        <f>_xlfn.XLOOKUP(DY4,Computes!$C$2:$C$181,Computes!$D$2:$D$181)</f>
        <v>2</v>
      </c>
      <c r="DZ3">
        <f>_xlfn.XLOOKUP(DZ4,Computes!$C$2:$C$181,Computes!$D$2:$D$181)</f>
        <v>1</v>
      </c>
      <c r="EA3">
        <f>_xlfn.XLOOKUP(EA4,Computes!$C$2:$C$181,Computes!$D$2:$D$181)</f>
        <v>2</v>
      </c>
      <c r="EB3">
        <f>_xlfn.XLOOKUP(EB4,Computes!$C$2:$C$181,Computes!$D$2:$D$181)</f>
        <v>1</v>
      </c>
      <c r="EC3">
        <f>_xlfn.XLOOKUP(EC4,Computes!$C$2:$C$181,Computes!$D$2:$D$181)</f>
        <v>2</v>
      </c>
      <c r="ED3">
        <f>_xlfn.XLOOKUP(ED4,Computes!$C$2:$C$181,Computes!$D$2:$D$181)</f>
        <v>3</v>
      </c>
      <c r="EE3">
        <f>_xlfn.XLOOKUP(EE4,Computes!$C$2:$C$181,Computes!$D$2:$D$181)</f>
        <v>4</v>
      </c>
      <c r="EF3">
        <f>_xlfn.XLOOKUP(EF4,Computes!$C$2:$C$181,Computes!$D$2:$D$181)</f>
        <v>5</v>
      </c>
      <c r="EG3">
        <f>_xlfn.XLOOKUP(EG4,Computes!$C$2:$C$181,Computes!$D$2:$D$181)</f>
        <v>6</v>
      </c>
      <c r="EH3">
        <f>_xlfn.XLOOKUP(EH4,Computes!$C$2:$C$181,Computes!$D$2:$D$181)</f>
        <v>7</v>
      </c>
      <c r="EI3">
        <f>_xlfn.XLOOKUP(EI4,Computes!$C$2:$C$181,Computes!$D$2:$D$181)</f>
        <v>1</v>
      </c>
      <c r="EJ3">
        <f>_xlfn.XLOOKUP(EJ4,Computes!$C$2:$C$181,Computes!$D$2:$D$181)</f>
        <v>2</v>
      </c>
      <c r="EK3">
        <f>_xlfn.XLOOKUP(EK4,Computes!$C$2:$C$181,Computes!$D$2:$D$181)</f>
        <v>3</v>
      </c>
      <c r="EL3">
        <f>_xlfn.XLOOKUP(EL4,Computes!$C$2:$C$181,Computes!$D$2:$D$181)</f>
        <v>4</v>
      </c>
      <c r="EM3">
        <f>_xlfn.XLOOKUP(EM4,Computes!$C$2:$C$181,Computes!$D$2:$D$181)</f>
        <v>5</v>
      </c>
      <c r="EN3">
        <f>_xlfn.XLOOKUP(EN4,Computes!$C$2:$C$181,Computes!$D$2:$D$181)</f>
        <v>6</v>
      </c>
      <c r="EO3">
        <f>_xlfn.XLOOKUP(EO4,Computes!$C$2:$C$181,Computes!$D$2:$D$181)</f>
        <v>7</v>
      </c>
      <c r="EP3">
        <f>_xlfn.XLOOKUP(EP4,Computes!$C$2:$C$181,Computes!$D$2:$D$181)</f>
        <v>1</v>
      </c>
      <c r="EQ3">
        <f>_xlfn.XLOOKUP(EQ4,Computes!$C$2:$C$181,Computes!$D$2:$D$181)</f>
        <v>2</v>
      </c>
      <c r="ER3">
        <f>_xlfn.XLOOKUP(ER4,Computes!$C$2:$C$181,Computes!$D$2:$D$181)</f>
        <v>3</v>
      </c>
      <c r="ES3">
        <f>_xlfn.XLOOKUP(ES4,Computes!$C$2:$C$181,Computes!$D$2:$D$181)</f>
        <v>4</v>
      </c>
      <c r="ET3">
        <f>_xlfn.XLOOKUP(ET4,Computes!$C$2:$C$181,Computes!$D$2:$D$181)</f>
        <v>5</v>
      </c>
      <c r="EU3">
        <f>_xlfn.XLOOKUP(EU4,Computes!$C$2:$C$181,Computes!$D$2:$D$181)</f>
        <v>6</v>
      </c>
      <c r="EV3">
        <f>_xlfn.XLOOKUP(EV4,Computes!$C$2:$C$181,Computes!$D$2:$D$181)</f>
        <v>7</v>
      </c>
      <c r="EW3">
        <f>_xlfn.XLOOKUP(EW4,Computes!$C$2:$C$181,Computes!$D$2:$D$181)</f>
        <v>1</v>
      </c>
      <c r="EX3">
        <f>_xlfn.XLOOKUP(EX4,Computes!$C$2:$C$181,Computes!$D$2:$D$181)</f>
        <v>2</v>
      </c>
      <c r="EY3">
        <f>_xlfn.XLOOKUP(EY4,Computes!$C$2:$C$181,Computes!$D$2:$D$181)</f>
        <v>3</v>
      </c>
      <c r="EZ3">
        <f>_xlfn.XLOOKUP(EZ4,Computes!$C$2:$C$181,Computes!$D$2:$D$181)</f>
        <v>4</v>
      </c>
      <c r="FA3">
        <f>_xlfn.XLOOKUP(FA4,Computes!$C$2:$C$181,Computes!$D$2:$D$181)</f>
        <v>5</v>
      </c>
      <c r="FB3">
        <f>_xlfn.XLOOKUP(FB4,Computes!$C$2:$C$181,Computes!$D$2:$D$181)</f>
        <v>6</v>
      </c>
      <c r="FC3">
        <f>_xlfn.XLOOKUP(FC4,Computes!$C$2:$C$181,Computes!$D$2:$D$181)</f>
        <v>7</v>
      </c>
      <c r="FD3">
        <f>_xlfn.XLOOKUP(FD4,Computes!$C$2:$C$181,Computes!$D$2:$D$181)</f>
        <v>1</v>
      </c>
      <c r="FE3">
        <f>_xlfn.XLOOKUP(FE4,Computes!$C$2:$C$181,Computes!$D$2:$D$181)</f>
        <v>2</v>
      </c>
      <c r="FF3">
        <f>_xlfn.XLOOKUP(FF4,Computes!$C$2:$C$181,Computes!$D$2:$D$181)</f>
        <v>3</v>
      </c>
      <c r="FG3">
        <f>_xlfn.XLOOKUP(FG4,Computes!$C$2:$C$181,Computes!$D$2:$D$181)</f>
        <v>4</v>
      </c>
      <c r="FH3">
        <f>_xlfn.XLOOKUP(FH4,Computes!$C$2:$C$181,Computes!$D$2:$D$181)</f>
        <v>5</v>
      </c>
      <c r="FI3">
        <f>_xlfn.XLOOKUP(FI4,Computes!$C$2:$C$181,Computes!$D$2:$D$181)</f>
        <v>6</v>
      </c>
      <c r="FJ3">
        <f>_xlfn.XLOOKUP(FJ4,Computes!$C$2:$C$181,Computes!$D$2:$D$181)</f>
        <v>7</v>
      </c>
      <c r="FK3">
        <f>_xlfn.XLOOKUP(FK4,Computes!$C$2:$C$181,Computes!$D$2:$D$181)</f>
        <v>1</v>
      </c>
      <c r="FL3">
        <f>_xlfn.XLOOKUP(FL4,Computes!$C$2:$C$181,Computes!$D$2:$D$181)</f>
        <v>2</v>
      </c>
      <c r="FM3">
        <f>_xlfn.XLOOKUP(FM4,Computes!$C$2:$C$181,Computes!$D$2:$D$181)</f>
        <v>3</v>
      </c>
      <c r="FN3">
        <f>_xlfn.XLOOKUP(FN4,Computes!$C$2:$C$181,Computes!$D$2:$D$181)</f>
        <v>4</v>
      </c>
      <c r="FO3">
        <f>_xlfn.XLOOKUP(FO4,Computes!$C$2:$C$181,Computes!$D$2:$D$181)</f>
        <v>5</v>
      </c>
      <c r="FP3">
        <f>_xlfn.XLOOKUP(FP4,Computes!$C$2:$C$181,Computes!$D$2:$D$181)</f>
        <v>6</v>
      </c>
      <c r="FQ3">
        <f>_xlfn.XLOOKUP(FQ4,Computes!$C$2:$C$181,Computes!$D$2:$D$181)</f>
        <v>7</v>
      </c>
      <c r="FR3">
        <f>_xlfn.XLOOKUP(FR4,Computes!$C$2:$C$181,Computes!$D$2:$D$181)</f>
        <v>1</v>
      </c>
      <c r="FS3">
        <f>_xlfn.XLOOKUP(FS4,Computes!$C$2:$C$181,Computes!$D$2:$D$181)</f>
        <v>2</v>
      </c>
      <c r="FT3">
        <f>_xlfn.XLOOKUP(FT4,Computes!$C$2:$C$181,Computes!$D$2:$D$181)</f>
        <v>3</v>
      </c>
      <c r="FU3">
        <f>_xlfn.XLOOKUP(FU4,Computes!$C$2:$C$181,Computes!$D$2:$D$181)</f>
        <v>4</v>
      </c>
      <c r="FV3">
        <f>_xlfn.XLOOKUP(FV4,Computes!$C$2:$C$181,Computes!$D$2:$D$181)</f>
        <v>5</v>
      </c>
      <c r="FW3">
        <f>_xlfn.XLOOKUP(FW4,Computes!$C$2:$C$181,Computes!$D$2:$D$181)</f>
        <v>6</v>
      </c>
      <c r="FX3">
        <f>_xlfn.XLOOKUP(FX4,Computes!$C$2:$C$181,Computes!$D$2:$D$181)</f>
        <v>7</v>
      </c>
      <c r="FY3">
        <f>_xlfn.XLOOKUP(FY4,Computes!$C$2:$C$181,Computes!$D$2:$D$181)</f>
        <v>1</v>
      </c>
      <c r="FZ3">
        <f>_xlfn.XLOOKUP(FZ4,Computes!$C$2:$C$181,Computes!$D$2:$D$181)</f>
        <v>2</v>
      </c>
      <c r="GA3">
        <f>_xlfn.XLOOKUP(GA4,Computes!$C$2:$C$181,Computes!$D$2:$D$181)</f>
        <v>3</v>
      </c>
      <c r="GB3">
        <f>_xlfn.XLOOKUP(GB4,Computes!$C$2:$C$181,Computes!$D$2:$D$181)</f>
        <v>4</v>
      </c>
      <c r="GC3">
        <f>_xlfn.XLOOKUP(GC4,Computes!$C$2:$C$181,Computes!$D$2:$D$181)</f>
        <v>5</v>
      </c>
      <c r="GD3">
        <f>_xlfn.XLOOKUP(GD4,Computes!$C$2:$C$181,Computes!$D$2:$D$181)</f>
        <v>6</v>
      </c>
      <c r="GE3">
        <f>_xlfn.XLOOKUP(GE4,Computes!$C$2:$C$181,Computes!$D$2:$D$181)</f>
        <v>7</v>
      </c>
      <c r="GF3">
        <f>_xlfn.XLOOKUP(GF4,Computes!$C$2:$C$181,Computes!$D$2:$D$181)</f>
        <v>1</v>
      </c>
      <c r="GG3">
        <f>_xlfn.XLOOKUP(GG4,Computes!$C$2:$C$181,Computes!$D$2:$D$181)</f>
        <v>2</v>
      </c>
      <c r="GI3">
        <f>_xlfn.XLOOKUP(GI4,Computes!$C$2:$C$181,Computes!$D$2:$D$181)</f>
        <v>1</v>
      </c>
      <c r="GJ3">
        <f>_xlfn.XLOOKUP(GJ4,Computes!$C$2:$C$181,Computes!$D$2:$D$181)</f>
        <v>2</v>
      </c>
      <c r="GK3">
        <f>_xlfn.XLOOKUP(GK4,Computes!$C$2:$C$181,Computes!$D$2:$D$181)</f>
        <v>1</v>
      </c>
      <c r="GL3">
        <f>_xlfn.XLOOKUP(GL4,Computes!$C$2:$C$181,Computes!$D$2:$D$181)</f>
        <v>2</v>
      </c>
      <c r="GM3">
        <f>_xlfn.XLOOKUP(GM4,Computes!$C$2:$C$181,Computes!$D$2:$D$181)</f>
        <v>3</v>
      </c>
      <c r="GN3">
        <f>_xlfn.XLOOKUP(GN4,Computes!$C$2:$C$181,Computes!$D$2:$D$181)</f>
        <v>4</v>
      </c>
      <c r="GO3">
        <f>_xlfn.XLOOKUP(GO4,Computes!$C$2:$C$181,Computes!$D$2:$D$181)</f>
        <v>5</v>
      </c>
      <c r="GP3">
        <f>_xlfn.XLOOKUP(GP4,Computes!$C$2:$C$181,Computes!$D$2:$D$181)</f>
        <v>6</v>
      </c>
      <c r="GQ3">
        <f>_xlfn.XLOOKUP(GQ4,Computes!$C$2:$C$181,Computes!$D$2:$D$181)</f>
        <v>7</v>
      </c>
      <c r="GR3">
        <f>_xlfn.XLOOKUP(GR4,Computes!$C$2:$C$181,Computes!$D$2:$D$181)</f>
        <v>1</v>
      </c>
      <c r="GS3">
        <f>_xlfn.XLOOKUP(GS4,Computes!$C$2:$C$181,Computes!$D$2:$D$181)</f>
        <v>2</v>
      </c>
      <c r="GT3">
        <f>_xlfn.XLOOKUP(GT4,Computes!$C$2:$C$181,Computes!$D$2:$D$181)</f>
        <v>3</v>
      </c>
      <c r="GU3">
        <f>_xlfn.XLOOKUP(GU4,Computes!$C$2:$C$181,Computes!$D$2:$D$181)</f>
        <v>4</v>
      </c>
      <c r="GV3">
        <f>_xlfn.XLOOKUP(GV4,Computes!$C$2:$C$181,Computes!$D$2:$D$181)</f>
        <v>5</v>
      </c>
      <c r="GW3">
        <f>_xlfn.XLOOKUP(GW4,Computes!$C$2:$C$181,Computes!$D$2:$D$181)</f>
        <v>6</v>
      </c>
      <c r="GX3">
        <f>_xlfn.XLOOKUP(GX4,Computes!$C$2:$C$181,Computes!$D$2:$D$181)</f>
        <v>7</v>
      </c>
      <c r="GY3">
        <f>_xlfn.XLOOKUP(GY4,Computes!$C$2:$C$181,Computes!$D$2:$D$181)</f>
        <v>1</v>
      </c>
      <c r="GZ3">
        <f>_xlfn.XLOOKUP(GZ4,Computes!$C$2:$C$181,Computes!$D$2:$D$181)</f>
        <v>2</v>
      </c>
      <c r="HA3">
        <f>_xlfn.XLOOKUP(HA4,Computes!$C$2:$C$181,Computes!$D$2:$D$181)</f>
        <v>3</v>
      </c>
      <c r="HB3">
        <f>_xlfn.XLOOKUP(HB4,Computes!$C$2:$C$181,Computes!$D$2:$D$181)</f>
        <v>4</v>
      </c>
      <c r="HC3">
        <f>_xlfn.XLOOKUP(HC4,Computes!$C$2:$C$181,Computes!$D$2:$D$181)</f>
        <v>5</v>
      </c>
      <c r="HD3">
        <f>_xlfn.XLOOKUP(HD4,Computes!$C$2:$C$181,Computes!$D$2:$D$181)</f>
        <v>6</v>
      </c>
      <c r="HE3">
        <f>_xlfn.XLOOKUP(HE4,Computes!$C$2:$C$181,Computes!$D$2:$D$181)</f>
        <v>7</v>
      </c>
      <c r="HF3">
        <f>_xlfn.XLOOKUP(HF4,Computes!$C$2:$C$181,Computes!$D$2:$D$181)</f>
        <v>1</v>
      </c>
      <c r="HG3">
        <f>_xlfn.XLOOKUP(HG4,Computes!$C$2:$C$181,Computes!$D$2:$D$181)</f>
        <v>2</v>
      </c>
      <c r="HH3">
        <f>_xlfn.XLOOKUP(HH4,Computes!$C$2:$C$181,Computes!$D$2:$D$181)</f>
        <v>3</v>
      </c>
      <c r="HI3">
        <f>_xlfn.XLOOKUP(HI4,Computes!$C$2:$C$181,Computes!$D$2:$D$181)</f>
        <v>4</v>
      </c>
      <c r="HJ3">
        <f>_xlfn.XLOOKUP(HJ4,Computes!$C$2:$C$181,Computes!$D$2:$D$181)</f>
        <v>5</v>
      </c>
      <c r="HK3">
        <f>_xlfn.XLOOKUP(HK4,Computes!$C$2:$C$181,Computes!$D$2:$D$181)</f>
        <v>6</v>
      </c>
      <c r="HL3">
        <f>_xlfn.XLOOKUP(HL4,Computes!$C$2:$C$181,Computes!$D$2:$D$181)</f>
        <v>7</v>
      </c>
      <c r="HM3">
        <f>_xlfn.XLOOKUP(HM4,Computes!$C$2:$C$181,Computes!$D$2:$D$181)</f>
        <v>1</v>
      </c>
      <c r="HN3">
        <f>_xlfn.XLOOKUP(HN4,Computes!$C$2:$C$181,Computes!$D$2:$D$181)</f>
        <v>2</v>
      </c>
      <c r="HO3">
        <f>_xlfn.XLOOKUP(HO4,Computes!$C$2:$C$181,Computes!$D$2:$D$181)</f>
        <v>3</v>
      </c>
      <c r="HP3">
        <f>_xlfn.XLOOKUP(HP4,Computes!$C$2:$C$181,Computes!$D$2:$D$181)</f>
        <v>4</v>
      </c>
      <c r="HQ3">
        <f>_xlfn.XLOOKUP(HQ4,Computes!$C$2:$C$181,Computes!$D$2:$D$181)</f>
        <v>5</v>
      </c>
      <c r="HR3">
        <f>_xlfn.XLOOKUP(HR4,Computes!$C$2:$C$181,Computes!$D$2:$D$181)</f>
        <v>6</v>
      </c>
      <c r="HS3">
        <f>_xlfn.XLOOKUP(HS4,Computes!$C$2:$C$181,Computes!$D$2:$D$181)</f>
        <v>7</v>
      </c>
      <c r="HT3">
        <f>_xlfn.XLOOKUP(HT4,Computes!$C$2:$C$181,Computes!$D$2:$D$181)</f>
        <v>1</v>
      </c>
      <c r="HU3">
        <f>_xlfn.XLOOKUP(HU4,Computes!$C$2:$C$181,Computes!$D$2:$D$181)</f>
        <v>2</v>
      </c>
      <c r="HV3">
        <f>_xlfn.XLOOKUP(HV4,Computes!$C$2:$C$181,Computes!$D$2:$D$181)</f>
        <v>3</v>
      </c>
      <c r="HW3">
        <f>_xlfn.XLOOKUP(HW4,Computes!$C$2:$C$181,Computes!$D$2:$D$181)</f>
        <v>4</v>
      </c>
      <c r="HX3">
        <f>_xlfn.XLOOKUP(HX4,Computes!$C$2:$C$181,Computes!$D$2:$D$181)</f>
        <v>5</v>
      </c>
      <c r="HY3">
        <f>_xlfn.XLOOKUP(HY4,Computes!$C$2:$C$181,Computes!$D$2:$D$181)</f>
        <v>6</v>
      </c>
      <c r="HZ3">
        <f>_xlfn.XLOOKUP(HZ4,Computes!$C$2:$C$181,Computes!$D$2:$D$181)</f>
        <v>7</v>
      </c>
      <c r="IA3">
        <f>_xlfn.XLOOKUP(IA4,Computes!$C$2:$C$181,Computes!$D$2:$D$181)</f>
        <v>1</v>
      </c>
      <c r="IB3">
        <f>_xlfn.XLOOKUP(IB4,Computes!$C$2:$C$181,Computes!$D$2:$D$181)</f>
        <v>2</v>
      </c>
      <c r="IC3">
        <f>_xlfn.XLOOKUP(IC4,Computes!$C$2:$C$181,Computes!$D$2:$D$181)</f>
        <v>3</v>
      </c>
      <c r="ID3">
        <f>_xlfn.XLOOKUP(ID4,Computes!$C$2:$C$181,Computes!$D$2:$D$181)</f>
        <v>4</v>
      </c>
      <c r="IE3">
        <f>_xlfn.XLOOKUP(IE4,Computes!$C$2:$C$181,Computes!$D$2:$D$181)</f>
        <v>5</v>
      </c>
      <c r="IF3">
        <f>_xlfn.XLOOKUP(IF4,Computes!$C$2:$C$181,Computes!$D$2:$D$181)</f>
        <v>6</v>
      </c>
      <c r="IG3">
        <f>_xlfn.XLOOKUP(IG4,Computes!$C$2:$C$181,Computes!$D$2:$D$181)</f>
        <v>7</v>
      </c>
      <c r="IH3">
        <f>_xlfn.XLOOKUP(IH4,Computes!$C$2:$C$181,Computes!$D$2:$D$181)</f>
        <v>1</v>
      </c>
      <c r="II3">
        <f>_xlfn.XLOOKUP(II4,Computes!$C$2:$C$181,Computes!$D$2:$D$181)</f>
        <v>2</v>
      </c>
      <c r="IJ3">
        <f>_xlfn.XLOOKUP(IJ4,Computes!$C$2:$C$181,Computes!$D$2:$D$181)</f>
        <v>3</v>
      </c>
      <c r="IK3">
        <f>_xlfn.XLOOKUP(IK4,Computes!$C$2:$C$181,Computes!$D$2:$D$181)</f>
        <v>4</v>
      </c>
      <c r="IL3">
        <f>_xlfn.XLOOKUP(IL4,Computes!$C$2:$C$181,Computes!$D$2:$D$181)</f>
        <v>5</v>
      </c>
      <c r="IM3">
        <f>_xlfn.XLOOKUP(IM4,Computes!$C$2:$C$181,Computes!$D$2:$D$181)</f>
        <v>6</v>
      </c>
      <c r="IN3">
        <f>_xlfn.XLOOKUP(IN4,Computes!$C$2:$C$181,Computes!$D$2:$D$181)</f>
        <v>7</v>
      </c>
      <c r="IO3">
        <f>_xlfn.XLOOKUP(IO4,Computes!$C$2:$C$181,Computes!$D$2:$D$181)</f>
        <v>1</v>
      </c>
      <c r="IP3">
        <f>_xlfn.XLOOKUP(IP4,Computes!$C$2:$C$181,Computes!$D$2:$D$181)</f>
        <v>2</v>
      </c>
      <c r="IQ3">
        <f>_xlfn.XLOOKUP(IQ4,Computes!$C$2:$C$181,Computes!$D$2:$D$181)</f>
        <v>1</v>
      </c>
      <c r="IR3">
        <f>_xlfn.XLOOKUP(IR4,Computes!$C$2:$C$181,Computes!$D$2:$D$181)</f>
        <v>2</v>
      </c>
      <c r="IS3">
        <f>_xlfn.XLOOKUP(IS4,Computes!$C$2:$C$181,Computes!$D$2:$D$181)</f>
        <v>1</v>
      </c>
      <c r="IT3">
        <f>_xlfn.XLOOKUP(IT4,Computes!$C$2:$C$181,Computes!$D$2:$D$181)</f>
        <v>2</v>
      </c>
      <c r="IU3">
        <f>_xlfn.XLOOKUP(IU4,Computes!$C$2:$C$181,Computes!$D$2:$D$181)</f>
        <v>3</v>
      </c>
      <c r="IV3">
        <f>_xlfn.XLOOKUP(IV4,Computes!$C$2:$C$181,Computes!$D$2:$D$181)</f>
        <v>4</v>
      </c>
      <c r="IW3">
        <f>_xlfn.XLOOKUP(IW4,Computes!$C$2:$C$181,Computes!$D$2:$D$181)</f>
        <v>5</v>
      </c>
      <c r="IX3">
        <f>_xlfn.XLOOKUP(IX4,Computes!$C$2:$C$181,Computes!$D$2:$D$181)</f>
        <v>6</v>
      </c>
      <c r="IY3">
        <f>_xlfn.XLOOKUP(IY4,Computes!$C$2:$C$181,Computes!$D$2:$D$181)</f>
        <v>7</v>
      </c>
      <c r="IZ3">
        <f>_xlfn.XLOOKUP(IZ4,Computes!$C$2:$C$181,Computes!$D$2:$D$181)</f>
        <v>1</v>
      </c>
      <c r="JA3">
        <f>_xlfn.XLOOKUP(JA4,Computes!$C$2:$C$181,Computes!$D$2:$D$181)</f>
        <v>2</v>
      </c>
      <c r="JB3">
        <f>_xlfn.XLOOKUP(JB4,Computes!$C$2:$C$181,Computes!$D$2:$D$181)</f>
        <v>3</v>
      </c>
      <c r="JC3">
        <f>_xlfn.XLOOKUP(JC4,Computes!$C$2:$C$181,Computes!$D$2:$D$181)</f>
        <v>4</v>
      </c>
      <c r="JD3">
        <f>_xlfn.XLOOKUP(JD4,Computes!$C$2:$C$181,Computes!$D$2:$D$181)</f>
        <v>5</v>
      </c>
      <c r="JE3">
        <f>_xlfn.XLOOKUP(JE4,Computes!$C$2:$C$181,Computes!$D$2:$D$181)</f>
        <v>6</v>
      </c>
      <c r="JF3">
        <f>_xlfn.XLOOKUP(JF4,Computes!$C$2:$C$181,Computes!$D$2:$D$181)</f>
        <v>7</v>
      </c>
      <c r="JG3">
        <f>_xlfn.XLOOKUP(JG4,Computes!$C$2:$C$181,Computes!$D$2:$D$181)</f>
        <v>1</v>
      </c>
      <c r="JH3">
        <f>_xlfn.XLOOKUP(JH4,Computes!$C$2:$C$181,Computes!$D$2:$D$181)</f>
        <v>2</v>
      </c>
      <c r="JI3">
        <f>_xlfn.XLOOKUP(JI4,Computes!$C$2:$C$181,Computes!$D$2:$D$181)</f>
        <v>3</v>
      </c>
      <c r="JJ3">
        <f>_xlfn.XLOOKUP(JJ4,Computes!$C$2:$C$181,Computes!$D$2:$D$181)</f>
        <v>4</v>
      </c>
      <c r="JK3">
        <f>_xlfn.XLOOKUP(JK4,Computes!$C$2:$C$181,Computes!$D$2:$D$181)</f>
        <v>5</v>
      </c>
      <c r="JL3">
        <f>_xlfn.XLOOKUP(JL4,Computes!$C$2:$C$181,Computes!$D$2:$D$181)</f>
        <v>6</v>
      </c>
      <c r="JM3">
        <f>_xlfn.XLOOKUP(JM4,Computes!$C$2:$C$181,Computes!$D$2:$D$181)</f>
        <v>7</v>
      </c>
      <c r="JN3">
        <f>_xlfn.XLOOKUP(JN4,Computes!$C$2:$C$181,Computes!$D$2:$D$181)</f>
        <v>1</v>
      </c>
      <c r="JO3">
        <f>_xlfn.XLOOKUP(JO4,Computes!$C$2:$C$181,Computes!$D$2:$D$181)</f>
        <v>2</v>
      </c>
      <c r="JP3">
        <f>_xlfn.XLOOKUP(JP4,Computes!$C$2:$C$181,Computes!$D$2:$D$181)</f>
        <v>3</v>
      </c>
      <c r="JQ3">
        <f>_xlfn.XLOOKUP(JQ4,Computes!$C$2:$C$181,Computes!$D$2:$D$181)</f>
        <v>4</v>
      </c>
      <c r="JR3">
        <f>_xlfn.XLOOKUP(JR4,Computes!$C$2:$C$181,Computes!$D$2:$D$181)</f>
        <v>5</v>
      </c>
      <c r="JS3">
        <f>_xlfn.XLOOKUP(JS4,Computes!$C$2:$C$181,Computes!$D$2:$D$181)</f>
        <v>6</v>
      </c>
      <c r="JT3">
        <f>_xlfn.XLOOKUP(JT4,Computes!$C$2:$C$181,Computes!$D$2:$D$181)</f>
        <v>7</v>
      </c>
      <c r="JU3">
        <f>_xlfn.XLOOKUP(JU4,Computes!$C$2:$C$181,Computes!$D$2:$D$181)</f>
        <v>1</v>
      </c>
      <c r="JV3">
        <f>_xlfn.XLOOKUP(JV4,Computes!$C$2:$C$181,Computes!$D$2:$D$181)</f>
        <v>2</v>
      </c>
      <c r="JW3">
        <f>_xlfn.XLOOKUP(JW4,Computes!$C$2:$C$181,Computes!$D$2:$D$181)</f>
        <v>3</v>
      </c>
      <c r="JX3">
        <f>_xlfn.XLOOKUP(JX4,Computes!$C$2:$C$181,Computes!$D$2:$D$181)</f>
        <v>4</v>
      </c>
      <c r="JY3">
        <f>_xlfn.XLOOKUP(JY4,Computes!$C$2:$C$181,Computes!$D$2:$D$181)</f>
        <v>5</v>
      </c>
      <c r="JZ3">
        <f>_xlfn.XLOOKUP(JZ4,Computes!$C$2:$C$181,Computes!$D$2:$D$181)</f>
        <v>6</v>
      </c>
      <c r="KA3">
        <f>_xlfn.XLOOKUP(KA4,Computes!$C$2:$C$181,Computes!$D$2:$D$181)</f>
        <v>7</v>
      </c>
      <c r="KB3">
        <f>_xlfn.XLOOKUP(KB4,Computes!$C$2:$C$181,Computes!$D$2:$D$181)</f>
        <v>1</v>
      </c>
      <c r="KC3">
        <f>_xlfn.XLOOKUP(KC4,Computes!$C$2:$C$181,Computes!$D$2:$D$181)</f>
        <v>2</v>
      </c>
      <c r="KD3">
        <f>_xlfn.XLOOKUP(KD4,Computes!$C$2:$C$181,Computes!$D$2:$D$181)</f>
        <v>3</v>
      </c>
      <c r="KE3">
        <f>_xlfn.XLOOKUP(KE4,Computes!$C$2:$C$181,Computes!$D$2:$D$181)</f>
        <v>4</v>
      </c>
      <c r="KF3">
        <f>_xlfn.XLOOKUP(KF4,Computes!$C$2:$C$181,Computes!$D$2:$D$181)</f>
        <v>5</v>
      </c>
      <c r="KG3">
        <f>_xlfn.XLOOKUP(KG4,Computes!$C$2:$C$181,Computes!$D$2:$D$181)</f>
        <v>6</v>
      </c>
      <c r="KH3">
        <f>_xlfn.XLOOKUP(KH4,Computes!$C$2:$C$181,Computes!$D$2:$D$181)</f>
        <v>7</v>
      </c>
      <c r="KI3">
        <f>_xlfn.XLOOKUP(KI4,Computes!$C$2:$C$181,Computes!$D$2:$D$181)</f>
        <v>1</v>
      </c>
      <c r="KJ3">
        <f>_xlfn.XLOOKUP(KJ4,Computes!$C$2:$C$181,Computes!$D$2:$D$181)</f>
        <v>2</v>
      </c>
      <c r="KK3">
        <f>_xlfn.XLOOKUP(KK4,Computes!$C$2:$C$181,Computes!$D$2:$D$181)</f>
        <v>3</v>
      </c>
      <c r="KL3">
        <f>_xlfn.XLOOKUP(KL4,Computes!$C$2:$C$181,Computes!$D$2:$D$181)</f>
        <v>4</v>
      </c>
      <c r="KM3">
        <f>_xlfn.XLOOKUP(KM4,Computes!$C$2:$C$181,Computes!$D$2:$D$181)</f>
        <v>5</v>
      </c>
      <c r="KN3">
        <f>_xlfn.XLOOKUP(KN4,Computes!$C$2:$C$181,Computes!$D$2:$D$181)</f>
        <v>6</v>
      </c>
      <c r="KO3">
        <f>_xlfn.XLOOKUP(KO4,Computes!$C$2:$C$181,Computes!$D$2:$D$181)</f>
        <v>7</v>
      </c>
      <c r="KP3">
        <f>_xlfn.XLOOKUP(KP4,Computes!$C$2:$C$181,Computes!$D$2:$D$181)</f>
        <v>1</v>
      </c>
      <c r="KQ3">
        <f>_xlfn.XLOOKUP(KQ4,Computes!$C$2:$C$181,Computes!$D$2:$D$181)</f>
        <v>2</v>
      </c>
      <c r="KR3">
        <f>_xlfn.XLOOKUP(KR4,Computes!$C$2:$C$181,Computes!$D$2:$D$181)</f>
        <v>3</v>
      </c>
      <c r="KS3">
        <f>_xlfn.XLOOKUP(KS4,Computes!$C$2:$C$181,Computes!$D$2:$D$181)</f>
        <v>4</v>
      </c>
      <c r="KT3">
        <f>_xlfn.XLOOKUP(KT4,Computes!$C$2:$C$181,Computes!$D$2:$D$181)</f>
        <v>5</v>
      </c>
      <c r="KU3">
        <f>_xlfn.XLOOKUP(KU4,Computes!$C$2:$C$181,Computes!$D$2:$D$181)</f>
        <v>6</v>
      </c>
      <c r="KV3">
        <f>_xlfn.XLOOKUP(KV4,Computes!$C$2:$C$181,Computes!$D$2:$D$181)</f>
        <v>7</v>
      </c>
      <c r="KW3">
        <f>_xlfn.XLOOKUP(KW4,Computes!$C$2:$C$181,Computes!$D$2:$D$181)</f>
        <v>1</v>
      </c>
      <c r="KX3">
        <f>_xlfn.XLOOKUP(KX4,Computes!$C$2:$C$181,Computes!$D$2:$D$181)</f>
        <v>2</v>
      </c>
      <c r="KY3">
        <f>_xlfn.XLOOKUP(KY4,Computes!$C$2:$C$181,Computes!$D$2:$D$181)</f>
        <v>1</v>
      </c>
      <c r="KZ3">
        <f>_xlfn.XLOOKUP(KZ4,Computes!$C$2:$C$181,Computes!$D$2:$D$181)</f>
        <v>2</v>
      </c>
      <c r="LA3">
        <f>_xlfn.XLOOKUP(LA4,Computes!$C$2:$C$181,Computes!$D$2:$D$181)</f>
        <v>1</v>
      </c>
      <c r="LB3">
        <f>_xlfn.XLOOKUP(LB4,Computes!$C$2:$C$181,Computes!$D$2:$D$181)</f>
        <v>2</v>
      </c>
      <c r="LC3">
        <f>_xlfn.XLOOKUP(LC4,Computes!$C$2:$C$181,Computes!$D$2:$D$181)</f>
        <v>3</v>
      </c>
      <c r="LD3">
        <f>_xlfn.XLOOKUP(LD4,Computes!$C$2:$C$181,Computes!$D$2:$D$181)</f>
        <v>4</v>
      </c>
      <c r="LE3">
        <f>_xlfn.XLOOKUP(LE4,Computes!$C$2:$C$181,Computes!$D$2:$D$181)</f>
        <v>5</v>
      </c>
      <c r="LF3">
        <f>_xlfn.XLOOKUP(LF4,Computes!$C$2:$C$181,Computes!$D$2:$D$181)</f>
        <v>6</v>
      </c>
      <c r="LG3">
        <f>_xlfn.XLOOKUP(LG4,Computes!$C$2:$C$181,Computes!$D$2:$D$181)</f>
        <v>7</v>
      </c>
      <c r="LH3">
        <f>_xlfn.XLOOKUP(LH4,Computes!$C$2:$C$181,Computes!$D$2:$D$181)</f>
        <v>1</v>
      </c>
      <c r="LI3">
        <f>_xlfn.XLOOKUP(LI4,Computes!$C$2:$C$181,Computes!$D$2:$D$181)</f>
        <v>2</v>
      </c>
      <c r="LJ3">
        <f>_xlfn.XLOOKUP(LJ4,Computes!$C$2:$C$181,Computes!$D$2:$D$181)</f>
        <v>3</v>
      </c>
      <c r="LK3">
        <f>_xlfn.XLOOKUP(LK4,Computes!$C$2:$C$181,Computes!$D$2:$D$181)</f>
        <v>4</v>
      </c>
      <c r="LL3">
        <f>_xlfn.XLOOKUP(LL4,Computes!$C$2:$C$181,Computes!$D$2:$D$181)</f>
        <v>5</v>
      </c>
      <c r="LM3">
        <f>_xlfn.XLOOKUP(LM4,Computes!$C$2:$C$181,Computes!$D$2:$D$181)</f>
        <v>6</v>
      </c>
      <c r="LN3">
        <f>_xlfn.XLOOKUP(LN4,Computes!$C$2:$C$181,Computes!$D$2:$D$181)</f>
        <v>7</v>
      </c>
      <c r="LO3">
        <f>_xlfn.XLOOKUP(LO4,Computes!$C$2:$C$181,Computes!$D$2:$D$181)</f>
        <v>1</v>
      </c>
      <c r="LP3">
        <f>_xlfn.XLOOKUP(LP4,Computes!$C$2:$C$181,Computes!$D$2:$D$181)</f>
        <v>2</v>
      </c>
      <c r="LQ3">
        <f>_xlfn.XLOOKUP(LQ4,Computes!$C$2:$C$181,Computes!$D$2:$D$181)</f>
        <v>3</v>
      </c>
      <c r="LR3">
        <f>_xlfn.XLOOKUP(LR4,Computes!$C$2:$C$181,Computes!$D$2:$D$181)</f>
        <v>4</v>
      </c>
      <c r="LS3">
        <f>_xlfn.XLOOKUP(LS4,Computes!$C$2:$C$181,Computes!$D$2:$D$181)</f>
        <v>5</v>
      </c>
      <c r="LT3">
        <f>_xlfn.XLOOKUP(LT4,Computes!$C$2:$C$181,Computes!$D$2:$D$181)</f>
        <v>6</v>
      </c>
      <c r="LU3">
        <f>_xlfn.XLOOKUP(LU4,Computes!$C$2:$C$181,Computes!$D$2:$D$181)</f>
        <v>7</v>
      </c>
      <c r="LV3">
        <f>_xlfn.XLOOKUP(LV4,Computes!$C$2:$C$181,Computes!$D$2:$D$181)</f>
        <v>1</v>
      </c>
      <c r="LW3">
        <f>_xlfn.XLOOKUP(LW4,Computes!$C$2:$C$181,Computes!$D$2:$D$181)</f>
        <v>2</v>
      </c>
      <c r="LX3">
        <f>_xlfn.XLOOKUP(LX4,Computes!$C$2:$C$181,Computes!$D$2:$D$181)</f>
        <v>3</v>
      </c>
      <c r="LY3">
        <f>_xlfn.XLOOKUP(LY4,Computes!$C$2:$C$181,Computes!$D$2:$D$181)</f>
        <v>4</v>
      </c>
      <c r="LZ3">
        <f>_xlfn.XLOOKUP(LZ4,Computes!$C$2:$C$181,Computes!$D$2:$D$181)</f>
        <v>5</v>
      </c>
      <c r="MA3">
        <f>_xlfn.XLOOKUP(MA4,Computes!$C$2:$C$181,Computes!$D$2:$D$181)</f>
        <v>6</v>
      </c>
      <c r="MB3">
        <f>_xlfn.XLOOKUP(MB4,Computes!$C$2:$C$181,Computes!$D$2:$D$181)</f>
        <v>7</v>
      </c>
      <c r="MC3">
        <f>_xlfn.XLOOKUP(MC4,Computes!$C$2:$C$181,Computes!$D$2:$D$181)</f>
        <v>1</v>
      </c>
      <c r="MD3">
        <f>_xlfn.XLOOKUP(MD4,Computes!$C$2:$C$181,Computes!$D$2:$D$181)</f>
        <v>2</v>
      </c>
      <c r="ME3">
        <f>_xlfn.XLOOKUP(ME4,Computes!$C$2:$C$181,Computes!$D$2:$D$181)</f>
        <v>3</v>
      </c>
      <c r="MF3">
        <f>_xlfn.XLOOKUP(MF4,Computes!$C$2:$C$181,Computes!$D$2:$D$181)</f>
        <v>4</v>
      </c>
      <c r="MG3">
        <f>_xlfn.XLOOKUP(MG4,Computes!$C$2:$C$181,Computes!$D$2:$D$181)</f>
        <v>5</v>
      </c>
      <c r="MH3">
        <f>_xlfn.XLOOKUP(MH4,Computes!$C$2:$C$181,Computes!$D$2:$D$181)</f>
        <v>6</v>
      </c>
      <c r="MI3">
        <f>_xlfn.XLOOKUP(MI4,Computes!$C$2:$C$181,Computes!$D$2:$D$181)</f>
        <v>7</v>
      </c>
      <c r="MJ3">
        <f>_xlfn.XLOOKUP(MJ4,Computes!$C$2:$C$181,Computes!$D$2:$D$181)</f>
        <v>1</v>
      </c>
      <c r="MK3">
        <f>_xlfn.XLOOKUP(MK4,Computes!$C$2:$C$181,Computes!$D$2:$D$181)</f>
        <v>2</v>
      </c>
      <c r="ML3">
        <f>_xlfn.XLOOKUP(ML4,Computes!$C$2:$C$181,Computes!$D$2:$D$181)</f>
        <v>3</v>
      </c>
      <c r="MM3">
        <f>_xlfn.XLOOKUP(MM4,Computes!$C$2:$C$181,Computes!$D$2:$D$181)</f>
        <v>4</v>
      </c>
      <c r="MN3">
        <f>_xlfn.XLOOKUP(MN4,Computes!$C$2:$C$181,Computes!$D$2:$D$181)</f>
        <v>5</v>
      </c>
      <c r="MO3">
        <f>_xlfn.XLOOKUP(MO4,Computes!$C$2:$C$181,Computes!$D$2:$D$181)</f>
        <v>6</v>
      </c>
      <c r="MP3">
        <f>_xlfn.XLOOKUP(MP4,Computes!$C$2:$C$181,Computes!$D$2:$D$181)</f>
        <v>7</v>
      </c>
      <c r="MQ3">
        <f>_xlfn.XLOOKUP(MQ4,Computes!$C$2:$C$181,Computes!$D$2:$D$181)</f>
        <v>1</v>
      </c>
      <c r="MR3">
        <f>_xlfn.XLOOKUP(MR4,Computes!$C$2:$C$181,Computes!$D$2:$D$181)</f>
        <v>2</v>
      </c>
      <c r="MS3">
        <f>_xlfn.XLOOKUP(MS4,Computes!$C$2:$C$181,Computes!$D$2:$D$181)</f>
        <v>3</v>
      </c>
      <c r="MT3">
        <f>_xlfn.XLOOKUP(MT4,Computes!$C$2:$C$181,Computes!$D$2:$D$181)</f>
        <v>4</v>
      </c>
      <c r="MU3">
        <f>_xlfn.XLOOKUP(MU4,Computes!$C$2:$C$181,Computes!$D$2:$D$181)</f>
        <v>5</v>
      </c>
      <c r="MV3">
        <f>_xlfn.XLOOKUP(MV4,Computes!$C$2:$C$181,Computes!$D$2:$D$181)</f>
        <v>6</v>
      </c>
      <c r="MW3">
        <f>_xlfn.XLOOKUP(MW4,Computes!$C$2:$C$181,Computes!$D$2:$D$181)</f>
        <v>7</v>
      </c>
      <c r="MX3">
        <f>_xlfn.XLOOKUP(MX4,Computes!$C$2:$C$181,Computes!$D$2:$D$181)</f>
        <v>1</v>
      </c>
      <c r="MY3">
        <f>_xlfn.XLOOKUP(MY4,Computes!$C$2:$C$181,Computes!$D$2:$D$181)</f>
        <v>2</v>
      </c>
      <c r="MZ3">
        <f>_xlfn.XLOOKUP(MZ4,Computes!$C$2:$C$181,Computes!$D$2:$D$181)</f>
        <v>3</v>
      </c>
      <c r="NA3">
        <f>_xlfn.XLOOKUP(NA4,Computes!$C$2:$C$181,Computes!$D$2:$D$181)</f>
        <v>4</v>
      </c>
      <c r="NB3">
        <f>_xlfn.XLOOKUP(NB4,Computes!$C$2:$C$181,Computes!$D$2:$D$181)</f>
        <v>5</v>
      </c>
      <c r="NC3">
        <f>_xlfn.XLOOKUP(NC4,Computes!$C$2:$C$181,Computes!$D$2:$D$181)</f>
        <v>6</v>
      </c>
      <c r="ND3">
        <f>_xlfn.XLOOKUP(ND4,Computes!$C$2:$C$181,Computes!$D$2:$D$181)</f>
        <v>7</v>
      </c>
      <c r="NE3">
        <f>_xlfn.XLOOKUP(NE4,Computes!$C$2:$C$181,Computes!$D$2:$D$181)</f>
        <v>1</v>
      </c>
      <c r="NF3">
        <f>_xlfn.XLOOKUP(NF4,Computes!$C$2:$C$181,Computes!$D$2:$D$181)</f>
        <v>2</v>
      </c>
      <c r="NH3">
        <v>0</v>
      </c>
      <c r="NI3">
        <v>1</v>
      </c>
      <c r="NJ3">
        <v>2</v>
      </c>
      <c r="NN3">
        <v>1</v>
      </c>
      <c r="NO3">
        <v>2</v>
      </c>
      <c r="NP3">
        <v>5</v>
      </c>
      <c r="NQ3">
        <v>6</v>
      </c>
      <c r="NR3">
        <v>7</v>
      </c>
      <c r="NV3">
        <v>0</v>
      </c>
      <c r="NW3">
        <v>1</v>
      </c>
      <c r="NX3">
        <v>2</v>
      </c>
      <c r="NY3">
        <v>3</v>
      </c>
      <c r="NZ3">
        <v>4</v>
      </c>
      <c r="OA3">
        <v>5</v>
      </c>
      <c r="OB3">
        <v>6</v>
      </c>
      <c r="OC3">
        <v>7</v>
      </c>
      <c r="OD3">
        <v>8</v>
      </c>
      <c r="OE3">
        <v>9</v>
      </c>
    </row>
    <row r="4" spans="1:399" x14ac:dyDescent="0.3">
      <c r="A4" s="3" t="s">
        <v>44</v>
      </c>
      <c r="B4" s="3" t="s">
        <v>463</v>
      </c>
      <c r="C4" s="3" t="s">
        <v>462</v>
      </c>
      <c r="D4" s="3" t="s">
        <v>439</v>
      </c>
      <c r="E4" s="3" t="s">
        <v>485</v>
      </c>
      <c r="F4" s="3" t="s">
        <v>461</v>
      </c>
      <c r="G4" s="3" t="s">
        <v>464</v>
      </c>
      <c r="H4" s="3" t="s">
        <v>353</v>
      </c>
      <c r="I4" s="3" t="s">
        <v>354</v>
      </c>
      <c r="J4">
        <v>0</v>
      </c>
      <c r="K4">
        <v>1</v>
      </c>
      <c r="L4">
        <v>2</v>
      </c>
      <c r="M4">
        <v>3</v>
      </c>
      <c r="N4">
        <v>4</v>
      </c>
      <c r="O4">
        <v>5</v>
      </c>
      <c r="P4">
        <v>6</v>
      </c>
      <c r="Q4">
        <v>7</v>
      </c>
      <c r="R4">
        <v>8</v>
      </c>
      <c r="S4">
        <v>9</v>
      </c>
      <c r="T4">
        <v>10</v>
      </c>
      <c r="U4">
        <v>11</v>
      </c>
      <c r="V4">
        <v>12</v>
      </c>
      <c r="W4">
        <v>13</v>
      </c>
      <c r="X4">
        <v>14</v>
      </c>
      <c r="Y4">
        <v>15</v>
      </c>
      <c r="Z4">
        <v>16</v>
      </c>
      <c r="AA4">
        <v>17</v>
      </c>
      <c r="AB4">
        <v>18</v>
      </c>
      <c r="AC4">
        <v>19</v>
      </c>
      <c r="AD4">
        <v>20</v>
      </c>
      <c r="AE4">
        <v>21</v>
      </c>
      <c r="AF4">
        <v>22</v>
      </c>
      <c r="AG4">
        <v>23</v>
      </c>
      <c r="AH4">
        <v>24</v>
      </c>
      <c r="AI4">
        <v>25</v>
      </c>
      <c r="AJ4">
        <v>26</v>
      </c>
      <c r="AK4">
        <v>27</v>
      </c>
      <c r="AL4">
        <v>28</v>
      </c>
      <c r="AM4">
        <v>29</v>
      </c>
      <c r="AN4">
        <v>30</v>
      </c>
      <c r="AO4">
        <v>31</v>
      </c>
      <c r="AP4">
        <v>32</v>
      </c>
      <c r="AQ4">
        <v>33</v>
      </c>
      <c r="AR4">
        <v>34</v>
      </c>
      <c r="AS4">
        <v>35</v>
      </c>
      <c r="AT4">
        <v>36</v>
      </c>
      <c r="AU4">
        <v>37</v>
      </c>
      <c r="AV4">
        <v>38</v>
      </c>
      <c r="AW4">
        <v>39</v>
      </c>
      <c r="AX4">
        <v>40</v>
      </c>
      <c r="AY4">
        <v>41</v>
      </c>
      <c r="AZ4">
        <v>42</v>
      </c>
      <c r="BA4">
        <v>43</v>
      </c>
      <c r="BB4">
        <v>44</v>
      </c>
      <c r="BC4">
        <v>45</v>
      </c>
      <c r="BD4">
        <v>46</v>
      </c>
      <c r="BE4">
        <v>47</v>
      </c>
      <c r="BF4">
        <v>48</v>
      </c>
      <c r="BG4">
        <v>49</v>
      </c>
      <c r="BH4">
        <v>50</v>
      </c>
      <c r="BI4">
        <v>51</v>
      </c>
      <c r="BJ4">
        <v>52</v>
      </c>
      <c r="BK4">
        <v>53</v>
      </c>
      <c r="BL4">
        <v>54</v>
      </c>
      <c r="BM4">
        <v>55</v>
      </c>
      <c r="BN4">
        <v>56</v>
      </c>
      <c r="BO4">
        <v>57</v>
      </c>
      <c r="BP4">
        <v>58</v>
      </c>
      <c r="BQ4">
        <v>59</v>
      </c>
      <c r="BR4">
        <v>60</v>
      </c>
      <c r="BS4">
        <v>61</v>
      </c>
      <c r="BT4">
        <v>62</v>
      </c>
      <c r="BU4">
        <v>63</v>
      </c>
      <c r="BV4">
        <v>64</v>
      </c>
      <c r="BW4">
        <v>65</v>
      </c>
      <c r="BX4">
        <v>66</v>
      </c>
      <c r="BY4">
        <v>67</v>
      </c>
      <c r="BZ4">
        <v>68</v>
      </c>
      <c r="CA4">
        <v>69</v>
      </c>
      <c r="CB4">
        <v>70</v>
      </c>
      <c r="CC4">
        <v>71</v>
      </c>
      <c r="CD4">
        <v>72</v>
      </c>
      <c r="CE4">
        <v>73</v>
      </c>
      <c r="CF4">
        <v>74</v>
      </c>
      <c r="CG4">
        <v>75</v>
      </c>
      <c r="CH4">
        <v>76</v>
      </c>
      <c r="CI4">
        <v>77</v>
      </c>
      <c r="CJ4">
        <v>78</v>
      </c>
      <c r="CK4">
        <v>79</v>
      </c>
      <c r="CL4">
        <v>80</v>
      </c>
      <c r="CM4">
        <v>81</v>
      </c>
      <c r="CN4">
        <v>82</v>
      </c>
      <c r="CO4">
        <v>83</v>
      </c>
      <c r="CP4">
        <v>84</v>
      </c>
      <c r="CQ4">
        <v>85</v>
      </c>
      <c r="CR4">
        <v>86</v>
      </c>
      <c r="CS4">
        <v>87</v>
      </c>
      <c r="CT4">
        <v>88</v>
      </c>
      <c r="CU4">
        <v>89</v>
      </c>
      <c r="CV4">
        <v>90</v>
      </c>
      <c r="CW4">
        <v>91</v>
      </c>
      <c r="CX4">
        <v>92</v>
      </c>
      <c r="CY4">
        <v>93</v>
      </c>
      <c r="CZ4">
        <v>94</v>
      </c>
      <c r="DA4">
        <v>95</v>
      </c>
      <c r="DB4">
        <v>96</v>
      </c>
      <c r="DC4">
        <v>97</v>
      </c>
      <c r="DD4">
        <v>98</v>
      </c>
      <c r="DE4">
        <v>99</v>
      </c>
      <c r="DF4">
        <v>100</v>
      </c>
      <c r="DG4">
        <v>101</v>
      </c>
      <c r="DH4">
        <v>102</v>
      </c>
      <c r="DI4">
        <v>103</v>
      </c>
      <c r="DJ4">
        <v>104</v>
      </c>
      <c r="DK4">
        <v>105</v>
      </c>
      <c r="DL4">
        <v>106</v>
      </c>
      <c r="DM4">
        <v>107</v>
      </c>
      <c r="DN4">
        <v>108</v>
      </c>
      <c r="DO4">
        <v>109</v>
      </c>
      <c r="DP4">
        <v>110</v>
      </c>
      <c r="DQ4">
        <v>111</v>
      </c>
      <c r="DR4">
        <v>112</v>
      </c>
      <c r="DS4">
        <v>113</v>
      </c>
      <c r="DT4">
        <v>114</v>
      </c>
      <c r="DU4">
        <v>115</v>
      </c>
      <c r="DV4">
        <v>116</v>
      </c>
      <c r="DW4">
        <v>117</v>
      </c>
      <c r="DX4">
        <v>118</v>
      </c>
      <c r="DY4">
        <v>119</v>
      </c>
      <c r="DZ4">
        <v>120</v>
      </c>
      <c r="EA4">
        <v>121</v>
      </c>
      <c r="EB4">
        <v>122</v>
      </c>
      <c r="EC4">
        <v>123</v>
      </c>
      <c r="ED4">
        <v>124</v>
      </c>
      <c r="EE4">
        <v>125</v>
      </c>
      <c r="EF4">
        <v>126</v>
      </c>
      <c r="EG4">
        <v>127</v>
      </c>
      <c r="EH4">
        <v>128</v>
      </c>
      <c r="EI4">
        <v>129</v>
      </c>
      <c r="EJ4">
        <v>130</v>
      </c>
      <c r="EK4">
        <v>131</v>
      </c>
      <c r="EL4">
        <v>132</v>
      </c>
      <c r="EM4">
        <v>133</v>
      </c>
      <c r="EN4">
        <v>134</v>
      </c>
      <c r="EO4">
        <v>135</v>
      </c>
      <c r="EP4">
        <v>136</v>
      </c>
      <c r="EQ4">
        <v>137</v>
      </c>
      <c r="ER4">
        <v>138</v>
      </c>
      <c r="ES4">
        <v>139</v>
      </c>
      <c r="ET4">
        <v>140</v>
      </c>
      <c r="EU4">
        <v>141</v>
      </c>
      <c r="EV4">
        <v>142</v>
      </c>
      <c r="EW4">
        <v>143</v>
      </c>
      <c r="EX4">
        <v>144</v>
      </c>
      <c r="EY4">
        <v>145</v>
      </c>
      <c r="EZ4">
        <v>146</v>
      </c>
      <c r="FA4">
        <v>147</v>
      </c>
      <c r="FB4">
        <v>148</v>
      </c>
      <c r="FC4">
        <v>149</v>
      </c>
      <c r="FD4">
        <v>150</v>
      </c>
      <c r="FE4">
        <v>151</v>
      </c>
      <c r="FF4">
        <v>152</v>
      </c>
      <c r="FG4">
        <v>153</v>
      </c>
      <c r="FH4">
        <v>154</v>
      </c>
      <c r="FI4">
        <v>155</v>
      </c>
      <c r="FJ4">
        <v>156</v>
      </c>
      <c r="FK4">
        <v>157</v>
      </c>
      <c r="FL4">
        <v>158</v>
      </c>
      <c r="FM4">
        <v>159</v>
      </c>
      <c r="FN4">
        <v>160</v>
      </c>
      <c r="FO4">
        <v>161</v>
      </c>
      <c r="FP4">
        <v>162</v>
      </c>
      <c r="FQ4">
        <v>163</v>
      </c>
      <c r="FR4">
        <v>164</v>
      </c>
      <c r="FS4">
        <v>165</v>
      </c>
      <c r="FT4">
        <v>166</v>
      </c>
      <c r="FU4">
        <v>167</v>
      </c>
      <c r="FV4">
        <v>168</v>
      </c>
      <c r="FW4">
        <v>169</v>
      </c>
      <c r="FX4">
        <v>170</v>
      </c>
      <c r="FY4">
        <v>171</v>
      </c>
      <c r="FZ4">
        <v>172</v>
      </c>
      <c r="GA4">
        <v>173</v>
      </c>
      <c r="GB4">
        <v>174</v>
      </c>
      <c r="GC4">
        <v>175</v>
      </c>
      <c r="GD4">
        <v>176</v>
      </c>
      <c r="GE4">
        <v>177</v>
      </c>
      <c r="GF4">
        <v>178</v>
      </c>
      <c r="GG4">
        <v>179</v>
      </c>
      <c r="GI4">
        <v>0</v>
      </c>
      <c r="GJ4">
        <v>1</v>
      </c>
      <c r="GK4">
        <v>2</v>
      </c>
      <c r="GL4">
        <v>3</v>
      </c>
      <c r="GM4">
        <v>4</v>
      </c>
      <c r="GN4">
        <v>5</v>
      </c>
      <c r="GO4">
        <v>6</v>
      </c>
      <c r="GP4">
        <v>7</v>
      </c>
      <c r="GQ4">
        <v>8</v>
      </c>
      <c r="GR4">
        <v>9</v>
      </c>
      <c r="GS4">
        <v>10</v>
      </c>
      <c r="GT4">
        <v>11</v>
      </c>
      <c r="GU4">
        <v>12</v>
      </c>
      <c r="GV4">
        <v>13</v>
      </c>
      <c r="GW4">
        <v>14</v>
      </c>
      <c r="GX4">
        <v>15</v>
      </c>
      <c r="GY4">
        <v>16</v>
      </c>
      <c r="GZ4">
        <v>17</v>
      </c>
      <c r="HA4">
        <v>18</v>
      </c>
      <c r="HB4">
        <v>19</v>
      </c>
      <c r="HC4">
        <v>20</v>
      </c>
      <c r="HD4">
        <v>21</v>
      </c>
      <c r="HE4">
        <v>22</v>
      </c>
      <c r="HF4">
        <v>23</v>
      </c>
      <c r="HG4">
        <v>24</v>
      </c>
      <c r="HH4">
        <v>25</v>
      </c>
      <c r="HI4">
        <v>26</v>
      </c>
      <c r="HJ4">
        <v>27</v>
      </c>
      <c r="HK4">
        <v>28</v>
      </c>
      <c r="HL4">
        <v>29</v>
      </c>
      <c r="HM4">
        <v>30</v>
      </c>
      <c r="HN4">
        <v>31</v>
      </c>
      <c r="HO4">
        <v>32</v>
      </c>
      <c r="HP4">
        <v>33</v>
      </c>
      <c r="HQ4">
        <v>34</v>
      </c>
      <c r="HR4">
        <v>35</v>
      </c>
      <c r="HS4">
        <v>36</v>
      </c>
      <c r="HT4">
        <v>37</v>
      </c>
      <c r="HU4">
        <v>38</v>
      </c>
      <c r="HV4">
        <v>39</v>
      </c>
      <c r="HW4">
        <v>40</v>
      </c>
      <c r="HX4">
        <v>41</v>
      </c>
      <c r="HY4">
        <v>42</v>
      </c>
      <c r="HZ4">
        <v>43</v>
      </c>
      <c r="IA4">
        <v>44</v>
      </c>
      <c r="IB4">
        <v>45</v>
      </c>
      <c r="IC4">
        <v>46</v>
      </c>
      <c r="ID4">
        <v>47</v>
      </c>
      <c r="IE4">
        <v>48</v>
      </c>
      <c r="IF4">
        <v>49</v>
      </c>
      <c r="IG4">
        <v>50</v>
      </c>
      <c r="IH4">
        <v>51</v>
      </c>
      <c r="II4">
        <v>52</v>
      </c>
      <c r="IJ4">
        <v>53</v>
      </c>
      <c r="IK4">
        <v>54</v>
      </c>
      <c r="IL4">
        <v>55</v>
      </c>
      <c r="IM4">
        <v>56</v>
      </c>
      <c r="IN4">
        <v>57</v>
      </c>
      <c r="IO4">
        <v>58</v>
      </c>
      <c r="IP4">
        <v>59</v>
      </c>
      <c r="IQ4">
        <v>60</v>
      </c>
      <c r="IR4">
        <v>61</v>
      </c>
      <c r="IS4">
        <v>62</v>
      </c>
      <c r="IT4">
        <v>63</v>
      </c>
      <c r="IU4">
        <v>64</v>
      </c>
      <c r="IV4">
        <v>65</v>
      </c>
      <c r="IW4">
        <v>66</v>
      </c>
      <c r="IX4">
        <v>67</v>
      </c>
      <c r="IY4">
        <v>68</v>
      </c>
      <c r="IZ4">
        <v>69</v>
      </c>
      <c r="JA4">
        <v>70</v>
      </c>
      <c r="JB4">
        <v>71</v>
      </c>
      <c r="JC4">
        <v>72</v>
      </c>
      <c r="JD4">
        <v>73</v>
      </c>
      <c r="JE4">
        <v>74</v>
      </c>
      <c r="JF4">
        <v>75</v>
      </c>
      <c r="JG4">
        <v>76</v>
      </c>
      <c r="JH4">
        <v>77</v>
      </c>
      <c r="JI4">
        <v>78</v>
      </c>
      <c r="JJ4">
        <v>79</v>
      </c>
      <c r="JK4">
        <v>80</v>
      </c>
      <c r="JL4">
        <v>81</v>
      </c>
      <c r="JM4">
        <v>82</v>
      </c>
      <c r="JN4">
        <v>83</v>
      </c>
      <c r="JO4">
        <v>84</v>
      </c>
      <c r="JP4">
        <v>85</v>
      </c>
      <c r="JQ4">
        <v>86</v>
      </c>
      <c r="JR4">
        <v>87</v>
      </c>
      <c r="JS4">
        <v>88</v>
      </c>
      <c r="JT4">
        <v>89</v>
      </c>
      <c r="JU4">
        <v>90</v>
      </c>
      <c r="JV4">
        <v>91</v>
      </c>
      <c r="JW4">
        <v>92</v>
      </c>
      <c r="JX4">
        <v>93</v>
      </c>
      <c r="JY4">
        <v>94</v>
      </c>
      <c r="JZ4">
        <v>95</v>
      </c>
      <c r="KA4">
        <v>96</v>
      </c>
      <c r="KB4">
        <v>97</v>
      </c>
      <c r="KC4">
        <v>98</v>
      </c>
      <c r="KD4">
        <v>99</v>
      </c>
      <c r="KE4">
        <v>100</v>
      </c>
      <c r="KF4">
        <v>101</v>
      </c>
      <c r="KG4">
        <v>102</v>
      </c>
      <c r="KH4">
        <v>103</v>
      </c>
      <c r="KI4">
        <v>104</v>
      </c>
      <c r="KJ4">
        <v>105</v>
      </c>
      <c r="KK4">
        <v>106</v>
      </c>
      <c r="KL4">
        <v>107</v>
      </c>
      <c r="KM4">
        <v>108</v>
      </c>
      <c r="KN4">
        <v>109</v>
      </c>
      <c r="KO4">
        <v>110</v>
      </c>
      <c r="KP4">
        <v>111</v>
      </c>
      <c r="KQ4">
        <v>112</v>
      </c>
      <c r="KR4">
        <v>113</v>
      </c>
      <c r="KS4">
        <v>114</v>
      </c>
      <c r="KT4">
        <v>115</v>
      </c>
      <c r="KU4">
        <v>116</v>
      </c>
      <c r="KV4">
        <v>117</v>
      </c>
      <c r="KW4">
        <v>118</v>
      </c>
      <c r="KX4">
        <v>119</v>
      </c>
      <c r="KY4">
        <v>120</v>
      </c>
      <c r="KZ4">
        <v>121</v>
      </c>
      <c r="LA4">
        <v>122</v>
      </c>
      <c r="LB4">
        <v>123</v>
      </c>
      <c r="LC4">
        <v>124</v>
      </c>
      <c r="LD4">
        <v>125</v>
      </c>
      <c r="LE4">
        <v>126</v>
      </c>
      <c r="LF4">
        <v>127</v>
      </c>
      <c r="LG4">
        <v>128</v>
      </c>
      <c r="LH4">
        <v>129</v>
      </c>
      <c r="LI4">
        <v>130</v>
      </c>
      <c r="LJ4">
        <v>131</v>
      </c>
      <c r="LK4">
        <v>132</v>
      </c>
      <c r="LL4">
        <v>133</v>
      </c>
      <c r="LM4">
        <v>134</v>
      </c>
      <c r="LN4">
        <v>135</v>
      </c>
      <c r="LO4">
        <v>136</v>
      </c>
      <c r="LP4">
        <v>137</v>
      </c>
      <c r="LQ4">
        <v>138</v>
      </c>
      <c r="LR4">
        <v>139</v>
      </c>
      <c r="LS4">
        <v>140</v>
      </c>
      <c r="LT4">
        <v>141</v>
      </c>
      <c r="LU4">
        <v>142</v>
      </c>
      <c r="LV4">
        <v>143</v>
      </c>
      <c r="LW4">
        <v>144</v>
      </c>
      <c r="LX4">
        <v>145</v>
      </c>
      <c r="LY4">
        <v>146</v>
      </c>
      <c r="LZ4">
        <v>147</v>
      </c>
      <c r="MA4">
        <v>148</v>
      </c>
      <c r="MB4">
        <v>149</v>
      </c>
      <c r="MC4">
        <v>150</v>
      </c>
      <c r="MD4">
        <v>151</v>
      </c>
      <c r="ME4">
        <v>152</v>
      </c>
      <c r="MF4">
        <v>153</v>
      </c>
      <c r="MG4">
        <v>154</v>
      </c>
      <c r="MH4">
        <v>155</v>
      </c>
      <c r="MI4">
        <v>156</v>
      </c>
      <c r="MJ4">
        <v>157</v>
      </c>
      <c r="MK4">
        <v>158</v>
      </c>
      <c r="ML4">
        <v>159</v>
      </c>
      <c r="MM4">
        <v>160</v>
      </c>
      <c r="MN4">
        <v>161</v>
      </c>
      <c r="MO4">
        <v>162</v>
      </c>
      <c r="MP4">
        <v>163</v>
      </c>
      <c r="MQ4">
        <v>164</v>
      </c>
      <c r="MR4">
        <v>165</v>
      </c>
      <c r="MS4">
        <v>166</v>
      </c>
      <c r="MT4">
        <v>167</v>
      </c>
      <c r="MU4">
        <v>168</v>
      </c>
      <c r="MV4">
        <v>169</v>
      </c>
      <c r="MW4">
        <v>170</v>
      </c>
      <c r="MX4">
        <v>171</v>
      </c>
      <c r="MY4">
        <v>172</v>
      </c>
      <c r="MZ4">
        <v>173</v>
      </c>
      <c r="NA4">
        <v>174</v>
      </c>
      <c r="NB4">
        <v>175</v>
      </c>
      <c r="NC4">
        <v>176</v>
      </c>
      <c r="ND4">
        <v>177</v>
      </c>
      <c r="NE4">
        <v>178</v>
      </c>
      <c r="NF4">
        <v>179</v>
      </c>
      <c r="NH4" t="s">
        <v>357</v>
      </c>
      <c r="NI4" t="s">
        <v>358</v>
      </c>
      <c r="NJ4" t="s">
        <v>359</v>
      </c>
      <c r="NK4" t="s">
        <v>482</v>
      </c>
      <c r="NL4" t="s">
        <v>483</v>
      </c>
      <c r="NN4" t="s">
        <v>360</v>
      </c>
      <c r="NO4" t="s">
        <v>361</v>
      </c>
      <c r="NP4" t="s">
        <v>362</v>
      </c>
      <c r="NQ4" t="s">
        <v>363</v>
      </c>
      <c r="NR4" t="s">
        <v>364</v>
      </c>
      <c r="NS4" t="s">
        <v>482</v>
      </c>
      <c r="NT4" t="s">
        <v>483</v>
      </c>
      <c r="NV4" t="s">
        <v>365</v>
      </c>
      <c r="NW4" t="s">
        <v>366</v>
      </c>
      <c r="NX4" t="s">
        <v>367</v>
      </c>
      <c r="NY4" t="s">
        <v>368</v>
      </c>
      <c r="NZ4" t="s">
        <v>369</v>
      </c>
      <c r="OA4" t="s">
        <v>370</v>
      </c>
      <c r="OB4" t="s">
        <v>371</v>
      </c>
      <c r="OC4" t="s">
        <v>372</v>
      </c>
      <c r="OD4" t="s">
        <v>373</v>
      </c>
      <c r="OE4" t="s">
        <v>374</v>
      </c>
      <c r="OF4" t="s">
        <v>482</v>
      </c>
      <c r="OG4" t="s">
        <v>483</v>
      </c>
      <c r="OI4" t="s">
        <v>484</v>
      </c>
    </row>
    <row r="5" spans="1:399" x14ac:dyDescent="0.3">
      <c r="A5" s="2" t="str" cm="1">
        <f t="array" ref="A5:A11">_xlfn.UNIQUE(summ[VisualIDs])</f>
        <v>74JU522300112</v>
      </c>
      <c r="B5" s="2" t="str">
        <f>IF(C5="NotFound",D5,C5)</f>
        <v>CORE143</v>
      </c>
      <c r="C5" s="2" t="str">
        <f>IF(H5&gt;1,"NotFound","CORE"&amp;_xlfn.XLOOKUP(MAX(J5:GG5,1),J5:GG5,$J$4:$GG$4,""))</f>
        <v>NotFound</v>
      </c>
      <c r="D5" s="2" t="str">
        <f>IF(F5&gt;1,"NotFound","CORE"&amp;_xlfn.XLOOKUP(MAX(GI5:NF5,1),GI5:NF5,$GI$4:$NF$4,""))</f>
        <v>CORE143</v>
      </c>
      <c r="E5" s="2" t="str">
        <f>OI5</f>
        <v/>
      </c>
      <c r="F5" s="2">
        <f>COUNTIF(GI5:NF5,G5)</f>
        <v>1</v>
      </c>
      <c r="G5" s="2">
        <f>MAX(GI5:NF5)</f>
        <v>12</v>
      </c>
      <c r="H5" s="2">
        <f>COUNTIF(J5:GG5,I5)</f>
        <v>24</v>
      </c>
      <c r="I5" s="2">
        <f>MAX(J5:GG5)</f>
        <v>20</v>
      </c>
      <c r="J5" cm="1">
        <f t="array" ref="J5:GG11">COUNTIFS(coremca[VisualID],_xlfn.ANCHORARRAY(A5),coremca[CORE],"CORE"&amp;J4:GG4)</f>
        <v>0</v>
      </c>
      <c r="K5">
        <v>20</v>
      </c>
      <c r="L5">
        <v>20</v>
      </c>
      <c r="M5">
        <v>12</v>
      </c>
      <c r="N5">
        <v>0</v>
      </c>
      <c r="O5">
        <v>0</v>
      </c>
      <c r="P5">
        <v>18</v>
      </c>
      <c r="Q5">
        <v>20</v>
      </c>
      <c r="R5">
        <v>18</v>
      </c>
      <c r="S5">
        <v>20</v>
      </c>
      <c r="T5">
        <v>20</v>
      </c>
      <c r="U5">
        <v>0</v>
      </c>
      <c r="V5">
        <v>0</v>
      </c>
      <c r="W5">
        <v>6</v>
      </c>
      <c r="X5">
        <v>20</v>
      </c>
      <c r="Y5">
        <v>18</v>
      </c>
      <c r="Z5">
        <v>12</v>
      </c>
      <c r="AA5">
        <v>8</v>
      </c>
      <c r="AB5">
        <v>0</v>
      </c>
      <c r="AC5">
        <v>0</v>
      </c>
      <c r="AD5">
        <v>12</v>
      </c>
      <c r="AE5">
        <v>12</v>
      </c>
      <c r="AF5">
        <v>8</v>
      </c>
      <c r="AG5">
        <v>6</v>
      </c>
      <c r="AH5">
        <v>18</v>
      </c>
      <c r="AI5">
        <v>0</v>
      </c>
      <c r="AJ5">
        <v>0</v>
      </c>
      <c r="AK5">
        <v>18</v>
      </c>
      <c r="AL5">
        <v>18</v>
      </c>
      <c r="AM5">
        <v>20</v>
      </c>
      <c r="AN5">
        <v>20</v>
      </c>
      <c r="AO5">
        <v>0</v>
      </c>
      <c r="AP5">
        <v>0</v>
      </c>
      <c r="AQ5">
        <v>0</v>
      </c>
      <c r="AR5">
        <v>8</v>
      </c>
      <c r="AS5">
        <v>6</v>
      </c>
      <c r="AT5">
        <v>0</v>
      </c>
      <c r="AU5">
        <v>20</v>
      </c>
      <c r="AV5">
        <v>20</v>
      </c>
      <c r="AW5">
        <v>0</v>
      </c>
      <c r="AX5">
        <v>0</v>
      </c>
      <c r="AY5">
        <v>8</v>
      </c>
      <c r="AZ5">
        <v>12</v>
      </c>
      <c r="BA5">
        <v>20</v>
      </c>
      <c r="BB5">
        <v>12</v>
      </c>
      <c r="BC5">
        <v>12</v>
      </c>
      <c r="BD5">
        <v>0</v>
      </c>
      <c r="BE5">
        <v>0</v>
      </c>
      <c r="BF5">
        <v>8</v>
      </c>
      <c r="BG5">
        <v>20</v>
      </c>
      <c r="BH5">
        <v>12</v>
      </c>
      <c r="BI5">
        <v>18</v>
      </c>
      <c r="BJ5">
        <v>8</v>
      </c>
      <c r="BK5">
        <v>0</v>
      </c>
      <c r="BL5">
        <v>0</v>
      </c>
      <c r="BM5">
        <v>20</v>
      </c>
      <c r="BN5">
        <v>20</v>
      </c>
      <c r="BO5">
        <v>12</v>
      </c>
      <c r="BP5">
        <v>20</v>
      </c>
      <c r="BQ5">
        <v>18</v>
      </c>
      <c r="BR5">
        <v>0</v>
      </c>
      <c r="BS5">
        <v>20</v>
      </c>
      <c r="BT5">
        <v>12</v>
      </c>
      <c r="BU5">
        <v>18</v>
      </c>
      <c r="BV5">
        <v>0</v>
      </c>
      <c r="BW5">
        <v>0</v>
      </c>
      <c r="BX5">
        <v>18</v>
      </c>
      <c r="BY5">
        <v>18</v>
      </c>
      <c r="BZ5">
        <v>18</v>
      </c>
      <c r="CA5">
        <v>12</v>
      </c>
      <c r="CB5">
        <v>6</v>
      </c>
      <c r="CC5">
        <v>0</v>
      </c>
      <c r="CD5">
        <v>0</v>
      </c>
      <c r="CE5">
        <v>18</v>
      </c>
      <c r="CF5">
        <v>18</v>
      </c>
      <c r="CG5">
        <v>18</v>
      </c>
      <c r="CH5">
        <v>18</v>
      </c>
      <c r="CI5">
        <v>18</v>
      </c>
      <c r="CJ5">
        <v>0</v>
      </c>
      <c r="CK5">
        <v>0</v>
      </c>
      <c r="CL5">
        <v>18</v>
      </c>
      <c r="CM5">
        <v>12</v>
      </c>
      <c r="CN5">
        <v>18</v>
      </c>
      <c r="CO5">
        <v>6</v>
      </c>
      <c r="CP5">
        <v>6</v>
      </c>
      <c r="CQ5">
        <v>0</v>
      </c>
      <c r="CR5">
        <v>0</v>
      </c>
      <c r="CS5">
        <v>0</v>
      </c>
      <c r="CT5">
        <v>18</v>
      </c>
      <c r="CU5">
        <v>18</v>
      </c>
      <c r="CV5">
        <v>18</v>
      </c>
      <c r="CW5">
        <v>6</v>
      </c>
      <c r="CX5">
        <v>0</v>
      </c>
      <c r="CY5">
        <v>0</v>
      </c>
      <c r="CZ5">
        <v>6</v>
      </c>
      <c r="DA5">
        <v>18</v>
      </c>
      <c r="DB5">
        <v>16</v>
      </c>
      <c r="DC5">
        <v>18</v>
      </c>
      <c r="DD5">
        <v>18</v>
      </c>
      <c r="DE5">
        <v>0</v>
      </c>
      <c r="DF5">
        <v>0</v>
      </c>
      <c r="DG5">
        <v>16</v>
      </c>
      <c r="DH5">
        <v>10</v>
      </c>
      <c r="DI5">
        <v>12</v>
      </c>
      <c r="DJ5">
        <v>12</v>
      </c>
      <c r="DK5">
        <v>6</v>
      </c>
      <c r="DL5">
        <v>0</v>
      </c>
      <c r="DM5">
        <v>0</v>
      </c>
      <c r="DN5">
        <v>18</v>
      </c>
      <c r="DO5">
        <v>18</v>
      </c>
      <c r="DP5">
        <v>12</v>
      </c>
      <c r="DQ5">
        <v>18</v>
      </c>
      <c r="DR5">
        <v>6</v>
      </c>
      <c r="DS5">
        <v>0</v>
      </c>
      <c r="DT5">
        <v>0</v>
      </c>
      <c r="DU5">
        <v>6</v>
      </c>
      <c r="DV5">
        <v>10</v>
      </c>
      <c r="DW5">
        <v>18</v>
      </c>
      <c r="DX5">
        <v>0</v>
      </c>
      <c r="DY5">
        <v>0</v>
      </c>
      <c r="DZ5">
        <v>20</v>
      </c>
      <c r="EA5">
        <v>20</v>
      </c>
      <c r="EB5">
        <v>20</v>
      </c>
      <c r="EC5">
        <v>12</v>
      </c>
      <c r="ED5">
        <v>0</v>
      </c>
      <c r="EE5">
        <v>0</v>
      </c>
      <c r="EF5">
        <v>18</v>
      </c>
      <c r="EG5">
        <v>16</v>
      </c>
      <c r="EH5">
        <v>12</v>
      </c>
      <c r="EI5">
        <v>20</v>
      </c>
      <c r="EJ5">
        <v>18</v>
      </c>
      <c r="EK5">
        <v>0</v>
      </c>
      <c r="EL5">
        <v>0</v>
      </c>
      <c r="EM5">
        <v>12</v>
      </c>
      <c r="EN5">
        <v>20</v>
      </c>
      <c r="EO5">
        <v>0</v>
      </c>
      <c r="EP5">
        <v>20</v>
      </c>
      <c r="EQ5">
        <v>20</v>
      </c>
      <c r="ER5">
        <v>0</v>
      </c>
      <c r="ES5">
        <v>0</v>
      </c>
      <c r="ET5">
        <v>12</v>
      </c>
      <c r="EU5">
        <v>10</v>
      </c>
      <c r="EV5">
        <v>12</v>
      </c>
      <c r="EW5">
        <v>18</v>
      </c>
      <c r="EX5">
        <v>8</v>
      </c>
      <c r="EY5">
        <v>0</v>
      </c>
      <c r="EZ5">
        <v>0</v>
      </c>
      <c r="FA5">
        <v>8</v>
      </c>
      <c r="FB5">
        <v>8</v>
      </c>
      <c r="FC5">
        <v>8</v>
      </c>
      <c r="FD5">
        <v>20</v>
      </c>
      <c r="FE5">
        <v>12</v>
      </c>
      <c r="FF5">
        <v>0</v>
      </c>
      <c r="FG5">
        <v>0</v>
      </c>
      <c r="FH5">
        <v>18</v>
      </c>
      <c r="FI5">
        <v>16</v>
      </c>
      <c r="FJ5">
        <v>18</v>
      </c>
      <c r="FK5">
        <v>6</v>
      </c>
      <c r="FL5">
        <v>0</v>
      </c>
      <c r="FM5">
        <v>0</v>
      </c>
      <c r="FN5">
        <v>0</v>
      </c>
      <c r="FO5">
        <v>18</v>
      </c>
      <c r="FP5">
        <v>8</v>
      </c>
      <c r="FQ5">
        <v>18</v>
      </c>
      <c r="FR5">
        <v>4</v>
      </c>
      <c r="FS5">
        <v>16</v>
      </c>
      <c r="FT5">
        <v>0</v>
      </c>
      <c r="FU5">
        <v>0</v>
      </c>
      <c r="FV5">
        <v>12</v>
      </c>
      <c r="FW5">
        <v>18</v>
      </c>
      <c r="FX5">
        <v>12</v>
      </c>
      <c r="FY5">
        <v>6</v>
      </c>
      <c r="FZ5">
        <v>16</v>
      </c>
      <c r="GA5">
        <v>0</v>
      </c>
      <c r="GB5">
        <v>0</v>
      </c>
      <c r="GC5">
        <v>16</v>
      </c>
      <c r="GD5">
        <v>12</v>
      </c>
      <c r="GE5">
        <v>8</v>
      </c>
      <c r="GF5">
        <v>18</v>
      </c>
      <c r="GG5">
        <v>8</v>
      </c>
      <c r="GI5" cm="1">
        <f t="array" ref="GI5:NF11">COUNTIFS(ubox[VisualID],_xlfn.ANCHORARRAY(A5),ubox[Failed Instance],"CORE"&amp;GI4:NF4,ubox[NCEVENT],"*IERRLOGGINGREG*")</f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2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2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2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2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H5" cm="1">
        <f t="array" ref="NH5:NJ5">SUMIFS($J5:$GG5,$J$1:$GG$1,NH$3:NJ$3)</f>
        <v>618</v>
      </c>
      <c r="NI5">
        <v>570</v>
      </c>
      <c r="NJ5">
        <v>592</v>
      </c>
      <c r="NK5" cm="1">
        <f t="array" ref="NK5">IFERROR(MAX((_xlfn.ANCHORARRAY(NH5)-AVERAGE(_xlfn.ANCHORARRAY(NH5)))/ AVERAGE(_xlfn.ANCHORARRAY(NH5))),0)</f>
        <v>4.1573033707865102E-2</v>
      </c>
      <c r="NL5" t="str" cm="1">
        <f t="array" ref="NL5">IF(NK5&gt;$NL$1,_xlfn.XLOOKUP(MAX(_xlfn.ANCHORARRAY(NH5)),_xlfn.ANCHORARRAY(NH5),NH$4:NJ$4,""),"")</f>
        <v/>
      </c>
      <c r="NN5" cm="1">
        <f t="array" ref="NN5:NR5">SUMIFS($J5:$GG5,$J$3:$GG$3,NN$3:NR$3)</f>
        <v>414</v>
      </c>
      <c r="NO5">
        <v>370</v>
      </c>
      <c r="NP5">
        <v>312</v>
      </c>
      <c r="NQ5">
        <v>358</v>
      </c>
      <c r="NR5">
        <v>326</v>
      </c>
      <c r="NS5" cm="1">
        <f t="array" ref="NS5">IFERROR(MAX((_xlfn.ANCHORARRAY(NN5)-AVERAGE(_xlfn.ANCHORARRAY(NN5)))/ AVERAGE(_xlfn.ANCHORARRAY(NN5))),0)</f>
        <v>0.16292134831460675</v>
      </c>
      <c r="NT5" t="str" cm="1">
        <f t="array" ref="NT5">IF(AND(NS5&gt;$NT$1,NL5&lt;&gt;""),_xlfn.XLOOKUP(MAX(_xlfn.ANCHORARRAY(NN5)),_xlfn.ANCHORARRAY(NN5),NN$4:NR$4,""),"")</f>
        <v/>
      </c>
      <c r="NV5" cm="1">
        <f t="array" ref="NV5:OE5">SUMIFS($J5:$GG5,$J$2:$GG$2,NV$3:OE$3)</f>
        <v>80</v>
      </c>
      <c r="NW5">
        <v>302</v>
      </c>
      <c r="NX5">
        <v>224</v>
      </c>
      <c r="NY5">
        <v>190</v>
      </c>
      <c r="NZ5">
        <v>206</v>
      </c>
      <c r="OA5">
        <v>168</v>
      </c>
      <c r="OB5">
        <v>188</v>
      </c>
      <c r="OC5">
        <v>206</v>
      </c>
      <c r="OD5">
        <v>152</v>
      </c>
      <c r="OE5">
        <v>64</v>
      </c>
      <c r="OF5" cm="1">
        <f t="array" ref="OF5">IFERROR(MAX((_xlfn.ANCHORARRAY(NV5)-AVERAGE(_xlfn.ANCHORARRAY(NV5)))/ AVERAGE(_xlfn.ANCHORARRAY(NV5))),0)</f>
        <v>0.6966292134831461</v>
      </c>
      <c r="OG5" t="str" cm="1">
        <f t="array" ref="OG5">IF(OF5&gt;$OG$1,_xlfn.XLOOKUP(MAX(_xlfn.ANCHORARRAY(NV5)),_xlfn.ANCHORARRAY(NV5),NV$4:OE$4,""),"")</f>
        <v/>
      </c>
      <c r="OI5" t="str">
        <f>_xlfn.TEXTJOIN(" : ",,NL5,NT5,OG5)</f>
        <v/>
      </c>
    </row>
    <row r="6" spans="1:399" x14ac:dyDescent="0.3">
      <c r="A6" s="2" t="str">
        <v>759Y5U8800863</v>
      </c>
      <c r="B6" s="2" t="str">
        <f t="shared" ref="B6:B69" si="0">IF(C6="NotFound",D6,C6)</f>
        <v>CORE13</v>
      </c>
      <c r="C6" s="2" t="str">
        <f t="shared" ref="C6:C69" si="1">IF(H6&gt;1,"NotFound","CORE"&amp;_xlfn.XLOOKUP(MAX(J6:GG6,1),J6:GG6,$J$4:$GG$4,""))</f>
        <v>NotFound</v>
      </c>
      <c r="D6" s="2" t="str">
        <f t="shared" ref="D6:D69" si="2">IF(F6&gt;1,"NotFound","CORE"&amp;_xlfn.XLOOKUP(MAX(GI6:NF6,1),GI6:NF6,$GI$4:$NF$4,""))</f>
        <v>CORE13</v>
      </c>
      <c r="E6" s="2" t="str">
        <f t="shared" ref="E6:E69" si="3">OI6</f>
        <v/>
      </c>
      <c r="F6" s="2">
        <f t="shared" ref="F6:F69" si="4">COUNTIF(GI6:NF6,G6)</f>
        <v>1</v>
      </c>
      <c r="G6" s="2">
        <f t="shared" ref="G6:G69" si="5">MAX(GI6:NF6)</f>
        <v>6</v>
      </c>
      <c r="H6" s="2">
        <f t="shared" ref="H6:H69" si="6">COUNTIF(J6:GG6,I6)</f>
        <v>96</v>
      </c>
      <c r="I6" s="2">
        <f t="shared" ref="I6:I69" si="7">MAX(J6:GG6)</f>
        <v>6</v>
      </c>
      <c r="J6">
        <v>0</v>
      </c>
      <c r="K6">
        <v>6</v>
      </c>
      <c r="L6">
        <v>6</v>
      </c>
      <c r="M6">
        <v>6</v>
      </c>
      <c r="N6">
        <v>0</v>
      </c>
      <c r="O6">
        <v>0</v>
      </c>
      <c r="P6">
        <v>6</v>
      </c>
      <c r="Q6">
        <v>6</v>
      </c>
      <c r="R6">
        <v>0</v>
      </c>
      <c r="S6">
        <v>0</v>
      </c>
      <c r="T6">
        <v>6</v>
      </c>
      <c r="U6">
        <v>0</v>
      </c>
      <c r="V6">
        <v>0</v>
      </c>
      <c r="W6">
        <v>6</v>
      </c>
      <c r="X6">
        <v>6</v>
      </c>
      <c r="Y6">
        <v>6</v>
      </c>
      <c r="Z6">
        <v>0</v>
      </c>
      <c r="AA6">
        <v>6</v>
      </c>
      <c r="AB6">
        <v>0</v>
      </c>
      <c r="AC6">
        <v>0</v>
      </c>
      <c r="AD6">
        <v>0</v>
      </c>
      <c r="AE6">
        <v>6</v>
      </c>
      <c r="AF6">
        <v>6</v>
      </c>
      <c r="AG6">
        <v>6</v>
      </c>
      <c r="AH6">
        <v>6</v>
      </c>
      <c r="AI6">
        <v>0</v>
      </c>
      <c r="AJ6">
        <v>0</v>
      </c>
      <c r="AK6">
        <v>6</v>
      </c>
      <c r="AL6">
        <v>6</v>
      </c>
      <c r="AM6">
        <v>6</v>
      </c>
      <c r="AN6">
        <v>0</v>
      </c>
      <c r="AO6">
        <v>6</v>
      </c>
      <c r="AP6">
        <v>0</v>
      </c>
      <c r="AQ6">
        <v>0</v>
      </c>
      <c r="AR6">
        <v>6</v>
      </c>
      <c r="AS6">
        <v>0</v>
      </c>
      <c r="AT6">
        <v>0</v>
      </c>
      <c r="AU6">
        <v>6</v>
      </c>
      <c r="AV6">
        <v>6</v>
      </c>
      <c r="AW6">
        <v>0</v>
      </c>
      <c r="AX6">
        <v>0</v>
      </c>
      <c r="AY6">
        <v>6</v>
      </c>
      <c r="AZ6">
        <v>6</v>
      </c>
      <c r="BA6">
        <v>6</v>
      </c>
      <c r="BB6">
        <v>6</v>
      </c>
      <c r="BC6">
        <v>0</v>
      </c>
      <c r="BD6">
        <v>0</v>
      </c>
      <c r="BE6">
        <v>0</v>
      </c>
      <c r="BF6">
        <v>6</v>
      </c>
      <c r="BG6">
        <v>6</v>
      </c>
      <c r="BH6">
        <v>6</v>
      </c>
      <c r="BI6">
        <v>6</v>
      </c>
      <c r="BJ6">
        <v>0</v>
      </c>
      <c r="BK6">
        <v>0</v>
      </c>
      <c r="BL6">
        <v>0</v>
      </c>
      <c r="BM6">
        <v>0</v>
      </c>
      <c r="BN6">
        <v>6</v>
      </c>
      <c r="BO6">
        <v>6</v>
      </c>
      <c r="BP6">
        <v>0</v>
      </c>
      <c r="BQ6">
        <v>6</v>
      </c>
      <c r="BR6">
        <v>6</v>
      </c>
      <c r="BS6">
        <v>6</v>
      </c>
      <c r="BT6">
        <v>6</v>
      </c>
      <c r="BU6">
        <v>6</v>
      </c>
      <c r="BV6">
        <v>0</v>
      </c>
      <c r="BW6">
        <v>0</v>
      </c>
      <c r="BX6">
        <v>6</v>
      </c>
      <c r="BY6">
        <v>6</v>
      </c>
      <c r="BZ6">
        <v>6</v>
      </c>
      <c r="CA6">
        <v>0</v>
      </c>
      <c r="CB6">
        <v>0</v>
      </c>
      <c r="CC6">
        <v>0</v>
      </c>
      <c r="CD6">
        <v>0</v>
      </c>
      <c r="CE6">
        <v>6</v>
      </c>
      <c r="CF6">
        <v>6</v>
      </c>
      <c r="CG6">
        <v>6</v>
      </c>
      <c r="CH6">
        <v>6</v>
      </c>
      <c r="CI6">
        <v>0</v>
      </c>
      <c r="CJ6">
        <v>0</v>
      </c>
      <c r="CK6">
        <v>0</v>
      </c>
      <c r="CL6">
        <v>6</v>
      </c>
      <c r="CM6">
        <v>6</v>
      </c>
      <c r="CN6">
        <v>6</v>
      </c>
      <c r="CO6">
        <v>0</v>
      </c>
      <c r="CP6">
        <v>6</v>
      </c>
      <c r="CQ6">
        <v>0</v>
      </c>
      <c r="CR6">
        <v>0</v>
      </c>
      <c r="CS6">
        <v>6</v>
      </c>
      <c r="CT6">
        <v>6</v>
      </c>
      <c r="CU6">
        <v>0</v>
      </c>
      <c r="CV6">
        <v>6</v>
      </c>
      <c r="CW6">
        <v>6</v>
      </c>
      <c r="CX6">
        <v>0</v>
      </c>
      <c r="CY6">
        <v>0</v>
      </c>
      <c r="CZ6">
        <v>0</v>
      </c>
      <c r="DA6">
        <v>6</v>
      </c>
      <c r="DB6">
        <v>6</v>
      </c>
      <c r="DC6">
        <v>0</v>
      </c>
      <c r="DD6">
        <v>6</v>
      </c>
      <c r="DE6">
        <v>0</v>
      </c>
      <c r="DF6">
        <v>0</v>
      </c>
      <c r="DG6">
        <v>0</v>
      </c>
      <c r="DH6">
        <v>6</v>
      </c>
      <c r="DI6">
        <v>6</v>
      </c>
      <c r="DJ6">
        <v>0</v>
      </c>
      <c r="DK6">
        <v>6</v>
      </c>
      <c r="DL6">
        <v>0</v>
      </c>
      <c r="DM6">
        <v>0</v>
      </c>
      <c r="DN6">
        <v>6</v>
      </c>
      <c r="DO6">
        <v>6</v>
      </c>
      <c r="DP6">
        <v>6</v>
      </c>
      <c r="DQ6">
        <v>6</v>
      </c>
      <c r="DR6">
        <v>0</v>
      </c>
      <c r="DS6">
        <v>0</v>
      </c>
      <c r="DT6">
        <v>0</v>
      </c>
      <c r="DU6">
        <v>6</v>
      </c>
      <c r="DV6">
        <v>6</v>
      </c>
      <c r="DW6">
        <v>6</v>
      </c>
      <c r="DX6">
        <v>0</v>
      </c>
      <c r="DY6">
        <v>0</v>
      </c>
      <c r="DZ6">
        <v>6</v>
      </c>
      <c r="EA6">
        <v>6</v>
      </c>
      <c r="EB6">
        <v>0</v>
      </c>
      <c r="EC6">
        <v>0</v>
      </c>
      <c r="ED6">
        <v>0</v>
      </c>
      <c r="EE6">
        <v>0</v>
      </c>
      <c r="EF6">
        <v>0</v>
      </c>
      <c r="EG6">
        <v>6</v>
      </c>
      <c r="EH6">
        <v>6</v>
      </c>
      <c r="EI6">
        <v>0</v>
      </c>
      <c r="EJ6">
        <v>0</v>
      </c>
      <c r="EK6">
        <v>0</v>
      </c>
      <c r="EL6">
        <v>0</v>
      </c>
      <c r="EM6">
        <v>6</v>
      </c>
      <c r="EN6">
        <v>6</v>
      </c>
      <c r="EO6">
        <v>6</v>
      </c>
      <c r="EP6">
        <v>0</v>
      </c>
      <c r="EQ6">
        <v>0</v>
      </c>
      <c r="ER6">
        <v>0</v>
      </c>
      <c r="ES6">
        <v>0</v>
      </c>
      <c r="ET6">
        <v>6</v>
      </c>
      <c r="EU6">
        <v>6</v>
      </c>
      <c r="EV6">
        <v>6</v>
      </c>
      <c r="EW6">
        <v>6</v>
      </c>
      <c r="EX6">
        <v>6</v>
      </c>
      <c r="EY6">
        <v>0</v>
      </c>
      <c r="EZ6">
        <v>0</v>
      </c>
      <c r="FA6">
        <v>6</v>
      </c>
      <c r="FB6">
        <v>6</v>
      </c>
      <c r="FC6">
        <v>6</v>
      </c>
      <c r="FD6">
        <v>0</v>
      </c>
      <c r="FE6">
        <v>6</v>
      </c>
      <c r="FF6">
        <v>0</v>
      </c>
      <c r="FG6">
        <v>0</v>
      </c>
      <c r="FH6">
        <v>0</v>
      </c>
      <c r="FI6">
        <v>6</v>
      </c>
      <c r="FJ6">
        <v>0</v>
      </c>
      <c r="FK6">
        <v>0</v>
      </c>
      <c r="FL6">
        <v>6</v>
      </c>
      <c r="FM6">
        <v>0</v>
      </c>
      <c r="FN6">
        <v>0</v>
      </c>
      <c r="FO6">
        <v>6</v>
      </c>
      <c r="FP6">
        <v>6</v>
      </c>
      <c r="FQ6">
        <v>6</v>
      </c>
      <c r="FR6">
        <v>0</v>
      </c>
      <c r="FS6">
        <v>6</v>
      </c>
      <c r="FT6">
        <v>0</v>
      </c>
      <c r="FU6">
        <v>0</v>
      </c>
      <c r="FV6">
        <v>6</v>
      </c>
      <c r="FW6">
        <v>6</v>
      </c>
      <c r="FX6">
        <v>6</v>
      </c>
      <c r="FY6">
        <v>6</v>
      </c>
      <c r="FZ6">
        <v>6</v>
      </c>
      <c r="GA6">
        <v>0</v>
      </c>
      <c r="GB6">
        <v>0</v>
      </c>
      <c r="GC6">
        <v>6</v>
      </c>
      <c r="GD6">
        <v>6</v>
      </c>
      <c r="GE6">
        <v>6</v>
      </c>
      <c r="GF6">
        <v>6</v>
      </c>
      <c r="GG6">
        <v>6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6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H6" cm="1">
        <f t="array" ref="NH6:NJ6">SUMIFS($J6:$GG6,$J$1:$GG$1,NH$3:NJ$3)</f>
        <v>192</v>
      </c>
      <c r="NI6">
        <v>192</v>
      </c>
      <c r="NJ6">
        <v>192</v>
      </c>
      <c r="NK6" cm="1">
        <f t="array" ref="NK6">IFERROR(MAX((_xlfn.ANCHORARRAY(NH6)-AVERAGE(_xlfn.ANCHORARRAY(NH6)))/ AVERAGE(_xlfn.ANCHORARRAY(NH6))),0)</f>
        <v>0</v>
      </c>
      <c r="NL6" t="str" cm="1">
        <f t="array" ref="NL6">IF(NK6&gt;$NL$1,_xlfn.XLOOKUP(MAX(_xlfn.ANCHORARRAY(NH6)),_xlfn.ANCHORARRAY(NH6),NH$4:NJ$4,""),"")</f>
        <v/>
      </c>
      <c r="NN6" cm="1">
        <f t="array" ref="NN6:NR6">SUMIFS($J6:$GG6,$J$3:$GG$3,NN$3:NR$3)</f>
        <v>84</v>
      </c>
      <c r="NO6">
        <v>126</v>
      </c>
      <c r="NP6">
        <v>108</v>
      </c>
      <c r="NQ6">
        <v>138</v>
      </c>
      <c r="NR6">
        <v>120</v>
      </c>
      <c r="NS6" cm="1">
        <f t="array" ref="NS6">IFERROR(MAX((_xlfn.ANCHORARRAY(NN6)-AVERAGE(_xlfn.ANCHORARRAY(NN6)))/ AVERAGE(_xlfn.ANCHORARRAY(NN6))),0)</f>
        <v>0.19791666666666663</v>
      </c>
      <c r="NT6" t="str" cm="1">
        <f t="array" ref="NT6">IF(AND(NS6&gt;$NT$1,NL6&lt;&gt;""),_xlfn.XLOOKUP(MAX(_xlfn.ANCHORARRAY(NN6)),_xlfn.ANCHORARRAY(NN6),NN$4:NR$4,""),"")</f>
        <v/>
      </c>
      <c r="NV6" cm="1">
        <f t="array" ref="NV6:OE6">SUMIFS($J6:$GG6,$J$2:$GG$2,NV$3:OE$3)</f>
        <v>30</v>
      </c>
      <c r="NW6">
        <v>66</v>
      </c>
      <c r="NX6">
        <v>66</v>
      </c>
      <c r="NY6">
        <v>66</v>
      </c>
      <c r="NZ6">
        <v>72</v>
      </c>
      <c r="OA6">
        <v>48</v>
      </c>
      <c r="OB6">
        <v>72</v>
      </c>
      <c r="OC6">
        <v>84</v>
      </c>
      <c r="OD6">
        <v>54</v>
      </c>
      <c r="OE6">
        <v>18</v>
      </c>
      <c r="OF6" cm="1">
        <f t="array" ref="OF6">IFERROR(MAX((_xlfn.ANCHORARRAY(NV6)-AVERAGE(_xlfn.ANCHORARRAY(NV6)))/ AVERAGE(_xlfn.ANCHORARRAY(NV6))),0)</f>
        <v>0.45833333333333331</v>
      </c>
      <c r="OG6" t="str" cm="1">
        <f t="array" ref="OG6">IF(OF6&gt;$OG$1,_xlfn.XLOOKUP(MAX(_xlfn.ANCHORARRAY(NV6)),_xlfn.ANCHORARRAY(NV6),NV$4:OE$4,""),"")</f>
        <v/>
      </c>
      <c r="OI6" t="str">
        <f t="shared" ref="OI6:OI69" si="8">_xlfn.TEXTJOIN(" : ",,NL6,NT6,OG6)</f>
        <v/>
      </c>
    </row>
    <row r="7" spans="1:399" x14ac:dyDescent="0.3">
      <c r="A7" s="2" t="str">
        <v>74N24C5300241</v>
      </c>
      <c r="B7" s="2" t="str">
        <f t="shared" si="0"/>
        <v>CORE17</v>
      </c>
      <c r="C7" s="2" t="str">
        <f t="shared" si="1"/>
        <v>CORE17</v>
      </c>
      <c r="D7" s="2" t="str">
        <f t="shared" si="2"/>
        <v>NotFound</v>
      </c>
      <c r="E7" s="2" t="str">
        <f t="shared" si="3"/>
        <v/>
      </c>
      <c r="F7" s="2">
        <f t="shared" si="4"/>
        <v>2</v>
      </c>
      <c r="G7" s="2">
        <f t="shared" si="5"/>
        <v>2</v>
      </c>
      <c r="H7" s="2">
        <f t="shared" si="6"/>
        <v>1</v>
      </c>
      <c r="I7" s="2">
        <f t="shared" si="7"/>
        <v>8</v>
      </c>
      <c r="J7">
        <v>4</v>
      </c>
      <c r="K7">
        <v>4</v>
      </c>
      <c r="L7">
        <v>4</v>
      </c>
      <c r="M7">
        <v>4</v>
      </c>
      <c r="N7">
        <v>0</v>
      </c>
      <c r="O7">
        <v>0</v>
      </c>
      <c r="P7">
        <v>4</v>
      </c>
      <c r="Q7">
        <v>4</v>
      </c>
      <c r="R7">
        <v>2</v>
      </c>
      <c r="S7">
        <v>4</v>
      </c>
      <c r="T7">
        <v>2</v>
      </c>
      <c r="U7">
        <v>0</v>
      </c>
      <c r="V7">
        <v>0</v>
      </c>
      <c r="W7">
        <v>2</v>
      </c>
      <c r="X7">
        <v>4</v>
      </c>
      <c r="Y7">
        <v>2</v>
      </c>
      <c r="Z7">
        <v>4</v>
      </c>
      <c r="AA7">
        <v>8</v>
      </c>
      <c r="AB7">
        <v>0</v>
      </c>
      <c r="AC7">
        <v>0</v>
      </c>
      <c r="AD7">
        <v>2</v>
      </c>
      <c r="AE7">
        <v>4</v>
      </c>
      <c r="AF7">
        <v>0</v>
      </c>
      <c r="AG7">
        <v>4</v>
      </c>
      <c r="AH7">
        <v>4</v>
      </c>
      <c r="AI7">
        <v>0</v>
      </c>
      <c r="AJ7">
        <v>0</v>
      </c>
      <c r="AK7">
        <v>2</v>
      </c>
      <c r="AL7">
        <v>2</v>
      </c>
      <c r="AM7">
        <v>0</v>
      </c>
      <c r="AN7">
        <v>4</v>
      </c>
      <c r="AO7">
        <v>4</v>
      </c>
      <c r="AP7">
        <v>0</v>
      </c>
      <c r="AQ7">
        <v>0</v>
      </c>
      <c r="AR7">
        <v>4</v>
      </c>
      <c r="AS7">
        <v>4</v>
      </c>
      <c r="AT7">
        <v>2</v>
      </c>
      <c r="AU7">
        <v>2</v>
      </c>
      <c r="AV7">
        <v>2</v>
      </c>
      <c r="AW7">
        <v>0</v>
      </c>
      <c r="AX7">
        <v>0</v>
      </c>
      <c r="AY7">
        <v>0</v>
      </c>
      <c r="AZ7">
        <v>2</v>
      </c>
      <c r="BA7">
        <v>2</v>
      </c>
      <c r="BB7">
        <v>4</v>
      </c>
      <c r="BC7">
        <v>4</v>
      </c>
      <c r="BD7">
        <v>0</v>
      </c>
      <c r="BE7">
        <v>0</v>
      </c>
      <c r="BF7">
        <v>4</v>
      </c>
      <c r="BG7">
        <v>2</v>
      </c>
      <c r="BH7">
        <v>2</v>
      </c>
      <c r="BI7">
        <v>4</v>
      </c>
      <c r="BJ7">
        <v>4</v>
      </c>
      <c r="BK7">
        <v>0</v>
      </c>
      <c r="BL7">
        <v>0</v>
      </c>
      <c r="BM7">
        <v>4</v>
      </c>
      <c r="BN7">
        <v>4</v>
      </c>
      <c r="BO7">
        <v>0</v>
      </c>
      <c r="BP7">
        <v>2</v>
      </c>
      <c r="BQ7">
        <v>2</v>
      </c>
      <c r="BR7">
        <v>2</v>
      </c>
      <c r="BS7">
        <v>4</v>
      </c>
      <c r="BT7">
        <v>4</v>
      </c>
      <c r="BU7">
        <v>2</v>
      </c>
      <c r="BV7">
        <v>0</v>
      </c>
      <c r="BW7">
        <v>0</v>
      </c>
      <c r="BX7">
        <v>4</v>
      </c>
      <c r="BY7">
        <v>2</v>
      </c>
      <c r="BZ7">
        <v>4</v>
      </c>
      <c r="CA7">
        <v>2</v>
      </c>
      <c r="CB7">
        <v>2</v>
      </c>
      <c r="CC7">
        <v>0</v>
      </c>
      <c r="CD7">
        <v>0</v>
      </c>
      <c r="CE7">
        <v>4</v>
      </c>
      <c r="CF7">
        <v>2</v>
      </c>
      <c r="CG7">
        <v>4</v>
      </c>
      <c r="CH7">
        <v>0</v>
      </c>
      <c r="CI7">
        <v>2</v>
      </c>
      <c r="CJ7">
        <v>0</v>
      </c>
      <c r="CK7">
        <v>0</v>
      </c>
      <c r="CL7">
        <v>0</v>
      </c>
      <c r="CM7">
        <v>4</v>
      </c>
      <c r="CN7">
        <v>2</v>
      </c>
      <c r="CO7">
        <v>4</v>
      </c>
      <c r="CP7">
        <v>4</v>
      </c>
      <c r="CQ7">
        <v>0</v>
      </c>
      <c r="CR7">
        <v>0</v>
      </c>
      <c r="CS7">
        <v>4</v>
      </c>
      <c r="CT7">
        <v>4</v>
      </c>
      <c r="CU7">
        <v>2</v>
      </c>
      <c r="CV7">
        <v>4</v>
      </c>
      <c r="CW7">
        <v>4</v>
      </c>
      <c r="CX7">
        <v>0</v>
      </c>
      <c r="CY7">
        <v>0</v>
      </c>
      <c r="CZ7">
        <v>4</v>
      </c>
      <c r="DA7">
        <v>2</v>
      </c>
      <c r="DB7">
        <v>2</v>
      </c>
      <c r="DC7">
        <v>4</v>
      </c>
      <c r="DD7">
        <v>2</v>
      </c>
      <c r="DE7">
        <v>0</v>
      </c>
      <c r="DF7">
        <v>0</v>
      </c>
      <c r="DG7">
        <v>2</v>
      </c>
      <c r="DH7">
        <v>2</v>
      </c>
      <c r="DI7">
        <v>0</v>
      </c>
      <c r="DJ7">
        <v>4</v>
      </c>
      <c r="DK7">
        <v>4</v>
      </c>
      <c r="DL7">
        <v>0</v>
      </c>
      <c r="DM7">
        <v>0</v>
      </c>
      <c r="DN7">
        <v>4</v>
      </c>
      <c r="DO7">
        <v>4</v>
      </c>
      <c r="DP7">
        <v>2</v>
      </c>
      <c r="DQ7">
        <v>4</v>
      </c>
      <c r="DR7">
        <v>4</v>
      </c>
      <c r="DS7">
        <v>0</v>
      </c>
      <c r="DT7">
        <v>0</v>
      </c>
      <c r="DU7">
        <v>4</v>
      </c>
      <c r="DV7">
        <v>4</v>
      </c>
      <c r="DW7">
        <v>4</v>
      </c>
      <c r="DX7">
        <v>2</v>
      </c>
      <c r="DY7">
        <v>0</v>
      </c>
      <c r="DZ7">
        <v>0</v>
      </c>
      <c r="EA7">
        <v>2</v>
      </c>
      <c r="EB7">
        <v>4</v>
      </c>
      <c r="EC7">
        <v>2</v>
      </c>
      <c r="ED7">
        <v>0</v>
      </c>
      <c r="EE7">
        <v>0</v>
      </c>
      <c r="EF7">
        <v>4</v>
      </c>
      <c r="EG7">
        <v>4</v>
      </c>
      <c r="EH7">
        <v>4</v>
      </c>
      <c r="EI7">
        <v>4</v>
      </c>
      <c r="EJ7">
        <v>4</v>
      </c>
      <c r="EK7">
        <v>0</v>
      </c>
      <c r="EL7">
        <v>0</v>
      </c>
      <c r="EM7">
        <v>4</v>
      </c>
      <c r="EN7">
        <v>2</v>
      </c>
      <c r="EO7">
        <v>2</v>
      </c>
      <c r="EP7">
        <v>2</v>
      </c>
      <c r="EQ7">
        <v>4</v>
      </c>
      <c r="ER7">
        <v>0</v>
      </c>
      <c r="ES7">
        <v>0</v>
      </c>
      <c r="ET7">
        <v>4</v>
      </c>
      <c r="EU7">
        <v>4</v>
      </c>
      <c r="EV7">
        <v>4</v>
      </c>
      <c r="EW7">
        <v>4</v>
      </c>
      <c r="EX7">
        <v>4</v>
      </c>
      <c r="EY7">
        <v>0</v>
      </c>
      <c r="EZ7">
        <v>0</v>
      </c>
      <c r="FA7">
        <v>2</v>
      </c>
      <c r="FB7">
        <v>2</v>
      </c>
      <c r="FC7">
        <v>2</v>
      </c>
      <c r="FD7">
        <v>2</v>
      </c>
      <c r="FE7">
        <v>4</v>
      </c>
      <c r="FF7">
        <v>0</v>
      </c>
      <c r="FG7">
        <v>0</v>
      </c>
      <c r="FH7">
        <v>4</v>
      </c>
      <c r="FI7">
        <v>0</v>
      </c>
      <c r="FJ7">
        <v>4</v>
      </c>
      <c r="FK7">
        <v>2</v>
      </c>
      <c r="FL7">
        <v>2</v>
      </c>
      <c r="FM7">
        <v>0</v>
      </c>
      <c r="FN7">
        <v>0</v>
      </c>
      <c r="FO7">
        <v>2</v>
      </c>
      <c r="FP7">
        <v>2</v>
      </c>
      <c r="FQ7">
        <v>2</v>
      </c>
      <c r="FR7">
        <v>0</v>
      </c>
      <c r="FS7">
        <v>0</v>
      </c>
      <c r="FT7">
        <v>0</v>
      </c>
      <c r="FU7">
        <v>0</v>
      </c>
      <c r="FV7">
        <v>4</v>
      </c>
      <c r="FW7">
        <v>2</v>
      </c>
      <c r="FX7">
        <v>4</v>
      </c>
      <c r="FY7">
        <v>4</v>
      </c>
      <c r="FZ7">
        <v>4</v>
      </c>
      <c r="GA7">
        <v>0</v>
      </c>
      <c r="GB7">
        <v>0</v>
      </c>
      <c r="GC7">
        <v>4</v>
      </c>
      <c r="GD7">
        <v>4</v>
      </c>
      <c r="GE7">
        <v>4</v>
      </c>
      <c r="GF7">
        <v>2</v>
      </c>
      <c r="GG7">
        <v>4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2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2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H7" cm="1">
        <f t="array" ref="NH7:NJ7">SUMIFS($J7:$GG7,$J$1:$GG$1,NH$3:NJ$3)</f>
        <v>132</v>
      </c>
      <c r="NI7">
        <v>128</v>
      </c>
      <c r="NJ7">
        <v>128</v>
      </c>
      <c r="NK7" cm="1">
        <f t="array" ref="NK7">IFERROR(MAX((_xlfn.ANCHORARRAY(NH7)-AVERAGE(_xlfn.ANCHORARRAY(NH7)))/ AVERAGE(_xlfn.ANCHORARRAY(NH7))),0)</f>
        <v>2.0618556701030855E-2</v>
      </c>
      <c r="NL7" t="str" cm="1">
        <f t="array" ref="NL7">IF(NK7&gt;$NL$1,_xlfn.XLOOKUP(MAX(_xlfn.ANCHORARRAY(NH7)),_xlfn.ANCHORARRAY(NH7),NH$4:NJ$4,""),"")</f>
        <v/>
      </c>
      <c r="NN7" cm="1">
        <f t="array" ref="NN7:NR7">SUMIFS($J7:$GG7,$J$3:$GG$3,NN$3:NR$3)</f>
        <v>90</v>
      </c>
      <c r="NO7">
        <v>96</v>
      </c>
      <c r="NP7">
        <v>76</v>
      </c>
      <c r="NQ7">
        <v>70</v>
      </c>
      <c r="NR7">
        <v>56</v>
      </c>
      <c r="NS7" cm="1">
        <f t="array" ref="NS7">IFERROR(MAX((_xlfn.ANCHORARRAY(NN7)-AVERAGE(_xlfn.ANCHORARRAY(NN7)))/ AVERAGE(_xlfn.ANCHORARRAY(NN7))),0)</f>
        <v>0.23711340206185577</v>
      </c>
      <c r="NT7" t="str" cm="1">
        <f t="array" ref="NT7">IF(AND(NS7&gt;$NT$1,NL7&lt;&gt;""),_xlfn.XLOOKUP(MAX(_xlfn.ANCHORARRAY(NN7)),_xlfn.ANCHORARRAY(NN7),NN$4:NR$4,""),"")</f>
        <v/>
      </c>
      <c r="NV7" cm="1">
        <f t="array" ref="NV7:OE7">SUMIFS($J7:$GG7,$J$2:$GG$2,NV$3:OE$3)</f>
        <v>16</v>
      </c>
      <c r="NW7">
        <v>62</v>
      </c>
      <c r="NX7">
        <v>40</v>
      </c>
      <c r="NY7">
        <v>50</v>
      </c>
      <c r="NZ7">
        <v>42</v>
      </c>
      <c r="OA7">
        <v>46</v>
      </c>
      <c r="OB7">
        <v>28</v>
      </c>
      <c r="OC7">
        <v>48</v>
      </c>
      <c r="OD7">
        <v>44</v>
      </c>
      <c r="OE7">
        <v>12</v>
      </c>
      <c r="OF7" cm="1">
        <f t="array" ref="OF7">IFERROR(MAX((_xlfn.ANCHORARRAY(NV7)-AVERAGE(_xlfn.ANCHORARRAY(NV7)))/ AVERAGE(_xlfn.ANCHORARRAY(NV7))),0)</f>
        <v>0.597938144329897</v>
      </c>
      <c r="OG7" t="str" cm="1">
        <f t="array" ref="OG7">IF(OF7&gt;$OG$1,_xlfn.XLOOKUP(MAX(_xlfn.ANCHORARRAY(NV7)),_xlfn.ANCHORARRAY(NV7),NV$4:OE$4,""),"")</f>
        <v/>
      </c>
      <c r="OI7" t="str">
        <f t="shared" si="8"/>
        <v/>
      </c>
    </row>
    <row r="8" spans="1:399" x14ac:dyDescent="0.3">
      <c r="A8" s="2" t="str">
        <v>75W67Q6100508</v>
      </c>
      <c r="B8" s="2" t="str">
        <f t="shared" si="0"/>
        <v>CORE168</v>
      </c>
      <c r="C8" s="2" t="str">
        <f t="shared" si="1"/>
        <v>NotFound</v>
      </c>
      <c r="D8" s="2" t="str">
        <f t="shared" si="2"/>
        <v>CORE168</v>
      </c>
      <c r="E8" s="2" t="str">
        <f t="shared" si="3"/>
        <v/>
      </c>
      <c r="F8" s="2">
        <f t="shared" si="4"/>
        <v>1</v>
      </c>
      <c r="G8" s="2">
        <f t="shared" si="5"/>
        <v>8</v>
      </c>
      <c r="H8" s="2">
        <f t="shared" si="6"/>
        <v>3</v>
      </c>
      <c r="I8" s="2">
        <f t="shared" si="7"/>
        <v>4</v>
      </c>
      <c r="J8">
        <v>2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  <c r="T8">
        <v>2</v>
      </c>
      <c r="U8">
        <v>0</v>
      </c>
      <c r="V8">
        <v>0</v>
      </c>
      <c r="W8">
        <v>2</v>
      </c>
      <c r="X8">
        <v>2</v>
      </c>
      <c r="Y8">
        <v>2</v>
      </c>
      <c r="Z8">
        <v>2</v>
      </c>
      <c r="AA8">
        <v>2</v>
      </c>
      <c r="AB8">
        <v>0</v>
      </c>
      <c r="AC8">
        <v>0</v>
      </c>
      <c r="AD8">
        <v>2</v>
      </c>
      <c r="AE8">
        <v>2</v>
      </c>
      <c r="AF8">
        <v>2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2</v>
      </c>
      <c r="AS8">
        <v>0</v>
      </c>
      <c r="AT8">
        <v>0</v>
      </c>
      <c r="AU8">
        <v>4</v>
      </c>
      <c r="AV8">
        <v>2</v>
      </c>
      <c r="AW8">
        <v>0</v>
      </c>
      <c r="AX8">
        <v>0</v>
      </c>
      <c r="AY8">
        <v>2</v>
      </c>
      <c r="AZ8">
        <v>2</v>
      </c>
      <c r="BA8">
        <v>0</v>
      </c>
      <c r="BB8">
        <v>4</v>
      </c>
      <c r="BC8">
        <v>2</v>
      </c>
      <c r="BD8">
        <v>0</v>
      </c>
      <c r="BE8">
        <v>0</v>
      </c>
      <c r="BF8">
        <v>2</v>
      </c>
      <c r="BG8">
        <v>2</v>
      </c>
      <c r="BH8">
        <v>2</v>
      </c>
      <c r="BI8">
        <v>2</v>
      </c>
      <c r="BJ8">
        <v>2</v>
      </c>
      <c r="BK8">
        <v>0</v>
      </c>
      <c r="BL8">
        <v>0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0</v>
      </c>
      <c r="BT8">
        <v>2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2</v>
      </c>
      <c r="CB8">
        <v>2</v>
      </c>
      <c r="CC8">
        <v>0</v>
      </c>
      <c r="CD8">
        <v>0</v>
      </c>
      <c r="CE8">
        <v>0</v>
      </c>
      <c r="CF8">
        <v>2</v>
      </c>
      <c r="CG8">
        <v>0</v>
      </c>
      <c r="CH8">
        <v>2</v>
      </c>
      <c r="CI8">
        <v>2</v>
      </c>
      <c r="CJ8">
        <v>0</v>
      </c>
      <c r="CK8">
        <v>0</v>
      </c>
      <c r="CL8">
        <v>2</v>
      </c>
      <c r="CM8">
        <v>2</v>
      </c>
      <c r="CN8">
        <v>2</v>
      </c>
      <c r="CO8">
        <v>2</v>
      </c>
      <c r="CP8">
        <v>2</v>
      </c>
      <c r="CQ8">
        <v>0</v>
      </c>
      <c r="CR8">
        <v>0</v>
      </c>
      <c r="CS8">
        <v>2</v>
      </c>
      <c r="CT8">
        <v>2</v>
      </c>
      <c r="CU8">
        <v>0</v>
      </c>
      <c r="CV8">
        <v>2</v>
      </c>
      <c r="CW8">
        <v>2</v>
      </c>
      <c r="CX8">
        <v>0</v>
      </c>
      <c r="CY8">
        <v>0</v>
      </c>
      <c r="CZ8">
        <v>2</v>
      </c>
      <c r="DA8">
        <v>2</v>
      </c>
      <c r="DB8">
        <v>0</v>
      </c>
      <c r="DC8">
        <v>2</v>
      </c>
      <c r="DD8">
        <v>2</v>
      </c>
      <c r="DE8">
        <v>0</v>
      </c>
      <c r="DF8">
        <v>0</v>
      </c>
      <c r="DG8">
        <v>2</v>
      </c>
      <c r="DH8">
        <v>2</v>
      </c>
      <c r="DI8">
        <v>0</v>
      </c>
      <c r="DJ8">
        <v>2</v>
      </c>
      <c r="DK8">
        <v>2</v>
      </c>
      <c r="DL8">
        <v>0</v>
      </c>
      <c r="DM8">
        <v>0</v>
      </c>
      <c r="DN8">
        <v>0</v>
      </c>
      <c r="DO8">
        <v>0</v>
      </c>
      <c r="DP8">
        <v>0</v>
      </c>
      <c r="DQ8">
        <v>2</v>
      </c>
      <c r="DR8">
        <v>2</v>
      </c>
      <c r="DS8">
        <v>0</v>
      </c>
      <c r="DT8">
        <v>0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0</v>
      </c>
      <c r="EE8">
        <v>0</v>
      </c>
      <c r="EF8">
        <v>2</v>
      </c>
      <c r="EG8">
        <v>2</v>
      </c>
      <c r="EH8">
        <v>2</v>
      </c>
      <c r="EI8">
        <v>2</v>
      </c>
      <c r="EJ8">
        <v>2</v>
      </c>
      <c r="EK8">
        <v>0</v>
      </c>
      <c r="EL8">
        <v>0</v>
      </c>
      <c r="EM8">
        <v>2</v>
      </c>
      <c r="EN8">
        <v>0</v>
      </c>
      <c r="EO8">
        <v>0</v>
      </c>
      <c r="EP8">
        <v>0</v>
      </c>
      <c r="EQ8">
        <v>2</v>
      </c>
      <c r="ER8">
        <v>0</v>
      </c>
      <c r="ES8">
        <v>0</v>
      </c>
      <c r="ET8">
        <v>2</v>
      </c>
      <c r="EU8">
        <v>2</v>
      </c>
      <c r="EV8">
        <v>2</v>
      </c>
      <c r="EW8">
        <v>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2</v>
      </c>
      <c r="FE8">
        <v>0</v>
      </c>
      <c r="FF8">
        <v>0</v>
      </c>
      <c r="FG8">
        <v>0</v>
      </c>
      <c r="FH8">
        <v>2</v>
      </c>
      <c r="FI8">
        <v>2</v>
      </c>
      <c r="FJ8">
        <v>2</v>
      </c>
      <c r="FK8">
        <v>2</v>
      </c>
      <c r="FL8">
        <v>2</v>
      </c>
      <c r="FM8">
        <v>0</v>
      </c>
      <c r="FN8">
        <v>0</v>
      </c>
      <c r="FO8">
        <v>0</v>
      </c>
      <c r="FP8">
        <v>2</v>
      </c>
      <c r="FQ8">
        <v>2</v>
      </c>
      <c r="FR8">
        <v>2</v>
      </c>
      <c r="FS8">
        <v>0</v>
      </c>
      <c r="FT8">
        <v>0</v>
      </c>
      <c r="FU8">
        <v>0</v>
      </c>
      <c r="FV8">
        <v>4</v>
      </c>
      <c r="FW8">
        <v>0</v>
      </c>
      <c r="FX8">
        <v>2</v>
      </c>
      <c r="FY8">
        <v>2</v>
      </c>
      <c r="FZ8">
        <v>2</v>
      </c>
      <c r="GA8">
        <v>0</v>
      </c>
      <c r="GB8">
        <v>0</v>
      </c>
      <c r="GC8">
        <v>2</v>
      </c>
      <c r="GD8">
        <v>2</v>
      </c>
      <c r="GE8">
        <v>2</v>
      </c>
      <c r="GF8">
        <v>0</v>
      </c>
      <c r="GG8">
        <v>2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8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H8" cm="1">
        <f t="array" ref="NH8:NJ8">SUMIFS($J8:$GG8,$J$1:$GG$1,NH$3:NJ$3)</f>
        <v>68</v>
      </c>
      <c r="NI8">
        <v>64</v>
      </c>
      <c r="NJ8">
        <v>66</v>
      </c>
      <c r="NK8" cm="1">
        <f t="array" ref="NK8">IFERROR(MAX((_xlfn.ANCHORARRAY(NH8)-AVERAGE(_xlfn.ANCHORARRAY(NH8)))/ AVERAGE(_xlfn.ANCHORARRAY(NH8))),0)</f>
        <v>3.0303030303030304E-2</v>
      </c>
      <c r="NL8" t="str" cm="1">
        <f t="array" ref="NL8">IF(NK8&gt;$NL$1,_xlfn.XLOOKUP(MAX(_xlfn.ANCHORARRAY(NH8)),_xlfn.ANCHORARRAY(NH8),NH$4:NJ$4,""),"")</f>
        <v/>
      </c>
      <c r="NN8" cm="1">
        <f t="array" ref="NN8:NR8">SUMIFS($J8:$GG8,$J$3:$GG$3,NN$3:NR$3)</f>
        <v>54</v>
      </c>
      <c r="NO8">
        <v>44</v>
      </c>
      <c r="NP8">
        <v>40</v>
      </c>
      <c r="NQ8">
        <v>34</v>
      </c>
      <c r="NR8">
        <v>26</v>
      </c>
      <c r="NS8" cm="1">
        <f t="array" ref="NS8">IFERROR(MAX((_xlfn.ANCHORARRAY(NN8)-AVERAGE(_xlfn.ANCHORARRAY(NN8)))/ AVERAGE(_xlfn.ANCHORARRAY(NN8))),0)</f>
        <v>0.36363636363636359</v>
      </c>
      <c r="NT8" t="str" cm="1">
        <f t="array" ref="NT8">IF(AND(NS8&gt;$NT$1,NL8&lt;&gt;""),_xlfn.XLOOKUP(MAX(_xlfn.ANCHORARRAY(NN8)),_xlfn.ANCHORARRAY(NN8),NN$4:NR$4,""),"")</f>
        <v/>
      </c>
      <c r="NV8" cm="1">
        <f t="array" ref="NV8:OE8">SUMIFS($J8:$GG8,$J$2:$GG$2,NV$3:OE$3)</f>
        <v>10</v>
      </c>
      <c r="NW8">
        <v>22</v>
      </c>
      <c r="NX8">
        <v>20</v>
      </c>
      <c r="NY8">
        <v>28</v>
      </c>
      <c r="NZ8">
        <v>14</v>
      </c>
      <c r="OA8">
        <v>22</v>
      </c>
      <c r="OB8">
        <v>26</v>
      </c>
      <c r="OC8">
        <v>22</v>
      </c>
      <c r="OD8">
        <v>24</v>
      </c>
      <c r="OE8">
        <v>10</v>
      </c>
      <c r="OF8" cm="1">
        <f t="array" ref="OF8">IFERROR(MAX((_xlfn.ANCHORARRAY(NV8)-AVERAGE(_xlfn.ANCHORARRAY(NV8)))/ AVERAGE(_xlfn.ANCHORARRAY(NV8))),0)</f>
        <v>0.41414141414141409</v>
      </c>
      <c r="OG8" t="str" cm="1">
        <f t="array" ref="OG8">IF(OF8&gt;$OG$1,_xlfn.XLOOKUP(MAX(_xlfn.ANCHORARRAY(NV8)),_xlfn.ANCHORARRAY(NV8),NV$4:OE$4,""),"")</f>
        <v/>
      </c>
      <c r="OI8" t="str">
        <f t="shared" si="8"/>
        <v/>
      </c>
    </row>
    <row r="9" spans="1:399" x14ac:dyDescent="0.3">
      <c r="A9" s="2" t="str">
        <v>75DE357100108</v>
      </c>
      <c r="B9" s="2" t="str">
        <f t="shared" si="0"/>
        <v>NotFound</v>
      </c>
      <c r="C9" s="2" t="str">
        <f t="shared" si="1"/>
        <v>NotFound</v>
      </c>
      <c r="D9" s="2" t="str">
        <f t="shared" si="2"/>
        <v>NotFound</v>
      </c>
      <c r="E9" s="2" t="str">
        <f t="shared" si="3"/>
        <v/>
      </c>
      <c r="F9" s="2">
        <f t="shared" si="4"/>
        <v>6</v>
      </c>
      <c r="G9" s="2">
        <f t="shared" si="5"/>
        <v>1</v>
      </c>
      <c r="H9" s="2">
        <f t="shared" si="6"/>
        <v>69</v>
      </c>
      <c r="I9" s="2">
        <f t="shared" si="7"/>
        <v>6</v>
      </c>
      <c r="J9">
        <v>6</v>
      </c>
      <c r="K9">
        <v>6</v>
      </c>
      <c r="L9">
        <v>6</v>
      </c>
      <c r="M9">
        <v>3</v>
      </c>
      <c r="N9">
        <v>0</v>
      </c>
      <c r="O9">
        <v>0</v>
      </c>
      <c r="P9">
        <v>6</v>
      </c>
      <c r="Q9">
        <v>3</v>
      </c>
      <c r="R9">
        <v>3</v>
      </c>
      <c r="S9">
        <v>6</v>
      </c>
      <c r="T9">
        <v>6</v>
      </c>
      <c r="U9">
        <v>0</v>
      </c>
      <c r="V9">
        <v>0</v>
      </c>
      <c r="W9">
        <v>6</v>
      </c>
      <c r="X9">
        <v>6</v>
      </c>
      <c r="Y9">
        <v>3</v>
      </c>
      <c r="Z9">
        <v>6</v>
      </c>
      <c r="AA9">
        <v>6</v>
      </c>
      <c r="AB9">
        <v>0</v>
      </c>
      <c r="AC9">
        <v>0</v>
      </c>
      <c r="AD9">
        <v>3</v>
      </c>
      <c r="AE9">
        <v>6</v>
      </c>
      <c r="AF9">
        <v>3</v>
      </c>
      <c r="AG9">
        <v>6</v>
      </c>
      <c r="AH9">
        <v>6</v>
      </c>
      <c r="AI9">
        <v>0</v>
      </c>
      <c r="AJ9">
        <v>0</v>
      </c>
      <c r="AK9">
        <v>0</v>
      </c>
      <c r="AL9">
        <v>3</v>
      </c>
      <c r="AM9">
        <v>0</v>
      </c>
      <c r="AN9">
        <v>6</v>
      </c>
      <c r="AO9">
        <v>6</v>
      </c>
      <c r="AP9">
        <v>0</v>
      </c>
      <c r="AQ9">
        <v>0</v>
      </c>
      <c r="AR9">
        <v>6</v>
      </c>
      <c r="AS9">
        <v>6</v>
      </c>
      <c r="AT9">
        <v>6</v>
      </c>
      <c r="AU9">
        <v>0</v>
      </c>
      <c r="AV9">
        <v>3</v>
      </c>
      <c r="AW9">
        <v>0</v>
      </c>
      <c r="AX9">
        <v>0</v>
      </c>
      <c r="AY9">
        <v>3</v>
      </c>
      <c r="AZ9">
        <v>3</v>
      </c>
      <c r="BA9">
        <v>6</v>
      </c>
      <c r="BB9">
        <v>3</v>
      </c>
      <c r="BC9">
        <v>3</v>
      </c>
      <c r="BD9">
        <v>0</v>
      </c>
      <c r="BE9">
        <v>0</v>
      </c>
      <c r="BF9">
        <v>3</v>
      </c>
      <c r="BG9">
        <v>6</v>
      </c>
      <c r="BH9">
        <v>3</v>
      </c>
      <c r="BI9">
        <v>6</v>
      </c>
      <c r="BJ9">
        <v>3</v>
      </c>
      <c r="BK9">
        <v>0</v>
      </c>
      <c r="BL9">
        <v>0</v>
      </c>
      <c r="BM9">
        <v>6</v>
      </c>
      <c r="BN9">
        <v>6</v>
      </c>
      <c r="BO9">
        <v>3</v>
      </c>
      <c r="BP9">
        <v>3</v>
      </c>
      <c r="BQ9">
        <v>3</v>
      </c>
      <c r="BR9">
        <v>6</v>
      </c>
      <c r="BS9">
        <v>6</v>
      </c>
      <c r="BT9">
        <v>3</v>
      </c>
      <c r="BU9">
        <v>6</v>
      </c>
      <c r="BV9">
        <v>0</v>
      </c>
      <c r="BW9">
        <v>0</v>
      </c>
      <c r="BX9">
        <v>6</v>
      </c>
      <c r="BY9">
        <v>6</v>
      </c>
      <c r="BZ9">
        <v>3</v>
      </c>
      <c r="CA9">
        <v>6</v>
      </c>
      <c r="CB9">
        <v>0</v>
      </c>
      <c r="CC9">
        <v>0</v>
      </c>
      <c r="CD9">
        <v>0</v>
      </c>
      <c r="CE9">
        <v>3</v>
      </c>
      <c r="CF9">
        <v>3</v>
      </c>
      <c r="CG9">
        <v>3</v>
      </c>
      <c r="CH9">
        <v>3</v>
      </c>
      <c r="CI9">
        <v>6</v>
      </c>
      <c r="CJ9">
        <v>0</v>
      </c>
      <c r="CK9">
        <v>0</v>
      </c>
      <c r="CL9">
        <v>3</v>
      </c>
      <c r="CM9">
        <v>6</v>
      </c>
      <c r="CN9">
        <v>3</v>
      </c>
      <c r="CO9">
        <v>6</v>
      </c>
      <c r="CP9">
        <v>3</v>
      </c>
      <c r="CQ9">
        <v>0</v>
      </c>
      <c r="CR9">
        <v>0</v>
      </c>
      <c r="CS9">
        <v>6</v>
      </c>
      <c r="CT9">
        <v>6</v>
      </c>
      <c r="CU9">
        <v>0</v>
      </c>
      <c r="CV9">
        <v>3</v>
      </c>
      <c r="CW9">
        <v>6</v>
      </c>
      <c r="CX9">
        <v>0</v>
      </c>
      <c r="CY9">
        <v>0</v>
      </c>
      <c r="CZ9">
        <v>6</v>
      </c>
      <c r="DA9">
        <v>6</v>
      </c>
      <c r="DB9">
        <v>3</v>
      </c>
      <c r="DC9">
        <v>6</v>
      </c>
      <c r="DD9">
        <v>0</v>
      </c>
      <c r="DE9">
        <v>0</v>
      </c>
      <c r="DF9">
        <v>0</v>
      </c>
      <c r="DG9">
        <v>3</v>
      </c>
      <c r="DH9">
        <v>3</v>
      </c>
      <c r="DI9">
        <v>3</v>
      </c>
      <c r="DJ9">
        <v>6</v>
      </c>
      <c r="DK9">
        <v>6</v>
      </c>
      <c r="DL9">
        <v>0</v>
      </c>
      <c r="DM9">
        <v>0</v>
      </c>
      <c r="DN9">
        <v>6</v>
      </c>
      <c r="DO9">
        <v>6</v>
      </c>
      <c r="DP9">
        <v>3</v>
      </c>
      <c r="DQ9">
        <v>3</v>
      </c>
      <c r="DR9">
        <v>6</v>
      </c>
      <c r="DS9">
        <v>0</v>
      </c>
      <c r="DT9">
        <v>0</v>
      </c>
      <c r="DU9">
        <v>6</v>
      </c>
      <c r="DV9">
        <v>6</v>
      </c>
      <c r="DW9">
        <v>6</v>
      </c>
      <c r="DX9">
        <v>3</v>
      </c>
      <c r="DY9">
        <v>3</v>
      </c>
      <c r="DZ9">
        <v>3</v>
      </c>
      <c r="EA9">
        <v>3</v>
      </c>
      <c r="EB9">
        <v>6</v>
      </c>
      <c r="EC9">
        <v>3</v>
      </c>
      <c r="ED9">
        <v>0</v>
      </c>
      <c r="EE9">
        <v>0</v>
      </c>
      <c r="EF9">
        <v>6</v>
      </c>
      <c r="EG9">
        <v>6</v>
      </c>
      <c r="EH9">
        <v>6</v>
      </c>
      <c r="EI9">
        <v>3</v>
      </c>
      <c r="EJ9">
        <v>6</v>
      </c>
      <c r="EK9">
        <v>0</v>
      </c>
      <c r="EL9">
        <v>0</v>
      </c>
      <c r="EM9">
        <v>3</v>
      </c>
      <c r="EN9">
        <v>3</v>
      </c>
      <c r="EO9">
        <v>0</v>
      </c>
      <c r="EP9">
        <v>3</v>
      </c>
      <c r="EQ9">
        <v>6</v>
      </c>
      <c r="ER9">
        <v>0</v>
      </c>
      <c r="ES9">
        <v>0</v>
      </c>
      <c r="ET9">
        <v>6</v>
      </c>
      <c r="EU9">
        <v>6</v>
      </c>
      <c r="EV9">
        <v>6</v>
      </c>
      <c r="EW9">
        <v>6</v>
      </c>
      <c r="EX9">
        <v>3</v>
      </c>
      <c r="EY9">
        <v>0</v>
      </c>
      <c r="EZ9">
        <v>0</v>
      </c>
      <c r="FA9">
        <v>6</v>
      </c>
      <c r="FB9">
        <v>6</v>
      </c>
      <c r="FC9">
        <v>6</v>
      </c>
      <c r="FD9">
        <v>3</v>
      </c>
      <c r="FE9">
        <v>6</v>
      </c>
      <c r="FF9">
        <v>0</v>
      </c>
      <c r="FG9">
        <v>0</v>
      </c>
      <c r="FH9">
        <v>6</v>
      </c>
      <c r="FI9">
        <v>3</v>
      </c>
      <c r="FJ9">
        <v>6</v>
      </c>
      <c r="FK9">
        <v>6</v>
      </c>
      <c r="FL9">
        <v>3</v>
      </c>
      <c r="FM9">
        <v>0</v>
      </c>
      <c r="FN9">
        <v>0</v>
      </c>
      <c r="FO9">
        <v>3</v>
      </c>
      <c r="FP9">
        <v>6</v>
      </c>
      <c r="FQ9">
        <v>6</v>
      </c>
      <c r="FR9">
        <v>0</v>
      </c>
      <c r="FS9">
        <v>0</v>
      </c>
      <c r="FT9">
        <v>0</v>
      </c>
      <c r="FU9">
        <v>0</v>
      </c>
      <c r="FV9">
        <v>3</v>
      </c>
      <c r="FW9">
        <v>6</v>
      </c>
      <c r="FX9">
        <v>6</v>
      </c>
      <c r="FY9">
        <v>6</v>
      </c>
      <c r="FZ9">
        <v>3</v>
      </c>
      <c r="GA9">
        <v>0</v>
      </c>
      <c r="GB9">
        <v>0</v>
      </c>
      <c r="GC9">
        <v>3</v>
      </c>
      <c r="GD9">
        <v>6</v>
      </c>
      <c r="GE9">
        <v>3</v>
      </c>
      <c r="GF9">
        <v>3</v>
      </c>
      <c r="GG9">
        <v>3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1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1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1</v>
      </c>
      <c r="KW9">
        <v>1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H9" cm="1">
        <f t="array" ref="NH9:NJ9">SUMIFS($J9:$GG9,$J$1:$GG$1,NH$3:NJ$3)</f>
        <v>192</v>
      </c>
      <c r="NI9">
        <v>192</v>
      </c>
      <c r="NJ9">
        <v>192</v>
      </c>
      <c r="NK9" cm="1">
        <f t="array" ref="NK9">IFERROR(MAX((_xlfn.ANCHORARRAY(NH9)-AVERAGE(_xlfn.ANCHORARRAY(NH9)))/ AVERAGE(_xlfn.ANCHORARRAY(NH9))),0)</f>
        <v>0</v>
      </c>
      <c r="NL9" t="str" cm="1">
        <f t="array" ref="NL9">IF(NK9&gt;$NL$1,_xlfn.XLOOKUP(MAX(_xlfn.ANCHORARRAY(NH9)),_xlfn.ANCHORARRAY(NH9),NH$4:NJ$4,""),"")</f>
        <v/>
      </c>
      <c r="NN9" cm="1">
        <f t="array" ref="NN9:NR9">SUMIFS($J9:$GG9,$J$3:$GG$3,NN$3:NR$3)</f>
        <v>132</v>
      </c>
      <c r="NO9">
        <v>123</v>
      </c>
      <c r="NP9">
        <v>108</v>
      </c>
      <c r="NQ9">
        <v>123</v>
      </c>
      <c r="NR9">
        <v>90</v>
      </c>
      <c r="NS9" cm="1">
        <f t="array" ref="NS9">IFERROR(MAX((_xlfn.ANCHORARRAY(NN9)-AVERAGE(_xlfn.ANCHORARRAY(NN9)))/ AVERAGE(_xlfn.ANCHORARRAY(NN9))),0)</f>
        <v>0.14583333333333331</v>
      </c>
      <c r="NT9" t="str" cm="1">
        <f t="array" ref="NT9">IF(AND(NS9&gt;$NT$1,NL9&lt;&gt;""),_xlfn.XLOOKUP(MAX(_xlfn.ANCHORARRAY(NN9)),_xlfn.ANCHORARRAY(NN9),NN$4:NR$4,""),"")</f>
        <v/>
      </c>
      <c r="NV9" cm="1">
        <f t="array" ref="NV9:OE9">SUMIFS($J9:$GG9,$J$2:$GG$2,NV$3:OE$3)</f>
        <v>30</v>
      </c>
      <c r="NW9">
        <v>87</v>
      </c>
      <c r="NX9">
        <v>54</v>
      </c>
      <c r="NY9">
        <v>78</v>
      </c>
      <c r="NZ9">
        <v>57</v>
      </c>
      <c r="OA9">
        <v>78</v>
      </c>
      <c r="OB9">
        <v>51</v>
      </c>
      <c r="OC9">
        <v>66</v>
      </c>
      <c r="OD9">
        <v>57</v>
      </c>
      <c r="OE9">
        <v>18</v>
      </c>
      <c r="OF9" cm="1">
        <f t="array" ref="OF9">IFERROR(MAX((_xlfn.ANCHORARRAY(NV9)-AVERAGE(_xlfn.ANCHORARRAY(NV9)))/ AVERAGE(_xlfn.ANCHORARRAY(NV9))),0)</f>
        <v>0.51041666666666663</v>
      </c>
      <c r="OG9" t="str" cm="1">
        <f t="array" ref="OG9">IF(OF9&gt;$OG$1,_xlfn.XLOOKUP(MAX(_xlfn.ANCHORARRAY(NV9)),_xlfn.ANCHORARRAY(NV9),NV$4:OE$4,""),"")</f>
        <v/>
      </c>
      <c r="OI9" t="str">
        <f t="shared" si="8"/>
        <v/>
      </c>
    </row>
    <row r="10" spans="1:399" x14ac:dyDescent="0.3">
      <c r="A10" s="2" t="str">
        <v>759B5H7700068</v>
      </c>
      <c r="B10" s="2" t="str">
        <f t="shared" si="0"/>
        <v>CORE149</v>
      </c>
      <c r="C10" s="2" t="str">
        <f t="shared" si="1"/>
        <v>NotFound</v>
      </c>
      <c r="D10" s="2" t="str">
        <f t="shared" si="2"/>
        <v>CORE149</v>
      </c>
      <c r="E10" s="2" t="str">
        <f t="shared" si="3"/>
        <v/>
      </c>
      <c r="F10" s="2">
        <f t="shared" si="4"/>
        <v>1</v>
      </c>
      <c r="G10" s="2">
        <f t="shared" si="5"/>
        <v>2</v>
      </c>
      <c r="H10" s="2">
        <f t="shared" si="6"/>
        <v>72</v>
      </c>
      <c r="I10" s="2">
        <f t="shared" si="7"/>
        <v>6</v>
      </c>
      <c r="J10">
        <v>6</v>
      </c>
      <c r="K10">
        <v>6</v>
      </c>
      <c r="L10">
        <v>3</v>
      </c>
      <c r="M10">
        <v>6</v>
      </c>
      <c r="N10">
        <v>0</v>
      </c>
      <c r="O10">
        <v>0</v>
      </c>
      <c r="P10">
        <v>3</v>
      </c>
      <c r="Q10">
        <v>3</v>
      </c>
      <c r="R10">
        <v>3</v>
      </c>
      <c r="S10">
        <v>6</v>
      </c>
      <c r="T10">
        <v>6</v>
      </c>
      <c r="U10">
        <v>0</v>
      </c>
      <c r="V10">
        <v>0</v>
      </c>
      <c r="W10">
        <v>6</v>
      </c>
      <c r="X10">
        <v>6</v>
      </c>
      <c r="Y10">
        <v>6</v>
      </c>
      <c r="Z10">
        <v>6</v>
      </c>
      <c r="AA10">
        <v>6</v>
      </c>
      <c r="AB10">
        <v>0</v>
      </c>
      <c r="AC10">
        <v>0</v>
      </c>
      <c r="AD10">
        <v>3</v>
      </c>
      <c r="AE10">
        <v>6</v>
      </c>
      <c r="AF10">
        <v>0</v>
      </c>
      <c r="AG10">
        <v>6</v>
      </c>
      <c r="AH10">
        <v>6</v>
      </c>
      <c r="AI10">
        <v>0</v>
      </c>
      <c r="AJ10">
        <v>0</v>
      </c>
      <c r="AK10">
        <v>3</v>
      </c>
      <c r="AL10">
        <v>0</v>
      </c>
      <c r="AM10">
        <v>3</v>
      </c>
      <c r="AN10">
        <v>6</v>
      </c>
      <c r="AO10">
        <v>6</v>
      </c>
      <c r="AP10">
        <v>0</v>
      </c>
      <c r="AQ10">
        <v>0</v>
      </c>
      <c r="AR10">
        <v>6</v>
      </c>
      <c r="AS10">
        <v>6</v>
      </c>
      <c r="AT10">
        <v>6</v>
      </c>
      <c r="AU10">
        <v>0</v>
      </c>
      <c r="AV10">
        <v>3</v>
      </c>
      <c r="AW10">
        <v>0</v>
      </c>
      <c r="AX10">
        <v>0</v>
      </c>
      <c r="AY10">
        <v>0</v>
      </c>
      <c r="AZ10">
        <v>3</v>
      </c>
      <c r="BA10">
        <v>6</v>
      </c>
      <c r="BB10">
        <v>6</v>
      </c>
      <c r="BC10">
        <v>6</v>
      </c>
      <c r="BD10">
        <v>0</v>
      </c>
      <c r="BE10">
        <v>0</v>
      </c>
      <c r="BF10">
        <v>3</v>
      </c>
      <c r="BG10">
        <v>3</v>
      </c>
      <c r="BH10">
        <v>6</v>
      </c>
      <c r="BI10">
        <v>6</v>
      </c>
      <c r="BJ10">
        <v>3</v>
      </c>
      <c r="BK10">
        <v>0</v>
      </c>
      <c r="BL10">
        <v>0</v>
      </c>
      <c r="BM10">
        <v>6</v>
      </c>
      <c r="BN10">
        <v>6</v>
      </c>
      <c r="BO10">
        <v>0</v>
      </c>
      <c r="BP10">
        <v>3</v>
      </c>
      <c r="BQ10">
        <v>3</v>
      </c>
      <c r="BR10">
        <v>6</v>
      </c>
      <c r="BS10">
        <v>3</v>
      </c>
      <c r="BT10">
        <v>6</v>
      </c>
      <c r="BU10">
        <v>3</v>
      </c>
      <c r="BV10">
        <v>0</v>
      </c>
      <c r="BW10">
        <v>0</v>
      </c>
      <c r="BX10">
        <v>6</v>
      </c>
      <c r="BY10">
        <v>3</v>
      </c>
      <c r="BZ10">
        <v>6</v>
      </c>
      <c r="CA10">
        <v>6</v>
      </c>
      <c r="CB10">
        <v>3</v>
      </c>
      <c r="CC10">
        <v>0</v>
      </c>
      <c r="CD10">
        <v>0</v>
      </c>
      <c r="CE10">
        <v>6</v>
      </c>
      <c r="CF10">
        <v>0</v>
      </c>
      <c r="CG10">
        <v>3</v>
      </c>
      <c r="CH10">
        <v>3</v>
      </c>
      <c r="CI10">
        <v>6</v>
      </c>
      <c r="CJ10">
        <v>0</v>
      </c>
      <c r="CK10">
        <v>0</v>
      </c>
      <c r="CL10">
        <v>3</v>
      </c>
      <c r="CM10">
        <v>3</v>
      </c>
      <c r="CN10">
        <v>3</v>
      </c>
      <c r="CO10">
        <v>6</v>
      </c>
      <c r="CP10">
        <v>6</v>
      </c>
      <c r="CQ10">
        <v>0</v>
      </c>
      <c r="CR10">
        <v>0</v>
      </c>
      <c r="CS10">
        <v>6</v>
      </c>
      <c r="CT10">
        <v>6</v>
      </c>
      <c r="CU10">
        <v>3</v>
      </c>
      <c r="CV10">
        <v>6</v>
      </c>
      <c r="CW10">
        <v>3</v>
      </c>
      <c r="CX10">
        <v>0</v>
      </c>
      <c r="CY10">
        <v>0</v>
      </c>
      <c r="CZ10">
        <v>6</v>
      </c>
      <c r="DA10">
        <v>6</v>
      </c>
      <c r="DB10">
        <v>6</v>
      </c>
      <c r="DC10">
        <v>3</v>
      </c>
      <c r="DD10">
        <v>0</v>
      </c>
      <c r="DE10">
        <v>0</v>
      </c>
      <c r="DF10">
        <v>0</v>
      </c>
      <c r="DG10">
        <v>3</v>
      </c>
      <c r="DH10">
        <v>3</v>
      </c>
      <c r="DI10">
        <v>3</v>
      </c>
      <c r="DJ10">
        <v>6</v>
      </c>
      <c r="DK10">
        <v>6</v>
      </c>
      <c r="DL10">
        <v>0</v>
      </c>
      <c r="DM10">
        <v>0</v>
      </c>
      <c r="DN10">
        <v>6</v>
      </c>
      <c r="DO10">
        <v>6</v>
      </c>
      <c r="DP10">
        <v>6</v>
      </c>
      <c r="DQ10">
        <v>6</v>
      </c>
      <c r="DR10">
        <v>6</v>
      </c>
      <c r="DS10">
        <v>0</v>
      </c>
      <c r="DT10">
        <v>0</v>
      </c>
      <c r="DU10">
        <v>3</v>
      </c>
      <c r="DV10">
        <v>6</v>
      </c>
      <c r="DW10">
        <v>3</v>
      </c>
      <c r="DX10">
        <v>3</v>
      </c>
      <c r="DY10">
        <v>0</v>
      </c>
      <c r="DZ10">
        <v>0</v>
      </c>
      <c r="EA10">
        <v>3</v>
      </c>
      <c r="EB10">
        <v>6</v>
      </c>
      <c r="EC10">
        <v>6</v>
      </c>
      <c r="ED10">
        <v>0</v>
      </c>
      <c r="EE10">
        <v>0</v>
      </c>
      <c r="EF10">
        <v>3</v>
      </c>
      <c r="EG10">
        <v>6</v>
      </c>
      <c r="EH10">
        <v>6</v>
      </c>
      <c r="EI10">
        <v>6</v>
      </c>
      <c r="EJ10">
        <v>3</v>
      </c>
      <c r="EK10">
        <v>0</v>
      </c>
      <c r="EL10">
        <v>0</v>
      </c>
      <c r="EM10">
        <v>6</v>
      </c>
      <c r="EN10">
        <v>0</v>
      </c>
      <c r="EO10">
        <v>3</v>
      </c>
      <c r="EP10">
        <v>3</v>
      </c>
      <c r="EQ10">
        <v>3</v>
      </c>
      <c r="ER10">
        <v>0</v>
      </c>
      <c r="ES10">
        <v>0</v>
      </c>
      <c r="ET10">
        <v>6</v>
      </c>
      <c r="EU10">
        <v>6</v>
      </c>
      <c r="EV10">
        <v>6</v>
      </c>
      <c r="EW10">
        <v>6</v>
      </c>
      <c r="EX10">
        <v>6</v>
      </c>
      <c r="EY10">
        <v>0</v>
      </c>
      <c r="EZ10">
        <v>0</v>
      </c>
      <c r="FA10">
        <v>6</v>
      </c>
      <c r="FB10">
        <v>6</v>
      </c>
      <c r="FC10">
        <v>6</v>
      </c>
      <c r="FD10">
        <v>3</v>
      </c>
      <c r="FE10">
        <v>3</v>
      </c>
      <c r="FF10">
        <v>0</v>
      </c>
      <c r="FG10">
        <v>0</v>
      </c>
      <c r="FH10">
        <v>6</v>
      </c>
      <c r="FI10">
        <v>3</v>
      </c>
      <c r="FJ10">
        <v>6</v>
      </c>
      <c r="FK10">
        <v>6</v>
      </c>
      <c r="FL10">
        <v>3</v>
      </c>
      <c r="FM10">
        <v>0</v>
      </c>
      <c r="FN10">
        <v>0</v>
      </c>
      <c r="FO10">
        <v>3</v>
      </c>
      <c r="FP10">
        <v>6</v>
      </c>
      <c r="FQ10">
        <v>3</v>
      </c>
      <c r="FR10">
        <v>0</v>
      </c>
      <c r="FS10">
        <v>0</v>
      </c>
      <c r="FT10">
        <v>0</v>
      </c>
      <c r="FU10">
        <v>0</v>
      </c>
      <c r="FV10">
        <v>6</v>
      </c>
      <c r="FW10">
        <v>3</v>
      </c>
      <c r="FX10">
        <v>6</v>
      </c>
      <c r="FY10">
        <v>6</v>
      </c>
      <c r="FZ10">
        <v>6</v>
      </c>
      <c r="GA10">
        <v>0</v>
      </c>
      <c r="GB10">
        <v>0</v>
      </c>
      <c r="GC10">
        <v>6</v>
      </c>
      <c r="GD10">
        <v>6</v>
      </c>
      <c r="GE10">
        <v>3</v>
      </c>
      <c r="GF10">
        <v>3</v>
      </c>
      <c r="GG10">
        <v>3</v>
      </c>
      <c r="GI10">
        <v>0</v>
      </c>
      <c r="GJ10">
        <v>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1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1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2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H10" cm="1">
        <f t="array" ref="NH10:NJ10">SUMIFS($J10:$GG10,$J$1:$GG$1,NH$3:NJ$3)</f>
        <v>192</v>
      </c>
      <c r="NI10">
        <v>192</v>
      </c>
      <c r="NJ10">
        <v>192</v>
      </c>
      <c r="NK10" cm="1">
        <f t="array" ref="NK10">IFERROR(MAX((_xlfn.ANCHORARRAY(NH10)-AVERAGE(_xlfn.ANCHORARRAY(NH10)))/ AVERAGE(_xlfn.ANCHORARRAY(NH10))),0)</f>
        <v>0</v>
      </c>
      <c r="NL10" t="str" cm="1">
        <f t="array" ref="NL10">IF(NK10&gt;$NL$1,_xlfn.XLOOKUP(MAX(_xlfn.ANCHORARRAY(NH10)),_xlfn.ANCHORARRAY(NH10),NH$4:NJ$4,""),"")</f>
        <v/>
      </c>
      <c r="NN10" cm="1">
        <f t="array" ref="NN10:NR10">SUMIFS($J10:$GG10,$J$3:$GG$3,NN$3:NR$3)</f>
        <v>138</v>
      </c>
      <c r="NO10">
        <v>123</v>
      </c>
      <c r="NP10">
        <v>111</v>
      </c>
      <c r="NQ10">
        <v>102</v>
      </c>
      <c r="NR10">
        <v>102</v>
      </c>
      <c r="NS10" cm="1">
        <f t="array" ref="NS10">IFERROR(MAX((_xlfn.ANCHORARRAY(NN10)-AVERAGE(_xlfn.ANCHORARRAY(NN10)))/ AVERAGE(_xlfn.ANCHORARRAY(NN10))),0)</f>
        <v>0.19791666666666663</v>
      </c>
      <c r="NT10" t="str" cm="1">
        <f t="array" ref="NT10">IF(AND(NS10&gt;$NT$1,NL10&lt;&gt;""),_xlfn.XLOOKUP(MAX(_xlfn.ANCHORARRAY(NN10)),_xlfn.ANCHORARRAY(NN10),NN$4:NR$4,""),"")</f>
        <v/>
      </c>
      <c r="NV10" cm="1">
        <f t="array" ref="NV10:OE10">SUMIFS($J10:$GG10,$J$2:$GG$2,NV$3:OE$3)</f>
        <v>24</v>
      </c>
      <c r="NW10">
        <v>87</v>
      </c>
      <c r="NX10">
        <v>60</v>
      </c>
      <c r="NY10">
        <v>69</v>
      </c>
      <c r="NZ10">
        <v>72</v>
      </c>
      <c r="OA10">
        <v>72</v>
      </c>
      <c r="OB10">
        <v>48</v>
      </c>
      <c r="OC10">
        <v>75</v>
      </c>
      <c r="OD10">
        <v>54</v>
      </c>
      <c r="OE10">
        <v>15</v>
      </c>
      <c r="OF10" cm="1">
        <f t="array" ref="OF10">IFERROR(MAX((_xlfn.ANCHORARRAY(NV10)-AVERAGE(_xlfn.ANCHORARRAY(NV10)))/ AVERAGE(_xlfn.ANCHORARRAY(NV10))),0)</f>
        <v>0.51041666666666663</v>
      </c>
      <c r="OG10" t="str" cm="1">
        <f t="array" ref="OG10">IF(OF10&gt;$OG$1,_xlfn.XLOOKUP(MAX(_xlfn.ANCHORARRAY(NV10)),_xlfn.ANCHORARRAY(NV10),NV$4:OE$4,""),"")</f>
        <v/>
      </c>
      <c r="OI10" t="str">
        <f t="shared" si="8"/>
        <v/>
      </c>
    </row>
    <row r="11" spans="1:399" x14ac:dyDescent="0.3">
      <c r="A11" s="2" t="str">
        <v>74SC153000062</v>
      </c>
      <c r="B11" s="2" t="str">
        <f t="shared" si="0"/>
        <v>NotFound</v>
      </c>
      <c r="C11" s="2" t="str">
        <f t="shared" si="1"/>
        <v>NotFound</v>
      </c>
      <c r="D11" s="2" t="str">
        <f t="shared" si="2"/>
        <v>NotFound</v>
      </c>
      <c r="E11" s="2" t="str">
        <f t="shared" si="3"/>
        <v/>
      </c>
      <c r="F11" s="2">
        <f t="shared" si="4"/>
        <v>180</v>
      </c>
      <c r="G11" s="2">
        <f t="shared" si="5"/>
        <v>0</v>
      </c>
      <c r="H11" s="2">
        <f t="shared" si="6"/>
        <v>180</v>
      </c>
      <c r="I11" s="2">
        <f t="shared" si="7"/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H11" cm="1">
        <f t="array" ref="NH11:NJ11">SUMIFS($J11:$GG11,$J$1:$GG$1,NH$3:NJ$3)</f>
        <v>0</v>
      </c>
      <c r="NI11">
        <v>0</v>
      </c>
      <c r="NJ11">
        <v>0</v>
      </c>
      <c r="NK11" cm="1">
        <f t="array" ref="NK11">IFERROR(MAX((_xlfn.ANCHORARRAY(NH11)-AVERAGE(_xlfn.ANCHORARRAY(NH11)))/ AVERAGE(_xlfn.ANCHORARRAY(NH11))),0)</f>
        <v>0</v>
      </c>
      <c r="NL11" t="str" cm="1">
        <f t="array" ref="NL11">IF(NK11&gt;$NL$1,_xlfn.XLOOKUP(MAX(_xlfn.ANCHORARRAY(NH11)),_xlfn.ANCHORARRAY(NH11),NH$4:NJ$4,""),"")</f>
        <v/>
      </c>
      <c r="NN11" cm="1">
        <f t="array" ref="NN11:NR11">SUMIFS($J11:$GG11,$J$3:$GG$3,NN$3:NR$3)</f>
        <v>0</v>
      </c>
      <c r="NO11">
        <v>0</v>
      </c>
      <c r="NP11">
        <v>0</v>
      </c>
      <c r="NQ11">
        <v>0</v>
      </c>
      <c r="NR11">
        <v>0</v>
      </c>
      <c r="NS11" cm="1">
        <f t="array" ref="NS11">IFERROR(MAX((_xlfn.ANCHORARRAY(NN11)-AVERAGE(_xlfn.ANCHORARRAY(NN11)))/ AVERAGE(_xlfn.ANCHORARRAY(NN11))),0)</f>
        <v>0</v>
      </c>
      <c r="NT11" t="str" cm="1">
        <f t="array" ref="NT11">IF(AND(NS11&gt;$NT$1,NL11&lt;&gt;""),_xlfn.XLOOKUP(MAX(_xlfn.ANCHORARRAY(NN11)),_xlfn.ANCHORARRAY(NN11),NN$4:NR$4,""),"")</f>
        <v/>
      </c>
      <c r="NV11" cm="1">
        <f t="array" ref="NV11:OE11">SUMIFS($J11:$GG11,$J$2:$GG$2,NV$3:OE$3)</f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 cm="1">
        <f t="array" ref="OF11">IFERROR(MAX((_xlfn.ANCHORARRAY(NV11)-AVERAGE(_xlfn.ANCHORARRAY(NV11)))/ AVERAGE(_xlfn.ANCHORARRAY(NV11))),0)</f>
        <v>0</v>
      </c>
      <c r="OG11" t="str" cm="1">
        <f t="array" ref="OG11">IF(OF11&gt;$OG$1,_xlfn.XLOOKUP(MAX(_xlfn.ANCHORARRAY(NV11)),_xlfn.ANCHORARRAY(NV11),NV$4:OE$4,""),"")</f>
        <v/>
      </c>
      <c r="OI11" t="str">
        <f t="shared" si="8"/>
        <v/>
      </c>
    </row>
    <row r="12" spans="1:399" x14ac:dyDescent="0.3">
      <c r="A12" s="2"/>
      <c r="B12" s="2" t="str">
        <f t="shared" si="0"/>
        <v>CORE</v>
      </c>
      <c r="C12" s="2" t="str">
        <f t="shared" si="1"/>
        <v>CORE</v>
      </c>
      <c r="D12" s="2" t="str">
        <f t="shared" si="2"/>
        <v>CORE</v>
      </c>
      <c r="E12" s="2" t="str">
        <f t="shared" si="3"/>
        <v/>
      </c>
      <c r="F12" s="2">
        <f t="shared" si="4"/>
        <v>0</v>
      </c>
      <c r="G12" s="2">
        <f t="shared" si="5"/>
        <v>0</v>
      </c>
      <c r="H12" s="2">
        <f t="shared" si="6"/>
        <v>0</v>
      </c>
      <c r="I12" s="2">
        <f t="shared" si="7"/>
        <v>0</v>
      </c>
      <c r="NH12" cm="1">
        <f t="array" ref="NH12:NJ12">SUMIFS($J12:$GG12,$J$1:$GG$1,NH$3:NJ$3)</f>
        <v>0</v>
      </c>
      <c r="NI12">
        <v>0</v>
      </c>
      <c r="NJ12">
        <v>0</v>
      </c>
      <c r="NK12" cm="1">
        <f t="array" ref="NK12">IFERROR(MAX((_xlfn.ANCHORARRAY(NH12)-AVERAGE(_xlfn.ANCHORARRAY(NH12)))/ AVERAGE(_xlfn.ANCHORARRAY(NH12))),0)</f>
        <v>0</v>
      </c>
      <c r="NL12" t="str" cm="1">
        <f t="array" ref="NL12">IF(NK12&gt;$NL$1,_xlfn.XLOOKUP(MAX(_xlfn.ANCHORARRAY(NH12)),_xlfn.ANCHORARRAY(NH12),NH$4:NJ$4,""),"")</f>
        <v/>
      </c>
      <c r="NN12" cm="1">
        <f t="array" ref="NN12:NR12">SUMIFS($J12:$GG12,$J$3:$GG$3,NN$3:NR$3)</f>
        <v>0</v>
      </c>
      <c r="NO12">
        <v>0</v>
      </c>
      <c r="NP12">
        <v>0</v>
      </c>
      <c r="NQ12">
        <v>0</v>
      </c>
      <c r="NR12">
        <v>0</v>
      </c>
      <c r="NS12" cm="1">
        <f t="array" ref="NS12">IFERROR(MAX((_xlfn.ANCHORARRAY(NN12)-AVERAGE(_xlfn.ANCHORARRAY(NN12)))/ AVERAGE(_xlfn.ANCHORARRAY(NN12))),0)</f>
        <v>0</v>
      </c>
      <c r="NT12" t="str" cm="1">
        <f t="array" ref="NT12">IF(AND(NS12&gt;$NT$1,NL12&lt;&gt;""),_xlfn.XLOOKUP(MAX(_xlfn.ANCHORARRAY(NN12)),_xlfn.ANCHORARRAY(NN12),NN$4:NR$4,""),"")</f>
        <v/>
      </c>
      <c r="NV12" cm="1">
        <f t="array" ref="NV12:OE12">SUMIFS($J12:$GG12,$J$2:$GG$2,NV$3:OE$3)</f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 cm="1">
        <f t="array" ref="OF12">IFERROR(MAX((_xlfn.ANCHORARRAY(NV12)-AVERAGE(_xlfn.ANCHORARRAY(NV12)))/ AVERAGE(_xlfn.ANCHORARRAY(NV12))),0)</f>
        <v>0</v>
      </c>
      <c r="OG12" t="str" cm="1">
        <f t="array" ref="OG12">IF(OF12&gt;$OG$1,_xlfn.XLOOKUP(MAX(_xlfn.ANCHORARRAY(NV12)),_xlfn.ANCHORARRAY(NV12),NV$4:OE$4,""),"")</f>
        <v/>
      </c>
      <c r="OI12" t="str">
        <f t="shared" si="8"/>
        <v/>
      </c>
    </row>
    <row r="13" spans="1:399" x14ac:dyDescent="0.3">
      <c r="A13" s="2"/>
      <c r="B13" s="2" t="str">
        <f t="shared" si="0"/>
        <v>CORE</v>
      </c>
      <c r="C13" s="2" t="str">
        <f t="shared" si="1"/>
        <v>CORE</v>
      </c>
      <c r="D13" s="2" t="str">
        <f t="shared" si="2"/>
        <v>CORE</v>
      </c>
      <c r="E13" s="2" t="str">
        <f t="shared" si="3"/>
        <v/>
      </c>
      <c r="F13" s="2">
        <f t="shared" si="4"/>
        <v>0</v>
      </c>
      <c r="G13" s="2">
        <f t="shared" si="5"/>
        <v>0</v>
      </c>
      <c r="H13" s="2">
        <f t="shared" si="6"/>
        <v>0</v>
      </c>
      <c r="I13" s="2">
        <f t="shared" si="7"/>
        <v>0</v>
      </c>
      <c r="NH13" cm="1">
        <f t="array" ref="NH13:NJ13">SUMIFS($J13:$GG13,$J$1:$GG$1,NH$3:NJ$3)</f>
        <v>0</v>
      </c>
      <c r="NI13">
        <v>0</v>
      </c>
      <c r="NJ13">
        <v>0</v>
      </c>
      <c r="NK13" cm="1">
        <f t="array" ref="NK13">IFERROR(MAX((_xlfn.ANCHORARRAY(NH13)-AVERAGE(_xlfn.ANCHORARRAY(NH13)))/ AVERAGE(_xlfn.ANCHORARRAY(NH13))),0)</f>
        <v>0</v>
      </c>
      <c r="NL13" t="str" cm="1">
        <f t="array" ref="NL13">IF(NK13&gt;$NL$1,_xlfn.XLOOKUP(MAX(_xlfn.ANCHORARRAY(NH13)),_xlfn.ANCHORARRAY(NH13),NH$4:NJ$4,""),"")</f>
        <v/>
      </c>
      <c r="NN13" cm="1">
        <f t="array" ref="NN13:NR13">SUMIFS($J13:$GG13,$J$3:$GG$3,NN$3:NR$3)</f>
        <v>0</v>
      </c>
      <c r="NO13">
        <v>0</v>
      </c>
      <c r="NP13">
        <v>0</v>
      </c>
      <c r="NQ13">
        <v>0</v>
      </c>
      <c r="NR13">
        <v>0</v>
      </c>
      <c r="NS13" cm="1">
        <f t="array" ref="NS13">IFERROR(MAX((_xlfn.ANCHORARRAY(NN13)-AVERAGE(_xlfn.ANCHORARRAY(NN13)))/ AVERAGE(_xlfn.ANCHORARRAY(NN13))),0)</f>
        <v>0</v>
      </c>
      <c r="NT13" t="str" cm="1">
        <f t="array" ref="NT13">IF(AND(NS13&gt;$NT$1,NL13&lt;&gt;""),_xlfn.XLOOKUP(MAX(_xlfn.ANCHORARRAY(NN13)),_xlfn.ANCHORARRAY(NN13),NN$4:NR$4,""),"")</f>
        <v/>
      </c>
      <c r="NV13" cm="1">
        <f t="array" ref="NV13:OE13">SUMIFS($J13:$GG13,$J$2:$GG$2,NV$3:OE$3)</f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 cm="1">
        <f t="array" ref="OF13">IFERROR(MAX((_xlfn.ANCHORARRAY(NV13)-AVERAGE(_xlfn.ANCHORARRAY(NV13)))/ AVERAGE(_xlfn.ANCHORARRAY(NV13))),0)</f>
        <v>0</v>
      </c>
      <c r="OG13" t="str" cm="1">
        <f t="array" ref="OG13">IF(OF13&gt;$OG$1,_xlfn.XLOOKUP(MAX(_xlfn.ANCHORARRAY(NV13)),_xlfn.ANCHORARRAY(NV13),NV$4:OE$4,""),"")</f>
        <v/>
      </c>
      <c r="OI13" t="str">
        <f t="shared" si="8"/>
        <v/>
      </c>
    </row>
    <row r="14" spans="1:399" x14ac:dyDescent="0.3">
      <c r="A14" s="2"/>
      <c r="B14" s="2" t="str">
        <f t="shared" si="0"/>
        <v>CORE</v>
      </c>
      <c r="C14" s="2" t="str">
        <f t="shared" si="1"/>
        <v>CORE</v>
      </c>
      <c r="D14" s="2" t="str">
        <f t="shared" si="2"/>
        <v>CORE</v>
      </c>
      <c r="E14" s="2" t="str">
        <f t="shared" si="3"/>
        <v/>
      </c>
      <c r="F14" s="2">
        <f t="shared" si="4"/>
        <v>0</v>
      </c>
      <c r="G14" s="2">
        <f t="shared" si="5"/>
        <v>0</v>
      </c>
      <c r="H14" s="2">
        <f t="shared" si="6"/>
        <v>0</v>
      </c>
      <c r="I14" s="2">
        <f t="shared" si="7"/>
        <v>0</v>
      </c>
      <c r="NH14" cm="1">
        <f t="array" ref="NH14:NJ14">SUMIFS($J14:$GG14,$J$1:$GG$1,NH$3:NJ$3)</f>
        <v>0</v>
      </c>
      <c r="NI14">
        <v>0</v>
      </c>
      <c r="NJ14">
        <v>0</v>
      </c>
      <c r="NK14" cm="1">
        <f t="array" ref="NK14">IFERROR(MAX((_xlfn.ANCHORARRAY(NH14)-AVERAGE(_xlfn.ANCHORARRAY(NH14)))/ AVERAGE(_xlfn.ANCHORARRAY(NH14))),0)</f>
        <v>0</v>
      </c>
      <c r="NL14" t="str" cm="1">
        <f t="array" ref="NL14">IF(NK14&gt;$NL$1,_xlfn.XLOOKUP(MAX(_xlfn.ANCHORARRAY(NH14)),_xlfn.ANCHORARRAY(NH14),NH$4:NJ$4,""),"")</f>
        <v/>
      </c>
      <c r="NN14" cm="1">
        <f t="array" ref="NN14:NR14">SUMIFS($J14:$GG14,$J$3:$GG$3,NN$3:NR$3)</f>
        <v>0</v>
      </c>
      <c r="NO14">
        <v>0</v>
      </c>
      <c r="NP14">
        <v>0</v>
      </c>
      <c r="NQ14">
        <v>0</v>
      </c>
      <c r="NR14">
        <v>0</v>
      </c>
      <c r="NS14" cm="1">
        <f t="array" ref="NS14">IFERROR(MAX((_xlfn.ANCHORARRAY(NN14)-AVERAGE(_xlfn.ANCHORARRAY(NN14)))/ AVERAGE(_xlfn.ANCHORARRAY(NN14))),0)</f>
        <v>0</v>
      </c>
      <c r="NT14" t="str" cm="1">
        <f t="array" ref="NT14">IF(AND(NS14&gt;$NT$1,NL14&lt;&gt;""),_xlfn.XLOOKUP(MAX(_xlfn.ANCHORARRAY(NN14)),_xlfn.ANCHORARRAY(NN14),NN$4:NR$4,""),"")</f>
        <v/>
      </c>
      <c r="NV14" cm="1">
        <f t="array" ref="NV14:OE14">SUMIFS($J14:$GG14,$J$2:$GG$2,NV$3:OE$3)</f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 cm="1">
        <f t="array" ref="OF14">IFERROR(MAX((_xlfn.ANCHORARRAY(NV14)-AVERAGE(_xlfn.ANCHORARRAY(NV14)))/ AVERAGE(_xlfn.ANCHORARRAY(NV14))),0)</f>
        <v>0</v>
      </c>
      <c r="OG14" t="str" cm="1">
        <f t="array" ref="OG14">IF(OF14&gt;$OG$1,_xlfn.XLOOKUP(MAX(_xlfn.ANCHORARRAY(NV14)),_xlfn.ANCHORARRAY(NV14),NV$4:OE$4,""),"")</f>
        <v/>
      </c>
      <c r="OI14" t="str">
        <f t="shared" si="8"/>
        <v/>
      </c>
    </row>
    <row r="15" spans="1:399" x14ac:dyDescent="0.3">
      <c r="A15" s="2"/>
      <c r="B15" s="2" t="str">
        <f t="shared" si="0"/>
        <v>CORE</v>
      </c>
      <c r="C15" s="2" t="str">
        <f t="shared" si="1"/>
        <v>CORE</v>
      </c>
      <c r="D15" s="2" t="str">
        <f t="shared" si="2"/>
        <v>CORE</v>
      </c>
      <c r="E15" s="2" t="str">
        <f t="shared" si="3"/>
        <v/>
      </c>
      <c r="F15" s="2">
        <f t="shared" si="4"/>
        <v>0</v>
      </c>
      <c r="G15" s="2">
        <f t="shared" si="5"/>
        <v>0</v>
      </c>
      <c r="H15" s="2">
        <f t="shared" si="6"/>
        <v>0</v>
      </c>
      <c r="I15" s="2">
        <f t="shared" si="7"/>
        <v>0</v>
      </c>
      <c r="NH15" cm="1">
        <f t="array" ref="NH15:NJ15">SUMIFS($J15:$GG15,$J$1:$GG$1,NH$3:NJ$3)</f>
        <v>0</v>
      </c>
      <c r="NI15">
        <v>0</v>
      </c>
      <c r="NJ15">
        <v>0</v>
      </c>
      <c r="NK15" cm="1">
        <f t="array" ref="NK15">IFERROR(MAX((_xlfn.ANCHORARRAY(NH15)-AVERAGE(_xlfn.ANCHORARRAY(NH15)))/ AVERAGE(_xlfn.ANCHORARRAY(NH15))),0)</f>
        <v>0</v>
      </c>
      <c r="NL15" t="str" cm="1">
        <f t="array" ref="NL15">IF(NK15&gt;$NL$1,_xlfn.XLOOKUP(MAX(_xlfn.ANCHORARRAY(NH15)),_xlfn.ANCHORARRAY(NH15),NH$4:NJ$4,""),"")</f>
        <v/>
      </c>
      <c r="NN15" cm="1">
        <f t="array" ref="NN15:NR15">SUMIFS($J15:$GG15,$J$3:$GG$3,NN$3:NR$3)</f>
        <v>0</v>
      </c>
      <c r="NO15">
        <v>0</v>
      </c>
      <c r="NP15">
        <v>0</v>
      </c>
      <c r="NQ15">
        <v>0</v>
      </c>
      <c r="NR15">
        <v>0</v>
      </c>
      <c r="NS15" cm="1">
        <f t="array" ref="NS15">IFERROR(MAX((_xlfn.ANCHORARRAY(NN15)-AVERAGE(_xlfn.ANCHORARRAY(NN15)))/ AVERAGE(_xlfn.ANCHORARRAY(NN15))),0)</f>
        <v>0</v>
      </c>
      <c r="NT15" t="str" cm="1">
        <f t="array" ref="NT15">IF(AND(NS15&gt;$NT$1,NL15&lt;&gt;""),_xlfn.XLOOKUP(MAX(_xlfn.ANCHORARRAY(NN15)),_xlfn.ANCHORARRAY(NN15),NN$4:NR$4,""),"")</f>
        <v/>
      </c>
      <c r="NV15" cm="1">
        <f t="array" ref="NV15:OE15">SUMIFS($J15:$GG15,$J$2:$GG$2,NV$3:OE$3)</f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 cm="1">
        <f t="array" ref="OF15">IFERROR(MAX((_xlfn.ANCHORARRAY(NV15)-AVERAGE(_xlfn.ANCHORARRAY(NV15)))/ AVERAGE(_xlfn.ANCHORARRAY(NV15))),0)</f>
        <v>0</v>
      </c>
      <c r="OG15" t="str" cm="1">
        <f t="array" ref="OG15">IF(OF15&gt;$OG$1,_xlfn.XLOOKUP(MAX(_xlfn.ANCHORARRAY(NV15)),_xlfn.ANCHORARRAY(NV15),NV$4:OE$4,""),"")</f>
        <v/>
      </c>
      <c r="OI15" t="str">
        <f t="shared" si="8"/>
        <v/>
      </c>
    </row>
    <row r="16" spans="1:399" x14ac:dyDescent="0.3">
      <c r="A16" s="2"/>
      <c r="B16" s="2" t="str">
        <f t="shared" si="0"/>
        <v>CORE</v>
      </c>
      <c r="C16" s="2" t="str">
        <f t="shared" si="1"/>
        <v>CORE</v>
      </c>
      <c r="D16" s="2" t="str">
        <f t="shared" si="2"/>
        <v>CORE</v>
      </c>
      <c r="E16" s="2" t="str">
        <f t="shared" si="3"/>
        <v/>
      </c>
      <c r="F16" s="2">
        <f t="shared" si="4"/>
        <v>0</v>
      </c>
      <c r="G16" s="2">
        <f t="shared" si="5"/>
        <v>0</v>
      </c>
      <c r="H16" s="2">
        <f t="shared" si="6"/>
        <v>0</v>
      </c>
      <c r="I16" s="2">
        <f t="shared" si="7"/>
        <v>0</v>
      </c>
      <c r="NH16" cm="1">
        <f t="array" ref="NH16:NJ16">SUMIFS($J16:$GG16,$J$1:$GG$1,NH$3:NJ$3)</f>
        <v>0</v>
      </c>
      <c r="NI16">
        <v>0</v>
      </c>
      <c r="NJ16">
        <v>0</v>
      </c>
      <c r="NK16" cm="1">
        <f t="array" ref="NK16">IFERROR(MAX((_xlfn.ANCHORARRAY(NH16)-AVERAGE(_xlfn.ANCHORARRAY(NH16)))/ AVERAGE(_xlfn.ANCHORARRAY(NH16))),0)</f>
        <v>0</v>
      </c>
      <c r="NL16" t="str" cm="1">
        <f t="array" ref="NL16">IF(NK16&gt;$NL$1,_xlfn.XLOOKUP(MAX(_xlfn.ANCHORARRAY(NH16)),_xlfn.ANCHORARRAY(NH16),NH$4:NJ$4,""),"")</f>
        <v/>
      </c>
      <c r="NN16" cm="1">
        <f t="array" ref="NN16:NR16">SUMIFS($J16:$GG16,$J$3:$GG$3,NN$3:NR$3)</f>
        <v>0</v>
      </c>
      <c r="NO16">
        <v>0</v>
      </c>
      <c r="NP16">
        <v>0</v>
      </c>
      <c r="NQ16">
        <v>0</v>
      </c>
      <c r="NR16">
        <v>0</v>
      </c>
      <c r="NS16" cm="1">
        <f t="array" ref="NS16">IFERROR(MAX((_xlfn.ANCHORARRAY(NN16)-AVERAGE(_xlfn.ANCHORARRAY(NN16)))/ AVERAGE(_xlfn.ANCHORARRAY(NN16))),0)</f>
        <v>0</v>
      </c>
      <c r="NT16" t="str" cm="1">
        <f t="array" ref="NT16">IF(AND(NS16&gt;$NT$1,NL16&lt;&gt;""),_xlfn.XLOOKUP(MAX(_xlfn.ANCHORARRAY(NN16)),_xlfn.ANCHORARRAY(NN16),NN$4:NR$4,""),"")</f>
        <v/>
      </c>
      <c r="NV16" cm="1">
        <f t="array" ref="NV16:OE16">SUMIFS($J16:$GG16,$J$2:$GG$2,NV$3:OE$3)</f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 cm="1">
        <f t="array" ref="OF16">IFERROR(MAX((_xlfn.ANCHORARRAY(NV16)-AVERAGE(_xlfn.ANCHORARRAY(NV16)))/ AVERAGE(_xlfn.ANCHORARRAY(NV16))),0)</f>
        <v>0</v>
      </c>
      <c r="OG16" t="str" cm="1">
        <f t="array" ref="OG16">IF(OF16&gt;$OG$1,_xlfn.XLOOKUP(MAX(_xlfn.ANCHORARRAY(NV16)),_xlfn.ANCHORARRAY(NV16),NV$4:OE$4,""),"")</f>
        <v/>
      </c>
      <c r="OI16" t="str">
        <f t="shared" si="8"/>
        <v/>
      </c>
    </row>
    <row r="17" spans="1:399" x14ac:dyDescent="0.3">
      <c r="A17" s="2"/>
      <c r="B17" s="2" t="str">
        <f t="shared" si="0"/>
        <v>CORE</v>
      </c>
      <c r="C17" s="2" t="str">
        <f t="shared" si="1"/>
        <v>CORE</v>
      </c>
      <c r="D17" s="2" t="str">
        <f t="shared" si="2"/>
        <v>CORE</v>
      </c>
      <c r="E17" s="2" t="str">
        <f t="shared" si="3"/>
        <v/>
      </c>
      <c r="F17" s="2">
        <f t="shared" si="4"/>
        <v>0</v>
      </c>
      <c r="G17" s="2">
        <f t="shared" si="5"/>
        <v>0</v>
      </c>
      <c r="H17" s="2">
        <f t="shared" si="6"/>
        <v>0</v>
      </c>
      <c r="I17" s="2">
        <f t="shared" si="7"/>
        <v>0</v>
      </c>
      <c r="NH17" cm="1">
        <f t="array" ref="NH17:NJ17">SUMIFS($J17:$GG17,$J$1:$GG$1,NH$3:NJ$3)</f>
        <v>0</v>
      </c>
      <c r="NI17">
        <v>0</v>
      </c>
      <c r="NJ17">
        <v>0</v>
      </c>
      <c r="NK17" cm="1">
        <f t="array" ref="NK17">IFERROR(MAX((_xlfn.ANCHORARRAY(NH17)-AVERAGE(_xlfn.ANCHORARRAY(NH17)))/ AVERAGE(_xlfn.ANCHORARRAY(NH17))),0)</f>
        <v>0</v>
      </c>
      <c r="NL17" t="str" cm="1">
        <f t="array" ref="NL17">IF(NK17&gt;$NL$1,_xlfn.XLOOKUP(MAX(_xlfn.ANCHORARRAY(NH17)),_xlfn.ANCHORARRAY(NH17),NH$4:NJ$4,""),"")</f>
        <v/>
      </c>
      <c r="NN17" cm="1">
        <f t="array" ref="NN17:NR17">SUMIFS($J17:$GG17,$J$3:$GG$3,NN$3:NR$3)</f>
        <v>0</v>
      </c>
      <c r="NO17">
        <v>0</v>
      </c>
      <c r="NP17">
        <v>0</v>
      </c>
      <c r="NQ17">
        <v>0</v>
      </c>
      <c r="NR17">
        <v>0</v>
      </c>
      <c r="NS17" cm="1">
        <f t="array" ref="NS17">IFERROR(MAX((_xlfn.ANCHORARRAY(NN17)-AVERAGE(_xlfn.ANCHORARRAY(NN17)))/ AVERAGE(_xlfn.ANCHORARRAY(NN17))),0)</f>
        <v>0</v>
      </c>
      <c r="NT17" t="str" cm="1">
        <f t="array" ref="NT17">IF(AND(NS17&gt;$NT$1,NL17&lt;&gt;""),_xlfn.XLOOKUP(MAX(_xlfn.ANCHORARRAY(NN17)),_xlfn.ANCHORARRAY(NN17),NN$4:NR$4,""),"")</f>
        <v/>
      </c>
      <c r="NV17" cm="1">
        <f t="array" ref="NV17:OE17">SUMIFS($J17:$GG17,$J$2:$GG$2,NV$3:OE$3)</f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 cm="1">
        <f t="array" ref="OF17">IFERROR(MAX((_xlfn.ANCHORARRAY(NV17)-AVERAGE(_xlfn.ANCHORARRAY(NV17)))/ AVERAGE(_xlfn.ANCHORARRAY(NV17))),0)</f>
        <v>0</v>
      </c>
      <c r="OG17" t="str" cm="1">
        <f t="array" ref="OG17">IF(OF17&gt;$OG$1,_xlfn.XLOOKUP(MAX(_xlfn.ANCHORARRAY(NV17)),_xlfn.ANCHORARRAY(NV17),NV$4:OE$4,""),"")</f>
        <v/>
      </c>
      <c r="OI17" t="str">
        <f t="shared" si="8"/>
        <v/>
      </c>
    </row>
    <row r="18" spans="1:399" x14ac:dyDescent="0.3">
      <c r="A18" s="2"/>
      <c r="B18" s="2" t="str">
        <f t="shared" si="0"/>
        <v>CORE</v>
      </c>
      <c r="C18" s="2" t="str">
        <f t="shared" si="1"/>
        <v>CORE</v>
      </c>
      <c r="D18" s="2" t="str">
        <f t="shared" si="2"/>
        <v>CORE</v>
      </c>
      <c r="E18" s="2" t="str">
        <f t="shared" si="3"/>
        <v/>
      </c>
      <c r="F18" s="2">
        <f t="shared" si="4"/>
        <v>0</v>
      </c>
      <c r="G18" s="2">
        <f t="shared" si="5"/>
        <v>0</v>
      </c>
      <c r="H18" s="2">
        <f t="shared" si="6"/>
        <v>0</v>
      </c>
      <c r="I18" s="2">
        <f t="shared" si="7"/>
        <v>0</v>
      </c>
      <c r="NH18" cm="1">
        <f t="array" ref="NH18:NJ18">SUMIFS($J18:$GG18,$J$1:$GG$1,NH$3:NJ$3)</f>
        <v>0</v>
      </c>
      <c r="NI18">
        <v>0</v>
      </c>
      <c r="NJ18">
        <v>0</v>
      </c>
      <c r="NK18" cm="1">
        <f t="array" ref="NK18">IFERROR(MAX((_xlfn.ANCHORARRAY(NH18)-AVERAGE(_xlfn.ANCHORARRAY(NH18)))/ AVERAGE(_xlfn.ANCHORARRAY(NH18))),0)</f>
        <v>0</v>
      </c>
      <c r="NL18" t="str" cm="1">
        <f t="array" ref="NL18">IF(NK18&gt;$NL$1,_xlfn.XLOOKUP(MAX(_xlfn.ANCHORARRAY(NH18)),_xlfn.ANCHORARRAY(NH18),NH$4:NJ$4,""),"")</f>
        <v/>
      </c>
      <c r="NN18" cm="1">
        <f t="array" ref="NN18:NR18">SUMIFS($J18:$GG18,$J$3:$GG$3,NN$3:NR$3)</f>
        <v>0</v>
      </c>
      <c r="NO18">
        <v>0</v>
      </c>
      <c r="NP18">
        <v>0</v>
      </c>
      <c r="NQ18">
        <v>0</v>
      </c>
      <c r="NR18">
        <v>0</v>
      </c>
      <c r="NS18" cm="1">
        <f t="array" ref="NS18">IFERROR(MAX((_xlfn.ANCHORARRAY(NN18)-AVERAGE(_xlfn.ANCHORARRAY(NN18)))/ AVERAGE(_xlfn.ANCHORARRAY(NN18))),0)</f>
        <v>0</v>
      </c>
      <c r="NT18" t="str" cm="1">
        <f t="array" ref="NT18">IF(AND(NS18&gt;$NT$1,NL18&lt;&gt;""),_xlfn.XLOOKUP(MAX(_xlfn.ANCHORARRAY(NN18)),_xlfn.ANCHORARRAY(NN18),NN$4:NR$4,""),"")</f>
        <v/>
      </c>
      <c r="NV18" cm="1">
        <f t="array" ref="NV18:OE18">SUMIFS($J18:$GG18,$J$2:$GG$2,NV$3:OE$3)</f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 cm="1">
        <f t="array" ref="OF18">IFERROR(MAX((_xlfn.ANCHORARRAY(NV18)-AVERAGE(_xlfn.ANCHORARRAY(NV18)))/ AVERAGE(_xlfn.ANCHORARRAY(NV18))),0)</f>
        <v>0</v>
      </c>
      <c r="OG18" t="str" cm="1">
        <f t="array" ref="OG18">IF(OF18&gt;$OG$1,_xlfn.XLOOKUP(MAX(_xlfn.ANCHORARRAY(NV18)),_xlfn.ANCHORARRAY(NV18),NV$4:OE$4,""),"")</f>
        <v/>
      </c>
      <c r="OI18" t="str">
        <f t="shared" si="8"/>
        <v/>
      </c>
    </row>
    <row r="19" spans="1:399" x14ac:dyDescent="0.3">
      <c r="A19" s="2"/>
      <c r="B19" s="2" t="str">
        <f t="shared" si="0"/>
        <v>CORE</v>
      </c>
      <c r="C19" s="2" t="str">
        <f t="shared" si="1"/>
        <v>CORE</v>
      </c>
      <c r="D19" s="2" t="str">
        <f t="shared" si="2"/>
        <v>CORE</v>
      </c>
      <c r="E19" s="2" t="str">
        <f t="shared" si="3"/>
        <v/>
      </c>
      <c r="F19" s="2">
        <f t="shared" si="4"/>
        <v>0</v>
      </c>
      <c r="G19" s="2">
        <f t="shared" si="5"/>
        <v>0</v>
      </c>
      <c r="H19" s="2">
        <f t="shared" si="6"/>
        <v>0</v>
      </c>
      <c r="I19" s="2">
        <f t="shared" si="7"/>
        <v>0</v>
      </c>
      <c r="NH19" cm="1">
        <f t="array" ref="NH19:NJ19">SUMIFS($J19:$GG19,$J$1:$GG$1,NH$3:NJ$3)</f>
        <v>0</v>
      </c>
      <c r="NI19">
        <v>0</v>
      </c>
      <c r="NJ19">
        <v>0</v>
      </c>
      <c r="NK19" cm="1">
        <f t="array" ref="NK19">IFERROR(MAX((_xlfn.ANCHORARRAY(NH19)-AVERAGE(_xlfn.ANCHORARRAY(NH19)))/ AVERAGE(_xlfn.ANCHORARRAY(NH19))),0)</f>
        <v>0</v>
      </c>
      <c r="NL19" t="str" cm="1">
        <f t="array" ref="NL19">IF(NK19&gt;$NL$1,_xlfn.XLOOKUP(MAX(_xlfn.ANCHORARRAY(NH19)),_xlfn.ANCHORARRAY(NH19),NH$4:NJ$4,""),"")</f>
        <v/>
      </c>
      <c r="NN19" cm="1">
        <f t="array" ref="NN19:NR19">SUMIFS($J19:$GG19,$J$3:$GG$3,NN$3:NR$3)</f>
        <v>0</v>
      </c>
      <c r="NO19">
        <v>0</v>
      </c>
      <c r="NP19">
        <v>0</v>
      </c>
      <c r="NQ19">
        <v>0</v>
      </c>
      <c r="NR19">
        <v>0</v>
      </c>
      <c r="NS19" cm="1">
        <f t="array" ref="NS19">IFERROR(MAX((_xlfn.ANCHORARRAY(NN19)-AVERAGE(_xlfn.ANCHORARRAY(NN19)))/ AVERAGE(_xlfn.ANCHORARRAY(NN19))),0)</f>
        <v>0</v>
      </c>
      <c r="NT19" t="str" cm="1">
        <f t="array" ref="NT19">IF(AND(NS19&gt;$NT$1,NL19&lt;&gt;""),_xlfn.XLOOKUP(MAX(_xlfn.ANCHORARRAY(NN19)),_xlfn.ANCHORARRAY(NN19),NN$4:NR$4,""),"")</f>
        <v/>
      </c>
      <c r="NV19" cm="1">
        <f t="array" ref="NV19:OE19">SUMIFS($J19:$GG19,$J$2:$GG$2,NV$3:OE$3)</f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 cm="1">
        <f t="array" ref="OF19">IFERROR(MAX((_xlfn.ANCHORARRAY(NV19)-AVERAGE(_xlfn.ANCHORARRAY(NV19)))/ AVERAGE(_xlfn.ANCHORARRAY(NV19))),0)</f>
        <v>0</v>
      </c>
      <c r="OG19" t="str" cm="1">
        <f t="array" ref="OG19">IF(OF19&gt;$OG$1,_xlfn.XLOOKUP(MAX(_xlfn.ANCHORARRAY(NV19)),_xlfn.ANCHORARRAY(NV19),NV$4:OE$4,""),"")</f>
        <v/>
      </c>
      <c r="OI19" t="str">
        <f t="shared" si="8"/>
        <v/>
      </c>
    </row>
    <row r="20" spans="1:399" x14ac:dyDescent="0.3">
      <c r="A20" s="2"/>
      <c r="B20" s="2" t="str">
        <f t="shared" si="0"/>
        <v>CORE</v>
      </c>
      <c r="C20" s="2" t="str">
        <f t="shared" si="1"/>
        <v>CORE</v>
      </c>
      <c r="D20" s="2" t="str">
        <f t="shared" si="2"/>
        <v>CORE</v>
      </c>
      <c r="E20" s="2" t="str">
        <f t="shared" si="3"/>
        <v/>
      </c>
      <c r="F20" s="2">
        <f t="shared" si="4"/>
        <v>0</v>
      </c>
      <c r="G20" s="2">
        <f t="shared" si="5"/>
        <v>0</v>
      </c>
      <c r="H20" s="2">
        <f t="shared" si="6"/>
        <v>0</v>
      </c>
      <c r="I20" s="2">
        <f t="shared" si="7"/>
        <v>0</v>
      </c>
      <c r="NH20" cm="1">
        <f t="array" ref="NH20:NJ20">SUMIFS($J20:$GG20,$J$1:$GG$1,NH$3:NJ$3)</f>
        <v>0</v>
      </c>
      <c r="NI20">
        <v>0</v>
      </c>
      <c r="NJ20">
        <v>0</v>
      </c>
      <c r="NK20" cm="1">
        <f t="array" ref="NK20">IFERROR(MAX((_xlfn.ANCHORARRAY(NH20)-AVERAGE(_xlfn.ANCHORARRAY(NH20)))/ AVERAGE(_xlfn.ANCHORARRAY(NH20))),0)</f>
        <v>0</v>
      </c>
      <c r="NL20" t="str" cm="1">
        <f t="array" ref="NL20">IF(NK20&gt;$NL$1,_xlfn.XLOOKUP(MAX(_xlfn.ANCHORARRAY(NH20)),_xlfn.ANCHORARRAY(NH20),NH$4:NJ$4,""),"")</f>
        <v/>
      </c>
      <c r="NN20" cm="1">
        <f t="array" ref="NN20:NR20">SUMIFS($J20:$GG20,$J$3:$GG$3,NN$3:NR$3)</f>
        <v>0</v>
      </c>
      <c r="NO20">
        <v>0</v>
      </c>
      <c r="NP20">
        <v>0</v>
      </c>
      <c r="NQ20">
        <v>0</v>
      </c>
      <c r="NR20">
        <v>0</v>
      </c>
      <c r="NS20" cm="1">
        <f t="array" ref="NS20">IFERROR(MAX((_xlfn.ANCHORARRAY(NN20)-AVERAGE(_xlfn.ANCHORARRAY(NN20)))/ AVERAGE(_xlfn.ANCHORARRAY(NN20))),0)</f>
        <v>0</v>
      </c>
      <c r="NT20" t="str" cm="1">
        <f t="array" ref="NT20">IF(AND(NS20&gt;$NT$1,NL20&lt;&gt;""),_xlfn.XLOOKUP(MAX(_xlfn.ANCHORARRAY(NN20)),_xlfn.ANCHORARRAY(NN20),NN$4:NR$4,""),"")</f>
        <v/>
      </c>
      <c r="NV20" cm="1">
        <f t="array" ref="NV20:OE20">SUMIFS($J20:$GG20,$J$2:$GG$2,NV$3:OE$3)</f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 cm="1">
        <f t="array" ref="OF20">IFERROR(MAX((_xlfn.ANCHORARRAY(NV20)-AVERAGE(_xlfn.ANCHORARRAY(NV20)))/ AVERAGE(_xlfn.ANCHORARRAY(NV20))),0)</f>
        <v>0</v>
      </c>
      <c r="OG20" t="str" cm="1">
        <f t="array" ref="OG20">IF(OF20&gt;$OG$1,_xlfn.XLOOKUP(MAX(_xlfn.ANCHORARRAY(NV20)),_xlfn.ANCHORARRAY(NV20),NV$4:OE$4,""),"")</f>
        <v/>
      </c>
      <c r="OI20" t="str">
        <f t="shared" si="8"/>
        <v/>
      </c>
    </row>
    <row r="21" spans="1:399" x14ac:dyDescent="0.3">
      <c r="A21" s="2"/>
      <c r="B21" s="2" t="str">
        <f t="shared" si="0"/>
        <v>CORE</v>
      </c>
      <c r="C21" s="2" t="str">
        <f t="shared" si="1"/>
        <v>CORE</v>
      </c>
      <c r="D21" s="2" t="str">
        <f t="shared" si="2"/>
        <v>CORE</v>
      </c>
      <c r="E21" s="2" t="str">
        <f t="shared" si="3"/>
        <v/>
      </c>
      <c r="F21" s="2">
        <f t="shared" si="4"/>
        <v>0</v>
      </c>
      <c r="G21" s="2">
        <f t="shared" si="5"/>
        <v>0</v>
      </c>
      <c r="H21" s="2">
        <f t="shared" si="6"/>
        <v>0</v>
      </c>
      <c r="I21" s="2">
        <f t="shared" si="7"/>
        <v>0</v>
      </c>
      <c r="NH21" cm="1">
        <f t="array" ref="NH21:NJ21">SUMIFS($J21:$GG21,$J$1:$GG$1,NH$3:NJ$3)</f>
        <v>0</v>
      </c>
      <c r="NI21">
        <v>0</v>
      </c>
      <c r="NJ21">
        <v>0</v>
      </c>
      <c r="NK21" cm="1">
        <f t="array" ref="NK21">IFERROR(MAX((_xlfn.ANCHORARRAY(NH21)-AVERAGE(_xlfn.ANCHORARRAY(NH21)))/ AVERAGE(_xlfn.ANCHORARRAY(NH21))),0)</f>
        <v>0</v>
      </c>
      <c r="NL21" t="str" cm="1">
        <f t="array" ref="NL21">IF(NK21&gt;$NL$1,_xlfn.XLOOKUP(MAX(_xlfn.ANCHORARRAY(NH21)),_xlfn.ANCHORARRAY(NH21),NH$4:NJ$4,""),"")</f>
        <v/>
      </c>
      <c r="NN21" cm="1">
        <f t="array" ref="NN21:NR21">SUMIFS($J21:$GG21,$J$3:$GG$3,NN$3:NR$3)</f>
        <v>0</v>
      </c>
      <c r="NO21">
        <v>0</v>
      </c>
      <c r="NP21">
        <v>0</v>
      </c>
      <c r="NQ21">
        <v>0</v>
      </c>
      <c r="NR21">
        <v>0</v>
      </c>
      <c r="NS21" cm="1">
        <f t="array" ref="NS21">IFERROR(MAX((_xlfn.ANCHORARRAY(NN21)-AVERAGE(_xlfn.ANCHORARRAY(NN21)))/ AVERAGE(_xlfn.ANCHORARRAY(NN21))),0)</f>
        <v>0</v>
      </c>
      <c r="NT21" t="str" cm="1">
        <f t="array" ref="NT21">IF(AND(NS21&gt;$NT$1,NL21&lt;&gt;""),_xlfn.XLOOKUP(MAX(_xlfn.ANCHORARRAY(NN21)),_xlfn.ANCHORARRAY(NN21),NN$4:NR$4,""),"")</f>
        <v/>
      </c>
      <c r="NV21" cm="1">
        <f t="array" ref="NV21:OE21">SUMIFS($J21:$GG21,$J$2:$GG$2,NV$3:OE$3)</f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 cm="1">
        <f t="array" ref="OF21">IFERROR(MAX((_xlfn.ANCHORARRAY(NV21)-AVERAGE(_xlfn.ANCHORARRAY(NV21)))/ AVERAGE(_xlfn.ANCHORARRAY(NV21))),0)</f>
        <v>0</v>
      </c>
      <c r="OG21" t="str" cm="1">
        <f t="array" ref="OG21">IF(OF21&gt;$OG$1,_xlfn.XLOOKUP(MAX(_xlfn.ANCHORARRAY(NV21)),_xlfn.ANCHORARRAY(NV21),NV$4:OE$4,""),"")</f>
        <v/>
      </c>
      <c r="OI21" t="str">
        <f t="shared" si="8"/>
        <v/>
      </c>
    </row>
    <row r="22" spans="1:399" x14ac:dyDescent="0.3">
      <c r="A22" s="2"/>
      <c r="B22" s="2" t="str">
        <f t="shared" si="0"/>
        <v>CORE</v>
      </c>
      <c r="C22" s="2" t="str">
        <f t="shared" si="1"/>
        <v>CORE</v>
      </c>
      <c r="D22" s="2" t="str">
        <f t="shared" si="2"/>
        <v>CORE</v>
      </c>
      <c r="E22" s="2" t="str">
        <f t="shared" si="3"/>
        <v/>
      </c>
      <c r="F22" s="2">
        <f t="shared" si="4"/>
        <v>0</v>
      </c>
      <c r="G22" s="2">
        <f t="shared" si="5"/>
        <v>0</v>
      </c>
      <c r="H22" s="2">
        <f t="shared" si="6"/>
        <v>0</v>
      </c>
      <c r="I22" s="2">
        <f t="shared" si="7"/>
        <v>0</v>
      </c>
      <c r="NH22" cm="1">
        <f t="array" ref="NH22:NJ22">SUMIFS($J22:$GG22,$J$1:$GG$1,NH$3:NJ$3)</f>
        <v>0</v>
      </c>
      <c r="NI22">
        <v>0</v>
      </c>
      <c r="NJ22">
        <v>0</v>
      </c>
      <c r="NK22" cm="1">
        <f t="array" ref="NK22">IFERROR(MAX((_xlfn.ANCHORARRAY(NH22)-AVERAGE(_xlfn.ANCHORARRAY(NH22)))/ AVERAGE(_xlfn.ANCHORARRAY(NH22))),0)</f>
        <v>0</v>
      </c>
      <c r="NL22" t="str" cm="1">
        <f t="array" ref="NL22">IF(NK22&gt;$NL$1,_xlfn.XLOOKUP(MAX(_xlfn.ANCHORARRAY(NH22)),_xlfn.ANCHORARRAY(NH22),NH$4:NJ$4,""),"")</f>
        <v/>
      </c>
      <c r="NN22" cm="1">
        <f t="array" ref="NN22:NR22">SUMIFS($J22:$GG22,$J$3:$GG$3,NN$3:NR$3)</f>
        <v>0</v>
      </c>
      <c r="NO22">
        <v>0</v>
      </c>
      <c r="NP22">
        <v>0</v>
      </c>
      <c r="NQ22">
        <v>0</v>
      </c>
      <c r="NR22">
        <v>0</v>
      </c>
      <c r="NS22" cm="1">
        <f t="array" ref="NS22">IFERROR(MAX((_xlfn.ANCHORARRAY(NN22)-AVERAGE(_xlfn.ANCHORARRAY(NN22)))/ AVERAGE(_xlfn.ANCHORARRAY(NN22))),0)</f>
        <v>0</v>
      </c>
      <c r="NT22" t="str" cm="1">
        <f t="array" ref="NT22">IF(AND(NS22&gt;$NT$1,NL22&lt;&gt;""),_xlfn.XLOOKUP(MAX(_xlfn.ANCHORARRAY(NN22)),_xlfn.ANCHORARRAY(NN22),NN$4:NR$4,""),"")</f>
        <v/>
      </c>
      <c r="NV22" cm="1">
        <f t="array" ref="NV22:OE22">SUMIFS($J22:$GG22,$J$2:$GG$2,NV$3:OE$3)</f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 cm="1">
        <f t="array" ref="OF22">IFERROR(MAX((_xlfn.ANCHORARRAY(NV22)-AVERAGE(_xlfn.ANCHORARRAY(NV22)))/ AVERAGE(_xlfn.ANCHORARRAY(NV22))),0)</f>
        <v>0</v>
      </c>
      <c r="OG22" t="str" cm="1">
        <f t="array" ref="OG22">IF(OF22&gt;$OG$1,_xlfn.XLOOKUP(MAX(_xlfn.ANCHORARRAY(NV22)),_xlfn.ANCHORARRAY(NV22),NV$4:OE$4,""),"")</f>
        <v/>
      </c>
      <c r="OI22" t="str">
        <f t="shared" si="8"/>
        <v/>
      </c>
    </row>
    <row r="23" spans="1:399" x14ac:dyDescent="0.3">
      <c r="A23" s="2"/>
      <c r="B23" s="2" t="str">
        <f t="shared" si="0"/>
        <v>CORE</v>
      </c>
      <c r="C23" s="2" t="str">
        <f t="shared" si="1"/>
        <v>CORE</v>
      </c>
      <c r="D23" s="2" t="str">
        <f t="shared" si="2"/>
        <v>CORE</v>
      </c>
      <c r="E23" s="2" t="str">
        <f t="shared" si="3"/>
        <v/>
      </c>
      <c r="F23" s="2">
        <f t="shared" si="4"/>
        <v>0</v>
      </c>
      <c r="G23" s="2">
        <f t="shared" si="5"/>
        <v>0</v>
      </c>
      <c r="H23" s="2">
        <f t="shared" si="6"/>
        <v>0</v>
      </c>
      <c r="I23" s="2">
        <f t="shared" si="7"/>
        <v>0</v>
      </c>
      <c r="NH23" cm="1">
        <f t="array" ref="NH23:NJ23">SUMIFS($J23:$GG23,$J$1:$GG$1,NH$3:NJ$3)</f>
        <v>0</v>
      </c>
      <c r="NI23">
        <v>0</v>
      </c>
      <c r="NJ23">
        <v>0</v>
      </c>
      <c r="NK23" cm="1">
        <f t="array" ref="NK23">IFERROR(MAX((_xlfn.ANCHORARRAY(NH23)-AVERAGE(_xlfn.ANCHORARRAY(NH23)))/ AVERAGE(_xlfn.ANCHORARRAY(NH23))),0)</f>
        <v>0</v>
      </c>
      <c r="NL23" t="str" cm="1">
        <f t="array" ref="NL23">IF(NK23&gt;$NL$1,_xlfn.XLOOKUP(MAX(_xlfn.ANCHORARRAY(NH23)),_xlfn.ANCHORARRAY(NH23),NH$4:NJ$4,""),"")</f>
        <v/>
      </c>
      <c r="NN23" cm="1">
        <f t="array" ref="NN23:NR23">SUMIFS($J23:$GG23,$J$3:$GG$3,NN$3:NR$3)</f>
        <v>0</v>
      </c>
      <c r="NO23">
        <v>0</v>
      </c>
      <c r="NP23">
        <v>0</v>
      </c>
      <c r="NQ23">
        <v>0</v>
      </c>
      <c r="NR23">
        <v>0</v>
      </c>
      <c r="NS23" cm="1">
        <f t="array" ref="NS23">IFERROR(MAX((_xlfn.ANCHORARRAY(NN23)-AVERAGE(_xlfn.ANCHORARRAY(NN23)))/ AVERAGE(_xlfn.ANCHORARRAY(NN23))),0)</f>
        <v>0</v>
      </c>
      <c r="NT23" t="str" cm="1">
        <f t="array" ref="NT23">IF(AND(NS23&gt;$NT$1,NL23&lt;&gt;""),_xlfn.XLOOKUP(MAX(_xlfn.ANCHORARRAY(NN23)),_xlfn.ANCHORARRAY(NN23),NN$4:NR$4,""),"")</f>
        <v/>
      </c>
      <c r="NV23" cm="1">
        <f t="array" ref="NV23:OE23">SUMIFS($J23:$GG23,$J$2:$GG$2,NV$3:OE$3)</f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 cm="1">
        <f t="array" ref="OF23">IFERROR(MAX((_xlfn.ANCHORARRAY(NV23)-AVERAGE(_xlfn.ANCHORARRAY(NV23)))/ AVERAGE(_xlfn.ANCHORARRAY(NV23))),0)</f>
        <v>0</v>
      </c>
      <c r="OG23" t="str" cm="1">
        <f t="array" ref="OG23">IF(OF23&gt;$OG$1,_xlfn.XLOOKUP(MAX(_xlfn.ANCHORARRAY(NV23)),_xlfn.ANCHORARRAY(NV23),NV$4:OE$4,""),"")</f>
        <v/>
      </c>
      <c r="OI23" t="str">
        <f t="shared" si="8"/>
        <v/>
      </c>
    </row>
    <row r="24" spans="1:399" x14ac:dyDescent="0.3">
      <c r="A24" s="2"/>
      <c r="B24" s="2" t="str">
        <f t="shared" si="0"/>
        <v>CORE</v>
      </c>
      <c r="C24" s="2" t="str">
        <f t="shared" si="1"/>
        <v>CORE</v>
      </c>
      <c r="D24" s="2" t="str">
        <f t="shared" si="2"/>
        <v>CORE</v>
      </c>
      <c r="E24" s="2" t="str">
        <f t="shared" si="3"/>
        <v/>
      </c>
      <c r="F24" s="2">
        <f t="shared" si="4"/>
        <v>0</v>
      </c>
      <c r="G24" s="2">
        <f t="shared" si="5"/>
        <v>0</v>
      </c>
      <c r="H24" s="2">
        <f t="shared" si="6"/>
        <v>0</v>
      </c>
      <c r="I24" s="2">
        <f t="shared" si="7"/>
        <v>0</v>
      </c>
      <c r="NH24" cm="1">
        <f t="array" ref="NH24:NJ24">SUMIFS($J24:$GG24,$J$1:$GG$1,NH$3:NJ$3)</f>
        <v>0</v>
      </c>
      <c r="NI24">
        <v>0</v>
      </c>
      <c r="NJ24">
        <v>0</v>
      </c>
      <c r="NK24" cm="1">
        <f t="array" ref="NK24">IFERROR(MAX((_xlfn.ANCHORARRAY(NH24)-AVERAGE(_xlfn.ANCHORARRAY(NH24)))/ AVERAGE(_xlfn.ANCHORARRAY(NH24))),0)</f>
        <v>0</v>
      </c>
      <c r="NL24" t="str" cm="1">
        <f t="array" ref="NL24">IF(NK24&gt;$NL$1,_xlfn.XLOOKUP(MAX(_xlfn.ANCHORARRAY(NH24)),_xlfn.ANCHORARRAY(NH24),NH$4:NJ$4,""),"")</f>
        <v/>
      </c>
      <c r="NN24" cm="1">
        <f t="array" ref="NN24:NR24">SUMIFS($J24:$GG24,$J$3:$GG$3,NN$3:NR$3)</f>
        <v>0</v>
      </c>
      <c r="NO24">
        <v>0</v>
      </c>
      <c r="NP24">
        <v>0</v>
      </c>
      <c r="NQ24">
        <v>0</v>
      </c>
      <c r="NR24">
        <v>0</v>
      </c>
      <c r="NS24" cm="1">
        <f t="array" ref="NS24">IFERROR(MAX((_xlfn.ANCHORARRAY(NN24)-AVERAGE(_xlfn.ANCHORARRAY(NN24)))/ AVERAGE(_xlfn.ANCHORARRAY(NN24))),0)</f>
        <v>0</v>
      </c>
      <c r="NT24" t="str" cm="1">
        <f t="array" ref="NT24">IF(AND(NS24&gt;$NT$1,NL24&lt;&gt;""),_xlfn.XLOOKUP(MAX(_xlfn.ANCHORARRAY(NN24)),_xlfn.ANCHORARRAY(NN24),NN$4:NR$4,""),"")</f>
        <v/>
      </c>
      <c r="NV24" cm="1">
        <f t="array" ref="NV24:OE24">SUMIFS($J24:$GG24,$J$2:$GG$2,NV$3:OE$3)</f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 cm="1">
        <f t="array" ref="OF24">IFERROR(MAX((_xlfn.ANCHORARRAY(NV24)-AVERAGE(_xlfn.ANCHORARRAY(NV24)))/ AVERAGE(_xlfn.ANCHORARRAY(NV24))),0)</f>
        <v>0</v>
      </c>
      <c r="OG24" t="str" cm="1">
        <f t="array" ref="OG24">IF(OF24&gt;$OG$1,_xlfn.XLOOKUP(MAX(_xlfn.ANCHORARRAY(NV24)),_xlfn.ANCHORARRAY(NV24),NV$4:OE$4,""),"")</f>
        <v/>
      </c>
      <c r="OI24" t="str">
        <f t="shared" si="8"/>
        <v/>
      </c>
    </row>
    <row r="25" spans="1:399" x14ac:dyDescent="0.3">
      <c r="A25" s="2"/>
      <c r="B25" s="2" t="str">
        <f t="shared" si="0"/>
        <v>CORE</v>
      </c>
      <c r="C25" s="2" t="str">
        <f t="shared" si="1"/>
        <v>CORE</v>
      </c>
      <c r="D25" s="2" t="str">
        <f t="shared" si="2"/>
        <v>CORE</v>
      </c>
      <c r="E25" s="2" t="str">
        <f t="shared" si="3"/>
        <v/>
      </c>
      <c r="F25" s="2">
        <f t="shared" si="4"/>
        <v>0</v>
      </c>
      <c r="G25" s="2">
        <f t="shared" si="5"/>
        <v>0</v>
      </c>
      <c r="H25" s="2">
        <f t="shared" si="6"/>
        <v>0</v>
      </c>
      <c r="I25" s="2">
        <f t="shared" si="7"/>
        <v>0</v>
      </c>
      <c r="NH25" cm="1">
        <f t="array" ref="NH25:NJ25">SUMIFS($J25:$GG25,$J$1:$GG$1,NH$3:NJ$3)</f>
        <v>0</v>
      </c>
      <c r="NI25">
        <v>0</v>
      </c>
      <c r="NJ25">
        <v>0</v>
      </c>
      <c r="NK25" cm="1">
        <f t="array" ref="NK25">IFERROR(MAX((_xlfn.ANCHORARRAY(NH25)-AVERAGE(_xlfn.ANCHORARRAY(NH25)))/ AVERAGE(_xlfn.ANCHORARRAY(NH25))),0)</f>
        <v>0</v>
      </c>
      <c r="NL25" t="str" cm="1">
        <f t="array" ref="NL25">IF(NK25&gt;$NL$1,_xlfn.XLOOKUP(MAX(_xlfn.ANCHORARRAY(NH25)),_xlfn.ANCHORARRAY(NH25),NH$4:NJ$4,""),"")</f>
        <v/>
      </c>
      <c r="NN25" cm="1">
        <f t="array" ref="NN25:NR25">SUMIFS($J25:$GG25,$J$3:$GG$3,NN$3:NR$3)</f>
        <v>0</v>
      </c>
      <c r="NO25">
        <v>0</v>
      </c>
      <c r="NP25">
        <v>0</v>
      </c>
      <c r="NQ25">
        <v>0</v>
      </c>
      <c r="NR25">
        <v>0</v>
      </c>
      <c r="NS25" cm="1">
        <f t="array" ref="NS25">IFERROR(MAX((_xlfn.ANCHORARRAY(NN25)-AVERAGE(_xlfn.ANCHORARRAY(NN25)))/ AVERAGE(_xlfn.ANCHORARRAY(NN25))),0)</f>
        <v>0</v>
      </c>
      <c r="NT25" t="str" cm="1">
        <f t="array" ref="NT25">IF(AND(NS25&gt;$NT$1,NL25&lt;&gt;""),_xlfn.XLOOKUP(MAX(_xlfn.ANCHORARRAY(NN25)),_xlfn.ANCHORARRAY(NN25),NN$4:NR$4,""),"")</f>
        <v/>
      </c>
      <c r="NV25" cm="1">
        <f t="array" ref="NV25:OE25">SUMIFS($J25:$GG25,$J$2:$GG$2,NV$3:OE$3)</f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 cm="1">
        <f t="array" ref="OF25">IFERROR(MAX((_xlfn.ANCHORARRAY(NV25)-AVERAGE(_xlfn.ANCHORARRAY(NV25)))/ AVERAGE(_xlfn.ANCHORARRAY(NV25))),0)</f>
        <v>0</v>
      </c>
      <c r="OG25" t="str" cm="1">
        <f t="array" ref="OG25">IF(OF25&gt;$OG$1,_xlfn.XLOOKUP(MAX(_xlfn.ANCHORARRAY(NV25)),_xlfn.ANCHORARRAY(NV25),NV$4:OE$4,""),"")</f>
        <v/>
      </c>
      <c r="OI25" t="str">
        <f t="shared" si="8"/>
        <v/>
      </c>
    </row>
    <row r="26" spans="1:399" x14ac:dyDescent="0.3">
      <c r="A26" s="2"/>
      <c r="B26" s="2" t="str">
        <f t="shared" si="0"/>
        <v>CORE</v>
      </c>
      <c r="C26" s="2" t="str">
        <f t="shared" si="1"/>
        <v>CORE</v>
      </c>
      <c r="D26" s="2" t="str">
        <f t="shared" si="2"/>
        <v>CORE</v>
      </c>
      <c r="E26" s="2" t="str">
        <f t="shared" si="3"/>
        <v/>
      </c>
      <c r="F26" s="2">
        <f t="shared" si="4"/>
        <v>0</v>
      </c>
      <c r="G26" s="2">
        <f t="shared" si="5"/>
        <v>0</v>
      </c>
      <c r="H26" s="2">
        <f t="shared" si="6"/>
        <v>0</v>
      </c>
      <c r="I26" s="2">
        <f t="shared" si="7"/>
        <v>0</v>
      </c>
      <c r="NH26" cm="1">
        <f t="array" ref="NH26:NJ26">SUMIFS($J26:$GG26,$J$1:$GG$1,NH$3:NJ$3)</f>
        <v>0</v>
      </c>
      <c r="NI26">
        <v>0</v>
      </c>
      <c r="NJ26">
        <v>0</v>
      </c>
      <c r="NK26" cm="1">
        <f t="array" ref="NK26">IFERROR(MAX((_xlfn.ANCHORARRAY(NH26)-AVERAGE(_xlfn.ANCHORARRAY(NH26)))/ AVERAGE(_xlfn.ANCHORARRAY(NH26))),0)</f>
        <v>0</v>
      </c>
      <c r="NL26" t="str" cm="1">
        <f t="array" ref="NL26">IF(NK26&gt;$NL$1,_xlfn.XLOOKUP(MAX(_xlfn.ANCHORARRAY(NH26)),_xlfn.ANCHORARRAY(NH26),NH$4:NJ$4,""),"")</f>
        <v/>
      </c>
      <c r="NN26" cm="1">
        <f t="array" ref="NN26:NR26">SUMIFS($J26:$GG26,$J$3:$GG$3,NN$3:NR$3)</f>
        <v>0</v>
      </c>
      <c r="NO26">
        <v>0</v>
      </c>
      <c r="NP26">
        <v>0</v>
      </c>
      <c r="NQ26">
        <v>0</v>
      </c>
      <c r="NR26">
        <v>0</v>
      </c>
      <c r="NS26" cm="1">
        <f t="array" ref="NS26">IFERROR(MAX((_xlfn.ANCHORARRAY(NN26)-AVERAGE(_xlfn.ANCHORARRAY(NN26)))/ AVERAGE(_xlfn.ANCHORARRAY(NN26))),0)</f>
        <v>0</v>
      </c>
      <c r="NT26" t="str" cm="1">
        <f t="array" ref="NT26">IF(AND(NS26&gt;$NT$1,NL26&lt;&gt;""),_xlfn.XLOOKUP(MAX(_xlfn.ANCHORARRAY(NN26)),_xlfn.ANCHORARRAY(NN26),NN$4:NR$4,""),"")</f>
        <v/>
      </c>
      <c r="NV26" cm="1">
        <f t="array" ref="NV26:OE26">SUMIFS($J26:$GG26,$J$2:$GG$2,NV$3:OE$3)</f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 cm="1">
        <f t="array" ref="OF26">IFERROR(MAX((_xlfn.ANCHORARRAY(NV26)-AVERAGE(_xlfn.ANCHORARRAY(NV26)))/ AVERAGE(_xlfn.ANCHORARRAY(NV26))),0)</f>
        <v>0</v>
      </c>
      <c r="OG26" t="str" cm="1">
        <f t="array" ref="OG26">IF(OF26&gt;$OG$1,_xlfn.XLOOKUP(MAX(_xlfn.ANCHORARRAY(NV26)),_xlfn.ANCHORARRAY(NV26),NV$4:OE$4,""),"")</f>
        <v/>
      </c>
      <c r="OI26" t="str">
        <f t="shared" si="8"/>
        <v/>
      </c>
    </row>
    <row r="27" spans="1:399" x14ac:dyDescent="0.3">
      <c r="A27" s="2"/>
      <c r="B27" s="2" t="str">
        <f t="shared" si="0"/>
        <v>CORE</v>
      </c>
      <c r="C27" s="2" t="str">
        <f t="shared" si="1"/>
        <v>CORE</v>
      </c>
      <c r="D27" s="2" t="str">
        <f t="shared" si="2"/>
        <v>CORE</v>
      </c>
      <c r="E27" s="2" t="str">
        <f t="shared" si="3"/>
        <v/>
      </c>
      <c r="F27" s="2">
        <f t="shared" si="4"/>
        <v>0</v>
      </c>
      <c r="G27" s="2">
        <f t="shared" si="5"/>
        <v>0</v>
      </c>
      <c r="H27" s="2">
        <f t="shared" si="6"/>
        <v>0</v>
      </c>
      <c r="I27" s="2">
        <f t="shared" si="7"/>
        <v>0</v>
      </c>
      <c r="NH27" cm="1">
        <f t="array" ref="NH27:NJ27">SUMIFS($J27:$GG27,$J$1:$GG$1,NH$3:NJ$3)</f>
        <v>0</v>
      </c>
      <c r="NI27">
        <v>0</v>
      </c>
      <c r="NJ27">
        <v>0</v>
      </c>
      <c r="NK27" cm="1">
        <f t="array" ref="NK27">IFERROR(MAX((_xlfn.ANCHORARRAY(NH27)-AVERAGE(_xlfn.ANCHORARRAY(NH27)))/ AVERAGE(_xlfn.ANCHORARRAY(NH27))),0)</f>
        <v>0</v>
      </c>
      <c r="NL27" t="str" cm="1">
        <f t="array" ref="NL27">IF(NK27&gt;$NL$1,_xlfn.XLOOKUP(MAX(_xlfn.ANCHORARRAY(NH27)),_xlfn.ANCHORARRAY(NH27),NH$4:NJ$4,""),"")</f>
        <v/>
      </c>
      <c r="NN27" cm="1">
        <f t="array" ref="NN27:NR27">SUMIFS($J27:$GG27,$J$3:$GG$3,NN$3:NR$3)</f>
        <v>0</v>
      </c>
      <c r="NO27">
        <v>0</v>
      </c>
      <c r="NP27">
        <v>0</v>
      </c>
      <c r="NQ27">
        <v>0</v>
      </c>
      <c r="NR27">
        <v>0</v>
      </c>
      <c r="NS27" cm="1">
        <f t="array" ref="NS27">IFERROR(MAX((_xlfn.ANCHORARRAY(NN27)-AVERAGE(_xlfn.ANCHORARRAY(NN27)))/ AVERAGE(_xlfn.ANCHORARRAY(NN27))),0)</f>
        <v>0</v>
      </c>
      <c r="NT27" t="str" cm="1">
        <f t="array" ref="NT27">IF(AND(NS27&gt;$NT$1,NL27&lt;&gt;""),_xlfn.XLOOKUP(MAX(_xlfn.ANCHORARRAY(NN27)),_xlfn.ANCHORARRAY(NN27),NN$4:NR$4,""),"")</f>
        <v/>
      </c>
      <c r="NV27" cm="1">
        <f t="array" ref="NV27:OE27">SUMIFS($J27:$GG27,$J$2:$GG$2,NV$3:OE$3)</f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 cm="1">
        <f t="array" ref="OF27">IFERROR(MAX((_xlfn.ANCHORARRAY(NV27)-AVERAGE(_xlfn.ANCHORARRAY(NV27)))/ AVERAGE(_xlfn.ANCHORARRAY(NV27))),0)</f>
        <v>0</v>
      </c>
      <c r="OG27" t="str" cm="1">
        <f t="array" ref="OG27">IF(OF27&gt;$OG$1,_xlfn.XLOOKUP(MAX(_xlfn.ANCHORARRAY(NV27)),_xlfn.ANCHORARRAY(NV27),NV$4:OE$4,""),"")</f>
        <v/>
      </c>
      <c r="OI27" t="str">
        <f t="shared" si="8"/>
        <v/>
      </c>
    </row>
    <row r="28" spans="1:399" x14ac:dyDescent="0.3">
      <c r="A28" s="2"/>
      <c r="B28" s="2" t="str">
        <f t="shared" si="0"/>
        <v>CORE</v>
      </c>
      <c r="C28" s="2" t="str">
        <f t="shared" si="1"/>
        <v>CORE</v>
      </c>
      <c r="D28" s="2" t="str">
        <f t="shared" si="2"/>
        <v>CORE</v>
      </c>
      <c r="E28" s="2" t="str">
        <f t="shared" si="3"/>
        <v/>
      </c>
      <c r="F28" s="2">
        <f t="shared" si="4"/>
        <v>0</v>
      </c>
      <c r="G28" s="2">
        <f t="shared" si="5"/>
        <v>0</v>
      </c>
      <c r="H28" s="2">
        <f t="shared" si="6"/>
        <v>0</v>
      </c>
      <c r="I28" s="2">
        <f t="shared" si="7"/>
        <v>0</v>
      </c>
      <c r="NH28" cm="1">
        <f t="array" ref="NH28:NJ28">SUMIFS($J28:$GG28,$J$1:$GG$1,NH$3:NJ$3)</f>
        <v>0</v>
      </c>
      <c r="NI28">
        <v>0</v>
      </c>
      <c r="NJ28">
        <v>0</v>
      </c>
      <c r="NK28" cm="1">
        <f t="array" ref="NK28">IFERROR(MAX((_xlfn.ANCHORARRAY(NH28)-AVERAGE(_xlfn.ANCHORARRAY(NH28)))/ AVERAGE(_xlfn.ANCHORARRAY(NH28))),0)</f>
        <v>0</v>
      </c>
      <c r="NL28" t="str" cm="1">
        <f t="array" ref="NL28">IF(NK28&gt;$NL$1,_xlfn.XLOOKUP(MAX(_xlfn.ANCHORARRAY(NH28)),_xlfn.ANCHORARRAY(NH28),NH$4:NJ$4,""),"")</f>
        <v/>
      </c>
      <c r="NN28" cm="1">
        <f t="array" ref="NN28:NR28">SUMIFS($J28:$GG28,$J$3:$GG$3,NN$3:NR$3)</f>
        <v>0</v>
      </c>
      <c r="NO28">
        <v>0</v>
      </c>
      <c r="NP28">
        <v>0</v>
      </c>
      <c r="NQ28">
        <v>0</v>
      </c>
      <c r="NR28">
        <v>0</v>
      </c>
      <c r="NS28" cm="1">
        <f t="array" ref="NS28">IFERROR(MAX((_xlfn.ANCHORARRAY(NN28)-AVERAGE(_xlfn.ANCHORARRAY(NN28)))/ AVERAGE(_xlfn.ANCHORARRAY(NN28))),0)</f>
        <v>0</v>
      </c>
      <c r="NT28" t="str" cm="1">
        <f t="array" ref="NT28">IF(AND(NS28&gt;$NT$1,NL28&lt;&gt;""),_xlfn.XLOOKUP(MAX(_xlfn.ANCHORARRAY(NN28)),_xlfn.ANCHORARRAY(NN28),NN$4:NR$4,""),"")</f>
        <v/>
      </c>
      <c r="NV28" cm="1">
        <f t="array" ref="NV28:OE28">SUMIFS($J28:$GG28,$J$2:$GG$2,NV$3:OE$3)</f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 cm="1">
        <f t="array" ref="OF28">IFERROR(MAX((_xlfn.ANCHORARRAY(NV28)-AVERAGE(_xlfn.ANCHORARRAY(NV28)))/ AVERAGE(_xlfn.ANCHORARRAY(NV28))),0)</f>
        <v>0</v>
      </c>
      <c r="OG28" t="str" cm="1">
        <f t="array" ref="OG28">IF(OF28&gt;$OG$1,_xlfn.XLOOKUP(MAX(_xlfn.ANCHORARRAY(NV28)),_xlfn.ANCHORARRAY(NV28),NV$4:OE$4,""),"")</f>
        <v/>
      </c>
      <c r="OI28" t="str">
        <f t="shared" si="8"/>
        <v/>
      </c>
    </row>
    <row r="29" spans="1:399" x14ac:dyDescent="0.3">
      <c r="A29" s="2"/>
      <c r="B29" s="2" t="str">
        <f t="shared" si="0"/>
        <v>CORE</v>
      </c>
      <c r="C29" s="2" t="str">
        <f t="shared" si="1"/>
        <v>CORE</v>
      </c>
      <c r="D29" s="2" t="str">
        <f t="shared" si="2"/>
        <v>CORE</v>
      </c>
      <c r="E29" s="2" t="str">
        <f t="shared" si="3"/>
        <v/>
      </c>
      <c r="F29" s="2">
        <f t="shared" si="4"/>
        <v>0</v>
      </c>
      <c r="G29" s="2">
        <f t="shared" si="5"/>
        <v>0</v>
      </c>
      <c r="H29" s="2">
        <f t="shared" si="6"/>
        <v>0</v>
      </c>
      <c r="I29" s="2">
        <f t="shared" si="7"/>
        <v>0</v>
      </c>
      <c r="NH29" cm="1">
        <f t="array" ref="NH29:NJ29">SUMIFS($J29:$GG29,$J$1:$GG$1,NH$3:NJ$3)</f>
        <v>0</v>
      </c>
      <c r="NI29">
        <v>0</v>
      </c>
      <c r="NJ29">
        <v>0</v>
      </c>
      <c r="NK29" cm="1">
        <f t="array" ref="NK29">IFERROR(MAX((_xlfn.ANCHORARRAY(NH29)-AVERAGE(_xlfn.ANCHORARRAY(NH29)))/ AVERAGE(_xlfn.ANCHORARRAY(NH29))),0)</f>
        <v>0</v>
      </c>
      <c r="NL29" t="str" cm="1">
        <f t="array" ref="NL29">IF(NK29&gt;$NL$1,_xlfn.XLOOKUP(MAX(_xlfn.ANCHORARRAY(NH29)),_xlfn.ANCHORARRAY(NH29),NH$4:NJ$4,""),"")</f>
        <v/>
      </c>
      <c r="NN29" cm="1">
        <f t="array" ref="NN29:NR29">SUMIFS($J29:$GG29,$J$3:$GG$3,NN$3:NR$3)</f>
        <v>0</v>
      </c>
      <c r="NO29">
        <v>0</v>
      </c>
      <c r="NP29">
        <v>0</v>
      </c>
      <c r="NQ29">
        <v>0</v>
      </c>
      <c r="NR29">
        <v>0</v>
      </c>
      <c r="NS29" cm="1">
        <f t="array" ref="NS29">IFERROR(MAX((_xlfn.ANCHORARRAY(NN29)-AVERAGE(_xlfn.ANCHORARRAY(NN29)))/ AVERAGE(_xlfn.ANCHORARRAY(NN29))),0)</f>
        <v>0</v>
      </c>
      <c r="NT29" t="str" cm="1">
        <f t="array" ref="NT29">IF(AND(NS29&gt;$NT$1,NL29&lt;&gt;""),_xlfn.XLOOKUP(MAX(_xlfn.ANCHORARRAY(NN29)),_xlfn.ANCHORARRAY(NN29),NN$4:NR$4,""),"")</f>
        <v/>
      </c>
      <c r="NV29" cm="1">
        <f t="array" ref="NV29:OE29">SUMIFS($J29:$GG29,$J$2:$GG$2,NV$3:OE$3)</f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 cm="1">
        <f t="array" ref="OF29">IFERROR(MAX((_xlfn.ANCHORARRAY(NV29)-AVERAGE(_xlfn.ANCHORARRAY(NV29)))/ AVERAGE(_xlfn.ANCHORARRAY(NV29))),0)</f>
        <v>0</v>
      </c>
      <c r="OG29" t="str" cm="1">
        <f t="array" ref="OG29">IF(OF29&gt;$OG$1,_xlfn.XLOOKUP(MAX(_xlfn.ANCHORARRAY(NV29)),_xlfn.ANCHORARRAY(NV29),NV$4:OE$4,""),"")</f>
        <v/>
      </c>
      <c r="OI29" t="str">
        <f t="shared" si="8"/>
        <v/>
      </c>
    </row>
    <row r="30" spans="1:399" x14ac:dyDescent="0.3">
      <c r="A30" s="2"/>
      <c r="B30" s="2" t="str">
        <f t="shared" si="0"/>
        <v>CORE</v>
      </c>
      <c r="C30" s="2" t="str">
        <f t="shared" si="1"/>
        <v>CORE</v>
      </c>
      <c r="D30" s="2" t="str">
        <f t="shared" si="2"/>
        <v>CORE</v>
      </c>
      <c r="E30" s="2" t="str">
        <f t="shared" si="3"/>
        <v/>
      </c>
      <c r="F30" s="2">
        <f t="shared" si="4"/>
        <v>0</v>
      </c>
      <c r="G30" s="2">
        <f t="shared" si="5"/>
        <v>0</v>
      </c>
      <c r="H30" s="2">
        <f t="shared" si="6"/>
        <v>0</v>
      </c>
      <c r="I30" s="2">
        <f t="shared" si="7"/>
        <v>0</v>
      </c>
      <c r="NH30" cm="1">
        <f t="array" ref="NH30:NJ30">SUMIFS($J30:$GG30,$J$1:$GG$1,NH$3:NJ$3)</f>
        <v>0</v>
      </c>
      <c r="NI30">
        <v>0</v>
      </c>
      <c r="NJ30">
        <v>0</v>
      </c>
      <c r="NK30" cm="1">
        <f t="array" ref="NK30">IFERROR(MAX((_xlfn.ANCHORARRAY(NH30)-AVERAGE(_xlfn.ANCHORARRAY(NH30)))/ AVERAGE(_xlfn.ANCHORARRAY(NH30))),0)</f>
        <v>0</v>
      </c>
      <c r="NL30" t="str" cm="1">
        <f t="array" ref="NL30">IF(NK30&gt;$NL$1,_xlfn.XLOOKUP(MAX(_xlfn.ANCHORARRAY(NH30)),_xlfn.ANCHORARRAY(NH30),NH$4:NJ$4,""),"")</f>
        <v/>
      </c>
      <c r="NN30" cm="1">
        <f t="array" ref="NN30:NR30">SUMIFS($J30:$GG30,$J$3:$GG$3,NN$3:NR$3)</f>
        <v>0</v>
      </c>
      <c r="NO30">
        <v>0</v>
      </c>
      <c r="NP30">
        <v>0</v>
      </c>
      <c r="NQ30">
        <v>0</v>
      </c>
      <c r="NR30">
        <v>0</v>
      </c>
      <c r="NS30" cm="1">
        <f t="array" ref="NS30">IFERROR(MAX((_xlfn.ANCHORARRAY(NN30)-AVERAGE(_xlfn.ANCHORARRAY(NN30)))/ AVERAGE(_xlfn.ANCHORARRAY(NN30))),0)</f>
        <v>0</v>
      </c>
      <c r="NT30" t="str" cm="1">
        <f t="array" ref="NT30">IF(AND(NS30&gt;$NT$1,NL30&lt;&gt;""),_xlfn.XLOOKUP(MAX(_xlfn.ANCHORARRAY(NN30)),_xlfn.ANCHORARRAY(NN30),NN$4:NR$4,""),"")</f>
        <v/>
      </c>
      <c r="NV30" cm="1">
        <f t="array" ref="NV30:OE30">SUMIFS($J30:$GG30,$J$2:$GG$2,NV$3:OE$3)</f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 cm="1">
        <f t="array" ref="OF30">IFERROR(MAX((_xlfn.ANCHORARRAY(NV30)-AVERAGE(_xlfn.ANCHORARRAY(NV30)))/ AVERAGE(_xlfn.ANCHORARRAY(NV30))),0)</f>
        <v>0</v>
      </c>
      <c r="OG30" t="str" cm="1">
        <f t="array" ref="OG30">IF(OF30&gt;$OG$1,_xlfn.XLOOKUP(MAX(_xlfn.ANCHORARRAY(NV30)),_xlfn.ANCHORARRAY(NV30),NV$4:OE$4,""),"")</f>
        <v/>
      </c>
      <c r="OI30" t="str">
        <f t="shared" si="8"/>
        <v/>
      </c>
    </row>
    <row r="31" spans="1:399" x14ac:dyDescent="0.3">
      <c r="A31" s="2"/>
      <c r="B31" s="2" t="str">
        <f t="shared" si="0"/>
        <v>CORE</v>
      </c>
      <c r="C31" s="2" t="str">
        <f t="shared" si="1"/>
        <v>CORE</v>
      </c>
      <c r="D31" s="2" t="str">
        <f t="shared" si="2"/>
        <v>CORE</v>
      </c>
      <c r="E31" s="2" t="str">
        <f t="shared" si="3"/>
        <v/>
      </c>
      <c r="F31" s="2">
        <f t="shared" si="4"/>
        <v>0</v>
      </c>
      <c r="G31" s="2">
        <f t="shared" si="5"/>
        <v>0</v>
      </c>
      <c r="H31" s="2">
        <f t="shared" si="6"/>
        <v>0</v>
      </c>
      <c r="I31" s="2">
        <f t="shared" si="7"/>
        <v>0</v>
      </c>
      <c r="NH31" cm="1">
        <f t="array" ref="NH31:NJ31">SUMIFS($J31:$GG31,$J$1:$GG$1,NH$3:NJ$3)</f>
        <v>0</v>
      </c>
      <c r="NI31">
        <v>0</v>
      </c>
      <c r="NJ31">
        <v>0</v>
      </c>
      <c r="NK31" cm="1">
        <f t="array" ref="NK31">IFERROR(MAX((_xlfn.ANCHORARRAY(NH31)-AVERAGE(_xlfn.ANCHORARRAY(NH31)))/ AVERAGE(_xlfn.ANCHORARRAY(NH31))),0)</f>
        <v>0</v>
      </c>
      <c r="NL31" t="str" cm="1">
        <f t="array" ref="NL31">IF(NK31&gt;$NL$1,_xlfn.XLOOKUP(MAX(_xlfn.ANCHORARRAY(NH31)),_xlfn.ANCHORARRAY(NH31),NH$4:NJ$4,""),"")</f>
        <v/>
      </c>
      <c r="NN31" cm="1">
        <f t="array" ref="NN31:NR31">SUMIFS($J31:$GG31,$J$3:$GG$3,NN$3:NR$3)</f>
        <v>0</v>
      </c>
      <c r="NO31">
        <v>0</v>
      </c>
      <c r="NP31">
        <v>0</v>
      </c>
      <c r="NQ31">
        <v>0</v>
      </c>
      <c r="NR31">
        <v>0</v>
      </c>
      <c r="NS31" cm="1">
        <f t="array" ref="NS31">IFERROR(MAX((_xlfn.ANCHORARRAY(NN31)-AVERAGE(_xlfn.ANCHORARRAY(NN31)))/ AVERAGE(_xlfn.ANCHORARRAY(NN31))),0)</f>
        <v>0</v>
      </c>
      <c r="NT31" t="str" cm="1">
        <f t="array" ref="NT31">IF(AND(NS31&gt;$NT$1,NL31&lt;&gt;""),_xlfn.XLOOKUP(MAX(_xlfn.ANCHORARRAY(NN31)),_xlfn.ANCHORARRAY(NN31),NN$4:NR$4,""),"")</f>
        <v/>
      </c>
      <c r="NV31" cm="1">
        <f t="array" ref="NV31:OE31">SUMIFS($J31:$GG31,$J$2:$GG$2,NV$3:OE$3)</f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 cm="1">
        <f t="array" ref="OF31">IFERROR(MAX((_xlfn.ANCHORARRAY(NV31)-AVERAGE(_xlfn.ANCHORARRAY(NV31)))/ AVERAGE(_xlfn.ANCHORARRAY(NV31))),0)</f>
        <v>0</v>
      </c>
      <c r="OG31" t="str" cm="1">
        <f t="array" ref="OG31">IF(OF31&gt;$OG$1,_xlfn.XLOOKUP(MAX(_xlfn.ANCHORARRAY(NV31)),_xlfn.ANCHORARRAY(NV31),NV$4:OE$4,""),"")</f>
        <v/>
      </c>
      <c r="OI31" t="str">
        <f t="shared" si="8"/>
        <v/>
      </c>
    </row>
    <row r="32" spans="1:399" x14ac:dyDescent="0.3">
      <c r="A32" s="2"/>
      <c r="B32" s="2" t="str">
        <f t="shared" si="0"/>
        <v>CORE</v>
      </c>
      <c r="C32" s="2" t="str">
        <f t="shared" si="1"/>
        <v>CORE</v>
      </c>
      <c r="D32" s="2" t="str">
        <f t="shared" si="2"/>
        <v>CORE</v>
      </c>
      <c r="E32" s="2" t="str">
        <f t="shared" si="3"/>
        <v/>
      </c>
      <c r="F32" s="2">
        <f t="shared" si="4"/>
        <v>0</v>
      </c>
      <c r="G32" s="2">
        <f t="shared" si="5"/>
        <v>0</v>
      </c>
      <c r="H32" s="2">
        <f t="shared" si="6"/>
        <v>0</v>
      </c>
      <c r="I32" s="2">
        <f t="shared" si="7"/>
        <v>0</v>
      </c>
      <c r="NH32" cm="1">
        <f t="array" ref="NH32:NJ32">SUMIFS($J32:$GG32,$J$1:$GG$1,NH$3:NJ$3)</f>
        <v>0</v>
      </c>
      <c r="NI32">
        <v>0</v>
      </c>
      <c r="NJ32">
        <v>0</v>
      </c>
      <c r="NK32" cm="1">
        <f t="array" ref="NK32">IFERROR(MAX((_xlfn.ANCHORARRAY(NH32)-AVERAGE(_xlfn.ANCHORARRAY(NH32)))/ AVERAGE(_xlfn.ANCHORARRAY(NH32))),0)</f>
        <v>0</v>
      </c>
      <c r="NL32" t="str" cm="1">
        <f t="array" ref="NL32">IF(NK32&gt;$NL$1,_xlfn.XLOOKUP(MAX(_xlfn.ANCHORARRAY(NH32)),_xlfn.ANCHORARRAY(NH32),NH$4:NJ$4,""),"")</f>
        <v/>
      </c>
      <c r="NN32" cm="1">
        <f t="array" ref="NN32:NR32">SUMIFS($J32:$GG32,$J$3:$GG$3,NN$3:NR$3)</f>
        <v>0</v>
      </c>
      <c r="NO32">
        <v>0</v>
      </c>
      <c r="NP32">
        <v>0</v>
      </c>
      <c r="NQ32">
        <v>0</v>
      </c>
      <c r="NR32">
        <v>0</v>
      </c>
      <c r="NS32" cm="1">
        <f t="array" ref="NS32">IFERROR(MAX((_xlfn.ANCHORARRAY(NN32)-AVERAGE(_xlfn.ANCHORARRAY(NN32)))/ AVERAGE(_xlfn.ANCHORARRAY(NN32))),0)</f>
        <v>0</v>
      </c>
      <c r="NT32" t="str" cm="1">
        <f t="array" ref="NT32">IF(AND(NS32&gt;$NT$1,NL32&lt;&gt;""),_xlfn.XLOOKUP(MAX(_xlfn.ANCHORARRAY(NN32)),_xlfn.ANCHORARRAY(NN32),NN$4:NR$4,""),"")</f>
        <v/>
      </c>
      <c r="NV32" cm="1">
        <f t="array" ref="NV32:OE32">SUMIFS($J32:$GG32,$J$2:$GG$2,NV$3:OE$3)</f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 cm="1">
        <f t="array" ref="OF32">IFERROR(MAX((_xlfn.ANCHORARRAY(NV32)-AVERAGE(_xlfn.ANCHORARRAY(NV32)))/ AVERAGE(_xlfn.ANCHORARRAY(NV32))),0)</f>
        <v>0</v>
      </c>
      <c r="OG32" t="str" cm="1">
        <f t="array" ref="OG32">IF(OF32&gt;$OG$1,_xlfn.XLOOKUP(MAX(_xlfn.ANCHORARRAY(NV32)),_xlfn.ANCHORARRAY(NV32),NV$4:OE$4,""),"")</f>
        <v/>
      </c>
      <c r="OI32" t="str">
        <f t="shared" si="8"/>
        <v/>
      </c>
    </row>
    <row r="33" spans="1:399" x14ac:dyDescent="0.3">
      <c r="A33" s="2"/>
      <c r="B33" s="2" t="str">
        <f t="shared" si="0"/>
        <v>CORE</v>
      </c>
      <c r="C33" s="2" t="str">
        <f t="shared" si="1"/>
        <v>CORE</v>
      </c>
      <c r="D33" s="2" t="str">
        <f t="shared" si="2"/>
        <v>CORE</v>
      </c>
      <c r="E33" s="2" t="str">
        <f t="shared" si="3"/>
        <v/>
      </c>
      <c r="F33" s="2">
        <f t="shared" si="4"/>
        <v>0</v>
      </c>
      <c r="G33" s="2">
        <f t="shared" si="5"/>
        <v>0</v>
      </c>
      <c r="H33" s="2">
        <f t="shared" si="6"/>
        <v>0</v>
      </c>
      <c r="I33" s="2">
        <f t="shared" si="7"/>
        <v>0</v>
      </c>
      <c r="NH33" cm="1">
        <f t="array" ref="NH33:NJ33">SUMIFS($J33:$GG33,$J$1:$GG$1,NH$3:NJ$3)</f>
        <v>0</v>
      </c>
      <c r="NI33">
        <v>0</v>
      </c>
      <c r="NJ33">
        <v>0</v>
      </c>
      <c r="NK33" cm="1">
        <f t="array" ref="NK33">IFERROR(MAX((_xlfn.ANCHORARRAY(NH33)-AVERAGE(_xlfn.ANCHORARRAY(NH33)))/ AVERAGE(_xlfn.ANCHORARRAY(NH33))),0)</f>
        <v>0</v>
      </c>
      <c r="NL33" t="str" cm="1">
        <f t="array" ref="NL33">IF(NK33&gt;$NL$1,_xlfn.XLOOKUP(MAX(_xlfn.ANCHORARRAY(NH33)),_xlfn.ANCHORARRAY(NH33),NH$4:NJ$4,""),"")</f>
        <v/>
      </c>
      <c r="NN33" cm="1">
        <f t="array" ref="NN33:NR33">SUMIFS($J33:$GG33,$J$3:$GG$3,NN$3:NR$3)</f>
        <v>0</v>
      </c>
      <c r="NO33">
        <v>0</v>
      </c>
      <c r="NP33">
        <v>0</v>
      </c>
      <c r="NQ33">
        <v>0</v>
      </c>
      <c r="NR33">
        <v>0</v>
      </c>
      <c r="NS33" cm="1">
        <f t="array" ref="NS33">IFERROR(MAX((_xlfn.ANCHORARRAY(NN33)-AVERAGE(_xlfn.ANCHORARRAY(NN33)))/ AVERAGE(_xlfn.ANCHORARRAY(NN33))),0)</f>
        <v>0</v>
      </c>
      <c r="NT33" t="str" cm="1">
        <f t="array" ref="NT33">IF(AND(NS33&gt;$NT$1,NL33&lt;&gt;""),_xlfn.XLOOKUP(MAX(_xlfn.ANCHORARRAY(NN33)),_xlfn.ANCHORARRAY(NN33),NN$4:NR$4,""),"")</f>
        <v/>
      </c>
      <c r="NV33" cm="1">
        <f t="array" ref="NV33:OE33">SUMIFS($J33:$GG33,$J$2:$GG$2,NV$3:OE$3)</f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 cm="1">
        <f t="array" ref="OF33">IFERROR(MAX((_xlfn.ANCHORARRAY(NV33)-AVERAGE(_xlfn.ANCHORARRAY(NV33)))/ AVERAGE(_xlfn.ANCHORARRAY(NV33))),0)</f>
        <v>0</v>
      </c>
      <c r="OG33" t="str" cm="1">
        <f t="array" ref="OG33">IF(OF33&gt;$OG$1,_xlfn.XLOOKUP(MAX(_xlfn.ANCHORARRAY(NV33)),_xlfn.ANCHORARRAY(NV33),NV$4:OE$4,""),"")</f>
        <v/>
      </c>
      <c r="OI33" t="str">
        <f t="shared" si="8"/>
        <v/>
      </c>
    </row>
    <row r="34" spans="1:399" x14ac:dyDescent="0.3">
      <c r="A34" s="2"/>
      <c r="B34" s="2" t="str">
        <f t="shared" si="0"/>
        <v>CORE</v>
      </c>
      <c r="C34" s="2" t="str">
        <f t="shared" si="1"/>
        <v>CORE</v>
      </c>
      <c r="D34" s="2" t="str">
        <f t="shared" si="2"/>
        <v>CORE</v>
      </c>
      <c r="E34" s="2" t="str">
        <f t="shared" si="3"/>
        <v/>
      </c>
      <c r="F34" s="2">
        <f t="shared" si="4"/>
        <v>0</v>
      </c>
      <c r="G34" s="2">
        <f t="shared" si="5"/>
        <v>0</v>
      </c>
      <c r="H34" s="2">
        <f t="shared" si="6"/>
        <v>0</v>
      </c>
      <c r="I34" s="2">
        <f t="shared" si="7"/>
        <v>0</v>
      </c>
      <c r="NH34" cm="1">
        <f t="array" ref="NH34:NJ34">SUMIFS($J34:$GG34,$J$1:$GG$1,NH$3:NJ$3)</f>
        <v>0</v>
      </c>
      <c r="NI34">
        <v>0</v>
      </c>
      <c r="NJ34">
        <v>0</v>
      </c>
      <c r="NK34" cm="1">
        <f t="array" ref="NK34">IFERROR(MAX((_xlfn.ANCHORARRAY(NH34)-AVERAGE(_xlfn.ANCHORARRAY(NH34)))/ AVERAGE(_xlfn.ANCHORARRAY(NH34))),0)</f>
        <v>0</v>
      </c>
      <c r="NL34" t="str" cm="1">
        <f t="array" ref="NL34">IF(NK34&gt;$NL$1,_xlfn.XLOOKUP(MAX(_xlfn.ANCHORARRAY(NH34)),_xlfn.ANCHORARRAY(NH34),NH$4:NJ$4,""),"")</f>
        <v/>
      </c>
      <c r="NN34" cm="1">
        <f t="array" ref="NN34:NR34">SUMIFS($J34:$GG34,$J$3:$GG$3,NN$3:NR$3)</f>
        <v>0</v>
      </c>
      <c r="NO34">
        <v>0</v>
      </c>
      <c r="NP34">
        <v>0</v>
      </c>
      <c r="NQ34">
        <v>0</v>
      </c>
      <c r="NR34">
        <v>0</v>
      </c>
      <c r="NS34" cm="1">
        <f t="array" ref="NS34">IFERROR(MAX((_xlfn.ANCHORARRAY(NN34)-AVERAGE(_xlfn.ANCHORARRAY(NN34)))/ AVERAGE(_xlfn.ANCHORARRAY(NN34))),0)</f>
        <v>0</v>
      </c>
      <c r="NT34" t="str" cm="1">
        <f t="array" ref="NT34">IF(AND(NS34&gt;$NT$1,NL34&lt;&gt;""),_xlfn.XLOOKUP(MAX(_xlfn.ANCHORARRAY(NN34)),_xlfn.ANCHORARRAY(NN34),NN$4:NR$4,""),"")</f>
        <v/>
      </c>
      <c r="NV34" cm="1">
        <f t="array" ref="NV34:OE34">SUMIFS($J34:$GG34,$J$2:$GG$2,NV$3:OE$3)</f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 cm="1">
        <f t="array" ref="OF34">IFERROR(MAX((_xlfn.ANCHORARRAY(NV34)-AVERAGE(_xlfn.ANCHORARRAY(NV34)))/ AVERAGE(_xlfn.ANCHORARRAY(NV34))),0)</f>
        <v>0</v>
      </c>
      <c r="OG34" t="str" cm="1">
        <f t="array" ref="OG34">IF(OF34&gt;$OG$1,_xlfn.XLOOKUP(MAX(_xlfn.ANCHORARRAY(NV34)),_xlfn.ANCHORARRAY(NV34),NV$4:OE$4,""),"")</f>
        <v/>
      </c>
      <c r="OI34" t="str">
        <f t="shared" si="8"/>
        <v/>
      </c>
    </row>
    <row r="35" spans="1:399" x14ac:dyDescent="0.3">
      <c r="A35" s="2"/>
      <c r="B35" s="2" t="str">
        <f t="shared" si="0"/>
        <v>CORE</v>
      </c>
      <c r="C35" s="2" t="str">
        <f t="shared" si="1"/>
        <v>CORE</v>
      </c>
      <c r="D35" s="2" t="str">
        <f t="shared" si="2"/>
        <v>CORE</v>
      </c>
      <c r="E35" s="2" t="str">
        <f t="shared" si="3"/>
        <v/>
      </c>
      <c r="F35" s="2">
        <f t="shared" si="4"/>
        <v>0</v>
      </c>
      <c r="G35" s="2">
        <f t="shared" si="5"/>
        <v>0</v>
      </c>
      <c r="H35" s="2">
        <f t="shared" si="6"/>
        <v>0</v>
      </c>
      <c r="I35" s="2">
        <f t="shared" si="7"/>
        <v>0</v>
      </c>
      <c r="NH35" cm="1">
        <f t="array" ref="NH35:NJ35">SUMIFS($J35:$GG35,$J$1:$GG$1,NH$3:NJ$3)</f>
        <v>0</v>
      </c>
      <c r="NI35">
        <v>0</v>
      </c>
      <c r="NJ35">
        <v>0</v>
      </c>
      <c r="NK35" cm="1">
        <f t="array" ref="NK35">IFERROR(MAX((_xlfn.ANCHORARRAY(NH35)-AVERAGE(_xlfn.ANCHORARRAY(NH35)))/ AVERAGE(_xlfn.ANCHORARRAY(NH35))),0)</f>
        <v>0</v>
      </c>
      <c r="NL35" t="str" cm="1">
        <f t="array" ref="NL35">IF(NK35&gt;$NL$1,_xlfn.XLOOKUP(MAX(_xlfn.ANCHORARRAY(NH35)),_xlfn.ANCHORARRAY(NH35),NH$4:NJ$4,""),"")</f>
        <v/>
      </c>
      <c r="NN35" cm="1">
        <f t="array" ref="NN35:NR35">SUMIFS($J35:$GG35,$J$3:$GG$3,NN$3:NR$3)</f>
        <v>0</v>
      </c>
      <c r="NO35">
        <v>0</v>
      </c>
      <c r="NP35">
        <v>0</v>
      </c>
      <c r="NQ35">
        <v>0</v>
      </c>
      <c r="NR35">
        <v>0</v>
      </c>
      <c r="NS35" cm="1">
        <f t="array" ref="NS35">IFERROR(MAX((_xlfn.ANCHORARRAY(NN35)-AVERAGE(_xlfn.ANCHORARRAY(NN35)))/ AVERAGE(_xlfn.ANCHORARRAY(NN35))),0)</f>
        <v>0</v>
      </c>
      <c r="NT35" t="str" cm="1">
        <f t="array" ref="NT35">IF(AND(NS35&gt;$NT$1,NL35&lt;&gt;""),_xlfn.XLOOKUP(MAX(_xlfn.ANCHORARRAY(NN35)),_xlfn.ANCHORARRAY(NN35),NN$4:NR$4,""),"")</f>
        <v/>
      </c>
      <c r="NV35" cm="1">
        <f t="array" ref="NV35:OE35">SUMIFS($J35:$GG35,$J$2:$GG$2,NV$3:OE$3)</f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 cm="1">
        <f t="array" ref="OF35">IFERROR(MAX((_xlfn.ANCHORARRAY(NV35)-AVERAGE(_xlfn.ANCHORARRAY(NV35)))/ AVERAGE(_xlfn.ANCHORARRAY(NV35))),0)</f>
        <v>0</v>
      </c>
      <c r="OG35" t="str" cm="1">
        <f t="array" ref="OG35">IF(OF35&gt;$OG$1,_xlfn.XLOOKUP(MAX(_xlfn.ANCHORARRAY(NV35)),_xlfn.ANCHORARRAY(NV35),NV$4:OE$4,""),"")</f>
        <v/>
      </c>
      <c r="OI35" t="str">
        <f t="shared" si="8"/>
        <v/>
      </c>
    </row>
    <row r="36" spans="1:399" x14ac:dyDescent="0.3">
      <c r="A36" s="2"/>
      <c r="B36" s="2" t="str">
        <f t="shared" si="0"/>
        <v>CORE</v>
      </c>
      <c r="C36" s="2" t="str">
        <f t="shared" si="1"/>
        <v>CORE</v>
      </c>
      <c r="D36" s="2" t="str">
        <f t="shared" si="2"/>
        <v>CORE</v>
      </c>
      <c r="E36" s="2" t="str">
        <f t="shared" si="3"/>
        <v/>
      </c>
      <c r="F36" s="2">
        <f t="shared" si="4"/>
        <v>0</v>
      </c>
      <c r="G36" s="2">
        <f t="shared" si="5"/>
        <v>0</v>
      </c>
      <c r="H36" s="2">
        <f t="shared" si="6"/>
        <v>0</v>
      </c>
      <c r="I36" s="2">
        <f t="shared" si="7"/>
        <v>0</v>
      </c>
      <c r="NH36" cm="1">
        <f t="array" ref="NH36:NJ36">SUMIFS($J36:$GG36,$J$1:$GG$1,NH$3:NJ$3)</f>
        <v>0</v>
      </c>
      <c r="NI36">
        <v>0</v>
      </c>
      <c r="NJ36">
        <v>0</v>
      </c>
      <c r="NK36" cm="1">
        <f t="array" ref="NK36">IFERROR(MAX((_xlfn.ANCHORARRAY(NH36)-AVERAGE(_xlfn.ANCHORARRAY(NH36)))/ AVERAGE(_xlfn.ANCHORARRAY(NH36))),0)</f>
        <v>0</v>
      </c>
      <c r="NL36" t="str" cm="1">
        <f t="array" ref="NL36">IF(NK36&gt;$NL$1,_xlfn.XLOOKUP(MAX(_xlfn.ANCHORARRAY(NH36)),_xlfn.ANCHORARRAY(NH36),NH$4:NJ$4,""),"")</f>
        <v/>
      </c>
      <c r="NN36" cm="1">
        <f t="array" ref="NN36:NR36">SUMIFS($J36:$GG36,$J$3:$GG$3,NN$3:NR$3)</f>
        <v>0</v>
      </c>
      <c r="NO36">
        <v>0</v>
      </c>
      <c r="NP36">
        <v>0</v>
      </c>
      <c r="NQ36">
        <v>0</v>
      </c>
      <c r="NR36">
        <v>0</v>
      </c>
      <c r="NS36" cm="1">
        <f t="array" ref="NS36">IFERROR(MAX((_xlfn.ANCHORARRAY(NN36)-AVERAGE(_xlfn.ANCHORARRAY(NN36)))/ AVERAGE(_xlfn.ANCHORARRAY(NN36))),0)</f>
        <v>0</v>
      </c>
      <c r="NT36" t="str" cm="1">
        <f t="array" ref="NT36">IF(AND(NS36&gt;$NT$1,NL36&lt;&gt;""),_xlfn.XLOOKUP(MAX(_xlfn.ANCHORARRAY(NN36)),_xlfn.ANCHORARRAY(NN36),NN$4:NR$4,""),"")</f>
        <v/>
      </c>
      <c r="NV36" cm="1">
        <f t="array" ref="NV36:OE36">SUMIFS($J36:$GG36,$J$2:$GG$2,NV$3:OE$3)</f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 cm="1">
        <f t="array" ref="OF36">IFERROR(MAX((_xlfn.ANCHORARRAY(NV36)-AVERAGE(_xlfn.ANCHORARRAY(NV36)))/ AVERAGE(_xlfn.ANCHORARRAY(NV36))),0)</f>
        <v>0</v>
      </c>
      <c r="OG36" t="str" cm="1">
        <f t="array" ref="OG36">IF(OF36&gt;$OG$1,_xlfn.XLOOKUP(MAX(_xlfn.ANCHORARRAY(NV36)),_xlfn.ANCHORARRAY(NV36),NV$4:OE$4,""),"")</f>
        <v/>
      </c>
      <c r="OI36" t="str">
        <f t="shared" si="8"/>
        <v/>
      </c>
    </row>
    <row r="37" spans="1:399" x14ac:dyDescent="0.3">
      <c r="A37" s="2"/>
      <c r="B37" s="2" t="str">
        <f t="shared" si="0"/>
        <v>CORE</v>
      </c>
      <c r="C37" s="2" t="str">
        <f t="shared" si="1"/>
        <v>CORE</v>
      </c>
      <c r="D37" s="2" t="str">
        <f t="shared" si="2"/>
        <v>CORE</v>
      </c>
      <c r="E37" s="2" t="str">
        <f t="shared" si="3"/>
        <v/>
      </c>
      <c r="F37" s="2">
        <f t="shared" si="4"/>
        <v>0</v>
      </c>
      <c r="G37" s="2">
        <f t="shared" si="5"/>
        <v>0</v>
      </c>
      <c r="H37" s="2">
        <f t="shared" si="6"/>
        <v>0</v>
      </c>
      <c r="I37" s="2">
        <f t="shared" si="7"/>
        <v>0</v>
      </c>
      <c r="NH37" cm="1">
        <f t="array" ref="NH37:NJ37">SUMIFS($J37:$GG37,$J$1:$GG$1,NH$3:NJ$3)</f>
        <v>0</v>
      </c>
      <c r="NI37">
        <v>0</v>
      </c>
      <c r="NJ37">
        <v>0</v>
      </c>
      <c r="NK37" cm="1">
        <f t="array" ref="NK37">IFERROR(MAX((_xlfn.ANCHORARRAY(NH37)-AVERAGE(_xlfn.ANCHORARRAY(NH37)))/ AVERAGE(_xlfn.ANCHORARRAY(NH37))),0)</f>
        <v>0</v>
      </c>
      <c r="NL37" t="str" cm="1">
        <f t="array" ref="NL37">IF(NK37&gt;$NL$1,_xlfn.XLOOKUP(MAX(_xlfn.ANCHORARRAY(NH37)),_xlfn.ANCHORARRAY(NH37),NH$4:NJ$4,""),"")</f>
        <v/>
      </c>
      <c r="NN37" cm="1">
        <f t="array" ref="NN37:NR37">SUMIFS($J37:$GG37,$J$3:$GG$3,NN$3:NR$3)</f>
        <v>0</v>
      </c>
      <c r="NO37">
        <v>0</v>
      </c>
      <c r="NP37">
        <v>0</v>
      </c>
      <c r="NQ37">
        <v>0</v>
      </c>
      <c r="NR37">
        <v>0</v>
      </c>
      <c r="NS37" cm="1">
        <f t="array" ref="NS37">IFERROR(MAX((_xlfn.ANCHORARRAY(NN37)-AVERAGE(_xlfn.ANCHORARRAY(NN37)))/ AVERAGE(_xlfn.ANCHORARRAY(NN37))),0)</f>
        <v>0</v>
      </c>
      <c r="NT37" t="str" cm="1">
        <f t="array" ref="NT37">IF(AND(NS37&gt;$NT$1,NL37&lt;&gt;""),_xlfn.XLOOKUP(MAX(_xlfn.ANCHORARRAY(NN37)),_xlfn.ANCHORARRAY(NN37),NN$4:NR$4,""),"")</f>
        <v/>
      </c>
      <c r="NV37" cm="1">
        <f t="array" ref="NV37:OE37">SUMIFS($J37:$GG37,$J$2:$GG$2,NV$3:OE$3)</f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 cm="1">
        <f t="array" ref="OF37">IFERROR(MAX((_xlfn.ANCHORARRAY(NV37)-AVERAGE(_xlfn.ANCHORARRAY(NV37)))/ AVERAGE(_xlfn.ANCHORARRAY(NV37))),0)</f>
        <v>0</v>
      </c>
      <c r="OG37" t="str" cm="1">
        <f t="array" ref="OG37">IF(OF37&gt;$OG$1,_xlfn.XLOOKUP(MAX(_xlfn.ANCHORARRAY(NV37)),_xlfn.ANCHORARRAY(NV37),NV$4:OE$4,""),"")</f>
        <v/>
      </c>
      <c r="OI37" t="str">
        <f t="shared" si="8"/>
        <v/>
      </c>
    </row>
    <row r="38" spans="1:399" x14ac:dyDescent="0.3">
      <c r="A38" s="2"/>
      <c r="B38" s="2" t="str">
        <f t="shared" si="0"/>
        <v>CORE</v>
      </c>
      <c r="C38" s="2" t="str">
        <f t="shared" si="1"/>
        <v>CORE</v>
      </c>
      <c r="D38" s="2" t="str">
        <f t="shared" si="2"/>
        <v>CORE</v>
      </c>
      <c r="E38" s="2" t="str">
        <f t="shared" si="3"/>
        <v/>
      </c>
      <c r="F38" s="2">
        <f t="shared" si="4"/>
        <v>0</v>
      </c>
      <c r="G38" s="2">
        <f t="shared" si="5"/>
        <v>0</v>
      </c>
      <c r="H38" s="2">
        <f t="shared" si="6"/>
        <v>0</v>
      </c>
      <c r="I38" s="2">
        <f t="shared" si="7"/>
        <v>0</v>
      </c>
      <c r="NH38" cm="1">
        <f t="array" ref="NH38:NJ38">SUMIFS($J38:$GG38,$J$1:$GG$1,NH$3:NJ$3)</f>
        <v>0</v>
      </c>
      <c r="NI38">
        <v>0</v>
      </c>
      <c r="NJ38">
        <v>0</v>
      </c>
      <c r="NK38" cm="1">
        <f t="array" ref="NK38">IFERROR(MAX((_xlfn.ANCHORARRAY(NH38)-AVERAGE(_xlfn.ANCHORARRAY(NH38)))/ AVERAGE(_xlfn.ANCHORARRAY(NH38))),0)</f>
        <v>0</v>
      </c>
      <c r="NL38" t="str" cm="1">
        <f t="array" ref="NL38">IF(NK38&gt;$NL$1,_xlfn.XLOOKUP(MAX(_xlfn.ANCHORARRAY(NH38)),_xlfn.ANCHORARRAY(NH38),NH$4:NJ$4,""),"")</f>
        <v/>
      </c>
      <c r="NN38" cm="1">
        <f t="array" ref="NN38:NR38">SUMIFS($J38:$GG38,$J$3:$GG$3,NN$3:NR$3)</f>
        <v>0</v>
      </c>
      <c r="NO38">
        <v>0</v>
      </c>
      <c r="NP38">
        <v>0</v>
      </c>
      <c r="NQ38">
        <v>0</v>
      </c>
      <c r="NR38">
        <v>0</v>
      </c>
      <c r="NS38" cm="1">
        <f t="array" ref="NS38">IFERROR(MAX((_xlfn.ANCHORARRAY(NN38)-AVERAGE(_xlfn.ANCHORARRAY(NN38)))/ AVERAGE(_xlfn.ANCHORARRAY(NN38))),0)</f>
        <v>0</v>
      </c>
      <c r="NT38" t="str" cm="1">
        <f t="array" ref="NT38">IF(AND(NS38&gt;$NT$1,NL38&lt;&gt;""),_xlfn.XLOOKUP(MAX(_xlfn.ANCHORARRAY(NN38)),_xlfn.ANCHORARRAY(NN38),NN$4:NR$4,""),"")</f>
        <v/>
      </c>
      <c r="NV38" cm="1">
        <f t="array" ref="NV38:OE38">SUMIFS($J38:$GG38,$J$2:$GG$2,NV$3:OE$3)</f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 cm="1">
        <f t="array" ref="OF38">IFERROR(MAX((_xlfn.ANCHORARRAY(NV38)-AVERAGE(_xlfn.ANCHORARRAY(NV38)))/ AVERAGE(_xlfn.ANCHORARRAY(NV38))),0)</f>
        <v>0</v>
      </c>
      <c r="OG38" t="str" cm="1">
        <f t="array" ref="OG38">IF(OF38&gt;$OG$1,_xlfn.XLOOKUP(MAX(_xlfn.ANCHORARRAY(NV38)),_xlfn.ANCHORARRAY(NV38),NV$4:OE$4,""),"")</f>
        <v/>
      </c>
      <c r="OI38" t="str">
        <f t="shared" si="8"/>
        <v/>
      </c>
    </row>
    <row r="39" spans="1:399" x14ac:dyDescent="0.3">
      <c r="A39" s="2"/>
      <c r="B39" s="2" t="str">
        <f t="shared" si="0"/>
        <v>CORE</v>
      </c>
      <c r="C39" s="2" t="str">
        <f t="shared" si="1"/>
        <v>CORE</v>
      </c>
      <c r="D39" s="2" t="str">
        <f t="shared" si="2"/>
        <v>CORE</v>
      </c>
      <c r="E39" s="2" t="str">
        <f t="shared" si="3"/>
        <v/>
      </c>
      <c r="F39" s="2">
        <f t="shared" si="4"/>
        <v>0</v>
      </c>
      <c r="G39" s="2">
        <f t="shared" si="5"/>
        <v>0</v>
      </c>
      <c r="H39" s="2">
        <f t="shared" si="6"/>
        <v>0</v>
      </c>
      <c r="I39" s="2">
        <f t="shared" si="7"/>
        <v>0</v>
      </c>
      <c r="NH39" cm="1">
        <f t="array" ref="NH39:NJ39">SUMIFS($J39:$GG39,$J$1:$GG$1,NH$3:NJ$3)</f>
        <v>0</v>
      </c>
      <c r="NI39">
        <v>0</v>
      </c>
      <c r="NJ39">
        <v>0</v>
      </c>
      <c r="NK39" cm="1">
        <f t="array" ref="NK39">IFERROR(MAX((_xlfn.ANCHORARRAY(NH39)-AVERAGE(_xlfn.ANCHORARRAY(NH39)))/ AVERAGE(_xlfn.ANCHORARRAY(NH39))),0)</f>
        <v>0</v>
      </c>
      <c r="NL39" t="str" cm="1">
        <f t="array" ref="NL39">IF(NK39&gt;$NL$1,_xlfn.XLOOKUP(MAX(_xlfn.ANCHORARRAY(NH39)),_xlfn.ANCHORARRAY(NH39),NH$4:NJ$4,""),"")</f>
        <v/>
      </c>
      <c r="NN39" cm="1">
        <f t="array" ref="NN39:NR39">SUMIFS($J39:$GG39,$J$3:$GG$3,NN$3:NR$3)</f>
        <v>0</v>
      </c>
      <c r="NO39">
        <v>0</v>
      </c>
      <c r="NP39">
        <v>0</v>
      </c>
      <c r="NQ39">
        <v>0</v>
      </c>
      <c r="NR39">
        <v>0</v>
      </c>
      <c r="NS39" cm="1">
        <f t="array" ref="NS39">IFERROR(MAX((_xlfn.ANCHORARRAY(NN39)-AVERAGE(_xlfn.ANCHORARRAY(NN39)))/ AVERAGE(_xlfn.ANCHORARRAY(NN39))),0)</f>
        <v>0</v>
      </c>
      <c r="NT39" t="str" cm="1">
        <f t="array" ref="NT39">IF(AND(NS39&gt;$NT$1,NL39&lt;&gt;""),_xlfn.XLOOKUP(MAX(_xlfn.ANCHORARRAY(NN39)),_xlfn.ANCHORARRAY(NN39),NN$4:NR$4,""),"")</f>
        <v/>
      </c>
      <c r="NV39" cm="1">
        <f t="array" ref="NV39:OE39">SUMIFS($J39:$GG39,$J$2:$GG$2,NV$3:OE$3)</f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 cm="1">
        <f t="array" ref="OF39">IFERROR(MAX((_xlfn.ANCHORARRAY(NV39)-AVERAGE(_xlfn.ANCHORARRAY(NV39)))/ AVERAGE(_xlfn.ANCHORARRAY(NV39))),0)</f>
        <v>0</v>
      </c>
      <c r="OG39" t="str" cm="1">
        <f t="array" ref="OG39">IF(OF39&gt;$OG$1,_xlfn.XLOOKUP(MAX(_xlfn.ANCHORARRAY(NV39)),_xlfn.ANCHORARRAY(NV39),NV$4:OE$4,""),"")</f>
        <v/>
      </c>
      <c r="OI39" t="str">
        <f t="shared" si="8"/>
        <v/>
      </c>
    </row>
    <row r="40" spans="1:399" x14ac:dyDescent="0.3">
      <c r="A40" s="2"/>
      <c r="B40" s="2" t="str">
        <f t="shared" si="0"/>
        <v>CORE</v>
      </c>
      <c r="C40" s="2" t="str">
        <f t="shared" si="1"/>
        <v>CORE</v>
      </c>
      <c r="D40" s="2" t="str">
        <f t="shared" si="2"/>
        <v>CORE</v>
      </c>
      <c r="E40" s="2" t="str">
        <f t="shared" si="3"/>
        <v/>
      </c>
      <c r="F40" s="2">
        <f t="shared" si="4"/>
        <v>0</v>
      </c>
      <c r="G40" s="2">
        <f t="shared" si="5"/>
        <v>0</v>
      </c>
      <c r="H40" s="2">
        <f t="shared" si="6"/>
        <v>0</v>
      </c>
      <c r="I40" s="2">
        <f t="shared" si="7"/>
        <v>0</v>
      </c>
      <c r="NH40" cm="1">
        <f t="array" ref="NH40:NJ40">SUMIFS($J40:$GG40,$J$1:$GG$1,NH$3:NJ$3)</f>
        <v>0</v>
      </c>
      <c r="NI40">
        <v>0</v>
      </c>
      <c r="NJ40">
        <v>0</v>
      </c>
      <c r="NK40" cm="1">
        <f t="array" ref="NK40">IFERROR(MAX((_xlfn.ANCHORARRAY(NH40)-AVERAGE(_xlfn.ANCHORARRAY(NH40)))/ AVERAGE(_xlfn.ANCHORARRAY(NH40))),0)</f>
        <v>0</v>
      </c>
      <c r="NL40" t="str" cm="1">
        <f t="array" ref="NL40">IF(NK40&gt;$NL$1,_xlfn.XLOOKUP(MAX(_xlfn.ANCHORARRAY(NH40)),_xlfn.ANCHORARRAY(NH40),NH$4:NJ$4,""),"")</f>
        <v/>
      </c>
      <c r="NN40" cm="1">
        <f t="array" ref="NN40:NR40">SUMIFS($J40:$GG40,$J$3:$GG$3,NN$3:NR$3)</f>
        <v>0</v>
      </c>
      <c r="NO40">
        <v>0</v>
      </c>
      <c r="NP40">
        <v>0</v>
      </c>
      <c r="NQ40">
        <v>0</v>
      </c>
      <c r="NR40">
        <v>0</v>
      </c>
      <c r="NS40" cm="1">
        <f t="array" ref="NS40">IFERROR(MAX((_xlfn.ANCHORARRAY(NN40)-AVERAGE(_xlfn.ANCHORARRAY(NN40)))/ AVERAGE(_xlfn.ANCHORARRAY(NN40))),0)</f>
        <v>0</v>
      </c>
      <c r="NT40" t="str" cm="1">
        <f t="array" ref="NT40">IF(AND(NS40&gt;$NT$1,NL40&lt;&gt;""),_xlfn.XLOOKUP(MAX(_xlfn.ANCHORARRAY(NN40)),_xlfn.ANCHORARRAY(NN40),NN$4:NR$4,""),"")</f>
        <v/>
      </c>
      <c r="NV40" cm="1">
        <f t="array" ref="NV40:OE40">SUMIFS($J40:$GG40,$J$2:$GG$2,NV$3:OE$3)</f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 cm="1">
        <f t="array" ref="OF40">IFERROR(MAX((_xlfn.ANCHORARRAY(NV40)-AVERAGE(_xlfn.ANCHORARRAY(NV40)))/ AVERAGE(_xlfn.ANCHORARRAY(NV40))),0)</f>
        <v>0</v>
      </c>
      <c r="OG40" t="str" cm="1">
        <f t="array" ref="OG40">IF(OF40&gt;$OG$1,_xlfn.XLOOKUP(MAX(_xlfn.ANCHORARRAY(NV40)),_xlfn.ANCHORARRAY(NV40),NV$4:OE$4,""),"")</f>
        <v/>
      </c>
      <c r="OI40" t="str">
        <f t="shared" si="8"/>
        <v/>
      </c>
    </row>
    <row r="41" spans="1:399" x14ac:dyDescent="0.3">
      <c r="A41" s="2"/>
      <c r="B41" s="2" t="str">
        <f t="shared" si="0"/>
        <v>CORE</v>
      </c>
      <c r="C41" s="2" t="str">
        <f t="shared" si="1"/>
        <v>CORE</v>
      </c>
      <c r="D41" s="2" t="str">
        <f t="shared" si="2"/>
        <v>CORE</v>
      </c>
      <c r="E41" s="2" t="str">
        <f t="shared" si="3"/>
        <v/>
      </c>
      <c r="F41" s="2">
        <f t="shared" si="4"/>
        <v>0</v>
      </c>
      <c r="G41" s="2">
        <f t="shared" si="5"/>
        <v>0</v>
      </c>
      <c r="H41" s="2">
        <f t="shared" si="6"/>
        <v>0</v>
      </c>
      <c r="I41" s="2">
        <f t="shared" si="7"/>
        <v>0</v>
      </c>
      <c r="NH41" cm="1">
        <f t="array" ref="NH41:NJ41">SUMIFS($J41:$GG41,$J$1:$GG$1,NH$3:NJ$3)</f>
        <v>0</v>
      </c>
      <c r="NI41">
        <v>0</v>
      </c>
      <c r="NJ41">
        <v>0</v>
      </c>
      <c r="NK41" cm="1">
        <f t="array" ref="NK41">IFERROR(MAX((_xlfn.ANCHORARRAY(NH41)-AVERAGE(_xlfn.ANCHORARRAY(NH41)))/ AVERAGE(_xlfn.ANCHORARRAY(NH41))),0)</f>
        <v>0</v>
      </c>
      <c r="NL41" t="str" cm="1">
        <f t="array" ref="NL41">IF(NK41&gt;$NL$1,_xlfn.XLOOKUP(MAX(_xlfn.ANCHORARRAY(NH41)),_xlfn.ANCHORARRAY(NH41),NH$4:NJ$4,""),"")</f>
        <v/>
      </c>
      <c r="NN41" cm="1">
        <f t="array" ref="NN41:NR41">SUMIFS($J41:$GG41,$J$3:$GG$3,NN$3:NR$3)</f>
        <v>0</v>
      </c>
      <c r="NO41">
        <v>0</v>
      </c>
      <c r="NP41">
        <v>0</v>
      </c>
      <c r="NQ41">
        <v>0</v>
      </c>
      <c r="NR41">
        <v>0</v>
      </c>
      <c r="NS41" cm="1">
        <f t="array" ref="NS41">IFERROR(MAX((_xlfn.ANCHORARRAY(NN41)-AVERAGE(_xlfn.ANCHORARRAY(NN41)))/ AVERAGE(_xlfn.ANCHORARRAY(NN41))),0)</f>
        <v>0</v>
      </c>
      <c r="NT41" t="str" cm="1">
        <f t="array" ref="NT41">IF(AND(NS41&gt;$NT$1,NL41&lt;&gt;""),_xlfn.XLOOKUP(MAX(_xlfn.ANCHORARRAY(NN41)),_xlfn.ANCHORARRAY(NN41),NN$4:NR$4,""),"")</f>
        <v/>
      </c>
      <c r="NV41" cm="1">
        <f t="array" ref="NV41:OE41">SUMIFS($J41:$GG41,$J$2:$GG$2,NV$3:OE$3)</f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 cm="1">
        <f t="array" ref="OF41">IFERROR(MAX((_xlfn.ANCHORARRAY(NV41)-AVERAGE(_xlfn.ANCHORARRAY(NV41)))/ AVERAGE(_xlfn.ANCHORARRAY(NV41))),0)</f>
        <v>0</v>
      </c>
      <c r="OG41" t="str" cm="1">
        <f t="array" ref="OG41">IF(OF41&gt;$OG$1,_xlfn.XLOOKUP(MAX(_xlfn.ANCHORARRAY(NV41)),_xlfn.ANCHORARRAY(NV41),NV$4:OE$4,""),"")</f>
        <v/>
      </c>
      <c r="OI41" t="str">
        <f t="shared" si="8"/>
        <v/>
      </c>
    </row>
    <row r="42" spans="1:399" x14ac:dyDescent="0.3">
      <c r="A42" s="2"/>
      <c r="B42" s="2" t="str">
        <f t="shared" si="0"/>
        <v>CORE</v>
      </c>
      <c r="C42" s="2" t="str">
        <f t="shared" si="1"/>
        <v>CORE</v>
      </c>
      <c r="D42" s="2" t="str">
        <f t="shared" si="2"/>
        <v>CORE</v>
      </c>
      <c r="E42" s="2" t="str">
        <f t="shared" si="3"/>
        <v/>
      </c>
      <c r="F42" s="2">
        <f t="shared" si="4"/>
        <v>0</v>
      </c>
      <c r="G42" s="2">
        <f t="shared" si="5"/>
        <v>0</v>
      </c>
      <c r="H42" s="2">
        <f t="shared" si="6"/>
        <v>0</v>
      </c>
      <c r="I42" s="2">
        <f t="shared" si="7"/>
        <v>0</v>
      </c>
      <c r="NH42" cm="1">
        <f t="array" ref="NH42:NJ42">SUMIFS($J42:$GG42,$J$1:$GG$1,NH$3:NJ$3)</f>
        <v>0</v>
      </c>
      <c r="NI42">
        <v>0</v>
      </c>
      <c r="NJ42">
        <v>0</v>
      </c>
      <c r="NK42" cm="1">
        <f t="array" ref="NK42">IFERROR(MAX((_xlfn.ANCHORARRAY(NH42)-AVERAGE(_xlfn.ANCHORARRAY(NH42)))/ AVERAGE(_xlfn.ANCHORARRAY(NH42))),0)</f>
        <v>0</v>
      </c>
      <c r="NL42" t="str" cm="1">
        <f t="array" ref="NL42">IF(NK42&gt;$NL$1,_xlfn.XLOOKUP(MAX(_xlfn.ANCHORARRAY(NH42)),_xlfn.ANCHORARRAY(NH42),NH$4:NJ$4,""),"")</f>
        <v/>
      </c>
      <c r="NN42" cm="1">
        <f t="array" ref="NN42:NR42">SUMIFS($J42:$GG42,$J$3:$GG$3,NN$3:NR$3)</f>
        <v>0</v>
      </c>
      <c r="NO42">
        <v>0</v>
      </c>
      <c r="NP42">
        <v>0</v>
      </c>
      <c r="NQ42">
        <v>0</v>
      </c>
      <c r="NR42">
        <v>0</v>
      </c>
      <c r="NS42" cm="1">
        <f t="array" ref="NS42">IFERROR(MAX((_xlfn.ANCHORARRAY(NN42)-AVERAGE(_xlfn.ANCHORARRAY(NN42)))/ AVERAGE(_xlfn.ANCHORARRAY(NN42))),0)</f>
        <v>0</v>
      </c>
      <c r="NT42" t="str" cm="1">
        <f t="array" ref="NT42">IF(AND(NS42&gt;$NT$1,NL42&lt;&gt;""),_xlfn.XLOOKUP(MAX(_xlfn.ANCHORARRAY(NN42)),_xlfn.ANCHORARRAY(NN42),NN$4:NR$4,""),"")</f>
        <v/>
      </c>
      <c r="NV42" cm="1">
        <f t="array" ref="NV42:OE42">SUMIFS($J42:$GG42,$J$2:$GG$2,NV$3:OE$3)</f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 cm="1">
        <f t="array" ref="OF42">IFERROR(MAX((_xlfn.ANCHORARRAY(NV42)-AVERAGE(_xlfn.ANCHORARRAY(NV42)))/ AVERAGE(_xlfn.ANCHORARRAY(NV42))),0)</f>
        <v>0</v>
      </c>
      <c r="OG42" t="str" cm="1">
        <f t="array" ref="OG42">IF(OF42&gt;$OG$1,_xlfn.XLOOKUP(MAX(_xlfn.ANCHORARRAY(NV42)),_xlfn.ANCHORARRAY(NV42),NV$4:OE$4,""),"")</f>
        <v/>
      </c>
      <c r="OI42" t="str">
        <f t="shared" si="8"/>
        <v/>
      </c>
    </row>
    <row r="43" spans="1:399" x14ac:dyDescent="0.3">
      <c r="A43" s="2"/>
      <c r="B43" s="2" t="str">
        <f t="shared" si="0"/>
        <v>CORE</v>
      </c>
      <c r="C43" s="2" t="str">
        <f t="shared" si="1"/>
        <v>CORE</v>
      </c>
      <c r="D43" s="2" t="str">
        <f t="shared" si="2"/>
        <v>CORE</v>
      </c>
      <c r="E43" s="2" t="str">
        <f t="shared" si="3"/>
        <v/>
      </c>
      <c r="F43" s="2">
        <f t="shared" si="4"/>
        <v>0</v>
      </c>
      <c r="G43" s="2">
        <f t="shared" si="5"/>
        <v>0</v>
      </c>
      <c r="H43" s="2">
        <f t="shared" si="6"/>
        <v>0</v>
      </c>
      <c r="I43" s="2">
        <f t="shared" si="7"/>
        <v>0</v>
      </c>
      <c r="NH43" cm="1">
        <f t="array" ref="NH43:NJ43">SUMIFS($J43:$GG43,$J$1:$GG$1,NH$3:NJ$3)</f>
        <v>0</v>
      </c>
      <c r="NI43">
        <v>0</v>
      </c>
      <c r="NJ43">
        <v>0</v>
      </c>
      <c r="NK43" cm="1">
        <f t="array" ref="NK43">IFERROR(MAX((_xlfn.ANCHORARRAY(NH43)-AVERAGE(_xlfn.ANCHORARRAY(NH43)))/ AVERAGE(_xlfn.ANCHORARRAY(NH43))),0)</f>
        <v>0</v>
      </c>
      <c r="NL43" t="str" cm="1">
        <f t="array" ref="NL43">IF(NK43&gt;$NL$1,_xlfn.XLOOKUP(MAX(_xlfn.ANCHORARRAY(NH43)),_xlfn.ANCHORARRAY(NH43),NH$4:NJ$4,""),"")</f>
        <v/>
      </c>
      <c r="NN43" cm="1">
        <f t="array" ref="NN43:NR43">SUMIFS($J43:$GG43,$J$3:$GG$3,NN$3:NR$3)</f>
        <v>0</v>
      </c>
      <c r="NO43">
        <v>0</v>
      </c>
      <c r="NP43">
        <v>0</v>
      </c>
      <c r="NQ43">
        <v>0</v>
      </c>
      <c r="NR43">
        <v>0</v>
      </c>
      <c r="NS43" cm="1">
        <f t="array" ref="NS43">IFERROR(MAX((_xlfn.ANCHORARRAY(NN43)-AVERAGE(_xlfn.ANCHORARRAY(NN43)))/ AVERAGE(_xlfn.ANCHORARRAY(NN43))),0)</f>
        <v>0</v>
      </c>
      <c r="NT43" t="str" cm="1">
        <f t="array" ref="NT43">IF(AND(NS43&gt;$NT$1,NL43&lt;&gt;""),_xlfn.XLOOKUP(MAX(_xlfn.ANCHORARRAY(NN43)),_xlfn.ANCHORARRAY(NN43),NN$4:NR$4,""),"")</f>
        <v/>
      </c>
      <c r="NV43" cm="1">
        <f t="array" ref="NV43:OE43">SUMIFS($J43:$GG43,$J$2:$GG$2,NV$3:OE$3)</f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 cm="1">
        <f t="array" ref="OF43">IFERROR(MAX((_xlfn.ANCHORARRAY(NV43)-AVERAGE(_xlfn.ANCHORARRAY(NV43)))/ AVERAGE(_xlfn.ANCHORARRAY(NV43))),0)</f>
        <v>0</v>
      </c>
      <c r="OG43" t="str" cm="1">
        <f t="array" ref="OG43">IF(OF43&gt;$OG$1,_xlfn.XLOOKUP(MAX(_xlfn.ANCHORARRAY(NV43)),_xlfn.ANCHORARRAY(NV43),NV$4:OE$4,""),"")</f>
        <v/>
      </c>
      <c r="OI43" t="str">
        <f t="shared" si="8"/>
        <v/>
      </c>
    </row>
    <row r="44" spans="1:399" x14ac:dyDescent="0.3">
      <c r="A44" s="2"/>
      <c r="B44" s="2" t="str">
        <f t="shared" si="0"/>
        <v>CORE</v>
      </c>
      <c r="C44" s="2" t="str">
        <f t="shared" si="1"/>
        <v>CORE</v>
      </c>
      <c r="D44" s="2" t="str">
        <f t="shared" si="2"/>
        <v>CORE</v>
      </c>
      <c r="E44" s="2" t="str">
        <f t="shared" si="3"/>
        <v/>
      </c>
      <c r="F44" s="2">
        <f t="shared" si="4"/>
        <v>0</v>
      </c>
      <c r="G44" s="2">
        <f t="shared" si="5"/>
        <v>0</v>
      </c>
      <c r="H44" s="2">
        <f t="shared" si="6"/>
        <v>0</v>
      </c>
      <c r="I44" s="2">
        <f t="shared" si="7"/>
        <v>0</v>
      </c>
      <c r="NH44" cm="1">
        <f t="array" ref="NH44:NJ44">SUMIFS($J44:$GG44,$J$1:$GG$1,NH$3:NJ$3)</f>
        <v>0</v>
      </c>
      <c r="NI44">
        <v>0</v>
      </c>
      <c r="NJ44">
        <v>0</v>
      </c>
      <c r="NK44" cm="1">
        <f t="array" ref="NK44">IFERROR(MAX((_xlfn.ANCHORARRAY(NH44)-AVERAGE(_xlfn.ANCHORARRAY(NH44)))/ AVERAGE(_xlfn.ANCHORARRAY(NH44))),0)</f>
        <v>0</v>
      </c>
      <c r="NL44" t="str" cm="1">
        <f t="array" ref="NL44">IF(NK44&gt;$NL$1,_xlfn.XLOOKUP(MAX(_xlfn.ANCHORARRAY(NH44)),_xlfn.ANCHORARRAY(NH44),NH$4:NJ$4,""),"")</f>
        <v/>
      </c>
      <c r="NN44" cm="1">
        <f t="array" ref="NN44:NR44">SUMIFS($J44:$GG44,$J$3:$GG$3,NN$3:NR$3)</f>
        <v>0</v>
      </c>
      <c r="NO44">
        <v>0</v>
      </c>
      <c r="NP44">
        <v>0</v>
      </c>
      <c r="NQ44">
        <v>0</v>
      </c>
      <c r="NR44">
        <v>0</v>
      </c>
      <c r="NS44" cm="1">
        <f t="array" ref="NS44">IFERROR(MAX((_xlfn.ANCHORARRAY(NN44)-AVERAGE(_xlfn.ANCHORARRAY(NN44)))/ AVERAGE(_xlfn.ANCHORARRAY(NN44))),0)</f>
        <v>0</v>
      </c>
      <c r="NT44" t="str" cm="1">
        <f t="array" ref="NT44">IF(AND(NS44&gt;$NT$1,NL44&lt;&gt;""),_xlfn.XLOOKUP(MAX(_xlfn.ANCHORARRAY(NN44)),_xlfn.ANCHORARRAY(NN44),NN$4:NR$4,""),"")</f>
        <v/>
      </c>
      <c r="NV44" cm="1">
        <f t="array" ref="NV44:OE44">SUMIFS($J44:$GG44,$J$2:$GG$2,NV$3:OE$3)</f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 cm="1">
        <f t="array" ref="OF44">IFERROR(MAX((_xlfn.ANCHORARRAY(NV44)-AVERAGE(_xlfn.ANCHORARRAY(NV44)))/ AVERAGE(_xlfn.ANCHORARRAY(NV44))),0)</f>
        <v>0</v>
      </c>
      <c r="OG44" t="str" cm="1">
        <f t="array" ref="OG44">IF(OF44&gt;$OG$1,_xlfn.XLOOKUP(MAX(_xlfn.ANCHORARRAY(NV44)),_xlfn.ANCHORARRAY(NV44),NV$4:OE$4,""),"")</f>
        <v/>
      </c>
      <c r="OI44" t="str">
        <f t="shared" si="8"/>
        <v/>
      </c>
    </row>
    <row r="45" spans="1:399" x14ac:dyDescent="0.3">
      <c r="A45" s="2"/>
      <c r="B45" s="2" t="str">
        <f t="shared" si="0"/>
        <v>CORE</v>
      </c>
      <c r="C45" s="2" t="str">
        <f t="shared" si="1"/>
        <v>CORE</v>
      </c>
      <c r="D45" s="2" t="str">
        <f t="shared" si="2"/>
        <v>CORE</v>
      </c>
      <c r="E45" s="2" t="str">
        <f t="shared" si="3"/>
        <v/>
      </c>
      <c r="F45" s="2">
        <f t="shared" si="4"/>
        <v>0</v>
      </c>
      <c r="G45" s="2">
        <f t="shared" si="5"/>
        <v>0</v>
      </c>
      <c r="H45" s="2">
        <f t="shared" si="6"/>
        <v>0</v>
      </c>
      <c r="I45" s="2">
        <f t="shared" si="7"/>
        <v>0</v>
      </c>
      <c r="NH45" cm="1">
        <f t="array" ref="NH45:NJ45">SUMIFS($J45:$GG45,$J$1:$GG$1,NH$3:NJ$3)</f>
        <v>0</v>
      </c>
      <c r="NI45">
        <v>0</v>
      </c>
      <c r="NJ45">
        <v>0</v>
      </c>
      <c r="NK45" cm="1">
        <f t="array" ref="NK45">IFERROR(MAX((_xlfn.ANCHORARRAY(NH45)-AVERAGE(_xlfn.ANCHORARRAY(NH45)))/ AVERAGE(_xlfn.ANCHORARRAY(NH45))),0)</f>
        <v>0</v>
      </c>
      <c r="NL45" t="str" cm="1">
        <f t="array" ref="NL45">IF(NK45&gt;$NL$1,_xlfn.XLOOKUP(MAX(_xlfn.ANCHORARRAY(NH45)),_xlfn.ANCHORARRAY(NH45),NH$4:NJ$4,""),"")</f>
        <v/>
      </c>
      <c r="NN45" cm="1">
        <f t="array" ref="NN45:NR45">SUMIFS($J45:$GG45,$J$3:$GG$3,NN$3:NR$3)</f>
        <v>0</v>
      </c>
      <c r="NO45">
        <v>0</v>
      </c>
      <c r="NP45">
        <v>0</v>
      </c>
      <c r="NQ45">
        <v>0</v>
      </c>
      <c r="NR45">
        <v>0</v>
      </c>
      <c r="NS45" cm="1">
        <f t="array" ref="NS45">IFERROR(MAX((_xlfn.ANCHORARRAY(NN45)-AVERAGE(_xlfn.ANCHORARRAY(NN45)))/ AVERAGE(_xlfn.ANCHORARRAY(NN45))),0)</f>
        <v>0</v>
      </c>
      <c r="NT45" t="str" cm="1">
        <f t="array" ref="NT45">IF(AND(NS45&gt;$NT$1,NL45&lt;&gt;""),_xlfn.XLOOKUP(MAX(_xlfn.ANCHORARRAY(NN45)),_xlfn.ANCHORARRAY(NN45),NN$4:NR$4,""),"")</f>
        <v/>
      </c>
      <c r="NV45" cm="1">
        <f t="array" ref="NV45:OE45">SUMIFS($J45:$GG45,$J$2:$GG$2,NV$3:OE$3)</f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 cm="1">
        <f t="array" ref="OF45">IFERROR(MAX((_xlfn.ANCHORARRAY(NV45)-AVERAGE(_xlfn.ANCHORARRAY(NV45)))/ AVERAGE(_xlfn.ANCHORARRAY(NV45))),0)</f>
        <v>0</v>
      </c>
      <c r="OG45" t="str" cm="1">
        <f t="array" ref="OG45">IF(OF45&gt;$OG$1,_xlfn.XLOOKUP(MAX(_xlfn.ANCHORARRAY(NV45)),_xlfn.ANCHORARRAY(NV45),NV$4:OE$4,""),"")</f>
        <v/>
      </c>
      <c r="OI45" t="str">
        <f t="shared" si="8"/>
        <v/>
      </c>
    </row>
    <row r="46" spans="1:399" x14ac:dyDescent="0.3">
      <c r="A46" s="2"/>
      <c r="B46" s="2" t="str">
        <f t="shared" si="0"/>
        <v>CORE</v>
      </c>
      <c r="C46" s="2" t="str">
        <f t="shared" si="1"/>
        <v>CORE</v>
      </c>
      <c r="D46" s="2" t="str">
        <f t="shared" si="2"/>
        <v>CORE</v>
      </c>
      <c r="E46" s="2" t="str">
        <f t="shared" si="3"/>
        <v/>
      </c>
      <c r="F46" s="2">
        <f t="shared" si="4"/>
        <v>0</v>
      </c>
      <c r="G46" s="2">
        <f t="shared" si="5"/>
        <v>0</v>
      </c>
      <c r="H46" s="2">
        <f t="shared" si="6"/>
        <v>0</v>
      </c>
      <c r="I46" s="2">
        <f t="shared" si="7"/>
        <v>0</v>
      </c>
      <c r="NH46" cm="1">
        <f t="array" ref="NH46:NJ46">SUMIFS($J46:$GG46,$J$1:$GG$1,NH$3:NJ$3)</f>
        <v>0</v>
      </c>
      <c r="NI46">
        <v>0</v>
      </c>
      <c r="NJ46">
        <v>0</v>
      </c>
      <c r="NK46" cm="1">
        <f t="array" ref="NK46">IFERROR(MAX((_xlfn.ANCHORARRAY(NH46)-AVERAGE(_xlfn.ANCHORARRAY(NH46)))/ AVERAGE(_xlfn.ANCHORARRAY(NH46))),0)</f>
        <v>0</v>
      </c>
      <c r="NL46" t="str" cm="1">
        <f t="array" ref="NL46">IF(NK46&gt;$NL$1,_xlfn.XLOOKUP(MAX(_xlfn.ANCHORARRAY(NH46)),_xlfn.ANCHORARRAY(NH46),NH$4:NJ$4,""),"")</f>
        <v/>
      </c>
      <c r="NN46" cm="1">
        <f t="array" ref="NN46:NR46">SUMIFS($J46:$GG46,$J$3:$GG$3,NN$3:NR$3)</f>
        <v>0</v>
      </c>
      <c r="NO46">
        <v>0</v>
      </c>
      <c r="NP46">
        <v>0</v>
      </c>
      <c r="NQ46">
        <v>0</v>
      </c>
      <c r="NR46">
        <v>0</v>
      </c>
      <c r="NS46" cm="1">
        <f t="array" ref="NS46">IFERROR(MAX((_xlfn.ANCHORARRAY(NN46)-AVERAGE(_xlfn.ANCHORARRAY(NN46)))/ AVERAGE(_xlfn.ANCHORARRAY(NN46))),0)</f>
        <v>0</v>
      </c>
      <c r="NT46" t="str" cm="1">
        <f t="array" ref="NT46">IF(AND(NS46&gt;$NT$1,NL46&lt;&gt;""),_xlfn.XLOOKUP(MAX(_xlfn.ANCHORARRAY(NN46)),_xlfn.ANCHORARRAY(NN46),NN$4:NR$4,""),"")</f>
        <v/>
      </c>
      <c r="NV46" cm="1">
        <f t="array" ref="NV46:OE46">SUMIFS($J46:$GG46,$J$2:$GG$2,NV$3:OE$3)</f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 cm="1">
        <f t="array" ref="OF46">IFERROR(MAX((_xlfn.ANCHORARRAY(NV46)-AVERAGE(_xlfn.ANCHORARRAY(NV46)))/ AVERAGE(_xlfn.ANCHORARRAY(NV46))),0)</f>
        <v>0</v>
      </c>
      <c r="OG46" t="str" cm="1">
        <f t="array" ref="OG46">IF(OF46&gt;$OG$1,_xlfn.XLOOKUP(MAX(_xlfn.ANCHORARRAY(NV46)),_xlfn.ANCHORARRAY(NV46),NV$4:OE$4,""),"")</f>
        <v/>
      </c>
      <c r="OI46" t="str">
        <f t="shared" si="8"/>
        <v/>
      </c>
    </row>
    <row r="47" spans="1:399" x14ac:dyDescent="0.3">
      <c r="A47" s="2"/>
      <c r="B47" s="2" t="str">
        <f t="shared" si="0"/>
        <v>CORE</v>
      </c>
      <c r="C47" s="2" t="str">
        <f t="shared" si="1"/>
        <v>CORE</v>
      </c>
      <c r="D47" s="2" t="str">
        <f t="shared" si="2"/>
        <v>CORE</v>
      </c>
      <c r="E47" s="2" t="str">
        <f t="shared" si="3"/>
        <v/>
      </c>
      <c r="F47" s="2">
        <f t="shared" si="4"/>
        <v>0</v>
      </c>
      <c r="G47" s="2">
        <f t="shared" si="5"/>
        <v>0</v>
      </c>
      <c r="H47" s="2">
        <f t="shared" si="6"/>
        <v>0</v>
      </c>
      <c r="I47" s="2">
        <f t="shared" si="7"/>
        <v>0</v>
      </c>
      <c r="NH47" cm="1">
        <f t="array" ref="NH47:NJ47">SUMIFS($J47:$GG47,$J$1:$GG$1,NH$3:NJ$3)</f>
        <v>0</v>
      </c>
      <c r="NI47">
        <v>0</v>
      </c>
      <c r="NJ47">
        <v>0</v>
      </c>
      <c r="NK47" cm="1">
        <f t="array" ref="NK47">IFERROR(MAX((_xlfn.ANCHORARRAY(NH47)-AVERAGE(_xlfn.ANCHORARRAY(NH47)))/ AVERAGE(_xlfn.ANCHORARRAY(NH47))),0)</f>
        <v>0</v>
      </c>
      <c r="NL47" t="str" cm="1">
        <f t="array" ref="NL47">IF(NK47&gt;$NL$1,_xlfn.XLOOKUP(MAX(_xlfn.ANCHORARRAY(NH47)),_xlfn.ANCHORARRAY(NH47),NH$4:NJ$4,""),"")</f>
        <v/>
      </c>
      <c r="NN47" cm="1">
        <f t="array" ref="NN47:NR47">SUMIFS($J47:$GG47,$J$3:$GG$3,NN$3:NR$3)</f>
        <v>0</v>
      </c>
      <c r="NO47">
        <v>0</v>
      </c>
      <c r="NP47">
        <v>0</v>
      </c>
      <c r="NQ47">
        <v>0</v>
      </c>
      <c r="NR47">
        <v>0</v>
      </c>
      <c r="NS47" cm="1">
        <f t="array" ref="NS47">IFERROR(MAX((_xlfn.ANCHORARRAY(NN47)-AVERAGE(_xlfn.ANCHORARRAY(NN47)))/ AVERAGE(_xlfn.ANCHORARRAY(NN47))),0)</f>
        <v>0</v>
      </c>
      <c r="NT47" t="str" cm="1">
        <f t="array" ref="NT47">IF(AND(NS47&gt;$NT$1,NL47&lt;&gt;""),_xlfn.XLOOKUP(MAX(_xlfn.ANCHORARRAY(NN47)),_xlfn.ANCHORARRAY(NN47),NN$4:NR$4,""),"")</f>
        <v/>
      </c>
      <c r="NV47" cm="1">
        <f t="array" ref="NV47:OE47">SUMIFS($J47:$GG47,$J$2:$GG$2,NV$3:OE$3)</f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 cm="1">
        <f t="array" ref="OF47">IFERROR(MAX((_xlfn.ANCHORARRAY(NV47)-AVERAGE(_xlfn.ANCHORARRAY(NV47)))/ AVERAGE(_xlfn.ANCHORARRAY(NV47))),0)</f>
        <v>0</v>
      </c>
      <c r="OG47" t="str" cm="1">
        <f t="array" ref="OG47">IF(OF47&gt;$OG$1,_xlfn.XLOOKUP(MAX(_xlfn.ANCHORARRAY(NV47)),_xlfn.ANCHORARRAY(NV47),NV$4:OE$4,""),"")</f>
        <v/>
      </c>
      <c r="OI47" t="str">
        <f t="shared" si="8"/>
        <v/>
      </c>
    </row>
    <row r="48" spans="1:399" x14ac:dyDescent="0.3">
      <c r="A48" s="2"/>
      <c r="B48" s="2" t="str">
        <f t="shared" si="0"/>
        <v>CORE</v>
      </c>
      <c r="C48" s="2" t="str">
        <f t="shared" si="1"/>
        <v>CORE</v>
      </c>
      <c r="D48" s="2" t="str">
        <f t="shared" si="2"/>
        <v>CORE</v>
      </c>
      <c r="E48" s="2" t="str">
        <f t="shared" si="3"/>
        <v/>
      </c>
      <c r="F48" s="2">
        <f t="shared" si="4"/>
        <v>0</v>
      </c>
      <c r="G48" s="2">
        <f t="shared" si="5"/>
        <v>0</v>
      </c>
      <c r="H48" s="2">
        <f t="shared" si="6"/>
        <v>0</v>
      </c>
      <c r="I48" s="2">
        <f t="shared" si="7"/>
        <v>0</v>
      </c>
      <c r="NH48" cm="1">
        <f t="array" ref="NH48:NJ48">SUMIFS($J48:$GG48,$J$1:$GG$1,NH$3:NJ$3)</f>
        <v>0</v>
      </c>
      <c r="NI48">
        <v>0</v>
      </c>
      <c r="NJ48">
        <v>0</v>
      </c>
      <c r="NK48" cm="1">
        <f t="array" ref="NK48">IFERROR(MAX((_xlfn.ANCHORARRAY(NH48)-AVERAGE(_xlfn.ANCHORARRAY(NH48)))/ AVERAGE(_xlfn.ANCHORARRAY(NH48))),0)</f>
        <v>0</v>
      </c>
      <c r="NL48" t="str" cm="1">
        <f t="array" ref="NL48">IF(NK48&gt;$NL$1,_xlfn.XLOOKUP(MAX(_xlfn.ANCHORARRAY(NH48)),_xlfn.ANCHORARRAY(NH48),NH$4:NJ$4,""),"")</f>
        <v/>
      </c>
      <c r="NN48" cm="1">
        <f t="array" ref="NN48:NR48">SUMIFS($J48:$GG48,$J$3:$GG$3,NN$3:NR$3)</f>
        <v>0</v>
      </c>
      <c r="NO48">
        <v>0</v>
      </c>
      <c r="NP48">
        <v>0</v>
      </c>
      <c r="NQ48">
        <v>0</v>
      </c>
      <c r="NR48">
        <v>0</v>
      </c>
      <c r="NS48" cm="1">
        <f t="array" ref="NS48">IFERROR(MAX((_xlfn.ANCHORARRAY(NN48)-AVERAGE(_xlfn.ANCHORARRAY(NN48)))/ AVERAGE(_xlfn.ANCHORARRAY(NN48))),0)</f>
        <v>0</v>
      </c>
      <c r="NT48" t="str" cm="1">
        <f t="array" ref="NT48">IF(AND(NS48&gt;$NT$1,NL48&lt;&gt;""),_xlfn.XLOOKUP(MAX(_xlfn.ANCHORARRAY(NN48)),_xlfn.ANCHORARRAY(NN48),NN$4:NR$4,""),"")</f>
        <v/>
      </c>
      <c r="NV48" cm="1">
        <f t="array" ref="NV48:OE48">SUMIFS($J48:$GG48,$J$2:$GG$2,NV$3:OE$3)</f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 cm="1">
        <f t="array" ref="OF48">IFERROR(MAX((_xlfn.ANCHORARRAY(NV48)-AVERAGE(_xlfn.ANCHORARRAY(NV48)))/ AVERAGE(_xlfn.ANCHORARRAY(NV48))),0)</f>
        <v>0</v>
      </c>
      <c r="OG48" t="str" cm="1">
        <f t="array" ref="OG48">IF(OF48&gt;$OG$1,_xlfn.XLOOKUP(MAX(_xlfn.ANCHORARRAY(NV48)),_xlfn.ANCHORARRAY(NV48),NV$4:OE$4,""),"")</f>
        <v/>
      </c>
      <c r="OI48" t="str">
        <f t="shared" si="8"/>
        <v/>
      </c>
    </row>
    <row r="49" spans="1:399" x14ac:dyDescent="0.3">
      <c r="A49" s="2"/>
      <c r="B49" s="2" t="str">
        <f t="shared" si="0"/>
        <v>CORE</v>
      </c>
      <c r="C49" s="2" t="str">
        <f t="shared" si="1"/>
        <v>CORE</v>
      </c>
      <c r="D49" s="2" t="str">
        <f t="shared" si="2"/>
        <v>CORE</v>
      </c>
      <c r="E49" s="2" t="str">
        <f t="shared" si="3"/>
        <v/>
      </c>
      <c r="F49" s="2">
        <f t="shared" si="4"/>
        <v>0</v>
      </c>
      <c r="G49" s="2">
        <f t="shared" si="5"/>
        <v>0</v>
      </c>
      <c r="H49" s="2">
        <f t="shared" si="6"/>
        <v>0</v>
      </c>
      <c r="I49" s="2">
        <f t="shared" si="7"/>
        <v>0</v>
      </c>
      <c r="NH49" cm="1">
        <f t="array" ref="NH49:NJ49">SUMIFS($J49:$GG49,$J$1:$GG$1,NH$3:NJ$3)</f>
        <v>0</v>
      </c>
      <c r="NI49">
        <v>0</v>
      </c>
      <c r="NJ49">
        <v>0</v>
      </c>
      <c r="NK49" cm="1">
        <f t="array" ref="NK49">IFERROR(MAX((_xlfn.ANCHORARRAY(NH49)-AVERAGE(_xlfn.ANCHORARRAY(NH49)))/ AVERAGE(_xlfn.ANCHORARRAY(NH49))),0)</f>
        <v>0</v>
      </c>
      <c r="NL49" t="str" cm="1">
        <f t="array" ref="NL49">IF(NK49&gt;$NL$1,_xlfn.XLOOKUP(MAX(_xlfn.ANCHORARRAY(NH49)),_xlfn.ANCHORARRAY(NH49),NH$4:NJ$4,""),"")</f>
        <v/>
      </c>
      <c r="NN49" cm="1">
        <f t="array" ref="NN49:NR49">SUMIFS($J49:$GG49,$J$3:$GG$3,NN$3:NR$3)</f>
        <v>0</v>
      </c>
      <c r="NO49">
        <v>0</v>
      </c>
      <c r="NP49">
        <v>0</v>
      </c>
      <c r="NQ49">
        <v>0</v>
      </c>
      <c r="NR49">
        <v>0</v>
      </c>
      <c r="NS49" cm="1">
        <f t="array" ref="NS49">IFERROR(MAX((_xlfn.ANCHORARRAY(NN49)-AVERAGE(_xlfn.ANCHORARRAY(NN49)))/ AVERAGE(_xlfn.ANCHORARRAY(NN49))),0)</f>
        <v>0</v>
      </c>
      <c r="NT49" t="str" cm="1">
        <f t="array" ref="NT49">IF(AND(NS49&gt;$NT$1,NL49&lt;&gt;""),_xlfn.XLOOKUP(MAX(_xlfn.ANCHORARRAY(NN49)),_xlfn.ANCHORARRAY(NN49),NN$4:NR$4,""),"")</f>
        <v/>
      </c>
      <c r="NV49" cm="1">
        <f t="array" ref="NV49:OE49">SUMIFS($J49:$GG49,$J$2:$GG$2,NV$3:OE$3)</f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 cm="1">
        <f t="array" ref="OF49">IFERROR(MAX((_xlfn.ANCHORARRAY(NV49)-AVERAGE(_xlfn.ANCHORARRAY(NV49)))/ AVERAGE(_xlfn.ANCHORARRAY(NV49))),0)</f>
        <v>0</v>
      </c>
      <c r="OG49" t="str" cm="1">
        <f t="array" ref="OG49">IF(OF49&gt;$OG$1,_xlfn.XLOOKUP(MAX(_xlfn.ANCHORARRAY(NV49)),_xlfn.ANCHORARRAY(NV49),NV$4:OE$4,""),"")</f>
        <v/>
      </c>
      <c r="OI49" t="str">
        <f t="shared" si="8"/>
        <v/>
      </c>
    </row>
    <row r="50" spans="1:399" x14ac:dyDescent="0.3">
      <c r="A50" s="2"/>
      <c r="B50" s="2" t="str">
        <f t="shared" si="0"/>
        <v>CORE</v>
      </c>
      <c r="C50" s="2" t="str">
        <f t="shared" si="1"/>
        <v>CORE</v>
      </c>
      <c r="D50" s="2" t="str">
        <f t="shared" si="2"/>
        <v>CORE</v>
      </c>
      <c r="E50" s="2" t="str">
        <f t="shared" si="3"/>
        <v/>
      </c>
      <c r="F50" s="2">
        <f t="shared" si="4"/>
        <v>0</v>
      </c>
      <c r="G50" s="2">
        <f t="shared" si="5"/>
        <v>0</v>
      </c>
      <c r="H50" s="2">
        <f t="shared" si="6"/>
        <v>0</v>
      </c>
      <c r="I50" s="2">
        <f t="shared" si="7"/>
        <v>0</v>
      </c>
      <c r="NH50" cm="1">
        <f t="array" ref="NH50:NJ50">SUMIFS($J50:$GG50,$J$1:$GG$1,NH$3:NJ$3)</f>
        <v>0</v>
      </c>
      <c r="NI50">
        <v>0</v>
      </c>
      <c r="NJ50">
        <v>0</v>
      </c>
      <c r="NK50" cm="1">
        <f t="array" ref="NK50">IFERROR(MAX((_xlfn.ANCHORARRAY(NH50)-AVERAGE(_xlfn.ANCHORARRAY(NH50)))/ AVERAGE(_xlfn.ANCHORARRAY(NH50))),0)</f>
        <v>0</v>
      </c>
      <c r="NL50" t="str" cm="1">
        <f t="array" ref="NL50">IF(NK50&gt;$NL$1,_xlfn.XLOOKUP(MAX(_xlfn.ANCHORARRAY(NH50)),_xlfn.ANCHORARRAY(NH50),NH$4:NJ$4,""),"")</f>
        <v/>
      </c>
      <c r="NN50" cm="1">
        <f t="array" ref="NN50:NR50">SUMIFS($J50:$GG50,$J$3:$GG$3,NN$3:NR$3)</f>
        <v>0</v>
      </c>
      <c r="NO50">
        <v>0</v>
      </c>
      <c r="NP50">
        <v>0</v>
      </c>
      <c r="NQ50">
        <v>0</v>
      </c>
      <c r="NR50">
        <v>0</v>
      </c>
      <c r="NS50" cm="1">
        <f t="array" ref="NS50">IFERROR(MAX((_xlfn.ANCHORARRAY(NN50)-AVERAGE(_xlfn.ANCHORARRAY(NN50)))/ AVERAGE(_xlfn.ANCHORARRAY(NN50))),0)</f>
        <v>0</v>
      </c>
      <c r="NT50" t="str" cm="1">
        <f t="array" ref="NT50">IF(AND(NS50&gt;$NT$1,NL50&lt;&gt;""),_xlfn.XLOOKUP(MAX(_xlfn.ANCHORARRAY(NN50)),_xlfn.ANCHORARRAY(NN50),NN$4:NR$4,""),"")</f>
        <v/>
      </c>
      <c r="NV50" cm="1">
        <f t="array" ref="NV50:OE50">SUMIFS($J50:$GG50,$J$2:$GG$2,NV$3:OE$3)</f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 cm="1">
        <f t="array" ref="OF50">IFERROR(MAX((_xlfn.ANCHORARRAY(NV50)-AVERAGE(_xlfn.ANCHORARRAY(NV50)))/ AVERAGE(_xlfn.ANCHORARRAY(NV50))),0)</f>
        <v>0</v>
      </c>
      <c r="OG50" t="str" cm="1">
        <f t="array" ref="OG50">IF(OF50&gt;$OG$1,_xlfn.XLOOKUP(MAX(_xlfn.ANCHORARRAY(NV50)),_xlfn.ANCHORARRAY(NV50),NV$4:OE$4,""),"")</f>
        <v/>
      </c>
      <c r="OI50" t="str">
        <f t="shared" si="8"/>
        <v/>
      </c>
    </row>
    <row r="51" spans="1:399" x14ac:dyDescent="0.3">
      <c r="A51" s="2"/>
      <c r="B51" s="2" t="str">
        <f t="shared" si="0"/>
        <v>CORE</v>
      </c>
      <c r="C51" s="2" t="str">
        <f t="shared" si="1"/>
        <v>CORE</v>
      </c>
      <c r="D51" s="2" t="str">
        <f t="shared" si="2"/>
        <v>CORE</v>
      </c>
      <c r="E51" s="2" t="str">
        <f t="shared" si="3"/>
        <v/>
      </c>
      <c r="F51" s="2">
        <f t="shared" si="4"/>
        <v>0</v>
      </c>
      <c r="G51" s="2">
        <f t="shared" si="5"/>
        <v>0</v>
      </c>
      <c r="H51" s="2">
        <f t="shared" si="6"/>
        <v>0</v>
      </c>
      <c r="I51" s="2">
        <f t="shared" si="7"/>
        <v>0</v>
      </c>
      <c r="NH51" cm="1">
        <f t="array" ref="NH51:NJ51">SUMIFS($J51:$GG51,$J$1:$GG$1,NH$3:NJ$3)</f>
        <v>0</v>
      </c>
      <c r="NI51">
        <v>0</v>
      </c>
      <c r="NJ51">
        <v>0</v>
      </c>
      <c r="NK51" cm="1">
        <f t="array" ref="NK51">IFERROR(MAX((_xlfn.ANCHORARRAY(NH51)-AVERAGE(_xlfn.ANCHORARRAY(NH51)))/ AVERAGE(_xlfn.ANCHORARRAY(NH51))),0)</f>
        <v>0</v>
      </c>
      <c r="NL51" t="str" cm="1">
        <f t="array" ref="NL51">IF(NK51&gt;$NL$1,_xlfn.XLOOKUP(MAX(_xlfn.ANCHORARRAY(NH51)),_xlfn.ANCHORARRAY(NH51),NH$4:NJ$4,""),"")</f>
        <v/>
      </c>
      <c r="NN51" cm="1">
        <f t="array" ref="NN51:NR51">SUMIFS($J51:$GG51,$J$3:$GG$3,NN$3:NR$3)</f>
        <v>0</v>
      </c>
      <c r="NO51">
        <v>0</v>
      </c>
      <c r="NP51">
        <v>0</v>
      </c>
      <c r="NQ51">
        <v>0</v>
      </c>
      <c r="NR51">
        <v>0</v>
      </c>
      <c r="NS51" cm="1">
        <f t="array" ref="NS51">IFERROR(MAX((_xlfn.ANCHORARRAY(NN51)-AVERAGE(_xlfn.ANCHORARRAY(NN51)))/ AVERAGE(_xlfn.ANCHORARRAY(NN51))),0)</f>
        <v>0</v>
      </c>
      <c r="NT51" t="str" cm="1">
        <f t="array" ref="NT51">IF(AND(NS51&gt;$NT$1,NL51&lt;&gt;""),_xlfn.XLOOKUP(MAX(_xlfn.ANCHORARRAY(NN51)),_xlfn.ANCHORARRAY(NN51),NN$4:NR$4,""),"")</f>
        <v/>
      </c>
      <c r="NV51" cm="1">
        <f t="array" ref="NV51:OE51">SUMIFS($J51:$GG51,$J$2:$GG$2,NV$3:OE$3)</f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 cm="1">
        <f t="array" ref="OF51">IFERROR(MAX((_xlfn.ANCHORARRAY(NV51)-AVERAGE(_xlfn.ANCHORARRAY(NV51)))/ AVERAGE(_xlfn.ANCHORARRAY(NV51))),0)</f>
        <v>0</v>
      </c>
      <c r="OG51" t="str" cm="1">
        <f t="array" ref="OG51">IF(OF51&gt;$OG$1,_xlfn.XLOOKUP(MAX(_xlfn.ANCHORARRAY(NV51)),_xlfn.ANCHORARRAY(NV51),NV$4:OE$4,""),"")</f>
        <v/>
      </c>
      <c r="OI51" t="str">
        <f t="shared" si="8"/>
        <v/>
      </c>
    </row>
    <row r="52" spans="1:399" x14ac:dyDescent="0.3">
      <c r="A52" s="2"/>
      <c r="B52" s="2" t="str">
        <f t="shared" si="0"/>
        <v>CORE</v>
      </c>
      <c r="C52" s="2" t="str">
        <f t="shared" si="1"/>
        <v>CORE</v>
      </c>
      <c r="D52" s="2" t="str">
        <f t="shared" si="2"/>
        <v>CORE</v>
      </c>
      <c r="E52" s="2" t="str">
        <f t="shared" si="3"/>
        <v/>
      </c>
      <c r="F52" s="2">
        <f t="shared" si="4"/>
        <v>0</v>
      </c>
      <c r="G52" s="2">
        <f t="shared" si="5"/>
        <v>0</v>
      </c>
      <c r="H52" s="2">
        <f t="shared" si="6"/>
        <v>0</v>
      </c>
      <c r="I52" s="2">
        <f t="shared" si="7"/>
        <v>0</v>
      </c>
      <c r="NH52" cm="1">
        <f t="array" ref="NH52:NJ52">SUMIFS($J52:$GG52,$J$1:$GG$1,NH$3:NJ$3)</f>
        <v>0</v>
      </c>
      <c r="NI52">
        <v>0</v>
      </c>
      <c r="NJ52">
        <v>0</v>
      </c>
      <c r="NK52" cm="1">
        <f t="array" ref="NK52">IFERROR(MAX((_xlfn.ANCHORARRAY(NH52)-AVERAGE(_xlfn.ANCHORARRAY(NH52)))/ AVERAGE(_xlfn.ANCHORARRAY(NH52))),0)</f>
        <v>0</v>
      </c>
      <c r="NL52" t="str" cm="1">
        <f t="array" ref="NL52">IF(NK52&gt;$NL$1,_xlfn.XLOOKUP(MAX(_xlfn.ANCHORARRAY(NH52)),_xlfn.ANCHORARRAY(NH52),NH$4:NJ$4,""),"")</f>
        <v/>
      </c>
      <c r="NN52" cm="1">
        <f t="array" ref="NN52:NR52">SUMIFS($J52:$GG52,$J$3:$GG$3,NN$3:NR$3)</f>
        <v>0</v>
      </c>
      <c r="NO52">
        <v>0</v>
      </c>
      <c r="NP52">
        <v>0</v>
      </c>
      <c r="NQ52">
        <v>0</v>
      </c>
      <c r="NR52">
        <v>0</v>
      </c>
      <c r="NS52" cm="1">
        <f t="array" ref="NS52">IFERROR(MAX((_xlfn.ANCHORARRAY(NN52)-AVERAGE(_xlfn.ANCHORARRAY(NN52)))/ AVERAGE(_xlfn.ANCHORARRAY(NN52))),0)</f>
        <v>0</v>
      </c>
      <c r="NT52" t="str" cm="1">
        <f t="array" ref="NT52">IF(AND(NS52&gt;$NT$1,NL52&lt;&gt;""),_xlfn.XLOOKUP(MAX(_xlfn.ANCHORARRAY(NN52)),_xlfn.ANCHORARRAY(NN52),NN$4:NR$4,""),"")</f>
        <v/>
      </c>
      <c r="NV52" cm="1">
        <f t="array" ref="NV52:OE52">SUMIFS($J52:$GG52,$J$2:$GG$2,NV$3:OE$3)</f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 cm="1">
        <f t="array" ref="OF52">IFERROR(MAX((_xlfn.ANCHORARRAY(NV52)-AVERAGE(_xlfn.ANCHORARRAY(NV52)))/ AVERAGE(_xlfn.ANCHORARRAY(NV52))),0)</f>
        <v>0</v>
      </c>
      <c r="OG52" t="str" cm="1">
        <f t="array" ref="OG52">IF(OF52&gt;$OG$1,_xlfn.XLOOKUP(MAX(_xlfn.ANCHORARRAY(NV52)),_xlfn.ANCHORARRAY(NV52),NV$4:OE$4,""),"")</f>
        <v/>
      </c>
      <c r="OI52" t="str">
        <f t="shared" si="8"/>
        <v/>
      </c>
    </row>
    <row r="53" spans="1:399" x14ac:dyDescent="0.3">
      <c r="A53" s="2"/>
      <c r="B53" s="2" t="str">
        <f t="shared" si="0"/>
        <v>CORE</v>
      </c>
      <c r="C53" s="2" t="str">
        <f t="shared" si="1"/>
        <v>CORE</v>
      </c>
      <c r="D53" s="2" t="str">
        <f t="shared" si="2"/>
        <v>CORE</v>
      </c>
      <c r="E53" s="2" t="str">
        <f t="shared" si="3"/>
        <v/>
      </c>
      <c r="F53" s="2">
        <f t="shared" si="4"/>
        <v>0</v>
      </c>
      <c r="G53" s="2">
        <f t="shared" si="5"/>
        <v>0</v>
      </c>
      <c r="H53" s="2">
        <f t="shared" si="6"/>
        <v>0</v>
      </c>
      <c r="I53" s="2">
        <f t="shared" si="7"/>
        <v>0</v>
      </c>
      <c r="NH53" cm="1">
        <f t="array" ref="NH53:NJ53">SUMIFS($J53:$GG53,$J$1:$GG$1,NH$3:NJ$3)</f>
        <v>0</v>
      </c>
      <c r="NI53">
        <v>0</v>
      </c>
      <c r="NJ53">
        <v>0</v>
      </c>
      <c r="NK53" cm="1">
        <f t="array" ref="NK53">IFERROR(MAX((_xlfn.ANCHORARRAY(NH53)-AVERAGE(_xlfn.ANCHORARRAY(NH53)))/ AVERAGE(_xlfn.ANCHORARRAY(NH53))),0)</f>
        <v>0</v>
      </c>
      <c r="NL53" t="str" cm="1">
        <f t="array" ref="NL53">IF(NK53&gt;$NL$1,_xlfn.XLOOKUP(MAX(_xlfn.ANCHORARRAY(NH53)),_xlfn.ANCHORARRAY(NH53),NH$4:NJ$4,""),"")</f>
        <v/>
      </c>
      <c r="NN53" cm="1">
        <f t="array" ref="NN53:NR53">SUMIFS($J53:$GG53,$J$3:$GG$3,NN$3:NR$3)</f>
        <v>0</v>
      </c>
      <c r="NO53">
        <v>0</v>
      </c>
      <c r="NP53">
        <v>0</v>
      </c>
      <c r="NQ53">
        <v>0</v>
      </c>
      <c r="NR53">
        <v>0</v>
      </c>
      <c r="NS53" cm="1">
        <f t="array" ref="NS53">IFERROR(MAX((_xlfn.ANCHORARRAY(NN53)-AVERAGE(_xlfn.ANCHORARRAY(NN53)))/ AVERAGE(_xlfn.ANCHORARRAY(NN53))),0)</f>
        <v>0</v>
      </c>
      <c r="NT53" t="str" cm="1">
        <f t="array" ref="NT53">IF(AND(NS53&gt;$NT$1,NL53&lt;&gt;""),_xlfn.XLOOKUP(MAX(_xlfn.ANCHORARRAY(NN53)),_xlfn.ANCHORARRAY(NN53),NN$4:NR$4,""),"")</f>
        <v/>
      </c>
      <c r="NV53" cm="1">
        <f t="array" ref="NV53:OE53">SUMIFS($J53:$GG53,$J$2:$GG$2,NV$3:OE$3)</f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 cm="1">
        <f t="array" ref="OF53">IFERROR(MAX((_xlfn.ANCHORARRAY(NV53)-AVERAGE(_xlfn.ANCHORARRAY(NV53)))/ AVERAGE(_xlfn.ANCHORARRAY(NV53))),0)</f>
        <v>0</v>
      </c>
      <c r="OG53" t="str" cm="1">
        <f t="array" ref="OG53">IF(OF53&gt;$OG$1,_xlfn.XLOOKUP(MAX(_xlfn.ANCHORARRAY(NV53)),_xlfn.ANCHORARRAY(NV53),NV$4:OE$4,""),"")</f>
        <v/>
      </c>
      <c r="OI53" t="str">
        <f t="shared" si="8"/>
        <v/>
      </c>
    </row>
    <row r="54" spans="1:399" x14ac:dyDescent="0.3">
      <c r="A54" s="2"/>
      <c r="B54" s="2" t="str">
        <f t="shared" si="0"/>
        <v>CORE</v>
      </c>
      <c r="C54" s="2" t="str">
        <f t="shared" si="1"/>
        <v>CORE</v>
      </c>
      <c r="D54" s="2" t="str">
        <f t="shared" si="2"/>
        <v>CORE</v>
      </c>
      <c r="E54" s="2" t="str">
        <f t="shared" si="3"/>
        <v/>
      </c>
      <c r="F54" s="2">
        <f t="shared" si="4"/>
        <v>0</v>
      </c>
      <c r="G54" s="2">
        <f t="shared" si="5"/>
        <v>0</v>
      </c>
      <c r="H54" s="2">
        <f t="shared" si="6"/>
        <v>0</v>
      </c>
      <c r="I54" s="2">
        <f t="shared" si="7"/>
        <v>0</v>
      </c>
      <c r="NH54" cm="1">
        <f t="array" ref="NH54:NJ54">SUMIFS($J54:$GG54,$J$1:$GG$1,NH$3:NJ$3)</f>
        <v>0</v>
      </c>
      <c r="NI54">
        <v>0</v>
      </c>
      <c r="NJ54">
        <v>0</v>
      </c>
      <c r="NK54" cm="1">
        <f t="array" ref="NK54">IFERROR(MAX((_xlfn.ANCHORARRAY(NH54)-AVERAGE(_xlfn.ANCHORARRAY(NH54)))/ AVERAGE(_xlfn.ANCHORARRAY(NH54))),0)</f>
        <v>0</v>
      </c>
      <c r="NL54" t="str" cm="1">
        <f t="array" ref="NL54">IF(NK54&gt;$NL$1,_xlfn.XLOOKUP(MAX(_xlfn.ANCHORARRAY(NH54)),_xlfn.ANCHORARRAY(NH54),NH$4:NJ$4,""),"")</f>
        <v/>
      </c>
      <c r="NN54" cm="1">
        <f t="array" ref="NN54:NR54">SUMIFS($J54:$GG54,$J$3:$GG$3,NN$3:NR$3)</f>
        <v>0</v>
      </c>
      <c r="NO54">
        <v>0</v>
      </c>
      <c r="NP54">
        <v>0</v>
      </c>
      <c r="NQ54">
        <v>0</v>
      </c>
      <c r="NR54">
        <v>0</v>
      </c>
      <c r="NS54" cm="1">
        <f t="array" ref="NS54">IFERROR(MAX((_xlfn.ANCHORARRAY(NN54)-AVERAGE(_xlfn.ANCHORARRAY(NN54)))/ AVERAGE(_xlfn.ANCHORARRAY(NN54))),0)</f>
        <v>0</v>
      </c>
      <c r="NT54" t="str" cm="1">
        <f t="array" ref="NT54">IF(AND(NS54&gt;$NT$1,NL54&lt;&gt;""),_xlfn.XLOOKUP(MAX(_xlfn.ANCHORARRAY(NN54)),_xlfn.ANCHORARRAY(NN54),NN$4:NR$4,""),"")</f>
        <v/>
      </c>
      <c r="NV54" cm="1">
        <f t="array" ref="NV54:OE54">SUMIFS($J54:$GG54,$J$2:$GG$2,NV$3:OE$3)</f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 cm="1">
        <f t="array" ref="OF54">IFERROR(MAX((_xlfn.ANCHORARRAY(NV54)-AVERAGE(_xlfn.ANCHORARRAY(NV54)))/ AVERAGE(_xlfn.ANCHORARRAY(NV54))),0)</f>
        <v>0</v>
      </c>
      <c r="OG54" t="str" cm="1">
        <f t="array" ref="OG54">IF(OF54&gt;$OG$1,_xlfn.XLOOKUP(MAX(_xlfn.ANCHORARRAY(NV54)),_xlfn.ANCHORARRAY(NV54),NV$4:OE$4,""),"")</f>
        <v/>
      </c>
      <c r="OI54" t="str">
        <f t="shared" si="8"/>
        <v/>
      </c>
    </row>
    <row r="55" spans="1:399" x14ac:dyDescent="0.3">
      <c r="A55" s="2"/>
      <c r="B55" s="2" t="str">
        <f t="shared" si="0"/>
        <v>CORE</v>
      </c>
      <c r="C55" s="2" t="str">
        <f t="shared" si="1"/>
        <v>CORE</v>
      </c>
      <c r="D55" s="2" t="str">
        <f t="shared" si="2"/>
        <v>CORE</v>
      </c>
      <c r="E55" s="2" t="str">
        <f t="shared" si="3"/>
        <v/>
      </c>
      <c r="F55" s="2">
        <f t="shared" si="4"/>
        <v>0</v>
      </c>
      <c r="G55" s="2">
        <f t="shared" si="5"/>
        <v>0</v>
      </c>
      <c r="H55" s="2">
        <f t="shared" si="6"/>
        <v>0</v>
      </c>
      <c r="I55" s="2">
        <f t="shared" si="7"/>
        <v>0</v>
      </c>
      <c r="NH55" cm="1">
        <f t="array" ref="NH55:NJ55">SUMIFS($J55:$GG55,$J$1:$GG$1,NH$3:NJ$3)</f>
        <v>0</v>
      </c>
      <c r="NI55">
        <v>0</v>
      </c>
      <c r="NJ55">
        <v>0</v>
      </c>
      <c r="NK55" cm="1">
        <f t="array" ref="NK55">IFERROR(MAX((_xlfn.ANCHORARRAY(NH55)-AVERAGE(_xlfn.ANCHORARRAY(NH55)))/ AVERAGE(_xlfn.ANCHORARRAY(NH55))),0)</f>
        <v>0</v>
      </c>
      <c r="NL55" t="str" cm="1">
        <f t="array" ref="NL55">IF(NK55&gt;$NL$1,_xlfn.XLOOKUP(MAX(_xlfn.ANCHORARRAY(NH55)),_xlfn.ANCHORARRAY(NH55),NH$4:NJ$4,""),"")</f>
        <v/>
      </c>
      <c r="NN55" cm="1">
        <f t="array" ref="NN55:NR55">SUMIFS($J55:$GG55,$J$3:$GG$3,NN$3:NR$3)</f>
        <v>0</v>
      </c>
      <c r="NO55">
        <v>0</v>
      </c>
      <c r="NP55">
        <v>0</v>
      </c>
      <c r="NQ55">
        <v>0</v>
      </c>
      <c r="NR55">
        <v>0</v>
      </c>
      <c r="NS55" cm="1">
        <f t="array" ref="NS55">IFERROR(MAX((_xlfn.ANCHORARRAY(NN55)-AVERAGE(_xlfn.ANCHORARRAY(NN55)))/ AVERAGE(_xlfn.ANCHORARRAY(NN55))),0)</f>
        <v>0</v>
      </c>
      <c r="NT55" t="str" cm="1">
        <f t="array" ref="NT55">IF(AND(NS55&gt;$NT$1,NL55&lt;&gt;""),_xlfn.XLOOKUP(MAX(_xlfn.ANCHORARRAY(NN55)),_xlfn.ANCHORARRAY(NN55),NN$4:NR$4,""),"")</f>
        <v/>
      </c>
      <c r="NV55" cm="1">
        <f t="array" ref="NV55:OE55">SUMIFS($J55:$GG55,$J$2:$GG$2,NV$3:OE$3)</f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 cm="1">
        <f t="array" ref="OF55">IFERROR(MAX((_xlfn.ANCHORARRAY(NV55)-AVERAGE(_xlfn.ANCHORARRAY(NV55)))/ AVERAGE(_xlfn.ANCHORARRAY(NV55))),0)</f>
        <v>0</v>
      </c>
      <c r="OG55" t="str" cm="1">
        <f t="array" ref="OG55">IF(OF55&gt;$OG$1,_xlfn.XLOOKUP(MAX(_xlfn.ANCHORARRAY(NV55)),_xlfn.ANCHORARRAY(NV55),NV$4:OE$4,""),"")</f>
        <v/>
      </c>
      <c r="OI55" t="str">
        <f t="shared" si="8"/>
        <v/>
      </c>
    </row>
    <row r="56" spans="1:399" x14ac:dyDescent="0.3">
      <c r="A56" s="2"/>
      <c r="B56" s="2" t="str">
        <f t="shared" si="0"/>
        <v>CORE</v>
      </c>
      <c r="C56" s="2" t="str">
        <f t="shared" si="1"/>
        <v>CORE</v>
      </c>
      <c r="D56" s="2" t="str">
        <f t="shared" si="2"/>
        <v>CORE</v>
      </c>
      <c r="E56" s="2" t="str">
        <f t="shared" si="3"/>
        <v/>
      </c>
      <c r="F56" s="2">
        <f t="shared" si="4"/>
        <v>0</v>
      </c>
      <c r="G56" s="2">
        <f t="shared" si="5"/>
        <v>0</v>
      </c>
      <c r="H56" s="2">
        <f t="shared" si="6"/>
        <v>0</v>
      </c>
      <c r="I56" s="2">
        <f t="shared" si="7"/>
        <v>0</v>
      </c>
      <c r="NH56" cm="1">
        <f t="array" ref="NH56:NJ56">SUMIFS($J56:$GG56,$J$1:$GG$1,NH$3:NJ$3)</f>
        <v>0</v>
      </c>
      <c r="NI56">
        <v>0</v>
      </c>
      <c r="NJ56">
        <v>0</v>
      </c>
      <c r="NK56" cm="1">
        <f t="array" ref="NK56">IFERROR(MAX((_xlfn.ANCHORARRAY(NH56)-AVERAGE(_xlfn.ANCHORARRAY(NH56)))/ AVERAGE(_xlfn.ANCHORARRAY(NH56))),0)</f>
        <v>0</v>
      </c>
      <c r="NL56" t="str" cm="1">
        <f t="array" ref="NL56">IF(NK56&gt;$NL$1,_xlfn.XLOOKUP(MAX(_xlfn.ANCHORARRAY(NH56)),_xlfn.ANCHORARRAY(NH56),NH$4:NJ$4,""),"")</f>
        <v/>
      </c>
      <c r="NN56" cm="1">
        <f t="array" ref="NN56:NR56">SUMIFS($J56:$GG56,$J$3:$GG$3,NN$3:NR$3)</f>
        <v>0</v>
      </c>
      <c r="NO56">
        <v>0</v>
      </c>
      <c r="NP56">
        <v>0</v>
      </c>
      <c r="NQ56">
        <v>0</v>
      </c>
      <c r="NR56">
        <v>0</v>
      </c>
      <c r="NS56" cm="1">
        <f t="array" ref="NS56">IFERROR(MAX((_xlfn.ANCHORARRAY(NN56)-AVERAGE(_xlfn.ANCHORARRAY(NN56)))/ AVERAGE(_xlfn.ANCHORARRAY(NN56))),0)</f>
        <v>0</v>
      </c>
      <c r="NT56" t="str" cm="1">
        <f t="array" ref="NT56">IF(AND(NS56&gt;$NT$1,NL56&lt;&gt;""),_xlfn.XLOOKUP(MAX(_xlfn.ANCHORARRAY(NN56)),_xlfn.ANCHORARRAY(NN56),NN$4:NR$4,""),"")</f>
        <v/>
      </c>
      <c r="NV56" cm="1">
        <f t="array" ref="NV56:OE56">SUMIFS($J56:$GG56,$J$2:$GG$2,NV$3:OE$3)</f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 cm="1">
        <f t="array" ref="OF56">IFERROR(MAX((_xlfn.ANCHORARRAY(NV56)-AVERAGE(_xlfn.ANCHORARRAY(NV56)))/ AVERAGE(_xlfn.ANCHORARRAY(NV56))),0)</f>
        <v>0</v>
      </c>
      <c r="OG56" t="str" cm="1">
        <f t="array" ref="OG56">IF(OF56&gt;$OG$1,_xlfn.XLOOKUP(MAX(_xlfn.ANCHORARRAY(NV56)),_xlfn.ANCHORARRAY(NV56),NV$4:OE$4,""),"")</f>
        <v/>
      </c>
      <c r="OI56" t="str">
        <f t="shared" si="8"/>
        <v/>
      </c>
    </row>
    <row r="57" spans="1:399" x14ac:dyDescent="0.3">
      <c r="A57" s="2"/>
      <c r="B57" s="2" t="str">
        <f t="shared" si="0"/>
        <v>CORE</v>
      </c>
      <c r="C57" s="2" t="str">
        <f t="shared" si="1"/>
        <v>CORE</v>
      </c>
      <c r="D57" s="2" t="str">
        <f t="shared" si="2"/>
        <v>CORE</v>
      </c>
      <c r="E57" s="2" t="str">
        <f t="shared" si="3"/>
        <v/>
      </c>
      <c r="F57" s="2">
        <f t="shared" si="4"/>
        <v>0</v>
      </c>
      <c r="G57" s="2">
        <f t="shared" si="5"/>
        <v>0</v>
      </c>
      <c r="H57" s="2">
        <f t="shared" si="6"/>
        <v>0</v>
      </c>
      <c r="I57" s="2">
        <f t="shared" si="7"/>
        <v>0</v>
      </c>
      <c r="NH57" cm="1">
        <f t="array" ref="NH57:NJ57">SUMIFS($J57:$GG57,$J$1:$GG$1,NH$3:NJ$3)</f>
        <v>0</v>
      </c>
      <c r="NI57">
        <v>0</v>
      </c>
      <c r="NJ57">
        <v>0</v>
      </c>
      <c r="NK57" cm="1">
        <f t="array" ref="NK57">IFERROR(MAX((_xlfn.ANCHORARRAY(NH57)-AVERAGE(_xlfn.ANCHORARRAY(NH57)))/ AVERAGE(_xlfn.ANCHORARRAY(NH57))),0)</f>
        <v>0</v>
      </c>
      <c r="NL57" t="str" cm="1">
        <f t="array" ref="NL57">IF(NK57&gt;$NL$1,_xlfn.XLOOKUP(MAX(_xlfn.ANCHORARRAY(NH57)),_xlfn.ANCHORARRAY(NH57),NH$4:NJ$4,""),"")</f>
        <v/>
      </c>
      <c r="NN57" cm="1">
        <f t="array" ref="NN57:NR57">SUMIFS($J57:$GG57,$J$3:$GG$3,NN$3:NR$3)</f>
        <v>0</v>
      </c>
      <c r="NO57">
        <v>0</v>
      </c>
      <c r="NP57">
        <v>0</v>
      </c>
      <c r="NQ57">
        <v>0</v>
      </c>
      <c r="NR57">
        <v>0</v>
      </c>
      <c r="NS57" cm="1">
        <f t="array" ref="NS57">IFERROR(MAX((_xlfn.ANCHORARRAY(NN57)-AVERAGE(_xlfn.ANCHORARRAY(NN57)))/ AVERAGE(_xlfn.ANCHORARRAY(NN57))),0)</f>
        <v>0</v>
      </c>
      <c r="NT57" t="str" cm="1">
        <f t="array" ref="NT57">IF(AND(NS57&gt;$NT$1,NL57&lt;&gt;""),_xlfn.XLOOKUP(MAX(_xlfn.ANCHORARRAY(NN57)),_xlfn.ANCHORARRAY(NN57),NN$4:NR$4,""),"")</f>
        <v/>
      </c>
      <c r="NV57" cm="1">
        <f t="array" ref="NV57:OE57">SUMIFS($J57:$GG57,$J$2:$GG$2,NV$3:OE$3)</f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 cm="1">
        <f t="array" ref="OF57">IFERROR(MAX((_xlfn.ANCHORARRAY(NV57)-AVERAGE(_xlfn.ANCHORARRAY(NV57)))/ AVERAGE(_xlfn.ANCHORARRAY(NV57))),0)</f>
        <v>0</v>
      </c>
      <c r="OG57" t="str" cm="1">
        <f t="array" ref="OG57">IF(OF57&gt;$OG$1,_xlfn.XLOOKUP(MAX(_xlfn.ANCHORARRAY(NV57)),_xlfn.ANCHORARRAY(NV57),NV$4:OE$4,""),"")</f>
        <v/>
      </c>
      <c r="OI57" t="str">
        <f t="shared" si="8"/>
        <v/>
      </c>
    </row>
    <row r="58" spans="1:399" x14ac:dyDescent="0.3">
      <c r="A58" s="2"/>
      <c r="B58" s="2" t="str">
        <f t="shared" si="0"/>
        <v>CORE</v>
      </c>
      <c r="C58" s="2" t="str">
        <f t="shared" si="1"/>
        <v>CORE</v>
      </c>
      <c r="D58" s="2" t="str">
        <f t="shared" si="2"/>
        <v>CORE</v>
      </c>
      <c r="E58" s="2" t="str">
        <f t="shared" si="3"/>
        <v/>
      </c>
      <c r="F58" s="2">
        <f t="shared" si="4"/>
        <v>0</v>
      </c>
      <c r="G58" s="2">
        <f t="shared" si="5"/>
        <v>0</v>
      </c>
      <c r="H58" s="2">
        <f t="shared" si="6"/>
        <v>0</v>
      </c>
      <c r="I58" s="2">
        <f t="shared" si="7"/>
        <v>0</v>
      </c>
      <c r="NH58" cm="1">
        <f t="array" ref="NH58:NJ58">SUMIFS($J58:$GG58,$J$1:$GG$1,NH$3:NJ$3)</f>
        <v>0</v>
      </c>
      <c r="NI58">
        <v>0</v>
      </c>
      <c r="NJ58">
        <v>0</v>
      </c>
      <c r="NK58" cm="1">
        <f t="array" ref="NK58">IFERROR(MAX((_xlfn.ANCHORARRAY(NH58)-AVERAGE(_xlfn.ANCHORARRAY(NH58)))/ AVERAGE(_xlfn.ANCHORARRAY(NH58))),0)</f>
        <v>0</v>
      </c>
      <c r="NL58" t="str" cm="1">
        <f t="array" ref="NL58">IF(NK58&gt;$NL$1,_xlfn.XLOOKUP(MAX(_xlfn.ANCHORARRAY(NH58)),_xlfn.ANCHORARRAY(NH58),NH$4:NJ$4,""),"")</f>
        <v/>
      </c>
      <c r="NN58" cm="1">
        <f t="array" ref="NN58:NR58">SUMIFS($J58:$GG58,$J$3:$GG$3,NN$3:NR$3)</f>
        <v>0</v>
      </c>
      <c r="NO58">
        <v>0</v>
      </c>
      <c r="NP58">
        <v>0</v>
      </c>
      <c r="NQ58">
        <v>0</v>
      </c>
      <c r="NR58">
        <v>0</v>
      </c>
      <c r="NS58" cm="1">
        <f t="array" ref="NS58">IFERROR(MAX((_xlfn.ANCHORARRAY(NN58)-AVERAGE(_xlfn.ANCHORARRAY(NN58)))/ AVERAGE(_xlfn.ANCHORARRAY(NN58))),0)</f>
        <v>0</v>
      </c>
      <c r="NT58" t="str" cm="1">
        <f t="array" ref="NT58">IF(AND(NS58&gt;$NT$1,NL58&lt;&gt;""),_xlfn.XLOOKUP(MAX(_xlfn.ANCHORARRAY(NN58)),_xlfn.ANCHORARRAY(NN58),NN$4:NR$4,""),"")</f>
        <v/>
      </c>
      <c r="NV58" cm="1">
        <f t="array" ref="NV58:OE58">SUMIFS($J58:$GG58,$J$2:$GG$2,NV$3:OE$3)</f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 cm="1">
        <f t="array" ref="OF58">IFERROR(MAX((_xlfn.ANCHORARRAY(NV58)-AVERAGE(_xlfn.ANCHORARRAY(NV58)))/ AVERAGE(_xlfn.ANCHORARRAY(NV58))),0)</f>
        <v>0</v>
      </c>
      <c r="OG58" t="str" cm="1">
        <f t="array" ref="OG58">IF(OF58&gt;$OG$1,_xlfn.XLOOKUP(MAX(_xlfn.ANCHORARRAY(NV58)),_xlfn.ANCHORARRAY(NV58),NV$4:OE$4,""),"")</f>
        <v/>
      </c>
      <c r="OI58" t="str">
        <f t="shared" si="8"/>
        <v/>
      </c>
    </row>
    <row r="59" spans="1:399" x14ac:dyDescent="0.3">
      <c r="A59" s="2"/>
      <c r="B59" s="2" t="str">
        <f t="shared" si="0"/>
        <v>CORE</v>
      </c>
      <c r="C59" s="2" t="str">
        <f t="shared" si="1"/>
        <v>CORE</v>
      </c>
      <c r="D59" s="2" t="str">
        <f t="shared" si="2"/>
        <v>CORE</v>
      </c>
      <c r="E59" s="2" t="str">
        <f t="shared" si="3"/>
        <v/>
      </c>
      <c r="F59" s="2">
        <f t="shared" si="4"/>
        <v>0</v>
      </c>
      <c r="G59" s="2">
        <f t="shared" si="5"/>
        <v>0</v>
      </c>
      <c r="H59" s="2">
        <f t="shared" si="6"/>
        <v>0</v>
      </c>
      <c r="I59" s="2">
        <f t="shared" si="7"/>
        <v>0</v>
      </c>
      <c r="NH59" cm="1">
        <f t="array" ref="NH59:NJ59">SUMIFS($J59:$GG59,$J$1:$GG$1,NH$3:NJ$3)</f>
        <v>0</v>
      </c>
      <c r="NI59">
        <v>0</v>
      </c>
      <c r="NJ59">
        <v>0</v>
      </c>
      <c r="NK59" cm="1">
        <f t="array" ref="NK59">IFERROR(MAX((_xlfn.ANCHORARRAY(NH59)-AVERAGE(_xlfn.ANCHORARRAY(NH59)))/ AVERAGE(_xlfn.ANCHORARRAY(NH59))),0)</f>
        <v>0</v>
      </c>
      <c r="NL59" t="str" cm="1">
        <f t="array" ref="NL59">IF(NK59&gt;$NL$1,_xlfn.XLOOKUP(MAX(_xlfn.ANCHORARRAY(NH59)),_xlfn.ANCHORARRAY(NH59),NH$4:NJ$4,""),"")</f>
        <v/>
      </c>
      <c r="NN59" cm="1">
        <f t="array" ref="NN59:NR59">SUMIFS($J59:$GG59,$J$3:$GG$3,NN$3:NR$3)</f>
        <v>0</v>
      </c>
      <c r="NO59">
        <v>0</v>
      </c>
      <c r="NP59">
        <v>0</v>
      </c>
      <c r="NQ59">
        <v>0</v>
      </c>
      <c r="NR59">
        <v>0</v>
      </c>
      <c r="NS59" cm="1">
        <f t="array" ref="NS59">IFERROR(MAX((_xlfn.ANCHORARRAY(NN59)-AVERAGE(_xlfn.ANCHORARRAY(NN59)))/ AVERAGE(_xlfn.ANCHORARRAY(NN59))),0)</f>
        <v>0</v>
      </c>
      <c r="NT59" t="str" cm="1">
        <f t="array" ref="NT59">IF(AND(NS59&gt;$NT$1,NL59&lt;&gt;""),_xlfn.XLOOKUP(MAX(_xlfn.ANCHORARRAY(NN59)),_xlfn.ANCHORARRAY(NN59),NN$4:NR$4,""),"")</f>
        <v/>
      </c>
      <c r="NV59" cm="1">
        <f t="array" ref="NV59:OE59">SUMIFS($J59:$GG59,$J$2:$GG$2,NV$3:OE$3)</f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 cm="1">
        <f t="array" ref="OF59">IFERROR(MAX((_xlfn.ANCHORARRAY(NV59)-AVERAGE(_xlfn.ANCHORARRAY(NV59)))/ AVERAGE(_xlfn.ANCHORARRAY(NV59))),0)</f>
        <v>0</v>
      </c>
      <c r="OG59" t="str" cm="1">
        <f t="array" ref="OG59">IF(OF59&gt;$OG$1,_xlfn.XLOOKUP(MAX(_xlfn.ANCHORARRAY(NV59)),_xlfn.ANCHORARRAY(NV59),NV$4:OE$4,""),"")</f>
        <v/>
      </c>
      <c r="OI59" t="str">
        <f t="shared" si="8"/>
        <v/>
      </c>
    </row>
    <row r="60" spans="1:399" x14ac:dyDescent="0.3">
      <c r="A60" s="2"/>
      <c r="B60" s="2" t="str">
        <f t="shared" si="0"/>
        <v>CORE</v>
      </c>
      <c r="C60" s="2" t="str">
        <f t="shared" si="1"/>
        <v>CORE</v>
      </c>
      <c r="D60" s="2" t="str">
        <f t="shared" si="2"/>
        <v>CORE</v>
      </c>
      <c r="E60" s="2" t="str">
        <f t="shared" si="3"/>
        <v/>
      </c>
      <c r="F60" s="2">
        <f t="shared" si="4"/>
        <v>0</v>
      </c>
      <c r="G60" s="2">
        <f t="shared" si="5"/>
        <v>0</v>
      </c>
      <c r="H60" s="2">
        <f t="shared" si="6"/>
        <v>0</v>
      </c>
      <c r="I60" s="2">
        <f t="shared" si="7"/>
        <v>0</v>
      </c>
      <c r="NH60" cm="1">
        <f t="array" ref="NH60:NJ60">SUMIFS($J60:$GG60,$J$1:$GG$1,NH$3:NJ$3)</f>
        <v>0</v>
      </c>
      <c r="NI60">
        <v>0</v>
      </c>
      <c r="NJ60">
        <v>0</v>
      </c>
      <c r="NK60" cm="1">
        <f t="array" ref="NK60">IFERROR(MAX((_xlfn.ANCHORARRAY(NH60)-AVERAGE(_xlfn.ANCHORARRAY(NH60)))/ AVERAGE(_xlfn.ANCHORARRAY(NH60))),0)</f>
        <v>0</v>
      </c>
      <c r="NL60" t="str" cm="1">
        <f t="array" ref="NL60">IF(NK60&gt;$NL$1,_xlfn.XLOOKUP(MAX(_xlfn.ANCHORARRAY(NH60)),_xlfn.ANCHORARRAY(NH60),NH$4:NJ$4,""),"")</f>
        <v/>
      </c>
      <c r="NN60" cm="1">
        <f t="array" ref="NN60:NR60">SUMIFS($J60:$GG60,$J$3:$GG$3,NN$3:NR$3)</f>
        <v>0</v>
      </c>
      <c r="NO60">
        <v>0</v>
      </c>
      <c r="NP60">
        <v>0</v>
      </c>
      <c r="NQ60">
        <v>0</v>
      </c>
      <c r="NR60">
        <v>0</v>
      </c>
      <c r="NS60" cm="1">
        <f t="array" ref="NS60">IFERROR(MAX((_xlfn.ANCHORARRAY(NN60)-AVERAGE(_xlfn.ANCHORARRAY(NN60)))/ AVERAGE(_xlfn.ANCHORARRAY(NN60))),0)</f>
        <v>0</v>
      </c>
      <c r="NT60" t="str" cm="1">
        <f t="array" ref="NT60">IF(AND(NS60&gt;$NT$1,NL60&lt;&gt;""),_xlfn.XLOOKUP(MAX(_xlfn.ANCHORARRAY(NN60)),_xlfn.ANCHORARRAY(NN60),NN$4:NR$4,""),"")</f>
        <v/>
      </c>
      <c r="NV60" cm="1">
        <f t="array" ref="NV60:OE60">SUMIFS($J60:$GG60,$J$2:$GG$2,NV$3:OE$3)</f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 cm="1">
        <f t="array" ref="OF60">IFERROR(MAX((_xlfn.ANCHORARRAY(NV60)-AVERAGE(_xlfn.ANCHORARRAY(NV60)))/ AVERAGE(_xlfn.ANCHORARRAY(NV60))),0)</f>
        <v>0</v>
      </c>
      <c r="OG60" t="str" cm="1">
        <f t="array" ref="OG60">IF(OF60&gt;$OG$1,_xlfn.XLOOKUP(MAX(_xlfn.ANCHORARRAY(NV60)),_xlfn.ANCHORARRAY(NV60),NV$4:OE$4,""),"")</f>
        <v/>
      </c>
      <c r="OI60" t="str">
        <f t="shared" si="8"/>
        <v/>
      </c>
    </row>
    <row r="61" spans="1:399" x14ac:dyDescent="0.3">
      <c r="A61" s="2"/>
      <c r="B61" s="2" t="str">
        <f t="shared" si="0"/>
        <v>CORE</v>
      </c>
      <c r="C61" s="2" t="str">
        <f t="shared" si="1"/>
        <v>CORE</v>
      </c>
      <c r="D61" s="2" t="str">
        <f t="shared" si="2"/>
        <v>CORE</v>
      </c>
      <c r="E61" s="2" t="str">
        <f t="shared" si="3"/>
        <v/>
      </c>
      <c r="F61" s="2">
        <f t="shared" si="4"/>
        <v>0</v>
      </c>
      <c r="G61" s="2">
        <f t="shared" si="5"/>
        <v>0</v>
      </c>
      <c r="H61" s="2">
        <f t="shared" si="6"/>
        <v>0</v>
      </c>
      <c r="I61" s="2">
        <f t="shared" si="7"/>
        <v>0</v>
      </c>
      <c r="NH61" cm="1">
        <f t="array" ref="NH61:NJ61">SUMIFS($J61:$GG61,$J$1:$GG$1,NH$3:NJ$3)</f>
        <v>0</v>
      </c>
      <c r="NI61">
        <v>0</v>
      </c>
      <c r="NJ61">
        <v>0</v>
      </c>
      <c r="NK61" cm="1">
        <f t="array" ref="NK61">IFERROR(MAX((_xlfn.ANCHORARRAY(NH61)-AVERAGE(_xlfn.ANCHORARRAY(NH61)))/ AVERAGE(_xlfn.ANCHORARRAY(NH61))),0)</f>
        <v>0</v>
      </c>
      <c r="NL61" t="str" cm="1">
        <f t="array" ref="NL61">IF(NK61&gt;$NL$1,_xlfn.XLOOKUP(MAX(_xlfn.ANCHORARRAY(NH61)),_xlfn.ANCHORARRAY(NH61),NH$4:NJ$4,""),"")</f>
        <v/>
      </c>
      <c r="NN61" cm="1">
        <f t="array" ref="NN61:NR61">SUMIFS($J61:$GG61,$J$3:$GG$3,NN$3:NR$3)</f>
        <v>0</v>
      </c>
      <c r="NO61">
        <v>0</v>
      </c>
      <c r="NP61">
        <v>0</v>
      </c>
      <c r="NQ61">
        <v>0</v>
      </c>
      <c r="NR61">
        <v>0</v>
      </c>
      <c r="NS61" cm="1">
        <f t="array" ref="NS61">IFERROR(MAX((_xlfn.ANCHORARRAY(NN61)-AVERAGE(_xlfn.ANCHORARRAY(NN61)))/ AVERAGE(_xlfn.ANCHORARRAY(NN61))),0)</f>
        <v>0</v>
      </c>
      <c r="NT61" t="str" cm="1">
        <f t="array" ref="NT61">IF(AND(NS61&gt;$NT$1,NL61&lt;&gt;""),_xlfn.XLOOKUP(MAX(_xlfn.ANCHORARRAY(NN61)),_xlfn.ANCHORARRAY(NN61),NN$4:NR$4,""),"")</f>
        <v/>
      </c>
      <c r="NV61" cm="1">
        <f t="array" ref="NV61:OE61">SUMIFS($J61:$GG61,$J$2:$GG$2,NV$3:OE$3)</f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 cm="1">
        <f t="array" ref="OF61">IFERROR(MAX((_xlfn.ANCHORARRAY(NV61)-AVERAGE(_xlfn.ANCHORARRAY(NV61)))/ AVERAGE(_xlfn.ANCHORARRAY(NV61))),0)</f>
        <v>0</v>
      </c>
      <c r="OG61" t="str" cm="1">
        <f t="array" ref="OG61">IF(OF61&gt;$OG$1,_xlfn.XLOOKUP(MAX(_xlfn.ANCHORARRAY(NV61)),_xlfn.ANCHORARRAY(NV61),NV$4:OE$4,""),"")</f>
        <v/>
      </c>
      <c r="OI61" t="str">
        <f t="shared" si="8"/>
        <v/>
      </c>
    </row>
    <row r="62" spans="1:399" x14ac:dyDescent="0.3">
      <c r="A62" s="2"/>
      <c r="B62" s="2" t="str">
        <f t="shared" si="0"/>
        <v>CORE</v>
      </c>
      <c r="C62" s="2" t="str">
        <f t="shared" si="1"/>
        <v>CORE</v>
      </c>
      <c r="D62" s="2" t="str">
        <f t="shared" si="2"/>
        <v>CORE</v>
      </c>
      <c r="E62" s="2" t="str">
        <f t="shared" si="3"/>
        <v/>
      </c>
      <c r="F62" s="2">
        <f t="shared" si="4"/>
        <v>0</v>
      </c>
      <c r="G62" s="2">
        <f t="shared" si="5"/>
        <v>0</v>
      </c>
      <c r="H62" s="2">
        <f t="shared" si="6"/>
        <v>0</v>
      </c>
      <c r="I62" s="2">
        <f t="shared" si="7"/>
        <v>0</v>
      </c>
      <c r="NH62" cm="1">
        <f t="array" ref="NH62:NJ62">SUMIFS($J62:$GG62,$J$1:$GG$1,NH$3:NJ$3)</f>
        <v>0</v>
      </c>
      <c r="NI62">
        <v>0</v>
      </c>
      <c r="NJ62">
        <v>0</v>
      </c>
      <c r="NK62" cm="1">
        <f t="array" ref="NK62">IFERROR(MAX((_xlfn.ANCHORARRAY(NH62)-AVERAGE(_xlfn.ANCHORARRAY(NH62)))/ AVERAGE(_xlfn.ANCHORARRAY(NH62))),0)</f>
        <v>0</v>
      </c>
      <c r="NL62" t="str" cm="1">
        <f t="array" ref="NL62">IF(NK62&gt;$NL$1,_xlfn.XLOOKUP(MAX(_xlfn.ANCHORARRAY(NH62)),_xlfn.ANCHORARRAY(NH62),NH$4:NJ$4,""),"")</f>
        <v/>
      </c>
      <c r="NN62" cm="1">
        <f t="array" ref="NN62:NR62">SUMIFS($J62:$GG62,$J$3:$GG$3,NN$3:NR$3)</f>
        <v>0</v>
      </c>
      <c r="NO62">
        <v>0</v>
      </c>
      <c r="NP62">
        <v>0</v>
      </c>
      <c r="NQ62">
        <v>0</v>
      </c>
      <c r="NR62">
        <v>0</v>
      </c>
      <c r="NS62" cm="1">
        <f t="array" ref="NS62">IFERROR(MAX((_xlfn.ANCHORARRAY(NN62)-AVERAGE(_xlfn.ANCHORARRAY(NN62)))/ AVERAGE(_xlfn.ANCHORARRAY(NN62))),0)</f>
        <v>0</v>
      </c>
      <c r="NT62" t="str" cm="1">
        <f t="array" ref="NT62">IF(AND(NS62&gt;$NT$1,NL62&lt;&gt;""),_xlfn.XLOOKUP(MAX(_xlfn.ANCHORARRAY(NN62)),_xlfn.ANCHORARRAY(NN62),NN$4:NR$4,""),"")</f>
        <v/>
      </c>
      <c r="NV62" cm="1">
        <f t="array" ref="NV62:OE62">SUMIFS($J62:$GG62,$J$2:$GG$2,NV$3:OE$3)</f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 cm="1">
        <f t="array" ref="OF62">IFERROR(MAX((_xlfn.ANCHORARRAY(NV62)-AVERAGE(_xlfn.ANCHORARRAY(NV62)))/ AVERAGE(_xlfn.ANCHORARRAY(NV62))),0)</f>
        <v>0</v>
      </c>
      <c r="OG62" t="str" cm="1">
        <f t="array" ref="OG62">IF(OF62&gt;$OG$1,_xlfn.XLOOKUP(MAX(_xlfn.ANCHORARRAY(NV62)),_xlfn.ANCHORARRAY(NV62),NV$4:OE$4,""),"")</f>
        <v/>
      </c>
      <c r="OI62" t="str">
        <f t="shared" si="8"/>
        <v/>
      </c>
    </row>
    <row r="63" spans="1:399" x14ac:dyDescent="0.3">
      <c r="A63" s="2"/>
      <c r="B63" s="2" t="str">
        <f t="shared" si="0"/>
        <v>CORE</v>
      </c>
      <c r="C63" s="2" t="str">
        <f t="shared" si="1"/>
        <v>CORE</v>
      </c>
      <c r="D63" s="2" t="str">
        <f t="shared" si="2"/>
        <v>CORE</v>
      </c>
      <c r="E63" s="2" t="str">
        <f t="shared" si="3"/>
        <v/>
      </c>
      <c r="F63" s="2">
        <f t="shared" si="4"/>
        <v>0</v>
      </c>
      <c r="G63" s="2">
        <f t="shared" si="5"/>
        <v>0</v>
      </c>
      <c r="H63" s="2">
        <f t="shared" si="6"/>
        <v>0</v>
      </c>
      <c r="I63" s="2">
        <f t="shared" si="7"/>
        <v>0</v>
      </c>
      <c r="NH63" cm="1">
        <f t="array" ref="NH63:NJ63">SUMIFS($J63:$GG63,$J$1:$GG$1,NH$3:NJ$3)</f>
        <v>0</v>
      </c>
      <c r="NI63">
        <v>0</v>
      </c>
      <c r="NJ63">
        <v>0</v>
      </c>
      <c r="NK63" cm="1">
        <f t="array" ref="NK63">IFERROR(MAX((_xlfn.ANCHORARRAY(NH63)-AVERAGE(_xlfn.ANCHORARRAY(NH63)))/ AVERAGE(_xlfn.ANCHORARRAY(NH63))),0)</f>
        <v>0</v>
      </c>
      <c r="NL63" t="str" cm="1">
        <f t="array" ref="NL63">IF(NK63&gt;$NL$1,_xlfn.XLOOKUP(MAX(_xlfn.ANCHORARRAY(NH63)),_xlfn.ANCHORARRAY(NH63),NH$4:NJ$4,""),"")</f>
        <v/>
      </c>
      <c r="NN63" cm="1">
        <f t="array" ref="NN63:NR63">SUMIFS($J63:$GG63,$J$3:$GG$3,NN$3:NR$3)</f>
        <v>0</v>
      </c>
      <c r="NO63">
        <v>0</v>
      </c>
      <c r="NP63">
        <v>0</v>
      </c>
      <c r="NQ63">
        <v>0</v>
      </c>
      <c r="NR63">
        <v>0</v>
      </c>
      <c r="NS63" cm="1">
        <f t="array" ref="NS63">IFERROR(MAX((_xlfn.ANCHORARRAY(NN63)-AVERAGE(_xlfn.ANCHORARRAY(NN63)))/ AVERAGE(_xlfn.ANCHORARRAY(NN63))),0)</f>
        <v>0</v>
      </c>
      <c r="NT63" t="str" cm="1">
        <f t="array" ref="NT63">IF(AND(NS63&gt;$NT$1,NL63&lt;&gt;""),_xlfn.XLOOKUP(MAX(_xlfn.ANCHORARRAY(NN63)),_xlfn.ANCHORARRAY(NN63),NN$4:NR$4,""),"")</f>
        <v/>
      </c>
      <c r="NV63" cm="1">
        <f t="array" ref="NV63:OE63">SUMIFS($J63:$GG63,$J$2:$GG$2,NV$3:OE$3)</f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 cm="1">
        <f t="array" ref="OF63">IFERROR(MAX((_xlfn.ANCHORARRAY(NV63)-AVERAGE(_xlfn.ANCHORARRAY(NV63)))/ AVERAGE(_xlfn.ANCHORARRAY(NV63))),0)</f>
        <v>0</v>
      </c>
      <c r="OG63" t="str" cm="1">
        <f t="array" ref="OG63">IF(OF63&gt;$OG$1,_xlfn.XLOOKUP(MAX(_xlfn.ANCHORARRAY(NV63)),_xlfn.ANCHORARRAY(NV63),NV$4:OE$4,""),"")</f>
        <v/>
      </c>
      <c r="OI63" t="str">
        <f t="shared" si="8"/>
        <v/>
      </c>
    </row>
    <row r="64" spans="1:399" x14ac:dyDescent="0.3">
      <c r="A64" s="2"/>
      <c r="B64" s="2" t="str">
        <f t="shared" si="0"/>
        <v>CORE</v>
      </c>
      <c r="C64" s="2" t="str">
        <f t="shared" si="1"/>
        <v>CORE</v>
      </c>
      <c r="D64" s="2" t="str">
        <f t="shared" si="2"/>
        <v>CORE</v>
      </c>
      <c r="E64" s="2" t="str">
        <f t="shared" si="3"/>
        <v/>
      </c>
      <c r="F64" s="2">
        <f t="shared" si="4"/>
        <v>0</v>
      </c>
      <c r="G64" s="2">
        <f t="shared" si="5"/>
        <v>0</v>
      </c>
      <c r="H64" s="2">
        <f t="shared" si="6"/>
        <v>0</v>
      </c>
      <c r="I64" s="2">
        <f t="shared" si="7"/>
        <v>0</v>
      </c>
      <c r="NH64" cm="1">
        <f t="array" ref="NH64:NJ64">SUMIFS($J64:$GG64,$J$1:$GG$1,NH$3:NJ$3)</f>
        <v>0</v>
      </c>
      <c r="NI64">
        <v>0</v>
      </c>
      <c r="NJ64">
        <v>0</v>
      </c>
      <c r="NK64" cm="1">
        <f t="array" ref="NK64">IFERROR(MAX((_xlfn.ANCHORARRAY(NH64)-AVERAGE(_xlfn.ANCHORARRAY(NH64)))/ AVERAGE(_xlfn.ANCHORARRAY(NH64))),0)</f>
        <v>0</v>
      </c>
      <c r="NL64" t="str" cm="1">
        <f t="array" ref="NL64">IF(NK64&gt;$NL$1,_xlfn.XLOOKUP(MAX(_xlfn.ANCHORARRAY(NH64)),_xlfn.ANCHORARRAY(NH64),NH$4:NJ$4,""),"")</f>
        <v/>
      </c>
      <c r="NN64" cm="1">
        <f t="array" ref="NN64:NR64">SUMIFS($J64:$GG64,$J$3:$GG$3,NN$3:NR$3)</f>
        <v>0</v>
      </c>
      <c r="NO64">
        <v>0</v>
      </c>
      <c r="NP64">
        <v>0</v>
      </c>
      <c r="NQ64">
        <v>0</v>
      </c>
      <c r="NR64">
        <v>0</v>
      </c>
      <c r="NS64" cm="1">
        <f t="array" ref="NS64">IFERROR(MAX((_xlfn.ANCHORARRAY(NN64)-AVERAGE(_xlfn.ANCHORARRAY(NN64)))/ AVERAGE(_xlfn.ANCHORARRAY(NN64))),0)</f>
        <v>0</v>
      </c>
      <c r="NT64" t="str" cm="1">
        <f t="array" ref="NT64">IF(AND(NS64&gt;$NT$1,NL64&lt;&gt;""),_xlfn.XLOOKUP(MAX(_xlfn.ANCHORARRAY(NN64)),_xlfn.ANCHORARRAY(NN64),NN$4:NR$4,""),"")</f>
        <v/>
      </c>
      <c r="NV64" cm="1">
        <f t="array" ref="NV64:OE64">SUMIFS($J64:$GG64,$J$2:$GG$2,NV$3:OE$3)</f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 cm="1">
        <f t="array" ref="OF64">IFERROR(MAX((_xlfn.ANCHORARRAY(NV64)-AVERAGE(_xlfn.ANCHORARRAY(NV64)))/ AVERAGE(_xlfn.ANCHORARRAY(NV64))),0)</f>
        <v>0</v>
      </c>
      <c r="OG64" t="str" cm="1">
        <f t="array" ref="OG64">IF(OF64&gt;$OG$1,_xlfn.XLOOKUP(MAX(_xlfn.ANCHORARRAY(NV64)),_xlfn.ANCHORARRAY(NV64),NV$4:OE$4,""),"")</f>
        <v/>
      </c>
      <c r="OI64" t="str">
        <f t="shared" si="8"/>
        <v/>
      </c>
    </row>
    <row r="65" spans="1:399" x14ac:dyDescent="0.3">
      <c r="A65" s="2"/>
      <c r="B65" s="2" t="str">
        <f t="shared" si="0"/>
        <v>CORE</v>
      </c>
      <c r="C65" s="2" t="str">
        <f t="shared" si="1"/>
        <v>CORE</v>
      </c>
      <c r="D65" s="2" t="str">
        <f t="shared" si="2"/>
        <v>CORE</v>
      </c>
      <c r="E65" s="2" t="str">
        <f t="shared" si="3"/>
        <v/>
      </c>
      <c r="F65" s="2">
        <f t="shared" si="4"/>
        <v>0</v>
      </c>
      <c r="G65" s="2">
        <f t="shared" si="5"/>
        <v>0</v>
      </c>
      <c r="H65" s="2">
        <f t="shared" si="6"/>
        <v>0</v>
      </c>
      <c r="I65" s="2">
        <f t="shared" si="7"/>
        <v>0</v>
      </c>
      <c r="NH65" cm="1">
        <f t="array" ref="NH65:NJ65">SUMIFS($J65:$GG65,$J$1:$GG$1,NH$3:NJ$3)</f>
        <v>0</v>
      </c>
      <c r="NI65">
        <v>0</v>
      </c>
      <c r="NJ65">
        <v>0</v>
      </c>
      <c r="NK65" cm="1">
        <f t="array" ref="NK65">IFERROR(MAX((_xlfn.ANCHORARRAY(NH65)-AVERAGE(_xlfn.ANCHORARRAY(NH65)))/ AVERAGE(_xlfn.ANCHORARRAY(NH65))),0)</f>
        <v>0</v>
      </c>
      <c r="NL65" t="str" cm="1">
        <f t="array" ref="NL65">IF(NK65&gt;$NL$1,_xlfn.XLOOKUP(MAX(_xlfn.ANCHORARRAY(NH65)),_xlfn.ANCHORARRAY(NH65),NH$4:NJ$4,""),"")</f>
        <v/>
      </c>
      <c r="NN65" cm="1">
        <f t="array" ref="NN65:NR65">SUMIFS($J65:$GG65,$J$3:$GG$3,NN$3:NR$3)</f>
        <v>0</v>
      </c>
      <c r="NO65">
        <v>0</v>
      </c>
      <c r="NP65">
        <v>0</v>
      </c>
      <c r="NQ65">
        <v>0</v>
      </c>
      <c r="NR65">
        <v>0</v>
      </c>
      <c r="NS65" cm="1">
        <f t="array" ref="NS65">IFERROR(MAX((_xlfn.ANCHORARRAY(NN65)-AVERAGE(_xlfn.ANCHORARRAY(NN65)))/ AVERAGE(_xlfn.ANCHORARRAY(NN65))),0)</f>
        <v>0</v>
      </c>
      <c r="NT65" t="str" cm="1">
        <f t="array" ref="NT65">IF(AND(NS65&gt;$NT$1,NL65&lt;&gt;""),_xlfn.XLOOKUP(MAX(_xlfn.ANCHORARRAY(NN65)),_xlfn.ANCHORARRAY(NN65),NN$4:NR$4,""),"")</f>
        <v/>
      </c>
      <c r="NV65" cm="1">
        <f t="array" ref="NV65:OE65">SUMIFS($J65:$GG65,$J$2:$GG$2,NV$3:OE$3)</f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 cm="1">
        <f t="array" ref="OF65">IFERROR(MAX((_xlfn.ANCHORARRAY(NV65)-AVERAGE(_xlfn.ANCHORARRAY(NV65)))/ AVERAGE(_xlfn.ANCHORARRAY(NV65))),0)</f>
        <v>0</v>
      </c>
      <c r="OG65" t="str" cm="1">
        <f t="array" ref="OG65">IF(OF65&gt;$OG$1,_xlfn.XLOOKUP(MAX(_xlfn.ANCHORARRAY(NV65)),_xlfn.ANCHORARRAY(NV65),NV$4:OE$4,""),"")</f>
        <v/>
      </c>
      <c r="OI65" t="str">
        <f t="shared" si="8"/>
        <v/>
      </c>
    </row>
    <row r="66" spans="1:399" x14ac:dyDescent="0.3">
      <c r="A66" s="2"/>
      <c r="B66" s="2" t="str">
        <f t="shared" si="0"/>
        <v>CORE</v>
      </c>
      <c r="C66" s="2" t="str">
        <f t="shared" si="1"/>
        <v>CORE</v>
      </c>
      <c r="D66" s="2" t="str">
        <f t="shared" si="2"/>
        <v>CORE</v>
      </c>
      <c r="E66" s="2" t="str">
        <f t="shared" si="3"/>
        <v/>
      </c>
      <c r="F66" s="2">
        <f t="shared" si="4"/>
        <v>0</v>
      </c>
      <c r="G66" s="2">
        <f t="shared" si="5"/>
        <v>0</v>
      </c>
      <c r="H66" s="2">
        <f t="shared" si="6"/>
        <v>0</v>
      </c>
      <c r="I66" s="2">
        <f t="shared" si="7"/>
        <v>0</v>
      </c>
      <c r="NH66" cm="1">
        <f t="array" ref="NH66:NJ66">SUMIFS($J66:$GG66,$J$1:$GG$1,NH$3:NJ$3)</f>
        <v>0</v>
      </c>
      <c r="NI66">
        <v>0</v>
      </c>
      <c r="NJ66">
        <v>0</v>
      </c>
      <c r="NK66" cm="1">
        <f t="array" ref="NK66">IFERROR(MAX((_xlfn.ANCHORARRAY(NH66)-AVERAGE(_xlfn.ANCHORARRAY(NH66)))/ AVERAGE(_xlfn.ANCHORARRAY(NH66))),0)</f>
        <v>0</v>
      </c>
      <c r="NL66" t="str" cm="1">
        <f t="array" ref="NL66">IF(NK66&gt;$NL$1,_xlfn.XLOOKUP(MAX(_xlfn.ANCHORARRAY(NH66)),_xlfn.ANCHORARRAY(NH66),NH$4:NJ$4,""),"")</f>
        <v/>
      </c>
      <c r="NN66" cm="1">
        <f t="array" ref="NN66:NR66">SUMIFS($J66:$GG66,$J$3:$GG$3,NN$3:NR$3)</f>
        <v>0</v>
      </c>
      <c r="NO66">
        <v>0</v>
      </c>
      <c r="NP66">
        <v>0</v>
      </c>
      <c r="NQ66">
        <v>0</v>
      </c>
      <c r="NR66">
        <v>0</v>
      </c>
      <c r="NS66" cm="1">
        <f t="array" ref="NS66">IFERROR(MAX((_xlfn.ANCHORARRAY(NN66)-AVERAGE(_xlfn.ANCHORARRAY(NN66)))/ AVERAGE(_xlfn.ANCHORARRAY(NN66))),0)</f>
        <v>0</v>
      </c>
      <c r="NT66" t="str" cm="1">
        <f t="array" ref="NT66">IF(AND(NS66&gt;$NT$1,NL66&lt;&gt;""),_xlfn.XLOOKUP(MAX(_xlfn.ANCHORARRAY(NN66)),_xlfn.ANCHORARRAY(NN66),NN$4:NR$4,""),"")</f>
        <v/>
      </c>
      <c r="NV66" cm="1">
        <f t="array" ref="NV66:OE66">SUMIFS($J66:$GG66,$J$2:$GG$2,NV$3:OE$3)</f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 cm="1">
        <f t="array" ref="OF66">IFERROR(MAX((_xlfn.ANCHORARRAY(NV66)-AVERAGE(_xlfn.ANCHORARRAY(NV66)))/ AVERAGE(_xlfn.ANCHORARRAY(NV66))),0)</f>
        <v>0</v>
      </c>
      <c r="OG66" t="str" cm="1">
        <f t="array" ref="OG66">IF(OF66&gt;$OG$1,_xlfn.XLOOKUP(MAX(_xlfn.ANCHORARRAY(NV66)),_xlfn.ANCHORARRAY(NV66),NV$4:OE$4,""),"")</f>
        <v/>
      </c>
      <c r="OI66" t="str">
        <f t="shared" si="8"/>
        <v/>
      </c>
    </row>
    <row r="67" spans="1:399" x14ac:dyDescent="0.3">
      <c r="A67" s="2"/>
      <c r="B67" s="2" t="str">
        <f t="shared" si="0"/>
        <v>CORE</v>
      </c>
      <c r="C67" s="2" t="str">
        <f t="shared" si="1"/>
        <v>CORE</v>
      </c>
      <c r="D67" s="2" t="str">
        <f t="shared" si="2"/>
        <v>CORE</v>
      </c>
      <c r="E67" s="2" t="str">
        <f t="shared" si="3"/>
        <v/>
      </c>
      <c r="F67" s="2">
        <f t="shared" si="4"/>
        <v>0</v>
      </c>
      <c r="G67" s="2">
        <f t="shared" si="5"/>
        <v>0</v>
      </c>
      <c r="H67" s="2">
        <f t="shared" si="6"/>
        <v>0</v>
      </c>
      <c r="I67" s="2">
        <f t="shared" si="7"/>
        <v>0</v>
      </c>
      <c r="NH67" cm="1">
        <f t="array" ref="NH67:NJ67">SUMIFS($J67:$GG67,$J$1:$GG$1,NH$3:NJ$3)</f>
        <v>0</v>
      </c>
      <c r="NI67">
        <v>0</v>
      </c>
      <c r="NJ67">
        <v>0</v>
      </c>
      <c r="NK67" cm="1">
        <f t="array" ref="NK67">IFERROR(MAX((_xlfn.ANCHORARRAY(NH67)-AVERAGE(_xlfn.ANCHORARRAY(NH67)))/ AVERAGE(_xlfn.ANCHORARRAY(NH67))),0)</f>
        <v>0</v>
      </c>
      <c r="NL67" t="str" cm="1">
        <f t="array" ref="NL67">IF(NK67&gt;$NL$1,_xlfn.XLOOKUP(MAX(_xlfn.ANCHORARRAY(NH67)),_xlfn.ANCHORARRAY(NH67),NH$4:NJ$4,""),"")</f>
        <v/>
      </c>
      <c r="NN67" cm="1">
        <f t="array" ref="NN67:NR67">SUMIFS($J67:$GG67,$J$3:$GG$3,NN$3:NR$3)</f>
        <v>0</v>
      </c>
      <c r="NO67">
        <v>0</v>
      </c>
      <c r="NP67">
        <v>0</v>
      </c>
      <c r="NQ67">
        <v>0</v>
      </c>
      <c r="NR67">
        <v>0</v>
      </c>
      <c r="NS67" cm="1">
        <f t="array" ref="NS67">IFERROR(MAX((_xlfn.ANCHORARRAY(NN67)-AVERAGE(_xlfn.ANCHORARRAY(NN67)))/ AVERAGE(_xlfn.ANCHORARRAY(NN67))),0)</f>
        <v>0</v>
      </c>
      <c r="NT67" t="str" cm="1">
        <f t="array" ref="NT67">IF(AND(NS67&gt;$NT$1,NL67&lt;&gt;""),_xlfn.XLOOKUP(MAX(_xlfn.ANCHORARRAY(NN67)),_xlfn.ANCHORARRAY(NN67),NN$4:NR$4,""),"")</f>
        <v/>
      </c>
      <c r="NV67" cm="1">
        <f t="array" ref="NV67:OE67">SUMIFS($J67:$GG67,$J$2:$GG$2,NV$3:OE$3)</f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 cm="1">
        <f t="array" ref="OF67">IFERROR(MAX((_xlfn.ANCHORARRAY(NV67)-AVERAGE(_xlfn.ANCHORARRAY(NV67)))/ AVERAGE(_xlfn.ANCHORARRAY(NV67))),0)</f>
        <v>0</v>
      </c>
      <c r="OG67" t="str" cm="1">
        <f t="array" ref="OG67">IF(OF67&gt;$OG$1,_xlfn.XLOOKUP(MAX(_xlfn.ANCHORARRAY(NV67)),_xlfn.ANCHORARRAY(NV67),NV$4:OE$4,""),"")</f>
        <v/>
      </c>
      <c r="OI67" t="str">
        <f t="shared" si="8"/>
        <v/>
      </c>
    </row>
    <row r="68" spans="1:399" x14ac:dyDescent="0.3">
      <c r="A68" s="2"/>
      <c r="B68" s="2" t="str">
        <f t="shared" si="0"/>
        <v>CORE</v>
      </c>
      <c r="C68" s="2" t="str">
        <f t="shared" si="1"/>
        <v>CORE</v>
      </c>
      <c r="D68" s="2" t="str">
        <f t="shared" si="2"/>
        <v>CORE</v>
      </c>
      <c r="E68" s="2" t="str">
        <f t="shared" si="3"/>
        <v/>
      </c>
      <c r="F68" s="2">
        <f t="shared" si="4"/>
        <v>0</v>
      </c>
      <c r="G68" s="2">
        <f t="shared" si="5"/>
        <v>0</v>
      </c>
      <c r="H68" s="2">
        <f t="shared" si="6"/>
        <v>0</v>
      </c>
      <c r="I68" s="2">
        <f t="shared" si="7"/>
        <v>0</v>
      </c>
      <c r="NH68" cm="1">
        <f t="array" ref="NH68:NJ68">SUMIFS($J68:$GG68,$J$1:$GG$1,NH$3:NJ$3)</f>
        <v>0</v>
      </c>
      <c r="NI68">
        <v>0</v>
      </c>
      <c r="NJ68">
        <v>0</v>
      </c>
      <c r="NK68" cm="1">
        <f t="array" ref="NK68">IFERROR(MAX((_xlfn.ANCHORARRAY(NH68)-AVERAGE(_xlfn.ANCHORARRAY(NH68)))/ AVERAGE(_xlfn.ANCHORARRAY(NH68))),0)</f>
        <v>0</v>
      </c>
      <c r="NL68" t="str" cm="1">
        <f t="array" ref="NL68">IF(NK68&gt;$NL$1,_xlfn.XLOOKUP(MAX(_xlfn.ANCHORARRAY(NH68)),_xlfn.ANCHORARRAY(NH68),NH$4:NJ$4,""),"")</f>
        <v/>
      </c>
      <c r="NN68" cm="1">
        <f t="array" ref="NN68:NR68">SUMIFS($J68:$GG68,$J$3:$GG$3,NN$3:NR$3)</f>
        <v>0</v>
      </c>
      <c r="NO68">
        <v>0</v>
      </c>
      <c r="NP68">
        <v>0</v>
      </c>
      <c r="NQ68">
        <v>0</v>
      </c>
      <c r="NR68">
        <v>0</v>
      </c>
      <c r="NS68" cm="1">
        <f t="array" ref="NS68">IFERROR(MAX((_xlfn.ANCHORARRAY(NN68)-AVERAGE(_xlfn.ANCHORARRAY(NN68)))/ AVERAGE(_xlfn.ANCHORARRAY(NN68))),0)</f>
        <v>0</v>
      </c>
      <c r="NT68" t="str" cm="1">
        <f t="array" ref="NT68">IF(AND(NS68&gt;$NT$1,NL68&lt;&gt;""),_xlfn.XLOOKUP(MAX(_xlfn.ANCHORARRAY(NN68)),_xlfn.ANCHORARRAY(NN68),NN$4:NR$4,""),"")</f>
        <v/>
      </c>
      <c r="NV68" cm="1">
        <f t="array" ref="NV68:OE68">SUMIFS($J68:$GG68,$J$2:$GG$2,NV$3:OE$3)</f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 cm="1">
        <f t="array" ref="OF68">IFERROR(MAX((_xlfn.ANCHORARRAY(NV68)-AVERAGE(_xlfn.ANCHORARRAY(NV68)))/ AVERAGE(_xlfn.ANCHORARRAY(NV68))),0)</f>
        <v>0</v>
      </c>
      <c r="OG68" t="str" cm="1">
        <f t="array" ref="OG68">IF(OF68&gt;$OG$1,_xlfn.XLOOKUP(MAX(_xlfn.ANCHORARRAY(NV68)),_xlfn.ANCHORARRAY(NV68),NV$4:OE$4,""),"")</f>
        <v/>
      </c>
      <c r="OI68" t="str">
        <f t="shared" si="8"/>
        <v/>
      </c>
    </row>
    <row r="69" spans="1:399" x14ac:dyDescent="0.3">
      <c r="A69" s="2"/>
      <c r="B69" s="2" t="str">
        <f t="shared" si="0"/>
        <v>CORE</v>
      </c>
      <c r="C69" s="2" t="str">
        <f t="shared" si="1"/>
        <v>CORE</v>
      </c>
      <c r="D69" s="2" t="str">
        <f t="shared" si="2"/>
        <v>CORE</v>
      </c>
      <c r="E69" s="2" t="str">
        <f t="shared" si="3"/>
        <v/>
      </c>
      <c r="F69" s="2">
        <f t="shared" si="4"/>
        <v>0</v>
      </c>
      <c r="G69" s="2">
        <f t="shared" si="5"/>
        <v>0</v>
      </c>
      <c r="H69" s="2">
        <f t="shared" si="6"/>
        <v>0</v>
      </c>
      <c r="I69" s="2">
        <f t="shared" si="7"/>
        <v>0</v>
      </c>
      <c r="NH69" cm="1">
        <f t="array" ref="NH69:NJ69">SUMIFS($J69:$GG69,$J$1:$GG$1,NH$3:NJ$3)</f>
        <v>0</v>
      </c>
      <c r="NI69">
        <v>0</v>
      </c>
      <c r="NJ69">
        <v>0</v>
      </c>
      <c r="NK69" cm="1">
        <f t="array" ref="NK69">IFERROR(MAX((_xlfn.ANCHORARRAY(NH69)-AVERAGE(_xlfn.ANCHORARRAY(NH69)))/ AVERAGE(_xlfn.ANCHORARRAY(NH69))),0)</f>
        <v>0</v>
      </c>
      <c r="NL69" t="str" cm="1">
        <f t="array" ref="NL69">IF(NK69&gt;$NL$1,_xlfn.XLOOKUP(MAX(_xlfn.ANCHORARRAY(NH69)),_xlfn.ANCHORARRAY(NH69),NH$4:NJ$4,""),"")</f>
        <v/>
      </c>
      <c r="NN69" cm="1">
        <f t="array" ref="NN69:NR69">SUMIFS($J69:$GG69,$J$3:$GG$3,NN$3:NR$3)</f>
        <v>0</v>
      </c>
      <c r="NO69">
        <v>0</v>
      </c>
      <c r="NP69">
        <v>0</v>
      </c>
      <c r="NQ69">
        <v>0</v>
      </c>
      <c r="NR69">
        <v>0</v>
      </c>
      <c r="NS69" cm="1">
        <f t="array" ref="NS69">IFERROR(MAX((_xlfn.ANCHORARRAY(NN69)-AVERAGE(_xlfn.ANCHORARRAY(NN69)))/ AVERAGE(_xlfn.ANCHORARRAY(NN69))),0)</f>
        <v>0</v>
      </c>
      <c r="NT69" t="str" cm="1">
        <f t="array" ref="NT69">IF(AND(NS69&gt;$NT$1,NL69&lt;&gt;""),_xlfn.XLOOKUP(MAX(_xlfn.ANCHORARRAY(NN69)),_xlfn.ANCHORARRAY(NN69),NN$4:NR$4,""),"")</f>
        <v/>
      </c>
      <c r="NV69" cm="1">
        <f t="array" ref="NV69:OE69">SUMIFS($J69:$GG69,$J$2:$GG$2,NV$3:OE$3)</f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 cm="1">
        <f t="array" ref="OF69">IFERROR(MAX((_xlfn.ANCHORARRAY(NV69)-AVERAGE(_xlfn.ANCHORARRAY(NV69)))/ AVERAGE(_xlfn.ANCHORARRAY(NV69))),0)</f>
        <v>0</v>
      </c>
      <c r="OG69" t="str" cm="1">
        <f t="array" ref="OG69">IF(OF69&gt;$OG$1,_xlfn.XLOOKUP(MAX(_xlfn.ANCHORARRAY(NV69)),_xlfn.ANCHORARRAY(NV69),NV$4:OE$4,""),"")</f>
        <v/>
      </c>
      <c r="OI69" t="str">
        <f t="shared" si="8"/>
        <v/>
      </c>
    </row>
    <row r="70" spans="1:399" x14ac:dyDescent="0.3">
      <c r="A70" s="2"/>
      <c r="B70" s="2" t="str">
        <f t="shared" ref="B70:B133" si="9">IF(C70="NotFound",D70,C70)</f>
        <v>CORE</v>
      </c>
      <c r="C70" s="2" t="str">
        <f t="shared" ref="C70:C133" si="10">IF(H70&gt;1,"NotFound","CORE"&amp;_xlfn.XLOOKUP(MAX(J70:GG70,1),J70:GG70,$J$4:$GG$4,""))</f>
        <v>CORE</v>
      </c>
      <c r="D70" s="2" t="str">
        <f t="shared" ref="D70:D133" si="11">IF(F70&gt;1,"NotFound","CORE"&amp;_xlfn.XLOOKUP(MAX(GI70:NF70,1),GI70:NF70,$GI$4:$NF$4,""))</f>
        <v>CORE</v>
      </c>
      <c r="E70" s="2" t="str">
        <f t="shared" ref="E70:E133" si="12">OI70</f>
        <v/>
      </c>
      <c r="F70" s="2">
        <f t="shared" ref="F70:F133" si="13">COUNTIF(GI70:NF70,G70)</f>
        <v>0</v>
      </c>
      <c r="G70" s="2">
        <f t="shared" ref="G70:G133" si="14">MAX(GI70:NF70)</f>
        <v>0</v>
      </c>
      <c r="H70" s="2">
        <f t="shared" ref="H70:H127" si="15">COUNTIF(J70:GG70,I70)</f>
        <v>0</v>
      </c>
      <c r="I70" s="2">
        <f t="shared" ref="I70:I127" si="16">MAX(J70:GG70)</f>
        <v>0</v>
      </c>
      <c r="NH70" cm="1">
        <f t="array" ref="NH70:NJ70">SUMIFS($J70:$GG70,$J$1:$GG$1,NH$3:NJ$3)</f>
        <v>0</v>
      </c>
      <c r="NI70">
        <v>0</v>
      </c>
      <c r="NJ70">
        <v>0</v>
      </c>
      <c r="NK70" cm="1">
        <f t="array" ref="NK70">IFERROR(MAX((_xlfn.ANCHORARRAY(NH70)-AVERAGE(_xlfn.ANCHORARRAY(NH70)))/ AVERAGE(_xlfn.ANCHORARRAY(NH70))),0)</f>
        <v>0</v>
      </c>
      <c r="NL70" t="str" cm="1">
        <f t="array" ref="NL70">IF(NK70&gt;$NL$1,_xlfn.XLOOKUP(MAX(_xlfn.ANCHORARRAY(NH70)),_xlfn.ANCHORARRAY(NH70),NH$4:NJ$4,""),"")</f>
        <v/>
      </c>
      <c r="NN70" cm="1">
        <f t="array" ref="NN70:NR70">SUMIFS($J70:$GG70,$J$3:$GG$3,NN$3:NR$3)</f>
        <v>0</v>
      </c>
      <c r="NO70">
        <v>0</v>
      </c>
      <c r="NP70">
        <v>0</v>
      </c>
      <c r="NQ70">
        <v>0</v>
      </c>
      <c r="NR70">
        <v>0</v>
      </c>
      <c r="NS70" cm="1">
        <f t="array" ref="NS70">IFERROR(MAX((_xlfn.ANCHORARRAY(NN70)-AVERAGE(_xlfn.ANCHORARRAY(NN70)))/ AVERAGE(_xlfn.ANCHORARRAY(NN70))),0)</f>
        <v>0</v>
      </c>
      <c r="NT70" t="str" cm="1">
        <f t="array" ref="NT70">IF(AND(NS70&gt;$NT$1,NL70&lt;&gt;""),_xlfn.XLOOKUP(MAX(_xlfn.ANCHORARRAY(NN70)),_xlfn.ANCHORARRAY(NN70),NN$4:NR$4,""),"")</f>
        <v/>
      </c>
      <c r="NV70" cm="1">
        <f t="array" ref="NV70:OE70">SUMIFS($J70:$GG70,$J$2:$GG$2,NV$3:OE$3)</f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 cm="1">
        <f t="array" ref="OF70">IFERROR(MAX((_xlfn.ANCHORARRAY(NV70)-AVERAGE(_xlfn.ANCHORARRAY(NV70)))/ AVERAGE(_xlfn.ANCHORARRAY(NV70))),0)</f>
        <v>0</v>
      </c>
      <c r="OG70" t="str" cm="1">
        <f t="array" ref="OG70">IF(OF70&gt;$OG$1,_xlfn.XLOOKUP(MAX(_xlfn.ANCHORARRAY(NV70)),_xlfn.ANCHORARRAY(NV70),NV$4:OE$4,""),"")</f>
        <v/>
      </c>
      <c r="OI70" t="str">
        <f t="shared" ref="OI70:OI133" si="17">_xlfn.TEXTJOIN(" : ",,NL70,NT70,OG70)</f>
        <v/>
      </c>
    </row>
    <row r="71" spans="1:399" x14ac:dyDescent="0.3">
      <c r="A71" s="2"/>
      <c r="B71" s="2" t="str">
        <f t="shared" si="9"/>
        <v>CORE</v>
      </c>
      <c r="C71" s="2" t="str">
        <f t="shared" si="10"/>
        <v>CORE</v>
      </c>
      <c r="D71" s="2" t="str">
        <f t="shared" si="11"/>
        <v>CORE</v>
      </c>
      <c r="E71" s="2" t="str">
        <f t="shared" si="12"/>
        <v/>
      </c>
      <c r="F71" s="2">
        <f t="shared" si="13"/>
        <v>0</v>
      </c>
      <c r="G71" s="2">
        <f t="shared" si="14"/>
        <v>0</v>
      </c>
      <c r="H71" s="2">
        <f t="shared" si="15"/>
        <v>0</v>
      </c>
      <c r="I71" s="2">
        <f t="shared" si="16"/>
        <v>0</v>
      </c>
      <c r="NH71" cm="1">
        <f t="array" ref="NH71:NJ71">SUMIFS($J71:$GG71,$J$1:$GG$1,NH$3:NJ$3)</f>
        <v>0</v>
      </c>
      <c r="NI71">
        <v>0</v>
      </c>
      <c r="NJ71">
        <v>0</v>
      </c>
      <c r="NK71" cm="1">
        <f t="array" ref="NK71">IFERROR(MAX((_xlfn.ANCHORARRAY(NH71)-AVERAGE(_xlfn.ANCHORARRAY(NH71)))/ AVERAGE(_xlfn.ANCHORARRAY(NH71))),0)</f>
        <v>0</v>
      </c>
      <c r="NL71" t="str" cm="1">
        <f t="array" ref="NL71">IF(NK71&gt;$NL$1,_xlfn.XLOOKUP(MAX(_xlfn.ANCHORARRAY(NH71)),_xlfn.ANCHORARRAY(NH71),NH$4:NJ$4,""),"")</f>
        <v/>
      </c>
      <c r="NN71" cm="1">
        <f t="array" ref="NN71:NR71">SUMIFS($J71:$GG71,$J$3:$GG$3,NN$3:NR$3)</f>
        <v>0</v>
      </c>
      <c r="NO71">
        <v>0</v>
      </c>
      <c r="NP71">
        <v>0</v>
      </c>
      <c r="NQ71">
        <v>0</v>
      </c>
      <c r="NR71">
        <v>0</v>
      </c>
      <c r="NS71" cm="1">
        <f t="array" ref="NS71">IFERROR(MAX((_xlfn.ANCHORARRAY(NN71)-AVERAGE(_xlfn.ANCHORARRAY(NN71)))/ AVERAGE(_xlfn.ANCHORARRAY(NN71))),0)</f>
        <v>0</v>
      </c>
      <c r="NT71" t="str" cm="1">
        <f t="array" ref="NT71">IF(AND(NS71&gt;$NT$1,NL71&lt;&gt;""),_xlfn.XLOOKUP(MAX(_xlfn.ANCHORARRAY(NN71)),_xlfn.ANCHORARRAY(NN71),NN$4:NR$4,""),"")</f>
        <v/>
      </c>
      <c r="NV71" cm="1">
        <f t="array" ref="NV71:OE71">SUMIFS($J71:$GG71,$J$2:$GG$2,NV$3:OE$3)</f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 cm="1">
        <f t="array" ref="OF71">IFERROR(MAX((_xlfn.ANCHORARRAY(NV71)-AVERAGE(_xlfn.ANCHORARRAY(NV71)))/ AVERAGE(_xlfn.ANCHORARRAY(NV71))),0)</f>
        <v>0</v>
      </c>
      <c r="OG71" t="str" cm="1">
        <f t="array" ref="OG71">IF(OF71&gt;$OG$1,_xlfn.XLOOKUP(MAX(_xlfn.ANCHORARRAY(NV71)),_xlfn.ANCHORARRAY(NV71),NV$4:OE$4,""),"")</f>
        <v/>
      </c>
      <c r="OI71" t="str">
        <f t="shared" si="17"/>
        <v/>
      </c>
    </row>
    <row r="72" spans="1:399" x14ac:dyDescent="0.3">
      <c r="A72" s="2"/>
      <c r="B72" s="2" t="str">
        <f t="shared" si="9"/>
        <v>CORE</v>
      </c>
      <c r="C72" s="2" t="str">
        <f t="shared" si="10"/>
        <v>CORE</v>
      </c>
      <c r="D72" s="2" t="str">
        <f t="shared" si="11"/>
        <v>CORE</v>
      </c>
      <c r="E72" s="2" t="str">
        <f t="shared" si="12"/>
        <v/>
      </c>
      <c r="F72" s="2">
        <f t="shared" si="13"/>
        <v>0</v>
      </c>
      <c r="G72" s="2">
        <f t="shared" si="14"/>
        <v>0</v>
      </c>
      <c r="H72" s="2">
        <f t="shared" si="15"/>
        <v>0</v>
      </c>
      <c r="I72" s="2">
        <f t="shared" si="16"/>
        <v>0</v>
      </c>
      <c r="NH72" cm="1">
        <f t="array" ref="NH72:NJ72">SUMIFS($J72:$GG72,$J$1:$GG$1,NH$3:NJ$3)</f>
        <v>0</v>
      </c>
      <c r="NI72">
        <v>0</v>
      </c>
      <c r="NJ72">
        <v>0</v>
      </c>
      <c r="NK72" cm="1">
        <f t="array" ref="NK72">IFERROR(MAX((_xlfn.ANCHORARRAY(NH72)-AVERAGE(_xlfn.ANCHORARRAY(NH72)))/ AVERAGE(_xlfn.ANCHORARRAY(NH72))),0)</f>
        <v>0</v>
      </c>
      <c r="NL72" t="str" cm="1">
        <f t="array" ref="NL72">IF(NK72&gt;$NL$1,_xlfn.XLOOKUP(MAX(_xlfn.ANCHORARRAY(NH72)),_xlfn.ANCHORARRAY(NH72),NH$4:NJ$4,""),"")</f>
        <v/>
      </c>
      <c r="NN72" cm="1">
        <f t="array" ref="NN72:NR72">SUMIFS($J72:$GG72,$J$3:$GG$3,NN$3:NR$3)</f>
        <v>0</v>
      </c>
      <c r="NO72">
        <v>0</v>
      </c>
      <c r="NP72">
        <v>0</v>
      </c>
      <c r="NQ72">
        <v>0</v>
      </c>
      <c r="NR72">
        <v>0</v>
      </c>
      <c r="NS72" cm="1">
        <f t="array" ref="NS72">IFERROR(MAX((_xlfn.ANCHORARRAY(NN72)-AVERAGE(_xlfn.ANCHORARRAY(NN72)))/ AVERAGE(_xlfn.ANCHORARRAY(NN72))),0)</f>
        <v>0</v>
      </c>
      <c r="NT72" t="str" cm="1">
        <f t="array" ref="NT72">IF(AND(NS72&gt;$NT$1,NL72&lt;&gt;""),_xlfn.XLOOKUP(MAX(_xlfn.ANCHORARRAY(NN72)),_xlfn.ANCHORARRAY(NN72),NN$4:NR$4,""),"")</f>
        <v/>
      </c>
      <c r="NV72" cm="1">
        <f t="array" ref="NV72:OE72">SUMIFS($J72:$GG72,$J$2:$GG$2,NV$3:OE$3)</f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 cm="1">
        <f t="array" ref="OF72">IFERROR(MAX((_xlfn.ANCHORARRAY(NV72)-AVERAGE(_xlfn.ANCHORARRAY(NV72)))/ AVERAGE(_xlfn.ANCHORARRAY(NV72))),0)</f>
        <v>0</v>
      </c>
      <c r="OG72" t="str" cm="1">
        <f t="array" ref="OG72">IF(OF72&gt;$OG$1,_xlfn.XLOOKUP(MAX(_xlfn.ANCHORARRAY(NV72)),_xlfn.ANCHORARRAY(NV72),NV$4:OE$4,""),"")</f>
        <v/>
      </c>
      <c r="OI72" t="str">
        <f t="shared" si="17"/>
        <v/>
      </c>
    </row>
    <row r="73" spans="1:399" x14ac:dyDescent="0.3">
      <c r="A73" s="2"/>
      <c r="B73" s="2" t="str">
        <f t="shared" si="9"/>
        <v>CORE</v>
      </c>
      <c r="C73" s="2" t="str">
        <f t="shared" si="10"/>
        <v>CORE</v>
      </c>
      <c r="D73" s="2" t="str">
        <f t="shared" si="11"/>
        <v>CORE</v>
      </c>
      <c r="E73" s="2" t="str">
        <f t="shared" si="12"/>
        <v/>
      </c>
      <c r="F73" s="2">
        <f t="shared" si="13"/>
        <v>0</v>
      </c>
      <c r="G73" s="2">
        <f t="shared" si="14"/>
        <v>0</v>
      </c>
      <c r="H73" s="2">
        <f t="shared" si="15"/>
        <v>0</v>
      </c>
      <c r="I73" s="2">
        <f t="shared" si="16"/>
        <v>0</v>
      </c>
      <c r="NH73" cm="1">
        <f t="array" ref="NH73:NJ73">SUMIFS($J73:$GG73,$J$1:$GG$1,NH$3:NJ$3)</f>
        <v>0</v>
      </c>
      <c r="NI73">
        <v>0</v>
      </c>
      <c r="NJ73">
        <v>0</v>
      </c>
      <c r="NK73" cm="1">
        <f t="array" ref="NK73">IFERROR(MAX((_xlfn.ANCHORARRAY(NH73)-AVERAGE(_xlfn.ANCHORARRAY(NH73)))/ AVERAGE(_xlfn.ANCHORARRAY(NH73))),0)</f>
        <v>0</v>
      </c>
      <c r="NL73" t="str" cm="1">
        <f t="array" ref="NL73">IF(NK73&gt;$NL$1,_xlfn.XLOOKUP(MAX(_xlfn.ANCHORARRAY(NH73)),_xlfn.ANCHORARRAY(NH73),NH$4:NJ$4,""),"")</f>
        <v/>
      </c>
      <c r="NN73" cm="1">
        <f t="array" ref="NN73:NR73">SUMIFS($J73:$GG73,$J$3:$GG$3,NN$3:NR$3)</f>
        <v>0</v>
      </c>
      <c r="NO73">
        <v>0</v>
      </c>
      <c r="NP73">
        <v>0</v>
      </c>
      <c r="NQ73">
        <v>0</v>
      </c>
      <c r="NR73">
        <v>0</v>
      </c>
      <c r="NS73" cm="1">
        <f t="array" ref="NS73">IFERROR(MAX((_xlfn.ANCHORARRAY(NN73)-AVERAGE(_xlfn.ANCHORARRAY(NN73)))/ AVERAGE(_xlfn.ANCHORARRAY(NN73))),0)</f>
        <v>0</v>
      </c>
      <c r="NT73" t="str" cm="1">
        <f t="array" ref="NT73">IF(AND(NS73&gt;$NT$1,NL73&lt;&gt;""),_xlfn.XLOOKUP(MAX(_xlfn.ANCHORARRAY(NN73)),_xlfn.ANCHORARRAY(NN73),NN$4:NR$4,""),"")</f>
        <v/>
      </c>
      <c r="NV73" cm="1">
        <f t="array" ref="NV73:OE73">SUMIFS($J73:$GG73,$J$2:$GG$2,NV$3:OE$3)</f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 cm="1">
        <f t="array" ref="OF73">IFERROR(MAX((_xlfn.ANCHORARRAY(NV73)-AVERAGE(_xlfn.ANCHORARRAY(NV73)))/ AVERAGE(_xlfn.ANCHORARRAY(NV73))),0)</f>
        <v>0</v>
      </c>
      <c r="OG73" t="str" cm="1">
        <f t="array" ref="OG73">IF(OF73&gt;$OG$1,_xlfn.XLOOKUP(MAX(_xlfn.ANCHORARRAY(NV73)),_xlfn.ANCHORARRAY(NV73),NV$4:OE$4,""),"")</f>
        <v/>
      </c>
      <c r="OI73" t="str">
        <f t="shared" si="17"/>
        <v/>
      </c>
    </row>
    <row r="74" spans="1:399" x14ac:dyDescent="0.3">
      <c r="A74" s="2"/>
      <c r="B74" s="2" t="str">
        <f t="shared" si="9"/>
        <v>CORE</v>
      </c>
      <c r="C74" s="2" t="str">
        <f t="shared" si="10"/>
        <v>CORE</v>
      </c>
      <c r="D74" s="2" t="str">
        <f t="shared" si="11"/>
        <v>CORE</v>
      </c>
      <c r="E74" s="2" t="str">
        <f t="shared" si="12"/>
        <v/>
      </c>
      <c r="F74" s="2">
        <f t="shared" si="13"/>
        <v>0</v>
      </c>
      <c r="G74" s="2">
        <f t="shared" si="14"/>
        <v>0</v>
      </c>
      <c r="H74" s="2">
        <f t="shared" si="15"/>
        <v>0</v>
      </c>
      <c r="I74" s="2">
        <f t="shared" si="16"/>
        <v>0</v>
      </c>
      <c r="NH74" cm="1">
        <f t="array" ref="NH74:NJ74">SUMIFS($J74:$GG74,$J$1:$GG$1,NH$3:NJ$3)</f>
        <v>0</v>
      </c>
      <c r="NI74">
        <v>0</v>
      </c>
      <c r="NJ74">
        <v>0</v>
      </c>
      <c r="NK74" cm="1">
        <f t="array" ref="NK74">IFERROR(MAX((_xlfn.ANCHORARRAY(NH74)-AVERAGE(_xlfn.ANCHORARRAY(NH74)))/ AVERAGE(_xlfn.ANCHORARRAY(NH74))),0)</f>
        <v>0</v>
      </c>
      <c r="NL74" t="str" cm="1">
        <f t="array" ref="NL74">IF(NK74&gt;$NL$1,_xlfn.XLOOKUP(MAX(_xlfn.ANCHORARRAY(NH74)),_xlfn.ANCHORARRAY(NH74),NH$4:NJ$4,""),"")</f>
        <v/>
      </c>
      <c r="NN74" cm="1">
        <f t="array" ref="NN74:NR74">SUMIFS($J74:$GG74,$J$3:$GG$3,NN$3:NR$3)</f>
        <v>0</v>
      </c>
      <c r="NO74">
        <v>0</v>
      </c>
      <c r="NP74">
        <v>0</v>
      </c>
      <c r="NQ74">
        <v>0</v>
      </c>
      <c r="NR74">
        <v>0</v>
      </c>
      <c r="NS74" cm="1">
        <f t="array" ref="NS74">IFERROR(MAX((_xlfn.ANCHORARRAY(NN74)-AVERAGE(_xlfn.ANCHORARRAY(NN74)))/ AVERAGE(_xlfn.ANCHORARRAY(NN74))),0)</f>
        <v>0</v>
      </c>
      <c r="NT74" t="str" cm="1">
        <f t="array" ref="NT74">IF(AND(NS74&gt;$NT$1,NL74&lt;&gt;""),_xlfn.XLOOKUP(MAX(_xlfn.ANCHORARRAY(NN74)),_xlfn.ANCHORARRAY(NN74),NN$4:NR$4,""),"")</f>
        <v/>
      </c>
      <c r="NV74" cm="1">
        <f t="array" ref="NV74:OE74">SUMIFS($J74:$GG74,$J$2:$GG$2,NV$3:OE$3)</f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 cm="1">
        <f t="array" ref="OF74">IFERROR(MAX((_xlfn.ANCHORARRAY(NV74)-AVERAGE(_xlfn.ANCHORARRAY(NV74)))/ AVERAGE(_xlfn.ANCHORARRAY(NV74))),0)</f>
        <v>0</v>
      </c>
      <c r="OG74" t="str" cm="1">
        <f t="array" ref="OG74">IF(OF74&gt;$OG$1,_xlfn.XLOOKUP(MAX(_xlfn.ANCHORARRAY(NV74)),_xlfn.ANCHORARRAY(NV74),NV$4:OE$4,""),"")</f>
        <v/>
      </c>
      <c r="OI74" t="str">
        <f t="shared" si="17"/>
        <v/>
      </c>
    </row>
    <row r="75" spans="1:399" x14ac:dyDescent="0.3">
      <c r="A75" s="2"/>
      <c r="B75" s="2" t="str">
        <f t="shared" si="9"/>
        <v>CORE</v>
      </c>
      <c r="C75" s="2" t="str">
        <f t="shared" si="10"/>
        <v>CORE</v>
      </c>
      <c r="D75" s="2" t="str">
        <f t="shared" si="11"/>
        <v>CORE</v>
      </c>
      <c r="E75" s="2" t="str">
        <f t="shared" si="12"/>
        <v/>
      </c>
      <c r="F75" s="2">
        <f t="shared" si="13"/>
        <v>0</v>
      </c>
      <c r="G75" s="2">
        <f t="shared" si="14"/>
        <v>0</v>
      </c>
      <c r="H75" s="2">
        <f t="shared" si="15"/>
        <v>0</v>
      </c>
      <c r="I75" s="2">
        <f t="shared" si="16"/>
        <v>0</v>
      </c>
      <c r="NH75" cm="1">
        <f t="array" ref="NH75:NJ75">SUMIFS($J75:$GG75,$J$1:$GG$1,NH$3:NJ$3)</f>
        <v>0</v>
      </c>
      <c r="NI75">
        <v>0</v>
      </c>
      <c r="NJ75">
        <v>0</v>
      </c>
      <c r="NK75" cm="1">
        <f t="array" ref="NK75">IFERROR(MAX((_xlfn.ANCHORARRAY(NH75)-AVERAGE(_xlfn.ANCHORARRAY(NH75)))/ AVERAGE(_xlfn.ANCHORARRAY(NH75))),0)</f>
        <v>0</v>
      </c>
      <c r="NL75" t="str" cm="1">
        <f t="array" ref="NL75">IF(NK75&gt;$NL$1,_xlfn.XLOOKUP(MAX(_xlfn.ANCHORARRAY(NH75)),_xlfn.ANCHORARRAY(NH75),NH$4:NJ$4,""),"")</f>
        <v/>
      </c>
      <c r="NN75" cm="1">
        <f t="array" ref="NN75:NR75">SUMIFS($J75:$GG75,$J$3:$GG$3,NN$3:NR$3)</f>
        <v>0</v>
      </c>
      <c r="NO75">
        <v>0</v>
      </c>
      <c r="NP75">
        <v>0</v>
      </c>
      <c r="NQ75">
        <v>0</v>
      </c>
      <c r="NR75">
        <v>0</v>
      </c>
      <c r="NS75" cm="1">
        <f t="array" ref="NS75">IFERROR(MAX((_xlfn.ANCHORARRAY(NN75)-AVERAGE(_xlfn.ANCHORARRAY(NN75)))/ AVERAGE(_xlfn.ANCHORARRAY(NN75))),0)</f>
        <v>0</v>
      </c>
      <c r="NT75" t="str" cm="1">
        <f t="array" ref="NT75">IF(AND(NS75&gt;$NT$1,NL75&lt;&gt;""),_xlfn.XLOOKUP(MAX(_xlfn.ANCHORARRAY(NN75)),_xlfn.ANCHORARRAY(NN75),NN$4:NR$4,""),"")</f>
        <v/>
      </c>
      <c r="NV75" cm="1">
        <f t="array" ref="NV75:OE75">SUMIFS($J75:$GG75,$J$2:$GG$2,NV$3:OE$3)</f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 cm="1">
        <f t="array" ref="OF75">IFERROR(MAX((_xlfn.ANCHORARRAY(NV75)-AVERAGE(_xlfn.ANCHORARRAY(NV75)))/ AVERAGE(_xlfn.ANCHORARRAY(NV75))),0)</f>
        <v>0</v>
      </c>
      <c r="OG75" t="str" cm="1">
        <f t="array" ref="OG75">IF(OF75&gt;$OG$1,_xlfn.XLOOKUP(MAX(_xlfn.ANCHORARRAY(NV75)),_xlfn.ANCHORARRAY(NV75),NV$4:OE$4,""),"")</f>
        <v/>
      </c>
      <c r="OI75" t="str">
        <f t="shared" si="17"/>
        <v/>
      </c>
    </row>
    <row r="76" spans="1:399" x14ac:dyDescent="0.3">
      <c r="A76" s="2"/>
      <c r="B76" s="2" t="str">
        <f t="shared" si="9"/>
        <v>CORE</v>
      </c>
      <c r="C76" s="2" t="str">
        <f t="shared" si="10"/>
        <v>CORE</v>
      </c>
      <c r="D76" s="2" t="str">
        <f t="shared" si="11"/>
        <v>CORE</v>
      </c>
      <c r="E76" s="2" t="str">
        <f t="shared" si="12"/>
        <v/>
      </c>
      <c r="F76" s="2">
        <f t="shared" si="13"/>
        <v>0</v>
      </c>
      <c r="G76" s="2">
        <f t="shared" si="14"/>
        <v>0</v>
      </c>
      <c r="H76" s="2">
        <f t="shared" si="15"/>
        <v>0</v>
      </c>
      <c r="I76" s="2">
        <f t="shared" si="16"/>
        <v>0</v>
      </c>
      <c r="NH76" cm="1">
        <f t="array" ref="NH76:NJ76">SUMIFS($J76:$GG76,$J$1:$GG$1,NH$3:NJ$3)</f>
        <v>0</v>
      </c>
      <c r="NI76">
        <v>0</v>
      </c>
      <c r="NJ76">
        <v>0</v>
      </c>
      <c r="NK76" cm="1">
        <f t="array" ref="NK76">IFERROR(MAX((_xlfn.ANCHORARRAY(NH76)-AVERAGE(_xlfn.ANCHORARRAY(NH76)))/ AVERAGE(_xlfn.ANCHORARRAY(NH76))),0)</f>
        <v>0</v>
      </c>
      <c r="NL76" t="str" cm="1">
        <f t="array" ref="NL76">IF(NK76&gt;$NL$1,_xlfn.XLOOKUP(MAX(_xlfn.ANCHORARRAY(NH76)),_xlfn.ANCHORARRAY(NH76),NH$4:NJ$4,""),"")</f>
        <v/>
      </c>
      <c r="NN76" cm="1">
        <f t="array" ref="NN76:NR76">SUMIFS($J76:$GG76,$J$3:$GG$3,NN$3:NR$3)</f>
        <v>0</v>
      </c>
      <c r="NO76">
        <v>0</v>
      </c>
      <c r="NP76">
        <v>0</v>
      </c>
      <c r="NQ76">
        <v>0</v>
      </c>
      <c r="NR76">
        <v>0</v>
      </c>
      <c r="NS76" cm="1">
        <f t="array" ref="NS76">IFERROR(MAX((_xlfn.ANCHORARRAY(NN76)-AVERAGE(_xlfn.ANCHORARRAY(NN76)))/ AVERAGE(_xlfn.ANCHORARRAY(NN76))),0)</f>
        <v>0</v>
      </c>
      <c r="NT76" t="str" cm="1">
        <f t="array" ref="NT76">IF(AND(NS76&gt;$NT$1,NL76&lt;&gt;""),_xlfn.XLOOKUP(MAX(_xlfn.ANCHORARRAY(NN76)),_xlfn.ANCHORARRAY(NN76),NN$4:NR$4,""),"")</f>
        <v/>
      </c>
      <c r="NV76" cm="1">
        <f t="array" ref="NV76:OE76">SUMIFS($J76:$GG76,$J$2:$GG$2,NV$3:OE$3)</f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 cm="1">
        <f t="array" ref="OF76">IFERROR(MAX((_xlfn.ANCHORARRAY(NV76)-AVERAGE(_xlfn.ANCHORARRAY(NV76)))/ AVERAGE(_xlfn.ANCHORARRAY(NV76))),0)</f>
        <v>0</v>
      </c>
      <c r="OG76" t="str" cm="1">
        <f t="array" ref="OG76">IF(OF76&gt;$OG$1,_xlfn.XLOOKUP(MAX(_xlfn.ANCHORARRAY(NV76)),_xlfn.ANCHORARRAY(NV76),NV$4:OE$4,""),"")</f>
        <v/>
      </c>
      <c r="OI76" t="str">
        <f t="shared" si="17"/>
        <v/>
      </c>
    </row>
    <row r="77" spans="1:399" x14ac:dyDescent="0.3">
      <c r="A77" s="2"/>
      <c r="B77" s="2" t="str">
        <f t="shared" si="9"/>
        <v>CORE</v>
      </c>
      <c r="C77" s="2" t="str">
        <f t="shared" si="10"/>
        <v>CORE</v>
      </c>
      <c r="D77" s="2" t="str">
        <f t="shared" si="11"/>
        <v>CORE</v>
      </c>
      <c r="E77" s="2" t="str">
        <f t="shared" si="12"/>
        <v/>
      </c>
      <c r="F77" s="2">
        <f t="shared" si="13"/>
        <v>0</v>
      </c>
      <c r="G77" s="2">
        <f t="shared" si="14"/>
        <v>0</v>
      </c>
      <c r="H77" s="2">
        <f t="shared" si="15"/>
        <v>0</v>
      </c>
      <c r="I77" s="2">
        <f t="shared" si="16"/>
        <v>0</v>
      </c>
      <c r="NH77" cm="1">
        <f t="array" ref="NH77:NJ77">SUMIFS($J77:$GG77,$J$1:$GG$1,NH$3:NJ$3)</f>
        <v>0</v>
      </c>
      <c r="NI77">
        <v>0</v>
      </c>
      <c r="NJ77">
        <v>0</v>
      </c>
      <c r="NK77" cm="1">
        <f t="array" ref="NK77">IFERROR(MAX((_xlfn.ANCHORARRAY(NH77)-AVERAGE(_xlfn.ANCHORARRAY(NH77)))/ AVERAGE(_xlfn.ANCHORARRAY(NH77))),0)</f>
        <v>0</v>
      </c>
      <c r="NL77" t="str" cm="1">
        <f t="array" ref="NL77">IF(NK77&gt;$NL$1,_xlfn.XLOOKUP(MAX(_xlfn.ANCHORARRAY(NH77)),_xlfn.ANCHORARRAY(NH77),NH$4:NJ$4,""),"")</f>
        <v/>
      </c>
      <c r="NN77" cm="1">
        <f t="array" ref="NN77:NR77">SUMIFS($J77:$GG77,$J$3:$GG$3,NN$3:NR$3)</f>
        <v>0</v>
      </c>
      <c r="NO77">
        <v>0</v>
      </c>
      <c r="NP77">
        <v>0</v>
      </c>
      <c r="NQ77">
        <v>0</v>
      </c>
      <c r="NR77">
        <v>0</v>
      </c>
      <c r="NS77" cm="1">
        <f t="array" ref="NS77">IFERROR(MAX((_xlfn.ANCHORARRAY(NN77)-AVERAGE(_xlfn.ANCHORARRAY(NN77)))/ AVERAGE(_xlfn.ANCHORARRAY(NN77))),0)</f>
        <v>0</v>
      </c>
      <c r="NT77" t="str" cm="1">
        <f t="array" ref="NT77">IF(AND(NS77&gt;$NT$1,NL77&lt;&gt;""),_xlfn.XLOOKUP(MAX(_xlfn.ANCHORARRAY(NN77)),_xlfn.ANCHORARRAY(NN77),NN$4:NR$4,""),"")</f>
        <v/>
      </c>
      <c r="NV77" cm="1">
        <f t="array" ref="NV77:OE77">SUMIFS($J77:$GG77,$J$2:$GG$2,NV$3:OE$3)</f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 cm="1">
        <f t="array" ref="OF77">IFERROR(MAX((_xlfn.ANCHORARRAY(NV77)-AVERAGE(_xlfn.ANCHORARRAY(NV77)))/ AVERAGE(_xlfn.ANCHORARRAY(NV77))),0)</f>
        <v>0</v>
      </c>
      <c r="OG77" t="str" cm="1">
        <f t="array" ref="OG77">IF(OF77&gt;$OG$1,_xlfn.XLOOKUP(MAX(_xlfn.ANCHORARRAY(NV77)),_xlfn.ANCHORARRAY(NV77),NV$4:OE$4,""),"")</f>
        <v/>
      </c>
      <c r="OI77" t="str">
        <f t="shared" si="17"/>
        <v/>
      </c>
    </row>
    <row r="78" spans="1:399" x14ac:dyDescent="0.3">
      <c r="A78" s="2"/>
      <c r="B78" s="2" t="str">
        <f t="shared" si="9"/>
        <v>CORE</v>
      </c>
      <c r="C78" s="2" t="str">
        <f t="shared" si="10"/>
        <v>CORE</v>
      </c>
      <c r="D78" s="2" t="str">
        <f t="shared" si="11"/>
        <v>CORE</v>
      </c>
      <c r="E78" s="2" t="str">
        <f t="shared" si="12"/>
        <v/>
      </c>
      <c r="F78" s="2">
        <f t="shared" si="13"/>
        <v>0</v>
      </c>
      <c r="G78" s="2">
        <f t="shared" si="14"/>
        <v>0</v>
      </c>
      <c r="H78" s="2">
        <f t="shared" si="15"/>
        <v>0</v>
      </c>
      <c r="I78" s="2">
        <f t="shared" si="16"/>
        <v>0</v>
      </c>
      <c r="NH78" cm="1">
        <f t="array" ref="NH78:NJ78">SUMIFS($J78:$GG78,$J$1:$GG$1,NH$3:NJ$3)</f>
        <v>0</v>
      </c>
      <c r="NI78">
        <v>0</v>
      </c>
      <c r="NJ78">
        <v>0</v>
      </c>
      <c r="NK78" cm="1">
        <f t="array" ref="NK78">IFERROR(MAX((_xlfn.ANCHORARRAY(NH78)-AVERAGE(_xlfn.ANCHORARRAY(NH78)))/ AVERAGE(_xlfn.ANCHORARRAY(NH78))),0)</f>
        <v>0</v>
      </c>
      <c r="NL78" t="str" cm="1">
        <f t="array" ref="NL78">IF(NK78&gt;$NL$1,_xlfn.XLOOKUP(MAX(_xlfn.ANCHORARRAY(NH78)),_xlfn.ANCHORARRAY(NH78),NH$4:NJ$4,""),"")</f>
        <v/>
      </c>
      <c r="NN78" cm="1">
        <f t="array" ref="NN78:NR78">SUMIFS($J78:$GG78,$J$3:$GG$3,NN$3:NR$3)</f>
        <v>0</v>
      </c>
      <c r="NO78">
        <v>0</v>
      </c>
      <c r="NP78">
        <v>0</v>
      </c>
      <c r="NQ78">
        <v>0</v>
      </c>
      <c r="NR78">
        <v>0</v>
      </c>
      <c r="NS78" cm="1">
        <f t="array" ref="NS78">IFERROR(MAX((_xlfn.ANCHORARRAY(NN78)-AVERAGE(_xlfn.ANCHORARRAY(NN78)))/ AVERAGE(_xlfn.ANCHORARRAY(NN78))),0)</f>
        <v>0</v>
      </c>
      <c r="NT78" t="str" cm="1">
        <f t="array" ref="NT78">IF(AND(NS78&gt;$NT$1,NL78&lt;&gt;""),_xlfn.XLOOKUP(MAX(_xlfn.ANCHORARRAY(NN78)),_xlfn.ANCHORARRAY(NN78),NN$4:NR$4,""),"")</f>
        <v/>
      </c>
      <c r="NV78" cm="1">
        <f t="array" ref="NV78:OE78">SUMIFS($J78:$GG78,$J$2:$GG$2,NV$3:OE$3)</f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 cm="1">
        <f t="array" ref="OF78">IFERROR(MAX((_xlfn.ANCHORARRAY(NV78)-AVERAGE(_xlfn.ANCHORARRAY(NV78)))/ AVERAGE(_xlfn.ANCHORARRAY(NV78))),0)</f>
        <v>0</v>
      </c>
      <c r="OG78" t="str" cm="1">
        <f t="array" ref="OG78">IF(OF78&gt;$OG$1,_xlfn.XLOOKUP(MAX(_xlfn.ANCHORARRAY(NV78)),_xlfn.ANCHORARRAY(NV78),NV$4:OE$4,""),"")</f>
        <v/>
      </c>
      <c r="OI78" t="str">
        <f t="shared" si="17"/>
        <v/>
      </c>
    </row>
    <row r="79" spans="1:399" x14ac:dyDescent="0.3">
      <c r="A79" s="2"/>
      <c r="B79" s="2" t="str">
        <f t="shared" si="9"/>
        <v>CORE</v>
      </c>
      <c r="C79" s="2" t="str">
        <f t="shared" si="10"/>
        <v>CORE</v>
      </c>
      <c r="D79" s="2" t="str">
        <f t="shared" si="11"/>
        <v>CORE</v>
      </c>
      <c r="E79" s="2" t="str">
        <f t="shared" si="12"/>
        <v/>
      </c>
      <c r="F79" s="2">
        <f t="shared" si="13"/>
        <v>0</v>
      </c>
      <c r="G79" s="2">
        <f t="shared" si="14"/>
        <v>0</v>
      </c>
      <c r="H79" s="2">
        <f t="shared" si="15"/>
        <v>0</v>
      </c>
      <c r="I79" s="2">
        <f t="shared" si="16"/>
        <v>0</v>
      </c>
      <c r="NH79" cm="1">
        <f t="array" ref="NH79:NJ79">SUMIFS($J79:$GG79,$J$1:$GG$1,NH$3:NJ$3)</f>
        <v>0</v>
      </c>
      <c r="NI79">
        <v>0</v>
      </c>
      <c r="NJ79">
        <v>0</v>
      </c>
      <c r="NK79" cm="1">
        <f t="array" ref="NK79">IFERROR(MAX((_xlfn.ANCHORARRAY(NH79)-AVERAGE(_xlfn.ANCHORARRAY(NH79)))/ AVERAGE(_xlfn.ANCHORARRAY(NH79))),0)</f>
        <v>0</v>
      </c>
      <c r="NL79" t="str" cm="1">
        <f t="array" ref="NL79">IF(NK79&gt;$NL$1,_xlfn.XLOOKUP(MAX(_xlfn.ANCHORARRAY(NH79)),_xlfn.ANCHORARRAY(NH79),NH$4:NJ$4,""),"")</f>
        <v/>
      </c>
      <c r="NN79" cm="1">
        <f t="array" ref="NN79:NR79">SUMIFS($J79:$GG79,$J$3:$GG$3,NN$3:NR$3)</f>
        <v>0</v>
      </c>
      <c r="NO79">
        <v>0</v>
      </c>
      <c r="NP79">
        <v>0</v>
      </c>
      <c r="NQ79">
        <v>0</v>
      </c>
      <c r="NR79">
        <v>0</v>
      </c>
      <c r="NS79" cm="1">
        <f t="array" ref="NS79">IFERROR(MAX((_xlfn.ANCHORARRAY(NN79)-AVERAGE(_xlfn.ANCHORARRAY(NN79)))/ AVERAGE(_xlfn.ANCHORARRAY(NN79))),0)</f>
        <v>0</v>
      </c>
      <c r="NT79" t="str" cm="1">
        <f t="array" ref="NT79">IF(AND(NS79&gt;$NT$1,NL79&lt;&gt;""),_xlfn.XLOOKUP(MAX(_xlfn.ANCHORARRAY(NN79)),_xlfn.ANCHORARRAY(NN79),NN$4:NR$4,""),"")</f>
        <v/>
      </c>
      <c r="NV79" cm="1">
        <f t="array" ref="NV79:OE79">SUMIFS($J79:$GG79,$J$2:$GG$2,NV$3:OE$3)</f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 cm="1">
        <f t="array" ref="OF79">IFERROR(MAX((_xlfn.ANCHORARRAY(NV79)-AVERAGE(_xlfn.ANCHORARRAY(NV79)))/ AVERAGE(_xlfn.ANCHORARRAY(NV79))),0)</f>
        <v>0</v>
      </c>
      <c r="OG79" t="str" cm="1">
        <f t="array" ref="OG79">IF(OF79&gt;$OG$1,_xlfn.XLOOKUP(MAX(_xlfn.ANCHORARRAY(NV79)),_xlfn.ANCHORARRAY(NV79),NV$4:OE$4,""),"")</f>
        <v/>
      </c>
      <c r="OI79" t="str">
        <f t="shared" si="17"/>
        <v/>
      </c>
    </row>
    <row r="80" spans="1:399" x14ac:dyDescent="0.3">
      <c r="A80" s="2"/>
      <c r="B80" s="2" t="str">
        <f t="shared" si="9"/>
        <v>CORE</v>
      </c>
      <c r="C80" s="2" t="str">
        <f t="shared" si="10"/>
        <v>CORE</v>
      </c>
      <c r="D80" s="2" t="str">
        <f t="shared" si="11"/>
        <v>CORE</v>
      </c>
      <c r="E80" s="2" t="str">
        <f t="shared" si="12"/>
        <v/>
      </c>
      <c r="F80" s="2">
        <f t="shared" si="13"/>
        <v>0</v>
      </c>
      <c r="G80" s="2">
        <f t="shared" si="14"/>
        <v>0</v>
      </c>
      <c r="H80" s="2">
        <f t="shared" si="15"/>
        <v>0</v>
      </c>
      <c r="I80" s="2">
        <f t="shared" si="16"/>
        <v>0</v>
      </c>
      <c r="NH80" cm="1">
        <f t="array" ref="NH80:NJ80">SUMIFS($J80:$GG80,$J$1:$GG$1,NH$3:NJ$3)</f>
        <v>0</v>
      </c>
      <c r="NI80">
        <v>0</v>
      </c>
      <c r="NJ80">
        <v>0</v>
      </c>
      <c r="NK80" cm="1">
        <f t="array" ref="NK80">IFERROR(MAX((_xlfn.ANCHORARRAY(NH80)-AVERAGE(_xlfn.ANCHORARRAY(NH80)))/ AVERAGE(_xlfn.ANCHORARRAY(NH80))),0)</f>
        <v>0</v>
      </c>
      <c r="NL80" t="str" cm="1">
        <f t="array" ref="NL80">IF(NK80&gt;$NL$1,_xlfn.XLOOKUP(MAX(_xlfn.ANCHORARRAY(NH80)),_xlfn.ANCHORARRAY(NH80),NH$4:NJ$4,""),"")</f>
        <v/>
      </c>
      <c r="NN80" cm="1">
        <f t="array" ref="NN80:NR80">SUMIFS($J80:$GG80,$J$3:$GG$3,NN$3:NR$3)</f>
        <v>0</v>
      </c>
      <c r="NO80">
        <v>0</v>
      </c>
      <c r="NP80">
        <v>0</v>
      </c>
      <c r="NQ80">
        <v>0</v>
      </c>
      <c r="NR80">
        <v>0</v>
      </c>
      <c r="NS80" cm="1">
        <f t="array" ref="NS80">IFERROR(MAX((_xlfn.ANCHORARRAY(NN80)-AVERAGE(_xlfn.ANCHORARRAY(NN80)))/ AVERAGE(_xlfn.ANCHORARRAY(NN80))),0)</f>
        <v>0</v>
      </c>
      <c r="NT80" t="str" cm="1">
        <f t="array" ref="NT80">IF(AND(NS80&gt;$NT$1,NL80&lt;&gt;""),_xlfn.XLOOKUP(MAX(_xlfn.ANCHORARRAY(NN80)),_xlfn.ANCHORARRAY(NN80),NN$4:NR$4,""),"")</f>
        <v/>
      </c>
      <c r="NV80" cm="1">
        <f t="array" ref="NV80:OE80">SUMIFS($J80:$GG80,$J$2:$GG$2,NV$3:OE$3)</f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 cm="1">
        <f t="array" ref="OF80">IFERROR(MAX((_xlfn.ANCHORARRAY(NV80)-AVERAGE(_xlfn.ANCHORARRAY(NV80)))/ AVERAGE(_xlfn.ANCHORARRAY(NV80))),0)</f>
        <v>0</v>
      </c>
      <c r="OG80" t="str" cm="1">
        <f t="array" ref="OG80">IF(OF80&gt;$OG$1,_xlfn.XLOOKUP(MAX(_xlfn.ANCHORARRAY(NV80)),_xlfn.ANCHORARRAY(NV80),NV$4:OE$4,""),"")</f>
        <v/>
      </c>
      <c r="OI80" t="str">
        <f t="shared" si="17"/>
        <v/>
      </c>
    </row>
    <row r="81" spans="1:399" x14ac:dyDescent="0.3">
      <c r="A81" s="2"/>
      <c r="B81" s="2" t="str">
        <f t="shared" si="9"/>
        <v>CORE</v>
      </c>
      <c r="C81" s="2" t="str">
        <f t="shared" si="10"/>
        <v>CORE</v>
      </c>
      <c r="D81" s="2" t="str">
        <f t="shared" si="11"/>
        <v>CORE</v>
      </c>
      <c r="E81" s="2" t="str">
        <f t="shared" si="12"/>
        <v/>
      </c>
      <c r="F81" s="2">
        <f t="shared" si="13"/>
        <v>0</v>
      </c>
      <c r="G81" s="2">
        <f t="shared" si="14"/>
        <v>0</v>
      </c>
      <c r="H81" s="2">
        <f t="shared" si="15"/>
        <v>0</v>
      </c>
      <c r="I81" s="2">
        <f t="shared" si="16"/>
        <v>0</v>
      </c>
      <c r="NH81" cm="1">
        <f t="array" ref="NH81:NJ81">SUMIFS($J81:$GG81,$J$1:$GG$1,NH$3:NJ$3)</f>
        <v>0</v>
      </c>
      <c r="NI81">
        <v>0</v>
      </c>
      <c r="NJ81">
        <v>0</v>
      </c>
      <c r="NK81" cm="1">
        <f t="array" ref="NK81">IFERROR(MAX((_xlfn.ANCHORARRAY(NH81)-AVERAGE(_xlfn.ANCHORARRAY(NH81)))/ AVERAGE(_xlfn.ANCHORARRAY(NH81))),0)</f>
        <v>0</v>
      </c>
      <c r="NL81" t="str" cm="1">
        <f t="array" ref="NL81">IF(NK81&gt;$NL$1,_xlfn.XLOOKUP(MAX(_xlfn.ANCHORARRAY(NH81)),_xlfn.ANCHORARRAY(NH81),NH$4:NJ$4,""),"")</f>
        <v/>
      </c>
      <c r="NN81" cm="1">
        <f t="array" ref="NN81:NR81">SUMIFS($J81:$GG81,$J$3:$GG$3,NN$3:NR$3)</f>
        <v>0</v>
      </c>
      <c r="NO81">
        <v>0</v>
      </c>
      <c r="NP81">
        <v>0</v>
      </c>
      <c r="NQ81">
        <v>0</v>
      </c>
      <c r="NR81">
        <v>0</v>
      </c>
      <c r="NS81" cm="1">
        <f t="array" ref="NS81">IFERROR(MAX((_xlfn.ANCHORARRAY(NN81)-AVERAGE(_xlfn.ANCHORARRAY(NN81)))/ AVERAGE(_xlfn.ANCHORARRAY(NN81))),0)</f>
        <v>0</v>
      </c>
      <c r="NT81" t="str" cm="1">
        <f t="array" ref="NT81">IF(AND(NS81&gt;$NT$1,NL81&lt;&gt;""),_xlfn.XLOOKUP(MAX(_xlfn.ANCHORARRAY(NN81)),_xlfn.ANCHORARRAY(NN81),NN$4:NR$4,""),"")</f>
        <v/>
      </c>
      <c r="NV81" cm="1">
        <f t="array" ref="NV81:OE81">SUMIFS($J81:$GG81,$J$2:$GG$2,NV$3:OE$3)</f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 cm="1">
        <f t="array" ref="OF81">IFERROR(MAX((_xlfn.ANCHORARRAY(NV81)-AVERAGE(_xlfn.ANCHORARRAY(NV81)))/ AVERAGE(_xlfn.ANCHORARRAY(NV81))),0)</f>
        <v>0</v>
      </c>
      <c r="OG81" t="str" cm="1">
        <f t="array" ref="OG81">IF(OF81&gt;$OG$1,_xlfn.XLOOKUP(MAX(_xlfn.ANCHORARRAY(NV81)),_xlfn.ANCHORARRAY(NV81),NV$4:OE$4,""),"")</f>
        <v/>
      </c>
      <c r="OI81" t="str">
        <f t="shared" si="17"/>
        <v/>
      </c>
    </row>
    <row r="82" spans="1:399" x14ac:dyDescent="0.3">
      <c r="A82" s="2"/>
      <c r="B82" s="2" t="str">
        <f t="shared" si="9"/>
        <v>CORE</v>
      </c>
      <c r="C82" s="2" t="str">
        <f t="shared" si="10"/>
        <v>CORE</v>
      </c>
      <c r="D82" s="2" t="str">
        <f t="shared" si="11"/>
        <v>CORE</v>
      </c>
      <c r="E82" s="2" t="str">
        <f t="shared" si="12"/>
        <v/>
      </c>
      <c r="F82" s="2">
        <f t="shared" si="13"/>
        <v>0</v>
      </c>
      <c r="G82" s="2">
        <f t="shared" si="14"/>
        <v>0</v>
      </c>
      <c r="H82" s="2">
        <f t="shared" si="15"/>
        <v>0</v>
      </c>
      <c r="I82" s="2">
        <f t="shared" si="16"/>
        <v>0</v>
      </c>
      <c r="NH82" cm="1">
        <f t="array" ref="NH82:NJ82">SUMIFS($J82:$GG82,$J$1:$GG$1,NH$3:NJ$3)</f>
        <v>0</v>
      </c>
      <c r="NI82">
        <v>0</v>
      </c>
      <c r="NJ82">
        <v>0</v>
      </c>
      <c r="NK82" cm="1">
        <f t="array" ref="NK82">IFERROR(MAX((_xlfn.ANCHORARRAY(NH82)-AVERAGE(_xlfn.ANCHORARRAY(NH82)))/ AVERAGE(_xlfn.ANCHORARRAY(NH82))),0)</f>
        <v>0</v>
      </c>
      <c r="NL82" t="str" cm="1">
        <f t="array" ref="NL82">IF(NK82&gt;$NL$1,_xlfn.XLOOKUP(MAX(_xlfn.ANCHORARRAY(NH82)),_xlfn.ANCHORARRAY(NH82),NH$4:NJ$4,""),"")</f>
        <v/>
      </c>
      <c r="NN82" cm="1">
        <f t="array" ref="NN82:NR82">SUMIFS($J82:$GG82,$J$3:$GG$3,NN$3:NR$3)</f>
        <v>0</v>
      </c>
      <c r="NO82">
        <v>0</v>
      </c>
      <c r="NP82">
        <v>0</v>
      </c>
      <c r="NQ82">
        <v>0</v>
      </c>
      <c r="NR82">
        <v>0</v>
      </c>
      <c r="NS82" cm="1">
        <f t="array" ref="NS82">IFERROR(MAX((_xlfn.ANCHORARRAY(NN82)-AVERAGE(_xlfn.ANCHORARRAY(NN82)))/ AVERAGE(_xlfn.ANCHORARRAY(NN82))),0)</f>
        <v>0</v>
      </c>
      <c r="NT82" t="str" cm="1">
        <f t="array" ref="NT82">IF(AND(NS82&gt;$NT$1,NL82&lt;&gt;""),_xlfn.XLOOKUP(MAX(_xlfn.ANCHORARRAY(NN82)),_xlfn.ANCHORARRAY(NN82),NN$4:NR$4,""),"")</f>
        <v/>
      </c>
      <c r="NV82" cm="1">
        <f t="array" ref="NV82:OE82">SUMIFS($J82:$GG82,$J$2:$GG$2,NV$3:OE$3)</f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 cm="1">
        <f t="array" ref="OF82">IFERROR(MAX((_xlfn.ANCHORARRAY(NV82)-AVERAGE(_xlfn.ANCHORARRAY(NV82)))/ AVERAGE(_xlfn.ANCHORARRAY(NV82))),0)</f>
        <v>0</v>
      </c>
      <c r="OG82" t="str" cm="1">
        <f t="array" ref="OG82">IF(OF82&gt;$OG$1,_xlfn.XLOOKUP(MAX(_xlfn.ANCHORARRAY(NV82)),_xlfn.ANCHORARRAY(NV82),NV$4:OE$4,""),"")</f>
        <v/>
      </c>
      <c r="OI82" t="str">
        <f t="shared" si="17"/>
        <v/>
      </c>
    </row>
    <row r="83" spans="1:399" x14ac:dyDescent="0.3">
      <c r="A83" s="2"/>
      <c r="B83" s="2" t="str">
        <f t="shared" si="9"/>
        <v>CORE</v>
      </c>
      <c r="C83" s="2" t="str">
        <f t="shared" si="10"/>
        <v>CORE</v>
      </c>
      <c r="D83" s="2" t="str">
        <f t="shared" si="11"/>
        <v>CORE</v>
      </c>
      <c r="E83" s="2" t="str">
        <f t="shared" si="12"/>
        <v/>
      </c>
      <c r="F83" s="2">
        <f t="shared" si="13"/>
        <v>0</v>
      </c>
      <c r="G83" s="2">
        <f t="shared" si="14"/>
        <v>0</v>
      </c>
      <c r="H83" s="2">
        <f t="shared" si="15"/>
        <v>0</v>
      </c>
      <c r="I83" s="2">
        <f t="shared" si="16"/>
        <v>0</v>
      </c>
      <c r="NH83" cm="1">
        <f t="array" ref="NH83:NJ83">SUMIFS($J83:$GG83,$J$1:$GG$1,NH$3:NJ$3)</f>
        <v>0</v>
      </c>
      <c r="NI83">
        <v>0</v>
      </c>
      <c r="NJ83">
        <v>0</v>
      </c>
      <c r="NK83" cm="1">
        <f t="array" ref="NK83">IFERROR(MAX((_xlfn.ANCHORARRAY(NH83)-AVERAGE(_xlfn.ANCHORARRAY(NH83)))/ AVERAGE(_xlfn.ANCHORARRAY(NH83))),0)</f>
        <v>0</v>
      </c>
      <c r="NL83" t="str" cm="1">
        <f t="array" ref="NL83">IF(NK83&gt;$NL$1,_xlfn.XLOOKUP(MAX(_xlfn.ANCHORARRAY(NH83)),_xlfn.ANCHORARRAY(NH83),NH$4:NJ$4,""),"")</f>
        <v/>
      </c>
      <c r="NN83" cm="1">
        <f t="array" ref="NN83:NR83">SUMIFS($J83:$GG83,$J$3:$GG$3,NN$3:NR$3)</f>
        <v>0</v>
      </c>
      <c r="NO83">
        <v>0</v>
      </c>
      <c r="NP83">
        <v>0</v>
      </c>
      <c r="NQ83">
        <v>0</v>
      </c>
      <c r="NR83">
        <v>0</v>
      </c>
      <c r="NS83" cm="1">
        <f t="array" ref="NS83">IFERROR(MAX((_xlfn.ANCHORARRAY(NN83)-AVERAGE(_xlfn.ANCHORARRAY(NN83)))/ AVERAGE(_xlfn.ANCHORARRAY(NN83))),0)</f>
        <v>0</v>
      </c>
      <c r="NT83" t="str" cm="1">
        <f t="array" ref="NT83">IF(AND(NS83&gt;$NT$1,NL83&lt;&gt;""),_xlfn.XLOOKUP(MAX(_xlfn.ANCHORARRAY(NN83)),_xlfn.ANCHORARRAY(NN83),NN$4:NR$4,""),"")</f>
        <v/>
      </c>
      <c r="NV83" cm="1">
        <f t="array" ref="NV83:OE83">SUMIFS($J83:$GG83,$J$2:$GG$2,NV$3:OE$3)</f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 cm="1">
        <f t="array" ref="OF83">IFERROR(MAX((_xlfn.ANCHORARRAY(NV83)-AVERAGE(_xlfn.ANCHORARRAY(NV83)))/ AVERAGE(_xlfn.ANCHORARRAY(NV83))),0)</f>
        <v>0</v>
      </c>
      <c r="OG83" t="str" cm="1">
        <f t="array" ref="OG83">IF(OF83&gt;$OG$1,_xlfn.XLOOKUP(MAX(_xlfn.ANCHORARRAY(NV83)),_xlfn.ANCHORARRAY(NV83),NV$4:OE$4,""),"")</f>
        <v/>
      </c>
      <c r="OI83" t="str">
        <f t="shared" si="17"/>
        <v/>
      </c>
    </row>
    <row r="84" spans="1:399" x14ac:dyDescent="0.3">
      <c r="A84" s="2"/>
      <c r="B84" s="2" t="str">
        <f t="shared" si="9"/>
        <v>CORE</v>
      </c>
      <c r="C84" s="2" t="str">
        <f t="shared" si="10"/>
        <v>CORE</v>
      </c>
      <c r="D84" s="2" t="str">
        <f t="shared" si="11"/>
        <v>CORE</v>
      </c>
      <c r="E84" s="2" t="str">
        <f t="shared" si="12"/>
        <v/>
      </c>
      <c r="F84" s="2">
        <f t="shared" si="13"/>
        <v>0</v>
      </c>
      <c r="G84" s="2">
        <f t="shared" si="14"/>
        <v>0</v>
      </c>
      <c r="H84" s="2">
        <f t="shared" si="15"/>
        <v>0</v>
      </c>
      <c r="I84" s="2">
        <f t="shared" si="16"/>
        <v>0</v>
      </c>
      <c r="NH84" cm="1">
        <f t="array" ref="NH84:NJ84">SUMIFS($J84:$GG84,$J$1:$GG$1,NH$3:NJ$3)</f>
        <v>0</v>
      </c>
      <c r="NI84">
        <v>0</v>
      </c>
      <c r="NJ84">
        <v>0</v>
      </c>
      <c r="NK84" cm="1">
        <f t="array" ref="NK84">IFERROR(MAX((_xlfn.ANCHORARRAY(NH84)-AVERAGE(_xlfn.ANCHORARRAY(NH84)))/ AVERAGE(_xlfn.ANCHORARRAY(NH84))),0)</f>
        <v>0</v>
      </c>
      <c r="NL84" t="str" cm="1">
        <f t="array" ref="NL84">IF(NK84&gt;$NL$1,_xlfn.XLOOKUP(MAX(_xlfn.ANCHORARRAY(NH84)),_xlfn.ANCHORARRAY(NH84),NH$4:NJ$4,""),"")</f>
        <v/>
      </c>
      <c r="NN84" cm="1">
        <f t="array" ref="NN84:NR84">SUMIFS($J84:$GG84,$J$3:$GG$3,NN$3:NR$3)</f>
        <v>0</v>
      </c>
      <c r="NO84">
        <v>0</v>
      </c>
      <c r="NP84">
        <v>0</v>
      </c>
      <c r="NQ84">
        <v>0</v>
      </c>
      <c r="NR84">
        <v>0</v>
      </c>
      <c r="NS84" cm="1">
        <f t="array" ref="NS84">IFERROR(MAX((_xlfn.ANCHORARRAY(NN84)-AVERAGE(_xlfn.ANCHORARRAY(NN84)))/ AVERAGE(_xlfn.ANCHORARRAY(NN84))),0)</f>
        <v>0</v>
      </c>
      <c r="NT84" t="str" cm="1">
        <f t="array" ref="NT84">IF(AND(NS84&gt;$NT$1,NL84&lt;&gt;""),_xlfn.XLOOKUP(MAX(_xlfn.ANCHORARRAY(NN84)),_xlfn.ANCHORARRAY(NN84),NN$4:NR$4,""),"")</f>
        <v/>
      </c>
      <c r="NV84" cm="1">
        <f t="array" ref="NV84:OE84">SUMIFS($J84:$GG84,$J$2:$GG$2,NV$3:OE$3)</f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 cm="1">
        <f t="array" ref="OF84">IFERROR(MAX((_xlfn.ANCHORARRAY(NV84)-AVERAGE(_xlfn.ANCHORARRAY(NV84)))/ AVERAGE(_xlfn.ANCHORARRAY(NV84))),0)</f>
        <v>0</v>
      </c>
      <c r="OG84" t="str" cm="1">
        <f t="array" ref="OG84">IF(OF84&gt;$OG$1,_xlfn.XLOOKUP(MAX(_xlfn.ANCHORARRAY(NV84)),_xlfn.ANCHORARRAY(NV84),NV$4:OE$4,""),"")</f>
        <v/>
      </c>
      <c r="OI84" t="str">
        <f t="shared" si="17"/>
        <v/>
      </c>
    </row>
    <row r="85" spans="1:399" x14ac:dyDescent="0.3">
      <c r="A85" s="2"/>
      <c r="B85" s="2" t="str">
        <f t="shared" si="9"/>
        <v>CORE</v>
      </c>
      <c r="C85" s="2" t="str">
        <f t="shared" si="10"/>
        <v>CORE</v>
      </c>
      <c r="D85" s="2" t="str">
        <f t="shared" si="11"/>
        <v>CORE</v>
      </c>
      <c r="E85" s="2" t="str">
        <f t="shared" si="12"/>
        <v/>
      </c>
      <c r="F85" s="2">
        <f t="shared" si="13"/>
        <v>0</v>
      </c>
      <c r="G85" s="2">
        <f t="shared" si="14"/>
        <v>0</v>
      </c>
      <c r="H85" s="2">
        <f t="shared" si="15"/>
        <v>0</v>
      </c>
      <c r="I85" s="2">
        <f t="shared" si="16"/>
        <v>0</v>
      </c>
      <c r="NH85" cm="1">
        <f t="array" ref="NH85:NJ85">SUMIFS($J85:$GG85,$J$1:$GG$1,NH$3:NJ$3)</f>
        <v>0</v>
      </c>
      <c r="NI85">
        <v>0</v>
      </c>
      <c r="NJ85">
        <v>0</v>
      </c>
      <c r="NK85" cm="1">
        <f t="array" ref="NK85">IFERROR(MAX((_xlfn.ANCHORARRAY(NH85)-AVERAGE(_xlfn.ANCHORARRAY(NH85)))/ AVERAGE(_xlfn.ANCHORARRAY(NH85))),0)</f>
        <v>0</v>
      </c>
      <c r="NL85" t="str" cm="1">
        <f t="array" ref="NL85">IF(NK85&gt;$NL$1,_xlfn.XLOOKUP(MAX(_xlfn.ANCHORARRAY(NH85)),_xlfn.ANCHORARRAY(NH85),NH$4:NJ$4,""),"")</f>
        <v/>
      </c>
      <c r="NN85" cm="1">
        <f t="array" ref="NN85:NR85">SUMIFS($J85:$GG85,$J$3:$GG$3,NN$3:NR$3)</f>
        <v>0</v>
      </c>
      <c r="NO85">
        <v>0</v>
      </c>
      <c r="NP85">
        <v>0</v>
      </c>
      <c r="NQ85">
        <v>0</v>
      </c>
      <c r="NR85">
        <v>0</v>
      </c>
      <c r="NS85" cm="1">
        <f t="array" ref="NS85">IFERROR(MAX((_xlfn.ANCHORARRAY(NN85)-AVERAGE(_xlfn.ANCHORARRAY(NN85)))/ AVERAGE(_xlfn.ANCHORARRAY(NN85))),0)</f>
        <v>0</v>
      </c>
      <c r="NT85" t="str" cm="1">
        <f t="array" ref="NT85">IF(AND(NS85&gt;$NT$1,NL85&lt;&gt;""),_xlfn.XLOOKUP(MAX(_xlfn.ANCHORARRAY(NN85)),_xlfn.ANCHORARRAY(NN85),NN$4:NR$4,""),"")</f>
        <v/>
      </c>
      <c r="NV85" cm="1">
        <f t="array" ref="NV85:OE85">SUMIFS($J85:$GG85,$J$2:$GG$2,NV$3:OE$3)</f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 cm="1">
        <f t="array" ref="OF85">IFERROR(MAX((_xlfn.ANCHORARRAY(NV85)-AVERAGE(_xlfn.ANCHORARRAY(NV85)))/ AVERAGE(_xlfn.ANCHORARRAY(NV85))),0)</f>
        <v>0</v>
      </c>
      <c r="OG85" t="str" cm="1">
        <f t="array" ref="OG85">IF(OF85&gt;$OG$1,_xlfn.XLOOKUP(MAX(_xlfn.ANCHORARRAY(NV85)),_xlfn.ANCHORARRAY(NV85),NV$4:OE$4,""),"")</f>
        <v/>
      </c>
      <c r="OI85" t="str">
        <f t="shared" si="17"/>
        <v/>
      </c>
    </row>
    <row r="86" spans="1:399" x14ac:dyDescent="0.3">
      <c r="A86" s="2"/>
      <c r="B86" s="2" t="str">
        <f t="shared" si="9"/>
        <v>CORE</v>
      </c>
      <c r="C86" s="2" t="str">
        <f t="shared" si="10"/>
        <v>CORE</v>
      </c>
      <c r="D86" s="2" t="str">
        <f t="shared" si="11"/>
        <v>CORE</v>
      </c>
      <c r="E86" s="2" t="str">
        <f t="shared" si="12"/>
        <v/>
      </c>
      <c r="F86" s="2">
        <f t="shared" si="13"/>
        <v>0</v>
      </c>
      <c r="G86" s="2">
        <f t="shared" si="14"/>
        <v>0</v>
      </c>
      <c r="H86" s="2">
        <f t="shared" si="15"/>
        <v>0</v>
      </c>
      <c r="I86" s="2">
        <f t="shared" si="16"/>
        <v>0</v>
      </c>
      <c r="NH86" cm="1">
        <f t="array" ref="NH86:NJ86">SUMIFS($J86:$GG86,$J$1:$GG$1,NH$3:NJ$3)</f>
        <v>0</v>
      </c>
      <c r="NI86">
        <v>0</v>
      </c>
      <c r="NJ86">
        <v>0</v>
      </c>
      <c r="NK86" cm="1">
        <f t="array" ref="NK86">IFERROR(MAX((_xlfn.ANCHORARRAY(NH86)-AVERAGE(_xlfn.ANCHORARRAY(NH86)))/ AVERAGE(_xlfn.ANCHORARRAY(NH86))),0)</f>
        <v>0</v>
      </c>
      <c r="NL86" t="str" cm="1">
        <f t="array" ref="NL86">IF(NK86&gt;$NL$1,_xlfn.XLOOKUP(MAX(_xlfn.ANCHORARRAY(NH86)),_xlfn.ANCHORARRAY(NH86),NH$4:NJ$4,""),"")</f>
        <v/>
      </c>
      <c r="NN86" cm="1">
        <f t="array" ref="NN86:NR86">SUMIFS($J86:$GG86,$J$3:$GG$3,NN$3:NR$3)</f>
        <v>0</v>
      </c>
      <c r="NO86">
        <v>0</v>
      </c>
      <c r="NP86">
        <v>0</v>
      </c>
      <c r="NQ86">
        <v>0</v>
      </c>
      <c r="NR86">
        <v>0</v>
      </c>
      <c r="NS86" cm="1">
        <f t="array" ref="NS86">IFERROR(MAX((_xlfn.ANCHORARRAY(NN86)-AVERAGE(_xlfn.ANCHORARRAY(NN86)))/ AVERAGE(_xlfn.ANCHORARRAY(NN86))),0)</f>
        <v>0</v>
      </c>
      <c r="NT86" t="str" cm="1">
        <f t="array" ref="NT86">IF(AND(NS86&gt;$NT$1,NL86&lt;&gt;""),_xlfn.XLOOKUP(MAX(_xlfn.ANCHORARRAY(NN86)),_xlfn.ANCHORARRAY(NN86),NN$4:NR$4,""),"")</f>
        <v/>
      </c>
      <c r="NV86" cm="1">
        <f t="array" ref="NV86:OE86">SUMIFS($J86:$GG86,$J$2:$GG$2,NV$3:OE$3)</f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 cm="1">
        <f t="array" ref="OF86">IFERROR(MAX((_xlfn.ANCHORARRAY(NV86)-AVERAGE(_xlfn.ANCHORARRAY(NV86)))/ AVERAGE(_xlfn.ANCHORARRAY(NV86))),0)</f>
        <v>0</v>
      </c>
      <c r="OG86" t="str" cm="1">
        <f t="array" ref="OG86">IF(OF86&gt;$OG$1,_xlfn.XLOOKUP(MAX(_xlfn.ANCHORARRAY(NV86)),_xlfn.ANCHORARRAY(NV86),NV$4:OE$4,""),"")</f>
        <v/>
      </c>
      <c r="OI86" t="str">
        <f t="shared" si="17"/>
        <v/>
      </c>
    </row>
    <row r="87" spans="1:399" x14ac:dyDescent="0.3">
      <c r="A87" s="2"/>
      <c r="B87" s="2" t="str">
        <f t="shared" si="9"/>
        <v>CORE</v>
      </c>
      <c r="C87" s="2" t="str">
        <f t="shared" si="10"/>
        <v>CORE</v>
      </c>
      <c r="D87" s="2" t="str">
        <f t="shared" si="11"/>
        <v>CORE</v>
      </c>
      <c r="E87" s="2" t="str">
        <f t="shared" si="12"/>
        <v/>
      </c>
      <c r="F87" s="2">
        <f t="shared" si="13"/>
        <v>0</v>
      </c>
      <c r="G87" s="2">
        <f t="shared" si="14"/>
        <v>0</v>
      </c>
      <c r="H87" s="2">
        <f t="shared" si="15"/>
        <v>0</v>
      </c>
      <c r="I87" s="2">
        <f t="shared" si="16"/>
        <v>0</v>
      </c>
      <c r="NH87" cm="1">
        <f t="array" ref="NH87:NJ87">SUMIFS($J87:$GG87,$J$1:$GG$1,NH$3:NJ$3)</f>
        <v>0</v>
      </c>
      <c r="NI87">
        <v>0</v>
      </c>
      <c r="NJ87">
        <v>0</v>
      </c>
      <c r="NK87" cm="1">
        <f t="array" ref="NK87">IFERROR(MAX((_xlfn.ANCHORARRAY(NH87)-AVERAGE(_xlfn.ANCHORARRAY(NH87)))/ AVERAGE(_xlfn.ANCHORARRAY(NH87))),0)</f>
        <v>0</v>
      </c>
      <c r="NL87" t="str" cm="1">
        <f t="array" ref="NL87">IF(NK87&gt;$NL$1,_xlfn.XLOOKUP(MAX(_xlfn.ANCHORARRAY(NH87)),_xlfn.ANCHORARRAY(NH87),NH$4:NJ$4,""),"")</f>
        <v/>
      </c>
      <c r="NN87" cm="1">
        <f t="array" ref="NN87:NR87">SUMIFS($J87:$GG87,$J$3:$GG$3,NN$3:NR$3)</f>
        <v>0</v>
      </c>
      <c r="NO87">
        <v>0</v>
      </c>
      <c r="NP87">
        <v>0</v>
      </c>
      <c r="NQ87">
        <v>0</v>
      </c>
      <c r="NR87">
        <v>0</v>
      </c>
      <c r="NS87" cm="1">
        <f t="array" ref="NS87">IFERROR(MAX((_xlfn.ANCHORARRAY(NN87)-AVERAGE(_xlfn.ANCHORARRAY(NN87)))/ AVERAGE(_xlfn.ANCHORARRAY(NN87))),0)</f>
        <v>0</v>
      </c>
      <c r="NT87" t="str" cm="1">
        <f t="array" ref="NT87">IF(AND(NS87&gt;$NT$1,NL87&lt;&gt;""),_xlfn.XLOOKUP(MAX(_xlfn.ANCHORARRAY(NN87)),_xlfn.ANCHORARRAY(NN87),NN$4:NR$4,""),"")</f>
        <v/>
      </c>
      <c r="NV87" cm="1">
        <f t="array" ref="NV87:OE87">SUMIFS($J87:$GG87,$J$2:$GG$2,NV$3:OE$3)</f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 cm="1">
        <f t="array" ref="OF87">IFERROR(MAX((_xlfn.ANCHORARRAY(NV87)-AVERAGE(_xlfn.ANCHORARRAY(NV87)))/ AVERAGE(_xlfn.ANCHORARRAY(NV87))),0)</f>
        <v>0</v>
      </c>
      <c r="OG87" t="str" cm="1">
        <f t="array" ref="OG87">IF(OF87&gt;$OG$1,_xlfn.XLOOKUP(MAX(_xlfn.ANCHORARRAY(NV87)),_xlfn.ANCHORARRAY(NV87),NV$4:OE$4,""),"")</f>
        <v/>
      </c>
      <c r="OI87" t="str">
        <f t="shared" si="17"/>
        <v/>
      </c>
    </row>
    <row r="88" spans="1:399" x14ac:dyDescent="0.3">
      <c r="A88" s="2"/>
      <c r="B88" s="2" t="str">
        <f t="shared" si="9"/>
        <v>CORE</v>
      </c>
      <c r="C88" s="2" t="str">
        <f t="shared" si="10"/>
        <v>CORE</v>
      </c>
      <c r="D88" s="2" t="str">
        <f t="shared" si="11"/>
        <v>CORE</v>
      </c>
      <c r="E88" s="2" t="str">
        <f t="shared" si="12"/>
        <v/>
      </c>
      <c r="F88" s="2">
        <f t="shared" si="13"/>
        <v>0</v>
      </c>
      <c r="G88" s="2">
        <f t="shared" si="14"/>
        <v>0</v>
      </c>
      <c r="H88" s="2">
        <f t="shared" si="15"/>
        <v>0</v>
      </c>
      <c r="I88" s="2">
        <f t="shared" si="16"/>
        <v>0</v>
      </c>
      <c r="NH88" cm="1">
        <f t="array" ref="NH88:NJ88">SUMIFS($J88:$GG88,$J$1:$GG$1,NH$3:NJ$3)</f>
        <v>0</v>
      </c>
      <c r="NI88">
        <v>0</v>
      </c>
      <c r="NJ88">
        <v>0</v>
      </c>
      <c r="NK88" cm="1">
        <f t="array" ref="NK88">IFERROR(MAX((_xlfn.ANCHORARRAY(NH88)-AVERAGE(_xlfn.ANCHORARRAY(NH88)))/ AVERAGE(_xlfn.ANCHORARRAY(NH88))),0)</f>
        <v>0</v>
      </c>
      <c r="NL88" t="str" cm="1">
        <f t="array" ref="NL88">IF(NK88&gt;$NL$1,_xlfn.XLOOKUP(MAX(_xlfn.ANCHORARRAY(NH88)),_xlfn.ANCHORARRAY(NH88),NH$4:NJ$4,""),"")</f>
        <v/>
      </c>
      <c r="NN88" cm="1">
        <f t="array" ref="NN88:NR88">SUMIFS($J88:$GG88,$J$3:$GG$3,NN$3:NR$3)</f>
        <v>0</v>
      </c>
      <c r="NO88">
        <v>0</v>
      </c>
      <c r="NP88">
        <v>0</v>
      </c>
      <c r="NQ88">
        <v>0</v>
      </c>
      <c r="NR88">
        <v>0</v>
      </c>
      <c r="NS88" cm="1">
        <f t="array" ref="NS88">IFERROR(MAX((_xlfn.ANCHORARRAY(NN88)-AVERAGE(_xlfn.ANCHORARRAY(NN88)))/ AVERAGE(_xlfn.ANCHORARRAY(NN88))),0)</f>
        <v>0</v>
      </c>
      <c r="NT88" t="str" cm="1">
        <f t="array" ref="NT88">IF(AND(NS88&gt;$NT$1,NL88&lt;&gt;""),_xlfn.XLOOKUP(MAX(_xlfn.ANCHORARRAY(NN88)),_xlfn.ANCHORARRAY(NN88),NN$4:NR$4,""),"")</f>
        <v/>
      </c>
      <c r="NV88" cm="1">
        <f t="array" ref="NV88:OE88">SUMIFS($J88:$GG88,$J$2:$GG$2,NV$3:OE$3)</f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 cm="1">
        <f t="array" ref="OF88">IFERROR(MAX((_xlfn.ANCHORARRAY(NV88)-AVERAGE(_xlfn.ANCHORARRAY(NV88)))/ AVERAGE(_xlfn.ANCHORARRAY(NV88))),0)</f>
        <v>0</v>
      </c>
      <c r="OG88" t="str" cm="1">
        <f t="array" ref="OG88">IF(OF88&gt;$OG$1,_xlfn.XLOOKUP(MAX(_xlfn.ANCHORARRAY(NV88)),_xlfn.ANCHORARRAY(NV88),NV$4:OE$4,""),"")</f>
        <v/>
      </c>
      <c r="OI88" t="str">
        <f t="shared" si="17"/>
        <v/>
      </c>
    </row>
    <row r="89" spans="1:399" x14ac:dyDescent="0.3">
      <c r="A89" s="2"/>
      <c r="B89" s="2" t="str">
        <f t="shared" si="9"/>
        <v>CORE</v>
      </c>
      <c r="C89" s="2" t="str">
        <f t="shared" si="10"/>
        <v>CORE</v>
      </c>
      <c r="D89" s="2" t="str">
        <f t="shared" si="11"/>
        <v>CORE</v>
      </c>
      <c r="E89" s="2" t="str">
        <f t="shared" si="12"/>
        <v/>
      </c>
      <c r="F89" s="2">
        <f t="shared" si="13"/>
        <v>0</v>
      </c>
      <c r="G89" s="2">
        <f t="shared" si="14"/>
        <v>0</v>
      </c>
      <c r="H89" s="2">
        <f t="shared" si="15"/>
        <v>0</v>
      </c>
      <c r="I89" s="2">
        <f t="shared" si="16"/>
        <v>0</v>
      </c>
      <c r="NH89" cm="1">
        <f t="array" ref="NH89:NJ89">SUMIFS($J89:$GG89,$J$1:$GG$1,NH$3:NJ$3)</f>
        <v>0</v>
      </c>
      <c r="NI89">
        <v>0</v>
      </c>
      <c r="NJ89">
        <v>0</v>
      </c>
      <c r="NK89" cm="1">
        <f t="array" ref="NK89">IFERROR(MAX((_xlfn.ANCHORARRAY(NH89)-AVERAGE(_xlfn.ANCHORARRAY(NH89)))/ AVERAGE(_xlfn.ANCHORARRAY(NH89))),0)</f>
        <v>0</v>
      </c>
      <c r="NL89" t="str" cm="1">
        <f t="array" ref="NL89">IF(NK89&gt;$NL$1,_xlfn.XLOOKUP(MAX(_xlfn.ANCHORARRAY(NH89)),_xlfn.ANCHORARRAY(NH89),NH$4:NJ$4,""),"")</f>
        <v/>
      </c>
      <c r="NN89" cm="1">
        <f t="array" ref="NN89:NR89">SUMIFS($J89:$GG89,$J$3:$GG$3,NN$3:NR$3)</f>
        <v>0</v>
      </c>
      <c r="NO89">
        <v>0</v>
      </c>
      <c r="NP89">
        <v>0</v>
      </c>
      <c r="NQ89">
        <v>0</v>
      </c>
      <c r="NR89">
        <v>0</v>
      </c>
      <c r="NS89" cm="1">
        <f t="array" ref="NS89">IFERROR(MAX((_xlfn.ANCHORARRAY(NN89)-AVERAGE(_xlfn.ANCHORARRAY(NN89)))/ AVERAGE(_xlfn.ANCHORARRAY(NN89))),0)</f>
        <v>0</v>
      </c>
      <c r="NT89" t="str" cm="1">
        <f t="array" ref="NT89">IF(AND(NS89&gt;$NT$1,NL89&lt;&gt;""),_xlfn.XLOOKUP(MAX(_xlfn.ANCHORARRAY(NN89)),_xlfn.ANCHORARRAY(NN89),NN$4:NR$4,""),"")</f>
        <v/>
      </c>
      <c r="NV89" cm="1">
        <f t="array" ref="NV89:OE89">SUMIFS($J89:$GG89,$J$2:$GG$2,NV$3:OE$3)</f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 cm="1">
        <f t="array" ref="OF89">IFERROR(MAX((_xlfn.ANCHORARRAY(NV89)-AVERAGE(_xlfn.ANCHORARRAY(NV89)))/ AVERAGE(_xlfn.ANCHORARRAY(NV89))),0)</f>
        <v>0</v>
      </c>
      <c r="OG89" t="str" cm="1">
        <f t="array" ref="OG89">IF(OF89&gt;$OG$1,_xlfn.XLOOKUP(MAX(_xlfn.ANCHORARRAY(NV89)),_xlfn.ANCHORARRAY(NV89),NV$4:OE$4,""),"")</f>
        <v/>
      </c>
      <c r="OI89" t="str">
        <f t="shared" si="17"/>
        <v/>
      </c>
    </row>
    <row r="90" spans="1:399" x14ac:dyDescent="0.3">
      <c r="A90" s="2"/>
      <c r="B90" s="2" t="str">
        <f t="shared" si="9"/>
        <v>CORE</v>
      </c>
      <c r="C90" s="2" t="str">
        <f t="shared" si="10"/>
        <v>CORE</v>
      </c>
      <c r="D90" s="2" t="str">
        <f t="shared" si="11"/>
        <v>CORE</v>
      </c>
      <c r="E90" s="2" t="str">
        <f t="shared" si="12"/>
        <v/>
      </c>
      <c r="F90" s="2">
        <f t="shared" si="13"/>
        <v>0</v>
      </c>
      <c r="G90" s="2">
        <f t="shared" si="14"/>
        <v>0</v>
      </c>
      <c r="H90" s="2">
        <f t="shared" si="15"/>
        <v>0</v>
      </c>
      <c r="I90" s="2">
        <f t="shared" si="16"/>
        <v>0</v>
      </c>
      <c r="NH90" cm="1">
        <f t="array" ref="NH90:NJ90">SUMIFS($J90:$GG90,$J$1:$GG$1,NH$3:NJ$3)</f>
        <v>0</v>
      </c>
      <c r="NI90">
        <v>0</v>
      </c>
      <c r="NJ90">
        <v>0</v>
      </c>
      <c r="NK90" cm="1">
        <f t="array" ref="NK90">IFERROR(MAX((_xlfn.ANCHORARRAY(NH90)-AVERAGE(_xlfn.ANCHORARRAY(NH90)))/ AVERAGE(_xlfn.ANCHORARRAY(NH90))),0)</f>
        <v>0</v>
      </c>
      <c r="NL90" t="str" cm="1">
        <f t="array" ref="NL90">IF(NK90&gt;$NL$1,_xlfn.XLOOKUP(MAX(_xlfn.ANCHORARRAY(NH90)),_xlfn.ANCHORARRAY(NH90),NH$4:NJ$4,""),"")</f>
        <v/>
      </c>
      <c r="NN90" cm="1">
        <f t="array" ref="NN90:NR90">SUMIFS($J90:$GG90,$J$3:$GG$3,NN$3:NR$3)</f>
        <v>0</v>
      </c>
      <c r="NO90">
        <v>0</v>
      </c>
      <c r="NP90">
        <v>0</v>
      </c>
      <c r="NQ90">
        <v>0</v>
      </c>
      <c r="NR90">
        <v>0</v>
      </c>
      <c r="NS90" cm="1">
        <f t="array" ref="NS90">IFERROR(MAX((_xlfn.ANCHORARRAY(NN90)-AVERAGE(_xlfn.ANCHORARRAY(NN90)))/ AVERAGE(_xlfn.ANCHORARRAY(NN90))),0)</f>
        <v>0</v>
      </c>
      <c r="NT90" t="str" cm="1">
        <f t="array" ref="NT90">IF(AND(NS90&gt;$NT$1,NL90&lt;&gt;""),_xlfn.XLOOKUP(MAX(_xlfn.ANCHORARRAY(NN90)),_xlfn.ANCHORARRAY(NN90),NN$4:NR$4,""),"")</f>
        <v/>
      </c>
      <c r="NV90" cm="1">
        <f t="array" ref="NV90:OE90">SUMIFS($J90:$GG90,$J$2:$GG$2,NV$3:OE$3)</f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 cm="1">
        <f t="array" ref="OF90">IFERROR(MAX((_xlfn.ANCHORARRAY(NV90)-AVERAGE(_xlfn.ANCHORARRAY(NV90)))/ AVERAGE(_xlfn.ANCHORARRAY(NV90))),0)</f>
        <v>0</v>
      </c>
      <c r="OG90" t="str" cm="1">
        <f t="array" ref="OG90">IF(OF90&gt;$OG$1,_xlfn.XLOOKUP(MAX(_xlfn.ANCHORARRAY(NV90)),_xlfn.ANCHORARRAY(NV90),NV$4:OE$4,""),"")</f>
        <v/>
      </c>
      <c r="OI90" t="str">
        <f t="shared" si="17"/>
        <v/>
      </c>
    </row>
    <row r="91" spans="1:399" x14ac:dyDescent="0.3">
      <c r="A91" s="2"/>
      <c r="B91" s="2" t="str">
        <f t="shared" si="9"/>
        <v>CORE</v>
      </c>
      <c r="C91" s="2" t="str">
        <f t="shared" si="10"/>
        <v>CORE</v>
      </c>
      <c r="D91" s="2" t="str">
        <f t="shared" si="11"/>
        <v>CORE</v>
      </c>
      <c r="E91" s="2" t="str">
        <f t="shared" si="12"/>
        <v/>
      </c>
      <c r="F91" s="2">
        <f t="shared" si="13"/>
        <v>0</v>
      </c>
      <c r="G91" s="2">
        <f t="shared" si="14"/>
        <v>0</v>
      </c>
      <c r="H91" s="2">
        <f t="shared" si="15"/>
        <v>0</v>
      </c>
      <c r="I91" s="2">
        <f t="shared" si="16"/>
        <v>0</v>
      </c>
      <c r="NH91" cm="1">
        <f t="array" ref="NH91:NJ91">SUMIFS($J91:$GG91,$J$1:$GG$1,NH$3:NJ$3)</f>
        <v>0</v>
      </c>
      <c r="NI91">
        <v>0</v>
      </c>
      <c r="NJ91">
        <v>0</v>
      </c>
      <c r="NK91" cm="1">
        <f t="array" ref="NK91">IFERROR(MAX((_xlfn.ANCHORARRAY(NH91)-AVERAGE(_xlfn.ANCHORARRAY(NH91)))/ AVERAGE(_xlfn.ANCHORARRAY(NH91))),0)</f>
        <v>0</v>
      </c>
      <c r="NL91" t="str" cm="1">
        <f t="array" ref="NL91">IF(NK91&gt;$NL$1,_xlfn.XLOOKUP(MAX(_xlfn.ANCHORARRAY(NH91)),_xlfn.ANCHORARRAY(NH91),NH$4:NJ$4,""),"")</f>
        <v/>
      </c>
      <c r="NN91" cm="1">
        <f t="array" ref="NN91:NR91">SUMIFS($J91:$GG91,$J$3:$GG$3,NN$3:NR$3)</f>
        <v>0</v>
      </c>
      <c r="NO91">
        <v>0</v>
      </c>
      <c r="NP91">
        <v>0</v>
      </c>
      <c r="NQ91">
        <v>0</v>
      </c>
      <c r="NR91">
        <v>0</v>
      </c>
      <c r="NS91" cm="1">
        <f t="array" ref="NS91">IFERROR(MAX((_xlfn.ANCHORARRAY(NN91)-AVERAGE(_xlfn.ANCHORARRAY(NN91)))/ AVERAGE(_xlfn.ANCHORARRAY(NN91))),0)</f>
        <v>0</v>
      </c>
      <c r="NT91" t="str" cm="1">
        <f t="array" ref="NT91">IF(AND(NS91&gt;$NT$1,NL91&lt;&gt;""),_xlfn.XLOOKUP(MAX(_xlfn.ANCHORARRAY(NN91)),_xlfn.ANCHORARRAY(NN91),NN$4:NR$4,""),"")</f>
        <v/>
      </c>
      <c r="NV91" cm="1">
        <f t="array" ref="NV91:OE91">SUMIFS($J91:$GG91,$J$2:$GG$2,NV$3:OE$3)</f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 cm="1">
        <f t="array" ref="OF91">IFERROR(MAX((_xlfn.ANCHORARRAY(NV91)-AVERAGE(_xlfn.ANCHORARRAY(NV91)))/ AVERAGE(_xlfn.ANCHORARRAY(NV91))),0)</f>
        <v>0</v>
      </c>
      <c r="OG91" t="str" cm="1">
        <f t="array" ref="OG91">IF(OF91&gt;$OG$1,_xlfn.XLOOKUP(MAX(_xlfn.ANCHORARRAY(NV91)),_xlfn.ANCHORARRAY(NV91),NV$4:OE$4,""),"")</f>
        <v/>
      </c>
      <c r="OI91" t="str">
        <f t="shared" si="17"/>
        <v/>
      </c>
    </row>
    <row r="92" spans="1:399" x14ac:dyDescent="0.3">
      <c r="A92" s="2"/>
      <c r="B92" s="2" t="str">
        <f t="shared" si="9"/>
        <v>CORE</v>
      </c>
      <c r="C92" s="2" t="str">
        <f t="shared" si="10"/>
        <v>CORE</v>
      </c>
      <c r="D92" s="2" t="str">
        <f t="shared" si="11"/>
        <v>CORE</v>
      </c>
      <c r="E92" s="2" t="str">
        <f t="shared" si="12"/>
        <v/>
      </c>
      <c r="F92" s="2">
        <f t="shared" si="13"/>
        <v>0</v>
      </c>
      <c r="G92" s="2">
        <f t="shared" si="14"/>
        <v>0</v>
      </c>
      <c r="H92" s="2">
        <f t="shared" si="15"/>
        <v>0</v>
      </c>
      <c r="I92" s="2">
        <f t="shared" si="16"/>
        <v>0</v>
      </c>
      <c r="NH92" cm="1">
        <f t="array" ref="NH92:NJ92">SUMIFS($J92:$GG92,$J$1:$GG$1,NH$3:NJ$3)</f>
        <v>0</v>
      </c>
      <c r="NI92">
        <v>0</v>
      </c>
      <c r="NJ92">
        <v>0</v>
      </c>
      <c r="NK92" cm="1">
        <f t="array" ref="NK92">IFERROR(MAX((_xlfn.ANCHORARRAY(NH92)-AVERAGE(_xlfn.ANCHORARRAY(NH92)))/ AVERAGE(_xlfn.ANCHORARRAY(NH92))),0)</f>
        <v>0</v>
      </c>
      <c r="NL92" t="str" cm="1">
        <f t="array" ref="NL92">IF(NK92&gt;$NL$1,_xlfn.XLOOKUP(MAX(_xlfn.ANCHORARRAY(NH92)),_xlfn.ANCHORARRAY(NH92),NH$4:NJ$4,""),"")</f>
        <v/>
      </c>
      <c r="NN92" cm="1">
        <f t="array" ref="NN92:NR92">SUMIFS($J92:$GG92,$J$3:$GG$3,NN$3:NR$3)</f>
        <v>0</v>
      </c>
      <c r="NO92">
        <v>0</v>
      </c>
      <c r="NP92">
        <v>0</v>
      </c>
      <c r="NQ92">
        <v>0</v>
      </c>
      <c r="NR92">
        <v>0</v>
      </c>
      <c r="NS92" cm="1">
        <f t="array" ref="NS92">IFERROR(MAX((_xlfn.ANCHORARRAY(NN92)-AVERAGE(_xlfn.ANCHORARRAY(NN92)))/ AVERAGE(_xlfn.ANCHORARRAY(NN92))),0)</f>
        <v>0</v>
      </c>
      <c r="NT92" t="str" cm="1">
        <f t="array" ref="NT92">IF(AND(NS92&gt;$NT$1,NL92&lt;&gt;""),_xlfn.XLOOKUP(MAX(_xlfn.ANCHORARRAY(NN92)),_xlfn.ANCHORARRAY(NN92),NN$4:NR$4,""),"")</f>
        <v/>
      </c>
      <c r="NV92" cm="1">
        <f t="array" ref="NV92:OE92">SUMIFS($J92:$GG92,$J$2:$GG$2,NV$3:OE$3)</f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 cm="1">
        <f t="array" ref="OF92">IFERROR(MAX((_xlfn.ANCHORARRAY(NV92)-AVERAGE(_xlfn.ANCHORARRAY(NV92)))/ AVERAGE(_xlfn.ANCHORARRAY(NV92))),0)</f>
        <v>0</v>
      </c>
      <c r="OG92" t="str" cm="1">
        <f t="array" ref="OG92">IF(OF92&gt;$OG$1,_xlfn.XLOOKUP(MAX(_xlfn.ANCHORARRAY(NV92)),_xlfn.ANCHORARRAY(NV92),NV$4:OE$4,""),"")</f>
        <v/>
      </c>
      <c r="OI92" t="str">
        <f t="shared" si="17"/>
        <v/>
      </c>
    </row>
    <row r="93" spans="1:399" x14ac:dyDescent="0.3">
      <c r="A93" s="2"/>
      <c r="B93" s="2" t="str">
        <f t="shared" si="9"/>
        <v>CORE</v>
      </c>
      <c r="C93" s="2" t="str">
        <f t="shared" si="10"/>
        <v>CORE</v>
      </c>
      <c r="D93" s="2" t="str">
        <f t="shared" si="11"/>
        <v>CORE</v>
      </c>
      <c r="E93" s="2" t="str">
        <f t="shared" si="12"/>
        <v/>
      </c>
      <c r="F93" s="2">
        <f t="shared" si="13"/>
        <v>0</v>
      </c>
      <c r="G93" s="2">
        <f t="shared" si="14"/>
        <v>0</v>
      </c>
      <c r="H93" s="2">
        <f t="shared" si="15"/>
        <v>0</v>
      </c>
      <c r="I93" s="2">
        <f t="shared" si="16"/>
        <v>0</v>
      </c>
      <c r="NH93" cm="1">
        <f t="array" ref="NH93:NJ93">SUMIFS($J93:$GG93,$J$1:$GG$1,NH$3:NJ$3)</f>
        <v>0</v>
      </c>
      <c r="NI93">
        <v>0</v>
      </c>
      <c r="NJ93">
        <v>0</v>
      </c>
      <c r="NK93" cm="1">
        <f t="array" ref="NK93">IFERROR(MAX((_xlfn.ANCHORARRAY(NH93)-AVERAGE(_xlfn.ANCHORARRAY(NH93)))/ AVERAGE(_xlfn.ANCHORARRAY(NH93))),0)</f>
        <v>0</v>
      </c>
      <c r="NL93" t="str" cm="1">
        <f t="array" ref="NL93">IF(NK93&gt;$NL$1,_xlfn.XLOOKUP(MAX(_xlfn.ANCHORARRAY(NH93)),_xlfn.ANCHORARRAY(NH93),NH$4:NJ$4,""),"")</f>
        <v/>
      </c>
      <c r="NN93" cm="1">
        <f t="array" ref="NN93:NR93">SUMIFS($J93:$GG93,$J$3:$GG$3,NN$3:NR$3)</f>
        <v>0</v>
      </c>
      <c r="NO93">
        <v>0</v>
      </c>
      <c r="NP93">
        <v>0</v>
      </c>
      <c r="NQ93">
        <v>0</v>
      </c>
      <c r="NR93">
        <v>0</v>
      </c>
      <c r="NS93" cm="1">
        <f t="array" ref="NS93">IFERROR(MAX((_xlfn.ANCHORARRAY(NN93)-AVERAGE(_xlfn.ANCHORARRAY(NN93)))/ AVERAGE(_xlfn.ANCHORARRAY(NN93))),0)</f>
        <v>0</v>
      </c>
      <c r="NT93" t="str" cm="1">
        <f t="array" ref="NT93">IF(AND(NS93&gt;$NT$1,NL93&lt;&gt;""),_xlfn.XLOOKUP(MAX(_xlfn.ANCHORARRAY(NN93)),_xlfn.ANCHORARRAY(NN93),NN$4:NR$4,""),"")</f>
        <v/>
      </c>
      <c r="NV93" cm="1">
        <f t="array" ref="NV93:OE93">SUMIFS($J93:$GG93,$J$2:$GG$2,NV$3:OE$3)</f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 cm="1">
        <f t="array" ref="OF93">IFERROR(MAX((_xlfn.ANCHORARRAY(NV93)-AVERAGE(_xlfn.ANCHORARRAY(NV93)))/ AVERAGE(_xlfn.ANCHORARRAY(NV93))),0)</f>
        <v>0</v>
      </c>
      <c r="OG93" t="str" cm="1">
        <f t="array" ref="OG93">IF(OF93&gt;$OG$1,_xlfn.XLOOKUP(MAX(_xlfn.ANCHORARRAY(NV93)),_xlfn.ANCHORARRAY(NV93),NV$4:OE$4,""),"")</f>
        <v/>
      </c>
      <c r="OI93" t="str">
        <f t="shared" si="17"/>
        <v/>
      </c>
    </row>
    <row r="94" spans="1:399" x14ac:dyDescent="0.3">
      <c r="A94" s="2"/>
      <c r="B94" s="2" t="str">
        <f t="shared" si="9"/>
        <v>CORE</v>
      </c>
      <c r="C94" s="2" t="str">
        <f t="shared" si="10"/>
        <v>CORE</v>
      </c>
      <c r="D94" s="2" t="str">
        <f t="shared" si="11"/>
        <v>CORE</v>
      </c>
      <c r="E94" s="2" t="str">
        <f t="shared" si="12"/>
        <v/>
      </c>
      <c r="F94" s="2">
        <f t="shared" si="13"/>
        <v>0</v>
      </c>
      <c r="G94" s="2">
        <f t="shared" si="14"/>
        <v>0</v>
      </c>
      <c r="H94" s="2">
        <f t="shared" si="15"/>
        <v>0</v>
      </c>
      <c r="I94" s="2">
        <f t="shared" si="16"/>
        <v>0</v>
      </c>
      <c r="NH94" cm="1">
        <f t="array" ref="NH94:NJ94">SUMIFS($J94:$GG94,$J$1:$GG$1,NH$3:NJ$3)</f>
        <v>0</v>
      </c>
      <c r="NI94">
        <v>0</v>
      </c>
      <c r="NJ94">
        <v>0</v>
      </c>
      <c r="NK94" cm="1">
        <f t="array" ref="NK94">IFERROR(MAX((_xlfn.ANCHORARRAY(NH94)-AVERAGE(_xlfn.ANCHORARRAY(NH94)))/ AVERAGE(_xlfn.ANCHORARRAY(NH94))),0)</f>
        <v>0</v>
      </c>
      <c r="NL94" t="str" cm="1">
        <f t="array" ref="NL94">IF(NK94&gt;$NL$1,_xlfn.XLOOKUP(MAX(_xlfn.ANCHORARRAY(NH94)),_xlfn.ANCHORARRAY(NH94),NH$4:NJ$4,""),"")</f>
        <v/>
      </c>
      <c r="NN94" cm="1">
        <f t="array" ref="NN94:NR94">SUMIFS($J94:$GG94,$J$3:$GG$3,NN$3:NR$3)</f>
        <v>0</v>
      </c>
      <c r="NO94">
        <v>0</v>
      </c>
      <c r="NP94">
        <v>0</v>
      </c>
      <c r="NQ94">
        <v>0</v>
      </c>
      <c r="NR94">
        <v>0</v>
      </c>
      <c r="NS94" cm="1">
        <f t="array" ref="NS94">IFERROR(MAX((_xlfn.ANCHORARRAY(NN94)-AVERAGE(_xlfn.ANCHORARRAY(NN94)))/ AVERAGE(_xlfn.ANCHORARRAY(NN94))),0)</f>
        <v>0</v>
      </c>
      <c r="NT94" t="str" cm="1">
        <f t="array" ref="NT94">IF(AND(NS94&gt;$NT$1,NL94&lt;&gt;""),_xlfn.XLOOKUP(MAX(_xlfn.ANCHORARRAY(NN94)),_xlfn.ANCHORARRAY(NN94),NN$4:NR$4,""),"")</f>
        <v/>
      </c>
      <c r="NV94" cm="1">
        <f t="array" ref="NV94:OE94">SUMIFS($J94:$GG94,$J$2:$GG$2,NV$3:OE$3)</f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 cm="1">
        <f t="array" ref="OF94">IFERROR(MAX((_xlfn.ANCHORARRAY(NV94)-AVERAGE(_xlfn.ANCHORARRAY(NV94)))/ AVERAGE(_xlfn.ANCHORARRAY(NV94))),0)</f>
        <v>0</v>
      </c>
      <c r="OG94" t="str" cm="1">
        <f t="array" ref="OG94">IF(OF94&gt;$OG$1,_xlfn.XLOOKUP(MAX(_xlfn.ANCHORARRAY(NV94)),_xlfn.ANCHORARRAY(NV94),NV$4:OE$4,""),"")</f>
        <v/>
      </c>
      <c r="OI94" t="str">
        <f t="shared" si="17"/>
        <v/>
      </c>
    </row>
    <row r="95" spans="1:399" x14ac:dyDescent="0.3">
      <c r="A95" s="2"/>
      <c r="B95" s="2" t="str">
        <f t="shared" si="9"/>
        <v>CORE</v>
      </c>
      <c r="C95" s="2" t="str">
        <f t="shared" si="10"/>
        <v>CORE</v>
      </c>
      <c r="D95" s="2" t="str">
        <f t="shared" si="11"/>
        <v>CORE</v>
      </c>
      <c r="E95" s="2" t="str">
        <f t="shared" si="12"/>
        <v/>
      </c>
      <c r="F95" s="2">
        <f t="shared" si="13"/>
        <v>0</v>
      </c>
      <c r="G95" s="2">
        <f t="shared" si="14"/>
        <v>0</v>
      </c>
      <c r="H95" s="2">
        <f t="shared" si="15"/>
        <v>0</v>
      </c>
      <c r="I95" s="2">
        <f t="shared" si="16"/>
        <v>0</v>
      </c>
      <c r="NH95" cm="1">
        <f t="array" ref="NH95:NJ95">SUMIFS($J95:$GG95,$J$1:$GG$1,NH$3:NJ$3)</f>
        <v>0</v>
      </c>
      <c r="NI95">
        <v>0</v>
      </c>
      <c r="NJ95">
        <v>0</v>
      </c>
      <c r="NK95" cm="1">
        <f t="array" ref="NK95">IFERROR(MAX((_xlfn.ANCHORARRAY(NH95)-AVERAGE(_xlfn.ANCHORARRAY(NH95)))/ AVERAGE(_xlfn.ANCHORARRAY(NH95))),0)</f>
        <v>0</v>
      </c>
      <c r="NL95" t="str" cm="1">
        <f t="array" ref="NL95">IF(NK95&gt;$NL$1,_xlfn.XLOOKUP(MAX(_xlfn.ANCHORARRAY(NH95)),_xlfn.ANCHORARRAY(NH95),NH$4:NJ$4,""),"")</f>
        <v/>
      </c>
      <c r="NN95" cm="1">
        <f t="array" ref="NN95:NR95">SUMIFS($J95:$GG95,$J$3:$GG$3,NN$3:NR$3)</f>
        <v>0</v>
      </c>
      <c r="NO95">
        <v>0</v>
      </c>
      <c r="NP95">
        <v>0</v>
      </c>
      <c r="NQ95">
        <v>0</v>
      </c>
      <c r="NR95">
        <v>0</v>
      </c>
      <c r="NS95" cm="1">
        <f t="array" ref="NS95">IFERROR(MAX((_xlfn.ANCHORARRAY(NN95)-AVERAGE(_xlfn.ANCHORARRAY(NN95)))/ AVERAGE(_xlfn.ANCHORARRAY(NN95))),0)</f>
        <v>0</v>
      </c>
      <c r="NT95" t="str" cm="1">
        <f t="array" ref="NT95">IF(AND(NS95&gt;$NT$1,NL95&lt;&gt;""),_xlfn.XLOOKUP(MAX(_xlfn.ANCHORARRAY(NN95)),_xlfn.ANCHORARRAY(NN95),NN$4:NR$4,""),"")</f>
        <v/>
      </c>
      <c r="NV95" cm="1">
        <f t="array" ref="NV95:OE95">SUMIFS($J95:$GG95,$J$2:$GG$2,NV$3:OE$3)</f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 cm="1">
        <f t="array" ref="OF95">IFERROR(MAX((_xlfn.ANCHORARRAY(NV95)-AVERAGE(_xlfn.ANCHORARRAY(NV95)))/ AVERAGE(_xlfn.ANCHORARRAY(NV95))),0)</f>
        <v>0</v>
      </c>
      <c r="OG95" t="str" cm="1">
        <f t="array" ref="OG95">IF(OF95&gt;$OG$1,_xlfn.XLOOKUP(MAX(_xlfn.ANCHORARRAY(NV95)),_xlfn.ANCHORARRAY(NV95),NV$4:OE$4,""),"")</f>
        <v/>
      </c>
      <c r="OI95" t="str">
        <f t="shared" si="17"/>
        <v/>
      </c>
    </row>
    <row r="96" spans="1:399" x14ac:dyDescent="0.3">
      <c r="A96" s="2"/>
      <c r="B96" s="2" t="str">
        <f t="shared" si="9"/>
        <v>CORE</v>
      </c>
      <c r="C96" s="2" t="str">
        <f t="shared" si="10"/>
        <v>CORE</v>
      </c>
      <c r="D96" s="2" t="str">
        <f t="shared" si="11"/>
        <v>CORE</v>
      </c>
      <c r="E96" s="2" t="str">
        <f t="shared" si="12"/>
        <v/>
      </c>
      <c r="F96" s="2">
        <f t="shared" si="13"/>
        <v>0</v>
      </c>
      <c r="G96" s="2">
        <f t="shared" si="14"/>
        <v>0</v>
      </c>
      <c r="H96" s="2">
        <f t="shared" si="15"/>
        <v>0</v>
      </c>
      <c r="I96" s="2">
        <f t="shared" si="16"/>
        <v>0</v>
      </c>
      <c r="NH96" cm="1">
        <f t="array" ref="NH96:NJ96">SUMIFS($J96:$GG96,$J$1:$GG$1,NH$3:NJ$3)</f>
        <v>0</v>
      </c>
      <c r="NI96">
        <v>0</v>
      </c>
      <c r="NJ96">
        <v>0</v>
      </c>
      <c r="NK96" cm="1">
        <f t="array" ref="NK96">IFERROR(MAX((_xlfn.ANCHORARRAY(NH96)-AVERAGE(_xlfn.ANCHORARRAY(NH96)))/ AVERAGE(_xlfn.ANCHORARRAY(NH96))),0)</f>
        <v>0</v>
      </c>
      <c r="NL96" t="str" cm="1">
        <f t="array" ref="NL96">IF(NK96&gt;$NL$1,_xlfn.XLOOKUP(MAX(_xlfn.ANCHORARRAY(NH96)),_xlfn.ANCHORARRAY(NH96),NH$4:NJ$4,""),"")</f>
        <v/>
      </c>
      <c r="NN96" cm="1">
        <f t="array" ref="NN96:NR96">SUMIFS($J96:$GG96,$J$3:$GG$3,NN$3:NR$3)</f>
        <v>0</v>
      </c>
      <c r="NO96">
        <v>0</v>
      </c>
      <c r="NP96">
        <v>0</v>
      </c>
      <c r="NQ96">
        <v>0</v>
      </c>
      <c r="NR96">
        <v>0</v>
      </c>
      <c r="NS96" cm="1">
        <f t="array" ref="NS96">IFERROR(MAX((_xlfn.ANCHORARRAY(NN96)-AVERAGE(_xlfn.ANCHORARRAY(NN96)))/ AVERAGE(_xlfn.ANCHORARRAY(NN96))),0)</f>
        <v>0</v>
      </c>
      <c r="NT96" t="str" cm="1">
        <f t="array" ref="NT96">IF(AND(NS96&gt;$NT$1,NL96&lt;&gt;""),_xlfn.XLOOKUP(MAX(_xlfn.ANCHORARRAY(NN96)),_xlfn.ANCHORARRAY(NN96),NN$4:NR$4,""),"")</f>
        <v/>
      </c>
      <c r="NV96" cm="1">
        <f t="array" ref="NV96:OE96">SUMIFS($J96:$GG96,$J$2:$GG$2,NV$3:OE$3)</f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 cm="1">
        <f t="array" ref="OF96">IFERROR(MAX((_xlfn.ANCHORARRAY(NV96)-AVERAGE(_xlfn.ANCHORARRAY(NV96)))/ AVERAGE(_xlfn.ANCHORARRAY(NV96))),0)</f>
        <v>0</v>
      </c>
      <c r="OG96" t="str" cm="1">
        <f t="array" ref="OG96">IF(OF96&gt;$OG$1,_xlfn.XLOOKUP(MAX(_xlfn.ANCHORARRAY(NV96)),_xlfn.ANCHORARRAY(NV96),NV$4:OE$4,""),"")</f>
        <v/>
      </c>
      <c r="OI96" t="str">
        <f t="shared" si="17"/>
        <v/>
      </c>
    </row>
    <row r="97" spans="1:399" x14ac:dyDescent="0.3">
      <c r="A97" s="2"/>
      <c r="B97" s="2" t="str">
        <f t="shared" si="9"/>
        <v>CORE</v>
      </c>
      <c r="C97" s="2" t="str">
        <f t="shared" si="10"/>
        <v>CORE</v>
      </c>
      <c r="D97" s="2" t="str">
        <f t="shared" si="11"/>
        <v>CORE</v>
      </c>
      <c r="E97" s="2" t="str">
        <f t="shared" si="12"/>
        <v/>
      </c>
      <c r="F97" s="2">
        <f t="shared" si="13"/>
        <v>0</v>
      </c>
      <c r="G97" s="2">
        <f t="shared" si="14"/>
        <v>0</v>
      </c>
      <c r="H97" s="2">
        <f t="shared" si="15"/>
        <v>0</v>
      </c>
      <c r="I97" s="2">
        <f t="shared" si="16"/>
        <v>0</v>
      </c>
      <c r="NH97" cm="1">
        <f t="array" ref="NH97:NJ97">SUMIFS($J97:$GG97,$J$1:$GG$1,NH$3:NJ$3)</f>
        <v>0</v>
      </c>
      <c r="NI97">
        <v>0</v>
      </c>
      <c r="NJ97">
        <v>0</v>
      </c>
      <c r="NK97" cm="1">
        <f t="array" ref="NK97">IFERROR(MAX((_xlfn.ANCHORARRAY(NH97)-AVERAGE(_xlfn.ANCHORARRAY(NH97)))/ AVERAGE(_xlfn.ANCHORARRAY(NH97))),0)</f>
        <v>0</v>
      </c>
      <c r="NL97" t="str" cm="1">
        <f t="array" ref="NL97">IF(NK97&gt;$NL$1,_xlfn.XLOOKUP(MAX(_xlfn.ANCHORARRAY(NH97)),_xlfn.ANCHORARRAY(NH97),NH$4:NJ$4,""),"")</f>
        <v/>
      </c>
      <c r="NN97" cm="1">
        <f t="array" ref="NN97:NR97">SUMIFS($J97:$GG97,$J$3:$GG$3,NN$3:NR$3)</f>
        <v>0</v>
      </c>
      <c r="NO97">
        <v>0</v>
      </c>
      <c r="NP97">
        <v>0</v>
      </c>
      <c r="NQ97">
        <v>0</v>
      </c>
      <c r="NR97">
        <v>0</v>
      </c>
      <c r="NS97" cm="1">
        <f t="array" ref="NS97">IFERROR(MAX((_xlfn.ANCHORARRAY(NN97)-AVERAGE(_xlfn.ANCHORARRAY(NN97)))/ AVERAGE(_xlfn.ANCHORARRAY(NN97))),0)</f>
        <v>0</v>
      </c>
      <c r="NT97" t="str" cm="1">
        <f t="array" ref="NT97">IF(AND(NS97&gt;$NT$1,NL97&lt;&gt;""),_xlfn.XLOOKUP(MAX(_xlfn.ANCHORARRAY(NN97)),_xlfn.ANCHORARRAY(NN97),NN$4:NR$4,""),"")</f>
        <v/>
      </c>
      <c r="NV97" cm="1">
        <f t="array" ref="NV97:OE97">SUMIFS($J97:$GG97,$J$2:$GG$2,NV$3:OE$3)</f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 cm="1">
        <f t="array" ref="OF97">IFERROR(MAX((_xlfn.ANCHORARRAY(NV97)-AVERAGE(_xlfn.ANCHORARRAY(NV97)))/ AVERAGE(_xlfn.ANCHORARRAY(NV97))),0)</f>
        <v>0</v>
      </c>
      <c r="OG97" t="str" cm="1">
        <f t="array" ref="OG97">IF(OF97&gt;$OG$1,_xlfn.XLOOKUP(MAX(_xlfn.ANCHORARRAY(NV97)),_xlfn.ANCHORARRAY(NV97),NV$4:OE$4,""),"")</f>
        <v/>
      </c>
      <c r="OI97" t="str">
        <f t="shared" si="17"/>
        <v/>
      </c>
    </row>
    <row r="98" spans="1:399" x14ac:dyDescent="0.3">
      <c r="A98" s="2"/>
      <c r="B98" s="2" t="str">
        <f t="shared" si="9"/>
        <v>CORE</v>
      </c>
      <c r="C98" s="2" t="str">
        <f t="shared" si="10"/>
        <v>CORE</v>
      </c>
      <c r="D98" s="2" t="str">
        <f t="shared" si="11"/>
        <v>CORE</v>
      </c>
      <c r="E98" s="2" t="str">
        <f t="shared" si="12"/>
        <v/>
      </c>
      <c r="F98" s="2">
        <f t="shared" si="13"/>
        <v>0</v>
      </c>
      <c r="G98" s="2">
        <f t="shared" si="14"/>
        <v>0</v>
      </c>
      <c r="H98" s="2">
        <f t="shared" si="15"/>
        <v>0</v>
      </c>
      <c r="I98" s="2">
        <f t="shared" si="16"/>
        <v>0</v>
      </c>
      <c r="NH98" cm="1">
        <f t="array" ref="NH98:NJ98">SUMIFS($J98:$GG98,$J$1:$GG$1,NH$3:NJ$3)</f>
        <v>0</v>
      </c>
      <c r="NI98">
        <v>0</v>
      </c>
      <c r="NJ98">
        <v>0</v>
      </c>
      <c r="NK98" cm="1">
        <f t="array" ref="NK98">IFERROR(MAX((_xlfn.ANCHORARRAY(NH98)-AVERAGE(_xlfn.ANCHORARRAY(NH98)))/ AVERAGE(_xlfn.ANCHORARRAY(NH98))),0)</f>
        <v>0</v>
      </c>
      <c r="NL98" t="str" cm="1">
        <f t="array" ref="NL98">IF(NK98&gt;$NL$1,_xlfn.XLOOKUP(MAX(_xlfn.ANCHORARRAY(NH98)),_xlfn.ANCHORARRAY(NH98),NH$4:NJ$4,""),"")</f>
        <v/>
      </c>
      <c r="NN98" cm="1">
        <f t="array" ref="NN98:NR98">SUMIFS($J98:$GG98,$J$3:$GG$3,NN$3:NR$3)</f>
        <v>0</v>
      </c>
      <c r="NO98">
        <v>0</v>
      </c>
      <c r="NP98">
        <v>0</v>
      </c>
      <c r="NQ98">
        <v>0</v>
      </c>
      <c r="NR98">
        <v>0</v>
      </c>
      <c r="NS98" cm="1">
        <f t="array" ref="NS98">IFERROR(MAX((_xlfn.ANCHORARRAY(NN98)-AVERAGE(_xlfn.ANCHORARRAY(NN98)))/ AVERAGE(_xlfn.ANCHORARRAY(NN98))),0)</f>
        <v>0</v>
      </c>
      <c r="NT98" t="str" cm="1">
        <f t="array" ref="NT98">IF(AND(NS98&gt;$NT$1,NL98&lt;&gt;""),_xlfn.XLOOKUP(MAX(_xlfn.ANCHORARRAY(NN98)),_xlfn.ANCHORARRAY(NN98),NN$4:NR$4,""),"")</f>
        <v/>
      </c>
      <c r="NV98" cm="1">
        <f t="array" ref="NV98:OE98">SUMIFS($J98:$GG98,$J$2:$GG$2,NV$3:OE$3)</f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 cm="1">
        <f t="array" ref="OF98">IFERROR(MAX((_xlfn.ANCHORARRAY(NV98)-AVERAGE(_xlfn.ANCHORARRAY(NV98)))/ AVERAGE(_xlfn.ANCHORARRAY(NV98))),0)</f>
        <v>0</v>
      </c>
      <c r="OG98" t="str" cm="1">
        <f t="array" ref="OG98">IF(OF98&gt;$OG$1,_xlfn.XLOOKUP(MAX(_xlfn.ANCHORARRAY(NV98)),_xlfn.ANCHORARRAY(NV98),NV$4:OE$4,""),"")</f>
        <v/>
      </c>
      <c r="OI98" t="str">
        <f t="shared" si="17"/>
        <v/>
      </c>
    </row>
    <row r="99" spans="1:399" x14ac:dyDescent="0.3">
      <c r="A99" s="2"/>
      <c r="B99" s="2" t="str">
        <f t="shared" si="9"/>
        <v>CORE</v>
      </c>
      <c r="C99" s="2" t="str">
        <f t="shared" si="10"/>
        <v>CORE</v>
      </c>
      <c r="D99" s="2" t="str">
        <f t="shared" si="11"/>
        <v>CORE</v>
      </c>
      <c r="E99" s="2" t="str">
        <f t="shared" si="12"/>
        <v/>
      </c>
      <c r="F99" s="2">
        <f t="shared" si="13"/>
        <v>0</v>
      </c>
      <c r="G99" s="2">
        <f t="shared" si="14"/>
        <v>0</v>
      </c>
      <c r="H99" s="2">
        <f t="shared" si="15"/>
        <v>0</v>
      </c>
      <c r="I99" s="2">
        <f t="shared" si="16"/>
        <v>0</v>
      </c>
      <c r="NH99" cm="1">
        <f t="array" ref="NH99:NJ99">SUMIFS($J99:$GG99,$J$1:$GG$1,NH$3:NJ$3)</f>
        <v>0</v>
      </c>
      <c r="NI99">
        <v>0</v>
      </c>
      <c r="NJ99">
        <v>0</v>
      </c>
      <c r="NK99" cm="1">
        <f t="array" ref="NK99">IFERROR(MAX((_xlfn.ANCHORARRAY(NH99)-AVERAGE(_xlfn.ANCHORARRAY(NH99)))/ AVERAGE(_xlfn.ANCHORARRAY(NH99))),0)</f>
        <v>0</v>
      </c>
      <c r="NL99" t="str" cm="1">
        <f t="array" ref="NL99">IF(NK99&gt;$NL$1,_xlfn.XLOOKUP(MAX(_xlfn.ANCHORARRAY(NH99)),_xlfn.ANCHORARRAY(NH99),NH$4:NJ$4,""),"")</f>
        <v/>
      </c>
      <c r="NN99" cm="1">
        <f t="array" ref="NN99:NR99">SUMIFS($J99:$GG99,$J$3:$GG$3,NN$3:NR$3)</f>
        <v>0</v>
      </c>
      <c r="NO99">
        <v>0</v>
      </c>
      <c r="NP99">
        <v>0</v>
      </c>
      <c r="NQ99">
        <v>0</v>
      </c>
      <c r="NR99">
        <v>0</v>
      </c>
      <c r="NS99" cm="1">
        <f t="array" ref="NS99">IFERROR(MAX((_xlfn.ANCHORARRAY(NN99)-AVERAGE(_xlfn.ANCHORARRAY(NN99)))/ AVERAGE(_xlfn.ANCHORARRAY(NN99))),0)</f>
        <v>0</v>
      </c>
      <c r="NT99" t="str" cm="1">
        <f t="array" ref="NT99">IF(AND(NS99&gt;$NT$1,NL99&lt;&gt;""),_xlfn.XLOOKUP(MAX(_xlfn.ANCHORARRAY(NN99)),_xlfn.ANCHORARRAY(NN99),NN$4:NR$4,""),"")</f>
        <v/>
      </c>
      <c r="NV99" cm="1">
        <f t="array" ref="NV99:OE99">SUMIFS($J99:$GG99,$J$2:$GG$2,NV$3:OE$3)</f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 cm="1">
        <f t="array" ref="OF99">IFERROR(MAX((_xlfn.ANCHORARRAY(NV99)-AVERAGE(_xlfn.ANCHORARRAY(NV99)))/ AVERAGE(_xlfn.ANCHORARRAY(NV99))),0)</f>
        <v>0</v>
      </c>
      <c r="OG99" t="str" cm="1">
        <f t="array" ref="OG99">IF(OF99&gt;$OG$1,_xlfn.XLOOKUP(MAX(_xlfn.ANCHORARRAY(NV99)),_xlfn.ANCHORARRAY(NV99),NV$4:OE$4,""),"")</f>
        <v/>
      </c>
      <c r="OI99" t="str">
        <f t="shared" si="17"/>
        <v/>
      </c>
    </row>
    <row r="100" spans="1:399" x14ac:dyDescent="0.3">
      <c r="A100" s="2"/>
      <c r="B100" s="2" t="str">
        <f t="shared" si="9"/>
        <v>CORE</v>
      </c>
      <c r="C100" s="2" t="str">
        <f t="shared" si="10"/>
        <v>CORE</v>
      </c>
      <c r="D100" s="2" t="str">
        <f t="shared" si="11"/>
        <v>CORE</v>
      </c>
      <c r="E100" s="2" t="str">
        <f t="shared" si="12"/>
        <v/>
      </c>
      <c r="F100" s="2">
        <f t="shared" si="13"/>
        <v>0</v>
      </c>
      <c r="G100" s="2">
        <f t="shared" si="14"/>
        <v>0</v>
      </c>
      <c r="H100" s="2">
        <f t="shared" si="15"/>
        <v>0</v>
      </c>
      <c r="I100" s="2">
        <f t="shared" si="16"/>
        <v>0</v>
      </c>
      <c r="NH100" cm="1">
        <f t="array" ref="NH100:NJ100">SUMIFS($J100:$GG100,$J$1:$GG$1,NH$3:NJ$3)</f>
        <v>0</v>
      </c>
      <c r="NI100">
        <v>0</v>
      </c>
      <c r="NJ100">
        <v>0</v>
      </c>
      <c r="NK100" cm="1">
        <f t="array" ref="NK100">IFERROR(MAX((_xlfn.ANCHORARRAY(NH100)-AVERAGE(_xlfn.ANCHORARRAY(NH100)))/ AVERAGE(_xlfn.ANCHORARRAY(NH100))),0)</f>
        <v>0</v>
      </c>
      <c r="NL100" t="str" cm="1">
        <f t="array" ref="NL100">IF(NK100&gt;$NL$1,_xlfn.XLOOKUP(MAX(_xlfn.ANCHORARRAY(NH100)),_xlfn.ANCHORARRAY(NH100),NH$4:NJ$4,""),"")</f>
        <v/>
      </c>
      <c r="NN100" cm="1">
        <f t="array" ref="NN100:NR100">SUMIFS($J100:$GG100,$J$3:$GG$3,NN$3:NR$3)</f>
        <v>0</v>
      </c>
      <c r="NO100">
        <v>0</v>
      </c>
      <c r="NP100">
        <v>0</v>
      </c>
      <c r="NQ100">
        <v>0</v>
      </c>
      <c r="NR100">
        <v>0</v>
      </c>
      <c r="NS100" cm="1">
        <f t="array" ref="NS100">IFERROR(MAX((_xlfn.ANCHORARRAY(NN100)-AVERAGE(_xlfn.ANCHORARRAY(NN100)))/ AVERAGE(_xlfn.ANCHORARRAY(NN100))),0)</f>
        <v>0</v>
      </c>
      <c r="NT100" t="str" cm="1">
        <f t="array" ref="NT100">IF(AND(NS100&gt;$NT$1,NL100&lt;&gt;""),_xlfn.XLOOKUP(MAX(_xlfn.ANCHORARRAY(NN100)),_xlfn.ANCHORARRAY(NN100),NN$4:NR$4,""),"")</f>
        <v/>
      </c>
      <c r="NV100" cm="1">
        <f t="array" ref="NV100:OE100">SUMIFS($J100:$GG100,$J$2:$GG$2,NV$3:OE$3)</f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 cm="1">
        <f t="array" ref="OF100">IFERROR(MAX((_xlfn.ANCHORARRAY(NV100)-AVERAGE(_xlfn.ANCHORARRAY(NV100)))/ AVERAGE(_xlfn.ANCHORARRAY(NV100))),0)</f>
        <v>0</v>
      </c>
      <c r="OG100" t="str" cm="1">
        <f t="array" ref="OG100">IF(OF100&gt;$OG$1,_xlfn.XLOOKUP(MAX(_xlfn.ANCHORARRAY(NV100)),_xlfn.ANCHORARRAY(NV100),NV$4:OE$4,""),"")</f>
        <v/>
      </c>
      <c r="OI100" t="str">
        <f t="shared" si="17"/>
        <v/>
      </c>
    </row>
    <row r="101" spans="1:399" x14ac:dyDescent="0.3">
      <c r="A101" s="2"/>
      <c r="B101" s="2" t="str">
        <f t="shared" si="9"/>
        <v>CORE</v>
      </c>
      <c r="C101" s="2" t="str">
        <f t="shared" si="10"/>
        <v>CORE</v>
      </c>
      <c r="D101" s="2" t="str">
        <f t="shared" si="11"/>
        <v>CORE</v>
      </c>
      <c r="E101" s="2" t="str">
        <f t="shared" si="12"/>
        <v/>
      </c>
      <c r="F101" s="2">
        <f t="shared" si="13"/>
        <v>0</v>
      </c>
      <c r="G101" s="2">
        <f t="shared" si="14"/>
        <v>0</v>
      </c>
      <c r="H101" s="2">
        <f t="shared" si="15"/>
        <v>0</v>
      </c>
      <c r="I101" s="2">
        <f t="shared" si="16"/>
        <v>0</v>
      </c>
      <c r="NH101" cm="1">
        <f t="array" ref="NH101:NJ101">SUMIFS($J101:$GG101,$J$1:$GG$1,NH$3:NJ$3)</f>
        <v>0</v>
      </c>
      <c r="NI101">
        <v>0</v>
      </c>
      <c r="NJ101">
        <v>0</v>
      </c>
      <c r="NK101" cm="1">
        <f t="array" ref="NK101">IFERROR(MAX((_xlfn.ANCHORARRAY(NH101)-AVERAGE(_xlfn.ANCHORARRAY(NH101)))/ AVERAGE(_xlfn.ANCHORARRAY(NH101))),0)</f>
        <v>0</v>
      </c>
      <c r="NL101" t="str" cm="1">
        <f t="array" ref="NL101">IF(NK101&gt;$NL$1,_xlfn.XLOOKUP(MAX(_xlfn.ANCHORARRAY(NH101)),_xlfn.ANCHORARRAY(NH101),NH$4:NJ$4,""),"")</f>
        <v/>
      </c>
      <c r="NN101" cm="1">
        <f t="array" ref="NN101:NR101">SUMIFS($J101:$GG101,$J$3:$GG$3,NN$3:NR$3)</f>
        <v>0</v>
      </c>
      <c r="NO101">
        <v>0</v>
      </c>
      <c r="NP101">
        <v>0</v>
      </c>
      <c r="NQ101">
        <v>0</v>
      </c>
      <c r="NR101">
        <v>0</v>
      </c>
      <c r="NS101" cm="1">
        <f t="array" ref="NS101">IFERROR(MAX((_xlfn.ANCHORARRAY(NN101)-AVERAGE(_xlfn.ANCHORARRAY(NN101)))/ AVERAGE(_xlfn.ANCHORARRAY(NN101))),0)</f>
        <v>0</v>
      </c>
      <c r="NT101" t="str" cm="1">
        <f t="array" ref="NT101">IF(AND(NS101&gt;$NT$1,NL101&lt;&gt;""),_xlfn.XLOOKUP(MAX(_xlfn.ANCHORARRAY(NN101)),_xlfn.ANCHORARRAY(NN101),NN$4:NR$4,""),"")</f>
        <v/>
      </c>
      <c r="NV101" cm="1">
        <f t="array" ref="NV101:OE101">SUMIFS($J101:$GG101,$J$2:$GG$2,NV$3:OE$3)</f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 cm="1">
        <f t="array" ref="OF101">IFERROR(MAX((_xlfn.ANCHORARRAY(NV101)-AVERAGE(_xlfn.ANCHORARRAY(NV101)))/ AVERAGE(_xlfn.ANCHORARRAY(NV101))),0)</f>
        <v>0</v>
      </c>
      <c r="OG101" t="str" cm="1">
        <f t="array" ref="OG101">IF(OF101&gt;$OG$1,_xlfn.XLOOKUP(MAX(_xlfn.ANCHORARRAY(NV101)),_xlfn.ANCHORARRAY(NV101),NV$4:OE$4,""),"")</f>
        <v/>
      </c>
      <c r="OI101" t="str">
        <f t="shared" si="17"/>
        <v/>
      </c>
    </row>
    <row r="102" spans="1:399" x14ac:dyDescent="0.3">
      <c r="A102" s="2"/>
      <c r="B102" s="2" t="str">
        <f t="shared" si="9"/>
        <v>CORE</v>
      </c>
      <c r="C102" s="2" t="str">
        <f t="shared" si="10"/>
        <v>CORE</v>
      </c>
      <c r="D102" s="2" t="str">
        <f t="shared" si="11"/>
        <v>CORE</v>
      </c>
      <c r="E102" s="2" t="str">
        <f t="shared" si="12"/>
        <v/>
      </c>
      <c r="F102" s="2">
        <f t="shared" si="13"/>
        <v>0</v>
      </c>
      <c r="G102" s="2">
        <f t="shared" si="14"/>
        <v>0</v>
      </c>
      <c r="H102" s="2">
        <f t="shared" si="15"/>
        <v>0</v>
      </c>
      <c r="I102" s="2">
        <f t="shared" si="16"/>
        <v>0</v>
      </c>
      <c r="NH102" cm="1">
        <f t="array" ref="NH102:NJ102">SUMIFS($J102:$GG102,$J$1:$GG$1,NH$3:NJ$3)</f>
        <v>0</v>
      </c>
      <c r="NI102">
        <v>0</v>
      </c>
      <c r="NJ102">
        <v>0</v>
      </c>
      <c r="NK102" cm="1">
        <f t="array" ref="NK102">IFERROR(MAX((_xlfn.ANCHORARRAY(NH102)-AVERAGE(_xlfn.ANCHORARRAY(NH102)))/ AVERAGE(_xlfn.ANCHORARRAY(NH102))),0)</f>
        <v>0</v>
      </c>
      <c r="NL102" t="str" cm="1">
        <f t="array" ref="NL102">IF(NK102&gt;$NL$1,_xlfn.XLOOKUP(MAX(_xlfn.ANCHORARRAY(NH102)),_xlfn.ANCHORARRAY(NH102),NH$4:NJ$4,""),"")</f>
        <v/>
      </c>
      <c r="NN102" cm="1">
        <f t="array" ref="NN102:NR102">SUMIFS($J102:$GG102,$J$3:$GG$3,NN$3:NR$3)</f>
        <v>0</v>
      </c>
      <c r="NO102">
        <v>0</v>
      </c>
      <c r="NP102">
        <v>0</v>
      </c>
      <c r="NQ102">
        <v>0</v>
      </c>
      <c r="NR102">
        <v>0</v>
      </c>
      <c r="NS102" cm="1">
        <f t="array" ref="NS102">IFERROR(MAX((_xlfn.ANCHORARRAY(NN102)-AVERAGE(_xlfn.ANCHORARRAY(NN102)))/ AVERAGE(_xlfn.ANCHORARRAY(NN102))),0)</f>
        <v>0</v>
      </c>
      <c r="NT102" t="str" cm="1">
        <f t="array" ref="NT102">IF(AND(NS102&gt;$NT$1,NL102&lt;&gt;""),_xlfn.XLOOKUP(MAX(_xlfn.ANCHORARRAY(NN102)),_xlfn.ANCHORARRAY(NN102),NN$4:NR$4,""),"")</f>
        <v/>
      </c>
      <c r="NV102" cm="1">
        <f t="array" ref="NV102:OE102">SUMIFS($J102:$GG102,$J$2:$GG$2,NV$3:OE$3)</f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 cm="1">
        <f t="array" ref="OF102">IFERROR(MAX((_xlfn.ANCHORARRAY(NV102)-AVERAGE(_xlfn.ANCHORARRAY(NV102)))/ AVERAGE(_xlfn.ANCHORARRAY(NV102))),0)</f>
        <v>0</v>
      </c>
      <c r="OG102" t="str" cm="1">
        <f t="array" ref="OG102">IF(OF102&gt;$OG$1,_xlfn.XLOOKUP(MAX(_xlfn.ANCHORARRAY(NV102)),_xlfn.ANCHORARRAY(NV102),NV$4:OE$4,""),"")</f>
        <v/>
      </c>
      <c r="OI102" t="str">
        <f t="shared" si="17"/>
        <v/>
      </c>
    </row>
    <row r="103" spans="1:399" x14ac:dyDescent="0.3">
      <c r="A103" s="2"/>
      <c r="B103" s="2" t="str">
        <f t="shared" si="9"/>
        <v>CORE</v>
      </c>
      <c r="C103" s="2" t="str">
        <f t="shared" si="10"/>
        <v>CORE</v>
      </c>
      <c r="D103" s="2" t="str">
        <f t="shared" si="11"/>
        <v>CORE</v>
      </c>
      <c r="E103" s="2" t="str">
        <f t="shared" si="12"/>
        <v/>
      </c>
      <c r="F103" s="2">
        <f t="shared" si="13"/>
        <v>0</v>
      </c>
      <c r="G103" s="2">
        <f t="shared" si="14"/>
        <v>0</v>
      </c>
      <c r="H103" s="2">
        <f t="shared" si="15"/>
        <v>0</v>
      </c>
      <c r="I103" s="2">
        <f t="shared" si="16"/>
        <v>0</v>
      </c>
      <c r="NH103" cm="1">
        <f t="array" ref="NH103:NJ103">SUMIFS($J103:$GG103,$J$1:$GG$1,NH$3:NJ$3)</f>
        <v>0</v>
      </c>
      <c r="NI103">
        <v>0</v>
      </c>
      <c r="NJ103">
        <v>0</v>
      </c>
      <c r="NK103" cm="1">
        <f t="array" ref="NK103">IFERROR(MAX((_xlfn.ANCHORARRAY(NH103)-AVERAGE(_xlfn.ANCHORARRAY(NH103)))/ AVERAGE(_xlfn.ANCHORARRAY(NH103))),0)</f>
        <v>0</v>
      </c>
      <c r="NL103" t="str" cm="1">
        <f t="array" ref="NL103">IF(NK103&gt;$NL$1,_xlfn.XLOOKUP(MAX(_xlfn.ANCHORARRAY(NH103)),_xlfn.ANCHORARRAY(NH103),NH$4:NJ$4,""),"")</f>
        <v/>
      </c>
      <c r="NN103" cm="1">
        <f t="array" ref="NN103:NR103">SUMIFS($J103:$GG103,$J$3:$GG$3,NN$3:NR$3)</f>
        <v>0</v>
      </c>
      <c r="NO103">
        <v>0</v>
      </c>
      <c r="NP103">
        <v>0</v>
      </c>
      <c r="NQ103">
        <v>0</v>
      </c>
      <c r="NR103">
        <v>0</v>
      </c>
      <c r="NS103" cm="1">
        <f t="array" ref="NS103">IFERROR(MAX((_xlfn.ANCHORARRAY(NN103)-AVERAGE(_xlfn.ANCHORARRAY(NN103)))/ AVERAGE(_xlfn.ANCHORARRAY(NN103))),0)</f>
        <v>0</v>
      </c>
      <c r="NT103" t="str" cm="1">
        <f t="array" ref="NT103">IF(AND(NS103&gt;$NT$1,NL103&lt;&gt;""),_xlfn.XLOOKUP(MAX(_xlfn.ANCHORARRAY(NN103)),_xlfn.ANCHORARRAY(NN103),NN$4:NR$4,""),"")</f>
        <v/>
      </c>
      <c r="NV103" cm="1">
        <f t="array" ref="NV103:OE103">SUMIFS($J103:$GG103,$J$2:$GG$2,NV$3:OE$3)</f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 cm="1">
        <f t="array" ref="OF103">IFERROR(MAX((_xlfn.ANCHORARRAY(NV103)-AVERAGE(_xlfn.ANCHORARRAY(NV103)))/ AVERAGE(_xlfn.ANCHORARRAY(NV103))),0)</f>
        <v>0</v>
      </c>
      <c r="OG103" t="str" cm="1">
        <f t="array" ref="OG103">IF(OF103&gt;$OG$1,_xlfn.XLOOKUP(MAX(_xlfn.ANCHORARRAY(NV103)),_xlfn.ANCHORARRAY(NV103),NV$4:OE$4,""),"")</f>
        <v/>
      </c>
      <c r="OI103" t="str">
        <f t="shared" si="17"/>
        <v/>
      </c>
    </row>
    <row r="104" spans="1:399" x14ac:dyDescent="0.3">
      <c r="A104" s="2"/>
      <c r="B104" s="2" t="str">
        <f t="shared" si="9"/>
        <v>CORE</v>
      </c>
      <c r="C104" s="2" t="str">
        <f t="shared" si="10"/>
        <v>CORE</v>
      </c>
      <c r="D104" s="2" t="str">
        <f t="shared" si="11"/>
        <v>CORE</v>
      </c>
      <c r="E104" s="2" t="str">
        <f t="shared" si="12"/>
        <v/>
      </c>
      <c r="F104" s="2">
        <f t="shared" si="13"/>
        <v>0</v>
      </c>
      <c r="G104" s="2">
        <f t="shared" si="14"/>
        <v>0</v>
      </c>
      <c r="H104" s="2">
        <f t="shared" si="15"/>
        <v>0</v>
      </c>
      <c r="I104" s="2">
        <f t="shared" si="16"/>
        <v>0</v>
      </c>
      <c r="NH104" cm="1">
        <f t="array" ref="NH104:NJ104">SUMIFS($J104:$GG104,$J$1:$GG$1,NH$3:NJ$3)</f>
        <v>0</v>
      </c>
      <c r="NI104">
        <v>0</v>
      </c>
      <c r="NJ104">
        <v>0</v>
      </c>
      <c r="NK104" cm="1">
        <f t="array" ref="NK104">IFERROR(MAX((_xlfn.ANCHORARRAY(NH104)-AVERAGE(_xlfn.ANCHORARRAY(NH104)))/ AVERAGE(_xlfn.ANCHORARRAY(NH104))),0)</f>
        <v>0</v>
      </c>
      <c r="NL104" t="str" cm="1">
        <f t="array" ref="NL104">IF(NK104&gt;$NL$1,_xlfn.XLOOKUP(MAX(_xlfn.ANCHORARRAY(NH104)),_xlfn.ANCHORARRAY(NH104),NH$4:NJ$4,""),"")</f>
        <v/>
      </c>
      <c r="NN104" cm="1">
        <f t="array" ref="NN104:NR104">SUMIFS($J104:$GG104,$J$3:$GG$3,NN$3:NR$3)</f>
        <v>0</v>
      </c>
      <c r="NO104">
        <v>0</v>
      </c>
      <c r="NP104">
        <v>0</v>
      </c>
      <c r="NQ104">
        <v>0</v>
      </c>
      <c r="NR104">
        <v>0</v>
      </c>
      <c r="NS104" cm="1">
        <f t="array" ref="NS104">IFERROR(MAX((_xlfn.ANCHORARRAY(NN104)-AVERAGE(_xlfn.ANCHORARRAY(NN104)))/ AVERAGE(_xlfn.ANCHORARRAY(NN104))),0)</f>
        <v>0</v>
      </c>
      <c r="NT104" t="str" cm="1">
        <f t="array" ref="NT104">IF(AND(NS104&gt;$NT$1,NL104&lt;&gt;""),_xlfn.XLOOKUP(MAX(_xlfn.ANCHORARRAY(NN104)),_xlfn.ANCHORARRAY(NN104),NN$4:NR$4,""),"")</f>
        <v/>
      </c>
      <c r="NV104" cm="1">
        <f t="array" ref="NV104:OE104">SUMIFS($J104:$GG104,$J$2:$GG$2,NV$3:OE$3)</f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 cm="1">
        <f t="array" ref="OF104">IFERROR(MAX((_xlfn.ANCHORARRAY(NV104)-AVERAGE(_xlfn.ANCHORARRAY(NV104)))/ AVERAGE(_xlfn.ANCHORARRAY(NV104))),0)</f>
        <v>0</v>
      </c>
      <c r="OG104" t="str" cm="1">
        <f t="array" ref="OG104">IF(OF104&gt;$OG$1,_xlfn.XLOOKUP(MAX(_xlfn.ANCHORARRAY(NV104)),_xlfn.ANCHORARRAY(NV104),NV$4:OE$4,""),"")</f>
        <v/>
      </c>
      <c r="OI104" t="str">
        <f t="shared" si="17"/>
        <v/>
      </c>
    </row>
    <row r="105" spans="1:399" x14ac:dyDescent="0.3">
      <c r="A105" s="2"/>
      <c r="B105" s="2" t="str">
        <f t="shared" si="9"/>
        <v>CORE</v>
      </c>
      <c r="C105" s="2" t="str">
        <f t="shared" si="10"/>
        <v>CORE</v>
      </c>
      <c r="D105" s="2" t="str">
        <f t="shared" si="11"/>
        <v>CORE</v>
      </c>
      <c r="E105" s="2" t="str">
        <f t="shared" si="12"/>
        <v/>
      </c>
      <c r="F105" s="2">
        <f t="shared" si="13"/>
        <v>0</v>
      </c>
      <c r="G105" s="2">
        <f t="shared" si="14"/>
        <v>0</v>
      </c>
      <c r="H105" s="2">
        <f t="shared" si="15"/>
        <v>0</v>
      </c>
      <c r="I105" s="2">
        <f t="shared" si="16"/>
        <v>0</v>
      </c>
      <c r="NH105" cm="1">
        <f t="array" ref="NH105:NJ105">SUMIFS($J105:$GG105,$J$1:$GG$1,NH$3:NJ$3)</f>
        <v>0</v>
      </c>
      <c r="NI105">
        <v>0</v>
      </c>
      <c r="NJ105">
        <v>0</v>
      </c>
      <c r="NK105" cm="1">
        <f t="array" ref="NK105">IFERROR(MAX((_xlfn.ANCHORARRAY(NH105)-AVERAGE(_xlfn.ANCHORARRAY(NH105)))/ AVERAGE(_xlfn.ANCHORARRAY(NH105))),0)</f>
        <v>0</v>
      </c>
      <c r="NL105" t="str" cm="1">
        <f t="array" ref="NL105">IF(NK105&gt;$NL$1,_xlfn.XLOOKUP(MAX(_xlfn.ANCHORARRAY(NH105)),_xlfn.ANCHORARRAY(NH105),NH$4:NJ$4,""),"")</f>
        <v/>
      </c>
      <c r="NN105" cm="1">
        <f t="array" ref="NN105:NR105">SUMIFS($J105:$GG105,$J$3:$GG$3,NN$3:NR$3)</f>
        <v>0</v>
      </c>
      <c r="NO105">
        <v>0</v>
      </c>
      <c r="NP105">
        <v>0</v>
      </c>
      <c r="NQ105">
        <v>0</v>
      </c>
      <c r="NR105">
        <v>0</v>
      </c>
      <c r="NS105" cm="1">
        <f t="array" ref="NS105">IFERROR(MAX((_xlfn.ANCHORARRAY(NN105)-AVERAGE(_xlfn.ANCHORARRAY(NN105)))/ AVERAGE(_xlfn.ANCHORARRAY(NN105))),0)</f>
        <v>0</v>
      </c>
      <c r="NT105" t="str" cm="1">
        <f t="array" ref="NT105">IF(AND(NS105&gt;$NT$1,NL105&lt;&gt;""),_xlfn.XLOOKUP(MAX(_xlfn.ANCHORARRAY(NN105)),_xlfn.ANCHORARRAY(NN105),NN$4:NR$4,""),"")</f>
        <v/>
      </c>
      <c r="NV105" cm="1">
        <f t="array" ref="NV105:OE105">SUMIFS($J105:$GG105,$J$2:$GG$2,NV$3:OE$3)</f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 cm="1">
        <f t="array" ref="OF105">IFERROR(MAX((_xlfn.ANCHORARRAY(NV105)-AVERAGE(_xlfn.ANCHORARRAY(NV105)))/ AVERAGE(_xlfn.ANCHORARRAY(NV105))),0)</f>
        <v>0</v>
      </c>
      <c r="OG105" t="str" cm="1">
        <f t="array" ref="OG105">IF(OF105&gt;$OG$1,_xlfn.XLOOKUP(MAX(_xlfn.ANCHORARRAY(NV105)),_xlfn.ANCHORARRAY(NV105),NV$4:OE$4,""),"")</f>
        <v/>
      </c>
      <c r="OI105" t="str">
        <f t="shared" si="17"/>
        <v/>
      </c>
    </row>
    <row r="106" spans="1:399" x14ac:dyDescent="0.3">
      <c r="A106" s="2"/>
      <c r="B106" s="2" t="str">
        <f t="shared" si="9"/>
        <v>CORE</v>
      </c>
      <c r="C106" s="2" t="str">
        <f t="shared" si="10"/>
        <v>CORE</v>
      </c>
      <c r="D106" s="2" t="str">
        <f t="shared" si="11"/>
        <v>CORE</v>
      </c>
      <c r="E106" s="2" t="str">
        <f t="shared" si="12"/>
        <v/>
      </c>
      <c r="F106" s="2">
        <f t="shared" si="13"/>
        <v>0</v>
      </c>
      <c r="G106" s="2">
        <f t="shared" si="14"/>
        <v>0</v>
      </c>
      <c r="H106" s="2">
        <f t="shared" si="15"/>
        <v>0</v>
      </c>
      <c r="I106" s="2">
        <f t="shared" si="16"/>
        <v>0</v>
      </c>
      <c r="NH106" cm="1">
        <f t="array" ref="NH106:NJ106">SUMIFS($J106:$GG106,$J$1:$GG$1,NH$3:NJ$3)</f>
        <v>0</v>
      </c>
      <c r="NI106">
        <v>0</v>
      </c>
      <c r="NJ106">
        <v>0</v>
      </c>
      <c r="NK106" cm="1">
        <f t="array" ref="NK106">IFERROR(MAX((_xlfn.ANCHORARRAY(NH106)-AVERAGE(_xlfn.ANCHORARRAY(NH106)))/ AVERAGE(_xlfn.ANCHORARRAY(NH106))),0)</f>
        <v>0</v>
      </c>
      <c r="NL106" t="str" cm="1">
        <f t="array" ref="NL106">IF(NK106&gt;$NL$1,_xlfn.XLOOKUP(MAX(_xlfn.ANCHORARRAY(NH106)),_xlfn.ANCHORARRAY(NH106),NH$4:NJ$4,""),"")</f>
        <v/>
      </c>
      <c r="NN106" cm="1">
        <f t="array" ref="NN106:NR106">SUMIFS($J106:$GG106,$J$3:$GG$3,NN$3:NR$3)</f>
        <v>0</v>
      </c>
      <c r="NO106">
        <v>0</v>
      </c>
      <c r="NP106">
        <v>0</v>
      </c>
      <c r="NQ106">
        <v>0</v>
      </c>
      <c r="NR106">
        <v>0</v>
      </c>
      <c r="NS106" cm="1">
        <f t="array" ref="NS106">IFERROR(MAX((_xlfn.ANCHORARRAY(NN106)-AVERAGE(_xlfn.ANCHORARRAY(NN106)))/ AVERAGE(_xlfn.ANCHORARRAY(NN106))),0)</f>
        <v>0</v>
      </c>
      <c r="NT106" t="str" cm="1">
        <f t="array" ref="NT106">IF(AND(NS106&gt;$NT$1,NL106&lt;&gt;""),_xlfn.XLOOKUP(MAX(_xlfn.ANCHORARRAY(NN106)),_xlfn.ANCHORARRAY(NN106),NN$4:NR$4,""),"")</f>
        <v/>
      </c>
      <c r="NV106" cm="1">
        <f t="array" ref="NV106:OE106">SUMIFS($J106:$GG106,$J$2:$GG$2,NV$3:OE$3)</f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 cm="1">
        <f t="array" ref="OF106">IFERROR(MAX((_xlfn.ANCHORARRAY(NV106)-AVERAGE(_xlfn.ANCHORARRAY(NV106)))/ AVERAGE(_xlfn.ANCHORARRAY(NV106))),0)</f>
        <v>0</v>
      </c>
      <c r="OG106" t="str" cm="1">
        <f t="array" ref="OG106">IF(OF106&gt;$OG$1,_xlfn.XLOOKUP(MAX(_xlfn.ANCHORARRAY(NV106)),_xlfn.ANCHORARRAY(NV106),NV$4:OE$4,""),"")</f>
        <v/>
      </c>
      <c r="OI106" t="str">
        <f t="shared" si="17"/>
        <v/>
      </c>
    </row>
    <row r="107" spans="1:399" x14ac:dyDescent="0.3">
      <c r="A107" s="2"/>
      <c r="B107" s="2" t="str">
        <f t="shared" si="9"/>
        <v>CORE</v>
      </c>
      <c r="C107" s="2" t="str">
        <f t="shared" si="10"/>
        <v>CORE</v>
      </c>
      <c r="D107" s="2" t="str">
        <f t="shared" si="11"/>
        <v>CORE</v>
      </c>
      <c r="E107" s="2" t="str">
        <f t="shared" si="12"/>
        <v/>
      </c>
      <c r="F107" s="2">
        <f t="shared" si="13"/>
        <v>0</v>
      </c>
      <c r="G107" s="2">
        <f t="shared" si="14"/>
        <v>0</v>
      </c>
      <c r="H107" s="2">
        <f t="shared" si="15"/>
        <v>0</v>
      </c>
      <c r="I107" s="2">
        <f t="shared" si="16"/>
        <v>0</v>
      </c>
      <c r="NH107" cm="1">
        <f t="array" ref="NH107:NJ107">SUMIFS($J107:$GG107,$J$1:$GG$1,NH$3:NJ$3)</f>
        <v>0</v>
      </c>
      <c r="NI107">
        <v>0</v>
      </c>
      <c r="NJ107">
        <v>0</v>
      </c>
      <c r="NK107" cm="1">
        <f t="array" ref="NK107">IFERROR(MAX((_xlfn.ANCHORARRAY(NH107)-AVERAGE(_xlfn.ANCHORARRAY(NH107)))/ AVERAGE(_xlfn.ANCHORARRAY(NH107))),0)</f>
        <v>0</v>
      </c>
      <c r="NL107" t="str" cm="1">
        <f t="array" ref="NL107">IF(NK107&gt;$NL$1,_xlfn.XLOOKUP(MAX(_xlfn.ANCHORARRAY(NH107)),_xlfn.ANCHORARRAY(NH107),NH$4:NJ$4,""),"")</f>
        <v/>
      </c>
      <c r="NN107" cm="1">
        <f t="array" ref="NN107:NR107">SUMIFS($J107:$GG107,$J$3:$GG$3,NN$3:NR$3)</f>
        <v>0</v>
      </c>
      <c r="NO107">
        <v>0</v>
      </c>
      <c r="NP107">
        <v>0</v>
      </c>
      <c r="NQ107">
        <v>0</v>
      </c>
      <c r="NR107">
        <v>0</v>
      </c>
      <c r="NS107" cm="1">
        <f t="array" ref="NS107">IFERROR(MAX((_xlfn.ANCHORARRAY(NN107)-AVERAGE(_xlfn.ANCHORARRAY(NN107)))/ AVERAGE(_xlfn.ANCHORARRAY(NN107))),0)</f>
        <v>0</v>
      </c>
      <c r="NT107" t="str" cm="1">
        <f t="array" ref="NT107">IF(AND(NS107&gt;$NT$1,NL107&lt;&gt;""),_xlfn.XLOOKUP(MAX(_xlfn.ANCHORARRAY(NN107)),_xlfn.ANCHORARRAY(NN107),NN$4:NR$4,""),"")</f>
        <v/>
      </c>
      <c r="NV107" cm="1">
        <f t="array" ref="NV107:OE107">SUMIFS($J107:$GG107,$J$2:$GG$2,NV$3:OE$3)</f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 cm="1">
        <f t="array" ref="OF107">IFERROR(MAX((_xlfn.ANCHORARRAY(NV107)-AVERAGE(_xlfn.ANCHORARRAY(NV107)))/ AVERAGE(_xlfn.ANCHORARRAY(NV107))),0)</f>
        <v>0</v>
      </c>
      <c r="OG107" t="str" cm="1">
        <f t="array" ref="OG107">IF(OF107&gt;$OG$1,_xlfn.XLOOKUP(MAX(_xlfn.ANCHORARRAY(NV107)),_xlfn.ANCHORARRAY(NV107),NV$4:OE$4,""),"")</f>
        <v/>
      </c>
      <c r="OI107" t="str">
        <f t="shared" si="17"/>
        <v/>
      </c>
    </row>
    <row r="108" spans="1:399" x14ac:dyDescent="0.3">
      <c r="A108" s="2"/>
      <c r="B108" s="2" t="str">
        <f t="shared" si="9"/>
        <v>CORE</v>
      </c>
      <c r="C108" s="2" t="str">
        <f t="shared" si="10"/>
        <v>CORE</v>
      </c>
      <c r="D108" s="2" t="str">
        <f t="shared" si="11"/>
        <v>CORE</v>
      </c>
      <c r="E108" s="2" t="str">
        <f t="shared" si="12"/>
        <v/>
      </c>
      <c r="F108" s="2">
        <f t="shared" si="13"/>
        <v>0</v>
      </c>
      <c r="G108" s="2">
        <f t="shared" si="14"/>
        <v>0</v>
      </c>
      <c r="H108" s="2">
        <f t="shared" si="15"/>
        <v>0</v>
      </c>
      <c r="I108" s="2">
        <f t="shared" si="16"/>
        <v>0</v>
      </c>
      <c r="NH108" cm="1">
        <f t="array" ref="NH108:NJ108">SUMIFS($J108:$GG108,$J$1:$GG$1,NH$3:NJ$3)</f>
        <v>0</v>
      </c>
      <c r="NI108">
        <v>0</v>
      </c>
      <c r="NJ108">
        <v>0</v>
      </c>
      <c r="NK108" cm="1">
        <f t="array" ref="NK108">IFERROR(MAX((_xlfn.ANCHORARRAY(NH108)-AVERAGE(_xlfn.ANCHORARRAY(NH108)))/ AVERAGE(_xlfn.ANCHORARRAY(NH108))),0)</f>
        <v>0</v>
      </c>
      <c r="NL108" t="str" cm="1">
        <f t="array" ref="NL108">IF(NK108&gt;$NL$1,_xlfn.XLOOKUP(MAX(_xlfn.ANCHORARRAY(NH108)),_xlfn.ANCHORARRAY(NH108),NH$4:NJ$4,""),"")</f>
        <v/>
      </c>
      <c r="NN108" cm="1">
        <f t="array" ref="NN108:NR108">SUMIFS($J108:$GG108,$J$3:$GG$3,NN$3:NR$3)</f>
        <v>0</v>
      </c>
      <c r="NO108">
        <v>0</v>
      </c>
      <c r="NP108">
        <v>0</v>
      </c>
      <c r="NQ108">
        <v>0</v>
      </c>
      <c r="NR108">
        <v>0</v>
      </c>
      <c r="NS108" cm="1">
        <f t="array" ref="NS108">IFERROR(MAX((_xlfn.ANCHORARRAY(NN108)-AVERAGE(_xlfn.ANCHORARRAY(NN108)))/ AVERAGE(_xlfn.ANCHORARRAY(NN108))),0)</f>
        <v>0</v>
      </c>
      <c r="NT108" t="str" cm="1">
        <f t="array" ref="NT108">IF(AND(NS108&gt;$NT$1,NL108&lt;&gt;""),_xlfn.XLOOKUP(MAX(_xlfn.ANCHORARRAY(NN108)),_xlfn.ANCHORARRAY(NN108),NN$4:NR$4,""),"")</f>
        <v/>
      </c>
      <c r="NV108" cm="1">
        <f t="array" ref="NV108:OE108">SUMIFS($J108:$GG108,$J$2:$GG$2,NV$3:OE$3)</f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 cm="1">
        <f t="array" ref="OF108">IFERROR(MAX((_xlfn.ANCHORARRAY(NV108)-AVERAGE(_xlfn.ANCHORARRAY(NV108)))/ AVERAGE(_xlfn.ANCHORARRAY(NV108))),0)</f>
        <v>0</v>
      </c>
      <c r="OG108" t="str" cm="1">
        <f t="array" ref="OG108">IF(OF108&gt;$OG$1,_xlfn.XLOOKUP(MAX(_xlfn.ANCHORARRAY(NV108)),_xlfn.ANCHORARRAY(NV108),NV$4:OE$4,""),"")</f>
        <v/>
      </c>
      <c r="OI108" t="str">
        <f t="shared" si="17"/>
        <v/>
      </c>
    </row>
    <row r="109" spans="1:399" x14ac:dyDescent="0.3">
      <c r="A109" s="2"/>
      <c r="B109" s="2" t="str">
        <f t="shared" si="9"/>
        <v>CORE</v>
      </c>
      <c r="C109" s="2" t="str">
        <f t="shared" si="10"/>
        <v>CORE</v>
      </c>
      <c r="D109" s="2" t="str">
        <f t="shared" si="11"/>
        <v>CORE</v>
      </c>
      <c r="E109" s="2" t="str">
        <f t="shared" si="12"/>
        <v/>
      </c>
      <c r="F109" s="2">
        <f t="shared" si="13"/>
        <v>0</v>
      </c>
      <c r="G109" s="2">
        <f t="shared" si="14"/>
        <v>0</v>
      </c>
      <c r="H109" s="2">
        <f t="shared" si="15"/>
        <v>0</v>
      </c>
      <c r="I109" s="2">
        <f t="shared" si="16"/>
        <v>0</v>
      </c>
      <c r="NH109" cm="1">
        <f t="array" ref="NH109:NJ109">SUMIFS($J109:$GG109,$J$1:$GG$1,NH$3:NJ$3)</f>
        <v>0</v>
      </c>
      <c r="NI109">
        <v>0</v>
      </c>
      <c r="NJ109">
        <v>0</v>
      </c>
      <c r="NK109" cm="1">
        <f t="array" ref="NK109">IFERROR(MAX((_xlfn.ANCHORARRAY(NH109)-AVERAGE(_xlfn.ANCHORARRAY(NH109)))/ AVERAGE(_xlfn.ANCHORARRAY(NH109))),0)</f>
        <v>0</v>
      </c>
      <c r="NL109" t="str" cm="1">
        <f t="array" ref="NL109">IF(NK109&gt;$NL$1,_xlfn.XLOOKUP(MAX(_xlfn.ANCHORARRAY(NH109)),_xlfn.ANCHORARRAY(NH109),NH$4:NJ$4,""),"")</f>
        <v/>
      </c>
      <c r="NN109" cm="1">
        <f t="array" ref="NN109:NR109">SUMIFS($J109:$GG109,$J$3:$GG$3,NN$3:NR$3)</f>
        <v>0</v>
      </c>
      <c r="NO109">
        <v>0</v>
      </c>
      <c r="NP109">
        <v>0</v>
      </c>
      <c r="NQ109">
        <v>0</v>
      </c>
      <c r="NR109">
        <v>0</v>
      </c>
      <c r="NS109" cm="1">
        <f t="array" ref="NS109">IFERROR(MAX((_xlfn.ANCHORARRAY(NN109)-AVERAGE(_xlfn.ANCHORARRAY(NN109)))/ AVERAGE(_xlfn.ANCHORARRAY(NN109))),0)</f>
        <v>0</v>
      </c>
      <c r="NT109" t="str" cm="1">
        <f t="array" ref="NT109">IF(AND(NS109&gt;$NT$1,NL109&lt;&gt;""),_xlfn.XLOOKUP(MAX(_xlfn.ANCHORARRAY(NN109)),_xlfn.ANCHORARRAY(NN109),NN$4:NR$4,""),"")</f>
        <v/>
      </c>
      <c r="NV109" cm="1">
        <f t="array" ref="NV109:OE109">SUMIFS($J109:$GG109,$J$2:$GG$2,NV$3:OE$3)</f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 cm="1">
        <f t="array" ref="OF109">IFERROR(MAX((_xlfn.ANCHORARRAY(NV109)-AVERAGE(_xlfn.ANCHORARRAY(NV109)))/ AVERAGE(_xlfn.ANCHORARRAY(NV109))),0)</f>
        <v>0</v>
      </c>
      <c r="OG109" t="str" cm="1">
        <f t="array" ref="OG109">IF(OF109&gt;$OG$1,_xlfn.XLOOKUP(MAX(_xlfn.ANCHORARRAY(NV109)),_xlfn.ANCHORARRAY(NV109),NV$4:OE$4,""),"")</f>
        <v/>
      </c>
      <c r="OI109" t="str">
        <f t="shared" si="17"/>
        <v/>
      </c>
    </row>
    <row r="110" spans="1:399" x14ac:dyDescent="0.3">
      <c r="A110" s="2"/>
      <c r="B110" s="2" t="str">
        <f t="shared" si="9"/>
        <v>CORE</v>
      </c>
      <c r="C110" s="2" t="str">
        <f t="shared" si="10"/>
        <v>CORE</v>
      </c>
      <c r="D110" s="2" t="str">
        <f t="shared" si="11"/>
        <v>CORE</v>
      </c>
      <c r="E110" s="2" t="str">
        <f t="shared" si="12"/>
        <v/>
      </c>
      <c r="F110" s="2">
        <f t="shared" si="13"/>
        <v>0</v>
      </c>
      <c r="G110" s="2">
        <f t="shared" si="14"/>
        <v>0</v>
      </c>
      <c r="H110" s="2">
        <f t="shared" si="15"/>
        <v>0</v>
      </c>
      <c r="I110" s="2">
        <f t="shared" si="16"/>
        <v>0</v>
      </c>
      <c r="NH110" cm="1">
        <f t="array" ref="NH110:NJ110">SUMIFS($J110:$GG110,$J$1:$GG$1,NH$3:NJ$3)</f>
        <v>0</v>
      </c>
      <c r="NI110">
        <v>0</v>
      </c>
      <c r="NJ110">
        <v>0</v>
      </c>
      <c r="NK110" cm="1">
        <f t="array" ref="NK110">IFERROR(MAX((_xlfn.ANCHORARRAY(NH110)-AVERAGE(_xlfn.ANCHORARRAY(NH110)))/ AVERAGE(_xlfn.ANCHORARRAY(NH110))),0)</f>
        <v>0</v>
      </c>
      <c r="NL110" t="str" cm="1">
        <f t="array" ref="NL110">IF(NK110&gt;$NL$1,_xlfn.XLOOKUP(MAX(_xlfn.ANCHORARRAY(NH110)),_xlfn.ANCHORARRAY(NH110),NH$4:NJ$4,""),"")</f>
        <v/>
      </c>
      <c r="NN110" cm="1">
        <f t="array" ref="NN110:NR110">SUMIFS($J110:$GG110,$J$3:$GG$3,NN$3:NR$3)</f>
        <v>0</v>
      </c>
      <c r="NO110">
        <v>0</v>
      </c>
      <c r="NP110">
        <v>0</v>
      </c>
      <c r="NQ110">
        <v>0</v>
      </c>
      <c r="NR110">
        <v>0</v>
      </c>
      <c r="NS110" cm="1">
        <f t="array" ref="NS110">IFERROR(MAX((_xlfn.ANCHORARRAY(NN110)-AVERAGE(_xlfn.ANCHORARRAY(NN110)))/ AVERAGE(_xlfn.ANCHORARRAY(NN110))),0)</f>
        <v>0</v>
      </c>
      <c r="NT110" t="str" cm="1">
        <f t="array" ref="NT110">IF(AND(NS110&gt;$NT$1,NL110&lt;&gt;""),_xlfn.XLOOKUP(MAX(_xlfn.ANCHORARRAY(NN110)),_xlfn.ANCHORARRAY(NN110),NN$4:NR$4,""),"")</f>
        <v/>
      </c>
      <c r="NV110" cm="1">
        <f t="array" ref="NV110:OE110">SUMIFS($J110:$GG110,$J$2:$GG$2,NV$3:OE$3)</f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 cm="1">
        <f t="array" ref="OF110">IFERROR(MAX((_xlfn.ANCHORARRAY(NV110)-AVERAGE(_xlfn.ANCHORARRAY(NV110)))/ AVERAGE(_xlfn.ANCHORARRAY(NV110))),0)</f>
        <v>0</v>
      </c>
      <c r="OG110" t="str" cm="1">
        <f t="array" ref="OG110">IF(OF110&gt;$OG$1,_xlfn.XLOOKUP(MAX(_xlfn.ANCHORARRAY(NV110)),_xlfn.ANCHORARRAY(NV110),NV$4:OE$4,""),"")</f>
        <v/>
      </c>
      <c r="OI110" t="str">
        <f t="shared" si="17"/>
        <v/>
      </c>
    </row>
    <row r="111" spans="1:399" x14ac:dyDescent="0.3">
      <c r="A111" s="2"/>
      <c r="B111" s="2" t="str">
        <f t="shared" si="9"/>
        <v>CORE</v>
      </c>
      <c r="C111" s="2" t="str">
        <f t="shared" si="10"/>
        <v>CORE</v>
      </c>
      <c r="D111" s="2" t="str">
        <f t="shared" si="11"/>
        <v>CORE</v>
      </c>
      <c r="E111" s="2" t="str">
        <f t="shared" si="12"/>
        <v/>
      </c>
      <c r="F111" s="2">
        <f t="shared" si="13"/>
        <v>0</v>
      </c>
      <c r="G111" s="2">
        <f t="shared" si="14"/>
        <v>0</v>
      </c>
      <c r="H111" s="2">
        <f t="shared" si="15"/>
        <v>0</v>
      </c>
      <c r="I111" s="2">
        <f t="shared" si="16"/>
        <v>0</v>
      </c>
      <c r="NH111" cm="1">
        <f t="array" ref="NH111:NJ111">SUMIFS($J111:$GG111,$J$1:$GG$1,NH$3:NJ$3)</f>
        <v>0</v>
      </c>
      <c r="NI111">
        <v>0</v>
      </c>
      <c r="NJ111">
        <v>0</v>
      </c>
      <c r="NK111" cm="1">
        <f t="array" ref="NK111">IFERROR(MAX((_xlfn.ANCHORARRAY(NH111)-AVERAGE(_xlfn.ANCHORARRAY(NH111)))/ AVERAGE(_xlfn.ANCHORARRAY(NH111))),0)</f>
        <v>0</v>
      </c>
      <c r="NL111" t="str" cm="1">
        <f t="array" ref="NL111">IF(NK111&gt;$NL$1,_xlfn.XLOOKUP(MAX(_xlfn.ANCHORARRAY(NH111)),_xlfn.ANCHORARRAY(NH111),NH$4:NJ$4,""),"")</f>
        <v/>
      </c>
      <c r="NN111" cm="1">
        <f t="array" ref="NN111:NR111">SUMIFS($J111:$GG111,$J$3:$GG$3,NN$3:NR$3)</f>
        <v>0</v>
      </c>
      <c r="NO111">
        <v>0</v>
      </c>
      <c r="NP111">
        <v>0</v>
      </c>
      <c r="NQ111">
        <v>0</v>
      </c>
      <c r="NR111">
        <v>0</v>
      </c>
      <c r="NS111" cm="1">
        <f t="array" ref="NS111">IFERROR(MAX((_xlfn.ANCHORARRAY(NN111)-AVERAGE(_xlfn.ANCHORARRAY(NN111)))/ AVERAGE(_xlfn.ANCHORARRAY(NN111))),0)</f>
        <v>0</v>
      </c>
      <c r="NT111" t="str" cm="1">
        <f t="array" ref="NT111">IF(AND(NS111&gt;$NT$1,NL111&lt;&gt;""),_xlfn.XLOOKUP(MAX(_xlfn.ANCHORARRAY(NN111)),_xlfn.ANCHORARRAY(NN111),NN$4:NR$4,""),"")</f>
        <v/>
      </c>
      <c r="NV111" cm="1">
        <f t="array" ref="NV111:OE111">SUMIFS($J111:$GG111,$J$2:$GG$2,NV$3:OE$3)</f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 cm="1">
        <f t="array" ref="OF111">IFERROR(MAX((_xlfn.ANCHORARRAY(NV111)-AVERAGE(_xlfn.ANCHORARRAY(NV111)))/ AVERAGE(_xlfn.ANCHORARRAY(NV111))),0)</f>
        <v>0</v>
      </c>
      <c r="OG111" t="str" cm="1">
        <f t="array" ref="OG111">IF(OF111&gt;$OG$1,_xlfn.XLOOKUP(MAX(_xlfn.ANCHORARRAY(NV111)),_xlfn.ANCHORARRAY(NV111),NV$4:OE$4,""),"")</f>
        <v/>
      </c>
      <c r="OI111" t="str">
        <f t="shared" si="17"/>
        <v/>
      </c>
    </row>
    <row r="112" spans="1:399" x14ac:dyDescent="0.3">
      <c r="A112" s="2"/>
      <c r="B112" s="2" t="str">
        <f t="shared" si="9"/>
        <v>CORE</v>
      </c>
      <c r="C112" s="2" t="str">
        <f t="shared" si="10"/>
        <v>CORE</v>
      </c>
      <c r="D112" s="2" t="str">
        <f t="shared" si="11"/>
        <v>CORE</v>
      </c>
      <c r="E112" s="2" t="str">
        <f t="shared" si="12"/>
        <v/>
      </c>
      <c r="F112" s="2">
        <f t="shared" si="13"/>
        <v>0</v>
      </c>
      <c r="G112" s="2">
        <f t="shared" si="14"/>
        <v>0</v>
      </c>
      <c r="H112" s="2">
        <f t="shared" si="15"/>
        <v>0</v>
      </c>
      <c r="I112" s="2">
        <f t="shared" si="16"/>
        <v>0</v>
      </c>
      <c r="NH112" cm="1">
        <f t="array" ref="NH112:NJ112">SUMIFS($J112:$GG112,$J$1:$GG$1,NH$3:NJ$3)</f>
        <v>0</v>
      </c>
      <c r="NI112">
        <v>0</v>
      </c>
      <c r="NJ112">
        <v>0</v>
      </c>
      <c r="NK112" cm="1">
        <f t="array" ref="NK112">IFERROR(MAX((_xlfn.ANCHORARRAY(NH112)-AVERAGE(_xlfn.ANCHORARRAY(NH112)))/ AVERAGE(_xlfn.ANCHORARRAY(NH112))),0)</f>
        <v>0</v>
      </c>
      <c r="NL112" t="str" cm="1">
        <f t="array" ref="NL112">IF(NK112&gt;$NL$1,_xlfn.XLOOKUP(MAX(_xlfn.ANCHORARRAY(NH112)),_xlfn.ANCHORARRAY(NH112),NH$4:NJ$4,""),"")</f>
        <v/>
      </c>
      <c r="NN112" cm="1">
        <f t="array" ref="NN112:NR112">SUMIFS($J112:$GG112,$J$3:$GG$3,NN$3:NR$3)</f>
        <v>0</v>
      </c>
      <c r="NO112">
        <v>0</v>
      </c>
      <c r="NP112">
        <v>0</v>
      </c>
      <c r="NQ112">
        <v>0</v>
      </c>
      <c r="NR112">
        <v>0</v>
      </c>
      <c r="NS112" cm="1">
        <f t="array" ref="NS112">IFERROR(MAX((_xlfn.ANCHORARRAY(NN112)-AVERAGE(_xlfn.ANCHORARRAY(NN112)))/ AVERAGE(_xlfn.ANCHORARRAY(NN112))),0)</f>
        <v>0</v>
      </c>
      <c r="NT112" t="str" cm="1">
        <f t="array" ref="NT112">IF(AND(NS112&gt;$NT$1,NL112&lt;&gt;""),_xlfn.XLOOKUP(MAX(_xlfn.ANCHORARRAY(NN112)),_xlfn.ANCHORARRAY(NN112),NN$4:NR$4,""),"")</f>
        <v/>
      </c>
      <c r="NV112" cm="1">
        <f t="array" ref="NV112:OE112">SUMIFS($J112:$GG112,$J$2:$GG$2,NV$3:OE$3)</f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 cm="1">
        <f t="array" ref="OF112">IFERROR(MAX((_xlfn.ANCHORARRAY(NV112)-AVERAGE(_xlfn.ANCHORARRAY(NV112)))/ AVERAGE(_xlfn.ANCHORARRAY(NV112))),0)</f>
        <v>0</v>
      </c>
      <c r="OG112" t="str" cm="1">
        <f t="array" ref="OG112">IF(OF112&gt;$OG$1,_xlfn.XLOOKUP(MAX(_xlfn.ANCHORARRAY(NV112)),_xlfn.ANCHORARRAY(NV112),NV$4:OE$4,""),"")</f>
        <v/>
      </c>
      <c r="OI112" t="str">
        <f t="shared" si="17"/>
        <v/>
      </c>
    </row>
    <row r="113" spans="1:399" x14ac:dyDescent="0.3">
      <c r="A113" s="2"/>
      <c r="B113" s="2" t="str">
        <f t="shared" si="9"/>
        <v>CORE</v>
      </c>
      <c r="C113" s="2" t="str">
        <f t="shared" si="10"/>
        <v>CORE</v>
      </c>
      <c r="D113" s="2" t="str">
        <f t="shared" si="11"/>
        <v>CORE</v>
      </c>
      <c r="E113" s="2" t="str">
        <f t="shared" si="12"/>
        <v/>
      </c>
      <c r="F113" s="2">
        <f t="shared" si="13"/>
        <v>0</v>
      </c>
      <c r="G113" s="2">
        <f t="shared" si="14"/>
        <v>0</v>
      </c>
      <c r="H113" s="2">
        <f t="shared" si="15"/>
        <v>0</v>
      </c>
      <c r="I113" s="2">
        <f t="shared" si="16"/>
        <v>0</v>
      </c>
      <c r="NH113" cm="1">
        <f t="array" ref="NH113:NJ113">SUMIFS($J113:$GG113,$J$1:$GG$1,NH$3:NJ$3)</f>
        <v>0</v>
      </c>
      <c r="NI113">
        <v>0</v>
      </c>
      <c r="NJ113">
        <v>0</v>
      </c>
      <c r="NK113" cm="1">
        <f t="array" ref="NK113">IFERROR(MAX((_xlfn.ANCHORARRAY(NH113)-AVERAGE(_xlfn.ANCHORARRAY(NH113)))/ AVERAGE(_xlfn.ANCHORARRAY(NH113))),0)</f>
        <v>0</v>
      </c>
      <c r="NL113" t="str" cm="1">
        <f t="array" ref="NL113">IF(NK113&gt;$NL$1,_xlfn.XLOOKUP(MAX(_xlfn.ANCHORARRAY(NH113)),_xlfn.ANCHORARRAY(NH113),NH$4:NJ$4,""),"")</f>
        <v/>
      </c>
      <c r="NN113" cm="1">
        <f t="array" ref="NN113:NR113">SUMIFS($J113:$GG113,$J$3:$GG$3,NN$3:NR$3)</f>
        <v>0</v>
      </c>
      <c r="NO113">
        <v>0</v>
      </c>
      <c r="NP113">
        <v>0</v>
      </c>
      <c r="NQ113">
        <v>0</v>
      </c>
      <c r="NR113">
        <v>0</v>
      </c>
      <c r="NS113" cm="1">
        <f t="array" ref="NS113">IFERROR(MAX((_xlfn.ANCHORARRAY(NN113)-AVERAGE(_xlfn.ANCHORARRAY(NN113)))/ AVERAGE(_xlfn.ANCHORARRAY(NN113))),0)</f>
        <v>0</v>
      </c>
      <c r="NT113" t="str" cm="1">
        <f t="array" ref="NT113">IF(AND(NS113&gt;$NT$1,NL113&lt;&gt;""),_xlfn.XLOOKUP(MAX(_xlfn.ANCHORARRAY(NN113)),_xlfn.ANCHORARRAY(NN113),NN$4:NR$4,""),"")</f>
        <v/>
      </c>
      <c r="NV113" cm="1">
        <f t="array" ref="NV113:OE113">SUMIFS($J113:$GG113,$J$2:$GG$2,NV$3:OE$3)</f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 cm="1">
        <f t="array" ref="OF113">IFERROR(MAX((_xlfn.ANCHORARRAY(NV113)-AVERAGE(_xlfn.ANCHORARRAY(NV113)))/ AVERAGE(_xlfn.ANCHORARRAY(NV113))),0)</f>
        <v>0</v>
      </c>
      <c r="OG113" t="str" cm="1">
        <f t="array" ref="OG113">IF(OF113&gt;$OG$1,_xlfn.XLOOKUP(MAX(_xlfn.ANCHORARRAY(NV113)),_xlfn.ANCHORARRAY(NV113),NV$4:OE$4,""),"")</f>
        <v/>
      </c>
      <c r="OI113" t="str">
        <f t="shared" si="17"/>
        <v/>
      </c>
    </row>
    <row r="114" spans="1:399" x14ac:dyDescent="0.3">
      <c r="A114" s="2"/>
      <c r="B114" s="2" t="str">
        <f t="shared" si="9"/>
        <v>CORE</v>
      </c>
      <c r="C114" s="2" t="str">
        <f t="shared" si="10"/>
        <v>CORE</v>
      </c>
      <c r="D114" s="2" t="str">
        <f t="shared" si="11"/>
        <v>CORE</v>
      </c>
      <c r="E114" s="2" t="str">
        <f t="shared" si="12"/>
        <v/>
      </c>
      <c r="F114" s="2">
        <f t="shared" si="13"/>
        <v>0</v>
      </c>
      <c r="G114" s="2">
        <f t="shared" si="14"/>
        <v>0</v>
      </c>
      <c r="H114" s="2">
        <f t="shared" si="15"/>
        <v>0</v>
      </c>
      <c r="I114" s="2">
        <f t="shared" si="16"/>
        <v>0</v>
      </c>
      <c r="NH114" cm="1">
        <f t="array" ref="NH114:NJ114">SUMIFS($J114:$GG114,$J$1:$GG$1,NH$3:NJ$3)</f>
        <v>0</v>
      </c>
      <c r="NI114">
        <v>0</v>
      </c>
      <c r="NJ114">
        <v>0</v>
      </c>
      <c r="NK114" cm="1">
        <f t="array" ref="NK114">IFERROR(MAX((_xlfn.ANCHORARRAY(NH114)-AVERAGE(_xlfn.ANCHORARRAY(NH114)))/ AVERAGE(_xlfn.ANCHORARRAY(NH114))),0)</f>
        <v>0</v>
      </c>
      <c r="NL114" t="str" cm="1">
        <f t="array" ref="NL114">IF(NK114&gt;$NL$1,_xlfn.XLOOKUP(MAX(_xlfn.ANCHORARRAY(NH114)),_xlfn.ANCHORARRAY(NH114),NH$4:NJ$4,""),"")</f>
        <v/>
      </c>
      <c r="NN114" cm="1">
        <f t="array" ref="NN114:NR114">SUMIFS($J114:$GG114,$J$3:$GG$3,NN$3:NR$3)</f>
        <v>0</v>
      </c>
      <c r="NO114">
        <v>0</v>
      </c>
      <c r="NP114">
        <v>0</v>
      </c>
      <c r="NQ114">
        <v>0</v>
      </c>
      <c r="NR114">
        <v>0</v>
      </c>
      <c r="NS114" cm="1">
        <f t="array" ref="NS114">IFERROR(MAX((_xlfn.ANCHORARRAY(NN114)-AVERAGE(_xlfn.ANCHORARRAY(NN114)))/ AVERAGE(_xlfn.ANCHORARRAY(NN114))),0)</f>
        <v>0</v>
      </c>
      <c r="NT114" t="str" cm="1">
        <f t="array" ref="NT114">IF(AND(NS114&gt;$NT$1,NL114&lt;&gt;""),_xlfn.XLOOKUP(MAX(_xlfn.ANCHORARRAY(NN114)),_xlfn.ANCHORARRAY(NN114),NN$4:NR$4,""),"")</f>
        <v/>
      </c>
      <c r="NV114" cm="1">
        <f t="array" ref="NV114:OE114">SUMIFS($J114:$GG114,$J$2:$GG$2,NV$3:OE$3)</f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 cm="1">
        <f t="array" ref="OF114">IFERROR(MAX((_xlfn.ANCHORARRAY(NV114)-AVERAGE(_xlfn.ANCHORARRAY(NV114)))/ AVERAGE(_xlfn.ANCHORARRAY(NV114))),0)</f>
        <v>0</v>
      </c>
      <c r="OG114" t="str" cm="1">
        <f t="array" ref="OG114">IF(OF114&gt;$OG$1,_xlfn.XLOOKUP(MAX(_xlfn.ANCHORARRAY(NV114)),_xlfn.ANCHORARRAY(NV114),NV$4:OE$4,""),"")</f>
        <v/>
      </c>
      <c r="OI114" t="str">
        <f t="shared" si="17"/>
        <v/>
      </c>
    </row>
    <row r="115" spans="1:399" x14ac:dyDescent="0.3">
      <c r="A115" s="2"/>
      <c r="B115" s="2" t="str">
        <f t="shared" si="9"/>
        <v>CORE</v>
      </c>
      <c r="C115" s="2" t="str">
        <f t="shared" si="10"/>
        <v>CORE</v>
      </c>
      <c r="D115" s="2" t="str">
        <f t="shared" si="11"/>
        <v>CORE</v>
      </c>
      <c r="E115" s="2" t="str">
        <f t="shared" si="12"/>
        <v/>
      </c>
      <c r="F115" s="2">
        <f t="shared" si="13"/>
        <v>0</v>
      </c>
      <c r="G115" s="2">
        <f t="shared" si="14"/>
        <v>0</v>
      </c>
      <c r="H115" s="2">
        <f t="shared" si="15"/>
        <v>0</v>
      </c>
      <c r="I115" s="2">
        <f t="shared" si="16"/>
        <v>0</v>
      </c>
      <c r="NH115" cm="1">
        <f t="array" ref="NH115:NJ115">SUMIFS($J115:$GG115,$J$1:$GG$1,NH$3:NJ$3)</f>
        <v>0</v>
      </c>
      <c r="NI115">
        <v>0</v>
      </c>
      <c r="NJ115">
        <v>0</v>
      </c>
      <c r="NK115" cm="1">
        <f t="array" ref="NK115">IFERROR(MAX((_xlfn.ANCHORARRAY(NH115)-AVERAGE(_xlfn.ANCHORARRAY(NH115)))/ AVERAGE(_xlfn.ANCHORARRAY(NH115))),0)</f>
        <v>0</v>
      </c>
      <c r="NL115" t="str" cm="1">
        <f t="array" ref="NL115">IF(NK115&gt;$NL$1,_xlfn.XLOOKUP(MAX(_xlfn.ANCHORARRAY(NH115)),_xlfn.ANCHORARRAY(NH115),NH$4:NJ$4,""),"")</f>
        <v/>
      </c>
      <c r="NN115" cm="1">
        <f t="array" ref="NN115:NR115">SUMIFS($J115:$GG115,$J$3:$GG$3,NN$3:NR$3)</f>
        <v>0</v>
      </c>
      <c r="NO115">
        <v>0</v>
      </c>
      <c r="NP115">
        <v>0</v>
      </c>
      <c r="NQ115">
        <v>0</v>
      </c>
      <c r="NR115">
        <v>0</v>
      </c>
      <c r="NS115" cm="1">
        <f t="array" ref="NS115">IFERROR(MAX((_xlfn.ANCHORARRAY(NN115)-AVERAGE(_xlfn.ANCHORARRAY(NN115)))/ AVERAGE(_xlfn.ANCHORARRAY(NN115))),0)</f>
        <v>0</v>
      </c>
      <c r="NT115" t="str" cm="1">
        <f t="array" ref="NT115">IF(AND(NS115&gt;$NT$1,NL115&lt;&gt;""),_xlfn.XLOOKUP(MAX(_xlfn.ANCHORARRAY(NN115)),_xlfn.ANCHORARRAY(NN115),NN$4:NR$4,""),"")</f>
        <v/>
      </c>
      <c r="NV115" cm="1">
        <f t="array" ref="NV115:OE115">SUMIFS($J115:$GG115,$J$2:$GG$2,NV$3:OE$3)</f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 cm="1">
        <f t="array" ref="OF115">IFERROR(MAX((_xlfn.ANCHORARRAY(NV115)-AVERAGE(_xlfn.ANCHORARRAY(NV115)))/ AVERAGE(_xlfn.ANCHORARRAY(NV115))),0)</f>
        <v>0</v>
      </c>
      <c r="OG115" t="str" cm="1">
        <f t="array" ref="OG115">IF(OF115&gt;$OG$1,_xlfn.XLOOKUP(MAX(_xlfn.ANCHORARRAY(NV115)),_xlfn.ANCHORARRAY(NV115),NV$4:OE$4,""),"")</f>
        <v/>
      </c>
      <c r="OI115" t="str">
        <f t="shared" si="17"/>
        <v/>
      </c>
    </row>
    <row r="116" spans="1:399" x14ac:dyDescent="0.3">
      <c r="A116" s="2"/>
      <c r="B116" s="2" t="str">
        <f t="shared" si="9"/>
        <v>CORE</v>
      </c>
      <c r="C116" s="2" t="str">
        <f t="shared" si="10"/>
        <v>CORE</v>
      </c>
      <c r="D116" s="2" t="str">
        <f t="shared" si="11"/>
        <v>CORE</v>
      </c>
      <c r="E116" s="2" t="str">
        <f t="shared" si="12"/>
        <v/>
      </c>
      <c r="F116" s="2">
        <f t="shared" si="13"/>
        <v>0</v>
      </c>
      <c r="G116" s="2">
        <f t="shared" si="14"/>
        <v>0</v>
      </c>
      <c r="H116" s="2">
        <f t="shared" si="15"/>
        <v>0</v>
      </c>
      <c r="I116" s="2">
        <f t="shared" si="16"/>
        <v>0</v>
      </c>
      <c r="NH116" cm="1">
        <f t="array" ref="NH116:NJ116">SUMIFS($J116:$GG116,$J$1:$GG$1,NH$3:NJ$3)</f>
        <v>0</v>
      </c>
      <c r="NI116">
        <v>0</v>
      </c>
      <c r="NJ116">
        <v>0</v>
      </c>
      <c r="NK116" cm="1">
        <f t="array" ref="NK116">IFERROR(MAX((_xlfn.ANCHORARRAY(NH116)-AVERAGE(_xlfn.ANCHORARRAY(NH116)))/ AVERAGE(_xlfn.ANCHORARRAY(NH116))),0)</f>
        <v>0</v>
      </c>
      <c r="NL116" t="str" cm="1">
        <f t="array" ref="NL116">IF(NK116&gt;$NL$1,_xlfn.XLOOKUP(MAX(_xlfn.ANCHORARRAY(NH116)),_xlfn.ANCHORARRAY(NH116),NH$4:NJ$4,""),"")</f>
        <v/>
      </c>
      <c r="NN116" cm="1">
        <f t="array" ref="NN116:NR116">SUMIFS($J116:$GG116,$J$3:$GG$3,NN$3:NR$3)</f>
        <v>0</v>
      </c>
      <c r="NO116">
        <v>0</v>
      </c>
      <c r="NP116">
        <v>0</v>
      </c>
      <c r="NQ116">
        <v>0</v>
      </c>
      <c r="NR116">
        <v>0</v>
      </c>
      <c r="NS116" cm="1">
        <f t="array" ref="NS116">IFERROR(MAX((_xlfn.ANCHORARRAY(NN116)-AVERAGE(_xlfn.ANCHORARRAY(NN116)))/ AVERAGE(_xlfn.ANCHORARRAY(NN116))),0)</f>
        <v>0</v>
      </c>
      <c r="NT116" t="str" cm="1">
        <f t="array" ref="NT116">IF(AND(NS116&gt;$NT$1,NL116&lt;&gt;""),_xlfn.XLOOKUP(MAX(_xlfn.ANCHORARRAY(NN116)),_xlfn.ANCHORARRAY(NN116),NN$4:NR$4,""),"")</f>
        <v/>
      </c>
      <c r="NV116" cm="1">
        <f t="array" ref="NV116:OE116">SUMIFS($J116:$GG116,$J$2:$GG$2,NV$3:OE$3)</f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 cm="1">
        <f t="array" ref="OF116">IFERROR(MAX((_xlfn.ANCHORARRAY(NV116)-AVERAGE(_xlfn.ANCHORARRAY(NV116)))/ AVERAGE(_xlfn.ANCHORARRAY(NV116))),0)</f>
        <v>0</v>
      </c>
      <c r="OG116" t="str" cm="1">
        <f t="array" ref="OG116">IF(OF116&gt;$OG$1,_xlfn.XLOOKUP(MAX(_xlfn.ANCHORARRAY(NV116)),_xlfn.ANCHORARRAY(NV116),NV$4:OE$4,""),"")</f>
        <v/>
      </c>
      <c r="OI116" t="str">
        <f t="shared" si="17"/>
        <v/>
      </c>
    </row>
    <row r="117" spans="1:399" x14ac:dyDescent="0.3">
      <c r="A117" s="2"/>
      <c r="B117" s="2" t="str">
        <f t="shared" si="9"/>
        <v>CORE</v>
      </c>
      <c r="C117" s="2" t="str">
        <f t="shared" si="10"/>
        <v>CORE</v>
      </c>
      <c r="D117" s="2" t="str">
        <f t="shared" si="11"/>
        <v>CORE</v>
      </c>
      <c r="E117" s="2" t="str">
        <f t="shared" si="12"/>
        <v/>
      </c>
      <c r="F117" s="2">
        <f t="shared" si="13"/>
        <v>0</v>
      </c>
      <c r="G117" s="2">
        <f t="shared" si="14"/>
        <v>0</v>
      </c>
      <c r="H117" s="2">
        <f t="shared" si="15"/>
        <v>0</v>
      </c>
      <c r="I117" s="2">
        <f t="shared" si="16"/>
        <v>0</v>
      </c>
      <c r="NH117" cm="1">
        <f t="array" ref="NH117:NJ117">SUMIFS($J117:$GG117,$J$1:$GG$1,NH$3:NJ$3)</f>
        <v>0</v>
      </c>
      <c r="NI117">
        <v>0</v>
      </c>
      <c r="NJ117">
        <v>0</v>
      </c>
      <c r="NK117" cm="1">
        <f t="array" ref="NK117">IFERROR(MAX((_xlfn.ANCHORARRAY(NH117)-AVERAGE(_xlfn.ANCHORARRAY(NH117)))/ AVERAGE(_xlfn.ANCHORARRAY(NH117))),0)</f>
        <v>0</v>
      </c>
      <c r="NL117" t="str" cm="1">
        <f t="array" ref="NL117">IF(NK117&gt;$NL$1,_xlfn.XLOOKUP(MAX(_xlfn.ANCHORARRAY(NH117)),_xlfn.ANCHORARRAY(NH117),NH$4:NJ$4,""),"")</f>
        <v/>
      </c>
      <c r="NN117" cm="1">
        <f t="array" ref="NN117:NR117">SUMIFS($J117:$GG117,$J$3:$GG$3,NN$3:NR$3)</f>
        <v>0</v>
      </c>
      <c r="NO117">
        <v>0</v>
      </c>
      <c r="NP117">
        <v>0</v>
      </c>
      <c r="NQ117">
        <v>0</v>
      </c>
      <c r="NR117">
        <v>0</v>
      </c>
      <c r="NS117" cm="1">
        <f t="array" ref="NS117">IFERROR(MAX((_xlfn.ANCHORARRAY(NN117)-AVERAGE(_xlfn.ANCHORARRAY(NN117)))/ AVERAGE(_xlfn.ANCHORARRAY(NN117))),0)</f>
        <v>0</v>
      </c>
      <c r="NT117" t="str" cm="1">
        <f t="array" ref="NT117">IF(AND(NS117&gt;$NT$1,NL117&lt;&gt;""),_xlfn.XLOOKUP(MAX(_xlfn.ANCHORARRAY(NN117)),_xlfn.ANCHORARRAY(NN117),NN$4:NR$4,""),"")</f>
        <v/>
      </c>
      <c r="NV117" cm="1">
        <f t="array" ref="NV117:OE117">SUMIFS($J117:$GG117,$J$2:$GG$2,NV$3:OE$3)</f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 cm="1">
        <f t="array" ref="OF117">IFERROR(MAX((_xlfn.ANCHORARRAY(NV117)-AVERAGE(_xlfn.ANCHORARRAY(NV117)))/ AVERAGE(_xlfn.ANCHORARRAY(NV117))),0)</f>
        <v>0</v>
      </c>
      <c r="OG117" t="str" cm="1">
        <f t="array" ref="OG117">IF(OF117&gt;$OG$1,_xlfn.XLOOKUP(MAX(_xlfn.ANCHORARRAY(NV117)),_xlfn.ANCHORARRAY(NV117),NV$4:OE$4,""),"")</f>
        <v/>
      </c>
      <c r="OI117" t="str">
        <f t="shared" si="17"/>
        <v/>
      </c>
    </row>
    <row r="118" spans="1:399" x14ac:dyDescent="0.3">
      <c r="A118" s="2"/>
      <c r="B118" s="2" t="str">
        <f t="shared" si="9"/>
        <v>CORE</v>
      </c>
      <c r="C118" s="2" t="str">
        <f t="shared" si="10"/>
        <v>CORE</v>
      </c>
      <c r="D118" s="2" t="str">
        <f t="shared" si="11"/>
        <v>CORE</v>
      </c>
      <c r="E118" s="2" t="str">
        <f t="shared" si="12"/>
        <v/>
      </c>
      <c r="F118" s="2">
        <f t="shared" si="13"/>
        <v>0</v>
      </c>
      <c r="G118" s="2">
        <f t="shared" si="14"/>
        <v>0</v>
      </c>
      <c r="H118" s="2">
        <f t="shared" si="15"/>
        <v>0</v>
      </c>
      <c r="I118" s="2">
        <f t="shared" si="16"/>
        <v>0</v>
      </c>
      <c r="NH118" cm="1">
        <f t="array" ref="NH118:NJ118">SUMIFS($J118:$GG118,$J$1:$GG$1,NH$3:NJ$3)</f>
        <v>0</v>
      </c>
      <c r="NI118">
        <v>0</v>
      </c>
      <c r="NJ118">
        <v>0</v>
      </c>
      <c r="NK118" cm="1">
        <f t="array" ref="NK118">IFERROR(MAX((_xlfn.ANCHORARRAY(NH118)-AVERAGE(_xlfn.ANCHORARRAY(NH118)))/ AVERAGE(_xlfn.ANCHORARRAY(NH118))),0)</f>
        <v>0</v>
      </c>
      <c r="NL118" t="str" cm="1">
        <f t="array" ref="NL118">IF(NK118&gt;$NL$1,_xlfn.XLOOKUP(MAX(_xlfn.ANCHORARRAY(NH118)),_xlfn.ANCHORARRAY(NH118),NH$4:NJ$4,""),"")</f>
        <v/>
      </c>
      <c r="NN118" cm="1">
        <f t="array" ref="NN118:NR118">SUMIFS($J118:$GG118,$J$3:$GG$3,NN$3:NR$3)</f>
        <v>0</v>
      </c>
      <c r="NO118">
        <v>0</v>
      </c>
      <c r="NP118">
        <v>0</v>
      </c>
      <c r="NQ118">
        <v>0</v>
      </c>
      <c r="NR118">
        <v>0</v>
      </c>
      <c r="NS118" cm="1">
        <f t="array" ref="NS118">IFERROR(MAX((_xlfn.ANCHORARRAY(NN118)-AVERAGE(_xlfn.ANCHORARRAY(NN118)))/ AVERAGE(_xlfn.ANCHORARRAY(NN118))),0)</f>
        <v>0</v>
      </c>
      <c r="NT118" t="str" cm="1">
        <f t="array" ref="NT118">IF(AND(NS118&gt;$NT$1,NL118&lt;&gt;""),_xlfn.XLOOKUP(MAX(_xlfn.ANCHORARRAY(NN118)),_xlfn.ANCHORARRAY(NN118),NN$4:NR$4,""),"")</f>
        <v/>
      </c>
      <c r="NV118" cm="1">
        <f t="array" ref="NV118:OE118">SUMIFS($J118:$GG118,$J$2:$GG$2,NV$3:OE$3)</f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 cm="1">
        <f t="array" ref="OF118">IFERROR(MAX((_xlfn.ANCHORARRAY(NV118)-AVERAGE(_xlfn.ANCHORARRAY(NV118)))/ AVERAGE(_xlfn.ANCHORARRAY(NV118))),0)</f>
        <v>0</v>
      </c>
      <c r="OG118" t="str" cm="1">
        <f t="array" ref="OG118">IF(OF118&gt;$OG$1,_xlfn.XLOOKUP(MAX(_xlfn.ANCHORARRAY(NV118)),_xlfn.ANCHORARRAY(NV118),NV$4:OE$4,""),"")</f>
        <v/>
      </c>
      <c r="OI118" t="str">
        <f t="shared" si="17"/>
        <v/>
      </c>
    </row>
    <row r="119" spans="1:399" x14ac:dyDescent="0.3">
      <c r="A119" s="2"/>
      <c r="B119" s="2" t="str">
        <f t="shared" si="9"/>
        <v>CORE</v>
      </c>
      <c r="C119" s="2" t="str">
        <f t="shared" si="10"/>
        <v>CORE</v>
      </c>
      <c r="D119" s="2" t="str">
        <f t="shared" si="11"/>
        <v>CORE</v>
      </c>
      <c r="E119" s="2" t="str">
        <f t="shared" si="12"/>
        <v/>
      </c>
      <c r="F119" s="2">
        <f t="shared" si="13"/>
        <v>0</v>
      </c>
      <c r="G119" s="2">
        <f t="shared" si="14"/>
        <v>0</v>
      </c>
      <c r="H119" s="2">
        <f t="shared" si="15"/>
        <v>0</v>
      </c>
      <c r="I119" s="2">
        <f t="shared" si="16"/>
        <v>0</v>
      </c>
      <c r="NH119" cm="1">
        <f t="array" ref="NH119:NJ119">SUMIFS($J119:$GG119,$J$1:$GG$1,NH$3:NJ$3)</f>
        <v>0</v>
      </c>
      <c r="NI119">
        <v>0</v>
      </c>
      <c r="NJ119">
        <v>0</v>
      </c>
      <c r="NK119" cm="1">
        <f t="array" ref="NK119">IFERROR(MAX((_xlfn.ANCHORARRAY(NH119)-AVERAGE(_xlfn.ANCHORARRAY(NH119)))/ AVERAGE(_xlfn.ANCHORARRAY(NH119))),0)</f>
        <v>0</v>
      </c>
      <c r="NL119" t="str" cm="1">
        <f t="array" ref="NL119">IF(NK119&gt;$NL$1,_xlfn.XLOOKUP(MAX(_xlfn.ANCHORARRAY(NH119)),_xlfn.ANCHORARRAY(NH119),NH$4:NJ$4,""),"")</f>
        <v/>
      </c>
      <c r="NN119" cm="1">
        <f t="array" ref="NN119:NR119">SUMIFS($J119:$GG119,$J$3:$GG$3,NN$3:NR$3)</f>
        <v>0</v>
      </c>
      <c r="NO119">
        <v>0</v>
      </c>
      <c r="NP119">
        <v>0</v>
      </c>
      <c r="NQ119">
        <v>0</v>
      </c>
      <c r="NR119">
        <v>0</v>
      </c>
      <c r="NS119" cm="1">
        <f t="array" ref="NS119">IFERROR(MAX((_xlfn.ANCHORARRAY(NN119)-AVERAGE(_xlfn.ANCHORARRAY(NN119)))/ AVERAGE(_xlfn.ANCHORARRAY(NN119))),0)</f>
        <v>0</v>
      </c>
      <c r="NT119" t="str" cm="1">
        <f t="array" ref="NT119">IF(AND(NS119&gt;$NT$1,NL119&lt;&gt;""),_xlfn.XLOOKUP(MAX(_xlfn.ANCHORARRAY(NN119)),_xlfn.ANCHORARRAY(NN119),NN$4:NR$4,""),"")</f>
        <v/>
      </c>
      <c r="NV119" cm="1">
        <f t="array" ref="NV119:OE119">SUMIFS($J119:$GG119,$J$2:$GG$2,NV$3:OE$3)</f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 cm="1">
        <f t="array" ref="OF119">IFERROR(MAX((_xlfn.ANCHORARRAY(NV119)-AVERAGE(_xlfn.ANCHORARRAY(NV119)))/ AVERAGE(_xlfn.ANCHORARRAY(NV119))),0)</f>
        <v>0</v>
      </c>
      <c r="OG119" t="str" cm="1">
        <f t="array" ref="OG119">IF(OF119&gt;$OG$1,_xlfn.XLOOKUP(MAX(_xlfn.ANCHORARRAY(NV119)),_xlfn.ANCHORARRAY(NV119),NV$4:OE$4,""),"")</f>
        <v/>
      </c>
      <c r="OI119" t="str">
        <f t="shared" si="17"/>
        <v/>
      </c>
    </row>
    <row r="120" spans="1:399" x14ac:dyDescent="0.3">
      <c r="A120" s="2"/>
      <c r="B120" s="2" t="str">
        <f t="shared" si="9"/>
        <v>CORE</v>
      </c>
      <c r="C120" s="2" t="str">
        <f t="shared" si="10"/>
        <v>CORE</v>
      </c>
      <c r="D120" s="2" t="str">
        <f t="shared" si="11"/>
        <v>CORE</v>
      </c>
      <c r="E120" s="2" t="str">
        <f t="shared" si="12"/>
        <v/>
      </c>
      <c r="F120" s="2">
        <f t="shared" si="13"/>
        <v>0</v>
      </c>
      <c r="G120" s="2">
        <f t="shared" si="14"/>
        <v>0</v>
      </c>
      <c r="H120" s="2">
        <f t="shared" si="15"/>
        <v>0</v>
      </c>
      <c r="I120" s="2">
        <f t="shared" si="16"/>
        <v>0</v>
      </c>
      <c r="NH120" cm="1">
        <f t="array" ref="NH120:NJ120">SUMIFS($J120:$GG120,$J$1:$GG$1,NH$3:NJ$3)</f>
        <v>0</v>
      </c>
      <c r="NI120">
        <v>0</v>
      </c>
      <c r="NJ120">
        <v>0</v>
      </c>
      <c r="NK120" cm="1">
        <f t="array" ref="NK120">IFERROR(MAX((_xlfn.ANCHORARRAY(NH120)-AVERAGE(_xlfn.ANCHORARRAY(NH120)))/ AVERAGE(_xlfn.ANCHORARRAY(NH120))),0)</f>
        <v>0</v>
      </c>
      <c r="NL120" t="str" cm="1">
        <f t="array" ref="NL120">IF(NK120&gt;$NL$1,_xlfn.XLOOKUP(MAX(_xlfn.ANCHORARRAY(NH120)),_xlfn.ANCHORARRAY(NH120),NH$4:NJ$4,""),"")</f>
        <v/>
      </c>
      <c r="NN120" cm="1">
        <f t="array" ref="NN120:NR120">SUMIFS($J120:$GG120,$J$3:$GG$3,NN$3:NR$3)</f>
        <v>0</v>
      </c>
      <c r="NO120">
        <v>0</v>
      </c>
      <c r="NP120">
        <v>0</v>
      </c>
      <c r="NQ120">
        <v>0</v>
      </c>
      <c r="NR120">
        <v>0</v>
      </c>
      <c r="NS120" cm="1">
        <f t="array" ref="NS120">IFERROR(MAX((_xlfn.ANCHORARRAY(NN120)-AVERAGE(_xlfn.ANCHORARRAY(NN120)))/ AVERAGE(_xlfn.ANCHORARRAY(NN120))),0)</f>
        <v>0</v>
      </c>
      <c r="NT120" t="str" cm="1">
        <f t="array" ref="NT120">IF(AND(NS120&gt;$NT$1,NL120&lt;&gt;""),_xlfn.XLOOKUP(MAX(_xlfn.ANCHORARRAY(NN120)),_xlfn.ANCHORARRAY(NN120),NN$4:NR$4,""),"")</f>
        <v/>
      </c>
      <c r="NV120" cm="1">
        <f t="array" ref="NV120:OE120">SUMIFS($J120:$GG120,$J$2:$GG$2,NV$3:OE$3)</f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 cm="1">
        <f t="array" ref="OF120">IFERROR(MAX((_xlfn.ANCHORARRAY(NV120)-AVERAGE(_xlfn.ANCHORARRAY(NV120)))/ AVERAGE(_xlfn.ANCHORARRAY(NV120))),0)</f>
        <v>0</v>
      </c>
      <c r="OG120" t="str" cm="1">
        <f t="array" ref="OG120">IF(OF120&gt;$OG$1,_xlfn.XLOOKUP(MAX(_xlfn.ANCHORARRAY(NV120)),_xlfn.ANCHORARRAY(NV120),NV$4:OE$4,""),"")</f>
        <v/>
      </c>
      <c r="OI120" t="str">
        <f t="shared" si="17"/>
        <v/>
      </c>
    </row>
    <row r="121" spans="1:399" x14ac:dyDescent="0.3">
      <c r="A121" s="2"/>
      <c r="B121" s="2" t="str">
        <f t="shared" si="9"/>
        <v>CORE</v>
      </c>
      <c r="C121" s="2" t="str">
        <f t="shared" si="10"/>
        <v>CORE</v>
      </c>
      <c r="D121" s="2" t="str">
        <f t="shared" si="11"/>
        <v>CORE</v>
      </c>
      <c r="E121" s="2" t="str">
        <f t="shared" si="12"/>
        <v/>
      </c>
      <c r="F121" s="2">
        <f t="shared" si="13"/>
        <v>0</v>
      </c>
      <c r="G121" s="2">
        <f t="shared" si="14"/>
        <v>0</v>
      </c>
      <c r="H121" s="2">
        <f t="shared" si="15"/>
        <v>0</v>
      </c>
      <c r="I121" s="2">
        <f t="shared" si="16"/>
        <v>0</v>
      </c>
      <c r="NH121" cm="1">
        <f t="array" ref="NH121:NJ121">SUMIFS($J121:$GG121,$J$1:$GG$1,NH$3:NJ$3)</f>
        <v>0</v>
      </c>
      <c r="NI121">
        <v>0</v>
      </c>
      <c r="NJ121">
        <v>0</v>
      </c>
      <c r="NK121" cm="1">
        <f t="array" ref="NK121">IFERROR(MAX((_xlfn.ANCHORARRAY(NH121)-AVERAGE(_xlfn.ANCHORARRAY(NH121)))/ AVERAGE(_xlfn.ANCHORARRAY(NH121))),0)</f>
        <v>0</v>
      </c>
      <c r="NL121" t="str" cm="1">
        <f t="array" ref="NL121">IF(NK121&gt;$NL$1,_xlfn.XLOOKUP(MAX(_xlfn.ANCHORARRAY(NH121)),_xlfn.ANCHORARRAY(NH121),NH$4:NJ$4,""),"")</f>
        <v/>
      </c>
      <c r="NN121" cm="1">
        <f t="array" ref="NN121:NR121">SUMIFS($J121:$GG121,$J$3:$GG$3,NN$3:NR$3)</f>
        <v>0</v>
      </c>
      <c r="NO121">
        <v>0</v>
      </c>
      <c r="NP121">
        <v>0</v>
      </c>
      <c r="NQ121">
        <v>0</v>
      </c>
      <c r="NR121">
        <v>0</v>
      </c>
      <c r="NS121" cm="1">
        <f t="array" ref="NS121">IFERROR(MAX((_xlfn.ANCHORARRAY(NN121)-AVERAGE(_xlfn.ANCHORARRAY(NN121)))/ AVERAGE(_xlfn.ANCHORARRAY(NN121))),0)</f>
        <v>0</v>
      </c>
      <c r="NT121" t="str" cm="1">
        <f t="array" ref="NT121">IF(AND(NS121&gt;$NT$1,NL121&lt;&gt;""),_xlfn.XLOOKUP(MAX(_xlfn.ANCHORARRAY(NN121)),_xlfn.ANCHORARRAY(NN121),NN$4:NR$4,""),"")</f>
        <v/>
      </c>
      <c r="NV121" cm="1">
        <f t="array" ref="NV121:OE121">SUMIFS($J121:$GG121,$J$2:$GG$2,NV$3:OE$3)</f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 cm="1">
        <f t="array" ref="OF121">IFERROR(MAX((_xlfn.ANCHORARRAY(NV121)-AVERAGE(_xlfn.ANCHORARRAY(NV121)))/ AVERAGE(_xlfn.ANCHORARRAY(NV121))),0)</f>
        <v>0</v>
      </c>
      <c r="OG121" t="str" cm="1">
        <f t="array" ref="OG121">IF(OF121&gt;$OG$1,_xlfn.XLOOKUP(MAX(_xlfn.ANCHORARRAY(NV121)),_xlfn.ANCHORARRAY(NV121),NV$4:OE$4,""),"")</f>
        <v/>
      </c>
      <c r="OI121" t="str">
        <f t="shared" si="17"/>
        <v/>
      </c>
    </row>
    <row r="122" spans="1:399" x14ac:dyDescent="0.3">
      <c r="A122" s="2"/>
      <c r="B122" s="2" t="str">
        <f t="shared" si="9"/>
        <v>CORE</v>
      </c>
      <c r="C122" s="2" t="str">
        <f t="shared" si="10"/>
        <v>CORE</v>
      </c>
      <c r="D122" s="2" t="str">
        <f t="shared" si="11"/>
        <v>CORE</v>
      </c>
      <c r="E122" s="2" t="str">
        <f t="shared" si="12"/>
        <v/>
      </c>
      <c r="F122" s="2">
        <f t="shared" si="13"/>
        <v>0</v>
      </c>
      <c r="G122" s="2">
        <f t="shared" si="14"/>
        <v>0</v>
      </c>
      <c r="H122" s="2">
        <f t="shared" si="15"/>
        <v>0</v>
      </c>
      <c r="I122" s="2">
        <f t="shared" si="16"/>
        <v>0</v>
      </c>
      <c r="NH122" cm="1">
        <f t="array" ref="NH122:NJ122">SUMIFS($J122:$GG122,$J$1:$GG$1,NH$3:NJ$3)</f>
        <v>0</v>
      </c>
      <c r="NI122">
        <v>0</v>
      </c>
      <c r="NJ122">
        <v>0</v>
      </c>
      <c r="NK122" cm="1">
        <f t="array" ref="NK122">IFERROR(MAX((_xlfn.ANCHORARRAY(NH122)-AVERAGE(_xlfn.ANCHORARRAY(NH122)))/ AVERAGE(_xlfn.ANCHORARRAY(NH122))),0)</f>
        <v>0</v>
      </c>
      <c r="NL122" t="str" cm="1">
        <f t="array" ref="NL122">IF(NK122&gt;$NL$1,_xlfn.XLOOKUP(MAX(_xlfn.ANCHORARRAY(NH122)),_xlfn.ANCHORARRAY(NH122),NH$4:NJ$4,""),"")</f>
        <v/>
      </c>
      <c r="NN122" cm="1">
        <f t="array" ref="NN122:NR122">SUMIFS($J122:$GG122,$J$3:$GG$3,NN$3:NR$3)</f>
        <v>0</v>
      </c>
      <c r="NO122">
        <v>0</v>
      </c>
      <c r="NP122">
        <v>0</v>
      </c>
      <c r="NQ122">
        <v>0</v>
      </c>
      <c r="NR122">
        <v>0</v>
      </c>
      <c r="NS122" cm="1">
        <f t="array" ref="NS122">IFERROR(MAX((_xlfn.ANCHORARRAY(NN122)-AVERAGE(_xlfn.ANCHORARRAY(NN122)))/ AVERAGE(_xlfn.ANCHORARRAY(NN122))),0)</f>
        <v>0</v>
      </c>
      <c r="NT122" t="str" cm="1">
        <f t="array" ref="NT122">IF(AND(NS122&gt;$NT$1,NL122&lt;&gt;""),_xlfn.XLOOKUP(MAX(_xlfn.ANCHORARRAY(NN122)),_xlfn.ANCHORARRAY(NN122),NN$4:NR$4,""),"")</f>
        <v/>
      </c>
      <c r="NV122" cm="1">
        <f t="array" ref="NV122:OE122">SUMIFS($J122:$GG122,$J$2:$GG$2,NV$3:OE$3)</f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 cm="1">
        <f t="array" ref="OF122">IFERROR(MAX((_xlfn.ANCHORARRAY(NV122)-AVERAGE(_xlfn.ANCHORARRAY(NV122)))/ AVERAGE(_xlfn.ANCHORARRAY(NV122))),0)</f>
        <v>0</v>
      </c>
      <c r="OG122" t="str" cm="1">
        <f t="array" ref="OG122">IF(OF122&gt;$OG$1,_xlfn.XLOOKUP(MAX(_xlfn.ANCHORARRAY(NV122)),_xlfn.ANCHORARRAY(NV122),NV$4:OE$4,""),"")</f>
        <v/>
      </c>
      <c r="OI122" t="str">
        <f t="shared" si="17"/>
        <v/>
      </c>
    </row>
    <row r="123" spans="1:399" x14ac:dyDescent="0.3">
      <c r="A123" s="2"/>
      <c r="B123" s="2" t="str">
        <f t="shared" si="9"/>
        <v>CORE</v>
      </c>
      <c r="C123" s="2" t="str">
        <f t="shared" si="10"/>
        <v>CORE</v>
      </c>
      <c r="D123" s="2" t="str">
        <f t="shared" si="11"/>
        <v>CORE</v>
      </c>
      <c r="E123" s="2" t="str">
        <f t="shared" si="12"/>
        <v/>
      </c>
      <c r="F123" s="2">
        <f t="shared" si="13"/>
        <v>0</v>
      </c>
      <c r="G123" s="2">
        <f t="shared" si="14"/>
        <v>0</v>
      </c>
      <c r="H123" s="2">
        <f t="shared" si="15"/>
        <v>0</v>
      </c>
      <c r="I123" s="2">
        <f t="shared" si="16"/>
        <v>0</v>
      </c>
      <c r="NH123" cm="1">
        <f t="array" ref="NH123:NJ123">SUMIFS($J123:$GG123,$J$1:$GG$1,NH$3:NJ$3)</f>
        <v>0</v>
      </c>
      <c r="NI123">
        <v>0</v>
      </c>
      <c r="NJ123">
        <v>0</v>
      </c>
      <c r="NK123" cm="1">
        <f t="array" ref="NK123">IFERROR(MAX((_xlfn.ANCHORARRAY(NH123)-AVERAGE(_xlfn.ANCHORARRAY(NH123)))/ AVERAGE(_xlfn.ANCHORARRAY(NH123))),0)</f>
        <v>0</v>
      </c>
      <c r="NL123" t="str" cm="1">
        <f t="array" ref="NL123">IF(NK123&gt;$NL$1,_xlfn.XLOOKUP(MAX(_xlfn.ANCHORARRAY(NH123)),_xlfn.ANCHORARRAY(NH123),NH$4:NJ$4,""),"")</f>
        <v/>
      </c>
      <c r="NN123" cm="1">
        <f t="array" ref="NN123:NR123">SUMIFS($J123:$GG123,$J$3:$GG$3,NN$3:NR$3)</f>
        <v>0</v>
      </c>
      <c r="NO123">
        <v>0</v>
      </c>
      <c r="NP123">
        <v>0</v>
      </c>
      <c r="NQ123">
        <v>0</v>
      </c>
      <c r="NR123">
        <v>0</v>
      </c>
      <c r="NS123" cm="1">
        <f t="array" ref="NS123">IFERROR(MAX((_xlfn.ANCHORARRAY(NN123)-AVERAGE(_xlfn.ANCHORARRAY(NN123)))/ AVERAGE(_xlfn.ANCHORARRAY(NN123))),0)</f>
        <v>0</v>
      </c>
      <c r="NT123" t="str" cm="1">
        <f t="array" ref="NT123">IF(AND(NS123&gt;$NT$1,NL123&lt;&gt;""),_xlfn.XLOOKUP(MAX(_xlfn.ANCHORARRAY(NN123)),_xlfn.ANCHORARRAY(NN123),NN$4:NR$4,""),"")</f>
        <v/>
      </c>
      <c r="NV123" cm="1">
        <f t="array" ref="NV123:OE123">SUMIFS($J123:$GG123,$J$2:$GG$2,NV$3:OE$3)</f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 cm="1">
        <f t="array" ref="OF123">IFERROR(MAX((_xlfn.ANCHORARRAY(NV123)-AVERAGE(_xlfn.ANCHORARRAY(NV123)))/ AVERAGE(_xlfn.ANCHORARRAY(NV123))),0)</f>
        <v>0</v>
      </c>
      <c r="OG123" t="str" cm="1">
        <f t="array" ref="OG123">IF(OF123&gt;$OG$1,_xlfn.XLOOKUP(MAX(_xlfn.ANCHORARRAY(NV123)),_xlfn.ANCHORARRAY(NV123),NV$4:OE$4,""),"")</f>
        <v/>
      </c>
      <c r="OI123" t="str">
        <f t="shared" si="17"/>
        <v/>
      </c>
    </row>
    <row r="124" spans="1:399" x14ac:dyDescent="0.3">
      <c r="A124" s="2"/>
      <c r="B124" s="2" t="str">
        <f t="shared" si="9"/>
        <v>CORE</v>
      </c>
      <c r="C124" s="2" t="str">
        <f t="shared" si="10"/>
        <v>CORE</v>
      </c>
      <c r="D124" s="2" t="str">
        <f t="shared" si="11"/>
        <v>CORE</v>
      </c>
      <c r="E124" s="2" t="str">
        <f t="shared" si="12"/>
        <v/>
      </c>
      <c r="F124" s="2">
        <f t="shared" si="13"/>
        <v>0</v>
      </c>
      <c r="G124" s="2">
        <f t="shared" si="14"/>
        <v>0</v>
      </c>
      <c r="H124" s="2">
        <f t="shared" si="15"/>
        <v>0</v>
      </c>
      <c r="I124" s="2">
        <f t="shared" si="16"/>
        <v>0</v>
      </c>
      <c r="NH124" cm="1">
        <f t="array" ref="NH124:NJ124">SUMIFS($J124:$GG124,$J$1:$GG$1,NH$3:NJ$3)</f>
        <v>0</v>
      </c>
      <c r="NI124">
        <v>0</v>
      </c>
      <c r="NJ124">
        <v>0</v>
      </c>
      <c r="NK124" cm="1">
        <f t="array" ref="NK124">IFERROR(MAX((_xlfn.ANCHORARRAY(NH124)-AVERAGE(_xlfn.ANCHORARRAY(NH124)))/ AVERAGE(_xlfn.ANCHORARRAY(NH124))),0)</f>
        <v>0</v>
      </c>
      <c r="NL124" t="str" cm="1">
        <f t="array" ref="NL124">IF(NK124&gt;$NL$1,_xlfn.XLOOKUP(MAX(_xlfn.ANCHORARRAY(NH124)),_xlfn.ANCHORARRAY(NH124),NH$4:NJ$4,""),"")</f>
        <v/>
      </c>
      <c r="NN124" cm="1">
        <f t="array" ref="NN124:NR124">SUMIFS($J124:$GG124,$J$3:$GG$3,NN$3:NR$3)</f>
        <v>0</v>
      </c>
      <c r="NO124">
        <v>0</v>
      </c>
      <c r="NP124">
        <v>0</v>
      </c>
      <c r="NQ124">
        <v>0</v>
      </c>
      <c r="NR124">
        <v>0</v>
      </c>
      <c r="NS124" cm="1">
        <f t="array" ref="NS124">IFERROR(MAX((_xlfn.ANCHORARRAY(NN124)-AVERAGE(_xlfn.ANCHORARRAY(NN124)))/ AVERAGE(_xlfn.ANCHORARRAY(NN124))),0)</f>
        <v>0</v>
      </c>
      <c r="NT124" t="str" cm="1">
        <f t="array" ref="NT124">IF(AND(NS124&gt;$NT$1,NL124&lt;&gt;""),_xlfn.XLOOKUP(MAX(_xlfn.ANCHORARRAY(NN124)),_xlfn.ANCHORARRAY(NN124),NN$4:NR$4,""),"")</f>
        <v/>
      </c>
      <c r="NV124" cm="1">
        <f t="array" ref="NV124:OE124">SUMIFS($J124:$GG124,$J$2:$GG$2,NV$3:OE$3)</f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 cm="1">
        <f t="array" ref="OF124">IFERROR(MAX((_xlfn.ANCHORARRAY(NV124)-AVERAGE(_xlfn.ANCHORARRAY(NV124)))/ AVERAGE(_xlfn.ANCHORARRAY(NV124))),0)</f>
        <v>0</v>
      </c>
      <c r="OG124" t="str" cm="1">
        <f t="array" ref="OG124">IF(OF124&gt;$OG$1,_xlfn.XLOOKUP(MAX(_xlfn.ANCHORARRAY(NV124)),_xlfn.ANCHORARRAY(NV124),NV$4:OE$4,""),"")</f>
        <v/>
      </c>
      <c r="OI124" t="str">
        <f t="shared" si="17"/>
        <v/>
      </c>
    </row>
    <row r="125" spans="1:399" x14ac:dyDescent="0.3">
      <c r="A125" s="2"/>
      <c r="B125" s="2" t="str">
        <f t="shared" si="9"/>
        <v>CORE</v>
      </c>
      <c r="C125" s="2" t="str">
        <f t="shared" si="10"/>
        <v>CORE</v>
      </c>
      <c r="D125" s="2" t="str">
        <f t="shared" si="11"/>
        <v>CORE</v>
      </c>
      <c r="E125" s="2" t="str">
        <f t="shared" si="12"/>
        <v/>
      </c>
      <c r="F125" s="2">
        <f t="shared" si="13"/>
        <v>0</v>
      </c>
      <c r="G125" s="2">
        <f t="shared" si="14"/>
        <v>0</v>
      </c>
      <c r="H125" s="2">
        <f t="shared" si="15"/>
        <v>0</v>
      </c>
      <c r="I125" s="2">
        <f t="shared" si="16"/>
        <v>0</v>
      </c>
      <c r="NH125" cm="1">
        <f t="array" ref="NH125:NJ125">SUMIFS($J125:$GG125,$J$1:$GG$1,NH$3:NJ$3)</f>
        <v>0</v>
      </c>
      <c r="NI125">
        <v>0</v>
      </c>
      <c r="NJ125">
        <v>0</v>
      </c>
      <c r="NK125" cm="1">
        <f t="array" ref="NK125">IFERROR(MAX((_xlfn.ANCHORARRAY(NH125)-AVERAGE(_xlfn.ANCHORARRAY(NH125)))/ AVERAGE(_xlfn.ANCHORARRAY(NH125))),0)</f>
        <v>0</v>
      </c>
      <c r="NL125" t="str" cm="1">
        <f t="array" ref="NL125">IF(NK125&gt;$NL$1,_xlfn.XLOOKUP(MAX(_xlfn.ANCHORARRAY(NH125)),_xlfn.ANCHORARRAY(NH125),NH$4:NJ$4,""),"")</f>
        <v/>
      </c>
      <c r="NN125" cm="1">
        <f t="array" ref="NN125:NR125">SUMIFS($J125:$GG125,$J$3:$GG$3,NN$3:NR$3)</f>
        <v>0</v>
      </c>
      <c r="NO125">
        <v>0</v>
      </c>
      <c r="NP125">
        <v>0</v>
      </c>
      <c r="NQ125">
        <v>0</v>
      </c>
      <c r="NR125">
        <v>0</v>
      </c>
      <c r="NS125" cm="1">
        <f t="array" ref="NS125">IFERROR(MAX((_xlfn.ANCHORARRAY(NN125)-AVERAGE(_xlfn.ANCHORARRAY(NN125)))/ AVERAGE(_xlfn.ANCHORARRAY(NN125))),0)</f>
        <v>0</v>
      </c>
      <c r="NT125" t="str" cm="1">
        <f t="array" ref="NT125">IF(AND(NS125&gt;$NT$1,NL125&lt;&gt;""),_xlfn.XLOOKUP(MAX(_xlfn.ANCHORARRAY(NN125)),_xlfn.ANCHORARRAY(NN125),NN$4:NR$4,""),"")</f>
        <v/>
      </c>
      <c r="NV125" cm="1">
        <f t="array" ref="NV125:OE125">SUMIFS($J125:$GG125,$J$2:$GG$2,NV$3:OE$3)</f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 cm="1">
        <f t="array" ref="OF125">IFERROR(MAX((_xlfn.ANCHORARRAY(NV125)-AVERAGE(_xlfn.ANCHORARRAY(NV125)))/ AVERAGE(_xlfn.ANCHORARRAY(NV125))),0)</f>
        <v>0</v>
      </c>
      <c r="OG125" t="str" cm="1">
        <f t="array" ref="OG125">IF(OF125&gt;$OG$1,_xlfn.XLOOKUP(MAX(_xlfn.ANCHORARRAY(NV125)),_xlfn.ANCHORARRAY(NV125),NV$4:OE$4,""),"")</f>
        <v/>
      </c>
      <c r="OI125" t="str">
        <f t="shared" si="17"/>
        <v/>
      </c>
    </row>
    <row r="126" spans="1:399" x14ac:dyDescent="0.3">
      <c r="A126" s="2"/>
      <c r="B126" s="2" t="str">
        <f t="shared" si="9"/>
        <v>CORE</v>
      </c>
      <c r="C126" s="2" t="str">
        <f t="shared" si="10"/>
        <v>CORE</v>
      </c>
      <c r="D126" s="2" t="str">
        <f t="shared" si="11"/>
        <v>CORE</v>
      </c>
      <c r="E126" s="2" t="str">
        <f t="shared" si="12"/>
        <v/>
      </c>
      <c r="F126" s="2">
        <f t="shared" si="13"/>
        <v>0</v>
      </c>
      <c r="G126" s="2">
        <f t="shared" si="14"/>
        <v>0</v>
      </c>
      <c r="H126" s="2">
        <f t="shared" si="15"/>
        <v>0</v>
      </c>
      <c r="I126" s="2">
        <f t="shared" si="16"/>
        <v>0</v>
      </c>
      <c r="NH126" cm="1">
        <f t="array" ref="NH126:NJ126">SUMIFS($J126:$GG126,$J$1:$GG$1,NH$3:NJ$3)</f>
        <v>0</v>
      </c>
      <c r="NI126">
        <v>0</v>
      </c>
      <c r="NJ126">
        <v>0</v>
      </c>
      <c r="NK126" cm="1">
        <f t="array" ref="NK126">IFERROR(MAX((_xlfn.ANCHORARRAY(NH126)-AVERAGE(_xlfn.ANCHORARRAY(NH126)))/ AVERAGE(_xlfn.ANCHORARRAY(NH126))),0)</f>
        <v>0</v>
      </c>
      <c r="NL126" t="str" cm="1">
        <f t="array" ref="NL126">IF(NK126&gt;$NL$1,_xlfn.XLOOKUP(MAX(_xlfn.ANCHORARRAY(NH126)),_xlfn.ANCHORARRAY(NH126),NH$4:NJ$4,""),"")</f>
        <v/>
      </c>
      <c r="NN126" cm="1">
        <f t="array" ref="NN126:NR126">SUMIFS($J126:$GG126,$J$3:$GG$3,NN$3:NR$3)</f>
        <v>0</v>
      </c>
      <c r="NO126">
        <v>0</v>
      </c>
      <c r="NP126">
        <v>0</v>
      </c>
      <c r="NQ126">
        <v>0</v>
      </c>
      <c r="NR126">
        <v>0</v>
      </c>
      <c r="NS126" cm="1">
        <f t="array" ref="NS126">IFERROR(MAX((_xlfn.ANCHORARRAY(NN126)-AVERAGE(_xlfn.ANCHORARRAY(NN126)))/ AVERAGE(_xlfn.ANCHORARRAY(NN126))),0)</f>
        <v>0</v>
      </c>
      <c r="NT126" t="str" cm="1">
        <f t="array" ref="NT126">IF(AND(NS126&gt;$NT$1,NL126&lt;&gt;""),_xlfn.XLOOKUP(MAX(_xlfn.ANCHORARRAY(NN126)),_xlfn.ANCHORARRAY(NN126),NN$4:NR$4,""),"")</f>
        <v/>
      </c>
      <c r="NV126" cm="1">
        <f t="array" ref="NV126:OE126">SUMIFS($J126:$GG126,$J$2:$GG$2,NV$3:OE$3)</f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 cm="1">
        <f t="array" ref="OF126">IFERROR(MAX((_xlfn.ANCHORARRAY(NV126)-AVERAGE(_xlfn.ANCHORARRAY(NV126)))/ AVERAGE(_xlfn.ANCHORARRAY(NV126))),0)</f>
        <v>0</v>
      </c>
      <c r="OG126" t="str" cm="1">
        <f t="array" ref="OG126">IF(OF126&gt;$OG$1,_xlfn.XLOOKUP(MAX(_xlfn.ANCHORARRAY(NV126)),_xlfn.ANCHORARRAY(NV126),NV$4:OE$4,""),"")</f>
        <v/>
      </c>
      <c r="OI126" t="str">
        <f t="shared" si="17"/>
        <v/>
      </c>
    </row>
    <row r="127" spans="1:399" x14ac:dyDescent="0.3">
      <c r="A127" s="2"/>
      <c r="B127" s="2" t="str">
        <f t="shared" si="9"/>
        <v>CORE</v>
      </c>
      <c r="C127" s="2" t="str">
        <f t="shared" si="10"/>
        <v>CORE</v>
      </c>
      <c r="D127" s="2" t="str">
        <f t="shared" si="11"/>
        <v>CORE</v>
      </c>
      <c r="E127" s="2" t="str">
        <f t="shared" si="12"/>
        <v/>
      </c>
      <c r="F127" s="2">
        <f t="shared" si="13"/>
        <v>0</v>
      </c>
      <c r="G127" s="2">
        <f t="shared" si="14"/>
        <v>0</v>
      </c>
      <c r="H127" s="2">
        <f t="shared" si="15"/>
        <v>0</v>
      </c>
      <c r="I127" s="2">
        <f t="shared" si="16"/>
        <v>0</v>
      </c>
      <c r="NH127" cm="1">
        <f t="array" ref="NH127:NJ127">SUMIFS($J127:$GG127,$J$1:$GG$1,NH$3:NJ$3)</f>
        <v>0</v>
      </c>
      <c r="NI127">
        <v>0</v>
      </c>
      <c r="NJ127">
        <v>0</v>
      </c>
      <c r="NK127" cm="1">
        <f t="array" ref="NK127">IFERROR(MAX((_xlfn.ANCHORARRAY(NH127)-AVERAGE(_xlfn.ANCHORARRAY(NH127)))/ AVERAGE(_xlfn.ANCHORARRAY(NH127))),0)</f>
        <v>0</v>
      </c>
      <c r="NL127" t="str" cm="1">
        <f t="array" ref="NL127">IF(NK127&gt;$NL$1,_xlfn.XLOOKUP(MAX(_xlfn.ANCHORARRAY(NH127)),_xlfn.ANCHORARRAY(NH127),NH$4:NJ$4,""),"")</f>
        <v/>
      </c>
      <c r="NN127" cm="1">
        <f t="array" ref="NN127:NR127">SUMIFS($J127:$GG127,$J$3:$GG$3,NN$3:NR$3)</f>
        <v>0</v>
      </c>
      <c r="NO127">
        <v>0</v>
      </c>
      <c r="NP127">
        <v>0</v>
      </c>
      <c r="NQ127">
        <v>0</v>
      </c>
      <c r="NR127">
        <v>0</v>
      </c>
      <c r="NS127" cm="1">
        <f t="array" ref="NS127">IFERROR(MAX((_xlfn.ANCHORARRAY(NN127)-AVERAGE(_xlfn.ANCHORARRAY(NN127)))/ AVERAGE(_xlfn.ANCHORARRAY(NN127))),0)</f>
        <v>0</v>
      </c>
      <c r="NT127" t="str" cm="1">
        <f t="array" ref="NT127">IF(AND(NS127&gt;$NT$1,NL127&lt;&gt;""),_xlfn.XLOOKUP(MAX(_xlfn.ANCHORARRAY(NN127)),_xlfn.ANCHORARRAY(NN127),NN$4:NR$4,""),"")</f>
        <v/>
      </c>
      <c r="NV127" cm="1">
        <f t="array" ref="NV127:OE127">SUMIFS($J127:$GG127,$J$2:$GG$2,NV$3:OE$3)</f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 cm="1">
        <f t="array" ref="OF127">IFERROR(MAX((_xlfn.ANCHORARRAY(NV127)-AVERAGE(_xlfn.ANCHORARRAY(NV127)))/ AVERAGE(_xlfn.ANCHORARRAY(NV127))),0)</f>
        <v>0</v>
      </c>
      <c r="OG127" t="str" cm="1">
        <f t="array" ref="OG127">IF(OF127&gt;$OG$1,_xlfn.XLOOKUP(MAX(_xlfn.ANCHORARRAY(NV127)),_xlfn.ANCHORARRAY(NV127),NV$4:OE$4,""),"")</f>
        <v/>
      </c>
      <c r="OI127" t="str">
        <f t="shared" si="17"/>
        <v/>
      </c>
    </row>
    <row r="128" spans="1:399" x14ac:dyDescent="0.3">
      <c r="B128" s="2" t="str">
        <f t="shared" si="9"/>
        <v>CORE</v>
      </c>
      <c r="C128" s="2" t="str">
        <f t="shared" si="10"/>
        <v>CORE</v>
      </c>
      <c r="D128" s="2" t="str">
        <f t="shared" si="11"/>
        <v>CORE</v>
      </c>
      <c r="E128" s="2" t="str">
        <f t="shared" si="12"/>
        <v/>
      </c>
      <c r="F128" s="2">
        <f t="shared" si="13"/>
        <v>0</v>
      </c>
      <c r="G128" s="2">
        <f t="shared" si="14"/>
        <v>0</v>
      </c>
      <c r="H128" s="2">
        <f t="shared" ref="H128:H162" si="18">COUNTIF(J128:GG128,I128)</f>
        <v>0</v>
      </c>
      <c r="I128" s="2">
        <f t="shared" ref="I128:I162" si="19">MAX(J128:GG128)</f>
        <v>0</v>
      </c>
      <c r="NH128" cm="1">
        <f t="array" ref="NH128:NJ128">SUMIFS($J128:$GG128,$J$1:$GG$1,NH$3:NJ$3)</f>
        <v>0</v>
      </c>
      <c r="NI128">
        <v>0</v>
      </c>
      <c r="NJ128">
        <v>0</v>
      </c>
      <c r="NK128" cm="1">
        <f t="array" ref="NK128">IFERROR(MAX((_xlfn.ANCHORARRAY(NH128)-AVERAGE(_xlfn.ANCHORARRAY(NH128)))/ AVERAGE(_xlfn.ANCHORARRAY(NH128))),0)</f>
        <v>0</v>
      </c>
      <c r="NL128" t="str" cm="1">
        <f t="array" ref="NL128">IF(NK128&gt;$NL$1,_xlfn.XLOOKUP(MAX(_xlfn.ANCHORARRAY(NH128)),_xlfn.ANCHORARRAY(NH128),NH$4:NJ$4,""),"")</f>
        <v/>
      </c>
      <c r="NN128" cm="1">
        <f t="array" ref="NN128:NR128">SUMIFS($J128:$GG128,$J$3:$GG$3,NN$3:NR$3)</f>
        <v>0</v>
      </c>
      <c r="NO128">
        <v>0</v>
      </c>
      <c r="NP128">
        <v>0</v>
      </c>
      <c r="NQ128">
        <v>0</v>
      </c>
      <c r="NR128">
        <v>0</v>
      </c>
      <c r="NS128" cm="1">
        <f t="array" ref="NS128">IFERROR(MAX((_xlfn.ANCHORARRAY(NN128)-AVERAGE(_xlfn.ANCHORARRAY(NN128)))/ AVERAGE(_xlfn.ANCHORARRAY(NN128))),0)</f>
        <v>0</v>
      </c>
      <c r="NT128" t="str" cm="1">
        <f t="array" ref="NT128">IF(AND(NS128&gt;$NT$1,NL128&lt;&gt;""),_xlfn.XLOOKUP(MAX(_xlfn.ANCHORARRAY(NN128)),_xlfn.ANCHORARRAY(NN128),NN$4:NR$4,""),"")</f>
        <v/>
      </c>
      <c r="NV128" cm="1">
        <f t="array" ref="NV128:OE128">SUMIFS($J128:$GG128,$J$2:$GG$2,NV$3:OE$3)</f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 cm="1">
        <f t="array" ref="OF128">IFERROR(MAX((_xlfn.ANCHORARRAY(NV128)-AVERAGE(_xlfn.ANCHORARRAY(NV128)))/ AVERAGE(_xlfn.ANCHORARRAY(NV128))),0)</f>
        <v>0</v>
      </c>
      <c r="OG128" t="str" cm="1">
        <f t="array" ref="OG128">IF(OF128&gt;$OG$1,_xlfn.XLOOKUP(MAX(_xlfn.ANCHORARRAY(NV128)),_xlfn.ANCHORARRAY(NV128),NV$4:OE$4,""),"")</f>
        <v/>
      </c>
      <c r="OI128" t="str">
        <f t="shared" si="17"/>
        <v/>
      </c>
    </row>
    <row r="129" spans="2:399" x14ac:dyDescent="0.3">
      <c r="B129" s="2" t="str">
        <f t="shared" si="9"/>
        <v>CORE</v>
      </c>
      <c r="C129" s="2" t="str">
        <f t="shared" si="10"/>
        <v>CORE</v>
      </c>
      <c r="D129" s="2" t="str">
        <f t="shared" si="11"/>
        <v>CORE</v>
      </c>
      <c r="E129" s="2" t="str">
        <f t="shared" si="12"/>
        <v/>
      </c>
      <c r="F129" s="2">
        <f t="shared" si="13"/>
        <v>0</v>
      </c>
      <c r="G129" s="2">
        <f t="shared" si="14"/>
        <v>0</v>
      </c>
      <c r="H129" s="2">
        <f t="shared" si="18"/>
        <v>0</v>
      </c>
      <c r="I129" s="2">
        <f t="shared" si="19"/>
        <v>0</v>
      </c>
      <c r="NH129" cm="1">
        <f t="array" ref="NH129:NJ129">SUMIFS($J129:$GG129,$J$1:$GG$1,NH$3:NJ$3)</f>
        <v>0</v>
      </c>
      <c r="NI129">
        <v>0</v>
      </c>
      <c r="NJ129">
        <v>0</v>
      </c>
      <c r="NK129" cm="1">
        <f t="array" ref="NK129">IFERROR(MAX((_xlfn.ANCHORARRAY(NH129)-AVERAGE(_xlfn.ANCHORARRAY(NH129)))/ AVERAGE(_xlfn.ANCHORARRAY(NH129))),0)</f>
        <v>0</v>
      </c>
      <c r="NL129" t="str" cm="1">
        <f t="array" ref="NL129">IF(NK129&gt;$NL$1,_xlfn.XLOOKUP(MAX(_xlfn.ANCHORARRAY(NH129)),_xlfn.ANCHORARRAY(NH129),NH$4:NJ$4,""),"")</f>
        <v/>
      </c>
      <c r="NN129" cm="1">
        <f t="array" ref="NN129:NR129">SUMIFS($J129:$GG129,$J$3:$GG$3,NN$3:NR$3)</f>
        <v>0</v>
      </c>
      <c r="NO129">
        <v>0</v>
      </c>
      <c r="NP129">
        <v>0</v>
      </c>
      <c r="NQ129">
        <v>0</v>
      </c>
      <c r="NR129">
        <v>0</v>
      </c>
      <c r="NS129" cm="1">
        <f t="array" ref="NS129">IFERROR(MAX((_xlfn.ANCHORARRAY(NN129)-AVERAGE(_xlfn.ANCHORARRAY(NN129)))/ AVERAGE(_xlfn.ANCHORARRAY(NN129))),0)</f>
        <v>0</v>
      </c>
      <c r="NT129" t="str" cm="1">
        <f t="array" ref="NT129">IF(AND(NS129&gt;$NT$1,NL129&lt;&gt;""),_xlfn.XLOOKUP(MAX(_xlfn.ANCHORARRAY(NN129)),_xlfn.ANCHORARRAY(NN129),NN$4:NR$4,""),"")</f>
        <v/>
      </c>
      <c r="NV129" cm="1">
        <f t="array" ref="NV129:OE129">SUMIFS($J129:$GG129,$J$2:$GG$2,NV$3:OE$3)</f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 cm="1">
        <f t="array" ref="OF129">IFERROR(MAX((_xlfn.ANCHORARRAY(NV129)-AVERAGE(_xlfn.ANCHORARRAY(NV129)))/ AVERAGE(_xlfn.ANCHORARRAY(NV129))),0)</f>
        <v>0</v>
      </c>
      <c r="OG129" t="str" cm="1">
        <f t="array" ref="OG129">IF(OF129&gt;$OG$1,_xlfn.XLOOKUP(MAX(_xlfn.ANCHORARRAY(NV129)),_xlfn.ANCHORARRAY(NV129),NV$4:OE$4,""),"")</f>
        <v/>
      </c>
      <c r="OI129" t="str">
        <f t="shared" si="17"/>
        <v/>
      </c>
    </row>
    <row r="130" spans="2:399" x14ac:dyDescent="0.3">
      <c r="B130" s="2" t="str">
        <f t="shared" si="9"/>
        <v>CORE</v>
      </c>
      <c r="C130" s="2" t="str">
        <f t="shared" si="10"/>
        <v>CORE</v>
      </c>
      <c r="D130" s="2" t="str">
        <f t="shared" si="11"/>
        <v>CORE</v>
      </c>
      <c r="E130" s="2" t="str">
        <f t="shared" si="12"/>
        <v/>
      </c>
      <c r="F130" s="2">
        <f t="shared" si="13"/>
        <v>0</v>
      </c>
      <c r="G130" s="2">
        <f t="shared" si="14"/>
        <v>0</v>
      </c>
      <c r="H130" s="2">
        <f t="shared" si="18"/>
        <v>0</v>
      </c>
      <c r="I130" s="2">
        <f t="shared" si="19"/>
        <v>0</v>
      </c>
      <c r="NH130" cm="1">
        <f t="array" ref="NH130:NJ130">SUMIFS($J130:$GG130,$J$1:$GG$1,NH$3:NJ$3)</f>
        <v>0</v>
      </c>
      <c r="NI130">
        <v>0</v>
      </c>
      <c r="NJ130">
        <v>0</v>
      </c>
      <c r="NK130" cm="1">
        <f t="array" ref="NK130">IFERROR(MAX((_xlfn.ANCHORARRAY(NH130)-AVERAGE(_xlfn.ANCHORARRAY(NH130)))/ AVERAGE(_xlfn.ANCHORARRAY(NH130))),0)</f>
        <v>0</v>
      </c>
      <c r="NL130" t="str" cm="1">
        <f t="array" ref="NL130">IF(NK130&gt;$NL$1,_xlfn.XLOOKUP(MAX(_xlfn.ANCHORARRAY(NH130)),_xlfn.ANCHORARRAY(NH130),NH$4:NJ$4,""),"")</f>
        <v/>
      </c>
      <c r="NN130" cm="1">
        <f t="array" ref="NN130:NR130">SUMIFS($J130:$GG130,$J$3:$GG$3,NN$3:NR$3)</f>
        <v>0</v>
      </c>
      <c r="NO130">
        <v>0</v>
      </c>
      <c r="NP130">
        <v>0</v>
      </c>
      <c r="NQ130">
        <v>0</v>
      </c>
      <c r="NR130">
        <v>0</v>
      </c>
      <c r="NS130" cm="1">
        <f t="array" ref="NS130">IFERROR(MAX((_xlfn.ANCHORARRAY(NN130)-AVERAGE(_xlfn.ANCHORARRAY(NN130)))/ AVERAGE(_xlfn.ANCHORARRAY(NN130))),0)</f>
        <v>0</v>
      </c>
      <c r="NT130" t="str" cm="1">
        <f t="array" ref="NT130">IF(AND(NS130&gt;$NT$1,NL130&lt;&gt;""),_xlfn.XLOOKUP(MAX(_xlfn.ANCHORARRAY(NN130)),_xlfn.ANCHORARRAY(NN130),NN$4:NR$4,""),"")</f>
        <v/>
      </c>
      <c r="NV130" cm="1">
        <f t="array" ref="NV130:OE130">SUMIFS($J130:$GG130,$J$2:$GG$2,NV$3:OE$3)</f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 cm="1">
        <f t="array" ref="OF130">IFERROR(MAX((_xlfn.ANCHORARRAY(NV130)-AVERAGE(_xlfn.ANCHORARRAY(NV130)))/ AVERAGE(_xlfn.ANCHORARRAY(NV130))),0)</f>
        <v>0</v>
      </c>
      <c r="OG130" t="str" cm="1">
        <f t="array" ref="OG130">IF(OF130&gt;$OG$1,_xlfn.XLOOKUP(MAX(_xlfn.ANCHORARRAY(NV130)),_xlfn.ANCHORARRAY(NV130),NV$4:OE$4,""),"")</f>
        <v/>
      </c>
      <c r="OI130" t="str">
        <f t="shared" si="17"/>
        <v/>
      </c>
    </row>
    <row r="131" spans="2:399" x14ac:dyDescent="0.3">
      <c r="B131" s="2" t="str">
        <f t="shared" si="9"/>
        <v>CORE</v>
      </c>
      <c r="C131" s="2" t="str">
        <f t="shared" si="10"/>
        <v>CORE</v>
      </c>
      <c r="D131" s="2" t="str">
        <f t="shared" si="11"/>
        <v>CORE</v>
      </c>
      <c r="E131" s="2" t="str">
        <f t="shared" si="12"/>
        <v/>
      </c>
      <c r="F131" s="2">
        <f t="shared" si="13"/>
        <v>0</v>
      </c>
      <c r="G131" s="2">
        <f t="shared" si="14"/>
        <v>0</v>
      </c>
      <c r="H131" s="2">
        <f t="shared" si="18"/>
        <v>0</v>
      </c>
      <c r="I131" s="2">
        <f t="shared" si="19"/>
        <v>0</v>
      </c>
      <c r="NH131" cm="1">
        <f t="array" ref="NH131:NJ131">SUMIFS($J131:$GG131,$J$1:$GG$1,NH$3:NJ$3)</f>
        <v>0</v>
      </c>
      <c r="NI131">
        <v>0</v>
      </c>
      <c r="NJ131">
        <v>0</v>
      </c>
      <c r="NK131" cm="1">
        <f t="array" ref="NK131">IFERROR(MAX((_xlfn.ANCHORARRAY(NH131)-AVERAGE(_xlfn.ANCHORARRAY(NH131)))/ AVERAGE(_xlfn.ANCHORARRAY(NH131))),0)</f>
        <v>0</v>
      </c>
      <c r="NL131" t="str" cm="1">
        <f t="array" ref="NL131">IF(NK131&gt;$NL$1,_xlfn.XLOOKUP(MAX(_xlfn.ANCHORARRAY(NH131)),_xlfn.ANCHORARRAY(NH131),NH$4:NJ$4,""),"")</f>
        <v/>
      </c>
      <c r="NN131" cm="1">
        <f t="array" ref="NN131:NR131">SUMIFS($J131:$GG131,$J$3:$GG$3,NN$3:NR$3)</f>
        <v>0</v>
      </c>
      <c r="NO131">
        <v>0</v>
      </c>
      <c r="NP131">
        <v>0</v>
      </c>
      <c r="NQ131">
        <v>0</v>
      </c>
      <c r="NR131">
        <v>0</v>
      </c>
      <c r="NS131" cm="1">
        <f t="array" ref="NS131">IFERROR(MAX((_xlfn.ANCHORARRAY(NN131)-AVERAGE(_xlfn.ANCHORARRAY(NN131)))/ AVERAGE(_xlfn.ANCHORARRAY(NN131))),0)</f>
        <v>0</v>
      </c>
      <c r="NT131" t="str" cm="1">
        <f t="array" ref="NT131">IF(AND(NS131&gt;$NT$1,NL131&lt;&gt;""),_xlfn.XLOOKUP(MAX(_xlfn.ANCHORARRAY(NN131)),_xlfn.ANCHORARRAY(NN131),NN$4:NR$4,""),"")</f>
        <v/>
      </c>
      <c r="NV131" cm="1">
        <f t="array" ref="NV131:OE131">SUMIFS($J131:$GG131,$J$2:$GG$2,NV$3:OE$3)</f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 cm="1">
        <f t="array" ref="OF131">IFERROR(MAX((_xlfn.ANCHORARRAY(NV131)-AVERAGE(_xlfn.ANCHORARRAY(NV131)))/ AVERAGE(_xlfn.ANCHORARRAY(NV131))),0)</f>
        <v>0</v>
      </c>
      <c r="OG131" t="str" cm="1">
        <f t="array" ref="OG131">IF(OF131&gt;$OG$1,_xlfn.XLOOKUP(MAX(_xlfn.ANCHORARRAY(NV131)),_xlfn.ANCHORARRAY(NV131),NV$4:OE$4,""),"")</f>
        <v/>
      </c>
      <c r="OI131" t="str">
        <f t="shared" si="17"/>
        <v/>
      </c>
    </row>
    <row r="132" spans="2:399" x14ac:dyDescent="0.3">
      <c r="B132" s="2" t="str">
        <f t="shared" si="9"/>
        <v>CORE</v>
      </c>
      <c r="C132" s="2" t="str">
        <f t="shared" si="10"/>
        <v>CORE</v>
      </c>
      <c r="D132" s="2" t="str">
        <f t="shared" si="11"/>
        <v>CORE</v>
      </c>
      <c r="E132" s="2" t="str">
        <f t="shared" si="12"/>
        <v/>
      </c>
      <c r="F132" s="2">
        <f t="shared" si="13"/>
        <v>0</v>
      </c>
      <c r="G132" s="2">
        <f t="shared" si="14"/>
        <v>0</v>
      </c>
      <c r="H132" s="2">
        <f t="shared" si="18"/>
        <v>0</v>
      </c>
      <c r="I132" s="2">
        <f t="shared" si="19"/>
        <v>0</v>
      </c>
      <c r="NH132" cm="1">
        <f t="array" ref="NH132:NJ132">SUMIFS($J132:$GG132,$J$1:$GG$1,NH$3:NJ$3)</f>
        <v>0</v>
      </c>
      <c r="NI132">
        <v>0</v>
      </c>
      <c r="NJ132">
        <v>0</v>
      </c>
      <c r="NK132" cm="1">
        <f t="array" ref="NK132">IFERROR(MAX((_xlfn.ANCHORARRAY(NH132)-AVERAGE(_xlfn.ANCHORARRAY(NH132)))/ AVERAGE(_xlfn.ANCHORARRAY(NH132))),0)</f>
        <v>0</v>
      </c>
      <c r="NL132" t="str" cm="1">
        <f t="array" ref="NL132">IF(NK132&gt;$NL$1,_xlfn.XLOOKUP(MAX(_xlfn.ANCHORARRAY(NH132)),_xlfn.ANCHORARRAY(NH132),NH$4:NJ$4,""),"")</f>
        <v/>
      </c>
      <c r="NN132" cm="1">
        <f t="array" ref="NN132:NR132">SUMIFS($J132:$GG132,$J$3:$GG$3,NN$3:NR$3)</f>
        <v>0</v>
      </c>
      <c r="NO132">
        <v>0</v>
      </c>
      <c r="NP132">
        <v>0</v>
      </c>
      <c r="NQ132">
        <v>0</v>
      </c>
      <c r="NR132">
        <v>0</v>
      </c>
      <c r="NS132" cm="1">
        <f t="array" ref="NS132">IFERROR(MAX((_xlfn.ANCHORARRAY(NN132)-AVERAGE(_xlfn.ANCHORARRAY(NN132)))/ AVERAGE(_xlfn.ANCHORARRAY(NN132))),0)</f>
        <v>0</v>
      </c>
      <c r="NT132" t="str" cm="1">
        <f t="array" ref="NT132">IF(AND(NS132&gt;$NT$1,NL132&lt;&gt;""),_xlfn.XLOOKUP(MAX(_xlfn.ANCHORARRAY(NN132)),_xlfn.ANCHORARRAY(NN132),NN$4:NR$4,""),"")</f>
        <v/>
      </c>
      <c r="NV132" cm="1">
        <f t="array" ref="NV132:OE132">SUMIFS($J132:$GG132,$J$2:$GG$2,NV$3:OE$3)</f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 cm="1">
        <f t="array" ref="OF132">IFERROR(MAX((_xlfn.ANCHORARRAY(NV132)-AVERAGE(_xlfn.ANCHORARRAY(NV132)))/ AVERAGE(_xlfn.ANCHORARRAY(NV132))),0)</f>
        <v>0</v>
      </c>
      <c r="OG132" t="str" cm="1">
        <f t="array" ref="OG132">IF(OF132&gt;$OG$1,_xlfn.XLOOKUP(MAX(_xlfn.ANCHORARRAY(NV132)),_xlfn.ANCHORARRAY(NV132),NV$4:OE$4,""),"")</f>
        <v/>
      </c>
      <c r="OI132" t="str">
        <f t="shared" si="17"/>
        <v/>
      </c>
    </row>
    <row r="133" spans="2:399" x14ac:dyDescent="0.3">
      <c r="B133" s="2" t="str">
        <f t="shared" si="9"/>
        <v>CORE</v>
      </c>
      <c r="C133" s="2" t="str">
        <f t="shared" si="10"/>
        <v>CORE</v>
      </c>
      <c r="D133" s="2" t="str">
        <f t="shared" si="11"/>
        <v>CORE</v>
      </c>
      <c r="E133" s="2" t="str">
        <f t="shared" si="12"/>
        <v/>
      </c>
      <c r="F133" s="2">
        <f t="shared" si="13"/>
        <v>0</v>
      </c>
      <c r="G133" s="2">
        <f t="shared" si="14"/>
        <v>0</v>
      </c>
      <c r="H133" s="2">
        <f t="shared" si="18"/>
        <v>0</v>
      </c>
      <c r="I133" s="2">
        <f t="shared" si="19"/>
        <v>0</v>
      </c>
      <c r="NH133" cm="1">
        <f t="array" ref="NH133:NJ133">SUMIFS($J133:$GG133,$J$1:$GG$1,NH$3:NJ$3)</f>
        <v>0</v>
      </c>
      <c r="NI133">
        <v>0</v>
      </c>
      <c r="NJ133">
        <v>0</v>
      </c>
      <c r="NK133" cm="1">
        <f t="array" ref="NK133">IFERROR(MAX((_xlfn.ANCHORARRAY(NH133)-AVERAGE(_xlfn.ANCHORARRAY(NH133)))/ AVERAGE(_xlfn.ANCHORARRAY(NH133))),0)</f>
        <v>0</v>
      </c>
      <c r="NL133" t="str" cm="1">
        <f t="array" ref="NL133">IF(NK133&gt;$NL$1,_xlfn.XLOOKUP(MAX(_xlfn.ANCHORARRAY(NH133)),_xlfn.ANCHORARRAY(NH133),NH$4:NJ$4,""),"")</f>
        <v/>
      </c>
      <c r="NN133" cm="1">
        <f t="array" ref="NN133:NR133">SUMIFS($J133:$GG133,$J$3:$GG$3,NN$3:NR$3)</f>
        <v>0</v>
      </c>
      <c r="NO133">
        <v>0</v>
      </c>
      <c r="NP133">
        <v>0</v>
      </c>
      <c r="NQ133">
        <v>0</v>
      </c>
      <c r="NR133">
        <v>0</v>
      </c>
      <c r="NS133" cm="1">
        <f t="array" ref="NS133">IFERROR(MAX((_xlfn.ANCHORARRAY(NN133)-AVERAGE(_xlfn.ANCHORARRAY(NN133)))/ AVERAGE(_xlfn.ANCHORARRAY(NN133))),0)</f>
        <v>0</v>
      </c>
      <c r="NT133" t="str" cm="1">
        <f t="array" ref="NT133">IF(AND(NS133&gt;$NT$1,NL133&lt;&gt;""),_xlfn.XLOOKUP(MAX(_xlfn.ANCHORARRAY(NN133)),_xlfn.ANCHORARRAY(NN133),NN$4:NR$4,""),"")</f>
        <v/>
      </c>
      <c r="NV133" cm="1">
        <f t="array" ref="NV133:OE133">SUMIFS($J133:$GG133,$J$2:$GG$2,NV$3:OE$3)</f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 cm="1">
        <f t="array" ref="OF133">IFERROR(MAX((_xlfn.ANCHORARRAY(NV133)-AVERAGE(_xlfn.ANCHORARRAY(NV133)))/ AVERAGE(_xlfn.ANCHORARRAY(NV133))),0)</f>
        <v>0</v>
      </c>
      <c r="OG133" t="str" cm="1">
        <f t="array" ref="OG133">IF(OF133&gt;$OG$1,_xlfn.XLOOKUP(MAX(_xlfn.ANCHORARRAY(NV133)),_xlfn.ANCHORARRAY(NV133),NV$4:OE$4,""),"")</f>
        <v/>
      </c>
      <c r="OI133" t="str">
        <f t="shared" si="17"/>
        <v/>
      </c>
    </row>
    <row r="134" spans="2:399" x14ac:dyDescent="0.3">
      <c r="B134" s="2" t="str">
        <f t="shared" ref="B134:B162" si="20">IF(C134="NotFound",D134,C134)</f>
        <v>CORE</v>
      </c>
      <c r="C134" s="2" t="str">
        <f t="shared" ref="C134:C162" si="21">IF(H134&gt;1,"NotFound","CORE"&amp;_xlfn.XLOOKUP(MAX(J134:GG134,1),J134:GG134,$J$4:$GG$4,""))</f>
        <v>CORE</v>
      </c>
      <c r="D134" s="2" t="str">
        <f t="shared" ref="D134:D162" si="22">IF(F134&gt;1,"NotFound","CORE"&amp;_xlfn.XLOOKUP(MAX(GI134:NF134,1),GI134:NF134,$GI$4:$NF$4,""))</f>
        <v>CORE</v>
      </c>
      <c r="E134" s="2" t="str">
        <f t="shared" ref="E134:E188" si="23">OI134</f>
        <v/>
      </c>
      <c r="F134" s="2">
        <f t="shared" ref="F134:F157" si="24">COUNTIF(GI134:NF134,G134)</f>
        <v>0</v>
      </c>
      <c r="G134" s="2">
        <f t="shared" ref="G134:G157" si="25">MAX(GI134:NF134)</f>
        <v>0</v>
      </c>
      <c r="H134" s="2">
        <f t="shared" si="18"/>
        <v>0</v>
      </c>
      <c r="I134" s="2">
        <f t="shared" si="19"/>
        <v>0</v>
      </c>
      <c r="NH134" cm="1">
        <f t="array" ref="NH134:NJ134">SUMIFS($J134:$GG134,$J$1:$GG$1,NH$3:NJ$3)</f>
        <v>0</v>
      </c>
      <c r="NI134">
        <v>0</v>
      </c>
      <c r="NJ134">
        <v>0</v>
      </c>
      <c r="NK134" cm="1">
        <f t="array" ref="NK134">IFERROR(MAX((_xlfn.ANCHORARRAY(NH134)-AVERAGE(_xlfn.ANCHORARRAY(NH134)))/ AVERAGE(_xlfn.ANCHORARRAY(NH134))),0)</f>
        <v>0</v>
      </c>
      <c r="NL134" t="str" cm="1">
        <f t="array" ref="NL134">IF(NK134&gt;$NL$1,_xlfn.XLOOKUP(MAX(_xlfn.ANCHORARRAY(NH134)),_xlfn.ANCHORARRAY(NH134),NH$4:NJ$4,""),"")</f>
        <v/>
      </c>
      <c r="NN134" cm="1">
        <f t="array" ref="NN134:NR134">SUMIFS($J134:$GG134,$J$3:$GG$3,NN$3:NR$3)</f>
        <v>0</v>
      </c>
      <c r="NO134">
        <v>0</v>
      </c>
      <c r="NP134">
        <v>0</v>
      </c>
      <c r="NQ134">
        <v>0</v>
      </c>
      <c r="NR134">
        <v>0</v>
      </c>
      <c r="NS134" cm="1">
        <f t="array" ref="NS134">IFERROR(MAX((_xlfn.ANCHORARRAY(NN134)-AVERAGE(_xlfn.ANCHORARRAY(NN134)))/ AVERAGE(_xlfn.ANCHORARRAY(NN134))),0)</f>
        <v>0</v>
      </c>
      <c r="NT134" t="str" cm="1">
        <f t="array" ref="NT134">IF(AND(NS134&gt;$NT$1,NL134&lt;&gt;""),_xlfn.XLOOKUP(MAX(_xlfn.ANCHORARRAY(NN134)),_xlfn.ANCHORARRAY(NN134),NN$4:NR$4,""),"")</f>
        <v/>
      </c>
      <c r="NV134" cm="1">
        <f t="array" ref="NV134:OE134">SUMIFS($J134:$GG134,$J$2:$GG$2,NV$3:OE$3)</f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 cm="1">
        <f t="array" ref="OF134">IFERROR(MAX((_xlfn.ANCHORARRAY(NV134)-AVERAGE(_xlfn.ANCHORARRAY(NV134)))/ AVERAGE(_xlfn.ANCHORARRAY(NV134))),0)</f>
        <v>0</v>
      </c>
      <c r="OG134" t="str" cm="1">
        <f t="array" ref="OG134">IF(OF134&gt;$OG$1,_xlfn.XLOOKUP(MAX(_xlfn.ANCHORARRAY(NV134)),_xlfn.ANCHORARRAY(NV134),NV$4:OE$4,""),"")</f>
        <v/>
      </c>
      <c r="OI134" t="str">
        <f t="shared" ref="OI134:OI188" si="26">_xlfn.TEXTJOIN(" : ",,NL134,NT134,OG134)</f>
        <v/>
      </c>
    </row>
    <row r="135" spans="2:399" x14ac:dyDescent="0.3">
      <c r="B135" s="2" t="str">
        <f t="shared" si="20"/>
        <v>CORE</v>
      </c>
      <c r="C135" s="2" t="str">
        <f t="shared" si="21"/>
        <v>CORE</v>
      </c>
      <c r="D135" s="2" t="str">
        <f t="shared" si="22"/>
        <v>CORE</v>
      </c>
      <c r="E135" s="2" t="str">
        <f t="shared" si="23"/>
        <v/>
      </c>
      <c r="F135" s="2">
        <f t="shared" si="24"/>
        <v>0</v>
      </c>
      <c r="G135" s="2">
        <f t="shared" si="25"/>
        <v>0</v>
      </c>
      <c r="H135" s="2">
        <f t="shared" si="18"/>
        <v>0</v>
      </c>
      <c r="I135" s="2">
        <f t="shared" si="19"/>
        <v>0</v>
      </c>
      <c r="NH135" cm="1">
        <f t="array" ref="NH135:NJ135">SUMIFS($J135:$GG135,$J$1:$GG$1,NH$3:NJ$3)</f>
        <v>0</v>
      </c>
      <c r="NI135">
        <v>0</v>
      </c>
      <c r="NJ135">
        <v>0</v>
      </c>
      <c r="NK135" cm="1">
        <f t="array" ref="NK135">IFERROR(MAX((_xlfn.ANCHORARRAY(NH135)-AVERAGE(_xlfn.ANCHORARRAY(NH135)))/ AVERAGE(_xlfn.ANCHORARRAY(NH135))),0)</f>
        <v>0</v>
      </c>
      <c r="NL135" t="str" cm="1">
        <f t="array" ref="NL135">IF(NK135&gt;$NL$1,_xlfn.XLOOKUP(MAX(_xlfn.ANCHORARRAY(NH135)),_xlfn.ANCHORARRAY(NH135),NH$4:NJ$4,""),"")</f>
        <v/>
      </c>
      <c r="NN135" cm="1">
        <f t="array" ref="NN135:NR135">SUMIFS($J135:$GG135,$J$3:$GG$3,NN$3:NR$3)</f>
        <v>0</v>
      </c>
      <c r="NO135">
        <v>0</v>
      </c>
      <c r="NP135">
        <v>0</v>
      </c>
      <c r="NQ135">
        <v>0</v>
      </c>
      <c r="NR135">
        <v>0</v>
      </c>
      <c r="NS135" cm="1">
        <f t="array" ref="NS135">IFERROR(MAX((_xlfn.ANCHORARRAY(NN135)-AVERAGE(_xlfn.ANCHORARRAY(NN135)))/ AVERAGE(_xlfn.ANCHORARRAY(NN135))),0)</f>
        <v>0</v>
      </c>
      <c r="NT135" t="str" cm="1">
        <f t="array" ref="NT135">IF(AND(NS135&gt;$NT$1,NL135&lt;&gt;""),_xlfn.XLOOKUP(MAX(_xlfn.ANCHORARRAY(NN135)),_xlfn.ANCHORARRAY(NN135),NN$4:NR$4,""),"")</f>
        <v/>
      </c>
      <c r="NV135" cm="1">
        <f t="array" ref="NV135:OE135">SUMIFS($J135:$GG135,$J$2:$GG$2,NV$3:OE$3)</f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 cm="1">
        <f t="array" ref="OF135">IFERROR(MAX((_xlfn.ANCHORARRAY(NV135)-AVERAGE(_xlfn.ANCHORARRAY(NV135)))/ AVERAGE(_xlfn.ANCHORARRAY(NV135))),0)</f>
        <v>0</v>
      </c>
      <c r="OG135" t="str" cm="1">
        <f t="array" ref="OG135">IF(OF135&gt;$OG$1,_xlfn.XLOOKUP(MAX(_xlfn.ANCHORARRAY(NV135)),_xlfn.ANCHORARRAY(NV135),NV$4:OE$4,""),"")</f>
        <v/>
      </c>
      <c r="OI135" t="str">
        <f t="shared" si="26"/>
        <v/>
      </c>
    </row>
    <row r="136" spans="2:399" x14ac:dyDescent="0.3">
      <c r="B136" s="2" t="str">
        <f t="shared" si="20"/>
        <v>CORE</v>
      </c>
      <c r="C136" s="2" t="str">
        <f t="shared" si="21"/>
        <v>CORE</v>
      </c>
      <c r="D136" s="2" t="str">
        <f t="shared" si="22"/>
        <v>CORE</v>
      </c>
      <c r="E136" s="2" t="str">
        <f t="shared" si="23"/>
        <v/>
      </c>
      <c r="F136" s="2">
        <f t="shared" si="24"/>
        <v>0</v>
      </c>
      <c r="G136" s="2">
        <f t="shared" si="25"/>
        <v>0</v>
      </c>
      <c r="H136" s="2">
        <f t="shared" si="18"/>
        <v>0</v>
      </c>
      <c r="I136" s="2">
        <f t="shared" si="19"/>
        <v>0</v>
      </c>
      <c r="NH136" cm="1">
        <f t="array" ref="NH136:NJ136">SUMIFS($J136:$GG136,$J$1:$GG$1,NH$3:NJ$3)</f>
        <v>0</v>
      </c>
      <c r="NI136">
        <v>0</v>
      </c>
      <c r="NJ136">
        <v>0</v>
      </c>
      <c r="NK136" cm="1">
        <f t="array" ref="NK136">IFERROR(MAX((_xlfn.ANCHORARRAY(NH136)-AVERAGE(_xlfn.ANCHORARRAY(NH136)))/ AVERAGE(_xlfn.ANCHORARRAY(NH136))),0)</f>
        <v>0</v>
      </c>
      <c r="NL136" t="str" cm="1">
        <f t="array" ref="NL136">IF(NK136&gt;$NL$1,_xlfn.XLOOKUP(MAX(_xlfn.ANCHORARRAY(NH136)),_xlfn.ANCHORARRAY(NH136),NH$4:NJ$4,""),"")</f>
        <v/>
      </c>
      <c r="NN136" cm="1">
        <f t="array" ref="NN136:NR136">SUMIFS($J136:$GG136,$J$3:$GG$3,NN$3:NR$3)</f>
        <v>0</v>
      </c>
      <c r="NO136">
        <v>0</v>
      </c>
      <c r="NP136">
        <v>0</v>
      </c>
      <c r="NQ136">
        <v>0</v>
      </c>
      <c r="NR136">
        <v>0</v>
      </c>
      <c r="NS136" cm="1">
        <f t="array" ref="NS136">IFERROR(MAX((_xlfn.ANCHORARRAY(NN136)-AVERAGE(_xlfn.ANCHORARRAY(NN136)))/ AVERAGE(_xlfn.ANCHORARRAY(NN136))),0)</f>
        <v>0</v>
      </c>
      <c r="NT136" t="str" cm="1">
        <f t="array" ref="NT136">IF(AND(NS136&gt;$NT$1,NL136&lt;&gt;""),_xlfn.XLOOKUP(MAX(_xlfn.ANCHORARRAY(NN136)),_xlfn.ANCHORARRAY(NN136),NN$4:NR$4,""),"")</f>
        <v/>
      </c>
      <c r="NV136" cm="1">
        <f t="array" ref="NV136:OE136">SUMIFS($J136:$GG136,$J$2:$GG$2,NV$3:OE$3)</f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 cm="1">
        <f t="array" ref="OF136">IFERROR(MAX((_xlfn.ANCHORARRAY(NV136)-AVERAGE(_xlfn.ANCHORARRAY(NV136)))/ AVERAGE(_xlfn.ANCHORARRAY(NV136))),0)</f>
        <v>0</v>
      </c>
      <c r="OG136" t="str" cm="1">
        <f t="array" ref="OG136">IF(OF136&gt;$OG$1,_xlfn.XLOOKUP(MAX(_xlfn.ANCHORARRAY(NV136)),_xlfn.ANCHORARRAY(NV136),NV$4:OE$4,""),"")</f>
        <v/>
      </c>
      <c r="OI136" t="str">
        <f t="shared" si="26"/>
        <v/>
      </c>
    </row>
    <row r="137" spans="2:399" x14ac:dyDescent="0.3">
      <c r="B137" s="2" t="str">
        <f t="shared" si="20"/>
        <v>CORE</v>
      </c>
      <c r="C137" s="2" t="str">
        <f t="shared" si="21"/>
        <v>CORE</v>
      </c>
      <c r="D137" s="2" t="str">
        <f t="shared" si="22"/>
        <v>CORE</v>
      </c>
      <c r="E137" s="2" t="str">
        <f t="shared" si="23"/>
        <v/>
      </c>
      <c r="F137" s="2">
        <f t="shared" si="24"/>
        <v>0</v>
      </c>
      <c r="G137" s="2">
        <f t="shared" si="25"/>
        <v>0</v>
      </c>
      <c r="H137" s="2">
        <f t="shared" si="18"/>
        <v>0</v>
      </c>
      <c r="I137" s="2">
        <f t="shared" si="19"/>
        <v>0</v>
      </c>
      <c r="NH137" cm="1">
        <f t="array" ref="NH137:NJ137">SUMIFS($J137:$GG137,$J$1:$GG$1,NH$3:NJ$3)</f>
        <v>0</v>
      </c>
      <c r="NI137">
        <v>0</v>
      </c>
      <c r="NJ137">
        <v>0</v>
      </c>
      <c r="NK137" cm="1">
        <f t="array" ref="NK137">IFERROR(MAX((_xlfn.ANCHORARRAY(NH137)-AVERAGE(_xlfn.ANCHORARRAY(NH137)))/ AVERAGE(_xlfn.ANCHORARRAY(NH137))),0)</f>
        <v>0</v>
      </c>
      <c r="NL137" t="str" cm="1">
        <f t="array" ref="NL137">IF(NK137&gt;$NL$1,_xlfn.XLOOKUP(MAX(_xlfn.ANCHORARRAY(NH137)),_xlfn.ANCHORARRAY(NH137),NH$4:NJ$4,""),"")</f>
        <v/>
      </c>
      <c r="NN137" cm="1">
        <f t="array" ref="NN137:NR137">SUMIFS($J137:$GG137,$J$3:$GG$3,NN$3:NR$3)</f>
        <v>0</v>
      </c>
      <c r="NO137">
        <v>0</v>
      </c>
      <c r="NP137">
        <v>0</v>
      </c>
      <c r="NQ137">
        <v>0</v>
      </c>
      <c r="NR137">
        <v>0</v>
      </c>
      <c r="NS137" cm="1">
        <f t="array" ref="NS137">IFERROR(MAX((_xlfn.ANCHORARRAY(NN137)-AVERAGE(_xlfn.ANCHORARRAY(NN137)))/ AVERAGE(_xlfn.ANCHORARRAY(NN137))),0)</f>
        <v>0</v>
      </c>
      <c r="NT137" t="str" cm="1">
        <f t="array" ref="NT137">IF(AND(NS137&gt;$NT$1,NL137&lt;&gt;""),_xlfn.XLOOKUP(MAX(_xlfn.ANCHORARRAY(NN137)),_xlfn.ANCHORARRAY(NN137),NN$4:NR$4,""),"")</f>
        <v/>
      </c>
      <c r="NV137" cm="1">
        <f t="array" ref="NV137:OE137">SUMIFS($J137:$GG137,$J$2:$GG$2,NV$3:OE$3)</f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 cm="1">
        <f t="array" ref="OF137">IFERROR(MAX((_xlfn.ANCHORARRAY(NV137)-AVERAGE(_xlfn.ANCHORARRAY(NV137)))/ AVERAGE(_xlfn.ANCHORARRAY(NV137))),0)</f>
        <v>0</v>
      </c>
      <c r="OG137" t="str" cm="1">
        <f t="array" ref="OG137">IF(OF137&gt;$OG$1,_xlfn.XLOOKUP(MAX(_xlfn.ANCHORARRAY(NV137)),_xlfn.ANCHORARRAY(NV137),NV$4:OE$4,""),"")</f>
        <v/>
      </c>
      <c r="OI137" t="str">
        <f t="shared" si="26"/>
        <v/>
      </c>
    </row>
    <row r="138" spans="2:399" x14ac:dyDescent="0.3">
      <c r="B138" s="2" t="str">
        <f t="shared" si="20"/>
        <v>CORE</v>
      </c>
      <c r="C138" s="2" t="str">
        <f t="shared" si="21"/>
        <v>CORE</v>
      </c>
      <c r="D138" s="2" t="str">
        <f t="shared" si="22"/>
        <v>CORE</v>
      </c>
      <c r="E138" s="2" t="str">
        <f t="shared" si="23"/>
        <v/>
      </c>
      <c r="F138" s="2">
        <f t="shared" si="24"/>
        <v>0</v>
      </c>
      <c r="G138" s="2">
        <f t="shared" si="25"/>
        <v>0</v>
      </c>
      <c r="H138" s="2">
        <f t="shared" si="18"/>
        <v>0</v>
      </c>
      <c r="I138" s="2">
        <f t="shared" si="19"/>
        <v>0</v>
      </c>
      <c r="NH138" cm="1">
        <f t="array" ref="NH138:NJ138">SUMIFS($J138:$GG138,$J$1:$GG$1,NH$3:NJ$3)</f>
        <v>0</v>
      </c>
      <c r="NI138">
        <v>0</v>
      </c>
      <c r="NJ138">
        <v>0</v>
      </c>
      <c r="NK138" cm="1">
        <f t="array" ref="NK138">IFERROR(MAX((_xlfn.ANCHORARRAY(NH138)-AVERAGE(_xlfn.ANCHORARRAY(NH138)))/ AVERAGE(_xlfn.ANCHORARRAY(NH138))),0)</f>
        <v>0</v>
      </c>
      <c r="NL138" t="str" cm="1">
        <f t="array" ref="NL138">IF(NK138&gt;$NL$1,_xlfn.XLOOKUP(MAX(_xlfn.ANCHORARRAY(NH138)),_xlfn.ANCHORARRAY(NH138),NH$4:NJ$4,""),"")</f>
        <v/>
      </c>
      <c r="NN138" cm="1">
        <f t="array" ref="NN138:NR138">SUMIFS($J138:$GG138,$J$3:$GG$3,NN$3:NR$3)</f>
        <v>0</v>
      </c>
      <c r="NO138">
        <v>0</v>
      </c>
      <c r="NP138">
        <v>0</v>
      </c>
      <c r="NQ138">
        <v>0</v>
      </c>
      <c r="NR138">
        <v>0</v>
      </c>
      <c r="NS138" cm="1">
        <f t="array" ref="NS138">IFERROR(MAX((_xlfn.ANCHORARRAY(NN138)-AVERAGE(_xlfn.ANCHORARRAY(NN138)))/ AVERAGE(_xlfn.ANCHORARRAY(NN138))),0)</f>
        <v>0</v>
      </c>
      <c r="NT138" t="str" cm="1">
        <f t="array" ref="NT138">IF(AND(NS138&gt;$NT$1,NL138&lt;&gt;""),_xlfn.XLOOKUP(MAX(_xlfn.ANCHORARRAY(NN138)),_xlfn.ANCHORARRAY(NN138),NN$4:NR$4,""),"")</f>
        <v/>
      </c>
      <c r="NV138" cm="1">
        <f t="array" ref="NV138:OE138">SUMIFS($J138:$GG138,$J$2:$GG$2,NV$3:OE$3)</f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 cm="1">
        <f t="array" ref="OF138">IFERROR(MAX((_xlfn.ANCHORARRAY(NV138)-AVERAGE(_xlfn.ANCHORARRAY(NV138)))/ AVERAGE(_xlfn.ANCHORARRAY(NV138))),0)</f>
        <v>0</v>
      </c>
      <c r="OG138" t="str" cm="1">
        <f t="array" ref="OG138">IF(OF138&gt;$OG$1,_xlfn.XLOOKUP(MAX(_xlfn.ANCHORARRAY(NV138)),_xlfn.ANCHORARRAY(NV138),NV$4:OE$4,""),"")</f>
        <v/>
      </c>
      <c r="OI138" t="str">
        <f t="shared" si="26"/>
        <v/>
      </c>
    </row>
    <row r="139" spans="2:399" x14ac:dyDescent="0.3">
      <c r="B139" s="2" t="str">
        <f t="shared" si="20"/>
        <v>CORE</v>
      </c>
      <c r="C139" s="2" t="str">
        <f t="shared" si="21"/>
        <v>CORE</v>
      </c>
      <c r="D139" s="2" t="str">
        <f t="shared" si="22"/>
        <v>CORE</v>
      </c>
      <c r="E139" s="2" t="str">
        <f t="shared" si="23"/>
        <v/>
      </c>
      <c r="F139" s="2">
        <f t="shared" si="24"/>
        <v>0</v>
      </c>
      <c r="G139" s="2">
        <f t="shared" si="25"/>
        <v>0</v>
      </c>
      <c r="H139" s="2">
        <f t="shared" si="18"/>
        <v>0</v>
      </c>
      <c r="I139" s="2">
        <f t="shared" si="19"/>
        <v>0</v>
      </c>
      <c r="NH139" cm="1">
        <f t="array" ref="NH139:NJ139">SUMIFS($J139:$GG139,$J$1:$GG$1,NH$3:NJ$3)</f>
        <v>0</v>
      </c>
      <c r="NI139">
        <v>0</v>
      </c>
      <c r="NJ139">
        <v>0</v>
      </c>
      <c r="NK139" cm="1">
        <f t="array" ref="NK139">IFERROR(MAX((_xlfn.ANCHORARRAY(NH139)-AVERAGE(_xlfn.ANCHORARRAY(NH139)))/ AVERAGE(_xlfn.ANCHORARRAY(NH139))),0)</f>
        <v>0</v>
      </c>
      <c r="NL139" t="str" cm="1">
        <f t="array" ref="NL139">IF(NK139&gt;$NL$1,_xlfn.XLOOKUP(MAX(_xlfn.ANCHORARRAY(NH139)),_xlfn.ANCHORARRAY(NH139),NH$4:NJ$4,""),"")</f>
        <v/>
      </c>
      <c r="NN139" cm="1">
        <f t="array" ref="NN139:NR139">SUMIFS($J139:$GG139,$J$3:$GG$3,NN$3:NR$3)</f>
        <v>0</v>
      </c>
      <c r="NO139">
        <v>0</v>
      </c>
      <c r="NP139">
        <v>0</v>
      </c>
      <c r="NQ139">
        <v>0</v>
      </c>
      <c r="NR139">
        <v>0</v>
      </c>
      <c r="NS139" cm="1">
        <f t="array" ref="NS139">IFERROR(MAX((_xlfn.ANCHORARRAY(NN139)-AVERAGE(_xlfn.ANCHORARRAY(NN139)))/ AVERAGE(_xlfn.ANCHORARRAY(NN139))),0)</f>
        <v>0</v>
      </c>
      <c r="NT139" t="str" cm="1">
        <f t="array" ref="NT139">IF(AND(NS139&gt;$NT$1,NL139&lt;&gt;""),_xlfn.XLOOKUP(MAX(_xlfn.ANCHORARRAY(NN139)),_xlfn.ANCHORARRAY(NN139),NN$4:NR$4,""),"")</f>
        <v/>
      </c>
      <c r="NV139" cm="1">
        <f t="array" ref="NV139:OE139">SUMIFS($J139:$GG139,$J$2:$GG$2,NV$3:OE$3)</f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 cm="1">
        <f t="array" ref="OF139">IFERROR(MAX((_xlfn.ANCHORARRAY(NV139)-AVERAGE(_xlfn.ANCHORARRAY(NV139)))/ AVERAGE(_xlfn.ANCHORARRAY(NV139))),0)</f>
        <v>0</v>
      </c>
      <c r="OG139" t="str" cm="1">
        <f t="array" ref="OG139">IF(OF139&gt;$OG$1,_xlfn.XLOOKUP(MAX(_xlfn.ANCHORARRAY(NV139)),_xlfn.ANCHORARRAY(NV139),NV$4:OE$4,""),"")</f>
        <v/>
      </c>
      <c r="OI139" t="str">
        <f t="shared" si="26"/>
        <v/>
      </c>
    </row>
    <row r="140" spans="2:399" x14ac:dyDescent="0.3">
      <c r="B140" s="2" t="str">
        <f t="shared" si="20"/>
        <v>CORE</v>
      </c>
      <c r="C140" s="2" t="str">
        <f t="shared" si="21"/>
        <v>CORE</v>
      </c>
      <c r="D140" s="2" t="str">
        <f t="shared" si="22"/>
        <v>CORE</v>
      </c>
      <c r="E140" s="2" t="str">
        <f t="shared" si="23"/>
        <v/>
      </c>
      <c r="F140" s="2">
        <f t="shared" si="24"/>
        <v>0</v>
      </c>
      <c r="G140" s="2">
        <f t="shared" si="25"/>
        <v>0</v>
      </c>
      <c r="H140" s="2">
        <f t="shared" si="18"/>
        <v>0</v>
      </c>
      <c r="I140" s="2">
        <f t="shared" si="19"/>
        <v>0</v>
      </c>
      <c r="NH140" cm="1">
        <f t="array" ref="NH140:NJ140">SUMIFS($J140:$GG140,$J$1:$GG$1,NH$3:NJ$3)</f>
        <v>0</v>
      </c>
      <c r="NI140">
        <v>0</v>
      </c>
      <c r="NJ140">
        <v>0</v>
      </c>
      <c r="NK140" cm="1">
        <f t="array" ref="NK140">IFERROR(MAX((_xlfn.ANCHORARRAY(NH140)-AVERAGE(_xlfn.ANCHORARRAY(NH140)))/ AVERAGE(_xlfn.ANCHORARRAY(NH140))),0)</f>
        <v>0</v>
      </c>
      <c r="NL140" t="str" cm="1">
        <f t="array" ref="NL140">IF(NK140&gt;$NL$1,_xlfn.XLOOKUP(MAX(_xlfn.ANCHORARRAY(NH140)),_xlfn.ANCHORARRAY(NH140),NH$4:NJ$4,""),"")</f>
        <v/>
      </c>
      <c r="NN140" cm="1">
        <f t="array" ref="NN140:NR140">SUMIFS($J140:$GG140,$J$3:$GG$3,NN$3:NR$3)</f>
        <v>0</v>
      </c>
      <c r="NO140">
        <v>0</v>
      </c>
      <c r="NP140">
        <v>0</v>
      </c>
      <c r="NQ140">
        <v>0</v>
      </c>
      <c r="NR140">
        <v>0</v>
      </c>
      <c r="NS140" cm="1">
        <f t="array" ref="NS140">IFERROR(MAX((_xlfn.ANCHORARRAY(NN140)-AVERAGE(_xlfn.ANCHORARRAY(NN140)))/ AVERAGE(_xlfn.ANCHORARRAY(NN140))),0)</f>
        <v>0</v>
      </c>
      <c r="NT140" t="str" cm="1">
        <f t="array" ref="NT140">IF(AND(NS140&gt;$NT$1,NL140&lt;&gt;""),_xlfn.XLOOKUP(MAX(_xlfn.ANCHORARRAY(NN140)),_xlfn.ANCHORARRAY(NN140),NN$4:NR$4,""),"")</f>
        <v/>
      </c>
      <c r="NV140" cm="1">
        <f t="array" ref="NV140:OE140">SUMIFS($J140:$GG140,$J$2:$GG$2,NV$3:OE$3)</f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 cm="1">
        <f t="array" ref="OF140">IFERROR(MAX((_xlfn.ANCHORARRAY(NV140)-AVERAGE(_xlfn.ANCHORARRAY(NV140)))/ AVERAGE(_xlfn.ANCHORARRAY(NV140))),0)</f>
        <v>0</v>
      </c>
      <c r="OG140" t="str" cm="1">
        <f t="array" ref="OG140">IF(OF140&gt;$OG$1,_xlfn.XLOOKUP(MAX(_xlfn.ANCHORARRAY(NV140)),_xlfn.ANCHORARRAY(NV140),NV$4:OE$4,""),"")</f>
        <v/>
      </c>
      <c r="OI140" t="str">
        <f t="shared" si="26"/>
        <v/>
      </c>
    </row>
    <row r="141" spans="2:399" x14ac:dyDescent="0.3">
      <c r="B141" s="2" t="str">
        <f t="shared" si="20"/>
        <v>CORE</v>
      </c>
      <c r="C141" s="2" t="str">
        <f t="shared" si="21"/>
        <v>CORE</v>
      </c>
      <c r="D141" s="2" t="str">
        <f t="shared" si="22"/>
        <v>CORE</v>
      </c>
      <c r="E141" s="2" t="str">
        <f t="shared" si="23"/>
        <v/>
      </c>
      <c r="F141" s="2">
        <f t="shared" si="24"/>
        <v>0</v>
      </c>
      <c r="G141" s="2">
        <f t="shared" si="25"/>
        <v>0</v>
      </c>
      <c r="H141" s="2">
        <f t="shared" si="18"/>
        <v>0</v>
      </c>
      <c r="I141" s="2">
        <f t="shared" si="19"/>
        <v>0</v>
      </c>
      <c r="NH141" cm="1">
        <f t="array" ref="NH141:NJ141">SUMIFS($J141:$GG141,$J$1:$GG$1,NH$3:NJ$3)</f>
        <v>0</v>
      </c>
      <c r="NI141">
        <v>0</v>
      </c>
      <c r="NJ141">
        <v>0</v>
      </c>
      <c r="NK141" cm="1">
        <f t="array" ref="NK141">IFERROR(MAX((_xlfn.ANCHORARRAY(NH141)-AVERAGE(_xlfn.ANCHORARRAY(NH141)))/ AVERAGE(_xlfn.ANCHORARRAY(NH141))),0)</f>
        <v>0</v>
      </c>
      <c r="NL141" t="str" cm="1">
        <f t="array" ref="NL141">IF(NK141&gt;$NL$1,_xlfn.XLOOKUP(MAX(_xlfn.ANCHORARRAY(NH141)),_xlfn.ANCHORARRAY(NH141),NH$4:NJ$4,""),"")</f>
        <v/>
      </c>
      <c r="NN141" cm="1">
        <f t="array" ref="NN141:NR141">SUMIFS($J141:$GG141,$J$3:$GG$3,NN$3:NR$3)</f>
        <v>0</v>
      </c>
      <c r="NO141">
        <v>0</v>
      </c>
      <c r="NP141">
        <v>0</v>
      </c>
      <c r="NQ141">
        <v>0</v>
      </c>
      <c r="NR141">
        <v>0</v>
      </c>
      <c r="NS141" cm="1">
        <f t="array" ref="NS141">IFERROR(MAX((_xlfn.ANCHORARRAY(NN141)-AVERAGE(_xlfn.ANCHORARRAY(NN141)))/ AVERAGE(_xlfn.ANCHORARRAY(NN141))),0)</f>
        <v>0</v>
      </c>
      <c r="NT141" t="str" cm="1">
        <f t="array" ref="NT141">IF(AND(NS141&gt;$NT$1,NL141&lt;&gt;""),_xlfn.XLOOKUP(MAX(_xlfn.ANCHORARRAY(NN141)),_xlfn.ANCHORARRAY(NN141),NN$4:NR$4,""),"")</f>
        <v/>
      </c>
      <c r="NV141" cm="1">
        <f t="array" ref="NV141:OE141">SUMIFS($J141:$GG141,$J$2:$GG$2,NV$3:OE$3)</f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 cm="1">
        <f t="array" ref="OF141">IFERROR(MAX((_xlfn.ANCHORARRAY(NV141)-AVERAGE(_xlfn.ANCHORARRAY(NV141)))/ AVERAGE(_xlfn.ANCHORARRAY(NV141))),0)</f>
        <v>0</v>
      </c>
      <c r="OG141" t="str" cm="1">
        <f t="array" ref="OG141">IF(OF141&gt;$OG$1,_xlfn.XLOOKUP(MAX(_xlfn.ANCHORARRAY(NV141)),_xlfn.ANCHORARRAY(NV141),NV$4:OE$4,""),"")</f>
        <v/>
      </c>
      <c r="OI141" t="str">
        <f t="shared" si="26"/>
        <v/>
      </c>
    </row>
    <row r="142" spans="2:399" x14ac:dyDescent="0.3">
      <c r="B142" s="2" t="str">
        <f t="shared" si="20"/>
        <v>CORE</v>
      </c>
      <c r="C142" s="2" t="str">
        <f t="shared" si="21"/>
        <v>CORE</v>
      </c>
      <c r="D142" s="2" t="str">
        <f t="shared" si="22"/>
        <v>CORE</v>
      </c>
      <c r="E142" s="2" t="str">
        <f t="shared" si="23"/>
        <v/>
      </c>
      <c r="F142" s="2">
        <f t="shared" si="24"/>
        <v>0</v>
      </c>
      <c r="G142" s="2">
        <f t="shared" si="25"/>
        <v>0</v>
      </c>
      <c r="H142" s="2">
        <f t="shared" si="18"/>
        <v>0</v>
      </c>
      <c r="I142" s="2">
        <f t="shared" si="19"/>
        <v>0</v>
      </c>
      <c r="NH142" cm="1">
        <f t="array" ref="NH142:NJ142">SUMIFS($J142:$GG142,$J$1:$GG$1,NH$3:NJ$3)</f>
        <v>0</v>
      </c>
      <c r="NI142">
        <v>0</v>
      </c>
      <c r="NJ142">
        <v>0</v>
      </c>
      <c r="NK142" cm="1">
        <f t="array" ref="NK142">IFERROR(MAX((_xlfn.ANCHORARRAY(NH142)-AVERAGE(_xlfn.ANCHORARRAY(NH142)))/ AVERAGE(_xlfn.ANCHORARRAY(NH142))),0)</f>
        <v>0</v>
      </c>
      <c r="NL142" t="str" cm="1">
        <f t="array" ref="NL142">IF(NK142&gt;$NL$1,_xlfn.XLOOKUP(MAX(_xlfn.ANCHORARRAY(NH142)),_xlfn.ANCHORARRAY(NH142),NH$4:NJ$4,""),"")</f>
        <v/>
      </c>
      <c r="NN142" cm="1">
        <f t="array" ref="NN142:NR142">SUMIFS($J142:$GG142,$J$3:$GG$3,NN$3:NR$3)</f>
        <v>0</v>
      </c>
      <c r="NO142">
        <v>0</v>
      </c>
      <c r="NP142">
        <v>0</v>
      </c>
      <c r="NQ142">
        <v>0</v>
      </c>
      <c r="NR142">
        <v>0</v>
      </c>
      <c r="NS142" cm="1">
        <f t="array" ref="NS142">IFERROR(MAX((_xlfn.ANCHORARRAY(NN142)-AVERAGE(_xlfn.ANCHORARRAY(NN142)))/ AVERAGE(_xlfn.ANCHORARRAY(NN142))),0)</f>
        <v>0</v>
      </c>
      <c r="NT142" t="str" cm="1">
        <f t="array" ref="NT142">IF(AND(NS142&gt;$NT$1,NL142&lt;&gt;""),_xlfn.XLOOKUP(MAX(_xlfn.ANCHORARRAY(NN142)),_xlfn.ANCHORARRAY(NN142),NN$4:NR$4,""),"")</f>
        <v/>
      </c>
      <c r="NV142" cm="1">
        <f t="array" ref="NV142:OE142">SUMIFS($J142:$GG142,$J$2:$GG$2,NV$3:OE$3)</f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 cm="1">
        <f t="array" ref="OF142">IFERROR(MAX((_xlfn.ANCHORARRAY(NV142)-AVERAGE(_xlfn.ANCHORARRAY(NV142)))/ AVERAGE(_xlfn.ANCHORARRAY(NV142))),0)</f>
        <v>0</v>
      </c>
      <c r="OG142" t="str" cm="1">
        <f t="array" ref="OG142">IF(OF142&gt;$OG$1,_xlfn.XLOOKUP(MAX(_xlfn.ANCHORARRAY(NV142)),_xlfn.ANCHORARRAY(NV142),NV$4:OE$4,""),"")</f>
        <v/>
      </c>
      <c r="OI142" t="str">
        <f t="shared" si="26"/>
        <v/>
      </c>
    </row>
    <row r="143" spans="2:399" x14ac:dyDescent="0.3">
      <c r="B143" s="2" t="str">
        <f t="shared" si="20"/>
        <v>CORE</v>
      </c>
      <c r="C143" s="2" t="str">
        <f t="shared" si="21"/>
        <v>CORE</v>
      </c>
      <c r="D143" s="2" t="str">
        <f t="shared" si="22"/>
        <v>CORE</v>
      </c>
      <c r="E143" s="2" t="str">
        <f t="shared" si="23"/>
        <v/>
      </c>
      <c r="F143" s="2">
        <f t="shared" si="24"/>
        <v>0</v>
      </c>
      <c r="G143" s="2">
        <f t="shared" si="25"/>
        <v>0</v>
      </c>
      <c r="H143" s="2">
        <f t="shared" si="18"/>
        <v>0</v>
      </c>
      <c r="I143" s="2">
        <f t="shared" si="19"/>
        <v>0</v>
      </c>
      <c r="NH143" cm="1">
        <f t="array" ref="NH143:NJ143">SUMIFS($J143:$GG143,$J$1:$GG$1,NH$3:NJ$3)</f>
        <v>0</v>
      </c>
      <c r="NI143">
        <v>0</v>
      </c>
      <c r="NJ143">
        <v>0</v>
      </c>
      <c r="NK143" cm="1">
        <f t="array" ref="NK143">IFERROR(MAX((_xlfn.ANCHORARRAY(NH143)-AVERAGE(_xlfn.ANCHORARRAY(NH143)))/ AVERAGE(_xlfn.ANCHORARRAY(NH143))),0)</f>
        <v>0</v>
      </c>
      <c r="NL143" t="str" cm="1">
        <f t="array" ref="NL143">IF(NK143&gt;$NL$1,_xlfn.XLOOKUP(MAX(_xlfn.ANCHORARRAY(NH143)),_xlfn.ANCHORARRAY(NH143),NH$4:NJ$4,""),"")</f>
        <v/>
      </c>
      <c r="NN143" cm="1">
        <f t="array" ref="NN143:NR143">SUMIFS($J143:$GG143,$J$3:$GG$3,NN$3:NR$3)</f>
        <v>0</v>
      </c>
      <c r="NO143">
        <v>0</v>
      </c>
      <c r="NP143">
        <v>0</v>
      </c>
      <c r="NQ143">
        <v>0</v>
      </c>
      <c r="NR143">
        <v>0</v>
      </c>
      <c r="NS143" cm="1">
        <f t="array" ref="NS143">IFERROR(MAX((_xlfn.ANCHORARRAY(NN143)-AVERAGE(_xlfn.ANCHORARRAY(NN143)))/ AVERAGE(_xlfn.ANCHORARRAY(NN143))),0)</f>
        <v>0</v>
      </c>
      <c r="NT143" t="str" cm="1">
        <f t="array" ref="NT143">IF(AND(NS143&gt;$NT$1,NL143&lt;&gt;""),_xlfn.XLOOKUP(MAX(_xlfn.ANCHORARRAY(NN143)),_xlfn.ANCHORARRAY(NN143),NN$4:NR$4,""),"")</f>
        <v/>
      </c>
      <c r="NV143" cm="1">
        <f t="array" ref="NV143:OE143">SUMIFS($J143:$GG143,$J$2:$GG$2,NV$3:OE$3)</f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 cm="1">
        <f t="array" ref="OF143">IFERROR(MAX((_xlfn.ANCHORARRAY(NV143)-AVERAGE(_xlfn.ANCHORARRAY(NV143)))/ AVERAGE(_xlfn.ANCHORARRAY(NV143))),0)</f>
        <v>0</v>
      </c>
      <c r="OG143" t="str" cm="1">
        <f t="array" ref="OG143">IF(OF143&gt;$OG$1,_xlfn.XLOOKUP(MAX(_xlfn.ANCHORARRAY(NV143)),_xlfn.ANCHORARRAY(NV143),NV$4:OE$4,""),"")</f>
        <v/>
      </c>
      <c r="OI143" t="str">
        <f t="shared" si="26"/>
        <v/>
      </c>
    </row>
    <row r="144" spans="2:399" x14ac:dyDescent="0.3">
      <c r="B144" s="2" t="str">
        <f t="shared" si="20"/>
        <v>CORE</v>
      </c>
      <c r="C144" s="2" t="str">
        <f t="shared" si="21"/>
        <v>CORE</v>
      </c>
      <c r="D144" s="2" t="str">
        <f t="shared" si="22"/>
        <v>CORE</v>
      </c>
      <c r="E144" s="2" t="str">
        <f t="shared" si="23"/>
        <v/>
      </c>
      <c r="F144" s="2">
        <f t="shared" si="24"/>
        <v>0</v>
      </c>
      <c r="G144" s="2">
        <f t="shared" si="25"/>
        <v>0</v>
      </c>
      <c r="H144" s="2">
        <f t="shared" si="18"/>
        <v>0</v>
      </c>
      <c r="I144" s="2">
        <f t="shared" si="19"/>
        <v>0</v>
      </c>
      <c r="NH144" cm="1">
        <f t="array" ref="NH144:NJ144">SUMIFS($J144:$GG144,$J$1:$GG$1,NH$3:NJ$3)</f>
        <v>0</v>
      </c>
      <c r="NI144">
        <v>0</v>
      </c>
      <c r="NJ144">
        <v>0</v>
      </c>
      <c r="NK144" cm="1">
        <f t="array" ref="NK144">IFERROR(MAX((_xlfn.ANCHORARRAY(NH144)-AVERAGE(_xlfn.ANCHORARRAY(NH144)))/ AVERAGE(_xlfn.ANCHORARRAY(NH144))),0)</f>
        <v>0</v>
      </c>
      <c r="NL144" t="str" cm="1">
        <f t="array" ref="NL144">IF(NK144&gt;$NL$1,_xlfn.XLOOKUP(MAX(_xlfn.ANCHORARRAY(NH144)),_xlfn.ANCHORARRAY(NH144),NH$4:NJ$4,""),"")</f>
        <v/>
      </c>
      <c r="NN144" cm="1">
        <f t="array" ref="NN144:NR144">SUMIFS($J144:$GG144,$J$3:$GG$3,NN$3:NR$3)</f>
        <v>0</v>
      </c>
      <c r="NO144">
        <v>0</v>
      </c>
      <c r="NP144">
        <v>0</v>
      </c>
      <c r="NQ144">
        <v>0</v>
      </c>
      <c r="NR144">
        <v>0</v>
      </c>
      <c r="NS144" cm="1">
        <f t="array" ref="NS144">IFERROR(MAX((_xlfn.ANCHORARRAY(NN144)-AVERAGE(_xlfn.ANCHORARRAY(NN144)))/ AVERAGE(_xlfn.ANCHORARRAY(NN144))),0)</f>
        <v>0</v>
      </c>
      <c r="NT144" t="str" cm="1">
        <f t="array" ref="NT144">IF(AND(NS144&gt;$NT$1,NL144&lt;&gt;""),_xlfn.XLOOKUP(MAX(_xlfn.ANCHORARRAY(NN144)),_xlfn.ANCHORARRAY(NN144),NN$4:NR$4,""),"")</f>
        <v/>
      </c>
      <c r="NV144" cm="1">
        <f t="array" ref="NV144:OE144">SUMIFS($J144:$GG144,$J$2:$GG$2,NV$3:OE$3)</f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 cm="1">
        <f t="array" ref="OF144">IFERROR(MAX((_xlfn.ANCHORARRAY(NV144)-AVERAGE(_xlfn.ANCHORARRAY(NV144)))/ AVERAGE(_xlfn.ANCHORARRAY(NV144))),0)</f>
        <v>0</v>
      </c>
      <c r="OG144" t="str" cm="1">
        <f t="array" ref="OG144">IF(OF144&gt;$OG$1,_xlfn.XLOOKUP(MAX(_xlfn.ANCHORARRAY(NV144)),_xlfn.ANCHORARRAY(NV144),NV$4:OE$4,""),"")</f>
        <v/>
      </c>
      <c r="OI144" t="str">
        <f t="shared" si="26"/>
        <v/>
      </c>
    </row>
    <row r="145" spans="2:399" x14ac:dyDescent="0.3">
      <c r="B145" s="2" t="str">
        <f t="shared" si="20"/>
        <v>CORE</v>
      </c>
      <c r="C145" s="2" t="str">
        <f t="shared" si="21"/>
        <v>CORE</v>
      </c>
      <c r="D145" s="2" t="str">
        <f t="shared" si="22"/>
        <v>CORE</v>
      </c>
      <c r="E145" s="2" t="str">
        <f t="shared" si="23"/>
        <v/>
      </c>
      <c r="F145" s="2">
        <f t="shared" si="24"/>
        <v>0</v>
      </c>
      <c r="G145" s="2">
        <f t="shared" si="25"/>
        <v>0</v>
      </c>
      <c r="H145" s="2">
        <f t="shared" si="18"/>
        <v>0</v>
      </c>
      <c r="I145" s="2">
        <f t="shared" si="19"/>
        <v>0</v>
      </c>
      <c r="NH145" cm="1">
        <f t="array" ref="NH145:NJ145">SUMIFS($J145:$GG145,$J$1:$GG$1,NH$3:NJ$3)</f>
        <v>0</v>
      </c>
      <c r="NI145">
        <v>0</v>
      </c>
      <c r="NJ145">
        <v>0</v>
      </c>
      <c r="NK145" cm="1">
        <f t="array" ref="NK145">IFERROR(MAX((_xlfn.ANCHORARRAY(NH145)-AVERAGE(_xlfn.ANCHORARRAY(NH145)))/ AVERAGE(_xlfn.ANCHORARRAY(NH145))),0)</f>
        <v>0</v>
      </c>
      <c r="NL145" t="str" cm="1">
        <f t="array" ref="NL145">IF(NK145&gt;$NL$1,_xlfn.XLOOKUP(MAX(_xlfn.ANCHORARRAY(NH145)),_xlfn.ANCHORARRAY(NH145),NH$4:NJ$4,""),"")</f>
        <v/>
      </c>
      <c r="NN145" cm="1">
        <f t="array" ref="NN145:NR145">SUMIFS($J145:$GG145,$J$3:$GG$3,NN$3:NR$3)</f>
        <v>0</v>
      </c>
      <c r="NO145">
        <v>0</v>
      </c>
      <c r="NP145">
        <v>0</v>
      </c>
      <c r="NQ145">
        <v>0</v>
      </c>
      <c r="NR145">
        <v>0</v>
      </c>
      <c r="NS145" cm="1">
        <f t="array" ref="NS145">IFERROR(MAX((_xlfn.ANCHORARRAY(NN145)-AVERAGE(_xlfn.ANCHORARRAY(NN145)))/ AVERAGE(_xlfn.ANCHORARRAY(NN145))),0)</f>
        <v>0</v>
      </c>
      <c r="NT145" t="str" cm="1">
        <f t="array" ref="NT145">IF(AND(NS145&gt;$NT$1,NL145&lt;&gt;""),_xlfn.XLOOKUP(MAX(_xlfn.ANCHORARRAY(NN145)),_xlfn.ANCHORARRAY(NN145),NN$4:NR$4,""),"")</f>
        <v/>
      </c>
      <c r="NV145" cm="1">
        <f t="array" ref="NV145:OE145">SUMIFS($J145:$GG145,$J$2:$GG$2,NV$3:OE$3)</f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 cm="1">
        <f t="array" ref="OF145">IFERROR(MAX((_xlfn.ANCHORARRAY(NV145)-AVERAGE(_xlfn.ANCHORARRAY(NV145)))/ AVERAGE(_xlfn.ANCHORARRAY(NV145))),0)</f>
        <v>0</v>
      </c>
      <c r="OG145" t="str" cm="1">
        <f t="array" ref="OG145">IF(OF145&gt;$OG$1,_xlfn.XLOOKUP(MAX(_xlfn.ANCHORARRAY(NV145)),_xlfn.ANCHORARRAY(NV145),NV$4:OE$4,""),"")</f>
        <v/>
      </c>
      <c r="OI145" t="str">
        <f t="shared" si="26"/>
        <v/>
      </c>
    </row>
    <row r="146" spans="2:399" x14ac:dyDescent="0.3">
      <c r="B146" s="2" t="str">
        <f t="shared" si="20"/>
        <v>CORE</v>
      </c>
      <c r="C146" s="2" t="str">
        <f t="shared" si="21"/>
        <v>CORE</v>
      </c>
      <c r="D146" s="2" t="str">
        <f t="shared" si="22"/>
        <v>CORE</v>
      </c>
      <c r="E146" s="2" t="str">
        <f t="shared" si="23"/>
        <v/>
      </c>
      <c r="F146" s="2">
        <f t="shared" si="24"/>
        <v>0</v>
      </c>
      <c r="G146" s="2">
        <f t="shared" si="25"/>
        <v>0</v>
      </c>
      <c r="H146" s="2">
        <f t="shared" si="18"/>
        <v>0</v>
      </c>
      <c r="I146" s="2">
        <f t="shared" si="19"/>
        <v>0</v>
      </c>
      <c r="NH146" cm="1">
        <f t="array" ref="NH146:NJ146">SUMIFS($J146:$GG146,$J$1:$GG$1,NH$3:NJ$3)</f>
        <v>0</v>
      </c>
      <c r="NI146">
        <v>0</v>
      </c>
      <c r="NJ146">
        <v>0</v>
      </c>
      <c r="NK146" cm="1">
        <f t="array" ref="NK146">IFERROR(MAX((_xlfn.ANCHORARRAY(NH146)-AVERAGE(_xlfn.ANCHORARRAY(NH146)))/ AVERAGE(_xlfn.ANCHORARRAY(NH146))),0)</f>
        <v>0</v>
      </c>
      <c r="NL146" t="str" cm="1">
        <f t="array" ref="NL146">IF(NK146&gt;$NL$1,_xlfn.XLOOKUP(MAX(_xlfn.ANCHORARRAY(NH146)),_xlfn.ANCHORARRAY(NH146),NH$4:NJ$4,""),"")</f>
        <v/>
      </c>
      <c r="NN146" cm="1">
        <f t="array" ref="NN146:NR146">SUMIFS($J146:$GG146,$J$3:$GG$3,NN$3:NR$3)</f>
        <v>0</v>
      </c>
      <c r="NO146">
        <v>0</v>
      </c>
      <c r="NP146">
        <v>0</v>
      </c>
      <c r="NQ146">
        <v>0</v>
      </c>
      <c r="NR146">
        <v>0</v>
      </c>
      <c r="NS146" cm="1">
        <f t="array" ref="NS146">IFERROR(MAX((_xlfn.ANCHORARRAY(NN146)-AVERAGE(_xlfn.ANCHORARRAY(NN146)))/ AVERAGE(_xlfn.ANCHORARRAY(NN146))),0)</f>
        <v>0</v>
      </c>
      <c r="NT146" t="str" cm="1">
        <f t="array" ref="NT146">IF(AND(NS146&gt;$NT$1,NL146&lt;&gt;""),_xlfn.XLOOKUP(MAX(_xlfn.ANCHORARRAY(NN146)),_xlfn.ANCHORARRAY(NN146),NN$4:NR$4,""),"")</f>
        <v/>
      </c>
      <c r="NV146" cm="1">
        <f t="array" ref="NV146:OE146">SUMIFS($J146:$GG146,$J$2:$GG$2,NV$3:OE$3)</f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 cm="1">
        <f t="array" ref="OF146">IFERROR(MAX((_xlfn.ANCHORARRAY(NV146)-AVERAGE(_xlfn.ANCHORARRAY(NV146)))/ AVERAGE(_xlfn.ANCHORARRAY(NV146))),0)</f>
        <v>0</v>
      </c>
      <c r="OG146" t="str" cm="1">
        <f t="array" ref="OG146">IF(OF146&gt;$OG$1,_xlfn.XLOOKUP(MAX(_xlfn.ANCHORARRAY(NV146)),_xlfn.ANCHORARRAY(NV146),NV$4:OE$4,""),"")</f>
        <v/>
      </c>
      <c r="OI146" t="str">
        <f t="shared" si="26"/>
        <v/>
      </c>
    </row>
    <row r="147" spans="2:399" x14ac:dyDescent="0.3">
      <c r="B147" s="2" t="str">
        <f t="shared" si="20"/>
        <v>CORE</v>
      </c>
      <c r="C147" s="2" t="str">
        <f t="shared" si="21"/>
        <v>CORE</v>
      </c>
      <c r="D147" s="2" t="str">
        <f t="shared" si="22"/>
        <v>CORE</v>
      </c>
      <c r="E147" s="2" t="str">
        <f t="shared" si="23"/>
        <v/>
      </c>
      <c r="F147" s="2">
        <f t="shared" si="24"/>
        <v>0</v>
      </c>
      <c r="G147" s="2">
        <f t="shared" si="25"/>
        <v>0</v>
      </c>
      <c r="H147" s="2">
        <f t="shared" si="18"/>
        <v>0</v>
      </c>
      <c r="I147" s="2">
        <f t="shared" si="19"/>
        <v>0</v>
      </c>
      <c r="NH147" cm="1">
        <f t="array" ref="NH147:NJ147">SUMIFS($J147:$GG147,$J$1:$GG$1,NH$3:NJ$3)</f>
        <v>0</v>
      </c>
      <c r="NI147">
        <v>0</v>
      </c>
      <c r="NJ147">
        <v>0</v>
      </c>
      <c r="NK147" cm="1">
        <f t="array" ref="NK147">IFERROR(MAX((_xlfn.ANCHORARRAY(NH147)-AVERAGE(_xlfn.ANCHORARRAY(NH147)))/ AVERAGE(_xlfn.ANCHORARRAY(NH147))),0)</f>
        <v>0</v>
      </c>
      <c r="NL147" t="str" cm="1">
        <f t="array" ref="NL147">IF(NK147&gt;$NL$1,_xlfn.XLOOKUP(MAX(_xlfn.ANCHORARRAY(NH147)),_xlfn.ANCHORARRAY(NH147),NH$4:NJ$4,""),"")</f>
        <v/>
      </c>
      <c r="NN147" cm="1">
        <f t="array" ref="NN147:NR147">SUMIFS($J147:$GG147,$J$3:$GG$3,NN$3:NR$3)</f>
        <v>0</v>
      </c>
      <c r="NO147">
        <v>0</v>
      </c>
      <c r="NP147">
        <v>0</v>
      </c>
      <c r="NQ147">
        <v>0</v>
      </c>
      <c r="NR147">
        <v>0</v>
      </c>
      <c r="NS147" cm="1">
        <f t="array" ref="NS147">IFERROR(MAX((_xlfn.ANCHORARRAY(NN147)-AVERAGE(_xlfn.ANCHORARRAY(NN147)))/ AVERAGE(_xlfn.ANCHORARRAY(NN147))),0)</f>
        <v>0</v>
      </c>
      <c r="NT147" t="str" cm="1">
        <f t="array" ref="NT147">IF(AND(NS147&gt;$NT$1,NL147&lt;&gt;""),_xlfn.XLOOKUP(MAX(_xlfn.ANCHORARRAY(NN147)),_xlfn.ANCHORARRAY(NN147),NN$4:NR$4,""),"")</f>
        <v/>
      </c>
      <c r="NV147" cm="1">
        <f t="array" ref="NV147:OE147">SUMIFS($J147:$GG147,$J$2:$GG$2,NV$3:OE$3)</f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 cm="1">
        <f t="array" ref="OF147">IFERROR(MAX((_xlfn.ANCHORARRAY(NV147)-AVERAGE(_xlfn.ANCHORARRAY(NV147)))/ AVERAGE(_xlfn.ANCHORARRAY(NV147))),0)</f>
        <v>0</v>
      </c>
      <c r="OG147" t="str" cm="1">
        <f t="array" ref="OG147">IF(OF147&gt;$OG$1,_xlfn.XLOOKUP(MAX(_xlfn.ANCHORARRAY(NV147)),_xlfn.ANCHORARRAY(NV147),NV$4:OE$4,""),"")</f>
        <v/>
      </c>
      <c r="OI147" t="str">
        <f t="shared" si="26"/>
        <v/>
      </c>
    </row>
    <row r="148" spans="2:399" x14ac:dyDescent="0.3">
      <c r="B148" s="2" t="str">
        <f t="shared" si="20"/>
        <v>CORE</v>
      </c>
      <c r="C148" s="2" t="str">
        <f t="shared" si="21"/>
        <v>CORE</v>
      </c>
      <c r="D148" s="2" t="str">
        <f t="shared" si="22"/>
        <v>CORE</v>
      </c>
      <c r="E148" s="2" t="str">
        <f t="shared" si="23"/>
        <v/>
      </c>
      <c r="F148" s="2">
        <f t="shared" si="24"/>
        <v>0</v>
      </c>
      <c r="G148" s="2">
        <f t="shared" si="25"/>
        <v>0</v>
      </c>
      <c r="H148" s="2">
        <f t="shared" si="18"/>
        <v>0</v>
      </c>
      <c r="I148" s="2">
        <f t="shared" si="19"/>
        <v>0</v>
      </c>
      <c r="NH148" cm="1">
        <f t="array" ref="NH148:NJ148">SUMIFS($J148:$GG148,$J$1:$GG$1,NH$3:NJ$3)</f>
        <v>0</v>
      </c>
      <c r="NI148">
        <v>0</v>
      </c>
      <c r="NJ148">
        <v>0</v>
      </c>
      <c r="NK148" cm="1">
        <f t="array" ref="NK148">IFERROR(MAX((_xlfn.ANCHORARRAY(NH148)-AVERAGE(_xlfn.ANCHORARRAY(NH148)))/ AVERAGE(_xlfn.ANCHORARRAY(NH148))),0)</f>
        <v>0</v>
      </c>
      <c r="NL148" t="str" cm="1">
        <f t="array" ref="NL148">IF(NK148&gt;$NL$1,_xlfn.XLOOKUP(MAX(_xlfn.ANCHORARRAY(NH148)),_xlfn.ANCHORARRAY(NH148),NH$4:NJ$4,""),"")</f>
        <v/>
      </c>
      <c r="NN148" cm="1">
        <f t="array" ref="NN148:NR148">SUMIFS($J148:$GG148,$J$3:$GG$3,NN$3:NR$3)</f>
        <v>0</v>
      </c>
      <c r="NO148">
        <v>0</v>
      </c>
      <c r="NP148">
        <v>0</v>
      </c>
      <c r="NQ148">
        <v>0</v>
      </c>
      <c r="NR148">
        <v>0</v>
      </c>
      <c r="NS148" cm="1">
        <f t="array" ref="NS148">IFERROR(MAX((_xlfn.ANCHORARRAY(NN148)-AVERAGE(_xlfn.ANCHORARRAY(NN148)))/ AVERAGE(_xlfn.ANCHORARRAY(NN148))),0)</f>
        <v>0</v>
      </c>
      <c r="NT148" t="str" cm="1">
        <f t="array" ref="NT148">IF(AND(NS148&gt;$NT$1,NL148&lt;&gt;""),_xlfn.XLOOKUP(MAX(_xlfn.ANCHORARRAY(NN148)),_xlfn.ANCHORARRAY(NN148),NN$4:NR$4,""),"")</f>
        <v/>
      </c>
      <c r="NV148" cm="1">
        <f t="array" ref="NV148:OE148">SUMIFS($J148:$GG148,$J$2:$GG$2,NV$3:OE$3)</f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 cm="1">
        <f t="array" ref="OF148">IFERROR(MAX((_xlfn.ANCHORARRAY(NV148)-AVERAGE(_xlfn.ANCHORARRAY(NV148)))/ AVERAGE(_xlfn.ANCHORARRAY(NV148))),0)</f>
        <v>0</v>
      </c>
      <c r="OG148" t="str" cm="1">
        <f t="array" ref="OG148">IF(OF148&gt;$OG$1,_xlfn.XLOOKUP(MAX(_xlfn.ANCHORARRAY(NV148)),_xlfn.ANCHORARRAY(NV148),NV$4:OE$4,""),"")</f>
        <v/>
      </c>
      <c r="OI148" t="str">
        <f t="shared" si="26"/>
        <v/>
      </c>
    </row>
    <row r="149" spans="2:399" x14ac:dyDescent="0.3">
      <c r="B149" s="2" t="str">
        <f t="shared" si="20"/>
        <v>CORE</v>
      </c>
      <c r="C149" s="2" t="str">
        <f t="shared" si="21"/>
        <v>CORE</v>
      </c>
      <c r="D149" s="2" t="str">
        <f t="shared" si="22"/>
        <v>CORE</v>
      </c>
      <c r="E149" s="2" t="str">
        <f t="shared" si="23"/>
        <v/>
      </c>
      <c r="F149" s="2">
        <f t="shared" si="24"/>
        <v>0</v>
      </c>
      <c r="G149" s="2">
        <f t="shared" si="25"/>
        <v>0</v>
      </c>
      <c r="H149" s="2">
        <f t="shared" si="18"/>
        <v>0</v>
      </c>
      <c r="I149" s="2">
        <f t="shared" si="19"/>
        <v>0</v>
      </c>
      <c r="NH149" cm="1">
        <f t="array" ref="NH149:NJ149">SUMIFS($J149:$GG149,$J$1:$GG$1,NH$3:NJ$3)</f>
        <v>0</v>
      </c>
      <c r="NI149">
        <v>0</v>
      </c>
      <c r="NJ149">
        <v>0</v>
      </c>
      <c r="NK149" cm="1">
        <f t="array" ref="NK149">IFERROR(MAX((_xlfn.ANCHORARRAY(NH149)-AVERAGE(_xlfn.ANCHORARRAY(NH149)))/ AVERAGE(_xlfn.ANCHORARRAY(NH149))),0)</f>
        <v>0</v>
      </c>
      <c r="NL149" t="str" cm="1">
        <f t="array" ref="NL149">IF(NK149&gt;$NL$1,_xlfn.XLOOKUP(MAX(_xlfn.ANCHORARRAY(NH149)),_xlfn.ANCHORARRAY(NH149),NH$4:NJ$4,""),"")</f>
        <v/>
      </c>
      <c r="NN149" cm="1">
        <f t="array" ref="NN149:NR149">SUMIFS($J149:$GG149,$J$3:$GG$3,NN$3:NR$3)</f>
        <v>0</v>
      </c>
      <c r="NO149">
        <v>0</v>
      </c>
      <c r="NP149">
        <v>0</v>
      </c>
      <c r="NQ149">
        <v>0</v>
      </c>
      <c r="NR149">
        <v>0</v>
      </c>
      <c r="NS149" cm="1">
        <f t="array" ref="NS149">IFERROR(MAX((_xlfn.ANCHORARRAY(NN149)-AVERAGE(_xlfn.ANCHORARRAY(NN149)))/ AVERAGE(_xlfn.ANCHORARRAY(NN149))),0)</f>
        <v>0</v>
      </c>
      <c r="NT149" t="str" cm="1">
        <f t="array" ref="NT149">IF(AND(NS149&gt;$NT$1,NL149&lt;&gt;""),_xlfn.XLOOKUP(MAX(_xlfn.ANCHORARRAY(NN149)),_xlfn.ANCHORARRAY(NN149),NN$4:NR$4,""),"")</f>
        <v/>
      </c>
      <c r="NV149" cm="1">
        <f t="array" ref="NV149:OE149">SUMIFS($J149:$GG149,$J$2:$GG$2,NV$3:OE$3)</f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 cm="1">
        <f t="array" ref="OF149">IFERROR(MAX((_xlfn.ANCHORARRAY(NV149)-AVERAGE(_xlfn.ANCHORARRAY(NV149)))/ AVERAGE(_xlfn.ANCHORARRAY(NV149))),0)</f>
        <v>0</v>
      </c>
      <c r="OG149" t="str" cm="1">
        <f t="array" ref="OG149">IF(OF149&gt;$OG$1,_xlfn.XLOOKUP(MAX(_xlfn.ANCHORARRAY(NV149)),_xlfn.ANCHORARRAY(NV149),NV$4:OE$4,""),"")</f>
        <v/>
      </c>
      <c r="OI149" t="str">
        <f t="shared" si="26"/>
        <v/>
      </c>
    </row>
    <row r="150" spans="2:399" x14ac:dyDescent="0.3">
      <c r="B150" s="2" t="str">
        <f t="shared" si="20"/>
        <v>CORE</v>
      </c>
      <c r="C150" s="2" t="str">
        <f t="shared" si="21"/>
        <v>CORE</v>
      </c>
      <c r="D150" s="2" t="str">
        <f t="shared" si="22"/>
        <v>CORE</v>
      </c>
      <c r="E150" s="2" t="str">
        <f t="shared" si="23"/>
        <v/>
      </c>
      <c r="F150" s="2">
        <f t="shared" si="24"/>
        <v>0</v>
      </c>
      <c r="G150" s="2">
        <f t="shared" si="25"/>
        <v>0</v>
      </c>
      <c r="H150" s="2">
        <f t="shared" si="18"/>
        <v>0</v>
      </c>
      <c r="I150" s="2">
        <f t="shared" si="19"/>
        <v>0</v>
      </c>
      <c r="NH150" cm="1">
        <f t="array" ref="NH150:NJ150">SUMIFS($J150:$GG150,$J$1:$GG$1,NH$3:NJ$3)</f>
        <v>0</v>
      </c>
      <c r="NI150">
        <v>0</v>
      </c>
      <c r="NJ150">
        <v>0</v>
      </c>
      <c r="NK150" cm="1">
        <f t="array" ref="NK150">IFERROR(MAX((_xlfn.ANCHORARRAY(NH150)-AVERAGE(_xlfn.ANCHORARRAY(NH150)))/ AVERAGE(_xlfn.ANCHORARRAY(NH150))),0)</f>
        <v>0</v>
      </c>
      <c r="NL150" t="str" cm="1">
        <f t="array" ref="NL150">IF(NK150&gt;$NL$1,_xlfn.XLOOKUP(MAX(_xlfn.ANCHORARRAY(NH150)),_xlfn.ANCHORARRAY(NH150),NH$4:NJ$4,""),"")</f>
        <v/>
      </c>
      <c r="NN150" cm="1">
        <f t="array" ref="NN150:NR150">SUMIFS($J150:$GG150,$J$3:$GG$3,NN$3:NR$3)</f>
        <v>0</v>
      </c>
      <c r="NO150">
        <v>0</v>
      </c>
      <c r="NP150">
        <v>0</v>
      </c>
      <c r="NQ150">
        <v>0</v>
      </c>
      <c r="NR150">
        <v>0</v>
      </c>
      <c r="NS150" cm="1">
        <f t="array" ref="NS150">IFERROR(MAX((_xlfn.ANCHORARRAY(NN150)-AVERAGE(_xlfn.ANCHORARRAY(NN150)))/ AVERAGE(_xlfn.ANCHORARRAY(NN150))),0)</f>
        <v>0</v>
      </c>
      <c r="NT150" t="str" cm="1">
        <f t="array" ref="NT150">IF(AND(NS150&gt;$NT$1,NL150&lt;&gt;""),_xlfn.XLOOKUP(MAX(_xlfn.ANCHORARRAY(NN150)),_xlfn.ANCHORARRAY(NN150),NN$4:NR$4,""),"")</f>
        <v/>
      </c>
      <c r="NV150" cm="1">
        <f t="array" ref="NV150:OE150">SUMIFS($J150:$GG150,$J$2:$GG$2,NV$3:OE$3)</f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 cm="1">
        <f t="array" ref="OF150">IFERROR(MAX((_xlfn.ANCHORARRAY(NV150)-AVERAGE(_xlfn.ANCHORARRAY(NV150)))/ AVERAGE(_xlfn.ANCHORARRAY(NV150))),0)</f>
        <v>0</v>
      </c>
      <c r="OG150" t="str" cm="1">
        <f t="array" ref="OG150">IF(OF150&gt;$OG$1,_xlfn.XLOOKUP(MAX(_xlfn.ANCHORARRAY(NV150)),_xlfn.ANCHORARRAY(NV150),NV$4:OE$4,""),"")</f>
        <v/>
      </c>
      <c r="OI150" t="str">
        <f t="shared" si="26"/>
        <v/>
      </c>
    </row>
    <row r="151" spans="2:399" x14ac:dyDescent="0.3">
      <c r="B151" s="2" t="str">
        <f t="shared" si="20"/>
        <v>CORE</v>
      </c>
      <c r="C151" s="2" t="str">
        <f t="shared" si="21"/>
        <v>CORE</v>
      </c>
      <c r="D151" s="2" t="str">
        <f t="shared" si="22"/>
        <v>CORE</v>
      </c>
      <c r="E151" s="2" t="str">
        <f t="shared" si="23"/>
        <v/>
      </c>
      <c r="F151" s="2">
        <f t="shared" si="24"/>
        <v>0</v>
      </c>
      <c r="G151" s="2">
        <f t="shared" si="25"/>
        <v>0</v>
      </c>
      <c r="H151" s="2">
        <f t="shared" si="18"/>
        <v>0</v>
      </c>
      <c r="I151" s="2">
        <f t="shared" si="19"/>
        <v>0</v>
      </c>
      <c r="NH151" cm="1">
        <f t="array" ref="NH151:NJ151">SUMIFS($J151:$GG151,$J$1:$GG$1,NH$3:NJ$3)</f>
        <v>0</v>
      </c>
      <c r="NI151">
        <v>0</v>
      </c>
      <c r="NJ151">
        <v>0</v>
      </c>
      <c r="NK151" cm="1">
        <f t="array" ref="NK151">IFERROR(MAX((_xlfn.ANCHORARRAY(NH151)-AVERAGE(_xlfn.ANCHORARRAY(NH151)))/ AVERAGE(_xlfn.ANCHORARRAY(NH151))),0)</f>
        <v>0</v>
      </c>
      <c r="NL151" t="str" cm="1">
        <f t="array" ref="NL151">IF(NK151&gt;$NL$1,_xlfn.XLOOKUP(MAX(_xlfn.ANCHORARRAY(NH151)),_xlfn.ANCHORARRAY(NH151),NH$4:NJ$4,""),"")</f>
        <v/>
      </c>
      <c r="NN151" cm="1">
        <f t="array" ref="NN151:NR151">SUMIFS($J151:$GG151,$J$3:$GG$3,NN$3:NR$3)</f>
        <v>0</v>
      </c>
      <c r="NO151">
        <v>0</v>
      </c>
      <c r="NP151">
        <v>0</v>
      </c>
      <c r="NQ151">
        <v>0</v>
      </c>
      <c r="NR151">
        <v>0</v>
      </c>
      <c r="NS151" cm="1">
        <f t="array" ref="NS151">IFERROR(MAX((_xlfn.ANCHORARRAY(NN151)-AVERAGE(_xlfn.ANCHORARRAY(NN151)))/ AVERAGE(_xlfn.ANCHORARRAY(NN151))),0)</f>
        <v>0</v>
      </c>
      <c r="NT151" t="str" cm="1">
        <f t="array" ref="NT151">IF(AND(NS151&gt;$NT$1,NL151&lt;&gt;""),_xlfn.XLOOKUP(MAX(_xlfn.ANCHORARRAY(NN151)),_xlfn.ANCHORARRAY(NN151),NN$4:NR$4,""),"")</f>
        <v/>
      </c>
      <c r="NV151" cm="1">
        <f t="array" ref="NV151:OE151">SUMIFS($J151:$GG151,$J$2:$GG$2,NV$3:OE$3)</f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 cm="1">
        <f t="array" ref="OF151">IFERROR(MAX((_xlfn.ANCHORARRAY(NV151)-AVERAGE(_xlfn.ANCHORARRAY(NV151)))/ AVERAGE(_xlfn.ANCHORARRAY(NV151))),0)</f>
        <v>0</v>
      </c>
      <c r="OG151" t="str" cm="1">
        <f t="array" ref="OG151">IF(OF151&gt;$OG$1,_xlfn.XLOOKUP(MAX(_xlfn.ANCHORARRAY(NV151)),_xlfn.ANCHORARRAY(NV151),NV$4:OE$4,""),"")</f>
        <v/>
      </c>
      <c r="OI151" t="str">
        <f t="shared" si="26"/>
        <v/>
      </c>
    </row>
    <row r="152" spans="2:399" x14ac:dyDescent="0.3">
      <c r="B152" s="2" t="str">
        <f t="shared" si="20"/>
        <v>CORE</v>
      </c>
      <c r="C152" s="2" t="str">
        <f t="shared" si="21"/>
        <v>CORE</v>
      </c>
      <c r="D152" s="2" t="str">
        <f t="shared" si="22"/>
        <v>CORE</v>
      </c>
      <c r="E152" s="2" t="str">
        <f t="shared" si="23"/>
        <v/>
      </c>
      <c r="F152" s="2">
        <f t="shared" si="24"/>
        <v>0</v>
      </c>
      <c r="G152" s="2">
        <f t="shared" si="25"/>
        <v>0</v>
      </c>
      <c r="H152" s="2">
        <f t="shared" si="18"/>
        <v>0</v>
      </c>
      <c r="I152" s="2">
        <f t="shared" si="19"/>
        <v>0</v>
      </c>
      <c r="NH152" cm="1">
        <f t="array" ref="NH152:NJ152">SUMIFS($J152:$GG152,$J$1:$GG$1,NH$3:NJ$3)</f>
        <v>0</v>
      </c>
      <c r="NI152">
        <v>0</v>
      </c>
      <c r="NJ152">
        <v>0</v>
      </c>
      <c r="NK152" cm="1">
        <f t="array" ref="NK152">IFERROR(MAX((_xlfn.ANCHORARRAY(NH152)-AVERAGE(_xlfn.ANCHORARRAY(NH152)))/ AVERAGE(_xlfn.ANCHORARRAY(NH152))),0)</f>
        <v>0</v>
      </c>
      <c r="NL152" t="str" cm="1">
        <f t="array" ref="NL152">IF(NK152&gt;$NL$1,_xlfn.XLOOKUP(MAX(_xlfn.ANCHORARRAY(NH152)),_xlfn.ANCHORARRAY(NH152),NH$4:NJ$4,""),"")</f>
        <v/>
      </c>
      <c r="NN152" cm="1">
        <f t="array" ref="NN152:NR152">SUMIFS($J152:$GG152,$J$3:$GG$3,NN$3:NR$3)</f>
        <v>0</v>
      </c>
      <c r="NO152">
        <v>0</v>
      </c>
      <c r="NP152">
        <v>0</v>
      </c>
      <c r="NQ152">
        <v>0</v>
      </c>
      <c r="NR152">
        <v>0</v>
      </c>
      <c r="NS152" cm="1">
        <f t="array" ref="NS152">IFERROR(MAX((_xlfn.ANCHORARRAY(NN152)-AVERAGE(_xlfn.ANCHORARRAY(NN152)))/ AVERAGE(_xlfn.ANCHORARRAY(NN152))),0)</f>
        <v>0</v>
      </c>
      <c r="NT152" t="str" cm="1">
        <f t="array" ref="NT152">IF(AND(NS152&gt;$NT$1,NL152&lt;&gt;""),_xlfn.XLOOKUP(MAX(_xlfn.ANCHORARRAY(NN152)),_xlfn.ANCHORARRAY(NN152),NN$4:NR$4,""),"")</f>
        <v/>
      </c>
      <c r="NV152" cm="1">
        <f t="array" ref="NV152:OE152">SUMIFS($J152:$GG152,$J$2:$GG$2,NV$3:OE$3)</f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 cm="1">
        <f t="array" ref="OF152">IFERROR(MAX((_xlfn.ANCHORARRAY(NV152)-AVERAGE(_xlfn.ANCHORARRAY(NV152)))/ AVERAGE(_xlfn.ANCHORARRAY(NV152))),0)</f>
        <v>0</v>
      </c>
      <c r="OG152" t="str" cm="1">
        <f t="array" ref="OG152">IF(OF152&gt;$OG$1,_xlfn.XLOOKUP(MAX(_xlfn.ANCHORARRAY(NV152)),_xlfn.ANCHORARRAY(NV152),NV$4:OE$4,""),"")</f>
        <v/>
      </c>
      <c r="OI152" t="str">
        <f t="shared" si="26"/>
        <v/>
      </c>
    </row>
    <row r="153" spans="2:399" x14ac:dyDescent="0.3">
      <c r="B153" s="2" t="str">
        <f t="shared" si="20"/>
        <v>CORE</v>
      </c>
      <c r="C153" s="2" t="str">
        <f t="shared" si="21"/>
        <v>CORE</v>
      </c>
      <c r="D153" s="2" t="str">
        <f t="shared" si="22"/>
        <v>CORE</v>
      </c>
      <c r="E153" s="2" t="str">
        <f t="shared" si="23"/>
        <v/>
      </c>
      <c r="F153" s="2">
        <f t="shared" si="24"/>
        <v>0</v>
      </c>
      <c r="G153" s="2">
        <f t="shared" si="25"/>
        <v>0</v>
      </c>
      <c r="H153" s="2">
        <f t="shared" si="18"/>
        <v>0</v>
      </c>
      <c r="I153" s="2">
        <f t="shared" si="19"/>
        <v>0</v>
      </c>
      <c r="NH153" cm="1">
        <f t="array" ref="NH153:NJ153">SUMIFS($J153:$GG153,$J$1:$GG$1,NH$3:NJ$3)</f>
        <v>0</v>
      </c>
      <c r="NI153">
        <v>0</v>
      </c>
      <c r="NJ153">
        <v>0</v>
      </c>
      <c r="NK153" cm="1">
        <f t="array" ref="NK153">IFERROR(MAX((_xlfn.ANCHORARRAY(NH153)-AVERAGE(_xlfn.ANCHORARRAY(NH153)))/ AVERAGE(_xlfn.ANCHORARRAY(NH153))),0)</f>
        <v>0</v>
      </c>
      <c r="NL153" t="str" cm="1">
        <f t="array" ref="NL153">IF(NK153&gt;$NL$1,_xlfn.XLOOKUP(MAX(_xlfn.ANCHORARRAY(NH153)),_xlfn.ANCHORARRAY(NH153),NH$4:NJ$4,""),"")</f>
        <v/>
      </c>
      <c r="NN153" cm="1">
        <f t="array" ref="NN153:NR153">SUMIFS($J153:$GG153,$J$3:$GG$3,NN$3:NR$3)</f>
        <v>0</v>
      </c>
      <c r="NO153">
        <v>0</v>
      </c>
      <c r="NP153">
        <v>0</v>
      </c>
      <c r="NQ153">
        <v>0</v>
      </c>
      <c r="NR153">
        <v>0</v>
      </c>
      <c r="NS153" cm="1">
        <f t="array" ref="NS153">IFERROR(MAX((_xlfn.ANCHORARRAY(NN153)-AVERAGE(_xlfn.ANCHORARRAY(NN153)))/ AVERAGE(_xlfn.ANCHORARRAY(NN153))),0)</f>
        <v>0</v>
      </c>
      <c r="NT153" t="str" cm="1">
        <f t="array" ref="NT153">IF(AND(NS153&gt;$NT$1,NL153&lt;&gt;""),_xlfn.XLOOKUP(MAX(_xlfn.ANCHORARRAY(NN153)),_xlfn.ANCHORARRAY(NN153),NN$4:NR$4,""),"")</f>
        <v/>
      </c>
      <c r="NV153" cm="1">
        <f t="array" ref="NV153:OE153">SUMIFS($J153:$GG153,$J$2:$GG$2,NV$3:OE$3)</f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 cm="1">
        <f t="array" ref="OF153">IFERROR(MAX((_xlfn.ANCHORARRAY(NV153)-AVERAGE(_xlfn.ANCHORARRAY(NV153)))/ AVERAGE(_xlfn.ANCHORARRAY(NV153))),0)</f>
        <v>0</v>
      </c>
      <c r="OG153" t="str" cm="1">
        <f t="array" ref="OG153">IF(OF153&gt;$OG$1,_xlfn.XLOOKUP(MAX(_xlfn.ANCHORARRAY(NV153)),_xlfn.ANCHORARRAY(NV153),NV$4:OE$4,""),"")</f>
        <v/>
      </c>
      <c r="OI153" t="str">
        <f t="shared" si="26"/>
        <v/>
      </c>
    </row>
    <row r="154" spans="2:399" x14ac:dyDescent="0.3">
      <c r="B154" s="2" t="str">
        <f t="shared" si="20"/>
        <v>CORE</v>
      </c>
      <c r="C154" s="2" t="str">
        <f t="shared" si="21"/>
        <v>CORE</v>
      </c>
      <c r="D154" s="2" t="str">
        <f t="shared" si="22"/>
        <v>CORE</v>
      </c>
      <c r="E154" s="2" t="str">
        <f t="shared" si="23"/>
        <v/>
      </c>
      <c r="F154" s="2">
        <f t="shared" si="24"/>
        <v>0</v>
      </c>
      <c r="G154" s="2">
        <f t="shared" si="25"/>
        <v>0</v>
      </c>
      <c r="H154" s="2">
        <f t="shared" si="18"/>
        <v>0</v>
      </c>
      <c r="I154" s="2">
        <f t="shared" si="19"/>
        <v>0</v>
      </c>
      <c r="NH154" cm="1">
        <f t="array" ref="NH154:NJ154">SUMIFS($J154:$GG154,$J$1:$GG$1,NH$3:NJ$3)</f>
        <v>0</v>
      </c>
      <c r="NI154">
        <v>0</v>
      </c>
      <c r="NJ154">
        <v>0</v>
      </c>
      <c r="NK154" cm="1">
        <f t="array" ref="NK154">IFERROR(MAX((_xlfn.ANCHORARRAY(NH154)-AVERAGE(_xlfn.ANCHORARRAY(NH154)))/ AVERAGE(_xlfn.ANCHORARRAY(NH154))),0)</f>
        <v>0</v>
      </c>
      <c r="NL154" t="str" cm="1">
        <f t="array" ref="NL154">IF(NK154&gt;$NL$1,_xlfn.XLOOKUP(MAX(_xlfn.ANCHORARRAY(NH154)),_xlfn.ANCHORARRAY(NH154),NH$4:NJ$4,""),"")</f>
        <v/>
      </c>
      <c r="NN154" cm="1">
        <f t="array" ref="NN154:NR154">SUMIFS($J154:$GG154,$J$3:$GG$3,NN$3:NR$3)</f>
        <v>0</v>
      </c>
      <c r="NO154">
        <v>0</v>
      </c>
      <c r="NP154">
        <v>0</v>
      </c>
      <c r="NQ154">
        <v>0</v>
      </c>
      <c r="NR154">
        <v>0</v>
      </c>
      <c r="NS154" cm="1">
        <f t="array" ref="NS154">IFERROR(MAX((_xlfn.ANCHORARRAY(NN154)-AVERAGE(_xlfn.ANCHORARRAY(NN154)))/ AVERAGE(_xlfn.ANCHORARRAY(NN154))),0)</f>
        <v>0</v>
      </c>
      <c r="NT154" t="str" cm="1">
        <f t="array" ref="NT154">IF(AND(NS154&gt;$NT$1,NL154&lt;&gt;""),_xlfn.XLOOKUP(MAX(_xlfn.ANCHORARRAY(NN154)),_xlfn.ANCHORARRAY(NN154),NN$4:NR$4,""),"")</f>
        <v/>
      </c>
      <c r="NV154" cm="1">
        <f t="array" ref="NV154:OE154">SUMIFS($J154:$GG154,$J$2:$GG$2,NV$3:OE$3)</f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 cm="1">
        <f t="array" ref="OF154">IFERROR(MAX((_xlfn.ANCHORARRAY(NV154)-AVERAGE(_xlfn.ANCHORARRAY(NV154)))/ AVERAGE(_xlfn.ANCHORARRAY(NV154))),0)</f>
        <v>0</v>
      </c>
      <c r="OG154" t="str" cm="1">
        <f t="array" ref="OG154">IF(OF154&gt;$OG$1,_xlfn.XLOOKUP(MAX(_xlfn.ANCHORARRAY(NV154)),_xlfn.ANCHORARRAY(NV154),NV$4:OE$4,""),"")</f>
        <v/>
      </c>
      <c r="OI154" t="str">
        <f t="shared" si="26"/>
        <v/>
      </c>
    </row>
    <row r="155" spans="2:399" x14ac:dyDescent="0.3">
      <c r="B155" s="2" t="str">
        <f t="shared" si="20"/>
        <v>CORE</v>
      </c>
      <c r="C155" s="2" t="str">
        <f t="shared" si="21"/>
        <v>CORE</v>
      </c>
      <c r="D155" s="2" t="str">
        <f t="shared" si="22"/>
        <v>CORE</v>
      </c>
      <c r="E155" s="2" t="str">
        <f t="shared" si="23"/>
        <v/>
      </c>
      <c r="F155" s="2">
        <f t="shared" si="24"/>
        <v>0</v>
      </c>
      <c r="G155" s="2">
        <f t="shared" si="25"/>
        <v>0</v>
      </c>
      <c r="H155" s="2">
        <f t="shared" si="18"/>
        <v>0</v>
      </c>
      <c r="I155" s="2">
        <f t="shared" si="19"/>
        <v>0</v>
      </c>
      <c r="NH155" cm="1">
        <f t="array" ref="NH155:NJ155">SUMIFS($J155:$GG155,$J$1:$GG$1,NH$3:NJ$3)</f>
        <v>0</v>
      </c>
      <c r="NI155">
        <v>0</v>
      </c>
      <c r="NJ155">
        <v>0</v>
      </c>
      <c r="NK155" cm="1">
        <f t="array" ref="NK155">IFERROR(MAX((_xlfn.ANCHORARRAY(NH155)-AVERAGE(_xlfn.ANCHORARRAY(NH155)))/ AVERAGE(_xlfn.ANCHORARRAY(NH155))),0)</f>
        <v>0</v>
      </c>
      <c r="NL155" t="str" cm="1">
        <f t="array" ref="NL155">IF(NK155&gt;$NL$1,_xlfn.XLOOKUP(MAX(_xlfn.ANCHORARRAY(NH155)),_xlfn.ANCHORARRAY(NH155),NH$4:NJ$4,""),"")</f>
        <v/>
      </c>
      <c r="NN155" cm="1">
        <f t="array" ref="NN155:NR155">SUMIFS($J155:$GG155,$J$3:$GG$3,NN$3:NR$3)</f>
        <v>0</v>
      </c>
      <c r="NO155">
        <v>0</v>
      </c>
      <c r="NP155">
        <v>0</v>
      </c>
      <c r="NQ155">
        <v>0</v>
      </c>
      <c r="NR155">
        <v>0</v>
      </c>
      <c r="NS155" cm="1">
        <f t="array" ref="NS155">IFERROR(MAX((_xlfn.ANCHORARRAY(NN155)-AVERAGE(_xlfn.ANCHORARRAY(NN155)))/ AVERAGE(_xlfn.ANCHORARRAY(NN155))),0)</f>
        <v>0</v>
      </c>
      <c r="NT155" t="str" cm="1">
        <f t="array" ref="NT155">IF(AND(NS155&gt;$NT$1,NL155&lt;&gt;""),_xlfn.XLOOKUP(MAX(_xlfn.ANCHORARRAY(NN155)),_xlfn.ANCHORARRAY(NN155),NN$4:NR$4,""),"")</f>
        <v/>
      </c>
      <c r="NV155" cm="1">
        <f t="array" ref="NV155:OE155">SUMIFS($J155:$GG155,$J$2:$GG$2,NV$3:OE$3)</f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 cm="1">
        <f t="array" ref="OF155">IFERROR(MAX((_xlfn.ANCHORARRAY(NV155)-AVERAGE(_xlfn.ANCHORARRAY(NV155)))/ AVERAGE(_xlfn.ANCHORARRAY(NV155))),0)</f>
        <v>0</v>
      </c>
      <c r="OG155" t="str" cm="1">
        <f t="array" ref="OG155">IF(OF155&gt;$OG$1,_xlfn.XLOOKUP(MAX(_xlfn.ANCHORARRAY(NV155)),_xlfn.ANCHORARRAY(NV155),NV$4:OE$4,""),"")</f>
        <v/>
      </c>
      <c r="OI155" t="str">
        <f t="shared" si="26"/>
        <v/>
      </c>
    </row>
    <row r="156" spans="2:399" x14ac:dyDescent="0.3">
      <c r="B156" s="2" t="str">
        <f t="shared" si="20"/>
        <v>CORE</v>
      </c>
      <c r="C156" s="2" t="str">
        <f t="shared" si="21"/>
        <v>CORE</v>
      </c>
      <c r="D156" s="2" t="str">
        <f t="shared" si="22"/>
        <v>CORE</v>
      </c>
      <c r="E156" s="2" t="str">
        <f t="shared" si="23"/>
        <v/>
      </c>
      <c r="F156" s="2">
        <f t="shared" si="24"/>
        <v>0</v>
      </c>
      <c r="G156" s="2">
        <f t="shared" si="25"/>
        <v>0</v>
      </c>
      <c r="H156" s="2">
        <f t="shared" si="18"/>
        <v>0</v>
      </c>
      <c r="I156" s="2">
        <f t="shared" si="19"/>
        <v>0</v>
      </c>
      <c r="NH156" cm="1">
        <f t="array" ref="NH156:NJ156">SUMIFS($J156:$GG156,$J$1:$GG$1,NH$3:NJ$3)</f>
        <v>0</v>
      </c>
      <c r="NI156">
        <v>0</v>
      </c>
      <c r="NJ156">
        <v>0</v>
      </c>
      <c r="NK156" cm="1">
        <f t="array" ref="NK156">IFERROR(MAX((_xlfn.ANCHORARRAY(NH156)-AVERAGE(_xlfn.ANCHORARRAY(NH156)))/ AVERAGE(_xlfn.ANCHORARRAY(NH156))),0)</f>
        <v>0</v>
      </c>
      <c r="NL156" t="str" cm="1">
        <f t="array" ref="NL156">IF(NK156&gt;$NL$1,_xlfn.XLOOKUP(MAX(_xlfn.ANCHORARRAY(NH156)),_xlfn.ANCHORARRAY(NH156),NH$4:NJ$4,""),"")</f>
        <v/>
      </c>
      <c r="NN156" cm="1">
        <f t="array" ref="NN156:NR156">SUMIFS($J156:$GG156,$J$3:$GG$3,NN$3:NR$3)</f>
        <v>0</v>
      </c>
      <c r="NO156">
        <v>0</v>
      </c>
      <c r="NP156">
        <v>0</v>
      </c>
      <c r="NQ156">
        <v>0</v>
      </c>
      <c r="NR156">
        <v>0</v>
      </c>
      <c r="NS156" cm="1">
        <f t="array" ref="NS156">IFERROR(MAX((_xlfn.ANCHORARRAY(NN156)-AVERAGE(_xlfn.ANCHORARRAY(NN156)))/ AVERAGE(_xlfn.ANCHORARRAY(NN156))),0)</f>
        <v>0</v>
      </c>
      <c r="NT156" t="str" cm="1">
        <f t="array" ref="NT156">IF(AND(NS156&gt;$NT$1,NL156&lt;&gt;""),_xlfn.XLOOKUP(MAX(_xlfn.ANCHORARRAY(NN156)),_xlfn.ANCHORARRAY(NN156),NN$4:NR$4,""),"")</f>
        <v/>
      </c>
      <c r="NV156" cm="1">
        <f t="array" ref="NV156:OE156">SUMIFS($J156:$GG156,$J$2:$GG$2,NV$3:OE$3)</f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 cm="1">
        <f t="array" ref="OF156">IFERROR(MAX((_xlfn.ANCHORARRAY(NV156)-AVERAGE(_xlfn.ANCHORARRAY(NV156)))/ AVERAGE(_xlfn.ANCHORARRAY(NV156))),0)</f>
        <v>0</v>
      </c>
      <c r="OG156" t="str" cm="1">
        <f t="array" ref="OG156">IF(OF156&gt;$OG$1,_xlfn.XLOOKUP(MAX(_xlfn.ANCHORARRAY(NV156)),_xlfn.ANCHORARRAY(NV156),NV$4:OE$4,""),"")</f>
        <v/>
      </c>
      <c r="OI156" t="str">
        <f t="shared" si="26"/>
        <v/>
      </c>
    </row>
    <row r="157" spans="2:399" x14ac:dyDescent="0.3">
      <c r="B157" s="2" t="str">
        <f t="shared" si="20"/>
        <v>CORE</v>
      </c>
      <c r="C157" s="2" t="str">
        <f t="shared" si="21"/>
        <v>CORE</v>
      </c>
      <c r="D157" s="2" t="str">
        <f t="shared" si="22"/>
        <v>CORE</v>
      </c>
      <c r="E157" s="2" t="str">
        <f t="shared" si="23"/>
        <v/>
      </c>
      <c r="F157" s="2">
        <f t="shared" si="24"/>
        <v>0</v>
      </c>
      <c r="G157" s="2">
        <f t="shared" si="25"/>
        <v>0</v>
      </c>
      <c r="H157" s="2">
        <f t="shared" si="18"/>
        <v>0</v>
      </c>
      <c r="I157" s="2">
        <f t="shared" si="19"/>
        <v>0</v>
      </c>
      <c r="NH157" cm="1">
        <f t="array" ref="NH157:NJ157">SUMIFS($J157:$GG157,$J$1:$GG$1,NH$3:NJ$3)</f>
        <v>0</v>
      </c>
      <c r="NI157">
        <v>0</v>
      </c>
      <c r="NJ157">
        <v>0</v>
      </c>
      <c r="NK157" cm="1">
        <f t="array" ref="NK157">IFERROR(MAX((_xlfn.ANCHORARRAY(NH157)-AVERAGE(_xlfn.ANCHORARRAY(NH157)))/ AVERAGE(_xlfn.ANCHORARRAY(NH157))),0)</f>
        <v>0</v>
      </c>
      <c r="NL157" t="str" cm="1">
        <f t="array" ref="NL157">IF(NK157&gt;$NL$1,_xlfn.XLOOKUP(MAX(_xlfn.ANCHORARRAY(NH157)),_xlfn.ANCHORARRAY(NH157),NH$4:NJ$4,""),"")</f>
        <v/>
      </c>
      <c r="NN157" cm="1">
        <f t="array" ref="NN157:NR157">SUMIFS($J157:$GG157,$J$3:$GG$3,NN$3:NR$3)</f>
        <v>0</v>
      </c>
      <c r="NO157">
        <v>0</v>
      </c>
      <c r="NP157">
        <v>0</v>
      </c>
      <c r="NQ157">
        <v>0</v>
      </c>
      <c r="NR157">
        <v>0</v>
      </c>
      <c r="NS157" cm="1">
        <f t="array" ref="NS157">IFERROR(MAX((_xlfn.ANCHORARRAY(NN157)-AVERAGE(_xlfn.ANCHORARRAY(NN157)))/ AVERAGE(_xlfn.ANCHORARRAY(NN157))),0)</f>
        <v>0</v>
      </c>
      <c r="NT157" t="str" cm="1">
        <f t="array" ref="NT157">IF(AND(NS157&gt;$NT$1,NL157&lt;&gt;""),_xlfn.XLOOKUP(MAX(_xlfn.ANCHORARRAY(NN157)),_xlfn.ANCHORARRAY(NN157),NN$4:NR$4,""),"")</f>
        <v/>
      </c>
      <c r="NV157" cm="1">
        <f t="array" ref="NV157:OE157">SUMIFS($J157:$GG157,$J$2:$GG$2,NV$3:OE$3)</f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 cm="1">
        <f t="array" ref="OF157">IFERROR(MAX((_xlfn.ANCHORARRAY(NV157)-AVERAGE(_xlfn.ANCHORARRAY(NV157)))/ AVERAGE(_xlfn.ANCHORARRAY(NV157))),0)</f>
        <v>0</v>
      </c>
      <c r="OG157" t="str" cm="1">
        <f t="array" ref="OG157">IF(OF157&gt;$OG$1,_xlfn.XLOOKUP(MAX(_xlfn.ANCHORARRAY(NV157)),_xlfn.ANCHORARRAY(NV157),NV$4:OE$4,""),"")</f>
        <v/>
      </c>
      <c r="OI157" t="str">
        <f t="shared" si="26"/>
        <v/>
      </c>
    </row>
    <row r="158" spans="2:399" x14ac:dyDescent="0.3">
      <c r="B158" s="2" t="str">
        <f t="shared" si="20"/>
        <v>CORE</v>
      </c>
      <c r="C158" s="2" t="str">
        <f t="shared" si="21"/>
        <v>CORE</v>
      </c>
      <c r="D158" s="2" t="str">
        <f t="shared" si="22"/>
        <v>CORE</v>
      </c>
      <c r="E158" s="2" t="str">
        <f t="shared" si="23"/>
        <v/>
      </c>
      <c r="F158" s="2">
        <f t="shared" ref="F158:F162" si="27">COUNTIF(GI158:NF158,G158)</f>
        <v>0</v>
      </c>
      <c r="G158" s="2">
        <f t="shared" ref="G158:G162" si="28">MAX(GI158:NF158)</f>
        <v>0</v>
      </c>
      <c r="H158" s="2">
        <f t="shared" si="18"/>
        <v>0</v>
      </c>
      <c r="I158" s="2">
        <f t="shared" si="19"/>
        <v>0</v>
      </c>
      <c r="NH158" cm="1">
        <f t="array" ref="NH158:NJ158">SUMIFS($J158:$GG158,$J$1:$GG$1,NH$3:NJ$3)</f>
        <v>0</v>
      </c>
      <c r="NI158">
        <v>0</v>
      </c>
      <c r="NJ158">
        <v>0</v>
      </c>
      <c r="NK158" cm="1">
        <f t="array" ref="NK158">IFERROR(MAX((_xlfn.ANCHORARRAY(NH158)-AVERAGE(_xlfn.ANCHORARRAY(NH158)))/ AVERAGE(_xlfn.ANCHORARRAY(NH158))),0)</f>
        <v>0</v>
      </c>
      <c r="NL158" t="str" cm="1">
        <f t="array" ref="NL158">IF(NK158&gt;$NL$1,_xlfn.XLOOKUP(MAX(_xlfn.ANCHORARRAY(NH158)),_xlfn.ANCHORARRAY(NH158),NH$4:NJ$4,""),"")</f>
        <v/>
      </c>
      <c r="NN158" cm="1">
        <f t="array" ref="NN158:NR158">SUMIFS($J158:$GG158,$J$3:$GG$3,NN$3:NR$3)</f>
        <v>0</v>
      </c>
      <c r="NO158">
        <v>0</v>
      </c>
      <c r="NP158">
        <v>0</v>
      </c>
      <c r="NQ158">
        <v>0</v>
      </c>
      <c r="NR158">
        <v>0</v>
      </c>
      <c r="NS158" cm="1">
        <f t="array" ref="NS158">IFERROR(MAX((_xlfn.ANCHORARRAY(NN158)-AVERAGE(_xlfn.ANCHORARRAY(NN158)))/ AVERAGE(_xlfn.ANCHORARRAY(NN158))),0)</f>
        <v>0</v>
      </c>
      <c r="NT158" t="str" cm="1">
        <f t="array" ref="NT158">IF(AND(NS158&gt;$NT$1,NL158&lt;&gt;""),_xlfn.XLOOKUP(MAX(_xlfn.ANCHORARRAY(NN158)),_xlfn.ANCHORARRAY(NN158),NN$4:NR$4,""),"")</f>
        <v/>
      </c>
      <c r="NV158" cm="1">
        <f t="array" ref="NV158:OE158">SUMIFS($J158:$GG158,$J$2:$GG$2,NV$3:OE$3)</f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 cm="1">
        <f t="array" ref="OF158">IFERROR(MAX((_xlfn.ANCHORARRAY(NV158)-AVERAGE(_xlfn.ANCHORARRAY(NV158)))/ AVERAGE(_xlfn.ANCHORARRAY(NV158))),0)</f>
        <v>0</v>
      </c>
      <c r="OG158" t="str" cm="1">
        <f t="array" ref="OG158">IF(OF158&gt;$OG$1,_xlfn.XLOOKUP(MAX(_xlfn.ANCHORARRAY(NV158)),_xlfn.ANCHORARRAY(NV158),NV$4:OE$4,""),"")</f>
        <v/>
      </c>
      <c r="OI158" t="str">
        <f t="shared" si="26"/>
        <v/>
      </c>
    </row>
    <row r="159" spans="2:399" x14ac:dyDescent="0.3">
      <c r="B159" s="2" t="str">
        <f t="shared" si="20"/>
        <v>CORE</v>
      </c>
      <c r="C159" s="2" t="str">
        <f t="shared" si="21"/>
        <v>CORE</v>
      </c>
      <c r="D159" s="2" t="str">
        <f t="shared" si="22"/>
        <v>CORE</v>
      </c>
      <c r="E159" s="2" t="str">
        <f t="shared" si="23"/>
        <v/>
      </c>
      <c r="F159" s="2">
        <f t="shared" si="27"/>
        <v>0</v>
      </c>
      <c r="G159" s="2">
        <f t="shared" si="28"/>
        <v>0</v>
      </c>
      <c r="H159" s="2">
        <f t="shared" si="18"/>
        <v>0</v>
      </c>
      <c r="I159" s="2">
        <f t="shared" si="19"/>
        <v>0</v>
      </c>
      <c r="NH159" cm="1">
        <f t="array" ref="NH159:NJ159">SUMIFS($J159:$GG159,$J$1:$GG$1,NH$3:NJ$3)</f>
        <v>0</v>
      </c>
      <c r="NI159">
        <v>0</v>
      </c>
      <c r="NJ159">
        <v>0</v>
      </c>
      <c r="NK159" cm="1">
        <f t="array" ref="NK159">IFERROR(MAX((_xlfn.ANCHORARRAY(NH159)-AVERAGE(_xlfn.ANCHORARRAY(NH159)))/ AVERAGE(_xlfn.ANCHORARRAY(NH159))),0)</f>
        <v>0</v>
      </c>
      <c r="NL159" t="str" cm="1">
        <f t="array" ref="NL159">IF(NK159&gt;$NL$1,_xlfn.XLOOKUP(MAX(_xlfn.ANCHORARRAY(NH159)),_xlfn.ANCHORARRAY(NH159),NH$4:NJ$4,""),"")</f>
        <v/>
      </c>
      <c r="NN159" cm="1">
        <f t="array" ref="NN159:NR159">SUMIFS($J159:$GG159,$J$3:$GG$3,NN$3:NR$3)</f>
        <v>0</v>
      </c>
      <c r="NO159">
        <v>0</v>
      </c>
      <c r="NP159">
        <v>0</v>
      </c>
      <c r="NQ159">
        <v>0</v>
      </c>
      <c r="NR159">
        <v>0</v>
      </c>
      <c r="NS159" cm="1">
        <f t="array" ref="NS159">IFERROR(MAX((_xlfn.ANCHORARRAY(NN159)-AVERAGE(_xlfn.ANCHORARRAY(NN159)))/ AVERAGE(_xlfn.ANCHORARRAY(NN159))),0)</f>
        <v>0</v>
      </c>
      <c r="NT159" t="str" cm="1">
        <f t="array" ref="NT159">IF(AND(NS159&gt;$NT$1,NL159&lt;&gt;""),_xlfn.XLOOKUP(MAX(_xlfn.ANCHORARRAY(NN159)),_xlfn.ANCHORARRAY(NN159),NN$4:NR$4,""),"")</f>
        <v/>
      </c>
      <c r="NV159" cm="1">
        <f t="array" ref="NV159:OE159">SUMIFS($J159:$GG159,$J$2:$GG$2,NV$3:OE$3)</f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 cm="1">
        <f t="array" ref="OF159">IFERROR(MAX((_xlfn.ANCHORARRAY(NV159)-AVERAGE(_xlfn.ANCHORARRAY(NV159)))/ AVERAGE(_xlfn.ANCHORARRAY(NV159))),0)</f>
        <v>0</v>
      </c>
      <c r="OG159" t="str" cm="1">
        <f t="array" ref="OG159">IF(OF159&gt;$OG$1,_xlfn.XLOOKUP(MAX(_xlfn.ANCHORARRAY(NV159)),_xlfn.ANCHORARRAY(NV159),NV$4:OE$4,""),"")</f>
        <v/>
      </c>
      <c r="OI159" t="str">
        <f t="shared" si="26"/>
        <v/>
      </c>
    </row>
    <row r="160" spans="2:399" x14ac:dyDescent="0.3">
      <c r="B160" s="2" t="str">
        <f t="shared" si="20"/>
        <v>CORE</v>
      </c>
      <c r="C160" s="2" t="str">
        <f t="shared" si="21"/>
        <v>CORE</v>
      </c>
      <c r="D160" s="2" t="str">
        <f t="shared" si="22"/>
        <v>CORE</v>
      </c>
      <c r="E160" s="2" t="str">
        <f t="shared" si="23"/>
        <v/>
      </c>
      <c r="F160" s="2">
        <f t="shared" si="27"/>
        <v>0</v>
      </c>
      <c r="G160" s="2">
        <f t="shared" si="28"/>
        <v>0</v>
      </c>
      <c r="H160" s="2">
        <f t="shared" si="18"/>
        <v>0</v>
      </c>
      <c r="I160" s="2">
        <f t="shared" si="19"/>
        <v>0</v>
      </c>
      <c r="NH160" cm="1">
        <f t="array" ref="NH160:NJ160">SUMIFS($J160:$GG160,$J$1:$GG$1,NH$3:NJ$3)</f>
        <v>0</v>
      </c>
      <c r="NI160">
        <v>0</v>
      </c>
      <c r="NJ160">
        <v>0</v>
      </c>
      <c r="NK160" cm="1">
        <f t="array" ref="NK160">IFERROR(MAX((_xlfn.ANCHORARRAY(NH160)-AVERAGE(_xlfn.ANCHORARRAY(NH160)))/ AVERAGE(_xlfn.ANCHORARRAY(NH160))),0)</f>
        <v>0</v>
      </c>
      <c r="NL160" t="str" cm="1">
        <f t="array" ref="NL160">IF(NK160&gt;$NL$1,_xlfn.XLOOKUP(MAX(_xlfn.ANCHORARRAY(NH160)),_xlfn.ANCHORARRAY(NH160),NH$4:NJ$4,""),"")</f>
        <v/>
      </c>
      <c r="NN160" cm="1">
        <f t="array" ref="NN160:NR160">SUMIFS($J160:$GG160,$J$3:$GG$3,NN$3:NR$3)</f>
        <v>0</v>
      </c>
      <c r="NO160">
        <v>0</v>
      </c>
      <c r="NP160">
        <v>0</v>
      </c>
      <c r="NQ160">
        <v>0</v>
      </c>
      <c r="NR160">
        <v>0</v>
      </c>
      <c r="NS160" cm="1">
        <f t="array" ref="NS160">IFERROR(MAX((_xlfn.ANCHORARRAY(NN160)-AVERAGE(_xlfn.ANCHORARRAY(NN160)))/ AVERAGE(_xlfn.ANCHORARRAY(NN160))),0)</f>
        <v>0</v>
      </c>
      <c r="NT160" t="str" cm="1">
        <f t="array" ref="NT160">IF(AND(NS160&gt;$NT$1,NL160&lt;&gt;""),_xlfn.XLOOKUP(MAX(_xlfn.ANCHORARRAY(NN160)),_xlfn.ANCHORARRAY(NN160),NN$4:NR$4,""),"")</f>
        <v/>
      </c>
      <c r="NV160" cm="1">
        <f t="array" ref="NV160:OE160">SUMIFS($J160:$GG160,$J$2:$GG$2,NV$3:OE$3)</f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 cm="1">
        <f t="array" ref="OF160">IFERROR(MAX((_xlfn.ANCHORARRAY(NV160)-AVERAGE(_xlfn.ANCHORARRAY(NV160)))/ AVERAGE(_xlfn.ANCHORARRAY(NV160))),0)</f>
        <v>0</v>
      </c>
      <c r="OG160" t="str" cm="1">
        <f t="array" ref="OG160">IF(OF160&gt;$OG$1,_xlfn.XLOOKUP(MAX(_xlfn.ANCHORARRAY(NV160)),_xlfn.ANCHORARRAY(NV160),NV$4:OE$4,""),"")</f>
        <v/>
      </c>
      <c r="OI160" t="str">
        <f t="shared" si="26"/>
        <v/>
      </c>
    </row>
    <row r="161" spans="2:399" x14ac:dyDescent="0.3">
      <c r="B161" s="2" t="str">
        <f t="shared" si="20"/>
        <v>CORE</v>
      </c>
      <c r="C161" s="2" t="str">
        <f t="shared" si="21"/>
        <v>CORE</v>
      </c>
      <c r="D161" s="2" t="str">
        <f t="shared" si="22"/>
        <v>CORE</v>
      </c>
      <c r="E161" s="2" t="str">
        <f t="shared" si="23"/>
        <v/>
      </c>
      <c r="F161" s="2">
        <f t="shared" si="27"/>
        <v>0</v>
      </c>
      <c r="G161" s="2">
        <f t="shared" si="28"/>
        <v>0</v>
      </c>
      <c r="H161" s="2">
        <f t="shared" si="18"/>
        <v>0</v>
      </c>
      <c r="I161" s="2">
        <f t="shared" si="19"/>
        <v>0</v>
      </c>
      <c r="NH161" cm="1">
        <f t="array" ref="NH161:NJ161">SUMIFS($J161:$GG161,$J$1:$GG$1,NH$3:NJ$3)</f>
        <v>0</v>
      </c>
      <c r="NI161">
        <v>0</v>
      </c>
      <c r="NJ161">
        <v>0</v>
      </c>
      <c r="NK161" cm="1">
        <f t="array" ref="NK161">IFERROR(MAX((_xlfn.ANCHORARRAY(NH161)-AVERAGE(_xlfn.ANCHORARRAY(NH161)))/ AVERAGE(_xlfn.ANCHORARRAY(NH161))),0)</f>
        <v>0</v>
      </c>
      <c r="NL161" t="str" cm="1">
        <f t="array" ref="NL161">IF(NK161&gt;$NL$1,_xlfn.XLOOKUP(MAX(_xlfn.ANCHORARRAY(NH161)),_xlfn.ANCHORARRAY(NH161),NH$4:NJ$4,""),"")</f>
        <v/>
      </c>
      <c r="NN161" cm="1">
        <f t="array" ref="NN161:NR161">SUMIFS($J161:$GG161,$J$3:$GG$3,NN$3:NR$3)</f>
        <v>0</v>
      </c>
      <c r="NO161">
        <v>0</v>
      </c>
      <c r="NP161">
        <v>0</v>
      </c>
      <c r="NQ161">
        <v>0</v>
      </c>
      <c r="NR161">
        <v>0</v>
      </c>
      <c r="NS161" cm="1">
        <f t="array" ref="NS161">IFERROR(MAX((_xlfn.ANCHORARRAY(NN161)-AVERAGE(_xlfn.ANCHORARRAY(NN161)))/ AVERAGE(_xlfn.ANCHORARRAY(NN161))),0)</f>
        <v>0</v>
      </c>
      <c r="NT161" t="str" cm="1">
        <f t="array" ref="NT161">IF(AND(NS161&gt;$NT$1,NL161&lt;&gt;""),_xlfn.XLOOKUP(MAX(_xlfn.ANCHORARRAY(NN161)),_xlfn.ANCHORARRAY(NN161),NN$4:NR$4,""),"")</f>
        <v/>
      </c>
      <c r="NV161" cm="1">
        <f t="array" ref="NV161:OE161">SUMIFS($J161:$GG161,$J$2:$GG$2,NV$3:OE$3)</f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 cm="1">
        <f t="array" ref="OF161">IFERROR(MAX((_xlfn.ANCHORARRAY(NV161)-AVERAGE(_xlfn.ANCHORARRAY(NV161)))/ AVERAGE(_xlfn.ANCHORARRAY(NV161))),0)</f>
        <v>0</v>
      </c>
      <c r="OG161" t="str" cm="1">
        <f t="array" ref="OG161">IF(OF161&gt;$OG$1,_xlfn.XLOOKUP(MAX(_xlfn.ANCHORARRAY(NV161)),_xlfn.ANCHORARRAY(NV161),NV$4:OE$4,""),"")</f>
        <v/>
      </c>
      <c r="OI161" t="str">
        <f t="shared" si="26"/>
        <v/>
      </c>
    </row>
    <row r="162" spans="2:399" x14ac:dyDescent="0.3">
      <c r="B162" s="2" t="str">
        <f t="shared" si="20"/>
        <v>CORE</v>
      </c>
      <c r="C162" s="2" t="str">
        <f t="shared" si="21"/>
        <v>CORE</v>
      </c>
      <c r="D162" s="2" t="str">
        <f t="shared" si="22"/>
        <v>CORE</v>
      </c>
      <c r="E162" s="2" t="str">
        <f t="shared" si="23"/>
        <v/>
      </c>
      <c r="F162" s="2">
        <f t="shared" si="27"/>
        <v>0</v>
      </c>
      <c r="G162" s="2">
        <f t="shared" si="28"/>
        <v>0</v>
      </c>
      <c r="H162" s="2">
        <f t="shared" si="18"/>
        <v>0</v>
      </c>
      <c r="I162" s="2">
        <f t="shared" si="19"/>
        <v>0</v>
      </c>
      <c r="NH162" cm="1">
        <f t="array" ref="NH162:NJ162">SUMIFS($J162:$GG162,$J$1:$GG$1,NH$3:NJ$3)</f>
        <v>0</v>
      </c>
      <c r="NI162">
        <v>0</v>
      </c>
      <c r="NJ162">
        <v>0</v>
      </c>
      <c r="NK162" cm="1">
        <f t="array" ref="NK162">IFERROR(MAX((_xlfn.ANCHORARRAY(NH162)-AVERAGE(_xlfn.ANCHORARRAY(NH162)))/ AVERAGE(_xlfn.ANCHORARRAY(NH162))),0)</f>
        <v>0</v>
      </c>
      <c r="NL162" t="str" cm="1">
        <f t="array" ref="NL162">IF(NK162&gt;$NL$1,_xlfn.XLOOKUP(MAX(_xlfn.ANCHORARRAY(NH162)),_xlfn.ANCHORARRAY(NH162),NH$4:NJ$4,""),"")</f>
        <v/>
      </c>
      <c r="NN162" cm="1">
        <f t="array" ref="NN162:NR162">SUMIFS($J162:$GG162,$J$3:$GG$3,NN$3:NR$3)</f>
        <v>0</v>
      </c>
      <c r="NO162">
        <v>0</v>
      </c>
      <c r="NP162">
        <v>0</v>
      </c>
      <c r="NQ162">
        <v>0</v>
      </c>
      <c r="NR162">
        <v>0</v>
      </c>
      <c r="NS162" cm="1">
        <f t="array" ref="NS162">IFERROR(MAX((_xlfn.ANCHORARRAY(NN162)-AVERAGE(_xlfn.ANCHORARRAY(NN162)))/ AVERAGE(_xlfn.ANCHORARRAY(NN162))),0)</f>
        <v>0</v>
      </c>
      <c r="NT162" t="str" cm="1">
        <f t="array" ref="NT162">IF(AND(NS162&gt;$NT$1,NL162&lt;&gt;""),_xlfn.XLOOKUP(MAX(_xlfn.ANCHORARRAY(NN162)),_xlfn.ANCHORARRAY(NN162),NN$4:NR$4,""),"")</f>
        <v/>
      </c>
      <c r="NV162" cm="1">
        <f t="array" ref="NV162:OE162">SUMIFS($J162:$GG162,$J$2:$GG$2,NV$3:OE$3)</f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 cm="1">
        <f t="array" ref="OF162">IFERROR(MAX((_xlfn.ANCHORARRAY(NV162)-AVERAGE(_xlfn.ANCHORARRAY(NV162)))/ AVERAGE(_xlfn.ANCHORARRAY(NV162))),0)</f>
        <v>0</v>
      </c>
      <c r="OG162" t="str" cm="1">
        <f t="array" ref="OG162">IF(OF162&gt;$OG$1,_xlfn.XLOOKUP(MAX(_xlfn.ANCHORARRAY(NV162)),_xlfn.ANCHORARRAY(NV162),NV$4:OE$4,""),"")</f>
        <v/>
      </c>
      <c r="OI162" t="str">
        <f t="shared" si="26"/>
        <v/>
      </c>
    </row>
    <row r="163" spans="2:399" x14ac:dyDescent="0.3">
      <c r="B163" s="2" t="str">
        <f t="shared" ref="B163:B177" si="29">IF(C163="NotFound",D163,C163)</f>
        <v>CORE</v>
      </c>
      <c r="C163" s="2" t="str">
        <f t="shared" ref="C163:C177" si="30">IF(H163&gt;1,"NotFound","CORE"&amp;_xlfn.XLOOKUP(MAX(J163:GG163,1),J163:GG163,$J$4:$GG$4,""))</f>
        <v>CORE</v>
      </c>
      <c r="D163" s="2" t="str">
        <f t="shared" ref="D163:D177" si="31">IF(F163&gt;1,"NotFound","CORE"&amp;_xlfn.XLOOKUP(MAX(GI163:NF163,1),GI163:NF163,$GI$4:$NF$4,""))</f>
        <v>CORE</v>
      </c>
      <c r="E163" s="2" t="str">
        <f t="shared" si="23"/>
        <v/>
      </c>
      <c r="F163" s="2">
        <f t="shared" ref="F163:F177" si="32">COUNTIF(GI163:NF163,G163)</f>
        <v>0</v>
      </c>
      <c r="G163" s="2">
        <f t="shared" ref="G163:G177" si="33">MAX(GI163:NF163)</f>
        <v>0</v>
      </c>
      <c r="H163" s="2">
        <f t="shared" ref="H163:H177" si="34">COUNTIF(J163:GG163,I163)</f>
        <v>0</v>
      </c>
      <c r="I163" s="2">
        <f t="shared" ref="I163:I177" si="35">MAX(J163:GG163)</f>
        <v>0</v>
      </c>
      <c r="NH163" cm="1">
        <f t="array" ref="NH163:NJ163">SUMIFS($J163:$GG163,$J$1:$GG$1,NH$3:NJ$3)</f>
        <v>0</v>
      </c>
      <c r="NI163">
        <v>0</v>
      </c>
      <c r="NJ163">
        <v>0</v>
      </c>
      <c r="NK163" cm="1">
        <f t="array" ref="NK163">IFERROR(MAX((_xlfn.ANCHORARRAY(NH163)-AVERAGE(_xlfn.ANCHORARRAY(NH163)))/ AVERAGE(_xlfn.ANCHORARRAY(NH163))),0)</f>
        <v>0</v>
      </c>
      <c r="NL163" t="str" cm="1">
        <f t="array" ref="NL163">IF(NK163&gt;$NL$1,_xlfn.XLOOKUP(MAX(_xlfn.ANCHORARRAY(NH163)),_xlfn.ANCHORARRAY(NH163),NH$4:NJ$4,""),"")</f>
        <v/>
      </c>
      <c r="NN163" cm="1">
        <f t="array" ref="NN163:NR163">SUMIFS($J163:$GG163,$J$3:$GG$3,NN$3:NR$3)</f>
        <v>0</v>
      </c>
      <c r="NO163">
        <v>0</v>
      </c>
      <c r="NP163">
        <v>0</v>
      </c>
      <c r="NQ163">
        <v>0</v>
      </c>
      <c r="NR163">
        <v>0</v>
      </c>
      <c r="NS163" cm="1">
        <f t="array" ref="NS163">IFERROR(MAX((_xlfn.ANCHORARRAY(NN163)-AVERAGE(_xlfn.ANCHORARRAY(NN163)))/ AVERAGE(_xlfn.ANCHORARRAY(NN163))),0)</f>
        <v>0</v>
      </c>
      <c r="NT163" t="str" cm="1">
        <f t="array" ref="NT163">IF(AND(NS163&gt;$NT$1,NL163&lt;&gt;""),_xlfn.XLOOKUP(MAX(_xlfn.ANCHORARRAY(NN163)),_xlfn.ANCHORARRAY(NN163),NN$4:NR$4,""),"")</f>
        <v/>
      </c>
      <c r="NV163" cm="1">
        <f t="array" ref="NV163:OE163">SUMIFS($J163:$GG163,$J$2:$GG$2,NV$3:OE$3)</f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 cm="1">
        <f t="array" ref="OF163">IFERROR(MAX((_xlfn.ANCHORARRAY(NV163)-AVERAGE(_xlfn.ANCHORARRAY(NV163)))/ AVERAGE(_xlfn.ANCHORARRAY(NV163))),0)</f>
        <v>0</v>
      </c>
      <c r="OG163" t="str" cm="1">
        <f t="array" ref="OG163">IF(OF163&gt;$OG$1,_xlfn.XLOOKUP(MAX(_xlfn.ANCHORARRAY(NV163)),_xlfn.ANCHORARRAY(NV163),NV$4:OE$4,""),"")</f>
        <v/>
      </c>
      <c r="OI163" t="str">
        <f t="shared" si="26"/>
        <v/>
      </c>
    </row>
    <row r="164" spans="2:399" x14ac:dyDescent="0.3">
      <c r="B164" s="2" t="str">
        <f t="shared" si="29"/>
        <v>CORE</v>
      </c>
      <c r="C164" s="2" t="str">
        <f t="shared" si="30"/>
        <v>CORE</v>
      </c>
      <c r="D164" s="2" t="str">
        <f t="shared" si="31"/>
        <v>CORE</v>
      </c>
      <c r="E164" s="2" t="str">
        <f t="shared" si="23"/>
        <v/>
      </c>
      <c r="F164" s="2">
        <f t="shared" si="32"/>
        <v>0</v>
      </c>
      <c r="G164" s="2">
        <f t="shared" si="33"/>
        <v>0</v>
      </c>
      <c r="H164" s="2">
        <f t="shared" si="34"/>
        <v>0</v>
      </c>
      <c r="I164" s="2">
        <f t="shared" si="35"/>
        <v>0</v>
      </c>
      <c r="NH164" cm="1">
        <f t="array" ref="NH164:NJ164">SUMIFS($J164:$GG164,$J$1:$GG$1,NH$3:NJ$3)</f>
        <v>0</v>
      </c>
      <c r="NI164">
        <v>0</v>
      </c>
      <c r="NJ164">
        <v>0</v>
      </c>
      <c r="NK164" cm="1">
        <f t="array" ref="NK164">IFERROR(MAX((_xlfn.ANCHORARRAY(NH164)-AVERAGE(_xlfn.ANCHORARRAY(NH164)))/ AVERAGE(_xlfn.ANCHORARRAY(NH164))),0)</f>
        <v>0</v>
      </c>
      <c r="NL164" t="str" cm="1">
        <f t="array" ref="NL164">IF(NK164&gt;$NL$1,_xlfn.XLOOKUP(MAX(_xlfn.ANCHORARRAY(NH164)),_xlfn.ANCHORARRAY(NH164),NH$4:NJ$4,""),"")</f>
        <v/>
      </c>
      <c r="NN164" cm="1">
        <f t="array" ref="NN164:NR164">SUMIFS($J164:$GG164,$J$3:$GG$3,NN$3:NR$3)</f>
        <v>0</v>
      </c>
      <c r="NO164">
        <v>0</v>
      </c>
      <c r="NP164">
        <v>0</v>
      </c>
      <c r="NQ164">
        <v>0</v>
      </c>
      <c r="NR164">
        <v>0</v>
      </c>
      <c r="NS164" cm="1">
        <f t="array" ref="NS164">IFERROR(MAX((_xlfn.ANCHORARRAY(NN164)-AVERAGE(_xlfn.ANCHORARRAY(NN164)))/ AVERAGE(_xlfn.ANCHORARRAY(NN164))),0)</f>
        <v>0</v>
      </c>
      <c r="NT164" t="str" cm="1">
        <f t="array" ref="NT164">IF(AND(NS164&gt;$NT$1,NL164&lt;&gt;""),_xlfn.XLOOKUP(MAX(_xlfn.ANCHORARRAY(NN164)),_xlfn.ANCHORARRAY(NN164),NN$4:NR$4,""),"")</f>
        <v/>
      </c>
      <c r="NV164" cm="1">
        <f t="array" ref="NV164:OE164">SUMIFS($J164:$GG164,$J$2:$GG$2,NV$3:OE$3)</f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 cm="1">
        <f t="array" ref="OF164">IFERROR(MAX((_xlfn.ANCHORARRAY(NV164)-AVERAGE(_xlfn.ANCHORARRAY(NV164)))/ AVERAGE(_xlfn.ANCHORARRAY(NV164))),0)</f>
        <v>0</v>
      </c>
      <c r="OG164" t="str" cm="1">
        <f t="array" ref="OG164">IF(OF164&gt;$OG$1,_xlfn.XLOOKUP(MAX(_xlfn.ANCHORARRAY(NV164)),_xlfn.ANCHORARRAY(NV164),NV$4:OE$4,""),"")</f>
        <v/>
      </c>
      <c r="OI164" t="str">
        <f t="shared" si="26"/>
        <v/>
      </c>
    </row>
    <row r="165" spans="2:399" x14ac:dyDescent="0.3">
      <c r="B165" s="2" t="str">
        <f t="shared" si="29"/>
        <v>CORE</v>
      </c>
      <c r="C165" s="2" t="str">
        <f t="shared" si="30"/>
        <v>CORE</v>
      </c>
      <c r="D165" s="2" t="str">
        <f t="shared" si="31"/>
        <v>CORE</v>
      </c>
      <c r="E165" s="2" t="str">
        <f t="shared" si="23"/>
        <v/>
      </c>
      <c r="F165" s="2">
        <f t="shared" si="32"/>
        <v>0</v>
      </c>
      <c r="G165" s="2">
        <f t="shared" si="33"/>
        <v>0</v>
      </c>
      <c r="H165" s="2">
        <f t="shared" si="34"/>
        <v>0</v>
      </c>
      <c r="I165" s="2">
        <f t="shared" si="35"/>
        <v>0</v>
      </c>
      <c r="NH165" cm="1">
        <f t="array" ref="NH165:NJ165">SUMIFS($J165:$GG165,$J$1:$GG$1,NH$3:NJ$3)</f>
        <v>0</v>
      </c>
      <c r="NI165">
        <v>0</v>
      </c>
      <c r="NJ165">
        <v>0</v>
      </c>
      <c r="NK165" cm="1">
        <f t="array" ref="NK165">IFERROR(MAX((_xlfn.ANCHORARRAY(NH165)-AVERAGE(_xlfn.ANCHORARRAY(NH165)))/ AVERAGE(_xlfn.ANCHORARRAY(NH165))),0)</f>
        <v>0</v>
      </c>
      <c r="NL165" t="str" cm="1">
        <f t="array" ref="NL165">IF(NK165&gt;$NL$1,_xlfn.XLOOKUP(MAX(_xlfn.ANCHORARRAY(NH165)),_xlfn.ANCHORARRAY(NH165),NH$4:NJ$4,""),"")</f>
        <v/>
      </c>
      <c r="NN165" cm="1">
        <f t="array" ref="NN165:NR165">SUMIFS($J165:$GG165,$J$3:$GG$3,NN$3:NR$3)</f>
        <v>0</v>
      </c>
      <c r="NO165">
        <v>0</v>
      </c>
      <c r="NP165">
        <v>0</v>
      </c>
      <c r="NQ165">
        <v>0</v>
      </c>
      <c r="NR165">
        <v>0</v>
      </c>
      <c r="NS165" cm="1">
        <f t="array" ref="NS165">IFERROR(MAX((_xlfn.ANCHORARRAY(NN165)-AVERAGE(_xlfn.ANCHORARRAY(NN165)))/ AVERAGE(_xlfn.ANCHORARRAY(NN165))),0)</f>
        <v>0</v>
      </c>
      <c r="NT165" t="str" cm="1">
        <f t="array" ref="NT165">IF(AND(NS165&gt;$NT$1,NL165&lt;&gt;""),_xlfn.XLOOKUP(MAX(_xlfn.ANCHORARRAY(NN165)),_xlfn.ANCHORARRAY(NN165),NN$4:NR$4,""),"")</f>
        <v/>
      </c>
      <c r="NV165" cm="1">
        <f t="array" ref="NV165:OE165">SUMIFS($J165:$GG165,$J$2:$GG$2,NV$3:OE$3)</f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 cm="1">
        <f t="array" ref="OF165">IFERROR(MAX((_xlfn.ANCHORARRAY(NV165)-AVERAGE(_xlfn.ANCHORARRAY(NV165)))/ AVERAGE(_xlfn.ANCHORARRAY(NV165))),0)</f>
        <v>0</v>
      </c>
      <c r="OG165" t="str" cm="1">
        <f t="array" ref="OG165">IF(OF165&gt;$OG$1,_xlfn.XLOOKUP(MAX(_xlfn.ANCHORARRAY(NV165)),_xlfn.ANCHORARRAY(NV165),NV$4:OE$4,""),"")</f>
        <v/>
      </c>
      <c r="OI165" t="str">
        <f t="shared" si="26"/>
        <v/>
      </c>
    </row>
    <row r="166" spans="2:399" x14ac:dyDescent="0.3">
      <c r="B166" s="2" t="str">
        <f t="shared" si="29"/>
        <v>CORE</v>
      </c>
      <c r="C166" s="2" t="str">
        <f t="shared" si="30"/>
        <v>CORE</v>
      </c>
      <c r="D166" s="2" t="str">
        <f t="shared" si="31"/>
        <v>CORE</v>
      </c>
      <c r="E166" s="2" t="str">
        <f t="shared" si="23"/>
        <v/>
      </c>
      <c r="F166" s="2">
        <f t="shared" si="32"/>
        <v>0</v>
      </c>
      <c r="G166" s="2">
        <f t="shared" si="33"/>
        <v>0</v>
      </c>
      <c r="H166" s="2">
        <f t="shared" si="34"/>
        <v>0</v>
      </c>
      <c r="I166" s="2">
        <f t="shared" si="35"/>
        <v>0</v>
      </c>
      <c r="NH166" cm="1">
        <f t="array" ref="NH166:NJ166">SUMIFS($J166:$GG166,$J$1:$GG$1,NH$3:NJ$3)</f>
        <v>0</v>
      </c>
      <c r="NI166">
        <v>0</v>
      </c>
      <c r="NJ166">
        <v>0</v>
      </c>
      <c r="NK166" cm="1">
        <f t="array" ref="NK166">IFERROR(MAX((_xlfn.ANCHORARRAY(NH166)-AVERAGE(_xlfn.ANCHORARRAY(NH166)))/ AVERAGE(_xlfn.ANCHORARRAY(NH166))),0)</f>
        <v>0</v>
      </c>
      <c r="NL166" t="str" cm="1">
        <f t="array" ref="NL166">IF(NK166&gt;$NL$1,_xlfn.XLOOKUP(MAX(_xlfn.ANCHORARRAY(NH166)),_xlfn.ANCHORARRAY(NH166),NH$4:NJ$4,""),"")</f>
        <v/>
      </c>
      <c r="NN166" cm="1">
        <f t="array" ref="NN166:NR166">SUMIFS($J166:$GG166,$J$3:$GG$3,NN$3:NR$3)</f>
        <v>0</v>
      </c>
      <c r="NO166">
        <v>0</v>
      </c>
      <c r="NP166">
        <v>0</v>
      </c>
      <c r="NQ166">
        <v>0</v>
      </c>
      <c r="NR166">
        <v>0</v>
      </c>
      <c r="NS166" cm="1">
        <f t="array" ref="NS166">IFERROR(MAX((_xlfn.ANCHORARRAY(NN166)-AVERAGE(_xlfn.ANCHORARRAY(NN166)))/ AVERAGE(_xlfn.ANCHORARRAY(NN166))),0)</f>
        <v>0</v>
      </c>
      <c r="NT166" t="str" cm="1">
        <f t="array" ref="NT166">IF(AND(NS166&gt;$NT$1,NL166&lt;&gt;""),_xlfn.XLOOKUP(MAX(_xlfn.ANCHORARRAY(NN166)),_xlfn.ANCHORARRAY(NN166),NN$4:NR$4,""),"")</f>
        <v/>
      </c>
      <c r="NV166" cm="1">
        <f t="array" ref="NV166:OE166">SUMIFS($J166:$GG166,$J$2:$GG$2,NV$3:OE$3)</f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 cm="1">
        <f t="array" ref="OF166">IFERROR(MAX((_xlfn.ANCHORARRAY(NV166)-AVERAGE(_xlfn.ANCHORARRAY(NV166)))/ AVERAGE(_xlfn.ANCHORARRAY(NV166))),0)</f>
        <v>0</v>
      </c>
      <c r="OG166" t="str" cm="1">
        <f t="array" ref="OG166">IF(OF166&gt;$OG$1,_xlfn.XLOOKUP(MAX(_xlfn.ANCHORARRAY(NV166)),_xlfn.ANCHORARRAY(NV166),NV$4:OE$4,""),"")</f>
        <v/>
      </c>
      <c r="OI166" t="str">
        <f t="shared" si="26"/>
        <v/>
      </c>
    </row>
    <row r="167" spans="2:399" x14ac:dyDescent="0.3">
      <c r="B167" s="2" t="str">
        <f t="shared" si="29"/>
        <v>CORE</v>
      </c>
      <c r="C167" s="2" t="str">
        <f t="shared" si="30"/>
        <v>CORE</v>
      </c>
      <c r="D167" s="2" t="str">
        <f t="shared" si="31"/>
        <v>CORE</v>
      </c>
      <c r="E167" s="2" t="str">
        <f t="shared" si="23"/>
        <v/>
      </c>
      <c r="F167" s="2">
        <f t="shared" si="32"/>
        <v>0</v>
      </c>
      <c r="G167" s="2">
        <f t="shared" si="33"/>
        <v>0</v>
      </c>
      <c r="H167" s="2">
        <f t="shared" si="34"/>
        <v>0</v>
      </c>
      <c r="I167" s="2">
        <f t="shared" si="35"/>
        <v>0</v>
      </c>
      <c r="NH167" cm="1">
        <f t="array" ref="NH167:NJ167">SUMIFS($J167:$GG167,$J$1:$GG$1,NH$3:NJ$3)</f>
        <v>0</v>
      </c>
      <c r="NI167">
        <v>0</v>
      </c>
      <c r="NJ167">
        <v>0</v>
      </c>
      <c r="NK167" cm="1">
        <f t="array" ref="NK167">IFERROR(MAX((_xlfn.ANCHORARRAY(NH167)-AVERAGE(_xlfn.ANCHORARRAY(NH167)))/ AVERAGE(_xlfn.ANCHORARRAY(NH167))),0)</f>
        <v>0</v>
      </c>
      <c r="NL167" t="str" cm="1">
        <f t="array" ref="NL167">IF(NK167&gt;$NL$1,_xlfn.XLOOKUP(MAX(_xlfn.ANCHORARRAY(NH167)),_xlfn.ANCHORARRAY(NH167),NH$4:NJ$4,""),"")</f>
        <v/>
      </c>
      <c r="NN167" cm="1">
        <f t="array" ref="NN167:NR167">SUMIFS($J167:$GG167,$J$3:$GG$3,NN$3:NR$3)</f>
        <v>0</v>
      </c>
      <c r="NO167">
        <v>0</v>
      </c>
      <c r="NP167">
        <v>0</v>
      </c>
      <c r="NQ167">
        <v>0</v>
      </c>
      <c r="NR167">
        <v>0</v>
      </c>
      <c r="NS167" cm="1">
        <f t="array" ref="NS167">IFERROR(MAX((_xlfn.ANCHORARRAY(NN167)-AVERAGE(_xlfn.ANCHORARRAY(NN167)))/ AVERAGE(_xlfn.ANCHORARRAY(NN167))),0)</f>
        <v>0</v>
      </c>
      <c r="NT167" t="str" cm="1">
        <f t="array" ref="NT167">IF(AND(NS167&gt;$NT$1,NL167&lt;&gt;""),_xlfn.XLOOKUP(MAX(_xlfn.ANCHORARRAY(NN167)),_xlfn.ANCHORARRAY(NN167),NN$4:NR$4,""),"")</f>
        <v/>
      </c>
      <c r="NV167" cm="1">
        <f t="array" ref="NV167:OE167">SUMIFS($J167:$GG167,$J$2:$GG$2,NV$3:OE$3)</f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 cm="1">
        <f t="array" ref="OF167">IFERROR(MAX((_xlfn.ANCHORARRAY(NV167)-AVERAGE(_xlfn.ANCHORARRAY(NV167)))/ AVERAGE(_xlfn.ANCHORARRAY(NV167))),0)</f>
        <v>0</v>
      </c>
      <c r="OG167" t="str" cm="1">
        <f t="array" ref="OG167">IF(OF167&gt;$OG$1,_xlfn.XLOOKUP(MAX(_xlfn.ANCHORARRAY(NV167)),_xlfn.ANCHORARRAY(NV167),NV$4:OE$4,""),"")</f>
        <v/>
      </c>
      <c r="OI167" t="str">
        <f t="shared" si="26"/>
        <v/>
      </c>
    </row>
    <row r="168" spans="2:399" x14ac:dyDescent="0.3">
      <c r="B168" s="2" t="str">
        <f t="shared" si="29"/>
        <v>CORE</v>
      </c>
      <c r="C168" s="2" t="str">
        <f t="shared" si="30"/>
        <v>CORE</v>
      </c>
      <c r="D168" s="2" t="str">
        <f t="shared" si="31"/>
        <v>CORE</v>
      </c>
      <c r="E168" s="2" t="str">
        <f t="shared" si="23"/>
        <v/>
      </c>
      <c r="F168" s="2">
        <f t="shared" si="32"/>
        <v>0</v>
      </c>
      <c r="G168" s="2">
        <f t="shared" si="33"/>
        <v>0</v>
      </c>
      <c r="H168" s="2">
        <f t="shared" si="34"/>
        <v>0</v>
      </c>
      <c r="I168" s="2">
        <f t="shared" si="35"/>
        <v>0</v>
      </c>
      <c r="NH168" cm="1">
        <f t="array" ref="NH168:NJ168">SUMIFS($J168:$GG168,$J$1:$GG$1,NH$3:NJ$3)</f>
        <v>0</v>
      </c>
      <c r="NI168">
        <v>0</v>
      </c>
      <c r="NJ168">
        <v>0</v>
      </c>
      <c r="NK168" cm="1">
        <f t="array" ref="NK168">IFERROR(MAX((_xlfn.ANCHORARRAY(NH168)-AVERAGE(_xlfn.ANCHORARRAY(NH168)))/ AVERAGE(_xlfn.ANCHORARRAY(NH168))),0)</f>
        <v>0</v>
      </c>
      <c r="NL168" t="str" cm="1">
        <f t="array" ref="NL168">IF(NK168&gt;$NL$1,_xlfn.XLOOKUP(MAX(_xlfn.ANCHORARRAY(NH168)),_xlfn.ANCHORARRAY(NH168),NH$4:NJ$4,""),"")</f>
        <v/>
      </c>
      <c r="NN168" cm="1">
        <f t="array" ref="NN168:NR168">SUMIFS($J168:$GG168,$J$3:$GG$3,NN$3:NR$3)</f>
        <v>0</v>
      </c>
      <c r="NO168">
        <v>0</v>
      </c>
      <c r="NP168">
        <v>0</v>
      </c>
      <c r="NQ168">
        <v>0</v>
      </c>
      <c r="NR168">
        <v>0</v>
      </c>
      <c r="NS168" cm="1">
        <f t="array" ref="NS168">IFERROR(MAX((_xlfn.ANCHORARRAY(NN168)-AVERAGE(_xlfn.ANCHORARRAY(NN168)))/ AVERAGE(_xlfn.ANCHORARRAY(NN168))),0)</f>
        <v>0</v>
      </c>
      <c r="NT168" t="str" cm="1">
        <f t="array" ref="NT168">IF(AND(NS168&gt;$NT$1,NL168&lt;&gt;""),_xlfn.XLOOKUP(MAX(_xlfn.ANCHORARRAY(NN168)),_xlfn.ANCHORARRAY(NN168),NN$4:NR$4,""),"")</f>
        <v/>
      </c>
      <c r="NV168" cm="1">
        <f t="array" ref="NV168:OE168">SUMIFS($J168:$GG168,$J$2:$GG$2,NV$3:OE$3)</f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 cm="1">
        <f t="array" ref="OF168">IFERROR(MAX((_xlfn.ANCHORARRAY(NV168)-AVERAGE(_xlfn.ANCHORARRAY(NV168)))/ AVERAGE(_xlfn.ANCHORARRAY(NV168))),0)</f>
        <v>0</v>
      </c>
      <c r="OG168" t="str" cm="1">
        <f t="array" ref="OG168">IF(OF168&gt;$OG$1,_xlfn.XLOOKUP(MAX(_xlfn.ANCHORARRAY(NV168)),_xlfn.ANCHORARRAY(NV168),NV$4:OE$4,""),"")</f>
        <v/>
      </c>
      <c r="OI168" t="str">
        <f t="shared" si="26"/>
        <v/>
      </c>
    </row>
    <row r="169" spans="2:399" x14ac:dyDescent="0.3">
      <c r="B169" s="2" t="str">
        <f t="shared" si="29"/>
        <v>CORE</v>
      </c>
      <c r="C169" s="2" t="str">
        <f t="shared" si="30"/>
        <v>CORE</v>
      </c>
      <c r="D169" s="2" t="str">
        <f t="shared" si="31"/>
        <v>CORE</v>
      </c>
      <c r="E169" s="2" t="str">
        <f t="shared" si="23"/>
        <v/>
      </c>
      <c r="F169" s="2">
        <f t="shared" si="32"/>
        <v>0</v>
      </c>
      <c r="G169" s="2">
        <f t="shared" si="33"/>
        <v>0</v>
      </c>
      <c r="H169" s="2">
        <f t="shared" si="34"/>
        <v>0</v>
      </c>
      <c r="I169" s="2">
        <f t="shared" si="35"/>
        <v>0</v>
      </c>
      <c r="NH169" cm="1">
        <f t="array" ref="NH169:NJ169">SUMIFS($J169:$GG169,$J$1:$GG$1,NH$3:NJ$3)</f>
        <v>0</v>
      </c>
      <c r="NI169">
        <v>0</v>
      </c>
      <c r="NJ169">
        <v>0</v>
      </c>
      <c r="NK169" cm="1">
        <f t="array" ref="NK169">IFERROR(MAX((_xlfn.ANCHORARRAY(NH169)-AVERAGE(_xlfn.ANCHORARRAY(NH169)))/ AVERAGE(_xlfn.ANCHORARRAY(NH169))),0)</f>
        <v>0</v>
      </c>
      <c r="NL169" t="str" cm="1">
        <f t="array" ref="NL169">IF(NK169&gt;$NL$1,_xlfn.XLOOKUP(MAX(_xlfn.ANCHORARRAY(NH169)),_xlfn.ANCHORARRAY(NH169),NH$4:NJ$4,""),"")</f>
        <v/>
      </c>
      <c r="NN169" cm="1">
        <f t="array" ref="NN169:NR169">SUMIFS($J169:$GG169,$J$3:$GG$3,NN$3:NR$3)</f>
        <v>0</v>
      </c>
      <c r="NO169">
        <v>0</v>
      </c>
      <c r="NP169">
        <v>0</v>
      </c>
      <c r="NQ169">
        <v>0</v>
      </c>
      <c r="NR169">
        <v>0</v>
      </c>
      <c r="NS169" cm="1">
        <f t="array" ref="NS169">IFERROR(MAX((_xlfn.ANCHORARRAY(NN169)-AVERAGE(_xlfn.ANCHORARRAY(NN169)))/ AVERAGE(_xlfn.ANCHORARRAY(NN169))),0)</f>
        <v>0</v>
      </c>
      <c r="NT169" t="str" cm="1">
        <f t="array" ref="NT169">IF(AND(NS169&gt;$NT$1,NL169&lt;&gt;""),_xlfn.XLOOKUP(MAX(_xlfn.ANCHORARRAY(NN169)),_xlfn.ANCHORARRAY(NN169),NN$4:NR$4,""),"")</f>
        <v/>
      </c>
      <c r="NV169" cm="1">
        <f t="array" ref="NV169:OE169">SUMIFS($J169:$GG169,$J$2:$GG$2,NV$3:OE$3)</f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 cm="1">
        <f t="array" ref="OF169">IFERROR(MAX((_xlfn.ANCHORARRAY(NV169)-AVERAGE(_xlfn.ANCHORARRAY(NV169)))/ AVERAGE(_xlfn.ANCHORARRAY(NV169))),0)</f>
        <v>0</v>
      </c>
      <c r="OG169" t="str" cm="1">
        <f t="array" ref="OG169">IF(OF169&gt;$OG$1,_xlfn.XLOOKUP(MAX(_xlfn.ANCHORARRAY(NV169)),_xlfn.ANCHORARRAY(NV169),NV$4:OE$4,""),"")</f>
        <v/>
      </c>
      <c r="OI169" t="str">
        <f t="shared" si="26"/>
        <v/>
      </c>
    </row>
    <row r="170" spans="2:399" x14ac:dyDescent="0.3">
      <c r="B170" s="2" t="str">
        <f t="shared" si="29"/>
        <v>CORE</v>
      </c>
      <c r="C170" s="2" t="str">
        <f t="shared" si="30"/>
        <v>CORE</v>
      </c>
      <c r="D170" s="2" t="str">
        <f t="shared" si="31"/>
        <v>CORE</v>
      </c>
      <c r="E170" s="2" t="str">
        <f t="shared" si="23"/>
        <v/>
      </c>
      <c r="F170" s="2">
        <f t="shared" si="32"/>
        <v>0</v>
      </c>
      <c r="G170" s="2">
        <f t="shared" si="33"/>
        <v>0</v>
      </c>
      <c r="H170" s="2">
        <f t="shared" si="34"/>
        <v>0</v>
      </c>
      <c r="I170" s="2">
        <f t="shared" si="35"/>
        <v>0</v>
      </c>
      <c r="NH170" cm="1">
        <f t="array" ref="NH170:NJ170">SUMIFS($J170:$GG170,$J$1:$GG$1,NH$3:NJ$3)</f>
        <v>0</v>
      </c>
      <c r="NI170">
        <v>0</v>
      </c>
      <c r="NJ170">
        <v>0</v>
      </c>
      <c r="NK170" cm="1">
        <f t="array" ref="NK170">IFERROR(MAX((_xlfn.ANCHORARRAY(NH170)-AVERAGE(_xlfn.ANCHORARRAY(NH170)))/ AVERAGE(_xlfn.ANCHORARRAY(NH170))),0)</f>
        <v>0</v>
      </c>
      <c r="NL170" t="str" cm="1">
        <f t="array" ref="NL170">IF(NK170&gt;$NL$1,_xlfn.XLOOKUP(MAX(_xlfn.ANCHORARRAY(NH170)),_xlfn.ANCHORARRAY(NH170),NH$4:NJ$4,""),"")</f>
        <v/>
      </c>
      <c r="NN170" cm="1">
        <f t="array" ref="NN170:NR170">SUMIFS($J170:$GG170,$J$3:$GG$3,NN$3:NR$3)</f>
        <v>0</v>
      </c>
      <c r="NO170">
        <v>0</v>
      </c>
      <c r="NP170">
        <v>0</v>
      </c>
      <c r="NQ170">
        <v>0</v>
      </c>
      <c r="NR170">
        <v>0</v>
      </c>
      <c r="NS170" cm="1">
        <f t="array" ref="NS170">IFERROR(MAX((_xlfn.ANCHORARRAY(NN170)-AVERAGE(_xlfn.ANCHORARRAY(NN170)))/ AVERAGE(_xlfn.ANCHORARRAY(NN170))),0)</f>
        <v>0</v>
      </c>
      <c r="NT170" t="str" cm="1">
        <f t="array" ref="NT170">IF(AND(NS170&gt;$NT$1,NL170&lt;&gt;""),_xlfn.XLOOKUP(MAX(_xlfn.ANCHORARRAY(NN170)),_xlfn.ANCHORARRAY(NN170),NN$4:NR$4,""),"")</f>
        <v/>
      </c>
      <c r="NV170" cm="1">
        <f t="array" ref="NV170:OE170">SUMIFS($J170:$GG170,$J$2:$GG$2,NV$3:OE$3)</f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 cm="1">
        <f t="array" ref="OF170">IFERROR(MAX((_xlfn.ANCHORARRAY(NV170)-AVERAGE(_xlfn.ANCHORARRAY(NV170)))/ AVERAGE(_xlfn.ANCHORARRAY(NV170))),0)</f>
        <v>0</v>
      </c>
      <c r="OG170" t="str" cm="1">
        <f t="array" ref="OG170">IF(OF170&gt;$OG$1,_xlfn.XLOOKUP(MAX(_xlfn.ANCHORARRAY(NV170)),_xlfn.ANCHORARRAY(NV170),NV$4:OE$4,""),"")</f>
        <v/>
      </c>
      <c r="OI170" t="str">
        <f t="shared" si="26"/>
        <v/>
      </c>
    </row>
    <row r="171" spans="2:399" x14ac:dyDescent="0.3">
      <c r="B171" s="2" t="str">
        <f t="shared" si="29"/>
        <v>CORE</v>
      </c>
      <c r="C171" s="2" t="str">
        <f t="shared" si="30"/>
        <v>CORE</v>
      </c>
      <c r="D171" s="2" t="str">
        <f t="shared" si="31"/>
        <v>CORE</v>
      </c>
      <c r="E171" s="2" t="str">
        <f t="shared" si="23"/>
        <v/>
      </c>
      <c r="F171" s="2">
        <f t="shared" si="32"/>
        <v>0</v>
      </c>
      <c r="G171" s="2">
        <f t="shared" si="33"/>
        <v>0</v>
      </c>
      <c r="H171" s="2">
        <f t="shared" si="34"/>
        <v>0</v>
      </c>
      <c r="I171" s="2">
        <f t="shared" si="35"/>
        <v>0</v>
      </c>
      <c r="NH171" cm="1">
        <f t="array" ref="NH171:NJ171">SUMIFS($J171:$GG171,$J$1:$GG$1,NH$3:NJ$3)</f>
        <v>0</v>
      </c>
      <c r="NI171">
        <v>0</v>
      </c>
      <c r="NJ171">
        <v>0</v>
      </c>
      <c r="NK171" cm="1">
        <f t="array" ref="NK171">IFERROR(MAX((_xlfn.ANCHORARRAY(NH171)-AVERAGE(_xlfn.ANCHORARRAY(NH171)))/ AVERAGE(_xlfn.ANCHORARRAY(NH171))),0)</f>
        <v>0</v>
      </c>
      <c r="NL171" t="str" cm="1">
        <f t="array" ref="NL171">IF(NK171&gt;$NL$1,_xlfn.XLOOKUP(MAX(_xlfn.ANCHORARRAY(NH171)),_xlfn.ANCHORARRAY(NH171),NH$4:NJ$4,""),"")</f>
        <v/>
      </c>
      <c r="NN171" cm="1">
        <f t="array" ref="NN171:NR171">SUMIFS($J171:$GG171,$J$3:$GG$3,NN$3:NR$3)</f>
        <v>0</v>
      </c>
      <c r="NO171">
        <v>0</v>
      </c>
      <c r="NP171">
        <v>0</v>
      </c>
      <c r="NQ171">
        <v>0</v>
      </c>
      <c r="NR171">
        <v>0</v>
      </c>
      <c r="NS171" cm="1">
        <f t="array" ref="NS171">IFERROR(MAX((_xlfn.ANCHORARRAY(NN171)-AVERAGE(_xlfn.ANCHORARRAY(NN171)))/ AVERAGE(_xlfn.ANCHORARRAY(NN171))),0)</f>
        <v>0</v>
      </c>
      <c r="NT171" t="str" cm="1">
        <f t="array" ref="NT171">IF(AND(NS171&gt;$NT$1,NL171&lt;&gt;""),_xlfn.XLOOKUP(MAX(_xlfn.ANCHORARRAY(NN171)),_xlfn.ANCHORARRAY(NN171),NN$4:NR$4,""),"")</f>
        <v/>
      </c>
      <c r="NV171" cm="1">
        <f t="array" ref="NV171:OE171">SUMIFS($J171:$GG171,$J$2:$GG$2,NV$3:OE$3)</f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 cm="1">
        <f t="array" ref="OF171">IFERROR(MAX((_xlfn.ANCHORARRAY(NV171)-AVERAGE(_xlfn.ANCHORARRAY(NV171)))/ AVERAGE(_xlfn.ANCHORARRAY(NV171))),0)</f>
        <v>0</v>
      </c>
      <c r="OG171" t="str" cm="1">
        <f t="array" ref="OG171">IF(OF171&gt;$OG$1,_xlfn.XLOOKUP(MAX(_xlfn.ANCHORARRAY(NV171)),_xlfn.ANCHORARRAY(NV171),NV$4:OE$4,""),"")</f>
        <v/>
      </c>
      <c r="OI171" t="str">
        <f t="shared" si="26"/>
        <v/>
      </c>
    </row>
    <row r="172" spans="2:399" x14ac:dyDescent="0.3">
      <c r="B172" s="2" t="str">
        <f t="shared" si="29"/>
        <v>CORE</v>
      </c>
      <c r="C172" s="2" t="str">
        <f t="shared" si="30"/>
        <v>CORE</v>
      </c>
      <c r="D172" s="2" t="str">
        <f t="shared" si="31"/>
        <v>CORE</v>
      </c>
      <c r="E172" s="2" t="str">
        <f t="shared" si="23"/>
        <v/>
      </c>
      <c r="F172" s="2">
        <f t="shared" si="32"/>
        <v>0</v>
      </c>
      <c r="G172" s="2">
        <f t="shared" si="33"/>
        <v>0</v>
      </c>
      <c r="H172" s="2">
        <f t="shared" si="34"/>
        <v>0</v>
      </c>
      <c r="I172" s="2">
        <f t="shared" si="35"/>
        <v>0</v>
      </c>
      <c r="NH172" cm="1">
        <f t="array" ref="NH172:NJ172">SUMIFS($J172:$GG172,$J$1:$GG$1,NH$3:NJ$3)</f>
        <v>0</v>
      </c>
      <c r="NI172">
        <v>0</v>
      </c>
      <c r="NJ172">
        <v>0</v>
      </c>
      <c r="NK172" cm="1">
        <f t="array" ref="NK172">IFERROR(MAX((_xlfn.ANCHORARRAY(NH172)-AVERAGE(_xlfn.ANCHORARRAY(NH172)))/ AVERAGE(_xlfn.ANCHORARRAY(NH172))),0)</f>
        <v>0</v>
      </c>
      <c r="NL172" t="str" cm="1">
        <f t="array" ref="NL172">IF(NK172&gt;$NL$1,_xlfn.XLOOKUP(MAX(_xlfn.ANCHORARRAY(NH172)),_xlfn.ANCHORARRAY(NH172),NH$4:NJ$4,""),"")</f>
        <v/>
      </c>
      <c r="NN172" cm="1">
        <f t="array" ref="NN172:NR172">SUMIFS($J172:$GG172,$J$3:$GG$3,NN$3:NR$3)</f>
        <v>0</v>
      </c>
      <c r="NO172">
        <v>0</v>
      </c>
      <c r="NP172">
        <v>0</v>
      </c>
      <c r="NQ172">
        <v>0</v>
      </c>
      <c r="NR172">
        <v>0</v>
      </c>
      <c r="NS172" cm="1">
        <f t="array" ref="NS172">IFERROR(MAX((_xlfn.ANCHORARRAY(NN172)-AVERAGE(_xlfn.ANCHORARRAY(NN172)))/ AVERAGE(_xlfn.ANCHORARRAY(NN172))),0)</f>
        <v>0</v>
      </c>
      <c r="NT172" t="str" cm="1">
        <f t="array" ref="NT172">IF(AND(NS172&gt;$NT$1,NL172&lt;&gt;""),_xlfn.XLOOKUP(MAX(_xlfn.ANCHORARRAY(NN172)),_xlfn.ANCHORARRAY(NN172),NN$4:NR$4,""),"")</f>
        <v/>
      </c>
      <c r="NV172" cm="1">
        <f t="array" ref="NV172:OE172">SUMIFS($J172:$GG172,$J$2:$GG$2,NV$3:OE$3)</f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 cm="1">
        <f t="array" ref="OF172">IFERROR(MAX((_xlfn.ANCHORARRAY(NV172)-AVERAGE(_xlfn.ANCHORARRAY(NV172)))/ AVERAGE(_xlfn.ANCHORARRAY(NV172))),0)</f>
        <v>0</v>
      </c>
      <c r="OG172" t="str" cm="1">
        <f t="array" ref="OG172">IF(OF172&gt;$OG$1,_xlfn.XLOOKUP(MAX(_xlfn.ANCHORARRAY(NV172)),_xlfn.ANCHORARRAY(NV172),NV$4:OE$4,""),"")</f>
        <v/>
      </c>
      <c r="OI172" t="str">
        <f t="shared" si="26"/>
        <v/>
      </c>
    </row>
    <row r="173" spans="2:399" x14ac:dyDescent="0.3">
      <c r="B173" s="2" t="str">
        <f t="shared" si="29"/>
        <v>CORE</v>
      </c>
      <c r="C173" s="2" t="str">
        <f t="shared" si="30"/>
        <v>CORE</v>
      </c>
      <c r="D173" s="2" t="str">
        <f t="shared" si="31"/>
        <v>CORE</v>
      </c>
      <c r="E173" s="2" t="str">
        <f t="shared" si="23"/>
        <v/>
      </c>
      <c r="F173" s="2">
        <f t="shared" si="32"/>
        <v>0</v>
      </c>
      <c r="G173" s="2">
        <f t="shared" si="33"/>
        <v>0</v>
      </c>
      <c r="H173" s="2">
        <f t="shared" si="34"/>
        <v>0</v>
      </c>
      <c r="I173" s="2">
        <f t="shared" si="35"/>
        <v>0</v>
      </c>
      <c r="NH173" cm="1">
        <f t="array" ref="NH173:NJ173">SUMIFS($J173:$GG173,$J$1:$GG$1,NH$3:NJ$3)</f>
        <v>0</v>
      </c>
      <c r="NI173">
        <v>0</v>
      </c>
      <c r="NJ173">
        <v>0</v>
      </c>
      <c r="NK173" cm="1">
        <f t="array" ref="NK173">IFERROR(MAX((_xlfn.ANCHORARRAY(NH173)-AVERAGE(_xlfn.ANCHORARRAY(NH173)))/ AVERAGE(_xlfn.ANCHORARRAY(NH173))),0)</f>
        <v>0</v>
      </c>
      <c r="NL173" t="str" cm="1">
        <f t="array" ref="NL173">IF(NK173&gt;$NL$1,_xlfn.XLOOKUP(MAX(_xlfn.ANCHORARRAY(NH173)),_xlfn.ANCHORARRAY(NH173),NH$4:NJ$4,""),"")</f>
        <v/>
      </c>
      <c r="NN173" cm="1">
        <f t="array" ref="NN173:NR173">SUMIFS($J173:$GG173,$J$3:$GG$3,NN$3:NR$3)</f>
        <v>0</v>
      </c>
      <c r="NO173">
        <v>0</v>
      </c>
      <c r="NP173">
        <v>0</v>
      </c>
      <c r="NQ173">
        <v>0</v>
      </c>
      <c r="NR173">
        <v>0</v>
      </c>
      <c r="NS173" cm="1">
        <f t="array" ref="NS173">IFERROR(MAX((_xlfn.ANCHORARRAY(NN173)-AVERAGE(_xlfn.ANCHORARRAY(NN173)))/ AVERAGE(_xlfn.ANCHORARRAY(NN173))),0)</f>
        <v>0</v>
      </c>
      <c r="NT173" t="str" cm="1">
        <f t="array" ref="NT173">IF(AND(NS173&gt;$NT$1,NL173&lt;&gt;""),_xlfn.XLOOKUP(MAX(_xlfn.ANCHORARRAY(NN173)),_xlfn.ANCHORARRAY(NN173),NN$4:NR$4,""),"")</f>
        <v/>
      </c>
      <c r="NV173" cm="1">
        <f t="array" ref="NV173:OE173">SUMIFS($J173:$GG173,$J$2:$GG$2,NV$3:OE$3)</f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 cm="1">
        <f t="array" ref="OF173">IFERROR(MAX((_xlfn.ANCHORARRAY(NV173)-AVERAGE(_xlfn.ANCHORARRAY(NV173)))/ AVERAGE(_xlfn.ANCHORARRAY(NV173))),0)</f>
        <v>0</v>
      </c>
      <c r="OG173" t="str" cm="1">
        <f t="array" ref="OG173">IF(OF173&gt;$OG$1,_xlfn.XLOOKUP(MAX(_xlfn.ANCHORARRAY(NV173)),_xlfn.ANCHORARRAY(NV173),NV$4:OE$4,""),"")</f>
        <v/>
      </c>
      <c r="OI173" t="str">
        <f t="shared" si="26"/>
        <v/>
      </c>
    </row>
    <row r="174" spans="2:399" x14ac:dyDescent="0.3">
      <c r="B174" s="2" t="str">
        <f t="shared" si="29"/>
        <v>CORE</v>
      </c>
      <c r="C174" s="2" t="str">
        <f t="shared" si="30"/>
        <v>CORE</v>
      </c>
      <c r="D174" s="2" t="str">
        <f t="shared" si="31"/>
        <v>CORE</v>
      </c>
      <c r="E174" s="2" t="str">
        <f t="shared" si="23"/>
        <v/>
      </c>
      <c r="F174" s="2">
        <f t="shared" si="32"/>
        <v>0</v>
      </c>
      <c r="G174" s="2">
        <f t="shared" si="33"/>
        <v>0</v>
      </c>
      <c r="H174" s="2">
        <f t="shared" si="34"/>
        <v>0</v>
      </c>
      <c r="I174" s="2">
        <f t="shared" si="35"/>
        <v>0</v>
      </c>
      <c r="NH174" cm="1">
        <f t="array" ref="NH174:NJ174">SUMIFS($J174:$GG174,$J$1:$GG$1,NH$3:NJ$3)</f>
        <v>0</v>
      </c>
      <c r="NI174">
        <v>0</v>
      </c>
      <c r="NJ174">
        <v>0</v>
      </c>
      <c r="NK174" cm="1">
        <f t="array" ref="NK174">IFERROR(MAX((_xlfn.ANCHORARRAY(NH174)-AVERAGE(_xlfn.ANCHORARRAY(NH174)))/ AVERAGE(_xlfn.ANCHORARRAY(NH174))),0)</f>
        <v>0</v>
      </c>
      <c r="NL174" t="str" cm="1">
        <f t="array" ref="NL174">IF(NK174&gt;$NL$1,_xlfn.XLOOKUP(MAX(_xlfn.ANCHORARRAY(NH174)),_xlfn.ANCHORARRAY(NH174),NH$4:NJ$4,""),"")</f>
        <v/>
      </c>
      <c r="NN174" cm="1">
        <f t="array" ref="NN174:NR174">SUMIFS($J174:$GG174,$J$3:$GG$3,NN$3:NR$3)</f>
        <v>0</v>
      </c>
      <c r="NO174">
        <v>0</v>
      </c>
      <c r="NP174">
        <v>0</v>
      </c>
      <c r="NQ174">
        <v>0</v>
      </c>
      <c r="NR174">
        <v>0</v>
      </c>
      <c r="NS174" cm="1">
        <f t="array" ref="NS174">IFERROR(MAX((_xlfn.ANCHORARRAY(NN174)-AVERAGE(_xlfn.ANCHORARRAY(NN174)))/ AVERAGE(_xlfn.ANCHORARRAY(NN174))),0)</f>
        <v>0</v>
      </c>
      <c r="NT174" t="str" cm="1">
        <f t="array" ref="NT174">IF(AND(NS174&gt;$NT$1,NL174&lt;&gt;""),_xlfn.XLOOKUP(MAX(_xlfn.ANCHORARRAY(NN174)),_xlfn.ANCHORARRAY(NN174),NN$4:NR$4,""),"")</f>
        <v/>
      </c>
      <c r="NV174" cm="1">
        <f t="array" ref="NV174:OE174">SUMIFS($J174:$GG174,$J$2:$GG$2,NV$3:OE$3)</f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 cm="1">
        <f t="array" ref="OF174">IFERROR(MAX((_xlfn.ANCHORARRAY(NV174)-AVERAGE(_xlfn.ANCHORARRAY(NV174)))/ AVERAGE(_xlfn.ANCHORARRAY(NV174))),0)</f>
        <v>0</v>
      </c>
      <c r="OG174" t="str" cm="1">
        <f t="array" ref="OG174">IF(OF174&gt;$OG$1,_xlfn.XLOOKUP(MAX(_xlfn.ANCHORARRAY(NV174)),_xlfn.ANCHORARRAY(NV174),NV$4:OE$4,""),"")</f>
        <v/>
      </c>
      <c r="OI174" t="str">
        <f t="shared" si="26"/>
        <v/>
      </c>
    </row>
    <row r="175" spans="2:399" x14ac:dyDescent="0.3">
      <c r="B175" s="2" t="str">
        <f t="shared" si="29"/>
        <v>CORE</v>
      </c>
      <c r="C175" s="2" t="str">
        <f t="shared" si="30"/>
        <v>CORE</v>
      </c>
      <c r="D175" s="2" t="str">
        <f t="shared" si="31"/>
        <v>CORE</v>
      </c>
      <c r="E175" s="2" t="str">
        <f t="shared" si="23"/>
        <v/>
      </c>
      <c r="F175" s="2">
        <f t="shared" si="32"/>
        <v>0</v>
      </c>
      <c r="G175" s="2">
        <f t="shared" si="33"/>
        <v>0</v>
      </c>
      <c r="H175" s="2">
        <f t="shared" si="34"/>
        <v>0</v>
      </c>
      <c r="I175" s="2">
        <f t="shared" si="35"/>
        <v>0</v>
      </c>
      <c r="NH175" cm="1">
        <f t="array" ref="NH175:NJ175">SUMIFS($J175:$GG175,$J$1:$GG$1,NH$3:NJ$3)</f>
        <v>0</v>
      </c>
      <c r="NI175">
        <v>0</v>
      </c>
      <c r="NJ175">
        <v>0</v>
      </c>
      <c r="NK175" cm="1">
        <f t="array" ref="NK175">IFERROR(MAX((_xlfn.ANCHORARRAY(NH175)-AVERAGE(_xlfn.ANCHORARRAY(NH175)))/ AVERAGE(_xlfn.ANCHORARRAY(NH175))),0)</f>
        <v>0</v>
      </c>
      <c r="NL175" t="str" cm="1">
        <f t="array" ref="NL175">IF(NK175&gt;$NL$1,_xlfn.XLOOKUP(MAX(_xlfn.ANCHORARRAY(NH175)),_xlfn.ANCHORARRAY(NH175),NH$4:NJ$4,""),"")</f>
        <v/>
      </c>
      <c r="NN175" cm="1">
        <f t="array" ref="NN175:NR175">SUMIFS($J175:$GG175,$J$3:$GG$3,NN$3:NR$3)</f>
        <v>0</v>
      </c>
      <c r="NO175">
        <v>0</v>
      </c>
      <c r="NP175">
        <v>0</v>
      </c>
      <c r="NQ175">
        <v>0</v>
      </c>
      <c r="NR175">
        <v>0</v>
      </c>
      <c r="NS175" cm="1">
        <f t="array" ref="NS175">IFERROR(MAX((_xlfn.ANCHORARRAY(NN175)-AVERAGE(_xlfn.ANCHORARRAY(NN175)))/ AVERAGE(_xlfn.ANCHORARRAY(NN175))),0)</f>
        <v>0</v>
      </c>
      <c r="NT175" t="str" cm="1">
        <f t="array" ref="NT175">IF(AND(NS175&gt;$NT$1,NL175&lt;&gt;""),_xlfn.XLOOKUP(MAX(_xlfn.ANCHORARRAY(NN175)),_xlfn.ANCHORARRAY(NN175),NN$4:NR$4,""),"")</f>
        <v/>
      </c>
      <c r="NV175" cm="1">
        <f t="array" ref="NV175:OE175">SUMIFS($J175:$GG175,$J$2:$GG$2,NV$3:OE$3)</f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 cm="1">
        <f t="array" ref="OF175">IFERROR(MAX((_xlfn.ANCHORARRAY(NV175)-AVERAGE(_xlfn.ANCHORARRAY(NV175)))/ AVERAGE(_xlfn.ANCHORARRAY(NV175))),0)</f>
        <v>0</v>
      </c>
      <c r="OG175" t="str" cm="1">
        <f t="array" ref="OG175">IF(OF175&gt;$OG$1,_xlfn.XLOOKUP(MAX(_xlfn.ANCHORARRAY(NV175)),_xlfn.ANCHORARRAY(NV175),NV$4:OE$4,""),"")</f>
        <v/>
      </c>
      <c r="OI175" t="str">
        <f t="shared" si="26"/>
        <v/>
      </c>
    </row>
    <row r="176" spans="2:399" x14ac:dyDescent="0.3">
      <c r="B176" s="2" t="str">
        <f t="shared" si="29"/>
        <v>CORE</v>
      </c>
      <c r="C176" s="2" t="str">
        <f t="shared" si="30"/>
        <v>CORE</v>
      </c>
      <c r="D176" s="2" t="str">
        <f t="shared" si="31"/>
        <v>CORE</v>
      </c>
      <c r="E176" s="2" t="str">
        <f t="shared" si="23"/>
        <v/>
      </c>
      <c r="F176" s="2">
        <f t="shared" si="32"/>
        <v>0</v>
      </c>
      <c r="G176" s="2">
        <f t="shared" si="33"/>
        <v>0</v>
      </c>
      <c r="H176" s="2">
        <f t="shared" si="34"/>
        <v>0</v>
      </c>
      <c r="I176" s="2">
        <f t="shared" si="35"/>
        <v>0</v>
      </c>
      <c r="NH176" cm="1">
        <f t="array" ref="NH176:NJ176">SUMIFS($J176:$GG176,$J$1:$GG$1,NH$3:NJ$3)</f>
        <v>0</v>
      </c>
      <c r="NI176">
        <v>0</v>
      </c>
      <c r="NJ176">
        <v>0</v>
      </c>
      <c r="NK176" cm="1">
        <f t="array" ref="NK176">IFERROR(MAX((_xlfn.ANCHORARRAY(NH176)-AVERAGE(_xlfn.ANCHORARRAY(NH176)))/ AVERAGE(_xlfn.ANCHORARRAY(NH176))),0)</f>
        <v>0</v>
      </c>
      <c r="NL176" t="str" cm="1">
        <f t="array" ref="NL176">IF(NK176&gt;$NL$1,_xlfn.XLOOKUP(MAX(_xlfn.ANCHORARRAY(NH176)),_xlfn.ANCHORARRAY(NH176),NH$4:NJ$4,""),"")</f>
        <v/>
      </c>
      <c r="NN176" cm="1">
        <f t="array" ref="NN176:NR176">SUMIFS($J176:$GG176,$J$3:$GG$3,NN$3:NR$3)</f>
        <v>0</v>
      </c>
      <c r="NO176">
        <v>0</v>
      </c>
      <c r="NP176">
        <v>0</v>
      </c>
      <c r="NQ176">
        <v>0</v>
      </c>
      <c r="NR176">
        <v>0</v>
      </c>
      <c r="NS176" cm="1">
        <f t="array" ref="NS176">IFERROR(MAX((_xlfn.ANCHORARRAY(NN176)-AVERAGE(_xlfn.ANCHORARRAY(NN176)))/ AVERAGE(_xlfn.ANCHORARRAY(NN176))),0)</f>
        <v>0</v>
      </c>
      <c r="NT176" t="str" cm="1">
        <f t="array" ref="NT176">IF(AND(NS176&gt;$NT$1,NL176&lt;&gt;""),_xlfn.XLOOKUP(MAX(_xlfn.ANCHORARRAY(NN176)),_xlfn.ANCHORARRAY(NN176),NN$4:NR$4,""),"")</f>
        <v/>
      </c>
      <c r="NV176" cm="1">
        <f t="array" ref="NV176:OE176">SUMIFS($J176:$GG176,$J$2:$GG$2,NV$3:OE$3)</f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 cm="1">
        <f t="array" ref="OF176">IFERROR(MAX((_xlfn.ANCHORARRAY(NV176)-AVERAGE(_xlfn.ANCHORARRAY(NV176)))/ AVERAGE(_xlfn.ANCHORARRAY(NV176))),0)</f>
        <v>0</v>
      </c>
      <c r="OG176" t="str" cm="1">
        <f t="array" ref="OG176">IF(OF176&gt;$OG$1,_xlfn.XLOOKUP(MAX(_xlfn.ANCHORARRAY(NV176)),_xlfn.ANCHORARRAY(NV176),NV$4:OE$4,""),"")</f>
        <v/>
      </c>
      <c r="OI176" t="str">
        <f t="shared" si="26"/>
        <v/>
      </c>
    </row>
    <row r="177" spans="2:399" x14ac:dyDescent="0.3">
      <c r="B177" s="2" t="str">
        <f t="shared" si="29"/>
        <v>CORE</v>
      </c>
      <c r="C177" s="2" t="str">
        <f t="shared" si="30"/>
        <v>CORE</v>
      </c>
      <c r="D177" s="2" t="str">
        <f t="shared" si="31"/>
        <v>CORE</v>
      </c>
      <c r="E177" s="2" t="str">
        <f t="shared" si="23"/>
        <v/>
      </c>
      <c r="F177" s="2">
        <f t="shared" si="32"/>
        <v>0</v>
      </c>
      <c r="G177" s="2">
        <f t="shared" si="33"/>
        <v>0</v>
      </c>
      <c r="H177" s="2">
        <f t="shared" si="34"/>
        <v>0</v>
      </c>
      <c r="I177" s="2">
        <f t="shared" si="35"/>
        <v>0</v>
      </c>
      <c r="NH177" cm="1">
        <f t="array" ref="NH177:NJ177">SUMIFS($J177:$GG177,$J$1:$GG$1,NH$3:NJ$3)</f>
        <v>0</v>
      </c>
      <c r="NI177">
        <v>0</v>
      </c>
      <c r="NJ177">
        <v>0</v>
      </c>
      <c r="NK177" cm="1">
        <f t="array" ref="NK177">IFERROR(MAX((_xlfn.ANCHORARRAY(NH177)-AVERAGE(_xlfn.ANCHORARRAY(NH177)))/ AVERAGE(_xlfn.ANCHORARRAY(NH177))),0)</f>
        <v>0</v>
      </c>
      <c r="NL177" t="str" cm="1">
        <f t="array" ref="NL177">IF(NK177&gt;$NL$1,_xlfn.XLOOKUP(MAX(_xlfn.ANCHORARRAY(NH177)),_xlfn.ANCHORARRAY(NH177),NH$4:NJ$4,""),"")</f>
        <v/>
      </c>
      <c r="NN177" cm="1">
        <f t="array" ref="NN177:NR177">SUMIFS($J177:$GG177,$J$3:$GG$3,NN$3:NR$3)</f>
        <v>0</v>
      </c>
      <c r="NO177">
        <v>0</v>
      </c>
      <c r="NP177">
        <v>0</v>
      </c>
      <c r="NQ177">
        <v>0</v>
      </c>
      <c r="NR177">
        <v>0</v>
      </c>
      <c r="NS177" cm="1">
        <f t="array" ref="NS177">IFERROR(MAX((_xlfn.ANCHORARRAY(NN177)-AVERAGE(_xlfn.ANCHORARRAY(NN177)))/ AVERAGE(_xlfn.ANCHORARRAY(NN177))),0)</f>
        <v>0</v>
      </c>
      <c r="NT177" t="str" cm="1">
        <f t="array" ref="NT177">IF(AND(NS177&gt;$NT$1,NL177&lt;&gt;""),_xlfn.XLOOKUP(MAX(_xlfn.ANCHORARRAY(NN177)),_xlfn.ANCHORARRAY(NN177),NN$4:NR$4,""),"")</f>
        <v/>
      </c>
      <c r="NV177" cm="1">
        <f t="array" ref="NV177:OE177">SUMIFS($J177:$GG177,$J$2:$GG$2,NV$3:OE$3)</f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 cm="1">
        <f t="array" ref="OF177">IFERROR(MAX((_xlfn.ANCHORARRAY(NV177)-AVERAGE(_xlfn.ANCHORARRAY(NV177)))/ AVERAGE(_xlfn.ANCHORARRAY(NV177))),0)</f>
        <v>0</v>
      </c>
      <c r="OG177" t="str" cm="1">
        <f t="array" ref="OG177">IF(OF177&gt;$OG$1,_xlfn.XLOOKUP(MAX(_xlfn.ANCHORARRAY(NV177)),_xlfn.ANCHORARRAY(NV177),NV$4:OE$4,""),"")</f>
        <v/>
      </c>
      <c r="OI177" t="str">
        <f t="shared" si="26"/>
        <v/>
      </c>
    </row>
    <row r="178" spans="2:399" x14ac:dyDescent="0.3">
      <c r="B178" s="2" t="str">
        <f t="shared" ref="B178:B188" si="36">IF(C178="NotFound",D178,C178)</f>
        <v>CORE</v>
      </c>
      <c r="C178" s="2" t="str">
        <f t="shared" ref="C178:C188" si="37">IF(H178&gt;1,"NotFound","CORE"&amp;_xlfn.XLOOKUP(MAX(J178:GG178,1),J178:GG178,$J$4:$GG$4,""))</f>
        <v>CORE</v>
      </c>
      <c r="D178" s="2" t="str">
        <f t="shared" ref="D178:D188" si="38">IF(F178&gt;1,"NotFound","CORE"&amp;_xlfn.XLOOKUP(MAX(GI178:NF178,1),GI178:NF178,$GI$4:$NF$4,""))</f>
        <v>CORE</v>
      </c>
      <c r="E178" s="2" t="str">
        <f t="shared" si="23"/>
        <v/>
      </c>
      <c r="F178" s="2">
        <f t="shared" ref="F178:F188" si="39">COUNTIF(GI178:NF178,G178)</f>
        <v>0</v>
      </c>
      <c r="G178" s="2">
        <f t="shared" ref="G178:G188" si="40">MAX(GI178:NF178)</f>
        <v>0</v>
      </c>
      <c r="H178" s="2">
        <f t="shared" ref="H178:H188" si="41">COUNTIF(J178:GG178,I178)</f>
        <v>0</v>
      </c>
      <c r="I178" s="2">
        <f t="shared" ref="I178:I188" si="42">MAX(J178:GG178)</f>
        <v>0</v>
      </c>
      <c r="NH178" cm="1">
        <f t="array" ref="NH178:NJ178">SUMIFS($J178:$GG178,$J$1:$GG$1,NH$3:NJ$3)</f>
        <v>0</v>
      </c>
      <c r="NI178">
        <v>0</v>
      </c>
      <c r="NJ178">
        <v>0</v>
      </c>
      <c r="NK178" cm="1">
        <f t="array" ref="NK178">IFERROR(MAX((_xlfn.ANCHORARRAY(NH178)-AVERAGE(_xlfn.ANCHORARRAY(NH178)))/ AVERAGE(_xlfn.ANCHORARRAY(NH178))),0)</f>
        <v>0</v>
      </c>
      <c r="NL178" t="str" cm="1">
        <f t="array" ref="NL178">IF(NK178&gt;$NL$1,_xlfn.XLOOKUP(MAX(_xlfn.ANCHORARRAY(NH178)),_xlfn.ANCHORARRAY(NH178),NH$4:NJ$4,""),"")</f>
        <v/>
      </c>
      <c r="NN178" cm="1">
        <f t="array" ref="NN178:NR178">SUMIFS($J178:$GG178,$J$3:$GG$3,NN$3:NR$3)</f>
        <v>0</v>
      </c>
      <c r="NO178">
        <v>0</v>
      </c>
      <c r="NP178">
        <v>0</v>
      </c>
      <c r="NQ178">
        <v>0</v>
      </c>
      <c r="NR178">
        <v>0</v>
      </c>
      <c r="NS178" cm="1">
        <f t="array" ref="NS178">IFERROR(MAX((_xlfn.ANCHORARRAY(NN178)-AVERAGE(_xlfn.ANCHORARRAY(NN178)))/ AVERAGE(_xlfn.ANCHORARRAY(NN178))),0)</f>
        <v>0</v>
      </c>
      <c r="NT178" t="str" cm="1">
        <f t="array" ref="NT178">IF(AND(NS178&gt;$NT$1,NL178&lt;&gt;""),_xlfn.XLOOKUP(MAX(_xlfn.ANCHORARRAY(NN178)),_xlfn.ANCHORARRAY(NN178),NN$4:NR$4,""),"")</f>
        <v/>
      </c>
      <c r="NV178" cm="1">
        <f t="array" ref="NV178:OE178">SUMIFS($J178:$GG178,$J$2:$GG$2,NV$3:OE$3)</f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 cm="1">
        <f t="array" ref="OF178">IFERROR(MAX((_xlfn.ANCHORARRAY(NV178)-AVERAGE(_xlfn.ANCHORARRAY(NV178)))/ AVERAGE(_xlfn.ANCHORARRAY(NV178))),0)</f>
        <v>0</v>
      </c>
      <c r="OG178" t="str" cm="1">
        <f t="array" ref="OG178">IF(OF178&gt;$OG$1,_xlfn.XLOOKUP(MAX(_xlfn.ANCHORARRAY(NV178)),_xlfn.ANCHORARRAY(NV178),NV$4:OE$4,""),"")</f>
        <v/>
      </c>
      <c r="OI178" t="str">
        <f t="shared" si="26"/>
        <v/>
      </c>
    </row>
    <row r="179" spans="2:399" x14ac:dyDescent="0.3">
      <c r="B179" s="2" t="str">
        <f t="shared" si="36"/>
        <v>CORE</v>
      </c>
      <c r="C179" s="2" t="str">
        <f t="shared" si="37"/>
        <v>CORE</v>
      </c>
      <c r="D179" s="2" t="str">
        <f t="shared" si="38"/>
        <v>CORE</v>
      </c>
      <c r="E179" s="2" t="str">
        <f t="shared" si="23"/>
        <v/>
      </c>
      <c r="F179" s="2">
        <f t="shared" si="39"/>
        <v>0</v>
      </c>
      <c r="G179" s="2">
        <f t="shared" si="40"/>
        <v>0</v>
      </c>
      <c r="H179" s="2">
        <f t="shared" si="41"/>
        <v>0</v>
      </c>
      <c r="I179" s="2">
        <f t="shared" si="42"/>
        <v>0</v>
      </c>
      <c r="NH179" cm="1">
        <f t="array" ref="NH179:NJ179">SUMIFS($J179:$GG179,$J$1:$GG$1,NH$3:NJ$3)</f>
        <v>0</v>
      </c>
      <c r="NI179">
        <v>0</v>
      </c>
      <c r="NJ179">
        <v>0</v>
      </c>
      <c r="NK179" cm="1">
        <f t="array" ref="NK179">IFERROR(MAX((_xlfn.ANCHORARRAY(NH179)-AVERAGE(_xlfn.ANCHORARRAY(NH179)))/ AVERAGE(_xlfn.ANCHORARRAY(NH179))),0)</f>
        <v>0</v>
      </c>
      <c r="NL179" t="str" cm="1">
        <f t="array" ref="NL179">IF(NK179&gt;$NL$1,_xlfn.XLOOKUP(MAX(_xlfn.ANCHORARRAY(NH179)),_xlfn.ANCHORARRAY(NH179),NH$4:NJ$4,""),"")</f>
        <v/>
      </c>
      <c r="NN179" cm="1">
        <f t="array" ref="NN179:NR179">SUMIFS($J179:$GG179,$J$3:$GG$3,NN$3:NR$3)</f>
        <v>0</v>
      </c>
      <c r="NO179">
        <v>0</v>
      </c>
      <c r="NP179">
        <v>0</v>
      </c>
      <c r="NQ179">
        <v>0</v>
      </c>
      <c r="NR179">
        <v>0</v>
      </c>
      <c r="NS179" cm="1">
        <f t="array" ref="NS179">IFERROR(MAX((_xlfn.ANCHORARRAY(NN179)-AVERAGE(_xlfn.ANCHORARRAY(NN179)))/ AVERAGE(_xlfn.ANCHORARRAY(NN179))),0)</f>
        <v>0</v>
      </c>
      <c r="NT179" t="str" cm="1">
        <f t="array" ref="NT179">IF(AND(NS179&gt;$NT$1,NL179&lt;&gt;""),_xlfn.XLOOKUP(MAX(_xlfn.ANCHORARRAY(NN179)),_xlfn.ANCHORARRAY(NN179),NN$4:NR$4,""),"")</f>
        <v/>
      </c>
      <c r="NV179" cm="1">
        <f t="array" ref="NV179:OE179">SUMIFS($J179:$GG179,$J$2:$GG$2,NV$3:OE$3)</f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 cm="1">
        <f t="array" ref="OF179">IFERROR(MAX((_xlfn.ANCHORARRAY(NV179)-AVERAGE(_xlfn.ANCHORARRAY(NV179)))/ AVERAGE(_xlfn.ANCHORARRAY(NV179))),0)</f>
        <v>0</v>
      </c>
      <c r="OG179" t="str" cm="1">
        <f t="array" ref="OG179">IF(OF179&gt;$OG$1,_xlfn.XLOOKUP(MAX(_xlfn.ANCHORARRAY(NV179)),_xlfn.ANCHORARRAY(NV179),NV$4:OE$4,""),"")</f>
        <v/>
      </c>
      <c r="OI179" t="str">
        <f t="shared" si="26"/>
        <v/>
      </c>
    </row>
    <row r="180" spans="2:399" x14ac:dyDescent="0.3">
      <c r="B180" s="2" t="str">
        <f t="shared" si="36"/>
        <v>CORE</v>
      </c>
      <c r="C180" s="2" t="str">
        <f t="shared" si="37"/>
        <v>CORE</v>
      </c>
      <c r="D180" s="2" t="str">
        <f t="shared" si="38"/>
        <v>CORE</v>
      </c>
      <c r="E180" s="2" t="str">
        <f t="shared" si="23"/>
        <v/>
      </c>
      <c r="F180" s="2">
        <f t="shared" si="39"/>
        <v>0</v>
      </c>
      <c r="G180" s="2">
        <f t="shared" si="40"/>
        <v>0</v>
      </c>
      <c r="H180" s="2">
        <f t="shared" si="41"/>
        <v>0</v>
      </c>
      <c r="I180" s="2">
        <f t="shared" si="42"/>
        <v>0</v>
      </c>
      <c r="NH180" cm="1">
        <f t="array" ref="NH180:NJ180">SUMIFS($J180:$GG180,$J$1:$GG$1,NH$3:NJ$3)</f>
        <v>0</v>
      </c>
      <c r="NI180">
        <v>0</v>
      </c>
      <c r="NJ180">
        <v>0</v>
      </c>
      <c r="NK180" cm="1">
        <f t="array" ref="NK180">IFERROR(MAX((_xlfn.ANCHORARRAY(NH180)-AVERAGE(_xlfn.ANCHORARRAY(NH180)))/ AVERAGE(_xlfn.ANCHORARRAY(NH180))),0)</f>
        <v>0</v>
      </c>
      <c r="NL180" t="str" cm="1">
        <f t="array" ref="NL180">IF(NK180&gt;$NL$1,_xlfn.XLOOKUP(MAX(_xlfn.ANCHORARRAY(NH180)),_xlfn.ANCHORARRAY(NH180),NH$4:NJ$4,""),"")</f>
        <v/>
      </c>
      <c r="NN180" cm="1">
        <f t="array" ref="NN180:NR180">SUMIFS($J180:$GG180,$J$3:$GG$3,NN$3:NR$3)</f>
        <v>0</v>
      </c>
      <c r="NO180">
        <v>0</v>
      </c>
      <c r="NP180">
        <v>0</v>
      </c>
      <c r="NQ180">
        <v>0</v>
      </c>
      <c r="NR180">
        <v>0</v>
      </c>
      <c r="NS180" cm="1">
        <f t="array" ref="NS180">IFERROR(MAX((_xlfn.ANCHORARRAY(NN180)-AVERAGE(_xlfn.ANCHORARRAY(NN180)))/ AVERAGE(_xlfn.ANCHORARRAY(NN180))),0)</f>
        <v>0</v>
      </c>
      <c r="NT180" t="str" cm="1">
        <f t="array" ref="NT180">IF(AND(NS180&gt;$NT$1,NL180&lt;&gt;""),_xlfn.XLOOKUP(MAX(_xlfn.ANCHORARRAY(NN180)),_xlfn.ANCHORARRAY(NN180),NN$4:NR$4,""),"")</f>
        <v/>
      </c>
      <c r="NV180" cm="1">
        <f t="array" ref="NV180:OE180">SUMIFS($J180:$GG180,$J$2:$GG$2,NV$3:OE$3)</f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 cm="1">
        <f t="array" ref="OF180">IFERROR(MAX((_xlfn.ANCHORARRAY(NV180)-AVERAGE(_xlfn.ANCHORARRAY(NV180)))/ AVERAGE(_xlfn.ANCHORARRAY(NV180))),0)</f>
        <v>0</v>
      </c>
      <c r="OG180" t="str" cm="1">
        <f t="array" ref="OG180">IF(OF180&gt;$OG$1,_xlfn.XLOOKUP(MAX(_xlfn.ANCHORARRAY(NV180)),_xlfn.ANCHORARRAY(NV180),NV$4:OE$4,""),"")</f>
        <v/>
      </c>
      <c r="OI180" t="str">
        <f t="shared" si="26"/>
        <v/>
      </c>
    </row>
    <row r="181" spans="2:399" x14ac:dyDescent="0.3">
      <c r="B181" s="2" t="str">
        <f t="shared" si="36"/>
        <v>CORE</v>
      </c>
      <c r="C181" s="2" t="str">
        <f t="shared" si="37"/>
        <v>CORE</v>
      </c>
      <c r="D181" s="2" t="str">
        <f t="shared" si="38"/>
        <v>CORE</v>
      </c>
      <c r="E181" s="2" t="str">
        <f t="shared" si="23"/>
        <v/>
      </c>
      <c r="F181" s="2">
        <f t="shared" si="39"/>
        <v>0</v>
      </c>
      <c r="G181" s="2">
        <f t="shared" si="40"/>
        <v>0</v>
      </c>
      <c r="H181" s="2">
        <f t="shared" si="41"/>
        <v>0</v>
      </c>
      <c r="I181" s="2">
        <f t="shared" si="42"/>
        <v>0</v>
      </c>
      <c r="NH181" cm="1">
        <f t="array" ref="NH181:NJ181">SUMIFS($J181:$GG181,$J$1:$GG$1,NH$3:NJ$3)</f>
        <v>0</v>
      </c>
      <c r="NI181">
        <v>0</v>
      </c>
      <c r="NJ181">
        <v>0</v>
      </c>
      <c r="NK181" cm="1">
        <f t="array" ref="NK181">IFERROR(MAX((_xlfn.ANCHORARRAY(NH181)-AVERAGE(_xlfn.ANCHORARRAY(NH181)))/ AVERAGE(_xlfn.ANCHORARRAY(NH181))),0)</f>
        <v>0</v>
      </c>
      <c r="NL181" t="str" cm="1">
        <f t="array" ref="NL181">IF(NK181&gt;$NL$1,_xlfn.XLOOKUP(MAX(_xlfn.ANCHORARRAY(NH181)),_xlfn.ANCHORARRAY(NH181),NH$4:NJ$4,""),"")</f>
        <v/>
      </c>
      <c r="NN181" cm="1">
        <f t="array" ref="NN181:NR181">SUMIFS($J181:$GG181,$J$3:$GG$3,NN$3:NR$3)</f>
        <v>0</v>
      </c>
      <c r="NO181">
        <v>0</v>
      </c>
      <c r="NP181">
        <v>0</v>
      </c>
      <c r="NQ181">
        <v>0</v>
      </c>
      <c r="NR181">
        <v>0</v>
      </c>
      <c r="NS181" cm="1">
        <f t="array" ref="NS181">IFERROR(MAX((_xlfn.ANCHORARRAY(NN181)-AVERAGE(_xlfn.ANCHORARRAY(NN181)))/ AVERAGE(_xlfn.ANCHORARRAY(NN181))),0)</f>
        <v>0</v>
      </c>
      <c r="NT181" t="str" cm="1">
        <f t="array" ref="NT181">IF(AND(NS181&gt;$NT$1,NL181&lt;&gt;""),_xlfn.XLOOKUP(MAX(_xlfn.ANCHORARRAY(NN181)),_xlfn.ANCHORARRAY(NN181),NN$4:NR$4,""),"")</f>
        <v/>
      </c>
      <c r="NV181" cm="1">
        <f t="array" ref="NV181:OE181">SUMIFS($J181:$GG181,$J$2:$GG$2,NV$3:OE$3)</f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 cm="1">
        <f t="array" ref="OF181">IFERROR(MAX((_xlfn.ANCHORARRAY(NV181)-AVERAGE(_xlfn.ANCHORARRAY(NV181)))/ AVERAGE(_xlfn.ANCHORARRAY(NV181))),0)</f>
        <v>0</v>
      </c>
      <c r="OG181" t="str" cm="1">
        <f t="array" ref="OG181">IF(OF181&gt;$OG$1,_xlfn.XLOOKUP(MAX(_xlfn.ANCHORARRAY(NV181)),_xlfn.ANCHORARRAY(NV181),NV$4:OE$4,""),"")</f>
        <v/>
      </c>
      <c r="OI181" t="str">
        <f t="shared" si="26"/>
        <v/>
      </c>
    </row>
    <row r="182" spans="2:399" x14ac:dyDescent="0.3">
      <c r="B182" s="2" t="str">
        <f t="shared" si="36"/>
        <v>CORE</v>
      </c>
      <c r="C182" s="2" t="str">
        <f t="shared" si="37"/>
        <v>CORE</v>
      </c>
      <c r="D182" s="2" t="str">
        <f t="shared" si="38"/>
        <v>CORE</v>
      </c>
      <c r="E182" s="2" t="str">
        <f t="shared" si="23"/>
        <v/>
      </c>
      <c r="F182" s="2">
        <f t="shared" si="39"/>
        <v>0</v>
      </c>
      <c r="G182" s="2">
        <f t="shared" si="40"/>
        <v>0</v>
      </c>
      <c r="H182" s="2">
        <f t="shared" si="41"/>
        <v>0</v>
      </c>
      <c r="I182" s="2">
        <f t="shared" si="42"/>
        <v>0</v>
      </c>
      <c r="NH182" cm="1">
        <f t="array" ref="NH182:NJ182">SUMIFS($J182:$GG182,$J$1:$GG$1,NH$3:NJ$3)</f>
        <v>0</v>
      </c>
      <c r="NI182">
        <v>0</v>
      </c>
      <c r="NJ182">
        <v>0</v>
      </c>
      <c r="NK182" cm="1">
        <f t="array" ref="NK182">IFERROR(MAX((_xlfn.ANCHORARRAY(NH182)-AVERAGE(_xlfn.ANCHORARRAY(NH182)))/ AVERAGE(_xlfn.ANCHORARRAY(NH182))),0)</f>
        <v>0</v>
      </c>
      <c r="NL182" t="str" cm="1">
        <f t="array" ref="NL182">IF(NK182&gt;$NL$1,_xlfn.XLOOKUP(MAX(_xlfn.ANCHORARRAY(NH182)),_xlfn.ANCHORARRAY(NH182),NH$4:NJ$4,""),"")</f>
        <v/>
      </c>
      <c r="NN182" cm="1">
        <f t="array" ref="NN182:NR182">SUMIFS($J182:$GG182,$J$3:$GG$3,NN$3:NR$3)</f>
        <v>0</v>
      </c>
      <c r="NO182">
        <v>0</v>
      </c>
      <c r="NP182">
        <v>0</v>
      </c>
      <c r="NQ182">
        <v>0</v>
      </c>
      <c r="NR182">
        <v>0</v>
      </c>
      <c r="NS182" cm="1">
        <f t="array" ref="NS182">IFERROR(MAX((_xlfn.ANCHORARRAY(NN182)-AVERAGE(_xlfn.ANCHORARRAY(NN182)))/ AVERAGE(_xlfn.ANCHORARRAY(NN182))),0)</f>
        <v>0</v>
      </c>
      <c r="NT182" t="str" cm="1">
        <f t="array" ref="NT182">IF(AND(NS182&gt;$NT$1,NL182&lt;&gt;""),_xlfn.XLOOKUP(MAX(_xlfn.ANCHORARRAY(NN182)),_xlfn.ANCHORARRAY(NN182),NN$4:NR$4,""),"")</f>
        <v/>
      </c>
      <c r="NV182" cm="1">
        <f t="array" ref="NV182:OE182">SUMIFS($J182:$GG182,$J$2:$GG$2,NV$3:OE$3)</f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 cm="1">
        <f t="array" ref="OF182">IFERROR(MAX((_xlfn.ANCHORARRAY(NV182)-AVERAGE(_xlfn.ANCHORARRAY(NV182)))/ AVERAGE(_xlfn.ANCHORARRAY(NV182))),0)</f>
        <v>0</v>
      </c>
      <c r="OG182" t="str" cm="1">
        <f t="array" ref="OG182">IF(OF182&gt;$OG$1,_xlfn.XLOOKUP(MAX(_xlfn.ANCHORARRAY(NV182)),_xlfn.ANCHORARRAY(NV182),NV$4:OE$4,""),"")</f>
        <v/>
      </c>
      <c r="OI182" t="str">
        <f t="shared" si="26"/>
        <v/>
      </c>
    </row>
    <row r="183" spans="2:399" x14ac:dyDescent="0.3">
      <c r="B183" s="2" t="str">
        <f t="shared" si="36"/>
        <v>CORE</v>
      </c>
      <c r="C183" s="2" t="str">
        <f t="shared" si="37"/>
        <v>CORE</v>
      </c>
      <c r="D183" s="2" t="str">
        <f t="shared" si="38"/>
        <v>CORE</v>
      </c>
      <c r="E183" s="2" t="str">
        <f t="shared" si="23"/>
        <v/>
      </c>
      <c r="F183" s="2">
        <f t="shared" si="39"/>
        <v>0</v>
      </c>
      <c r="G183" s="2">
        <f t="shared" si="40"/>
        <v>0</v>
      </c>
      <c r="H183" s="2">
        <f t="shared" si="41"/>
        <v>0</v>
      </c>
      <c r="I183" s="2">
        <f t="shared" si="42"/>
        <v>0</v>
      </c>
      <c r="NH183" cm="1">
        <f t="array" ref="NH183:NJ183">SUMIFS($J183:$GG183,$J$1:$GG$1,NH$3:NJ$3)</f>
        <v>0</v>
      </c>
      <c r="NI183">
        <v>0</v>
      </c>
      <c r="NJ183">
        <v>0</v>
      </c>
      <c r="NK183" cm="1">
        <f t="array" ref="NK183">IFERROR(MAX((_xlfn.ANCHORARRAY(NH183)-AVERAGE(_xlfn.ANCHORARRAY(NH183)))/ AVERAGE(_xlfn.ANCHORARRAY(NH183))),0)</f>
        <v>0</v>
      </c>
      <c r="NL183" t="str" cm="1">
        <f t="array" ref="NL183">IF(NK183&gt;$NL$1,_xlfn.XLOOKUP(MAX(_xlfn.ANCHORARRAY(NH183)),_xlfn.ANCHORARRAY(NH183),NH$4:NJ$4,""),"")</f>
        <v/>
      </c>
      <c r="NN183" cm="1">
        <f t="array" ref="NN183:NR183">SUMIFS($J183:$GG183,$J$3:$GG$3,NN$3:NR$3)</f>
        <v>0</v>
      </c>
      <c r="NO183">
        <v>0</v>
      </c>
      <c r="NP183">
        <v>0</v>
      </c>
      <c r="NQ183">
        <v>0</v>
      </c>
      <c r="NR183">
        <v>0</v>
      </c>
      <c r="NS183" cm="1">
        <f t="array" ref="NS183">IFERROR(MAX((_xlfn.ANCHORARRAY(NN183)-AVERAGE(_xlfn.ANCHORARRAY(NN183)))/ AVERAGE(_xlfn.ANCHORARRAY(NN183))),0)</f>
        <v>0</v>
      </c>
      <c r="NT183" t="str" cm="1">
        <f t="array" ref="NT183">IF(AND(NS183&gt;$NT$1,NL183&lt;&gt;""),_xlfn.XLOOKUP(MAX(_xlfn.ANCHORARRAY(NN183)),_xlfn.ANCHORARRAY(NN183),NN$4:NR$4,""),"")</f>
        <v/>
      </c>
      <c r="NV183" cm="1">
        <f t="array" ref="NV183:OE183">SUMIFS($J183:$GG183,$J$2:$GG$2,NV$3:OE$3)</f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 cm="1">
        <f t="array" ref="OF183">IFERROR(MAX((_xlfn.ANCHORARRAY(NV183)-AVERAGE(_xlfn.ANCHORARRAY(NV183)))/ AVERAGE(_xlfn.ANCHORARRAY(NV183))),0)</f>
        <v>0</v>
      </c>
      <c r="OG183" t="str" cm="1">
        <f t="array" ref="OG183">IF(OF183&gt;$OG$1,_xlfn.XLOOKUP(MAX(_xlfn.ANCHORARRAY(NV183)),_xlfn.ANCHORARRAY(NV183),NV$4:OE$4,""),"")</f>
        <v/>
      </c>
      <c r="OI183" t="str">
        <f t="shared" si="26"/>
        <v/>
      </c>
    </row>
    <row r="184" spans="2:399" x14ac:dyDescent="0.3">
      <c r="B184" s="2" t="str">
        <f t="shared" si="36"/>
        <v>CORE</v>
      </c>
      <c r="C184" s="2" t="str">
        <f t="shared" si="37"/>
        <v>CORE</v>
      </c>
      <c r="D184" s="2" t="str">
        <f t="shared" si="38"/>
        <v>CORE</v>
      </c>
      <c r="E184" s="2" t="str">
        <f t="shared" si="23"/>
        <v/>
      </c>
      <c r="F184" s="2">
        <f t="shared" si="39"/>
        <v>0</v>
      </c>
      <c r="G184" s="2">
        <f t="shared" si="40"/>
        <v>0</v>
      </c>
      <c r="H184" s="2">
        <f t="shared" si="41"/>
        <v>0</v>
      </c>
      <c r="I184" s="2">
        <f t="shared" si="42"/>
        <v>0</v>
      </c>
      <c r="NH184" cm="1">
        <f t="array" ref="NH184:NJ184">SUMIFS($J184:$GG184,$J$1:$GG$1,NH$3:NJ$3)</f>
        <v>0</v>
      </c>
      <c r="NI184">
        <v>0</v>
      </c>
      <c r="NJ184">
        <v>0</v>
      </c>
      <c r="NK184" cm="1">
        <f t="array" ref="NK184">IFERROR(MAX((_xlfn.ANCHORARRAY(NH184)-AVERAGE(_xlfn.ANCHORARRAY(NH184)))/ AVERAGE(_xlfn.ANCHORARRAY(NH184))),0)</f>
        <v>0</v>
      </c>
      <c r="NL184" t="str" cm="1">
        <f t="array" ref="NL184">IF(NK184&gt;$NL$1,_xlfn.XLOOKUP(MAX(_xlfn.ANCHORARRAY(NH184)),_xlfn.ANCHORARRAY(NH184),NH$4:NJ$4,""),"")</f>
        <v/>
      </c>
      <c r="NN184" cm="1">
        <f t="array" ref="NN184:NR184">SUMIFS($J184:$GG184,$J$3:$GG$3,NN$3:NR$3)</f>
        <v>0</v>
      </c>
      <c r="NO184">
        <v>0</v>
      </c>
      <c r="NP184">
        <v>0</v>
      </c>
      <c r="NQ184">
        <v>0</v>
      </c>
      <c r="NR184">
        <v>0</v>
      </c>
      <c r="NS184" cm="1">
        <f t="array" ref="NS184">IFERROR(MAX((_xlfn.ANCHORARRAY(NN184)-AVERAGE(_xlfn.ANCHORARRAY(NN184)))/ AVERAGE(_xlfn.ANCHORARRAY(NN184))),0)</f>
        <v>0</v>
      </c>
      <c r="NT184" t="str" cm="1">
        <f t="array" ref="NT184">IF(AND(NS184&gt;$NT$1,NL184&lt;&gt;""),_xlfn.XLOOKUP(MAX(_xlfn.ANCHORARRAY(NN184)),_xlfn.ANCHORARRAY(NN184),NN$4:NR$4,""),"")</f>
        <v/>
      </c>
      <c r="NV184" cm="1">
        <f t="array" ref="NV184:OE184">SUMIFS($J184:$GG184,$J$2:$GG$2,NV$3:OE$3)</f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 cm="1">
        <f t="array" ref="OF184">IFERROR(MAX((_xlfn.ANCHORARRAY(NV184)-AVERAGE(_xlfn.ANCHORARRAY(NV184)))/ AVERAGE(_xlfn.ANCHORARRAY(NV184))),0)</f>
        <v>0</v>
      </c>
      <c r="OG184" t="str" cm="1">
        <f t="array" ref="OG184">IF(OF184&gt;$OG$1,_xlfn.XLOOKUP(MAX(_xlfn.ANCHORARRAY(NV184)),_xlfn.ANCHORARRAY(NV184),NV$4:OE$4,""),"")</f>
        <v/>
      </c>
      <c r="OI184" t="str">
        <f t="shared" si="26"/>
        <v/>
      </c>
    </row>
    <row r="185" spans="2:399" x14ac:dyDescent="0.3">
      <c r="B185" s="2" t="str">
        <f t="shared" si="36"/>
        <v>CORE</v>
      </c>
      <c r="C185" s="2" t="str">
        <f t="shared" si="37"/>
        <v>CORE</v>
      </c>
      <c r="D185" s="2" t="str">
        <f t="shared" si="38"/>
        <v>CORE</v>
      </c>
      <c r="E185" s="2" t="str">
        <f t="shared" si="23"/>
        <v/>
      </c>
      <c r="F185" s="2">
        <f t="shared" si="39"/>
        <v>0</v>
      </c>
      <c r="G185" s="2">
        <f t="shared" si="40"/>
        <v>0</v>
      </c>
      <c r="H185" s="2">
        <f t="shared" si="41"/>
        <v>0</v>
      </c>
      <c r="I185" s="2">
        <f t="shared" si="42"/>
        <v>0</v>
      </c>
      <c r="NH185" cm="1">
        <f t="array" ref="NH185:NJ185">SUMIFS($J185:$GG185,$J$1:$GG$1,NH$3:NJ$3)</f>
        <v>0</v>
      </c>
      <c r="NI185">
        <v>0</v>
      </c>
      <c r="NJ185">
        <v>0</v>
      </c>
      <c r="NK185" cm="1">
        <f t="array" ref="NK185">IFERROR(MAX((_xlfn.ANCHORARRAY(NH185)-AVERAGE(_xlfn.ANCHORARRAY(NH185)))/ AVERAGE(_xlfn.ANCHORARRAY(NH185))),0)</f>
        <v>0</v>
      </c>
      <c r="NL185" t="str" cm="1">
        <f t="array" ref="NL185">IF(NK185&gt;$NL$1,_xlfn.XLOOKUP(MAX(_xlfn.ANCHORARRAY(NH185)),_xlfn.ANCHORARRAY(NH185),NH$4:NJ$4,""),"")</f>
        <v/>
      </c>
      <c r="NN185" cm="1">
        <f t="array" ref="NN185:NR185">SUMIFS($J185:$GG185,$J$3:$GG$3,NN$3:NR$3)</f>
        <v>0</v>
      </c>
      <c r="NO185">
        <v>0</v>
      </c>
      <c r="NP185">
        <v>0</v>
      </c>
      <c r="NQ185">
        <v>0</v>
      </c>
      <c r="NR185">
        <v>0</v>
      </c>
      <c r="NS185" cm="1">
        <f t="array" ref="NS185">IFERROR(MAX((_xlfn.ANCHORARRAY(NN185)-AVERAGE(_xlfn.ANCHORARRAY(NN185)))/ AVERAGE(_xlfn.ANCHORARRAY(NN185))),0)</f>
        <v>0</v>
      </c>
      <c r="NT185" t="str" cm="1">
        <f t="array" ref="NT185">IF(AND(NS185&gt;$NT$1,NL185&lt;&gt;""),_xlfn.XLOOKUP(MAX(_xlfn.ANCHORARRAY(NN185)),_xlfn.ANCHORARRAY(NN185),NN$4:NR$4,""),"")</f>
        <v/>
      </c>
      <c r="NV185" cm="1">
        <f t="array" ref="NV185:OE185">SUMIFS($J185:$GG185,$J$2:$GG$2,NV$3:OE$3)</f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 cm="1">
        <f t="array" ref="OF185">IFERROR(MAX((_xlfn.ANCHORARRAY(NV185)-AVERAGE(_xlfn.ANCHORARRAY(NV185)))/ AVERAGE(_xlfn.ANCHORARRAY(NV185))),0)</f>
        <v>0</v>
      </c>
      <c r="OG185" t="str" cm="1">
        <f t="array" ref="OG185">IF(OF185&gt;$OG$1,_xlfn.XLOOKUP(MAX(_xlfn.ANCHORARRAY(NV185)),_xlfn.ANCHORARRAY(NV185),NV$4:OE$4,""),"")</f>
        <v/>
      </c>
      <c r="OI185" t="str">
        <f t="shared" si="26"/>
        <v/>
      </c>
    </row>
    <row r="186" spans="2:399" x14ac:dyDescent="0.3">
      <c r="B186" s="2" t="str">
        <f t="shared" si="36"/>
        <v>CORE</v>
      </c>
      <c r="C186" s="2" t="str">
        <f t="shared" si="37"/>
        <v>CORE</v>
      </c>
      <c r="D186" s="2" t="str">
        <f t="shared" si="38"/>
        <v>CORE</v>
      </c>
      <c r="E186" s="2" t="str">
        <f t="shared" si="23"/>
        <v/>
      </c>
      <c r="F186" s="2">
        <f t="shared" si="39"/>
        <v>0</v>
      </c>
      <c r="G186" s="2">
        <f t="shared" si="40"/>
        <v>0</v>
      </c>
      <c r="H186" s="2">
        <f t="shared" si="41"/>
        <v>0</v>
      </c>
      <c r="I186" s="2">
        <f t="shared" si="42"/>
        <v>0</v>
      </c>
      <c r="NH186" cm="1">
        <f t="array" ref="NH186:NJ186">SUMIFS($J186:$GG186,$J$1:$GG$1,NH$3:NJ$3)</f>
        <v>0</v>
      </c>
      <c r="NI186">
        <v>0</v>
      </c>
      <c r="NJ186">
        <v>0</v>
      </c>
      <c r="NK186" cm="1">
        <f t="array" ref="NK186">IFERROR(MAX((_xlfn.ANCHORARRAY(NH186)-AVERAGE(_xlfn.ANCHORARRAY(NH186)))/ AVERAGE(_xlfn.ANCHORARRAY(NH186))),0)</f>
        <v>0</v>
      </c>
      <c r="NL186" t="str" cm="1">
        <f t="array" ref="NL186">IF(NK186&gt;$NL$1,_xlfn.XLOOKUP(MAX(_xlfn.ANCHORARRAY(NH186)),_xlfn.ANCHORARRAY(NH186),NH$4:NJ$4,""),"")</f>
        <v/>
      </c>
      <c r="NN186" cm="1">
        <f t="array" ref="NN186:NR186">SUMIFS($J186:$GG186,$J$3:$GG$3,NN$3:NR$3)</f>
        <v>0</v>
      </c>
      <c r="NO186">
        <v>0</v>
      </c>
      <c r="NP186">
        <v>0</v>
      </c>
      <c r="NQ186">
        <v>0</v>
      </c>
      <c r="NR186">
        <v>0</v>
      </c>
      <c r="NS186" cm="1">
        <f t="array" ref="NS186">IFERROR(MAX((_xlfn.ANCHORARRAY(NN186)-AVERAGE(_xlfn.ANCHORARRAY(NN186)))/ AVERAGE(_xlfn.ANCHORARRAY(NN186))),0)</f>
        <v>0</v>
      </c>
      <c r="NT186" t="str" cm="1">
        <f t="array" ref="NT186">IF(AND(NS186&gt;$NT$1,NL186&lt;&gt;""),_xlfn.XLOOKUP(MAX(_xlfn.ANCHORARRAY(NN186)),_xlfn.ANCHORARRAY(NN186),NN$4:NR$4,""),"")</f>
        <v/>
      </c>
      <c r="NV186" cm="1">
        <f t="array" ref="NV186:OE186">SUMIFS($J186:$GG186,$J$2:$GG$2,NV$3:OE$3)</f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 cm="1">
        <f t="array" ref="OF186">IFERROR(MAX((_xlfn.ANCHORARRAY(NV186)-AVERAGE(_xlfn.ANCHORARRAY(NV186)))/ AVERAGE(_xlfn.ANCHORARRAY(NV186))),0)</f>
        <v>0</v>
      </c>
      <c r="OG186" t="str" cm="1">
        <f t="array" ref="OG186">IF(OF186&gt;$OG$1,_xlfn.XLOOKUP(MAX(_xlfn.ANCHORARRAY(NV186)),_xlfn.ANCHORARRAY(NV186),NV$4:OE$4,""),"")</f>
        <v/>
      </c>
      <c r="OI186" t="str">
        <f t="shared" si="26"/>
        <v/>
      </c>
    </row>
    <row r="187" spans="2:399" x14ac:dyDescent="0.3">
      <c r="B187" s="2" t="str">
        <f t="shared" si="36"/>
        <v>CORE</v>
      </c>
      <c r="C187" s="2" t="str">
        <f t="shared" si="37"/>
        <v>CORE</v>
      </c>
      <c r="D187" s="2" t="str">
        <f t="shared" si="38"/>
        <v>CORE</v>
      </c>
      <c r="E187" s="2" t="str">
        <f t="shared" si="23"/>
        <v/>
      </c>
      <c r="F187" s="2">
        <f t="shared" si="39"/>
        <v>0</v>
      </c>
      <c r="G187" s="2">
        <f t="shared" si="40"/>
        <v>0</v>
      </c>
      <c r="H187" s="2">
        <f t="shared" si="41"/>
        <v>0</v>
      </c>
      <c r="I187" s="2">
        <f t="shared" si="42"/>
        <v>0</v>
      </c>
      <c r="NH187" cm="1">
        <f t="array" ref="NH187:NJ187">SUMIFS($J187:$GG187,$J$1:$GG$1,NH$3:NJ$3)</f>
        <v>0</v>
      </c>
      <c r="NI187">
        <v>0</v>
      </c>
      <c r="NJ187">
        <v>0</v>
      </c>
      <c r="NK187" cm="1">
        <f t="array" ref="NK187">IFERROR(MAX((_xlfn.ANCHORARRAY(NH187)-AVERAGE(_xlfn.ANCHORARRAY(NH187)))/ AVERAGE(_xlfn.ANCHORARRAY(NH187))),0)</f>
        <v>0</v>
      </c>
      <c r="NL187" t="str" cm="1">
        <f t="array" ref="NL187">IF(NK187&gt;$NL$1,_xlfn.XLOOKUP(MAX(_xlfn.ANCHORARRAY(NH187)),_xlfn.ANCHORARRAY(NH187),NH$4:NJ$4,""),"")</f>
        <v/>
      </c>
      <c r="NN187" cm="1">
        <f t="array" ref="NN187:NR187">SUMIFS($J187:$GG187,$J$3:$GG$3,NN$3:NR$3)</f>
        <v>0</v>
      </c>
      <c r="NO187">
        <v>0</v>
      </c>
      <c r="NP187">
        <v>0</v>
      </c>
      <c r="NQ187">
        <v>0</v>
      </c>
      <c r="NR187">
        <v>0</v>
      </c>
      <c r="NS187" cm="1">
        <f t="array" ref="NS187">IFERROR(MAX((_xlfn.ANCHORARRAY(NN187)-AVERAGE(_xlfn.ANCHORARRAY(NN187)))/ AVERAGE(_xlfn.ANCHORARRAY(NN187))),0)</f>
        <v>0</v>
      </c>
      <c r="NT187" t="str" cm="1">
        <f t="array" ref="NT187">IF(AND(NS187&gt;$NT$1,NL187&lt;&gt;""),_xlfn.XLOOKUP(MAX(_xlfn.ANCHORARRAY(NN187)),_xlfn.ANCHORARRAY(NN187),NN$4:NR$4,""),"")</f>
        <v/>
      </c>
      <c r="NV187" cm="1">
        <f t="array" ref="NV187:OE187">SUMIFS($J187:$GG187,$J$2:$GG$2,NV$3:OE$3)</f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 cm="1">
        <f t="array" ref="OF187">IFERROR(MAX((_xlfn.ANCHORARRAY(NV187)-AVERAGE(_xlfn.ANCHORARRAY(NV187)))/ AVERAGE(_xlfn.ANCHORARRAY(NV187))),0)</f>
        <v>0</v>
      </c>
      <c r="OG187" t="str" cm="1">
        <f t="array" ref="OG187">IF(OF187&gt;$OG$1,_xlfn.XLOOKUP(MAX(_xlfn.ANCHORARRAY(NV187)),_xlfn.ANCHORARRAY(NV187),NV$4:OE$4,""),"")</f>
        <v/>
      </c>
      <c r="OI187" t="str">
        <f t="shared" si="26"/>
        <v/>
      </c>
    </row>
    <row r="188" spans="2:399" x14ac:dyDescent="0.3">
      <c r="B188" s="2" t="str">
        <f t="shared" si="36"/>
        <v>CORE</v>
      </c>
      <c r="C188" s="2" t="str">
        <f t="shared" si="37"/>
        <v>CORE</v>
      </c>
      <c r="D188" s="2" t="str">
        <f t="shared" si="38"/>
        <v>CORE</v>
      </c>
      <c r="E188" s="2" t="str">
        <f t="shared" si="23"/>
        <v/>
      </c>
      <c r="F188" s="2">
        <f t="shared" si="39"/>
        <v>0</v>
      </c>
      <c r="G188" s="2">
        <f t="shared" si="40"/>
        <v>0</v>
      </c>
      <c r="H188" s="2">
        <f t="shared" si="41"/>
        <v>0</v>
      </c>
      <c r="I188" s="2">
        <f t="shared" si="42"/>
        <v>0</v>
      </c>
      <c r="NH188" cm="1">
        <f t="array" ref="NH188:NJ188">SUMIFS($J188:$GG188,$J$1:$GG$1,NH$3:NJ$3)</f>
        <v>0</v>
      </c>
      <c r="NI188">
        <v>0</v>
      </c>
      <c r="NJ188">
        <v>0</v>
      </c>
      <c r="NK188" cm="1">
        <f t="array" ref="NK188">IFERROR(MAX((_xlfn.ANCHORARRAY(NH188)-AVERAGE(_xlfn.ANCHORARRAY(NH188)))/ AVERAGE(_xlfn.ANCHORARRAY(NH188))),0)</f>
        <v>0</v>
      </c>
      <c r="NL188" t="str" cm="1">
        <f t="array" ref="NL188">IF(NK188&gt;$NL$1,_xlfn.XLOOKUP(MAX(_xlfn.ANCHORARRAY(NH188)),_xlfn.ANCHORARRAY(NH188),NH$4:NJ$4,""),"")</f>
        <v/>
      </c>
      <c r="NN188" cm="1">
        <f t="array" ref="NN188:NR188">SUMIFS($J188:$GG188,$J$3:$GG$3,NN$3:NR$3)</f>
        <v>0</v>
      </c>
      <c r="NO188">
        <v>0</v>
      </c>
      <c r="NP188">
        <v>0</v>
      </c>
      <c r="NQ188">
        <v>0</v>
      </c>
      <c r="NR188">
        <v>0</v>
      </c>
      <c r="NS188" cm="1">
        <f t="array" ref="NS188">IFERROR(MAX((_xlfn.ANCHORARRAY(NN188)-AVERAGE(_xlfn.ANCHORARRAY(NN188)))/ AVERAGE(_xlfn.ANCHORARRAY(NN188))),0)</f>
        <v>0</v>
      </c>
      <c r="NT188" t="str" cm="1">
        <f t="array" ref="NT188">IF(AND(NS188&gt;$NT$1,NL188&lt;&gt;""),_xlfn.XLOOKUP(MAX(_xlfn.ANCHORARRAY(NN188)),_xlfn.ANCHORARRAY(NN188),NN$4:NR$4,""),"")</f>
        <v/>
      </c>
      <c r="NV188" cm="1">
        <f t="array" ref="NV188:OE188">SUMIFS($J188:$GG188,$J$2:$GG$2,NV$3:OE$3)</f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 cm="1">
        <f t="array" ref="OF188">IFERROR(MAX((_xlfn.ANCHORARRAY(NV188)-AVERAGE(_xlfn.ANCHORARRAY(NV188)))/ AVERAGE(_xlfn.ANCHORARRAY(NV188))),0)</f>
        <v>0</v>
      </c>
      <c r="OG188" t="str" cm="1">
        <f t="array" ref="OG188">IF(OF188&gt;$OG$1,_xlfn.XLOOKUP(MAX(_xlfn.ANCHORARRAY(NV188)),_xlfn.ANCHORARRAY(NV188),NV$4:OE$4,""),"")</f>
        <v/>
      </c>
      <c r="OI188" t="str">
        <f t="shared" si="26"/>
        <v/>
      </c>
    </row>
    <row r="189" spans="2:399" x14ac:dyDescent="0.3">
      <c r="B189" s="2" t="str">
        <f t="shared" ref="B189:B206" si="43">IF(C189="NotFound",D189,C189)</f>
        <v>CORE</v>
      </c>
      <c r="C189" s="2" t="str">
        <f t="shared" ref="C189:C206" si="44">IF(H189&gt;1,"NotFound","CORE"&amp;_xlfn.XLOOKUP(MAX(J189:GG189,1),J189:GG189,$J$4:$GG$4,""))</f>
        <v>CORE</v>
      </c>
      <c r="D189" s="2" t="str">
        <f t="shared" ref="D189:D206" si="45">IF(F189&gt;1,"NotFound","CORE"&amp;_xlfn.XLOOKUP(MAX(GI189:NF189,1),GI189:NF189,$GI$4:$NF$4,""))</f>
        <v>CORE</v>
      </c>
      <c r="E189" s="2" t="str">
        <f t="shared" ref="E189:E206" si="46">OI189</f>
        <v/>
      </c>
      <c r="F189" s="2">
        <f t="shared" ref="F189:F206" si="47">COUNTIF(GI189:NF189,G189)</f>
        <v>0</v>
      </c>
      <c r="G189" s="2">
        <f t="shared" ref="G189:G206" si="48">MAX(GI189:NF189)</f>
        <v>0</v>
      </c>
      <c r="H189" s="2">
        <f t="shared" ref="H189:H206" si="49">COUNTIF(J189:GG189,I189)</f>
        <v>0</v>
      </c>
      <c r="I189" s="2">
        <f t="shared" ref="I189:I206" si="50">MAX(J189:GG189)</f>
        <v>0</v>
      </c>
      <c r="NH189" cm="1">
        <f t="array" ref="NH189:NJ189">SUMIFS($J189:$GG189,$J$1:$GG$1,NH$3:NJ$3)</f>
        <v>0</v>
      </c>
      <c r="NI189">
        <v>0</v>
      </c>
      <c r="NJ189">
        <v>0</v>
      </c>
      <c r="NK189" cm="1">
        <f t="array" ref="NK189">IFERROR(MAX((_xlfn.ANCHORARRAY(NH189)-AVERAGE(_xlfn.ANCHORARRAY(NH189)))/ AVERAGE(_xlfn.ANCHORARRAY(NH189))),0)</f>
        <v>0</v>
      </c>
      <c r="NL189" t="str" cm="1">
        <f t="array" ref="NL189">IF(NK189&gt;$NL$1,_xlfn.XLOOKUP(MAX(_xlfn.ANCHORARRAY(NH189)),_xlfn.ANCHORARRAY(NH189),NH$4:NJ$4,""),"")</f>
        <v/>
      </c>
      <c r="NN189" cm="1">
        <f t="array" ref="NN189:NR189">SUMIFS($J189:$GG189,$J$3:$GG$3,NN$3:NR$3)</f>
        <v>0</v>
      </c>
      <c r="NO189">
        <v>0</v>
      </c>
      <c r="NP189">
        <v>0</v>
      </c>
      <c r="NQ189">
        <v>0</v>
      </c>
      <c r="NR189">
        <v>0</v>
      </c>
      <c r="NS189" cm="1">
        <f t="array" ref="NS189">IFERROR(MAX((_xlfn.ANCHORARRAY(NN189)-AVERAGE(_xlfn.ANCHORARRAY(NN189)))/ AVERAGE(_xlfn.ANCHORARRAY(NN189))),0)</f>
        <v>0</v>
      </c>
      <c r="NT189" t="str" cm="1">
        <f t="array" ref="NT189">IF(AND(NS189&gt;$NT$1,NL189&lt;&gt;""),_xlfn.XLOOKUP(MAX(_xlfn.ANCHORARRAY(NN189)),_xlfn.ANCHORARRAY(NN189),NN$4:NR$4,""),"")</f>
        <v/>
      </c>
      <c r="NV189" cm="1">
        <f t="array" ref="NV189:OE189">SUMIFS($J189:$GG189,$J$2:$GG$2,NV$3:OE$3)</f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 cm="1">
        <f t="array" ref="OF189">IFERROR(MAX((_xlfn.ANCHORARRAY(NV189)-AVERAGE(_xlfn.ANCHORARRAY(NV189)))/ AVERAGE(_xlfn.ANCHORARRAY(NV189))),0)</f>
        <v>0</v>
      </c>
      <c r="OG189" t="str" cm="1">
        <f t="array" ref="OG189">IF(OF189&gt;$OG$1,_xlfn.XLOOKUP(MAX(_xlfn.ANCHORARRAY(NV189)),_xlfn.ANCHORARRAY(NV189),NV$4:OE$4,""),"")</f>
        <v/>
      </c>
      <c r="OI189" t="str">
        <f t="shared" ref="OI189:OI206" si="51">_xlfn.TEXTJOIN(" : ",,NL189,NT189,OG189)</f>
        <v/>
      </c>
    </row>
    <row r="190" spans="2:399" x14ac:dyDescent="0.3">
      <c r="B190" s="2" t="str">
        <f t="shared" si="43"/>
        <v>CORE</v>
      </c>
      <c r="C190" s="2" t="str">
        <f t="shared" si="44"/>
        <v>CORE</v>
      </c>
      <c r="D190" s="2" t="str">
        <f t="shared" si="45"/>
        <v>CORE</v>
      </c>
      <c r="E190" s="2" t="str">
        <f t="shared" si="46"/>
        <v/>
      </c>
      <c r="F190" s="2">
        <f t="shared" si="47"/>
        <v>0</v>
      </c>
      <c r="G190" s="2">
        <f t="shared" si="48"/>
        <v>0</v>
      </c>
      <c r="H190" s="2">
        <f t="shared" si="49"/>
        <v>0</v>
      </c>
      <c r="I190" s="2">
        <f t="shared" si="50"/>
        <v>0</v>
      </c>
      <c r="NH190" cm="1">
        <f t="array" ref="NH190:NJ190">SUMIFS($J190:$GG190,$J$1:$GG$1,NH$3:NJ$3)</f>
        <v>0</v>
      </c>
      <c r="NI190">
        <v>0</v>
      </c>
      <c r="NJ190">
        <v>0</v>
      </c>
      <c r="NK190" cm="1">
        <f t="array" ref="NK190">IFERROR(MAX((_xlfn.ANCHORARRAY(NH190)-AVERAGE(_xlfn.ANCHORARRAY(NH190)))/ AVERAGE(_xlfn.ANCHORARRAY(NH190))),0)</f>
        <v>0</v>
      </c>
      <c r="NL190" t="str" cm="1">
        <f t="array" ref="NL190">IF(NK190&gt;$NL$1,_xlfn.XLOOKUP(MAX(_xlfn.ANCHORARRAY(NH190)),_xlfn.ANCHORARRAY(NH190),NH$4:NJ$4,""),"")</f>
        <v/>
      </c>
      <c r="NN190" cm="1">
        <f t="array" ref="NN190:NR190">SUMIFS($J190:$GG190,$J$3:$GG$3,NN$3:NR$3)</f>
        <v>0</v>
      </c>
      <c r="NO190">
        <v>0</v>
      </c>
      <c r="NP190">
        <v>0</v>
      </c>
      <c r="NQ190">
        <v>0</v>
      </c>
      <c r="NR190">
        <v>0</v>
      </c>
      <c r="NS190" cm="1">
        <f t="array" ref="NS190">IFERROR(MAX((_xlfn.ANCHORARRAY(NN190)-AVERAGE(_xlfn.ANCHORARRAY(NN190)))/ AVERAGE(_xlfn.ANCHORARRAY(NN190))),0)</f>
        <v>0</v>
      </c>
      <c r="NT190" t="str" cm="1">
        <f t="array" ref="NT190">IF(AND(NS190&gt;$NT$1,NL190&lt;&gt;""),_xlfn.XLOOKUP(MAX(_xlfn.ANCHORARRAY(NN190)),_xlfn.ANCHORARRAY(NN190),NN$4:NR$4,""),"")</f>
        <v/>
      </c>
      <c r="NV190" cm="1">
        <f t="array" ref="NV190:OE190">SUMIFS($J190:$GG190,$J$2:$GG$2,NV$3:OE$3)</f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 cm="1">
        <f t="array" ref="OF190">IFERROR(MAX((_xlfn.ANCHORARRAY(NV190)-AVERAGE(_xlfn.ANCHORARRAY(NV190)))/ AVERAGE(_xlfn.ANCHORARRAY(NV190))),0)</f>
        <v>0</v>
      </c>
      <c r="OG190" t="str" cm="1">
        <f t="array" ref="OG190">IF(OF190&gt;$OG$1,_xlfn.XLOOKUP(MAX(_xlfn.ANCHORARRAY(NV190)),_xlfn.ANCHORARRAY(NV190),NV$4:OE$4,""),"")</f>
        <v/>
      </c>
      <c r="OI190" t="str">
        <f t="shared" si="51"/>
        <v/>
      </c>
    </row>
    <row r="191" spans="2:399" x14ac:dyDescent="0.3">
      <c r="B191" s="2" t="str">
        <f t="shared" si="43"/>
        <v>CORE</v>
      </c>
      <c r="C191" s="2" t="str">
        <f t="shared" si="44"/>
        <v>CORE</v>
      </c>
      <c r="D191" s="2" t="str">
        <f t="shared" si="45"/>
        <v>CORE</v>
      </c>
      <c r="E191" s="2" t="str">
        <f t="shared" si="46"/>
        <v/>
      </c>
      <c r="F191" s="2">
        <f t="shared" si="47"/>
        <v>0</v>
      </c>
      <c r="G191" s="2">
        <f t="shared" si="48"/>
        <v>0</v>
      </c>
      <c r="H191" s="2">
        <f t="shared" si="49"/>
        <v>0</v>
      </c>
      <c r="I191" s="2">
        <f t="shared" si="50"/>
        <v>0</v>
      </c>
      <c r="NH191" cm="1">
        <f t="array" ref="NH191:NJ191">SUMIFS($J191:$GG191,$J$1:$GG$1,NH$3:NJ$3)</f>
        <v>0</v>
      </c>
      <c r="NI191">
        <v>0</v>
      </c>
      <c r="NJ191">
        <v>0</v>
      </c>
      <c r="NK191" cm="1">
        <f t="array" ref="NK191">IFERROR(MAX((_xlfn.ANCHORARRAY(NH191)-AVERAGE(_xlfn.ANCHORARRAY(NH191)))/ AVERAGE(_xlfn.ANCHORARRAY(NH191))),0)</f>
        <v>0</v>
      </c>
      <c r="NL191" t="str" cm="1">
        <f t="array" ref="NL191">IF(NK191&gt;$NL$1,_xlfn.XLOOKUP(MAX(_xlfn.ANCHORARRAY(NH191)),_xlfn.ANCHORARRAY(NH191),NH$4:NJ$4,""),"")</f>
        <v/>
      </c>
      <c r="NN191" cm="1">
        <f t="array" ref="NN191:NR191">SUMIFS($J191:$GG191,$J$3:$GG$3,NN$3:NR$3)</f>
        <v>0</v>
      </c>
      <c r="NO191">
        <v>0</v>
      </c>
      <c r="NP191">
        <v>0</v>
      </c>
      <c r="NQ191">
        <v>0</v>
      </c>
      <c r="NR191">
        <v>0</v>
      </c>
      <c r="NS191" cm="1">
        <f t="array" ref="NS191">IFERROR(MAX((_xlfn.ANCHORARRAY(NN191)-AVERAGE(_xlfn.ANCHORARRAY(NN191)))/ AVERAGE(_xlfn.ANCHORARRAY(NN191))),0)</f>
        <v>0</v>
      </c>
      <c r="NT191" t="str" cm="1">
        <f t="array" ref="NT191">IF(AND(NS191&gt;$NT$1,NL191&lt;&gt;""),_xlfn.XLOOKUP(MAX(_xlfn.ANCHORARRAY(NN191)),_xlfn.ANCHORARRAY(NN191),NN$4:NR$4,""),"")</f>
        <v/>
      </c>
      <c r="NV191" cm="1">
        <f t="array" ref="NV191:OE191">SUMIFS($J191:$GG191,$J$2:$GG$2,NV$3:OE$3)</f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 cm="1">
        <f t="array" ref="OF191">IFERROR(MAX((_xlfn.ANCHORARRAY(NV191)-AVERAGE(_xlfn.ANCHORARRAY(NV191)))/ AVERAGE(_xlfn.ANCHORARRAY(NV191))),0)</f>
        <v>0</v>
      </c>
      <c r="OG191" t="str" cm="1">
        <f t="array" ref="OG191">IF(OF191&gt;$OG$1,_xlfn.XLOOKUP(MAX(_xlfn.ANCHORARRAY(NV191)),_xlfn.ANCHORARRAY(NV191),NV$4:OE$4,""),"")</f>
        <v/>
      </c>
      <c r="OI191" t="str">
        <f t="shared" si="51"/>
        <v/>
      </c>
    </row>
    <row r="192" spans="2:399" x14ac:dyDescent="0.3">
      <c r="B192" s="2" t="str">
        <f t="shared" si="43"/>
        <v>CORE</v>
      </c>
      <c r="C192" s="2" t="str">
        <f t="shared" si="44"/>
        <v>CORE</v>
      </c>
      <c r="D192" s="2" t="str">
        <f t="shared" si="45"/>
        <v>CORE</v>
      </c>
      <c r="E192" s="2" t="str">
        <f t="shared" si="46"/>
        <v/>
      </c>
      <c r="F192" s="2">
        <f t="shared" si="47"/>
        <v>0</v>
      </c>
      <c r="G192" s="2">
        <f t="shared" si="48"/>
        <v>0</v>
      </c>
      <c r="H192" s="2">
        <f t="shared" si="49"/>
        <v>0</v>
      </c>
      <c r="I192" s="2">
        <f t="shared" si="50"/>
        <v>0</v>
      </c>
      <c r="NH192" cm="1">
        <f t="array" ref="NH192:NJ192">SUMIFS($J192:$GG192,$J$1:$GG$1,NH$3:NJ$3)</f>
        <v>0</v>
      </c>
      <c r="NI192">
        <v>0</v>
      </c>
      <c r="NJ192">
        <v>0</v>
      </c>
      <c r="NK192" cm="1">
        <f t="array" ref="NK192">IFERROR(MAX((_xlfn.ANCHORARRAY(NH192)-AVERAGE(_xlfn.ANCHORARRAY(NH192)))/ AVERAGE(_xlfn.ANCHORARRAY(NH192))),0)</f>
        <v>0</v>
      </c>
      <c r="NL192" t="str" cm="1">
        <f t="array" ref="NL192">IF(NK192&gt;$NL$1,_xlfn.XLOOKUP(MAX(_xlfn.ANCHORARRAY(NH192)),_xlfn.ANCHORARRAY(NH192),NH$4:NJ$4,""),"")</f>
        <v/>
      </c>
      <c r="NN192" cm="1">
        <f t="array" ref="NN192:NR192">SUMIFS($J192:$GG192,$J$3:$GG$3,NN$3:NR$3)</f>
        <v>0</v>
      </c>
      <c r="NO192">
        <v>0</v>
      </c>
      <c r="NP192">
        <v>0</v>
      </c>
      <c r="NQ192">
        <v>0</v>
      </c>
      <c r="NR192">
        <v>0</v>
      </c>
      <c r="NS192" cm="1">
        <f t="array" ref="NS192">IFERROR(MAX((_xlfn.ANCHORARRAY(NN192)-AVERAGE(_xlfn.ANCHORARRAY(NN192)))/ AVERAGE(_xlfn.ANCHORARRAY(NN192))),0)</f>
        <v>0</v>
      </c>
      <c r="NT192" t="str" cm="1">
        <f t="array" ref="NT192">IF(AND(NS192&gt;$NT$1,NL192&lt;&gt;""),_xlfn.XLOOKUP(MAX(_xlfn.ANCHORARRAY(NN192)),_xlfn.ANCHORARRAY(NN192),NN$4:NR$4,""),"")</f>
        <v/>
      </c>
      <c r="NV192" cm="1">
        <f t="array" ref="NV192:OE192">SUMIFS($J192:$GG192,$J$2:$GG$2,NV$3:OE$3)</f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 cm="1">
        <f t="array" ref="OF192">IFERROR(MAX((_xlfn.ANCHORARRAY(NV192)-AVERAGE(_xlfn.ANCHORARRAY(NV192)))/ AVERAGE(_xlfn.ANCHORARRAY(NV192))),0)</f>
        <v>0</v>
      </c>
      <c r="OG192" t="str" cm="1">
        <f t="array" ref="OG192">IF(OF192&gt;$OG$1,_xlfn.XLOOKUP(MAX(_xlfn.ANCHORARRAY(NV192)),_xlfn.ANCHORARRAY(NV192),NV$4:OE$4,""),"")</f>
        <v/>
      </c>
      <c r="OI192" t="str">
        <f t="shared" si="51"/>
        <v/>
      </c>
    </row>
    <row r="193" spans="2:399" x14ac:dyDescent="0.3">
      <c r="B193" s="2" t="str">
        <f t="shared" si="43"/>
        <v>CORE</v>
      </c>
      <c r="C193" s="2" t="str">
        <f t="shared" si="44"/>
        <v>CORE</v>
      </c>
      <c r="D193" s="2" t="str">
        <f t="shared" si="45"/>
        <v>CORE</v>
      </c>
      <c r="E193" s="2" t="str">
        <f t="shared" si="46"/>
        <v/>
      </c>
      <c r="F193" s="2">
        <f t="shared" si="47"/>
        <v>0</v>
      </c>
      <c r="G193" s="2">
        <f t="shared" si="48"/>
        <v>0</v>
      </c>
      <c r="H193" s="2">
        <f t="shared" si="49"/>
        <v>0</v>
      </c>
      <c r="I193" s="2">
        <f t="shared" si="50"/>
        <v>0</v>
      </c>
      <c r="NH193" cm="1">
        <f t="array" ref="NH193:NJ193">SUMIFS($J193:$GG193,$J$1:$GG$1,NH$3:NJ$3)</f>
        <v>0</v>
      </c>
      <c r="NI193">
        <v>0</v>
      </c>
      <c r="NJ193">
        <v>0</v>
      </c>
      <c r="NK193" cm="1">
        <f t="array" ref="NK193">IFERROR(MAX((_xlfn.ANCHORARRAY(NH193)-AVERAGE(_xlfn.ANCHORARRAY(NH193)))/ AVERAGE(_xlfn.ANCHORARRAY(NH193))),0)</f>
        <v>0</v>
      </c>
      <c r="NL193" t="str" cm="1">
        <f t="array" ref="NL193">IF(NK193&gt;$NL$1,_xlfn.XLOOKUP(MAX(_xlfn.ANCHORARRAY(NH193)),_xlfn.ANCHORARRAY(NH193),NH$4:NJ$4,""),"")</f>
        <v/>
      </c>
      <c r="NN193" cm="1">
        <f t="array" ref="NN193:NR193">SUMIFS($J193:$GG193,$J$3:$GG$3,NN$3:NR$3)</f>
        <v>0</v>
      </c>
      <c r="NO193">
        <v>0</v>
      </c>
      <c r="NP193">
        <v>0</v>
      </c>
      <c r="NQ193">
        <v>0</v>
      </c>
      <c r="NR193">
        <v>0</v>
      </c>
      <c r="NS193" cm="1">
        <f t="array" ref="NS193">IFERROR(MAX((_xlfn.ANCHORARRAY(NN193)-AVERAGE(_xlfn.ANCHORARRAY(NN193)))/ AVERAGE(_xlfn.ANCHORARRAY(NN193))),0)</f>
        <v>0</v>
      </c>
      <c r="NT193" t="str" cm="1">
        <f t="array" ref="NT193">IF(AND(NS193&gt;$NT$1,NL193&lt;&gt;""),_xlfn.XLOOKUP(MAX(_xlfn.ANCHORARRAY(NN193)),_xlfn.ANCHORARRAY(NN193),NN$4:NR$4,""),"")</f>
        <v/>
      </c>
      <c r="NV193" cm="1">
        <f t="array" ref="NV193:OE193">SUMIFS($J193:$GG193,$J$2:$GG$2,NV$3:OE$3)</f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 cm="1">
        <f t="array" ref="OF193">IFERROR(MAX((_xlfn.ANCHORARRAY(NV193)-AVERAGE(_xlfn.ANCHORARRAY(NV193)))/ AVERAGE(_xlfn.ANCHORARRAY(NV193))),0)</f>
        <v>0</v>
      </c>
      <c r="OG193" t="str" cm="1">
        <f t="array" ref="OG193">IF(OF193&gt;$OG$1,_xlfn.XLOOKUP(MAX(_xlfn.ANCHORARRAY(NV193)),_xlfn.ANCHORARRAY(NV193),NV$4:OE$4,""),"")</f>
        <v/>
      </c>
      <c r="OI193" t="str">
        <f t="shared" si="51"/>
        <v/>
      </c>
    </row>
    <row r="194" spans="2:399" x14ac:dyDescent="0.3">
      <c r="B194" s="2" t="str">
        <f t="shared" si="43"/>
        <v>CORE</v>
      </c>
      <c r="C194" s="2" t="str">
        <f t="shared" si="44"/>
        <v>CORE</v>
      </c>
      <c r="D194" s="2" t="str">
        <f t="shared" si="45"/>
        <v>CORE</v>
      </c>
      <c r="E194" s="2" t="str">
        <f t="shared" si="46"/>
        <v/>
      </c>
      <c r="F194" s="2">
        <f t="shared" si="47"/>
        <v>0</v>
      </c>
      <c r="G194" s="2">
        <f t="shared" si="48"/>
        <v>0</v>
      </c>
      <c r="H194" s="2">
        <f t="shared" si="49"/>
        <v>0</v>
      </c>
      <c r="I194" s="2">
        <f t="shared" si="50"/>
        <v>0</v>
      </c>
      <c r="NH194" cm="1">
        <f t="array" ref="NH194:NJ194">SUMIFS($J194:$GG194,$J$1:$GG$1,NH$3:NJ$3)</f>
        <v>0</v>
      </c>
      <c r="NI194">
        <v>0</v>
      </c>
      <c r="NJ194">
        <v>0</v>
      </c>
      <c r="NK194" cm="1">
        <f t="array" ref="NK194">IFERROR(MAX((_xlfn.ANCHORARRAY(NH194)-AVERAGE(_xlfn.ANCHORARRAY(NH194)))/ AVERAGE(_xlfn.ANCHORARRAY(NH194))),0)</f>
        <v>0</v>
      </c>
      <c r="NL194" t="str" cm="1">
        <f t="array" ref="NL194">IF(NK194&gt;$NL$1,_xlfn.XLOOKUP(MAX(_xlfn.ANCHORARRAY(NH194)),_xlfn.ANCHORARRAY(NH194),NH$4:NJ$4,""),"")</f>
        <v/>
      </c>
      <c r="NN194" cm="1">
        <f t="array" ref="NN194:NR194">SUMIFS($J194:$GG194,$J$3:$GG$3,NN$3:NR$3)</f>
        <v>0</v>
      </c>
      <c r="NO194">
        <v>0</v>
      </c>
      <c r="NP194">
        <v>0</v>
      </c>
      <c r="NQ194">
        <v>0</v>
      </c>
      <c r="NR194">
        <v>0</v>
      </c>
      <c r="NS194" cm="1">
        <f t="array" ref="NS194">IFERROR(MAX((_xlfn.ANCHORARRAY(NN194)-AVERAGE(_xlfn.ANCHORARRAY(NN194)))/ AVERAGE(_xlfn.ANCHORARRAY(NN194))),0)</f>
        <v>0</v>
      </c>
      <c r="NT194" t="str" cm="1">
        <f t="array" ref="NT194">IF(AND(NS194&gt;$NT$1,NL194&lt;&gt;""),_xlfn.XLOOKUP(MAX(_xlfn.ANCHORARRAY(NN194)),_xlfn.ANCHORARRAY(NN194),NN$4:NR$4,""),"")</f>
        <v/>
      </c>
      <c r="NV194" cm="1">
        <f t="array" ref="NV194:OE194">SUMIFS($J194:$GG194,$J$2:$GG$2,NV$3:OE$3)</f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 cm="1">
        <f t="array" ref="OF194">IFERROR(MAX((_xlfn.ANCHORARRAY(NV194)-AVERAGE(_xlfn.ANCHORARRAY(NV194)))/ AVERAGE(_xlfn.ANCHORARRAY(NV194))),0)</f>
        <v>0</v>
      </c>
      <c r="OG194" t="str" cm="1">
        <f t="array" ref="OG194">IF(OF194&gt;$OG$1,_xlfn.XLOOKUP(MAX(_xlfn.ANCHORARRAY(NV194)),_xlfn.ANCHORARRAY(NV194),NV$4:OE$4,""),"")</f>
        <v/>
      </c>
      <c r="OI194" t="str">
        <f t="shared" si="51"/>
        <v/>
      </c>
    </row>
    <row r="195" spans="2:399" x14ac:dyDescent="0.3">
      <c r="B195" s="2" t="str">
        <f t="shared" si="43"/>
        <v>CORE</v>
      </c>
      <c r="C195" s="2" t="str">
        <f t="shared" si="44"/>
        <v>CORE</v>
      </c>
      <c r="D195" s="2" t="str">
        <f t="shared" si="45"/>
        <v>CORE</v>
      </c>
      <c r="E195" s="2" t="str">
        <f t="shared" si="46"/>
        <v/>
      </c>
      <c r="F195" s="2">
        <f t="shared" si="47"/>
        <v>0</v>
      </c>
      <c r="G195" s="2">
        <f t="shared" si="48"/>
        <v>0</v>
      </c>
      <c r="H195" s="2">
        <f t="shared" si="49"/>
        <v>0</v>
      </c>
      <c r="I195" s="2">
        <f t="shared" si="50"/>
        <v>0</v>
      </c>
      <c r="NH195" cm="1">
        <f t="array" ref="NH195:NJ195">SUMIFS($J195:$GG195,$J$1:$GG$1,NH$3:NJ$3)</f>
        <v>0</v>
      </c>
      <c r="NI195">
        <v>0</v>
      </c>
      <c r="NJ195">
        <v>0</v>
      </c>
      <c r="NK195" cm="1">
        <f t="array" ref="NK195">IFERROR(MAX((_xlfn.ANCHORARRAY(NH195)-AVERAGE(_xlfn.ANCHORARRAY(NH195)))/ AVERAGE(_xlfn.ANCHORARRAY(NH195))),0)</f>
        <v>0</v>
      </c>
      <c r="NL195" t="str" cm="1">
        <f t="array" ref="NL195">IF(NK195&gt;$NL$1,_xlfn.XLOOKUP(MAX(_xlfn.ANCHORARRAY(NH195)),_xlfn.ANCHORARRAY(NH195),NH$4:NJ$4,""),"")</f>
        <v/>
      </c>
      <c r="NN195" cm="1">
        <f t="array" ref="NN195:NR195">SUMIFS($J195:$GG195,$J$3:$GG$3,NN$3:NR$3)</f>
        <v>0</v>
      </c>
      <c r="NO195">
        <v>0</v>
      </c>
      <c r="NP195">
        <v>0</v>
      </c>
      <c r="NQ195">
        <v>0</v>
      </c>
      <c r="NR195">
        <v>0</v>
      </c>
      <c r="NS195" cm="1">
        <f t="array" ref="NS195">IFERROR(MAX((_xlfn.ANCHORARRAY(NN195)-AVERAGE(_xlfn.ANCHORARRAY(NN195)))/ AVERAGE(_xlfn.ANCHORARRAY(NN195))),0)</f>
        <v>0</v>
      </c>
      <c r="NT195" t="str" cm="1">
        <f t="array" ref="NT195">IF(AND(NS195&gt;$NT$1,NL195&lt;&gt;""),_xlfn.XLOOKUP(MAX(_xlfn.ANCHORARRAY(NN195)),_xlfn.ANCHORARRAY(NN195),NN$4:NR$4,""),"")</f>
        <v/>
      </c>
      <c r="NV195" cm="1">
        <f t="array" ref="NV195:OE195">SUMIFS($J195:$GG195,$J$2:$GG$2,NV$3:OE$3)</f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 cm="1">
        <f t="array" ref="OF195">IFERROR(MAX((_xlfn.ANCHORARRAY(NV195)-AVERAGE(_xlfn.ANCHORARRAY(NV195)))/ AVERAGE(_xlfn.ANCHORARRAY(NV195))),0)</f>
        <v>0</v>
      </c>
      <c r="OG195" t="str" cm="1">
        <f t="array" ref="OG195">IF(OF195&gt;$OG$1,_xlfn.XLOOKUP(MAX(_xlfn.ANCHORARRAY(NV195)),_xlfn.ANCHORARRAY(NV195),NV$4:OE$4,""),"")</f>
        <v/>
      </c>
      <c r="OI195" t="str">
        <f t="shared" si="51"/>
        <v/>
      </c>
    </row>
    <row r="196" spans="2:399" x14ac:dyDescent="0.3">
      <c r="B196" s="2" t="str">
        <f t="shared" si="43"/>
        <v>CORE</v>
      </c>
      <c r="C196" s="2" t="str">
        <f t="shared" si="44"/>
        <v>CORE</v>
      </c>
      <c r="D196" s="2" t="str">
        <f t="shared" si="45"/>
        <v>CORE</v>
      </c>
      <c r="E196" s="2" t="str">
        <f t="shared" si="46"/>
        <v/>
      </c>
      <c r="F196" s="2">
        <f t="shared" si="47"/>
        <v>0</v>
      </c>
      <c r="G196" s="2">
        <f t="shared" si="48"/>
        <v>0</v>
      </c>
      <c r="H196" s="2">
        <f t="shared" si="49"/>
        <v>0</v>
      </c>
      <c r="I196" s="2">
        <f t="shared" si="50"/>
        <v>0</v>
      </c>
      <c r="NH196" cm="1">
        <f t="array" ref="NH196:NJ196">SUMIFS($J196:$GG196,$J$1:$GG$1,NH$3:NJ$3)</f>
        <v>0</v>
      </c>
      <c r="NI196">
        <v>0</v>
      </c>
      <c r="NJ196">
        <v>0</v>
      </c>
      <c r="NK196" cm="1">
        <f t="array" ref="NK196">IFERROR(MAX((_xlfn.ANCHORARRAY(NH196)-AVERAGE(_xlfn.ANCHORARRAY(NH196)))/ AVERAGE(_xlfn.ANCHORARRAY(NH196))),0)</f>
        <v>0</v>
      </c>
      <c r="NL196" t="str" cm="1">
        <f t="array" ref="NL196">IF(NK196&gt;$NL$1,_xlfn.XLOOKUP(MAX(_xlfn.ANCHORARRAY(NH196)),_xlfn.ANCHORARRAY(NH196),NH$4:NJ$4,""),"")</f>
        <v/>
      </c>
      <c r="NN196" cm="1">
        <f t="array" ref="NN196:NR196">SUMIFS($J196:$GG196,$J$3:$GG$3,NN$3:NR$3)</f>
        <v>0</v>
      </c>
      <c r="NO196">
        <v>0</v>
      </c>
      <c r="NP196">
        <v>0</v>
      </c>
      <c r="NQ196">
        <v>0</v>
      </c>
      <c r="NR196">
        <v>0</v>
      </c>
      <c r="NS196" cm="1">
        <f t="array" ref="NS196">IFERROR(MAX((_xlfn.ANCHORARRAY(NN196)-AVERAGE(_xlfn.ANCHORARRAY(NN196)))/ AVERAGE(_xlfn.ANCHORARRAY(NN196))),0)</f>
        <v>0</v>
      </c>
      <c r="NT196" t="str" cm="1">
        <f t="array" ref="NT196">IF(AND(NS196&gt;$NT$1,NL196&lt;&gt;""),_xlfn.XLOOKUP(MAX(_xlfn.ANCHORARRAY(NN196)),_xlfn.ANCHORARRAY(NN196),NN$4:NR$4,""),"")</f>
        <v/>
      </c>
      <c r="NV196" cm="1">
        <f t="array" ref="NV196:OE196">SUMIFS($J196:$GG196,$J$2:$GG$2,NV$3:OE$3)</f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 cm="1">
        <f t="array" ref="OF196">IFERROR(MAX((_xlfn.ANCHORARRAY(NV196)-AVERAGE(_xlfn.ANCHORARRAY(NV196)))/ AVERAGE(_xlfn.ANCHORARRAY(NV196))),0)</f>
        <v>0</v>
      </c>
      <c r="OG196" t="str" cm="1">
        <f t="array" ref="OG196">IF(OF196&gt;$OG$1,_xlfn.XLOOKUP(MAX(_xlfn.ANCHORARRAY(NV196)),_xlfn.ANCHORARRAY(NV196),NV$4:OE$4,""),"")</f>
        <v/>
      </c>
      <c r="OI196" t="str">
        <f t="shared" si="51"/>
        <v/>
      </c>
    </row>
    <row r="197" spans="2:399" x14ac:dyDescent="0.3">
      <c r="B197" s="2" t="str">
        <f t="shared" si="43"/>
        <v>CORE</v>
      </c>
      <c r="C197" s="2" t="str">
        <f t="shared" si="44"/>
        <v>CORE</v>
      </c>
      <c r="D197" s="2" t="str">
        <f t="shared" si="45"/>
        <v>CORE</v>
      </c>
      <c r="E197" s="2" t="str">
        <f t="shared" si="46"/>
        <v/>
      </c>
      <c r="F197" s="2">
        <f t="shared" si="47"/>
        <v>0</v>
      </c>
      <c r="G197" s="2">
        <f t="shared" si="48"/>
        <v>0</v>
      </c>
      <c r="H197" s="2">
        <f t="shared" si="49"/>
        <v>0</v>
      </c>
      <c r="I197" s="2">
        <f t="shared" si="50"/>
        <v>0</v>
      </c>
      <c r="NH197" cm="1">
        <f t="array" ref="NH197:NJ197">SUMIFS($J197:$GG197,$J$1:$GG$1,NH$3:NJ$3)</f>
        <v>0</v>
      </c>
      <c r="NI197">
        <v>0</v>
      </c>
      <c r="NJ197">
        <v>0</v>
      </c>
      <c r="NK197" cm="1">
        <f t="array" ref="NK197">IFERROR(MAX((_xlfn.ANCHORARRAY(NH197)-AVERAGE(_xlfn.ANCHORARRAY(NH197)))/ AVERAGE(_xlfn.ANCHORARRAY(NH197))),0)</f>
        <v>0</v>
      </c>
      <c r="NL197" t="str" cm="1">
        <f t="array" ref="NL197">IF(NK197&gt;$NL$1,_xlfn.XLOOKUP(MAX(_xlfn.ANCHORARRAY(NH197)),_xlfn.ANCHORARRAY(NH197),NH$4:NJ$4,""),"")</f>
        <v/>
      </c>
      <c r="NN197" cm="1">
        <f t="array" ref="NN197:NR197">SUMIFS($J197:$GG197,$J$3:$GG$3,NN$3:NR$3)</f>
        <v>0</v>
      </c>
      <c r="NO197">
        <v>0</v>
      </c>
      <c r="NP197">
        <v>0</v>
      </c>
      <c r="NQ197">
        <v>0</v>
      </c>
      <c r="NR197">
        <v>0</v>
      </c>
      <c r="NS197" cm="1">
        <f t="array" ref="NS197">IFERROR(MAX((_xlfn.ANCHORARRAY(NN197)-AVERAGE(_xlfn.ANCHORARRAY(NN197)))/ AVERAGE(_xlfn.ANCHORARRAY(NN197))),0)</f>
        <v>0</v>
      </c>
      <c r="NT197" t="str" cm="1">
        <f t="array" ref="NT197">IF(AND(NS197&gt;$NT$1,NL197&lt;&gt;""),_xlfn.XLOOKUP(MAX(_xlfn.ANCHORARRAY(NN197)),_xlfn.ANCHORARRAY(NN197),NN$4:NR$4,""),"")</f>
        <v/>
      </c>
      <c r="NV197" cm="1">
        <f t="array" ref="NV197:OE197">SUMIFS($J197:$GG197,$J$2:$GG$2,NV$3:OE$3)</f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 cm="1">
        <f t="array" ref="OF197">IFERROR(MAX((_xlfn.ANCHORARRAY(NV197)-AVERAGE(_xlfn.ANCHORARRAY(NV197)))/ AVERAGE(_xlfn.ANCHORARRAY(NV197))),0)</f>
        <v>0</v>
      </c>
      <c r="OG197" t="str" cm="1">
        <f t="array" ref="OG197">IF(OF197&gt;$OG$1,_xlfn.XLOOKUP(MAX(_xlfn.ANCHORARRAY(NV197)),_xlfn.ANCHORARRAY(NV197),NV$4:OE$4,""),"")</f>
        <v/>
      </c>
      <c r="OI197" t="str">
        <f t="shared" si="51"/>
        <v/>
      </c>
    </row>
    <row r="198" spans="2:399" x14ac:dyDescent="0.3">
      <c r="B198" s="2" t="str">
        <f t="shared" si="43"/>
        <v>CORE</v>
      </c>
      <c r="C198" s="2" t="str">
        <f t="shared" si="44"/>
        <v>CORE</v>
      </c>
      <c r="D198" s="2" t="str">
        <f t="shared" si="45"/>
        <v>CORE</v>
      </c>
      <c r="E198" s="2" t="str">
        <f t="shared" si="46"/>
        <v/>
      </c>
      <c r="F198" s="2">
        <f t="shared" si="47"/>
        <v>0</v>
      </c>
      <c r="G198" s="2">
        <f t="shared" si="48"/>
        <v>0</v>
      </c>
      <c r="H198" s="2">
        <f t="shared" si="49"/>
        <v>0</v>
      </c>
      <c r="I198" s="2">
        <f t="shared" si="50"/>
        <v>0</v>
      </c>
      <c r="NH198" cm="1">
        <f t="array" ref="NH198:NJ198">SUMIFS($J198:$GG198,$J$1:$GG$1,NH$3:NJ$3)</f>
        <v>0</v>
      </c>
      <c r="NI198">
        <v>0</v>
      </c>
      <c r="NJ198">
        <v>0</v>
      </c>
      <c r="NK198" cm="1">
        <f t="array" ref="NK198">IFERROR(MAX((_xlfn.ANCHORARRAY(NH198)-AVERAGE(_xlfn.ANCHORARRAY(NH198)))/ AVERAGE(_xlfn.ANCHORARRAY(NH198))),0)</f>
        <v>0</v>
      </c>
      <c r="NL198" t="str" cm="1">
        <f t="array" ref="NL198">IF(NK198&gt;$NL$1,_xlfn.XLOOKUP(MAX(_xlfn.ANCHORARRAY(NH198)),_xlfn.ANCHORARRAY(NH198),NH$4:NJ$4,""),"")</f>
        <v/>
      </c>
      <c r="NN198" cm="1">
        <f t="array" ref="NN198:NR198">SUMIFS($J198:$GG198,$J$3:$GG$3,NN$3:NR$3)</f>
        <v>0</v>
      </c>
      <c r="NO198">
        <v>0</v>
      </c>
      <c r="NP198">
        <v>0</v>
      </c>
      <c r="NQ198">
        <v>0</v>
      </c>
      <c r="NR198">
        <v>0</v>
      </c>
      <c r="NS198" cm="1">
        <f t="array" ref="NS198">IFERROR(MAX((_xlfn.ANCHORARRAY(NN198)-AVERAGE(_xlfn.ANCHORARRAY(NN198)))/ AVERAGE(_xlfn.ANCHORARRAY(NN198))),0)</f>
        <v>0</v>
      </c>
      <c r="NT198" t="str" cm="1">
        <f t="array" ref="NT198">IF(AND(NS198&gt;$NT$1,NL198&lt;&gt;""),_xlfn.XLOOKUP(MAX(_xlfn.ANCHORARRAY(NN198)),_xlfn.ANCHORARRAY(NN198),NN$4:NR$4,""),"")</f>
        <v/>
      </c>
      <c r="NV198" cm="1">
        <f t="array" ref="NV198:OE198">SUMIFS($J198:$GG198,$J$2:$GG$2,NV$3:OE$3)</f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 cm="1">
        <f t="array" ref="OF198">IFERROR(MAX((_xlfn.ANCHORARRAY(NV198)-AVERAGE(_xlfn.ANCHORARRAY(NV198)))/ AVERAGE(_xlfn.ANCHORARRAY(NV198))),0)</f>
        <v>0</v>
      </c>
      <c r="OG198" t="str" cm="1">
        <f t="array" ref="OG198">IF(OF198&gt;$OG$1,_xlfn.XLOOKUP(MAX(_xlfn.ANCHORARRAY(NV198)),_xlfn.ANCHORARRAY(NV198),NV$4:OE$4,""),"")</f>
        <v/>
      </c>
      <c r="OI198" t="str">
        <f t="shared" si="51"/>
        <v/>
      </c>
    </row>
    <row r="199" spans="2:399" x14ac:dyDescent="0.3">
      <c r="B199" s="2" t="str">
        <f t="shared" si="43"/>
        <v>CORE</v>
      </c>
      <c r="C199" s="2" t="str">
        <f t="shared" si="44"/>
        <v>CORE</v>
      </c>
      <c r="D199" s="2" t="str">
        <f t="shared" si="45"/>
        <v>CORE</v>
      </c>
      <c r="E199" s="2" t="str">
        <f t="shared" si="46"/>
        <v/>
      </c>
      <c r="F199" s="2">
        <f t="shared" si="47"/>
        <v>0</v>
      </c>
      <c r="G199" s="2">
        <f t="shared" si="48"/>
        <v>0</v>
      </c>
      <c r="H199" s="2">
        <f t="shared" si="49"/>
        <v>0</v>
      </c>
      <c r="I199" s="2">
        <f t="shared" si="50"/>
        <v>0</v>
      </c>
      <c r="NH199" cm="1">
        <f t="array" ref="NH199:NJ199">SUMIFS($J199:$GG199,$J$1:$GG$1,NH$3:NJ$3)</f>
        <v>0</v>
      </c>
      <c r="NI199">
        <v>0</v>
      </c>
      <c r="NJ199">
        <v>0</v>
      </c>
      <c r="NK199" cm="1">
        <f t="array" ref="NK199">IFERROR(MAX((_xlfn.ANCHORARRAY(NH199)-AVERAGE(_xlfn.ANCHORARRAY(NH199)))/ AVERAGE(_xlfn.ANCHORARRAY(NH199))),0)</f>
        <v>0</v>
      </c>
      <c r="NL199" t="str" cm="1">
        <f t="array" ref="NL199">IF(NK199&gt;$NL$1,_xlfn.XLOOKUP(MAX(_xlfn.ANCHORARRAY(NH199)),_xlfn.ANCHORARRAY(NH199),NH$4:NJ$4,""),"")</f>
        <v/>
      </c>
      <c r="NN199" cm="1">
        <f t="array" ref="NN199:NR199">SUMIFS($J199:$GG199,$J$3:$GG$3,NN$3:NR$3)</f>
        <v>0</v>
      </c>
      <c r="NO199">
        <v>0</v>
      </c>
      <c r="NP199">
        <v>0</v>
      </c>
      <c r="NQ199">
        <v>0</v>
      </c>
      <c r="NR199">
        <v>0</v>
      </c>
      <c r="NS199" cm="1">
        <f t="array" ref="NS199">IFERROR(MAX((_xlfn.ANCHORARRAY(NN199)-AVERAGE(_xlfn.ANCHORARRAY(NN199)))/ AVERAGE(_xlfn.ANCHORARRAY(NN199))),0)</f>
        <v>0</v>
      </c>
      <c r="NT199" t="str" cm="1">
        <f t="array" ref="NT199">IF(AND(NS199&gt;$NT$1,NL199&lt;&gt;""),_xlfn.XLOOKUP(MAX(_xlfn.ANCHORARRAY(NN199)),_xlfn.ANCHORARRAY(NN199),NN$4:NR$4,""),"")</f>
        <v/>
      </c>
      <c r="NV199" cm="1">
        <f t="array" ref="NV199:OE199">SUMIFS($J199:$GG199,$J$2:$GG$2,NV$3:OE$3)</f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 cm="1">
        <f t="array" ref="OF199">IFERROR(MAX((_xlfn.ANCHORARRAY(NV199)-AVERAGE(_xlfn.ANCHORARRAY(NV199)))/ AVERAGE(_xlfn.ANCHORARRAY(NV199))),0)</f>
        <v>0</v>
      </c>
      <c r="OG199" t="str" cm="1">
        <f t="array" ref="OG199">IF(OF199&gt;$OG$1,_xlfn.XLOOKUP(MAX(_xlfn.ANCHORARRAY(NV199)),_xlfn.ANCHORARRAY(NV199),NV$4:OE$4,""),"")</f>
        <v/>
      </c>
      <c r="OI199" t="str">
        <f t="shared" si="51"/>
        <v/>
      </c>
    </row>
    <row r="200" spans="2:399" x14ac:dyDescent="0.3">
      <c r="B200" s="2" t="str">
        <f t="shared" si="43"/>
        <v>CORE</v>
      </c>
      <c r="C200" s="2" t="str">
        <f t="shared" si="44"/>
        <v>CORE</v>
      </c>
      <c r="D200" s="2" t="str">
        <f t="shared" si="45"/>
        <v>CORE</v>
      </c>
      <c r="E200" s="2" t="str">
        <f t="shared" si="46"/>
        <v/>
      </c>
      <c r="F200" s="2">
        <f t="shared" si="47"/>
        <v>0</v>
      </c>
      <c r="G200" s="2">
        <f t="shared" si="48"/>
        <v>0</v>
      </c>
      <c r="H200" s="2">
        <f t="shared" si="49"/>
        <v>0</v>
      </c>
      <c r="I200" s="2">
        <f t="shared" si="50"/>
        <v>0</v>
      </c>
      <c r="NH200" cm="1">
        <f t="array" ref="NH200:NJ200">SUMIFS($J200:$GG200,$J$1:$GG$1,NH$3:NJ$3)</f>
        <v>0</v>
      </c>
      <c r="NI200">
        <v>0</v>
      </c>
      <c r="NJ200">
        <v>0</v>
      </c>
      <c r="NK200" cm="1">
        <f t="array" ref="NK200">IFERROR(MAX((_xlfn.ANCHORARRAY(NH200)-AVERAGE(_xlfn.ANCHORARRAY(NH200)))/ AVERAGE(_xlfn.ANCHORARRAY(NH200))),0)</f>
        <v>0</v>
      </c>
      <c r="NL200" t="str" cm="1">
        <f t="array" ref="NL200">IF(NK200&gt;$NL$1,_xlfn.XLOOKUP(MAX(_xlfn.ANCHORARRAY(NH200)),_xlfn.ANCHORARRAY(NH200),NH$4:NJ$4,""),"")</f>
        <v/>
      </c>
      <c r="NN200" cm="1">
        <f t="array" ref="NN200:NR200">SUMIFS($J200:$GG200,$J$3:$GG$3,NN$3:NR$3)</f>
        <v>0</v>
      </c>
      <c r="NO200">
        <v>0</v>
      </c>
      <c r="NP200">
        <v>0</v>
      </c>
      <c r="NQ200">
        <v>0</v>
      </c>
      <c r="NR200">
        <v>0</v>
      </c>
      <c r="NS200" cm="1">
        <f t="array" ref="NS200">IFERROR(MAX((_xlfn.ANCHORARRAY(NN200)-AVERAGE(_xlfn.ANCHORARRAY(NN200)))/ AVERAGE(_xlfn.ANCHORARRAY(NN200))),0)</f>
        <v>0</v>
      </c>
      <c r="NT200" t="str" cm="1">
        <f t="array" ref="NT200">IF(AND(NS200&gt;$NT$1,NL200&lt;&gt;""),_xlfn.XLOOKUP(MAX(_xlfn.ANCHORARRAY(NN200)),_xlfn.ANCHORARRAY(NN200),NN$4:NR$4,""),"")</f>
        <v/>
      </c>
      <c r="NV200" cm="1">
        <f t="array" ref="NV200:OE200">SUMIFS($J200:$GG200,$J$2:$GG$2,NV$3:OE$3)</f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 cm="1">
        <f t="array" ref="OF200">IFERROR(MAX((_xlfn.ANCHORARRAY(NV200)-AVERAGE(_xlfn.ANCHORARRAY(NV200)))/ AVERAGE(_xlfn.ANCHORARRAY(NV200))),0)</f>
        <v>0</v>
      </c>
      <c r="OG200" t="str" cm="1">
        <f t="array" ref="OG200">IF(OF200&gt;$OG$1,_xlfn.XLOOKUP(MAX(_xlfn.ANCHORARRAY(NV200)),_xlfn.ANCHORARRAY(NV200),NV$4:OE$4,""),"")</f>
        <v/>
      </c>
      <c r="OI200" t="str">
        <f t="shared" si="51"/>
        <v/>
      </c>
    </row>
    <row r="201" spans="2:399" x14ac:dyDescent="0.3">
      <c r="B201" s="2" t="str">
        <f t="shared" si="43"/>
        <v>CORE</v>
      </c>
      <c r="C201" s="2" t="str">
        <f t="shared" si="44"/>
        <v>CORE</v>
      </c>
      <c r="D201" s="2" t="str">
        <f t="shared" si="45"/>
        <v>CORE</v>
      </c>
      <c r="E201" s="2" t="str">
        <f t="shared" si="46"/>
        <v/>
      </c>
      <c r="F201" s="2">
        <f t="shared" si="47"/>
        <v>0</v>
      </c>
      <c r="G201" s="2">
        <f t="shared" si="48"/>
        <v>0</v>
      </c>
      <c r="H201" s="2">
        <f t="shared" si="49"/>
        <v>0</v>
      </c>
      <c r="I201" s="2">
        <f t="shared" si="50"/>
        <v>0</v>
      </c>
      <c r="NH201" cm="1">
        <f t="array" ref="NH201:NJ201">SUMIFS($J201:$GG201,$J$1:$GG$1,NH$3:NJ$3)</f>
        <v>0</v>
      </c>
      <c r="NI201">
        <v>0</v>
      </c>
      <c r="NJ201">
        <v>0</v>
      </c>
      <c r="NK201" cm="1">
        <f t="array" ref="NK201">IFERROR(MAX((_xlfn.ANCHORARRAY(NH201)-AVERAGE(_xlfn.ANCHORARRAY(NH201)))/ AVERAGE(_xlfn.ANCHORARRAY(NH201))),0)</f>
        <v>0</v>
      </c>
      <c r="NL201" t="str" cm="1">
        <f t="array" ref="NL201">IF(NK201&gt;$NL$1,_xlfn.XLOOKUP(MAX(_xlfn.ANCHORARRAY(NH201)),_xlfn.ANCHORARRAY(NH201),NH$4:NJ$4,""),"")</f>
        <v/>
      </c>
      <c r="NN201" cm="1">
        <f t="array" ref="NN201:NR201">SUMIFS($J201:$GG201,$J$3:$GG$3,NN$3:NR$3)</f>
        <v>0</v>
      </c>
      <c r="NO201">
        <v>0</v>
      </c>
      <c r="NP201">
        <v>0</v>
      </c>
      <c r="NQ201">
        <v>0</v>
      </c>
      <c r="NR201">
        <v>0</v>
      </c>
      <c r="NS201" cm="1">
        <f t="array" ref="NS201">IFERROR(MAX((_xlfn.ANCHORARRAY(NN201)-AVERAGE(_xlfn.ANCHORARRAY(NN201)))/ AVERAGE(_xlfn.ANCHORARRAY(NN201))),0)</f>
        <v>0</v>
      </c>
      <c r="NT201" t="str" cm="1">
        <f t="array" ref="NT201">IF(AND(NS201&gt;$NT$1,NL201&lt;&gt;""),_xlfn.XLOOKUP(MAX(_xlfn.ANCHORARRAY(NN201)),_xlfn.ANCHORARRAY(NN201),NN$4:NR$4,""),"")</f>
        <v/>
      </c>
      <c r="NV201" cm="1">
        <f t="array" ref="NV201:OE201">SUMIFS($J201:$GG201,$J$2:$GG$2,NV$3:OE$3)</f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 cm="1">
        <f t="array" ref="OF201">IFERROR(MAX((_xlfn.ANCHORARRAY(NV201)-AVERAGE(_xlfn.ANCHORARRAY(NV201)))/ AVERAGE(_xlfn.ANCHORARRAY(NV201))),0)</f>
        <v>0</v>
      </c>
      <c r="OG201" t="str" cm="1">
        <f t="array" ref="OG201">IF(OF201&gt;$OG$1,_xlfn.XLOOKUP(MAX(_xlfn.ANCHORARRAY(NV201)),_xlfn.ANCHORARRAY(NV201),NV$4:OE$4,""),"")</f>
        <v/>
      </c>
      <c r="OI201" t="str">
        <f t="shared" si="51"/>
        <v/>
      </c>
    </row>
    <row r="202" spans="2:399" x14ac:dyDescent="0.3">
      <c r="B202" s="2" t="str">
        <f t="shared" si="43"/>
        <v>CORE</v>
      </c>
      <c r="C202" s="2" t="str">
        <f t="shared" si="44"/>
        <v>CORE</v>
      </c>
      <c r="D202" s="2" t="str">
        <f t="shared" si="45"/>
        <v>CORE</v>
      </c>
      <c r="E202" s="2" t="str">
        <f t="shared" si="46"/>
        <v/>
      </c>
      <c r="F202" s="2">
        <f t="shared" si="47"/>
        <v>0</v>
      </c>
      <c r="G202" s="2">
        <f t="shared" si="48"/>
        <v>0</v>
      </c>
      <c r="H202" s="2">
        <f t="shared" si="49"/>
        <v>0</v>
      </c>
      <c r="I202" s="2">
        <f t="shared" si="50"/>
        <v>0</v>
      </c>
      <c r="NH202" cm="1">
        <f t="array" ref="NH202:NJ202">SUMIFS($J202:$GG202,$J$1:$GG$1,NH$3:NJ$3)</f>
        <v>0</v>
      </c>
      <c r="NI202">
        <v>0</v>
      </c>
      <c r="NJ202">
        <v>0</v>
      </c>
      <c r="NK202" cm="1">
        <f t="array" ref="NK202">IFERROR(MAX((_xlfn.ANCHORARRAY(NH202)-AVERAGE(_xlfn.ANCHORARRAY(NH202)))/ AVERAGE(_xlfn.ANCHORARRAY(NH202))),0)</f>
        <v>0</v>
      </c>
      <c r="NL202" t="str" cm="1">
        <f t="array" ref="NL202">IF(NK202&gt;$NL$1,_xlfn.XLOOKUP(MAX(_xlfn.ANCHORARRAY(NH202)),_xlfn.ANCHORARRAY(NH202),NH$4:NJ$4,""),"")</f>
        <v/>
      </c>
      <c r="NN202" cm="1">
        <f t="array" ref="NN202:NR202">SUMIFS($J202:$GG202,$J$3:$GG$3,NN$3:NR$3)</f>
        <v>0</v>
      </c>
      <c r="NO202">
        <v>0</v>
      </c>
      <c r="NP202">
        <v>0</v>
      </c>
      <c r="NQ202">
        <v>0</v>
      </c>
      <c r="NR202">
        <v>0</v>
      </c>
      <c r="NS202" cm="1">
        <f t="array" ref="NS202">IFERROR(MAX((_xlfn.ANCHORARRAY(NN202)-AVERAGE(_xlfn.ANCHORARRAY(NN202)))/ AVERAGE(_xlfn.ANCHORARRAY(NN202))),0)</f>
        <v>0</v>
      </c>
      <c r="NT202" t="str" cm="1">
        <f t="array" ref="NT202">IF(AND(NS202&gt;$NT$1,NL202&lt;&gt;""),_xlfn.XLOOKUP(MAX(_xlfn.ANCHORARRAY(NN202)),_xlfn.ANCHORARRAY(NN202),NN$4:NR$4,""),"")</f>
        <v/>
      </c>
      <c r="NV202" cm="1">
        <f t="array" ref="NV202:OE202">SUMIFS($J202:$GG202,$J$2:$GG$2,NV$3:OE$3)</f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 cm="1">
        <f t="array" ref="OF202">IFERROR(MAX((_xlfn.ANCHORARRAY(NV202)-AVERAGE(_xlfn.ANCHORARRAY(NV202)))/ AVERAGE(_xlfn.ANCHORARRAY(NV202))),0)</f>
        <v>0</v>
      </c>
      <c r="OG202" t="str" cm="1">
        <f t="array" ref="OG202">IF(OF202&gt;$OG$1,_xlfn.XLOOKUP(MAX(_xlfn.ANCHORARRAY(NV202)),_xlfn.ANCHORARRAY(NV202),NV$4:OE$4,""),"")</f>
        <v/>
      </c>
      <c r="OI202" t="str">
        <f t="shared" si="51"/>
        <v/>
      </c>
    </row>
    <row r="203" spans="2:399" x14ac:dyDescent="0.3">
      <c r="B203" s="2" t="str">
        <f t="shared" si="43"/>
        <v>CORE</v>
      </c>
      <c r="C203" s="2" t="str">
        <f t="shared" si="44"/>
        <v>CORE</v>
      </c>
      <c r="D203" s="2" t="str">
        <f t="shared" si="45"/>
        <v>CORE</v>
      </c>
      <c r="E203" s="2" t="str">
        <f t="shared" si="46"/>
        <v/>
      </c>
      <c r="F203" s="2">
        <f t="shared" si="47"/>
        <v>0</v>
      </c>
      <c r="G203" s="2">
        <f t="shared" si="48"/>
        <v>0</v>
      </c>
      <c r="H203" s="2">
        <f t="shared" si="49"/>
        <v>0</v>
      </c>
      <c r="I203" s="2">
        <f t="shared" si="50"/>
        <v>0</v>
      </c>
      <c r="NH203" cm="1">
        <f t="array" ref="NH203:NJ203">SUMIFS($J203:$GG203,$J$1:$GG$1,NH$3:NJ$3)</f>
        <v>0</v>
      </c>
      <c r="NI203">
        <v>0</v>
      </c>
      <c r="NJ203">
        <v>0</v>
      </c>
      <c r="NK203" cm="1">
        <f t="array" ref="NK203">IFERROR(MAX((_xlfn.ANCHORARRAY(NH203)-AVERAGE(_xlfn.ANCHORARRAY(NH203)))/ AVERAGE(_xlfn.ANCHORARRAY(NH203))),0)</f>
        <v>0</v>
      </c>
      <c r="NL203" t="str" cm="1">
        <f t="array" ref="NL203">IF(NK203&gt;$NL$1,_xlfn.XLOOKUP(MAX(_xlfn.ANCHORARRAY(NH203)),_xlfn.ANCHORARRAY(NH203),NH$4:NJ$4,""),"")</f>
        <v/>
      </c>
      <c r="NN203" cm="1">
        <f t="array" ref="NN203:NR203">SUMIFS($J203:$GG203,$J$3:$GG$3,NN$3:NR$3)</f>
        <v>0</v>
      </c>
      <c r="NO203">
        <v>0</v>
      </c>
      <c r="NP203">
        <v>0</v>
      </c>
      <c r="NQ203">
        <v>0</v>
      </c>
      <c r="NR203">
        <v>0</v>
      </c>
      <c r="NS203" cm="1">
        <f t="array" ref="NS203">IFERROR(MAX((_xlfn.ANCHORARRAY(NN203)-AVERAGE(_xlfn.ANCHORARRAY(NN203)))/ AVERAGE(_xlfn.ANCHORARRAY(NN203))),0)</f>
        <v>0</v>
      </c>
      <c r="NT203" t="str" cm="1">
        <f t="array" ref="NT203">IF(AND(NS203&gt;$NT$1,NL203&lt;&gt;""),_xlfn.XLOOKUP(MAX(_xlfn.ANCHORARRAY(NN203)),_xlfn.ANCHORARRAY(NN203),NN$4:NR$4,""),"")</f>
        <v/>
      </c>
      <c r="NV203" cm="1">
        <f t="array" ref="NV203:OE203">SUMIFS($J203:$GG203,$J$2:$GG$2,NV$3:OE$3)</f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 cm="1">
        <f t="array" ref="OF203">IFERROR(MAX((_xlfn.ANCHORARRAY(NV203)-AVERAGE(_xlfn.ANCHORARRAY(NV203)))/ AVERAGE(_xlfn.ANCHORARRAY(NV203))),0)</f>
        <v>0</v>
      </c>
      <c r="OG203" t="str" cm="1">
        <f t="array" ref="OG203">IF(OF203&gt;$OG$1,_xlfn.XLOOKUP(MAX(_xlfn.ANCHORARRAY(NV203)),_xlfn.ANCHORARRAY(NV203),NV$4:OE$4,""),"")</f>
        <v/>
      </c>
      <c r="OI203" t="str">
        <f t="shared" si="51"/>
        <v/>
      </c>
    </row>
    <row r="204" spans="2:399" x14ac:dyDescent="0.3">
      <c r="B204" s="2" t="str">
        <f t="shared" si="43"/>
        <v>CORE</v>
      </c>
      <c r="C204" s="2" t="str">
        <f t="shared" si="44"/>
        <v>CORE</v>
      </c>
      <c r="D204" s="2" t="str">
        <f t="shared" si="45"/>
        <v>CORE</v>
      </c>
      <c r="E204" s="2" t="str">
        <f t="shared" si="46"/>
        <v/>
      </c>
      <c r="F204" s="2">
        <f t="shared" si="47"/>
        <v>0</v>
      </c>
      <c r="G204" s="2">
        <f t="shared" si="48"/>
        <v>0</v>
      </c>
      <c r="H204" s="2">
        <f t="shared" si="49"/>
        <v>0</v>
      </c>
      <c r="I204" s="2">
        <f t="shared" si="50"/>
        <v>0</v>
      </c>
      <c r="NH204" cm="1">
        <f t="array" ref="NH204:NJ204">SUMIFS($J204:$GG204,$J$1:$GG$1,NH$3:NJ$3)</f>
        <v>0</v>
      </c>
      <c r="NI204">
        <v>0</v>
      </c>
      <c r="NJ204">
        <v>0</v>
      </c>
      <c r="NK204" cm="1">
        <f t="array" ref="NK204">IFERROR(MAX((_xlfn.ANCHORARRAY(NH204)-AVERAGE(_xlfn.ANCHORARRAY(NH204)))/ AVERAGE(_xlfn.ANCHORARRAY(NH204))),0)</f>
        <v>0</v>
      </c>
      <c r="NL204" t="str" cm="1">
        <f t="array" ref="NL204">IF(NK204&gt;$NL$1,_xlfn.XLOOKUP(MAX(_xlfn.ANCHORARRAY(NH204)),_xlfn.ANCHORARRAY(NH204),NH$4:NJ$4,""),"")</f>
        <v/>
      </c>
      <c r="NN204" cm="1">
        <f t="array" ref="NN204:NR204">SUMIFS($J204:$GG204,$J$3:$GG$3,NN$3:NR$3)</f>
        <v>0</v>
      </c>
      <c r="NO204">
        <v>0</v>
      </c>
      <c r="NP204">
        <v>0</v>
      </c>
      <c r="NQ204">
        <v>0</v>
      </c>
      <c r="NR204">
        <v>0</v>
      </c>
      <c r="NS204" cm="1">
        <f t="array" ref="NS204">IFERROR(MAX((_xlfn.ANCHORARRAY(NN204)-AVERAGE(_xlfn.ANCHORARRAY(NN204)))/ AVERAGE(_xlfn.ANCHORARRAY(NN204))),0)</f>
        <v>0</v>
      </c>
      <c r="NT204" t="str" cm="1">
        <f t="array" ref="NT204">IF(AND(NS204&gt;$NT$1,NL204&lt;&gt;""),_xlfn.XLOOKUP(MAX(_xlfn.ANCHORARRAY(NN204)),_xlfn.ANCHORARRAY(NN204),NN$4:NR$4,""),"")</f>
        <v/>
      </c>
      <c r="NV204" cm="1">
        <f t="array" ref="NV204:OE204">SUMIFS($J204:$GG204,$J$2:$GG$2,NV$3:OE$3)</f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 cm="1">
        <f t="array" ref="OF204">IFERROR(MAX((_xlfn.ANCHORARRAY(NV204)-AVERAGE(_xlfn.ANCHORARRAY(NV204)))/ AVERAGE(_xlfn.ANCHORARRAY(NV204))),0)</f>
        <v>0</v>
      </c>
      <c r="OG204" t="str" cm="1">
        <f t="array" ref="OG204">IF(OF204&gt;$OG$1,_xlfn.XLOOKUP(MAX(_xlfn.ANCHORARRAY(NV204)),_xlfn.ANCHORARRAY(NV204),NV$4:OE$4,""),"")</f>
        <v/>
      </c>
      <c r="OI204" t="str">
        <f t="shared" si="51"/>
        <v/>
      </c>
    </row>
    <row r="205" spans="2:399" x14ac:dyDescent="0.3">
      <c r="B205" s="2" t="str">
        <f t="shared" si="43"/>
        <v>CORE</v>
      </c>
      <c r="C205" s="2" t="str">
        <f t="shared" si="44"/>
        <v>CORE</v>
      </c>
      <c r="D205" s="2" t="str">
        <f t="shared" si="45"/>
        <v>CORE</v>
      </c>
      <c r="E205" s="2" t="str">
        <f t="shared" si="46"/>
        <v/>
      </c>
      <c r="F205" s="2">
        <f t="shared" si="47"/>
        <v>0</v>
      </c>
      <c r="G205" s="2">
        <f t="shared" si="48"/>
        <v>0</v>
      </c>
      <c r="H205" s="2">
        <f t="shared" si="49"/>
        <v>0</v>
      </c>
      <c r="I205" s="2">
        <f t="shared" si="50"/>
        <v>0</v>
      </c>
      <c r="NH205" cm="1">
        <f t="array" ref="NH205:NJ205">SUMIFS($J205:$GG205,$J$1:$GG$1,NH$3:NJ$3)</f>
        <v>0</v>
      </c>
      <c r="NI205">
        <v>0</v>
      </c>
      <c r="NJ205">
        <v>0</v>
      </c>
      <c r="NK205" cm="1">
        <f t="array" ref="NK205">IFERROR(MAX((_xlfn.ANCHORARRAY(NH205)-AVERAGE(_xlfn.ANCHORARRAY(NH205)))/ AVERAGE(_xlfn.ANCHORARRAY(NH205))),0)</f>
        <v>0</v>
      </c>
      <c r="NL205" t="str" cm="1">
        <f t="array" ref="NL205">IF(NK205&gt;$NL$1,_xlfn.XLOOKUP(MAX(_xlfn.ANCHORARRAY(NH205)),_xlfn.ANCHORARRAY(NH205),NH$4:NJ$4,""),"")</f>
        <v/>
      </c>
      <c r="NN205" cm="1">
        <f t="array" ref="NN205:NR205">SUMIFS($J205:$GG205,$J$3:$GG$3,NN$3:NR$3)</f>
        <v>0</v>
      </c>
      <c r="NO205">
        <v>0</v>
      </c>
      <c r="NP205">
        <v>0</v>
      </c>
      <c r="NQ205">
        <v>0</v>
      </c>
      <c r="NR205">
        <v>0</v>
      </c>
      <c r="NS205" cm="1">
        <f t="array" ref="NS205">IFERROR(MAX((_xlfn.ANCHORARRAY(NN205)-AVERAGE(_xlfn.ANCHORARRAY(NN205)))/ AVERAGE(_xlfn.ANCHORARRAY(NN205))),0)</f>
        <v>0</v>
      </c>
      <c r="NT205" t="str" cm="1">
        <f t="array" ref="NT205">IF(AND(NS205&gt;$NT$1,NL205&lt;&gt;""),_xlfn.XLOOKUP(MAX(_xlfn.ANCHORARRAY(NN205)),_xlfn.ANCHORARRAY(NN205),NN$4:NR$4,""),"")</f>
        <v/>
      </c>
      <c r="NV205" cm="1">
        <f t="array" ref="NV205:OE205">SUMIFS($J205:$GG205,$J$2:$GG$2,NV$3:OE$3)</f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 cm="1">
        <f t="array" ref="OF205">IFERROR(MAX((_xlfn.ANCHORARRAY(NV205)-AVERAGE(_xlfn.ANCHORARRAY(NV205)))/ AVERAGE(_xlfn.ANCHORARRAY(NV205))),0)</f>
        <v>0</v>
      </c>
      <c r="OG205" t="str" cm="1">
        <f t="array" ref="OG205">IF(OF205&gt;$OG$1,_xlfn.XLOOKUP(MAX(_xlfn.ANCHORARRAY(NV205)),_xlfn.ANCHORARRAY(NV205),NV$4:OE$4,""),"")</f>
        <v/>
      </c>
      <c r="OI205" t="str">
        <f t="shared" si="51"/>
        <v/>
      </c>
    </row>
    <row r="206" spans="2:399" x14ac:dyDescent="0.3">
      <c r="B206" s="2" t="str">
        <f t="shared" si="43"/>
        <v>CORE</v>
      </c>
      <c r="C206" s="2" t="str">
        <f t="shared" si="44"/>
        <v>CORE</v>
      </c>
      <c r="D206" s="2" t="str">
        <f t="shared" si="45"/>
        <v>CORE</v>
      </c>
      <c r="E206" s="2" t="str">
        <f t="shared" si="46"/>
        <v/>
      </c>
      <c r="F206" s="2">
        <f t="shared" si="47"/>
        <v>0</v>
      </c>
      <c r="G206" s="2">
        <f t="shared" si="48"/>
        <v>0</v>
      </c>
      <c r="H206" s="2">
        <f t="shared" si="49"/>
        <v>0</v>
      </c>
      <c r="I206" s="2">
        <f t="shared" si="50"/>
        <v>0</v>
      </c>
      <c r="NH206" cm="1">
        <f t="array" ref="NH206:NJ206">SUMIFS($J206:$GG206,$J$1:$GG$1,NH$3:NJ$3)</f>
        <v>0</v>
      </c>
      <c r="NI206">
        <v>0</v>
      </c>
      <c r="NJ206">
        <v>0</v>
      </c>
      <c r="NK206" cm="1">
        <f t="array" ref="NK206">IFERROR(MAX((_xlfn.ANCHORARRAY(NH206)-AVERAGE(_xlfn.ANCHORARRAY(NH206)))/ AVERAGE(_xlfn.ANCHORARRAY(NH206))),0)</f>
        <v>0</v>
      </c>
      <c r="NL206" t="str" cm="1">
        <f t="array" ref="NL206">IF(NK206&gt;$NL$1,_xlfn.XLOOKUP(MAX(_xlfn.ANCHORARRAY(NH206)),_xlfn.ANCHORARRAY(NH206),NH$4:NJ$4,""),"")</f>
        <v/>
      </c>
      <c r="NN206" cm="1">
        <f t="array" ref="NN206:NR206">SUMIFS($J206:$GG206,$J$3:$GG$3,NN$3:NR$3)</f>
        <v>0</v>
      </c>
      <c r="NO206">
        <v>0</v>
      </c>
      <c r="NP206">
        <v>0</v>
      </c>
      <c r="NQ206">
        <v>0</v>
      </c>
      <c r="NR206">
        <v>0</v>
      </c>
      <c r="NS206" cm="1">
        <f t="array" ref="NS206">IFERROR(MAX((_xlfn.ANCHORARRAY(NN206)-AVERAGE(_xlfn.ANCHORARRAY(NN206)))/ AVERAGE(_xlfn.ANCHORARRAY(NN206))),0)</f>
        <v>0</v>
      </c>
      <c r="NT206" t="str" cm="1">
        <f t="array" ref="NT206">IF(AND(NS206&gt;$NT$1,NL206&lt;&gt;""),_xlfn.XLOOKUP(MAX(_xlfn.ANCHORARRAY(NN206)),_xlfn.ANCHORARRAY(NN206),NN$4:NR$4,""),"")</f>
        <v/>
      </c>
      <c r="NV206" cm="1">
        <f t="array" ref="NV206:OE206">SUMIFS($J206:$GG206,$J$2:$GG$2,NV$3:OE$3)</f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 cm="1">
        <f t="array" ref="OF206">IFERROR(MAX((_xlfn.ANCHORARRAY(NV206)-AVERAGE(_xlfn.ANCHORARRAY(NV206)))/ AVERAGE(_xlfn.ANCHORARRAY(NV206))),0)</f>
        <v>0</v>
      </c>
      <c r="OG206" t="str" cm="1">
        <f t="array" ref="OG206">IF(OF206&gt;$OG$1,_xlfn.XLOOKUP(MAX(_xlfn.ANCHORARRAY(NV206)),_xlfn.ANCHORARRAY(NV206),NV$4:OE$4,""),"")</f>
        <v/>
      </c>
      <c r="OI206" t="str">
        <f t="shared" si="51"/>
        <v/>
      </c>
    </row>
    <row r="207" spans="2:399" x14ac:dyDescent="0.3">
      <c r="B207" s="2" t="str">
        <f t="shared" ref="B207" si="52">IF(C207="NotFound",D207,C207)</f>
        <v>CORE</v>
      </c>
      <c r="C207" s="2" t="str">
        <f t="shared" ref="C207" si="53">IF(H207&gt;1,"NotFound","CORE"&amp;_xlfn.XLOOKUP(MAX(J207:GG207,1),J207:GG207,$J$4:$GG$4,""))</f>
        <v>CORE</v>
      </c>
      <c r="D207" s="2" t="str">
        <f t="shared" ref="D207" si="54">IF(F207&gt;1,"NotFound","CORE"&amp;_xlfn.XLOOKUP(MAX(GI207:NF207,1),GI207:NF207,$GI$4:$NF$4,""))</f>
        <v>CORE</v>
      </c>
      <c r="E207" s="2" t="str">
        <f t="shared" ref="E207" si="55">OI207</f>
        <v/>
      </c>
      <c r="F207" s="2">
        <f t="shared" ref="F207" si="56">COUNTIF(GI207:NF207,G207)</f>
        <v>0</v>
      </c>
      <c r="G207" s="2">
        <f t="shared" ref="G207" si="57">MAX(GI207:NF207)</f>
        <v>0</v>
      </c>
      <c r="H207" s="2">
        <f t="shared" ref="H207" si="58">COUNTIF(J207:GG207,I207)</f>
        <v>0</v>
      </c>
      <c r="I207" s="2">
        <f t="shared" ref="I207" si="59">MAX(J207:GG207)</f>
        <v>0</v>
      </c>
      <c r="NH207" cm="1">
        <f t="array" ref="NH207:NJ207">SUMIFS($J207:$GG207,$J$1:$GG$1,NH$3:NJ$3)</f>
        <v>0</v>
      </c>
      <c r="NI207">
        <v>0</v>
      </c>
      <c r="NJ207">
        <v>0</v>
      </c>
      <c r="NK207" cm="1">
        <f t="array" ref="NK207">IFERROR(MAX((_xlfn.ANCHORARRAY(NH207)-AVERAGE(_xlfn.ANCHORARRAY(NH207)))/ AVERAGE(_xlfn.ANCHORARRAY(NH207))),0)</f>
        <v>0</v>
      </c>
      <c r="NL207" t="str" cm="1">
        <f t="array" ref="NL207">IF(NK207&gt;$NL$1,_xlfn.XLOOKUP(MAX(_xlfn.ANCHORARRAY(NH207)),_xlfn.ANCHORARRAY(NH207),NH$4:NJ$4,""),"")</f>
        <v/>
      </c>
      <c r="NN207" cm="1">
        <f t="array" ref="NN207:NR207">SUMIFS($J207:$GG207,$J$3:$GG$3,NN$3:NR$3)</f>
        <v>0</v>
      </c>
      <c r="NO207">
        <v>0</v>
      </c>
      <c r="NP207">
        <v>0</v>
      </c>
      <c r="NQ207">
        <v>0</v>
      </c>
      <c r="NR207">
        <v>0</v>
      </c>
      <c r="NS207" cm="1">
        <f t="array" ref="NS207">IFERROR(MAX((_xlfn.ANCHORARRAY(NN207)-AVERAGE(_xlfn.ANCHORARRAY(NN207)))/ AVERAGE(_xlfn.ANCHORARRAY(NN207))),0)</f>
        <v>0</v>
      </c>
      <c r="NT207" t="str" cm="1">
        <f t="array" ref="NT207">IF(AND(NS207&gt;$NT$1,NL207&lt;&gt;""),_xlfn.XLOOKUP(MAX(_xlfn.ANCHORARRAY(NN207)),_xlfn.ANCHORARRAY(NN207),NN$4:NR$4,""),"")</f>
        <v/>
      </c>
      <c r="NV207" cm="1">
        <f t="array" ref="NV207:OE207">SUMIFS($J207:$GG207,$J$2:$GG$2,NV$3:OE$3)</f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 cm="1">
        <f t="array" ref="OF207">IFERROR(MAX((_xlfn.ANCHORARRAY(NV207)-AVERAGE(_xlfn.ANCHORARRAY(NV207)))/ AVERAGE(_xlfn.ANCHORARRAY(NV207))),0)</f>
        <v>0</v>
      </c>
      <c r="OG207" t="str" cm="1">
        <f t="array" ref="OG207">IF(OF207&gt;$OG$1,_xlfn.XLOOKUP(MAX(_xlfn.ANCHORARRAY(NV207)),_xlfn.ANCHORARRAY(NV207),NV$4:OE$4,""),"")</f>
        <v/>
      </c>
      <c r="OI207" t="str">
        <f t="shared" ref="OI207" si="60">_xlfn.TEXTJOIN(" : ",,NL207,NT207,OG207)</f>
        <v/>
      </c>
    </row>
    <row r="208" spans="2:399" x14ac:dyDescent="0.3">
      <c r="B208" s="2" t="str">
        <f t="shared" ref="B208:B214" si="61">IF(C208="NotFound",D208,C208)</f>
        <v>CORE</v>
      </c>
      <c r="C208" s="2" t="str">
        <f t="shared" ref="C208:C214" si="62">IF(H208&gt;1,"NotFound","CORE"&amp;_xlfn.XLOOKUP(MAX(J208:GG208,1),J208:GG208,$J$4:$GG$4,""))</f>
        <v>CORE</v>
      </c>
      <c r="D208" s="2" t="str">
        <f t="shared" ref="D208:D214" si="63">IF(F208&gt;1,"NotFound","CORE"&amp;_xlfn.XLOOKUP(MAX(GI208:NF208,1),GI208:NF208,$GI$4:$NF$4,""))</f>
        <v>CORE</v>
      </c>
      <c r="E208" s="2" t="str">
        <f t="shared" ref="E208:E214" si="64">OI208</f>
        <v/>
      </c>
      <c r="F208" s="2">
        <f t="shared" ref="F208:F214" si="65">COUNTIF(GI208:NF208,G208)</f>
        <v>0</v>
      </c>
      <c r="G208" s="2">
        <f t="shared" ref="G208:G214" si="66">MAX(GI208:NF208)</f>
        <v>0</v>
      </c>
      <c r="H208" s="2">
        <f t="shared" ref="H208:H214" si="67">COUNTIF(J208:GG208,I208)</f>
        <v>0</v>
      </c>
      <c r="I208" s="2">
        <f t="shared" ref="I208:I214" si="68">MAX(J208:GG208)</f>
        <v>0</v>
      </c>
      <c r="NH208" cm="1">
        <f t="array" ref="NH208:NJ208">SUMIFS($J208:$GG208,$J$1:$GG$1,NH$3:NJ$3)</f>
        <v>0</v>
      </c>
      <c r="NI208">
        <v>0</v>
      </c>
      <c r="NJ208">
        <v>0</v>
      </c>
      <c r="NK208" cm="1">
        <f t="array" ref="NK208">IFERROR(MAX((_xlfn.ANCHORARRAY(NH208)-AVERAGE(_xlfn.ANCHORARRAY(NH208)))/ AVERAGE(_xlfn.ANCHORARRAY(NH208))),0)</f>
        <v>0</v>
      </c>
      <c r="NL208" t="str" cm="1">
        <f t="array" ref="NL208">IF(NK208&gt;$NL$1,_xlfn.XLOOKUP(MAX(_xlfn.ANCHORARRAY(NH208)),_xlfn.ANCHORARRAY(NH208),NH$4:NJ$4,""),"")</f>
        <v/>
      </c>
      <c r="NN208" cm="1">
        <f t="array" ref="NN208:NR208">SUMIFS($J208:$GG208,$J$3:$GG$3,NN$3:NR$3)</f>
        <v>0</v>
      </c>
      <c r="NO208">
        <v>0</v>
      </c>
      <c r="NP208">
        <v>0</v>
      </c>
      <c r="NQ208">
        <v>0</v>
      </c>
      <c r="NR208">
        <v>0</v>
      </c>
      <c r="NS208" cm="1">
        <f t="array" ref="NS208">IFERROR(MAX((_xlfn.ANCHORARRAY(NN208)-AVERAGE(_xlfn.ANCHORARRAY(NN208)))/ AVERAGE(_xlfn.ANCHORARRAY(NN208))),0)</f>
        <v>0</v>
      </c>
      <c r="NT208" t="str" cm="1">
        <f t="array" ref="NT208">IF(AND(NS208&gt;$NT$1,NL208&lt;&gt;""),_xlfn.XLOOKUP(MAX(_xlfn.ANCHORARRAY(NN208)),_xlfn.ANCHORARRAY(NN208),NN$4:NR$4,""),"")</f>
        <v/>
      </c>
      <c r="NV208" cm="1">
        <f t="array" ref="NV208:OE208">SUMIFS($J208:$GG208,$J$2:$GG$2,NV$3:OE$3)</f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 cm="1">
        <f t="array" ref="OF208">IFERROR(MAX((_xlfn.ANCHORARRAY(NV208)-AVERAGE(_xlfn.ANCHORARRAY(NV208)))/ AVERAGE(_xlfn.ANCHORARRAY(NV208))),0)</f>
        <v>0</v>
      </c>
      <c r="OG208" t="str" cm="1">
        <f t="array" ref="OG208">IF(OF208&gt;$OG$1,_xlfn.XLOOKUP(MAX(_xlfn.ANCHORARRAY(NV208)),_xlfn.ANCHORARRAY(NV208),NV$4:OE$4,""),"")</f>
        <v/>
      </c>
      <c r="OI208" t="str">
        <f t="shared" ref="OI208:OI214" si="69">_xlfn.TEXTJOIN(" : ",,NL208,NT208,OG208)</f>
        <v/>
      </c>
    </row>
    <row r="209" spans="2:399" x14ac:dyDescent="0.3">
      <c r="B209" s="2" t="str">
        <f t="shared" si="61"/>
        <v>CORE</v>
      </c>
      <c r="C209" s="2" t="str">
        <f t="shared" si="62"/>
        <v>CORE</v>
      </c>
      <c r="D209" s="2" t="str">
        <f t="shared" si="63"/>
        <v>CORE</v>
      </c>
      <c r="E209" s="2" t="str">
        <f t="shared" si="64"/>
        <v/>
      </c>
      <c r="F209" s="2">
        <f t="shared" si="65"/>
        <v>0</v>
      </c>
      <c r="G209" s="2">
        <f t="shared" si="66"/>
        <v>0</v>
      </c>
      <c r="H209" s="2">
        <f t="shared" si="67"/>
        <v>0</v>
      </c>
      <c r="I209" s="2">
        <f t="shared" si="68"/>
        <v>0</v>
      </c>
      <c r="NH209" cm="1">
        <f t="array" ref="NH209:NJ209">SUMIFS($J209:$GG209,$J$1:$GG$1,NH$3:NJ$3)</f>
        <v>0</v>
      </c>
      <c r="NI209">
        <v>0</v>
      </c>
      <c r="NJ209">
        <v>0</v>
      </c>
      <c r="NK209" cm="1">
        <f t="array" ref="NK209">IFERROR(MAX((_xlfn.ANCHORARRAY(NH209)-AVERAGE(_xlfn.ANCHORARRAY(NH209)))/ AVERAGE(_xlfn.ANCHORARRAY(NH209))),0)</f>
        <v>0</v>
      </c>
      <c r="NL209" t="str" cm="1">
        <f t="array" ref="NL209">IF(NK209&gt;$NL$1,_xlfn.XLOOKUP(MAX(_xlfn.ANCHORARRAY(NH209)),_xlfn.ANCHORARRAY(NH209),NH$4:NJ$4,""),"")</f>
        <v/>
      </c>
      <c r="NN209" cm="1">
        <f t="array" ref="NN209:NR209">SUMIFS($J209:$GG209,$J$3:$GG$3,NN$3:NR$3)</f>
        <v>0</v>
      </c>
      <c r="NO209">
        <v>0</v>
      </c>
      <c r="NP209">
        <v>0</v>
      </c>
      <c r="NQ209">
        <v>0</v>
      </c>
      <c r="NR209">
        <v>0</v>
      </c>
      <c r="NS209" cm="1">
        <f t="array" ref="NS209">IFERROR(MAX((_xlfn.ANCHORARRAY(NN209)-AVERAGE(_xlfn.ANCHORARRAY(NN209)))/ AVERAGE(_xlfn.ANCHORARRAY(NN209))),0)</f>
        <v>0</v>
      </c>
      <c r="NT209" t="str" cm="1">
        <f t="array" ref="NT209">IF(AND(NS209&gt;$NT$1,NL209&lt;&gt;""),_xlfn.XLOOKUP(MAX(_xlfn.ANCHORARRAY(NN209)),_xlfn.ANCHORARRAY(NN209),NN$4:NR$4,""),"")</f>
        <v/>
      </c>
      <c r="NV209" cm="1">
        <f t="array" ref="NV209:OE209">SUMIFS($J209:$GG209,$J$2:$GG$2,NV$3:OE$3)</f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 cm="1">
        <f t="array" ref="OF209">IFERROR(MAX((_xlfn.ANCHORARRAY(NV209)-AVERAGE(_xlfn.ANCHORARRAY(NV209)))/ AVERAGE(_xlfn.ANCHORARRAY(NV209))),0)</f>
        <v>0</v>
      </c>
      <c r="OG209" t="str" cm="1">
        <f t="array" ref="OG209">IF(OF209&gt;$OG$1,_xlfn.XLOOKUP(MAX(_xlfn.ANCHORARRAY(NV209)),_xlfn.ANCHORARRAY(NV209),NV$4:OE$4,""),"")</f>
        <v/>
      </c>
      <c r="OI209" t="str">
        <f t="shared" si="69"/>
        <v/>
      </c>
    </row>
    <row r="210" spans="2:399" x14ac:dyDescent="0.3">
      <c r="B210" s="2" t="str">
        <f t="shared" si="61"/>
        <v>CORE</v>
      </c>
      <c r="C210" s="2" t="str">
        <f t="shared" si="62"/>
        <v>CORE</v>
      </c>
      <c r="D210" s="2" t="str">
        <f t="shared" si="63"/>
        <v>CORE</v>
      </c>
      <c r="E210" s="2" t="str">
        <f t="shared" si="64"/>
        <v/>
      </c>
      <c r="F210" s="2">
        <f t="shared" si="65"/>
        <v>0</v>
      </c>
      <c r="G210" s="2">
        <f t="shared" si="66"/>
        <v>0</v>
      </c>
      <c r="H210" s="2">
        <f t="shared" si="67"/>
        <v>0</v>
      </c>
      <c r="I210" s="2">
        <f t="shared" si="68"/>
        <v>0</v>
      </c>
      <c r="NH210" cm="1">
        <f t="array" ref="NH210:NJ210">SUMIFS($J210:$GG210,$J$1:$GG$1,NH$3:NJ$3)</f>
        <v>0</v>
      </c>
      <c r="NI210">
        <v>0</v>
      </c>
      <c r="NJ210">
        <v>0</v>
      </c>
      <c r="NK210" cm="1">
        <f t="array" ref="NK210">IFERROR(MAX((_xlfn.ANCHORARRAY(NH210)-AVERAGE(_xlfn.ANCHORARRAY(NH210)))/ AVERAGE(_xlfn.ANCHORARRAY(NH210))),0)</f>
        <v>0</v>
      </c>
      <c r="NL210" t="str" cm="1">
        <f t="array" ref="NL210">IF(NK210&gt;$NL$1,_xlfn.XLOOKUP(MAX(_xlfn.ANCHORARRAY(NH210)),_xlfn.ANCHORARRAY(NH210),NH$4:NJ$4,""),"")</f>
        <v/>
      </c>
      <c r="NN210" cm="1">
        <f t="array" ref="NN210:NR210">SUMIFS($J210:$GG210,$J$3:$GG$3,NN$3:NR$3)</f>
        <v>0</v>
      </c>
      <c r="NO210">
        <v>0</v>
      </c>
      <c r="NP210">
        <v>0</v>
      </c>
      <c r="NQ210">
        <v>0</v>
      </c>
      <c r="NR210">
        <v>0</v>
      </c>
      <c r="NS210" cm="1">
        <f t="array" ref="NS210">IFERROR(MAX((_xlfn.ANCHORARRAY(NN210)-AVERAGE(_xlfn.ANCHORARRAY(NN210)))/ AVERAGE(_xlfn.ANCHORARRAY(NN210))),0)</f>
        <v>0</v>
      </c>
      <c r="NT210" t="str" cm="1">
        <f t="array" ref="NT210">IF(AND(NS210&gt;$NT$1,NL210&lt;&gt;""),_xlfn.XLOOKUP(MAX(_xlfn.ANCHORARRAY(NN210)),_xlfn.ANCHORARRAY(NN210),NN$4:NR$4,""),"")</f>
        <v/>
      </c>
      <c r="NV210" cm="1">
        <f t="array" ref="NV210:OE210">SUMIFS($J210:$GG210,$J$2:$GG$2,NV$3:OE$3)</f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 cm="1">
        <f t="array" ref="OF210">IFERROR(MAX((_xlfn.ANCHORARRAY(NV210)-AVERAGE(_xlfn.ANCHORARRAY(NV210)))/ AVERAGE(_xlfn.ANCHORARRAY(NV210))),0)</f>
        <v>0</v>
      </c>
      <c r="OG210" t="str" cm="1">
        <f t="array" ref="OG210">IF(OF210&gt;$OG$1,_xlfn.XLOOKUP(MAX(_xlfn.ANCHORARRAY(NV210)),_xlfn.ANCHORARRAY(NV210),NV$4:OE$4,""),"")</f>
        <v/>
      </c>
      <c r="OI210" t="str">
        <f t="shared" si="69"/>
        <v/>
      </c>
    </row>
    <row r="211" spans="2:399" x14ac:dyDescent="0.3">
      <c r="B211" s="2" t="str">
        <f t="shared" si="61"/>
        <v>CORE</v>
      </c>
      <c r="C211" s="2" t="str">
        <f t="shared" si="62"/>
        <v>CORE</v>
      </c>
      <c r="D211" s="2" t="str">
        <f t="shared" si="63"/>
        <v>CORE</v>
      </c>
      <c r="E211" s="2" t="str">
        <f t="shared" si="64"/>
        <v/>
      </c>
      <c r="F211" s="2">
        <f t="shared" si="65"/>
        <v>0</v>
      </c>
      <c r="G211" s="2">
        <f t="shared" si="66"/>
        <v>0</v>
      </c>
      <c r="H211" s="2">
        <f t="shared" si="67"/>
        <v>0</v>
      </c>
      <c r="I211" s="2">
        <f t="shared" si="68"/>
        <v>0</v>
      </c>
      <c r="NH211" cm="1">
        <f t="array" ref="NH211:NJ211">SUMIFS($J211:$GG211,$J$1:$GG$1,NH$3:NJ$3)</f>
        <v>0</v>
      </c>
      <c r="NI211">
        <v>0</v>
      </c>
      <c r="NJ211">
        <v>0</v>
      </c>
      <c r="NK211" cm="1">
        <f t="array" ref="NK211">IFERROR(MAX((_xlfn.ANCHORARRAY(NH211)-AVERAGE(_xlfn.ANCHORARRAY(NH211)))/ AVERAGE(_xlfn.ANCHORARRAY(NH211))),0)</f>
        <v>0</v>
      </c>
      <c r="NL211" t="str" cm="1">
        <f t="array" ref="NL211">IF(NK211&gt;$NL$1,_xlfn.XLOOKUP(MAX(_xlfn.ANCHORARRAY(NH211)),_xlfn.ANCHORARRAY(NH211),NH$4:NJ$4,""),"")</f>
        <v/>
      </c>
      <c r="NN211" cm="1">
        <f t="array" ref="NN211:NR211">SUMIFS($J211:$GG211,$J$3:$GG$3,NN$3:NR$3)</f>
        <v>0</v>
      </c>
      <c r="NO211">
        <v>0</v>
      </c>
      <c r="NP211">
        <v>0</v>
      </c>
      <c r="NQ211">
        <v>0</v>
      </c>
      <c r="NR211">
        <v>0</v>
      </c>
      <c r="NS211" cm="1">
        <f t="array" ref="NS211">IFERROR(MAX((_xlfn.ANCHORARRAY(NN211)-AVERAGE(_xlfn.ANCHORARRAY(NN211)))/ AVERAGE(_xlfn.ANCHORARRAY(NN211))),0)</f>
        <v>0</v>
      </c>
      <c r="NT211" t="str" cm="1">
        <f t="array" ref="NT211">IF(AND(NS211&gt;$NT$1,NL211&lt;&gt;""),_xlfn.XLOOKUP(MAX(_xlfn.ANCHORARRAY(NN211)),_xlfn.ANCHORARRAY(NN211),NN$4:NR$4,""),"")</f>
        <v/>
      </c>
      <c r="NV211" cm="1">
        <f t="array" ref="NV211:OE211">SUMIFS($J211:$GG211,$J$2:$GG$2,NV$3:OE$3)</f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 cm="1">
        <f t="array" ref="OF211">IFERROR(MAX((_xlfn.ANCHORARRAY(NV211)-AVERAGE(_xlfn.ANCHORARRAY(NV211)))/ AVERAGE(_xlfn.ANCHORARRAY(NV211))),0)</f>
        <v>0</v>
      </c>
      <c r="OG211" t="str" cm="1">
        <f t="array" ref="OG211">IF(OF211&gt;$OG$1,_xlfn.XLOOKUP(MAX(_xlfn.ANCHORARRAY(NV211)),_xlfn.ANCHORARRAY(NV211),NV$4:OE$4,""),"")</f>
        <v/>
      </c>
      <c r="OI211" t="str">
        <f t="shared" si="69"/>
        <v/>
      </c>
    </row>
    <row r="212" spans="2:399" x14ac:dyDescent="0.3">
      <c r="B212" s="2" t="str">
        <f t="shared" si="61"/>
        <v>CORE</v>
      </c>
      <c r="C212" s="2" t="str">
        <f t="shared" si="62"/>
        <v>CORE</v>
      </c>
      <c r="D212" s="2" t="str">
        <f t="shared" si="63"/>
        <v>CORE</v>
      </c>
      <c r="E212" s="2" t="str">
        <f t="shared" si="64"/>
        <v/>
      </c>
      <c r="F212" s="2">
        <f t="shared" si="65"/>
        <v>0</v>
      </c>
      <c r="G212" s="2">
        <f t="shared" si="66"/>
        <v>0</v>
      </c>
      <c r="H212" s="2">
        <f t="shared" si="67"/>
        <v>0</v>
      </c>
      <c r="I212" s="2">
        <f t="shared" si="68"/>
        <v>0</v>
      </c>
      <c r="NH212" cm="1">
        <f t="array" ref="NH212:NJ212">SUMIFS($J212:$GG212,$J$1:$GG$1,NH$3:NJ$3)</f>
        <v>0</v>
      </c>
      <c r="NI212">
        <v>0</v>
      </c>
      <c r="NJ212">
        <v>0</v>
      </c>
      <c r="NK212" cm="1">
        <f t="array" ref="NK212">IFERROR(MAX((_xlfn.ANCHORARRAY(NH212)-AVERAGE(_xlfn.ANCHORARRAY(NH212)))/ AVERAGE(_xlfn.ANCHORARRAY(NH212))),0)</f>
        <v>0</v>
      </c>
      <c r="NL212" t="str" cm="1">
        <f t="array" ref="NL212">IF(NK212&gt;$NL$1,_xlfn.XLOOKUP(MAX(_xlfn.ANCHORARRAY(NH212)),_xlfn.ANCHORARRAY(NH212),NH$4:NJ$4,""),"")</f>
        <v/>
      </c>
      <c r="NN212" cm="1">
        <f t="array" ref="NN212:NR212">SUMIFS($J212:$GG212,$J$3:$GG$3,NN$3:NR$3)</f>
        <v>0</v>
      </c>
      <c r="NO212">
        <v>0</v>
      </c>
      <c r="NP212">
        <v>0</v>
      </c>
      <c r="NQ212">
        <v>0</v>
      </c>
      <c r="NR212">
        <v>0</v>
      </c>
      <c r="NS212" cm="1">
        <f t="array" ref="NS212">IFERROR(MAX((_xlfn.ANCHORARRAY(NN212)-AVERAGE(_xlfn.ANCHORARRAY(NN212)))/ AVERAGE(_xlfn.ANCHORARRAY(NN212))),0)</f>
        <v>0</v>
      </c>
      <c r="NT212" t="str" cm="1">
        <f t="array" ref="NT212">IF(AND(NS212&gt;$NT$1,NL212&lt;&gt;""),_xlfn.XLOOKUP(MAX(_xlfn.ANCHORARRAY(NN212)),_xlfn.ANCHORARRAY(NN212),NN$4:NR$4,""),"")</f>
        <v/>
      </c>
      <c r="NV212" cm="1">
        <f t="array" ref="NV212:OE212">SUMIFS($J212:$GG212,$J$2:$GG$2,NV$3:OE$3)</f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 cm="1">
        <f t="array" ref="OF212">IFERROR(MAX((_xlfn.ANCHORARRAY(NV212)-AVERAGE(_xlfn.ANCHORARRAY(NV212)))/ AVERAGE(_xlfn.ANCHORARRAY(NV212))),0)</f>
        <v>0</v>
      </c>
      <c r="OG212" t="str" cm="1">
        <f t="array" ref="OG212">IF(OF212&gt;$OG$1,_xlfn.XLOOKUP(MAX(_xlfn.ANCHORARRAY(NV212)),_xlfn.ANCHORARRAY(NV212),NV$4:OE$4,""),"")</f>
        <v/>
      </c>
      <c r="OI212" t="str">
        <f t="shared" si="69"/>
        <v/>
      </c>
    </row>
    <row r="213" spans="2:399" x14ac:dyDescent="0.3">
      <c r="B213" s="2" t="str">
        <f t="shared" si="61"/>
        <v>CORE</v>
      </c>
      <c r="C213" s="2" t="str">
        <f t="shared" si="62"/>
        <v>CORE</v>
      </c>
      <c r="D213" s="2" t="str">
        <f t="shared" si="63"/>
        <v>CORE</v>
      </c>
      <c r="E213" s="2" t="str">
        <f t="shared" si="64"/>
        <v/>
      </c>
      <c r="F213" s="2">
        <f t="shared" si="65"/>
        <v>0</v>
      </c>
      <c r="G213" s="2">
        <f t="shared" si="66"/>
        <v>0</v>
      </c>
      <c r="H213" s="2">
        <f t="shared" si="67"/>
        <v>0</v>
      </c>
      <c r="I213" s="2">
        <f t="shared" si="68"/>
        <v>0</v>
      </c>
      <c r="NH213" cm="1">
        <f t="array" ref="NH213:NJ213">SUMIFS($J213:$GG213,$J$1:$GG$1,NH$3:NJ$3)</f>
        <v>0</v>
      </c>
      <c r="NI213">
        <v>0</v>
      </c>
      <c r="NJ213">
        <v>0</v>
      </c>
      <c r="NK213" cm="1">
        <f t="array" ref="NK213">IFERROR(MAX((_xlfn.ANCHORARRAY(NH213)-AVERAGE(_xlfn.ANCHORARRAY(NH213)))/ AVERAGE(_xlfn.ANCHORARRAY(NH213))),0)</f>
        <v>0</v>
      </c>
      <c r="NL213" t="str" cm="1">
        <f t="array" ref="NL213">IF(NK213&gt;$NL$1,_xlfn.XLOOKUP(MAX(_xlfn.ANCHORARRAY(NH213)),_xlfn.ANCHORARRAY(NH213),NH$4:NJ$4,""),"")</f>
        <v/>
      </c>
      <c r="NN213" cm="1">
        <f t="array" ref="NN213:NR213">SUMIFS($J213:$GG213,$J$3:$GG$3,NN$3:NR$3)</f>
        <v>0</v>
      </c>
      <c r="NO213">
        <v>0</v>
      </c>
      <c r="NP213">
        <v>0</v>
      </c>
      <c r="NQ213">
        <v>0</v>
      </c>
      <c r="NR213">
        <v>0</v>
      </c>
      <c r="NS213" cm="1">
        <f t="array" ref="NS213">IFERROR(MAX((_xlfn.ANCHORARRAY(NN213)-AVERAGE(_xlfn.ANCHORARRAY(NN213)))/ AVERAGE(_xlfn.ANCHORARRAY(NN213))),0)</f>
        <v>0</v>
      </c>
      <c r="NT213" t="str" cm="1">
        <f t="array" ref="NT213">IF(AND(NS213&gt;$NT$1,NL213&lt;&gt;""),_xlfn.XLOOKUP(MAX(_xlfn.ANCHORARRAY(NN213)),_xlfn.ANCHORARRAY(NN213),NN$4:NR$4,""),"")</f>
        <v/>
      </c>
      <c r="NV213" cm="1">
        <f t="array" ref="NV213:OE213">SUMIFS($J213:$GG213,$J$2:$GG$2,NV$3:OE$3)</f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 cm="1">
        <f t="array" ref="OF213">IFERROR(MAX((_xlfn.ANCHORARRAY(NV213)-AVERAGE(_xlfn.ANCHORARRAY(NV213)))/ AVERAGE(_xlfn.ANCHORARRAY(NV213))),0)</f>
        <v>0</v>
      </c>
      <c r="OG213" t="str" cm="1">
        <f t="array" ref="OG213">IF(OF213&gt;$OG$1,_xlfn.XLOOKUP(MAX(_xlfn.ANCHORARRAY(NV213)),_xlfn.ANCHORARRAY(NV213),NV$4:OE$4,""),"")</f>
        <v/>
      </c>
      <c r="OI213" t="str">
        <f t="shared" si="69"/>
        <v/>
      </c>
    </row>
    <row r="214" spans="2:399" x14ac:dyDescent="0.3">
      <c r="B214" s="2" t="str">
        <f t="shared" si="61"/>
        <v>CORE</v>
      </c>
      <c r="C214" s="2" t="str">
        <f t="shared" si="62"/>
        <v>CORE</v>
      </c>
      <c r="D214" s="2" t="str">
        <f t="shared" si="63"/>
        <v>CORE</v>
      </c>
      <c r="E214" s="2" t="str">
        <f t="shared" si="64"/>
        <v/>
      </c>
      <c r="F214" s="2">
        <f t="shared" si="65"/>
        <v>0</v>
      </c>
      <c r="G214" s="2">
        <f t="shared" si="66"/>
        <v>0</v>
      </c>
      <c r="H214" s="2">
        <f t="shared" si="67"/>
        <v>0</v>
      </c>
      <c r="I214" s="2">
        <f t="shared" si="68"/>
        <v>0</v>
      </c>
      <c r="NH214" cm="1">
        <f t="array" ref="NH214:NJ214">SUMIFS($J214:$GG214,$J$1:$GG$1,NH$3:NJ$3)</f>
        <v>0</v>
      </c>
      <c r="NI214">
        <v>0</v>
      </c>
      <c r="NJ214">
        <v>0</v>
      </c>
      <c r="NK214" cm="1">
        <f t="array" ref="NK214">IFERROR(MAX((_xlfn.ANCHORARRAY(NH214)-AVERAGE(_xlfn.ANCHORARRAY(NH214)))/ AVERAGE(_xlfn.ANCHORARRAY(NH214))),0)</f>
        <v>0</v>
      </c>
      <c r="NL214" t="str" cm="1">
        <f t="array" ref="NL214">IF(NK214&gt;$NL$1,_xlfn.XLOOKUP(MAX(_xlfn.ANCHORARRAY(NH214)),_xlfn.ANCHORARRAY(NH214),NH$4:NJ$4,""),"")</f>
        <v/>
      </c>
      <c r="NN214" cm="1">
        <f t="array" ref="NN214:NR214">SUMIFS($J214:$GG214,$J$3:$GG$3,NN$3:NR$3)</f>
        <v>0</v>
      </c>
      <c r="NO214">
        <v>0</v>
      </c>
      <c r="NP214">
        <v>0</v>
      </c>
      <c r="NQ214">
        <v>0</v>
      </c>
      <c r="NR214">
        <v>0</v>
      </c>
      <c r="NS214" cm="1">
        <f t="array" ref="NS214">IFERROR(MAX((_xlfn.ANCHORARRAY(NN214)-AVERAGE(_xlfn.ANCHORARRAY(NN214)))/ AVERAGE(_xlfn.ANCHORARRAY(NN214))),0)</f>
        <v>0</v>
      </c>
      <c r="NT214" t="str" cm="1">
        <f t="array" ref="NT214">IF(AND(NS214&gt;$NT$1,NL214&lt;&gt;""),_xlfn.XLOOKUP(MAX(_xlfn.ANCHORARRAY(NN214)),_xlfn.ANCHORARRAY(NN214),NN$4:NR$4,""),"")</f>
        <v/>
      </c>
      <c r="NV214" cm="1">
        <f t="array" ref="NV214:OE214">SUMIFS($J214:$GG214,$J$2:$GG$2,NV$3:OE$3)</f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 cm="1">
        <f t="array" ref="OF214">IFERROR(MAX((_xlfn.ANCHORARRAY(NV214)-AVERAGE(_xlfn.ANCHORARRAY(NV214)))/ AVERAGE(_xlfn.ANCHORARRAY(NV214))),0)</f>
        <v>0</v>
      </c>
      <c r="OG214" t="str" cm="1">
        <f t="array" ref="OG214">IF(OF214&gt;$OG$1,_xlfn.XLOOKUP(MAX(_xlfn.ANCHORARRAY(NV214)),_xlfn.ANCHORARRAY(NV214),NV$4:OE$4,""),"")</f>
        <v/>
      </c>
      <c r="OI214" t="str">
        <f t="shared" si="69"/>
        <v/>
      </c>
    </row>
    <row r="215" spans="2:399" x14ac:dyDescent="0.3">
      <c r="B215" s="2" t="str">
        <f t="shared" ref="B215:B232" si="70">IF(C215="NotFound",D215,C215)</f>
        <v>CORE</v>
      </c>
      <c r="C215" s="2" t="str">
        <f t="shared" ref="C215:C232" si="71">IF(H215&gt;1,"NotFound","CORE"&amp;_xlfn.XLOOKUP(MAX(J215:GG215,1),J215:GG215,$J$4:$GG$4,""))</f>
        <v>CORE</v>
      </c>
      <c r="D215" s="2" t="str">
        <f t="shared" ref="D215:D232" si="72">IF(F215&gt;1,"NotFound","CORE"&amp;_xlfn.XLOOKUP(MAX(GI215:NF215,1),GI215:NF215,$GI$4:$NF$4,""))</f>
        <v>CORE</v>
      </c>
      <c r="E215" s="2" t="str">
        <f t="shared" ref="E215:E232" si="73">OI215</f>
        <v/>
      </c>
      <c r="F215" s="2">
        <f t="shared" ref="F215:F232" si="74">COUNTIF(GI215:NF215,G215)</f>
        <v>0</v>
      </c>
      <c r="G215" s="2">
        <f t="shared" ref="G215:G232" si="75">MAX(GI215:NF215)</f>
        <v>0</v>
      </c>
      <c r="H215" s="2">
        <f t="shared" ref="H215:H232" si="76">COUNTIF(J215:GG215,I215)</f>
        <v>0</v>
      </c>
      <c r="I215" s="2">
        <f t="shared" ref="I215:I232" si="77">MAX(J215:GG215)</f>
        <v>0</v>
      </c>
      <c r="NH215" cm="1">
        <f t="array" ref="NH215:NJ215">SUMIFS($J215:$GG215,$J$1:$GG$1,NH$3:NJ$3)</f>
        <v>0</v>
      </c>
      <c r="NI215">
        <v>0</v>
      </c>
      <c r="NJ215">
        <v>0</v>
      </c>
      <c r="NK215" cm="1">
        <f t="array" ref="NK215">IFERROR(MAX((_xlfn.ANCHORARRAY(NH215)-AVERAGE(_xlfn.ANCHORARRAY(NH215)))/ AVERAGE(_xlfn.ANCHORARRAY(NH215))),0)</f>
        <v>0</v>
      </c>
      <c r="NL215" t="str" cm="1">
        <f t="array" ref="NL215">IF(NK215&gt;$NL$1,_xlfn.XLOOKUP(MAX(_xlfn.ANCHORARRAY(NH215)),_xlfn.ANCHORARRAY(NH215),NH$4:NJ$4,""),"")</f>
        <v/>
      </c>
      <c r="NN215" cm="1">
        <f t="array" ref="NN215:NR215">SUMIFS($J215:$GG215,$J$3:$GG$3,NN$3:NR$3)</f>
        <v>0</v>
      </c>
      <c r="NO215">
        <v>0</v>
      </c>
      <c r="NP215">
        <v>0</v>
      </c>
      <c r="NQ215">
        <v>0</v>
      </c>
      <c r="NR215">
        <v>0</v>
      </c>
      <c r="NS215" cm="1">
        <f t="array" ref="NS215">IFERROR(MAX((_xlfn.ANCHORARRAY(NN215)-AVERAGE(_xlfn.ANCHORARRAY(NN215)))/ AVERAGE(_xlfn.ANCHORARRAY(NN215))),0)</f>
        <v>0</v>
      </c>
      <c r="NT215" t="str" cm="1">
        <f t="array" ref="NT215">IF(AND(NS215&gt;$NT$1,NL215&lt;&gt;""),_xlfn.XLOOKUP(MAX(_xlfn.ANCHORARRAY(NN215)),_xlfn.ANCHORARRAY(NN215),NN$4:NR$4,""),"")</f>
        <v/>
      </c>
      <c r="NV215" cm="1">
        <f t="array" ref="NV215:OE215">SUMIFS($J215:$GG215,$J$2:$GG$2,NV$3:OE$3)</f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 cm="1">
        <f t="array" ref="OF215">IFERROR(MAX((_xlfn.ANCHORARRAY(NV215)-AVERAGE(_xlfn.ANCHORARRAY(NV215)))/ AVERAGE(_xlfn.ANCHORARRAY(NV215))),0)</f>
        <v>0</v>
      </c>
      <c r="OG215" t="str" cm="1">
        <f t="array" ref="OG215">IF(OF215&gt;$OG$1,_xlfn.XLOOKUP(MAX(_xlfn.ANCHORARRAY(NV215)),_xlfn.ANCHORARRAY(NV215),NV$4:OE$4,""),"")</f>
        <v/>
      </c>
      <c r="OI215" t="str">
        <f t="shared" ref="OI215:OI232" si="78">_xlfn.TEXTJOIN(" : ",,NL215,NT215,OG215)</f>
        <v/>
      </c>
    </row>
    <row r="216" spans="2:399" x14ac:dyDescent="0.3">
      <c r="B216" s="2" t="str">
        <f t="shared" si="70"/>
        <v>CORE</v>
      </c>
      <c r="C216" s="2" t="str">
        <f t="shared" si="71"/>
        <v>CORE</v>
      </c>
      <c r="D216" s="2" t="str">
        <f t="shared" si="72"/>
        <v>CORE</v>
      </c>
      <c r="E216" s="2" t="str">
        <f t="shared" si="73"/>
        <v/>
      </c>
      <c r="F216" s="2">
        <f t="shared" si="74"/>
        <v>0</v>
      </c>
      <c r="G216" s="2">
        <f t="shared" si="75"/>
        <v>0</v>
      </c>
      <c r="H216" s="2">
        <f t="shared" si="76"/>
        <v>0</v>
      </c>
      <c r="I216" s="2">
        <f t="shared" si="77"/>
        <v>0</v>
      </c>
      <c r="NH216" cm="1">
        <f t="array" ref="NH216:NJ216">SUMIFS($J216:$GG216,$J$1:$GG$1,NH$3:NJ$3)</f>
        <v>0</v>
      </c>
      <c r="NI216">
        <v>0</v>
      </c>
      <c r="NJ216">
        <v>0</v>
      </c>
      <c r="NK216" cm="1">
        <f t="array" ref="NK216">IFERROR(MAX((_xlfn.ANCHORARRAY(NH216)-AVERAGE(_xlfn.ANCHORARRAY(NH216)))/ AVERAGE(_xlfn.ANCHORARRAY(NH216))),0)</f>
        <v>0</v>
      </c>
      <c r="NL216" t="str" cm="1">
        <f t="array" ref="NL216">IF(NK216&gt;$NL$1,_xlfn.XLOOKUP(MAX(_xlfn.ANCHORARRAY(NH216)),_xlfn.ANCHORARRAY(NH216),NH$4:NJ$4,""),"")</f>
        <v/>
      </c>
      <c r="NN216" cm="1">
        <f t="array" ref="NN216:NR216">SUMIFS($J216:$GG216,$J$3:$GG$3,NN$3:NR$3)</f>
        <v>0</v>
      </c>
      <c r="NO216">
        <v>0</v>
      </c>
      <c r="NP216">
        <v>0</v>
      </c>
      <c r="NQ216">
        <v>0</v>
      </c>
      <c r="NR216">
        <v>0</v>
      </c>
      <c r="NS216" cm="1">
        <f t="array" ref="NS216">IFERROR(MAX((_xlfn.ANCHORARRAY(NN216)-AVERAGE(_xlfn.ANCHORARRAY(NN216)))/ AVERAGE(_xlfn.ANCHORARRAY(NN216))),0)</f>
        <v>0</v>
      </c>
      <c r="NT216" t="str" cm="1">
        <f t="array" ref="NT216">IF(AND(NS216&gt;$NT$1,NL216&lt;&gt;""),_xlfn.XLOOKUP(MAX(_xlfn.ANCHORARRAY(NN216)),_xlfn.ANCHORARRAY(NN216),NN$4:NR$4,""),"")</f>
        <v/>
      </c>
      <c r="NV216" cm="1">
        <f t="array" ref="NV216:OE216">SUMIFS($J216:$GG216,$J$2:$GG$2,NV$3:OE$3)</f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 cm="1">
        <f t="array" ref="OF216">IFERROR(MAX((_xlfn.ANCHORARRAY(NV216)-AVERAGE(_xlfn.ANCHORARRAY(NV216)))/ AVERAGE(_xlfn.ANCHORARRAY(NV216))),0)</f>
        <v>0</v>
      </c>
      <c r="OG216" t="str" cm="1">
        <f t="array" ref="OG216">IF(OF216&gt;$OG$1,_xlfn.XLOOKUP(MAX(_xlfn.ANCHORARRAY(NV216)),_xlfn.ANCHORARRAY(NV216),NV$4:OE$4,""),"")</f>
        <v/>
      </c>
      <c r="OI216" t="str">
        <f t="shared" si="78"/>
        <v/>
      </c>
    </row>
    <row r="217" spans="2:399" x14ac:dyDescent="0.3">
      <c r="B217" s="2" t="str">
        <f t="shared" si="70"/>
        <v>CORE</v>
      </c>
      <c r="C217" s="2" t="str">
        <f t="shared" si="71"/>
        <v>CORE</v>
      </c>
      <c r="D217" s="2" t="str">
        <f t="shared" si="72"/>
        <v>CORE</v>
      </c>
      <c r="E217" s="2" t="str">
        <f t="shared" si="73"/>
        <v/>
      </c>
      <c r="F217" s="2">
        <f t="shared" si="74"/>
        <v>0</v>
      </c>
      <c r="G217" s="2">
        <f t="shared" si="75"/>
        <v>0</v>
      </c>
      <c r="H217" s="2">
        <f t="shared" si="76"/>
        <v>0</v>
      </c>
      <c r="I217" s="2">
        <f t="shared" si="77"/>
        <v>0</v>
      </c>
      <c r="NH217" cm="1">
        <f t="array" ref="NH217:NJ217">SUMIFS($J217:$GG217,$J$1:$GG$1,NH$3:NJ$3)</f>
        <v>0</v>
      </c>
      <c r="NI217">
        <v>0</v>
      </c>
      <c r="NJ217">
        <v>0</v>
      </c>
      <c r="NK217" cm="1">
        <f t="array" ref="NK217">IFERROR(MAX((_xlfn.ANCHORARRAY(NH217)-AVERAGE(_xlfn.ANCHORARRAY(NH217)))/ AVERAGE(_xlfn.ANCHORARRAY(NH217))),0)</f>
        <v>0</v>
      </c>
      <c r="NL217" t="str" cm="1">
        <f t="array" ref="NL217">IF(NK217&gt;$NL$1,_xlfn.XLOOKUP(MAX(_xlfn.ANCHORARRAY(NH217)),_xlfn.ANCHORARRAY(NH217),NH$4:NJ$4,""),"")</f>
        <v/>
      </c>
      <c r="NN217" cm="1">
        <f t="array" ref="NN217:NR217">SUMIFS($J217:$GG217,$J$3:$GG$3,NN$3:NR$3)</f>
        <v>0</v>
      </c>
      <c r="NO217">
        <v>0</v>
      </c>
      <c r="NP217">
        <v>0</v>
      </c>
      <c r="NQ217">
        <v>0</v>
      </c>
      <c r="NR217">
        <v>0</v>
      </c>
      <c r="NS217" cm="1">
        <f t="array" ref="NS217">IFERROR(MAX((_xlfn.ANCHORARRAY(NN217)-AVERAGE(_xlfn.ANCHORARRAY(NN217)))/ AVERAGE(_xlfn.ANCHORARRAY(NN217))),0)</f>
        <v>0</v>
      </c>
      <c r="NT217" t="str" cm="1">
        <f t="array" ref="NT217">IF(AND(NS217&gt;$NT$1,NL217&lt;&gt;""),_xlfn.XLOOKUP(MAX(_xlfn.ANCHORARRAY(NN217)),_xlfn.ANCHORARRAY(NN217),NN$4:NR$4,""),"")</f>
        <v/>
      </c>
      <c r="NV217" cm="1">
        <f t="array" ref="NV217:OE217">SUMIFS($J217:$GG217,$J$2:$GG$2,NV$3:OE$3)</f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 cm="1">
        <f t="array" ref="OF217">IFERROR(MAX((_xlfn.ANCHORARRAY(NV217)-AVERAGE(_xlfn.ANCHORARRAY(NV217)))/ AVERAGE(_xlfn.ANCHORARRAY(NV217))),0)</f>
        <v>0</v>
      </c>
      <c r="OG217" t="str" cm="1">
        <f t="array" ref="OG217">IF(OF217&gt;$OG$1,_xlfn.XLOOKUP(MAX(_xlfn.ANCHORARRAY(NV217)),_xlfn.ANCHORARRAY(NV217),NV$4:OE$4,""),"")</f>
        <v/>
      </c>
      <c r="OI217" t="str">
        <f t="shared" si="78"/>
        <v/>
      </c>
    </row>
    <row r="218" spans="2:399" x14ac:dyDescent="0.3">
      <c r="B218" s="2" t="str">
        <f t="shared" si="70"/>
        <v>CORE</v>
      </c>
      <c r="C218" s="2" t="str">
        <f t="shared" si="71"/>
        <v>CORE</v>
      </c>
      <c r="D218" s="2" t="str">
        <f t="shared" si="72"/>
        <v>CORE</v>
      </c>
      <c r="E218" s="2" t="str">
        <f t="shared" si="73"/>
        <v/>
      </c>
      <c r="F218" s="2">
        <f t="shared" si="74"/>
        <v>0</v>
      </c>
      <c r="G218" s="2">
        <f t="shared" si="75"/>
        <v>0</v>
      </c>
      <c r="H218" s="2">
        <f t="shared" si="76"/>
        <v>0</v>
      </c>
      <c r="I218" s="2">
        <f t="shared" si="77"/>
        <v>0</v>
      </c>
      <c r="NH218" cm="1">
        <f t="array" ref="NH218:NJ218">SUMIFS($J218:$GG218,$J$1:$GG$1,NH$3:NJ$3)</f>
        <v>0</v>
      </c>
      <c r="NI218">
        <v>0</v>
      </c>
      <c r="NJ218">
        <v>0</v>
      </c>
      <c r="NK218" cm="1">
        <f t="array" ref="NK218">IFERROR(MAX((_xlfn.ANCHORARRAY(NH218)-AVERAGE(_xlfn.ANCHORARRAY(NH218)))/ AVERAGE(_xlfn.ANCHORARRAY(NH218))),0)</f>
        <v>0</v>
      </c>
      <c r="NL218" t="str" cm="1">
        <f t="array" ref="NL218">IF(NK218&gt;$NL$1,_xlfn.XLOOKUP(MAX(_xlfn.ANCHORARRAY(NH218)),_xlfn.ANCHORARRAY(NH218),NH$4:NJ$4,""),"")</f>
        <v/>
      </c>
      <c r="NN218" cm="1">
        <f t="array" ref="NN218:NR218">SUMIFS($J218:$GG218,$J$3:$GG$3,NN$3:NR$3)</f>
        <v>0</v>
      </c>
      <c r="NO218">
        <v>0</v>
      </c>
      <c r="NP218">
        <v>0</v>
      </c>
      <c r="NQ218">
        <v>0</v>
      </c>
      <c r="NR218">
        <v>0</v>
      </c>
      <c r="NS218" cm="1">
        <f t="array" ref="NS218">IFERROR(MAX((_xlfn.ANCHORARRAY(NN218)-AVERAGE(_xlfn.ANCHORARRAY(NN218)))/ AVERAGE(_xlfn.ANCHORARRAY(NN218))),0)</f>
        <v>0</v>
      </c>
      <c r="NT218" t="str" cm="1">
        <f t="array" ref="NT218">IF(AND(NS218&gt;$NT$1,NL218&lt;&gt;""),_xlfn.XLOOKUP(MAX(_xlfn.ANCHORARRAY(NN218)),_xlfn.ANCHORARRAY(NN218),NN$4:NR$4,""),"")</f>
        <v/>
      </c>
      <c r="NV218" cm="1">
        <f t="array" ref="NV218:OE218">SUMIFS($J218:$GG218,$J$2:$GG$2,NV$3:OE$3)</f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 cm="1">
        <f t="array" ref="OF218">IFERROR(MAX((_xlfn.ANCHORARRAY(NV218)-AVERAGE(_xlfn.ANCHORARRAY(NV218)))/ AVERAGE(_xlfn.ANCHORARRAY(NV218))),0)</f>
        <v>0</v>
      </c>
      <c r="OG218" t="str" cm="1">
        <f t="array" ref="OG218">IF(OF218&gt;$OG$1,_xlfn.XLOOKUP(MAX(_xlfn.ANCHORARRAY(NV218)),_xlfn.ANCHORARRAY(NV218),NV$4:OE$4,""),"")</f>
        <v/>
      </c>
      <c r="OI218" t="str">
        <f t="shared" si="78"/>
        <v/>
      </c>
    </row>
    <row r="219" spans="2:399" x14ac:dyDescent="0.3">
      <c r="B219" s="2" t="str">
        <f t="shared" si="70"/>
        <v>CORE</v>
      </c>
      <c r="C219" s="2" t="str">
        <f t="shared" si="71"/>
        <v>CORE</v>
      </c>
      <c r="D219" s="2" t="str">
        <f t="shared" si="72"/>
        <v>CORE</v>
      </c>
      <c r="E219" s="2" t="str">
        <f t="shared" si="73"/>
        <v/>
      </c>
      <c r="F219" s="2">
        <f t="shared" si="74"/>
        <v>0</v>
      </c>
      <c r="G219" s="2">
        <f t="shared" si="75"/>
        <v>0</v>
      </c>
      <c r="H219" s="2">
        <f t="shared" si="76"/>
        <v>0</v>
      </c>
      <c r="I219" s="2">
        <f t="shared" si="77"/>
        <v>0</v>
      </c>
      <c r="NH219" cm="1">
        <f t="array" ref="NH219:NJ219">SUMIFS($J219:$GG219,$J$1:$GG$1,NH$3:NJ$3)</f>
        <v>0</v>
      </c>
      <c r="NI219">
        <v>0</v>
      </c>
      <c r="NJ219">
        <v>0</v>
      </c>
      <c r="NK219" cm="1">
        <f t="array" ref="NK219">IFERROR(MAX((_xlfn.ANCHORARRAY(NH219)-AVERAGE(_xlfn.ANCHORARRAY(NH219)))/ AVERAGE(_xlfn.ANCHORARRAY(NH219))),0)</f>
        <v>0</v>
      </c>
      <c r="NL219" t="str" cm="1">
        <f t="array" ref="NL219">IF(NK219&gt;$NL$1,_xlfn.XLOOKUP(MAX(_xlfn.ANCHORARRAY(NH219)),_xlfn.ANCHORARRAY(NH219),NH$4:NJ$4,""),"")</f>
        <v/>
      </c>
      <c r="NN219" cm="1">
        <f t="array" ref="NN219:NR219">SUMIFS($J219:$GG219,$J$3:$GG$3,NN$3:NR$3)</f>
        <v>0</v>
      </c>
      <c r="NO219">
        <v>0</v>
      </c>
      <c r="NP219">
        <v>0</v>
      </c>
      <c r="NQ219">
        <v>0</v>
      </c>
      <c r="NR219">
        <v>0</v>
      </c>
      <c r="NS219" cm="1">
        <f t="array" ref="NS219">IFERROR(MAX((_xlfn.ANCHORARRAY(NN219)-AVERAGE(_xlfn.ANCHORARRAY(NN219)))/ AVERAGE(_xlfn.ANCHORARRAY(NN219))),0)</f>
        <v>0</v>
      </c>
      <c r="NT219" t="str" cm="1">
        <f t="array" ref="NT219">IF(AND(NS219&gt;$NT$1,NL219&lt;&gt;""),_xlfn.XLOOKUP(MAX(_xlfn.ANCHORARRAY(NN219)),_xlfn.ANCHORARRAY(NN219),NN$4:NR$4,""),"")</f>
        <v/>
      </c>
      <c r="NV219" cm="1">
        <f t="array" ref="NV219:OE219">SUMIFS($J219:$GG219,$J$2:$GG$2,NV$3:OE$3)</f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 cm="1">
        <f t="array" ref="OF219">IFERROR(MAX((_xlfn.ANCHORARRAY(NV219)-AVERAGE(_xlfn.ANCHORARRAY(NV219)))/ AVERAGE(_xlfn.ANCHORARRAY(NV219))),0)</f>
        <v>0</v>
      </c>
      <c r="OG219" t="str" cm="1">
        <f t="array" ref="OG219">IF(OF219&gt;$OG$1,_xlfn.XLOOKUP(MAX(_xlfn.ANCHORARRAY(NV219)),_xlfn.ANCHORARRAY(NV219),NV$4:OE$4,""),"")</f>
        <v/>
      </c>
      <c r="OI219" t="str">
        <f t="shared" si="78"/>
        <v/>
      </c>
    </row>
    <row r="220" spans="2:399" x14ac:dyDescent="0.3">
      <c r="B220" s="2" t="str">
        <f t="shared" si="70"/>
        <v>CORE</v>
      </c>
      <c r="C220" s="2" t="str">
        <f t="shared" si="71"/>
        <v>CORE</v>
      </c>
      <c r="D220" s="2" t="str">
        <f t="shared" si="72"/>
        <v>CORE</v>
      </c>
      <c r="E220" s="2" t="str">
        <f t="shared" si="73"/>
        <v/>
      </c>
      <c r="F220" s="2">
        <f t="shared" si="74"/>
        <v>0</v>
      </c>
      <c r="G220" s="2">
        <f t="shared" si="75"/>
        <v>0</v>
      </c>
      <c r="H220" s="2">
        <f t="shared" si="76"/>
        <v>0</v>
      </c>
      <c r="I220" s="2">
        <f t="shared" si="77"/>
        <v>0</v>
      </c>
      <c r="NH220" cm="1">
        <f t="array" ref="NH220:NJ220">SUMIFS($J220:$GG220,$J$1:$GG$1,NH$3:NJ$3)</f>
        <v>0</v>
      </c>
      <c r="NI220">
        <v>0</v>
      </c>
      <c r="NJ220">
        <v>0</v>
      </c>
      <c r="NK220" cm="1">
        <f t="array" ref="NK220">IFERROR(MAX((_xlfn.ANCHORARRAY(NH220)-AVERAGE(_xlfn.ANCHORARRAY(NH220)))/ AVERAGE(_xlfn.ANCHORARRAY(NH220))),0)</f>
        <v>0</v>
      </c>
      <c r="NL220" t="str" cm="1">
        <f t="array" ref="NL220">IF(NK220&gt;$NL$1,_xlfn.XLOOKUP(MAX(_xlfn.ANCHORARRAY(NH220)),_xlfn.ANCHORARRAY(NH220),NH$4:NJ$4,""),"")</f>
        <v/>
      </c>
      <c r="NN220" cm="1">
        <f t="array" ref="NN220:NR220">SUMIFS($J220:$GG220,$J$3:$GG$3,NN$3:NR$3)</f>
        <v>0</v>
      </c>
      <c r="NO220">
        <v>0</v>
      </c>
      <c r="NP220">
        <v>0</v>
      </c>
      <c r="NQ220">
        <v>0</v>
      </c>
      <c r="NR220">
        <v>0</v>
      </c>
      <c r="NS220" cm="1">
        <f t="array" ref="NS220">IFERROR(MAX((_xlfn.ANCHORARRAY(NN220)-AVERAGE(_xlfn.ANCHORARRAY(NN220)))/ AVERAGE(_xlfn.ANCHORARRAY(NN220))),0)</f>
        <v>0</v>
      </c>
      <c r="NT220" t="str" cm="1">
        <f t="array" ref="NT220">IF(AND(NS220&gt;$NT$1,NL220&lt;&gt;""),_xlfn.XLOOKUP(MAX(_xlfn.ANCHORARRAY(NN220)),_xlfn.ANCHORARRAY(NN220),NN$4:NR$4,""),"")</f>
        <v/>
      </c>
      <c r="NV220" cm="1">
        <f t="array" ref="NV220:OE220">SUMIFS($J220:$GG220,$J$2:$GG$2,NV$3:OE$3)</f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 cm="1">
        <f t="array" ref="OF220">IFERROR(MAX((_xlfn.ANCHORARRAY(NV220)-AVERAGE(_xlfn.ANCHORARRAY(NV220)))/ AVERAGE(_xlfn.ANCHORARRAY(NV220))),0)</f>
        <v>0</v>
      </c>
      <c r="OG220" t="str" cm="1">
        <f t="array" ref="OG220">IF(OF220&gt;$OG$1,_xlfn.XLOOKUP(MAX(_xlfn.ANCHORARRAY(NV220)),_xlfn.ANCHORARRAY(NV220),NV$4:OE$4,""),"")</f>
        <v/>
      </c>
      <c r="OI220" t="str">
        <f t="shared" si="78"/>
        <v/>
      </c>
    </row>
    <row r="221" spans="2:399" x14ac:dyDescent="0.3">
      <c r="B221" s="2" t="str">
        <f t="shared" si="70"/>
        <v>CORE</v>
      </c>
      <c r="C221" s="2" t="str">
        <f t="shared" si="71"/>
        <v>CORE</v>
      </c>
      <c r="D221" s="2" t="str">
        <f t="shared" si="72"/>
        <v>CORE</v>
      </c>
      <c r="E221" s="2" t="str">
        <f t="shared" si="73"/>
        <v/>
      </c>
      <c r="F221" s="2">
        <f t="shared" si="74"/>
        <v>0</v>
      </c>
      <c r="G221" s="2">
        <f t="shared" si="75"/>
        <v>0</v>
      </c>
      <c r="H221" s="2">
        <f t="shared" si="76"/>
        <v>0</v>
      </c>
      <c r="I221" s="2">
        <f t="shared" si="77"/>
        <v>0</v>
      </c>
      <c r="NH221" cm="1">
        <f t="array" ref="NH221:NJ221">SUMIFS($J221:$GG221,$J$1:$GG$1,NH$3:NJ$3)</f>
        <v>0</v>
      </c>
      <c r="NI221">
        <v>0</v>
      </c>
      <c r="NJ221">
        <v>0</v>
      </c>
      <c r="NK221" cm="1">
        <f t="array" ref="NK221">IFERROR(MAX((_xlfn.ANCHORARRAY(NH221)-AVERAGE(_xlfn.ANCHORARRAY(NH221)))/ AVERAGE(_xlfn.ANCHORARRAY(NH221))),0)</f>
        <v>0</v>
      </c>
      <c r="NL221" t="str" cm="1">
        <f t="array" ref="NL221">IF(NK221&gt;$NL$1,_xlfn.XLOOKUP(MAX(_xlfn.ANCHORARRAY(NH221)),_xlfn.ANCHORARRAY(NH221),NH$4:NJ$4,""),"")</f>
        <v/>
      </c>
      <c r="NN221" cm="1">
        <f t="array" ref="NN221:NR221">SUMIFS($J221:$GG221,$J$3:$GG$3,NN$3:NR$3)</f>
        <v>0</v>
      </c>
      <c r="NO221">
        <v>0</v>
      </c>
      <c r="NP221">
        <v>0</v>
      </c>
      <c r="NQ221">
        <v>0</v>
      </c>
      <c r="NR221">
        <v>0</v>
      </c>
      <c r="NS221" cm="1">
        <f t="array" ref="NS221">IFERROR(MAX((_xlfn.ANCHORARRAY(NN221)-AVERAGE(_xlfn.ANCHORARRAY(NN221)))/ AVERAGE(_xlfn.ANCHORARRAY(NN221))),0)</f>
        <v>0</v>
      </c>
      <c r="NT221" t="str" cm="1">
        <f t="array" ref="NT221">IF(AND(NS221&gt;$NT$1,NL221&lt;&gt;""),_xlfn.XLOOKUP(MAX(_xlfn.ANCHORARRAY(NN221)),_xlfn.ANCHORARRAY(NN221),NN$4:NR$4,""),"")</f>
        <v/>
      </c>
      <c r="NV221" cm="1">
        <f t="array" ref="NV221:OE221">SUMIFS($J221:$GG221,$J$2:$GG$2,NV$3:OE$3)</f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 cm="1">
        <f t="array" ref="OF221">IFERROR(MAX((_xlfn.ANCHORARRAY(NV221)-AVERAGE(_xlfn.ANCHORARRAY(NV221)))/ AVERAGE(_xlfn.ANCHORARRAY(NV221))),0)</f>
        <v>0</v>
      </c>
      <c r="OG221" t="str" cm="1">
        <f t="array" ref="OG221">IF(OF221&gt;$OG$1,_xlfn.XLOOKUP(MAX(_xlfn.ANCHORARRAY(NV221)),_xlfn.ANCHORARRAY(NV221),NV$4:OE$4,""),"")</f>
        <v/>
      </c>
      <c r="OI221" t="str">
        <f t="shared" si="78"/>
        <v/>
      </c>
    </row>
    <row r="222" spans="2:399" x14ac:dyDescent="0.3">
      <c r="B222" s="2" t="str">
        <f t="shared" si="70"/>
        <v>CORE</v>
      </c>
      <c r="C222" s="2" t="str">
        <f t="shared" si="71"/>
        <v>CORE</v>
      </c>
      <c r="D222" s="2" t="str">
        <f t="shared" si="72"/>
        <v>CORE</v>
      </c>
      <c r="E222" s="2" t="str">
        <f t="shared" si="73"/>
        <v/>
      </c>
      <c r="F222" s="2">
        <f t="shared" si="74"/>
        <v>0</v>
      </c>
      <c r="G222" s="2">
        <f t="shared" si="75"/>
        <v>0</v>
      </c>
      <c r="H222" s="2">
        <f t="shared" si="76"/>
        <v>0</v>
      </c>
      <c r="I222" s="2">
        <f t="shared" si="77"/>
        <v>0</v>
      </c>
      <c r="NH222" cm="1">
        <f t="array" ref="NH222:NJ222">SUMIFS($J222:$GG222,$J$1:$GG$1,NH$3:NJ$3)</f>
        <v>0</v>
      </c>
      <c r="NI222">
        <v>0</v>
      </c>
      <c r="NJ222">
        <v>0</v>
      </c>
      <c r="NK222" cm="1">
        <f t="array" ref="NK222">IFERROR(MAX((_xlfn.ANCHORARRAY(NH222)-AVERAGE(_xlfn.ANCHORARRAY(NH222)))/ AVERAGE(_xlfn.ANCHORARRAY(NH222))),0)</f>
        <v>0</v>
      </c>
      <c r="NL222" t="str" cm="1">
        <f t="array" ref="NL222">IF(NK222&gt;$NL$1,_xlfn.XLOOKUP(MAX(_xlfn.ANCHORARRAY(NH222)),_xlfn.ANCHORARRAY(NH222),NH$4:NJ$4,""),"")</f>
        <v/>
      </c>
      <c r="NN222" cm="1">
        <f t="array" ref="NN222:NR222">SUMIFS($J222:$GG222,$J$3:$GG$3,NN$3:NR$3)</f>
        <v>0</v>
      </c>
      <c r="NO222">
        <v>0</v>
      </c>
      <c r="NP222">
        <v>0</v>
      </c>
      <c r="NQ222">
        <v>0</v>
      </c>
      <c r="NR222">
        <v>0</v>
      </c>
      <c r="NS222" cm="1">
        <f t="array" ref="NS222">IFERROR(MAX((_xlfn.ANCHORARRAY(NN222)-AVERAGE(_xlfn.ANCHORARRAY(NN222)))/ AVERAGE(_xlfn.ANCHORARRAY(NN222))),0)</f>
        <v>0</v>
      </c>
      <c r="NT222" t="str" cm="1">
        <f t="array" ref="NT222">IF(AND(NS222&gt;$NT$1,NL222&lt;&gt;""),_xlfn.XLOOKUP(MAX(_xlfn.ANCHORARRAY(NN222)),_xlfn.ANCHORARRAY(NN222),NN$4:NR$4,""),"")</f>
        <v/>
      </c>
      <c r="NV222" cm="1">
        <f t="array" ref="NV222:OE222">SUMIFS($J222:$GG222,$J$2:$GG$2,NV$3:OE$3)</f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 cm="1">
        <f t="array" ref="OF222">IFERROR(MAX((_xlfn.ANCHORARRAY(NV222)-AVERAGE(_xlfn.ANCHORARRAY(NV222)))/ AVERAGE(_xlfn.ANCHORARRAY(NV222))),0)</f>
        <v>0</v>
      </c>
      <c r="OG222" t="str" cm="1">
        <f t="array" ref="OG222">IF(OF222&gt;$OG$1,_xlfn.XLOOKUP(MAX(_xlfn.ANCHORARRAY(NV222)),_xlfn.ANCHORARRAY(NV222),NV$4:OE$4,""),"")</f>
        <v/>
      </c>
      <c r="OI222" t="str">
        <f t="shared" si="78"/>
        <v/>
      </c>
    </row>
    <row r="223" spans="2:399" x14ac:dyDescent="0.3">
      <c r="B223" s="2" t="str">
        <f t="shared" si="70"/>
        <v>CORE</v>
      </c>
      <c r="C223" s="2" t="str">
        <f t="shared" si="71"/>
        <v>CORE</v>
      </c>
      <c r="D223" s="2" t="str">
        <f t="shared" si="72"/>
        <v>CORE</v>
      </c>
      <c r="E223" s="2" t="str">
        <f t="shared" si="73"/>
        <v/>
      </c>
      <c r="F223" s="2">
        <f t="shared" si="74"/>
        <v>0</v>
      </c>
      <c r="G223" s="2">
        <f t="shared" si="75"/>
        <v>0</v>
      </c>
      <c r="H223" s="2">
        <f t="shared" si="76"/>
        <v>0</v>
      </c>
      <c r="I223" s="2">
        <f t="shared" si="77"/>
        <v>0</v>
      </c>
      <c r="NH223" cm="1">
        <f t="array" ref="NH223:NJ223">SUMIFS($J223:$GG223,$J$1:$GG$1,NH$3:NJ$3)</f>
        <v>0</v>
      </c>
      <c r="NI223">
        <v>0</v>
      </c>
      <c r="NJ223">
        <v>0</v>
      </c>
      <c r="NK223" cm="1">
        <f t="array" ref="NK223">IFERROR(MAX((_xlfn.ANCHORARRAY(NH223)-AVERAGE(_xlfn.ANCHORARRAY(NH223)))/ AVERAGE(_xlfn.ANCHORARRAY(NH223))),0)</f>
        <v>0</v>
      </c>
      <c r="NL223" t="str" cm="1">
        <f t="array" ref="NL223">IF(NK223&gt;$NL$1,_xlfn.XLOOKUP(MAX(_xlfn.ANCHORARRAY(NH223)),_xlfn.ANCHORARRAY(NH223),NH$4:NJ$4,""),"")</f>
        <v/>
      </c>
      <c r="NN223" cm="1">
        <f t="array" ref="NN223:NR223">SUMIFS($J223:$GG223,$J$3:$GG$3,NN$3:NR$3)</f>
        <v>0</v>
      </c>
      <c r="NO223">
        <v>0</v>
      </c>
      <c r="NP223">
        <v>0</v>
      </c>
      <c r="NQ223">
        <v>0</v>
      </c>
      <c r="NR223">
        <v>0</v>
      </c>
      <c r="NS223" cm="1">
        <f t="array" ref="NS223">IFERROR(MAX((_xlfn.ANCHORARRAY(NN223)-AVERAGE(_xlfn.ANCHORARRAY(NN223)))/ AVERAGE(_xlfn.ANCHORARRAY(NN223))),0)</f>
        <v>0</v>
      </c>
      <c r="NT223" t="str" cm="1">
        <f t="array" ref="NT223">IF(AND(NS223&gt;$NT$1,NL223&lt;&gt;""),_xlfn.XLOOKUP(MAX(_xlfn.ANCHORARRAY(NN223)),_xlfn.ANCHORARRAY(NN223),NN$4:NR$4,""),"")</f>
        <v/>
      </c>
      <c r="NV223" cm="1">
        <f t="array" ref="NV223:OE223">SUMIFS($J223:$GG223,$J$2:$GG$2,NV$3:OE$3)</f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 cm="1">
        <f t="array" ref="OF223">IFERROR(MAX((_xlfn.ANCHORARRAY(NV223)-AVERAGE(_xlfn.ANCHORARRAY(NV223)))/ AVERAGE(_xlfn.ANCHORARRAY(NV223))),0)</f>
        <v>0</v>
      </c>
      <c r="OG223" t="str" cm="1">
        <f t="array" ref="OG223">IF(OF223&gt;$OG$1,_xlfn.XLOOKUP(MAX(_xlfn.ANCHORARRAY(NV223)),_xlfn.ANCHORARRAY(NV223),NV$4:OE$4,""),"")</f>
        <v/>
      </c>
      <c r="OI223" t="str">
        <f t="shared" si="78"/>
        <v/>
      </c>
    </row>
    <row r="224" spans="2:399" x14ac:dyDescent="0.3">
      <c r="B224" s="2" t="str">
        <f t="shared" si="70"/>
        <v>CORE</v>
      </c>
      <c r="C224" s="2" t="str">
        <f t="shared" si="71"/>
        <v>CORE</v>
      </c>
      <c r="D224" s="2" t="str">
        <f t="shared" si="72"/>
        <v>CORE</v>
      </c>
      <c r="E224" s="2" t="str">
        <f t="shared" si="73"/>
        <v/>
      </c>
      <c r="F224" s="2">
        <f t="shared" si="74"/>
        <v>0</v>
      </c>
      <c r="G224" s="2">
        <f t="shared" si="75"/>
        <v>0</v>
      </c>
      <c r="H224" s="2">
        <f t="shared" si="76"/>
        <v>0</v>
      </c>
      <c r="I224" s="2">
        <f t="shared" si="77"/>
        <v>0</v>
      </c>
      <c r="NH224" cm="1">
        <f t="array" ref="NH224:NJ224">SUMIFS($J224:$GG224,$J$1:$GG$1,NH$3:NJ$3)</f>
        <v>0</v>
      </c>
      <c r="NI224">
        <v>0</v>
      </c>
      <c r="NJ224">
        <v>0</v>
      </c>
      <c r="NK224" cm="1">
        <f t="array" ref="NK224">IFERROR(MAX((_xlfn.ANCHORARRAY(NH224)-AVERAGE(_xlfn.ANCHORARRAY(NH224)))/ AVERAGE(_xlfn.ANCHORARRAY(NH224))),0)</f>
        <v>0</v>
      </c>
      <c r="NL224" t="str" cm="1">
        <f t="array" ref="NL224">IF(NK224&gt;$NL$1,_xlfn.XLOOKUP(MAX(_xlfn.ANCHORARRAY(NH224)),_xlfn.ANCHORARRAY(NH224),NH$4:NJ$4,""),"")</f>
        <v/>
      </c>
      <c r="NN224" cm="1">
        <f t="array" ref="NN224:NR224">SUMIFS($J224:$GG224,$J$3:$GG$3,NN$3:NR$3)</f>
        <v>0</v>
      </c>
      <c r="NO224">
        <v>0</v>
      </c>
      <c r="NP224">
        <v>0</v>
      </c>
      <c r="NQ224">
        <v>0</v>
      </c>
      <c r="NR224">
        <v>0</v>
      </c>
      <c r="NS224" cm="1">
        <f t="array" ref="NS224">IFERROR(MAX((_xlfn.ANCHORARRAY(NN224)-AVERAGE(_xlfn.ANCHORARRAY(NN224)))/ AVERAGE(_xlfn.ANCHORARRAY(NN224))),0)</f>
        <v>0</v>
      </c>
      <c r="NT224" t="str" cm="1">
        <f t="array" ref="NT224">IF(AND(NS224&gt;$NT$1,NL224&lt;&gt;""),_xlfn.XLOOKUP(MAX(_xlfn.ANCHORARRAY(NN224)),_xlfn.ANCHORARRAY(NN224),NN$4:NR$4,""),"")</f>
        <v/>
      </c>
      <c r="NV224" cm="1">
        <f t="array" ref="NV224:OE224">SUMIFS($J224:$GG224,$J$2:$GG$2,NV$3:OE$3)</f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 cm="1">
        <f t="array" ref="OF224">IFERROR(MAX((_xlfn.ANCHORARRAY(NV224)-AVERAGE(_xlfn.ANCHORARRAY(NV224)))/ AVERAGE(_xlfn.ANCHORARRAY(NV224))),0)</f>
        <v>0</v>
      </c>
      <c r="OG224" t="str" cm="1">
        <f t="array" ref="OG224">IF(OF224&gt;$OG$1,_xlfn.XLOOKUP(MAX(_xlfn.ANCHORARRAY(NV224)),_xlfn.ANCHORARRAY(NV224),NV$4:OE$4,""),"")</f>
        <v/>
      </c>
      <c r="OI224" t="str">
        <f t="shared" si="78"/>
        <v/>
      </c>
    </row>
    <row r="225" spans="2:399" x14ac:dyDescent="0.3">
      <c r="B225" s="2" t="str">
        <f t="shared" si="70"/>
        <v>CORE</v>
      </c>
      <c r="C225" s="2" t="str">
        <f t="shared" si="71"/>
        <v>CORE</v>
      </c>
      <c r="D225" s="2" t="str">
        <f t="shared" si="72"/>
        <v>CORE</v>
      </c>
      <c r="E225" s="2" t="str">
        <f t="shared" si="73"/>
        <v/>
      </c>
      <c r="F225" s="2">
        <f t="shared" si="74"/>
        <v>0</v>
      </c>
      <c r="G225" s="2">
        <f t="shared" si="75"/>
        <v>0</v>
      </c>
      <c r="H225" s="2">
        <f t="shared" si="76"/>
        <v>0</v>
      </c>
      <c r="I225" s="2">
        <f t="shared" si="77"/>
        <v>0</v>
      </c>
      <c r="NH225" cm="1">
        <f t="array" ref="NH225:NJ225">SUMIFS($J225:$GG225,$J$1:$GG$1,NH$3:NJ$3)</f>
        <v>0</v>
      </c>
      <c r="NI225">
        <v>0</v>
      </c>
      <c r="NJ225">
        <v>0</v>
      </c>
      <c r="NK225" cm="1">
        <f t="array" ref="NK225">IFERROR(MAX((_xlfn.ANCHORARRAY(NH225)-AVERAGE(_xlfn.ANCHORARRAY(NH225)))/ AVERAGE(_xlfn.ANCHORARRAY(NH225))),0)</f>
        <v>0</v>
      </c>
      <c r="NL225" t="str" cm="1">
        <f t="array" ref="NL225">IF(NK225&gt;$NL$1,_xlfn.XLOOKUP(MAX(_xlfn.ANCHORARRAY(NH225)),_xlfn.ANCHORARRAY(NH225),NH$4:NJ$4,""),"")</f>
        <v/>
      </c>
      <c r="NN225" cm="1">
        <f t="array" ref="NN225:NR225">SUMIFS($J225:$GG225,$J$3:$GG$3,NN$3:NR$3)</f>
        <v>0</v>
      </c>
      <c r="NO225">
        <v>0</v>
      </c>
      <c r="NP225">
        <v>0</v>
      </c>
      <c r="NQ225">
        <v>0</v>
      </c>
      <c r="NR225">
        <v>0</v>
      </c>
      <c r="NS225" cm="1">
        <f t="array" ref="NS225">IFERROR(MAX((_xlfn.ANCHORARRAY(NN225)-AVERAGE(_xlfn.ANCHORARRAY(NN225)))/ AVERAGE(_xlfn.ANCHORARRAY(NN225))),0)</f>
        <v>0</v>
      </c>
      <c r="NT225" t="str" cm="1">
        <f t="array" ref="NT225">IF(AND(NS225&gt;$NT$1,NL225&lt;&gt;""),_xlfn.XLOOKUP(MAX(_xlfn.ANCHORARRAY(NN225)),_xlfn.ANCHORARRAY(NN225),NN$4:NR$4,""),"")</f>
        <v/>
      </c>
      <c r="NV225" cm="1">
        <f t="array" ref="NV225:OE225">SUMIFS($J225:$GG225,$J$2:$GG$2,NV$3:OE$3)</f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 cm="1">
        <f t="array" ref="OF225">IFERROR(MAX((_xlfn.ANCHORARRAY(NV225)-AVERAGE(_xlfn.ANCHORARRAY(NV225)))/ AVERAGE(_xlfn.ANCHORARRAY(NV225))),0)</f>
        <v>0</v>
      </c>
      <c r="OG225" t="str" cm="1">
        <f t="array" ref="OG225">IF(OF225&gt;$OG$1,_xlfn.XLOOKUP(MAX(_xlfn.ANCHORARRAY(NV225)),_xlfn.ANCHORARRAY(NV225),NV$4:OE$4,""),"")</f>
        <v/>
      </c>
      <c r="OI225" t="str">
        <f t="shared" si="78"/>
        <v/>
      </c>
    </row>
    <row r="226" spans="2:399" x14ac:dyDescent="0.3">
      <c r="B226" s="2" t="str">
        <f t="shared" si="70"/>
        <v>CORE</v>
      </c>
      <c r="C226" s="2" t="str">
        <f t="shared" si="71"/>
        <v>CORE</v>
      </c>
      <c r="D226" s="2" t="str">
        <f t="shared" si="72"/>
        <v>CORE</v>
      </c>
      <c r="E226" s="2" t="str">
        <f t="shared" si="73"/>
        <v/>
      </c>
      <c r="F226" s="2">
        <f t="shared" si="74"/>
        <v>0</v>
      </c>
      <c r="G226" s="2">
        <f t="shared" si="75"/>
        <v>0</v>
      </c>
      <c r="H226" s="2">
        <f t="shared" si="76"/>
        <v>0</v>
      </c>
      <c r="I226" s="2">
        <f t="shared" si="77"/>
        <v>0</v>
      </c>
      <c r="NH226" cm="1">
        <f t="array" ref="NH226:NJ226">SUMIFS($J226:$GG226,$J$1:$GG$1,NH$3:NJ$3)</f>
        <v>0</v>
      </c>
      <c r="NI226">
        <v>0</v>
      </c>
      <c r="NJ226">
        <v>0</v>
      </c>
      <c r="NK226" cm="1">
        <f t="array" ref="NK226">IFERROR(MAX((_xlfn.ANCHORARRAY(NH226)-AVERAGE(_xlfn.ANCHORARRAY(NH226)))/ AVERAGE(_xlfn.ANCHORARRAY(NH226))),0)</f>
        <v>0</v>
      </c>
      <c r="NL226" t="str" cm="1">
        <f t="array" ref="NL226">IF(NK226&gt;$NL$1,_xlfn.XLOOKUP(MAX(_xlfn.ANCHORARRAY(NH226)),_xlfn.ANCHORARRAY(NH226),NH$4:NJ$4,""),"")</f>
        <v/>
      </c>
      <c r="NN226" cm="1">
        <f t="array" ref="NN226:NR226">SUMIFS($J226:$GG226,$J$3:$GG$3,NN$3:NR$3)</f>
        <v>0</v>
      </c>
      <c r="NO226">
        <v>0</v>
      </c>
      <c r="NP226">
        <v>0</v>
      </c>
      <c r="NQ226">
        <v>0</v>
      </c>
      <c r="NR226">
        <v>0</v>
      </c>
      <c r="NS226" cm="1">
        <f t="array" ref="NS226">IFERROR(MAX((_xlfn.ANCHORARRAY(NN226)-AVERAGE(_xlfn.ANCHORARRAY(NN226)))/ AVERAGE(_xlfn.ANCHORARRAY(NN226))),0)</f>
        <v>0</v>
      </c>
      <c r="NT226" t="str" cm="1">
        <f t="array" ref="NT226">IF(AND(NS226&gt;$NT$1,NL226&lt;&gt;""),_xlfn.XLOOKUP(MAX(_xlfn.ANCHORARRAY(NN226)),_xlfn.ANCHORARRAY(NN226),NN$4:NR$4,""),"")</f>
        <v/>
      </c>
      <c r="NV226" cm="1">
        <f t="array" ref="NV226:OE226">SUMIFS($J226:$GG226,$J$2:$GG$2,NV$3:OE$3)</f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 cm="1">
        <f t="array" ref="OF226">IFERROR(MAX((_xlfn.ANCHORARRAY(NV226)-AVERAGE(_xlfn.ANCHORARRAY(NV226)))/ AVERAGE(_xlfn.ANCHORARRAY(NV226))),0)</f>
        <v>0</v>
      </c>
      <c r="OG226" t="str" cm="1">
        <f t="array" ref="OG226">IF(OF226&gt;$OG$1,_xlfn.XLOOKUP(MAX(_xlfn.ANCHORARRAY(NV226)),_xlfn.ANCHORARRAY(NV226),NV$4:OE$4,""),"")</f>
        <v/>
      </c>
      <c r="OI226" t="str">
        <f t="shared" si="78"/>
        <v/>
      </c>
    </row>
    <row r="227" spans="2:399" x14ac:dyDescent="0.3">
      <c r="B227" s="2" t="str">
        <f t="shared" si="70"/>
        <v>CORE</v>
      </c>
      <c r="C227" s="2" t="str">
        <f t="shared" si="71"/>
        <v>CORE</v>
      </c>
      <c r="D227" s="2" t="str">
        <f t="shared" si="72"/>
        <v>CORE</v>
      </c>
      <c r="E227" s="2" t="str">
        <f t="shared" si="73"/>
        <v/>
      </c>
      <c r="F227" s="2">
        <f t="shared" si="74"/>
        <v>0</v>
      </c>
      <c r="G227" s="2">
        <f t="shared" si="75"/>
        <v>0</v>
      </c>
      <c r="H227" s="2">
        <f t="shared" si="76"/>
        <v>0</v>
      </c>
      <c r="I227" s="2">
        <f t="shared" si="77"/>
        <v>0</v>
      </c>
      <c r="NH227" cm="1">
        <f t="array" ref="NH227:NJ227">SUMIFS($J227:$GG227,$J$1:$GG$1,NH$3:NJ$3)</f>
        <v>0</v>
      </c>
      <c r="NI227">
        <v>0</v>
      </c>
      <c r="NJ227">
        <v>0</v>
      </c>
      <c r="NK227" cm="1">
        <f t="array" ref="NK227">IFERROR(MAX((_xlfn.ANCHORARRAY(NH227)-AVERAGE(_xlfn.ANCHORARRAY(NH227)))/ AVERAGE(_xlfn.ANCHORARRAY(NH227))),0)</f>
        <v>0</v>
      </c>
      <c r="NL227" t="str" cm="1">
        <f t="array" ref="NL227">IF(NK227&gt;$NL$1,_xlfn.XLOOKUP(MAX(_xlfn.ANCHORARRAY(NH227)),_xlfn.ANCHORARRAY(NH227),NH$4:NJ$4,""),"")</f>
        <v/>
      </c>
      <c r="NN227" cm="1">
        <f t="array" ref="NN227:NR227">SUMIFS($J227:$GG227,$J$3:$GG$3,NN$3:NR$3)</f>
        <v>0</v>
      </c>
      <c r="NO227">
        <v>0</v>
      </c>
      <c r="NP227">
        <v>0</v>
      </c>
      <c r="NQ227">
        <v>0</v>
      </c>
      <c r="NR227">
        <v>0</v>
      </c>
      <c r="NS227" cm="1">
        <f t="array" ref="NS227">IFERROR(MAX((_xlfn.ANCHORARRAY(NN227)-AVERAGE(_xlfn.ANCHORARRAY(NN227)))/ AVERAGE(_xlfn.ANCHORARRAY(NN227))),0)</f>
        <v>0</v>
      </c>
      <c r="NT227" t="str" cm="1">
        <f t="array" ref="NT227">IF(AND(NS227&gt;$NT$1,NL227&lt;&gt;""),_xlfn.XLOOKUP(MAX(_xlfn.ANCHORARRAY(NN227)),_xlfn.ANCHORARRAY(NN227),NN$4:NR$4,""),"")</f>
        <v/>
      </c>
      <c r="NV227" cm="1">
        <f t="array" ref="NV227:OE227">SUMIFS($J227:$GG227,$J$2:$GG$2,NV$3:OE$3)</f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 cm="1">
        <f t="array" ref="OF227">IFERROR(MAX((_xlfn.ANCHORARRAY(NV227)-AVERAGE(_xlfn.ANCHORARRAY(NV227)))/ AVERAGE(_xlfn.ANCHORARRAY(NV227))),0)</f>
        <v>0</v>
      </c>
      <c r="OG227" t="str" cm="1">
        <f t="array" ref="OG227">IF(OF227&gt;$OG$1,_xlfn.XLOOKUP(MAX(_xlfn.ANCHORARRAY(NV227)),_xlfn.ANCHORARRAY(NV227),NV$4:OE$4,""),"")</f>
        <v/>
      </c>
      <c r="OI227" t="str">
        <f t="shared" si="78"/>
        <v/>
      </c>
    </row>
    <row r="228" spans="2:399" x14ac:dyDescent="0.3">
      <c r="B228" s="2" t="str">
        <f t="shared" si="70"/>
        <v>CORE</v>
      </c>
      <c r="C228" s="2" t="str">
        <f t="shared" si="71"/>
        <v>CORE</v>
      </c>
      <c r="D228" s="2" t="str">
        <f t="shared" si="72"/>
        <v>CORE</v>
      </c>
      <c r="E228" s="2" t="str">
        <f t="shared" si="73"/>
        <v/>
      </c>
      <c r="F228" s="2">
        <f t="shared" si="74"/>
        <v>0</v>
      </c>
      <c r="G228" s="2">
        <f t="shared" si="75"/>
        <v>0</v>
      </c>
      <c r="H228" s="2">
        <f t="shared" si="76"/>
        <v>0</v>
      </c>
      <c r="I228" s="2">
        <f t="shared" si="77"/>
        <v>0</v>
      </c>
      <c r="NH228" cm="1">
        <f t="array" ref="NH228:NJ228">SUMIFS($J228:$GG228,$J$1:$GG$1,NH$3:NJ$3)</f>
        <v>0</v>
      </c>
      <c r="NI228">
        <v>0</v>
      </c>
      <c r="NJ228">
        <v>0</v>
      </c>
      <c r="NK228" cm="1">
        <f t="array" ref="NK228">IFERROR(MAX((_xlfn.ANCHORARRAY(NH228)-AVERAGE(_xlfn.ANCHORARRAY(NH228)))/ AVERAGE(_xlfn.ANCHORARRAY(NH228))),0)</f>
        <v>0</v>
      </c>
      <c r="NL228" t="str" cm="1">
        <f t="array" ref="NL228">IF(NK228&gt;$NL$1,_xlfn.XLOOKUP(MAX(_xlfn.ANCHORARRAY(NH228)),_xlfn.ANCHORARRAY(NH228),NH$4:NJ$4,""),"")</f>
        <v/>
      </c>
      <c r="NN228" cm="1">
        <f t="array" ref="NN228:NR228">SUMIFS($J228:$GG228,$J$3:$GG$3,NN$3:NR$3)</f>
        <v>0</v>
      </c>
      <c r="NO228">
        <v>0</v>
      </c>
      <c r="NP228">
        <v>0</v>
      </c>
      <c r="NQ228">
        <v>0</v>
      </c>
      <c r="NR228">
        <v>0</v>
      </c>
      <c r="NS228" cm="1">
        <f t="array" ref="NS228">IFERROR(MAX((_xlfn.ANCHORARRAY(NN228)-AVERAGE(_xlfn.ANCHORARRAY(NN228)))/ AVERAGE(_xlfn.ANCHORARRAY(NN228))),0)</f>
        <v>0</v>
      </c>
      <c r="NT228" t="str" cm="1">
        <f t="array" ref="NT228">IF(AND(NS228&gt;$NT$1,NL228&lt;&gt;""),_xlfn.XLOOKUP(MAX(_xlfn.ANCHORARRAY(NN228)),_xlfn.ANCHORARRAY(NN228),NN$4:NR$4,""),"")</f>
        <v/>
      </c>
      <c r="NV228" cm="1">
        <f t="array" ref="NV228:OE228">SUMIFS($J228:$GG228,$J$2:$GG$2,NV$3:OE$3)</f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 cm="1">
        <f t="array" ref="OF228">IFERROR(MAX((_xlfn.ANCHORARRAY(NV228)-AVERAGE(_xlfn.ANCHORARRAY(NV228)))/ AVERAGE(_xlfn.ANCHORARRAY(NV228))),0)</f>
        <v>0</v>
      </c>
      <c r="OG228" t="str" cm="1">
        <f t="array" ref="OG228">IF(OF228&gt;$OG$1,_xlfn.XLOOKUP(MAX(_xlfn.ANCHORARRAY(NV228)),_xlfn.ANCHORARRAY(NV228),NV$4:OE$4,""),"")</f>
        <v/>
      </c>
      <c r="OI228" t="str">
        <f t="shared" si="78"/>
        <v/>
      </c>
    </row>
    <row r="229" spans="2:399" x14ac:dyDescent="0.3">
      <c r="B229" s="2" t="str">
        <f t="shared" si="70"/>
        <v>CORE</v>
      </c>
      <c r="C229" s="2" t="str">
        <f t="shared" si="71"/>
        <v>CORE</v>
      </c>
      <c r="D229" s="2" t="str">
        <f t="shared" si="72"/>
        <v>CORE</v>
      </c>
      <c r="E229" s="2" t="str">
        <f t="shared" si="73"/>
        <v/>
      </c>
      <c r="F229" s="2">
        <f t="shared" si="74"/>
        <v>0</v>
      </c>
      <c r="G229" s="2">
        <f t="shared" si="75"/>
        <v>0</v>
      </c>
      <c r="H229" s="2">
        <f t="shared" si="76"/>
        <v>0</v>
      </c>
      <c r="I229" s="2">
        <f t="shared" si="77"/>
        <v>0</v>
      </c>
      <c r="NH229" cm="1">
        <f t="array" ref="NH229:NJ229">SUMIFS($J229:$GG229,$J$1:$GG$1,NH$3:NJ$3)</f>
        <v>0</v>
      </c>
      <c r="NI229">
        <v>0</v>
      </c>
      <c r="NJ229">
        <v>0</v>
      </c>
      <c r="NK229" cm="1">
        <f t="array" ref="NK229">IFERROR(MAX((_xlfn.ANCHORARRAY(NH229)-AVERAGE(_xlfn.ANCHORARRAY(NH229)))/ AVERAGE(_xlfn.ANCHORARRAY(NH229))),0)</f>
        <v>0</v>
      </c>
      <c r="NL229" t="str" cm="1">
        <f t="array" ref="NL229">IF(NK229&gt;$NL$1,_xlfn.XLOOKUP(MAX(_xlfn.ANCHORARRAY(NH229)),_xlfn.ANCHORARRAY(NH229),NH$4:NJ$4,""),"")</f>
        <v/>
      </c>
      <c r="NN229" cm="1">
        <f t="array" ref="NN229:NR229">SUMIFS($J229:$GG229,$J$3:$GG$3,NN$3:NR$3)</f>
        <v>0</v>
      </c>
      <c r="NO229">
        <v>0</v>
      </c>
      <c r="NP229">
        <v>0</v>
      </c>
      <c r="NQ229">
        <v>0</v>
      </c>
      <c r="NR229">
        <v>0</v>
      </c>
      <c r="NS229" cm="1">
        <f t="array" ref="NS229">IFERROR(MAX((_xlfn.ANCHORARRAY(NN229)-AVERAGE(_xlfn.ANCHORARRAY(NN229)))/ AVERAGE(_xlfn.ANCHORARRAY(NN229))),0)</f>
        <v>0</v>
      </c>
      <c r="NT229" t="str" cm="1">
        <f t="array" ref="NT229">IF(AND(NS229&gt;$NT$1,NL229&lt;&gt;""),_xlfn.XLOOKUP(MAX(_xlfn.ANCHORARRAY(NN229)),_xlfn.ANCHORARRAY(NN229),NN$4:NR$4,""),"")</f>
        <v/>
      </c>
      <c r="NV229" cm="1">
        <f t="array" ref="NV229:OE229">SUMIFS($J229:$GG229,$J$2:$GG$2,NV$3:OE$3)</f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 cm="1">
        <f t="array" ref="OF229">IFERROR(MAX((_xlfn.ANCHORARRAY(NV229)-AVERAGE(_xlfn.ANCHORARRAY(NV229)))/ AVERAGE(_xlfn.ANCHORARRAY(NV229))),0)</f>
        <v>0</v>
      </c>
      <c r="OG229" t="str" cm="1">
        <f t="array" ref="OG229">IF(OF229&gt;$OG$1,_xlfn.XLOOKUP(MAX(_xlfn.ANCHORARRAY(NV229)),_xlfn.ANCHORARRAY(NV229),NV$4:OE$4,""),"")</f>
        <v/>
      </c>
      <c r="OI229" t="str">
        <f t="shared" si="78"/>
        <v/>
      </c>
    </row>
    <row r="230" spans="2:399" x14ac:dyDescent="0.3">
      <c r="B230" s="2" t="str">
        <f t="shared" si="70"/>
        <v>CORE</v>
      </c>
      <c r="C230" s="2" t="str">
        <f t="shared" si="71"/>
        <v>CORE</v>
      </c>
      <c r="D230" s="2" t="str">
        <f t="shared" si="72"/>
        <v>CORE</v>
      </c>
      <c r="E230" s="2" t="str">
        <f t="shared" si="73"/>
        <v/>
      </c>
      <c r="F230" s="2">
        <f t="shared" si="74"/>
        <v>0</v>
      </c>
      <c r="G230" s="2">
        <f t="shared" si="75"/>
        <v>0</v>
      </c>
      <c r="H230" s="2">
        <f t="shared" si="76"/>
        <v>0</v>
      </c>
      <c r="I230" s="2">
        <f t="shared" si="77"/>
        <v>0</v>
      </c>
      <c r="NH230" cm="1">
        <f t="array" ref="NH230:NJ230">SUMIFS($J230:$GG230,$J$1:$GG$1,NH$3:NJ$3)</f>
        <v>0</v>
      </c>
      <c r="NI230">
        <v>0</v>
      </c>
      <c r="NJ230">
        <v>0</v>
      </c>
      <c r="NK230" cm="1">
        <f t="array" ref="NK230">IFERROR(MAX((_xlfn.ANCHORARRAY(NH230)-AVERAGE(_xlfn.ANCHORARRAY(NH230)))/ AVERAGE(_xlfn.ANCHORARRAY(NH230))),0)</f>
        <v>0</v>
      </c>
      <c r="NL230" t="str" cm="1">
        <f t="array" ref="NL230">IF(NK230&gt;$NL$1,_xlfn.XLOOKUP(MAX(_xlfn.ANCHORARRAY(NH230)),_xlfn.ANCHORARRAY(NH230),NH$4:NJ$4,""),"")</f>
        <v/>
      </c>
      <c r="NN230" cm="1">
        <f t="array" ref="NN230:NR230">SUMIFS($J230:$GG230,$J$3:$GG$3,NN$3:NR$3)</f>
        <v>0</v>
      </c>
      <c r="NO230">
        <v>0</v>
      </c>
      <c r="NP230">
        <v>0</v>
      </c>
      <c r="NQ230">
        <v>0</v>
      </c>
      <c r="NR230">
        <v>0</v>
      </c>
      <c r="NS230" cm="1">
        <f t="array" ref="NS230">IFERROR(MAX((_xlfn.ANCHORARRAY(NN230)-AVERAGE(_xlfn.ANCHORARRAY(NN230)))/ AVERAGE(_xlfn.ANCHORARRAY(NN230))),0)</f>
        <v>0</v>
      </c>
      <c r="NT230" t="str" cm="1">
        <f t="array" ref="NT230">IF(AND(NS230&gt;$NT$1,NL230&lt;&gt;""),_xlfn.XLOOKUP(MAX(_xlfn.ANCHORARRAY(NN230)),_xlfn.ANCHORARRAY(NN230),NN$4:NR$4,""),"")</f>
        <v/>
      </c>
      <c r="NV230" cm="1">
        <f t="array" ref="NV230:OE230">SUMIFS($J230:$GG230,$J$2:$GG$2,NV$3:OE$3)</f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 cm="1">
        <f t="array" ref="OF230">IFERROR(MAX((_xlfn.ANCHORARRAY(NV230)-AVERAGE(_xlfn.ANCHORARRAY(NV230)))/ AVERAGE(_xlfn.ANCHORARRAY(NV230))),0)</f>
        <v>0</v>
      </c>
      <c r="OG230" t="str" cm="1">
        <f t="array" ref="OG230">IF(OF230&gt;$OG$1,_xlfn.XLOOKUP(MAX(_xlfn.ANCHORARRAY(NV230)),_xlfn.ANCHORARRAY(NV230),NV$4:OE$4,""),"")</f>
        <v/>
      </c>
      <c r="OI230" t="str">
        <f t="shared" si="78"/>
        <v/>
      </c>
    </row>
    <row r="231" spans="2:399" x14ac:dyDescent="0.3">
      <c r="B231" s="2" t="str">
        <f t="shared" si="70"/>
        <v>CORE</v>
      </c>
      <c r="C231" s="2" t="str">
        <f t="shared" si="71"/>
        <v>CORE</v>
      </c>
      <c r="D231" s="2" t="str">
        <f t="shared" si="72"/>
        <v>CORE</v>
      </c>
      <c r="E231" s="2" t="str">
        <f t="shared" si="73"/>
        <v/>
      </c>
      <c r="F231" s="2">
        <f t="shared" si="74"/>
        <v>0</v>
      </c>
      <c r="G231" s="2">
        <f t="shared" si="75"/>
        <v>0</v>
      </c>
      <c r="H231" s="2">
        <f t="shared" si="76"/>
        <v>0</v>
      </c>
      <c r="I231" s="2">
        <f t="shared" si="77"/>
        <v>0</v>
      </c>
      <c r="NH231" cm="1">
        <f t="array" ref="NH231:NJ231">SUMIFS($J231:$GG231,$J$1:$GG$1,NH$3:NJ$3)</f>
        <v>0</v>
      </c>
      <c r="NI231">
        <v>0</v>
      </c>
      <c r="NJ231">
        <v>0</v>
      </c>
      <c r="NK231" cm="1">
        <f t="array" ref="NK231">IFERROR(MAX((_xlfn.ANCHORARRAY(NH231)-AVERAGE(_xlfn.ANCHORARRAY(NH231)))/ AVERAGE(_xlfn.ANCHORARRAY(NH231))),0)</f>
        <v>0</v>
      </c>
      <c r="NL231" t="str" cm="1">
        <f t="array" ref="NL231">IF(NK231&gt;$NL$1,_xlfn.XLOOKUP(MAX(_xlfn.ANCHORARRAY(NH231)),_xlfn.ANCHORARRAY(NH231),NH$4:NJ$4,""),"")</f>
        <v/>
      </c>
      <c r="NN231" cm="1">
        <f t="array" ref="NN231:NR231">SUMIFS($J231:$GG231,$J$3:$GG$3,NN$3:NR$3)</f>
        <v>0</v>
      </c>
      <c r="NO231">
        <v>0</v>
      </c>
      <c r="NP231">
        <v>0</v>
      </c>
      <c r="NQ231">
        <v>0</v>
      </c>
      <c r="NR231">
        <v>0</v>
      </c>
      <c r="NS231" cm="1">
        <f t="array" ref="NS231">IFERROR(MAX((_xlfn.ANCHORARRAY(NN231)-AVERAGE(_xlfn.ANCHORARRAY(NN231)))/ AVERAGE(_xlfn.ANCHORARRAY(NN231))),0)</f>
        <v>0</v>
      </c>
      <c r="NT231" t="str" cm="1">
        <f t="array" ref="NT231">IF(AND(NS231&gt;$NT$1,NL231&lt;&gt;""),_xlfn.XLOOKUP(MAX(_xlfn.ANCHORARRAY(NN231)),_xlfn.ANCHORARRAY(NN231),NN$4:NR$4,""),"")</f>
        <v/>
      </c>
      <c r="NV231" cm="1">
        <f t="array" ref="NV231:OE231">SUMIFS($J231:$GG231,$J$2:$GG$2,NV$3:OE$3)</f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 cm="1">
        <f t="array" ref="OF231">IFERROR(MAX((_xlfn.ANCHORARRAY(NV231)-AVERAGE(_xlfn.ANCHORARRAY(NV231)))/ AVERAGE(_xlfn.ANCHORARRAY(NV231))),0)</f>
        <v>0</v>
      </c>
      <c r="OG231" t="str" cm="1">
        <f t="array" ref="OG231">IF(OF231&gt;$OG$1,_xlfn.XLOOKUP(MAX(_xlfn.ANCHORARRAY(NV231)),_xlfn.ANCHORARRAY(NV231),NV$4:OE$4,""),"")</f>
        <v/>
      </c>
      <c r="OI231" t="str">
        <f t="shared" si="78"/>
        <v/>
      </c>
    </row>
    <row r="232" spans="2:399" x14ac:dyDescent="0.3">
      <c r="B232" s="2" t="str">
        <f t="shared" si="70"/>
        <v>CORE</v>
      </c>
      <c r="C232" s="2" t="str">
        <f t="shared" si="71"/>
        <v>CORE</v>
      </c>
      <c r="D232" s="2" t="str">
        <f t="shared" si="72"/>
        <v>CORE</v>
      </c>
      <c r="E232" s="2" t="str">
        <f t="shared" si="73"/>
        <v/>
      </c>
      <c r="F232" s="2">
        <f t="shared" si="74"/>
        <v>0</v>
      </c>
      <c r="G232" s="2">
        <f t="shared" si="75"/>
        <v>0</v>
      </c>
      <c r="H232" s="2">
        <f t="shared" si="76"/>
        <v>0</v>
      </c>
      <c r="I232" s="2">
        <f t="shared" si="77"/>
        <v>0</v>
      </c>
      <c r="NH232" cm="1">
        <f t="array" ref="NH232:NJ232">SUMIFS($J232:$GG232,$J$1:$GG$1,NH$3:NJ$3)</f>
        <v>0</v>
      </c>
      <c r="NI232">
        <v>0</v>
      </c>
      <c r="NJ232">
        <v>0</v>
      </c>
      <c r="NK232" cm="1">
        <f t="array" ref="NK232">IFERROR(MAX((_xlfn.ANCHORARRAY(NH232)-AVERAGE(_xlfn.ANCHORARRAY(NH232)))/ AVERAGE(_xlfn.ANCHORARRAY(NH232))),0)</f>
        <v>0</v>
      </c>
      <c r="NL232" t="str" cm="1">
        <f t="array" ref="NL232">IF(NK232&gt;$NL$1,_xlfn.XLOOKUP(MAX(_xlfn.ANCHORARRAY(NH232)),_xlfn.ANCHORARRAY(NH232),NH$4:NJ$4,""),"")</f>
        <v/>
      </c>
      <c r="NN232" cm="1">
        <f t="array" ref="NN232:NR232">SUMIFS($J232:$GG232,$J$3:$GG$3,NN$3:NR$3)</f>
        <v>0</v>
      </c>
      <c r="NO232">
        <v>0</v>
      </c>
      <c r="NP232">
        <v>0</v>
      </c>
      <c r="NQ232">
        <v>0</v>
      </c>
      <c r="NR232">
        <v>0</v>
      </c>
      <c r="NS232" cm="1">
        <f t="array" ref="NS232">IFERROR(MAX((_xlfn.ANCHORARRAY(NN232)-AVERAGE(_xlfn.ANCHORARRAY(NN232)))/ AVERAGE(_xlfn.ANCHORARRAY(NN232))),0)</f>
        <v>0</v>
      </c>
      <c r="NT232" t="str" cm="1">
        <f t="array" ref="NT232">IF(AND(NS232&gt;$NT$1,NL232&lt;&gt;""),_xlfn.XLOOKUP(MAX(_xlfn.ANCHORARRAY(NN232)),_xlfn.ANCHORARRAY(NN232),NN$4:NR$4,""),"")</f>
        <v/>
      </c>
      <c r="NV232" cm="1">
        <f t="array" ref="NV232:OE232">SUMIFS($J232:$GG232,$J$2:$GG$2,NV$3:OE$3)</f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 cm="1">
        <f t="array" ref="OF232">IFERROR(MAX((_xlfn.ANCHORARRAY(NV232)-AVERAGE(_xlfn.ANCHORARRAY(NV232)))/ AVERAGE(_xlfn.ANCHORARRAY(NV232))),0)</f>
        <v>0</v>
      </c>
      <c r="OG232" t="str" cm="1">
        <f t="array" ref="OG232">IF(OF232&gt;$OG$1,_xlfn.XLOOKUP(MAX(_xlfn.ANCHORARRAY(NV232)),_xlfn.ANCHORARRAY(NV232),NV$4:OE$4,""),"")</f>
        <v/>
      </c>
      <c r="OI232" t="str">
        <f t="shared" si="78"/>
        <v/>
      </c>
    </row>
    <row r="233" spans="2:399" x14ac:dyDescent="0.3">
      <c r="B233" s="2" t="str">
        <f t="shared" ref="B233:B249" si="79">IF(C233="NotFound",D233,C233)</f>
        <v>CORE</v>
      </c>
      <c r="C233" s="2" t="str">
        <f t="shared" ref="C233:C249" si="80">IF(H233&gt;1,"NotFound","CORE"&amp;_xlfn.XLOOKUP(MAX(J233:GG233,1),J233:GG233,$J$4:$GG$4,""))</f>
        <v>CORE</v>
      </c>
      <c r="D233" s="2" t="str">
        <f t="shared" ref="D233:D249" si="81">IF(F233&gt;1,"NotFound","CORE"&amp;_xlfn.XLOOKUP(MAX(GI233:NF233,1),GI233:NF233,$GI$4:$NF$4,""))</f>
        <v>CORE</v>
      </c>
      <c r="E233" s="2" t="str">
        <f t="shared" ref="E233:E249" si="82">OI233</f>
        <v/>
      </c>
      <c r="F233" s="2">
        <f t="shared" ref="F233:F249" si="83">COUNTIF(GI233:NF233,G233)</f>
        <v>0</v>
      </c>
      <c r="G233" s="2">
        <f t="shared" ref="G233:G249" si="84">MAX(GI233:NF233)</f>
        <v>0</v>
      </c>
      <c r="H233" s="2">
        <f t="shared" ref="H233:H249" si="85">COUNTIF(J233:GG233,I233)</f>
        <v>0</v>
      </c>
      <c r="I233" s="2">
        <f t="shared" ref="I233:I249" si="86">MAX(J233:GG233)</f>
        <v>0</v>
      </c>
      <c r="NH233" cm="1">
        <f t="array" ref="NH233:NJ233">SUMIFS($J233:$GG233,$J$1:$GG$1,NH$3:NJ$3)</f>
        <v>0</v>
      </c>
      <c r="NI233">
        <v>0</v>
      </c>
      <c r="NJ233">
        <v>0</v>
      </c>
      <c r="NK233" cm="1">
        <f t="array" ref="NK233">IFERROR(MAX((_xlfn.ANCHORARRAY(NH233)-AVERAGE(_xlfn.ANCHORARRAY(NH233)))/ AVERAGE(_xlfn.ANCHORARRAY(NH233))),0)</f>
        <v>0</v>
      </c>
      <c r="NL233" t="str" cm="1">
        <f t="array" ref="NL233">IF(NK233&gt;$NL$1,_xlfn.XLOOKUP(MAX(_xlfn.ANCHORARRAY(NH233)),_xlfn.ANCHORARRAY(NH233),NH$4:NJ$4,""),"")</f>
        <v/>
      </c>
      <c r="NN233" cm="1">
        <f t="array" ref="NN233:NR233">SUMIFS($J233:$GG233,$J$3:$GG$3,NN$3:NR$3)</f>
        <v>0</v>
      </c>
      <c r="NO233">
        <v>0</v>
      </c>
      <c r="NP233">
        <v>0</v>
      </c>
      <c r="NQ233">
        <v>0</v>
      </c>
      <c r="NR233">
        <v>0</v>
      </c>
      <c r="NS233" cm="1">
        <f t="array" ref="NS233">IFERROR(MAX((_xlfn.ANCHORARRAY(NN233)-AVERAGE(_xlfn.ANCHORARRAY(NN233)))/ AVERAGE(_xlfn.ANCHORARRAY(NN233))),0)</f>
        <v>0</v>
      </c>
      <c r="NT233" t="str" cm="1">
        <f t="array" ref="NT233">IF(AND(NS233&gt;$NT$1,NL233&lt;&gt;""),_xlfn.XLOOKUP(MAX(_xlfn.ANCHORARRAY(NN233)),_xlfn.ANCHORARRAY(NN233),NN$4:NR$4,""),"")</f>
        <v/>
      </c>
      <c r="NV233" cm="1">
        <f t="array" ref="NV233:OE233">SUMIFS($J233:$GG233,$J$2:$GG$2,NV$3:OE$3)</f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 cm="1">
        <f t="array" ref="OF233">IFERROR(MAX((_xlfn.ANCHORARRAY(NV233)-AVERAGE(_xlfn.ANCHORARRAY(NV233)))/ AVERAGE(_xlfn.ANCHORARRAY(NV233))),0)</f>
        <v>0</v>
      </c>
      <c r="OG233" t="str" cm="1">
        <f t="array" ref="OG233">IF(OF233&gt;$OG$1,_xlfn.XLOOKUP(MAX(_xlfn.ANCHORARRAY(NV233)),_xlfn.ANCHORARRAY(NV233),NV$4:OE$4,""),"")</f>
        <v/>
      </c>
      <c r="OI233" t="str">
        <f t="shared" ref="OI233:OI249" si="87">_xlfn.TEXTJOIN(" : ",,NL233,NT233,OG233)</f>
        <v/>
      </c>
    </row>
    <row r="234" spans="2:399" x14ac:dyDescent="0.3">
      <c r="B234" s="2" t="str">
        <f t="shared" si="79"/>
        <v>CORE</v>
      </c>
      <c r="C234" s="2" t="str">
        <f t="shared" si="80"/>
        <v>CORE</v>
      </c>
      <c r="D234" s="2" t="str">
        <f t="shared" si="81"/>
        <v>CORE</v>
      </c>
      <c r="E234" s="2" t="str">
        <f t="shared" si="82"/>
        <v/>
      </c>
      <c r="F234" s="2">
        <f t="shared" si="83"/>
        <v>0</v>
      </c>
      <c r="G234" s="2">
        <f t="shared" si="84"/>
        <v>0</v>
      </c>
      <c r="H234" s="2">
        <f t="shared" si="85"/>
        <v>0</v>
      </c>
      <c r="I234" s="2">
        <f t="shared" si="86"/>
        <v>0</v>
      </c>
      <c r="NH234" cm="1">
        <f t="array" ref="NH234:NJ234">SUMIFS($J234:$GG234,$J$1:$GG$1,NH$3:NJ$3)</f>
        <v>0</v>
      </c>
      <c r="NI234">
        <v>0</v>
      </c>
      <c r="NJ234">
        <v>0</v>
      </c>
      <c r="NK234" cm="1">
        <f t="array" ref="NK234">IFERROR(MAX((_xlfn.ANCHORARRAY(NH234)-AVERAGE(_xlfn.ANCHORARRAY(NH234)))/ AVERAGE(_xlfn.ANCHORARRAY(NH234))),0)</f>
        <v>0</v>
      </c>
      <c r="NL234" t="str" cm="1">
        <f t="array" ref="NL234">IF(NK234&gt;$NL$1,_xlfn.XLOOKUP(MAX(_xlfn.ANCHORARRAY(NH234)),_xlfn.ANCHORARRAY(NH234),NH$4:NJ$4,""),"")</f>
        <v/>
      </c>
      <c r="NN234" cm="1">
        <f t="array" ref="NN234:NR234">SUMIFS($J234:$GG234,$J$3:$GG$3,NN$3:NR$3)</f>
        <v>0</v>
      </c>
      <c r="NO234">
        <v>0</v>
      </c>
      <c r="NP234">
        <v>0</v>
      </c>
      <c r="NQ234">
        <v>0</v>
      </c>
      <c r="NR234">
        <v>0</v>
      </c>
      <c r="NS234" cm="1">
        <f t="array" ref="NS234">IFERROR(MAX((_xlfn.ANCHORARRAY(NN234)-AVERAGE(_xlfn.ANCHORARRAY(NN234)))/ AVERAGE(_xlfn.ANCHORARRAY(NN234))),0)</f>
        <v>0</v>
      </c>
      <c r="NT234" t="str" cm="1">
        <f t="array" ref="NT234">IF(AND(NS234&gt;$NT$1,NL234&lt;&gt;""),_xlfn.XLOOKUP(MAX(_xlfn.ANCHORARRAY(NN234)),_xlfn.ANCHORARRAY(NN234),NN$4:NR$4,""),"")</f>
        <v/>
      </c>
      <c r="NV234" cm="1">
        <f t="array" ref="NV234:OE234">SUMIFS($J234:$GG234,$J$2:$GG$2,NV$3:OE$3)</f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 cm="1">
        <f t="array" ref="OF234">IFERROR(MAX((_xlfn.ANCHORARRAY(NV234)-AVERAGE(_xlfn.ANCHORARRAY(NV234)))/ AVERAGE(_xlfn.ANCHORARRAY(NV234))),0)</f>
        <v>0</v>
      </c>
      <c r="OG234" t="str" cm="1">
        <f t="array" ref="OG234">IF(OF234&gt;$OG$1,_xlfn.XLOOKUP(MAX(_xlfn.ANCHORARRAY(NV234)),_xlfn.ANCHORARRAY(NV234),NV$4:OE$4,""),"")</f>
        <v/>
      </c>
      <c r="OI234" t="str">
        <f t="shared" si="87"/>
        <v/>
      </c>
    </row>
    <row r="235" spans="2:399" x14ac:dyDescent="0.3">
      <c r="B235" s="2" t="str">
        <f t="shared" si="79"/>
        <v>CORE</v>
      </c>
      <c r="C235" s="2" t="str">
        <f t="shared" si="80"/>
        <v>CORE</v>
      </c>
      <c r="D235" s="2" t="str">
        <f t="shared" si="81"/>
        <v>CORE</v>
      </c>
      <c r="E235" s="2" t="str">
        <f t="shared" si="82"/>
        <v/>
      </c>
      <c r="F235" s="2">
        <f t="shared" si="83"/>
        <v>0</v>
      </c>
      <c r="G235" s="2">
        <f t="shared" si="84"/>
        <v>0</v>
      </c>
      <c r="H235" s="2">
        <f t="shared" si="85"/>
        <v>0</v>
      </c>
      <c r="I235" s="2">
        <f t="shared" si="86"/>
        <v>0</v>
      </c>
      <c r="NH235" cm="1">
        <f t="array" ref="NH235:NJ235">SUMIFS($J235:$GG235,$J$1:$GG$1,NH$3:NJ$3)</f>
        <v>0</v>
      </c>
      <c r="NI235">
        <v>0</v>
      </c>
      <c r="NJ235">
        <v>0</v>
      </c>
      <c r="NK235" cm="1">
        <f t="array" ref="NK235">IFERROR(MAX((_xlfn.ANCHORARRAY(NH235)-AVERAGE(_xlfn.ANCHORARRAY(NH235)))/ AVERAGE(_xlfn.ANCHORARRAY(NH235))),0)</f>
        <v>0</v>
      </c>
      <c r="NL235" t="str" cm="1">
        <f t="array" ref="NL235">IF(NK235&gt;$NL$1,_xlfn.XLOOKUP(MAX(_xlfn.ANCHORARRAY(NH235)),_xlfn.ANCHORARRAY(NH235),NH$4:NJ$4,""),"")</f>
        <v/>
      </c>
      <c r="NN235" cm="1">
        <f t="array" ref="NN235:NR235">SUMIFS($J235:$GG235,$J$3:$GG$3,NN$3:NR$3)</f>
        <v>0</v>
      </c>
      <c r="NO235">
        <v>0</v>
      </c>
      <c r="NP235">
        <v>0</v>
      </c>
      <c r="NQ235">
        <v>0</v>
      </c>
      <c r="NR235">
        <v>0</v>
      </c>
      <c r="NS235" cm="1">
        <f t="array" ref="NS235">IFERROR(MAX((_xlfn.ANCHORARRAY(NN235)-AVERAGE(_xlfn.ANCHORARRAY(NN235)))/ AVERAGE(_xlfn.ANCHORARRAY(NN235))),0)</f>
        <v>0</v>
      </c>
      <c r="NT235" t="str" cm="1">
        <f t="array" ref="NT235">IF(AND(NS235&gt;$NT$1,NL235&lt;&gt;""),_xlfn.XLOOKUP(MAX(_xlfn.ANCHORARRAY(NN235)),_xlfn.ANCHORARRAY(NN235),NN$4:NR$4,""),"")</f>
        <v/>
      </c>
      <c r="NV235" cm="1">
        <f t="array" ref="NV235:OE235">SUMIFS($J235:$GG235,$J$2:$GG$2,NV$3:OE$3)</f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 cm="1">
        <f t="array" ref="OF235">IFERROR(MAX((_xlfn.ANCHORARRAY(NV235)-AVERAGE(_xlfn.ANCHORARRAY(NV235)))/ AVERAGE(_xlfn.ANCHORARRAY(NV235))),0)</f>
        <v>0</v>
      </c>
      <c r="OG235" t="str" cm="1">
        <f t="array" ref="OG235">IF(OF235&gt;$OG$1,_xlfn.XLOOKUP(MAX(_xlfn.ANCHORARRAY(NV235)),_xlfn.ANCHORARRAY(NV235),NV$4:OE$4,""),"")</f>
        <v/>
      </c>
      <c r="OI235" t="str">
        <f t="shared" si="87"/>
        <v/>
      </c>
    </row>
    <row r="236" spans="2:399" x14ac:dyDescent="0.3">
      <c r="B236" s="2" t="str">
        <f t="shared" si="79"/>
        <v>CORE</v>
      </c>
      <c r="C236" s="2" t="str">
        <f t="shared" si="80"/>
        <v>CORE</v>
      </c>
      <c r="D236" s="2" t="str">
        <f t="shared" si="81"/>
        <v>CORE</v>
      </c>
      <c r="E236" s="2" t="str">
        <f t="shared" si="82"/>
        <v/>
      </c>
      <c r="F236" s="2">
        <f t="shared" si="83"/>
        <v>0</v>
      </c>
      <c r="G236" s="2">
        <f t="shared" si="84"/>
        <v>0</v>
      </c>
      <c r="H236" s="2">
        <f t="shared" si="85"/>
        <v>0</v>
      </c>
      <c r="I236" s="2">
        <f t="shared" si="86"/>
        <v>0</v>
      </c>
      <c r="NH236" cm="1">
        <f t="array" ref="NH236:NJ236">SUMIFS($J236:$GG236,$J$1:$GG$1,NH$3:NJ$3)</f>
        <v>0</v>
      </c>
      <c r="NI236">
        <v>0</v>
      </c>
      <c r="NJ236">
        <v>0</v>
      </c>
      <c r="NK236" cm="1">
        <f t="array" ref="NK236">IFERROR(MAX((_xlfn.ANCHORARRAY(NH236)-AVERAGE(_xlfn.ANCHORARRAY(NH236)))/ AVERAGE(_xlfn.ANCHORARRAY(NH236))),0)</f>
        <v>0</v>
      </c>
      <c r="NL236" t="str" cm="1">
        <f t="array" ref="NL236">IF(NK236&gt;$NL$1,_xlfn.XLOOKUP(MAX(_xlfn.ANCHORARRAY(NH236)),_xlfn.ANCHORARRAY(NH236),NH$4:NJ$4,""),"")</f>
        <v/>
      </c>
      <c r="NN236" cm="1">
        <f t="array" ref="NN236:NR236">SUMIFS($J236:$GG236,$J$3:$GG$3,NN$3:NR$3)</f>
        <v>0</v>
      </c>
      <c r="NO236">
        <v>0</v>
      </c>
      <c r="NP236">
        <v>0</v>
      </c>
      <c r="NQ236">
        <v>0</v>
      </c>
      <c r="NR236">
        <v>0</v>
      </c>
      <c r="NS236" cm="1">
        <f t="array" ref="NS236">IFERROR(MAX((_xlfn.ANCHORARRAY(NN236)-AVERAGE(_xlfn.ANCHORARRAY(NN236)))/ AVERAGE(_xlfn.ANCHORARRAY(NN236))),0)</f>
        <v>0</v>
      </c>
      <c r="NT236" t="str" cm="1">
        <f t="array" ref="NT236">IF(AND(NS236&gt;$NT$1,NL236&lt;&gt;""),_xlfn.XLOOKUP(MAX(_xlfn.ANCHORARRAY(NN236)),_xlfn.ANCHORARRAY(NN236),NN$4:NR$4,""),"")</f>
        <v/>
      </c>
      <c r="NV236" cm="1">
        <f t="array" ref="NV236:OE236">SUMIFS($J236:$GG236,$J$2:$GG$2,NV$3:OE$3)</f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 cm="1">
        <f t="array" ref="OF236">IFERROR(MAX((_xlfn.ANCHORARRAY(NV236)-AVERAGE(_xlfn.ANCHORARRAY(NV236)))/ AVERAGE(_xlfn.ANCHORARRAY(NV236))),0)</f>
        <v>0</v>
      </c>
      <c r="OG236" t="str" cm="1">
        <f t="array" ref="OG236">IF(OF236&gt;$OG$1,_xlfn.XLOOKUP(MAX(_xlfn.ANCHORARRAY(NV236)),_xlfn.ANCHORARRAY(NV236),NV$4:OE$4,""),"")</f>
        <v/>
      </c>
      <c r="OI236" t="str">
        <f t="shared" si="87"/>
        <v/>
      </c>
    </row>
    <row r="237" spans="2:399" x14ac:dyDescent="0.3">
      <c r="B237" s="2" t="str">
        <f t="shared" si="79"/>
        <v>CORE</v>
      </c>
      <c r="C237" s="2" t="str">
        <f t="shared" si="80"/>
        <v>CORE</v>
      </c>
      <c r="D237" s="2" t="str">
        <f t="shared" si="81"/>
        <v>CORE</v>
      </c>
      <c r="E237" s="2" t="str">
        <f t="shared" si="82"/>
        <v/>
      </c>
      <c r="F237" s="2">
        <f t="shared" si="83"/>
        <v>0</v>
      </c>
      <c r="G237" s="2">
        <f t="shared" si="84"/>
        <v>0</v>
      </c>
      <c r="H237" s="2">
        <f t="shared" si="85"/>
        <v>0</v>
      </c>
      <c r="I237" s="2">
        <f t="shared" si="86"/>
        <v>0</v>
      </c>
      <c r="NH237" cm="1">
        <f t="array" ref="NH237:NJ237">SUMIFS($J237:$GG237,$J$1:$GG$1,NH$3:NJ$3)</f>
        <v>0</v>
      </c>
      <c r="NI237">
        <v>0</v>
      </c>
      <c r="NJ237">
        <v>0</v>
      </c>
      <c r="NK237" cm="1">
        <f t="array" ref="NK237">IFERROR(MAX((_xlfn.ANCHORARRAY(NH237)-AVERAGE(_xlfn.ANCHORARRAY(NH237)))/ AVERAGE(_xlfn.ANCHORARRAY(NH237))),0)</f>
        <v>0</v>
      </c>
      <c r="NL237" t="str" cm="1">
        <f t="array" ref="NL237">IF(NK237&gt;$NL$1,_xlfn.XLOOKUP(MAX(_xlfn.ANCHORARRAY(NH237)),_xlfn.ANCHORARRAY(NH237),NH$4:NJ$4,""),"")</f>
        <v/>
      </c>
      <c r="NN237" cm="1">
        <f t="array" ref="NN237:NR237">SUMIFS($J237:$GG237,$J$3:$GG$3,NN$3:NR$3)</f>
        <v>0</v>
      </c>
      <c r="NO237">
        <v>0</v>
      </c>
      <c r="NP237">
        <v>0</v>
      </c>
      <c r="NQ237">
        <v>0</v>
      </c>
      <c r="NR237">
        <v>0</v>
      </c>
      <c r="NS237" cm="1">
        <f t="array" ref="NS237">IFERROR(MAX((_xlfn.ANCHORARRAY(NN237)-AVERAGE(_xlfn.ANCHORARRAY(NN237)))/ AVERAGE(_xlfn.ANCHORARRAY(NN237))),0)</f>
        <v>0</v>
      </c>
      <c r="NT237" t="str" cm="1">
        <f t="array" ref="NT237">IF(AND(NS237&gt;$NT$1,NL237&lt;&gt;""),_xlfn.XLOOKUP(MAX(_xlfn.ANCHORARRAY(NN237)),_xlfn.ANCHORARRAY(NN237),NN$4:NR$4,""),"")</f>
        <v/>
      </c>
      <c r="NV237" cm="1">
        <f t="array" ref="NV237:OE237">SUMIFS($J237:$GG237,$J$2:$GG$2,NV$3:OE$3)</f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 cm="1">
        <f t="array" ref="OF237">IFERROR(MAX((_xlfn.ANCHORARRAY(NV237)-AVERAGE(_xlfn.ANCHORARRAY(NV237)))/ AVERAGE(_xlfn.ANCHORARRAY(NV237))),0)</f>
        <v>0</v>
      </c>
      <c r="OG237" t="str" cm="1">
        <f t="array" ref="OG237">IF(OF237&gt;$OG$1,_xlfn.XLOOKUP(MAX(_xlfn.ANCHORARRAY(NV237)),_xlfn.ANCHORARRAY(NV237),NV$4:OE$4,""),"")</f>
        <v/>
      </c>
      <c r="OI237" t="str">
        <f t="shared" si="87"/>
        <v/>
      </c>
    </row>
    <row r="238" spans="2:399" x14ac:dyDescent="0.3">
      <c r="B238" s="2" t="str">
        <f t="shared" si="79"/>
        <v>CORE</v>
      </c>
      <c r="C238" s="2" t="str">
        <f t="shared" si="80"/>
        <v>CORE</v>
      </c>
      <c r="D238" s="2" t="str">
        <f t="shared" si="81"/>
        <v>CORE</v>
      </c>
      <c r="E238" s="2" t="str">
        <f t="shared" si="82"/>
        <v/>
      </c>
      <c r="F238" s="2">
        <f t="shared" si="83"/>
        <v>0</v>
      </c>
      <c r="G238" s="2">
        <f t="shared" si="84"/>
        <v>0</v>
      </c>
      <c r="H238" s="2">
        <f t="shared" si="85"/>
        <v>0</v>
      </c>
      <c r="I238" s="2">
        <f t="shared" si="86"/>
        <v>0</v>
      </c>
      <c r="NH238" cm="1">
        <f t="array" ref="NH238:NJ238">SUMIFS($J238:$GG238,$J$1:$GG$1,NH$3:NJ$3)</f>
        <v>0</v>
      </c>
      <c r="NI238">
        <v>0</v>
      </c>
      <c r="NJ238">
        <v>0</v>
      </c>
      <c r="NK238" cm="1">
        <f t="array" ref="NK238">IFERROR(MAX((_xlfn.ANCHORARRAY(NH238)-AVERAGE(_xlfn.ANCHORARRAY(NH238)))/ AVERAGE(_xlfn.ANCHORARRAY(NH238))),0)</f>
        <v>0</v>
      </c>
      <c r="NL238" t="str" cm="1">
        <f t="array" ref="NL238">IF(NK238&gt;$NL$1,_xlfn.XLOOKUP(MAX(_xlfn.ANCHORARRAY(NH238)),_xlfn.ANCHORARRAY(NH238),NH$4:NJ$4,""),"")</f>
        <v/>
      </c>
      <c r="NN238" cm="1">
        <f t="array" ref="NN238:NR238">SUMIFS($J238:$GG238,$J$3:$GG$3,NN$3:NR$3)</f>
        <v>0</v>
      </c>
      <c r="NO238">
        <v>0</v>
      </c>
      <c r="NP238">
        <v>0</v>
      </c>
      <c r="NQ238">
        <v>0</v>
      </c>
      <c r="NR238">
        <v>0</v>
      </c>
      <c r="NS238" cm="1">
        <f t="array" ref="NS238">IFERROR(MAX((_xlfn.ANCHORARRAY(NN238)-AVERAGE(_xlfn.ANCHORARRAY(NN238)))/ AVERAGE(_xlfn.ANCHORARRAY(NN238))),0)</f>
        <v>0</v>
      </c>
      <c r="NT238" t="str" cm="1">
        <f t="array" ref="NT238">IF(AND(NS238&gt;$NT$1,NL238&lt;&gt;""),_xlfn.XLOOKUP(MAX(_xlfn.ANCHORARRAY(NN238)),_xlfn.ANCHORARRAY(NN238),NN$4:NR$4,""),"")</f>
        <v/>
      </c>
      <c r="NV238" cm="1">
        <f t="array" ref="NV238:OE238">SUMIFS($J238:$GG238,$J$2:$GG$2,NV$3:OE$3)</f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 cm="1">
        <f t="array" ref="OF238">IFERROR(MAX((_xlfn.ANCHORARRAY(NV238)-AVERAGE(_xlfn.ANCHORARRAY(NV238)))/ AVERAGE(_xlfn.ANCHORARRAY(NV238))),0)</f>
        <v>0</v>
      </c>
      <c r="OG238" t="str" cm="1">
        <f t="array" ref="OG238">IF(OF238&gt;$OG$1,_xlfn.XLOOKUP(MAX(_xlfn.ANCHORARRAY(NV238)),_xlfn.ANCHORARRAY(NV238),NV$4:OE$4,""),"")</f>
        <v/>
      </c>
      <c r="OI238" t="str">
        <f t="shared" si="87"/>
        <v/>
      </c>
    </row>
    <row r="239" spans="2:399" x14ac:dyDescent="0.3">
      <c r="B239" s="2" t="str">
        <f t="shared" si="79"/>
        <v>CORE</v>
      </c>
      <c r="C239" s="2" t="str">
        <f t="shared" si="80"/>
        <v>CORE</v>
      </c>
      <c r="D239" s="2" t="str">
        <f t="shared" si="81"/>
        <v>CORE</v>
      </c>
      <c r="E239" s="2" t="str">
        <f t="shared" si="82"/>
        <v/>
      </c>
      <c r="F239" s="2">
        <f t="shared" si="83"/>
        <v>0</v>
      </c>
      <c r="G239" s="2">
        <f t="shared" si="84"/>
        <v>0</v>
      </c>
      <c r="H239" s="2">
        <f t="shared" si="85"/>
        <v>0</v>
      </c>
      <c r="I239" s="2">
        <f t="shared" si="86"/>
        <v>0</v>
      </c>
      <c r="NH239" cm="1">
        <f t="array" ref="NH239:NJ239">SUMIFS($J239:$GG239,$J$1:$GG$1,NH$3:NJ$3)</f>
        <v>0</v>
      </c>
      <c r="NI239">
        <v>0</v>
      </c>
      <c r="NJ239">
        <v>0</v>
      </c>
      <c r="NK239" cm="1">
        <f t="array" ref="NK239">IFERROR(MAX((_xlfn.ANCHORARRAY(NH239)-AVERAGE(_xlfn.ANCHORARRAY(NH239)))/ AVERAGE(_xlfn.ANCHORARRAY(NH239))),0)</f>
        <v>0</v>
      </c>
      <c r="NL239" t="str" cm="1">
        <f t="array" ref="NL239">IF(NK239&gt;$NL$1,_xlfn.XLOOKUP(MAX(_xlfn.ANCHORARRAY(NH239)),_xlfn.ANCHORARRAY(NH239),NH$4:NJ$4,""),"")</f>
        <v/>
      </c>
      <c r="NN239" cm="1">
        <f t="array" ref="NN239:NR239">SUMIFS($J239:$GG239,$J$3:$GG$3,NN$3:NR$3)</f>
        <v>0</v>
      </c>
      <c r="NO239">
        <v>0</v>
      </c>
      <c r="NP239">
        <v>0</v>
      </c>
      <c r="NQ239">
        <v>0</v>
      </c>
      <c r="NR239">
        <v>0</v>
      </c>
      <c r="NS239" cm="1">
        <f t="array" ref="NS239">IFERROR(MAX((_xlfn.ANCHORARRAY(NN239)-AVERAGE(_xlfn.ANCHORARRAY(NN239)))/ AVERAGE(_xlfn.ANCHORARRAY(NN239))),0)</f>
        <v>0</v>
      </c>
      <c r="NT239" t="str" cm="1">
        <f t="array" ref="NT239">IF(AND(NS239&gt;$NT$1,NL239&lt;&gt;""),_xlfn.XLOOKUP(MAX(_xlfn.ANCHORARRAY(NN239)),_xlfn.ANCHORARRAY(NN239),NN$4:NR$4,""),"")</f>
        <v/>
      </c>
      <c r="NV239" cm="1">
        <f t="array" ref="NV239:OE239">SUMIFS($J239:$GG239,$J$2:$GG$2,NV$3:OE$3)</f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 cm="1">
        <f t="array" ref="OF239">IFERROR(MAX((_xlfn.ANCHORARRAY(NV239)-AVERAGE(_xlfn.ANCHORARRAY(NV239)))/ AVERAGE(_xlfn.ANCHORARRAY(NV239))),0)</f>
        <v>0</v>
      </c>
      <c r="OG239" t="str" cm="1">
        <f t="array" ref="OG239">IF(OF239&gt;$OG$1,_xlfn.XLOOKUP(MAX(_xlfn.ANCHORARRAY(NV239)),_xlfn.ANCHORARRAY(NV239),NV$4:OE$4,""),"")</f>
        <v/>
      </c>
      <c r="OI239" t="str">
        <f t="shared" si="87"/>
        <v/>
      </c>
    </row>
    <row r="240" spans="2:399" x14ac:dyDescent="0.3">
      <c r="B240" s="2" t="str">
        <f t="shared" si="79"/>
        <v>CORE</v>
      </c>
      <c r="C240" s="2" t="str">
        <f t="shared" si="80"/>
        <v>CORE</v>
      </c>
      <c r="D240" s="2" t="str">
        <f t="shared" si="81"/>
        <v>CORE</v>
      </c>
      <c r="E240" s="2" t="str">
        <f t="shared" si="82"/>
        <v/>
      </c>
      <c r="F240" s="2">
        <f t="shared" si="83"/>
        <v>0</v>
      </c>
      <c r="G240" s="2">
        <f t="shared" si="84"/>
        <v>0</v>
      </c>
      <c r="H240" s="2">
        <f t="shared" si="85"/>
        <v>0</v>
      </c>
      <c r="I240" s="2">
        <f t="shared" si="86"/>
        <v>0</v>
      </c>
      <c r="NH240" cm="1">
        <f t="array" ref="NH240:NJ240">SUMIFS($J240:$GG240,$J$1:$GG$1,NH$3:NJ$3)</f>
        <v>0</v>
      </c>
      <c r="NI240">
        <v>0</v>
      </c>
      <c r="NJ240">
        <v>0</v>
      </c>
      <c r="NK240" cm="1">
        <f t="array" ref="NK240">IFERROR(MAX((_xlfn.ANCHORARRAY(NH240)-AVERAGE(_xlfn.ANCHORARRAY(NH240)))/ AVERAGE(_xlfn.ANCHORARRAY(NH240))),0)</f>
        <v>0</v>
      </c>
      <c r="NL240" t="str" cm="1">
        <f t="array" ref="NL240">IF(NK240&gt;$NL$1,_xlfn.XLOOKUP(MAX(_xlfn.ANCHORARRAY(NH240)),_xlfn.ANCHORARRAY(NH240),NH$4:NJ$4,""),"")</f>
        <v/>
      </c>
      <c r="NN240" cm="1">
        <f t="array" ref="NN240:NR240">SUMIFS($J240:$GG240,$J$3:$GG$3,NN$3:NR$3)</f>
        <v>0</v>
      </c>
      <c r="NO240">
        <v>0</v>
      </c>
      <c r="NP240">
        <v>0</v>
      </c>
      <c r="NQ240">
        <v>0</v>
      </c>
      <c r="NR240">
        <v>0</v>
      </c>
      <c r="NS240" cm="1">
        <f t="array" ref="NS240">IFERROR(MAX((_xlfn.ANCHORARRAY(NN240)-AVERAGE(_xlfn.ANCHORARRAY(NN240)))/ AVERAGE(_xlfn.ANCHORARRAY(NN240))),0)</f>
        <v>0</v>
      </c>
      <c r="NT240" t="str" cm="1">
        <f t="array" ref="NT240">IF(AND(NS240&gt;$NT$1,NL240&lt;&gt;""),_xlfn.XLOOKUP(MAX(_xlfn.ANCHORARRAY(NN240)),_xlfn.ANCHORARRAY(NN240),NN$4:NR$4,""),"")</f>
        <v/>
      </c>
      <c r="NV240" cm="1">
        <f t="array" ref="NV240:OE240">SUMIFS($J240:$GG240,$J$2:$GG$2,NV$3:OE$3)</f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 cm="1">
        <f t="array" ref="OF240">IFERROR(MAX((_xlfn.ANCHORARRAY(NV240)-AVERAGE(_xlfn.ANCHORARRAY(NV240)))/ AVERAGE(_xlfn.ANCHORARRAY(NV240))),0)</f>
        <v>0</v>
      </c>
      <c r="OG240" t="str" cm="1">
        <f t="array" ref="OG240">IF(OF240&gt;$OG$1,_xlfn.XLOOKUP(MAX(_xlfn.ANCHORARRAY(NV240)),_xlfn.ANCHORARRAY(NV240),NV$4:OE$4,""),"")</f>
        <v/>
      </c>
      <c r="OI240" t="str">
        <f t="shared" si="87"/>
        <v/>
      </c>
    </row>
    <row r="241" spans="2:399" x14ac:dyDescent="0.3">
      <c r="B241" s="2" t="str">
        <f t="shared" si="79"/>
        <v>CORE</v>
      </c>
      <c r="C241" s="2" t="str">
        <f t="shared" si="80"/>
        <v>CORE</v>
      </c>
      <c r="D241" s="2" t="str">
        <f t="shared" si="81"/>
        <v>CORE</v>
      </c>
      <c r="E241" s="2" t="str">
        <f t="shared" si="82"/>
        <v/>
      </c>
      <c r="F241" s="2">
        <f t="shared" si="83"/>
        <v>0</v>
      </c>
      <c r="G241" s="2">
        <f t="shared" si="84"/>
        <v>0</v>
      </c>
      <c r="H241" s="2">
        <f t="shared" si="85"/>
        <v>0</v>
      </c>
      <c r="I241" s="2">
        <f t="shared" si="86"/>
        <v>0</v>
      </c>
      <c r="NH241" cm="1">
        <f t="array" ref="NH241:NJ241">SUMIFS($J241:$GG241,$J$1:$GG$1,NH$3:NJ$3)</f>
        <v>0</v>
      </c>
      <c r="NI241">
        <v>0</v>
      </c>
      <c r="NJ241">
        <v>0</v>
      </c>
      <c r="NK241" cm="1">
        <f t="array" ref="NK241">IFERROR(MAX((_xlfn.ANCHORARRAY(NH241)-AVERAGE(_xlfn.ANCHORARRAY(NH241)))/ AVERAGE(_xlfn.ANCHORARRAY(NH241))),0)</f>
        <v>0</v>
      </c>
      <c r="NL241" t="str" cm="1">
        <f t="array" ref="NL241">IF(NK241&gt;$NL$1,_xlfn.XLOOKUP(MAX(_xlfn.ANCHORARRAY(NH241)),_xlfn.ANCHORARRAY(NH241),NH$4:NJ$4,""),"")</f>
        <v/>
      </c>
      <c r="NN241" cm="1">
        <f t="array" ref="NN241:NR241">SUMIFS($J241:$GG241,$J$3:$GG$3,NN$3:NR$3)</f>
        <v>0</v>
      </c>
      <c r="NO241">
        <v>0</v>
      </c>
      <c r="NP241">
        <v>0</v>
      </c>
      <c r="NQ241">
        <v>0</v>
      </c>
      <c r="NR241">
        <v>0</v>
      </c>
      <c r="NS241" cm="1">
        <f t="array" ref="NS241">IFERROR(MAX((_xlfn.ANCHORARRAY(NN241)-AVERAGE(_xlfn.ANCHORARRAY(NN241)))/ AVERAGE(_xlfn.ANCHORARRAY(NN241))),0)</f>
        <v>0</v>
      </c>
      <c r="NT241" t="str" cm="1">
        <f t="array" ref="NT241">IF(AND(NS241&gt;$NT$1,NL241&lt;&gt;""),_xlfn.XLOOKUP(MAX(_xlfn.ANCHORARRAY(NN241)),_xlfn.ANCHORARRAY(NN241),NN$4:NR$4,""),"")</f>
        <v/>
      </c>
      <c r="NV241" cm="1">
        <f t="array" ref="NV241:OE241">SUMIFS($J241:$GG241,$J$2:$GG$2,NV$3:OE$3)</f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 cm="1">
        <f t="array" ref="OF241">IFERROR(MAX((_xlfn.ANCHORARRAY(NV241)-AVERAGE(_xlfn.ANCHORARRAY(NV241)))/ AVERAGE(_xlfn.ANCHORARRAY(NV241))),0)</f>
        <v>0</v>
      </c>
      <c r="OG241" t="str" cm="1">
        <f t="array" ref="OG241">IF(OF241&gt;$OG$1,_xlfn.XLOOKUP(MAX(_xlfn.ANCHORARRAY(NV241)),_xlfn.ANCHORARRAY(NV241),NV$4:OE$4,""),"")</f>
        <v/>
      </c>
      <c r="OI241" t="str">
        <f t="shared" si="87"/>
        <v/>
      </c>
    </row>
    <row r="242" spans="2:399" x14ac:dyDescent="0.3">
      <c r="B242" s="2" t="str">
        <f t="shared" si="79"/>
        <v>CORE</v>
      </c>
      <c r="C242" s="2" t="str">
        <f t="shared" si="80"/>
        <v>CORE</v>
      </c>
      <c r="D242" s="2" t="str">
        <f t="shared" si="81"/>
        <v>CORE</v>
      </c>
      <c r="E242" s="2" t="str">
        <f t="shared" si="82"/>
        <v/>
      </c>
      <c r="F242" s="2">
        <f t="shared" si="83"/>
        <v>0</v>
      </c>
      <c r="G242" s="2">
        <f t="shared" si="84"/>
        <v>0</v>
      </c>
      <c r="H242" s="2">
        <f t="shared" si="85"/>
        <v>0</v>
      </c>
      <c r="I242" s="2">
        <f t="shared" si="86"/>
        <v>0</v>
      </c>
      <c r="NH242" cm="1">
        <f t="array" ref="NH242:NJ242">SUMIFS($J242:$GG242,$J$1:$GG$1,NH$3:NJ$3)</f>
        <v>0</v>
      </c>
      <c r="NI242">
        <v>0</v>
      </c>
      <c r="NJ242">
        <v>0</v>
      </c>
      <c r="NK242" cm="1">
        <f t="array" ref="NK242">IFERROR(MAX((_xlfn.ANCHORARRAY(NH242)-AVERAGE(_xlfn.ANCHORARRAY(NH242)))/ AVERAGE(_xlfn.ANCHORARRAY(NH242))),0)</f>
        <v>0</v>
      </c>
      <c r="NL242" t="str" cm="1">
        <f t="array" ref="NL242">IF(NK242&gt;$NL$1,_xlfn.XLOOKUP(MAX(_xlfn.ANCHORARRAY(NH242)),_xlfn.ANCHORARRAY(NH242),NH$4:NJ$4,""),"")</f>
        <v/>
      </c>
      <c r="NN242" cm="1">
        <f t="array" ref="NN242:NR242">SUMIFS($J242:$GG242,$J$3:$GG$3,NN$3:NR$3)</f>
        <v>0</v>
      </c>
      <c r="NO242">
        <v>0</v>
      </c>
      <c r="NP242">
        <v>0</v>
      </c>
      <c r="NQ242">
        <v>0</v>
      </c>
      <c r="NR242">
        <v>0</v>
      </c>
      <c r="NS242" cm="1">
        <f t="array" ref="NS242">IFERROR(MAX((_xlfn.ANCHORARRAY(NN242)-AVERAGE(_xlfn.ANCHORARRAY(NN242)))/ AVERAGE(_xlfn.ANCHORARRAY(NN242))),0)</f>
        <v>0</v>
      </c>
      <c r="NT242" t="str" cm="1">
        <f t="array" ref="NT242">IF(AND(NS242&gt;$NT$1,NL242&lt;&gt;""),_xlfn.XLOOKUP(MAX(_xlfn.ANCHORARRAY(NN242)),_xlfn.ANCHORARRAY(NN242),NN$4:NR$4,""),"")</f>
        <v/>
      </c>
      <c r="NV242" cm="1">
        <f t="array" ref="NV242:OE242">SUMIFS($J242:$GG242,$J$2:$GG$2,NV$3:OE$3)</f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 cm="1">
        <f t="array" ref="OF242">IFERROR(MAX((_xlfn.ANCHORARRAY(NV242)-AVERAGE(_xlfn.ANCHORARRAY(NV242)))/ AVERAGE(_xlfn.ANCHORARRAY(NV242))),0)</f>
        <v>0</v>
      </c>
      <c r="OG242" t="str" cm="1">
        <f t="array" ref="OG242">IF(OF242&gt;$OG$1,_xlfn.XLOOKUP(MAX(_xlfn.ANCHORARRAY(NV242)),_xlfn.ANCHORARRAY(NV242),NV$4:OE$4,""),"")</f>
        <v/>
      </c>
      <c r="OI242" t="str">
        <f t="shared" si="87"/>
        <v/>
      </c>
    </row>
    <row r="243" spans="2:399" x14ac:dyDescent="0.3">
      <c r="B243" s="2" t="str">
        <f t="shared" si="79"/>
        <v>CORE</v>
      </c>
      <c r="C243" s="2" t="str">
        <f t="shared" si="80"/>
        <v>CORE</v>
      </c>
      <c r="D243" s="2" t="str">
        <f t="shared" si="81"/>
        <v>CORE</v>
      </c>
      <c r="E243" s="2" t="str">
        <f t="shared" si="82"/>
        <v/>
      </c>
      <c r="F243" s="2">
        <f t="shared" si="83"/>
        <v>0</v>
      </c>
      <c r="G243" s="2">
        <f t="shared" si="84"/>
        <v>0</v>
      </c>
      <c r="H243" s="2">
        <f t="shared" si="85"/>
        <v>0</v>
      </c>
      <c r="I243" s="2">
        <f t="shared" si="86"/>
        <v>0</v>
      </c>
      <c r="NH243" cm="1">
        <f t="array" ref="NH243:NJ243">SUMIFS($J243:$GG243,$J$1:$GG$1,NH$3:NJ$3)</f>
        <v>0</v>
      </c>
      <c r="NI243">
        <v>0</v>
      </c>
      <c r="NJ243">
        <v>0</v>
      </c>
      <c r="NK243" cm="1">
        <f t="array" ref="NK243">IFERROR(MAX((_xlfn.ANCHORARRAY(NH243)-AVERAGE(_xlfn.ANCHORARRAY(NH243)))/ AVERAGE(_xlfn.ANCHORARRAY(NH243))),0)</f>
        <v>0</v>
      </c>
      <c r="NL243" t="str" cm="1">
        <f t="array" ref="NL243">IF(NK243&gt;$NL$1,_xlfn.XLOOKUP(MAX(_xlfn.ANCHORARRAY(NH243)),_xlfn.ANCHORARRAY(NH243),NH$4:NJ$4,""),"")</f>
        <v/>
      </c>
      <c r="NN243" cm="1">
        <f t="array" ref="NN243:NR243">SUMIFS($J243:$GG243,$J$3:$GG$3,NN$3:NR$3)</f>
        <v>0</v>
      </c>
      <c r="NO243">
        <v>0</v>
      </c>
      <c r="NP243">
        <v>0</v>
      </c>
      <c r="NQ243">
        <v>0</v>
      </c>
      <c r="NR243">
        <v>0</v>
      </c>
      <c r="NS243" cm="1">
        <f t="array" ref="NS243">IFERROR(MAX((_xlfn.ANCHORARRAY(NN243)-AVERAGE(_xlfn.ANCHORARRAY(NN243)))/ AVERAGE(_xlfn.ANCHORARRAY(NN243))),0)</f>
        <v>0</v>
      </c>
      <c r="NT243" t="str" cm="1">
        <f t="array" ref="NT243">IF(AND(NS243&gt;$NT$1,NL243&lt;&gt;""),_xlfn.XLOOKUP(MAX(_xlfn.ANCHORARRAY(NN243)),_xlfn.ANCHORARRAY(NN243),NN$4:NR$4,""),"")</f>
        <v/>
      </c>
      <c r="NV243" cm="1">
        <f t="array" ref="NV243:OE243">SUMIFS($J243:$GG243,$J$2:$GG$2,NV$3:OE$3)</f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 cm="1">
        <f t="array" ref="OF243">IFERROR(MAX((_xlfn.ANCHORARRAY(NV243)-AVERAGE(_xlfn.ANCHORARRAY(NV243)))/ AVERAGE(_xlfn.ANCHORARRAY(NV243))),0)</f>
        <v>0</v>
      </c>
      <c r="OG243" t="str" cm="1">
        <f t="array" ref="OG243">IF(OF243&gt;$OG$1,_xlfn.XLOOKUP(MAX(_xlfn.ANCHORARRAY(NV243)),_xlfn.ANCHORARRAY(NV243),NV$4:OE$4,""),"")</f>
        <v/>
      </c>
      <c r="OI243" t="str">
        <f t="shared" si="87"/>
        <v/>
      </c>
    </row>
    <row r="244" spans="2:399" x14ac:dyDescent="0.3">
      <c r="B244" s="2" t="str">
        <f t="shared" si="79"/>
        <v>CORE</v>
      </c>
      <c r="C244" s="2" t="str">
        <f t="shared" si="80"/>
        <v>CORE</v>
      </c>
      <c r="D244" s="2" t="str">
        <f t="shared" si="81"/>
        <v>CORE</v>
      </c>
      <c r="E244" s="2" t="str">
        <f t="shared" si="82"/>
        <v/>
      </c>
      <c r="F244" s="2">
        <f t="shared" si="83"/>
        <v>0</v>
      </c>
      <c r="G244" s="2">
        <f t="shared" si="84"/>
        <v>0</v>
      </c>
      <c r="H244" s="2">
        <f t="shared" si="85"/>
        <v>0</v>
      </c>
      <c r="I244" s="2">
        <f t="shared" si="86"/>
        <v>0</v>
      </c>
      <c r="NH244" cm="1">
        <f t="array" ref="NH244:NJ244">SUMIFS($J244:$GG244,$J$1:$GG$1,NH$3:NJ$3)</f>
        <v>0</v>
      </c>
      <c r="NI244">
        <v>0</v>
      </c>
      <c r="NJ244">
        <v>0</v>
      </c>
      <c r="NK244" cm="1">
        <f t="array" ref="NK244">IFERROR(MAX((_xlfn.ANCHORARRAY(NH244)-AVERAGE(_xlfn.ANCHORARRAY(NH244)))/ AVERAGE(_xlfn.ANCHORARRAY(NH244))),0)</f>
        <v>0</v>
      </c>
      <c r="NL244" t="str" cm="1">
        <f t="array" ref="NL244">IF(NK244&gt;$NL$1,_xlfn.XLOOKUP(MAX(_xlfn.ANCHORARRAY(NH244)),_xlfn.ANCHORARRAY(NH244),NH$4:NJ$4,""),"")</f>
        <v/>
      </c>
      <c r="NN244" cm="1">
        <f t="array" ref="NN244:NR244">SUMIFS($J244:$GG244,$J$3:$GG$3,NN$3:NR$3)</f>
        <v>0</v>
      </c>
      <c r="NO244">
        <v>0</v>
      </c>
      <c r="NP244">
        <v>0</v>
      </c>
      <c r="NQ244">
        <v>0</v>
      </c>
      <c r="NR244">
        <v>0</v>
      </c>
      <c r="NS244" cm="1">
        <f t="array" ref="NS244">IFERROR(MAX((_xlfn.ANCHORARRAY(NN244)-AVERAGE(_xlfn.ANCHORARRAY(NN244)))/ AVERAGE(_xlfn.ANCHORARRAY(NN244))),0)</f>
        <v>0</v>
      </c>
      <c r="NT244" t="str" cm="1">
        <f t="array" ref="NT244">IF(AND(NS244&gt;$NT$1,NL244&lt;&gt;""),_xlfn.XLOOKUP(MAX(_xlfn.ANCHORARRAY(NN244)),_xlfn.ANCHORARRAY(NN244),NN$4:NR$4,""),"")</f>
        <v/>
      </c>
      <c r="NV244" cm="1">
        <f t="array" ref="NV244:OE244">SUMIFS($J244:$GG244,$J$2:$GG$2,NV$3:OE$3)</f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 cm="1">
        <f t="array" ref="OF244">IFERROR(MAX((_xlfn.ANCHORARRAY(NV244)-AVERAGE(_xlfn.ANCHORARRAY(NV244)))/ AVERAGE(_xlfn.ANCHORARRAY(NV244))),0)</f>
        <v>0</v>
      </c>
      <c r="OG244" t="str" cm="1">
        <f t="array" ref="OG244">IF(OF244&gt;$OG$1,_xlfn.XLOOKUP(MAX(_xlfn.ANCHORARRAY(NV244)),_xlfn.ANCHORARRAY(NV244),NV$4:OE$4,""),"")</f>
        <v/>
      </c>
      <c r="OI244" t="str">
        <f t="shared" si="87"/>
        <v/>
      </c>
    </row>
    <row r="245" spans="2:399" x14ac:dyDescent="0.3">
      <c r="B245" s="2" t="str">
        <f t="shared" si="79"/>
        <v>CORE</v>
      </c>
      <c r="C245" s="2" t="str">
        <f t="shared" si="80"/>
        <v>CORE</v>
      </c>
      <c r="D245" s="2" t="str">
        <f t="shared" si="81"/>
        <v>CORE</v>
      </c>
      <c r="E245" s="2" t="str">
        <f t="shared" si="82"/>
        <v/>
      </c>
      <c r="F245" s="2">
        <f t="shared" si="83"/>
        <v>0</v>
      </c>
      <c r="G245" s="2">
        <f t="shared" si="84"/>
        <v>0</v>
      </c>
      <c r="H245" s="2">
        <f t="shared" si="85"/>
        <v>0</v>
      </c>
      <c r="I245" s="2">
        <f t="shared" si="86"/>
        <v>0</v>
      </c>
      <c r="NH245" cm="1">
        <f t="array" ref="NH245:NJ245">SUMIFS($J245:$GG245,$J$1:$GG$1,NH$3:NJ$3)</f>
        <v>0</v>
      </c>
      <c r="NI245">
        <v>0</v>
      </c>
      <c r="NJ245">
        <v>0</v>
      </c>
      <c r="NK245" cm="1">
        <f t="array" ref="NK245">IFERROR(MAX((_xlfn.ANCHORARRAY(NH245)-AVERAGE(_xlfn.ANCHORARRAY(NH245)))/ AVERAGE(_xlfn.ANCHORARRAY(NH245))),0)</f>
        <v>0</v>
      </c>
      <c r="NL245" t="str" cm="1">
        <f t="array" ref="NL245">IF(NK245&gt;$NL$1,_xlfn.XLOOKUP(MAX(_xlfn.ANCHORARRAY(NH245)),_xlfn.ANCHORARRAY(NH245),NH$4:NJ$4,""),"")</f>
        <v/>
      </c>
      <c r="NN245" cm="1">
        <f t="array" ref="NN245:NR245">SUMIFS($J245:$GG245,$J$3:$GG$3,NN$3:NR$3)</f>
        <v>0</v>
      </c>
      <c r="NO245">
        <v>0</v>
      </c>
      <c r="NP245">
        <v>0</v>
      </c>
      <c r="NQ245">
        <v>0</v>
      </c>
      <c r="NR245">
        <v>0</v>
      </c>
      <c r="NS245" cm="1">
        <f t="array" ref="NS245">IFERROR(MAX((_xlfn.ANCHORARRAY(NN245)-AVERAGE(_xlfn.ANCHORARRAY(NN245)))/ AVERAGE(_xlfn.ANCHORARRAY(NN245))),0)</f>
        <v>0</v>
      </c>
      <c r="NT245" t="str" cm="1">
        <f t="array" ref="NT245">IF(AND(NS245&gt;$NT$1,NL245&lt;&gt;""),_xlfn.XLOOKUP(MAX(_xlfn.ANCHORARRAY(NN245)),_xlfn.ANCHORARRAY(NN245),NN$4:NR$4,""),"")</f>
        <v/>
      </c>
      <c r="NV245" cm="1">
        <f t="array" ref="NV245:OE245">SUMIFS($J245:$GG245,$J$2:$GG$2,NV$3:OE$3)</f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 cm="1">
        <f t="array" ref="OF245">IFERROR(MAX((_xlfn.ANCHORARRAY(NV245)-AVERAGE(_xlfn.ANCHORARRAY(NV245)))/ AVERAGE(_xlfn.ANCHORARRAY(NV245))),0)</f>
        <v>0</v>
      </c>
      <c r="OG245" t="str" cm="1">
        <f t="array" ref="OG245">IF(OF245&gt;$OG$1,_xlfn.XLOOKUP(MAX(_xlfn.ANCHORARRAY(NV245)),_xlfn.ANCHORARRAY(NV245),NV$4:OE$4,""),"")</f>
        <v/>
      </c>
      <c r="OI245" t="str">
        <f t="shared" si="87"/>
        <v/>
      </c>
    </row>
    <row r="246" spans="2:399" x14ac:dyDescent="0.3">
      <c r="B246" s="2" t="str">
        <f t="shared" si="79"/>
        <v>CORE</v>
      </c>
      <c r="C246" s="2" t="str">
        <f t="shared" si="80"/>
        <v>CORE</v>
      </c>
      <c r="D246" s="2" t="str">
        <f t="shared" si="81"/>
        <v>CORE</v>
      </c>
      <c r="E246" s="2" t="str">
        <f t="shared" si="82"/>
        <v/>
      </c>
      <c r="F246" s="2">
        <f t="shared" si="83"/>
        <v>0</v>
      </c>
      <c r="G246" s="2">
        <f t="shared" si="84"/>
        <v>0</v>
      </c>
      <c r="H246" s="2">
        <f t="shared" si="85"/>
        <v>0</v>
      </c>
      <c r="I246" s="2">
        <f t="shared" si="86"/>
        <v>0</v>
      </c>
      <c r="NH246" cm="1">
        <f t="array" ref="NH246:NJ246">SUMIFS($J246:$GG246,$J$1:$GG$1,NH$3:NJ$3)</f>
        <v>0</v>
      </c>
      <c r="NI246">
        <v>0</v>
      </c>
      <c r="NJ246">
        <v>0</v>
      </c>
      <c r="NK246" cm="1">
        <f t="array" ref="NK246">IFERROR(MAX((_xlfn.ANCHORARRAY(NH246)-AVERAGE(_xlfn.ANCHORARRAY(NH246)))/ AVERAGE(_xlfn.ANCHORARRAY(NH246))),0)</f>
        <v>0</v>
      </c>
      <c r="NL246" t="str" cm="1">
        <f t="array" ref="NL246">IF(NK246&gt;$NL$1,_xlfn.XLOOKUP(MAX(_xlfn.ANCHORARRAY(NH246)),_xlfn.ANCHORARRAY(NH246),NH$4:NJ$4,""),"")</f>
        <v/>
      </c>
      <c r="NN246" cm="1">
        <f t="array" ref="NN246:NR246">SUMIFS($J246:$GG246,$J$3:$GG$3,NN$3:NR$3)</f>
        <v>0</v>
      </c>
      <c r="NO246">
        <v>0</v>
      </c>
      <c r="NP246">
        <v>0</v>
      </c>
      <c r="NQ246">
        <v>0</v>
      </c>
      <c r="NR246">
        <v>0</v>
      </c>
      <c r="NS246" cm="1">
        <f t="array" ref="NS246">IFERROR(MAX((_xlfn.ANCHORARRAY(NN246)-AVERAGE(_xlfn.ANCHORARRAY(NN246)))/ AVERAGE(_xlfn.ANCHORARRAY(NN246))),0)</f>
        <v>0</v>
      </c>
      <c r="NT246" t="str" cm="1">
        <f t="array" ref="NT246">IF(AND(NS246&gt;$NT$1,NL246&lt;&gt;""),_xlfn.XLOOKUP(MAX(_xlfn.ANCHORARRAY(NN246)),_xlfn.ANCHORARRAY(NN246),NN$4:NR$4,""),"")</f>
        <v/>
      </c>
      <c r="NV246" cm="1">
        <f t="array" ref="NV246:OE246">SUMIFS($J246:$GG246,$J$2:$GG$2,NV$3:OE$3)</f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 cm="1">
        <f t="array" ref="OF246">IFERROR(MAX((_xlfn.ANCHORARRAY(NV246)-AVERAGE(_xlfn.ANCHORARRAY(NV246)))/ AVERAGE(_xlfn.ANCHORARRAY(NV246))),0)</f>
        <v>0</v>
      </c>
      <c r="OG246" t="str" cm="1">
        <f t="array" ref="OG246">IF(OF246&gt;$OG$1,_xlfn.XLOOKUP(MAX(_xlfn.ANCHORARRAY(NV246)),_xlfn.ANCHORARRAY(NV246),NV$4:OE$4,""),"")</f>
        <v/>
      </c>
      <c r="OI246" t="str">
        <f t="shared" si="87"/>
        <v/>
      </c>
    </row>
    <row r="247" spans="2:399" x14ac:dyDescent="0.3">
      <c r="B247" s="2" t="str">
        <f t="shared" si="79"/>
        <v>CORE</v>
      </c>
      <c r="C247" s="2" t="str">
        <f t="shared" si="80"/>
        <v>CORE</v>
      </c>
      <c r="D247" s="2" t="str">
        <f t="shared" si="81"/>
        <v>CORE</v>
      </c>
      <c r="E247" s="2" t="str">
        <f t="shared" si="82"/>
        <v/>
      </c>
      <c r="F247" s="2">
        <f t="shared" si="83"/>
        <v>0</v>
      </c>
      <c r="G247" s="2">
        <f t="shared" si="84"/>
        <v>0</v>
      </c>
      <c r="H247" s="2">
        <f t="shared" si="85"/>
        <v>0</v>
      </c>
      <c r="I247" s="2">
        <f t="shared" si="86"/>
        <v>0</v>
      </c>
      <c r="NH247" cm="1">
        <f t="array" ref="NH247:NJ247">SUMIFS($J247:$GG247,$J$1:$GG$1,NH$3:NJ$3)</f>
        <v>0</v>
      </c>
      <c r="NI247">
        <v>0</v>
      </c>
      <c r="NJ247">
        <v>0</v>
      </c>
      <c r="NK247" cm="1">
        <f t="array" ref="NK247">IFERROR(MAX((_xlfn.ANCHORARRAY(NH247)-AVERAGE(_xlfn.ANCHORARRAY(NH247)))/ AVERAGE(_xlfn.ANCHORARRAY(NH247))),0)</f>
        <v>0</v>
      </c>
      <c r="NL247" t="str" cm="1">
        <f t="array" ref="NL247">IF(NK247&gt;$NL$1,_xlfn.XLOOKUP(MAX(_xlfn.ANCHORARRAY(NH247)),_xlfn.ANCHORARRAY(NH247),NH$4:NJ$4,""),"")</f>
        <v/>
      </c>
      <c r="NN247" cm="1">
        <f t="array" ref="NN247:NR247">SUMIFS($J247:$GG247,$J$3:$GG$3,NN$3:NR$3)</f>
        <v>0</v>
      </c>
      <c r="NO247">
        <v>0</v>
      </c>
      <c r="NP247">
        <v>0</v>
      </c>
      <c r="NQ247">
        <v>0</v>
      </c>
      <c r="NR247">
        <v>0</v>
      </c>
      <c r="NS247" cm="1">
        <f t="array" ref="NS247">IFERROR(MAX((_xlfn.ANCHORARRAY(NN247)-AVERAGE(_xlfn.ANCHORARRAY(NN247)))/ AVERAGE(_xlfn.ANCHORARRAY(NN247))),0)</f>
        <v>0</v>
      </c>
      <c r="NT247" t="str" cm="1">
        <f t="array" ref="NT247">IF(AND(NS247&gt;$NT$1,NL247&lt;&gt;""),_xlfn.XLOOKUP(MAX(_xlfn.ANCHORARRAY(NN247)),_xlfn.ANCHORARRAY(NN247),NN$4:NR$4,""),"")</f>
        <v/>
      </c>
      <c r="NV247" cm="1">
        <f t="array" ref="NV247:OE247">SUMIFS($J247:$GG247,$J$2:$GG$2,NV$3:OE$3)</f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 cm="1">
        <f t="array" ref="OF247">IFERROR(MAX((_xlfn.ANCHORARRAY(NV247)-AVERAGE(_xlfn.ANCHORARRAY(NV247)))/ AVERAGE(_xlfn.ANCHORARRAY(NV247))),0)</f>
        <v>0</v>
      </c>
      <c r="OG247" t="str" cm="1">
        <f t="array" ref="OG247">IF(OF247&gt;$OG$1,_xlfn.XLOOKUP(MAX(_xlfn.ANCHORARRAY(NV247)),_xlfn.ANCHORARRAY(NV247),NV$4:OE$4,""),"")</f>
        <v/>
      </c>
      <c r="OI247" t="str">
        <f t="shared" si="87"/>
        <v/>
      </c>
    </row>
    <row r="248" spans="2:399" x14ac:dyDescent="0.3">
      <c r="B248" s="2" t="str">
        <f t="shared" si="79"/>
        <v>CORE</v>
      </c>
      <c r="C248" s="2" t="str">
        <f t="shared" si="80"/>
        <v>CORE</v>
      </c>
      <c r="D248" s="2" t="str">
        <f t="shared" si="81"/>
        <v>CORE</v>
      </c>
      <c r="E248" s="2" t="str">
        <f t="shared" si="82"/>
        <v/>
      </c>
      <c r="F248" s="2">
        <f t="shared" si="83"/>
        <v>0</v>
      </c>
      <c r="G248" s="2">
        <f t="shared" si="84"/>
        <v>0</v>
      </c>
      <c r="H248" s="2">
        <f t="shared" si="85"/>
        <v>0</v>
      </c>
      <c r="I248" s="2">
        <f t="shared" si="86"/>
        <v>0</v>
      </c>
      <c r="NH248" cm="1">
        <f t="array" ref="NH248:NJ248">SUMIFS($J248:$GG248,$J$1:$GG$1,NH$3:NJ$3)</f>
        <v>0</v>
      </c>
      <c r="NI248">
        <v>0</v>
      </c>
      <c r="NJ248">
        <v>0</v>
      </c>
      <c r="NK248" cm="1">
        <f t="array" ref="NK248">IFERROR(MAX((_xlfn.ANCHORARRAY(NH248)-AVERAGE(_xlfn.ANCHORARRAY(NH248)))/ AVERAGE(_xlfn.ANCHORARRAY(NH248))),0)</f>
        <v>0</v>
      </c>
      <c r="NL248" t="str" cm="1">
        <f t="array" ref="NL248">IF(NK248&gt;$NL$1,_xlfn.XLOOKUP(MAX(_xlfn.ANCHORARRAY(NH248)),_xlfn.ANCHORARRAY(NH248),NH$4:NJ$4,""),"")</f>
        <v/>
      </c>
      <c r="NN248" cm="1">
        <f t="array" ref="NN248:NR248">SUMIFS($J248:$GG248,$J$3:$GG$3,NN$3:NR$3)</f>
        <v>0</v>
      </c>
      <c r="NO248">
        <v>0</v>
      </c>
      <c r="NP248">
        <v>0</v>
      </c>
      <c r="NQ248">
        <v>0</v>
      </c>
      <c r="NR248">
        <v>0</v>
      </c>
      <c r="NS248" cm="1">
        <f t="array" ref="NS248">IFERROR(MAX((_xlfn.ANCHORARRAY(NN248)-AVERAGE(_xlfn.ANCHORARRAY(NN248)))/ AVERAGE(_xlfn.ANCHORARRAY(NN248))),0)</f>
        <v>0</v>
      </c>
      <c r="NT248" t="str" cm="1">
        <f t="array" ref="NT248">IF(AND(NS248&gt;$NT$1,NL248&lt;&gt;""),_xlfn.XLOOKUP(MAX(_xlfn.ANCHORARRAY(NN248)),_xlfn.ANCHORARRAY(NN248),NN$4:NR$4,""),"")</f>
        <v/>
      </c>
      <c r="NV248" cm="1">
        <f t="array" ref="NV248:OE248">SUMIFS($J248:$GG248,$J$2:$GG$2,NV$3:OE$3)</f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 cm="1">
        <f t="array" ref="OF248">IFERROR(MAX((_xlfn.ANCHORARRAY(NV248)-AVERAGE(_xlfn.ANCHORARRAY(NV248)))/ AVERAGE(_xlfn.ANCHORARRAY(NV248))),0)</f>
        <v>0</v>
      </c>
      <c r="OG248" t="str" cm="1">
        <f t="array" ref="OG248">IF(OF248&gt;$OG$1,_xlfn.XLOOKUP(MAX(_xlfn.ANCHORARRAY(NV248)),_xlfn.ANCHORARRAY(NV248),NV$4:OE$4,""),"")</f>
        <v/>
      </c>
      <c r="OI248" t="str">
        <f t="shared" si="87"/>
        <v/>
      </c>
    </row>
    <row r="249" spans="2:399" x14ac:dyDescent="0.3">
      <c r="B249" s="2" t="str">
        <f t="shared" si="79"/>
        <v>CORE</v>
      </c>
      <c r="C249" s="2" t="str">
        <f t="shared" si="80"/>
        <v>CORE</v>
      </c>
      <c r="D249" s="2" t="str">
        <f t="shared" si="81"/>
        <v>CORE</v>
      </c>
      <c r="E249" s="2" t="str">
        <f t="shared" si="82"/>
        <v/>
      </c>
      <c r="F249" s="2">
        <f t="shared" si="83"/>
        <v>0</v>
      </c>
      <c r="G249" s="2">
        <f t="shared" si="84"/>
        <v>0</v>
      </c>
      <c r="H249" s="2">
        <f t="shared" si="85"/>
        <v>0</v>
      </c>
      <c r="I249" s="2">
        <f t="shared" si="86"/>
        <v>0</v>
      </c>
      <c r="NH249" cm="1">
        <f t="array" ref="NH249:NJ249">SUMIFS($J249:$GG249,$J$1:$GG$1,NH$3:NJ$3)</f>
        <v>0</v>
      </c>
      <c r="NI249">
        <v>0</v>
      </c>
      <c r="NJ249">
        <v>0</v>
      </c>
      <c r="NK249" cm="1">
        <f t="array" ref="NK249">IFERROR(MAX((_xlfn.ANCHORARRAY(NH249)-AVERAGE(_xlfn.ANCHORARRAY(NH249)))/ AVERAGE(_xlfn.ANCHORARRAY(NH249))),0)</f>
        <v>0</v>
      </c>
      <c r="NL249" t="str" cm="1">
        <f t="array" ref="NL249">IF(NK249&gt;$NL$1,_xlfn.XLOOKUP(MAX(_xlfn.ANCHORARRAY(NH249)),_xlfn.ANCHORARRAY(NH249),NH$4:NJ$4,""),"")</f>
        <v/>
      </c>
      <c r="NN249" cm="1">
        <f t="array" ref="NN249:NR249">SUMIFS($J249:$GG249,$J$3:$GG$3,NN$3:NR$3)</f>
        <v>0</v>
      </c>
      <c r="NO249">
        <v>0</v>
      </c>
      <c r="NP249">
        <v>0</v>
      </c>
      <c r="NQ249">
        <v>0</v>
      </c>
      <c r="NR249">
        <v>0</v>
      </c>
      <c r="NS249" cm="1">
        <f t="array" ref="NS249">IFERROR(MAX((_xlfn.ANCHORARRAY(NN249)-AVERAGE(_xlfn.ANCHORARRAY(NN249)))/ AVERAGE(_xlfn.ANCHORARRAY(NN249))),0)</f>
        <v>0</v>
      </c>
      <c r="NT249" t="str" cm="1">
        <f t="array" ref="NT249">IF(AND(NS249&gt;$NT$1,NL249&lt;&gt;""),_xlfn.XLOOKUP(MAX(_xlfn.ANCHORARRAY(NN249)),_xlfn.ANCHORARRAY(NN249),NN$4:NR$4,""),"")</f>
        <v/>
      </c>
      <c r="NV249" cm="1">
        <f t="array" ref="NV249:OE249">SUMIFS($J249:$GG249,$J$2:$GG$2,NV$3:OE$3)</f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 cm="1">
        <f t="array" ref="OF249">IFERROR(MAX((_xlfn.ANCHORARRAY(NV249)-AVERAGE(_xlfn.ANCHORARRAY(NV249)))/ AVERAGE(_xlfn.ANCHORARRAY(NV249))),0)</f>
        <v>0</v>
      </c>
      <c r="OG249" t="str" cm="1">
        <f t="array" ref="OG249">IF(OF249&gt;$OG$1,_xlfn.XLOOKUP(MAX(_xlfn.ANCHORARRAY(NV249)),_xlfn.ANCHORARRAY(NV249),NV$4:OE$4,""),"")</f>
        <v/>
      </c>
      <c r="OI249" t="str">
        <f t="shared" si="87"/>
        <v/>
      </c>
    </row>
    <row r="250" spans="2:399" x14ac:dyDescent="0.3">
      <c r="B250" s="2" t="str">
        <f t="shared" ref="B250:B259" si="88">IF(C250="NotFound",D250,C250)</f>
        <v>CORE</v>
      </c>
      <c r="C250" s="2" t="str">
        <f t="shared" ref="C250:C259" si="89">IF(H250&gt;1,"NotFound","CORE"&amp;_xlfn.XLOOKUP(MAX(J250:GG250,1),J250:GG250,$J$4:$GG$4,""))</f>
        <v>CORE</v>
      </c>
      <c r="D250" s="2" t="str">
        <f t="shared" ref="D250:D259" si="90">IF(F250&gt;1,"NotFound","CORE"&amp;_xlfn.XLOOKUP(MAX(GI250:NF250,1),GI250:NF250,$GI$4:$NF$4,""))</f>
        <v>CORE</v>
      </c>
      <c r="E250" s="2" t="str">
        <f t="shared" ref="E250:E259" si="91">OI250</f>
        <v/>
      </c>
      <c r="F250" s="2">
        <f t="shared" ref="F250:F259" si="92">COUNTIF(GI250:NF250,G250)</f>
        <v>0</v>
      </c>
      <c r="G250" s="2">
        <f t="shared" ref="G250:G259" si="93">MAX(GI250:NF250)</f>
        <v>0</v>
      </c>
      <c r="H250" s="2">
        <f t="shared" ref="H250:H259" si="94">COUNTIF(J250:GG250,I250)</f>
        <v>0</v>
      </c>
      <c r="I250" s="2">
        <f t="shared" ref="I250:I259" si="95">MAX(J250:GG250)</f>
        <v>0</v>
      </c>
      <c r="NH250" cm="1">
        <f t="array" ref="NH250:NJ250">SUMIFS($J250:$GG250,$J$1:$GG$1,NH$3:NJ$3)</f>
        <v>0</v>
      </c>
      <c r="NI250">
        <v>0</v>
      </c>
      <c r="NJ250">
        <v>0</v>
      </c>
      <c r="NK250" cm="1">
        <f t="array" ref="NK250">IFERROR(MAX((_xlfn.ANCHORARRAY(NH250)-AVERAGE(_xlfn.ANCHORARRAY(NH250)))/ AVERAGE(_xlfn.ANCHORARRAY(NH250))),0)</f>
        <v>0</v>
      </c>
      <c r="NL250" t="str" cm="1">
        <f t="array" ref="NL250">IF(NK250&gt;$NL$1,_xlfn.XLOOKUP(MAX(_xlfn.ANCHORARRAY(NH250)),_xlfn.ANCHORARRAY(NH250),NH$4:NJ$4,""),"")</f>
        <v/>
      </c>
      <c r="NN250" cm="1">
        <f t="array" ref="NN250:NR250">SUMIFS($J250:$GG250,$J$3:$GG$3,NN$3:NR$3)</f>
        <v>0</v>
      </c>
      <c r="NO250">
        <v>0</v>
      </c>
      <c r="NP250">
        <v>0</v>
      </c>
      <c r="NQ250">
        <v>0</v>
      </c>
      <c r="NR250">
        <v>0</v>
      </c>
      <c r="NS250" cm="1">
        <f t="array" ref="NS250">IFERROR(MAX((_xlfn.ANCHORARRAY(NN250)-AVERAGE(_xlfn.ANCHORARRAY(NN250)))/ AVERAGE(_xlfn.ANCHORARRAY(NN250))),0)</f>
        <v>0</v>
      </c>
      <c r="NT250" t="str" cm="1">
        <f t="array" ref="NT250">IF(AND(NS250&gt;$NT$1,NL250&lt;&gt;""),_xlfn.XLOOKUP(MAX(_xlfn.ANCHORARRAY(NN250)),_xlfn.ANCHORARRAY(NN250),NN$4:NR$4,""),"")</f>
        <v/>
      </c>
      <c r="NV250" cm="1">
        <f t="array" ref="NV250:OE250">SUMIFS($J250:$GG250,$J$2:$GG$2,NV$3:OE$3)</f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 cm="1">
        <f t="array" ref="OF250">IFERROR(MAX((_xlfn.ANCHORARRAY(NV250)-AVERAGE(_xlfn.ANCHORARRAY(NV250)))/ AVERAGE(_xlfn.ANCHORARRAY(NV250))),0)</f>
        <v>0</v>
      </c>
      <c r="OG250" t="str" cm="1">
        <f t="array" ref="OG250">IF(OF250&gt;$OG$1,_xlfn.XLOOKUP(MAX(_xlfn.ANCHORARRAY(NV250)),_xlfn.ANCHORARRAY(NV250),NV$4:OE$4,""),"")</f>
        <v/>
      </c>
      <c r="OI250" t="str">
        <f t="shared" ref="OI250:OI259" si="96">_xlfn.TEXTJOIN(" : ",,NL250,NT250,OG250)</f>
        <v/>
      </c>
    </row>
    <row r="251" spans="2:399" x14ac:dyDescent="0.3">
      <c r="B251" s="2" t="str">
        <f t="shared" si="88"/>
        <v>CORE</v>
      </c>
      <c r="C251" s="2" t="str">
        <f t="shared" si="89"/>
        <v>CORE</v>
      </c>
      <c r="D251" s="2" t="str">
        <f t="shared" si="90"/>
        <v>CORE</v>
      </c>
      <c r="E251" s="2" t="str">
        <f t="shared" si="91"/>
        <v/>
      </c>
      <c r="F251" s="2">
        <f t="shared" si="92"/>
        <v>0</v>
      </c>
      <c r="G251" s="2">
        <f t="shared" si="93"/>
        <v>0</v>
      </c>
      <c r="H251" s="2">
        <f t="shared" si="94"/>
        <v>0</v>
      </c>
      <c r="I251" s="2">
        <f t="shared" si="95"/>
        <v>0</v>
      </c>
      <c r="NH251" cm="1">
        <f t="array" ref="NH251:NJ251">SUMIFS($J251:$GG251,$J$1:$GG$1,NH$3:NJ$3)</f>
        <v>0</v>
      </c>
      <c r="NI251">
        <v>0</v>
      </c>
      <c r="NJ251">
        <v>0</v>
      </c>
      <c r="NK251" cm="1">
        <f t="array" ref="NK251">IFERROR(MAX((_xlfn.ANCHORARRAY(NH251)-AVERAGE(_xlfn.ANCHORARRAY(NH251)))/ AVERAGE(_xlfn.ANCHORARRAY(NH251))),0)</f>
        <v>0</v>
      </c>
      <c r="NL251" t="str" cm="1">
        <f t="array" ref="NL251">IF(NK251&gt;$NL$1,_xlfn.XLOOKUP(MAX(_xlfn.ANCHORARRAY(NH251)),_xlfn.ANCHORARRAY(NH251),NH$4:NJ$4,""),"")</f>
        <v/>
      </c>
      <c r="NN251" cm="1">
        <f t="array" ref="NN251:NR251">SUMIFS($J251:$GG251,$J$3:$GG$3,NN$3:NR$3)</f>
        <v>0</v>
      </c>
      <c r="NO251">
        <v>0</v>
      </c>
      <c r="NP251">
        <v>0</v>
      </c>
      <c r="NQ251">
        <v>0</v>
      </c>
      <c r="NR251">
        <v>0</v>
      </c>
      <c r="NS251" cm="1">
        <f t="array" ref="NS251">IFERROR(MAX((_xlfn.ANCHORARRAY(NN251)-AVERAGE(_xlfn.ANCHORARRAY(NN251)))/ AVERAGE(_xlfn.ANCHORARRAY(NN251))),0)</f>
        <v>0</v>
      </c>
      <c r="NT251" t="str" cm="1">
        <f t="array" ref="NT251">IF(AND(NS251&gt;$NT$1,NL251&lt;&gt;""),_xlfn.XLOOKUP(MAX(_xlfn.ANCHORARRAY(NN251)),_xlfn.ANCHORARRAY(NN251),NN$4:NR$4,""),"")</f>
        <v/>
      </c>
      <c r="NV251" cm="1">
        <f t="array" ref="NV251:OE251">SUMIFS($J251:$GG251,$J$2:$GG$2,NV$3:OE$3)</f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 cm="1">
        <f t="array" ref="OF251">IFERROR(MAX((_xlfn.ANCHORARRAY(NV251)-AVERAGE(_xlfn.ANCHORARRAY(NV251)))/ AVERAGE(_xlfn.ANCHORARRAY(NV251))),0)</f>
        <v>0</v>
      </c>
      <c r="OG251" t="str" cm="1">
        <f t="array" ref="OG251">IF(OF251&gt;$OG$1,_xlfn.XLOOKUP(MAX(_xlfn.ANCHORARRAY(NV251)),_xlfn.ANCHORARRAY(NV251),NV$4:OE$4,""),"")</f>
        <v/>
      </c>
      <c r="OI251" t="str">
        <f t="shared" si="96"/>
        <v/>
      </c>
    </row>
    <row r="252" spans="2:399" x14ac:dyDescent="0.3">
      <c r="B252" s="2" t="str">
        <f t="shared" si="88"/>
        <v>CORE</v>
      </c>
      <c r="C252" s="2" t="str">
        <f t="shared" si="89"/>
        <v>CORE</v>
      </c>
      <c r="D252" s="2" t="str">
        <f t="shared" si="90"/>
        <v>CORE</v>
      </c>
      <c r="E252" s="2" t="str">
        <f t="shared" si="91"/>
        <v/>
      </c>
      <c r="F252" s="2">
        <f t="shared" si="92"/>
        <v>0</v>
      </c>
      <c r="G252" s="2">
        <f t="shared" si="93"/>
        <v>0</v>
      </c>
      <c r="H252" s="2">
        <f t="shared" si="94"/>
        <v>0</v>
      </c>
      <c r="I252" s="2">
        <f t="shared" si="95"/>
        <v>0</v>
      </c>
      <c r="NH252" cm="1">
        <f t="array" ref="NH252:NJ252">SUMIFS($J252:$GG252,$J$1:$GG$1,NH$3:NJ$3)</f>
        <v>0</v>
      </c>
      <c r="NI252">
        <v>0</v>
      </c>
      <c r="NJ252">
        <v>0</v>
      </c>
      <c r="NK252" cm="1">
        <f t="array" ref="NK252">IFERROR(MAX((_xlfn.ANCHORARRAY(NH252)-AVERAGE(_xlfn.ANCHORARRAY(NH252)))/ AVERAGE(_xlfn.ANCHORARRAY(NH252))),0)</f>
        <v>0</v>
      </c>
      <c r="NL252" t="str" cm="1">
        <f t="array" ref="NL252">IF(NK252&gt;$NL$1,_xlfn.XLOOKUP(MAX(_xlfn.ANCHORARRAY(NH252)),_xlfn.ANCHORARRAY(NH252),NH$4:NJ$4,""),"")</f>
        <v/>
      </c>
      <c r="NN252" cm="1">
        <f t="array" ref="NN252:NR252">SUMIFS($J252:$GG252,$J$3:$GG$3,NN$3:NR$3)</f>
        <v>0</v>
      </c>
      <c r="NO252">
        <v>0</v>
      </c>
      <c r="NP252">
        <v>0</v>
      </c>
      <c r="NQ252">
        <v>0</v>
      </c>
      <c r="NR252">
        <v>0</v>
      </c>
      <c r="NS252" cm="1">
        <f t="array" ref="NS252">IFERROR(MAX((_xlfn.ANCHORARRAY(NN252)-AVERAGE(_xlfn.ANCHORARRAY(NN252)))/ AVERAGE(_xlfn.ANCHORARRAY(NN252))),0)</f>
        <v>0</v>
      </c>
      <c r="NT252" t="str" cm="1">
        <f t="array" ref="NT252">IF(AND(NS252&gt;$NT$1,NL252&lt;&gt;""),_xlfn.XLOOKUP(MAX(_xlfn.ANCHORARRAY(NN252)),_xlfn.ANCHORARRAY(NN252),NN$4:NR$4,""),"")</f>
        <v/>
      </c>
      <c r="NV252" cm="1">
        <f t="array" ref="NV252:OE252">SUMIFS($J252:$GG252,$J$2:$GG$2,NV$3:OE$3)</f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 cm="1">
        <f t="array" ref="OF252">IFERROR(MAX((_xlfn.ANCHORARRAY(NV252)-AVERAGE(_xlfn.ANCHORARRAY(NV252)))/ AVERAGE(_xlfn.ANCHORARRAY(NV252))),0)</f>
        <v>0</v>
      </c>
      <c r="OG252" t="str" cm="1">
        <f t="array" ref="OG252">IF(OF252&gt;$OG$1,_xlfn.XLOOKUP(MAX(_xlfn.ANCHORARRAY(NV252)),_xlfn.ANCHORARRAY(NV252),NV$4:OE$4,""),"")</f>
        <v/>
      </c>
      <c r="OI252" t="str">
        <f t="shared" si="96"/>
        <v/>
      </c>
    </row>
    <row r="253" spans="2:399" x14ac:dyDescent="0.3">
      <c r="B253" s="2" t="str">
        <f t="shared" si="88"/>
        <v>CORE</v>
      </c>
      <c r="C253" s="2" t="str">
        <f t="shared" si="89"/>
        <v>CORE</v>
      </c>
      <c r="D253" s="2" t="str">
        <f t="shared" si="90"/>
        <v>CORE</v>
      </c>
      <c r="E253" s="2" t="str">
        <f t="shared" si="91"/>
        <v/>
      </c>
      <c r="F253" s="2">
        <f t="shared" si="92"/>
        <v>0</v>
      </c>
      <c r="G253" s="2">
        <f t="shared" si="93"/>
        <v>0</v>
      </c>
      <c r="H253" s="2">
        <f t="shared" si="94"/>
        <v>0</v>
      </c>
      <c r="I253" s="2">
        <f t="shared" si="95"/>
        <v>0</v>
      </c>
      <c r="NH253" cm="1">
        <f t="array" ref="NH253:NJ253">SUMIFS($J253:$GG253,$J$1:$GG$1,NH$3:NJ$3)</f>
        <v>0</v>
      </c>
      <c r="NI253">
        <v>0</v>
      </c>
      <c r="NJ253">
        <v>0</v>
      </c>
      <c r="NK253" cm="1">
        <f t="array" ref="NK253">IFERROR(MAX((_xlfn.ANCHORARRAY(NH253)-AVERAGE(_xlfn.ANCHORARRAY(NH253)))/ AVERAGE(_xlfn.ANCHORARRAY(NH253))),0)</f>
        <v>0</v>
      </c>
      <c r="NL253" t="str" cm="1">
        <f t="array" ref="NL253">IF(NK253&gt;$NL$1,_xlfn.XLOOKUP(MAX(_xlfn.ANCHORARRAY(NH253)),_xlfn.ANCHORARRAY(NH253),NH$4:NJ$4,""),"")</f>
        <v/>
      </c>
      <c r="NN253" cm="1">
        <f t="array" ref="NN253:NR253">SUMIFS($J253:$GG253,$J$3:$GG$3,NN$3:NR$3)</f>
        <v>0</v>
      </c>
      <c r="NO253">
        <v>0</v>
      </c>
      <c r="NP253">
        <v>0</v>
      </c>
      <c r="NQ253">
        <v>0</v>
      </c>
      <c r="NR253">
        <v>0</v>
      </c>
      <c r="NS253" cm="1">
        <f t="array" ref="NS253">IFERROR(MAX((_xlfn.ANCHORARRAY(NN253)-AVERAGE(_xlfn.ANCHORARRAY(NN253)))/ AVERAGE(_xlfn.ANCHORARRAY(NN253))),0)</f>
        <v>0</v>
      </c>
      <c r="NT253" t="str" cm="1">
        <f t="array" ref="NT253">IF(AND(NS253&gt;$NT$1,NL253&lt;&gt;""),_xlfn.XLOOKUP(MAX(_xlfn.ANCHORARRAY(NN253)),_xlfn.ANCHORARRAY(NN253),NN$4:NR$4,""),"")</f>
        <v/>
      </c>
      <c r="NV253" cm="1">
        <f t="array" ref="NV253:OE253">SUMIFS($J253:$GG253,$J$2:$GG$2,NV$3:OE$3)</f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 cm="1">
        <f t="array" ref="OF253">IFERROR(MAX((_xlfn.ANCHORARRAY(NV253)-AVERAGE(_xlfn.ANCHORARRAY(NV253)))/ AVERAGE(_xlfn.ANCHORARRAY(NV253))),0)</f>
        <v>0</v>
      </c>
      <c r="OG253" t="str" cm="1">
        <f t="array" ref="OG253">IF(OF253&gt;$OG$1,_xlfn.XLOOKUP(MAX(_xlfn.ANCHORARRAY(NV253)),_xlfn.ANCHORARRAY(NV253),NV$4:OE$4,""),"")</f>
        <v/>
      </c>
      <c r="OI253" t="str">
        <f t="shared" si="96"/>
        <v/>
      </c>
    </row>
    <row r="254" spans="2:399" x14ac:dyDescent="0.3">
      <c r="B254" s="2" t="str">
        <f t="shared" si="88"/>
        <v>CORE</v>
      </c>
      <c r="C254" s="2" t="str">
        <f t="shared" si="89"/>
        <v>CORE</v>
      </c>
      <c r="D254" s="2" t="str">
        <f t="shared" si="90"/>
        <v>CORE</v>
      </c>
      <c r="E254" s="2" t="str">
        <f t="shared" si="91"/>
        <v/>
      </c>
      <c r="F254" s="2">
        <f t="shared" si="92"/>
        <v>0</v>
      </c>
      <c r="G254" s="2">
        <f t="shared" si="93"/>
        <v>0</v>
      </c>
      <c r="H254" s="2">
        <f t="shared" si="94"/>
        <v>0</v>
      </c>
      <c r="I254" s="2">
        <f t="shared" si="95"/>
        <v>0</v>
      </c>
      <c r="NH254" cm="1">
        <f t="array" ref="NH254:NJ254">SUMIFS($J254:$GG254,$J$1:$GG$1,NH$3:NJ$3)</f>
        <v>0</v>
      </c>
      <c r="NI254">
        <v>0</v>
      </c>
      <c r="NJ254">
        <v>0</v>
      </c>
      <c r="NK254" cm="1">
        <f t="array" ref="NK254">IFERROR(MAX((_xlfn.ANCHORARRAY(NH254)-AVERAGE(_xlfn.ANCHORARRAY(NH254)))/ AVERAGE(_xlfn.ANCHORARRAY(NH254))),0)</f>
        <v>0</v>
      </c>
      <c r="NL254" t="str" cm="1">
        <f t="array" ref="NL254">IF(NK254&gt;$NL$1,_xlfn.XLOOKUP(MAX(_xlfn.ANCHORARRAY(NH254)),_xlfn.ANCHORARRAY(NH254),NH$4:NJ$4,""),"")</f>
        <v/>
      </c>
      <c r="NN254" cm="1">
        <f t="array" ref="NN254:NR254">SUMIFS($J254:$GG254,$J$3:$GG$3,NN$3:NR$3)</f>
        <v>0</v>
      </c>
      <c r="NO254">
        <v>0</v>
      </c>
      <c r="NP254">
        <v>0</v>
      </c>
      <c r="NQ254">
        <v>0</v>
      </c>
      <c r="NR254">
        <v>0</v>
      </c>
      <c r="NS254" cm="1">
        <f t="array" ref="NS254">IFERROR(MAX((_xlfn.ANCHORARRAY(NN254)-AVERAGE(_xlfn.ANCHORARRAY(NN254)))/ AVERAGE(_xlfn.ANCHORARRAY(NN254))),0)</f>
        <v>0</v>
      </c>
      <c r="NT254" t="str" cm="1">
        <f t="array" ref="NT254">IF(AND(NS254&gt;$NT$1,NL254&lt;&gt;""),_xlfn.XLOOKUP(MAX(_xlfn.ANCHORARRAY(NN254)),_xlfn.ANCHORARRAY(NN254),NN$4:NR$4,""),"")</f>
        <v/>
      </c>
      <c r="NV254" cm="1">
        <f t="array" ref="NV254:OE254">SUMIFS($J254:$GG254,$J$2:$GG$2,NV$3:OE$3)</f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 cm="1">
        <f t="array" ref="OF254">IFERROR(MAX((_xlfn.ANCHORARRAY(NV254)-AVERAGE(_xlfn.ANCHORARRAY(NV254)))/ AVERAGE(_xlfn.ANCHORARRAY(NV254))),0)</f>
        <v>0</v>
      </c>
      <c r="OG254" t="str" cm="1">
        <f t="array" ref="OG254">IF(OF254&gt;$OG$1,_xlfn.XLOOKUP(MAX(_xlfn.ANCHORARRAY(NV254)),_xlfn.ANCHORARRAY(NV254),NV$4:OE$4,""),"")</f>
        <v/>
      </c>
      <c r="OI254" t="str">
        <f t="shared" si="96"/>
        <v/>
      </c>
    </row>
    <row r="255" spans="2:399" x14ac:dyDescent="0.3">
      <c r="B255" s="2" t="str">
        <f t="shared" si="88"/>
        <v>CORE</v>
      </c>
      <c r="C255" s="2" t="str">
        <f t="shared" si="89"/>
        <v>CORE</v>
      </c>
      <c r="D255" s="2" t="str">
        <f t="shared" si="90"/>
        <v>CORE</v>
      </c>
      <c r="E255" s="2" t="str">
        <f t="shared" si="91"/>
        <v/>
      </c>
      <c r="F255" s="2">
        <f t="shared" si="92"/>
        <v>0</v>
      </c>
      <c r="G255" s="2">
        <f t="shared" si="93"/>
        <v>0</v>
      </c>
      <c r="H255" s="2">
        <f t="shared" si="94"/>
        <v>0</v>
      </c>
      <c r="I255" s="2">
        <f t="shared" si="95"/>
        <v>0</v>
      </c>
      <c r="NH255" cm="1">
        <f t="array" ref="NH255:NJ255">SUMIFS($J255:$GG255,$J$1:$GG$1,NH$3:NJ$3)</f>
        <v>0</v>
      </c>
      <c r="NI255">
        <v>0</v>
      </c>
      <c r="NJ255">
        <v>0</v>
      </c>
      <c r="NK255" cm="1">
        <f t="array" ref="NK255">IFERROR(MAX((_xlfn.ANCHORARRAY(NH255)-AVERAGE(_xlfn.ANCHORARRAY(NH255)))/ AVERAGE(_xlfn.ANCHORARRAY(NH255))),0)</f>
        <v>0</v>
      </c>
      <c r="NL255" t="str" cm="1">
        <f t="array" ref="NL255">IF(NK255&gt;$NL$1,_xlfn.XLOOKUP(MAX(_xlfn.ANCHORARRAY(NH255)),_xlfn.ANCHORARRAY(NH255),NH$4:NJ$4,""),"")</f>
        <v/>
      </c>
      <c r="NN255" cm="1">
        <f t="array" ref="NN255:NR255">SUMIFS($J255:$GG255,$J$3:$GG$3,NN$3:NR$3)</f>
        <v>0</v>
      </c>
      <c r="NO255">
        <v>0</v>
      </c>
      <c r="NP255">
        <v>0</v>
      </c>
      <c r="NQ255">
        <v>0</v>
      </c>
      <c r="NR255">
        <v>0</v>
      </c>
      <c r="NS255" cm="1">
        <f t="array" ref="NS255">IFERROR(MAX((_xlfn.ANCHORARRAY(NN255)-AVERAGE(_xlfn.ANCHORARRAY(NN255)))/ AVERAGE(_xlfn.ANCHORARRAY(NN255))),0)</f>
        <v>0</v>
      </c>
      <c r="NT255" t="str" cm="1">
        <f t="array" ref="NT255">IF(AND(NS255&gt;$NT$1,NL255&lt;&gt;""),_xlfn.XLOOKUP(MAX(_xlfn.ANCHORARRAY(NN255)),_xlfn.ANCHORARRAY(NN255),NN$4:NR$4,""),"")</f>
        <v/>
      </c>
      <c r="NV255" cm="1">
        <f t="array" ref="NV255:OE255">SUMIFS($J255:$GG255,$J$2:$GG$2,NV$3:OE$3)</f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 cm="1">
        <f t="array" ref="OF255">IFERROR(MAX((_xlfn.ANCHORARRAY(NV255)-AVERAGE(_xlfn.ANCHORARRAY(NV255)))/ AVERAGE(_xlfn.ANCHORARRAY(NV255))),0)</f>
        <v>0</v>
      </c>
      <c r="OG255" t="str" cm="1">
        <f t="array" ref="OG255">IF(OF255&gt;$OG$1,_xlfn.XLOOKUP(MAX(_xlfn.ANCHORARRAY(NV255)),_xlfn.ANCHORARRAY(NV255),NV$4:OE$4,""),"")</f>
        <v/>
      </c>
      <c r="OI255" t="str">
        <f t="shared" si="96"/>
        <v/>
      </c>
    </row>
    <row r="256" spans="2:399" x14ac:dyDescent="0.3">
      <c r="B256" s="2" t="str">
        <f t="shared" si="88"/>
        <v>CORE</v>
      </c>
      <c r="C256" s="2" t="str">
        <f t="shared" si="89"/>
        <v>CORE</v>
      </c>
      <c r="D256" s="2" t="str">
        <f t="shared" si="90"/>
        <v>CORE</v>
      </c>
      <c r="E256" s="2" t="str">
        <f t="shared" si="91"/>
        <v/>
      </c>
      <c r="F256" s="2">
        <f t="shared" si="92"/>
        <v>0</v>
      </c>
      <c r="G256" s="2">
        <f t="shared" si="93"/>
        <v>0</v>
      </c>
      <c r="H256" s="2">
        <f t="shared" si="94"/>
        <v>0</v>
      </c>
      <c r="I256" s="2">
        <f t="shared" si="95"/>
        <v>0</v>
      </c>
      <c r="NH256" cm="1">
        <f t="array" ref="NH256:NJ256">SUMIFS($J256:$GG256,$J$1:$GG$1,NH$3:NJ$3)</f>
        <v>0</v>
      </c>
      <c r="NI256">
        <v>0</v>
      </c>
      <c r="NJ256">
        <v>0</v>
      </c>
      <c r="NK256" cm="1">
        <f t="array" ref="NK256">IFERROR(MAX((_xlfn.ANCHORARRAY(NH256)-AVERAGE(_xlfn.ANCHORARRAY(NH256)))/ AVERAGE(_xlfn.ANCHORARRAY(NH256))),0)</f>
        <v>0</v>
      </c>
      <c r="NL256" t="str" cm="1">
        <f t="array" ref="NL256">IF(NK256&gt;$NL$1,_xlfn.XLOOKUP(MAX(_xlfn.ANCHORARRAY(NH256)),_xlfn.ANCHORARRAY(NH256),NH$4:NJ$4,""),"")</f>
        <v/>
      </c>
      <c r="NN256" cm="1">
        <f t="array" ref="NN256:NR256">SUMIFS($J256:$GG256,$J$3:$GG$3,NN$3:NR$3)</f>
        <v>0</v>
      </c>
      <c r="NO256">
        <v>0</v>
      </c>
      <c r="NP256">
        <v>0</v>
      </c>
      <c r="NQ256">
        <v>0</v>
      </c>
      <c r="NR256">
        <v>0</v>
      </c>
      <c r="NS256" cm="1">
        <f t="array" ref="NS256">IFERROR(MAX((_xlfn.ANCHORARRAY(NN256)-AVERAGE(_xlfn.ANCHORARRAY(NN256)))/ AVERAGE(_xlfn.ANCHORARRAY(NN256))),0)</f>
        <v>0</v>
      </c>
      <c r="NT256" t="str" cm="1">
        <f t="array" ref="NT256">IF(AND(NS256&gt;$NT$1,NL256&lt;&gt;""),_xlfn.XLOOKUP(MAX(_xlfn.ANCHORARRAY(NN256)),_xlfn.ANCHORARRAY(NN256),NN$4:NR$4,""),"")</f>
        <v/>
      </c>
      <c r="NV256" cm="1">
        <f t="array" ref="NV256:OE256">SUMIFS($J256:$GG256,$J$2:$GG$2,NV$3:OE$3)</f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 cm="1">
        <f t="array" ref="OF256">IFERROR(MAX((_xlfn.ANCHORARRAY(NV256)-AVERAGE(_xlfn.ANCHORARRAY(NV256)))/ AVERAGE(_xlfn.ANCHORARRAY(NV256))),0)</f>
        <v>0</v>
      </c>
      <c r="OG256" t="str" cm="1">
        <f t="array" ref="OG256">IF(OF256&gt;$OG$1,_xlfn.XLOOKUP(MAX(_xlfn.ANCHORARRAY(NV256)),_xlfn.ANCHORARRAY(NV256),NV$4:OE$4,""),"")</f>
        <v/>
      </c>
      <c r="OI256" t="str">
        <f t="shared" si="96"/>
        <v/>
      </c>
    </row>
    <row r="257" spans="2:399" x14ac:dyDescent="0.3">
      <c r="B257" s="2" t="str">
        <f t="shared" si="88"/>
        <v>CORE</v>
      </c>
      <c r="C257" s="2" t="str">
        <f t="shared" si="89"/>
        <v>CORE</v>
      </c>
      <c r="D257" s="2" t="str">
        <f t="shared" si="90"/>
        <v>CORE</v>
      </c>
      <c r="E257" s="2" t="str">
        <f t="shared" si="91"/>
        <v/>
      </c>
      <c r="F257" s="2">
        <f t="shared" si="92"/>
        <v>0</v>
      </c>
      <c r="G257" s="2">
        <f t="shared" si="93"/>
        <v>0</v>
      </c>
      <c r="H257" s="2">
        <f t="shared" si="94"/>
        <v>0</v>
      </c>
      <c r="I257" s="2">
        <f t="shared" si="95"/>
        <v>0</v>
      </c>
      <c r="NH257" cm="1">
        <f t="array" ref="NH257:NJ257">SUMIFS($J257:$GG257,$J$1:$GG$1,NH$3:NJ$3)</f>
        <v>0</v>
      </c>
      <c r="NI257">
        <v>0</v>
      </c>
      <c r="NJ257">
        <v>0</v>
      </c>
      <c r="NK257" cm="1">
        <f t="array" ref="NK257">IFERROR(MAX((_xlfn.ANCHORARRAY(NH257)-AVERAGE(_xlfn.ANCHORARRAY(NH257)))/ AVERAGE(_xlfn.ANCHORARRAY(NH257))),0)</f>
        <v>0</v>
      </c>
      <c r="NL257" t="str" cm="1">
        <f t="array" ref="NL257">IF(NK257&gt;$NL$1,_xlfn.XLOOKUP(MAX(_xlfn.ANCHORARRAY(NH257)),_xlfn.ANCHORARRAY(NH257),NH$4:NJ$4,""),"")</f>
        <v/>
      </c>
      <c r="NN257" cm="1">
        <f t="array" ref="NN257:NR257">SUMIFS($J257:$GG257,$J$3:$GG$3,NN$3:NR$3)</f>
        <v>0</v>
      </c>
      <c r="NO257">
        <v>0</v>
      </c>
      <c r="NP257">
        <v>0</v>
      </c>
      <c r="NQ257">
        <v>0</v>
      </c>
      <c r="NR257">
        <v>0</v>
      </c>
      <c r="NS257" cm="1">
        <f t="array" ref="NS257">IFERROR(MAX((_xlfn.ANCHORARRAY(NN257)-AVERAGE(_xlfn.ANCHORARRAY(NN257)))/ AVERAGE(_xlfn.ANCHORARRAY(NN257))),0)</f>
        <v>0</v>
      </c>
      <c r="NT257" t="str" cm="1">
        <f t="array" ref="NT257">IF(AND(NS257&gt;$NT$1,NL257&lt;&gt;""),_xlfn.XLOOKUP(MAX(_xlfn.ANCHORARRAY(NN257)),_xlfn.ANCHORARRAY(NN257),NN$4:NR$4,""),"")</f>
        <v/>
      </c>
      <c r="NV257" cm="1">
        <f t="array" ref="NV257:OE257">SUMIFS($J257:$GG257,$J$2:$GG$2,NV$3:OE$3)</f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 cm="1">
        <f t="array" ref="OF257">IFERROR(MAX((_xlfn.ANCHORARRAY(NV257)-AVERAGE(_xlfn.ANCHORARRAY(NV257)))/ AVERAGE(_xlfn.ANCHORARRAY(NV257))),0)</f>
        <v>0</v>
      </c>
      <c r="OG257" t="str" cm="1">
        <f t="array" ref="OG257">IF(OF257&gt;$OG$1,_xlfn.XLOOKUP(MAX(_xlfn.ANCHORARRAY(NV257)),_xlfn.ANCHORARRAY(NV257),NV$4:OE$4,""),"")</f>
        <v/>
      </c>
      <c r="OI257" t="str">
        <f t="shared" si="96"/>
        <v/>
      </c>
    </row>
    <row r="258" spans="2:399" x14ac:dyDescent="0.3">
      <c r="B258" s="2" t="str">
        <f t="shared" si="88"/>
        <v>CORE</v>
      </c>
      <c r="C258" s="2" t="str">
        <f t="shared" si="89"/>
        <v>CORE</v>
      </c>
      <c r="D258" s="2" t="str">
        <f t="shared" si="90"/>
        <v>CORE</v>
      </c>
      <c r="E258" s="2" t="str">
        <f t="shared" si="91"/>
        <v/>
      </c>
      <c r="F258" s="2">
        <f t="shared" si="92"/>
        <v>0</v>
      </c>
      <c r="G258" s="2">
        <f t="shared" si="93"/>
        <v>0</v>
      </c>
      <c r="H258" s="2">
        <f t="shared" si="94"/>
        <v>0</v>
      </c>
      <c r="I258" s="2">
        <f t="shared" si="95"/>
        <v>0</v>
      </c>
      <c r="NH258" cm="1">
        <f t="array" ref="NH258:NJ258">SUMIFS($J258:$GG258,$J$1:$GG$1,NH$3:NJ$3)</f>
        <v>0</v>
      </c>
      <c r="NI258">
        <v>0</v>
      </c>
      <c r="NJ258">
        <v>0</v>
      </c>
      <c r="NK258" cm="1">
        <f t="array" ref="NK258">IFERROR(MAX((_xlfn.ANCHORARRAY(NH258)-AVERAGE(_xlfn.ANCHORARRAY(NH258)))/ AVERAGE(_xlfn.ANCHORARRAY(NH258))),0)</f>
        <v>0</v>
      </c>
      <c r="NL258" t="str" cm="1">
        <f t="array" ref="NL258">IF(NK258&gt;$NL$1,_xlfn.XLOOKUP(MAX(_xlfn.ANCHORARRAY(NH258)),_xlfn.ANCHORARRAY(NH258),NH$4:NJ$4,""),"")</f>
        <v/>
      </c>
      <c r="NN258" cm="1">
        <f t="array" ref="NN258:NR258">SUMIFS($J258:$GG258,$J$3:$GG$3,NN$3:NR$3)</f>
        <v>0</v>
      </c>
      <c r="NO258">
        <v>0</v>
      </c>
      <c r="NP258">
        <v>0</v>
      </c>
      <c r="NQ258">
        <v>0</v>
      </c>
      <c r="NR258">
        <v>0</v>
      </c>
      <c r="NS258" cm="1">
        <f t="array" ref="NS258">IFERROR(MAX((_xlfn.ANCHORARRAY(NN258)-AVERAGE(_xlfn.ANCHORARRAY(NN258)))/ AVERAGE(_xlfn.ANCHORARRAY(NN258))),0)</f>
        <v>0</v>
      </c>
      <c r="NT258" t="str" cm="1">
        <f t="array" ref="NT258">IF(AND(NS258&gt;$NT$1,NL258&lt;&gt;""),_xlfn.XLOOKUP(MAX(_xlfn.ANCHORARRAY(NN258)),_xlfn.ANCHORARRAY(NN258),NN$4:NR$4,""),"")</f>
        <v/>
      </c>
      <c r="NV258" cm="1">
        <f t="array" ref="NV258:OE258">SUMIFS($J258:$GG258,$J$2:$GG$2,NV$3:OE$3)</f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 cm="1">
        <f t="array" ref="OF258">IFERROR(MAX((_xlfn.ANCHORARRAY(NV258)-AVERAGE(_xlfn.ANCHORARRAY(NV258)))/ AVERAGE(_xlfn.ANCHORARRAY(NV258))),0)</f>
        <v>0</v>
      </c>
      <c r="OG258" t="str" cm="1">
        <f t="array" ref="OG258">IF(OF258&gt;$OG$1,_xlfn.XLOOKUP(MAX(_xlfn.ANCHORARRAY(NV258)),_xlfn.ANCHORARRAY(NV258),NV$4:OE$4,""),"")</f>
        <v/>
      </c>
      <c r="OI258" t="str">
        <f t="shared" si="96"/>
        <v/>
      </c>
    </row>
    <row r="259" spans="2:399" x14ac:dyDescent="0.3">
      <c r="B259" s="2" t="str">
        <f t="shared" si="88"/>
        <v>CORE</v>
      </c>
      <c r="C259" s="2" t="str">
        <f t="shared" si="89"/>
        <v>CORE</v>
      </c>
      <c r="D259" s="2" t="str">
        <f t="shared" si="90"/>
        <v>CORE</v>
      </c>
      <c r="E259" s="2" t="str">
        <f t="shared" si="91"/>
        <v/>
      </c>
      <c r="F259" s="2">
        <f t="shared" si="92"/>
        <v>0</v>
      </c>
      <c r="G259" s="2">
        <f t="shared" si="93"/>
        <v>0</v>
      </c>
      <c r="H259" s="2">
        <f t="shared" si="94"/>
        <v>0</v>
      </c>
      <c r="I259" s="2">
        <f t="shared" si="95"/>
        <v>0</v>
      </c>
      <c r="NH259" cm="1">
        <f t="array" ref="NH259:NJ259">SUMIFS($J259:$GG259,$J$1:$GG$1,NH$3:NJ$3)</f>
        <v>0</v>
      </c>
      <c r="NI259">
        <v>0</v>
      </c>
      <c r="NJ259">
        <v>0</v>
      </c>
      <c r="NK259" cm="1">
        <f t="array" ref="NK259">IFERROR(MAX((_xlfn.ANCHORARRAY(NH259)-AVERAGE(_xlfn.ANCHORARRAY(NH259)))/ AVERAGE(_xlfn.ANCHORARRAY(NH259))),0)</f>
        <v>0</v>
      </c>
      <c r="NL259" t="str" cm="1">
        <f t="array" ref="NL259">IF(NK259&gt;$NL$1,_xlfn.XLOOKUP(MAX(_xlfn.ANCHORARRAY(NH259)),_xlfn.ANCHORARRAY(NH259),NH$4:NJ$4,""),"")</f>
        <v/>
      </c>
      <c r="NN259" cm="1">
        <f t="array" ref="NN259:NR259">SUMIFS($J259:$GG259,$J$3:$GG$3,NN$3:NR$3)</f>
        <v>0</v>
      </c>
      <c r="NO259">
        <v>0</v>
      </c>
      <c r="NP259">
        <v>0</v>
      </c>
      <c r="NQ259">
        <v>0</v>
      </c>
      <c r="NR259">
        <v>0</v>
      </c>
      <c r="NS259" cm="1">
        <f t="array" ref="NS259">IFERROR(MAX((_xlfn.ANCHORARRAY(NN259)-AVERAGE(_xlfn.ANCHORARRAY(NN259)))/ AVERAGE(_xlfn.ANCHORARRAY(NN259))),0)</f>
        <v>0</v>
      </c>
      <c r="NT259" t="str" cm="1">
        <f t="array" ref="NT259">IF(AND(NS259&gt;$NT$1,NL259&lt;&gt;""),_xlfn.XLOOKUP(MAX(_xlfn.ANCHORARRAY(NN259)),_xlfn.ANCHORARRAY(NN259),NN$4:NR$4,""),"")</f>
        <v/>
      </c>
      <c r="NV259" cm="1">
        <f t="array" ref="NV259:OE259">SUMIFS($J259:$GG259,$J$2:$GG$2,NV$3:OE$3)</f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 cm="1">
        <f t="array" ref="OF259">IFERROR(MAX((_xlfn.ANCHORARRAY(NV259)-AVERAGE(_xlfn.ANCHORARRAY(NV259)))/ AVERAGE(_xlfn.ANCHORARRAY(NV259))),0)</f>
        <v>0</v>
      </c>
      <c r="OG259" t="str" cm="1">
        <f t="array" ref="OG259">IF(OF259&gt;$OG$1,_xlfn.XLOOKUP(MAX(_xlfn.ANCHORARRAY(NV259)),_xlfn.ANCHORARRAY(NV259),NV$4:OE$4,""),"")</f>
        <v/>
      </c>
      <c r="OI259" t="str">
        <f t="shared" si="96"/>
        <v/>
      </c>
    </row>
    <row r="260" spans="2:399" x14ac:dyDescent="0.3">
      <c r="B260" s="2" t="str">
        <f t="shared" ref="B260:B280" si="97">IF(C260="NotFound",D260,C260)</f>
        <v>CORE</v>
      </c>
      <c r="C260" s="2" t="str">
        <f t="shared" ref="C260:C280" si="98">IF(H260&gt;1,"NotFound","CORE"&amp;_xlfn.XLOOKUP(MAX(J260:GG260,1),J260:GG260,$J$4:$GG$4,""))</f>
        <v>CORE</v>
      </c>
      <c r="D260" s="2" t="str">
        <f t="shared" ref="D260:D280" si="99">IF(F260&gt;1,"NotFound","CORE"&amp;_xlfn.XLOOKUP(MAX(GI260:NF260,1),GI260:NF260,$GI$4:$NF$4,""))</f>
        <v>CORE</v>
      </c>
      <c r="E260" s="2" t="str">
        <f t="shared" ref="E260:E280" si="100">OI260</f>
        <v/>
      </c>
      <c r="F260" s="2">
        <f t="shared" ref="F260:F280" si="101">COUNTIF(GI260:NF260,G260)</f>
        <v>0</v>
      </c>
      <c r="G260" s="2">
        <f t="shared" ref="G260:G280" si="102">MAX(GI260:NF260)</f>
        <v>0</v>
      </c>
      <c r="H260" s="2">
        <f t="shared" ref="H260:H280" si="103">COUNTIF(J260:GG260,I260)</f>
        <v>0</v>
      </c>
      <c r="I260" s="2">
        <f t="shared" ref="I260:I280" si="104">MAX(J260:GG260)</f>
        <v>0</v>
      </c>
      <c r="NH260" cm="1">
        <f t="array" ref="NH260:NJ260">SUMIFS($J260:$GG260,$J$1:$GG$1,NH$3:NJ$3)</f>
        <v>0</v>
      </c>
      <c r="NI260">
        <v>0</v>
      </c>
      <c r="NJ260">
        <v>0</v>
      </c>
      <c r="NK260" cm="1">
        <f t="array" ref="NK260">IFERROR(MAX((_xlfn.ANCHORARRAY(NH260)-AVERAGE(_xlfn.ANCHORARRAY(NH260)))/ AVERAGE(_xlfn.ANCHORARRAY(NH260))),0)</f>
        <v>0</v>
      </c>
      <c r="NL260" t="str" cm="1">
        <f t="array" ref="NL260">IF(NK260&gt;$NL$1,_xlfn.XLOOKUP(MAX(_xlfn.ANCHORARRAY(NH260)),_xlfn.ANCHORARRAY(NH260),NH$4:NJ$4,""),"")</f>
        <v/>
      </c>
      <c r="NN260" cm="1">
        <f t="array" ref="NN260:NR260">SUMIFS($J260:$GG260,$J$3:$GG$3,NN$3:NR$3)</f>
        <v>0</v>
      </c>
      <c r="NO260">
        <v>0</v>
      </c>
      <c r="NP260">
        <v>0</v>
      </c>
      <c r="NQ260">
        <v>0</v>
      </c>
      <c r="NR260">
        <v>0</v>
      </c>
      <c r="NS260" cm="1">
        <f t="array" ref="NS260">IFERROR(MAX((_xlfn.ANCHORARRAY(NN260)-AVERAGE(_xlfn.ANCHORARRAY(NN260)))/ AVERAGE(_xlfn.ANCHORARRAY(NN260))),0)</f>
        <v>0</v>
      </c>
      <c r="NT260" t="str" cm="1">
        <f t="array" ref="NT260">IF(AND(NS260&gt;$NT$1,NL260&lt;&gt;""),_xlfn.XLOOKUP(MAX(_xlfn.ANCHORARRAY(NN260)),_xlfn.ANCHORARRAY(NN260),NN$4:NR$4,""),"")</f>
        <v/>
      </c>
      <c r="NV260" cm="1">
        <f t="array" ref="NV260:OE260">SUMIFS($J260:$GG260,$J$2:$GG$2,NV$3:OE$3)</f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 cm="1">
        <f t="array" ref="OF260">IFERROR(MAX((_xlfn.ANCHORARRAY(NV260)-AVERAGE(_xlfn.ANCHORARRAY(NV260)))/ AVERAGE(_xlfn.ANCHORARRAY(NV260))),0)</f>
        <v>0</v>
      </c>
      <c r="OG260" t="str" cm="1">
        <f t="array" ref="OG260">IF(OF260&gt;$OG$1,_xlfn.XLOOKUP(MAX(_xlfn.ANCHORARRAY(NV260)),_xlfn.ANCHORARRAY(NV260),NV$4:OE$4,""),"")</f>
        <v/>
      </c>
      <c r="OI260" t="str">
        <f t="shared" ref="OI260:OI280" si="105">_xlfn.TEXTJOIN(" : ",,NL260,NT260,OG260)</f>
        <v/>
      </c>
    </row>
    <row r="261" spans="2:399" x14ac:dyDescent="0.3">
      <c r="B261" s="2" t="str">
        <f t="shared" si="97"/>
        <v>CORE</v>
      </c>
      <c r="C261" s="2" t="str">
        <f t="shared" si="98"/>
        <v>CORE</v>
      </c>
      <c r="D261" s="2" t="str">
        <f t="shared" si="99"/>
        <v>CORE</v>
      </c>
      <c r="E261" s="2" t="str">
        <f t="shared" si="100"/>
        <v/>
      </c>
      <c r="F261" s="2">
        <f t="shared" si="101"/>
        <v>0</v>
      </c>
      <c r="G261" s="2">
        <f t="shared" si="102"/>
        <v>0</v>
      </c>
      <c r="H261" s="2">
        <f t="shared" si="103"/>
        <v>0</v>
      </c>
      <c r="I261" s="2">
        <f t="shared" si="104"/>
        <v>0</v>
      </c>
      <c r="NH261" cm="1">
        <f t="array" ref="NH261:NJ261">SUMIFS($J261:$GG261,$J$1:$GG$1,NH$3:NJ$3)</f>
        <v>0</v>
      </c>
      <c r="NI261">
        <v>0</v>
      </c>
      <c r="NJ261">
        <v>0</v>
      </c>
      <c r="NK261" cm="1">
        <f t="array" ref="NK261">IFERROR(MAX((_xlfn.ANCHORARRAY(NH261)-AVERAGE(_xlfn.ANCHORARRAY(NH261)))/ AVERAGE(_xlfn.ANCHORARRAY(NH261))),0)</f>
        <v>0</v>
      </c>
      <c r="NL261" t="str" cm="1">
        <f t="array" ref="NL261">IF(NK261&gt;$NL$1,_xlfn.XLOOKUP(MAX(_xlfn.ANCHORARRAY(NH261)),_xlfn.ANCHORARRAY(NH261),NH$4:NJ$4,""),"")</f>
        <v/>
      </c>
      <c r="NN261" cm="1">
        <f t="array" ref="NN261:NR261">SUMIFS($J261:$GG261,$J$3:$GG$3,NN$3:NR$3)</f>
        <v>0</v>
      </c>
      <c r="NO261">
        <v>0</v>
      </c>
      <c r="NP261">
        <v>0</v>
      </c>
      <c r="NQ261">
        <v>0</v>
      </c>
      <c r="NR261">
        <v>0</v>
      </c>
      <c r="NS261" cm="1">
        <f t="array" ref="NS261">IFERROR(MAX((_xlfn.ANCHORARRAY(NN261)-AVERAGE(_xlfn.ANCHORARRAY(NN261)))/ AVERAGE(_xlfn.ANCHORARRAY(NN261))),0)</f>
        <v>0</v>
      </c>
      <c r="NT261" t="str" cm="1">
        <f t="array" ref="NT261">IF(AND(NS261&gt;$NT$1,NL261&lt;&gt;""),_xlfn.XLOOKUP(MAX(_xlfn.ANCHORARRAY(NN261)),_xlfn.ANCHORARRAY(NN261),NN$4:NR$4,""),"")</f>
        <v/>
      </c>
      <c r="NV261" cm="1">
        <f t="array" ref="NV261:OE261">SUMIFS($J261:$GG261,$J$2:$GG$2,NV$3:OE$3)</f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 cm="1">
        <f t="array" ref="OF261">IFERROR(MAX((_xlfn.ANCHORARRAY(NV261)-AVERAGE(_xlfn.ANCHORARRAY(NV261)))/ AVERAGE(_xlfn.ANCHORARRAY(NV261))),0)</f>
        <v>0</v>
      </c>
      <c r="OG261" t="str" cm="1">
        <f t="array" ref="OG261">IF(OF261&gt;$OG$1,_xlfn.XLOOKUP(MAX(_xlfn.ANCHORARRAY(NV261)),_xlfn.ANCHORARRAY(NV261),NV$4:OE$4,""),"")</f>
        <v/>
      </c>
      <c r="OI261" t="str">
        <f t="shared" si="105"/>
        <v/>
      </c>
    </row>
    <row r="262" spans="2:399" x14ac:dyDescent="0.3">
      <c r="B262" s="2" t="str">
        <f t="shared" si="97"/>
        <v>CORE</v>
      </c>
      <c r="C262" s="2" t="str">
        <f t="shared" si="98"/>
        <v>CORE</v>
      </c>
      <c r="D262" s="2" t="str">
        <f t="shared" si="99"/>
        <v>CORE</v>
      </c>
      <c r="E262" s="2" t="str">
        <f t="shared" si="100"/>
        <v/>
      </c>
      <c r="F262" s="2">
        <f t="shared" si="101"/>
        <v>0</v>
      </c>
      <c r="G262" s="2">
        <f t="shared" si="102"/>
        <v>0</v>
      </c>
      <c r="H262" s="2">
        <f t="shared" si="103"/>
        <v>0</v>
      </c>
      <c r="I262" s="2">
        <f t="shared" si="104"/>
        <v>0</v>
      </c>
      <c r="NH262" cm="1">
        <f t="array" ref="NH262:NJ262">SUMIFS($J262:$GG262,$J$1:$GG$1,NH$3:NJ$3)</f>
        <v>0</v>
      </c>
      <c r="NI262">
        <v>0</v>
      </c>
      <c r="NJ262">
        <v>0</v>
      </c>
      <c r="NK262" cm="1">
        <f t="array" ref="NK262">IFERROR(MAX((_xlfn.ANCHORARRAY(NH262)-AVERAGE(_xlfn.ANCHORARRAY(NH262)))/ AVERAGE(_xlfn.ANCHORARRAY(NH262))),0)</f>
        <v>0</v>
      </c>
      <c r="NL262" t="str" cm="1">
        <f t="array" ref="NL262">IF(NK262&gt;$NL$1,_xlfn.XLOOKUP(MAX(_xlfn.ANCHORARRAY(NH262)),_xlfn.ANCHORARRAY(NH262),NH$4:NJ$4,""),"")</f>
        <v/>
      </c>
      <c r="NN262" cm="1">
        <f t="array" ref="NN262:NR262">SUMIFS($J262:$GG262,$J$3:$GG$3,NN$3:NR$3)</f>
        <v>0</v>
      </c>
      <c r="NO262">
        <v>0</v>
      </c>
      <c r="NP262">
        <v>0</v>
      </c>
      <c r="NQ262">
        <v>0</v>
      </c>
      <c r="NR262">
        <v>0</v>
      </c>
      <c r="NS262" cm="1">
        <f t="array" ref="NS262">IFERROR(MAX((_xlfn.ANCHORARRAY(NN262)-AVERAGE(_xlfn.ANCHORARRAY(NN262)))/ AVERAGE(_xlfn.ANCHORARRAY(NN262))),0)</f>
        <v>0</v>
      </c>
      <c r="NT262" t="str" cm="1">
        <f t="array" ref="NT262">IF(AND(NS262&gt;$NT$1,NL262&lt;&gt;""),_xlfn.XLOOKUP(MAX(_xlfn.ANCHORARRAY(NN262)),_xlfn.ANCHORARRAY(NN262),NN$4:NR$4,""),"")</f>
        <v/>
      </c>
      <c r="NV262" cm="1">
        <f t="array" ref="NV262:OE262">SUMIFS($J262:$GG262,$J$2:$GG$2,NV$3:OE$3)</f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 cm="1">
        <f t="array" ref="OF262">IFERROR(MAX((_xlfn.ANCHORARRAY(NV262)-AVERAGE(_xlfn.ANCHORARRAY(NV262)))/ AVERAGE(_xlfn.ANCHORARRAY(NV262))),0)</f>
        <v>0</v>
      </c>
      <c r="OG262" t="str" cm="1">
        <f t="array" ref="OG262">IF(OF262&gt;$OG$1,_xlfn.XLOOKUP(MAX(_xlfn.ANCHORARRAY(NV262)),_xlfn.ANCHORARRAY(NV262),NV$4:OE$4,""),"")</f>
        <v/>
      </c>
      <c r="OI262" t="str">
        <f t="shared" si="105"/>
        <v/>
      </c>
    </row>
    <row r="263" spans="2:399" x14ac:dyDescent="0.3">
      <c r="B263" s="2" t="str">
        <f t="shared" si="97"/>
        <v>CORE</v>
      </c>
      <c r="C263" s="2" t="str">
        <f t="shared" si="98"/>
        <v>CORE</v>
      </c>
      <c r="D263" s="2" t="str">
        <f t="shared" si="99"/>
        <v>CORE</v>
      </c>
      <c r="E263" s="2" t="str">
        <f t="shared" si="100"/>
        <v/>
      </c>
      <c r="F263" s="2">
        <f t="shared" si="101"/>
        <v>0</v>
      </c>
      <c r="G263" s="2">
        <f t="shared" si="102"/>
        <v>0</v>
      </c>
      <c r="H263" s="2">
        <f t="shared" si="103"/>
        <v>0</v>
      </c>
      <c r="I263" s="2">
        <f t="shared" si="104"/>
        <v>0</v>
      </c>
      <c r="NH263" cm="1">
        <f t="array" ref="NH263:NJ263">SUMIFS($J263:$GG263,$J$1:$GG$1,NH$3:NJ$3)</f>
        <v>0</v>
      </c>
      <c r="NI263">
        <v>0</v>
      </c>
      <c r="NJ263">
        <v>0</v>
      </c>
      <c r="NK263" cm="1">
        <f t="array" ref="NK263">IFERROR(MAX((_xlfn.ANCHORARRAY(NH263)-AVERAGE(_xlfn.ANCHORARRAY(NH263)))/ AVERAGE(_xlfn.ANCHORARRAY(NH263))),0)</f>
        <v>0</v>
      </c>
      <c r="NL263" t="str" cm="1">
        <f t="array" ref="NL263">IF(NK263&gt;$NL$1,_xlfn.XLOOKUP(MAX(_xlfn.ANCHORARRAY(NH263)),_xlfn.ANCHORARRAY(NH263),NH$4:NJ$4,""),"")</f>
        <v/>
      </c>
      <c r="NN263" cm="1">
        <f t="array" ref="NN263:NR263">SUMIFS($J263:$GG263,$J$3:$GG$3,NN$3:NR$3)</f>
        <v>0</v>
      </c>
      <c r="NO263">
        <v>0</v>
      </c>
      <c r="NP263">
        <v>0</v>
      </c>
      <c r="NQ263">
        <v>0</v>
      </c>
      <c r="NR263">
        <v>0</v>
      </c>
      <c r="NS263" cm="1">
        <f t="array" ref="NS263">IFERROR(MAX((_xlfn.ANCHORARRAY(NN263)-AVERAGE(_xlfn.ANCHORARRAY(NN263)))/ AVERAGE(_xlfn.ANCHORARRAY(NN263))),0)</f>
        <v>0</v>
      </c>
      <c r="NT263" t="str" cm="1">
        <f t="array" ref="NT263">IF(AND(NS263&gt;$NT$1,NL263&lt;&gt;""),_xlfn.XLOOKUP(MAX(_xlfn.ANCHORARRAY(NN263)),_xlfn.ANCHORARRAY(NN263),NN$4:NR$4,""),"")</f>
        <v/>
      </c>
      <c r="NV263" cm="1">
        <f t="array" ref="NV263:OE263">SUMIFS($J263:$GG263,$J$2:$GG$2,NV$3:OE$3)</f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 cm="1">
        <f t="array" ref="OF263">IFERROR(MAX((_xlfn.ANCHORARRAY(NV263)-AVERAGE(_xlfn.ANCHORARRAY(NV263)))/ AVERAGE(_xlfn.ANCHORARRAY(NV263))),0)</f>
        <v>0</v>
      </c>
      <c r="OG263" t="str" cm="1">
        <f t="array" ref="OG263">IF(OF263&gt;$OG$1,_xlfn.XLOOKUP(MAX(_xlfn.ANCHORARRAY(NV263)),_xlfn.ANCHORARRAY(NV263),NV$4:OE$4,""),"")</f>
        <v/>
      </c>
      <c r="OI263" t="str">
        <f t="shared" si="105"/>
        <v/>
      </c>
    </row>
    <row r="264" spans="2:399" x14ac:dyDescent="0.3">
      <c r="B264" s="2" t="str">
        <f t="shared" si="97"/>
        <v>CORE</v>
      </c>
      <c r="C264" s="2" t="str">
        <f t="shared" si="98"/>
        <v>CORE</v>
      </c>
      <c r="D264" s="2" t="str">
        <f t="shared" si="99"/>
        <v>CORE</v>
      </c>
      <c r="E264" s="2" t="str">
        <f t="shared" si="100"/>
        <v/>
      </c>
      <c r="F264" s="2">
        <f t="shared" si="101"/>
        <v>0</v>
      </c>
      <c r="G264" s="2">
        <f t="shared" si="102"/>
        <v>0</v>
      </c>
      <c r="H264" s="2">
        <f t="shared" si="103"/>
        <v>0</v>
      </c>
      <c r="I264" s="2">
        <f t="shared" si="104"/>
        <v>0</v>
      </c>
      <c r="NH264" cm="1">
        <f t="array" ref="NH264:NJ264">SUMIFS($J264:$GG264,$J$1:$GG$1,NH$3:NJ$3)</f>
        <v>0</v>
      </c>
      <c r="NI264">
        <v>0</v>
      </c>
      <c r="NJ264">
        <v>0</v>
      </c>
      <c r="NK264" cm="1">
        <f t="array" ref="NK264">IFERROR(MAX((_xlfn.ANCHORARRAY(NH264)-AVERAGE(_xlfn.ANCHORARRAY(NH264)))/ AVERAGE(_xlfn.ANCHORARRAY(NH264))),0)</f>
        <v>0</v>
      </c>
      <c r="NL264" t="str" cm="1">
        <f t="array" ref="NL264">IF(NK264&gt;$NL$1,_xlfn.XLOOKUP(MAX(_xlfn.ANCHORARRAY(NH264)),_xlfn.ANCHORARRAY(NH264),NH$4:NJ$4,""),"")</f>
        <v/>
      </c>
      <c r="NN264" cm="1">
        <f t="array" ref="NN264:NR264">SUMIFS($J264:$GG264,$J$3:$GG$3,NN$3:NR$3)</f>
        <v>0</v>
      </c>
      <c r="NO264">
        <v>0</v>
      </c>
      <c r="NP264">
        <v>0</v>
      </c>
      <c r="NQ264">
        <v>0</v>
      </c>
      <c r="NR264">
        <v>0</v>
      </c>
      <c r="NS264" cm="1">
        <f t="array" ref="NS264">IFERROR(MAX((_xlfn.ANCHORARRAY(NN264)-AVERAGE(_xlfn.ANCHORARRAY(NN264)))/ AVERAGE(_xlfn.ANCHORARRAY(NN264))),0)</f>
        <v>0</v>
      </c>
      <c r="NT264" t="str" cm="1">
        <f t="array" ref="NT264">IF(AND(NS264&gt;$NT$1,NL264&lt;&gt;""),_xlfn.XLOOKUP(MAX(_xlfn.ANCHORARRAY(NN264)),_xlfn.ANCHORARRAY(NN264),NN$4:NR$4,""),"")</f>
        <v/>
      </c>
      <c r="NV264" cm="1">
        <f t="array" ref="NV264:OE264">SUMIFS($J264:$GG264,$J$2:$GG$2,NV$3:OE$3)</f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 cm="1">
        <f t="array" ref="OF264">IFERROR(MAX((_xlfn.ANCHORARRAY(NV264)-AVERAGE(_xlfn.ANCHORARRAY(NV264)))/ AVERAGE(_xlfn.ANCHORARRAY(NV264))),0)</f>
        <v>0</v>
      </c>
      <c r="OG264" t="str" cm="1">
        <f t="array" ref="OG264">IF(OF264&gt;$OG$1,_xlfn.XLOOKUP(MAX(_xlfn.ANCHORARRAY(NV264)),_xlfn.ANCHORARRAY(NV264),NV$4:OE$4,""),"")</f>
        <v/>
      </c>
      <c r="OI264" t="str">
        <f t="shared" si="105"/>
        <v/>
      </c>
    </row>
    <row r="265" spans="2:399" x14ac:dyDescent="0.3">
      <c r="B265" s="2" t="str">
        <f t="shared" si="97"/>
        <v>CORE</v>
      </c>
      <c r="C265" s="2" t="str">
        <f t="shared" si="98"/>
        <v>CORE</v>
      </c>
      <c r="D265" s="2" t="str">
        <f t="shared" si="99"/>
        <v>CORE</v>
      </c>
      <c r="E265" s="2" t="str">
        <f t="shared" si="100"/>
        <v/>
      </c>
      <c r="F265" s="2">
        <f t="shared" si="101"/>
        <v>0</v>
      </c>
      <c r="G265" s="2">
        <f t="shared" si="102"/>
        <v>0</v>
      </c>
      <c r="H265" s="2">
        <f t="shared" si="103"/>
        <v>0</v>
      </c>
      <c r="I265" s="2">
        <f t="shared" si="104"/>
        <v>0</v>
      </c>
      <c r="NH265" cm="1">
        <f t="array" ref="NH265:NJ265">SUMIFS($J265:$GG265,$J$1:$GG$1,NH$3:NJ$3)</f>
        <v>0</v>
      </c>
      <c r="NI265">
        <v>0</v>
      </c>
      <c r="NJ265">
        <v>0</v>
      </c>
      <c r="NK265" cm="1">
        <f t="array" ref="NK265">IFERROR(MAX((_xlfn.ANCHORARRAY(NH265)-AVERAGE(_xlfn.ANCHORARRAY(NH265)))/ AVERAGE(_xlfn.ANCHORARRAY(NH265))),0)</f>
        <v>0</v>
      </c>
      <c r="NL265" t="str" cm="1">
        <f t="array" ref="NL265">IF(NK265&gt;$NL$1,_xlfn.XLOOKUP(MAX(_xlfn.ANCHORARRAY(NH265)),_xlfn.ANCHORARRAY(NH265),NH$4:NJ$4,""),"")</f>
        <v/>
      </c>
      <c r="NN265" cm="1">
        <f t="array" ref="NN265:NR265">SUMIFS($J265:$GG265,$J$3:$GG$3,NN$3:NR$3)</f>
        <v>0</v>
      </c>
      <c r="NO265">
        <v>0</v>
      </c>
      <c r="NP265">
        <v>0</v>
      </c>
      <c r="NQ265">
        <v>0</v>
      </c>
      <c r="NR265">
        <v>0</v>
      </c>
      <c r="NS265" cm="1">
        <f t="array" ref="NS265">IFERROR(MAX((_xlfn.ANCHORARRAY(NN265)-AVERAGE(_xlfn.ANCHORARRAY(NN265)))/ AVERAGE(_xlfn.ANCHORARRAY(NN265))),0)</f>
        <v>0</v>
      </c>
      <c r="NT265" t="str" cm="1">
        <f t="array" ref="NT265">IF(AND(NS265&gt;$NT$1,NL265&lt;&gt;""),_xlfn.XLOOKUP(MAX(_xlfn.ANCHORARRAY(NN265)),_xlfn.ANCHORARRAY(NN265),NN$4:NR$4,""),"")</f>
        <v/>
      </c>
      <c r="NV265" cm="1">
        <f t="array" ref="NV265:OE265">SUMIFS($J265:$GG265,$J$2:$GG$2,NV$3:OE$3)</f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 cm="1">
        <f t="array" ref="OF265">IFERROR(MAX((_xlfn.ANCHORARRAY(NV265)-AVERAGE(_xlfn.ANCHORARRAY(NV265)))/ AVERAGE(_xlfn.ANCHORARRAY(NV265))),0)</f>
        <v>0</v>
      </c>
      <c r="OG265" t="str" cm="1">
        <f t="array" ref="OG265">IF(OF265&gt;$OG$1,_xlfn.XLOOKUP(MAX(_xlfn.ANCHORARRAY(NV265)),_xlfn.ANCHORARRAY(NV265),NV$4:OE$4,""),"")</f>
        <v/>
      </c>
      <c r="OI265" t="str">
        <f t="shared" si="105"/>
        <v/>
      </c>
    </row>
    <row r="266" spans="2:399" x14ac:dyDescent="0.3">
      <c r="B266" s="2" t="str">
        <f t="shared" si="97"/>
        <v>CORE</v>
      </c>
      <c r="C266" s="2" t="str">
        <f t="shared" si="98"/>
        <v>CORE</v>
      </c>
      <c r="D266" s="2" t="str">
        <f t="shared" si="99"/>
        <v>CORE</v>
      </c>
      <c r="E266" s="2" t="str">
        <f t="shared" si="100"/>
        <v/>
      </c>
      <c r="F266" s="2">
        <f t="shared" si="101"/>
        <v>0</v>
      </c>
      <c r="G266" s="2">
        <f t="shared" si="102"/>
        <v>0</v>
      </c>
      <c r="H266" s="2">
        <f t="shared" si="103"/>
        <v>0</v>
      </c>
      <c r="I266" s="2">
        <f t="shared" si="104"/>
        <v>0</v>
      </c>
      <c r="NH266" cm="1">
        <f t="array" ref="NH266:NJ266">SUMIFS($J266:$GG266,$J$1:$GG$1,NH$3:NJ$3)</f>
        <v>0</v>
      </c>
      <c r="NI266">
        <v>0</v>
      </c>
      <c r="NJ266">
        <v>0</v>
      </c>
      <c r="NK266" cm="1">
        <f t="array" ref="NK266">IFERROR(MAX((_xlfn.ANCHORARRAY(NH266)-AVERAGE(_xlfn.ANCHORARRAY(NH266)))/ AVERAGE(_xlfn.ANCHORARRAY(NH266))),0)</f>
        <v>0</v>
      </c>
      <c r="NL266" t="str" cm="1">
        <f t="array" ref="NL266">IF(NK266&gt;$NL$1,_xlfn.XLOOKUP(MAX(_xlfn.ANCHORARRAY(NH266)),_xlfn.ANCHORARRAY(NH266),NH$4:NJ$4,""),"")</f>
        <v/>
      </c>
      <c r="NN266" cm="1">
        <f t="array" ref="NN266:NR266">SUMIFS($J266:$GG266,$J$3:$GG$3,NN$3:NR$3)</f>
        <v>0</v>
      </c>
      <c r="NO266">
        <v>0</v>
      </c>
      <c r="NP266">
        <v>0</v>
      </c>
      <c r="NQ266">
        <v>0</v>
      </c>
      <c r="NR266">
        <v>0</v>
      </c>
      <c r="NS266" cm="1">
        <f t="array" ref="NS266">IFERROR(MAX((_xlfn.ANCHORARRAY(NN266)-AVERAGE(_xlfn.ANCHORARRAY(NN266)))/ AVERAGE(_xlfn.ANCHORARRAY(NN266))),0)</f>
        <v>0</v>
      </c>
      <c r="NT266" t="str" cm="1">
        <f t="array" ref="NT266">IF(AND(NS266&gt;$NT$1,NL266&lt;&gt;""),_xlfn.XLOOKUP(MAX(_xlfn.ANCHORARRAY(NN266)),_xlfn.ANCHORARRAY(NN266),NN$4:NR$4,""),"")</f>
        <v/>
      </c>
      <c r="NV266" cm="1">
        <f t="array" ref="NV266:OE266">SUMIFS($J266:$GG266,$J$2:$GG$2,NV$3:OE$3)</f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 cm="1">
        <f t="array" ref="OF266">IFERROR(MAX((_xlfn.ANCHORARRAY(NV266)-AVERAGE(_xlfn.ANCHORARRAY(NV266)))/ AVERAGE(_xlfn.ANCHORARRAY(NV266))),0)</f>
        <v>0</v>
      </c>
      <c r="OG266" t="str" cm="1">
        <f t="array" ref="OG266">IF(OF266&gt;$OG$1,_xlfn.XLOOKUP(MAX(_xlfn.ANCHORARRAY(NV266)),_xlfn.ANCHORARRAY(NV266),NV$4:OE$4,""),"")</f>
        <v/>
      </c>
      <c r="OI266" t="str">
        <f t="shared" si="105"/>
        <v/>
      </c>
    </row>
    <row r="267" spans="2:399" x14ac:dyDescent="0.3">
      <c r="B267" s="2" t="str">
        <f t="shared" si="97"/>
        <v>CORE</v>
      </c>
      <c r="C267" s="2" t="str">
        <f t="shared" si="98"/>
        <v>CORE</v>
      </c>
      <c r="D267" s="2" t="str">
        <f t="shared" si="99"/>
        <v>CORE</v>
      </c>
      <c r="E267" s="2" t="str">
        <f t="shared" si="100"/>
        <v/>
      </c>
      <c r="F267" s="2">
        <f t="shared" si="101"/>
        <v>0</v>
      </c>
      <c r="G267" s="2">
        <f t="shared" si="102"/>
        <v>0</v>
      </c>
      <c r="H267" s="2">
        <f t="shared" si="103"/>
        <v>0</v>
      </c>
      <c r="I267" s="2">
        <f t="shared" si="104"/>
        <v>0</v>
      </c>
      <c r="NH267" cm="1">
        <f t="array" ref="NH267:NJ267">SUMIFS($J267:$GG267,$J$1:$GG$1,NH$3:NJ$3)</f>
        <v>0</v>
      </c>
      <c r="NI267">
        <v>0</v>
      </c>
      <c r="NJ267">
        <v>0</v>
      </c>
      <c r="NK267" cm="1">
        <f t="array" ref="NK267">IFERROR(MAX((_xlfn.ANCHORARRAY(NH267)-AVERAGE(_xlfn.ANCHORARRAY(NH267)))/ AVERAGE(_xlfn.ANCHORARRAY(NH267))),0)</f>
        <v>0</v>
      </c>
      <c r="NL267" t="str" cm="1">
        <f t="array" ref="NL267">IF(NK267&gt;$NL$1,_xlfn.XLOOKUP(MAX(_xlfn.ANCHORARRAY(NH267)),_xlfn.ANCHORARRAY(NH267),NH$4:NJ$4,""),"")</f>
        <v/>
      </c>
      <c r="NN267" cm="1">
        <f t="array" ref="NN267:NR267">SUMIFS($J267:$GG267,$J$3:$GG$3,NN$3:NR$3)</f>
        <v>0</v>
      </c>
      <c r="NO267">
        <v>0</v>
      </c>
      <c r="NP267">
        <v>0</v>
      </c>
      <c r="NQ267">
        <v>0</v>
      </c>
      <c r="NR267">
        <v>0</v>
      </c>
      <c r="NS267" cm="1">
        <f t="array" ref="NS267">IFERROR(MAX((_xlfn.ANCHORARRAY(NN267)-AVERAGE(_xlfn.ANCHORARRAY(NN267)))/ AVERAGE(_xlfn.ANCHORARRAY(NN267))),0)</f>
        <v>0</v>
      </c>
      <c r="NT267" t="str" cm="1">
        <f t="array" ref="NT267">IF(AND(NS267&gt;$NT$1,NL267&lt;&gt;""),_xlfn.XLOOKUP(MAX(_xlfn.ANCHORARRAY(NN267)),_xlfn.ANCHORARRAY(NN267),NN$4:NR$4,""),"")</f>
        <v/>
      </c>
      <c r="NV267" cm="1">
        <f t="array" ref="NV267:OE267">SUMIFS($J267:$GG267,$J$2:$GG$2,NV$3:OE$3)</f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 cm="1">
        <f t="array" ref="OF267">IFERROR(MAX((_xlfn.ANCHORARRAY(NV267)-AVERAGE(_xlfn.ANCHORARRAY(NV267)))/ AVERAGE(_xlfn.ANCHORARRAY(NV267))),0)</f>
        <v>0</v>
      </c>
      <c r="OG267" t="str" cm="1">
        <f t="array" ref="OG267">IF(OF267&gt;$OG$1,_xlfn.XLOOKUP(MAX(_xlfn.ANCHORARRAY(NV267)),_xlfn.ANCHORARRAY(NV267),NV$4:OE$4,""),"")</f>
        <v/>
      </c>
      <c r="OI267" t="str">
        <f t="shared" si="105"/>
        <v/>
      </c>
    </row>
    <row r="268" spans="2:399" x14ac:dyDescent="0.3">
      <c r="B268" s="2" t="str">
        <f t="shared" si="97"/>
        <v>CORE</v>
      </c>
      <c r="C268" s="2" t="str">
        <f t="shared" si="98"/>
        <v>CORE</v>
      </c>
      <c r="D268" s="2" t="str">
        <f t="shared" si="99"/>
        <v>CORE</v>
      </c>
      <c r="E268" s="2" t="str">
        <f t="shared" si="100"/>
        <v/>
      </c>
      <c r="F268" s="2">
        <f t="shared" si="101"/>
        <v>0</v>
      </c>
      <c r="G268" s="2">
        <f t="shared" si="102"/>
        <v>0</v>
      </c>
      <c r="H268" s="2">
        <f t="shared" si="103"/>
        <v>0</v>
      </c>
      <c r="I268" s="2">
        <f t="shared" si="104"/>
        <v>0</v>
      </c>
      <c r="NH268" cm="1">
        <f t="array" ref="NH268:NJ268">SUMIFS($J268:$GG268,$J$1:$GG$1,NH$3:NJ$3)</f>
        <v>0</v>
      </c>
      <c r="NI268">
        <v>0</v>
      </c>
      <c r="NJ268">
        <v>0</v>
      </c>
      <c r="NK268" cm="1">
        <f t="array" ref="NK268">IFERROR(MAX((_xlfn.ANCHORARRAY(NH268)-AVERAGE(_xlfn.ANCHORARRAY(NH268)))/ AVERAGE(_xlfn.ANCHORARRAY(NH268))),0)</f>
        <v>0</v>
      </c>
      <c r="NL268" t="str" cm="1">
        <f t="array" ref="NL268">IF(NK268&gt;$NL$1,_xlfn.XLOOKUP(MAX(_xlfn.ANCHORARRAY(NH268)),_xlfn.ANCHORARRAY(NH268),NH$4:NJ$4,""),"")</f>
        <v/>
      </c>
      <c r="NN268" cm="1">
        <f t="array" ref="NN268:NR268">SUMIFS($J268:$GG268,$J$3:$GG$3,NN$3:NR$3)</f>
        <v>0</v>
      </c>
      <c r="NO268">
        <v>0</v>
      </c>
      <c r="NP268">
        <v>0</v>
      </c>
      <c r="NQ268">
        <v>0</v>
      </c>
      <c r="NR268">
        <v>0</v>
      </c>
      <c r="NS268" cm="1">
        <f t="array" ref="NS268">IFERROR(MAX((_xlfn.ANCHORARRAY(NN268)-AVERAGE(_xlfn.ANCHORARRAY(NN268)))/ AVERAGE(_xlfn.ANCHORARRAY(NN268))),0)</f>
        <v>0</v>
      </c>
      <c r="NT268" t="str" cm="1">
        <f t="array" ref="NT268">IF(AND(NS268&gt;$NT$1,NL268&lt;&gt;""),_xlfn.XLOOKUP(MAX(_xlfn.ANCHORARRAY(NN268)),_xlfn.ANCHORARRAY(NN268),NN$4:NR$4,""),"")</f>
        <v/>
      </c>
      <c r="NV268" cm="1">
        <f t="array" ref="NV268:OE268">SUMIFS($J268:$GG268,$J$2:$GG$2,NV$3:OE$3)</f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 cm="1">
        <f t="array" ref="OF268">IFERROR(MAX((_xlfn.ANCHORARRAY(NV268)-AVERAGE(_xlfn.ANCHORARRAY(NV268)))/ AVERAGE(_xlfn.ANCHORARRAY(NV268))),0)</f>
        <v>0</v>
      </c>
      <c r="OG268" t="str" cm="1">
        <f t="array" ref="OG268">IF(OF268&gt;$OG$1,_xlfn.XLOOKUP(MAX(_xlfn.ANCHORARRAY(NV268)),_xlfn.ANCHORARRAY(NV268),NV$4:OE$4,""),"")</f>
        <v/>
      </c>
      <c r="OI268" t="str">
        <f t="shared" si="105"/>
        <v/>
      </c>
    </row>
    <row r="269" spans="2:399" x14ac:dyDescent="0.3">
      <c r="B269" s="2" t="str">
        <f t="shared" si="97"/>
        <v>CORE</v>
      </c>
      <c r="C269" s="2" t="str">
        <f t="shared" si="98"/>
        <v>CORE</v>
      </c>
      <c r="D269" s="2" t="str">
        <f t="shared" si="99"/>
        <v>CORE</v>
      </c>
      <c r="E269" s="2" t="str">
        <f t="shared" si="100"/>
        <v/>
      </c>
      <c r="F269" s="2">
        <f t="shared" si="101"/>
        <v>0</v>
      </c>
      <c r="G269" s="2">
        <f t="shared" si="102"/>
        <v>0</v>
      </c>
      <c r="H269" s="2">
        <f t="shared" si="103"/>
        <v>0</v>
      </c>
      <c r="I269" s="2">
        <f t="shared" si="104"/>
        <v>0</v>
      </c>
      <c r="NH269" cm="1">
        <f t="array" ref="NH269:NJ269">SUMIFS($J269:$GG269,$J$1:$GG$1,NH$3:NJ$3)</f>
        <v>0</v>
      </c>
      <c r="NI269">
        <v>0</v>
      </c>
      <c r="NJ269">
        <v>0</v>
      </c>
      <c r="NK269" cm="1">
        <f t="array" ref="NK269">IFERROR(MAX((_xlfn.ANCHORARRAY(NH269)-AVERAGE(_xlfn.ANCHORARRAY(NH269)))/ AVERAGE(_xlfn.ANCHORARRAY(NH269))),0)</f>
        <v>0</v>
      </c>
      <c r="NL269" t="str" cm="1">
        <f t="array" ref="NL269">IF(NK269&gt;$NL$1,_xlfn.XLOOKUP(MAX(_xlfn.ANCHORARRAY(NH269)),_xlfn.ANCHORARRAY(NH269),NH$4:NJ$4,""),"")</f>
        <v/>
      </c>
      <c r="NN269" cm="1">
        <f t="array" ref="NN269:NR269">SUMIFS($J269:$GG269,$J$3:$GG$3,NN$3:NR$3)</f>
        <v>0</v>
      </c>
      <c r="NO269">
        <v>0</v>
      </c>
      <c r="NP269">
        <v>0</v>
      </c>
      <c r="NQ269">
        <v>0</v>
      </c>
      <c r="NR269">
        <v>0</v>
      </c>
      <c r="NS269" cm="1">
        <f t="array" ref="NS269">IFERROR(MAX((_xlfn.ANCHORARRAY(NN269)-AVERAGE(_xlfn.ANCHORARRAY(NN269)))/ AVERAGE(_xlfn.ANCHORARRAY(NN269))),0)</f>
        <v>0</v>
      </c>
      <c r="NT269" t="str" cm="1">
        <f t="array" ref="NT269">IF(AND(NS269&gt;$NT$1,NL269&lt;&gt;""),_xlfn.XLOOKUP(MAX(_xlfn.ANCHORARRAY(NN269)),_xlfn.ANCHORARRAY(NN269),NN$4:NR$4,""),"")</f>
        <v/>
      </c>
      <c r="NV269" cm="1">
        <f t="array" ref="NV269:OE269">SUMIFS($J269:$GG269,$J$2:$GG$2,NV$3:OE$3)</f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 cm="1">
        <f t="array" ref="OF269">IFERROR(MAX((_xlfn.ANCHORARRAY(NV269)-AVERAGE(_xlfn.ANCHORARRAY(NV269)))/ AVERAGE(_xlfn.ANCHORARRAY(NV269))),0)</f>
        <v>0</v>
      </c>
      <c r="OG269" t="str" cm="1">
        <f t="array" ref="OG269">IF(OF269&gt;$OG$1,_xlfn.XLOOKUP(MAX(_xlfn.ANCHORARRAY(NV269)),_xlfn.ANCHORARRAY(NV269),NV$4:OE$4,""),"")</f>
        <v/>
      </c>
      <c r="OI269" t="str">
        <f t="shared" si="105"/>
        <v/>
      </c>
    </row>
    <row r="270" spans="2:399" x14ac:dyDescent="0.3">
      <c r="B270" s="2" t="str">
        <f t="shared" si="97"/>
        <v>CORE</v>
      </c>
      <c r="C270" s="2" t="str">
        <f t="shared" si="98"/>
        <v>CORE</v>
      </c>
      <c r="D270" s="2" t="str">
        <f t="shared" si="99"/>
        <v>CORE</v>
      </c>
      <c r="E270" s="2" t="str">
        <f t="shared" si="100"/>
        <v/>
      </c>
      <c r="F270" s="2">
        <f t="shared" si="101"/>
        <v>0</v>
      </c>
      <c r="G270" s="2">
        <f t="shared" si="102"/>
        <v>0</v>
      </c>
      <c r="H270" s="2">
        <f t="shared" si="103"/>
        <v>0</v>
      </c>
      <c r="I270" s="2">
        <f t="shared" si="104"/>
        <v>0</v>
      </c>
      <c r="NH270" cm="1">
        <f t="array" ref="NH270:NJ270">SUMIFS($J270:$GG270,$J$1:$GG$1,NH$3:NJ$3)</f>
        <v>0</v>
      </c>
      <c r="NI270">
        <v>0</v>
      </c>
      <c r="NJ270">
        <v>0</v>
      </c>
      <c r="NK270" cm="1">
        <f t="array" ref="NK270">IFERROR(MAX((_xlfn.ANCHORARRAY(NH270)-AVERAGE(_xlfn.ANCHORARRAY(NH270)))/ AVERAGE(_xlfn.ANCHORARRAY(NH270))),0)</f>
        <v>0</v>
      </c>
      <c r="NL270" t="str" cm="1">
        <f t="array" ref="NL270">IF(NK270&gt;$NL$1,_xlfn.XLOOKUP(MAX(_xlfn.ANCHORARRAY(NH270)),_xlfn.ANCHORARRAY(NH270),NH$4:NJ$4,""),"")</f>
        <v/>
      </c>
      <c r="NN270" cm="1">
        <f t="array" ref="NN270:NR270">SUMIFS($J270:$GG270,$J$3:$GG$3,NN$3:NR$3)</f>
        <v>0</v>
      </c>
      <c r="NO270">
        <v>0</v>
      </c>
      <c r="NP270">
        <v>0</v>
      </c>
      <c r="NQ270">
        <v>0</v>
      </c>
      <c r="NR270">
        <v>0</v>
      </c>
      <c r="NS270" cm="1">
        <f t="array" ref="NS270">IFERROR(MAX((_xlfn.ANCHORARRAY(NN270)-AVERAGE(_xlfn.ANCHORARRAY(NN270)))/ AVERAGE(_xlfn.ANCHORARRAY(NN270))),0)</f>
        <v>0</v>
      </c>
      <c r="NT270" t="str" cm="1">
        <f t="array" ref="NT270">IF(AND(NS270&gt;$NT$1,NL270&lt;&gt;""),_xlfn.XLOOKUP(MAX(_xlfn.ANCHORARRAY(NN270)),_xlfn.ANCHORARRAY(NN270),NN$4:NR$4,""),"")</f>
        <v/>
      </c>
      <c r="NV270" cm="1">
        <f t="array" ref="NV270:OE270">SUMIFS($J270:$GG270,$J$2:$GG$2,NV$3:OE$3)</f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 cm="1">
        <f t="array" ref="OF270">IFERROR(MAX((_xlfn.ANCHORARRAY(NV270)-AVERAGE(_xlfn.ANCHORARRAY(NV270)))/ AVERAGE(_xlfn.ANCHORARRAY(NV270))),0)</f>
        <v>0</v>
      </c>
      <c r="OG270" t="str" cm="1">
        <f t="array" ref="OG270">IF(OF270&gt;$OG$1,_xlfn.XLOOKUP(MAX(_xlfn.ANCHORARRAY(NV270)),_xlfn.ANCHORARRAY(NV270),NV$4:OE$4,""),"")</f>
        <v/>
      </c>
      <c r="OI270" t="str">
        <f t="shared" si="105"/>
        <v/>
      </c>
    </row>
    <row r="271" spans="2:399" x14ac:dyDescent="0.3">
      <c r="B271" s="2" t="str">
        <f t="shared" si="97"/>
        <v>CORE</v>
      </c>
      <c r="C271" s="2" t="str">
        <f t="shared" si="98"/>
        <v>CORE</v>
      </c>
      <c r="D271" s="2" t="str">
        <f t="shared" si="99"/>
        <v>CORE</v>
      </c>
      <c r="E271" s="2" t="str">
        <f t="shared" si="100"/>
        <v/>
      </c>
      <c r="F271" s="2">
        <f t="shared" si="101"/>
        <v>0</v>
      </c>
      <c r="G271" s="2">
        <f t="shared" si="102"/>
        <v>0</v>
      </c>
      <c r="H271" s="2">
        <f t="shared" si="103"/>
        <v>0</v>
      </c>
      <c r="I271" s="2">
        <f t="shared" si="104"/>
        <v>0</v>
      </c>
      <c r="NH271" cm="1">
        <f t="array" ref="NH271:NJ271">SUMIFS($J271:$GG271,$J$1:$GG$1,NH$3:NJ$3)</f>
        <v>0</v>
      </c>
      <c r="NI271">
        <v>0</v>
      </c>
      <c r="NJ271">
        <v>0</v>
      </c>
      <c r="NK271" cm="1">
        <f t="array" ref="NK271">IFERROR(MAX((_xlfn.ANCHORARRAY(NH271)-AVERAGE(_xlfn.ANCHORARRAY(NH271)))/ AVERAGE(_xlfn.ANCHORARRAY(NH271))),0)</f>
        <v>0</v>
      </c>
      <c r="NL271" t="str" cm="1">
        <f t="array" ref="NL271">IF(NK271&gt;$NL$1,_xlfn.XLOOKUP(MAX(_xlfn.ANCHORARRAY(NH271)),_xlfn.ANCHORARRAY(NH271),NH$4:NJ$4,""),"")</f>
        <v/>
      </c>
      <c r="NN271" cm="1">
        <f t="array" ref="NN271:NR271">SUMIFS($J271:$GG271,$J$3:$GG$3,NN$3:NR$3)</f>
        <v>0</v>
      </c>
      <c r="NO271">
        <v>0</v>
      </c>
      <c r="NP271">
        <v>0</v>
      </c>
      <c r="NQ271">
        <v>0</v>
      </c>
      <c r="NR271">
        <v>0</v>
      </c>
      <c r="NS271" cm="1">
        <f t="array" ref="NS271">IFERROR(MAX((_xlfn.ANCHORARRAY(NN271)-AVERAGE(_xlfn.ANCHORARRAY(NN271)))/ AVERAGE(_xlfn.ANCHORARRAY(NN271))),0)</f>
        <v>0</v>
      </c>
      <c r="NT271" t="str" cm="1">
        <f t="array" ref="NT271">IF(AND(NS271&gt;$NT$1,NL271&lt;&gt;""),_xlfn.XLOOKUP(MAX(_xlfn.ANCHORARRAY(NN271)),_xlfn.ANCHORARRAY(NN271),NN$4:NR$4,""),"")</f>
        <v/>
      </c>
      <c r="NV271" cm="1">
        <f t="array" ref="NV271:OE271">SUMIFS($J271:$GG271,$J$2:$GG$2,NV$3:OE$3)</f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 cm="1">
        <f t="array" ref="OF271">IFERROR(MAX((_xlfn.ANCHORARRAY(NV271)-AVERAGE(_xlfn.ANCHORARRAY(NV271)))/ AVERAGE(_xlfn.ANCHORARRAY(NV271))),0)</f>
        <v>0</v>
      </c>
      <c r="OG271" t="str" cm="1">
        <f t="array" ref="OG271">IF(OF271&gt;$OG$1,_xlfn.XLOOKUP(MAX(_xlfn.ANCHORARRAY(NV271)),_xlfn.ANCHORARRAY(NV271),NV$4:OE$4,""),"")</f>
        <v/>
      </c>
      <c r="OI271" t="str">
        <f t="shared" si="105"/>
        <v/>
      </c>
    </row>
    <row r="272" spans="2:399" x14ac:dyDescent="0.3">
      <c r="B272" s="2" t="str">
        <f t="shared" si="97"/>
        <v>CORE</v>
      </c>
      <c r="C272" s="2" t="str">
        <f t="shared" si="98"/>
        <v>CORE</v>
      </c>
      <c r="D272" s="2" t="str">
        <f t="shared" si="99"/>
        <v>CORE</v>
      </c>
      <c r="E272" s="2" t="str">
        <f t="shared" si="100"/>
        <v/>
      </c>
      <c r="F272" s="2">
        <f t="shared" si="101"/>
        <v>0</v>
      </c>
      <c r="G272" s="2">
        <f t="shared" si="102"/>
        <v>0</v>
      </c>
      <c r="H272" s="2">
        <f t="shared" si="103"/>
        <v>0</v>
      </c>
      <c r="I272" s="2">
        <f t="shared" si="104"/>
        <v>0</v>
      </c>
      <c r="NH272" cm="1">
        <f t="array" ref="NH272:NJ272">SUMIFS($J272:$GG272,$J$1:$GG$1,NH$3:NJ$3)</f>
        <v>0</v>
      </c>
      <c r="NI272">
        <v>0</v>
      </c>
      <c r="NJ272">
        <v>0</v>
      </c>
      <c r="NK272" cm="1">
        <f t="array" ref="NK272">IFERROR(MAX((_xlfn.ANCHORARRAY(NH272)-AVERAGE(_xlfn.ANCHORARRAY(NH272)))/ AVERAGE(_xlfn.ANCHORARRAY(NH272))),0)</f>
        <v>0</v>
      </c>
      <c r="NL272" t="str" cm="1">
        <f t="array" ref="NL272">IF(NK272&gt;$NL$1,_xlfn.XLOOKUP(MAX(_xlfn.ANCHORARRAY(NH272)),_xlfn.ANCHORARRAY(NH272),NH$4:NJ$4,""),"")</f>
        <v/>
      </c>
      <c r="NN272" cm="1">
        <f t="array" ref="NN272:NR272">SUMIFS($J272:$GG272,$J$3:$GG$3,NN$3:NR$3)</f>
        <v>0</v>
      </c>
      <c r="NO272">
        <v>0</v>
      </c>
      <c r="NP272">
        <v>0</v>
      </c>
      <c r="NQ272">
        <v>0</v>
      </c>
      <c r="NR272">
        <v>0</v>
      </c>
      <c r="NS272" cm="1">
        <f t="array" ref="NS272">IFERROR(MAX((_xlfn.ANCHORARRAY(NN272)-AVERAGE(_xlfn.ANCHORARRAY(NN272)))/ AVERAGE(_xlfn.ANCHORARRAY(NN272))),0)</f>
        <v>0</v>
      </c>
      <c r="NT272" t="str" cm="1">
        <f t="array" ref="NT272">IF(AND(NS272&gt;$NT$1,NL272&lt;&gt;""),_xlfn.XLOOKUP(MAX(_xlfn.ANCHORARRAY(NN272)),_xlfn.ANCHORARRAY(NN272),NN$4:NR$4,""),"")</f>
        <v/>
      </c>
      <c r="NV272" cm="1">
        <f t="array" ref="NV272:OE272">SUMIFS($J272:$GG272,$J$2:$GG$2,NV$3:OE$3)</f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 cm="1">
        <f t="array" ref="OF272">IFERROR(MAX((_xlfn.ANCHORARRAY(NV272)-AVERAGE(_xlfn.ANCHORARRAY(NV272)))/ AVERAGE(_xlfn.ANCHORARRAY(NV272))),0)</f>
        <v>0</v>
      </c>
      <c r="OG272" t="str" cm="1">
        <f t="array" ref="OG272">IF(OF272&gt;$OG$1,_xlfn.XLOOKUP(MAX(_xlfn.ANCHORARRAY(NV272)),_xlfn.ANCHORARRAY(NV272),NV$4:OE$4,""),"")</f>
        <v/>
      </c>
      <c r="OI272" t="str">
        <f t="shared" si="105"/>
        <v/>
      </c>
    </row>
    <row r="273" spans="2:399" x14ac:dyDescent="0.3">
      <c r="B273" s="2" t="str">
        <f t="shared" si="97"/>
        <v>CORE</v>
      </c>
      <c r="C273" s="2" t="str">
        <f t="shared" si="98"/>
        <v>CORE</v>
      </c>
      <c r="D273" s="2" t="str">
        <f t="shared" si="99"/>
        <v>CORE</v>
      </c>
      <c r="E273" s="2" t="str">
        <f t="shared" si="100"/>
        <v/>
      </c>
      <c r="F273" s="2">
        <f t="shared" si="101"/>
        <v>0</v>
      </c>
      <c r="G273" s="2">
        <f t="shared" si="102"/>
        <v>0</v>
      </c>
      <c r="H273" s="2">
        <f t="shared" si="103"/>
        <v>0</v>
      </c>
      <c r="I273" s="2">
        <f t="shared" si="104"/>
        <v>0</v>
      </c>
      <c r="NH273" cm="1">
        <f t="array" ref="NH273:NJ273">SUMIFS($J273:$GG273,$J$1:$GG$1,NH$3:NJ$3)</f>
        <v>0</v>
      </c>
      <c r="NI273">
        <v>0</v>
      </c>
      <c r="NJ273">
        <v>0</v>
      </c>
      <c r="NK273" cm="1">
        <f t="array" ref="NK273">IFERROR(MAX((_xlfn.ANCHORARRAY(NH273)-AVERAGE(_xlfn.ANCHORARRAY(NH273)))/ AVERAGE(_xlfn.ANCHORARRAY(NH273))),0)</f>
        <v>0</v>
      </c>
      <c r="NL273" t="str" cm="1">
        <f t="array" ref="NL273">IF(NK273&gt;$NL$1,_xlfn.XLOOKUP(MAX(_xlfn.ANCHORARRAY(NH273)),_xlfn.ANCHORARRAY(NH273),NH$4:NJ$4,""),"")</f>
        <v/>
      </c>
      <c r="NN273" cm="1">
        <f t="array" ref="NN273:NR273">SUMIFS($J273:$GG273,$J$3:$GG$3,NN$3:NR$3)</f>
        <v>0</v>
      </c>
      <c r="NO273">
        <v>0</v>
      </c>
      <c r="NP273">
        <v>0</v>
      </c>
      <c r="NQ273">
        <v>0</v>
      </c>
      <c r="NR273">
        <v>0</v>
      </c>
      <c r="NS273" cm="1">
        <f t="array" ref="NS273">IFERROR(MAX((_xlfn.ANCHORARRAY(NN273)-AVERAGE(_xlfn.ANCHORARRAY(NN273)))/ AVERAGE(_xlfn.ANCHORARRAY(NN273))),0)</f>
        <v>0</v>
      </c>
      <c r="NT273" t="str" cm="1">
        <f t="array" ref="NT273">IF(AND(NS273&gt;$NT$1,NL273&lt;&gt;""),_xlfn.XLOOKUP(MAX(_xlfn.ANCHORARRAY(NN273)),_xlfn.ANCHORARRAY(NN273),NN$4:NR$4,""),"")</f>
        <v/>
      </c>
      <c r="NV273" cm="1">
        <f t="array" ref="NV273:OE273">SUMIFS($J273:$GG273,$J$2:$GG$2,NV$3:OE$3)</f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 cm="1">
        <f t="array" ref="OF273">IFERROR(MAX((_xlfn.ANCHORARRAY(NV273)-AVERAGE(_xlfn.ANCHORARRAY(NV273)))/ AVERAGE(_xlfn.ANCHORARRAY(NV273))),0)</f>
        <v>0</v>
      </c>
      <c r="OG273" t="str" cm="1">
        <f t="array" ref="OG273">IF(OF273&gt;$OG$1,_xlfn.XLOOKUP(MAX(_xlfn.ANCHORARRAY(NV273)),_xlfn.ANCHORARRAY(NV273),NV$4:OE$4,""),"")</f>
        <v/>
      </c>
      <c r="OI273" t="str">
        <f t="shared" si="105"/>
        <v/>
      </c>
    </row>
    <row r="274" spans="2:399" x14ac:dyDescent="0.3">
      <c r="B274" s="2" t="str">
        <f t="shared" si="97"/>
        <v>CORE</v>
      </c>
      <c r="C274" s="2" t="str">
        <f t="shared" si="98"/>
        <v>CORE</v>
      </c>
      <c r="D274" s="2" t="str">
        <f t="shared" si="99"/>
        <v>CORE</v>
      </c>
      <c r="E274" s="2" t="str">
        <f t="shared" si="100"/>
        <v/>
      </c>
      <c r="F274" s="2">
        <f t="shared" si="101"/>
        <v>0</v>
      </c>
      <c r="G274" s="2">
        <f t="shared" si="102"/>
        <v>0</v>
      </c>
      <c r="H274" s="2">
        <f t="shared" si="103"/>
        <v>0</v>
      </c>
      <c r="I274" s="2">
        <f t="shared" si="104"/>
        <v>0</v>
      </c>
      <c r="NH274" cm="1">
        <f t="array" ref="NH274:NJ274">SUMIFS($J274:$GG274,$J$1:$GG$1,NH$3:NJ$3)</f>
        <v>0</v>
      </c>
      <c r="NI274">
        <v>0</v>
      </c>
      <c r="NJ274">
        <v>0</v>
      </c>
      <c r="NK274" cm="1">
        <f t="array" ref="NK274">IFERROR(MAX((_xlfn.ANCHORARRAY(NH274)-AVERAGE(_xlfn.ANCHORARRAY(NH274)))/ AVERAGE(_xlfn.ANCHORARRAY(NH274))),0)</f>
        <v>0</v>
      </c>
      <c r="NL274" t="str" cm="1">
        <f t="array" ref="NL274">IF(NK274&gt;$NL$1,_xlfn.XLOOKUP(MAX(_xlfn.ANCHORARRAY(NH274)),_xlfn.ANCHORARRAY(NH274),NH$4:NJ$4,""),"")</f>
        <v/>
      </c>
      <c r="NN274" cm="1">
        <f t="array" ref="NN274:NR274">SUMIFS($J274:$GG274,$J$3:$GG$3,NN$3:NR$3)</f>
        <v>0</v>
      </c>
      <c r="NO274">
        <v>0</v>
      </c>
      <c r="NP274">
        <v>0</v>
      </c>
      <c r="NQ274">
        <v>0</v>
      </c>
      <c r="NR274">
        <v>0</v>
      </c>
      <c r="NS274" cm="1">
        <f t="array" ref="NS274">IFERROR(MAX((_xlfn.ANCHORARRAY(NN274)-AVERAGE(_xlfn.ANCHORARRAY(NN274)))/ AVERAGE(_xlfn.ANCHORARRAY(NN274))),0)</f>
        <v>0</v>
      </c>
      <c r="NT274" t="str" cm="1">
        <f t="array" ref="NT274">IF(AND(NS274&gt;$NT$1,NL274&lt;&gt;""),_xlfn.XLOOKUP(MAX(_xlfn.ANCHORARRAY(NN274)),_xlfn.ANCHORARRAY(NN274),NN$4:NR$4,""),"")</f>
        <v/>
      </c>
      <c r="NV274" cm="1">
        <f t="array" ref="NV274:OE274">SUMIFS($J274:$GG274,$J$2:$GG$2,NV$3:OE$3)</f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 cm="1">
        <f t="array" ref="OF274">IFERROR(MAX((_xlfn.ANCHORARRAY(NV274)-AVERAGE(_xlfn.ANCHORARRAY(NV274)))/ AVERAGE(_xlfn.ANCHORARRAY(NV274))),0)</f>
        <v>0</v>
      </c>
      <c r="OG274" t="str" cm="1">
        <f t="array" ref="OG274">IF(OF274&gt;$OG$1,_xlfn.XLOOKUP(MAX(_xlfn.ANCHORARRAY(NV274)),_xlfn.ANCHORARRAY(NV274),NV$4:OE$4,""),"")</f>
        <v/>
      </c>
      <c r="OI274" t="str">
        <f t="shared" si="105"/>
        <v/>
      </c>
    </row>
    <row r="275" spans="2:399" x14ac:dyDescent="0.3">
      <c r="B275" s="2" t="str">
        <f t="shared" si="97"/>
        <v>CORE</v>
      </c>
      <c r="C275" s="2" t="str">
        <f t="shared" si="98"/>
        <v>CORE</v>
      </c>
      <c r="D275" s="2" t="str">
        <f t="shared" si="99"/>
        <v>CORE</v>
      </c>
      <c r="E275" s="2" t="str">
        <f t="shared" si="100"/>
        <v/>
      </c>
      <c r="F275" s="2">
        <f t="shared" si="101"/>
        <v>0</v>
      </c>
      <c r="G275" s="2">
        <f t="shared" si="102"/>
        <v>0</v>
      </c>
      <c r="H275" s="2">
        <f t="shared" si="103"/>
        <v>0</v>
      </c>
      <c r="I275" s="2">
        <f t="shared" si="104"/>
        <v>0</v>
      </c>
      <c r="NH275" cm="1">
        <f t="array" ref="NH275:NJ275">SUMIFS($J275:$GG275,$J$1:$GG$1,NH$3:NJ$3)</f>
        <v>0</v>
      </c>
      <c r="NI275">
        <v>0</v>
      </c>
      <c r="NJ275">
        <v>0</v>
      </c>
      <c r="NK275" cm="1">
        <f t="array" ref="NK275">IFERROR(MAX((_xlfn.ANCHORARRAY(NH275)-AVERAGE(_xlfn.ANCHORARRAY(NH275)))/ AVERAGE(_xlfn.ANCHORARRAY(NH275))),0)</f>
        <v>0</v>
      </c>
      <c r="NL275" t="str" cm="1">
        <f t="array" ref="NL275">IF(NK275&gt;$NL$1,_xlfn.XLOOKUP(MAX(_xlfn.ANCHORARRAY(NH275)),_xlfn.ANCHORARRAY(NH275),NH$4:NJ$4,""),"")</f>
        <v/>
      </c>
      <c r="NN275" cm="1">
        <f t="array" ref="NN275:NR275">SUMIFS($J275:$GG275,$J$3:$GG$3,NN$3:NR$3)</f>
        <v>0</v>
      </c>
      <c r="NO275">
        <v>0</v>
      </c>
      <c r="NP275">
        <v>0</v>
      </c>
      <c r="NQ275">
        <v>0</v>
      </c>
      <c r="NR275">
        <v>0</v>
      </c>
      <c r="NS275" cm="1">
        <f t="array" ref="NS275">IFERROR(MAX((_xlfn.ANCHORARRAY(NN275)-AVERAGE(_xlfn.ANCHORARRAY(NN275)))/ AVERAGE(_xlfn.ANCHORARRAY(NN275))),0)</f>
        <v>0</v>
      </c>
      <c r="NT275" t="str" cm="1">
        <f t="array" ref="NT275">IF(AND(NS275&gt;$NT$1,NL275&lt;&gt;""),_xlfn.XLOOKUP(MAX(_xlfn.ANCHORARRAY(NN275)),_xlfn.ANCHORARRAY(NN275),NN$4:NR$4,""),"")</f>
        <v/>
      </c>
      <c r="NV275" cm="1">
        <f t="array" ref="NV275:OE275">SUMIFS($J275:$GG275,$J$2:$GG$2,NV$3:OE$3)</f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 cm="1">
        <f t="array" ref="OF275">IFERROR(MAX((_xlfn.ANCHORARRAY(NV275)-AVERAGE(_xlfn.ANCHORARRAY(NV275)))/ AVERAGE(_xlfn.ANCHORARRAY(NV275))),0)</f>
        <v>0</v>
      </c>
      <c r="OG275" t="str" cm="1">
        <f t="array" ref="OG275">IF(OF275&gt;$OG$1,_xlfn.XLOOKUP(MAX(_xlfn.ANCHORARRAY(NV275)),_xlfn.ANCHORARRAY(NV275),NV$4:OE$4,""),"")</f>
        <v/>
      </c>
      <c r="OI275" t="str">
        <f t="shared" si="105"/>
        <v/>
      </c>
    </row>
    <row r="276" spans="2:399" x14ac:dyDescent="0.3">
      <c r="B276" s="2" t="str">
        <f t="shared" si="97"/>
        <v>CORE</v>
      </c>
      <c r="C276" s="2" t="str">
        <f t="shared" si="98"/>
        <v>CORE</v>
      </c>
      <c r="D276" s="2" t="str">
        <f t="shared" si="99"/>
        <v>CORE</v>
      </c>
      <c r="E276" s="2" t="str">
        <f t="shared" si="100"/>
        <v/>
      </c>
      <c r="F276" s="2">
        <f t="shared" si="101"/>
        <v>0</v>
      </c>
      <c r="G276" s="2">
        <f t="shared" si="102"/>
        <v>0</v>
      </c>
      <c r="H276" s="2">
        <f t="shared" si="103"/>
        <v>0</v>
      </c>
      <c r="I276" s="2">
        <f t="shared" si="104"/>
        <v>0</v>
      </c>
      <c r="NH276" cm="1">
        <f t="array" ref="NH276:NJ276">SUMIFS($J276:$GG276,$J$1:$GG$1,NH$3:NJ$3)</f>
        <v>0</v>
      </c>
      <c r="NI276">
        <v>0</v>
      </c>
      <c r="NJ276">
        <v>0</v>
      </c>
      <c r="NK276" cm="1">
        <f t="array" ref="NK276">IFERROR(MAX((_xlfn.ANCHORARRAY(NH276)-AVERAGE(_xlfn.ANCHORARRAY(NH276)))/ AVERAGE(_xlfn.ANCHORARRAY(NH276))),0)</f>
        <v>0</v>
      </c>
      <c r="NL276" t="str" cm="1">
        <f t="array" ref="NL276">IF(NK276&gt;$NL$1,_xlfn.XLOOKUP(MAX(_xlfn.ANCHORARRAY(NH276)),_xlfn.ANCHORARRAY(NH276),NH$4:NJ$4,""),"")</f>
        <v/>
      </c>
      <c r="NN276" cm="1">
        <f t="array" ref="NN276:NR276">SUMIFS($J276:$GG276,$J$3:$GG$3,NN$3:NR$3)</f>
        <v>0</v>
      </c>
      <c r="NO276">
        <v>0</v>
      </c>
      <c r="NP276">
        <v>0</v>
      </c>
      <c r="NQ276">
        <v>0</v>
      </c>
      <c r="NR276">
        <v>0</v>
      </c>
      <c r="NS276" cm="1">
        <f t="array" ref="NS276">IFERROR(MAX((_xlfn.ANCHORARRAY(NN276)-AVERAGE(_xlfn.ANCHORARRAY(NN276)))/ AVERAGE(_xlfn.ANCHORARRAY(NN276))),0)</f>
        <v>0</v>
      </c>
      <c r="NT276" t="str" cm="1">
        <f t="array" ref="NT276">IF(AND(NS276&gt;$NT$1,NL276&lt;&gt;""),_xlfn.XLOOKUP(MAX(_xlfn.ANCHORARRAY(NN276)),_xlfn.ANCHORARRAY(NN276),NN$4:NR$4,""),"")</f>
        <v/>
      </c>
      <c r="NV276" cm="1">
        <f t="array" ref="NV276:OE276">SUMIFS($J276:$GG276,$J$2:$GG$2,NV$3:OE$3)</f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 cm="1">
        <f t="array" ref="OF276">IFERROR(MAX((_xlfn.ANCHORARRAY(NV276)-AVERAGE(_xlfn.ANCHORARRAY(NV276)))/ AVERAGE(_xlfn.ANCHORARRAY(NV276))),0)</f>
        <v>0</v>
      </c>
      <c r="OG276" t="str" cm="1">
        <f t="array" ref="OG276">IF(OF276&gt;$OG$1,_xlfn.XLOOKUP(MAX(_xlfn.ANCHORARRAY(NV276)),_xlfn.ANCHORARRAY(NV276),NV$4:OE$4,""),"")</f>
        <v/>
      </c>
      <c r="OI276" t="str">
        <f t="shared" si="105"/>
        <v/>
      </c>
    </row>
    <row r="277" spans="2:399" x14ac:dyDescent="0.3">
      <c r="B277" s="2" t="str">
        <f t="shared" si="97"/>
        <v>CORE</v>
      </c>
      <c r="C277" s="2" t="str">
        <f t="shared" si="98"/>
        <v>CORE</v>
      </c>
      <c r="D277" s="2" t="str">
        <f t="shared" si="99"/>
        <v>CORE</v>
      </c>
      <c r="E277" s="2" t="str">
        <f t="shared" si="100"/>
        <v/>
      </c>
      <c r="F277" s="2">
        <f t="shared" si="101"/>
        <v>0</v>
      </c>
      <c r="G277" s="2">
        <f t="shared" si="102"/>
        <v>0</v>
      </c>
      <c r="H277" s="2">
        <f t="shared" si="103"/>
        <v>0</v>
      </c>
      <c r="I277" s="2">
        <f t="shared" si="104"/>
        <v>0</v>
      </c>
      <c r="NH277" cm="1">
        <f t="array" ref="NH277:NJ277">SUMIFS($J277:$GG277,$J$1:$GG$1,NH$3:NJ$3)</f>
        <v>0</v>
      </c>
      <c r="NI277">
        <v>0</v>
      </c>
      <c r="NJ277">
        <v>0</v>
      </c>
      <c r="NK277" cm="1">
        <f t="array" ref="NK277">IFERROR(MAX((_xlfn.ANCHORARRAY(NH277)-AVERAGE(_xlfn.ANCHORARRAY(NH277)))/ AVERAGE(_xlfn.ANCHORARRAY(NH277))),0)</f>
        <v>0</v>
      </c>
      <c r="NL277" t="str" cm="1">
        <f t="array" ref="NL277">IF(NK277&gt;$NL$1,_xlfn.XLOOKUP(MAX(_xlfn.ANCHORARRAY(NH277)),_xlfn.ANCHORARRAY(NH277),NH$4:NJ$4,""),"")</f>
        <v/>
      </c>
      <c r="NN277" cm="1">
        <f t="array" ref="NN277:NR277">SUMIFS($J277:$GG277,$J$3:$GG$3,NN$3:NR$3)</f>
        <v>0</v>
      </c>
      <c r="NO277">
        <v>0</v>
      </c>
      <c r="NP277">
        <v>0</v>
      </c>
      <c r="NQ277">
        <v>0</v>
      </c>
      <c r="NR277">
        <v>0</v>
      </c>
      <c r="NS277" cm="1">
        <f t="array" ref="NS277">IFERROR(MAX((_xlfn.ANCHORARRAY(NN277)-AVERAGE(_xlfn.ANCHORARRAY(NN277)))/ AVERAGE(_xlfn.ANCHORARRAY(NN277))),0)</f>
        <v>0</v>
      </c>
      <c r="NT277" t="str" cm="1">
        <f t="array" ref="NT277">IF(AND(NS277&gt;$NT$1,NL277&lt;&gt;""),_xlfn.XLOOKUP(MAX(_xlfn.ANCHORARRAY(NN277)),_xlfn.ANCHORARRAY(NN277),NN$4:NR$4,""),"")</f>
        <v/>
      </c>
      <c r="NV277" cm="1">
        <f t="array" ref="NV277:OE277">SUMIFS($J277:$GG277,$J$2:$GG$2,NV$3:OE$3)</f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 cm="1">
        <f t="array" ref="OF277">IFERROR(MAX((_xlfn.ANCHORARRAY(NV277)-AVERAGE(_xlfn.ANCHORARRAY(NV277)))/ AVERAGE(_xlfn.ANCHORARRAY(NV277))),0)</f>
        <v>0</v>
      </c>
      <c r="OG277" t="str" cm="1">
        <f t="array" ref="OG277">IF(OF277&gt;$OG$1,_xlfn.XLOOKUP(MAX(_xlfn.ANCHORARRAY(NV277)),_xlfn.ANCHORARRAY(NV277),NV$4:OE$4,""),"")</f>
        <v/>
      </c>
      <c r="OI277" t="str">
        <f t="shared" si="105"/>
        <v/>
      </c>
    </row>
    <row r="278" spans="2:399" x14ac:dyDescent="0.3">
      <c r="B278" s="2" t="str">
        <f t="shared" si="97"/>
        <v>CORE</v>
      </c>
      <c r="C278" s="2" t="str">
        <f t="shared" si="98"/>
        <v>CORE</v>
      </c>
      <c r="D278" s="2" t="str">
        <f t="shared" si="99"/>
        <v>CORE</v>
      </c>
      <c r="E278" s="2" t="str">
        <f t="shared" si="100"/>
        <v/>
      </c>
      <c r="F278" s="2">
        <f t="shared" si="101"/>
        <v>0</v>
      </c>
      <c r="G278" s="2">
        <f t="shared" si="102"/>
        <v>0</v>
      </c>
      <c r="H278" s="2">
        <f t="shared" si="103"/>
        <v>0</v>
      </c>
      <c r="I278" s="2">
        <f t="shared" si="104"/>
        <v>0</v>
      </c>
      <c r="NH278" cm="1">
        <f t="array" ref="NH278:NJ278">SUMIFS($J278:$GG278,$J$1:$GG$1,NH$3:NJ$3)</f>
        <v>0</v>
      </c>
      <c r="NI278">
        <v>0</v>
      </c>
      <c r="NJ278">
        <v>0</v>
      </c>
      <c r="NK278" cm="1">
        <f t="array" ref="NK278">IFERROR(MAX((_xlfn.ANCHORARRAY(NH278)-AVERAGE(_xlfn.ANCHORARRAY(NH278)))/ AVERAGE(_xlfn.ANCHORARRAY(NH278))),0)</f>
        <v>0</v>
      </c>
      <c r="NL278" t="str" cm="1">
        <f t="array" ref="NL278">IF(NK278&gt;$NL$1,_xlfn.XLOOKUP(MAX(_xlfn.ANCHORARRAY(NH278)),_xlfn.ANCHORARRAY(NH278),NH$4:NJ$4,""),"")</f>
        <v/>
      </c>
      <c r="NN278" cm="1">
        <f t="array" ref="NN278:NR278">SUMIFS($J278:$GG278,$J$3:$GG$3,NN$3:NR$3)</f>
        <v>0</v>
      </c>
      <c r="NO278">
        <v>0</v>
      </c>
      <c r="NP278">
        <v>0</v>
      </c>
      <c r="NQ278">
        <v>0</v>
      </c>
      <c r="NR278">
        <v>0</v>
      </c>
      <c r="NS278" cm="1">
        <f t="array" ref="NS278">IFERROR(MAX((_xlfn.ANCHORARRAY(NN278)-AVERAGE(_xlfn.ANCHORARRAY(NN278)))/ AVERAGE(_xlfn.ANCHORARRAY(NN278))),0)</f>
        <v>0</v>
      </c>
      <c r="NT278" t="str" cm="1">
        <f t="array" ref="NT278">IF(AND(NS278&gt;$NT$1,NL278&lt;&gt;""),_xlfn.XLOOKUP(MAX(_xlfn.ANCHORARRAY(NN278)),_xlfn.ANCHORARRAY(NN278),NN$4:NR$4,""),"")</f>
        <v/>
      </c>
      <c r="NV278" cm="1">
        <f t="array" ref="NV278:OE278">SUMIFS($J278:$GG278,$J$2:$GG$2,NV$3:OE$3)</f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 cm="1">
        <f t="array" ref="OF278">IFERROR(MAX((_xlfn.ANCHORARRAY(NV278)-AVERAGE(_xlfn.ANCHORARRAY(NV278)))/ AVERAGE(_xlfn.ANCHORARRAY(NV278))),0)</f>
        <v>0</v>
      </c>
      <c r="OG278" t="str" cm="1">
        <f t="array" ref="OG278">IF(OF278&gt;$OG$1,_xlfn.XLOOKUP(MAX(_xlfn.ANCHORARRAY(NV278)),_xlfn.ANCHORARRAY(NV278),NV$4:OE$4,""),"")</f>
        <v/>
      </c>
      <c r="OI278" t="str">
        <f t="shared" si="105"/>
        <v/>
      </c>
    </row>
    <row r="279" spans="2:399" x14ac:dyDescent="0.3">
      <c r="B279" s="2" t="str">
        <f t="shared" si="97"/>
        <v>CORE</v>
      </c>
      <c r="C279" s="2" t="str">
        <f t="shared" si="98"/>
        <v>CORE</v>
      </c>
      <c r="D279" s="2" t="str">
        <f t="shared" si="99"/>
        <v>CORE</v>
      </c>
      <c r="E279" s="2" t="str">
        <f t="shared" si="100"/>
        <v/>
      </c>
      <c r="F279" s="2">
        <f t="shared" si="101"/>
        <v>0</v>
      </c>
      <c r="G279" s="2">
        <f t="shared" si="102"/>
        <v>0</v>
      </c>
      <c r="H279" s="2">
        <f t="shared" si="103"/>
        <v>0</v>
      </c>
      <c r="I279" s="2">
        <f t="shared" si="104"/>
        <v>0</v>
      </c>
      <c r="NH279" cm="1">
        <f t="array" ref="NH279:NJ279">SUMIFS($J279:$GG279,$J$1:$GG$1,NH$3:NJ$3)</f>
        <v>0</v>
      </c>
      <c r="NI279">
        <v>0</v>
      </c>
      <c r="NJ279">
        <v>0</v>
      </c>
      <c r="NK279" cm="1">
        <f t="array" ref="NK279">IFERROR(MAX((_xlfn.ANCHORARRAY(NH279)-AVERAGE(_xlfn.ANCHORARRAY(NH279)))/ AVERAGE(_xlfn.ANCHORARRAY(NH279))),0)</f>
        <v>0</v>
      </c>
      <c r="NL279" t="str" cm="1">
        <f t="array" ref="NL279">IF(NK279&gt;$NL$1,_xlfn.XLOOKUP(MAX(_xlfn.ANCHORARRAY(NH279)),_xlfn.ANCHORARRAY(NH279),NH$4:NJ$4,""),"")</f>
        <v/>
      </c>
      <c r="NN279" cm="1">
        <f t="array" ref="NN279:NR279">SUMIFS($J279:$GG279,$J$3:$GG$3,NN$3:NR$3)</f>
        <v>0</v>
      </c>
      <c r="NO279">
        <v>0</v>
      </c>
      <c r="NP279">
        <v>0</v>
      </c>
      <c r="NQ279">
        <v>0</v>
      </c>
      <c r="NR279">
        <v>0</v>
      </c>
      <c r="NS279" cm="1">
        <f t="array" ref="NS279">IFERROR(MAX((_xlfn.ANCHORARRAY(NN279)-AVERAGE(_xlfn.ANCHORARRAY(NN279)))/ AVERAGE(_xlfn.ANCHORARRAY(NN279))),0)</f>
        <v>0</v>
      </c>
      <c r="NT279" t="str" cm="1">
        <f t="array" ref="NT279">IF(AND(NS279&gt;$NT$1,NL279&lt;&gt;""),_xlfn.XLOOKUP(MAX(_xlfn.ANCHORARRAY(NN279)),_xlfn.ANCHORARRAY(NN279),NN$4:NR$4,""),"")</f>
        <v/>
      </c>
      <c r="NV279" cm="1">
        <f t="array" ref="NV279:OE279">SUMIFS($J279:$GG279,$J$2:$GG$2,NV$3:OE$3)</f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 cm="1">
        <f t="array" ref="OF279">IFERROR(MAX((_xlfn.ANCHORARRAY(NV279)-AVERAGE(_xlfn.ANCHORARRAY(NV279)))/ AVERAGE(_xlfn.ANCHORARRAY(NV279))),0)</f>
        <v>0</v>
      </c>
      <c r="OG279" t="str" cm="1">
        <f t="array" ref="OG279">IF(OF279&gt;$OG$1,_xlfn.XLOOKUP(MAX(_xlfn.ANCHORARRAY(NV279)),_xlfn.ANCHORARRAY(NV279),NV$4:OE$4,""),"")</f>
        <v/>
      </c>
      <c r="OI279" t="str">
        <f t="shared" si="105"/>
        <v/>
      </c>
    </row>
    <row r="280" spans="2:399" x14ac:dyDescent="0.3">
      <c r="B280" s="2" t="str">
        <f t="shared" si="97"/>
        <v>CORE</v>
      </c>
      <c r="C280" s="2" t="str">
        <f t="shared" si="98"/>
        <v>CORE</v>
      </c>
      <c r="D280" s="2" t="str">
        <f t="shared" si="99"/>
        <v>CORE</v>
      </c>
      <c r="E280" s="2" t="str">
        <f t="shared" si="100"/>
        <v/>
      </c>
      <c r="F280" s="2">
        <f t="shared" si="101"/>
        <v>0</v>
      </c>
      <c r="G280" s="2">
        <f t="shared" si="102"/>
        <v>0</v>
      </c>
      <c r="H280" s="2">
        <f t="shared" si="103"/>
        <v>0</v>
      </c>
      <c r="I280" s="2">
        <f t="shared" si="104"/>
        <v>0</v>
      </c>
      <c r="NH280" cm="1">
        <f t="array" ref="NH280:NJ280">SUMIFS($J280:$GG280,$J$1:$GG$1,NH$3:NJ$3)</f>
        <v>0</v>
      </c>
      <c r="NI280">
        <v>0</v>
      </c>
      <c r="NJ280">
        <v>0</v>
      </c>
      <c r="NK280" cm="1">
        <f t="array" ref="NK280">IFERROR(MAX((_xlfn.ANCHORARRAY(NH280)-AVERAGE(_xlfn.ANCHORARRAY(NH280)))/ AVERAGE(_xlfn.ANCHORARRAY(NH280))),0)</f>
        <v>0</v>
      </c>
      <c r="NL280" t="str" cm="1">
        <f t="array" ref="NL280">IF(NK280&gt;$NL$1,_xlfn.XLOOKUP(MAX(_xlfn.ANCHORARRAY(NH280)),_xlfn.ANCHORARRAY(NH280),NH$4:NJ$4,""),"")</f>
        <v/>
      </c>
      <c r="NN280" cm="1">
        <f t="array" ref="NN280:NR280">SUMIFS($J280:$GG280,$J$3:$GG$3,NN$3:NR$3)</f>
        <v>0</v>
      </c>
      <c r="NO280">
        <v>0</v>
      </c>
      <c r="NP280">
        <v>0</v>
      </c>
      <c r="NQ280">
        <v>0</v>
      </c>
      <c r="NR280">
        <v>0</v>
      </c>
      <c r="NS280" cm="1">
        <f t="array" ref="NS280">IFERROR(MAX((_xlfn.ANCHORARRAY(NN280)-AVERAGE(_xlfn.ANCHORARRAY(NN280)))/ AVERAGE(_xlfn.ANCHORARRAY(NN280))),0)</f>
        <v>0</v>
      </c>
      <c r="NT280" t="str" cm="1">
        <f t="array" ref="NT280">IF(AND(NS280&gt;$NT$1,NL280&lt;&gt;""),_xlfn.XLOOKUP(MAX(_xlfn.ANCHORARRAY(NN280)),_xlfn.ANCHORARRAY(NN280),NN$4:NR$4,""),"")</f>
        <v/>
      </c>
      <c r="NV280" cm="1">
        <f t="array" ref="NV280:OE280">SUMIFS($J280:$GG280,$J$2:$GG$2,NV$3:OE$3)</f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 cm="1">
        <f t="array" ref="OF280">IFERROR(MAX((_xlfn.ANCHORARRAY(NV280)-AVERAGE(_xlfn.ANCHORARRAY(NV280)))/ AVERAGE(_xlfn.ANCHORARRAY(NV280))),0)</f>
        <v>0</v>
      </c>
      <c r="OG280" t="str" cm="1">
        <f t="array" ref="OG280">IF(OF280&gt;$OG$1,_xlfn.XLOOKUP(MAX(_xlfn.ANCHORARRAY(NV280)),_xlfn.ANCHORARRAY(NV280),NV$4:OE$4,""),"")</f>
        <v/>
      </c>
      <c r="OI280" t="str">
        <f t="shared" si="105"/>
        <v/>
      </c>
    </row>
    <row r="281" spans="2:399" x14ac:dyDescent="0.3">
      <c r="B281" s="2" t="str">
        <f t="shared" ref="B281:B344" si="106">IF(C281="NotFound",D281,C281)</f>
        <v>CORE</v>
      </c>
      <c r="C281" s="2" t="str">
        <f t="shared" ref="C281:C344" si="107">IF(H281&gt;1,"NotFound","CORE"&amp;_xlfn.XLOOKUP(MAX(J281:GG281,1),J281:GG281,$J$4:$GG$4,""))</f>
        <v>CORE</v>
      </c>
      <c r="D281" s="2" t="str">
        <f t="shared" ref="D281:D344" si="108">IF(F281&gt;1,"NotFound","CORE"&amp;_xlfn.XLOOKUP(MAX(GI281:NF281,1),GI281:NF281,$GI$4:$NF$4,""))</f>
        <v>CORE</v>
      </c>
      <c r="E281" s="2" t="str">
        <f t="shared" ref="E281:E344" si="109">OI281</f>
        <v/>
      </c>
      <c r="F281" s="2">
        <f t="shared" ref="F281:F344" si="110">COUNTIF(GI281:NF281,G281)</f>
        <v>0</v>
      </c>
      <c r="G281" s="2">
        <f t="shared" ref="G281:G344" si="111">MAX(GI281:NF281)</f>
        <v>0</v>
      </c>
      <c r="H281" s="2">
        <f t="shared" ref="H281:H344" si="112">COUNTIF(J281:GG281,I281)</f>
        <v>0</v>
      </c>
      <c r="I281" s="2">
        <f t="shared" ref="I281:I344" si="113">MAX(J281:GG281)</f>
        <v>0</v>
      </c>
      <c r="NH281" cm="1">
        <f t="array" ref="NH281:NJ281">SUMIFS($J281:$GG281,$J$1:$GG$1,NH$3:NJ$3)</f>
        <v>0</v>
      </c>
      <c r="NI281">
        <v>0</v>
      </c>
      <c r="NJ281">
        <v>0</v>
      </c>
      <c r="NK281" cm="1">
        <f t="array" ref="NK281">IFERROR(MAX((_xlfn.ANCHORARRAY(NH281)-AVERAGE(_xlfn.ANCHORARRAY(NH281)))/ AVERAGE(_xlfn.ANCHORARRAY(NH281))),0)</f>
        <v>0</v>
      </c>
      <c r="NL281" t="str" cm="1">
        <f t="array" ref="NL281">IF(NK281&gt;$NL$1,_xlfn.XLOOKUP(MAX(_xlfn.ANCHORARRAY(NH281)),_xlfn.ANCHORARRAY(NH281),NH$4:NJ$4,""),"")</f>
        <v/>
      </c>
      <c r="NN281" cm="1">
        <f t="array" ref="NN281:NR281">SUMIFS($J281:$GG281,$J$3:$GG$3,NN$3:NR$3)</f>
        <v>0</v>
      </c>
      <c r="NO281">
        <v>0</v>
      </c>
      <c r="NP281">
        <v>0</v>
      </c>
      <c r="NQ281">
        <v>0</v>
      </c>
      <c r="NR281">
        <v>0</v>
      </c>
      <c r="NS281" cm="1">
        <f t="array" ref="NS281">IFERROR(MAX((_xlfn.ANCHORARRAY(NN281)-AVERAGE(_xlfn.ANCHORARRAY(NN281)))/ AVERAGE(_xlfn.ANCHORARRAY(NN281))),0)</f>
        <v>0</v>
      </c>
      <c r="NT281" t="str" cm="1">
        <f t="array" ref="NT281">IF(AND(NS281&gt;$NT$1,NL281&lt;&gt;""),_xlfn.XLOOKUP(MAX(_xlfn.ANCHORARRAY(NN281)),_xlfn.ANCHORARRAY(NN281),NN$4:NR$4,""),"")</f>
        <v/>
      </c>
      <c r="NV281" cm="1">
        <f t="array" ref="NV281:OE281">SUMIFS($J281:$GG281,$J$2:$GG$2,NV$3:OE$3)</f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 cm="1">
        <f t="array" ref="OF281">IFERROR(MAX((_xlfn.ANCHORARRAY(NV281)-AVERAGE(_xlfn.ANCHORARRAY(NV281)))/ AVERAGE(_xlfn.ANCHORARRAY(NV281))),0)</f>
        <v>0</v>
      </c>
      <c r="OG281" t="str" cm="1">
        <f t="array" ref="OG281">IF(OF281&gt;$OG$1,_xlfn.XLOOKUP(MAX(_xlfn.ANCHORARRAY(NV281)),_xlfn.ANCHORARRAY(NV281),NV$4:OE$4,""),"")</f>
        <v/>
      </c>
      <c r="OI281" t="str">
        <f t="shared" ref="OI281:OI344" si="114">_xlfn.TEXTJOIN(" : ",,NL281,NT281,OG281)</f>
        <v/>
      </c>
    </row>
    <row r="282" spans="2:399" x14ac:dyDescent="0.3">
      <c r="B282" s="2" t="str">
        <f t="shared" si="106"/>
        <v>CORE</v>
      </c>
      <c r="C282" s="2" t="str">
        <f t="shared" si="107"/>
        <v>CORE</v>
      </c>
      <c r="D282" s="2" t="str">
        <f t="shared" si="108"/>
        <v>CORE</v>
      </c>
      <c r="E282" s="2" t="str">
        <f t="shared" si="109"/>
        <v/>
      </c>
      <c r="F282" s="2">
        <f t="shared" si="110"/>
        <v>0</v>
      </c>
      <c r="G282" s="2">
        <f t="shared" si="111"/>
        <v>0</v>
      </c>
      <c r="H282" s="2">
        <f t="shared" si="112"/>
        <v>0</v>
      </c>
      <c r="I282" s="2">
        <f t="shared" si="113"/>
        <v>0</v>
      </c>
      <c r="NH282" cm="1">
        <f t="array" ref="NH282:NJ282">SUMIFS($J282:$GG282,$J$1:$GG$1,NH$3:NJ$3)</f>
        <v>0</v>
      </c>
      <c r="NI282">
        <v>0</v>
      </c>
      <c r="NJ282">
        <v>0</v>
      </c>
      <c r="NK282" cm="1">
        <f t="array" ref="NK282">IFERROR(MAX((_xlfn.ANCHORARRAY(NH282)-AVERAGE(_xlfn.ANCHORARRAY(NH282)))/ AVERAGE(_xlfn.ANCHORARRAY(NH282))),0)</f>
        <v>0</v>
      </c>
      <c r="NL282" t="str" cm="1">
        <f t="array" ref="NL282">IF(NK282&gt;$NL$1,_xlfn.XLOOKUP(MAX(_xlfn.ANCHORARRAY(NH282)),_xlfn.ANCHORARRAY(NH282),NH$4:NJ$4,""),"")</f>
        <v/>
      </c>
      <c r="NN282" cm="1">
        <f t="array" ref="NN282:NR282">SUMIFS($J282:$GG282,$J$3:$GG$3,NN$3:NR$3)</f>
        <v>0</v>
      </c>
      <c r="NO282">
        <v>0</v>
      </c>
      <c r="NP282">
        <v>0</v>
      </c>
      <c r="NQ282">
        <v>0</v>
      </c>
      <c r="NR282">
        <v>0</v>
      </c>
      <c r="NS282" cm="1">
        <f t="array" ref="NS282">IFERROR(MAX((_xlfn.ANCHORARRAY(NN282)-AVERAGE(_xlfn.ANCHORARRAY(NN282)))/ AVERAGE(_xlfn.ANCHORARRAY(NN282))),0)</f>
        <v>0</v>
      </c>
      <c r="NT282" t="str" cm="1">
        <f t="array" ref="NT282">IF(AND(NS282&gt;$NT$1,NL282&lt;&gt;""),_xlfn.XLOOKUP(MAX(_xlfn.ANCHORARRAY(NN282)),_xlfn.ANCHORARRAY(NN282),NN$4:NR$4,""),"")</f>
        <v/>
      </c>
      <c r="NV282" cm="1">
        <f t="array" ref="NV282:OE282">SUMIFS($J282:$GG282,$J$2:$GG$2,NV$3:OE$3)</f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 cm="1">
        <f t="array" ref="OF282">IFERROR(MAX((_xlfn.ANCHORARRAY(NV282)-AVERAGE(_xlfn.ANCHORARRAY(NV282)))/ AVERAGE(_xlfn.ANCHORARRAY(NV282))),0)</f>
        <v>0</v>
      </c>
      <c r="OG282" t="str" cm="1">
        <f t="array" ref="OG282">IF(OF282&gt;$OG$1,_xlfn.XLOOKUP(MAX(_xlfn.ANCHORARRAY(NV282)),_xlfn.ANCHORARRAY(NV282),NV$4:OE$4,""),"")</f>
        <v/>
      </c>
      <c r="OI282" t="str">
        <f t="shared" si="114"/>
        <v/>
      </c>
    </row>
    <row r="283" spans="2:399" x14ac:dyDescent="0.3">
      <c r="B283" s="2" t="str">
        <f t="shared" si="106"/>
        <v>CORE</v>
      </c>
      <c r="C283" s="2" t="str">
        <f t="shared" si="107"/>
        <v>CORE</v>
      </c>
      <c r="D283" s="2" t="str">
        <f t="shared" si="108"/>
        <v>CORE</v>
      </c>
      <c r="E283" s="2" t="str">
        <f t="shared" si="109"/>
        <v/>
      </c>
      <c r="F283" s="2">
        <f t="shared" si="110"/>
        <v>0</v>
      </c>
      <c r="G283" s="2">
        <f t="shared" si="111"/>
        <v>0</v>
      </c>
      <c r="H283" s="2">
        <f t="shared" si="112"/>
        <v>0</v>
      </c>
      <c r="I283" s="2">
        <f t="shared" si="113"/>
        <v>0</v>
      </c>
      <c r="NH283" cm="1">
        <f t="array" ref="NH283:NJ283">SUMIFS($J283:$GG283,$J$1:$GG$1,NH$3:NJ$3)</f>
        <v>0</v>
      </c>
      <c r="NI283">
        <v>0</v>
      </c>
      <c r="NJ283">
        <v>0</v>
      </c>
      <c r="NK283" cm="1">
        <f t="array" ref="NK283">IFERROR(MAX((_xlfn.ANCHORARRAY(NH283)-AVERAGE(_xlfn.ANCHORARRAY(NH283)))/ AVERAGE(_xlfn.ANCHORARRAY(NH283))),0)</f>
        <v>0</v>
      </c>
      <c r="NL283" t="str" cm="1">
        <f t="array" ref="NL283">IF(NK283&gt;$NL$1,_xlfn.XLOOKUP(MAX(_xlfn.ANCHORARRAY(NH283)),_xlfn.ANCHORARRAY(NH283),NH$4:NJ$4,""),"")</f>
        <v/>
      </c>
      <c r="NN283" cm="1">
        <f t="array" ref="NN283:NR283">SUMIFS($J283:$GG283,$J$3:$GG$3,NN$3:NR$3)</f>
        <v>0</v>
      </c>
      <c r="NO283">
        <v>0</v>
      </c>
      <c r="NP283">
        <v>0</v>
      </c>
      <c r="NQ283">
        <v>0</v>
      </c>
      <c r="NR283">
        <v>0</v>
      </c>
      <c r="NS283" cm="1">
        <f t="array" ref="NS283">IFERROR(MAX((_xlfn.ANCHORARRAY(NN283)-AVERAGE(_xlfn.ANCHORARRAY(NN283)))/ AVERAGE(_xlfn.ANCHORARRAY(NN283))),0)</f>
        <v>0</v>
      </c>
      <c r="NT283" t="str" cm="1">
        <f t="array" ref="NT283">IF(AND(NS283&gt;$NT$1,NL283&lt;&gt;""),_xlfn.XLOOKUP(MAX(_xlfn.ANCHORARRAY(NN283)),_xlfn.ANCHORARRAY(NN283),NN$4:NR$4,""),"")</f>
        <v/>
      </c>
      <c r="NV283" cm="1">
        <f t="array" ref="NV283:OE283">SUMIFS($J283:$GG283,$J$2:$GG$2,NV$3:OE$3)</f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 cm="1">
        <f t="array" ref="OF283">IFERROR(MAX((_xlfn.ANCHORARRAY(NV283)-AVERAGE(_xlfn.ANCHORARRAY(NV283)))/ AVERAGE(_xlfn.ANCHORARRAY(NV283))),0)</f>
        <v>0</v>
      </c>
      <c r="OG283" t="str" cm="1">
        <f t="array" ref="OG283">IF(OF283&gt;$OG$1,_xlfn.XLOOKUP(MAX(_xlfn.ANCHORARRAY(NV283)),_xlfn.ANCHORARRAY(NV283),NV$4:OE$4,""),"")</f>
        <v/>
      </c>
      <c r="OI283" t="str">
        <f t="shared" si="114"/>
        <v/>
      </c>
    </row>
    <row r="284" spans="2:399" x14ac:dyDescent="0.3">
      <c r="B284" s="2" t="str">
        <f t="shared" si="106"/>
        <v>CORE</v>
      </c>
      <c r="C284" s="2" t="str">
        <f t="shared" si="107"/>
        <v>CORE</v>
      </c>
      <c r="D284" s="2" t="str">
        <f t="shared" si="108"/>
        <v>CORE</v>
      </c>
      <c r="E284" s="2" t="str">
        <f t="shared" si="109"/>
        <v/>
      </c>
      <c r="F284" s="2">
        <f t="shared" si="110"/>
        <v>0</v>
      </c>
      <c r="G284" s="2">
        <f t="shared" si="111"/>
        <v>0</v>
      </c>
      <c r="H284" s="2">
        <f t="shared" si="112"/>
        <v>0</v>
      </c>
      <c r="I284" s="2">
        <f t="shared" si="113"/>
        <v>0</v>
      </c>
      <c r="NH284" cm="1">
        <f t="array" ref="NH284:NJ284">SUMIFS($J284:$GG284,$J$1:$GG$1,NH$3:NJ$3)</f>
        <v>0</v>
      </c>
      <c r="NI284">
        <v>0</v>
      </c>
      <c r="NJ284">
        <v>0</v>
      </c>
      <c r="NK284" cm="1">
        <f t="array" ref="NK284">IFERROR(MAX((_xlfn.ANCHORARRAY(NH284)-AVERAGE(_xlfn.ANCHORARRAY(NH284)))/ AVERAGE(_xlfn.ANCHORARRAY(NH284))),0)</f>
        <v>0</v>
      </c>
      <c r="NL284" t="str" cm="1">
        <f t="array" ref="NL284">IF(NK284&gt;$NL$1,_xlfn.XLOOKUP(MAX(_xlfn.ANCHORARRAY(NH284)),_xlfn.ANCHORARRAY(NH284),NH$4:NJ$4,""),"")</f>
        <v/>
      </c>
      <c r="NN284" cm="1">
        <f t="array" ref="NN284:NR284">SUMIFS($J284:$GG284,$J$3:$GG$3,NN$3:NR$3)</f>
        <v>0</v>
      </c>
      <c r="NO284">
        <v>0</v>
      </c>
      <c r="NP284">
        <v>0</v>
      </c>
      <c r="NQ284">
        <v>0</v>
      </c>
      <c r="NR284">
        <v>0</v>
      </c>
      <c r="NS284" cm="1">
        <f t="array" ref="NS284">IFERROR(MAX((_xlfn.ANCHORARRAY(NN284)-AVERAGE(_xlfn.ANCHORARRAY(NN284)))/ AVERAGE(_xlfn.ANCHORARRAY(NN284))),0)</f>
        <v>0</v>
      </c>
      <c r="NT284" t="str" cm="1">
        <f t="array" ref="NT284">IF(AND(NS284&gt;$NT$1,NL284&lt;&gt;""),_xlfn.XLOOKUP(MAX(_xlfn.ANCHORARRAY(NN284)),_xlfn.ANCHORARRAY(NN284),NN$4:NR$4,""),"")</f>
        <v/>
      </c>
      <c r="NV284" cm="1">
        <f t="array" ref="NV284:OE284">SUMIFS($J284:$GG284,$J$2:$GG$2,NV$3:OE$3)</f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 cm="1">
        <f t="array" ref="OF284">IFERROR(MAX((_xlfn.ANCHORARRAY(NV284)-AVERAGE(_xlfn.ANCHORARRAY(NV284)))/ AVERAGE(_xlfn.ANCHORARRAY(NV284))),0)</f>
        <v>0</v>
      </c>
      <c r="OG284" t="str" cm="1">
        <f t="array" ref="OG284">IF(OF284&gt;$OG$1,_xlfn.XLOOKUP(MAX(_xlfn.ANCHORARRAY(NV284)),_xlfn.ANCHORARRAY(NV284),NV$4:OE$4,""),"")</f>
        <v/>
      </c>
      <c r="OI284" t="str">
        <f t="shared" si="114"/>
        <v/>
      </c>
    </row>
    <row r="285" spans="2:399" x14ac:dyDescent="0.3">
      <c r="B285" s="2" t="str">
        <f t="shared" si="106"/>
        <v>CORE</v>
      </c>
      <c r="C285" s="2" t="str">
        <f t="shared" si="107"/>
        <v>CORE</v>
      </c>
      <c r="D285" s="2" t="str">
        <f t="shared" si="108"/>
        <v>CORE</v>
      </c>
      <c r="E285" s="2" t="str">
        <f t="shared" si="109"/>
        <v/>
      </c>
      <c r="F285" s="2">
        <f t="shared" si="110"/>
        <v>0</v>
      </c>
      <c r="G285" s="2">
        <f t="shared" si="111"/>
        <v>0</v>
      </c>
      <c r="H285" s="2">
        <f t="shared" si="112"/>
        <v>0</v>
      </c>
      <c r="I285" s="2">
        <f t="shared" si="113"/>
        <v>0</v>
      </c>
      <c r="NH285" cm="1">
        <f t="array" ref="NH285:NJ285">SUMIFS($J285:$GG285,$J$1:$GG$1,NH$3:NJ$3)</f>
        <v>0</v>
      </c>
      <c r="NI285">
        <v>0</v>
      </c>
      <c r="NJ285">
        <v>0</v>
      </c>
      <c r="NK285" cm="1">
        <f t="array" ref="NK285">IFERROR(MAX((_xlfn.ANCHORARRAY(NH285)-AVERAGE(_xlfn.ANCHORARRAY(NH285)))/ AVERAGE(_xlfn.ANCHORARRAY(NH285))),0)</f>
        <v>0</v>
      </c>
      <c r="NL285" t="str" cm="1">
        <f t="array" ref="NL285">IF(NK285&gt;$NL$1,_xlfn.XLOOKUP(MAX(_xlfn.ANCHORARRAY(NH285)),_xlfn.ANCHORARRAY(NH285),NH$4:NJ$4,""),"")</f>
        <v/>
      </c>
      <c r="NN285" cm="1">
        <f t="array" ref="NN285:NR285">SUMIFS($J285:$GG285,$J$3:$GG$3,NN$3:NR$3)</f>
        <v>0</v>
      </c>
      <c r="NO285">
        <v>0</v>
      </c>
      <c r="NP285">
        <v>0</v>
      </c>
      <c r="NQ285">
        <v>0</v>
      </c>
      <c r="NR285">
        <v>0</v>
      </c>
      <c r="NS285" cm="1">
        <f t="array" ref="NS285">IFERROR(MAX((_xlfn.ANCHORARRAY(NN285)-AVERAGE(_xlfn.ANCHORARRAY(NN285)))/ AVERAGE(_xlfn.ANCHORARRAY(NN285))),0)</f>
        <v>0</v>
      </c>
      <c r="NT285" t="str" cm="1">
        <f t="array" ref="NT285">IF(AND(NS285&gt;$NT$1,NL285&lt;&gt;""),_xlfn.XLOOKUP(MAX(_xlfn.ANCHORARRAY(NN285)),_xlfn.ANCHORARRAY(NN285),NN$4:NR$4,""),"")</f>
        <v/>
      </c>
      <c r="NV285" cm="1">
        <f t="array" ref="NV285:OE285">SUMIFS($J285:$GG285,$J$2:$GG$2,NV$3:OE$3)</f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 cm="1">
        <f t="array" ref="OF285">IFERROR(MAX((_xlfn.ANCHORARRAY(NV285)-AVERAGE(_xlfn.ANCHORARRAY(NV285)))/ AVERAGE(_xlfn.ANCHORARRAY(NV285))),0)</f>
        <v>0</v>
      </c>
      <c r="OG285" t="str" cm="1">
        <f t="array" ref="OG285">IF(OF285&gt;$OG$1,_xlfn.XLOOKUP(MAX(_xlfn.ANCHORARRAY(NV285)),_xlfn.ANCHORARRAY(NV285),NV$4:OE$4,""),"")</f>
        <v/>
      </c>
      <c r="OI285" t="str">
        <f t="shared" si="114"/>
        <v/>
      </c>
    </row>
    <row r="286" spans="2:399" x14ac:dyDescent="0.3">
      <c r="B286" s="2" t="str">
        <f t="shared" si="106"/>
        <v>CORE</v>
      </c>
      <c r="C286" s="2" t="str">
        <f t="shared" si="107"/>
        <v>CORE</v>
      </c>
      <c r="D286" s="2" t="str">
        <f t="shared" si="108"/>
        <v>CORE</v>
      </c>
      <c r="E286" s="2" t="str">
        <f t="shared" si="109"/>
        <v/>
      </c>
      <c r="F286" s="2">
        <f t="shared" si="110"/>
        <v>0</v>
      </c>
      <c r="G286" s="2">
        <f t="shared" si="111"/>
        <v>0</v>
      </c>
      <c r="H286" s="2">
        <f t="shared" si="112"/>
        <v>0</v>
      </c>
      <c r="I286" s="2">
        <f t="shared" si="113"/>
        <v>0</v>
      </c>
      <c r="NH286" cm="1">
        <f t="array" ref="NH286:NJ286">SUMIFS($J286:$GG286,$J$1:$GG$1,NH$3:NJ$3)</f>
        <v>0</v>
      </c>
      <c r="NI286">
        <v>0</v>
      </c>
      <c r="NJ286">
        <v>0</v>
      </c>
      <c r="NK286" cm="1">
        <f t="array" ref="NK286">IFERROR(MAX((_xlfn.ANCHORARRAY(NH286)-AVERAGE(_xlfn.ANCHORARRAY(NH286)))/ AVERAGE(_xlfn.ANCHORARRAY(NH286))),0)</f>
        <v>0</v>
      </c>
      <c r="NL286" t="str" cm="1">
        <f t="array" ref="NL286">IF(NK286&gt;$NL$1,_xlfn.XLOOKUP(MAX(_xlfn.ANCHORARRAY(NH286)),_xlfn.ANCHORARRAY(NH286),NH$4:NJ$4,""),"")</f>
        <v/>
      </c>
      <c r="NN286" cm="1">
        <f t="array" ref="NN286:NR286">SUMIFS($J286:$GG286,$J$3:$GG$3,NN$3:NR$3)</f>
        <v>0</v>
      </c>
      <c r="NO286">
        <v>0</v>
      </c>
      <c r="NP286">
        <v>0</v>
      </c>
      <c r="NQ286">
        <v>0</v>
      </c>
      <c r="NR286">
        <v>0</v>
      </c>
      <c r="NS286" cm="1">
        <f t="array" ref="NS286">IFERROR(MAX((_xlfn.ANCHORARRAY(NN286)-AVERAGE(_xlfn.ANCHORARRAY(NN286)))/ AVERAGE(_xlfn.ANCHORARRAY(NN286))),0)</f>
        <v>0</v>
      </c>
      <c r="NT286" t="str" cm="1">
        <f t="array" ref="NT286">IF(AND(NS286&gt;$NT$1,NL286&lt;&gt;""),_xlfn.XLOOKUP(MAX(_xlfn.ANCHORARRAY(NN286)),_xlfn.ANCHORARRAY(NN286),NN$4:NR$4,""),"")</f>
        <v/>
      </c>
      <c r="NV286" cm="1">
        <f t="array" ref="NV286:OE286">SUMIFS($J286:$GG286,$J$2:$GG$2,NV$3:OE$3)</f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 cm="1">
        <f t="array" ref="OF286">IFERROR(MAX((_xlfn.ANCHORARRAY(NV286)-AVERAGE(_xlfn.ANCHORARRAY(NV286)))/ AVERAGE(_xlfn.ANCHORARRAY(NV286))),0)</f>
        <v>0</v>
      </c>
      <c r="OG286" t="str" cm="1">
        <f t="array" ref="OG286">IF(OF286&gt;$OG$1,_xlfn.XLOOKUP(MAX(_xlfn.ANCHORARRAY(NV286)),_xlfn.ANCHORARRAY(NV286),NV$4:OE$4,""),"")</f>
        <v/>
      </c>
      <c r="OI286" t="str">
        <f t="shared" si="114"/>
        <v/>
      </c>
    </row>
    <row r="287" spans="2:399" x14ac:dyDescent="0.3">
      <c r="B287" s="2" t="str">
        <f t="shared" si="106"/>
        <v>CORE</v>
      </c>
      <c r="C287" s="2" t="str">
        <f t="shared" si="107"/>
        <v>CORE</v>
      </c>
      <c r="D287" s="2" t="str">
        <f t="shared" si="108"/>
        <v>CORE</v>
      </c>
      <c r="E287" s="2" t="str">
        <f t="shared" si="109"/>
        <v/>
      </c>
      <c r="F287" s="2">
        <f t="shared" si="110"/>
        <v>0</v>
      </c>
      <c r="G287" s="2">
        <f t="shared" si="111"/>
        <v>0</v>
      </c>
      <c r="H287" s="2">
        <f t="shared" si="112"/>
        <v>0</v>
      </c>
      <c r="I287" s="2">
        <f t="shared" si="113"/>
        <v>0</v>
      </c>
      <c r="NH287" cm="1">
        <f t="array" ref="NH287:NJ287">SUMIFS($J287:$GG287,$J$1:$GG$1,NH$3:NJ$3)</f>
        <v>0</v>
      </c>
      <c r="NI287">
        <v>0</v>
      </c>
      <c r="NJ287">
        <v>0</v>
      </c>
      <c r="NK287" cm="1">
        <f t="array" ref="NK287">IFERROR(MAX((_xlfn.ANCHORARRAY(NH287)-AVERAGE(_xlfn.ANCHORARRAY(NH287)))/ AVERAGE(_xlfn.ANCHORARRAY(NH287))),0)</f>
        <v>0</v>
      </c>
      <c r="NL287" t="str" cm="1">
        <f t="array" ref="NL287">IF(NK287&gt;$NL$1,_xlfn.XLOOKUP(MAX(_xlfn.ANCHORARRAY(NH287)),_xlfn.ANCHORARRAY(NH287),NH$4:NJ$4,""),"")</f>
        <v/>
      </c>
      <c r="NN287" cm="1">
        <f t="array" ref="NN287:NR287">SUMIFS($J287:$GG287,$J$3:$GG$3,NN$3:NR$3)</f>
        <v>0</v>
      </c>
      <c r="NO287">
        <v>0</v>
      </c>
      <c r="NP287">
        <v>0</v>
      </c>
      <c r="NQ287">
        <v>0</v>
      </c>
      <c r="NR287">
        <v>0</v>
      </c>
      <c r="NS287" cm="1">
        <f t="array" ref="NS287">IFERROR(MAX((_xlfn.ANCHORARRAY(NN287)-AVERAGE(_xlfn.ANCHORARRAY(NN287)))/ AVERAGE(_xlfn.ANCHORARRAY(NN287))),0)</f>
        <v>0</v>
      </c>
      <c r="NT287" t="str" cm="1">
        <f t="array" ref="NT287">IF(AND(NS287&gt;$NT$1,NL287&lt;&gt;""),_xlfn.XLOOKUP(MAX(_xlfn.ANCHORARRAY(NN287)),_xlfn.ANCHORARRAY(NN287),NN$4:NR$4,""),"")</f>
        <v/>
      </c>
      <c r="NV287" cm="1">
        <f t="array" ref="NV287:OE287">SUMIFS($J287:$GG287,$J$2:$GG$2,NV$3:OE$3)</f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 cm="1">
        <f t="array" ref="OF287">IFERROR(MAX((_xlfn.ANCHORARRAY(NV287)-AVERAGE(_xlfn.ANCHORARRAY(NV287)))/ AVERAGE(_xlfn.ANCHORARRAY(NV287))),0)</f>
        <v>0</v>
      </c>
      <c r="OG287" t="str" cm="1">
        <f t="array" ref="OG287">IF(OF287&gt;$OG$1,_xlfn.XLOOKUP(MAX(_xlfn.ANCHORARRAY(NV287)),_xlfn.ANCHORARRAY(NV287),NV$4:OE$4,""),"")</f>
        <v/>
      </c>
      <c r="OI287" t="str">
        <f t="shared" si="114"/>
        <v/>
      </c>
    </row>
    <row r="288" spans="2:399" x14ac:dyDescent="0.3">
      <c r="B288" s="2" t="str">
        <f t="shared" si="106"/>
        <v>CORE</v>
      </c>
      <c r="C288" s="2" t="str">
        <f t="shared" si="107"/>
        <v>CORE</v>
      </c>
      <c r="D288" s="2" t="str">
        <f t="shared" si="108"/>
        <v>CORE</v>
      </c>
      <c r="E288" s="2" t="str">
        <f t="shared" si="109"/>
        <v/>
      </c>
      <c r="F288" s="2">
        <f t="shared" si="110"/>
        <v>0</v>
      </c>
      <c r="G288" s="2">
        <f t="shared" si="111"/>
        <v>0</v>
      </c>
      <c r="H288" s="2">
        <f t="shared" si="112"/>
        <v>0</v>
      </c>
      <c r="I288" s="2">
        <f t="shared" si="113"/>
        <v>0</v>
      </c>
      <c r="NH288" cm="1">
        <f t="array" ref="NH288:NJ288">SUMIFS($J288:$GG288,$J$1:$GG$1,NH$3:NJ$3)</f>
        <v>0</v>
      </c>
      <c r="NI288">
        <v>0</v>
      </c>
      <c r="NJ288">
        <v>0</v>
      </c>
      <c r="NK288" cm="1">
        <f t="array" ref="NK288">IFERROR(MAX((_xlfn.ANCHORARRAY(NH288)-AVERAGE(_xlfn.ANCHORARRAY(NH288)))/ AVERAGE(_xlfn.ANCHORARRAY(NH288))),0)</f>
        <v>0</v>
      </c>
      <c r="NL288" t="str" cm="1">
        <f t="array" ref="NL288">IF(NK288&gt;$NL$1,_xlfn.XLOOKUP(MAX(_xlfn.ANCHORARRAY(NH288)),_xlfn.ANCHORARRAY(NH288),NH$4:NJ$4,""),"")</f>
        <v/>
      </c>
      <c r="NN288" cm="1">
        <f t="array" ref="NN288:NR288">SUMIFS($J288:$GG288,$J$3:$GG$3,NN$3:NR$3)</f>
        <v>0</v>
      </c>
      <c r="NO288">
        <v>0</v>
      </c>
      <c r="NP288">
        <v>0</v>
      </c>
      <c r="NQ288">
        <v>0</v>
      </c>
      <c r="NR288">
        <v>0</v>
      </c>
      <c r="NS288" cm="1">
        <f t="array" ref="NS288">IFERROR(MAX((_xlfn.ANCHORARRAY(NN288)-AVERAGE(_xlfn.ANCHORARRAY(NN288)))/ AVERAGE(_xlfn.ANCHORARRAY(NN288))),0)</f>
        <v>0</v>
      </c>
      <c r="NT288" t="str" cm="1">
        <f t="array" ref="NT288">IF(AND(NS288&gt;$NT$1,NL288&lt;&gt;""),_xlfn.XLOOKUP(MAX(_xlfn.ANCHORARRAY(NN288)),_xlfn.ANCHORARRAY(NN288),NN$4:NR$4,""),"")</f>
        <v/>
      </c>
      <c r="NV288" cm="1">
        <f t="array" ref="NV288:OE288">SUMIFS($J288:$GG288,$J$2:$GG$2,NV$3:OE$3)</f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 cm="1">
        <f t="array" ref="OF288">IFERROR(MAX((_xlfn.ANCHORARRAY(NV288)-AVERAGE(_xlfn.ANCHORARRAY(NV288)))/ AVERAGE(_xlfn.ANCHORARRAY(NV288))),0)</f>
        <v>0</v>
      </c>
      <c r="OG288" t="str" cm="1">
        <f t="array" ref="OG288">IF(OF288&gt;$OG$1,_xlfn.XLOOKUP(MAX(_xlfn.ANCHORARRAY(NV288)),_xlfn.ANCHORARRAY(NV288),NV$4:OE$4,""),"")</f>
        <v/>
      </c>
      <c r="OI288" t="str">
        <f t="shared" si="114"/>
        <v/>
      </c>
    </row>
    <row r="289" spans="2:399" x14ac:dyDescent="0.3">
      <c r="B289" s="2" t="str">
        <f t="shared" si="106"/>
        <v>CORE</v>
      </c>
      <c r="C289" s="2" t="str">
        <f t="shared" si="107"/>
        <v>CORE</v>
      </c>
      <c r="D289" s="2" t="str">
        <f t="shared" si="108"/>
        <v>CORE</v>
      </c>
      <c r="E289" s="2" t="str">
        <f t="shared" si="109"/>
        <v/>
      </c>
      <c r="F289" s="2">
        <f t="shared" si="110"/>
        <v>0</v>
      </c>
      <c r="G289" s="2">
        <f t="shared" si="111"/>
        <v>0</v>
      </c>
      <c r="H289" s="2">
        <f t="shared" si="112"/>
        <v>0</v>
      </c>
      <c r="I289" s="2">
        <f t="shared" si="113"/>
        <v>0</v>
      </c>
      <c r="NH289" cm="1">
        <f t="array" ref="NH289:NJ289">SUMIFS($J289:$GG289,$J$1:$GG$1,NH$3:NJ$3)</f>
        <v>0</v>
      </c>
      <c r="NI289">
        <v>0</v>
      </c>
      <c r="NJ289">
        <v>0</v>
      </c>
      <c r="NK289" cm="1">
        <f t="array" ref="NK289">IFERROR(MAX((_xlfn.ANCHORARRAY(NH289)-AVERAGE(_xlfn.ANCHORARRAY(NH289)))/ AVERAGE(_xlfn.ANCHORARRAY(NH289))),0)</f>
        <v>0</v>
      </c>
      <c r="NL289" t="str" cm="1">
        <f t="array" ref="NL289">IF(NK289&gt;$NL$1,_xlfn.XLOOKUP(MAX(_xlfn.ANCHORARRAY(NH289)),_xlfn.ANCHORARRAY(NH289),NH$4:NJ$4,""),"")</f>
        <v/>
      </c>
      <c r="NN289" cm="1">
        <f t="array" ref="NN289:NR289">SUMIFS($J289:$GG289,$J$3:$GG$3,NN$3:NR$3)</f>
        <v>0</v>
      </c>
      <c r="NO289">
        <v>0</v>
      </c>
      <c r="NP289">
        <v>0</v>
      </c>
      <c r="NQ289">
        <v>0</v>
      </c>
      <c r="NR289">
        <v>0</v>
      </c>
      <c r="NS289" cm="1">
        <f t="array" ref="NS289">IFERROR(MAX((_xlfn.ANCHORARRAY(NN289)-AVERAGE(_xlfn.ANCHORARRAY(NN289)))/ AVERAGE(_xlfn.ANCHORARRAY(NN289))),0)</f>
        <v>0</v>
      </c>
      <c r="NT289" t="str" cm="1">
        <f t="array" ref="NT289">IF(AND(NS289&gt;$NT$1,NL289&lt;&gt;""),_xlfn.XLOOKUP(MAX(_xlfn.ANCHORARRAY(NN289)),_xlfn.ANCHORARRAY(NN289),NN$4:NR$4,""),"")</f>
        <v/>
      </c>
      <c r="NV289" cm="1">
        <f t="array" ref="NV289:OE289">SUMIFS($J289:$GG289,$J$2:$GG$2,NV$3:OE$3)</f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 cm="1">
        <f t="array" ref="OF289">IFERROR(MAX((_xlfn.ANCHORARRAY(NV289)-AVERAGE(_xlfn.ANCHORARRAY(NV289)))/ AVERAGE(_xlfn.ANCHORARRAY(NV289))),0)</f>
        <v>0</v>
      </c>
      <c r="OG289" t="str" cm="1">
        <f t="array" ref="OG289">IF(OF289&gt;$OG$1,_xlfn.XLOOKUP(MAX(_xlfn.ANCHORARRAY(NV289)),_xlfn.ANCHORARRAY(NV289),NV$4:OE$4,""),"")</f>
        <v/>
      </c>
      <c r="OI289" t="str">
        <f t="shared" si="114"/>
        <v/>
      </c>
    </row>
    <row r="290" spans="2:399" x14ac:dyDescent="0.3">
      <c r="B290" s="2" t="str">
        <f t="shared" si="106"/>
        <v>CORE</v>
      </c>
      <c r="C290" s="2" t="str">
        <f t="shared" si="107"/>
        <v>CORE</v>
      </c>
      <c r="D290" s="2" t="str">
        <f t="shared" si="108"/>
        <v>CORE</v>
      </c>
      <c r="E290" s="2" t="str">
        <f t="shared" si="109"/>
        <v/>
      </c>
      <c r="F290" s="2">
        <f t="shared" si="110"/>
        <v>0</v>
      </c>
      <c r="G290" s="2">
        <f t="shared" si="111"/>
        <v>0</v>
      </c>
      <c r="H290" s="2">
        <f t="shared" si="112"/>
        <v>0</v>
      </c>
      <c r="I290" s="2">
        <f t="shared" si="113"/>
        <v>0</v>
      </c>
      <c r="NH290" cm="1">
        <f t="array" ref="NH290:NJ290">SUMIFS($J290:$GG290,$J$1:$GG$1,NH$3:NJ$3)</f>
        <v>0</v>
      </c>
      <c r="NI290">
        <v>0</v>
      </c>
      <c r="NJ290">
        <v>0</v>
      </c>
      <c r="NK290" cm="1">
        <f t="array" ref="NK290">IFERROR(MAX((_xlfn.ANCHORARRAY(NH290)-AVERAGE(_xlfn.ANCHORARRAY(NH290)))/ AVERAGE(_xlfn.ANCHORARRAY(NH290))),0)</f>
        <v>0</v>
      </c>
      <c r="NL290" t="str" cm="1">
        <f t="array" ref="NL290">IF(NK290&gt;$NL$1,_xlfn.XLOOKUP(MAX(_xlfn.ANCHORARRAY(NH290)),_xlfn.ANCHORARRAY(NH290),NH$4:NJ$4,""),"")</f>
        <v/>
      </c>
      <c r="NN290" cm="1">
        <f t="array" ref="NN290:NR290">SUMIFS($J290:$GG290,$J$3:$GG$3,NN$3:NR$3)</f>
        <v>0</v>
      </c>
      <c r="NO290">
        <v>0</v>
      </c>
      <c r="NP290">
        <v>0</v>
      </c>
      <c r="NQ290">
        <v>0</v>
      </c>
      <c r="NR290">
        <v>0</v>
      </c>
      <c r="NS290" cm="1">
        <f t="array" ref="NS290">IFERROR(MAX((_xlfn.ANCHORARRAY(NN290)-AVERAGE(_xlfn.ANCHORARRAY(NN290)))/ AVERAGE(_xlfn.ANCHORARRAY(NN290))),0)</f>
        <v>0</v>
      </c>
      <c r="NT290" t="str" cm="1">
        <f t="array" ref="NT290">IF(AND(NS290&gt;$NT$1,NL290&lt;&gt;""),_xlfn.XLOOKUP(MAX(_xlfn.ANCHORARRAY(NN290)),_xlfn.ANCHORARRAY(NN290),NN$4:NR$4,""),"")</f>
        <v/>
      </c>
      <c r="NV290" cm="1">
        <f t="array" ref="NV290:OE290">SUMIFS($J290:$GG290,$J$2:$GG$2,NV$3:OE$3)</f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 cm="1">
        <f t="array" ref="OF290">IFERROR(MAX((_xlfn.ANCHORARRAY(NV290)-AVERAGE(_xlfn.ANCHORARRAY(NV290)))/ AVERAGE(_xlfn.ANCHORARRAY(NV290))),0)</f>
        <v>0</v>
      </c>
      <c r="OG290" t="str" cm="1">
        <f t="array" ref="OG290">IF(OF290&gt;$OG$1,_xlfn.XLOOKUP(MAX(_xlfn.ANCHORARRAY(NV290)),_xlfn.ANCHORARRAY(NV290),NV$4:OE$4,""),"")</f>
        <v/>
      </c>
      <c r="OI290" t="str">
        <f t="shared" si="114"/>
        <v/>
      </c>
    </row>
    <row r="291" spans="2:399" x14ac:dyDescent="0.3">
      <c r="B291" s="2" t="str">
        <f t="shared" si="106"/>
        <v>CORE</v>
      </c>
      <c r="C291" s="2" t="str">
        <f t="shared" si="107"/>
        <v>CORE</v>
      </c>
      <c r="D291" s="2" t="str">
        <f t="shared" si="108"/>
        <v>CORE</v>
      </c>
      <c r="E291" s="2" t="str">
        <f t="shared" si="109"/>
        <v/>
      </c>
      <c r="F291" s="2">
        <f t="shared" si="110"/>
        <v>0</v>
      </c>
      <c r="G291" s="2">
        <f t="shared" si="111"/>
        <v>0</v>
      </c>
      <c r="H291" s="2">
        <f t="shared" si="112"/>
        <v>0</v>
      </c>
      <c r="I291" s="2">
        <f t="shared" si="113"/>
        <v>0</v>
      </c>
      <c r="NH291" cm="1">
        <f t="array" ref="NH291:NJ291">SUMIFS($J291:$GG291,$J$1:$GG$1,NH$3:NJ$3)</f>
        <v>0</v>
      </c>
      <c r="NI291">
        <v>0</v>
      </c>
      <c r="NJ291">
        <v>0</v>
      </c>
      <c r="NK291" cm="1">
        <f t="array" ref="NK291">IFERROR(MAX((_xlfn.ANCHORARRAY(NH291)-AVERAGE(_xlfn.ANCHORARRAY(NH291)))/ AVERAGE(_xlfn.ANCHORARRAY(NH291))),0)</f>
        <v>0</v>
      </c>
      <c r="NL291" t="str" cm="1">
        <f t="array" ref="NL291">IF(NK291&gt;$NL$1,_xlfn.XLOOKUP(MAX(_xlfn.ANCHORARRAY(NH291)),_xlfn.ANCHORARRAY(NH291),NH$4:NJ$4,""),"")</f>
        <v/>
      </c>
      <c r="NN291" cm="1">
        <f t="array" ref="NN291:NR291">SUMIFS($J291:$GG291,$J$3:$GG$3,NN$3:NR$3)</f>
        <v>0</v>
      </c>
      <c r="NO291">
        <v>0</v>
      </c>
      <c r="NP291">
        <v>0</v>
      </c>
      <c r="NQ291">
        <v>0</v>
      </c>
      <c r="NR291">
        <v>0</v>
      </c>
      <c r="NS291" cm="1">
        <f t="array" ref="NS291">IFERROR(MAX((_xlfn.ANCHORARRAY(NN291)-AVERAGE(_xlfn.ANCHORARRAY(NN291)))/ AVERAGE(_xlfn.ANCHORARRAY(NN291))),0)</f>
        <v>0</v>
      </c>
      <c r="NT291" t="str" cm="1">
        <f t="array" ref="NT291">IF(AND(NS291&gt;$NT$1,NL291&lt;&gt;""),_xlfn.XLOOKUP(MAX(_xlfn.ANCHORARRAY(NN291)),_xlfn.ANCHORARRAY(NN291),NN$4:NR$4,""),"")</f>
        <v/>
      </c>
      <c r="NV291" cm="1">
        <f t="array" ref="NV291:OE291">SUMIFS($J291:$GG291,$J$2:$GG$2,NV$3:OE$3)</f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 cm="1">
        <f t="array" ref="OF291">IFERROR(MAX((_xlfn.ANCHORARRAY(NV291)-AVERAGE(_xlfn.ANCHORARRAY(NV291)))/ AVERAGE(_xlfn.ANCHORARRAY(NV291))),0)</f>
        <v>0</v>
      </c>
      <c r="OG291" t="str" cm="1">
        <f t="array" ref="OG291">IF(OF291&gt;$OG$1,_xlfn.XLOOKUP(MAX(_xlfn.ANCHORARRAY(NV291)),_xlfn.ANCHORARRAY(NV291),NV$4:OE$4,""),"")</f>
        <v/>
      </c>
      <c r="OI291" t="str">
        <f t="shared" si="114"/>
        <v/>
      </c>
    </row>
    <row r="292" spans="2:399" x14ac:dyDescent="0.3">
      <c r="B292" s="2" t="str">
        <f t="shared" si="106"/>
        <v>CORE</v>
      </c>
      <c r="C292" s="2" t="str">
        <f t="shared" si="107"/>
        <v>CORE</v>
      </c>
      <c r="D292" s="2" t="str">
        <f t="shared" si="108"/>
        <v>CORE</v>
      </c>
      <c r="E292" s="2" t="str">
        <f t="shared" si="109"/>
        <v/>
      </c>
      <c r="F292" s="2">
        <f t="shared" si="110"/>
        <v>0</v>
      </c>
      <c r="G292" s="2">
        <f t="shared" si="111"/>
        <v>0</v>
      </c>
      <c r="H292" s="2">
        <f t="shared" si="112"/>
        <v>0</v>
      </c>
      <c r="I292" s="2">
        <f t="shared" si="113"/>
        <v>0</v>
      </c>
      <c r="NH292" cm="1">
        <f t="array" ref="NH292:NJ292">SUMIFS($J292:$GG292,$J$1:$GG$1,NH$3:NJ$3)</f>
        <v>0</v>
      </c>
      <c r="NI292">
        <v>0</v>
      </c>
      <c r="NJ292">
        <v>0</v>
      </c>
      <c r="NK292" cm="1">
        <f t="array" ref="NK292">IFERROR(MAX((_xlfn.ANCHORARRAY(NH292)-AVERAGE(_xlfn.ANCHORARRAY(NH292)))/ AVERAGE(_xlfn.ANCHORARRAY(NH292))),0)</f>
        <v>0</v>
      </c>
      <c r="NL292" t="str" cm="1">
        <f t="array" ref="NL292">IF(NK292&gt;$NL$1,_xlfn.XLOOKUP(MAX(_xlfn.ANCHORARRAY(NH292)),_xlfn.ANCHORARRAY(NH292),NH$4:NJ$4,""),"")</f>
        <v/>
      </c>
      <c r="NN292" cm="1">
        <f t="array" ref="NN292:NR292">SUMIFS($J292:$GG292,$J$3:$GG$3,NN$3:NR$3)</f>
        <v>0</v>
      </c>
      <c r="NO292">
        <v>0</v>
      </c>
      <c r="NP292">
        <v>0</v>
      </c>
      <c r="NQ292">
        <v>0</v>
      </c>
      <c r="NR292">
        <v>0</v>
      </c>
      <c r="NS292" cm="1">
        <f t="array" ref="NS292">IFERROR(MAX((_xlfn.ANCHORARRAY(NN292)-AVERAGE(_xlfn.ANCHORARRAY(NN292)))/ AVERAGE(_xlfn.ANCHORARRAY(NN292))),0)</f>
        <v>0</v>
      </c>
      <c r="NT292" t="str" cm="1">
        <f t="array" ref="NT292">IF(AND(NS292&gt;$NT$1,NL292&lt;&gt;""),_xlfn.XLOOKUP(MAX(_xlfn.ANCHORARRAY(NN292)),_xlfn.ANCHORARRAY(NN292),NN$4:NR$4,""),"")</f>
        <v/>
      </c>
      <c r="NV292" cm="1">
        <f t="array" ref="NV292:OE292">SUMIFS($J292:$GG292,$J$2:$GG$2,NV$3:OE$3)</f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 cm="1">
        <f t="array" ref="OF292">IFERROR(MAX((_xlfn.ANCHORARRAY(NV292)-AVERAGE(_xlfn.ANCHORARRAY(NV292)))/ AVERAGE(_xlfn.ANCHORARRAY(NV292))),0)</f>
        <v>0</v>
      </c>
      <c r="OG292" t="str" cm="1">
        <f t="array" ref="OG292">IF(OF292&gt;$OG$1,_xlfn.XLOOKUP(MAX(_xlfn.ANCHORARRAY(NV292)),_xlfn.ANCHORARRAY(NV292),NV$4:OE$4,""),"")</f>
        <v/>
      </c>
      <c r="OI292" t="str">
        <f t="shared" si="114"/>
        <v/>
      </c>
    </row>
    <row r="293" spans="2:399" x14ac:dyDescent="0.3">
      <c r="B293" s="2" t="str">
        <f t="shared" si="106"/>
        <v>CORE</v>
      </c>
      <c r="C293" s="2" t="str">
        <f t="shared" si="107"/>
        <v>CORE</v>
      </c>
      <c r="D293" s="2" t="str">
        <f t="shared" si="108"/>
        <v>CORE</v>
      </c>
      <c r="E293" s="2" t="str">
        <f t="shared" si="109"/>
        <v/>
      </c>
      <c r="F293" s="2">
        <f t="shared" si="110"/>
        <v>0</v>
      </c>
      <c r="G293" s="2">
        <f t="shared" si="111"/>
        <v>0</v>
      </c>
      <c r="H293" s="2">
        <f t="shared" si="112"/>
        <v>0</v>
      </c>
      <c r="I293" s="2">
        <f t="shared" si="113"/>
        <v>0</v>
      </c>
      <c r="NH293" cm="1">
        <f t="array" ref="NH293:NJ293">SUMIFS($J293:$GG293,$J$1:$GG$1,NH$3:NJ$3)</f>
        <v>0</v>
      </c>
      <c r="NI293">
        <v>0</v>
      </c>
      <c r="NJ293">
        <v>0</v>
      </c>
      <c r="NK293" cm="1">
        <f t="array" ref="NK293">IFERROR(MAX((_xlfn.ANCHORARRAY(NH293)-AVERAGE(_xlfn.ANCHORARRAY(NH293)))/ AVERAGE(_xlfn.ANCHORARRAY(NH293))),0)</f>
        <v>0</v>
      </c>
      <c r="NL293" t="str" cm="1">
        <f t="array" ref="NL293">IF(NK293&gt;$NL$1,_xlfn.XLOOKUP(MAX(_xlfn.ANCHORARRAY(NH293)),_xlfn.ANCHORARRAY(NH293),NH$4:NJ$4,""),"")</f>
        <v/>
      </c>
      <c r="NN293" cm="1">
        <f t="array" ref="NN293:NR293">SUMIFS($J293:$GG293,$J$3:$GG$3,NN$3:NR$3)</f>
        <v>0</v>
      </c>
      <c r="NO293">
        <v>0</v>
      </c>
      <c r="NP293">
        <v>0</v>
      </c>
      <c r="NQ293">
        <v>0</v>
      </c>
      <c r="NR293">
        <v>0</v>
      </c>
      <c r="NS293" cm="1">
        <f t="array" ref="NS293">IFERROR(MAX((_xlfn.ANCHORARRAY(NN293)-AVERAGE(_xlfn.ANCHORARRAY(NN293)))/ AVERAGE(_xlfn.ANCHORARRAY(NN293))),0)</f>
        <v>0</v>
      </c>
      <c r="NT293" t="str" cm="1">
        <f t="array" ref="NT293">IF(AND(NS293&gt;$NT$1,NL293&lt;&gt;""),_xlfn.XLOOKUP(MAX(_xlfn.ANCHORARRAY(NN293)),_xlfn.ANCHORARRAY(NN293),NN$4:NR$4,""),"")</f>
        <v/>
      </c>
      <c r="NV293" cm="1">
        <f t="array" ref="NV293:OE293">SUMIFS($J293:$GG293,$J$2:$GG$2,NV$3:OE$3)</f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 cm="1">
        <f t="array" ref="OF293">IFERROR(MAX((_xlfn.ANCHORARRAY(NV293)-AVERAGE(_xlfn.ANCHORARRAY(NV293)))/ AVERAGE(_xlfn.ANCHORARRAY(NV293))),0)</f>
        <v>0</v>
      </c>
      <c r="OG293" t="str" cm="1">
        <f t="array" ref="OG293">IF(OF293&gt;$OG$1,_xlfn.XLOOKUP(MAX(_xlfn.ANCHORARRAY(NV293)),_xlfn.ANCHORARRAY(NV293),NV$4:OE$4,""),"")</f>
        <v/>
      </c>
      <c r="OI293" t="str">
        <f t="shared" si="114"/>
        <v/>
      </c>
    </row>
    <row r="294" spans="2:399" x14ac:dyDescent="0.3">
      <c r="B294" s="2" t="str">
        <f t="shared" si="106"/>
        <v>CORE</v>
      </c>
      <c r="C294" s="2" t="str">
        <f t="shared" si="107"/>
        <v>CORE</v>
      </c>
      <c r="D294" s="2" t="str">
        <f t="shared" si="108"/>
        <v>CORE</v>
      </c>
      <c r="E294" s="2" t="str">
        <f t="shared" si="109"/>
        <v/>
      </c>
      <c r="F294" s="2">
        <f t="shared" si="110"/>
        <v>0</v>
      </c>
      <c r="G294" s="2">
        <f t="shared" si="111"/>
        <v>0</v>
      </c>
      <c r="H294" s="2">
        <f t="shared" si="112"/>
        <v>0</v>
      </c>
      <c r="I294" s="2">
        <f t="shared" si="113"/>
        <v>0</v>
      </c>
      <c r="NH294" cm="1">
        <f t="array" ref="NH294:NJ294">SUMIFS($J294:$GG294,$J$1:$GG$1,NH$3:NJ$3)</f>
        <v>0</v>
      </c>
      <c r="NI294">
        <v>0</v>
      </c>
      <c r="NJ294">
        <v>0</v>
      </c>
      <c r="NK294" cm="1">
        <f t="array" ref="NK294">IFERROR(MAX((_xlfn.ANCHORARRAY(NH294)-AVERAGE(_xlfn.ANCHORARRAY(NH294)))/ AVERAGE(_xlfn.ANCHORARRAY(NH294))),0)</f>
        <v>0</v>
      </c>
      <c r="NL294" t="str" cm="1">
        <f t="array" ref="NL294">IF(NK294&gt;$NL$1,_xlfn.XLOOKUP(MAX(_xlfn.ANCHORARRAY(NH294)),_xlfn.ANCHORARRAY(NH294),NH$4:NJ$4,""),"")</f>
        <v/>
      </c>
      <c r="NN294" cm="1">
        <f t="array" ref="NN294:NR294">SUMIFS($J294:$GG294,$J$3:$GG$3,NN$3:NR$3)</f>
        <v>0</v>
      </c>
      <c r="NO294">
        <v>0</v>
      </c>
      <c r="NP294">
        <v>0</v>
      </c>
      <c r="NQ294">
        <v>0</v>
      </c>
      <c r="NR294">
        <v>0</v>
      </c>
      <c r="NS294" cm="1">
        <f t="array" ref="NS294">IFERROR(MAX((_xlfn.ANCHORARRAY(NN294)-AVERAGE(_xlfn.ANCHORARRAY(NN294)))/ AVERAGE(_xlfn.ANCHORARRAY(NN294))),0)</f>
        <v>0</v>
      </c>
      <c r="NT294" t="str" cm="1">
        <f t="array" ref="NT294">IF(AND(NS294&gt;$NT$1,NL294&lt;&gt;""),_xlfn.XLOOKUP(MAX(_xlfn.ANCHORARRAY(NN294)),_xlfn.ANCHORARRAY(NN294),NN$4:NR$4,""),"")</f>
        <v/>
      </c>
      <c r="NV294" cm="1">
        <f t="array" ref="NV294:OE294">SUMIFS($J294:$GG294,$J$2:$GG$2,NV$3:OE$3)</f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 cm="1">
        <f t="array" ref="OF294">IFERROR(MAX((_xlfn.ANCHORARRAY(NV294)-AVERAGE(_xlfn.ANCHORARRAY(NV294)))/ AVERAGE(_xlfn.ANCHORARRAY(NV294))),0)</f>
        <v>0</v>
      </c>
      <c r="OG294" t="str" cm="1">
        <f t="array" ref="OG294">IF(OF294&gt;$OG$1,_xlfn.XLOOKUP(MAX(_xlfn.ANCHORARRAY(NV294)),_xlfn.ANCHORARRAY(NV294),NV$4:OE$4,""),"")</f>
        <v/>
      </c>
      <c r="OI294" t="str">
        <f t="shared" si="114"/>
        <v/>
      </c>
    </row>
    <row r="295" spans="2:399" x14ac:dyDescent="0.3">
      <c r="B295" s="2" t="str">
        <f t="shared" si="106"/>
        <v>CORE</v>
      </c>
      <c r="C295" s="2" t="str">
        <f t="shared" si="107"/>
        <v>CORE</v>
      </c>
      <c r="D295" s="2" t="str">
        <f t="shared" si="108"/>
        <v>CORE</v>
      </c>
      <c r="E295" s="2" t="str">
        <f t="shared" si="109"/>
        <v/>
      </c>
      <c r="F295" s="2">
        <f t="shared" si="110"/>
        <v>0</v>
      </c>
      <c r="G295" s="2">
        <f t="shared" si="111"/>
        <v>0</v>
      </c>
      <c r="H295" s="2">
        <f t="shared" si="112"/>
        <v>0</v>
      </c>
      <c r="I295" s="2">
        <f t="shared" si="113"/>
        <v>0</v>
      </c>
      <c r="NH295" cm="1">
        <f t="array" ref="NH295:NJ295">SUMIFS($J295:$GG295,$J$1:$GG$1,NH$3:NJ$3)</f>
        <v>0</v>
      </c>
      <c r="NI295">
        <v>0</v>
      </c>
      <c r="NJ295">
        <v>0</v>
      </c>
      <c r="NK295" cm="1">
        <f t="array" ref="NK295">IFERROR(MAX((_xlfn.ANCHORARRAY(NH295)-AVERAGE(_xlfn.ANCHORARRAY(NH295)))/ AVERAGE(_xlfn.ANCHORARRAY(NH295))),0)</f>
        <v>0</v>
      </c>
      <c r="NL295" t="str" cm="1">
        <f t="array" ref="NL295">IF(NK295&gt;$NL$1,_xlfn.XLOOKUP(MAX(_xlfn.ANCHORARRAY(NH295)),_xlfn.ANCHORARRAY(NH295),NH$4:NJ$4,""),"")</f>
        <v/>
      </c>
      <c r="NN295" cm="1">
        <f t="array" ref="NN295:NR295">SUMIFS($J295:$GG295,$J$3:$GG$3,NN$3:NR$3)</f>
        <v>0</v>
      </c>
      <c r="NO295">
        <v>0</v>
      </c>
      <c r="NP295">
        <v>0</v>
      </c>
      <c r="NQ295">
        <v>0</v>
      </c>
      <c r="NR295">
        <v>0</v>
      </c>
      <c r="NS295" cm="1">
        <f t="array" ref="NS295">IFERROR(MAX((_xlfn.ANCHORARRAY(NN295)-AVERAGE(_xlfn.ANCHORARRAY(NN295)))/ AVERAGE(_xlfn.ANCHORARRAY(NN295))),0)</f>
        <v>0</v>
      </c>
      <c r="NT295" t="str" cm="1">
        <f t="array" ref="NT295">IF(AND(NS295&gt;$NT$1,NL295&lt;&gt;""),_xlfn.XLOOKUP(MAX(_xlfn.ANCHORARRAY(NN295)),_xlfn.ANCHORARRAY(NN295),NN$4:NR$4,""),"")</f>
        <v/>
      </c>
      <c r="NV295" cm="1">
        <f t="array" ref="NV295:OE295">SUMIFS($J295:$GG295,$J$2:$GG$2,NV$3:OE$3)</f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 cm="1">
        <f t="array" ref="OF295">IFERROR(MAX((_xlfn.ANCHORARRAY(NV295)-AVERAGE(_xlfn.ANCHORARRAY(NV295)))/ AVERAGE(_xlfn.ANCHORARRAY(NV295))),0)</f>
        <v>0</v>
      </c>
      <c r="OG295" t="str" cm="1">
        <f t="array" ref="OG295">IF(OF295&gt;$OG$1,_xlfn.XLOOKUP(MAX(_xlfn.ANCHORARRAY(NV295)),_xlfn.ANCHORARRAY(NV295),NV$4:OE$4,""),"")</f>
        <v/>
      </c>
      <c r="OI295" t="str">
        <f t="shared" si="114"/>
        <v/>
      </c>
    </row>
    <row r="296" spans="2:399" x14ac:dyDescent="0.3">
      <c r="B296" s="2" t="str">
        <f t="shared" si="106"/>
        <v>CORE</v>
      </c>
      <c r="C296" s="2" t="str">
        <f t="shared" si="107"/>
        <v>CORE</v>
      </c>
      <c r="D296" s="2" t="str">
        <f t="shared" si="108"/>
        <v>CORE</v>
      </c>
      <c r="E296" s="2" t="str">
        <f t="shared" si="109"/>
        <v/>
      </c>
      <c r="F296" s="2">
        <f t="shared" si="110"/>
        <v>0</v>
      </c>
      <c r="G296" s="2">
        <f t="shared" si="111"/>
        <v>0</v>
      </c>
      <c r="H296" s="2">
        <f t="shared" si="112"/>
        <v>0</v>
      </c>
      <c r="I296" s="2">
        <f t="shared" si="113"/>
        <v>0</v>
      </c>
      <c r="NH296" cm="1">
        <f t="array" ref="NH296:NJ296">SUMIFS($J296:$GG296,$J$1:$GG$1,NH$3:NJ$3)</f>
        <v>0</v>
      </c>
      <c r="NI296">
        <v>0</v>
      </c>
      <c r="NJ296">
        <v>0</v>
      </c>
      <c r="NK296" cm="1">
        <f t="array" ref="NK296">IFERROR(MAX((_xlfn.ANCHORARRAY(NH296)-AVERAGE(_xlfn.ANCHORARRAY(NH296)))/ AVERAGE(_xlfn.ANCHORARRAY(NH296))),0)</f>
        <v>0</v>
      </c>
      <c r="NL296" t="str" cm="1">
        <f t="array" ref="NL296">IF(NK296&gt;$NL$1,_xlfn.XLOOKUP(MAX(_xlfn.ANCHORARRAY(NH296)),_xlfn.ANCHORARRAY(NH296),NH$4:NJ$4,""),"")</f>
        <v/>
      </c>
      <c r="NN296" cm="1">
        <f t="array" ref="NN296:NR296">SUMIFS($J296:$GG296,$J$3:$GG$3,NN$3:NR$3)</f>
        <v>0</v>
      </c>
      <c r="NO296">
        <v>0</v>
      </c>
      <c r="NP296">
        <v>0</v>
      </c>
      <c r="NQ296">
        <v>0</v>
      </c>
      <c r="NR296">
        <v>0</v>
      </c>
      <c r="NS296" cm="1">
        <f t="array" ref="NS296">IFERROR(MAX((_xlfn.ANCHORARRAY(NN296)-AVERAGE(_xlfn.ANCHORARRAY(NN296)))/ AVERAGE(_xlfn.ANCHORARRAY(NN296))),0)</f>
        <v>0</v>
      </c>
      <c r="NT296" t="str" cm="1">
        <f t="array" ref="NT296">IF(AND(NS296&gt;$NT$1,NL296&lt;&gt;""),_xlfn.XLOOKUP(MAX(_xlfn.ANCHORARRAY(NN296)),_xlfn.ANCHORARRAY(NN296),NN$4:NR$4,""),"")</f>
        <v/>
      </c>
      <c r="NV296" cm="1">
        <f t="array" ref="NV296:OE296">SUMIFS($J296:$GG296,$J$2:$GG$2,NV$3:OE$3)</f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 cm="1">
        <f t="array" ref="OF296">IFERROR(MAX((_xlfn.ANCHORARRAY(NV296)-AVERAGE(_xlfn.ANCHORARRAY(NV296)))/ AVERAGE(_xlfn.ANCHORARRAY(NV296))),0)</f>
        <v>0</v>
      </c>
      <c r="OG296" t="str" cm="1">
        <f t="array" ref="OG296">IF(OF296&gt;$OG$1,_xlfn.XLOOKUP(MAX(_xlfn.ANCHORARRAY(NV296)),_xlfn.ANCHORARRAY(NV296),NV$4:OE$4,""),"")</f>
        <v/>
      </c>
      <c r="OI296" t="str">
        <f t="shared" si="114"/>
        <v/>
      </c>
    </row>
    <row r="297" spans="2:399" x14ac:dyDescent="0.3">
      <c r="B297" s="2" t="str">
        <f t="shared" si="106"/>
        <v>CORE</v>
      </c>
      <c r="C297" s="2" t="str">
        <f t="shared" si="107"/>
        <v>CORE</v>
      </c>
      <c r="D297" s="2" t="str">
        <f t="shared" si="108"/>
        <v>CORE</v>
      </c>
      <c r="E297" s="2" t="str">
        <f t="shared" si="109"/>
        <v/>
      </c>
      <c r="F297" s="2">
        <f t="shared" si="110"/>
        <v>0</v>
      </c>
      <c r="G297" s="2">
        <f t="shared" si="111"/>
        <v>0</v>
      </c>
      <c r="H297" s="2">
        <f t="shared" si="112"/>
        <v>0</v>
      </c>
      <c r="I297" s="2">
        <f t="shared" si="113"/>
        <v>0</v>
      </c>
      <c r="NH297" cm="1">
        <f t="array" ref="NH297:NJ297">SUMIFS($J297:$GG297,$J$1:$GG$1,NH$3:NJ$3)</f>
        <v>0</v>
      </c>
      <c r="NI297">
        <v>0</v>
      </c>
      <c r="NJ297">
        <v>0</v>
      </c>
      <c r="NK297" cm="1">
        <f t="array" ref="NK297">IFERROR(MAX((_xlfn.ANCHORARRAY(NH297)-AVERAGE(_xlfn.ANCHORARRAY(NH297)))/ AVERAGE(_xlfn.ANCHORARRAY(NH297))),0)</f>
        <v>0</v>
      </c>
      <c r="NL297" t="str" cm="1">
        <f t="array" ref="NL297">IF(NK297&gt;$NL$1,_xlfn.XLOOKUP(MAX(_xlfn.ANCHORARRAY(NH297)),_xlfn.ANCHORARRAY(NH297),NH$4:NJ$4,""),"")</f>
        <v/>
      </c>
      <c r="NN297" cm="1">
        <f t="array" ref="NN297:NR297">SUMIFS($J297:$GG297,$J$3:$GG$3,NN$3:NR$3)</f>
        <v>0</v>
      </c>
      <c r="NO297">
        <v>0</v>
      </c>
      <c r="NP297">
        <v>0</v>
      </c>
      <c r="NQ297">
        <v>0</v>
      </c>
      <c r="NR297">
        <v>0</v>
      </c>
      <c r="NS297" cm="1">
        <f t="array" ref="NS297">IFERROR(MAX((_xlfn.ANCHORARRAY(NN297)-AVERAGE(_xlfn.ANCHORARRAY(NN297)))/ AVERAGE(_xlfn.ANCHORARRAY(NN297))),0)</f>
        <v>0</v>
      </c>
      <c r="NT297" t="str" cm="1">
        <f t="array" ref="NT297">IF(AND(NS297&gt;$NT$1,NL297&lt;&gt;""),_xlfn.XLOOKUP(MAX(_xlfn.ANCHORARRAY(NN297)),_xlfn.ANCHORARRAY(NN297),NN$4:NR$4,""),"")</f>
        <v/>
      </c>
      <c r="NV297" cm="1">
        <f t="array" ref="NV297:OE297">SUMIFS($J297:$GG297,$J$2:$GG$2,NV$3:OE$3)</f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 cm="1">
        <f t="array" ref="OF297">IFERROR(MAX((_xlfn.ANCHORARRAY(NV297)-AVERAGE(_xlfn.ANCHORARRAY(NV297)))/ AVERAGE(_xlfn.ANCHORARRAY(NV297))),0)</f>
        <v>0</v>
      </c>
      <c r="OG297" t="str" cm="1">
        <f t="array" ref="OG297">IF(OF297&gt;$OG$1,_xlfn.XLOOKUP(MAX(_xlfn.ANCHORARRAY(NV297)),_xlfn.ANCHORARRAY(NV297),NV$4:OE$4,""),"")</f>
        <v/>
      </c>
      <c r="OI297" t="str">
        <f t="shared" si="114"/>
        <v/>
      </c>
    </row>
    <row r="298" spans="2:399" x14ac:dyDescent="0.3">
      <c r="B298" s="2" t="str">
        <f t="shared" si="106"/>
        <v>CORE</v>
      </c>
      <c r="C298" s="2" t="str">
        <f t="shared" si="107"/>
        <v>CORE</v>
      </c>
      <c r="D298" s="2" t="str">
        <f t="shared" si="108"/>
        <v>CORE</v>
      </c>
      <c r="E298" s="2" t="str">
        <f t="shared" si="109"/>
        <v/>
      </c>
      <c r="F298" s="2">
        <f t="shared" si="110"/>
        <v>0</v>
      </c>
      <c r="G298" s="2">
        <f t="shared" si="111"/>
        <v>0</v>
      </c>
      <c r="H298" s="2">
        <f t="shared" si="112"/>
        <v>0</v>
      </c>
      <c r="I298" s="2">
        <f t="shared" si="113"/>
        <v>0</v>
      </c>
      <c r="NH298" cm="1">
        <f t="array" ref="NH298:NJ298">SUMIFS($J298:$GG298,$J$1:$GG$1,NH$3:NJ$3)</f>
        <v>0</v>
      </c>
      <c r="NI298">
        <v>0</v>
      </c>
      <c r="NJ298">
        <v>0</v>
      </c>
      <c r="NK298" cm="1">
        <f t="array" ref="NK298">IFERROR(MAX((_xlfn.ANCHORARRAY(NH298)-AVERAGE(_xlfn.ANCHORARRAY(NH298)))/ AVERAGE(_xlfn.ANCHORARRAY(NH298))),0)</f>
        <v>0</v>
      </c>
      <c r="NL298" t="str" cm="1">
        <f t="array" ref="NL298">IF(NK298&gt;$NL$1,_xlfn.XLOOKUP(MAX(_xlfn.ANCHORARRAY(NH298)),_xlfn.ANCHORARRAY(NH298),NH$4:NJ$4,""),"")</f>
        <v/>
      </c>
      <c r="NN298" cm="1">
        <f t="array" ref="NN298:NR298">SUMIFS($J298:$GG298,$J$3:$GG$3,NN$3:NR$3)</f>
        <v>0</v>
      </c>
      <c r="NO298">
        <v>0</v>
      </c>
      <c r="NP298">
        <v>0</v>
      </c>
      <c r="NQ298">
        <v>0</v>
      </c>
      <c r="NR298">
        <v>0</v>
      </c>
      <c r="NS298" cm="1">
        <f t="array" ref="NS298">IFERROR(MAX((_xlfn.ANCHORARRAY(NN298)-AVERAGE(_xlfn.ANCHORARRAY(NN298)))/ AVERAGE(_xlfn.ANCHORARRAY(NN298))),0)</f>
        <v>0</v>
      </c>
      <c r="NT298" t="str" cm="1">
        <f t="array" ref="NT298">IF(AND(NS298&gt;$NT$1,NL298&lt;&gt;""),_xlfn.XLOOKUP(MAX(_xlfn.ANCHORARRAY(NN298)),_xlfn.ANCHORARRAY(NN298),NN$4:NR$4,""),"")</f>
        <v/>
      </c>
      <c r="NV298" cm="1">
        <f t="array" ref="NV298:OE298">SUMIFS($J298:$GG298,$J$2:$GG$2,NV$3:OE$3)</f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 cm="1">
        <f t="array" ref="OF298">IFERROR(MAX((_xlfn.ANCHORARRAY(NV298)-AVERAGE(_xlfn.ANCHORARRAY(NV298)))/ AVERAGE(_xlfn.ANCHORARRAY(NV298))),0)</f>
        <v>0</v>
      </c>
      <c r="OG298" t="str" cm="1">
        <f t="array" ref="OG298">IF(OF298&gt;$OG$1,_xlfn.XLOOKUP(MAX(_xlfn.ANCHORARRAY(NV298)),_xlfn.ANCHORARRAY(NV298),NV$4:OE$4,""),"")</f>
        <v/>
      </c>
      <c r="OI298" t="str">
        <f t="shared" si="114"/>
        <v/>
      </c>
    </row>
    <row r="299" spans="2:399" x14ac:dyDescent="0.3">
      <c r="B299" s="2" t="str">
        <f t="shared" si="106"/>
        <v>CORE</v>
      </c>
      <c r="C299" s="2" t="str">
        <f t="shared" si="107"/>
        <v>CORE</v>
      </c>
      <c r="D299" s="2" t="str">
        <f t="shared" si="108"/>
        <v>CORE</v>
      </c>
      <c r="E299" s="2" t="str">
        <f t="shared" si="109"/>
        <v/>
      </c>
      <c r="F299" s="2">
        <f t="shared" si="110"/>
        <v>0</v>
      </c>
      <c r="G299" s="2">
        <f t="shared" si="111"/>
        <v>0</v>
      </c>
      <c r="H299" s="2">
        <f t="shared" si="112"/>
        <v>0</v>
      </c>
      <c r="I299" s="2">
        <f t="shared" si="113"/>
        <v>0</v>
      </c>
      <c r="NH299" cm="1">
        <f t="array" ref="NH299:NJ299">SUMIFS($J299:$GG299,$J$1:$GG$1,NH$3:NJ$3)</f>
        <v>0</v>
      </c>
      <c r="NI299">
        <v>0</v>
      </c>
      <c r="NJ299">
        <v>0</v>
      </c>
      <c r="NK299" cm="1">
        <f t="array" ref="NK299">IFERROR(MAX((_xlfn.ANCHORARRAY(NH299)-AVERAGE(_xlfn.ANCHORARRAY(NH299)))/ AVERAGE(_xlfn.ANCHORARRAY(NH299))),0)</f>
        <v>0</v>
      </c>
      <c r="NL299" t="str" cm="1">
        <f t="array" ref="NL299">IF(NK299&gt;$NL$1,_xlfn.XLOOKUP(MAX(_xlfn.ANCHORARRAY(NH299)),_xlfn.ANCHORARRAY(NH299),NH$4:NJ$4,""),"")</f>
        <v/>
      </c>
      <c r="NN299" cm="1">
        <f t="array" ref="NN299:NR299">SUMIFS($J299:$GG299,$J$3:$GG$3,NN$3:NR$3)</f>
        <v>0</v>
      </c>
      <c r="NO299">
        <v>0</v>
      </c>
      <c r="NP299">
        <v>0</v>
      </c>
      <c r="NQ299">
        <v>0</v>
      </c>
      <c r="NR299">
        <v>0</v>
      </c>
      <c r="NS299" cm="1">
        <f t="array" ref="NS299">IFERROR(MAX((_xlfn.ANCHORARRAY(NN299)-AVERAGE(_xlfn.ANCHORARRAY(NN299)))/ AVERAGE(_xlfn.ANCHORARRAY(NN299))),0)</f>
        <v>0</v>
      </c>
      <c r="NT299" t="str" cm="1">
        <f t="array" ref="NT299">IF(AND(NS299&gt;$NT$1,NL299&lt;&gt;""),_xlfn.XLOOKUP(MAX(_xlfn.ANCHORARRAY(NN299)),_xlfn.ANCHORARRAY(NN299),NN$4:NR$4,""),"")</f>
        <v/>
      </c>
      <c r="NV299" cm="1">
        <f t="array" ref="NV299:OE299">SUMIFS($J299:$GG299,$J$2:$GG$2,NV$3:OE$3)</f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 cm="1">
        <f t="array" ref="OF299">IFERROR(MAX((_xlfn.ANCHORARRAY(NV299)-AVERAGE(_xlfn.ANCHORARRAY(NV299)))/ AVERAGE(_xlfn.ANCHORARRAY(NV299))),0)</f>
        <v>0</v>
      </c>
      <c r="OG299" t="str" cm="1">
        <f t="array" ref="OG299">IF(OF299&gt;$OG$1,_xlfn.XLOOKUP(MAX(_xlfn.ANCHORARRAY(NV299)),_xlfn.ANCHORARRAY(NV299),NV$4:OE$4,""),"")</f>
        <v/>
      </c>
      <c r="OI299" t="str">
        <f t="shared" si="114"/>
        <v/>
      </c>
    </row>
    <row r="300" spans="2:399" x14ac:dyDescent="0.3">
      <c r="B300" s="2" t="str">
        <f t="shared" si="106"/>
        <v>CORE</v>
      </c>
      <c r="C300" s="2" t="str">
        <f t="shared" si="107"/>
        <v>CORE</v>
      </c>
      <c r="D300" s="2" t="str">
        <f t="shared" si="108"/>
        <v>CORE</v>
      </c>
      <c r="E300" s="2" t="str">
        <f t="shared" si="109"/>
        <v/>
      </c>
      <c r="F300" s="2">
        <f t="shared" si="110"/>
        <v>0</v>
      </c>
      <c r="G300" s="2">
        <f t="shared" si="111"/>
        <v>0</v>
      </c>
      <c r="H300" s="2">
        <f t="shared" si="112"/>
        <v>0</v>
      </c>
      <c r="I300" s="2">
        <f t="shared" si="113"/>
        <v>0</v>
      </c>
      <c r="NH300" cm="1">
        <f t="array" ref="NH300:NJ300">SUMIFS($J300:$GG300,$J$1:$GG$1,NH$3:NJ$3)</f>
        <v>0</v>
      </c>
      <c r="NI300">
        <v>0</v>
      </c>
      <c r="NJ300">
        <v>0</v>
      </c>
      <c r="NK300" cm="1">
        <f t="array" ref="NK300">IFERROR(MAX((_xlfn.ANCHORARRAY(NH300)-AVERAGE(_xlfn.ANCHORARRAY(NH300)))/ AVERAGE(_xlfn.ANCHORARRAY(NH300))),0)</f>
        <v>0</v>
      </c>
      <c r="NL300" t="str" cm="1">
        <f t="array" ref="NL300">IF(NK300&gt;$NL$1,_xlfn.XLOOKUP(MAX(_xlfn.ANCHORARRAY(NH300)),_xlfn.ANCHORARRAY(NH300),NH$4:NJ$4,""),"")</f>
        <v/>
      </c>
      <c r="NN300" cm="1">
        <f t="array" ref="NN300:NR300">SUMIFS($J300:$GG300,$J$3:$GG$3,NN$3:NR$3)</f>
        <v>0</v>
      </c>
      <c r="NO300">
        <v>0</v>
      </c>
      <c r="NP300">
        <v>0</v>
      </c>
      <c r="NQ300">
        <v>0</v>
      </c>
      <c r="NR300">
        <v>0</v>
      </c>
      <c r="NS300" cm="1">
        <f t="array" ref="NS300">IFERROR(MAX((_xlfn.ANCHORARRAY(NN300)-AVERAGE(_xlfn.ANCHORARRAY(NN300)))/ AVERAGE(_xlfn.ANCHORARRAY(NN300))),0)</f>
        <v>0</v>
      </c>
      <c r="NT300" t="str" cm="1">
        <f t="array" ref="NT300">IF(AND(NS300&gt;$NT$1,NL300&lt;&gt;""),_xlfn.XLOOKUP(MAX(_xlfn.ANCHORARRAY(NN300)),_xlfn.ANCHORARRAY(NN300),NN$4:NR$4,""),"")</f>
        <v/>
      </c>
      <c r="NV300" cm="1">
        <f t="array" ref="NV300:OE300">SUMIFS($J300:$GG300,$J$2:$GG$2,NV$3:OE$3)</f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 cm="1">
        <f t="array" ref="OF300">IFERROR(MAX((_xlfn.ANCHORARRAY(NV300)-AVERAGE(_xlfn.ANCHORARRAY(NV300)))/ AVERAGE(_xlfn.ANCHORARRAY(NV300))),0)</f>
        <v>0</v>
      </c>
      <c r="OG300" t="str" cm="1">
        <f t="array" ref="OG300">IF(OF300&gt;$OG$1,_xlfn.XLOOKUP(MAX(_xlfn.ANCHORARRAY(NV300)),_xlfn.ANCHORARRAY(NV300),NV$4:OE$4,""),"")</f>
        <v/>
      </c>
      <c r="OI300" t="str">
        <f t="shared" si="114"/>
        <v/>
      </c>
    </row>
    <row r="301" spans="2:399" x14ac:dyDescent="0.3">
      <c r="B301" s="2" t="str">
        <f t="shared" si="106"/>
        <v>CORE</v>
      </c>
      <c r="C301" s="2" t="str">
        <f t="shared" si="107"/>
        <v>CORE</v>
      </c>
      <c r="D301" s="2" t="str">
        <f t="shared" si="108"/>
        <v>CORE</v>
      </c>
      <c r="E301" s="2" t="str">
        <f t="shared" si="109"/>
        <v/>
      </c>
      <c r="F301" s="2">
        <f t="shared" si="110"/>
        <v>0</v>
      </c>
      <c r="G301" s="2">
        <f t="shared" si="111"/>
        <v>0</v>
      </c>
      <c r="H301" s="2">
        <f t="shared" si="112"/>
        <v>0</v>
      </c>
      <c r="I301" s="2">
        <f t="shared" si="113"/>
        <v>0</v>
      </c>
      <c r="NH301" cm="1">
        <f t="array" ref="NH301:NJ301">SUMIFS($J301:$GG301,$J$1:$GG$1,NH$3:NJ$3)</f>
        <v>0</v>
      </c>
      <c r="NI301">
        <v>0</v>
      </c>
      <c r="NJ301">
        <v>0</v>
      </c>
      <c r="NK301" cm="1">
        <f t="array" ref="NK301">IFERROR(MAX((_xlfn.ANCHORARRAY(NH301)-AVERAGE(_xlfn.ANCHORARRAY(NH301)))/ AVERAGE(_xlfn.ANCHORARRAY(NH301))),0)</f>
        <v>0</v>
      </c>
      <c r="NL301" t="str" cm="1">
        <f t="array" ref="NL301">IF(NK301&gt;$NL$1,_xlfn.XLOOKUP(MAX(_xlfn.ANCHORARRAY(NH301)),_xlfn.ANCHORARRAY(NH301),NH$4:NJ$4,""),"")</f>
        <v/>
      </c>
      <c r="NN301" cm="1">
        <f t="array" ref="NN301:NR301">SUMIFS($J301:$GG301,$J$3:$GG$3,NN$3:NR$3)</f>
        <v>0</v>
      </c>
      <c r="NO301">
        <v>0</v>
      </c>
      <c r="NP301">
        <v>0</v>
      </c>
      <c r="NQ301">
        <v>0</v>
      </c>
      <c r="NR301">
        <v>0</v>
      </c>
      <c r="NS301" cm="1">
        <f t="array" ref="NS301">IFERROR(MAX((_xlfn.ANCHORARRAY(NN301)-AVERAGE(_xlfn.ANCHORARRAY(NN301)))/ AVERAGE(_xlfn.ANCHORARRAY(NN301))),0)</f>
        <v>0</v>
      </c>
      <c r="NT301" t="str" cm="1">
        <f t="array" ref="NT301">IF(AND(NS301&gt;$NT$1,NL301&lt;&gt;""),_xlfn.XLOOKUP(MAX(_xlfn.ANCHORARRAY(NN301)),_xlfn.ANCHORARRAY(NN301),NN$4:NR$4,""),"")</f>
        <v/>
      </c>
      <c r="NV301" cm="1">
        <f t="array" ref="NV301:OE301">SUMIFS($J301:$GG301,$J$2:$GG$2,NV$3:OE$3)</f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 cm="1">
        <f t="array" ref="OF301">IFERROR(MAX((_xlfn.ANCHORARRAY(NV301)-AVERAGE(_xlfn.ANCHORARRAY(NV301)))/ AVERAGE(_xlfn.ANCHORARRAY(NV301))),0)</f>
        <v>0</v>
      </c>
      <c r="OG301" t="str" cm="1">
        <f t="array" ref="OG301">IF(OF301&gt;$OG$1,_xlfn.XLOOKUP(MAX(_xlfn.ANCHORARRAY(NV301)),_xlfn.ANCHORARRAY(NV301),NV$4:OE$4,""),"")</f>
        <v/>
      </c>
      <c r="OI301" t="str">
        <f t="shared" si="114"/>
        <v/>
      </c>
    </row>
    <row r="302" spans="2:399" x14ac:dyDescent="0.3">
      <c r="B302" s="2" t="str">
        <f t="shared" si="106"/>
        <v>CORE</v>
      </c>
      <c r="C302" s="2" t="str">
        <f t="shared" si="107"/>
        <v>CORE</v>
      </c>
      <c r="D302" s="2" t="str">
        <f t="shared" si="108"/>
        <v>CORE</v>
      </c>
      <c r="E302" s="2" t="str">
        <f t="shared" si="109"/>
        <v/>
      </c>
      <c r="F302" s="2">
        <f t="shared" si="110"/>
        <v>0</v>
      </c>
      <c r="G302" s="2">
        <f t="shared" si="111"/>
        <v>0</v>
      </c>
      <c r="H302" s="2">
        <f t="shared" si="112"/>
        <v>0</v>
      </c>
      <c r="I302" s="2">
        <f t="shared" si="113"/>
        <v>0</v>
      </c>
      <c r="NH302" cm="1">
        <f t="array" ref="NH302:NJ302">SUMIFS($J302:$GG302,$J$1:$GG$1,NH$3:NJ$3)</f>
        <v>0</v>
      </c>
      <c r="NI302">
        <v>0</v>
      </c>
      <c r="NJ302">
        <v>0</v>
      </c>
      <c r="NK302" cm="1">
        <f t="array" ref="NK302">IFERROR(MAX((_xlfn.ANCHORARRAY(NH302)-AVERAGE(_xlfn.ANCHORARRAY(NH302)))/ AVERAGE(_xlfn.ANCHORARRAY(NH302))),0)</f>
        <v>0</v>
      </c>
      <c r="NL302" t="str" cm="1">
        <f t="array" ref="NL302">IF(NK302&gt;$NL$1,_xlfn.XLOOKUP(MAX(_xlfn.ANCHORARRAY(NH302)),_xlfn.ANCHORARRAY(NH302),NH$4:NJ$4,""),"")</f>
        <v/>
      </c>
      <c r="NN302" cm="1">
        <f t="array" ref="NN302:NR302">SUMIFS($J302:$GG302,$J$3:$GG$3,NN$3:NR$3)</f>
        <v>0</v>
      </c>
      <c r="NO302">
        <v>0</v>
      </c>
      <c r="NP302">
        <v>0</v>
      </c>
      <c r="NQ302">
        <v>0</v>
      </c>
      <c r="NR302">
        <v>0</v>
      </c>
      <c r="NS302" cm="1">
        <f t="array" ref="NS302">IFERROR(MAX((_xlfn.ANCHORARRAY(NN302)-AVERAGE(_xlfn.ANCHORARRAY(NN302)))/ AVERAGE(_xlfn.ANCHORARRAY(NN302))),0)</f>
        <v>0</v>
      </c>
      <c r="NT302" t="str" cm="1">
        <f t="array" ref="NT302">IF(AND(NS302&gt;$NT$1,NL302&lt;&gt;""),_xlfn.XLOOKUP(MAX(_xlfn.ANCHORARRAY(NN302)),_xlfn.ANCHORARRAY(NN302),NN$4:NR$4,""),"")</f>
        <v/>
      </c>
      <c r="NV302" cm="1">
        <f t="array" ref="NV302:OE302">SUMIFS($J302:$GG302,$J$2:$GG$2,NV$3:OE$3)</f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 cm="1">
        <f t="array" ref="OF302">IFERROR(MAX((_xlfn.ANCHORARRAY(NV302)-AVERAGE(_xlfn.ANCHORARRAY(NV302)))/ AVERAGE(_xlfn.ANCHORARRAY(NV302))),0)</f>
        <v>0</v>
      </c>
      <c r="OG302" t="str" cm="1">
        <f t="array" ref="OG302">IF(OF302&gt;$OG$1,_xlfn.XLOOKUP(MAX(_xlfn.ANCHORARRAY(NV302)),_xlfn.ANCHORARRAY(NV302),NV$4:OE$4,""),"")</f>
        <v/>
      </c>
      <c r="OI302" t="str">
        <f t="shared" si="114"/>
        <v/>
      </c>
    </row>
    <row r="303" spans="2:399" x14ac:dyDescent="0.3">
      <c r="B303" s="2" t="str">
        <f t="shared" si="106"/>
        <v>CORE</v>
      </c>
      <c r="C303" s="2" t="str">
        <f t="shared" si="107"/>
        <v>CORE</v>
      </c>
      <c r="D303" s="2" t="str">
        <f t="shared" si="108"/>
        <v>CORE</v>
      </c>
      <c r="E303" s="2" t="str">
        <f t="shared" si="109"/>
        <v/>
      </c>
      <c r="F303" s="2">
        <f t="shared" si="110"/>
        <v>0</v>
      </c>
      <c r="G303" s="2">
        <f t="shared" si="111"/>
        <v>0</v>
      </c>
      <c r="H303" s="2">
        <f t="shared" si="112"/>
        <v>0</v>
      </c>
      <c r="I303" s="2">
        <f t="shared" si="113"/>
        <v>0</v>
      </c>
      <c r="NH303" cm="1">
        <f t="array" ref="NH303:NJ303">SUMIFS($J303:$GG303,$J$1:$GG$1,NH$3:NJ$3)</f>
        <v>0</v>
      </c>
      <c r="NI303">
        <v>0</v>
      </c>
      <c r="NJ303">
        <v>0</v>
      </c>
      <c r="NK303" cm="1">
        <f t="array" ref="NK303">IFERROR(MAX((_xlfn.ANCHORARRAY(NH303)-AVERAGE(_xlfn.ANCHORARRAY(NH303)))/ AVERAGE(_xlfn.ANCHORARRAY(NH303))),0)</f>
        <v>0</v>
      </c>
      <c r="NL303" t="str" cm="1">
        <f t="array" ref="NL303">IF(NK303&gt;$NL$1,_xlfn.XLOOKUP(MAX(_xlfn.ANCHORARRAY(NH303)),_xlfn.ANCHORARRAY(NH303),NH$4:NJ$4,""),"")</f>
        <v/>
      </c>
      <c r="NN303" cm="1">
        <f t="array" ref="NN303:NR303">SUMIFS($J303:$GG303,$J$3:$GG$3,NN$3:NR$3)</f>
        <v>0</v>
      </c>
      <c r="NO303">
        <v>0</v>
      </c>
      <c r="NP303">
        <v>0</v>
      </c>
      <c r="NQ303">
        <v>0</v>
      </c>
      <c r="NR303">
        <v>0</v>
      </c>
      <c r="NS303" cm="1">
        <f t="array" ref="NS303">IFERROR(MAX((_xlfn.ANCHORARRAY(NN303)-AVERAGE(_xlfn.ANCHORARRAY(NN303)))/ AVERAGE(_xlfn.ANCHORARRAY(NN303))),0)</f>
        <v>0</v>
      </c>
      <c r="NT303" t="str" cm="1">
        <f t="array" ref="NT303">IF(AND(NS303&gt;$NT$1,NL303&lt;&gt;""),_xlfn.XLOOKUP(MAX(_xlfn.ANCHORARRAY(NN303)),_xlfn.ANCHORARRAY(NN303),NN$4:NR$4,""),"")</f>
        <v/>
      </c>
      <c r="NV303" cm="1">
        <f t="array" ref="NV303:OE303">SUMIFS($J303:$GG303,$J$2:$GG$2,NV$3:OE$3)</f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 cm="1">
        <f t="array" ref="OF303">IFERROR(MAX((_xlfn.ANCHORARRAY(NV303)-AVERAGE(_xlfn.ANCHORARRAY(NV303)))/ AVERAGE(_xlfn.ANCHORARRAY(NV303))),0)</f>
        <v>0</v>
      </c>
      <c r="OG303" t="str" cm="1">
        <f t="array" ref="OG303">IF(OF303&gt;$OG$1,_xlfn.XLOOKUP(MAX(_xlfn.ANCHORARRAY(NV303)),_xlfn.ANCHORARRAY(NV303),NV$4:OE$4,""),"")</f>
        <v/>
      </c>
      <c r="OI303" t="str">
        <f t="shared" si="114"/>
        <v/>
      </c>
    </row>
    <row r="304" spans="2:399" x14ac:dyDescent="0.3">
      <c r="B304" s="2" t="str">
        <f t="shared" si="106"/>
        <v>CORE</v>
      </c>
      <c r="C304" s="2" t="str">
        <f t="shared" si="107"/>
        <v>CORE</v>
      </c>
      <c r="D304" s="2" t="str">
        <f t="shared" si="108"/>
        <v>CORE</v>
      </c>
      <c r="E304" s="2" t="str">
        <f t="shared" si="109"/>
        <v/>
      </c>
      <c r="F304" s="2">
        <f t="shared" si="110"/>
        <v>0</v>
      </c>
      <c r="G304" s="2">
        <f t="shared" si="111"/>
        <v>0</v>
      </c>
      <c r="H304" s="2">
        <f t="shared" si="112"/>
        <v>0</v>
      </c>
      <c r="I304" s="2">
        <f t="shared" si="113"/>
        <v>0</v>
      </c>
      <c r="NH304" cm="1">
        <f t="array" ref="NH304:NJ304">SUMIFS($J304:$GG304,$J$1:$GG$1,NH$3:NJ$3)</f>
        <v>0</v>
      </c>
      <c r="NI304">
        <v>0</v>
      </c>
      <c r="NJ304">
        <v>0</v>
      </c>
      <c r="NK304" cm="1">
        <f t="array" ref="NK304">IFERROR(MAX((_xlfn.ANCHORARRAY(NH304)-AVERAGE(_xlfn.ANCHORARRAY(NH304)))/ AVERAGE(_xlfn.ANCHORARRAY(NH304))),0)</f>
        <v>0</v>
      </c>
      <c r="NL304" t="str" cm="1">
        <f t="array" ref="NL304">IF(NK304&gt;$NL$1,_xlfn.XLOOKUP(MAX(_xlfn.ANCHORARRAY(NH304)),_xlfn.ANCHORARRAY(NH304),NH$4:NJ$4,""),"")</f>
        <v/>
      </c>
      <c r="NN304" cm="1">
        <f t="array" ref="NN304:NR304">SUMIFS($J304:$GG304,$J$3:$GG$3,NN$3:NR$3)</f>
        <v>0</v>
      </c>
      <c r="NO304">
        <v>0</v>
      </c>
      <c r="NP304">
        <v>0</v>
      </c>
      <c r="NQ304">
        <v>0</v>
      </c>
      <c r="NR304">
        <v>0</v>
      </c>
      <c r="NS304" cm="1">
        <f t="array" ref="NS304">IFERROR(MAX((_xlfn.ANCHORARRAY(NN304)-AVERAGE(_xlfn.ANCHORARRAY(NN304)))/ AVERAGE(_xlfn.ANCHORARRAY(NN304))),0)</f>
        <v>0</v>
      </c>
      <c r="NT304" t="str" cm="1">
        <f t="array" ref="NT304">IF(AND(NS304&gt;$NT$1,NL304&lt;&gt;""),_xlfn.XLOOKUP(MAX(_xlfn.ANCHORARRAY(NN304)),_xlfn.ANCHORARRAY(NN304),NN$4:NR$4,""),"")</f>
        <v/>
      </c>
      <c r="NV304" cm="1">
        <f t="array" ref="NV304:OE304">SUMIFS($J304:$GG304,$J$2:$GG$2,NV$3:OE$3)</f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 cm="1">
        <f t="array" ref="OF304">IFERROR(MAX((_xlfn.ANCHORARRAY(NV304)-AVERAGE(_xlfn.ANCHORARRAY(NV304)))/ AVERAGE(_xlfn.ANCHORARRAY(NV304))),0)</f>
        <v>0</v>
      </c>
      <c r="OG304" t="str" cm="1">
        <f t="array" ref="OG304">IF(OF304&gt;$OG$1,_xlfn.XLOOKUP(MAX(_xlfn.ANCHORARRAY(NV304)),_xlfn.ANCHORARRAY(NV304),NV$4:OE$4,""),"")</f>
        <v/>
      </c>
      <c r="OI304" t="str">
        <f t="shared" si="114"/>
        <v/>
      </c>
    </row>
    <row r="305" spans="2:399" x14ac:dyDescent="0.3">
      <c r="B305" s="2" t="str">
        <f t="shared" si="106"/>
        <v>CORE</v>
      </c>
      <c r="C305" s="2" t="str">
        <f t="shared" si="107"/>
        <v>CORE</v>
      </c>
      <c r="D305" s="2" t="str">
        <f t="shared" si="108"/>
        <v>CORE</v>
      </c>
      <c r="E305" s="2" t="str">
        <f t="shared" si="109"/>
        <v/>
      </c>
      <c r="F305" s="2">
        <f t="shared" si="110"/>
        <v>0</v>
      </c>
      <c r="G305" s="2">
        <f t="shared" si="111"/>
        <v>0</v>
      </c>
      <c r="H305" s="2">
        <f t="shared" si="112"/>
        <v>0</v>
      </c>
      <c r="I305" s="2">
        <f t="shared" si="113"/>
        <v>0</v>
      </c>
      <c r="NH305" cm="1">
        <f t="array" ref="NH305:NJ305">SUMIFS($J305:$GG305,$J$1:$GG$1,NH$3:NJ$3)</f>
        <v>0</v>
      </c>
      <c r="NI305">
        <v>0</v>
      </c>
      <c r="NJ305">
        <v>0</v>
      </c>
      <c r="NK305" cm="1">
        <f t="array" ref="NK305">IFERROR(MAX((_xlfn.ANCHORARRAY(NH305)-AVERAGE(_xlfn.ANCHORARRAY(NH305)))/ AVERAGE(_xlfn.ANCHORARRAY(NH305))),0)</f>
        <v>0</v>
      </c>
      <c r="NL305" t="str" cm="1">
        <f t="array" ref="NL305">IF(NK305&gt;$NL$1,_xlfn.XLOOKUP(MAX(_xlfn.ANCHORARRAY(NH305)),_xlfn.ANCHORARRAY(NH305),NH$4:NJ$4,""),"")</f>
        <v/>
      </c>
      <c r="NN305" cm="1">
        <f t="array" ref="NN305:NR305">SUMIFS($J305:$GG305,$J$3:$GG$3,NN$3:NR$3)</f>
        <v>0</v>
      </c>
      <c r="NO305">
        <v>0</v>
      </c>
      <c r="NP305">
        <v>0</v>
      </c>
      <c r="NQ305">
        <v>0</v>
      </c>
      <c r="NR305">
        <v>0</v>
      </c>
      <c r="NS305" cm="1">
        <f t="array" ref="NS305">IFERROR(MAX((_xlfn.ANCHORARRAY(NN305)-AVERAGE(_xlfn.ANCHORARRAY(NN305)))/ AVERAGE(_xlfn.ANCHORARRAY(NN305))),0)</f>
        <v>0</v>
      </c>
      <c r="NT305" t="str" cm="1">
        <f t="array" ref="NT305">IF(AND(NS305&gt;$NT$1,NL305&lt;&gt;""),_xlfn.XLOOKUP(MAX(_xlfn.ANCHORARRAY(NN305)),_xlfn.ANCHORARRAY(NN305),NN$4:NR$4,""),"")</f>
        <v/>
      </c>
      <c r="NV305" cm="1">
        <f t="array" ref="NV305:OE305">SUMIFS($J305:$GG305,$J$2:$GG$2,NV$3:OE$3)</f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 cm="1">
        <f t="array" ref="OF305">IFERROR(MAX((_xlfn.ANCHORARRAY(NV305)-AVERAGE(_xlfn.ANCHORARRAY(NV305)))/ AVERAGE(_xlfn.ANCHORARRAY(NV305))),0)</f>
        <v>0</v>
      </c>
      <c r="OG305" t="str" cm="1">
        <f t="array" ref="OG305">IF(OF305&gt;$OG$1,_xlfn.XLOOKUP(MAX(_xlfn.ANCHORARRAY(NV305)),_xlfn.ANCHORARRAY(NV305),NV$4:OE$4,""),"")</f>
        <v/>
      </c>
      <c r="OI305" t="str">
        <f t="shared" si="114"/>
        <v/>
      </c>
    </row>
    <row r="306" spans="2:399" x14ac:dyDescent="0.3">
      <c r="B306" s="2" t="str">
        <f t="shared" si="106"/>
        <v>CORE</v>
      </c>
      <c r="C306" s="2" t="str">
        <f t="shared" si="107"/>
        <v>CORE</v>
      </c>
      <c r="D306" s="2" t="str">
        <f t="shared" si="108"/>
        <v>CORE</v>
      </c>
      <c r="E306" s="2" t="str">
        <f t="shared" si="109"/>
        <v/>
      </c>
      <c r="F306" s="2">
        <f t="shared" si="110"/>
        <v>0</v>
      </c>
      <c r="G306" s="2">
        <f t="shared" si="111"/>
        <v>0</v>
      </c>
      <c r="H306" s="2">
        <f t="shared" si="112"/>
        <v>0</v>
      </c>
      <c r="I306" s="2">
        <f t="shared" si="113"/>
        <v>0</v>
      </c>
      <c r="NH306" cm="1">
        <f t="array" ref="NH306:NJ306">SUMIFS($J306:$GG306,$J$1:$GG$1,NH$3:NJ$3)</f>
        <v>0</v>
      </c>
      <c r="NI306">
        <v>0</v>
      </c>
      <c r="NJ306">
        <v>0</v>
      </c>
      <c r="NK306" cm="1">
        <f t="array" ref="NK306">IFERROR(MAX((_xlfn.ANCHORARRAY(NH306)-AVERAGE(_xlfn.ANCHORARRAY(NH306)))/ AVERAGE(_xlfn.ANCHORARRAY(NH306))),0)</f>
        <v>0</v>
      </c>
      <c r="NL306" t="str" cm="1">
        <f t="array" ref="NL306">IF(NK306&gt;$NL$1,_xlfn.XLOOKUP(MAX(_xlfn.ANCHORARRAY(NH306)),_xlfn.ANCHORARRAY(NH306),NH$4:NJ$4,""),"")</f>
        <v/>
      </c>
      <c r="NN306" cm="1">
        <f t="array" ref="NN306:NR306">SUMIFS($J306:$GG306,$J$3:$GG$3,NN$3:NR$3)</f>
        <v>0</v>
      </c>
      <c r="NO306">
        <v>0</v>
      </c>
      <c r="NP306">
        <v>0</v>
      </c>
      <c r="NQ306">
        <v>0</v>
      </c>
      <c r="NR306">
        <v>0</v>
      </c>
      <c r="NS306" cm="1">
        <f t="array" ref="NS306">IFERROR(MAX((_xlfn.ANCHORARRAY(NN306)-AVERAGE(_xlfn.ANCHORARRAY(NN306)))/ AVERAGE(_xlfn.ANCHORARRAY(NN306))),0)</f>
        <v>0</v>
      </c>
      <c r="NT306" t="str" cm="1">
        <f t="array" ref="NT306">IF(AND(NS306&gt;$NT$1,NL306&lt;&gt;""),_xlfn.XLOOKUP(MAX(_xlfn.ANCHORARRAY(NN306)),_xlfn.ANCHORARRAY(NN306),NN$4:NR$4,""),"")</f>
        <v/>
      </c>
      <c r="NV306" cm="1">
        <f t="array" ref="NV306:OE306">SUMIFS($J306:$GG306,$J$2:$GG$2,NV$3:OE$3)</f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 cm="1">
        <f t="array" ref="OF306">IFERROR(MAX((_xlfn.ANCHORARRAY(NV306)-AVERAGE(_xlfn.ANCHORARRAY(NV306)))/ AVERAGE(_xlfn.ANCHORARRAY(NV306))),0)</f>
        <v>0</v>
      </c>
      <c r="OG306" t="str" cm="1">
        <f t="array" ref="OG306">IF(OF306&gt;$OG$1,_xlfn.XLOOKUP(MAX(_xlfn.ANCHORARRAY(NV306)),_xlfn.ANCHORARRAY(NV306),NV$4:OE$4,""),"")</f>
        <v/>
      </c>
      <c r="OI306" t="str">
        <f t="shared" si="114"/>
        <v/>
      </c>
    </row>
    <row r="307" spans="2:399" x14ac:dyDescent="0.3">
      <c r="B307" s="2" t="str">
        <f t="shared" si="106"/>
        <v>CORE</v>
      </c>
      <c r="C307" s="2" t="str">
        <f t="shared" si="107"/>
        <v>CORE</v>
      </c>
      <c r="D307" s="2" t="str">
        <f t="shared" si="108"/>
        <v>CORE</v>
      </c>
      <c r="E307" s="2" t="str">
        <f t="shared" si="109"/>
        <v/>
      </c>
      <c r="F307" s="2">
        <f t="shared" si="110"/>
        <v>0</v>
      </c>
      <c r="G307" s="2">
        <f t="shared" si="111"/>
        <v>0</v>
      </c>
      <c r="H307" s="2">
        <f t="shared" si="112"/>
        <v>0</v>
      </c>
      <c r="I307" s="2">
        <f t="shared" si="113"/>
        <v>0</v>
      </c>
      <c r="NH307" cm="1">
        <f t="array" ref="NH307:NJ307">SUMIFS($J307:$GG307,$J$1:$GG$1,NH$3:NJ$3)</f>
        <v>0</v>
      </c>
      <c r="NI307">
        <v>0</v>
      </c>
      <c r="NJ307">
        <v>0</v>
      </c>
      <c r="NK307" cm="1">
        <f t="array" ref="NK307">IFERROR(MAX((_xlfn.ANCHORARRAY(NH307)-AVERAGE(_xlfn.ANCHORARRAY(NH307)))/ AVERAGE(_xlfn.ANCHORARRAY(NH307))),0)</f>
        <v>0</v>
      </c>
      <c r="NL307" t="str" cm="1">
        <f t="array" ref="NL307">IF(NK307&gt;$NL$1,_xlfn.XLOOKUP(MAX(_xlfn.ANCHORARRAY(NH307)),_xlfn.ANCHORARRAY(NH307),NH$4:NJ$4,""),"")</f>
        <v/>
      </c>
      <c r="NN307" cm="1">
        <f t="array" ref="NN307:NR307">SUMIFS($J307:$GG307,$J$3:$GG$3,NN$3:NR$3)</f>
        <v>0</v>
      </c>
      <c r="NO307">
        <v>0</v>
      </c>
      <c r="NP307">
        <v>0</v>
      </c>
      <c r="NQ307">
        <v>0</v>
      </c>
      <c r="NR307">
        <v>0</v>
      </c>
      <c r="NS307" cm="1">
        <f t="array" ref="NS307">IFERROR(MAX((_xlfn.ANCHORARRAY(NN307)-AVERAGE(_xlfn.ANCHORARRAY(NN307)))/ AVERAGE(_xlfn.ANCHORARRAY(NN307))),0)</f>
        <v>0</v>
      </c>
      <c r="NT307" t="str" cm="1">
        <f t="array" ref="NT307">IF(AND(NS307&gt;$NT$1,NL307&lt;&gt;""),_xlfn.XLOOKUP(MAX(_xlfn.ANCHORARRAY(NN307)),_xlfn.ANCHORARRAY(NN307),NN$4:NR$4,""),"")</f>
        <v/>
      </c>
      <c r="NV307" cm="1">
        <f t="array" ref="NV307:OE307">SUMIFS($J307:$GG307,$J$2:$GG$2,NV$3:OE$3)</f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 cm="1">
        <f t="array" ref="OF307">IFERROR(MAX((_xlfn.ANCHORARRAY(NV307)-AVERAGE(_xlfn.ANCHORARRAY(NV307)))/ AVERAGE(_xlfn.ANCHORARRAY(NV307))),0)</f>
        <v>0</v>
      </c>
      <c r="OG307" t="str" cm="1">
        <f t="array" ref="OG307">IF(OF307&gt;$OG$1,_xlfn.XLOOKUP(MAX(_xlfn.ANCHORARRAY(NV307)),_xlfn.ANCHORARRAY(NV307),NV$4:OE$4,""),"")</f>
        <v/>
      </c>
      <c r="OI307" t="str">
        <f t="shared" si="114"/>
        <v/>
      </c>
    </row>
    <row r="308" spans="2:399" x14ac:dyDescent="0.3">
      <c r="B308" s="2" t="str">
        <f t="shared" si="106"/>
        <v>CORE</v>
      </c>
      <c r="C308" s="2" t="str">
        <f t="shared" si="107"/>
        <v>CORE</v>
      </c>
      <c r="D308" s="2" t="str">
        <f t="shared" si="108"/>
        <v>CORE</v>
      </c>
      <c r="E308" s="2" t="str">
        <f t="shared" si="109"/>
        <v/>
      </c>
      <c r="F308" s="2">
        <f t="shared" si="110"/>
        <v>0</v>
      </c>
      <c r="G308" s="2">
        <f t="shared" si="111"/>
        <v>0</v>
      </c>
      <c r="H308" s="2">
        <f t="shared" si="112"/>
        <v>0</v>
      </c>
      <c r="I308" s="2">
        <f t="shared" si="113"/>
        <v>0</v>
      </c>
      <c r="NH308" cm="1">
        <f t="array" ref="NH308:NJ308">SUMIFS($J308:$GG308,$J$1:$GG$1,NH$3:NJ$3)</f>
        <v>0</v>
      </c>
      <c r="NI308">
        <v>0</v>
      </c>
      <c r="NJ308">
        <v>0</v>
      </c>
      <c r="NK308" cm="1">
        <f t="array" ref="NK308">IFERROR(MAX((_xlfn.ANCHORARRAY(NH308)-AVERAGE(_xlfn.ANCHORARRAY(NH308)))/ AVERAGE(_xlfn.ANCHORARRAY(NH308))),0)</f>
        <v>0</v>
      </c>
      <c r="NL308" t="str" cm="1">
        <f t="array" ref="NL308">IF(NK308&gt;$NL$1,_xlfn.XLOOKUP(MAX(_xlfn.ANCHORARRAY(NH308)),_xlfn.ANCHORARRAY(NH308),NH$4:NJ$4,""),"")</f>
        <v/>
      </c>
      <c r="NN308" cm="1">
        <f t="array" ref="NN308:NR308">SUMIFS($J308:$GG308,$J$3:$GG$3,NN$3:NR$3)</f>
        <v>0</v>
      </c>
      <c r="NO308">
        <v>0</v>
      </c>
      <c r="NP308">
        <v>0</v>
      </c>
      <c r="NQ308">
        <v>0</v>
      </c>
      <c r="NR308">
        <v>0</v>
      </c>
      <c r="NS308" cm="1">
        <f t="array" ref="NS308">IFERROR(MAX((_xlfn.ANCHORARRAY(NN308)-AVERAGE(_xlfn.ANCHORARRAY(NN308)))/ AVERAGE(_xlfn.ANCHORARRAY(NN308))),0)</f>
        <v>0</v>
      </c>
      <c r="NT308" t="str" cm="1">
        <f t="array" ref="NT308">IF(AND(NS308&gt;$NT$1,NL308&lt;&gt;""),_xlfn.XLOOKUP(MAX(_xlfn.ANCHORARRAY(NN308)),_xlfn.ANCHORARRAY(NN308),NN$4:NR$4,""),"")</f>
        <v/>
      </c>
      <c r="NV308" cm="1">
        <f t="array" ref="NV308:OE308">SUMIFS($J308:$GG308,$J$2:$GG$2,NV$3:OE$3)</f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 cm="1">
        <f t="array" ref="OF308">IFERROR(MAX((_xlfn.ANCHORARRAY(NV308)-AVERAGE(_xlfn.ANCHORARRAY(NV308)))/ AVERAGE(_xlfn.ANCHORARRAY(NV308))),0)</f>
        <v>0</v>
      </c>
      <c r="OG308" t="str" cm="1">
        <f t="array" ref="OG308">IF(OF308&gt;$OG$1,_xlfn.XLOOKUP(MAX(_xlfn.ANCHORARRAY(NV308)),_xlfn.ANCHORARRAY(NV308),NV$4:OE$4,""),"")</f>
        <v/>
      </c>
      <c r="OI308" t="str">
        <f t="shared" si="114"/>
        <v/>
      </c>
    </row>
    <row r="309" spans="2:399" x14ac:dyDescent="0.3">
      <c r="B309" s="2" t="str">
        <f t="shared" si="106"/>
        <v>CORE</v>
      </c>
      <c r="C309" s="2" t="str">
        <f t="shared" si="107"/>
        <v>CORE</v>
      </c>
      <c r="D309" s="2" t="str">
        <f t="shared" si="108"/>
        <v>CORE</v>
      </c>
      <c r="E309" s="2" t="str">
        <f t="shared" si="109"/>
        <v/>
      </c>
      <c r="F309" s="2">
        <f t="shared" si="110"/>
        <v>0</v>
      </c>
      <c r="G309" s="2">
        <f t="shared" si="111"/>
        <v>0</v>
      </c>
      <c r="H309" s="2">
        <f t="shared" si="112"/>
        <v>0</v>
      </c>
      <c r="I309" s="2">
        <f t="shared" si="113"/>
        <v>0</v>
      </c>
      <c r="NH309" cm="1">
        <f t="array" ref="NH309:NJ309">SUMIFS($J309:$GG309,$J$1:$GG$1,NH$3:NJ$3)</f>
        <v>0</v>
      </c>
      <c r="NI309">
        <v>0</v>
      </c>
      <c r="NJ309">
        <v>0</v>
      </c>
      <c r="NK309" cm="1">
        <f t="array" ref="NK309">IFERROR(MAX((_xlfn.ANCHORARRAY(NH309)-AVERAGE(_xlfn.ANCHORARRAY(NH309)))/ AVERAGE(_xlfn.ANCHORARRAY(NH309))),0)</f>
        <v>0</v>
      </c>
      <c r="NL309" t="str" cm="1">
        <f t="array" ref="NL309">IF(NK309&gt;$NL$1,_xlfn.XLOOKUP(MAX(_xlfn.ANCHORARRAY(NH309)),_xlfn.ANCHORARRAY(NH309),NH$4:NJ$4,""),"")</f>
        <v/>
      </c>
      <c r="NN309" cm="1">
        <f t="array" ref="NN309:NR309">SUMIFS($J309:$GG309,$J$3:$GG$3,NN$3:NR$3)</f>
        <v>0</v>
      </c>
      <c r="NO309">
        <v>0</v>
      </c>
      <c r="NP309">
        <v>0</v>
      </c>
      <c r="NQ309">
        <v>0</v>
      </c>
      <c r="NR309">
        <v>0</v>
      </c>
      <c r="NS309" cm="1">
        <f t="array" ref="NS309">IFERROR(MAX((_xlfn.ANCHORARRAY(NN309)-AVERAGE(_xlfn.ANCHORARRAY(NN309)))/ AVERAGE(_xlfn.ANCHORARRAY(NN309))),0)</f>
        <v>0</v>
      </c>
      <c r="NT309" t="str" cm="1">
        <f t="array" ref="NT309">IF(AND(NS309&gt;$NT$1,NL309&lt;&gt;""),_xlfn.XLOOKUP(MAX(_xlfn.ANCHORARRAY(NN309)),_xlfn.ANCHORARRAY(NN309),NN$4:NR$4,""),"")</f>
        <v/>
      </c>
      <c r="NV309" cm="1">
        <f t="array" ref="NV309:OE309">SUMIFS($J309:$GG309,$J$2:$GG$2,NV$3:OE$3)</f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 cm="1">
        <f t="array" ref="OF309">IFERROR(MAX((_xlfn.ANCHORARRAY(NV309)-AVERAGE(_xlfn.ANCHORARRAY(NV309)))/ AVERAGE(_xlfn.ANCHORARRAY(NV309))),0)</f>
        <v>0</v>
      </c>
      <c r="OG309" t="str" cm="1">
        <f t="array" ref="OG309">IF(OF309&gt;$OG$1,_xlfn.XLOOKUP(MAX(_xlfn.ANCHORARRAY(NV309)),_xlfn.ANCHORARRAY(NV309),NV$4:OE$4,""),"")</f>
        <v/>
      </c>
      <c r="OI309" t="str">
        <f t="shared" si="114"/>
        <v/>
      </c>
    </row>
    <row r="310" spans="2:399" x14ac:dyDescent="0.3">
      <c r="B310" s="2" t="str">
        <f t="shared" si="106"/>
        <v>CORE</v>
      </c>
      <c r="C310" s="2" t="str">
        <f t="shared" si="107"/>
        <v>CORE</v>
      </c>
      <c r="D310" s="2" t="str">
        <f t="shared" si="108"/>
        <v>CORE</v>
      </c>
      <c r="E310" s="2" t="str">
        <f t="shared" si="109"/>
        <v/>
      </c>
      <c r="F310" s="2">
        <f t="shared" si="110"/>
        <v>0</v>
      </c>
      <c r="G310" s="2">
        <f t="shared" si="111"/>
        <v>0</v>
      </c>
      <c r="H310" s="2">
        <f t="shared" si="112"/>
        <v>0</v>
      </c>
      <c r="I310" s="2">
        <f t="shared" si="113"/>
        <v>0</v>
      </c>
      <c r="NH310" cm="1">
        <f t="array" ref="NH310:NJ310">SUMIFS($J310:$GG310,$J$1:$GG$1,NH$3:NJ$3)</f>
        <v>0</v>
      </c>
      <c r="NI310">
        <v>0</v>
      </c>
      <c r="NJ310">
        <v>0</v>
      </c>
      <c r="NK310" cm="1">
        <f t="array" ref="NK310">IFERROR(MAX((_xlfn.ANCHORARRAY(NH310)-AVERAGE(_xlfn.ANCHORARRAY(NH310)))/ AVERAGE(_xlfn.ANCHORARRAY(NH310))),0)</f>
        <v>0</v>
      </c>
      <c r="NL310" t="str" cm="1">
        <f t="array" ref="NL310">IF(NK310&gt;$NL$1,_xlfn.XLOOKUP(MAX(_xlfn.ANCHORARRAY(NH310)),_xlfn.ANCHORARRAY(NH310),NH$4:NJ$4,""),"")</f>
        <v/>
      </c>
      <c r="NN310" cm="1">
        <f t="array" ref="NN310:NR310">SUMIFS($J310:$GG310,$J$3:$GG$3,NN$3:NR$3)</f>
        <v>0</v>
      </c>
      <c r="NO310">
        <v>0</v>
      </c>
      <c r="NP310">
        <v>0</v>
      </c>
      <c r="NQ310">
        <v>0</v>
      </c>
      <c r="NR310">
        <v>0</v>
      </c>
      <c r="NS310" cm="1">
        <f t="array" ref="NS310">IFERROR(MAX((_xlfn.ANCHORARRAY(NN310)-AVERAGE(_xlfn.ANCHORARRAY(NN310)))/ AVERAGE(_xlfn.ANCHORARRAY(NN310))),0)</f>
        <v>0</v>
      </c>
      <c r="NT310" t="str" cm="1">
        <f t="array" ref="NT310">IF(AND(NS310&gt;$NT$1,NL310&lt;&gt;""),_xlfn.XLOOKUP(MAX(_xlfn.ANCHORARRAY(NN310)),_xlfn.ANCHORARRAY(NN310),NN$4:NR$4,""),"")</f>
        <v/>
      </c>
      <c r="NV310" cm="1">
        <f t="array" ref="NV310:OE310">SUMIFS($J310:$GG310,$J$2:$GG$2,NV$3:OE$3)</f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 cm="1">
        <f t="array" ref="OF310">IFERROR(MAX((_xlfn.ANCHORARRAY(NV310)-AVERAGE(_xlfn.ANCHORARRAY(NV310)))/ AVERAGE(_xlfn.ANCHORARRAY(NV310))),0)</f>
        <v>0</v>
      </c>
      <c r="OG310" t="str" cm="1">
        <f t="array" ref="OG310">IF(OF310&gt;$OG$1,_xlfn.XLOOKUP(MAX(_xlfn.ANCHORARRAY(NV310)),_xlfn.ANCHORARRAY(NV310),NV$4:OE$4,""),"")</f>
        <v/>
      </c>
      <c r="OI310" t="str">
        <f t="shared" si="114"/>
        <v/>
      </c>
    </row>
    <row r="311" spans="2:399" x14ac:dyDescent="0.3">
      <c r="B311" s="2" t="str">
        <f t="shared" si="106"/>
        <v>CORE</v>
      </c>
      <c r="C311" s="2" t="str">
        <f t="shared" si="107"/>
        <v>CORE</v>
      </c>
      <c r="D311" s="2" t="str">
        <f t="shared" si="108"/>
        <v>CORE</v>
      </c>
      <c r="E311" s="2" t="str">
        <f t="shared" si="109"/>
        <v/>
      </c>
      <c r="F311" s="2">
        <f t="shared" si="110"/>
        <v>0</v>
      </c>
      <c r="G311" s="2">
        <f t="shared" si="111"/>
        <v>0</v>
      </c>
      <c r="H311" s="2">
        <f t="shared" si="112"/>
        <v>0</v>
      </c>
      <c r="I311" s="2">
        <f t="shared" si="113"/>
        <v>0</v>
      </c>
      <c r="NH311" cm="1">
        <f t="array" ref="NH311:NJ311">SUMIFS($J311:$GG311,$J$1:$GG$1,NH$3:NJ$3)</f>
        <v>0</v>
      </c>
      <c r="NI311">
        <v>0</v>
      </c>
      <c r="NJ311">
        <v>0</v>
      </c>
      <c r="NK311" cm="1">
        <f t="array" ref="NK311">IFERROR(MAX((_xlfn.ANCHORARRAY(NH311)-AVERAGE(_xlfn.ANCHORARRAY(NH311)))/ AVERAGE(_xlfn.ANCHORARRAY(NH311))),0)</f>
        <v>0</v>
      </c>
      <c r="NL311" t="str" cm="1">
        <f t="array" ref="NL311">IF(NK311&gt;$NL$1,_xlfn.XLOOKUP(MAX(_xlfn.ANCHORARRAY(NH311)),_xlfn.ANCHORARRAY(NH311),NH$4:NJ$4,""),"")</f>
        <v/>
      </c>
      <c r="NN311" cm="1">
        <f t="array" ref="NN311:NR311">SUMIFS($J311:$GG311,$J$3:$GG$3,NN$3:NR$3)</f>
        <v>0</v>
      </c>
      <c r="NO311">
        <v>0</v>
      </c>
      <c r="NP311">
        <v>0</v>
      </c>
      <c r="NQ311">
        <v>0</v>
      </c>
      <c r="NR311">
        <v>0</v>
      </c>
      <c r="NS311" cm="1">
        <f t="array" ref="NS311">IFERROR(MAX((_xlfn.ANCHORARRAY(NN311)-AVERAGE(_xlfn.ANCHORARRAY(NN311)))/ AVERAGE(_xlfn.ANCHORARRAY(NN311))),0)</f>
        <v>0</v>
      </c>
      <c r="NT311" t="str" cm="1">
        <f t="array" ref="NT311">IF(AND(NS311&gt;$NT$1,NL311&lt;&gt;""),_xlfn.XLOOKUP(MAX(_xlfn.ANCHORARRAY(NN311)),_xlfn.ANCHORARRAY(NN311),NN$4:NR$4,""),"")</f>
        <v/>
      </c>
      <c r="NV311" cm="1">
        <f t="array" ref="NV311:OE311">SUMIFS($J311:$GG311,$J$2:$GG$2,NV$3:OE$3)</f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 cm="1">
        <f t="array" ref="OF311">IFERROR(MAX((_xlfn.ANCHORARRAY(NV311)-AVERAGE(_xlfn.ANCHORARRAY(NV311)))/ AVERAGE(_xlfn.ANCHORARRAY(NV311))),0)</f>
        <v>0</v>
      </c>
      <c r="OG311" t="str" cm="1">
        <f t="array" ref="OG311">IF(OF311&gt;$OG$1,_xlfn.XLOOKUP(MAX(_xlfn.ANCHORARRAY(NV311)),_xlfn.ANCHORARRAY(NV311),NV$4:OE$4,""),"")</f>
        <v/>
      </c>
      <c r="OI311" t="str">
        <f t="shared" si="114"/>
        <v/>
      </c>
    </row>
    <row r="312" spans="2:399" x14ac:dyDescent="0.3">
      <c r="B312" s="2" t="str">
        <f t="shared" si="106"/>
        <v>CORE</v>
      </c>
      <c r="C312" s="2" t="str">
        <f t="shared" si="107"/>
        <v>CORE</v>
      </c>
      <c r="D312" s="2" t="str">
        <f t="shared" si="108"/>
        <v>CORE</v>
      </c>
      <c r="E312" s="2" t="str">
        <f t="shared" si="109"/>
        <v/>
      </c>
      <c r="F312" s="2">
        <f t="shared" si="110"/>
        <v>0</v>
      </c>
      <c r="G312" s="2">
        <f t="shared" si="111"/>
        <v>0</v>
      </c>
      <c r="H312" s="2">
        <f t="shared" si="112"/>
        <v>0</v>
      </c>
      <c r="I312" s="2">
        <f t="shared" si="113"/>
        <v>0</v>
      </c>
      <c r="NH312" cm="1">
        <f t="array" ref="NH312:NJ312">SUMIFS($J312:$GG312,$J$1:$GG$1,NH$3:NJ$3)</f>
        <v>0</v>
      </c>
      <c r="NI312">
        <v>0</v>
      </c>
      <c r="NJ312">
        <v>0</v>
      </c>
      <c r="NK312" cm="1">
        <f t="array" ref="NK312">IFERROR(MAX((_xlfn.ANCHORARRAY(NH312)-AVERAGE(_xlfn.ANCHORARRAY(NH312)))/ AVERAGE(_xlfn.ANCHORARRAY(NH312))),0)</f>
        <v>0</v>
      </c>
      <c r="NL312" t="str" cm="1">
        <f t="array" ref="NL312">IF(NK312&gt;$NL$1,_xlfn.XLOOKUP(MAX(_xlfn.ANCHORARRAY(NH312)),_xlfn.ANCHORARRAY(NH312),NH$4:NJ$4,""),"")</f>
        <v/>
      </c>
      <c r="NN312" cm="1">
        <f t="array" ref="NN312:NR312">SUMIFS($J312:$GG312,$J$3:$GG$3,NN$3:NR$3)</f>
        <v>0</v>
      </c>
      <c r="NO312">
        <v>0</v>
      </c>
      <c r="NP312">
        <v>0</v>
      </c>
      <c r="NQ312">
        <v>0</v>
      </c>
      <c r="NR312">
        <v>0</v>
      </c>
      <c r="NS312" cm="1">
        <f t="array" ref="NS312">IFERROR(MAX((_xlfn.ANCHORARRAY(NN312)-AVERAGE(_xlfn.ANCHORARRAY(NN312)))/ AVERAGE(_xlfn.ANCHORARRAY(NN312))),0)</f>
        <v>0</v>
      </c>
      <c r="NT312" t="str" cm="1">
        <f t="array" ref="NT312">IF(AND(NS312&gt;$NT$1,NL312&lt;&gt;""),_xlfn.XLOOKUP(MAX(_xlfn.ANCHORARRAY(NN312)),_xlfn.ANCHORARRAY(NN312),NN$4:NR$4,""),"")</f>
        <v/>
      </c>
      <c r="NV312" cm="1">
        <f t="array" ref="NV312:OE312">SUMIFS($J312:$GG312,$J$2:$GG$2,NV$3:OE$3)</f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 cm="1">
        <f t="array" ref="OF312">IFERROR(MAX((_xlfn.ANCHORARRAY(NV312)-AVERAGE(_xlfn.ANCHORARRAY(NV312)))/ AVERAGE(_xlfn.ANCHORARRAY(NV312))),0)</f>
        <v>0</v>
      </c>
      <c r="OG312" t="str" cm="1">
        <f t="array" ref="OG312">IF(OF312&gt;$OG$1,_xlfn.XLOOKUP(MAX(_xlfn.ANCHORARRAY(NV312)),_xlfn.ANCHORARRAY(NV312),NV$4:OE$4,""),"")</f>
        <v/>
      </c>
      <c r="OI312" t="str">
        <f t="shared" si="114"/>
        <v/>
      </c>
    </row>
    <row r="313" spans="2:399" x14ac:dyDescent="0.3">
      <c r="B313" s="2" t="str">
        <f t="shared" si="106"/>
        <v>CORE</v>
      </c>
      <c r="C313" s="2" t="str">
        <f t="shared" si="107"/>
        <v>CORE</v>
      </c>
      <c r="D313" s="2" t="str">
        <f t="shared" si="108"/>
        <v>CORE</v>
      </c>
      <c r="E313" s="2" t="str">
        <f t="shared" si="109"/>
        <v/>
      </c>
      <c r="F313" s="2">
        <f t="shared" si="110"/>
        <v>0</v>
      </c>
      <c r="G313" s="2">
        <f t="shared" si="111"/>
        <v>0</v>
      </c>
      <c r="H313" s="2">
        <f t="shared" si="112"/>
        <v>0</v>
      </c>
      <c r="I313" s="2">
        <f t="shared" si="113"/>
        <v>0</v>
      </c>
      <c r="NH313" cm="1">
        <f t="array" ref="NH313:NJ313">SUMIFS($J313:$GG313,$J$1:$GG$1,NH$3:NJ$3)</f>
        <v>0</v>
      </c>
      <c r="NI313">
        <v>0</v>
      </c>
      <c r="NJ313">
        <v>0</v>
      </c>
      <c r="NK313" cm="1">
        <f t="array" ref="NK313">IFERROR(MAX((_xlfn.ANCHORARRAY(NH313)-AVERAGE(_xlfn.ANCHORARRAY(NH313)))/ AVERAGE(_xlfn.ANCHORARRAY(NH313))),0)</f>
        <v>0</v>
      </c>
      <c r="NL313" t="str" cm="1">
        <f t="array" ref="NL313">IF(NK313&gt;$NL$1,_xlfn.XLOOKUP(MAX(_xlfn.ANCHORARRAY(NH313)),_xlfn.ANCHORARRAY(NH313),NH$4:NJ$4,""),"")</f>
        <v/>
      </c>
      <c r="NN313" cm="1">
        <f t="array" ref="NN313:NR313">SUMIFS($J313:$GG313,$J$3:$GG$3,NN$3:NR$3)</f>
        <v>0</v>
      </c>
      <c r="NO313">
        <v>0</v>
      </c>
      <c r="NP313">
        <v>0</v>
      </c>
      <c r="NQ313">
        <v>0</v>
      </c>
      <c r="NR313">
        <v>0</v>
      </c>
      <c r="NS313" cm="1">
        <f t="array" ref="NS313">IFERROR(MAX((_xlfn.ANCHORARRAY(NN313)-AVERAGE(_xlfn.ANCHORARRAY(NN313)))/ AVERAGE(_xlfn.ANCHORARRAY(NN313))),0)</f>
        <v>0</v>
      </c>
      <c r="NT313" t="str" cm="1">
        <f t="array" ref="NT313">IF(AND(NS313&gt;$NT$1,NL313&lt;&gt;""),_xlfn.XLOOKUP(MAX(_xlfn.ANCHORARRAY(NN313)),_xlfn.ANCHORARRAY(NN313),NN$4:NR$4,""),"")</f>
        <v/>
      </c>
      <c r="NV313" cm="1">
        <f t="array" ref="NV313:OE313">SUMIFS($J313:$GG313,$J$2:$GG$2,NV$3:OE$3)</f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 cm="1">
        <f t="array" ref="OF313">IFERROR(MAX((_xlfn.ANCHORARRAY(NV313)-AVERAGE(_xlfn.ANCHORARRAY(NV313)))/ AVERAGE(_xlfn.ANCHORARRAY(NV313))),0)</f>
        <v>0</v>
      </c>
      <c r="OG313" t="str" cm="1">
        <f t="array" ref="OG313">IF(OF313&gt;$OG$1,_xlfn.XLOOKUP(MAX(_xlfn.ANCHORARRAY(NV313)),_xlfn.ANCHORARRAY(NV313),NV$4:OE$4,""),"")</f>
        <v/>
      </c>
      <c r="OI313" t="str">
        <f t="shared" si="114"/>
        <v/>
      </c>
    </row>
    <row r="314" spans="2:399" x14ac:dyDescent="0.3">
      <c r="B314" s="2" t="str">
        <f t="shared" si="106"/>
        <v>CORE</v>
      </c>
      <c r="C314" s="2" t="str">
        <f t="shared" si="107"/>
        <v>CORE</v>
      </c>
      <c r="D314" s="2" t="str">
        <f t="shared" si="108"/>
        <v>CORE</v>
      </c>
      <c r="E314" s="2" t="str">
        <f t="shared" si="109"/>
        <v/>
      </c>
      <c r="F314" s="2">
        <f t="shared" si="110"/>
        <v>0</v>
      </c>
      <c r="G314" s="2">
        <f t="shared" si="111"/>
        <v>0</v>
      </c>
      <c r="H314" s="2">
        <f t="shared" si="112"/>
        <v>0</v>
      </c>
      <c r="I314" s="2">
        <f t="shared" si="113"/>
        <v>0</v>
      </c>
      <c r="NH314" cm="1">
        <f t="array" ref="NH314:NJ314">SUMIFS($J314:$GG314,$J$1:$GG$1,NH$3:NJ$3)</f>
        <v>0</v>
      </c>
      <c r="NI314">
        <v>0</v>
      </c>
      <c r="NJ314">
        <v>0</v>
      </c>
      <c r="NK314" cm="1">
        <f t="array" ref="NK314">IFERROR(MAX((_xlfn.ANCHORARRAY(NH314)-AVERAGE(_xlfn.ANCHORARRAY(NH314)))/ AVERAGE(_xlfn.ANCHORARRAY(NH314))),0)</f>
        <v>0</v>
      </c>
      <c r="NL314" t="str" cm="1">
        <f t="array" ref="NL314">IF(NK314&gt;$NL$1,_xlfn.XLOOKUP(MAX(_xlfn.ANCHORARRAY(NH314)),_xlfn.ANCHORARRAY(NH314),NH$4:NJ$4,""),"")</f>
        <v/>
      </c>
      <c r="NN314" cm="1">
        <f t="array" ref="NN314:NR314">SUMIFS($J314:$GG314,$J$3:$GG$3,NN$3:NR$3)</f>
        <v>0</v>
      </c>
      <c r="NO314">
        <v>0</v>
      </c>
      <c r="NP314">
        <v>0</v>
      </c>
      <c r="NQ314">
        <v>0</v>
      </c>
      <c r="NR314">
        <v>0</v>
      </c>
      <c r="NS314" cm="1">
        <f t="array" ref="NS314">IFERROR(MAX((_xlfn.ANCHORARRAY(NN314)-AVERAGE(_xlfn.ANCHORARRAY(NN314)))/ AVERAGE(_xlfn.ANCHORARRAY(NN314))),0)</f>
        <v>0</v>
      </c>
      <c r="NT314" t="str" cm="1">
        <f t="array" ref="NT314">IF(AND(NS314&gt;$NT$1,NL314&lt;&gt;""),_xlfn.XLOOKUP(MAX(_xlfn.ANCHORARRAY(NN314)),_xlfn.ANCHORARRAY(NN314),NN$4:NR$4,""),"")</f>
        <v/>
      </c>
      <c r="NV314" cm="1">
        <f t="array" ref="NV314:OE314">SUMIFS($J314:$GG314,$J$2:$GG$2,NV$3:OE$3)</f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 cm="1">
        <f t="array" ref="OF314">IFERROR(MAX((_xlfn.ANCHORARRAY(NV314)-AVERAGE(_xlfn.ANCHORARRAY(NV314)))/ AVERAGE(_xlfn.ANCHORARRAY(NV314))),0)</f>
        <v>0</v>
      </c>
      <c r="OG314" t="str" cm="1">
        <f t="array" ref="OG314">IF(OF314&gt;$OG$1,_xlfn.XLOOKUP(MAX(_xlfn.ANCHORARRAY(NV314)),_xlfn.ANCHORARRAY(NV314),NV$4:OE$4,""),"")</f>
        <v/>
      </c>
      <c r="OI314" t="str">
        <f t="shared" si="114"/>
        <v/>
      </c>
    </row>
    <row r="315" spans="2:399" x14ac:dyDescent="0.3">
      <c r="B315" s="2" t="str">
        <f t="shared" si="106"/>
        <v>CORE</v>
      </c>
      <c r="C315" s="2" t="str">
        <f t="shared" si="107"/>
        <v>CORE</v>
      </c>
      <c r="D315" s="2" t="str">
        <f t="shared" si="108"/>
        <v>CORE</v>
      </c>
      <c r="E315" s="2" t="str">
        <f t="shared" si="109"/>
        <v/>
      </c>
      <c r="F315" s="2">
        <f t="shared" si="110"/>
        <v>0</v>
      </c>
      <c r="G315" s="2">
        <f t="shared" si="111"/>
        <v>0</v>
      </c>
      <c r="H315" s="2">
        <f t="shared" si="112"/>
        <v>0</v>
      </c>
      <c r="I315" s="2">
        <f t="shared" si="113"/>
        <v>0</v>
      </c>
      <c r="NH315" cm="1">
        <f t="array" ref="NH315:NJ315">SUMIFS($J315:$GG315,$J$1:$GG$1,NH$3:NJ$3)</f>
        <v>0</v>
      </c>
      <c r="NI315">
        <v>0</v>
      </c>
      <c r="NJ315">
        <v>0</v>
      </c>
      <c r="NK315" cm="1">
        <f t="array" ref="NK315">IFERROR(MAX((_xlfn.ANCHORARRAY(NH315)-AVERAGE(_xlfn.ANCHORARRAY(NH315)))/ AVERAGE(_xlfn.ANCHORARRAY(NH315))),0)</f>
        <v>0</v>
      </c>
      <c r="NL315" t="str" cm="1">
        <f t="array" ref="NL315">IF(NK315&gt;$NL$1,_xlfn.XLOOKUP(MAX(_xlfn.ANCHORARRAY(NH315)),_xlfn.ANCHORARRAY(NH315),NH$4:NJ$4,""),"")</f>
        <v/>
      </c>
      <c r="NN315" cm="1">
        <f t="array" ref="NN315:NR315">SUMIFS($J315:$GG315,$J$3:$GG$3,NN$3:NR$3)</f>
        <v>0</v>
      </c>
      <c r="NO315">
        <v>0</v>
      </c>
      <c r="NP315">
        <v>0</v>
      </c>
      <c r="NQ315">
        <v>0</v>
      </c>
      <c r="NR315">
        <v>0</v>
      </c>
      <c r="NS315" cm="1">
        <f t="array" ref="NS315">IFERROR(MAX((_xlfn.ANCHORARRAY(NN315)-AVERAGE(_xlfn.ANCHORARRAY(NN315)))/ AVERAGE(_xlfn.ANCHORARRAY(NN315))),0)</f>
        <v>0</v>
      </c>
      <c r="NT315" t="str" cm="1">
        <f t="array" ref="NT315">IF(AND(NS315&gt;$NT$1,NL315&lt;&gt;""),_xlfn.XLOOKUP(MAX(_xlfn.ANCHORARRAY(NN315)),_xlfn.ANCHORARRAY(NN315),NN$4:NR$4,""),"")</f>
        <v/>
      </c>
      <c r="NV315" cm="1">
        <f t="array" ref="NV315:OE315">SUMIFS($J315:$GG315,$J$2:$GG$2,NV$3:OE$3)</f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 cm="1">
        <f t="array" ref="OF315">IFERROR(MAX((_xlfn.ANCHORARRAY(NV315)-AVERAGE(_xlfn.ANCHORARRAY(NV315)))/ AVERAGE(_xlfn.ANCHORARRAY(NV315))),0)</f>
        <v>0</v>
      </c>
      <c r="OG315" t="str" cm="1">
        <f t="array" ref="OG315">IF(OF315&gt;$OG$1,_xlfn.XLOOKUP(MAX(_xlfn.ANCHORARRAY(NV315)),_xlfn.ANCHORARRAY(NV315),NV$4:OE$4,""),"")</f>
        <v/>
      </c>
      <c r="OI315" t="str">
        <f t="shared" si="114"/>
        <v/>
      </c>
    </row>
    <row r="316" spans="2:399" x14ac:dyDescent="0.3">
      <c r="B316" s="2" t="str">
        <f t="shared" si="106"/>
        <v>CORE</v>
      </c>
      <c r="C316" s="2" t="str">
        <f t="shared" si="107"/>
        <v>CORE</v>
      </c>
      <c r="D316" s="2" t="str">
        <f t="shared" si="108"/>
        <v>CORE</v>
      </c>
      <c r="E316" s="2" t="str">
        <f t="shared" si="109"/>
        <v/>
      </c>
      <c r="F316" s="2">
        <f t="shared" si="110"/>
        <v>0</v>
      </c>
      <c r="G316" s="2">
        <f t="shared" si="111"/>
        <v>0</v>
      </c>
      <c r="H316" s="2">
        <f t="shared" si="112"/>
        <v>0</v>
      </c>
      <c r="I316" s="2">
        <f t="shared" si="113"/>
        <v>0</v>
      </c>
      <c r="NH316" cm="1">
        <f t="array" ref="NH316:NJ316">SUMIFS($J316:$GG316,$J$1:$GG$1,NH$3:NJ$3)</f>
        <v>0</v>
      </c>
      <c r="NI316">
        <v>0</v>
      </c>
      <c r="NJ316">
        <v>0</v>
      </c>
      <c r="NK316" cm="1">
        <f t="array" ref="NK316">IFERROR(MAX((_xlfn.ANCHORARRAY(NH316)-AVERAGE(_xlfn.ANCHORARRAY(NH316)))/ AVERAGE(_xlfn.ANCHORARRAY(NH316))),0)</f>
        <v>0</v>
      </c>
      <c r="NL316" t="str" cm="1">
        <f t="array" ref="NL316">IF(NK316&gt;$NL$1,_xlfn.XLOOKUP(MAX(_xlfn.ANCHORARRAY(NH316)),_xlfn.ANCHORARRAY(NH316),NH$4:NJ$4,""),"")</f>
        <v/>
      </c>
      <c r="NN316" cm="1">
        <f t="array" ref="NN316:NR316">SUMIFS($J316:$GG316,$J$3:$GG$3,NN$3:NR$3)</f>
        <v>0</v>
      </c>
      <c r="NO316">
        <v>0</v>
      </c>
      <c r="NP316">
        <v>0</v>
      </c>
      <c r="NQ316">
        <v>0</v>
      </c>
      <c r="NR316">
        <v>0</v>
      </c>
      <c r="NS316" cm="1">
        <f t="array" ref="NS316">IFERROR(MAX((_xlfn.ANCHORARRAY(NN316)-AVERAGE(_xlfn.ANCHORARRAY(NN316)))/ AVERAGE(_xlfn.ANCHORARRAY(NN316))),0)</f>
        <v>0</v>
      </c>
      <c r="NT316" t="str" cm="1">
        <f t="array" ref="NT316">IF(AND(NS316&gt;$NT$1,NL316&lt;&gt;""),_xlfn.XLOOKUP(MAX(_xlfn.ANCHORARRAY(NN316)),_xlfn.ANCHORARRAY(NN316),NN$4:NR$4,""),"")</f>
        <v/>
      </c>
      <c r="NV316" cm="1">
        <f t="array" ref="NV316:OE316">SUMIFS($J316:$GG316,$J$2:$GG$2,NV$3:OE$3)</f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 cm="1">
        <f t="array" ref="OF316">IFERROR(MAX((_xlfn.ANCHORARRAY(NV316)-AVERAGE(_xlfn.ANCHORARRAY(NV316)))/ AVERAGE(_xlfn.ANCHORARRAY(NV316))),0)</f>
        <v>0</v>
      </c>
      <c r="OG316" t="str" cm="1">
        <f t="array" ref="OG316">IF(OF316&gt;$OG$1,_xlfn.XLOOKUP(MAX(_xlfn.ANCHORARRAY(NV316)),_xlfn.ANCHORARRAY(NV316),NV$4:OE$4,""),"")</f>
        <v/>
      </c>
      <c r="OI316" t="str">
        <f t="shared" si="114"/>
        <v/>
      </c>
    </row>
    <row r="317" spans="2:399" x14ac:dyDescent="0.3">
      <c r="B317" s="2" t="str">
        <f t="shared" si="106"/>
        <v>CORE</v>
      </c>
      <c r="C317" s="2" t="str">
        <f t="shared" si="107"/>
        <v>CORE</v>
      </c>
      <c r="D317" s="2" t="str">
        <f t="shared" si="108"/>
        <v>CORE</v>
      </c>
      <c r="E317" s="2" t="str">
        <f t="shared" si="109"/>
        <v/>
      </c>
      <c r="F317" s="2">
        <f t="shared" si="110"/>
        <v>0</v>
      </c>
      <c r="G317" s="2">
        <f t="shared" si="111"/>
        <v>0</v>
      </c>
      <c r="H317" s="2">
        <f t="shared" si="112"/>
        <v>0</v>
      </c>
      <c r="I317" s="2">
        <f t="shared" si="113"/>
        <v>0</v>
      </c>
      <c r="NH317" cm="1">
        <f t="array" ref="NH317:NJ317">SUMIFS($J317:$GG317,$J$1:$GG$1,NH$3:NJ$3)</f>
        <v>0</v>
      </c>
      <c r="NI317">
        <v>0</v>
      </c>
      <c r="NJ317">
        <v>0</v>
      </c>
      <c r="NK317" cm="1">
        <f t="array" ref="NK317">IFERROR(MAX((_xlfn.ANCHORARRAY(NH317)-AVERAGE(_xlfn.ANCHORARRAY(NH317)))/ AVERAGE(_xlfn.ANCHORARRAY(NH317))),0)</f>
        <v>0</v>
      </c>
      <c r="NL317" t="str" cm="1">
        <f t="array" ref="NL317">IF(NK317&gt;$NL$1,_xlfn.XLOOKUP(MAX(_xlfn.ANCHORARRAY(NH317)),_xlfn.ANCHORARRAY(NH317),NH$4:NJ$4,""),"")</f>
        <v/>
      </c>
      <c r="NN317" cm="1">
        <f t="array" ref="NN317:NR317">SUMIFS($J317:$GG317,$J$3:$GG$3,NN$3:NR$3)</f>
        <v>0</v>
      </c>
      <c r="NO317">
        <v>0</v>
      </c>
      <c r="NP317">
        <v>0</v>
      </c>
      <c r="NQ317">
        <v>0</v>
      </c>
      <c r="NR317">
        <v>0</v>
      </c>
      <c r="NS317" cm="1">
        <f t="array" ref="NS317">IFERROR(MAX((_xlfn.ANCHORARRAY(NN317)-AVERAGE(_xlfn.ANCHORARRAY(NN317)))/ AVERAGE(_xlfn.ANCHORARRAY(NN317))),0)</f>
        <v>0</v>
      </c>
      <c r="NT317" t="str" cm="1">
        <f t="array" ref="NT317">IF(AND(NS317&gt;$NT$1,NL317&lt;&gt;""),_xlfn.XLOOKUP(MAX(_xlfn.ANCHORARRAY(NN317)),_xlfn.ANCHORARRAY(NN317),NN$4:NR$4,""),"")</f>
        <v/>
      </c>
      <c r="NV317" cm="1">
        <f t="array" ref="NV317:OE317">SUMIFS($J317:$GG317,$J$2:$GG$2,NV$3:OE$3)</f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 cm="1">
        <f t="array" ref="OF317">IFERROR(MAX((_xlfn.ANCHORARRAY(NV317)-AVERAGE(_xlfn.ANCHORARRAY(NV317)))/ AVERAGE(_xlfn.ANCHORARRAY(NV317))),0)</f>
        <v>0</v>
      </c>
      <c r="OG317" t="str" cm="1">
        <f t="array" ref="OG317">IF(OF317&gt;$OG$1,_xlfn.XLOOKUP(MAX(_xlfn.ANCHORARRAY(NV317)),_xlfn.ANCHORARRAY(NV317),NV$4:OE$4,""),"")</f>
        <v/>
      </c>
      <c r="OI317" t="str">
        <f t="shared" si="114"/>
        <v/>
      </c>
    </row>
    <row r="318" spans="2:399" x14ac:dyDescent="0.3">
      <c r="B318" s="2" t="str">
        <f t="shared" si="106"/>
        <v>CORE</v>
      </c>
      <c r="C318" s="2" t="str">
        <f t="shared" si="107"/>
        <v>CORE</v>
      </c>
      <c r="D318" s="2" t="str">
        <f t="shared" si="108"/>
        <v>CORE</v>
      </c>
      <c r="E318" s="2" t="str">
        <f t="shared" si="109"/>
        <v/>
      </c>
      <c r="F318" s="2">
        <f t="shared" si="110"/>
        <v>0</v>
      </c>
      <c r="G318" s="2">
        <f t="shared" si="111"/>
        <v>0</v>
      </c>
      <c r="H318" s="2">
        <f t="shared" si="112"/>
        <v>0</v>
      </c>
      <c r="I318" s="2">
        <f t="shared" si="113"/>
        <v>0</v>
      </c>
      <c r="NH318" cm="1">
        <f t="array" ref="NH318:NJ318">SUMIFS($J318:$GG318,$J$1:$GG$1,NH$3:NJ$3)</f>
        <v>0</v>
      </c>
      <c r="NI318">
        <v>0</v>
      </c>
      <c r="NJ318">
        <v>0</v>
      </c>
      <c r="NK318" cm="1">
        <f t="array" ref="NK318">IFERROR(MAX((_xlfn.ANCHORARRAY(NH318)-AVERAGE(_xlfn.ANCHORARRAY(NH318)))/ AVERAGE(_xlfn.ANCHORARRAY(NH318))),0)</f>
        <v>0</v>
      </c>
      <c r="NL318" t="str" cm="1">
        <f t="array" ref="NL318">IF(NK318&gt;$NL$1,_xlfn.XLOOKUP(MAX(_xlfn.ANCHORARRAY(NH318)),_xlfn.ANCHORARRAY(NH318),NH$4:NJ$4,""),"")</f>
        <v/>
      </c>
      <c r="NN318" cm="1">
        <f t="array" ref="NN318:NR318">SUMIFS($J318:$GG318,$J$3:$GG$3,NN$3:NR$3)</f>
        <v>0</v>
      </c>
      <c r="NO318">
        <v>0</v>
      </c>
      <c r="NP318">
        <v>0</v>
      </c>
      <c r="NQ318">
        <v>0</v>
      </c>
      <c r="NR318">
        <v>0</v>
      </c>
      <c r="NS318" cm="1">
        <f t="array" ref="NS318">IFERROR(MAX((_xlfn.ANCHORARRAY(NN318)-AVERAGE(_xlfn.ANCHORARRAY(NN318)))/ AVERAGE(_xlfn.ANCHORARRAY(NN318))),0)</f>
        <v>0</v>
      </c>
      <c r="NT318" t="str" cm="1">
        <f t="array" ref="NT318">IF(AND(NS318&gt;$NT$1,NL318&lt;&gt;""),_xlfn.XLOOKUP(MAX(_xlfn.ANCHORARRAY(NN318)),_xlfn.ANCHORARRAY(NN318),NN$4:NR$4,""),"")</f>
        <v/>
      </c>
      <c r="NV318" cm="1">
        <f t="array" ref="NV318:OE318">SUMIFS($J318:$GG318,$J$2:$GG$2,NV$3:OE$3)</f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 cm="1">
        <f t="array" ref="OF318">IFERROR(MAX((_xlfn.ANCHORARRAY(NV318)-AVERAGE(_xlfn.ANCHORARRAY(NV318)))/ AVERAGE(_xlfn.ANCHORARRAY(NV318))),0)</f>
        <v>0</v>
      </c>
      <c r="OG318" t="str" cm="1">
        <f t="array" ref="OG318">IF(OF318&gt;$OG$1,_xlfn.XLOOKUP(MAX(_xlfn.ANCHORARRAY(NV318)),_xlfn.ANCHORARRAY(NV318),NV$4:OE$4,""),"")</f>
        <v/>
      </c>
      <c r="OI318" t="str">
        <f t="shared" si="114"/>
        <v/>
      </c>
    </row>
    <row r="319" spans="2:399" x14ac:dyDescent="0.3">
      <c r="B319" s="2" t="str">
        <f t="shared" si="106"/>
        <v>CORE</v>
      </c>
      <c r="C319" s="2" t="str">
        <f t="shared" si="107"/>
        <v>CORE</v>
      </c>
      <c r="D319" s="2" t="str">
        <f t="shared" si="108"/>
        <v>CORE</v>
      </c>
      <c r="E319" s="2" t="str">
        <f t="shared" si="109"/>
        <v/>
      </c>
      <c r="F319" s="2">
        <f t="shared" si="110"/>
        <v>0</v>
      </c>
      <c r="G319" s="2">
        <f t="shared" si="111"/>
        <v>0</v>
      </c>
      <c r="H319" s="2">
        <f t="shared" si="112"/>
        <v>0</v>
      </c>
      <c r="I319" s="2">
        <f t="shared" si="113"/>
        <v>0</v>
      </c>
      <c r="NH319" cm="1">
        <f t="array" ref="NH319:NJ319">SUMIFS($J319:$GG319,$J$1:$GG$1,NH$3:NJ$3)</f>
        <v>0</v>
      </c>
      <c r="NI319">
        <v>0</v>
      </c>
      <c r="NJ319">
        <v>0</v>
      </c>
      <c r="NK319" cm="1">
        <f t="array" ref="NK319">IFERROR(MAX((_xlfn.ANCHORARRAY(NH319)-AVERAGE(_xlfn.ANCHORARRAY(NH319)))/ AVERAGE(_xlfn.ANCHORARRAY(NH319))),0)</f>
        <v>0</v>
      </c>
      <c r="NL319" t="str" cm="1">
        <f t="array" ref="NL319">IF(NK319&gt;$NL$1,_xlfn.XLOOKUP(MAX(_xlfn.ANCHORARRAY(NH319)),_xlfn.ANCHORARRAY(NH319),NH$4:NJ$4,""),"")</f>
        <v/>
      </c>
      <c r="NN319" cm="1">
        <f t="array" ref="NN319:NR319">SUMIFS($J319:$GG319,$J$3:$GG$3,NN$3:NR$3)</f>
        <v>0</v>
      </c>
      <c r="NO319">
        <v>0</v>
      </c>
      <c r="NP319">
        <v>0</v>
      </c>
      <c r="NQ319">
        <v>0</v>
      </c>
      <c r="NR319">
        <v>0</v>
      </c>
      <c r="NS319" cm="1">
        <f t="array" ref="NS319">IFERROR(MAX((_xlfn.ANCHORARRAY(NN319)-AVERAGE(_xlfn.ANCHORARRAY(NN319)))/ AVERAGE(_xlfn.ANCHORARRAY(NN319))),0)</f>
        <v>0</v>
      </c>
      <c r="NT319" t="str" cm="1">
        <f t="array" ref="NT319">IF(AND(NS319&gt;$NT$1,NL319&lt;&gt;""),_xlfn.XLOOKUP(MAX(_xlfn.ANCHORARRAY(NN319)),_xlfn.ANCHORARRAY(NN319),NN$4:NR$4,""),"")</f>
        <v/>
      </c>
      <c r="NV319" cm="1">
        <f t="array" ref="NV319:OE319">SUMIFS($J319:$GG319,$J$2:$GG$2,NV$3:OE$3)</f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 cm="1">
        <f t="array" ref="OF319">IFERROR(MAX((_xlfn.ANCHORARRAY(NV319)-AVERAGE(_xlfn.ANCHORARRAY(NV319)))/ AVERAGE(_xlfn.ANCHORARRAY(NV319))),0)</f>
        <v>0</v>
      </c>
      <c r="OG319" t="str" cm="1">
        <f t="array" ref="OG319">IF(OF319&gt;$OG$1,_xlfn.XLOOKUP(MAX(_xlfn.ANCHORARRAY(NV319)),_xlfn.ANCHORARRAY(NV319),NV$4:OE$4,""),"")</f>
        <v/>
      </c>
      <c r="OI319" t="str">
        <f t="shared" si="114"/>
        <v/>
      </c>
    </row>
    <row r="320" spans="2:399" x14ac:dyDescent="0.3">
      <c r="B320" s="2" t="str">
        <f t="shared" si="106"/>
        <v>CORE</v>
      </c>
      <c r="C320" s="2" t="str">
        <f t="shared" si="107"/>
        <v>CORE</v>
      </c>
      <c r="D320" s="2" t="str">
        <f t="shared" si="108"/>
        <v>CORE</v>
      </c>
      <c r="E320" s="2" t="str">
        <f t="shared" si="109"/>
        <v/>
      </c>
      <c r="F320" s="2">
        <f t="shared" si="110"/>
        <v>0</v>
      </c>
      <c r="G320" s="2">
        <f t="shared" si="111"/>
        <v>0</v>
      </c>
      <c r="H320" s="2">
        <f t="shared" si="112"/>
        <v>0</v>
      </c>
      <c r="I320" s="2">
        <f t="shared" si="113"/>
        <v>0</v>
      </c>
      <c r="NH320" cm="1">
        <f t="array" ref="NH320:NJ320">SUMIFS($J320:$GG320,$J$1:$GG$1,NH$3:NJ$3)</f>
        <v>0</v>
      </c>
      <c r="NI320">
        <v>0</v>
      </c>
      <c r="NJ320">
        <v>0</v>
      </c>
      <c r="NK320" cm="1">
        <f t="array" ref="NK320">IFERROR(MAX((_xlfn.ANCHORARRAY(NH320)-AVERAGE(_xlfn.ANCHORARRAY(NH320)))/ AVERAGE(_xlfn.ANCHORARRAY(NH320))),0)</f>
        <v>0</v>
      </c>
      <c r="NL320" t="str" cm="1">
        <f t="array" ref="NL320">IF(NK320&gt;$NL$1,_xlfn.XLOOKUP(MAX(_xlfn.ANCHORARRAY(NH320)),_xlfn.ANCHORARRAY(NH320),NH$4:NJ$4,""),"")</f>
        <v/>
      </c>
      <c r="NN320" cm="1">
        <f t="array" ref="NN320:NR320">SUMIFS($J320:$GG320,$J$3:$GG$3,NN$3:NR$3)</f>
        <v>0</v>
      </c>
      <c r="NO320">
        <v>0</v>
      </c>
      <c r="NP320">
        <v>0</v>
      </c>
      <c r="NQ320">
        <v>0</v>
      </c>
      <c r="NR320">
        <v>0</v>
      </c>
      <c r="NS320" cm="1">
        <f t="array" ref="NS320">IFERROR(MAX((_xlfn.ANCHORARRAY(NN320)-AVERAGE(_xlfn.ANCHORARRAY(NN320)))/ AVERAGE(_xlfn.ANCHORARRAY(NN320))),0)</f>
        <v>0</v>
      </c>
      <c r="NT320" t="str" cm="1">
        <f t="array" ref="NT320">IF(AND(NS320&gt;$NT$1,NL320&lt;&gt;""),_xlfn.XLOOKUP(MAX(_xlfn.ANCHORARRAY(NN320)),_xlfn.ANCHORARRAY(NN320),NN$4:NR$4,""),"")</f>
        <v/>
      </c>
      <c r="NV320" cm="1">
        <f t="array" ref="NV320:OE320">SUMIFS($J320:$GG320,$J$2:$GG$2,NV$3:OE$3)</f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 cm="1">
        <f t="array" ref="OF320">IFERROR(MAX((_xlfn.ANCHORARRAY(NV320)-AVERAGE(_xlfn.ANCHORARRAY(NV320)))/ AVERAGE(_xlfn.ANCHORARRAY(NV320))),0)</f>
        <v>0</v>
      </c>
      <c r="OG320" t="str" cm="1">
        <f t="array" ref="OG320">IF(OF320&gt;$OG$1,_xlfn.XLOOKUP(MAX(_xlfn.ANCHORARRAY(NV320)),_xlfn.ANCHORARRAY(NV320),NV$4:OE$4,""),"")</f>
        <v/>
      </c>
      <c r="OI320" t="str">
        <f t="shared" si="114"/>
        <v/>
      </c>
    </row>
    <row r="321" spans="2:399" x14ac:dyDescent="0.3">
      <c r="B321" s="2" t="str">
        <f t="shared" si="106"/>
        <v>CORE</v>
      </c>
      <c r="C321" s="2" t="str">
        <f t="shared" si="107"/>
        <v>CORE</v>
      </c>
      <c r="D321" s="2" t="str">
        <f t="shared" si="108"/>
        <v>CORE</v>
      </c>
      <c r="E321" s="2" t="str">
        <f t="shared" si="109"/>
        <v/>
      </c>
      <c r="F321" s="2">
        <f t="shared" si="110"/>
        <v>0</v>
      </c>
      <c r="G321" s="2">
        <f t="shared" si="111"/>
        <v>0</v>
      </c>
      <c r="H321" s="2">
        <f t="shared" si="112"/>
        <v>0</v>
      </c>
      <c r="I321" s="2">
        <f t="shared" si="113"/>
        <v>0</v>
      </c>
      <c r="NH321" cm="1">
        <f t="array" ref="NH321:NJ321">SUMIFS($J321:$GG321,$J$1:$GG$1,NH$3:NJ$3)</f>
        <v>0</v>
      </c>
      <c r="NI321">
        <v>0</v>
      </c>
      <c r="NJ321">
        <v>0</v>
      </c>
      <c r="NK321" cm="1">
        <f t="array" ref="NK321">IFERROR(MAX((_xlfn.ANCHORARRAY(NH321)-AVERAGE(_xlfn.ANCHORARRAY(NH321)))/ AVERAGE(_xlfn.ANCHORARRAY(NH321))),0)</f>
        <v>0</v>
      </c>
      <c r="NL321" t="str" cm="1">
        <f t="array" ref="NL321">IF(NK321&gt;$NL$1,_xlfn.XLOOKUP(MAX(_xlfn.ANCHORARRAY(NH321)),_xlfn.ANCHORARRAY(NH321),NH$4:NJ$4,""),"")</f>
        <v/>
      </c>
      <c r="NN321" cm="1">
        <f t="array" ref="NN321:NR321">SUMIFS($J321:$GG321,$J$3:$GG$3,NN$3:NR$3)</f>
        <v>0</v>
      </c>
      <c r="NO321">
        <v>0</v>
      </c>
      <c r="NP321">
        <v>0</v>
      </c>
      <c r="NQ321">
        <v>0</v>
      </c>
      <c r="NR321">
        <v>0</v>
      </c>
      <c r="NS321" cm="1">
        <f t="array" ref="NS321">IFERROR(MAX((_xlfn.ANCHORARRAY(NN321)-AVERAGE(_xlfn.ANCHORARRAY(NN321)))/ AVERAGE(_xlfn.ANCHORARRAY(NN321))),0)</f>
        <v>0</v>
      </c>
      <c r="NT321" t="str" cm="1">
        <f t="array" ref="NT321">IF(AND(NS321&gt;$NT$1,NL321&lt;&gt;""),_xlfn.XLOOKUP(MAX(_xlfn.ANCHORARRAY(NN321)),_xlfn.ANCHORARRAY(NN321),NN$4:NR$4,""),"")</f>
        <v/>
      </c>
      <c r="NV321" cm="1">
        <f t="array" ref="NV321:OE321">SUMIFS($J321:$GG321,$J$2:$GG$2,NV$3:OE$3)</f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 cm="1">
        <f t="array" ref="OF321">IFERROR(MAX((_xlfn.ANCHORARRAY(NV321)-AVERAGE(_xlfn.ANCHORARRAY(NV321)))/ AVERAGE(_xlfn.ANCHORARRAY(NV321))),0)</f>
        <v>0</v>
      </c>
      <c r="OG321" t="str" cm="1">
        <f t="array" ref="OG321">IF(OF321&gt;$OG$1,_xlfn.XLOOKUP(MAX(_xlfn.ANCHORARRAY(NV321)),_xlfn.ANCHORARRAY(NV321),NV$4:OE$4,""),"")</f>
        <v/>
      </c>
      <c r="OI321" t="str">
        <f t="shared" si="114"/>
        <v/>
      </c>
    </row>
    <row r="322" spans="2:399" x14ac:dyDescent="0.3">
      <c r="B322" s="2" t="str">
        <f t="shared" si="106"/>
        <v>CORE</v>
      </c>
      <c r="C322" s="2" t="str">
        <f t="shared" si="107"/>
        <v>CORE</v>
      </c>
      <c r="D322" s="2" t="str">
        <f t="shared" si="108"/>
        <v>CORE</v>
      </c>
      <c r="E322" s="2" t="str">
        <f t="shared" si="109"/>
        <v/>
      </c>
      <c r="F322" s="2">
        <f t="shared" si="110"/>
        <v>0</v>
      </c>
      <c r="G322" s="2">
        <f t="shared" si="111"/>
        <v>0</v>
      </c>
      <c r="H322" s="2">
        <f t="shared" si="112"/>
        <v>0</v>
      </c>
      <c r="I322" s="2">
        <f t="shared" si="113"/>
        <v>0</v>
      </c>
      <c r="NH322" cm="1">
        <f t="array" ref="NH322:NJ322">SUMIFS($J322:$GG322,$J$1:$GG$1,NH$3:NJ$3)</f>
        <v>0</v>
      </c>
      <c r="NI322">
        <v>0</v>
      </c>
      <c r="NJ322">
        <v>0</v>
      </c>
      <c r="NK322" cm="1">
        <f t="array" ref="NK322">IFERROR(MAX((_xlfn.ANCHORARRAY(NH322)-AVERAGE(_xlfn.ANCHORARRAY(NH322)))/ AVERAGE(_xlfn.ANCHORARRAY(NH322))),0)</f>
        <v>0</v>
      </c>
      <c r="NL322" t="str" cm="1">
        <f t="array" ref="NL322">IF(NK322&gt;$NL$1,_xlfn.XLOOKUP(MAX(_xlfn.ANCHORARRAY(NH322)),_xlfn.ANCHORARRAY(NH322),NH$4:NJ$4,""),"")</f>
        <v/>
      </c>
      <c r="NN322" cm="1">
        <f t="array" ref="NN322:NR322">SUMIFS($J322:$GG322,$J$3:$GG$3,NN$3:NR$3)</f>
        <v>0</v>
      </c>
      <c r="NO322">
        <v>0</v>
      </c>
      <c r="NP322">
        <v>0</v>
      </c>
      <c r="NQ322">
        <v>0</v>
      </c>
      <c r="NR322">
        <v>0</v>
      </c>
      <c r="NS322" cm="1">
        <f t="array" ref="NS322">IFERROR(MAX((_xlfn.ANCHORARRAY(NN322)-AVERAGE(_xlfn.ANCHORARRAY(NN322)))/ AVERAGE(_xlfn.ANCHORARRAY(NN322))),0)</f>
        <v>0</v>
      </c>
      <c r="NT322" t="str" cm="1">
        <f t="array" ref="NT322">IF(AND(NS322&gt;$NT$1,NL322&lt;&gt;""),_xlfn.XLOOKUP(MAX(_xlfn.ANCHORARRAY(NN322)),_xlfn.ANCHORARRAY(NN322),NN$4:NR$4,""),"")</f>
        <v/>
      </c>
      <c r="NV322" cm="1">
        <f t="array" ref="NV322:OE322">SUMIFS($J322:$GG322,$J$2:$GG$2,NV$3:OE$3)</f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 cm="1">
        <f t="array" ref="OF322">IFERROR(MAX((_xlfn.ANCHORARRAY(NV322)-AVERAGE(_xlfn.ANCHORARRAY(NV322)))/ AVERAGE(_xlfn.ANCHORARRAY(NV322))),0)</f>
        <v>0</v>
      </c>
      <c r="OG322" t="str" cm="1">
        <f t="array" ref="OG322">IF(OF322&gt;$OG$1,_xlfn.XLOOKUP(MAX(_xlfn.ANCHORARRAY(NV322)),_xlfn.ANCHORARRAY(NV322),NV$4:OE$4,""),"")</f>
        <v/>
      </c>
      <c r="OI322" t="str">
        <f t="shared" si="114"/>
        <v/>
      </c>
    </row>
    <row r="323" spans="2:399" x14ac:dyDescent="0.3">
      <c r="B323" s="2" t="str">
        <f t="shared" si="106"/>
        <v>CORE</v>
      </c>
      <c r="C323" s="2" t="str">
        <f t="shared" si="107"/>
        <v>CORE</v>
      </c>
      <c r="D323" s="2" t="str">
        <f t="shared" si="108"/>
        <v>CORE</v>
      </c>
      <c r="E323" s="2" t="str">
        <f t="shared" si="109"/>
        <v/>
      </c>
      <c r="F323" s="2">
        <f t="shared" si="110"/>
        <v>0</v>
      </c>
      <c r="G323" s="2">
        <f t="shared" si="111"/>
        <v>0</v>
      </c>
      <c r="H323" s="2">
        <f t="shared" si="112"/>
        <v>0</v>
      </c>
      <c r="I323" s="2">
        <f t="shared" si="113"/>
        <v>0</v>
      </c>
      <c r="NH323" cm="1">
        <f t="array" ref="NH323:NJ323">SUMIFS($J323:$GG323,$J$1:$GG$1,NH$3:NJ$3)</f>
        <v>0</v>
      </c>
      <c r="NI323">
        <v>0</v>
      </c>
      <c r="NJ323">
        <v>0</v>
      </c>
      <c r="NK323" cm="1">
        <f t="array" ref="NK323">IFERROR(MAX((_xlfn.ANCHORARRAY(NH323)-AVERAGE(_xlfn.ANCHORARRAY(NH323)))/ AVERAGE(_xlfn.ANCHORARRAY(NH323))),0)</f>
        <v>0</v>
      </c>
      <c r="NL323" t="str" cm="1">
        <f t="array" ref="NL323">IF(NK323&gt;$NL$1,_xlfn.XLOOKUP(MAX(_xlfn.ANCHORARRAY(NH323)),_xlfn.ANCHORARRAY(NH323),NH$4:NJ$4,""),"")</f>
        <v/>
      </c>
      <c r="NN323" cm="1">
        <f t="array" ref="NN323:NR323">SUMIFS($J323:$GG323,$J$3:$GG$3,NN$3:NR$3)</f>
        <v>0</v>
      </c>
      <c r="NO323">
        <v>0</v>
      </c>
      <c r="NP323">
        <v>0</v>
      </c>
      <c r="NQ323">
        <v>0</v>
      </c>
      <c r="NR323">
        <v>0</v>
      </c>
      <c r="NS323" cm="1">
        <f t="array" ref="NS323">IFERROR(MAX((_xlfn.ANCHORARRAY(NN323)-AVERAGE(_xlfn.ANCHORARRAY(NN323)))/ AVERAGE(_xlfn.ANCHORARRAY(NN323))),0)</f>
        <v>0</v>
      </c>
      <c r="NT323" t="str" cm="1">
        <f t="array" ref="NT323">IF(AND(NS323&gt;$NT$1,NL323&lt;&gt;""),_xlfn.XLOOKUP(MAX(_xlfn.ANCHORARRAY(NN323)),_xlfn.ANCHORARRAY(NN323),NN$4:NR$4,""),"")</f>
        <v/>
      </c>
      <c r="NV323" cm="1">
        <f t="array" ref="NV323:OE323">SUMIFS($J323:$GG323,$J$2:$GG$2,NV$3:OE$3)</f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 cm="1">
        <f t="array" ref="OF323">IFERROR(MAX((_xlfn.ANCHORARRAY(NV323)-AVERAGE(_xlfn.ANCHORARRAY(NV323)))/ AVERAGE(_xlfn.ANCHORARRAY(NV323))),0)</f>
        <v>0</v>
      </c>
      <c r="OG323" t="str" cm="1">
        <f t="array" ref="OG323">IF(OF323&gt;$OG$1,_xlfn.XLOOKUP(MAX(_xlfn.ANCHORARRAY(NV323)),_xlfn.ANCHORARRAY(NV323),NV$4:OE$4,""),"")</f>
        <v/>
      </c>
      <c r="OI323" t="str">
        <f t="shared" si="114"/>
        <v/>
      </c>
    </row>
    <row r="324" spans="2:399" x14ac:dyDescent="0.3">
      <c r="B324" s="2" t="str">
        <f t="shared" si="106"/>
        <v>CORE</v>
      </c>
      <c r="C324" s="2" t="str">
        <f t="shared" si="107"/>
        <v>CORE</v>
      </c>
      <c r="D324" s="2" t="str">
        <f t="shared" si="108"/>
        <v>CORE</v>
      </c>
      <c r="E324" s="2" t="str">
        <f t="shared" si="109"/>
        <v/>
      </c>
      <c r="F324" s="2">
        <f t="shared" si="110"/>
        <v>0</v>
      </c>
      <c r="G324" s="2">
        <f t="shared" si="111"/>
        <v>0</v>
      </c>
      <c r="H324" s="2">
        <f t="shared" si="112"/>
        <v>0</v>
      </c>
      <c r="I324" s="2">
        <f t="shared" si="113"/>
        <v>0</v>
      </c>
      <c r="NH324" cm="1">
        <f t="array" ref="NH324:NJ324">SUMIFS($J324:$GG324,$J$1:$GG$1,NH$3:NJ$3)</f>
        <v>0</v>
      </c>
      <c r="NI324">
        <v>0</v>
      </c>
      <c r="NJ324">
        <v>0</v>
      </c>
      <c r="NK324" cm="1">
        <f t="array" ref="NK324">IFERROR(MAX((_xlfn.ANCHORARRAY(NH324)-AVERAGE(_xlfn.ANCHORARRAY(NH324)))/ AVERAGE(_xlfn.ANCHORARRAY(NH324))),0)</f>
        <v>0</v>
      </c>
      <c r="NL324" t="str" cm="1">
        <f t="array" ref="NL324">IF(NK324&gt;$NL$1,_xlfn.XLOOKUP(MAX(_xlfn.ANCHORARRAY(NH324)),_xlfn.ANCHORARRAY(NH324),NH$4:NJ$4,""),"")</f>
        <v/>
      </c>
      <c r="NN324" cm="1">
        <f t="array" ref="NN324:NR324">SUMIFS($J324:$GG324,$J$3:$GG$3,NN$3:NR$3)</f>
        <v>0</v>
      </c>
      <c r="NO324">
        <v>0</v>
      </c>
      <c r="NP324">
        <v>0</v>
      </c>
      <c r="NQ324">
        <v>0</v>
      </c>
      <c r="NR324">
        <v>0</v>
      </c>
      <c r="NS324" cm="1">
        <f t="array" ref="NS324">IFERROR(MAX((_xlfn.ANCHORARRAY(NN324)-AVERAGE(_xlfn.ANCHORARRAY(NN324)))/ AVERAGE(_xlfn.ANCHORARRAY(NN324))),0)</f>
        <v>0</v>
      </c>
      <c r="NT324" t="str" cm="1">
        <f t="array" ref="NT324">IF(AND(NS324&gt;$NT$1,NL324&lt;&gt;""),_xlfn.XLOOKUP(MAX(_xlfn.ANCHORARRAY(NN324)),_xlfn.ANCHORARRAY(NN324),NN$4:NR$4,""),"")</f>
        <v/>
      </c>
      <c r="NV324" cm="1">
        <f t="array" ref="NV324:OE324">SUMIFS($J324:$GG324,$J$2:$GG$2,NV$3:OE$3)</f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 cm="1">
        <f t="array" ref="OF324">IFERROR(MAX((_xlfn.ANCHORARRAY(NV324)-AVERAGE(_xlfn.ANCHORARRAY(NV324)))/ AVERAGE(_xlfn.ANCHORARRAY(NV324))),0)</f>
        <v>0</v>
      </c>
      <c r="OG324" t="str" cm="1">
        <f t="array" ref="OG324">IF(OF324&gt;$OG$1,_xlfn.XLOOKUP(MAX(_xlfn.ANCHORARRAY(NV324)),_xlfn.ANCHORARRAY(NV324),NV$4:OE$4,""),"")</f>
        <v/>
      </c>
      <c r="OI324" t="str">
        <f t="shared" si="114"/>
        <v/>
      </c>
    </row>
    <row r="325" spans="2:399" x14ac:dyDescent="0.3">
      <c r="B325" s="2" t="str">
        <f t="shared" si="106"/>
        <v>CORE</v>
      </c>
      <c r="C325" s="2" t="str">
        <f t="shared" si="107"/>
        <v>CORE</v>
      </c>
      <c r="D325" s="2" t="str">
        <f t="shared" si="108"/>
        <v>CORE</v>
      </c>
      <c r="E325" s="2" t="str">
        <f t="shared" si="109"/>
        <v/>
      </c>
      <c r="F325" s="2">
        <f t="shared" si="110"/>
        <v>0</v>
      </c>
      <c r="G325" s="2">
        <f t="shared" si="111"/>
        <v>0</v>
      </c>
      <c r="H325" s="2">
        <f t="shared" si="112"/>
        <v>0</v>
      </c>
      <c r="I325" s="2">
        <f t="shared" si="113"/>
        <v>0</v>
      </c>
      <c r="NH325" cm="1">
        <f t="array" ref="NH325:NJ325">SUMIFS($J325:$GG325,$J$1:$GG$1,NH$3:NJ$3)</f>
        <v>0</v>
      </c>
      <c r="NI325">
        <v>0</v>
      </c>
      <c r="NJ325">
        <v>0</v>
      </c>
      <c r="NK325" cm="1">
        <f t="array" ref="NK325">IFERROR(MAX((_xlfn.ANCHORARRAY(NH325)-AVERAGE(_xlfn.ANCHORARRAY(NH325)))/ AVERAGE(_xlfn.ANCHORARRAY(NH325))),0)</f>
        <v>0</v>
      </c>
      <c r="NL325" t="str" cm="1">
        <f t="array" ref="NL325">IF(NK325&gt;$NL$1,_xlfn.XLOOKUP(MAX(_xlfn.ANCHORARRAY(NH325)),_xlfn.ANCHORARRAY(NH325),NH$4:NJ$4,""),"")</f>
        <v/>
      </c>
      <c r="NN325" cm="1">
        <f t="array" ref="NN325:NR325">SUMIFS($J325:$GG325,$J$3:$GG$3,NN$3:NR$3)</f>
        <v>0</v>
      </c>
      <c r="NO325">
        <v>0</v>
      </c>
      <c r="NP325">
        <v>0</v>
      </c>
      <c r="NQ325">
        <v>0</v>
      </c>
      <c r="NR325">
        <v>0</v>
      </c>
      <c r="NS325" cm="1">
        <f t="array" ref="NS325">IFERROR(MAX((_xlfn.ANCHORARRAY(NN325)-AVERAGE(_xlfn.ANCHORARRAY(NN325)))/ AVERAGE(_xlfn.ANCHORARRAY(NN325))),0)</f>
        <v>0</v>
      </c>
      <c r="NT325" t="str" cm="1">
        <f t="array" ref="NT325">IF(AND(NS325&gt;$NT$1,NL325&lt;&gt;""),_xlfn.XLOOKUP(MAX(_xlfn.ANCHORARRAY(NN325)),_xlfn.ANCHORARRAY(NN325),NN$4:NR$4,""),"")</f>
        <v/>
      </c>
      <c r="NV325" cm="1">
        <f t="array" ref="NV325:OE325">SUMIFS($J325:$GG325,$J$2:$GG$2,NV$3:OE$3)</f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 cm="1">
        <f t="array" ref="OF325">IFERROR(MAX((_xlfn.ANCHORARRAY(NV325)-AVERAGE(_xlfn.ANCHORARRAY(NV325)))/ AVERAGE(_xlfn.ANCHORARRAY(NV325))),0)</f>
        <v>0</v>
      </c>
      <c r="OG325" t="str" cm="1">
        <f t="array" ref="OG325">IF(OF325&gt;$OG$1,_xlfn.XLOOKUP(MAX(_xlfn.ANCHORARRAY(NV325)),_xlfn.ANCHORARRAY(NV325),NV$4:OE$4,""),"")</f>
        <v/>
      </c>
      <c r="OI325" t="str">
        <f t="shared" si="114"/>
        <v/>
      </c>
    </row>
    <row r="326" spans="2:399" x14ac:dyDescent="0.3">
      <c r="B326" s="2" t="str">
        <f t="shared" si="106"/>
        <v>CORE</v>
      </c>
      <c r="C326" s="2" t="str">
        <f t="shared" si="107"/>
        <v>CORE</v>
      </c>
      <c r="D326" s="2" t="str">
        <f t="shared" si="108"/>
        <v>CORE</v>
      </c>
      <c r="E326" s="2" t="str">
        <f t="shared" si="109"/>
        <v/>
      </c>
      <c r="F326" s="2">
        <f t="shared" si="110"/>
        <v>0</v>
      </c>
      <c r="G326" s="2">
        <f t="shared" si="111"/>
        <v>0</v>
      </c>
      <c r="H326" s="2">
        <f t="shared" si="112"/>
        <v>0</v>
      </c>
      <c r="I326" s="2">
        <f t="shared" si="113"/>
        <v>0</v>
      </c>
      <c r="NH326" cm="1">
        <f t="array" ref="NH326:NJ326">SUMIFS($J326:$GG326,$J$1:$GG$1,NH$3:NJ$3)</f>
        <v>0</v>
      </c>
      <c r="NI326">
        <v>0</v>
      </c>
      <c r="NJ326">
        <v>0</v>
      </c>
      <c r="NK326" cm="1">
        <f t="array" ref="NK326">IFERROR(MAX((_xlfn.ANCHORARRAY(NH326)-AVERAGE(_xlfn.ANCHORARRAY(NH326)))/ AVERAGE(_xlfn.ANCHORARRAY(NH326))),0)</f>
        <v>0</v>
      </c>
      <c r="NL326" t="str" cm="1">
        <f t="array" ref="NL326">IF(NK326&gt;$NL$1,_xlfn.XLOOKUP(MAX(_xlfn.ANCHORARRAY(NH326)),_xlfn.ANCHORARRAY(NH326),NH$4:NJ$4,""),"")</f>
        <v/>
      </c>
      <c r="NN326" cm="1">
        <f t="array" ref="NN326:NR326">SUMIFS($J326:$GG326,$J$3:$GG$3,NN$3:NR$3)</f>
        <v>0</v>
      </c>
      <c r="NO326">
        <v>0</v>
      </c>
      <c r="NP326">
        <v>0</v>
      </c>
      <c r="NQ326">
        <v>0</v>
      </c>
      <c r="NR326">
        <v>0</v>
      </c>
      <c r="NS326" cm="1">
        <f t="array" ref="NS326">IFERROR(MAX((_xlfn.ANCHORARRAY(NN326)-AVERAGE(_xlfn.ANCHORARRAY(NN326)))/ AVERAGE(_xlfn.ANCHORARRAY(NN326))),0)</f>
        <v>0</v>
      </c>
      <c r="NT326" t="str" cm="1">
        <f t="array" ref="NT326">IF(AND(NS326&gt;$NT$1,NL326&lt;&gt;""),_xlfn.XLOOKUP(MAX(_xlfn.ANCHORARRAY(NN326)),_xlfn.ANCHORARRAY(NN326),NN$4:NR$4,""),"")</f>
        <v/>
      </c>
      <c r="NV326" cm="1">
        <f t="array" ref="NV326:OE326">SUMIFS($J326:$GG326,$J$2:$GG$2,NV$3:OE$3)</f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 cm="1">
        <f t="array" ref="OF326">IFERROR(MAX((_xlfn.ANCHORARRAY(NV326)-AVERAGE(_xlfn.ANCHORARRAY(NV326)))/ AVERAGE(_xlfn.ANCHORARRAY(NV326))),0)</f>
        <v>0</v>
      </c>
      <c r="OG326" t="str" cm="1">
        <f t="array" ref="OG326">IF(OF326&gt;$OG$1,_xlfn.XLOOKUP(MAX(_xlfn.ANCHORARRAY(NV326)),_xlfn.ANCHORARRAY(NV326),NV$4:OE$4,""),"")</f>
        <v/>
      </c>
      <c r="OI326" t="str">
        <f t="shared" si="114"/>
        <v/>
      </c>
    </row>
    <row r="327" spans="2:399" x14ac:dyDescent="0.3">
      <c r="B327" s="2" t="str">
        <f t="shared" si="106"/>
        <v>CORE</v>
      </c>
      <c r="C327" s="2" t="str">
        <f t="shared" si="107"/>
        <v>CORE</v>
      </c>
      <c r="D327" s="2" t="str">
        <f t="shared" si="108"/>
        <v>CORE</v>
      </c>
      <c r="E327" s="2" t="str">
        <f t="shared" si="109"/>
        <v/>
      </c>
      <c r="F327" s="2">
        <f t="shared" si="110"/>
        <v>0</v>
      </c>
      <c r="G327" s="2">
        <f t="shared" si="111"/>
        <v>0</v>
      </c>
      <c r="H327" s="2">
        <f t="shared" si="112"/>
        <v>0</v>
      </c>
      <c r="I327" s="2">
        <f t="shared" si="113"/>
        <v>0</v>
      </c>
      <c r="NH327" cm="1">
        <f t="array" ref="NH327:NJ327">SUMIFS($J327:$GG327,$J$1:$GG$1,NH$3:NJ$3)</f>
        <v>0</v>
      </c>
      <c r="NI327">
        <v>0</v>
      </c>
      <c r="NJ327">
        <v>0</v>
      </c>
      <c r="NK327" cm="1">
        <f t="array" ref="NK327">IFERROR(MAX((_xlfn.ANCHORARRAY(NH327)-AVERAGE(_xlfn.ANCHORARRAY(NH327)))/ AVERAGE(_xlfn.ANCHORARRAY(NH327))),0)</f>
        <v>0</v>
      </c>
      <c r="NL327" t="str" cm="1">
        <f t="array" ref="NL327">IF(NK327&gt;$NL$1,_xlfn.XLOOKUP(MAX(_xlfn.ANCHORARRAY(NH327)),_xlfn.ANCHORARRAY(NH327),NH$4:NJ$4,""),"")</f>
        <v/>
      </c>
      <c r="NN327" cm="1">
        <f t="array" ref="NN327:NR327">SUMIFS($J327:$GG327,$J$3:$GG$3,NN$3:NR$3)</f>
        <v>0</v>
      </c>
      <c r="NO327">
        <v>0</v>
      </c>
      <c r="NP327">
        <v>0</v>
      </c>
      <c r="NQ327">
        <v>0</v>
      </c>
      <c r="NR327">
        <v>0</v>
      </c>
      <c r="NS327" cm="1">
        <f t="array" ref="NS327">IFERROR(MAX((_xlfn.ANCHORARRAY(NN327)-AVERAGE(_xlfn.ANCHORARRAY(NN327)))/ AVERAGE(_xlfn.ANCHORARRAY(NN327))),0)</f>
        <v>0</v>
      </c>
      <c r="NT327" t="str" cm="1">
        <f t="array" ref="NT327">IF(AND(NS327&gt;$NT$1,NL327&lt;&gt;""),_xlfn.XLOOKUP(MAX(_xlfn.ANCHORARRAY(NN327)),_xlfn.ANCHORARRAY(NN327),NN$4:NR$4,""),"")</f>
        <v/>
      </c>
      <c r="NV327" cm="1">
        <f t="array" ref="NV327:OE327">SUMIFS($J327:$GG327,$J$2:$GG$2,NV$3:OE$3)</f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 cm="1">
        <f t="array" ref="OF327">IFERROR(MAX((_xlfn.ANCHORARRAY(NV327)-AVERAGE(_xlfn.ANCHORARRAY(NV327)))/ AVERAGE(_xlfn.ANCHORARRAY(NV327))),0)</f>
        <v>0</v>
      </c>
      <c r="OG327" t="str" cm="1">
        <f t="array" ref="OG327">IF(OF327&gt;$OG$1,_xlfn.XLOOKUP(MAX(_xlfn.ANCHORARRAY(NV327)),_xlfn.ANCHORARRAY(NV327),NV$4:OE$4,""),"")</f>
        <v/>
      </c>
      <c r="OI327" t="str">
        <f t="shared" si="114"/>
        <v/>
      </c>
    </row>
    <row r="328" spans="2:399" x14ac:dyDescent="0.3">
      <c r="B328" s="2" t="str">
        <f t="shared" si="106"/>
        <v>CORE</v>
      </c>
      <c r="C328" s="2" t="str">
        <f t="shared" si="107"/>
        <v>CORE</v>
      </c>
      <c r="D328" s="2" t="str">
        <f t="shared" si="108"/>
        <v>CORE</v>
      </c>
      <c r="E328" s="2" t="str">
        <f t="shared" si="109"/>
        <v/>
      </c>
      <c r="F328" s="2">
        <f t="shared" si="110"/>
        <v>0</v>
      </c>
      <c r="G328" s="2">
        <f t="shared" si="111"/>
        <v>0</v>
      </c>
      <c r="H328" s="2">
        <f t="shared" si="112"/>
        <v>0</v>
      </c>
      <c r="I328" s="2">
        <f t="shared" si="113"/>
        <v>0</v>
      </c>
      <c r="NH328" cm="1">
        <f t="array" ref="NH328:NJ328">SUMIFS($J328:$GG328,$J$1:$GG$1,NH$3:NJ$3)</f>
        <v>0</v>
      </c>
      <c r="NI328">
        <v>0</v>
      </c>
      <c r="NJ328">
        <v>0</v>
      </c>
      <c r="NK328" cm="1">
        <f t="array" ref="NK328">IFERROR(MAX((_xlfn.ANCHORARRAY(NH328)-AVERAGE(_xlfn.ANCHORARRAY(NH328)))/ AVERAGE(_xlfn.ANCHORARRAY(NH328))),0)</f>
        <v>0</v>
      </c>
      <c r="NL328" t="str" cm="1">
        <f t="array" ref="NL328">IF(NK328&gt;$NL$1,_xlfn.XLOOKUP(MAX(_xlfn.ANCHORARRAY(NH328)),_xlfn.ANCHORARRAY(NH328),NH$4:NJ$4,""),"")</f>
        <v/>
      </c>
      <c r="NN328" cm="1">
        <f t="array" ref="NN328:NR328">SUMIFS($J328:$GG328,$J$3:$GG$3,NN$3:NR$3)</f>
        <v>0</v>
      </c>
      <c r="NO328">
        <v>0</v>
      </c>
      <c r="NP328">
        <v>0</v>
      </c>
      <c r="NQ328">
        <v>0</v>
      </c>
      <c r="NR328">
        <v>0</v>
      </c>
      <c r="NS328" cm="1">
        <f t="array" ref="NS328">IFERROR(MAX((_xlfn.ANCHORARRAY(NN328)-AVERAGE(_xlfn.ANCHORARRAY(NN328)))/ AVERAGE(_xlfn.ANCHORARRAY(NN328))),0)</f>
        <v>0</v>
      </c>
      <c r="NT328" t="str" cm="1">
        <f t="array" ref="NT328">IF(AND(NS328&gt;$NT$1,NL328&lt;&gt;""),_xlfn.XLOOKUP(MAX(_xlfn.ANCHORARRAY(NN328)),_xlfn.ANCHORARRAY(NN328),NN$4:NR$4,""),"")</f>
        <v/>
      </c>
      <c r="NV328" cm="1">
        <f t="array" ref="NV328:OE328">SUMIFS($J328:$GG328,$J$2:$GG$2,NV$3:OE$3)</f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 cm="1">
        <f t="array" ref="OF328">IFERROR(MAX((_xlfn.ANCHORARRAY(NV328)-AVERAGE(_xlfn.ANCHORARRAY(NV328)))/ AVERAGE(_xlfn.ANCHORARRAY(NV328))),0)</f>
        <v>0</v>
      </c>
      <c r="OG328" t="str" cm="1">
        <f t="array" ref="OG328">IF(OF328&gt;$OG$1,_xlfn.XLOOKUP(MAX(_xlfn.ANCHORARRAY(NV328)),_xlfn.ANCHORARRAY(NV328),NV$4:OE$4,""),"")</f>
        <v/>
      </c>
      <c r="OI328" t="str">
        <f t="shared" si="114"/>
        <v/>
      </c>
    </row>
    <row r="329" spans="2:399" x14ac:dyDescent="0.3">
      <c r="B329" s="2" t="str">
        <f t="shared" si="106"/>
        <v>CORE</v>
      </c>
      <c r="C329" s="2" t="str">
        <f t="shared" si="107"/>
        <v>CORE</v>
      </c>
      <c r="D329" s="2" t="str">
        <f t="shared" si="108"/>
        <v>CORE</v>
      </c>
      <c r="E329" s="2" t="str">
        <f t="shared" si="109"/>
        <v/>
      </c>
      <c r="F329" s="2">
        <f t="shared" si="110"/>
        <v>0</v>
      </c>
      <c r="G329" s="2">
        <f t="shared" si="111"/>
        <v>0</v>
      </c>
      <c r="H329" s="2">
        <f t="shared" si="112"/>
        <v>0</v>
      </c>
      <c r="I329" s="2">
        <f t="shared" si="113"/>
        <v>0</v>
      </c>
      <c r="NH329" cm="1">
        <f t="array" ref="NH329:NJ329">SUMIFS($J329:$GG329,$J$1:$GG$1,NH$3:NJ$3)</f>
        <v>0</v>
      </c>
      <c r="NI329">
        <v>0</v>
      </c>
      <c r="NJ329">
        <v>0</v>
      </c>
      <c r="NK329" cm="1">
        <f t="array" ref="NK329">IFERROR(MAX((_xlfn.ANCHORARRAY(NH329)-AVERAGE(_xlfn.ANCHORARRAY(NH329)))/ AVERAGE(_xlfn.ANCHORARRAY(NH329))),0)</f>
        <v>0</v>
      </c>
      <c r="NL329" t="str" cm="1">
        <f t="array" ref="NL329">IF(NK329&gt;$NL$1,_xlfn.XLOOKUP(MAX(_xlfn.ANCHORARRAY(NH329)),_xlfn.ANCHORARRAY(NH329),NH$4:NJ$4,""),"")</f>
        <v/>
      </c>
      <c r="NN329" cm="1">
        <f t="array" ref="NN329:NR329">SUMIFS($J329:$GG329,$J$3:$GG$3,NN$3:NR$3)</f>
        <v>0</v>
      </c>
      <c r="NO329">
        <v>0</v>
      </c>
      <c r="NP329">
        <v>0</v>
      </c>
      <c r="NQ329">
        <v>0</v>
      </c>
      <c r="NR329">
        <v>0</v>
      </c>
      <c r="NS329" cm="1">
        <f t="array" ref="NS329">IFERROR(MAX((_xlfn.ANCHORARRAY(NN329)-AVERAGE(_xlfn.ANCHORARRAY(NN329)))/ AVERAGE(_xlfn.ANCHORARRAY(NN329))),0)</f>
        <v>0</v>
      </c>
      <c r="NT329" t="str" cm="1">
        <f t="array" ref="NT329">IF(AND(NS329&gt;$NT$1,NL329&lt;&gt;""),_xlfn.XLOOKUP(MAX(_xlfn.ANCHORARRAY(NN329)),_xlfn.ANCHORARRAY(NN329),NN$4:NR$4,""),"")</f>
        <v/>
      </c>
      <c r="NV329" cm="1">
        <f t="array" ref="NV329:OE329">SUMIFS($J329:$GG329,$J$2:$GG$2,NV$3:OE$3)</f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 cm="1">
        <f t="array" ref="OF329">IFERROR(MAX((_xlfn.ANCHORARRAY(NV329)-AVERAGE(_xlfn.ANCHORARRAY(NV329)))/ AVERAGE(_xlfn.ANCHORARRAY(NV329))),0)</f>
        <v>0</v>
      </c>
      <c r="OG329" t="str" cm="1">
        <f t="array" ref="OG329">IF(OF329&gt;$OG$1,_xlfn.XLOOKUP(MAX(_xlfn.ANCHORARRAY(NV329)),_xlfn.ANCHORARRAY(NV329),NV$4:OE$4,""),"")</f>
        <v/>
      </c>
      <c r="OI329" t="str">
        <f t="shared" si="114"/>
        <v/>
      </c>
    </row>
    <row r="330" spans="2:399" x14ac:dyDescent="0.3">
      <c r="B330" s="2" t="str">
        <f t="shared" si="106"/>
        <v>CORE</v>
      </c>
      <c r="C330" s="2" t="str">
        <f t="shared" si="107"/>
        <v>CORE</v>
      </c>
      <c r="D330" s="2" t="str">
        <f t="shared" si="108"/>
        <v>CORE</v>
      </c>
      <c r="E330" s="2" t="str">
        <f t="shared" si="109"/>
        <v/>
      </c>
      <c r="F330" s="2">
        <f t="shared" si="110"/>
        <v>0</v>
      </c>
      <c r="G330" s="2">
        <f t="shared" si="111"/>
        <v>0</v>
      </c>
      <c r="H330" s="2">
        <f t="shared" si="112"/>
        <v>0</v>
      </c>
      <c r="I330" s="2">
        <f t="shared" si="113"/>
        <v>0</v>
      </c>
      <c r="NH330" cm="1">
        <f t="array" ref="NH330:NJ330">SUMIFS($J330:$GG330,$J$1:$GG$1,NH$3:NJ$3)</f>
        <v>0</v>
      </c>
      <c r="NI330">
        <v>0</v>
      </c>
      <c r="NJ330">
        <v>0</v>
      </c>
      <c r="NK330" cm="1">
        <f t="array" ref="NK330">IFERROR(MAX((_xlfn.ANCHORARRAY(NH330)-AVERAGE(_xlfn.ANCHORARRAY(NH330)))/ AVERAGE(_xlfn.ANCHORARRAY(NH330))),0)</f>
        <v>0</v>
      </c>
      <c r="NL330" t="str" cm="1">
        <f t="array" ref="NL330">IF(NK330&gt;$NL$1,_xlfn.XLOOKUP(MAX(_xlfn.ANCHORARRAY(NH330)),_xlfn.ANCHORARRAY(NH330),NH$4:NJ$4,""),"")</f>
        <v/>
      </c>
      <c r="NN330" cm="1">
        <f t="array" ref="NN330:NR330">SUMIFS($J330:$GG330,$J$3:$GG$3,NN$3:NR$3)</f>
        <v>0</v>
      </c>
      <c r="NO330">
        <v>0</v>
      </c>
      <c r="NP330">
        <v>0</v>
      </c>
      <c r="NQ330">
        <v>0</v>
      </c>
      <c r="NR330">
        <v>0</v>
      </c>
      <c r="NS330" cm="1">
        <f t="array" ref="NS330">IFERROR(MAX((_xlfn.ANCHORARRAY(NN330)-AVERAGE(_xlfn.ANCHORARRAY(NN330)))/ AVERAGE(_xlfn.ANCHORARRAY(NN330))),0)</f>
        <v>0</v>
      </c>
      <c r="NT330" t="str" cm="1">
        <f t="array" ref="NT330">IF(AND(NS330&gt;$NT$1,NL330&lt;&gt;""),_xlfn.XLOOKUP(MAX(_xlfn.ANCHORARRAY(NN330)),_xlfn.ANCHORARRAY(NN330),NN$4:NR$4,""),"")</f>
        <v/>
      </c>
      <c r="NV330" cm="1">
        <f t="array" ref="NV330:OE330">SUMIFS($J330:$GG330,$J$2:$GG$2,NV$3:OE$3)</f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 cm="1">
        <f t="array" ref="OF330">IFERROR(MAX((_xlfn.ANCHORARRAY(NV330)-AVERAGE(_xlfn.ANCHORARRAY(NV330)))/ AVERAGE(_xlfn.ANCHORARRAY(NV330))),0)</f>
        <v>0</v>
      </c>
      <c r="OG330" t="str" cm="1">
        <f t="array" ref="OG330">IF(OF330&gt;$OG$1,_xlfn.XLOOKUP(MAX(_xlfn.ANCHORARRAY(NV330)),_xlfn.ANCHORARRAY(NV330),NV$4:OE$4,""),"")</f>
        <v/>
      </c>
      <c r="OI330" t="str">
        <f t="shared" si="114"/>
        <v/>
      </c>
    </row>
    <row r="331" spans="2:399" x14ac:dyDescent="0.3">
      <c r="B331" s="2" t="str">
        <f t="shared" si="106"/>
        <v>CORE</v>
      </c>
      <c r="C331" s="2" t="str">
        <f t="shared" si="107"/>
        <v>CORE</v>
      </c>
      <c r="D331" s="2" t="str">
        <f t="shared" si="108"/>
        <v>CORE</v>
      </c>
      <c r="E331" s="2" t="str">
        <f t="shared" si="109"/>
        <v/>
      </c>
      <c r="F331" s="2">
        <f t="shared" si="110"/>
        <v>0</v>
      </c>
      <c r="G331" s="2">
        <f t="shared" si="111"/>
        <v>0</v>
      </c>
      <c r="H331" s="2">
        <f t="shared" si="112"/>
        <v>0</v>
      </c>
      <c r="I331" s="2">
        <f t="shared" si="113"/>
        <v>0</v>
      </c>
      <c r="NH331" cm="1">
        <f t="array" ref="NH331:NJ331">SUMIFS($J331:$GG331,$J$1:$GG$1,NH$3:NJ$3)</f>
        <v>0</v>
      </c>
      <c r="NI331">
        <v>0</v>
      </c>
      <c r="NJ331">
        <v>0</v>
      </c>
      <c r="NK331" cm="1">
        <f t="array" ref="NK331">IFERROR(MAX((_xlfn.ANCHORARRAY(NH331)-AVERAGE(_xlfn.ANCHORARRAY(NH331)))/ AVERAGE(_xlfn.ANCHORARRAY(NH331))),0)</f>
        <v>0</v>
      </c>
      <c r="NL331" t="str" cm="1">
        <f t="array" ref="NL331">IF(NK331&gt;$NL$1,_xlfn.XLOOKUP(MAX(_xlfn.ANCHORARRAY(NH331)),_xlfn.ANCHORARRAY(NH331),NH$4:NJ$4,""),"")</f>
        <v/>
      </c>
      <c r="NN331" cm="1">
        <f t="array" ref="NN331:NR331">SUMIFS($J331:$GG331,$J$3:$GG$3,NN$3:NR$3)</f>
        <v>0</v>
      </c>
      <c r="NO331">
        <v>0</v>
      </c>
      <c r="NP331">
        <v>0</v>
      </c>
      <c r="NQ331">
        <v>0</v>
      </c>
      <c r="NR331">
        <v>0</v>
      </c>
      <c r="NS331" cm="1">
        <f t="array" ref="NS331">IFERROR(MAX((_xlfn.ANCHORARRAY(NN331)-AVERAGE(_xlfn.ANCHORARRAY(NN331)))/ AVERAGE(_xlfn.ANCHORARRAY(NN331))),0)</f>
        <v>0</v>
      </c>
      <c r="NT331" t="str" cm="1">
        <f t="array" ref="NT331">IF(AND(NS331&gt;$NT$1,NL331&lt;&gt;""),_xlfn.XLOOKUP(MAX(_xlfn.ANCHORARRAY(NN331)),_xlfn.ANCHORARRAY(NN331),NN$4:NR$4,""),"")</f>
        <v/>
      </c>
      <c r="NV331" cm="1">
        <f t="array" ref="NV331:OE331">SUMIFS($J331:$GG331,$J$2:$GG$2,NV$3:OE$3)</f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 cm="1">
        <f t="array" ref="OF331">IFERROR(MAX((_xlfn.ANCHORARRAY(NV331)-AVERAGE(_xlfn.ANCHORARRAY(NV331)))/ AVERAGE(_xlfn.ANCHORARRAY(NV331))),0)</f>
        <v>0</v>
      </c>
      <c r="OG331" t="str" cm="1">
        <f t="array" ref="OG331">IF(OF331&gt;$OG$1,_xlfn.XLOOKUP(MAX(_xlfn.ANCHORARRAY(NV331)),_xlfn.ANCHORARRAY(NV331),NV$4:OE$4,""),"")</f>
        <v/>
      </c>
      <c r="OI331" t="str">
        <f t="shared" si="114"/>
        <v/>
      </c>
    </row>
    <row r="332" spans="2:399" x14ac:dyDescent="0.3">
      <c r="B332" s="2" t="str">
        <f t="shared" si="106"/>
        <v>CORE</v>
      </c>
      <c r="C332" s="2" t="str">
        <f t="shared" si="107"/>
        <v>CORE</v>
      </c>
      <c r="D332" s="2" t="str">
        <f t="shared" si="108"/>
        <v>CORE</v>
      </c>
      <c r="E332" s="2" t="str">
        <f t="shared" si="109"/>
        <v/>
      </c>
      <c r="F332" s="2">
        <f t="shared" si="110"/>
        <v>0</v>
      </c>
      <c r="G332" s="2">
        <f t="shared" si="111"/>
        <v>0</v>
      </c>
      <c r="H332" s="2">
        <f t="shared" si="112"/>
        <v>0</v>
      </c>
      <c r="I332" s="2">
        <f t="shared" si="113"/>
        <v>0</v>
      </c>
      <c r="NH332" cm="1">
        <f t="array" ref="NH332:NJ332">SUMIFS($J332:$GG332,$J$1:$GG$1,NH$3:NJ$3)</f>
        <v>0</v>
      </c>
      <c r="NI332">
        <v>0</v>
      </c>
      <c r="NJ332">
        <v>0</v>
      </c>
      <c r="NK332" cm="1">
        <f t="array" ref="NK332">IFERROR(MAX((_xlfn.ANCHORARRAY(NH332)-AVERAGE(_xlfn.ANCHORARRAY(NH332)))/ AVERAGE(_xlfn.ANCHORARRAY(NH332))),0)</f>
        <v>0</v>
      </c>
      <c r="NL332" t="str" cm="1">
        <f t="array" ref="NL332">IF(NK332&gt;$NL$1,_xlfn.XLOOKUP(MAX(_xlfn.ANCHORARRAY(NH332)),_xlfn.ANCHORARRAY(NH332),NH$4:NJ$4,""),"")</f>
        <v/>
      </c>
      <c r="NN332" cm="1">
        <f t="array" ref="NN332:NR332">SUMIFS($J332:$GG332,$J$3:$GG$3,NN$3:NR$3)</f>
        <v>0</v>
      </c>
      <c r="NO332">
        <v>0</v>
      </c>
      <c r="NP332">
        <v>0</v>
      </c>
      <c r="NQ332">
        <v>0</v>
      </c>
      <c r="NR332">
        <v>0</v>
      </c>
      <c r="NS332" cm="1">
        <f t="array" ref="NS332">IFERROR(MAX((_xlfn.ANCHORARRAY(NN332)-AVERAGE(_xlfn.ANCHORARRAY(NN332)))/ AVERAGE(_xlfn.ANCHORARRAY(NN332))),0)</f>
        <v>0</v>
      </c>
      <c r="NT332" t="str" cm="1">
        <f t="array" ref="NT332">IF(AND(NS332&gt;$NT$1,NL332&lt;&gt;""),_xlfn.XLOOKUP(MAX(_xlfn.ANCHORARRAY(NN332)),_xlfn.ANCHORARRAY(NN332),NN$4:NR$4,""),"")</f>
        <v/>
      </c>
      <c r="NV332" cm="1">
        <f t="array" ref="NV332:OE332">SUMIFS($J332:$GG332,$J$2:$GG$2,NV$3:OE$3)</f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 cm="1">
        <f t="array" ref="OF332">IFERROR(MAX((_xlfn.ANCHORARRAY(NV332)-AVERAGE(_xlfn.ANCHORARRAY(NV332)))/ AVERAGE(_xlfn.ANCHORARRAY(NV332))),0)</f>
        <v>0</v>
      </c>
      <c r="OG332" t="str" cm="1">
        <f t="array" ref="OG332">IF(OF332&gt;$OG$1,_xlfn.XLOOKUP(MAX(_xlfn.ANCHORARRAY(NV332)),_xlfn.ANCHORARRAY(NV332),NV$4:OE$4,""),"")</f>
        <v/>
      </c>
      <c r="OI332" t="str">
        <f t="shared" si="114"/>
        <v/>
      </c>
    </row>
    <row r="333" spans="2:399" x14ac:dyDescent="0.3">
      <c r="B333" s="2" t="str">
        <f t="shared" si="106"/>
        <v>CORE</v>
      </c>
      <c r="C333" s="2" t="str">
        <f t="shared" si="107"/>
        <v>CORE</v>
      </c>
      <c r="D333" s="2" t="str">
        <f t="shared" si="108"/>
        <v>CORE</v>
      </c>
      <c r="E333" s="2" t="str">
        <f t="shared" si="109"/>
        <v/>
      </c>
      <c r="F333" s="2">
        <f t="shared" si="110"/>
        <v>0</v>
      </c>
      <c r="G333" s="2">
        <f t="shared" si="111"/>
        <v>0</v>
      </c>
      <c r="H333" s="2">
        <f t="shared" si="112"/>
        <v>0</v>
      </c>
      <c r="I333" s="2">
        <f t="shared" si="113"/>
        <v>0</v>
      </c>
      <c r="NH333" cm="1">
        <f t="array" ref="NH333:NJ333">SUMIFS($J333:$GG333,$J$1:$GG$1,NH$3:NJ$3)</f>
        <v>0</v>
      </c>
      <c r="NI333">
        <v>0</v>
      </c>
      <c r="NJ333">
        <v>0</v>
      </c>
      <c r="NK333" cm="1">
        <f t="array" ref="NK333">IFERROR(MAX((_xlfn.ANCHORARRAY(NH333)-AVERAGE(_xlfn.ANCHORARRAY(NH333)))/ AVERAGE(_xlfn.ANCHORARRAY(NH333))),0)</f>
        <v>0</v>
      </c>
      <c r="NL333" t="str" cm="1">
        <f t="array" ref="NL333">IF(NK333&gt;$NL$1,_xlfn.XLOOKUP(MAX(_xlfn.ANCHORARRAY(NH333)),_xlfn.ANCHORARRAY(NH333),NH$4:NJ$4,""),"")</f>
        <v/>
      </c>
      <c r="NN333" cm="1">
        <f t="array" ref="NN333:NR333">SUMIFS($J333:$GG333,$J$3:$GG$3,NN$3:NR$3)</f>
        <v>0</v>
      </c>
      <c r="NO333">
        <v>0</v>
      </c>
      <c r="NP333">
        <v>0</v>
      </c>
      <c r="NQ333">
        <v>0</v>
      </c>
      <c r="NR333">
        <v>0</v>
      </c>
      <c r="NS333" cm="1">
        <f t="array" ref="NS333">IFERROR(MAX((_xlfn.ANCHORARRAY(NN333)-AVERAGE(_xlfn.ANCHORARRAY(NN333)))/ AVERAGE(_xlfn.ANCHORARRAY(NN333))),0)</f>
        <v>0</v>
      </c>
      <c r="NT333" t="str" cm="1">
        <f t="array" ref="NT333">IF(AND(NS333&gt;$NT$1,NL333&lt;&gt;""),_xlfn.XLOOKUP(MAX(_xlfn.ANCHORARRAY(NN333)),_xlfn.ANCHORARRAY(NN333),NN$4:NR$4,""),"")</f>
        <v/>
      </c>
      <c r="NV333" cm="1">
        <f t="array" ref="NV333:OE333">SUMIFS($J333:$GG333,$J$2:$GG$2,NV$3:OE$3)</f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 cm="1">
        <f t="array" ref="OF333">IFERROR(MAX((_xlfn.ANCHORARRAY(NV333)-AVERAGE(_xlfn.ANCHORARRAY(NV333)))/ AVERAGE(_xlfn.ANCHORARRAY(NV333))),0)</f>
        <v>0</v>
      </c>
      <c r="OG333" t="str" cm="1">
        <f t="array" ref="OG333">IF(OF333&gt;$OG$1,_xlfn.XLOOKUP(MAX(_xlfn.ANCHORARRAY(NV333)),_xlfn.ANCHORARRAY(NV333),NV$4:OE$4,""),"")</f>
        <v/>
      </c>
      <c r="OI333" t="str">
        <f t="shared" si="114"/>
        <v/>
      </c>
    </row>
    <row r="334" spans="2:399" x14ac:dyDescent="0.3">
      <c r="B334" s="2" t="str">
        <f t="shared" si="106"/>
        <v>CORE</v>
      </c>
      <c r="C334" s="2" t="str">
        <f t="shared" si="107"/>
        <v>CORE</v>
      </c>
      <c r="D334" s="2" t="str">
        <f t="shared" si="108"/>
        <v>CORE</v>
      </c>
      <c r="E334" s="2" t="str">
        <f t="shared" si="109"/>
        <v/>
      </c>
      <c r="F334" s="2">
        <f t="shared" si="110"/>
        <v>0</v>
      </c>
      <c r="G334" s="2">
        <f t="shared" si="111"/>
        <v>0</v>
      </c>
      <c r="H334" s="2">
        <f t="shared" si="112"/>
        <v>0</v>
      </c>
      <c r="I334" s="2">
        <f t="shared" si="113"/>
        <v>0</v>
      </c>
      <c r="NH334" cm="1">
        <f t="array" ref="NH334:NJ334">SUMIFS($J334:$GG334,$J$1:$GG$1,NH$3:NJ$3)</f>
        <v>0</v>
      </c>
      <c r="NI334">
        <v>0</v>
      </c>
      <c r="NJ334">
        <v>0</v>
      </c>
      <c r="NK334" cm="1">
        <f t="array" ref="NK334">IFERROR(MAX((_xlfn.ANCHORARRAY(NH334)-AVERAGE(_xlfn.ANCHORARRAY(NH334)))/ AVERAGE(_xlfn.ANCHORARRAY(NH334))),0)</f>
        <v>0</v>
      </c>
      <c r="NL334" t="str" cm="1">
        <f t="array" ref="NL334">IF(NK334&gt;$NL$1,_xlfn.XLOOKUP(MAX(_xlfn.ANCHORARRAY(NH334)),_xlfn.ANCHORARRAY(NH334),NH$4:NJ$4,""),"")</f>
        <v/>
      </c>
      <c r="NN334" cm="1">
        <f t="array" ref="NN334:NR334">SUMIFS($J334:$GG334,$J$3:$GG$3,NN$3:NR$3)</f>
        <v>0</v>
      </c>
      <c r="NO334">
        <v>0</v>
      </c>
      <c r="NP334">
        <v>0</v>
      </c>
      <c r="NQ334">
        <v>0</v>
      </c>
      <c r="NR334">
        <v>0</v>
      </c>
      <c r="NS334" cm="1">
        <f t="array" ref="NS334">IFERROR(MAX((_xlfn.ANCHORARRAY(NN334)-AVERAGE(_xlfn.ANCHORARRAY(NN334)))/ AVERAGE(_xlfn.ANCHORARRAY(NN334))),0)</f>
        <v>0</v>
      </c>
      <c r="NT334" t="str" cm="1">
        <f t="array" ref="NT334">IF(AND(NS334&gt;$NT$1,NL334&lt;&gt;""),_xlfn.XLOOKUP(MAX(_xlfn.ANCHORARRAY(NN334)),_xlfn.ANCHORARRAY(NN334),NN$4:NR$4,""),"")</f>
        <v/>
      </c>
      <c r="NV334" cm="1">
        <f t="array" ref="NV334:OE334">SUMIFS($J334:$GG334,$J$2:$GG$2,NV$3:OE$3)</f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 cm="1">
        <f t="array" ref="OF334">IFERROR(MAX((_xlfn.ANCHORARRAY(NV334)-AVERAGE(_xlfn.ANCHORARRAY(NV334)))/ AVERAGE(_xlfn.ANCHORARRAY(NV334))),0)</f>
        <v>0</v>
      </c>
      <c r="OG334" t="str" cm="1">
        <f t="array" ref="OG334">IF(OF334&gt;$OG$1,_xlfn.XLOOKUP(MAX(_xlfn.ANCHORARRAY(NV334)),_xlfn.ANCHORARRAY(NV334),NV$4:OE$4,""),"")</f>
        <v/>
      </c>
      <c r="OI334" t="str">
        <f t="shared" si="114"/>
        <v/>
      </c>
    </row>
    <row r="335" spans="2:399" x14ac:dyDescent="0.3">
      <c r="B335" s="2" t="str">
        <f t="shared" si="106"/>
        <v>CORE</v>
      </c>
      <c r="C335" s="2" t="str">
        <f t="shared" si="107"/>
        <v>CORE</v>
      </c>
      <c r="D335" s="2" t="str">
        <f t="shared" si="108"/>
        <v>CORE</v>
      </c>
      <c r="E335" s="2" t="str">
        <f t="shared" si="109"/>
        <v/>
      </c>
      <c r="F335" s="2">
        <f t="shared" si="110"/>
        <v>0</v>
      </c>
      <c r="G335" s="2">
        <f t="shared" si="111"/>
        <v>0</v>
      </c>
      <c r="H335" s="2">
        <f t="shared" si="112"/>
        <v>0</v>
      </c>
      <c r="I335" s="2">
        <f t="shared" si="113"/>
        <v>0</v>
      </c>
      <c r="NH335" cm="1">
        <f t="array" ref="NH335:NJ335">SUMIFS($J335:$GG335,$J$1:$GG$1,NH$3:NJ$3)</f>
        <v>0</v>
      </c>
      <c r="NI335">
        <v>0</v>
      </c>
      <c r="NJ335">
        <v>0</v>
      </c>
      <c r="NK335" cm="1">
        <f t="array" ref="NK335">IFERROR(MAX((_xlfn.ANCHORARRAY(NH335)-AVERAGE(_xlfn.ANCHORARRAY(NH335)))/ AVERAGE(_xlfn.ANCHORARRAY(NH335))),0)</f>
        <v>0</v>
      </c>
      <c r="NL335" t="str" cm="1">
        <f t="array" ref="NL335">IF(NK335&gt;$NL$1,_xlfn.XLOOKUP(MAX(_xlfn.ANCHORARRAY(NH335)),_xlfn.ANCHORARRAY(NH335),NH$4:NJ$4,""),"")</f>
        <v/>
      </c>
      <c r="NN335" cm="1">
        <f t="array" ref="NN335:NR335">SUMIFS($J335:$GG335,$J$3:$GG$3,NN$3:NR$3)</f>
        <v>0</v>
      </c>
      <c r="NO335">
        <v>0</v>
      </c>
      <c r="NP335">
        <v>0</v>
      </c>
      <c r="NQ335">
        <v>0</v>
      </c>
      <c r="NR335">
        <v>0</v>
      </c>
      <c r="NS335" cm="1">
        <f t="array" ref="NS335">IFERROR(MAX((_xlfn.ANCHORARRAY(NN335)-AVERAGE(_xlfn.ANCHORARRAY(NN335)))/ AVERAGE(_xlfn.ANCHORARRAY(NN335))),0)</f>
        <v>0</v>
      </c>
      <c r="NT335" t="str" cm="1">
        <f t="array" ref="NT335">IF(AND(NS335&gt;$NT$1,NL335&lt;&gt;""),_xlfn.XLOOKUP(MAX(_xlfn.ANCHORARRAY(NN335)),_xlfn.ANCHORARRAY(NN335),NN$4:NR$4,""),"")</f>
        <v/>
      </c>
      <c r="NV335" cm="1">
        <f t="array" ref="NV335:OE335">SUMIFS($J335:$GG335,$J$2:$GG$2,NV$3:OE$3)</f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 cm="1">
        <f t="array" ref="OF335">IFERROR(MAX((_xlfn.ANCHORARRAY(NV335)-AVERAGE(_xlfn.ANCHORARRAY(NV335)))/ AVERAGE(_xlfn.ANCHORARRAY(NV335))),0)</f>
        <v>0</v>
      </c>
      <c r="OG335" t="str" cm="1">
        <f t="array" ref="OG335">IF(OF335&gt;$OG$1,_xlfn.XLOOKUP(MAX(_xlfn.ANCHORARRAY(NV335)),_xlfn.ANCHORARRAY(NV335),NV$4:OE$4,""),"")</f>
        <v/>
      </c>
      <c r="OI335" t="str">
        <f t="shared" si="114"/>
        <v/>
      </c>
    </row>
    <row r="336" spans="2:399" x14ac:dyDescent="0.3">
      <c r="B336" s="2" t="str">
        <f t="shared" si="106"/>
        <v>CORE</v>
      </c>
      <c r="C336" s="2" t="str">
        <f t="shared" si="107"/>
        <v>CORE</v>
      </c>
      <c r="D336" s="2" t="str">
        <f t="shared" si="108"/>
        <v>CORE</v>
      </c>
      <c r="E336" s="2" t="str">
        <f t="shared" si="109"/>
        <v/>
      </c>
      <c r="F336" s="2">
        <f t="shared" si="110"/>
        <v>0</v>
      </c>
      <c r="G336" s="2">
        <f t="shared" si="111"/>
        <v>0</v>
      </c>
      <c r="H336" s="2">
        <f t="shared" si="112"/>
        <v>0</v>
      </c>
      <c r="I336" s="2">
        <f t="shared" si="113"/>
        <v>0</v>
      </c>
      <c r="NH336" cm="1">
        <f t="array" ref="NH336:NJ336">SUMIFS($J336:$GG336,$J$1:$GG$1,NH$3:NJ$3)</f>
        <v>0</v>
      </c>
      <c r="NI336">
        <v>0</v>
      </c>
      <c r="NJ336">
        <v>0</v>
      </c>
      <c r="NK336" cm="1">
        <f t="array" ref="NK336">IFERROR(MAX((_xlfn.ANCHORARRAY(NH336)-AVERAGE(_xlfn.ANCHORARRAY(NH336)))/ AVERAGE(_xlfn.ANCHORARRAY(NH336))),0)</f>
        <v>0</v>
      </c>
      <c r="NL336" t="str" cm="1">
        <f t="array" ref="NL336">IF(NK336&gt;$NL$1,_xlfn.XLOOKUP(MAX(_xlfn.ANCHORARRAY(NH336)),_xlfn.ANCHORARRAY(NH336),NH$4:NJ$4,""),"")</f>
        <v/>
      </c>
      <c r="NN336" cm="1">
        <f t="array" ref="NN336:NR336">SUMIFS($J336:$GG336,$J$3:$GG$3,NN$3:NR$3)</f>
        <v>0</v>
      </c>
      <c r="NO336">
        <v>0</v>
      </c>
      <c r="NP336">
        <v>0</v>
      </c>
      <c r="NQ336">
        <v>0</v>
      </c>
      <c r="NR336">
        <v>0</v>
      </c>
      <c r="NS336" cm="1">
        <f t="array" ref="NS336">IFERROR(MAX((_xlfn.ANCHORARRAY(NN336)-AVERAGE(_xlfn.ANCHORARRAY(NN336)))/ AVERAGE(_xlfn.ANCHORARRAY(NN336))),0)</f>
        <v>0</v>
      </c>
      <c r="NT336" t="str" cm="1">
        <f t="array" ref="NT336">IF(AND(NS336&gt;$NT$1,NL336&lt;&gt;""),_xlfn.XLOOKUP(MAX(_xlfn.ANCHORARRAY(NN336)),_xlfn.ANCHORARRAY(NN336),NN$4:NR$4,""),"")</f>
        <v/>
      </c>
      <c r="NV336" cm="1">
        <f t="array" ref="NV336:OE336">SUMIFS($J336:$GG336,$J$2:$GG$2,NV$3:OE$3)</f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 cm="1">
        <f t="array" ref="OF336">IFERROR(MAX((_xlfn.ANCHORARRAY(NV336)-AVERAGE(_xlfn.ANCHORARRAY(NV336)))/ AVERAGE(_xlfn.ANCHORARRAY(NV336))),0)</f>
        <v>0</v>
      </c>
      <c r="OG336" t="str" cm="1">
        <f t="array" ref="OG336">IF(OF336&gt;$OG$1,_xlfn.XLOOKUP(MAX(_xlfn.ANCHORARRAY(NV336)),_xlfn.ANCHORARRAY(NV336),NV$4:OE$4,""),"")</f>
        <v/>
      </c>
      <c r="OI336" t="str">
        <f t="shared" si="114"/>
        <v/>
      </c>
    </row>
    <row r="337" spans="2:399" x14ac:dyDescent="0.3">
      <c r="B337" s="2" t="str">
        <f t="shared" si="106"/>
        <v>CORE</v>
      </c>
      <c r="C337" s="2" t="str">
        <f t="shared" si="107"/>
        <v>CORE</v>
      </c>
      <c r="D337" s="2" t="str">
        <f t="shared" si="108"/>
        <v>CORE</v>
      </c>
      <c r="E337" s="2" t="str">
        <f t="shared" si="109"/>
        <v/>
      </c>
      <c r="F337" s="2">
        <f t="shared" si="110"/>
        <v>0</v>
      </c>
      <c r="G337" s="2">
        <f t="shared" si="111"/>
        <v>0</v>
      </c>
      <c r="H337" s="2">
        <f t="shared" si="112"/>
        <v>0</v>
      </c>
      <c r="I337" s="2">
        <f t="shared" si="113"/>
        <v>0</v>
      </c>
      <c r="NH337" cm="1">
        <f t="array" ref="NH337:NJ337">SUMIFS($J337:$GG337,$J$1:$GG$1,NH$3:NJ$3)</f>
        <v>0</v>
      </c>
      <c r="NI337">
        <v>0</v>
      </c>
      <c r="NJ337">
        <v>0</v>
      </c>
      <c r="NK337" cm="1">
        <f t="array" ref="NK337">IFERROR(MAX((_xlfn.ANCHORARRAY(NH337)-AVERAGE(_xlfn.ANCHORARRAY(NH337)))/ AVERAGE(_xlfn.ANCHORARRAY(NH337))),0)</f>
        <v>0</v>
      </c>
      <c r="NL337" t="str" cm="1">
        <f t="array" ref="NL337">IF(NK337&gt;$NL$1,_xlfn.XLOOKUP(MAX(_xlfn.ANCHORARRAY(NH337)),_xlfn.ANCHORARRAY(NH337),NH$4:NJ$4,""),"")</f>
        <v/>
      </c>
      <c r="NN337" cm="1">
        <f t="array" ref="NN337:NR337">SUMIFS($J337:$GG337,$J$3:$GG$3,NN$3:NR$3)</f>
        <v>0</v>
      </c>
      <c r="NO337">
        <v>0</v>
      </c>
      <c r="NP337">
        <v>0</v>
      </c>
      <c r="NQ337">
        <v>0</v>
      </c>
      <c r="NR337">
        <v>0</v>
      </c>
      <c r="NS337" cm="1">
        <f t="array" ref="NS337">IFERROR(MAX((_xlfn.ANCHORARRAY(NN337)-AVERAGE(_xlfn.ANCHORARRAY(NN337)))/ AVERAGE(_xlfn.ANCHORARRAY(NN337))),0)</f>
        <v>0</v>
      </c>
      <c r="NT337" t="str" cm="1">
        <f t="array" ref="NT337">IF(AND(NS337&gt;$NT$1,NL337&lt;&gt;""),_xlfn.XLOOKUP(MAX(_xlfn.ANCHORARRAY(NN337)),_xlfn.ANCHORARRAY(NN337),NN$4:NR$4,""),"")</f>
        <v/>
      </c>
      <c r="NV337" cm="1">
        <f t="array" ref="NV337:OE337">SUMIFS($J337:$GG337,$J$2:$GG$2,NV$3:OE$3)</f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 cm="1">
        <f t="array" ref="OF337">IFERROR(MAX((_xlfn.ANCHORARRAY(NV337)-AVERAGE(_xlfn.ANCHORARRAY(NV337)))/ AVERAGE(_xlfn.ANCHORARRAY(NV337))),0)</f>
        <v>0</v>
      </c>
      <c r="OG337" t="str" cm="1">
        <f t="array" ref="OG337">IF(OF337&gt;$OG$1,_xlfn.XLOOKUP(MAX(_xlfn.ANCHORARRAY(NV337)),_xlfn.ANCHORARRAY(NV337),NV$4:OE$4,""),"")</f>
        <v/>
      </c>
      <c r="OI337" t="str">
        <f t="shared" si="114"/>
        <v/>
      </c>
    </row>
    <row r="338" spans="2:399" x14ac:dyDescent="0.3">
      <c r="B338" s="2" t="str">
        <f t="shared" si="106"/>
        <v>CORE</v>
      </c>
      <c r="C338" s="2" t="str">
        <f t="shared" si="107"/>
        <v>CORE</v>
      </c>
      <c r="D338" s="2" t="str">
        <f t="shared" si="108"/>
        <v>CORE</v>
      </c>
      <c r="E338" s="2" t="str">
        <f t="shared" si="109"/>
        <v/>
      </c>
      <c r="F338" s="2">
        <f t="shared" si="110"/>
        <v>0</v>
      </c>
      <c r="G338" s="2">
        <f t="shared" si="111"/>
        <v>0</v>
      </c>
      <c r="H338" s="2">
        <f t="shared" si="112"/>
        <v>0</v>
      </c>
      <c r="I338" s="2">
        <f t="shared" si="113"/>
        <v>0</v>
      </c>
      <c r="NH338" cm="1">
        <f t="array" ref="NH338:NJ338">SUMIFS($J338:$GG338,$J$1:$GG$1,NH$3:NJ$3)</f>
        <v>0</v>
      </c>
      <c r="NI338">
        <v>0</v>
      </c>
      <c r="NJ338">
        <v>0</v>
      </c>
      <c r="NK338" cm="1">
        <f t="array" ref="NK338">IFERROR(MAX((_xlfn.ANCHORARRAY(NH338)-AVERAGE(_xlfn.ANCHORARRAY(NH338)))/ AVERAGE(_xlfn.ANCHORARRAY(NH338))),0)</f>
        <v>0</v>
      </c>
      <c r="NL338" t="str" cm="1">
        <f t="array" ref="NL338">IF(NK338&gt;$NL$1,_xlfn.XLOOKUP(MAX(_xlfn.ANCHORARRAY(NH338)),_xlfn.ANCHORARRAY(NH338),NH$4:NJ$4,""),"")</f>
        <v/>
      </c>
      <c r="NN338" cm="1">
        <f t="array" ref="NN338:NR338">SUMIFS($J338:$GG338,$J$3:$GG$3,NN$3:NR$3)</f>
        <v>0</v>
      </c>
      <c r="NO338">
        <v>0</v>
      </c>
      <c r="NP338">
        <v>0</v>
      </c>
      <c r="NQ338">
        <v>0</v>
      </c>
      <c r="NR338">
        <v>0</v>
      </c>
      <c r="NS338" cm="1">
        <f t="array" ref="NS338">IFERROR(MAX((_xlfn.ANCHORARRAY(NN338)-AVERAGE(_xlfn.ANCHORARRAY(NN338)))/ AVERAGE(_xlfn.ANCHORARRAY(NN338))),0)</f>
        <v>0</v>
      </c>
      <c r="NT338" t="str" cm="1">
        <f t="array" ref="NT338">IF(AND(NS338&gt;$NT$1,NL338&lt;&gt;""),_xlfn.XLOOKUP(MAX(_xlfn.ANCHORARRAY(NN338)),_xlfn.ANCHORARRAY(NN338),NN$4:NR$4,""),"")</f>
        <v/>
      </c>
      <c r="NV338" cm="1">
        <f t="array" ref="NV338:OE338">SUMIFS($J338:$GG338,$J$2:$GG$2,NV$3:OE$3)</f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 cm="1">
        <f t="array" ref="OF338">IFERROR(MAX((_xlfn.ANCHORARRAY(NV338)-AVERAGE(_xlfn.ANCHORARRAY(NV338)))/ AVERAGE(_xlfn.ANCHORARRAY(NV338))),0)</f>
        <v>0</v>
      </c>
      <c r="OG338" t="str" cm="1">
        <f t="array" ref="OG338">IF(OF338&gt;$OG$1,_xlfn.XLOOKUP(MAX(_xlfn.ANCHORARRAY(NV338)),_xlfn.ANCHORARRAY(NV338),NV$4:OE$4,""),"")</f>
        <v/>
      </c>
      <c r="OI338" t="str">
        <f t="shared" si="114"/>
        <v/>
      </c>
    </row>
    <row r="339" spans="2:399" x14ac:dyDescent="0.3">
      <c r="B339" s="2" t="str">
        <f t="shared" si="106"/>
        <v>CORE</v>
      </c>
      <c r="C339" s="2" t="str">
        <f t="shared" si="107"/>
        <v>CORE</v>
      </c>
      <c r="D339" s="2" t="str">
        <f t="shared" si="108"/>
        <v>CORE</v>
      </c>
      <c r="E339" s="2" t="str">
        <f t="shared" si="109"/>
        <v/>
      </c>
      <c r="F339" s="2">
        <f t="shared" si="110"/>
        <v>0</v>
      </c>
      <c r="G339" s="2">
        <f t="shared" si="111"/>
        <v>0</v>
      </c>
      <c r="H339" s="2">
        <f t="shared" si="112"/>
        <v>0</v>
      </c>
      <c r="I339" s="2">
        <f t="shared" si="113"/>
        <v>0</v>
      </c>
      <c r="NH339" cm="1">
        <f t="array" ref="NH339:NJ339">SUMIFS($J339:$GG339,$J$1:$GG$1,NH$3:NJ$3)</f>
        <v>0</v>
      </c>
      <c r="NI339">
        <v>0</v>
      </c>
      <c r="NJ339">
        <v>0</v>
      </c>
      <c r="NK339" cm="1">
        <f t="array" ref="NK339">IFERROR(MAX((_xlfn.ANCHORARRAY(NH339)-AVERAGE(_xlfn.ANCHORARRAY(NH339)))/ AVERAGE(_xlfn.ANCHORARRAY(NH339))),0)</f>
        <v>0</v>
      </c>
      <c r="NL339" t="str" cm="1">
        <f t="array" ref="NL339">IF(NK339&gt;$NL$1,_xlfn.XLOOKUP(MAX(_xlfn.ANCHORARRAY(NH339)),_xlfn.ANCHORARRAY(NH339),NH$4:NJ$4,""),"")</f>
        <v/>
      </c>
      <c r="NN339" cm="1">
        <f t="array" ref="NN339:NR339">SUMIFS($J339:$GG339,$J$3:$GG$3,NN$3:NR$3)</f>
        <v>0</v>
      </c>
      <c r="NO339">
        <v>0</v>
      </c>
      <c r="NP339">
        <v>0</v>
      </c>
      <c r="NQ339">
        <v>0</v>
      </c>
      <c r="NR339">
        <v>0</v>
      </c>
      <c r="NS339" cm="1">
        <f t="array" ref="NS339">IFERROR(MAX((_xlfn.ANCHORARRAY(NN339)-AVERAGE(_xlfn.ANCHORARRAY(NN339)))/ AVERAGE(_xlfn.ANCHORARRAY(NN339))),0)</f>
        <v>0</v>
      </c>
      <c r="NT339" t="str" cm="1">
        <f t="array" ref="NT339">IF(AND(NS339&gt;$NT$1,NL339&lt;&gt;""),_xlfn.XLOOKUP(MAX(_xlfn.ANCHORARRAY(NN339)),_xlfn.ANCHORARRAY(NN339),NN$4:NR$4,""),"")</f>
        <v/>
      </c>
      <c r="NV339" cm="1">
        <f t="array" ref="NV339:OE339">SUMIFS($J339:$GG339,$J$2:$GG$2,NV$3:OE$3)</f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 cm="1">
        <f t="array" ref="OF339">IFERROR(MAX((_xlfn.ANCHORARRAY(NV339)-AVERAGE(_xlfn.ANCHORARRAY(NV339)))/ AVERAGE(_xlfn.ANCHORARRAY(NV339))),0)</f>
        <v>0</v>
      </c>
      <c r="OG339" t="str" cm="1">
        <f t="array" ref="OG339">IF(OF339&gt;$OG$1,_xlfn.XLOOKUP(MAX(_xlfn.ANCHORARRAY(NV339)),_xlfn.ANCHORARRAY(NV339),NV$4:OE$4,""),"")</f>
        <v/>
      </c>
      <c r="OI339" t="str">
        <f t="shared" si="114"/>
        <v/>
      </c>
    </row>
    <row r="340" spans="2:399" x14ac:dyDescent="0.3">
      <c r="B340" s="2" t="str">
        <f t="shared" si="106"/>
        <v>CORE</v>
      </c>
      <c r="C340" s="2" t="str">
        <f t="shared" si="107"/>
        <v>CORE</v>
      </c>
      <c r="D340" s="2" t="str">
        <f t="shared" si="108"/>
        <v>CORE</v>
      </c>
      <c r="E340" s="2" t="str">
        <f t="shared" si="109"/>
        <v/>
      </c>
      <c r="F340" s="2">
        <f t="shared" si="110"/>
        <v>0</v>
      </c>
      <c r="G340" s="2">
        <f t="shared" si="111"/>
        <v>0</v>
      </c>
      <c r="H340" s="2">
        <f t="shared" si="112"/>
        <v>0</v>
      </c>
      <c r="I340" s="2">
        <f t="shared" si="113"/>
        <v>0</v>
      </c>
      <c r="NH340" cm="1">
        <f t="array" ref="NH340:NJ340">SUMIFS($J340:$GG340,$J$1:$GG$1,NH$3:NJ$3)</f>
        <v>0</v>
      </c>
      <c r="NI340">
        <v>0</v>
      </c>
      <c r="NJ340">
        <v>0</v>
      </c>
      <c r="NK340" cm="1">
        <f t="array" ref="NK340">IFERROR(MAX((_xlfn.ANCHORARRAY(NH340)-AVERAGE(_xlfn.ANCHORARRAY(NH340)))/ AVERAGE(_xlfn.ANCHORARRAY(NH340))),0)</f>
        <v>0</v>
      </c>
      <c r="NL340" t="str" cm="1">
        <f t="array" ref="NL340">IF(NK340&gt;$NL$1,_xlfn.XLOOKUP(MAX(_xlfn.ANCHORARRAY(NH340)),_xlfn.ANCHORARRAY(NH340),NH$4:NJ$4,""),"")</f>
        <v/>
      </c>
      <c r="NN340" cm="1">
        <f t="array" ref="NN340:NR340">SUMIFS($J340:$GG340,$J$3:$GG$3,NN$3:NR$3)</f>
        <v>0</v>
      </c>
      <c r="NO340">
        <v>0</v>
      </c>
      <c r="NP340">
        <v>0</v>
      </c>
      <c r="NQ340">
        <v>0</v>
      </c>
      <c r="NR340">
        <v>0</v>
      </c>
      <c r="NS340" cm="1">
        <f t="array" ref="NS340">IFERROR(MAX((_xlfn.ANCHORARRAY(NN340)-AVERAGE(_xlfn.ANCHORARRAY(NN340)))/ AVERAGE(_xlfn.ANCHORARRAY(NN340))),0)</f>
        <v>0</v>
      </c>
      <c r="NT340" t="str" cm="1">
        <f t="array" ref="NT340">IF(AND(NS340&gt;$NT$1,NL340&lt;&gt;""),_xlfn.XLOOKUP(MAX(_xlfn.ANCHORARRAY(NN340)),_xlfn.ANCHORARRAY(NN340),NN$4:NR$4,""),"")</f>
        <v/>
      </c>
      <c r="NV340" cm="1">
        <f t="array" ref="NV340:OE340">SUMIFS($J340:$GG340,$J$2:$GG$2,NV$3:OE$3)</f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 cm="1">
        <f t="array" ref="OF340">IFERROR(MAX((_xlfn.ANCHORARRAY(NV340)-AVERAGE(_xlfn.ANCHORARRAY(NV340)))/ AVERAGE(_xlfn.ANCHORARRAY(NV340))),0)</f>
        <v>0</v>
      </c>
      <c r="OG340" t="str" cm="1">
        <f t="array" ref="OG340">IF(OF340&gt;$OG$1,_xlfn.XLOOKUP(MAX(_xlfn.ANCHORARRAY(NV340)),_xlfn.ANCHORARRAY(NV340),NV$4:OE$4,""),"")</f>
        <v/>
      </c>
      <c r="OI340" t="str">
        <f t="shared" si="114"/>
        <v/>
      </c>
    </row>
    <row r="341" spans="2:399" x14ac:dyDescent="0.3">
      <c r="B341" s="2" t="str">
        <f t="shared" si="106"/>
        <v>CORE</v>
      </c>
      <c r="C341" s="2" t="str">
        <f t="shared" si="107"/>
        <v>CORE</v>
      </c>
      <c r="D341" s="2" t="str">
        <f t="shared" si="108"/>
        <v>CORE</v>
      </c>
      <c r="E341" s="2" t="str">
        <f t="shared" si="109"/>
        <v/>
      </c>
      <c r="F341" s="2">
        <f t="shared" si="110"/>
        <v>0</v>
      </c>
      <c r="G341" s="2">
        <f t="shared" si="111"/>
        <v>0</v>
      </c>
      <c r="H341" s="2">
        <f t="shared" si="112"/>
        <v>0</v>
      </c>
      <c r="I341" s="2">
        <f t="shared" si="113"/>
        <v>0</v>
      </c>
      <c r="NH341" cm="1">
        <f t="array" ref="NH341:NJ341">SUMIFS($J341:$GG341,$J$1:$GG$1,NH$3:NJ$3)</f>
        <v>0</v>
      </c>
      <c r="NI341">
        <v>0</v>
      </c>
      <c r="NJ341">
        <v>0</v>
      </c>
      <c r="NK341" cm="1">
        <f t="array" ref="NK341">IFERROR(MAX((_xlfn.ANCHORARRAY(NH341)-AVERAGE(_xlfn.ANCHORARRAY(NH341)))/ AVERAGE(_xlfn.ANCHORARRAY(NH341))),0)</f>
        <v>0</v>
      </c>
      <c r="NL341" t="str" cm="1">
        <f t="array" ref="NL341">IF(NK341&gt;$NL$1,_xlfn.XLOOKUP(MAX(_xlfn.ANCHORARRAY(NH341)),_xlfn.ANCHORARRAY(NH341),NH$4:NJ$4,""),"")</f>
        <v/>
      </c>
      <c r="NN341" cm="1">
        <f t="array" ref="NN341:NR341">SUMIFS($J341:$GG341,$J$3:$GG$3,NN$3:NR$3)</f>
        <v>0</v>
      </c>
      <c r="NO341">
        <v>0</v>
      </c>
      <c r="NP341">
        <v>0</v>
      </c>
      <c r="NQ341">
        <v>0</v>
      </c>
      <c r="NR341">
        <v>0</v>
      </c>
      <c r="NS341" cm="1">
        <f t="array" ref="NS341">IFERROR(MAX((_xlfn.ANCHORARRAY(NN341)-AVERAGE(_xlfn.ANCHORARRAY(NN341)))/ AVERAGE(_xlfn.ANCHORARRAY(NN341))),0)</f>
        <v>0</v>
      </c>
      <c r="NT341" t="str" cm="1">
        <f t="array" ref="NT341">IF(AND(NS341&gt;$NT$1,NL341&lt;&gt;""),_xlfn.XLOOKUP(MAX(_xlfn.ANCHORARRAY(NN341)),_xlfn.ANCHORARRAY(NN341),NN$4:NR$4,""),"")</f>
        <v/>
      </c>
      <c r="NV341" cm="1">
        <f t="array" ref="NV341:OE341">SUMIFS($J341:$GG341,$J$2:$GG$2,NV$3:OE$3)</f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 cm="1">
        <f t="array" ref="OF341">IFERROR(MAX((_xlfn.ANCHORARRAY(NV341)-AVERAGE(_xlfn.ANCHORARRAY(NV341)))/ AVERAGE(_xlfn.ANCHORARRAY(NV341))),0)</f>
        <v>0</v>
      </c>
      <c r="OG341" t="str" cm="1">
        <f t="array" ref="OG341">IF(OF341&gt;$OG$1,_xlfn.XLOOKUP(MAX(_xlfn.ANCHORARRAY(NV341)),_xlfn.ANCHORARRAY(NV341),NV$4:OE$4,""),"")</f>
        <v/>
      </c>
      <c r="OI341" t="str">
        <f t="shared" si="114"/>
        <v/>
      </c>
    </row>
    <row r="342" spans="2:399" x14ac:dyDescent="0.3">
      <c r="B342" s="2" t="str">
        <f t="shared" si="106"/>
        <v>CORE</v>
      </c>
      <c r="C342" s="2" t="str">
        <f t="shared" si="107"/>
        <v>CORE</v>
      </c>
      <c r="D342" s="2" t="str">
        <f t="shared" si="108"/>
        <v>CORE</v>
      </c>
      <c r="E342" s="2" t="str">
        <f t="shared" si="109"/>
        <v/>
      </c>
      <c r="F342" s="2">
        <f t="shared" si="110"/>
        <v>0</v>
      </c>
      <c r="G342" s="2">
        <f t="shared" si="111"/>
        <v>0</v>
      </c>
      <c r="H342" s="2">
        <f t="shared" si="112"/>
        <v>0</v>
      </c>
      <c r="I342" s="2">
        <f t="shared" si="113"/>
        <v>0</v>
      </c>
      <c r="NH342" cm="1">
        <f t="array" ref="NH342:NJ342">SUMIFS($J342:$GG342,$J$1:$GG$1,NH$3:NJ$3)</f>
        <v>0</v>
      </c>
      <c r="NI342">
        <v>0</v>
      </c>
      <c r="NJ342">
        <v>0</v>
      </c>
      <c r="NK342" cm="1">
        <f t="array" ref="NK342">IFERROR(MAX((_xlfn.ANCHORARRAY(NH342)-AVERAGE(_xlfn.ANCHORARRAY(NH342)))/ AVERAGE(_xlfn.ANCHORARRAY(NH342))),0)</f>
        <v>0</v>
      </c>
      <c r="NL342" t="str" cm="1">
        <f t="array" ref="NL342">IF(NK342&gt;$NL$1,_xlfn.XLOOKUP(MAX(_xlfn.ANCHORARRAY(NH342)),_xlfn.ANCHORARRAY(NH342),NH$4:NJ$4,""),"")</f>
        <v/>
      </c>
      <c r="NN342" cm="1">
        <f t="array" ref="NN342:NR342">SUMIFS($J342:$GG342,$J$3:$GG$3,NN$3:NR$3)</f>
        <v>0</v>
      </c>
      <c r="NO342">
        <v>0</v>
      </c>
      <c r="NP342">
        <v>0</v>
      </c>
      <c r="NQ342">
        <v>0</v>
      </c>
      <c r="NR342">
        <v>0</v>
      </c>
      <c r="NS342" cm="1">
        <f t="array" ref="NS342">IFERROR(MAX((_xlfn.ANCHORARRAY(NN342)-AVERAGE(_xlfn.ANCHORARRAY(NN342)))/ AVERAGE(_xlfn.ANCHORARRAY(NN342))),0)</f>
        <v>0</v>
      </c>
      <c r="NT342" t="str" cm="1">
        <f t="array" ref="NT342">IF(AND(NS342&gt;$NT$1,NL342&lt;&gt;""),_xlfn.XLOOKUP(MAX(_xlfn.ANCHORARRAY(NN342)),_xlfn.ANCHORARRAY(NN342),NN$4:NR$4,""),"")</f>
        <v/>
      </c>
      <c r="NV342" cm="1">
        <f t="array" ref="NV342:OE342">SUMIFS($J342:$GG342,$J$2:$GG$2,NV$3:OE$3)</f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 cm="1">
        <f t="array" ref="OF342">IFERROR(MAX((_xlfn.ANCHORARRAY(NV342)-AVERAGE(_xlfn.ANCHORARRAY(NV342)))/ AVERAGE(_xlfn.ANCHORARRAY(NV342))),0)</f>
        <v>0</v>
      </c>
      <c r="OG342" t="str" cm="1">
        <f t="array" ref="OG342">IF(OF342&gt;$OG$1,_xlfn.XLOOKUP(MAX(_xlfn.ANCHORARRAY(NV342)),_xlfn.ANCHORARRAY(NV342),NV$4:OE$4,""),"")</f>
        <v/>
      </c>
      <c r="OI342" t="str">
        <f t="shared" si="114"/>
        <v/>
      </c>
    </row>
    <row r="343" spans="2:399" x14ac:dyDescent="0.3">
      <c r="B343" s="2" t="str">
        <f t="shared" si="106"/>
        <v>CORE</v>
      </c>
      <c r="C343" s="2" t="str">
        <f t="shared" si="107"/>
        <v>CORE</v>
      </c>
      <c r="D343" s="2" t="str">
        <f t="shared" si="108"/>
        <v>CORE</v>
      </c>
      <c r="E343" s="2" t="str">
        <f t="shared" si="109"/>
        <v/>
      </c>
      <c r="F343" s="2">
        <f t="shared" si="110"/>
        <v>0</v>
      </c>
      <c r="G343" s="2">
        <f t="shared" si="111"/>
        <v>0</v>
      </c>
      <c r="H343" s="2">
        <f t="shared" si="112"/>
        <v>0</v>
      </c>
      <c r="I343" s="2">
        <f t="shared" si="113"/>
        <v>0</v>
      </c>
      <c r="NH343" cm="1">
        <f t="array" ref="NH343:NJ343">SUMIFS($J343:$GG343,$J$1:$GG$1,NH$3:NJ$3)</f>
        <v>0</v>
      </c>
      <c r="NI343">
        <v>0</v>
      </c>
      <c r="NJ343">
        <v>0</v>
      </c>
      <c r="NK343" cm="1">
        <f t="array" ref="NK343">IFERROR(MAX((_xlfn.ANCHORARRAY(NH343)-AVERAGE(_xlfn.ANCHORARRAY(NH343)))/ AVERAGE(_xlfn.ANCHORARRAY(NH343))),0)</f>
        <v>0</v>
      </c>
      <c r="NL343" t="str" cm="1">
        <f t="array" ref="NL343">IF(NK343&gt;$NL$1,_xlfn.XLOOKUP(MAX(_xlfn.ANCHORARRAY(NH343)),_xlfn.ANCHORARRAY(NH343),NH$4:NJ$4,""),"")</f>
        <v/>
      </c>
      <c r="NN343" cm="1">
        <f t="array" ref="NN343:NR343">SUMIFS($J343:$GG343,$J$3:$GG$3,NN$3:NR$3)</f>
        <v>0</v>
      </c>
      <c r="NO343">
        <v>0</v>
      </c>
      <c r="NP343">
        <v>0</v>
      </c>
      <c r="NQ343">
        <v>0</v>
      </c>
      <c r="NR343">
        <v>0</v>
      </c>
      <c r="NS343" cm="1">
        <f t="array" ref="NS343">IFERROR(MAX((_xlfn.ANCHORARRAY(NN343)-AVERAGE(_xlfn.ANCHORARRAY(NN343)))/ AVERAGE(_xlfn.ANCHORARRAY(NN343))),0)</f>
        <v>0</v>
      </c>
      <c r="NT343" t="str" cm="1">
        <f t="array" ref="NT343">IF(AND(NS343&gt;$NT$1,NL343&lt;&gt;""),_xlfn.XLOOKUP(MAX(_xlfn.ANCHORARRAY(NN343)),_xlfn.ANCHORARRAY(NN343),NN$4:NR$4,""),"")</f>
        <v/>
      </c>
      <c r="NV343" cm="1">
        <f t="array" ref="NV343:OE343">SUMIFS($J343:$GG343,$J$2:$GG$2,NV$3:OE$3)</f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 cm="1">
        <f t="array" ref="OF343">IFERROR(MAX((_xlfn.ANCHORARRAY(NV343)-AVERAGE(_xlfn.ANCHORARRAY(NV343)))/ AVERAGE(_xlfn.ANCHORARRAY(NV343))),0)</f>
        <v>0</v>
      </c>
      <c r="OG343" t="str" cm="1">
        <f t="array" ref="OG343">IF(OF343&gt;$OG$1,_xlfn.XLOOKUP(MAX(_xlfn.ANCHORARRAY(NV343)),_xlfn.ANCHORARRAY(NV343),NV$4:OE$4,""),"")</f>
        <v/>
      </c>
      <c r="OI343" t="str">
        <f t="shared" si="114"/>
        <v/>
      </c>
    </row>
    <row r="344" spans="2:399" x14ac:dyDescent="0.3">
      <c r="B344" s="2" t="str">
        <f t="shared" si="106"/>
        <v>CORE</v>
      </c>
      <c r="C344" s="2" t="str">
        <f t="shared" si="107"/>
        <v>CORE</v>
      </c>
      <c r="D344" s="2" t="str">
        <f t="shared" si="108"/>
        <v>CORE</v>
      </c>
      <c r="E344" s="2" t="str">
        <f t="shared" si="109"/>
        <v/>
      </c>
      <c r="F344" s="2">
        <f t="shared" si="110"/>
        <v>0</v>
      </c>
      <c r="G344" s="2">
        <f t="shared" si="111"/>
        <v>0</v>
      </c>
      <c r="H344" s="2">
        <f t="shared" si="112"/>
        <v>0</v>
      </c>
      <c r="I344" s="2">
        <f t="shared" si="113"/>
        <v>0</v>
      </c>
      <c r="NH344" cm="1">
        <f t="array" ref="NH344:NJ344">SUMIFS($J344:$GG344,$J$1:$GG$1,NH$3:NJ$3)</f>
        <v>0</v>
      </c>
      <c r="NI344">
        <v>0</v>
      </c>
      <c r="NJ344">
        <v>0</v>
      </c>
      <c r="NK344" cm="1">
        <f t="array" ref="NK344">IFERROR(MAX((_xlfn.ANCHORARRAY(NH344)-AVERAGE(_xlfn.ANCHORARRAY(NH344)))/ AVERAGE(_xlfn.ANCHORARRAY(NH344))),0)</f>
        <v>0</v>
      </c>
      <c r="NL344" t="str" cm="1">
        <f t="array" ref="NL344">IF(NK344&gt;$NL$1,_xlfn.XLOOKUP(MAX(_xlfn.ANCHORARRAY(NH344)),_xlfn.ANCHORARRAY(NH344),NH$4:NJ$4,""),"")</f>
        <v/>
      </c>
      <c r="NN344" cm="1">
        <f t="array" ref="NN344:NR344">SUMIFS($J344:$GG344,$J$3:$GG$3,NN$3:NR$3)</f>
        <v>0</v>
      </c>
      <c r="NO344">
        <v>0</v>
      </c>
      <c r="NP344">
        <v>0</v>
      </c>
      <c r="NQ344">
        <v>0</v>
      </c>
      <c r="NR344">
        <v>0</v>
      </c>
      <c r="NS344" cm="1">
        <f t="array" ref="NS344">IFERROR(MAX((_xlfn.ANCHORARRAY(NN344)-AVERAGE(_xlfn.ANCHORARRAY(NN344)))/ AVERAGE(_xlfn.ANCHORARRAY(NN344))),0)</f>
        <v>0</v>
      </c>
      <c r="NT344" t="str" cm="1">
        <f t="array" ref="NT344">IF(AND(NS344&gt;$NT$1,NL344&lt;&gt;""),_xlfn.XLOOKUP(MAX(_xlfn.ANCHORARRAY(NN344)),_xlfn.ANCHORARRAY(NN344),NN$4:NR$4,""),"")</f>
        <v/>
      </c>
      <c r="NV344" cm="1">
        <f t="array" ref="NV344:OE344">SUMIFS($J344:$GG344,$J$2:$GG$2,NV$3:OE$3)</f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 cm="1">
        <f t="array" ref="OF344">IFERROR(MAX((_xlfn.ANCHORARRAY(NV344)-AVERAGE(_xlfn.ANCHORARRAY(NV344)))/ AVERAGE(_xlfn.ANCHORARRAY(NV344))),0)</f>
        <v>0</v>
      </c>
      <c r="OG344" t="str" cm="1">
        <f t="array" ref="OG344">IF(OF344&gt;$OG$1,_xlfn.XLOOKUP(MAX(_xlfn.ANCHORARRAY(NV344)),_xlfn.ANCHORARRAY(NV344),NV$4:OE$4,""),"")</f>
        <v/>
      </c>
      <c r="OI344" t="str">
        <f t="shared" si="114"/>
        <v/>
      </c>
    </row>
    <row r="345" spans="2:399" x14ac:dyDescent="0.3">
      <c r="B345" s="2" t="str">
        <f t="shared" ref="B345:B359" si="115">IF(C345="NotFound",D345,C345)</f>
        <v>CORE</v>
      </c>
      <c r="C345" s="2" t="str">
        <f t="shared" ref="C345:C359" si="116">IF(H345&gt;1,"NotFound","CORE"&amp;_xlfn.XLOOKUP(MAX(J345:GG345,1),J345:GG345,$J$4:$GG$4,""))</f>
        <v>CORE</v>
      </c>
      <c r="D345" s="2" t="str">
        <f t="shared" ref="D345:D359" si="117">IF(F345&gt;1,"NotFound","CORE"&amp;_xlfn.XLOOKUP(MAX(GI345:NF345,1),GI345:NF345,$GI$4:$NF$4,""))</f>
        <v>CORE</v>
      </c>
      <c r="E345" s="2" t="str">
        <f t="shared" ref="E345:E359" si="118">OI345</f>
        <v/>
      </c>
      <c r="F345" s="2">
        <f t="shared" ref="F345:F359" si="119">COUNTIF(GI345:NF345,G345)</f>
        <v>0</v>
      </c>
      <c r="G345" s="2">
        <f t="shared" ref="G345:G359" si="120">MAX(GI345:NF345)</f>
        <v>0</v>
      </c>
      <c r="H345" s="2">
        <f t="shared" ref="H345:H359" si="121">COUNTIF(J345:GG345,I345)</f>
        <v>0</v>
      </c>
      <c r="I345" s="2">
        <f t="shared" ref="I345:I359" si="122">MAX(J345:GG345)</f>
        <v>0</v>
      </c>
      <c r="NH345" cm="1">
        <f t="array" ref="NH345:NJ345">SUMIFS($J345:$GG345,$J$1:$GG$1,NH$3:NJ$3)</f>
        <v>0</v>
      </c>
      <c r="NI345">
        <v>0</v>
      </c>
      <c r="NJ345">
        <v>0</v>
      </c>
      <c r="NK345" cm="1">
        <f t="array" ref="NK345">IFERROR(MAX((_xlfn.ANCHORARRAY(NH345)-AVERAGE(_xlfn.ANCHORARRAY(NH345)))/ AVERAGE(_xlfn.ANCHORARRAY(NH345))),0)</f>
        <v>0</v>
      </c>
      <c r="NL345" t="str" cm="1">
        <f t="array" ref="NL345">IF(NK345&gt;$NL$1,_xlfn.XLOOKUP(MAX(_xlfn.ANCHORARRAY(NH345)),_xlfn.ANCHORARRAY(NH345),NH$4:NJ$4,""),"")</f>
        <v/>
      </c>
      <c r="NN345" cm="1">
        <f t="array" ref="NN345:NR345">SUMIFS($J345:$GG345,$J$3:$GG$3,NN$3:NR$3)</f>
        <v>0</v>
      </c>
      <c r="NO345">
        <v>0</v>
      </c>
      <c r="NP345">
        <v>0</v>
      </c>
      <c r="NQ345">
        <v>0</v>
      </c>
      <c r="NR345">
        <v>0</v>
      </c>
      <c r="NS345" cm="1">
        <f t="array" ref="NS345">IFERROR(MAX((_xlfn.ANCHORARRAY(NN345)-AVERAGE(_xlfn.ANCHORARRAY(NN345)))/ AVERAGE(_xlfn.ANCHORARRAY(NN345))),0)</f>
        <v>0</v>
      </c>
      <c r="NT345" t="str" cm="1">
        <f t="array" ref="NT345">IF(AND(NS345&gt;$NT$1,NL345&lt;&gt;""),_xlfn.XLOOKUP(MAX(_xlfn.ANCHORARRAY(NN345)),_xlfn.ANCHORARRAY(NN345),NN$4:NR$4,""),"")</f>
        <v/>
      </c>
      <c r="NV345" cm="1">
        <f t="array" ref="NV345:OE345">SUMIFS($J345:$GG345,$J$2:$GG$2,NV$3:OE$3)</f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 cm="1">
        <f t="array" ref="OF345">IFERROR(MAX((_xlfn.ANCHORARRAY(NV345)-AVERAGE(_xlfn.ANCHORARRAY(NV345)))/ AVERAGE(_xlfn.ANCHORARRAY(NV345))),0)</f>
        <v>0</v>
      </c>
      <c r="OG345" t="str" cm="1">
        <f t="array" ref="OG345">IF(OF345&gt;$OG$1,_xlfn.XLOOKUP(MAX(_xlfn.ANCHORARRAY(NV345)),_xlfn.ANCHORARRAY(NV345),NV$4:OE$4,""),"")</f>
        <v/>
      </c>
      <c r="OI345" t="str">
        <f t="shared" ref="OI345:OI359" si="123">_xlfn.TEXTJOIN(" : ",,NL345,NT345,OG345)</f>
        <v/>
      </c>
    </row>
    <row r="346" spans="2:399" x14ac:dyDescent="0.3">
      <c r="B346" s="2" t="str">
        <f t="shared" si="115"/>
        <v>CORE</v>
      </c>
      <c r="C346" s="2" t="str">
        <f t="shared" si="116"/>
        <v>CORE</v>
      </c>
      <c r="D346" s="2" t="str">
        <f t="shared" si="117"/>
        <v>CORE</v>
      </c>
      <c r="E346" s="2" t="str">
        <f t="shared" si="118"/>
        <v/>
      </c>
      <c r="F346" s="2">
        <f t="shared" si="119"/>
        <v>0</v>
      </c>
      <c r="G346" s="2">
        <f t="shared" si="120"/>
        <v>0</v>
      </c>
      <c r="H346" s="2">
        <f t="shared" si="121"/>
        <v>0</v>
      </c>
      <c r="I346" s="2">
        <f t="shared" si="122"/>
        <v>0</v>
      </c>
      <c r="NH346" cm="1">
        <f t="array" ref="NH346:NJ346">SUMIFS($J346:$GG346,$J$1:$GG$1,NH$3:NJ$3)</f>
        <v>0</v>
      </c>
      <c r="NI346">
        <v>0</v>
      </c>
      <c r="NJ346">
        <v>0</v>
      </c>
      <c r="NK346" cm="1">
        <f t="array" ref="NK346">IFERROR(MAX((_xlfn.ANCHORARRAY(NH346)-AVERAGE(_xlfn.ANCHORARRAY(NH346)))/ AVERAGE(_xlfn.ANCHORARRAY(NH346))),0)</f>
        <v>0</v>
      </c>
      <c r="NL346" t="str" cm="1">
        <f t="array" ref="NL346">IF(NK346&gt;$NL$1,_xlfn.XLOOKUP(MAX(_xlfn.ANCHORARRAY(NH346)),_xlfn.ANCHORARRAY(NH346),NH$4:NJ$4,""),"")</f>
        <v/>
      </c>
      <c r="NN346" cm="1">
        <f t="array" ref="NN346:NR346">SUMIFS($J346:$GG346,$J$3:$GG$3,NN$3:NR$3)</f>
        <v>0</v>
      </c>
      <c r="NO346">
        <v>0</v>
      </c>
      <c r="NP346">
        <v>0</v>
      </c>
      <c r="NQ346">
        <v>0</v>
      </c>
      <c r="NR346">
        <v>0</v>
      </c>
      <c r="NS346" cm="1">
        <f t="array" ref="NS346">IFERROR(MAX((_xlfn.ANCHORARRAY(NN346)-AVERAGE(_xlfn.ANCHORARRAY(NN346)))/ AVERAGE(_xlfn.ANCHORARRAY(NN346))),0)</f>
        <v>0</v>
      </c>
      <c r="NT346" t="str" cm="1">
        <f t="array" ref="NT346">IF(AND(NS346&gt;$NT$1,NL346&lt;&gt;""),_xlfn.XLOOKUP(MAX(_xlfn.ANCHORARRAY(NN346)),_xlfn.ANCHORARRAY(NN346),NN$4:NR$4,""),"")</f>
        <v/>
      </c>
      <c r="NV346" cm="1">
        <f t="array" ref="NV346:OE346">SUMIFS($J346:$GG346,$J$2:$GG$2,NV$3:OE$3)</f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 cm="1">
        <f t="array" ref="OF346">IFERROR(MAX((_xlfn.ANCHORARRAY(NV346)-AVERAGE(_xlfn.ANCHORARRAY(NV346)))/ AVERAGE(_xlfn.ANCHORARRAY(NV346))),0)</f>
        <v>0</v>
      </c>
      <c r="OG346" t="str" cm="1">
        <f t="array" ref="OG346">IF(OF346&gt;$OG$1,_xlfn.XLOOKUP(MAX(_xlfn.ANCHORARRAY(NV346)),_xlfn.ANCHORARRAY(NV346),NV$4:OE$4,""),"")</f>
        <v/>
      </c>
      <c r="OI346" t="str">
        <f t="shared" si="123"/>
        <v/>
      </c>
    </row>
    <row r="347" spans="2:399" x14ac:dyDescent="0.3">
      <c r="B347" s="2" t="str">
        <f t="shared" si="115"/>
        <v>CORE</v>
      </c>
      <c r="C347" s="2" t="str">
        <f t="shared" si="116"/>
        <v>CORE</v>
      </c>
      <c r="D347" s="2" t="str">
        <f t="shared" si="117"/>
        <v>CORE</v>
      </c>
      <c r="E347" s="2" t="str">
        <f t="shared" si="118"/>
        <v/>
      </c>
      <c r="F347" s="2">
        <f t="shared" si="119"/>
        <v>0</v>
      </c>
      <c r="G347" s="2">
        <f t="shared" si="120"/>
        <v>0</v>
      </c>
      <c r="H347" s="2">
        <f t="shared" si="121"/>
        <v>0</v>
      </c>
      <c r="I347" s="2">
        <f t="shared" si="122"/>
        <v>0</v>
      </c>
      <c r="NH347" cm="1">
        <f t="array" ref="NH347:NJ347">SUMIFS($J347:$GG347,$J$1:$GG$1,NH$3:NJ$3)</f>
        <v>0</v>
      </c>
      <c r="NI347">
        <v>0</v>
      </c>
      <c r="NJ347">
        <v>0</v>
      </c>
      <c r="NK347" cm="1">
        <f t="array" ref="NK347">IFERROR(MAX((_xlfn.ANCHORARRAY(NH347)-AVERAGE(_xlfn.ANCHORARRAY(NH347)))/ AVERAGE(_xlfn.ANCHORARRAY(NH347))),0)</f>
        <v>0</v>
      </c>
      <c r="NL347" t="str" cm="1">
        <f t="array" ref="NL347">IF(NK347&gt;$NL$1,_xlfn.XLOOKUP(MAX(_xlfn.ANCHORARRAY(NH347)),_xlfn.ANCHORARRAY(NH347),NH$4:NJ$4,""),"")</f>
        <v/>
      </c>
      <c r="NN347" cm="1">
        <f t="array" ref="NN347:NR347">SUMIFS($J347:$GG347,$J$3:$GG$3,NN$3:NR$3)</f>
        <v>0</v>
      </c>
      <c r="NO347">
        <v>0</v>
      </c>
      <c r="NP347">
        <v>0</v>
      </c>
      <c r="NQ347">
        <v>0</v>
      </c>
      <c r="NR347">
        <v>0</v>
      </c>
      <c r="NS347" cm="1">
        <f t="array" ref="NS347">IFERROR(MAX((_xlfn.ANCHORARRAY(NN347)-AVERAGE(_xlfn.ANCHORARRAY(NN347)))/ AVERAGE(_xlfn.ANCHORARRAY(NN347))),0)</f>
        <v>0</v>
      </c>
      <c r="NT347" t="str" cm="1">
        <f t="array" ref="NT347">IF(AND(NS347&gt;$NT$1,NL347&lt;&gt;""),_xlfn.XLOOKUP(MAX(_xlfn.ANCHORARRAY(NN347)),_xlfn.ANCHORARRAY(NN347),NN$4:NR$4,""),"")</f>
        <v/>
      </c>
      <c r="NV347" cm="1">
        <f t="array" ref="NV347:OE347">SUMIFS($J347:$GG347,$J$2:$GG$2,NV$3:OE$3)</f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 cm="1">
        <f t="array" ref="OF347">IFERROR(MAX((_xlfn.ANCHORARRAY(NV347)-AVERAGE(_xlfn.ANCHORARRAY(NV347)))/ AVERAGE(_xlfn.ANCHORARRAY(NV347))),0)</f>
        <v>0</v>
      </c>
      <c r="OG347" t="str" cm="1">
        <f t="array" ref="OG347">IF(OF347&gt;$OG$1,_xlfn.XLOOKUP(MAX(_xlfn.ANCHORARRAY(NV347)),_xlfn.ANCHORARRAY(NV347),NV$4:OE$4,""),"")</f>
        <v/>
      </c>
      <c r="OI347" t="str">
        <f t="shared" si="123"/>
        <v/>
      </c>
    </row>
    <row r="348" spans="2:399" x14ac:dyDescent="0.3">
      <c r="B348" s="2" t="str">
        <f t="shared" si="115"/>
        <v>CORE</v>
      </c>
      <c r="C348" s="2" t="str">
        <f t="shared" si="116"/>
        <v>CORE</v>
      </c>
      <c r="D348" s="2" t="str">
        <f t="shared" si="117"/>
        <v>CORE</v>
      </c>
      <c r="E348" s="2" t="str">
        <f t="shared" si="118"/>
        <v/>
      </c>
      <c r="F348" s="2">
        <f t="shared" si="119"/>
        <v>0</v>
      </c>
      <c r="G348" s="2">
        <f t="shared" si="120"/>
        <v>0</v>
      </c>
      <c r="H348" s="2">
        <f t="shared" si="121"/>
        <v>0</v>
      </c>
      <c r="I348" s="2">
        <f t="shared" si="122"/>
        <v>0</v>
      </c>
      <c r="NH348" cm="1">
        <f t="array" ref="NH348:NJ348">SUMIFS($J348:$GG348,$J$1:$GG$1,NH$3:NJ$3)</f>
        <v>0</v>
      </c>
      <c r="NI348">
        <v>0</v>
      </c>
      <c r="NJ348">
        <v>0</v>
      </c>
      <c r="NK348" cm="1">
        <f t="array" ref="NK348">IFERROR(MAX((_xlfn.ANCHORARRAY(NH348)-AVERAGE(_xlfn.ANCHORARRAY(NH348)))/ AVERAGE(_xlfn.ANCHORARRAY(NH348))),0)</f>
        <v>0</v>
      </c>
      <c r="NL348" t="str" cm="1">
        <f t="array" ref="NL348">IF(NK348&gt;$NL$1,_xlfn.XLOOKUP(MAX(_xlfn.ANCHORARRAY(NH348)),_xlfn.ANCHORARRAY(NH348),NH$4:NJ$4,""),"")</f>
        <v/>
      </c>
      <c r="NN348" cm="1">
        <f t="array" ref="NN348:NR348">SUMIFS($J348:$GG348,$J$3:$GG$3,NN$3:NR$3)</f>
        <v>0</v>
      </c>
      <c r="NO348">
        <v>0</v>
      </c>
      <c r="NP348">
        <v>0</v>
      </c>
      <c r="NQ348">
        <v>0</v>
      </c>
      <c r="NR348">
        <v>0</v>
      </c>
      <c r="NS348" cm="1">
        <f t="array" ref="NS348">IFERROR(MAX((_xlfn.ANCHORARRAY(NN348)-AVERAGE(_xlfn.ANCHORARRAY(NN348)))/ AVERAGE(_xlfn.ANCHORARRAY(NN348))),0)</f>
        <v>0</v>
      </c>
      <c r="NT348" t="str" cm="1">
        <f t="array" ref="NT348">IF(AND(NS348&gt;$NT$1,NL348&lt;&gt;""),_xlfn.XLOOKUP(MAX(_xlfn.ANCHORARRAY(NN348)),_xlfn.ANCHORARRAY(NN348),NN$4:NR$4,""),"")</f>
        <v/>
      </c>
      <c r="NV348" cm="1">
        <f t="array" ref="NV348:OE348">SUMIFS($J348:$GG348,$J$2:$GG$2,NV$3:OE$3)</f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 cm="1">
        <f t="array" ref="OF348">IFERROR(MAX((_xlfn.ANCHORARRAY(NV348)-AVERAGE(_xlfn.ANCHORARRAY(NV348)))/ AVERAGE(_xlfn.ANCHORARRAY(NV348))),0)</f>
        <v>0</v>
      </c>
      <c r="OG348" t="str" cm="1">
        <f t="array" ref="OG348">IF(OF348&gt;$OG$1,_xlfn.XLOOKUP(MAX(_xlfn.ANCHORARRAY(NV348)),_xlfn.ANCHORARRAY(NV348),NV$4:OE$4,""),"")</f>
        <v/>
      </c>
      <c r="OI348" t="str">
        <f t="shared" si="123"/>
        <v/>
      </c>
    </row>
    <row r="349" spans="2:399" x14ac:dyDescent="0.3">
      <c r="B349" s="2" t="str">
        <f t="shared" si="115"/>
        <v>CORE</v>
      </c>
      <c r="C349" s="2" t="str">
        <f t="shared" si="116"/>
        <v>CORE</v>
      </c>
      <c r="D349" s="2" t="str">
        <f t="shared" si="117"/>
        <v>CORE</v>
      </c>
      <c r="E349" s="2" t="str">
        <f t="shared" si="118"/>
        <v/>
      </c>
      <c r="F349" s="2">
        <f t="shared" si="119"/>
        <v>0</v>
      </c>
      <c r="G349" s="2">
        <f t="shared" si="120"/>
        <v>0</v>
      </c>
      <c r="H349" s="2">
        <f t="shared" si="121"/>
        <v>0</v>
      </c>
      <c r="I349" s="2">
        <f t="shared" si="122"/>
        <v>0</v>
      </c>
      <c r="NH349" cm="1">
        <f t="array" ref="NH349:NJ349">SUMIFS($J349:$GG349,$J$1:$GG$1,NH$3:NJ$3)</f>
        <v>0</v>
      </c>
      <c r="NI349">
        <v>0</v>
      </c>
      <c r="NJ349">
        <v>0</v>
      </c>
      <c r="NK349" cm="1">
        <f t="array" ref="NK349">IFERROR(MAX((_xlfn.ANCHORARRAY(NH349)-AVERAGE(_xlfn.ANCHORARRAY(NH349)))/ AVERAGE(_xlfn.ANCHORARRAY(NH349))),0)</f>
        <v>0</v>
      </c>
      <c r="NL349" t="str" cm="1">
        <f t="array" ref="NL349">IF(NK349&gt;$NL$1,_xlfn.XLOOKUP(MAX(_xlfn.ANCHORARRAY(NH349)),_xlfn.ANCHORARRAY(NH349),NH$4:NJ$4,""),"")</f>
        <v/>
      </c>
      <c r="NN349" cm="1">
        <f t="array" ref="NN349:NR349">SUMIFS($J349:$GG349,$J$3:$GG$3,NN$3:NR$3)</f>
        <v>0</v>
      </c>
      <c r="NO349">
        <v>0</v>
      </c>
      <c r="NP349">
        <v>0</v>
      </c>
      <c r="NQ349">
        <v>0</v>
      </c>
      <c r="NR349">
        <v>0</v>
      </c>
      <c r="NS349" cm="1">
        <f t="array" ref="NS349">IFERROR(MAX((_xlfn.ANCHORARRAY(NN349)-AVERAGE(_xlfn.ANCHORARRAY(NN349)))/ AVERAGE(_xlfn.ANCHORARRAY(NN349))),0)</f>
        <v>0</v>
      </c>
      <c r="NT349" t="str" cm="1">
        <f t="array" ref="NT349">IF(AND(NS349&gt;$NT$1,NL349&lt;&gt;""),_xlfn.XLOOKUP(MAX(_xlfn.ANCHORARRAY(NN349)),_xlfn.ANCHORARRAY(NN349),NN$4:NR$4,""),"")</f>
        <v/>
      </c>
      <c r="NV349" cm="1">
        <f t="array" ref="NV349:OE349">SUMIFS($J349:$GG349,$J$2:$GG$2,NV$3:OE$3)</f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 cm="1">
        <f t="array" ref="OF349">IFERROR(MAX((_xlfn.ANCHORARRAY(NV349)-AVERAGE(_xlfn.ANCHORARRAY(NV349)))/ AVERAGE(_xlfn.ANCHORARRAY(NV349))),0)</f>
        <v>0</v>
      </c>
      <c r="OG349" t="str" cm="1">
        <f t="array" ref="OG349">IF(OF349&gt;$OG$1,_xlfn.XLOOKUP(MAX(_xlfn.ANCHORARRAY(NV349)),_xlfn.ANCHORARRAY(NV349),NV$4:OE$4,""),"")</f>
        <v/>
      </c>
      <c r="OI349" t="str">
        <f t="shared" si="123"/>
        <v/>
      </c>
    </row>
    <row r="350" spans="2:399" x14ac:dyDescent="0.3">
      <c r="B350" s="2" t="str">
        <f t="shared" si="115"/>
        <v>CORE</v>
      </c>
      <c r="C350" s="2" t="str">
        <f t="shared" si="116"/>
        <v>CORE</v>
      </c>
      <c r="D350" s="2" t="str">
        <f t="shared" si="117"/>
        <v>CORE</v>
      </c>
      <c r="E350" s="2" t="str">
        <f t="shared" si="118"/>
        <v/>
      </c>
      <c r="F350" s="2">
        <f t="shared" si="119"/>
        <v>0</v>
      </c>
      <c r="G350" s="2">
        <f t="shared" si="120"/>
        <v>0</v>
      </c>
      <c r="H350" s="2">
        <f t="shared" si="121"/>
        <v>0</v>
      </c>
      <c r="I350" s="2">
        <f t="shared" si="122"/>
        <v>0</v>
      </c>
      <c r="NH350" cm="1">
        <f t="array" ref="NH350:NJ350">SUMIFS($J350:$GG350,$J$1:$GG$1,NH$3:NJ$3)</f>
        <v>0</v>
      </c>
      <c r="NI350">
        <v>0</v>
      </c>
      <c r="NJ350">
        <v>0</v>
      </c>
      <c r="NK350" cm="1">
        <f t="array" ref="NK350">IFERROR(MAX((_xlfn.ANCHORARRAY(NH350)-AVERAGE(_xlfn.ANCHORARRAY(NH350)))/ AVERAGE(_xlfn.ANCHORARRAY(NH350))),0)</f>
        <v>0</v>
      </c>
      <c r="NL350" t="str" cm="1">
        <f t="array" ref="NL350">IF(NK350&gt;$NL$1,_xlfn.XLOOKUP(MAX(_xlfn.ANCHORARRAY(NH350)),_xlfn.ANCHORARRAY(NH350),NH$4:NJ$4,""),"")</f>
        <v/>
      </c>
      <c r="NN350" cm="1">
        <f t="array" ref="NN350:NR350">SUMIFS($J350:$GG350,$J$3:$GG$3,NN$3:NR$3)</f>
        <v>0</v>
      </c>
      <c r="NO350">
        <v>0</v>
      </c>
      <c r="NP350">
        <v>0</v>
      </c>
      <c r="NQ350">
        <v>0</v>
      </c>
      <c r="NR350">
        <v>0</v>
      </c>
      <c r="NS350" cm="1">
        <f t="array" ref="NS350">IFERROR(MAX((_xlfn.ANCHORARRAY(NN350)-AVERAGE(_xlfn.ANCHORARRAY(NN350)))/ AVERAGE(_xlfn.ANCHORARRAY(NN350))),0)</f>
        <v>0</v>
      </c>
      <c r="NT350" t="str" cm="1">
        <f t="array" ref="NT350">IF(AND(NS350&gt;$NT$1,NL350&lt;&gt;""),_xlfn.XLOOKUP(MAX(_xlfn.ANCHORARRAY(NN350)),_xlfn.ANCHORARRAY(NN350),NN$4:NR$4,""),"")</f>
        <v/>
      </c>
      <c r="NV350" cm="1">
        <f t="array" ref="NV350:OE350">SUMIFS($J350:$GG350,$J$2:$GG$2,NV$3:OE$3)</f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 cm="1">
        <f t="array" ref="OF350">IFERROR(MAX((_xlfn.ANCHORARRAY(NV350)-AVERAGE(_xlfn.ANCHORARRAY(NV350)))/ AVERAGE(_xlfn.ANCHORARRAY(NV350))),0)</f>
        <v>0</v>
      </c>
      <c r="OG350" t="str" cm="1">
        <f t="array" ref="OG350">IF(OF350&gt;$OG$1,_xlfn.XLOOKUP(MAX(_xlfn.ANCHORARRAY(NV350)),_xlfn.ANCHORARRAY(NV350),NV$4:OE$4,""),"")</f>
        <v/>
      </c>
      <c r="OI350" t="str">
        <f t="shared" si="123"/>
        <v/>
      </c>
    </row>
    <row r="351" spans="2:399" x14ac:dyDescent="0.3">
      <c r="B351" s="2" t="str">
        <f t="shared" si="115"/>
        <v>CORE</v>
      </c>
      <c r="C351" s="2" t="str">
        <f t="shared" si="116"/>
        <v>CORE</v>
      </c>
      <c r="D351" s="2" t="str">
        <f t="shared" si="117"/>
        <v>CORE</v>
      </c>
      <c r="E351" s="2" t="str">
        <f t="shared" si="118"/>
        <v/>
      </c>
      <c r="F351" s="2">
        <f t="shared" si="119"/>
        <v>0</v>
      </c>
      <c r="G351" s="2">
        <f t="shared" si="120"/>
        <v>0</v>
      </c>
      <c r="H351" s="2">
        <f t="shared" si="121"/>
        <v>0</v>
      </c>
      <c r="I351" s="2">
        <f t="shared" si="122"/>
        <v>0</v>
      </c>
      <c r="NH351" cm="1">
        <f t="array" ref="NH351:NJ351">SUMIFS($J351:$GG351,$J$1:$GG$1,NH$3:NJ$3)</f>
        <v>0</v>
      </c>
      <c r="NI351">
        <v>0</v>
      </c>
      <c r="NJ351">
        <v>0</v>
      </c>
      <c r="NK351" cm="1">
        <f t="array" ref="NK351">IFERROR(MAX((_xlfn.ANCHORARRAY(NH351)-AVERAGE(_xlfn.ANCHORARRAY(NH351)))/ AVERAGE(_xlfn.ANCHORARRAY(NH351))),0)</f>
        <v>0</v>
      </c>
      <c r="NL351" t="str" cm="1">
        <f t="array" ref="NL351">IF(NK351&gt;$NL$1,_xlfn.XLOOKUP(MAX(_xlfn.ANCHORARRAY(NH351)),_xlfn.ANCHORARRAY(NH351),NH$4:NJ$4,""),"")</f>
        <v/>
      </c>
      <c r="NN351" cm="1">
        <f t="array" ref="NN351:NR351">SUMIFS($J351:$GG351,$J$3:$GG$3,NN$3:NR$3)</f>
        <v>0</v>
      </c>
      <c r="NO351">
        <v>0</v>
      </c>
      <c r="NP351">
        <v>0</v>
      </c>
      <c r="NQ351">
        <v>0</v>
      </c>
      <c r="NR351">
        <v>0</v>
      </c>
      <c r="NS351" cm="1">
        <f t="array" ref="NS351">IFERROR(MAX((_xlfn.ANCHORARRAY(NN351)-AVERAGE(_xlfn.ANCHORARRAY(NN351)))/ AVERAGE(_xlfn.ANCHORARRAY(NN351))),0)</f>
        <v>0</v>
      </c>
      <c r="NT351" t="str" cm="1">
        <f t="array" ref="NT351">IF(AND(NS351&gt;$NT$1,NL351&lt;&gt;""),_xlfn.XLOOKUP(MAX(_xlfn.ANCHORARRAY(NN351)),_xlfn.ANCHORARRAY(NN351),NN$4:NR$4,""),"")</f>
        <v/>
      </c>
      <c r="NV351" cm="1">
        <f t="array" ref="NV351:OE351">SUMIFS($J351:$GG351,$J$2:$GG$2,NV$3:OE$3)</f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 cm="1">
        <f t="array" ref="OF351">IFERROR(MAX((_xlfn.ANCHORARRAY(NV351)-AVERAGE(_xlfn.ANCHORARRAY(NV351)))/ AVERAGE(_xlfn.ANCHORARRAY(NV351))),0)</f>
        <v>0</v>
      </c>
      <c r="OG351" t="str" cm="1">
        <f t="array" ref="OG351">IF(OF351&gt;$OG$1,_xlfn.XLOOKUP(MAX(_xlfn.ANCHORARRAY(NV351)),_xlfn.ANCHORARRAY(NV351),NV$4:OE$4,""),"")</f>
        <v/>
      </c>
      <c r="OI351" t="str">
        <f t="shared" si="123"/>
        <v/>
      </c>
    </row>
    <row r="352" spans="2:399" x14ac:dyDescent="0.3">
      <c r="B352" s="2" t="str">
        <f t="shared" si="115"/>
        <v>CORE</v>
      </c>
      <c r="C352" s="2" t="str">
        <f t="shared" si="116"/>
        <v>CORE</v>
      </c>
      <c r="D352" s="2" t="str">
        <f t="shared" si="117"/>
        <v>CORE</v>
      </c>
      <c r="E352" s="2" t="str">
        <f t="shared" si="118"/>
        <v/>
      </c>
      <c r="F352" s="2">
        <f t="shared" si="119"/>
        <v>0</v>
      </c>
      <c r="G352" s="2">
        <f t="shared" si="120"/>
        <v>0</v>
      </c>
      <c r="H352" s="2">
        <f t="shared" si="121"/>
        <v>0</v>
      </c>
      <c r="I352" s="2">
        <f t="shared" si="122"/>
        <v>0</v>
      </c>
      <c r="NH352" cm="1">
        <f t="array" ref="NH352:NJ352">SUMIFS($J352:$GG352,$J$1:$GG$1,NH$3:NJ$3)</f>
        <v>0</v>
      </c>
      <c r="NI352">
        <v>0</v>
      </c>
      <c r="NJ352">
        <v>0</v>
      </c>
      <c r="NK352" cm="1">
        <f t="array" ref="NK352">IFERROR(MAX((_xlfn.ANCHORARRAY(NH352)-AVERAGE(_xlfn.ANCHORARRAY(NH352)))/ AVERAGE(_xlfn.ANCHORARRAY(NH352))),0)</f>
        <v>0</v>
      </c>
      <c r="NL352" t="str" cm="1">
        <f t="array" ref="NL352">IF(NK352&gt;$NL$1,_xlfn.XLOOKUP(MAX(_xlfn.ANCHORARRAY(NH352)),_xlfn.ANCHORARRAY(NH352),NH$4:NJ$4,""),"")</f>
        <v/>
      </c>
      <c r="NN352" cm="1">
        <f t="array" ref="NN352:NR352">SUMIFS($J352:$GG352,$J$3:$GG$3,NN$3:NR$3)</f>
        <v>0</v>
      </c>
      <c r="NO352">
        <v>0</v>
      </c>
      <c r="NP352">
        <v>0</v>
      </c>
      <c r="NQ352">
        <v>0</v>
      </c>
      <c r="NR352">
        <v>0</v>
      </c>
      <c r="NS352" cm="1">
        <f t="array" ref="NS352">IFERROR(MAX((_xlfn.ANCHORARRAY(NN352)-AVERAGE(_xlfn.ANCHORARRAY(NN352)))/ AVERAGE(_xlfn.ANCHORARRAY(NN352))),0)</f>
        <v>0</v>
      </c>
      <c r="NT352" t="str" cm="1">
        <f t="array" ref="NT352">IF(AND(NS352&gt;$NT$1,NL352&lt;&gt;""),_xlfn.XLOOKUP(MAX(_xlfn.ANCHORARRAY(NN352)),_xlfn.ANCHORARRAY(NN352),NN$4:NR$4,""),"")</f>
        <v/>
      </c>
      <c r="NV352" cm="1">
        <f t="array" ref="NV352:OE352">SUMIFS($J352:$GG352,$J$2:$GG$2,NV$3:OE$3)</f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 cm="1">
        <f t="array" ref="OF352">IFERROR(MAX((_xlfn.ANCHORARRAY(NV352)-AVERAGE(_xlfn.ANCHORARRAY(NV352)))/ AVERAGE(_xlfn.ANCHORARRAY(NV352))),0)</f>
        <v>0</v>
      </c>
      <c r="OG352" t="str" cm="1">
        <f t="array" ref="OG352">IF(OF352&gt;$OG$1,_xlfn.XLOOKUP(MAX(_xlfn.ANCHORARRAY(NV352)),_xlfn.ANCHORARRAY(NV352),NV$4:OE$4,""),"")</f>
        <v/>
      </c>
      <c r="OI352" t="str">
        <f t="shared" si="123"/>
        <v/>
      </c>
    </row>
    <row r="353" spans="2:399" x14ac:dyDescent="0.3">
      <c r="B353" s="2" t="str">
        <f t="shared" si="115"/>
        <v>CORE</v>
      </c>
      <c r="C353" s="2" t="str">
        <f t="shared" si="116"/>
        <v>CORE</v>
      </c>
      <c r="D353" s="2" t="str">
        <f t="shared" si="117"/>
        <v>CORE</v>
      </c>
      <c r="E353" s="2" t="str">
        <f t="shared" si="118"/>
        <v/>
      </c>
      <c r="F353" s="2">
        <f t="shared" si="119"/>
        <v>0</v>
      </c>
      <c r="G353" s="2">
        <f t="shared" si="120"/>
        <v>0</v>
      </c>
      <c r="H353" s="2">
        <f t="shared" si="121"/>
        <v>0</v>
      </c>
      <c r="I353" s="2">
        <f t="shared" si="122"/>
        <v>0</v>
      </c>
      <c r="NH353" cm="1">
        <f t="array" ref="NH353:NJ353">SUMIFS($J353:$GG353,$J$1:$GG$1,NH$3:NJ$3)</f>
        <v>0</v>
      </c>
      <c r="NI353">
        <v>0</v>
      </c>
      <c r="NJ353">
        <v>0</v>
      </c>
      <c r="NK353" cm="1">
        <f t="array" ref="NK353">IFERROR(MAX((_xlfn.ANCHORARRAY(NH353)-AVERAGE(_xlfn.ANCHORARRAY(NH353)))/ AVERAGE(_xlfn.ANCHORARRAY(NH353))),0)</f>
        <v>0</v>
      </c>
      <c r="NL353" t="str" cm="1">
        <f t="array" ref="NL353">IF(NK353&gt;$NL$1,_xlfn.XLOOKUP(MAX(_xlfn.ANCHORARRAY(NH353)),_xlfn.ANCHORARRAY(NH353),NH$4:NJ$4,""),"")</f>
        <v/>
      </c>
      <c r="NN353" cm="1">
        <f t="array" ref="NN353:NR353">SUMIFS($J353:$GG353,$J$3:$GG$3,NN$3:NR$3)</f>
        <v>0</v>
      </c>
      <c r="NO353">
        <v>0</v>
      </c>
      <c r="NP353">
        <v>0</v>
      </c>
      <c r="NQ353">
        <v>0</v>
      </c>
      <c r="NR353">
        <v>0</v>
      </c>
      <c r="NS353" cm="1">
        <f t="array" ref="NS353">IFERROR(MAX((_xlfn.ANCHORARRAY(NN353)-AVERAGE(_xlfn.ANCHORARRAY(NN353)))/ AVERAGE(_xlfn.ANCHORARRAY(NN353))),0)</f>
        <v>0</v>
      </c>
      <c r="NT353" t="str" cm="1">
        <f t="array" ref="NT353">IF(AND(NS353&gt;$NT$1,NL353&lt;&gt;""),_xlfn.XLOOKUP(MAX(_xlfn.ANCHORARRAY(NN353)),_xlfn.ANCHORARRAY(NN353),NN$4:NR$4,""),"")</f>
        <v/>
      </c>
      <c r="NV353" cm="1">
        <f t="array" ref="NV353:OE353">SUMIFS($J353:$GG353,$J$2:$GG$2,NV$3:OE$3)</f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 cm="1">
        <f t="array" ref="OF353">IFERROR(MAX((_xlfn.ANCHORARRAY(NV353)-AVERAGE(_xlfn.ANCHORARRAY(NV353)))/ AVERAGE(_xlfn.ANCHORARRAY(NV353))),0)</f>
        <v>0</v>
      </c>
      <c r="OG353" t="str" cm="1">
        <f t="array" ref="OG353">IF(OF353&gt;$OG$1,_xlfn.XLOOKUP(MAX(_xlfn.ANCHORARRAY(NV353)),_xlfn.ANCHORARRAY(NV353),NV$4:OE$4,""),"")</f>
        <v/>
      </c>
      <c r="OI353" t="str">
        <f t="shared" si="123"/>
        <v/>
      </c>
    </row>
    <row r="354" spans="2:399" x14ac:dyDescent="0.3">
      <c r="B354" s="2" t="str">
        <f t="shared" si="115"/>
        <v>CORE</v>
      </c>
      <c r="C354" s="2" t="str">
        <f t="shared" si="116"/>
        <v>CORE</v>
      </c>
      <c r="D354" s="2" t="str">
        <f t="shared" si="117"/>
        <v>CORE</v>
      </c>
      <c r="E354" s="2" t="str">
        <f t="shared" si="118"/>
        <v/>
      </c>
      <c r="F354" s="2">
        <f t="shared" si="119"/>
        <v>0</v>
      </c>
      <c r="G354" s="2">
        <f t="shared" si="120"/>
        <v>0</v>
      </c>
      <c r="H354" s="2">
        <f t="shared" si="121"/>
        <v>0</v>
      </c>
      <c r="I354" s="2">
        <f t="shared" si="122"/>
        <v>0</v>
      </c>
      <c r="NH354" cm="1">
        <f t="array" ref="NH354:NJ354">SUMIFS($J354:$GG354,$J$1:$GG$1,NH$3:NJ$3)</f>
        <v>0</v>
      </c>
      <c r="NI354">
        <v>0</v>
      </c>
      <c r="NJ354">
        <v>0</v>
      </c>
      <c r="NK354" cm="1">
        <f t="array" ref="NK354">IFERROR(MAX((_xlfn.ANCHORARRAY(NH354)-AVERAGE(_xlfn.ANCHORARRAY(NH354)))/ AVERAGE(_xlfn.ANCHORARRAY(NH354))),0)</f>
        <v>0</v>
      </c>
      <c r="NL354" t="str" cm="1">
        <f t="array" ref="NL354">IF(NK354&gt;$NL$1,_xlfn.XLOOKUP(MAX(_xlfn.ANCHORARRAY(NH354)),_xlfn.ANCHORARRAY(NH354),NH$4:NJ$4,""),"")</f>
        <v/>
      </c>
      <c r="NN354" cm="1">
        <f t="array" ref="NN354:NR354">SUMIFS($J354:$GG354,$J$3:$GG$3,NN$3:NR$3)</f>
        <v>0</v>
      </c>
      <c r="NO354">
        <v>0</v>
      </c>
      <c r="NP354">
        <v>0</v>
      </c>
      <c r="NQ354">
        <v>0</v>
      </c>
      <c r="NR354">
        <v>0</v>
      </c>
      <c r="NS354" cm="1">
        <f t="array" ref="NS354">IFERROR(MAX((_xlfn.ANCHORARRAY(NN354)-AVERAGE(_xlfn.ANCHORARRAY(NN354)))/ AVERAGE(_xlfn.ANCHORARRAY(NN354))),0)</f>
        <v>0</v>
      </c>
      <c r="NT354" t="str" cm="1">
        <f t="array" ref="NT354">IF(AND(NS354&gt;$NT$1,NL354&lt;&gt;""),_xlfn.XLOOKUP(MAX(_xlfn.ANCHORARRAY(NN354)),_xlfn.ANCHORARRAY(NN354),NN$4:NR$4,""),"")</f>
        <v/>
      </c>
      <c r="NV354" cm="1">
        <f t="array" ref="NV354:OE354">SUMIFS($J354:$GG354,$J$2:$GG$2,NV$3:OE$3)</f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 cm="1">
        <f t="array" ref="OF354">IFERROR(MAX((_xlfn.ANCHORARRAY(NV354)-AVERAGE(_xlfn.ANCHORARRAY(NV354)))/ AVERAGE(_xlfn.ANCHORARRAY(NV354))),0)</f>
        <v>0</v>
      </c>
      <c r="OG354" t="str" cm="1">
        <f t="array" ref="OG354">IF(OF354&gt;$OG$1,_xlfn.XLOOKUP(MAX(_xlfn.ANCHORARRAY(NV354)),_xlfn.ANCHORARRAY(NV354),NV$4:OE$4,""),"")</f>
        <v/>
      </c>
      <c r="OI354" t="str">
        <f t="shared" si="123"/>
        <v/>
      </c>
    </row>
    <row r="355" spans="2:399" x14ac:dyDescent="0.3">
      <c r="B355" s="2" t="str">
        <f t="shared" si="115"/>
        <v>CORE</v>
      </c>
      <c r="C355" s="2" t="str">
        <f t="shared" si="116"/>
        <v>CORE</v>
      </c>
      <c r="D355" s="2" t="str">
        <f t="shared" si="117"/>
        <v>CORE</v>
      </c>
      <c r="E355" s="2" t="str">
        <f t="shared" si="118"/>
        <v/>
      </c>
      <c r="F355" s="2">
        <f t="shared" si="119"/>
        <v>0</v>
      </c>
      <c r="G355" s="2">
        <f t="shared" si="120"/>
        <v>0</v>
      </c>
      <c r="H355" s="2">
        <f t="shared" si="121"/>
        <v>0</v>
      </c>
      <c r="I355" s="2">
        <f t="shared" si="122"/>
        <v>0</v>
      </c>
      <c r="NH355" cm="1">
        <f t="array" ref="NH355:NJ355">SUMIFS($J355:$GG355,$J$1:$GG$1,NH$3:NJ$3)</f>
        <v>0</v>
      </c>
      <c r="NI355">
        <v>0</v>
      </c>
      <c r="NJ355">
        <v>0</v>
      </c>
      <c r="NK355" cm="1">
        <f t="array" ref="NK355">IFERROR(MAX((_xlfn.ANCHORARRAY(NH355)-AVERAGE(_xlfn.ANCHORARRAY(NH355)))/ AVERAGE(_xlfn.ANCHORARRAY(NH355))),0)</f>
        <v>0</v>
      </c>
      <c r="NL355" t="str" cm="1">
        <f t="array" ref="NL355">IF(NK355&gt;$NL$1,_xlfn.XLOOKUP(MAX(_xlfn.ANCHORARRAY(NH355)),_xlfn.ANCHORARRAY(NH355),NH$4:NJ$4,""),"")</f>
        <v/>
      </c>
      <c r="NN355" cm="1">
        <f t="array" ref="NN355:NR355">SUMIFS($J355:$GG355,$J$3:$GG$3,NN$3:NR$3)</f>
        <v>0</v>
      </c>
      <c r="NO355">
        <v>0</v>
      </c>
      <c r="NP355">
        <v>0</v>
      </c>
      <c r="NQ355">
        <v>0</v>
      </c>
      <c r="NR355">
        <v>0</v>
      </c>
      <c r="NS355" cm="1">
        <f t="array" ref="NS355">IFERROR(MAX((_xlfn.ANCHORARRAY(NN355)-AVERAGE(_xlfn.ANCHORARRAY(NN355)))/ AVERAGE(_xlfn.ANCHORARRAY(NN355))),0)</f>
        <v>0</v>
      </c>
      <c r="NT355" t="str" cm="1">
        <f t="array" ref="NT355">IF(AND(NS355&gt;$NT$1,NL355&lt;&gt;""),_xlfn.XLOOKUP(MAX(_xlfn.ANCHORARRAY(NN355)),_xlfn.ANCHORARRAY(NN355),NN$4:NR$4,""),"")</f>
        <v/>
      </c>
      <c r="NV355" cm="1">
        <f t="array" ref="NV355:OE355">SUMIFS($J355:$GG355,$J$2:$GG$2,NV$3:OE$3)</f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 cm="1">
        <f t="array" ref="OF355">IFERROR(MAX((_xlfn.ANCHORARRAY(NV355)-AVERAGE(_xlfn.ANCHORARRAY(NV355)))/ AVERAGE(_xlfn.ANCHORARRAY(NV355))),0)</f>
        <v>0</v>
      </c>
      <c r="OG355" t="str" cm="1">
        <f t="array" ref="OG355">IF(OF355&gt;$OG$1,_xlfn.XLOOKUP(MAX(_xlfn.ANCHORARRAY(NV355)),_xlfn.ANCHORARRAY(NV355),NV$4:OE$4,""),"")</f>
        <v/>
      </c>
      <c r="OI355" t="str">
        <f t="shared" si="123"/>
        <v/>
      </c>
    </row>
    <row r="356" spans="2:399" x14ac:dyDescent="0.3">
      <c r="B356" s="2" t="str">
        <f t="shared" si="115"/>
        <v>CORE</v>
      </c>
      <c r="C356" s="2" t="str">
        <f t="shared" si="116"/>
        <v>CORE</v>
      </c>
      <c r="D356" s="2" t="str">
        <f t="shared" si="117"/>
        <v>CORE</v>
      </c>
      <c r="E356" s="2" t="str">
        <f t="shared" si="118"/>
        <v/>
      </c>
      <c r="F356" s="2">
        <f t="shared" si="119"/>
        <v>0</v>
      </c>
      <c r="G356" s="2">
        <f t="shared" si="120"/>
        <v>0</v>
      </c>
      <c r="H356" s="2">
        <f t="shared" si="121"/>
        <v>0</v>
      </c>
      <c r="I356" s="2">
        <f t="shared" si="122"/>
        <v>0</v>
      </c>
      <c r="NH356" cm="1">
        <f t="array" ref="NH356:NJ356">SUMIFS($J356:$GG356,$J$1:$GG$1,NH$3:NJ$3)</f>
        <v>0</v>
      </c>
      <c r="NI356">
        <v>0</v>
      </c>
      <c r="NJ356">
        <v>0</v>
      </c>
      <c r="NK356" cm="1">
        <f t="array" ref="NK356">IFERROR(MAX((_xlfn.ANCHORARRAY(NH356)-AVERAGE(_xlfn.ANCHORARRAY(NH356)))/ AVERAGE(_xlfn.ANCHORARRAY(NH356))),0)</f>
        <v>0</v>
      </c>
      <c r="NL356" t="str" cm="1">
        <f t="array" ref="NL356">IF(NK356&gt;$NL$1,_xlfn.XLOOKUP(MAX(_xlfn.ANCHORARRAY(NH356)),_xlfn.ANCHORARRAY(NH356),NH$4:NJ$4,""),"")</f>
        <v/>
      </c>
      <c r="NN356" cm="1">
        <f t="array" ref="NN356:NR356">SUMIFS($J356:$GG356,$J$3:$GG$3,NN$3:NR$3)</f>
        <v>0</v>
      </c>
      <c r="NO356">
        <v>0</v>
      </c>
      <c r="NP356">
        <v>0</v>
      </c>
      <c r="NQ356">
        <v>0</v>
      </c>
      <c r="NR356">
        <v>0</v>
      </c>
      <c r="NS356" cm="1">
        <f t="array" ref="NS356">IFERROR(MAX((_xlfn.ANCHORARRAY(NN356)-AVERAGE(_xlfn.ANCHORARRAY(NN356)))/ AVERAGE(_xlfn.ANCHORARRAY(NN356))),0)</f>
        <v>0</v>
      </c>
      <c r="NT356" t="str" cm="1">
        <f t="array" ref="NT356">IF(AND(NS356&gt;$NT$1,NL356&lt;&gt;""),_xlfn.XLOOKUP(MAX(_xlfn.ANCHORARRAY(NN356)),_xlfn.ANCHORARRAY(NN356),NN$4:NR$4,""),"")</f>
        <v/>
      </c>
      <c r="NV356" cm="1">
        <f t="array" ref="NV356:OE356">SUMIFS($J356:$GG356,$J$2:$GG$2,NV$3:OE$3)</f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 cm="1">
        <f t="array" ref="OF356">IFERROR(MAX((_xlfn.ANCHORARRAY(NV356)-AVERAGE(_xlfn.ANCHORARRAY(NV356)))/ AVERAGE(_xlfn.ANCHORARRAY(NV356))),0)</f>
        <v>0</v>
      </c>
      <c r="OG356" t="str" cm="1">
        <f t="array" ref="OG356">IF(OF356&gt;$OG$1,_xlfn.XLOOKUP(MAX(_xlfn.ANCHORARRAY(NV356)),_xlfn.ANCHORARRAY(NV356),NV$4:OE$4,""),"")</f>
        <v/>
      </c>
      <c r="OI356" t="str">
        <f t="shared" si="123"/>
        <v/>
      </c>
    </row>
    <row r="357" spans="2:399" x14ac:dyDescent="0.3">
      <c r="B357" s="2" t="str">
        <f t="shared" si="115"/>
        <v>CORE</v>
      </c>
      <c r="C357" s="2" t="str">
        <f t="shared" si="116"/>
        <v>CORE</v>
      </c>
      <c r="D357" s="2" t="str">
        <f t="shared" si="117"/>
        <v>CORE</v>
      </c>
      <c r="E357" s="2" t="str">
        <f t="shared" si="118"/>
        <v/>
      </c>
      <c r="F357" s="2">
        <f t="shared" si="119"/>
        <v>0</v>
      </c>
      <c r="G357" s="2">
        <f t="shared" si="120"/>
        <v>0</v>
      </c>
      <c r="H357" s="2">
        <f t="shared" si="121"/>
        <v>0</v>
      </c>
      <c r="I357" s="2">
        <f t="shared" si="122"/>
        <v>0</v>
      </c>
      <c r="NH357" cm="1">
        <f t="array" ref="NH357:NJ357">SUMIFS($J357:$GG357,$J$1:$GG$1,NH$3:NJ$3)</f>
        <v>0</v>
      </c>
      <c r="NI357">
        <v>0</v>
      </c>
      <c r="NJ357">
        <v>0</v>
      </c>
      <c r="NK357" cm="1">
        <f t="array" ref="NK357">IFERROR(MAX((_xlfn.ANCHORARRAY(NH357)-AVERAGE(_xlfn.ANCHORARRAY(NH357)))/ AVERAGE(_xlfn.ANCHORARRAY(NH357))),0)</f>
        <v>0</v>
      </c>
      <c r="NL357" t="str" cm="1">
        <f t="array" ref="NL357">IF(NK357&gt;$NL$1,_xlfn.XLOOKUP(MAX(_xlfn.ANCHORARRAY(NH357)),_xlfn.ANCHORARRAY(NH357),NH$4:NJ$4,""),"")</f>
        <v/>
      </c>
      <c r="NN357" cm="1">
        <f t="array" ref="NN357:NR357">SUMIFS($J357:$GG357,$J$3:$GG$3,NN$3:NR$3)</f>
        <v>0</v>
      </c>
      <c r="NO357">
        <v>0</v>
      </c>
      <c r="NP357">
        <v>0</v>
      </c>
      <c r="NQ357">
        <v>0</v>
      </c>
      <c r="NR357">
        <v>0</v>
      </c>
      <c r="NS357" cm="1">
        <f t="array" ref="NS357">IFERROR(MAX((_xlfn.ANCHORARRAY(NN357)-AVERAGE(_xlfn.ANCHORARRAY(NN357)))/ AVERAGE(_xlfn.ANCHORARRAY(NN357))),0)</f>
        <v>0</v>
      </c>
      <c r="NT357" t="str" cm="1">
        <f t="array" ref="NT357">IF(AND(NS357&gt;$NT$1,NL357&lt;&gt;""),_xlfn.XLOOKUP(MAX(_xlfn.ANCHORARRAY(NN357)),_xlfn.ANCHORARRAY(NN357),NN$4:NR$4,""),"")</f>
        <v/>
      </c>
      <c r="NV357" cm="1">
        <f t="array" ref="NV357:OE357">SUMIFS($J357:$GG357,$J$2:$GG$2,NV$3:OE$3)</f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 cm="1">
        <f t="array" ref="OF357">IFERROR(MAX((_xlfn.ANCHORARRAY(NV357)-AVERAGE(_xlfn.ANCHORARRAY(NV357)))/ AVERAGE(_xlfn.ANCHORARRAY(NV357))),0)</f>
        <v>0</v>
      </c>
      <c r="OG357" t="str" cm="1">
        <f t="array" ref="OG357">IF(OF357&gt;$OG$1,_xlfn.XLOOKUP(MAX(_xlfn.ANCHORARRAY(NV357)),_xlfn.ANCHORARRAY(NV357),NV$4:OE$4,""),"")</f>
        <v/>
      </c>
      <c r="OI357" t="str">
        <f t="shared" si="123"/>
        <v/>
      </c>
    </row>
    <row r="358" spans="2:399" x14ac:dyDescent="0.3">
      <c r="B358" s="2" t="str">
        <f t="shared" si="115"/>
        <v>CORE</v>
      </c>
      <c r="C358" s="2" t="str">
        <f t="shared" si="116"/>
        <v>CORE</v>
      </c>
      <c r="D358" s="2" t="str">
        <f t="shared" si="117"/>
        <v>CORE</v>
      </c>
      <c r="E358" s="2" t="str">
        <f t="shared" si="118"/>
        <v/>
      </c>
      <c r="F358" s="2">
        <f t="shared" si="119"/>
        <v>0</v>
      </c>
      <c r="G358" s="2">
        <f t="shared" si="120"/>
        <v>0</v>
      </c>
      <c r="H358" s="2">
        <f t="shared" si="121"/>
        <v>0</v>
      </c>
      <c r="I358" s="2">
        <f t="shared" si="122"/>
        <v>0</v>
      </c>
      <c r="NH358" cm="1">
        <f t="array" ref="NH358:NJ358">SUMIFS($J358:$GG358,$J$1:$GG$1,NH$3:NJ$3)</f>
        <v>0</v>
      </c>
      <c r="NI358">
        <v>0</v>
      </c>
      <c r="NJ358">
        <v>0</v>
      </c>
      <c r="NK358" cm="1">
        <f t="array" ref="NK358">IFERROR(MAX((_xlfn.ANCHORARRAY(NH358)-AVERAGE(_xlfn.ANCHORARRAY(NH358)))/ AVERAGE(_xlfn.ANCHORARRAY(NH358))),0)</f>
        <v>0</v>
      </c>
      <c r="NL358" t="str" cm="1">
        <f t="array" ref="NL358">IF(NK358&gt;$NL$1,_xlfn.XLOOKUP(MAX(_xlfn.ANCHORARRAY(NH358)),_xlfn.ANCHORARRAY(NH358),NH$4:NJ$4,""),"")</f>
        <v/>
      </c>
      <c r="NN358" cm="1">
        <f t="array" ref="NN358:NR358">SUMIFS($J358:$GG358,$J$3:$GG$3,NN$3:NR$3)</f>
        <v>0</v>
      </c>
      <c r="NO358">
        <v>0</v>
      </c>
      <c r="NP358">
        <v>0</v>
      </c>
      <c r="NQ358">
        <v>0</v>
      </c>
      <c r="NR358">
        <v>0</v>
      </c>
      <c r="NS358" cm="1">
        <f t="array" ref="NS358">IFERROR(MAX((_xlfn.ANCHORARRAY(NN358)-AVERAGE(_xlfn.ANCHORARRAY(NN358)))/ AVERAGE(_xlfn.ANCHORARRAY(NN358))),0)</f>
        <v>0</v>
      </c>
      <c r="NT358" t="str" cm="1">
        <f t="array" ref="NT358">IF(AND(NS358&gt;$NT$1,NL358&lt;&gt;""),_xlfn.XLOOKUP(MAX(_xlfn.ANCHORARRAY(NN358)),_xlfn.ANCHORARRAY(NN358),NN$4:NR$4,""),"")</f>
        <v/>
      </c>
      <c r="NV358" cm="1">
        <f t="array" ref="NV358:OE358">SUMIFS($J358:$GG358,$J$2:$GG$2,NV$3:OE$3)</f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 cm="1">
        <f t="array" ref="OF358">IFERROR(MAX((_xlfn.ANCHORARRAY(NV358)-AVERAGE(_xlfn.ANCHORARRAY(NV358)))/ AVERAGE(_xlfn.ANCHORARRAY(NV358))),0)</f>
        <v>0</v>
      </c>
      <c r="OG358" t="str" cm="1">
        <f t="array" ref="OG358">IF(OF358&gt;$OG$1,_xlfn.XLOOKUP(MAX(_xlfn.ANCHORARRAY(NV358)),_xlfn.ANCHORARRAY(NV358),NV$4:OE$4,""),"")</f>
        <v/>
      </c>
      <c r="OI358" t="str">
        <f t="shared" si="123"/>
        <v/>
      </c>
    </row>
    <row r="359" spans="2:399" x14ac:dyDescent="0.3">
      <c r="B359" s="2" t="str">
        <f t="shared" si="115"/>
        <v>CORE</v>
      </c>
      <c r="C359" s="2" t="str">
        <f t="shared" si="116"/>
        <v>CORE</v>
      </c>
      <c r="D359" s="2" t="str">
        <f t="shared" si="117"/>
        <v>CORE</v>
      </c>
      <c r="E359" s="2" t="str">
        <f t="shared" si="118"/>
        <v/>
      </c>
      <c r="F359" s="2">
        <f t="shared" si="119"/>
        <v>0</v>
      </c>
      <c r="G359" s="2">
        <f t="shared" si="120"/>
        <v>0</v>
      </c>
      <c r="H359" s="2">
        <f t="shared" si="121"/>
        <v>0</v>
      </c>
      <c r="I359" s="2">
        <f t="shared" si="122"/>
        <v>0</v>
      </c>
      <c r="NH359" cm="1">
        <f t="array" ref="NH359:NJ359">SUMIFS($J359:$GG359,$J$1:$GG$1,NH$3:NJ$3)</f>
        <v>0</v>
      </c>
      <c r="NI359">
        <v>0</v>
      </c>
      <c r="NJ359">
        <v>0</v>
      </c>
      <c r="NK359" cm="1">
        <f t="array" ref="NK359">IFERROR(MAX((_xlfn.ANCHORARRAY(NH359)-AVERAGE(_xlfn.ANCHORARRAY(NH359)))/ AVERAGE(_xlfn.ANCHORARRAY(NH359))),0)</f>
        <v>0</v>
      </c>
      <c r="NL359" t="str" cm="1">
        <f t="array" ref="NL359">IF(NK359&gt;$NL$1,_xlfn.XLOOKUP(MAX(_xlfn.ANCHORARRAY(NH359)),_xlfn.ANCHORARRAY(NH359),NH$4:NJ$4,""),"")</f>
        <v/>
      </c>
      <c r="NN359" cm="1">
        <f t="array" ref="NN359:NR359">SUMIFS($J359:$GG359,$J$3:$GG$3,NN$3:NR$3)</f>
        <v>0</v>
      </c>
      <c r="NO359">
        <v>0</v>
      </c>
      <c r="NP359">
        <v>0</v>
      </c>
      <c r="NQ359">
        <v>0</v>
      </c>
      <c r="NR359">
        <v>0</v>
      </c>
      <c r="NS359" cm="1">
        <f t="array" ref="NS359">IFERROR(MAX((_xlfn.ANCHORARRAY(NN359)-AVERAGE(_xlfn.ANCHORARRAY(NN359)))/ AVERAGE(_xlfn.ANCHORARRAY(NN359))),0)</f>
        <v>0</v>
      </c>
      <c r="NT359" t="str" cm="1">
        <f t="array" ref="NT359">IF(AND(NS359&gt;$NT$1,NL359&lt;&gt;""),_xlfn.XLOOKUP(MAX(_xlfn.ANCHORARRAY(NN359)),_xlfn.ANCHORARRAY(NN359),NN$4:NR$4,""),"")</f>
        <v/>
      </c>
      <c r="NV359" cm="1">
        <f t="array" ref="NV359:OE359">SUMIFS($J359:$GG359,$J$2:$GG$2,NV$3:OE$3)</f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 cm="1">
        <f t="array" ref="OF359">IFERROR(MAX((_xlfn.ANCHORARRAY(NV359)-AVERAGE(_xlfn.ANCHORARRAY(NV359)))/ AVERAGE(_xlfn.ANCHORARRAY(NV359))),0)</f>
        <v>0</v>
      </c>
      <c r="OG359" t="str" cm="1">
        <f t="array" ref="OG359">IF(OF359&gt;$OG$1,_xlfn.XLOOKUP(MAX(_xlfn.ANCHORARRAY(NV359)),_xlfn.ANCHORARRAY(NV359),NV$4:OE$4,""),"")</f>
        <v/>
      </c>
      <c r="OI359" t="str">
        <f t="shared" si="123"/>
        <v/>
      </c>
    </row>
  </sheetData>
  <autoFilter ref="A4:A162" xr:uid="{DAAA66F4-1E0C-4024-9535-04526CB1B296}"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F848-ED71-4BC1-90A5-3C57E9EC2851}">
  <sheetPr>
    <tabColor rgb="FF00B0F0"/>
  </sheetPr>
  <dimension ref="A1:K354"/>
  <sheetViews>
    <sheetView workbookViewId="0">
      <selection activeCell="A3" sqref="A3"/>
    </sheetView>
  </sheetViews>
  <sheetFormatPr defaultRowHeight="14.4" x14ac:dyDescent="0.3"/>
  <cols>
    <col min="1" max="1" width="15.109375" bestFit="1" customWidth="1"/>
    <col min="2" max="2" width="21.109375" bestFit="1" customWidth="1"/>
    <col min="4" max="4" width="16.109375" bestFit="1" customWidth="1"/>
    <col min="5" max="5" width="13.33203125" bestFit="1" customWidth="1"/>
    <col min="6" max="6" width="9.33203125" bestFit="1" customWidth="1"/>
    <col min="7" max="7" width="12.6640625" bestFit="1" customWidth="1"/>
    <col min="8" max="8" width="13.33203125" bestFit="1" customWidth="1"/>
    <col min="9" max="9" width="7.109375" customWidth="1"/>
    <col min="10" max="10" width="9.88671875" bestFit="1" customWidth="1"/>
    <col min="11" max="11" width="18.5546875" bestFit="1" customWidth="1"/>
  </cols>
  <sheetData>
    <row r="1" spans="1:11" x14ac:dyDescent="0.3">
      <c r="A1" s="3" t="s">
        <v>44</v>
      </c>
      <c r="B1" s="3" t="s">
        <v>472</v>
      </c>
      <c r="D1" s="3" t="str" cm="1">
        <f t="array" ref="D1:E1">TRANSPOSE(_xlfn.UNIQUE(_xlfn._xlws.FILTER(ubox[FirstError - IP (name)],(ubox[FirstError - IP (name)]&lt;&gt;"CORE")*(ubox[FirstError - IP (name)]&lt;&gt;"CHA"))))</f>
        <v>PUNIT</v>
      </c>
      <c r="E1" s="3" t="str">
        <v>UPI</v>
      </c>
      <c r="F1" s="3"/>
      <c r="G1" s="3"/>
      <c r="H1" s="3"/>
      <c r="J1" t="s">
        <v>468</v>
      </c>
      <c r="K1" t="s">
        <v>471</v>
      </c>
    </row>
    <row r="2" spans="1:11" x14ac:dyDescent="0.3">
      <c r="A2" s="2" t="str" cm="1">
        <f t="array" ref="A2:A8">_xlfn.UNIQUE(summ[VisualIDs])</f>
        <v>74JU522300112</v>
      </c>
      <c r="B2" s="2" t="str">
        <f>_xlfn.TEXTJOIN(", ",1,D2:H2)</f>
        <v>PUNIT:EPRPUNIT0</v>
      </c>
      <c r="D2" s="2" t="str" cm="1">
        <f t="array" ref="D2">IFERROR(_xlfn.ARRAYTOTEXT(_xlfn.UNIQUE(_xlfn._xlws.FILTER(ubox[Failed Instance],(ubox[FirstError - IP (name)]=D$1)*(ubox[VisualID]=A2))),0),"")</f>
        <v>PUNIT:EPRPUNIT0</v>
      </c>
      <c r="E2" s="2" t="str" cm="1">
        <f t="array" ref="E2">IFERROR(_xlfn.ARRAYTOTEXT(_xlfn.UNIQUE(_xlfn._xlws.FILTER(ubox[Failed Instance],(ubox[FirstError - IP (name)]=E$1)*(ubox[VisualID]=A2))),0),"")</f>
        <v/>
      </c>
      <c r="F2" s="2" t="str" cm="1">
        <f t="array" ref="F2">IFERROR(_xlfn.ARRAYTOTEXT(_xlfn.UNIQUE(_xlfn._xlws.FILTER(ubox[Failed Instance],(ubox[FirstError - IP (name)]=F$1)*(ubox[VisualID]=A2))),0),"")</f>
        <v/>
      </c>
      <c r="G2" s="2" t="str" cm="1">
        <f t="array" ref="G2">IFERROR(_xlfn.ARRAYTOTEXT(_xlfn.UNIQUE(_xlfn._xlws.FILTER(ubox[Failed Instance],(ubox[FirstError - IP (name)]=G$1)*(ubox[VisualID]=A2))),0),"")</f>
        <v/>
      </c>
      <c r="H2" s="2" t="str" cm="1">
        <f t="array" ref="H2">IFERROR(_xlfn.ARRAYTOTEXT(_xlfn.UNIQUE(_xlfn._xlws.FILTER(ubox[Failed Instance],(ubox[FirstError - IP (name)]=H$1)*(ubox[VisualID]=A2))),0),"")</f>
        <v/>
      </c>
      <c r="J2" t="str" cm="1">
        <f t="array" ref="J2:J3">_xlfn.UNIQUE(_xlfn._xlws.FILTER(ubox[FirstError - IP (name)],(ubox[FirstError - IP (name)]&lt;&gt;"CORE")*(ubox[FirstError - IP (name)]&lt;&gt;"CHA")))</f>
        <v>PUNIT</v>
      </c>
      <c r="K2" t="str" cm="1">
        <f t="array" ref="K2:K3">_xlfn.XLOOKUP(_xlfn.ANCHORARRAY(J2),Map!K2:K9,Map!L2:L9)</f>
        <v>IERRLOGGINGREG</v>
      </c>
    </row>
    <row r="3" spans="1:11" x14ac:dyDescent="0.3">
      <c r="A3" s="2" t="str">
        <v>759Y5U8800863</v>
      </c>
      <c r="B3" s="2" t="str">
        <f t="shared" ref="B3:B66" si="0">_xlfn.TEXTJOIN(", ",1,D3:H3)</f>
        <v/>
      </c>
      <c r="D3" s="2" t="str" cm="1">
        <f t="array" ref="D3">IFERROR(_xlfn.ARRAYTOTEXT(_xlfn.UNIQUE(_xlfn._xlws.FILTER(ubox[Failed Instance],(ubox[FirstError - IP (name)]=D$1)*(ubox[VisualID]=A3))),0),"")</f>
        <v/>
      </c>
      <c r="E3" s="2" t="str" cm="1">
        <f t="array" ref="E3">IFERROR(_xlfn.ARRAYTOTEXT(_xlfn.UNIQUE(_xlfn._xlws.FILTER(ubox[Failed Instance],(ubox[FirstError - IP (name)]=E$1)*(ubox[VisualID]=A3))),0),"")</f>
        <v/>
      </c>
      <c r="F3" s="2" t="str" cm="1">
        <f t="array" ref="F3">IFERROR(_xlfn.ARRAYTOTEXT(_xlfn.UNIQUE(_xlfn._xlws.FILTER(ubox[Failed Instance],(ubox[FirstError - IP (name)]=F$1)*(ubox[VisualID]=A3))),0),"")</f>
        <v/>
      </c>
      <c r="G3" s="2" t="str" cm="1">
        <f t="array" ref="G3">IFERROR(_xlfn.ARRAYTOTEXT(_xlfn.UNIQUE(_xlfn._xlws.FILTER(ubox[Failed Instance],(ubox[FirstError - IP (name)]=G$1)*(ubox[VisualID]=A3))),0),"")</f>
        <v/>
      </c>
      <c r="H3" s="2" t="str" cm="1">
        <f t="array" ref="H3">IFERROR(_xlfn.ARRAYTOTEXT(_xlfn.UNIQUE(_xlfn._xlws.FILTER(ubox[Failed Instance],(ubox[FirstError - IP (name)]=H$1)*(ubox[VisualID]=A3))),0),"")</f>
        <v/>
      </c>
      <c r="J3" t="str">
        <v>UPI</v>
      </c>
      <c r="K3" t="e">
        <v>#N/A</v>
      </c>
    </row>
    <row r="4" spans="1:11" x14ac:dyDescent="0.3">
      <c r="A4" s="2" t="str">
        <v>74N24C5300241</v>
      </c>
      <c r="B4" s="2" t="str">
        <f t="shared" si="0"/>
        <v>UPI:pcie6</v>
      </c>
      <c r="D4" s="2" t="str" cm="1">
        <f t="array" ref="D4">IFERROR(_xlfn.ARRAYTOTEXT(_xlfn.UNIQUE(_xlfn._xlws.FILTER(ubox[Failed Instance],(ubox[FirstError - IP (name)]=D$1)*(ubox[VisualID]=A4))),0),"")</f>
        <v/>
      </c>
      <c r="E4" s="2" t="str" cm="1">
        <f t="array" ref="E4">IFERROR(_xlfn.ARRAYTOTEXT(_xlfn.UNIQUE(_xlfn._xlws.FILTER(ubox[Failed Instance],(ubox[FirstError - IP (name)]=E$1)*(ubox[VisualID]=A4))),0),"")</f>
        <v>UPI:pcie6</v>
      </c>
      <c r="F4" s="2" t="str" cm="1">
        <f t="array" ref="F4">IFERROR(_xlfn.ARRAYTOTEXT(_xlfn.UNIQUE(_xlfn._xlws.FILTER(ubox[Failed Instance],(ubox[FirstError - IP (name)]=F$1)*(ubox[VisualID]=A4))),0),"")</f>
        <v/>
      </c>
      <c r="G4" s="2" t="str" cm="1">
        <f t="array" ref="G4">IFERROR(_xlfn.ARRAYTOTEXT(_xlfn.UNIQUE(_xlfn._xlws.FILTER(ubox[Failed Instance],(ubox[FirstError - IP (name)]=G$1)*(ubox[VisualID]=A4))),0),"")</f>
        <v/>
      </c>
      <c r="H4" s="2" t="str" cm="1">
        <f t="array" ref="H4">IFERROR(_xlfn.ARRAYTOTEXT(_xlfn.UNIQUE(_xlfn._xlws.FILTER(ubox[Failed Instance],(ubox[FirstError - IP (name)]=H$1)*(ubox[VisualID]=A4))),0),"")</f>
        <v/>
      </c>
    </row>
    <row r="5" spans="1:11" x14ac:dyDescent="0.3">
      <c r="A5" s="2" t="str">
        <v>75W67Q6100508</v>
      </c>
      <c r="B5" s="2" t="str">
        <f t="shared" si="0"/>
        <v/>
      </c>
      <c r="D5" s="2" t="str" cm="1">
        <f t="array" ref="D5">IFERROR(_xlfn.ARRAYTOTEXT(_xlfn.UNIQUE(_xlfn._xlws.FILTER(ubox[Failed Instance],(ubox[FirstError - IP (name)]=D$1)*(ubox[VisualID]=A5))),0),"")</f>
        <v/>
      </c>
      <c r="E5" s="2" t="str" cm="1">
        <f t="array" ref="E5">IFERROR(_xlfn.ARRAYTOTEXT(_xlfn.UNIQUE(_xlfn._xlws.FILTER(ubox[Failed Instance],(ubox[FirstError - IP (name)]=E$1)*(ubox[VisualID]=A5))),0),"")</f>
        <v/>
      </c>
      <c r="F5" s="2" t="str" cm="1">
        <f t="array" ref="F5">IFERROR(_xlfn.ARRAYTOTEXT(_xlfn.UNIQUE(_xlfn._xlws.FILTER(ubox[Failed Instance],(ubox[FirstError - IP (name)]=F$1)*(ubox[VisualID]=A5))),0),"")</f>
        <v/>
      </c>
      <c r="G5" s="2" t="str" cm="1">
        <f t="array" ref="G5">IFERROR(_xlfn.ARRAYTOTEXT(_xlfn.UNIQUE(_xlfn._xlws.FILTER(ubox[Failed Instance],(ubox[FirstError - IP (name)]=G$1)*(ubox[VisualID]=A5))),0),"")</f>
        <v/>
      </c>
      <c r="H5" s="2" t="str" cm="1">
        <f t="array" ref="H5">IFERROR(_xlfn.ARRAYTOTEXT(_xlfn.UNIQUE(_xlfn._xlws.FILTER(ubox[Failed Instance],(ubox[FirstError - IP (name)]=H$1)*(ubox[VisualID]=A5))),0),"")</f>
        <v/>
      </c>
    </row>
    <row r="6" spans="1:11" x14ac:dyDescent="0.3">
      <c r="A6" s="2" t="str">
        <v>75DE357100108</v>
      </c>
      <c r="B6" s="2" t="str">
        <f t="shared" si="0"/>
        <v>UPI:pcie7, UPI:pcie4</v>
      </c>
      <c r="D6" s="2" t="str" cm="1">
        <f t="array" ref="D6">IFERROR(_xlfn.ARRAYTOTEXT(_xlfn.UNIQUE(_xlfn._xlws.FILTER(ubox[Failed Instance],(ubox[FirstError - IP (name)]=D$1)*(ubox[VisualID]=A6))),0),"")</f>
        <v/>
      </c>
      <c r="E6" s="2" t="str" cm="1">
        <f t="array" ref="E6">IFERROR(_xlfn.ARRAYTOTEXT(_xlfn.UNIQUE(_xlfn._xlws.FILTER(ubox[Failed Instance],(ubox[FirstError - IP (name)]=E$1)*(ubox[VisualID]=A6))),0),"")</f>
        <v>UPI:pcie7, UPI:pcie4</v>
      </c>
      <c r="F6" s="2" t="str" cm="1">
        <f t="array" ref="F6">IFERROR(_xlfn.ARRAYTOTEXT(_xlfn.UNIQUE(_xlfn._xlws.FILTER(ubox[Failed Instance],(ubox[FirstError - IP (name)]=F$1)*(ubox[VisualID]=A6))),0),"")</f>
        <v/>
      </c>
      <c r="G6" s="2" t="str" cm="1">
        <f t="array" ref="G6">IFERROR(_xlfn.ARRAYTOTEXT(_xlfn.UNIQUE(_xlfn._xlws.FILTER(ubox[Failed Instance],(ubox[FirstError - IP (name)]=G$1)*(ubox[VisualID]=A6))),0),"")</f>
        <v/>
      </c>
      <c r="H6" s="2" t="str" cm="1">
        <f t="array" ref="H6">IFERROR(_xlfn.ARRAYTOTEXT(_xlfn.UNIQUE(_xlfn._xlws.FILTER(ubox[Failed Instance],(ubox[FirstError - IP (name)]=H$1)*(ubox[VisualID]=A6))),0),"")</f>
        <v/>
      </c>
    </row>
    <row r="7" spans="1:11" x14ac:dyDescent="0.3">
      <c r="A7" s="2" t="str">
        <v>759B5H7700068</v>
      </c>
      <c r="B7" s="2" t="str">
        <f t="shared" si="0"/>
        <v>UPI:pcie6, UPI:pcie5</v>
      </c>
      <c r="D7" s="2" t="str" cm="1">
        <f t="array" ref="D7">IFERROR(_xlfn.ARRAYTOTEXT(_xlfn.UNIQUE(_xlfn._xlws.FILTER(ubox[Failed Instance],(ubox[FirstError - IP (name)]=D$1)*(ubox[VisualID]=A7))),0),"")</f>
        <v/>
      </c>
      <c r="E7" s="2" t="str" cm="1">
        <f t="array" ref="E7">IFERROR(_xlfn.ARRAYTOTEXT(_xlfn.UNIQUE(_xlfn._xlws.FILTER(ubox[Failed Instance],(ubox[FirstError - IP (name)]=E$1)*(ubox[VisualID]=A7))),0),"")</f>
        <v>UPI:pcie6, UPI:pcie5</v>
      </c>
      <c r="F7" s="2" t="str" cm="1">
        <f t="array" ref="F7">IFERROR(_xlfn.ARRAYTOTEXT(_xlfn.UNIQUE(_xlfn._xlws.FILTER(ubox[Failed Instance],(ubox[FirstError - IP (name)]=F$1)*(ubox[VisualID]=A7))),0),"")</f>
        <v/>
      </c>
      <c r="G7" s="2" t="str" cm="1">
        <f t="array" ref="G7">IFERROR(_xlfn.ARRAYTOTEXT(_xlfn.UNIQUE(_xlfn._xlws.FILTER(ubox[Failed Instance],(ubox[FirstError - IP (name)]=G$1)*(ubox[VisualID]=A7))),0),"")</f>
        <v/>
      </c>
      <c r="H7" s="2" t="str" cm="1">
        <f t="array" ref="H7">IFERROR(_xlfn.ARRAYTOTEXT(_xlfn.UNIQUE(_xlfn._xlws.FILTER(ubox[Failed Instance],(ubox[FirstError - IP (name)]=H$1)*(ubox[VisualID]=A7))),0),"")</f>
        <v/>
      </c>
    </row>
    <row r="8" spans="1:11" x14ac:dyDescent="0.3">
      <c r="A8" s="2" t="str">
        <v>74SC153000062</v>
      </c>
      <c r="B8" s="2" t="str">
        <f t="shared" si="0"/>
        <v/>
      </c>
      <c r="D8" s="2" t="str" cm="1">
        <f t="array" ref="D8">IFERROR(_xlfn.ARRAYTOTEXT(_xlfn.UNIQUE(_xlfn._xlws.FILTER(ubox[Failed Instance],(ubox[FirstError - IP (name)]=D$1)*(ubox[VisualID]=A8))),0),"")</f>
        <v/>
      </c>
      <c r="E8" s="2" t="str" cm="1">
        <f t="array" ref="E8">IFERROR(_xlfn.ARRAYTOTEXT(_xlfn.UNIQUE(_xlfn._xlws.FILTER(ubox[Failed Instance],(ubox[FirstError - IP (name)]=E$1)*(ubox[VisualID]=A8))),0),"")</f>
        <v/>
      </c>
      <c r="F8" s="2" t="str" cm="1">
        <f t="array" ref="F8">IFERROR(_xlfn.ARRAYTOTEXT(_xlfn.UNIQUE(_xlfn._xlws.FILTER(ubox[Failed Instance],(ubox[FirstError - IP (name)]=F$1)*(ubox[VisualID]=A8))),0),"")</f>
        <v/>
      </c>
      <c r="G8" s="2" t="str" cm="1">
        <f t="array" ref="G8">IFERROR(_xlfn.ARRAYTOTEXT(_xlfn.UNIQUE(_xlfn._xlws.FILTER(ubox[Failed Instance],(ubox[FirstError - IP (name)]=G$1)*(ubox[VisualID]=A8))),0),"")</f>
        <v/>
      </c>
      <c r="H8" s="2" t="str" cm="1">
        <f t="array" ref="H8">IFERROR(_xlfn.ARRAYTOTEXT(_xlfn.UNIQUE(_xlfn._xlws.FILTER(ubox[Failed Instance],(ubox[FirstError - IP (name)]=H$1)*(ubox[VisualID]=A8))),0),"")</f>
        <v/>
      </c>
    </row>
    <row r="9" spans="1:11" x14ac:dyDescent="0.3">
      <c r="A9" s="2"/>
      <c r="B9" s="2" t="str">
        <f t="shared" si="0"/>
        <v/>
      </c>
      <c r="D9" s="2" t="str" cm="1">
        <f t="array" ref="D9">IFERROR(_xlfn.ARRAYTOTEXT(_xlfn.UNIQUE(_xlfn._xlws.FILTER(ubox[Failed Instance],(ubox[FirstError - IP (name)]=D$1)*(ubox[VisualID]=A9))),0),"")</f>
        <v/>
      </c>
      <c r="E9" s="2" t="str" cm="1">
        <f t="array" ref="E9">IFERROR(_xlfn.ARRAYTOTEXT(_xlfn.UNIQUE(_xlfn._xlws.FILTER(ubox[Failed Instance],(ubox[FirstError - IP (name)]=E$1)*(ubox[VisualID]=A9))),0),"")</f>
        <v/>
      </c>
      <c r="F9" s="2" t="str" cm="1">
        <f t="array" ref="F9">IFERROR(_xlfn.ARRAYTOTEXT(_xlfn.UNIQUE(_xlfn._xlws.FILTER(ubox[Failed Instance],(ubox[FirstError - IP (name)]=F$1)*(ubox[VisualID]=A9))),0),"")</f>
        <v/>
      </c>
      <c r="G9" s="2" t="str" cm="1">
        <f t="array" ref="G9">IFERROR(_xlfn.ARRAYTOTEXT(_xlfn.UNIQUE(_xlfn._xlws.FILTER(ubox[Failed Instance],(ubox[FirstError - IP (name)]=G$1)*(ubox[VisualID]=A9))),0),"")</f>
        <v/>
      </c>
      <c r="H9" s="2" t="str" cm="1">
        <f t="array" ref="H9">IFERROR(_xlfn.ARRAYTOTEXT(_xlfn.UNIQUE(_xlfn._xlws.FILTER(ubox[Failed Instance],(ubox[FirstError - IP (name)]=H$1)*(ubox[VisualID]=A9))),0),"")</f>
        <v/>
      </c>
    </row>
    <row r="10" spans="1:11" x14ac:dyDescent="0.3">
      <c r="A10" s="2"/>
      <c r="B10" s="2" t="str">
        <f t="shared" si="0"/>
        <v/>
      </c>
      <c r="D10" s="2" t="str" cm="1">
        <f t="array" ref="D10">IFERROR(_xlfn.ARRAYTOTEXT(_xlfn.UNIQUE(_xlfn._xlws.FILTER(ubox[Failed Instance],(ubox[FirstError - IP (name)]=D$1)*(ubox[VisualID]=A10))),0),"")</f>
        <v/>
      </c>
      <c r="E10" s="2" t="str" cm="1">
        <f t="array" ref="E10">IFERROR(_xlfn.ARRAYTOTEXT(_xlfn.UNIQUE(_xlfn._xlws.FILTER(ubox[Failed Instance],(ubox[FirstError - IP (name)]=E$1)*(ubox[VisualID]=A10))),0),"")</f>
        <v/>
      </c>
      <c r="F10" s="2" t="str" cm="1">
        <f t="array" ref="F10">IFERROR(_xlfn.ARRAYTOTEXT(_xlfn.UNIQUE(_xlfn._xlws.FILTER(ubox[Failed Instance],(ubox[FirstError - IP (name)]=F$1)*(ubox[VisualID]=A10))),0),"")</f>
        <v/>
      </c>
      <c r="G10" s="2" t="str" cm="1">
        <f t="array" ref="G10">IFERROR(_xlfn.ARRAYTOTEXT(_xlfn.UNIQUE(_xlfn._xlws.FILTER(ubox[Failed Instance],(ubox[FirstError - IP (name)]=G$1)*(ubox[VisualID]=A10))),0),"")</f>
        <v/>
      </c>
      <c r="H10" s="2" t="str" cm="1">
        <f t="array" ref="H10">IFERROR(_xlfn.ARRAYTOTEXT(_xlfn.UNIQUE(_xlfn._xlws.FILTER(ubox[Failed Instance],(ubox[FirstError - IP (name)]=H$1)*(ubox[VisualID]=A10))),0),"")</f>
        <v/>
      </c>
    </row>
    <row r="11" spans="1:11" x14ac:dyDescent="0.3">
      <c r="A11" s="2"/>
      <c r="B11" s="2" t="str">
        <f t="shared" si="0"/>
        <v/>
      </c>
      <c r="D11" s="2" t="str" cm="1">
        <f t="array" ref="D11">IFERROR(_xlfn.ARRAYTOTEXT(_xlfn.UNIQUE(_xlfn._xlws.FILTER(ubox[Failed Instance],(ubox[FirstError - IP (name)]=D$1)*(ubox[VisualID]=A11))),0),"")</f>
        <v/>
      </c>
      <c r="E11" s="2" t="str" cm="1">
        <f t="array" ref="E11">IFERROR(_xlfn.ARRAYTOTEXT(_xlfn.UNIQUE(_xlfn._xlws.FILTER(ubox[Failed Instance],(ubox[FirstError - IP (name)]=E$1)*(ubox[VisualID]=A11))),0),"")</f>
        <v/>
      </c>
      <c r="F11" s="2" t="str" cm="1">
        <f t="array" ref="F11">IFERROR(_xlfn.ARRAYTOTEXT(_xlfn.UNIQUE(_xlfn._xlws.FILTER(ubox[Failed Instance],(ubox[FirstError - IP (name)]=F$1)*(ubox[VisualID]=A11))),0),"")</f>
        <v/>
      </c>
      <c r="G11" s="2" t="str" cm="1">
        <f t="array" ref="G11">IFERROR(_xlfn.ARRAYTOTEXT(_xlfn.UNIQUE(_xlfn._xlws.FILTER(ubox[Failed Instance],(ubox[FirstError - IP (name)]=G$1)*(ubox[VisualID]=A11))),0),"")</f>
        <v/>
      </c>
      <c r="H11" s="2" t="str" cm="1">
        <f t="array" ref="H11">IFERROR(_xlfn.ARRAYTOTEXT(_xlfn.UNIQUE(_xlfn._xlws.FILTER(ubox[Failed Instance],(ubox[FirstError - IP (name)]=H$1)*(ubox[VisualID]=A11))),0),"")</f>
        <v/>
      </c>
    </row>
    <row r="12" spans="1:11" x14ac:dyDescent="0.3">
      <c r="A12" s="2"/>
      <c r="B12" s="2" t="str">
        <f t="shared" si="0"/>
        <v/>
      </c>
      <c r="D12" s="2" t="str" cm="1">
        <f t="array" ref="D12">IFERROR(_xlfn.ARRAYTOTEXT(_xlfn.UNIQUE(_xlfn._xlws.FILTER(ubox[Failed Instance],(ubox[FirstError - IP (name)]=D$1)*(ubox[VisualID]=A12))),0),"")</f>
        <v/>
      </c>
      <c r="E12" s="2" t="str" cm="1">
        <f t="array" ref="E12">IFERROR(_xlfn.ARRAYTOTEXT(_xlfn.UNIQUE(_xlfn._xlws.FILTER(ubox[Failed Instance],(ubox[FirstError - IP (name)]=E$1)*(ubox[VisualID]=A12))),0),"")</f>
        <v/>
      </c>
      <c r="F12" s="2" t="str" cm="1">
        <f t="array" ref="F12">IFERROR(_xlfn.ARRAYTOTEXT(_xlfn.UNIQUE(_xlfn._xlws.FILTER(ubox[Failed Instance],(ubox[FirstError - IP (name)]=F$1)*(ubox[VisualID]=A12))),0),"")</f>
        <v/>
      </c>
      <c r="G12" s="2" t="str" cm="1">
        <f t="array" ref="G12">IFERROR(_xlfn.ARRAYTOTEXT(_xlfn.UNIQUE(_xlfn._xlws.FILTER(ubox[Failed Instance],(ubox[FirstError - IP (name)]=G$1)*(ubox[VisualID]=A12))),0),"")</f>
        <v/>
      </c>
      <c r="H12" s="2" t="str" cm="1">
        <f t="array" ref="H12">IFERROR(_xlfn.ARRAYTOTEXT(_xlfn.UNIQUE(_xlfn._xlws.FILTER(ubox[Failed Instance],(ubox[FirstError - IP (name)]=H$1)*(ubox[VisualID]=A12))),0),"")</f>
        <v/>
      </c>
    </row>
    <row r="13" spans="1:11" x14ac:dyDescent="0.3">
      <c r="A13" s="2"/>
      <c r="B13" s="2" t="str">
        <f t="shared" si="0"/>
        <v/>
      </c>
      <c r="D13" s="2" t="str" cm="1">
        <f t="array" ref="D13">IFERROR(_xlfn.ARRAYTOTEXT(_xlfn.UNIQUE(_xlfn._xlws.FILTER(ubox[Failed Instance],(ubox[FirstError - IP (name)]=D$1)*(ubox[VisualID]=A13))),0),"")</f>
        <v/>
      </c>
      <c r="E13" s="2" t="str" cm="1">
        <f t="array" ref="E13">IFERROR(_xlfn.ARRAYTOTEXT(_xlfn.UNIQUE(_xlfn._xlws.FILTER(ubox[Failed Instance],(ubox[FirstError - IP (name)]=E$1)*(ubox[VisualID]=A13))),0),"")</f>
        <v/>
      </c>
      <c r="F13" s="2" t="str" cm="1">
        <f t="array" ref="F13">IFERROR(_xlfn.ARRAYTOTEXT(_xlfn.UNIQUE(_xlfn._xlws.FILTER(ubox[Failed Instance],(ubox[FirstError - IP (name)]=F$1)*(ubox[VisualID]=A13))),0),"")</f>
        <v/>
      </c>
      <c r="G13" s="2" t="str" cm="1">
        <f t="array" ref="G13">IFERROR(_xlfn.ARRAYTOTEXT(_xlfn.UNIQUE(_xlfn._xlws.FILTER(ubox[Failed Instance],(ubox[FirstError - IP (name)]=G$1)*(ubox[VisualID]=A13))),0),"")</f>
        <v/>
      </c>
      <c r="H13" s="2" t="str" cm="1">
        <f t="array" ref="H13">IFERROR(_xlfn.ARRAYTOTEXT(_xlfn.UNIQUE(_xlfn._xlws.FILTER(ubox[Failed Instance],(ubox[FirstError - IP (name)]=H$1)*(ubox[VisualID]=A13))),0),"")</f>
        <v/>
      </c>
    </row>
    <row r="14" spans="1:11" x14ac:dyDescent="0.3">
      <c r="A14" s="2"/>
      <c r="B14" s="2" t="str">
        <f t="shared" si="0"/>
        <v/>
      </c>
      <c r="D14" s="2" t="str" cm="1">
        <f t="array" ref="D14">IFERROR(_xlfn.ARRAYTOTEXT(_xlfn.UNIQUE(_xlfn._xlws.FILTER(ubox[Failed Instance],(ubox[FirstError - IP (name)]=D$1)*(ubox[VisualID]=A14))),0),"")</f>
        <v/>
      </c>
      <c r="E14" s="2" t="str" cm="1">
        <f t="array" ref="E14">IFERROR(_xlfn.ARRAYTOTEXT(_xlfn.UNIQUE(_xlfn._xlws.FILTER(ubox[Failed Instance],(ubox[FirstError - IP (name)]=E$1)*(ubox[VisualID]=A14))),0),"")</f>
        <v/>
      </c>
      <c r="F14" s="2" t="str" cm="1">
        <f t="array" ref="F14">IFERROR(_xlfn.ARRAYTOTEXT(_xlfn.UNIQUE(_xlfn._xlws.FILTER(ubox[Failed Instance],(ubox[FirstError - IP (name)]=F$1)*(ubox[VisualID]=A14))),0),"")</f>
        <v/>
      </c>
      <c r="G14" s="2" t="str" cm="1">
        <f t="array" ref="G14">IFERROR(_xlfn.ARRAYTOTEXT(_xlfn.UNIQUE(_xlfn._xlws.FILTER(ubox[Failed Instance],(ubox[FirstError - IP (name)]=G$1)*(ubox[VisualID]=A14))),0),"")</f>
        <v/>
      </c>
      <c r="H14" s="2" t="str" cm="1">
        <f t="array" ref="H14">IFERROR(_xlfn.ARRAYTOTEXT(_xlfn.UNIQUE(_xlfn._xlws.FILTER(ubox[Failed Instance],(ubox[FirstError - IP (name)]=H$1)*(ubox[VisualID]=A14))),0),"")</f>
        <v/>
      </c>
    </row>
    <row r="15" spans="1:11" x14ac:dyDescent="0.3">
      <c r="A15" s="2"/>
      <c r="B15" s="2" t="str">
        <f t="shared" si="0"/>
        <v/>
      </c>
      <c r="D15" s="2" t="str" cm="1">
        <f t="array" ref="D15">IFERROR(_xlfn.ARRAYTOTEXT(_xlfn.UNIQUE(_xlfn._xlws.FILTER(ubox[Failed Instance],(ubox[FirstError - IP (name)]=D$1)*(ubox[VisualID]=A15))),0),"")</f>
        <v/>
      </c>
      <c r="E15" s="2" t="str" cm="1">
        <f t="array" ref="E15">IFERROR(_xlfn.ARRAYTOTEXT(_xlfn.UNIQUE(_xlfn._xlws.FILTER(ubox[Failed Instance],(ubox[FirstError - IP (name)]=E$1)*(ubox[VisualID]=A15))),0),"")</f>
        <v/>
      </c>
      <c r="F15" s="2" t="str" cm="1">
        <f t="array" ref="F15">IFERROR(_xlfn.ARRAYTOTEXT(_xlfn.UNIQUE(_xlfn._xlws.FILTER(ubox[Failed Instance],(ubox[FirstError - IP (name)]=F$1)*(ubox[VisualID]=A15))),0),"")</f>
        <v/>
      </c>
      <c r="G15" s="2" t="str" cm="1">
        <f t="array" ref="G15">IFERROR(_xlfn.ARRAYTOTEXT(_xlfn.UNIQUE(_xlfn._xlws.FILTER(ubox[Failed Instance],(ubox[FirstError - IP (name)]=G$1)*(ubox[VisualID]=A15))),0),"")</f>
        <v/>
      </c>
      <c r="H15" s="2" t="str" cm="1">
        <f t="array" ref="H15">IFERROR(_xlfn.ARRAYTOTEXT(_xlfn.UNIQUE(_xlfn._xlws.FILTER(ubox[Failed Instance],(ubox[FirstError - IP (name)]=H$1)*(ubox[VisualID]=A15))),0),"")</f>
        <v/>
      </c>
    </row>
    <row r="16" spans="1:11" x14ac:dyDescent="0.3">
      <c r="A16" s="2"/>
      <c r="B16" s="2" t="str">
        <f t="shared" si="0"/>
        <v/>
      </c>
      <c r="D16" s="2" t="str" cm="1">
        <f t="array" ref="D16">IFERROR(_xlfn.ARRAYTOTEXT(_xlfn.UNIQUE(_xlfn._xlws.FILTER(ubox[Failed Instance],(ubox[FirstError - IP (name)]=D$1)*(ubox[VisualID]=A16))),0),"")</f>
        <v/>
      </c>
      <c r="E16" s="2" t="str" cm="1">
        <f t="array" ref="E16">IFERROR(_xlfn.ARRAYTOTEXT(_xlfn.UNIQUE(_xlfn._xlws.FILTER(ubox[Failed Instance],(ubox[FirstError - IP (name)]=E$1)*(ubox[VisualID]=A16))),0),"")</f>
        <v/>
      </c>
      <c r="F16" s="2" t="str" cm="1">
        <f t="array" ref="F16">IFERROR(_xlfn.ARRAYTOTEXT(_xlfn.UNIQUE(_xlfn._xlws.FILTER(ubox[Failed Instance],(ubox[FirstError - IP (name)]=F$1)*(ubox[VisualID]=A16))),0),"")</f>
        <v/>
      </c>
      <c r="G16" s="2" t="str" cm="1">
        <f t="array" ref="G16">IFERROR(_xlfn.ARRAYTOTEXT(_xlfn.UNIQUE(_xlfn._xlws.FILTER(ubox[Failed Instance],(ubox[FirstError - IP (name)]=G$1)*(ubox[VisualID]=A16))),0),"")</f>
        <v/>
      </c>
      <c r="H16" s="2" t="str" cm="1">
        <f t="array" ref="H16">IFERROR(_xlfn.ARRAYTOTEXT(_xlfn.UNIQUE(_xlfn._xlws.FILTER(ubox[Failed Instance],(ubox[FirstError - IP (name)]=H$1)*(ubox[VisualID]=A16))),0),"")</f>
        <v/>
      </c>
    </row>
    <row r="17" spans="1:8" x14ac:dyDescent="0.3">
      <c r="A17" s="2"/>
      <c r="B17" s="2" t="str">
        <f t="shared" si="0"/>
        <v/>
      </c>
      <c r="D17" s="2" t="str" cm="1">
        <f t="array" ref="D17">IFERROR(_xlfn.ARRAYTOTEXT(_xlfn.UNIQUE(_xlfn._xlws.FILTER(ubox[Failed Instance],(ubox[FirstError - IP (name)]=D$1)*(ubox[VisualID]=A17))),0),"")</f>
        <v/>
      </c>
      <c r="E17" s="2" t="str" cm="1">
        <f t="array" ref="E17">IFERROR(_xlfn.ARRAYTOTEXT(_xlfn.UNIQUE(_xlfn._xlws.FILTER(ubox[Failed Instance],(ubox[FirstError - IP (name)]=E$1)*(ubox[VisualID]=A17))),0),"")</f>
        <v/>
      </c>
      <c r="F17" s="2" t="str" cm="1">
        <f t="array" ref="F17">IFERROR(_xlfn.ARRAYTOTEXT(_xlfn.UNIQUE(_xlfn._xlws.FILTER(ubox[Failed Instance],(ubox[FirstError - IP (name)]=F$1)*(ubox[VisualID]=A17))),0),"")</f>
        <v/>
      </c>
      <c r="G17" s="2" t="str" cm="1">
        <f t="array" ref="G17">IFERROR(_xlfn.ARRAYTOTEXT(_xlfn.UNIQUE(_xlfn._xlws.FILTER(ubox[Failed Instance],(ubox[FirstError - IP (name)]=G$1)*(ubox[VisualID]=A17))),0),"")</f>
        <v/>
      </c>
      <c r="H17" s="2" t="str" cm="1">
        <f t="array" ref="H17">IFERROR(_xlfn.ARRAYTOTEXT(_xlfn.UNIQUE(_xlfn._xlws.FILTER(ubox[Failed Instance],(ubox[FirstError - IP (name)]=H$1)*(ubox[VisualID]=A17))),0),"")</f>
        <v/>
      </c>
    </row>
    <row r="18" spans="1:8" x14ac:dyDescent="0.3">
      <c r="A18" s="2"/>
      <c r="B18" s="2" t="str">
        <f t="shared" si="0"/>
        <v/>
      </c>
      <c r="D18" s="2" t="str" cm="1">
        <f t="array" ref="D18">IFERROR(_xlfn.ARRAYTOTEXT(_xlfn.UNIQUE(_xlfn._xlws.FILTER(ubox[Failed Instance],(ubox[FirstError - IP (name)]=D$1)*(ubox[VisualID]=A18))),0),"")</f>
        <v/>
      </c>
      <c r="E18" s="2" t="str" cm="1">
        <f t="array" ref="E18">IFERROR(_xlfn.ARRAYTOTEXT(_xlfn.UNIQUE(_xlfn._xlws.FILTER(ubox[Failed Instance],(ubox[FirstError - IP (name)]=E$1)*(ubox[VisualID]=A18))),0),"")</f>
        <v/>
      </c>
      <c r="F18" s="2" t="str" cm="1">
        <f t="array" ref="F18">IFERROR(_xlfn.ARRAYTOTEXT(_xlfn.UNIQUE(_xlfn._xlws.FILTER(ubox[Failed Instance],(ubox[FirstError - IP (name)]=F$1)*(ubox[VisualID]=A18))),0),"")</f>
        <v/>
      </c>
      <c r="G18" s="2" t="str" cm="1">
        <f t="array" ref="G18">IFERROR(_xlfn.ARRAYTOTEXT(_xlfn.UNIQUE(_xlfn._xlws.FILTER(ubox[Failed Instance],(ubox[FirstError - IP (name)]=G$1)*(ubox[VisualID]=A18))),0),"")</f>
        <v/>
      </c>
      <c r="H18" s="2" t="str" cm="1">
        <f t="array" ref="H18">IFERROR(_xlfn.ARRAYTOTEXT(_xlfn.UNIQUE(_xlfn._xlws.FILTER(ubox[Failed Instance],(ubox[FirstError - IP (name)]=H$1)*(ubox[VisualID]=A18))),0),"")</f>
        <v/>
      </c>
    </row>
    <row r="19" spans="1:8" x14ac:dyDescent="0.3">
      <c r="A19" s="2"/>
      <c r="B19" s="2" t="str">
        <f t="shared" si="0"/>
        <v/>
      </c>
      <c r="D19" s="2" t="str" cm="1">
        <f t="array" ref="D19">IFERROR(_xlfn.ARRAYTOTEXT(_xlfn.UNIQUE(_xlfn._xlws.FILTER(ubox[Failed Instance],(ubox[FirstError - IP (name)]=D$1)*(ubox[VisualID]=A19))),0),"")</f>
        <v/>
      </c>
      <c r="E19" s="2" t="str" cm="1">
        <f t="array" ref="E19">IFERROR(_xlfn.ARRAYTOTEXT(_xlfn.UNIQUE(_xlfn._xlws.FILTER(ubox[Failed Instance],(ubox[FirstError - IP (name)]=E$1)*(ubox[VisualID]=A19))),0),"")</f>
        <v/>
      </c>
      <c r="F19" s="2" t="str" cm="1">
        <f t="array" ref="F19">IFERROR(_xlfn.ARRAYTOTEXT(_xlfn.UNIQUE(_xlfn._xlws.FILTER(ubox[Failed Instance],(ubox[FirstError - IP (name)]=F$1)*(ubox[VisualID]=A19))),0),"")</f>
        <v/>
      </c>
      <c r="G19" s="2" t="str" cm="1">
        <f t="array" ref="G19">IFERROR(_xlfn.ARRAYTOTEXT(_xlfn.UNIQUE(_xlfn._xlws.FILTER(ubox[Failed Instance],(ubox[FirstError - IP (name)]=G$1)*(ubox[VisualID]=A19))),0),"")</f>
        <v/>
      </c>
      <c r="H19" s="2" t="str" cm="1">
        <f t="array" ref="H19">IFERROR(_xlfn.ARRAYTOTEXT(_xlfn.UNIQUE(_xlfn._xlws.FILTER(ubox[Failed Instance],(ubox[FirstError - IP (name)]=H$1)*(ubox[VisualID]=A19))),0),"")</f>
        <v/>
      </c>
    </row>
    <row r="20" spans="1:8" x14ac:dyDescent="0.3">
      <c r="A20" s="2"/>
      <c r="B20" s="2" t="str">
        <f t="shared" si="0"/>
        <v/>
      </c>
      <c r="D20" s="2" t="str" cm="1">
        <f t="array" ref="D20">IFERROR(_xlfn.ARRAYTOTEXT(_xlfn.UNIQUE(_xlfn._xlws.FILTER(ubox[Failed Instance],(ubox[FirstError - IP (name)]=D$1)*(ubox[VisualID]=A20))),0),"")</f>
        <v/>
      </c>
      <c r="E20" s="2" t="str" cm="1">
        <f t="array" ref="E20">IFERROR(_xlfn.ARRAYTOTEXT(_xlfn.UNIQUE(_xlfn._xlws.FILTER(ubox[Failed Instance],(ubox[FirstError - IP (name)]=E$1)*(ubox[VisualID]=A20))),0),"")</f>
        <v/>
      </c>
      <c r="F20" s="2" t="str" cm="1">
        <f t="array" ref="F20">IFERROR(_xlfn.ARRAYTOTEXT(_xlfn.UNIQUE(_xlfn._xlws.FILTER(ubox[Failed Instance],(ubox[FirstError - IP (name)]=F$1)*(ubox[VisualID]=A20))),0),"")</f>
        <v/>
      </c>
      <c r="G20" s="2" t="str" cm="1">
        <f t="array" ref="G20">IFERROR(_xlfn.ARRAYTOTEXT(_xlfn.UNIQUE(_xlfn._xlws.FILTER(ubox[Failed Instance],(ubox[FirstError - IP (name)]=G$1)*(ubox[VisualID]=A20))),0),"")</f>
        <v/>
      </c>
      <c r="H20" s="2" t="str" cm="1">
        <f t="array" ref="H20">IFERROR(_xlfn.ARRAYTOTEXT(_xlfn.UNIQUE(_xlfn._xlws.FILTER(ubox[Failed Instance],(ubox[FirstError - IP (name)]=H$1)*(ubox[VisualID]=A20))),0),"")</f>
        <v/>
      </c>
    </row>
    <row r="21" spans="1:8" x14ac:dyDescent="0.3">
      <c r="A21" s="2"/>
      <c r="B21" s="2" t="str">
        <f t="shared" si="0"/>
        <v/>
      </c>
      <c r="D21" s="2" t="str" cm="1">
        <f t="array" ref="D21">IFERROR(_xlfn.ARRAYTOTEXT(_xlfn.UNIQUE(_xlfn._xlws.FILTER(ubox[Failed Instance],(ubox[FirstError - IP (name)]=D$1)*(ubox[VisualID]=A21))),0),"")</f>
        <v/>
      </c>
      <c r="E21" s="2" t="str" cm="1">
        <f t="array" ref="E21">IFERROR(_xlfn.ARRAYTOTEXT(_xlfn.UNIQUE(_xlfn._xlws.FILTER(ubox[Failed Instance],(ubox[FirstError - IP (name)]=E$1)*(ubox[VisualID]=A21))),0),"")</f>
        <v/>
      </c>
      <c r="F21" s="2" t="str" cm="1">
        <f t="array" ref="F21">IFERROR(_xlfn.ARRAYTOTEXT(_xlfn.UNIQUE(_xlfn._xlws.FILTER(ubox[Failed Instance],(ubox[FirstError - IP (name)]=F$1)*(ubox[VisualID]=A21))),0),"")</f>
        <v/>
      </c>
      <c r="G21" s="2" t="str" cm="1">
        <f t="array" ref="G21">IFERROR(_xlfn.ARRAYTOTEXT(_xlfn.UNIQUE(_xlfn._xlws.FILTER(ubox[Failed Instance],(ubox[FirstError - IP (name)]=G$1)*(ubox[VisualID]=A21))),0),"")</f>
        <v/>
      </c>
      <c r="H21" s="2" t="str" cm="1">
        <f t="array" ref="H21">IFERROR(_xlfn.ARRAYTOTEXT(_xlfn.UNIQUE(_xlfn._xlws.FILTER(ubox[Failed Instance],(ubox[FirstError - IP (name)]=H$1)*(ubox[VisualID]=A21))),0),"")</f>
        <v/>
      </c>
    </row>
    <row r="22" spans="1:8" x14ac:dyDescent="0.3">
      <c r="A22" s="2"/>
      <c r="B22" s="2" t="str">
        <f t="shared" si="0"/>
        <v/>
      </c>
      <c r="D22" s="2" t="str" cm="1">
        <f t="array" ref="D22">IFERROR(_xlfn.ARRAYTOTEXT(_xlfn.UNIQUE(_xlfn._xlws.FILTER(ubox[Failed Instance],(ubox[FirstError - IP (name)]=D$1)*(ubox[VisualID]=A22))),0),"")</f>
        <v/>
      </c>
      <c r="E22" s="2" t="str" cm="1">
        <f t="array" ref="E22">IFERROR(_xlfn.ARRAYTOTEXT(_xlfn.UNIQUE(_xlfn._xlws.FILTER(ubox[Failed Instance],(ubox[FirstError - IP (name)]=E$1)*(ubox[VisualID]=A22))),0),"")</f>
        <v/>
      </c>
      <c r="F22" s="2" t="str" cm="1">
        <f t="array" ref="F22">IFERROR(_xlfn.ARRAYTOTEXT(_xlfn.UNIQUE(_xlfn._xlws.FILTER(ubox[Failed Instance],(ubox[FirstError - IP (name)]=F$1)*(ubox[VisualID]=A22))),0),"")</f>
        <v/>
      </c>
      <c r="G22" s="2" t="str" cm="1">
        <f t="array" ref="G22">IFERROR(_xlfn.ARRAYTOTEXT(_xlfn.UNIQUE(_xlfn._xlws.FILTER(ubox[Failed Instance],(ubox[FirstError - IP (name)]=G$1)*(ubox[VisualID]=A22))),0),"")</f>
        <v/>
      </c>
      <c r="H22" s="2" t="str" cm="1">
        <f t="array" ref="H22">IFERROR(_xlfn.ARRAYTOTEXT(_xlfn.UNIQUE(_xlfn._xlws.FILTER(ubox[Failed Instance],(ubox[FirstError - IP (name)]=H$1)*(ubox[VisualID]=A22))),0),"")</f>
        <v/>
      </c>
    </row>
    <row r="23" spans="1:8" x14ac:dyDescent="0.3">
      <c r="A23" s="2"/>
      <c r="B23" s="2" t="str">
        <f t="shared" si="0"/>
        <v/>
      </c>
      <c r="D23" s="2" t="str" cm="1">
        <f t="array" ref="D23">IFERROR(_xlfn.ARRAYTOTEXT(_xlfn.UNIQUE(_xlfn._xlws.FILTER(ubox[Failed Instance],(ubox[FirstError - IP (name)]=D$1)*(ubox[VisualID]=A23))),0),"")</f>
        <v/>
      </c>
      <c r="E23" s="2" t="str" cm="1">
        <f t="array" ref="E23">IFERROR(_xlfn.ARRAYTOTEXT(_xlfn.UNIQUE(_xlfn._xlws.FILTER(ubox[Failed Instance],(ubox[FirstError - IP (name)]=E$1)*(ubox[VisualID]=A23))),0),"")</f>
        <v/>
      </c>
      <c r="F23" s="2" t="str" cm="1">
        <f t="array" ref="F23">IFERROR(_xlfn.ARRAYTOTEXT(_xlfn.UNIQUE(_xlfn._xlws.FILTER(ubox[Failed Instance],(ubox[FirstError - IP (name)]=F$1)*(ubox[VisualID]=A23))),0),"")</f>
        <v/>
      </c>
      <c r="G23" s="2" t="str" cm="1">
        <f t="array" ref="G23">IFERROR(_xlfn.ARRAYTOTEXT(_xlfn.UNIQUE(_xlfn._xlws.FILTER(ubox[Failed Instance],(ubox[FirstError - IP (name)]=G$1)*(ubox[VisualID]=A23))),0),"")</f>
        <v/>
      </c>
      <c r="H23" s="2" t="str" cm="1">
        <f t="array" ref="H23">IFERROR(_xlfn.ARRAYTOTEXT(_xlfn.UNIQUE(_xlfn._xlws.FILTER(ubox[Failed Instance],(ubox[FirstError - IP (name)]=H$1)*(ubox[VisualID]=A23))),0),"")</f>
        <v/>
      </c>
    </row>
    <row r="24" spans="1:8" x14ac:dyDescent="0.3">
      <c r="A24" s="2"/>
      <c r="B24" s="2" t="str">
        <f t="shared" si="0"/>
        <v/>
      </c>
      <c r="D24" s="2" t="str" cm="1">
        <f t="array" ref="D24">IFERROR(_xlfn.ARRAYTOTEXT(_xlfn.UNIQUE(_xlfn._xlws.FILTER(ubox[Failed Instance],(ubox[FirstError - IP (name)]=D$1)*(ubox[VisualID]=A24))),0),"")</f>
        <v/>
      </c>
      <c r="E24" s="2" t="str" cm="1">
        <f t="array" ref="E24">IFERROR(_xlfn.ARRAYTOTEXT(_xlfn.UNIQUE(_xlfn._xlws.FILTER(ubox[Failed Instance],(ubox[FirstError - IP (name)]=E$1)*(ubox[VisualID]=A24))),0),"")</f>
        <v/>
      </c>
      <c r="F24" s="2" t="str" cm="1">
        <f t="array" ref="F24">IFERROR(_xlfn.ARRAYTOTEXT(_xlfn.UNIQUE(_xlfn._xlws.FILTER(ubox[Failed Instance],(ubox[FirstError - IP (name)]=F$1)*(ubox[VisualID]=A24))),0),"")</f>
        <v/>
      </c>
      <c r="G24" s="2" t="str" cm="1">
        <f t="array" ref="G24">IFERROR(_xlfn.ARRAYTOTEXT(_xlfn.UNIQUE(_xlfn._xlws.FILTER(ubox[Failed Instance],(ubox[FirstError - IP (name)]=G$1)*(ubox[VisualID]=A24))),0),"")</f>
        <v/>
      </c>
      <c r="H24" s="2" t="str" cm="1">
        <f t="array" ref="H24">IFERROR(_xlfn.ARRAYTOTEXT(_xlfn.UNIQUE(_xlfn._xlws.FILTER(ubox[Failed Instance],(ubox[FirstError - IP (name)]=H$1)*(ubox[VisualID]=A24))),0),"")</f>
        <v/>
      </c>
    </row>
    <row r="25" spans="1:8" x14ac:dyDescent="0.3">
      <c r="A25" s="2"/>
      <c r="B25" s="2" t="str">
        <f t="shared" si="0"/>
        <v/>
      </c>
      <c r="D25" s="2" t="str" cm="1">
        <f t="array" ref="D25">IFERROR(_xlfn.ARRAYTOTEXT(_xlfn.UNIQUE(_xlfn._xlws.FILTER(ubox[Failed Instance],(ubox[FirstError - IP (name)]=D$1)*(ubox[VisualID]=A25))),0),"")</f>
        <v/>
      </c>
      <c r="E25" s="2" t="str" cm="1">
        <f t="array" ref="E25">IFERROR(_xlfn.ARRAYTOTEXT(_xlfn.UNIQUE(_xlfn._xlws.FILTER(ubox[Failed Instance],(ubox[FirstError - IP (name)]=E$1)*(ubox[VisualID]=A25))),0),"")</f>
        <v/>
      </c>
      <c r="F25" s="2" t="str" cm="1">
        <f t="array" ref="F25">IFERROR(_xlfn.ARRAYTOTEXT(_xlfn.UNIQUE(_xlfn._xlws.FILTER(ubox[Failed Instance],(ubox[FirstError - IP (name)]=F$1)*(ubox[VisualID]=A25))),0),"")</f>
        <v/>
      </c>
      <c r="G25" s="2" t="str" cm="1">
        <f t="array" ref="G25">IFERROR(_xlfn.ARRAYTOTEXT(_xlfn.UNIQUE(_xlfn._xlws.FILTER(ubox[Failed Instance],(ubox[FirstError - IP (name)]=G$1)*(ubox[VisualID]=A25))),0),"")</f>
        <v/>
      </c>
      <c r="H25" s="2" t="str" cm="1">
        <f t="array" ref="H25">IFERROR(_xlfn.ARRAYTOTEXT(_xlfn.UNIQUE(_xlfn._xlws.FILTER(ubox[Failed Instance],(ubox[FirstError - IP (name)]=H$1)*(ubox[VisualID]=A25))),0),"")</f>
        <v/>
      </c>
    </row>
    <row r="26" spans="1:8" x14ac:dyDescent="0.3">
      <c r="A26" s="2"/>
      <c r="B26" s="2" t="str">
        <f t="shared" si="0"/>
        <v/>
      </c>
      <c r="D26" s="2" t="str" cm="1">
        <f t="array" ref="D26">IFERROR(_xlfn.ARRAYTOTEXT(_xlfn.UNIQUE(_xlfn._xlws.FILTER(ubox[Failed Instance],(ubox[FirstError - IP (name)]=D$1)*(ubox[VisualID]=A26))),0),"")</f>
        <v/>
      </c>
      <c r="E26" s="2" t="str" cm="1">
        <f t="array" ref="E26">IFERROR(_xlfn.ARRAYTOTEXT(_xlfn.UNIQUE(_xlfn._xlws.FILTER(ubox[Failed Instance],(ubox[FirstError - IP (name)]=E$1)*(ubox[VisualID]=A26))),0),"")</f>
        <v/>
      </c>
      <c r="F26" s="2" t="str" cm="1">
        <f t="array" ref="F26">IFERROR(_xlfn.ARRAYTOTEXT(_xlfn.UNIQUE(_xlfn._xlws.FILTER(ubox[Failed Instance],(ubox[FirstError - IP (name)]=F$1)*(ubox[VisualID]=A26))),0),"")</f>
        <v/>
      </c>
      <c r="G26" s="2" t="str" cm="1">
        <f t="array" ref="G26">IFERROR(_xlfn.ARRAYTOTEXT(_xlfn.UNIQUE(_xlfn._xlws.FILTER(ubox[Failed Instance],(ubox[FirstError - IP (name)]=G$1)*(ubox[VisualID]=A26))),0),"")</f>
        <v/>
      </c>
      <c r="H26" s="2" t="str" cm="1">
        <f t="array" ref="H26">IFERROR(_xlfn.ARRAYTOTEXT(_xlfn.UNIQUE(_xlfn._xlws.FILTER(ubox[Failed Instance],(ubox[FirstError - IP (name)]=H$1)*(ubox[VisualID]=A26))),0),"")</f>
        <v/>
      </c>
    </row>
    <row r="27" spans="1:8" x14ac:dyDescent="0.3">
      <c r="A27" s="2"/>
      <c r="B27" s="2" t="str">
        <f t="shared" si="0"/>
        <v/>
      </c>
      <c r="D27" s="2" t="str" cm="1">
        <f t="array" ref="D27">IFERROR(_xlfn.ARRAYTOTEXT(_xlfn.UNIQUE(_xlfn._xlws.FILTER(ubox[Failed Instance],(ubox[FirstError - IP (name)]=D$1)*(ubox[VisualID]=A27))),0),"")</f>
        <v/>
      </c>
      <c r="E27" s="2" t="str" cm="1">
        <f t="array" ref="E27">IFERROR(_xlfn.ARRAYTOTEXT(_xlfn.UNIQUE(_xlfn._xlws.FILTER(ubox[Failed Instance],(ubox[FirstError - IP (name)]=E$1)*(ubox[VisualID]=A27))),0),"")</f>
        <v/>
      </c>
      <c r="F27" s="2" t="str" cm="1">
        <f t="array" ref="F27">IFERROR(_xlfn.ARRAYTOTEXT(_xlfn.UNIQUE(_xlfn._xlws.FILTER(ubox[Failed Instance],(ubox[FirstError - IP (name)]=F$1)*(ubox[VisualID]=A27))),0),"")</f>
        <v/>
      </c>
      <c r="G27" s="2" t="str" cm="1">
        <f t="array" ref="G27">IFERROR(_xlfn.ARRAYTOTEXT(_xlfn.UNIQUE(_xlfn._xlws.FILTER(ubox[Failed Instance],(ubox[FirstError - IP (name)]=G$1)*(ubox[VisualID]=A27))),0),"")</f>
        <v/>
      </c>
      <c r="H27" s="2" t="str" cm="1">
        <f t="array" ref="H27">IFERROR(_xlfn.ARRAYTOTEXT(_xlfn.UNIQUE(_xlfn._xlws.FILTER(ubox[Failed Instance],(ubox[FirstError - IP (name)]=H$1)*(ubox[VisualID]=A27))),0),"")</f>
        <v/>
      </c>
    </row>
    <row r="28" spans="1:8" x14ac:dyDescent="0.3">
      <c r="A28" s="2"/>
      <c r="B28" s="2" t="str">
        <f t="shared" si="0"/>
        <v/>
      </c>
      <c r="D28" s="2" t="str" cm="1">
        <f t="array" ref="D28">IFERROR(_xlfn.ARRAYTOTEXT(_xlfn.UNIQUE(_xlfn._xlws.FILTER(ubox[Failed Instance],(ubox[FirstError - IP (name)]=D$1)*(ubox[VisualID]=A28))),0),"")</f>
        <v/>
      </c>
      <c r="E28" s="2" t="str" cm="1">
        <f t="array" ref="E28">IFERROR(_xlfn.ARRAYTOTEXT(_xlfn.UNIQUE(_xlfn._xlws.FILTER(ubox[Failed Instance],(ubox[FirstError - IP (name)]=E$1)*(ubox[VisualID]=A28))),0),"")</f>
        <v/>
      </c>
      <c r="F28" s="2" t="str" cm="1">
        <f t="array" ref="F28">IFERROR(_xlfn.ARRAYTOTEXT(_xlfn.UNIQUE(_xlfn._xlws.FILTER(ubox[Failed Instance],(ubox[FirstError - IP (name)]=F$1)*(ubox[VisualID]=A28))),0),"")</f>
        <v/>
      </c>
      <c r="G28" s="2" t="str" cm="1">
        <f t="array" ref="G28">IFERROR(_xlfn.ARRAYTOTEXT(_xlfn.UNIQUE(_xlfn._xlws.FILTER(ubox[Failed Instance],(ubox[FirstError - IP (name)]=G$1)*(ubox[VisualID]=A28))),0),"")</f>
        <v/>
      </c>
      <c r="H28" s="2" t="str" cm="1">
        <f t="array" ref="H28">IFERROR(_xlfn.ARRAYTOTEXT(_xlfn.UNIQUE(_xlfn._xlws.FILTER(ubox[Failed Instance],(ubox[FirstError - IP (name)]=H$1)*(ubox[VisualID]=A28))),0),"")</f>
        <v/>
      </c>
    </row>
    <row r="29" spans="1:8" x14ac:dyDescent="0.3">
      <c r="A29" s="2"/>
      <c r="B29" s="2" t="str">
        <f t="shared" si="0"/>
        <v/>
      </c>
      <c r="D29" s="2" t="str" cm="1">
        <f t="array" ref="D29">IFERROR(_xlfn.ARRAYTOTEXT(_xlfn.UNIQUE(_xlfn._xlws.FILTER(ubox[Failed Instance],(ubox[FirstError - IP (name)]=D$1)*(ubox[VisualID]=A29))),0),"")</f>
        <v/>
      </c>
      <c r="E29" s="2" t="str" cm="1">
        <f t="array" ref="E29">IFERROR(_xlfn.ARRAYTOTEXT(_xlfn.UNIQUE(_xlfn._xlws.FILTER(ubox[Failed Instance],(ubox[FirstError - IP (name)]=E$1)*(ubox[VisualID]=A29))),0),"")</f>
        <v/>
      </c>
      <c r="F29" s="2" t="str" cm="1">
        <f t="array" ref="F29">IFERROR(_xlfn.ARRAYTOTEXT(_xlfn.UNIQUE(_xlfn._xlws.FILTER(ubox[Failed Instance],(ubox[FirstError - IP (name)]=F$1)*(ubox[VisualID]=A29))),0),"")</f>
        <v/>
      </c>
      <c r="G29" s="2" t="str" cm="1">
        <f t="array" ref="G29">IFERROR(_xlfn.ARRAYTOTEXT(_xlfn.UNIQUE(_xlfn._xlws.FILTER(ubox[Failed Instance],(ubox[FirstError - IP (name)]=G$1)*(ubox[VisualID]=A29))),0),"")</f>
        <v/>
      </c>
      <c r="H29" s="2" t="str" cm="1">
        <f t="array" ref="H29">IFERROR(_xlfn.ARRAYTOTEXT(_xlfn.UNIQUE(_xlfn._xlws.FILTER(ubox[Failed Instance],(ubox[FirstError - IP (name)]=H$1)*(ubox[VisualID]=A29))),0),"")</f>
        <v/>
      </c>
    </row>
    <row r="30" spans="1:8" x14ac:dyDescent="0.3">
      <c r="A30" s="2"/>
      <c r="B30" s="2" t="str">
        <f t="shared" si="0"/>
        <v/>
      </c>
      <c r="D30" s="2" t="str" cm="1">
        <f t="array" ref="D30">IFERROR(_xlfn.ARRAYTOTEXT(_xlfn.UNIQUE(_xlfn._xlws.FILTER(ubox[Failed Instance],(ubox[FirstError - IP (name)]=D$1)*(ubox[VisualID]=A30))),0),"")</f>
        <v/>
      </c>
      <c r="E30" s="2" t="str" cm="1">
        <f t="array" ref="E30">IFERROR(_xlfn.ARRAYTOTEXT(_xlfn.UNIQUE(_xlfn._xlws.FILTER(ubox[Failed Instance],(ubox[FirstError - IP (name)]=E$1)*(ubox[VisualID]=A30))),0),"")</f>
        <v/>
      </c>
      <c r="F30" s="2" t="str" cm="1">
        <f t="array" ref="F30">IFERROR(_xlfn.ARRAYTOTEXT(_xlfn.UNIQUE(_xlfn._xlws.FILTER(ubox[Failed Instance],(ubox[FirstError - IP (name)]=F$1)*(ubox[VisualID]=A30))),0),"")</f>
        <v/>
      </c>
      <c r="G30" s="2" t="str" cm="1">
        <f t="array" ref="G30">IFERROR(_xlfn.ARRAYTOTEXT(_xlfn.UNIQUE(_xlfn._xlws.FILTER(ubox[Failed Instance],(ubox[FirstError - IP (name)]=G$1)*(ubox[VisualID]=A30))),0),"")</f>
        <v/>
      </c>
      <c r="H30" s="2" t="str" cm="1">
        <f t="array" ref="H30">IFERROR(_xlfn.ARRAYTOTEXT(_xlfn.UNIQUE(_xlfn._xlws.FILTER(ubox[Failed Instance],(ubox[FirstError - IP (name)]=H$1)*(ubox[VisualID]=A30))),0),"")</f>
        <v/>
      </c>
    </row>
    <row r="31" spans="1:8" x14ac:dyDescent="0.3">
      <c r="A31" s="2"/>
      <c r="B31" s="2" t="str">
        <f t="shared" si="0"/>
        <v/>
      </c>
      <c r="D31" s="2" t="str" cm="1">
        <f t="array" ref="D31">IFERROR(_xlfn.ARRAYTOTEXT(_xlfn.UNIQUE(_xlfn._xlws.FILTER(ubox[Failed Instance],(ubox[FirstError - IP (name)]=D$1)*(ubox[VisualID]=A31))),0),"")</f>
        <v/>
      </c>
      <c r="E31" s="2" t="str" cm="1">
        <f t="array" ref="E31">IFERROR(_xlfn.ARRAYTOTEXT(_xlfn.UNIQUE(_xlfn._xlws.FILTER(ubox[Failed Instance],(ubox[FirstError - IP (name)]=E$1)*(ubox[VisualID]=A31))),0),"")</f>
        <v/>
      </c>
      <c r="F31" s="2" t="str" cm="1">
        <f t="array" ref="F31">IFERROR(_xlfn.ARRAYTOTEXT(_xlfn.UNIQUE(_xlfn._xlws.FILTER(ubox[Failed Instance],(ubox[FirstError - IP (name)]=F$1)*(ubox[VisualID]=A31))),0),"")</f>
        <v/>
      </c>
      <c r="G31" s="2" t="str" cm="1">
        <f t="array" ref="G31">IFERROR(_xlfn.ARRAYTOTEXT(_xlfn.UNIQUE(_xlfn._xlws.FILTER(ubox[Failed Instance],(ubox[FirstError - IP (name)]=G$1)*(ubox[VisualID]=A31))),0),"")</f>
        <v/>
      </c>
      <c r="H31" s="2" t="str" cm="1">
        <f t="array" ref="H31">IFERROR(_xlfn.ARRAYTOTEXT(_xlfn.UNIQUE(_xlfn._xlws.FILTER(ubox[Failed Instance],(ubox[FirstError - IP (name)]=H$1)*(ubox[VisualID]=A31))),0),"")</f>
        <v/>
      </c>
    </row>
    <row r="32" spans="1:8" x14ac:dyDescent="0.3">
      <c r="A32" s="2"/>
      <c r="B32" s="2" t="str">
        <f t="shared" si="0"/>
        <v/>
      </c>
      <c r="D32" s="2" t="str" cm="1">
        <f t="array" ref="D32">IFERROR(_xlfn.ARRAYTOTEXT(_xlfn.UNIQUE(_xlfn._xlws.FILTER(ubox[Failed Instance],(ubox[FirstError - IP (name)]=D$1)*(ubox[VisualID]=A32))),0),"")</f>
        <v/>
      </c>
      <c r="E32" s="2" t="str" cm="1">
        <f t="array" ref="E32">IFERROR(_xlfn.ARRAYTOTEXT(_xlfn.UNIQUE(_xlfn._xlws.FILTER(ubox[Failed Instance],(ubox[FirstError - IP (name)]=E$1)*(ubox[VisualID]=A32))),0),"")</f>
        <v/>
      </c>
      <c r="F32" s="2" t="str" cm="1">
        <f t="array" ref="F32">IFERROR(_xlfn.ARRAYTOTEXT(_xlfn.UNIQUE(_xlfn._xlws.FILTER(ubox[Failed Instance],(ubox[FirstError - IP (name)]=F$1)*(ubox[VisualID]=A32))),0),"")</f>
        <v/>
      </c>
      <c r="G32" s="2" t="str" cm="1">
        <f t="array" ref="G32">IFERROR(_xlfn.ARRAYTOTEXT(_xlfn.UNIQUE(_xlfn._xlws.FILTER(ubox[Failed Instance],(ubox[FirstError - IP (name)]=G$1)*(ubox[VisualID]=A32))),0),"")</f>
        <v/>
      </c>
      <c r="H32" s="2" t="str" cm="1">
        <f t="array" ref="H32">IFERROR(_xlfn.ARRAYTOTEXT(_xlfn.UNIQUE(_xlfn._xlws.FILTER(ubox[Failed Instance],(ubox[FirstError - IP (name)]=H$1)*(ubox[VisualID]=A32))),0),"")</f>
        <v/>
      </c>
    </row>
    <row r="33" spans="1:8" x14ac:dyDescent="0.3">
      <c r="A33" s="2"/>
      <c r="B33" s="2" t="str">
        <f t="shared" si="0"/>
        <v/>
      </c>
      <c r="D33" s="2" t="str" cm="1">
        <f t="array" ref="D33">IFERROR(_xlfn.ARRAYTOTEXT(_xlfn.UNIQUE(_xlfn._xlws.FILTER(ubox[Failed Instance],(ubox[FirstError - IP (name)]=D$1)*(ubox[VisualID]=A33))),0),"")</f>
        <v/>
      </c>
      <c r="E33" s="2" t="str" cm="1">
        <f t="array" ref="E33">IFERROR(_xlfn.ARRAYTOTEXT(_xlfn.UNIQUE(_xlfn._xlws.FILTER(ubox[Failed Instance],(ubox[FirstError - IP (name)]=E$1)*(ubox[VisualID]=A33))),0),"")</f>
        <v/>
      </c>
      <c r="F33" s="2" t="str" cm="1">
        <f t="array" ref="F33">IFERROR(_xlfn.ARRAYTOTEXT(_xlfn.UNIQUE(_xlfn._xlws.FILTER(ubox[Failed Instance],(ubox[FirstError - IP (name)]=F$1)*(ubox[VisualID]=A33))),0),"")</f>
        <v/>
      </c>
      <c r="G33" s="2" t="str" cm="1">
        <f t="array" ref="G33">IFERROR(_xlfn.ARRAYTOTEXT(_xlfn.UNIQUE(_xlfn._xlws.FILTER(ubox[Failed Instance],(ubox[FirstError - IP (name)]=G$1)*(ubox[VisualID]=A33))),0),"")</f>
        <v/>
      </c>
      <c r="H33" s="2" t="str" cm="1">
        <f t="array" ref="H33">IFERROR(_xlfn.ARRAYTOTEXT(_xlfn.UNIQUE(_xlfn._xlws.FILTER(ubox[Failed Instance],(ubox[FirstError - IP (name)]=H$1)*(ubox[VisualID]=A33))),0),"")</f>
        <v/>
      </c>
    </row>
    <row r="34" spans="1:8" x14ac:dyDescent="0.3">
      <c r="A34" s="2"/>
      <c r="B34" s="2" t="str">
        <f t="shared" si="0"/>
        <v/>
      </c>
      <c r="D34" s="2" t="str" cm="1">
        <f t="array" ref="D34">IFERROR(_xlfn.ARRAYTOTEXT(_xlfn.UNIQUE(_xlfn._xlws.FILTER(ubox[Failed Instance],(ubox[FirstError - IP (name)]=D$1)*(ubox[VisualID]=A34))),0),"")</f>
        <v/>
      </c>
      <c r="E34" s="2" t="str" cm="1">
        <f t="array" ref="E34">IFERROR(_xlfn.ARRAYTOTEXT(_xlfn.UNIQUE(_xlfn._xlws.FILTER(ubox[Failed Instance],(ubox[FirstError - IP (name)]=E$1)*(ubox[VisualID]=A34))),0),"")</f>
        <v/>
      </c>
      <c r="F34" s="2" t="str" cm="1">
        <f t="array" ref="F34">IFERROR(_xlfn.ARRAYTOTEXT(_xlfn.UNIQUE(_xlfn._xlws.FILTER(ubox[Failed Instance],(ubox[FirstError - IP (name)]=F$1)*(ubox[VisualID]=A34))),0),"")</f>
        <v/>
      </c>
      <c r="G34" s="2" t="str" cm="1">
        <f t="array" ref="G34">IFERROR(_xlfn.ARRAYTOTEXT(_xlfn.UNIQUE(_xlfn._xlws.FILTER(ubox[Failed Instance],(ubox[FirstError - IP (name)]=G$1)*(ubox[VisualID]=A34))),0),"")</f>
        <v/>
      </c>
      <c r="H34" s="2" t="str" cm="1">
        <f t="array" ref="H34">IFERROR(_xlfn.ARRAYTOTEXT(_xlfn.UNIQUE(_xlfn._xlws.FILTER(ubox[Failed Instance],(ubox[FirstError - IP (name)]=H$1)*(ubox[VisualID]=A34))),0),"")</f>
        <v/>
      </c>
    </row>
    <row r="35" spans="1:8" x14ac:dyDescent="0.3">
      <c r="A35" s="2"/>
      <c r="B35" s="2" t="str">
        <f t="shared" si="0"/>
        <v/>
      </c>
      <c r="D35" s="2" t="str" cm="1">
        <f t="array" ref="D35">IFERROR(_xlfn.ARRAYTOTEXT(_xlfn.UNIQUE(_xlfn._xlws.FILTER(ubox[Failed Instance],(ubox[FirstError - IP (name)]=D$1)*(ubox[VisualID]=A35))),0),"")</f>
        <v/>
      </c>
      <c r="E35" s="2" t="str" cm="1">
        <f t="array" ref="E35">IFERROR(_xlfn.ARRAYTOTEXT(_xlfn.UNIQUE(_xlfn._xlws.FILTER(ubox[Failed Instance],(ubox[FirstError - IP (name)]=E$1)*(ubox[VisualID]=A35))),0),"")</f>
        <v/>
      </c>
      <c r="F35" s="2" t="str" cm="1">
        <f t="array" ref="F35">IFERROR(_xlfn.ARRAYTOTEXT(_xlfn.UNIQUE(_xlfn._xlws.FILTER(ubox[Failed Instance],(ubox[FirstError - IP (name)]=F$1)*(ubox[VisualID]=A35))),0),"")</f>
        <v/>
      </c>
      <c r="G35" s="2" t="str" cm="1">
        <f t="array" ref="G35">IFERROR(_xlfn.ARRAYTOTEXT(_xlfn.UNIQUE(_xlfn._xlws.FILTER(ubox[Failed Instance],(ubox[FirstError - IP (name)]=G$1)*(ubox[VisualID]=A35))),0),"")</f>
        <v/>
      </c>
      <c r="H35" s="2" t="str" cm="1">
        <f t="array" ref="H35">IFERROR(_xlfn.ARRAYTOTEXT(_xlfn.UNIQUE(_xlfn._xlws.FILTER(ubox[Failed Instance],(ubox[FirstError - IP (name)]=H$1)*(ubox[VisualID]=A35))),0),"")</f>
        <v/>
      </c>
    </row>
    <row r="36" spans="1:8" x14ac:dyDescent="0.3">
      <c r="A36" s="2"/>
      <c r="B36" s="2" t="str">
        <f t="shared" si="0"/>
        <v/>
      </c>
      <c r="D36" s="2" t="str" cm="1">
        <f t="array" ref="D36">IFERROR(_xlfn.ARRAYTOTEXT(_xlfn.UNIQUE(_xlfn._xlws.FILTER(ubox[Failed Instance],(ubox[FirstError - IP (name)]=D$1)*(ubox[VisualID]=A36))),0),"")</f>
        <v/>
      </c>
      <c r="E36" s="2" t="str" cm="1">
        <f t="array" ref="E36">IFERROR(_xlfn.ARRAYTOTEXT(_xlfn.UNIQUE(_xlfn._xlws.FILTER(ubox[Failed Instance],(ubox[FirstError - IP (name)]=E$1)*(ubox[VisualID]=A36))),0),"")</f>
        <v/>
      </c>
      <c r="F36" s="2" t="str" cm="1">
        <f t="array" ref="F36">IFERROR(_xlfn.ARRAYTOTEXT(_xlfn.UNIQUE(_xlfn._xlws.FILTER(ubox[Failed Instance],(ubox[FirstError - IP (name)]=F$1)*(ubox[VisualID]=A36))),0),"")</f>
        <v/>
      </c>
      <c r="G36" s="2" t="str" cm="1">
        <f t="array" ref="G36">IFERROR(_xlfn.ARRAYTOTEXT(_xlfn.UNIQUE(_xlfn._xlws.FILTER(ubox[Failed Instance],(ubox[FirstError - IP (name)]=G$1)*(ubox[VisualID]=A36))),0),"")</f>
        <v/>
      </c>
      <c r="H36" s="2" t="str" cm="1">
        <f t="array" ref="H36">IFERROR(_xlfn.ARRAYTOTEXT(_xlfn.UNIQUE(_xlfn._xlws.FILTER(ubox[Failed Instance],(ubox[FirstError - IP (name)]=H$1)*(ubox[VisualID]=A36))),0),"")</f>
        <v/>
      </c>
    </row>
    <row r="37" spans="1:8" x14ac:dyDescent="0.3">
      <c r="A37" s="2"/>
      <c r="B37" s="2" t="str">
        <f t="shared" si="0"/>
        <v/>
      </c>
      <c r="D37" s="2" t="str" cm="1">
        <f t="array" ref="D37">IFERROR(_xlfn.ARRAYTOTEXT(_xlfn.UNIQUE(_xlfn._xlws.FILTER(ubox[Failed Instance],(ubox[FirstError - IP (name)]=D$1)*(ubox[VisualID]=A37))),0),"")</f>
        <v/>
      </c>
      <c r="E37" s="2" t="str" cm="1">
        <f t="array" ref="E37">IFERROR(_xlfn.ARRAYTOTEXT(_xlfn.UNIQUE(_xlfn._xlws.FILTER(ubox[Failed Instance],(ubox[FirstError - IP (name)]=E$1)*(ubox[VisualID]=A37))),0),"")</f>
        <v/>
      </c>
      <c r="F37" s="2" t="str" cm="1">
        <f t="array" ref="F37">IFERROR(_xlfn.ARRAYTOTEXT(_xlfn.UNIQUE(_xlfn._xlws.FILTER(ubox[Failed Instance],(ubox[FirstError - IP (name)]=F$1)*(ubox[VisualID]=A37))),0),"")</f>
        <v/>
      </c>
      <c r="G37" s="2" t="str" cm="1">
        <f t="array" ref="G37">IFERROR(_xlfn.ARRAYTOTEXT(_xlfn.UNIQUE(_xlfn._xlws.FILTER(ubox[Failed Instance],(ubox[FirstError - IP (name)]=G$1)*(ubox[VisualID]=A37))),0),"")</f>
        <v/>
      </c>
      <c r="H37" s="2" t="str" cm="1">
        <f t="array" ref="H37">IFERROR(_xlfn.ARRAYTOTEXT(_xlfn.UNIQUE(_xlfn._xlws.FILTER(ubox[Failed Instance],(ubox[FirstError - IP (name)]=H$1)*(ubox[VisualID]=A37))),0),"")</f>
        <v/>
      </c>
    </row>
    <row r="38" spans="1:8" x14ac:dyDescent="0.3">
      <c r="A38" s="2"/>
      <c r="B38" s="2" t="str">
        <f t="shared" si="0"/>
        <v/>
      </c>
      <c r="D38" s="2" t="str" cm="1">
        <f t="array" ref="D38">IFERROR(_xlfn.ARRAYTOTEXT(_xlfn.UNIQUE(_xlfn._xlws.FILTER(ubox[Failed Instance],(ubox[FirstError - IP (name)]=D$1)*(ubox[VisualID]=A38))),0),"")</f>
        <v/>
      </c>
      <c r="E38" s="2" t="str" cm="1">
        <f t="array" ref="E38">IFERROR(_xlfn.ARRAYTOTEXT(_xlfn.UNIQUE(_xlfn._xlws.FILTER(ubox[Failed Instance],(ubox[FirstError - IP (name)]=E$1)*(ubox[VisualID]=A38))),0),"")</f>
        <v/>
      </c>
      <c r="F38" s="2" t="str" cm="1">
        <f t="array" ref="F38">IFERROR(_xlfn.ARRAYTOTEXT(_xlfn.UNIQUE(_xlfn._xlws.FILTER(ubox[Failed Instance],(ubox[FirstError - IP (name)]=F$1)*(ubox[VisualID]=A38))),0),"")</f>
        <v/>
      </c>
      <c r="G38" s="2" t="str" cm="1">
        <f t="array" ref="G38">IFERROR(_xlfn.ARRAYTOTEXT(_xlfn.UNIQUE(_xlfn._xlws.FILTER(ubox[Failed Instance],(ubox[FirstError - IP (name)]=G$1)*(ubox[VisualID]=A38))),0),"")</f>
        <v/>
      </c>
      <c r="H38" s="2" t="str" cm="1">
        <f t="array" ref="H38">IFERROR(_xlfn.ARRAYTOTEXT(_xlfn.UNIQUE(_xlfn._xlws.FILTER(ubox[Failed Instance],(ubox[FirstError - IP (name)]=H$1)*(ubox[VisualID]=A38))),0),"")</f>
        <v/>
      </c>
    </row>
    <row r="39" spans="1:8" x14ac:dyDescent="0.3">
      <c r="A39" s="2"/>
      <c r="B39" s="2" t="str">
        <f t="shared" si="0"/>
        <v/>
      </c>
      <c r="D39" s="2" t="str" cm="1">
        <f t="array" ref="D39">IFERROR(_xlfn.ARRAYTOTEXT(_xlfn.UNIQUE(_xlfn._xlws.FILTER(ubox[Failed Instance],(ubox[FirstError - IP (name)]=D$1)*(ubox[VisualID]=A39))),0),"")</f>
        <v/>
      </c>
      <c r="E39" s="2" t="str" cm="1">
        <f t="array" ref="E39">IFERROR(_xlfn.ARRAYTOTEXT(_xlfn.UNIQUE(_xlfn._xlws.FILTER(ubox[Failed Instance],(ubox[FirstError - IP (name)]=E$1)*(ubox[VisualID]=A39))),0),"")</f>
        <v/>
      </c>
      <c r="F39" s="2" t="str" cm="1">
        <f t="array" ref="F39">IFERROR(_xlfn.ARRAYTOTEXT(_xlfn.UNIQUE(_xlfn._xlws.FILTER(ubox[Failed Instance],(ubox[FirstError - IP (name)]=F$1)*(ubox[VisualID]=A39))),0),"")</f>
        <v/>
      </c>
      <c r="G39" s="2" t="str" cm="1">
        <f t="array" ref="G39">IFERROR(_xlfn.ARRAYTOTEXT(_xlfn.UNIQUE(_xlfn._xlws.FILTER(ubox[Failed Instance],(ubox[FirstError - IP (name)]=G$1)*(ubox[VisualID]=A39))),0),"")</f>
        <v/>
      </c>
      <c r="H39" s="2" t="str" cm="1">
        <f t="array" ref="H39">IFERROR(_xlfn.ARRAYTOTEXT(_xlfn.UNIQUE(_xlfn._xlws.FILTER(ubox[Failed Instance],(ubox[FirstError - IP (name)]=H$1)*(ubox[VisualID]=A39))),0),"")</f>
        <v/>
      </c>
    </row>
    <row r="40" spans="1:8" x14ac:dyDescent="0.3">
      <c r="A40" s="2"/>
      <c r="B40" s="2" t="str">
        <f t="shared" si="0"/>
        <v/>
      </c>
      <c r="D40" s="2" t="str" cm="1">
        <f t="array" ref="D40">IFERROR(_xlfn.ARRAYTOTEXT(_xlfn.UNIQUE(_xlfn._xlws.FILTER(ubox[Failed Instance],(ubox[FirstError - IP (name)]=D$1)*(ubox[VisualID]=A40))),0),"")</f>
        <v/>
      </c>
      <c r="E40" s="2" t="str" cm="1">
        <f t="array" ref="E40">IFERROR(_xlfn.ARRAYTOTEXT(_xlfn.UNIQUE(_xlfn._xlws.FILTER(ubox[Failed Instance],(ubox[FirstError - IP (name)]=E$1)*(ubox[VisualID]=A40))),0),"")</f>
        <v/>
      </c>
      <c r="F40" s="2" t="str" cm="1">
        <f t="array" ref="F40">IFERROR(_xlfn.ARRAYTOTEXT(_xlfn.UNIQUE(_xlfn._xlws.FILTER(ubox[Failed Instance],(ubox[FirstError - IP (name)]=F$1)*(ubox[VisualID]=A40))),0),"")</f>
        <v/>
      </c>
      <c r="G40" s="2" t="str" cm="1">
        <f t="array" ref="G40">IFERROR(_xlfn.ARRAYTOTEXT(_xlfn.UNIQUE(_xlfn._xlws.FILTER(ubox[Failed Instance],(ubox[FirstError - IP (name)]=G$1)*(ubox[VisualID]=A40))),0),"")</f>
        <v/>
      </c>
      <c r="H40" s="2" t="str" cm="1">
        <f t="array" ref="H40">IFERROR(_xlfn.ARRAYTOTEXT(_xlfn.UNIQUE(_xlfn._xlws.FILTER(ubox[Failed Instance],(ubox[FirstError - IP (name)]=H$1)*(ubox[VisualID]=A40))),0),"")</f>
        <v/>
      </c>
    </row>
    <row r="41" spans="1:8" x14ac:dyDescent="0.3">
      <c r="A41" s="2"/>
      <c r="B41" s="2" t="str">
        <f t="shared" si="0"/>
        <v/>
      </c>
      <c r="D41" s="2" t="str" cm="1">
        <f t="array" ref="D41">IFERROR(_xlfn.ARRAYTOTEXT(_xlfn.UNIQUE(_xlfn._xlws.FILTER(ubox[Failed Instance],(ubox[FirstError - IP (name)]=D$1)*(ubox[VisualID]=A41))),0),"")</f>
        <v/>
      </c>
      <c r="E41" s="2" t="str" cm="1">
        <f t="array" ref="E41">IFERROR(_xlfn.ARRAYTOTEXT(_xlfn.UNIQUE(_xlfn._xlws.FILTER(ubox[Failed Instance],(ubox[FirstError - IP (name)]=E$1)*(ubox[VisualID]=A41))),0),"")</f>
        <v/>
      </c>
      <c r="F41" s="2" t="str" cm="1">
        <f t="array" ref="F41">IFERROR(_xlfn.ARRAYTOTEXT(_xlfn.UNIQUE(_xlfn._xlws.FILTER(ubox[Failed Instance],(ubox[FirstError - IP (name)]=F$1)*(ubox[VisualID]=A41))),0),"")</f>
        <v/>
      </c>
      <c r="G41" s="2" t="str" cm="1">
        <f t="array" ref="G41">IFERROR(_xlfn.ARRAYTOTEXT(_xlfn.UNIQUE(_xlfn._xlws.FILTER(ubox[Failed Instance],(ubox[FirstError - IP (name)]=G$1)*(ubox[VisualID]=A41))),0),"")</f>
        <v/>
      </c>
      <c r="H41" s="2" t="str" cm="1">
        <f t="array" ref="H41">IFERROR(_xlfn.ARRAYTOTEXT(_xlfn.UNIQUE(_xlfn._xlws.FILTER(ubox[Failed Instance],(ubox[FirstError - IP (name)]=H$1)*(ubox[VisualID]=A41))),0),"")</f>
        <v/>
      </c>
    </row>
    <row r="42" spans="1:8" x14ac:dyDescent="0.3">
      <c r="A42" s="2"/>
      <c r="B42" s="2" t="str">
        <f t="shared" si="0"/>
        <v/>
      </c>
      <c r="D42" s="2" t="str" cm="1">
        <f t="array" ref="D42">IFERROR(_xlfn.ARRAYTOTEXT(_xlfn.UNIQUE(_xlfn._xlws.FILTER(ubox[Failed Instance],(ubox[FirstError - IP (name)]=D$1)*(ubox[VisualID]=A42))),0),"")</f>
        <v/>
      </c>
      <c r="E42" s="2" t="str" cm="1">
        <f t="array" ref="E42">IFERROR(_xlfn.ARRAYTOTEXT(_xlfn.UNIQUE(_xlfn._xlws.FILTER(ubox[Failed Instance],(ubox[FirstError - IP (name)]=E$1)*(ubox[VisualID]=A42))),0),"")</f>
        <v/>
      </c>
      <c r="F42" s="2" t="str" cm="1">
        <f t="array" ref="F42">IFERROR(_xlfn.ARRAYTOTEXT(_xlfn.UNIQUE(_xlfn._xlws.FILTER(ubox[Failed Instance],(ubox[FirstError - IP (name)]=F$1)*(ubox[VisualID]=A42))),0),"")</f>
        <v/>
      </c>
      <c r="G42" s="2" t="str" cm="1">
        <f t="array" ref="G42">IFERROR(_xlfn.ARRAYTOTEXT(_xlfn.UNIQUE(_xlfn._xlws.FILTER(ubox[Failed Instance],(ubox[FirstError - IP (name)]=G$1)*(ubox[VisualID]=A42))),0),"")</f>
        <v/>
      </c>
      <c r="H42" s="2" t="str" cm="1">
        <f t="array" ref="H42">IFERROR(_xlfn.ARRAYTOTEXT(_xlfn.UNIQUE(_xlfn._xlws.FILTER(ubox[Failed Instance],(ubox[FirstError - IP (name)]=H$1)*(ubox[VisualID]=A42))),0),"")</f>
        <v/>
      </c>
    </row>
    <row r="43" spans="1:8" x14ac:dyDescent="0.3">
      <c r="A43" s="2"/>
      <c r="B43" s="2" t="str">
        <f t="shared" si="0"/>
        <v/>
      </c>
      <c r="D43" s="2" t="str" cm="1">
        <f t="array" ref="D43">IFERROR(_xlfn.ARRAYTOTEXT(_xlfn.UNIQUE(_xlfn._xlws.FILTER(ubox[Failed Instance],(ubox[FirstError - IP (name)]=D$1)*(ubox[VisualID]=A43))),0),"")</f>
        <v/>
      </c>
      <c r="E43" s="2" t="str" cm="1">
        <f t="array" ref="E43">IFERROR(_xlfn.ARRAYTOTEXT(_xlfn.UNIQUE(_xlfn._xlws.FILTER(ubox[Failed Instance],(ubox[FirstError - IP (name)]=E$1)*(ubox[VisualID]=A43))),0),"")</f>
        <v/>
      </c>
      <c r="F43" s="2" t="str" cm="1">
        <f t="array" ref="F43">IFERROR(_xlfn.ARRAYTOTEXT(_xlfn.UNIQUE(_xlfn._xlws.FILTER(ubox[Failed Instance],(ubox[FirstError - IP (name)]=F$1)*(ubox[VisualID]=A43))),0),"")</f>
        <v/>
      </c>
      <c r="G43" s="2" t="str" cm="1">
        <f t="array" ref="G43">IFERROR(_xlfn.ARRAYTOTEXT(_xlfn.UNIQUE(_xlfn._xlws.FILTER(ubox[Failed Instance],(ubox[FirstError - IP (name)]=G$1)*(ubox[VisualID]=A43))),0),"")</f>
        <v/>
      </c>
      <c r="H43" s="2" t="str" cm="1">
        <f t="array" ref="H43">IFERROR(_xlfn.ARRAYTOTEXT(_xlfn.UNIQUE(_xlfn._xlws.FILTER(ubox[Failed Instance],(ubox[FirstError - IP (name)]=H$1)*(ubox[VisualID]=A43))),0),"")</f>
        <v/>
      </c>
    </row>
    <row r="44" spans="1:8" x14ac:dyDescent="0.3">
      <c r="A44" s="2"/>
      <c r="B44" s="2" t="str">
        <f t="shared" si="0"/>
        <v/>
      </c>
      <c r="D44" s="2" t="str" cm="1">
        <f t="array" ref="D44">IFERROR(_xlfn.ARRAYTOTEXT(_xlfn.UNIQUE(_xlfn._xlws.FILTER(ubox[Failed Instance],(ubox[FirstError - IP (name)]=D$1)*(ubox[VisualID]=A44))),0),"")</f>
        <v/>
      </c>
      <c r="E44" s="2" t="str" cm="1">
        <f t="array" ref="E44">IFERROR(_xlfn.ARRAYTOTEXT(_xlfn.UNIQUE(_xlfn._xlws.FILTER(ubox[Failed Instance],(ubox[FirstError - IP (name)]=E$1)*(ubox[VisualID]=A44))),0),"")</f>
        <v/>
      </c>
      <c r="F44" s="2" t="str" cm="1">
        <f t="array" ref="F44">IFERROR(_xlfn.ARRAYTOTEXT(_xlfn.UNIQUE(_xlfn._xlws.FILTER(ubox[Failed Instance],(ubox[FirstError - IP (name)]=F$1)*(ubox[VisualID]=A44))),0),"")</f>
        <v/>
      </c>
      <c r="G44" s="2" t="str" cm="1">
        <f t="array" ref="G44">IFERROR(_xlfn.ARRAYTOTEXT(_xlfn.UNIQUE(_xlfn._xlws.FILTER(ubox[Failed Instance],(ubox[FirstError - IP (name)]=G$1)*(ubox[VisualID]=A44))),0),"")</f>
        <v/>
      </c>
      <c r="H44" s="2" t="str" cm="1">
        <f t="array" ref="H44">IFERROR(_xlfn.ARRAYTOTEXT(_xlfn.UNIQUE(_xlfn._xlws.FILTER(ubox[Failed Instance],(ubox[FirstError - IP (name)]=H$1)*(ubox[VisualID]=A44))),0),"")</f>
        <v/>
      </c>
    </row>
    <row r="45" spans="1:8" x14ac:dyDescent="0.3">
      <c r="A45" s="2"/>
      <c r="B45" s="2" t="str">
        <f t="shared" si="0"/>
        <v/>
      </c>
      <c r="D45" s="2" t="str" cm="1">
        <f t="array" ref="D45">IFERROR(_xlfn.ARRAYTOTEXT(_xlfn.UNIQUE(_xlfn._xlws.FILTER(ubox[Failed Instance],(ubox[FirstError - IP (name)]=D$1)*(ubox[VisualID]=A45))),0),"")</f>
        <v/>
      </c>
      <c r="E45" s="2" t="str" cm="1">
        <f t="array" ref="E45">IFERROR(_xlfn.ARRAYTOTEXT(_xlfn.UNIQUE(_xlfn._xlws.FILTER(ubox[Failed Instance],(ubox[FirstError - IP (name)]=E$1)*(ubox[VisualID]=A45))),0),"")</f>
        <v/>
      </c>
      <c r="F45" s="2" t="str" cm="1">
        <f t="array" ref="F45">IFERROR(_xlfn.ARRAYTOTEXT(_xlfn.UNIQUE(_xlfn._xlws.FILTER(ubox[Failed Instance],(ubox[FirstError - IP (name)]=F$1)*(ubox[VisualID]=A45))),0),"")</f>
        <v/>
      </c>
      <c r="G45" s="2" t="str" cm="1">
        <f t="array" ref="G45">IFERROR(_xlfn.ARRAYTOTEXT(_xlfn.UNIQUE(_xlfn._xlws.FILTER(ubox[Failed Instance],(ubox[FirstError - IP (name)]=G$1)*(ubox[VisualID]=A45))),0),"")</f>
        <v/>
      </c>
      <c r="H45" s="2" t="str" cm="1">
        <f t="array" ref="H45">IFERROR(_xlfn.ARRAYTOTEXT(_xlfn.UNIQUE(_xlfn._xlws.FILTER(ubox[Failed Instance],(ubox[FirstError - IP (name)]=H$1)*(ubox[VisualID]=A45))),0),"")</f>
        <v/>
      </c>
    </row>
    <row r="46" spans="1:8" x14ac:dyDescent="0.3">
      <c r="A46" s="2"/>
      <c r="B46" s="2" t="str">
        <f t="shared" si="0"/>
        <v/>
      </c>
      <c r="D46" s="2" t="str" cm="1">
        <f t="array" ref="D46">IFERROR(_xlfn.ARRAYTOTEXT(_xlfn.UNIQUE(_xlfn._xlws.FILTER(ubox[Failed Instance],(ubox[FirstError - IP (name)]=D$1)*(ubox[VisualID]=A46))),0),"")</f>
        <v/>
      </c>
      <c r="E46" s="2" t="str" cm="1">
        <f t="array" ref="E46">IFERROR(_xlfn.ARRAYTOTEXT(_xlfn.UNIQUE(_xlfn._xlws.FILTER(ubox[Failed Instance],(ubox[FirstError - IP (name)]=E$1)*(ubox[VisualID]=A46))),0),"")</f>
        <v/>
      </c>
      <c r="F46" s="2" t="str" cm="1">
        <f t="array" ref="F46">IFERROR(_xlfn.ARRAYTOTEXT(_xlfn.UNIQUE(_xlfn._xlws.FILTER(ubox[Failed Instance],(ubox[FirstError - IP (name)]=F$1)*(ubox[VisualID]=A46))),0),"")</f>
        <v/>
      </c>
      <c r="G46" s="2" t="str" cm="1">
        <f t="array" ref="G46">IFERROR(_xlfn.ARRAYTOTEXT(_xlfn.UNIQUE(_xlfn._xlws.FILTER(ubox[Failed Instance],(ubox[FirstError - IP (name)]=G$1)*(ubox[VisualID]=A46))),0),"")</f>
        <v/>
      </c>
      <c r="H46" s="2" t="str" cm="1">
        <f t="array" ref="H46">IFERROR(_xlfn.ARRAYTOTEXT(_xlfn.UNIQUE(_xlfn._xlws.FILTER(ubox[Failed Instance],(ubox[FirstError - IP (name)]=H$1)*(ubox[VisualID]=A46))),0),"")</f>
        <v/>
      </c>
    </row>
    <row r="47" spans="1:8" x14ac:dyDescent="0.3">
      <c r="A47" s="2"/>
      <c r="B47" s="2" t="str">
        <f t="shared" si="0"/>
        <v/>
      </c>
      <c r="D47" s="2" t="str" cm="1">
        <f t="array" ref="D47">IFERROR(_xlfn.ARRAYTOTEXT(_xlfn.UNIQUE(_xlfn._xlws.FILTER(ubox[Failed Instance],(ubox[FirstError - IP (name)]=D$1)*(ubox[VisualID]=A47))),0),"")</f>
        <v/>
      </c>
      <c r="E47" s="2" t="str" cm="1">
        <f t="array" ref="E47">IFERROR(_xlfn.ARRAYTOTEXT(_xlfn.UNIQUE(_xlfn._xlws.FILTER(ubox[Failed Instance],(ubox[FirstError - IP (name)]=E$1)*(ubox[VisualID]=A47))),0),"")</f>
        <v/>
      </c>
      <c r="F47" s="2" t="str" cm="1">
        <f t="array" ref="F47">IFERROR(_xlfn.ARRAYTOTEXT(_xlfn.UNIQUE(_xlfn._xlws.FILTER(ubox[Failed Instance],(ubox[FirstError - IP (name)]=F$1)*(ubox[VisualID]=A47))),0),"")</f>
        <v/>
      </c>
      <c r="G47" s="2" t="str" cm="1">
        <f t="array" ref="G47">IFERROR(_xlfn.ARRAYTOTEXT(_xlfn.UNIQUE(_xlfn._xlws.FILTER(ubox[Failed Instance],(ubox[FirstError - IP (name)]=G$1)*(ubox[VisualID]=A47))),0),"")</f>
        <v/>
      </c>
      <c r="H47" s="2" t="str" cm="1">
        <f t="array" ref="H47">IFERROR(_xlfn.ARRAYTOTEXT(_xlfn.UNIQUE(_xlfn._xlws.FILTER(ubox[Failed Instance],(ubox[FirstError - IP (name)]=H$1)*(ubox[VisualID]=A47))),0),"")</f>
        <v/>
      </c>
    </row>
    <row r="48" spans="1:8" x14ac:dyDescent="0.3">
      <c r="A48" s="2"/>
      <c r="B48" s="2" t="str">
        <f t="shared" si="0"/>
        <v/>
      </c>
      <c r="D48" s="2" t="str" cm="1">
        <f t="array" ref="D48">IFERROR(_xlfn.ARRAYTOTEXT(_xlfn.UNIQUE(_xlfn._xlws.FILTER(ubox[Failed Instance],(ubox[FirstError - IP (name)]=D$1)*(ubox[VisualID]=A48))),0),"")</f>
        <v/>
      </c>
      <c r="E48" s="2" t="str" cm="1">
        <f t="array" ref="E48">IFERROR(_xlfn.ARRAYTOTEXT(_xlfn.UNIQUE(_xlfn._xlws.FILTER(ubox[Failed Instance],(ubox[FirstError - IP (name)]=E$1)*(ubox[VisualID]=A48))),0),"")</f>
        <v/>
      </c>
      <c r="F48" s="2" t="str" cm="1">
        <f t="array" ref="F48">IFERROR(_xlfn.ARRAYTOTEXT(_xlfn.UNIQUE(_xlfn._xlws.FILTER(ubox[Failed Instance],(ubox[FirstError - IP (name)]=F$1)*(ubox[VisualID]=A48))),0),"")</f>
        <v/>
      </c>
      <c r="G48" s="2" t="str" cm="1">
        <f t="array" ref="G48">IFERROR(_xlfn.ARRAYTOTEXT(_xlfn.UNIQUE(_xlfn._xlws.FILTER(ubox[Failed Instance],(ubox[FirstError - IP (name)]=G$1)*(ubox[VisualID]=A48))),0),"")</f>
        <v/>
      </c>
      <c r="H48" s="2" t="str" cm="1">
        <f t="array" ref="H48">IFERROR(_xlfn.ARRAYTOTEXT(_xlfn.UNIQUE(_xlfn._xlws.FILTER(ubox[Failed Instance],(ubox[FirstError - IP (name)]=H$1)*(ubox[VisualID]=A48))),0),"")</f>
        <v/>
      </c>
    </row>
    <row r="49" spans="1:8" x14ac:dyDescent="0.3">
      <c r="A49" s="2"/>
      <c r="B49" s="2" t="str">
        <f t="shared" si="0"/>
        <v/>
      </c>
      <c r="D49" s="2" t="str" cm="1">
        <f t="array" ref="D49">IFERROR(_xlfn.ARRAYTOTEXT(_xlfn.UNIQUE(_xlfn._xlws.FILTER(ubox[Failed Instance],(ubox[FirstError - IP (name)]=D$1)*(ubox[VisualID]=A49))),0),"")</f>
        <v/>
      </c>
      <c r="E49" s="2" t="str" cm="1">
        <f t="array" ref="E49">IFERROR(_xlfn.ARRAYTOTEXT(_xlfn.UNIQUE(_xlfn._xlws.FILTER(ubox[Failed Instance],(ubox[FirstError - IP (name)]=E$1)*(ubox[VisualID]=A49))),0),"")</f>
        <v/>
      </c>
      <c r="F49" s="2" t="str" cm="1">
        <f t="array" ref="F49">IFERROR(_xlfn.ARRAYTOTEXT(_xlfn.UNIQUE(_xlfn._xlws.FILTER(ubox[Failed Instance],(ubox[FirstError - IP (name)]=F$1)*(ubox[VisualID]=A49))),0),"")</f>
        <v/>
      </c>
      <c r="G49" s="2" t="str" cm="1">
        <f t="array" ref="G49">IFERROR(_xlfn.ARRAYTOTEXT(_xlfn.UNIQUE(_xlfn._xlws.FILTER(ubox[Failed Instance],(ubox[FirstError - IP (name)]=G$1)*(ubox[VisualID]=A49))),0),"")</f>
        <v/>
      </c>
      <c r="H49" s="2" t="str" cm="1">
        <f t="array" ref="H49">IFERROR(_xlfn.ARRAYTOTEXT(_xlfn.UNIQUE(_xlfn._xlws.FILTER(ubox[Failed Instance],(ubox[FirstError - IP (name)]=H$1)*(ubox[VisualID]=A49))),0),"")</f>
        <v/>
      </c>
    </row>
    <row r="50" spans="1:8" x14ac:dyDescent="0.3">
      <c r="A50" s="2"/>
      <c r="B50" s="2" t="str">
        <f t="shared" si="0"/>
        <v/>
      </c>
      <c r="D50" s="2" t="str" cm="1">
        <f t="array" ref="D50">IFERROR(_xlfn.ARRAYTOTEXT(_xlfn.UNIQUE(_xlfn._xlws.FILTER(ubox[Failed Instance],(ubox[FirstError - IP (name)]=D$1)*(ubox[VisualID]=A50))),0),"")</f>
        <v/>
      </c>
      <c r="E50" s="2" t="str" cm="1">
        <f t="array" ref="E50">IFERROR(_xlfn.ARRAYTOTEXT(_xlfn.UNIQUE(_xlfn._xlws.FILTER(ubox[Failed Instance],(ubox[FirstError - IP (name)]=E$1)*(ubox[VisualID]=A50))),0),"")</f>
        <v/>
      </c>
      <c r="F50" s="2" t="str" cm="1">
        <f t="array" ref="F50">IFERROR(_xlfn.ARRAYTOTEXT(_xlfn.UNIQUE(_xlfn._xlws.FILTER(ubox[Failed Instance],(ubox[FirstError - IP (name)]=F$1)*(ubox[VisualID]=A50))),0),"")</f>
        <v/>
      </c>
      <c r="G50" s="2" t="str" cm="1">
        <f t="array" ref="G50">IFERROR(_xlfn.ARRAYTOTEXT(_xlfn.UNIQUE(_xlfn._xlws.FILTER(ubox[Failed Instance],(ubox[FirstError - IP (name)]=G$1)*(ubox[VisualID]=A50))),0),"")</f>
        <v/>
      </c>
      <c r="H50" s="2" t="str" cm="1">
        <f t="array" ref="H50">IFERROR(_xlfn.ARRAYTOTEXT(_xlfn.UNIQUE(_xlfn._xlws.FILTER(ubox[Failed Instance],(ubox[FirstError - IP (name)]=H$1)*(ubox[VisualID]=A50))),0),"")</f>
        <v/>
      </c>
    </row>
    <row r="51" spans="1:8" x14ac:dyDescent="0.3">
      <c r="A51" s="2"/>
      <c r="B51" s="2" t="str">
        <f t="shared" si="0"/>
        <v/>
      </c>
      <c r="D51" s="2" t="str" cm="1">
        <f t="array" ref="D51">IFERROR(_xlfn.ARRAYTOTEXT(_xlfn.UNIQUE(_xlfn._xlws.FILTER(ubox[Failed Instance],(ubox[FirstError - IP (name)]=D$1)*(ubox[VisualID]=A51))),0),"")</f>
        <v/>
      </c>
      <c r="E51" s="2" t="str" cm="1">
        <f t="array" ref="E51">IFERROR(_xlfn.ARRAYTOTEXT(_xlfn.UNIQUE(_xlfn._xlws.FILTER(ubox[Failed Instance],(ubox[FirstError - IP (name)]=E$1)*(ubox[VisualID]=A51))),0),"")</f>
        <v/>
      </c>
      <c r="F51" s="2" t="str" cm="1">
        <f t="array" ref="F51">IFERROR(_xlfn.ARRAYTOTEXT(_xlfn.UNIQUE(_xlfn._xlws.FILTER(ubox[Failed Instance],(ubox[FirstError - IP (name)]=F$1)*(ubox[VisualID]=A51))),0),"")</f>
        <v/>
      </c>
      <c r="G51" s="2" t="str" cm="1">
        <f t="array" ref="G51">IFERROR(_xlfn.ARRAYTOTEXT(_xlfn.UNIQUE(_xlfn._xlws.FILTER(ubox[Failed Instance],(ubox[FirstError - IP (name)]=G$1)*(ubox[VisualID]=A51))),0),"")</f>
        <v/>
      </c>
      <c r="H51" s="2" t="str" cm="1">
        <f t="array" ref="H51">IFERROR(_xlfn.ARRAYTOTEXT(_xlfn.UNIQUE(_xlfn._xlws.FILTER(ubox[Failed Instance],(ubox[FirstError - IP (name)]=H$1)*(ubox[VisualID]=A51))),0),"")</f>
        <v/>
      </c>
    </row>
    <row r="52" spans="1:8" x14ac:dyDescent="0.3">
      <c r="A52" s="2"/>
      <c r="B52" s="2" t="str">
        <f t="shared" si="0"/>
        <v/>
      </c>
      <c r="D52" s="2" t="str" cm="1">
        <f t="array" ref="D52">IFERROR(_xlfn.ARRAYTOTEXT(_xlfn.UNIQUE(_xlfn._xlws.FILTER(ubox[Failed Instance],(ubox[FirstError - IP (name)]=D$1)*(ubox[VisualID]=A52))),0),"")</f>
        <v/>
      </c>
      <c r="E52" s="2" t="str" cm="1">
        <f t="array" ref="E52">IFERROR(_xlfn.ARRAYTOTEXT(_xlfn.UNIQUE(_xlfn._xlws.FILTER(ubox[Failed Instance],(ubox[FirstError - IP (name)]=E$1)*(ubox[VisualID]=A52))),0),"")</f>
        <v/>
      </c>
      <c r="F52" s="2" t="str" cm="1">
        <f t="array" ref="F52">IFERROR(_xlfn.ARRAYTOTEXT(_xlfn.UNIQUE(_xlfn._xlws.FILTER(ubox[Failed Instance],(ubox[FirstError - IP (name)]=F$1)*(ubox[VisualID]=A52))),0),"")</f>
        <v/>
      </c>
      <c r="G52" s="2" t="str" cm="1">
        <f t="array" ref="G52">IFERROR(_xlfn.ARRAYTOTEXT(_xlfn.UNIQUE(_xlfn._xlws.FILTER(ubox[Failed Instance],(ubox[FirstError - IP (name)]=G$1)*(ubox[VisualID]=A52))),0),"")</f>
        <v/>
      </c>
      <c r="H52" s="2" t="str" cm="1">
        <f t="array" ref="H52">IFERROR(_xlfn.ARRAYTOTEXT(_xlfn.UNIQUE(_xlfn._xlws.FILTER(ubox[Failed Instance],(ubox[FirstError - IP (name)]=H$1)*(ubox[VisualID]=A52))),0),"")</f>
        <v/>
      </c>
    </row>
    <row r="53" spans="1:8" x14ac:dyDescent="0.3">
      <c r="A53" s="2"/>
      <c r="B53" s="2" t="str">
        <f t="shared" si="0"/>
        <v/>
      </c>
      <c r="D53" s="2" t="str" cm="1">
        <f t="array" ref="D53">IFERROR(_xlfn.ARRAYTOTEXT(_xlfn.UNIQUE(_xlfn._xlws.FILTER(ubox[Failed Instance],(ubox[FirstError - IP (name)]=D$1)*(ubox[VisualID]=A53))),0),"")</f>
        <v/>
      </c>
      <c r="E53" s="2" t="str" cm="1">
        <f t="array" ref="E53">IFERROR(_xlfn.ARRAYTOTEXT(_xlfn.UNIQUE(_xlfn._xlws.FILTER(ubox[Failed Instance],(ubox[FirstError - IP (name)]=E$1)*(ubox[VisualID]=A53))),0),"")</f>
        <v/>
      </c>
      <c r="F53" s="2" t="str" cm="1">
        <f t="array" ref="F53">IFERROR(_xlfn.ARRAYTOTEXT(_xlfn.UNIQUE(_xlfn._xlws.FILTER(ubox[Failed Instance],(ubox[FirstError - IP (name)]=F$1)*(ubox[VisualID]=A53))),0),"")</f>
        <v/>
      </c>
      <c r="G53" s="2" t="str" cm="1">
        <f t="array" ref="G53">IFERROR(_xlfn.ARRAYTOTEXT(_xlfn.UNIQUE(_xlfn._xlws.FILTER(ubox[Failed Instance],(ubox[FirstError - IP (name)]=G$1)*(ubox[VisualID]=A53))),0),"")</f>
        <v/>
      </c>
      <c r="H53" s="2" t="str" cm="1">
        <f t="array" ref="H53">IFERROR(_xlfn.ARRAYTOTEXT(_xlfn.UNIQUE(_xlfn._xlws.FILTER(ubox[Failed Instance],(ubox[FirstError - IP (name)]=H$1)*(ubox[VisualID]=A53))),0),"")</f>
        <v/>
      </c>
    </row>
    <row r="54" spans="1:8" x14ac:dyDescent="0.3">
      <c r="A54" s="2"/>
      <c r="B54" s="2" t="str">
        <f t="shared" si="0"/>
        <v/>
      </c>
      <c r="D54" s="2" t="str" cm="1">
        <f t="array" ref="D54">IFERROR(_xlfn.ARRAYTOTEXT(_xlfn.UNIQUE(_xlfn._xlws.FILTER(ubox[Failed Instance],(ubox[FirstError - IP (name)]=D$1)*(ubox[VisualID]=A54))),0),"")</f>
        <v/>
      </c>
      <c r="E54" s="2" t="str" cm="1">
        <f t="array" ref="E54">IFERROR(_xlfn.ARRAYTOTEXT(_xlfn.UNIQUE(_xlfn._xlws.FILTER(ubox[Failed Instance],(ubox[FirstError - IP (name)]=E$1)*(ubox[VisualID]=A54))),0),"")</f>
        <v/>
      </c>
      <c r="F54" s="2" t="str" cm="1">
        <f t="array" ref="F54">IFERROR(_xlfn.ARRAYTOTEXT(_xlfn.UNIQUE(_xlfn._xlws.FILTER(ubox[Failed Instance],(ubox[FirstError - IP (name)]=F$1)*(ubox[VisualID]=A54))),0),"")</f>
        <v/>
      </c>
      <c r="G54" s="2" t="str" cm="1">
        <f t="array" ref="G54">IFERROR(_xlfn.ARRAYTOTEXT(_xlfn.UNIQUE(_xlfn._xlws.FILTER(ubox[Failed Instance],(ubox[FirstError - IP (name)]=G$1)*(ubox[VisualID]=A54))),0),"")</f>
        <v/>
      </c>
      <c r="H54" s="2" t="str" cm="1">
        <f t="array" ref="H54">IFERROR(_xlfn.ARRAYTOTEXT(_xlfn.UNIQUE(_xlfn._xlws.FILTER(ubox[Failed Instance],(ubox[FirstError - IP (name)]=H$1)*(ubox[VisualID]=A54))),0),"")</f>
        <v/>
      </c>
    </row>
    <row r="55" spans="1:8" x14ac:dyDescent="0.3">
      <c r="A55" s="2"/>
      <c r="B55" s="2" t="str">
        <f t="shared" si="0"/>
        <v/>
      </c>
      <c r="D55" s="2" t="str" cm="1">
        <f t="array" ref="D55">IFERROR(_xlfn.ARRAYTOTEXT(_xlfn.UNIQUE(_xlfn._xlws.FILTER(ubox[Failed Instance],(ubox[FirstError - IP (name)]=D$1)*(ubox[VisualID]=A55))),0),"")</f>
        <v/>
      </c>
      <c r="E55" s="2" t="str" cm="1">
        <f t="array" ref="E55">IFERROR(_xlfn.ARRAYTOTEXT(_xlfn.UNIQUE(_xlfn._xlws.FILTER(ubox[Failed Instance],(ubox[FirstError - IP (name)]=E$1)*(ubox[VisualID]=A55))),0),"")</f>
        <v/>
      </c>
      <c r="F55" s="2" t="str" cm="1">
        <f t="array" ref="F55">IFERROR(_xlfn.ARRAYTOTEXT(_xlfn.UNIQUE(_xlfn._xlws.FILTER(ubox[Failed Instance],(ubox[FirstError - IP (name)]=F$1)*(ubox[VisualID]=A55))),0),"")</f>
        <v/>
      </c>
      <c r="G55" s="2" t="str" cm="1">
        <f t="array" ref="G55">IFERROR(_xlfn.ARRAYTOTEXT(_xlfn.UNIQUE(_xlfn._xlws.FILTER(ubox[Failed Instance],(ubox[FirstError - IP (name)]=G$1)*(ubox[VisualID]=A55))),0),"")</f>
        <v/>
      </c>
      <c r="H55" s="2" t="str" cm="1">
        <f t="array" ref="H55">IFERROR(_xlfn.ARRAYTOTEXT(_xlfn.UNIQUE(_xlfn._xlws.FILTER(ubox[Failed Instance],(ubox[FirstError - IP (name)]=H$1)*(ubox[VisualID]=A55))),0),"")</f>
        <v/>
      </c>
    </row>
    <row r="56" spans="1:8" x14ac:dyDescent="0.3">
      <c r="A56" s="2"/>
      <c r="B56" s="2" t="str">
        <f t="shared" si="0"/>
        <v/>
      </c>
      <c r="D56" s="2" t="str" cm="1">
        <f t="array" ref="D56">IFERROR(_xlfn.ARRAYTOTEXT(_xlfn.UNIQUE(_xlfn._xlws.FILTER(ubox[Failed Instance],(ubox[FirstError - IP (name)]=D$1)*(ubox[VisualID]=A56))),0),"")</f>
        <v/>
      </c>
      <c r="E56" s="2" t="str" cm="1">
        <f t="array" ref="E56">IFERROR(_xlfn.ARRAYTOTEXT(_xlfn.UNIQUE(_xlfn._xlws.FILTER(ubox[Failed Instance],(ubox[FirstError - IP (name)]=E$1)*(ubox[VisualID]=A56))),0),"")</f>
        <v/>
      </c>
      <c r="F56" s="2" t="str" cm="1">
        <f t="array" ref="F56">IFERROR(_xlfn.ARRAYTOTEXT(_xlfn.UNIQUE(_xlfn._xlws.FILTER(ubox[Failed Instance],(ubox[FirstError - IP (name)]=F$1)*(ubox[VisualID]=A56))),0),"")</f>
        <v/>
      </c>
      <c r="G56" s="2" t="str" cm="1">
        <f t="array" ref="G56">IFERROR(_xlfn.ARRAYTOTEXT(_xlfn.UNIQUE(_xlfn._xlws.FILTER(ubox[Failed Instance],(ubox[FirstError - IP (name)]=G$1)*(ubox[VisualID]=A56))),0),"")</f>
        <v/>
      </c>
      <c r="H56" s="2" t="str" cm="1">
        <f t="array" ref="H56">IFERROR(_xlfn.ARRAYTOTEXT(_xlfn.UNIQUE(_xlfn._xlws.FILTER(ubox[Failed Instance],(ubox[FirstError - IP (name)]=H$1)*(ubox[VisualID]=A56))),0),"")</f>
        <v/>
      </c>
    </row>
    <row r="57" spans="1:8" x14ac:dyDescent="0.3">
      <c r="A57" s="2"/>
      <c r="B57" s="2" t="str">
        <f t="shared" si="0"/>
        <v/>
      </c>
      <c r="D57" s="2" t="str" cm="1">
        <f t="array" ref="D57">IFERROR(_xlfn.ARRAYTOTEXT(_xlfn.UNIQUE(_xlfn._xlws.FILTER(ubox[Failed Instance],(ubox[FirstError - IP (name)]=D$1)*(ubox[VisualID]=A57))),0),"")</f>
        <v/>
      </c>
      <c r="E57" s="2" t="str" cm="1">
        <f t="array" ref="E57">IFERROR(_xlfn.ARRAYTOTEXT(_xlfn.UNIQUE(_xlfn._xlws.FILTER(ubox[Failed Instance],(ubox[FirstError - IP (name)]=E$1)*(ubox[VisualID]=A57))),0),"")</f>
        <v/>
      </c>
      <c r="F57" s="2" t="str" cm="1">
        <f t="array" ref="F57">IFERROR(_xlfn.ARRAYTOTEXT(_xlfn.UNIQUE(_xlfn._xlws.FILTER(ubox[Failed Instance],(ubox[FirstError - IP (name)]=F$1)*(ubox[VisualID]=A57))),0),"")</f>
        <v/>
      </c>
      <c r="G57" s="2" t="str" cm="1">
        <f t="array" ref="G57">IFERROR(_xlfn.ARRAYTOTEXT(_xlfn.UNIQUE(_xlfn._xlws.FILTER(ubox[Failed Instance],(ubox[FirstError - IP (name)]=G$1)*(ubox[VisualID]=A57))),0),"")</f>
        <v/>
      </c>
      <c r="H57" s="2" t="str" cm="1">
        <f t="array" ref="H57">IFERROR(_xlfn.ARRAYTOTEXT(_xlfn.UNIQUE(_xlfn._xlws.FILTER(ubox[Failed Instance],(ubox[FirstError - IP (name)]=H$1)*(ubox[VisualID]=A57))),0),"")</f>
        <v/>
      </c>
    </row>
    <row r="58" spans="1:8" x14ac:dyDescent="0.3">
      <c r="A58" s="2"/>
      <c r="B58" s="2" t="str">
        <f t="shared" si="0"/>
        <v/>
      </c>
      <c r="D58" s="2" t="str" cm="1">
        <f t="array" ref="D58">IFERROR(_xlfn.ARRAYTOTEXT(_xlfn.UNIQUE(_xlfn._xlws.FILTER(ubox[Failed Instance],(ubox[FirstError - IP (name)]=D$1)*(ubox[VisualID]=A58))),0),"")</f>
        <v/>
      </c>
      <c r="E58" s="2" t="str" cm="1">
        <f t="array" ref="E58">IFERROR(_xlfn.ARRAYTOTEXT(_xlfn.UNIQUE(_xlfn._xlws.FILTER(ubox[Failed Instance],(ubox[FirstError - IP (name)]=E$1)*(ubox[VisualID]=A58))),0),"")</f>
        <v/>
      </c>
      <c r="F58" s="2" t="str" cm="1">
        <f t="array" ref="F58">IFERROR(_xlfn.ARRAYTOTEXT(_xlfn.UNIQUE(_xlfn._xlws.FILTER(ubox[Failed Instance],(ubox[FirstError - IP (name)]=F$1)*(ubox[VisualID]=A58))),0),"")</f>
        <v/>
      </c>
      <c r="G58" s="2" t="str" cm="1">
        <f t="array" ref="G58">IFERROR(_xlfn.ARRAYTOTEXT(_xlfn.UNIQUE(_xlfn._xlws.FILTER(ubox[Failed Instance],(ubox[FirstError - IP (name)]=G$1)*(ubox[VisualID]=A58))),0),"")</f>
        <v/>
      </c>
      <c r="H58" s="2" t="str" cm="1">
        <f t="array" ref="H58">IFERROR(_xlfn.ARRAYTOTEXT(_xlfn.UNIQUE(_xlfn._xlws.FILTER(ubox[Failed Instance],(ubox[FirstError - IP (name)]=H$1)*(ubox[VisualID]=A58))),0),"")</f>
        <v/>
      </c>
    </row>
    <row r="59" spans="1:8" x14ac:dyDescent="0.3">
      <c r="A59" s="2"/>
      <c r="B59" s="2" t="str">
        <f t="shared" si="0"/>
        <v/>
      </c>
      <c r="D59" s="2" t="str" cm="1">
        <f t="array" ref="D59">IFERROR(_xlfn.ARRAYTOTEXT(_xlfn.UNIQUE(_xlfn._xlws.FILTER(ubox[Failed Instance],(ubox[FirstError - IP (name)]=D$1)*(ubox[VisualID]=A59))),0),"")</f>
        <v/>
      </c>
      <c r="E59" s="2" t="str" cm="1">
        <f t="array" ref="E59">IFERROR(_xlfn.ARRAYTOTEXT(_xlfn.UNIQUE(_xlfn._xlws.FILTER(ubox[Failed Instance],(ubox[FirstError - IP (name)]=E$1)*(ubox[VisualID]=A59))),0),"")</f>
        <v/>
      </c>
      <c r="F59" s="2" t="str" cm="1">
        <f t="array" ref="F59">IFERROR(_xlfn.ARRAYTOTEXT(_xlfn.UNIQUE(_xlfn._xlws.FILTER(ubox[Failed Instance],(ubox[FirstError - IP (name)]=F$1)*(ubox[VisualID]=A59))),0),"")</f>
        <v/>
      </c>
      <c r="G59" s="2" t="str" cm="1">
        <f t="array" ref="G59">IFERROR(_xlfn.ARRAYTOTEXT(_xlfn.UNIQUE(_xlfn._xlws.FILTER(ubox[Failed Instance],(ubox[FirstError - IP (name)]=G$1)*(ubox[VisualID]=A59))),0),"")</f>
        <v/>
      </c>
      <c r="H59" s="2" t="str" cm="1">
        <f t="array" ref="H59">IFERROR(_xlfn.ARRAYTOTEXT(_xlfn.UNIQUE(_xlfn._xlws.FILTER(ubox[Failed Instance],(ubox[FirstError - IP (name)]=H$1)*(ubox[VisualID]=A59))),0),"")</f>
        <v/>
      </c>
    </row>
    <row r="60" spans="1:8" x14ac:dyDescent="0.3">
      <c r="A60" s="2"/>
      <c r="B60" s="2" t="str">
        <f t="shared" si="0"/>
        <v/>
      </c>
      <c r="D60" s="2" t="str" cm="1">
        <f t="array" ref="D60">IFERROR(_xlfn.ARRAYTOTEXT(_xlfn.UNIQUE(_xlfn._xlws.FILTER(ubox[Failed Instance],(ubox[FirstError - IP (name)]=D$1)*(ubox[VisualID]=A60))),0),"")</f>
        <v/>
      </c>
      <c r="E60" s="2" t="str" cm="1">
        <f t="array" ref="E60">IFERROR(_xlfn.ARRAYTOTEXT(_xlfn.UNIQUE(_xlfn._xlws.FILTER(ubox[Failed Instance],(ubox[FirstError - IP (name)]=E$1)*(ubox[VisualID]=A60))),0),"")</f>
        <v/>
      </c>
      <c r="F60" s="2" t="str" cm="1">
        <f t="array" ref="F60">IFERROR(_xlfn.ARRAYTOTEXT(_xlfn.UNIQUE(_xlfn._xlws.FILTER(ubox[Failed Instance],(ubox[FirstError - IP (name)]=F$1)*(ubox[VisualID]=A60))),0),"")</f>
        <v/>
      </c>
      <c r="G60" s="2" t="str" cm="1">
        <f t="array" ref="G60">IFERROR(_xlfn.ARRAYTOTEXT(_xlfn.UNIQUE(_xlfn._xlws.FILTER(ubox[Failed Instance],(ubox[FirstError - IP (name)]=G$1)*(ubox[VisualID]=A60))),0),"")</f>
        <v/>
      </c>
      <c r="H60" s="2" t="str" cm="1">
        <f t="array" ref="H60">IFERROR(_xlfn.ARRAYTOTEXT(_xlfn.UNIQUE(_xlfn._xlws.FILTER(ubox[Failed Instance],(ubox[FirstError - IP (name)]=H$1)*(ubox[VisualID]=A60))),0),"")</f>
        <v/>
      </c>
    </row>
    <row r="61" spans="1:8" x14ac:dyDescent="0.3">
      <c r="A61" s="2"/>
      <c r="B61" s="2" t="str">
        <f t="shared" si="0"/>
        <v/>
      </c>
      <c r="D61" s="2" t="str" cm="1">
        <f t="array" ref="D61">IFERROR(_xlfn.ARRAYTOTEXT(_xlfn.UNIQUE(_xlfn._xlws.FILTER(ubox[Failed Instance],(ubox[FirstError - IP (name)]=D$1)*(ubox[VisualID]=A61))),0),"")</f>
        <v/>
      </c>
      <c r="E61" s="2" t="str" cm="1">
        <f t="array" ref="E61">IFERROR(_xlfn.ARRAYTOTEXT(_xlfn.UNIQUE(_xlfn._xlws.FILTER(ubox[Failed Instance],(ubox[FirstError - IP (name)]=E$1)*(ubox[VisualID]=A61))),0),"")</f>
        <v/>
      </c>
      <c r="F61" s="2" t="str" cm="1">
        <f t="array" ref="F61">IFERROR(_xlfn.ARRAYTOTEXT(_xlfn.UNIQUE(_xlfn._xlws.FILTER(ubox[Failed Instance],(ubox[FirstError - IP (name)]=F$1)*(ubox[VisualID]=A61))),0),"")</f>
        <v/>
      </c>
      <c r="G61" s="2" t="str" cm="1">
        <f t="array" ref="G61">IFERROR(_xlfn.ARRAYTOTEXT(_xlfn.UNIQUE(_xlfn._xlws.FILTER(ubox[Failed Instance],(ubox[FirstError - IP (name)]=G$1)*(ubox[VisualID]=A61))),0),"")</f>
        <v/>
      </c>
      <c r="H61" s="2" t="str" cm="1">
        <f t="array" ref="H61">IFERROR(_xlfn.ARRAYTOTEXT(_xlfn.UNIQUE(_xlfn._xlws.FILTER(ubox[Failed Instance],(ubox[FirstError - IP (name)]=H$1)*(ubox[VisualID]=A61))),0),"")</f>
        <v/>
      </c>
    </row>
    <row r="62" spans="1:8" x14ac:dyDescent="0.3">
      <c r="A62" s="2"/>
      <c r="B62" s="2" t="str">
        <f t="shared" si="0"/>
        <v/>
      </c>
      <c r="D62" s="2" t="str" cm="1">
        <f t="array" ref="D62">IFERROR(_xlfn.ARRAYTOTEXT(_xlfn.UNIQUE(_xlfn._xlws.FILTER(ubox[Failed Instance],(ubox[FirstError - IP (name)]=D$1)*(ubox[VisualID]=A62))),0),"")</f>
        <v/>
      </c>
      <c r="E62" s="2" t="str" cm="1">
        <f t="array" ref="E62">IFERROR(_xlfn.ARRAYTOTEXT(_xlfn.UNIQUE(_xlfn._xlws.FILTER(ubox[Failed Instance],(ubox[FirstError - IP (name)]=E$1)*(ubox[VisualID]=A62))),0),"")</f>
        <v/>
      </c>
      <c r="F62" s="2" t="str" cm="1">
        <f t="array" ref="F62">IFERROR(_xlfn.ARRAYTOTEXT(_xlfn.UNIQUE(_xlfn._xlws.FILTER(ubox[Failed Instance],(ubox[FirstError - IP (name)]=F$1)*(ubox[VisualID]=A62))),0),"")</f>
        <v/>
      </c>
      <c r="G62" s="2" t="str" cm="1">
        <f t="array" ref="G62">IFERROR(_xlfn.ARRAYTOTEXT(_xlfn.UNIQUE(_xlfn._xlws.FILTER(ubox[Failed Instance],(ubox[FirstError - IP (name)]=G$1)*(ubox[VisualID]=A62))),0),"")</f>
        <v/>
      </c>
      <c r="H62" s="2" t="str" cm="1">
        <f t="array" ref="H62">IFERROR(_xlfn.ARRAYTOTEXT(_xlfn.UNIQUE(_xlfn._xlws.FILTER(ubox[Failed Instance],(ubox[FirstError - IP (name)]=H$1)*(ubox[VisualID]=A62))),0),"")</f>
        <v/>
      </c>
    </row>
    <row r="63" spans="1:8" x14ac:dyDescent="0.3">
      <c r="A63" s="2"/>
      <c r="B63" s="2" t="str">
        <f t="shared" si="0"/>
        <v/>
      </c>
      <c r="D63" s="2" t="str" cm="1">
        <f t="array" ref="D63">IFERROR(_xlfn.ARRAYTOTEXT(_xlfn.UNIQUE(_xlfn._xlws.FILTER(ubox[Failed Instance],(ubox[FirstError - IP (name)]=D$1)*(ubox[VisualID]=A63))),0),"")</f>
        <v/>
      </c>
      <c r="E63" s="2" t="str" cm="1">
        <f t="array" ref="E63">IFERROR(_xlfn.ARRAYTOTEXT(_xlfn.UNIQUE(_xlfn._xlws.FILTER(ubox[Failed Instance],(ubox[FirstError - IP (name)]=E$1)*(ubox[VisualID]=A63))),0),"")</f>
        <v/>
      </c>
      <c r="F63" s="2" t="str" cm="1">
        <f t="array" ref="F63">IFERROR(_xlfn.ARRAYTOTEXT(_xlfn.UNIQUE(_xlfn._xlws.FILTER(ubox[Failed Instance],(ubox[FirstError - IP (name)]=F$1)*(ubox[VisualID]=A63))),0),"")</f>
        <v/>
      </c>
      <c r="G63" s="2" t="str" cm="1">
        <f t="array" ref="G63">IFERROR(_xlfn.ARRAYTOTEXT(_xlfn.UNIQUE(_xlfn._xlws.FILTER(ubox[Failed Instance],(ubox[FirstError - IP (name)]=G$1)*(ubox[VisualID]=A63))),0),"")</f>
        <v/>
      </c>
      <c r="H63" s="2" t="str" cm="1">
        <f t="array" ref="H63">IFERROR(_xlfn.ARRAYTOTEXT(_xlfn.UNIQUE(_xlfn._xlws.FILTER(ubox[Failed Instance],(ubox[FirstError - IP (name)]=H$1)*(ubox[VisualID]=A63))),0),"")</f>
        <v/>
      </c>
    </row>
    <row r="64" spans="1:8" x14ac:dyDescent="0.3">
      <c r="A64" s="2"/>
      <c r="B64" s="2" t="str">
        <f t="shared" si="0"/>
        <v/>
      </c>
      <c r="D64" s="2" t="str" cm="1">
        <f t="array" ref="D64">IFERROR(_xlfn.ARRAYTOTEXT(_xlfn.UNIQUE(_xlfn._xlws.FILTER(ubox[Failed Instance],(ubox[FirstError - IP (name)]=D$1)*(ubox[VisualID]=A64))),0),"")</f>
        <v/>
      </c>
      <c r="E64" s="2" t="str" cm="1">
        <f t="array" ref="E64">IFERROR(_xlfn.ARRAYTOTEXT(_xlfn.UNIQUE(_xlfn._xlws.FILTER(ubox[Failed Instance],(ubox[FirstError - IP (name)]=E$1)*(ubox[VisualID]=A64))),0),"")</f>
        <v/>
      </c>
      <c r="F64" s="2" t="str" cm="1">
        <f t="array" ref="F64">IFERROR(_xlfn.ARRAYTOTEXT(_xlfn.UNIQUE(_xlfn._xlws.FILTER(ubox[Failed Instance],(ubox[FirstError - IP (name)]=F$1)*(ubox[VisualID]=A64))),0),"")</f>
        <v/>
      </c>
      <c r="G64" s="2" t="str" cm="1">
        <f t="array" ref="G64">IFERROR(_xlfn.ARRAYTOTEXT(_xlfn.UNIQUE(_xlfn._xlws.FILTER(ubox[Failed Instance],(ubox[FirstError - IP (name)]=G$1)*(ubox[VisualID]=A64))),0),"")</f>
        <v/>
      </c>
      <c r="H64" s="2" t="str" cm="1">
        <f t="array" ref="H64">IFERROR(_xlfn.ARRAYTOTEXT(_xlfn.UNIQUE(_xlfn._xlws.FILTER(ubox[Failed Instance],(ubox[FirstError - IP (name)]=H$1)*(ubox[VisualID]=A64))),0),"")</f>
        <v/>
      </c>
    </row>
    <row r="65" spans="1:8" x14ac:dyDescent="0.3">
      <c r="A65" s="2"/>
      <c r="B65" s="2" t="str">
        <f t="shared" si="0"/>
        <v/>
      </c>
      <c r="D65" s="2" t="str" cm="1">
        <f t="array" ref="D65">IFERROR(_xlfn.ARRAYTOTEXT(_xlfn.UNIQUE(_xlfn._xlws.FILTER(ubox[Failed Instance],(ubox[FirstError - IP (name)]=D$1)*(ubox[VisualID]=A65))),0),"")</f>
        <v/>
      </c>
      <c r="E65" s="2" t="str" cm="1">
        <f t="array" ref="E65">IFERROR(_xlfn.ARRAYTOTEXT(_xlfn.UNIQUE(_xlfn._xlws.FILTER(ubox[Failed Instance],(ubox[FirstError - IP (name)]=E$1)*(ubox[VisualID]=A65))),0),"")</f>
        <v/>
      </c>
      <c r="F65" s="2" t="str" cm="1">
        <f t="array" ref="F65">IFERROR(_xlfn.ARRAYTOTEXT(_xlfn.UNIQUE(_xlfn._xlws.FILTER(ubox[Failed Instance],(ubox[FirstError - IP (name)]=F$1)*(ubox[VisualID]=A65))),0),"")</f>
        <v/>
      </c>
      <c r="G65" s="2" t="str" cm="1">
        <f t="array" ref="G65">IFERROR(_xlfn.ARRAYTOTEXT(_xlfn.UNIQUE(_xlfn._xlws.FILTER(ubox[Failed Instance],(ubox[FirstError - IP (name)]=G$1)*(ubox[VisualID]=A65))),0),"")</f>
        <v/>
      </c>
      <c r="H65" s="2" t="str" cm="1">
        <f t="array" ref="H65">IFERROR(_xlfn.ARRAYTOTEXT(_xlfn.UNIQUE(_xlfn._xlws.FILTER(ubox[Failed Instance],(ubox[FirstError - IP (name)]=H$1)*(ubox[VisualID]=A65))),0),"")</f>
        <v/>
      </c>
    </row>
    <row r="66" spans="1:8" x14ac:dyDescent="0.3">
      <c r="A66" s="2"/>
      <c r="B66" s="2" t="str">
        <f t="shared" si="0"/>
        <v/>
      </c>
      <c r="D66" s="2" t="str" cm="1">
        <f t="array" ref="D66">IFERROR(_xlfn.ARRAYTOTEXT(_xlfn.UNIQUE(_xlfn._xlws.FILTER(ubox[Failed Instance],(ubox[FirstError - IP (name)]=D$1)*(ubox[VisualID]=A66))),0),"")</f>
        <v/>
      </c>
      <c r="E66" s="2" t="str" cm="1">
        <f t="array" ref="E66">IFERROR(_xlfn.ARRAYTOTEXT(_xlfn.UNIQUE(_xlfn._xlws.FILTER(ubox[Failed Instance],(ubox[FirstError - IP (name)]=E$1)*(ubox[VisualID]=A66))),0),"")</f>
        <v/>
      </c>
      <c r="F66" s="2" t="str" cm="1">
        <f t="array" ref="F66">IFERROR(_xlfn.ARRAYTOTEXT(_xlfn.UNIQUE(_xlfn._xlws.FILTER(ubox[Failed Instance],(ubox[FirstError - IP (name)]=F$1)*(ubox[VisualID]=A66))),0),"")</f>
        <v/>
      </c>
      <c r="G66" s="2" t="str" cm="1">
        <f t="array" ref="G66">IFERROR(_xlfn.ARRAYTOTEXT(_xlfn.UNIQUE(_xlfn._xlws.FILTER(ubox[Failed Instance],(ubox[FirstError - IP (name)]=G$1)*(ubox[VisualID]=A66))),0),"")</f>
        <v/>
      </c>
      <c r="H66" s="2" t="str" cm="1">
        <f t="array" ref="H66">IFERROR(_xlfn.ARRAYTOTEXT(_xlfn.UNIQUE(_xlfn._xlws.FILTER(ubox[Failed Instance],(ubox[FirstError - IP (name)]=H$1)*(ubox[VisualID]=A66))),0),"")</f>
        <v/>
      </c>
    </row>
    <row r="67" spans="1:8" x14ac:dyDescent="0.3">
      <c r="A67" s="2"/>
      <c r="B67" s="2" t="str">
        <f t="shared" ref="B67:B130" si="1">_xlfn.TEXTJOIN(", ",1,D67:H67)</f>
        <v/>
      </c>
      <c r="D67" s="2" t="str" cm="1">
        <f t="array" ref="D67">IFERROR(_xlfn.ARRAYTOTEXT(_xlfn.UNIQUE(_xlfn._xlws.FILTER(ubox[Failed Instance],(ubox[FirstError - IP (name)]=D$1)*(ubox[VisualID]=A67))),0),"")</f>
        <v/>
      </c>
      <c r="E67" s="2" t="str" cm="1">
        <f t="array" ref="E67">IFERROR(_xlfn.ARRAYTOTEXT(_xlfn.UNIQUE(_xlfn._xlws.FILTER(ubox[Failed Instance],(ubox[FirstError - IP (name)]=E$1)*(ubox[VisualID]=A67))),0),"")</f>
        <v/>
      </c>
      <c r="F67" s="2" t="str" cm="1">
        <f t="array" ref="F67">IFERROR(_xlfn.ARRAYTOTEXT(_xlfn.UNIQUE(_xlfn._xlws.FILTER(ubox[Failed Instance],(ubox[FirstError - IP (name)]=F$1)*(ubox[VisualID]=A67))),0),"")</f>
        <v/>
      </c>
      <c r="G67" s="2" t="str" cm="1">
        <f t="array" ref="G67">IFERROR(_xlfn.ARRAYTOTEXT(_xlfn.UNIQUE(_xlfn._xlws.FILTER(ubox[Failed Instance],(ubox[FirstError - IP (name)]=G$1)*(ubox[VisualID]=A67))),0),"")</f>
        <v/>
      </c>
      <c r="H67" s="2" t="str" cm="1">
        <f t="array" ref="H67">IFERROR(_xlfn.ARRAYTOTEXT(_xlfn.UNIQUE(_xlfn._xlws.FILTER(ubox[Failed Instance],(ubox[FirstError - IP (name)]=H$1)*(ubox[VisualID]=A67))),0),"")</f>
        <v/>
      </c>
    </row>
    <row r="68" spans="1:8" x14ac:dyDescent="0.3">
      <c r="A68" s="2"/>
      <c r="B68" s="2" t="str">
        <f t="shared" si="1"/>
        <v/>
      </c>
      <c r="D68" s="2" t="str" cm="1">
        <f t="array" ref="D68">IFERROR(_xlfn.ARRAYTOTEXT(_xlfn.UNIQUE(_xlfn._xlws.FILTER(ubox[Failed Instance],(ubox[FirstError - IP (name)]=D$1)*(ubox[VisualID]=A68))),0),"")</f>
        <v/>
      </c>
      <c r="E68" s="2" t="str" cm="1">
        <f t="array" ref="E68">IFERROR(_xlfn.ARRAYTOTEXT(_xlfn.UNIQUE(_xlfn._xlws.FILTER(ubox[Failed Instance],(ubox[FirstError - IP (name)]=E$1)*(ubox[VisualID]=A68))),0),"")</f>
        <v/>
      </c>
      <c r="F68" s="2" t="str" cm="1">
        <f t="array" ref="F68">IFERROR(_xlfn.ARRAYTOTEXT(_xlfn.UNIQUE(_xlfn._xlws.FILTER(ubox[Failed Instance],(ubox[FirstError - IP (name)]=F$1)*(ubox[VisualID]=A68))),0),"")</f>
        <v/>
      </c>
      <c r="G68" s="2" t="str" cm="1">
        <f t="array" ref="G68">IFERROR(_xlfn.ARRAYTOTEXT(_xlfn.UNIQUE(_xlfn._xlws.FILTER(ubox[Failed Instance],(ubox[FirstError - IP (name)]=G$1)*(ubox[VisualID]=A68))),0),"")</f>
        <v/>
      </c>
      <c r="H68" s="2" t="str" cm="1">
        <f t="array" ref="H68">IFERROR(_xlfn.ARRAYTOTEXT(_xlfn.UNIQUE(_xlfn._xlws.FILTER(ubox[Failed Instance],(ubox[FirstError - IP (name)]=H$1)*(ubox[VisualID]=A68))),0),"")</f>
        <v/>
      </c>
    </row>
    <row r="69" spans="1:8" x14ac:dyDescent="0.3">
      <c r="A69" s="2"/>
      <c r="B69" s="2" t="str">
        <f t="shared" si="1"/>
        <v/>
      </c>
      <c r="D69" s="2" t="str" cm="1">
        <f t="array" ref="D69">IFERROR(_xlfn.ARRAYTOTEXT(_xlfn.UNIQUE(_xlfn._xlws.FILTER(ubox[Failed Instance],(ubox[FirstError - IP (name)]=D$1)*(ubox[VisualID]=A69))),0),"")</f>
        <v/>
      </c>
      <c r="E69" s="2" t="str" cm="1">
        <f t="array" ref="E69">IFERROR(_xlfn.ARRAYTOTEXT(_xlfn.UNIQUE(_xlfn._xlws.FILTER(ubox[Failed Instance],(ubox[FirstError - IP (name)]=E$1)*(ubox[VisualID]=A69))),0),"")</f>
        <v/>
      </c>
      <c r="F69" s="2" t="str" cm="1">
        <f t="array" ref="F69">IFERROR(_xlfn.ARRAYTOTEXT(_xlfn.UNIQUE(_xlfn._xlws.FILTER(ubox[Failed Instance],(ubox[FirstError - IP (name)]=F$1)*(ubox[VisualID]=A69))),0),"")</f>
        <v/>
      </c>
      <c r="G69" s="2" t="str" cm="1">
        <f t="array" ref="G69">IFERROR(_xlfn.ARRAYTOTEXT(_xlfn.UNIQUE(_xlfn._xlws.FILTER(ubox[Failed Instance],(ubox[FirstError - IP (name)]=G$1)*(ubox[VisualID]=A69))),0),"")</f>
        <v/>
      </c>
      <c r="H69" s="2" t="str" cm="1">
        <f t="array" ref="H69">IFERROR(_xlfn.ARRAYTOTEXT(_xlfn.UNIQUE(_xlfn._xlws.FILTER(ubox[Failed Instance],(ubox[FirstError - IP (name)]=H$1)*(ubox[VisualID]=A69))),0),"")</f>
        <v/>
      </c>
    </row>
    <row r="70" spans="1:8" x14ac:dyDescent="0.3">
      <c r="A70" s="2"/>
      <c r="B70" s="2" t="str">
        <f t="shared" si="1"/>
        <v/>
      </c>
      <c r="D70" s="2" t="str" cm="1">
        <f t="array" ref="D70">IFERROR(_xlfn.ARRAYTOTEXT(_xlfn.UNIQUE(_xlfn._xlws.FILTER(ubox[Failed Instance],(ubox[FirstError - IP (name)]=D$1)*(ubox[VisualID]=A70))),0),"")</f>
        <v/>
      </c>
      <c r="E70" s="2" t="str" cm="1">
        <f t="array" ref="E70">IFERROR(_xlfn.ARRAYTOTEXT(_xlfn.UNIQUE(_xlfn._xlws.FILTER(ubox[Failed Instance],(ubox[FirstError - IP (name)]=E$1)*(ubox[VisualID]=A70))),0),"")</f>
        <v/>
      </c>
      <c r="F70" s="2" t="str" cm="1">
        <f t="array" ref="F70">IFERROR(_xlfn.ARRAYTOTEXT(_xlfn.UNIQUE(_xlfn._xlws.FILTER(ubox[Failed Instance],(ubox[FirstError - IP (name)]=F$1)*(ubox[VisualID]=A70))),0),"")</f>
        <v/>
      </c>
      <c r="G70" s="2" t="str" cm="1">
        <f t="array" ref="G70">IFERROR(_xlfn.ARRAYTOTEXT(_xlfn.UNIQUE(_xlfn._xlws.FILTER(ubox[Failed Instance],(ubox[FirstError - IP (name)]=G$1)*(ubox[VisualID]=A70))),0),"")</f>
        <v/>
      </c>
      <c r="H70" s="2" t="str" cm="1">
        <f t="array" ref="H70">IFERROR(_xlfn.ARRAYTOTEXT(_xlfn.UNIQUE(_xlfn._xlws.FILTER(ubox[Failed Instance],(ubox[FirstError - IP (name)]=H$1)*(ubox[VisualID]=A70))),0),"")</f>
        <v/>
      </c>
    </row>
    <row r="71" spans="1:8" x14ac:dyDescent="0.3">
      <c r="A71" s="2"/>
      <c r="B71" s="2" t="str">
        <f t="shared" si="1"/>
        <v/>
      </c>
      <c r="D71" s="2" t="str" cm="1">
        <f t="array" ref="D71">IFERROR(_xlfn.ARRAYTOTEXT(_xlfn.UNIQUE(_xlfn._xlws.FILTER(ubox[Failed Instance],(ubox[FirstError - IP (name)]=D$1)*(ubox[VisualID]=A71))),0),"")</f>
        <v/>
      </c>
      <c r="E71" s="2" t="str" cm="1">
        <f t="array" ref="E71">IFERROR(_xlfn.ARRAYTOTEXT(_xlfn.UNIQUE(_xlfn._xlws.FILTER(ubox[Failed Instance],(ubox[FirstError - IP (name)]=E$1)*(ubox[VisualID]=A71))),0),"")</f>
        <v/>
      </c>
      <c r="F71" s="2" t="str" cm="1">
        <f t="array" ref="F71">IFERROR(_xlfn.ARRAYTOTEXT(_xlfn.UNIQUE(_xlfn._xlws.FILTER(ubox[Failed Instance],(ubox[FirstError - IP (name)]=F$1)*(ubox[VisualID]=A71))),0),"")</f>
        <v/>
      </c>
      <c r="G71" s="2" t="str" cm="1">
        <f t="array" ref="G71">IFERROR(_xlfn.ARRAYTOTEXT(_xlfn.UNIQUE(_xlfn._xlws.FILTER(ubox[Failed Instance],(ubox[FirstError - IP (name)]=G$1)*(ubox[VisualID]=A71))),0),"")</f>
        <v/>
      </c>
      <c r="H71" s="2" t="str" cm="1">
        <f t="array" ref="H71">IFERROR(_xlfn.ARRAYTOTEXT(_xlfn.UNIQUE(_xlfn._xlws.FILTER(ubox[Failed Instance],(ubox[FirstError - IP (name)]=H$1)*(ubox[VisualID]=A71))),0),"")</f>
        <v/>
      </c>
    </row>
    <row r="72" spans="1:8" x14ac:dyDescent="0.3">
      <c r="A72" s="2"/>
      <c r="B72" s="2" t="str">
        <f t="shared" si="1"/>
        <v/>
      </c>
      <c r="D72" s="2" t="str" cm="1">
        <f t="array" ref="D72">IFERROR(_xlfn.ARRAYTOTEXT(_xlfn.UNIQUE(_xlfn._xlws.FILTER(ubox[Failed Instance],(ubox[FirstError - IP (name)]=D$1)*(ubox[VisualID]=A72))),0),"")</f>
        <v/>
      </c>
      <c r="E72" s="2" t="str" cm="1">
        <f t="array" ref="E72">IFERROR(_xlfn.ARRAYTOTEXT(_xlfn.UNIQUE(_xlfn._xlws.FILTER(ubox[Failed Instance],(ubox[FirstError - IP (name)]=E$1)*(ubox[VisualID]=A72))),0),"")</f>
        <v/>
      </c>
      <c r="F72" s="2" t="str" cm="1">
        <f t="array" ref="F72">IFERROR(_xlfn.ARRAYTOTEXT(_xlfn.UNIQUE(_xlfn._xlws.FILTER(ubox[Failed Instance],(ubox[FirstError - IP (name)]=F$1)*(ubox[VisualID]=A72))),0),"")</f>
        <v/>
      </c>
      <c r="G72" s="2" t="str" cm="1">
        <f t="array" ref="G72">IFERROR(_xlfn.ARRAYTOTEXT(_xlfn.UNIQUE(_xlfn._xlws.FILTER(ubox[Failed Instance],(ubox[FirstError - IP (name)]=G$1)*(ubox[VisualID]=A72))),0),"")</f>
        <v/>
      </c>
      <c r="H72" s="2" t="str" cm="1">
        <f t="array" ref="H72">IFERROR(_xlfn.ARRAYTOTEXT(_xlfn.UNIQUE(_xlfn._xlws.FILTER(ubox[Failed Instance],(ubox[FirstError - IP (name)]=H$1)*(ubox[VisualID]=A72))),0),"")</f>
        <v/>
      </c>
    </row>
    <row r="73" spans="1:8" x14ac:dyDescent="0.3">
      <c r="A73" s="2"/>
      <c r="B73" s="2" t="str">
        <f t="shared" si="1"/>
        <v/>
      </c>
      <c r="D73" s="2" t="str" cm="1">
        <f t="array" ref="D73">IFERROR(_xlfn.ARRAYTOTEXT(_xlfn.UNIQUE(_xlfn._xlws.FILTER(ubox[Failed Instance],(ubox[FirstError - IP (name)]=D$1)*(ubox[VisualID]=A73))),0),"")</f>
        <v/>
      </c>
      <c r="E73" s="2" t="str" cm="1">
        <f t="array" ref="E73">IFERROR(_xlfn.ARRAYTOTEXT(_xlfn.UNIQUE(_xlfn._xlws.FILTER(ubox[Failed Instance],(ubox[FirstError - IP (name)]=E$1)*(ubox[VisualID]=A73))),0),"")</f>
        <v/>
      </c>
      <c r="F73" s="2" t="str" cm="1">
        <f t="array" ref="F73">IFERROR(_xlfn.ARRAYTOTEXT(_xlfn.UNIQUE(_xlfn._xlws.FILTER(ubox[Failed Instance],(ubox[FirstError - IP (name)]=F$1)*(ubox[VisualID]=A73))),0),"")</f>
        <v/>
      </c>
      <c r="G73" s="2" t="str" cm="1">
        <f t="array" ref="G73">IFERROR(_xlfn.ARRAYTOTEXT(_xlfn.UNIQUE(_xlfn._xlws.FILTER(ubox[Failed Instance],(ubox[FirstError - IP (name)]=G$1)*(ubox[VisualID]=A73))),0),"")</f>
        <v/>
      </c>
      <c r="H73" s="2" t="str" cm="1">
        <f t="array" ref="H73">IFERROR(_xlfn.ARRAYTOTEXT(_xlfn.UNIQUE(_xlfn._xlws.FILTER(ubox[Failed Instance],(ubox[FirstError - IP (name)]=H$1)*(ubox[VisualID]=A73))),0),"")</f>
        <v/>
      </c>
    </row>
    <row r="74" spans="1:8" x14ac:dyDescent="0.3">
      <c r="A74" s="2"/>
      <c r="B74" s="2" t="str">
        <f t="shared" si="1"/>
        <v/>
      </c>
      <c r="D74" s="2" t="str" cm="1">
        <f t="array" ref="D74">IFERROR(_xlfn.ARRAYTOTEXT(_xlfn.UNIQUE(_xlfn._xlws.FILTER(ubox[Failed Instance],(ubox[FirstError - IP (name)]=D$1)*(ubox[VisualID]=A74))),0),"")</f>
        <v/>
      </c>
      <c r="E74" s="2" t="str" cm="1">
        <f t="array" ref="E74">IFERROR(_xlfn.ARRAYTOTEXT(_xlfn.UNIQUE(_xlfn._xlws.FILTER(ubox[Failed Instance],(ubox[FirstError - IP (name)]=E$1)*(ubox[VisualID]=A74))),0),"")</f>
        <v/>
      </c>
      <c r="F74" s="2" t="str" cm="1">
        <f t="array" ref="F74">IFERROR(_xlfn.ARRAYTOTEXT(_xlfn.UNIQUE(_xlfn._xlws.FILTER(ubox[Failed Instance],(ubox[FirstError - IP (name)]=F$1)*(ubox[VisualID]=A74))),0),"")</f>
        <v/>
      </c>
      <c r="G74" s="2" t="str" cm="1">
        <f t="array" ref="G74">IFERROR(_xlfn.ARRAYTOTEXT(_xlfn.UNIQUE(_xlfn._xlws.FILTER(ubox[Failed Instance],(ubox[FirstError - IP (name)]=G$1)*(ubox[VisualID]=A74))),0),"")</f>
        <v/>
      </c>
      <c r="H74" s="2" t="str" cm="1">
        <f t="array" ref="H74">IFERROR(_xlfn.ARRAYTOTEXT(_xlfn.UNIQUE(_xlfn._xlws.FILTER(ubox[Failed Instance],(ubox[FirstError - IP (name)]=H$1)*(ubox[VisualID]=A74))),0),"")</f>
        <v/>
      </c>
    </row>
    <row r="75" spans="1:8" x14ac:dyDescent="0.3">
      <c r="A75" s="2"/>
      <c r="B75" s="2" t="str">
        <f t="shared" si="1"/>
        <v/>
      </c>
      <c r="D75" s="2" t="str" cm="1">
        <f t="array" ref="D75">IFERROR(_xlfn.ARRAYTOTEXT(_xlfn.UNIQUE(_xlfn._xlws.FILTER(ubox[Failed Instance],(ubox[FirstError - IP (name)]=D$1)*(ubox[VisualID]=A75))),0),"")</f>
        <v/>
      </c>
      <c r="E75" s="2" t="str" cm="1">
        <f t="array" ref="E75">IFERROR(_xlfn.ARRAYTOTEXT(_xlfn.UNIQUE(_xlfn._xlws.FILTER(ubox[Failed Instance],(ubox[FirstError - IP (name)]=E$1)*(ubox[VisualID]=A75))),0),"")</f>
        <v/>
      </c>
      <c r="F75" s="2" t="str" cm="1">
        <f t="array" ref="F75">IFERROR(_xlfn.ARRAYTOTEXT(_xlfn.UNIQUE(_xlfn._xlws.FILTER(ubox[Failed Instance],(ubox[FirstError - IP (name)]=F$1)*(ubox[VisualID]=A75))),0),"")</f>
        <v/>
      </c>
      <c r="G75" s="2" t="str" cm="1">
        <f t="array" ref="G75">IFERROR(_xlfn.ARRAYTOTEXT(_xlfn.UNIQUE(_xlfn._xlws.FILTER(ubox[Failed Instance],(ubox[FirstError - IP (name)]=G$1)*(ubox[VisualID]=A75))),0),"")</f>
        <v/>
      </c>
      <c r="H75" s="2" t="str" cm="1">
        <f t="array" ref="H75">IFERROR(_xlfn.ARRAYTOTEXT(_xlfn.UNIQUE(_xlfn._xlws.FILTER(ubox[Failed Instance],(ubox[FirstError - IP (name)]=H$1)*(ubox[VisualID]=A75))),0),"")</f>
        <v/>
      </c>
    </row>
    <row r="76" spans="1:8" x14ac:dyDescent="0.3">
      <c r="A76" s="2"/>
      <c r="B76" s="2" t="str">
        <f t="shared" si="1"/>
        <v/>
      </c>
      <c r="D76" s="2" t="str" cm="1">
        <f t="array" ref="D76">IFERROR(_xlfn.ARRAYTOTEXT(_xlfn.UNIQUE(_xlfn._xlws.FILTER(ubox[Failed Instance],(ubox[FirstError - IP (name)]=D$1)*(ubox[VisualID]=A76))),0),"")</f>
        <v/>
      </c>
      <c r="E76" s="2" t="str" cm="1">
        <f t="array" ref="E76">IFERROR(_xlfn.ARRAYTOTEXT(_xlfn.UNIQUE(_xlfn._xlws.FILTER(ubox[Failed Instance],(ubox[FirstError - IP (name)]=E$1)*(ubox[VisualID]=A76))),0),"")</f>
        <v/>
      </c>
      <c r="F76" s="2" t="str" cm="1">
        <f t="array" ref="F76">IFERROR(_xlfn.ARRAYTOTEXT(_xlfn.UNIQUE(_xlfn._xlws.FILTER(ubox[Failed Instance],(ubox[FirstError - IP (name)]=F$1)*(ubox[VisualID]=A76))),0),"")</f>
        <v/>
      </c>
      <c r="G76" s="2" t="str" cm="1">
        <f t="array" ref="G76">IFERROR(_xlfn.ARRAYTOTEXT(_xlfn.UNIQUE(_xlfn._xlws.FILTER(ubox[Failed Instance],(ubox[FirstError - IP (name)]=G$1)*(ubox[VisualID]=A76))),0),"")</f>
        <v/>
      </c>
      <c r="H76" s="2" t="str" cm="1">
        <f t="array" ref="H76">IFERROR(_xlfn.ARRAYTOTEXT(_xlfn.UNIQUE(_xlfn._xlws.FILTER(ubox[Failed Instance],(ubox[FirstError - IP (name)]=H$1)*(ubox[VisualID]=A76))),0),"")</f>
        <v/>
      </c>
    </row>
    <row r="77" spans="1:8" x14ac:dyDescent="0.3">
      <c r="A77" s="2"/>
      <c r="B77" s="2" t="str">
        <f t="shared" si="1"/>
        <v/>
      </c>
      <c r="D77" s="2" t="str" cm="1">
        <f t="array" ref="D77">IFERROR(_xlfn.ARRAYTOTEXT(_xlfn.UNIQUE(_xlfn._xlws.FILTER(ubox[Failed Instance],(ubox[FirstError - IP (name)]=D$1)*(ubox[VisualID]=A77))),0),"")</f>
        <v/>
      </c>
      <c r="E77" s="2" t="str" cm="1">
        <f t="array" ref="E77">IFERROR(_xlfn.ARRAYTOTEXT(_xlfn.UNIQUE(_xlfn._xlws.FILTER(ubox[Failed Instance],(ubox[FirstError - IP (name)]=E$1)*(ubox[VisualID]=A77))),0),"")</f>
        <v/>
      </c>
      <c r="F77" s="2" t="str" cm="1">
        <f t="array" ref="F77">IFERROR(_xlfn.ARRAYTOTEXT(_xlfn.UNIQUE(_xlfn._xlws.FILTER(ubox[Failed Instance],(ubox[FirstError - IP (name)]=F$1)*(ubox[VisualID]=A77))),0),"")</f>
        <v/>
      </c>
      <c r="G77" s="2" t="str" cm="1">
        <f t="array" ref="G77">IFERROR(_xlfn.ARRAYTOTEXT(_xlfn.UNIQUE(_xlfn._xlws.FILTER(ubox[Failed Instance],(ubox[FirstError - IP (name)]=G$1)*(ubox[VisualID]=A77))),0),"")</f>
        <v/>
      </c>
      <c r="H77" s="2" t="str" cm="1">
        <f t="array" ref="H77">IFERROR(_xlfn.ARRAYTOTEXT(_xlfn.UNIQUE(_xlfn._xlws.FILTER(ubox[Failed Instance],(ubox[FirstError - IP (name)]=H$1)*(ubox[VisualID]=A77))),0),"")</f>
        <v/>
      </c>
    </row>
    <row r="78" spans="1:8" x14ac:dyDescent="0.3">
      <c r="A78" s="2"/>
      <c r="B78" s="2" t="str">
        <f t="shared" si="1"/>
        <v/>
      </c>
      <c r="D78" s="2" t="str" cm="1">
        <f t="array" ref="D78">IFERROR(_xlfn.ARRAYTOTEXT(_xlfn.UNIQUE(_xlfn._xlws.FILTER(ubox[Failed Instance],(ubox[FirstError - IP (name)]=D$1)*(ubox[VisualID]=A78))),0),"")</f>
        <v/>
      </c>
      <c r="E78" s="2" t="str" cm="1">
        <f t="array" ref="E78">IFERROR(_xlfn.ARRAYTOTEXT(_xlfn.UNIQUE(_xlfn._xlws.FILTER(ubox[Failed Instance],(ubox[FirstError - IP (name)]=E$1)*(ubox[VisualID]=A78))),0),"")</f>
        <v/>
      </c>
      <c r="F78" s="2" t="str" cm="1">
        <f t="array" ref="F78">IFERROR(_xlfn.ARRAYTOTEXT(_xlfn.UNIQUE(_xlfn._xlws.FILTER(ubox[Failed Instance],(ubox[FirstError - IP (name)]=F$1)*(ubox[VisualID]=A78))),0),"")</f>
        <v/>
      </c>
      <c r="G78" s="2" t="str" cm="1">
        <f t="array" ref="G78">IFERROR(_xlfn.ARRAYTOTEXT(_xlfn.UNIQUE(_xlfn._xlws.FILTER(ubox[Failed Instance],(ubox[FirstError - IP (name)]=G$1)*(ubox[VisualID]=A78))),0),"")</f>
        <v/>
      </c>
      <c r="H78" s="2" t="str" cm="1">
        <f t="array" ref="H78">IFERROR(_xlfn.ARRAYTOTEXT(_xlfn.UNIQUE(_xlfn._xlws.FILTER(ubox[Failed Instance],(ubox[FirstError - IP (name)]=H$1)*(ubox[VisualID]=A78))),0),"")</f>
        <v/>
      </c>
    </row>
    <row r="79" spans="1:8" x14ac:dyDescent="0.3">
      <c r="A79" s="2"/>
      <c r="B79" s="2" t="str">
        <f t="shared" si="1"/>
        <v/>
      </c>
      <c r="D79" s="2" t="str" cm="1">
        <f t="array" ref="D79">IFERROR(_xlfn.ARRAYTOTEXT(_xlfn.UNIQUE(_xlfn._xlws.FILTER(ubox[Failed Instance],(ubox[FirstError - IP (name)]=D$1)*(ubox[VisualID]=A79))),0),"")</f>
        <v/>
      </c>
      <c r="E79" s="2" t="str" cm="1">
        <f t="array" ref="E79">IFERROR(_xlfn.ARRAYTOTEXT(_xlfn.UNIQUE(_xlfn._xlws.FILTER(ubox[Failed Instance],(ubox[FirstError - IP (name)]=E$1)*(ubox[VisualID]=A79))),0),"")</f>
        <v/>
      </c>
      <c r="F79" s="2" t="str" cm="1">
        <f t="array" ref="F79">IFERROR(_xlfn.ARRAYTOTEXT(_xlfn.UNIQUE(_xlfn._xlws.FILTER(ubox[Failed Instance],(ubox[FirstError - IP (name)]=F$1)*(ubox[VisualID]=A79))),0),"")</f>
        <v/>
      </c>
      <c r="G79" s="2" t="str" cm="1">
        <f t="array" ref="G79">IFERROR(_xlfn.ARRAYTOTEXT(_xlfn.UNIQUE(_xlfn._xlws.FILTER(ubox[Failed Instance],(ubox[FirstError - IP (name)]=G$1)*(ubox[VisualID]=A79))),0),"")</f>
        <v/>
      </c>
      <c r="H79" s="2" t="str" cm="1">
        <f t="array" ref="H79">IFERROR(_xlfn.ARRAYTOTEXT(_xlfn.UNIQUE(_xlfn._xlws.FILTER(ubox[Failed Instance],(ubox[FirstError - IP (name)]=H$1)*(ubox[VisualID]=A79))),0),"")</f>
        <v/>
      </c>
    </row>
    <row r="80" spans="1:8" x14ac:dyDescent="0.3">
      <c r="A80" s="2"/>
      <c r="B80" s="2" t="str">
        <f t="shared" si="1"/>
        <v/>
      </c>
      <c r="D80" s="2" t="str" cm="1">
        <f t="array" ref="D80">IFERROR(_xlfn.ARRAYTOTEXT(_xlfn.UNIQUE(_xlfn._xlws.FILTER(ubox[Failed Instance],(ubox[FirstError - IP (name)]=D$1)*(ubox[VisualID]=A80))),0),"")</f>
        <v/>
      </c>
      <c r="E80" s="2" t="str" cm="1">
        <f t="array" ref="E80">IFERROR(_xlfn.ARRAYTOTEXT(_xlfn.UNIQUE(_xlfn._xlws.FILTER(ubox[Failed Instance],(ubox[FirstError - IP (name)]=E$1)*(ubox[VisualID]=A80))),0),"")</f>
        <v/>
      </c>
      <c r="F80" s="2" t="str" cm="1">
        <f t="array" ref="F80">IFERROR(_xlfn.ARRAYTOTEXT(_xlfn.UNIQUE(_xlfn._xlws.FILTER(ubox[Failed Instance],(ubox[FirstError - IP (name)]=F$1)*(ubox[VisualID]=A80))),0),"")</f>
        <v/>
      </c>
      <c r="G80" s="2" t="str" cm="1">
        <f t="array" ref="G80">IFERROR(_xlfn.ARRAYTOTEXT(_xlfn.UNIQUE(_xlfn._xlws.FILTER(ubox[Failed Instance],(ubox[FirstError - IP (name)]=G$1)*(ubox[VisualID]=A80))),0),"")</f>
        <v/>
      </c>
      <c r="H80" s="2" t="str" cm="1">
        <f t="array" ref="H80">IFERROR(_xlfn.ARRAYTOTEXT(_xlfn.UNIQUE(_xlfn._xlws.FILTER(ubox[Failed Instance],(ubox[FirstError - IP (name)]=H$1)*(ubox[VisualID]=A80))),0),"")</f>
        <v/>
      </c>
    </row>
    <row r="81" spans="1:8" x14ac:dyDescent="0.3">
      <c r="A81" s="2"/>
      <c r="B81" s="2" t="str">
        <f t="shared" si="1"/>
        <v/>
      </c>
      <c r="D81" s="2" t="str" cm="1">
        <f t="array" ref="D81">IFERROR(_xlfn.ARRAYTOTEXT(_xlfn.UNIQUE(_xlfn._xlws.FILTER(ubox[Failed Instance],(ubox[FirstError - IP (name)]=D$1)*(ubox[VisualID]=A81))),0),"")</f>
        <v/>
      </c>
      <c r="E81" s="2" t="str" cm="1">
        <f t="array" ref="E81">IFERROR(_xlfn.ARRAYTOTEXT(_xlfn.UNIQUE(_xlfn._xlws.FILTER(ubox[Failed Instance],(ubox[FirstError - IP (name)]=E$1)*(ubox[VisualID]=A81))),0),"")</f>
        <v/>
      </c>
      <c r="F81" s="2" t="str" cm="1">
        <f t="array" ref="F81">IFERROR(_xlfn.ARRAYTOTEXT(_xlfn.UNIQUE(_xlfn._xlws.FILTER(ubox[Failed Instance],(ubox[FirstError - IP (name)]=F$1)*(ubox[VisualID]=A81))),0),"")</f>
        <v/>
      </c>
      <c r="G81" s="2" t="str" cm="1">
        <f t="array" ref="G81">IFERROR(_xlfn.ARRAYTOTEXT(_xlfn.UNIQUE(_xlfn._xlws.FILTER(ubox[Failed Instance],(ubox[FirstError - IP (name)]=G$1)*(ubox[VisualID]=A81))),0),"")</f>
        <v/>
      </c>
      <c r="H81" s="2" t="str" cm="1">
        <f t="array" ref="H81">IFERROR(_xlfn.ARRAYTOTEXT(_xlfn.UNIQUE(_xlfn._xlws.FILTER(ubox[Failed Instance],(ubox[FirstError - IP (name)]=H$1)*(ubox[VisualID]=A81))),0),"")</f>
        <v/>
      </c>
    </row>
    <row r="82" spans="1:8" x14ac:dyDescent="0.3">
      <c r="A82" s="2"/>
      <c r="B82" s="2" t="str">
        <f t="shared" si="1"/>
        <v/>
      </c>
      <c r="D82" s="2" t="str" cm="1">
        <f t="array" ref="D82">IFERROR(_xlfn.ARRAYTOTEXT(_xlfn.UNIQUE(_xlfn._xlws.FILTER(ubox[Failed Instance],(ubox[FirstError - IP (name)]=D$1)*(ubox[VisualID]=A82))),0),"")</f>
        <v/>
      </c>
      <c r="E82" s="2" t="str" cm="1">
        <f t="array" ref="E82">IFERROR(_xlfn.ARRAYTOTEXT(_xlfn.UNIQUE(_xlfn._xlws.FILTER(ubox[Failed Instance],(ubox[FirstError - IP (name)]=E$1)*(ubox[VisualID]=A82))),0),"")</f>
        <v/>
      </c>
      <c r="F82" s="2" t="str" cm="1">
        <f t="array" ref="F82">IFERROR(_xlfn.ARRAYTOTEXT(_xlfn.UNIQUE(_xlfn._xlws.FILTER(ubox[Failed Instance],(ubox[FirstError - IP (name)]=F$1)*(ubox[VisualID]=A82))),0),"")</f>
        <v/>
      </c>
      <c r="G82" s="2" t="str" cm="1">
        <f t="array" ref="G82">IFERROR(_xlfn.ARRAYTOTEXT(_xlfn.UNIQUE(_xlfn._xlws.FILTER(ubox[Failed Instance],(ubox[FirstError - IP (name)]=G$1)*(ubox[VisualID]=A82))),0),"")</f>
        <v/>
      </c>
      <c r="H82" s="2" t="str" cm="1">
        <f t="array" ref="H82">IFERROR(_xlfn.ARRAYTOTEXT(_xlfn.UNIQUE(_xlfn._xlws.FILTER(ubox[Failed Instance],(ubox[FirstError - IP (name)]=H$1)*(ubox[VisualID]=A82))),0),"")</f>
        <v/>
      </c>
    </row>
    <row r="83" spans="1:8" x14ac:dyDescent="0.3">
      <c r="A83" s="2"/>
      <c r="B83" s="2" t="str">
        <f t="shared" si="1"/>
        <v/>
      </c>
      <c r="D83" s="2" t="str" cm="1">
        <f t="array" ref="D83">IFERROR(_xlfn.ARRAYTOTEXT(_xlfn.UNIQUE(_xlfn._xlws.FILTER(ubox[Failed Instance],(ubox[FirstError - IP (name)]=D$1)*(ubox[VisualID]=A83))),0),"")</f>
        <v/>
      </c>
      <c r="E83" s="2" t="str" cm="1">
        <f t="array" ref="E83">IFERROR(_xlfn.ARRAYTOTEXT(_xlfn.UNIQUE(_xlfn._xlws.FILTER(ubox[Failed Instance],(ubox[FirstError - IP (name)]=E$1)*(ubox[VisualID]=A83))),0),"")</f>
        <v/>
      </c>
      <c r="F83" s="2" t="str" cm="1">
        <f t="array" ref="F83">IFERROR(_xlfn.ARRAYTOTEXT(_xlfn.UNIQUE(_xlfn._xlws.FILTER(ubox[Failed Instance],(ubox[FirstError - IP (name)]=F$1)*(ubox[VisualID]=A83))),0),"")</f>
        <v/>
      </c>
      <c r="G83" s="2" t="str" cm="1">
        <f t="array" ref="G83">IFERROR(_xlfn.ARRAYTOTEXT(_xlfn.UNIQUE(_xlfn._xlws.FILTER(ubox[Failed Instance],(ubox[FirstError - IP (name)]=G$1)*(ubox[VisualID]=A83))),0),"")</f>
        <v/>
      </c>
      <c r="H83" s="2" t="str" cm="1">
        <f t="array" ref="H83">IFERROR(_xlfn.ARRAYTOTEXT(_xlfn.UNIQUE(_xlfn._xlws.FILTER(ubox[Failed Instance],(ubox[FirstError - IP (name)]=H$1)*(ubox[VisualID]=A83))),0),"")</f>
        <v/>
      </c>
    </row>
    <row r="84" spans="1:8" x14ac:dyDescent="0.3">
      <c r="A84" s="2"/>
      <c r="B84" s="2" t="str">
        <f t="shared" si="1"/>
        <v/>
      </c>
      <c r="D84" s="2" t="str" cm="1">
        <f t="array" ref="D84">IFERROR(_xlfn.ARRAYTOTEXT(_xlfn.UNIQUE(_xlfn._xlws.FILTER(ubox[Failed Instance],(ubox[FirstError - IP (name)]=D$1)*(ubox[VisualID]=A84))),0),"")</f>
        <v/>
      </c>
      <c r="E84" s="2" t="str" cm="1">
        <f t="array" ref="E84">IFERROR(_xlfn.ARRAYTOTEXT(_xlfn.UNIQUE(_xlfn._xlws.FILTER(ubox[Failed Instance],(ubox[FirstError - IP (name)]=E$1)*(ubox[VisualID]=A84))),0),"")</f>
        <v/>
      </c>
      <c r="F84" s="2" t="str" cm="1">
        <f t="array" ref="F84">IFERROR(_xlfn.ARRAYTOTEXT(_xlfn.UNIQUE(_xlfn._xlws.FILTER(ubox[Failed Instance],(ubox[FirstError - IP (name)]=F$1)*(ubox[VisualID]=A84))),0),"")</f>
        <v/>
      </c>
      <c r="G84" s="2" t="str" cm="1">
        <f t="array" ref="G84">IFERROR(_xlfn.ARRAYTOTEXT(_xlfn.UNIQUE(_xlfn._xlws.FILTER(ubox[Failed Instance],(ubox[FirstError - IP (name)]=G$1)*(ubox[VisualID]=A84))),0),"")</f>
        <v/>
      </c>
      <c r="H84" s="2" t="str" cm="1">
        <f t="array" ref="H84">IFERROR(_xlfn.ARRAYTOTEXT(_xlfn.UNIQUE(_xlfn._xlws.FILTER(ubox[Failed Instance],(ubox[FirstError - IP (name)]=H$1)*(ubox[VisualID]=A84))),0),"")</f>
        <v/>
      </c>
    </row>
    <row r="85" spans="1:8" x14ac:dyDescent="0.3">
      <c r="A85" s="2"/>
      <c r="B85" s="2" t="str">
        <f t="shared" si="1"/>
        <v/>
      </c>
      <c r="D85" s="2" t="str" cm="1">
        <f t="array" ref="D85">IFERROR(_xlfn.ARRAYTOTEXT(_xlfn.UNIQUE(_xlfn._xlws.FILTER(ubox[Failed Instance],(ubox[FirstError - IP (name)]=D$1)*(ubox[VisualID]=A85))),0),"")</f>
        <v/>
      </c>
      <c r="E85" s="2" t="str" cm="1">
        <f t="array" ref="E85">IFERROR(_xlfn.ARRAYTOTEXT(_xlfn.UNIQUE(_xlfn._xlws.FILTER(ubox[Failed Instance],(ubox[FirstError - IP (name)]=E$1)*(ubox[VisualID]=A85))),0),"")</f>
        <v/>
      </c>
      <c r="F85" s="2" t="str" cm="1">
        <f t="array" ref="F85">IFERROR(_xlfn.ARRAYTOTEXT(_xlfn.UNIQUE(_xlfn._xlws.FILTER(ubox[Failed Instance],(ubox[FirstError - IP (name)]=F$1)*(ubox[VisualID]=A85))),0),"")</f>
        <v/>
      </c>
      <c r="G85" s="2" t="str" cm="1">
        <f t="array" ref="G85">IFERROR(_xlfn.ARRAYTOTEXT(_xlfn.UNIQUE(_xlfn._xlws.FILTER(ubox[Failed Instance],(ubox[FirstError - IP (name)]=G$1)*(ubox[VisualID]=A85))),0),"")</f>
        <v/>
      </c>
      <c r="H85" s="2" t="str" cm="1">
        <f t="array" ref="H85">IFERROR(_xlfn.ARRAYTOTEXT(_xlfn.UNIQUE(_xlfn._xlws.FILTER(ubox[Failed Instance],(ubox[FirstError - IP (name)]=H$1)*(ubox[VisualID]=A85))),0),"")</f>
        <v/>
      </c>
    </row>
    <row r="86" spans="1:8" x14ac:dyDescent="0.3">
      <c r="A86" s="2"/>
      <c r="B86" s="2" t="str">
        <f t="shared" si="1"/>
        <v/>
      </c>
      <c r="D86" s="2" t="str" cm="1">
        <f t="array" ref="D86">IFERROR(_xlfn.ARRAYTOTEXT(_xlfn.UNIQUE(_xlfn._xlws.FILTER(ubox[Failed Instance],(ubox[FirstError - IP (name)]=D$1)*(ubox[VisualID]=A86))),0),"")</f>
        <v/>
      </c>
      <c r="E86" s="2" t="str" cm="1">
        <f t="array" ref="E86">IFERROR(_xlfn.ARRAYTOTEXT(_xlfn.UNIQUE(_xlfn._xlws.FILTER(ubox[Failed Instance],(ubox[FirstError - IP (name)]=E$1)*(ubox[VisualID]=A86))),0),"")</f>
        <v/>
      </c>
      <c r="F86" s="2" t="str" cm="1">
        <f t="array" ref="F86">IFERROR(_xlfn.ARRAYTOTEXT(_xlfn.UNIQUE(_xlfn._xlws.FILTER(ubox[Failed Instance],(ubox[FirstError - IP (name)]=F$1)*(ubox[VisualID]=A86))),0),"")</f>
        <v/>
      </c>
      <c r="G86" s="2" t="str" cm="1">
        <f t="array" ref="G86">IFERROR(_xlfn.ARRAYTOTEXT(_xlfn.UNIQUE(_xlfn._xlws.FILTER(ubox[Failed Instance],(ubox[FirstError - IP (name)]=G$1)*(ubox[VisualID]=A86))),0),"")</f>
        <v/>
      </c>
      <c r="H86" s="2" t="str" cm="1">
        <f t="array" ref="H86">IFERROR(_xlfn.ARRAYTOTEXT(_xlfn.UNIQUE(_xlfn._xlws.FILTER(ubox[Failed Instance],(ubox[FirstError - IP (name)]=H$1)*(ubox[VisualID]=A86))),0),"")</f>
        <v/>
      </c>
    </row>
    <row r="87" spans="1:8" x14ac:dyDescent="0.3">
      <c r="A87" s="2"/>
      <c r="B87" s="2" t="str">
        <f t="shared" si="1"/>
        <v/>
      </c>
      <c r="D87" s="2" t="str" cm="1">
        <f t="array" ref="D87">IFERROR(_xlfn.ARRAYTOTEXT(_xlfn.UNIQUE(_xlfn._xlws.FILTER(ubox[Failed Instance],(ubox[FirstError - IP (name)]=D$1)*(ubox[VisualID]=A87))),0),"")</f>
        <v/>
      </c>
      <c r="E87" s="2" t="str" cm="1">
        <f t="array" ref="E87">IFERROR(_xlfn.ARRAYTOTEXT(_xlfn.UNIQUE(_xlfn._xlws.FILTER(ubox[Failed Instance],(ubox[FirstError - IP (name)]=E$1)*(ubox[VisualID]=A87))),0),"")</f>
        <v/>
      </c>
      <c r="F87" s="2" t="str" cm="1">
        <f t="array" ref="F87">IFERROR(_xlfn.ARRAYTOTEXT(_xlfn.UNIQUE(_xlfn._xlws.FILTER(ubox[Failed Instance],(ubox[FirstError - IP (name)]=F$1)*(ubox[VisualID]=A87))),0),"")</f>
        <v/>
      </c>
      <c r="G87" s="2" t="str" cm="1">
        <f t="array" ref="G87">IFERROR(_xlfn.ARRAYTOTEXT(_xlfn.UNIQUE(_xlfn._xlws.FILTER(ubox[Failed Instance],(ubox[FirstError - IP (name)]=G$1)*(ubox[VisualID]=A87))),0),"")</f>
        <v/>
      </c>
      <c r="H87" s="2" t="str" cm="1">
        <f t="array" ref="H87">IFERROR(_xlfn.ARRAYTOTEXT(_xlfn.UNIQUE(_xlfn._xlws.FILTER(ubox[Failed Instance],(ubox[FirstError - IP (name)]=H$1)*(ubox[VisualID]=A87))),0),"")</f>
        <v/>
      </c>
    </row>
    <row r="88" spans="1:8" x14ac:dyDescent="0.3">
      <c r="A88" s="2"/>
      <c r="B88" s="2" t="str">
        <f t="shared" si="1"/>
        <v/>
      </c>
      <c r="D88" s="2" t="str" cm="1">
        <f t="array" ref="D88">IFERROR(_xlfn.ARRAYTOTEXT(_xlfn.UNIQUE(_xlfn._xlws.FILTER(ubox[Failed Instance],(ubox[FirstError - IP (name)]=D$1)*(ubox[VisualID]=A88))),0),"")</f>
        <v/>
      </c>
      <c r="E88" s="2" t="str" cm="1">
        <f t="array" ref="E88">IFERROR(_xlfn.ARRAYTOTEXT(_xlfn.UNIQUE(_xlfn._xlws.FILTER(ubox[Failed Instance],(ubox[FirstError - IP (name)]=E$1)*(ubox[VisualID]=A88))),0),"")</f>
        <v/>
      </c>
      <c r="F88" s="2" t="str" cm="1">
        <f t="array" ref="F88">IFERROR(_xlfn.ARRAYTOTEXT(_xlfn.UNIQUE(_xlfn._xlws.FILTER(ubox[Failed Instance],(ubox[FirstError - IP (name)]=F$1)*(ubox[VisualID]=A88))),0),"")</f>
        <v/>
      </c>
      <c r="G88" s="2" t="str" cm="1">
        <f t="array" ref="G88">IFERROR(_xlfn.ARRAYTOTEXT(_xlfn.UNIQUE(_xlfn._xlws.FILTER(ubox[Failed Instance],(ubox[FirstError - IP (name)]=G$1)*(ubox[VisualID]=A88))),0),"")</f>
        <v/>
      </c>
      <c r="H88" s="2" t="str" cm="1">
        <f t="array" ref="H88">IFERROR(_xlfn.ARRAYTOTEXT(_xlfn.UNIQUE(_xlfn._xlws.FILTER(ubox[Failed Instance],(ubox[FirstError - IP (name)]=H$1)*(ubox[VisualID]=A88))),0),"")</f>
        <v/>
      </c>
    </row>
    <row r="89" spans="1:8" x14ac:dyDescent="0.3">
      <c r="A89" s="2"/>
      <c r="B89" s="2" t="str">
        <f t="shared" si="1"/>
        <v/>
      </c>
      <c r="D89" s="2" t="str" cm="1">
        <f t="array" ref="D89">IFERROR(_xlfn.ARRAYTOTEXT(_xlfn.UNIQUE(_xlfn._xlws.FILTER(ubox[Failed Instance],(ubox[FirstError - IP (name)]=D$1)*(ubox[VisualID]=A89))),0),"")</f>
        <v/>
      </c>
      <c r="E89" s="2" t="str" cm="1">
        <f t="array" ref="E89">IFERROR(_xlfn.ARRAYTOTEXT(_xlfn.UNIQUE(_xlfn._xlws.FILTER(ubox[Failed Instance],(ubox[FirstError - IP (name)]=E$1)*(ubox[VisualID]=A89))),0),"")</f>
        <v/>
      </c>
      <c r="F89" s="2" t="str" cm="1">
        <f t="array" ref="F89">IFERROR(_xlfn.ARRAYTOTEXT(_xlfn.UNIQUE(_xlfn._xlws.FILTER(ubox[Failed Instance],(ubox[FirstError - IP (name)]=F$1)*(ubox[VisualID]=A89))),0),"")</f>
        <v/>
      </c>
      <c r="G89" s="2" t="str" cm="1">
        <f t="array" ref="G89">IFERROR(_xlfn.ARRAYTOTEXT(_xlfn.UNIQUE(_xlfn._xlws.FILTER(ubox[Failed Instance],(ubox[FirstError - IP (name)]=G$1)*(ubox[VisualID]=A89))),0),"")</f>
        <v/>
      </c>
      <c r="H89" s="2" t="str" cm="1">
        <f t="array" ref="H89">IFERROR(_xlfn.ARRAYTOTEXT(_xlfn.UNIQUE(_xlfn._xlws.FILTER(ubox[Failed Instance],(ubox[FirstError - IP (name)]=H$1)*(ubox[VisualID]=A89))),0),"")</f>
        <v/>
      </c>
    </row>
    <row r="90" spans="1:8" x14ac:dyDescent="0.3">
      <c r="A90" s="2"/>
      <c r="B90" s="2" t="str">
        <f t="shared" si="1"/>
        <v/>
      </c>
      <c r="D90" s="2" t="str" cm="1">
        <f t="array" ref="D90">IFERROR(_xlfn.ARRAYTOTEXT(_xlfn.UNIQUE(_xlfn._xlws.FILTER(ubox[Failed Instance],(ubox[FirstError - IP (name)]=D$1)*(ubox[VisualID]=A90))),0),"")</f>
        <v/>
      </c>
      <c r="E90" s="2" t="str" cm="1">
        <f t="array" ref="E90">IFERROR(_xlfn.ARRAYTOTEXT(_xlfn.UNIQUE(_xlfn._xlws.FILTER(ubox[Failed Instance],(ubox[FirstError - IP (name)]=E$1)*(ubox[VisualID]=A90))),0),"")</f>
        <v/>
      </c>
      <c r="F90" s="2" t="str" cm="1">
        <f t="array" ref="F90">IFERROR(_xlfn.ARRAYTOTEXT(_xlfn.UNIQUE(_xlfn._xlws.FILTER(ubox[Failed Instance],(ubox[FirstError - IP (name)]=F$1)*(ubox[VisualID]=A90))),0),"")</f>
        <v/>
      </c>
      <c r="G90" s="2" t="str" cm="1">
        <f t="array" ref="G90">IFERROR(_xlfn.ARRAYTOTEXT(_xlfn.UNIQUE(_xlfn._xlws.FILTER(ubox[Failed Instance],(ubox[FirstError - IP (name)]=G$1)*(ubox[VisualID]=A90))),0),"")</f>
        <v/>
      </c>
      <c r="H90" s="2" t="str" cm="1">
        <f t="array" ref="H90">IFERROR(_xlfn.ARRAYTOTEXT(_xlfn.UNIQUE(_xlfn._xlws.FILTER(ubox[Failed Instance],(ubox[FirstError - IP (name)]=H$1)*(ubox[VisualID]=A90))),0),"")</f>
        <v/>
      </c>
    </row>
    <row r="91" spans="1:8" x14ac:dyDescent="0.3">
      <c r="A91" s="2"/>
      <c r="B91" s="2" t="str">
        <f t="shared" si="1"/>
        <v/>
      </c>
      <c r="D91" s="2" t="str" cm="1">
        <f t="array" ref="D91">IFERROR(_xlfn.ARRAYTOTEXT(_xlfn.UNIQUE(_xlfn._xlws.FILTER(ubox[Failed Instance],(ubox[FirstError - IP (name)]=D$1)*(ubox[VisualID]=A91))),0),"")</f>
        <v/>
      </c>
      <c r="E91" s="2" t="str" cm="1">
        <f t="array" ref="E91">IFERROR(_xlfn.ARRAYTOTEXT(_xlfn.UNIQUE(_xlfn._xlws.FILTER(ubox[Failed Instance],(ubox[FirstError - IP (name)]=E$1)*(ubox[VisualID]=A91))),0),"")</f>
        <v/>
      </c>
      <c r="F91" s="2" t="str" cm="1">
        <f t="array" ref="F91">IFERROR(_xlfn.ARRAYTOTEXT(_xlfn.UNIQUE(_xlfn._xlws.FILTER(ubox[Failed Instance],(ubox[FirstError - IP (name)]=F$1)*(ubox[VisualID]=A91))),0),"")</f>
        <v/>
      </c>
      <c r="G91" s="2" t="str" cm="1">
        <f t="array" ref="G91">IFERROR(_xlfn.ARRAYTOTEXT(_xlfn.UNIQUE(_xlfn._xlws.FILTER(ubox[Failed Instance],(ubox[FirstError - IP (name)]=G$1)*(ubox[VisualID]=A91))),0),"")</f>
        <v/>
      </c>
      <c r="H91" s="2" t="str" cm="1">
        <f t="array" ref="H91">IFERROR(_xlfn.ARRAYTOTEXT(_xlfn.UNIQUE(_xlfn._xlws.FILTER(ubox[Failed Instance],(ubox[FirstError - IP (name)]=H$1)*(ubox[VisualID]=A91))),0),"")</f>
        <v/>
      </c>
    </row>
    <row r="92" spans="1:8" x14ac:dyDescent="0.3">
      <c r="A92" s="2"/>
      <c r="B92" s="2" t="str">
        <f t="shared" si="1"/>
        <v/>
      </c>
      <c r="D92" s="2" t="str" cm="1">
        <f t="array" ref="D92">IFERROR(_xlfn.ARRAYTOTEXT(_xlfn.UNIQUE(_xlfn._xlws.FILTER(ubox[Failed Instance],(ubox[FirstError - IP (name)]=D$1)*(ubox[VisualID]=A92))),0),"")</f>
        <v/>
      </c>
      <c r="E92" s="2" t="str" cm="1">
        <f t="array" ref="E92">IFERROR(_xlfn.ARRAYTOTEXT(_xlfn.UNIQUE(_xlfn._xlws.FILTER(ubox[Failed Instance],(ubox[FirstError - IP (name)]=E$1)*(ubox[VisualID]=A92))),0),"")</f>
        <v/>
      </c>
      <c r="F92" s="2" t="str" cm="1">
        <f t="array" ref="F92">IFERROR(_xlfn.ARRAYTOTEXT(_xlfn.UNIQUE(_xlfn._xlws.FILTER(ubox[Failed Instance],(ubox[FirstError - IP (name)]=F$1)*(ubox[VisualID]=A92))),0),"")</f>
        <v/>
      </c>
      <c r="G92" s="2" t="str" cm="1">
        <f t="array" ref="G92">IFERROR(_xlfn.ARRAYTOTEXT(_xlfn.UNIQUE(_xlfn._xlws.FILTER(ubox[Failed Instance],(ubox[FirstError - IP (name)]=G$1)*(ubox[VisualID]=A92))),0),"")</f>
        <v/>
      </c>
      <c r="H92" s="2" t="str" cm="1">
        <f t="array" ref="H92">IFERROR(_xlfn.ARRAYTOTEXT(_xlfn.UNIQUE(_xlfn._xlws.FILTER(ubox[Failed Instance],(ubox[FirstError - IP (name)]=H$1)*(ubox[VisualID]=A92))),0),"")</f>
        <v/>
      </c>
    </row>
    <row r="93" spans="1:8" x14ac:dyDescent="0.3">
      <c r="A93" s="2"/>
      <c r="B93" s="2" t="str">
        <f t="shared" si="1"/>
        <v/>
      </c>
      <c r="D93" s="2" t="str" cm="1">
        <f t="array" ref="D93">IFERROR(_xlfn.ARRAYTOTEXT(_xlfn.UNIQUE(_xlfn._xlws.FILTER(ubox[Failed Instance],(ubox[FirstError - IP (name)]=D$1)*(ubox[VisualID]=A93))),0),"")</f>
        <v/>
      </c>
      <c r="E93" s="2" t="str" cm="1">
        <f t="array" ref="E93">IFERROR(_xlfn.ARRAYTOTEXT(_xlfn.UNIQUE(_xlfn._xlws.FILTER(ubox[Failed Instance],(ubox[FirstError - IP (name)]=E$1)*(ubox[VisualID]=A93))),0),"")</f>
        <v/>
      </c>
      <c r="F93" s="2" t="str" cm="1">
        <f t="array" ref="F93">IFERROR(_xlfn.ARRAYTOTEXT(_xlfn.UNIQUE(_xlfn._xlws.FILTER(ubox[Failed Instance],(ubox[FirstError - IP (name)]=F$1)*(ubox[VisualID]=A93))),0),"")</f>
        <v/>
      </c>
      <c r="G93" s="2" t="str" cm="1">
        <f t="array" ref="G93">IFERROR(_xlfn.ARRAYTOTEXT(_xlfn.UNIQUE(_xlfn._xlws.FILTER(ubox[Failed Instance],(ubox[FirstError - IP (name)]=G$1)*(ubox[VisualID]=A93))),0),"")</f>
        <v/>
      </c>
      <c r="H93" s="2" t="str" cm="1">
        <f t="array" ref="H93">IFERROR(_xlfn.ARRAYTOTEXT(_xlfn.UNIQUE(_xlfn._xlws.FILTER(ubox[Failed Instance],(ubox[FirstError - IP (name)]=H$1)*(ubox[VisualID]=A93))),0),"")</f>
        <v/>
      </c>
    </row>
    <row r="94" spans="1:8" x14ac:dyDescent="0.3">
      <c r="A94" s="2"/>
      <c r="B94" s="2" t="str">
        <f t="shared" si="1"/>
        <v/>
      </c>
      <c r="D94" s="2" t="str" cm="1">
        <f t="array" ref="D94">IFERROR(_xlfn.ARRAYTOTEXT(_xlfn.UNIQUE(_xlfn._xlws.FILTER(ubox[Failed Instance],(ubox[FirstError - IP (name)]=D$1)*(ubox[VisualID]=A94))),0),"")</f>
        <v/>
      </c>
      <c r="E94" s="2" t="str" cm="1">
        <f t="array" ref="E94">IFERROR(_xlfn.ARRAYTOTEXT(_xlfn.UNIQUE(_xlfn._xlws.FILTER(ubox[Failed Instance],(ubox[FirstError - IP (name)]=E$1)*(ubox[VisualID]=A94))),0),"")</f>
        <v/>
      </c>
      <c r="F94" s="2" t="str" cm="1">
        <f t="array" ref="F94">IFERROR(_xlfn.ARRAYTOTEXT(_xlfn.UNIQUE(_xlfn._xlws.FILTER(ubox[Failed Instance],(ubox[FirstError - IP (name)]=F$1)*(ubox[VisualID]=A94))),0),"")</f>
        <v/>
      </c>
      <c r="G94" s="2" t="str" cm="1">
        <f t="array" ref="G94">IFERROR(_xlfn.ARRAYTOTEXT(_xlfn.UNIQUE(_xlfn._xlws.FILTER(ubox[Failed Instance],(ubox[FirstError - IP (name)]=G$1)*(ubox[VisualID]=A94))),0),"")</f>
        <v/>
      </c>
      <c r="H94" s="2" t="str" cm="1">
        <f t="array" ref="H94">IFERROR(_xlfn.ARRAYTOTEXT(_xlfn.UNIQUE(_xlfn._xlws.FILTER(ubox[Failed Instance],(ubox[FirstError - IP (name)]=H$1)*(ubox[VisualID]=A94))),0),"")</f>
        <v/>
      </c>
    </row>
    <row r="95" spans="1:8" x14ac:dyDescent="0.3">
      <c r="A95" s="2"/>
      <c r="B95" s="2" t="str">
        <f t="shared" si="1"/>
        <v/>
      </c>
      <c r="D95" s="2" t="str" cm="1">
        <f t="array" ref="D95">IFERROR(_xlfn.ARRAYTOTEXT(_xlfn.UNIQUE(_xlfn._xlws.FILTER(ubox[Failed Instance],(ubox[FirstError - IP (name)]=D$1)*(ubox[VisualID]=A95))),0),"")</f>
        <v/>
      </c>
      <c r="E95" s="2" t="str" cm="1">
        <f t="array" ref="E95">IFERROR(_xlfn.ARRAYTOTEXT(_xlfn.UNIQUE(_xlfn._xlws.FILTER(ubox[Failed Instance],(ubox[FirstError - IP (name)]=E$1)*(ubox[VisualID]=A95))),0),"")</f>
        <v/>
      </c>
      <c r="F95" s="2" t="str" cm="1">
        <f t="array" ref="F95">IFERROR(_xlfn.ARRAYTOTEXT(_xlfn.UNIQUE(_xlfn._xlws.FILTER(ubox[Failed Instance],(ubox[FirstError - IP (name)]=F$1)*(ubox[VisualID]=A95))),0),"")</f>
        <v/>
      </c>
      <c r="G95" s="2" t="str" cm="1">
        <f t="array" ref="G95">IFERROR(_xlfn.ARRAYTOTEXT(_xlfn.UNIQUE(_xlfn._xlws.FILTER(ubox[Failed Instance],(ubox[FirstError - IP (name)]=G$1)*(ubox[VisualID]=A95))),0),"")</f>
        <v/>
      </c>
      <c r="H95" s="2" t="str" cm="1">
        <f t="array" ref="H95">IFERROR(_xlfn.ARRAYTOTEXT(_xlfn.UNIQUE(_xlfn._xlws.FILTER(ubox[Failed Instance],(ubox[FirstError - IP (name)]=H$1)*(ubox[VisualID]=A95))),0),"")</f>
        <v/>
      </c>
    </row>
    <row r="96" spans="1:8" x14ac:dyDescent="0.3">
      <c r="A96" s="2"/>
      <c r="B96" s="2" t="str">
        <f t="shared" si="1"/>
        <v/>
      </c>
      <c r="D96" s="2" t="str" cm="1">
        <f t="array" ref="D96">IFERROR(_xlfn.ARRAYTOTEXT(_xlfn.UNIQUE(_xlfn._xlws.FILTER(ubox[Failed Instance],(ubox[FirstError - IP (name)]=D$1)*(ubox[VisualID]=A96))),0),"")</f>
        <v/>
      </c>
      <c r="E96" s="2" t="str" cm="1">
        <f t="array" ref="E96">IFERROR(_xlfn.ARRAYTOTEXT(_xlfn.UNIQUE(_xlfn._xlws.FILTER(ubox[Failed Instance],(ubox[FirstError - IP (name)]=E$1)*(ubox[VisualID]=A96))),0),"")</f>
        <v/>
      </c>
      <c r="F96" s="2" t="str" cm="1">
        <f t="array" ref="F96">IFERROR(_xlfn.ARRAYTOTEXT(_xlfn.UNIQUE(_xlfn._xlws.FILTER(ubox[Failed Instance],(ubox[FirstError - IP (name)]=F$1)*(ubox[VisualID]=A96))),0),"")</f>
        <v/>
      </c>
      <c r="G96" s="2" t="str" cm="1">
        <f t="array" ref="G96">IFERROR(_xlfn.ARRAYTOTEXT(_xlfn.UNIQUE(_xlfn._xlws.FILTER(ubox[Failed Instance],(ubox[FirstError - IP (name)]=G$1)*(ubox[VisualID]=A96))),0),"")</f>
        <v/>
      </c>
      <c r="H96" s="2" t="str" cm="1">
        <f t="array" ref="H96">IFERROR(_xlfn.ARRAYTOTEXT(_xlfn.UNIQUE(_xlfn._xlws.FILTER(ubox[Failed Instance],(ubox[FirstError - IP (name)]=H$1)*(ubox[VisualID]=A96))),0),"")</f>
        <v/>
      </c>
    </row>
    <row r="97" spans="1:8" x14ac:dyDescent="0.3">
      <c r="A97" s="2"/>
      <c r="B97" s="2" t="str">
        <f t="shared" si="1"/>
        <v/>
      </c>
      <c r="D97" s="2" t="str" cm="1">
        <f t="array" ref="D97">IFERROR(_xlfn.ARRAYTOTEXT(_xlfn.UNIQUE(_xlfn._xlws.FILTER(ubox[Failed Instance],(ubox[FirstError - IP (name)]=D$1)*(ubox[VisualID]=A97))),0),"")</f>
        <v/>
      </c>
      <c r="E97" s="2" t="str" cm="1">
        <f t="array" ref="E97">IFERROR(_xlfn.ARRAYTOTEXT(_xlfn.UNIQUE(_xlfn._xlws.FILTER(ubox[Failed Instance],(ubox[FirstError - IP (name)]=E$1)*(ubox[VisualID]=A97))),0),"")</f>
        <v/>
      </c>
      <c r="F97" s="2" t="str" cm="1">
        <f t="array" ref="F97">IFERROR(_xlfn.ARRAYTOTEXT(_xlfn.UNIQUE(_xlfn._xlws.FILTER(ubox[Failed Instance],(ubox[FirstError - IP (name)]=F$1)*(ubox[VisualID]=A97))),0),"")</f>
        <v/>
      </c>
      <c r="G97" s="2" t="str" cm="1">
        <f t="array" ref="G97">IFERROR(_xlfn.ARRAYTOTEXT(_xlfn.UNIQUE(_xlfn._xlws.FILTER(ubox[Failed Instance],(ubox[FirstError - IP (name)]=G$1)*(ubox[VisualID]=A97))),0),"")</f>
        <v/>
      </c>
      <c r="H97" s="2" t="str" cm="1">
        <f t="array" ref="H97">IFERROR(_xlfn.ARRAYTOTEXT(_xlfn.UNIQUE(_xlfn._xlws.FILTER(ubox[Failed Instance],(ubox[FirstError - IP (name)]=H$1)*(ubox[VisualID]=A97))),0),"")</f>
        <v/>
      </c>
    </row>
    <row r="98" spans="1:8" x14ac:dyDescent="0.3">
      <c r="A98" s="2"/>
      <c r="B98" s="2" t="str">
        <f t="shared" si="1"/>
        <v/>
      </c>
      <c r="D98" s="2" t="str" cm="1">
        <f t="array" ref="D98">IFERROR(_xlfn.ARRAYTOTEXT(_xlfn.UNIQUE(_xlfn._xlws.FILTER(ubox[Failed Instance],(ubox[FirstError - IP (name)]=D$1)*(ubox[VisualID]=A98))),0),"")</f>
        <v/>
      </c>
      <c r="E98" s="2" t="str" cm="1">
        <f t="array" ref="E98">IFERROR(_xlfn.ARRAYTOTEXT(_xlfn.UNIQUE(_xlfn._xlws.FILTER(ubox[Failed Instance],(ubox[FirstError - IP (name)]=E$1)*(ubox[VisualID]=A98))),0),"")</f>
        <v/>
      </c>
      <c r="F98" s="2" t="str" cm="1">
        <f t="array" ref="F98">IFERROR(_xlfn.ARRAYTOTEXT(_xlfn.UNIQUE(_xlfn._xlws.FILTER(ubox[Failed Instance],(ubox[FirstError - IP (name)]=F$1)*(ubox[VisualID]=A98))),0),"")</f>
        <v/>
      </c>
      <c r="G98" s="2" t="str" cm="1">
        <f t="array" ref="G98">IFERROR(_xlfn.ARRAYTOTEXT(_xlfn.UNIQUE(_xlfn._xlws.FILTER(ubox[Failed Instance],(ubox[FirstError - IP (name)]=G$1)*(ubox[VisualID]=A98))),0),"")</f>
        <v/>
      </c>
      <c r="H98" s="2" t="str" cm="1">
        <f t="array" ref="H98">IFERROR(_xlfn.ARRAYTOTEXT(_xlfn.UNIQUE(_xlfn._xlws.FILTER(ubox[Failed Instance],(ubox[FirstError - IP (name)]=H$1)*(ubox[VisualID]=A98))),0),"")</f>
        <v/>
      </c>
    </row>
    <row r="99" spans="1:8" x14ac:dyDescent="0.3">
      <c r="A99" s="2"/>
      <c r="B99" s="2" t="str">
        <f t="shared" si="1"/>
        <v/>
      </c>
      <c r="D99" s="2" t="str" cm="1">
        <f t="array" ref="D99">IFERROR(_xlfn.ARRAYTOTEXT(_xlfn.UNIQUE(_xlfn._xlws.FILTER(ubox[Failed Instance],(ubox[FirstError - IP (name)]=D$1)*(ubox[VisualID]=A99))),0),"")</f>
        <v/>
      </c>
      <c r="E99" s="2" t="str" cm="1">
        <f t="array" ref="E99">IFERROR(_xlfn.ARRAYTOTEXT(_xlfn.UNIQUE(_xlfn._xlws.FILTER(ubox[Failed Instance],(ubox[FirstError - IP (name)]=E$1)*(ubox[VisualID]=A99))),0),"")</f>
        <v/>
      </c>
      <c r="F99" s="2" t="str" cm="1">
        <f t="array" ref="F99">IFERROR(_xlfn.ARRAYTOTEXT(_xlfn.UNIQUE(_xlfn._xlws.FILTER(ubox[Failed Instance],(ubox[FirstError - IP (name)]=F$1)*(ubox[VisualID]=A99))),0),"")</f>
        <v/>
      </c>
      <c r="G99" s="2" t="str" cm="1">
        <f t="array" ref="G99">IFERROR(_xlfn.ARRAYTOTEXT(_xlfn.UNIQUE(_xlfn._xlws.FILTER(ubox[Failed Instance],(ubox[FirstError - IP (name)]=G$1)*(ubox[VisualID]=A99))),0),"")</f>
        <v/>
      </c>
      <c r="H99" s="2" t="str" cm="1">
        <f t="array" ref="H99">IFERROR(_xlfn.ARRAYTOTEXT(_xlfn.UNIQUE(_xlfn._xlws.FILTER(ubox[Failed Instance],(ubox[FirstError - IP (name)]=H$1)*(ubox[VisualID]=A99))),0),"")</f>
        <v/>
      </c>
    </row>
    <row r="100" spans="1:8" x14ac:dyDescent="0.3">
      <c r="A100" s="2"/>
      <c r="B100" s="2" t="str">
        <f t="shared" si="1"/>
        <v/>
      </c>
      <c r="D100" s="2" t="str" cm="1">
        <f t="array" ref="D100">IFERROR(_xlfn.ARRAYTOTEXT(_xlfn.UNIQUE(_xlfn._xlws.FILTER(ubox[Failed Instance],(ubox[FirstError - IP (name)]=D$1)*(ubox[VisualID]=A100))),0),"")</f>
        <v/>
      </c>
      <c r="E100" s="2" t="str" cm="1">
        <f t="array" ref="E100">IFERROR(_xlfn.ARRAYTOTEXT(_xlfn.UNIQUE(_xlfn._xlws.FILTER(ubox[Failed Instance],(ubox[FirstError - IP (name)]=E$1)*(ubox[VisualID]=A100))),0),"")</f>
        <v/>
      </c>
      <c r="F100" s="2" t="str" cm="1">
        <f t="array" ref="F100">IFERROR(_xlfn.ARRAYTOTEXT(_xlfn.UNIQUE(_xlfn._xlws.FILTER(ubox[Failed Instance],(ubox[FirstError - IP (name)]=F$1)*(ubox[VisualID]=A100))),0),"")</f>
        <v/>
      </c>
      <c r="G100" s="2" t="str" cm="1">
        <f t="array" ref="G100">IFERROR(_xlfn.ARRAYTOTEXT(_xlfn.UNIQUE(_xlfn._xlws.FILTER(ubox[Failed Instance],(ubox[FirstError - IP (name)]=G$1)*(ubox[VisualID]=A100))),0),"")</f>
        <v/>
      </c>
      <c r="H100" s="2" t="str" cm="1">
        <f t="array" ref="H100">IFERROR(_xlfn.ARRAYTOTEXT(_xlfn.UNIQUE(_xlfn._xlws.FILTER(ubox[Failed Instance],(ubox[FirstError - IP (name)]=H$1)*(ubox[VisualID]=A100))),0),"")</f>
        <v/>
      </c>
    </row>
    <row r="101" spans="1:8" x14ac:dyDescent="0.3">
      <c r="A101" s="2"/>
      <c r="B101" s="2" t="str">
        <f t="shared" si="1"/>
        <v/>
      </c>
      <c r="D101" s="2" t="str" cm="1">
        <f t="array" ref="D101">IFERROR(_xlfn.ARRAYTOTEXT(_xlfn.UNIQUE(_xlfn._xlws.FILTER(ubox[Failed Instance],(ubox[FirstError - IP (name)]=D$1)*(ubox[VisualID]=A101))),0),"")</f>
        <v/>
      </c>
      <c r="E101" s="2" t="str" cm="1">
        <f t="array" ref="E101">IFERROR(_xlfn.ARRAYTOTEXT(_xlfn.UNIQUE(_xlfn._xlws.FILTER(ubox[Failed Instance],(ubox[FirstError - IP (name)]=E$1)*(ubox[VisualID]=A101))),0),"")</f>
        <v/>
      </c>
      <c r="F101" s="2" t="str" cm="1">
        <f t="array" ref="F101">IFERROR(_xlfn.ARRAYTOTEXT(_xlfn.UNIQUE(_xlfn._xlws.FILTER(ubox[Failed Instance],(ubox[FirstError - IP (name)]=F$1)*(ubox[VisualID]=A101))),0),"")</f>
        <v/>
      </c>
      <c r="G101" s="2" t="str" cm="1">
        <f t="array" ref="G101">IFERROR(_xlfn.ARRAYTOTEXT(_xlfn.UNIQUE(_xlfn._xlws.FILTER(ubox[Failed Instance],(ubox[FirstError - IP (name)]=G$1)*(ubox[VisualID]=A101))),0),"")</f>
        <v/>
      </c>
      <c r="H101" s="2" t="str" cm="1">
        <f t="array" ref="H101">IFERROR(_xlfn.ARRAYTOTEXT(_xlfn.UNIQUE(_xlfn._xlws.FILTER(ubox[Failed Instance],(ubox[FirstError - IP (name)]=H$1)*(ubox[VisualID]=A101))),0),"")</f>
        <v/>
      </c>
    </row>
    <row r="102" spans="1:8" x14ac:dyDescent="0.3">
      <c r="A102" s="2"/>
      <c r="B102" s="2" t="str">
        <f t="shared" si="1"/>
        <v/>
      </c>
      <c r="D102" s="2" t="str" cm="1">
        <f t="array" ref="D102">IFERROR(_xlfn.ARRAYTOTEXT(_xlfn.UNIQUE(_xlfn._xlws.FILTER(ubox[Failed Instance],(ubox[FirstError - IP (name)]=D$1)*(ubox[VisualID]=A102))),0),"")</f>
        <v/>
      </c>
      <c r="E102" s="2" t="str" cm="1">
        <f t="array" ref="E102">IFERROR(_xlfn.ARRAYTOTEXT(_xlfn.UNIQUE(_xlfn._xlws.FILTER(ubox[Failed Instance],(ubox[FirstError - IP (name)]=E$1)*(ubox[VisualID]=A102))),0),"")</f>
        <v/>
      </c>
      <c r="F102" s="2" t="str" cm="1">
        <f t="array" ref="F102">IFERROR(_xlfn.ARRAYTOTEXT(_xlfn.UNIQUE(_xlfn._xlws.FILTER(ubox[Failed Instance],(ubox[FirstError - IP (name)]=F$1)*(ubox[VisualID]=A102))),0),"")</f>
        <v/>
      </c>
      <c r="G102" s="2" t="str" cm="1">
        <f t="array" ref="G102">IFERROR(_xlfn.ARRAYTOTEXT(_xlfn.UNIQUE(_xlfn._xlws.FILTER(ubox[Failed Instance],(ubox[FirstError - IP (name)]=G$1)*(ubox[VisualID]=A102))),0),"")</f>
        <v/>
      </c>
      <c r="H102" s="2" t="str" cm="1">
        <f t="array" ref="H102">IFERROR(_xlfn.ARRAYTOTEXT(_xlfn.UNIQUE(_xlfn._xlws.FILTER(ubox[Failed Instance],(ubox[FirstError - IP (name)]=H$1)*(ubox[VisualID]=A102))),0),"")</f>
        <v/>
      </c>
    </row>
    <row r="103" spans="1:8" x14ac:dyDescent="0.3">
      <c r="A103" s="2"/>
      <c r="B103" s="2" t="str">
        <f t="shared" si="1"/>
        <v/>
      </c>
      <c r="D103" s="2" t="str" cm="1">
        <f t="array" ref="D103">IFERROR(_xlfn.ARRAYTOTEXT(_xlfn.UNIQUE(_xlfn._xlws.FILTER(ubox[Failed Instance],(ubox[FirstError - IP (name)]=D$1)*(ubox[VisualID]=A103))),0),"")</f>
        <v/>
      </c>
      <c r="E103" s="2" t="str" cm="1">
        <f t="array" ref="E103">IFERROR(_xlfn.ARRAYTOTEXT(_xlfn.UNIQUE(_xlfn._xlws.FILTER(ubox[Failed Instance],(ubox[FirstError - IP (name)]=E$1)*(ubox[VisualID]=A103))),0),"")</f>
        <v/>
      </c>
      <c r="F103" s="2" t="str" cm="1">
        <f t="array" ref="F103">IFERROR(_xlfn.ARRAYTOTEXT(_xlfn.UNIQUE(_xlfn._xlws.FILTER(ubox[Failed Instance],(ubox[FirstError - IP (name)]=F$1)*(ubox[VisualID]=A103))),0),"")</f>
        <v/>
      </c>
      <c r="G103" s="2" t="str" cm="1">
        <f t="array" ref="G103">IFERROR(_xlfn.ARRAYTOTEXT(_xlfn.UNIQUE(_xlfn._xlws.FILTER(ubox[Failed Instance],(ubox[FirstError - IP (name)]=G$1)*(ubox[VisualID]=A103))),0),"")</f>
        <v/>
      </c>
      <c r="H103" s="2" t="str" cm="1">
        <f t="array" ref="H103">IFERROR(_xlfn.ARRAYTOTEXT(_xlfn.UNIQUE(_xlfn._xlws.FILTER(ubox[Failed Instance],(ubox[FirstError - IP (name)]=H$1)*(ubox[VisualID]=A103))),0),"")</f>
        <v/>
      </c>
    </row>
    <row r="104" spans="1:8" x14ac:dyDescent="0.3">
      <c r="A104" s="2"/>
      <c r="B104" s="2" t="str">
        <f t="shared" si="1"/>
        <v/>
      </c>
      <c r="D104" s="2" t="str" cm="1">
        <f t="array" ref="D104">IFERROR(_xlfn.ARRAYTOTEXT(_xlfn.UNIQUE(_xlfn._xlws.FILTER(ubox[Failed Instance],(ubox[FirstError - IP (name)]=D$1)*(ubox[VisualID]=A104))),0),"")</f>
        <v/>
      </c>
      <c r="E104" s="2" t="str" cm="1">
        <f t="array" ref="E104">IFERROR(_xlfn.ARRAYTOTEXT(_xlfn.UNIQUE(_xlfn._xlws.FILTER(ubox[Failed Instance],(ubox[FirstError - IP (name)]=E$1)*(ubox[VisualID]=A104))),0),"")</f>
        <v/>
      </c>
      <c r="F104" s="2" t="str" cm="1">
        <f t="array" ref="F104">IFERROR(_xlfn.ARRAYTOTEXT(_xlfn.UNIQUE(_xlfn._xlws.FILTER(ubox[Failed Instance],(ubox[FirstError - IP (name)]=F$1)*(ubox[VisualID]=A104))),0),"")</f>
        <v/>
      </c>
      <c r="G104" s="2" t="str" cm="1">
        <f t="array" ref="G104">IFERROR(_xlfn.ARRAYTOTEXT(_xlfn.UNIQUE(_xlfn._xlws.FILTER(ubox[Failed Instance],(ubox[FirstError - IP (name)]=G$1)*(ubox[VisualID]=A104))),0),"")</f>
        <v/>
      </c>
      <c r="H104" s="2" t="str" cm="1">
        <f t="array" ref="H104">IFERROR(_xlfn.ARRAYTOTEXT(_xlfn.UNIQUE(_xlfn._xlws.FILTER(ubox[Failed Instance],(ubox[FirstError - IP (name)]=H$1)*(ubox[VisualID]=A104))),0),"")</f>
        <v/>
      </c>
    </row>
    <row r="105" spans="1:8" x14ac:dyDescent="0.3">
      <c r="A105" s="2"/>
      <c r="B105" s="2" t="str">
        <f t="shared" si="1"/>
        <v/>
      </c>
      <c r="D105" s="2" t="str" cm="1">
        <f t="array" ref="D105">IFERROR(_xlfn.ARRAYTOTEXT(_xlfn.UNIQUE(_xlfn._xlws.FILTER(ubox[Failed Instance],(ubox[FirstError - IP (name)]=D$1)*(ubox[VisualID]=A105))),0),"")</f>
        <v/>
      </c>
      <c r="E105" s="2" t="str" cm="1">
        <f t="array" ref="E105">IFERROR(_xlfn.ARRAYTOTEXT(_xlfn.UNIQUE(_xlfn._xlws.FILTER(ubox[Failed Instance],(ubox[FirstError - IP (name)]=E$1)*(ubox[VisualID]=A105))),0),"")</f>
        <v/>
      </c>
      <c r="F105" s="2" t="str" cm="1">
        <f t="array" ref="F105">IFERROR(_xlfn.ARRAYTOTEXT(_xlfn.UNIQUE(_xlfn._xlws.FILTER(ubox[Failed Instance],(ubox[FirstError - IP (name)]=F$1)*(ubox[VisualID]=A105))),0),"")</f>
        <v/>
      </c>
      <c r="G105" s="2" t="str" cm="1">
        <f t="array" ref="G105">IFERROR(_xlfn.ARRAYTOTEXT(_xlfn.UNIQUE(_xlfn._xlws.FILTER(ubox[Failed Instance],(ubox[FirstError - IP (name)]=G$1)*(ubox[VisualID]=A105))),0),"")</f>
        <v/>
      </c>
      <c r="H105" s="2" t="str" cm="1">
        <f t="array" ref="H105">IFERROR(_xlfn.ARRAYTOTEXT(_xlfn.UNIQUE(_xlfn._xlws.FILTER(ubox[Failed Instance],(ubox[FirstError - IP (name)]=H$1)*(ubox[VisualID]=A105))),0),"")</f>
        <v/>
      </c>
    </row>
    <row r="106" spans="1:8" x14ac:dyDescent="0.3">
      <c r="A106" s="2"/>
      <c r="B106" s="2" t="str">
        <f t="shared" si="1"/>
        <v/>
      </c>
      <c r="D106" s="2" t="str" cm="1">
        <f t="array" ref="D106">IFERROR(_xlfn.ARRAYTOTEXT(_xlfn.UNIQUE(_xlfn._xlws.FILTER(ubox[Failed Instance],(ubox[FirstError - IP (name)]=D$1)*(ubox[VisualID]=A106))),0),"")</f>
        <v/>
      </c>
      <c r="E106" s="2" t="str" cm="1">
        <f t="array" ref="E106">IFERROR(_xlfn.ARRAYTOTEXT(_xlfn.UNIQUE(_xlfn._xlws.FILTER(ubox[Failed Instance],(ubox[FirstError - IP (name)]=E$1)*(ubox[VisualID]=A106))),0),"")</f>
        <v/>
      </c>
      <c r="F106" s="2" t="str" cm="1">
        <f t="array" ref="F106">IFERROR(_xlfn.ARRAYTOTEXT(_xlfn.UNIQUE(_xlfn._xlws.FILTER(ubox[Failed Instance],(ubox[FirstError - IP (name)]=F$1)*(ubox[VisualID]=A106))),0),"")</f>
        <v/>
      </c>
      <c r="G106" s="2" t="str" cm="1">
        <f t="array" ref="G106">IFERROR(_xlfn.ARRAYTOTEXT(_xlfn.UNIQUE(_xlfn._xlws.FILTER(ubox[Failed Instance],(ubox[FirstError - IP (name)]=G$1)*(ubox[VisualID]=A106))),0),"")</f>
        <v/>
      </c>
      <c r="H106" s="2" t="str" cm="1">
        <f t="array" ref="H106">IFERROR(_xlfn.ARRAYTOTEXT(_xlfn.UNIQUE(_xlfn._xlws.FILTER(ubox[Failed Instance],(ubox[FirstError - IP (name)]=H$1)*(ubox[VisualID]=A106))),0),"")</f>
        <v/>
      </c>
    </row>
    <row r="107" spans="1:8" x14ac:dyDescent="0.3">
      <c r="A107" s="2"/>
      <c r="B107" s="2" t="str">
        <f t="shared" si="1"/>
        <v/>
      </c>
      <c r="D107" s="2" t="str" cm="1">
        <f t="array" ref="D107">IFERROR(_xlfn.ARRAYTOTEXT(_xlfn.UNIQUE(_xlfn._xlws.FILTER(ubox[Failed Instance],(ubox[FirstError - IP (name)]=D$1)*(ubox[VisualID]=A107))),0),"")</f>
        <v/>
      </c>
      <c r="E107" s="2" t="str" cm="1">
        <f t="array" ref="E107">IFERROR(_xlfn.ARRAYTOTEXT(_xlfn.UNIQUE(_xlfn._xlws.FILTER(ubox[Failed Instance],(ubox[FirstError - IP (name)]=E$1)*(ubox[VisualID]=A107))),0),"")</f>
        <v/>
      </c>
      <c r="F107" s="2" t="str" cm="1">
        <f t="array" ref="F107">IFERROR(_xlfn.ARRAYTOTEXT(_xlfn.UNIQUE(_xlfn._xlws.FILTER(ubox[Failed Instance],(ubox[FirstError - IP (name)]=F$1)*(ubox[VisualID]=A107))),0),"")</f>
        <v/>
      </c>
      <c r="G107" s="2" t="str" cm="1">
        <f t="array" ref="G107">IFERROR(_xlfn.ARRAYTOTEXT(_xlfn.UNIQUE(_xlfn._xlws.FILTER(ubox[Failed Instance],(ubox[FirstError - IP (name)]=G$1)*(ubox[VisualID]=A107))),0),"")</f>
        <v/>
      </c>
      <c r="H107" s="2" t="str" cm="1">
        <f t="array" ref="H107">IFERROR(_xlfn.ARRAYTOTEXT(_xlfn.UNIQUE(_xlfn._xlws.FILTER(ubox[Failed Instance],(ubox[FirstError - IP (name)]=H$1)*(ubox[VisualID]=A107))),0),"")</f>
        <v/>
      </c>
    </row>
    <row r="108" spans="1:8" x14ac:dyDescent="0.3">
      <c r="A108" s="2"/>
      <c r="B108" s="2" t="str">
        <f t="shared" si="1"/>
        <v/>
      </c>
      <c r="D108" s="2" t="str" cm="1">
        <f t="array" ref="D108">IFERROR(_xlfn.ARRAYTOTEXT(_xlfn.UNIQUE(_xlfn._xlws.FILTER(ubox[Failed Instance],(ubox[FirstError - IP (name)]=D$1)*(ubox[VisualID]=A108))),0),"")</f>
        <v/>
      </c>
      <c r="E108" s="2" t="str" cm="1">
        <f t="array" ref="E108">IFERROR(_xlfn.ARRAYTOTEXT(_xlfn.UNIQUE(_xlfn._xlws.FILTER(ubox[Failed Instance],(ubox[FirstError - IP (name)]=E$1)*(ubox[VisualID]=A108))),0),"")</f>
        <v/>
      </c>
      <c r="F108" s="2" t="str" cm="1">
        <f t="array" ref="F108">IFERROR(_xlfn.ARRAYTOTEXT(_xlfn.UNIQUE(_xlfn._xlws.FILTER(ubox[Failed Instance],(ubox[FirstError - IP (name)]=F$1)*(ubox[VisualID]=A108))),0),"")</f>
        <v/>
      </c>
      <c r="G108" s="2" t="str" cm="1">
        <f t="array" ref="G108">IFERROR(_xlfn.ARRAYTOTEXT(_xlfn.UNIQUE(_xlfn._xlws.FILTER(ubox[Failed Instance],(ubox[FirstError - IP (name)]=G$1)*(ubox[VisualID]=A108))),0),"")</f>
        <v/>
      </c>
      <c r="H108" s="2" t="str" cm="1">
        <f t="array" ref="H108">IFERROR(_xlfn.ARRAYTOTEXT(_xlfn.UNIQUE(_xlfn._xlws.FILTER(ubox[Failed Instance],(ubox[FirstError - IP (name)]=H$1)*(ubox[VisualID]=A108))),0),"")</f>
        <v/>
      </c>
    </row>
    <row r="109" spans="1:8" x14ac:dyDescent="0.3">
      <c r="A109" s="2"/>
      <c r="B109" s="2" t="str">
        <f t="shared" si="1"/>
        <v/>
      </c>
      <c r="D109" s="2" t="str" cm="1">
        <f t="array" ref="D109">IFERROR(_xlfn.ARRAYTOTEXT(_xlfn.UNIQUE(_xlfn._xlws.FILTER(ubox[Failed Instance],(ubox[FirstError - IP (name)]=D$1)*(ubox[VisualID]=A109))),0),"")</f>
        <v/>
      </c>
      <c r="E109" s="2" t="str" cm="1">
        <f t="array" ref="E109">IFERROR(_xlfn.ARRAYTOTEXT(_xlfn.UNIQUE(_xlfn._xlws.FILTER(ubox[Failed Instance],(ubox[FirstError - IP (name)]=E$1)*(ubox[VisualID]=A109))),0),"")</f>
        <v/>
      </c>
      <c r="F109" s="2" t="str" cm="1">
        <f t="array" ref="F109">IFERROR(_xlfn.ARRAYTOTEXT(_xlfn.UNIQUE(_xlfn._xlws.FILTER(ubox[Failed Instance],(ubox[FirstError - IP (name)]=F$1)*(ubox[VisualID]=A109))),0),"")</f>
        <v/>
      </c>
      <c r="G109" s="2" t="str" cm="1">
        <f t="array" ref="G109">IFERROR(_xlfn.ARRAYTOTEXT(_xlfn.UNIQUE(_xlfn._xlws.FILTER(ubox[Failed Instance],(ubox[FirstError - IP (name)]=G$1)*(ubox[VisualID]=A109))),0),"")</f>
        <v/>
      </c>
      <c r="H109" s="2" t="str" cm="1">
        <f t="array" ref="H109">IFERROR(_xlfn.ARRAYTOTEXT(_xlfn.UNIQUE(_xlfn._xlws.FILTER(ubox[Failed Instance],(ubox[FirstError - IP (name)]=H$1)*(ubox[VisualID]=A109))),0),"")</f>
        <v/>
      </c>
    </row>
    <row r="110" spans="1:8" x14ac:dyDescent="0.3">
      <c r="A110" s="2"/>
      <c r="B110" s="2" t="str">
        <f t="shared" si="1"/>
        <v/>
      </c>
      <c r="D110" s="2" t="str" cm="1">
        <f t="array" ref="D110">IFERROR(_xlfn.ARRAYTOTEXT(_xlfn.UNIQUE(_xlfn._xlws.FILTER(ubox[Failed Instance],(ubox[FirstError - IP (name)]=D$1)*(ubox[VisualID]=A110))),0),"")</f>
        <v/>
      </c>
      <c r="E110" s="2" t="str" cm="1">
        <f t="array" ref="E110">IFERROR(_xlfn.ARRAYTOTEXT(_xlfn.UNIQUE(_xlfn._xlws.FILTER(ubox[Failed Instance],(ubox[FirstError - IP (name)]=E$1)*(ubox[VisualID]=A110))),0),"")</f>
        <v/>
      </c>
      <c r="F110" s="2" t="str" cm="1">
        <f t="array" ref="F110">IFERROR(_xlfn.ARRAYTOTEXT(_xlfn.UNIQUE(_xlfn._xlws.FILTER(ubox[Failed Instance],(ubox[FirstError - IP (name)]=F$1)*(ubox[VisualID]=A110))),0),"")</f>
        <v/>
      </c>
      <c r="G110" s="2" t="str" cm="1">
        <f t="array" ref="G110">IFERROR(_xlfn.ARRAYTOTEXT(_xlfn.UNIQUE(_xlfn._xlws.FILTER(ubox[Failed Instance],(ubox[FirstError - IP (name)]=G$1)*(ubox[VisualID]=A110))),0),"")</f>
        <v/>
      </c>
      <c r="H110" s="2" t="str" cm="1">
        <f t="array" ref="H110">IFERROR(_xlfn.ARRAYTOTEXT(_xlfn.UNIQUE(_xlfn._xlws.FILTER(ubox[Failed Instance],(ubox[FirstError - IP (name)]=H$1)*(ubox[VisualID]=A110))),0),"")</f>
        <v/>
      </c>
    </row>
    <row r="111" spans="1:8" x14ac:dyDescent="0.3">
      <c r="A111" s="2"/>
      <c r="B111" s="2" t="str">
        <f t="shared" si="1"/>
        <v/>
      </c>
      <c r="D111" s="2" t="str" cm="1">
        <f t="array" ref="D111">IFERROR(_xlfn.ARRAYTOTEXT(_xlfn.UNIQUE(_xlfn._xlws.FILTER(ubox[Failed Instance],(ubox[FirstError - IP (name)]=D$1)*(ubox[VisualID]=A111))),0),"")</f>
        <v/>
      </c>
      <c r="E111" s="2" t="str" cm="1">
        <f t="array" ref="E111">IFERROR(_xlfn.ARRAYTOTEXT(_xlfn.UNIQUE(_xlfn._xlws.FILTER(ubox[Failed Instance],(ubox[FirstError - IP (name)]=E$1)*(ubox[VisualID]=A111))),0),"")</f>
        <v/>
      </c>
      <c r="F111" s="2" t="str" cm="1">
        <f t="array" ref="F111">IFERROR(_xlfn.ARRAYTOTEXT(_xlfn.UNIQUE(_xlfn._xlws.FILTER(ubox[Failed Instance],(ubox[FirstError - IP (name)]=F$1)*(ubox[VisualID]=A111))),0),"")</f>
        <v/>
      </c>
      <c r="G111" s="2" t="str" cm="1">
        <f t="array" ref="G111">IFERROR(_xlfn.ARRAYTOTEXT(_xlfn.UNIQUE(_xlfn._xlws.FILTER(ubox[Failed Instance],(ubox[FirstError - IP (name)]=G$1)*(ubox[VisualID]=A111))),0),"")</f>
        <v/>
      </c>
      <c r="H111" s="2" t="str" cm="1">
        <f t="array" ref="H111">IFERROR(_xlfn.ARRAYTOTEXT(_xlfn.UNIQUE(_xlfn._xlws.FILTER(ubox[Failed Instance],(ubox[FirstError - IP (name)]=H$1)*(ubox[VisualID]=A111))),0),"")</f>
        <v/>
      </c>
    </row>
    <row r="112" spans="1:8" x14ac:dyDescent="0.3">
      <c r="A112" s="2"/>
      <c r="B112" s="2" t="str">
        <f t="shared" si="1"/>
        <v/>
      </c>
      <c r="D112" s="2" t="str" cm="1">
        <f t="array" ref="D112">IFERROR(_xlfn.ARRAYTOTEXT(_xlfn.UNIQUE(_xlfn._xlws.FILTER(ubox[Failed Instance],(ubox[FirstError - IP (name)]=D$1)*(ubox[VisualID]=A112))),0),"")</f>
        <v/>
      </c>
      <c r="E112" s="2" t="str" cm="1">
        <f t="array" ref="E112">IFERROR(_xlfn.ARRAYTOTEXT(_xlfn.UNIQUE(_xlfn._xlws.FILTER(ubox[Failed Instance],(ubox[FirstError - IP (name)]=E$1)*(ubox[VisualID]=A112))),0),"")</f>
        <v/>
      </c>
      <c r="F112" s="2" t="str" cm="1">
        <f t="array" ref="F112">IFERROR(_xlfn.ARRAYTOTEXT(_xlfn.UNIQUE(_xlfn._xlws.FILTER(ubox[Failed Instance],(ubox[FirstError - IP (name)]=F$1)*(ubox[VisualID]=A112))),0),"")</f>
        <v/>
      </c>
      <c r="G112" s="2" t="str" cm="1">
        <f t="array" ref="G112">IFERROR(_xlfn.ARRAYTOTEXT(_xlfn.UNIQUE(_xlfn._xlws.FILTER(ubox[Failed Instance],(ubox[FirstError - IP (name)]=G$1)*(ubox[VisualID]=A112))),0),"")</f>
        <v/>
      </c>
      <c r="H112" s="2" t="str" cm="1">
        <f t="array" ref="H112">IFERROR(_xlfn.ARRAYTOTEXT(_xlfn.UNIQUE(_xlfn._xlws.FILTER(ubox[Failed Instance],(ubox[FirstError - IP (name)]=H$1)*(ubox[VisualID]=A112))),0),"")</f>
        <v/>
      </c>
    </row>
    <row r="113" spans="1:8" x14ac:dyDescent="0.3">
      <c r="A113" s="2"/>
      <c r="B113" s="2" t="str">
        <f t="shared" si="1"/>
        <v/>
      </c>
      <c r="D113" s="2" t="str" cm="1">
        <f t="array" ref="D113">IFERROR(_xlfn.ARRAYTOTEXT(_xlfn.UNIQUE(_xlfn._xlws.FILTER(ubox[Failed Instance],(ubox[FirstError - IP (name)]=D$1)*(ubox[VisualID]=A113))),0),"")</f>
        <v/>
      </c>
      <c r="E113" s="2" t="str" cm="1">
        <f t="array" ref="E113">IFERROR(_xlfn.ARRAYTOTEXT(_xlfn.UNIQUE(_xlfn._xlws.FILTER(ubox[Failed Instance],(ubox[FirstError - IP (name)]=E$1)*(ubox[VisualID]=A113))),0),"")</f>
        <v/>
      </c>
      <c r="F113" s="2" t="str" cm="1">
        <f t="array" ref="F113">IFERROR(_xlfn.ARRAYTOTEXT(_xlfn.UNIQUE(_xlfn._xlws.FILTER(ubox[Failed Instance],(ubox[FirstError - IP (name)]=F$1)*(ubox[VisualID]=A113))),0),"")</f>
        <v/>
      </c>
      <c r="G113" s="2" t="str" cm="1">
        <f t="array" ref="G113">IFERROR(_xlfn.ARRAYTOTEXT(_xlfn.UNIQUE(_xlfn._xlws.FILTER(ubox[Failed Instance],(ubox[FirstError - IP (name)]=G$1)*(ubox[VisualID]=A113))),0),"")</f>
        <v/>
      </c>
      <c r="H113" s="2" t="str" cm="1">
        <f t="array" ref="H113">IFERROR(_xlfn.ARRAYTOTEXT(_xlfn.UNIQUE(_xlfn._xlws.FILTER(ubox[Failed Instance],(ubox[FirstError - IP (name)]=H$1)*(ubox[VisualID]=A113))),0),"")</f>
        <v/>
      </c>
    </row>
    <row r="114" spans="1:8" x14ac:dyDescent="0.3">
      <c r="A114" s="2"/>
      <c r="B114" s="2" t="str">
        <f t="shared" si="1"/>
        <v/>
      </c>
      <c r="D114" s="2" t="str" cm="1">
        <f t="array" ref="D114">IFERROR(_xlfn.ARRAYTOTEXT(_xlfn.UNIQUE(_xlfn._xlws.FILTER(ubox[Failed Instance],(ubox[FirstError - IP (name)]=D$1)*(ubox[VisualID]=A114))),0),"")</f>
        <v/>
      </c>
      <c r="E114" s="2" t="str" cm="1">
        <f t="array" ref="E114">IFERROR(_xlfn.ARRAYTOTEXT(_xlfn.UNIQUE(_xlfn._xlws.FILTER(ubox[Failed Instance],(ubox[FirstError - IP (name)]=E$1)*(ubox[VisualID]=A114))),0),"")</f>
        <v/>
      </c>
      <c r="F114" s="2" t="str" cm="1">
        <f t="array" ref="F114">IFERROR(_xlfn.ARRAYTOTEXT(_xlfn.UNIQUE(_xlfn._xlws.FILTER(ubox[Failed Instance],(ubox[FirstError - IP (name)]=F$1)*(ubox[VisualID]=A114))),0),"")</f>
        <v/>
      </c>
      <c r="G114" s="2" t="str" cm="1">
        <f t="array" ref="G114">IFERROR(_xlfn.ARRAYTOTEXT(_xlfn.UNIQUE(_xlfn._xlws.FILTER(ubox[Failed Instance],(ubox[FirstError - IP (name)]=G$1)*(ubox[VisualID]=A114))),0),"")</f>
        <v/>
      </c>
      <c r="H114" s="2" t="str" cm="1">
        <f t="array" ref="H114">IFERROR(_xlfn.ARRAYTOTEXT(_xlfn.UNIQUE(_xlfn._xlws.FILTER(ubox[Failed Instance],(ubox[FirstError - IP (name)]=H$1)*(ubox[VisualID]=A114))),0),"")</f>
        <v/>
      </c>
    </row>
    <row r="115" spans="1:8" x14ac:dyDescent="0.3">
      <c r="A115" s="2"/>
      <c r="B115" s="2" t="str">
        <f t="shared" si="1"/>
        <v/>
      </c>
      <c r="D115" s="2" t="str" cm="1">
        <f t="array" ref="D115">IFERROR(_xlfn.ARRAYTOTEXT(_xlfn.UNIQUE(_xlfn._xlws.FILTER(ubox[Failed Instance],(ubox[FirstError - IP (name)]=D$1)*(ubox[VisualID]=A115))),0),"")</f>
        <v/>
      </c>
      <c r="E115" s="2" t="str" cm="1">
        <f t="array" ref="E115">IFERROR(_xlfn.ARRAYTOTEXT(_xlfn.UNIQUE(_xlfn._xlws.FILTER(ubox[Failed Instance],(ubox[FirstError - IP (name)]=E$1)*(ubox[VisualID]=A115))),0),"")</f>
        <v/>
      </c>
      <c r="F115" s="2" t="str" cm="1">
        <f t="array" ref="F115">IFERROR(_xlfn.ARRAYTOTEXT(_xlfn.UNIQUE(_xlfn._xlws.FILTER(ubox[Failed Instance],(ubox[FirstError - IP (name)]=F$1)*(ubox[VisualID]=A115))),0),"")</f>
        <v/>
      </c>
      <c r="G115" s="2" t="str" cm="1">
        <f t="array" ref="G115">IFERROR(_xlfn.ARRAYTOTEXT(_xlfn.UNIQUE(_xlfn._xlws.FILTER(ubox[Failed Instance],(ubox[FirstError - IP (name)]=G$1)*(ubox[VisualID]=A115))),0),"")</f>
        <v/>
      </c>
      <c r="H115" s="2" t="str" cm="1">
        <f t="array" ref="H115">IFERROR(_xlfn.ARRAYTOTEXT(_xlfn.UNIQUE(_xlfn._xlws.FILTER(ubox[Failed Instance],(ubox[FirstError - IP (name)]=H$1)*(ubox[VisualID]=A115))),0),"")</f>
        <v/>
      </c>
    </row>
    <row r="116" spans="1:8" x14ac:dyDescent="0.3">
      <c r="A116" s="2"/>
      <c r="B116" s="2" t="str">
        <f t="shared" si="1"/>
        <v/>
      </c>
      <c r="D116" s="2" t="str" cm="1">
        <f t="array" ref="D116">IFERROR(_xlfn.ARRAYTOTEXT(_xlfn.UNIQUE(_xlfn._xlws.FILTER(ubox[Failed Instance],(ubox[FirstError - IP (name)]=D$1)*(ubox[VisualID]=A116))),0),"")</f>
        <v/>
      </c>
      <c r="E116" s="2" t="str" cm="1">
        <f t="array" ref="E116">IFERROR(_xlfn.ARRAYTOTEXT(_xlfn.UNIQUE(_xlfn._xlws.FILTER(ubox[Failed Instance],(ubox[FirstError - IP (name)]=E$1)*(ubox[VisualID]=A116))),0),"")</f>
        <v/>
      </c>
      <c r="F116" s="2" t="str" cm="1">
        <f t="array" ref="F116">IFERROR(_xlfn.ARRAYTOTEXT(_xlfn.UNIQUE(_xlfn._xlws.FILTER(ubox[Failed Instance],(ubox[FirstError - IP (name)]=F$1)*(ubox[VisualID]=A116))),0),"")</f>
        <v/>
      </c>
      <c r="G116" s="2" t="str" cm="1">
        <f t="array" ref="G116">IFERROR(_xlfn.ARRAYTOTEXT(_xlfn.UNIQUE(_xlfn._xlws.FILTER(ubox[Failed Instance],(ubox[FirstError - IP (name)]=G$1)*(ubox[VisualID]=A116))),0),"")</f>
        <v/>
      </c>
      <c r="H116" s="2" t="str" cm="1">
        <f t="array" ref="H116">IFERROR(_xlfn.ARRAYTOTEXT(_xlfn.UNIQUE(_xlfn._xlws.FILTER(ubox[Failed Instance],(ubox[FirstError - IP (name)]=H$1)*(ubox[VisualID]=A116))),0),"")</f>
        <v/>
      </c>
    </row>
    <row r="117" spans="1:8" x14ac:dyDescent="0.3">
      <c r="A117" s="2"/>
      <c r="B117" s="2" t="str">
        <f t="shared" si="1"/>
        <v/>
      </c>
      <c r="D117" s="2" t="str" cm="1">
        <f t="array" ref="D117">IFERROR(_xlfn.ARRAYTOTEXT(_xlfn.UNIQUE(_xlfn._xlws.FILTER(ubox[Failed Instance],(ubox[FirstError - IP (name)]=D$1)*(ubox[VisualID]=A117))),0),"")</f>
        <v/>
      </c>
      <c r="E117" s="2" t="str" cm="1">
        <f t="array" ref="E117">IFERROR(_xlfn.ARRAYTOTEXT(_xlfn.UNIQUE(_xlfn._xlws.FILTER(ubox[Failed Instance],(ubox[FirstError - IP (name)]=E$1)*(ubox[VisualID]=A117))),0),"")</f>
        <v/>
      </c>
      <c r="F117" s="2" t="str" cm="1">
        <f t="array" ref="F117">IFERROR(_xlfn.ARRAYTOTEXT(_xlfn.UNIQUE(_xlfn._xlws.FILTER(ubox[Failed Instance],(ubox[FirstError - IP (name)]=F$1)*(ubox[VisualID]=A117))),0),"")</f>
        <v/>
      </c>
      <c r="G117" s="2" t="str" cm="1">
        <f t="array" ref="G117">IFERROR(_xlfn.ARRAYTOTEXT(_xlfn.UNIQUE(_xlfn._xlws.FILTER(ubox[Failed Instance],(ubox[FirstError - IP (name)]=G$1)*(ubox[VisualID]=A117))),0),"")</f>
        <v/>
      </c>
      <c r="H117" s="2" t="str" cm="1">
        <f t="array" ref="H117">IFERROR(_xlfn.ARRAYTOTEXT(_xlfn.UNIQUE(_xlfn._xlws.FILTER(ubox[Failed Instance],(ubox[FirstError - IP (name)]=H$1)*(ubox[VisualID]=A117))),0),"")</f>
        <v/>
      </c>
    </row>
    <row r="118" spans="1:8" x14ac:dyDescent="0.3">
      <c r="A118" s="2"/>
      <c r="B118" s="2" t="str">
        <f t="shared" si="1"/>
        <v/>
      </c>
      <c r="D118" s="2" t="str" cm="1">
        <f t="array" ref="D118">IFERROR(_xlfn.ARRAYTOTEXT(_xlfn.UNIQUE(_xlfn._xlws.FILTER(ubox[Failed Instance],(ubox[FirstError - IP (name)]=D$1)*(ubox[VisualID]=A118))),0),"")</f>
        <v/>
      </c>
      <c r="E118" s="2" t="str" cm="1">
        <f t="array" ref="E118">IFERROR(_xlfn.ARRAYTOTEXT(_xlfn.UNIQUE(_xlfn._xlws.FILTER(ubox[Failed Instance],(ubox[FirstError - IP (name)]=E$1)*(ubox[VisualID]=A118))),0),"")</f>
        <v/>
      </c>
      <c r="F118" s="2" t="str" cm="1">
        <f t="array" ref="F118">IFERROR(_xlfn.ARRAYTOTEXT(_xlfn.UNIQUE(_xlfn._xlws.FILTER(ubox[Failed Instance],(ubox[FirstError - IP (name)]=F$1)*(ubox[VisualID]=A118))),0),"")</f>
        <v/>
      </c>
      <c r="G118" s="2" t="str" cm="1">
        <f t="array" ref="G118">IFERROR(_xlfn.ARRAYTOTEXT(_xlfn.UNIQUE(_xlfn._xlws.FILTER(ubox[Failed Instance],(ubox[FirstError - IP (name)]=G$1)*(ubox[VisualID]=A118))),0),"")</f>
        <v/>
      </c>
      <c r="H118" s="2" t="str" cm="1">
        <f t="array" ref="H118">IFERROR(_xlfn.ARRAYTOTEXT(_xlfn.UNIQUE(_xlfn._xlws.FILTER(ubox[Failed Instance],(ubox[FirstError - IP (name)]=H$1)*(ubox[VisualID]=A118))),0),"")</f>
        <v/>
      </c>
    </row>
    <row r="119" spans="1:8" x14ac:dyDescent="0.3">
      <c r="A119" s="2"/>
      <c r="B119" s="2" t="str">
        <f t="shared" si="1"/>
        <v/>
      </c>
      <c r="D119" s="2" t="str" cm="1">
        <f t="array" ref="D119">IFERROR(_xlfn.ARRAYTOTEXT(_xlfn.UNIQUE(_xlfn._xlws.FILTER(ubox[Failed Instance],(ubox[FirstError - IP (name)]=D$1)*(ubox[VisualID]=A119))),0),"")</f>
        <v/>
      </c>
      <c r="E119" s="2" t="str" cm="1">
        <f t="array" ref="E119">IFERROR(_xlfn.ARRAYTOTEXT(_xlfn.UNIQUE(_xlfn._xlws.FILTER(ubox[Failed Instance],(ubox[FirstError - IP (name)]=E$1)*(ubox[VisualID]=A119))),0),"")</f>
        <v/>
      </c>
      <c r="F119" s="2" t="str" cm="1">
        <f t="array" ref="F119">IFERROR(_xlfn.ARRAYTOTEXT(_xlfn.UNIQUE(_xlfn._xlws.FILTER(ubox[Failed Instance],(ubox[FirstError - IP (name)]=F$1)*(ubox[VisualID]=A119))),0),"")</f>
        <v/>
      </c>
      <c r="G119" s="2" t="str" cm="1">
        <f t="array" ref="G119">IFERROR(_xlfn.ARRAYTOTEXT(_xlfn.UNIQUE(_xlfn._xlws.FILTER(ubox[Failed Instance],(ubox[FirstError - IP (name)]=G$1)*(ubox[VisualID]=A119))),0),"")</f>
        <v/>
      </c>
      <c r="H119" s="2" t="str" cm="1">
        <f t="array" ref="H119">IFERROR(_xlfn.ARRAYTOTEXT(_xlfn.UNIQUE(_xlfn._xlws.FILTER(ubox[Failed Instance],(ubox[FirstError - IP (name)]=H$1)*(ubox[VisualID]=A119))),0),"")</f>
        <v/>
      </c>
    </row>
    <row r="120" spans="1:8" x14ac:dyDescent="0.3">
      <c r="A120" s="2"/>
      <c r="B120" s="2" t="str">
        <f t="shared" si="1"/>
        <v/>
      </c>
      <c r="D120" s="2" t="str" cm="1">
        <f t="array" ref="D120">IFERROR(_xlfn.ARRAYTOTEXT(_xlfn.UNIQUE(_xlfn._xlws.FILTER(ubox[Failed Instance],(ubox[FirstError - IP (name)]=D$1)*(ubox[VisualID]=A120))),0),"")</f>
        <v/>
      </c>
      <c r="E120" s="2" t="str" cm="1">
        <f t="array" ref="E120">IFERROR(_xlfn.ARRAYTOTEXT(_xlfn.UNIQUE(_xlfn._xlws.FILTER(ubox[Failed Instance],(ubox[FirstError - IP (name)]=E$1)*(ubox[VisualID]=A120))),0),"")</f>
        <v/>
      </c>
      <c r="F120" s="2" t="str" cm="1">
        <f t="array" ref="F120">IFERROR(_xlfn.ARRAYTOTEXT(_xlfn.UNIQUE(_xlfn._xlws.FILTER(ubox[Failed Instance],(ubox[FirstError - IP (name)]=F$1)*(ubox[VisualID]=A120))),0),"")</f>
        <v/>
      </c>
      <c r="G120" s="2" t="str" cm="1">
        <f t="array" ref="G120">IFERROR(_xlfn.ARRAYTOTEXT(_xlfn.UNIQUE(_xlfn._xlws.FILTER(ubox[Failed Instance],(ubox[FirstError - IP (name)]=G$1)*(ubox[VisualID]=A120))),0),"")</f>
        <v/>
      </c>
      <c r="H120" s="2" t="str" cm="1">
        <f t="array" ref="H120">IFERROR(_xlfn.ARRAYTOTEXT(_xlfn.UNIQUE(_xlfn._xlws.FILTER(ubox[Failed Instance],(ubox[FirstError - IP (name)]=H$1)*(ubox[VisualID]=A120))),0),"")</f>
        <v/>
      </c>
    </row>
    <row r="121" spans="1:8" x14ac:dyDescent="0.3">
      <c r="A121" s="2"/>
      <c r="B121" s="2" t="str">
        <f t="shared" si="1"/>
        <v/>
      </c>
      <c r="D121" s="2" t="str" cm="1">
        <f t="array" ref="D121">IFERROR(_xlfn.ARRAYTOTEXT(_xlfn.UNIQUE(_xlfn._xlws.FILTER(ubox[Failed Instance],(ubox[FirstError - IP (name)]=D$1)*(ubox[VisualID]=A121))),0),"")</f>
        <v/>
      </c>
      <c r="E121" s="2" t="str" cm="1">
        <f t="array" ref="E121">IFERROR(_xlfn.ARRAYTOTEXT(_xlfn.UNIQUE(_xlfn._xlws.FILTER(ubox[Failed Instance],(ubox[FirstError - IP (name)]=E$1)*(ubox[VisualID]=A121))),0),"")</f>
        <v/>
      </c>
      <c r="F121" s="2" t="str" cm="1">
        <f t="array" ref="F121">IFERROR(_xlfn.ARRAYTOTEXT(_xlfn.UNIQUE(_xlfn._xlws.FILTER(ubox[Failed Instance],(ubox[FirstError - IP (name)]=F$1)*(ubox[VisualID]=A121))),0),"")</f>
        <v/>
      </c>
      <c r="G121" s="2" t="str" cm="1">
        <f t="array" ref="G121">IFERROR(_xlfn.ARRAYTOTEXT(_xlfn.UNIQUE(_xlfn._xlws.FILTER(ubox[Failed Instance],(ubox[FirstError - IP (name)]=G$1)*(ubox[VisualID]=A121))),0),"")</f>
        <v/>
      </c>
      <c r="H121" s="2" t="str" cm="1">
        <f t="array" ref="H121">IFERROR(_xlfn.ARRAYTOTEXT(_xlfn.UNIQUE(_xlfn._xlws.FILTER(ubox[Failed Instance],(ubox[FirstError - IP (name)]=H$1)*(ubox[VisualID]=A121))),0),"")</f>
        <v/>
      </c>
    </row>
    <row r="122" spans="1:8" x14ac:dyDescent="0.3">
      <c r="A122" s="2"/>
      <c r="B122" s="2" t="str">
        <f t="shared" si="1"/>
        <v/>
      </c>
      <c r="D122" s="2" t="str" cm="1">
        <f t="array" ref="D122">IFERROR(_xlfn.ARRAYTOTEXT(_xlfn.UNIQUE(_xlfn._xlws.FILTER(ubox[Failed Instance],(ubox[FirstError - IP (name)]=D$1)*(ubox[VisualID]=A122))),0),"")</f>
        <v/>
      </c>
      <c r="E122" s="2" t="str" cm="1">
        <f t="array" ref="E122">IFERROR(_xlfn.ARRAYTOTEXT(_xlfn.UNIQUE(_xlfn._xlws.FILTER(ubox[Failed Instance],(ubox[FirstError - IP (name)]=E$1)*(ubox[VisualID]=A122))),0),"")</f>
        <v/>
      </c>
      <c r="F122" s="2" t="str" cm="1">
        <f t="array" ref="F122">IFERROR(_xlfn.ARRAYTOTEXT(_xlfn.UNIQUE(_xlfn._xlws.FILTER(ubox[Failed Instance],(ubox[FirstError - IP (name)]=F$1)*(ubox[VisualID]=A122))),0),"")</f>
        <v/>
      </c>
      <c r="G122" s="2" t="str" cm="1">
        <f t="array" ref="G122">IFERROR(_xlfn.ARRAYTOTEXT(_xlfn.UNIQUE(_xlfn._xlws.FILTER(ubox[Failed Instance],(ubox[FirstError - IP (name)]=G$1)*(ubox[VisualID]=A122))),0),"")</f>
        <v/>
      </c>
      <c r="H122" s="2" t="str" cm="1">
        <f t="array" ref="H122">IFERROR(_xlfn.ARRAYTOTEXT(_xlfn.UNIQUE(_xlfn._xlws.FILTER(ubox[Failed Instance],(ubox[FirstError - IP (name)]=H$1)*(ubox[VisualID]=A122))),0),"")</f>
        <v/>
      </c>
    </row>
    <row r="123" spans="1:8" x14ac:dyDescent="0.3">
      <c r="A123" s="2"/>
      <c r="B123" s="2" t="str">
        <f t="shared" si="1"/>
        <v/>
      </c>
      <c r="D123" s="2" t="str" cm="1">
        <f t="array" ref="D123">IFERROR(_xlfn.ARRAYTOTEXT(_xlfn.UNIQUE(_xlfn._xlws.FILTER(ubox[Failed Instance],(ubox[FirstError - IP (name)]=D$1)*(ubox[VisualID]=A123))),0),"")</f>
        <v/>
      </c>
      <c r="E123" s="2" t="str" cm="1">
        <f t="array" ref="E123">IFERROR(_xlfn.ARRAYTOTEXT(_xlfn.UNIQUE(_xlfn._xlws.FILTER(ubox[Failed Instance],(ubox[FirstError - IP (name)]=E$1)*(ubox[VisualID]=A123))),0),"")</f>
        <v/>
      </c>
      <c r="F123" s="2" t="str" cm="1">
        <f t="array" ref="F123">IFERROR(_xlfn.ARRAYTOTEXT(_xlfn.UNIQUE(_xlfn._xlws.FILTER(ubox[Failed Instance],(ubox[FirstError - IP (name)]=F$1)*(ubox[VisualID]=A123))),0),"")</f>
        <v/>
      </c>
      <c r="G123" s="2" t="str" cm="1">
        <f t="array" ref="G123">IFERROR(_xlfn.ARRAYTOTEXT(_xlfn.UNIQUE(_xlfn._xlws.FILTER(ubox[Failed Instance],(ubox[FirstError - IP (name)]=G$1)*(ubox[VisualID]=A123))),0),"")</f>
        <v/>
      </c>
      <c r="H123" s="2" t="str" cm="1">
        <f t="array" ref="H123">IFERROR(_xlfn.ARRAYTOTEXT(_xlfn.UNIQUE(_xlfn._xlws.FILTER(ubox[Failed Instance],(ubox[FirstError - IP (name)]=H$1)*(ubox[VisualID]=A123))),0),"")</f>
        <v/>
      </c>
    </row>
    <row r="124" spans="1:8" x14ac:dyDescent="0.3">
      <c r="A124" s="2"/>
      <c r="B124" s="2" t="str">
        <f t="shared" si="1"/>
        <v/>
      </c>
      <c r="D124" s="2" t="str" cm="1">
        <f t="array" ref="D124">IFERROR(_xlfn.ARRAYTOTEXT(_xlfn.UNIQUE(_xlfn._xlws.FILTER(ubox[Failed Instance],(ubox[FirstError - IP (name)]=D$1)*(ubox[VisualID]=A124))),0),"")</f>
        <v/>
      </c>
      <c r="E124" s="2" t="str" cm="1">
        <f t="array" ref="E124">IFERROR(_xlfn.ARRAYTOTEXT(_xlfn.UNIQUE(_xlfn._xlws.FILTER(ubox[Failed Instance],(ubox[FirstError - IP (name)]=E$1)*(ubox[VisualID]=A124))),0),"")</f>
        <v/>
      </c>
      <c r="F124" s="2" t="str" cm="1">
        <f t="array" ref="F124">IFERROR(_xlfn.ARRAYTOTEXT(_xlfn.UNIQUE(_xlfn._xlws.FILTER(ubox[Failed Instance],(ubox[FirstError - IP (name)]=F$1)*(ubox[VisualID]=A124))),0),"")</f>
        <v/>
      </c>
      <c r="G124" s="2" t="str" cm="1">
        <f t="array" ref="G124">IFERROR(_xlfn.ARRAYTOTEXT(_xlfn.UNIQUE(_xlfn._xlws.FILTER(ubox[Failed Instance],(ubox[FirstError - IP (name)]=G$1)*(ubox[VisualID]=A124))),0),"")</f>
        <v/>
      </c>
      <c r="H124" s="2" t="str" cm="1">
        <f t="array" ref="H124">IFERROR(_xlfn.ARRAYTOTEXT(_xlfn.UNIQUE(_xlfn._xlws.FILTER(ubox[Failed Instance],(ubox[FirstError - IP (name)]=H$1)*(ubox[VisualID]=A124))),0),"")</f>
        <v/>
      </c>
    </row>
    <row r="125" spans="1:8" x14ac:dyDescent="0.3">
      <c r="A125" s="2"/>
      <c r="B125" s="2" t="str">
        <f t="shared" si="1"/>
        <v/>
      </c>
      <c r="D125" s="2" t="str" cm="1">
        <f t="array" ref="D125">IFERROR(_xlfn.ARRAYTOTEXT(_xlfn.UNIQUE(_xlfn._xlws.FILTER(ubox[Failed Instance],(ubox[FirstError - IP (name)]=D$1)*(ubox[VisualID]=A125))),0),"")</f>
        <v/>
      </c>
      <c r="E125" s="2" t="str" cm="1">
        <f t="array" ref="E125">IFERROR(_xlfn.ARRAYTOTEXT(_xlfn.UNIQUE(_xlfn._xlws.FILTER(ubox[Failed Instance],(ubox[FirstError - IP (name)]=E$1)*(ubox[VisualID]=A125))),0),"")</f>
        <v/>
      </c>
      <c r="F125" s="2" t="str" cm="1">
        <f t="array" ref="F125">IFERROR(_xlfn.ARRAYTOTEXT(_xlfn.UNIQUE(_xlfn._xlws.FILTER(ubox[Failed Instance],(ubox[FirstError - IP (name)]=F$1)*(ubox[VisualID]=A125))),0),"")</f>
        <v/>
      </c>
      <c r="G125" s="2" t="str" cm="1">
        <f t="array" ref="G125">IFERROR(_xlfn.ARRAYTOTEXT(_xlfn.UNIQUE(_xlfn._xlws.FILTER(ubox[Failed Instance],(ubox[FirstError - IP (name)]=G$1)*(ubox[VisualID]=A125))),0),"")</f>
        <v/>
      </c>
      <c r="H125" s="2" t="str" cm="1">
        <f t="array" ref="H125">IFERROR(_xlfn.ARRAYTOTEXT(_xlfn.UNIQUE(_xlfn._xlws.FILTER(ubox[Failed Instance],(ubox[FirstError - IP (name)]=H$1)*(ubox[VisualID]=A125))),0),"")</f>
        <v/>
      </c>
    </row>
    <row r="126" spans="1:8" x14ac:dyDescent="0.3">
      <c r="A126" s="2"/>
      <c r="B126" s="2" t="str">
        <f t="shared" si="1"/>
        <v/>
      </c>
      <c r="D126" s="2" t="str" cm="1">
        <f t="array" ref="D126">IFERROR(_xlfn.ARRAYTOTEXT(_xlfn.UNIQUE(_xlfn._xlws.FILTER(ubox[Failed Instance],(ubox[FirstError - IP (name)]=D$1)*(ubox[VisualID]=A126))),0),"")</f>
        <v/>
      </c>
      <c r="E126" s="2" t="str" cm="1">
        <f t="array" ref="E126">IFERROR(_xlfn.ARRAYTOTEXT(_xlfn.UNIQUE(_xlfn._xlws.FILTER(ubox[Failed Instance],(ubox[FirstError - IP (name)]=E$1)*(ubox[VisualID]=A126))),0),"")</f>
        <v/>
      </c>
      <c r="F126" s="2" t="str" cm="1">
        <f t="array" ref="F126">IFERROR(_xlfn.ARRAYTOTEXT(_xlfn.UNIQUE(_xlfn._xlws.FILTER(ubox[Failed Instance],(ubox[FirstError - IP (name)]=F$1)*(ubox[VisualID]=A126))),0),"")</f>
        <v/>
      </c>
      <c r="G126" s="2" t="str" cm="1">
        <f t="array" ref="G126">IFERROR(_xlfn.ARRAYTOTEXT(_xlfn.UNIQUE(_xlfn._xlws.FILTER(ubox[Failed Instance],(ubox[FirstError - IP (name)]=G$1)*(ubox[VisualID]=A126))),0),"")</f>
        <v/>
      </c>
      <c r="H126" s="2" t="str" cm="1">
        <f t="array" ref="H126">IFERROR(_xlfn.ARRAYTOTEXT(_xlfn.UNIQUE(_xlfn._xlws.FILTER(ubox[Failed Instance],(ubox[FirstError - IP (name)]=H$1)*(ubox[VisualID]=A126))),0),"")</f>
        <v/>
      </c>
    </row>
    <row r="127" spans="1:8" x14ac:dyDescent="0.3">
      <c r="A127" s="2"/>
      <c r="B127" s="2" t="str">
        <f t="shared" si="1"/>
        <v/>
      </c>
      <c r="D127" s="2" t="str" cm="1">
        <f t="array" ref="D127">IFERROR(_xlfn.ARRAYTOTEXT(_xlfn.UNIQUE(_xlfn._xlws.FILTER(ubox[Failed Instance],(ubox[FirstError - IP (name)]=D$1)*(ubox[VisualID]=A127))),0),"")</f>
        <v/>
      </c>
      <c r="E127" s="2" t="str" cm="1">
        <f t="array" ref="E127">IFERROR(_xlfn.ARRAYTOTEXT(_xlfn.UNIQUE(_xlfn._xlws.FILTER(ubox[Failed Instance],(ubox[FirstError - IP (name)]=E$1)*(ubox[VisualID]=A127))),0),"")</f>
        <v/>
      </c>
      <c r="F127" s="2" t="str" cm="1">
        <f t="array" ref="F127">IFERROR(_xlfn.ARRAYTOTEXT(_xlfn.UNIQUE(_xlfn._xlws.FILTER(ubox[Failed Instance],(ubox[FirstError - IP (name)]=F$1)*(ubox[VisualID]=A127))),0),"")</f>
        <v/>
      </c>
      <c r="G127" s="2" t="str" cm="1">
        <f t="array" ref="G127">IFERROR(_xlfn.ARRAYTOTEXT(_xlfn.UNIQUE(_xlfn._xlws.FILTER(ubox[Failed Instance],(ubox[FirstError - IP (name)]=G$1)*(ubox[VisualID]=A127))),0),"")</f>
        <v/>
      </c>
      <c r="H127" s="2" t="str" cm="1">
        <f t="array" ref="H127">IFERROR(_xlfn.ARRAYTOTEXT(_xlfn.UNIQUE(_xlfn._xlws.FILTER(ubox[Failed Instance],(ubox[FirstError - IP (name)]=H$1)*(ubox[VisualID]=A127))),0),"")</f>
        <v/>
      </c>
    </row>
    <row r="128" spans="1:8" x14ac:dyDescent="0.3">
      <c r="A128" s="2"/>
      <c r="B128" s="2" t="str">
        <f t="shared" si="1"/>
        <v/>
      </c>
      <c r="D128" s="2" t="str" cm="1">
        <f t="array" ref="D128">IFERROR(_xlfn.ARRAYTOTEXT(_xlfn.UNIQUE(_xlfn._xlws.FILTER(ubox[Failed Instance],(ubox[FirstError - IP (name)]=D$1)*(ubox[VisualID]=A128))),0),"")</f>
        <v/>
      </c>
      <c r="E128" s="2" t="str" cm="1">
        <f t="array" ref="E128">IFERROR(_xlfn.ARRAYTOTEXT(_xlfn.UNIQUE(_xlfn._xlws.FILTER(ubox[Failed Instance],(ubox[FirstError - IP (name)]=E$1)*(ubox[VisualID]=A128))),0),"")</f>
        <v/>
      </c>
      <c r="F128" s="2" t="str" cm="1">
        <f t="array" ref="F128">IFERROR(_xlfn.ARRAYTOTEXT(_xlfn.UNIQUE(_xlfn._xlws.FILTER(ubox[Failed Instance],(ubox[FirstError - IP (name)]=F$1)*(ubox[VisualID]=A128))),0),"")</f>
        <v/>
      </c>
      <c r="G128" s="2" t="str" cm="1">
        <f t="array" ref="G128">IFERROR(_xlfn.ARRAYTOTEXT(_xlfn.UNIQUE(_xlfn._xlws.FILTER(ubox[Failed Instance],(ubox[FirstError - IP (name)]=G$1)*(ubox[VisualID]=A128))),0),"")</f>
        <v/>
      </c>
      <c r="H128" s="2" t="str" cm="1">
        <f t="array" ref="H128">IFERROR(_xlfn.ARRAYTOTEXT(_xlfn.UNIQUE(_xlfn._xlws.FILTER(ubox[Failed Instance],(ubox[FirstError - IP (name)]=H$1)*(ubox[VisualID]=A128))),0),"")</f>
        <v/>
      </c>
    </row>
    <row r="129" spans="1:8" x14ac:dyDescent="0.3">
      <c r="A129" s="2"/>
      <c r="B129" s="2" t="str">
        <f t="shared" si="1"/>
        <v/>
      </c>
      <c r="D129" s="2" t="str" cm="1">
        <f t="array" ref="D129">IFERROR(_xlfn.ARRAYTOTEXT(_xlfn.UNIQUE(_xlfn._xlws.FILTER(ubox[Failed Instance],(ubox[FirstError - IP (name)]=D$1)*(ubox[VisualID]=A129))),0),"")</f>
        <v/>
      </c>
      <c r="E129" s="2" t="str" cm="1">
        <f t="array" ref="E129">IFERROR(_xlfn.ARRAYTOTEXT(_xlfn.UNIQUE(_xlfn._xlws.FILTER(ubox[Failed Instance],(ubox[FirstError - IP (name)]=E$1)*(ubox[VisualID]=A129))),0),"")</f>
        <v/>
      </c>
      <c r="F129" s="2" t="str" cm="1">
        <f t="array" ref="F129">IFERROR(_xlfn.ARRAYTOTEXT(_xlfn.UNIQUE(_xlfn._xlws.FILTER(ubox[Failed Instance],(ubox[FirstError - IP (name)]=F$1)*(ubox[VisualID]=A129))),0),"")</f>
        <v/>
      </c>
      <c r="G129" s="2" t="str" cm="1">
        <f t="array" ref="G129">IFERROR(_xlfn.ARRAYTOTEXT(_xlfn.UNIQUE(_xlfn._xlws.FILTER(ubox[Failed Instance],(ubox[FirstError - IP (name)]=G$1)*(ubox[VisualID]=A129))),0),"")</f>
        <v/>
      </c>
      <c r="H129" s="2" t="str" cm="1">
        <f t="array" ref="H129">IFERROR(_xlfn.ARRAYTOTEXT(_xlfn.UNIQUE(_xlfn._xlws.FILTER(ubox[Failed Instance],(ubox[FirstError - IP (name)]=H$1)*(ubox[VisualID]=A129))),0),"")</f>
        <v/>
      </c>
    </row>
    <row r="130" spans="1:8" x14ac:dyDescent="0.3">
      <c r="A130" s="2"/>
      <c r="B130" s="2" t="str">
        <f t="shared" si="1"/>
        <v/>
      </c>
      <c r="D130" s="2" t="str" cm="1">
        <f t="array" ref="D130">IFERROR(_xlfn.ARRAYTOTEXT(_xlfn.UNIQUE(_xlfn._xlws.FILTER(ubox[Failed Instance],(ubox[FirstError - IP (name)]=D$1)*(ubox[VisualID]=A130))),0),"")</f>
        <v/>
      </c>
      <c r="E130" s="2" t="str" cm="1">
        <f t="array" ref="E130">IFERROR(_xlfn.ARRAYTOTEXT(_xlfn.UNIQUE(_xlfn._xlws.FILTER(ubox[Failed Instance],(ubox[FirstError - IP (name)]=E$1)*(ubox[VisualID]=A130))),0),"")</f>
        <v/>
      </c>
      <c r="F130" s="2" t="str" cm="1">
        <f t="array" ref="F130">IFERROR(_xlfn.ARRAYTOTEXT(_xlfn.UNIQUE(_xlfn._xlws.FILTER(ubox[Failed Instance],(ubox[FirstError - IP (name)]=F$1)*(ubox[VisualID]=A130))),0),"")</f>
        <v/>
      </c>
      <c r="G130" s="2" t="str" cm="1">
        <f t="array" ref="G130">IFERROR(_xlfn.ARRAYTOTEXT(_xlfn.UNIQUE(_xlfn._xlws.FILTER(ubox[Failed Instance],(ubox[FirstError - IP (name)]=G$1)*(ubox[VisualID]=A130))),0),"")</f>
        <v/>
      </c>
      <c r="H130" s="2" t="str" cm="1">
        <f t="array" ref="H130">IFERROR(_xlfn.ARRAYTOTEXT(_xlfn.UNIQUE(_xlfn._xlws.FILTER(ubox[Failed Instance],(ubox[FirstError - IP (name)]=H$1)*(ubox[VisualID]=A130))),0),"")</f>
        <v/>
      </c>
    </row>
    <row r="131" spans="1:8" x14ac:dyDescent="0.3">
      <c r="A131" s="2"/>
      <c r="B131" s="2" t="str">
        <f t="shared" ref="B131:B174" si="2">_xlfn.TEXTJOIN(", ",1,D131:H131)</f>
        <v/>
      </c>
      <c r="D131" s="2" t="str" cm="1">
        <f t="array" ref="D131">IFERROR(_xlfn.ARRAYTOTEXT(_xlfn.UNIQUE(_xlfn._xlws.FILTER(ubox[Failed Instance],(ubox[FirstError - IP (name)]=D$1)*(ubox[VisualID]=A131))),0),"")</f>
        <v/>
      </c>
      <c r="E131" s="2" t="str" cm="1">
        <f t="array" ref="E131">IFERROR(_xlfn.ARRAYTOTEXT(_xlfn.UNIQUE(_xlfn._xlws.FILTER(ubox[Failed Instance],(ubox[FirstError - IP (name)]=E$1)*(ubox[VisualID]=A131))),0),"")</f>
        <v/>
      </c>
      <c r="F131" s="2" t="str" cm="1">
        <f t="array" ref="F131">IFERROR(_xlfn.ARRAYTOTEXT(_xlfn.UNIQUE(_xlfn._xlws.FILTER(ubox[Failed Instance],(ubox[FirstError - IP (name)]=F$1)*(ubox[VisualID]=A131))),0),"")</f>
        <v/>
      </c>
      <c r="G131" s="2" t="str" cm="1">
        <f t="array" ref="G131">IFERROR(_xlfn.ARRAYTOTEXT(_xlfn.UNIQUE(_xlfn._xlws.FILTER(ubox[Failed Instance],(ubox[FirstError - IP (name)]=G$1)*(ubox[VisualID]=A131))),0),"")</f>
        <v/>
      </c>
      <c r="H131" s="2" t="str" cm="1">
        <f t="array" ref="H131">IFERROR(_xlfn.ARRAYTOTEXT(_xlfn.UNIQUE(_xlfn._xlws.FILTER(ubox[Failed Instance],(ubox[FirstError - IP (name)]=H$1)*(ubox[VisualID]=A131))),0),"")</f>
        <v/>
      </c>
    </row>
    <row r="132" spans="1:8" x14ac:dyDescent="0.3">
      <c r="A132" s="2"/>
      <c r="B132" s="2" t="str">
        <f t="shared" si="2"/>
        <v/>
      </c>
      <c r="D132" s="2" t="str" cm="1">
        <f t="array" ref="D132">IFERROR(_xlfn.ARRAYTOTEXT(_xlfn.UNIQUE(_xlfn._xlws.FILTER(ubox[Failed Instance],(ubox[FirstError - IP (name)]=D$1)*(ubox[VisualID]=A132))),0),"")</f>
        <v/>
      </c>
      <c r="E132" s="2" t="str" cm="1">
        <f t="array" ref="E132">IFERROR(_xlfn.ARRAYTOTEXT(_xlfn.UNIQUE(_xlfn._xlws.FILTER(ubox[Failed Instance],(ubox[FirstError - IP (name)]=E$1)*(ubox[VisualID]=A132))),0),"")</f>
        <v/>
      </c>
      <c r="F132" s="2" t="str" cm="1">
        <f t="array" ref="F132">IFERROR(_xlfn.ARRAYTOTEXT(_xlfn.UNIQUE(_xlfn._xlws.FILTER(ubox[Failed Instance],(ubox[FirstError - IP (name)]=F$1)*(ubox[VisualID]=A132))),0),"")</f>
        <v/>
      </c>
      <c r="G132" s="2" t="str" cm="1">
        <f t="array" ref="G132">IFERROR(_xlfn.ARRAYTOTEXT(_xlfn.UNIQUE(_xlfn._xlws.FILTER(ubox[Failed Instance],(ubox[FirstError - IP (name)]=G$1)*(ubox[VisualID]=A132))),0),"")</f>
        <v/>
      </c>
      <c r="H132" s="2" t="str" cm="1">
        <f t="array" ref="H132">IFERROR(_xlfn.ARRAYTOTEXT(_xlfn.UNIQUE(_xlfn._xlws.FILTER(ubox[Failed Instance],(ubox[FirstError - IP (name)]=H$1)*(ubox[VisualID]=A132))),0),"")</f>
        <v/>
      </c>
    </row>
    <row r="133" spans="1:8" x14ac:dyDescent="0.3">
      <c r="A133" s="2"/>
      <c r="B133" s="2" t="str">
        <f t="shared" si="2"/>
        <v/>
      </c>
      <c r="D133" s="2" t="str" cm="1">
        <f t="array" ref="D133">IFERROR(_xlfn.ARRAYTOTEXT(_xlfn.UNIQUE(_xlfn._xlws.FILTER(ubox[Failed Instance],(ubox[FirstError - IP (name)]=D$1)*(ubox[VisualID]=A133))),0),"")</f>
        <v/>
      </c>
      <c r="E133" s="2" t="str" cm="1">
        <f t="array" ref="E133">IFERROR(_xlfn.ARRAYTOTEXT(_xlfn.UNIQUE(_xlfn._xlws.FILTER(ubox[Failed Instance],(ubox[FirstError - IP (name)]=E$1)*(ubox[VisualID]=A133))),0),"")</f>
        <v/>
      </c>
      <c r="F133" s="2" t="str" cm="1">
        <f t="array" ref="F133">IFERROR(_xlfn.ARRAYTOTEXT(_xlfn.UNIQUE(_xlfn._xlws.FILTER(ubox[Failed Instance],(ubox[FirstError - IP (name)]=F$1)*(ubox[VisualID]=A133))),0),"")</f>
        <v/>
      </c>
      <c r="G133" s="2" t="str" cm="1">
        <f t="array" ref="G133">IFERROR(_xlfn.ARRAYTOTEXT(_xlfn.UNIQUE(_xlfn._xlws.FILTER(ubox[Failed Instance],(ubox[FirstError - IP (name)]=G$1)*(ubox[VisualID]=A133))),0),"")</f>
        <v/>
      </c>
      <c r="H133" s="2" t="str" cm="1">
        <f t="array" ref="H133">IFERROR(_xlfn.ARRAYTOTEXT(_xlfn.UNIQUE(_xlfn._xlws.FILTER(ubox[Failed Instance],(ubox[FirstError - IP (name)]=H$1)*(ubox[VisualID]=A133))),0),"")</f>
        <v/>
      </c>
    </row>
    <row r="134" spans="1:8" x14ac:dyDescent="0.3">
      <c r="A134" s="2"/>
      <c r="B134" s="2" t="str">
        <f t="shared" si="2"/>
        <v/>
      </c>
      <c r="D134" s="2" t="str" cm="1">
        <f t="array" ref="D134">IFERROR(_xlfn.ARRAYTOTEXT(_xlfn.UNIQUE(_xlfn._xlws.FILTER(ubox[Failed Instance],(ubox[FirstError - IP (name)]=D$1)*(ubox[VisualID]=A134))),0),"")</f>
        <v/>
      </c>
      <c r="E134" s="2" t="str" cm="1">
        <f t="array" ref="E134">IFERROR(_xlfn.ARRAYTOTEXT(_xlfn.UNIQUE(_xlfn._xlws.FILTER(ubox[Failed Instance],(ubox[FirstError - IP (name)]=E$1)*(ubox[VisualID]=A134))),0),"")</f>
        <v/>
      </c>
      <c r="F134" s="2" t="str" cm="1">
        <f t="array" ref="F134">IFERROR(_xlfn.ARRAYTOTEXT(_xlfn.UNIQUE(_xlfn._xlws.FILTER(ubox[Failed Instance],(ubox[FirstError - IP (name)]=F$1)*(ubox[VisualID]=A134))),0),"")</f>
        <v/>
      </c>
      <c r="G134" s="2" t="str" cm="1">
        <f t="array" ref="G134">IFERROR(_xlfn.ARRAYTOTEXT(_xlfn.UNIQUE(_xlfn._xlws.FILTER(ubox[Failed Instance],(ubox[FirstError - IP (name)]=G$1)*(ubox[VisualID]=A134))),0),"")</f>
        <v/>
      </c>
      <c r="H134" s="2" t="str" cm="1">
        <f t="array" ref="H134">IFERROR(_xlfn.ARRAYTOTEXT(_xlfn.UNIQUE(_xlfn._xlws.FILTER(ubox[Failed Instance],(ubox[FirstError - IP (name)]=H$1)*(ubox[VisualID]=A134))),0),"")</f>
        <v/>
      </c>
    </row>
    <row r="135" spans="1:8" x14ac:dyDescent="0.3">
      <c r="A135" s="2"/>
      <c r="B135" s="2" t="str">
        <f t="shared" si="2"/>
        <v/>
      </c>
      <c r="D135" s="2" t="str" cm="1">
        <f t="array" ref="D135">IFERROR(_xlfn.ARRAYTOTEXT(_xlfn.UNIQUE(_xlfn._xlws.FILTER(ubox[Failed Instance],(ubox[FirstError - IP (name)]=D$1)*(ubox[VisualID]=A135))),0),"")</f>
        <v/>
      </c>
      <c r="E135" s="2" t="str" cm="1">
        <f t="array" ref="E135">IFERROR(_xlfn.ARRAYTOTEXT(_xlfn.UNIQUE(_xlfn._xlws.FILTER(ubox[Failed Instance],(ubox[FirstError - IP (name)]=E$1)*(ubox[VisualID]=A135))),0),"")</f>
        <v/>
      </c>
      <c r="F135" s="2" t="str" cm="1">
        <f t="array" ref="F135">IFERROR(_xlfn.ARRAYTOTEXT(_xlfn.UNIQUE(_xlfn._xlws.FILTER(ubox[Failed Instance],(ubox[FirstError - IP (name)]=F$1)*(ubox[VisualID]=A135))),0),"")</f>
        <v/>
      </c>
      <c r="G135" s="2" t="str" cm="1">
        <f t="array" ref="G135">IFERROR(_xlfn.ARRAYTOTEXT(_xlfn.UNIQUE(_xlfn._xlws.FILTER(ubox[Failed Instance],(ubox[FirstError - IP (name)]=G$1)*(ubox[VisualID]=A135))),0),"")</f>
        <v/>
      </c>
      <c r="H135" s="2" t="str" cm="1">
        <f t="array" ref="H135">IFERROR(_xlfn.ARRAYTOTEXT(_xlfn.UNIQUE(_xlfn._xlws.FILTER(ubox[Failed Instance],(ubox[FirstError - IP (name)]=H$1)*(ubox[VisualID]=A135))),0),"")</f>
        <v/>
      </c>
    </row>
    <row r="136" spans="1:8" x14ac:dyDescent="0.3">
      <c r="A136" s="2"/>
      <c r="B136" s="2" t="str">
        <f t="shared" si="2"/>
        <v/>
      </c>
      <c r="D136" s="2" t="str" cm="1">
        <f t="array" ref="D136">IFERROR(_xlfn.ARRAYTOTEXT(_xlfn.UNIQUE(_xlfn._xlws.FILTER(ubox[Failed Instance],(ubox[FirstError - IP (name)]=D$1)*(ubox[VisualID]=A136))),0),"")</f>
        <v/>
      </c>
      <c r="E136" s="2" t="str" cm="1">
        <f t="array" ref="E136">IFERROR(_xlfn.ARRAYTOTEXT(_xlfn.UNIQUE(_xlfn._xlws.FILTER(ubox[Failed Instance],(ubox[FirstError - IP (name)]=E$1)*(ubox[VisualID]=A136))),0),"")</f>
        <v/>
      </c>
      <c r="F136" s="2" t="str" cm="1">
        <f t="array" ref="F136">IFERROR(_xlfn.ARRAYTOTEXT(_xlfn.UNIQUE(_xlfn._xlws.FILTER(ubox[Failed Instance],(ubox[FirstError - IP (name)]=F$1)*(ubox[VisualID]=A136))),0),"")</f>
        <v/>
      </c>
      <c r="G136" s="2" t="str" cm="1">
        <f t="array" ref="G136">IFERROR(_xlfn.ARRAYTOTEXT(_xlfn.UNIQUE(_xlfn._xlws.FILTER(ubox[Failed Instance],(ubox[FirstError - IP (name)]=G$1)*(ubox[VisualID]=A136))),0),"")</f>
        <v/>
      </c>
      <c r="H136" s="2" t="str" cm="1">
        <f t="array" ref="H136">IFERROR(_xlfn.ARRAYTOTEXT(_xlfn.UNIQUE(_xlfn._xlws.FILTER(ubox[Failed Instance],(ubox[FirstError - IP (name)]=H$1)*(ubox[VisualID]=A136))),0),"")</f>
        <v/>
      </c>
    </row>
    <row r="137" spans="1:8" x14ac:dyDescent="0.3">
      <c r="A137" s="2"/>
      <c r="B137" s="2" t="str">
        <f t="shared" si="2"/>
        <v/>
      </c>
      <c r="D137" s="2" t="str" cm="1">
        <f t="array" ref="D137">IFERROR(_xlfn.ARRAYTOTEXT(_xlfn.UNIQUE(_xlfn._xlws.FILTER(ubox[Failed Instance],(ubox[FirstError - IP (name)]=D$1)*(ubox[VisualID]=A137))),0),"")</f>
        <v/>
      </c>
      <c r="E137" s="2" t="str" cm="1">
        <f t="array" ref="E137">IFERROR(_xlfn.ARRAYTOTEXT(_xlfn.UNIQUE(_xlfn._xlws.FILTER(ubox[Failed Instance],(ubox[FirstError - IP (name)]=E$1)*(ubox[VisualID]=A137))),0),"")</f>
        <v/>
      </c>
      <c r="F137" s="2" t="str" cm="1">
        <f t="array" ref="F137">IFERROR(_xlfn.ARRAYTOTEXT(_xlfn.UNIQUE(_xlfn._xlws.FILTER(ubox[Failed Instance],(ubox[FirstError - IP (name)]=F$1)*(ubox[VisualID]=A137))),0),"")</f>
        <v/>
      </c>
      <c r="G137" s="2" t="str" cm="1">
        <f t="array" ref="G137">IFERROR(_xlfn.ARRAYTOTEXT(_xlfn.UNIQUE(_xlfn._xlws.FILTER(ubox[Failed Instance],(ubox[FirstError - IP (name)]=G$1)*(ubox[VisualID]=A137))),0),"")</f>
        <v/>
      </c>
      <c r="H137" s="2" t="str" cm="1">
        <f t="array" ref="H137">IFERROR(_xlfn.ARRAYTOTEXT(_xlfn.UNIQUE(_xlfn._xlws.FILTER(ubox[Failed Instance],(ubox[FirstError - IP (name)]=H$1)*(ubox[VisualID]=A137))),0),"")</f>
        <v/>
      </c>
    </row>
    <row r="138" spans="1:8" x14ac:dyDescent="0.3">
      <c r="A138" s="2"/>
      <c r="B138" s="2" t="str">
        <f t="shared" si="2"/>
        <v/>
      </c>
      <c r="D138" s="2" t="str" cm="1">
        <f t="array" ref="D138">IFERROR(_xlfn.ARRAYTOTEXT(_xlfn.UNIQUE(_xlfn._xlws.FILTER(ubox[Failed Instance],(ubox[FirstError - IP (name)]=D$1)*(ubox[VisualID]=A138))),0),"")</f>
        <v/>
      </c>
      <c r="E138" s="2" t="str" cm="1">
        <f t="array" ref="E138">IFERROR(_xlfn.ARRAYTOTEXT(_xlfn.UNIQUE(_xlfn._xlws.FILTER(ubox[Failed Instance],(ubox[FirstError - IP (name)]=E$1)*(ubox[VisualID]=A138))),0),"")</f>
        <v/>
      </c>
      <c r="F138" s="2" t="str" cm="1">
        <f t="array" ref="F138">IFERROR(_xlfn.ARRAYTOTEXT(_xlfn.UNIQUE(_xlfn._xlws.FILTER(ubox[Failed Instance],(ubox[FirstError - IP (name)]=F$1)*(ubox[VisualID]=A138))),0),"")</f>
        <v/>
      </c>
      <c r="G138" s="2" t="str" cm="1">
        <f t="array" ref="G138">IFERROR(_xlfn.ARRAYTOTEXT(_xlfn.UNIQUE(_xlfn._xlws.FILTER(ubox[Failed Instance],(ubox[FirstError - IP (name)]=G$1)*(ubox[VisualID]=A138))),0),"")</f>
        <v/>
      </c>
      <c r="H138" s="2" t="str" cm="1">
        <f t="array" ref="H138">IFERROR(_xlfn.ARRAYTOTEXT(_xlfn.UNIQUE(_xlfn._xlws.FILTER(ubox[Failed Instance],(ubox[FirstError - IP (name)]=H$1)*(ubox[VisualID]=A138))),0),"")</f>
        <v/>
      </c>
    </row>
    <row r="139" spans="1:8" x14ac:dyDescent="0.3">
      <c r="A139" s="2"/>
      <c r="B139" s="2" t="str">
        <f t="shared" si="2"/>
        <v/>
      </c>
      <c r="D139" s="2" t="str" cm="1">
        <f t="array" ref="D139">IFERROR(_xlfn.ARRAYTOTEXT(_xlfn.UNIQUE(_xlfn._xlws.FILTER(ubox[Failed Instance],(ubox[FirstError - IP (name)]=D$1)*(ubox[VisualID]=A139))),0),"")</f>
        <v/>
      </c>
      <c r="E139" s="2" t="str" cm="1">
        <f t="array" ref="E139">IFERROR(_xlfn.ARRAYTOTEXT(_xlfn.UNIQUE(_xlfn._xlws.FILTER(ubox[Failed Instance],(ubox[FirstError - IP (name)]=E$1)*(ubox[VisualID]=A139))),0),"")</f>
        <v/>
      </c>
      <c r="F139" s="2" t="str" cm="1">
        <f t="array" ref="F139">IFERROR(_xlfn.ARRAYTOTEXT(_xlfn.UNIQUE(_xlfn._xlws.FILTER(ubox[Failed Instance],(ubox[FirstError - IP (name)]=F$1)*(ubox[VisualID]=A139))),0),"")</f>
        <v/>
      </c>
      <c r="G139" s="2" t="str" cm="1">
        <f t="array" ref="G139">IFERROR(_xlfn.ARRAYTOTEXT(_xlfn.UNIQUE(_xlfn._xlws.FILTER(ubox[Failed Instance],(ubox[FirstError - IP (name)]=G$1)*(ubox[VisualID]=A139))),0),"")</f>
        <v/>
      </c>
      <c r="H139" s="2" t="str" cm="1">
        <f t="array" ref="H139">IFERROR(_xlfn.ARRAYTOTEXT(_xlfn.UNIQUE(_xlfn._xlws.FILTER(ubox[Failed Instance],(ubox[FirstError - IP (name)]=H$1)*(ubox[VisualID]=A139))),0),"")</f>
        <v/>
      </c>
    </row>
    <row r="140" spans="1:8" x14ac:dyDescent="0.3">
      <c r="A140" s="2"/>
      <c r="B140" s="2" t="str">
        <f t="shared" si="2"/>
        <v/>
      </c>
      <c r="D140" s="2" t="str" cm="1">
        <f t="array" ref="D140">IFERROR(_xlfn.ARRAYTOTEXT(_xlfn.UNIQUE(_xlfn._xlws.FILTER(ubox[Failed Instance],(ubox[FirstError - IP (name)]=D$1)*(ubox[VisualID]=A140))),0),"")</f>
        <v/>
      </c>
      <c r="E140" s="2" t="str" cm="1">
        <f t="array" ref="E140">IFERROR(_xlfn.ARRAYTOTEXT(_xlfn.UNIQUE(_xlfn._xlws.FILTER(ubox[Failed Instance],(ubox[FirstError - IP (name)]=E$1)*(ubox[VisualID]=A140))),0),"")</f>
        <v/>
      </c>
      <c r="F140" s="2" t="str" cm="1">
        <f t="array" ref="F140">IFERROR(_xlfn.ARRAYTOTEXT(_xlfn.UNIQUE(_xlfn._xlws.FILTER(ubox[Failed Instance],(ubox[FirstError - IP (name)]=F$1)*(ubox[VisualID]=A140))),0),"")</f>
        <v/>
      </c>
      <c r="G140" s="2" t="str" cm="1">
        <f t="array" ref="G140">IFERROR(_xlfn.ARRAYTOTEXT(_xlfn.UNIQUE(_xlfn._xlws.FILTER(ubox[Failed Instance],(ubox[FirstError - IP (name)]=G$1)*(ubox[VisualID]=A140))),0),"")</f>
        <v/>
      </c>
      <c r="H140" s="2" t="str" cm="1">
        <f t="array" ref="H140">IFERROR(_xlfn.ARRAYTOTEXT(_xlfn.UNIQUE(_xlfn._xlws.FILTER(ubox[Failed Instance],(ubox[FirstError - IP (name)]=H$1)*(ubox[VisualID]=A140))),0),"")</f>
        <v/>
      </c>
    </row>
    <row r="141" spans="1:8" x14ac:dyDescent="0.3">
      <c r="A141" s="2"/>
      <c r="B141" s="2" t="str">
        <f t="shared" si="2"/>
        <v/>
      </c>
      <c r="D141" s="2" t="str" cm="1">
        <f t="array" ref="D141">IFERROR(_xlfn.ARRAYTOTEXT(_xlfn.UNIQUE(_xlfn._xlws.FILTER(ubox[Failed Instance],(ubox[FirstError - IP (name)]=D$1)*(ubox[VisualID]=A141))),0),"")</f>
        <v/>
      </c>
      <c r="E141" s="2" t="str" cm="1">
        <f t="array" ref="E141">IFERROR(_xlfn.ARRAYTOTEXT(_xlfn.UNIQUE(_xlfn._xlws.FILTER(ubox[Failed Instance],(ubox[FirstError - IP (name)]=E$1)*(ubox[VisualID]=A141))),0),"")</f>
        <v/>
      </c>
      <c r="F141" s="2" t="str" cm="1">
        <f t="array" ref="F141">IFERROR(_xlfn.ARRAYTOTEXT(_xlfn.UNIQUE(_xlfn._xlws.FILTER(ubox[Failed Instance],(ubox[FirstError - IP (name)]=F$1)*(ubox[VisualID]=A141))),0),"")</f>
        <v/>
      </c>
      <c r="G141" s="2" t="str" cm="1">
        <f t="array" ref="G141">IFERROR(_xlfn.ARRAYTOTEXT(_xlfn.UNIQUE(_xlfn._xlws.FILTER(ubox[Failed Instance],(ubox[FirstError - IP (name)]=G$1)*(ubox[VisualID]=A141))),0),"")</f>
        <v/>
      </c>
      <c r="H141" s="2" t="str" cm="1">
        <f t="array" ref="H141">IFERROR(_xlfn.ARRAYTOTEXT(_xlfn.UNIQUE(_xlfn._xlws.FILTER(ubox[Failed Instance],(ubox[FirstError - IP (name)]=H$1)*(ubox[VisualID]=A141))),0),"")</f>
        <v/>
      </c>
    </row>
    <row r="142" spans="1:8" x14ac:dyDescent="0.3">
      <c r="A142" s="2"/>
      <c r="B142" s="2" t="str">
        <f t="shared" si="2"/>
        <v/>
      </c>
      <c r="D142" s="2" t="str" cm="1">
        <f t="array" ref="D142">IFERROR(_xlfn.ARRAYTOTEXT(_xlfn.UNIQUE(_xlfn._xlws.FILTER(ubox[Failed Instance],(ubox[FirstError - IP (name)]=D$1)*(ubox[VisualID]=A142))),0),"")</f>
        <v/>
      </c>
      <c r="E142" s="2" t="str" cm="1">
        <f t="array" ref="E142">IFERROR(_xlfn.ARRAYTOTEXT(_xlfn.UNIQUE(_xlfn._xlws.FILTER(ubox[Failed Instance],(ubox[FirstError - IP (name)]=E$1)*(ubox[VisualID]=A142))),0),"")</f>
        <v/>
      </c>
      <c r="F142" s="2" t="str" cm="1">
        <f t="array" ref="F142">IFERROR(_xlfn.ARRAYTOTEXT(_xlfn.UNIQUE(_xlfn._xlws.FILTER(ubox[Failed Instance],(ubox[FirstError - IP (name)]=F$1)*(ubox[VisualID]=A142))),0),"")</f>
        <v/>
      </c>
      <c r="G142" s="2" t="str" cm="1">
        <f t="array" ref="G142">IFERROR(_xlfn.ARRAYTOTEXT(_xlfn.UNIQUE(_xlfn._xlws.FILTER(ubox[Failed Instance],(ubox[FirstError - IP (name)]=G$1)*(ubox[VisualID]=A142))),0),"")</f>
        <v/>
      </c>
      <c r="H142" s="2" t="str" cm="1">
        <f t="array" ref="H142">IFERROR(_xlfn.ARRAYTOTEXT(_xlfn.UNIQUE(_xlfn._xlws.FILTER(ubox[Failed Instance],(ubox[FirstError - IP (name)]=H$1)*(ubox[VisualID]=A142))),0),"")</f>
        <v/>
      </c>
    </row>
    <row r="143" spans="1:8" x14ac:dyDescent="0.3">
      <c r="A143" s="2"/>
      <c r="B143" s="2" t="str">
        <f t="shared" si="2"/>
        <v/>
      </c>
      <c r="D143" s="2" t="str" cm="1">
        <f t="array" ref="D143">IFERROR(_xlfn.ARRAYTOTEXT(_xlfn.UNIQUE(_xlfn._xlws.FILTER(ubox[Failed Instance],(ubox[FirstError - IP (name)]=D$1)*(ubox[VisualID]=A143))),0),"")</f>
        <v/>
      </c>
      <c r="E143" s="2" t="str" cm="1">
        <f t="array" ref="E143">IFERROR(_xlfn.ARRAYTOTEXT(_xlfn.UNIQUE(_xlfn._xlws.FILTER(ubox[Failed Instance],(ubox[FirstError - IP (name)]=E$1)*(ubox[VisualID]=A143))),0),"")</f>
        <v/>
      </c>
      <c r="F143" s="2" t="str" cm="1">
        <f t="array" ref="F143">IFERROR(_xlfn.ARRAYTOTEXT(_xlfn.UNIQUE(_xlfn._xlws.FILTER(ubox[Failed Instance],(ubox[FirstError - IP (name)]=F$1)*(ubox[VisualID]=A143))),0),"")</f>
        <v/>
      </c>
      <c r="G143" s="2" t="str" cm="1">
        <f t="array" ref="G143">IFERROR(_xlfn.ARRAYTOTEXT(_xlfn.UNIQUE(_xlfn._xlws.FILTER(ubox[Failed Instance],(ubox[FirstError - IP (name)]=G$1)*(ubox[VisualID]=A143))),0),"")</f>
        <v/>
      </c>
      <c r="H143" s="2" t="str" cm="1">
        <f t="array" ref="H143">IFERROR(_xlfn.ARRAYTOTEXT(_xlfn.UNIQUE(_xlfn._xlws.FILTER(ubox[Failed Instance],(ubox[FirstError - IP (name)]=H$1)*(ubox[VisualID]=A143))),0),"")</f>
        <v/>
      </c>
    </row>
    <row r="144" spans="1:8" x14ac:dyDescent="0.3">
      <c r="A144" s="2"/>
      <c r="B144" s="2" t="str">
        <f t="shared" si="2"/>
        <v/>
      </c>
      <c r="D144" s="2" t="str" cm="1">
        <f t="array" ref="D144">IFERROR(_xlfn.ARRAYTOTEXT(_xlfn.UNIQUE(_xlfn._xlws.FILTER(ubox[Failed Instance],(ubox[FirstError - IP (name)]=D$1)*(ubox[VisualID]=A144))),0),"")</f>
        <v/>
      </c>
      <c r="E144" s="2" t="str" cm="1">
        <f t="array" ref="E144">IFERROR(_xlfn.ARRAYTOTEXT(_xlfn.UNIQUE(_xlfn._xlws.FILTER(ubox[Failed Instance],(ubox[FirstError - IP (name)]=E$1)*(ubox[VisualID]=A144))),0),"")</f>
        <v/>
      </c>
      <c r="F144" s="2" t="str" cm="1">
        <f t="array" ref="F144">IFERROR(_xlfn.ARRAYTOTEXT(_xlfn.UNIQUE(_xlfn._xlws.FILTER(ubox[Failed Instance],(ubox[FirstError - IP (name)]=F$1)*(ubox[VisualID]=A144))),0),"")</f>
        <v/>
      </c>
      <c r="G144" s="2" t="str" cm="1">
        <f t="array" ref="G144">IFERROR(_xlfn.ARRAYTOTEXT(_xlfn.UNIQUE(_xlfn._xlws.FILTER(ubox[Failed Instance],(ubox[FirstError - IP (name)]=G$1)*(ubox[VisualID]=A144))),0),"")</f>
        <v/>
      </c>
      <c r="H144" s="2" t="str" cm="1">
        <f t="array" ref="H144">IFERROR(_xlfn.ARRAYTOTEXT(_xlfn.UNIQUE(_xlfn._xlws.FILTER(ubox[Failed Instance],(ubox[FirstError - IP (name)]=H$1)*(ubox[VisualID]=A144))),0),"")</f>
        <v/>
      </c>
    </row>
    <row r="145" spans="1:8" x14ac:dyDescent="0.3">
      <c r="A145" s="2"/>
      <c r="B145" s="2" t="str">
        <f t="shared" si="2"/>
        <v/>
      </c>
      <c r="D145" s="2" t="str" cm="1">
        <f t="array" ref="D145">IFERROR(_xlfn.ARRAYTOTEXT(_xlfn.UNIQUE(_xlfn._xlws.FILTER(ubox[Failed Instance],(ubox[FirstError - IP (name)]=D$1)*(ubox[VisualID]=A145))),0),"")</f>
        <v/>
      </c>
      <c r="E145" s="2" t="str" cm="1">
        <f t="array" ref="E145">IFERROR(_xlfn.ARRAYTOTEXT(_xlfn.UNIQUE(_xlfn._xlws.FILTER(ubox[Failed Instance],(ubox[FirstError - IP (name)]=E$1)*(ubox[VisualID]=A145))),0),"")</f>
        <v/>
      </c>
      <c r="F145" s="2" t="str" cm="1">
        <f t="array" ref="F145">IFERROR(_xlfn.ARRAYTOTEXT(_xlfn.UNIQUE(_xlfn._xlws.FILTER(ubox[Failed Instance],(ubox[FirstError - IP (name)]=F$1)*(ubox[VisualID]=A145))),0),"")</f>
        <v/>
      </c>
      <c r="G145" s="2" t="str" cm="1">
        <f t="array" ref="G145">IFERROR(_xlfn.ARRAYTOTEXT(_xlfn.UNIQUE(_xlfn._xlws.FILTER(ubox[Failed Instance],(ubox[FirstError - IP (name)]=G$1)*(ubox[VisualID]=A145))),0),"")</f>
        <v/>
      </c>
      <c r="H145" s="2" t="str" cm="1">
        <f t="array" ref="H145">IFERROR(_xlfn.ARRAYTOTEXT(_xlfn.UNIQUE(_xlfn._xlws.FILTER(ubox[Failed Instance],(ubox[FirstError - IP (name)]=H$1)*(ubox[VisualID]=A145))),0),"")</f>
        <v/>
      </c>
    </row>
    <row r="146" spans="1:8" x14ac:dyDescent="0.3">
      <c r="A146" s="2"/>
      <c r="B146" s="2" t="str">
        <f t="shared" si="2"/>
        <v/>
      </c>
      <c r="D146" s="2" t="str" cm="1">
        <f t="array" ref="D146">IFERROR(_xlfn.ARRAYTOTEXT(_xlfn.UNIQUE(_xlfn._xlws.FILTER(ubox[Failed Instance],(ubox[FirstError - IP (name)]=D$1)*(ubox[VisualID]=A146))),0),"")</f>
        <v/>
      </c>
      <c r="E146" s="2" t="str" cm="1">
        <f t="array" ref="E146">IFERROR(_xlfn.ARRAYTOTEXT(_xlfn.UNIQUE(_xlfn._xlws.FILTER(ubox[Failed Instance],(ubox[FirstError - IP (name)]=E$1)*(ubox[VisualID]=A146))),0),"")</f>
        <v/>
      </c>
      <c r="F146" s="2" t="str" cm="1">
        <f t="array" ref="F146">IFERROR(_xlfn.ARRAYTOTEXT(_xlfn.UNIQUE(_xlfn._xlws.FILTER(ubox[Failed Instance],(ubox[FirstError - IP (name)]=F$1)*(ubox[VisualID]=A146))),0),"")</f>
        <v/>
      </c>
      <c r="G146" s="2" t="str" cm="1">
        <f t="array" ref="G146">IFERROR(_xlfn.ARRAYTOTEXT(_xlfn.UNIQUE(_xlfn._xlws.FILTER(ubox[Failed Instance],(ubox[FirstError - IP (name)]=G$1)*(ubox[VisualID]=A146))),0),"")</f>
        <v/>
      </c>
      <c r="H146" s="2" t="str" cm="1">
        <f t="array" ref="H146">IFERROR(_xlfn.ARRAYTOTEXT(_xlfn.UNIQUE(_xlfn._xlws.FILTER(ubox[Failed Instance],(ubox[FirstError - IP (name)]=H$1)*(ubox[VisualID]=A146))),0),"")</f>
        <v/>
      </c>
    </row>
    <row r="147" spans="1:8" x14ac:dyDescent="0.3">
      <c r="A147" s="2"/>
      <c r="B147" s="2" t="str">
        <f t="shared" si="2"/>
        <v/>
      </c>
      <c r="D147" s="2" t="str" cm="1">
        <f t="array" ref="D147">IFERROR(_xlfn.ARRAYTOTEXT(_xlfn.UNIQUE(_xlfn._xlws.FILTER(ubox[Failed Instance],(ubox[FirstError - IP (name)]=D$1)*(ubox[VisualID]=A147))),0),"")</f>
        <v/>
      </c>
      <c r="E147" s="2" t="str" cm="1">
        <f t="array" ref="E147">IFERROR(_xlfn.ARRAYTOTEXT(_xlfn.UNIQUE(_xlfn._xlws.FILTER(ubox[Failed Instance],(ubox[FirstError - IP (name)]=E$1)*(ubox[VisualID]=A147))),0),"")</f>
        <v/>
      </c>
      <c r="F147" s="2" t="str" cm="1">
        <f t="array" ref="F147">IFERROR(_xlfn.ARRAYTOTEXT(_xlfn.UNIQUE(_xlfn._xlws.FILTER(ubox[Failed Instance],(ubox[FirstError - IP (name)]=F$1)*(ubox[VisualID]=A147))),0),"")</f>
        <v/>
      </c>
      <c r="G147" s="2" t="str" cm="1">
        <f t="array" ref="G147">IFERROR(_xlfn.ARRAYTOTEXT(_xlfn.UNIQUE(_xlfn._xlws.FILTER(ubox[Failed Instance],(ubox[FirstError - IP (name)]=G$1)*(ubox[VisualID]=A147))),0),"")</f>
        <v/>
      </c>
      <c r="H147" s="2" t="str" cm="1">
        <f t="array" ref="H147">IFERROR(_xlfn.ARRAYTOTEXT(_xlfn.UNIQUE(_xlfn._xlws.FILTER(ubox[Failed Instance],(ubox[FirstError - IP (name)]=H$1)*(ubox[VisualID]=A147))),0),"")</f>
        <v/>
      </c>
    </row>
    <row r="148" spans="1:8" x14ac:dyDescent="0.3">
      <c r="A148" s="2"/>
      <c r="B148" s="2" t="str">
        <f t="shared" si="2"/>
        <v/>
      </c>
      <c r="D148" s="2" t="str" cm="1">
        <f t="array" ref="D148">IFERROR(_xlfn.ARRAYTOTEXT(_xlfn.UNIQUE(_xlfn._xlws.FILTER(ubox[Failed Instance],(ubox[FirstError - IP (name)]=D$1)*(ubox[VisualID]=A148))),0),"")</f>
        <v/>
      </c>
      <c r="E148" s="2" t="str" cm="1">
        <f t="array" ref="E148">IFERROR(_xlfn.ARRAYTOTEXT(_xlfn.UNIQUE(_xlfn._xlws.FILTER(ubox[Failed Instance],(ubox[FirstError - IP (name)]=E$1)*(ubox[VisualID]=A148))),0),"")</f>
        <v/>
      </c>
      <c r="F148" s="2" t="str" cm="1">
        <f t="array" ref="F148">IFERROR(_xlfn.ARRAYTOTEXT(_xlfn.UNIQUE(_xlfn._xlws.FILTER(ubox[Failed Instance],(ubox[FirstError - IP (name)]=F$1)*(ubox[VisualID]=A148))),0),"")</f>
        <v/>
      </c>
      <c r="G148" s="2" t="str" cm="1">
        <f t="array" ref="G148">IFERROR(_xlfn.ARRAYTOTEXT(_xlfn.UNIQUE(_xlfn._xlws.FILTER(ubox[Failed Instance],(ubox[FirstError - IP (name)]=G$1)*(ubox[VisualID]=A148))),0),"")</f>
        <v/>
      </c>
      <c r="H148" s="2" t="str" cm="1">
        <f t="array" ref="H148">IFERROR(_xlfn.ARRAYTOTEXT(_xlfn.UNIQUE(_xlfn._xlws.FILTER(ubox[Failed Instance],(ubox[FirstError - IP (name)]=H$1)*(ubox[VisualID]=A148))),0),"")</f>
        <v/>
      </c>
    </row>
    <row r="149" spans="1:8" x14ac:dyDescent="0.3">
      <c r="A149" s="2"/>
      <c r="B149" s="2" t="str">
        <f t="shared" si="2"/>
        <v/>
      </c>
      <c r="D149" s="2" t="str" cm="1">
        <f t="array" ref="D149">IFERROR(_xlfn.ARRAYTOTEXT(_xlfn.UNIQUE(_xlfn._xlws.FILTER(ubox[Failed Instance],(ubox[FirstError - IP (name)]=D$1)*(ubox[VisualID]=A149))),0),"")</f>
        <v/>
      </c>
      <c r="E149" s="2" t="str" cm="1">
        <f t="array" ref="E149">IFERROR(_xlfn.ARRAYTOTEXT(_xlfn.UNIQUE(_xlfn._xlws.FILTER(ubox[Failed Instance],(ubox[FirstError - IP (name)]=E$1)*(ubox[VisualID]=A149))),0),"")</f>
        <v/>
      </c>
      <c r="F149" s="2" t="str" cm="1">
        <f t="array" ref="F149">IFERROR(_xlfn.ARRAYTOTEXT(_xlfn.UNIQUE(_xlfn._xlws.FILTER(ubox[Failed Instance],(ubox[FirstError - IP (name)]=F$1)*(ubox[VisualID]=A149))),0),"")</f>
        <v/>
      </c>
      <c r="G149" s="2" t="str" cm="1">
        <f t="array" ref="G149">IFERROR(_xlfn.ARRAYTOTEXT(_xlfn.UNIQUE(_xlfn._xlws.FILTER(ubox[Failed Instance],(ubox[FirstError - IP (name)]=G$1)*(ubox[VisualID]=A149))),0),"")</f>
        <v/>
      </c>
      <c r="H149" s="2" t="str" cm="1">
        <f t="array" ref="H149">IFERROR(_xlfn.ARRAYTOTEXT(_xlfn.UNIQUE(_xlfn._xlws.FILTER(ubox[Failed Instance],(ubox[FirstError - IP (name)]=H$1)*(ubox[VisualID]=A149))),0),"")</f>
        <v/>
      </c>
    </row>
    <row r="150" spans="1:8" x14ac:dyDescent="0.3">
      <c r="A150" s="2"/>
      <c r="B150" s="2" t="str">
        <f t="shared" si="2"/>
        <v/>
      </c>
      <c r="D150" s="2" t="str" cm="1">
        <f t="array" ref="D150">IFERROR(_xlfn.ARRAYTOTEXT(_xlfn.UNIQUE(_xlfn._xlws.FILTER(ubox[Failed Instance],(ubox[FirstError - IP (name)]=D$1)*(ubox[VisualID]=A150))),0),"")</f>
        <v/>
      </c>
      <c r="E150" s="2" t="str" cm="1">
        <f t="array" ref="E150">IFERROR(_xlfn.ARRAYTOTEXT(_xlfn.UNIQUE(_xlfn._xlws.FILTER(ubox[Failed Instance],(ubox[FirstError - IP (name)]=E$1)*(ubox[VisualID]=A150))),0),"")</f>
        <v/>
      </c>
      <c r="F150" s="2" t="str" cm="1">
        <f t="array" ref="F150">IFERROR(_xlfn.ARRAYTOTEXT(_xlfn.UNIQUE(_xlfn._xlws.FILTER(ubox[Failed Instance],(ubox[FirstError - IP (name)]=F$1)*(ubox[VisualID]=A150))),0),"")</f>
        <v/>
      </c>
      <c r="G150" s="2" t="str" cm="1">
        <f t="array" ref="G150">IFERROR(_xlfn.ARRAYTOTEXT(_xlfn.UNIQUE(_xlfn._xlws.FILTER(ubox[Failed Instance],(ubox[FirstError - IP (name)]=G$1)*(ubox[VisualID]=A150))),0),"")</f>
        <v/>
      </c>
      <c r="H150" s="2" t="str" cm="1">
        <f t="array" ref="H150">IFERROR(_xlfn.ARRAYTOTEXT(_xlfn.UNIQUE(_xlfn._xlws.FILTER(ubox[Failed Instance],(ubox[FirstError - IP (name)]=H$1)*(ubox[VisualID]=A150))),0),"")</f>
        <v/>
      </c>
    </row>
    <row r="151" spans="1:8" x14ac:dyDescent="0.3">
      <c r="A151" s="2"/>
      <c r="B151" s="2" t="str">
        <f t="shared" si="2"/>
        <v/>
      </c>
      <c r="D151" s="2" t="str" cm="1">
        <f t="array" ref="D151">IFERROR(_xlfn.ARRAYTOTEXT(_xlfn.UNIQUE(_xlfn._xlws.FILTER(ubox[Failed Instance],(ubox[FirstError - IP (name)]=D$1)*(ubox[VisualID]=A151))),0),"")</f>
        <v/>
      </c>
      <c r="E151" s="2" t="str" cm="1">
        <f t="array" ref="E151">IFERROR(_xlfn.ARRAYTOTEXT(_xlfn.UNIQUE(_xlfn._xlws.FILTER(ubox[Failed Instance],(ubox[FirstError - IP (name)]=E$1)*(ubox[VisualID]=A151))),0),"")</f>
        <v/>
      </c>
      <c r="F151" s="2" t="str" cm="1">
        <f t="array" ref="F151">IFERROR(_xlfn.ARRAYTOTEXT(_xlfn.UNIQUE(_xlfn._xlws.FILTER(ubox[Failed Instance],(ubox[FirstError - IP (name)]=F$1)*(ubox[VisualID]=A151))),0),"")</f>
        <v/>
      </c>
      <c r="G151" s="2" t="str" cm="1">
        <f t="array" ref="G151">IFERROR(_xlfn.ARRAYTOTEXT(_xlfn.UNIQUE(_xlfn._xlws.FILTER(ubox[Failed Instance],(ubox[FirstError - IP (name)]=G$1)*(ubox[VisualID]=A151))),0),"")</f>
        <v/>
      </c>
      <c r="H151" s="2" t="str" cm="1">
        <f t="array" ref="H151">IFERROR(_xlfn.ARRAYTOTEXT(_xlfn.UNIQUE(_xlfn._xlws.FILTER(ubox[Failed Instance],(ubox[FirstError - IP (name)]=H$1)*(ubox[VisualID]=A151))),0),"")</f>
        <v/>
      </c>
    </row>
    <row r="152" spans="1:8" x14ac:dyDescent="0.3">
      <c r="A152" s="2"/>
      <c r="B152" s="2" t="str">
        <f t="shared" si="2"/>
        <v/>
      </c>
      <c r="D152" s="2" t="str" cm="1">
        <f t="array" ref="D152">IFERROR(_xlfn.ARRAYTOTEXT(_xlfn.UNIQUE(_xlfn._xlws.FILTER(ubox[Failed Instance],(ubox[FirstError - IP (name)]=D$1)*(ubox[VisualID]=A152))),0),"")</f>
        <v/>
      </c>
      <c r="E152" s="2" t="str" cm="1">
        <f t="array" ref="E152">IFERROR(_xlfn.ARRAYTOTEXT(_xlfn.UNIQUE(_xlfn._xlws.FILTER(ubox[Failed Instance],(ubox[FirstError - IP (name)]=E$1)*(ubox[VisualID]=A152))),0),"")</f>
        <v/>
      </c>
      <c r="F152" s="2" t="str" cm="1">
        <f t="array" ref="F152">IFERROR(_xlfn.ARRAYTOTEXT(_xlfn.UNIQUE(_xlfn._xlws.FILTER(ubox[Failed Instance],(ubox[FirstError - IP (name)]=F$1)*(ubox[VisualID]=A152))),0),"")</f>
        <v/>
      </c>
      <c r="G152" s="2" t="str" cm="1">
        <f t="array" ref="G152">IFERROR(_xlfn.ARRAYTOTEXT(_xlfn.UNIQUE(_xlfn._xlws.FILTER(ubox[Failed Instance],(ubox[FirstError - IP (name)]=G$1)*(ubox[VisualID]=A152))),0),"")</f>
        <v/>
      </c>
      <c r="H152" s="2" t="str" cm="1">
        <f t="array" ref="H152">IFERROR(_xlfn.ARRAYTOTEXT(_xlfn.UNIQUE(_xlfn._xlws.FILTER(ubox[Failed Instance],(ubox[FirstError - IP (name)]=H$1)*(ubox[VisualID]=A152))),0),"")</f>
        <v/>
      </c>
    </row>
    <row r="153" spans="1:8" x14ac:dyDescent="0.3">
      <c r="A153" s="2"/>
      <c r="B153" s="2" t="str">
        <f t="shared" si="2"/>
        <v/>
      </c>
      <c r="D153" s="2" t="str" cm="1">
        <f t="array" ref="D153">IFERROR(_xlfn.ARRAYTOTEXT(_xlfn.UNIQUE(_xlfn._xlws.FILTER(ubox[Failed Instance],(ubox[FirstError - IP (name)]=D$1)*(ubox[VisualID]=A153))),0),"")</f>
        <v/>
      </c>
      <c r="E153" s="2" t="str" cm="1">
        <f t="array" ref="E153">IFERROR(_xlfn.ARRAYTOTEXT(_xlfn.UNIQUE(_xlfn._xlws.FILTER(ubox[Failed Instance],(ubox[FirstError - IP (name)]=E$1)*(ubox[VisualID]=A153))),0),"")</f>
        <v/>
      </c>
      <c r="F153" s="2" t="str" cm="1">
        <f t="array" ref="F153">IFERROR(_xlfn.ARRAYTOTEXT(_xlfn.UNIQUE(_xlfn._xlws.FILTER(ubox[Failed Instance],(ubox[FirstError - IP (name)]=F$1)*(ubox[VisualID]=A153))),0),"")</f>
        <v/>
      </c>
      <c r="G153" s="2" t="str" cm="1">
        <f t="array" ref="G153">IFERROR(_xlfn.ARRAYTOTEXT(_xlfn.UNIQUE(_xlfn._xlws.FILTER(ubox[Failed Instance],(ubox[FirstError - IP (name)]=G$1)*(ubox[VisualID]=A153))),0),"")</f>
        <v/>
      </c>
      <c r="H153" s="2" t="str" cm="1">
        <f t="array" ref="H153">IFERROR(_xlfn.ARRAYTOTEXT(_xlfn.UNIQUE(_xlfn._xlws.FILTER(ubox[Failed Instance],(ubox[FirstError - IP (name)]=H$1)*(ubox[VisualID]=A153))),0),"")</f>
        <v/>
      </c>
    </row>
    <row r="154" spans="1:8" x14ac:dyDescent="0.3">
      <c r="A154" s="2"/>
      <c r="B154" s="2" t="str">
        <f t="shared" si="2"/>
        <v/>
      </c>
      <c r="D154" s="2" t="str" cm="1">
        <f t="array" ref="D154">IFERROR(_xlfn.ARRAYTOTEXT(_xlfn.UNIQUE(_xlfn._xlws.FILTER(ubox[Failed Instance],(ubox[FirstError - IP (name)]=D$1)*(ubox[VisualID]=A154))),0),"")</f>
        <v/>
      </c>
      <c r="E154" s="2" t="str" cm="1">
        <f t="array" ref="E154">IFERROR(_xlfn.ARRAYTOTEXT(_xlfn.UNIQUE(_xlfn._xlws.FILTER(ubox[Failed Instance],(ubox[FirstError - IP (name)]=E$1)*(ubox[VisualID]=A154))),0),"")</f>
        <v/>
      </c>
      <c r="F154" s="2" t="str" cm="1">
        <f t="array" ref="F154">IFERROR(_xlfn.ARRAYTOTEXT(_xlfn.UNIQUE(_xlfn._xlws.FILTER(ubox[Failed Instance],(ubox[FirstError - IP (name)]=F$1)*(ubox[VisualID]=A154))),0),"")</f>
        <v/>
      </c>
      <c r="G154" s="2" t="str" cm="1">
        <f t="array" ref="G154">IFERROR(_xlfn.ARRAYTOTEXT(_xlfn.UNIQUE(_xlfn._xlws.FILTER(ubox[Failed Instance],(ubox[FirstError - IP (name)]=G$1)*(ubox[VisualID]=A154))),0),"")</f>
        <v/>
      </c>
      <c r="H154" s="2" t="str" cm="1">
        <f t="array" ref="H154">IFERROR(_xlfn.ARRAYTOTEXT(_xlfn.UNIQUE(_xlfn._xlws.FILTER(ubox[Failed Instance],(ubox[FirstError - IP (name)]=H$1)*(ubox[VisualID]=A154))),0),"")</f>
        <v/>
      </c>
    </row>
    <row r="155" spans="1:8" x14ac:dyDescent="0.3">
      <c r="A155" s="2"/>
      <c r="B155" s="2" t="str">
        <f t="shared" si="2"/>
        <v/>
      </c>
      <c r="D155" s="2" t="str" cm="1">
        <f t="array" ref="D155">IFERROR(_xlfn.ARRAYTOTEXT(_xlfn.UNIQUE(_xlfn._xlws.FILTER(ubox[Failed Instance],(ubox[FirstError - IP (name)]=D$1)*(ubox[VisualID]=A155))),0),"")</f>
        <v/>
      </c>
      <c r="E155" s="2" t="str" cm="1">
        <f t="array" ref="E155">IFERROR(_xlfn.ARRAYTOTEXT(_xlfn.UNIQUE(_xlfn._xlws.FILTER(ubox[Failed Instance],(ubox[FirstError - IP (name)]=E$1)*(ubox[VisualID]=A155))),0),"")</f>
        <v/>
      </c>
      <c r="F155" s="2" t="str" cm="1">
        <f t="array" ref="F155">IFERROR(_xlfn.ARRAYTOTEXT(_xlfn.UNIQUE(_xlfn._xlws.FILTER(ubox[Failed Instance],(ubox[FirstError - IP (name)]=F$1)*(ubox[VisualID]=A155))),0),"")</f>
        <v/>
      </c>
      <c r="G155" s="2" t="str" cm="1">
        <f t="array" ref="G155">IFERROR(_xlfn.ARRAYTOTEXT(_xlfn.UNIQUE(_xlfn._xlws.FILTER(ubox[Failed Instance],(ubox[FirstError - IP (name)]=G$1)*(ubox[VisualID]=A155))),0),"")</f>
        <v/>
      </c>
      <c r="H155" s="2" t="str" cm="1">
        <f t="array" ref="H155">IFERROR(_xlfn.ARRAYTOTEXT(_xlfn.UNIQUE(_xlfn._xlws.FILTER(ubox[Failed Instance],(ubox[FirstError - IP (name)]=H$1)*(ubox[VisualID]=A155))),0),"")</f>
        <v/>
      </c>
    </row>
    <row r="156" spans="1:8" x14ac:dyDescent="0.3">
      <c r="A156" s="2"/>
      <c r="B156" s="2" t="str">
        <f t="shared" si="2"/>
        <v/>
      </c>
      <c r="D156" s="2" t="str" cm="1">
        <f t="array" ref="D156">IFERROR(_xlfn.ARRAYTOTEXT(_xlfn.UNIQUE(_xlfn._xlws.FILTER(ubox[Failed Instance],(ubox[FirstError - IP (name)]=D$1)*(ubox[VisualID]=A156))),0),"")</f>
        <v/>
      </c>
      <c r="E156" s="2" t="str" cm="1">
        <f t="array" ref="E156">IFERROR(_xlfn.ARRAYTOTEXT(_xlfn.UNIQUE(_xlfn._xlws.FILTER(ubox[Failed Instance],(ubox[FirstError - IP (name)]=E$1)*(ubox[VisualID]=A156))),0),"")</f>
        <v/>
      </c>
      <c r="F156" s="2" t="str" cm="1">
        <f t="array" ref="F156">IFERROR(_xlfn.ARRAYTOTEXT(_xlfn.UNIQUE(_xlfn._xlws.FILTER(ubox[Failed Instance],(ubox[FirstError - IP (name)]=F$1)*(ubox[VisualID]=A156))),0),"")</f>
        <v/>
      </c>
      <c r="G156" s="2" t="str" cm="1">
        <f t="array" ref="G156">IFERROR(_xlfn.ARRAYTOTEXT(_xlfn.UNIQUE(_xlfn._xlws.FILTER(ubox[Failed Instance],(ubox[FirstError - IP (name)]=G$1)*(ubox[VisualID]=A156))),0),"")</f>
        <v/>
      </c>
      <c r="H156" s="2" t="str" cm="1">
        <f t="array" ref="H156">IFERROR(_xlfn.ARRAYTOTEXT(_xlfn.UNIQUE(_xlfn._xlws.FILTER(ubox[Failed Instance],(ubox[FirstError - IP (name)]=H$1)*(ubox[VisualID]=A156))),0),"")</f>
        <v/>
      </c>
    </row>
    <row r="157" spans="1:8" x14ac:dyDescent="0.3">
      <c r="A157" s="2"/>
      <c r="B157" s="2" t="str">
        <f t="shared" si="2"/>
        <v/>
      </c>
      <c r="D157" s="2" t="str" cm="1">
        <f t="array" ref="D157">IFERROR(_xlfn.ARRAYTOTEXT(_xlfn.UNIQUE(_xlfn._xlws.FILTER(ubox[Failed Instance],(ubox[FirstError - IP (name)]=D$1)*(ubox[VisualID]=A157))),0),"")</f>
        <v/>
      </c>
      <c r="E157" s="2" t="str" cm="1">
        <f t="array" ref="E157">IFERROR(_xlfn.ARRAYTOTEXT(_xlfn.UNIQUE(_xlfn._xlws.FILTER(ubox[Failed Instance],(ubox[FirstError - IP (name)]=E$1)*(ubox[VisualID]=A157))),0),"")</f>
        <v/>
      </c>
      <c r="F157" s="2" t="str" cm="1">
        <f t="array" ref="F157">IFERROR(_xlfn.ARRAYTOTEXT(_xlfn.UNIQUE(_xlfn._xlws.FILTER(ubox[Failed Instance],(ubox[FirstError - IP (name)]=F$1)*(ubox[VisualID]=A157))),0),"")</f>
        <v/>
      </c>
      <c r="G157" s="2" t="str" cm="1">
        <f t="array" ref="G157">IFERROR(_xlfn.ARRAYTOTEXT(_xlfn.UNIQUE(_xlfn._xlws.FILTER(ubox[Failed Instance],(ubox[FirstError - IP (name)]=G$1)*(ubox[VisualID]=A157))),0),"")</f>
        <v/>
      </c>
      <c r="H157" s="2" t="str" cm="1">
        <f t="array" ref="H157">IFERROR(_xlfn.ARRAYTOTEXT(_xlfn.UNIQUE(_xlfn._xlws.FILTER(ubox[Failed Instance],(ubox[FirstError - IP (name)]=H$1)*(ubox[VisualID]=A157))),0),"")</f>
        <v/>
      </c>
    </row>
    <row r="158" spans="1:8" x14ac:dyDescent="0.3">
      <c r="A158" s="2"/>
      <c r="B158" s="2" t="str">
        <f t="shared" si="2"/>
        <v/>
      </c>
      <c r="D158" s="2" t="str" cm="1">
        <f t="array" ref="D158">IFERROR(_xlfn.ARRAYTOTEXT(_xlfn.UNIQUE(_xlfn._xlws.FILTER(ubox[Failed Instance],(ubox[FirstError - IP (name)]=D$1)*(ubox[VisualID]=A158))),0),"")</f>
        <v/>
      </c>
      <c r="E158" s="2" t="str" cm="1">
        <f t="array" ref="E158">IFERROR(_xlfn.ARRAYTOTEXT(_xlfn.UNIQUE(_xlfn._xlws.FILTER(ubox[Failed Instance],(ubox[FirstError - IP (name)]=E$1)*(ubox[VisualID]=A158))),0),"")</f>
        <v/>
      </c>
      <c r="F158" s="2" t="str" cm="1">
        <f t="array" ref="F158">IFERROR(_xlfn.ARRAYTOTEXT(_xlfn.UNIQUE(_xlfn._xlws.FILTER(ubox[Failed Instance],(ubox[FirstError - IP (name)]=F$1)*(ubox[VisualID]=A158))),0),"")</f>
        <v/>
      </c>
      <c r="G158" s="2" t="str" cm="1">
        <f t="array" ref="G158">IFERROR(_xlfn.ARRAYTOTEXT(_xlfn.UNIQUE(_xlfn._xlws.FILTER(ubox[Failed Instance],(ubox[FirstError - IP (name)]=G$1)*(ubox[VisualID]=A158))),0),"")</f>
        <v/>
      </c>
      <c r="H158" s="2" t="str" cm="1">
        <f t="array" ref="H158">IFERROR(_xlfn.ARRAYTOTEXT(_xlfn.UNIQUE(_xlfn._xlws.FILTER(ubox[Failed Instance],(ubox[FirstError - IP (name)]=H$1)*(ubox[VisualID]=A158))),0),"")</f>
        <v/>
      </c>
    </row>
    <row r="159" spans="1:8" x14ac:dyDescent="0.3">
      <c r="A159" s="2"/>
      <c r="B159" s="2" t="str">
        <f t="shared" si="2"/>
        <v/>
      </c>
      <c r="D159" s="2" t="str" cm="1">
        <f t="array" ref="D159">IFERROR(_xlfn.ARRAYTOTEXT(_xlfn.UNIQUE(_xlfn._xlws.FILTER(ubox[Failed Instance],(ubox[FirstError - IP (name)]=D$1)*(ubox[VisualID]=A159))),0),"")</f>
        <v/>
      </c>
      <c r="E159" s="2" t="str" cm="1">
        <f t="array" ref="E159">IFERROR(_xlfn.ARRAYTOTEXT(_xlfn.UNIQUE(_xlfn._xlws.FILTER(ubox[Failed Instance],(ubox[FirstError - IP (name)]=E$1)*(ubox[VisualID]=A159))),0),"")</f>
        <v/>
      </c>
      <c r="F159" s="2" t="str" cm="1">
        <f t="array" ref="F159">IFERROR(_xlfn.ARRAYTOTEXT(_xlfn.UNIQUE(_xlfn._xlws.FILTER(ubox[Failed Instance],(ubox[FirstError - IP (name)]=F$1)*(ubox[VisualID]=A159))),0),"")</f>
        <v/>
      </c>
      <c r="G159" s="2" t="str" cm="1">
        <f t="array" ref="G159">IFERROR(_xlfn.ARRAYTOTEXT(_xlfn.UNIQUE(_xlfn._xlws.FILTER(ubox[Failed Instance],(ubox[FirstError - IP (name)]=G$1)*(ubox[VisualID]=A159))),0),"")</f>
        <v/>
      </c>
      <c r="H159" s="2" t="str" cm="1">
        <f t="array" ref="H159">IFERROR(_xlfn.ARRAYTOTEXT(_xlfn.UNIQUE(_xlfn._xlws.FILTER(ubox[Failed Instance],(ubox[FirstError - IP (name)]=H$1)*(ubox[VisualID]=A159))),0),"")</f>
        <v/>
      </c>
    </row>
    <row r="160" spans="1:8" x14ac:dyDescent="0.3">
      <c r="B160" s="2" t="str">
        <f t="shared" si="2"/>
        <v/>
      </c>
      <c r="D160" s="2" t="str" cm="1">
        <f t="array" ref="D160">IFERROR(_xlfn.ARRAYTOTEXT(_xlfn.UNIQUE(_xlfn._xlws.FILTER(ubox[Failed Instance],(ubox[FirstError - IP (name)]=D$1)*(ubox[VisualID]=A160))),0),"")</f>
        <v/>
      </c>
      <c r="E160" s="2" t="str" cm="1">
        <f t="array" ref="E160">IFERROR(_xlfn.ARRAYTOTEXT(_xlfn.UNIQUE(_xlfn._xlws.FILTER(ubox[Failed Instance],(ubox[FirstError - IP (name)]=E$1)*(ubox[VisualID]=A160))),0),"")</f>
        <v/>
      </c>
      <c r="F160" s="2" t="str" cm="1">
        <f t="array" ref="F160">IFERROR(_xlfn.ARRAYTOTEXT(_xlfn.UNIQUE(_xlfn._xlws.FILTER(ubox[Failed Instance],(ubox[FirstError - IP (name)]=F$1)*(ubox[VisualID]=A160))),0),"")</f>
        <v/>
      </c>
      <c r="G160" s="2" t="str" cm="1">
        <f t="array" ref="G160">IFERROR(_xlfn.ARRAYTOTEXT(_xlfn.UNIQUE(_xlfn._xlws.FILTER(ubox[Failed Instance],(ubox[FirstError - IP (name)]=G$1)*(ubox[VisualID]=A160))),0),"")</f>
        <v/>
      </c>
      <c r="H160" s="2" t="str" cm="1">
        <f t="array" ref="H160">IFERROR(_xlfn.ARRAYTOTEXT(_xlfn.UNIQUE(_xlfn._xlws.FILTER(ubox[Failed Instance],(ubox[FirstError - IP (name)]=H$1)*(ubox[VisualID]=A160))),0),"")</f>
        <v/>
      </c>
    </row>
    <row r="161" spans="2:8" x14ac:dyDescent="0.3">
      <c r="B161" s="2" t="str">
        <f t="shared" si="2"/>
        <v/>
      </c>
      <c r="D161" s="2" t="str" cm="1">
        <f t="array" ref="D161">IFERROR(_xlfn.ARRAYTOTEXT(_xlfn.UNIQUE(_xlfn._xlws.FILTER(ubox[Failed Instance],(ubox[FirstError - IP (name)]=D$1)*(ubox[VisualID]=A161))),0),"")</f>
        <v/>
      </c>
      <c r="E161" s="2" t="str" cm="1">
        <f t="array" ref="E161">IFERROR(_xlfn.ARRAYTOTEXT(_xlfn.UNIQUE(_xlfn._xlws.FILTER(ubox[Failed Instance],(ubox[FirstError - IP (name)]=E$1)*(ubox[VisualID]=A161))),0),"")</f>
        <v/>
      </c>
      <c r="F161" s="2" t="str" cm="1">
        <f t="array" ref="F161">IFERROR(_xlfn.ARRAYTOTEXT(_xlfn.UNIQUE(_xlfn._xlws.FILTER(ubox[Failed Instance],(ubox[FirstError - IP (name)]=F$1)*(ubox[VisualID]=A161))),0),"")</f>
        <v/>
      </c>
      <c r="G161" s="2" t="str" cm="1">
        <f t="array" ref="G161">IFERROR(_xlfn.ARRAYTOTEXT(_xlfn.UNIQUE(_xlfn._xlws.FILTER(ubox[Failed Instance],(ubox[FirstError - IP (name)]=G$1)*(ubox[VisualID]=A161))),0),"")</f>
        <v/>
      </c>
      <c r="H161" s="2" t="str" cm="1">
        <f t="array" ref="H161">IFERROR(_xlfn.ARRAYTOTEXT(_xlfn.UNIQUE(_xlfn._xlws.FILTER(ubox[Failed Instance],(ubox[FirstError - IP (name)]=H$1)*(ubox[VisualID]=A161))),0),"")</f>
        <v/>
      </c>
    </row>
    <row r="162" spans="2:8" x14ac:dyDescent="0.3">
      <c r="B162" s="2" t="str">
        <f t="shared" si="2"/>
        <v/>
      </c>
      <c r="D162" s="2" t="str" cm="1">
        <f t="array" ref="D162">IFERROR(_xlfn.ARRAYTOTEXT(_xlfn.UNIQUE(_xlfn._xlws.FILTER(ubox[Failed Instance],(ubox[FirstError - IP (name)]=D$1)*(ubox[VisualID]=A162))),0),"")</f>
        <v/>
      </c>
      <c r="E162" s="2" t="str" cm="1">
        <f t="array" ref="E162">IFERROR(_xlfn.ARRAYTOTEXT(_xlfn.UNIQUE(_xlfn._xlws.FILTER(ubox[Failed Instance],(ubox[FirstError - IP (name)]=E$1)*(ubox[VisualID]=A162))),0),"")</f>
        <v/>
      </c>
      <c r="F162" s="2" t="str" cm="1">
        <f t="array" ref="F162">IFERROR(_xlfn.ARRAYTOTEXT(_xlfn.UNIQUE(_xlfn._xlws.FILTER(ubox[Failed Instance],(ubox[FirstError - IP (name)]=F$1)*(ubox[VisualID]=A162))),0),"")</f>
        <v/>
      </c>
      <c r="G162" s="2" t="str" cm="1">
        <f t="array" ref="G162">IFERROR(_xlfn.ARRAYTOTEXT(_xlfn.UNIQUE(_xlfn._xlws.FILTER(ubox[Failed Instance],(ubox[FirstError - IP (name)]=G$1)*(ubox[VisualID]=A162))),0),"")</f>
        <v/>
      </c>
      <c r="H162" s="2" t="str" cm="1">
        <f t="array" ref="H162">IFERROR(_xlfn.ARRAYTOTEXT(_xlfn.UNIQUE(_xlfn._xlws.FILTER(ubox[Failed Instance],(ubox[FirstError - IP (name)]=H$1)*(ubox[VisualID]=A162))),0),"")</f>
        <v/>
      </c>
    </row>
    <row r="163" spans="2:8" x14ac:dyDescent="0.3">
      <c r="B163" s="2" t="str">
        <f t="shared" si="2"/>
        <v/>
      </c>
      <c r="D163" s="2" t="str" cm="1">
        <f t="array" ref="D163">IFERROR(_xlfn.ARRAYTOTEXT(_xlfn.UNIQUE(_xlfn._xlws.FILTER(ubox[Failed Instance],(ubox[FirstError - IP (name)]=D$1)*(ubox[VisualID]=A163))),0),"")</f>
        <v/>
      </c>
      <c r="E163" s="2" t="str" cm="1">
        <f t="array" ref="E163">IFERROR(_xlfn.ARRAYTOTEXT(_xlfn.UNIQUE(_xlfn._xlws.FILTER(ubox[Failed Instance],(ubox[FirstError - IP (name)]=E$1)*(ubox[VisualID]=A163))),0),"")</f>
        <v/>
      </c>
      <c r="F163" s="2" t="str" cm="1">
        <f t="array" ref="F163">IFERROR(_xlfn.ARRAYTOTEXT(_xlfn.UNIQUE(_xlfn._xlws.FILTER(ubox[Failed Instance],(ubox[FirstError - IP (name)]=F$1)*(ubox[VisualID]=A163))),0),"")</f>
        <v/>
      </c>
      <c r="G163" s="2" t="str" cm="1">
        <f t="array" ref="G163">IFERROR(_xlfn.ARRAYTOTEXT(_xlfn.UNIQUE(_xlfn._xlws.FILTER(ubox[Failed Instance],(ubox[FirstError - IP (name)]=G$1)*(ubox[VisualID]=A163))),0),"")</f>
        <v/>
      </c>
      <c r="H163" s="2" t="str" cm="1">
        <f t="array" ref="H163">IFERROR(_xlfn.ARRAYTOTEXT(_xlfn.UNIQUE(_xlfn._xlws.FILTER(ubox[Failed Instance],(ubox[FirstError - IP (name)]=H$1)*(ubox[VisualID]=A163))),0),"")</f>
        <v/>
      </c>
    </row>
    <row r="164" spans="2:8" x14ac:dyDescent="0.3">
      <c r="B164" s="2" t="str">
        <f t="shared" si="2"/>
        <v/>
      </c>
      <c r="D164" s="2" t="str" cm="1">
        <f t="array" ref="D164">IFERROR(_xlfn.ARRAYTOTEXT(_xlfn.UNIQUE(_xlfn._xlws.FILTER(ubox[Failed Instance],(ubox[FirstError - IP (name)]=D$1)*(ubox[VisualID]=A164))),0),"")</f>
        <v/>
      </c>
      <c r="E164" s="2" t="str" cm="1">
        <f t="array" ref="E164">IFERROR(_xlfn.ARRAYTOTEXT(_xlfn.UNIQUE(_xlfn._xlws.FILTER(ubox[Failed Instance],(ubox[FirstError - IP (name)]=E$1)*(ubox[VisualID]=A164))),0),"")</f>
        <v/>
      </c>
      <c r="F164" s="2" t="str" cm="1">
        <f t="array" ref="F164">IFERROR(_xlfn.ARRAYTOTEXT(_xlfn.UNIQUE(_xlfn._xlws.FILTER(ubox[Failed Instance],(ubox[FirstError - IP (name)]=F$1)*(ubox[VisualID]=A164))),0),"")</f>
        <v/>
      </c>
      <c r="G164" s="2" t="str" cm="1">
        <f t="array" ref="G164">IFERROR(_xlfn.ARRAYTOTEXT(_xlfn.UNIQUE(_xlfn._xlws.FILTER(ubox[Failed Instance],(ubox[FirstError - IP (name)]=G$1)*(ubox[VisualID]=A164))),0),"")</f>
        <v/>
      </c>
      <c r="H164" s="2" t="str" cm="1">
        <f t="array" ref="H164">IFERROR(_xlfn.ARRAYTOTEXT(_xlfn.UNIQUE(_xlfn._xlws.FILTER(ubox[Failed Instance],(ubox[FirstError - IP (name)]=H$1)*(ubox[VisualID]=A164))),0),"")</f>
        <v/>
      </c>
    </row>
    <row r="165" spans="2:8" x14ac:dyDescent="0.3">
      <c r="B165" s="2" t="str">
        <f t="shared" si="2"/>
        <v/>
      </c>
      <c r="D165" s="2" t="str" cm="1">
        <f t="array" ref="D165">IFERROR(_xlfn.ARRAYTOTEXT(_xlfn.UNIQUE(_xlfn._xlws.FILTER(ubox[Failed Instance],(ubox[FirstError - IP (name)]=D$1)*(ubox[VisualID]=A165))),0),"")</f>
        <v/>
      </c>
      <c r="E165" s="2" t="str" cm="1">
        <f t="array" ref="E165">IFERROR(_xlfn.ARRAYTOTEXT(_xlfn.UNIQUE(_xlfn._xlws.FILTER(ubox[Failed Instance],(ubox[FirstError - IP (name)]=E$1)*(ubox[VisualID]=A165))),0),"")</f>
        <v/>
      </c>
      <c r="F165" s="2" t="str" cm="1">
        <f t="array" ref="F165">IFERROR(_xlfn.ARRAYTOTEXT(_xlfn.UNIQUE(_xlfn._xlws.FILTER(ubox[Failed Instance],(ubox[FirstError - IP (name)]=F$1)*(ubox[VisualID]=A165))),0),"")</f>
        <v/>
      </c>
      <c r="G165" s="2" t="str" cm="1">
        <f t="array" ref="G165">IFERROR(_xlfn.ARRAYTOTEXT(_xlfn.UNIQUE(_xlfn._xlws.FILTER(ubox[Failed Instance],(ubox[FirstError - IP (name)]=G$1)*(ubox[VisualID]=A165))),0),"")</f>
        <v/>
      </c>
      <c r="H165" s="2" t="str" cm="1">
        <f t="array" ref="H165">IFERROR(_xlfn.ARRAYTOTEXT(_xlfn.UNIQUE(_xlfn._xlws.FILTER(ubox[Failed Instance],(ubox[FirstError - IP (name)]=H$1)*(ubox[VisualID]=A165))),0),"")</f>
        <v/>
      </c>
    </row>
    <row r="166" spans="2:8" x14ac:dyDescent="0.3">
      <c r="B166" s="2" t="str">
        <f t="shared" si="2"/>
        <v/>
      </c>
      <c r="D166" s="2" t="str" cm="1">
        <f t="array" ref="D166">IFERROR(_xlfn.ARRAYTOTEXT(_xlfn.UNIQUE(_xlfn._xlws.FILTER(ubox[Failed Instance],(ubox[FirstError - IP (name)]=D$1)*(ubox[VisualID]=A166))),0),"")</f>
        <v/>
      </c>
      <c r="E166" s="2" t="str" cm="1">
        <f t="array" ref="E166">IFERROR(_xlfn.ARRAYTOTEXT(_xlfn.UNIQUE(_xlfn._xlws.FILTER(ubox[Failed Instance],(ubox[FirstError - IP (name)]=E$1)*(ubox[VisualID]=A166))),0),"")</f>
        <v/>
      </c>
      <c r="F166" s="2" t="str" cm="1">
        <f t="array" ref="F166">IFERROR(_xlfn.ARRAYTOTEXT(_xlfn.UNIQUE(_xlfn._xlws.FILTER(ubox[Failed Instance],(ubox[FirstError - IP (name)]=F$1)*(ubox[VisualID]=A166))),0),"")</f>
        <v/>
      </c>
      <c r="G166" s="2" t="str" cm="1">
        <f t="array" ref="G166">IFERROR(_xlfn.ARRAYTOTEXT(_xlfn.UNIQUE(_xlfn._xlws.FILTER(ubox[Failed Instance],(ubox[FirstError - IP (name)]=G$1)*(ubox[VisualID]=A166))),0),"")</f>
        <v/>
      </c>
      <c r="H166" s="2" t="str" cm="1">
        <f t="array" ref="H166">IFERROR(_xlfn.ARRAYTOTEXT(_xlfn.UNIQUE(_xlfn._xlws.FILTER(ubox[Failed Instance],(ubox[FirstError - IP (name)]=H$1)*(ubox[VisualID]=A166))),0),"")</f>
        <v/>
      </c>
    </row>
    <row r="167" spans="2:8" x14ac:dyDescent="0.3">
      <c r="B167" s="2" t="str">
        <f t="shared" si="2"/>
        <v/>
      </c>
      <c r="D167" s="2" t="str" cm="1">
        <f t="array" ref="D167">IFERROR(_xlfn.ARRAYTOTEXT(_xlfn.UNIQUE(_xlfn._xlws.FILTER(ubox[Failed Instance],(ubox[FirstError - IP (name)]=D$1)*(ubox[VisualID]=A167))),0),"")</f>
        <v/>
      </c>
      <c r="E167" s="2" t="str" cm="1">
        <f t="array" ref="E167">IFERROR(_xlfn.ARRAYTOTEXT(_xlfn.UNIQUE(_xlfn._xlws.FILTER(ubox[Failed Instance],(ubox[FirstError - IP (name)]=E$1)*(ubox[VisualID]=A167))),0),"")</f>
        <v/>
      </c>
      <c r="F167" s="2" t="str" cm="1">
        <f t="array" ref="F167">IFERROR(_xlfn.ARRAYTOTEXT(_xlfn.UNIQUE(_xlfn._xlws.FILTER(ubox[Failed Instance],(ubox[FirstError - IP (name)]=F$1)*(ubox[VisualID]=A167))),0),"")</f>
        <v/>
      </c>
      <c r="G167" s="2" t="str" cm="1">
        <f t="array" ref="G167">IFERROR(_xlfn.ARRAYTOTEXT(_xlfn.UNIQUE(_xlfn._xlws.FILTER(ubox[Failed Instance],(ubox[FirstError - IP (name)]=G$1)*(ubox[VisualID]=A167))),0),"")</f>
        <v/>
      </c>
      <c r="H167" s="2" t="str" cm="1">
        <f t="array" ref="H167">IFERROR(_xlfn.ARRAYTOTEXT(_xlfn.UNIQUE(_xlfn._xlws.FILTER(ubox[Failed Instance],(ubox[FirstError - IP (name)]=H$1)*(ubox[VisualID]=A167))),0),"")</f>
        <v/>
      </c>
    </row>
    <row r="168" spans="2:8" x14ac:dyDescent="0.3">
      <c r="B168" s="2" t="str">
        <f t="shared" si="2"/>
        <v/>
      </c>
      <c r="D168" s="2" t="str" cm="1">
        <f t="array" ref="D168">IFERROR(_xlfn.ARRAYTOTEXT(_xlfn.UNIQUE(_xlfn._xlws.FILTER(ubox[Failed Instance],(ubox[FirstError - IP (name)]=D$1)*(ubox[VisualID]=A168))),0),"")</f>
        <v/>
      </c>
      <c r="E168" s="2" t="str" cm="1">
        <f t="array" ref="E168">IFERROR(_xlfn.ARRAYTOTEXT(_xlfn.UNIQUE(_xlfn._xlws.FILTER(ubox[Failed Instance],(ubox[FirstError - IP (name)]=E$1)*(ubox[VisualID]=A168))),0),"")</f>
        <v/>
      </c>
      <c r="F168" s="2" t="str" cm="1">
        <f t="array" ref="F168">IFERROR(_xlfn.ARRAYTOTEXT(_xlfn.UNIQUE(_xlfn._xlws.FILTER(ubox[Failed Instance],(ubox[FirstError - IP (name)]=F$1)*(ubox[VisualID]=A168))),0),"")</f>
        <v/>
      </c>
      <c r="G168" s="2" t="str" cm="1">
        <f t="array" ref="G168">IFERROR(_xlfn.ARRAYTOTEXT(_xlfn.UNIQUE(_xlfn._xlws.FILTER(ubox[Failed Instance],(ubox[FirstError - IP (name)]=G$1)*(ubox[VisualID]=A168))),0),"")</f>
        <v/>
      </c>
      <c r="H168" s="2" t="str" cm="1">
        <f t="array" ref="H168">IFERROR(_xlfn.ARRAYTOTEXT(_xlfn.UNIQUE(_xlfn._xlws.FILTER(ubox[Failed Instance],(ubox[FirstError - IP (name)]=H$1)*(ubox[VisualID]=A168))),0),"")</f>
        <v/>
      </c>
    </row>
    <row r="169" spans="2:8" x14ac:dyDescent="0.3">
      <c r="B169" s="2" t="str">
        <f t="shared" si="2"/>
        <v/>
      </c>
      <c r="D169" s="2" t="str" cm="1">
        <f t="array" ref="D169">IFERROR(_xlfn.ARRAYTOTEXT(_xlfn.UNIQUE(_xlfn._xlws.FILTER(ubox[Failed Instance],(ubox[FirstError - IP (name)]=D$1)*(ubox[VisualID]=A169))),0),"")</f>
        <v/>
      </c>
      <c r="E169" s="2" t="str" cm="1">
        <f t="array" ref="E169">IFERROR(_xlfn.ARRAYTOTEXT(_xlfn.UNIQUE(_xlfn._xlws.FILTER(ubox[Failed Instance],(ubox[FirstError - IP (name)]=E$1)*(ubox[VisualID]=A169))),0),"")</f>
        <v/>
      </c>
      <c r="F169" s="2" t="str" cm="1">
        <f t="array" ref="F169">IFERROR(_xlfn.ARRAYTOTEXT(_xlfn.UNIQUE(_xlfn._xlws.FILTER(ubox[Failed Instance],(ubox[FirstError - IP (name)]=F$1)*(ubox[VisualID]=A169))),0),"")</f>
        <v/>
      </c>
      <c r="G169" s="2" t="str" cm="1">
        <f t="array" ref="G169">IFERROR(_xlfn.ARRAYTOTEXT(_xlfn.UNIQUE(_xlfn._xlws.FILTER(ubox[Failed Instance],(ubox[FirstError - IP (name)]=G$1)*(ubox[VisualID]=A169))),0),"")</f>
        <v/>
      </c>
      <c r="H169" s="2" t="str" cm="1">
        <f t="array" ref="H169">IFERROR(_xlfn.ARRAYTOTEXT(_xlfn.UNIQUE(_xlfn._xlws.FILTER(ubox[Failed Instance],(ubox[FirstError - IP (name)]=H$1)*(ubox[VisualID]=A169))),0),"")</f>
        <v/>
      </c>
    </row>
    <row r="170" spans="2:8" x14ac:dyDescent="0.3">
      <c r="B170" s="2" t="str">
        <f t="shared" si="2"/>
        <v/>
      </c>
      <c r="D170" s="2" t="str" cm="1">
        <f t="array" ref="D170">IFERROR(_xlfn.ARRAYTOTEXT(_xlfn.UNIQUE(_xlfn._xlws.FILTER(ubox[Failed Instance],(ubox[FirstError - IP (name)]=D$1)*(ubox[VisualID]=A170))),0),"")</f>
        <v/>
      </c>
      <c r="E170" s="2" t="str" cm="1">
        <f t="array" ref="E170">IFERROR(_xlfn.ARRAYTOTEXT(_xlfn.UNIQUE(_xlfn._xlws.FILTER(ubox[Failed Instance],(ubox[FirstError - IP (name)]=E$1)*(ubox[VisualID]=A170))),0),"")</f>
        <v/>
      </c>
      <c r="F170" s="2" t="str" cm="1">
        <f t="array" ref="F170">IFERROR(_xlfn.ARRAYTOTEXT(_xlfn.UNIQUE(_xlfn._xlws.FILTER(ubox[Failed Instance],(ubox[FirstError - IP (name)]=F$1)*(ubox[VisualID]=A170))),0),"")</f>
        <v/>
      </c>
      <c r="G170" s="2" t="str" cm="1">
        <f t="array" ref="G170">IFERROR(_xlfn.ARRAYTOTEXT(_xlfn.UNIQUE(_xlfn._xlws.FILTER(ubox[Failed Instance],(ubox[FirstError - IP (name)]=G$1)*(ubox[VisualID]=A170))),0),"")</f>
        <v/>
      </c>
      <c r="H170" s="2" t="str" cm="1">
        <f t="array" ref="H170">IFERROR(_xlfn.ARRAYTOTEXT(_xlfn.UNIQUE(_xlfn._xlws.FILTER(ubox[Failed Instance],(ubox[FirstError - IP (name)]=H$1)*(ubox[VisualID]=A170))),0),"")</f>
        <v/>
      </c>
    </row>
    <row r="171" spans="2:8" x14ac:dyDescent="0.3">
      <c r="B171" s="2" t="str">
        <f t="shared" si="2"/>
        <v/>
      </c>
      <c r="D171" s="2" t="str" cm="1">
        <f t="array" ref="D171">IFERROR(_xlfn.ARRAYTOTEXT(_xlfn.UNIQUE(_xlfn._xlws.FILTER(ubox[Failed Instance],(ubox[FirstError - IP (name)]=D$1)*(ubox[VisualID]=A171))),0),"")</f>
        <v/>
      </c>
      <c r="E171" s="2" t="str" cm="1">
        <f t="array" ref="E171">IFERROR(_xlfn.ARRAYTOTEXT(_xlfn.UNIQUE(_xlfn._xlws.FILTER(ubox[Failed Instance],(ubox[FirstError - IP (name)]=E$1)*(ubox[VisualID]=A171))),0),"")</f>
        <v/>
      </c>
      <c r="F171" s="2" t="str" cm="1">
        <f t="array" ref="F171">IFERROR(_xlfn.ARRAYTOTEXT(_xlfn.UNIQUE(_xlfn._xlws.FILTER(ubox[Failed Instance],(ubox[FirstError - IP (name)]=F$1)*(ubox[VisualID]=A171))),0),"")</f>
        <v/>
      </c>
      <c r="G171" s="2" t="str" cm="1">
        <f t="array" ref="G171">IFERROR(_xlfn.ARRAYTOTEXT(_xlfn.UNIQUE(_xlfn._xlws.FILTER(ubox[Failed Instance],(ubox[FirstError - IP (name)]=G$1)*(ubox[VisualID]=A171))),0),"")</f>
        <v/>
      </c>
      <c r="H171" s="2" t="str" cm="1">
        <f t="array" ref="H171">IFERROR(_xlfn.ARRAYTOTEXT(_xlfn.UNIQUE(_xlfn._xlws.FILTER(ubox[Failed Instance],(ubox[FirstError - IP (name)]=H$1)*(ubox[VisualID]=A171))),0),"")</f>
        <v/>
      </c>
    </row>
    <row r="172" spans="2:8" x14ac:dyDescent="0.3">
      <c r="B172" s="2" t="str">
        <f t="shared" si="2"/>
        <v/>
      </c>
      <c r="D172" s="2" t="str" cm="1">
        <f t="array" ref="D172">IFERROR(_xlfn.ARRAYTOTEXT(_xlfn.UNIQUE(_xlfn._xlws.FILTER(ubox[Failed Instance],(ubox[FirstError - IP (name)]=D$1)*(ubox[VisualID]=A172))),0),"")</f>
        <v/>
      </c>
      <c r="E172" s="2" t="str" cm="1">
        <f t="array" ref="E172">IFERROR(_xlfn.ARRAYTOTEXT(_xlfn.UNIQUE(_xlfn._xlws.FILTER(ubox[Failed Instance],(ubox[FirstError - IP (name)]=E$1)*(ubox[VisualID]=A172))),0),"")</f>
        <v/>
      </c>
      <c r="F172" s="2" t="str" cm="1">
        <f t="array" ref="F172">IFERROR(_xlfn.ARRAYTOTEXT(_xlfn.UNIQUE(_xlfn._xlws.FILTER(ubox[Failed Instance],(ubox[FirstError - IP (name)]=F$1)*(ubox[VisualID]=A172))),0),"")</f>
        <v/>
      </c>
      <c r="G172" s="2" t="str" cm="1">
        <f t="array" ref="G172">IFERROR(_xlfn.ARRAYTOTEXT(_xlfn.UNIQUE(_xlfn._xlws.FILTER(ubox[Failed Instance],(ubox[FirstError - IP (name)]=G$1)*(ubox[VisualID]=A172))),0),"")</f>
        <v/>
      </c>
      <c r="H172" s="2" t="str" cm="1">
        <f t="array" ref="H172">IFERROR(_xlfn.ARRAYTOTEXT(_xlfn.UNIQUE(_xlfn._xlws.FILTER(ubox[Failed Instance],(ubox[FirstError - IP (name)]=H$1)*(ubox[VisualID]=A172))),0),"")</f>
        <v/>
      </c>
    </row>
    <row r="173" spans="2:8" x14ac:dyDescent="0.3">
      <c r="B173" s="2" t="str">
        <f t="shared" si="2"/>
        <v/>
      </c>
      <c r="D173" s="2" t="str" cm="1">
        <f t="array" ref="D173">IFERROR(_xlfn.ARRAYTOTEXT(_xlfn.UNIQUE(_xlfn._xlws.FILTER(ubox[Failed Instance],(ubox[FirstError - IP (name)]=D$1)*(ubox[VisualID]=A173))),0),"")</f>
        <v/>
      </c>
      <c r="E173" s="2" t="str" cm="1">
        <f t="array" ref="E173">IFERROR(_xlfn.ARRAYTOTEXT(_xlfn.UNIQUE(_xlfn._xlws.FILTER(ubox[Failed Instance],(ubox[FirstError - IP (name)]=E$1)*(ubox[VisualID]=A173))),0),"")</f>
        <v/>
      </c>
      <c r="F173" s="2" t="str" cm="1">
        <f t="array" ref="F173">IFERROR(_xlfn.ARRAYTOTEXT(_xlfn.UNIQUE(_xlfn._xlws.FILTER(ubox[Failed Instance],(ubox[FirstError - IP (name)]=F$1)*(ubox[VisualID]=A173))),0),"")</f>
        <v/>
      </c>
      <c r="G173" s="2" t="str" cm="1">
        <f t="array" ref="G173">IFERROR(_xlfn.ARRAYTOTEXT(_xlfn.UNIQUE(_xlfn._xlws.FILTER(ubox[Failed Instance],(ubox[FirstError - IP (name)]=G$1)*(ubox[VisualID]=A173))),0),"")</f>
        <v/>
      </c>
      <c r="H173" s="2" t="str" cm="1">
        <f t="array" ref="H173">IFERROR(_xlfn.ARRAYTOTEXT(_xlfn.UNIQUE(_xlfn._xlws.FILTER(ubox[Failed Instance],(ubox[FirstError - IP (name)]=H$1)*(ubox[VisualID]=A173))),0),"")</f>
        <v/>
      </c>
    </row>
    <row r="174" spans="2:8" x14ac:dyDescent="0.3">
      <c r="B174" s="2" t="str">
        <f t="shared" si="2"/>
        <v/>
      </c>
      <c r="D174" s="2" t="str" cm="1">
        <f t="array" ref="D174">IFERROR(_xlfn.ARRAYTOTEXT(_xlfn.UNIQUE(_xlfn._xlws.FILTER(ubox[Failed Instance],(ubox[FirstError - IP (name)]=D$1)*(ubox[VisualID]=A174))),0),"")</f>
        <v/>
      </c>
      <c r="E174" s="2" t="str" cm="1">
        <f t="array" ref="E174">IFERROR(_xlfn.ARRAYTOTEXT(_xlfn.UNIQUE(_xlfn._xlws.FILTER(ubox[Failed Instance],(ubox[FirstError - IP (name)]=E$1)*(ubox[VisualID]=A174))),0),"")</f>
        <v/>
      </c>
      <c r="F174" s="2" t="str" cm="1">
        <f t="array" ref="F174">IFERROR(_xlfn.ARRAYTOTEXT(_xlfn.UNIQUE(_xlfn._xlws.FILTER(ubox[Failed Instance],(ubox[FirstError - IP (name)]=F$1)*(ubox[VisualID]=A174))),0),"")</f>
        <v/>
      </c>
      <c r="G174" s="2" t="str" cm="1">
        <f t="array" ref="G174">IFERROR(_xlfn.ARRAYTOTEXT(_xlfn.UNIQUE(_xlfn._xlws.FILTER(ubox[Failed Instance],(ubox[FirstError - IP (name)]=G$1)*(ubox[VisualID]=A174))),0),"")</f>
        <v/>
      </c>
      <c r="H174" s="2" t="str" cm="1">
        <f t="array" ref="H174">IFERROR(_xlfn.ARRAYTOTEXT(_xlfn.UNIQUE(_xlfn._xlws.FILTER(ubox[Failed Instance],(ubox[FirstError - IP (name)]=H$1)*(ubox[VisualID]=A174))),0),"")</f>
        <v/>
      </c>
    </row>
    <row r="175" spans="2:8" x14ac:dyDescent="0.3">
      <c r="B175" s="2" t="str">
        <f t="shared" ref="B175:B185" si="3">_xlfn.TEXTJOIN(", ",1,D175:H175)</f>
        <v/>
      </c>
      <c r="D175" s="2" t="str" cm="1">
        <f t="array" ref="D175">IFERROR(_xlfn.ARRAYTOTEXT(_xlfn.UNIQUE(_xlfn._xlws.FILTER(ubox[Failed Instance],(ubox[FirstError - IP (name)]=D$1)*(ubox[VisualID]=A175))),0),"")</f>
        <v/>
      </c>
      <c r="E175" s="2" t="str" cm="1">
        <f t="array" ref="E175">IFERROR(_xlfn.ARRAYTOTEXT(_xlfn.UNIQUE(_xlfn._xlws.FILTER(ubox[Failed Instance],(ubox[FirstError - IP (name)]=E$1)*(ubox[VisualID]=A175))),0),"")</f>
        <v/>
      </c>
      <c r="F175" s="2" t="str" cm="1">
        <f t="array" ref="F175">IFERROR(_xlfn.ARRAYTOTEXT(_xlfn.UNIQUE(_xlfn._xlws.FILTER(ubox[Failed Instance],(ubox[FirstError - IP (name)]=F$1)*(ubox[VisualID]=A175))),0),"")</f>
        <v/>
      </c>
      <c r="G175" s="2" t="str" cm="1">
        <f t="array" ref="G175">IFERROR(_xlfn.ARRAYTOTEXT(_xlfn.UNIQUE(_xlfn._xlws.FILTER(ubox[Failed Instance],(ubox[FirstError - IP (name)]=G$1)*(ubox[VisualID]=A175))),0),"")</f>
        <v/>
      </c>
      <c r="H175" s="2" t="str" cm="1">
        <f t="array" ref="H175">IFERROR(_xlfn.ARRAYTOTEXT(_xlfn.UNIQUE(_xlfn._xlws.FILTER(ubox[Failed Instance],(ubox[FirstError - IP (name)]=H$1)*(ubox[VisualID]=A175))),0),"")</f>
        <v/>
      </c>
    </row>
    <row r="176" spans="2:8" x14ac:dyDescent="0.3">
      <c r="B176" s="2" t="str">
        <f t="shared" si="3"/>
        <v/>
      </c>
      <c r="D176" s="2" t="str" cm="1">
        <f t="array" ref="D176">IFERROR(_xlfn.ARRAYTOTEXT(_xlfn.UNIQUE(_xlfn._xlws.FILTER(ubox[Failed Instance],(ubox[FirstError - IP (name)]=D$1)*(ubox[VisualID]=A176))),0),"")</f>
        <v/>
      </c>
      <c r="E176" s="2" t="str" cm="1">
        <f t="array" ref="E176">IFERROR(_xlfn.ARRAYTOTEXT(_xlfn.UNIQUE(_xlfn._xlws.FILTER(ubox[Failed Instance],(ubox[FirstError - IP (name)]=E$1)*(ubox[VisualID]=A176))),0),"")</f>
        <v/>
      </c>
      <c r="F176" s="2" t="str" cm="1">
        <f t="array" ref="F176">IFERROR(_xlfn.ARRAYTOTEXT(_xlfn.UNIQUE(_xlfn._xlws.FILTER(ubox[Failed Instance],(ubox[FirstError - IP (name)]=F$1)*(ubox[VisualID]=A176))),0),"")</f>
        <v/>
      </c>
      <c r="G176" s="2" t="str" cm="1">
        <f t="array" ref="G176">IFERROR(_xlfn.ARRAYTOTEXT(_xlfn.UNIQUE(_xlfn._xlws.FILTER(ubox[Failed Instance],(ubox[FirstError - IP (name)]=G$1)*(ubox[VisualID]=A176))),0),"")</f>
        <v/>
      </c>
      <c r="H176" s="2" t="str" cm="1">
        <f t="array" ref="H176">IFERROR(_xlfn.ARRAYTOTEXT(_xlfn.UNIQUE(_xlfn._xlws.FILTER(ubox[Failed Instance],(ubox[FirstError - IP (name)]=H$1)*(ubox[VisualID]=A176))),0),"")</f>
        <v/>
      </c>
    </row>
    <row r="177" spans="2:8" x14ac:dyDescent="0.3">
      <c r="B177" s="2" t="str">
        <f t="shared" si="3"/>
        <v/>
      </c>
      <c r="D177" s="2" t="str" cm="1">
        <f t="array" ref="D177">IFERROR(_xlfn.ARRAYTOTEXT(_xlfn.UNIQUE(_xlfn._xlws.FILTER(ubox[Failed Instance],(ubox[FirstError - IP (name)]=D$1)*(ubox[VisualID]=A177))),0),"")</f>
        <v/>
      </c>
      <c r="E177" s="2" t="str" cm="1">
        <f t="array" ref="E177">IFERROR(_xlfn.ARRAYTOTEXT(_xlfn.UNIQUE(_xlfn._xlws.FILTER(ubox[Failed Instance],(ubox[FirstError - IP (name)]=E$1)*(ubox[VisualID]=A177))),0),"")</f>
        <v/>
      </c>
      <c r="F177" s="2" t="str" cm="1">
        <f t="array" ref="F177">IFERROR(_xlfn.ARRAYTOTEXT(_xlfn.UNIQUE(_xlfn._xlws.FILTER(ubox[Failed Instance],(ubox[FirstError - IP (name)]=F$1)*(ubox[VisualID]=A177))),0),"")</f>
        <v/>
      </c>
      <c r="G177" s="2" t="str" cm="1">
        <f t="array" ref="G177">IFERROR(_xlfn.ARRAYTOTEXT(_xlfn.UNIQUE(_xlfn._xlws.FILTER(ubox[Failed Instance],(ubox[FirstError - IP (name)]=G$1)*(ubox[VisualID]=A177))),0),"")</f>
        <v/>
      </c>
      <c r="H177" s="2" t="str" cm="1">
        <f t="array" ref="H177">IFERROR(_xlfn.ARRAYTOTEXT(_xlfn.UNIQUE(_xlfn._xlws.FILTER(ubox[Failed Instance],(ubox[FirstError - IP (name)]=H$1)*(ubox[VisualID]=A177))),0),"")</f>
        <v/>
      </c>
    </row>
    <row r="178" spans="2:8" x14ac:dyDescent="0.3">
      <c r="B178" s="2" t="str">
        <f t="shared" si="3"/>
        <v/>
      </c>
      <c r="D178" s="2" t="str" cm="1">
        <f t="array" ref="D178">IFERROR(_xlfn.ARRAYTOTEXT(_xlfn.UNIQUE(_xlfn._xlws.FILTER(ubox[Failed Instance],(ubox[FirstError - IP (name)]=D$1)*(ubox[VisualID]=A178))),0),"")</f>
        <v/>
      </c>
      <c r="E178" s="2" t="str" cm="1">
        <f t="array" ref="E178">IFERROR(_xlfn.ARRAYTOTEXT(_xlfn.UNIQUE(_xlfn._xlws.FILTER(ubox[Failed Instance],(ubox[FirstError - IP (name)]=E$1)*(ubox[VisualID]=A178))),0),"")</f>
        <v/>
      </c>
      <c r="F178" s="2" t="str" cm="1">
        <f t="array" ref="F178">IFERROR(_xlfn.ARRAYTOTEXT(_xlfn.UNIQUE(_xlfn._xlws.FILTER(ubox[Failed Instance],(ubox[FirstError - IP (name)]=F$1)*(ubox[VisualID]=A178))),0),"")</f>
        <v/>
      </c>
      <c r="G178" s="2" t="str" cm="1">
        <f t="array" ref="G178">IFERROR(_xlfn.ARRAYTOTEXT(_xlfn.UNIQUE(_xlfn._xlws.FILTER(ubox[Failed Instance],(ubox[FirstError - IP (name)]=G$1)*(ubox[VisualID]=A178))),0),"")</f>
        <v/>
      </c>
      <c r="H178" s="2" t="str" cm="1">
        <f t="array" ref="H178">IFERROR(_xlfn.ARRAYTOTEXT(_xlfn.UNIQUE(_xlfn._xlws.FILTER(ubox[Failed Instance],(ubox[FirstError - IP (name)]=H$1)*(ubox[VisualID]=A178))),0),"")</f>
        <v/>
      </c>
    </row>
    <row r="179" spans="2:8" x14ac:dyDescent="0.3">
      <c r="B179" s="2" t="str">
        <f t="shared" si="3"/>
        <v/>
      </c>
      <c r="D179" s="2" t="str" cm="1">
        <f t="array" ref="D179">IFERROR(_xlfn.ARRAYTOTEXT(_xlfn.UNIQUE(_xlfn._xlws.FILTER(ubox[Failed Instance],(ubox[FirstError - IP (name)]=D$1)*(ubox[VisualID]=A179))),0),"")</f>
        <v/>
      </c>
      <c r="E179" s="2" t="str" cm="1">
        <f t="array" ref="E179">IFERROR(_xlfn.ARRAYTOTEXT(_xlfn.UNIQUE(_xlfn._xlws.FILTER(ubox[Failed Instance],(ubox[FirstError - IP (name)]=E$1)*(ubox[VisualID]=A179))),0),"")</f>
        <v/>
      </c>
      <c r="F179" s="2" t="str" cm="1">
        <f t="array" ref="F179">IFERROR(_xlfn.ARRAYTOTEXT(_xlfn.UNIQUE(_xlfn._xlws.FILTER(ubox[Failed Instance],(ubox[FirstError - IP (name)]=F$1)*(ubox[VisualID]=A179))),0),"")</f>
        <v/>
      </c>
      <c r="G179" s="2" t="str" cm="1">
        <f t="array" ref="G179">IFERROR(_xlfn.ARRAYTOTEXT(_xlfn.UNIQUE(_xlfn._xlws.FILTER(ubox[Failed Instance],(ubox[FirstError - IP (name)]=G$1)*(ubox[VisualID]=A179))),0),"")</f>
        <v/>
      </c>
      <c r="H179" s="2" t="str" cm="1">
        <f t="array" ref="H179">IFERROR(_xlfn.ARRAYTOTEXT(_xlfn.UNIQUE(_xlfn._xlws.FILTER(ubox[Failed Instance],(ubox[FirstError - IP (name)]=H$1)*(ubox[VisualID]=A179))),0),"")</f>
        <v/>
      </c>
    </row>
    <row r="180" spans="2:8" x14ac:dyDescent="0.3">
      <c r="B180" s="2" t="str">
        <f t="shared" si="3"/>
        <v/>
      </c>
      <c r="D180" s="2" t="str" cm="1">
        <f t="array" ref="D180">IFERROR(_xlfn.ARRAYTOTEXT(_xlfn.UNIQUE(_xlfn._xlws.FILTER(ubox[Failed Instance],(ubox[FirstError - IP (name)]=D$1)*(ubox[VisualID]=A180))),0),"")</f>
        <v/>
      </c>
      <c r="E180" s="2" t="str" cm="1">
        <f t="array" ref="E180">IFERROR(_xlfn.ARRAYTOTEXT(_xlfn.UNIQUE(_xlfn._xlws.FILTER(ubox[Failed Instance],(ubox[FirstError - IP (name)]=E$1)*(ubox[VisualID]=A180))),0),"")</f>
        <v/>
      </c>
      <c r="F180" s="2" t="str" cm="1">
        <f t="array" ref="F180">IFERROR(_xlfn.ARRAYTOTEXT(_xlfn.UNIQUE(_xlfn._xlws.FILTER(ubox[Failed Instance],(ubox[FirstError - IP (name)]=F$1)*(ubox[VisualID]=A180))),0),"")</f>
        <v/>
      </c>
      <c r="G180" s="2" t="str" cm="1">
        <f t="array" ref="G180">IFERROR(_xlfn.ARRAYTOTEXT(_xlfn.UNIQUE(_xlfn._xlws.FILTER(ubox[Failed Instance],(ubox[FirstError - IP (name)]=G$1)*(ubox[VisualID]=A180))),0),"")</f>
        <v/>
      </c>
      <c r="H180" s="2" t="str" cm="1">
        <f t="array" ref="H180">IFERROR(_xlfn.ARRAYTOTEXT(_xlfn.UNIQUE(_xlfn._xlws.FILTER(ubox[Failed Instance],(ubox[FirstError - IP (name)]=H$1)*(ubox[VisualID]=A180))),0),"")</f>
        <v/>
      </c>
    </row>
    <row r="181" spans="2:8" x14ac:dyDescent="0.3">
      <c r="B181" s="2" t="str">
        <f t="shared" si="3"/>
        <v/>
      </c>
      <c r="D181" s="2" t="str" cm="1">
        <f t="array" ref="D181">IFERROR(_xlfn.ARRAYTOTEXT(_xlfn.UNIQUE(_xlfn._xlws.FILTER(ubox[Failed Instance],(ubox[FirstError - IP (name)]=D$1)*(ubox[VisualID]=A181))),0),"")</f>
        <v/>
      </c>
      <c r="E181" s="2" t="str" cm="1">
        <f t="array" ref="E181">IFERROR(_xlfn.ARRAYTOTEXT(_xlfn.UNIQUE(_xlfn._xlws.FILTER(ubox[Failed Instance],(ubox[FirstError - IP (name)]=E$1)*(ubox[VisualID]=A181))),0),"")</f>
        <v/>
      </c>
      <c r="F181" s="2" t="str" cm="1">
        <f t="array" ref="F181">IFERROR(_xlfn.ARRAYTOTEXT(_xlfn.UNIQUE(_xlfn._xlws.FILTER(ubox[Failed Instance],(ubox[FirstError - IP (name)]=F$1)*(ubox[VisualID]=A181))),0),"")</f>
        <v/>
      </c>
      <c r="G181" s="2" t="str" cm="1">
        <f t="array" ref="G181">IFERROR(_xlfn.ARRAYTOTEXT(_xlfn.UNIQUE(_xlfn._xlws.FILTER(ubox[Failed Instance],(ubox[FirstError - IP (name)]=G$1)*(ubox[VisualID]=A181))),0),"")</f>
        <v/>
      </c>
      <c r="H181" s="2" t="str" cm="1">
        <f t="array" ref="H181">IFERROR(_xlfn.ARRAYTOTEXT(_xlfn.UNIQUE(_xlfn._xlws.FILTER(ubox[Failed Instance],(ubox[FirstError - IP (name)]=H$1)*(ubox[VisualID]=A181))),0),"")</f>
        <v/>
      </c>
    </row>
    <row r="182" spans="2:8" x14ac:dyDescent="0.3">
      <c r="B182" s="2" t="str">
        <f t="shared" si="3"/>
        <v/>
      </c>
      <c r="D182" s="2" t="str" cm="1">
        <f t="array" ref="D182">IFERROR(_xlfn.ARRAYTOTEXT(_xlfn.UNIQUE(_xlfn._xlws.FILTER(ubox[Failed Instance],(ubox[FirstError - IP (name)]=D$1)*(ubox[VisualID]=A182))),0),"")</f>
        <v/>
      </c>
      <c r="E182" s="2" t="str" cm="1">
        <f t="array" ref="E182">IFERROR(_xlfn.ARRAYTOTEXT(_xlfn.UNIQUE(_xlfn._xlws.FILTER(ubox[Failed Instance],(ubox[FirstError - IP (name)]=E$1)*(ubox[VisualID]=A182))),0),"")</f>
        <v/>
      </c>
      <c r="F182" s="2" t="str" cm="1">
        <f t="array" ref="F182">IFERROR(_xlfn.ARRAYTOTEXT(_xlfn.UNIQUE(_xlfn._xlws.FILTER(ubox[Failed Instance],(ubox[FirstError - IP (name)]=F$1)*(ubox[VisualID]=A182))),0),"")</f>
        <v/>
      </c>
      <c r="G182" s="2" t="str" cm="1">
        <f t="array" ref="G182">IFERROR(_xlfn.ARRAYTOTEXT(_xlfn.UNIQUE(_xlfn._xlws.FILTER(ubox[Failed Instance],(ubox[FirstError - IP (name)]=G$1)*(ubox[VisualID]=A182))),0),"")</f>
        <v/>
      </c>
      <c r="H182" s="2" t="str" cm="1">
        <f t="array" ref="H182">IFERROR(_xlfn.ARRAYTOTEXT(_xlfn.UNIQUE(_xlfn._xlws.FILTER(ubox[Failed Instance],(ubox[FirstError - IP (name)]=H$1)*(ubox[VisualID]=A182))),0),"")</f>
        <v/>
      </c>
    </row>
    <row r="183" spans="2:8" x14ac:dyDescent="0.3">
      <c r="B183" s="2" t="str">
        <f t="shared" si="3"/>
        <v/>
      </c>
      <c r="D183" s="2" t="str" cm="1">
        <f t="array" ref="D183">IFERROR(_xlfn.ARRAYTOTEXT(_xlfn.UNIQUE(_xlfn._xlws.FILTER(ubox[Failed Instance],(ubox[FirstError - IP (name)]=D$1)*(ubox[VisualID]=A183))),0),"")</f>
        <v/>
      </c>
      <c r="E183" s="2" t="str" cm="1">
        <f t="array" ref="E183">IFERROR(_xlfn.ARRAYTOTEXT(_xlfn.UNIQUE(_xlfn._xlws.FILTER(ubox[Failed Instance],(ubox[FirstError - IP (name)]=E$1)*(ubox[VisualID]=A183))),0),"")</f>
        <v/>
      </c>
      <c r="F183" s="2" t="str" cm="1">
        <f t="array" ref="F183">IFERROR(_xlfn.ARRAYTOTEXT(_xlfn.UNIQUE(_xlfn._xlws.FILTER(ubox[Failed Instance],(ubox[FirstError - IP (name)]=F$1)*(ubox[VisualID]=A183))),0),"")</f>
        <v/>
      </c>
      <c r="G183" s="2" t="str" cm="1">
        <f t="array" ref="G183">IFERROR(_xlfn.ARRAYTOTEXT(_xlfn.UNIQUE(_xlfn._xlws.FILTER(ubox[Failed Instance],(ubox[FirstError - IP (name)]=G$1)*(ubox[VisualID]=A183))),0),"")</f>
        <v/>
      </c>
      <c r="H183" s="2" t="str" cm="1">
        <f t="array" ref="H183">IFERROR(_xlfn.ARRAYTOTEXT(_xlfn.UNIQUE(_xlfn._xlws.FILTER(ubox[Failed Instance],(ubox[FirstError - IP (name)]=H$1)*(ubox[VisualID]=A183))),0),"")</f>
        <v/>
      </c>
    </row>
    <row r="184" spans="2:8" x14ac:dyDescent="0.3">
      <c r="B184" s="2" t="str">
        <f t="shared" si="3"/>
        <v/>
      </c>
      <c r="D184" s="2" t="str" cm="1">
        <f t="array" ref="D184">IFERROR(_xlfn.ARRAYTOTEXT(_xlfn.UNIQUE(_xlfn._xlws.FILTER(ubox[Failed Instance],(ubox[FirstError - IP (name)]=D$1)*(ubox[VisualID]=A184))),0),"")</f>
        <v/>
      </c>
      <c r="E184" s="2" t="str" cm="1">
        <f t="array" ref="E184">IFERROR(_xlfn.ARRAYTOTEXT(_xlfn.UNIQUE(_xlfn._xlws.FILTER(ubox[Failed Instance],(ubox[FirstError - IP (name)]=E$1)*(ubox[VisualID]=A184))),0),"")</f>
        <v/>
      </c>
      <c r="F184" s="2" t="str" cm="1">
        <f t="array" ref="F184">IFERROR(_xlfn.ARRAYTOTEXT(_xlfn.UNIQUE(_xlfn._xlws.FILTER(ubox[Failed Instance],(ubox[FirstError - IP (name)]=F$1)*(ubox[VisualID]=A184))),0),"")</f>
        <v/>
      </c>
      <c r="G184" s="2" t="str" cm="1">
        <f t="array" ref="G184">IFERROR(_xlfn.ARRAYTOTEXT(_xlfn.UNIQUE(_xlfn._xlws.FILTER(ubox[Failed Instance],(ubox[FirstError - IP (name)]=G$1)*(ubox[VisualID]=A184))),0),"")</f>
        <v/>
      </c>
      <c r="H184" s="2" t="str" cm="1">
        <f t="array" ref="H184">IFERROR(_xlfn.ARRAYTOTEXT(_xlfn.UNIQUE(_xlfn._xlws.FILTER(ubox[Failed Instance],(ubox[FirstError - IP (name)]=H$1)*(ubox[VisualID]=A184))),0),"")</f>
        <v/>
      </c>
    </row>
    <row r="185" spans="2:8" x14ac:dyDescent="0.3">
      <c r="B185" s="2" t="str">
        <f t="shared" si="3"/>
        <v/>
      </c>
      <c r="D185" s="2" t="str" cm="1">
        <f t="array" ref="D185">IFERROR(_xlfn.ARRAYTOTEXT(_xlfn.UNIQUE(_xlfn._xlws.FILTER(ubox[Failed Instance],(ubox[FirstError - IP (name)]=D$1)*(ubox[VisualID]=A185))),0),"")</f>
        <v/>
      </c>
      <c r="E185" s="2" t="str" cm="1">
        <f t="array" ref="E185">IFERROR(_xlfn.ARRAYTOTEXT(_xlfn.UNIQUE(_xlfn._xlws.FILTER(ubox[Failed Instance],(ubox[FirstError - IP (name)]=E$1)*(ubox[VisualID]=A185))),0),"")</f>
        <v/>
      </c>
      <c r="F185" s="2" t="str" cm="1">
        <f t="array" ref="F185">IFERROR(_xlfn.ARRAYTOTEXT(_xlfn.UNIQUE(_xlfn._xlws.FILTER(ubox[Failed Instance],(ubox[FirstError - IP (name)]=F$1)*(ubox[VisualID]=A185))),0),"")</f>
        <v/>
      </c>
      <c r="G185" s="2" t="str" cm="1">
        <f t="array" ref="G185">IFERROR(_xlfn.ARRAYTOTEXT(_xlfn.UNIQUE(_xlfn._xlws.FILTER(ubox[Failed Instance],(ubox[FirstError - IP (name)]=G$1)*(ubox[VisualID]=A185))),0),"")</f>
        <v/>
      </c>
      <c r="H185" s="2" t="str" cm="1">
        <f t="array" ref="H185">IFERROR(_xlfn.ARRAYTOTEXT(_xlfn.UNIQUE(_xlfn._xlws.FILTER(ubox[Failed Instance],(ubox[FirstError - IP (name)]=H$1)*(ubox[VisualID]=A185))),0),"")</f>
        <v/>
      </c>
    </row>
    <row r="186" spans="2:8" x14ac:dyDescent="0.3">
      <c r="B186" s="2" t="str">
        <f t="shared" ref="B186:B210" si="4">_xlfn.TEXTJOIN(", ",1,D186:H186)</f>
        <v/>
      </c>
      <c r="D186" s="2" t="str" cm="1">
        <f t="array" ref="D186">IFERROR(_xlfn.ARRAYTOTEXT(_xlfn.UNIQUE(_xlfn._xlws.FILTER(ubox[Failed Instance],(ubox[FirstError - IP (name)]=D$1)*(ubox[VisualID]=A186))),0),"")</f>
        <v/>
      </c>
      <c r="E186" s="2" t="str" cm="1">
        <f t="array" ref="E186">IFERROR(_xlfn.ARRAYTOTEXT(_xlfn.UNIQUE(_xlfn._xlws.FILTER(ubox[Failed Instance],(ubox[FirstError - IP (name)]=E$1)*(ubox[VisualID]=A186))),0),"")</f>
        <v/>
      </c>
      <c r="F186" s="2" t="str" cm="1">
        <f t="array" ref="F186">IFERROR(_xlfn.ARRAYTOTEXT(_xlfn.UNIQUE(_xlfn._xlws.FILTER(ubox[Failed Instance],(ubox[FirstError - IP (name)]=F$1)*(ubox[VisualID]=A186))),0),"")</f>
        <v/>
      </c>
      <c r="G186" s="2" t="str" cm="1">
        <f t="array" ref="G186">IFERROR(_xlfn.ARRAYTOTEXT(_xlfn.UNIQUE(_xlfn._xlws.FILTER(ubox[Failed Instance],(ubox[FirstError - IP (name)]=G$1)*(ubox[VisualID]=A186))),0),"")</f>
        <v/>
      </c>
      <c r="H186" s="2" t="str" cm="1">
        <f t="array" ref="H186">IFERROR(_xlfn.ARRAYTOTEXT(_xlfn.UNIQUE(_xlfn._xlws.FILTER(ubox[Failed Instance],(ubox[FirstError - IP (name)]=H$1)*(ubox[VisualID]=A186))),0),"")</f>
        <v/>
      </c>
    </row>
    <row r="187" spans="2:8" x14ac:dyDescent="0.3">
      <c r="B187" s="2" t="str">
        <f t="shared" si="4"/>
        <v/>
      </c>
      <c r="D187" s="2" t="str" cm="1">
        <f t="array" ref="D187">IFERROR(_xlfn.ARRAYTOTEXT(_xlfn.UNIQUE(_xlfn._xlws.FILTER(ubox[Failed Instance],(ubox[FirstError - IP (name)]=D$1)*(ubox[VisualID]=A187))),0),"")</f>
        <v/>
      </c>
      <c r="E187" s="2" t="str" cm="1">
        <f t="array" ref="E187">IFERROR(_xlfn.ARRAYTOTEXT(_xlfn.UNIQUE(_xlfn._xlws.FILTER(ubox[Failed Instance],(ubox[FirstError - IP (name)]=E$1)*(ubox[VisualID]=A187))),0),"")</f>
        <v/>
      </c>
      <c r="F187" s="2" t="str" cm="1">
        <f t="array" ref="F187">IFERROR(_xlfn.ARRAYTOTEXT(_xlfn.UNIQUE(_xlfn._xlws.FILTER(ubox[Failed Instance],(ubox[FirstError - IP (name)]=F$1)*(ubox[VisualID]=A187))),0),"")</f>
        <v/>
      </c>
      <c r="G187" s="2" t="str" cm="1">
        <f t="array" ref="G187">IFERROR(_xlfn.ARRAYTOTEXT(_xlfn.UNIQUE(_xlfn._xlws.FILTER(ubox[Failed Instance],(ubox[FirstError - IP (name)]=G$1)*(ubox[VisualID]=A187))),0),"")</f>
        <v/>
      </c>
      <c r="H187" s="2" t="str" cm="1">
        <f t="array" ref="H187">IFERROR(_xlfn.ARRAYTOTEXT(_xlfn.UNIQUE(_xlfn._xlws.FILTER(ubox[Failed Instance],(ubox[FirstError - IP (name)]=H$1)*(ubox[VisualID]=A187))),0),"")</f>
        <v/>
      </c>
    </row>
    <row r="188" spans="2:8" x14ac:dyDescent="0.3">
      <c r="B188" s="2" t="str">
        <f t="shared" si="4"/>
        <v/>
      </c>
      <c r="D188" s="2" t="str" cm="1">
        <f t="array" ref="D188">IFERROR(_xlfn.ARRAYTOTEXT(_xlfn.UNIQUE(_xlfn._xlws.FILTER(ubox[Failed Instance],(ubox[FirstError - IP (name)]=D$1)*(ubox[VisualID]=A188))),0),"")</f>
        <v/>
      </c>
      <c r="E188" s="2" t="str" cm="1">
        <f t="array" ref="E188">IFERROR(_xlfn.ARRAYTOTEXT(_xlfn.UNIQUE(_xlfn._xlws.FILTER(ubox[Failed Instance],(ubox[FirstError - IP (name)]=E$1)*(ubox[VisualID]=A188))),0),"")</f>
        <v/>
      </c>
      <c r="F188" s="2" t="str" cm="1">
        <f t="array" ref="F188">IFERROR(_xlfn.ARRAYTOTEXT(_xlfn.UNIQUE(_xlfn._xlws.FILTER(ubox[Failed Instance],(ubox[FirstError - IP (name)]=F$1)*(ubox[VisualID]=A188))),0),"")</f>
        <v/>
      </c>
      <c r="G188" s="2" t="str" cm="1">
        <f t="array" ref="G188">IFERROR(_xlfn.ARRAYTOTEXT(_xlfn.UNIQUE(_xlfn._xlws.FILTER(ubox[Failed Instance],(ubox[FirstError - IP (name)]=G$1)*(ubox[VisualID]=A188))),0),"")</f>
        <v/>
      </c>
      <c r="H188" s="2" t="str" cm="1">
        <f t="array" ref="H188">IFERROR(_xlfn.ARRAYTOTEXT(_xlfn.UNIQUE(_xlfn._xlws.FILTER(ubox[Failed Instance],(ubox[FirstError - IP (name)]=H$1)*(ubox[VisualID]=A188))),0),"")</f>
        <v/>
      </c>
    </row>
    <row r="189" spans="2:8" x14ac:dyDescent="0.3">
      <c r="B189" s="2" t="str">
        <f t="shared" si="4"/>
        <v/>
      </c>
      <c r="D189" s="2" t="str" cm="1">
        <f t="array" ref="D189">IFERROR(_xlfn.ARRAYTOTEXT(_xlfn.UNIQUE(_xlfn._xlws.FILTER(ubox[Failed Instance],(ubox[FirstError - IP (name)]=D$1)*(ubox[VisualID]=A189))),0),"")</f>
        <v/>
      </c>
      <c r="E189" s="2" t="str" cm="1">
        <f t="array" ref="E189">IFERROR(_xlfn.ARRAYTOTEXT(_xlfn.UNIQUE(_xlfn._xlws.FILTER(ubox[Failed Instance],(ubox[FirstError - IP (name)]=E$1)*(ubox[VisualID]=A189))),0),"")</f>
        <v/>
      </c>
      <c r="F189" s="2" t="str" cm="1">
        <f t="array" ref="F189">IFERROR(_xlfn.ARRAYTOTEXT(_xlfn.UNIQUE(_xlfn._xlws.FILTER(ubox[Failed Instance],(ubox[FirstError - IP (name)]=F$1)*(ubox[VisualID]=A189))),0),"")</f>
        <v/>
      </c>
      <c r="G189" s="2" t="str" cm="1">
        <f t="array" ref="G189">IFERROR(_xlfn.ARRAYTOTEXT(_xlfn.UNIQUE(_xlfn._xlws.FILTER(ubox[Failed Instance],(ubox[FirstError - IP (name)]=G$1)*(ubox[VisualID]=A189))),0),"")</f>
        <v/>
      </c>
      <c r="H189" s="2" t="str" cm="1">
        <f t="array" ref="H189">IFERROR(_xlfn.ARRAYTOTEXT(_xlfn.UNIQUE(_xlfn._xlws.FILTER(ubox[Failed Instance],(ubox[FirstError - IP (name)]=H$1)*(ubox[VisualID]=A189))),0),"")</f>
        <v/>
      </c>
    </row>
    <row r="190" spans="2:8" x14ac:dyDescent="0.3">
      <c r="B190" s="2" t="str">
        <f t="shared" si="4"/>
        <v/>
      </c>
      <c r="D190" s="2" t="str" cm="1">
        <f t="array" ref="D190">IFERROR(_xlfn.ARRAYTOTEXT(_xlfn.UNIQUE(_xlfn._xlws.FILTER(ubox[Failed Instance],(ubox[FirstError - IP (name)]=D$1)*(ubox[VisualID]=A190))),0),"")</f>
        <v/>
      </c>
      <c r="E190" s="2" t="str" cm="1">
        <f t="array" ref="E190">IFERROR(_xlfn.ARRAYTOTEXT(_xlfn.UNIQUE(_xlfn._xlws.FILTER(ubox[Failed Instance],(ubox[FirstError - IP (name)]=E$1)*(ubox[VisualID]=A190))),0),"")</f>
        <v/>
      </c>
      <c r="F190" s="2" t="str" cm="1">
        <f t="array" ref="F190">IFERROR(_xlfn.ARRAYTOTEXT(_xlfn.UNIQUE(_xlfn._xlws.FILTER(ubox[Failed Instance],(ubox[FirstError - IP (name)]=F$1)*(ubox[VisualID]=A190))),0),"")</f>
        <v/>
      </c>
      <c r="G190" s="2" t="str" cm="1">
        <f t="array" ref="G190">IFERROR(_xlfn.ARRAYTOTEXT(_xlfn.UNIQUE(_xlfn._xlws.FILTER(ubox[Failed Instance],(ubox[FirstError - IP (name)]=G$1)*(ubox[VisualID]=A190))),0),"")</f>
        <v/>
      </c>
      <c r="H190" s="2" t="str" cm="1">
        <f t="array" ref="H190">IFERROR(_xlfn.ARRAYTOTEXT(_xlfn.UNIQUE(_xlfn._xlws.FILTER(ubox[Failed Instance],(ubox[FirstError - IP (name)]=H$1)*(ubox[VisualID]=A190))),0),"")</f>
        <v/>
      </c>
    </row>
    <row r="191" spans="2:8" x14ac:dyDescent="0.3">
      <c r="B191" s="2" t="str">
        <f t="shared" si="4"/>
        <v/>
      </c>
      <c r="D191" s="2" t="str" cm="1">
        <f t="array" ref="D191">IFERROR(_xlfn.ARRAYTOTEXT(_xlfn.UNIQUE(_xlfn._xlws.FILTER(ubox[Failed Instance],(ubox[FirstError - IP (name)]=D$1)*(ubox[VisualID]=A191))),0),"")</f>
        <v/>
      </c>
      <c r="E191" s="2" t="str" cm="1">
        <f t="array" ref="E191">IFERROR(_xlfn.ARRAYTOTEXT(_xlfn.UNIQUE(_xlfn._xlws.FILTER(ubox[Failed Instance],(ubox[FirstError - IP (name)]=E$1)*(ubox[VisualID]=A191))),0),"")</f>
        <v/>
      </c>
      <c r="F191" s="2" t="str" cm="1">
        <f t="array" ref="F191">IFERROR(_xlfn.ARRAYTOTEXT(_xlfn.UNIQUE(_xlfn._xlws.FILTER(ubox[Failed Instance],(ubox[FirstError - IP (name)]=F$1)*(ubox[VisualID]=A191))),0),"")</f>
        <v/>
      </c>
      <c r="G191" s="2" t="str" cm="1">
        <f t="array" ref="G191">IFERROR(_xlfn.ARRAYTOTEXT(_xlfn.UNIQUE(_xlfn._xlws.FILTER(ubox[Failed Instance],(ubox[FirstError - IP (name)]=G$1)*(ubox[VisualID]=A191))),0),"")</f>
        <v/>
      </c>
      <c r="H191" s="2" t="str" cm="1">
        <f t="array" ref="H191">IFERROR(_xlfn.ARRAYTOTEXT(_xlfn.UNIQUE(_xlfn._xlws.FILTER(ubox[Failed Instance],(ubox[FirstError - IP (name)]=H$1)*(ubox[VisualID]=A191))),0),"")</f>
        <v/>
      </c>
    </row>
    <row r="192" spans="2:8" x14ac:dyDescent="0.3">
      <c r="B192" s="2" t="str">
        <f t="shared" si="4"/>
        <v/>
      </c>
      <c r="D192" s="2" t="str" cm="1">
        <f t="array" ref="D192">IFERROR(_xlfn.ARRAYTOTEXT(_xlfn.UNIQUE(_xlfn._xlws.FILTER(ubox[Failed Instance],(ubox[FirstError - IP (name)]=D$1)*(ubox[VisualID]=A192))),0),"")</f>
        <v/>
      </c>
      <c r="E192" s="2" t="str" cm="1">
        <f t="array" ref="E192">IFERROR(_xlfn.ARRAYTOTEXT(_xlfn.UNIQUE(_xlfn._xlws.FILTER(ubox[Failed Instance],(ubox[FirstError - IP (name)]=E$1)*(ubox[VisualID]=A192))),0),"")</f>
        <v/>
      </c>
      <c r="F192" s="2" t="str" cm="1">
        <f t="array" ref="F192">IFERROR(_xlfn.ARRAYTOTEXT(_xlfn.UNIQUE(_xlfn._xlws.FILTER(ubox[Failed Instance],(ubox[FirstError - IP (name)]=F$1)*(ubox[VisualID]=A192))),0),"")</f>
        <v/>
      </c>
      <c r="G192" s="2" t="str" cm="1">
        <f t="array" ref="G192">IFERROR(_xlfn.ARRAYTOTEXT(_xlfn.UNIQUE(_xlfn._xlws.FILTER(ubox[Failed Instance],(ubox[FirstError - IP (name)]=G$1)*(ubox[VisualID]=A192))),0),"")</f>
        <v/>
      </c>
      <c r="H192" s="2" t="str" cm="1">
        <f t="array" ref="H192">IFERROR(_xlfn.ARRAYTOTEXT(_xlfn.UNIQUE(_xlfn._xlws.FILTER(ubox[Failed Instance],(ubox[FirstError - IP (name)]=H$1)*(ubox[VisualID]=A192))),0),"")</f>
        <v/>
      </c>
    </row>
    <row r="193" spans="2:8" x14ac:dyDescent="0.3">
      <c r="B193" s="2" t="str">
        <f t="shared" si="4"/>
        <v/>
      </c>
      <c r="D193" s="2" t="str" cm="1">
        <f t="array" ref="D193">IFERROR(_xlfn.ARRAYTOTEXT(_xlfn.UNIQUE(_xlfn._xlws.FILTER(ubox[Failed Instance],(ubox[FirstError - IP (name)]=D$1)*(ubox[VisualID]=A193))),0),"")</f>
        <v/>
      </c>
      <c r="E193" s="2" t="str" cm="1">
        <f t="array" ref="E193">IFERROR(_xlfn.ARRAYTOTEXT(_xlfn.UNIQUE(_xlfn._xlws.FILTER(ubox[Failed Instance],(ubox[FirstError - IP (name)]=E$1)*(ubox[VisualID]=A193))),0),"")</f>
        <v/>
      </c>
      <c r="F193" s="2" t="str" cm="1">
        <f t="array" ref="F193">IFERROR(_xlfn.ARRAYTOTEXT(_xlfn.UNIQUE(_xlfn._xlws.FILTER(ubox[Failed Instance],(ubox[FirstError - IP (name)]=F$1)*(ubox[VisualID]=A193))),0),"")</f>
        <v/>
      </c>
      <c r="G193" s="2" t="str" cm="1">
        <f t="array" ref="G193">IFERROR(_xlfn.ARRAYTOTEXT(_xlfn.UNIQUE(_xlfn._xlws.FILTER(ubox[Failed Instance],(ubox[FirstError - IP (name)]=G$1)*(ubox[VisualID]=A193))),0),"")</f>
        <v/>
      </c>
      <c r="H193" s="2" t="str" cm="1">
        <f t="array" ref="H193">IFERROR(_xlfn.ARRAYTOTEXT(_xlfn.UNIQUE(_xlfn._xlws.FILTER(ubox[Failed Instance],(ubox[FirstError - IP (name)]=H$1)*(ubox[VisualID]=A193))),0),"")</f>
        <v/>
      </c>
    </row>
    <row r="194" spans="2:8" x14ac:dyDescent="0.3">
      <c r="B194" s="2" t="str">
        <f t="shared" si="4"/>
        <v/>
      </c>
      <c r="D194" s="2" t="str" cm="1">
        <f t="array" ref="D194">IFERROR(_xlfn.ARRAYTOTEXT(_xlfn.UNIQUE(_xlfn._xlws.FILTER(ubox[Failed Instance],(ubox[FirstError - IP (name)]=D$1)*(ubox[VisualID]=A194))),0),"")</f>
        <v/>
      </c>
      <c r="E194" s="2" t="str" cm="1">
        <f t="array" ref="E194">IFERROR(_xlfn.ARRAYTOTEXT(_xlfn.UNIQUE(_xlfn._xlws.FILTER(ubox[Failed Instance],(ubox[FirstError - IP (name)]=E$1)*(ubox[VisualID]=A194))),0),"")</f>
        <v/>
      </c>
      <c r="F194" s="2" t="str" cm="1">
        <f t="array" ref="F194">IFERROR(_xlfn.ARRAYTOTEXT(_xlfn.UNIQUE(_xlfn._xlws.FILTER(ubox[Failed Instance],(ubox[FirstError - IP (name)]=F$1)*(ubox[VisualID]=A194))),0),"")</f>
        <v/>
      </c>
      <c r="G194" s="2" t="str" cm="1">
        <f t="array" ref="G194">IFERROR(_xlfn.ARRAYTOTEXT(_xlfn.UNIQUE(_xlfn._xlws.FILTER(ubox[Failed Instance],(ubox[FirstError - IP (name)]=G$1)*(ubox[VisualID]=A194))),0),"")</f>
        <v/>
      </c>
      <c r="H194" s="2" t="str" cm="1">
        <f t="array" ref="H194">IFERROR(_xlfn.ARRAYTOTEXT(_xlfn.UNIQUE(_xlfn._xlws.FILTER(ubox[Failed Instance],(ubox[FirstError - IP (name)]=H$1)*(ubox[VisualID]=A194))),0),"")</f>
        <v/>
      </c>
    </row>
    <row r="195" spans="2:8" x14ac:dyDescent="0.3">
      <c r="B195" s="2" t="str">
        <f t="shared" si="4"/>
        <v/>
      </c>
      <c r="D195" s="2" t="str" cm="1">
        <f t="array" ref="D195">IFERROR(_xlfn.ARRAYTOTEXT(_xlfn.UNIQUE(_xlfn._xlws.FILTER(ubox[Failed Instance],(ubox[FirstError - IP (name)]=D$1)*(ubox[VisualID]=A195))),0),"")</f>
        <v/>
      </c>
      <c r="E195" s="2" t="str" cm="1">
        <f t="array" ref="E195">IFERROR(_xlfn.ARRAYTOTEXT(_xlfn.UNIQUE(_xlfn._xlws.FILTER(ubox[Failed Instance],(ubox[FirstError - IP (name)]=E$1)*(ubox[VisualID]=A195))),0),"")</f>
        <v/>
      </c>
      <c r="F195" s="2" t="str" cm="1">
        <f t="array" ref="F195">IFERROR(_xlfn.ARRAYTOTEXT(_xlfn.UNIQUE(_xlfn._xlws.FILTER(ubox[Failed Instance],(ubox[FirstError - IP (name)]=F$1)*(ubox[VisualID]=A195))),0),"")</f>
        <v/>
      </c>
      <c r="G195" s="2" t="str" cm="1">
        <f t="array" ref="G195">IFERROR(_xlfn.ARRAYTOTEXT(_xlfn.UNIQUE(_xlfn._xlws.FILTER(ubox[Failed Instance],(ubox[FirstError - IP (name)]=G$1)*(ubox[VisualID]=A195))),0),"")</f>
        <v/>
      </c>
      <c r="H195" s="2" t="str" cm="1">
        <f t="array" ref="H195">IFERROR(_xlfn.ARRAYTOTEXT(_xlfn.UNIQUE(_xlfn._xlws.FILTER(ubox[Failed Instance],(ubox[FirstError - IP (name)]=H$1)*(ubox[VisualID]=A195))),0),"")</f>
        <v/>
      </c>
    </row>
    <row r="196" spans="2:8" x14ac:dyDescent="0.3">
      <c r="B196" s="2" t="str">
        <f t="shared" si="4"/>
        <v/>
      </c>
      <c r="D196" s="2" t="str" cm="1">
        <f t="array" ref="D196">IFERROR(_xlfn.ARRAYTOTEXT(_xlfn.UNIQUE(_xlfn._xlws.FILTER(ubox[Failed Instance],(ubox[FirstError - IP (name)]=D$1)*(ubox[VisualID]=A196))),0),"")</f>
        <v/>
      </c>
      <c r="E196" s="2" t="str" cm="1">
        <f t="array" ref="E196">IFERROR(_xlfn.ARRAYTOTEXT(_xlfn.UNIQUE(_xlfn._xlws.FILTER(ubox[Failed Instance],(ubox[FirstError - IP (name)]=E$1)*(ubox[VisualID]=A196))),0),"")</f>
        <v/>
      </c>
      <c r="F196" s="2" t="str" cm="1">
        <f t="array" ref="F196">IFERROR(_xlfn.ARRAYTOTEXT(_xlfn.UNIQUE(_xlfn._xlws.FILTER(ubox[Failed Instance],(ubox[FirstError - IP (name)]=F$1)*(ubox[VisualID]=A196))),0),"")</f>
        <v/>
      </c>
      <c r="G196" s="2" t="str" cm="1">
        <f t="array" ref="G196">IFERROR(_xlfn.ARRAYTOTEXT(_xlfn.UNIQUE(_xlfn._xlws.FILTER(ubox[Failed Instance],(ubox[FirstError - IP (name)]=G$1)*(ubox[VisualID]=A196))),0),"")</f>
        <v/>
      </c>
      <c r="H196" s="2" t="str" cm="1">
        <f t="array" ref="H196">IFERROR(_xlfn.ARRAYTOTEXT(_xlfn.UNIQUE(_xlfn._xlws.FILTER(ubox[Failed Instance],(ubox[FirstError - IP (name)]=H$1)*(ubox[VisualID]=A196))),0),"")</f>
        <v/>
      </c>
    </row>
    <row r="197" spans="2:8" x14ac:dyDescent="0.3">
      <c r="B197" s="2" t="str">
        <f t="shared" si="4"/>
        <v/>
      </c>
      <c r="D197" s="2" t="str" cm="1">
        <f t="array" ref="D197">IFERROR(_xlfn.ARRAYTOTEXT(_xlfn.UNIQUE(_xlfn._xlws.FILTER(ubox[Failed Instance],(ubox[FirstError - IP (name)]=D$1)*(ubox[VisualID]=A197))),0),"")</f>
        <v/>
      </c>
      <c r="E197" s="2" t="str" cm="1">
        <f t="array" ref="E197">IFERROR(_xlfn.ARRAYTOTEXT(_xlfn.UNIQUE(_xlfn._xlws.FILTER(ubox[Failed Instance],(ubox[FirstError - IP (name)]=E$1)*(ubox[VisualID]=A197))),0),"")</f>
        <v/>
      </c>
      <c r="F197" s="2" t="str" cm="1">
        <f t="array" ref="F197">IFERROR(_xlfn.ARRAYTOTEXT(_xlfn.UNIQUE(_xlfn._xlws.FILTER(ubox[Failed Instance],(ubox[FirstError - IP (name)]=F$1)*(ubox[VisualID]=A197))),0),"")</f>
        <v/>
      </c>
      <c r="G197" s="2" t="str" cm="1">
        <f t="array" ref="G197">IFERROR(_xlfn.ARRAYTOTEXT(_xlfn.UNIQUE(_xlfn._xlws.FILTER(ubox[Failed Instance],(ubox[FirstError - IP (name)]=G$1)*(ubox[VisualID]=A197))),0),"")</f>
        <v/>
      </c>
      <c r="H197" s="2" t="str" cm="1">
        <f t="array" ref="H197">IFERROR(_xlfn.ARRAYTOTEXT(_xlfn.UNIQUE(_xlfn._xlws.FILTER(ubox[Failed Instance],(ubox[FirstError - IP (name)]=H$1)*(ubox[VisualID]=A197))),0),"")</f>
        <v/>
      </c>
    </row>
    <row r="198" spans="2:8" x14ac:dyDescent="0.3">
      <c r="B198" s="2" t="str">
        <f t="shared" si="4"/>
        <v/>
      </c>
      <c r="D198" s="2" t="str" cm="1">
        <f t="array" ref="D198">IFERROR(_xlfn.ARRAYTOTEXT(_xlfn.UNIQUE(_xlfn._xlws.FILTER(ubox[Failed Instance],(ubox[FirstError - IP (name)]=D$1)*(ubox[VisualID]=A198))),0),"")</f>
        <v/>
      </c>
      <c r="E198" s="2" t="str" cm="1">
        <f t="array" ref="E198">IFERROR(_xlfn.ARRAYTOTEXT(_xlfn.UNIQUE(_xlfn._xlws.FILTER(ubox[Failed Instance],(ubox[FirstError - IP (name)]=E$1)*(ubox[VisualID]=A198))),0),"")</f>
        <v/>
      </c>
      <c r="F198" s="2" t="str" cm="1">
        <f t="array" ref="F198">IFERROR(_xlfn.ARRAYTOTEXT(_xlfn.UNIQUE(_xlfn._xlws.FILTER(ubox[Failed Instance],(ubox[FirstError - IP (name)]=F$1)*(ubox[VisualID]=A198))),0),"")</f>
        <v/>
      </c>
      <c r="G198" s="2" t="str" cm="1">
        <f t="array" ref="G198">IFERROR(_xlfn.ARRAYTOTEXT(_xlfn.UNIQUE(_xlfn._xlws.FILTER(ubox[Failed Instance],(ubox[FirstError - IP (name)]=G$1)*(ubox[VisualID]=A198))),0),"")</f>
        <v/>
      </c>
      <c r="H198" s="2" t="str" cm="1">
        <f t="array" ref="H198">IFERROR(_xlfn.ARRAYTOTEXT(_xlfn.UNIQUE(_xlfn._xlws.FILTER(ubox[Failed Instance],(ubox[FirstError - IP (name)]=H$1)*(ubox[VisualID]=A198))),0),"")</f>
        <v/>
      </c>
    </row>
    <row r="199" spans="2:8" x14ac:dyDescent="0.3">
      <c r="B199" s="2" t="str">
        <f t="shared" si="4"/>
        <v/>
      </c>
      <c r="D199" s="2" t="str" cm="1">
        <f t="array" ref="D199">IFERROR(_xlfn.ARRAYTOTEXT(_xlfn.UNIQUE(_xlfn._xlws.FILTER(ubox[Failed Instance],(ubox[FirstError - IP (name)]=D$1)*(ubox[VisualID]=A199))),0),"")</f>
        <v/>
      </c>
      <c r="E199" s="2" t="str" cm="1">
        <f t="array" ref="E199">IFERROR(_xlfn.ARRAYTOTEXT(_xlfn.UNIQUE(_xlfn._xlws.FILTER(ubox[Failed Instance],(ubox[FirstError - IP (name)]=E$1)*(ubox[VisualID]=A199))),0),"")</f>
        <v/>
      </c>
      <c r="F199" s="2" t="str" cm="1">
        <f t="array" ref="F199">IFERROR(_xlfn.ARRAYTOTEXT(_xlfn.UNIQUE(_xlfn._xlws.FILTER(ubox[Failed Instance],(ubox[FirstError - IP (name)]=F$1)*(ubox[VisualID]=A199))),0),"")</f>
        <v/>
      </c>
      <c r="G199" s="2" t="str" cm="1">
        <f t="array" ref="G199">IFERROR(_xlfn.ARRAYTOTEXT(_xlfn.UNIQUE(_xlfn._xlws.FILTER(ubox[Failed Instance],(ubox[FirstError - IP (name)]=G$1)*(ubox[VisualID]=A199))),0),"")</f>
        <v/>
      </c>
      <c r="H199" s="2" t="str" cm="1">
        <f t="array" ref="H199">IFERROR(_xlfn.ARRAYTOTEXT(_xlfn.UNIQUE(_xlfn._xlws.FILTER(ubox[Failed Instance],(ubox[FirstError - IP (name)]=H$1)*(ubox[VisualID]=A199))),0),"")</f>
        <v/>
      </c>
    </row>
    <row r="200" spans="2:8" x14ac:dyDescent="0.3">
      <c r="B200" s="2" t="str">
        <f t="shared" si="4"/>
        <v/>
      </c>
      <c r="D200" s="2" t="str" cm="1">
        <f t="array" ref="D200">IFERROR(_xlfn.ARRAYTOTEXT(_xlfn.UNIQUE(_xlfn._xlws.FILTER(ubox[Failed Instance],(ubox[FirstError - IP (name)]=D$1)*(ubox[VisualID]=A200))),0),"")</f>
        <v/>
      </c>
      <c r="E200" s="2" t="str" cm="1">
        <f t="array" ref="E200">IFERROR(_xlfn.ARRAYTOTEXT(_xlfn.UNIQUE(_xlfn._xlws.FILTER(ubox[Failed Instance],(ubox[FirstError - IP (name)]=E$1)*(ubox[VisualID]=A200))),0),"")</f>
        <v/>
      </c>
      <c r="F200" s="2" t="str" cm="1">
        <f t="array" ref="F200">IFERROR(_xlfn.ARRAYTOTEXT(_xlfn.UNIQUE(_xlfn._xlws.FILTER(ubox[Failed Instance],(ubox[FirstError - IP (name)]=F$1)*(ubox[VisualID]=A200))),0),"")</f>
        <v/>
      </c>
      <c r="G200" s="2" t="str" cm="1">
        <f t="array" ref="G200">IFERROR(_xlfn.ARRAYTOTEXT(_xlfn.UNIQUE(_xlfn._xlws.FILTER(ubox[Failed Instance],(ubox[FirstError - IP (name)]=G$1)*(ubox[VisualID]=A200))),0),"")</f>
        <v/>
      </c>
      <c r="H200" s="2" t="str" cm="1">
        <f t="array" ref="H200">IFERROR(_xlfn.ARRAYTOTEXT(_xlfn.UNIQUE(_xlfn._xlws.FILTER(ubox[Failed Instance],(ubox[FirstError - IP (name)]=H$1)*(ubox[VisualID]=A200))),0),"")</f>
        <v/>
      </c>
    </row>
    <row r="201" spans="2:8" x14ac:dyDescent="0.3">
      <c r="B201" s="2" t="str">
        <f t="shared" si="4"/>
        <v/>
      </c>
      <c r="D201" s="2" t="str" cm="1">
        <f t="array" ref="D201">IFERROR(_xlfn.ARRAYTOTEXT(_xlfn.UNIQUE(_xlfn._xlws.FILTER(ubox[Failed Instance],(ubox[FirstError - IP (name)]=D$1)*(ubox[VisualID]=A201))),0),"")</f>
        <v/>
      </c>
      <c r="E201" s="2" t="str" cm="1">
        <f t="array" ref="E201">IFERROR(_xlfn.ARRAYTOTEXT(_xlfn.UNIQUE(_xlfn._xlws.FILTER(ubox[Failed Instance],(ubox[FirstError - IP (name)]=E$1)*(ubox[VisualID]=A201))),0),"")</f>
        <v/>
      </c>
      <c r="F201" s="2" t="str" cm="1">
        <f t="array" ref="F201">IFERROR(_xlfn.ARRAYTOTEXT(_xlfn.UNIQUE(_xlfn._xlws.FILTER(ubox[Failed Instance],(ubox[FirstError - IP (name)]=F$1)*(ubox[VisualID]=A201))),0),"")</f>
        <v/>
      </c>
      <c r="G201" s="2" t="str" cm="1">
        <f t="array" ref="G201">IFERROR(_xlfn.ARRAYTOTEXT(_xlfn.UNIQUE(_xlfn._xlws.FILTER(ubox[Failed Instance],(ubox[FirstError - IP (name)]=G$1)*(ubox[VisualID]=A201))),0),"")</f>
        <v/>
      </c>
      <c r="H201" s="2" t="str" cm="1">
        <f t="array" ref="H201">IFERROR(_xlfn.ARRAYTOTEXT(_xlfn.UNIQUE(_xlfn._xlws.FILTER(ubox[Failed Instance],(ubox[FirstError - IP (name)]=H$1)*(ubox[VisualID]=A201))),0),"")</f>
        <v/>
      </c>
    </row>
    <row r="202" spans="2:8" x14ac:dyDescent="0.3">
      <c r="B202" s="2" t="str">
        <f t="shared" si="4"/>
        <v/>
      </c>
      <c r="D202" s="2" t="str" cm="1">
        <f t="array" ref="D202">IFERROR(_xlfn.ARRAYTOTEXT(_xlfn.UNIQUE(_xlfn._xlws.FILTER(ubox[Failed Instance],(ubox[FirstError - IP (name)]=D$1)*(ubox[VisualID]=A202))),0),"")</f>
        <v/>
      </c>
      <c r="E202" s="2" t="str" cm="1">
        <f t="array" ref="E202">IFERROR(_xlfn.ARRAYTOTEXT(_xlfn.UNIQUE(_xlfn._xlws.FILTER(ubox[Failed Instance],(ubox[FirstError - IP (name)]=E$1)*(ubox[VisualID]=A202))),0),"")</f>
        <v/>
      </c>
      <c r="F202" s="2" t="str" cm="1">
        <f t="array" ref="F202">IFERROR(_xlfn.ARRAYTOTEXT(_xlfn.UNIQUE(_xlfn._xlws.FILTER(ubox[Failed Instance],(ubox[FirstError - IP (name)]=F$1)*(ubox[VisualID]=A202))),0),"")</f>
        <v/>
      </c>
      <c r="G202" s="2" t="str" cm="1">
        <f t="array" ref="G202">IFERROR(_xlfn.ARRAYTOTEXT(_xlfn.UNIQUE(_xlfn._xlws.FILTER(ubox[Failed Instance],(ubox[FirstError - IP (name)]=G$1)*(ubox[VisualID]=A202))),0),"")</f>
        <v/>
      </c>
      <c r="H202" s="2" t="str" cm="1">
        <f t="array" ref="H202">IFERROR(_xlfn.ARRAYTOTEXT(_xlfn.UNIQUE(_xlfn._xlws.FILTER(ubox[Failed Instance],(ubox[FirstError - IP (name)]=H$1)*(ubox[VisualID]=A202))),0),"")</f>
        <v/>
      </c>
    </row>
    <row r="203" spans="2:8" x14ac:dyDescent="0.3">
      <c r="B203" s="2" t="str">
        <f t="shared" si="4"/>
        <v/>
      </c>
      <c r="D203" s="2" t="str" cm="1">
        <f t="array" ref="D203">IFERROR(_xlfn.ARRAYTOTEXT(_xlfn.UNIQUE(_xlfn._xlws.FILTER(ubox[Failed Instance],(ubox[FirstError - IP (name)]=D$1)*(ubox[VisualID]=A203))),0),"")</f>
        <v/>
      </c>
      <c r="E203" s="2" t="str" cm="1">
        <f t="array" ref="E203">IFERROR(_xlfn.ARRAYTOTEXT(_xlfn.UNIQUE(_xlfn._xlws.FILTER(ubox[Failed Instance],(ubox[FirstError - IP (name)]=E$1)*(ubox[VisualID]=A203))),0),"")</f>
        <v/>
      </c>
      <c r="F203" s="2" t="str" cm="1">
        <f t="array" ref="F203">IFERROR(_xlfn.ARRAYTOTEXT(_xlfn.UNIQUE(_xlfn._xlws.FILTER(ubox[Failed Instance],(ubox[FirstError - IP (name)]=F$1)*(ubox[VisualID]=A203))),0),"")</f>
        <v/>
      </c>
      <c r="G203" s="2" t="str" cm="1">
        <f t="array" ref="G203">IFERROR(_xlfn.ARRAYTOTEXT(_xlfn.UNIQUE(_xlfn._xlws.FILTER(ubox[Failed Instance],(ubox[FirstError - IP (name)]=G$1)*(ubox[VisualID]=A203))),0),"")</f>
        <v/>
      </c>
      <c r="H203" s="2" t="str" cm="1">
        <f t="array" ref="H203">IFERROR(_xlfn.ARRAYTOTEXT(_xlfn.UNIQUE(_xlfn._xlws.FILTER(ubox[Failed Instance],(ubox[FirstError - IP (name)]=H$1)*(ubox[VisualID]=A203))),0),"")</f>
        <v/>
      </c>
    </row>
    <row r="204" spans="2:8" x14ac:dyDescent="0.3">
      <c r="B204" s="2" t="str">
        <f t="shared" si="4"/>
        <v/>
      </c>
      <c r="D204" s="2" t="str" cm="1">
        <f t="array" ref="D204">IFERROR(_xlfn.ARRAYTOTEXT(_xlfn.UNIQUE(_xlfn._xlws.FILTER(ubox[Failed Instance],(ubox[FirstError - IP (name)]=D$1)*(ubox[VisualID]=A204))),0),"")</f>
        <v/>
      </c>
      <c r="E204" s="2" t="str" cm="1">
        <f t="array" ref="E204">IFERROR(_xlfn.ARRAYTOTEXT(_xlfn.UNIQUE(_xlfn._xlws.FILTER(ubox[Failed Instance],(ubox[FirstError - IP (name)]=E$1)*(ubox[VisualID]=A204))),0),"")</f>
        <v/>
      </c>
      <c r="F204" s="2" t="str" cm="1">
        <f t="array" ref="F204">IFERROR(_xlfn.ARRAYTOTEXT(_xlfn.UNIQUE(_xlfn._xlws.FILTER(ubox[Failed Instance],(ubox[FirstError - IP (name)]=F$1)*(ubox[VisualID]=A204))),0),"")</f>
        <v/>
      </c>
      <c r="G204" s="2" t="str" cm="1">
        <f t="array" ref="G204">IFERROR(_xlfn.ARRAYTOTEXT(_xlfn.UNIQUE(_xlfn._xlws.FILTER(ubox[Failed Instance],(ubox[FirstError - IP (name)]=G$1)*(ubox[VisualID]=A204))),0),"")</f>
        <v/>
      </c>
      <c r="H204" s="2" t="str" cm="1">
        <f t="array" ref="H204">IFERROR(_xlfn.ARRAYTOTEXT(_xlfn.UNIQUE(_xlfn._xlws.FILTER(ubox[Failed Instance],(ubox[FirstError - IP (name)]=H$1)*(ubox[VisualID]=A204))),0),"")</f>
        <v/>
      </c>
    </row>
    <row r="205" spans="2:8" x14ac:dyDescent="0.3">
      <c r="B205" s="2" t="str">
        <f t="shared" si="4"/>
        <v/>
      </c>
      <c r="D205" s="2" t="str" cm="1">
        <f t="array" ref="D205">IFERROR(_xlfn.ARRAYTOTEXT(_xlfn.UNIQUE(_xlfn._xlws.FILTER(ubox[Failed Instance],(ubox[FirstError - IP (name)]=D$1)*(ubox[VisualID]=A205))),0),"")</f>
        <v/>
      </c>
      <c r="E205" s="2" t="str" cm="1">
        <f t="array" ref="E205">IFERROR(_xlfn.ARRAYTOTEXT(_xlfn.UNIQUE(_xlfn._xlws.FILTER(ubox[Failed Instance],(ubox[FirstError - IP (name)]=E$1)*(ubox[VisualID]=A205))),0),"")</f>
        <v/>
      </c>
      <c r="F205" s="2" t="str" cm="1">
        <f t="array" ref="F205">IFERROR(_xlfn.ARRAYTOTEXT(_xlfn.UNIQUE(_xlfn._xlws.FILTER(ubox[Failed Instance],(ubox[FirstError - IP (name)]=F$1)*(ubox[VisualID]=A205))),0),"")</f>
        <v/>
      </c>
      <c r="G205" s="2" t="str" cm="1">
        <f t="array" ref="G205">IFERROR(_xlfn.ARRAYTOTEXT(_xlfn.UNIQUE(_xlfn._xlws.FILTER(ubox[Failed Instance],(ubox[FirstError - IP (name)]=G$1)*(ubox[VisualID]=A205))),0),"")</f>
        <v/>
      </c>
      <c r="H205" s="2" t="str" cm="1">
        <f t="array" ref="H205">IFERROR(_xlfn.ARRAYTOTEXT(_xlfn.UNIQUE(_xlfn._xlws.FILTER(ubox[Failed Instance],(ubox[FirstError - IP (name)]=H$1)*(ubox[VisualID]=A205))),0),"")</f>
        <v/>
      </c>
    </row>
    <row r="206" spans="2:8" x14ac:dyDescent="0.3">
      <c r="B206" s="2" t="str">
        <f t="shared" si="4"/>
        <v/>
      </c>
      <c r="D206" s="2" t="str" cm="1">
        <f t="array" ref="D206">IFERROR(_xlfn.ARRAYTOTEXT(_xlfn.UNIQUE(_xlfn._xlws.FILTER(ubox[Failed Instance],(ubox[FirstError - IP (name)]=D$1)*(ubox[VisualID]=A206))),0),"")</f>
        <v/>
      </c>
      <c r="E206" s="2" t="str" cm="1">
        <f t="array" ref="E206">IFERROR(_xlfn.ARRAYTOTEXT(_xlfn.UNIQUE(_xlfn._xlws.FILTER(ubox[Failed Instance],(ubox[FirstError - IP (name)]=E$1)*(ubox[VisualID]=A206))),0),"")</f>
        <v/>
      </c>
      <c r="F206" s="2" t="str" cm="1">
        <f t="array" ref="F206">IFERROR(_xlfn.ARRAYTOTEXT(_xlfn.UNIQUE(_xlfn._xlws.FILTER(ubox[Failed Instance],(ubox[FirstError - IP (name)]=F$1)*(ubox[VisualID]=A206))),0),"")</f>
        <v/>
      </c>
      <c r="G206" s="2" t="str" cm="1">
        <f t="array" ref="G206">IFERROR(_xlfn.ARRAYTOTEXT(_xlfn.UNIQUE(_xlfn._xlws.FILTER(ubox[Failed Instance],(ubox[FirstError - IP (name)]=G$1)*(ubox[VisualID]=A206))),0),"")</f>
        <v/>
      </c>
      <c r="H206" s="2" t="str" cm="1">
        <f t="array" ref="H206">IFERROR(_xlfn.ARRAYTOTEXT(_xlfn.UNIQUE(_xlfn._xlws.FILTER(ubox[Failed Instance],(ubox[FirstError - IP (name)]=H$1)*(ubox[VisualID]=A206))),0),"")</f>
        <v/>
      </c>
    </row>
    <row r="207" spans="2:8" x14ac:dyDescent="0.3">
      <c r="B207" s="2" t="str">
        <f t="shared" si="4"/>
        <v/>
      </c>
      <c r="D207" s="2" t="str" cm="1">
        <f t="array" ref="D207">IFERROR(_xlfn.ARRAYTOTEXT(_xlfn.UNIQUE(_xlfn._xlws.FILTER(ubox[Failed Instance],(ubox[FirstError - IP (name)]=D$1)*(ubox[VisualID]=A207))),0),"")</f>
        <v/>
      </c>
      <c r="E207" s="2" t="str" cm="1">
        <f t="array" ref="E207">IFERROR(_xlfn.ARRAYTOTEXT(_xlfn.UNIQUE(_xlfn._xlws.FILTER(ubox[Failed Instance],(ubox[FirstError - IP (name)]=E$1)*(ubox[VisualID]=A207))),0),"")</f>
        <v/>
      </c>
      <c r="F207" s="2" t="str" cm="1">
        <f t="array" ref="F207">IFERROR(_xlfn.ARRAYTOTEXT(_xlfn.UNIQUE(_xlfn._xlws.FILTER(ubox[Failed Instance],(ubox[FirstError - IP (name)]=F$1)*(ubox[VisualID]=A207))),0),"")</f>
        <v/>
      </c>
      <c r="G207" s="2" t="str" cm="1">
        <f t="array" ref="G207">IFERROR(_xlfn.ARRAYTOTEXT(_xlfn.UNIQUE(_xlfn._xlws.FILTER(ubox[Failed Instance],(ubox[FirstError - IP (name)]=G$1)*(ubox[VisualID]=A207))),0),"")</f>
        <v/>
      </c>
      <c r="H207" s="2" t="str" cm="1">
        <f t="array" ref="H207">IFERROR(_xlfn.ARRAYTOTEXT(_xlfn.UNIQUE(_xlfn._xlws.FILTER(ubox[Failed Instance],(ubox[FirstError - IP (name)]=H$1)*(ubox[VisualID]=A207))),0),"")</f>
        <v/>
      </c>
    </row>
    <row r="208" spans="2:8" x14ac:dyDescent="0.3">
      <c r="B208" s="2" t="str">
        <f t="shared" si="4"/>
        <v/>
      </c>
      <c r="D208" s="2" t="str" cm="1">
        <f t="array" ref="D208">IFERROR(_xlfn.ARRAYTOTEXT(_xlfn.UNIQUE(_xlfn._xlws.FILTER(ubox[Failed Instance],(ubox[FirstError - IP (name)]=D$1)*(ubox[VisualID]=A208))),0),"")</f>
        <v/>
      </c>
      <c r="E208" s="2" t="str" cm="1">
        <f t="array" ref="E208">IFERROR(_xlfn.ARRAYTOTEXT(_xlfn.UNIQUE(_xlfn._xlws.FILTER(ubox[Failed Instance],(ubox[FirstError - IP (name)]=E$1)*(ubox[VisualID]=A208))),0),"")</f>
        <v/>
      </c>
      <c r="F208" s="2" t="str" cm="1">
        <f t="array" ref="F208">IFERROR(_xlfn.ARRAYTOTEXT(_xlfn.UNIQUE(_xlfn._xlws.FILTER(ubox[Failed Instance],(ubox[FirstError - IP (name)]=F$1)*(ubox[VisualID]=A208))),0),"")</f>
        <v/>
      </c>
      <c r="G208" s="2" t="str" cm="1">
        <f t="array" ref="G208">IFERROR(_xlfn.ARRAYTOTEXT(_xlfn.UNIQUE(_xlfn._xlws.FILTER(ubox[Failed Instance],(ubox[FirstError - IP (name)]=G$1)*(ubox[VisualID]=A208))),0),"")</f>
        <v/>
      </c>
      <c r="H208" s="2" t="str" cm="1">
        <f t="array" ref="H208">IFERROR(_xlfn.ARRAYTOTEXT(_xlfn.UNIQUE(_xlfn._xlws.FILTER(ubox[Failed Instance],(ubox[FirstError - IP (name)]=H$1)*(ubox[VisualID]=A208))),0),"")</f>
        <v/>
      </c>
    </row>
    <row r="209" spans="2:8" x14ac:dyDescent="0.3">
      <c r="B209" s="2" t="str">
        <f t="shared" si="4"/>
        <v/>
      </c>
      <c r="D209" s="2" t="str" cm="1">
        <f t="array" ref="D209">IFERROR(_xlfn.ARRAYTOTEXT(_xlfn.UNIQUE(_xlfn._xlws.FILTER(ubox[Failed Instance],(ubox[FirstError - IP (name)]=D$1)*(ubox[VisualID]=A209))),0),"")</f>
        <v/>
      </c>
      <c r="E209" s="2" t="str" cm="1">
        <f t="array" ref="E209">IFERROR(_xlfn.ARRAYTOTEXT(_xlfn.UNIQUE(_xlfn._xlws.FILTER(ubox[Failed Instance],(ubox[FirstError - IP (name)]=E$1)*(ubox[VisualID]=A209))),0),"")</f>
        <v/>
      </c>
      <c r="F209" s="2" t="str" cm="1">
        <f t="array" ref="F209">IFERROR(_xlfn.ARRAYTOTEXT(_xlfn.UNIQUE(_xlfn._xlws.FILTER(ubox[Failed Instance],(ubox[FirstError - IP (name)]=F$1)*(ubox[VisualID]=A209))),0),"")</f>
        <v/>
      </c>
      <c r="G209" s="2" t="str" cm="1">
        <f t="array" ref="G209">IFERROR(_xlfn.ARRAYTOTEXT(_xlfn.UNIQUE(_xlfn._xlws.FILTER(ubox[Failed Instance],(ubox[FirstError - IP (name)]=G$1)*(ubox[VisualID]=A209))),0),"")</f>
        <v/>
      </c>
      <c r="H209" s="2" t="str" cm="1">
        <f t="array" ref="H209">IFERROR(_xlfn.ARRAYTOTEXT(_xlfn.UNIQUE(_xlfn._xlws.FILTER(ubox[Failed Instance],(ubox[FirstError - IP (name)]=H$1)*(ubox[VisualID]=A209))),0),"")</f>
        <v/>
      </c>
    </row>
    <row r="210" spans="2:8" x14ac:dyDescent="0.3">
      <c r="B210" s="2" t="str">
        <f t="shared" si="4"/>
        <v/>
      </c>
      <c r="D210" s="2" t="str" cm="1">
        <f t="array" ref="D210">IFERROR(_xlfn.ARRAYTOTEXT(_xlfn.UNIQUE(_xlfn._xlws.FILTER(ubox[Failed Instance],(ubox[FirstError - IP (name)]=D$1)*(ubox[VisualID]=A210))),0),"")</f>
        <v/>
      </c>
      <c r="E210" s="2" t="str" cm="1">
        <f t="array" ref="E210">IFERROR(_xlfn.ARRAYTOTEXT(_xlfn.UNIQUE(_xlfn._xlws.FILTER(ubox[Failed Instance],(ubox[FirstError - IP (name)]=E$1)*(ubox[VisualID]=A210))),0),"")</f>
        <v/>
      </c>
      <c r="F210" s="2" t="str" cm="1">
        <f t="array" ref="F210">IFERROR(_xlfn.ARRAYTOTEXT(_xlfn.UNIQUE(_xlfn._xlws.FILTER(ubox[Failed Instance],(ubox[FirstError - IP (name)]=F$1)*(ubox[VisualID]=A210))),0),"")</f>
        <v/>
      </c>
      <c r="G210" s="2" t="str" cm="1">
        <f t="array" ref="G210">IFERROR(_xlfn.ARRAYTOTEXT(_xlfn.UNIQUE(_xlfn._xlws.FILTER(ubox[Failed Instance],(ubox[FirstError - IP (name)]=G$1)*(ubox[VisualID]=A210))),0),"")</f>
        <v/>
      </c>
      <c r="H210" s="2" t="str" cm="1">
        <f t="array" ref="H210">IFERROR(_xlfn.ARRAYTOTEXT(_xlfn.UNIQUE(_xlfn._xlws.FILTER(ubox[Failed Instance],(ubox[FirstError - IP (name)]=H$1)*(ubox[VisualID]=A210))),0),"")</f>
        <v/>
      </c>
    </row>
    <row r="211" spans="2:8" x14ac:dyDescent="0.3">
      <c r="B211" s="2" t="str">
        <f t="shared" ref="B211:B274" si="5">_xlfn.TEXTJOIN(", ",1,D211:H211)</f>
        <v/>
      </c>
      <c r="D211" s="2" t="str" cm="1">
        <f t="array" ref="D211">IFERROR(_xlfn.ARRAYTOTEXT(_xlfn.UNIQUE(_xlfn._xlws.FILTER(ubox[Failed Instance],(ubox[FirstError - IP (name)]=D$1)*(ubox[VisualID]=A211))),0),"")</f>
        <v/>
      </c>
      <c r="E211" s="2" t="str" cm="1">
        <f t="array" ref="E211">IFERROR(_xlfn.ARRAYTOTEXT(_xlfn.UNIQUE(_xlfn._xlws.FILTER(ubox[Failed Instance],(ubox[FirstError - IP (name)]=E$1)*(ubox[VisualID]=A211))),0),"")</f>
        <v/>
      </c>
      <c r="F211" s="2" t="str" cm="1">
        <f t="array" ref="F211">IFERROR(_xlfn.ARRAYTOTEXT(_xlfn.UNIQUE(_xlfn._xlws.FILTER(ubox[Failed Instance],(ubox[FirstError - IP (name)]=F$1)*(ubox[VisualID]=A211))),0),"")</f>
        <v/>
      </c>
      <c r="G211" s="2" t="str" cm="1">
        <f t="array" ref="G211">IFERROR(_xlfn.ARRAYTOTEXT(_xlfn.UNIQUE(_xlfn._xlws.FILTER(ubox[Failed Instance],(ubox[FirstError - IP (name)]=G$1)*(ubox[VisualID]=A211))),0),"")</f>
        <v/>
      </c>
      <c r="H211" s="2" t="str" cm="1">
        <f t="array" ref="H211">IFERROR(_xlfn.ARRAYTOTEXT(_xlfn.UNIQUE(_xlfn._xlws.FILTER(ubox[Failed Instance],(ubox[FirstError - IP (name)]=H$1)*(ubox[VisualID]=A211))),0),"")</f>
        <v/>
      </c>
    </row>
    <row r="212" spans="2:8" x14ac:dyDescent="0.3">
      <c r="B212" s="2" t="str">
        <f t="shared" si="5"/>
        <v/>
      </c>
      <c r="D212" s="2" t="str" cm="1">
        <f t="array" ref="D212">IFERROR(_xlfn.ARRAYTOTEXT(_xlfn.UNIQUE(_xlfn._xlws.FILTER(ubox[Failed Instance],(ubox[FirstError - IP (name)]=D$1)*(ubox[VisualID]=A212))),0),"")</f>
        <v/>
      </c>
      <c r="E212" s="2" t="str" cm="1">
        <f t="array" ref="E212">IFERROR(_xlfn.ARRAYTOTEXT(_xlfn.UNIQUE(_xlfn._xlws.FILTER(ubox[Failed Instance],(ubox[FirstError - IP (name)]=E$1)*(ubox[VisualID]=A212))),0),"")</f>
        <v/>
      </c>
      <c r="F212" s="2" t="str" cm="1">
        <f t="array" ref="F212">IFERROR(_xlfn.ARRAYTOTEXT(_xlfn.UNIQUE(_xlfn._xlws.FILTER(ubox[Failed Instance],(ubox[FirstError - IP (name)]=F$1)*(ubox[VisualID]=A212))),0),"")</f>
        <v/>
      </c>
      <c r="G212" s="2" t="str" cm="1">
        <f t="array" ref="G212">IFERROR(_xlfn.ARRAYTOTEXT(_xlfn.UNIQUE(_xlfn._xlws.FILTER(ubox[Failed Instance],(ubox[FirstError - IP (name)]=G$1)*(ubox[VisualID]=A212))),0),"")</f>
        <v/>
      </c>
      <c r="H212" s="2" t="str" cm="1">
        <f t="array" ref="H212">IFERROR(_xlfn.ARRAYTOTEXT(_xlfn.UNIQUE(_xlfn._xlws.FILTER(ubox[Failed Instance],(ubox[FirstError - IP (name)]=H$1)*(ubox[VisualID]=A212))),0),"")</f>
        <v/>
      </c>
    </row>
    <row r="213" spans="2:8" x14ac:dyDescent="0.3">
      <c r="B213" s="2" t="str">
        <f t="shared" si="5"/>
        <v/>
      </c>
      <c r="D213" s="2" t="str" cm="1">
        <f t="array" ref="D213">IFERROR(_xlfn.ARRAYTOTEXT(_xlfn.UNIQUE(_xlfn._xlws.FILTER(ubox[Failed Instance],(ubox[FirstError - IP (name)]=D$1)*(ubox[VisualID]=A213))),0),"")</f>
        <v/>
      </c>
      <c r="E213" s="2" t="str" cm="1">
        <f t="array" ref="E213">IFERROR(_xlfn.ARRAYTOTEXT(_xlfn.UNIQUE(_xlfn._xlws.FILTER(ubox[Failed Instance],(ubox[FirstError - IP (name)]=E$1)*(ubox[VisualID]=A213))),0),"")</f>
        <v/>
      </c>
      <c r="F213" s="2" t="str" cm="1">
        <f t="array" ref="F213">IFERROR(_xlfn.ARRAYTOTEXT(_xlfn.UNIQUE(_xlfn._xlws.FILTER(ubox[Failed Instance],(ubox[FirstError - IP (name)]=F$1)*(ubox[VisualID]=A213))),0),"")</f>
        <v/>
      </c>
      <c r="G213" s="2" t="str" cm="1">
        <f t="array" ref="G213">IFERROR(_xlfn.ARRAYTOTEXT(_xlfn.UNIQUE(_xlfn._xlws.FILTER(ubox[Failed Instance],(ubox[FirstError - IP (name)]=G$1)*(ubox[VisualID]=A213))),0),"")</f>
        <v/>
      </c>
      <c r="H213" s="2" t="str" cm="1">
        <f t="array" ref="H213">IFERROR(_xlfn.ARRAYTOTEXT(_xlfn.UNIQUE(_xlfn._xlws.FILTER(ubox[Failed Instance],(ubox[FirstError - IP (name)]=H$1)*(ubox[VisualID]=A213))),0),"")</f>
        <v/>
      </c>
    </row>
    <row r="214" spans="2:8" x14ac:dyDescent="0.3">
      <c r="B214" s="2" t="str">
        <f t="shared" si="5"/>
        <v/>
      </c>
      <c r="D214" s="2" t="str" cm="1">
        <f t="array" ref="D214">IFERROR(_xlfn.ARRAYTOTEXT(_xlfn.UNIQUE(_xlfn._xlws.FILTER(ubox[Failed Instance],(ubox[FirstError - IP (name)]=D$1)*(ubox[VisualID]=A214))),0),"")</f>
        <v/>
      </c>
      <c r="E214" s="2" t="str" cm="1">
        <f t="array" ref="E214">IFERROR(_xlfn.ARRAYTOTEXT(_xlfn.UNIQUE(_xlfn._xlws.FILTER(ubox[Failed Instance],(ubox[FirstError - IP (name)]=E$1)*(ubox[VisualID]=A214))),0),"")</f>
        <v/>
      </c>
      <c r="F214" s="2" t="str" cm="1">
        <f t="array" ref="F214">IFERROR(_xlfn.ARRAYTOTEXT(_xlfn.UNIQUE(_xlfn._xlws.FILTER(ubox[Failed Instance],(ubox[FirstError - IP (name)]=F$1)*(ubox[VisualID]=A214))),0),"")</f>
        <v/>
      </c>
      <c r="G214" s="2" t="str" cm="1">
        <f t="array" ref="G214">IFERROR(_xlfn.ARRAYTOTEXT(_xlfn.UNIQUE(_xlfn._xlws.FILTER(ubox[Failed Instance],(ubox[FirstError - IP (name)]=G$1)*(ubox[VisualID]=A214))),0),"")</f>
        <v/>
      </c>
      <c r="H214" s="2" t="str" cm="1">
        <f t="array" ref="H214">IFERROR(_xlfn.ARRAYTOTEXT(_xlfn.UNIQUE(_xlfn._xlws.FILTER(ubox[Failed Instance],(ubox[FirstError - IP (name)]=H$1)*(ubox[VisualID]=A214))),0),"")</f>
        <v/>
      </c>
    </row>
    <row r="215" spans="2:8" x14ac:dyDescent="0.3">
      <c r="B215" s="2" t="str">
        <f t="shared" si="5"/>
        <v/>
      </c>
      <c r="D215" s="2" t="str" cm="1">
        <f t="array" ref="D215">IFERROR(_xlfn.ARRAYTOTEXT(_xlfn.UNIQUE(_xlfn._xlws.FILTER(ubox[Failed Instance],(ubox[FirstError - IP (name)]=D$1)*(ubox[VisualID]=A215))),0),"")</f>
        <v/>
      </c>
      <c r="E215" s="2" t="str" cm="1">
        <f t="array" ref="E215">IFERROR(_xlfn.ARRAYTOTEXT(_xlfn.UNIQUE(_xlfn._xlws.FILTER(ubox[Failed Instance],(ubox[FirstError - IP (name)]=E$1)*(ubox[VisualID]=A215))),0),"")</f>
        <v/>
      </c>
      <c r="F215" s="2" t="str" cm="1">
        <f t="array" ref="F215">IFERROR(_xlfn.ARRAYTOTEXT(_xlfn.UNIQUE(_xlfn._xlws.FILTER(ubox[Failed Instance],(ubox[FirstError - IP (name)]=F$1)*(ubox[VisualID]=A215))),0),"")</f>
        <v/>
      </c>
      <c r="G215" s="2" t="str" cm="1">
        <f t="array" ref="G215">IFERROR(_xlfn.ARRAYTOTEXT(_xlfn.UNIQUE(_xlfn._xlws.FILTER(ubox[Failed Instance],(ubox[FirstError - IP (name)]=G$1)*(ubox[VisualID]=A215))),0),"")</f>
        <v/>
      </c>
      <c r="H215" s="2" t="str" cm="1">
        <f t="array" ref="H215">IFERROR(_xlfn.ARRAYTOTEXT(_xlfn.UNIQUE(_xlfn._xlws.FILTER(ubox[Failed Instance],(ubox[FirstError - IP (name)]=H$1)*(ubox[VisualID]=A215))),0),"")</f>
        <v/>
      </c>
    </row>
    <row r="216" spans="2:8" x14ac:dyDescent="0.3">
      <c r="B216" s="2" t="str">
        <f t="shared" si="5"/>
        <v/>
      </c>
      <c r="D216" s="2" t="str" cm="1">
        <f t="array" ref="D216">IFERROR(_xlfn.ARRAYTOTEXT(_xlfn.UNIQUE(_xlfn._xlws.FILTER(ubox[Failed Instance],(ubox[FirstError - IP (name)]=D$1)*(ubox[VisualID]=A216))),0),"")</f>
        <v/>
      </c>
      <c r="E216" s="2" t="str" cm="1">
        <f t="array" ref="E216">IFERROR(_xlfn.ARRAYTOTEXT(_xlfn.UNIQUE(_xlfn._xlws.FILTER(ubox[Failed Instance],(ubox[FirstError - IP (name)]=E$1)*(ubox[VisualID]=A216))),0),"")</f>
        <v/>
      </c>
      <c r="F216" s="2" t="str" cm="1">
        <f t="array" ref="F216">IFERROR(_xlfn.ARRAYTOTEXT(_xlfn.UNIQUE(_xlfn._xlws.FILTER(ubox[Failed Instance],(ubox[FirstError - IP (name)]=F$1)*(ubox[VisualID]=A216))),0),"")</f>
        <v/>
      </c>
      <c r="G216" s="2" t="str" cm="1">
        <f t="array" ref="G216">IFERROR(_xlfn.ARRAYTOTEXT(_xlfn.UNIQUE(_xlfn._xlws.FILTER(ubox[Failed Instance],(ubox[FirstError - IP (name)]=G$1)*(ubox[VisualID]=A216))),0),"")</f>
        <v/>
      </c>
      <c r="H216" s="2" t="str" cm="1">
        <f t="array" ref="H216">IFERROR(_xlfn.ARRAYTOTEXT(_xlfn.UNIQUE(_xlfn._xlws.FILTER(ubox[Failed Instance],(ubox[FirstError - IP (name)]=H$1)*(ubox[VisualID]=A216))),0),"")</f>
        <v/>
      </c>
    </row>
    <row r="217" spans="2:8" x14ac:dyDescent="0.3">
      <c r="B217" s="2" t="str">
        <f t="shared" si="5"/>
        <v/>
      </c>
      <c r="D217" s="2" t="str" cm="1">
        <f t="array" ref="D217">IFERROR(_xlfn.ARRAYTOTEXT(_xlfn.UNIQUE(_xlfn._xlws.FILTER(ubox[Failed Instance],(ubox[FirstError - IP (name)]=D$1)*(ubox[VisualID]=A217))),0),"")</f>
        <v/>
      </c>
      <c r="E217" s="2" t="str" cm="1">
        <f t="array" ref="E217">IFERROR(_xlfn.ARRAYTOTEXT(_xlfn.UNIQUE(_xlfn._xlws.FILTER(ubox[Failed Instance],(ubox[FirstError - IP (name)]=E$1)*(ubox[VisualID]=A217))),0),"")</f>
        <v/>
      </c>
      <c r="F217" s="2" t="str" cm="1">
        <f t="array" ref="F217">IFERROR(_xlfn.ARRAYTOTEXT(_xlfn.UNIQUE(_xlfn._xlws.FILTER(ubox[Failed Instance],(ubox[FirstError - IP (name)]=F$1)*(ubox[VisualID]=A217))),0),"")</f>
        <v/>
      </c>
      <c r="G217" s="2" t="str" cm="1">
        <f t="array" ref="G217">IFERROR(_xlfn.ARRAYTOTEXT(_xlfn.UNIQUE(_xlfn._xlws.FILTER(ubox[Failed Instance],(ubox[FirstError - IP (name)]=G$1)*(ubox[VisualID]=A217))),0),"")</f>
        <v/>
      </c>
      <c r="H217" s="2" t="str" cm="1">
        <f t="array" ref="H217">IFERROR(_xlfn.ARRAYTOTEXT(_xlfn.UNIQUE(_xlfn._xlws.FILTER(ubox[Failed Instance],(ubox[FirstError - IP (name)]=H$1)*(ubox[VisualID]=A217))),0),"")</f>
        <v/>
      </c>
    </row>
    <row r="218" spans="2:8" x14ac:dyDescent="0.3">
      <c r="B218" s="2" t="str">
        <f t="shared" si="5"/>
        <v/>
      </c>
      <c r="D218" s="2" t="str" cm="1">
        <f t="array" ref="D218">IFERROR(_xlfn.ARRAYTOTEXT(_xlfn.UNIQUE(_xlfn._xlws.FILTER(ubox[Failed Instance],(ubox[FirstError - IP (name)]=D$1)*(ubox[VisualID]=A218))),0),"")</f>
        <v/>
      </c>
      <c r="E218" s="2" t="str" cm="1">
        <f t="array" ref="E218">IFERROR(_xlfn.ARRAYTOTEXT(_xlfn.UNIQUE(_xlfn._xlws.FILTER(ubox[Failed Instance],(ubox[FirstError - IP (name)]=E$1)*(ubox[VisualID]=A218))),0),"")</f>
        <v/>
      </c>
      <c r="F218" s="2" t="str" cm="1">
        <f t="array" ref="F218">IFERROR(_xlfn.ARRAYTOTEXT(_xlfn.UNIQUE(_xlfn._xlws.FILTER(ubox[Failed Instance],(ubox[FirstError - IP (name)]=F$1)*(ubox[VisualID]=A218))),0),"")</f>
        <v/>
      </c>
      <c r="G218" s="2" t="str" cm="1">
        <f t="array" ref="G218">IFERROR(_xlfn.ARRAYTOTEXT(_xlfn.UNIQUE(_xlfn._xlws.FILTER(ubox[Failed Instance],(ubox[FirstError - IP (name)]=G$1)*(ubox[VisualID]=A218))),0),"")</f>
        <v/>
      </c>
      <c r="H218" s="2" t="str" cm="1">
        <f t="array" ref="H218">IFERROR(_xlfn.ARRAYTOTEXT(_xlfn.UNIQUE(_xlfn._xlws.FILTER(ubox[Failed Instance],(ubox[FirstError - IP (name)]=H$1)*(ubox[VisualID]=A218))),0),"")</f>
        <v/>
      </c>
    </row>
    <row r="219" spans="2:8" x14ac:dyDescent="0.3">
      <c r="B219" s="2" t="str">
        <f t="shared" si="5"/>
        <v/>
      </c>
      <c r="D219" s="2" t="str" cm="1">
        <f t="array" ref="D219">IFERROR(_xlfn.ARRAYTOTEXT(_xlfn.UNIQUE(_xlfn._xlws.FILTER(ubox[Failed Instance],(ubox[FirstError - IP (name)]=D$1)*(ubox[VisualID]=A219))),0),"")</f>
        <v/>
      </c>
      <c r="E219" s="2" t="str" cm="1">
        <f t="array" ref="E219">IFERROR(_xlfn.ARRAYTOTEXT(_xlfn.UNIQUE(_xlfn._xlws.FILTER(ubox[Failed Instance],(ubox[FirstError - IP (name)]=E$1)*(ubox[VisualID]=A219))),0),"")</f>
        <v/>
      </c>
      <c r="F219" s="2" t="str" cm="1">
        <f t="array" ref="F219">IFERROR(_xlfn.ARRAYTOTEXT(_xlfn.UNIQUE(_xlfn._xlws.FILTER(ubox[Failed Instance],(ubox[FirstError - IP (name)]=F$1)*(ubox[VisualID]=A219))),0),"")</f>
        <v/>
      </c>
      <c r="G219" s="2" t="str" cm="1">
        <f t="array" ref="G219">IFERROR(_xlfn.ARRAYTOTEXT(_xlfn.UNIQUE(_xlfn._xlws.FILTER(ubox[Failed Instance],(ubox[FirstError - IP (name)]=G$1)*(ubox[VisualID]=A219))),0),"")</f>
        <v/>
      </c>
      <c r="H219" s="2" t="str" cm="1">
        <f t="array" ref="H219">IFERROR(_xlfn.ARRAYTOTEXT(_xlfn.UNIQUE(_xlfn._xlws.FILTER(ubox[Failed Instance],(ubox[FirstError - IP (name)]=H$1)*(ubox[VisualID]=A219))),0),"")</f>
        <v/>
      </c>
    </row>
    <row r="220" spans="2:8" x14ac:dyDescent="0.3">
      <c r="B220" s="2" t="str">
        <f t="shared" si="5"/>
        <v/>
      </c>
      <c r="D220" s="2" t="str" cm="1">
        <f t="array" ref="D220">IFERROR(_xlfn.ARRAYTOTEXT(_xlfn.UNIQUE(_xlfn._xlws.FILTER(ubox[Failed Instance],(ubox[FirstError - IP (name)]=D$1)*(ubox[VisualID]=A220))),0),"")</f>
        <v/>
      </c>
      <c r="E220" s="2" t="str" cm="1">
        <f t="array" ref="E220">IFERROR(_xlfn.ARRAYTOTEXT(_xlfn.UNIQUE(_xlfn._xlws.FILTER(ubox[Failed Instance],(ubox[FirstError - IP (name)]=E$1)*(ubox[VisualID]=A220))),0),"")</f>
        <v/>
      </c>
      <c r="F220" s="2" t="str" cm="1">
        <f t="array" ref="F220">IFERROR(_xlfn.ARRAYTOTEXT(_xlfn.UNIQUE(_xlfn._xlws.FILTER(ubox[Failed Instance],(ubox[FirstError - IP (name)]=F$1)*(ubox[VisualID]=A220))),0),"")</f>
        <v/>
      </c>
      <c r="G220" s="2" t="str" cm="1">
        <f t="array" ref="G220">IFERROR(_xlfn.ARRAYTOTEXT(_xlfn.UNIQUE(_xlfn._xlws.FILTER(ubox[Failed Instance],(ubox[FirstError - IP (name)]=G$1)*(ubox[VisualID]=A220))),0),"")</f>
        <v/>
      </c>
      <c r="H220" s="2" t="str" cm="1">
        <f t="array" ref="H220">IFERROR(_xlfn.ARRAYTOTEXT(_xlfn.UNIQUE(_xlfn._xlws.FILTER(ubox[Failed Instance],(ubox[FirstError - IP (name)]=H$1)*(ubox[VisualID]=A220))),0),"")</f>
        <v/>
      </c>
    </row>
    <row r="221" spans="2:8" x14ac:dyDescent="0.3">
      <c r="B221" s="2" t="str">
        <f t="shared" si="5"/>
        <v/>
      </c>
      <c r="D221" s="2" t="str" cm="1">
        <f t="array" ref="D221">IFERROR(_xlfn.ARRAYTOTEXT(_xlfn.UNIQUE(_xlfn._xlws.FILTER(ubox[Failed Instance],(ubox[FirstError - IP (name)]=D$1)*(ubox[VisualID]=A221))),0),"")</f>
        <v/>
      </c>
      <c r="E221" s="2" t="str" cm="1">
        <f t="array" ref="E221">IFERROR(_xlfn.ARRAYTOTEXT(_xlfn.UNIQUE(_xlfn._xlws.FILTER(ubox[Failed Instance],(ubox[FirstError - IP (name)]=E$1)*(ubox[VisualID]=A221))),0),"")</f>
        <v/>
      </c>
      <c r="F221" s="2" t="str" cm="1">
        <f t="array" ref="F221">IFERROR(_xlfn.ARRAYTOTEXT(_xlfn.UNIQUE(_xlfn._xlws.FILTER(ubox[Failed Instance],(ubox[FirstError - IP (name)]=F$1)*(ubox[VisualID]=A221))),0),"")</f>
        <v/>
      </c>
      <c r="G221" s="2" t="str" cm="1">
        <f t="array" ref="G221">IFERROR(_xlfn.ARRAYTOTEXT(_xlfn.UNIQUE(_xlfn._xlws.FILTER(ubox[Failed Instance],(ubox[FirstError - IP (name)]=G$1)*(ubox[VisualID]=A221))),0),"")</f>
        <v/>
      </c>
      <c r="H221" s="2" t="str" cm="1">
        <f t="array" ref="H221">IFERROR(_xlfn.ARRAYTOTEXT(_xlfn.UNIQUE(_xlfn._xlws.FILTER(ubox[Failed Instance],(ubox[FirstError - IP (name)]=H$1)*(ubox[VisualID]=A221))),0),"")</f>
        <v/>
      </c>
    </row>
    <row r="222" spans="2:8" x14ac:dyDescent="0.3">
      <c r="B222" s="2" t="str">
        <f t="shared" si="5"/>
        <v/>
      </c>
      <c r="D222" s="2" t="str" cm="1">
        <f t="array" ref="D222">IFERROR(_xlfn.ARRAYTOTEXT(_xlfn.UNIQUE(_xlfn._xlws.FILTER(ubox[Failed Instance],(ubox[FirstError - IP (name)]=D$1)*(ubox[VisualID]=A222))),0),"")</f>
        <v/>
      </c>
      <c r="E222" s="2" t="str" cm="1">
        <f t="array" ref="E222">IFERROR(_xlfn.ARRAYTOTEXT(_xlfn.UNIQUE(_xlfn._xlws.FILTER(ubox[Failed Instance],(ubox[FirstError - IP (name)]=E$1)*(ubox[VisualID]=A222))),0),"")</f>
        <v/>
      </c>
      <c r="F222" s="2" t="str" cm="1">
        <f t="array" ref="F222">IFERROR(_xlfn.ARRAYTOTEXT(_xlfn.UNIQUE(_xlfn._xlws.FILTER(ubox[Failed Instance],(ubox[FirstError - IP (name)]=F$1)*(ubox[VisualID]=A222))),0),"")</f>
        <v/>
      </c>
      <c r="G222" s="2" t="str" cm="1">
        <f t="array" ref="G222">IFERROR(_xlfn.ARRAYTOTEXT(_xlfn.UNIQUE(_xlfn._xlws.FILTER(ubox[Failed Instance],(ubox[FirstError - IP (name)]=G$1)*(ubox[VisualID]=A222))),0),"")</f>
        <v/>
      </c>
      <c r="H222" s="2" t="str" cm="1">
        <f t="array" ref="H222">IFERROR(_xlfn.ARRAYTOTEXT(_xlfn.UNIQUE(_xlfn._xlws.FILTER(ubox[Failed Instance],(ubox[FirstError - IP (name)]=H$1)*(ubox[VisualID]=A222))),0),"")</f>
        <v/>
      </c>
    </row>
    <row r="223" spans="2:8" x14ac:dyDescent="0.3">
      <c r="B223" s="2" t="str">
        <f t="shared" si="5"/>
        <v/>
      </c>
      <c r="D223" s="2" t="str" cm="1">
        <f t="array" ref="D223">IFERROR(_xlfn.ARRAYTOTEXT(_xlfn.UNIQUE(_xlfn._xlws.FILTER(ubox[Failed Instance],(ubox[FirstError - IP (name)]=D$1)*(ubox[VisualID]=A223))),0),"")</f>
        <v/>
      </c>
      <c r="E223" s="2" t="str" cm="1">
        <f t="array" ref="E223">IFERROR(_xlfn.ARRAYTOTEXT(_xlfn.UNIQUE(_xlfn._xlws.FILTER(ubox[Failed Instance],(ubox[FirstError - IP (name)]=E$1)*(ubox[VisualID]=A223))),0),"")</f>
        <v/>
      </c>
      <c r="F223" s="2" t="str" cm="1">
        <f t="array" ref="F223">IFERROR(_xlfn.ARRAYTOTEXT(_xlfn.UNIQUE(_xlfn._xlws.FILTER(ubox[Failed Instance],(ubox[FirstError - IP (name)]=F$1)*(ubox[VisualID]=A223))),0),"")</f>
        <v/>
      </c>
      <c r="G223" s="2" t="str" cm="1">
        <f t="array" ref="G223">IFERROR(_xlfn.ARRAYTOTEXT(_xlfn.UNIQUE(_xlfn._xlws.FILTER(ubox[Failed Instance],(ubox[FirstError - IP (name)]=G$1)*(ubox[VisualID]=A223))),0),"")</f>
        <v/>
      </c>
      <c r="H223" s="2" t="str" cm="1">
        <f t="array" ref="H223">IFERROR(_xlfn.ARRAYTOTEXT(_xlfn.UNIQUE(_xlfn._xlws.FILTER(ubox[Failed Instance],(ubox[FirstError - IP (name)]=H$1)*(ubox[VisualID]=A223))),0),"")</f>
        <v/>
      </c>
    </row>
    <row r="224" spans="2:8" x14ac:dyDescent="0.3">
      <c r="B224" s="2" t="str">
        <f t="shared" si="5"/>
        <v/>
      </c>
      <c r="D224" s="2" t="str" cm="1">
        <f t="array" ref="D224">IFERROR(_xlfn.ARRAYTOTEXT(_xlfn.UNIQUE(_xlfn._xlws.FILTER(ubox[Failed Instance],(ubox[FirstError - IP (name)]=D$1)*(ubox[VisualID]=A224))),0),"")</f>
        <v/>
      </c>
      <c r="E224" s="2" t="str" cm="1">
        <f t="array" ref="E224">IFERROR(_xlfn.ARRAYTOTEXT(_xlfn.UNIQUE(_xlfn._xlws.FILTER(ubox[Failed Instance],(ubox[FirstError - IP (name)]=E$1)*(ubox[VisualID]=A224))),0),"")</f>
        <v/>
      </c>
      <c r="F224" s="2" t="str" cm="1">
        <f t="array" ref="F224">IFERROR(_xlfn.ARRAYTOTEXT(_xlfn.UNIQUE(_xlfn._xlws.FILTER(ubox[Failed Instance],(ubox[FirstError - IP (name)]=F$1)*(ubox[VisualID]=A224))),0),"")</f>
        <v/>
      </c>
      <c r="G224" s="2" t="str" cm="1">
        <f t="array" ref="G224">IFERROR(_xlfn.ARRAYTOTEXT(_xlfn.UNIQUE(_xlfn._xlws.FILTER(ubox[Failed Instance],(ubox[FirstError - IP (name)]=G$1)*(ubox[VisualID]=A224))),0),"")</f>
        <v/>
      </c>
      <c r="H224" s="2" t="str" cm="1">
        <f t="array" ref="H224">IFERROR(_xlfn.ARRAYTOTEXT(_xlfn.UNIQUE(_xlfn._xlws.FILTER(ubox[Failed Instance],(ubox[FirstError - IP (name)]=H$1)*(ubox[VisualID]=A224))),0),"")</f>
        <v/>
      </c>
    </row>
    <row r="225" spans="2:8" x14ac:dyDescent="0.3">
      <c r="B225" s="2" t="str">
        <f t="shared" si="5"/>
        <v/>
      </c>
      <c r="D225" s="2" t="str" cm="1">
        <f t="array" ref="D225">IFERROR(_xlfn.ARRAYTOTEXT(_xlfn.UNIQUE(_xlfn._xlws.FILTER(ubox[Failed Instance],(ubox[FirstError - IP (name)]=D$1)*(ubox[VisualID]=A225))),0),"")</f>
        <v/>
      </c>
      <c r="E225" s="2" t="str" cm="1">
        <f t="array" ref="E225">IFERROR(_xlfn.ARRAYTOTEXT(_xlfn.UNIQUE(_xlfn._xlws.FILTER(ubox[Failed Instance],(ubox[FirstError - IP (name)]=E$1)*(ubox[VisualID]=A225))),0),"")</f>
        <v/>
      </c>
      <c r="F225" s="2" t="str" cm="1">
        <f t="array" ref="F225">IFERROR(_xlfn.ARRAYTOTEXT(_xlfn.UNIQUE(_xlfn._xlws.FILTER(ubox[Failed Instance],(ubox[FirstError - IP (name)]=F$1)*(ubox[VisualID]=A225))),0),"")</f>
        <v/>
      </c>
      <c r="G225" s="2" t="str" cm="1">
        <f t="array" ref="G225">IFERROR(_xlfn.ARRAYTOTEXT(_xlfn.UNIQUE(_xlfn._xlws.FILTER(ubox[Failed Instance],(ubox[FirstError - IP (name)]=G$1)*(ubox[VisualID]=A225))),0),"")</f>
        <v/>
      </c>
      <c r="H225" s="2" t="str" cm="1">
        <f t="array" ref="H225">IFERROR(_xlfn.ARRAYTOTEXT(_xlfn.UNIQUE(_xlfn._xlws.FILTER(ubox[Failed Instance],(ubox[FirstError - IP (name)]=H$1)*(ubox[VisualID]=A225))),0),"")</f>
        <v/>
      </c>
    </row>
    <row r="226" spans="2:8" x14ac:dyDescent="0.3">
      <c r="B226" s="2" t="str">
        <f t="shared" si="5"/>
        <v/>
      </c>
      <c r="D226" s="2" t="str" cm="1">
        <f t="array" ref="D226">IFERROR(_xlfn.ARRAYTOTEXT(_xlfn.UNIQUE(_xlfn._xlws.FILTER(ubox[Failed Instance],(ubox[FirstError - IP (name)]=D$1)*(ubox[VisualID]=A226))),0),"")</f>
        <v/>
      </c>
      <c r="E226" s="2" t="str" cm="1">
        <f t="array" ref="E226">IFERROR(_xlfn.ARRAYTOTEXT(_xlfn.UNIQUE(_xlfn._xlws.FILTER(ubox[Failed Instance],(ubox[FirstError - IP (name)]=E$1)*(ubox[VisualID]=A226))),0),"")</f>
        <v/>
      </c>
      <c r="F226" s="2" t="str" cm="1">
        <f t="array" ref="F226">IFERROR(_xlfn.ARRAYTOTEXT(_xlfn.UNIQUE(_xlfn._xlws.FILTER(ubox[Failed Instance],(ubox[FirstError - IP (name)]=F$1)*(ubox[VisualID]=A226))),0),"")</f>
        <v/>
      </c>
      <c r="G226" s="2" t="str" cm="1">
        <f t="array" ref="G226">IFERROR(_xlfn.ARRAYTOTEXT(_xlfn.UNIQUE(_xlfn._xlws.FILTER(ubox[Failed Instance],(ubox[FirstError - IP (name)]=G$1)*(ubox[VisualID]=A226))),0),"")</f>
        <v/>
      </c>
      <c r="H226" s="2" t="str" cm="1">
        <f t="array" ref="H226">IFERROR(_xlfn.ARRAYTOTEXT(_xlfn.UNIQUE(_xlfn._xlws.FILTER(ubox[Failed Instance],(ubox[FirstError - IP (name)]=H$1)*(ubox[VisualID]=A226))),0),"")</f>
        <v/>
      </c>
    </row>
    <row r="227" spans="2:8" x14ac:dyDescent="0.3">
      <c r="B227" s="2" t="str">
        <f t="shared" si="5"/>
        <v/>
      </c>
      <c r="D227" s="2" t="str" cm="1">
        <f t="array" ref="D227">IFERROR(_xlfn.ARRAYTOTEXT(_xlfn.UNIQUE(_xlfn._xlws.FILTER(ubox[Failed Instance],(ubox[FirstError - IP (name)]=D$1)*(ubox[VisualID]=A227))),0),"")</f>
        <v/>
      </c>
      <c r="E227" s="2" t="str" cm="1">
        <f t="array" ref="E227">IFERROR(_xlfn.ARRAYTOTEXT(_xlfn.UNIQUE(_xlfn._xlws.FILTER(ubox[Failed Instance],(ubox[FirstError - IP (name)]=E$1)*(ubox[VisualID]=A227))),0),"")</f>
        <v/>
      </c>
      <c r="F227" s="2" t="str" cm="1">
        <f t="array" ref="F227">IFERROR(_xlfn.ARRAYTOTEXT(_xlfn.UNIQUE(_xlfn._xlws.FILTER(ubox[Failed Instance],(ubox[FirstError - IP (name)]=F$1)*(ubox[VisualID]=A227))),0),"")</f>
        <v/>
      </c>
      <c r="G227" s="2" t="str" cm="1">
        <f t="array" ref="G227">IFERROR(_xlfn.ARRAYTOTEXT(_xlfn.UNIQUE(_xlfn._xlws.FILTER(ubox[Failed Instance],(ubox[FirstError - IP (name)]=G$1)*(ubox[VisualID]=A227))),0),"")</f>
        <v/>
      </c>
      <c r="H227" s="2" t="str" cm="1">
        <f t="array" ref="H227">IFERROR(_xlfn.ARRAYTOTEXT(_xlfn.UNIQUE(_xlfn._xlws.FILTER(ubox[Failed Instance],(ubox[FirstError - IP (name)]=H$1)*(ubox[VisualID]=A227))),0),"")</f>
        <v/>
      </c>
    </row>
    <row r="228" spans="2:8" x14ac:dyDescent="0.3">
      <c r="B228" s="2" t="str">
        <f t="shared" si="5"/>
        <v/>
      </c>
      <c r="D228" s="2" t="str" cm="1">
        <f t="array" ref="D228">IFERROR(_xlfn.ARRAYTOTEXT(_xlfn.UNIQUE(_xlfn._xlws.FILTER(ubox[Failed Instance],(ubox[FirstError - IP (name)]=D$1)*(ubox[VisualID]=A228))),0),"")</f>
        <v/>
      </c>
      <c r="E228" s="2" t="str" cm="1">
        <f t="array" ref="E228">IFERROR(_xlfn.ARRAYTOTEXT(_xlfn.UNIQUE(_xlfn._xlws.FILTER(ubox[Failed Instance],(ubox[FirstError - IP (name)]=E$1)*(ubox[VisualID]=A228))),0),"")</f>
        <v/>
      </c>
      <c r="F228" s="2" t="str" cm="1">
        <f t="array" ref="F228">IFERROR(_xlfn.ARRAYTOTEXT(_xlfn.UNIQUE(_xlfn._xlws.FILTER(ubox[Failed Instance],(ubox[FirstError - IP (name)]=F$1)*(ubox[VisualID]=A228))),0),"")</f>
        <v/>
      </c>
      <c r="G228" s="2" t="str" cm="1">
        <f t="array" ref="G228">IFERROR(_xlfn.ARRAYTOTEXT(_xlfn.UNIQUE(_xlfn._xlws.FILTER(ubox[Failed Instance],(ubox[FirstError - IP (name)]=G$1)*(ubox[VisualID]=A228))),0),"")</f>
        <v/>
      </c>
      <c r="H228" s="2" t="str" cm="1">
        <f t="array" ref="H228">IFERROR(_xlfn.ARRAYTOTEXT(_xlfn.UNIQUE(_xlfn._xlws.FILTER(ubox[Failed Instance],(ubox[FirstError - IP (name)]=H$1)*(ubox[VisualID]=A228))),0),"")</f>
        <v/>
      </c>
    </row>
    <row r="229" spans="2:8" x14ac:dyDescent="0.3">
      <c r="B229" s="2" t="str">
        <f t="shared" si="5"/>
        <v/>
      </c>
      <c r="D229" s="2" t="str" cm="1">
        <f t="array" ref="D229">IFERROR(_xlfn.ARRAYTOTEXT(_xlfn.UNIQUE(_xlfn._xlws.FILTER(ubox[Failed Instance],(ubox[FirstError - IP (name)]=D$1)*(ubox[VisualID]=A229))),0),"")</f>
        <v/>
      </c>
      <c r="E229" s="2" t="str" cm="1">
        <f t="array" ref="E229">IFERROR(_xlfn.ARRAYTOTEXT(_xlfn.UNIQUE(_xlfn._xlws.FILTER(ubox[Failed Instance],(ubox[FirstError - IP (name)]=E$1)*(ubox[VisualID]=A229))),0),"")</f>
        <v/>
      </c>
      <c r="F229" s="2" t="str" cm="1">
        <f t="array" ref="F229">IFERROR(_xlfn.ARRAYTOTEXT(_xlfn.UNIQUE(_xlfn._xlws.FILTER(ubox[Failed Instance],(ubox[FirstError - IP (name)]=F$1)*(ubox[VisualID]=A229))),0),"")</f>
        <v/>
      </c>
      <c r="G229" s="2" t="str" cm="1">
        <f t="array" ref="G229">IFERROR(_xlfn.ARRAYTOTEXT(_xlfn.UNIQUE(_xlfn._xlws.FILTER(ubox[Failed Instance],(ubox[FirstError - IP (name)]=G$1)*(ubox[VisualID]=A229))),0),"")</f>
        <v/>
      </c>
      <c r="H229" s="2" t="str" cm="1">
        <f t="array" ref="H229">IFERROR(_xlfn.ARRAYTOTEXT(_xlfn.UNIQUE(_xlfn._xlws.FILTER(ubox[Failed Instance],(ubox[FirstError - IP (name)]=H$1)*(ubox[VisualID]=A229))),0),"")</f>
        <v/>
      </c>
    </row>
    <row r="230" spans="2:8" x14ac:dyDescent="0.3">
      <c r="B230" s="2" t="str">
        <f t="shared" si="5"/>
        <v/>
      </c>
      <c r="D230" s="2" t="str" cm="1">
        <f t="array" ref="D230">IFERROR(_xlfn.ARRAYTOTEXT(_xlfn.UNIQUE(_xlfn._xlws.FILTER(ubox[Failed Instance],(ubox[FirstError - IP (name)]=D$1)*(ubox[VisualID]=A230))),0),"")</f>
        <v/>
      </c>
      <c r="E230" s="2" t="str" cm="1">
        <f t="array" ref="E230">IFERROR(_xlfn.ARRAYTOTEXT(_xlfn.UNIQUE(_xlfn._xlws.FILTER(ubox[Failed Instance],(ubox[FirstError - IP (name)]=E$1)*(ubox[VisualID]=A230))),0),"")</f>
        <v/>
      </c>
      <c r="F230" s="2" t="str" cm="1">
        <f t="array" ref="F230">IFERROR(_xlfn.ARRAYTOTEXT(_xlfn.UNIQUE(_xlfn._xlws.FILTER(ubox[Failed Instance],(ubox[FirstError - IP (name)]=F$1)*(ubox[VisualID]=A230))),0),"")</f>
        <v/>
      </c>
      <c r="G230" s="2" t="str" cm="1">
        <f t="array" ref="G230">IFERROR(_xlfn.ARRAYTOTEXT(_xlfn.UNIQUE(_xlfn._xlws.FILTER(ubox[Failed Instance],(ubox[FirstError - IP (name)]=G$1)*(ubox[VisualID]=A230))),0),"")</f>
        <v/>
      </c>
      <c r="H230" s="2" t="str" cm="1">
        <f t="array" ref="H230">IFERROR(_xlfn.ARRAYTOTEXT(_xlfn.UNIQUE(_xlfn._xlws.FILTER(ubox[Failed Instance],(ubox[FirstError - IP (name)]=H$1)*(ubox[VisualID]=A230))),0),"")</f>
        <v/>
      </c>
    </row>
    <row r="231" spans="2:8" x14ac:dyDescent="0.3">
      <c r="B231" s="2" t="str">
        <f t="shared" si="5"/>
        <v/>
      </c>
      <c r="D231" s="2" t="str" cm="1">
        <f t="array" ref="D231">IFERROR(_xlfn.ARRAYTOTEXT(_xlfn.UNIQUE(_xlfn._xlws.FILTER(ubox[Failed Instance],(ubox[FirstError - IP (name)]=D$1)*(ubox[VisualID]=A231))),0),"")</f>
        <v/>
      </c>
      <c r="E231" s="2" t="str" cm="1">
        <f t="array" ref="E231">IFERROR(_xlfn.ARRAYTOTEXT(_xlfn.UNIQUE(_xlfn._xlws.FILTER(ubox[Failed Instance],(ubox[FirstError - IP (name)]=E$1)*(ubox[VisualID]=A231))),0),"")</f>
        <v/>
      </c>
      <c r="F231" s="2" t="str" cm="1">
        <f t="array" ref="F231">IFERROR(_xlfn.ARRAYTOTEXT(_xlfn.UNIQUE(_xlfn._xlws.FILTER(ubox[Failed Instance],(ubox[FirstError - IP (name)]=F$1)*(ubox[VisualID]=A231))),0),"")</f>
        <v/>
      </c>
      <c r="G231" s="2" t="str" cm="1">
        <f t="array" ref="G231">IFERROR(_xlfn.ARRAYTOTEXT(_xlfn.UNIQUE(_xlfn._xlws.FILTER(ubox[Failed Instance],(ubox[FirstError - IP (name)]=G$1)*(ubox[VisualID]=A231))),0),"")</f>
        <v/>
      </c>
      <c r="H231" s="2" t="str" cm="1">
        <f t="array" ref="H231">IFERROR(_xlfn.ARRAYTOTEXT(_xlfn.UNIQUE(_xlfn._xlws.FILTER(ubox[Failed Instance],(ubox[FirstError - IP (name)]=H$1)*(ubox[VisualID]=A231))),0),"")</f>
        <v/>
      </c>
    </row>
    <row r="232" spans="2:8" x14ac:dyDescent="0.3">
      <c r="B232" s="2" t="str">
        <f t="shared" si="5"/>
        <v/>
      </c>
      <c r="D232" s="2" t="str" cm="1">
        <f t="array" ref="D232">IFERROR(_xlfn.ARRAYTOTEXT(_xlfn.UNIQUE(_xlfn._xlws.FILTER(ubox[Failed Instance],(ubox[FirstError - IP (name)]=D$1)*(ubox[VisualID]=A232))),0),"")</f>
        <v/>
      </c>
      <c r="E232" s="2" t="str" cm="1">
        <f t="array" ref="E232">IFERROR(_xlfn.ARRAYTOTEXT(_xlfn.UNIQUE(_xlfn._xlws.FILTER(ubox[Failed Instance],(ubox[FirstError - IP (name)]=E$1)*(ubox[VisualID]=A232))),0),"")</f>
        <v/>
      </c>
      <c r="F232" s="2" t="str" cm="1">
        <f t="array" ref="F232">IFERROR(_xlfn.ARRAYTOTEXT(_xlfn.UNIQUE(_xlfn._xlws.FILTER(ubox[Failed Instance],(ubox[FirstError - IP (name)]=F$1)*(ubox[VisualID]=A232))),0),"")</f>
        <v/>
      </c>
      <c r="G232" s="2" t="str" cm="1">
        <f t="array" ref="G232">IFERROR(_xlfn.ARRAYTOTEXT(_xlfn.UNIQUE(_xlfn._xlws.FILTER(ubox[Failed Instance],(ubox[FirstError - IP (name)]=G$1)*(ubox[VisualID]=A232))),0),"")</f>
        <v/>
      </c>
      <c r="H232" s="2" t="str" cm="1">
        <f t="array" ref="H232">IFERROR(_xlfn.ARRAYTOTEXT(_xlfn.UNIQUE(_xlfn._xlws.FILTER(ubox[Failed Instance],(ubox[FirstError - IP (name)]=H$1)*(ubox[VisualID]=A232))),0),"")</f>
        <v/>
      </c>
    </row>
    <row r="233" spans="2:8" x14ac:dyDescent="0.3">
      <c r="B233" s="2" t="str">
        <f t="shared" si="5"/>
        <v/>
      </c>
      <c r="D233" s="2" t="str" cm="1">
        <f t="array" ref="D233">IFERROR(_xlfn.ARRAYTOTEXT(_xlfn.UNIQUE(_xlfn._xlws.FILTER(ubox[Failed Instance],(ubox[FirstError - IP (name)]=D$1)*(ubox[VisualID]=A233))),0),"")</f>
        <v/>
      </c>
      <c r="E233" s="2" t="str" cm="1">
        <f t="array" ref="E233">IFERROR(_xlfn.ARRAYTOTEXT(_xlfn.UNIQUE(_xlfn._xlws.FILTER(ubox[Failed Instance],(ubox[FirstError - IP (name)]=E$1)*(ubox[VisualID]=A233))),0),"")</f>
        <v/>
      </c>
      <c r="F233" s="2" t="str" cm="1">
        <f t="array" ref="F233">IFERROR(_xlfn.ARRAYTOTEXT(_xlfn.UNIQUE(_xlfn._xlws.FILTER(ubox[Failed Instance],(ubox[FirstError - IP (name)]=F$1)*(ubox[VisualID]=A233))),0),"")</f>
        <v/>
      </c>
      <c r="G233" s="2" t="str" cm="1">
        <f t="array" ref="G233">IFERROR(_xlfn.ARRAYTOTEXT(_xlfn.UNIQUE(_xlfn._xlws.FILTER(ubox[Failed Instance],(ubox[FirstError - IP (name)]=G$1)*(ubox[VisualID]=A233))),0),"")</f>
        <v/>
      </c>
      <c r="H233" s="2" t="str" cm="1">
        <f t="array" ref="H233">IFERROR(_xlfn.ARRAYTOTEXT(_xlfn.UNIQUE(_xlfn._xlws.FILTER(ubox[Failed Instance],(ubox[FirstError - IP (name)]=H$1)*(ubox[VisualID]=A233))),0),"")</f>
        <v/>
      </c>
    </row>
    <row r="234" spans="2:8" x14ac:dyDescent="0.3">
      <c r="B234" s="2" t="str">
        <f t="shared" si="5"/>
        <v/>
      </c>
      <c r="D234" s="2" t="str" cm="1">
        <f t="array" ref="D234">IFERROR(_xlfn.ARRAYTOTEXT(_xlfn.UNIQUE(_xlfn._xlws.FILTER(ubox[Failed Instance],(ubox[FirstError - IP (name)]=D$1)*(ubox[VisualID]=A234))),0),"")</f>
        <v/>
      </c>
      <c r="E234" s="2" t="str" cm="1">
        <f t="array" ref="E234">IFERROR(_xlfn.ARRAYTOTEXT(_xlfn.UNIQUE(_xlfn._xlws.FILTER(ubox[Failed Instance],(ubox[FirstError - IP (name)]=E$1)*(ubox[VisualID]=A234))),0),"")</f>
        <v/>
      </c>
      <c r="F234" s="2" t="str" cm="1">
        <f t="array" ref="F234">IFERROR(_xlfn.ARRAYTOTEXT(_xlfn.UNIQUE(_xlfn._xlws.FILTER(ubox[Failed Instance],(ubox[FirstError - IP (name)]=F$1)*(ubox[VisualID]=A234))),0),"")</f>
        <v/>
      </c>
      <c r="G234" s="2" t="str" cm="1">
        <f t="array" ref="G234">IFERROR(_xlfn.ARRAYTOTEXT(_xlfn.UNIQUE(_xlfn._xlws.FILTER(ubox[Failed Instance],(ubox[FirstError - IP (name)]=G$1)*(ubox[VisualID]=A234))),0),"")</f>
        <v/>
      </c>
      <c r="H234" s="2" t="str" cm="1">
        <f t="array" ref="H234">IFERROR(_xlfn.ARRAYTOTEXT(_xlfn.UNIQUE(_xlfn._xlws.FILTER(ubox[Failed Instance],(ubox[FirstError - IP (name)]=H$1)*(ubox[VisualID]=A234))),0),"")</f>
        <v/>
      </c>
    </row>
    <row r="235" spans="2:8" x14ac:dyDescent="0.3">
      <c r="B235" s="2" t="str">
        <f t="shared" si="5"/>
        <v/>
      </c>
      <c r="D235" s="2" t="str" cm="1">
        <f t="array" ref="D235">IFERROR(_xlfn.ARRAYTOTEXT(_xlfn.UNIQUE(_xlfn._xlws.FILTER(ubox[Failed Instance],(ubox[FirstError - IP (name)]=D$1)*(ubox[VisualID]=A235))),0),"")</f>
        <v/>
      </c>
      <c r="E235" s="2" t="str" cm="1">
        <f t="array" ref="E235">IFERROR(_xlfn.ARRAYTOTEXT(_xlfn.UNIQUE(_xlfn._xlws.FILTER(ubox[Failed Instance],(ubox[FirstError - IP (name)]=E$1)*(ubox[VisualID]=A235))),0),"")</f>
        <v/>
      </c>
      <c r="F235" s="2" t="str" cm="1">
        <f t="array" ref="F235">IFERROR(_xlfn.ARRAYTOTEXT(_xlfn.UNIQUE(_xlfn._xlws.FILTER(ubox[Failed Instance],(ubox[FirstError - IP (name)]=F$1)*(ubox[VisualID]=A235))),0),"")</f>
        <v/>
      </c>
      <c r="G235" s="2" t="str" cm="1">
        <f t="array" ref="G235">IFERROR(_xlfn.ARRAYTOTEXT(_xlfn.UNIQUE(_xlfn._xlws.FILTER(ubox[Failed Instance],(ubox[FirstError - IP (name)]=G$1)*(ubox[VisualID]=A235))),0),"")</f>
        <v/>
      </c>
      <c r="H235" s="2" t="str" cm="1">
        <f t="array" ref="H235">IFERROR(_xlfn.ARRAYTOTEXT(_xlfn.UNIQUE(_xlfn._xlws.FILTER(ubox[Failed Instance],(ubox[FirstError - IP (name)]=H$1)*(ubox[VisualID]=A235))),0),"")</f>
        <v/>
      </c>
    </row>
    <row r="236" spans="2:8" x14ac:dyDescent="0.3">
      <c r="B236" s="2" t="str">
        <f t="shared" si="5"/>
        <v/>
      </c>
      <c r="D236" s="2" t="str" cm="1">
        <f t="array" ref="D236">IFERROR(_xlfn.ARRAYTOTEXT(_xlfn.UNIQUE(_xlfn._xlws.FILTER(ubox[Failed Instance],(ubox[FirstError - IP (name)]=D$1)*(ubox[VisualID]=A236))),0),"")</f>
        <v/>
      </c>
      <c r="E236" s="2" t="str" cm="1">
        <f t="array" ref="E236">IFERROR(_xlfn.ARRAYTOTEXT(_xlfn.UNIQUE(_xlfn._xlws.FILTER(ubox[Failed Instance],(ubox[FirstError - IP (name)]=E$1)*(ubox[VisualID]=A236))),0),"")</f>
        <v/>
      </c>
      <c r="F236" s="2" t="str" cm="1">
        <f t="array" ref="F236">IFERROR(_xlfn.ARRAYTOTEXT(_xlfn.UNIQUE(_xlfn._xlws.FILTER(ubox[Failed Instance],(ubox[FirstError - IP (name)]=F$1)*(ubox[VisualID]=A236))),0),"")</f>
        <v/>
      </c>
      <c r="G236" s="2" t="str" cm="1">
        <f t="array" ref="G236">IFERROR(_xlfn.ARRAYTOTEXT(_xlfn.UNIQUE(_xlfn._xlws.FILTER(ubox[Failed Instance],(ubox[FirstError - IP (name)]=G$1)*(ubox[VisualID]=A236))),0),"")</f>
        <v/>
      </c>
      <c r="H236" s="2" t="str" cm="1">
        <f t="array" ref="H236">IFERROR(_xlfn.ARRAYTOTEXT(_xlfn.UNIQUE(_xlfn._xlws.FILTER(ubox[Failed Instance],(ubox[FirstError - IP (name)]=H$1)*(ubox[VisualID]=A236))),0),"")</f>
        <v/>
      </c>
    </row>
    <row r="237" spans="2:8" x14ac:dyDescent="0.3">
      <c r="B237" s="2" t="str">
        <f t="shared" si="5"/>
        <v/>
      </c>
      <c r="D237" s="2" t="str" cm="1">
        <f t="array" ref="D237">IFERROR(_xlfn.ARRAYTOTEXT(_xlfn.UNIQUE(_xlfn._xlws.FILTER(ubox[Failed Instance],(ubox[FirstError - IP (name)]=D$1)*(ubox[VisualID]=A237))),0),"")</f>
        <v/>
      </c>
      <c r="E237" s="2" t="str" cm="1">
        <f t="array" ref="E237">IFERROR(_xlfn.ARRAYTOTEXT(_xlfn.UNIQUE(_xlfn._xlws.FILTER(ubox[Failed Instance],(ubox[FirstError - IP (name)]=E$1)*(ubox[VisualID]=A237))),0),"")</f>
        <v/>
      </c>
      <c r="F237" s="2" t="str" cm="1">
        <f t="array" ref="F237">IFERROR(_xlfn.ARRAYTOTEXT(_xlfn.UNIQUE(_xlfn._xlws.FILTER(ubox[Failed Instance],(ubox[FirstError - IP (name)]=F$1)*(ubox[VisualID]=A237))),0),"")</f>
        <v/>
      </c>
      <c r="G237" s="2" t="str" cm="1">
        <f t="array" ref="G237">IFERROR(_xlfn.ARRAYTOTEXT(_xlfn.UNIQUE(_xlfn._xlws.FILTER(ubox[Failed Instance],(ubox[FirstError - IP (name)]=G$1)*(ubox[VisualID]=A237))),0),"")</f>
        <v/>
      </c>
      <c r="H237" s="2" t="str" cm="1">
        <f t="array" ref="H237">IFERROR(_xlfn.ARRAYTOTEXT(_xlfn.UNIQUE(_xlfn._xlws.FILTER(ubox[Failed Instance],(ubox[FirstError - IP (name)]=H$1)*(ubox[VisualID]=A237))),0),"")</f>
        <v/>
      </c>
    </row>
    <row r="238" spans="2:8" x14ac:dyDescent="0.3">
      <c r="B238" s="2" t="str">
        <f t="shared" si="5"/>
        <v/>
      </c>
      <c r="D238" s="2" t="str" cm="1">
        <f t="array" ref="D238">IFERROR(_xlfn.ARRAYTOTEXT(_xlfn.UNIQUE(_xlfn._xlws.FILTER(ubox[Failed Instance],(ubox[FirstError - IP (name)]=D$1)*(ubox[VisualID]=A238))),0),"")</f>
        <v/>
      </c>
      <c r="E238" s="2" t="str" cm="1">
        <f t="array" ref="E238">IFERROR(_xlfn.ARRAYTOTEXT(_xlfn.UNIQUE(_xlfn._xlws.FILTER(ubox[Failed Instance],(ubox[FirstError - IP (name)]=E$1)*(ubox[VisualID]=A238))),0),"")</f>
        <v/>
      </c>
      <c r="F238" s="2" t="str" cm="1">
        <f t="array" ref="F238">IFERROR(_xlfn.ARRAYTOTEXT(_xlfn.UNIQUE(_xlfn._xlws.FILTER(ubox[Failed Instance],(ubox[FirstError - IP (name)]=F$1)*(ubox[VisualID]=A238))),0),"")</f>
        <v/>
      </c>
      <c r="G238" s="2" t="str" cm="1">
        <f t="array" ref="G238">IFERROR(_xlfn.ARRAYTOTEXT(_xlfn.UNIQUE(_xlfn._xlws.FILTER(ubox[Failed Instance],(ubox[FirstError - IP (name)]=G$1)*(ubox[VisualID]=A238))),0),"")</f>
        <v/>
      </c>
      <c r="H238" s="2" t="str" cm="1">
        <f t="array" ref="H238">IFERROR(_xlfn.ARRAYTOTEXT(_xlfn.UNIQUE(_xlfn._xlws.FILTER(ubox[Failed Instance],(ubox[FirstError - IP (name)]=H$1)*(ubox[VisualID]=A238))),0),"")</f>
        <v/>
      </c>
    </row>
    <row r="239" spans="2:8" x14ac:dyDescent="0.3">
      <c r="B239" s="2" t="str">
        <f t="shared" si="5"/>
        <v/>
      </c>
      <c r="D239" s="2" t="str" cm="1">
        <f t="array" ref="D239">IFERROR(_xlfn.ARRAYTOTEXT(_xlfn.UNIQUE(_xlfn._xlws.FILTER(ubox[Failed Instance],(ubox[FirstError - IP (name)]=D$1)*(ubox[VisualID]=A239))),0),"")</f>
        <v/>
      </c>
      <c r="E239" s="2" t="str" cm="1">
        <f t="array" ref="E239">IFERROR(_xlfn.ARRAYTOTEXT(_xlfn.UNIQUE(_xlfn._xlws.FILTER(ubox[Failed Instance],(ubox[FirstError - IP (name)]=E$1)*(ubox[VisualID]=A239))),0),"")</f>
        <v/>
      </c>
      <c r="F239" s="2" t="str" cm="1">
        <f t="array" ref="F239">IFERROR(_xlfn.ARRAYTOTEXT(_xlfn.UNIQUE(_xlfn._xlws.FILTER(ubox[Failed Instance],(ubox[FirstError - IP (name)]=F$1)*(ubox[VisualID]=A239))),0),"")</f>
        <v/>
      </c>
      <c r="G239" s="2" t="str" cm="1">
        <f t="array" ref="G239">IFERROR(_xlfn.ARRAYTOTEXT(_xlfn.UNIQUE(_xlfn._xlws.FILTER(ubox[Failed Instance],(ubox[FirstError - IP (name)]=G$1)*(ubox[VisualID]=A239))),0),"")</f>
        <v/>
      </c>
      <c r="H239" s="2" t="str" cm="1">
        <f t="array" ref="H239">IFERROR(_xlfn.ARRAYTOTEXT(_xlfn.UNIQUE(_xlfn._xlws.FILTER(ubox[Failed Instance],(ubox[FirstError - IP (name)]=H$1)*(ubox[VisualID]=A239))),0),"")</f>
        <v/>
      </c>
    </row>
    <row r="240" spans="2:8" x14ac:dyDescent="0.3">
      <c r="B240" s="2" t="str">
        <f t="shared" si="5"/>
        <v/>
      </c>
      <c r="D240" s="2" t="str" cm="1">
        <f t="array" ref="D240">IFERROR(_xlfn.ARRAYTOTEXT(_xlfn.UNIQUE(_xlfn._xlws.FILTER(ubox[Failed Instance],(ubox[FirstError - IP (name)]=D$1)*(ubox[VisualID]=A240))),0),"")</f>
        <v/>
      </c>
      <c r="E240" s="2" t="str" cm="1">
        <f t="array" ref="E240">IFERROR(_xlfn.ARRAYTOTEXT(_xlfn.UNIQUE(_xlfn._xlws.FILTER(ubox[Failed Instance],(ubox[FirstError - IP (name)]=E$1)*(ubox[VisualID]=A240))),0),"")</f>
        <v/>
      </c>
      <c r="F240" s="2" t="str" cm="1">
        <f t="array" ref="F240">IFERROR(_xlfn.ARRAYTOTEXT(_xlfn.UNIQUE(_xlfn._xlws.FILTER(ubox[Failed Instance],(ubox[FirstError - IP (name)]=F$1)*(ubox[VisualID]=A240))),0),"")</f>
        <v/>
      </c>
      <c r="G240" s="2" t="str" cm="1">
        <f t="array" ref="G240">IFERROR(_xlfn.ARRAYTOTEXT(_xlfn.UNIQUE(_xlfn._xlws.FILTER(ubox[Failed Instance],(ubox[FirstError - IP (name)]=G$1)*(ubox[VisualID]=A240))),0),"")</f>
        <v/>
      </c>
      <c r="H240" s="2" t="str" cm="1">
        <f t="array" ref="H240">IFERROR(_xlfn.ARRAYTOTEXT(_xlfn.UNIQUE(_xlfn._xlws.FILTER(ubox[Failed Instance],(ubox[FirstError - IP (name)]=H$1)*(ubox[VisualID]=A240))),0),"")</f>
        <v/>
      </c>
    </row>
    <row r="241" spans="2:8" x14ac:dyDescent="0.3">
      <c r="B241" s="2" t="str">
        <f t="shared" si="5"/>
        <v/>
      </c>
      <c r="D241" s="2" t="str" cm="1">
        <f t="array" ref="D241">IFERROR(_xlfn.ARRAYTOTEXT(_xlfn.UNIQUE(_xlfn._xlws.FILTER(ubox[Failed Instance],(ubox[FirstError - IP (name)]=D$1)*(ubox[VisualID]=A241))),0),"")</f>
        <v/>
      </c>
      <c r="E241" s="2" t="str" cm="1">
        <f t="array" ref="E241">IFERROR(_xlfn.ARRAYTOTEXT(_xlfn.UNIQUE(_xlfn._xlws.FILTER(ubox[Failed Instance],(ubox[FirstError - IP (name)]=E$1)*(ubox[VisualID]=A241))),0),"")</f>
        <v/>
      </c>
      <c r="F241" s="2" t="str" cm="1">
        <f t="array" ref="F241">IFERROR(_xlfn.ARRAYTOTEXT(_xlfn.UNIQUE(_xlfn._xlws.FILTER(ubox[Failed Instance],(ubox[FirstError - IP (name)]=F$1)*(ubox[VisualID]=A241))),0),"")</f>
        <v/>
      </c>
      <c r="G241" s="2" t="str" cm="1">
        <f t="array" ref="G241">IFERROR(_xlfn.ARRAYTOTEXT(_xlfn.UNIQUE(_xlfn._xlws.FILTER(ubox[Failed Instance],(ubox[FirstError - IP (name)]=G$1)*(ubox[VisualID]=A241))),0),"")</f>
        <v/>
      </c>
      <c r="H241" s="2" t="str" cm="1">
        <f t="array" ref="H241">IFERROR(_xlfn.ARRAYTOTEXT(_xlfn.UNIQUE(_xlfn._xlws.FILTER(ubox[Failed Instance],(ubox[FirstError - IP (name)]=H$1)*(ubox[VisualID]=A241))),0),"")</f>
        <v/>
      </c>
    </row>
    <row r="242" spans="2:8" x14ac:dyDescent="0.3">
      <c r="B242" s="2" t="str">
        <f t="shared" si="5"/>
        <v/>
      </c>
      <c r="D242" s="2" t="str" cm="1">
        <f t="array" ref="D242">IFERROR(_xlfn.ARRAYTOTEXT(_xlfn.UNIQUE(_xlfn._xlws.FILTER(ubox[Failed Instance],(ubox[FirstError - IP (name)]=D$1)*(ubox[VisualID]=A242))),0),"")</f>
        <v/>
      </c>
      <c r="E242" s="2" t="str" cm="1">
        <f t="array" ref="E242">IFERROR(_xlfn.ARRAYTOTEXT(_xlfn.UNIQUE(_xlfn._xlws.FILTER(ubox[Failed Instance],(ubox[FirstError - IP (name)]=E$1)*(ubox[VisualID]=A242))),0),"")</f>
        <v/>
      </c>
      <c r="F242" s="2" t="str" cm="1">
        <f t="array" ref="F242">IFERROR(_xlfn.ARRAYTOTEXT(_xlfn.UNIQUE(_xlfn._xlws.FILTER(ubox[Failed Instance],(ubox[FirstError - IP (name)]=F$1)*(ubox[VisualID]=A242))),0),"")</f>
        <v/>
      </c>
      <c r="G242" s="2" t="str" cm="1">
        <f t="array" ref="G242">IFERROR(_xlfn.ARRAYTOTEXT(_xlfn.UNIQUE(_xlfn._xlws.FILTER(ubox[Failed Instance],(ubox[FirstError - IP (name)]=G$1)*(ubox[VisualID]=A242))),0),"")</f>
        <v/>
      </c>
      <c r="H242" s="2" t="str" cm="1">
        <f t="array" ref="H242">IFERROR(_xlfn.ARRAYTOTEXT(_xlfn.UNIQUE(_xlfn._xlws.FILTER(ubox[Failed Instance],(ubox[FirstError - IP (name)]=H$1)*(ubox[VisualID]=A242))),0),"")</f>
        <v/>
      </c>
    </row>
    <row r="243" spans="2:8" x14ac:dyDescent="0.3">
      <c r="B243" s="2" t="str">
        <f t="shared" si="5"/>
        <v/>
      </c>
      <c r="D243" s="2" t="str" cm="1">
        <f t="array" ref="D243">IFERROR(_xlfn.ARRAYTOTEXT(_xlfn.UNIQUE(_xlfn._xlws.FILTER(ubox[Failed Instance],(ubox[FirstError - IP (name)]=D$1)*(ubox[VisualID]=A243))),0),"")</f>
        <v/>
      </c>
      <c r="E243" s="2" t="str" cm="1">
        <f t="array" ref="E243">IFERROR(_xlfn.ARRAYTOTEXT(_xlfn.UNIQUE(_xlfn._xlws.FILTER(ubox[Failed Instance],(ubox[FirstError - IP (name)]=E$1)*(ubox[VisualID]=A243))),0),"")</f>
        <v/>
      </c>
      <c r="F243" s="2" t="str" cm="1">
        <f t="array" ref="F243">IFERROR(_xlfn.ARRAYTOTEXT(_xlfn.UNIQUE(_xlfn._xlws.FILTER(ubox[Failed Instance],(ubox[FirstError - IP (name)]=F$1)*(ubox[VisualID]=A243))),0),"")</f>
        <v/>
      </c>
      <c r="G243" s="2" t="str" cm="1">
        <f t="array" ref="G243">IFERROR(_xlfn.ARRAYTOTEXT(_xlfn.UNIQUE(_xlfn._xlws.FILTER(ubox[Failed Instance],(ubox[FirstError - IP (name)]=G$1)*(ubox[VisualID]=A243))),0),"")</f>
        <v/>
      </c>
      <c r="H243" s="2" t="str" cm="1">
        <f t="array" ref="H243">IFERROR(_xlfn.ARRAYTOTEXT(_xlfn.UNIQUE(_xlfn._xlws.FILTER(ubox[Failed Instance],(ubox[FirstError - IP (name)]=H$1)*(ubox[VisualID]=A243))),0),"")</f>
        <v/>
      </c>
    </row>
    <row r="244" spans="2:8" x14ac:dyDescent="0.3">
      <c r="B244" s="2" t="str">
        <f t="shared" si="5"/>
        <v/>
      </c>
      <c r="D244" s="2" t="str" cm="1">
        <f t="array" ref="D244">IFERROR(_xlfn.ARRAYTOTEXT(_xlfn.UNIQUE(_xlfn._xlws.FILTER(ubox[Failed Instance],(ubox[FirstError - IP (name)]=D$1)*(ubox[VisualID]=A244))),0),"")</f>
        <v/>
      </c>
      <c r="E244" s="2" t="str" cm="1">
        <f t="array" ref="E244">IFERROR(_xlfn.ARRAYTOTEXT(_xlfn.UNIQUE(_xlfn._xlws.FILTER(ubox[Failed Instance],(ubox[FirstError - IP (name)]=E$1)*(ubox[VisualID]=A244))),0),"")</f>
        <v/>
      </c>
      <c r="F244" s="2" t="str" cm="1">
        <f t="array" ref="F244">IFERROR(_xlfn.ARRAYTOTEXT(_xlfn.UNIQUE(_xlfn._xlws.FILTER(ubox[Failed Instance],(ubox[FirstError - IP (name)]=F$1)*(ubox[VisualID]=A244))),0),"")</f>
        <v/>
      </c>
      <c r="G244" s="2" t="str" cm="1">
        <f t="array" ref="G244">IFERROR(_xlfn.ARRAYTOTEXT(_xlfn.UNIQUE(_xlfn._xlws.FILTER(ubox[Failed Instance],(ubox[FirstError - IP (name)]=G$1)*(ubox[VisualID]=A244))),0),"")</f>
        <v/>
      </c>
      <c r="H244" s="2" t="str" cm="1">
        <f t="array" ref="H244">IFERROR(_xlfn.ARRAYTOTEXT(_xlfn.UNIQUE(_xlfn._xlws.FILTER(ubox[Failed Instance],(ubox[FirstError - IP (name)]=H$1)*(ubox[VisualID]=A244))),0),"")</f>
        <v/>
      </c>
    </row>
    <row r="245" spans="2:8" x14ac:dyDescent="0.3">
      <c r="B245" s="2" t="str">
        <f t="shared" si="5"/>
        <v/>
      </c>
      <c r="D245" s="2" t="str" cm="1">
        <f t="array" ref="D245">IFERROR(_xlfn.ARRAYTOTEXT(_xlfn.UNIQUE(_xlfn._xlws.FILTER(ubox[Failed Instance],(ubox[FirstError - IP (name)]=D$1)*(ubox[VisualID]=A245))),0),"")</f>
        <v/>
      </c>
      <c r="E245" s="2" t="str" cm="1">
        <f t="array" ref="E245">IFERROR(_xlfn.ARRAYTOTEXT(_xlfn.UNIQUE(_xlfn._xlws.FILTER(ubox[Failed Instance],(ubox[FirstError - IP (name)]=E$1)*(ubox[VisualID]=A245))),0),"")</f>
        <v/>
      </c>
      <c r="F245" s="2" t="str" cm="1">
        <f t="array" ref="F245">IFERROR(_xlfn.ARRAYTOTEXT(_xlfn.UNIQUE(_xlfn._xlws.FILTER(ubox[Failed Instance],(ubox[FirstError - IP (name)]=F$1)*(ubox[VisualID]=A245))),0),"")</f>
        <v/>
      </c>
      <c r="G245" s="2" t="str" cm="1">
        <f t="array" ref="G245">IFERROR(_xlfn.ARRAYTOTEXT(_xlfn.UNIQUE(_xlfn._xlws.FILTER(ubox[Failed Instance],(ubox[FirstError - IP (name)]=G$1)*(ubox[VisualID]=A245))),0),"")</f>
        <v/>
      </c>
      <c r="H245" s="2" t="str" cm="1">
        <f t="array" ref="H245">IFERROR(_xlfn.ARRAYTOTEXT(_xlfn.UNIQUE(_xlfn._xlws.FILTER(ubox[Failed Instance],(ubox[FirstError - IP (name)]=H$1)*(ubox[VisualID]=A245))),0),"")</f>
        <v/>
      </c>
    </row>
    <row r="246" spans="2:8" x14ac:dyDescent="0.3">
      <c r="B246" s="2" t="str">
        <f t="shared" si="5"/>
        <v/>
      </c>
      <c r="D246" s="2" t="str" cm="1">
        <f t="array" ref="D246">IFERROR(_xlfn.ARRAYTOTEXT(_xlfn.UNIQUE(_xlfn._xlws.FILTER(ubox[Failed Instance],(ubox[FirstError - IP (name)]=D$1)*(ubox[VisualID]=A246))),0),"")</f>
        <v/>
      </c>
      <c r="E246" s="2" t="str" cm="1">
        <f t="array" ref="E246">IFERROR(_xlfn.ARRAYTOTEXT(_xlfn.UNIQUE(_xlfn._xlws.FILTER(ubox[Failed Instance],(ubox[FirstError - IP (name)]=E$1)*(ubox[VisualID]=A246))),0),"")</f>
        <v/>
      </c>
      <c r="F246" s="2" t="str" cm="1">
        <f t="array" ref="F246">IFERROR(_xlfn.ARRAYTOTEXT(_xlfn.UNIQUE(_xlfn._xlws.FILTER(ubox[Failed Instance],(ubox[FirstError - IP (name)]=F$1)*(ubox[VisualID]=A246))),0),"")</f>
        <v/>
      </c>
      <c r="G246" s="2" t="str" cm="1">
        <f t="array" ref="G246">IFERROR(_xlfn.ARRAYTOTEXT(_xlfn.UNIQUE(_xlfn._xlws.FILTER(ubox[Failed Instance],(ubox[FirstError - IP (name)]=G$1)*(ubox[VisualID]=A246))),0),"")</f>
        <v/>
      </c>
      <c r="H246" s="2" t="str" cm="1">
        <f t="array" ref="H246">IFERROR(_xlfn.ARRAYTOTEXT(_xlfn.UNIQUE(_xlfn._xlws.FILTER(ubox[Failed Instance],(ubox[FirstError - IP (name)]=H$1)*(ubox[VisualID]=A246))),0),"")</f>
        <v/>
      </c>
    </row>
    <row r="247" spans="2:8" x14ac:dyDescent="0.3">
      <c r="B247" s="2" t="str">
        <f t="shared" si="5"/>
        <v/>
      </c>
      <c r="D247" s="2" t="str" cm="1">
        <f t="array" ref="D247">IFERROR(_xlfn.ARRAYTOTEXT(_xlfn.UNIQUE(_xlfn._xlws.FILTER(ubox[Failed Instance],(ubox[FirstError - IP (name)]=D$1)*(ubox[VisualID]=A247))),0),"")</f>
        <v/>
      </c>
      <c r="E247" s="2" t="str" cm="1">
        <f t="array" ref="E247">IFERROR(_xlfn.ARRAYTOTEXT(_xlfn.UNIQUE(_xlfn._xlws.FILTER(ubox[Failed Instance],(ubox[FirstError - IP (name)]=E$1)*(ubox[VisualID]=A247))),0),"")</f>
        <v/>
      </c>
      <c r="F247" s="2" t="str" cm="1">
        <f t="array" ref="F247">IFERROR(_xlfn.ARRAYTOTEXT(_xlfn.UNIQUE(_xlfn._xlws.FILTER(ubox[Failed Instance],(ubox[FirstError - IP (name)]=F$1)*(ubox[VisualID]=A247))),0),"")</f>
        <v/>
      </c>
      <c r="G247" s="2" t="str" cm="1">
        <f t="array" ref="G247">IFERROR(_xlfn.ARRAYTOTEXT(_xlfn.UNIQUE(_xlfn._xlws.FILTER(ubox[Failed Instance],(ubox[FirstError - IP (name)]=G$1)*(ubox[VisualID]=A247))),0),"")</f>
        <v/>
      </c>
      <c r="H247" s="2" t="str" cm="1">
        <f t="array" ref="H247">IFERROR(_xlfn.ARRAYTOTEXT(_xlfn.UNIQUE(_xlfn._xlws.FILTER(ubox[Failed Instance],(ubox[FirstError - IP (name)]=H$1)*(ubox[VisualID]=A247))),0),"")</f>
        <v/>
      </c>
    </row>
    <row r="248" spans="2:8" x14ac:dyDescent="0.3">
      <c r="B248" s="2" t="str">
        <f t="shared" si="5"/>
        <v/>
      </c>
      <c r="D248" s="2" t="str" cm="1">
        <f t="array" ref="D248">IFERROR(_xlfn.ARRAYTOTEXT(_xlfn.UNIQUE(_xlfn._xlws.FILTER(ubox[Failed Instance],(ubox[FirstError - IP (name)]=D$1)*(ubox[VisualID]=A248))),0),"")</f>
        <v/>
      </c>
      <c r="E248" s="2" t="str" cm="1">
        <f t="array" ref="E248">IFERROR(_xlfn.ARRAYTOTEXT(_xlfn.UNIQUE(_xlfn._xlws.FILTER(ubox[Failed Instance],(ubox[FirstError - IP (name)]=E$1)*(ubox[VisualID]=A248))),0),"")</f>
        <v/>
      </c>
      <c r="F248" s="2" t="str" cm="1">
        <f t="array" ref="F248">IFERROR(_xlfn.ARRAYTOTEXT(_xlfn.UNIQUE(_xlfn._xlws.FILTER(ubox[Failed Instance],(ubox[FirstError - IP (name)]=F$1)*(ubox[VisualID]=A248))),0),"")</f>
        <v/>
      </c>
      <c r="G248" s="2" t="str" cm="1">
        <f t="array" ref="G248">IFERROR(_xlfn.ARRAYTOTEXT(_xlfn.UNIQUE(_xlfn._xlws.FILTER(ubox[Failed Instance],(ubox[FirstError - IP (name)]=G$1)*(ubox[VisualID]=A248))),0),"")</f>
        <v/>
      </c>
      <c r="H248" s="2" t="str" cm="1">
        <f t="array" ref="H248">IFERROR(_xlfn.ARRAYTOTEXT(_xlfn.UNIQUE(_xlfn._xlws.FILTER(ubox[Failed Instance],(ubox[FirstError - IP (name)]=H$1)*(ubox[VisualID]=A248))),0),"")</f>
        <v/>
      </c>
    </row>
    <row r="249" spans="2:8" x14ac:dyDescent="0.3">
      <c r="B249" s="2" t="str">
        <f t="shared" si="5"/>
        <v/>
      </c>
      <c r="D249" s="2" t="str" cm="1">
        <f t="array" ref="D249">IFERROR(_xlfn.ARRAYTOTEXT(_xlfn.UNIQUE(_xlfn._xlws.FILTER(ubox[Failed Instance],(ubox[FirstError - IP (name)]=D$1)*(ubox[VisualID]=A249))),0),"")</f>
        <v/>
      </c>
      <c r="E249" s="2" t="str" cm="1">
        <f t="array" ref="E249">IFERROR(_xlfn.ARRAYTOTEXT(_xlfn.UNIQUE(_xlfn._xlws.FILTER(ubox[Failed Instance],(ubox[FirstError - IP (name)]=E$1)*(ubox[VisualID]=A249))),0),"")</f>
        <v/>
      </c>
      <c r="F249" s="2" t="str" cm="1">
        <f t="array" ref="F249">IFERROR(_xlfn.ARRAYTOTEXT(_xlfn.UNIQUE(_xlfn._xlws.FILTER(ubox[Failed Instance],(ubox[FirstError - IP (name)]=F$1)*(ubox[VisualID]=A249))),0),"")</f>
        <v/>
      </c>
      <c r="G249" s="2" t="str" cm="1">
        <f t="array" ref="G249">IFERROR(_xlfn.ARRAYTOTEXT(_xlfn.UNIQUE(_xlfn._xlws.FILTER(ubox[Failed Instance],(ubox[FirstError - IP (name)]=G$1)*(ubox[VisualID]=A249))),0),"")</f>
        <v/>
      </c>
      <c r="H249" s="2" t="str" cm="1">
        <f t="array" ref="H249">IFERROR(_xlfn.ARRAYTOTEXT(_xlfn.UNIQUE(_xlfn._xlws.FILTER(ubox[Failed Instance],(ubox[FirstError - IP (name)]=H$1)*(ubox[VisualID]=A249))),0),"")</f>
        <v/>
      </c>
    </row>
    <row r="250" spans="2:8" x14ac:dyDescent="0.3">
      <c r="B250" s="2" t="str">
        <f t="shared" si="5"/>
        <v/>
      </c>
      <c r="D250" s="2" t="str" cm="1">
        <f t="array" ref="D250">IFERROR(_xlfn.ARRAYTOTEXT(_xlfn.UNIQUE(_xlfn._xlws.FILTER(ubox[Failed Instance],(ubox[FirstError - IP (name)]=D$1)*(ubox[VisualID]=A250))),0),"")</f>
        <v/>
      </c>
      <c r="E250" s="2" t="str" cm="1">
        <f t="array" ref="E250">IFERROR(_xlfn.ARRAYTOTEXT(_xlfn.UNIQUE(_xlfn._xlws.FILTER(ubox[Failed Instance],(ubox[FirstError - IP (name)]=E$1)*(ubox[VisualID]=A250))),0),"")</f>
        <v/>
      </c>
      <c r="F250" s="2" t="str" cm="1">
        <f t="array" ref="F250">IFERROR(_xlfn.ARRAYTOTEXT(_xlfn.UNIQUE(_xlfn._xlws.FILTER(ubox[Failed Instance],(ubox[FirstError - IP (name)]=F$1)*(ubox[VisualID]=A250))),0),"")</f>
        <v/>
      </c>
      <c r="G250" s="2" t="str" cm="1">
        <f t="array" ref="G250">IFERROR(_xlfn.ARRAYTOTEXT(_xlfn.UNIQUE(_xlfn._xlws.FILTER(ubox[Failed Instance],(ubox[FirstError - IP (name)]=G$1)*(ubox[VisualID]=A250))),0),"")</f>
        <v/>
      </c>
      <c r="H250" s="2" t="str" cm="1">
        <f t="array" ref="H250">IFERROR(_xlfn.ARRAYTOTEXT(_xlfn.UNIQUE(_xlfn._xlws.FILTER(ubox[Failed Instance],(ubox[FirstError - IP (name)]=H$1)*(ubox[VisualID]=A250))),0),"")</f>
        <v/>
      </c>
    </row>
    <row r="251" spans="2:8" x14ac:dyDescent="0.3">
      <c r="B251" s="2" t="str">
        <f t="shared" si="5"/>
        <v/>
      </c>
      <c r="D251" s="2" t="str" cm="1">
        <f t="array" ref="D251">IFERROR(_xlfn.ARRAYTOTEXT(_xlfn.UNIQUE(_xlfn._xlws.FILTER(ubox[Failed Instance],(ubox[FirstError - IP (name)]=D$1)*(ubox[VisualID]=A251))),0),"")</f>
        <v/>
      </c>
      <c r="E251" s="2" t="str" cm="1">
        <f t="array" ref="E251">IFERROR(_xlfn.ARRAYTOTEXT(_xlfn.UNIQUE(_xlfn._xlws.FILTER(ubox[Failed Instance],(ubox[FirstError - IP (name)]=E$1)*(ubox[VisualID]=A251))),0),"")</f>
        <v/>
      </c>
      <c r="F251" s="2" t="str" cm="1">
        <f t="array" ref="F251">IFERROR(_xlfn.ARRAYTOTEXT(_xlfn.UNIQUE(_xlfn._xlws.FILTER(ubox[Failed Instance],(ubox[FirstError - IP (name)]=F$1)*(ubox[VisualID]=A251))),0),"")</f>
        <v/>
      </c>
      <c r="G251" s="2" t="str" cm="1">
        <f t="array" ref="G251">IFERROR(_xlfn.ARRAYTOTEXT(_xlfn.UNIQUE(_xlfn._xlws.FILTER(ubox[Failed Instance],(ubox[FirstError - IP (name)]=G$1)*(ubox[VisualID]=A251))),0),"")</f>
        <v/>
      </c>
      <c r="H251" s="2" t="str" cm="1">
        <f t="array" ref="H251">IFERROR(_xlfn.ARRAYTOTEXT(_xlfn.UNIQUE(_xlfn._xlws.FILTER(ubox[Failed Instance],(ubox[FirstError - IP (name)]=H$1)*(ubox[VisualID]=A251))),0),"")</f>
        <v/>
      </c>
    </row>
    <row r="252" spans="2:8" x14ac:dyDescent="0.3">
      <c r="B252" s="2" t="str">
        <f t="shared" si="5"/>
        <v/>
      </c>
      <c r="D252" s="2" t="str" cm="1">
        <f t="array" ref="D252">IFERROR(_xlfn.ARRAYTOTEXT(_xlfn.UNIQUE(_xlfn._xlws.FILTER(ubox[Failed Instance],(ubox[FirstError - IP (name)]=D$1)*(ubox[VisualID]=A252))),0),"")</f>
        <v/>
      </c>
      <c r="E252" s="2" t="str" cm="1">
        <f t="array" ref="E252">IFERROR(_xlfn.ARRAYTOTEXT(_xlfn.UNIQUE(_xlfn._xlws.FILTER(ubox[Failed Instance],(ubox[FirstError - IP (name)]=E$1)*(ubox[VisualID]=A252))),0),"")</f>
        <v/>
      </c>
      <c r="F252" s="2" t="str" cm="1">
        <f t="array" ref="F252">IFERROR(_xlfn.ARRAYTOTEXT(_xlfn.UNIQUE(_xlfn._xlws.FILTER(ubox[Failed Instance],(ubox[FirstError - IP (name)]=F$1)*(ubox[VisualID]=A252))),0),"")</f>
        <v/>
      </c>
      <c r="G252" s="2" t="str" cm="1">
        <f t="array" ref="G252">IFERROR(_xlfn.ARRAYTOTEXT(_xlfn.UNIQUE(_xlfn._xlws.FILTER(ubox[Failed Instance],(ubox[FirstError - IP (name)]=G$1)*(ubox[VisualID]=A252))),0),"")</f>
        <v/>
      </c>
      <c r="H252" s="2" t="str" cm="1">
        <f t="array" ref="H252">IFERROR(_xlfn.ARRAYTOTEXT(_xlfn.UNIQUE(_xlfn._xlws.FILTER(ubox[Failed Instance],(ubox[FirstError - IP (name)]=H$1)*(ubox[VisualID]=A252))),0),"")</f>
        <v/>
      </c>
    </row>
    <row r="253" spans="2:8" x14ac:dyDescent="0.3">
      <c r="B253" s="2" t="str">
        <f t="shared" si="5"/>
        <v/>
      </c>
      <c r="D253" s="2" t="str" cm="1">
        <f t="array" ref="D253">IFERROR(_xlfn.ARRAYTOTEXT(_xlfn.UNIQUE(_xlfn._xlws.FILTER(ubox[Failed Instance],(ubox[FirstError - IP (name)]=D$1)*(ubox[VisualID]=A253))),0),"")</f>
        <v/>
      </c>
      <c r="E253" s="2" t="str" cm="1">
        <f t="array" ref="E253">IFERROR(_xlfn.ARRAYTOTEXT(_xlfn.UNIQUE(_xlfn._xlws.FILTER(ubox[Failed Instance],(ubox[FirstError - IP (name)]=E$1)*(ubox[VisualID]=A253))),0),"")</f>
        <v/>
      </c>
      <c r="F253" s="2" t="str" cm="1">
        <f t="array" ref="F253">IFERROR(_xlfn.ARRAYTOTEXT(_xlfn.UNIQUE(_xlfn._xlws.FILTER(ubox[Failed Instance],(ubox[FirstError - IP (name)]=F$1)*(ubox[VisualID]=A253))),0),"")</f>
        <v/>
      </c>
      <c r="G253" s="2" t="str" cm="1">
        <f t="array" ref="G253">IFERROR(_xlfn.ARRAYTOTEXT(_xlfn.UNIQUE(_xlfn._xlws.FILTER(ubox[Failed Instance],(ubox[FirstError - IP (name)]=G$1)*(ubox[VisualID]=A253))),0),"")</f>
        <v/>
      </c>
      <c r="H253" s="2" t="str" cm="1">
        <f t="array" ref="H253">IFERROR(_xlfn.ARRAYTOTEXT(_xlfn.UNIQUE(_xlfn._xlws.FILTER(ubox[Failed Instance],(ubox[FirstError - IP (name)]=H$1)*(ubox[VisualID]=A253))),0),"")</f>
        <v/>
      </c>
    </row>
    <row r="254" spans="2:8" x14ac:dyDescent="0.3">
      <c r="B254" s="2" t="str">
        <f t="shared" si="5"/>
        <v/>
      </c>
      <c r="D254" s="2" t="str" cm="1">
        <f t="array" ref="D254">IFERROR(_xlfn.ARRAYTOTEXT(_xlfn.UNIQUE(_xlfn._xlws.FILTER(ubox[Failed Instance],(ubox[FirstError - IP (name)]=D$1)*(ubox[VisualID]=A254))),0),"")</f>
        <v/>
      </c>
      <c r="E254" s="2" t="str" cm="1">
        <f t="array" ref="E254">IFERROR(_xlfn.ARRAYTOTEXT(_xlfn.UNIQUE(_xlfn._xlws.FILTER(ubox[Failed Instance],(ubox[FirstError - IP (name)]=E$1)*(ubox[VisualID]=A254))),0),"")</f>
        <v/>
      </c>
      <c r="F254" s="2" t="str" cm="1">
        <f t="array" ref="F254">IFERROR(_xlfn.ARRAYTOTEXT(_xlfn.UNIQUE(_xlfn._xlws.FILTER(ubox[Failed Instance],(ubox[FirstError - IP (name)]=F$1)*(ubox[VisualID]=A254))),0),"")</f>
        <v/>
      </c>
      <c r="G254" s="2" t="str" cm="1">
        <f t="array" ref="G254">IFERROR(_xlfn.ARRAYTOTEXT(_xlfn.UNIQUE(_xlfn._xlws.FILTER(ubox[Failed Instance],(ubox[FirstError - IP (name)]=G$1)*(ubox[VisualID]=A254))),0),"")</f>
        <v/>
      </c>
      <c r="H254" s="2" t="str" cm="1">
        <f t="array" ref="H254">IFERROR(_xlfn.ARRAYTOTEXT(_xlfn.UNIQUE(_xlfn._xlws.FILTER(ubox[Failed Instance],(ubox[FirstError - IP (name)]=H$1)*(ubox[VisualID]=A254))),0),"")</f>
        <v/>
      </c>
    </row>
    <row r="255" spans="2:8" x14ac:dyDescent="0.3">
      <c r="B255" s="2" t="str">
        <f t="shared" si="5"/>
        <v/>
      </c>
      <c r="D255" s="2" t="str" cm="1">
        <f t="array" ref="D255">IFERROR(_xlfn.ARRAYTOTEXT(_xlfn.UNIQUE(_xlfn._xlws.FILTER(ubox[Failed Instance],(ubox[FirstError - IP (name)]=D$1)*(ubox[VisualID]=A255))),0),"")</f>
        <v/>
      </c>
      <c r="E255" s="2" t="str" cm="1">
        <f t="array" ref="E255">IFERROR(_xlfn.ARRAYTOTEXT(_xlfn.UNIQUE(_xlfn._xlws.FILTER(ubox[Failed Instance],(ubox[FirstError - IP (name)]=E$1)*(ubox[VisualID]=A255))),0),"")</f>
        <v/>
      </c>
      <c r="F255" s="2" t="str" cm="1">
        <f t="array" ref="F255">IFERROR(_xlfn.ARRAYTOTEXT(_xlfn.UNIQUE(_xlfn._xlws.FILTER(ubox[Failed Instance],(ubox[FirstError - IP (name)]=F$1)*(ubox[VisualID]=A255))),0),"")</f>
        <v/>
      </c>
      <c r="G255" s="2" t="str" cm="1">
        <f t="array" ref="G255">IFERROR(_xlfn.ARRAYTOTEXT(_xlfn.UNIQUE(_xlfn._xlws.FILTER(ubox[Failed Instance],(ubox[FirstError - IP (name)]=G$1)*(ubox[VisualID]=A255))),0),"")</f>
        <v/>
      </c>
      <c r="H255" s="2" t="str" cm="1">
        <f t="array" ref="H255">IFERROR(_xlfn.ARRAYTOTEXT(_xlfn.UNIQUE(_xlfn._xlws.FILTER(ubox[Failed Instance],(ubox[FirstError - IP (name)]=H$1)*(ubox[VisualID]=A255))),0),"")</f>
        <v/>
      </c>
    </row>
    <row r="256" spans="2:8" x14ac:dyDescent="0.3">
      <c r="B256" s="2" t="str">
        <f t="shared" si="5"/>
        <v/>
      </c>
      <c r="D256" s="2" t="str" cm="1">
        <f t="array" ref="D256">IFERROR(_xlfn.ARRAYTOTEXT(_xlfn.UNIQUE(_xlfn._xlws.FILTER(ubox[Failed Instance],(ubox[FirstError - IP (name)]=D$1)*(ubox[VisualID]=A256))),0),"")</f>
        <v/>
      </c>
      <c r="E256" s="2" t="str" cm="1">
        <f t="array" ref="E256">IFERROR(_xlfn.ARRAYTOTEXT(_xlfn.UNIQUE(_xlfn._xlws.FILTER(ubox[Failed Instance],(ubox[FirstError - IP (name)]=E$1)*(ubox[VisualID]=A256))),0),"")</f>
        <v/>
      </c>
      <c r="F256" s="2" t="str" cm="1">
        <f t="array" ref="F256">IFERROR(_xlfn.ARRAYTOTEXT(_xlfn.UNIQUE(_xlfn._xlws.FILTER(ubox[Failed Instance],(ubox[FirstError - IP (name)]=F$1)*(ubox[VisualID]=A256))),0),"")</f>
        <v/>
      </c>
      <c r="G256" s="2" t="str" cm="1">
        <f t="array" ref="G256">IFERROR(_xlfn.ARRAYTOTEXT(_xlfn.UNIQUE(_xlfn._xlws.FILTER(ubox[Failed Instance],(ubox[FirstError - IP (name)]=G$1)*(ubox[VisualID]=A256))),0),"")</f>
        <v/>
      </c>
      <c r="H256" s="2" t="str" cm="1">
        <f t="array" ref="H256">IFERROR(_xlfn.ARRAYTOTEXT(_xlfn.UNIQUE(_xlfn._xlws.FILTER(ubox[Failed Instance],(ubox[FirstError - IP (name)]=H$1)*(ubox[VisualID]=A256))),0),"")</f>
        <v/>
      </c>
    </row>
    <row r="257" spans="2:8" x14ac:dyDescent="0.3">
      <c r="B257" s="2" t="str">
        <f t="shared" si="5"/>
        <v/>
      </c>
      <c r="D257" s="2" t="str" cm="1">
        <f t="array" ref="D257">IFERROR(_xlfn.ARRAYTOTEXT(_xlfn.UNIQUE(_xlfn._xlws.FILTER(ubox[Failed Instance],(ubox[FirstError - IP (name)]=D$1)*(ubox[VisualID]=A257))),0),"")</f>
        <v/>
      </c>
      <c r="E257" s="2" t="str" cm="1">
        <f t="array" ref="E257">IFERROR(_xlfn.ARRAYTOTEXT(_xlfn.UNIQUE(_xlfn._xlws.FILTER(ubox[Failed Instance],(ubox[FirstError - IP (name)]=E$1)*(ubox[VisualID]=A257))),0),"")</f>
        <v/>
      </c>
      <c r="F257" s="2" t="str" cm="1">
        <f t="array" ref="F257">IFERROR(_xlfn.ARRAYTOTEXT(_xlfn.UNIQUE(_xlfn._xlws.FILTER(ubox[Failed Instance],(ubox[FirstError - IP (name)]=F$1)*(ubox[VisualID]=A257))),0),"")</f>
        <v/>
      </c>
      <c r="G257" s="2" t="str" cm="1">
        <f t="array" ref="G257">IFERROR(_xlfn.ARRAYTOTEXT(_xlfn.UNIQUE(_xlfn._xlws.FILTER(ubox[Failed Instance],(ubox[FirstError - IP (name)]=G$1)*(ubox[VisualID]=A257))),0),"")</f>
        <v/>
      </c>
      <c r="H257" s="2" t="str" cm="1">
        <f t="array" ref="H257">IFERROR(_xlfn.ARRAYTOTEXT(_xlfn.UNIQUE(_xlfn._xlws.FILTER(ubox[Failed Instance],(ubox[FirstError - IP (name)]=H$1)*(ubox[VisualID]=A257))),0),"")</f>
        <v/>
      </c>
    </row>
    <row r="258" spans="2:8" x14ac:dyDescent="0.3">
      <c r="B258" s="2" t="str">
        <f t="shared" si="5"/>
        <v/>
      </c>
      <c r="D258" s="2" t="str" cm="1">
        <f t="array" ref="D258">IFERROR(_xlfn.ARRAYTOTEXT(_xlfn.UNIQUE(_xlfn._xlws.FILTER(ubox[Failed Instance],(ubox[FirstError - IP (name)]=D$1)*(ubox[VisualID]=A258))),0),"")</f>
        <v/>
      </c>
      <c r="E258" s="2" t="str" cm="1">
        <f t="array" ref="E258">IFERROR(_xlfn.ARRAYTOTEXT(_xlfn.UNIQUE(_xlfn._xlws.FILTER(ubox[Failed Instance],(ubox[FirstError - IP (name)]=E$1)*(ubox[VisualID]=A258))),0),"")</f>
        <v/>
      </c>
      <c r="F258" s="2" t="str" cm="1">
        <f t="array" ref="F258">IFERROR(_xlfn.ARRAYTOTEXT(_xlfn.UNIQUE(_xlfn._xlws.FILTER(ubox[Failed Instance],(ubox[FirstError - IP (name)]=F$1)*(ubox[VisualID]=A258))),0),"")</f>
        <v/>
      </c>
      <c r="G258" s="2" t="str" cm="1">
        <f t="array" ref="G258">IFERROR(_xlfn.ARRAYTOTEXT(_xlfn.UNIQUE(_xlfn._xlws.FILTER(ubox[Failed Instance],(ubox[FirstError - IP (name)]=G$1)*(ubox[VisualID]=A258))),0),"")</f>
        <v/>
      </c>
      <c r="H258" s="2" t="str" cm="1">
        <f t="array" ref="H258">IFERROR(_xlfn.ARRAYTOTEXT(_xlfn.UNIQUE(_xlfn._xlws.FILTER(ubox[Failed Instance],(ubox[FirstError - IP (name)]=H$1)*(ubox[VisualID]=A258))),0),"")</f>
        <v/>
      </c>
    </row>
    <row r="259" spans="2:8" x14ac:dyDescent="0.3">
      <c r="B259" s="2" t="str">
        <f t="shared" si="5"/>
        <v/>
      </c>
      <c r="D259" s="2" t="str" cm="1">
        <f t="array" ref="D259">IFERROR(_xlfn.ARRAYTOTEXT(_xlfn.UNIQUE(_xlfn._xlws.FILTER(ubox[Failed Instance],(ubox[FirstError - IP (name)]=D$1)*(ubox[VisualID]=A259))),0),"")</f>
        <v/>
      </c>
      <c r="E259" s="2" t="str" cm="1">
        <f t="array" ref="E259">IFERROR(_xlfn.ARRAYTOTEXT(_xlfn.UNIQUE(_xlfn._xlws.FILTER(ubox[Failed Instance],(ubox[FirstError - IP (name)]=E$1)*(ubox[VisualID]=A259))),0),"")</f>
        <v/>
      </c>
      <c r="F259" s="2" t="str" cm="1">
        <f t="array" ref="F259">IFERROR(_xlfn.ARRAYTOTEXT(_xlfn.UNIQUE(_xlfn._xlws.FILTER(ubox[Failed Instance],(ubox[FirstError - IP (name)]=F$1)*(ubox[VisualID]=A259))),0),"")</f>
        <v/>
      </c>
      <c r="G259" s="2" t="str" cm="1">
        <f t="array" ref="G259">IFERROR(_xlfn.ARRAYTOTEXT(_xlfn.UNIQUE(_xlfn._xlws.FILTER(ubox[Failed Instance],(ubox[FirstError - IP (name)]=G$1)*(ubox[VisualID]=A259))),0),"")</f>
        <v/>
      </c>
      <c r="H259" s="2" t="str" cm="1">
        <f t="array" ref="H259">IFERROR(_xlfn.ARRAYTOTEXT(_xlfn.UNIQUE(_xlfn._xlws.FILTER(ubox[Failed Instance],(ubox[FirstError - IP (name)]=H$1)*(ubox[VisualID]=A259))),0),"")</f>
        <v/>
      </c>
    </row>
    <row r="260" spans="2:8" x14ac:dyDescent="0.3">
      <c r="B260" s="2" t="str">
        <f t="shared" si="5"/>
        <v/>
      </c>
      <c r="D260" s="2" t="str" cm="1">
        <f t="array" ref="D260">IFERROR(_xlfn.ARRAYTOTEXT(_xlfn.UNIQUE(_xlfn._xlws.FILTER(ubox[Failed Instance],(ubox[FirstError - IP (name)]=D$1)*(ubox[VisualID]=A260))),0),"")</f>
        <v/>
      </c>
      <c r="E260" s="2" t="str" cm="1">
        <f t="array" ref="E260">IFERROR(_xlfn.ARRAYTOTEXT(_xlfn.UNIQUE(_xlfn._xlws.FILTER(ubox[Failed Instance],(ubox[FirstError - IP (name)]=E$1)*(ubox[VisualID]=A260))),0),"")</f>
        <v/>
      </c>
      <c r="F260" s="2" t="str" cm="1">
        <f t="array" ref="F260">IFERROR(_xlfn.ARRAYTOTEXT(_xlfn.UNIQUE(_xlfn._xlws.FILTER(ubox[Failed Instance],(ubox[FirstError - IP (name)]=F$1)*(ubox[VisualID]=A260))),0),"")</f>
        <v/>
      </c>
      <c r="G260" s="2" t="str" cm="1">
        <f t="array" ref="G260">IFERROR(_xlfn.ARRAYTOTEXT(_xlfn.UNIQUE(_xlfn._xlws.FILTER(ubox[Failed Instance],(ubox[FirstError - IP (name)]=G$1)*(ubox[VisualID]=A260))),0),"")</f>
        <v/>
      </c>
      <c r="H260" s="2" t="str" cm="1">
        <f t="array" ref="H260">IFERROR(_xlfn.ARRAYTOTEXT(_xlfn.UNIQUE(_xlfn._xlws.FILTER(ubox[Failed Instance],(ubox[FirstError - IP (name)]=H$1)*(ubox[VisualID]=A260))),0),"")</f>
        <v/>
      </c>
    </row>
    <row r="261" spans="2:8" x14ac:dyDescent="0.3">
      <c r="B261" s="2" t="str">
        <f t="shared" si="5"/>
        <v/>
      </c>
      <c r="D261" s="2" t="str" cm="1">
        <f t="array" ref="D261">IFERROR(_xlfn.ARRAYTOTEXT(_xlfn.UNIQUE(_xlfn._xlws.FILTER(ubox[Failed Instance],(ubox[FirstError - IP (name)]=D$1)*(ubox[VisualID]=A261))),0),"")</f>
        <v/>
      </c>
      <c r="E261" s="2" t="str" cm="1">
        <f t="array" ref="E261">IFERROR(_xlfn.ARRAYTOTEXT(_xlfn.UNIQUE(_xlfn._xlws.FILTER(ubox[Failed Instance],(ubox[FirstError - IP (name)]=E$1)*(ubox[VisualID]=A261))),0),"")</f>
        <v/>
      </c>
      <c r="F261" s="2" t="str" cm="1">
        <f t="array" ref="F261">IFERROR(_xlfn.ARRAYTOTEXT(_xlfn.UNIQUE(_xlfn._xlws.FILTER(ubox[Failed Instance],(ubox[FirstError - IP (name)]=F$1)*(ubox[VisualID]=A261))),0),"")</f>
        <v/>
      </c>
      <c r="G261" s="2" t="str" cm="1">
        <f t="array" ref="G261">IFERROR(_xlfn.ARRAYTOTEXT(_xlfn.UNIQUE(_xlfn._xlws.FILTER(ubox[Failed Instance],(ubox[FirstError - IP (name)]=G$1)*(ubox[VisualID]=A261))),0),"")</f>
        <v/>
      </c>
      <c r="H261" s="2" t="str" cm="1">
        <f t="array" ref="H261">IFERROR(_xlfn.ARRAYTOTEXT(_xlfn.UNIQUE(_xlfn._xlws.FILTER(ubox[Failed Instance],(ubox[FirstError - IP (name)]=H$1)*(ubox[VisualID]=A261))),0),"")</f>
        <v/>
      </c>
    </row>
    <row r="262" spans="2:8" x14ac:dyDescent="0.3">
      <c r="B262" s="2" t="str">
        <f t="shared" si="5"/>
        <v/>
      </c>
      <c r="D262" s="2" t="str" cm="1">
        <f t="array" ref="D262">IFERROR(_xlfn.ARRAYTOTEXT(_xlfn.UNIQUE(_xlfn._xlws.FILTER(ubox[Failed Instance],(ubox[FirstError - IP (name)]=D$1)*(ubox[VisualID]=A262))),0),"")</f>
        <v/>
      </c>
      <c r="E262" s="2" t="str" cm="1">
        <f t="array" ref="E262">IFERROR(_xlfn.ARRAYTOTEXT(_xlfn.UNIQUE(_xlfn._xlws.FILTER(ubox[Failed Instance],(ubox[FirstError - IP (name)]=E$1)*(ubox[VisualID]=A262))),0),"")</f>
        <v/>
      </c>
      <c r="F262" s="2" t="str" cm="1">
        <f t="array" ref="F262">IFERROR(_xlfn.ARRAYTOTEXT(_xlfn.UNIQUE(_xlfn._xlws.FILTER(ubox[Failed Instance],(ubox[FirstError - IP (name)]=F$1)*(ubox[VisualID]=A262))),0),"")</f>
        <v/>
      </c>
      <c r="G262" s="2" t="str" cm="1">
        <f t="array" ref="G262">IFERROR(_xlfn.ARRAYTOTEXT(_xlfn.UNIQUE(_xlfn._xlws.FILTER(ubox[Failed Instance],(ubox[FirstError - IP (name)]=G$1)*(ubox[VisualID]=A262))),0),"")</f>
        <v/>
      </c>
      <c r="H262" s="2" t="str" cm="1">
        <f t="array" ref="H262">IFERROR(_xlfn.ARRAYTOTEXT(_xlfn.UNIQUE(_xlfn._xlws.FILTER(ubox[Failed Instance],(ubox[FirstError - IP (name)]=H$1)*(ubox[VisualID]=A262))),0),"")</f>
        <v/>
      </c>
    </row>
    <row r="263" spans="2:8" x14ac:dyDescent="0.3">
      <c r="B263" s="2" t="str">
        <f t="shared" si="5"/>
        <v/>
      </c>
      <c r="D263" s="2" t="str" cm="1">
        <f t="array" ref="D263">IFERROR(_xlfn.ARRAYTOTEXT(_xlfn.UNIQUE(_xlfn._xlws.FILTER(ubox[Failed Instance],(ubox[FirstError - IP (name)]=D$1)*(ubox[VisualID]=A263))),0),"")</f>
        <v/>
      </c>
      <c r="E263" s="2" t="str" cm="1">
        <f t="array" ref="E263">IFERROR(_xlfn.ARRAYTOTEXT(_xlfn.UNIQUE(_xlfn._xlws.FILTER(ubox[Failed Instance],(ubox[FirstError - IP (name)]=E$1)*(ubox[VisualID]=A263))),0),"")</f>
        <v/>
      </c>
      <c r="F263" s="2" t="str" cm="1">
        <f t="array" ref="F263">IFERROR(_xlfn.ARRAYTOTEXT(_xlfn.UNIQUE(_xlfn._xlws.FILTER(ubox[Failed Instance],(ubox[FirstError - IP (name)]=F$1)*(ubox[VisualID]=A263))),0),"")</f>
        <v/>
      </c>
      <c r="G263" s="2" t="str" cm="1">
        <f t="array" ref="G263">IFERROR(_xlfn.ARRAYTOTEXT(_xlfn.UNIQUE(_xlfn._xlws.FILTER(ubox[Failed Instance],(ubox[FirstError - IP (name)]=G$1)*(ubox[VisualID]=A263))),0),"")</f>
        <v/>
      </c>
      <c r="H263" s="2" t="str" cm="1">
        <f t="array" ref="H263">IFERROR(_xlfn.ARRAYTOTEXT(_xlfn.UNIQUE(_xlfn._xlws.FILTER(ubox[Failed Instance],(ubox[FirstError - IP (name)]=H$1)*(ubox[VisualID]=A263))),0),"")</f>
        <v/>
      </c>
    </row>
    <row r="264" spans="2:8" x14ac:dyDescent="0.3">
      <c r="B264" s="2" t="str">
        <f t="shared" si="5"/>
        <v/>
      </c>
      <c r="D264" s="2" t="str" cm="1">
        <f t="array" ref="D264">IFERROR(_xlfn.ARRAYTOTEXT(_xlfn.UNIQUE(_xlfn._xlws.FILTER(ubox[Failed Instance],(ubox[FirstError - IP (name)]=D$1)*(ubox[VisualID]=A264))),0),"")</f>
        <v/>
      </c>
      <c r="E264" s="2" t="str" cm="1">
        <f t="array" ref="E264">IFERROR(_xlfn.ARRAYTOTEXT(_xlfn.UNIQUE(_xlfn._xlws.FILTER(ubox[Failed Instance],(ubox[FirstError - IP (name)]=E$1)*(ubox[VisualID]=A264))),0),"")</f>
        <v/>
      </c>
      <c r="F264" s="2" t="str" cm="1">
        <f t="array" ref="F264">IFERROR(_xlfn.ARRAYTOTEXT(_xlfn.UNIQUE(_xlfn._xlws.FILTER(ubox[Failed Instance],(ubox[FirstError - IP (name)]=F$1)*(ubox[VisualID]=A264))),0),"")</f>
        <v/>
      </c>
      <c r="G264" s="2" t="str" cm="1">
        <f t="array" ref="G264">IFERROR(_xlfn.ARRAYTOTEXT(_xlfn.UNIQUE(_xlfn._xlws.FILTER(ubox[Failed Instance],(ubox[FirstError - IP (name)]=G$1)*(ubox[VisualID]=A264))),0),"")</f>
        <v/>
      </c>
      <c r="H264" s="2" t="str" cm="1">
        <f t="array" ref="H264">IFERROR(_xlfn.ARRAYTOTEXT(_xlfn.UNIQUE(_xlfn._xlws.FILTER(ubox[Failed Instance],(ubox[FirstError - IP (name)]=H$1)*(ubox[VisualID]=A264))),0),"")</f>
        <v/>
      </c>
    </row>
    <row r="265" spans="2:8" x14ac:dyDescent="0.3">
      <c r="B265" s="2" t="str">
        <f t="shared" si="5"/>
        <v/>
      </c>
      <c r="D265" s="2" t="str" cm="1">
        <f t="array" ref="D265">IFERROR(_xlfn.ARRAYTOTEXT(_xlfn.UNIQUE(_xlfn._xlws.FILTER(ubox[Failed Instance],(ubox[FirstError - IP (name)]=D$1)*(ubox[VisualID]=A265))),0),"")</f>
        <v/>
      </c>
      <c r="E265" s="2" t="str" cm="1">
        <f t="array" ref="E265">IFERROR(_xlfn.ARRAYTOTEXT(_xlfn.UNIQUE(_xlfn._xlws.FILTER(ubox[Failed Instance],(ubox[FirstError - IP (name)]=E$1)*(ubox[VisualID]=A265))),0),"")</f>
        <v/>
      </c>
      <c r="F265" s="2" t="str" cm="1">
        <f t="array" ref="F265">IFERROR(_xlfn.ARRAYTOTEXT(_xlfn.UNIQUE(_xlfn._xlws.FILTER(ubox[Failed Instance],(ubox[FirstError - IP (name)]=F$1)*(ubox[VisualID]=A265))),0),"")</f>
        <v/>
      </c>
      <c r="G265" s="2" t="str" cm="1">
        <f t="array" ref="G265">IFERROR(_xlfn.ARRAYTOTEXT(_xlfn.UNIQUE(_xlfn._xlws.FILTER(ubox[Failed Instance],(ubox[FirstError - IP (name)]=G$1)*(ubox[VisualID]=A265))),0),"")</f>
        <v/>
      </c>
      <c r="H265" s="2" t="str" cm="1">
        <f t="array" ref="H265">IFERROR(_xlfn.ARRAYTOTEXT(_xlfn.UNIQUE(_xlfn._xlws.FILTER(ubox[Failed Instance],(ubox[FirstError - IP (name)]=H$1)*(ubox[VisualID]=A265))),0),"")</f>
        <v/>
      </c>
    </row>
    <row r="266" spans="2:8" x14ac:dyDescent="0.3">
      <c r="B266" s="2" t="str">
        <f t="shared" si="5"/>
        <v/>
      </c>
      <c r="D266" s="2" t="str" cm="1">
        <f t="array" ref="D266">IFERROR(_xlfn.ARRAYTOTEXT(_xlfn.UNIQUE(_xlfn._xlws.FILTER(ubox[Failed Instance],(ubox[FirstError - IP (name)]=D$1)*(ubox[VisualID]=A266))),0),"")</f>
        <v/>
      </c>
      <c r="E266" s="2" t="str" cm="1">
        <f t="array" ref="E266">IFERROR(_xlfn.ARRAYTOTEXT(_xlfn.UNIQUE(_xlfn._xlws.FILTER(ubox[Failed Instance],(ubox[FirstError - IP (name)]=E$1)*(ubox[VisualID]=A266))),0),"")</f>
        <v/>
      </c>
      <c r="F266" s="2" t="str" cm="1">
        <f t="array" ref="F266">IFERROR(_xlfn.ARRAYTOTEXT(_xlfn.UNIQUE(_xlfn._xlws.FILTER(ubox[Failed Instance],(ubox[FirstError - IP (name)]=F$1)*(ubox[VisualID]=A266))),0),"")</f>
        <v/>
      </c>
      <c r="G266" s="2" t="str" cm="1">
        <f t="array" ref="G266">IFERROR(_xlfn.ARRAYTOTEXT(_xlfn.UNIQUE(_xlfn._xlws.FILTER(ubox[Failed Instance],(ubox[FirstError - IP (name)]=G$1)*(ubox[VisualID]=A266))),0),"")</f>
        <v/>
      </c>
      <c r="H266" s="2" t="str" cm="1">
        <f t="array" ref="H266">IFERROR(_xlfn.ARRAYTOTEXT(_xlfn.UNIQUE(_xlfn._xlws.FILTER(ubox[Failed Instance],(ubox[FirstError - IP (name)]=H$1)*(ubox[VisualID]=A266))),0),"")</f>
        <v/>
      </c>
    </row>
    <row r="267" spans="2:8" x14ac:dyDescent="0.3">
      <c r="B267" s="2" t="str">
        <f t="shared" si="5"/>
        <v/>
      </c>
      <c r="D267" s="2" t="str" cm="1">
        <f t="array" ref="D267">IFERROR(_xlfn.ARRAYTOTEXT(_xlfn.UNIQUE(_xlfn._xlws.FILTER(ubox[Failed Instance],(ubox[FirstError - IP (name)]=D$1)*(ubox[VisualID]=A267))),0),"")</f>
        <v/>
      </c>
      <c r="E267" s="2" t="str" cm="1">
        <f t="array" ref="E267">IFERROR(_xlfn.ARRAYTOTEXT(_xlfn.UNIQUE(_xlfn._xlws.FILTER(ubox[Failed Instance],(ubox[FirstError - IP (name)]=E$1)*(ubox[VisualID]=A267))),0),"")</f>
        <v/>
      </c>
      <c r="F267" s="2" t="str" cm="1">
        <f t="array" ref="F267">IFERROR(_xlfn.ARRAYTOTEXT(_xlfn.UNIQUE(_xlfn._xlws.FILTER(ubox[Failed Instance],(ubox[FirstError - IP (name)]=F$1)*(ubox[VisualID]=A267))),0),"")</f>
        <v/>
      </c>
      <c r="G267" s="2" t="str" cm="1">
        <f t="array" ref="G267">IFERROR(_xlfn.ARRAYTOTEXT(_xlfn.UNIQUE(_xlfn._xlws.FILTER(ubox[Failed Instance],(ubox[FirstError - IP (name)]=G$1)*(ubox[VisualID]=A267))),0),"")</f>
        <v/>
      </c>
      <c r="H267" s="2" t="str" cm="1">
        <f t="array" ref="H267">IFERROR(_xlfn.ARRAYTOTEXT(_xlfn.UNIQUE(_xlfn._xlws.FILTER(ubox[Failed Instance],(ubox[FirstError - IP (name)]=H$1)*(ubox[VisualID]=A267))),0),"")</f>
        <v/>
      </c>
    </row>
    <row r="268" spans="2:8" x14ac:dyDescent="0.3">
      <c r="B268" s="2" t="str">
        <f t="shared" si="5"/>
        <v/>
      </c>
      <c r="D268" s="2" t="str" cm="1">
        <f t="array" ref="D268">IFERROR(_xlfn.ARRAYTOTEXT(_xlfn.UNIQUE(_xlfn._xlws.FILTER(ubox[Failed Instance],(ubox[FirstError - IP (name)]=D$1)*(ubox[VisualID]=A268))),0),"")</f>
        <v/>
      </c>
      <c r="E268" s="2" t="str" cm="1">
        <f t="array" ref="E268">IFERROR(_xlfn.ARRAYTOTEXT(_xlfn.UNIQUE(_xlfn._xlws.FILTER(ubox[Failed Instance],(ubox[FirstError - IP (name)]=E$1)*(ubox[VisualID]=A268))),0),"")</f>
        <v/>
      </c>
      <c r="F268" s="2" t="str" cm="1">
        <f t="array" ref="F268">IFERROR(_xlfn.ARRAYTOTEXT(_xlfn.UNIQUE(_xlfn._xlws.FILTER(ubox[Failed Instance],(ubox[FirstError - IP (name)]=F$1)*(ubox[VisualID]=A268))),0),"")</f>
        <v/>
      </c>
      <c r="G268" s="2" t="str" cm="1">
        <f t="array" ref="G268">IFERROR(_xlfn.ARRAYTOTEXT(_xlfn.UNIQUE(_xlfn._xlws.FILTER(ubox[Failed Instance],(ubox[FirstError - IP (name)]=G$1)*(ubox[VisualID]=A268))),0),"")</f>
        <v/>
      </c>
      <c r="H268" s="2" t="str" cm="1">
        <f t="array" ref="H268">IFERROR(_xlfn.ARRAYTOTEXT(_xlfn.UNIQUE(_xlfn._xlws.FILTER(ubox[Failed Instance],(ubox[FirstError - IP (name)]=H$1)*(ubox[VisualID]=A268))),0),"")</f>
        <v/>
      </c>
    </row>
    <row r="269" spans="2:8" x14ac:dyDescent="0.3">
      <c r="B269" s="2" t="str">
        <f t="shared" si="5"/>
        <v/>
      </c>
      <c r="D269" s="2" t="str" cm="1">
        <f t="array" ref="D269">IFERROR(_xlfn.ARRAYTOTEXT(_xlfn.UNIQUE(_xlfn._xlws.FILTER(ubox[Failed Instance],(ubox[FirstError - IP (name)]=D$1)*(ubox[VisualID]=A269))),0),"")</f>
        <v/>
      </c>
      <c r="E269" s="2" t="str" cm="1">
        <f t="array" ref="E269">IFERROR(_xlfn.ARRAYTOTEXT(_xlfn.UNIQUE(_xlfn._xlws.FILTER(ubox[Failed Instance],(ubox[FirstError - IP (name)]=E$1)*(ubox[VisualID]=A269))),0),"")</f>
        <v/>
      </c>
      <c r="F269" s="2" t="str" cm="1">
        <f t="array" ref="F269">IFERROR(_xlfn.ARRAYTOTEXT(_xlfn.UNIQUE(_xlfn._xlws.FILTER(ubox[Failed Instance],(ubox[FirstError - IP (name)]=F$1)*(ubox[VisualID]=A269))),0),"")</f>
        <v/>
      </c>
      <c r="G269" s="2" t="str" cm="1">
        <f t="array" ref="G269">IFERROR(_xlfn.ARRAYTOTEXT(_xlfn.UNIQUE(_xlfn._xlws.FILTER(ubox[Failed Instance],(ubox[FirstError - IP (name)]=G$1)*(ubox[VisualID]=A269))),0),"")</f>
        <v/>
      </c>
      <c r="H269" s="2" t="str" cm="1">
        <f t="array" ref="H269">IFERROR(_xlfn.ARRAYTOTEXT(_xlfn.UNIQUE(_xlfn._xlws.FILTER(ubox[Failed Instance],(ubox[FirstError - IP (name)]=H$1)*(ubox[VisualID]=A269))),0),"")</f>
        <v/>
      </c>
    </row>
    <row r="270" spans="2:8" x14ac:dyDescent="0.3">
      <c r="B270" s="2" t="str">
        <f t="shared" si="5"/>
        <v/>
      </c>
      <c r="D270" s="2" t="str" cm="1">
        <f t="array" ref="D270">IFERROR(_xlfn.ARRAYTOTEXT(_xlfn.UNIQUE(_xlfn._xlws.FILTER(ubox[Failed Instance],(ubox[FirstError - IP (name)]=D$1)*(ubox[VisualID]=A270))),0),"")</f>
        <v/>
      </c>
      <c r="E270" s="2" t="str" cm="1">
        <f t="array" ref="E270">IFERROR(_xlfn.ARRAYTOTEXT(_xlfn.UNIQUE(_xlfn._xlws.FILTER(ubox[Failed Instance],(ubox[FirstError - IP (name)]=E$1)*(ubox[VisualID]=A270))),0),"")</f>
        <v/>
      </c>
      <c r="F270" s="2" t="str" cm="1">
        <f t="array" ref="F270">IFERROR(_xlfn.ARRAYTOTEXT(_xlfn.UNIQUE(_xlfn._xlws.FILTER(ubox[Failed Instance],(ubox[FirstError - IP (name)]=F$1)*(ubox[VisualID]=A270))),0),"")</f>
        <v/>
      </c>
      <c r="G270" s="2" t="str" cm="1">
        <f t="array" ref="G270">IFERROR(_xlfn.ARRAYTOTEXT(_xlfn.UNIQUE(_xlfn._xlws.FILTER(ubox[Failed Instance],(ubox[FirstError - IP (name)]=G$1)*(ubox[VisualID]=A270))),0),"")</f>
        <v/>
      </c>
      <c r="H270" s="2" t="str" cm="1">
        <f t="array" ref="H270">IFERROR(_xlfn.ARRAYTOTEXT(_xlfn.UNIQUE(_xlfn._xlws.FILTER(ubox[Failed Instance],(ubox[FirstError - IP (name)]=H$1)*(ubox[VisualID]=A270))),0),"")</f>
        <v/>
      </c>
    </row>
    <row r="271" spans="2:8" x14ac:dyDescent="0.3">
      <c r="B271" s="2" t="str">
        <f t="shared" si="5"/>
        <v/>
      </c>
      <c r="D271" s="2" t="str" cm="1">
        <f t="array" ref="D271">IFERROR(_xlfn.ARRAYTOTEXT(_xlfn.UNIQUE(_xlfn._xlws.FILTER(ubox[Failed Instance],(ubox[FirstError - IP (name)]=D$1)*(ubox[VisualID]=A271))),0),"")</f>
        <v/>
      </c>
      <c r="E271" s="2" t="str" cm="1">
        <f t="array" ref="E271">IFERROR(_xlfn.ARRAYTOTEXT(_xlfn.UNIQUE(_xlfn._xlws.FILTER(ubox[Failed Instance],(ubox[FirstError - IP (name)]=E$1)*(ubox[VisualID]=A271))),0),"")</f>
        <v/>
      </c>
      <c r="F271" s="2" t="str" cm="1">
        <f t="array" ref="F271">IFERROR(_xlfn.ARRAYTOTEXT(_xlfn.UNIQUE(_xlfn._xlws.FILTER(ubox[Failed Instance],(ubox[FirstError - IP (name)]=F$1)*(ubox[VisualID]=A271))),0),"")</f>
        <v/>
      </c>
      <c r="G271" s="2" t="str" cm="1">
        <f t="array" ref="G271">IFERROR(_xlfn.ARRAYTOTEXT(_xlfn.UNIQUE(_xlfn._xlws.FILTER(ubox[Failed Instance],(ubox[FirstError - IP (name)]=G$1)*(ubox[VisualID]=A271))),0),"")</f>
        <v/>
      </c>
      <c r="H271" s="2" t="str" cm="1">
        <f t="array" ref="H271">IFERROR(_xlfn.ARRAYTOTEXT(_xlfn.UNIQUE(_xlfn._xlws.FILTER(ubox[Failed Instance],(ubox[FirstError - IP (name)]=H$1)*(ubox[VisualID]=A271))),0),"")</f>
        <v/>
      </c>
    </row>
    <row r="272" spans="2:8" x14ac:dyDescent="0.3">
      <c r="B272" s="2" t="str">
        <f t="shared" si="5"/>
        <v/>
      </c>
      <c r="D272" s="2" t="str" cm="1">
        <f t="array" ref="D272">IFERROR(_xlfn.ARRAYTOTEXT(_xlfn.UNIQUE(_xlfn._xlws.FILTER(ubox[Failed Instance],(ubox[FirstError - IP (name)]=D$1)*(ubox[VisualID]=A272))),0),"")</f>
        <v/>
      </c>
      <c r="E272" s="2" t="str" cm="1">
        <f t="array" ref="E272">IFERROR(_xlfn.ARRAYTOTEXT(_xlfn.UNIQUE(_xlfn._xlws.FILTER(ubox[Failed Instance],(ubox[FirstError - IP (name)]=E$1)*(ubox[VisualID]=A272))),0),"")</f>
        <v/>
      </c>
      <c r="F272" s="2" t="str" cm="1">
        <f t="array" ref="F272">IFERROR(_xlfn.ARRAYTOTEXT(_xlfn.UNIQUE(_xlfn._xlws.FILTER(ubox[Failed Instance],(ubox[FirstError - IP (name)]=F$1)*(ubox[VisualID]=A272))),0),"")</f>
        <v/>
      </c>
      <c r="G272" s="2" t="str" cm="1">
        <f t="array" ref="G272">IFERROR(_xlfn.ARRAYTOTEXT(_xlfn.UNIQUE(_xlfn._xlws.FILTER(ubox[Failed Instance],(ubox[FirstError - IP (name)]=G$1)*(ubox[VisualID]=A272))),0),"")</f>
        <v/>
      </c>
      <c r="H272" s="2" t="str" cm="1">
        <f t="array" ref="H272">IFERROR(_xlfn.ARRAYTOTEXT(_xlfn.UNIQUE(_xlfn._xlws.FILTER(ubox[Failed Instance],(ubox[FirstError - IP (name)]=H$1)*(ubox[VisualID]=A272))),0),"")</f>
        <v/>
      </c>
    </row>
    <row r="273" spans="2:8" x14ac:dyDescent="0.3">
      <c r="B273" s="2" t="str">
        <f t="shared" si="5"/>
        <v/>
      </c>
      <c r="D273" s="2" t="str" cm="1">
        <f t="array" ref="D273">IFERROR(_xlfn.ARRAYTOTEXT(_xlfn.UNIQUE(_xlfn._xlws.FILTER(ubox[Failed Instance],(ubox[FirstError - IP (name)]=D$1)*(ubox[VisualID]=A273))),0),"")</f>
        <v/>
      </c>
      <c r="E273" s="2" t="str" cm="1">
        <f t="array" ref="E273">IFERROR(_xlfn.ARRAYTOTEXT(_xlfn.UNIQUE(_xlfn._xlws.FILTER(ubox[Failed Instance],(ubox[FirstError - IP (name)]=E$1)*(ubox[VisualID]=A273))),0),"")</f>
        <v/>
      </c>
      <c r="F273" s="2" t="str" cm="1">
        <f t="array" ref="F273">IFERROR(_xlfn.ARRAYTOTEXT(_xlfn.UNIQUE(_xlfn._xlws.FILTER(ubox[Failed Instance],(ubox[FirstError - IP (name)]=F$1)*(ubox[VisualID]=A273))),0),"")</f>
        <v/>
      </c>
      <c r="G273" s="2" t="str" cm="1">
        <f t="array" ref="G273">IFERROR(_xlfn.ARRAYTOTEXT(_xlfn.UNIQUE(_xlfn._xlws.FILTER(ubox[Failed Instance],(ubox[FirstError - IP (name)]=G$1)*(ubox[VisualID]=A273))),0),"")</f>
        <v/>
      </c>
      <c r="H273" s="2" t="str" cm="1">
        <f t="array" ref="H273">IFERROR(_xlfn.ARRAYTOTEXT(_xlfn.UNIQUE(_xlfn._xlws.FILTER(ubox[Failed Instance],(ubox[FirstError - IP (name)]=H$1)*(ubox[VisualID]=A273))),0),"")</f>
        <v/>
      </c>
    </row>
    <row r="274" spans="2:8" x14ac:dyDescent="0.3">
      <c r="B274" s="2" t="str">
        <f t="shared" si="5"/>
        <v/>
      </c>
      <c r="D274" s="2" t="str" cm="1">
        <f t="array" ref="D274">IFERROR(_xlfn.ARRAYTOTEXT(_xlfn.UNIQUE(_xlfn._xlws.FILTER(ubox[Failed Instance],(ubox[FirstError - IP (name)]=D$1)*(ubox[VisualID]=A274))),0),"")</f>
        <v/>
      </c>
      <c r="E274" s="2" t="str" cm="1">
        <f t="array" ref="E274">IFERROR(_xlfn.ARRAYTOTEXT(_xlfn.UNIQUE(_xlfn._xlws.FILTER(ubox[Failed Instance],(ubox[FirstError - IP (name)]=E$1)*(ubox[VisualID]=A274))),0),"")</f>
        <v/>
      </c>
      <c r="F274" s="2" t="str" cm="1">
        <f t="array" ref="F274">IFERROR(_xlfn.ARRAYTOTEXT(_xlfn.UNIQUE(_xlfn._xlws.FILTER(ubox[Failed Instance],(ubox[FirstError - IP (name)]=F$1)*(ubox[VisualID]=A274))),0),"")</f>
        <v/>
      </c>
      <c r="G274" s="2" t="str" cm="1">
        <f t="array" ref="G274">IFERROR(_xlfn.ARRAYTOTEXT(_xlfn.UNIQUE(_xlfn._xlws.FILTER(ubox[Failed Instance],(ubox[FirstError - IP (name)]=G$1)*(ubox[VisualID]=A274))),0),"")</f>
        <v/>
      </c>
      <c r="H274" s="2" t="str" cm="1">
        <f t="array" ref="H274">IFERROR(_xlfn.ARRAYTOTEXT(_xlfn.UNIQUE(_xlfn._xlws.FILTER(ubox[Failed Instance],(ubox[FirstError - IP (name)]=H$1)*(ubox[VisualID]=A274))),0),"")</f>
        <v/>
      </c>
    </row>
    <row r="275" spans="2:8" x14ac:dyDescent="0.3">
      <c r="B275" s="2" t="str">
        <f t="shared" ref="B275:B276" si="6">_xlfn.TEXTJOIN(", ",1,D275:H275)</f>
        <v/>
      </c>
      <c r="D275" s="2" t="str" cm="1">
        <f t="array" ref="D275">IFERROR(_xlfn.ARRAYTOTEXT(_xlfn.UNIQUE(_xlfn._xlws.FILTER(ubox[Failed Instance],(ubox[FirstError - IP (name)]=D$1)*(ubox[VisualID]=A275))),0),"")</f>
        <v/>
      </c>
      <c r="E275" s="2" t="str" cm="1">
        <f t="array" ref="E275">IFERROR(_xlfn.ARRAYTOTEXT(_xlfn.UNIQUE(_xlfn._xlws.FILTER(ubox[Failed Instance],(ubox[FirstError - IP (name)]=E$1)*(ubox[VisualID]=A275))),0),"")</f>
        <v/>
      </c>
      <c r="F275" s="2" t="str" cm="1">
        <f t="array" ref="F275">IFERROR(_xlfn.ARRAYTOTEXT(_xlfn.UNIQUE(_xlfn._xlws.FILTER(ubox[Failed Instance],(ubox[FirstError - IP (name)]=F$1)*(ubox[VisualID]=A275))),0),"")</f>
        <v/>
      </c>
      <c r="G275" s="2" t="str" cm="1">
        <f t="array" ref="G275">IFERROR(_xlfn.ARRAYTOTEXT(_xlfn.UNIQUE(_xlfn._xlws.FILTER(ubox[Failed Instance],(ubox[FirstError - IP (name)]=G$1)*(ubox[VisualID]=A275))),0),"")</f>
        <v/>
      </c>
      <c r="H275" s="2" t="str" cm="1">
        <f t="array" ref="H275">IFERROR(_xlfn.ARRAYTOTEXT(_xlfn.UNIQUE(_xlfn._xlws.FILTER(ubox[Failed Instance],(ubox[FirstError - IP (name)]=H$1)*(ubox[VisualID]=A275))),0),"")</f>
        <v/>
      </c>
    </row>
    <row r="276" spans="2:8" x14ac:dyDescent="0.3">
      <c r="B276" s="2" t="str">
        <f t="shared" si="6"/>
        <v/>
      </c>
      <c r="D276" s="2" t="str" cm="1">
        <f t="array" ref="D276">IFERROR(_xlfn.ARRAYTOTEXT(_xlfn.UNIQUE(_xlfn._xlws.FILTER(ubox[Failed Instance],(ubox[FirstError - IP (name)]=D$1)*(ubox[VisualID]=A276))),0),"")</f>
        <v/>
      </c>
      <c r="E276" s="2" t="str" cm="1">
        <f t="array" ref="E276">IFERROR(_xlfn.ARRAYTOTEXT(_xlfn.UNIQUE(_xlfn._xlws.FILTER(ubox[Failed Instance],(ubox[FirstError - IP (name)]=E$1)*(ubox[VisualID]=A276))),0),"")</f>
        <v/>
      </c>
      <c r="F276" s="2" t="str" cm="1">
        <f t="array" ref="F276">IFERROR(_xlfn.ARRAYTOTEXT(_xlfn.UNIQUE(_xlfn._xlws.FILTER(ubox[Failed Instance],(ubox[FirstError - IP (name)]=F$1)*(ubox[VisualID]=A276))),0),"")</f>
        <v/>
      </c>
      <c r="G276" s="2" t="str" cm="1">
        <f t="array" ref="G276">IFERROR(_xlfn.ARRAYTOTEXT(_xlfn.UNIQUE(_xlfn._xlws.FILTER(ubox[Failed Instance],(ubox[FirstError - IP (name)]=G$1)*(ubox[VisualID]=A276))),0),"")</f>
        <v/>
      </c>
      <c r="H276" s="2" t="str" cm="1">
        <f t="array" ref="H276">IFERROR(_xlfn.ARRAYTOTEXT(_xlfn.UNIQUE(_xlfn._xlws.FILTER(ubox[Failed Instance],(ubox[FirstError - IP (name)]=H$1)*(ubox[VisualID]=A276))),0),"")</f>
        <v/>
      </c>
    </row>
    <row r="277" spans="2:8" x14ac:dyDescent="0.3">
      <c r="B277" s="2" t="str">
        <f t="shared" ref="B277:B340" si="7">_xlfn.TEXTJOIN(", ",1,D277:H277)</f>
        <v/>
      </c>
      <c r="D277" s="2" t="str" cm="1">
        <f t="array" ref="D277">IFERROR(_xlfn.ARRAYTOTEXT(_xlfn.UNIQUE(_xlfn._xlws.FILTER(ubox[Failed Instance],(ubox[FirstError - IP (name)]=D$1)*(ubox[VisualID]=A277))),0),"")</f>
        <v/>
      </c>
      <c r="E277" s="2" t="str" cm="1">
        <f t="array" ref="E277">IFERROR(_xlfn.ARRAYTOTEXT(_xlfn.UNIQUE(_xlfn._xlws.FILTER(ubox[Failed Instance],(ubox[FirstError - IP (name)]=E$1)*(ubox[VisualID]=A277))),0),"")</f>
        <v/>
      </c>
      <c r="F277" s="2" t="str" cm="1">
        <f t="array" ref="F277">IFERROR(_xlfn.ARRAYTOTEXT(_xlfn.UNIQUE(_xlfn._xlws.FILTER(ubox[Failed Instance],(ubox[FirstError - IP (name)]=F$1)*(ubox[VisualID]=A277))),0),"")</f>
        <v/>
      </c>
      <c r="G277" s="2" t="str" cm="1">
        <f t="array" ref="G277">IFERROR(_xlfn.ARRAYTOTEXT(_xlfn.UNIQUE(_xlfn._xlws.FILTER(ubox[Failed Instance],(ubox[FirstError - IP (name)]=G$1)*(ubox[VisualID]=A277))),0),"")</f>
        <v/>
      </c>
      <c r="H277" s="2" t="str" cm="1">
        <f t="array" ref="H277">IFERROR(_xlfn.ARRAYTOTEXT(_xlfn.UNIQUE(_xlfn._xlws.FILTER(ubox[Failed Instance],(ubox[FirstError - IP (name)]=H$1)*(ubox[VisualID]=A277))),0),"")</f>
        <v/>
      </c>
    </row>
    <row r="278" spans="2:8" x14ac:dyDescent="0.3">
      <c r="B278" s="2" t="str">
        <f t="shared" si="7"/>
        <v/>
      </c>
      <c r="D278" s="2" t="str" cm="1">
        <f t="array" ref="D278">IFERROR(_xlfn.ARRAYTOTEXT(_xlfn.UNIQUE(_xlfn._xlws.FILTER(ubox[Failed Instance],(ubox[FirstError - IP (name)]=D$1)*(ubox[VisualID]=A278))),0),"")</f>
        <v/>
      </c>
      <c r="E278" s="2" t="str" cm="1">
        <f t="array" ref="E278">IFERROR(_xlfn.ARRAYTOTEXT(_xlfn.UNIQUE(_xlfn._xlws.FILTER(ubox[Failed Instance],(ubox[FirstError - IP (name)]=E$1)*(ubox[VisualID]=A278))),0),"")</f>
        <v/>
      </c>
      <c r="F278" s="2" t="str" cm="1">
        <f t="array" ref="F278">IFERROR(_xlfn.ARRAYTOTEXT(_xlfn.UNIQUE(_xlfn._xlws.FILTER(ubox[Failed Instance],(ubox[FirstError - IP (name)]=F$1)*(ubox[VisualID]=A278))),0),"")</f>
        <v/>
      </c>
      <c r="G278" s="2" t="str" cm="1">
        <f t="array" ref="G278">IFERROR(_xlfn.ARRAYTOTEXT(_xlfn.UNIQUE(_xlfn._xlws.FILTER(ubox[Failed Instance],(ubox[FirstError - IP (name)]=G$1)*(ubox[VisualID]=A278))),0),"")</f>
        <v/>
      </c>
      <c r="H278" s="2" t="str" cm="1">
        <f t="array" ref="H278">IFERROR(_xlfn.ARRAYTOTEXT(_xlfn.UNIQUE(_xlfn._xlws.FILTER(ubox[Failed Instance],(ubox[FirstError - IP (name)]=H$1)*(ubox[VisualID]=A278))),0),"")</f>
        <v/>
      </c>
    </row>
    <row r="279" spans="2:8" x14ac:dyDescent="0.3">
      <c r="B279" s="2" t="str">
        <f t="shared" si="7"/>
        <v/>
      </c>
      <c r="D279" s="2" t="str" cm="1">
        <f t="array" ref="D279">IFERROR(_xlfn.ARRAYTOTEXT(_xlfn.UNIQUE(_xlfn._xlws.FILTER(ubox[Failed Instance],(ubox[FirstError - IP (name)]=D$1)*(ubox[VisualID]=A279))),0),"")</f>
        <v/>
      </c>
      <c r="E279" s="2" t="str" cm="1">
        <f t="array" ref="E279">IFERROR(_xlfn.ARRAYTOTEXT(_xlfn.UNIQUE(_xlfn._xlws.FILTER(ubox[Failed Instance],(ubox[FirstError - IP (name)]=E$1)*(ubox[VisualID]=A279))),0),"")</f>
        <v/>
      </c>
      <c r="F279" s="2" t="str" cm="1">
        <f t="array" ref="F279">IFERROR(_xlfn.ARRAYTOTEXT(_xlfn.UNIQUE(_xlfn._xlws.FILTER(ubox[Failed Instance],(ubox[FirstError - IP (name)]=F$1)*(ubox[VisualID]=A279))),0),"")</f>
        <v/>
      </c>
      <c r="G279" s="2" t="str" cm="1">
        <f t="array" ref="G279">IFERROR(_xlfn.ARRAYTOTEXT(_xlfn.UNIQUE(_xlfn._xlws.FILTER(ubox[Failed Instance],(ubox[FirstError - IP (name)]=G$1)*(ubox[VisualID]=A279))),0),"")</f>
        <v/>
      </c>
      <c r="H279" s="2" t="str" cm="1">
        <f t="array" ref="H279">IFERROR(_xlfn.ARRAYTOTEXT(_xlfn.UNIQUE(_xlfn._xlws.FILTER(ubox[Failed Instance],(ubox[FirstError - IP (name)]=H$1)*(ubox[VisualID]=A279))),0),"")</f>
        <v/>
      </c>
    </row>
    <row r="280" spans="2:8" x14ac:dyDescent="0.3">
      <c r="B280" s="2" t="str">
        <f t="shared" si="7"/>
        <v/>
      </c>
      <c r="D280" s="2" t="str" cm="1">
        <f t="array" ref="D280">IFERROR(_xlfn.ARRAYTOTEXT(_xlfn.UNIQUE(_xlfn._xlws.FILTER(ubox[Failed Instance],(ubox[FirstError - IP (name)]=D$1)*(ubox[VisualID]=A280))),0),"")</f>
        <v/>
      </c>
      <c r="E280" s="2" t="str" cm="1">
        <f t="array" ref="E280">IFERROR(_xlfn.ARRAYTOTEXT(_xlfn.UNIQUE(_xlfn._xlws.FILTER(ubox[Failed Instance],(ubox[FirstError - IP (name)]=E$1)*(ubox[VisualID]=A280))),0),"")</f>
        <v/>
      </c>
      <c r="F280" s="2" t="str" cm="1">
        <f t="array" ref="F280">IFERROR(_xlfn.ARRAYTOTEXT(_xlfn.UNIQUE(_xlfn._xlws.FILTER(ubox[Failed Instance],(ubox[FirstError - IP (name)]=F$1)*(ubox[VisualID]=A280))),0),"")</f>
        <v/>
      </c>
      <c r="G280" s="2" t="str" cm="1">
        <f t="array" ref="G280">IFERROR(_xlfn.ARRAYTOTEXT(_xlfn.UNIQUE(_xlfn._xlws.FILTER(ubox[Failed Instance],(ubox[FirstError - IP (name)]=G$1)*(ubox[VisualID]=A280))),0),"")</f>
        <v/>
      </c>
      <c r="H280" s="2" t="str" cm="1">
        <f t="array" ref="H280">IFERROR(_xlfn.ARRAYTOTEXT(_xlfn.UNIQUE(_xlfn._xlws.FILTER(ubox[Failed Instance],(ubox[FirstError - IP (name)]=H$1)*(ubox[VisualID]=A280))),0),"")</f>
        <v/>
      </c>
    </row>
    <row r="281" spans="2:8" x14ac:dyDescent="0.3">
      <c r="B281" s="2" t="str">
        <f t="shared" si="7"/>
        <v/>
      </c>
      <c r="D281" s="2" t="str" cm="1">
        <f t="array" ref="D281">IFERROR(_xlfn.ARRAYTOTEXT(_xlfn.UNIQUE(_xlfn._xlws.FILTER(ubox[Failed Instance],(ubox[FirstError - IP (name)]=D$1)*(ubox[VisualID]=A281))),0),"")</f>
        <v/>
      </c>
      <c r="E281" s="2" t="str" cm="1">
        <f t="array" ref="E281">IFERROR(_xlfn.ARRAYTOTEXT(_xlfn.UNIQUE(_xlfn._xlws.FILTER(ubox[Failed Instance],(ubox[FirstError - IP (name)]=E$1)*(ubox[VisualID]=A281))),0),"")</f>
        <v/>
      </c>
      <c r="F281" s="2" t="str" cm="1">
        <f t="array" ref="F281">IFERROR(_xlfn.ARRAYTOTEXT(_xlfn.UNIQUE(_xlfn._xlws.FILTER(ubox[Failed Instance],(ubox[FirstError - IP (name)]=F$1)*(ubox[VisualID]=A281))),0),"")</f>
        <v/>
      </c>
      <c r="G281" s="2" t="str" cm="1">
        <f t="array" ref="G281">IFERROR(_xlfn.ARRAYTOTEXT(_xlfn.UNIQUE(_xlfn._xlws.FILTER(ubox[Failed Instance],(ubox[FirstError - IP (name)]=G$1)*(ubox[VisualID]=A281))),0),"")</f>
        <v/>
      </c>
      <c r="H281" s="2" t="str" cm="1">
        <f t="array" ref="H281">IFERROR(_xlfn.ARRAYTOTEXT(_xlfn.UNIQUE(_xlfn._xlws.FILTER(ubox[Failed Instance],(ubox[FirstError - IP (name)]=H$1)*(ubox[VisualID]=A281))),0),"")</f>
        <v/>
      </c>
    </row>
    <row r="282" spans="2:8" x14ac:dyDescent="0.3">
      <c r="B282" s="2" t="str">
        <f t="shared" si="7"/>
        <v/>
      </c>
      <c r="D282" s="2" t="str" cm="1">
        <f t="array" ref="D282">IFERROR(_xlfn.ARRAYTOTEXT(_xlfn.UNIQUE(_xlfn._xlws.FILTER(ubox[Failed Instance],(ubox[FirstError - IP (name)]=D$1)*(ubox[VisualID]=A282))),0),"")</f>
        <v/>
      </c>
      <c r="E282" s="2" t="str" cm="1">
        <f t="array" ref="E282">IFERROR(_xlfn.ARRAYTOTEXT(_xlfn.UNIQUE(_xlfn._xlws.FILTER(ubox[Failed Instance],(ubox[FirstError - IP (name)]=E$1)*(ubox[VisualID]=A282))),0),"")</f>
        <v/>
      </c>
      <c r="F282" s="2" t="str" cm="1">
        <f t="array" ref="F282">IFERROR(_xlfn.ARRAYTOTEXT(_xlfn.UNIQUE(_xlfn._xlws.FILTER(ubox[Failed Instance],(ubox[FirstError - IP (name)]=F$1)*(ubox[VisualID]=A282))),0),"")</f>
        <v/>
      </c>
      <c r="G282" s="2" t="str" cm="1">
        <f t="array" ref="G282">IFERROR(_xlfn.ARRAYTOTEXT(_xlfn.UNIQUE(_xlfn._xlws.FILTER(ubox[Failed Instance],(ubox[FirstError - IP (name)]=G$1)*(ubox[VisualID]=A282))),0),"")</f>
        <v/>
      </c>
      <c r="H282" s="2" t="str" cm="1">
        <f t="array" ref="H282">IFERROR(_xlfn.ARRAYTOTEXT(_xlfn.UNIQUE(_xlfn._xlws.FILTER(ubox[Failed Instance],(ubox[FirstError - IP (name)]=H$1)*(ubox[VisualID]=A282))),0),"")</f>
        <v/>
      </c>
    </row>
    <row r="283" spans="2:8" x14ac:dyDescent="0.3">
      <c r="B283" s="2" t="str">
        <f t="shared" si="7"/>
        <v/>
      </c>
      <c r="D283" s="2" t="str" cm="1">
        <f t="array" ref="D283">IFERROR(_xlfn.ARRAYTOTEXT(_xlfn.UNIQUE(_xlfn._xlws.FILTER(ubox[Failed Instance],(ubox[FirstError - IP (name)]=D$1)*(ubox[VisualID]=A283))),0),"")</f>
        <v/>
      </c>
      <c r="E283" s="2" t="str" cm="1">
        <f t="array" ref="E283">IFERROR(_xlfn.ARRAYTOTEXT(_xlfn.UNIQUE(_xlfn._xlws.FILTER(ubox[Failed Instance],(ubox[FirstError - IP (name)]=E$1)*(ubox[VisualID]=A283))),0),"")</f>
        <v/>
      </c>
      <c r="F283" s="2" t="str" cm="1">
        <f t="array" ref="F283">IFERROR(_xlfn.ARRAYTOTEXT(_xlfn.UNIQUE(_xlfn._xlws.FILTER(ubox[Failed Instance],(ubox[FirstError - IP (name)]=F$1)*(ubox[VisualID]=A283))),0),"")</f>
        <v/>
      </c>
      <c r="G283" s="2" t="str" cm="1">
        <f t="array" ref="G283">IFERROR(_xlfn.ARRAYTOTEXT(_xlfn.UNIQUE(_xlfn._xlws.FILTER(ubox[Failed Instance],(ubox[FirstError - IP (name)]=G$1)*(ubox[VisualID]=A283))),0),"")</f>
        <v/>
      </c>
      <c r="H283" s="2" t="str" cm="1">
        <f t="array" ref="H283">IFERROR(_xlfn.ARRAYTOTEXT(_xlfn.UNIQUE(_xlfn._xlws.FILTER(ubox[Failed Instance],(ubox[FirstError - IP (name)]=H$1)*(ubox[VisualID]=A283))),0),"")</f>
        <v/>
      </c>
    </row>
    <row r="284" spans="2:8" x14ac:dyDescent="0.3">
      <c r="B284" s="2" t="str">
        <f t="shared" si="7"/>
        <v/>
      </c>
      <c r="D284" s="2" t="str" cm="1">
        <f t="array" ref="D284">IFERROR(_xlfn.ARRAYTOTEXT(_xlfn.UNIQUE(_xlfn._xlws.FILTER(ubox[Failed Instance],(ubox[FirstError - IP (name)]=D$1)*(ubox[VisualID]=A284))),0),"")</f>
        <v/>
      </c>
      <c r="E284" s="2" t="str" cm="1">
        <f t="array" ref="E284">IFERROR(_xlfn.ARRAYTOTEXT(_xlfn.UNIQUE(_xlfn._xlws.FILTER(ubox[Failed Instance],(ubox[FirstError - IP (name)]=E$1)*(ubox[VisualID]=A284))),0),"")</f>
        <v/>
      </c>
      <c r="F284" s="2" t="str" cm="1">
        <f t="array" ref="F284">IFERROR(_xlfn.ARRAYTOTEXT(_xlfn.UNIQUE(_xlfn._xlws.FILTER(ubox[Failed Instance],(ubox[FirstError - IP (name)]=F$1)*(ubox[VisualID]=A284))),0),"")</f>
        <v/>
      </c>
      <c r="G284" s="2" t="str" cm="1">
        <f t="array" ref="G284">IFERROR(_xlfn.ARRAYTOTEXT(_xlfn.UNIQUE(_xlfn._xlws.FILTER(ubox[Failed Instance],(ubox[FirstError - IP (name)]=G$1)*(ubox[VisualID]=A284))),0),"")</f>
        <v/>
      </c>
      <c r="H284" s="2" t="str" cm="1">
        <f t="array" ref="H284">IFERROR(_xlfn.ARRAYTOTEXT(_xlfn.UNIQUE(_xlfn._xlws.FILTER(ubox[Failed Instance],(ubox[FirstError - IP (name)]=H$1)*(ubox[VisualID]=A284))),0),"")</f>
        <v/>
      </c>
    </row>
    <row r="285" spans="2:8" x14ac:dyDescent="0.3">
      <c r="B285" s="2" t="str">
        <f t="shared" si="7"/>
        <v/>
      </c>
      <c r="D285" s="2" t="str" cm="1">
        <f t="array" ref="D285">IFERROR(_xlfn.ARRAYTOTEXT(_xlfn.UNIQUE(_xlfn._xlws.FILTER(ubox[Failed Instance],(ubox[FirstError - IP (name)]=D$1)*(ubox[VisualID]=A285))),0),"")</f>
        <v/>
      </c>
      <c r="E285" s="2" t="str" cm="1">
        <f t="array" ref="E285">IFERROR(_xlfn.ARRAYTOTEXT(_xlfn.UNIQUE(_xlfn._xlws.FILTER(ubox[Failed Instance],(ubox[FirstError - IP (name)]=E$1)*(ubox[VisualID]=A285))),0),"")</f>
        <v/>
      </c>
      <c r="F285" s="2" t="str" cm="1">
        <f t="array" ref="F285">IFERROR(_xlfn.ARRAYTOTEXT(_xlfn.UNIQUE(_xlfn._xlws.FILTER(ubox[Failed Instance],(ubox[FirstError - IP (name)]=F$1)*(ubox[VisualID]=A285))),0),"")</f>
        <v/>
      </c>
      <c r="G285" s="2" t="str" cm="1">
        <f t="array" ref="G285">IFERROR(_xlfn.ARRAYTOTEXT(_xlfn.UNIQUE(_xlfn._xlws.FILTER(ubox[Failed Instance],(ubox[FirstError - IP (name)]=G$1)*(ubox[VisualID]=A285))),0),"")</f>
        <v/>
      </c>
      <c r="H285" s="2" t="str" cm="1">
        <f t="array" ref="H285">IFERROR(_xlfn.ARRAYTOTEXT(_xlfn.UNIQUE(_xlfn._xlws.FILTER(ubox[Failed Instance],(ubox[FirstError - IP (name)]=H$1)*(ubox[VisualID]=A285))),0),"")</f>
        <v/>
      </c>
    </row>
    <row r="286" spans="2:8" x14ac:dyDescent="0.3">
      <c r="B286" s="2" t="str">
        <f t="shared" si="7"/>
        <v/>
      </c>
      <c r="D286" s="2" t="str" cm="1">
        <f t="array" ref="D286">IFERROR(_xlfn.ARRAYTOTEXT(_xlfn.UNIQUE(_xlfn._xlws.FILTER(ubox[Failed Instance],(ubox[FirstError - IP (name)]=D$1)*(ubox[VisualID]=A286))),0),"")</f>
        <v/>
      </c>
      <c r="E286" s="2" t="str" cm="1">
        <f t="array" ref="E286">IFERROR(_xlfn.ARRAYTOTEXT(_xlfn.UNIQUE(_xlfn._xlws.FILTER(ubox[Failed Instance],(ubox[FirstError - IP (name)]=E$1)*(ubox[VisualID]=A286))),0),"")</f>
        <v/>
      </c>
      <c r="F286" s="2" t="str" cm="1">
        <f t="array" ref="F286">IFERROR(_xlfn.ARRAYTOTEXT(_xlfn.UNIQUE(_xlfn._xlws.FILTER(ubox[Failed Instance],(ubox[FirstError - IP (name)]=F$1)*(ubox[VisualID]=A286))),0),"")</f>
        <v/>
      </c>
      <c r="G286" s="2" t="str" cm="1">
        <f t="array" ref="G286">IFERROR(_xlfn.ARRAYTOTEXT(_xlfn.UNIQUE(_xlfn._xlws.FILTER(ubox[Failed Instance],(ubox[FirstError - IP (name)]=G$1)*(ubox[VisualID]=A286))),0),"")</f>
        <v/>
      </c>
      <c r="H286" s="2" t="str" cm="1">
        <f t="array" ref="H286">IFERROR(_xlfn.ARRAYTOTEXT(_xlfn.UNIQUE(_xlfn._xlws.FILTER(ubox[Failed Instance],(ubox[FirstError - IP (name)]=H$1)*(ubox[VisualID]=A286))),0),"")</f>
        <v/>
      </c>
    </row>
    <row r="287" spans="2:8" x14ac:dyDescent="0.3">
      <c r="B287" s="2" t="str">
        <f t="shared" si="7"/>
        <v/>
      </c>
      <c r="D287" s="2" t="str" cm="1">
        <f t="array" ref="D287">IFERROR(_xlfn.ARRAYTOTEXT(_xlfn.UNIQUE(_xlfn._xlws.FILTER(ubox[Failed Instance],(ubox[FirstError - IP (name)]=D$1)*(ubox[VisualID]=A287))),0),"")</f>
        <v/>
      </c>
      <c r="E287" s="2" t="str" cm="1">
        <f t="array" ref="E287">IFERROR(_xlfn.ARRAYTOTEXT(_xlfn.UNIQUE(_xlfn._xlws.FILTER(ubox[Failed Instance],(ubox[FirstError - IP (name)]=E$1)*(ubox[VisualID]=A287))),0),"")</f>
        <v/>
      </c>
      <c r="F287" s="2" t="str" cm="1">
        <f t="array" ref="F287">IFERROR(_xlfn.ARRAYTOTEXT(_xlfn.UNIQUE(_xlfn._xlws.FILTER(ubox[Failed Instance],(ubox[FirstError - IP (name)]=F$1)*(ubox[VisualID]=A287))),0),"")</f>
        <v/>
      </c>
      <c r="G287" s="2" t="str" cm="1">
        <f t="array" ref="G287">IFERROR(_xlfn.ARRAYTOTEXT(_xlfn.UNIQUE(_xlfn._xlws.FILTER(ubox[Failed Instance],(ubox[FirstError - IP (name)]=G$1)*(ubox[VisualID]=A287))),0),"")</f>
        <v/>
      </c>
      <c r="H287" s="2" t="str" cm="1">
        <f t="array" ref="H287">IFERROR(_xlfn.ARRAYTOTEXT(_xlfn.UNIQUE(_xlfn._xlws.FILTER(ubox[Failed Instance],(ubox[FirstError - IP (name)]=H$1)*(ubox[VisualID]=A287))),0),"")</f>
        <v/>
      </c>
    </row>
    <row r="288" spans="2:8" x14ac:dyDescent="0.3">
      <c r="B288" s="2" t="str">
        <f t="shared" si="7"/>
        <v/>
      </c>
      <c r="D288" s="2" t="str" cm="1">
        <f t="array" ref="D288">IFERROR(_xlfn.ARRAYTOTEXT(_xlfn.UNIQUE(_xlfn._xlws.FILTER(ubox[Failed Instance],(ubox[FirstError - IP (name)]=D$1)*(ubox[VisualID]=A288))),0),"")</f>
        <v/>
      </c>
      <c r="E288" s="2" t="str" cm="1">
        <f t="array" ref="E288">IFERROR(_xlfn.ARRAYTOTEXT(_xlfn.UNIQUE(_xlfn._xlws.FILTER(ubox[Failed Instance],(ubox[FirstError - IP (name)]=E$1)*(ubox[VisualID]=A288))),0),"")</f>
        <v/>
      </c>
      <c r="F288" s="2" t="str" cm="1">
        <f t="array" ref="F288">IFERROR(_xlfn.ARRAYTOTEXT(_xlfn.UNIQUE(_xlfn._xlws.FILTER(ubox[Failed Instance],(ubox[FirstError - IP (name)]=F$1)*(ubox[VisualID]=A288))),0),"")</f>
        <v/>
      </c>
      <c r="G288" s="2" t="str" cm="1">
        <f t="array" ref="G288">IFERROR(_xlfn.ARRAYTOTEXT(_xlfn.UNIQUE(_xlfn._xlws.FILTER(ubox[Failed Instance],(ubox[FirstError - IP (name)]=G$1)*(ubox[VisualID]=A288))),0),"")</f>
        <v/>
      </c>
      <c r="H288" s="2" t="str" cm="1">
        <f t="array" ref="H288">IFERROR(_xlfn.ARRAYTOTEXT(_xlfn.UNIQUE(_xlfn._xlws.FILTER(ubox[Failed Instance],(ubox[FirstError - IP (name)]=H$1)*(ubox[VisualID]=A288))),0),"")</f>
        <v/>
      </c>
    </row>
    <row r="289" spans="2:8" x14ac:dyDescent="0.3">
      <c r="B289" s="2" t="str">
        <f t="shared" si="7"/>
        <v/>
      </c>
      <c r="D289" s="2" t="str" cm="1">
        <f t="array" ref="D289">IFERROR(_xlfn.ARRAYTOTEXT(_xlfn.UNIQUE(_xlfn._xlws.FILTER(ubox[Failed Instance],(ubox[FirstError - IP (name)]=D$1)*(ubox[VisualID]=A289))),0),"")</f>
        <v/>
      </c>
      <c r="E289" s="2" t="str" cm="1">
        <f t="array" ref="E289">IFERROR(_xlfn.ARRAYTOTEXT(_xlfn.UNIQUE(_xlfn._xlws.FILTER(ubox[Failed Instance],(ubox[FirstError - IP (name)]=E$1)*(ubox[VisualID]=A289))),0),"")</f>
        <v/>
      </c>
      <c r="F289" s="2" t="str" cm="1">
        <f t="array" ref="F289">IFERROR(_xlfn.ARRAYTOTEXT(_xlfn.UNIQUE(_xlfn._xlws.FILTER(ubox[Failed Instance],(ubox[FirstError - IP (name)]=F$1)*(ubox[VisualID]=A289))),0),"")</f>
        <v/>
      </c>
      <c r="G289" s="2" t="str" cm="1">
        <f t="array" ref="G289">IFERROR(_xlfn.ARRAYTOTEXT(_xlfn.UNIQUE(_xlfn._xlws.FILTER(ubox[Failed Instance],(ubox[FirstError - IP (name)]=G$1)*(ubox[VisualID]=A289))),0),"")</f>
        <v/>
      </c>
      <c r="H289" s="2" t="str" cm="1">
        <f t="array" ref="H289">IFERROR(_xlfn.ARRAYTOTEXT(_xlfn.UNIQUE(_xlfn._xlws.FILTER(ubox[Failed Instance],(ubox[FirstError - IP (name)]=H$1)*(ubox[VisualID]=A289))),0),"")</f>
        <v/>
      </c>
    </row>
    <row r="290" spans="2:8" x14ac:dyDescent="0.3">
      <c r="B290" s="2" t="str">
        <f t="shared" si="7"/>
        <v/>
      </c>
      <c r="D290" s="2" t="str" cm="1">
        <f t="array" ref="D290">IFERROR(_xlfn.ARRAYTOTEXT(_xlfn.UNIQUE(_xlfn._xlws.FILTER(ubox[Failed Instance],(ubox[FirstError - IP (name)]=D$1)*(ubox[VisualID]=A290))),0),"")</f>
        <v/>
      </c>
      <c r="E290" s="2" t="str" cm="1">
        <f t="array" ref="E290">IFERROR(_xlfn.ARRAYTOTEXT(_xlfn.UNIQUE(_xlfn._xlws.FILTER(ubox[Failed Instance],(ubox[FirstError - IP (name)]=E$1)*(ubox[VisualID]=A290))),0),"")</f>
        <v/>
      </c>
      <c r="F290" s="2" t="str" cm="1">
        <f t="array" ref="F290">IFERROR(_xlfn.ARRAYTOTEXT(_xlfn.UNIQUE(_xlfn._xlws.FILTER(ubox[Failed Instance],(ubox[FirstError - IP (name)]=F$1)*(ubox[VisualID]=A290))),0),"")</f>
        <v/>
      </c>
      <c r="G290" s="2" t="str" cm="1">
        <f t="array" ref="G290">IFERROR(_xlfn.ARRAYTOTEXT(_xlfn.UNIQUE(_xlfn._xlws.FILTER(ubox[Failed Instance],(ubox[FirstError - IP (name)]=G$1)*(ubox[VisualID]=A290))),0),"")</f>
        <v/>
      </c>
      <c r="H290" s="2" t="str" cm="1">
        <f t="array" ref="H290">IFERROR(_xlfn.ARRAYTOTEXT(_xlfn.UNIQUE(_xlfn._xlws.FILTER(ubox[Failed Instance],(ubox[FirstError - IP (name)]=H$1)*(ubox[VisualID]=A290))),0),"")</f>
        <v/>
      </c>
    </row>
    <row r="291" spans="2:8" x14ac:dyDescent="0.3">
      <c r="B291" s="2" t="str">
        <f t="shared" si="7"/>
        <v/>
      </c>
      <c r="D291" s="2" t="str" cm="1">
        <f t="array" ref="D291">IFERROR(_xlfn.ARRAYTOTEXT(_xlfn.UNIQUE(_xlfn._xlws.FILTER(ubox[Failed Instance],(ubox[FirstError - IP (name)]=D$1)*(ubox[VisualID]=A291))),0),"")</f>
        <v/>
      </c>
      <c r="E291" s="2" t="str" cm="1">
        <f t="array" ref="E291">IFERROR(_xlfn.ARRAYTOTEXT(_xlfn.UNIQUE(_xlfn._xlws.FILTER(ubox[Failed Instance],(ubox[FirstError - IP (name)]=E$1)*(ubox[VisualID]=A291))),0),"")</f>
        <v/>
      </c>
      <c r="F291" s="2" t="str" cm="1">
        <f t="array" ref="F291">IFERROR(_xlfn.ARRAYTOTEXT(_xlfn.UNIQUE(_xlfn._xlws.FILTER(ubox[Failed Instance],(ubox[FirstError - IP (name)]=F$1)*(ubox[VisualID]=A291))),0),"")</f>
        <v/>
      </c>
      <c r="G291" s="2" t="str" cm="1">
        <f t="array" ref="G291">IFERROR(_xlfn.ARRAYTOTEXT(_xlfn.UNIQUE(_xlfn._xlws.FILTER(ubox[Failed Instance],(ubox[FirstError - IP (name)]=G$1)*(ubox[VisualID]=A291))),0),"")</f>
        <v/>
      </c>
      <c r="H291" s="2" t="str" cm="1">
        <f t="array" ref="H291">IFERROR(_xlfn.ARRAYTOTEXT(_xlfn.UNIQUE(_xlfn._xlws.FILTER(ubox[Failed Instance],(ubox[FirstError - IP (name)]=H$1)*(ubox[VisualID]=A291))),0),"")</f>
        <v/>
      </c>
    </row>
    <row r="292" spans="2:8" x14ac:dyDescent="0.3">
      <c r="B292" s="2" t="str">
        <f t="shared" si="7"/>
        <v/>
      </c>
      <c r="D292" s="2" t="str" cm="1">
        <f t="array" ref="D292">IFERROR(_xlfn.ARRAYTOTEXT(_xlfn.UNIQUE(_xlfn._xlws.FILTER(ubox[Failed Instance],(ubox[FirstError - IP (name)]=D$1)*(ubox[VisualID]=A292))),0),"")</f>
        <v/>
      </c>
      <c r="E292" s="2" t="str" cm="1">
        <f t="array" ref="E292">IFERROR(_xlfn.ARRAYTOTEXT(_xlfn.UNIQUE(_xlfn._xlws.FILTER(ubox[Failed Instance],(ubox[FirstError - IP (name)]=E$1)*(ubox[VisualID]=A292))),0),"")</f>
        <v/>
      </c>
      <c r="F292" s="2" t="str" cm="1">
        <f t="array" ref="F292">IFERROR(_xlfn.ARRAYTOTEXT(_xlfn.UNIQUE(_xlfn._xlws.FILTER(ubox[Failed Instance],(ubox[FirstError - IP (name)]=F$1)*(ubox[VisualID]=A292))),0),"")</f>
        <v/>
      </c>
      <c r="G292" s="2" t="str" cm="1">
        <f t="array" ref="G292">IFERROR(_xlfn.ARRAYTOTEXT(_xlfn.UNIQUE(_xlfn._xlws.FILTER(ubox[Failed Instance],(ubox[FirstError - IP (name)]=G$1)*(ubox[VisualID]=A292))),0),"")</f>
        <v/>
      </c>
      <c r="H292" s="2" t="str" cm="1">
        <f t="array" ref="H292">IFERROR(_xlfn.ARRAYTOTEXT(_xlfn.UNIQUE(_xlfn._xlws.FILTER(ubox[Failed Instance],(ubox[FirstError - IP (name)]=H$1)*(ubox[VisualID]=A292))),0),"")</f>
        <v/>
      </c>
    </row>
    <row r="293" spans="2:8" x14ac:dyDescent="0.3">
      <c r="B293" s="2" t="str">
        <f t="shared" si="7"/>
        <v/>
      </c>
      <c r="D293" s="2" t="str" cm="1">
        <f t="array" ref="D293">IFERROR(_xlfn.ARRAYTOTEXT(_xlfn.UNIQUE(_xlfn._xlws.FILTER(ubox[Failed Instance],(ubox[FirstError - IP (name)]=D$1)*(ubox[VisualID]=A293))),0),"")</f>
        <v/>
      </c>
      <c r="E293" s="2" t="str" cm="1">
        <f t="array" ref="E293">IFERROR(_xlfn.ARRAYTOTEXT(_xlfn.UNIQUE(_xlfn._xlws.FILTER(ubox[Failed Instance],(ubox[FirstError - IP (name)]=E$1)*(ubox[VisualID]=A293))),0),"")</f>
        <v/>
      </c>
      <c r="F293" s="2" t="str" cm="1">
        <f t="array" ref="F293">IFERROR(_xlfn.ARRAYTOTEXT(_xlfn.UNIQUE(_xlfn._xlws.FILTER(ubox[Failed Instance],(ubox[FirstError - IP (name)]=F$1)*(ubox[VisualID]=A293))),0),"")</f>
        <v/>
      </c>
      <c r="G293" s="2" t="str" cm="1">
        <f t="array" ref="G293">IFERROR(_xlfn.ARRAYTOTEXT(_xlfn.UNIQUE(_xlfn._xlws.FILTER(ubox[Failed Instance],(ubox[FirstError - IP (name)]=G$1)*(ubox[VisualID]=A293))),0),"")</f>
        <v/>
      </c>
      <c r="H293" s="2" t="str" cm="1">
        <f t="array" ref="H293">IFERROR(_xlfn.ARRAYTOTEXT(_xlfn.UNIQUE(_xlfn._xlws.FILTER(ubox[Failed Instance],(ubox[FirstError - IP (name)]=H$1)*(ubox[VisualID]=A293))),0),"")</f>
        <v/>
      </c>
    </row>
    <row r="294" spans="2:8" x14ac:dyDescent="0.3">
      <c r="B294" s="2" t="str">
        <f t="shared" si="7"/>
        <v/>
      </c>
      <c r="D294" s="2" t="str" cm="1">
        <f t="array" ref="D294">IFERROR(_xlfn.ARRAYTOTEXT(_xlfn.UNIQUE(_xlfn._xlws.FILTER(ubox[Failed Instance],(ubox[FirstError - IP (name)]=D$1)*(ubox[VisualID]=A294))),0),"")</f>
        <v/>
      </c>
      <c r="E294" s="2" t="str" cm="1">
        <f t="array" ref="E294">IFERROR(_xlfn.ARRAYTOTEXT(_xlfn.UNIQUE(_xlfn._xlws.FILTER(ubox[Failed Instance],(ubox[FirstError - IP (name)]=E$1)*(ubox[VisualID]=A294))),0),"")</f>
        <v/>
      </c>
      <c r="F294" s="2" t="str" cm="1">
        <f t="array" ref="F294">IFERROR(_xlfn.ARRAYTOTEXT(_xlfn.UNIQUE(_xlfn._xlws.FILTER(ubox[Failed Instance],(ubox[FirstError - IP (name)]=F$1)*(ubox[VisualID]=A294))),0),"")</f>
        <v/>
      </c>
      <c r="G294" s="2" t="str" cm="1">
        <f t="array" ref="G294">IFERROR(_xlfn.ARRAYTOTEXT(_xlfn.UNIQUE(_xlfn._xlws.FILTER(ubox[Failed Instance],(ubox[FirstError - IP (name)]=G$1)*(ubox[VisualID]=A294))),0),"")</f>
        <v/>
      </c>
      <c r="H294" s="2" t="str" cm="1">
        <f t="array" ref="H294">IFERROR(_xlfn.ARRAYTOTEXT(_xlfn.UNIQUE(_xlfn._xlws.FILTER(ubox[Failed Instance],(ubox[FirstError - IP (name)]=H$1)*(ubox[VisualID]=A294))),0),"")</f>
        <v/>
      </c>
    </row>
    <row r="295" spans="2:8" x14ac:dyDescent="0.3">
      <c r="B295" s="2" t="str">
        <f t="shared" si="7"/>
        <v/>
      </c>
      <c r="D295" s="2" t="str" cm="1">
        <f t="array" ref="D295">IFERROR(_xlfn.ARRAYTOTEXT(_xlfn.UNIQUE(_xlfn._xlws.FILTER(ubox[Failed Instance],(ubox[FirstError - IP (name)]=D$1)*(ubox[VisualID]=A295))),0),"")</f>
        <v/>
      </c>
      <c r="E295" s="2" t="str" cm="1">
        <f t="array" ref="E295">IFERROR(_xlfn.ARRAYTOTEXT(_xlfn.UNIQUE(_xlfn._xlws.FILTER(ubox[Failed Instance],(ubox[FirstError - IP (name)]=E$1)*(ubox[VisualID]=A295))),0),"")</f>
        <v/>
      </c>
      <c r="F295" s="2" t="str" cm="1">
        <f t="array" ref="F295">IFERROR(_xlfn.ARRAYTOTEXT(_xlfn.UNIQUE(_xlfn._xlws.FILTER(ubox[Failed Instance],(ubox[FirstError - IP (name)]=F$1)*(ubox[VisualID]=A295))),0),"")</f>
        <v/>
      </c>
      <c r="G295" s="2" t="str" cm="1">
        <f t="array" ref="G295">IFERROR(_xlfn.ARRAYTOTEXT(_xlfn.UNIQUE(_xlfn._xlws.FILTER(ubox[Failed Instance],(ubox[FirstError - IP (name)]=G$1)*(ubox[VisualID]=A295))),0),"")</f>
        <v/>
      </c>
      <c r="H295" s="2" t="str" cm="1">
        <f t="array" ref="H295">IFERROR(_xlfn.ARRAYTOTEXT(_xlfn.UNIQUE(_xlfn._xlws.FILTER(ubox[Failed Instance],(ubox[FirstError - IP (name)]=H$1)*(ubox[VisualID]=A295))),0),"")</f>
        <v/>
      </c>
    </row>
    <row r="296" spans="2:8" x14ac:dyDescent="0.3">
      <c r="B296" s="2" t="str">
        <f t="shared" si="7"/>
        <v/>
      </c>
      <c r="D296" s="2" t="str" cm="1">
        <f t="array" ref="D296">IFERROR(_xlfn.ARRAYTOTEXT(_xlfn.UNIQUE(_xlfn._xlws.FILTER(ubox[Failed Instance],(ubox[FirstError - IP (name)]=D$1)*(ubox[VisualID]=A296))),0),"")</f>
        <v/>
      </c>
      <c r="E296" s="2" t="str" cm="1">
        <f t="array" ref="E296">IFERROR(_xlfn.ARRAYTOTEXT(_xlfn.UNIQUE(_xlfn._xlws.FILTER(ubox[Failed Instance],(ubox[FirstError - IP (name)]=E$1)*(ubox[VisualID]=A296))),0),"")</f>
        <v/>
      </c>
      <c r="F296" s="2" t="str" cm="1">
        <f t="array" ref="F296">IFERROR(_xlfn.ARRAYTOTEXT(_xlfn.UNIQUE(_xlfn._xlws.FILTER(ubox[Failed Instance],(ubox[FirstError - IP (name)]=F$1)*(ubox[VisualID]=A296))),0),"")</f>
        <v/>
      </c>
      <c r="G296" s="2" t="str" cm="1">
        <f t="array" ref="G296">IFERROR(_xlfn.ARRAYTOTEXT(_xlfn.UNIQUE(_xlfn._xlws.FILTER(ubox[Failed Instance],(ubox[FirstError - IP (name)]=G$1)*(ubox[VisualID]=A296))),0),"")</f>
        <v/>
      </c>
      <c r="H296" s="2" t="str" cm="1">
        <f t="array" ref="H296">IFERROR(_xlfn.ARRAYTOTEXT(_xlfn.UNIQUE(_xlfn._xlws.FILTER(ubox[Failed Instance],(ubox[FirstError - IP (name)]=H$1)*(ubox[VisualID]=A296))),0),"")</f>
        <v/>
      </c>
    </row>
    <row r="297" spans="2:8" x14ac:dyDescent="0.3">
      <c r="B297" s="2" t="str">
        <f t="shared" si="7"/>
        <v/>
      </c>
      <c r="D297" s="2" t="str" cm="1">
        <f t="array" ref="D297">IFERROR(_xlfn.ARRAYTOTEXT(_xlfn.UNIQUE(_xlfn._xlws.FILTER(ubox[Failed Instance],(ubox[FirstError - IP (name)]=D$1)*(ubox[VisualID]=A297))),0),"")</f>
        <v/>
      </c>
      <c r="E297" s="2" t="str" cm="1">
        <f t="array" ref="E297">IFERROR(_xlfn.ARRAYTOTEXT(_xlfn.UNIQUE(_xlfn._xlws.FILTER(ubox[Failed Instance],(ubox[FirstError - IP (name)]=E$1)*(ubox[VisualID]=A297))),0),"")</f>
        <v/>
      </c>
      <c r="F297" s="2" t="str" cm="1">
        <f t="array" ref="F297">IFERROR(_xlfn.ARRAYTOTEXT(_xlfn.UNIQUE(_xlfn._xlws.FILTER(ubox[Failed Instance],(ubox[FirstError - IP (name)]=F$1)*(ubox[VisualID]=A297))),0),"")</f>
        <v/>
      </c>
      <c r="G297" s="2" t="str" cm="1">
        <f t="array" ref="G297">IFERROR(_xlfn.ARRAYTOTEXT(_xlfn.UNIQUE(_xlfn._xlws.FILTER(ubox[Failed Instance],(ubox[FirstError - IP (name)]=G$1)*(ubox[VisualID]=A297))),0),"")</f>
        <v/>
      </c>
      <c r="H297" s="2" t="str" cm="1">
        <f t="array" ref="H297">IFERROR(_xlfn.ARRAYTOTEXT(_xlfn.UNIQUE(_xlfn._xlws.FILTER(ubox[Failed Instance],(ubox[FirstError - IP (name)]=H$1)*(ubox[VisualID]=A297))),0),"")</f>
        <v/>
      </c>
    </row>
    <row r="298" spans="2:8" x14ac:dyDescent="0.3">
      <c r="B298" s="2" t="str">
        <f t="shared" si="7"/>
        <v/>
      </c>
      <c r="D298" s="2" t="str" cm="1">
        <f t="array" ref="D298">IFERROR(_xlfn.ARRAYTOTEXT(_xlfn.UNIQUE(_xlfn._xlws.FILTER(ubox[Failed Instance],(ubox[FirstError - IP (name)]=D$1)*(ubox[VisualID]=A298))),0),"")</f>
        <v/>
      </c>
      <c r="E298" s="2" t="str" cm="1">
        <f t="array" ref="E298">IFERROR(_xlfn.ARRAYTOTEXT(_xlfn.UNIQUE(_xlfn._xlws.FILTER(ubox[Failed Instance],(ubox[FirstError - IP (name)]=E$1)*(ubox[VisualID]=A298))),0),"")</f>
        <v/>
      </c>
      <c r="F298" s="2" t="str" cm="1">
        <f t="array" ref="F298">IFERROR(_xlfn.ARRAYTOTEXT(_xlfn.UNIQUE(_xlfn._xlws.FILTER(ubox[Failed Instance],(ubox[FirstError - IP (name)]=F$1)*(ubox[VisualID]=A298))),0),"")</f>
        <v/>
      </c>
      <c r="G298" s="2" t="str" cm="1">
        <f t="array" ref="G298">IFERROR(_xlfn.ARRAYTOTEXT(_xlfn.UNIQUE(_xlfn._xlws.FILTER(ubox[Failed Instance],(ubox[FirstError - IP (name)]=G$1)*(ubox[VisualID]=A298))),0),"")</f>
        <v/>
      </c>
      <c r="H298" s="2" t="str" cm="1">
        <f t="array" ref="H298">IFERROR(_xlfn.ARRAYTOTEXT(_xlfn.UNIQUE(_xlfn._xlws.FILTER(ubox[Failed Instance],(ubox[FirstError - IP (name)]=H$1)*(ubox[VisualID]=A298))),0),"")</f>
        <v/>
      </c>
    </row>
    <row r="299" spans="2:8" x14ac:dyDescent="0.3">
      <c r="B299" s="2" t="str">
        <f t="shared" si="7"/>
        <v/>
      </c>
      <c r="D299" s="2" t="str" cm="1">
        <f t="array" ref="D299">IFERROR(_xlfn.ARRAYTOTEXT(_xlfn.UNIQUE(_xlfn._xlws.FILTER(ubox[Failed Instance],(ubox[FirstError - IP (name)]=D$1)*(ubox[VisualID]=A299))),0),"")</f>
        <v/>
      </c>
      <c r="E299" s="2" t="str" cm="1">
        <f t="array" ref="E299">IFERROR(_xlfn.ARRAYTOTEXT(_xlfn.UNIQUE(_xlfn._xlws.FILTER(ubox[Failed Instance],(ubox[FirstError - IP (name)]=E$1)*(ubox[VisualID]=A299))),0),"")</f>
        <v/>
      </c>
      <c r="F299" s="2" t="str" cm="1">
        <f t="array" ref="F299">IFERROR(_xlfn.ARRAYTOTEXT(_xlfn.UNIQUE(_xlfn._xlws.FILTER(ubox[Failed Instance],(ubox[FirstError - IP (name)]=F$1)*(ubox[VisualID]=A299))),0),"")</f>
        <v/>
      </c>
      <c r="G299" s="2" t="str" cm="1">
        <f t="array" ref="G299">IFERROR(_xlfn.ARRAYTOTEXT(_xlfn.UNIQUE(_xlfn._xlws.FILTER(ubox[Failed Instance],(ubox[FirstError - IP (name)]=G$1)*(ubox[VisualID]=A299))),0),"")</f>
        <v/>
      </c>
      <c r="H299" s="2" t="str" cm="1">
        <f t="array" ref="H299">IFERROR(_xlfn.ARRAYTOTEXT(_xlfn.UNIQUE(_xlfn._xlws.FILTER(ubox[Failed Instance],(ubox[FirstError - IP (name)]=H$1)*(ubox[VisualID]=A299))),0),"")</f>
        <v/>
      </c>
    </row>
    <row r="300" spans="2:8" x14ac:dyDescent="0.3">
      <c r="B300" s="2" t="str">
        <f t="shared" si="7"/>
        <v/>
      </c>
      <c r="D300" s="2" t="str" cm="1">
        <f t="array" ref="D300">IFERROR(_xlfn.ARRAYTOTEXT(_xlfn.UNIQUE(_xlfn._xlws.FILTER(ubox[Failed Instance],(ubox[FirstError - IP (name)]=D$1)*(ubox[VisualID]=A300))),0),"")</f>
        <v/>
      </c>
      <c r="E300" s="2" t="str" cm="1">
        <f t="array" ref="E300">IFERROR(_xlfn.ARRAYTOTEXT(_xlfn.UNIQUE(_xlfn._xlws.FILTER(ubox[Failed Instance],(ubox[FirstError - IP (name)]=E$1)*(ubox[VisualID]=A300))),0),"")</f>
        <v/>
      </c>
      <c r="F300" s="2" t="str" cm="1">
        <f t="array" ref="F300">IFERROR(_xlfn.ARRAYTOTEXT(_xlfn.UNIQUE(_xlfn._xlws.FILTER(ubox[Failed Instance],(ubox[FirstError - IP (name)]=F$1)*(ubox[VisualID]=A300))),0),"")</f>
        <v/>
      </c>
      <c r="G300" s="2" t="str" cm="1">
        <f t="array" ref="G300">IFERROR(_xlfn.ARRAYTOTEXT(_xlfn.UNIQUE(_xlfn._xlws.FILTER(ubox[Failed Instance],(ubox[FirstError - IP (name)]=G$1)*(ubox[VisualID]=A300))),0),"")</f>
        <v/>
      </c>
      <c r="H300" s="2" t="str" cm="1">
        <f t="array" ref="H300">IFERROR(_xlfn.ARRAYTOTEXT(_xlfn.UNIQUE(_xlfn._xlws.FILTER(ubox[Failed Instance],(ubox[FirstError - IP (name)]=H$1)*(ubox[VisualID]=A300))),0),"")</f>
        <v/>
      </c>
    </row>
    <row r="301" spans="2:8" x14ac:dyDescent="0.3">
      <c r="B301" s="2" t="str">
        <f t="shared" si="7"/>
        <v/>
      </c>
      <c r="D301" s="2" t="str" cm="1">
        <f t="array" ref="D301">IFERROR(_xlfn.ARRAYTOTEXT(_xlfn.UNIQUE(_xlfn._xlws.FILTER(ubox[Failed Instance],(ubox[FirstError - IP (name)]=D$1)*(ubox[VisualID]=A301))),0),"")</f>
        <v/>
      </c>
      <c r="E301" s="2" t="str" cm="1">
        <f t="array" ref="E301">IFERROR(_xlfn.ARRAYTOTEXT(_xlfn.UNIQUE(_xlfn._xlws.FILTER(ubox[Failed Instance],(ubox[FirstError - IP (name)]=E$1)*(ubox[VisualID]=A301))),0),"")</f>
        <v/>
      </c>
      <c r="F301" s="2" t="str" cm="1">
        <f t="array" ref="F301">IFERROR(_xlfn.ARRAYTOTEXT(_xlfn.UNIQUE(_xlfn._xlws.FILTER(ubox[Failed Instance],(ubox[FirstError - IP (name)]=F$1)*(ubox[VisualID]=A301))),0),"")</f>
        <v/>
      </c>
      <c r="G301" s="2" t="str" cm="1">
        <f t="array" ref="G301">IFERROR(_xlfn.ARRAYTOTEXT(_xlfn.UNIQUE(_xlfn._xlws.FILTER(ubox[Failed Instance],(ubox[FirstError - IP (name)]=G$1)*(ubox[VisualID]=A301))),0),"")</f>
        <v/>
      </c>
      <c r="H301" s="2" t="str" cm="1">
        <f t="array" ref="H301">IFERROR(_xlfn.ARRAYTOTEXT(_xlfn.UNIQUE(_xlfn._xlws.FILTER(ubox[Failed Instance],(ubox[FirstError - IP (name)]=H$1)*(ubox[VisualID]=A301))),0),"")</f>
        <v/>
      </c>
    </row>
    <row r="302" spans="2:8" x14ac:dyDescent="0.3">
      <c r="B302" s="2" t="str">
        <f t="shared" si="7"/>
        <v/>
      </c>
      <c r="D302" s="2" t="str" cm="1">
        <f t="array" ref="D302">IFERROR(_xlfn.ARRAYTOTEXT(_xlfn.UNIQUE(_xlfn._xlws.FILTER(ubox[Failed Instance],(ubox[FirstError - IP (name)]=D$1)*(ubox[VisualID]=A302))),0),"")</f>
        <v/>
      </c>
      <c r="E302" s="2" t="str" cm="1">
        <f t="array" ref="E302">IFERROR(_xlfn.ARRAYTOTEXT(_xlfn.UNIQUE(_xlfn._xlws.FILTER(ubox[Failed Instance],(ubox[FirstError - IP (name)]=E$1)*(ubox[VisualID]=A302))),0),"")</f>
        <v/>
      </c>
      <c r="F302" s="2" t="str" cm="1">
        <f t="array" ref="F302">IFERROR(_xlfn.ARRAYTOTEXT(_xlfn.UNIQUE(_xlfn._xlws.FILTER(ubox[Failed Instance],(ubox[FirstError - IP (name)]=F$1)*(ubox[VisualID]=A302))),0),"")</f>
        <v/>
      </c>
      <c r="G302" s="2" t="str" cm="1">
        <f t="array" ref="G302">IFERROR(_xlfn.ARRAYTOTEXT(_xlfn.UNIQUE(_xlfn._xlws.FILTER(ubox[Failed Instance],(ubox[FirstError - IP (name)]=G$1)*(ubox[VisualID]=A302))),0),"")</f>
        <v/>
      </c>
      <c r="H302" s="2" t="str" cm="1">
        <f t="array" ref="H302">IFERROR(_xlfn.ARRAYTOTEXT(_xlfn.UNIQUE(_xlfn._xlws.FILTER(ubox[Failed Instance],(ubox[FirstError - IP (name)]=H$1)*(ubox[VisualID]=A302))),0),"")</f>
        <v/>
      </c>
    </row>
    <row r="303" spans="2:8" x14ac:dyDescent="0.3">
      <c r="B303" s="2" t="str">
        <f t="shared" si="7"/>
        <v/>
      </c>
      <c r="D303" s="2" t="str" cm="1">
        <f t="array" ref="D303">IFERROR(_xlfn.ARRAYTOTEXT(_xlfn.UNIQUE(_xlfn._xlws.FILTER(ubox[Failed Instance],(ubox[FirstError - IP (name)]=D$1)*(ubox[VisualID]=A303))),0),"")</f>
        <v/>
      </c>
      <c r="E303" s="2" t="str" cm="1">
        <f t="array" ref="E303">IFERROR(_xlfn.ARRAYTOTEXT(_xlfn.UNIQUE(_xlfn._xlws.FILTER(ubox[Failed Instance],(ubox[FirstError - IP (name)]=E$1)*(ubox[VisualID]=A303))),0),"")</f>
        <v/>
      </c>
      <c r="F303" s="2" t="str" cm="1">
        <f t="array" ref="F303">IFERROR(_xlfn.ARRAYTOTEXT(_xlfn.UNIQUE(_xlfn._xlws.FILTER(ubox[Failed Instance],(ubox[FirstError - IP (name)]=F$1)*(ubox[VisualID]=A303))),0),"")</f>
        <v/>
      </c>
      <c r="G303" s="2" t="str" cm="1">
        <f t="array" ref="G303">IFERROR(_xlfn.ARRAYTOTEXT(_xlfn.UNIQUE(_xlfn._xlws.FILTER(ubox[Failed Instance],(ubox[FirstError - IP (name)]=G$1)*(ubox[VisualID]=A303))),0),"")</f>
        <v/>
      </c>
      <c r="H303" s="2" t="str" cm="1">
        <f t="array" ref="H303">IFERROR(_xlfn.ARRAYTOTEXT(_xlfn.UNIQUE(_xlfn._xlws.FILTER(ubox[Failed Instance],(ubox[FirstError - IP (name)]=H$1)*(ubox[VisualID]=A303))),0),"")</f>
        <v/>
      </c>
    </row>
    <row r="304" spans="2:8" x14ac:dyDescent="0.3">
      <c r="B304" s="2" t="str">
        <f t="shared" si="7"/>
        <v/>
      </c>
      <c r="D304" s="2" t="str" cm="1">
        <f t="array" ref="D304">IFERROR(_xlfn.ARRAYTOTEXT(_xlfn.UNIQUE(_xlfn._xlws.FILTER(ubox[Failed Instance],(ubox[FirstError - IP (name)]=D$1)*(ubox[VisualID]=A304))),0),"")</f>
        <v/>
      </c>
      <c r="E304" s="2" t="str" cm="1">
        <f t="array" ref="E304">IFERROR(_xlfn.ARRAYTOTEXT(_xlfn.UNIQUE(_xlfn._xlws.FILTER(ubox[Failed Instance],(ubox[FirstError - IP (name)]=E$1)*(ubox[VisualID]=A304))),0),"")</f>
        <v/>
      </c>
      <c r="F304" s="2" t="str" cm="1">
        <f t="array" ref="F304">IFERROR(_xlfn.ARRAYTOTEXT(_xlfn.UNIQUE(_xlfn._xlws.FILTER(ubox[Failed Instance],(ubox[FirstError - IP (name)]=F$1)*(ubox[VisualID]=A304))),0),"")</f>
        <v/>
      </c>
      <c r="G304" s="2" t="str" cm="1">
        <f t="array" ref="G304">IFERROR(_xlfn.ARRAYTOTEXT(_xlfn.UNIQUE(_xlfn._xlws.FILTER(ubox[Failed Instance],(ubox[FirstError - IP (name)]=G$1)*(ubox[VisualID]=A304))),0),"")</f>
        <v/>
      </c>
      <c r="H304" s="2" t="str" cm="1">
        <f t="array" ref="H304">IFERROR(_xlfn.ARRAYTOTEXT(_xlfn.UNIQUE(_xlfn._xlws.FILTER(ubox[Failed Instance],(ubox[FirstError - IP (name)]=H$1)*(ubox[VisualID]=A304))),0),"")</f>
        <v/>
      </c>
    </row>
    <row r="305" spans="2:8" x14ac:dyDescent="0.3">
      <c r="B305" s="2" t="str">
        <f t="shared" si="7"/>
        <v/>
      </c>
      <c r="D305" s="2" t="str" cm="1">
        <f t="array" ref="D305">IFERROR(_xlfn.ARRAYTOTEXT(_xlfn.UNIQUE(_xlfn._xlws.FILTER(ubox[Failed Instance],(ubox[FirstError - IP (name)]=D$1)*(ubox[VisualID]=A305))),0),"")</f>
        <v/>
      </c>
      <c r="E305" s="2" t="str" cm="1">
        <f t="array" ref="E305">IFERROR(_xlfn.ARRAYTOTEXT(_xlfn.UNIQUE(_xlfn._xlws.FILTER(ubox[Failed Instance],(ubox[FirstError - IP (name)]=E$1)*(ubox[VisualID]=A305))),0),"")</f>
        <v/>
      </c>
      <c r="F305" s="2" t="str" cm="1">
        <f t="array" ref="F305">IFERROR(_xlfn.ARRAYTOTEXT(_xlfn.UNIQUE(_xlfn._xlws.FILTER(ubox[Failed Instance],(ubox[FirstError - IP (name)]=F$1)*(ubox[VisualID]=A305))),0),"")</f>
        <v/>
      </c>
      <c r="G305" s="2" t="str" cm="1">
        <f t="array" ref="G305">IFERROR(_xlfn.ARRAYTOTEXT(_xlfn.UNIQUE(_xlfn._xlws.FILTER(ubox[Failed Instance],(ubox[FirstError - IP (name)]=G$1)*(ubox[VisualID]=A305))),0),"")</f>
        <v/>
      </c>
      <c r="H305" s="2" t="str" cm="1">
        <f t="array" ref="H305">IFERROR(_xlfn.ARRAYTOTEXT(_xlfn.UNIQUE(_xlfn._xlws.FILTER(ubox[Failed Instance],(ubox[FirstError - IP (name)]=H$1)*(ubox[VisualID]=A305))),0),"")</f>
        <v/>
      </c>
    </row>
    <row r="306" spans="2:8" x14ac:dyDescent="0.3">
      <c r="B306" s="2" t="str">
        <f t="shared" si="7"/>
        <v/>
      </c>
      <c r="D306" s="2" t="str" cm="1">
        <f t="array" ref="D306">IFERROR(_xlfn.ARRAYTOTEXT(_xlfn.UNIQUE(_xlfn._xlws.FILTER(ubox[Failed Instance],(ubox[FirstError - IP (name)]=D$1)*(ubox[VisualID]=A306))),0),"")</f>
        <v/>
      </c>
      <c r="E306" s="2" t="str" cm="1">
        <f t="array" ref="E306">IFERROR(_xlfn.ARRAYTOTEXT(_xlfn.UNIQUE(_xlfn._xlws.FILTER(ubox[Failed Instance],(ubox[FirstError - IP (name)]=E$1)*(ubox[VisualID]=A306))),0),"")</f>
        <v/>
      </c>
      <c r="F306" s="2" t="str" cm="1">
        <f t="array" ref="F306">IFERROR(_xlfn.ARRAYTOTEXT(_xlfn.UNIQUE(_xlfn._xlws.FILTER(ubox[Failed Instance],(ubox[FirstError - IP (name)]=F$1)*(ubox[VisualID]=A306))),0),"")</f>
        <v/>
      </c>
      <c r="G306" s="2" t="str" cm="1">
        <f t="array" ref="G306">IFERROR(_xlfn.ARRAYTOTEXT(_xlfn.UNIQUE(_xlfn._xlws.FILTER(ubox[Failed Instance],(ubox[FirstError - IP (name)]=G$1)*(ubox[VisualID]=A306))),0),"")</f>
        <v/>
      </c>
      <c r="H306" s="2" t="str" cm="1">
        <f t="array" ref="H306">IFERROR(_xlfn.ARRAYTOTEXT(_xlfn.UNIQUE(_xlfn._xlws.FILTER(ubox[Failed Instance],(ubox[FirstError - IP (name)]=H$1)*(ubox[VisualID]=A306))),0),"")</f>
        <v/>
      </c>
    </row>
    <row r="307" spans="2:8" x14ac:dyDescent="0.3">
      <c r="B307" s="2" t="str">
        <f t="shared" si="7"/>
        <v/>
      </c>
      <c r="D307" s="2" t="str" cm="1">
        <f t="array" ref="D307">IFERROR(_xlfn.ARRAYTOTEXT(_xlfn.UNIQUE(_xlfn._xlws.FILTER(ubox[Failed Instance],(ubox[FirstError - IP (name)]=D$1)*(ubox[VisualID]=A307))),0),"")</f>
        <v/>
      </c>
      <c r="E307" s="2" t="str" cm="1">
        <f t="array" ref="E307">IFERROR(_xlfn.ARRAYTOTEXT(_xlfn.UNIQUE(_xlfn._xlws.FILTER(ubox[Failed Instance],(ubox[FirstError - IP (name)]=E$1)*(ubox[VisualID]=A307))),0),"")</f>
        <v/>
      </c>
      <c r="F307" s="2" t="str" cm="1">
        <f t="array" ref="F307">IFERROR(_xlfn.ARRAYTOTEXT(_xlfn.UNIQUE(_xlfn._xlws.FILTER(ubox[Failed Instance],(ubox[FirstError - IP (name)]=F$1)*(ubox[VisualID]=A307))),0),"")</f>
        <v/>
      </c>
      <c r="G307" s="2" t="str" cm="1">
        <f t="array" ref="G307">IFERROR(_xlfn.ARRAYTOTEXT(_xlfn.UNIQUE(_xlfn._xlws.FILTER(ubox[Failed Instance],(ubox[FirstError - IP (name)]=G$1)*(ubox[VisualID]=A307))),0),"")</f>
        <v/>
      </c>
      <c r="H307" s="2" t="str" cm="1">
        <f t="array" ref="H307">IFERROR(_xlfn.ARRAYTOTEXT(_xlfn.UNIQUE(_xlfn._xlws.FILTER(ubox[Failed Instance],(ubox[FirstError - IP (name)]=H$1)*(ubox[VisualID]=A307))),0),"")</f>
        <v/>
      </c>
    </row>
    <row r="308" spans="2:8" x14ac:dyDescent="0.3">
      <c r="B308" s="2" t="str">
        <f t="shared" si="7"/>
        <v/>
      </c>
      <c r="D308" s="2" t="str" cm="1">
        <f t="array" ref="D308">IFERROR(_xlfn.ARRAYTOTEXT(_xlfn.UNIQUE(_xlfn._xlws.FILTER(ubox[Failed Instance],(ubox[FirstError - IP (name)]=D$1)*(ubox[VisualID]=A308))),0),"")</f>
        <v/>
      </c>
      <c r="E308" s="2" t="str" cm="1">
        <f t="array" ref="E308">IFERROR(_xlfn.ARRAYTOTEXT(_xlfn.UNIQUE(_xlfn._xlws.FILTER(ubox[Failed Instance],(ubox[FirstError - IP (name)]=E$1)*(ubox[VisualID]=A308))),0),"")</f>
        <v/>
      </c>
      <c r="F308" s="2" t="str" cm="1">
        <f t="array" ref="F308">IFERROR(_xlfn.ARRAYTOTEXT(_xlfn.UNIQUE(_xlfn._xlws.FILTER(ubox[Failed Instance],(ubox[FirstError - IP (name)]=F$1)*(ubox[VisualID]=A308))),0),"")</f>
        <v/>
      </c>
      <c r="G308" s="2" t="str" cm="1">
        <f t="array" ref="G308">IFERROR(_xlfn.ARRAYTOTEXT(_xlfn.UNIQUE(_xlfn._xlws.FILTER(ubox[Failed Instance],(ubox[FirstError - IP (name)]=G$1)*(ubox[VisualID]=A308))),0),"")</f>
        <v/>
      </c>
      <c r="H308" s="2" t="str" cm="1">
        <f t="array" ref="H308">IFERROR(_xlfn.ARRAYTOTEXT(_xlfn.UNIQUE(_xlfn._xlws.FILTER(ubox[Failed Instance],(ubox[FirstError - IP (name)]=H$1)*(ubox[VisualID]=A308))),0),"")</f>
        <v/>
      </c>
    </row>
    <row r="309" spans="2:8" x14ac:dyDescent="0.3">
      <c r="B309" s="2" t="str">
        <f t="shared" si="7"/>
        <v/>
      </c>
      <c r="D309" s="2" t="str" cm="1">
        <f t="array" ref="D309">IFERROR(_xlfn.ARRAYTOTEXT(_xlfn.UNIQUE(_xlfn._xlws.FILTER(ubox[Failed Instance],(ubox[FirstError - IP (name)]=D$1)*(ubox[VisualID]=A309))),0),"")</f>
        <v/>
      </c>
      <c r="E309" s="2" t="str" cm="1">
        <f t="array" ref="E309">IFERROR(_xlfn.ARRAYTOTEXT(_xlfn.UNIQUE(_xlfn._xlws.FILTER(ubox[Failed Instance],(ubox[FirstError - IP (name)]=E$1)*(ubox[VisualID]=A309))),0),"")</f>
        <v/>
      </c>
      <c r="F309" s="2" t="str" cm="1">
        <f t="array" ref="F309">IFERROR(_xlfn.ARRAYTOTEXT(_xlfn.UNIQUE(_xlfn._xlws.FILTER(ubox[Failed Instance],(ubox[FirstError - IP (name)]=F$1)*(ubox[VisualID]=A309))),0),"")</f>
        <v/>
      </c>
      <c r="G309" s="2" t="str" cm="1">
        <f t="array" ref="G309">IFERROR(_xlfn.ARRAYTOTEXT(_xlfn.UNIQUE(_xlfn._xlws.FILTER(ubox[Failed Instance],(ubox[FirstError - IP (name)]=G$1)*(ubox[VisualID]=A309))),0),"")</f>
        <v/>
      </c>
      <c r="H309" s="2" t="str" cm="1">
        <f t="array" ref="H309">IFERROR(_xlfn.ARRAYTOTEXT(_xlfn.UNIQUE(_xlfn._xlws.FILTER(ubox[Failed Instance],(ubox[FirstError - IP (name)]=H$1)*(ubox[VisualID]=A309))),0),"")</f>
        <v/>
      </c>
    </row>
    <row r="310" spans="2:8" x14ac:dyDescent="0.3">
      <c r="B310" s="2" t="str">
        <f t="shared" si="7"/>
        <v/>
      </c>
      <c r="D310" s="2" t="str" cm="1">
        <f t="array" ref="D310">IFERROR(_xlfn.ARRAYTOTEXT(_xlfn.UNIQUE(_xlfn._xlws.FILTER(ubox[Failed Instance],(ubox[FirstError - IP (name)]=D$1)*(ubox[VisualID]=A310))),0),"")</f>
        <v/>
      </c>
      <c r="E310" s="2" t="str" cm="1">
        <f t="array" ref="E310">IFERROR(_xlfn.ARRAYTOTEXT(_xlfn.UNIQUE(_xlfn._xlws.FILTER(ubox[Failed Instance],(ubox[FirstError - IP (name)]=E$1)*(ubox[VisualID]=A310))),0),"")</f>
        <v/>
      </c>
      <c r="F310" s="2" t="str" cm="1">
        <f t="array" ref="F310">IFERROR(_xlfn.ARRAYTOTEXT(_xlfn.UNIQUE(_xlfn._xlws.FILTER(ubox[Failed Instance],(ubox[FirstError - IP (name)]=F$1)*(ubox[VisualID]=A310))),0),"")</f>
        <v/>
      </c>
      <c r="G310" s="2" t="str" cm="1">
        <f t="array" ref="G310">IFERROR(_xlfn.ARRAYTOTEXT(_xlfn.UNIQUE(_xlfn._xlws.FILTER(ubox[Failed Instance],(ubox[FirstError - IP (name)]=G$1)*(ubox[VisualID]=A310))),0),"")</f>
        <v/>
      </c>
      <c r="H310" s="2" t="str" cm="1">
        <f t="array" ref="H310">IFERROR(_xlfn.ARRAYTOTEXT(_xlfn.UNIQUE(_xlfn._xlws.FILTER(ubox[Failed Instance],(ubox[FirstError - IP (name)]=H$1)*(ubox[VisualID]=A310))),0),"")</f>
        <v/>
      </c>
    </row>
    <row r="311" spans="2:8" x14ac:dyDescent="0.3">
      <c r="B311" s="2" t="str">
        <f t="shared" si="7"/>
        <v/>
      </c>
      <c r="D311" s="2" t="str" cm="1">
        <f t="array" ref="D311">IFERROR(_xlfn.ARRAYTOTEXT(_xlfn.UNIQUE(_xlfn._xlws.FILTER(ubox[Failed Instance],(ubox[FirstError - IP (name)]=D$1)*(ubox[VisualID]=A311))),0),"")</f>
        <v/>
      </c>
      <c r="E311" s="2" t="str" cm="1">
        <f t="array" ref="E311">IFERROR(_xlfn.ARRAYTOTEXT(_xlfn.UNIQUE(_xlfn._xlws.FILTER(ubox[Failed Instance],(ubox[FirstError - IP (name)]=E$1)*(ubox[VisualID]=A311))),0),"")</f>
        <v/>
      </c>
      <c r="F311" s="2" t="str" cm="1">
        <f t="array" ref="F311">IFERROR(_xlfn.ARRAYTOTEXT(_xlfn.UNIQUE(_xlfn._xlws.FILTER(ubox[Failed Instance],(ubox[FirstError - IP (name)]=F$1)*(ubox[VisualID]=A311))),0),"")</f>
        <v/>
      </c>
      <c r="G311" s="2" t="str" cm="1">
        <f t="array" ref="G311">IFERROR(_xlfn.ARRAYTOTEXT(_xlfn.UNIQUE(_xlfn._xlws.FILTER(ubox[Failed Instance],(ubox[FirstError - IP (name)]=G$1)*(ubox[VisualID]=A311))),0),"")</f>
        <v/>
      </c>
      <c r="H311" s="2" t="str" cm="1">
        <f t="array" ref="H311">IFERROR(_xlfn.ARRAYTOTEXT(_xlfn.UNIQUE(_xlfn._xlws.FILTER(ubox[Failed Instance],(ubox[FirstError - IP (name)]=H$1)*(ubox[VisualID]=A311))),0),"")</f>
        <v/>
      </c>
    </row>
    <row r="312" spans="2:8" x14ac:dyDescent="0.3">
      <c r="B312" s="2" t="str">
        <f t="shared" si="7"/>
        <v/>
      </c>
      <c r="D312" s="2" t="str" cm="1">
        <f t="array" ref="D312">IFERROR(_xlfn.ARRAYTOTEXT(_xlfn.UNIQUE(_xlfn._xlws.FILTER(ubox[Failed Instance],(ubox[FirstError - IP (name)]=D$1)*(ubox[VisualID]=A312))),0),"")</f>
        <v/>
      </c>
      <c r="E312" s="2" t="str" cm="1">
        <f t="array" ref="E312">IFERROR(_xlfn.ARRAYTOTEXT(_xlfn.UNIQUE(_xlfn._xlws.FILTER(ubox[Failed Instance],(ubox[FirstError - IP (name)]=E$1)*(ubox[VisualID]=A312))),0),"")</f>
        <v/>
      </c>
      <c r="F312" s="2" t="str" cm="1">
        <f t="array" ref="F312">IFERROR(_xlfn.ARRAYTOTEXT(_xlfn.UNIQUE(_xlfn._xlws.FILTER(ubox[Failed Instance],(ubox[FirstError - IP (name)]=F$1)*(ubox[VisualID]=A312))),0),"")</f>
        <v/>
      </c>
      <c r="G312" s="2" t="str" cm="1">
        <f t="array" ref="G312">IFERROR(_xlfn.ARRAYTOTEXT(_xlfn.UNIQUE(_xlfn._xlws.FILTER(ubox[Failed Instance],(ubox[FirstError - IP (name)]=G$1)*(ubox[VisualID]=A312))),0),"")</f>
        <v/>
      </c>
      <c r="H312" s="2" t="str" cm="1">
        <f t="array" ref="H312">IFERROR(_xlfn.ARRAYTOTEXT(_xlfn.UNIQUE(_xlfn._xlws.FILTER(ubox[Failed Instance],(ubox[FirstError - IP (name)]=H$1)*(ubox[VisualID]=A312))),0),"")</f>
        <v/>
      </c>
    </row>
    <row r="313" spans="2:8" x14ac:dyDescent="0.3">
      <c r="B313" s="2" t="str">
        <f t="shared" si="7"/>
        <v/>
      </c>
      <c r="D313" s="2" t="str" cm="1">
        <f t="array" ref="D313">IFERROR(_xlfn.ARRAYTOTEXT(_xlfn.UNIQUE(_xlfn._xlws.FILTER(ubox[Failed Instance],(ubox[FirstError - IP (name)]=D$1)*(ubox[VisualID]=A313))),0),"")</f>
        <v/>
      </c>
      <c r="E313" s="2" t="str" cm="1">
        <f t="array" ref="E313">IFERROR(_xlfn.ARRAYTOTEXT(_xlfn.UNIQUE(_xlfn._xlws.FILTER(ubox[Failed Instance],(ubox[FirstError - IP (name)]=E$1)*(ubox[VisualID]=A313))),0),"")</f>
        <v/>
      </c>
      <c r="F313" s="2" t="str" cm="1">
        <f t="array" ref="F313">IFERROR(_xlfn.ARRAYTOTEXT(_xlfn.UNIQUE(_xlfn._xlws.FILTER(ubox[Failed Instance],(ubox[FirstError - IP (name)]=F$1)*(ubox[VisualID]=A313))),0),"")</f>
        <v/>
      </c>
      <c r="G313" s="2" t="str" cm="1">
        <f t="array" ref="G313">IFERROR(_xlfn.ARRAYTOTEXT(_xlfn.UNIQUE(_xlfn._xlws.FILTER(ubox[Failed Instance],(ubox[FirstError - IP (name)]=G$1)*(ubox[VisualID]=A313))),0),"")</f>
        <v/>
      </c>
      <c r="H313" s="2" t="str" cm="1">
        <f t="array" ref="H313">IFERROR(_xlfn.ARRAYTOTEXT(_xlfn.UNIQUE(_xlfn._xlws.FILTER(ubox[Failed Instance],(ubox[FirstError - IP (name)]=H$1)*(ubox[VisualID]=A313))),0),"")</f>
        <v/>
      </c>
    </row>
    <row r="314" spans="2:8" x14ac:dyDescent="0.3">
      <c r="B314" s="2" t="str">
        <f t="shared" si="7"/>
        <v/>
      </c>
      <c r="D314" s="2" t="str" cm="1">
        <f t="array" ref="D314">IFERROR(_xlfn.ARRAYTOTEXT(_xlfn.UNIQUE(_xlfn._xlws.FILTER(ubox[Failed Instance],(ubox[FirstError - IP (name)]=D$1)*(ubox[VisualID]=A314))),0),"")</f>
        <v/>
      </c>
      <c r="E314" s="2" t="str" cm="1">
        <f t="array" ref="E314">IFERROR(_xlfn.ARRAYTOTEXT(_xlfn.UNIQUE(_xlfn._xlws.FILTER(ubox[Failed Instance],(ubox[FirstError - IP (name)]=E$1)*(ubox[VisualID]=A314))),0),"")</f>
        <v/>
      </c>
      <c r="F314" s="2" t="str" cm="1">
        <f t="array" ref="F314">IFERROR(_xlfn.ARRAYTOTEXT(_xlfn.UNIQUE(_xlfn._xlws.FILTER(ubox[Failed Instance],(ubox[FirstError - IP (name)]=F$1)*(ubox[VisualID]=A314))),0),"")</f>
        <v/>
      </c>
      <c r="G314" s="2" t="str" cm="1">
        <f t="array" ref="G314">IFERROR(_xlfn.ARRAYTOTEXT(_xlfn.UNIQUE(_xlfn._xlws.FILTER(ubox[Failed Instance],(ubox[FirstError - IP (name)]=G$1)*(ubox[VisualID]=A314))),0),"")</f>
        <v/>
      </c>
      <c r="H314" s="2" t="str" cm="1">
        <f t="array" ref="H314">IFERROR(_xlfn.ARRAYTOTEXT(_xlfn.UNIQUE(_xlfn._xlws.FILTER(ubox[Failed Instance],(ubox[FirstError - IP (name)]=H$1)*(ubox[VisualID]=A314))),0),"")</f>
        <v/>
      </c>
    </row>
    <row r="315" spans="2:8" x14ac:dyDescent="0.3">
      <c r="B315" s="2" t="str">
        <f t="shared" si="7"/>
        <v/>
      </c>
      <c r="D315" s="2" t="str" cm="1">
        <f t="array" ref="D315">IFERROR(_xlfn.ARRAYTOTEXT(_xlfn.UNIQUE(_xlfn._xlws.FILTER(ubox[Failed Instance],(ubox[FirstError - IP (name)]=D$1)*(ubox[VisualID]=A315))),0),"")</f>
        <v/>
      </c>
      <c r="E315" s="2" t="str" cm="1">
        <f t="array" ref="E315">IFERROR(_xlfn.ARRAYTOTEXT(_xlfn.UNIQUE(_xlfn._xlws.FILTER(ubox[Failed Instance],(ubox[FirstError - IP (name)]=E$1)*(ubox[VisualID]=A315))),0),"")</f>
        <v/>
      </c>
      <c r="F315" s="2" t="str" cm="1">
        <f t="array" ref="F315">IFERROR(_xlfn.ARRAYTOTEXT(_xlfn.UNIQUE(_xlfn._xlws.FILTER(ubox[Failed Instance],(ubox[FirstError - IP (name)]=F$1)*(ubox[VisualID]=A315))),0),"")</f>
        <v/>
      </c>
      <c r="G315" s="2" t="str" cm="1">
        <f t="array" ref="G315">IFERROR(_xlfn.ARRAYTOTEXT(_xlfn.UNIQUE(_xlfn._xlws.FILTER(ubox[Failed Instance],(ubox[FirstError - IP (name)]=G$1)*(ubox[VisualID]=A315))),0),"")</f>
        <v/>
      </c>
      <c r="H315" s="2" t="str" cm="1">
        <f t="array" ref="H315">IFERROR(_xlfn.ARRAYTOTEXT(_xlfn.UNIQUE(_xlfn._xlws.FILTER(ubox[Failed Instance],(ubox[FirstError - IP (name)]=H$1)*(ubox[VisualID]=A315))),0),"")</f>
        <v/>
      </c>
    </row>
    <row r="316" spans="2:8" x14ac:dyDescent="0.3">
      <c r="B316" s="2" t="str">
        <f t="shared" si="7"/>
        <v/>
      </c>
      <c r="D316" s="2" t="str" cm="1">
        <f t="array" ref="D316">IFERROR(_xlfn.ARRAYTOTEXT(_xlfn.UNIQUE(_xlfn._xlws.FILTER(ubox[Failed Instance],(ubox[FirstError - IP (name)]=D$1)*(ubox[VisualID]=A316))),0),"")</f>
        <v/>
      </c>
      <c r="E316" s="2" t="str" cm="1">
        <f t="array" ref="E316">IFERROR(_xlfn.ARRAYTOTEXT(_xlfn.UNIQUE(_xlfn._xlws.FILTER(ubox[Failed Instance],(ubox[FirstError - IP (name)]=E$1)*(ubox[VisualID]=A316))),0),"")</f>
        <v/>
      </c>
      <c r="F316" s="2" t="str" cm="1">
        <f t="array" ref="F316">IFERROR(_xlfn.ARRAYTOTEXT(_xlfn.UNIQUE(_xlfn._xlws.FILTER(ubox[Failed Instance],(ubox[FirstError - IP (name)]=F$1)*(ubox[VisualID]=A316))),0),"")</f>
        <v/>
      </c>
      <c r="G316" s="2" t="str" cm="1">
        <f t="array" ref="G316">IFERROR(_xlfn.ARRAYTOTEXT(_xlfn.UNIQUE(_xlfn._xlws.FILTER(ubox[Failed Instance],(ubox[FirstError - IP (name)]=G$1)*(ubox[VisualID]=A316))),0),"")</f>
        <v/>
      </c>
      <c r="H316" s="2" t="str" cm="1">
        <f t="array" ref="H316">IFERROR(_xlfn.ARRAYTOTEXT(_xlfn.UNIQUE(_xlfn._xlws.FILTER(ubox[Failed Instance],(ubox[FirstError - IP (name)]=H$1)*(ubox[VisualID]=A316))),0),"")</f>
        <v/>
      </c>
    </row>
    <row r="317" spans="2:8" x14ac:dyDescent="0.3">
      <c r="B317" s="2" t="str">
        <f t="shared" si="7"/>
        <v/>
      </c>
      <c r="D317" s="2" t="str" cm="1">
        <f t="array" ref="D317">IFERROR(_xlfn.ARRAYTOTEXT(_xlfn.UNIQUE(_xlfn._xlws.FILTER(ubox[Failed Instance],(ubox[FirstError - IP (name)]=D$1)*(ubox[VisualID]=A317))),0),"")</f>
        <v/>
      </c>
      <c r="E317" s="2" t="str" cm="1">
        <f t="array" ref="E317">IFERROR(_xlfn.ARRAYTOTEXT(_xlfn.UNIQUE(_xlfn._xlws.FILTER(ubox[Failed Instance],(ubox[FirstError - IP (name)]=E$1)*(ubox[VisualID]=A317))),0),"")</f>
        <v/>
      </c>
      <c r="F317" s="2" t="str" cm="1">
        <f t="array" ref="F317">IFERROR(_xlfn.ARRAYTOTEXT(_xlfn.UNIQUE(_xlfn._xlws.FILTER(ubox[Failed Instance],(ubox[FirstError - IP (name)]=F$1)*(ubox[VisualID]=A317))),0),"")</f>
        <v/>
      </c>
      <c r="G317" s="2" t="str" cm="1">
        <f t="array" ref="G317">IFERROR(_xlfn.ARRAYTOTEXT(_xlfn.UNIQUE(_xlfn._xlws.FILTER(ubox[Failed Instance],(ubox[FirstError - IP (name)]=G$1)*(ubox[VisualID]=A317))),0),"")</f>
        <v/>
      </c>
      <c r="H317" s="2" t="str" cm="1">
        <f t="array" ref="H317">IFERROR(_xlfn.ARRAYTOTEXT(_xlfn.UNIQUE(_xlfn._xlws.FILTER(ubox[Failed Instance],(ubox[FirstError - IP (name)]=H$1)*(ubox[VisualID]=A317))),0),"")</f>
        <v/>
      </c>
    </row>
    <row r="318" spans="2:8" x14ac:dyDescent="0.3">
      <c r="B318" s="2" t="str">
        <f t="shared" si="7"/>
        <v/>
      </c>
      <c r="D318" s="2" t="str" cm="1">
        <f t="array" ref="D318">IFERROR(_xlfn.ARRAYTOTEXT(_xlfn.UNIQUE(_xlfn._xlws.FILTER(ubox[Failed Instance],(ubox[FirstError - IP (name)]=D$1)*(ubox[VisualID]=A318))),0),"")</f>
        <v/>
      </c>
      <c r="E318" s="2" t="str" cm="1">
        <f t="array" ref="E318">IFERROR(_xlfn.ARRAYTOTEXT(_xlfn.UNIQUE(_xlfn._xlws.FILTER(ubox[Failed Instance],(ubox[FirstError - IP (name)]=E$1)*(ubox[VisualID]=A318))),0),"")</f>
        <v/>
      </c>
      <c r="F318" s="2" t="str" cm="1">
        <f t="array" ref="F318">IFERROR(_xlfn.ARRAYTOTEXT(_xlfn.UNIQUE(_xlfn._xlws.FILTER(ubox[Failed Instance],(ubox[FirstError - IP (name)]=F$1)*(ubox[VisualID]=A318))),0),"")</f>
        <v/>
      </c>
      <c r="G318" s="2" t="str" cm="1">
        <f t="array" ref="G318">IFERROR(_xlfn.ARRAYTOTEXT(_xlfn.UNIQUE(_xlfn._xlws.FILTER(ubox[Failed Instance],(ubox[FirstError - IP (name)]=G$1)*(ubox[VisualID]=A318))),0),"")</f>
        <v/>
      </c>
      <c r="H318" s="2" t="str" cm="1">
        <f t="array" ref="H318">IFERROR(_xlfn.ARRAYTOTEXT(_xlfn.UNIQUE(_xlfn._xlws.FILTER(ubox[Failed Instance],(ubox[FirstError - IP (name)]=H$1)*(ubox[VisualID]=A318))),0),"")</f>
        <v/>
      </c>
    </row>
    <row r="319" spans="2:8" x14ac:dyDescent="0.3">
      <c r="B319" s="2" t="str">
        <f t="shared" si="7"/>
        <v/>
      </c>
      <c r="D319" s="2" t="str" cm="1">
        <f t="array" ref="D319">IFERROR(_xlfn.ARRAYTOTEXT(_xlfn.UNIQUE(_xlfn._xlws.FILTER(ubox[Failed Instance],(ubox[FirstError - IP (name)]=D$1)*(ubox[VisualID]=A319))),0),"")</f>
        <v/>
      </c>
      <c r="E319" s="2" t="str" cm="1">
        <f t="array" ref="E319">IFERROR(_xlfn.ARRAYTOTEXT(_xlfn.UNIQUE(_xlfn._xlws.FILTER(ubox[Failed Instance],(ubox[FirstError - IP (name)]=E$1)*(ubox[VisualID]=A319))),0),"")</f>
        <v/>
      </c>
      <c r="F319" s="2" t="str" cm="1">
        <f t="array" ref="F319">IFERROR(_xlfn.ARRAYTOTEXT(_xlfn.UNIQUE(_xlfn._xlws.FILTER(ubox[Failed Instance],(ubox[FirstError - IP (name)]=F$1)*(ubox[VisualID]=A319))),0),"")</f>
        <v/>
      </c>
      <c r="G319" s="2" t="str" cm="1">
        <f t="array" ref="G319">IFERROR(_xlfn.ARRAYTOTEXT(_xlfn.UNIQUE(_xlfn._xlws.FILTER(ubox[Failed Instance],(ubox[FirstError - IP (name)]=G$1)*(ubox[VisualID]=A319))),0),"")</f>
        <v/>
      </c>
      <c r="H319" s="2" t="str" cm="1">
        <f t="array" ref="H319">IFERROR(_xlfn.ARRAYTOTEXT(_xlfn.UNIQUE(_xlfn._xlws.FILTER(ubox[Failed Instance],(ubox[FirstError - IP (name)]=H$1)*(ubox[VisualID]=A319))),0),"")</f>
        <v/>
      </c>
    </row>
    <row r="320" spans="2:8" x14ac:dyDescent="0.3">
      <c r="B320" s="2" t="str">
        <f t="shared" si="7"/>
        <v/>
      </c>
      <c r="D320" s="2" t="str" cm="1">
        <f t="array" ref="D320">IFERROR(_xlfn.ARRAYTOTEXT(_xlfn.UNIQUE(_xlfn._xlws.FILTER(ubox[Failed Instance],(ubox[FirstError - IP (name)]=D$1)*(ubox[VisualID]=A320))),0),"")</f>
        <v/>
      </c>
      <c r="E320" s="2" t="str" cm="1">
        <f t="array" ref="E320">IFERROR(_xlfn.ARRAYTOTEXT(_xlfn.UNIQUE(_xlfn._xlws.FILTER(ubox[Failed Instance],(ubox[FirstError - IP (name)]=E$1)*(ubox[VisualID]=A320))),0),"")</f>
        <v/>
      </c>
      <c r="F320" s="2" t="str" cm="1">
        <f t="array" ref="F320">IFERROR(_xlfn.ARRAYTOTEXT(_xlfn.UNIQUE(_xlfn._xlws.FILTER(ubox[Failed Instance],(ubox[FirstError - IP (name)]=F$1)*(ubox[VisualID]=A320))),0),"")</f>
        <v/>
      </c>
      <c r="G320" s="2" t="str" cm="1">
        <f t="array" ref="G320">IFERROR(_xlfn.ARRAYTOTEXT(_xlfn.UNIQUE(_xlfn._xlws.FILTER(ubox[Failed Instance],(ubox[FirstError - IP (name)]=G$1)*(ubox[VisualID]=A320))),0),"")</f>
        <v/>
      </c>
      <c r="H320" s="2" t="str" cm="1">
        <f t="array" ref="H320">IFERROR(_xlfn.ARRAYTOTEXT(_xlfn.UNIQUE(_xlfn._xlws.FILTER(ubox[Failed Instance],(ubox[FirstError - IP (name)]=H$1)*(ubox[VisualID]=A320))),0),"")</f>
        <v/>
      </c>
    </row>
    <row r="321" spans="2:8" x14ac:dyDescent="0.3">
      <c r="B321" s="2" t="str">
        <f t="shared" si="7"/>
        <v/>
      </c>
      <c r="D321" s="2" t="str" cm="1">
        <f t="array" ref="D321">IFERROR(_xlfn.ARRAYTOTEXT(_xlfn.UNIQUE(_xlfn._xlws.FILTER(ubox[Failed Instance],(ubox[FirstError - IP (name)]=D$1)*(ubox[VisualID]=A321))),0),"")</f>
        <v/>
      </c>
      <c r="E321" s="2" t="str" cm="1">
        <f t="array" ref="E321">IFERROR(_xlfn.ARRAYTOTEXT(_xlfn.UNIQUE(_xlfn._xlws.FILTER(ubox[Failed Instance],(ubox[FirstError - IP (name)]=E$1)*(ubox[VisualID]=A321))),0),"")</f>
        <v/>
      </c>
      <c r="F321" s="2" t="str" cm="1">
        <f t="array" ref="F321">IFERROR(_xlfn.ARRAYTOTEXT(_xlfn.UNIQUE(_xlfn._xlws.FILTER(ubox[Failed Instance],(ubox[FirstError - IP (name)]=F$1)*(ubox[VisualID]=A321))),0),"")</f>
        <v/>
      </c>
      <c r="G321" s="2" t="str" cm="1">
        <f t="array" ref="G321">IFERROR(_xlfn.ARRAYTOTEXT(_xlfn.UNIQUE(_xlfn._xlws.FILTER(ubox[Failed Instance],(ubox[FirstError - IP (name)]=G$1)*(ubox[VisualID]=A321))),0),"")</f>
        <v/>
      </c>
      <c r="H321" s="2" t="str" cm="1">
        <f t="array" ref="H321">IFERROR(_xlfn.ARRAYTOTEXT(_xlfn.UNIQUE(_xlfn._xlws.FILTER(ubox[Failed Instance],(ubox[FirstError - IP (name)]=H$1)*(ubox[VisualID]=A321))),0),"")</f>
        <v/>
      </c>
    </row>
    <row r="322" spans="2:8" x14ac:dyDescent="0.3">
      <c r="B322" s="2" t="str">
        <f t="shared" si="7"/>
        <v/>
      </c>
      <c r="D322" s="2" t="str" cm="1">
        <f t="array" ref="D322">IFERROR(_xlfn.ARRAYTOTEXT(_xlfn.UNIQUE(_xlfn._xlws.FILTER(ubox[Failed Instance],(ubox[FirstError - IP (name)]=D$1)*(ubox[VisualID]=A322))),0),"")</f>
        <v/>
      </c>
      <c r="E322" s="2" t="str" cm="1">
        <f t="array" ref="E322">IFERROR(_xlfn.ARRAYTOTEXT(_xlfn.UNIQUE(_xlfn._xlws.FILTER(ubox[Failed Instance],(ubox[FirstError - IP (name)]=E$1)*(ubox[VisualID]=A322))),0),"")</f>
        <v/>
      </c>
      <c r="F322" s="2" t="str" cm="1">
        <f t="array" ref="F322">IFERROR(_xlfn.ARRAYTOTEXT(_xlfn.UNIQUE(_xlfn._xlws.FILTER(ubox[Failed Instance],(ubox[FirstError - IP (name)]=F$1)*(ubox[VisualID]=A322))),0),"")</f>
        <v/>
      </c>
      <c r="G322" s="2" t="str" cm="1">
        <f t="array" ref="G322">IFERROR(_xlfn.ARRAYTOTEXT(_xlfn.UNIQUE(_xlfn._xlws.FILTER(ubox[Failed Instance],(ubox[FirstError - IP (name)]=G$1)*(ubox[VisualID]=A322))),0),"")</f>
        <v/>
      </c>
      <c r="H322" s="2" t="str" cm="1">
        <f t="array" ref="H322">IFERROR(_xlfn.ARRAYTOTEXT(_xlfn.UNIQUE(_xlfn._xlws.FILTER(ubox[Failed Instance],(ubox[FirstError - IP (name)]=H$1)*(ubox[VisualID]=A322))),0),"")</f>
        <v/>
      </c>
    </row>
    <row r="323" spans="2:8" x14ac:dyDescent="0.3">
      <c r="B323" s="2" t="str">
        <f t="shared" si="7"/>
        <v/>
      </c>
      <c r="D323" s="2" t="str" cm="1">
        <f t="array" ref="D323">IFERROR(_xlfn.ARRAYTOTEXT(_xlfn.UNIQUE(_xlfn._xlws.FILTER(ubox[Failed Instance],(ubox[FirstError - IP (name)]=D$1)*(ubox[VisualID]=A323))),0),"")</f>
        <v/>
      </c>
      <c r="E323" s="2" t="str" cm="1">
        <f t="array" ref="E323">IFERROR(_xlfn.ARRAYTOTEXT(_xlfn.UNIQUE(_xlfn._xlws.FILTER(ubox[Failed Instance],(ubox[FirstError - IP (name)]=E$1)*(ubox[VisualID]=A323))),0),"")</f>
        <v/>
      </c>
      <c r="F323" s="2" t="str" cm="1">
        <f t="array" ref="F323">IFERROR(_xlfn.ARRAYTOTEXT(_xlfn.UNIQUE(_xlfn._xlws.FILTER(ubox[Failed Instance],(ubox[FirstError - IP (name)]=F$1)*(ubox[VisualID]=A323))),0),"")</f>
        <v/>
      </c>
      <c r="G323" s="2" t="str" cm="1">
        <f t="array" ref="G323">IFERROR(_xlfn.ARRAYTOTEXT(_xlfn.UNIQUE(_xlfn._xlws.FILTER(ubox[Failed Instance],(ubox[FirstError - IP (name)]=G$1)*(ubox[VisualID]=A323))),0),"")</f>
        <v/>
      </c>
      <c r="H323" s="2" t="str" cm="1">
        <f t="array" ref="H323">IFERROR(_xlfn.ARRAYTOTEXT(_xlfn.UNIQUE(_xlfn._xlws.FILTER(ubox[Failed Instance],(ubox[FirstError - IP (name)]=H$1)*(ubox[VisualID]=A323))),0),"")</f>
        <v/>
      </c>
    </row>
    <row r="324" spans="2:8" x14ac:dyDescent="0.3">
      <c r="B324" s="2" t="str">
        <f t="shared" si="7"/>
        <v/>
      </c>
      <c r="D324" s="2" t="str" cm="1">
        <f t="array" ref="D324">IFERROR(_xlfn.ARRAYTOTEXT(_xlfn.UNIQUE(_xlfn._xlws.FILTER(ubox[Failed Instance],(ubox[FirstError - IP (name)]=D$1)*(ubox[VisualID]=A324))),0),"")</f>
        <v/>
      </c>
      <c r="E324" s="2" t="str" cm="1">
        <f t="array" ref="E324">IFERROR(_xlfn.ARRAYTOTEXT(_xlfn.UNIQUE(_xlfn._xlws.FILTER(ubox[Failed Instance],(ubox[FirstError - IP (name)]=E$1)*(ubox[VisualID]=A324))),0),"")</f>
        <v/>
      </c>
      <c r="F324" s="2" t="str" cm="1">
        <f t="array" ref="F324">IFERROR(_xlfn.ARRAYTOTEXT(_xlfn.UNIQUE(_xlfn._xlws.FILTER(ubox[Failed Instance],(ubox[FirstError - IP (name)]=F$1)*(ubox[VisualID]=A324))),0),"")</f>
        <v/>
      </c>
      <c r="G324" s="2" t="str" cm="1">
        <f t="array" ref="G324">IFERROR(_xlfn.ARRAYTOTEXT(_xlfn.UNIQUE(_xlfn._xlws.FILTER(ubox[Failed Instance],(ubox[FirstError - IP (name)]=G$1)*(ubox[VisualID]=A324))),0),"")</f>
        <v/>
      </c>
      <c r="H324" s="2" t="str" cm="1">
        <f t="array" ref="H324">IFERROR(_xlfn.ARRAYTOTEXT(_xlfn.UNIQUE(_xlfn._xlws.FILTER(ubox[Failed Instance],(ubox[FirstError - IP (name)]=H$1)*(ubox[VisualID]=A324))),0),"")</f>
        <v/>
      </c>
    </row>
    <row r="325" spans="2:8" x14ac:dyDescent="0.3">
      <c r="B325" s="2" t="str">
        <f t="shared" si="7"/>
        <v/>
      </c>
      <c r="D325" s="2" t="str" cm="1">
        <f t="array" ref="D325">IFERROR(_xlfn.ARRAYTOTEXT(_xlfn.UNIQUE(_xlfn._xlws.FILTER(ubox[Failed Instance],(ubox[FirstError - IP (name)]=D$1)*(ubox[VisualID]=A325))),0),"")</f>
        <v/>
      </c>
      <c r="E325" s="2" t="str" cm="1">
        <f t="array" ref="E325">IFERROR(_xlfn.ARRAYTOTEXT(_xlfn.UNIQUE(_xlfn._xlws.FILTER(ubox[Failed Instance],(ubox[FirstError - IP (name)]=E$1)*(ubox[VisualID]=A325))),0),"")</f>
        <v/>
      </c>
      <c r="F325" s="2" t="str" cm="1">
        <f t="array" ref="F325">IFERROR(_xlfn.ARRAYTOTEXT(_xlfn.UNIQUE(_xlfn._xlws.FILTER(ubox[Failed Instance],(ubox[FirstError - IP (name)]=F$1)*(ubox[VisualID]=A325))),0),"")</f>
        <v/>
      </c>
      <c r="G325" s="2" t="str" cm="1">
        <f t="array" ref="G325">IFERROR(_xlfn.ARRAYTOTEXT(_xlfn.UNIQUE(_xlfn._xlws.FILTER(ubox[Failed Instance],(ubox[FirstError - IP (name)]=G$1)*(ubox[VisualID]=A325))),0),"")</f>
        <v/>
      </c>
      <c r="H325" s="2" t="str" cm="1">
        <f t="array" ref="H325">IFERROR(_xlfn.ARRAYTOTEXT(_xlfn.UNIQUE(_xlfn._xlws.FILTER(ubox[Failed Instance],(ubox[FirstError - IP (name)]=H$1)*(ubox[VisualID]=A325))),0),"")</f>
        <v/>
      </c>
    </row>
    <row r="326" spans="2:8" x14ac:dyDescent="0.3">
      <c r="B326" s="2" t="str">
        <f t="shared" si="7"/>
        <v/>
      </c>
      <c r="D326" s="2" t="str" cm="1">
        <f t="array" ref="D326">IFERROR(_xlfn.ARRAYTOTEXT(_xlfn.UNIQUE(_xlfn._xlws.FILTER(ubox[Failed Instance],(ubox[FirstError - IP (name)]=D$1)*(ubox[VisualID]=A326))),0),"")</f>
        <v/>
      </c>
      <c r="E326" s="2" t="str" cm="1">
        <f t="array" ref="E326">IFERROR(_xlfn.ARRAYTOTEXT(_xlfn.UNIQUE(_xlfn._xlws.FILTER(ubox[Failed Instance],(ubox[FirstError - IP (name)]=E$1)*(ubox[VisualID]=A326))),0),"")</f>
        <v/>
      </c>
      <c r="F326" s="2" t="str" cm="1">
        <f t="array" ref="F326">IFERROR(_xlfn.ARRAYTOTEXT(_xlfn.UNIQUE(_xlfn._xlws.FILTER(ubox[Failed Instance],(ubox[FirstError - IP (name)]=F$1)*(ubox[VisualID]=A326))),0),"")</f>
        <v/>
      </c>
      <c r="G326" s="2" t="str" cm="1">
        <f t="array" ref="G326">IFERROR(_xlfn.ARRAYTOTEXT(_xlfn.UNIQUE(_xlfn._xlws.FILTER(ubox[Failed Instance],(ubox[FirstError - IP (name)]=G$1)*(ubox[VisualID]=A326))),0),"")</f>
        <v/>
      </c>
      <c r="H326" s="2" t="str" cm="1">
        <f t="array" ref="H326">IFERROR(_xlfn.ARRAYTOTEXT(_xlfn.UNIQUE(_xlfn._xlws.FILTER(ubox[Failed Instance],(ubox[FirstError - IP (name)]=H$1)*(ubox[VisualID]=A326))),0),"")</f>
        <v/>
      </c>
    </row>
    <row r="327" spans="2:8" x14ac:dyDescent="0.3">
      <c r="B327" s="2" t="str">
        <f t="shared" si="7"/>
        <v/>
      </c>
      <c r="D327" s="2" t="str" cm="1">
        <f t="array" ref="D327">IFERROR(_xlfn.ARRAYTOTEXT(_xlfn.UNIQUE(_xlfn._xlws.FILTER(ubox[Failed Instance],(ubox[FirstError - IP (name)]=D$1)*(ubox[VisualID]=A327))),0),"")</f>
        <v/>
      </c>
      <c r="E327" s="2" t="str" cm="1">
        <f t="array" ref="E327">IFERROR(_xlfn.ARRAYTOTEXT(_xlfn.UNIQUE(_xlfn._xlws.FILTER(ubox[Failed Instance],(ubox[FirstError - IP (name)]=E$1)*(ubox[VisualID]=A327))),0),"")</f>
        <v/>
      </c>
      <c r="F327" s="2" t="str" cm="1">
        <f t="array" ref="F327">IFERROR(_xlfn.ARRAYTOTEXT(_xlfn.UNIQUE(_xlfn._xlws.FILTER(ubox[Failed Instance],(ubox[FirstError - IP (name)]=F$1)*(ubox[VisualID]=A327))),0),"")</f>
        <v/>
      </c>
      <c r="G327" s="2" t="str" cm="1">
        <f t="array" ref="G327">IFERROR(_xlfn.ARRAYTOTEXT(_xlfn.UNIQUE(_xlfn._xlws.FILTER(ubox[Failed Instance],(ubox[FirstError - IP (name)]=G$1)*(ubox[VisualID]=A327))),0),"")</f>
        <v/>
      </c>
      <c r="H327" s="2" t="str" cm="1">
        <f t="array" ref="H327">IFERROR(_xlfn.ARRAYTOTEXT(_xlfn.UNIQUE(_xlfn._xlws.FILTER(ubox[Failed Instance],(ubox[FirstError - IP (name)]=H$1)*(ubox[VisualID]=A327))),0),"")</f>
        <v/>
      </c>
    </row>
    <row r="328" spans="2:8" x14ac:dyDescent="0.3">
      <c r="B328" s="2" t="str">
        <f t="shared" si="7"/>
        <v/>
      </c>
      <c r="D328" s="2" t="str" cm="1">
        <f t="array" ref="D328">IFERROR(_xlfn.ARRAYTOTEXT(_xlfn.UNIQUE(_xlfn._xlws.FILTER(ubox[Failed Instance],(ubox[FirstError - IP (name)]=D$1)*(ubox[VisualID]=A328))),0),"")</f>
        <v/>
      </c>
      <c r="E328" s="2" t="str" cm="1">
        <f t="array" ref="E328">IFERROR(_xlfn.ARRAYTOTEXT(_xlfn.UNIQUE(_xlfn._xlws.FILTER(ubox[Failed Instance],(ubox[FirstError - IP (name)]=E$1)*(ubox[VisualID]=A328))),0),"")</f>
        <v/>
      </c>
      <c r="F328" s="2" t="str" cm="1">
        <f t="array" ref="F328">IFERROR(_xlfn.ARRAYTOTEXT(_xlfn.UNIQUE(_xlfn._xlws.FILTER(ubox[Failed Instance],(ubox[FirstError - IP (name)]=F$1)*(ubox[VisualID]=A328))),0),"")</f>
        <v/>
      </c>
      <c r="G328" s="2" t="str" cm="1">
        <f t="array" ref="G328">IFERROR(_xlfn.ARRAYTOTEXT(_xlfn.UNIQUE(_xlfn._xlws.FILTER(ubox[Failed Instance],(ubox[FirstError - IP (name)]=G$1)*(ubox[VisualID]=A328))),0),"")</f>
        <v/>
      </c>
      <c r="H328" s="2" t="str" cm="1">
        <f t="array" ref="H328">IFERROR(_xlfn.ARRAYTOTEXT(_xlfn.UNIQUE(_xlfn._xlws.FILTER(ubox[Failed Instance],(ubox[FirstError - IP (name)]=H$1)*(ubox[VisualID]=A328))),0),"")</f>
        <v/>
      </c>
    </row>
    <row r="329" spans="2:8" x14ac:dyDescent="0.3">
      <c r="B329" s="2" t="str">
        <f t="shared" si="7"/>
        <v/>
      </c>
      <c r="D329" s="2" t="str" cm="1">
        <f t="array" ref="D329">IFERROR(_xlfn.ARRAYTOTEXT(_xlfn.UNIQUE(_xlfn._xlws.FILTER(ubox[Failed Instance],(ubox[FirstError - IP (name)]=D$1)*(ubox[VisualID]=A329))),0),"")</f>
        <v/>
      </c>
      <c r="E329" s="2" t="str" cm="1">
        <f t="array" ref="E329">IFERROR(_xlfn.ARRAYTOTEXT(_xlfn.UNIQUE(_xlfn._xlws.FILTER(ubox[Failed Instance],(ubox[FirstError - IP (name)]=E$1)*(ubox[VisualID]=A329))),0),"")</f>
        <v/>
      </c>
      <c r="F329" s="2" t="str" cm="1">
        <f t="array" ref="F329">IFERROR(_xlfn.ARRAYTOTEXT(_xlfn.UNIQUE(_xlfn._xlws.FILTER(ubox[Failed Instance],(ubox[FirstError - IP (name)]=F$1)*(ubox[VisualID]=A329))),0),"")</f>
        <v/>
      </c>
      <c r="G329" s="2" t="str" cm="1">
        <f t="array" ref="G329">IFERROR(_xlfn.ARRAYTOTEXT(_xlfn.UNIQUE(_xlfn._xlws.FILTER(ubox[Failed Instance],(ubox[FirstError - IP (name)]=G$1)*(ubox[VisualID]=A329))),0),"")</f>
        <v/>
      </c>
      <c r="H329" s="2" t="str" cm="1">
        <f t="array" ref="H329">IFERROR(_xlfn.ARRAYTOTEXT(_xlfn.UNIQUE(_xlfn._xlws.FILTER(ubox[Failed Instance],(ubox[FirstError - IP (name)]=H$1)*(ubox[VisualID]=A329))),0),"")</f>
        <v/>
      </c>
    </row>
    <row r="330" spans="2:8" x14ac:dyDescent="0.3">
      <c r="B330" s="2" t="str">
        <f t="shared" si="7"/>
        <v/>
      </c>
      <c r="D330" s="2" t="str" cm="1">
        <f t="array" ref="D330">IFERROR(_xlfn.ARRAYTOTEXT(_xlfn.UNIQUE(_xlfn._xlws.FILTER(ubox[Failed Instance],(ubox[FirstError - IP (name)]=D$1)*(ubox[VisualID]=A330))),0),"")</f>
        <v/>
      </c>
      <c r="E330" s="2" t="str" cm="1">
        <f t="array" ref="E330">IFERROR(_xlfn.ARRAYTOTEXT(_xlfn.UNIQUE(_xlfn._xlws.FILTER(ubox[Failed Instance],(ubox[FirstError - IP (name)]=E$1)*(ubox[VisualID]=A330))),0),"")</f>
        <v/>
      </c>
      <c r="F330" s="2" t="str" cm="1">
        <f t="array" ref="F330">IFERROR(_xlfn.ARRAYTOTEXT(_xlfn.UNIQUE(_xlfn._xlws.FILTER(ubox[Failed Instance],(ubox[FirstError - IP (name)]=F$1)*(ubox[VisualID]=A330))),0),"")</f>
        <v/>
      </c>
      <c r="G330" s="2" t="str" cm="1">
        <f t="array" ref="G330">IFERROR(_xlfn.ARRAYTOTEXT(_xlfn.UNIQUE(_xlfn._xlws.FILTER(ubox[Failed Instance],(ubox[FirstError - IP (name)]=G$1)*(ubox[VisualID]=A330))),0),"")</f>
        <v/>
      </c>
      <c r="H330" s="2" t="str" cm="1">
        <f t="array" ref="H330">IFERROR(_xlfn.ARRAYTOTEXT(_xlfn.UNIQUE(_xlfn._xlws.FILTER(ubox[Failed Instance],(ubox[FirstError - IP (name)]=H$1)*(ubox[VisualID]=A330))),0),"")</f>
        <v/>
      </c>
    </row>
    <row r="331" spans="2:8" x14ac:dyDescent="0.3">
      <c r="B331" s="2" t="str">
        <f t="shared" si="7"/>
        <v/>
      </c>
      <c r="D331" s="2" t="str" cm="1">
        <f t="array" ref="D331">IFERROR(_xlfn.ARRAYTOTEXT(_xlfn.UNIQUE(_xlfn._xlws.FILTER(ubox[Failed Instance],(ubox[FirstError - IP (name)]=D$1)*(ubox[VisualID]=A331))),0),"")</f>
        <v/>
      </c>
      <c r="E331" s="2" t="str" cm="1">
        <f t="array" ref="E331">IFERROR(_xlfn.ARRAYTOTEXT(_xlfn.UNIQUE(_xlfn._xlws.FILTER(ubox[Failed Instance],(ubox[FirstError - IP (name)]=E$1)*(ubox[VisualID]=A331))),0),"")</f>
        <v/>
      </c>
      <c r="F331" s="2" t="str" cm="1">
        <f t="array" ref="F331">IFERROR(_xlfn.ARRAYTOTEXT(_xlfn.UNIQUE(_xlfn._xlws.FILTER(ubox[Failed Instance],(ubox[FirstError - IP (name)]=F$1)*(ubox[VisualID]=A331))),0),"")</f>
        <v/>
      </c>
      <c r="G331" s="2" t="str" cm="1">
        <f t="array" ref="G331">IFERROR(_xlfn.ARRAYTOTEXT(_xlfn.UNIQUE(_xlfn._xlws.FILTER(ubox[Failed Instance],(ubox[FirstError - IP (name)]=G$1)*(ubox[VisualID]=A331))),0),"")</f>
        <v/>
      </c>
      <c r="H331" s="2" t="str" cm="1">
        <f t="array" ref="H331">IFERROR(_xlfn.ARRAYTOTEXT(_xlfn.UNIQUE(_xlfn._xlws.FILTER(ubox[Failed Instance],(ubox[FirstError - IP (name)]=H$1)*(ubox[VisualID]=A331))),0),"")</f>
        <v/>
      </c>
    </row>
    <row r="332" spans="2:8" x14ac:dyDescent="0.3">
      <c r="B332" s="2" t="str">
        <f t="shared" si="7"/>
        <v/>
      </c>
      <c r="D332" s="2" t="str" cm="1">
        <f t="array" ref="D332">IFERROR(_xlfn.ARRAYTOTEXT(_xlfn.UNIQUE(_xlfn._xlws.FILTER(ubox[Failed Instance],(ubox[FirstError - IP (name)]=D$1)*(ubox[VisualID]=A332))),0),"")</f>
        <v/>
      </c>
      <c r="E332" s="2" t="str" cm="1">
        <f t="array" ref="E332">IFERROR(_xlfn.ARRAYTOTEXT(_xlfn.UNIQUE(_xlfn._xlws.FILTER(ubox[Failed Instance],(ubox[FirstError - IP (name)]=E$1)*(ubox[VisualID]=A332))),0),"")</f>
        <v/>
      </c>
      <c r="F332" s="2" t="str" cm="1">
        <f t="array" ref="F332">IFERROR(_xlfn.ARRAYTOTEXT(_xlfn.UNIQUE(_xlfn._xlws.FILTER(ubox[Failed Instance],(ubox[FirstError - IP (name)]=F$1)*(ubox[VisualID]=A332))),0),"")</f>
        <v/>
      </c>
      <c r="G332" s="2" t="str" cm="1">
        <f t="array" ref="G332">IFERROR(_xlfn.ARRAYTOTEXT(_xlfn.UNIQUE(_xlfn._xlws.FILTER(ubox[Failed Instance],(ubox[FirstError - IP (name)]=G$1)*(ubox[VisualID]=A332))),0),"")</f>
        <v/>
      </c>
      <c r="H332" s="2" t="str" cm="1">
        <f t="array" ref="H332">IFERROR(_xlfn.ARRAYTOTEXT(_xlfn.UNIQUE(_xlfn._xlws.FILTER(ubox[Failed Instance],(ubox[FirstError - IP (name)]=H$1)*(ubox[VisualID]=A332))),0),"")</f>
        <v/>
      </c>
    </row>
    <row r="333" spans="2:8" x14ac:dyDescent="0.3">
      <c r="B333" s="2" t="str">
        <f t="shared" si="7"/>
        <v/>
      </c>
      <c r="D333" s="2" t="str" cm="1">
        <f t="array" ref="D333">IFERROR(_xlfn.ARRAYTOTEXT(_xlfn.UNIQUE(_xlfn._xlws.FILTER(ubox[Failed Instance],(ubox[FirstError - IP (name)]=D$1)*(ubox[VisualID]=A333))),0),"")</f>
        <v/>
      </c>
      <c r="E333" s="2" t="str" cm="1">
        <f t="array" ref="E333">IFERROR(_xlfn.ARRAYTOTEXT(_xlfn.UNIQUE(_xlfn._xlws.FILTER(ubox[Failed Instance],(ubox[FirstError - IP (name)]=E$1)*(ubox[VisualID]=A333))),0),"")</f>
        <v/>
      </c>
      <c r="F333" s="2" t="str" cm="1">
        <f t="array" ref="F333">IFERROR(_xlfn.ARRAYTOTEXT(_xlfn.UNIQUE(_xlfn._xlws.FILTER(ubox[Failed Instance],(ubox[FirstError - IP (name)]=F$1)*(ubox[VisualID]=A333))),0),"")</f>
        <v/>
      </c>
      <c r="G333" s="2" t="str" cm="1">
        <f t="array" ref="G333">IFERROR(_xlfn.ARRAYTOTEXT(_xlfn.UNIQUE(_xlfn._xlws.FILTER(ubox[Failed Instance],(ubox[FirstError - IP (name)]=G$1)*(ubox[VisualID]=A333))),0),"")</f>
        <v/>
      </c>
      <c r="H333" s="2" t="str" cm="1">
        <f t="array" ref="H333">IFERROR(_xlfn.ARRAYTOTEXT(_xlfn.UNIQUE(_xlfn._xlws.FILTER(ubox[Failed Instance],(ubox[FirstError - IP (name)]=H$1)*(ubox[VisualID]=A333))),0),"")</f>
        <v/>
      </c>
    </row>
    <row r="334" spans="2:8" x14ac:dyDescent="0.3">
      <c r="B334" s="2" t="str">
        <f t="shared" si="7"/>
        <v/>
      </c>
      <c r="D334" s="2" t="str" cm="1">
        <f t="array" ref="D334">IFERROR(_xlfn.ARRAYTOTEXT(_xlfn.UNIQUE(_xlfn._xlws.FILTER(ubox[Failed Instance],(ubox[FirstError - IP (name)]=D$1)*(ubox[VisualID]=A334))),0),"")</f>
        <v/>
      </c>
      <c r="E334" s="2" t="str" cm="1">
        <f t="array" ref="E334">IFERROR(_xlfn.ARRAYTOTEXT(_xlfn.UNIQUE(_xlfn._xlws.FILTER(ubox[Failed Instance],(ubox[FirstError - IP (name)]=E$1)*(ubox[VisualID]=A334))),0),"")</f>
        <v/>
      </c>
      <c r="F334" s="2" t="str" cm="1">
        <f t="array" ref="F334">IFERROR(_xlfn.ARRAYTOTEXT(_xlfn.UNIQUE(_xlfn._xlws.FILTER(ubox[Failed Instance],(ubox[FirstError - IP (name)]=F$1)*(ubox[VisualID]=A334))),0),"")</f>
        <v/>
      </c>
      <c r="G334" s="2" t="str" cm="1">
        <f t="array" ref="G334">IFERROR(_xlfn.ARRAYTOTEXT(_xlfn.UNIQUE(_xlfn._xlws.FILTER(ubox[Failed Instance],(ubox[FirstError - IP (name)]=G$1)*(ubox[VisualID]=A334))),0),"")</f>
        <v/>
      </c>
      <c r="H334" s="2" t="str" cm="1">
        <f t="array" ref="H334">IFERROR(_xlfn.ARRAYTOTEXT(_xlfn.UNIQUE(_xlfn._xlws.FILTER(ubox[Failed Instance],(ubox[FirstError - IP (name)]=H$1)*(ubox[VisualID]=A334))),0),"")</f>
        <v/>
      </c>
    </row>
    <row r="335" spans="2:8" x14ac:dyDescent="0.3">
      <c r="B335" s="2" t="str">
        <f t="shared" si="7"/>
        <v/>
      </c>
      <c r="D335" s="2" t="str" cm="1">
        <f t="array" ref="D335">IFERROR(_xlfn.ARRAYTOTEXT(_xlfn.UNIQUE(_xlfn._xlws.FILTER(ubox[Failed Instance],(ubox[FirstError - IP (name)]=D$1)*(ubox[VisualID]=A335))),0),"")</f>
        <v/>
      </c>
      <c r="E335" s="2" t="str" cm="1">
        <f t="array" ref="E335">IFERROR(_xlfn.ARRAYTOTEXT(_xlfn.UNIQUE(_xlfn._xlws.FILTER(ubox[Failed Instance],(ubox[FirstError - IP (name)]=E$1)*(ubox[VisualID]=A335))),0),"")</f>
        <v/>
      </c>
      <c r="F335" s="2" t="str" cm="1">
        <f t="array" ref="F335">IFERROR(_xlfn.ARRAYTOTEXT(_xlfn.UNIQUE(_xlfn._xlws.FILTER(ubox[Failed Instance],(ubox[FirstError - IP (name)]=F$1)*(ubox[VisualID]=A335))),0),"")</f>
        <v/>
      </c>
      <c r="G335" s="2" t="str" cm="1">
        <f t="array" ref="G335">IFERROR(_xlfn.ARRAYTOTEXT(_xlfn.UNIQUE(_xlfn._xlws.FILTER(ubox[Failed Instance],(ubox[FirstError - IP (name)]=G$1)*(ubox[VisualID]=A335))),0),"")</f>
        <v/>
      </c>
      <c r="H335" s="2" t="str" cm="1">
        <f t="array" ref="H335">IFERROR(_xlfn.ARRAYTOTEXT(_xlfn.UNIQUE(_xlfn._xlws.FILTER(ubox[Failed Instance],(ubox[FirstError - IP (name)]=H$1)*(ubox[VisualID]=A335))),0),"")</f>
        <v/>
      </c>
    </row>
    <row r="336" spans="2:8" x14ac:dyDescent="0.3">
      <c r="B336" s="2" t="str">
        <f t="shared" si="7"/>
        <v/>
      </c>
      <c r="D336" s="2" t="str" cm="1">
        <f t="array" ref="D336">IFERROR(_xlfn.ARRAYTOTEXT(_xlfn.UNIQUE(_xlfn._xlws.FILTER(ubox[Failed Instance],(ubox[FirstError - IP (name)]=D$1)*(ubox[VisualID]=A336))),0),"")</f>
        <v/>
      </c>
      <c r="E336" s="2" t="str" cm="1">
        <f t="array" ref="E336">IFERROR(_xlfn.ARRAYTOTEXT(_xlfn.UNIQUE(_xlfn._xlws.FILTER(ubox[Failed Instance],(ubox[FirstError - IP (name)]=E$1)*(ubox[VisualID]=A336))),0),"")</f>
        <v/>
      </c>
      <c r="F336" s="2" t="str" cm="1">
        <f t="array" ref="F336">IFERROR(_xlfn.ARRAYTOTEXT(_xlfn.UNIQUE(_xlfn._xlws.FILTER(ubox[Failed Instance],(ubox[FirstError - IP (name)]=F$1)*(ubox[VisualID]=A336))),0),"")</f>
        <v/>
      </c>
      <c r="G336" s="2" t="str" cm="1">
        <f t="array" ref="G336">IFERROR(_xlfn.ARRAYTOTEXT(_xlfn.UNIQUE(_xlfn._xlws.FILTER(ubox[Failed Instance],(ubox[FirstError - IP (name)]=G$1)*(ubox[VisualID]=A336))),0),"")</f>
        <v/>
      </c>
      <c r="H336" s="2" t="str" cm="1">
        <f t="array" ref="H336">IFERROR(_xlfn.ARRAYTOTEXT(_xlfn.UNIQUE(_xlfn._xlws.FILTER(ubox[Failed Instance],(ubox[FirstError - IP (name)]=H$1)*(ubox[VisualID]=A336))),0),"")</f>
        <v/>
      </c>
    </row>
    <row r="337" spans="2:8" x14ac:dyDescent="0.3">
      <c r="B337" s="2" t="str">
        <f t="shared" si="7"/>
        <v/>
      </c>
      <c r="D337" s="2" t="str" cm="1">
        <f t="array" ref="D337">IFERROR(_xlfn.ARRAYTOTEXT(_xlfn.UNIQUE(_xlfn._xlws.FILTER(ubox[Failed Instance],(ubox[FirstError - IP (name)]=D$1)*(ubox[VisualID]=A337))),0),"")</f>
        <v/>
      </c>
      <c r="E337" s="2" t="str" cm="1">
        <f t="array" ref="E337">IFERROR(_xlfn.ARRAYTOTEXT(_xlfn.UNIQUE(_xlfn._xlws.FILTER(ubox[Failed Instance],(ubox[FirstError - IP (name)]=E$1)*(ubox[VisualID]=A337))),0),"")</f>
        <v/>
      </c>
      <c r="F337" s="2" t="str" cm="1">
        <f t="array" ref="F337">IFERROR(_xlfn.ARRAYTOTEXT(_xlfn.UNIQUE(_xlfn._xlws.FILTER(ubox[Failed Instance],(ubox[FirstError - IP (name)]=F$1)*(ubox[VisualID]=A337))),0),"")</f>
        <v/>
      </c>
      <c r="G337" s="2" t="str" cm="1">
        <f t="array" ref="G337">IFERROR(_xlfn.ARRAYTOTEXT(_xlfn.UNIQUE(_xlfn._xlws.FILTER(ubox[Failed Instance],(ubox[FirstError - IP (name)]=G$1)*(ubox[VisualID]=A337))),0),"")</f>
        <v/>
      </c>
      <c r="H337" s="2" t="str" cm="1">
        <f t="array" ref="H337">IFERROR(_xlfn.ARRAYTOTEXT(_xlfn.UNIQUE(_xlfn._xlws.FILTER(ubox[Failed Instance],(ubox[FirstError - IP (name)]=H$1)*(ubox[VisualID]=A337))),0),"")</f>
        <v/>
      </c>
    </row>
    <row r="338" spans="2:8" x14ac:dyDescent="0.3">
      <c r="B338" s="2" t="str">
        <f t="shared" si="7"/>
        <v/>
      </c>
      <c r="D338" s="2" t="str" cm="1">
        <f t="array" ref="D338">IFERROR(_xlfn.ARRAYTOTEXT(_xlfn.UNIQUE(_xlfn._xlws.FILTER(ubox[Failed Instance],(ubox[FirstError - IP (name)]=D$1)*(ubox[VisualID]=A338))),0),"")</f>
        <v/>
      </c>
      <c r="E338" s="2" t="str" cm="1">
        <f t="array" ref="E338">IFERROR(_xlfn.ARRAYTOTEXT(_xlfn.UNIQUE(_xlfn._xlws.FILTER(ubox[Failed Instance],(ubox[FirstError - IP (name)]=E$1)*(ubox[VisualID]=A338))),0),"")</f>
        <v/>
      </c>
      <c r="F338" s="2" t="str" cm="1">
        <f t="array" ref="F338">IFERROR(_xlfn.ARRAYTOTEXT(_xlfn.UNIQUE(_xlfn._xlws.FILTER(ubox[Failed Instance],(ubox[FirstError - IP (name)]=F$1)*(ubox[VisualID]=A338))),0),"")</f>
        <v/>
      </c>
      <c r="G338" s="2" t="str" cm="1">
        <f t="array" ref="G338">IFERROR(_xlfn.ARRAYTOTEXT(_xlfn.UNIQUE(_xlfn._xlws.FILTER(ubox[Failed Instance],(ubox[FirstError - IP (name)]=G$1)*(ubox[VisualID]=A338))),0),"")</f>
        <v/>
      </c>
      <c r="H338" s="2" t="str" cm="1">
        <f t="array" ref="H338">IFERROR(_xlfn.ARRAYTOTEXT(_xlfn.UNIQUE(_xlfn._xlws.FILTER(ubox[Failed Instance],(ubox[FirstError - IP (name)]=H$1)*(ubox[VisualID]=A338))),0),"")</f>
        <v/>
      </c>
    </row>
    <row r="339" spans="2:8" x14ac:dyDescent="0.3">
      <c r="B339" s="2" t="str">
        <f t="shared" si="7"/>
        <v/>
      </c>
      <c r="D339" s="2" t="str" cm="1">
        <f t="array" ref="D339">IFERROR(_xlfn.ARRAYTOTEXT(_xlfn.UNIQUE(_xlfn._xlws.FILTER(ubox[Failed Instance],(ubox[FirstError - IP (name)]=D$1)*(ubox[VisualID]=A339))),0),"")</f>
        <v/>
      </c>
      <c r="E339" s="2" t="str" cm="1">
        <f t="array" ref="E339">IFERROR(_xlfn.ARRAYTOTEXT(_xlfn.UNIQUE(_xlfn._xlws.FILTER(ubox[Failed Instance],(ubox[FirstError - IP (name)]=E$1)*(ubox[VisualID]=A339))),0),"")</f>
        <v/>
      </c>
      <c r="F339" s="2" t="str" cm="1">
        <f t="array" ref="F339">IFERROR(_xlfn.ARRAYTOTEXT(_xlfn.UNIQUE(_xlfn._xlws.FILTER(ubox[Failed Instance],(ubox[FirstError - IP (name)]=F$1)*(ubox[VisualID]=A339))),0),"")</f>
        <v/>
      </c>
      <c r="G339" s="2" t="str" cm="1">
        <f t="array" ref="G339">IFERROR(_xlfn.ARRAYTOTEXT(_xlfn.UNIQUE(_xlfn._xlws.FILTER(ubox[Failed Instance],(ubox[FirstError - IP (name)]=G$1)*(ubox[VisualID]=A339))),0),"")</f>
        <v/>
      </c>
      <c r="H339" s="2" t="str" cm="1">
        <f t="array" ref="H339">IFERROR(_xlfn.ARRAYTOTEXT(_xlfn.UNIQUE(_xlfn._xlws.FILTER(ubox[Failed Instance],(ubox[FirstError - IP (name)]=H$1)*(ubox[VisualID]=A339))),0),"")</f>
        <v/>
      </c>
    </row>
    <row r="340" spans="2:8" x14ac:dyDescent="0.3">
      <c r="B340" s="2" t="str">
        <f t="shared" si="7"/>
        <v/>
      </c>
      <c r="D340" s="2" t="str" cm="1">
        <f t="array" ref="D340">IFERROR(_xlfn.ARRAYTOTEXT(_xlfn.UNIQUE(_xlfn._xlws.FILTER(ubox[Failed Instance],(ubox[FirstError - IP (name)]=D$1)*(ubox[VisualID]=A340))),0),"")</f>
        <v/>
      </c>
      <c r="E340" s="2" t="str" cm="1">
        <f t="array" ref="E340">IFERROR(_xlfn.ARRAYTOTEXT(_xlfn.UNIQUE(_xlfn._xlws.FILTER(ubox[Failed Instance],(ubox[FirstError - IP (name)]=E$1)*(ubox[VisualID]=A340))),0),"")</f>
        <v/>
      </c>
      <c r="F340" s="2" t="str" cm="1">
        <f t="array" ref="F340">IFERROR(_xlfn.ARRAYTOTEXT(_xlfn.UNIQUE(_xlfn._xlws.FILTER(ubox[Failed Instance],(ubox[FirstError - IP (name)]=F$1)*(ubox[VisualID]=A340))),0),"")</f>
        <v/>
      </c>
      <c r="G340" s="2" t="str" cm="1">
        <f t="array" ref="G340">IFERROR(_xlfn.ARRAYTOTEXT(_xlfn.UNIQUE(_xlfn._xlws.FILTER(ubox[Failed Instance],(ubox[FirstError - IP (name)]=G$1)*(ubox[VisualID]=A340))),0),"")</f>
        <v/>
      </c>
      <c r="H340" s="2" t="str" cm="1">
        <f t="array" ref="H340">IFERROR(_xlfn.ARRAYTOTEXT(_xlfn.UNIQUE(_xlfn._xlws.FILTER(ubox[Failed Instance],(ubox[FirstError - IP (name)]=H$1)*(ubox[VisualID]=A340))),0),"")</f>
        <v/>
      </c>
    </row>
    <row r="341" spans="2:8" x14ac:dyDescent="0.3">
      <c r="B341" s="2" t="str">
        <f t="shared" ref="B341:B354" si="8">_xlfn.TEXTJOIN(", ",1,D341:H341)</f>
        <v/>
      </c>
      <c r="D341" s="2" t="str" cm="1">
        <f t="array" ref="D341">IFERROR(_xlfn.ARRAYTOTEXT(_xlfn.UNIQUE(_xlfn._xlws.FILTER(ubox[Failed Instance],(ubox[FirstError - IP (name)]=D$1)*(ubox[VisualID]=A341))),0),"")</f>
        <v/>
      </c>
      <c r="E341" s="2" t="str" cm="1">
        <f t="array" ref="E341">IFERROR(_xlfn.ARRAYTOTEXT(_xlfn.UNIQUE(_xlfn._xlws.FILTER(ubox[Failed Instance],(ubox[FirstError - IP (name)]=E$1)*(ubox[VisualID]=A341))),0),"")</f>
        <v/>
      </c>
      <c r="F341" s="2" t="str" cm="1">
        <f t="array" ref="F341">IFERROR(_xlfn.ARRAYTOTEXT(_xlfn.UNIQUE(_xlfn._xlws.FILTER(ubox[Failed Instance],(ubox[FirstError - IP (name)]=F$1)*(ubox[VisualID]=A341))),0),"")</f>
        <v/>
      </c>
      <c r="G341" s="2" t="str" cm="1">
        <f t="array" ref="G341">IFERROR(_xlfn.ARRAYTOTEXT(_xlfn.UNIQUE(_xlfn._xlws.FILTER(ubox[Failed Instance],(ubox[FirstError - IP (name)]=G$1)*(ubox[VisualID]=A341))),0),"")</f>
        <v/>
      </c>
      <c r="H341" s="2" t="str" cm="1">
        <f t="array" ref="H341">IFERROR(_xlfn.ARRAYTOTEXT(_xlfn.UNIQUE(_xlfn._xlws.FILTER(ubox[Failed Instance],(ubox[FirstError - IP (name)]=H$1)*(ubox[VisualID]=A341))),0),"")</f>
        <v/>
      </c>
    </row>
    <row r="342" spans="2:8" x14ac:dyDescent="0.3">
      <c r="B342" s="2" t="str">
        <f t="shared" si="8"/>
        <v/>
      </c>
      <c r="D342" s="2" t="str" cm="1">
        <f t="array" ref="D342">IFERROR(_xlfn.ARRAYTOTEXT(_xlfn.UNIQUE(_xlfn._xlws.FILTER(ubox[Failed Instance],(ubox[FirstError - IP (name)]=D$1)*(ubox[VisualID]=A342))),0),"")</f>
        <v/>
      </c>
      <c r="E342" s="2" t="str" cm="1">
        <f t="array" ref="E342">IFERROR(_xlfn.ARRAYTOTEXT(_xlfn.UNIQUE(_xlfn._xlws.FILTER(ubox[Failed Instance],(ubox[FirstError - IP (name)]=E$1)*(ubox[VisualID]=A342))),0),"")</f>
        <v/>
      </c>
      <c r="F342" s="2" t="str" cm="1">
        <f t="array" ref="F342">IFERROR(_xlfn.ARRAYTOTEXT(_xlfn.UNIQUE(_xlfn._xlws.FILTER(ubox[Failed Instance],(ubox[FirstError - IP (name)]=F$1)*(ubox[VisualID]=A342))),0),"")</f>
        <v/>
      </c>
      <c r="G342" s="2" t="str" cm="1">
        <f t="array" ref="G342">IFERROR(_xlfn.ARRAYTOTEXT(_xlfn.UNIQUE(_xlfn._xlws.FILTER(ubox[Failed Instance],(ubox[FirstError - IP (name)]=G$1)*(ubox[VisualID]=A342))),0),"")</f>
        <v/>
      </c>
      <c r="H342" s="2" t="str" cm="1">
        <f t="array" ref="H342">IFERROR(_xlfn.ARRAYTOTEXT(_xlfn.UNIQUE(_xlfn._xlws.FILTER(ubox[Failed Instance],(ubox[FirstError - IP (name)]=H$1)*(ubox[VisualID]=A342))),0),"")</f>
        <v/>
      </c>
    </row>
    <row r="343" spans="2:8" x14ac:dyDescent="0.3">
      <c r="B343" s="2" t="str">
        <f t="shared" si="8"/>
        <v/>
      </c>
      <c r="D343" s="2" t="str" cm="1">
        <f t="array" ref="D343">IFERROR(_xlfn.ARRAYTOTEXT(_xlfn.UNIQUE(_xlfn._xlws.FILTER(ubox[Failed Instance],(ubox[FirstError - IP (name)]=D$1)*(ubox[VisualID]=A343))),0),"")</f>
        <v/>
      </c>
      <c r="E343" s="2" t="str" cm="1">
        <f t="array" ref="E343">IFERROR(_xlfn.ARRAYTOTEXT(_xlfn.UNIQUE(_xlfn._xlws.FILTER(ubox[Failed Instance],(ubox[FirstError - IP (name)]=E$1)*(ubox[VisualID]=A343))),0),"")</f>
        <v/>
      </c>
      <c r="F343" s="2" t="str" cm="1">
        <f t="array" ref="F343">IFERROR(_xlfn.ARRAYTOTEXT(_xlfn.UNIQUE(_xlfn._xlws.FILTER(ubox[Failed Instance],(ubox[FirstError - IP (name)]=F$1)*(ubox[VisualID]=A343))),0),"")</f>
        <v/>
      </c>
      <c r="G343" s="2" t="str" cm="1">
        <f t="array" ref="G343">IFERROR(_xlfn.ARRAYTOTEXT(_xlfn.UNIQUE(_xlfn._xlws.FILTER(ubox[Failed Instance],(ubox[FirstError - IP (name)]=G$1)*(ubox[VisualID]=A343))),0),"")</f>
        <v/>
      </c>
      <c r="H343" s="2" t="str" cm="1">
        <f t="array" ref="H343">IFERROR(_xlfn.ARRAYTOTEXT(_xlfn.UNIQUE(_xlfn._xlws.FILTER(ubox[Failed Instance],(ubox[FirstError - IP (name)]=H$1)*(ubox[VisualID]=A343))),0),"")</f>
        <v/>
      </c>
    </row>
    <row r="344" spans="2:8" x14ac:dyDescent="0.3">
      <c r="B344" s="2" t="str">
        <f t="shared" si="8"/>
        <v/>
      </c>
      <c r="D344" s="2" t="str" cm="1">
        <f t="array" ref="D344">IFERROR(_xlfn.ARRAYTOTEXT(_xlfn.UNIQUE(_xlfn._xlws.FILTER(ubox[Failed Instance],(ubox[FirstError - IP (name)]=D$1)*(ubox[VisualID]=A344))),0),"")</f>
        <v/>
      </c>
      <c r="E344" s="2" t="str" cm="1">
        <f t="array" ref="E344">IFERROR(_xlfn.ARRAYTOTEXT(_xlfn.UNIQUE(_xlfn._xlws.FILTER(ubox[Failed Instance],(ubox[FirstError - IP (name)]=E$1)*(ubox[VisualID]=A344))),0),"")</f>
        <v/>
      </c>
      <c r="F344" s="2" t="str" cm="1">
        <f t="array" ref="F344">IFERROR(_xlfn.ARRAYTOTEXT(_xlfn.UNIQUE(_xlfn._xlws.FILTER(ubox[Failed Instance],(ubox[FirstError - IP (name)]=F$1)*(ubox[VisualID]=A344))),0),"")</f>
        <v/>
      </c>
      <c r="G344" s="2" t="str" cm="1">
        <f t="array" ref="G344">IFERROR(_xlfn.ARRAYTOTEXT(_xlfn.UNIQUE(_xlfn._xlws.FILTER(ubox[Failed Instance],(ubox[FirstError - IP (name)]=G$1)*(ubox[VisualID]=A344))),0),"")</f>
        <v/>
      </c>
      <c r="H344" s="2" t="str" cm="1">
        <f t="array" ref="H344">IFERROR(_xlfn.ARRAYTOTEXT(_xlfn.UNIQUE(_xlfn._xlws.FILTER(ubox[Failed Instance],(ubox[FirstError - IP (name)]=H$1)*(ubox[VisualID]=A344))),0),"")</f>
        <v/>
      </c>
    </row>
    <row r="345" spans="2:8" x14ac:dyDescent="0.3">
      <c r="B345" s="2" t="str">
        <f t="shared" si="8"/>
        <v/>
      </c>
      <c r="D345" s="2" t="str" cm="1">
        <f t="array" ref="D345">IFERROR(_xlfn.ARRAYTOTEXT(_xlfn.UNIQUE(_xlfn._xlws.FILTER(ubox[Failed Instance],(ubox[FirstError - IP (name)]=D$1)*(ubox[VisualID]=A345))),0),"")</f>
        <v/>
      </c>
      <c r="E345" s="2" t="str" cm="1">
        <f t="array" ref="E345">IFERROR(_xlfn.ARRAYTOTEXT(_xlfn.UNIQUE(_xlfn._xlws.FILTER(ubox[Failed Instance],(ubox[FirstError - IP (name)]=E$1)*(ubox[VisualID]=A345))),0),"")</f>
        <v/>
      </c>
      <c r="F345" s="2" t="str" cm="1">
        <f t="array" ref="F345">IFERROR(_xlfn.ARRAYTOTEXT(_xlfn.UNIQUE(_xlfn._xlws.FILTER(ubox[Failed Instance],(ubox[FirstError - IP (name)]=F$1)*(ubox[VisualID]=A345))),0),"")</f>
        <v/>
      </c>
      <c r="G345" s="2" t="str" cm="1">
        <f t="array" ref="G345">IFERROR(_xlfn.ARRAYTOTEXT(_xlfn.UNIQUE(_xlfn._xlws.FILTER(ubox[Failed Instance],(ubox[FirstError - IP (name)]=G$1)*(ubox[VisualID]=A345))),0),"")</f>
        <v/>
      </c>
      <c r="H345" s="2" t="str" cm="1">
        <f t="array" ref="H345">IFERROR(_xlfn.ARRAYTOTEXT(_xlfn.UNIQUE(_xlfn._xlws.FILTER(ubox[Failed Instance],(ubox[FirstError - IP (name)]=H$1)*(ubox[VisualID]=A345))),0),"")</f>
        <v/>
      </c>
    </row>
    <row r="346" spans="2:8" x14ac:dyDescent="0.3">
      <c r="B346" s="2" t="str">
        <f t="shared" si="8"/>
        <v/>
      </c>
      <c r="D346" s="2" t="str" cm="1">
        <f t="array" ref="D346">IFERROR(_xlfn.ARRAYTOTEXT(_xlfn.UNIQUE(_xlfn._xlws.FILTER(ubox[Failed Instance],(ubox[FirstError - IP (name)]=D$1)*(ubox[VisualID]=A346))),0),"")</f>
        <v/>
      </c>
      <c r="E346" s="2" t="str" cm="1">
        <f t="array" ref="E346">IFERROR(_xlfn.ARRAYTOTEXT(_xlfn.UNIQUE(_xlfn._xlws.FILTER(ubox[Failed Instance],(ubox[FirstError - IP (name)]=E$1)*(ubox[VisualID]=A346))),0),"")</f>
        <v/>
      </c>
      <c r="F346" s="2" t="str" cm="1">
        <f t="array" ref="F346">IFERROR(_xlfn.ARRAYTOTEXT(_xlfn.UNIQUE(_xlfn._xlws.FILTER(ubox[Failed Instance],(ubox[FirstError - IP (name)]=F$1)*(ubox[VisualID]=A346))),0),"")</f>
        <v/>
      </c>
      <c r="G346" s="2" t="str" cm="1">
        <f t="array" ref="G346">IFERROR(_xlfn.ARRAYTOTEXT(_xlfn.UNIQUE(_xlfn._xlws.FILTER(ubox[Failed Instance],(ubox[FirstError - IP (name)]=G$1)*(ubox[VisualID]=A346))),0),"")</f>
        <v/>
      </c>
      <c r="H346" s="2" t="str" cm="1">
        <f t="array" ref="H346">IFERROR(_xlfn.ARRAYTOTEXT(_xlfn.UNIQUE(_xlfn._xlws.FILTER(ubox[Failed Instance],(ubox[FirstError - IP (name)]=H$1)*(ubox[VisualID]=A346))),0),"")</f>
        <v/>
      </c>
    </row>
    <row r="347" spans="2:8" x14ac:dyDescent="0.3">
      <c r="B347" s="2" t="str">
        <f t="shared" si="8"/>
        <v/>
      </c>
      <c r="D347" s="2" t="str" cm="1">
        <f t="array" ref="D347">IFERROR(_xlfn.ARRAYTOTEXT(_xlfn.UNIQUE(_xlfn._xlws.FILTER(ubox[Failed Instance],(ubox[FirstError - IP (name)]=D$1)*(ubox[VisualID]=A347))),0),"")</f>
        <v/>
      </c>
      <c r="E347" s="2" t="str" cm="1">
        <f t="array" ref="E347">IFERROR(_xlfn.ARRAYTOTEXT(_xlfn.UNIQUE(_xlfn._xlws.FILTER(ubox[Failed Instance],(ubox[FirstError - IP (name)]=E$1)*(ubox[VisualID]=A347))),0),"")</f>
        <v/>
      </c>
      <c r="F347" s="2" t="str" cm="1">
        <f t="array" ref="F347">IFERROR(_xlfn.ARRAYTOTEXT(_xlfn.UNIQUE(_xlfn._xlws.FILTER(ubox[Failed Instance],(ubox[FirstError - IP (name)]=F$1)*(ubox[VisualID]=A347))),0),"")</f>
        <v/>
      </c>
      <c r="G347" s="2" t="str" cm="1">
        <f t="array" ref="G347">IFERROR(_xlfn.ARRAYTOTEXT(_xlfn.UNIQUE(_xlfn._xlws.FILTER(ubox[Failed Instance],(ubox[FirstError - IP (name)]=G$1)*(ubox[VisualID]=A347))),0),"")</f>
        <v/>
      </c>
      <c r="H347" s="2" t="str" cm="1">
        <f t="array" ref="H347">IFERROR(_xlfn.ARRAYTOTEXT(_xlfn.UNIQUE(_xlfn._xlws.FILTER(ubox[Failed Instance],(ubox[FirstError - IP (name)]=H$1)*(ubox[VisualID]=A347))),0),"")</f>
        <v/>
      </c>
    </row>
    <row r="348" spans="2:8" x14ac:dyDescent="0.3">
      <c r="B348" s="2" t="str">
        <f t="shared" si="8"/>
        <v/>
      </c>
      <c r="D348" s="2" t="str" cm="1">
        <f t="array" ref="D348">IFERROR(_xlfn.ARRAYTOTEXT(_xlfn.UNIQUE(_xlfn._xlws.FILTER(ubox[Failed Instance],(ubox[FirstError - IP (name)]=D$1)*(ubox[VisualID]=A348))),0),"")</f>
        <v/>
      </c>
      <c r="E348" s="2" t="str" cm="1">
        <f t="array" ref="E348">IFERROR(_xlfn.ARRAYTOTEXT(_xlfn.UNIQUE(_xlfn._xlws.FILTER(ubox[Failed Instance],(ubox[FirstError - IP (name)]=E$1)*(ubox[VisualID]=A348))),0),"")</f>
        <v/>
      </c>
      <c r="F348" s="2" t="str" cm="1">
        <f t="array" ref="F348">IFERROR(_xlfn.ARRAYTOTEXT(_xlfn.UNIQUE(_xlfn._xlws.FILTER(ubox[Failed Instance],(ubox[FirstError - IP (name)]=F$1)*(ubox[VisualID]=A348))),0),"")</f>
        <v/>
      </c>
      <c r="G348" s="2" t="str" cm="1">
        <f t="array" ref="G348">IFERROR(_xlfn.ARRAYTOTEXT(_xlfn.UNIQUE(_xlfn._xlws.FILTER(ubox[Failed Instance],(ubox[FirstError - IP (name)]=G$1)*(ubox[VisualID]=A348))),0),"")</f>
        <v/>
      </c>
      <c r="H348" s="2" t="str" cm="1">
        <f t="array" ref="H348">IFERROR(_xlfn.ARRAYTOTEXT(_xlfn.UNIQUE(_xlfn._xlws.FILTER(ubox[Failed Instance],(ubox[FirstError - IP (name)]=H$1)*(ubox[VisualID]=A348))),0),"")</f>
        <v/>
      </c>
    </row>
    <row r="349" spans="2:8" x14ac:dyDescent="0.3">
      <c r="B349" s="2" t="str">
        <f t="shared" si="8"/>
        <v/>
      </c>
      <c r="D349" s="2" t="str" cm="1">
        <f t="array" ref="D349">IFERROR(_xlfn.ARRAYTOTEXT(_xlfn.UNIQUE(_xlfn._xlws.FILTER(ubox[Failed Instance],(ubox[FirstError - IP (name)]=D$1)*(ubox[VisualID]=A349))),0),"")</f>
        <v/>
      </c>
      <c r="E349" s="2" t="str" cm="1">
        <f t="array" ref="E349">IFERROR(_xlfn.ARRAYTOTEXT(_xlfn.UNIQUE(_xlfn._xlws.FILTER(ubox[Failed Instance],(ubox[FirstError - IP (name)]=E$1)*(ubox[VisualID]=A349))),0),"")</f>
        <v/>
      </c>
      <c r="F349" s="2" t="str" cm="1">
        <f t="array" ref="F349">IFERROR(_xlfn.ARRAYTOTEXT(_xlfn.UNIQUE(_xlfn._xlws.FILTER(ubox[Failed Instance],(ubox[FirstError - IP (name)]=F$1)*(ubox[VisualID]=A349))),0),"")</f>
        <v/>
      </c>
      <c r="G349" s="2" t="str" cm="1">
        <f t="array" ref="G349">IFERROR(_xlfn.ARRAYTOTEXT(_xlfn.UNIQUE(_xlfn._xlws.FILTER(ubox[Failed Instance],(ubox[FirstError - IP (name)]=G$1)*(ubox[VisualID]=A349))),0),"")</f>
        <v/>
      </c>
      <c r="H349" s="2" t="str" cm="1">
        <f t="array" ref="H349">IFERROR(_xlfn.ARRAYTOTEXT(_xlfn.UNIQUE(_xlfn._xlws.FILTER(ubox[Failed Instance],(ubox[FirstError - IP (name)]=H$1)*(ubox[VisualID]=A349))),0),"")</f>
        <v/>
      </c>
    </row>
    <row r="350" spans="2:8" x14ac:dyDescent="0.3">
      <c r="B350" s="2" t="str">
        <f t="shared" si="8"/>
        <v/>
      </c>
      <c r="D350" s="2" t="str" cm="1">
        <f t="array" ref="D350">IFERROR(_xlfn.ARRAYTOTEXT(_xlfn.UNIQUE(_xlfn._xlws.FILTER(ubox[Failed Instance],(ubox[FirstError - IP (name)]=D$1)*(ubox[VisualID]=A350))),0),"")</f>
        <v/>
      </c>
      <c r="E350" s="2" t="str" cm="1">
        <f t="array" ref="E350">IFERROR(_xlfn.ARRAYTOTEXT(_xlfn.UNIQUE(_xlfn._xlws.FILTER(ubox[Failed Instance],(ubox[FirstError - IP (name)]=E$1)*(ubox[VisualID]=A350))),0),"")</f>
        <v/>
      </c>
      <c r="F350" s="2" t="str" cm="1">
        <f t="array" ref="F350">IFERROR(_xlfn.ARRAYTOTEXT(_xlfn.UNIQUE(_xlfn._xlws.FILTER(ubox[Failed Instance],(ubox[FirstError - IP (name)]=F$1)*(ubox[VisualID]=A350))),0),"")</f>
        <v/>
      </c>
      <c r="G350" s="2" t="str" cm="1">
        <f t="array" ref="G350">IFERROR(_xlfn.ARRAYTOTEXT(_xlfn.UNIQUE(_xlfn._xlws.FILTER(ubox[Failed Instance],(ubox[FirstError - IP (name)]=G$1)*(ubox[VisualID]=A350))),0),"")</f>
        <v/>
      </c>
      <c r="H350" s="2" t="str" cm="1">
        <f t="array" ref="H350">IFERROR(_xlfn.ARRAYTOTEXT(_xlfn.UNIQUE(_xlfn._xlws.FILTER(ubox[Failed Instance],(ubox[FirstError - IP (name)]=H$1)*(ubox[VisualID]=A350))),0),"")</f>
        <v/>
      </c>
    </row>
    <row r="351" spans="2:8" x14ac:dyDescent="0.3">
      <c r="B351" s="2" t="str">
        <f t="shared" si="8"/>
        <v/>
      </c>
      <c r="D351" s="2" t="str" cm="1">
        <f t="array" ref="D351">IFERROR(_xlfn.ARRAYTOTEXT(_xlfn.UNIQUE(_xlfn._xlws.FILTER(ubox[Failed Instance],(ubox[FirstError - IP (name)]=D$1)*(ubox[VisualID]=A351))),0),"")</f>
        <v/>
      </c>
      <c r="E351" s="2" t="str" cm="1">
        <f t="array" ref="E351">IFERROR(_xlfn.ARRAYTOTEXT(_xlfn.UNIQUE(_xlfn._xlws.FILTER(ubox[Failed Instance],(ubox[FirstError - IP (name)]=E$1)*(ubox[VisualID]=A351))),0),"")</f>
        <v/>
      </c>
      <c r="F351" s="2" t="str" cm="1">
        <f t="array" ref="F351">IFERROR(_xlfn.ARRAYTOTEXT(_xlfn.UNIQUE(_xlfn._xlws.FILTER(ubox[Failed Instance],(ubox[FirstError - IP (name)]=F$1)*(ubox[VisualID]=A351))),0),"")</f>
        <v/>
      </c>
      <c r="G351" s="2" t="str" cm="1">
        <f t="array" ref="G351">IFERROR(_xlfn.ARRAYTOTEXT(_xlfn.UNIQUE(_xlfn._xlws.FILTER(ubox[Failed Instance],(ubox[FirstError - IP (name)]=G$1)*(ubox[VisualID]=A351))),0),"")</f>
        <v/>
      </c>
      <c r="H351" s="2" t="str" cm="1">
        <f t="array" ref="H351">IFERROR(_xlfn.ARRAYTOTEXT(_xlfn.UNIQUE(_xlfn._xlws.FILTER(ubox[Failed Instance],(ubox[FirstError - IP (name)]=H$1)*(ubox[VisualID]=A351))),0),"")</f>
        <v/>
      </c>
    </row>
    <row r="352" spans="2:8" x14ac:dyDescent="0.3">
      <c r="B352" s="2" t="str">
        <f t="shared" si="8"/>
        <v/>
      </c>
      <c r="D352" s="2" t="str" cm="1">
        <f t="array" ref="D352">IFERROR(_xlfn.ARRAYTOTEXT(_xlfn.UNIQUE(_xlfn._xlws.FILTER(ubox[Failed Instance],(ubox[FirstError - IP (name)]=D$1)*(ubox[VisualID]=A352))),0),"")</f>
        <v/>
      </c>
      <c r="E352" s="2" t="str" cm="1">
        <f t="array" ref="E352">IFERROR(_xlfn.ARRAYTOTEXT(_xlfn.UNIQUE(_xlfn._xlws.FILTER(ubox[Failed Instance],(ubox[FirstError - IP (name)]=E$1)*(ubox[VisualID]=A352))),0),"")</f>
        <v/>
      </c>
      <c r="F352" s="2" t="str" cm="1">
        <f t="array" ref="F352">IFERROR(_xlfn.ARRAYTOTEXT(_xlfn.UNIQUE(_xlfn._xlws.FILTER(ubox[Failed Instance],(ubox[FirstError - IP (name)]=F$1)*(ubox[VisualID]=A352))),0),"")</f>
        <v/>
      </c>
      <c r="G352" s="2" t="str" cm="1">
        <f t="array" ref="G352">IFERROR(_xlfn.ARRAYTOTEXT(_xlfn.UNIQUE(_xlfn._xlws.FILTER(ubox[Failed Instance],(ubox[FirstError - IP (name)]=G$1)*(ubox[VisualID]=A352))),0),"")</f>
        <v/>
      </c>
      <c r="H352" s="2" t="str" cm="1">
        <f t="array" ref="H352">IFERROR(_xlfn.ARRAYTOTEXT(_xlfn.UNIQUE(_xlfn._xlws.FILTER(ubox[Failed Instance],(ubox[FirstError - IP (name)]=H$1)*(ubox[VisualID]=A352))),0),"")</f>
        <v/>
      </c>
    </row>
    <row r="353" spans="2:8" x14ac:dyDescent="0.3">
      <c r="B353" s="2" t="str">
        <f t="shared" si="8"/>
        <v/>
      </c>
      <c r="D353" s="2" t="str" cm="1">
        <f t="array" ref="D353">IFERROR(_xlfn.ARRAYTOTEXT(_xlfn.UNIQUE(_xlfn._xlws.FILTER(ubox[Failed Instance],(ubox[FirstError - IP (name)]=D$1)*(ubox[VisualID]=A353))),0),"")</f>
        <v/>
      </c>
      <c r="E353" s="2" t="str" cm="1">
        <f t="array" ref="E353">IFERROR(_xlfn.ARRAYTOTEXT(_xlfn.UNIQUE(_xlfn._xlws.FILTER(ubox[Failed Instance],(ubox[FirstError - IP (name)]=E$1)*(ubox[VisualID]=A353))),0),"")</f>
        <v/>
      </c>
      <c r="F353" s="2" t="str" cm="1">
        <f t="array" ref="F353">IFERROR(_xlfn.ARRAYTOTEXT(_xlfn.UNIQUE(_xlfn._xlws.FILTER(ubox[Failed Instance],(ubox[FirstError - IP (name)]=F$1)*(ubox[VisualID]=A353))),0),"")</f>
        <v/>
      </c>
      <c r="G353" s="2" t="str" cm="1">
        <f t="array" ref="G353">IFERROR(_xlfn.ARRAYTOTEXT(_xlfn.UNIQUE(_xlfn._xlws.FILTER(ubox[Failed Instance],(ubox[FirstError - IP (name)]=G$1)*(ubox[VisualID]=A353))),0),"")</f>
        <v/>
      </c>
      <c r="H353" s="2" t="str" cm="1">
        <f t="array" ref="H353">IFERROR(_xlfn.ARRAYTOTEXT(_xlfn.UNIQUE(_xlfn._xlws.FILTER(ubox[Failed Instance],(ubox[FirstError - IP (name)]=H$1)*(ubox[VisualID]=A353))),0),"")</f>
        <v/>
      </c>
    </row>
    <row r="354" spans="2:8" x14ac:dyDescent="0.3">
      <c r="B354" s="2" t="str">
        <f t="shared" si="8"/>
        <v/>
      </c>
      <c r="D354" s="2" t="str" cm="1">
        <f t="array" ref="D354">IFERROR(_xlfn.ARRAYTOTEXT(_xlfn.UNIQUE(_xlfn._xlws.FILTER(ubox[Failed Instance],(ubox[FirstError - IP (name)]=D$1)*(ubox[VisualID]=A354))),0),"")</f>
        <v/>
      </c>
      <c r="E354" s="2" t="str" cm="1">
        <f t="array" ref="E354">IFERROR(_xlfn.ARRAYTOTEXT(_xlfn.UNIQUE(_xlfn._xlws.FILTER(ubox[Failed Instance],(ubox[FirstError - IP (name)]=E$1)*(ubox[VisualID]=A354))),0),"")</f>
        <v/>
      </c>
      <c r="F354" s="2" t="str" cm="1">
        <f t="array" ref="F354">IFERROR(_xlfn.ARRAYTOTEXT(_xlfn.UNIQUE(_xlfn._xlws.FILTER(ubox[Failed Instance],(ubox[FirstError - IP (name)]=F$1)*(ubox[VisualID]=A354))),0),"")</f>
        <v/>
      </c>
      <c r="G354" s="2" t="str" cm="1">
        <f t="array" ref="G354">IFERROR(_xlfn.ARRAYTOTEXT(_xlfn.UNIQUE(_xlfn._xlws.FILTER(ubox[Failed Instance],(ubox[FirstError - IP (name)]=G$1)*(ubox[VisualID]=A354))),0),"")</f>
        <v/>
      </c>
      <c r="H354" s="2" t="str" cm="1">
        <f t="array" ref="H354">IFERROR(_xlfn.ARRAYTOTEXT(_xlfn.UNIQUE(_xlfn._xlws.FILTER(ubox[Failed Instance],(ubox[FirstError - IP (name)]=H$1)*(ubox[VisualID]=A354))),0),"")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BF8C-B277-40FB-A141-3F2C853EF7FA}">
  <dimension ref="A1:L12"/>
  <sheetViews>
    <sheetView showFormulas="1" workbookViewId="0">
      <selection activeCell="B2" sqref="B2"/>
    </sheetView>
  </sheetViews>
  <sheetFormatPr defaultRowHeight="14.4" x14ac:dyDescent="0.3"/>
  <cols>
    <col min="1" max="1" width="17.33203125" bestFit="1" customWidth="1"/>
    <col min="2" max="2" width="9" bestFit="1" customWidth="1"/>
    <col min="3" max="5" width="4" bestFit="1" customWidth="1"/>
    <col min="6" max="6" width="18.5546875" bestFit="1" customWidth="1"/>
    <col min="7" max="7" width="9.44140625" bestFit="1" customWidth="1"/>
    <col min="8" max="8" width="5.6640625" bestFit="1" customWidth="1"/>
    <col min="9" max="9" width="4" bestFit="1" customWidth="1"/>
    <col min="11" max="11" width="9.88671875" bestFit="1" customWidth="1"/>
    <col min="12" max="12" width="18.5546875" bestFit="1" customWidth="1"/>
  </cols>
  <sheetData>
    <row r="1" spans="1:12" x14ac:dyDescent="0.3">
      <c r="A1" t="s">
        <v>452</v>
      </c>
      <c r="B1" t="s">
        <v>440</v>
      </c>
      <c r="F1" t="s">
        <v>453</v>
      </c>
      <c r="G1" t="s">
        <v>440</v>
      </c>
      <c r="H1" t="s">
        <v>449</v>
      </c>
      <c r="K1" t="s">
        <v>468</v>
      </c>
      <c r="L1" t="s">
        <v>471</v>
      </c>
    </row>
    <row r="2" spans="1:12" x14ac:dyDescent="0.3">
      <c r="A2" t="s">
        <v>506</v>
      </c>
      <c r="B2" t="s">
        <v>97</v>
      </c>
      <c r="F2" t="s">
        <v>513</v>
      </c>
      <c r="G2" t="s">
        <v>97</v>
      </c>
      <c r="H2">
        <v>4</v>
      </c>
      <c r="K2" t="s">
        <v>442</v>
      </c>
      <c r="L2" t="s">
        <v>470</v>
      </c>
    </row>
    <row r="3" spans="1:12" x14ac:dyDescent="0.3">
      <c r="A3" t="s">
        <v>507</v>
      </c>
      <c r="B3" t="s">
        <v>13</v>
      </c>
      <c r="F3" t="s">
        <v>514</v>
      </c>
      <c r="G3" t="s">
        <v>441</v>
      </c>
      <c r="H3">
        <v>4</v>
      </c>
      <c r="K3" t="s">
        <v>443</v>
      </c>
      <c r="L3" t="s">
        <v>470</v>
      </c>
    </row>
    <row r="4" spans="1:12" x14ac:dyDescent="0.3">
      <c r="A4" t="s">
        <v>508</v>
      </c>
      <c r="B4" t="s">
        <v>442</v>
      </c>
      <c r="F4" t="s">
        <v>515</v>
      </c>
      <c r="G4" t="s">
        <v>450</v>
      </c>
      <c r="H4">
        <v>0</v>
      </c>
      <c r="K4" t="s">
        <v>444</v>
      </c>
      <c r="L4" t="s">
        <v>470</v>
      </c>
    </row>
    <row r="5" spans="1:12" x14ac:dyDescent="0.3">
      <c r="A5" t="s">
        <v>509</v>
      </c>
      <c r="B5" t="s">
        <v>443</v>
      </c>
      <c r="F5" t="s">
        <v>516</v>
      </c>
      <c r="G5" t="s">
        <v>451</v>
      </c>
      <c r="H5">
        <v>0</v>
      </c>
      <c r="K5" t="s">
        <v>445</v>
      </c>
      <c r="L5" t="s">
        <v>470</v>
      </c>
    </row>
    <row r="6" spans="1:12" x14ac:dyDescent="0.3">
      <c r="A6" t="s">
        <v>510</v>
      </c>
      <c r="B6" t="s">
        <v>444</v>
      </c>
      <c r="F6" t="s">
        <v>517</v>
      </c>
      <c r="G6" t="s">
        <v>456</v>
      </c>
      <c r="H6">
        <v>0</v>
      </c>
      <c r="K6" t="s">
        <v>446</v>
      </c>
      <c r="L6" t="s">
        <v>469</v>
      </c>
    </row>
    <row r="7" spans="1:12" x14ac:dyDescent="0.3">
      <c r="A7" t="s">
        <v>511</v>
      </c>
      <c r="B7" t="s">
        <v>445</v>
      </c>
      <c r="F7" t="s">
        <v>518</v>
      </c>
      <c r="G7" t="s">
        <v>481</v>
      </c>
      <c r="H7">
        <v>0</v>
      </c>
      <c r="K7" t="s">
        <v>707</v>
      </c>
      <c r="L7" t="s">
        <v>469</v>
      </c>
    </row>
    <row r="8" spans="1:12" x14ac:dyDescent="0.3">
      <c r="A8" t="s">
        <v>512</v>
      </c>
      <c r="B8" t="s">
        <v>446</v>
      </c>
      <c r="F8" t="s">
        <v>519</v>
      </c>
      <c r="G8" t="s">
        <v>457</v>
      </c>
      <c r="H8">
        <v>0</v>
      </c>
    </row>
    <row r="9" spans="1:12" x14ac:dyDescent="0.3">
      <c r="A9" s="18" t="s">
        <v>706</v>
      </c>
      <c r="B9" t="s">
        <v>707</v>
      </c>
      <c r="F9" t="s">
        <v>520</v>
      </c>
      <c r="G9" t="s">
        <v>446</v>
      </c>
      <c r="H9">
        <v>0</v>
      </c>
    </row>
    <row r="10" spans="1:12" x14ac:dyDescent="0.3">
      <c r="A10" t="s">
        <v>1774</v>
      </c>
      <c r="B10" t="s">
        <v>1775</v>
      </c>
      <c r="F10" t="s">
        <v>521</v>
      </c>
      <c r="G10" t="s">
        <v>522</v>
      </c>
      <c r="H10">
        <v>0</v>
      </c>
    </row>
    <row r="11" spans="1:12" x14ac:dyDescent="0.3">
      <c r="F11" t="s">
        <v>708</v>
      </c>
      <c r="G11" t="s">
        <v>708</v>
      </c>
      <c r="H11">
        <v>0</v>
      </c>
    </row>
    <row r="12" spans="1:12" x14ac:dyDescent="0.3">
      <c r="F12" t="s">
        <v>1776</v>
      </c>
      <c r="G12" t="s">
        <v>1777</v>
      </c>
      <c r="H1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57A9-E9AB-4827-92C2-FE3092502E9B}">
  <dimension ref="B1:AD181"/>
  <sheetViews>
    <sheetView workbookViewId="0">
      <selection activeCell="AB5" sqref="AB5"/>
    </sheetView>
  </sheetViews>
  <sheetFormatPr defaultRowHeight="14.4" x14ac:dyDescent="0.3"/>
  <cols>
    <col min="2" max="2" width="10.44140625" bestFit="1" customWidth="1"/>
    <col min="3" max="3" width="8.109375" customWidth="1"/>
    <col min="4" max="4" width="6.6640625" customWidth="1"/>
    <col min="5" max="5" width="6" customWidth="1"/>
    <col min="6" max="18" width="4" bestFit="1" customWidth="1"/>
    <col min="19" max="19" width="17.33203125" bestFit="1" customWidth="1"/>
    <col min="20" max="20" width="9" bestFit="1" customWidth="1"/>
    <col min="22" max="27" width="4" bestFit="1" customWidth="1"/>
    <col min="28" max="29" width="17.33203125" customWidth="1"/>
    <col min="30" max="30" width="5.6640625" bestFit="1" customWidth="1"/>
    <col min="31" max="36" width="4" bestFit="1" customWidth="1"/>
    <col min="46" max="64" width="4" bestFit="1" customWidth="1"/>
  </cols>
  <sheetData>
    <row r="1" spans="2:30" x14ac:dyDescent="0.3">
      <c r="B1" t="s">
        <v>96</v>
      </c>
      <c r="C1" t="s">
        <v>97</v>
      </c>
      <c r="D1" t="s">
        <v>355</v>
      </c>
      <c r="E1" t="s">
        <v>356</v>
      </c>
      <c r="S1" t="s">
        <v>452</v>
      </c>
      <c r="T1" t="s">
        <v>440</v>
      </c>
      <c r="AB1" t="s">
        <v>453</v>
      </c>
      <c r="AC1" t="s">
        <v>440</v>
      </c>
      <c r="AD1" t="s">
        <v>449</v>
      </c>
    </row>
    <row r="2" spans="2:30" x14ac:dyDescent="0.3">
      <c r="B2" t="s">
        <v>98</v>
      </c>
      <c r="C2">
        <v>0</v>
      </c>
      <c r="D2">
        <v>1</v>
      </c>
      <c r="E2">
        <v>0</v>
      </c>
      <c r="S2" t="str" cm="1">
        <f t="array" ref="S2:S5">_xlfn.UNIQUE(ubox[FirstError - IP])</f>
        <v>core_coregp</v>
      </c>
      <c r="T2" t="str" cm="1">
        <f t="array" ref="T2:T5">_xlfn.XLOOKUP(_xlfn.ANCHORARRAY(S2),Map!A2:A13,Map!B2:B13)</f>
        <v>CORE</v>
      </c>
      <c r="AB2" t="str" cm="1">
        <f t="array" ref="AB2:AB5">_xlfn.UNIQUE(ubox[FirstError - Device])</f>
        <v>cpucore</v>
      </c>
      <c r="AC2" t="str" cm="1">
        <f t="array" ref="AC2:AC5">_xlfn.XLOOKUP(_xlfn.ANCHORARRAY(AB2),Map!F2:F19,Map!G2:G19,)</f>
        <v>CORE</v>
      </c>
      <c r="AD2" cm="1">
        <f t="array" ref="AD2:AD5">_xlfn.XLOOKUP(_xlfn.ANCHORARRAY(AB2),Map!F2:F19,Map!H2:H19,)</f>
        <v>4</v>
      </c>
    </row>
    <row r="3" spans="2:30" x14ac:dyDescent="0.3">
      <c r="B3" t="s">
        <v>98</v>
      </c>
      <c r="C3">
        <v>1</v>
      </c>
      <c r="D3">
        <v>2</v>
      </c>
      <c r="E3">
        <v>0</v>
      </c>
      <c r="S3" t="str">
        <v>punit_ptpcioregs_0</v>
      </c>
      <c r="T3" t="str">
        <v>PUNIT</v>
      </c>
      <c r="AB3" t="str">
        <v>eprpunit</v>
      </c>
      <c r="AC3" t="str">
        <v>EPRPUNIT</v>
      </c>
      <c r="AD3">
        <v>0</v>
      </c>
    </row>
    <row r="4" spans="2:30" x14ac:dyDescent="0.3">
      <c r="B4" t="s">
        <v>98</v>
      </c>
      <c r="C4">
        <v>2</v>
      </c>
      <c r="D4">
        <v>1</v>
      </c>
      <c r="E4">
        <v>1</v>
      </c>
      <c r="S4" t="str">
        <v>scf_cha</v>
      </c>
      <c r="T4" t="str">
        <v>CHA</v>
      </c>
      <c r="AB4" t="str">
        <v>cpuscf</v>
      </c>
      <c r="AC4" t="str">
        <v>SCF</v>
      </c>
      <c r="AD4">
        <v>4</v>
      </c>
    </row>
    <row r="5" spans="2:30" x14ac:dyDescent="0.3">
      <c r="B5" t="s">
        <v>98</v>
      </c>
      <c r="C5">
        <v>3</v>
      </c>
      <c r="D5">
        <v>2</v>
      </c>
      <c r="E5">
        <v>1</v>
      </c>
      <c r="S5" t="str">
        <v>upiagent:lnmacmisc</v>
      </c>
      <c r="T5" t="str">
        <v>UPI</v>
      </c>
      <c r="AB5" t="str">
        <v>pc5_5u2</v>
      </c>
      <c r="AC5" t="str">
        <v>pcie</v>
      </c>
      <c r="AD5">
        <v>0</v>
      </c>
    </row>
    <row r="6" spans="2:30" x14ac:dyDescent="0.3">
      <c r="B6" t="s">
        <v>98</v>
      </c>
      <c r="C6">
        <v>4</v>
      </c>
      <c r="D6">
        <v>3</v>
      </c>
      <c r="E6">
        <v>1</v>
      </c>
    </row>
    <row r="7" spans="2:30" x14ac:dyDescent="0.3">
      <c r="B7" t="s">
        <v>98</v>
      </c>
      <c r="C7">
        <v>5</v>
      </c>
      <c r="D7">
        <v>4</v>
      </c>
      <c r="E7">
        <v>1</v>
      </c>
    </row>
    <row r="8" spans="2:30" x14ac:dyDescent="0.3">
      <c r="B8" t="s">
        <v>98</v>
      </c>
      <c r="C8">
        <v>6</v>
      </c>
      <c r="D8">
        <v>5</v>
      </c>
      <c r="E8">
        <v>1</v>
      </c>
    </row>
    <row r="9" spans="2:30" x14ac:dyDescent="0.3">
      <c r="B9" t="s">
        <v>98</v>
      </c>
      <c r="C9">
        <v>7</v>
      </c>
      <c r="D9">
        <v>6</v>
      </c>
      <c r="E9">
        <v>1</v>
      </c>
    </row>
    <row r="10" spans="2:30" x14ac:dyDescent="0.3">
      <c r="B10" t="s">
        <v>98</v>
      </c>
      <c r="C10">
        <v>8</v>
      </c>
      <c r="D10">
        <v>7</v>
      </c>
      <c r="E10">
        <v>1</v>
      </c>
    </row>
    <row r="11" spans="2:30" x14ac:dyDescent="0.3">
      <c r="B11" t="s">
        <v>98</v>
      </c>
      <c r="C11">
        <v>9</v>
      </c>
      <c r="D11">
        <v>1</v>
      </c>
      <c r="E11">
        <v>1</v>
      </c>
    </row>
    <row r="12" spans="2:30" x14ac:dyDescent="0.3">
      <c r="B12" t="s">
        <v>98</v>
      </c>
      <c r="C12">
        <v>10</v>
      </c>
      <c r="D12">
        <v>2</v>
      </c>
      <c r="E12">
        <v>2</v>
      </c>
    </row>
    <row r="13" spans="2:30" x14ac:dyDescent="0.3">
      <c r="B13" t="s">
        <v>98</v>
      </c>
      <c r="C13">
        <v>11</v>
      </c>
      <c r="D13">
        <v>3</v>
      </c>
      <c r="E13">
        <v>2</v>
      </c>
    </row>
    <row r="14" spans="2:30" x14ac:dyDescent="0.3">
      <c r="B14" t="s">
        <v>98</v>
      </c>
      <c r="C14">
        <v>12</v>
      </c>
      <c r="D14">
        <v>4</v>
      </c>
      <c r="E14">
        <v>2</v>
      </c>
    </row>
    <row r="15" spans="2:30" x14ac:dyDescent="0.3">
      <c r="B15" t="s">
        <v>98</v>
      </c>
      <c r="C15">
        <v>13</v>
      </c>
      <c r="D15">
        <v>5</v>
      </c>
      <c r="E15">
        <v>2</v>
      </c>
    </row>
    <row r="16" spans="2:30" x14ac:dyDescent="0.3">
      <c r="B16" t="s">
        <v>98</v>
      </c>
      <c r="C16">
        <v>14</v>
      </c>
      <c r="D16">
        <v>6</v>
      </c>
      <c r="E16">
        <v>2</v>
      </c>
    </row>
    <row r="17" spans="2:5" x14ac:dyDescent="0.3">
      <c r="B17" t="s">
        <v>98</v>
      </c>
      <c r="C17">
        <v>15</v>
      </c>
      <c r="D17">
        <v>7</v>
      </c>
      <c r="E17">
        <v>2</v>
      </c>
    </row>
    <row r="18" spans="2:5" x14ac:dyDescent="0.3">
      <c r="B18" t="s">
        <v>98</v>
      </c>
      <c r="C18">
        <v>16</v>
      </c>
      <c r="D18">
        <v>1</v>
      </c>
      <c r="E18">
        <v>2</v>
      </c>
    </row>
    <row r="19" spans="2:5" x14ac:dyDescent="0.3">
      <c r="B19" t="s">
        <v>98</v>
      </c>
      <c r="C19">
        <v>17</v>
      </c>
      <c r="D19">
        <v>2</v>
      </c>
      <c r="E19">
        <v>3</v>
      </c>
    </row>
    <row r="20" spans="2:5" x14ac:dyDescent="0.3">
      <c r="B20" t="s">
        <v>98</v>
      </c>
      <c r="C20">
        <v>18</v>
      </c>
      <c r="D20">
        <v>3</v>
      </c>
      <c r="E20">
        <v>3</v>
      </c>
    </row>
    <row r="21" spans="2:5" x14ac:dyDescent="0.3">
      <c r="B21" t="s">
        <v>98</v>
      </c>
      <c r="C21">
        <v>19</v>
      </c>
      <c r="D21">
        <v>4</v>
      </c>
      <c r="E21">
        <v>3</v>
      </c>
    </row>
    <row r="22" spans="2:5" x14ac:dyDescent="0.3">
      <c r="B22" t="s">
        <v>98</v>
      </c>
      <c r="C22">
        <v>20</v>
      </c>
      <c r="D22">
        <v>5</v>
      </c>
      <c r="E22">
        <v>3</v>
      </c>
    </row>
    <row r="23" spans="2:5" x14ac:dyDescent="0.3">
      <c r="B23" t="s">
        <v>98</v>
      </c>
      <c r="C23">
        <v>21</v>
      </c>
      <c r="D23">
        <v>6</v>
      </c>
      <c r="E23">
        <v>3</v>
      </c>
    </row>
    <row r="24" spans="2:5" x14ac:dyDescent="0.3">
      <c r="B24" t="s">
        <v>98</v>
      </c>
      <c r="C24">
        <v>22</v>
      </c>
      <c r="D24">
        <v>7</v>
      </c>
      <c r="E24">
        <v>3</v>
      </c>
    </row>
    <row r="25" spans="2:5" x14ac:dyDescent="0.3">
      <c r="B25" t="s">
        <v>98</v>
      </c>
      <c r="C25">
        <v>23</v>
      </c>
      <c r="D25">
        <v>1</v>
      </c>
      <c r="E25">
        <v>3</v>
      </c>
    </row>
    <row r="26" spans="2:5" x14ac:dyDescent="0.3">
      <c r="B26" t="s">
        <v>98</v>
      </c>
      <c r="C26">
        <v>24</v>
      </c>
      <c r="D26">
        <v>2</v>
      </c>
      <c r="E26">
        <v>4</v>
      </c>
    </row>
    <row r="27" spans="2:5" x14ac:dyDescent="0.3">
      <c r="B27" t="s">
        <v>98</v>
      </c>
      <c r="C27">
        <v>25</v>
      </c>
      <c r="D27">
        <v>3</v>
      </c>
      <c r="E27">
        <v>4</v>
      </c>
    </row>
    <row r="28" spans="2:5" x14ac:dyDescent="0.3">
      <c r="B28" t="s">
        <v>98</v>
      </c>
      <c r="C28">
        <v>26</v>
      </c>
      <c r="D28">
        <v>4</v>
      </c>
      <c r="E28">
        <v>4</v>
      </c>
    </row>
    <row r="29" spans="2:5" x14ac:dyDescent="0.3">
      <c r="B29" t="s">
        <v>98</v>
      </c>
      <c r="C29">
        <v>27</v>
      </c>
      <c r="D29">
        <v>5</v>
      </c>
      <c r="E29">
        <v>4</v>
      </c>
    </row>
    <row r="30" spans="2:5" x14ac:dyDescent="0.3">
      <c r="B30" t="s">
        <v>98</v>
      </c>
      <c r="C30">
        <v>28</v>
      </c>
      <c r="D30">
        <v>6</v>
      </c>
      <c r="E30">
        <v>4</v>
      </c>
    </row>
    <row r="31" spans="2:5" x14ac:dyDescent="0.3">
      <c r="B31" t="s">
        <v>98</v>
      </c>
      <c r="C31">
        <v>29</v>
      </c>
      <c r="D31">
        <v>7</v>
      </c>
      <c r="E31">
        <v>4</v>
      </c>
    </row>
    <row r="32" spans="2:5" x14ac:dyDescent="0.3">
      <c r="B32" t="s">
        <v>98</v>
      </c>
      <c r="C32">
        <v>30</v>
      </c>
      <c r="D32">
        <v>1</v>
      </c>
      <c r="E32">
        <v>4</v>
      </c>
    </row>
    <row r="33" spans="2:5" x14ac:dyDescent="0.3">
      <c r="B33" t="s">
        <v>98</v>
      </c>
      <c r="C33">
        <v>31</v>
      </c>
      <c r="D33">
        <v>2</v>
      </c>
      <c r="E33">
        <v>5</v>
      </c>
    </row>
    <row r="34" spans="2:5" x14ac:dyDescent="0.3">
      <c r="B34" t="s">
        <v>98</v>
      </c>
      <c r="C34">
        <v>32</v>
      </c>
      <c r="D34">
        <v>3</v>
      </c>
      <c r="E34">
        <v>5</v>
      </c>
    </row>
    <row r="35" spans="2:5" x14ac:dyDescent="0.3">
      <c r="B35" t="s">
        <v>98</v>
      </c>
      <c r="C35">
        <v>33</v>
      </c>
      <c r="D35">
        <v>4</v>
      </c>
      <c r="E35">
        <v>5</v>
      </c>
    </row>
    <row r="36" spans="2:5" x14ac:dyDescent="0.3">
      <c r="B36" t="s">
        <v>98</v>
      </c>
      <c r="C36">
        <v>34</v>
      </c>
      <c r="D36">
        <v>5</v>
      </c>
      <c r="E36">
        <v>5</v>
      </c>
    </row>
    <row r="37" spans="2:5" x14ac:dyDescent="0.3">
      <c r="B37" t="s">
        <v>98</v>
      </c>
      <c r="C37">
        <v>35</v>
      </c>
      <c r="D37">
        <v>6</v>
      </c>
      <c r="E37">
        <v>5</v>
      </c>
    </row>
    <row r="38" spans="2:5" x14ac:dyDescent="0.3">
      <c r="B38" t="s">
        <v>98</v>
      </c>
      <c r="C38">
        <v>36</v>
      </c>
      <c r="D38">
        <v>7</v>
      </c>
      <c r="E38">
        <v>5</v>
      </c>
    </row>
    <row r="39" spans="2:5" x14ac:dyDescent="0.3">
      <c r="B39" t="s">
        <v>98</v>
      </c>
      <c r="C39">
        <v>37</v>
      </c>
      <c r="D39">
        <v>1</v>
      </c>
      <c r="E39">
        <v>5</v>
      </c>
    </row>
    <row r="40" spans="2:5" x14ac:dyDescent="0.3">
      <c r="B40" t="s">
        <v>98</v>
      </c>
      <c r="C40">
        <v>38</v>
      </c>
      <c r="D40">
        <v>2</v>
      </c>
      <c r="E40">
        <v>6</v>
      </c>
    </row>
    <row r="41" spans="2:5" x14ac:dyDescent="0.3">
      <c r="B41" t="s">
        <v>98</v>
      </c>
      <c r="C41">
        <v>39</v>
      </c>
      <c r="D41">
        <v>3</v>
      </c>
      <c r="E41">
        <v>6</v>
      </c>
    </row>
    <row r="42" spans="2:5" x14ac:dyDescent="0.3">
      <c r="B42" t="s">
        <v>98</v>
      </c>
      <c r="C42">
        <v>40</v>
      </c>
      <c r="D42">
        <v>4</v>
      </c>
      <c r="E42">
        <v>6</v>
      </c>
    </row>
    <row r="43" spans="2:5" x14ac:dyDescent="0.3">
      <c r="B43" t="s">
        <v>98</v>
      </c>
      <c r="C43">
        <v>41</v>
      </c>
      <c r="D43">
        <v>5</v>
      </c>
      <c r="E43">
        <v>6</v>
      </c>
    </row>
    <row r="44" spans="2:5" x14ac:dyDescent="0.3">
      <c r="B44" t="s">
        <v>98</v>
      </c>
      <c r="C44">
        <v>42</v>
      </c>
      <c r="D44">
        <v>6</v>
      </c>
      <c r="E44">
        <v>6</v>
      </c>
    </row>
    <row r="45" spans="2:5" x14ac:dyDescent="0.3">
      <c r="B45" t="s">
        <v>98</v>
      </c>
      <c r="C45">
        <v>43</v>
      </c>
      <c r="D45">
        <v>7</v>
      </c>
      <c r="E45">
        <v>6</v>
      </c>
    </row>
    <row r="46" spans="2:5" x14ac:dyDescent="0.3">
      <c r="B46" t="s">
        <v>98</v>
      </c>
      <c r="C46">
        <v>44</v>
      </c>
      <c r="D46">
        <v>1</v>
      </c>
      <c r="E46">
        <v>6</v>
      </c>
    </row>
    <row r="47" spans="2:5" x14ac:dyDescent="0.3">
      <c r="B47" t="s">
        <v>98</v>
      </c>
      <c r="C47">
        <v>45</v>
      </c>
      <c r="D47">
        <v>2</v>
      </c>
      <c r="E47">
        <v>7</v>
      </c>
    </row>
    <row r="48" spans="2:5" x14ac:dyDescent="0.3">
      <c r="B48" t="s">
        <v>98</v>
      </c>
      <c r="C48">
        <v>46</v>
      </c>
      <c r="D48">
        <v>3</v>
      </c>
      <c r="E48">
        <v>7</v>
      </c>
    </row>
    <row r="49" spans="2:5" x14ac:dyDescent="0.3">
      <c r="B49" t="s">
        <v>98</v>
      </c>
      <c r="C49">
        <v>47</v>
      </c>
      <c r="D49">
        <v>4</v>
      </c>
      <c r="E49">
        <v>7</v>
      </c>
    </row>
    <row r="50" spans="2:5" x14ac:dyDescent="0.3">
      <c r="B50" t="s">
        <v>98</v>
      </c>
      <c r="C50">
        <v>48</v>
      </c>
      <c r="D50">
        <v>5</v>
      </c>
      <c r="E50">
        <v>7</v>
      </c>
    </row>
    <row r="51" spans="2:5" x14ac:dyDescent="0.3">
      <c r="B51" t="s">
        <v>98</v>
      </c>
      <c r="C51">
        <v>49</v>
      </c>
      <c r="D51">
        <v>6</v>
      </c>
      <c r="E51">
        <v>7</v>
      </c>
    </row>
    <row r="52" spans="2:5" x14ac:dyDescent="0.3">
      <c r="B52" t="s">
        <v>98</v>
      </c>
      <c r="C52">
        <v>50</v>
      </c>
      <c r="D52">
        <v>7</v>
      </c>
      <c r="E52">
        <v>7</v>
      </c>
    </row>
    <row r="53" spans="2:5" x14ac:dyDescent="0.3">
      <c r="B53" t="s">
        <v>98</v>
      </c>
      <c r="C53">
        <v>51</v>
      </c>
      <c r="D53">
        <v>1</v>
      </c>
      <c r="E53">
        <v>7</v>
      </c>
    </row>
    <row r="54" spans="2:5" x14ac:dyDescent="0.3">
      <c r="B54" t="s">
        <v>98</v>
      </c>
      <c r="C54">
        <v>52</v>
      </c>
      <c r="D54">
        <v>2</v>
      </c>
      <c r="E54">
        <v>8</v>
      </c>
    </row>
    <row r="55" spans="2:5" x14ac:dyDescent="0.3">
      <c r="B55" t="s">
        <v>98</v>
      </c>
      <c r="C55">
        <v>53</v>
      </c>
      <c r="D55">
        <v>3</v>
      </c>
      <c r="E55">
        <v>8</v>
      </c>
    </row>
    <row r="56" spans="2:5" x14ac:dyDescent="0.3">
      <c r="B56" t="s">
        <v>98</v>
      </c>
      <c r="C56">
        <v>54</v>
      </c>
      <c r="D56">
        <v>4</v>
      </c>
      <c r="E56">
        <v>8</v>
      </c>
    </row>
    <row r="57" spans="2:5" x14ac:dyDescent="0.3">
      <c r="B57" t="s">
        <v>98</v>
      </c>
      <c r="C57">
        <v>55</v>
      </c>
      <c r="D57">
        <v>5</v>
      </c>
      <c r="E57">
        <v>8</v>
      </c>
    </row>
    <row r="58" spans="2:5" x14ac:dyDescent="0.3">
      <c r="B58" t="s">
        <v>98</v>
      </c>
      <c r="C58">
        <v>56</v>
      </c>
      <c r="D58">
        <v>6</v>
      </c>
      <c r="E58">
        <v>8</v>
      </c>
    </row>
    <row r="59" spans="2:5" x14ac:dyDescent="0.3">
      <c r="B59" t="s">
        <v>98</v>
      </c>
      <c r="C59">
        <v>57</v>
      </c>
      <c r="D59">
        <v>7</v>
      </c>
      <c r="E59">
        <v>8</v>
      </c>
    </row>
    <row r="60" spans="2:5" x14ac:dyDescent="0.3">
      <c r="B60" t="s">
        <v>98</v>
      </c>
      <c r="C60">
        <v>58</v>
      </c>
      <c r="D60">
        <v>1</v>
      </c>
      <c r="E60">
        <v>9</v>
      </c>
    </row>
    <row r="61" spans="2:5" x14ac:dyDescent="0.3">
      <c r="B61" t="s">
        <v>98</v>
      </c>
      <c r="C61">
        <v>59</v>
      </c>
      <c r="D61">
        <v>2</v>
      </c>
      <c r="E61">
        <v>9</v>
      </c>
    </row>
    <row r="62" spans="2:5" x14ac:dyDescent="0.3">
      <c r="B62" t="s">
        <v>99</v>
      </c>
      <c r="C62">
        <v>60</v>
      </c>
      <c r="D62">
        <v>1</v>
      </c>
      <c r="E62">
        <v>0</v>
      </c>
    </row>
    <row r="63" spans="2:5" x14ac:dyDescent="0.3">
      <c r="B63" t="s">
        <v>99</v>
      </c>
      <c r="C63">
        <v>61</v>
      </c>
      <c r="D63">
        <v>2</v>
      </c>
      <c r="E63">
        <v>0</v>
      </c>
    </row>
    <row r="64" spans="2:5" x14ac:dyDescent="0.3">
      <c r="B64" t="s">
        <v>99</v>
      </c>
      <c r="C64">
        <v>62</v>
      </c>
      <c r="D64">
        <v>1</v>
      </c>
      <c r="E64">
        <v>1</v>
      </c>
    </row>
    <row r="65" spans="2:5" x14ac:dyDescent="0.3">
      <c r="B65" t="s">
        <v>99</v>
      </c>
      <c r="C65">
        <v>63</v>
      </c>
      <c r="D65">
        <v>2</v>
      </c>
      <c r="E65">
        <v>1</v>
      </c>
    </row>
    <row r="66" spans="2:5" x14ac:dyDescent="0.3">
      <c r="B66" t="s">
        <v>99</v>
      </c>
      <c r="C66">
        <v>64</v>
      </c>
      <c r="D66">
        <v>3</v>
      </c>
      <c r="E66">
        <v>1</v>
      </c>
    </row>
    <row r="67" spans="2:5" x14ac:dyDescent="0.3">
      <c r="B67" t="s">
        <v>99</v>
      </c>
      <c r="C67">
        <v>65</v>
      </c>
      <c r="D67">
        <v>4</v>
      </c>
      <c r="E67">
        <v>1</v>
      </c>
    </row>
    <row r="68" spans="2:5" x14ac:dyDescent="0.3">
      <c r="B68" t="s">
        <v>99</v>
      </c>
      <c r="C68">
        <v>66</v>
      </c>
      <c r="D68">
        <v>5</v>
      </c>
      <c r="E68">
        <v>1</v>
      </c>
    </row>
    <row r="69" spans="2:5" x14ac:dyDescent="0.3">
      <c r="B69" t="s">
        <v>99</v>
      </c>
      <c r="C69">
        <v>67</v>
      </c>
      <c r="D69">
        <v>6</v>
      </c>
      <c r="E69">
        <v>1</v>
      </c>
    </row>
    <row r="70" spans="2:5" x14ac:dyDescent="0.3">
      <c r="B70" t="s">
        <v>99</v>
      </c>
      <c r="C70">
        <v>68</v>
      </c>
      <c r="D70">
        <v>7</v>
      </c>
      <c r="E70">
        <v>1</v>
      </c>
    </row>
    <row r="71" spans="2:5" x14ac:dyDescent="0.3">
      <c r="B71" t="s">
        <v>99</v>
      </c>
      <c r="C71">
        <v>69</v>
      </c>
      <c r="D71">
        <v>1</v>
      </c>
      <c r="E71">
        <v>1</v>
      </c>
    </row>
    <row r="72" spans="2:5" x14ac:dyDescent="0.3">
      <c r="B72" t="s">
        <v>99</v>
      </c>
      <c r="C72">
        <v>70</v>
      </c>
      <c r="D72">
        <v>2</v>
      </c>
      <c r="E72">
        <v>2</v>
      </c>
    </row>
    <row r="73" spans="2:5" x14ac:dyDescent="0.3">
      <c r="B73" t="s">
        <v>99</v>
      </c>
      <c r="C73">
        <v>71</v>
      </c>
      <c r="D73">
        <v>3</v>
      </c>
      <c r="E73">
        <v>2</v>
      </c>
    </row>
    <row r="74" spans="2:5" x14ac:dyDescent="0.3">
      <c r="B74" t="s">
        <v>99</v>
      </c>
      <c r="C74">
        <v>72</v>
      </c>
      <c r="D74">
        <v>4</v>
      </c>
      <c r="E74">
        <v>2</v>
      </c>
    </row>
    <row r="75" spans="2:5" x14ac:dyDescent="0.3">
      <c r="B75" t="s">
        <v>99</v>
      </c>
      <c r="C75">
        <v>73</v>
      </c>
      <c r="D75">
        <v>5</v>
      </c>
      <c r="E75">
        <v>2</v>
      </c>
    </row>
    <row r="76" spans="2:5" x14ac:dyDescent="0.3">
      <c r="B76" t="s">
        <v>99</v>
      </c>
      <c r="C76">
        <v>74</v>
      </c>
      <c r="D76">
        <v>6</v>
      </c>
      <c r="E76">
        <v>2</v>
      </c>
    </row>
    <row r="77" spans="2:5" x14ac:dyDescent="0.3">
      <c r="B77" t="s">
        <v>99</v>
      </c>
      <c r="C77">
        <v>75</v>
      </c>
      <c r="D77">
        <v>7</v>
      </c>
      <c r="E77">
        <v>2</v>
      </c>
    </row>
    <row r="78" spans="2:5" x14ac:dyDescent="0.3">
      <c r="B78" t="s">
        <v>99</v>
      </c>
      <c r="C78">
        <v>76</v>
      </c>
      <c r="D78">
        <v>1</v>
      </c>
      <c r="E78">
        <v>2</v>
      </c>
    </row>
    <row r="79" spans="2:5" x14ac:dyDescent="0.3">
      <c r="B79" t="s">
        <v>99</v>
      </c>
      <c r="C79">
        <v>77</v>
      </c>
      <c r="D79">
        <v>2</v>
      </c>
      <c r="E79">
        <v>3</v>
      </c>
    </row>
    <row r="80" spans="2:5" x14ac:dyDescent="0.3">
      <c r="B80" t="s">
        <v>99</v>
      </c>
      <c r="C80">
        <v>78</v>
      </c>
      <c r="D80">
        <v>3</v>
      </c>
      <c r="E80">
        <v>3</v>
      </c>
    </row>
    <row r="81" spans="2:5" x14ac:dyDescent="0.3">
      <c r="B81" t="s">
        <v>99</v>
      </c>
      <c r="C81">
        <v>79</v>
      </c>
      <c r="D81">
        <v>4</v>
      </c>
      <c r="E81">
        <v>3</v>
      </c>
    </row>
    <row r="82" spans="2:5" x14ac:dyDescent="0.3">
      <c r="B82" t="s">
        <v>99</v>
      </c>
      <c r="C82">
        <v>80</v>
      </c>
      <c r="D82">
        <v>5</v>
      </c>
      <c r="E82">
        <v>3</v>
      </c>
    </row>
    <row r="83" spans="2:5" x14ac:dyDescent="0.3">
      <c r="B83" t="s">
        <v>99</v>
      </c>
      <c r="C83">
        <v>81</v>
      </c>
      <c r="D83">
        <v>6</v>
      </c>
      <c r="E83">
        <v>3</v>
      </c>
    </row>
    <row r="84" spans="2:5" x14ac:dyDescent="0.3">
      <c r="B84" t="s">
        <v>99</v>
      </c>
      <c r="C84">
        <v>82</v>
      </c>
      <c r="D84">
        <v>7</v>
      </c>
      <c r="E84">
        <v>3</v>
      </c>
    </row>
    <row r="85" spans="2:5" x14ac:dyDescent="0.3">
      <c r="B85" t="s">
        <v>99</v>
      </c>
      <c r="C85">
        <v>83</v>
      </c>
      <c r="D85">
        <v>1</v>
      </c>
      <c r="E85">
        <v>3</v>
      </c>
    </row>
    <row r="86" spans="2:5" x14ac:dyDescent="0.3">
      <c r="B86" t="s">
        <v>99</v>
      </c>
      <c r="C86">
        <v>84</v>
      </c>
      <c r="D86">
        <v>2</v>
      </c>
      <c r="E86">
        <v>4</v>
      </c>
    </row>
    <row r="87" spans="2:5" x14ac:dyDescent="0.3">
      <c r="B87" t="s">
        <v>99</v>
      </c>
      <c r="C87">
        <v>85</v>
      </c>
      <c r="D87">
        <v>3</v>
      </c>
      <c r="E87">
        <v>4</v>
      </c>
    </row>
    <row r="88" spans="2:5" x14ac:dyDescent="0.3">
      <c r="B88" t="s">
        <v>99</v>
      </c>
      <c r="C88">
        <v>86</v>
      </c>
      <c r="D88">
        <v>4</v>
      </c>
      <c r="E88">
        <v>4</v>
      </c>
    </row>
    <row r="89" spans="2:5" x14ac:dyDescent="0.3">
      <c r="B89" t="s">
        <v>99</v>
      </c>
      <c r="C89">
        <v>87</v>
      </c>
      <c r="D89">
        <v>5</v>
      </c>
      <c r="E89">
        <v>4</v>
      </c>
    </row>
    <row r="90" spans="2:5" x14ac:dyDescent="0.3">
      <c r="B90" t="s">
        <v>99</v>
      </c>
      <c r="C90">
        <v>88</v>
      </c>
      <c r="D90">
        <v>6</v>
      </c>
      <c r="E90">
        <v>4</v>
      </c>
    </row>
    <row r="91" spans="2:5" x14ac:dyDescent="0.3">
      <c r="B91" t="s">
        <v>99</v>
      </c>
      <c r="C91">
        <v>89</v>
      </c>
      <c r="D91">
        <v>7</v>
      </c>
      <c r="E91">
        <v>4</v>
      </c>
    </row>
    <row r="92" spans="2:5" x14ac:dyDescent="0.3">
      <c r="B92" t="s">
        <v>99</v>
      </c>
      <c r="C92">
        <v>90</v>
      </c>
      <c r="D92">
        <v>1</v>
      </c>
      <c r="E92">
        <v>4</v>
      </c>
    </row>
    <row r="93" spans="2:5" x14ac:dyDescent="0.3">
      <c r="B93" t="s">
        <v>99</v>
      </c>
      <c r="C93">
        <v>91</v>
      </c>
      <c r="D93">
        <v>2</v>
      </c>
      <c r="E93">
        <v>5</v>
      </c>
    </row>
    <row r="94" spans="2:5" x14ac:dyDescent="0.3">
      <c r="B94" t="s">
        <v>99</v>
      </c>
      <c r="C94">
        <v>92</v>
      </c>
      <c r="D94">
        <v>3</v>
      </c>
      <c r="E94">
        <v>5</v>
      </c>
    </row>
    <row r="95" spans="2:5" x14ac:dyDescent="0.3">
      <c r="B95" t="s">
        <v>99</v>
      </c>
      <c r="C95">
        <v>93</v>
      </c>
      <c r="D95">
        <v>4</v>
      </c>
      <c r="E95">
        <v>5</v>
      </c>
    </row>
    <row r="96" spans="2:5" x14ac:dyDescent="0.3">
      <c r="B96" t="s">
        <v>99</v>
      </c>
      <c r="C96">
        <v>94</v>
      </c>
      <c r="D96">
        <v>5</v>
      </c>
      <c r="E96">
        <v>5</v>
      </c>
    </row>
    <row r="97" spans="2:5" x14ac:dyDescent="0.3">
      <c r="B97" t="s">
        <v>99</v>
      </c>
      <c r="C97">
        <v>95</v>
      </c>
      <c r="D97">
        <v>6</v>
      </c>
      <c r="E97">
        <v>5</v>
      </c>
    </row>
    <row r="98" spans="2:5" x14ac:dyDescent="0.3">
      <c r="B98" t="s">
        <v>99</v>
      </c>
      <c r="C98">
        <v>96</v>
      </c>
      <c r="D98">
        <v>7</v>
      </c>
      <c r="E98">
        <v>5</v>
      </c>
    </row>
    <row r="99" spans="2:5" x14ac:dyDescent="0.3">
      <c r="B99" t="s">
        <v>99</v>
      </c>
      <c r="C99">
        <v>97</v>
      </c>
      <c r="D99">
        <v>1</v>
      </c>
      <c r="E99">
        <v>5</v>
      </c>
    </row>
    <row r="100" spans="2:5" x14ac:dyDescent="0.3">
      <c r="B100" t="s">
        <v>99</v>
      </c>
      <c r="C100">
        <v>98</v>
      </c>
      <c r="D100">
        <v>2</v>
      </c>
      <c r="E100">
        <v>6</v>
      </c>
    </row>
    <row r="101" spans="2:5" x14ac:dyDescent="0.3">
      <c r="B101" t="s">
        <v>99</v>
      </c>
      <c r="C101">
        <v>99</v>
      </c>
      <c r="D101">
        <v>3</v>
      </c>
      <c r="E101">
        <v>6</v>
      </c>
    </row>
    <row r="102" spans="2:5" x14ac:dyDescent="0.3">
      <c r="B102" t="s">
        <v>99</v>
      </c>
      <c r="C102">
        <v>100</v>
      </c>
      <c r="D102">
        <v>4</v>
      </c>
      <c r="E102">
        <v>6</v>
      </c>
    </row>
    <row r="103" spans="2:5" x14ac:dyDescent="0.3">
      <c r="B103" t="s">
        <v>99</v>
      </c>
      <c r="C103">
        <v>101</v>
      </c>
      <c r="D103">
        <v>5</v>
      </c>
      <c r="E103">
        <v>6</v>
      </c>
    </row>
    <row r="104" spans="2:5" x14ac:dyDescent="0.3">
      <c r="B104" t="s">
        <v>99</v>
      </c>
      <c r="C104">
        <v>102</v>
      </c>
      <c r="D104">
        <v>6</v>
      </c>
      <c r="E104">
        <v>6</v>
      </c>
    </row>
    <row r="105" spans="2:5" x14ac:dyDescent="0.3">
      <c r="B105" t="s">
        <v>99</v>
      </c>
      <c r="C105">
        <v>103</v>
      </c>
      <c r="D105">
        <v>7</v>
      </c>
      <c r="E105">
        <v>6</v>
      </c>
    </row>
    <row r="106" spans="2:5" x14ac:dyDescent="0.3">
      <c r="B106" t="s">
        <v>99</v>
      </c>
      <c r="C106">
        <v>104</v>
      </c>
      <c r="D106">
        <v>1</v>
      </c>
      <c r="E106">
        <v>6</v>
      </c>
    </row>
    <row r="107" spans="2:5" x14ac:dyDescent="0.3">
      <c r="B107" t="s">
        <v>99</v>
      </c>
      <c r="C107">
        <v>105</v>
      </c>
      <c r="D107">
        <v>2</v>
      </c>
      <c r="E107">
        <v>7</v>
      </c>
    </row>
    <row r="108" spans="2:5" x14ac:dyDescent="0.3">
      <c r="B108" t="s">
        <v>99</v>
      </c>
      <c r="C108">
        <v>106</v>
      </c>
      <c r="D108">
        <v>3</v>
      </c>
      <c r="E108">
        <v>7</v>
      </c>
    </row>
    <row r="109" spans="2:5" x14ac:dyDescent="0.3">
      <c r="B109" t="s">
        <v>99</v>
      </c>
      <c r="C109">
        <v>107</v>
      </c>
      <c r="D109">
        <v>4</v>
      </c>
      <c r="E109">
        <v>7</v>
      </c>
    </row>
    <row r="110" spans="2:5" x14ac:dyDescent="0.3">
      <c r="B110" t="s">
        <v>99</v>
      </c>
      <c r="C110">
        <v>108</v>
      </c>
      <c r="D110">
        <v>5</v>
      </c>
      <c r="E110">
        <v>7</v>
      </c>
    </row>
    <row r="111" spans="2:5" x14ac:dyDescent="0.3">
      <c r="B111" t="s">
        <v>99</v>
      </c>
      <c r="C111">
        <v>109</v>
      </c>
      <c r="D111">
        <v>6</v>
      </c>
      <c r="E111">
        <v>7</v>
      </c>
    </row>
    <row r="112" spans="2:5" x14ac:dyDescent="0.3">
      <c r="B112" t="s">
        <v>99</v>
      </c>
      <c r="C112">
        <v>110</v>
      </c>
      <c r="D112">
        <v>7</v>
      </c>
      <c r="E112">
        <v>7</v>
      </c>
    </row>
    <row r="113" spans="2:5" x14ac:dyDescent="0.3">
      <c r="B113" t="s">
        <v>99</v>
      </c>
      <c r="C113">
        <v>111</v>
      </c>
      <c r="D113">
        <v>1</v>
      </c>
      <c r="E113">
        <v>7</v>
      </c>
    </row>
    <row r="114" spans="2:5" x14ac:dyDescent="0.3">
      <c r="B114" t="s">
        <v>99</v>
      </c>
      <c r="C114">
        <v>112</v>
      </c>
      <c r="D114">
        <v>2</v>
      </c>
      <c r="E114">
        <v>8</v>
      </c>
    </row>
    <row r="115" spans="2:5" x14ac:dyDescent="0.3">
      <c r="B115" t="s">
        <v>99</v>
      </c>
      <c r="C115">
        <v>113</v>
      </c>
      <c r="D115">
        <v>3</v>
      </c>
      <c r="E115">
        <v>8</v>
      </c>
    </row>
    <row r="116" spans="2:5" x14ac:dyDescent="0.3">
      <c r="B116" t="s">
        <v>99</v>
      </c>
      <c r="C116">
        <v>114</v>
      </c>
      <c r="D116">
        <v>4</v>
      </c>
      <c r="E116">
        <v>8</v>
      </c>
    </row>
    <row r="117" spans="2:5" x14ac:dyDescent="0.3">
      <c r="B117" t="s">
        <v>99</v>
      </c>
      <c r="C117">
        <v>115</v>
      </c>
      <c r="D117">
        <v>5</v>
      </c>
      <c r="E117">
        <v>8</v>
      </c>
    </row>
    <row r="118" spans="2:5" x14ac:dyDescent="0.3">
      <c r="B118" t="s">
        <v>99</v>
      </c>
      <c r="C118">
        <v>116</v>
      </c>
      <c r="D118">
        <v>6</v>
      </c>
      <c r="E118">
        <v>8</v>
      </c>
    </row>
    <row r="119" spans="2:5" x14ac:dyDescent="0.3">
      <c r="B119" t="s">
        <v>99</v>
      </c>
      <c r="C119">
        <v>117</v>
      </c>
      <c r="D119">
        <v>7</v>
      </c>
      <c r="E119">
        <v>8</v>
      </c>
    </row>
    <row r="120" spans="2:5" x14ac:dyDescent="0.3">
      <c r="B120" t="s">
        <v>99</v>
      </c>
      <c r="C120">
        <v>118</v>
      </c>
      <c r="D120">
        <v>1</v>
      </c>
      <c r="E120">
        <v>9</v>
      </c>
    </row>
    <row r="121" spans="2:5" x14ac:dyDescent="0.3">
      <c r="B121" t="s">
        <v>99</v>
      </c>
      <c r="C121">
        <v>119</v>
      </c>
      <c r="D121">
        <v>2</v>
      </c>
      <c r="E121">
        <v>9</v>
      </c>
    </row>
    <row r="122" spans="2:5" x14ac:dyDescent="0.3">
      <c r="B122" t="s">
        <v>100</v>
      </c>
      <c r="C122">
        <v>120</v>
      </c>
      <c r="D122">
        <v>1</v>
      </c>
      <c r="E122">
        <v>0</v>
      </c>
    </row>
    <row r="123" spans="2:5" x14ac:dyDescent="0.3">
      <c r="B123" t="s">
        <v>100</v>
      </c>
      <c r="C123">
        <v>121</v>
      </c>
      <c r="D123">
        <v>2</v>
      </c>
      <c r="E123">
        <v>0</v>
      </c>
    </row>
    <row r="124" spans="2:5" x14ac:dyDescent="0.3">
      <c r="B124" t="s">
        <v>100</v>
      </c>
      <c r="C124">
        <v>122</v>
      </c>
      <c r="D124">
        <v>1</v>
      </c>
      <c r="E124">
        <v>1</v>
      </c>
    </row>
    <row r="125" spans="2:5" x14ac:dyDescent="0.3">
      <c r="B125" t="s">
        <v>100</v>
      </c>
      <c r="C125">
        <v>123</v>
      </c>
      <c r="D125">
        <v>2</v>
      </c>
      <c r="E125">
        <v>1</v>
      </c>
    </row>
    <row r="126" spans="2:5" x14ac:dyDescent="0.3">
      <c r="B126" t="s">
        <v>100</v>
      </c>
      <c r="C126">
        <v>124</v>
      </c>
      <c r="D126">
        <v>3</v>
      </c>
      <c r="E126">
        <v>1</v>
      </c>
    </row>
    <row r="127" spans="2:5" x14ac:dyDescent="0.3">
      <c r="B127" t="s">
        <v>100</v>
      </c>
      <c r="C127">
        <v>125</v>
      </c>
      <c r="D127">
        <v>4</v>
      </c>
      <c r="E127">
        <v>1</v>
      </c>
    </row>
    <row r="128" spans="2:5" x14ac:dyDescent="0.3">
      <c r="B128" t="s">
        <v>100</v>
      </c>
      <c r="C128">
        <v>126</v>
      </c>
      <c r="D128">
        <v>5</v>
      </c>
      <c r="E128">
        <v>1</v>
      </c>
    </row>
    <row r="129" spans="2:5" x14ac:dyDescent="0.3">
      <c r="B129" t="s">
        <v>100</v>
      </c>
      <c r="C129">
        <v>127</v>
      </c>
      <c r="D129">
        <v>6</v>
      </c>
      <c r="E129">
        <v>1</v>
      </c>
    </row>
    <row r="130" spans="2:5" x14ac:dyDescent="0.3">
      <c r="B130" t="s">
        <v>100</v>
      </c>
      <c r="C130">
        <v>128</v>
      </c>
      <c r="D130">
        <v>7</v>
      </c>
      <c r="E130">
        <v>1</v>
      </c>
    </row>
    <row r="131" spans="2:5" x14ac:dyDescent="0.3">
      <c r="B131" t="s">
        <v>100</v>
      </c>
      <c r="C131">
        <v>129</v>
      </c>
      <c r="D131">
        <v>1</v>
      </c>
      <c r="E131">
        <v>1</v>
      </c>
    </row>
    <row r="132" spans="2:5" x14ac:dyDescent="0.3">
      <c r="B132" t="s">
        <v>100</v>
      </c>
      <c r="C132">
        <v>130</v>
      </c>
      <c r="D132">
        <v>2</v>
      </c>
      <c r="E132">
        <v>2</v>
      </c>
    </row>
    <row r="133" spans="2:5" x14ac:dyDescent="0.3">
      <c r="B133" t="s">
        <v>100</v>
      </c>
      <c r="C133">
        <v>131</v>
      </c>
      <c r="D133">
        <v>3</v>
      </c>
      <c r="E133">
        <v>2</v>
      </c>
    </row>
    <row r="134" spans="2:5" x14ac:dyDescent="0.3">
      <c r="B134" t="s">
        <v>100</v>
      </c>
      <c r="C134">
        <v>132</v>
      </c>
      <c r="D134">
        <v>4</v>
      </c>
      <c r="E134">
        <v>2</v>
      </c>
    </row>
    <row r="135" spans="2:5" x14ac:dyDescent="0.3">
      <c r="B135" t="s">
        <v>100</v>
      </c>
      <c r="C135">
        <v>133</v>
      </c>
      <c r="D135">
        <v>5</v>
      </c>
      <c r="E135">
        <v>2</v>
      </c>
    </row>
    <row r="136" spans="2:5" x14ac:dyDescent="0.3">
      <c r="B136" t="s">
        <v>100</v>
      </c>
      <c r="C136">
        <v>134</v>
      </c>
      <c r="D136">
        <v>6</v>
      </c>
      <c r="E136">
        <v>2</v>
      </c>
    </row>
    <row r="137" spans="2:5" x14ac:dyDescent="0.3">
      <c r="B137" t="s">
        <v>100</v>
      </c>
      <c r="C137">
        <v>135</v>
      </c>
      <c r="D137">
        <v>7</v>
      </c>
      <c r="E137">
        <v>2</v>
      </c>
    </row>
    <row r="138" spans="2:5" x14ac:dyDescent="0.3">
      <c r="B138" t="s">
        <v>100</v>
      </c>
      <c r="C138">
        <v>136</v>
      </c>
      <c r="D138">
        <v>1</v>
      </c>
      <c r="E138">
        <v>2</v>
      </c>
    </row>
    <row r="139" spans="2:5" x14ac:dyDescent="0.3">
      <c r="B139" t="s">
        <v>100</v>
      </c>
      <c r="C139">
        <v>137</v>
      </c>
      <c r="D139">
        <v>2</v>
      </c>
      <c r="E139">
        <v>3</v>
      </c>
    </row>
    <row r="140" spans="2:5" x14ac:dyDescent="0.3">
      <c r="B140" t="s">
        <v>100</v>
      </c>
      <c r="C140">
        <v>138</v>
      </c>
      <c r="D140">
        <v>3</v>
      </c>
      <c r="E140">
        <v>3</v>
      </c>
    </row>
    <row r="141" spans="2:5" x14ac:dyDescent="0.3">
      <c r="B141" t="s">
        <v>100</v>
      </c>
      <c r="C141">
        <v>139</v>
      </c>
      <c r="D141">
        <v>4</v>
      </c>
      <c r="E141">
        <v>3</v>
      </c>
    </row>
    <row r="142" spans="2:5" x14ac:dyDescent="0.3">
      <c r="B142" t="s">
        <v>100</v>
      </c>
      <c r="C142">
        <v>140</v>
      </c>
      <c r="D142">
        <v>5</v>
      </c>
      <c r="E142">
        <v>3</v>
      </c>
    </row>
    <row r="143" spans="2:5" x14ac:dyDescent="0.3">
      <c r="B143" t="s">
        <v>100</v>
      </c>
      <c r="C143">
        <v>141</v>
      </c>
      <c r="D143">
        <v>6</v>
      </c>
      <c r="E143">
        <v>3</v>
      </c>
    </row>
    <row r="144" spans="2:5" x14ac:dyDescent="0.3">
      <c r="B144" t="s">
        <v>100</v>
      </c>
      <c r="C144">
        <v>142</v>
      </c>
      <c r="D144">
        <v>7</v>
      </c>
      <c r="E144">
        <v>3</v>
      </c>
    </row>
    <row r="145" spans="2:5" x14ac:dyDescent="0.3">
      <c r="B145" t="s">
        <v>100</v>
      </c>
      <c r="C145">
        <v>143</v>
      </c>
      <c r="D145">
        <v>1</v>
      </c>
      <c r="E145">
        <v>3</v>
      </c>
    </row>
    <row r="146" spans="2:5" x14ac:dyDescent="0.3">
      <c r="B146" t="s">
        <v>100</v>
      </c>
      <c r="C146">
        <v>144</v>
      </c>
      <c r="D146">
        <v>2</v>
      </c>
      <c r="E146">
        <v>4</v>
      </c>
    </row>
    <row r="147" spans="2:5" x14ac:dyDescent="0.3">
      <c r="B147" t="s">
        <v>100</v>
      </c>
      <c r="C147">
        <v>145</v>
      </c>
      <c r="D147">
        <v>3</v>
      </c>
      <c r="E147">
        <v>4</v>
      </c>
    </row>
    <row r="148" spans="2:5" x14ac:dyDescent="0.3">
      <c r="B148" t="s">
        <v>100</v>
      </c>
      <c r="C148">
        <v>146</v>
      </c>
      <c r="D148">
        <v>4</v>
      </c>
      <c r="E148">
        <v>4</v>
      </c>
    </row>
    <row r="149" spans="2:5" x14ac:dyDescent="0.3">
      <c r="B149" t="s">
        <v>100</v>
      </c>
      <c r="C149">
        <v>147</v>
      </c>
      <c r="D149">
        <v>5</v>
      </c>
      <c r="E149">
        <v>4</v>
      </c>
    </row>
    <row r="150" spans="2:5" x14ac:dyDescent="0.3">
      <c r="B150" t="s">
        <v>100</v>
      </c>
      <c r="C150">
        <v>148</v>
      </c>
      <c r="D150">
        <v>6</v>
      </c>
      <c r="E150">
        <v>4</v>
      </c>
    </row>
    <row r="151" spans="2:5" x14ac:dyDescent="0.3">
      <c r="B151" t="s">
        <v>100</v>
      </c>
      <c r="C151">
        <v>149</v>
      </c>
      <c r="D151">
        <v>7</v>
      </c>
      <c r="E151">
        <v>4</v>
      </c>
    </row>
    <row r="152" spans="2:5" x14ac:dyDescent="0.3">
      <c r="B152" t="s">
        <v>100</v>
      </c>
      <c r="C152">
        <v>150</v>
      </c>
      <c r="D152">
        <v>1</v>
      </c>
      <c r="E152">
        <v>4</v>
      </c>
    </row>
    <row r="153" spans="2:5" x14ac:dyDescent="0.3">
      <c r="B153" t="s">
        <v>100</v>
      </c>
      <c r="C153">
        <v>151</v>
      </c>
      <c r="D153">
        <v>2</v>
      </c>
      <c r="E153">
        <v>5</v>
      </c>
    </row>
    <row r="154" spans="2:5" x14ac:dyDescent="0.3">
      <c r="B154" t="s">
        <v>100</v>
      </c>
      <c r="C154">
        <v>152</v>
      </c>
      <c r="D154">
        <v>3</v>
      </c>
      <c r="E154">
        <v>5</v>
      </c>
    </row>
    <row r="155" spans="2:5" x14ac:dyDescent="0.3">
      <c r="B155" t="s">
        <v>100</v>
      </c>
      <c r="C155">
        <v>153</v>
      </c>
      <c r="D155">
        <v>4</v>
      </c>
      <c r="E155">
        <v>5</v>
      </c>
    </row>
    <row r="156" spans="2:5" x14ac:dyDescent="0.3">
      <c r="B156" t="s">
        <v>100</v>
      </c>
      <c r="C156">
        <v>154</v>
      </c>
      <c r="D156">
        <v>5</v>
      </c>
      <c r="E156">
        <v>5</v>
      </c>
    </row>
    <row r="157" spans="2:5" x14ac:dyDescent="0.3">
      <c r="B157" t="s">
        <v>100</v>
      </c>
      <c r="C157">
        <v>155</v>
      </c>
      <c r="D157">
        <v>6</v>
      </c>
      <c r="E157">
        <v>5</v>
      </c>
    </row>
    <row r="158" spans="2:5" x14ac:dyDescent="0.3">
      <c r="B158" t="s">
        <v>100</v>
      </c>
      <c r="C158">
        <v>156</v>
      </c>
      <c r="D158">
        <v>7</v>
      </c>
      <c r="E158">
        <v>5</v>
      </c>
    </row>
    <row r="159" spans="2:5" x14ac:dyDescent="0.3">
      <c r="B159" t="s">
        <v>100</v>
      </c>
      <c r="C159">
        <v>157</v>
      </c>
      <c r="D159">
        <v>1</v>
      </c>
      <c r="E159">
        <v>5</v>
      </c>
    </row>
    <row r="160" spans="2:5" x14ac:dyDescent="0.3">
      <c r="B160" t="s">
        <v>100</v>
      </c>
      <c r="C160">
        <v>158</v>
      </c>
      <c r="D160">
        <v>2</v>
      </c>
      <c r="E160">
        <v>6</v>
      </c>
    </row>
    <row r="161" spans="2:5" x14ac:dyDescent="0.3">
      <c r="B161" t="s">
        <v>100</v>
      </c>
      <c r="C161">
        <v>159</v>
      </c>
      <c r="D161">
        <v>3</v>
      </c>
      <c r="E161">
        <v>6</v>
      </c>
    </row>
    <row r="162" spans="2:5" x14ac:dyDescent="0.3">
      <c r="B162" t="s">
        <v>100</v>
      </c>
      <c r="C162">
        <v>160</v>
      </c>
      <c r="D162">
        <v>4</v>
      </c>
      <c r="E162">
        <v>6</v>
      </c>
    </row>
    <row r="163" spans="2:5" x14ac:dyDescent="0.3">
      <c r="B163" t="s">
        <v>100</v>
      </c>
      <c r="C163">
        <v>161</v>
      </c>
      <c r="D163">
        <v>5</v>
      </c>
      <c r="E163">
        <v>6</v>
      </c>
    </row>
    <row r="164" spans="2:5" x14ac:dyDescent="0.3">
      <c r="B164" t="s">
        <v>100</v>
      </c>
      <c r="C164">
        <v>162</v>
      </c>
      <c r="D164">
        <v>6</v>
      </c>
      <c r="E164">
        <v>6</v>
      </c>
    </row>
    <row r="165" spans="2:5" x14ac:dyDescent="0.3">
      <c r="B165" t="s">
        <v>100</v>
      </c>
      <c r="C165">
        <v>163</v>
      </c>
      <c r="D165">
        <v>7</v>
      </c>
      <c r="E165">
        <v>6</v>
      </c>
    </row>
    <row r="166" spans="2:5" x14ac:dyDescent="0.3">
      <c r="B166" t="s">
        <v>100</v>
      </c>
      <c r="C166">
        <v>164</v>
      </c>
      <c r="D166">
        <v>1</v>
      </c>
      <c r="E166">
        <v>6</v>
      </c>
    </row>
    <row r="167" spans="2:5" x14ac:dyDescent="0.3">
      <c r="B167" t="s">
        <v>100</v>
      </c>
      <c r="C167">
        <v>165</v>
      </c>
      <c r="D167">
        <v>2</v>
      </c>
      <c r="E167">
        <v>7</v>
      </c>
    </row>
    <row r="168" spans="2:5" x14ac:dyDescent="0.3">
      <c r="B168" t="s">
        <v>100</v>
      </c>
      <c r="C168">
        <v>166</v>
      </c>
      <c r="D168">
        <v>3</v>
      </c>
      <c r="E168">
        <v>7</v>
      </c>
    </row>
    <row r="169" spans="2:5" x14ac:dyDescent="0.3">
      <c r="B169" t="s">
        <v>100</v>
      </c>
      <c r="C169">
        <v>167</v>
      </c>
      <c r="D169">
        <v>4</v>
      </c>
      <c r="E169">
        <v>7</v>
      </c>
    </row>
    <row r="170" spans="2:5" x14ac:dyDescent="0.3">
      <c r="B170" t="s">
        <v>100</v>
      </c>
      <c r="C170">
        <v>168</v>
      </c>
      <c r="D170">
        <v>5</v>
      </c>
      <c r="E170">
        <v>7</v>
      </c>
    </row>
    <row r="171" spans="2:5" x14ac:dyDescent="0.3">
      <c r="B171" t="s">
        <v>100</v>
      </c>
      <c r="C171">
        <v>169</v>
      </c>
      <c r="D171">
        <v>6</v>
      </c>
      <c r="E171">
        <v>7</v>
      </c>
    </row>
    <row r="172" spans="2:5" x14ac:dyDescent="0.3">
      <c r="B172" t="s">
        <v>100</v>
      </c>
      <c r="C172">
        <v>170</v>
      </c>
      <c r="D172">
        <v>7</v>
      </c>
      <c r="E172">
        <v>7</v>
      </c>
    </row>
    <row r="173" spans="2:5" x14ac:dyDescent="0.3">
      <c r="B173" t="s">
        <v>100</v>
      </c>
      <c r="C173">
        <v>171</v>
      </c>
      <c r="D173">
        <v>1</v>
      </c>
      <c r="E173">
        <v>7</v>
      </c>
    </row>
    <row r="174" spans="2:5" x14ac:dyDescent="0.3">
      <c r="B174" t="s">
        <v>100</v>
      </c>
      <c r="C174">
        <v>172</v>
      </c>
      <c r="D174">
        <v>2</v>
      </c>
      <c r="E174">
        <v>8</v>
      </c>
    </row>
    <row r="175" spans="2:5" x14ac:dyDescent="0.3">
      <c r="B175" t="s">
        <v>100</v>
      </c>
      <c r="C175">
        <v>173</v>
      </c>
      <c r="D175">
        <v>3</v>
      </c>
      <c r="E175">
        <v>8</v>
      </c>
    </row>
    <row r="176" spans="2:5" x14ac:dyDescent="0.3">
      <c r="B176" t="s">
        <v>100</v>
      </c>
      <c r="C176">
        <v>174</v>
      </c>
      <c r="D176">
        <v>4</v>
      </c>
      <c r="E176">
        <v>8</v>
      </c>
    </row>
    <row r="177" spans="2:5" x14ac:dyDescent="0.3">
      <c r="B177" t="s">
        <v>100</v>
      </c>
      <c r="C177">
        <v>175</v>
      </c>
      <c r="D177">
        <v>5</v>
      </c>
      <c r="E177">
        <v>8</v>
      </c>
    </row>
    <row r="178" spans="2:5" x14ac:dyDescent="0.3">
      <c r="B178" t="s">
        <v>100</v>
      </c>
      <c r="C178">
        <v>176</v>
      </c>
      <c r="D178">
        <v>6</v>
      </c>
      <c r="E178">
        <v>8</v>
      </c>
    </row>
    <row r="179" spans="2:5" x14ac:dyDescent="0.3">
      <c r="B179" t="s">
        <v>100</v>
      </c>
      <c r="C179">
        <v>177</v>
      </c>
      <c r="D179">
        <v>7</v>
      </c>
      <c r="E179">
        <v>8</v>
      </c>
    </row>
    <row r="180" spans="2:5" x14ac:dyDescent="0.3">
      <c r="B180" t="s">
        <v>100</v>
      </c>
      <c r="C180">
        <v>178</v>
      </c>
      <c r="D180">
        <v>1</v>
      </c>
      <c r="E180">
        <v>9</v>
      </c>
    </row>
    <row r="181" spans="2:5" x14ac:dyDescent="0.3">
      <c r="B181" t="s">
        <v>100</v>
      </c>
      <c r="C181">
        <v>179</v>
      </c>
      <c r="D181">
        <v>2</v>
      </c>
      <c r="E181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55015ABACB564788EBAF9739D81A19" ma:contentTypeVersion="16" ma:contentTypeDescription="Create a new document." ma:contentTypeScope="" ma:versionID="e0545f65eddd345b6fdf0a32c827e8b5">
  <xsd:schema xmlns:xsd="http://www.w3.org/2001/XMLSchema" xmlns:xs="http://www.w3.org/2001/XMLSchema" xmlns:p="http://schemas.microsoft.com/office/2006/metadata/properties" xmlns:ns2="8d23417f-25f7-448f-b95f-09abdd95f7f6" xmlns:ns3="281b8c0a-267b-4a90-ae94-cba8f8413469" xmlns:ns4="a7bc6c04-a6f3-4b85-abcc-278c78dc556b" targetNamespace="http://schemas.microsoft.com/office/2006/metadata/properties" ma:root="true" ma:fieldsID="aea858cd2b917f846050da31f70ba8a2" ns2:_="" ns3:_="" ns4:_="">
    <xsd:import namespace="8d23417f-25f7-448f-b95f-09abdd95f7f6"/>
    <xsd:import namespace="281b8c0a-267b-4a90-ae94-cba8f8413469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3417f-25f7-448f-b95f-09abdd95f7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b8c0a-267b-4a90-ae94-cba8f841346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3c2daa9-675b-4240-b74a-555ae5b2e5ee}" ma:internalName="TaxCatchAll" ma:showField="CatchAllData" ma:web="281b8c0a-267b-4a90-ae94-cba8f8413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23417f-25f7-448f-b95f-09abdd95f7f6">
      <Terms xmlns="http://schemas.microsoft.com/office/infopath/2007/PartnerControls"/>
    </lcf76f155ced4ddcb4097134ff3c332f>
    <TaxCatchAll xmlns="a7bc6c04-a6f3-4b85-abcc-278c78dc556b" xsi:nil="true"/>
    <_Flow_SignoffStatus xmlns="8d23417f-25f7-448f-b95f-09abdd95f7f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43029EF-3964-46BE-B454-427A719E9E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E8DE90-D16E-4044-AAA2-A7CA46E7C9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23417f-25f7-448f-b95f-09abdd95f7f6"/>
    <ds:schemaRef ds:uri="281b8c0a-267b-4a90-ae94-cba8f8413469"/>
    <ds:schemaRef ds:uri="a7bc6c04-a6f3-4b85-abcc-278c78dc5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A4CDB0-057A-4254-B310-F6D7B72E6C4E}">
  <ds:schemaRefs>
    <ds:schemaRef ds:uri="http://purl.org/dc/elements/1.1/"/>
    <ds:schemaRef ds:uri="a7bc6c04-a6f3-4b85-abcc-278c78dc556b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8d23417f-25f7-448f-b95f-09abdd95f7f6"/>
    <ds:schemaRef ds:uri="http://schemas.microsoft.com/office/infopath/2007/PartnerControls"/>
    <ds:schemaRef ds:uri="281b8c0a-267b-4a90-ae94-cba8f8413469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7D828E5B-285F-4777-9457-D69E60D7CAF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PPV</vt:lpstr>
      <vt:lpstr>Analysis</vt:lpstr>
      <vt:lpstr>CHA_MCAS</vt:lpstr>
      <vt:lpstr>LLC</vt:lpstr>
      <vt:lpstr>CORE</vt:lpstr>
      <vt:lpstr>FirstErr</vt:lpstr>
      <vt:lpstr>REV_Units</vt:lpstr>
      <vt:lpstr>RevCHACount</vt:lpstr>
      <vt:lpstr>RevLLCCount</vt:lpstr>
      <vt:lpstr>RevCoreCount</vt:lpstr>
      <vt:lpstr>Other Errors</vt:lpstr>
      <vt:lpstr>Map</vt:lpstr>
      <vt:lpstr>Computes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Espinoza Ballestero, Gabriel</dc:creator>
  <cp:keywords/>
  <dc:description/>
  <cp:lastModifiedBy>Espinoza Ballestero, Gabriel</cp:lastModifiedBy>
  <cp:revision/>
  <dcterms:created xsi:type="dcterms:W3CDTF">2024-10-30T21:12:24Z</dcterms:created>
  <dcterms:modified xsi:type="dcterms:W3CDTF">2026-03-02T21:31:48Z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0x010100EF55015ABACB564788EBAF9739D81A19</vt:lpwstr>
  </property>
</Properties>
</file>